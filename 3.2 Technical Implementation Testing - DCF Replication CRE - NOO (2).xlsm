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drawings/drawing6.xml" ContentType="application/vnd.openxmlformats-officedocument.drawing+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8.xml" ContentType="application/vnd.openxmlformats-officedocument.drawing+xml"/>
  <Override PartName="/xl/tables/table1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crowe-my.sharepoint.com/personal/achyuth_rachur_crowe_com/Documents/VS Code Programming Projects/cecl-dcf-testing/"/>
    </mc:Choice>
  </mc:AlternateContent>
  <xr:revisionPtr revIDLastSave="6" documentId="13_ncr:1_{A1B5F859-42F8-4878-9D96-0452F57D2E79}" xr6:coauthVersionLast="47" xr6:coauthVersionMax="47" xr10:uidLastSave="{843D42DE-CEDA-4B42-83AD-7480D00EA7C4}"/>
  <bookViews>
    <workbookView xWindow="-28920" yWindow="-105" windowWidth="29040" windowHeight="15720" firstSheet="1" activeTab="6" xr2:uid="{3253CB70-604A-490A-AC52-1BEDA49883FB}"/>
  </bookViews>
  <sheets>
    <sheet name="Readme" sheetId="8" state="hidden" r:id="rId1"/>
    <sheet name="Forecast" sheetId="6" r:id="rId2"/>
    <sheet name="DCF Calc" sheetId="1" r:id="rId3"/>
    <sheet name="Abrigo Results" sheetId="9" r:id="rId4"/>
    <sheet name="DCF Calc 2" sheetId="12" r:id="rId5"/>
    <sheet name="Abrigo Results 2" sheetId="10" r:id="rId6"/>
    <sheet name="DCF Calc 3" sheetId="14" r:id="rId7"/>
    <sheet name="Abrigo Results 3" sheetId="13" r:id="rId8"/>
    <sheet name="DCF Calc 4" sheetId="15" r:id="rId9"/>
    <sheet name="Abrigo Results 4" sheetId="16" r:id="rId10"/>
    <sheet name="DCF Calc 5" sheetId="17" r:id="rId11"/>
    <sheet name="Abrigo Results 5" sheetId="18" r:id="rId12"/>
    <sheet name="DCF Calc (Test)" sheetId="19" r:id="rId13"/>
    <sheet name="Inputs" sheetId="7" state="hidden" r:id="rId14"/>
  </sheets>
  <functionGroups builtInGroupCount="19"/>
  <externalReferences>
    <externalReference r:id="rId15"/>
  </externalReferences>
  <definedNames>
    <definedName name="_xleta.ROUND" hidden="1" xlm="1">#NAME?</definedName>
    <definedName name="ActualRateToUse" localSheetId="3">[1]DCF!$J$8</definedName>
    <definedName name="ActualRateToUse" localSheetId="5">[1]DCF!$J$8</definedName>
    <definedName name="ActualRateToUse" localSheetId="7">[1]DCF!$J$8</definedName>
    <definedName name="ActualRateToUse" localSheetId="9">[1]DCF!$J$8</definedName>
    <definedName name="ActualRateToUse" localSheetId="11">[1]DCF!$J$8</definedName>
    <definedName name="ActualRateToUse" localSheetId="12">'DCF Calc (Test)'!$J$8</definedName>
    <definedName name="ActualRateToUse" localSheetId="4">'DCF Calc 2'!$J$8</definedName>
    <definedName name="ActualRateToUse" localSheetId="6">'DCF Calc 3'!$J$8</definedName>
    <definedName name="ActualRateToUse" localSheetId="8">'DCF Calc 4'!$J$8</definedName>
    <definedName name="ActualRateToUse" localSheetId="10">'DCF Calc 5'!$J$8</definedName>
    <definedName name="ActualRateToUse">'DCF Calc'!$J$8</definedName>
    <definedName name="AmortizationMultiplier" localSheetId="3">[1]DCF!$J$3</definedName>
    <definedName name="AmortizationMultiplier" localSheetId="5">[1]DCF!$J$3</definedName>
    <definedName name="AmortizationMultiplier" localSheetId="7">[1]DCF!$J$3</definedName>
    <definedName name="AmortizationMultiplier" localSheetId="9">[1]DCF!$J$3</definedName>
    <definedName name="AmortizationMultiplier" localSheetId="11">[1]DCF!$J$3</definedName>
    <definedName name="AmortizationMultiplier" localSheetId="12">'DCF Calc (Test)'!$J$3</definedName>
    <definedName name="AmortizationMultiplier" localSheetId="4">'DCF Calc 2'!$J$3</definedName>
    <definedName name="AmortizationMultiplier" localSheetId="6">'DCF Calc 3'!$J$3</definedName>
    <definedName name="AmortizationMultiplier" localSheetId="8">'DCF Calc 4'!$J$3</definedName>
    <definedName name="AmortizationMultiplier" localSheetId="10">'DCF Calc 5'!$J$3</definedName>
    <definedName name="AmortizationMultiplier">'DCF Calc'!$J$3</definedName>
    <definedName name="DCFSettings" localSheetId="12">'DCF Calc (Test)'!$D$2:$K$4</definedName>
    <definedName name="DCFSettings" localSheetId="4">'DCF Calc 2'!$D$2:$K$4</definedName>
    <definedName name="DCFSettings" localSheetId="6">'DCF Calc 3'!$D$2:$K$4</definedName>
    <definedName name="DCFSettings" localSheetId="8">'DCF Calc 4'!$D$2:$K$4</definedName>
    <definedName name="DCFSettings" localSheetId="10">'DCF Calc 5'!$D$2:$K$4</definedName>
    <definedName name="DCFSettings">'DCF Calc'!$D$2:$K$4</definedName>
    <definedName name="DCFSettingsCopy" localSheetId="12">'DCF Calc (Test)'!$R$2:$T$4</definedName>
    <definedName name="DCFSettingsCopy" localSheetId="4">'DCF Calc 2'!$R$2:$T$4</definedName>
    <definedName name="DCFSettingsCopy" localSheetId="6">'DCF Calc 3'!$R$2:$T$4</definedName>
    <definedName name="DCFSettingsCopy" localSheetId="8">'DCF Calc 4'!$R$2:$T$4</definedName>
    <definedName name="DCFSettingsCopy" localSheetId="10">'DCF Calc 5'!$R$2:$T$4</definedName>
    <definedName name="DCFSettingsCopy">'DCF Calc'!$R$2:$T$4</definedName>
    <definedName name="DiscountRate" localSheetId="12">'DCF Calc (Test)'!$J$4</definedName>
    <definedName name="DiscountRate" localSheetId="4">'DCF Calc 2'!$J$4</definedName>
    <definedName name="DiscountRate" localSheetId="6">'DCF Calc 3'!$J$4</definedName>
    <definedName name="DiscountRate" localSheetId="8">'DCF Calc 4'!$J$4</definedName>
    <definedName name="DiscountRate" localSheetId="10">'DCF Calc 5'!$J$4</definedName>
    <definedName name="DiscountRate">'DCF Calc'!$J$4</definedName>
    <definedName name="DiscountRateToUse" localSheetId="12">'DCF Calc (Test)'!$J$7</definedName>
    <definedName name="DiscountRateToUse" localSheetId="4">'DCF Calc 2'!$J$7</definedName>
    <definedName name="DiscountRateToUse" localSheetId="6">'DCF Calc 3'!$J$7</definedName>
    <definedName name="DiscountRateToUse" localSheetId="8">'DCF Calc 4'!$J$7</definedName>
    <definedName name="DiscountRateToUse" localSheetId="10">'DCF Calc 5'!$J$7</definedName>
    <definedName name="DiscountRateToUse">'DCF Calc'!$J$7</definedName>
    <definedName name="InterestRate" localSheetId="3">[1]DCF!$C$5</definedName>
    <definedName name="InterestRate" localSheetId="5">[1]DCF!$C$5</definedName>
    <definedName name="InterestRate" localSheetId="7">[1]DCF!$C$5</definedName>
    <definedName name="InterestRate" localSheetId="9">[1]DCF!$C$5</definedName>
    <definedName name="InterestRate" localSheetId="11">[1]DCF!$C$5</definedName>
    <definedName name="InterestRate" localSheetId="12">'DCF Calc (Test)'!$C$5</definedName>
    <definedName name="InterestRate" localSheetId="4">'DCF Calc 2'!$C$5</definedName>
    <definedName name="InterestRate" localSheetId="6">'DCF Calc 3'!$C$5</definedName>
    <definedName name="InterestRate" localSheetId="8">'DCF Calc 4'!$C$5</definedName>
    <definedName name="InterestRate" localSheetId="10">'DCF Calc 5'!$C$5</definedName>
    <definedName name="InterestRate">'DCF Calc'!$C$5</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LossGivenDefault" localSheetId="12">'DCF Calc (Test)'!$E$4</definedName>
    <definedName name="LossGivenDefault" localSheetId="4">'DCF Calc 2'!$E$4</definedName>
    <definedName name="LossGivenDefault" localSheetId="6">'DCF Calc 3'!$E$4</definedName>
    <definedName name="LossGivenDefault" localSheetId="8">'DCF Calc 4'!$E$4</definedName>
    <definedName name="LossGivenDefault" localSheetId="10">'DCF Calc 5'!$E$4</definedName>
    <definedName name="LossGivenDefault">'DCF Calc'!$E$4</definedName>
    <definedName name="ManualDiscountRate" localSheetId="12">'DCF Calc (Test)'!$J$5</definedName>
    <definedName name="ManualDiscountRate" localSheetId="4">'DCF Calc 2'!$J$5</definedName>
    <definedName name="ManualDiscountRate" localSheetId="6">'DCF Calc 3'!$J$5</definedName>
    <definedName name="ManualDiscountRate" localSheetId="8">'DCF Calc 4'!$J$5</definedName>
    <definedName name="ManualDiscountRate" localSheetId="10">'DCF Calc 5'!$J$5</definedName>
    <definedName name="ManualDiscountRate">'DCF Calc'!$J$5</definedName>
    <definedName name="PrepaymentRate" localSheetId="12">'DCF Calc (Test)'!$E$6</definedName>
    <definedName name="PrepaymentRate" localSheetId="4">'DCF Calc 2'!$E$6</definedName>
    <definedName name="PrepaymentRate" localSheetId="6">'DCF Calc 3'!$E$6</definedName>
    <definedName name="PrepaymentRate" localSheetId="8">'DCF Calc 4'!$E$6</definedName>
    <definedName name="PrepaymentRate" localSheetId="10">'DCF Calc 5'!$E$6</definedName>
    <definedName name="PrepaymentRate">'DCF Calc'!$E$6</definedName>
    <definedName name="ProbabilityOfDefault" localSheetId="12">'DCF Calc (Test)'!$E$2</definedName>
    <definedName name="ProbabilityOfDefault" localSheetId="4">'DCF Calc 2'!$E$2</definedName>
    <definedName name="ProbabilityOfDefault" localSheetId="6">'DCF Calc 3'!$E$2</definedName>
    <definedName name="ProbabilityOfDefault" localSheetId="8">'DCF Calc 4'!$E$2</definedName>
    <definedName name="ProbabilityOfDefault" localSheetId="10">'DCF Calc 5'!$E$2</definedName>
    <definedName name="ProbabilityOfDefault">'DCF Calc'!$E$2</definedName>
    <definedName name="ReserveAmount" localSheetId="12">'DCF Calc (Test)'!$M$4</definedName>
    <definedName name="ReserveAmount" localSheetId="4">'DCF Calc 2'!$M$4</definedName>
    <definedName name="ReserveAmount" localSheetId="6">'DCF Calc 3'!$M$4</definedName>
    <definedName name="ReserveAmount" localSheetId="8">'DCF Calc 4'!$M$4</definedName>
    <definedName name="ReserveAmount" localSheetId="10">'DCF Calc 5'!$M$4</definedName>
    <definedName name="ReserveAmount">'DCF Calc'!$M$4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9" i="19" l="1"/>
  <c r="R139" i="19" s="1"/>
  <c r="R138" i="19"/>
  <c r="R137" i="19"/>
  <c r="R136" i="19"/>
  <c r="R135" i="19"/>
  <c r="R134" i="19"/>
  <c r="R133" i="19"/>
  <c r="R132" i="19"/>
  <c r="R131" i="19"/>
  <c r="R130" i="19"/>
  <c r="R129" i="19"/>
  <c r="R128" i="19"/>
  <c r="R127" i="19"/>
  <c r="R126" i="19"/>
  <c r="R125" i="19"/>
  <c r="R124" i="19"/>
  <c r="R123" i="19"/>
  <c r="R122" i="19"/>
  <c r="R121" i="19"/>
  <c r="R120" i="19"/>
  <c r="R119" i="19"/>
  <c r="R118" i="19"/>
  <c r="R117" i="19"/>
  <c r="R116" i="19"/>
  <c r="R115" i="19"/>
  <c r="R114" i="19"/>
  <c r="R113" i="19"/>
  <c r="R112" i="19"/>
  <c r="R111" i="19"/>
  <c r="R110" i="19"/>
  <c r="R109" i="19"/>
  <c r="R108" i="19"/>
  <c r="R107" i="19"/>
  <c r="R106" i="19"/>
  <c r="R105" i="19"/>
  <c r="R104" i="19"/>
  <c r="R103" i="19"/>
  <c r="R102" i="19"/>
  <c r="R101" i="19"/>
  <c r="R100" i="19"/>
  <c r="R99" i="19"/>
  <c r="R98" i="19"/>
  <c r="R97" i="19"/>
  <c r="R96" i="19"/>
  <c r="R95" i="19"/>
  <c r="R94" i="19"/>
  <c r="R93" i="19"/>
  <c r="R92" i="19"/>
  <c r="R91" i="19"/>
  <c r="R90" i="19"/>
  <c r="R89" i="19"/>
  <c r="R88" i="19"/>
  <c r="R87" i="19"/>
  <c r="R86" i="19"/>
  <c r="R85" i="19"/>
  <c r="R84" i="19"/>
  <c r="R83" i="19"/>
  <c r="R82" i="19"/>
  <c r="R81" i="19"/>
  <c r="R80" i="19"/>
  <c r="R79" i="19"/>
  <c r="T79" i="19" s="1"/>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T31" i="19" s="1"/>
  <c r="R30" i="19"/>
  <c r="T30" i="19" s="1"/>
  <c r="R29" i="19"/>
  <c r="T29" i="19" s="1"/>
  <c r="R28" i="19"/>
  <c r="R27" i="19"/>
  <c r="T27" i="19" s="1"/>
  <c r="R26" i="19"/>
  <c r="T26" i="19" s="1"/>
  <c r="R25" i="19"/>
  <c r="R24" i="19"/>
  <c r="R23" i="19"/>
  <c r="R22" i="19"/>
  <c r="T22" i="19" s="1"/>
  <c r="R21" i="19"/>
  <c r="R20" i="19"/>
  <c r="R19" i="19"/>
  <c r="R18" i="19"/>
  <c r="C18" i="19"/>
  <c r="R17" i="19"/>
  <c r="L17" i="19"/>
  <c r="G17" i="19"/>
  <c r="D17" i="19"/>
  <c r="J8" i="19"/>
  <c r="J7" i="19"/>
  <c r="E7" i="19"/>
  <c r="K6" i="19"/>
  <c r="C4" i="19"/>
  <c r="J3" i="19"/>
  <c r="T139" i="19" s="1"/>
  <c r="J8" i="1"/>
  <c r="S108" i="19" l="1"/>
  <c r="S100" i="19"/>
  <c r="S22" i="19"/>
  <c r="S18" i="19"/>
  <c r="S30" i="19"/>
  <c r="T18" i="19"/>
  <c r="S35" i="19"/>
  <c r="S50" i="19"/>
  <c r="S54" i="19"/>
  <c r="S78" i="19"/>
  <c r="S93" i="19"/>
  <c r="S94" i="19"/>
  <c r="T95" i="19"/>
  <c r="C19" i="19"/>
  <c r="S19" i="19"/>
  <c r="S23" i="19"/>
  <c r="S104" i="19"/>
  <c r="T113" i="19"/>
  <c r="T121" i="19"/>
  <c r="L18" i="19"/>
  <c r="S39" i="19"/>
  <c r="S47" i="19"/>
  <c r="S57" i="19"/>
  <c r="S61" i="19"/>
  <c r="T63" i="19"/>
  <c r="S66" i="19"/>
  <c r="S70" i="19"/>
  <c r="T71" i="19"/>
  <c r="T75" i="19"/>
  <c r="S89" i="19"/>
  <c r="S20" i="19"/>
  <c r="S24" i="19"/>
  <c r="T33" i="19"/>
  <c r="T35" i="19"/>
  <c r="T39" i="19"/>
  <c r="T43" i="19"/>
  <c r="T47" i="19"/>
  <c r="T51" i="19"/>
  <c r="S38" i="19"/>
  <c r="S46" i="19"/>
  <c r="T135" i="19"/>
  <c r="T131" i="19"/>
  <c r="T127" i="19"/>
  <c r="T123" i="19"/>
  <c r="T119" i="19"/>
  <c r="T115" i="19"/>
  <c r="T111" i="19"/>
  <c r="T107" i="19"/>
  <c r="T103" i="19"/>
  <c r="T99" i="19"/>
  <c r="T138" i="19"/>
  <c r="T134" i="19"/>
  <c r="T130" i="19"/>
  <c r="T126" i="19"/>
  <c r="T122" i="19"/>
  <c r="T118" i="19"/>
  <c r="T114" i="19"/>
  <c r="T110" i="19"/>
  <c r="T106" i="19"/>
  <c r="T102" i="19"/>
  <c r="T136" i="19"/>
  <c r="T132" i="19"/>
  <c r="T128" i="19"/>
  <c r="T124" i="19"/>
  <c r="T120" i="19"/>
  <c r="T116" i="19"/>
  <c r="T112" i="19"/>
  <c r="T108" i="19"/>
  <c r="T104" i="19"/>
  <c r="T133" i="19"/>
  <c r="T101" i="19"/>
  <c r="T100" i="19"/>
  <c r="T97" i="19"/>
  <c r="T93" i="19"/>
  <c r="T89" i="19"/>
  <c r="T85" i="19"/>
  <c r="T81" i="19"/>
  <c r="T77" i="19"/>
  <c r="T73" i="19"/>
  <c r="T69" i="19"/>
  <c r="T65" i="19"/>
  <c r="T61" i="19"/>
  <c r="T57" i="19"/>
  <c r="T53" i="19"/>
  <c r="T49" i="19"/>
  <c r="T45" i="19"/>
  <c r="T41" i="19"/>
  <c r="T37" i="19"/>
  <c r="T125" i="19"/>
  <c r="T96" i="19"/>
  <c r="T92" i="19"/>
  <c r="T88" i="19"/>
  <c r="T84" i="19"/>
  <c r="T80" i="19"/>
  <c r="T76" i="19"/>
  <c r="T72" i="19"/>
  <c r="T68" i="19"/>
  <c r="T64" i="19"/>
  <c r="T60" i="19"/>
  <c r="T56" i="19"/>
  <c r="T52" i="19"/>
  <c r="T48" i="19"/>
  <c r="T44" i="19"/>
  <c r="T40" i="19"/>
  <c r="T36" i="19"/>
  <c r="T137" i="19"/>
  <c r="T105" i="19"/>
  <c r="T129" i="19"/>
  <c r="T109" i="19"/>
  <c r="T94" i="19"/>
  <c r="T90" i="19"/>
  <c r="T86" i="19"/>
  <c r="T82" i="19"/>
  <c r="T78" i="19"/>
  <c r="T74" i="19"/>
  <c r="T70" i="19"/>
  <c r="T66" i="19"/>
  <c r="T62" i="19"/>
  <c r="T58" i="19"/>
  <c r="T54" i="19"/>
  <c r="T50" i="19"/>
  <c r="T46" i="19"/>
  <c r="T42" i="19"/>
  <c r="T38" i="19"/>
  <c r="T34" i="19"/>
  <c r="T19" i="19"/>
  <c r="T23" i="19"/>
  <c r="S58" i="19"/>
  <c r="S62" i="19"/>
  <c r="S69" i="19"/>
  <c r="S73" i="19"/>
  <c r="S90" i="19"/>
  <c r="J4" i="19"/>
  <c r="S139" i="19"/>
  <c r="S135" i="19"/>
  <c r="S131" i="19"/>
  <c r="S127" i="19"/>
  <c r="S123" i="19"/>
  <c r="S119" i="19"/>
  <c r="S115" i="19"/>
  <c r="S111" i="19"/>
  <c r="S107" i="19"/>
  <c r="S103" i="19"/>
  <c r="S99" i="19"/>
  <c r="S138" i="19"/>
  <c r="S134" i="19"/>
  <c r="S130" i="19"/>
  <c r="S126" i="19"/>
  <c r="S122" i="19"/>
  <c r="S118" i="19"/>
  <c r="S114" i="19"/>
  <c r="S110" i="19"/>
  <c r="S106" i="19"/>
  <c r="S102" i="19"/>
  <c r="S137" i="19"/>
  <c r="S133" i="19"/>
  <c r="S129" i="19"/>
  <c r="S125" i="19"/>
  <c r="S121" i="19"/>
  <c r="S117" i="19"/>
  <c r="S113" i="19"/>
  <c r="S109" i="19"/>
  <c r="S105" i="19"/>
  <c r="S101" i="19"/>
  <c r="S124" i="19"/>
  <c r="S98" i="19"/>
  <c r="S116" i="19"/>
  <c r="S128" i="19"/>
  <c r="S96" i="19"/>
  <c r="S92" i="19"/>
  <c r="S88" i="19"/>
  <c r="S84" i="19"/>
  <c r="S80" i="19"/>
  <c r="S76" i="19"/>
  <c r="S72" i="19"/>
  <c r="S68" i="19"/>
  <c r="S64" i="19"/>
  <c r="S60" i="19"/>
  <c r="S56" i="19"/>
  <c r="S52" i="19"/>
  <c r="S48" i="19"/>
  <c r="S44" i="19"/>
  <c r="S40" i="19"/>
  <c r="S36" i="19"/>
  <c r="S32" i="19"/>
  <c r="S28" i="19"/>
  <c r="S120" i="19"/>
  <c r="S95" i="19"/>
  <c r="S91" i="19"/>
  <c r="S87" i="19"/>
  <c r="S83" i="19"/>
  <c r="S79" i="19"/>
  <c r="S75" i="19"/>
  <c r="S71" i="19"/>
  <c r="S67" i="19"/>
  <c r="S63" i="19"/>
  <c r="S59" i="19"/>
  <c r="S55" i="19"/>
  <c r="S132" i="19"/>
  <c r="T20" i="19"/>
  <c r="T24" i="19"/>
  <c r="T32" i="19"/>
  <c r="S85" i="19"/>
  <c r="S86" i="19"/>
  <c r="T87" i="19"/>
  <c r="S136" i="19"/>
  <c r="S34" i="19"/>
  <c r="S42" i="19"/>
  <c r="S33" i="19"/>
  <c r="S43" i="19"/>
  <c r="S51" i="19"/>
  <c r="T55" i="19"/>
  <c r="T59" i="19"/>
  <c r="S65" i="19"/>
  <c r="T67" i="19"/>
  <c r="S74" i="19"/>
  <c r="T91" i="19"/>
  <c r="C14" i="19"/>
  <c r="F17" i="19" s="1"/>
  <c r="F18" i="19" s="1"/>
  <c r="F19" i="19" s="1"/>
  <c r="F20" i="19" s="1"/>
  <c r="F21" i="19" s="1"/>
  <c r="F22" i="19" s="1"/>
  <c r="F23" i="19" s="1"/>
  <c r="F24" i="19" s="1"/>
  <c r="F25" i="19" s="1"/>
  <c r="F26" i="19" s="1"/>
  <c r="F27" i="19" s="1"/>
  <c r="F28" i="19" s="1"/>
  <c r="F29" i="19" s="1"/>
  <c r="F30" i="19" s="1"/>
  <c r="F31" i="19" s="1"/>
  <c r="F32" i="19" s="1"/>
  <c r="F33" i="19" s="1"/>
  <c r="F34" i="19" s="1"/>
  <c r="F35" i="19" s="1"/>
  <c r="F36" i="19" s="1"/>
  <c r="F37" i="19" s="1"/>
  <c r="F38" i="19" s="1"/>
  <c r="F39" i="19" s="1"/>
  <c r="F40" i="19" s="1"/>
  <c r="F41" i="19" s="1"/>
  <c r="F42" i="19" s="1"/>
  <c r="F43" i="19" s="1"/>
  <c r="F44" i="19" s="1"/>
  <c r="F45" i="19" s="1"/>
  <c r="F46" i="19" s="1"/>
  <c r="F47" i="19" s="1"/>
  <c r="F48" i="19" s="1"/>
  <c r="F49" i="19" s="1"/>
  <c r="F50" i="19" s="1"/>
  <c r="F51" i="19" s="1"/>
  <c r="F52" i="19" s="1"/>
  <c r="F53" i="19" s="1"/>
  <c r="F54" i="19" s="1"/>
  <c r="F55" i="19" s="1"/>
  <c r="F56" i="19" s="1"/>
  <c r="F57" i="19" s="1"/>
  <c r="F58" i="19" s="1"/>
  <c r="F59" i="19" s="1"/>
  <c r="F60" i="19" s="1"/>
  <c r="F61" i="19" s="1"/>
  <c r="F62" i="19" s="1"/>
  <c r="F63" i="19" s="1"/>
  <c r="F64" i="19" s="1"/>
  <c r="F65" i="19" s="1"/>
  <c r="F66" i="19" s="1"/>
  <c r="F67" i="19" s="1"/>
  <c r="F68" i="19" s="1"/>
  <c r="F69" i="19" s="1"/>
  <c r="F70" i="19" s="1"/>
  <c r="F71" i="19" s="1"/>
  <c r="F72" i="19" s="1"/>
  <c r="F73" i="19" s="1"/>
  <c r="F74" i="19" s="1"/>
  <c r="F75" i="19" s="1"/>
  <c r="F76" i="19" s="1"/>
  <c r="F77" i="19" s="1"/>
  <c r="F78" i="19" s="1"/>
  <c r="F79" i="19" s="1"/>
  <c r="F80" i="19" s="1"/>
  <c r="F81" i="19" s="1"/>
  <c r="F82" i="19" s="1"/>
  <c r="F83" i="19" s="1"/>
  <c r="F84" i="19" s="1"/>
  <c r="F85" i="19" s="1"/>
  <c r="F86" i="19" s="1"/>
  <c r="F87" i="19" s="1"/>
  <c r="F88" i="19" s="1"/>
  <c r="F89" i="19" s="1"/>
  <c r="F90" i="19" s="1"/>
  <c r="F91" i="19" s="1"/>
  <c r="F92" i="19" s="1"/>
  <c r="F93" i="19" s="1"/>
  <c r="F94" i="19" s="1"/>
  <c r="F95" i="19" s="1"/>
  <c r="F96" i="19" s="1"/>
  <c r="F97" i="19" s="1"/>
  <c r="F98" i="19" s="1"/>
  <c r="F99" i="19" s="1"/>
  <c r="F100" i="19" s="1"/>
  <c r="F101" i="19" s="1"/>
  <c r="F102" i="19" s="1"/>
  <c r="F103" i="19" s="1"/>
  <c r="F104" i="19" s="1"/>
  <c r="F105" i="19" s="1"/>
  <c r="F106" i="19" s="1"/>
  <c r="F107" i="19" s="1"/>
  <c r="F108" i="19" s="1"/>
  <c r="F109" i="19" s="1"/>
  <c r="F110" i="19" s="1"/>
  <c r="F111" i="19" s="1"/>
  <c r="F112" i="19" s="1"/>
  <c r="F113" i="19" s="1"/>
  <c r="F114" i="19" s="1"/>
  <c r="F115" i="19" s="1"/>
  <c r="F116" i="19" s="1"/>
  <c r="F117" i="19" s="1"/>
  <c r="F118" i="19" s="1"/>
  <c r="F119" i="19" s="1"/>
  <c r="F120" i="19" s="1"/>
  <c r="F121" i="19" s="1"/>
  <c r="F122" i="19" s="1"/>
  <c r="F123" i="19" s="1"/>
  <c r="F124" i="19" s="1"/>
  <c r="F125" i="19" s="1"/>
  <c r="F126" i="19" s="1"/>
  <c r="F127" i="19" s="1"/>
  <c r="F128" i="19" s="1"/>
  <c r="F129" i="19" s="1"/>
  <c r="F130" i="19" s="1"/>
  <c r="F131" i="19" s="1"/>
  <c r="F132" i="19" s="1"/>
  <c r="F133" i="19" s="1"/>
  <c r="F134" i="19" s="1"/>
  <c r="F135" i="19" s="1"/>
  <c r="F136" i="19" s="1"/>
  <c r="F137" i="19" s="1"/>
  <c r="F138" i="19" s="1"/>
  <c r="F139" i="19" s="1"/>
  <c r="F140" i="19" s="1"/>
  <c r="F141" i="19" s="1"/>
  <c r="F142" i="19" s="1"/>
  <c r="F143" i="19" s="1"/>
  <c r="F144" i="19" s="1"/>
  <c r="F145" i="19" s="1"/>
  <c r="F146" i="19" s="1"/>
  <c r="F147" i="19" s="1"/>
  <c r="F148" i="19" s="1"/>
  <c r="F149" i="19" s="1"/>
  <c r="F150" i="19" s="1"/>
  <c r="F151" i="19" s="1"/>
  <c r="F152" i="19" s="1"/>
  <c r="F153" i="19" s="1"/>
  <c r="F154" i="19" s="1"/>
  <c r="F155" i="19" s="1"/>
  <c r="F156" i="19" s="1"/>
  <c r="F157" i="19" s="1"/>
  <c r="F158" i="19" s="1"/>
  <c r="F159" i="19" s="1"/>
  <c r="F160" i="19" s="1"/>
  <c r="F161" i="19" s="1"/>
  <c r="F162" i="19" s="1"/>
  <c r="F163" i="19" s="1"/>
  <c r="F164" i="19" s="1"/>
  <c r="F165" i="19" s="1"/>
  <c r="F166" i="19" s="1"/>
  <c r="F167" i="19" s="1"/>
  <c r="F168" i="19" s="1"/>
  <c r="F169" i="19" s="1"/>
  <c r="F170" i="19" s="1"/>
  <c r="F171" i="19" s="1"/>
  <c r="F172" i="19" s="1"/>
  <c r="F173" i="19" s="1"/>
  <c r="F174" i="19" s="1"/>
  <c r="F175" i="19" s="1"/>
  <c r="F176" i="19" s="1"/>
  <c r="F177" i="19" s="1"/>
  <c r="F178" i="19" s="1"/>
  <c r="F179" i="19" s="1"/>
  <c r="F180" i="19" s="1"/>
  <c r="F181" i="19" s="1"/>
  <c r="F182" i="19" s="1"/>
  <c r="F183" i="19" s="1"/>
  <c r="F184" i="19" s="1"/>
  <c r="F185" i="19" s="1"/>
  <c r="F186" i="19" s="1"/>
  <c r="F187" i="19" s="1"/>
  <c r="F188" i="19" s="1"/>
  <c r="F189" i="19" s="1"/>
  <c r="F190" i="19" s="1"/>
  <c r="F191" i="19" s="1"/>
  <c r="F192" i="19" s="1"/>
  <c r="F193" i="19" s="1"/>
  <c r="F194" i="19" s="1"/>
  <c r="F195" i="19" s="1"/>
  <c r="F196" i="19" s="1"/>
  <c r="F197" i="19" s="1"/>
  <c r="F198" i="19" s="1"/>
  <c r="F199" i="19" s="1"/>
  <c r="F200" i="19" s="1"/>
  <c r="F201" i="19" s="1"/>
  <c r="F202" i="19" s="1"/>
  <c r="F203" i="19" s="1"/>
  <c r="F204" i="19" s="1"/>
  <c r="F205" i="19" s="1"/>
  <c r="F206" i="19" s="1"/>
  <c r="F207" i="19" s="1"/>
  <c r="F208" i="19" s="1"/>
  <c r="F209" i="19" s="1"/>
  <c r="F210" i="19" s="1"/>
  <c r="F211" i="19" s="1"/>
  <c r="F212" i="19" s="1"/>
  <c r="F213" i="19" s="1"/>
  <c r="F214" i="19" s="1"/>
  <c r="F215" i="19" s="1"/>
  <c r="F216" i="19" s="1"/>
  <c r="F217" i="19" s="1"/>
  <c r="F218" i="19" s="1"/>
  <c r="F219" i="19" s="1"/>
  <c r="F220" i="19" s="1"/>
  <c r="F221" i="19" s="1"/>
  <c r="F222" i="19" s="1"/>
  <c r="F223" i="19" s="1"/>
  <c r="F224" i="19" s="1"/>
  <c r="F225" i="19" s="1"/>
  <c r="F226" i="19" s="1"/>
  <c r="F227" i="19" s="1"/>
  <c r="F228" i="19" s="1"/>
  <c r="F229" i="19" s="1"/>
  <c r="F230" i="19" s="1"/>
  <c r="F231" i="19" s="1"/>
  <c r="F232" i="19" s="1"/>
  <c r="F233" i="19" s="1"/>
  <c r="F234" i="19" s="1"/>
  <c r="F235" i="19" s="1"/>
  <c r="F236" i="19" s="1"/>
  <c r="F237" i="19" s="1"/>
  <c r="F238" i="19" s="1"/>
  <c r="F239" i="19" s="1"/>
  <c r="F240" i="19" s="1"/>
  <c r="F241" i="19" s="1"/>
  <c r="F242" i="19" s="1"/>
  <c r="F243" i="19" s="1"/>
  <c r="F244" i="19" s="1"/>
  <c r="F245" i="19" s="1"/>
  <c r="F246" i="19" s="1"/>
  <c r="F247" i="19" s="1"/>
  <c r="F248" i="19" s="1"/>
  <c r="F249" i="19" s="1"/>
  <c r="F250" i="19" s="1"/>
  <c r="F251" i="19" s="1"/>
  <c r="F252" i="19" s="1"/>
  <c r="F253" i="19" s="1"/>
  <c r="F254" i="19" s="1"/>
  <c r="F255" i="19" s="1"/>
  <c r="F256" i="19" s="1"/>
  <c r="F257" i="19" s="1"/>
  <c r="F258" i="19" s="1"/>
  <c r="F259" i="19" s="1"/>
  <c r="F260" i="19" s="1"/>
  <c r="F261" i="19" s="1"/>
  <c r="F262" i="19" s="1"/>
  <c r="F263" i="19" s="1"/>
  <c r="F264" i="19" s="1"/>
  <c r="F265" i="19" s="1"/>
  <c r="F266" i="19" s="1"/>
  <c r="F267" i="19" s="1"/>
  <c r="F268" i="19" s="1"/>
  <c r="F269" i="19" s="1"/>
  <c r="F270" i="19" s="1"/>
  <c r="F271" i="19" s="1"/>
  <c r="F272" i="19" s="1"/>
  <c r="F273" i="19" s="1"/>
  <c r="F274" i="19" s="1"/>
  <c r="F275" i="19" s="1"/>
  <c r="F276" i="19" s="1"/>
  <c r="F277" i="19" s="1"/>
  <c r="F278" i="19" s="1"/>
  <c r="F279" i="19" s="1"/>
  <c r="F280" i="19" s="1"/>
  <c r="F281" i="19" s="1"/>
  <c r="F282" i="19" s="1"/>
  <c r="F283" i="19" s="1"/>
  <c r="F284" i="19" s="1"/>
  <c r="F285" i="19" s="1"/>
  <c r="F286" i="19" s="1"/>
  <c r="F287" i="19" s="1"/>
  <c r="F288" i="19" s="1"/>
  <c r="F289" i="19" s="1"/>
  <c r="F290" i="19" s="1"/>
  <c r="F291" i="19" s="1"/>
  <c r="F292" i="19" s="1"/>
  <c r="F293" i="19" s="1"/>
  <c r="F294" i="19" s="1"/>
  <c r="F295" i="19" s="1"/>
  <c r="F296" i="19" s="1"/>
  <c r="F297" i="19" s="1"/>
  <c r="F298" i="19" s="1"/>
  <c r="F299" i="19" s="1"/>
  <c r="F300" i="19" s="1"/>
  <c r="F301" i="19" s="1"/>
  <c r="F302" i="19" s="1"/>
  <c r="F303" i="19" s="1"/>
  <c r="F304" i="19" s="1"/>
  <c r="F305" i="19" s="1"/>
  <c r="F306" i="19" s="1"/>
  <c r="F307" i="19" s="1"/>
  <c r="F308" i="19" s="1"/>
  <c r="F309" i="19" s="1"/>
  <c r="F310" i="19" s="1"/>
  <c r="F311" i="19" s="1"/>
  <c r="F312" i="19" s="1"/>
  <c r="F313" i="19" s="1"/>
  <c r="F314" i="19" s="1"/>
  <c r="F315" i="19" s="1"/>
  <c r="F316" i="19" s="1"/>
  <c r="F317" i="19" s="1"/>
  <c r="F318" i="19" s="1"/>
  <c r="F319" i="19" s="1"/>
  <c r="F320" i="19" s="1"/>
  <c r="F321" i="19" s="1"/>
  <c r="F322" i="19" s="1"/>
  <c r="F323" i="19" s="1"/>
  <c r="F324" i="19" s="1"/>
  <c r="F325" i="19" s="1"/>
  <c r="F326" i="19" s="1"/>
  <c r="F327" i="19" s="1"/>
  <c r="F328" i="19" s="1"/>
  <c r="F329" i="19" s="1"/>
  <c r="F330" i="19" s="1"/>
  <c r="F331" i="19" s="1"/>
  <c r="F332" i="19" s="1"/>
  <c r="F333" i="19" s="1"/>
  <c r="F334" i="19" s="1"/>
  <c r="F335" i="19" s="1"/>
  <c r="F336" i="19" s="1"/>
  <c r="F337" i="19" s="1"/>
  <c r="F338" i="19" s="1"/>
  <c r="F339" i="19" s="1"/>
  <c r="F340" i="19" s="1"/>
  <c r="F341" i="19" s="1"/>
  <c r="F342" i="19" s="1"/>
  <c r="F343" i="19" s="1"/>
  <c r="F344" i="19" s="1"/>
  <c r="F345" i="19" s="1"/>
  <c r="F346" i="19" s="1"/>
  <c r="F347" i="19" s="1"/>
  <c r="F348" i="19" s="1"/>
  <c r="F349" i="19" s="1"/>
  <c r="F350" i="19" s="1"/>
  <c r="F351" i="19" s="1"/>
  <c r="F352" i="19" s="1"/>
  <c r="F353" i="19" s="1"/>
  <c r="F354" i="19" s="1"/>
  <c r="F355" i="19" s="1"/>
  <c r="F356" i="19" s="1"/>
  <c r="F357" i="19" s="1"/>
  <c r="F358" i="19" s="1"/>
  <c r="F359" i="19" s="1"/>
  <c r="F360" i="19" s="1"/>
  <c r="F361" i="19" s="1"/>
  <c r="F362" i="19" s="1"/>
  <c r="F363" i="19" s="1"/>
  <c r="F364" i="19" s="1"/>
  <c r="F365" i="19" s="1"/>
  <c r="F366" i="19" s="1"/>
  <c r="F367" i="19" s="1"/>
  <c r="F368" i="19" s="1"/>
  <c r="F369" i="19" s="1"/>
  <c r="F370" i="19" s="1"/>
  <c r="F371" i="19" s="1"/>
  <c r="F372" i="19" s="1"/>
  <c r="F373" i="19" s="1"/>
  <c r="F374" i="19" s="1"/>
  <c r="F375" i="19" s="1"/>
  <c r="F376" i="19" s="1"/>
  <c r="F377" i="19" s="1"/>
  <c r="F378" i="19" s="1"/>
  <c r="F379" i="19" s="1"/>
  <c r="F380" i="19" s="1"/>
  <c r="F381" i="19" s="1"/>
  <c r="F382" i="19" s="1"/>
  <c r="F383" i="19" s="1"/>
  <c r="F384" i="19" s="1"/>
  <c r="F385" i="19" s="1"/>
  <c r="S17" i="19"/>
  <c r="S21" i="19"/>
  <c r="S25" i="19"/>
  <c r="T98" i="19"/>
  <c r="T117" i="19"/>
  <c r="S77" i="19"/>
  <c r="T17" i="19"/>
  <c r="E17" i="19" s="1"/>
  <c r="H17" i="19" s="1"/>
  <c r="T21" i="19"/>
  <c r="T25" i="19"/>
  <c r="S26" i="19"/>
  <c r="S27" i="19"/>
  <c r="T28" i="19"/>
  <c r="S29" i="19"/>
  <c r="S31" i="19"/>
  <c r="S37" i="19"/>
  <c r="S41" i="19"/>
  <c r="S45" i="19"/>
  <c r="S49" i="19"/>
  <c r="S53" i="19"/>
  <c r="S81" i="19"/>
  <c r="S82" i="19"/>
  <c r="T83" i="19"/>
  <c r="S97" i="19"/>
  <c r="S112" i="19"/>
  <c r="B140" i="19"/>
  <c r="I17" i="19" l="1"/>
  <c r="J17" i="19" s="1"/>
  <c r="B141" i="19"/>
  <c r="R140" i="19"/>
  <c r="C20" i="19"/>
  <c r="L19" i="19"/>
  <c r="O17" i="19" l="1"/>
  <c r="D18" i="19" s="1"/>
  <c r="K17" i="19"/>
  <c r="M17" i="19" s="1"/>
  <c r="B142" i="19"/>
  <c r="R141" i="19"/>
  <c r="T141" i="19" s="1"/>
  <c r="T140" i="19"/>
  <c r="S140" i="19"/>
  <c r="C21" i="19"/>
  <c r="L20" i="19"/>
  <c r="G18" i="19" l="1"/>
  <c r="E18" i="19"/>
  <c r="R142" i="19"/>
  <c r="B143" i="19"/>
  <c r="S141" i="19"/>
  <c r="L21" i="19"/>
  <c r="C22" i="19"/>
  <c r="H18" i="19" l="1"/>
  <c r="I18" i="19" s="1"/>
  <c r="J18" i="19"/>
  <c r="L22" i="19"/>
  <c r="C23" i="19"/>
  <c r="B144" i="19"/>
  <c r="R143" i="19"/>
  <c r="T142" i="19"/>
  <c r="S142" i="19"/>
  <c r="O18" i="19" l="1"/>
  <c r="D19" i="19" s="1"/>
  <c r="K18" i="19"/>
  <c r="M18" i="19" s="1"/>
  <c r="T143" i="19"/>
  <c r="C24" i="19"/>
  <c r="L23" i="19"/>
  <c r="S143" i="19"/>
  <c r="B145" i="19"/>
  <c r="R144" i="19"/>
  <c r="E19" i="19" l="1"/>
  <c r="G19" i="19"/>
  <c r="H19" i="19" s="1"/>
  <c r="T144" i="19"/>
  <c r="C25" i="19"/>
  <c r="L24" i="19"/>
  <c r="B146" i="19"/>
  <c r="R145" i="19"/>
  <c r="S144" i="19"/>
  <c r="I19" i="19" l="1"/>
  <c r="J19" i="19" s="1"/>
  <c r="K19" i="19" s="1"/>
  <c r="M19" i="19" s="1"/>
  <c r="B147" i="19"/>
  <c r="R146" i="19"/>
  <c r="L25" i="19"/>
  <c r="C26" i="19"/>
  <c r="T145" i="19"/>
  <c r="S145" i="19"/>
  <c r="O19" i="19" l="1"/>
  <c r="D20" i="19" s="1"/>
  <c r="T146" i="19"/>
  <c r="S146" i="19"/>
  <c r="R147" i="19"/>
  <c r="B148" i="19"/>
  <c r="L26" i="19"/>
  <c r="C27" i="19"/>
  <c r="E20" i="19" l="1"/>
  <c r="G20" i="19"/>
  <c r="H20" i="19" s="1"/>
  <c r="I20" i="19" s="1"/>
  <c r="J20" i="19" s="1"/>
  <c r="K20" i="19" s="1"/>
  <c r="M20" i="19" s="1"/>
  <c r="B149" i="19"/>
  <c r="R148" i="19"/>
  <c r="T147" i="19"/>
  <c r="S147" i="19"/>
  <c r="C28" i="19"/>
  <c r="L27" i="19"/>
  <c r="O20" i="19" l="1"/>
  <c r="D21" i="19" s="1"/>
  <c r="C29" i="19"/>
  <c r="L28" i="19"/>
  <c r="T148" i="19"/>
  <c r="S148" i="19"/>
  <c r="R149" i="19"/>
  <c r="B150" i="19"/>
  <c r="G21" i="19" l="1"/>
  <c r="E21" i="19"/>
  <c r="N25" i="19"/>
  <c r="N27" i="19"/>
  <c r="R150" i="19"/>
  <c r="B151" i="19"/>
  <c r="N29" i="19"/>
  <c r="L29" i="19"/>
  <c r="C30" i="19"/>
  <c r="T149" i="19"/>
  <c r="S149" i="19"/>
  <c r="N24" i="19"/>
  <c r="N28" i="19"/>
  <c r="N26" i="19"/>
  <c r="H21" i="19" l="1"/>
  <c r="I21" i="19" s="1"/>
  <c r="T150" i="19"/>
  <c r="S150" i="19"/>
  <c r="N30" i="19"/>
  <c r="L30" i="19"/>
  <c r="C31" i="19"/>
  <c r="B152" i="19"/>
  <c r="R151" i="19"/>
  <c r="J21" i="19" l="1"/>
  <c r="K21" i="19" s="1"/>
  <c r="M21" i="19" s="1"/>
  <c r="C32" i="19"/>
  <c r="L31" i="19"/>
  <c r="N31" i="19"/>
  <c r="T151" i="19"/>
  <c r="S151" i="19"/>
  <c r="B153" i="19"/>
  <c r="R152" i="19"/>
  <c r="O21" i="19" l="1"/>
  <c r="D22" i="19" s="1"/>
  <c r="T152" i="19"/>
  <c r="S152" i="19"/>
  <c r="R153" i="19"/>
  <c r="B154" i="19"/>
  <c r="L32" i="19"/>
  <c r="C33" i="19"/>
  <c r="N32" i="19"/>
  <c r="E22" i="19" l="1"/>
  <c r="G22" i="19"/>
  <c r="H22" i="19" s="1"/>
  <c r="I22" i="19" s="1"/>
  <c r="J22" i="19" s="1"/>
  <c r="K22" i="19" s="1"/>
  <c r="M22" i="19" s="1"/>
  <c r="N33" i="19"/>
  <c r="L33" i="19"/>
  <c r="C34" i="19"/>
  <c r="B155" i="19"/>
  <c r="R154" i="19"/>
  <c r="T153" i="19"/>
  <c r="S153" i="19"/>
  <c r="O22" i="19" l="1"/>
  <c r="D23" i="19" s="1"/>
  <c r="E23" i="19" s="1"/>
  <c r="G23" i="19"/>
  <c r="R155" i="19"/>
  <c r="B156" i="19"/>
  <c r="L34" i="19"/>
  <c r="N34" i="19"/>
  <c r="C35" i="19"/>
  <c r="T154" i="19"/>
  <c r="S154" i="19"/>
  <c r="H23" i="19" l="1"/>
  <c r="I23" i="19" s="1"/>
  <c r="J23" i="19" s="1"/>
  <c r="K23" i="19" s="1"/>
  <c r="M23" i="19" s="1"/>
  <c r="N35" i="19" s="1"/>
  <c r="C36" i="19"/>
  <c r="L35" i="19"/>
  <c r="B157" i="19"/>
  <c r="R156" i="19"/>
  <c r="T155" i="19"/>
  <c r="S155" i="19"/>
  <c r="O23" i="19" l="1"/>
  <c r="D24" i="19" s="1"/>
  <c r="E24" i="19" s="1"/>
  <c r="L36" i="19"/>
  <c r="C37" i="19"/>
  <c r="T156" i="19"/>
  <c r="S156" i="19"/>
  <c r="R157" i="19"/>
  <c r="B158" i="19"/>
  <c r="G24" i="19" l="1"/>
  <c r="H24" i="19" s="1"/>
  <c r="I24" i="19" s="1"/>
  <c r="B159" i="19"/>
  <c r="R158" i="19"/>
  <c r="T157" i="19"/>
  <c r="S157" i="19"/>
  <c r="L37" i="19"/>
  <c r="C38" i="19"/>
  <c r="P24" i="19" l="1"/>
  <c r="Q24" i="19" s="1"/>
  <c r="J24" i="19"/>
  <c r="K24" i="19" s="1"/>
  <c r="M24" i="19" s="1"/>
  <c r="N36" i="19" s="1"/>
  <c r="T158" i="19"/>
  <c r="S158" i="19"/>
  <c r="R159" i="19"/>
  <c r="B160" i="19"/>
  <c r="L38" i="19"/>
  <c r="C39" i="19"/>
  <c r="O24" i="19" l="1"/>
  <c r="D25" i="19" s="1"/>
  <c r="G25" i="19"/>
  <c r="E25" i="19"/>
  <c r="B161" i="19"/>
  <c r="R160" i="19"/>
  <c r="C40" i="19"/>
  <c r="L39" i="19"/>
  <c r="T159" i="19"/>
  <c r="S159" i="19"/>
  <c r="H25" i="19" l="1"/>
  <c r="I25" i="19" s="1"/>
  <c r="J25" i="19" s="1"/>
  <c r="K25" i="19" s="1"/>
  <c r="M25" i="19" s="1"/>
  <c r="N37" i="19" s="1"/>
  <c r="T160" i="19"/>
  <c r="S160" i="19"/>
  <c r="L40" i="19"/>
  <c r="C41" i="19"/>
  <c r="R161" i="19"/>
  <c r="B162" i="19"/>
  <c r="P25" i="19" l="1"/>
  <c r="Q25" i="19" s="1"/>
  <c r="O25" i="19"/>
  <c r="D26" i="19" s="1"/>
  <c r="E26" i="19" s="1"/>
  <c r="B163" i="19"/>
  <c r="R162" i="19"/>
  <c r="T161" i="19"/>
  <c r="S161" i="19"/>
  <c r="L41" i="19"/>
  <c r="C42" i="19"/>
  <c r="G26" i="19" l="1"/>
  <c r="H26" i="19" s="1"/>
  <c r="I26" i="19" s="1"/>
  <c r="P26" i="19" s="1"/>
  <c r="Q26" i="19" s="1"/>
  <c r="N17" i="19"/>
  <c r="P17" i="19" s="1"/>
  <c r="Q17" i="19" s="1"/>
  <c r="N20" i="19"/>
  <c r="P20" i="19" s="1"/>
  <c r="Q20" i="19" s="1"/>
  <c r="N19" i="19"/>
  <c r="P19" i="19" s="1"/>
  <c r="Q19" i="19" s="1"/>
  <c r="N21" i="19"/>
  <c r="P21" i="19" s="1"/>
  <c r="Q21" i="19" s="1"/>
  <c r="N23" i="19"/>
  <c r="P23" i="19" s="1"/>
  <c r="Q23" i="19" s="1"/>
  <c r="N22" i="19"/>
  <c r="P22" i="19" s="1"/>
  <c r="Q22" i="19" s="1"/>
  <c r="T162" i="19"/>
  <c r="S162" i="19"/>
  <c r="R163" i="19"/>
  <c r="B164" i="19"/>
  <c r="L42" i="19"/>
  <c r="C43" i="19"/>
  <c r="J26" i="19" l="1"/>
  <c r="K26" i="19" s="1"/>
  <c r="M26" i="19" s="1"/>
  <c r="N38" i="19" s="1"/>
  <c r="C44" i="19"/>
  <c r="L43" i="19"/>
  <c r="T163" i="19"/>
  <c r="S163" i="19"/>
  <c r="B165" i="19"/>
  <c r="R164" i="19"/>
  <c r="O26" i="19" l="1"/>
  <c r="D27" i="19" s="1"/>
  <c r="L44" i="19"/>
  <c r="C45" i="19"/>
  <c r="R165" i="19"/>
  <c r="B166" i="19"/>
  <c r="T164" i="19"/>
  <c r="S164" i="19"/>
  <c r="G27" i="19" l="1"/>
  <c r="E27" i="19"/>
  <c r="R166" i="19"/>
  <c r="B167" i="19"/>
  <c r="L45" i="19"/>
  <c r="C46" i="19"/>
  <c r="T165" i="19"/>
  <c r="S165" i="19"/>
  <c r="H27" i="19" l="1"/>
  <c r="I27" i="19" s="1"/>
  <c r="J27" i="19" s="1"/>
  <c r="K27" i="19" s="1"/>
  <c r="M27" i="19" s="1"/>
  <c r="N39" i="19" s="1"/>
  <c r="B168" i="19"/>
  <c r="R167" i="19"/>
  <c r="T166" i="19"/>
  <c r="S166" i="19"/>
  <c r="L46" i="19"/>
  <c r="C47" i="19"/>
  <c r="P27" i="19" l="1"/>
  <c r="Q27" i="19" s="1"/>
  <c r="O27" i="19"/>
  <c r="D28" i="19" s="1"/>
  <c r="T167" i="19"/>
  <c r="S167" i="19"/>
  <c r="C48" i="19"/>
  <c r="L47" i="19"/>
  <c r="B169" i="19"/>
  <c r="R168" i="19"/>
  <c r="G28" i="19" l="1"/>
  <c r="E28" i="19"/>
  <c r="T168" i="19"/>
  <c r="S168" i="19"/>
  <c r="R169" i="19"/>
  <c r="B170" i="19"/>
  <c r="L48" i="19"/>
  <c r="C49" i="19"/>
  <c r="H28" i="19" l="1"/>
  <c r="I28" i="19" s="1"/>
  <c r="J28" i="19" s="1"/>
  <c r="K28" i="19" s="1"/>
  <c r="M28" i="19" s="1"/>
  <c r="N40" i="19" s="1"/>
  <c r="B171" i="19"/>
  <c r="R170" i="19"/>
  <c r="T169" i="19"/>
  <c r="S169" i="19"/>
  <c r="L49" i="19"/>
  <c r="C50" i="19"/>
  <c r="O28" i="19" l="1"/>
  <c r="D29" i="19" s="1"/>
  <c r="P28" i="19"/>
  <c r="Q28" i="19" s="1"/>
  <c r="L50" i="19"/>
  <c r="C51" i="19"/>
  <c r="T170" i="19"/>
  <c r="S170" i="19"/>
  <c r="R171" i="19"/>
  <c r="B172" i="19"/>
  <c r="G29" i="19" l="1"/>
  <c r="E29" i="19"/>
  <c r="T171" i="19"/>
  <c r="S171" i="19"/>
  <c r="C52" i="19"/>
  <c r="L51" i="19"/>
  <c r="B173" i="19"/>
  <c r="R172" i="19"/>
  <c r="H29" i="19" l="1"/>
  <c r="R173" i="19"/>
  <c r="B174" i="19"/>
  <c r="L52" i="19"/>
  <c r="C53" i="19"/>
  <c r="T172" i="19"/>
  <c r="S172" i="19"/>
  <c r="I29" i="19" l="1"/>
  <c r="P29" i="19" s="1"/>
  <c r="Q29" i="19" s="1"/>
  <c r="J29" i="19"/>
  <c r="K29" i="19" s="1"/>
  <c r="M29" i="19" s="1"/>
  <c r="N41" i="19" s="1"/>
  <c r="L53" i="19"/>
  <c r="C54" i="19"/>
  <c r="B175" i="19"/>
  <c r="R174" i="19"/>
  <c r="T173" i="19"/>
  <c r="S173" i="19"/>
  <c r="O29" i="19" l="1"/>
  <c r="D30" i="19" s="1"/>
  <c r="R175" i="19"/>
  <c r="B176" i="19"/>
  <c r="L54" i="19"/>
  <c r="C55" i="19"/>
  <c r="T174" i="19"/>
  <c r="S174" i="19"/>
  <c r="G30" i="19" l="1"/>
  <c r="E30" i="19"/>
  <c r="B177" i="19"/>
  <c r="R176" i="19"/>
  <c r="C56" i="19"/>
  <c r="L55" i="19"/>
  <c r="T175" i="19"/>
  <c r="S175" i="19"/>
  <c r="H30" i="19" l="1"/>
  <c r="R177" i="19"/>
  <c r="B178" i="19"/>
  <c r="L56" i="19"/>
  <c r="C57" i="19"/>
  <c r="T176" i="19"/>
  <c r="S176" i="19"/>
  <c r="I30" i="19" l="1"/>
  <c r="P30" i="19" s="1"/>
  <c r="Q30" i="19" s="1"/>
  <c r="L57" i="19"/>
  <c r="C58" i="19"/>
  <c r="B179" i="19"/>
  <c r="R178" i="19"/>
  <c r="T177" i="19"/>
  <c r="S177" i="19"/>
  <c r="J30" i="19" l="1"/>
  <c r="K30" i="19" s="1"/>
  <c r="M30" i="19" s="1"/>
  <c r="N42" i="19" s="1"/>
  <c r="C59" i="19"/>
  <c r="L58" i="19"/>
  <c r="T178" i="19"/>
  <c r="S178" i="19"/>
  <c r="B180" i="19"/>
  <c r="R179" i="19"/>
  <c r="O30" i="19" l="1"/>
  <c r="D31" i="19" s="1"/>
  <c r="E31" i="19" s="1"/>
  <c r="T179" i="19"/>
  <c r="S179" i="19"/>
  <c r="C60" i="19"/>
  <c r="L59" i="19"/>
  <c r="R180" i="19"/>
  <c r="B181" i="19"/>
  <c r="G31" i="19" l="1"/>
  <c r="H31" i="19" s="1"/>
  <c r="I31" i="19" s="1"/>
  <c r="J31" i="19" s="1"/>
  <c r="K31" i="19" s="1"/>
  <c r="M31" i="19" s="1"/>
  <c r="N43" i="19" s="1"/>
  <c r="L60" i="19"/>
  <c r="C61" i="19"/>
  <c r="B182" i="19"/>
  <c r="R181" i="19"/>
  <c r="T180" i="19"/>
  <c r="S180" i="19"/>
  <c r="P31" i="19" l="1"/>
  <c r="Q31" i="19" s="1"/>
  <c r="O31" i="19"/>
  <c r="D32" i="19" s="1"/>
  <c r="L61" i="19"/>
  <c r="C62" i="19"/>
  <c r="R182" i="19"/>
  <c r="B183" i="19"/>
  <c r="T181" i="19"/>
  <c r="S181" i="19"/>
  <c r="G32" i="19" l="1"/>
  <c r="E32" i="19"/>
  <c r="T182" i="19"/>
  <c r="S182" i="19"/>
  <c r="C63" i="19"/>
  <c r="L62" i="19"/>
  <c r="B184" i="19"/>
  <c r="R183" i="19"/>
  <c r="H32" i="19" l="1"/>
  <c r="I32" i="19" s="1"/>
  <c r="P32" i="19" s="1"/>
  <c r="Q32" i="19" s="1"/>
  <c r="J32" i="19"/>
  <c r="K32" i="19" s="1"/>
  <c r="M32" i="19" s="1"/>
  <c r="N44" i="19" s="1"/>
  <c r="T183" i="19"/>
  <c r="S183" i="19"/>
  <c r="B185" i="19"/>
  <c r="R184" i="19"/>
  <c r="C64" i="19"/>
  <c r="L63" i="19"/>
  <c r="O32" i="19" l="1"/>
  <c r="D33" i="19" s="1"/>
  <c r="L64" i="19"/>
  <c r="C65" i="19"/>
  <c r="R185" i="19"/>
  <c r="B186" i="19"/>
  <c r="T184" i="19"/>
  <c r="S184" i="19"/>
  <c r="G33" i="19" l="1"/>
  <c r="E33" i="19"/>
  <c r="T185" i="19"/>
  <c r="S185" i="19"/>
  <c r="B187" i="19"/>
  <c r="R186" i="19"/>
  <c r="L65" i="19"/>
  <c r="C66" i="19"/>
  <c r="H33" i="19" l="1"/>
  <c r="I33" i="19" s="1"/>
  <c r="J33" i="19" s="1"/>
  <c r="K33" i="19" s="1"/>
  <c r="M33" i="19" s="1"/>
  <c r="N45" i="19" s="1"/>
  <c r="T186" i="19"/>
  <c r="S186" i="19"/>
  <c r="B188" i="19"/>
  <c r="R187" i="19"/>
  <c r="C67" i="19"/>
  <c r="L66" i="19"/>
  <c r="O33" i="19" l="1"/>
  <c r="D34" i="19" s="1"/>
  <c r="E34" i="19" s="1"/>
  <c r="P33" i="19"/>
  <c r="Q33" i="19" s="1"/>
  <c r="R188" i="19"/>
  <c r="B189" i="19"/>
  <c r="T187" i="19"/>
  <c r="S187" i="19"/>
  <c r="C68" i="19"/>
  <c r="L67" i="19"/>
  <c r="G34" i="19" l="1"/>
  <c r="H34" i="19" s="1"/>
  <c r="I34" i="19" s="1"/>
  <c r="B190" i="19"/>
  <c r="R189" i="19"/>
  <c r="L68" i="19"/>
  <c r="C69" i="19"/>
  <c r="T188" i="19"/>
  <c r="S188" i="19"/>
  <c r="J34" i="19" l="1"/>
  <c r="K34" i="19" s="1"/>
  <c r="M34" i="19" s="1"/>
  <c r="N46" i="19" s="1"/>
  <c r="P34" i="19"/>
  <c r="Q34" i="19" s="1"/>
  <c r="R190" i="19"/>
  <c r="B191" i="19"/>
  <c r="L69" i="19"/>
  <c r="C70" i="19"/>
  <c r="T189" i="19"/>
  <c r="S189" i="19"/>
  <c r="O34" i="19" l="1"/>
  <c r="D35" i="19" s="1"/>
  <c r="C71" i="19"/>
  <c r="L70" i="19"/>
  <c r="R191" i="19"/>
  <c r="B192" i="19"/>
  <c r="T190" i="19"/>
  <c r="S190" i="19"/>
  <c r="E35" i="19" l="1"/>
  <c r="G35" i="19"/>
  <c r="H35" i="19" s="1"/>
  <c r="C72" i="19"/>
  <c r="L71" i="19"/>
  <c r="T191" i="19"/>
  <c r="S191" i="19"/>
  <c r="B193" i="19"/>
  <c r="R192" i="19"/>
  <c r="I35" i="19" l="1"/>
  <c r="R193" i="19"/>
  <c r="B194" i="19"/>
  <c r="L72" i="19"/>
  <c r="C73" i="19"/>
  <c r="T192" i="19"/>
  <c r="S192" i="19"/>
  <c r="J35" i="19" l="1"/>
  <c r="K35" i="19" s="1"/>
  <c r="M35" i="19" s="1"/>
  <c r="N47" i="19" s="1"/>
  <c r="P35" i="19"/>
  <c r="Q35" i="19" s="1"/>
  <c r="L73" i="19"/>
  <c r="C74" i="19"/>
  <c r="B195" i="19"/>
  <c r="R194" i="19"/>
  <c r="T193" i="19"/>
  <c r="S193" i="19"/>
  <c r="O35" i="19" l="1"/>
  <c r="D36" i="19" s="1"/>
  <c r="C75" i="19"/>
  <c r="L74" i="19"/>
  <c r="T194" i="19"/>
  <c r="S194" i="19"/>
  <c r="B196" i="19"/>
  <c r="R195" i="19"/>
  <c r="E36" i="19" l="1"/>
  <c r="G36" i="19"/>
  <c r="H36" i="19" s="1"/>
  <c r="I36" i="19" s="1"/>
  <c r="C76" i="19"/>
  <c r="L75" i="19"/>
  <c r="T195" i="19"/>
  <c r="S195" i="19"/>
  <c r="R196" i="19"/>
  <c r="B197" i="19"/>
  <c r="P36" i="19" l="1"/>
  <c r="Q36" i="19" s="1"/>
  <c r="J36" i="19"/>
  <c r="K36" i="19" s="1"/>
  <c r="M36" i="19" s="1"/>
  <c r="N48" i="19" s="1"/>
  <c r="B198" i="19"/>
  <c r="R197" i="19"/>
  <c r="L76" i="19"/>
  <c r="C77" i="19"/>
  <c r="T196" i="19"/>
  <c r="S196" i="19"/>
  <c r="O36" i="19" l="1"/>
  <c r="D37" i="19" s="1"/>
  <c r="E37" i="19" s="1"/>
  <c r="G37" i="19"/>
  <c r="R198" i="19"/>
  <c r="B199" i="19"/>
  <c r="T197" i="19"/>
  <c r="S197" i="19"/>
  <c r="L77" i="19"/>
  <c r="C78" i="19"/>
  <c r="H37" i="19" l="1"/>
  <c r="I37" i="19" s="1"/>
  <c r="B200" i="19"/>
  <c r="R199" i="19"/>
  <c r="C79" i="19"/>
  <c r="L78" i="19"/>
  <c r="T198" i="19"/>
  <c r="S198" i="19"/>
  <c r="P37" i="19" l="1"/>
  <c r="Q37" i="19" s="1"/>
  <c r="J37" i="19"/>
  <c r="K37" i="19" s="1"/>
  <c r="M37" i="19" s="1"/>
  <c r="N49" i="19" s="1"/>
  <c r="C80" i="19"/>
  <c r="L79" i="19"/>
  <c r="R200" i="19"/>
  <c r="B201" i="19"/>
  <c r="T199" i="19"/>
  <c r="S199" i="19"/>
  <c r="O37" i="19" l="1"/>
  <c r="D38" i="19" s="1"/>
  <c r="L80" i="19"/>
  <c r="C81" i="19"/>
  <c r="B202" i="19"/>
  <c r="R201" i="19"/>
  <c r="T200" i="19"/>
  <c r="S200" i="19"/>
  <c r="E38" i="19" l="1"/>
  <c r="G38" i="19"/>
  <c r="B203" i="19"/>
  <c r="R202" i="19"/>
  <c r="L81" i="19"/>
  <c r="C82" i="19"/>
  <c r="T201" i="19"/>
  <c r="S201" i="19"/>
  <c r="H38" i="19" l="1"/>
  <c r="I38" i="19"/>
  <c r="J38" i="19" s="1"/>
  <c r="K38" i="19" s="1"/>
  <c r="M38" i="19" s="1"/>
  <c r="N50" i="19" s="1"/>
  <c r="C83" i="19"/>
  <c r="L82" i="19"/>
  <c r="T202" i="19"/>
  <c r="S202" i="19"/>
  <c r="R203" i="19"/>
  <c r="B204" i="19"/>
  <c r="P38" i="19" l="1"/>
  <c r="Q38" i="19" s="1"/>
  <c r="O38" i="19"/>
  <c r="D39" i="19" s="1"/>
  <c r="B205" i="19"/>
  <c r="R204" i="19"/>
  <c r="T203" i="19"/>
  <c r="S203" i="19"/>
  <c r="C84" i="19"/>
  <c r="L83" i="19"/>
  <c r="G39" i="19" l="1"/>
  <c r="E39" i="19"/>
  <c r="T204" i="19"/>
  <c r="S204" i="19"/>
  <c r="B206" i="19"/>
  <c r="R205" i="19"/>
  <c r="L84" i="19"/>
  <c r="C85" i="19"/>
  <c r="H39" i="19" l="1"/>
  <c r="I39" i="19" s="1"/>
  <c r="L85" i="19"/>
  <c r="C86" i="19"/>
  <c r="T205" i="19"/>
  <c r="S205" i="19"/>
  <c r="R206" i="19"/>
  <c r="B207" i="19"/>
  <c r="J39" i="19" l="1"/>
  <c r="K39" i="19" s="1"/>
  <c r="M39" i="19" s="1"/>
  <c r="N51" i="19" s="1"/>
  <c r="P39" i="19"/>
  <c r="Q39" i="19" s="1"/>
  <c r="C87" i="19"/>
  <c r="L86" i="19"/>
  <c r="B208" i="19"/>
  <c r="R207" i="19"/>
  <c r="T206" i="19"/>
  <c r="S206" i="19"/>
  <c r="O39" i="19" l="1"/>
  <c r="D40" i="19" s="1"/>
  <c r="T207" i="19"/>
  <c r="S207" i="19"/>
  <c r="C88" i="19"/>
  <c r="L87" i="19"/>
  <c r="R208" i="19"/>
  <c r="B209" i="19"/>
  <c r="G40" i="19" l="1"/>
  <c r="E40" i="19"/>
  <c r="T208" i="19"/>
  <c r="S208" i="19"/>
  <c r="L88" i="19"/>
  <c r="C89" i="19"/>
  <c r="R209" i="19"/>
  <c r="B210" i="19"/>
  <c r="H40" i="19" l="1"/>
  <c r="B211" i="19"/>
  <c r="R210" i="19"/>
  <c r="T209" i="19"/>
  <c r="S209" i="19"/>
  <c r="L89" i="19"/>
  <c r="C90" i="19"/>
  <c r="I40" i="19" l="1"/>
  <c r="P40" i="19" s="1"/>
  <c r="Q40" i="19" s="1"/>
  <c r="T210" i="19"/>
  <c r="S210" i="19"/>
  <c r="C91" i="19"/>
  <c r="L90" i="19"/>
  <c r="R211" i="19"/>
  <c r="B212" i="19"/>
  <c r="J40" i="19" l="1"/>
  <c r="K40" i="19" s="1"/>
  <c r="M40" i="19" s="1"/>
  <c r="N52" i="19" s="1"/>
  <c r="B213" i="19"/>
  <c r="R212" i="19"/>
  <c r="T211" i="19"/>
  <c r="S211" i="19"/>
  <c r="C92" i="19"/>
  <c r="L91" i="19"/>
  <c r="O40" i="19" l="1"/>
  <c r="D41" i="19" s="1"/>
  <c r="G41" i="19"/>
  <c r="E41" i="19"/>
  <c r="L92" i="19"/>
  <c r="C93" i="19"/>
  <c r="B214" i="19"/>
  <c r="R213" i="19"/>
  <c r="T212" i="19"/>
  <c r="S212" i="19"/>
  <c r="H41" i="19" l="1"/>
  <c r="T213" i="19"/>
  <c r="S213" i="19"/>
  <c r="R214" i="19"/>
  <c r="B215" i="19"/>
  <c r="L93" i="19"/>
  <c r="C94" i="19"/>
  <c r="I41" i="19" l="1"/>
  <c r="P41" i="19" s="1"/>
  <c r="Q41" i="19" s="1"/>
  <c r="J41" i="19"/>
  <c r="K41" i="19" s="1"/>
  <c r="M41" i="19" s="1"/>
  <c r="N53" i="19" s="1"/>
  <c r="C95" i="19"/>
  <c r="L94" i="19"/>
  <c r="B216" i="19"/>
  <c r="R215" i="19"/>
  <c r="T214" i="19"/>
  <c r="S214" i="19"/>
  <c r="O41" i="19" l="1"/>
  <c r="D42" i="19" s="1"/>
  <c r="R216" i="19"/>
  <c r="B217" i="19"/>
  <c r="T215" i="19"/>
  <c r="S215" i="19"/>
  <c r="C96" i="19"/>
  <c r="L95" i="19"/>
  <c r="G42" i="19" l="1"/>
  <c r="E42" i="19"/>
  <c r="B218" i="19"/>
  <c r="R217" i="19"/>
  <c r="L96" i="19"/>
  <c r="C97" i="19"/>
  <c r="T216" i="19"/>
  <c r="S216" i="19"/>
  <c r="H42" i="19" l="1"/>
  <c r="I42" i="19" s="1"/>
  <c r="J42" i="19" s="1"/>
  <c r="K42" i="19" s="1"/>
  <c r="M42" i="19" s="1"/>
  <c r="N54" i="19" s="1"/>
  <c r="L97" i="19"/>
  <c r="C98" i="19"/>
  <c r="T217" i="19"/>
  <c r="S217" i="19"/>
  <c r="B219" i="19"/>
  <c r="R218" i="19"/>
  <c r="O42" i="19" l="1"/>
  <c r="D43" i="19" s="1"/>
  <c r="P42" i="19"/>
  <c r="Q42" i="19" s="1"/>
  <c r="C99" i="19"/>
  <c r="L98" i="19"/>
  <c r="T218" i="19"/>
  <c r="S218" i="19"/>
  <c r="R219" i="19"/>
  <c r="B220" i="19"/>
  <c r="E43" i="19" l="1"/>
  <c r="G43" i="19"/>
  <c r="H43" i="19" s="1"/>
  <c r="T219" i="19"/>
  <c r="S219" i="19"/>
  <c r="B221" i="19"/>
  <c r="R220" i="19"/>
  <c r="L99" i="19"/>
  <c r="C100" i="19"/>
  <c r="I43" i="19" l="1"/>
  <c r="B222" i="19"/>
  <c r="R221" i="19"/>
  <c r="C101" i="19"/>
  <c r="L100" i="19"/>
  <c r="T220" i="19"/>
  <c r="S220" i="19"/>
  <c r="J43" i="19" l="1"/>
  <c r="K43" i="19" s="1"/>
  <c r="M43" i="19" s="1"/>
  <c r="N55" i="19" s="1"/>
  <c r="P43" i="19"/>
  <c r="Q43" i="19" s="1"/>
  <c r="T221" i="19"/>
  <c r="S221" i="19"/>
  <c r="C102" i="19"/>
  <c r="L101" i="19"/>
  <c r="R222" i="19"/>
  <c r="B223" i="19"/>
  <c r="O43" i="19" l="1"/>
  <c r="D44" i="19" s="1"/>
  <c r="T222" i="19"/>
  <c r="S222" i="19"/>
  <c r="C103" i="19"/>
  <c r="L102" i="19"/>
  <c r="B224" i="19"/>
  <c r="R223" i="19"/>
  <c r="G44" i="19" l="1"/>
  <c r="E44" i="19"/>
  <c r="T223" i="19"/>
  <c r="S223" i="19"/>
  <c r="L103" i="19"/>
  <c r="C104" i="19"/>
  <c r="R224" i="19"/>
  <c r="B225" i="19"/>
  <c r="H44" i="19" l="1"/>
  <c r="C105" i="19"/>
  <c r="L104" i="19"/>
  <c r="T224" i="19"/>
  <c r="S224" i="19"/>
  <c r="B226" i="19"/>
  <c r="R225" i="19"/>
  <c r="I44" i="19" l="1"/>
  <c r="P44" i="19" s="1"/>
  <c r="Q44" i="19" s="1"/>
  <c r="J44" i="19"/>
  <c r="K44" i="19" s="1"/>
  <c r="M44" i="19" s="1"/>
  <c r="N56" i="19" s="1"/>
  <c r="T225" i="19"/>
  <c r="S225" i="19"/>
  <c r="C106" i="19"/>
  <c r="L105" i="19"/>
  <c r="B227" i="19"/>
  <c r="R226" i="19"/>
  <c r="O44" i="19" l="1"/>
  <c r="D45" i="19" s="1"/>
  <c r="T226" i="19"/>
  <c r="S226" i="19"/>
  <c r="R227" i="19"/>
  <c r="B228" i="19"/>
  <c r="C107" i="19"/>
  <c r="L106" i="19"/>
  <c r="E45" i="19" l="1"/>
  <c r="G45" i="19"/>
  <c r="H45" i="19" s="1"/>
  <c r="B229" i="19"/>
  <c r="R228" i="19"/>
  <c r="T227" i="19"/>
  <c r="S227" i="19"/>
  <c r="L107" i="19"/>
  <c r="C108" i="19"/>
  <c r="I45" i="19" l="1"/>
  <c r="C109" i="19"/>
  <c r="L108" i="19"/>
  <c r="T228" i="19"/>
  <c r="S228" i="19"/>
  <c r="B230" i="19"/>
  <c r="R229" i="19"/>
  <c r="P45" i="19" l="1"/>
  <c r="Q45" i="19" s="1"/>
  <c r="J45" i="19"/>
  <c r="K45" i="19" s="1"/>
  <c r="M45" i="19" s="1"/>
  <c r="N57" i="19" s="1"/>
  <c r="T229" i="19"/>
  <c r="S229" i="19"/>
  <c r="C110" i="19"/>
  <c r="L109" i="19"/>
  <c r="R230" i="19"/>
  <c r="B231" i="19"/>
  <c r="O45" i="19" l="1"/>
  <c r="D46" i="19" s="1"/>
  <c r="E46" i="19" s="1"/>
  <c r="C111" i="19"/>
  <c r="L110" i="19"/>
  <c r="B232" i="19"/>
  <c r="R231" i="19"/>
  <c r="T230" i="19"/>
  <c r="S230" i="19"/>
  <c r="G46" i="19" l="1"/>
  <c r="H46" i="19" s="1"/>
  <c r="I46" i="19" s="1"/>
  <c r="P46" i="19" s="1"/>
  <c r="Q46" i="19" s="1"/>
  <c r="T231" i="19"/>
  <c r="S231" i="19"/>
  <c r="R232" i="19"/>
  <c r="B233" i="19"/>
  <c r="L111" i="19"/>
  <c r="C112" i="19"/>
  <c r="J46" i="19" l="1"/>
  <c r="K46" i="19" s="1"/>
  <c r="M46" i="19" s="1"/>
  <c r="N58" i="19" s="1"/>
  <c r="C113" i="19"/>
  <c r="L112" i="19"/>
  <c r="B234" i="19"/>
  <c r="R233" i="19"/>
  <c r="T232" i="19"/>
  <c r="S232" i="19"/>
  <c r="O46" i="19" l="1"/>
  <c r="D47" i="19" s="1"/>
  <c r="C114" i="19"/>
  <c r="L113" i="19"/>
  <c r="T233" i="19"/>
  <c r="S233" i="19"/>
  <c r="B235" i="19"/>
  <c r="R234" i="19"/>
  <c r="G47" i="19" l="1"/>
  <c r="E47" i="19"/>
  <c r="T234" i="19"/>
  <c r="S234" i="19"/>
  <c r="C115" i="19"/>
  <c r="L114" i="19"/>
  <c r="R235" i="19"/>
  <c r="B236" i="19"/>
  <c r="H47" i="19" l="1"/>
  <c r="I47" i="19"/>
  <c r="T235" i="19"/>
  <c r="S235" i="19"/>
  <c r="L115" i="19"/>
  <c r="C116" i="19"/>
  <c r="B237" i="19"/>
  <c r="R236" i="19"/>
  <c r="J47" i="19" l="1"/>
  <c r="K47" i="19" s="1"/>
  <c r="M47" i="19" s="1"/>
  <c r="N59" i="19" s="1"/>
  <c r="P47" i="19"/>
  <c r="Q47" i="19" s="1"/>
  <c r="C117" i="19"/>
  <c r="L116" i="19"/>
  <c r="T236" i="19"/>
  <c r="S236" i="19"/>
  <c r="B238" i="19"/>
  <c r="R237" i="19"/>
  <c r="O47" i="19" l="1"/>
  <c r="D48" i="19" s="1"/>
  <c r="T237" i="19"/>
  <c r="S237" i="19"/>
  <c r="R238" i="19"/>
  <c r="B239" i="19"/>
  <c r="C118" i="19"/>
  <c r="L117" i="19"/>
  <c r="G48" i="19" l="1"/>
  <c r="E48" i="19"/>
  <c r="C119" i="19"/>
  <c r="L118" i="19"/>
  <c r="B240" i="19"/>
  <c r="R239" i="19"/>
  <c r="T238" i="19"/>
  <c r="S238" i="19"/>
  <c r="H48" i="19" l="1"/>
  <c r="R240" i="19"/>
  <c r="B241" i="19"/>
  <c r="L119" i="19"/>
  <c r="C120" i="19"/>
  <c r="T239" i="19"/>
  <c r="S239" i="19"/>
  <c r="I48" i="19" l="1"/>
  <c r="J48" i="19" s="1"/>
  <c r="K48" i="19" s="1"/>
  <c r="M48" i="19" s="1"/>
  <c r="N60" i="19" s="1"/>
  <c r="C121" i="19"/>
  <c r="L120" i="19"/>
  <c r="R241" i="19"/>
  <c r="B242" i="19"/>
  <c r="T240" i="19"/>
  <c r="S240" i="19"/>
  <c r="P48" i="19" l="1"/>
  <c r="Q48" i="19" s="1"/>
  <c r="O48" i="19"/>
  <c r="D49" i="19" s="1"/>
  <c r="T241" i="19"/>
  <c r="S241" i="19"/>
  <c r="B243" i="19"/>
  <c r="R242" i="19"/>
  <c r="C122" i="19"/>
  <c r="L121" i="19"/>
  <c r="E49" i="19" l="1"/>
  <c r="G49" i="19"/>
  <c r="H49" i="19" s="1"/>
  <c r="R243" i="19"/>
  <c r="B244" i="19"/>
  <c r="C123" i="19"/>
  <c r="L122" i="19"/>
  <c r="T242" i="19"/>
  <c r="S242" i="19"/>
  <c r="I49" i="19" l="1"/>
  <c r="P49" i="19" s="1"/>
  <c r="Q49" i="19" s="1"/>
  <c r="L123" i="19"/>
  <c r="C124" i="19"/>
  <c r="B245" i="19"/>
  <c r="R244" i="19"/>
  <c r="T243" i="19"/>
  <c r="S243" i="19"/>
  <c r="J49" i="19" l="1"/>
  <c r="K49" i="19" s="1"/>
  <c r="M49" i="19" s="1"/>
  <c r="N61" i="19" s="1"/>
  <c r="T244" i="19"/>
  <c r="S244" i="19"/>
  <c r="C125" i="19"/>
  <c r="L124" i="19"/>
  <c r="B246" i="19"/>
  <c r="R245" i="19"/>
  <c r="O49" i="19" l="1"/>
  <c r="D50" i="19" s="1"/>
  <c r="R246" i="19"/>
  <c r="B247" i="19"/>
  <c r="C126" i="19"/>
  <c r="L125" i="19"/>
  <c r="T245" i="19"/>
  <c r="S245" i="19"/>
  <c r="G50" i="19" l="1"/>
  <c r="E50" i="19"/>
  <c r="B248" i="19"/>
  <c r="R247" i="19"/>
  <c r="C127" i="19"/>
  <c r="L126" i="19"/>
  <c r="T246" i="19"/>
  <c r="S246" i="19"/>
  <c r="H50" i="19" l="1"/>
  <c r="R248" i="19"/>
  <c r="B249" i="19"/>
  <c r="T247" i="19"/>
  <c r="S247" i="19"/>
  <c r="L127" i="19"/>
  <c r="C128" i="19"/>
  <c r="I50" i="19" l="1"/>
  <c r="P50" i="19" s="1"/>
  <c r="Q50" i="19" s="1"/>
  <c r="J50" i="19"/>
  <c r="K50" i="19" s="1"/>
  <c r="M50" i="19" s="1"/>
  <c r="N62" i="19" s="1"/>
  <c r="C129" i="19"/>
  <c r="L128" i="19"/>
  <c r="B250" i="19"/>
  <c r="R249" i="19"/>
  <c r="T248" i="19"/>
  <c r="S248" i="19"/>
  <c r="O50" i="19" l="1"/>
  <c r="D51" i="19" s="1"/>
  <c r="T249" i="19"/>
  <c r="S249" i="19"/>
  <c r="B251" i="19"/>
  <c r="R250" i="19"/>
  <c r="C130" i="19"/>
  <c r="L129" i="19"/>
  <c r="G51" i="19" l="1"/>
  <c r="E51" i="19"/>
  <c r="C131" i="19"/>
  <c r="L130" i="19"/>
  <c r="T250" i="19"/>
  <c r="S250" i="19"/>
  <c r="R251" i="19"/>
  <c r="B252" i="19"/>
  <c r="H51" i="19" l="1"/>
  <c r="I51" i="19" s="1"/>
  <c r="J51" i="19" s="1"/>
  <c r="K51" i="19" s="1"/>
  <c r="M51" i="19" s="1"/>
  <c r="N63" i="19" s="1"/>
  <c r="B253" i="19"/>
  <c r="R252" i="19"/>
  <c r="T251" i="19"/>
  <c r="S251" i="19"/>
  <c r="L131" i="19"/>
  <c r="C132" i="19"/>
  <c r="P51" i="19" l="1"/>
  <c r="Q51" i="19" s="1"/>
  <c r="O51" i="19"/>
  <c r="D52" i="19" s="1"/>
  <c r="C133" i="19"/>
  <c r="L132" i="19"/>
  <c r="T252" i="19"/>
  <c r="S252" i="19"/>
  <c r="B254" i="19"/>
  <c r="R253" i="19"/>
  <c r="E52" i="19" l="1"/>
  <c r="G52" i="19"/>
  <c r="H52" i="19" s="1"/>
  <c r="I52" i="19" s="1"/>
  <c r="J52" i="19" s="1"/>
  <c r="K52" i="19" s="1"/>
  <c r="M52" i="19" s="1"/>
  <c r="N64" i="19" s="1"/>
  <c r="T253" i="19"/>
  <c r="S253" i="19"/>
  <c r="C134" i="19"/>
  <c r="L133" i="19"/>
  <c r="R254" i="19"/>
  <c r="B255" i="19"/>
  <c r="O52" i="19" l="1"/>
  <c r="D53" i="19" s="1"/>
  <c r="P52" i="19"/>
  <c r="Q52" i="19" s="1"/>
  <c r="T254" i="19"/>
  <c r="S254" i="19"/>
  <c r="B256" i="19"/>
  <c r="R255" i="19"/>
  <c r="C135" i="19"/>
  <c r="L134" i="19"/>
  <c r="E53" i="19" l="1"/>
  <c r="G53" i="19"/>
  <c r="H53" i="19" s="1"/>
  <c r="T255" i="19"/>
  <c r="S255" i="19"/>
  <c r="L135" i="19"/>
  <c r="C136" i="19"/>
  <c r="R256" i="19"/>
  <c r="B257" i="19"/>
  <c r="I53" i="19" l="1"/>
  <c r="J53" i="19" s="1"/>
  <c r="K53" i="19" s="1"/>
  <c r="M53" i="19" s="1"/>
  <c r="N65" i="19" s="1"/>
  <c r="C137" i="19"/>
  <c r="L136" i="19"/>
  <c r="T256" i="19"/>
  <c r="S256" i="19"/>
  <c r="B258" i="19"/>
  <c r="R257" i="19"/>
  <c r="P53" i="19" l="1"/>
  <c r="Q53" i="19" s="1"/>
  <c r="O53" i="19"/>
  <c r="D54" i="19" s="1"/>
  <c r="C138" i="19"/>
  <c r="L137" i="19"/>
  <c r="T257" i="19"/>
  <c r="S257" i="19"/>
  <c r="B259" i="19"/>
  <c r="R258" i="19"/>
  <c r="G54" i="19" l="1"/>
  <c r="E54" i="19"/>
  <c r="C139" i="19"/>
  <c r="L138" i="19"/>
  <c r="R259" i="19"/>
  <c r="B260" i="19"/>
  <c r="T258" i="19"/>
  <c r="S258" i="19"/>
  <c r="H54" i="19" l="1"/>
  <c r="T259" i="19"/>
  <c r="S259" i="19"/>
  <c r="B261" i="19"/>
  <c r="R260" i="19"/>
  <c r="C140" i="19"/>
  <c r="L139" i="19"/>
  <c r="I54" i="19" l="1"/>
  <c r="P54" i="19" s="1"/>
  <c r="Q54" i="19" s="1"/>
  <c r="J54" i="19"/>
  <c r="K54" i="19" s="1"/>
  <c r="M54" i="19" s="1"/>
  <c r="N66" i="19" s="1"/>
  <c r="C141" i="19"/>
  <c r="L140" i="19"/>
  <c r="T260" i="19"/>
  <c r="S260" i="19"/>
  <c r="B262" i="19"/>
  <c r="R261" i="19"/>
  <c r="O54" i="19" l="1"/>
  <c r="D55" i="19" s="1"/>
  <c r="L141" i="19"/>
  <c r="C142" i="19"/>
  <c r="T261" i="19"/>
  <c r="S261" i="19"/>
  <c r="R262" i="19"/>
  <c r="B263" i="19"/>
  <c r="G55" i="19" l="1"/>
  <c r="E55" i="19"/>
  <c r="T262" i="19"/>
  <c r="S262" i="19"/>
  <c r="L142" i="19"/>
  <c r="C143" i="19"/>
  <c r="B264" i="19"/>
  <c r="R263" i="19"/>
  <c r="H55" i="19" l="1"/>
  <c r="I55" i="19" s="1"/>
  <c r="C144" i="19"/>
  <c r="L143" i="19"/>
  <c r="T263" i="19"/>
  <c r="S263" i="19"/>
  <c r="B265" i="19"/>
  <c r="R264" i="19"/>
  <c r="P55" i="19" l="1"/>
  <c r="Q55" i="19" s="1"/>
  <c r="J55" i="19"/>
  <c r="K55" i="19" s="1"/>
  <c r="M55" i="19" s="1"/>
  <c r="N67" i="19" s="1"/>
  <c r="T264" i="19"/>
  <c r="S264" i="19"/>
  <c r="C145" i="19"/>
  <c r="L144" i="19"/>
  <c r="R265" i="19"/>
  <c r="B266" i="19"/>
  <c r="O55" i="19" l="1"/>
  <c r="D56" i="19" s="1"/>
  <c r="E56" i="19"/>
  <c r="G56" i="19"/>
  <c r="H56" i="19" s="1"/>
  <c r="I56" i="19" s="1"/>
  <c r="J56" i="19" s="1"/>
  <c r="K56" i="19" s="1"/>
  <c r="M56" i="19" s="1"/>
  <c r="N68" i="19" s="1"/>
  <c r="C146" i="19"/>
  <c r="L145" i="19"/>
  <c r="B267" i="19"/>
  <c r="R266" i="19"/>
  <c r="T265" i="19"/>
  <c r="S265" i="19"/>
  <c r="O56" i="19" l="1"/>
  <c r="D57" i="19" s="1"/>
  <c r="P56" i="19"/>
  <c r="Q56" i="19" s="1"/>
  <c r="T266" i="19"/>
  <c r="S266" i="19"/>
  <c r="R267" i="19"/>
  <c r="B268" i="19"/>
  <c r="L146" i="19"/>
  <c r="C147" i="19"/>
  <c r="G57" i="19" l="1"/>
  <c r="E57" i="19"/>
  <c r="B269" i="19"/>
  <c r="R268" i="19"/>
  <c r="L147" i="19"/>
  <c r="C148" i="19"/>
  <c r="T267" i="19"/>
  <c r="S267" i="19"/>
  <c r="H57" i="19" l="1"/>
  <c r="I57" i="19" s="1"/>
  <c r="J57" i="19" s="1"/>
  <c r="K57" i="19" s="1"/>
  <c r="M57" i="19" s="1"/>
  <c r="N69" i="19" s="1"/>
  <c r="L148" i="19"/>
  <c r="C149" i="19"/>
  <c r="T268" i="19"/>
  <c r="S268" i="19"/>
  <c r="B270" i="19"/>
  <c r="R269" i="19"/>
  <c r="P57" i="19" l="1"/>
  <c r="Q57" i="19" s="1"/>
  <c r="O57" i="19"/>
  <c r="D58" i="19" s="1"/>
  <c r="E58" i="19" s="1"/>
  <c r="G58" i="19"/>
  <c r="C150" i="19"/>
  <c r="L149" i="19"/>
  <c r="T269" i="19"/>
  <c r="S269" i="19"/>
  <c r="R270" i="19"/>
  <c r="B271" i="19"/>
  <c r="H58" i="19" l="1"/>
  <c r="I58" i="19" s="1"/>
  <c r="P58" i="19" s="1"/>
  <c r="Q58" i="19" s="1"/>
  <c r="T270" i="19"/>
  <c r="S270" i="19"/>
  <c r="B272" i="19"/>
  <c r="R271" i="19"/>
  <c r="C151" i="19"/>
  <c r="L150" i="19"/>
  <c r="J58" i="19" l="1"/>
  <c r="K58" i="19" s="1"/>
  <c r="M58" i="19" s="1"/>
  <c r="N70" i="19" s="1"/>
  <c r="O58" i="19"/>
  <c r="D59" i="19" s="1"/>
  <c r="E59" i="19" s="1"/>
  <c r="C152" i="19"/>
  <c r="L151" i="19"/>
  <c r="T271" i="19"/>
  <c r="S271" i="19"/>
  <c r="B273" i="19"/>
  <c r="R272" i="19"/>
  <c r="G59" i="19" l="1"/>
  <c r="H59" i="19" s="1"/>
  <c r="I59" i="19" s="1"/>
  <c r="T272" i="19"/>
  <c r="S272" i="19"/>
  <c r="R273" i="19"/>
  <c r="B274" i="19"/>
  <c r="C153" i="19"/>
  <c r="L152" i="19"/>
  <c r="P59" i="19" l="1"/>
  <c r="Q59" i="19" s="1"/>
  <c r="J59" i="19"/>
  <c r="K59" i="19" s="1"/>
  <c r="M59" i="19" s="1"/>
  <c r="N71" i="19" s="1"/>
  <c r="C154" i="19"/>
  <c r="L153" i="19"/>
  <c r="B275" i="19"/>
  <c r="R274" i="19"/>
  <c r="T273" i="19"/>
  <c r="S273" i="19"/>
  <c r="O59" i="19" l="1"/>
  <c r="D60" i="19" s="1"/>
  <c r="E60" i="19"/>
  <c r="G60" i="19"/>
  <c r="R275" i="19"/>
  <c r="B276" i="19"/>
  <c r="L154" i="19"/>
  <c r="C155" i="19"/>
  <c r="T274" i="19"/>
  <c r="S274" i="19"/>
  <c r="H60" i="19" l="1"/>
  <c r="L155" i="19"/>
  <c r="C156" i="19"/>
  <c r="B277" i="19"/>
  <c r="R276" i="19"/>
  <c r="T275" i="19"/>
  <c r="S275" i="19"/>
  <c r="I60" i="19" l="1"/>
  <c r="P60" i="19" s="1"/>
  <c r="Q60" i="19" s="1"/>
  <c r="J60" i="19"/>
  <c r="K60" i="19" s="1"/>
  <c r="M60" i="19" s="1"/>
  <c r="N72" i="19" s="1"/>
  <c r="L156" i="19"/>
  <c r="C157" i="19"/>
  <c r="T276" i="19"/>
  <c r="S276" i="19"/>
  <c r="B278" i="19"/>
  <c r="R277" i="19"/>
  <c r="O60" i="19" l="1"/>
  <c r="D61" i="19" s="1"/>
  <c r="T277" i="19"/>
  <c r="S277" i="19"/>
  <c r="C158" i="19"/>
  <c r="L157" i="19"/>
  <c r="R278" i="19"/>
  <c r="B279" i="19"/>
  <c r="G61" i="19" l="1"/>
  <c r="E61" i="19"/>
  <c r="T278" i="19"/>
  <c r="S278" i="19"/>
  <c r="C159" i="19"/>
  <c r="L158" i="19"/>
  <c r="B280" i="19"/>
  <c r="R279" i="19"/>
  <c r="H61" i="19" l="1"/>
  <c r="C160" i="19"/>
  <c r="L159" i="19"/>
  <c r="T279" i="19"/>
  <c r="S279" i="19"/>
  <c r="B281" i="19"/>
  <c r="R280" i="19"/>
  <c r="I61" i="19" l="1"/>
  <c r="P61" i="19" s="1"/>
  <c r="Q61" i="19" s="1"/>
  <c r="J61" i="19"/>
  <c r="K61" i="19" s="1"/>
  <c r="M61" i="19" s="1"/>
  <c r="N73" i="19" s="1"/>
  <c r="R281" i="19"/>
  <c r="B282" i="19"/>
  <c r="T280" i="19"/>
  <c r="S280" i="19"/>
  <c r="L160" i="19"/>
  <c r="C161" i="19"/>
  <c r="O61" i="19" l="1"/>
  <c r="D62" i="19" s="1"/>
  <c r="C162" i="19"/>
  <c r="L161" i="19"/>
  <c r="R282" i="19"/>
  <c r="B283" i="19"/>
  <c r="T281" i="19"/>
  <c r="S281" i="19"/>
  <c r="E62" i="19" l="1"/>
  <c r="G62" i="19"/>
  <c r="H62" i="19" s="1"/>
  <c r="B284" i="19"/>
  <c r="R283" i="19"/>
  <c r="T282" i="19"/>
  <c r="S282" i="19"/>
  <c r="C163" i="19"/>
  <c r="L162" i="19"/>
  <c r="I62" i="19" l="1"/>
  <c r="J62" i="19" s="1"/>
  <c r="K62" i="19" s="1"/>
  <c r="M62" i="19" s="1"/>
  <c r="N74" i="19" s="1"/>
  <c r="L163" i="19"/>
  <c r="C164" i="19"/>
  <c r="T283" i="19"/>
  <c r="S283" i="19"/>
  <c r="R284" i="19"/>
  <c r="B285" i="19"/>
  <c r="O62" i="19" l="1"/>
  <c r="D63" i="19" s="1"/>
  <c r="P62" i="19"/>
  <c r="Q62" i="19" s="1"/>
  <c r="R285" i="19"/>
  <c r="B286" i="19"/>
  <c r="T284" i="19"/>
  <c r="S284" i="19"/>
  <c r="L164" i="19"/>
  <c r="C165" i="19"/>
  <c r="G63" i="19" l="1"/>
  <c r="E63" i="19"/>
  <c r="C166" i="19"/>
  <c r="L165" i="19"/>
  <c r="R286" i="19"/>
  <c r="B287" i="19"/>
  <c r="T285" i="19"/>
  <c r="S285" i="19"/>
  <c r="H63" i="19" l="1"/>
  <c r="I63" i="19" s="1"/>
  <c r="J63" i="19" s="1"/>
  <c r="K63" i="19" s="1"/>
  <c r="M63" i="19" s="1"/>
  <c r="N75" i="19" s="1"/>
  <c r="B288" i="19"/>
  <c r="R287" i="19"/>
  <c r="T286" i="19"/>
  <c r="S286" i="19"/>
  <c r="C167" i="19"/>
  <c r="L166" i="19"/>
  <c r="O63" i="19" l="1"/>
  <c r="D64" i="19" s="1"/>
  <c r="E64" i="19" s="1"/>
  <c r="P63" i="19"/>
  <c r="Q63" i="19" s="1"/>
  <c r="T287" i="19"/>
  <c r="S287" i="19"/>
  <c r="R288" i="19"/>
  <c r="B289" i="19"/>
  <c r="C168" i="19"/>
  <c r="L167" i="19"/>
  <c r="G64" i="19" l="1"/>
  <c r="H64" i="19" s="1"/>
  <c r="I64" i="19" s="1"/>
  <c r="J64" i="19" s="1"/>
  <c r="K64" i="19" s="1"/>
  <c r="M64" i="19" s="1"/>
  <c r="N76" i="19" s="1"/>
  <c r="B290" i="19"/>
  <c r="R289" i="19"/>
  <c r="T288" i="19"/>
  <c r="S288" i="19"/>
  <c r="C169" i="19"/>
  <c r="L168" i="19"/>
  <c r="P64" i="19" l="1"/>
  <c r="Q64" i="19" s="1"/>
  <c r="O64" i="19"/>
  <c r="D65" i="19" s="1"/>
  <c r="B291" i="19"/>
  <c r="R290" i="19"/>
  <c r="C170" i="19"/>
  <c r="L169" i="19"/>
  <c r="T289" i="19"/>
  <c r="S289" i="19"/>
  <c r="E65" i="19" l="1"/>
  <c r="G65" i="19"/>
  <c r="H65" i="19" s="1"/>
  <c r="L170" i="19"/>
  <c r="C171" i="19"/>
  <c r="T290" i="19"/>
  <c r="S290" i="19"/>
  <c r="R291" i="19"/>
  <c r="B292" i="19"/>
  <c r="I65" i="19" l="1"/>
  <c r="J65" i="19" s="1"/>
  <c r="K65" i="19" s="1"/>
  <c r="M65" i="19" s="1"/>
  <c r="N77" i="19" s="1"/>
  <c r="L171" i="19"/>
  <c r="C172" i="19"/>
  <c r="B293" i="19"/>
  <c r="R292" i="19"/>
  <c r="T291" i="19"/>
  <c r="S291" i="19"/>
  <c r="P65" i="19" l="1"/>
  <c r="Q65" i="19" s="1"/>
  <c r="O65" i="19"/>
  <c r="D66" i="19" s="1"/>
  <c r="R293" i="19"/>
  <c r="B294" i="19"/>
  <c r="L172" i="19"/>
  <c r="C173" i="19"/>
  <c r="T292" i="19"/>
  <c r="S292" i="19"/>
  <c r="G66" i="19" l="1"/>
  <c r="E66" i="19"/>
  <c r="B295" i="19"/>
  <c r="R294" i="19"/>
  <c r="T293" i="19"/>
  <c r="S293" i="19"/>
  <c r="C174" i="19"/>
  <c r="L173" i="19"/>
  <c r="H66" i="19" l="1"/>
  <c r="T294" i="19"/>
  <c r="S294" i="19"/>
  <c r="C175" i="19"/>
  <c r="L174" i="19"/>
  <c r="B296" i="19"/>
  <c r="R295" i="19"/>
  <c r="I66" i="19" l="1"/>
  <c r="P66" i="19" s="1"/>
  <c r="Q66" i="19" s="1"/>
  <c r="J66" i="19"/>
  <c r="K66" i="19" s="1"/>
  <c r="M66" i="19" s="1"/>
  <c r="N78" i="19" s="1"/>
  <c r="R296" i="19"/>
  <c r="B297" i="19"/>
  <c r="C176" i="19"/>
  <c r="L175" i="19"/>
  <c r="T295" i="19"/>
  <c r="S295" i="19"/>
  <c r="O66" i="19" l="1"/>
  <c r="D67" i="19" s="1"/>
  <c r="E67" i="19" s="1"/>
  <c r="G67" i="19"/>
  <c r="L176" i="19"/>
  <c r="C177" i="19"/>
  <c r="B298" i="19"/>
  <c r="R297" i="19"/>
  <c r="T296" i="19"/>
  <c r="S296" i="19"/>
  <c r="H67" i="19" l="1"/>
  <c r="I67" i="19" s="1"/>
  <c r="B299" i="19"/>
  <c r="R298" i="19"/>
  <c r="T297" i="19"/>
  <c r="S297" i="19"/>
  <c r="C178" i="19"/>
  <c r="L177" i="19"/>
  <c r="J67" i="19" l="1"/>
  <c r="K67" i="19" s="1"/>
  <c r="M67" i="19" s="1"/>
  <c r="N79" i="19" s="1"/>
  <c r="P67" i="19"/>
  <c r="Q67" i="19" s="1"/>
  <c r="C179" i="19"/>
  <c r="L178" i="19"/>
  <c r="T298" i="19"/>
  <c r="S298" i="19"/>
  <c r="R299" i="19"/>
  <c r="B300" i="19"/>
  <c r="O67" i="19" l="1"/>
  <c r="D68" i="19" s="1"/>
  <c r="L179" i="19"/>
  <c r="C180" i="19"/>
  <c r="B301" i="19"/>
  <c r="R300" i="19"/>
  <c r="T299" i="19"/>
  <c r="S299" i="19"/>
  <c r="E68" i="19" l="1"/>
  <c r="G68" i="19"/>
  <c r="H68" i="19" s="1"/>
  <c r="I68" i="19" s="1"/>
  <c r="J68" i="19" s="1"/>
  <c r="K68" i="19" s="1"/>
  <c r="M68" i="19" s="1"/>
  <c r="N80" i="19" s="1"/>
  <c r="R301" i="19"/>
  <c r="B302" i="19"/>
  <c r="T300" i="19"/>
  <c r="S300" i="19"/>
  <c r="L180" i="19"/>
  <c r="C181" i="19"/>
  <c r="O68" i="19" l="1"/>
  <c r="D69" i="19" s="1"/>
  <c r="E69" i="19" s="1"/>
  <c r="P68" i="19"/>
  <c r="Q68" i="19" s="1"/>
  <c r="G69" i="19"/>
  <c r="C182" i="19"/>
  <c r="L181" i="19"/>
  <c r="B303" i="19"/>
  <c r="R302" i="19"/>
  <c r="T301" i="19"/>
  <c r="S301" i="19"/>
  <c r="H69" i="19" l="1"/>
  <c r="I69" i="19" s="1"/>
  <c r="L182" i="19"/>
  <c r="C183" i="19"/>
  <c r="T302" i="19"/>
  <c r="S302" i="19"/>
  <c r="B304" i="19"/>
  <c r="R303" i="19"/>
  <c r="P69" i="19" l="1"/>
  <c r="Q69" i="19" s="1"/>
  <c r="J69" i="19"/>
  <c r="K69" i="19" s="1"/>
  <c r="M69" i="19" s="1"/>
  <c r="N81" i="19" s="1"/>
  <c r="R304" i="19"/>
  <c r="B305" i="19"/>
  <c r="T303" i="19"/>
  <c r="S303" i="19"/>
  <c r="C184" i="19"/>
  <c r="L183" i="19"/>
  <c r="O69" i="19" l="1"/>
  <c r="D70" i="19" s="1"/>
  <c r="B306" i="19"/>
  <c r="R305" i="19"/>
  <c r="C185" i="19"/>
  <c r="L184" i="19"/>
  <c r="T304" i="19"/>
  <c r="S304" i="19"/>
  <c r="E70" i="19" l="1"/>
  <c r="G70" i="19"/>
  <c r="H70" i="19" s="1"/>
  <c r="C186" i="19"/>
  <c r="L185" i="19"/>
  <c r="T305" i="19"/>
  <c r="S305" i="19"/>
  <c r="B307" i="19"/>
  <c r="R306" i="19"/>
  <c r="I70" i="19" l="1"/>
  <c r="J70" i="19" s="1"/>
  <c r="K70" i="19" s="1"/>
  <c r="M70" i="19" s="1"/>
  <c r="N82" i="19" s="1"/>
  <c r="T306" i="19"/>
  <c r="S306" i="19"/>
  <c r="B308" i="19"/>
  <c r="R307" i="19"/>
  <c r="C187" i="19"/>
  <c r="L186" i="19"/>
  <c r="P70" i="19" l="1"/>
  <c r="Q70" i="19" s="1"/>
  <c r="O70" i="19"/>
  <c r="D71" i="19" s="1"/>
  <c r="L187" i="19"/>
  <c r="C188" i="19"/>
  <c r="T307" i="19"/>
  <c r="S307" i="19"/>
  <c r="R308" i="19"/>
  <c r="B309" i="19"/>
  <c r="G71" i="19" l="1"/>
  <c r="E71" i="19"/>
  <c r="L188" i="19"/>
  <c r="C189" i="19"/>
  <c r="T308" i="19"/>
  <c r="S308" i="19"/>
  <c r="B310" i="19"/>
  <c r="R309" i="19"/>
  <c r="H71" i="19" l="1"/>
  <c r="I71" i="19" s="1"/>
  <c r="J71" i="19" s="1"/>
  <c r="K71" i="19" s="1"/>
  <c r="M71" i="19" s="1"/>
  <c r="N83" i="19" s="1"/>
  <c r="R310" i="19"/>
  <c r="B311" i="19"/>
  <c r="C190" i="19"/>
  <c r="L189" i="19"/>
  <c r="T309" i="19"/>
  <c r="S309" i="19"/>
  <c r="P71" i="19" l="1"/>
  <c r="Q71" i="19" s="1"/>
  <c r="O71" i="19"/>
  <c r="D72" i="19" s="1"/>
  <c r="R311" i="19"/>
  <c r="B312" i="19"/>
  <c r="L190" i="19"/>
  <c r="C191" i="19"/>
  <c r="T310" i="19"/>
  <c r="S310" i="19"/>
  <c r="E72" i="19" l="1"/>
  <c r="G72" i="19"/>
  <c r="H72" i="19" s="1"/>
  <c r="C192" i="19"/>
  <c r="L191" i="19"/>
  <c r="B313" i="19"/>
  <c r="R312" i="19"/>
  <c r="T311" i="19"/>
  <c r="S311" i="19"/>
  <c r="I72" i="19" l="1"/>
  <c r="T312" i="19"/>
  <c r="S312" i="19"/>
  <c r="R313" i="19"/>
  <c r="B314" i="19"/>
  <c r="C193" i="19"/>
  <c r="L192" i="19"/>
  <c r="J72" i="19" l="1"/>
  <c r="K72" i="19" s="1"/>
  <c r="M72" i="19" s="1"/>
  <c r="N84" i="19" s="1"/>
  <c r="P72" i="19"/>
  <c r="Q72" i="19" s="1"/>
  <c r="B315" i="19"/>
  <c r="R314" i="19"/>
  <c r="C194" i="19"/>
  <c r="L193" i="19"/>
  <c r="T313" i="19"/>
  <c r="S313" i="19"/>
  <c r="O72" i="19" l="1"/>
  <c r="D73" i="19" s="1"/>
  <c r="T314" i="19"/>
  <c r="S314" i="19"/>
  <c r="C195" i="19"/>
  <c r="L194" i="19"/>
  <c r="B316" i="19"/>
  <c r="R315" i="19"/>
  <c r="G73" i="19" l="1"/>
  <c r="E73" i="19"/>
  <c r="L195" i="19"/>
  <c r="C196" i="19"/>
  <c r="R316" i="19"/>
  <c r="B317" i="19"/>
  <c r="T315" i="19"/>
  <c r="S315" i="19"/>
  <c r="H73" i="19" l="1"/>
  <c r="I73" i="19" s="1"/>
  <c r="J73" i="19" s="1"/>
  <c r="K73" i="19" s="1"/>
  <c r="M73" i="19" s="1"/>
  <c r="N85" i="19" s="1"/>
  <c r="B318" i="19"/>
  <c r="R317" i="19"/>
  <c r="T316" i="19"/>
  <c r="S316" i="19"/>
  <c r="L196" i="19"/>
  <c r="C197" i="19"/>
  <c r="O73" i="19" l="1"/>
  <c r="D74" i="19" s="1"/>
  <c r="P73" i="19"/>
  <c r="Q73" i="19" s="1"/>
  <c r="T317" i="19"/>
  <c r="S317" i="19"/>
  <c r="R318" i="19"/>
  <c r="B319" i="19"/>
  <c r="C198" i="19"/>
  <c r="L197" i="19"/>
  <c r="E74" i="19" l="1"/>
  <c r="G74" i="19"/>
  <c r="H74" i="19" s="1"/>
  <c r="I74" i="19" s="1"/>
  <c r="T318" i="19"/>
  <c r="S318" i="19"/>
  <c r="L198" i="19"/>
  <c r="C199" i="19"/>
  <c r="B320" i="19"/>
  <c r="R319" i="19"/>
  <c r="P74" i="19" l="1"/>
  <c r="Q74" i="19" s="1"/>
  <c r="J74" i="19"/>
  <c r="K74" i="19" s="1"/>
  <c r="M74" i="19" s="1"/>
  <c r="N86" i="19" s="1"/>
  <c r="B321" i="19"/>
  <c r="R320" i="19"/>
  <c r="C200" i="19"/>
  <c r="L199" i="19"/>
  <c r="T319" i="19"/>
  <c r="S319" i="19"/>
  <c r="O74" i="19" l="1"/>
  <c r="D75" i="19" s="1"/>
  <c r="G75" i="19"/>
  <c r="E75" i="19"/>
  <c r="L200" i="19"/>
  <c r="C201" i="19"/>
  <c r="T320" i="19"/>
  <c r="S320" i="19"/>
  <c r="R321" i="19"/>
  <c r="B322" i="19"/>
  <c r="H75" i="19" l="1"/>
  <c r="I75" i="19" s="1"/>
  <c r="P75" i="19" s="1"/>
  <c r="Q75" i="19" s="1"/>
  <c r="T321" i="19"/>
  <c r="S321" i="19"/>
  <c r="B323" i="19"/>
  <c r="R322" i="19"/>
  <c r="C202" i="19"/>
  <c r="L201" i="19"/>
  <c r="J75" i="19" l="1"/>
  <c r="K75" i="19" s="1"/>
  <c r="M75" i="19" s="1"/>
  <c r="N87" i="19" s="1"/>
  <c r="B324" i="19"/>
  <c r="R323" i="19"/>
  <c r="C203" i="19"/>
  <c r="L202" i="19"/>
  <c r="T322" i="19"/>
  <c r="S322" i="19"/>
  <c r="O75" i="19" l="1"/>
  <c r="D76" i="19" s="1"/>
  <c r="G76" i="19"/>
  <c r="E76" i="19"/>
  <c r="C204" i="19"/>
  <c r="L203" i="19"/>
  <c r="T323" i="19"/>
  <c r="S323" i="19"/>
  <c r="B325" i="19"/>
  <c r="R324" i="19"/>
  <c r="H76" i="19" l="1"/>
  <c r="I76" i="19" s="1"/>
  <c r="J76" i="19" s="1"/>
  <c r="K76" i="19" s="1"/>
  <c r="M76" i="19" s="1"/>
  <c r="N88" i="19" s="1"/>
  <c r="B326" i="19"/>
  <c r="R325" i="19"/>
  <c r="C205" i="19"/>
  <c r="L204" i="19"/>
  <c r="T324" i="19"/>
  <c r="S324" i="19"/>
  <c r="P76" i="19" l="1"/>
  <c r="Q76" i="19" s="1"/>
  <c r="O76" i="19"/>
  <c r="D77" i="19" s="1"/>
  <c r="L205" i="19"/>
  <c r="C206" i="19"/>
  <c r="T325" i="19"/>
  <c r="S325" i="19"/>
  <c r="B327" i="19"/>
  <c r="R326" i="19"/>
  <c r="E77" i="19" l="1"/>
  <c r="G77" i="19"/>
  <c r="H77" i="19" s="1"/>
  <c r="B328" i="19"/>
  <c r="R327" i="19"/>
  <c r="L206" i="19"/>
  <c r="C207" i="19"/>
  <c r="T326" i="19"/>
  <c r="S326" i="19"/>
  <c r="I77" i="19" l="1"/>
  <c r="J77" i="19" s="1"/>
  <c r="K77" i="19" s="1"/>
  <c r="M77" i="19" s="1"/>
  <c r="N89" i="19" s="1"/>
  <c r="C208" i="19"/>
  <c r="L207" i="19"/>
  <c r="T327" i="19"/>
  <c r="S327" i="19"/>
  <c r="R328" i="19"/>
  <c r="B329" i="19"/>
  <c r="P77" i="19" l="1"/>
  <c r="Q77" i="19" s="1"/>
  <c r="O77" i="19"/>
  <c r="D78" i="19" s="1"/>
  <c r="L208" i="19"/>
  <c r="C209" i="19"/>
  <c r="B330" i="19"/>
  <c r="R329" i="19"/>
  <c r="T328" i="19"/>
  <c r="S328" i="19"/>
  <c r="G78" i="19" l="1"/>
  <c r="E78" i="19"/>
  <c r="C210" i="19"/>
  <c r="L209" i="19"/>
  <c r="T329" i="19"/>
  <c r="S329" i="19"/>
  <c r="B331" i="19"/>
  <c r="R330" i="19"/>
  <c r="H78" i="19" l="1"/>
  <c r="T330" i="19"/>
  <c r="S330" i="19"/>
  <c r="C211" i="19"/>
  <c r="L210" i="19"/>
  <c r="R331" i="19"/>
  <c r="B332" i="19"/>
  <c r="I78" i="19" l="1"/>
  <c r="P78" i="19" s="1"/>
  <c r="Q78" i="19" s="1"/>
  <c r="J78" i="19"/>
  <c r="K78" i="19" s="1"/>
  <c r="M78" i="19" s="1"/>
  <c r="N90" i="19" s="1"/>
  <c r="C212" i="19"/>
  <c r="L211" i="19"/>
  <c r="T331" i="19"/>
  <c r="S331" i="19"/>
  <c r="B333" i="19"/>
  <c r="R332" i="19"/>
  <c r="O78" i="19" l="1"/>
  <c r="D79" i="19" s="1"/>
  <c r="T332" i="19"/>
  <c r="S332" i="19"/>
  <c r="R333" i="19"/>
  <c r="B334" i="19"/>
  <c r="C213" i="19"/>
  <c r="L212" i="19"/>
  <c r="E79" i="19" l="1"/>
  <c r="G79" i="19"/>
  <c r="H79" i="19" s="1"/>
  <c r="L213" i="19"/>
  <c r="C214" i="19"/>
  <c r="B335" i="19"/>
  <c r="R334" i="19"/>
  <c r="T333" i="19"/>
  <c r="S333" i="19"/>
  <c r="I79" i="19" l="1"/>
  <c r="J79" i="19" s="1"/>
  <c r="K79" i="19" s="1"/>
  <c r="M79" i="19" s="1"/>
  <c r="N91" i="19" s="1"/>
  <c r="T334" i="19"/>
  <c r="S334" i="19"/>
  <c r="B336" i="19"/>
  <c r="R335" i="19"/>
  <c r="L214" i="19"/>
  <c r="C215" i="19"/>
  <c r="P79" i="19" l="1"/>
  <c r="Q79" i="19" s="1"/>
  <c r="O79" i="19"/>
  <c r="D80" i="19" s="1"/>
  <c r="T335" i="19"/>
  <c r="S335" i="19"/>
  <c r="C216" i="19"/>
  <c r="L215" i="19"/>
  <c r="R336" i="19"/>
  <c r="B337" i="19"/>
  <c r="E80" i="19" l="1"/>
  <c r="G80" i="19"/>
  <c r="H80" i="19" s="1"/>
  <c r="I80" i="19" s="1"/>
  <c r="B338" i="19"/>
  <c r="R337" i="19"/>
  <c r="T336" i="19"/>
  <c r="S336" i="19"/>
  <c r="L216" i="19"/>
  <c r="C217" i="19"/>
  <c r="J80" i="19" l="1"/>
  <c r="K80" i="19" s="1"/>
  <c r="M80" i="19" s="1"/>
  <c r="N92" i="19" s="1"/>
  <c r="P80" i="19"/>
  <c r="Q80" i="19" s="1"/>
  <c r="C218" i="19"/>
  <c r="L217" i="19"/>
  <c r="B339" i="19"/>
  <c r="R338" i="19"/>
  <c r="T337" i="19"/>
  <c r="S337" i="19"/>
  <c r="O80" i="19" l="1"/>
  <c r="D81" i="19" s="1"/>
  <c r="T338" i="19"/>
  <c r="S338" i="19"/>
  <c r="R339" i="19"/>
  <c r="B340" i="19"/>
  <c r="C219" i="19"/>
  <c r="L218" i="19"/>
  <c r="E81" i="19" l="1"/>
  <c r="G81" i="19"/>
  <c r="H81" i="19" s="1"/>
  <c r="I81" i="19" s="1"/>
  <c r="J81" i="19" s="1"/>
  <c r="K81" i="19" s="1"/>
  <c r="M81" i="19" s="1"/>
  <c r="N93" i="19" s="1"/>
  <c r="C220" i="19"/>
  <c r="L219" i="19"/>
  <c r="B341" i="19"/>
  <c r="R340" i="19"/>
  <c r="T339" i="19"/>
  <c r="S339" i="19"/>
  <c r="O81" i="19" l="1"/>
  <c r="D82" i="19" s="1"/>
  <c r="P81" i="19"/>
  <c r="Q81" i="19" s="1"/>
  <c r="C221" i="19"/>
  <c r="L220" i="19"/>
  <c r="R341" i="19"/>
  <c r="B342" i="19"/>
  <c r="T340" i="19"/>
  <c r="S340" i="19"/>
  <c r="E82" i="19" l="1"/>
  <c r="G82" i="19"/>
  <c r="H82" i="19" s="1"/>
  <c r="I82" i="19" s="1"/>
  <c r="T341" i="19"/>
  <c r="S341" i="19"/>
  <c r="B343" i="19"/>
  <c r="R342" i="19"/>
  <c r="L221" i="19"/>
  <c r="C222" i="19"/>
  <c r="P82" i="19" l="1"/>
  <c r="Q82" i="19" s="1"/>
  <c r="J82" i="19"/>
  <c r="K82" i="19" s="1"/>
  <c r="M82" i="19" s="1"/>
  <c r="N94" i="19" s="1"/>
  <c r="B344" i="19"/>
  <c r="R343" i="19"/>
  <c r="T342" i="19"/>
  <c r="S342" i="19"/>
  <c r="L222" i="19"/>
  <c r="C223" i="19"/>
  <c r="O82" i="19" l="1"/>
  <c r="D83" i="19" s="1"/>
  <c r="E83" i="19"/>
  <c r="G83" i="19"/>
  <c r="H83" i="19" s="1"/>
  <c r="I83" i="19" s="1"/>
  <c r="J83" i="19" s="1"/>
  <c r="K83" i="19" s="1"/>
  <c r="M83" i="19" s="1"/>
  <c r="N95" i="19" s="1"/>
  <c r="T343" i="19"/>
  <c r="S343" i="19"/>
  <c r="C224" i="19"/>
  <c r="L223" i="19"/>
  <c r="R344" i="19"/>
  <c r="B345" i="19"/>
  <c r="O83" i="19" l="1"/>
  <c r="D84" i="19" s="1"/>
  <c r="P83" i="19"/>
  <c r="Q83" i="19" s="1"/>
  <c r="L224" i="19"/>
  <c r="C225" i="19"/>
  <c r="T344" i="19"/>
  <c r="S344" i="19"/>
  <c r="B346" i="19"/>
  <c r="R345" i="19"/>
  <c r="G84" i="19" l="1"/>
  <c r="E84" i="19"/>
  <c r="T345" i="19"/>
  <c r="S345" i="19"/>
  <c r="B347" i="19"/>
  <c r="R346" i="19"/>
  <c r="C226" i="19"/>
  <c r="L225" i="19"/>
  <c r="H84" i="19" l="1"/>
  <c r="C227" i="19"/>
  <c r="L226" i="19"/>
  <c r="T346" i="19"/>
  <c r="S346" i="19"/>
  <c r="R347" i="19"/>
  <c r="B348" i="19"/>
  <c r="I84" i="19" l="1"/>
  <c r="J84" i="19" s="1"/>
  <c r="K84" i="19" s="1"/>
  <c r="M84" i="19" s="1"/>
  <c r="N96" i="19" s="1"/>
  <c r="T347" i="19"/>
  <c r="S347" i="19"/>
  <c r="C228" i="19"/>
  <c r="L227" i="19"/>
  <c r="B349" i="19"/>
  <c r="R348" i="19"/>
  <c r="O84" i="19" l="1"/>
  <c r="D85" i="19" s="1"/>
  <c r="P84" i="19"/>
  <c r="Q84" i="19" s="1"/>
  <c r="C229" i="19"/>
  <c r="L228" i="19"/>
  <c r="T348" i="19"/>
  <c r="S348" i="19"/>
  <c r="R349" i="19"/>
  <c r="B350" i="19"/>
  <c r="G85" i="19" l="1"/>
  <c r="E85" i="19"/>
  <c r="T349" i="19"/>
  <c r="S349" i="19"/>
  <c r="L229" i="19"/>
  <c r="C230" i="19"/>
  <c r="B351" i="19"/>
  <c r="R350" i="19"/>
  <c r="H85" i="19" l="1"/>
  <c r="I85" i="19" s="1"/>
  <c r="L230" i="19"/>
  <c r="C231" i="19"/>
  <c r="T350" i="19"/>
  <c r="S350" i="19"/>
  <c r="R351" i="19"/>
  <c r="B352" i="19"/>
  <c r="P85" i="19" l="1"/>
  <c r="Q85" i="19" s="1"/>
  <c r="J85" i="19"/>
  <c r="K85" i="19" s="1"/>
  <c r="M85" i="19" s="1"/>
  <c r="N97" i="19" s="1"/>
  <c r="T351" i="19"/>
  <c r="S351" i="19"/>
  <c r="C232" i="19"/>
  <c r="L231" i="19"/>
  <c r="B353" i="19"/>
  <c r="R352" i="19"/>
  <c r="O85" i="19" l="1"/>
  <c r="D86" i="19" s="1"/>
  <c r="R353" i="19"/>
  <c r="B354" i="19"/>
  <c r="T352" i="19"/>
  <c r="S352" i="19"/>
  <c r="L232" i="19"/>
  <c r="C233" i="19"/>
  <c r="E86" i="19" l="1"/>
  <c r="G86" i="19"/>
  <c r="H86" i="19" s="1"/>
  <c r="C234" i="19"/>
  <c r="L233" i="19"/>
  <c r="B355" i="19"/>
  <c r="R354" i="19"/>
  <c r="T353" i="19"/>
  <c r="S353" i="19"/>
  <c r="I86" i="19" l="1"/>
  <c r="J86" i="19" s="1"/>
  <c r="K86" i="19" s="1"/>
  <c r="M86" i="19" s="1"/>
  <c r="N98" i="19" s="1"/>
  <c r="C235" i="19"/>
  <c r="L234" i="19"/>
  <c r="T354" i="19"/>
  <c r="S354" i="19"/>
  <c r="B356" i="19"/>
  <c r="R355" i="19"/>
  <c r="P86" i="19" l="1"/>
  <c r="Q86" i="19" s="1"/>
  <c r="O86" i="19"/>
  <c r="D87" i="19" s="1"/>
  <c r="R356" i="19"/>
  <c r="B357" i="19"/>
  <c r="T355" i="19"/>
  <c r="S355" i="19"/>
  <c r="C236" i="19"/>
  <c r="L235" i="19"/>
  <c r="E87" i="19" l="1"/>
  <c r="G87" i="19"/>
  <c r="H87" i="19" s="1"/>
  <c r="B358" i="19"/>
  <c r="R357" i="19"/>
  <c r="C237" i="19"/>
  <c r="L236" i="19"/>
  <c r="T356" i="19"/>
  <c r="S356" i="19"/>
  <c r="I87" i="19" l="1"/>
  <c r="J87" i="19" s="1"/>
  <c r="K87" i="19" s="1"/>
  <c r="M87" i="19" s="1"/>
  <c r="N99" i="19" s="1"/>
  <c r="T357" i="19"/>
  <c r="S357" i="19"/>
  <c r="B359" i="19"/>
  <c r="R358" i="19"/>
  <c r="L237" i="19"/>
  <c r="C238" i="19"/>
  <c r="O87" i="19" l="1"/>
  <c r="D88" i="19" s="1"/>
  <c r="P87" i="19"/>
  <c r="Q87" i="19" s="1"/>
  <c r="T358" i="19"/>
  <c r="S358" i="19"/>
  <c r="R359" i="19"/>
  <c r="B360" i="19"/>
  <c r="L238" i="19"/>
  <c r="C239" i="19"/>
  <c r="E88" i="19" l="1"/>
  <c r="G88" i="19"/>
  <c r="H88" i="19" s="1"/>
  <c r="B361" i="19"/>
  <c r="R360" i="19"/>
  <c r="T359" i="19"/>
  <c r="S359" i="19"/>
  <c r="C240" i="19"/>
  <c r="L239" i="19"/>
  <c r="I88" i="19" l="1"/>
  <c r="J88" i="19" s="1"/>
  <c r="K88" i="19" s="1"/>
  <c r="M88" i="19" s="1"/>
  <c r="N100" i="19" s="1"/>
  <c r="T360" i="19"/>
  <c r="S360" i="19"/>
  <c r="R361" i="19"/>
  <c r="B362" i="19"/>
  <c r="L240" i="19"/>
  <c r="C241" i="19"/>
  <c r="P88" i="19" l="1"/>
  <c r="Q88" i="19" s="1"/>
  <c r="O88" i="19"/>
  <c r="D89" i="19" s="1"/>
  <c r="C242" i="19"/>
  <c r="L241" i="19"/>
  <c r="B363" i="19"/>
  <c r="R362" i="19"/>
  <c r="T361" i="19"/>
  <c r="S361" i="19"/>
  <c r="G89" i="19" l="1"/>
  <c r="E89" i="19"/>
  <c r="B364" i="19"/>
  <c r="R363" i="19"/>
  <c r="T362" i="19"/>
  <c r="S362" i="19"/>
  <c r="C243" i="19"/>
  <c r="L242" i="19"/>
  <c r="H89" i="19" l="1"/>
  <c r="I89" i="19" s="1"/>
  <c r="J89" i="19" s="1"/>
  <c r="K89" i="19" s="1"/>
  <c r="M89" i="19" s="1"/>
  <c r="N101" i="19" s="1"/>
  <c r="T363" i="19"/>
  <c r="S363" i="19"/>
  <c r="R364" i="19"/>
  <c r="B365" i="19"/>
  <c r="C244" i="19"/>
  <c r="L243" i="19"/>
  <c r="P89" i="19" l="1"/>
  <c r="Q89" i="19" s="1"/>
  <c r="O89" i="19"/>
  <c r="D90" i="19" s="1"/>
  <c r="T364" i="19"/>
  <c r="S364" i="19"/>
  <c r="B366" i="19"/>
  <c r="R365" i="19"/>
  <c r="C245" i="19"/>
  <c r="L244" i="19"/>
  <c r="G90" i="19" l="1"/>
  <c r="E90" i="19"/>
  <c r="L245" i="19"/>
  <c r="C246" i="19"/>
  <c r="T365" i="19"/>
  <c r="S365" i="19"/>
  <c r="B367" i="19"/>
  <c r="R366" i="19"/>
  <c r="H90" i="19" l="1"/>
  <c r="I90" i="19" s="1"/>
  <c r="J90" i="19" s="1"/>
  <c r="K90" i="19" s="1"/>
  <c r="M90" i="19" s="1"/>
  <c r="N102" i="19" s="1"/>
  <c r="T366" i="19"/>
  <c r="S366" i="19"/>
  <c r="L246" i="19"/>
  <c r="C247" i="19"/>
  <c r="R367" i="19"/>
  <c r="B368" i="19"/>
  <c r="O90" i="19" l="1"/>
  <c r="D91" i="19" s="1"/>
  <c r="P90" i="19"/>
  <c r="Q90" i="19" s="1"/>
  <c r="B369" i="19"/>
  <c r="R368" i="19"/>
  <c r="C248" i="19"/>
  <c r="L247" i="19"/>
  <c r="T367" i="19"/>
  <c r="S367" i="19"/>
  <c r="E91" i="19" l="1"/>
  <c r="G91" i="19"/>
  <c r="H91" i="19" s="1"/>
  <c r="L248" i="19"/>
  <c r="C249" i="19"/>
  <c r="T368" i="19"/>
  <c r="S368" i="19"/>
  <c r="R369" i="19"/>
  <c r="B370" i="19"/>
  <c r="I91" i="19" l="1"/>
  <c r="J91" i="19" s="1"/>
  <c r="K91" i="19" s="1"/>
  <c r="M91" i="19" s="1"/>
  <c r="N103" i="19" s="1"/>
  <c r="B371" i="19"/>
  <c r="R370" i="19"/>
  <c r="C250" i="19"/>
  <c r="L249" i="19"/>
  <c r="T369" i="19"/>
  <c r="S369" i="19"/>
  <c r="O91" i="19" l="1"/>
  <c r="D92" i="19" s="1"/>
  <c r="P91" i="19"/>
  <c r="Q91" i="19" s="1"/>
  <c r="C251" i="19"/>
  <c r="L250" i="19"/>
  <c r="T370" i="19"/>
  <c r="S370" i="19"/>
  <c r="B372" i="19"/>
  <c r="R371" i="19"/>
  <c r="E92" i="19" l="1"/>
  <c r="G92" i="19"/>
  <c r="H92" i="19" s="1"/>
  <c r="I92" i="19" s="1"/>
  <c r="J92" i="19" s="1"/>
  <c r="K92" i="19" s="1"/>
  <c r="M92" i="19" s="1"/>
  <c r="N104" i="19" s="1"/>
  <c r="T371" i="19"/>
  <c r="S371" i="19"/>
  <c r="C252" i="19"/>
  <c r="L251" i="19"/>
  <c r="R372" i="19"/>
  <c r="B373" i="19"/>
  <c r="P92" i="19" l="1"/>
  <c r="Q92" i="19" s="1"/>
  <c r="O92" i="19"/>
  <c r="D93" i="19" s="1"/>
  <c r="T372" i="19"/>
  <c r="S372" i="19"/>
  <c r="C253" i="19"/>
  <c r="L252" i="19"/>
  <c r="B374" i="19"/>
  <c r="R373" i="19"/>
  <c r="E93" i="19" l="1"/>
  <c r="G93" i="19"/>
  <c r="H93" i="19" s="1"/>
  <c r="L253" i="19"/>
  <c r="C254" i="19"/>
  <c r="T373" i="19"/>
  <c r="S373" i="19"/>
  <c r="B375" i="19"/>
  <c r="R374" i="19"/>
  <c r="I93" i="19" l="1"/>
  <c r="R375" i="19"/>
  <c r="B376" i="19"/>
  <c r="L254" i="19"/>
  <c r="C255" i="19"/>
  <c r="T374" i="19"/>
  <c r="S374" i="19"/>
  <c r="P93" i="19" l="1"/>
  <c r="Q93" i="19" s="1"/>
  <c r="J93" i="19"/>
  <c r="C256" i="19"/>
  <c r="L255" i="19"/>
  <c r="B377" i="19"/>
  <c r="R376" i="19"/>
  <c r="T375" i="19"/>
  <c r="S375" i="19"/>
  <c r="K93" i="19" l="1"/>
  <c r="M93" i="19" s="1"/>
  <c r="N105" i="19" s="1"/>
  <c r="O93" i="19"/>
  <c r="D94" i="19" s="1"/>
  <c r="L256" i="19"/>
  <c r="C257" i="19"/>
  <c r="T376" i="19"/>
  <c r="S376" i="19"/>
  <c r="R377" i="19"/>
  <c r="B378" i="19"/>
  <c r="E94" i="19" l="1"/>
  <c r="G94" i="19"/>
  <c r="H94" i="19" s="1"/>
  <c r="T377" i="19"/>
  <c r="S377" i="19"/>
  <c r="C258" i="19"/>
  <c r="L257" i="19"/>
  <c r="B379" i="19"/>
  <c r="R378" i="19"/>
  <c r="I94" i="19" l="1"/>
  <c r="J94" i="19" s="1"/>
  <c r="K94" i="19" s="1"/>
  <c r="M94" i="19" s="1"/>
  <c r="N106" i="19" s="1"/>
  <c r="C259" i="19"/>
  <c r="L258" i="19"/>
  <c r="T378" i="19"/>
  <c r="S378" i="19"/>
  <c r="B380" i="19"/>
  <c r="R379" i="19"/>
  <c r="O94" i="19" l="1"/>
  <c r="D95" i="19" s="1"/>
  <c r="P94" i="19"/>
  <c r="Q94" i="19" s="1"/>
  <c r="R380" i="19"/>
  <c r="B381" i="19"/>
  <c r="T379" i="19"/>
  <c r="S379" i="19"/>
  <c r="C260" i="19"/>
  <c r="L259" i="19"/>
  <c r="E95" i="19" l="1"/>
  <c r="G95" i="19"/>
  <c r="H95" i="19" s="1"/>
  <c r="B382" i="19"/>
  <c r="R381" i="19"/>
  <c r="C261" i="19"/>
  <c r="L260" i="19"/>
  <c r="T380" i="19"/>
  <c r="S380" i="19"/>
  <c r="I95" i="19" l="1"/>
  <c r="J95" i="19" s="1"/>
  <c r="K95" i="19" s="1"/>
  <c r="M95" i="19" s="1"/>
  <c r="N107" i="19" s="1"/>
  <c r="L261" i="19"/>
  <c r="C262" i="19"/>
  <c r="T381" i="19"/>
  <c r="S381" i="19"/>
  <c r="B383" i="19"/>
  <c r="R382" i="19"/>
  <c r="O95" i="19" l="1"/>
  <c r="D96" i="19" s="1"/>
  <c r="P95" i="19"/>
  <c r="Q95" i="19" s="1"/>
  <c r="C263" i="19"/>
  <c r="L262" i="19"/>
  <c r="T382" i="19"/>
  <c r="S382" i="19"/>
  <c r="R383" i="19"/>
  <c r="B384" i="19"/>
  <c r="E96" i="19" l="1"/>
  <c r="G96" i="19"/>
  <c r="H96" i="19" s="1"/>
  <c r="I96" i="19" s="1"/>
  <c r="C264" i="19"/>
  <c r="L263" i="19"/>
  <c r="B385" i="19"/>
  <c r="R385" i="19" s="1"/>
  <c r="R384" i="19"/>
  <c r="T383" i="19"/>
  <c r="S383" i="19"/>
  <c r="J96" i="19" l="1"/>
  <c r="K96" i="19" s="1"/>
  <c r="M96" i="19" s="1"/>
  <c r="N108" i="19" s="1"/>
  <c r="P96" i="19"/>
  <c r="Q96" i="19" s="1"/>
  <c r="T385" i="19"/>
  <c r="S385" i="19"/>
  <c r="T384" i="19"/>
  <c r="S384" i="19"/>
  <c r="L264" i="19"/>
  <c r="C265" i="19"/>
  <c r="O96" i="19" l="1"/>
  <c r="D97" i="19" s="1"/>
  <c r="L265" i="19"/>
  <c r="C266" i="19"/>
  <c r="E97" i="19" l="1"/>
  <c r="G97" i="19"/>
  <c r="H97" i="19" s="1"/>
  <c r="C267" i="19"/>
  <c r="L266" i="19"/>
  <c r="I97" i="19" l="1"/>
  <c r="J97" i="19" s="1"/>
  <c r="K97" i="19" s="1"/>
  <c r="M97" i="19" s="1"/>
  <c r="N109" i="19" s="1"/>
  <c r="L267" i="19"/>
  <c r="C268" i="19"/>
  <c r="P97" i="19" l="1"/>
  <c r="Q97" i="19" s="1"/>
  <c r="O97" i="19"/>
  <c r="D98" i="19" s="1"/>
  <c r="C269" i="19"/>
  <c r="L268" i="19"/>
  <c r="G98" i="19" l="1"/>
  <c r="E98" i="19"/>
  <c r="C270" i="19"/>
  <c r="L269" i="19"/>
  <c r="H98" i="19" l="1"/>
  <c r="I98" i="19" s="1"/>
  <c r="J98" i="19" s="1"/>
  <c r="K98" i="19" s="1"/>
  <c r="M98" i="19" s="1"/>
  <c r="N110" i="19" s="1"/>
  <c r="C271" i="19"/>
  <c r="L270" i="19"/>
  <c r="P98" i="19" l="1"/>
  <c r="Q98" i="19" s="1"/>
  <c r="O98" i="19"/>
  <c r="D99" i="19" s="1"/>
  <c r="C272" i="19"/>
  <c r="L271" i="19"/>
  <c r="G99" i="19" l="1"/>
  <c r="E99" i="19"/>
  <c r="L272" i="19"/>
  <c r="C273" i="19"/>
  <c r="H99" i="19" l="1"/>
  <c r="I99" i="19" s="1"/>
  <c r="P99" i="19" s="1"/>
  <c r="Q99" i="19" s="1"/>
  <c r="L273" i="19"/>
  <c r="C274" i="19"/>
  <c r="J99" i="19" l="1"/>
  <c r="K99" i="19" s="1"/>
  <c r="M99" i="19" s="1"/>
  <c r="N111" i="19" s="1"/>
  <c r="C275" i="19"/>
  <c r="L274" i="19"/>
  <c r="O99" i="19" l="1"/>
  <c r="D100" i="19" s="1"/>
  <c r="E100" i="19"/>
  <c r="G100" i="19"/>
  <c r="H100" i="19" s="1"/>
  <c r="L275" i="19"/>
  <c r="C276" i="19"/>
  <c r="I100" i="19" l="1"/>
  <c r="J100" i="19" s="1"/>
  <c r="K100" i="19" s="1"/>
  <c r="M100" i="19" s="1"/>
  <c r="N112" i="19" s="1"/>
  <c r="C277" i="19"/>
  <c r="L276" i="19"/>
  <c r="P100" i="19" l="1"/>
  <c r="Q100" i="19" s="1"/>
  <c r="O100" i="19"/>
  <c r="D101" i="19" s="1"/>
  <c r="C278" i="19"/>
  <c r="L277" i="19"/>
  <c r="G101" i="19" l="1"/>
  <c r="E101" i="19"/>
  <c r="C279" i="19"/>
  <c r="L278" i="19"/>
  <c r="H101" i="19" l="1"/>
  <c r="C280" i="19"/>
  <c r="L279" i="19"/>
  <c r="I101" i="19" l="1"/>
  <c r="P101" i="19" s="1"/>
  <c r="Q101" i="19" s="1"/>
  <c r="L280" i="19"/>
  <c r="C281" i="19"/>
  <c r="J101" i="19" l="1"/>
  <c r="K101" i="19" s="1"/>
  <c r="M101" i="19" s="1"/>
  <c r="N113" i="19" s="1"/>
  <c r="L281" i="19"/>
  <c r="C282" i="19"/>
  <c r="O101" i="19" l="1"/>
  <c r="D102" i="19" s="1"/>
  <c r="G102" i="19" s="1"/>
  <c r="C283" i="19"/>
  <c r="L282" i="19"/>
  <c r="E102" i="19" l="1"/>
  <c r="H102" i="19"/>
  <c r="I102" i="19" s="1"/>
  <c r="J102" i="19" s="1"/>
  <c r="K102" i="19" s="1"/>
  <c r="M102" i="19" s="1"/>
  <c r="N114" i="19" s="1"/>
  <c r="C284" i="19"/>
  <c r="L283" i="19"/>
  <c r="P102" i="19" l="1"/>
  <c r="Q102" i="19" s="1"/>
  <c r="O102" i="19"/>
  <c r="D103" i="19" s="1"/>
  <c r="C285" i="19"/>
  <c r="L284" i="19"/>
  <c r="G103" i="19" l="1"/>
  <c r="E103" i="19"/>
  <c r="L285" i="19"/>
  <c r="C286" i="19"/>
  <c r="H103" i="19" l="1"/>
  <c r="I103" i="19" s="1"/>
  <c r="J103" i="19" s="1"/>
  <c r="K103" i="19" s="1"/>
  <c r="M103" i="19" s="1"/>
  <c r="N115" i="19" s="1"/>
  <c r="C287" i="19"/>
  <c r="L286" i="19"/>
  <c r="P103" i="19" l="1"/>
  <c r="Q103" i="19" s="1"/>
  <c r="O103" i="19"/>
  <c r="D104" i="19" s="1"/>
  <c r="C288" i="19"/>
  <c r="L287" i="19"/>
  <c r="E104" i="19" l="1"/>
  <c r="G104" i="19"/>
  <c r="H104" i="19" s="1"/>
  <c r="I104" i="19" s="1"/>
  <c r="P104" i="19" s="1"/>
  <c r="Q104" i="19" s="1"/>
  <c r="L288" i="19"/>
  <c r="C289" i="19"/>
  <c r="J104" i="19" l="1"/>
  <c r="K104" i="19" s="1"/>
  <c r="M104" i="19" s="1"/>
  <c r="N116" i="19" s="1"/>
  <c r="L289" i="19"/>
  <c r="C290" i="19"/>
  <c r="O104" i="19" l="1"/>
  <c r="D105" i="19" s="1"/>
  <c r="E105" i="19" s="1"/>
  <c r="G105" i="19"/>
  <c r="L290" i="19"/>
  <c r="C291" i="19"/>
  <c r="H105" i="19" l="1"/>
  <c r="I105" i="19" s="1"/>
  <c r="J105" i="19" s="1"/>
  <c r="K105" i="19" s="1"/>
  <c r="M105" i="19" s="1"/>
  <c r="N117" i="19" s="1"/>
  <c r="C292" i="19"/>
  <c r="L291" i="19"/>
  <c r="P105" i="19" l="1"/>
  <c r="Q105" i="19" s="1"/>
  <c r="O105" i="19"/>
  <c r="D106" i="19" s="1"/>
  <c r="C293" i="19"/>
  <c r="L292" i="19"/>
  <c r="E106" i="19" l="1"/>
  <c r="G106" i="19"/>
  <c r="H106" i="19" s="1"/>
  <c r="L293" i="19"/>
  <c r="C294" i="19"/>
  <c r="I106" i="19" l="1"/>
  <c r="J106" i="19" s="1"/>
  <c r="K106" i="19" s="1"/>
  <c r="M106" i="19" s="1"/>
  <c r="N118" i="19" s="1"/>
  <c r="C295" i="19"/>
  <c r="L294" i="19"/>
  <c r="O106" i="19" l="1"/>
  <c r="D107" i="19" s="1"/>
  <c r="P106" i="19"/>
  <c r="Q106" i="19" s="1"/>
  <c r="C296" i="19"/>
  <c r="L295" i="19"/>
  <c r="G107" i="19" l="1"/>
  <c r="E107" i="19"/>
  <c r="L296" i="19"/>
  <c r="C297" i="19"/>
  <c r="H107" i="19" l="1"/>
  <c r="I107" i="19" s="1"/>
  <c r="J107" i="19" s="1"/>
  <c r="K107" i="19" s="1"/>
  <c r="M107" i="19" s="1"/>
  <c r="N119" i="19" s="1"/>
  <c r="C298" i="19"/>
  <c r="L297" i="19"/>
  <c r="P107" i="19" l="1"/>
  <c r="Q107" i="19" s="1"/>
  <c r="O107" i="19"/>
  <c r="D108" i="19" s="1"/>
  <c r="E108" i="19" s="1"/>
  <c r="G108" i="19"/>
  <c r="L298" i="19"/>
  <c r="C299" i="19"/>
  <c r="H108" i="19" l="1"/>
  <c r="I108" i="19" s="1"/>
  <c r="J108" i="19" s="1"/>
  <c r="K108" i="19" s="1"/>
  <c r="M108" i="19" s="1"/>
  <c r="N120" i="19" s="1"/>
  <c r="C300" i="19"/>
  <c r="L299" i="19"/>
  <c r="P108" i="19" l="1"/>
  <c r="Q108" i="19" s="1"/>
  <c r="O108" i="19"/>
  <c r="D109" i="19" s="1"/>
  <c r="C301" i="19"/>
  <c r="L300" i="19"/>
  <c r="G109" i="19" l="1"/>
  <c r="E109" i="19"/>
  <c r="L301" i="19"/>
  <c r="C302" i="19"/>
  <c r="H109" i="19" l="1"/>
  <c r="I109" i="19" s="1"/>
  <c r="J109" i="19" s="1"/>
  <c r="K109" i="19" s="1"/>
  <c r="M109" i="19" s="1"/>
  <c r="N121" i="19" s="1"/>
  <c r="C303" i="19"/>
  <c r="L302" i="19"/>
  <c r="P109" i="19" l="1"/>
  <c r="Q109" i="19" s="1"/>
  <c r="O109" i="19"/>
  <c r="D110" i="19" s="1"/>
  <c r="C304" i="19"/>
  <c r="L303" i="19"/>
  <c r="E110" i="19" l="1"/>
  <c r="G110" i="19"/>
  <c r="H110" i="19" s="1"/>
  <c r="L304" i="19"/>
  <c r="C305" i="19"/>
  <c r="I110" i="19" l="1"/>
  <c r="J110" i="19" s="1"/>
  <c r="K110" i="19" s="1"/>
  <c r="M110" i="19" s="1"/>
  <c r="N122" i="19" s="1"/>
  <c r="C306" i="19"/>
  <c r="L305" i="19"/>
  <c r="P110" i="19" l="1"/>
  <c r="Q110" i="19" s="1"/>
  <c r="O110" i="19"/>
  <c r="D111" i="19" s="1"/>
  <c r="C307" i="19"/>
  <c r="L306" i="19"/>
  <c r="E111" i="19" l="1"/>
  <c r="G111" i="19"/>
  <c r="H111" i="19" s="1"/>
  <c r="I111" i="19" s="1"/>
  <c r="P111" i="19" s="1"/>
  <c r="Q111" i="19" s="1"/>
  <c r="L307" i="19"/>
  <c r="C308" i="19"/>
  <c r="J111" i="19" l="1"/>
  <c r="K111" i="19" s="1"/>
  <c r="M111" i="19" s="1"/>
  <c r="N123" i="19" s="1"/>
  <c r="L308" i="19"/>
  <c r="C309" i="19"/>
  <c r="O111" i="19" l="1"/>
  <c r="D112" i="19" s="1"/>
  <c r="C310" i="19"/>
  <c r="L309" i="19"/>
  <c r="E112" i="19" l="1"/>
  <c r="G112" i="19"/>
  <c r="H112" i="19" s="1"/>
  <c r="L310" i="19"/>
  <c r="C311" i="19"/>
  <c r="I112" i="19" l="1"/>
  <c r="L311" i="19"/>
  <c r="C312" i="19"/>
  <c r="J112" i="19" l="1"/>
  <c r="K112" i="19" s="1"/>
  <c r="M112" i="19" s="1"/>
  <c r="N124" i="19" s="1"/>
  <c r="P112" i="19"/>
  <c r="Q112" i="19" s="1"/>
  <c r="C313" i="19"/>
  <c r="L312" i="19"/>
  <c r="O112" i="19" l="1"/>
  <c r="D113" i="19" s="1"/>
  <c r="C314" i="19"/>
  <c r="L313" i="19"/>
  <c r="G113" i="19" l="1"/>
  <c r="E113" i="19"/>
  <c r="C315" i="19"/>
  <c r="L314" i="19"/>
  <c r="H113" i="19" l="1"/>
  <c r="I113" i="19" s="1"/>
  <c r="J113" i="19" s="1"/>
  <c r="K113" i="19" s="1"/>
  <c r="M113" i="19" s="1"/>
  <c r="N125" i="19" s="1"/>
  <c r="L315" i="19"/>
  <c r="C316" i="19"/>
  <c r="P113" i="19" l="1"/>
  <c r="Q113" i="19" s="1"/>
  <c r="O113" i="19"/>
  <c r="D114" i="19" s="1"/>
  <c r="E114" i="19" s="1"/>
  <c r="G114" i="19"/>
  <c r="L316" i="19"/>
  <c r="C317" i="19"/>
  <c r="H114" i="19" l="1"/>
  <c r="I114" i="19" s="1"/>
  <c r="J114" i="19" s="1"/>
  <c r="K114" i="19" s="1"/>
  <c r="M114" i="19" s="1"/>
  <c r="N126" i="19" s="1"/>
  <c r="C318" i="19"/>
  <c r="L317" i="19"/>
  <c r="P114" i="19" l="1"/>
  <c r="Q114" i="19" s="1"/>
  <c r="O114" i="19"/>
  <c r="D115" i="19" s="1"/>
  <c r="E115" i="19" s="1"/>
  <c r="G115" i="19"/>
  <c r="L318" i="19"/>
  <c r="C319" i="19"/>
  <c r="H115" i="19" l="1"/>
  <c r="I115" i="19" s="1"/>
  <c r="J115" i="19" s="1"/>
  <c r="K115" i="19" s="1"/>
  <c r="M115" i="19" s="1"/>
  <c r="N127" i="19" s="1"/>
  <c r="C320" i="19"/>
  <c r="L319" i="19"/>
  <c r="P115" i="19" l="1"/>
  <c r="Q115" i="19" s="1"/>
  <c r="O115" i="19"/>
  <c r="D116" i="19" s="1"/>
  <c r="E116" i="19" s="1"/>
  <c r="G116" i="19"/>
  <c r="C321" i="19"/>
  <c r="L320" i="19"/>
  <c r="H116" i="19" l="1"/>
  <c r="I116" i="19" s="1"/>
  <c r="J116" i="19" s="1"/>
  <c r="K116" i="19" s="1"/>
  <c r="M116" i="19" s="1"/>
  <c r="N128" i="19" s="1"/>
  <c r="L321" i="19"/>
  <c r="C322" i="19"/>
  <c r="O116" i="19" l="1"/>
  <c r="D117" i="19" s="1"/>
  <c r="P116" i="19"/>
  <c r="Q116" i="19" s="1"/>
  <c r="C323" i="19"/>
  <c r="L322" i="19"/>
  <c r="E117" i="19" l="1"/>
  <c r="G117" i="19"/>
  <c r="H117" i="19" s="1"/>
  <c r="I117" i="19" s="1"/>
  <c r="J117" i="19" s="1"/>
  <c r="K117" i="19" s="1"/>
  <c r="M117" i="19" s="1"/>
  <c r="N129" i="19" s="1"/>
  <c r="L323" i="19"/>
  <c r="C324" i="19"/>
  <c r="O117" i="19" l="1"/>
  <c r="D118" i="19" s="1"/>
  <c r="P117" i="19"/>
  <c r="Q117" i="19" s="1"/>
  <c r="L324" i="19"/>
  <c r="C325" i="19"/>
  <c r="E118" i="19" l="1"/>
  <c r="G118" i="19"/>
  <c r="H118" i="19" s="1"/>
  <c r="L325" i="19"/>
  <c r="C326" i="19"/>
  <c r="I118" i="19" l="1"/>
  <c r="J118" i="19" s="1"/>
  <c r="K118" i="19" s="1"/>
  <c r="M118" i="19" s="1"/>
  <c r="N130" i="19" s="1"/>
  <c r="C327" i="19"/>
  <c r="L326" i="19"/>
  <c r="P118" i="19" l="1"/>
  <c r="Q118" i="19" s="1"/>
  <c r="O118" i="19"/>
  <c r="D119" i="19" s="1"/>
  <c r="C328" i="19"/>
  <c r="L327" i="19"/>
  <c r="E119" i="19" l="1"/>
  <c r="G119" i="19"/>
  <c r="H119" i="19" s="1"/>
  <c r="I119" i="19" s="1"/>
  <c r="P119" i="19" s="1"/>
  <c r="Q119" i="19" s="1"/>
  <c r="L328" i="19"/>
  <c r="C329" i="19"/>
  <c r="J119" i="19" l="1"/>
  <c r="K119" i="19" s="1"/>
  <c r="M119" i="19" s="1"/>
  <c r="N131" i="19" s="1"/>
  <c r="C330" i="19"/>
  <c r="L329" i="19"/>
  <c r="O119" i="19" l="1"/>
  <c r="D120" i="19" s="1"/>
  <c r="L330" i="19"/>
  <c r="C331" i="19"/>
  <c r="G120" i="19" l="1"/>
  <c r="E120" i="19"/>
  <c r="C332" i="19"/>
  <c r="L331" i="19"/>
  <c r="H120" i="19" l="1"/>
  <c r="I120" i="19" s="1"/>
  <c r="J120" i="19"/>
  <c r="K120" i="19" s="1"/>
  <c r="M120" i="19" s="1"/>
  <c r="N132" i="19" s="1"/>
  <c r="C333" i="19"/>
  <c r="L332" i="19"/>
  <c r="P120" i="19" l="1"/>
  <c r="Q120" i="19" s="1"/>
  <c r="O120" i="19"/>
  <c r="D121" i="19" s="1"/>
  <c r="L333" i="19"/>
  <c r="C334" i="19"/>
  <c r="G121" i="19" l="1"/>
  <c r="E121" i="19"/>
  <c r="C335" i="19"/>
  <c r="L334" i="19"/>
  <c r="H121" i="19" l="1"/>
  <c r="I121" i="19"/>
  <c r="J121" i="19" s="1"/>
  <c r="K121" i="19" s="1"/>
  <c r="M121" i="19" s="1"/>
  <c r="N133" i="19" s="1"/>
  <c r="C336" i="19"/>
  <c r="L335" i="19"/>
  <c r="P121" i="19" l="1"/>
  <c r="Q121" i="19" s="1"/>
  <c r="O121" i="19"/>
  <c r="D122" i="19" s="1"/>
  <c r="C337" i="19"/>
  <c r="L336" i="19"/>
  <c r="G122" i="19" l="1"/>
  <c r="E122" i="19"/>
  <c r="C338" i="19"/>
  <c r="L337" i="19"/>
  <c r="H122" i="19" l="1"/>
  <c r="L338" i="19"/>
  <c r="C339" i="19"/>
  <c r="I122" i="19" l="1"/>
  <c r="J122" i="19"/>
  <c r="K122" i="19" s="1"/>
  <c r="M122" i="19" s="1"/>
  <c r="N134" i="19" s="1"/>
  <c r="L339" i="19"/>
  <c r="C340" i="19"/>
  <c r="P122" i="19" l="1"/>
  <c r="Q122" i="19" s="1"/>
  <c r="O122" i="19"/>
  <c r="D123" i="19" s="1"/>
  <c r="C341" i="19"/>
  <c r="L340" i="19"/>
  <c r="G123" i="19" l="1"/>
  <c r="E123" i="19"/>
  <c r="L341" i="19"/>
  <c r="C342" i="19"/>
  <c r="H123" i="19" l="1"/>
  <c r="C343" i="19"/>
  <c r="L342" i="19"/>
  <c r="I123" i="19" l="1"/>
  <c r="J123" i="19" s="1"/>
  <c r="K123" i="19" s="1"/>
  <c r="M123" i="19" s="1"/>
  <c r="N135" i="19" s="1"/>
  <c r="C344" i="19"/>
  <c r="L343" i="19"/>
  <c r="O123" i="19" l="1"/>
  <c r="D124" i="19" s="1"/>
  <c r="P123" i="19"/>
  <c r="Q123" i="19" s="1"/>
  <c r="L344" i="19"/>
  <c r="C345" i="19"/>
  <c r="G124" i="19" l="1"/>
  <c r="E124" i="19"/>
  <c r="C346" i="19"/>
  <c r="L345" i="19"/>
  <c r="H124" i="19" l="1"/>
  <c r="I124" i="19"/>
  <c r="J124" i="19" s="1"/>
  <c r="K124" i="19" s="1"/>
  <c r="M124" i="19" s="1"/>
  <c r="N136" i="19" s="1"/>
  <c r="L346" i="19"/>
  <c r="C347" i="19"/>
  <c r="P124" i="19" l="1"/>
  <c r="Q124" i="19" s="1"/>
  <c r="O124" i="19"/>
  <c r="D125" i="19" s="1"/>
  <c r="C348" i="19"/>
  <c r="L347" i="19"/>
  <c r="G125" i="19" l="1"/>
  <c r="E125" i="19"/>
  <c r="C349" i="19"/>
  <c r="L348" i="19"/>
  <c r="H125" i="19" l="1"/>
  <c r="I125" i="19" s="1"/>
  <c r="J125" i="19"/>
  <c r="K125" i="19" s="1"/>
  <c r="M125" i="19" s="1"/>
  <c r="N137" i="19" s="1"/>
  <c r="L349" i="19"/>
  <c r="C350" i="19"/>
  <c r="P125" i="19" l="1"/>
  <c r="Q125" i="19" s="1"/>
  <c r="O125" i="19"/>
  <c r="D126" i="19" s="1"/>
  <c r="C351" i="19"/>
  <c r="L350" i="19"/>
  <c r="E126" i="19" l="1"/>
  <c r="G126" i="19"/>
  <c r="H126" i="19" s="1"/>
  <c r="I126" i="19" s="1"/>
  <c r="J126" i="19" s="1"/>
  <c r="K126" i="19" s="1"/>
  <c r="M126" i="19" s="1"/>
  <c r="N138" i="19" s="1"/>
  <c r="C352" i="19"/>
  <c r="L351" i="19"/>
  <c r="O126" i="19" l="1"/>
  <c r="D127" i="19" s="1"/>
  <c r="P126" i="19"/>
  <c r="Q126" i="19" s="1"/>
  <c r="G127" i="19"/>
  <c r="E127" i="19"/>
  <c r="H127" i="19"/>
  <c r="I127" i="19" s="1"/>
  <c r="J127" i="19" s="1"/>
  <c r="K127" i="19" s="1"/>
  <c r="M127" i="19" s="1"/>
  <c r="N139" i="19" s="1"/>
  <c r="L352" i="19"/>
  <c r="C353" i="19"/>
  <c r="O127" i="19" l="1"/>
  <c r="D128" i="19" s="1"/>
  <c r="P127" i="19"/>
  <c r="Q127" i="19" s="1"/>
  <c r="L353" i="19"/>
  <c r="C354" i="19"/>
  <c r="G128" i="19" l="1"/>
  <c r="E128" i="19"/>
  <c r="C355" i="19"/>
  <c r="L354" i="19"/>
  <c r="H128" i="19" l="1"/>
  <c r="C356" i="19"/>
  <c r="L355" i="19"/>
  <c r="I128" i="19" l="1"/>
  <c r="J128" i="19" s="1"/>
  <c r="K128" i="19" s="1"/>
  <c r="M128" i="19" s="1"/>
  <c r="N140" i="19" s="1"/>
  <c r="C357" i="19"/>
  <c r="L356" i="19"/>
  <c r="O128" i="19" l="1"/>
  <c r="D129" i="19" s="1"/>
  <c r="P128" i="19"/>
  <c r="Q128" i="19" s="1"/>
  <c r="C358" i="19"/>
  <c r="L357" i="19"/>
  <c r="E129" i="19" l="1"/>
  <c r="G129" i="19"/>
  <c r="H129" i="19" s="1"/>
  <c r="I129" i="19" s="1"/>
  <c r="L358" i="19"/>
  <c r="C359" i="19"/>
  <c r="P129" i="19" l="1"/>
  <c r="Q129" i="19" s="1"/>
  <c r="J129" i="19"/>
  <c r="K129" i="19" s="1"/>
  <c r="M129" i="19" s="1"/>
  <c r="N141" i="19" s="1"/>
  <c r="C360" i="19"/>
  <c r="L359" i="19"/>
  <c r="O129" i="19" l="1"/>
  <c r="D130" i="19" s="1"/>
  <c r="C361" i="19"/>
  <c r="L360" i="19"/>
  <c r="E130" i="19" l="1"/>
  <c r="G130" i="19"/>
  <c r="H130" i="19" s="1"/>
  <c r="L361" i="19"/>
  <c r="C362" i="19"/>
  <c r="I130" i="19" l="1"/>
  <c r="J130" i="19" s="1"/>
  <c r="K130" i="19" s="1"/>
  <c r="M130" i="19" s="1"/>
  <c r="N142" i="19" s="1"/>
  <c r="C363" i="19"/>
  <c r="L362" i="19"/>
  <c r="P130" i="19" l="1"/>
  <c r="Q130" i="19" s="1"/>
  <c r="O130" i="19"/>
  <c r="D131" i="19" s="1"/>
  <c r="C364" i="19"/>
  <c r="L363" i="19"/>
  <c r="E131" i="19" l="1"/>
  <c r="G131" i="19"/>
  <c r="H131" i="19" s="1"/>
  <c r="C365" i="19"/>
  <c r="L364" i="19"/>
  <c r="I131" i="19" l="1"/>
  <c r="J131" i="19" s="1"/>
  <c r="K131" i="19" s="1"/>
  <c r="M131" i="19" s="1"/>
  <c r="N143" i="19" s="1"/>
  <c r="C366" i="19"/>
  <c r="L365" i="19"/>
  <c r="P131" i="19" l="1"/>
  <c r="Q131" i="19" s="1"/>
  <c r="O131" i="19"/>
  <c r="D132" i="19" s="1"/>
  <c r="L366" i="19"/>
  <c r="C367" i="19"/>
  <c r="G132" i="19" l="1"/>
  <c r="E132" i="19"/>
  <c r="C368" i="19"/>
  <c r="L367" i="19"/>
  <c r="H132" i="19" l="1"/>
  <c r="C369" i="19"/>
  <c r="L368" i="19"/>
  <c r="I132" i="19" l="1"/>
  <c r="J132" i="19"/>
  <c r="K132" i="19" s="1"/>
  <c r="M132" i="19" s="1"/>
  <c r="N144" i="19" s="1"/>
  <c r="L369" i="19"/>
  <c r="C370" i="19"/>
  <c r="P132" i="19" l="1"/>
  <c r="Q132" i="19" s="1"/>
  <c r="O132" i="19"/>
  <c r="D133" i="19" s="1"/>
  <c r="C371" i="19"/>
  <c r="L370" i="19"/>
  <c r="E133" i="19" l="1"/>
  <c r="G133" i="19"/>
  <c r="H133" i="19" s="1"/>
  <c r="I133" i="19" s="1"/>
  <c r="J133" i="19" s="1"/>
  <c r="K133" i="19" s="1"/>
  <c r="M133" i="19" s="1"/>
  <c r="N145" i="19" s="1"/>
  <c r="C372" i="19"/>
  <c r="L371" i="19"/>
  <c r="O133" i="19" l="1"/>
  <c r="D134" i="19" s="1"/>
  <c r="P133" i="19"/>
  <c r="Q133" i="19" s="1"/>
  <c r="E134" i="19"/>
  <c r="G134" i="19"/>
  <c r="H134" i="19" s="1"/>
  <c r="C373" i="19"/>
  <c r="L372" i="19"/>
  <c r="I134" i="19" l="1"/>
  <c r="J134" i="19" s="1"/>
  <c r="K134" i="19" s="1"/>
  <c r="M134" i="19" s="1"/>
  <c r="N146" i="19" s="1"/>
  <c r="C374" i="19"/>
  <c r="L373" i="19"/>
  <c r="O134" i="19" l="1"/>
  <c r="D135" i="19" s="1"/>
  <c r="P134" i="19"/>
  <c r="Q134" i="19" s="1"/>
  <c r="L374" i="19"/>
  <c r="C375" i="19"/>
  <c r="E135" i="19" l="1"/>
  <c r="G135" i="19"/>
  <c r="H135" i="19" s="1"/>
  <c r="C376" i="19"/>
  <c r="L375" i="19"/>
  <c r="I135" i="19" l="1"/>
  <c r="J135" i="19" s="1"/>
  <c r="K135" i="19" s="1"/>
  <c r="M135" i="19" s="1"/>
  <c r="N147" i="19" s="1"/>
  <c r="C377" i="19"/>
  <c r="L376" i="19"/>
  <c r="P135" i="19" l="1"/>
  <c r="Q135" i="19" s="1"/>
  <c r="O135" i="19"/>
  <c r="D136" i="19" s="1"/>
  <c r="L377" i="19"/>
  <c r="C378" i="19"/>
  <c r="E136" i="19" l="1"/>
  <c r="G136" i="19"/>
  <c r="H136" i="19" s="1"/>
  <c r="C379" i="19"/>
  <c r="L378" i="19"/>
  <c r="I136" i="19" l="1"/>
  <c r="J136" i="19" s="1"/>
  <c r="K136" i="19" s="1"/>
  <c r="M136" i="19" s="1"/>
  <c r="N148" i="19" s="1"/>
  <c r="C380" i="19"/>
  <c r="L379" i="19"/>
  <c r="O136" i="19" l="1"/>
  <c r="D137" i="19" s="1"/>
  <c r="P136" i="19"/>
  <c r="Q136" i="19" s="1"/>
  <c r="C381" i="19"/>
  <c r="L380" i="19"/>
  <c r="G137" i="19" l="1"/>
  <c r="E137" i="19"/>
  <c r="C382" i="19"/>
  <c r="L381" i="19"/>
  <c r="H137" i="19" l="1"/>
  <c r="I137" i="19" s="1"/>
  <c r="P137" i="19" s="1"/>
  <c r="Q137" i="19" s="1"/>
  <c r="J137" i="19"/>
  <c r="K137" i="19" s="1"/>
  <c r="M137" i="19" s="1"/>
  <c r="N149" i="19" s="1"/>
  <c r="L382" i="19"/>
  <c r="C383" i="19"/>
  <c r="O137" i="19" l="1"/>
  <c r="D138" i="19" s="1"/>
  <c r="C384" i="19"/>
  <c r="L383" i="19"/>
  <c r="E138" i="19" l="1"/>
  <c r="G138" i="19"/>
  <c r="H138" i="19" s="1"/>
  <c r="C385" i="19"/>
  <c r="L384" i="19"/>
  <c r="I138" i="19" l="1"/>
  <c r="J138" i="19" s="1"/>
  <c r="K138" i="19" s="1"/>
  <c r="M138" i="19" s="1"/>
  <c r="N150" i="19" s="1"/>
  <c r="L385" i="19"/>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3" i="6" s="1"/>
  <c r="I62" i="6"/>
  <c r="I65"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P138" i="19" l="1"/>
  <c r="Q138" i="19" s="1"/>
  <c r="O138" i="19"/>
  <c r="D139" i="19" s="1"/>
  <c r="I66" i="6"/>
  <c r="I64" i="6"/>
  <c r="E139" i="19" l="1"/>
  <c r="G139" i="19"/>
  <c r="H139" i="19" s="1"/>
  <c r="I139" i="19" s="1"/>
  <c r="J139" i="19" s="1"/>
  <c r="K139" i="19" s="1"/>
  <c r="M139" i="19" s="1"/>
  <c r="N151" i="19" s="1"/>
  <c r="O139" i="19" l="1"/>
  <c r="D140" i="19" s="1"/>
  <c r="P139" i="19"/>
  <c r="Q139" i="19" s="1"/>
  <c r="E140" i="19" l="1"/>
  <c r="G140" i="19"/>
  <c r="H140" i="19" s="1"/>
  <c r="I140" i="19" l="1"/>
  <c r="J140" i="19" s="1"/>
  <c r="K140" i="19" s="1"/>
  <c r="M140" i="19" s="1"/>
  <c r="N152" i="19" s="1"/>
  <c r="O140" i="19" l="1"/>
  <c r="D141" i="19" s="1"/>
  <c r="P140" i="19"/>
  <c r="Q140" i="19" s="1"/>
  <c r="G141" i="19"/>
  <c r="E141" i="19"/>
  <c r="H141" i="19" l="1"/>
  <c r="I141" i="19" s="1"/>
  <c r="J141" i="19" s="1"/>
  <c r="K141" i="19" s="1"/>
  <c r="M141" i="19" s="1"/>
  <c r="N153" i="19" s="1"/>
  <c r="P141" i="19" l="1"/>
  <c r="Q141" i="19" s="1"/>
  <c r="O141" i="19"/>
  <c r="D142" i="19" s="1"/>
  <c r="E142" i="19" s="1"/>
  <c r="G142" i="19" l="1"/>
  <c r="H142" i="19" s="1"/>
  <c r="I142" i="19" s="1"/>
  <c r="J142" i="19" s="1"/>
  <c r="K142" i="19" s="1"/>
  <c r="M142" i="19" s="1"/>
  <c r="N154" i="19" s="1"/>
  <c r="P142" i="19" l="1"/>
  <c r="Q142" i="19" s="1"/>
  <c r="O142" i="19"/>
  <c r="D143" i="19" s="1"/>
  <c r="E143" i="19" l="1"/>
  <c r="G143" i="19"/>
  <c r="H143" i="19" s="1"/>
  <c r="I143" i="19" s="1"/>
  <c r="J143" i="19" s="1"/>
  <c r="O143" i="19" l="1"/>
  <c r="D144" i="19" s="1"/>
  <c r="K143" i="19"/>
  <c r="M143" i="19" s="1"/>
  <c r="N155" i="19" s="1"/>
  <c r="P143" i="19"/>
  <c r="Q143" i="19" s="1"/>
  <c r="E144" i="19" l="1"/>
  <c r="G144" i="19"/>
  <c r="H144" i="19" s="1"/>
  <c r="I144" i="19" s="1"/>
  <c r="J144" i="19" s="1"/>
  <c r="K144" i="19" s="1"/>
  <c r="M144" i="19" s="1"/>
  <c r="N156" i="19" s="1"/>
  <c r="P144" i="19" l="1"/>
  <c r="Q144" i="19" s="1"/>
  <c r="O144" i="19"/>
  <c r="D145" i="19" s="1"/>
  <c r="E145" i="19" l="1"/>
  <c r="G145" i="19"/>
  <c r="H145" i="19" s="1"/>
  <c r="I145" i="19" l="1"/>
  <c r="J145" i="19" s="1"/>
  <c r="K145" i="19" s="1"/>
  <c r="M145" i="19" s="1"/>
  <c r="N157" i="19" s="1"/>
  <c r="P145" i="19" l="1"/>
  <c r="Q145" i="19" s="1"/>
  <c r="O145" i="19"/>
  <c r="D146" i="19" s="1"/>
  <c r="E146" i="19" l="1"/>
  <c r="G146" i="19"/>
  <c r="H146" i="19" s="1"/>
  <c r="I146" i="19" s="1"/>
  <c r="P146" i="19" l="1"/>
  <c r="Q146" i="19" s="1"/>
  <c r="J146" i="19"/>
  <c r="K146" i="19" s="1"/>
  <c r="M146" i="19" s="1"/>
  <c r="N158" i="19" s="1"/>
  <c r="O146" i="19" l="1"/>
  <c r="D147" i="19" s="1"/>
  <c r="G147" i="19" s="1"/>
  <c r="E147" i="19" l="1"/>
  <c r="H147" i="19"/>
  <c r="I147" i="19" l="1"/>
  <c r="P147" i="19" s="1"/>
  <c r="Q147" i="19" s="1"/>
  <c r="J147" i="19"/>
  <c r="O147" i="19" l="1"/>
  <c r="D148" i="19" s="1"/>
  <c r="K147" i="19"/>
  <c r="M147" i="19" s="1"/>
  <c r="N159" i="19" s="1"/>
  <c r="E148" i="19" l="1"/>
  <c r="G148" i="19"/>
  <c r="H148" i="19" s="1"/>
  <c r="I148" i="19" l="1"/>
  <c r="P148" i="19" l="1"/>
  <c r="Q148" i="19" s="1"/>
  <c r="J148" i="19"/>
  <c r="K148" i="19" s="1"/>
  <c r="M148" i="19" s="1"/>
  <c r="N160" i="19" s="1"/>
  <c r="O148" i="19" l="1"/>
  <c r="D149" i="19" s="1"/>
  <c r="E149" i="19" l="1"/>
  <c r="G149" i="19"/>
  <c r="H149" i="19" s="1"/>
  <c r="I149" i="19" s="1"/>
  <c r="P149" i="19" l="1"/>
  <c r="Q149" i="19" s="1"/>
  <c r="J149" i="19"/>
  <c r="O149" i="19" l="1"/>
  <c r="D150" i="19" s="1"/>
  <c r="K149" i="19"/>
  <c r="M149" i="19" s="1"/>
  <c r="N161" i="19" s="1"/>
  <c r="E150" i="19" l="1"/>
  <c r="G150" i="19"/>
  <c r="H150" i="19" s="1"/>
  <c r="I150" i="19" l="1"/>
  <c r="P150" i="19" s="1"/>
  <c r="Q150" i="19" s="1"/>
  <c r="J150" i="19" l="1"/>
  <c r="K150" i="19" s="1"/>
  <c r="M150" i="19" s="1"/>
  <c r="N162" i="19" s="1"/>
  <c r="O150" i="19" l="1"/>
  <c r="D151" i="19" s="1"/>
  <c r="E151" i="19" l="1"/>
  <c r="G151" i="19"/>
  <c r="H151" i="19" l="1"/>
  <c r="I151" i="19" l="1"/>
  <c r="P151" i="19" s="1"/>
  <c r="Q151" i="19" s="1"/>
  <c r="J151" i="19"/>
  <c r="K151" i="19" s="1"/>
  <c r="M151" i="19" s="1"/>
  <c r="N163" i="19" s="1"/>
  <c r="O151" i="19" l="1"/>
  <c r="D152" i="19" s="1"/>
  <c r="E152" i="19" l="1"/>
  <c r="G152" i="19"/>
  <c r="H152" i="19" s="1"/>
  <c r="I152" i="19" s="1"/>
  <c r="P152" i="19" l="1"/>
  <c r="Q152" i="19" s="1"/>
  <c r="J152" i="19"/>
  <c r="O152" i="19" l="1"/>
  <c r="D153" i="19" s="1"/>
  <c r="K152" i="19"/>
  <c r="M152" i="19" s="1"/>
  <c r="N164" i="19" s="1"/>
  <c r="E153" i="19" l="1"/>
  <c r="G153" i="19"/>
  <c r="H153" i="19" s="1"/>
  <c r="I153" i="19" s="1"/>
  <c r="J153" i="19" s="1"/>
  <c r="K153" i="19" s="1"/>
  <c r="M153" i="19" s="1"/>
  <c r="N165" i="19" s="1"/>
  <c r="O153" i="19" l="1"/>
  <c r="D154" i="19" s="1"/>
  <c r="P153" i="19"/>
  <c r="Q153" i="19" s="1"/>
  <c r="E154" i="19" l="1"/>
  <c r="G154" i="19"/>
  <c r="H154" i="19" s="1"/>
  <c r="I154" i="19" l="1"/>
  <c r="P154" i="19" s="1"/>
  <c r="Q154" i="19" s="1"/>
  <c r="J154" i="19" l="1"/>
  <c r="K154" i="19" s="1"/>
  <c r="M154" i="19" s="1"/>
  <c r="N166" i="19" s="1"/>
  <c r="O154" i="19" l="1"/>
  <c r="D155" i="19" s="1"/>
  <c r="E155" i="19" l="1"/>
  <c r="G155" i="19"/>
  <c r="H155" i="19" s="1"/>
  <c r="I155" i="19" s="1"/>
  <c r="P155" i="19" s="1"/>
  <c r="Q155" i="19" s="1"/>
  <c r="J155" i="19" l="1"/>
  <c r="O155" i="19" l="1"/>
  <c r="D156" i="19" s="1"/>
  <c r="K155" i="19"/>
  <c r="M155" i="19" s="1"/>
  <c r="N167" i="19" s="1"/>
  <c r="E156" i="19" l="1"/>
  <c r="G156" i="19"/>
  <c r="H156" i="19" s="1"/>
  <c r="I156" i="19" s="1"/>
  <c r="P156" i="19" l="1"/>
  <c r="Q156" i="19" s="1"/>
  <c r="J156" i="19"/>
  <c r="K156" i="19" s="1"/>
  <c r="M156" i="19" s="1"/>
  <c r="N168" i="19" s="1"/>
  <c r="O156" i="19" l="1"/>
  <c r="D157" i="19" s="1"/>
  <c r="G157" i="19" l="1"/>
  <c r="E157" i="19"/>
  <c r="H157" i="19" l="1"/>
  <c r="I157" i="19" s="1"/>
  <c r="J157" i="19" s="1"/>
  <c r="K157" i="19" s="1"/>
  <c r="M157" i="19" s="1"/>
  <c r="N169" i="19" s="1"/>
  <c r="P157" i="19" l="1"/>
  <c r="Q157" i="19" s="1"/>
  <c r="O157" i="19"/>
  <c r="D158" i="19" s="1"/>
  <c r="E158" i="19" l="1"/>
  <c r="G158" i="19"/>
  <c r="H158" i="19" s="1"/>
  <c r="I158" i="19" l="1"/>
  <c r="J158" i="19"/>
  <c r="K158" i="19" s="1"/>
  <c r="M158" i="19" s="1"/>
  <c r="N170" i="19" s="1"/>
  <c r="P158" i="19"/>
  <c r="Q158" i="19" s="1"/>
  <c r="O158" i="19" l="1"/>
  <c r="D159" i="19" s="1"/>
  <c r="G159" i="19" l="1"/>
  <c r="E159" i="19"/>
  <c r="H159" i="19" l="1"/>
  <c r="I159" i="19" l="1"/>
  <c r="J159" i="19"/>
  <c r="K159" i="19" s="1"/>
  <c r="M159" i="19" s="1"/>
  <c r="N171" i="19" s="1"/>
  <c r="P159" i="19" l="1"/>
  <c r="Q159" i="19" s="1"/>
  <c r="O159" i="19"/>
  <c r="D160" i="19" s="1"/>
  <c r="G160" i="19" l="1"/>
  <c r="E160" i="19"/>
  <c r="H160" i="19" l="1"/>
  <c r="I160" i="19" l="1"/>
  <c r="J160" i="19" s="1"/>
  <c r="K160" i="19" s="1"/>
  <c r="M160" i="19" s="1"/>
  <c r="N172" i="19" s="1"/>
  <c r="P160" i="19"/>
  <c r="Q160" i="19" s="1"/>
  <c r="O160" i="19" l="1"/>
  <c r="D161" i="19" s="1"/>
  <c r="E161" i="19"/>
  <c r="G161" i="19"/>
  <c r="H161" i="19" s="1"/>
  <c r="I161" i="19" s="1"/>
  <c r="J161" i="19" s="1"/>
  <c r="K161" i="19" s="1"/>
  <c r="M161" i="19" s="1"/>
  <c r="N173" i="19" s="1"/>
  <c r="P161" i="19" l="1"/>
  <c r="Q161" i="19" s="1"/>
  <c r="O161" i="19"/>
  <c r="D162" i="19" s="1"/>
  <c r="E162" i="19" s="1"/>
  <c r="G162" i="19" l="1"/>
  <c r="H162" i="19" s="1"/>
  <c r="I162" i="19" s="1"/>
  <c r="J162" i="19"/>
  <c r="K162" i="19" s="1"/>
  <c r="M162" i="19" s="1"/>
  <c r="N174" i="19" s="1"/>
  <c r="P162" i="19" l="1"/>
  <c r="Q162" i="19" s="1"/>
  <c r="O162" i="19"/>
  <c r="D163" i="19" s="1"/>
  <c r="E163" i="19" l="1"/>
  <c r="G163" i="19"/>
  <c r="H163" i="19" s="1"/>
  <c r="I163" i="19" l="1"/>
  <c r="J163" i="19" l="1"/>
  <c r="K163" i="19" s="1"/>
  <c r="M163" i="19" s="1"/>
  <c r="N175" i="19" s="1"/>
  <c r="P163" i="19"/>
  <c r="Q163" i="19" s="1"/>
  <c r="O163" i="19" l="1"/>
  <c r="D164" i="19" s="1"/>
  <c r="E164" i="19" l="1"/>
  <c r="G164" i="19"/>
  <c r="H164" i="19" s="1"/>
  <c r="I164" i="19" s="1"/>
  <c r="P164" i="19" l="1"/>
  <c r="Q164" i="19" s="1"/>
  <c r="J164" i="19"/>
  <c r="O164" i="19" l="1"/>
  <c r="D165" i="19" s="1"/>
  <c r="K164" i="19"/>
  <c r="M164" i="19" s="1"/>
  <c r="N176" i="19" s="1"/>
  <c r="E165" i="19" l="1"/>
  <c r="G165" i="19"/>
  <c r="H165" i="19" s="1"/>
  <c r="I165" i="19" s="1"/>
  <c r="P165" i="19" l="1"/>
  <c r="Q165" i="19" s="1"/>
  <c r="J165" i="19"/>
  <c r="K165" i="19" s="1"/>
  <c r="M165" i="19" s="1"/>
  <c r="N177" i="19" s="1"/>
  <c r="O165" i="19" l="1"/>
  <c r="D166" i="19" s="1"/>
  <c r="E166" i="19" l="1"/>
  <c r="G166" i="19"/>
  <c r="H166" i="19" s="1"/>
  <c r="I166" i="19" s="1"/>
  <c r="P166" i="19" l="1"/>
  <c r="Q166" i="19" s="1"/>
  <c r="J166" i="19"/>
  <c r="O166" i="19" l="1"/>
  <c r="D167" i="19" s="1"/>
  <c r="K166" i="19"/>
  <c r="M166" i="19" s="1"/>
  <c r="N178" i="19" s="1"/>
  <c r="E167" i="19" l="1"/>
  <c r="G167" i="19"/>
  <c r="H167" i="19" l="1"/>
  <c r="I167" i="19" s="1"/>
  <c r="J167" i="19" s="1"/>
  <c r="K167" i="19" s="1"/>
  <c r="M167" i="19" s="1"/>
  <c r="N179" i="19" s="1"/>
  <c r="P167" i="19" l="1"/>
  <c r="Q167" i="19" s="1"/>
  <c r="O167" i="19"/>
  <c r="D168" i="19" s="1"/>
  <c r="E168" i="19" s="1"/>
  <c r="G168" i="19"/>
  <c r="H168" i="19" l="1"/>
  <c r="I168" i="19" s="1"/>
  <c r="J168" i="19" s="1"/>
  <c r="K168" i="19" s="1"/>
  <c r="M168" i="19" s="1"/>
  <c r="N180" i="19" s="1"/>
  <c r="P168" i="19" l="1"/>
  <c r="Q168" i="19" s="1"/>
  <c r="O168" i="19"/>
  <c r="D169" i="19" s="1"/>
  <c r="E169" i="19" s="1"/>
  <c r="G169" i="19"/>
  <c r="H169" i="19" l="1"/>
  <c r="I169" i="19" s="1"/>
  <c r="P169" i="19" l="1"/>
  <c r="Q169" i="19" s="1"/>
  <c r="J169" i="19"/>
  <c r="K169" i="19" s="1"/>
  <c r="M169" i="19" s="1"/>
  <c r="N181" i="19" s="1"/>
  <c r="O169" i="19" l="1"/>
  <c r="D170" i="19" s="1"/>
  <c r="E170" i="19"/>
  <c r="G170" i="19"/>
  <c r="H170" i="19" s="1"/>
  <c r="I170" i="19" s="1"/>
  <c r="J170" i="19" s="1"/>
  <c r="K170" i="19" s="1"/>
  <c r="M170" i="19" s="1"/>
  <c r="N182" i="19" s="1"/>
  <c r="O170" i="19" l="1"/>
  <c r="D171" i="19" s="1"/>
  <c r="P170" i="19"/>
  <c r="Q170" i="19" s="1"/>
  <c r="E171" i="19" l="1"/>
  <c r="G171" i="19"/>
  <c r="H171" i="19" s="1"/>
  <c r="I171" i="19" l="1"/>
  <c r="J171" i="19" s="1"/>
  <c r="K171" i="19" s="1"/>
  <c r="M171" i="19" s="1"/>
  <c r="N183" i="19" s="1"/>
  <c r="P171" i="19"/>
  <c r="Q171" i="19" s="1"/>
  <c r="O171" i="19" l="1"/>
  <c r="D172" i="19" s="1"/>
  <c r="E172" i="19" l="1"/>
  <c r="G172" i="19"/>
  <c r="H172" i="19" s="1"/>
  <c r="I172" i="19" l="1"/>
  <c r="J172" i="19" s="1"/>
  <c r="P172" i="19" l="1"/>
  <c r="Q172" i="19" s="1"/>
  <c r="O172" i="19"/>
  <c r="D173" i="19" s="1"/>
  <c r="K172" i="19"/>
  <c r="M172" i="19" s="1"/>
  <c r="N184" i="19" s="1"/>
  <c r="E173" i="19" l="1"/>
  <c r="G173" i="19"/>
  <c r="H173" i="19" l="1"/>
  <c r="I173" i="19" l="1"/>
  <c r="P173" i="19" s="1"/>
  <c r="Q173" i="19" s="1"/>
  <c r="J173" i="19"/>
  <c r="K173" i="19" s="1"/>
  <c r="M173" i="19" s="1"/>
  <c r="N185" i="19" s="1"/>
  <c r="O173" i="19" l="1"/>
  <c r="D174" i="19" s="1"/>
  <c r="E174" i="19" l="1"/>
  <c r="G174" i="19"/>
  <c r="H174" i="19" s="1"/>
  <c r="I174" i="19" l="1"/>
  <c r="J174" i="19" s="1"/>
  <c r="K174" i="19" s="1"/>
  <c r="M174" i="19" s="1"/>
  <c r="N186" i="19" s="1"/>
  <c r="O174" i="19" l="1"/>
  <c r="D175" i="19" s="1"/>
  <c r="P174" i="19"/>
  <c r="Q174" i="19" s="1"/>
  <c r="G175" i="19" l="1"/>
  <c r="E175" i="19"/>
  <c r="H175" i="19" l="1"/>
  <c r="I175" i="19" s="1"/>
  <c r="J175" i="19" s="1"/>
  <c r="P175" i="19" l="1"/>
  <c r="Q175" i="19" s="1"/>
  <c r="O175" i="19"/>
  <c r="D176" i="19" s="1"/>
  <c r="K175" i="19"/>
  <c r="M175" i="19" s="1"/>
  <c r="N187" i="19" s="1"/>
  <c r="E176" i="19" l="1"/>
  <c r="G176" i="19"/>
  <c r="H176" i="19" s="1"/>
  <c r="I176" i="19" s="1"/>
  <c r="P176" i="19" s="1"/>
  <c r="Q176" i="19" s="1"/>
  <c r="J176" i="19" l="1"/>
  <c r="O176" i="19" l="1"/>
  <c r="D177" i="19" s="1"/>
  <c r="K176" i="19"/>
  <c r="M176" i="19" s="1"/>
  <c r="N188" i="19" s="1"/>
  <c r="G177" i="19" l="1"/>
  <c r="E177" i="19"/>
  <c r="H177" i="19" l="1"/>
  <c r="I177" i="19" s="1"/>
  <c r="J177" i="19" s="1"/>
  <c r="K177" i="19" s="1"/>
  <c r="M177" i="19" s="1"/>
  <c r="N189" i="19" s="1"/>
  <c r="P177" i="19" l="1"/>
  <c r="Q177" i="19" s="1"/>
  <c r="O177" i="19"/>
  <c r="D178" i="19" s="1"/>
  <c r="E178" i="19" l="1"/>
  <c r="G178" i="19"/>
  <c r="H178" i="19" l="1"/>
  <c r="I178" i="19" l="1"/>
  <c r="P178" i="19" s="1"/>
  <c r="Q178" i="19" s="1"/>
  <c r="J178" i="19"/>
  <c r="K178" i="19" s="1"/>
  <c r="M178" i="19" s="1"/>
  <c r="N190" i="19" s="1"/>
  <c r="O178" i="19" l="1"/>
  <c r="D179" i="19" s="1"/>
  <c r="E179" i="19" l="1"/>
  <c r="G179" i="19"/>
  <c r="H179" i="19" s="1"/>
  <c r="I179" i="19" s="1"/>
  <c r="P179" i="19" l="1"/>
  <c r="Q179" i="19" s="1"/>
  <c r="J179" i="19"/>
  <c r="K179" i="19" s="1"/>
  <c r="M179" i="19" s="1"/>
  <c r="N191" i="19" s="1"/>
  <c r="O179" i="19" l="1"/>
  <c r="D180" i="19" s="1"/>
  <c r="E180" i="19" l="1"/>
  <c r="G180" i="19"/>
  <c r="H180" i="19" s="1"/>
  <c r="I180" i="19" s="1"/>
  <c r="P180" i="19" l="1"/>
  <c r="Q180" i="19" s="1"/>
  <c r="J180" i="19"/>
  <c r="K180" i="19" s="1"/>
  <c r="M180" i="19" s="1"/>
  <c r="N192" i="19" s="1"/>
  <c r="O180" i="19" l="1"/>
  <c r="D181" i="19" s="1"/>
  <c r="E181" i="19" l="1"/>
  <c r="G181" i="19"/>
  <c r="H181" i="19" s="1"/>
  <c r="I181" i="19" l="1"/>
  <c r="J181" i="19" s="1"/>
  <c r="P181" i="19" l="1"/>
  <c r="Q181" i="19" s="1"/>
  <c r="O181" i="19"/>
  <c r="D182" i="19" s="1"/>
  <c r="K181" i="19"/>
  <c r="M181" i="19" s="1"/>
  <c r="N193" i="19" s="1"/>
  <c r="E182" i="19" l="1"/>
  <c r="G182" i="19"/>
  <c r="H182" i="19" s="1"/>
  <c r="I182" i="19" l="1"/>
  <c r="J182" i="19" s="1"/>
  <c r="K182" i="19" s="1"/>
  <c r="M182" i="19" s="1"/>
  <c r="N194" i="19" s="1"/>
  <c r="P182" i="19" l="1"/>
  <c r="Q182" i="19" s="1"/>
  <c r="O182" i="19"/>
  <c r="D183" i="19" s="1"/>
  <c r="E183" i="19" l="1"/>
  <c r="G183" i="19"/>
  <c r="H183" i="19" s="1"/>
  <c r="I183" i="19" s="1"/>
  <c r="P183" i="19" s="1"/>
  <c r="Q183" i="19" s="1"/>
  <c r="J183" i="19" l="1"/>
  <c r="O183" i="19" s="1"/>
  <c r="D184" i="19" s="1"/>
  <c r="K183" i="19" l="1"/>
  <c r="M183" i="19" s="1"/>
  <c r="N195" i="19" s="1"/>
  <c r="E184" i="19"/>
  <c r="G184" i="19"/>
  <c r="H184" i="19" s="1"/>
  <c r="I184" i="19" s="1"/>
  <c r="P184" i="19" l="1"/>
  <c r="Q184" i="19" s="1"/>
  <c r="J184" i="19"/>
  <c r="K184" i="19" s="1"/>
  <c r="M184" i="19" s="1"/>
  <c r="N196" i="19" s="1"/>
  <c r="O184" i="19" l="1"/>
  <c r="D185" i="19" s="1"/>
  <c r="G185" i="19" l="1"/>
  <c r="E185" i="19"/>
  <c r="H185" i="19" l="1"/>
  <c r="I185" i="19" s="1"/>
  <c r="J185" i="19" s="1"/>
  <c r="K185" i="19" s="1"/>
  <c r="M185" i="19" s="1"/>
  <c r="N197" i="19" s="1"/>
  <c r="P185" i="19" l="1"/>
  <c r="Q185" i="19" s="1"/>
  <c r="O185" i="19"/>
  <c r="D186" i="19" s="1"/>
  <c r="G186" i="19"/>
  <c r="E186" i="19"/>
  <c r="H186" i="19" l="1"/>
  <c r="I186" i="19" s="1"/>
  <c r="J186" i="19" s="1"/>
  <c r="K186" i="19" s="1"/>
  <c r="M186" i="19" s="1"/>
  <c r="N198" i="19" s="1"/>
  <c r="P186" i="19" l="1"/>
  <c r="Q186" i="19" s="1"/>
  <c r="O186" i="19"/>
  <c r="D187" i="19" s="1"/>
  <c r="E187" i="19" s="1"/>
  <c r="G187" i="19"/>
  <c r="H187" i="19" l="1"/>
  <c r="I187" i="19" s="1"/>
  <c r="P187" i="19" s="1"/>
  <c r="Q187" i="19" s="1"/>
  <c r="J187" i="19"/>
  <c r="K187" i="19" s="1"/>
  <c r="M187" i="19" s="1"/>
  <c r="N199" i="19" s="1"/>
  <c r="O187" i="19" l="1"/>
  <c r="D188" i="19" s="1"/>
  <c r="G188" i="19" l="1"/>
  <c r="E188" i="19"/>
  <c r="H188" i="19" l="1"/>
  <c r="I188" i="19" s="1"/>
  <c r="P188" i="19" l="1"/>
  <c r="Q188" i="19" s="1"/>
  <c r="J188" i="19"/>
  <c r="K188" i="19" s="1"/>
  <c r="M188" i="19" s="1"/>
  <c r="N200" i="19" s="1"/>
  <c r="O188" i="19" l="1"/>
  <c r="D189" i="19" s="1"/>
  <c r="G189" i="19"/>
  <c r="E189" i="19"/>
  <c r="H189" i="19" l="1"/>
  <c r="I189" i="19" s="1"/>
  <c r="J189" i="19" s="1"/>
  <c r="K189" i="19" s="1"/>
  <c r="M189" i="19" s="1"/>
  <c r="N201" i="19" s="1"/>
  <c r="O189" i="19" l="1"/>
  <c r="D190" i="19" s="1"/>
  <c r="E190" i="19"/>
  <c r="G190" i="19"/>
  <c r="H190" i="19" s="1"/>
  <c r="I190" i="19" s="1"/>
  <c r="P189" i="19"/>
  <c r="Q189" i="19" s="1"/>
  <c r="J190" i="19"/>
  <c r="K190" i="19" s="1"/>
  <c r="M190" i="19" s="1"/>
  <c r="N202" i="19" s="1"/>
  <c r="O190" i="19" l="1"/>
  <c r="D191" i="19" s="1"/>
  <c r="G191" i="19" s="1"/>
  <c r="P190" i="19"/>
  <c r="Q190" i="19" s="1"/>
  <c r="E191" i="19" l="1"/>
  <c r="H191" i="19" s="1"/>
  <c r="I191" i="19" l="1"/>
  <c r="J191" i="19" s="1"/>
  <c r="K191" i="19" s="1"/>
  <c r="M191" i="19" s="1"/>
  <c r="N203" i="19" s="1"/>
  <c r="P191" i="19" l="1"/>
  <c r="Q191" i="19" s="1"/>
  <c r="O191" i="19"/>
  <c r="D192" i="19" s="1"/>
  <c r="G192" i="19" l="1"/>
  <c r="E192" i="19"/>
  <c r="H192" i="19" l="1"/>
  <c r="I192" i="19" s="1"/>
  <c r="P192" i="19" l="1"/>
  <c r="Q192" i="19" s="1"/>
  <c r="J192" i="19"/>
  <c r="K192" i="19" s="1"/>
  <c r="M192" i="19" s="1"/>
  <c r="N204" i="19" s="1"/>
  <c r="O192" i="19" l="1"/>
  <c r="D193" i="19" s="1"/>
  <c r="G193" i="19" l="1"/>
  <c r="E193" i="19"/>
  <c r="H193" i="19" l="1"/>
  <c r="I193" i="19" l="1"/>
  <c r="J193" i="19"/>
  <c r="K193" i="19" s="1"/>
  <c r="M193" i="19" s="1"/>
  <c r="N205" i="19" s="1"/>
  <c r="O193" i="19" l="1"/>
  <c r="D194" i="19" s="1"/>
  <c r="P193" i="19"/>
  <c r="Q193" i="19" s="1"/>
  <c r="E194" i="19" l="1"/>
  <c r="G194" i="19"/>
  <c r="H194" i="19" s="1"/>
  <c r="I194" i="19" s="1"/>
  <c r="J194" i="19" s="1"/>
  <c r="K194" i="19" s="1"/>
  <c r="M194" i="19" s="1"/>
  <c r="N206" i="19" s="1"/>
  <c r="O194" i="19" l="1"/>
  <c r="D195" i="19" s="1"/>
  <c r="P194" i="19"/>
  <c r="Q194" i="19" s="1"/>
  <c r="E195" i="19"/>
  <c r="G195" i="19"/>
  <c r="H195" i="19" s="1"/>
  <c r="I195" i="19" s="1"/>
  <c r="P195" i="19" s="1"/>
  <c r="Q195" i="19" s="1"/>
  <c r="J195" i="19" l="1"/>
  <c r="K195" i="19" s="1"/>
  <c r="M195" i="19" s="1"/>
  <c r="N207" i="19" s="1"/>
  <c r="O195" i="19" l="1"/>
  <c r="D196" i="19" s="1"/>
  <c r="G196" i="19" l="1"/>
  <c r="E196" i="19"/>
  <c r="H196" i="19" l="1"/>
  <c r="I196" i="19" l="1"/>
  <c r="P196" i="19" s="1"/>
  <c r="Q196" i="19" s="1"/>
  <c r="J196" i="19"/>
  <c r="K196" i="19" s="1"/>
  <c r="M196" i="19" s="1"/>
  <c r="N208" i="19" s="1"/>
  <c r="O196" i="19" l="1"/>
  <c r="D197" i="19" s="1"/>
  <c r="E197" i="19" l="1"/>
  <c r="G197" i="19"/>
  <c r="H197" i="19" s="1"/>
  <c r="I197" i="19" l="1"/>
  <c r="J197" i="19"/>
  <c r="K197" i="19" s="1"/>
  <c r="M197" i="19" s="1"/>
  <c r="N209" i="19" s="1"/>
  <c r="O197" i="19" l="1"/>
  <c r="D198" i="19" s="1"/>
  <c r="E198" i="19"/>
  <c r="G198" i="19"/>
  <c r="H198" i="19" s="1"/>
  <c r="I198" i="19" s="1"/>
  <c r="J198" i="19" s="1"/>
  <c r="K198" i="19" s="1"/>
  <c r="M198" i="19" s="1"/>
  <c r="N210" i="19" s="1"/>
  <c r="P197" i="19"/>
  <c r="Q197" i="19" s="1"/>
  <c r="P198" i="19" l="1"/>
  <c r="Q198" i="19" s="1"/>
  <c r="O198" i="19"/>
  <c r="D199" i="19" s="1"/>
  <c r="E199" i="19" s="1"/>
  <c r="G199" i="19" l="1"/>
  <c r="H199" i="19" s="1"/>
  <c r="I199" i="19" l="1"/>
  <c r="P199" i="19" s="1"/>
  <c r="Q199" i="19" s="1"/>
  <c r="J199" i="19"/>
  <c r="O199" i="19" l="1"/>
  <c r="D200" i="19" s="1"/>
  <c r="K199" i="19"/>
  <c r="M199" i="19" s="1"/>
  <c r="N211" i="19" s="1"/>
  <c r="E200" i="19" l="1"/>
  <c r="G200" i="19"/>
  <c r="H200" i="19" s="1"/>
  <c r="I200" i="19" s="1"/>
  <c r="J200" i="19" s="1"/>
  <c r="K200" i="19" s="1"/>
  <c r="M200" i="19" s="1"/>
  <c r="N212" i="19" s="1"/>
  <c r="P200" i="19" l="1"/>
  <c r="Q200" i="19" s="1"/>
  <c r="O200" i="19"/>
  <c r="D201" i="19" s="1"/>
  <c r="E201" i="19" l="1"/>
  <c r="G201" i="19"/>
  <c r="H201" i="19" s="1"/>
  <c r="I201" i="19" s="1"/>
  <c r="J201" i="19" s="1"/>
  <c r="O201" i="19" l="1"/>
  <c r="D202" i="19" s="1"/>
  <c r="K201" i="19"/>
  <c r="M201" i="19" s="1"/>
  <c r="N213" i="19" s="1"/>
  <c r="P201" i="19"/>
  <c r="Q201" i="19" s="1"/>
  <c r="E202" i="19" l="1"/>
  <c r="G202" i="19"/>
  <c r="H202" i="19" l="1"/>
  <c r="I202" i="19" s="1"/>
  <c r="P202" i="19" s="1"/>
  <c r="Q202" i="19" s="1"/>
  <c r="J202" i="19" l="1"/>
  <c r="K202" i="19" s="1"/>
  <c r="M202" i="19" s="1"/>
  <c r="N214" i="19" s="1"/>
  <c r="O202" i="19" l="1"/>
  <c r="D203" i="19" s="1"/>
  <c r="G203" i="19" l="1"/>
  <c r="E203" i="19"/>
  <c r="H203" i="19" l="1"/>
  <c r="I203" i="19" s="1"/>
  <c r="P203" i="19" s="1"/>
  <c r="Q203" i="19" s="1"/>
  <c r="J203" i="19"/>
  <c r="O203" i="19" s="1"/>
  <c r="D204" i="19" s="1"/>
  <c r="K203" i="19" l="1"/>
  <c r="M203" i="19" s="1"/>
  <c r="N215" i="19" s="1"/>
  <c r="E204" i="19"/>
  <c r="G204" i="19"/>
  <c r="H204" i="19" s="1"/>
  <c r="I204" i="19" l="1"/>
  <c r="P204" i="19" s="1"/>
  <c r="Q204" i="19" s="1"/>
  <c r="J204" i="19" l="1"/>
  <c r="K204" i="19" s="1"/>
  <c r="M204" i="19" s="1"/>
  <c r="N216" i="19" s="1"/>
  <c r="O204" i="19" l="1"/>
  <c r="D205" i="19" s="1"/>
  <c r="G205" i="19" l="1"/>
  <c r="E205" i="19"/>
  <c r="H205" i="19" l="1"/>
  <c r="I205" i="19" l="1"/>
  <c r="P205" i="19" l="1"/>
  <c r="Q205" i="19" s="1"/>
  <c r="J205" i="19"/>
  <c r="O205" i="19" s="1"/>
  <c r="D206" i="19" s="1"/>
  <c r="K205" i="19" l="1"/>
  <c r="M205" i="19" s="1"/>
  <c r="N217" i="19" s="1"/>
  <c r="G206" i="19"/>
  <c r="E206" i="19"/>
  <c r="H206" i="19" l="1"/>
  <c r="I206" i="19" s="1"/>
  <c r="J206" i="19"/>
  <c r="K206" i="19" s="1"/>
  <c r="M206" i="19" s="1"/>
  <c r="N218" i="19" s="1"/>
  <c r="P206" i="19" l="1"/>
  <c r="Q206" i="19" s="1"/>
  <c r="O206" i="19"/>
  <c r="D207" i="19" s="1"/>
  <c r="E207" i="19" l="1"/>
  <c r="G207" i="19"/>
  <c r="H207" i="19" s="1"/>
  <c r="I207" i="19" l="1"/>
  <c r="J207" i="19" s="1"/>
  <c r="K207" i="19" s="1"/>
  <c r="M207" i="19" s="1"/>
  <c r="N219" i="19" s="1"/>
  <c r="P207" i="19" l="1"/>
  <c r="Q207" i="19" s="1"/>
  <c r="O207" i="19"/>
  <c r="D208" i="19" s="1"/>
  <c r="G208" i="19" l="1"/>
  <c r="E208" i="19"/>
  <c r="H208" i="19" l="1"/>
  <c r="I208" i="19" l="1"/>
  <c r="J208" i="19" s="1"/>
  <c r="K208" i="19" s="1"/>
  <c r="M208" i="19" s="1"/>
  <c r="N220" i="19" s="1"/>
  <c r="P208" i="19" l="1"/>
  <c r="Q208" i="19" s="1"/>
  <c r="O208" i="19"/>
  <c r="D209" i="19" s="1"/>
  <c r="E209" i="19" l="1"/>
  <c r="G209" i="19"/>
  <c r="H209" i="19" s="1"/>
  <c r="I209" i="19" l="1"/>
  <c r="J209" i="19" s="1"/>
  <c r="K209" i="19" s="1"/>
  <c r="M209" i="19" s="1"/>
  <c r="N221" i="19" s="1"/>
  <c r="P209" i="19" l="1"/>
  <c r="Q209" i="19" s="1"/>
  <c r="O209" i="19"/>
  <c r="D210" i="19" s="1"/>
  <c r="G210" i="19" l="1"/>
  <c r="E210" i="19"/>
  <c r="H210" i="19" l="1"/>
  <c r="I210" i="19" s="1"/>
  <c r="J210" i="19" s="1"/>
  <c r="K210" i="19" s="1"/>
  <c r="M210" i="19" s="1"/>
  <c r="N222" i="19" s="1"/>
  <c r="O210" i="19" l="1"/>
  <c r="D211" i="19" s="1"/>
  <c r="P210" i="19"/>
  <c r="Q210" i="19" s="1"/>
  <c r="E211" i="19" l="1"/>
  <c r="G211" i="19"/>
  <c r="H211" i="19" s="1"/>
  <c r="I211" i="19" l="1"/>
  <c r="J211" i="19"/>
  <c r="K211" i="19" s="1"/>
  <c r="M211" i="19" s="1"/>
  <c r="N223" i="19" s="1"/>
  <c r="O211" i="19" l="1"/>
  <c r="D212" i="19" s="1"/>
  <c r="G212" i="19"/>
  <c r="E212" i="19"/>
  <c r="P211" i="19"/>
  <c r="Q211" i="19" s="1"/>
  <c r="H212" i="19"/>
  <c r="I212" i="19" l="1"/>
  <c r="J212" i="19" s="1"/>
  <c r="K212" i="19" s="1"/>
  <c r="M212" i="19" s="1"/>
  <c r="N224" i="19" s="1"/>
  <c r="O212" i="19" l="1"/>
  <c r="D213" i="19" s="1"/>
  <c r="P212" i="19"/>
  <c r="Q212" i="19" s="1"/>
  <c r="E213" i="19" l="1"/>
  <c r="G213" i="19"/>
  <c r="H213" i="19" s="1"/>
  <c r="I213" i="19" s="1"/>
  <c r="P213" i="19" l="1"/>
  <c r="Q213" i="19" s="1"/>
  <c r="J213" i="19"/>
  <c r="K213" i="19" s="1"/>
  <c r="M213" i="19" s="1"/>
  <c r="N225" i="19" s="1"/>
  <c r="O213" i="19" l="1"/>
  <c r="D214" i="19" s="1"/>
  <c r="G214" i="19"/>
  <c r="E214" i="19"/>
  <c r="H214" i="19" l="1"/>
  <c r="I214" i="19" l="1"/>
  <c r="P214" i="19" s="1"/>
  <c r="Q214" i="19" s="1"/>
  <c r="J214" i="19" l="1"/>
  <c r="K214" i="19" s="1"/>
  <c r="M214" i="19" s="1"/>
  <c r="N226" i="19" s="1"/>
  <c r="O214" i="19" l="1"/>
  <c r="D215" i="19" s="1"/>
  <c r="E215" i="19" s="1"/>
  <c r="G215" i="19"/>
  <c r="H215" i="19" l="1"/>
  <c r="I215" i="19" s="1"/>
  <c r="J215" i="19" s="1"/>
  <c r="K215" i="19" s="1"/>
  <c r="M215" i="19" s="1"/>
  <c r="N227" i="19" s="1"/>
  <c r="O215" i="19" l="1"/>
  <c r="D216" i="19" s="1"/>
  <c r="P215" i="19"/>
  <c r="Q215" i="19" s="1"/>
  <c r="E216" i="19"/>
  <c r="G216" i="19"/>
  <c r="H216" i="19" s="1"/>
  <c r="I216" i="19" s="1"/>
  <c r="P216" i="19" l="1"/>
  <c r="Q216" i="19" s="1"/>
  <c r="J216" i="19"/>
  <c r="K216" i="19" s="1"/>
  <c r="M216" i="19" s="1"/>
  <c r="N228" i="19" s="1"/>
  <c r="O216" i="19" l="1"/>
  <c r="D217" i="19" s="1"/>
  <c r="E217" i="19" l="1"/>
  <c r="G217" i="19"/>
  <c r="H217" i="19" s="1"/>
  <c r="I217" i="19" l="1"/>
  <c r="P217" i="19" l="1"/>
  <c r="Q217" i="19" s="1"/>
  <c r="J217" i="19"/>
  <c r="O217" i="19" s="1"/>
  <c r="D218" i="19" s="1"/>
  <c r="K217" i="19" l="1"/>
  <c r="M217" i="19" s="1"/>
  <c r="N229" i="19" s="1"/>
  <c r="E218" i="19"/>
  <c r="G218" i="19"/>
  <c r="H218" i="19" s="1"/>
  <c r="I218" i="19" s="1"/>
  <c r="J218" i="19" s="1"/>
  <c r="O218" i="19" l="1"/>
  <c r="D219" i="19" s="1"/>
  <c r="K218" i="19"/>
  <c r="M218" i="19" s="1"/>
  <c r="N230" i="19" s="1"/>
  <c r="P218" i="19"/>
  <c r="Q218" i="19" s="1"/>
  <c r="E219" i="19" l="1"/>
  <c r="G219" i="19"/>
  <c r="H219" i="19" s="1"/>
  <c r="I219" i="19" s="1"/>
  <c r="P219" i="19" s="1"/>
  <c r="Q219" i="19" s="1"/>
  <c r="J219" i="19" l="1"/>
  <c r="K219" i="19" s="1"/>
  <c r="M219" i="19" s="1"/>
  <c r="N231" i="19" s="1"/>
  <c r="O219" i="19" l="1"/>
  <c r="D220" i="19" s="1"/>
  <c r="E220" i="19" l="1"/>
  <c r="G220" i="19"/>
  <c r="H220" i="19" s="1"/>
  <c r="I220" i="19" l="1"/>
  <c r="J220" i="19" s="1"/>
  <c r="K220" i="19" s="1"/>
  <c r="M220" i="19" s="1"/>
  <c r="N232" i="19" s="1"/>
  <c r="P220" i="19" l="1"/>
  <c r="Q220" i="19" s="1"/>
  <c r="O220" i="19"/>
  <c r="D221" i="19" s="1"/>
  <c r="G221" i="19" l="1"/>
  <c r="E221" i="19"/>
  <c r="H221" i="19" l="1"/>
  <c r="I221" i="19" s="1"/>
  <c r="J221" i="19" s="1"/>
  <c r="K221" i="19" s="1"/>
  <c r="M221" i="19" s="1"/>
  <c r="N233" i="19" s="1"/>
  <c r="P221" i="19" l="1"/>
  <c r="Q221" i="19" s="1"/>
  <c r="O221" i="19"/>
  <c r="D222" i="19" s="1"/>
  <c r="G222" i="19" l="1"/>
  <c r="E222" i="19"/>
  <c r="H222" i="19" l="1"/>
  <c r="I222" i="19" s="1"/>
  <c r="J222" i="19" l="1"/>
  <c r="K222" i="19" s="1"/>
  <c r="M222" i="19" s="1"/>
  <c r="N234" i="19" s="1"/>
  <c r="P222" i="19"/>
  <c r="Q222" i="19" s="1"/>
  <c r="O222" i="19" l="1"/>
  <c r="D223" i="19" s="1"/>
  <c r="E223" i="19" s="1"/>
  <c r="G223" i="19"/>
  <c r="H223" i="19" l="1"/>
  <c r="I223" i="19" s="1"/>
  <c r="J223" i="19"/>
  <c r="O223" i="19" s="1"/>
  <c r="D224" i="19" s="1"/>
  <c r="P223" i="19" l="1"/>
  <c r="Q223" i="19" s="1"/>
  <c r="K223" i="19"/>
  <c r="M223" i="19" s="1"/>
  <c r="N235" i="19" s="1"/>
  <c r="G224" i="19"/>
  <c r="E224" i="19"/>
  <c r="H224" i="19" l="1"/>
  <c r="I224" i="19" s="1"/>
  <c r="J224" i="19"/>
  <c r="K224" i="19" s="1"/>
  <c r="M224" i="19" s="1"/>
  <c r="N236" i="19" s="1"/>
  <c r="P224" i="19" l="1"/>
  <c r="Q224" i="19" s="1"/>
  <c r="O224" i="19"/>
  <c r="D225" i="19" s="1"/>
  <c r="E225" i="19" l="1"/>
  <c r="G225" i="19"/>
  <c r="H225" i="19" s="1"/>
  <c r="I225" i="19" s="1"/>
  <c r="P225" i="19" s="1"/>
  <c r="Q225" i="19" s="1"/>
  <c r="J225" i="19" l="1"/>
  <c r="O225" i="19" l="1"/>
  <c r="D226" i="19" s="1"/>
  <c r="K225" i="19"/>
  <c r="M225" i="19" s="1"/>
  <c r="N237" i="19" s="1"/>
  <c r="E226" i="19" l="1"/>
  <c r="G226" i="19"/>
  <c r="H226" i="19" s="1"/>
  <c r="I226" i="19" s="1"/>
  <c r="P226" i="19" l="1"/>
  <c r="Q226" i="19" s="1"/>
  <c r="J226" i="19"/>
  <c r="O226" i="19" l="1"/>
  <c r="D227" i="19" s="1"/>
  <c r="K226" i="19"/>
  <c r="M226" i="19" s="1"/>
  <c r="N238" i="19" s="1"/>
  <c r="E227" i="19" l="1"/>
  <c r="G227" i="19"/>
  <c r="H227" i="19" s="1"/>
  <c r="I227" i="19" s="1"/>
  <c r="P227" i="19" l="1"/>
  <c r="Q227" i="19" s="1"/>
  <c r="J227" i="19"/>
  <c r="K227" i="19" s="1"/>
  <c r="M227" i="19" s="1"/>
  <c r="N239" i="19" s="1"/>
  <c r="O227" i="19" l="1"/>
  <c r="D228" i="19" s="1"/>
  <c r="E228" i="19" l="1"/>
  <c r="G228" i="19"/>
  <c r="H228" i="19" s="1"/>
  <c r="I228" i="19" l="1"/>
  <c r="J228" i="19" s="1"/>
  <c r="K228" i="19" s="1"/>
  <c r="M228" i="19" s="1"/>
  <c r="N240" i="19" s="1"/>
  <c r="P228" i="19" l="1"/>
  <c r="Q228" i="19" s="1"/>
  <c r="O228" i="19"/>
  <c r="D229" i="19" s="1"/>
  <c r="E229" i="19" l="1"/>
  <c r="G229" i="19"/>
  <c r="H229" i="19" s="1"/>
  <c r="I229" i="19" l="1"/>
  <c r="P229" i="19" l="1"/>
  <c r="Q229" i="19" s="1"/>
  <c r="J229" i="19"/>
  <c r="O229" i="19" s="1"/>
  <c r="D230" i="19" s="1"/>
  <c r="K229" i="19" l="1"/>
  <c r="M229" i="19" s="1"/>
  <c r="N241" i="19" s="1"/>
  <c r="E230" i="19"/>
  <c r="G230" i="19"/>
  <c r="H230" i="19" s="1"/>
  <c r="I230" i="19" l="1"/>
  <c r="P230" i="19" s="1"/>
  <c r="Q230" i="19" s="1"/>
  <c r="J230" i="19" l="1"/>
  <c r="K230" i="19" s="1"/>
  <c r="M230" i="19" s="1"/>
  <c r="N242" i="19" s="1"/>
  <c r="O230" i="19" l="1"/>
  <c r="D231" i="19" s="1"/>
  <c r="G231" i="19" l="1"/>
  <c r="E231" i="19"/>
  <c r="H231" i="19" l="1"/>
  <c r="I231" i="19" l="1"/>
  <c r="J231" i="19" s="1"/>
  <c r="K231" i="19" s="1"/>
  <c r="M231" i="19" s="1"/>
  <c r="N243" i="19" s="1"/>
  <c r="P231" i="19" l="1"/>
  <c r="Q231" i="19" s="1"/>
  <c r="O231" i="19"/>
  <c r="D232" i="19" s="1"/>
  <c r="E232" i="19" l="1"/>
  <c r="G232" i="19"/>
  <c r="H232" i="19" s="1"/>
  <c r="I232" i="19" l="1"/>
  <c r="J232" i="19"/>
  <c r="K232" i="19" s="1"/>
  <c r="M232" i="19" s="1"/>
  <c r="N244" i="19" s="1"/>
  <c r="O232" i="19" l="1"/>
  <c r="D233" i="19" s="1"/>
  <c r="G233" i="19"/>
  <c r="E233" i="19"/>
  <c r="P232" i="19"/>
  <c r="Q232" i="19" s="1"/>
  <c r="H233" i="19" l="1"/>
  <c r="I233" i="19" l="1"/>
  <c r="J233" i="19"/>
  <c r="K233" i="19" s="1"/>
  <c r="M233" i="19" s="1"/>
  <c r="N245" i="19" s="1"/>
  <c r="P233" i="19" l="1"/>
  <c r="Q233" i="19" s="1"/>
  <c r="O233" i="19"/>
  <c r="D234" i="19" s="1"/>
  <c r="E234" i="19" l="1"/>
  <c r="G234" i="19"/>
  <c r="H234" i="19" s="1"/>
  <c r="I234" i="19" l="1"/>
  <c r="J234" i="19" s="1"/>
  <c r="K234" i="19" s="1"/>
  <c r="M234" i="19" s="1"/>
  <c r="N246" i="19" s="1"/>
  <c r="O234" i="19" l="1"/>
  <c r="D235" i="19" s="1"/>
  <c r="P234" i="19"/>
  <c r="Q234" i="19" s="1"/>
  <c r="G235" i="19"/>
  <c r="E235" i="19"/>
  <c r="H235" i="19" l="1"/>
  <c r="I235" i="19" l="1"/>
  <c r="P235" i="19" s="1"/>
  <c r="Q235" i="19" s="1"/>
  <c r="J235" i="19"/>
  <c r="K235" i="19" s="1"/>
  <c r="M235" i="19" s="1"/>
  <c r="N247" i="19" s="1"/>
  <c r="O235" i="19" l="1"/>
  <c r="D236" i="19" s="1"/>
  <c r="E236" i="19"/>
  <c r="G236" i="19"/>
  <c r="H236" i="19" s="1"/>
  <c r="I236" i="19" s="1"/>
  <c r="J236" i="19" s="1"/>
  <c r="K236" i="19" s="1"/>
  <c r="M236" i="19" s="1"/>
  <c r="N248" i="19" s="1"/>
  <c r="P236" i="19" l="1"/>
  <c r="Q236" i="19" s="1"/>
  <c r="O236" i="19"/>
  <c r="D237" i="19" s="1"/>
  <c r="E237" i="19" s="1"/>
  <c r="G237" i="19"/>
  <c r="H237" i="19" l="1"/>
  <c r="I237" i="19"/>
  <c r="J237" i="19" s="1"/>
  <c r="K237" i="19" s="1"/>
  <c r="M237" i="19" s="1"/>
  <c r="N249" i="19" s="1"/>
  <c r="P237" i="19" l="1"/>
  <c r="Q237" i="19" s="1"/>
  <c r="O237" i="19"/>
  <c r="D238" i="19" s="1"/>
  <c r="G238" i="19" l="1"/>
  <c r="E238" i="19"/>
  <c r="H238" i="19" l="1"/>
  <c r="I238" i="19" s="1"/>
  <c r="P238" i="19" s="1"/>
  <c r="Q238" i="19" s="1"/>
  <c r="J238" i="19"/>
  <c r="K238" i="19" s="1"/>
  <c r="M238" i="19" s="1"/>
  <c r="N250" i="19" s="1"/>
  <c r="O238" i="19" l="1"/>
  <c r="D239" i="19" s="1"/>
  <c r="G239" i="19" l="1"/>
  <c r="E239" i="19"/>
  <c r="H239" i="19" l="1"/>
  <c r="I239" i="19" l="1"/>
  <c r="J239" i="19" s="1"/>
  <c r="K239" i="19" s="1"/>
  <c r="M239" i="19" s="1"/>
  <c r="N251" i="19" s="1"/>
  <c r="P239" i="19" l="1"/>
  <c r="Q239" i="19" s="1"/>
  <c r="O239" i="19"/>
  <c r="D240" i="19" s="1"/>
  <c r="E240" i="19" l="1"/>
  <c r="G240" i="19"/>
  <c r="H240" i="19" s="1"/>
  <c r="I240" i="19" l="1"/>
  <c r="P240" i="19" l="1"/>
  <c r="Q240" i="19" s="1"/>
  <c r="J240" i="19"/>
  <c r="K240" i="19" s="1"/>
  <c r="M240" i="19" s="1"/>
  <c r="N252" i="19" s="1"/>
  <c r="O240" i="19" l="1"/>
  <c r="D241" i="19" s="1"/>
  <c r="G241" i="19" l="1"/>
  <c r="E241" i="19"/>
  <c r="H241" i="19" l="1"/>
  <c r="I241" i="19" s="1"/>
  <c r="P241" i="19" s="1"/>
  <c r="Q241" i="19" s="1"/>
  <c r="J241" i="19"/>
  <c r="K241" i="19" s="1"/>
  <c r="M241" i="19" s="1"/>
  <c r="N253" i="19" s="1"/>
  <c r="O241" i="19" l="1"/>
  <c r="D242" i="19" s="1"/>
  <c r="E242" i="19" l="1"/>
  <c r="G242" i="19"/>
  <c r="H242" i="19" s="1"/>
  <c r="I242" i="19" s="1"/>
  <c r="J242" i="19" s="1"/>
  <c r="K242" i="19" s="1"/>
  <c r="M242" i="19" s="1"/>
  <c r="N254" i="19" s="1"/>
  <c r="O242" i="19" l="1"/>
  <c r="D243" i="19" s="1"/>
  <c r="P242" i="19"/>
  <c r="Q242" i="19" s="1"/>
  <c r="E243" i="19" l="1"/>
  <c r="G243" i="19"/>
  <c r="H243" i="19" s="1"/>
  <c r="I243" i="19" s="1"/>
  <c r="P243" i="19" l="1"/>
  <c r="Q243" i="19" s="1"/>
  <c r="J243" i="19"/>
  <c r="K243" i="19" s="1"/>
  <c r="M243" i="19" s="1"/>
  <c r="N255" i="19" s="1"/>
  <c r="O243" i="19" l="1"/>
  <c r="D244" i="19" s="1"/>
  <c r="E244" i="19" l="1"/>
  <c r="G244" i="19"/>
  <c r="H244" i="19" s="1"/>
  <c r="I244" i="19" s="1"/>
  <c r="J244" i="19" l="1"/>
  <c r="K244" i="19" s="1"/>
  <c r="M244" i="19" s="1"/>
  <c r="N256" i="19" s="1"/>
  <c r="P244" i="19"/>
  <c r="Q244" i="19" s="1"/>
  <c r="O244" i="19" l="1"/>
  <c r="D245" i="19" s="1"/>
  <c r="E245" i="19" l="1"/>
  <c r="G245" i="19"/>
  <c r="H245" i="19" s="1"/>
  <c r="I245" i="19" s="1"/>
  <c r="J245" i="19" l="1"/>
  <c r="K245" i="19" s="1"/>
  <c r="M245" i="19" s="1"/>
  <c r="N257" i="19" s="1"/>
  <c r="P245" i="19"/>
  <c r="Q245" i="19" s="1"/>
  <c r="O245" i="19" l="1"/>
  <c r="D246" i="19" s="1"/>
  <c r="G246" i="19" l="1"/>
  <c r="E246" i="19"/>
  <c r="H246" i="19" l="1"/>
  <c r="I246" i="19" l="1"/>
  <c r="P246" i="19" s="1"/>
  <c r="Q246" i="19" s="1"/>
  <c r="J246" i="19"/>
  <c r="K246" i="19" s="1"/>
  <c r="M246" i="19" s="1"/>
  <c r="N258" i="19" s="1"/>
  <c r="O246" i="19" l="1"/>
  <c r="D247" i="19" s="1"/>
  <c r="E247" i="19" l="1"/>
  <c r="G247" i="19"/>
  <c r="H247" i="19" s="1"/>
  <c r="I247" i="19" l="1"/>
  <c r="J247" i="19" l="1"/>
  <c r="K247" i="19" s="1"/>
  <c r="M247" i="19" s="1"/>
  <c r="N259" i="19" s="1"/>
  <c r="P247" i="19"/>
  <c r="Q247" i="19" s="1"/>
  <c r="O247" i="19" l="1"/>
  <c r="D248" i="19" s="1"/>
  <c r="E248" i="19" l="1"/>
  <c r="G248" i="19"/>
  <c r="H248" i="19" s="1"/>
  <c r="I248" i="19" s="1"/>
  <c r="P248" i="19" l="1"/>
  <c r="Q248" i="19" s="1"/>
  <c r="J248" i="19"/>
  <c r="K248" i="19" s="1"/>
  <c r="M248" i="19" s="1"/>
  <c r="N260" i="19" s="1"/>
  <c r="O248" i="19" l="1"/>
  <c r="D249" i="19" s="1"/>
  <c r="E249" i="19"/>
  <c r="G249" i="19"/>
  <c r="H249" i="19" s="1"/>
  <c r="I249" i="19" s="1"/>
  <c r="J249" i="19" s="1"/>
  <c r="K249" i="19" s="1"/>
  <c r="M249" i="19" s="1"/>
  <c r="N261" i="19" s="1"/>
  <c r="O249" i="19" l="1"/>
  <c r="D250" i="19" s="1"/>
  <c r="P249" i="19"/>
  <c r="Q249" i="19" s="1"/>
  <c r="E250" i="19" l="1"/>
  <c r="G250" i="19"/>
  <c r="H250" i="19" s="1"/>
  <c r="I250" i="19" s="1"/>
  <c r="J250" i="19" s="1"/>
  <c r="K250" i="19" s="1"/>
  <c r="M250" i="19" s="1"/>
  <c r="N262" i="19" s="1"/>
  <c r="P250" i="19" l="1"/>
  <c r="Q250" i="19" s="1"/>
  <c r="O250" i="19"/>
  <c r="D251" i="19" s="1"/>
  <c r="G251" i="19" l="1"/>
  <c r="E251" i="19"/>
  <c r="H251" i="19" l="1"/>
  <c r="I251" i="19" l="1"/>
  <c r="J251" i="19"/>
  <c r="K251" i="19" s="1"/>
  <c r="M251" i="19" s="1"/>
  <c r="N263" i="19" s="1"/>
  <c r="P251" i="19" l="1"/>
  <c r="Q251" i="19" s="1"/>
  <c r="O251" i="19"/>
  <c r="D252" i="19" s="1"/>
  <c r="E252" i="19" l="1"/>
  <c r="G252" i="19"/>
  <c r="H252" i="19" s="1"/>
  <c r="I252" i="19" l="1"/>
  <c r="J252" i="19" s="1"/>
  <c r="K252" i="19" s="1"/>
  <c r="M252" i="19" s="1"/>
  <c r="N264" i="19" s="1"/>
  <c r="O252" i="19" l="1"/>
  <c r="D253" i="19" s="1"/>
  <c r="P252" i="19"/>
  <c r="Q252" i="19" s="1"/>
  <c r="E253" i="19" l="1"/>
  <c r="G253" i="19"/>
  <c r="H253" i="19" s="1"/>
  <c r="I253" i="19" l="1"/>
  <c r="J253" i="19" s="1"/>
  <c r="K253" i="19" s="1"/>
  <c r="M253" i="19" s="1"/>
  <c r="N265" i="19" s="1"/>
  <c r="P253" i="19" l="1"/>
  <c r="Q253" i="19" s="1"/>
  <c r="O253" i="19"/>
  <c r="D254" i="19" s="1"/>
  <c r="E254" i="19" l="1"/>
  <c r="G254" i="19"/>
  <c r="H254" i="19" s="1"/>
  <c r="I254" i="19" l="1"/>
  <c r="J254" i="19" s="1"/>
  <c r="K254" i="19" s="1"/>
  <c r="M254" i="19" s="1"/>
  <c r="N266" i="19" s="1"/>
  <c r="O254" i="19" l="1"/>
  <c r="D255" i="19" s="1"/>
  <c r="P254" i="19"/>
  <c r="Q254" i="19" s="1"/>
  <c r="E255" i="19" l="1"/>
  <c r="G255" i="19"/>
  <c r="H255" i="19" l="1"/>
  <c r="I255" i="19"/>
  <c r="J255" i="19" s="1"/>
  <c r="K255" i="19" s="1"/>
  <c r="M255" i="19" s="1"/>
  <c r="N267" i="19" s="1"/>
  <c r="P255" i="19" l="1"/>
  <c r="Q255" i="19" s="1"/>
  <c r="O255" i="19"/>
  <c r="D256" i="19" s="1"/>
  <c r="E256" i="19" l="1"/>
  <c r="G256" i="19"/>
  <c r="H256" i="19" s="1"/>
  <c r="I256" i="19" l="1"/>
  <c r="J256" i="19" s="1"/>
  <c r="K256" i="19" s="1"/>
  <c r="M256" i="19" s="1"/>
  <c r="N268" i="19" s="1"/>
  <c r="P256" i="19" l="1"/>
  <c r="Q256" i="19" s="1"/>
  <c r="O256" i="19"/>
  <c r="D257" i="19" s="1"/>
  <c r="G257" i="19" l="1"/>
  <c r="E257" i="19"/>
  <c r="H257" i="19" l="1"/>
  <c r="I257" i="19"/>
  <c r="J257" i="19" s="1"/>
  <c r="K257" i="19" s="1"/>
  <c r="M257" i="19" s="1"/>
  <c r="N269" i="19" s="1"/>
  <c r="P257" i="19" l="1"/>
  <c r="Q257" i="19" s="1"/>
  <c r="O257" i="19"/>
  <c r="D258" i="19" s="1"/>
  <c r="E258" i="19" l="1"/>
  <c r="G258" i="19"/>
  <c r="H258" i="19" s="1"/>
  <c r="I258" i="19" s="1"/>
  <c r="P258" i="19" l="1"/>
  <c r="Q258" i="19" s="1"/>
  <c r="J258" i="19"/>
  <c r="K258" i="19" s="1"/>
  <c r="M258" i="19" s="1"/>
  <c r="N270" i="19" s="1"/>
  <c r="O258" i="19" l="1"/>
  <c r="D259" i="19" s="1"/>
  <c r="G259" i="19" l="1"/>
  <c r="E259" i="19"/>
  <c r="H259" i="19" l="1"/>
  <c r="I259" i="19" s="1"/>
  <c r="J259" i="19" s="1"/>
  <c r="K259" i="19" s="1"/>
  <c r="M259" i="19" s="1"/>
  <c r="N271" i="19" s="1"/>
  <c r="O259" i="19" l="1"/>
  <c r="D260" i="19" s="1"/>
  <c r="P259" i="19"/>
  <c r="Q259" i="19" s="1"/>
  <c r="E260" i="19"/>
  <c r="G260" i="19"/>
  <c r="H260" i="19" s="1"/>
  <c r="I260" i="19" l="1"/>
  <c r="J260" i="19" s="1"/>
  <c r="K260" i="19" s="1"/>
  <c r="M260" i="19" s="1"/>
  <c r="N272" i="19" s="1"/>
  <c r="P260" i="19" l="1"/>
  <c r="Q260" i="19" s="1"/>
  <c r="O260" i="19"/>
  <c r="D261" i="19" s="1"/>
  <c r="E261" i="19" l="1"/>
  <c r="G261" i="19"/>
  <c r="H261" i="19" s="1"/>
  <c r="I261" i="19" l="1"/>
  <c r="P261" i="19" l="1"/>
  <c r="Q261" i="19" s="1"/>
  <c r="J261" i="19"/>
  <c r="K261" i="19" s="1"/>
  <c r="M261" i="19" s="1"/>
  <c r="N273" i="19" s="1"/>
  <c r="O261" i="19" l="1"/>
  <c r="D262" i="19" s="1"/>
  <c r="G262" i="19" l="1"/>
  <c r="E262" i="19"/>
  <c r="H262" i="19" l="1"/>
  <c r="I262" i="19" s="1"/>
  <c r="J262" i="19" l="1"/>
  <c r="K262" i="19" s="1"/>
  <c r="M262" i="19" s="1"/>
  <c r="N274" i="19" s="1"/>
  <c r="P262" i="19"/>
  <c r="Q262" i="19" s="1"/>
  <c r="O262" i="19" l="1"/>
  <c r="D263" i="19" s="1"/>
  <c r="E263" i="19" l="1"/>
  <c r="G263" i="19"/>
  <c r="H263" i="19" s="1"/>
  <c r="I263" i="19" s="1"/>
  <c r="J263" i="19" l="1"/>
  <c r="K263" i="19" s="1"/>
  <c r="M263" i="19" s="1"/>
  <c r="N275" i="19" s="1"/>
  <c r="P263" i="19"/>
  <c r="Q263" i="19" s="1"/>
  <c r="O263" i="19" l="1"/>
  <c r="D264" i="19" s="1"/>
  <c r="E264" i="19" l="1"/>
  <c r="G264" i="19"/>
  <c r="H264" i="19" s="1"/>
  <c r="I264" i="19" s="1"/>
  <c r="P264" i="19" l="1"/>
  <c r="Q264" i="19" s="1"/>
  <c r="J264" i="19"/>
  <c r="K264" i="19" s="1"/>
  <c r="M264" i="19" s="1"/>
  <c r="N276" i="19" s="1"/>
  <c r="O264" i="19" l="1"/>
  <c r="D265" i="19" s="1"/>
  <c r="E265" i="19" l="1"/>
  <c r="G265" i="19"/>
  <c r="H265" i="19" s="1"/>
  <c r="I265" i="19" l="1"/>
  <c r="P265" i="19" l="1"/>
  <c r="Q265" i="19" s="1"/>
  <c r="J265" i="19"/>
  <c r="K265" i="19" s="1"/>
  <c r="M265" i="19" s="1"/>
  <c r="N277" i="19" s="1"/>
  <c r="O265" i="19" l="1"/>
  <c r="D266" i="19" s="1"/>
  <c r="G266" i="19"/>
  <c r="E266" i="19"/>
  <c r="H266" i="19" l="1"/>
  <c r="I266" i="19" s="1"/>
  <c r="P266" i="19" s="1"/>
  <c r="Q266" i="19" s="1"/>
  <c r="J266" i="19" l="1"/>
  <c r="K266" i="19" s="1"/>
  <c r="M266" i="19" s="1"/>
  <c r="N278" i="19" s="1"/>
  <c r="O266" i="19" l="1"/>
  <c r="D267" i="19" s="1"/>
  <c r="E267" i="19" l="1"/>
  <c r="G267" i="19"/>
  <c r="H267" i="19" s="1"/>
  <c r="I267" i="19" l="1"/>
  <c r="J267" i="19" s="1"/>
  <c r="K267" i="19" s="1"/>
  <c r="M267" i="19" s="1"/>
  <c r="N279" i="19" s="1"/>
  <c r="O267" i="19" l="1"/>
  <c r="D268" i="19" s="1"/>
  <c r="P267" i="19"/>
  <c r="Q267" i="19" s="1"/>
  <c r="E268" i="19" l="1"/>
  <c r="G268" i="19"/>
  <c r="H268" i="19" s="1"/>
  <c r="I268" i="19" l="1"/>
  <c r="J268" i="19" s="1"/>
  <c r="K268" i="19" s="1"/>
  <c r="M268" i="19" s="1"/>
  <c r="N280" i="19" s="1"/>
  <c r="O268" i="19" l="1"/>
  <c r="D269" i="19" s="1"/>
  <c r="P268" i="19"/>
  <c r="Q268" i="19" s="1"/>
  <c r="E269" i="19" l="1"/>
  <c r="G269" i="19"/>
  <c r="H269" i="19" s="1"/>
  <c r="I269" i="19" l="1"/>
  <c r="J269" i="19" s="1"/>
  <c r="K269" i="19" s="1"/>
  <c r="M269" i="19" s="1"/>
  <c r="N281" i="19" s="1"/>
  <c r="O269" i="19" l="1"/>
  <c r="D270" i="19" s="1"/>
  <c r="P269" i="19"/>
  <c r="Q269" i="19" s="1"/>
  <c r="G270" i="19" l="1"/>
  <c r="E270" i="19"/>
  <c r="H270" i="19" l="1"/>
  <c r="I270" i="19" s="1"/>
  <c r="J270" i="19" s="1"/>
  <c r="K270" i="19" s="1"/>
  <c r="M270" i="19" s="1"/>
  <c r="N282" i="19" s="1"/>
  <c r="P270" i="19" l="1"/>
  <c r="Q270" i="19" s="1"/>
  <c r="O270" i="19"/>
  <c r="D271" i="19" s="1"/>
  <c r="E271" i="19" s="1"/>
  <c r="G271" i="19"/>
  <c r="H271" i="19" l="1"/>
  <c r="I271" i="19" s="1"/>
  <c r="J271" i="19" s="1"/>
  <c r="K271" i="19" s="1"/>
  <c r="M271" i="19" s="1"/>
  <c r="N283" i="19" s="1"/>
  <c r="P271" i="19" l="1"/>
  <c r="Q271" i="19" s="1"/>
  <c r="O271" i="19"/>
  <c r="D272" i="19" s="1"/>
  <c r="G272" i="19"/>
  <c r="E272" i="19"/>
  <c r="H272" i="19" l="1"/>
  <c r="I272" i="19" s="1"/>
  <c r="J272" i="19" s="1"/>
  <c r="K272" i="19" s="1"/>
  <c r="M272" i="19" s="1"/>
  <c r="N284" i="19" s="1"/>
  <c r="P272" i="19" l="1"/>
  <c r="Q272" i="19" s="1"/>
  <c r="O272" i="19"/>
  <c r="D273" i="19" s="1"/>
  <c r="E273" i="19" s="1"/>
  <c r="G273" i="19"/>
  <c r="H273" i="19" l="1"/>
  <c r="I273" i="19" s="1"/>
  <c r="J273" i="19" s="1"/>
  <c r="K273" i="19" s="1"/>
  <c r="M273" i="19" s="1"/>
  <c r="N285" i="19" s="1"/>
  <c r="P273" i="19" l="1"/>
  <c r="Q273" i="19" s="1"/>
  <c r="O273" i="19"/>
  <c r="D274" i="19" s="1"/>
  <c r="E274" i="19" s="1"/>
  <c r="G274" i="19" l="1"/>
  <c r="H274" i="19"/>
  <c r="I274" i="19" s="1"/>
  <c r="J274" i="19" s="1"/>
  <c r="K274" i="19" s="1"/>
  <c r="M274" i="19" s="1"/>
  <c r="N286" i="19" s="1"/>
  <c r="P274" i="19" l="1"/>
  <c r="Q274" i="19" s="1"/>
  <c r="O274" i="19"/>
  <c r="D275" i="19" s="1"/>
  <c r="E275" i="19" l="1"/>
  <c r="G275" i="19"/>
  <c r="H275" i="19" s="1"/>
  <c r="I275" i="19" l="1"/>
  <c r="J275" i="19" s="1"/>
  <c r="K275" i="19" s="1"/>
  <c r="M275" i="19" s="1"/>
  <c r="N287" i="19" s="1"/>
  <c r="P275" i="19" l="1"/>
  <c r="Q275" i="19" s="1"/>
  <c r="O275" i="19"/>
  <c r="D276" i="19" s="1"/>
  <c r="G276" i="19" l="1"/>
  <c r="E276" i="19"/>
  <c r="H276" i="19" l="1"/>
  <c r="I276" i="19" l="1"/>
  <c r="J276" i="19" s="1"/>
  <c r="K276" i="19" s="1"/>
  <c r="M276" i="19" s="1"/>
  <c r="N288" i="19" s="1"/>
  <c r="O276" i="19" l="1"/>
  <c r="D277" i="19" s="1"/>
  <c r="P276" i="19"/>
  <c r="Q276" i="19" s="1"/>
  <c r="E277" i="19" l="1"/>
  <c r="G277" i="19"/>
  <c r="H277" i="19" l="1"/>
  <c r="I277" i="19" s="1"/>
  <c r="J277" i="19" l="1"/>
  <c r="K277" i="19" s="1"/>
  <c r="M277" i="19" s="1"/>
  <c r="N289" i="19" s="1"/>
  <c r="P277" i="19"/>
  <c r="Q277" i="19" s="1"/>
  <c r="O277" i="19" l="1"/>
  <c r="D278" i="19" s="1"/>
  <c r="E278" i="19"/>
  <c r="G278" i="19"/>
  <c r="H278" i="19" s="1"/>
  <c r="I278" i="19" l="1"/>
  <c r="J278" i="19" s="1"/>
  <c r="K278" i="19" s="1"/>
  <c r="M278" i="19" s="1"/>
  <c r="N290" i="19" s="1"/>
  <c r="P278" i="19" l="1"/>
  <c r="Q278" i="19" s="1"/>
  <c r="O278" i="19"/>
  <c r="D279" i="19" s="1"/>
  <c r="G279" i="19" l="1"/>
  <c r="E279" i="19"/>
  <c r="H279" i="19" l="1"/>
  <c r="I279" i="19" l="1"/>
  <c r="J279" i="19" s="1"/>
  <c r="K279" i="19" s="1"/>
  <c r="M279" i="19" s="1"/>
  <c r="N291" i="19" s="1"/>
  <c r="O279" i="19" l="1"/>
  <c r="D280" i="19" s="1"/>
  <c r="P279" i="19"/>
  <c r="Q279" i="19" s="1"/>
  <c r="E280" i="19" l="1"/>
  <c r="G280" i="19"/>
  <c r="H280" i="19" s="1"/>
  <c r="I280" i="19" l="1"/>
  <c r="J280" i="19" s="1"/>
  <c r="K280" i="19" s="1"/>
  <c r="M280" i="19" s="1"/>
  <c r="N292" i="19" s="1"/>
  <c r="P280" i="19" l="1"/>
  <c r="Q280" i="19" s="1"/>
  <c r="O280" i="19"/>
  <c r="D281" i="19" s="1"/>
  <c r="E281" i="19" l="1"/>
  <c r="G281" i="19"/>
  <c r="H281" i="19" l="1"/>
  <c r="I281" i="19" s="1"/>
  <c r="J281" i="19" s="1"/>
  <c r="K281" i="19" s="1"/>
  <c r="M281" i="19" s="1"/>
  <c r="N293" i="19" s="1"/>
  <c r="P281" i="19" l="1"/>
  <c r="Q281" i="19" s="1"/>
  <c r="O281" i="19"/>
  <c r="D282" i="19" s="1"/>
  <c r="G282" i="19" l="1"/>
  <c r="E282" i="19"/>
  <c r="H282" i="19" l="1"/>
  <c r="I282" i="19" s="1"/>
  <c r="J282" i="19" s="1"/>
  <c r="K282" i="19" s="1"/>
  <c r="M282" i="19" s="1"/>
  <c r="N294" i="19" s="1"/>
  <c r="P282" i="19" l="1"/>
  <c r="Q282" i="19" s="1"/>
  <c r="O282" i="19"/>
  <c r="D283" i="19" s="1"/>
  <c r="E283" i="19" s="1"/>
  <c r="G283" i="19"/>
  <c r="H283" i="19" l="1"/>
  <c r="I283" i="19"/>
  <c r="J283" i="19" s="1"/>
  <c r="K283" i="19" s="1"/>
  <c r="M283" i="19" s="1"/>
  <c r="N295" i="19" s="1"/>
  <c r="P283" i="19" l="1"/>
  <c r="Q283" i="19" s="1"/>
  <c r="O283" i="19"/>
  <c r="D284" i="19" s="1"/>
  <c r="E284" i="19" l="1"/>
  <c r="G284" i="19"/>
  <c r="H284" i="19" s="1"/>
  <c r="I284" i="19" s="1"/>
  <c r="J284" i="19" s="1"/>
  <c r="K284" i="19" s="1"/>
  <c r="M284" i="19" s="1"/>
  <c r="N296" i="19" s="1"/>
  <c r="O284" i="19" l="1"/>
  <c r="D285" i="19" s="1"/>
  <c r="P284" i="19"/>
  <c r="Q284" i="19" s="1"/>
  <c r="G285" i="19" l="1"/>
  <c r="E285" i="19"/>
  <c r="H285" i="19" l="1"/>
  <c r="I285" i="19" l="1"/>
  <c r="J285" i="19"/>
  <c r="K285" i="19" s="1"/>
  <c r="M285" i="19" s="1"/>
  <c r="N297" i="19" s="1"/>
  <c r="O285" i="19" l="1"/>
  <c r="D286" i="19" s="1"/>
  <c r="P285" i="19"/>
  <c r="Q285" i="19" s="1"/>
  <c r="G286" i="19" l="1"/>
  <c r="E286" i="19"/>
  <c r="H286" i="19" l="1"/>
  <c r="I286" i="19" s="1"/>
  <c r="J286" i="19"/>
  <c r="K286" i="19" s="1"/>
  <c r="M286" i="19" s="1"/>
  <c r="N298" i="19" s="1"/>
  <c r="P286" i="19" l="1"/>
  <c r="Q286" i="19" s="1"/>
  <c r="O286" i="19"/>
  <c r="D287" i="19" s="1"/>
  <c r="G287" i="19" l="1"/>
  <c r="E287" i="19"/>
  <c r="H287" i="19" l="1"/>
  <c r="I287" i="19" s="1"/>
  <c r="J287" i="19" s="1"/>
  <c r="K287" i="19" s="1"/>
  <c r="M287" i="19" s="1"/>
  <c r="N299" i="19" s="1"/>
  <c r="P287" i="19" l="1"/>
  <c r="Q287" i="19" s="1"/>
  <c r="O287" i="19"/>
  <c r="D288" i="19" s="1"/>
  <c r="G288" i="19" l="1"/>
  <c r="E288" i="19"/>
  <c r="H288" i="19" l="1"/>
  <c r="I288" i="19" l="1"/>
  <c r="P288" i="19" s="1"/>
  <c r="Q288" i="19" s="1"/>
  <c r="J288" i="19"/>
  <c r="K288" i="19" s="1"/>
  <c r="M288" i="19" s="1"/>
  <c r="N300" i="19" s="1"/>
  <c r="O288" i="19" l="1"/>
  <c r="D289" i="19" s="1"/>
  <c r="E289" i="19" l="1"/>
  <c r="G289" i="19"/>
  <c r="H289" i="19" s="1"/>
  <c r="I289" i="19" s="1"/>
  <c r="J289" i="19" s="1"/>
  <c r="K289" i="19" s="1"/>
  <c r="M289" i="19" s="1"/>
  <c r="N301" i="19" s="1"/>
  <c r="P289" i="19" l="1"/>
  <c r="Q289" i="19" s="1"/>
  <c r="O289" i="19"/>
  <c r="D290" i="19" s="1"/>
  <c r="E290" i="19" l="1"/>
  <c r="G290" i="19"/>
  <c r="H290" i="19" s="1"/>
  <c r="I290" i="19" s="1"/>
  <c r="J290" i="19" s="1"/>
  <c r="K290" i="19" s="1"/>
  <c r="M290" i="19" s="1"/>
  <c r="N302" i="19" s="1"/>
  <c r="P290" i="19" l="1"/>
  <c r="Q290" i="19" s="1"/>
  <c r="O290" i="19"/>
  <c r="D291" i="19" s="1"/>
  <c r="E291" i="19" l="1"/>
  <c r="G291" i="19"/>
  <c r="H291" i="19" s="1"/>
  <c r="I291" i="19" l="1"/>
  <c r="J291" i="19" s="1"/>
  <c r="K291" i="19" s="1"/>
  <c r="M291" i="19" s="1"/>
  <c r="N303" i="19" s="1"/>
  <c r="P291" i="19" l="1"/>
  <c r="Q291" i="19" s="1"/>
  <c r="O291" i="19"/>
  <c r="D292" i="19" s="1"/>
  <c r="G292" i="19" l="1"/>
  <c r="E292" i="19"/>
  <c r="H292" i="19" l="1"/>
  <c r="I292" i="19"/>
  <c r="J292" i="19" s="1"/>
  <c r="K292" i="19" s="1"/>
  <c r="M292" i="19" s="1"/>
  <c r="N304" i="19" s="1"/>
  <c r="P292" i="19" l="1"/>
  <c r="Q292" i="19" s="1"/>
  <c r="O292" i="19"/>
  <c r="D293" i="19" s="1"/>
  <c r="E293" i="19" l="1"/>
  <c r="G293" i="19"/>
  <c r="H293" i="19" s="1"/>
  <c r="I293" i="19" l="1"/>
  <c r="J293" i="19" s="1"/>
  <c r="K293" i="19" s="1"/>
  <c r="M293" i="19" s="1"/>
  <c r="N305" i="19" s="1"/>
  <c r="P293" i="19" l="1"/>
  <c r="Q293" i="19" s="1"/>
  <c r="O293" i="19"/>
  <c r="D294" i="19" s="1"/>
  <c r="E294" i="19" l="1"/>
  <c r="G294" i="19"/>
  <c r="H294" i="19" s="1"/>
  <c r="I294" i="19" l="1"/>
  <c r="J294" i="19" s="1"/>
  <c r="K294" i="19" s="1"/>
  <c r="M294" i="19" s="1"/>
  <c r="N306" i="19" s="1"/>
  <c r="P294" i="19" l="1"/>
  <c r="Q294" i="19" s="1"/>
  <c r="O294" i="19"/>
  <c r="D295" i="19" s="1"/>
  <c r="G295" i="19" l="1"/>
  <c r="E295" i="19"/>
  <c r="H295" i="19" l="1"/>
  <c r="I295" i="19" l="1"/>
  <c r="J295" i="19" s="1"/>
  <c r="K295" i="19" s="1"/>
  <c r="M295" i="19" s="1"/>
  <c r="N307" i="19" s="1"/>
  <c r="O295" i="19" l="1"/>
  <c r="D296" i="19" s="1"/>
  <c r="P295" i="19"/>
  <c r="Q295" i="19" s="1"/>
  <c r="E296" i="19" l="1"/>
  <c r="G296" i="19"/>
  <c r="H296" i="19" s="1"/>
  <c r="I296" i="19" l="1"/>
  <c r="J296" i="19" s="1"/>
  <c r="K296" i="19" s="1"/>
  <c r="M296" i="19" s="1"/>
  <c r="N308" i="19" s="1"/>
  <c r="P296" i="19" l="1"/>
  <c r="Q296" i="19" s="1"/>
  <c r="O296" i="19"/>
  <c r="D297" i="19" s="1"/>
  <c r="E297" i="19" l="1"/>
  <c r="G297" i="19"/>
  <c r="H297" i="19" s="1"/>
  <c r="I297" i="19" s="1"/>
  <c r="J297" i="19" s="1"/>
  <c r="K297" i="19" s="1"/>
  <c r="M297" i="19" s="1"/>
  <c r="N309" i="19" s="1"/>
  <c r="P297" i="19" l="1"/>
  <c r="Q297" i="19" s="1"/>
  <c r="O297" i="19"/>
  <c r="D298" i="19" s="1"/>
  <c r="E298" i="19" l="1"/>
  <c r="G298" i="19"/>
  <c r="H298" i="19" s="1"/>
  <c r="I298" i="19" s="1"/>
  <c r="J298" i="19" l="1"/>
  <c r="K298" i="19" s="1"/>
  <c r="M298" i="19" s="1"/>
  <c r="N310" i="19" s="1"/>
  <c r="P298" i="19"/>
  <c r="Q298" i="19" s="1"/>
  <c r="O298" i="19" l="1"/>
  <c r="D299" i="19" s="1"/>
  <c r="E299" i="19" l="1"/>
  <c r="G299" i="19"/>
  <c r="H299" i="19" s="1"/>
  <c r="I299" i="19" l="1"/>
  <c r="J299" i="19" s="1"/>
  <c r="K299" i="19" s="1"/>
  <c r="M299" i="19" s="1"/>
  <c r="N311" i="19" s="1"/>
  <c r="P299" i="19" l="1"/>
  <c r="Q299" i="19" s="1"/>
  <c r="O299" i="19"/>
  <c r="D300" i="19" s="1"/>
  <c r="G300" i="19" l="1"/>
  <c r="E300" i="19"/>
  <c r="H300" i="19" l="1"/>
  <c r="I300" i="19" l="1"/>
  <c r="P300" i="19" s="1"/>
  <c r="Q300" i="19" s="1"/>
  <c r="J300" i="19"/>
  <c r="K300" i="19" s="1"/>
  <c r="M300" i="19" s="1"/>
  <c r="N312" i="19" s="1"/>
  <c r="O300" i="19" l="1"/>
  <c r="D301" i="19" s="1"/>
  <c r="E301" i="19" l="1"/>
  <c r="G301" i="19"/>
  <c r="H301" i="19" s="1"/>
  <c r="I301" i="19" s="1"/>
  <c r="P301" i="19" l="1"/>
  <c r="Q301" i="19" s="1"/>
  <c r="J301" i="19"/>
  <c r="K301" i="19" s="1"/>
  <c r="M301" i="19" s="1"/>
  <c r="N313" i="19" s="1"/>
  <c r="O301" i="19" l="1"/>
  <c r="D302" i="19" s="1"/>
  <c r="E302" i="19" l="1"/>
  <c r="G302" i="19"/>
  <c r="H302" i="19" s="1"/>
  <c r="I302" i="19" s="1"/>
  <c r="J302" i="19" s="1"/>
  <c r="K302" i="19" s="1"/>
  <c r="M302" i="19" s="1"/>
  <c r="N314" i="19" s="1"/>
  <c r="O302" i="19" l="1"/>
  <c r="D303" i="19" s="1"/>
  <c r="P302" i="19"/>
  <c r="Q302" i="19" s="1"/>
  <c r="G303" i="19" l="1"/>
  <c r="E303" i="19"/>
  <c r="H303" i="19" l="1"/>
  <c r="I303" i="19" l="1"/>
  <c r="P303" i="19" l="1"/>
  <c r="Q303" i="19" s="1"/>
  <c r="J303" i="19"/>
  <c r="K303" i="19" s="1"/>
  <c r="M303" i="19" s="1"/>
  <c r="N315" i="19" s="1"/>
  <c r="O303" i="19" l="1"/>
  <c r="D304" i="19" s="1"/>
  <c r="G304" i="19"/>
  <c r="E304" i="19"/>
  <c r="H304" i="19" l="1"/>
  <c r="I304" i="19" l="1"/>
  <c r="J304" i="19" s="1"/>
  <c r="K304" i="19" s="1"/>
  <c r="M304" i="19" s="1"/>
  <c r="N316" i="19" s="1"/>
  <c r="O304" i="19" l="1"/>
  <c r="D305" i="19" s="1"/>
  <c r="P304" i="19"/>
  <c r="Q304" i="19" s="1"/>
  <c r="E305" i="19" l="1"/>
  <c r="G305" i="19"/>
  <c r="H305" i="19" s="1"/>
  <c r="I305" i="19" l="1"/>
  <c r="P305" i="19" s="1"/>
  <c r="Q305" i="19" s="1"/>
  <c r="J305" i="19" l="1"/>
  <c r="K305" i="19" s="1"/>
  <c r="M305" i="19" s="1"/>
  <c r="N317" i="19" s="1"/>
  <c r="O305" i="19" l="1"/>
  <c r="D306" i="19" s="1"/>
  <c r="E306" i="19" l="1"/>
  <c r="G306" i="19"/>
  <c r="H306" i="19" s="1"/>
  <c r="I306" i="19" s="1"/>
  <c r="J306" i="19" s="1"/>
  <c r="K306" i="19" s="1"/>
  <c r="M306" i="19" s="1"/>
  <c r="N318" i="19" s="1"/>
  <c r="P306" i="19" l="1"/>
  <c r="Q306" i="19" s="1"/>
  <c r="O306" i="19"/>
  <c r="D307" i="19" s="1"/>
  <c r="E307" i="19" l="1"/>
  <c r="G307" i="19"/>
  <c r="H307" i="19" s="1"/>
  <c r="I307" i="19" s="1"/>
  <c r="J307" i="19" s="1"/>
  <c r="K307" i="19" s="1"/>
  <c r="M307" i="19" s="1"/>
  <c r="N319" i="19" s="1"/>
  <c r="P307" i="19" l="1"/>
  <c r="Q307" i="19" s="1"/>
  <c r="O307" i="19"/>
  <c r="D308" i="19" s="1"/>
  <c r="E308" i="19" l="1"/>
  <c r="G308" i="19"/>
  <c r="H308" i="19" s="1"/>
  <c r="I308" i="19" l="1"/>
  <c r="P308" i="19" s="1"/>
  <c r="Q308" i="19" s="1"/>
  <c r="J308" i="19" l="1"/>
  <c r="K308" i="19" s="1"/>
  <c r="M308" i="19" s="1"/>
  <c r="N320" i="19" s="1"/>
  <c r="O308" i="19" l="1"/>
  <c r="D309" i="19" s="1"/>
  <c r="G309" i="19" l="1"/>
  <c r="E309" i="19"/>
  <c r="H309" i="19" l="1"/>
  <c r="I309" i="19" s="1"/>
  <c r="J309" i="19" s="1"/>
  <c r="K309" i="19" s="1"/>
  <c r="M309" i="19" s="1"/>
  <c r="N321" i="19" s="1"/>
  <c r="P309" i="19" l="1"/>
  <c r="Q309" i="19" s="1"/>
  <c r="O309" i="19"/>
  <c r="D310" i="19" s="1"/>
  <c r="E310" i="19" s="1"/>
  <c r="G310" i="19"/>
  <c r="H310" i="19" l="1"/>
  <c r="I310" i="19" s="1"/>
  <c r="J310" i="19" s="1"/>
  <c r="K310" i="19" s="1"/>
  <c r="M310" i="19" s="1"/>
  <c r="N322" i="19" s="1"/>
  <c r="P310" i="19" l="1"/>
  <c r="Q310" i="19" s="1"/>
  <c r="O310" i="19"/>
  <c r="D311" i="19" s="1"/>
  <c r="G311" i="19" l="1"/>
  <c r="E311" i="19"/>
  <c r="H311" i="19" l="1"/>
  <c r="I311" i="19" l="1"/>
  <c r="J311" i="19" s="1"/>
  <c r="K311" i="19" s="1"/>
  <c r="M311" i="19" s="1"/>
  <c r="N323" i="19" s="1"/>
  <c r="O311" i="19" l="1"/>
  <c r="D312" i="19" s="1"/>
  <c r="P311" i="19"/>
  <c r="Q311" i="19" s="1"/>
  <c r="E312" i="19" l="1"/>
  <c r="G312" i="19"/>
  <c r="H312" i="19" s="1"/>
  <c r="I312" i="19" s="1"/>
  <c r="J312" i="19" s="1"/>
  <c r="K312" i="19" s="1"/>
  <c r="M312" i="19" s="1"/>
  <c r="N324" i="19" s="1"/>
  <c r="O312" i="19" l="1"/>
  <c r="D313" i="19" s="1"/>
  <c r="P312" i="19"/>
  <c r="Q312" i="19" s="1"/>
  <c r="E313" i="19" l="1"/>
  <c r="G313" i="19"/>
  <c r="H313" i="19" s="1"/>
  <c r="I313" i="19" l="1"/>
  <c r="J313" i="19" s="1"/>
  <c r="K313" i="19" s="1"/>
  <c r="M313" i="19" s="1"/>
  <c r="N325" i="19" s="1"/>
  <c r="O313" i="19" l="1"/>
  <c r="D314" i="19" s="1"/>
  <c r="P313" i="19"/>
  <c r="Q313" i="19" s="1"/>
  <c r="G314" i="19" l="1"/>
  <c r="E314" i="19"/>
  <c r="H314" i="19" l="1"/>
  <c r="I314" i="19" s="1"/>
  <c r="J314" i="19" s="1"/>
  <c r="K314" i="19" s="1"/>
  <c r="M314" i="19" s="1"/>
  <c r="N326" i="19" s="1"/>
  <c r="P314" i="19" l="1"/>
  <c r="Q314" i="19" s="1"/>
  <c r="O314" i="19"/>
  <c r="D315" i="19" s="1"/>
  <c r="E315" i="19" s="1"/>
  <c r="G315" i="19"/>
  <c r="H315" i="19" l="1"/>
  <c r="I315" i="19"/>
  <c r="J315" i="19" s="1"/>
  <c r="K315" i="19" s="1"/>
  <c r="M315" i="19" s="1"/>
  <c r="N327" i="19" s="1"/>
  <c r="P315" i="19" l="1"/>
  <c r="Q315" i="19" s="1"/>
  <c r="O315" i="19"/>
  <c r="D316" i="19" s="1"/>
  <c r="E316" i="19" l="1"/>
  <c r="G316" i="19"/>
  <c r="H316" i="19" s="1"/>
  <c r="I316" i="19" l="1"/>
  <c r="J316" i="19" s="1"/>
  <c r="K316" i="19" s="1"/>
  <c r="M316" i="19" s="1"/>
  <c r="N328" i="19" s="1"/>
  <c r="P316" i="19" l="1"/>
  <c r="Q316" i="19" s="1"/>
  <c r="O316" i="19"/>
  <c r="D317" i="19" s="1"/>
  <c r="E317" i="19" l="1"/>
  <c r="G317" i="19"/>
  <c r="H317" i="19" s="1"/>
  <c r="I317" i="19" s="1"/>
  <c r="P317" i="19" l="1"/>
  <c r="Q317" i="19" s="1"/>
  <c r="J317" i="19"/>
  <c r="K317" i="19" s="1"/>
  <c r="M317" i="19" s="1"/>
  <c r="N329" i="19" s="1"/>
  <c r="O317" i="19" l="1"/>
  <c r="D318" i="19" s="1"/>
  <c r="E318" i="19" l="1"/>
  <c r="G318" i="19"/>
  <c r="H318" i="19" s="1"/>
  <c r="I318" i="19" s="1"/>
  <c r="J318" i="19" s="1"/>
  <c r="K318" i="19" s="1"/>
  <c r="M318" i="19" s="1"/>
  <c r="N330" i="19" s="1"/>
  <c r="O318" i="19" l="1"/>
  <c r="D319" i="19" s="1"/>
  <c r="P318" i="19"/>
  <c r="Q318" i="19" s="1"/>
  <c r="E319" i="19" l="1"/>
  <c r="G319" i="19"/>
  <c r="H319" i="19" s="1"/>
  <c r="I319" i="19" l="1"/>
  <c r="J319" i="19" s="1"/>
  <c r="K319" i="19" s="1"/>
  <c r="M319" i="19" s="1"/>
  <c r="N331" i="19" s="1"/>
  <c r="P319" i="19" l="1"/>
  <c r="Q319" i="19" s="1"/>
  <c r="O319" i="19"/>
  <c r="D320" i="19" s="1"/>
  <c r="E320" i="19" l="1"/>
  <c r="G320" i="19"/>
  <c r="H320" i="19" s="1"/>
  <c r="I320" i="19" l="1"/>
  <c r="J320" i="19" s="1"/>
  <c r="K320" i="19" s="1"/>
  <c r="M320" i="19" s="1"/>
  <c r="N332" i="19" s="1"/>
  <c r="P320" i="19" l="1"/>
  <c r="Q320" i="19" s="1"/>
  <c r="O320" i="19"/>
  <c r="D321" i="19" s="1"/>
  <c r="E321" i="19" l="1"/>
  <c r="G321" i="19"/>
  <c r="H321" i="19" s="1"/>
  <c r="I321" i="19" l="1"/>
  <c r="J321" i="19" s="1"/>
  <c r="K321" i="19" s="1"/>
  <c r="M321" i="19" s="1"/>
  <c r="N333" i="19" s="1"/>
  <c r="O321" i="19" l="1"/>
  <c r="D322" i="19" s="1"/>
  <c r="P321" i="19"/>
  <c r="Q321" i="19" s="1"/>
  <c r="E322" i="19" l="1"/>
  <c r="G322" i="19"/>
  <c r="H322" i="19" s="1"/>
  <c r="I322" i="19" l="1"/>
  <c r="J322" i="19" s="1"/>
  <c r="K322" i="19" s="1"/>
  <c r="M322" i="19" s="1"/>
  <c r="N334" i="19" s="1"/>
  <c r="O322" i="19" l="1"/>
  <c r="D323" i="19" s="1"/>
  <c r="P322" i="19"/>
  <c r="Q322" i="19" s="1"/>
  <c r="G323" i="19" l="1"/>
  <c r="E323" i="19"/>
  <c r="H323" i="19" l="1"/>
  <c r="I323" i="19" s="1"/>
  <c r="J323" i="19" s="1"/>
  <c r="K323" i="19" s="1"/>
  <c r="M323" i="19" s="1"/>
  <c r="N335" i="19" s="1"/>
  <c r="P323" i="19" l="1"/>
  <c r="Q323" i="19" s="1"/>
  <c r="O323" i="19"/>
  <c r="D324" i="19" s="1"/>
  <c r="E324" i="19" s="1"/>
  <c r="G324" i="19"/>
  <c r="H324" i="19" l="1"/>
  <c r="I324" i="19" s="1"/>
  <c r="J324" i="19" s="1"/>
  <c r="K324" i="19" s="1"/>
  <c r="M324" i="19" s="1"/>
  <c r="N336" i="19" s="1"/>
  <c r="O324" i="19" l="1"/>
  <c r="D325" i="19" s="1"/>
  <c r="P324" i="19"/>
  <c r="Q324" i="19" s="1"/>
  <c r="G325" i="19"/>
  <c r="E325" i="19"/>
  <c r="H325" i="19" l="1"/>
  <c r="I325" i="19" l="1"/>
  <c r="J325" i="19" s="1"/>
  <c r="K325" i="19" s="1"/>
  <c r="M325" i="19" s="1"/>
  <c r="N337" i="19" s="1"/>
  <c r="O325" i="19" l="1"/>
  <c r="D326" i="19" s="1"/>
  <c r="P325" i="19"/>
  <c r="Q325" i="19" s="1"/>
  <c r="E326" i="19" l="1"/>
  <c r="G326" i="19"/>
  <c r="H326" i="19" l="1"/>
  <c r="I326" i="19"/>
  <c r="J326" i="19" s="1"/>
  <c r="K326" i="19" s="1"/>
  <c r="M326" i="19" s="1"/>
  <c r="N338" i="19" s="1"/>
  <c r="P326" i="19" l="1"/>
  <c r="Q326" i="19" s="1"/>
  <c r="O326" i="19"/>
  <c r="D327" i="19" s="1"/>
  <c r="E327" i="19" l="1"/>
  <c r="G327" i="19"/>
  <c r="H327" i="19" s="1"/>
  <c r="I327" i="19" s="1"/>
  <c r="J327" i="19" s="1"/>
  <c r="K327" i="19" s="1"/>
  <c r="M327" i="19" s="1"/>
  <c r="N339" i="19" s="1"/>
  <c r="P327" i="19" l="1"/>
  <c r="Q327" i="19" s="1"/>
  <c r="O327" i="19"/>
  <c r="D328" i="19" s="1"/>
  <c r="E328" i="19" l="1"/>
  <c r="G328" i="19"/>
  <c r="H328" i="19" s="1"/>
  <c r="I328" i="19" s="1"/>
  <c r="P328" i="19" l="1"/>
  <c r="Q328" i="19" s="1"/>
  <c r="J328" i="19"/>
  <c r="K328" i="19" s="1"/>
  <c r="M328" i="19" s="1"/>
  <c r="N340" i="19" s="1"/>
  <c r="O328" i="19" l="1"/>
  <c r="D329" i="19" s="1"/>
  <c r="E329" i="19" l="1"/>
  <c r="G329" i="19"/>
  <c r="H329" i="19" s="1"/>
  <c r="I329" i="19" l="1"/>
  <c r="J329" i="19" s="1"/>
  <c r="K329" i="19" s="1"/>
  <c r="M329" i="19" s="1"/>
  <c r="N341" i="19" s="1"/>
  <c r="O329" i="19" l="1"/>
  <c r="D330" i="19" s="1"/>
  <c r="P329" i="19"/>
  <c r="Q329" i="19" s="1"/>
  <c r="E330" i="19" l="1"/>
  <c r="G330" i="19"/>
  <c r="H330" i="19" s="1"/>
  <c r="I330" i="19" s="1"/>
  <c r="J330" i="19" s="1"/>
  <c r="K330" i="19" s="1"/>
  <c r="M330" i="19" s="1"/>
  <c r="N342" i="19" s="1"/>
  <c r="O330" i="19" l="1"/>
  <c r="D331" i="19" s="1"/>
  <c r="P330" i="19"/>
  <c r="Q330" i="19" s="1"/>
  <c r="G331" i="19" l="1"/>
  <c r="E331" i="19"/>
  <c r="H331" i="19" l="1"/>
  <c r="I331" i="19" s="1"/>
  <c r="P331" i="19" s="1"/>
  <c r="Q331" i="19" s="1"/>
  <c r="J331" i="19"/>
  <c r="K331" i="19" s="1"/>
  <c r="M331" i="19" s="1"/>
  <c r="N343" i="19" s="1"/>
  <c r="O331" i="19" l="1"/>
  <c r="D332" i="19" s="1"/>
  <c r="E332" i="19" l="1"/>
  <c r="G332" i="19"/>
  <c r="H332" i="19" s="1"/>
  <c r="I332" i="19" l="1"/>
  <c r="J332" i="19" s="1"/>
  <c r="K332" i="19" s="1"/>
  <c r="M332" i="19" s="1"/>
  <c r="N344" i="19" s="1"/>
  <c r="P332" i="19" l="1"/>
  <c r="Q332" i="19" s="1"/>
  <c r="O332" i="19"/>
  <c r="D333" i="19" s="1"/>
  <c r="G333" i="19" l="1"/>
  <c r="E333" i="19"/>
  <c r="H333" i="19" l="1"/>
  <c r="I333" i="19" l="1"/>
  <c r="P333" i="19" s="1"/>
  <c r="Q333" i="19" s="1"/>
  <c r="J333" i="19"/>
  <c r="K333" i="19" s="1"/>
  <c r="M333" i="19" s="1"/>
  <c r="N345" i="19" s="1"/>
  <c r="O333" i="19" l="1"/>
  <c r="D334" i="19" s="1"/>
  <c r="G334" i="19" l="1"/>
  <c r="E334" i="19"/>
  <c r="H334" i="19" l="1"/>
  <c r="I334" i="19"/>
  <c r="J334" i="19" s="1"/>
  <c r="K334" i="19" s="1"/>
  <c r="M334" i="19" s="1"/>
  <c r="N346" i="19" s="1"/>
  <c r="O334" i="19" l="1"/>
  <c r="D335" i="19" s="1"/>
  <c r="G335" i="19"/>
  <c r="E335" i="19"/>
  <c r="P334" i="19"/>
  <c r="Q334" i="19" s="1"/>
  <c r="H335" i="19" l="1"/>
  <c r="I335" i="19" s="1"/>
  <c r="J335" i="19"/>
  <c r="K335" i="19" s="1"/>
  <c r="M335" i="19" s="1"/>
  <c r="N347" i="19" s="1"/>
  <c r="P335" i="19" l="1"/>
  <c r="Q335" i="19" s="1"/>
  <c r="O335" i="19"/>
  <c r="D336" i="19" s="1"/>
  <c r="E336" i="19" l="1"/>
  <c r="G336" i="19"/>
  <c r="H336" i="19" s="1"/>
  <c r="I336" i="19" l="1"/>
  <c r="J336" i="19" s="1"/>
  <c r="K336" i="19" s="1"/>
  <c r="M336" i="19" s="1"/>
  <c r="N348" i="19" s="1"/>
  <c r="O336" i="19" l="1"/>
  <c r="D337" i="19" s="1"/>
  <c r="P336" i="19"/>
  <c r="Q336" i="19" s="1"/>
  <c r="E337" i="19" l="1"/>
  <c r="G337" i="19"/>
  <c r="H337" i="19" s="1"/>
  <c r="I337" i="19" s="1"/>
  <c r="J337" i="19" l="1"/>
  <c r="K337" i="19" s="1"/>
  <c r="M337" i="19" s="1"/>
  <c r="N349" i="19" s="1"/>
  <c r="P337" i="19"/>
  <c r="Q337" i="19" s="1"/>
  <c r="O337" i="19" l="1"/>
  <c r="D338" i="19" s="1"/>
  <c r="E338" i="19" l="1"/>
  <c r="G338" i="19"/>
  <c r="H338" i="19" s="1"/>
  <c r="I338" i="19" l="1"/>
  <c r="J338" i="19" s="1"/>
  <c r="K338" i="19" s="1"/>
  <c r="M338" i="19" s="1"/>
  <c r="N350" i="19" s="1"/>
  <c r="P338" i="19" l="1"/>
  <c r="Q338" i="19" s="1"/>
  <c r="O338" i="19"/>
  <c r="D339" i="19" s="1"/>
  <c r="G339" i="19" l="1"/>
  <c r="E339" i="19"/>
  <c r="H339" i="19" l="1"/>
  <c r="I339" i="19" s="1"/>
  <c r="J339" i="19" s="1"/>
  <c r="K339" i="19" s="1"/>
  <c r="M339" i="19" s="1"/>
  <c r="N351" i="19" s="1"/>
  <c r="P339" i="19" l="1"/>
  <c r="Q339" i="19" s="1"/>
  <c r="O339" i="19"/>
  <c r="D340" i="19" s="1"/>
  <c r="G340" i="19"/>
  <c r="E340" i="19"/>
  <c r="H340" i="19" l="1"/>
  <c r="I340" i="19" l="1"/>
  <c r="P340" i="19" s="1"/>
  <c r="Q340" i="19" s="1"/>
  <c r="J340" i="19"/>
  <c r="K340" i="19" s="1"/>
  <c r="M340" i="19" s="1"/>
  <c r="N352" i="19" s="1"/>
  <c r="O340" i="19" l="1"/>
  <c r="D341" i="19" s="1"/>
  <c r="E341" i="19" l="1"/>
  <c r="G341" i="19"/>
  <c r="H341" i="19" s="1"/>
  <c r="I341" i="19" l="1"/>
  <c r="P341" i="19" s="1"/>
  <c r="Q341" i="19" s="1"/>
  <c r="J341" i="19" l="1"/>
  <c r="K341" i="19" s="1"/>
  <c r="M341" i="19" s="1"/>
  <c r="N353" i="19" s="1"/>
  <c r="O341" i="19" l="1"/>
  <c r="D342" i="19" s="1"/>
  <c r="E342" i="19" l="1"/>
  <c r="G342" i="19"/>
  <c r="H342" i="19" s="1"/>
  <c r="I342" i="19" l="1"/>
  <c r="J342" i="19" s="1"/>
  <c r="K342" i="19" s="1"/>
  <c r="M342" i="19" s="1"/>
  <c r="N354" i="19" s="1"/>
  <c r="P342" i="19" l="1"/>
  <c r="Q342" i="19" s="1"/>
  <c r="O342" i="19"/>
  <c r="D343" i="19" s="1"/>
  <c r="E343" i="19" l="1"/>
  <c r="G343" i="19"/>
  <c r="H343" i="19" s="1"/>
  <c r="I343" i="19" s="1"/>
  <c r="J343" i="19" l="1"/>
  <c r="K343" i="19" s="1"/>
  <c r="M343" i="19" s="1"/>
  <c r="N355" i="19" s="1"/>
  <c r="P343" i="19"/>
  <c r="Q343" i="19" s="1"/>
  <c r="O343" i="19" l="1"/>
  <c r="D344" i="19" s="1"/>
  <c r="E344" i="19" l="1"/>
  <c r="G344" i="19"/>
  <c r="H344" i="19" s="1"/>
  <c r="I344" i="19" l="1"/>
  <c r="J344" i="19" s="1"/>
  <c r="K344" i="19" s="1"/>
  <c r="M344" i="19" s="1"/>
  <c r="N356" i="19" s="1"/>
  <c r="P344" i="19" l="1"/>
  <c r="Q344" i="19" s="1"/>
  <c r="O344" i="19"/>
  <c r="D345" i="19" s="1"/>
  <c r="E345" i="19" l="1"/>
  <c r="G345" i="19"/>
  <c r="H345" i="19" s="1"/>
  <c r="I345" i="19" l="1"/>
  <c r="J345" i="19" s="1"/>
  <c r="K345" i="19" s="1"/>
  <c r="M345" i="19" s="1"/>
  <c r="N357" i="19" s="1"/>
  <c r="P345" i="19" l="1"/>
  <c r="Q345" i="19" s="1"/>
  <c r="O345" i="19"/>
  <c r="D346" i="19" s="1"/>
  <c r="E346" i="19" l="1"/>
  <c r="G346" i="19"/>
  <c r="H346" i="19" s="1"/>
  <c r="I346" i="19" l="1"/>
  <c r="J346" i="19" s="1"/>
  <c r="K346" i="19" s="1"/>
  <c r="M346" i="19" s="1"/>
  <c r="N358" i="19" s="1"/>
  <c r="P346" i="19" l="1"/>
  <c r="Q346" i="19" s="1"/>
  <c r="O346" i="19"/>
  <c r="D347" i="19" s="1"/>
  <c r="G347" i="19" l="1"/>
  <c r="E347" i="19"/>
  <c r="H347" i="19" l="1"/>
  <c r="I347" i="19" s="1"/>
  <c r="P347" i="19" s="1"/>
  <c r="Q347" i="19" s="1"/>
  <c r="J347" i="19" l="1"/>
  <c r="K347" i="19" s="1"/>
  <c r="M347" i="19" s="1"/>
  <c r="N359" i="19" s="1"/>
  <c r="O347" i="19" l="1"/>
  <c r="D348" i="19" s="1"/>
  <c r="E348" i="19" l="1"/>
  <c r="G348" i="19"/>
  <c r="H348" i="19" s="1"/>
  <c r="I348" i="19" l="1"/>
  <c r="J348" i="19" s="1"/>
  <c r="K348" i="19" s="1"/>
  <c r="M348" i="19" s="1"/>
  <c r="N360" i="19" s="1"/>
  <c r="O348" i="19" l="1"/>
  <c r="D349" i="19" s="1"/>
  <c r="P348" i="19"/>
  <c r="Q348" i="19" s="1"/>
  <c r="G349" i="19" l="1"/>
  <c r="E349" i="19"/>
  <c r="H349" i="19" l="1"/>
  <c r="I349" i="19" l="1"/>
  <c r="J349" i="19" s="1"/>
  <c r="K349" i="19" s="1"/>
  <c r="M349" i="19" s="1"/>
  <c r="N361" i="19" s="1"/>
  <c r="O349" i="19" l="1"/>
  <c r="D350" i="19" s="1"/>
  <c r="P349" i="19"/>
  <c r="Q349" i="19" s="1"/>
  <c r="E350" i="19" l="1"/>
  <c r="G350" i="19"/>
  <c r="H350" i="19" s="1"/>
  <c r="I350" i="19" l="1"/>
  <c r="J350" i="19" s="1"/>
  <c r="P350" i="19" l="1"/>
  <c r="Q350" i="19" s="1"/>
  <c r="K350" i="19"/>
  <c r="M350" i="19" s="1"/>
  <c r="N362" i="19" s="1"/>
  <c r="O350" i="19"/>
  <c r="D351" i="19" s="1"/>
  <c r="E351" i="19" l="1"/>
  <c r="G351" i="19"/>
  <c r="H351" i="19" s="1"/>
  <c r="I351" i="19" l="1"/>
  <c r="P351" i="19" s="1"/>
  <c r="Q351" i="19" s="1"/>
  <c r="J351" i="19" l="1"/>
  <c r="K351" i="19" s="1"/>
  <c r="M351" i="19" s="1"/>
  <c r="N363" i="19" s="1"/>
  <c r="O351" i="19" l="1"/>
  <c r="D352" i="19" s="1"/>
  <c r="E352" i="19" l="1"/>
  <c r="G352" i="19"/>
  <c r="H352" i="19" s="1"/>
  <c r="I352" i="19" l="1"/>
  <c r="J352" i="19" s="1"/>
  <c r="K352" i="19" s="1"/>
  <c r="M352" i="19" s="1"/>
  <c r="N364" i="19" s="1"/>
  <c r="P352" i="19" l="1"/>
  <c r="Q352" i="19" s="1"/>
  <c r="O352" i="19"/>
  <c r="D353" i="19" s="1"/>
  <c r="G353" i="19" l="1"/>
  <c r="E353" i="19"/>
  <c r="H353" i="19" l="1"/>
  <c r="I353" i="19" s="1"/>
  <c r="J353" i="19"/>
  <c r="K353" i="19" s="1"/>
  <c r="M353" i="19" s="1"/>
  <c r="N365" i="19" s="1"/>
  <c r="P353" i="19" l="1"/>
  <c r="Q353" i="19" s="1"/>
  <c r="O353" i="19"/>
  <c r="D354" i="19" s="1"/>
  <c r="G354" i="19" l="1"/>
  <c r="E354" i="19"/>
  <c r="H354" i="19" l="1"/>
  <c r="I354" i="19" s="1"/>
  <c r="P354" i="19" s="1"/>
  <c r="Q354" i="19" s="1"/>
  <c r="J354" i="19"/>
  <c r="K354" i="19" s="1"/>
  <c r="M354" i="19" s="1"/>
  <c r="N366" i="19" s="1"/>
  <c r="O354" i="19" l="1"/>
  <c r="D355" i="19" s="1"/>
  <c r="E355" i="19" l="1"/>
  <c r="G355" i="19"/>
  <c r="H355" i="19" s="1"/>
  <c r="I355" i="19" l="1"/>
  <c r="J355" i="19" s="1"/>
  <c r="K355" i="19" s="1"/>
  <c r="M355" i="19" s="1"/>
  <c r="N367" i="19" s="1"/>
  <c r="P355" i="19" l="1"/>
  <c r="Q355" i="19" s="1"/>
  <c r="O355" i="19"/>
  <c r="D356" i="19" s="1"/>
  <c r="E356" i="19" l="1"/>
  <c r="G356" i="19"/>
  <c r="H356" i="19" s="1"/>
  <c r="I356" i="19" l="1"/>
  <c r="P356" i="19" s="1"/>
  <c r="Q356" i="19" s="1"/>
  <c r="J356" i="19" l="1"/>
  <c r="K356" i="19" s="1"/>
  <c r="M356" i="19" s="1"/>
  <c r="N368" i="19" s="1"/>
  <c r="O356" i="19" l="1"/>
  <c r="D357" i="19" s="1"/>
  <c r="G357" i="19" l="1"/>
  <c r="E357" i="19"/>
  <c r="H357" i="19" l="1"/>
  <c r="I357" i="19" l="1"/>
  <c r="J357" i="19" s="1"/>
  <c r="K357" i="19" s="1"/>
  <c r="M357" i="19" s="1"/>
  <c r="N369" i="19" s="1"/>
  <c r="O357" i="19" l="1"/>
  <c r="D358" i="19" s="1"/>
  <c r="P357" i="19"/>
  <c r="Q357" i="19" s="1"/>
  <c r="E358" i="19" l="1"/>
  <c r="G358" i="19"/>
  <c r="H358" i="19" s="1"/>
  <c r="I358" i="19" s="1"/>
  <c r="J358" i="19" l="1"/>
  <c r="K358" i="19" s="1"/>
  <c r="M358" i="19" s="1"/>
  <c r="N370" i="19" s="1"/>
  <c r="P358" i="19"/>
  <c r="Q358" i="19" s="1"/>
  <c r="O358" i="19" l="1"/>
  <c r="D359" i="19" s="1"/>
  <c r="E359" i="19" l="1"/>
  <c r="G359" i="19"/>
  <c r="H359" i="19" s="1"/>
  <c r="I359" i="19" l="1"/>
  <c r="P359" i="19" s="1"/>
  <c r="Q359" i="19" s="1"/>
  <c r="J359" i="19" l="1"/>
  <c r="K359" i="19" s="1"/>
  <c r="M359" i="19" s="1"/>
  <c r="N371" i="19" s="1"/>
  <c r="O359" i="19" l="1"/>
  <c r="D360" i="19" s="1"/>
  <c r="G360" i="19" l="1"/>
  <c r="E360" i="19"/>
  <c r="H360" i="19" l="1"/>
  <c r="I360" i="19" l="1"/>
  <c r="P360" i="19" s="1"/>
  <c r="Q360" i="19" s="1"/>
  <c r="J360" i="19"/>
  <c r="K360" i="19" s="1"/>
  <c r="M360" i="19" s="1"/>
  <c r="N372" i="19" s="1"/>
  <c r="O360" i="19" l="1"/>
  <c r="D361" i="19" s="1"/>
  <c r="E361" i="19" l="1"/>
  <c r="G361" i="19"/>
  <c r="H361" i="19" s="1"/>
  <c r="I361" i="19" l="1"/>
  <c r="P361" i="19" s="1"/>
  <c r="Q361" i="19" s="1"/>
  <c r="J361" i="19" l="1"/>
  <c r="K361" i="19" s="1"/>
  <c r="M361" i="19" s="1"/>
  <c r="N373" i="19" s="1"/>
  <c r="O361" i="19" l="1"/>
  <c r="D362" i="19" s="1"/>
  <c r="G362" i="19" l="1"/>
  <c r="E362" i="19"/>
  <c r="H362" i="19" l="1"/>
  <c r="I362" i="19" l="1"/>
  <c r="J362" i="19" s="1"/>
  <c r="K362" i="19" s="1"/>
  <c r="M362" i="19" s="1"/>
  <c r="N374" i="19" s="1"/>
  <c r="P362" i="19" l="1"/>
  <c r="Q362" i="19" s="1"/>
  <c r="O362" i="19"/>
  <c r="D363" i="19" s="1"/>
  <c r="G363" i="19" l="1"/>
  <c r="E363" i="19"/>
  <c r="H363" i="19" l="1"/>
  <c r="I363" i="19" s="1"/>
  <c r="J363" i="19" s="1"/>
  <c r="K363" i="19" s="1"/>
  <c r="M363" i="19" s="1"/>
  <c r="N375" i="19" s="1"/>
  <c r="P363" i="19" l="1"/>
  <c r="Q363" i="19" s="1"/>
  <c r="O363" i="19"/>
  <c r="D364" i="19" s="1"/>
  <c r="E364" i="19" l="1"/>
  <c r="G364" i="19"/>
  <c r="H364" i="19" s="1"/>
  <c r="I364" i="19" l="1"/>
  <c r="P364" i="19" s="1"/>
  <c r="Q364" i="19" s="1"/>
  <c r="J364" i="19" l="1"/>
  <c r="K364" i="19" s="1"/>
  <c r="M364" i="19" s="1"/>
  <c r="N376" i="19" s="1"/>
  <c r="O364" i="19" l="1"/>
  <c r="D365" i="19" s="1"/>
  <c r="E365" i="19" l="1"/>
  <c r="G365" i="19"/>
  <c r="H365" i="19" l="1"/>
  <c r="I365" i="19" s="1"/>
  <c r="J365" i="19" s="1"/>
  <c r="K365" i="19" s="1"/>
  <c r="M365" i="19" s="1"/>
  <c r="N377" i="19" s="1"/>
  <c r="P365" i="19" l="1"/>
  <c r="Q365" i="19" s="1"/>
  <c r="O365" i="19"/>
  <c r="D366" i="19" s="1"/>
  <c r="E366" i="19" l="1"/>
  <c r="G366" i="19"/>
  <c r="H366" i="19" s="1"/>
  <c r="I366" i="19" s="1"/>
  <c r="J366" i="19" l="1"/>
  <c r="K366" i="19" s="1"/>
  <c r="M366" i="19" s="1"/>
  <c r="N378" i="19" s="1"/>
  <c r="P366" i="19"/>
  <c r="Q366" i="19" s="1"/>
  <c r="O366" i="19" l="1"/>
  <c r="D367" i="19" s="1"/>
  <c r="G367" i="19" l="1"/>
  <c r="E367" i="19"/>
  <c r="H367" i="19" l="1"/>
  <c r="I367" i="19" l="1"/>
  <c r="P367" i="19" s="1"/>
  <c r="Q367" i="19" s="1"/>
  <c r="J367" i="19"/>
  <c r="K367" i="19" s="1"/>
  <c r="M367" i="19" s="1"/>
  <c r="N379" i="19" s="1"/>
  <c r="O367" i="19" l="1"/>
  <c r="D368" i="19" s="1"/>
  <c r="G368" i="19" l="1"/>
  <c r="E368" i="19"/>
  <c r="H368" i="19" l="1"/>
  <c r="I368" i="19" l="1"/>
  <c r="J368" i="19" s="1"/>
  <c r="K368" i="19" s="1"/>
  <c r="M368" i="19" s="1"/>
  <c r="N380" i="19" s="1"/>
  <c r="O368" i="19" l="1"/>
  <c r="D369" i="19" s="1"/>
  <c r="P368" i="19"/>
  <c r="Q368" i="19" s="1"/>
  <c r="G369" i="19" l="1"/>
  <c r="E369" i="19"/>
  <c r="H369" i="19" l="1"/>
  <c r="I369" i="19" l="1"/>
  <c r="P369" i="19" s="1"/>
  <c r="Q369" i="19" s="1"/>
  <c r="J369" i="19"/>
  <c r="K369" i="19" s="1"/>
  <c r="M369" i="19" s="1"/>
  <c r="N381" i="19" s="1"/>
  <c r="O369" i="19" l="1"/>
  <c r="D370" i="19" s="1"/>
  <c r="E370" i="19" l="1"/>
  <c r="G370" i="19"/>
  <c r="H370" i="19" l="1"/>
  <c r="I370" i="19" s="1"/>
  <c r="J370" i="19" s="1"/>
  <c r="K370" i="19" s="1"/>
  <c r="M370" i="19" s="1"/>
  <c r="N382" i="19" s="1"/>
  <c r="P370" i="19" l="1"/>
  <c r="Q370" i="19" s="1"/>
  <c r="O370" i="19"/>
  <c r="D371" i="19" s="1"/>
  <c r="E371" i="19" l="1"/>
  <c r="G371" i="19"/>
  <c r="H371" i="19" l="1"/>
  <c r="I371" i="19" s="1"/>
  <c r="J371" i="19" s="1"/>
  <c r="K371" i="19" s="1"/>
  <c r="M371" i="19" s="1"/>
  <c r="N383" i="19" s="1"/>
  <c r="P371" i="19" l="1"/>
  <c r="Q371" i="19" s="1"/>
  <c r="O371" i="19"/>
  <c r="D372" i="19" s="1"/>
  <c r="E372" i="19" l="1"/>
  <c r="G372" i="19"/>
  <c r="H372" i="19" s="1"/>
  <c r="I372" i="19" l="1"/>
  <c r="J372" i="19" s="1"/>
  <c r="K372" i="19" s="1"/>
  <c r="M372" i="19" s="1"/>
  <c r="N384" i="19" s="1"/>
  <c r="P372" i="19" l="1"/>
  <c r="Q372" i="19" s="1"/>
  <c r="O372" i="19"/>
  <c r="D373" i="19" s="1"/>
  <c r="G373" i="19" l="1"/>
  <c r="E373" i="19"/>
  <c r="H373" i="19" l="1"/>
  <c r="I373" i="19" l="1"/>
  <c r="J373" i="19" s="1"/>
  <c r="K373" i="19" s="1"/>
  <c r="M373" i="19" s="1"/>
  <c r="N385" i="19" s="1"/>
  <c r="O373" i="19" l="1"/>
  <c r="D374" i="19" s="1"/>
  <c r="P373" i="19"/>
  <c r="Q373" i="19" s="1"/>
  <c r="E374" i="19" l="1"/>
  <c r="G374" i="19"/>
  <c r="H374" i="19" s="1"/>
  <c r="I374" i="19" l="1"/>
  <c r="J374" i="19" s="1"/>
  <c r="K374" i="19" s="1"/>
  <c r="M374" i="19" s="1"/>
  <c r="P374" i="19" l="1"/>
  <c r="Q374" i="19" s="1"/>
  <c r="O374" i="19"/>
  <c r="D375" i="19" s="1"/>
  <c r="G375" i="19" l="1"/>
  <c r="E375" i="19"/>
  <c r="H375" i="19" l="1"/>
  <c r="I375" i="19" s="1"/>
  <c r="J375" i="19"/>
  <c r="K375" i="19" s="1"/>
  <c r="M375" i="19" s="1"/>
  <c r="P375" i="19" l="1"/>
  <c r="Q375" i="19" s="1"/>
  <c r="O375" i="19"/>
  <c r="D376" i="19" s="1"/>
  <c r="E376" i="19" l="1"/>
  <c r="G376" i="19"/>
  <c r="H376" i="19" s="1"/>
  <c r="I376" i="19" l="1"/>
  <c r="J376" i="19" s="1"/>
  <c r="K376" i="19" s="1"/>
  <c r="M376" i="19" s="1"/>
  <c r="P376" i="19" l="1"/>
  <c r="Q376" i="19" s="1"/>
  <c r="O376" i="19"/>
  <c r="D377" i="19" s="1"/>
  <c r="E377" i="19" l="1"/>
  <c r="G377" i="19"/>
  <c r="H377" i="19" l="1"/>
  <c r="I377" i="19" s="1"/>
  <c r="J377" i="19" s="1"/>
  <c r="K377" i="19" s="1"/>
  <c r="M377" i="19" s="1"/>
  <c r="P377" i="19" l="1"/>
  <c r="Q377" i="19" s="1"/>
  <c r="O377" i="19"/>
  <c r="D378" i="19" s="1"/>
  <c r="G378" i="19" l="1"/>
  <c r="E378" i="19"/>
  <c r="H378" i="19" l="1"/>
  <c r="I378" i="19" l="1"/>
  <c r="J378" i="19" s="1"/>
  <c r="K378" i="19" s="1"/>
  <c r="M378" i="19" s="1"/>
  <c r="P378" i="19" l="1"/>
  <c r="Q378" i="19" s="1"/>
  <c r="O378" i="19"/>
  <c r="D379" i="19" s="1"/>
  <c r="G379" i="19" l="1"/>
  <c r="E379" i="19"/>
  <c r="H379" i="19" l="1"/>
  <c r="I379" i="19" l="1"/>
  <c r="P379" i="19" s="1"/>
  <c r="Q379" i="19" s="1"/>
  <c r="J379" i="19"/>
  <c r="K379" i="19" s="1"/>
  <c r="M379" i="19" s="1"/>
  <c r="O379" i="19" l="1"/>
  <c r="D380" i="19" s="1"/>
  <c r="E380" i="19" l="1"/>
  <c r="G380" i="19"/>
  <c r="H380" i="19" s="1"/>
  <c r="I380" i="19" l="1"/>
  <c r="J380" i="19" s="1"/>
  <c r="K380" i="19" s="1"/>
  <c r="M380" i="19" s="1"/>
  <c r="P380" i="19" l="1"/>
  <c r="Q380" i="19" s="1"/>
  <c r="O380" i="19"/>
  <c r="D381" i="19" s="1"/>
  <c r="E381" i="19" l="1"/>
  <c r="G381" i="19"/>
  <c r="H381" i="19" s="1"/>
  <c r="I381" i="19" s="1"/>
  <c r="J381" i="19" s="1"/>
  <c r="K381" i="19" s="1"/>
  <c r="M381" i="19" s="1"/>
  <c r="P381" i="19" l="1"/>
  <c r="Q381" i="19" s="1"/>
  <c r="O381" i="19"/>
  <c r="D382" i="19" s="1"/>
  <c r="E382" i="19" l="1"/>
  <c r="G382" i="19"/>
  <c r="H382" i="19" s="1"/>
  <c r="I382" i="19" l="1"/>
  <c r="J382" i="19" s="1"/>
  <c r="K382" i="19" s="1"/>
  <c r="M382" i="19" s="1"/>
  <c r="P382" i="19" l="1"/>
  <c r="Q382" i="19" s="1"/>
  <c r="O382" i="19"/>
  <c r="D383" i="19" s="1"/>
  <c r="E383" i="19" l="1"/>
  <c r="G383" i="19"/>
  <c r="H383" i="19" s="1"/>
  <c r="I383" i="19" l="1"/>
  <c r="J383" i="19" s="1"/>
  <c r="K383" i="19" s="1"/>
  <c r="M383" i="19" s="1"/>
  <c r="P383" i="19"/>
  <c r="Q383" i="19" s="1"/>
  <c r="O383" i="19" l="1"/>
  <c r="D384" i="19" s="1"/>
  <c r="G384" i="19" l="1"/>
  <c r="E384" i="19"/>
  <c r="H384" i="19" l="1"/>
  <c r="I384" i="19" s="1"/>
  <c r="J384" i="19" s="1"/>
  <c r="K384" i="19" s="1"/>
  <c r="M384" i="19" s="1"/>
  <c r="P384" i="19" l="1"/>
  <c r="Q384" i="19" s="1"/>
  <c r="O384" i="19"/>
  <c r="D385" i="19" s="1"/>
  <c r="E385" i="19" l="1"/>
  <c r="G385" i="19"/>
  <c r="H385" i="19" s="1"/>
  <c r="I385" i="19" s="1"/>
  <c r="J385" i="19" s="1"/>
  <c r="K385" i="19" s="1"/>
  <c r="M385" i="19" s="1"/>
  <c r="N18" i="19" s="1"/>
  <c r="P18" i="19" s="1"/>
  <c r="Q18" i="19" s="1"/>
  <c r="O385" i="19" l="1"/>
  <c r="P385" i="19"/>
  <c r="Q385" i="19" s="1"/>
  <c r="M2" i="19" s="1"/>
  <c r="M4" i="19" s="1"/>
  <c r="M8" i="19" l="1"/>
  <c r="M9" i="19" s="1"/>
  <c r="M5" i="19"/>
  <c r="G17" i="1" l="1"/>
  <c r="I18" i="17" l="1"/>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18" i="15"/>
  <c r="I19" i="15"/>
  <c r="I20" i="15"/>
  <c r="I21" i="15"/>
  <c r="I22" i="15"/>
  <c r="I23" i="15"/>
  <c r="I24" i="15"/>
  <c r="I25" i="15"/>
  <c r="I26" i="15"/>
  <c r="I27" i="15"/>
  <c r="I28" i="15"/>
  <c r="I29" i="15"/>
  <c r="I30" i="15"/>
  <c r="I31" i="15"/>
  <c r="I32" i="15"/>
  <c r="C4" i="15" l="1"/>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3" i="18"/>
  <c r="O2" i="18"/>
  <c r="R140" i="17"/>
  <c r="B140" i="17"/>
  <c r="B141" i="17" s="1"/>
  <c r="R139" i="17"/>
  <c r="B139" i="17"/>
  <c r="R138" i="17"/>
  <c r="R137" i="17"/>
  <c r="R136" i="17"/>
  <c r="R135" i="17"/>
  <c r="R134" i="17"/>
  <c r="T134" i="17" s="1"/>
  <c r="R133" i="17"/>
  <c r="R132" i="17"/>
  <c r="R131" i="17"/>
  <c r="R130" i="17"/>
  <c r="T130" i="17" s="1"/>
  <c r="R129" i="17"/>
  <c r="T129" i="17" s="1"/>
  <c r="R128" i="17"/>
  <c r="R127" i="17"/>
  <c r="R126" i="17"/>
  <c r="T126" i="17" s="1"/>
  <c r="R125" i="17"/>
  <c r="T125" i="17" s="1"/>
  <c r="R124" i="17"/>
  <c r="R123" i="17"/>
  <c r="R122" i="17"/>
  <c r="R121" i="17"/>
  <c r="T121" i="17" s="1"/>
  <c r="R120" i="17"/>
  <c r="R119" i="17"/>
  <c r="R118" i="17"/>
  <c r="R117" i="17"/>
  <c r="T117" i="17" s="1"/>
  <c r="R116" i="17"/>
  <c r="R115" i="17"/>
  <c r="R114" i="17"/>
  <c r="R113" i="17"/>
  <c r="T113" i="17" s="1"/>
  <c r="R112" i="17"/>
  <c r="T112" i="17" s="1"/>
  <c r="R111" i="17"/>
  <c r="R110" i="17"/>
  <c r="R109" i="17"/>
  <c r="T109" i="17" s="1"/>
  <c r="R108" i="17"/>
  <c r="T108" i="17" s="1"/>
  <c r="R107" i="17"/>
  <c r="R106" i="17"/>
  <c r="R105" i="17"/>
  <c r="R104" i="17"/>
  <c r="T104" i="17" s="1"/>
  <c r="R103" i="17"/>
  <c r="R102" i="17"/>
  <c r="R101" i="17"/>
  <c r="R100" i="17"/>
  <c r="T100" i="17" s="1"/>
  <c r="R99" i="17"/>
  <c r="R98" i="17"/>
  <c r="R97" i="17"/>
  <c r="R96" i="17"/>
  <c r="T96" i="17" s="1"/>
  <c r="R95" i="17"/>
  <c r="T95" i="17" s="1"/>
  <c r="R94" i="17"/>
  <c r="R93" i="17"/>
  <c r="R92" i="17"/>
  <c r="T92" i="17" s="1"/>
  <c r="R91" i="17"/>
  <c r="R90" i="17"/>
  <c r="R89" i="17"/>
  <c r="R88" i="17"/>
  <c r="R87" i="17"/>
  <c r="T87" i="17" s="1"/>
  <c r="R86" i="17"/>
  <c r="R85" i="17"/>
  <c r="R84" i="17"/>
  <c r="R83" i="17"/>
  <c r="R82" i="17"/>
  <c r="T82" i="17" s="1"/>
  <c r="R81" i="17"/>
  <c r="R80" i="17"/>
  <c r="R79" i="17"/>
  <c r="T79" i="17" s="1"/>
  <c r="R78" i="17"/>
  <c r="T78" i="17" s="1"/>
  <c r="R77" i="17"/>
  <c r="R76" i="17"/>
  <c r="R75" i="17"/>
  <c r="T75" i="17" s="1"/>
  <c r="R74" i="17"/>
  <c r="T74" i="17" s="1"/>
  <c r="R73" i="17"/>
  <c r="R72" i="17"/>
  <c r="R71" i="17"/>
  <c r="T71" i="17" s="1"/>
  <c r="R70" i="17"/>
  <c r="T70" i="17" s="1"/>
  <c r="R69" i="17"/>
  <c r="R68" i="17"/>
  <c r="R67" i="17"/>
  <c r="T67" i="17" s="1"/>
  <c r="R66" i="17"/>
  <c r="T66" i="17" s="1"/>
  <c r="R65" i="17"/>
  <c r="R64" i="17"/>
  <c r="R63" i="17"/>
  <c r="T63" i="17" s="1"/>
  <c r="R62" i="17"/>
  <c r="T62" i="17" s="1"/>
  <c r="R61" i="17"/>
  <c r="R60" i="17"/>
  <c r="R59" i="17"/>
  <c r="T59" i="17" s="1"/>
  <c r="R58" i="17"/>
  <c r="T58" i="17" s="1"/>
  <c r="R57" i="17"/>
  <c r="R56" i="17"/>
  <c r="R55" i="17"/>
  <c r="T55" i="17" s="1"/>
  <c r="R54" i="17"/>
  <c r="T54" i="17" s="1"/>
  <c r="R53" i="17"/>
  <c r="R52" i="17"/>
  <c r="R51" i="17"/>
  <c r="T51" i="17" s="1"/>
  <c r="R50" i="17"/>
  <c r="T50" i="17" s="1"/>
  <c r="R49" i="17"/>
  <c r="R48" i="17"/>
  <c r="R47" i="17"/>
  <c r="T47" i="17" s="1"/>
  <c r="R46" i="17"/>
  <c r="T46" i="17" s="1"/>
  <c r="R45" i="17"/>
  <c r="R44" i="17"/>
  <c r="R43" i="17"/>
  <c r="T43" i="17" s="1"/>
  <c r="R42" i="17"/>
  <c r="T42" i="17" s="1"/>
  <c r="R41" i="17"/>
  <c r="R40" i="17"/>
  <c r="R39" i="17"/>
  <c r="T39" i="17" s="1"/>
  <c r="R38" i="17"/>
  <c r="T38" i="17" s="1"/>
  <c r="R37" i="17"/>
  <c r="R36" i="17"/>
  <c r="R35" i="17"/>
  <c r="T35" i="17" s="1"/>
  <c r="R34" i="17"/>
  <c r="T34" i="17" s="1"/>
  <c r="R33" i="17"/>
  <c r="R32" i="17"/>
  <c r="R31" i="17"/>
  <c r="T31" i="17" s="1"/>
  <c r="R30" i="17"/>
  <c r="T30" i="17" s="1"/>
  <c r="R29" i="17"/>
  <c r="R28" i="17"/>
  <c r="R27" i="17"/>
  <c r="T27" i="17" s="1"/>
  <c r="R26" i="17"/>
  <c r="T26" i="17" s="1"/>
  <c r="R25" i="17"/>
  <c r="R24" i="17"/>
  <c r="R23" i="17"/>
  <c r="T23" i="17" s="1"/>
  <c r="R22" i="17"/>
  <c r="T22" i="17" s="1"/>
  <c r="R21" i="17"/>
  <c r="R20" i="17"/>
  <c r="C20" i="17"/>
  <c r="R19" i="17"/>
  <c r="T19" i="17" s="1"/>
  <c r="C19" i="17"/>
  <c r="R18" i="17"/>
  <c r="L18" i="17"/>
  <c r="C18" i="17"/>
  <c r="R17" i="17"/>
  <c r="T17" i="17" s="1"/>
  <c r="L17" i="17"/>
  <c r="G17" i="17"/>
  <c r="D17" i="17"/>
  <c r="J8" i="17"/>
  <c r="J7" i="17"/>
  <c r="E7" i="17"/>
  <c r="K6" i="17"/>
  <c r="J4" i="17"/>
  <c r="C4" i="17"/>
  <c r="J3" i="17"/>
  <c r="O29" i="16"/>
  <c r="O28" i="16"/>
  <c r="O27" i="16"/>
  <c r="O26" i="16"/>
  <c r="O25" i="16"/>
  <c r="O24" i="16"/>
  <c r="O23" i="16"/>
  <c r="O22" i="16"/>
  <c r="O21" i="16"/>
  <c r="O20" i="16"/>
  <c r="O19" i="16"/>
  <c r="O18" i="16"/>
  <c r="O17" i="16"/>
  <c r="O16" i="16"/>
  <c r="O15" i="16"/>
  <c r="O14" i="16"/>
  <c r="O13" i="16"/>
  <c r="O12" i="16"/>
  <c r="O11" i="16"/>
  <c r="O10" i="16"/>
  <c r="O9" i="16"/>
  <c r="O8" i="16"/>
  <c r="O7" i="16"/>
  <c r="O6" i="16"/>
  <c r="O5" i="16"/>
  <c r="O4" i="16"/>
  <c r="O3" i="16"/>
  <c r="O2" i="16"/>
  <c r="B139" i="15"/>
  <c r="R139" i="15" s="1"/>
  <c r="T139" i="15" s="1"/>
  <c r="R138" i="15"/>
  <c r="R137" i="15"/>
  <c r="R136" i="15"/>
  <c r="R135" i="15"/>
  <c r="R134" i="15"/>
  <c r="R133" i="15"/>
  <c r="T133" i="15" s="1"/>
  <c r="R132" i="15"/>
  <c r="R131" i="15"/>
  <c r="R130" i="15"/>
  <c r="R129" i="15"/>
  <c r="R128" i="15"/>
  <c r="R127" i="15"/>
  <c r="R126" i="15"/>
  <c r="R125" i="15"/>
  <c r="R124" i="15"/>
  <c r="R123" i="15"/>
  <c r="T123" i="15" s="1"/>
  <c r="R122" i="15"/>
  <c r="R121" i="15"/>
  <c r="R120" i="15"/>
  <c r="R119" i="15"/>
  <c r="R118" i="15"/>
  <c r="R117" i="15"/>
  <c r="T117" i="15" s="1"/>
  <c r="R116" i="15"/>
  <c r="R115" i="15"/>
  <c r="R114" i="15"/>
  <c r="R113" i="15"/>
  <c r="R112" i="15"/>
  <c r="R111" i="15"/>
  <c r="R110" i="15"/>
  <c r="R109" i="15"/>
  <c r="R108" i="15"/>
  <c r="R107" i="15"/>
  <c r="R106" i="15"/>
  <c r="R105" i="15"/>
  <c r="R104" i="15"/>
  <c r="R103" i="15"/>
  <c r="R102" i="15"/>
  <c r="R101" i="15"/>
  <c r="T101" i="15" s="1"/>
  <c r="R100" i="15"/>
  <c r="R99" i="15"/>
  <c r="R98" i="15"/>
  <c r="R97" i="15"/>
  <c r="R96" i="15"/>
  <c r="R95" i="15"/>
  <c r="T95" i="15" s="1"/>
  <c r="R94" i="15"/>
  <c r="R93" i="15"/>
  <c r="R92" i="15"/>
  <c r="R91" i="15"/>
  <c r="R90" i="15"/>
  <c r="R89" i="15"/>
  <c r="R88" i="15"/>
  <c r="R87" i="15"/>
  <c r="R86" i="15"/>
  <c r="R85" i="15"/>
  <c r="T85" i="15" s="1"/>
  <c r="R84" i="15"/>
  <c r="R83" i="15"/>
  <c r="R82" i="15"/>
  <c r="R81" i="15"/>
  <c r="R80" i="15"/>
  <c r="R79" i="15"/>
  <c r="T79" i="15" s="1"/>
  <c r="R78" i="15"/>
  <c r="R77" i="15"/>
  <c r="R76" i="15"/>
  <c r="R75" i="15"/>
  <c r="R74" i="15"/>
  <c r="R73" i="15"/>
  <c r="R72" i="15"/>
  <c r="R71" i="15"/>
  <c r="R70" i="15"/>
  <c r="R69" i="15"/>
  <c r="T69" i="15" s="1"/>
  <c r="R68" i="15"/>
  <c r="R67" i="15"/>
  <c r="R66" i="15"/>
  <c r="R65" i="15"/>
  <c r="R64" i="15"/>
  <c r="R63" i="15"/>
  <c r="T63" i="15" s="1"/>
  <c r="R62" i="15"/>
  <c r="R61" i="15"/>
  <c r="R60" i="15"/>
  <c r="R59" i="15"/>
  <c r="R58" i="15"/>
  <c r="R57" i="15"/>
  <c r="R56" i="15"/>
  <c r="R55" i="15"/>
  <c r="R54" i="15"/>
  <c r="R53" i="15"/>
  <c r="T53" i="15" s="1"/>
  <c r="R52" i="15"/>
  <c r="R51" i="15"/>
  <c r="R50" i="15"/>
  <c r="R49" i="15"/>
  <c r="R48" i="15"/>
  <c r="R47" i="15"/>
  <c r="T47" i="15" s="1"/>
  <c r="R46" i="15"/>
  <c r="R45" i="15"/>
  <c r="R44" i="15"/>
  <c r="R43" i="15"/>
  <c r="R42" i="15"/>
  <c r="R41" i="15"/>
  <c r="R40" i="15"/>
  <c r="R39" i="15"/>
  <c r="R38" i="15"/>
  <c r="R37" i="15"/>
  <c r="T37" i="15" s="1"/>
  <c r="R36" i="15"/>
  <c r="R35" i="15"/>
  <c r="R34" i="15"/>
  <c r="R33" i="15"/>
  <c r="R32" i="15"/>
  <c r="R31" i="15"/>
  <c r="T31" i="15" s="1"/>
  <c r="R30" i="15"/>
  <c r="R29" i="15"/>
  <c r="R28" i="15"/>
  <c r="R27" i="15"/>
  <c r="R26" i="15"/>
  <c r="R25" i="15"/>
  <c r="R24" i="15"/>
  <c r="R23" i="15"/>
  <c r="R22" i="15"/>
  <c r="R21" i="15"/>
  <c r="T21" i="15" s="1"/>
  <c r="R20" i="15"/>
  <c r="R19" i="15"/>
  <c r="R18" i="15"/>
  <c r="C18" i="15"/>
  <c r="R17" i="15"/>
  <c r="L17" i="15"/>
  <c r="G17" i="15"/>
  <c r="D17" i="15"/>
  <c r="J8" i="15"/>
  <c r="J7" i="15"/>
  <c r="E7" i="15"/>
  <c r="K6" i="15"/>
  <c r="J4" i="15"/>
  <c r="J3" i="15"/>
  <c r="R139" i="14"/>
  <c r="B139" i="14"/>
  <c r="B140" i="14" s="1"/>
  <c r="R138" i="14"/>
  <c r="R137" i="14"/>
  <c r="R136" i="14"/>
  <c r="R135" i="14"/>
  <c r="R134" i="14"/>
  <c r="R133" i="14"/>
  <c r="R132" i="14"/>
  <c r="R131" i="14"/>
  <c r="R130" i="14"/>
  <c r="R129" i="14"/>
  <c r="R128" i="14"/>
  <c r="R127" i="14"/>
  <c r="R126" i="14"/>
  <c r="R125" i="14"/>
  <c r="R124" i="14"/>
  <c r="R123" i="14"/>
  <c r="R122" i="14"/>
  <c r="R121" i="14"/>
  <c r="R120" i="14"/>
  <c r="R119" i="14"/>
  <c r="R118" i="14"/>
  <c r="R117" i="14"/>
  <c r="R116" i="14"/>
  <c r="R115" i="14"/>
  <c r="R114" i="14"/>
  <c r="R113" i="14"/>
  <c r="R112" i="14"/>
  <c r="R111" i="14"/>
  <c r="R110" i="14"/>
  <c r="R109" i="14"/>
  <c r="R108" i="14"/>
  <c r="R107" i="14"/>
  <c r="R106" i="14"/>
  <c r="R105" i="14"/>
  <c r="R104" i="14"/>
  <c r="R103" i="14"/>
  <c r="R102" i="14"/>
  <c r="R101" i="14"/>
  <c r="R100" i="14"/>
  <c r="R99" i="14"/>
  <c r="R98" i="14"/>
  <c r="R97" i="14"/>
  <c r="R96" i="14"/>
  <c r="R95" i="14"/>
  <c r="R94" i="14"/>
  <c r="R93" i="14"/>
  <c r="R92" i="14"/>
  <c r="R91" i="14"/>
  <c r="R90" i="14"/>
  <c r="R89" i="14"/>
  <c r="R88" i="14"/>
  <c r="R87" i="14"/>
  <c r="R86" i="14"/>
  <c r="R85" i="14"/>
  <c r="R84" i="14"/>
  <c r="R83" i="14"/>
  <c r="R82" i="14"/>
  <c r="R81" i="14"/>
  <c r="R80" i="14"/>
  <c r="R79" i="14"/>
  <c r="R78" i="14"/>
  <c r="R77" i="14"/>
  <c r="R76" i="14"/>
  <c r="R75" i="14"/>
  <c r="R74" i="14"/>
  <c r="R73" i="14"/>
  <c r="R72" i="14"/>
  <c r="R71" i="14"/>
  <c r="R70" i="14"/>
  <c r="R69" i="14"/>
  <c r="R68" i="14"/>
  <c r="R67" i="14"/>
  <c r="R66" i="14"/>
  <c r="R65" i="14"/>
  <c r="R64" i="14"/>
  <c r="R63" i="14"/>
  <c r="R62" i="14"/>
  <c r="R61" i="14"/>
  <c r="R60" i="14"/>
  <c r="R59" i="14"/>
  <c r="R58" i="14"/>
  <c r="R57" i="14"/>
  <c r="R56" i="14"/>
  <c r="R55" i="14"/>
  <c r="R54" i="14"/>
  <c r="R53" i="14"/>
  <c r="R52" i="14"/>
  <c r="R51" i="14"/>
  <c r="R50" i="14"/>
  <c r="R49" i="14"/>
  <c r="R48" i="14"/>
  <c r="R47" i="14"/>
  <c r="R46" i="14"/>
  <c r="R45" i="14"/>
  <c r="R44" i="14"/>
  <c r="R43" i="14"/>
  <c r="R42" i="14"/>
  <c r="R41" i="14"/>
  <c r="R40" i="14"/>
  <c r="R39" i="14"/>
  <c r="R38" i="14"/>
  <c r="R37" i="14"/>
  <c r="R36" i="14"/>
  <c r="R35" i="14"/>
  <c r="R34" i="14"/>
  <c r="R33" i="14"/>
  <c r="R32" i="14"/>
  <c r="R31" i="14"/>
  <c r="R30" i="14"/>
  <c r="R29" i="14"/>
  <c r="R28" i="14"/>
  <c r="R27" i="14"/>
  <c r="R26" i="14"/>
  <c r="R25" i="14"/>
  <c r="R24" i="14"/>
  <c r="R23" i="14"/>
  <c r="R22" i="14"/>
  <c r="R21" i="14"/>
  <c r="R20" i="14"/>
  <c r="R19" i="14"/>
  <c r="L19" i="14"/>
  <c r="C19" i="14"/>
  <c r="R18" i="14"/>
  <c r="C18" i="14"/>
  <c r="R17" i="14"/>
  <c r="S94" i="14" s="1"/>
  <c r="L17" i="14"/>
  <c r="G17" i="14"/>
  <c r="D17" i="14"/>
  <c r="J8" i="14"/>
  <c r="J7" i="14"/>
  <c r="E7" i="14"/>
  <c r="K6" i="14"/>
  <c r="C4" i="14"/>
  <c r="J3" i="14"/>
  <c r="O127" i="13"/>
  <c r="O126" i="13"/>
  <c r="O125" i="13"/>
  <c r="O124" i="13"/>
  <c r="O123" i="13"/>
  <c r="O122" i="13"/>
  <c r="O121" i="13"/>
  <c r="O120" i="13"/>
  <c r="O119" i="13"/>
  <c r="O118" i="13"/>
  <c r="O117" i="13"/>
  <c r="O116" i="13"/>
  <c r="O115" i="13"/>
  <c r="O114" i="13"/>
  <c r="O113" i="13"/>
  <c r="O112" i="13"/>
  <c r="O111" i="13"/>
  <c r="O110" i="13"/>
  <c r="O109" i="13"/>
  <c r="O108" i="13"/>
  <c r="O107" i="13"/>
  <c r="O106" i="13"/>
  <c r="O105" i="13"/>
  <c r="O104" i="13"/>
  <c r="O103" i="13"/>
  <c r="O102" i="13"/>
  <c r="O101" i="13"/>
  <c r="O100" i="13"/>
  <c r="O99" i="13"/>
  <c r="O98" i="13"/>
  <c r="O97" i="13"/>
  <c r="O96" i="13"/>
  <c r="O95" i="13"/>
  <c r="O94" i="13"/>
  <c r="O93" i="13"/>
  <c r="O92" i="13"/>
  <c r="O91" i="13"/>
  <c r="O90" i="13"/>
  <c r="O89" i="13"/>
  <c r="O88" i="13"/>
  <c r="O87" i="13"/>
  <c r="O86" i="13"/>
  <c r="O85" i="13"/>
  <c r="O84" i="13"/>
  <c r="O83" i="13"/>
  <c r="O82" i="13"/>
  <c r="O81" i="13"/>
  <c r="O80" i="13"/>
  <c r="O79" i="13"/>
  <c r="O78" i="13"/>
  <c r="O77"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2"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6" i="13"/>
  <c r="O5" i="13"/>
  <c r="O4" i="13"/>
  <c r="O3" i="13"/>
  <c r="O2" i="13"/>
  <c r="O107" i="10"/>
  <c r="O108" i="10"/>
  <c r="O109" i="10"/>
  <c r="O110" i="10"/>
  <c r="O111" i="10"/>
  <c r="O112" i="10"/>
  <c r="O113" i="10"/>
  <c r="O114" i="10"/>
  <c r="O115" i="10"/>
  <c r="O116" i="10"/>
  <c r="O117" i="10"/>
  <c r="O118" i="10"/>
  <c r="O119" i="10"/>
  <c r="O120" i="10"/>
  <c r="O121" i="10"/>
  <c r="O122" i="10"/>
  <c r="O123" i="10"/>
  <c r="O124" i="10"/>
  <c r="O125" i="10"/>
  <c r="O126" i="10"/>
  <c r="O127" i="10"/>
  <c r="B141" i="12"/>
  <c r="R140" i="12"/>
  <c r="B140" i="12"/>
  <c r="R139" i="12"/>
  <c r="B139" i="12"/>
  <c r="R138" i="12"/>
  <c r="R137" i="12"/>
  <c r="R136" i="12"/>
  <c r="T136" i="12" s="1"/>
  <c r="R135" i="12"/>
  <c r="R134" i="12"/>
  <c r="R133" i="12"/>
  <c r="R132" i="12"/>
  <c r="R131" i="12"/>
  <c r="R130" i="12"/>
  <c r="R129" i="12"/>
  <c r="R128" i="12"/>
  <c r="R127" i="12"/>
  <c r="R126" i="12"/>
  <c r="R125" i="12"/>
  <c r="R124" i="12"/>
  <c r="R123" i="12"/>
  <c r="R122" i="12"/>
  <c r="R121" i="12"/>
  <c r="R120" i="12"/>
  <c r="R119" i="12"/>
  <c r="R118" i="12"/>
  <c r="R117" i="12"/>
  <c r="R116" i="12"/>
  <c r="T116" i="12" s="1"/>
  <c r="R115" i="12"/>
  <c r="R114" i="12"/>
  <c r="R113" i="12"/>
  <c r="R112" i="12"/>
  <c r="R111" i="12"/>
  <c r="R110" i="12"/>
  <c r="R109" i="12"/>
  <c r="R108" i="12"/>
  <c r="T108" i="12" s="1"/>
  <c r="R107" i="12"/>
  <c r="R106" i="12"/>
  <c r="R105" i="12"/>
  <c r="R104" i="12"/>
  <c r="R103" i="12"/>
  <c r="R102" i="12"/>
  <c r="R101" i="12"/>
  <c r="R100" i="12"/>
  <c r="T100" i="12" s="1"/>
  <c r="R99" i="12"/>
  <c r="T99" i="12" s="1"/>
  <c r="R98" i="12"/>
  <c r="R97" i="12"/>
  <c r="R96" i="12"/>
  <c r="R95" i="12"/>
  <c r="R94" i="12"/>
  <c r="R93" i="12"/>
  <c r="R92" i="12"/>
  <c r="R91" i="12"/>
  <c r="R90" i="12"/>
  <c r="R89" i="12"/>
  <c r="R88" i="12"/>
  <c r="R87" i="12"/>
  <c r="R86" i="12"/>
  <c r="R85" i="12"/>
  <c r="R84" i="12"/>
  <c r="R83" i="12"/>
  <c r="R82" i="12"/>
  <c r="R81" i="12"/>
  <c r="R80" i="12"/>
  <c r="T80" i="12" s="1"/>
  <c r="R79" i="12"/>
  <c r="R78" i="12"/>
  <c r="R77" i="12"/>
  <c r="R76" i="12"/>
  <c r="R75" i="12"/>
  <c r="T75" i="12" s="1"/>
  <c r="R74" i="12"/>
  <c r="R73" i="12"/>
  <c r="R72" i="12"/>
  <c r="R71" i="12"/>
  <c r="R70" i="12"/>
  <c r="R69" i="12"/>
  <c r="R68" i="12"/>
  <c r="R67" i="12"/>
  <c r="R66" i="12"/>
  <c r="R65" i="12"/>
  <c r="R64" i="12"/>
  <c r="R63" i="12"/>
  <c r="R62" i="12"/>
  <c r="T62" i="12" s="1"/>
  <c r="R61" i="12"/>
  <c r="R60" i="12"/>
  <c r="R59" i="12"/>
  <c r="R58" i="12"/>
  <c r="R57" i="12"/>
  <c r="R56" i="12"/>
  <c r="T56" i="12" s="1"/>
  <c r="R55" i="12"/>
  <c r="R54" i="12"/>
  <c r="R53" i="12"/>
  <c r="R52" i="12"/>
  <c r="R51" i="12"/>
  <c r="R50" i="12"/>
  <c r="R49" i="12"/>
  <c r="R48" i="12"/>
  <c r="R47" i="12"/>
  <c r="R46" i="12"/>
  <c r="R45" i="12"/>
  <c r="R44" i="12"/>
  <c r="R43" i="12"/>
  <c r="R42" i="12"/>
  <c r="R41" i="12"/>
  <c r="R40" i="12"/>
  <c r="R39" i="12"/>
  <c r="R38" i="12"/>
  <c r="T38" i="12" s="1"/>
  <c r="R37" i="12"/>
  <c r="R36" i="12"/>
  <c r="R35" i="12"/>
  <c r="R34" i="12"/>
  <c r="R33" i="12"/>
  <c r="R32" i="12"/>
  <c r="T32" i="12" s="1"/>
  <c r="R31" i="12"/>
  <c r="R30" i="12"/>
  <c r="R29" i="12"/>
  <c r="R28" i="12"/>
  <c r="R27" i="12"/>
  <c r="R26" i="12"/>
  <c r="R25" i="12"/>
  <c r="R24" i="12"/>
  <c r="R23" i="12"/>
  <c r="R22" i="12"/>
  <c r="R21" i="12"/>
  <c r="R20" i="12"/>
  <c r="C20" i="12"/>
  <c r="L20" i="12" s="1"/>
  <c r="R19" i="12"/>
  <c r="L19" i="12"/>
  <c r="R18" i="12"/>
  <c r="L18" i="12"/>
  <c r="C18" i="12"/>
  <c r="C19" i="12" s="1"/>
  <c r="R17" i="12"/>
  <c r="L17" i="12"/>
  <c r="G17" i="12"/>
  <c r="D17" i="12"/>
  <c r="J8" i="12"/>
  <c r="J7" i="12"/>
  <c r="E7" i="12"/>
  <c r="K6" i="12"/>
  <c r="C4" i="12"/>
  <c r="J3" i="12"/>
  <c r="C4" i="1"/>
  <c r="O107" i="9"/>
  <c r="O108" i="9"/>
  <c r="O109" i="9"/>
  <c r="O110" i="9"/>
  <c r="O111" i="9"/>
  <c r="O112" i="9"/>
  <c r="O113" i="9"/>
  <c r="O114" i="9"/>
  <c r="O115" i="9"/>
  <c r="O116" i="9"/>
  <c r="O117" i="9"/>
  <c r="O118" i="9"/>
  <c r="O119" i="9"/>
  <c r="O120" i="9"/>
  <c r="O121" i="9"/>
  <c r="O122" i="9"/>
  <c r="O123" i="9"/>
  <c r="O106" i="10"/>
  <c r="O105" i="10"/>
  <c r="O104" i="10"/>
  <c r="O103" i="10"/>
  <c r="O102" i="10"/>
  <c r="O101" i="10"/>
  <c r="O100" i="10"/>
  <c r="O99" i="10"/>
  <c r="O98" i="10"/>
  <c r="O97" i="10"/>
  <c r="O96" i="10"/>
  <c r="O95" i="10"/>
  <c r="O94" i="10"/>
  <c r="O93" i="10"/>
  <c r="O92" i="10"/>
  <c r="O91" i="10"/>
  <c r="O90" i="10"/>
  <c r="O89" i="10"/>
  <c r="O88" i="10"/>
  <c r="O87" i="10"/>
  <c r="O86" i="10"/>
  <c r="O85" i="10"/>
  <c r="O84" i="10"/>
  <c r="O83" i="10"/>
  <c r="O82" i="10"/>
  <c r="O81" i="10"/>
  <c r="O80" i="10"/>
  <c r="O79" i="10"/>
  <c r="O78" i="10"/>
  <c r="O77" i="10"/>
  <c r="O76" i="10"/>
  <c r="O75" i="10"/>
  <c r="O74" i="10"/>
  <c r="O73" i="10"/>
  <c r="O72" i="10"/>
  <c r="O71" i="10"/>
  <c r="O70" i="10"/>
  <c r="O69" i="10"/>
  <c r="O68" i="10"/>
  <c r="O67" i="10"/>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O33" i="10"/>
  <c r="O32" i="10"/>
  <c r="O31" i="10"/>
  <c r="O30" i="10"/>
  <c r="O29" i="10"/>
  <c r="O28" i="10"/>
  <c r="O27" i="10"/>
  <c r="O26" i="10"/>
  <c r="O25" i="10"/>
  <c r="O24" i="10"/>
  <c r="O23" i="10"/>
  <c r="O22" i="10"/>
  <c r="O21" i="10"/>
  <c r="O20" i="10"/>
  <c r="O19" i="10"/>
  <c r="O18" i="10"/>
  <c r="O17" i="10"/>
  <c r="O16" i="10"/>
  <c r="O15" i="10"/>
  <c r="O14" i="10"/>
  <c r="O13" i="10"/>
  <c r="O12" i="10"/>
  <c r="O11" i="10"/>
  <c r="O10" i="10"/>
  <c r="O9" i="10"/>
  <c r="O8" i="10"/>
  <c r="O7" i="10"/>
  <c r="O6" i="10"/>
  <c r="O5" i="10"/>
  <c r="O4" i="10"/>
  <c r="O3" i="10"/>
  <c r="O2" i="10"/>
  <c r="T25" i="15" l="1"/>
  <c r="T41" i="15"/>
  <c r="T57" i="15"/>
  <c r="T73" i="15"/>
  <c r="T89" i="15"/>
  <c r="T105" i="15"/>
  <c r="T127" i="15"/>
  <c r="T17" i="15"/>
  <c r="E17" i="15" s="1"/>
  <c r="T27" i="15"/>
  <c r="T43" i="15"/>
  <c r="T59" i="15"/>
  <c r="T75" i="15"/>
  <c r="T91" i="15"/>
  <c r="T107" i="15"/>
  <c r="T113" i="15"/>
  <c r="T129" i="15"/>
  <c r="T33" i="15"/>
  <c r="T49" i="15"/>
  <c r="T65" i="15"/>
  <c r="T81" i="15"/>
  <c r="T97" i="15"/>
  <c r="T119" i="15"/>
  <c r="T135" i="15"/>
  <c r="T23" i="15"/>
  <c r="T39" i="15"/>
  <c r="T55" i="15"/>
  <c r="T71" i="15"/>
  <c r="T87" i="15"/>
  <c r="T103" i="15"/>
  <c r="T125" i="15"/>
  <c r="C14" i="15"/>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F43" i="15" s="1"/>
  <c r="F44" i="15" s="1"/>
  <c r="F45" i="15" s="1"/>
  <c r="F46" i="15" s="1"/>
  <c r="F47" i="15" s="1"/>
  <c r="F48" i="15" s="1"/>
  <c r="F49" i="15" s="1"/>
  <c r="F50" i="15" s="1"/>
  <c r="F51" i="15" s="1"/>
  <c r="F52" i="15" s="1"/>
  <c r="F53" i="15" s="1"/>
  <c r="F54" i="15" s="1"/>
  <c r="F55" i="15" s="1"/>
  <c r="F56" i="15" s="1"/>
  <c r="F57" i="15" s="1"/>
  <c r="F58" i="15" s="1"/>
  <c r="F59" i="15" s="1"/>
  <c r="F60" i="15" s="1"/>
  <c r="F61" i="15" s="1"/>
  <c r="F62" i="15" s="1"/>
  <c r="F63" i="15" s="1"/>
  <c r="F64" i="15" s="1"/>
  <c r="F65" i="15" s="1"/>
  <c r="F66" i="15" s="1"/>
  <c r="F67" i="15" s="1"/>
  <c r="F68" i="15" s="1"/>
  <c r="F69" i="15" s="1"/>
  <c r="F70" i="15" s="1"/>
  <c r="F71" i="15" s="1"/>
  <c r="F72" i="15" s="1"/>
  <c r="F73" i="15" s="1"/>
  <c r="F74" i="15" s="1"/>
  <c r="F75" i="15" s="1"/>
  <c r="F76" i="15" s="1"/>
  <c r="F77" i="15" s="1"/>
  <c r="F78" i="15" s="1"/>
  <c r="F79" i="15" s="1"/>
  <c r="F80" i="15" s="1"/>
  <c r="F81" i="15" s="1"/>
  <c r="F82" i="15" s="1"/>
  <c r="F83" i="15" s="1"/>
  <c r="F84" i="15" s="1"/>
  <c r="F85" i="15" s="1"/>
  <c r="F86" i="15" s="1"/>
  <c r="F87" i="15" s="1"/>
  <c r="F88" i="15" s="1"/>
  <c r="F89" i="15" s="1"/>
  <c r="F90" i="15" s="1"/>
  <c r="F91" i="15" s="1"/>
  <c r="F92" i="15" s="1"/>
  <c r="F93" i="15" s="1"/>
  <c r="F94" i="15" s="1"/>
  <c r="F95" i="15" s="1"/>
  <c r="F96" i="15" s="1"/>
  <c r="F97" i="15" s="1"/>
  <c r="F98" i="15" s="1"/>
  <c r="F99" i="15" s="1"/>
  <c r="F100" i="15" s="1"/>
  <c r="F101" i="15" s="1"/>
  <c r="F102" i="15" s="1"/>
  <c r="F103" i="15" s="1"/>
  <c r="F104" i="15" s="1"/>
  <c r="F105" i="15" s="1"/>
  <c r="F106" i="15" s="1"/>
  <c r="F107" i="15" s="1"/>
  <c r="F108" i="15" s="1"/>
  <c r="F109" i="15" s="1"/>
  <c r="F110" i="15" s="1"/>
  <c r="F111" i="15" s="1"/>
  <c r="F112" i="15" s="1"/>
  <c r="F113" i="15" s="1"/>
  <c r="F114" i="15" s="1"/>
  <c r="F115" i="15" s="1"/>
  <c r="F116" i="15" s="1"/>
  <c r="F117" i="15" s="1"/>
  <c r="F118" i="15" s="1"/>
  <c r="F119" i="15" s="1"/>
  <c r="F120" i="15" s="1"/>
  <c r="F121" i="15" s="1"/>
  <c r="F122" i="15" s="1"/>
  <c r="F123" i="15" s="1"/>
  <c r="F124" i="15" s="1"/>
  <c r="F125" i="15" s="1"/>
  <c r="F126" i="15" s="1"/>
  <c r="F127" i="15" s="1"/>
  <c r="F128" i="15" s="1"/>
  <c r="F129" i="15" s="1"/>
  <c r="F130" i="15" s="1"/>
  <c r="F131" i="15" s="1"/>
  <c r="F132" i="15" s="1"/>
  <c r="F133" i="15" s="1"/>
  <c r="F134" i="15" s="1"/>
  <c r="F135" i="15" s="1"/>
  <c r="F136" i="15" s="1"/>
  <c r="F137" i="15" s="1"/>
  <c r="F138" i="15" s="1"/>
  <c r="F139" i="15" s="1"/>
  <c r="F140" i="15" s="1"/>
  <c r="F141" i="15" s="1"/>
  <c r="F142" i="15" s="1"/>
  <c r="F143" i="15" s="1"/>
  <c r="F144" i="15" s="1"/>
  <c r="F145" i="15" s="1"/>
  <c r="F146" i="15" s="1"/>
  <c r="F147" i="15" s="1"/>
  <c r="F148" i="15" s="1"/>
  <c r="F149" i="15" s="1"/>
  <c r="F150" i="15" s="1"/>
  <c r="F151" i="15" s="1"/>
  <c r="F152" i="15" s="1"/>
  <c r="F153" i="15" s="1"/>
  <c r="F154" i="15" s="1"/>
  <c r="F155" i="15" s="1"/>
  <c r="F156" i="15" s="1"/>
  <c r="F157" i="15" s="1"/>
  <c r="F158" i="15" s="1"/>
  <c r="F159" i="15" s="1"/>
  <c r="F160" i="15" s="1"/>
  <c r="F161" i="15" s="1"/>
  <c r="F162" i="15" s="1"/>
  <c r="F163" i="15" s="1"/>
  <c r="F164" i="15" s="1"/>
  <c r="F165" i="15" s="1"/>
  <c r="F166" i="15" s="1"/>
  <c r="F167" i="15" s="1"/>
  <c r="F168" i="15" s="1"/>
  <c r="F169" i="15" s="1"/>
  <c r="F170" i="15" s="1"/>
  <c r="F171" i="15" s="1"/>
  <c r="F172" i="15" s="1"/>
  <c r="F173" i="15" s="1"/>
  <c r="F174" i="15" s="1"/>
  <c r="F175" i="15" s="1"/>
  <c r="F176" i="15" s="1"/>
  <c r="F177" i="15" s="1"/>
  <c r="F178" i="15" s="1"/>
  <c r="F179" i="15" s="1"/>
  <c r="F180" i="15" s="1"/>
  <c r="F181" i="15" s="1"/>
  <c r="F182" i="15" s="1"/>
  <c r="F183" i="15" s="1"/>
  <c r="F184" i="15" s="1"/>
  <c r="F185" i="15" s="1"/>
  <c r="F186" i="15" s="1"/>
  <c r="F187" i="15" s="1"/>
  <c r="F188" i="15" s="1"/>
  <c r="F189" i="15" s="1"/>
  <c r="F190" i="15" s="1"/>
  <c r="F191" i="15" s="1"/>
  <c r="F192" i="15" s="1"/>
  <c r="F193" i="15" s="1"/>
  <c r="F194" i="15" s="1"/>
  <c r="F195" i="15" s="1"/>
  <c r="F196" i="15" s="1"/>
  <c r="F197" i="15" s="1"/>
  <c r="F198" i="15" s="1"/>
  <c r="F199" i="15" s="1"/>
  <c r="F200" i="15" s="1"/>
  <c r="F201" i="15" s="1"/>
  <c r="F202" i="15" s="1"/>
  <c r="F203" i="15" s="1"/>
  <c r="F204" i="15" s="1"/>
  <c r="F205" i="15" s="1"/>
  <c r="F206" i="15" s="1"/>
  <c r="F207" i="15" s="1"/>
  <c r="F208" i="15" s="1"/>
  <c r="F209" i="15" s="1"/>
  <c r="F210" i="15" s="1"/>
  <c r="F211" i="15" s="1"/>
  <c r="F212" i="15" s="1"/>
  <c r="F213" i="15" s="1"/>
  <c r="F214" i="15" s="1"/>
  <c r="F215" i="15" s="1"/>
  <c r="F216" i="15" s="1"/>
  <c r="F217" i="15" s="1"/>
  <c r="F218" i="15" s="1"/>
  <c r="F219" i="15" s="1"/>
  <c r="F220" i="15" s="1"/>
  <c r="F221" i="15" s="1"/>
  <c r="F222" i="15" s="1"/>
  <c r="F223" i="15" s="1"/>
  <c r="F224" i="15" s="1"/>
  <c r="F225" i="15" s="1"/>
  <c r="F226" i="15" s="1"/>
  <c r="F227" i="15" s="1"/>
  <c r="F228" i="15" s="1"/>
  <c r="F229" i="15" s="1"/>
  <c r="F230" i="15" s="1"/>
  <c r="F231" i="15" s="1"/>
  <c r="F232" i="15" s="1"/>
  <c r="F233" i="15" s="1"/>
  <c r="F234" i="15" s="1"/>
  <c r="F235" i="15" s="1"/>
  <c r="F236" i="15" s="1"/>
  <c r="F237" i="15" s="1"/>
  <c r="F238" i="15" s="1"/>
  <c r="F239" i="15" s="1"/>
  <c r="F240" i="15" s="1"/>
  <c r="F241" i="15" s="1"/>
  <c r="F242" i="15" s="1"/>
  <c r="F243" i="15" s="1"/>
  <c r="F244" i="15" s="1"/>
  <c r="F245" i="15" s="1"/>
  <c r="F246" i="15" s="1"/>
  <c r="F247" i="15" s="1"/>
  <c r="F248" i="15" s="1"/>
  <c r="F249" i="15" s="1"/>
  <c r="F250" i="15" s="1"/>
  <c r="F251" i="15" s="1"/>
  <c r="F252" i="15" s="1"/>
  <c r="F253" i="15" s="1"/>
  <c r="F254" i="15" s="1"/>
  <c r="F255" i="15" s="1"/>
  <c r="F256" i="15" s="1"/>
  <c r="F257" i="15" s="1"/>
  <c r="F258" i="15" s="1"/>
  <c r="F259" i="15" s="1"/>
  <c r="F260" i="15" s="1"/>
  <c r="F261" i="15" s="1"/>
  <c r="F262" i="15" s="1"/>
  <c r="F263" i="15" s="1"/>
  <c r="F264" i="15" s="1"/>
  <c r="F265" i="15" s="1"/>
  <c r="F266" i="15" s="1"/>
  <c r="F267" i="15" s="1"/>
  <c r="F268" i="15" s="1"/>
  <c r="F269" i="15" s="1"/>
  <c r="F270" i="15" s="1"/>
  <c r="F271" i="15" s="1"/>
  <c r="F272" i="15" s="1"/>
  <c r="F273" i="15" s="1"/>
  <c r="F274" i="15" s="1"/>
  <c r="F275" i="15" s="1"/>
  <c r="F276" i="15" s="1"/>
  <c r="F277" i="15" s="1"/>
  <c r="F278" i="15" s="1"/>
  <c r="F279" i="15" s="1"/>
  <c r="F280" i="15" s="1"/>
  <c r="F281" i="15" s="1"/>
  <c r="F282" i="15" s="1"/>
  <c r="F283" i="15" s="1"/>
  <c r="F284" i="15" s="1"/>
  <c r="F285" i="15" s="1"/>
  <c r="F286" i="15" s="1"/>
  <c r="F287" i="15" s="1"/>
  <c r="F288" i="15" s="1"/>
  <c r="F289" i="15" s="1"/>
  <c r="F290" i="15" s="1"/>
  <c r="F291" i="15" s="1"/>
  <c r="F292" i="15" s="1"/>
  <c r="F293" i="15" s="1"/>
  <c r="F294" i="15" s="1"/>
  <c r="F295" i="15" s="1"/>
  <c r="F296" i="15" s="1"/>
  <c r="F297" i="15" s="1"/>
  <c r="F298" i="15" s="1"/>
  <c r="F299" i="15" s="1"/>
  <c r="F300" i="15" s="1"/>
  <c r="F301" i="15" s="1"/>
  <c r="F302" i="15" s="1"/>
  <c r="F303" i="15" s="1"/>
  <c r="F304" i="15" s="1"/>
  <c r="F305" i="15" s="1"/>
  <c r="F306" i="15" s="1"/>
  <c r="F307" i="15" s="1"/>
  <c r="F308" i="15" s="1"/>
  <c r="F309" i="15" s="1"/>
  <c r="F310" i="15" s="1"/>
  <c r="F311" i="15" s="1"/>
  <c r="F312" i="15" s="1"/>
  <c r="F313" i="15" s="1"/>
  <c r="F314" i="15" s="1"/>
  <c r="F315" i="15" s="1"/>
  <c r="F316" i="15" s="1"/>
  <c r="F317" i="15" s="1"/>
  <c r="F318" i="15" s="1"/>
  <c r="F319" i="15" s="1"/>
  <c r="F320" i="15" s="1"/>
  <c r="F321" i="15" s="1"/>
  <c r="F322" i="15" s="1"/>
  <c r="F323" i="15" s="1"/>
  <c r="F324" i="15" s="1"/>
  <c r="F325" i="15" s="1"/>
  <c r="F326" i="15" s="1"/>
  <c r="F327" i="15" s="1"/>
  <c r="F328" i="15" s="1"/>
  <c r="F329" i="15" s="1"/>
  <c r="F330" i="15" s="1"/>
  <c r="F331" i="15" s="1"/>
  <c r="F332" i="15" s="1"/>
  <c r="F333" i="15" s="1"/>
  <c r="F334" i="15" s="1"/>
  <c r="F335" i="15" s="1"/>
  <c r="F336" i="15" s="1"/>
  <c r="F337" i="15" s="1"/>
  <c r="F338" i="15" s="1"/>
  <c r="F339" i="15" s="1"/>
  <c r="F340" i="15" s="1"/>
  <c r="F341" i="15" s="1"/>
  <c r="F342" i="15" s="1"/>
  <c r="F343" i="15" s="1"/>
  <c r="F344" i="15" s="1"/>
  <c r="F345" i="15" s="1"/>
  <c r="F346" i="15" s="1"/>
  <c r="F347" i="15" s="1"/>
  <c r="F348" i="15" s="1"/>
  <c r="F349" i="15" s="1"/>
  <c r="F350" i="15" s="1"/>
  <c r="F351" i="15" s="1"/>
  <c r="F352" i="15" s="1"/>
  <c r="F353" i="15" s="1"/>
  <c r="F354" i="15" s="1"/>
  <c r="F355" i="15" s="1"/>
  <c r="F356" i="15" s="1"/>
  <c r="F357" i="15" s="1"/>
  <c r="F358" i="15" s="1"/>
  <c r="F359" i="15" s="1"/>
  <c r="F360" i="15" s="1"/>
  <c r="F361" i="15" s="1"/>
  <c r="F362" i="15" s="1"/>
  <c r="F363" i="15" s="1"/>
  <c r="F364" i="15" s="1"/>
  <c r="F365" i="15" s="1"/>
  <c r="F366" i="15" s="1"/>
  <c r="F367" i="15" s="1"/>
  <c r="F368" i="15" s="1"/>
  <c r="F369" i="15" s="1"/>
  <c r="F370" i="15" s="1"/>
  <c r="F371" i="15" s="1"/>
  <c r="F372" i="15" s="1"/>
  <c r="F373" i="15" s="1"/>
  <c r="F374" i="15" s="1"/>
  <c r="F375" i="15" s="1"/>
  <c r="F376" i="15" s="1"/>
  <c r="F377" i="15" s="1"/>
  <c r="F378" i="15" s="1"/>
  <c r="F379" i="15" s="1"/>
  <c r="F380" i="15" s="1"/>
  <c r="F381" i="15" s="1"/>
  <c r="F382" i="15" s="1"/>
  <c r="F383" i="15" s="1"/>
  <c r="F384" i="15" s="1"/>
  <c r="F385" i="15" s="1"/>
  <c r="T29" i="15"/>
  <c r="T45" i="15"/>
  <c r="T61" i="15"/>
  <c r="T77" i="15"/>
  <c r="T93" i="15"/>
  <c r="T109" i="15"/>
  <c r="T115" i="15"/>
  <c r="T131" i="15"/>
  <c r="T19" i="15"/>
  <c r="T35" i="15"/>
  <c r="T51" i="15"/>
  <c r="T67" i="15"/>
  <c r="T83" i="15"/>
  <c r="T99" i="15"/>
  <c r="T121" i="15"/>
  <c r="T137" i="15"/>
  <c r="T84" i="17"/>
  <c r="T88" i="17"/>
  <c r="T101" i="17"/>
  <c r="T105" i="17"/>
  <c r="T118" i="17"/>
  <c r="T122" i="17"/>
  <c r="T135" i="17"/>
  <c r="T139" i="17"/>
  <c r="T20" i="17"/>
  <c r="T24" i="17"/>
  <c r="T28" i="17"/>
  <c r="T32" i="17"/>
  <c r="T36" i="17"/>
  <c r="T40" i="17"/>
  <c r="T44" i="17"/>
  <c r="T48" i="17"/>
  <c r="T52" i="17"/>
  <c r="T56" i="17"/>
  <c r="T60" i="17"/>
  <c r="T64" i="17"/>
  <c r="T68" i="17"/>
  <c r="T72" i="17"/>
  <c r="T76" i="17"/>
  <c r="T80" i="17"/>
  <c r="T93" i="17"/>
  <c r="T97" i="17"/>
  <c r="T110" i="17"/>
  <c r="T114" i="17"/>
  <c r="T127" i="17"/>
  <c r="C14" i="17"/>
  <c r="F17" i="17" s="1"/>
  <c r="F18" i="17" s="1"/>
  <c r="F19" i="17" s="1"/>
  <c r="T85" i="17"/>
  <c r="T89" i="17"/>
  <c r="T102" i="17"/>
  <c r="T106" i="17"/>
  <c r="T119" i="17"/>
  <c r="T132" i="17"/>
  <c r="T136" i="17"/>
  <c r="T18" i="17"/>
  <c r="T21" i="17"/>
  <c r="T25" i="17"/>
  <c r="T29" i="17"/>
  <c r="T33" i="17"/>
  <c r="T37" i="17"/>
  <c r="T41" i="17"/>
  <c r="T45" i="17"/>
  <c r="T49" i="17"/>
  <c r="T53" i="17"/>
  <c r="T57" i="17"/>
  <c r="T61" i="17"/>
  <c r="T65" i="17"/>
  <c r="T69" i="17"/>
  <c r="T73" i="17"/>
  <c r="T77" i="17"/>
  <c r="T81" i="17"/>
  <c r="T94" i="17"/>
  <c r="T98" i="17"/>
  <c r="T111" i="17"/>
  <c r="T124" i="17"/>
  <c r="T128" i="17"/>
  <c r="T140" i="17"/>
  <c r="T86" i="17"/>
  <c r="T90" i="17"/>
  <c r="T103" i="17"/>
  <c r="T116" i="17"/>
  <c r="T120" i="17"/>
  <c r="T133" i="17"/>
  <c r="T137" i="17"/>
  <c r="T33" i="12"/>
  <c r="T26" i="12"/>
  <c r="T51" i="12"/>
  <c r="T77" i="12"/>
  <c r="T96" i="12"/>
  <c r="T19" i="12"/>
  <c r="T35" i="12"/>
  <c r="T43" i="12"/>
  <c r="T60" i="12"/>
  <c r="T69" i="12"/>
  <c r="T112" i="12"/>
  <c r="T131" i="12"/>
  <c r="T101" i="12"/>
  <c r="T41" i="12"/>
  <c r="T27" i="12"/>
  <c r="T52" i="12"/>
  <c r="T78" i="12"/>
  <c r="T97" i="12"/>
  <c r="T104" i="12"/>
  <c r="T61" i="12"/>
  <c r="T113" i="12"/>
  <c r="T132" i="12"/>
  <c r="T25" i="12"/>
  <c r="T50" i="12"/>
  <c r="T76" i="12"/>
  <c r="T84" i="12"/>
  <c r="T59" i="12"/>
  <c r="T102" i="12"/>
  <c r="T130" i="12"/>
  <c r="T20" i="12"/>
  <c r="T37" i="12"/>
  <c r="T45" i="12"/>
  <c r="T89" i="12"/>
  <c r="T105" i="12"/>
  <c r="T124" i="12"/>
  <c r="E17" i="17"/>
  <c r="S103" i="12"/>
  <c r="S60" i="12"/>
  <c r="S51" i="12"/>
  <c r="S32" i="12"/>
  <c r="S27" i="12"/>
  <c r="S44" i="12"/>
  <c r="S96" i="12"/>
  <c r="S40" i="15"/>
  <c r="S17" i="15"/>
  <c r="S108" i="17"/>
  <c r="S42" i="17"/>
  <c r="S30" i="17"/>
  <c r="S22" i="17"/>
  <c r="S24" i="17"/>
  <c r="H17" i="17"/>
  <c r="S120" i="17"/>
  <c r="S91" i="17"/>
  <c r="C21" i="17"/>
  <c r="L20" i="17"/>
  <c r="S73" i="17"/>
  <c r="S87" i="17"/>
  <c r="S134" i="17"/>
  <c r="S135" i="17"/>
  <c r="S129" i="17"/>
  <c r="S121" i="17"/>
  <c r="S113" i="17"/>
  <c r="S105" i="17"/>
  <c r="S97" i="17"/>
  <c r="S89" i="17"/>
  <c r="S81" i="17"/>
  <c r="S126" i="17"/>
  <c r="S118" i="17"/>
  <c r="S110" i="17"/>
  <c r="S102" i="17"/>
  <c r="S94" i="17"/>
  <c r="S86" i="17"/>
  <c r="S131" i="17"/>
  <c r="S112" i="17"/>
  <c r="S106" i="17"/>
  <c r="S99" i="17"/>
  <c r="S128" i="17"/>
  <c r="S116" i="17"/>
  <c r="S115" i="17"/>
  <c r="S100" i="17"/>
  <c r="S90" i="17"/>
  <c r="S83" i="17"/>
  <c r="S75" i="17"/>
  <c r="S68" i="17"/>
  <c r="S111" i="17"/>
  <c r="S96" i="17"/>
  <c r="S88" i="17"/>
  <c r="S82" i="17"/>
  <c r="S74" i="17"/>
  <c r="S55" i="17"/>
  <c r="S47" i="17"/>
  <c r="S124" i="17"/>
  <c r="S123" i="17"/>
  <c r="S109" i="17"/>
  <c r="S95" i="17"/>
  <c r="S67" i="17"/>
  <c r="S138" i="17"/>
  <c r="S98" i="17"/>
  <c r="S53" i="17"/>
  <c r="S52" i="17"/>
  <c r="S40" i="17"/>
  <c r="S35" i="17"/>
  <c r="S26" i="17"/>
  <c r="S19" i="17"/>
  <c r="S122" i="17"/>
  <c r="S80" i="17"/>
  <c r="S34" i="17"/>
  <c r="S117" i="17"/>
  <c r="S104" i="17"/>
  <c r="S69" i="17"/>
  <c r="S65" i="17"/>
  <c r="S64" i="17"/>
  <c r="S63" i="17"/>
  <c r="S62" i="17"/>
  <c r="S49" i="17"/>
  <c r="S39" i="17"/>
  <c r="S29" i="17"/>
  <c r="S18" i="17"/>
  <c r="S93" i="17"/>
  <c r="S60" i="17"/>
  <c r="S33" i="17"/>
  <c r="S25" i="17"/>
  <c r="S38" i="17"/>
  <c r="S125" i="17"/>
  <c r="S119" i="17"/>
  <c r="S101" i="17"/>
  <c r="S85" i="17"/>
  <c r="S58" i="17"/>
  <c r="S140" i="17"/>
  <c r="S139" i="17"/>
  <c r="S130" i="17"/>
  <c r="S92" i="17"/>
  <c r="S61" i="17"/>
  <c r="S48" i="17"/>
  <c r="S28" i="17"/>
  <c r="S32" i="17"/>
  <c r="S21" i="17"/>
  <c r="S136" i="17"/>
  <c r="S84" i="17"/>
  <c r="S59" i="17"/>
  <c r="S46" i="17"/>
  <c r="S41" i="17"/>
  <c r="S17" i="17"/>
  <c r="S43" i="17"/>
  <c r="S54" i="17"/>
  <c r="S137" i="17"/>
  <c r="S76" i="17"/>
  <c r="S79" i="17"/>
  <c r="S103" i="17"/>
  <c r="S133" i="17"/>
  <c r="S36" i="17"/>
  <c r="S57" i="17"/>
  <c r="S70" i="17"/>
  <c r="S78" i="17"/>
  <c r="S51" i="17"/>
  <c r="S72" i="17"/>
  <c r="S44" i="17"/>
  <c r="S45" i="17"/>
  <c r="S56" i="17"/>
  <c r="S127" i="17"/>
  <c r="S31" i="17"/>
  <c r="S37" i="17"/>
  <c r="S77" i="17"/>
  <c r="S114" i="17"/>
  <c r="S20" i="17"/>
  <c r="S66" i="17"/>
  <c r="S107" i="17"/>
  <c r="S132" i="17"/>
  <c r="S23" i="17"/>
  <c r="S27" i="17"/>
  <c r="S50" i="17"/>
  <c r="S71" i="17"/>
  <c r="L19" i="17"/>
  <c r="B142" i="17"/>
  <c r="R141" i="17"/>
  <c r="S141" i="17" s="1"/>
  <c r="T83" i="17"/>
  <c r="T91" i="17"/>
  <c r="T99" i="17"/>
  <c r="T107" i="17"/>
  <c r="T115" i="17"/>
  <c r="T123" i="17"/>
  <c r="T131" i="17"/>
  <c r="T138" i="17"/>
  <c r="T141" i="17"/>
  <c r="H17" i="15"/>
  <c r="S104" i="15"/>
  <c r="S105" i="15"/>
  <c r="S108" i="15"/>
  <c r="S128" i="15"/>
  <c r="S73" i="15"/>
  <c r="S76" i="15"/>
  <c r="S41" i="15"/>
  <c r="S44" i="15"/>
  <c r="S129" i="15"/>
  <c r="S123" i="15"/>
  <c r="S77" i="15"/>
  <c r="S103" i="15"/>
  <c r="S106" i="15"/>
  <c r="S45" i="15"/>
  <c r="S71" i="15"/>
  <c r="S74" i="15"/>
  <c r="S80" i="15"/>
  <c r="S39" i="15"/>
  <c r="S42" i="15"/>
  <c r="S48" i="15"/>
  <c r="S124" i="15"/>
  <c r="S133" i="15"/>
  <c r="B140" i="15"/>
  <c r="S72" i="15"/>
  <c r="S33" i="15"/>
  <c r="S36" i="15"/>
  <c r="S37" i="15"/>
  <c r="S69" i="15"/>
  <c r="S100" i="15"/>
  <c r="S101" i="15"/>
  <c r="S132" i="15"/>
  <c r="S131" i="15"/>
  <c r="S130" i="15"/>
  <c r="S126" i="15"/>
  <c r="S122" i="15"/>
  <c r="S118" i="15"/>
  <c r="S107" i="15"/>
  <c r="S99" i="15"/>
  <c r="S91" i="15"/>
  <c r="S83" i="15"/>
  <c r="S75" i="15"/>
  <c r="S67" i="15"/>
  <c r="S59" i="15"/>
  <c r="S51" i="15"/>
  <c r="S43" i="15"/>
  <c r="S35" i="15"/>
  <c r="S27" i="15"/>
  <c r="S19" i="15"/>
  <c r="S137" i="15"/>
  <c r="S114" i="15"/>
  <c r="S31" i="15"/>
  <c r="S34" i="15"/>
  <c r="S66" i="15"/>
  <c r="S95" i="15"/>
  <c r="S98" i="15"/>
  <c r="L18" i="15"/>
  <c r="S18" i="15"/>
  <c r="S32" i="15"/>
  <c r="S64" i="15"/>
  <c r="S96" i="15"/>
  <c r="S113" i="15"/>
  <c r="S117" i="15"/>
  <c r="S136" i="15"/>
  <c r="C19" i="15"/>
  <c r="S20" i="15"/>
  <c r="S25" i="15"/>
  <c r="S28" i="15"/>
  <c r="S29" i="15"/>
  <c r="S57" i="15"/>
  <c r="S60" i="15"/>
  <c r="S61" i="15"/>
  <c r="S89" i="15"/>
  <c r="S92" i="15"/>
  <c r="S93" i="15"/>
  <c r="S112" i="15"/>
  <c r="S21" i="15"/>
  <c r="S23" i="15"/>
  <c r="S26" i="15"/>
  <c r="S55" i="15"/>
  <c r="S58" i="15"/>
  <c r="S87" i="15"/>
  <c r="S90" i="15"/>
  <c r="S121" i="15"/>
  <c r="S24" i="15"/>
  <c r="S56" i="15"/>
  <c r="S88" i="15"/>
  <c r="S116" i="15"/>
  <c r="S65" i="15"/>
  <c r="S68" i="15"/>
  <c r="S97" i="15"/>
  <c r="S63" i="15"/>
  <c r="S49" i="15"/>
  <c r="S52" i="15"/>
  <c r="S53" i="15"/>
  <c r="S81" i="15"/>
  <c r="S84" i="15"/>
  <c r="S85" i="15"/>
  <c r="S120" i="15"/>
  <c r="S125" i="15"/>
  <c r="S139" i="15"/>
  <c r="S47" i="15"/>
  <c r="S50" i="15"/>
  <c r="S79" i="15"/>
  <c r="S82" i="15"/>
  <c r="S109" i="15"/>
  <c r="S110" i="15"/>
  <c r="T138" i="15"/>
  <c r="T136" i="15"/>
  <c r="T134" i="15"/>
  <c r="T132" i="15"/>
  <c r="T130" i="15"/>
  <c r="T128" i="15"/>
  <c r="T126" i="15"/>
  <c r="T124" i="15"/>
  <c r="T122" i="15"/>
  <c r="T120" i="15"/>
  <c r="T118" i="15"/>
  <c r="T116" i="15"/>
  <c r="T114" i="15"/>
  <c r="T112" i="15"/>
  <c r="T110" i="15"/>
  <c r="T108" i="15"/>
  <c r="T106" i="15"/>
  <c r="T104" i="15"/>
  <c r="T102" i="15"/>
  <c r="T100" i="15"/>
  <c r="T98" i="15"/>
  <c r="T96" i="15"/>
  <c r="T94" i="15"/>
  <c r="T92" i="15"/>
  <c r="T90" i="15"/>
  <c r="T88" i="15"/>
  <c r="T86" i="15"/>
  <c r="T84" i="15"/>
  <c r="T82" i="15"/>
  <c r="T80" i="15"/>
  <c r="T78" i="15"/>
  <c r="T76" i="15"/>
  <c r="T74" i="15"/>
  <c r="T72" i="15"/>
  <c r="T70" i="15"/>
  <c r="T68" i="15"/>
  <c r="T66" i="15"/>
  <c r="T64" i="15"/>
  <c r="T62" i="15"/>
  <c r="T60" i="15"/>
  <c r="T58" i="15"/>
  <c r="T56" i="15"/>
  <c r="T54" i="15"/>
  <c r="T52" i="15"/>
  <c r="T50" i="15"/>
  <c r="T48" i="15"/>
  <c r="T46" i="15"/>
  <c r="T44" i="15"/>
  <c r="T42" i="15"/>
  <c r="T40" i="15"/>
  <c r="T38" i="15"/>
  <c r="T36" i="15"/>
  <c r="T34" i="15"/>
  <c r="T32" i="15"/>
  <c r="T30" i="15"/>
  <c r="T28" i="15"/>
  <c r="T26" i="15"/>
  <c r="T24" i="15"/>
  <c r="T22" i="15"/>
  <c r="T20" i="15"/>
  <c r="T18" i="15"/>
  <c r="S135" i="15"/>
  <c r="S127" i="15"/>
  <c r="S119" i="15"/>
  <c r="S111" i="15"/>
  <c r="S22" i="15"/>
  <c r="S30" i="15"/>
  <c r="S38" i="15"/>
  <c r="S46" i="15"/>
  <c r="S54" i="15"/>
  <c r="S62" i="15"/>
  <c r="S70" i="15"/>
  <c r="S78" i="15"/>
  <c r="S86" i="15"/>
  <c r="S94" i="15"/>
  <c r="S102" i="15"/>
  <c r="T111" i="15"/>
  <c r="S115" i="15"/>
  <c r="S134" i="15"/>
  <c r="S138" i="15"/>
  <c r="T29" i="14"/>
  <c r="S122" i="14"/>
  <c r="S78" i="14"/>
  <c r="T98" i="14"/>
  <c r="T138" i="14"/>
  <c r="T33" i="14"/>
  <c r="T39" i="14"/>
  <c r="T78" i="14"/>
  <c r="B141" i="14"/>
  <c r="R140" i="14"/>
  <c r="S59" i="14"/>
  <c r="S131" i="14"/>
  <c r="T53" i="14"/>
  <c r="T59" i="14"/>
  <c r="S102" i="14"/>
  <c r="T131" i="14"/>
  <c r="T102" i="14"/>
  <c r="T109" i="14"/>
  <c r="T128" i="14"/>
  <c r="T104" i="14"/>
  <c r="S33" i="14"/>
  <c r="S65" i="14"/>
  <c r="S35" i="14"/>
  <c r="S80" i="14"/>
  <c r="S29" i="14"/>
  <c r="S127" i="14"/>
  <c r="S21" i="14"/>
  <c r="S132" i="14"/>
  <c r="S116" i="14"/>
  <c r="S25" i="14"/>
  <c r="S125" i="14"/>
  <c r="S73" i="14"/>
  <c r="S121" i="14"/>
  <c r="S51" i="14"/>
  <c r="T140" i="14"/>
  <c r="T135" i="14"/>
  <c r="T127" i="14"/>
  <c r="T119" i="14"/>
  <c r="T111" i="14"/>
  <c r="T130" i="14"/>
  <c r="T126" i="14"/>
  <c r="T115" i="14"/>
  <c r="T74" i="14"/>
  <c r="T72" i="14"/>
  <c r="T70" i="14"/>
  <c r="T68" i="14"/>
  <c r="T66" i="14"/>
  <c r="T64" i="14"/>
  <c r="T62" i="14"/>
  <c r="T60" i="14"/>
  <c r="T58" i="14"/>
  <c r="T56" i="14"/>
  <c r="T54" i="14"/>
  <c r="T52" i="14"/>
  <c r="T50" i="14"/>
  <c r="T48" i="14"/>
  <c r="T46" i="14"/>
  <c r="T44" i="14"/>
  <c r="T42" i="14"/>
  <c r="T40" i="14"/>
  <c r="T38" i="14"/>
  <c r="T36" i="14"/>
  <c r="T34" i="14"/>
  <c r="T32" i="14"/>
  <c r="T30" i="14"/>
  <c r="T28" i="14"/>
  <c r="T26" i="14"/>
  <c r="T24" i="14"/>
  <c r="T22" i="14"/>
  <c r="T20" i="14"/>
  <c r="T18" i="14"/>
  <c r="T79" i="14"/>
  <c r="T137" i="14"/>
  <c r="T122" i="14"/>
  <c r="T103" i="14"/>
  <c r="T95" i="14"/>
  <c r="T87" i="14"/>
  <c r="T129" i="14"/>
  <c r="T114" i="14"/>
  <c r="T120" i="14"/>
  <c r="T113" i="14"/>
  <c r="T112" i="14"/>
  <c r="T110" i="14"/>
  <c r="T88" i="14"/>
  <c r="T86" i="14"/>
  <c r="T84" i="14"/>
  <c r="T121" i="14"/>
  <c r="T108" i="14"/>
  <c r="T106" i="14"/>
  <c r="T105" i="14"/>
  <c r="T82" i="14"/>
  <c r="T81" i="14"/>
  <c r="T123" i="14"/>
  <c r="T100" i="14"/>
  <c r="T90" i="14"/>
  <c r="T75" i="14"/>
  <c r="T41" i="14"/>
  <c r="T85" i="14"/>
  <c r="T80" i="14"/>
  <c r="T69" i="14"/>
  <c r="T55" i="14"/>
  <c r="T35" i="14"/>
  <c r="T76" i="14"/>
  <c r="C14" i="14"/>
  <c r="F17" i="14" s="1"/>
  <c r="F18" i="14" s="1"/>
  <c r="F19" i="14" s="1"/>
  <c r="F20" i="14" s="1"/>
  <c r="F21" i="14" s="1"/>
  <c r="F22" i="14" s="1"/>
  <c r="F23" i="14" s="1"/>
  <c r="F24" i="14" s="1"/>
  <c r="F25" i="14" s="1"/>
  <c r="F26" i="14" s="1"/>
  <c r="F27" i="14" s="1"/>
  <c r="F28" i="14" s="1"/>
  <c r="F29" i="14" s="1"/>
  <c r="F30" i="14" s="1"/>
  <c r="F31" i="14" s="1"/>
  <c r="F32" i="14" s="1"/>
  <c r="F33" i="14" s="1"/>
  <c r="F34" i="14" s="1"/>
  <c r="F35" i="14" s="1"/>
  <c r="F36" i="14" s="1"/>
  <c r="F37" i="14" s="1"/>
  <c r="F38" i="14" s="1"/>
  <c r="F39" i="14" s="1"/>
  <c r="F40" i="14" s="1"/>
  <c r="F41" i="14" s="1"/>
  <c r="F42" i="14" s="1"/>
  <c r="F43" i="14" s="1"/>
  <c r="F44" i="14" s="1"/>
  <c r="F45" i="14" s="1"/>
  <c r="F46" i="14" s="1"/>
  <c r="F47" i="14" s="1"/>
  <c r="F48" i="14" s="1"/>
  <c r="F49" i="14" s="1"/>
  <c r="F50" i="14" s="1"/>
  <c r="F51" i="14" s="1"/>
  <c r="F52" i="14" s="1"/>
  <c r="F53" i="14" s="1"/>
  <c r="F54" i="14" s="1"/>
  <c r="F55" i="14" s="1"/>
  <c r="F56" i="14" s="1"/>
  <c r="F57" i="14" s="1"/>
  <c r="F58" i="14" s="1"/>
  <c r="F59" i="14" s="1"/>
  <c r="F60" i="14" s="1"/>
  <c r="F61" i="14" s="1"/>
  <c r="F62" i="14" s="1"/>
  <c r="F63" i="14" s="1"/>
  <c r="F64" i="14" s="1"/>
  <c r="F65" i="14" s="1"/>
  <c r="F66" i="14" s="1"/>
  <c r="F67" i="14" s="1"/>
  <c r="F68" i="14" s="1"/>
  <c r="F69" i="14" s="1"/>
  <c r="F70" i="14" s="1"/>
  <c r="F71" i="14" s="1"/>
  <c r="F72" i="14" s="1"/>
  <c r="F73" i="14" s="1"/>
  <c r="F74" i="14" s="1"/>
  <c r="F75" i="14" s="1"/>
  <c r="F76" i="14" s="1"/>
  <c r="F77" i="14" s="1"/>
  <c r="F78" i="14" s="1"/>
  <c r="F79" i="14" s="1"/>
  <c r="F80" i="14" s="1"/>
  <c r="F81" i="14" s="1"/>
  <c r="F82" i="14" s="1"/>
  <c r="F83" i="14" s="1"/>
  <c r="F84" i="14" s="1"/>
  <c r="F85" i="14" s="1"/>
  <c r="F86" i="14" s="1"/>
  <c r="F87" i="14" s="1"/>
  <c r="F88" i="14" s="1"/>
  <c r="F89" i="14" s="1"/>
  <c r="F90" i="14" s="1"/>
  <c r="F91" i="14" s="1"/>
  <c r="F92" i="14" s="1"/>
  <c r="F93" i="14" s="1"/>
  <c r="F94" i="14" s="1"/>
  <c r="F95" i="14" s="1"/>
  <c r="F96" i="14" s="1"/>
  <c r="F97" i="14" s="1"/>
  <c r="F98" i="14" s="1"/>
  <c r="F99" i="14" s="1"/>
  <c r="F100" i="14" s="1"/>
  <c r="F101" i="14" s="1"/>
  <c r="F102" i="14" s="1"/>
  <c r="F103" i="14" s="1"/>
  <c r="F104" i="14" s="1"/>
  <c r="F105" i="14" s="1"/>
  <c r="F106" i="14" s="1"/>
  <c r="F107" i="14" s="1"/>
  <c r="F108" i="14" s="1"/>
  <c r="F109" i="14" s="1"/>
  <c r="F110" i="14" s="1"/>
  <c r="F111" i="14" s="1"/>
  <c r="F112" i="14" s="1"/>
  <c r="F113" i="14" s="1"/>
  <c r="F114" i="14" s="1"/>
  <c r="F115" i="14" s="1"/>
  <c r="F116" i="14" s="1"/>
  <c r="F117" i="14" s="1"/>
  <c r="F118" i="14" s="1"/>
  <c r="F119" i="14" s="1"/>
  <c r="F120" i="14" s="1"/>
  <c r="F121" i="14" s="1"/>
  <c r="F122" i="14" s="1"/>
  <c r="F123" i="14" s="1"/>
  <c r="F124" i="14" s="1"/>
  <c r="F125" i="14" s="1"/>
  <c r="F126" i="14" s="1"/>
  <c r="F127" i="14" s="1"/>
  <c r="F128" i="14" s="1"/>
  <c r="F129" i="14" s="1"/>
  <c r="F130" i="14" s="1"/>
  <c r="F131" i="14" s="1"/>
  <c r="F132" i="14" s="1"/>
  <c r="F133" i="14" s="1"/>
  <c r="F134" i="14" s="1"/>
  <c r="F135" i="14" s="1"/>
  <c r="F136" i="14" s="1"/>
  <c r="F137" i="14" s="1"/>
  <c r="F138" i="14" s="1"/>
  <c r="F139" i="14" s="1"/>
  <c r="F140" i="14" s="1"/>
  <c r="F141" i="14" s="1"/>
  <c r="F142" i="14" s="1"/>
  <c r="F143" i="14" s="1"/>
  <c r="F144" i="14" s="1"/>
  <c r="F145" i="14" s="1"/>
  <c r="F146" i="14" s="1"/>
  <c r="F147" i="14" s="1"/>
  <c r="F148" i="14" s="1"/>
  <c r="F149" i="14" s="1"/>
  <c r="F150" i="14" s="1"/>
  <c r="F151" i="14" s="1"/>
  <c r="F152" i="14" s="1"/>
  <c r="F153" i="14" s="1"/>
  <c r="F154" i="14" s="1"/>
  <c r="F155" i="14" s="1"/>
  <c r="F156" i="14" s="1"/>
  <c r="F157" i="14" s="1"/>
  <c r="F158" i="14" s="1"/>
  <c r="F159" i="14" s="1"/>
  <c r="F160" i="14" s="1"/>
  <c r="F161" i="14" s="1"/>
  <c r="F162" i="14" s="1"/>
  <c r="F163" i="14" s="1"/>
  <c r="F164" i="14" s="1"/>
  <c r="F165" i="14" s="1"/>
  <c r="F166" i="14" s="1"/>
  <c r="F167" i="14" s="1"/>
  <c r="F168" i="14" s="1"/>
  <c r="F169" i="14" s="1"/>
  <c r="F170" i="14" s="1"/>
  <c r="F171" i="14" s="1"/>
  <c r="F172" i="14" s="1"/>
  <c r="F173" i="14" s="1"/>
  <c r="F174" i="14" s="1"/>
  <c r="F175" i="14" s="1"/>
  <c r="F176" i="14" s="1"/>
  <c r="F177" i="14" s="1"/>
  <c r="F178" i="14" s="1"/>
  <c r="F179" i="14" s="1"/>
  <c r="F180" i="14" s="1"/>
  <c r="F181" i="14" s="1"/>
  <c r="F182" i="14" s="1"/>
  <c r="F183" i="14" s="1"/>
  <c r="F184" i="14" s="1"/>
  <c r="F185" i="14" s="1"/>
  <c r="F186" i="14" s="1"/>
  <c r="F187" i="14" s="1"/>
  <c r="F188" i="14" s="1"/>
  <c r="F189" i="14" s="1"/>
  <c r="F190" i="14" s="1"/>
  <c r="F191" i="14" s="1"/>
  <c r="F192" i="14" s="1"/>
  <c r="F193" i="14" s="1"/>
  <c r="F194" i="14" s="1"/>
  <c r="F195" i="14" s="1"/>
  <c r="F196" i="14" s="1"/>
  <c r="F197" i="14" s="1"/>
  <c r="F198" i="14" s="1"/>
  <c r="F199" i="14" s="1"/>
  <c r="F200" i="14" s="1"/>
  <c r="F201" i="14" s="1"/>
  <c r="F202" i="14" s="1"/>
  <c r="F203" i="14" s="1"/>
  <c r="F204" i="14" s="1"/>
  <c r="F205" i="14" s="1"/>
  <c r="F206" i="14" s="1"/>
  <c r="F207" i="14" s="1"/>
  <c r="F208" i="14" s="1"/>
  <c r="F209" i="14" s="1"/>
  <c r="F210" i="14" s="1"/>
  <c r="F211" i="14" s="1"/>
  <c r="F212" i="14" s="1"/>
  <c r="F213" i="14" s="1"/>
  <c r="F214" i="14" s="1"/>
  <c r="F215" i="14" s="1"/>
  <c r="F216" i="14" s="1"/>
  <c r="F217" i="14" s="1"/>
  <c r="F218" i="14" s="1"/>
  <c r="F219" i="14" s="1"/>
  <c r="F220" i="14" s="1"/>
  <c r="F221" i="14" s="1"/>
  <c r="F222" i="14" s="1"/>
  <c r="F223" i="14" s="1"/>
  <c r="F224" i="14" s="1"/>
  <c r="F225" i="14" s="1"/>
  <c r="F226" i="14" s="1"/>
  <c r="F227" i="14" s="1"/>
  <c r="F228" i="14" s="1"/>
  <c r="F229" i="14" s="1"/>
  <c r="F230" i="14" s="1"/>
  <c r="F231" i="14" s="1"/>
  <c r="F232" i="14" s="1"/>
  <c r="F233" i="14" s="1"/>
  <c r="F234" i="14" s="1"/>
  <c r="F235" i="14" s="1"/>
  <c r="F236" i="14" s="1"/>
  <c r="F237" i="14" s="1"/>
  <c r="F238" i="14" s="1"/>
  <c r="F239" i="14" s="1"/>
  <c r="F240" i="14" s="1"/>
  <c r="F241" i="14" s="1"/>
  <c r="F242" i="14" s="1"/>
  <c r="F243" i="14" s="1"/>
  <c r="F244" i="14" s="1"/>
  <c r="F245" i="14" s="1"/>
  <c r="F246" i="14" s="1"/>
  <c r="F247" i="14" s="1"/>
  <c r="F248" i="14" s="1"/>
  <c r="F249" i="14" s="1"/>
  <c r="F250" i="14" s="1"/>
  <c r="F251" i="14" s="1"/>
  <c r="F252" i="14" s="1"/>
  <c r="F253" i="14" s="1"/>
  <c r="F254" i="14" s="1"/>
  <c r="F255" i="14" s="1"/>
  <c r="F256" i="14" s="1"/>
  <c r="F257" i="14" s="1"/>
  <c r="F258" i="14" s="1"/>
  <c r="F259" i="14" s="1"/>
  <c r="F260" i="14" s="1"/>
  <c r="F261" i="14" s="1"/>
  <c r="F262" i="14" s="1"/>
  <c r="F263" i="14" s="1"/>
  <c r="F264" i="14" s="1"/>
  <c r="F265" i="14" s="1"/>
  <c r="F266" i="14" s="1"/>
  <c r="F267" i="14" s="1"/>
  <c r="F268" i="14" s="1"/>
  <c r="F269" i="14" s="1"/>
  <c r="F270" i="14" s="1"/>
  <c r="F271" i="14" s="1"/>
  <c r="F272" i="14" s="1"/>
  <c r="F273" i="14" s="1"/>
  <c r="F274" i="14" s="1"/>
  <c r="F275" i="14" s="1"/>
  <c r="F276" i="14" s="1"/>
  <c r="F277" i="14" s="1"/>
  <c r="F278" i="14" s="1"/>
  <c r="F279" i="14" s="1"/>
  <c r="F280" i="14" s="1"/>
  <c r="F281" i="14" s="1"/>
  <c r="F282" i="14" s="1"/>
  <c r="F283" i="14" s="1"/>
  <c r="F284" i="14" s="1"/>
  <c r="F285" i="14" s="1"/>
  <c r="F286" i="14" s="1"/>
  <c r="F287" i="14" s="1"/>
  <c r="F288" i="14" s="1"/>
  <c r="F289" i="14" s="1"/>
  <c r="F290" i="14" s="1"/>
  <c r="F291" i="14" s="1"/>
  <c r="F292" i="14" s="1"/>
  <c r="F293" i="14" s="1"/>
  <c r="F294" i="14" s="1"/>
  <c r="F295" i="14" s="1"/>
  <c r="F296" i="14" s="1"/>
  <c r="F297" i="14" s="1"/>
  <c r="F298" i="14" s="1"/>
  <c r="F299" i="14" s="1"/>
  <c r="F300" i="14" s="1"/>
  <c r="F301" i="14" s="1"/>
  <c r="F302" i="14" s="1"/>
  <c r="F303" i="14" s="1"/>
  <c r="F304" i="14" s="1"/>
  <c r="F305" i="14" s="1"/>
  <c r="F306" i="14" s="1"/>
  <c r="F307" i="14" s="1"/>
  <c r="F308" i="14" s="1"/>
  <c r="F309" i="14" s="1"/>
  <c r="F310" i="14" s="1"/>
  <c r="F311" i="14" s="1"/>
  <c r="F312" i="14" s="1"/>
  <c r="F313" i="14" s="1"/>
  <c r="F314" i="14" s="1"/>
  <c r="F315" i="14" s="1"/>
  <c r="F316" i="14" s="1"/>
  <c r="F317" i="14" s="1"/>
  <c r="F318" i="14" s="1"/>
  <c r="F319" i="14" s="1"/>
  <c r="F320" i="14" s="1"/>
  <c r="F321" i="14" s="1"/>
  <c r="F322" i="14" s="1"/>
  <c r="F323" i="14" s="1"/>
  <c r="F324" i="14" s="1"/>
  <c r="F325" i="14" s="1"/>
  <c r="F326" i="14" s="1"/>
  <c r="F327" i="14" s="1"/>
  <c r="F328" i="14" s="1"/>
  <c r="F329" i="14" s="1"/>
  <c r="F330" i="14" s="1"/>
  <c r="F331" i="14" s="1"/>
  <c r="F332" i="14" s="1"/>
  <c r="F333" i="14" s="1"/>
  <c r="F334" i="14" s="1"/>
  <c r="F335" i="14" s="1"/>
  <c r="F336" i="14" s="1"/>
  <c r="F337" i="14" s="1"/>
  <c r="F338" i="14" s="1"/>
  <c r="F339" i="14" s="1"/>
  <c r="F340" i="14" s="1"/>
  <c r="F341" i="14" s="1"/>
  <c r="F342" i="14" s="1"/>
  <c r="F343" i="14" s="1"/>
  <c r="F344" i="14" s="1"/>
  <c r="F345" i="14" s="1"/>
  <c r="F346" i="14" s="1"/>
  <c r="F347" i="14" s="1"/>
  <c r="F348" i="14" s="1"/>
  <c r="F349" i="14" s="1"/>
  <c r="F350" i="14" s="1"/>
  <c r="F351" i="14" s="1"/>
  <c r="F352" i="14" s="1"/>
  <c r="F353" i="14" s="1"/>
  <c r="F354" i="14" s="1"/>
  <c r="F355" i="14" s="1"/>
  <c r="F356" i="14" s="1"/>
  <c r="F357" i="14" s="1"/>
  <c r="F358" i="14" s="1"/>
  <c r="F359" i="14" s="1"/>
  <c r="F360" i="14" s="1"/>
  <c r="F361" i="14" s="1"/>
  <c r="F362" i="14" s="1"/>
  <c r="F363" i="14" s="1"/>
  <c r="F364" i="14" s="1"/>
  <c r="F365" i="14" s="1"/>
  <c r="F366" i="14" s="1"/>
  <c r="F367" i="14" s="1"/>
  <c r="F368" i="14" s="1"/>
  <c r="F369" i="14" s="1"/>
  <c r="F370" i="14" s="1"/>
  <c r="F371" i="14" s="1"/>
  <c r="F372" i="14" s="1"/>
  <c r="F373" i="14" s="1"/>
  <c r="F374" i="14" s="1"/>
  <c r="F375" i="14" s="1"/>
  <c r="F376" i="14" s="1"/>
  <c r="F377" i="14" s="1"/>
  <c r="F378" i="14" s="1"/>
  <c r="F379" i="14" s="1"/>
  <c r="F380" i="14" s="1"/>
  <c r="F381" i="14" s="1"/>
  <c r="F382" i="14" s="1"/>
  <c r="F383" i="14" s="1"/>
  <c r="F384" i="14" s="1"/>
  <c r="F385" i="14" s="1"/>
  <c r="T136" i="14"/>
  <c r="T117" i="14"/>
  <c r="T91" i="14"/>
  <c r="T49" i="14"/>
  <c r="T17" i="14"/>
  <c r="E17" i="14" s="1"/>
  <c r="H17" i="14" s="1"/>
  <c r="T133" i="14"/>
  <c r="T124" i="14"/>
  <c r="T96" i="14"/>
  <c r="T63" i="14"/>
  <c r="T43" i="14"/>
  <c r="T19" i="14"/>
  <c r="T101" i="14"/>
  <c r="T92" i="14"/>
  <c r="T57" i="14"/>
  <c r="T21" i="14"/>
  <c r="T139" i="14"/>
  <c r="T27" i="14"/>
  <c r="T25" i="14"/>
  <c r="T23" i="14"/>
  <c r="T99" i="14"/>
  <c r="T65" i="14"/>
  <c r="T132" i="14"/>
  <c r="T116" i="14"/>
  <c r="T97" i="14"/>
  <c r="T77" i="14"/>
  <c r="T71" i="14"/>
  <c r="T45" i="14"/>
  <c r="J4" i="14"/>
  <c r="T134" i="14"/>
  <c r="T125" i="14"/>
  <c r="T118" i="14"/>
  <c r="T93" i="14"/>
  <c r="T83" i="14"/>
  <c r="T73" i="14"/>
  <c r="T47" i="14"/>
  <c r="T107" i="14"/>
  <c r="T89" i="14"/>
  <c r="T37" i="14"/>
  <c r="T31" i="14"/>
  <c r="T51" i="14"/>
  <c r="T94" i="14"/>
  <c r="T61" i="14"/>
  <c r="S67" i="14"/>
  <c r="S57" i="14"/>
  <c r="T67" i="14"/>
  <c r="S140" i="14"/>
  <c r="S109" i="14"/>
  <c r="S107" i="14"/>
  <c r="S105" i="14"/>
  <c r="S103" i="14"/>
  <c r="S101" i="14"/>
  <c r="S99" i="14"/>
  <c r="S97" i="14"/>
  <c r="S95" i="14"/>
  <c r="S93" i="14"/>
  <c r="S91" i="14"/>
  <c r="S89" i="14"/>
  <c r="S87" i="14"/>
  <c r="S85" i="14"/>
  <c r="S83" i="14"/>
  <c r="S81" i="14"/>
  <c r="S79" i="14"/>
  <c r="S77" i="14"/>
  <c r="S75" i="14"/>
  <c r="S134" i="14"/>
  <c r="S123" i="14"/>
  <c r="S130" i="14"/>
  <c r="S119" i="14"/>
  <c r="S106" i="14"/>
  <c r="S98" i="14"/>
  <c r="S90" i="14"/>
  <c r="S82" i="14"/>
  <c r="S72" i="14"/>
  <c r="S70" i="14"/>
  <c r="S68" i="14"/>
  <c r="S64" i="14"/>
  <c r="S62" i="14"/>
  <c r="S60" i="14"/>
  <c r="S58" i="14"/>
  <c r="S54" i="14"/>
  <c r="S52" i="14"/>
  <c r="S50" i="14"/>
  <c r="S46" i="14"/>
  <c r="S44" i="14"/>
  <c r="S40" i="14"/>
  <c r="S38" i="14"/>
  <c r="S36" i="14"/>
  <c r="S32" i="14"/>
  <c r="S30" i="14"/>
  <c r="S28" i="14"/>
  <c r="S26" i="14"/>
  <c r="S22" i="14"/>
  <c r="S20" i="14"/>
  <c r="S18" i="14"/>
  <c r="S126" i="14"/>
  <c r="S115" i="14"/>
  <c r="S74" i="14"/>
  <c r="S66" i="14"/>
  <c r="S56" i="14"/>
  <c r="S48" i="14"/>
  <c r="S42" i="14"/>
  <c r="S34" i="14"/>
  <c r="S24" i="14"/>
  <c r="S133" i="14"/>
  <c r="S118" i="14"/>
  <c r="S108" i="14"/>
  <c r="S100" i="14"/>
  <c r="S92" i="14"/>
  <c r="S84" i="14"/>
  <c r="S76" i="14"/>
  <c r="S136" i="14"/>
  <c r="S128" i="14"/>
  <c r="S111" i="14"/>
  <c r="S71" i="14"/>
  <c r="S63" i="14"/>
  <c r="S55" i="14"/>
  <c r="S47" i="14"/>
  <c r="S39" i="14"/>
  <c r="S88" i="14"/>
  <c r="S86" i="14"/>
  <c r="S137" i="14"/>
  <c r="S129" i="14"/>
  <c r="S120" i="14"/>
  <c r="S114" i="14"/>
  <c r="S113" i="14"/>
  <c r="S112" i="14"/>
  <c r="S110" i="14"/>
  <c r="S139" i="14"/>
  <c r="S138" i="14"/>
  <c r="S69" i="14"/>
  <c r="S61" i="14"/>
  <c r="S53" i="14"/>
  <c r="S45" i="14"/>
  <c r="S37" i="14"/>
  <c r="S31" i="14"/>
  <c r="S27" i="14"/>
  <c r="S23" i="14"/>
  <c r="S19" i="14"/>
  <c r="S43" i="14"/>
  <c r="S96" i="14"/>
  <c r="S124" i="14"/>
  <c r="S17" i="14"/>
  <c r="S49" i="14"/>
  <c r="S117" i="14"/>
  <c r="C20" i="14"/>
  <c r="L18" i="14"/>
  <c r="S41" i="14"/>
  <c r="S104" i="14"/>
  <c r="S135" i="14"/>
  <c r="S38" i="12"/>
  <c r="S45" i="12"/>
  <c r="S126" i="12"/>
  <c r="S61" i="12"/>
  <c r="S30" i="12"/>
  <c r="S23" i="12"/>
  <c r="S78" i="12"/>
  <c r="S127" i="12"/>
  <c r="R141" i="12"/>
  <c r="B142" i="12"/>
  <c r="S100" i="12"/>
  <c r="S79" i="12"/>
  <c r="S97" i="12"/>
  <c r="S77" i="12"/>
  <c r="C21" i="12"/>
  <c r="S101" i="12"/>
  <c r="S20" i="12"/>
  <c r="S33" i="12"/>
  <c r="S62" i="12"/>
  <c r="S105" i="12"/>
  <c r="S131" i="12"/>
  <c r="S140" i="12"/>
  <c r="S136" i="12"/>
  <c r="S128" i="12"/>
  <c r="S120" i="12"/>
  <c r="S112" i="12"/>
  <c r="S138" i="12"/>
  <c r="S130" i="12"/>
  <c r="S122" i="12"/>
  <c r="S114" i="12"/>
  <c r="S106" i="12"/>
  <c r="S98" i="12"/>
  <c r="S90" i="12"/>
  <c r="S82" i="12"/>
  <c r="S74" i="12"/>
  <c r="S66" i="12"/>
  <c r="S58" i="12"/>
  <c r="S50" i="12"/>
  <c r="S42" i="12"/>
  <c r="S34" i="12"/>
  <c r="S26" i="12"/>
  <c r="S135" i="12"/>
  <c r="S115" i="12"/>
  <c r="S108" i="12"/>
  <c r="S99" i="12"/>
  <c r="S95" i="12"/>
  <c r="S80" i="12"/>
  <c r="S76" i="12"/>
  <c r="S121" i="12"/>
  <c r="S91" i="12"/>
  <c r="S87" i="12"/>
  <c r="S134" i="12"/>
  <c r="S113" i="12"/>
  <c r="S102" i="12"/>
  <c r="S75" i="12"/>
  <c r="S71" i="12"/>
  <c r="S56" i="12"/>
  <c r="S52" i="12"/>
  <c r="S29" i="12"/>
  <c r="S25" i="12"/>
  <c r="S18" i="12"/>
  <c r="S133" i="12"/>
  <c r="S63" i="12"/>
  <c r="S64" i="12"/>
  <c r="S81" i="12"/>
  <c r="S93" i="12"/>
  <c r="S21" i="12"/>
  <c r="S39" i="12"/>
  <c r="S46" i="12"/>
  <c r="S92" i="12"/>
  <c r="S94" i="12"/>
  <c r="S110" i="12"/>
  <c r="S111" i="12"/>
  <c r="S118" i="12"/>
  <c r="S119" i="12"/>
  <c r="S139" i="12"/>
  <c r="T139" i="12"/>
  <c r="T133" i="12"/>
  <c r="T125" i="12"/>
  <c r="T117" i="12"/>
  <c r="T109" i="12"/>
  <c r="T140" i="12"/>
  <c r="T135" i="12"/>
  <c r="T127" i="12"/>
  <c r="T119" i="12"/>
  <c r="T111" i="12"/>
  <c r="T103" i="12"/>
  <c r="T95" i="12"/>
  <c r="T87" i="12"/>
  <c r="T79" i="12"/>
  <c r="T71" i="12"/>
  <c r="T63" i="12"/>
  <c r="T55" i="12"/>
  <c r="T47" i="12"/>
  <c r="T39" i="12"/>
  <c r="T31" i="12"/>
  <c r="T23" i="12"/>
  <c r="C14" i="12"/>
  <c r="F17" i="12" s="1"/>
  <c r="F18" i="12" s="1"/>
  <c r="F19" i="12" s="1"/>
  <c r="T121" i="12"/>
  <c r="T91" i="12"/>
  <c r="T72" i="12"/>
  <c r="T68" i="12"/>
  <c r="T128" i="12"/>
  <c r="T114" i="12"/>
  <c r="T107" i="12"/>
  <c r="T120" i="12"/>
  <c r="T106" i="12"/>
  <c r="T98" i="12"/>
  <c r="T94" i="12"/>
  <c r="T67" i="12"/>
  <c r="T48" i="12"/>
  <c r="T44" i="12"/>
  <c r="T21" i="12"/>
  <c r="T126" i="12"/>
  <c r="S17" i="12"/>
  <c r="S22" i="12"/>
  <c r="S28" i="12"/>
  <c r="T34" i="12"/>
  <c r="S40" i="12"/>
  <c r="T46" i="12"/>
  <c r="S53" i="12"/>
  <c r="T64" i="12"/>
  <c r="S65" i="12"/>
  <c r="T81" i="12"/>
  <c r="T82" i="12"/>
  <c r="T92" i="12"/>
  <c r="T93" i="12"/>
  <c r="T110" i="12"/>
  <c r="T118" i="12"/>
  <c r="S125" i="12"/>
  <c r="T17" i="12"/>
  <c r="E17" i="12" s="1"/>
  <c r="H17" i="12" s="1"/>
  <c r="I17" i="12" s="1"/>
  <c r="T22" i="12"/>
  <c r="T28" i="12"/>
  <c r="T40" i="12"/>
  <c r="T53" i="12"/>
  <c r="S54" i="12"/>
  <c r="T65" i="12"/>
  <c r="T66" i="12"/>
  <c r="S83" i="12"/>
  <c r="S88" i="12"/>
  <c r="S109" i="12"/>
  <c r="S117" i="12"/>
  <c r="S129" i="12"/>
  <c r="T134" i="12"/>
  <c r="J4" i="12"/>
  <c r="T29" i="12"/>
  <c r="S35" i="12"/>
  <c r="S41" i="12"/>
  <c r="S47" i="12"/>
  <c r="T54" i="12"/>
  <c r="S67" i="12"/>
  <c r="S68" i="12"/>
  <c r="S69" i="12"/>
  <c r="T83" i="12"/>
  <c r="S84" i="12"/>
  <c r="T88" i="12"/>
  <c r="S89" i="12"/>
  <c r="T90" i="12"/>
  <c r="S116" i="12"/>
  <c r="S124" i="12"/>
  <c r="T129" i="12"/>
  <c r="T138" i="12"/>
  <c r="S48" i="12"/>
  <c r="S55" i="12"/>
  <c r="S86" i="12"/>
  <c r="T18" i="12"/>
  <c r="S24" i="12"/>
  <c r="T42" i="12"/>
  <c r="S57" i="12"/>
  <c r="S72" i="12"/>
  <c r="T86" i="12"/>
  <c r="S107" i="12"/>
  <c r="T115" i="12"/>
  <c r="T24" i="12"/>
  <c r="S49" i="12"/>
  <c r="T57" i="12"/>
  <c r="T58" i="12"/>
  <c r="S73" i="12"/>
  <c r="T122" i="12"/>
  <c r="S137" i="12"/>
  <c r="T141" i="12"/>
  <c r="S70" i="12"/>
  <c r="S85" i="12"/>
  <c r="S123" i="12"/>
  <c r="T30" i="12"/>
  <c r="S36" i="12"/>
  <c r="T70" i="12"/>
  <c r="T85" i="12"/>
  <c r="T123" i="12"/>
  <c r="T36" i="12"/>
  <c r="S19" i="12"/>
  <c r="S31" i="12"/>
  <c r="S37" i="12"/>
  <c r="S43" i="12"/>
  <c r="T49" i="12"/>
  <c r="S59" i="12"/>
  <c r="T73" i="12"/>
  <c r="T74" i="12"/>
  <c r="S104" i="12"/>
  <c r="S132" i="12"/>
  <c r="T137" i="12"/>
  <c r="O2" i="9"/>
  <c r="O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K6" i="1"/>
  <c r="C22" i="17" l="1"/>
  <c r="L21" i="17"/>
  <c r="R142" i="17"/>
  <c r="T142" i="17" s="1"/>
  <c r="B143" i="17"/>
  <c r="S142" i="17"/>
  <c r="I17" i="17"/>
  <c r="F20" i="17"/>
  <c r="I17" i="15"/>
  <c r="C20" i="15"/>
  <c r="L19" i="15"/>
  <c r="R140" i="15"/>
  <c r="T140" i="15" s="1"/>
  <c r="B141" i="15"/>
  <c r="I17" i="14"/>
  <c r="C21" i="14"/>
  <c r="L20" i="14"/>
  <c r="B142" i="14"/>
  <c r="R141" i="14"/>
  <c r="T141" i="14" s="1"/>
  <c r="B143" i="12"/>
  <c r="R142" i="12"/>
  <c r="T142" i="12" s="1"/>
  <c r="S141" i="12"/>
  <c r="F20" i="12"/>
  <c r="C22" i="12"/>
  <c r="L21" i="12"/>
  <c r="L61" i="6"/>
  <c r="L386" i="6" s="1"/>
  <c r="K61" i="6"/>
  <c r="K416" i="6" s="1"/>
  <c r="J61" i="6"/>
  <c r="J358" i="6" s="1"/>
  <c r="L60" i="6"/>
  <c r="K60" i="6"/>
  <c r="J60" i="6"/>
  <c r="L59" i="6"/>
  <c r="K59" i="6"/>
  <c r="J59" i="6"/>
  <c r="L58" i="6"/>
  <c r="K58" i="6"/>
  <c r="J58" i="6"/>
  <c r="L57" i="6"/>
  <c r="K57" i="6"/>
  <c r="J57" i="6"/>
  <c r="L56" i="6"/>
  <c r="K56" i="6"/>
  <c r="J56" i="6"/>
  <c r="L55" i="6"/>
  <c r="K55" i="6"/>
  <c r="J55" i="6"/>
  <c r="L54" i="6"/>
  <c r="K54" i="6"/>
  <c r="J54" i="6"/>
  <c r="L53" i="6"/>
  <c r="K53" i="6"/>
  <c r="J53" i="6"/>
  <c r="L52" i="6"/>
  <c r="K52" i="6"/>
  <c r="J52" i="6"/>
  <c r="L51" i="6"/>
  <c r="K51" i="6"/>
  <c r="J51" i="6"/>
  <c r="L50" i="6"/>
  <c r="K50" i="6"/>
  <c r="J50" i="6"/>
  <c r="L49" i="6"/>
  <c r="K49" i="6"/>
  <c r="J49" i="6"/>
  <c r="L48" i="6"/>
  <c r="K48" i="6"/>
  <c r="J48" i="6"/>
  <c r="L47" i="6"/>
  <c r="K47" i="6"/>
  <c r="J47" i="6"/>
  <c r="L46" i="6"/>
  <c r="K46" i="6"/>
  <c r="J46" i="6"/>
  <c r="L45" i="6"/>
  <c r="K45" i="6"/>
  <c r="J45" i="6"/>
  <c r="L44" i="6"/>
  <c r="K44" i="6"/>
  <c r="J44" i="6"/>
  <c r="L43" i="6"/>
  <c r="K43" i="6"/>
  <c r="J43" i="6"/>
  <c r="L42" i="6"/>
  <c r="K42" i="6"/>
  <c r="J42" i="6"/>
  <c r="L41" i="6"/>
  <c r="K41" i="6"/>
  <c r="J41" i="6"/>
  <c r="L40" i="6"/>
  <c r="K40" i="6"/>
  <c r="J40" i="6"/>
  <c r="L39" i="6"/>
  <c r="K39" i="6"/>
  <c r="J39" i="6"/>
  <c r="L38" i="6"/>
  <c r="K38" i="6"/>
  <c r="J38" i="6"/>
  <c r="L37" i="6"/>
  <c r="K37" i="6"/>
  <c r="J37" i="6"/>
  <c r="L36" i="6"/>
  <c r="K36" i="6"/>
  <c r="J36" i="6"/>
  <c r="L35" i="6"/>
  <c r="K35" i="6"/>
  <c r="J35" i="6"/>
  <c r="L34" i="6"/>
  <c r="K34" i="6"/>
  <c r="J34" i="6"/>
  <c r="L33" i="6"/>
  <c r="K33" i="6"/>
  <c r="J33" i="6"/>
  <c r="L32" i="6"/>
  <c r="K32" i="6"/>
  <c r="J32" i="6"/>
  <c r="L31" i="6"/>
  <c r="K31" i="6"/>
  <c r="J31" i="6"/>
  <c r="L30" i="6"/>
  <c r="K30" i="6"/>
  <c r="J30" i="6"/>
  <c r="L29" i="6"/>
  <c r="K29" i="6"/>
  <c r="J29" i="6"/>
  <c r="L28" i="6"/>
  <c r="K28" i="6"/>
  <c r="J28" i="6"/>
  <c r="L27" i="6"/>
  <c r="K27" i="6"/>
  <c r="J27" i="6"/>
  <c r="L26" i="6"/>
  <c r="K26" i="6"/>
  <c r="J26" i="6"/>
  <c r="L25" i="6"/>
  <c r="K25" i="6"/>
  <c r="J25" i="6"/>
  <c r="L24" i="6"/>
  <c r="K24" i="6"/>
  <c r="J24" i="6"/>
  <c r="L23" i="6"/>
  <c r="K23" i="6"/>
  <c r="J23" i="6"/>
  <c r="L22" i="6"/>
  <c r="K22" i="6"/>
  <c r="J22" i="6"/>
  <c r="L21" i="6"/>
  <c r="K21" i="6"/>
  <c r="J21" i="6"/>
  <c r="L20" i="6"/>
  <c r="K20" i="6"/>
  <c r="J20" i="6"/>
  <c r="L19" i="6"/>
  <c r="K19" i="6"/>
  <c r="J19" i="6"/>
  <c r="L18" i="6"/>
  <c r="K18" i="6"/>
  <c r="J18" i="6"/>
  <c r="L17" i="6"/>
  <c r="K17" i="6"/>
  <c r="J17" i="6"/>
  <c r="L16" i="6"/>
  <c r="K16" i="6"/>
  <c r="J16" i="6"/>
  <c r="L15" i="6"/>
  <c r="K15" i="6"/>
  <c r="J15" i="6"/>
  <c r="L14" i="6"/>
  <c r="K14" i="6"/>
  <c r="J14" i="6"/>
  <c r="L13" i="6"/>
  <c r="K13" i="6"/>
  <c r="J13" i="6"/>
  <c r="L12" i="6"/>
  <c r="K12" i="6"/>
  <c r="J12" i="6"/>
  <c r="L11" i="6"/>
  <c r="K11" i="6"/>
  <c r="J11" i="6"/>
  <c r="L10" i="6"/>
  <c r="K10" i="6"/>
  <c r="J10" i="6"/>
  <c r="L9" i="6"/>
  <c r="K9" i="6"/>
  <c r="J9" i="6"/>
  <c r="L8" i="6"/>
  <c r="K8" i="6"/>
  <c r="J8" i="6"/>
  <c r="L7" i="6"/>
  <c r="K7" i="6"/>
  <c r="J7" i="6"/>
  <c r="L6" i="6"/>
  <c r="K6" i="6"/>
  <c r="J6" i="6"/>
  <c r="L5" i="6"/>
  <c r="K5" i="6"/>
  <c r="J5" i="6"/>
  <c r="L4" i="6"/>
  <c r="K4" i="6"/>
  <c r="J4" i="6"/>
  <c r="L3" i="6"/>
  <c r="K3" i="6"/>
  <c r="J3" i="6"/>
  <c r="L2" i="6"/>
  <c r="K2" i="6"/>
  <c r="J2" i="6"/>
  <c r="I2" i="6"/>
  <c r="J17" i="12" s="1"/>
  <c r="E7" i="1"/>
  <c r="K17" i="12" l="1"/>
  <c r="M17" i="12" s="1"/>
  <c r="O17" i="12"/>
  <c r="D18" i="12" s="1"/>
  <c r="G18" i="12" s="1"/>
  <c r="J17" i="15"/>
  <c r="K17" i="15" s="1"/>
  <c r="F21" i="17"/>
  <c r="J17" i="17"/>
  <c r="B144" i="17"/>
  <c r="R143" i="17"/>
  <c r="T143" i="17" s="1"/>
  <c r="S143" i="17"/>
  <c r="L22" i="17"/>
  <c r="C23" i="17"/>
  <c r="M17" i="15"/>
  <c r="C21" i="15"/>
  <c r="L20" i="15"/>
  <c r="B142" i="15"/>
  <c r="R141" i="15"/>
  <c r="T141" i="15" s="1"/>
  <c r="S140" i="15"/>
  <c r="R142" i="14"/>
  <c r="T142" i="14" s="1"/>
  <c r="B143" i="14"/>
  <c r="J17" i="14"/>
  <c r="O17" i="14" s="1"/>
  <c r="D18" i="14" s="1"/>
  <c r="C22" i="14"/>
  <c r="L21" i="14"/>
  <c r="S141" i="14"/>
  <c r="L22" i="12"/>
  <c r="C23" i="12"/>
  <c r="F21" i="12"/>
  <c r="S142" i="12"/>
  <c r="R143" i="12"/>
  <c r="T143" i="12" s="1"/>
  <c r="B144" i="12"/>
  <c r="K104" i="6"/>
  <c r="K110" i="6"/>
  <c r="L93" i="6"/>
  <c r="L155" i="6"/>
  <c r="K168" i="6"/>
  <c r="L173" i="6"/>
  <c r="K150" i="6"/>
  <c r="K180" i="6"/>
  <c r="K247" i="6"/>
  <c r="L83" i="6"/>
  <c r="L257" i="6"/>
  <c r="L89" i="6"/>
  <c r="K268" i="6"/>
  <c r="K278" i="6"/>
  <c r="K98" i="6"/>
  <c r="K298" i="6"/>
  <c r="K316" i="6"/>
  <c r="K115" i="6"/>
  <c r="K193" i="6"/>
  <c r="K328" i="6"/>
  <c r="K121" i="6"/>
  <c r="L200" i="6"/>
  <c r="K337" i="6"/>
  <c r="J187" i="6"/>
  <c r="K65" i="6"/>
  <c r="K127" i="6"/>
  <c r="L206" i="6"/>
  <c r="K349" i="6"/>
  <c r="K69" i="6"/>
  <c r="J133" i="6"/>
  <c r="K214" i="6"/>
  <c r="L359" i="6"/>
  <c r="L74" i="6"/>
  <c r="K138" i="6"/>
  <c r="K223" i="6"/>
  <c r="K370" i="6"/>
  <c r="K79" i="6"/>
  <c r="K144" i="6"/>
  <c r="L233" i="6"/>
  <c r="L380" i="6"/>
  <c r="L65" i="6"/>
  <c r="L69" i="6"/>
  <c r="K75" i="6"/>
  <c r="K80" i="6"/>
  <c r="K84" i="6"/>
  <c r="K90" i="6"/>
  <c r="J94" i="6"/>
  <c r="L98" i="6"/>
  <c r="L104" i="6"/>
  <c r="L110" i="6"/>
  <c r="K116" i="6"/>
  <c r="K122" i="6"/>
  <c r="K128" i="6"/>
  <c r="K133" i="6"/>
  <c r="K139" i="6"/>
  <c r="K145" i="6"/>
  <c r="J151" i="6"/>
  <c r="K156" i="6"/>
  <c r="K162" i="6"/>
  <c r="J169" i="6"/>
  <c r="K175" i="6"/>
  <c r="K181" i="6"/>
  <c r="K187" i="6"/>
  <c r="K194" i="6"/>
  <c r="L201" i="6"/>
  <c r="L207" i="6"/>
  <c r="K215" i="6"/>
  <c r="K225" i="6"/>
  <c r="L236" i="6"/>
  <c r="K248" i="6"/>
  <c r="J258" i="6"/>
  <c r="J269" i="6"/>
  <c r="K280" i="6"/>
  <c r="L299" i="6"/>
  <c r="L317" i="6"/>
  <c r="J329" i="6"/>
  <c r="L338" i="6"/>
  <c r="L350" i="6"/>
  <c r="L371" i="6"/>
  <c r="K382" i="6"/>
  <c r="K66" i="6"/>
  <c r="K70" i="6"/>
  <c r="L75" i="6"/>
  <c r="L80" i="6"/>
  <c r="L84" i="6"/>
  <c r="L90" i="6"/>
  <c r="K94" i="6"/>
  <c r="L99" i="6"/>
  <c r="K105" i="6"/>
  <c r="K111" i="6"/>
  <c r="L116" i="6"/>
  <c r="L122" i="6"/>
  <c r="L128" i="6"/>
  <c r="K134" i="6"/>
  <c r="K140" i="6"/>
  <c r="K146" i="6"/>
  <c r="K151" i="6"/>
  <c r="K157" i="6"/>
  <c r="K163" i="6"/>
  <c r="K169" i="6"/>
  <c r="K176" i="6"/>
  <c r="K182" i="6"/>
  <c r="K188" i="6"/>
  <c r="L194" i="6"/>
  <c r="K202" i="6"/>
  <c r="L215" i="6"/>
  <c r="K226" i="6"/>
  <c r="K237" i="6"/>
  <c r="L248" i="6"/>
  <c r="K259" i="6"/>
  <c r="L269" i="6"/>
  <c r="L281" i="6"/>
  <c r="J301" i="6"/>
  <c r="K320" i="6"/>
  <c r="L329" i="6"/>
  <c r="L341" i="6"/>
  <c r="K352" i="6"/>
  <c r="K361" i="6"/>
  <c r="K373" i="6"/>
  <c r="J383" i="6"/>
  <c r="L66" i="6"/>
  <c r="K71" i="6"/>
  <c r="K77" i="6"/>
  <c r="J81" i="6"/>
  <c r="K85" i="6"/>
  <c r="K95" i="6"/>
  <c r="K107" i="6"/>
  <c r="K112" i="6"/>
  <c r="K117" i="6"/>
  <c r="K123" i="6"/>
  <c r="K129" i="6"/>
  <c r="L134" i="6"/>
  <c r="L140" i="6"/>
  <c r="L146" i="6"/>
  <c r="K152" i="6"/>
  <c r="K158" i="6"/>
  <c r="K164" i="6"/>
  <c r="K170" i="6"/>
  <c r="L176" i="6"/>
  <c r="L182" i="6"/>
  <c r="L188" i="6"/>
  <c r="K195" i="6"/>
  <c r="K203" i="6"/>
  <c r="K210" i="6"/>
  <c r="L216" i="6"/>
  <c r="J227" i="6"/>
  <c r="L239" i="6"/>
  <c r="L251" i="6"/>
  <c r="K262" i="6"/>
  <c r="K270" i="6"/>
  <c r="L287" i="6"/>
  <c r="K302" i="6"/>
  <c r="K331" i="6"/>
  <c r="K343" i="6"/>
  <c r="K353" i="6"/>
  <c r="K362" i="6"/>
  <c r="L374" i="6"/>
  <c r="L383" i="6"/>
  <c r="K62" i="6"/>
  <c r="K67" i="6"/>
  <c r="L71" i="6"/>
  <c r="L77" i="6"/>
  <c r="K81" i="6"/>
  <c r="L86" i="6"/>
  <c r="K91" i="6"/>
  <c r="L95" i="6"/>
  <c r="K101" i="6"/>
  <c r="L107" i="6"/>
  <c r="K113" i="6"/>
  <c r="K125" i="6"/>
  <c r="K130" i="6"/>
  <c r="K135" i="6"/>
  <c r="K141" i="6"/>
  <c r="K147" i="6"/>
  <c r="L152" i="6"/>
  <c r="L158" i="6"/>
  <c r="L164" i="6"/>
  <c r="L170" i="6"/>
  <c r="K177" i="6"/>
  <c r="K183" i="6"/>
  <c r="K189" i="6"/>
  <c r="K197" i="6"/>
  <c r="L203" i="6"/>
  <c r="L210" i="6"/>
  <c r="L227" i="6"/>
  <c r="K252" i="6"/>
  <c r="K263" i="6"/>
  <c r="L272" i="6"/>
  <c r="K292" i="6"/>
  <c r="L305" i="6"/>
  <c r="K322" i="6"/>
  <c r="L332" i="6"/>
  <c r="K344" i="6"/>
  <c r="L353" i="6"/>
  <c r="L362" i="6"/>
  <c r="K389" i="6"/>
  <c r="L62" i="6"/>
  <c r="J68" i="6"/>
  <c r="K72" i="6"/>
  <c r="L81" i="6"/>
  <c r="L87" i="6"/>
  <c r="K92" i="6"/>
  <c r="K96" i="6"/>
  <c r="L101" i="6"/>
  <c r="L113" i="6"/>
  <c r="K119" i="6"/>
  <c r="L125" i="6"/>
  <c r="K131" i="6"/>
  <c r="K143" i="6"/>
  <c r="K148" i="6"/>
  <c r="K153" i="6"/>
  <c r="K159" i="6"/>
  <c r="K165" i="6"/>
  <c r="K171" i="6"/>
  <c r="K179" i="6"/>
  <c r="K184" i="6"/>
  <c r="L197" i="6"/>
  <c r="K204" i="6"/>
  <c r="K212" i="6"/>
  <c r="L218" i="6"/>
  <c r="K230" i="6"/>
  <c r="K243" i="6"/>
  <c r="K254" i="6"/>
  <c r="L263" i="6"/>
  <c r="K273" i="6"/>
  <c r="L293" i="6"/>
  <c r="J308" i="6"/>
  <c r="L323" i="6"/>
  <c r="K334" i="6"/>
  <c r="L344" i="6"/>
  <c r="K355" i="6"/>
  <c r="L365" i="6"/>
  <c r="K376" i="6"/>
  <c r="L63" i="6"/>
  <c r="K68" i="6"/>
  <c r="L72" i="6"/>
  <c r="K78" i="6"/>
  <c r="K82" i="6"/>
  <c r="K88" i="6"/>
  <c r="L92" i="6"/>
  <c r="L96" i="6"/>
  <c r="K102" i="6"/>
  <c r="K108" i="6"/>
  <c r="K114" i="6"/>
  <c r="L119" i="6"/>
  <c r="L131" i="6"/>
  <c r="K137" i="6"/>
  <c r="L143" i="6"/>
  <c r="K149" i="6"/>
  <c r="K161" i="6"/>
  <c r="K166" i="6"/>
  <c r="L179" i="6"/>
  <c r="L185" i="6"/>
  <c r="K191" i="6"/>
  <c r="L204" i="6"/>
  <c r="L212" i="6"/>
  <c r="L219" i="6"/>
  <c r="L230" i="6"/>
  <c r="K245" i="6"/>
  <c r="L254" i="6"/>
  <c r="K265" i="6"/>
  <c r="J274" i="6"/>
  <c r="L311" i="6"/>
  <c r="K326" i="6"/>
  <c r="K335" i="6"/>
  <c r="K346" i="6"/>
  <c r="L356" i="6"/>
  <c r="K367" i="6"/>
  <c r="L377" i="6"/>
  <c r="K398" i="6"/>
  <c r="L68" i="6"/>
  <c r="K73" i="6"/>
  <c r="L78" i="6"/>
  <c r="K83" i="6"/>
  <c r="K89" i="6"/>
  <c r="K93" i="6"/>
  <c r="K97" i="6"/>
  <c r="K103" i="6"/>
  <c r="K109" i="6"/>
  <c r="J115" i="6"/>
  <c r="K120" i="6"/>
  <c r="K126" i="6"/>
  <c r="K132" i="6"/>
  <c r="L137" i="6"/>
  <c r="L149" i="6"/>
  <c r="K155" i="6"/>
  <c r="L161" i="6"/>
  <c r="L167" i="6"/>
  <c r="K173" i="6"/>
  <c r="K186" i="6"/>
  <c r="L191" i="6"/>
  <c r="K198" i="6"/>
  <c r="L213" i="6"/>
  <c r="K222" i="6"/>
  <c r="K231" i="6"/>
  <c r="L245" i="6"/>
  <c r="K256" i="6"/>
  <c r="L266" i="6"/>
  <c r="L275" i="6"/>
  <c r="K296" i="6"/>
  <c r="K314" i="6"/>
  <c r="L326" i="6"/>
  <c r="L335" i="6"/>
  <c r="L347" i="6"/>
  <c r="K358" i="6"/>
  <c r="L368" i="6"/>
  <c r="K380" i="6"/>
  <c r="K410" i="6"/>
  <c r="J65" i="6"/>
  <c r="J78" i="6"/>
  <c r="J91" i="6"/>
  <c r="J101" i="6"/>
  <c r="J108" i="6"/>
  <c r="J119" i="6"/>
  <c r="J126" i="6"/>
  <c r="J137" i="6"/>
  <c r="J144" i="6"/>
  <c r="J155" i="6"/>
  <c r="J162" i="6"/>
  <c r="J173" i="6"/>
  <c r="J180" i="6"/>
  <c r="J191" i="6"/>
  <c r="J198" i="6"/>
  <c r="J202" i="6"/>
  <c r="J206" i="6"/>
  <c r="J210" i="6"/>
  <c r="K227" i="6"/>
  <c r="K232" i="6"/>
  <c r="J237" i="6"/>
  <c r="J242" i="6"/>
  <c r="J248" i="6"/>
  <c r="K274" i="6"/>
  <c r="J281" i="6"/>
  <c r="J294" i="6"/>
  <c r="K308" i="6"/>
  <c r="J322" i="6"/>
  <c r="J353" i="6"/>
  <c r="J376" i="6"/>
  <c r="J397" i="6"/>
  <c r="J62" i="6"/>
  <c r="J75" i="6"/>
  <c r="J88" i="6"/>
  <c r="J98" i="6"/>
  <c r="J112" i="6"/>
  <c r="J130" i="6"/>
  <c r="J148" i="6"/>
  <c r="J166" i="6"/>
  <c r="J184" i="6"/>
  <c r="J214" i="6"/>
  <c r="J223" i="6"/>
  <c r="J243" i="6"/>
  <c r="J254" i="6"/>
  <c r="J259" i="6"/>
  <c r="J288" i="6"/>
  <c r="J302" i="6"/>
  <c r="J316" i="6"/>
  <c r="J338" i="6"/>
  <c r="J72" i="6"/>
  <c r="J85" i="6"/>
  <c r="J95" i="6"/>
  <c r="J105" i="6"/>
  <c r="J116" i="6"/>
  <c r="J123" i="6"/>
  <c r="J134" i="6"/>
  <c r="J141" i="6"/>
  <c r="J152" i="6"/>
  <c r="J159" i="6"/>
  <c r="J170" i="6"/>
  <c r="J177" i="6"/>
  <c r="J188" i="6"/>
  <c r="J195" i="6"/>
  <c r="J219" i="6"/>
  <c r="J233" i="6"/>
  <c r="J265" i="6"/>
  <c r="J270" i="6"/>
  <c r="J289" i="6"/>
  <c r="J296" i="6"/>
  <c r="J331" i="6"/>
  <c r="J362" i="6"/>
  <c r="J385" i="6"/>
  <c r="J69" i="6"/>
  <c r="J82" i="6"/>
  <c r="J92" i="6"/>
  <c r="J109" i="6"/>
  <c r="J127" i="6"/>
  <c r="J145" i="6"/>
  <c r="J163" i="6"/>
  <c r="J181" i="6"/>
  <c r="J199" i="6"/>
  <c r="J207" i="6"/>
  <c r="J238" i="6"/>
  <c r="J276" i="6"/>
  <c r="J282" i="6"/>
  <c r="J310" i="6"/>
  <c r="J317" i="6"/>
  <c r="J347" i="6"/>
  <c r="J66" i="6"/>
  <c r="J79" i="6"/>
  <c r="J89" i="6"/>
  <c r="J102" i="6"/>
  <c r="J113" i="6"/>
  <c r="J120" i="6"/>
  <c r="J131" i="6"/>
  <c r="J138" i="6"/>
  <c r="J149" i="6"/>
  <c r="J156" i="6"/>
  <c r="J167" i="6"/>
  <c r="J174" i="6"/>
  <c r="J185" i="6"/>
  <c r="J192" i="6"/>
  <c r="K199" i="6"/>
  <c r="K207" i="6"/>
  <c r="J211" i="6"/>
  <c r="J224" i="6"/>
  <c r="J229" i="6"/>
  <c r="K238" i="6"/>
  <c r="K244" i="6"/>
  <c r="J249" i="6"/>
  <c r="J255" i="6"/>
  <c r="J260" i="6"/>
  <c r="J266" i="6"/>
  <c r="J277" i="6"/>
  <c r="J290" i="6"/>
  <c r="J304" i="6"/>
  <c r="K310" i="6"/>
  <c r="J340" i="6"/>
  <c r="J371" i="6"/>
  <c r="K404" i="6"/>
  <c r="J63" i="6"/>
  <c r="J76" i="6"/>
  <c r="J86" i="6"/>
  <c r="J99" i="6"/>
  <c r="J106" i="6"/>
  <c r="J124" i="6"/>
  <c r="J142" i="6"/>
  <c r="J160" i="6"/>
  <c r="K167" i="6"/>
  <c r="K174" i="6"/>
  <c r="J178" i="6"/>
  <c r="K185" i="6"/>
  <c r="K192" i="6"/>
  <c r="J196" i="6"/>
  <c r="J200" i="6"/>
  <c r="K211" i="6"/>
  <c r="J220" i="6"/>
  <c r="K224" i="6"/>
  <c r="K229" i="6"/>
  <c r="J234" i="6"/>
  <c r="K250" i="6"/>
  <c r="K255" i="6"/>
  <c r="J261" i="6"/>
  <c r="K266" i="6"/>
  <c r="J272" i="6"/>
  <c r="K277" i="6"/>
  <c r="J284" i="6"/>
  <c r="K290" i="6"/>
  <c r="K304" i="6"/>
  <c r="K325" i="6"/>
  <c r="K340" i="6"/>
  <c r="J356" i="6"/>
  <c r="K364" i="6"/>
  <c r="K371" i="6"/>
  <c r="K379" i="6"/>
  <c r="J388" i="6"/>
  <c r="K407" i="6"/>
  <c r="K63" i="6"/>
  <c r="J73" i="6"/>
  <c r="K76" i="6"/>
  <c r="J83" i="6"/>
  <c r="K86" i="6"/>
  <c r="J96" i="6"/>
  <c r="K99" i="6"/>
  <c r="K106" i="6"/>
  <c r="J110" i="6"/>
  <c r="J117" i="6"/>
  <c r="K124" i="6"/>
  <c r="J128" i="6"/>
  <c r="J135" i="6"/>
  <c r="K142" i="6"/>
  <c r="J146" i="6"/>
  <c r="J153" i="6"/>
  <c r="K160" i="6"/>
  <c r="J164" i="6"/>
  <c r="J171" i="6"/>
  <c r="K178" i="6"/>
  <c r="J182" i="6"/>
  <c r="J189" i="6"/>
  <c r="K196" i="6"/>
  <c r="K200" i="6"/>
  <c r="J204" i="6"/>
  <c r="J212" i="6"/>
  <c r="K216" i="6"/>
  <c r="K220" i="6"/>
  <c r="J225" i="6"/>
  <c r="J230" i="6"/>
  <c r="K234" i="6"/>
  <c r="J245" i="6"/>
  <c r="K261" i="6"/>
  <c r="K272" i="6"/>
  <c r="K284" i="6"/>
  <c r="J298" i="6"/>
  <c r="J305" i="6"/>
  <c r="J318" i="6"/>
  <c r="J326" i="6"/>
  <c r="J349" i="6"/>
  <c r="J380" i="6"/>
  <c r="J70" i="6"/>
  <c r="J80" i="6"/>
  <c r="J93" i="6"/>
  <c r="J103" i="6"/>
  <c r="J121" i="6"/>
  <c r="J139" i="6"/>
  <c r="J157" i="6"/>
  <c r="J175" i="6"/>
  <c r="J193" i="6"/>
  <c r="J208" i="6"/>
  <c r="J240" i="6"/>
  <c r="J251" i="6"/>
  <c r="J256" i="6"/>
  <c r="J278" i="6"/>
  <c r="J292" i="6"/>
  <c r="J312" i="6"/>
  <c r="J365" i="6"/>
  <c r="J67" i="6"/>
  <c r="J77" i="6"/>
  <c r="J90" i="6"/>
  <c r="J107" i="6"/>
  <c r="J114" i="6"/>
  <c r="J125" i="6"/>
  <c r="J132" i="6"/>
  <c r="J143" i="6"/>
  <c r="J150" i="6"/>
  <c r="J161" i="6"/>
  <c r="J168" i="6"/>
  <c r="J179" i="6"/>
  <c r="J186" i="6"/>
  <c r="J197" i="6"/>
  <c r="J221" i="6"/>
  <c r="J235" i="6"/>
  <c r="J267" i="6"/>
  <c r="J273" i="6"/>
  <c r="J313" i="6"/>
  <c r="J320" i="6"/>
  <c r="J335" i="6"/>
  <c r="J451" i="6"/>
  <c r="J448" i="6"/>
  <c r="J445" i="6"/>
  <c r="J442" i="6"/>
  <c r="J439" i="6"/>
  <c r="J436" i="6"/>
  <c r="J433" i="6"/>
  <c r="J430" i="6"/>
  <c r="J427" i="6"/>
  <c r="J424" i="6"/>
  <c r="J421" i="6"/>
  <c r="J418" i="6"/>
  <c r="J415" i="6"/>
  <c r="J412" i="6"/>
  <c r="J409" i="6"/>
  <c r="J406" i="6"/>
  <c r="J403" i="6"/>
  <c r="J450" i="6"/>
  <c r="J447" i="6"/>
  <c r="J444" i="6"/>
  <c r="J441" i="6"/>
  <c r="J438" i="6"/>
  <c r="J435" i="6"/>
  <c r="J432" i="6"/>
  <c r="J429" i="6"/>
  <c r="J426" i="6"/>
  <c r="J423" i="6"/>
  <c r="J420" i="6"/>
  <c r="J417" i="6"/>
  <c r="J414" i="6"/>
  <c r="J411" i="6"/>
  <c r="J408" i="6"/>
  <c r="J405" i="6"/>
  <c r="J402" i="6"/>
  <c r="J399" i="6"/>
  <c r="J396" i="6"/>
  <c r="J393" i="6"/>
  <c r="J390" i="6"/>
  <c r="J387" i="6"/>
  <c r="J384" i="6"/>
  <c r="J381" i="6"/>
  <c r="J378" i="6"/>
  <c r="J375" i="6"/>
  <c r="J372" i="6"/>
  <c r="J369" i="6"/>
  <c r="J366" i="6"/>
  <c r="J363" i="6"/>
  <c r="J360" i="6"/>
  <c r="J357" i="6"/>
  <c r="J354" i="6"/>
  <c r="J351" i="6"/>
  <c r="J348" i="6"/>
  <c r="J345" i="6"/>
  <c r="J342" i="6"/>
  <c r="J339" i="6"/>
  <c r="J336" i="6"/>
  <c r="J333" i="6"/>
  <c r="J330" i="6"/>
  <c r="J327" i="6"/>
  <c r="J324" i="6"/>
  <c r="J449" i="6"/>
  <c r="J446" i="6"/>
  <c r="J443" i="6"/>
  <c r="J440" i="6"/>
  <c r="J437" i="6"/>
  <c r="J434" i="6"/>
  <c r="J431" i="6"/>
  <c r="J428" i="6"/>
  <c r="J425" i="6"/>
  <c r="J422" i="6"/>
  <c r="J419" i="6"/>
  <c r="J416" i="6"/>
  <c r="J413" i="6"/>
  <c r="J410" i="6"/>
  <c r="J407" i="6"/>
  <c r="J404" i="6"/>
  <c r="J401" i="6"/>
  <c r="J398" i="6"/>
  <c r="J395" i="6"/>
  <c r="J392" i="6"/>
  <c r="J389" i="6"/>
  <c r="J379" i="6"/>
  <c r="J370" i="6"/>
  <c r="J361" i="6"/>
  <c r="J352" i="6"/>
  <c r="J343" i="6"/>
  <c r="J334" i="6"/>
  <c r="J325" i="6"/>
  <c r="J262" i="6"/>
  <c r="J244" i="6"/>
  <c r="J226" i="6"/>
  <c r="J216" i="6"/>
  <c r="J203" i="6"/>
  <c r="J382" i="6"/>
  <c r="J373" i="6"/>
  <c r="J364" i="6"/>
  <c r="J355" i="6"/>
  <c r="J346" i="6"/>
  <c r="J337" i="6"/>
  <c r="J328" i="6"/>
  <c r="J315" i="6"/>
  <c r="J303" i="6"/>
  <c r="J291" i="6"/>
  <c r="J279" i="6"/>
  <c r="J268" i="6"/>
  <c r="J250" i="6"/>
  <c r="J232" i="6"/>
  <c r="J215" i="6"/>
  <c r="J205" i="6"/>
  <c r="J377" i="6"/>
  <c r="J368" i="6"/>
  <c r="J359" i="6"/>
  <c r="J350" i="6"/>
  <c r="J341" i="6"/>
  <c r="J332" i="6"/>
  <c r="J323" i="6"/>
  <c r="J319" i="6"/>
  <c r="J311" i="6"/>
  <c r="J307" i="6"/>
  <c r="J299" i="6"/>
  <c r="J295" i="6"/>
  <c r="J287" i="6"/>
  <c r="J283" i="6"/>
  <c r="J275" i="6"/>
  <c r="J264" i="6"/>
  <c r="J257" i="6"/>
  <c r="J246" i="6"/>
  <c r="J239" i="6"/>
  <c r="J228" i="6"/>
  <c r="J218" i="6"/>
  <c r="J386" i="6"/>
  <c r="J271" i="6"/>
  <c r="J253" i="6"/>
  <c r="J400" i="6"/>
  <c r="J321" i="6"/>
  <c r="J309" i="6"/>
  <c r="J297" i="6"/>
  <c r="J285" i="6"/>
  <c r="J64" i="6"/>
  <c r="J74" i="6"/>
  <c r="J87" i="6"/>
  <c r="J100" i="6"/>
  <c r="J118" i="6"/>
  <c r="J136" i="6"/>
  <c r="J154" i="6"/>
  <c r="J172" i="6"/>
  <c r="J190" i="6"/>
  <c r="J201" i="6"/>
  <c r="J209" i="6"/>
  <c r="J213" i="6"/>
  <c r="J217" i="6"/>
  <c r="J236" i="6"/>
  <c r="J241" i="6"/>
  <c r="J286" i="6"/>
  <c r="J293" i="6"/>
  <c r="J306" i="6"/>
  <c r="J374" i="6"/>
  <c r="J391" i="6"/>
  <c r="K451" i="6"/>
  <c r="K448" i="6"/>
  <c r="K445" i="6"/>
  <c r="K442" i="6"/>
  <c r="K439" i="6"/>
  <c r="K436" i="6"/>
  <c r="K433" i="6"/>
  <c r="K430" i="6"/>
  <c r="K427" i="6"/>
  <c r="K424" i="6"/>
  <c r="K421" i="6"/>
  <c r="K418" i="6"/>
  <c r="K415" i="6"/>
  <c r="K412" i="6"/>
  <c r="K409" i="6"/>
  <c r="K406" i="6"/>
  <c r="K403" i="6"/>
  <c r="K400" i="6"/>
  <c r="K397" i="6"/>
  <c r="K394" i="6"/>
  <c r="K391" i="6"/>
  <c r="K388" i="6"/>
  <c r="K385" i="6"/>
  <c r="K450" i="6"/>
  <c r="K447" i="6"/>
  <c r="K444" i="6"/>
  <c r="K441" i="6"/>
  <c r="K438" i="6"/>
  <c r="K435" i="6"/>
  <c r="K432" i="6"/>
  <c r="K429" i="6"/>
  <c r="K426" i="6"/>
  <c r="K423" i="6"/>
  <c r="K420" i="6"/>
  <c r="K417" i="6"/>
  <c r="K414" i="6"/>
  <c r="K411" i="6"/>
  <c r="K408" i="6"/>
  <c r="K405" i="6"/>
  <c r="K402" i="6"/>
  <c r="K399" i="6"/>
  <c r="K396" i="6"/>
  <c r="K393" i="6"/>
  <c r="K390" i="6"/>
  <c r="K387" i="6"/>
  <c r="K384" i="6"/>
  <c r="K381" i="6"/>
  <c r="K378" i="6"/>
  <c r="K375" i="6"/>
  <c r="K372" i="6"/>
  <c r="K369" i="6"/>
  <c r="K366" i="6"/>
  <c r="K363" i="6"/>
  <c r="K360" i="6"/>
  <c r="K357" i="6"/>
  <c r="K354" i="6"/>
  <c r="K351" i="6"/>
  <c r="K348" i="6"/>
  <c r="K345" i="6"/>
  <c r="K342" i="6"/>
  <c r="K339" i="6"/>
  <c r="K336" i="6"/>
  <c r="K333" i="6"/>
  <c r="K330" i="6"/>
  <c r="K327" i="6"/>
  <c r="K324" i="6"/>
  <c r="K321" i="6"/>
  <c r="K318" i="6"/>
  <c r="K315" i="6"/>
  <c r="K312" i="6"/>
  <c r="K309" i="6"/>
  <c r="K306" i="6"/>
  <c r="K303" i="6"/>
  <c r="K300" i="6"/>
  <c r="K297" i="6"/>
  <c r="K294" i="6"/>
  <c r="K291" i="6"/>
  <c r="K288" i="6"/>
  <c r="K285" i="6"/>
  <c r="K282" i="6"/>
  <c r="K279" i="6"/>
  <c r="K276" i="6"/>
  <c r="K449" i="6"/>
  <c r="K446" i="6"/>
  <c r="K443" i="6"/>
  <c r="K440" i="6"/>
  <c r="K437" i="6"/>
  <c r="K434" i="6"/>
  <c r="K431" i="6"/>
  <c r="K428" i="6"/>
  <c r="K425" i="6"/>
  <c r="K422" i="6"/>
  <c r="K383" i="6"/>
  <c r="K374" i="6"/>
  <c r="K365" i="6"/>
  <c r="K356" i="6"/>
  <c r="K347" i="6"/>
  <c r="K338" i="6"/>
  <c r="K329" i="6"/>
  <c r="K269" i="6"/>
  <c r="K258" i="6"/>
  <c r="K251" i="6"/>
  <c r="K240" i="6"/>
  <c r="K233" i="6"/>
  <c r="K219" i="6"/>
  <c r="K206" i="6"/>
  <c r="K395" i="6"/>
  <c r="K377" i="6"/>
  <c r="K368" i="6"/>
  <c r="K359" i="6"/>
  <c r="K350" i="6"/>
  <c r="K341" i="6"/>
  <c r="K332" i="6"/>
  <c r="K323" i="6"/>
  <c r="K319" i="6"/>
  <c r="K311" i="6"/>
  <c r="K307" i="6"/>
  <c r="K299" i="6"/>
  <c r="K295" i="6"/>
  <c r="K287" i="6"/>
  <c r="K283" i="6"/>
  <c r="K275" i="6"/>
  <c r="K264" i="6"/>
  <c r="K257" i="6"/>
  <c r="K246" i="6"/>
  <c r="K239" i="6"/>
  <c r="K228" i="6"/>
  <c r="K218" i="6"/>
  <c r="K208" i="6"/>
  <c r="K413" i="6"/>
  <c r="K401" i="6"/>
  <c r="K386" i="6"/>
  <c r="K271" i="6"/>
  <c r="K253" i="6"/>
  <c r="K235" i="6"/>
  <c r="K221" i="6"/>
  <c r="K392" i="6"/>
  <c r="K267" i="6"/>
  <c r="K260" i="6"/>
  <c r="K249" i="6"/>
  <c r="K242" i="6"/>
  <c r="K317" i="6"/>
  <c r="K313" i="6"/>
  <c r="K305" i="6"/>
  <c r="K301" i="6"/>
  <c r="K293" i="6"/>
  <c r="K289" i="6"/>
  <c r="K281" i="6"/>
  <c r="K64" i="6"/>
  <c r="J71" i="6"/>
  <c r="K74" i="6"/>
  <c r="J84" i="6"/>
  <c r="K87" i="6"/>
  <c r="J97" i="6"/>
  <c r="K100" i="6"/>
  <c r="J104" i="6"/>
  <c r="J111" i="6"/>
  <c r="K118" i="6"/>
  <c r="J122" i="6"/>
  <c r="J129" i="6"/>
  <c r="K136" i="6"/>
  <c r="J140" i="6"/>
  <c r="J147" i="6"/>
  <c r="K154" i="6"/>
  <c r="J158" i="6"/>
  <c r="J165" i="6"/>
  <c r="K172" i="6"/>
  <c r="J176" i="6"/>
  <c r="J183" i="6"/>
  <c r="K190" i="6"/>
  <c r="J194" i="6"/>
  <c r="K201" i="6"/>
  <c r="K205" i="6"/>
  <c r="K209" i="6"/>
  <c r="K213" i="6"/>
  <c r="K217" i="6"/>
  <c r="J222" i="6"/>
  <c r="J231" i="6"/>
  <c r="K236" i="6"/>
  <c r="K241" i="6"/>
  <c r="J247" i="6"/>
  <c r="J252" i="6"/>
  <c r="J263" i="6"/>
  <c r="J280" i="6"/>
  <c r="K286" i="6"/>
  <c r="J300" i="6"/>
  <c r="J314" i="6"/>
  <c r="J344" i="6"/>
  <c r="J367" i="6"/>
  <c r="J394" i="6"/>
  <c r="K419" i="6"/>
  <c r="L389" i="6"/>
  <c r="L278" i="6"/>
  <c r="L290" i="6"/>
  <c r="L302" i="6"/>
  <c r="L314" i="6"/>
  <c r="L224" i="6"/>
  <c r="L242" i="6"/>
  <c r="L260" i="6"/>
  <c r="L392" i="6"/>
  <c r="L102" i="6"/>
  <c r="L105" i="6"/>
  <c r="L108" i="6"/>
  <c r="L111" i="6"/>
  <c r="L114" i="6"/>
  <c r="L117" i="6"/>
  <c r="L120" i="6"/>
  <c r="L123" i="6"/>
  <c r="L126" i="6"/>
  <c r="L129" i="6"/>
  <c r="L132" i="6"/>
  <c r="L135" i="6"/>
  <c r="L138" i="6"/>
  <c r="L141" i="6"/>
  <c r="L144" i="6"/>
  <c r="L147" i="6"/>
  <c r="L150" i="6"/>
  <c r="L153" i="6"/>
  <c r="L156" i="6"/>
  <c r="L159" i="6"/>
  <c r="L162" i="6"/>
  <c r="L165" i="6"/>
  <c r="L168" i="6"/>
  <c r="L171" i="6"/>
  <c r="L174" i="6"/>
  <c r="L177" i="6"/>
  <c r="L180" i="6"/>
  <c r="L183" i="6"/>
  <c r="L186" i="6"/>
  <c r="L189" i="6"/>
  <c r="L192" i="6"/>
  <c r="L195" i="6"/>
  <c r="L198" i="6"/>
  <c r="L221" i="6"/>
  <c r="L451" i="6"/>
  <c r="L448" i="6"/>
  <c r="L445" i="6"/>
  <c r="L442" i="6"/>
  <c r="L439" i="6"/>
  <c r="L436" i="6"/>
  <c r="L433" i="6"/>
  <c r="L430" i="6"/>
  <c r="L427" i="6"/>
  <c r="L424" i="6"/>
  <c r="L421" i="6"/>
  <c r="L418" i="6"/>
  <c r="L415" i="6"/>
  <c r="L412" i="6"/>
  <c r="L409" i="6"/>
  <c r="L406" i="6"/>
  <c r="L403" i="6"/>
  <c r="L400" i="6"/>
  <c r="L397" i="6"/>
  <c r="L394" i="6"/>
  <c r="L391" i="6"/>
  <c r="L388" i="6"/>
  <c r="L385" i="6"/>
  <c r="L382" i="6"/>
  <c r="L379" i="6"/>
  <c r="L376" i="6"/>
  <c r="L373" i="6"/>
  <c r="L370" i="6"/>
  <c r="L367" i="6"/>
  <c r="L364" i="6"/>
  <c r="L361" i="6"/>
  <c r="L358" i="6"/>
  <c r="L355" i="6"/>
  <c r="L352" i="6"/>
  <c r="L349" i="6"/>
  <c r="L346" i="6"/>
  <c r="L343" i="6"/>
  <c r="L340" i="6"/>
  <c r="L337" i="6"/>
  <c r="L334" i="6"/>
  <c r="L331" i="6"/>
  <c r="L328" i="6"/>
  <c r="L325" i="6"/>
  <c r="L322" i="6"/>
  <c r="L319" i="6"/>
  <c r="L316" i="6"/>
  <c r="L313" i="6"/>
  <c r="L310" i="6"/>
  <c r="L307" i="6"/>
  <c r="L304" i="6"/>
  <c r="L301" i="6"/>
  <c r="L298" i="6"/>
  <c r="L295" i="6"/>
  <c r="L292" i="6"/>
  <c r="L289" i="6"/>
  <c r="L286" i="6"/>
  <c r="L283" i="6"/>
  <c r="L280" i="6"/>
  <c r="L277" i="6"/>
  <c r="L274" i="6"/>
  <c r="L271" i="6"/>
  <c r="L268" i="6"/>
  <c r="L265" i="6"/>
  <c r="L262" i="6"/>
  <c r="L259" i="6"/>
  <c r="L256" i="6"/>
  <c r="L253" i="6"/>
  <c r="L250" i="6"/>
  <c r="L247" i="6"/>
  <c r="L244" i="6"/>
  <c r="L241" i="6"/>
  <c r="L238" i="6"/>
  <c r="L235" i="6"/>
  <c r="L232" i="6"/>
  <c r="L229" i="6"/>
  <c r="L226" i="6"/>
  <c r="L223" i="6"/>
  <c r="L220" i="6"/>
  <c r="L217" i="6"/>
  <c r="L214" i="6"/>
  <c r="L211" i="6"/>
  <c r="L208" i="6"/>
  <c r="L205" i="6"/>
  <c r="L202" i="6"/>
  <c r="L199" i="6"/>
  <c r="L450" i="6"/>
  <c r="L447" i="6"/>
  <c r="L444" i="6"/>
  <c r="L441" i="6"/>
  <c r="L438" i="6"/>
  <c r="L435" i="6"/>
  <c r="L432" i="6"/>
  <c r="L429" i="6"/>
  <c r="L426" i="6"/>
  <c r="L423" i="6"/>
  <c r="L420" i="6"/>
  <c r="L417" i="6"/>
  <c r="L414" i="6"/>
  <c r="L411" i="6"/>
  <c r="L408" i="6"/>
  <c r="L405" i="6"/>
  <c r="L402" i="6"/>
  <c r="L399" i="6"/>
  <c r="L396" i="6"/>
  <c r="L393" i="6"/>
  <c r="L390" i="6"/>
  <c r="L387" i="6"/>
  <c r="L384" i="6"/>
  <c r="L381" i="6"/>
  <c r="L378" i="6"/>
  <c r="L375" i="6"/>
  <c r="L372" i="6"/>
  <c r="L369" i="6"/>
  <c r="L366" i="6"/>
  <c r="L363" i="6"/>
  <c r="L360" i="6"/>
  <c r="L357" i="6"/>
  <c r="L354" i="6"/>
  <c r="L351" i="6"/>
  <c r="L348" i="6"/>
  <c r="L345" i="6"/>
  <c r="L342" i="6"/>
  <c r="L339" i="6"/>
  <c r="L336" i="6"/>
  <c r="L333" i="6"/>
  <c r="L330" i="6"/>
  <c r="L327" i="6"/>
  <c r="L324" i="6"/>
  <c r="L321" i="6"/>
  <c r="L318" i="6"/>
  <c r="L315" i="6"/>
  <c r="L312" i="6"/>
  <c r="L309" i="6"/>
  <c r="L306" i="6"/>
  <c r="L303" i="6"/>
  <c r="L300" i="6"/>
  <c r="L297" i="6"/>
  <c r="L294" i="6"/>
  <c r="L291" i="6"/>
  <c r="L288" i="6"/>
  <c r="L285" i="6"/>
  <c r="L282" i="6"/>
  <c r="L279" i="6"/>
  <c r="L276" i="6"/>
  <c r="L273" i="6"/>
  <c r="L270" i="6"/>
  <c r="L267" i="6"/>
  <c r="L264" i="6"/>
  <c r="L261" i="6"/>
  <c r="L258" i="6"/>
  <c r="L255" i="6"/>
  <c r="L252" i="6"/>
  <c r="L249" i="6"/>
  <c r="L246" i="6"/>
  <c r="L243" i="6"/>
  <c r="L240" i="6"/>
  <c r="L237" i="6"/>
  <c r="L234" i="6"/>
  <c r="L231" i="6"/>
  <c r="L228" i="6"/>
  <c r="L225" i="6"/>
  <c r="L449" i="6"/>
  <c r="L446" i="6"/>
  <c r="L443" i="6"/>
  <c r="L440" i="6"/>
  <c r="L437" i="6"/>
  <c r="L434" i="6"/>
  <c r="L431" i="6"/>
  <c r="L428" i="6"/>
  <c r="L425" i="6"/>
  <c r="L422" i="6"/>
  <c r="L419" i="6"/>
  <c r="L416" i="6"/>
  <c r="L413" i="6"/>
  <c r="L410" i="6"/>
  <c r="L407" i="6"/>
  <c r="L404" i="6"/>
  <c r="L401" i="6"/>
  <c r="L398" i="6"/>
  <c r="L395" i="6"/>
  <c r="L64" i="6"/>
  <c r="L67" i="6"/>
  <c r="L70" i="6"/>
  <c r="L73" i="6"/>
  <c r="L76" i="6"/>
  <c r="L79" i="6"/>
  <c r="L82" i="6"/>
  <c r="L85" i="6"/>
  <c r="L88" i="6"/>
  <c r="L91" i="6"/>
  <c r="L94" i="6"/>
  <c r="L97" i="6"/>
  <c r="L100" i="6"/>
  <c r="L103" i="6"/>
  <c r="L106" i="6"/>
  <c r="L109" i="6"/>
  <c r="L112" i="6"/>
  <c r="L115" i="6"/>
  <c r="L118" i="6"/>
  <c r="L121" i="6"/>
  <c r="L124" i="6"/>
  <c r="L127" i="6"/>
  <c r="L130" i="6"/>
  <c r="L133" i="6"/>
  <c r="L136" i="6"/>
  <c r="L139" i="6"/>
  <c r="L142" i="6"/>
  <c r="L145" i="6"/>
  <c r="L148" i="6"/>
  <c r="L151" i="6"/>
  <c r="L154" i="6"/>
  <c r="L157" i="6"/>
  <c r="L160" i="6"/>
  <c r="L163" i="6"/>
  <c r="L166" i="6"/>
  <c r="L169" i="6"/>
  <c r="L172" i="6"/>
  <c r="L175" i="6"/>
  <c r="L178" i="6"/>
  <c r="L181" i="6"/>
  <c r="L184" i="6"/>
  <c r="L187" i="6"/>
  <c r="L190" i="6"/>
  <c r="L193" i="6"/>
  <c r="L196" i="6"/>
  <c r="L209" i="6"/>
  <c r="L222" i="6"/>
  <c r="L284" i="6"/>
  <c r="L296" i="6"/>
  <c r="L308" i="6"/>
  <c r="L320" i="6"/>
  <c r="E18" i="12" l="1"/>
  <c r="H18" i="12" s="1"/>
  <c r="O17" i="15"/>
  <c r="D18" i="15" s="1"/>
  <c r="K17" i="17"/>
  <c r="M17" i="17" s="1"/>
  <c r="O17" i="17"/>
  <c r="D18" i="17" s="1"/>
  <c r="F22" i="17"/>
  <c r="L23" i="17"/>
  <c r="C24" i="17"/>
  <c r="B145" i="17"/>
  <c r="R144" i="17"/>
  <c r="T144" i="17" s="1"/>
  <c r="E18" i="15"/>
  <c r="G18" i="15"/>
  <c r="B143" i="15"/>
  <c r="R142" i="15"/>
  <c r="T142" i="15" s="1"/>
  <c r="S141" i="15"/>
  <c r="C22" i="15"/>
  <c r="L21" i="15"/>
  <c r="E18" i="14"/>
  <c r="G18" i="14"/>
  <c r="B144" i="14"/>
  <c r="R143" i="14"/>
  <c r="T143" i="14" s="1"/>
  <c r="K17" i="14"/>
  <c r="M17" i="14" s="1"/>
  <c r="S142" i="14"/>
  <c r="L22" i="14"/>
  <c r="C23" i="14"/>
  <c r="I18" i="12"/>
  <c r="J18" i="12" s="1"/>
  <c r="F22" i="12"/>
  <c r="C24" i="12"/>
  <c r="L23" i="12"/>
  <c r="B145" i="12"/>
  <c r="R144" i="12"/>
  <c r="T144" i="12" s="1"/>
  <c r="S143" i="12"/>
  <c r="J3" i="1"/>
  <c r="L24" i="17" l="1"/>
  <c r="C25" i="17"/>
  <c r="F23" i="17"/>
  <c r="B146" i="17"/>
  <c r="R145" i="17"/>
  <c r="T145" i="17" s="1"/>
  <c r="S144" i="17"/>
  <c r="S145" i="17"/>
  <c r="E18" i="17"/>
  <c r="G18" i="17"/>
  <c r="H18" i="17" s="1"/>
  <c r="H18" i="15"/>
  <c r="H18" i="14"/>
  <c r="I18" i="14" s="1"/>
  <c r="B144" i="15"/>
  <c r="R143" i="15"/>
  <c r="T143" i="15" s="1"/>
  <c r="S142" i="15"/>
  <c r="C23" i="15"/>
  <c r="L22" i="15"/>
  <c r="B145" i="14"/>
  <c r="R144" i="14"/>
  <c r="T144" i="14" s="1"/>
  <c r="S143" i="14"/>
  <c r="C24" i="14"/>
  <c r="L23" i="14"/>
  <c r="S144" i="14"/>
  <c r="F23" i="12"/>
  <c r="S144" i="12"/>
  <c r="B146" i="12"/>
  <c r="R145" i="12"/>
  <c r="T145" i="12" s="1"/>
  <c r="O18" i="12"/>
  <c r="D19" i="12" s="1"/>
  <c r="K18" i="12"/>
  <c r="M18" i="12" s="1"/>
  <c r="C25" i="12"/>
  <c r="L24" i="12"/>
  <c r="C14" i="1"/>
  <c r="F17" i="1" s="1"/>
  <c r="R17" i="1"/>
  <c r="T17" i="1" l="1"/>
  <c r="S17" i="1"/>
  <c r="J18" i="17"/>
  <c r="B147" i="17"/>
  <c r="R146" i="17"/>
  <c r="T146" i="17" s="1"/>
  <c r="F24" i="17"/>
  <c r="C26" i="17"/>
  <c r="L25" i="17"/>
  <c r="J18" i="14"/>
  <c r="O18" i="14" s="1"/>
  <c r="D19" i="14" s="1"/>
  <c r="E19" i="14" s="1"/>
  <c r="B145" i="15"/>
  <c r="R144" i="15"/>
  <c r="L23" i="15"/>
  <c r="C24" i="15"/>
  <c r="S143" i="15"/>
  <c r="B146" i="14"/>
  <c r="R145" i="14"/>
  <c r="T145" i="14" s="1"/>
  <c r="L24" i="14"/>
  <c r="C25" i="14"/>
  <c r="R146" i="12"/>
  <c r="T146" i="12" s="1"/>
  <c r="B147" i="12"/>
  <c r="F24" i="12"/>
  <c r="S146" i="12"/>
  <c r="S145" i="12"/>
  <c r="C26" i="12"/>
  <c r="L25" i="12"/>
  <c r="E19" i="12"/>
  <c r="G19" i="12"/>
  <c r="F18" i="1"/>
  <c r="F19" i="1" s="1"/>
  <c r="J7" i="1"/>
  <c r="S144" i="15" l="1"/>
  <c r="T144" i="15"/>
  <c r="C27" i="17"/>
  <c r="L26" i="17"/>
  <c r="O18" i="17"/>
  <c r="D19" i="17" s="1"/>
  <c r="K18" i="17"/>
  <c r="M18" i="17" s="1"/>
  <c r="S146" i="17"/>
  <c r="B148" i="17"/>
  <c r="R147" i="17"/>
  <c r="F25" i="17"/>
  <c r="J18" i="15"/>
  <c r="K18" i="15" s="1"/>
  <c r="M18" i="15" s="1"/>
  <c r="G19" i="14"/>
  <c r="H19" i="14" s="1"/>
  <c r="I19" i="14" s="1"/>
  <c r="K18" i="14"/>
  <c r="M18" i="14" s="1"/>
  <c r="B146" i="15"/>
  <c r="R145" i="15"/>
  <c r="T145" i="15" s="1"/>
  <c r="L24" i="15"/>
  <c r="C25" i="15"/>
  <c r="C26" i="14"/>
  <c r="L25" i="14"/>
  <c r="S145" i="14"/>
  <c r="B147" i="14"/>
  <c r="R146" i="14"/>
  <c r="B148" i="12"/>
  <c r="R147" i="12"/>
  <c r="T147" i="12" s="1"/>
  <c r="H19" i="12"/>
  <c r="L26" i="12"/>
  <c r="C27" i="12"/>
  <c r="F25" i="12"/>
  <c r="F20" i="1"/>
  <c r="F21" i="1" s="1"/>
  <c r="F22" i="1" s="1"/>
  <c r="F23" i="1" s="1"/>
  <c r="F24" i="1" s="1"/>
  <c r="F25" i="1" s="1"/>
  <c r="F26" i="1" s="1"/>
  <c r="F27" i="1" s="1"/>
  <c r="F28" i="1" s="1"/>
  <c r="F29" i="1" s="1"/>
  <c r="F30" i="1" s="1"/>
  <c r="F31" i="1" s="1"/>
  <c r="F32" i="1" s="1"/>
  <c r="F33" i="1" s="1"/>
  <c r="F34" i="1" s="1"/>
  <c r="F35" i="1" s="1"/>
  <c r="F36" i="1" s="1"/>
  <c r="F37" i="1" s="1"/>
  <c r="F38" i="1" s="1"/>
  <c r="F39" i="1" s="1"/>
  <c r="F40" i="1" s="1"/>
  <c r="F41" i="1" s="1"/>
  <c r="F42" i="1" s="1"/>
  <c r="F43" i="1" s="1"/>
  <c r="F44" i="1" s="1"/>
  <c r="F45" i="1" s="1"/>
  <c r="F46" i="1" s="1"/>
  <c r="F47" i="1" s="1"/>
  <c r="F48" i="1" s="1"/>
  <c r="F49" i="1" s="1"/>
  <c r="F50" i="1" s="1"/>
  <c r="F51" i="1" s="1"/>
  <c r="F52" i="1" s="1"/>
  <c r="F53" i="1" s="1"/>
  <c r="F54" i="1" s="1"/>
  <c r="F55" i="1" s="1"/>
  <c r="F56" i="1" s="1"/>
  <c r="F57" i="1" s="1"/>
  <c r="F58" i="1" s="1"/>
  <c r="F59" i="1" s="1"/>
  <c r="F60" i="1" s="1"/>
  <c r="F61" i="1" s="1"/>
  <c r="F62" i="1" s="1"/>
  <c r="F63" i="1" s="1"/>
  <c r="F64" i="1" s="1"/>
  <c r="F65" i="1" s="1"/>
  <c r="F66" i="1" s="1"/>
  <c r="F67" i="1" s="1"/>
  <c r="F68" i="1" s="1"/>
  <c r="F69" i="1" s="1"/>
  <c r="F70" i="1" s="1"/>
  <c r="F71" i="1" s="1"/>
  <c r="F72" i="1" s="1"/>
  <c r="F73" i="1" s="1"/>
  <c r="F74" i="1" s="1"/>
  <c r="F75" i="1" s="1"/>
  <c r="F76" i="1" s="1"/>
  <c r="F77" i="1" s="1"/>
  <c r="F78" i="1" s="1"/>
  <c r="F79" i="1" s="1"/>
  <c r="F80" i="1" s="1"/>
  <c r="F81" i="1" s="1"/>
  <c r="F82" i="1" s="1"/>
  <c r="F83" i="1" s="1"/>
  <c r="F84" i="1" s="1"/>
  <c r="F85" i="1" s="1"/>
  <c r="F86" i="1" s="1"/>
  <c r="F87" i="1" s="1"/>
  <c r="F88" i="1" s="1"/>
  <c r="F89" i="1" s="1"/>
  <c r="F90" i="1" s="1"/>
  <c r="F91" i="1" s="1"/>
  <c r="F92" i="1" s="1"/>
  <c r="F93" i="1" s="1"/>
  <c r="F94" i="1" s="1"/>
  <c r="F95" i="1" s="1"/>
  <c r="F96" i="1" s="1"/>
  <c r="F97" i="1" s="1"/>
  <c r="F98" i="1" s="1"/>
  <c r="F99" i="1" s="1"/>
  <c r="F100" i="1" s="1"/>
  <c r="F101" i="1" s="1"/>
  <c r="F102" i="1" s="1"/>
  <c r="F103" i="1" s="1"/>
  <c r="F104" i="1" s="1"/>
  <c r="F105" i="1" s="1"/>
  <c r="F106" i="1" s="1"/>
  <c r="F107" i="1" s="1"/>
  <c r="F108" i="1" s="1"/>
  <c r="F109" i="1" s="1"/>
  <c r="F110" i="1" s="1"/>
  <c r="F111" i="1" s="1"/>
  <c r="F112" i="1" s="1"/>
  <c r="F113" i="1" s="1"/>
  <c r="F114" i="1" s="1"/>
  <c r="F115" i="1" s="1"/>
  <c r="F116" i="1" s="1"/>
  <c r="F117" i="1" s="1"/>
  <c r="F118" i="1" s="1"/>
  <c r="F119" i="1" s="1"/>
  <c r="F120" i="1" s="1"/>
  <c r="F121" i="1" s="1"/>
  <c r="F122" i="1" s="1"/>
  <c r="F123" i="1" s="1"/>
  <c r="F124" i="1" s="1"/>
  <c r="F125" i="1" s="1"/>
  <c r="F126" i="1" s="1"/>
  <c r="F127" i="1" s="1"/>
  <c r="F128" i="1" s="1"/>
  <c r="F129" i="1" s="1"/>
  <c r="F130" i="1" s="1"/>
  <c r="F131" i="1" s="1"/>
  <c r="F132" i="1" s="1"/>
  <c r="F133" i="1" s="1"/>
  <c r="F134" i="1" s="1"/>
  <c r="F135" i="1" s="1"/>
  <c r="F136" i="1" s="1"/>
  <c r="F137" i="1" s="1"/>
  <c r="F138" i="1" s="1"/>
  <c r="F139" i="1" s="1"/>
  <c r="F140" i="1" s="1"/>
  <c r="F141" i="1" s="1"/>
  <c r="F142" i="1" s="1"/>
  <c r="F143" i="1" s="1"/>
  <c r="F144" i="1" s="1"/>
  <c r="F145" i="1" s="1"/>
  <c r="F146" i="1" s="1"/>
  <c r="F147" i="1" s="1"/>
  <c r="F148" i="1" s="1"/>
  <c r="F149" i="1" s="1"/>
  <c r="F150" i="1" s="1"/>
  <c r="F151" i="1" s="1"/>
  <c r="F152" i="1" s="1"/>
  <c r="F153" i="1" s="1"/>
  <c r="F154" i="1" s="1"/>
  <c r="F155" i="1" s="1"/>
  <c r="F156" i="1" s="1"/>
  <c r="F157" i="1" s="1"/>
  <c r="F158" i="1" s="1"/>
  <c r="F159" i="1" s="1"/>
  <c r="F160" i="1" s="1"/>
  <c r="F161" i="1" s="1"/>
  <c r="F162" i="1" s="1"/>
  <c r="F163" i="1" s="1"/>
  <c r="F164" i="1" s="1"/>
  <c r="F165" i="1" s="1"/>
  <c r="F166" i="1" s="1"/>
  <c r="F167" i="1" s="1"/>
  <c r="F168" i="1" s="1"/>
  <c r="F169" i="1" s="1"/>
  <c r="F170" i="1" s="1"/>
  <c r="F171" i="1" s="1"/>
  <c r="F172" i="1" s="1"/>
  <c r="F173" i="1" s="1"/>
  <c r="F174" i="1" s="1"/>
  <c r="F175" i="1" s="1"/>
  <c r="F176" i="1" s="1"/>
  <c r="F177" i="1" s="1"/>
  <c r="F178" i="1" s="1"/>
  <c r="F179" i="1" s="1"/>
  <c r="F180" i="1" s="1"/>
  <c r="F181" i="1" s="1"/>
  <c r="F182" i="1" s="1"/>
  <c r="F183" i="1" s="1"/>
  <c r="F184" i="1" s="1"/>
  <c r="F185" i="1" s="1"/>
  <c r="F186" i="1" s="1"/>
  <c r="F187" i="1" s="1"/>
  <c r="F188" i="1" s="1"/>
  <c r="F189" i="1" s="1"/>
  <c r="F190" i="1" s="1"/>
  <c r="F191" i="1" s="1"/>
  <c r="F192" i="1" s="1"/>
  <c r="F193" i="1" s="1"/>
  <c r="F194" i="1" s="1"/>
  <c r="F195" i="1" s="1"/>
  <c r="F196" i="1" s="1"/>
  <c r="F197" i="1" s="1"/>
  <c r="F198" i="1" s="1"/>
  <c r="F199" i="1" s="1"/>
  <c r="F200" i="1" s="1"/>
  <c r="F201" i="1" s="1"/>
  <c r="F202" i="1" s="1"/>
  <c r="F203" i="1" s="1"/>
  <c r="F204" i="1" s="1"/>
  <c r="F205" i="1" s="1"/>
  <c r="F206" i="1" s="1"/>
  <c r="F207" i="1" s="1"/>
  <c r="F208" i="1" s="1"/>
  <c r="F209" i="1" s="1"/>
  <c r="F210" i="1" s="1"/>
  <c r="F211" i="1" s="1"/>
  <c r="F212" i="1" s="1"/>
  <c r="F213" i="1" s="1"/>
  <c r="F214" i="1" s="1"/>
  <c r="F215" i="1" s="1"/>
  <c r="F216" i="1" s="1"/>
  <c r="F217" i="1" s="1"/>
  <c r="F218" i="1" s="1"/>
  <c r="F219" i="1" s="1"/>
  <c r="F220" i="1" s="1"/>
  <c r="F221" i="1" s="1"/>
  <c r="F222" i="1" s="1"/>
  <c r="F223" i="1" s="1"/>
  <c r="F224" i="1" s="1"/>
  <c r="F225" i="1" s="1"/>
  <c r="F226" i="1" s="1"/>
  <c r="F227" i="1" s="1"/>
  <c r="F228" i="1" s="1"/>
  <c r="F229" i="1" s="1"/>
  <c r="F230" i="1" s="1"/>
  <c r="F231" i="1" s="1"/>
  <c r="F232" i="1" s="1"/>
  <c r="F233" i="1" s="1"/>
  <c r="F234" i="1" s="1"/>
  <c r="F235" i="1" s="1"/>
  <c r="F236" i="1" s="1"/>
  <c r="F237" i="1" s="1"/>
  <c r="F238" i="1" s="1"/>
  <c r="F239" i="1" s="1"/>
  <c r="F240" i="1" s="1"/>
  <c r="F241" i="1" s="1"/>
  <c r="F242" i="1" s="1"/>
  <c r="F243" i="1" s="1"/>
  <c r="F244" i="1" s="1"/>
  <c r="F245" i="1" s="1"/>
  <c r="F246" i="1" s="1"/>
  <c r="F247" i="1" s="1"/>
  <c r="F248" i="1" s="1"/>
  <c r="F249" i="1" s="1"/>
  <c r="F250" i="1" s="1"/>
  <c r="F251" i="1" s="1"/>
  <c r="F252" i="1" s="1"/>
  <c r="F253" i="1" s="1"/>
  <c r="F254" i="1" s="1"/>
  <c r="F255" i="1" s="1"/>
  <c r="F256" i="1" s="1"/>
  <c r="F257" i="1" s="1"/>
  <c r="F258" i="1" s="1"/>
  <c r="F259" i="1" s="1"/>
  <c r="F260" i="1" s="1"/>
  <c r="F261" i="1" s="1"/>
  <c r="F262" i="1" s="1"/>
  <c r="F263" i="1" s="1"/>
  <c r="F264" i="1" s="1"/>
  <c r="F265" i="1" s="1"/>
  <c r="F266" i="1" s="1"/>
  <c r="F267" i="1" s="1"/>
  <c r="F268" i="1" s="1"/>
  <c r="F269" i="1" s="1"/>
  <c r="F270" i="1" s="1"/>
  <c r="F271" i="1" s="1"/>
  <c r="F272" i="1" s="1"/>
  <c r="F273" i="1" s="1"/>
  <c r="F274" i="1" s="1"/>
  <c r="F275" i="1" s="1"/>
  <c r="F276" i="1" s="1"/>
  <c r="F277" i="1" s="1"/>
  <c r="F278" i="1" s="1"/>
  <c r="F279" i="1" s="1"/>
  <c r="F280" i="1" s="1"/>
  <c r="F281" i="1" s="1"/>
  <c r="F282" i="1" s="1"/>
  <c r="F283" i="1" s="1"/>
  <c r="F284" i="1" s="1"/>
  <c r="F285" i="1" s="1"/>
  <c r="F286" i="1" s="1"/>
  <c r="F287" i="1" s="1"/>
  <c r="F288" i="1" s="1"/>
  <c r="F289" i="1" s="1"/>
  <c r="F290" i="1" s="1"/>
  <c r="F291" i="1" s="1"/>
  <c r="F292" i="1" s="1"/>
  <c r="F293" i="1" s="1"/>
  <c r="F294" i="1" s="1"/>
  <c r="F295" i="1" s="1"/>
  <c r="F296" i="1" s="1"/>
  <c r="F297" i="1" s="1"/>
  <c r="F298" i="1" s="1"/>
  <c r="F299" i="1" s="1"/>
  <c r="F300" i="1" s="1"/>
  <c r="F301" i="1" s="1"/>
  <c r="F302" i="1" s="1"/>
  <c r="F303" i="1" s="1"/>
  <c r="F304" i="1" s="1"/>
  <c r="F305" i="1" s="1"/>
  <c r="F306" i="1" s="1"/>
  <c r="F307" i="1" s="1"/>
  <c r="F308" i="1" s="1"/>
  <c r="F309" i="1" s="1"/>
  <c r="F310" i="1" s="1"/>
  <c r="F311" i="1" s="1"/>
  <c r="F312" i="1" s="1"/>
  <c r="F313" i="1" s="1"/>
  <c r="F314" i="1" s="1"/>
  <c r="F315" i="1" s="1"/>
  <c r="F316" i="1" s="1"/>
  <c r="F317" i="1" s="1"/>
  <c r="F318" i="1" s="1"/>
  <c r="F319" i="1" s="1"/>
  <c r="F320" i="1" s="1"/>
  <c r="F321" i="1" s="1"/>
  <c r="F322" i="1" s="1"/>
  <c r="F323" i="1" s="1"/>
  <c r="F324" i="1" s="1"/>
  <c r="F325" i="1" s="1"/>
  <c r="F326" i="1" s="1"/>
  <c r="F327" i="1" s="1"/>
  <c r="F328" i="1" s="1"/>
  <c r="F329" i="1" s="1"/>
  <c r="F330" i="1" s="1"/>
  <c r="F331" i="1" s="1"/>
  <c r="F332" i="1" s="1"/>
  <c r="F333" i="1" s="1"/>
  <c r="F334" i="1" s="1"/>
  <c r="F335" i="1" s="1"/>
  <c r="F336" i="1" s="1"/>
  <c r="F337" i="1" s="1"/>
  <c r="F338" i="1" s="1"/>
  <c r="F339" i="1" s="1"/>
  <c r="F340" i="1" s="1"/>
  <c r="F341" i="1" s="1"/>
  <c r="F342" i="1" s="1"/>
  <c r="F343" i="1" s="1"/>
  <c r="F344" i="1" s="1"/>
  <c r="F345" i="1" s="1"/>
  <c r="F346" i="1" s="1"/>
  <c r="F347" i="1" s="1"/>
  <c r="F348" i="1" s="1"/>
  <c r="F349" i="1" s="1"/>
  <c r="F350" i="1" s="1"/>
  <c r="F351" i="1" s="1"/>
  <c r="F352" i="1" s="1"/>
  <c r="F353" i="1" s="1"/>
  <c r="F354" i="1" s="1"/>
  <c r="F355" i="1" s="1"/>
  <c r="F356" i="1" s="1"/>
  <c r="F357" i="1" s="1"/>
  <c r="F358" i="1" s="1"/>
  <c r="F359" i="1" s="1"/>
  <c r="F360" i="1" s="1"/>
  <c r="F361" i="1" s="1"/>
  <c r="F362" i="1" s="1"/>
  <c r="F363" i="1" s="1"/>
  <c r="F364" i="1" s="1"/>
  <c r="F365" i="1" s="1"/>
  <c r="F366" i="1" s="1"/>
  <c r="F367" i="1" s="1"/>
  <c r="S146" i="14" l="1"/>
  <c r="T146" i="14"/>
  <c r="S147" i="17"/>
  <c r="T147" i="17"/>
  <c r="L27" i="17"/>
  <c r="C28" i="17"/>
  <c r="E19" i="17"/>
  <c r="G19" i="17"/>
  <c r="B149" i="17"/>
  <c r="R148" i="17"/>
  <c r="F26" i="17"/>
  <c r="O18" i="15"/>
  <c r="D19" i="15" s="1"/>
  <c r="C26" i="15"/>
  <c r="L25" i="15"/>
  <c r="S145" i="15"/>
  <c r="B147" i="15"/>
  <c r="R146" i="15"/>
  <c r="L26" i="14"/>
  <c r="C27" i="14"/>
  <c r="J19" i="14"/>
  <c r="R147" i="14"/>
  <c r="B148" i="14"/>
  <c r="F26" i="12"/>
  <c r="C28" i="12"/>
  <c r="L27" i="12"/>
  <c r="S147" i="12"/>
  <c r="I19" i="12"/>
  <c r="B149" i="12"/>
  <c r="R148" i="12"/>
  <c r="T148" i="12" s="1"/>
  <c r="F368" i="1"/>
  <c r="F369" i="1" s="1"/>
  <c r="F370" i="1" s="1"/>
  <c r="F371" i="1" s="1"/>
  <c r="F372" i="1" s="1"/>
  <c r="F373" i="1" s="1"/>
  <c r="F374" i="1" s="1"/>
  <c r="F375" i="1" s="1"/>
  <c r="F376" i="1" s="1"/>
  <c r="F377" i="1" s="1"/>
  <c r="F378" i="1" s="1"/>
  <c r="F379" i="1" s="1"/>
  <c r="F380" i="1" s="1"/>
  <c r="F381" i="1" s="1"/>
  <c r="F382" i="1" s="1"/>
  <c r="F383" i="1" s="1"/>
  <c r="F384" i="1" s="1"/>
  <c r="F385" i="1" s="1"/>
  <c r="D17" i="1"/>
  <c r="E17" i="1" s="1"/>
  <c r="L17" i="1"/>
  <c r="C18" i="1"/>
  <c r="L18" i="1" s="1"/>
  <c r="H17" i="1" l="1"/>
  <c r="I17" i="1" s="1"/>
  <c r="G11" i="1"/>
  <c r="S147" i="14"/>
  <c r="T147" i="14"/>
  <c r="S146" i="15"/>
  <c r="T146" i="15"/>
  <c r="S148" i="17"/>
  <c r="T148" i="17"/>
  <c r="F27" i="17"/>
  <c r="H19" i="17"/>
  <c r="C29" i="17"/>
  <c r="L28" i="17"/>
  <c r="N25" i="17" s="1"/>
  <c r="N28" i="17"/>
  <c r="B150" i="17"/>
  <c r="R149" i="17"/>
  <c r="G19" i="15"/>
  <c r="E19" i="15"/>
  <c r="R147" i="15"/>
  <c r="B148" i="15"/>
  <c r="L26" i="15"/>
  <c r="C27" i="15"/>
  <c r="B149" i="14"/>
  <c r="R148" i="14"/>
  <c r="K19" i="14"/>
  <c r="M19" i="14" s="1"/>
  <c r="C28" i="14"/>
  <c r="L27" i="14"/>
  <c r="O19" i="14"/>
  <c r="D20" i="14" s="1"/>
  <c r="S148" i="12"/>
  <c r="J19" i="12"/>
  <c r="L28" i="12"/>
  <c r="N28" i="12" s="1"/>
  <c r="C29" i="12"/>
  <c r="R149" i="12"/>
  <c r="B150" i="12"/>
  <c r="F27" i="12"/>
  <c r="C19" i="1"/>
  <c r="J4" i="1"/>
  <c r="L19" i="1"/>
  <c r="C20" i="1"/>
  <c r="R18" i="1"/>
  <c r="T18" i="1" s="1"/>
  <c r="S149" i="12" l="1"/>
  <c r="T149" i="12"/>
  <c r="S148" i="14"/>
  <c r="T148" i="14"/>
  <c r="S147" i="15"/>
  <c r="T147" i="15"/>
  <c r="S149" i="17"/>
  <c r="T149" i="17"/>
  <c r="C30" i="17"/>
  <c r="N29" i="17"/>
  <c r="L29" i="17"/>
  <c r="N26" i="17"/>
  <c r="N24" i="17"/>
  <c r="F28" i="17"/>
  <c r="N27" i="17"/>
  <c r="R150" i="17"/>
  <c r="B151" i="17"/>
  <c r="H19" i="15"/>
  <c r="R148" i="15"/>
  <c r="B149" i="15"/>
  <c r="C28" i="15"/>
  <c r="L27" i="15"/>
  <c r="E20" i="14"/>
  <c r="G20" i="14"/>
  <c r="L28" i="14"/>
  <c r="N23" i="14" s="1"/>
  <c r="C29" i="14"/>
  <c r="N28" i="14"/>
  <c r="B150" i="14"/>
  <c r="R149" i="14"/>
  <c r="K19" i="12"/>
  <c r="M19" i="12" s="1"/>
  <c r="N24" i="12"/>
  <c r="B151" i="12"/>
  <c r="R150" i="12"/>
  <c r="O19" i="12"/>
  <c r="D20" i="12" s="1"/>
  <c r="F28" i="12"/>
  <c r="N27" i="12"/>
  <c r="N26" i="12"/>
  <c r="C30" i="12"/>
  <c r="N29" i="12"/>
  <c r="L29" i="12"/>
  <c r="S18" i="1"/>
  <c r="C21" i="1"/>
  <c r="L20" i="1"/>
  <c r="R19" i="1"/>
  <c r="T19" i="1" s="1"/>
  <c r="S150" i="12" l="1"/>
  <c r="T150" i="12"/>
  <c r="S149" i="14"/>
  <c r="T149" i="14"/>
  <c r="S148" i="15"/>
  <c r="T148" i="15"/>
  <c r="S150" i="17"/>
  <c r="T150" i="17"/>
  <c r="F29" i="17"/>
  <c r="L30" i="17"/>
  <c r="N30" i="17"/>
  <c r="C31" i="17"/>
  <c r="R151" i="17"/>
  <c r="B152" i="17"/>
  <c r="J19" i="17"/>
  <c r="J19" i="15"/>
  <c r="K19" i="15" s="1"/>
  <c r="M19" i="15" s="1"/>
  <c r="C29" i="15"/>
  <c r="L28" i="15"/>
  <c r="R149" i="15"/>
  <c r="B150" i="15"/>
  <c r="N26" i="15"/>
  <c r="H20" i="14"/>
  <c r="I20" i="14" s="1"/>
  <c r="J20" i="14" s="1"/>
  <c r="N26" i="14"/>
  <c r="N25" i="14"/>
  <c r="N27" i="14"/>
  <c r="N29" i="14"/>
  <c r="L29" i="14"/>
  <c r="C30" i="14"/>
  <c r="B151" i="14"/>
  <c r="R150" i="14"/>
  <c r="F29" i="12"/>
  <c r="E20" i="12"/>
  <c r="G20" i="12"/>
  <c r="R151" i="12"/>
  <c r="B152" i="12"/>
  <c r="L30" i="12"/>
  <c r="C31" i="12"/>
  <c r="N30" i="12"/>
  <c r="J17" i="1"/>
  <c r="K17" i="1" s="1"/>
  <c r="S19" i="1"/>
  <c r="C22" i="1"/>
  <c r="L21" i="1"/>
  <c r="R20" i="1"/>
  <c r="T20" i="1" s="1"/>
  <c r="S151" i="12" l="1"/>
  <c r="T151" i="12"/>
  <c r="S150" i="14"/>
  <c r="T150" i="14"/>
  <c r="S149" i="15"/>
  <c r="T149" i="15"/>
  <c r="S151" i="17"/>
  <c r="T151" i="17"/>
  <c r="K19" i="17"/>
  <c r="M19" i="17" s="1"/>
  <c r="N31" i="17" s="1"/>
  <c r="B153" i="17"/>
  <c r="R152" i="17"/>
  <c r="L31" i="17"/>
  <c r="C32" i="17"/>
  <c r="F30" i="17"/>
  <c r="O19" i="17"/>
  <c r="D20" i="17" s="1"/>
  <c r="O19" i="15"/>
  <c r="D20" i="15" s="1"/>
  <c r="B151" i="15"/>
  <c r="R150" i="15"/>
  <c r="N25" i="15"/>
  <c r="N24" i="15"/>
  <c r="N27" i="15"/>
  <c r="N29" i="15"/>
  <c r="C30" i="15"/>
  <c r="L29" i="15"/>
  <c r="N28" i="15"/>
  <c r="O20" i="14"/>
  <c r="D21" i="14" s="1"/>
  <c r="E21" i="14" s="1"/>
  <c r="G21" i="14"/>
  <c r="K20" i="14"/>
  <c r="M20" i="14" s="1"/>
  <c r="L30" i="14"/>
  <c r="N30" i="14"/>
  <c r="C31" i="14"/>
  <c r="B152" i="14"/>
  <c r="R151" i="14"/>
  <c r="H20" i="12"/>
  <c r="I20" i="12" s="1"/>
  <c r="J20" i="12" s="1"/>
  <c r="B153" i="12"/>
  <c r="R152" i="12"/>
  <c r="C32" i="12"/>
  <c r="L31" i="12"/>
  <c r="N31" i="12"/>
  <c r="F30" i="12"/>
  <c r="S20" i="1"/>
  <c r="O17" i="1"/>
  <c r="D18" i="1" s="1"/>
  <c r="G18" i="1" s="1"/>
  <c r="C23" i="1"/>
  <c r="L22" i="1"/>
  <c r="R21" i="1"/>
  <c r="T21" i="1" s="1"/>
  <c r="S152" i="12" l="1"/>
  <c r="T152" i="12"/>
  <c r="S151" i="14"/>
  <c r="T151" i="14"/>
  <c r="S150" i="15"/>
  <c r="T150" i="15"/>
  <c r="S152" i="17"/>
  <c r="T152" i="17"/>
  <c r="H21" i="14"/>
  <c r="I21" i="14" s="1"/>
  <c r="J21" i="14" s="1"/>
  <c r="L32" i="17"/>
  <c r="C33" i="17"/>
  <c r="B154" i="17"/>
  <c r="R153" i="17"/>
  <c r="E20" i="17"/>
  <c r="G20" i="17"/>
  <c r="H20" i="17" s="1"/>
  <c r="F31" i="17"/>
  <c r="E20" i="15"/>
  <c r="G20" i="15"/>
  <c r="H20" i="15" s="1"/>
  <c r="B152" i="15"/>
  <c r="R151" i="15"/>
  <c r="C31" i="15"/>
  <c r="N30" i="15"/>
  <c r="L30" i="15"/>
  <c r="B153" i="14"/>
  <c r="R152" i="14"/>
  <c r="N31" i="14"/>
  <c r="C32" i="14"/>
  <c r="L31" i="14"/>
  <c r="F31" i="12"/>
  <c r="L32" i="12"/>
  <c r="C33" i="12"/>
  <c r="B154" i="12"/>
  <c r="R153" i="12"/>
  <c r="K20" i="12"/>
  <c r="M20" i="12" s="1"/>
  <c r="N32" i="12" s="1"/>
  <c r="O20" i="12"/>
  <c r="D21" i="12" s="1"/>
  <c r="E18" i="1"/>
  <c r="S21" i="1"/>
  <c r="M17" i="1"/>
  <c r="L23" i="1"/>
  <c r="C24" i="1"/>
  <c r="R22" i="1"/>
  <c r="T22" i="1" s="1"/>
  <c r="S153" i="12" l="1"/>
  <c r="T153" i="12"/>
  <c r="S152" i="14"/>
  <c r="T152" i="14"/>
  <c r="S151" i="15"/>
  <c r="T151" i="15"/>
  <c r="S153" i="17"/>
  <c r="T153" i="17"/>
  <c r="H18" i="1"/>
  <c r="J20" i="17"/>
  <c r="L33" i="17"/>
  <c r="C34" i="17"/>
  <c r="R154" i="17"/>
  <c r="B155" i="17"/>
  <c r="F32" i="17"/>
  <c r="J20" i="15"/>
  <c r="K20" i="15" s="1"/>
  <c r="M20" i="15" s="1"/>
  <c r="N31" i="15"/>
  <c r="L31" i="15"/>
  <c r="C32" i="15"/>
  <c r="R152" i="15"/>
  <c r="B153" i="15"/>
  <c r="K21" i="14"/>
  <c r="M21" i="14" s="1"/>
  <c r="O21" i="14"/>
  <c r="D22" i="14" s="1"/>
  <c r="N32" i="14"/>
  <c r="L32" i="14"/>
  <c r="C33" i="14"/>
  <c r="B154" i="14"/>
  <c r="R153" i="14"/>
  <c r="E21" i="12"/>
  <c r="G21" i="12"/>
  <c r="R154" i="12"/>
  <c r="B155" i="12"/>
  <c r="C34" i="12"/>
  <c r="L33" i="12"/>
  <c r="F32" i="12"/>
  <c r="S22" i="1"/>
  <c r="L24" i="1"/>
  <c r="C25" i="1"/>
  <c r="R23" i="1"/>
  <c r="T23" i="1" s="1"/>
  <c r="S154" i="12" l="1"/>
  <c r="T154" i="12"/>
  <c r="S153" i="14"/>
  <c r="T153" i="14"/>
  <c r="S152" i="15"/>
  <c r="T152" i="15"/>
  <c r="S154" i="17"/>
  <c r="T154" i="17"/>
  <c r="O20" i="15"/>
  <c r="D21" i="15" s="1"/>
  <c r="F33" i="17"/>
  <c r="K20" i="17"/>
  <c r="M20" i="17" s="1"/>
  <c r="N32" i="17" s="1"/>
  <c r="C35" i="17"/>
  <c r="L34" i="17"/>
  <c r="R155" i="17"/>
  <c r="B156" i="17"/>
  <c r="O20" i="17"/>
  <c r="D21" i="17" s="1"/>
  <c r="L32" i="15"/>
  <c r="C33" i="15"/>
  <c r="N32" i="15"/>
  <c r="B154" i="15"/>
  <c r="R153" i="15"/>
  <c r="H21" i="12"/>
  <c r="I21" i="12" s="1"/>
  <c r="J21" i="12" s="1"/>
  <c r="K21" i="12" s="1"/>
  <c r="M21" i="12" s="1"/>
  <c r="N33" i="12" s="1"/>
  <c r="R154" i="14"/>
  <c r="B155" i="14"/>
  <c r="N33" i="14"/>
  <c r="L33" i="14"/>
  <c r="C34" i="14"/>
  <c r="E22" i="14"/>
  <c r="G22" i="14"/>
  <c r="R155" i="12"/>
  <c r="B156" i="12"/>
  <c r="C35" i="12"/>
  <c r="L34" i="12"/>
  <c r="F33" i="12"/>
  <c r="I18" i="1"/>
  <c r="S23" i="1"/>
  <c r="L25" i="1"/>
  <c r="C26" i="1"/>
  <c r="R24" i="1"/>
  <c r="T24" i="1" s="1"/>
  <c r="H22" i="14" l="1"/>
  <c r="E21" i="15"/>
  <c r="S155" i="12"/>
  <c r="T155" i="12"/>
  <c r="S154" i="14"/>
  <c r="T154" i="14"/>
  <c r="S153" i="15"/>
  <c r="T153" i="15"/>
  <c r="S155" i="17"/>
  <c r="T155" i="17"/>
  <c r="G21" i="15"/>
  <c r="H21" i="15" s="1"/>
  <c r="B157" i="17"/>
  <c r="R156" i="17"/>
  <c r="L35" i="17"/>
  <c r="C36" i="17"/>
  <c r="F34" i="17"/>
  <c r="E21" i="17"/>
  <c r="G21" i="17"/>
  <c r="O21" i="12"/>
  <c r="D22" i="12" s="1"/>
  <c r="E22" i="12" s="1"/>
  <c r="B155" i="15"/>
  <c r="R154" i="15"/>
  <c r="C34" i="15"/>
  <c r="L33" i="15"/>
  <c r="I22" i="14"/>
  <c r="J22" i="14" s="1"/>
  <c r="L34" i="14"/>
  <c r="C35" i="14"/>
  <c r="B156" i="14"/>
  <c r="R155" i="14"/>
  <c r="C36" i="12"/>
  <c r="L35" i="12"/>
  <c r="R156" i="12"/>
  <c r="B157" i="12"/>
  <c r="F34" i="12"/>
  <c r="J18" i="1"/>
  <c r="K18" i="1" s="1"/>
  <c r="S24" i="1"/>
  <c r="C27" i="1"/>
  <c r="L26" i="1"/>
  <c r="R25" i="1"/>
  <c r="T25" i="1" s="1"/>
  <c r="J21" i="15" l="1"/>
  <c r="K21" i="15" s="1"/>
  <c r="M21" i="15" s="1"/>
  <c r="N33" i="15" s="1"/>
  <c r="S156" i="12"/>
  <c r="T156" i="12"/>
  <c r="S155" i="14"/>
  <c r="T155" i="14"/>
  <c r="S154" i="15"/>
  <c r="T154" i="15"/>
  <c r="S156" i="17"/>
  <c r="T156" i="17"/>
  <c r="G22" i="12"/>
  <c r="H22" i="12" s="1"/>
  <c r="F35" i="17"/>
  <c r="L36" i="17"/>
  <c r="C37" i="17"/>
  <c r="H21" i="17"/>
  <c r="R157" i="17"/>
  <c r="B158" i="17"/>
  <c r="L34" i="15"/>
  <c r="C35" i="15"/>
  <c r="B156" i="15"/>
  <c r="R155" i="15"/>
  <c r="O22" i="14"/>
  <c r="D23" i="14" s="1"/>
  <c r="E23" i="14" s="1"/>
  <c r="C36" i="14"/>
  <c r="L35" i="14"/>
  <c r="B157" i="14"/>
  <c r="R156" i="14"/>
  <c r="K22" i="14"/>
  <c r="M22" i="14" s="1"/>
  <c r="N34" i="14" s="1"/>
  <c r="B158" i="12"/>
  <c r="R157" i="12"/>
  <c r="C37" i="12"/>
  <c r="L36" i="12"/>
  <c r="F35" i="12"/>
  <c r="O18" i="1"/>
  <c r="D19" i="1" s="1"/>
  <c r="S25" i="1"/>
  <c r="L27" i="1"/>
  <c r="C28" i="1"/>
  <c r="C29" i="1" s="1"/>
  <c r="R26" i="1"/>
  <c r="T26" i="1" s="1"/>
  <c r="G10" i="1" l="1"/>
  <c r="G19" i="1"/>
  <c r="O21" i="15"/>
  <c r="D22" i="15" s="1"/>
  <c r="E22" i="15"/>
  <c r="S157" i="12"/>
  <c r="T157" i="12"/>
  <c r="S156" i="14"/>
  <c r="T156" i="14"/>
  <c r="S155" i="15"/>
  <c r="T155" i="15"/>
  <c r="S157" i="17"/>
  <c r="T157" i="17"/>
  <c r="G22" i="15"/>
  <c r="H22" i="15" s="1"/>
  <c r="B159" i="17"/>
  <c r="R158" i="17"/>
  <c r="J21" i="17"/>
  <c r="L37" i="17"/>
  <c r="C38" i="17"/>
  <c r="F36" i="17"/>
  <c r="G23" i="14"/>
  <c r="H23" i="14" s="1"/>
  <c r="B157" i="15"/>
  <c r="R156" i="15"/>
  <c r="C36" i="15"/>
  <c r="L35" i="15"/>
  <c r="B158" i="14"/>
  <c r="R157" i="14"/>
  <c r="C37" i="14"/>
  <c r="L36" i="14"/>
  <c r="I22" i="12"/>
  <c r="F36" i="12"/>
  <c r="C38" i="12"/>
  <c r="L37" i="12"/>
  <c r="B159" i="12"/>
  <c r="R158" i="12"/>
  <c r="E19" i="1"/>
  <c r="M18" i="1"/>
  <c r="C30" i="1"/>
  <c r="L29" i="1"/>
  <c r="S26" i="1"/>
  <c r="L28" i="1"/>
  <c r="R27" i="1"/>
  <c r="J22" i="15" l="1"/>
  <c r="K22" i="15" s="1"/>
  <c r="M22" i="15" s="1"/>
  <c r="N34" i="15" s="1"/>
  <c r="H19" i="1"/>
  <c r="I19" i="1" s="1"/>
  <c r="S158" i="12"/>
  <c r="T158" i="12"/>
  <c r="S157" i="14"/>
  <c r="T157" i="14"/>
  <c r="S156" i="15"/>
  <c r="T156" i="15"/>
  <c r="S158" i="17"/>
  <c r="T158" i="17"/>
  <c r="O21" i="17"/>
  <c r="D22" i="17" s="1"/>
  <c r="E22" i="17" s="1"/>
  <c r="F37" i="17"/>
  <c r="L38" i="17"/>
  <c r="C39" i="17"/>
  <c r="K21" i="17"/>
  <c r="M21" i="17" s="1"/>
  <c r="N33" i="17" s="1"/>
  <c r="B160" i="17"/>
  <c r="R159" i="17"/>
  <c r="C37" i="15"/>
  <c r="L36" i="15"/>
  <c r="B158" i="15"/>
  <c r="R157" i="15"/>
  <c r="I23" i="14"/>
  <c r="P23" i="14" s="1"/>
  <c r="Q23" i="14" s="1"/>
  <c r="M8" i="13" s="1"/>
  <c r="C38" i="14"/>
  <c r="L37" i="14"/>
  <c r="R158" i="14"/>
  <c r="B159" i="14"/>
  <c r="B160" i="12"/>
  <c r="R159" i="12"/>
  <c r="L38" i="12"/>
  <c r="C39" i="12"/>
  <c r="F37" i="12"/>
  <c r="J22" i="12"/>
  <c r="S27" i="1"/>
  <c r="T27" i="1"/>
  <c r="C31" i="1"/>
  <c r="L30" i="1"/>
  <c r="O22" i="15" l="1"/>
  <c r="D23" i="15" s="1"/>
  <c r="G23" i="15" s="1"/>
  <c r="S159" i="12"/>
  <c r="T159" i="12"/>
  <c r="S158" i="14"/>
  <c r="T158" i="14"/>
  <c r="S157" i="15"/>
  <c r="T157" i="15"/>
  <c r="S159" i="17"/>
  <c r="T159" i="17"/>
  <c r="G22" i="17"/>
  <c r="H22" i="17" s="1"/>
  <c r="F38" i="17"/>
  <c r="C40" i="17"/>
  <c r="L39" i="17"/>
  <c r="B161" i="17"/>
  <c r="R160" i="17"/>
  <c r="L37" i="15"/>
  <c r="C38" i="15"/>
  <c r="B159" i="15"/>
  <c r="R158" i="15"/>
  <c r="J23" i="14"/>
  <c r="O23" i="14" s="1"/>
  <c r="D24" i="14" s="1"/>
  <c r="R159" i="14"/>
  <c r="B160" i="14"/>
  <c r="C39" i="14"/>
  <c r="L38" i="14"/>
  <c r="K22" i="12"/>
  <c r="M22" i="12" s="1"/>
  <c r="N34" i="12" s="1"/>
  <c r="C40" i="12"/>
  <c r="L39" i="12"/>
  <c r="O22" i="12"/>
  <c r="D23" i="12" s="1"/>
  <c r="F38" i="12"/>
  <c r="R160" i="12"/>
  <c r="B161" i="12"/>
  <c r="J19" i="1"/>
  <c r="K19" i="1" s="1"/>
  <c r="L31" i="1"/>
  <c r="C32" i="1"/>
  <c r="R28" i="1"/>
  <c r="T28" i="1" s="1"/>
  <c r="E23" i="15" l="1"/>
  <c r="H23" i="15"/>
  <c r="S160" i="12"/>
  <c r="T160" i="12"/>
  <c r="S159" i="14"/>
  <c r="T159" i="14"/>
  <c r="S158" i="15"/>
  <c r="T158" i="15"/>
  <c r="S160" i="17"/>
  <c r="T160" i="17"/>
  <c r="R161" i="17"/>
  <c r="B162" i="17"/>
  <c r="L40" i="17"/>
  <c r="C41" i="17"/>
  <c r="F39" i="17"/>
  <c r="J23" i="15"/>
  <c r="K23" i="15" s="1"/>
  <c r="M23" i="15" s="1"/>
  <c r="N35" i="15" s="1"/>
  <c r="B160" i="15"/>
  <c r="R159" i="15"/>
  <c r="L38" i="15"/>
  <c r="C39" i="15"/>
  <c r="K23" i="14"/>
  <c r="M23" i="14" s="1"/>
  <c r="N35" i="14" s="1"/>
  <c r="E24" i="14"/>
  <c r="G24" i="14"/>
  <c r="H24" i="14" s="1"/>
  <c r="B161" i="14"/>
  <c r="R160" i="14"/>
  <c r="L39" i="14"/>
  <c r="C40" i="14"/>
  <c r="F39" i="12"/>
  <c r="B162" i="12"/>
  <c r="R161" i="12"/>
  <c r="E23" i="12"/>
  <c r="G23" i="12"/>
  <c r="C41" i="12"/>
  <c r="L40" i="12"/>
  <c r="O19" i="1"/>
  <c r="D20" i="1" s="1"/>
  <c r="G20" i="1" s="1"/>
  <c r="L32" i="1"/>
  <c r="C33" i="1"/>
  <c r="S28" i="1"/>
  <c r="R29" i="1"/>
  <c r="S161" i="12" l="1"/>
  <c r="T161" i="12"/>
  <c r="S160" i="14"/>
  <c r="T160" i="14"/>
  <c r="S159" i="15"/>
  <c r="T159" i="15"/>
  <c r="S161" i="17"/>
  <c r="T161" i="17"/>
  <c r="O23" i="15"/>
  <c r="D24" i="15" s="1"/>
  <c r="R162" i="17"/>
  <c r="B163" i="17"/>
  <c r="J22" i="17"/>
  <c r="O22" i="17" s="1"/>
  <c r="D23" i="17" s="1"/>
  <c r="F40" i="17"/>
  <c r="L41" i="17"/>
  <c r="C42" i="17"/>
  <c r="L39" i="15"/>
  <c r="C40" i="15"/>
  <c r="R160" i="15"/>
  <c r="B161" i="15"/>
  <c r="B162" i="14"/>
  <c r="R161" i="14"/>
  <c r="L40" i="14"/>
  <c r="C41" i="14"/>
  <c r="I24" i="14"/>
  <c r="J24" i="14" s="1"/>
  <c r="O24" i="14" s="1"/>
  <c r="D25" i="14" s="1"/>
  <c r="H23" i="12"/>
  <c r="I23" i="12" s="1"/>
  <c r="J23" i="12" s="1"/>
  <c r="F40" i="12"/>
  <c r="C42" i="12"/>
  <c r="L41" i="12"/>
  <c r="R162" i="12"/>
  <c r="B163" i="12"/>
  <c r="E20" i="1"/>
  <c r="S29" i="1"/>
  <c r="T29" i="1"/>
  <c r="M19" i="1"/>
  <c r="L33" i="1"/>
  <c r="C34" i="1"/>
  <c r="R30" i="1"/>
  <c r="G24" i="15" l="1"/>
  <c r="S162" i="12"/>
  <c r="T162" i="12"/>
  <c r="S161" i="14"/>
  <c r="T161" i="14"/>
  <c r="S160" i="15"/>
  <c r="T160" i="15"/>
  <c r="S162" i="17"/>
  <c r="T162" i="17"/>
  <c r="H20" i="1"/>
  <c r="E24" i="15"/>
  <c r="C43" i="17"/>
  <c r="L42" i="17"/>
  <c r="F41" i="17"/>
  <c r="B164" i="17"/>
  <c r="R163" i="17"/>
  <c r="E23" i="17"/>
  <c r="G23" i="17"/>
  <c r="H23" i="17" s="1"/>
  <c r="K22" i="17"/>
  <c r="M22" i="17" s="1"/>
  <c r="N34" i="17" s="1"/>
  <c r="H24" i="15"/>
  <c r="B162" i="15"/>
  <c r="R161" i="15"/>
  <c r="L40" i="15"/>
  <c r="C41" i="15"/>
  <c r="E25" i="14"/>
  <c r="G25" i="14"/>
  <c r="L41" i="14"/>
  <c r="C42" i="14"/>
  <c r="K24" i="14"/>
  <c r="M24" i="14" s="1"/>
  <c r="N36" i="14" s="1"/>
  <c r="B163" i="14"/>
  <c r="R162" i="14"/>
  <c r="K23" i="12"/>
  <c r="M23" i="12" s="1"/>
  <c r="N35" i="12" s="1"/>
  <c r="B164" i="12"/>
  <c r="R163" i="12"/>
  <c r="C43" i="12"/>
  <c r="L42" i="12"/>
  <c r="F41" i="12"/>
  <c r="O23" i="12"/>
  <c r="D24" i="12" s="1"/>
  <c r="S30" i="1"/>
  <c r="T30" i="1"/>
  <c r="L34" i="1"/>
  <c r="C35" i="1"/>
  <c r="R31" i="1"/>
  <c r="N28" i="1"/>
  <c r="N20" i="1"/>
  <c r="N27" i="1"/>
  <c r="N21" i="1"/>
  <c r="N26" i="1"/>
  <c r="N19" i="1"/>
  <c r="P19" i="1" s="1"/>
  <c r="Q19" i="1" s="1"/>
  <c r="N23" i="1"/>
  <c r="N22" i="1"/>
  <c r="N24" i="1"/>
  <c r="N17" i="1"/>
  <c r="P17" i="1" s="1"/>
  <c r="Q17" i="1" s="1"/>
  <c r="N25" i="1"/>
  <c r="S163" i="12" l="1"/>
  <c r="T163" i="12"/>
  <c r="S162" i="14"/>
  <c r="T162" i="14"/>
  <c r="S161" i="15"/>
  <c r="T161" i="15"/>
  <c r="S163" i="17"/>
  <c r="T163" i="17"/>
  <c r="R164" i="17"/>
  <c r="B165" i="17"/>
  <c r="J23" i="17"/>
  <c r="F42" i="17"/>
  <c r="L43" i="17"/>
  <c r="C44" i="17"/>
  <c r="P24" i="15"/>
  <c r="Q24" i="15" s="1"/>
  <c r="M9" i="16" s="1"/>
  <c r="L41" i="15"/>
  <c r="C42" i="15"/>
  <c r="B163" i="15"/>
  <c r="R162" i="15"/>
  <c r="H25" i="14"/>
  <c r="I25" i="14" s="1"/>
  <c r="L42" i="14"/>
  <c r="C43" i="14"/>
  <c r="R163" i="14"/>
  <c r="B164" i="14"/>
  <c r="C44" i="12"/>
  <c r="L43" i="12"/>
  <c r="E24" i="12"/>
  <c r="G24" i="12"/>
  <c r="F42" i="12"/>
  <c r="B165" i="12"/>
  <c r="R164" i="12"/>
  <c r="M2" i="9"/>
  <c r="N2" i="9" s="1"/>
  <c r="M4" i="9"/>
  <c r="N4" i="9" s="1"/>
  <c r="I20" i="1"/>
  <c r="J20" i="1" s="1"/>
  <c r="K20" i="1" s="1"/>
  <c r="S31" i="1"/>
  <c r="T31" i="1"/>
  <c r="L35" i="1"/>
  <c r="C36" i="1"/>
  <c r="R32" i="1"/>
  <c r="S164" i="12" l="1"/>
  <c r="T164" i="12"/>
  <c r="S163" i="14"/>
  <c r="T163" i="14"/>
  <c r="S162" i="15"/>
  <c r="T162" i="15"/>
  <c r="S164" i="17"/>
  <c r="T164" i="17"/>
  <c r="J24" i="15"/>
  <c r="K24" i="15" s="1"/>
  <c r="M24" i="15" s="1"/>
  <c r="N36" i="15" s="1"/>
  <c r="H24" i="12"/>
  <c r="I24" i="12" s="1"/>
  <c r="P24" i="12" s="1"/>
  <c r="Q24" i="12" s="1"/>
  <c r="M9" i="10" s="1"/>
  <c r="K23" i="17"/>
  <c r="M23" i="17" s="1"/>
  <c r="N35" i="17" s="1"/>
  <c r="B166" i="17"/>
  <c r="R165" i="17"/>
  <c r="L44" i="17"/>
  <c r="C45" i="17"/>
  <c r="F43" i="17"/>
  <c r="O23" i="17"/>
  <c r="D24" i="17" s="1"/>
  <c r="B164" i="15"/>
  <c r="R163" i="15"/>
  <c r="L42" i="15"/>
  <c r="C43" i="15"/>
  <c r="J25" i="14"/>
  <c r="O25" i="14" s="1"/>
  <c r="D26" i="14" s="1"/>
  <c r="P25" i="14"/>
  <c r="Q25" i="14" s="1"/>
  <c r="M10" i="13" s="1"/>
  <c r="R164" i="14"/>
  <c r="B165" i="14"/>
  <c r="C44" i="14"/>
  <c r="L43" i="14"/>
  <c r="F43" i="12"/>
  <c r="B166" i="12"/>
  <c r="R165" i="12"/>
  <c r="L44" i="12"/>
  <c r="C45" i="12"/>
  <c r="P20" i="1"/>
  <c r="Q20" i="1" s="1"/>
  <c r="O20" i="1"/>
  <c r="D21" i="1" s="1"/>
  <c r="G21" i="1" s="1"/>
  <c r="S32" i="1"/>
  <c r="T32" i="1"/>
  <c r="L36" i="1"/>
  <c r="C37" i="1"/>
  <c r="R33" i="1"/>
  <c r="T33" i="1" s="1"/>
  <c r="S165" i="12" l="1"/>
  <c r="T165" i="12"/>
  <c r="S164" i="14"/>
  <c r="T164" i="14"/>
  <c r="S163" i="15"/>
  <c r="T163" i="15"/>
  <c r="S165" i="17"/>
  <c r="T165" i="17"/>
  <c r="O24" i="15"/>
  <c r="D25" i="15" s="1"/>
  <c r="E24" i="17"/>
  <c r="G24" i="17"/>
  <c r="F44" i="17"/>
  <c r="R166" i="17"/>
  <c r="B167" i="17"/>
  <c r="L45" i="17"/>
  <c r="C46" i="17"/>
  <c r="C44" i="15"/>
  <c r="L43" i="15"/>
  <c r="R164" i="15"/>
  <c r="B165" i="15"/>
  <c r="E26" i="14"/>
  <c r="G26" i="14"/>
  <c r="K25" i="14"/>
  <c r="M25" i="14" s="1"/>
  <c r="N37" i="14" s="1"/>
  <c r="L44" i="14"/>
  <c r="C45" i="14"/>
  <c r="B166" i="14"/>
  <c r="R165" i="14"/>
  <c r="J24" i="12"/>
  <c r="O24" i="12" s="1"/>
  <c r="D25" i="12" s="1"/>
  <c r="R166" i="12"/>
  <c r="B167" i="12"/>
  <c r="C46" i="12"/>
  <c r="L45" i="12"/>
  <c r="F44" i="12"/>
  <c r="E21" i="1"/>
  <c r="M20" i="1"/>
  <c r="L37" i="1"/>
  <c r="C38" i="1"/>
  <c r="S33" i="1"/>
  <c r="R34" i="1"/>
  <c r="M5" i="9" l="1"/>
  <c r="N5" i="9" s="1"/>
  <c r="E25" i="15"/>
  <c r="G25" i="15"/>
  <c r="H21" i="1"/>
  <c r="S166" i="12"/>
  <c r="T166" i="12"/>
  <c r="S165" i="14"/>
  <c r="T165" i="14"/>
  <c r="S164" i="15"/>
  <c r="T164" i="15"/>
  <c r="S166" i="17"/>
  <c r="T166" i="17"/>
  <c r="H24" i="17"/>
  <c r="P24" i="17" s="1"/>
  <c r="Q24" i="17" s="1"/>
  <c r="M9" i="18" s="1"/>
  <c r="H25" i="15"/>
  <c r="B168" i="17"/>
  <c r="R167" i="17"/>
  <c r="F45" i="17"/>
  <c r="L46" i="17"/>
  <c r="C47" i="17"/>
  <c r="H26" i="14"/>
  <c r="I26" i="14" s="1"/>
  <c r="J26" i="14" s="1"/>
  <c r="K26" i="14" s="1"/>
  <c r="B166" i="15"/>
  <c r="R165" i="15"/>
  <c r="L44" i="15"/>
  <c r="C45" i="15"/>
  <c r="C46" i="14"/>
  <c r="L45" i="14"/>
  <c r="R166" i="14"/>
  <c r="B167" i="14"/>
  <c r="K24" i="12"/>
  <c r="M24" i="12" s="1"/>
  <c r="N36" i="12" s="1"/>
  <c r="E25" i="12"/>
  <c r="G25" i="12"/>
  <c r="R167" i="12"/>
  <c r="B168" i="12"/>
  <c r="F45" i="12"/>
  <c r="L46" i="12"/>
  <c r="C47" i="12"/>
  <c r="S34" i="1"/>
  <c r="T34" i="1"/>
  <c r="L38" i="1"/>
  <c r="C39" i="1"/>
  <c r="R35" i="1"/>
  <c r="S167" i="12" l="1"/>
  <c r="T167" i="12"/>
  <c r="S166" i="14"/>
  <c r="T166" i="14"/>
  <c r="S165" i="15"/>
  <c r="T165" i="15"/>
  <c r="S167" i="17"/>
  <c r="T167" i="17"/>
  <c r="J25" i="15"/>
  <c r="O25" i="15" s="1"/>
  <c r="D26" i="15" s="1"/>
  <c r="C48" i="17"/>
  <c r="L47" i="17"/>
  <c r="F46" i="17"/>
  <c r="R168" i="17"/>
  <c r="B169" i="17"/>
  <c r="J24" i="17"/>
  <c r="P26" i="14"/>
  <c r="Q26" i="14" s="1"/>
  <c r="M11" i="13" s="1"/>
  <c r="L45" i="15"/>
  <c r="C46" i="15"/>
  <c r="B167" i="15"/>
  <c r="R166" i="15"/>
  <c r="O26" i="14"/>
  <c r="D27" i="14" s="1"/>
  <c r="E27" i="14" s="1"/>
  <c r="M26" i="14"/>
  <c r="N38" i="14" s="1"/>
  <c r="R167" i="14"/>
  <c r="B168" i="14"/>
  <c r="C47" i="14"/>
  <c r="L46" i="14"/>
  <c r="H25" i="12"/>
  <c r="I25" i="12" s="1"/>
  <c r="J25" i="12" s="1"/>
  <c r="F46" i="12"/>
  <c r="B169" i="12"/>
  <c r="R168" i="12"/>
  <c r="C48" i="12"/>
  <c r="L47" i="12"/>
  <c r="I21" i="1"/>
  <c r="S35" i="1"/>
  <c r="T35" i="1"/>
  <c r="L39" i="1"/>
  <c r="C40" i="1"/>
  <c r="R36" i="1"/>
  <c r="T36" i="1" s="1"/>
  <c r="S168" i="12" l="1"/>
  <c r="T168" i="12"/>
  <c r="S167" i="14"/>
  <c r="T167" i="14"/>
  <c r="S166" i="15"/>
  <c r="T166" i="15"/>
  <c r="S168" i="17"/>
  <c r="T168" i="17"/>
  <c r="K25" i="15"/>
  <c r="M25" i="15" s="1"/>
  <c r="N37" i="15" s="1"/>
  <c r="P25" i="15"/>
  <c r="Q25" i="15" s="1"/>
  <c r="M10" i="16" s="1"/>
  <c r="K24" i="17"/>
  <c r="M24" i="17" s="1"/>
  <c r="N36" i="17" s="1"/>
  <c r="B170" i="17"/>
  <c r="R169" i="17"/>
  <c r="F47" i="17"/>
  <c r="C49" i="17"/>
  <c r="L48" i="17"/>
  <c r="O24" i="17"/>
  <c r="D25" i="17" s="1"/>
  <c r="E26" i="15"/>
  <c r="G26" i="15"/>
  <c r="H26" i="15" s="1"/>
  <c r="G27" i="14"/>
  <c r="H27" i="14" s="1"/>
  <c r="I27" i="14" s="1"/>
  <c r="L46" i="15"/>
  <c r="C47" i="15"/>
  <c r="B168" i="15"/>
  <c r="R167" i="15"/>
  <c r="L47" i="14"/>
  <c r="C48" i="14"/>
  <c r="R168" i="14"/>
  <c r="B169" i="14"/>
  <c r="O25" i="12"/>
  <c r="D26" i="12" s="1"/>
  <c r="E26" i="12" s="1"/>
  <c r="C49" i="12"/>
  <c r="L48" i="12"/>
  <c r="R169" i="12"/>
  <c r="B170" i="12"/>
  <c r="K25" i="12"/>
  <c r="M25" i="12" s="1"/>
  <c r="N37" i="12" s="1"/>
  <c r="F47" i="12"/>
  <c r="P21" i="1"/>
  <c r="Q21" i="1" s="1"/>
  <c r="J21" i="1"/>
  <c r="K21" i="1" s="1"/>
  <c r="L40" i="1"/>
  <c r="C41" i="1"/>
  <c r="S36" i="1"/>
  <c r="R37" i="1"/>
  <c r="J26" i="15" l="1"/>
  <c r="K26" i="15" s="1"/>
  <c r="M26" i="15" s="1"/>
  <c r="N38" i="15" s="1"/>
  <c r="S169" i="12"/>
  <c r="T169" i="12"/>
  <c r="S168" i="14"/>
  <c r="T168" i="14"/>
  <c r="S167" i="15"/>
  <c r="T167" i="15"/>
  <c r="S169" i="17"/>
  <c r="T169" i="17"/>
  <c r="F48" i="17"/>
  <c r="R170" i="17"/>
  <c r="B171" i="17"/>
  <c r="E25" i="17"/>
  <c r="G25" i="17"/>
  <c r="C50" i="17"/>
  <c r="L49" i="17"/>
  <c r="O26" i="15"/>
  <c r="D27" i="15" s="1"/>
  <c r="P26" i="15"/>
  <c r="Q26" i="15" s="1"/>
  <c r="M11" i="16" s="1"/>
  <c r="B169" i="15"/>
  <c r="R168" i="15"/>
  <c r="L47" i="15"/>
  <c r="C48" i="15"/>
  <c r="P27" i="14"/>
  <c r="Q27" i="14" s="1"/>
  <c r="M12" i="13" s="1"/>
  <c r="J27" i="14"/>
  <c r="O27" i="14" s="1"/>
  <c r="D28" i="14" s="1"/>
  <c r="E28" i="14" s="1"/>
  <c r="C49" i="14"/>
  <c r="L48" i="14"/>
  <c r="B170" i="14"/>
  <c r="R169" i="14"/>
  <c r="G26" i="12"/>
  <c r="H26" i="12" s="1"/>
  <c r="I26" i="12" s="1"/>
  <c r="P26" i="12" s="1"/>
  <c r="Q26" i="12" s="1"/>
  <c r="M11" i="10" s="1"/>
  <c r="F48" i="12"/>
  <c r="B171" i="12"/>
  <c r="R170" i="12"/>
  <c r="C50" i="12"/>
  <c r="L49" i="12"/>
  <c r="O21" i="1"/>
  <c r="D22" i="1" s="1"/>
  <c r="G22" i="1" s="1"/>
  <c r="M21" i="1"/>
  <c r="S37" i="1"/>
  <c r="T37" i="1"/>
  <c r="L41" i="1"/>
  <c r="C42" i="1"/>
  <c r="R38" i="1"/>
  <c r="M6" i="9" l="1"/>
  <c r="N6" i="9" s="1"/>
  <c r="E22" i="1"/>
  <c r="S170" i="12"/>
  <c r="T170" i="12"/>
  <c r="S169" i="14"/>
  <c r="T169" i="14"/>
  <c r="S168" i="15"/>
  <c r="T168" i="15"/>
  <c r="S170" i="17"/>
  <c r="T170" i="17"/>
  <c r="H25" i="17"/>
  <c r="R171" i="17"/>
  <c r="B172" i="17"/>
  <c r="C51" i="17"/>
  <c r="L50" i="17"/>
  <c r="F49" i="17"/>
  <c r="E27" i="15"/>
  <c r="G27" i="15"/>
  <c r="H27" i="15" s="1"/>
  <c r="L48" i="15"/>
  <c r="C49" i="15"/>
  <c r="B170" i="15"/>
  <c r="R169" i="15"/>
  <c r="K27" i="14"/>
  <c r="M27" i="14" s="1"/>
  <c r="N39" i="14" s="1"/>
  <c r="G28" i="14"/>
  <c r="H28" i="14" s="1"/>
  <c r="I28" i="14" s="1"/>
  <c r="P28" i="14" s="1"/>
  <c r="Q28" i="14" s="1"/>
  <c r="M13" i="13" s="1"/>
  <c r="R170" i="14"/>
  <c r="B171" i="14"/>
  <c r="C50" i="14"/>
  <c r="L49" i="14"/>
  <c r="J26" i="12"/>
  <c r="K26" i="12" s="1"/>
  <c r="M26" i="12" s="1"/>
  <c r="N38" i="12" s="1"/>
  <c r="R171" i="12"/>
  <c r="B172" i="12"/>
  <c r="F49" i="12"/>
  <c r="L50" i="12"/>
  <c r="C51" i="12"/>
  <c r="H22" i="1"/>
  <c r="S38" i="1"/>
  <c r="T38" i="1"/>
  <c r="L42" i="1"/>
  <c r="C43" i="1"/>
  <c r="R39" i="1"/>
  <c r="J27" i="15" l="1"/>
  <c r="K27" i="15" s="1"/>
  <c r="M27" i="15" s="1"/>
  <c r="N39" i="15" s="1"/>
  <c r="S171" i="12"/>
  <c r="T171" i="12"/>
  <c r="S170" i="14"/>
  <c r="T170" i="14"/>
  <c r="S169" i="15"/>
  <c r="T169" i="15"/>
  <c r="S171" i="17"/>
  <c r="T171" i="17"/>
  <c r="P25" i="17"/>
  <c r="Q25" i="17" s="1"/>
  <c r="M10" i="18" s="1"/>
  <c r="J25" i="17"/>
  <c r="O25" i="17" s="1"/>
  <c r="D26" i="17" s="1"/>
  <c r="E26" i="17" s="1"/>
  <c r="B173" i="17"/>
  <c r="R172" i="17"/>
  <c r="F50" i="17"/>
  <c r="L51" i="17"/>
  <c r="C52" i="17"/>
  <c r="P27" i="15"/>
  <c r="Q27" i="15" s="1"/>
  <c r="M12" i="16" s="1"/>
  <c r="N17" i="15"/>
  <c r="P17" i="15" s="1"/>
  <c r="Q17" i="15" s="1"/>
  <c r="M2" i="16" s="1"/>
  <c r="N2" i="16" s="1"/>
  <c r="N19" i="15"/>
  <c r="P19" i="15" s="1"/>
  <c r="Q19" i="15" s="1"/>
  <c r="M4" i="16" s="1"/>
  <c r="N4" i="16" s="1"/>
  <c r="N20" i="15"/>
  <c r="P20" i="15" s="1"/>
  <c r="Q20" i="15" s="1"/>
  <c r="M5" i="16" s="1"/>
  <c r="N5" i="16" s="1"/>
  <c r="N21" i="15"/>
  <c r="P21" i="15" s="1"/>
  <c r="Q21" i="15" s="1"/>
  <c r="M6" i="16" s="1"/>
  <c r="N6" i="16" s="1"/>
  <c r="N23" i="15"/>
  <c r="P23" i="15" s="1"/>
  <c r="Q23" i="15" s="1"/>
  <c r="M8" i="16" s="1"/>
  <c r="N22" i="15"/>
  <c r="P22" i="15" s="1"/>
  <c r="Q22" i="15" s="1"/>
  <c r="M7" i="16" s="1"/>
  <c r="B171" i="15"/>
  <c r="R170" i="15"/>
  <c r="L49" i="15"/>
  <c r="C50" i="15"/>
  <c r="J28" i="14"/>
  <c r="O28" i="14" s="1"/>
  <c r="D29" i="14" s="1"/>
  <c r="E29" i="14" s="1"/>
  <c r="L50" i="14"/>
  <c r="C51" i="14"/>
  <c r="R171" i="14"/>
  <c r="B172" i="14"/>
  <c r="O26" i="12"/>
  <c r="D27" i="12" s="1"/>
  <c r="E27" i="12" s="1"/>
  <c r="C52" i="12"/>
  <c r="L51" i="12"/>
  <c r="F50" i="12"/>
  <c r="B173" i="12"/>
  <c r="R172" i="12"/>
  <c r="I22" i="1"/>
  <c r="J22" i="1" s="1"/>
  <c r="K22" i="1" s="1"/>
  <c r="S39" i="1"/>
  <c r="T39" i="1"/>
  <c r="L43" i="1"/>
  <c r="C44" i="1"/>
  <c r="R40" i="1"/>
  <c r="O27" i="15" l="1"/>
  <c r="D28" i="15" s="1"/>
  <c r="E28" i="15" s="1"/>
  <c r="S172" i="12"/>
  <c r="T172" i="12"/>
  <c r="S171" i="14"/>
  <c r="T171" i="14"/>
  <c r="S170" i="15"/>
  <c r="T170" i="15"/>
  <c r="S172" i="17"/>
  <c r="T172" i="17"/>
  <c r="G27" i="12"/>
  <c r="H27" i="12" s="1"/>
  <c r="I27" i="12" s="1"/>
  <c r="J27" i="12" s="1"/>
  <c r="K25" i="17"/>
  <c r="M25" i="17" s="1"/>
  <c r="N37" i="17" s="1"/>
  <c r="G26" i="17"/>
  <c r="H26" i="17" s="1"/>
  <c r="R173" i="17"/>
  <c r="B174" i="17"/>
  <c r="F51" i="17"/>
  <c r="L52" i="17"/>
  <c r="C53" i="17"/>
  <c r="L50" i="15"/>
  <c r="C51" i="15"/>
  <c r="B172" i="15"/>
  <c r="R171" i="15"/>
  <c r="K28" i="14"/>
  <c r="M28" i="14" s="1"/>
  <c r="N40" i="14" s="1"/>
  <c r="G29" i="14"/>
  <c r="H29" i="14" s="1"/>
  <c r="I29" i="14" s="1"/>
  <c r="J29" i="14" s="1"/>
  <c r="O29" i="14" s="1"/>
  <c r="D30" i="14" s="1"/>
  <c r="N20" i="14"/>
  <c r="P20" i="14" s="1"/>
  <c r="Q20" i="14" s="1"/>
  <c r="M5" i="13" s="1"/>
  <c r="N5" i="13" s="1"/>
  <c r="N17" i="14"/>
  <c r="P17" i="14" s="1"/>
  <c r="Q17" i="14" s="1"/>
  <c r="M2" i="13" s="1"/>
  <c r="N2" i="13" s="1"/>
  <c r="N22" i="14"/>
  <c r="P22" i="14" s="1"/>
  <c r="Q22" i="14" s="1"/>
  <c r="M7" i="13" s="1"/>
  <c r="N19" i="14"/>
  <c r="P19" i="14" s="1"/>
  <c r="Q19" i="14" s="1"/>
  <c r="M4" i="13" s="1"/>
  <c r="N4" i="13" s="1"/>
  <c r="N21" i="14"/>
  <c r="P21" i="14" s="1"/>
  <c r="Q21" i="14" s="1"/>
  <c r="M6" i="13" s="1"/>
  <c r="N6" i="13" s="1"/>
  <c r="N24" i="14"/>
  <c r="P24" i="14" s="1"/>
  <c r="Q24" i="14" s="1"/>
  <c r="M9" i="13" s="1"/>
  <c r="C52" i="14"/>
  <c r="L51" i="14"/>
  <c r="B173" i="14"/>
  <c r="R172" i="14"/>
  <c r="F51" i="12"/>
  <c r="L52" i="12"/>
  <c r="C53" i="12"/>
  <c r="R173" i="12"/>
  <c r="B174" i="12"/>
  <c r="P22" i="1"/>
  <c r="Q22" i="1" s="1"/>
  <c r="O22" i="1"/>
  <c r="D23" i="1" s="1"/>
  <c r="G23" i="1" s="1"/>
  <c r="S40" i="1"/>
  <c r="T40" i="1"/>
  <c r="L44" i="1"/>
  <c r="C45" i="1"/>
  <c r="R41" i="1"/>
  <c r="T41" i="1" s="1"/>
  <c r="G28" i="15" l="1"/>
  <c r="S173" i="12"/>
  <c r="T173" i="12"/>
  <c r="S172" i="14"/>
  <c r="T172" i="14"/>
  <c r="S171" i="15"/>
  <c r="T171" i="15"/>
  <c r="S173" i="17"/>
  <c r="T173" i="17"/>
  <c r="H28" i="15"/>
  <c r="F52" i="17"/>
  <c r="R174" i="17"/>
  <c r="B175" i="17"/>
  <c r="L53" i="17"/>
  <c r="C54" i="17"/>
  <c r="P26" i="17"/>
  <c r="Q26" i="17" s="1"/>
  <c r="M11" i="18" s="1"/>
  <c r="J26" i="17"/>
  <c r="N7" i="13"/>
  <c r="N7" i="16"/>
  <c r="B173" i="15"/>
  <c r="R172" i="15"/>
  <c r="C52" i="15"/>
  <c r="L51" i="15"/>
  <c r="E30" i="14"/>
  <c r="G30" i="14"/>
  <c r="L52" i="14"/>
  <c r="C53" i="14"/>
  <c r="B174" i="14"/>
  <c r="R173" i="14"/>
  <c r="K29" i="14"/>
  <c r="M29" i="14" s="1"/>
  <c r="N41" i="14" s="1"/>
  <c r="P29" i="14"/>
  <c r="Q29" i="14" s="1"/>
  <c r="M14" i="13" s="1"/>
  <c r="O27" i="12"/>
  <c r="D28" i="12" s="1"/>
  <c r="E28" i="12" s="1"/>
  <c r="K27" i="12"/>
  <c r="M27" i="12" s="1"/>
  <c r="N39" i="12" s="1"/>
  <c r="C54" i="12"/>
  <c r="L53" i="12"/>
  <c r="B175" i="12"/>
  <c r="R174" i="12"/>
  <c r="P27" i="12"/>
  <c r="Q27" i="12" s="1"/>
  <c r="M12" i="10" s="1"/>
  <c r="F52" i="12"/>
  <c r="M7" i="9"/>
  <c r="N7" i="9" s="1"/>
  <c r="E23" i="1"/>
  <c r="M22" i="1"/>
  <c r="L45" i="1"/>
  <c r="C46" i="1"/>
  <c r="S41" i="1"/>
  <c r="R42" i="1"/>
  <c r="P28" i="15" l="1"/>
  <c r="Q28" i="15" s="1"/>
  <c r="M13" i="16" s="1"/>
  <c r="J28" i="15"/>
  <c r="K28" i="15" s="1"/>
  <c r="M28" i="15" s="1"/>
  <c r="N40" i="15" s="1"/>
  <c r="S174" i="12"/>
  <c r="T174" i="12"/>
  <c r="S173" i="14"/>
  <c r="T173" i="14"/>
  <c r="S172" i="15"/>
  <c r="T172" i="15"/>
  <c r="S174" i="17"/>
  <c r="T174" i="17"/>
  <c r="H23" i="1"/>
  <c r="K26" i="17"/>
  <c r="M26" i="17" s="1"/>
  <c r="N38" i="17" s="1"/>
  <c r="B176" i="17"/>
  <c r="R175" i="17"/>
  <c r="F53" i="17"/>
  <c r="L54" i="17"/>
  <c r="C55" i="17"/>
  <c r="O26" i="17"/>
  <c r="D27" i="17" s="1"/>
  <c r="G28" i="12"/>
  <c r="H28" i="12" s="1"/>
  <c r="H30" i="14"/>
  <c r="I30" i="14" s="1"/>
  <c r="P30" i="14" s="1"/>
  <c r="Q30" i="14" s="1"/>
  <c r="M15" i="13" s="1"/>
  <c r="O28" i="15"/>
  <c r="D29" i="15" s="1"/>
  <c r="B174" i="15"/>
  <c r="R173" i="15"/>
  <c r="C53" i="15"/>
  <c r="L52" i="15"/>
  <c r="C54" i="14"/>
  <c r="L53" i="14"/>
  <c r="R174" i="14"/>
  <c r="B175" i="14"/>
  <c r="L54" i="12"/>
  <c r="C55" i="12"/>
  <c r="F53" i="12"/>
  <c r="B176" i="12"/>
  <c r="R175" i="12"/>
  <c r="S42" i="1"/>
  <c r="T42" i="1"/>
  <c r="L46" i="1"/>
  <c r="C47" i="1"/>
  <c r="R43" i="1"/>
  <c r="S175" i="12" l="1"/>
  <c r="T175" i="12"/>
  <c r="S174" i="14"/>
  <c r="T174" i="14"/>
  <c r="S173" i="15"/>
  <c r="T173" i="15"/>
  <c r="S175" i="17"/>
  <c r="T175" i="17"/>
  <c r="L55" i="17"/>
  <c r="C56" i="17"/>
  <c r="B177" i="17"/>
  <c r="R176" i="17"/>
  <c r="F54" i="17"/>
  <c r="E27" i="17"/>
  <c r="G27" i="17"/>
  <c r="E29" i="15"/>
  <c r="G29" i="15"/>
  <c r="H29" i="15" s="1"/>
  <c r="L53" i="15"/>
  <c r="C54" i="15"/>
  <c r="B175" i="15"/>
  <c r="R174" i="15"/>
  <c r="J30" i="14"/>
  <c r="K30" i="14" s="1"/>
  <c r="M30" i="14" s="1"/>
  <c r="N42" i="14" s="1"/>
  <c r="R175" i="14"/>
  <c r="B176" i="14"/>
  <c r="C55" i="14"/>
  <c r="L54" i="14"/>
  <c r="F54" i="12"/>
  <c r="I28" i="12"/>
  <c r="P28" i="12" s="1"/>
  <c r="Q28" i="12" s="1"/>
  <c r="M13" i="10" s="1"/>
  <c r="C56" i="12"/>
  <c r="L55" i="12"/>
  <c r="B177" i="12"/>
  <c r="R176" i="12"/>
  <c r="I23" i="1"/>
  <c r="S43" i="1"/>
  <c r="T43" i="1"/>
  <c r="L47" i="1"/>
  <c r="C48" i="1"/>
  <c r="R44" i="1"/>
  <c r="J29" i="15" l="1"/>
  <c r="K29" i="15" s="1"/>
  <c r="M29" i="15" s="1"/>
  <c r="N41" i="15" s="1"/>
  <c r="S176" i="12"/>
  <c r="T176" i="12"/>
  <c r="S175" i="14"/>
  <c r="T175" i="14"/>
  <c r="S174" i="15"/>
  <c r="T174" i="15"/>
  <c r="S176" i="17"/>
  <c r="T176" i="17"/>
  <c r="H27" i="17"/>
  <c r="L56" i="17"/>
  <c r="C57" i="17"/>
  <c r="F55" i="17"/>
  <c r="B178" i="17"/>
  <c r="R177" i="17"/>
  <c r="P29" i="15"/>
  <c r="Q29" i="15" s="1"/>
  <c r="M14" i="16" s="1"/>
  <c r="B176" i="15"/>
  <c r="R175" i="15"/>
  <c r="C55" i="15"/>
  <c r="L54" i="15"/>
  <c r="O30" i="14"/>
  <c r="D31" i="14" s="1"/>
  <c r="E31" i="14" s="1"/>
  <c r="C56" i="14"/>
  <c r="L55" i="14"/>
  <c r="B177" i="14"/>
  <c r="R176" i="14"/>
  <c r="B178" i="12"/>
  <c r="R177" i="12"/>
  <c r="C57" i="12"/>
  <c r="L56" i="12"/>
  <c r="J28" i="12"/>
  <c r="F55" i="12"/>
  <c r="P23" i="1"/>
  <c r="Q23" i="1" s="1"/>
  <c r="J23" i="1"/>
  <c r="K23" i="1" s="1"/>
  <c r="S44" i="1"/>
  <c r="T44" i="1"/>
  <c r="L48" i="1"/>
  <c r="C49" i="1"/>
  <c r="R45" i="1"/>
  <c r="O29" i="15" l="1"/>
  <c r="D30" i="15" s="1"/>
  <c r="G30" i="15" s="1"/>
  <c r="S177" i="12"/>
  <c r="T177" i="12"/>
  <c r="S176" i="14"/>
  <c r="T176" i="14"/>
  <c r="S175" i="15"/>
  <c r="T175" i="15"/>
  <c r="S177" i="17"/>
  <c r="T177" i="17"/>
  <c r="J27" i="17"/>
  <c r="K27" i="17" s="1"/>
  <c r="M27" i="17" s="1"/>
  <c r="N39" i="17" s="1"/>
  <c r="P27" i="17"/>
  <c r="Q27" i="17" s="1"/>
  <c r="M12" i="18" s="1"/>
  <c r="G31" i="14"/>
  <c r="H31" i="14" s="1"/>
  <c r="I31" i="14" s="1"/>
  <c r="P31" i="14" s="1"/>
  <c r="Q31" i="14" s="1"/>
  <c r="M16" i="13" s="1"/>
  <c r="L57" i="17"/>
  <c r="C58" i="17"/>
  <c r="F56" i="17"/>
  <c r="B179" i="17"/>
  <c r="R178" i="17"/>
  <c r="N8" i="13"/>
  <c r="N8" i="16"/>
  <c r="L55" i="15"/>
  <c r="C56" i="15"/>
  <c r="R176" i="15"/>
  <c r="B177" i="15"/>
  <c r="B178" i="14"/>
  <c r="R177" i="14"/>
  <c r="C57" i="14"/>
  <c r="L56" i="14"/>
  <c r="K28" i="12"/>
  <c r="M28" i="12" s="1"/>
  <c r="O28" i="12"/>
  <c r="D29" i="12" s="1"/>
  <c r="C58" i="12"/>
  <c r="L57" i="12"/>
  <c r="F56" i="12"/>
  <c r="R178" i="12"/>
  <c r="B179" i="12"/>
  <c r="M8" i="9"/>
  <c r="N8" i="9" s="1"/>
  <c r="O23" i="1"/>
  <c r="D24" i="1" s="1"/>
  <c r="G24" i="1" s="1"/>
  <c r="M23" i="1"/>
  <c r="S45" i="1"/>
  <c r="T45" i="1"/>
  <c r="L49" i="1"/>
  <c r="C50" i="1"/>
  <c r="R46" i="1"/>
  <c r="E24" i="1" l="1"/>
  <c r="E30" i="15"/>
  <c r="S178" i="12"/>
  <c r="T178" i="12"/>
  <c r="S177" i="14"/>
  <c r="T177" i="14"/>
  <c r="S176" i="15"/>
  <c r="T176" i="15"/>
  <c r="S178" i="17"/>
  <c r="T178" i="17"/>
  <c r="O27" i="17"/>
  <c r="D28" i="17" s="1"/>
  <c r="E28" i="17" s="1"/>
  <c r="H30" i="15"/>
  <c r="C59" i="17"/>
  <c r="L58" i="17"/>
  <c r="R179" i="17"/>
  <c r="B180" i="17"/>
  <c r="F57" i="17"/>
  <c r="L56" i="15"/>
  <c r="C57" i="15"/>
  <c r="B178" i="15"/>
  <c r="R177" i="15"/>
  <c r="J31" i="14"/>
  <c r="O31" i="14" s="1"/>
  <c r="D32" i="14" s="1"/>
  <c r="C58" i="14"/>
  <c r="L57" i="14"/>
  <c r="R178" i="14"/>
  <c r="B179" i="14"/>
  <c r="N19" i="12"/>
  <c r="P19" i="12" s="1"/>
  <c r="Q19" i="12" s="1"/>
  <c r="M4" i="10" s="1"/>
  <c r="N4" i="10" s="1"/>
  <c r="N17" i="12"/>
  <c r="P17" i="12" s="1"/>
  <c r="Q17" i="12" s="1"/>
  <c r="M2" i="10" s="1"/>
  <c r="N2" i="10" s="1"/>
  <c r="N21" i="12"/>
  <c r="P21" i="12" s="1"/>
  <c r="Q21" i="12" s="1"/>
  <c r="M6" i="10" s="1"/>
  <c r="N6" i="10" s="1"/>
  <c r="N23" i="12"/>
  <c r="P23" i="12" s="1"/>
  <c r="Q23" i="12" s="1"/>
  <c r="M8" i="10" s="1"/>
  <c r="N8" i="10" s="1"/>
  <c r="N20" i="12"/>
  <c r="P20" i="12" s="1"/>
  <c r="Q20" i="12" s="1"/>
  <c r="M5" i="10" s="1"/>
  <c r="N5" i="10" s="1"/>
  <c r="N22" i="12"/>
  <c r="P22" i="12" s="1"/>
  <c r="Q22" i="12" s="1"/>
  <c r="M7" i="10" s="1"/>
  <c r="N7" i="10" s="1"/>
  <c r="N25" i="12"/>
  <c r="P25" i="12" s="1"/>
  <c r="Q25" i="12" s="1"/>
  <c r="M10" i="10" s="1"/>
  <c r="N40" i="12"/>
  <c r="C59" i="12"/>
  <c r="L58" i="12"/>
  <c r="R179" i="12"/>
  <c r="B180" i="12"/>
  <c r="E29" i="12"/>
  <c r="G29" i="12"/>
  <c r="F57" i="12"/>
  <c r="H24" i="1"/>
  <c r="S46" i="1"/>
  <c r="T46" i="1"/>
  <c r="L50" i="1"/>
  <c r="C51" i="1"/>
  <c r="R47" i="1"/>
  <c r="G28" i="17" l="1"/>
  <c r="P30" i="15"/>
  <c r="Q30" i="15" s="1"/>
  <c r="M15" i="16" s="1"/>
  <c r="S179" i="12"/>
  <c r="T179" i="12"/>
  <c r="S178" i="14"/>
  <c r="T178" i="14"/>
  <c r="S177" i="15"/>
  <c r="T177" i="15"/>
  <c r="S179" i="17"/>
  <c r="T179" i="17"/>
  <c r="J30" i="15"/>
  <c r="O30" i="15" s="1"/>
  <c r="D31" i="15" s="1"/>
  <c r="H28" i="17"/>
  <c r="N19" i="17"/>
  <c r="P19" i="17" s="1"/>
  <c r="Q19" i="17" s="1"/>
  <c r="M4" i="18" s="1"/>
  <c r="N4" i="18" s="1"/>
  <c r="N20" i="17"/>
  <c r="P20" i="17" s="1"/>
  <c r="Q20" i="17" s="1"/>
  <c r="M5" i="18" s="1"/>
  <c r="N5" i="18" s="1"/>
  <c r="N17" i="17"/>
  <c r="P17" i="17" s="1"/>
  <c r="Q17" i="17" s="1"/>
  <c r="M2" i="18" s="1"/>
  <c r="N2" i="18" s="1"/>
  <c r="N21" i="17"/>
  <c r="P21" i="17" s="1"/>
  <c r="Q21" i="17" s="1"/>
  <c r="M6" i="18" s="1"/>
  <c r="N6" i="18" s="1"/>
  <c r="N22" i="17"/>
  <c r="P22" i="17" s="1"/>
  <c r="Q22" i="17" s="1"/>
  <c r="M7" i="18" s="1"/>
  <c r="N7" i="18" s="1"/>
  <c r="N23" i="17"/>
  <c r="P23" i="17" s="1"/>
  <c r="Q23" i="17" s="1"/>
  <c r="M8" i="18" s="1"/>
  <c r="N8" i="18" s="1"/>
  <c r="F58" i="17"/>
  <c r="B181" i="17"/>
  <c r="R180" i="17"/>
  <c r="L59" i="17"/>
  <c r="C60" i="17"/>
  <c r="R178" i="15"/>
  <c r="B179" i="15"/>
  <c r="C58" i="15"/>
  <c r="L57" i="15"/>
  <c r="H29" i="12"/>
  <c r="I29" i="12" s="1"/>
  <c r="P29" i="12" s="1"/>
  <c r="Q29" i="12" s="1"/>
  <c r="M14" i="10" s="1"/>
  <c r="E32" i="14"/>
  <c r="G32" i="14"/>
  <c r="B180" i="14"/>
  <c r="R179" i="14"/>
  <c r="L58" i="14"/>
  <c r="C59" i="14"/>
  <c r="K31" i="14"/>
  <c r="M31" i="14" s="1"/>
  <c r="N43" i="14" s="1"/>
  <c r="R180" i="12"/>
  <c r="B181" i="12"/>
  <c r="C60" i="12"/>
  <c r="L59" i="12"/>
  <c r="F58" i="12"/>
  <c r="I24" i="1"/>
  <c r="S47" i="1"/>
  <c r="T47" i="1"/>
  <c r="L51" i="1"/>
  <c r="C52" i="1"/>
  <c r="R48" i="1"/>
  <c r="S180" i="12" l="1"/>
  <c r="T180" i="12"/>
  <c r="S179" i="14"/>
  <c r="T179" i="14"/>
  <c r="S178" i="15"/>
  <c r="T178" i="15"/>
  <c r="S180" i="17"/>
  <c r="T180" i="17"/>
  <c r="K30" i="15"/>
  <c r="M30" i="15" s="1"/>
  <c r="N42" i="15" s="1"/>
  <c r="J28" i="17"/>
  <c r="K28" i="17" s="1"/>
  <c r="M28" i="17" s="1"/>
  <c r="N40" i="17" s="1"/>
  <c r="F59" i="17"/>
  <c r="L60" i="17"/>
  <c r="C61" i="17"/>
  <c r="B182" i="17"/>
  <c r="R181" i="17"/>
  <c r="G31" i="15"/>
  <c r="E31" i="15"/>
  <c r="L58" i="15"/>
  <c r="C59" i="15"/>
  <c r="B180" i="15"/>
  <c r="R179" i="15"/>
  <c r="H32" i="14"/>
  <c r="I32" i="14" s="1"/>
  <c r="J32" i="14" s="1"/>
  <c r="J29" i="12"/>
  <c r="O29" i="12" s="1"/>
  <c r="D30" i="12" s="1"/>
  <c r="E30" i="12" s="1"/>
  <c r="L59" i="14"/>
  <c r="C60" i="14"/>
  <c r="B181" i="14"/>
  <c r="R180" i="14"/>
  <c r="R181" i="12"/>
  <c r="B182" i="12"/>
  <c r="F59" i="12"/>
  <c r="C61" i="12"/>
  <c r="L60" i="12"/>
  <c r="P24" i="1"/>
  <c r="Q24" i="1" s="1"/>
  <c r="J24" i="1"/>
  <c r="K24" i="1" s="1"/>
  <c r="M24" i="1" s="1"/>
  <c r="S48" i="1"/>
  <c r="T48" i="1"/>
  <c r="L52" i="1"/>
  <c r="C53" i="1"/>
  <c r="R49" i="1"/>
  <c r="T49" i="1" s="1"/>
  <c r="S181" i="12" l="1"/>
  <c r="T181" i="12"/>
  <c r="S180" i="14"/>
  <c r="T180" i="14"/>
  <c r="S179" i="15"/>
  <c r="T179" i="15"/>
  <c r="S181" i="17"/>
  <c r="T181" i="17"/>
  <c r="N9" i="18"/>
  <c r="P28" i="17"/>
  <c r="Q28" i="17" s="1"/>
  <c r="M13" i="18" s="1"/>
  <c r="O28" i="17"/>
  <c r="D29" i="17" s="1"/>
  <c r="R182" i="17"/>
  <c r="B183" i="17"/>
  <c r="C62" i="17"/>
  <c r="L61" i="17"/>
  <c r="F60" i="17"/>
  <c r="N9" i="13"/>
  <c r="N9" i="16"/>
  <c r="H31" i="15"/>
  <c r="K29" i="12"/>
  <c r="M29" i="12" s="1"/>
  <c r="N41" i="12" s="1"/>
  <c r="G30" i="12"/>
  <c r="H30" i="12" s="1"/>
  <c r="C60" i="15"/>
  <c r="L59" i="15"/>
  <c r="R180" i="15"/>
  <c r="B181" i="15"/>
  <c r="O32" i="14"/>
  <c r="D33" i="14" s="1"/>
  <c r="K32" i="14"/>
  <c r="M32" i="14" s="1"/>
  <c r="N44" i="14" s="1"/>
  <c r="P32" i="14"/>
  <c r="Q32" i="14" s="1"/>
  <c r="M17" i="13" s="1"/>
  <c r="L60" i="14"/>
  <c r="C61" i="14"/>
  <c r="B182" i="14"/>
  <c r="R181" i="14"/>
  <c r="B183" i="12"/>
  <c r="R182" i="12"/>
  <c r="F60" i="12"/>
  <c r="C62" i="12"/>
  <c r="L61" i="12"/>
  <c r="M9" i="9"/>
  <c r="N9" i="9" s="1"/>
  <c r="N9" i="10"/>
  <c r="O24" i="1"/>
  <c r="D25" i="1" s="1"/>
  <c r="G25" i="1" s="1"/>
  <c r="L53" i="1"/>
  <c r="C54" i="1"/>
  <c r="S49" i="1"/>
  <c r="R50" i="1"/>
  <c r="S182" i="12" l="1"/>
  <c r="T182" i="12"/>
  <c r="S181" i="14"/>
  <c r="T181" i="14"/>
  <c r="S180" i="15"/>
  <c r="T180" i="15"/>
  <c r="S182" i="17"/>
  <c r="T182" i="17"/>
  <c r="G29" i="17"/>
  <c r="E29" i="17"/>
  <c r="F61" i="17"/>
  <c r="L62" i="17"/>
  <c r="C63" i="17"/>
  <c r="B184" i="17"/>
  <c r="R183" i="17"/>
  <c r="J31" i="15"/>
  <c r="K31" i="15" s="1"/>
  <c r="M31" i="15" s="1"/>
  <c r="N43" i="15" s="1"/>
  <c r="B182" i="15"/>
  <c r="R181" i="15"/>
  <c r="C61" i="15"/>
  <c r="L60" i="15"/>
  <c r="C62" i="14"/>
  <c r="L61" i="14"/>
  <c r="R182" i="14"/>
  <c r="B183" i="14"/>
  <c r="E33" i="14"/>
  <c r="G33" i="14"/>
  <c r="L62" i="12"/>
  <c r="C63" i="12"/>
  <c r="F61" i="12"/>
  <c r="I30" i="12"/>
  <c r="P30" i="12" s="1"/>
  <c r="Q30" i="12" s="1"/>
  <c r="M15" i="10" s="1"/>
  <c r="B184" i="12"/>
  <c r="R183" i="12"/>
  <c r="E25" i="1"/>
  <c r="H25" i="1" s="1"/>
  <c r="S50" i="1"/>
  <c r="T50" i="1"/>
  <c r="L54" i="1"/>
  <c r="C55" i="1"/>
  <c r="R51" i="1"/>
  <c r="S183" i="12" l="1"/>
  <c r="T183" i="12"/>
  <c r="S182" i="14"/>
  <c r="T182" i="14"/>
  <c r="S181" i="15"/>
  <c r="T181" i="15"/>
  <c r="S183" i="17"/>
  <c r="T183" i="17"/>
  <c r="H29" i="17"/>
  <c r="L63" i="17"/>
  <c r="C64" i="17"/>
  <c r="B185" i="17"/>
  <c r="R184" i="17"/>
  <c r="F62" i="17"/>
  <c r="O31" i="15"/>
  <c r="D32" i="15" s="1"/>
  <c r="H33" i="14"/>
  <c r="I33" i="14" s="1"/>
  <c r="P33" i="14" s="1"/>
  <c r="Q33" i="14" s="1"/>
  <c r="M18" i="13" s="1"/>
  <c r="P31" i="15"/>
  <c r="Q31" i="15" s="1"/>
  <c r="M16" i="16" s="1"/>
  <c r="C62" i="15"/>
  <c r="L61" i="15"/>
  <c r="B183" i="15"/>
  <c r="R182" i="15"/>
  <c r="C63" i="14"/>
  <c r="L62" i="14"/>
  <c r="R183" i="14"/>
  <c r="B184" i="14"/>
  <c r="J30" i="12"/>
  <c r="O30" i="12" s="1"/>
  <c r="D31" i="12" s="1"/>
  <c r="F62" i="12"/>
  <c r="C64" i="12"/>
  <c r="L63" i="12"/>
  <c r="B185" i="12"/>
  <c r="R184" i="12"/>
  <c r="I25" i="1"/>
  <c r="J25" i="1" s="1"/>
  <c r="K25" i="1" s="1"/>
  <c r="S51" i="1"/>
  <c r="T51" i="1"/>
  <c r="L55" i="1"/>
  <c r="C56" i="1"/>
  <c r="R52" i="1"/>
  <c r="S184" i="12" l="1"/>
  <c r="T184" i="12"/>
  <c r="S183" i="14"/>
  <c r="T183" i="14"/>
  <c r="S182" i="15"/>
  <c r="T182" i="15"/>
  <c r="S184" i="17"/>
  <c r="T184" i="17"/>
  <c r="P29" i="17"/>
  <c r="Q29" i="17" s="1"/>
  <c r="M14" i="18" s="1"/>
  <c r="J29" i="17"/>
  <c r="K29" i="17" s="1"/>
  <c r="M29" i="17" s="1"/>
  <c r="N41" i="17" s="1"/>
  <c r="B186" i="17"/>
  <c r="R185" i="17"/>
  <c r="L64" i="17"/>
  <c r="C65" i="17"/>
  <c r="F63" i="17"/>
  <c r="E32" i="15"/>
  <c r="G32" i="15"/>
  <c r="H32" i="15" s="1"/>
  <c r="R183" i="15"/>
  <c r="B184" i="15"/>
  <c r="C63" i="15"/>
  <c r="L62" i="15"/>
  <c r="J33" i="14"/>
  <c r="O33" i="14" s="1"/>
  <c r="D34" i="14" s="1"/>
  <c r="B185" i="14"/>
  <c r="R184" i="14"/>
  <c r="C64" i="14"/>
  <c r="L63" i="14"/>
  <c r="R185" i="12"/>
  <c r="B186" i="12"/>
  <c r="C65" i="12"/>
  <c r="L64" i="12"/>
  <c r="F63" i="12"/>
  <c r="E31" i="12"/>
  <c r="G31" i="12"/>
  <c r="K30" i="12"/>
  <c r="M30" i="12" s="1"/>
  <c r="N42" i="12" s="1"/>
  <c r="O25" i="1"/>
  <c r="D26" i="1" s="1"/>
  <c r="G26" i="1" s="1"/>
  <c r="P25" i="1"/>
  <c r="Q25" i="1" s="1"/>
  <c r="S52" i="1"/>
  <c r="T52" i="1"/>
  <c r="L56" i="1"/>
  <c r="C57" i="1"/>
  <c r="R53" i="1"/>
  <c r="M25" i="1"/>
  <c r="E26" i="1" l="1"/>
  <c r="H26" i="1" s="1"/>
  <c r="J32" i="15"/>
  <c r="K32" i="15" s="1"/>
  <c r="M32" i="15" s="1"/>
  <c r="N44" i="15" s="1"/>
  <c r="S185" i="12"/>
  <c r="T185" i="12"/>
  <c r="S184" i="14"/>
  <c r="T184" i="14"/>
  <c r="S183" i="15"/>
  <c r="T183" i="15"/>
  <c r="S185" i="17"/>
  <c r="T185" i="17"/>
  <c r="N10" i="18"/>
  <c r="O29" i="17"/>
  <c r="D30" i="17" s="1"/>
  <c r="F64" i="17"/>
  <c r="B187" i="17"/>
  <c r="R186" i="17"/>
  <c r="C66" i="17"/>
  <c r="L65" i="17"/>
  <c r="N10" i="13"/>
  <c r="N10" i="16"/>
  <c r="P32" i="15"/>
  <c r="Q32" i="15" s="1"/>
  <c r="M17" i="16" s="1"/>
  <c r="R184" i="15"/>
  <c r="B185" i="15"/>
  <c r="L63" i="15"/>
  <c r="C64" i="15"/>
  <c r="K33" i="14"/>
  <c r="M33" i="14" s="1"/>
  <c r="N45" i="14" s="1"/>
  <c r="L64" i="14"/>
  <c r="C65" i="14"/>
  <c r="E34" i="14"/>
  <c r="G34" i="14"/>
  <c r="B186" i="14"/>
  <c r="R185" i="14"/>
  <c r="F64" i="12"/>
  <c r="C66" i="12"/>
  <c r="L65" i="12"/>
  <c r="H31" i="12"/>
  <c r="R186" i="12"/>
  <c r="B187" i="12"/>
  <c r="M10" i="9"/>
  <c r="N10" i="9" s="1"/>
  <c r="N10" i="10"/>
  <c r="S53" i="1"/>
  <c r="T53" i="1"/>
  <c r="L57" i="1"/>
  <c r="C58" i="1"/>
  <c r="R54" i="1"/>
  <c r="O32" i="15" l="1"/>
  <c r="D33" i="15" s="1"/>
  <c r="S186" i="12"/>
  <c r="T186" i="12"/>
  <c r="S185" i="14"/>
  <c r="T185" i="14"/>
  <c r="S184" i="15"/>
  <c r="T184" i="15"/>
  <c r="S186" i="17"/>
  <c r="T186" i="17"/>
  <c r="I26" i="1"/>
  <c r="E30" i="17"/>
  <c r="G30" i="17"/>
  <c r="L66" i="17"/>
  <c r="C67" i="17"/>
  <c r="R187" i="17"/>
  <c r="B188" i="17"/>
  <c r="F65" i="17"/>
  <c r="E33" i="15"/>
  <c r="G33" i="15"/>
  <c r="B186" i="15"/>
  <c r="R185" i="15"/>
  <c r="L64" i="15"/>
  <c r="C65" i="15"/>
  <c r="H34" i="14"/>
  <c r="I34" i="14" s="1"/>
  <c r="J34" i="14" s="1"/>
  <c r="R186" i="14"/>
  <c r="B187" i="14"/>
  <c r="C66" i="14"/>
  <c r="L65" i="14"/>
  <c r="B188" i="12"/>
  <c r="R187" i="12"/>
  <c r="I31" i="12"/>
  <c r="P31" i="12" s="1"/>
  <c r="Q31" i="12" s="1"/>
  <c r="M16" i="10" s="1"/>
  <c r="C67" i="12"/>
  <c r="L66" i="12"/>
  <c r="F65" i="12"/>
  <c r="S54" i="1"/>
  <c r="T54" i="1"/>
  <c r="L58" i="1"/>
  <c r="C59" i="1"/>
  <c r="R55" i="1"/>
  <c r="S187" i="12" l="1"/>
  <c r="T187" i="12"/>
  <c r="S186" i="14"/>
  <c r="T186" i="14"/>
  <c r="S185" i="15"/>
  <c r="T185" i="15"/>
  <c r="S187" i="17"/>
  <c r="T187" i="17"/>
  <c r="J26" i="1"/>
  <c r="K26" i="1" s="1"/>
  <c r="P26" i="1"/>
  <c r="Q26" i="1" s="1"/>
  <c r="N11" i="18"/>
  <c r="H30" i="17"/>
  <c r="P30" i="17" s="1"/>
  <c r="Q30" i="17" s="1"/>
  <c r="M15" i="18" s="1"/>
  <c r="H33" i="15"/>
  <c r="I33" i="15" s="1"/>
  <c r="P33" i="15" s="1"/>
  <c r="Q33" i="15" s="1"/>
  <c r="M18" i="16" s="1"/>
  <c r="C68" i="17"/>
  <c r="L67" i="17"/>
  <c r="F66" i="17"/>
  <c r="R188" i="17"/>
  <c r="B189" i="17"/>
  <c r="N11" i="16"/>
  <c r="C66" i="15"/>
  <c r="L65" i="15"/>
  <c r="B187" i="15"/>
  <c r="R186" i="15"/>
  <c r="O34" i="14"/>
  <c r="D35" i="14" s="1"/>
  <c r="G35" i="14" s="1"/>
  <c r="L66" i="14"/>
  <c r="C67" i="14"/>
  <c r="P34" i="14"/>
  <c r="Q34" i="14" s="1"/>
  <c r="M19" i="13" s="1"/>
  <c r="K34" i="14"/>
  <c r="M34" i="14" s="1"/>
  <c r="N46" i="14" s="1"/>
  <c r="B188" i="14"/>
  <c r="R187" i="14"/>
  <c r="F66" i="12"/>
  <c r="C68" i="12"/>
  <c r="L67" i="12"/>
  <c r="J31" i="12"/>
  <c r="B189" i="12"/>
  <c r="R188" i="12"/>
  <c r="N11" i="10"/>
  <c r="S55" i="1"/>
  <c r="T55" i="1"/>
  <c r="L59" i="1"/>
  <c r="C60" i="1"/>
  <c r="R56" i="1"/>
  <c r="J33" i="15" l="1"/>
  <c r="K33" i="15" s="1"/>
  <c r="M33" i="15" s="1"/>
  <c r="N45" i="15" s="1"/>
  <c r="J30" i="17"/>
  <c r="O30" i="17" s="1"/>
  <c r="D31" i="17" s="1"/>
  <c r="S188" i="12"/>
  <c r="T188" i="12"/>
  <c r="S187" i="14"/>
  <c r="T187" i="14"/>
  <c r="S186" i="15"/>
  <c r="T186" i="15"/>
  <c r="S188" i="17"/>
  <c r="T188" i="17"/>
  <c r="M11" i="9"/>
  <c r="N11" i="9" s="1"/>
  <c r="O26" i="1"/>
  <c r="D27" i="1" s="1"/>
  <c r="G27" i="1" s="1"/>
  <c r="N11" i="13"/>
  <c r="E35" i="14"/>
  <c r="H35" i="14" s="1"/>
  <c r="I35" i="14" s="1"/>
  <c r="P35" i="14" s="1"/>
  <c r="Q35" i="14" s="1"/>
  <c r="M20" i="13" s="1"/>
  <c r="K30" i="17"/>
  <c r="M30" i="17" s="1"/>
  <c r="N42" i="17" s="1"/>
  <c r="F67" i="17"/>
  <c r="L68" i="17"/>
  <c r="C69" i="17"/>
  <c r="R189" i="17"/>
  <c r="B190" i="17"/>
  <c r="O33" i="15"/>
  <c r="D34" i="15" s="1"/>
  <c r="L66" i="15"/>
  <c r="C67" i="15"/>
  <c r="R187" i="15"/>
  <c r="B188" i="15"/>
  <c r="L67" i="14"/>
  <c r="C68" i="14"/>
  <c r="R188" i="14"/>
  <c r="B189" i="14"/>
  <c r="K31" i="12"/>
  <c r="M31" i="12" s="1"/>
  <c r="N43" i="12" s="1"/>
  <c r="C69" i="12"/>
  <c r="L68" i="12"/>
  <c r="R189" i="12"/>
  <c r="B190" i="12"/>
  <c r="O31" i="12"/>
  <c r="D32" i="12" s="1"/>
  <c r="F67" i="12"/>
  <c r="S56" i="1"/>
  <c r="T56" i="1"/>
  <c r="L60" i="1"/>
  <c r="C61" i="1"/>
  <c r="R57" i="1"/>
  <c r="T57" i="1" s="1"/>
  <c r="M26" i="1"/>
  <c r="E27" i="1" l="1"/>
  <c r="S189" i="12"/>
  <c r="T189" i="12"/>
  <c r="S188" i="14"/>
  <c r="T188" i="14"/>
  <c r="S187" i="15"/>
  <c r="T187" i="15"/>
  <c r="S189" i="17"/>
  <c r="T189" i="17"/>
  <c r="H27" i="1"/>
  <c r="I27" i="1" s="1"/>
  <c r="E31" i="17"/>
  <c r="G31" i="17"/>
  <c r="H31" i="17" s="1"/>
  <c r="R190" i="17"/>
  <c r="B191" i="17"/>
  <c r="L69" i="17"/>
  <c r="C70" i="17"/>
  <c r="F68" i="17"/>
  <c r="E34" i="15"/>
  <c r="G34" i="15"/>
  <c r="H34" i="15" s="1"/>
  <c r="C68" i="15"/>
  <c r="L67" i="15"/>
  <c r="R188" i="15"/>
  <c r="B189" i="15"/>
  <c r="J35" i="14"/>
  <c r="K35" i="14" s="1"/>
  <c r="M35" i="14" s="1"/>
  <c r="N47" i="14" s="1"/>
  <c r="L68" i="14"/>
  <c r="C69" i="14"/>
  <c r="R189" i="14"/>
  <c r="B190" i="14"/>
  <c r="F68" i="12"/>
  <c r="E32" i="12"/>
  <c r="G32" i="12"/>
  <c r="C70" i="12"/>
  <c r="L69" i="12"/>
  <c r="B191" i="12"/>
  <c r="R190" i="12"/>
  <c r="L61" i="1"/>
  <c r="C62" i="1"/>
  <c r="S57" i="1"/>
  <c r="R58" i="1"/>
  <c r="S190" i="12" l="1"/>
  <c r="T190" i="12"/>
  <c r="S189" i="14"/>
  <c r="T189" i="14"/>
  <c r="S188" i="15"/>
  <c r="T188" i="15"/>
  <c r="S190" i="17"/>
  <c r="T190" i="17"/>
  <c r="H32" i="12"/>
  <c r="I32" i="12" s="1"/>
  <c r="P32" i="12" s="1"/>
  <c r="Q32" i="12" s="1"/>
  <c r="M17" i="10" s="1"/>
  <c r="J31" i="17"/>
  <c r="K31" i="17" s="1"/>
  <c r="M31" i="17" s="1"/>
  <c r="N43" i="17" s="1"/>
  <c r="F69" i="17"/>
  <c r="L70" i="17"/>
  <c r="C71" i="17"/>
  <c r="B192" i="17"/>
  <c r="R191" i="17"/>
  <c r="I34" i="15"/>
  <c r="J34" i="15" s="1"/>
  <c r="K34" i="15" s="1"/>
  <c r="M34" i="15" s="1"/>
  <c r="N46" i="15" s="1"/>
  <c r="R189" i="15"/>
  <c r="B190" i="15"/>
  <c r="C69" i="15"/>
  <c r="L68" i="15"/>
  <c r="O35" i="14"/>
  <c r="D36" i="14" s="1"/>
  <c r="E36" i="14" s="1"/>
  <c r="R190" i="14"/>
  <c r="B191" i="14"/>
  <c r="C70" i="14"/>
  <c r="L69" i="14"/>
  <c r="L70" i="12"/>
  <c r="C71" i="12"/>
  <c r="R191" i="12"/>
  <c r="B192" i="12"/>
  <c r="F69" i="12"/>
  <c r="J27" i="1"/>
  <c r="K27" i="1" s="1"/>
  <c r="S58" i="1"/>
  <c r="T58" i="1"/>
  <c r="L62" i="1"/>
  <c r="C63" i="1"/>
  <c r="R59" i="1"/>
  <c r="P27" i="1"/>
  <c r="Q27" i="1" s="1"/>
  <c r="S191" i="12" l="1"/>
  <c r="T191" i="12"/>
  <c r="S190" i="14"/>
  <c r="T190" i="14"/>
  <c r="S189" i="15"/>
  <c r="T189" i="15"/>
  <c r="S191" i="17"/>
  <c r="T191" i="17"/>
  <c r="N12" i="18"/>
  <c r="P34" i="15"/>
  <c r="Q34" i="15" s="1"/>
  <c r="M19" i="16" s="1"/>
  <c r="O31" i="17"/>
  <c r="D32" i="17" s="1"/>
  <c r="P31" i="17"/>
  <c r="Q31" i="17" s="1"/>
  <c r="M16" i="18" s="1"/>
  <c r="C72" i="17"/>
  <c r="L71" i="17"/>
  <c r="B193" i="17"/>
  <c r="R192" i="17"/>
  <c r="F70" i="17"/>
  <c r="N12" i="13"/>
  <c r="N12" i="16"/>
  <c r="O34" i="15"/>
  <c r="D35" i="15" s="1"/>
  <c r="G36" i="14"/>
  <c r="H36" i="14" s="1"/>
  <c r="I36" i="14" s="1"/>
  <c r="J36" i="14" s="1"/>
  <c r="B191" i="15"/>
  <c r="R190" i="15"/>
  <c r="L69" i="15"/>
  <c r="C70" i="15"/>
  <c r="C71" i="14"/>
  <c r="L70" i="14"/>
  <c r="B192" i="14"/>
  <c r="R191" i="14"/>
  <c r="J32" i="12"/>
  <c r="O32" i="12" s="1"/>
  <c r="D33" i="12" s="1"/>
  <c r="R192" i="12"/>
  <c r="B193" i="12"/>
  <c r="F70" i="12"/>
  <c r="C72" i="12"/>
  <c r="L71" i="12"/>
  <c r="M12" i="9"/>
  <c r="N12" i="9" s="1"/>
  <c r="N12" i="10"/>
  <c r="S59" i="1"/>
  <c r="T59" i="1"/>
  <c r="L63" i="1"/>
  <c r="C64" i="1"/>
  <c r="R60" i="1"/>
  <c r="O27" i="1"/>
  <c r="D28" i="1" s="1"/>
  <c r="G28" i="1" s="1"/>
  <c r="S192" i="12" l="1"/>
  <c r="T192" i="12"/>
  <c r="S191" i="14"/>
  <c r="T191" i="14"/>
  <c r="S190" i="15"/>
  <c r="T190" i="15"/>
  <c r="S192" i="17"/>
  <c r="T192" i="17"/>
  <c r="G32" i="17"/>
  <c r="E32" i="17"/>
  <c r="B194" i="17"/>
  <c r="R193" i="17"/>
  <c r="F71" i="17"/>
  <c r="L72" i="17"/>
  <c r="C73" i="17"/>
  <c r="G35" i="15"/>
  <c r="E35" i="15"/>
  <c r="B192" i="15"/>
  <c r="R191" i="15"/>
  <c r="L70" i="15"/>
  <c r="C71" i="15"/>
  <c r="R192" i="14"/>
  <c r="B193" i="14"/>
  <c r="O36" i="14"/>
  <c r="D37" i="14" s="1"/>
  <c r="K36" i="14"/>
  <c r="M36" i="14" s="1"/>
  <c r="N48" i="14" s="1"/>
  <c r="C72" i="14"/>
  <c r="L71" i="14"/>
  <c r="P36" i="14"/>
  <c r="Q36" i="14" s="1"/>
  <c r="M21" i="13" s="1"/>
  <c r="K32" i="12"/>
  <c r="M32" i="12" s="1"/>
  <c r="N44" i="12" s="1"/>
  <c r="E33" i="12"/>
  <c r="G33" i="12"/>
  <c r="R193" i="12"/>
  <c r="B194" i="12"/>
  <c r="C73" i="12"/>
  <c r="L72" i="12"/>
  <c r="F71" i="12"/>
  <c r="E28" i="1"/>
  <c r="S60" i="1"/>
  <c r="T60" i="1"/>
  <c r="L64" i="1"/>
  <c r="C65" i="1"/>
  <c r="R61" i="1"/>
  <c r="M27" i="1"/>
  <c r="S193" i="12" l="1"/>
  <c r="T193" i="12"/>
  <c r="S192" i="14"/>
  <c r="T192" i="14"/>
  <c r="S191" i="15"/>
  <c r="T191" i="15"/>
  <c r="S193" i="17"/>
  <c r="T193" i="17"/>
  <c r="H28" i="1"/>
  <c r="I28" i="1" s="1"/>
  <c r="H32" i="17"/>
  <c r="F72" i="17"/>
  <c r="C74" i="17"/>
  <c r="L73" i="17"/>
  <c r="R194" i="17"/>
  <c r="B195" i="17"/>
  <c r="H35" i="15"/>
  <c r="L71" i="15"/>
  <c r="C72" i="15"/>
  <c r="R192" i="15"/>
  <c r="B193" i="15"/>
  <c r="L72" i="14"/>
  <c r="C73" i="14"/>
  <c r="E37" i="14"/>
  <c r="G37" i="14"/>
  <c r="B194" i="14"/>
  <c r="R193" i="14"/>
  <c r="H33" i="12"/>
  <c r="I33" i="12" s="1"/>
  <c r="J33" i="12" s="1"/>
  <c r="C74" i="12"/>
  <c r="L73" i="12"/>
  <c r="B195" i="12"/>
  <c r="R194" i="12"/>
  <c r="F72" i="12"/>
  <c r="S61" i="1"/>
  <c r="T61" i="1"/>
  <c r="L65" i="1"/>
  <c r="C66" i="1"/>
  <c r="R62" i="1"/>
  <c r="S194" i="12" l="1"/>
  <c r="T194" i="12"/>
  <c r="S193" i="14"/>
  <c r="T193" i="14"/>
  <c r="S192" i="15"/>
  <c r="T192" i="15"/>
  <c r="S194" i="17"/>
  <c r="T194" i="17"/>
  <c r="J32" i="17"/>
  <c r="R195" i="17"/>
  <c r="B196" i="17"/>
  <c r="L74" i="17"/>
  <c r="C75" i="17"/>
  <c r="F73" i="17"/>
  <c r="H37" i="14"/>
  <c r="I37" i="14" s="1"/>
  <c r="J37" i="14" s="1"/>
  <c r="I35" i="15"/>
  <c r="P35" i="15" s="1"/>
  <c r="Q35" i="15" s="1"/>
  <c r="M20" i="16" s="1"/>
  <c r="B194" i="15"/>
  <c r="R193" i="15"/>
  <c r="L72" i="15"/>
  <c r="C73" i="15"/>
  <c r="B195" i="14"/>
  <c r="R194" i="14"/>
  <c r="L73" i="14"/>
  <c r="C74" i="14"/>
  <c r="O33" i="12"/>
  <c r="D34" i="12" s="1"/>
  <c r="E34" i="12" s="1"/>
  <c r="K33" i="12"/>
  <c r="M33" i="12" s="1"/>
  <c r="N45" i="12" s="1"/>
  <c r="P33" i="12"/>
  <c r="Q33" i="12" s="1"/>
  <c r="M18" i="10" s="1"/>
  <c r="B196" i="12"/>
  <c r="R195" i="12"/>
  <c r="F73" i="12"/>
  <c r="L74" i="12"/>
  <c r="C75" i="12"/>
  <c r="J28" i="1"/>
  <c r="K28" i="1" s="1"/>
  <c r="S62" i="1"/>
  <c r="T62" i="1"/>
  <c r="L66" i="1"/>
  <c r="C67" i="1"/>
  <c r="R63" i="1"/>
  <c r="P28" i="1"/>
  <c r="Q28" i="1" s="1"/>
  <c r="S195" i="12" l="1"/>
  <c r="T195" i="12"/>
  <c r="S194" i="14"/>
  <c r="T194" i="14"/>
  <c r="S193" i="15"/>
  <c r="T193" i="15"/>
  <c r="S195" i="17"/>
  <c r="T195" i="17"/>
  <c r="N13" i="18"/>
  <c r="J35" i="15"/>
  <c r="O35" i="15" s="1"/>
  <c r="D36" i="15" s="1"/>
  <c r="E36" i="15" s="1"/>
  <c r="K32" i="17"/>
  <c r="M32" i="17" s="1"/>
  <c r="N44" i="17" s="1"/>
  <c r="P32" i="17"/>
  <c r="Q32" i="17" s="1"/>
  <c r="M17" i="18" s="1"/>
  <c r="O32" i="17"/>
  <c r="D33" i="17" s="1"/>
  <c r="C76" i="17"/>
  <c r="L75" i="17"/>
  <c r="R196" i="17"/>
  <c r="B197" i="17"/>
  <c r="F74" i="17"/>
  <c r="G34" i="12"/>
  <c r="H34" i="12" s="1"/>
  <c r="I34" i="12" s="1"/>
  <c r="P34" i="12" s="1"/>
  <c r="Q34" i="12" s="1"/>
  <c r="M19" i="10" s="1"/>
  <c r="N13" i="13"/>
  <c r="N13" i="16"/>
  <c r="L73" i="15"/>
  <c r="C74" i="15"/>
  <c r="B195" i="15"/>
  <c r="R194" i="15"/>
  <c r="O37" i="14"/>
  <c r="D38" i="14" s="1"/>
  <c r="E38" i="14" s="1"/>
  <c r="L74" i="14"/>
  <c r="C75" i="14"/>
  <c r="K37" i="14"/>
  <c r="M37" i="14" s="1"/>
  <c r="N49" i="14" s="1"/>
  <c r="P37" i="14"/>
  <c r="Q37" i="14" s="1"/>
  <c r="M22" i="13" s="1"/>
  <c r="B196" i="14"/>
  <c r="R195" i="14"/>
  <c r="C76" i="12"/>
  <c r="L75" i="12"/>
  <c r="B197" i="12"/>
  <c r="R196" i="12"/>
  <c r="F74" i="12"/>
  <c r="M13" i="9"/>
  <c r="N13" i="9" s="1"/>
  <c r="N13" i="10"/>
  <c r="S63" i="1"/>
  <c r="T63" i="1"/>
  <c r="L67" i="1"/>
  <c r="C68" i="1"/>
  <c r="R64" i="1"/>
  <c r="O28" i="1"/>
  <c r="D29" i="1" s="1"/>
  <c r="G29" i="1" s="1"/>
  <c r="S196" i="12" l="1"/>
  <c r="T196" i="12"/>
  <c r="S195" i="14"/>
  <c r="T195" i="14"/>
  <c r="S194" i="15"/>
  <c r="T194" i="15"/>
  <c r="S196" i="17"/>
  <c r="T196" i="17"/>
  <c r="K35" i="15"/>
  <c r="M35" i="15" s="1"/>
  <c r="N47" i="15" s="1"/>
  <c r="G36" i="15"/>
  <c r="H36" i="15" s="1"/>
  <c r="I36" i="15" s="1"/>
  <c r="J36" i="15" s="1"/>
  <c r="G38" i="14"/>
  <c r="H38" i="14" s="1"/>
  <c r="E33" i="17"/>
  <c r="G33" i="17"/>
  <c r="F75" i="17"/>
  <c r="L76" i="17"/>
  <c r="C77" i="17"/>
  <c r="B198" i="17"/>
  <c r="R197" i="17"/>
  <c r="B196" i="15"/>
  <c r="R195" i="15"/>
  <c r="L74" i="15"/>
  <c r="C75" i="15"/>
  <c r="L75" i="14"/>
  <c r="C76" i="14"/>
  <c r="B197" i="14"/>
  <c r="R196" i="14"/>
  <c r="J34" i="12"/>
  <c r="K34" i="12" s="1"/>
  <c r="M34" i="12" s="1"/>
  <c r="N46" i="12" s="1"/>
  <c r="F75" i="12"/>
  <c r="L76" i="12"/>
  <c r="C77" i="12"/>
  <c r="R197" i="12"/>
  <c r="B198" i="12"/>
  <c r="E29" i="1"/>
  <c r="S64" i="1"/>
  <c r="T64" i="1"/>
  <c r="L68" i="1"/>
  <c r="C69" i="1"/>
  <c r="R65" i="1"/>
  <c r="M28" i="1"/>
  <c r="S197" i="12" l="1"/>
  <c r="T197" i="12"/>
  <c r="S196" i="14"/>
  <c r="T196" i="14"/>
  <c r="S195" i="15"/>
  <c r="T195" i="15"/>
  <c r="S197" i="17"/>
  <c r="T197" i="17"/>
  <c r="H29" i="1"/>
  <c r="H33" i="17"/>
  <c r="P36" i="15"/>
  <c r="Q36" i="15" s="1"/>
  <c r="M21" i="16" s="1"/>
  <c r="R198" i="17"/>
  <c r="B199" i="17"/>
  <c r="C78" i="17"/>
  <c r="L77" i="17"/>
  <c r="F76" i="17"/>
  <c r="K36" i="15"/>
  <c r="M36" i="15" s="1"/>
  <c r="N48" i="15" s="1"/>
  <c r="O36" i="15"/>
  <c r="D37" i="15" s="1"/>
  <c r="R196" i="15"/>
  <c r="B197" i="15"/>
  <c r="C76" i="15"/>
  <c r="L75" i="15"/>
  <c r="I38" i="14"/>
  <c r="P38" i="14" s="1"/>
  <c r="Q38" i="14" s="1"/>
  <c r="M23" i="13" s="1"/>
  <c r="C77" i="14"/>
  <c r="L76" i="14"/>
  <c r="R197" i="14"/>
  <c r="B198" i="14"/>
  <c r="O34" i="12"/>
  <c r="D35" i="12" s="1"/>
  <c r="E35" i="12" s="1"/>
  <c r="B199" i="12"/>
  <c r="R198" i="12"/>
  <c r="C78" i="12"/>
  <c r="L77" i="12"/>
  <c r="F76" i="12"/>
  <c r="S65" i="1"/>
  <c r="T65" i="1"/>
  <c r="L69" i="1"/>
  <c r="C70" i="1"/>
  <c r="R66" i="1"/>
  <c r="S198" i="12" l="1"/>
  <c r="T198" i="12"/>
  <c r="S197" i="14"/>
  <c r="T197" i="14"/>
  <c r="S196" i="15"/>
  <c r="T196" i="15"/>
  <c r="S198" i="17"/>
  <c r="T198" i="17"/>
  <c r="J33" i="17"/>
  <c r="K33" i="17" s="1"/>
  <c r="M33" i="17" s="1"/>
  <c r="N45" i="17" s="1"/>
  <c r="B200" i="17"/>
  <c r="R199" i="17"/>
  <c r="L78" i="17"/>
  <c r="C79" i="17"/>
  <c r="F77" i="17"/>
  <c r="G37" i="15"/>
  <c r="E37" i="15"/>
  <c r="G35" i="12"/>
  <c r="H35" i="12" s="1"/>
  <c r="I35" i="12" s="1"/>
  <c r="P35" i="12" s="1"/>
  <c r="Q35" i="12" s="1"/>
  <c r="M20" i="10" s="1"/>
  <c r="L76" i="15"/>
  <c r="C77" i="15"/>
  <c r="B198" i="15"/>
  <c r="R197" i="15"/>
  <c r="B199" i="14"/>
  <c r="R198" i="14"/>
  <c r="C78" i="14"/>
  <c r="L77" i="14"/>
  <c r="J38" i="14"/>
  <c r="L78" i="12"/>
  <c r="C79" i="12"/>
  <c r="F77" i="12"/>
  <c r="B200" i="12"/>
  <c r="R199" i="12"/>
  <c r="S66" i="1"/>
  <c r="T66" i="1"/>
  <c r="I29" i="1"/>
  <c r="L70" i="1"/>
  <c r="C71" i="1"/>
  <c r="R67" i="1"/>
  <c r="S199" i="12" l="1"/>
  <c r="T199" i="12"/>
  <c r="S198" i="14"/>
  <c r="T198" i="14"/>
  <c r="S197" i="15"/>
  <c r="T197" i="15"/>
  <c r="S199" i="17"/>
  <c r="T199" i="17"/>
  <c r="P33" i="17"/>
  <c r="Q33" i="17" s="1"/>
  <c r="M18" i="18" s="1"/>
  <c r="O33" i="17"/>
  <c r="D34" i="17" s="1"/>
  <c r="G34" i="17" s="1"/>
  <c r="L79" i="17"/>
  <c r="C80" i="17"/>
  <c r="B201" i="17"/>
  <c r="R200" i="17"/>
  <c r="F78" i="17"/>
  <c r="H37" i="15"/>
  <c r="R198" i="15"/>
  <c r="B199" i="15"/>
  <c r="L77" i="15"/>
  <c r="C78" i="15"/>
  <c r="K38" i="14"/>
  <c r="M38" i="14" s="1"/>
  <c r="N50" i="14" s="1"/>
  <c r="O38" i="14"/>
  <c r="D39" i="14" s="1"/>
  <c r="L78" i="14"/>
  <c r="C79" i="14"/>
  <c r="B200" i="14"/>
  <c r="R199" i="14"/>
  <c r="C80" i="12"/>
  <c r="L79" i="12"/>
  <c r="R200" i="12"/>
  <c r="B201" i="12"/>
  <c r="F78" i="12"/>
  <c r="J35" i="12"/>
  <c r="J29" i="1"/>
  <c r="K29" i="1" s="1"/>
  <c r="S67" i="1"/>
  <c r="T67" i="1"/>
  <c r="L71" i="1"/>
  <c r="C72" i="1"/>
  <c r="R68" i="1"/>
  <c r="S200" i="12" l="1"/>
  <c r="T200" i="12"/>
  <c r="S199" i="14"/>
  <c r="T199" i="14"/>
  <c r="S198" i="15"/>
  <c r="T198" i="15"/>
  <c r="S200" i="17"/>
  <c r="T200" i="17"/>
  <c r="E34" i="17"/>
  <c r="H34" i="17"/>
  <c r="L80" i="17"/>
  <c r="C81" i="17"/>
  <c r="F79" i="17"/>
  <c r="R201" i="17"/>
  <c r="B202" i="17"/>
  <c r="I37" i="15"/>
  <c r="P37" i="15" s="1"/>
  <c r="Q37" i="15" s="1"/>
  <c r="M22" i="16" s="1"/>
  <c r="L78" i="15"/>
  <c r="C79" i="15"/>
  <c r="B200" i="15"/>
  <c r="R199" i="15"/>
  <c r="R200" i="14"/>
  <c r="B201" i="14"/>
  <c r="C80" i="14"/>
  <c r="L79" i="14"/>
  <c r="E39" i="14"/>
  <c r="G39" i="14"/>
  <c r="R201" i="12"/>
  <c r="B202" i="12"/>
  <c r="K35" i="12"/>
  <c r="M35" i="12" s="1"/>
  <c r="N47" i="12" s="1"/>
  <c r="O35" i="12"/>
  <c r="D36" i="12" s="1"/>
  <c r="F79" i="12"/>
  <c r="L80" i="12"/>
  <c r="C81" i="12"/>
  <c r="S68" i="1"/>
  <c r="T68" i="1"/>
  <c r="O29" i="1"/>
  <c r="D30" i="1" s="1"/>
  <c r="G30" i="1" s="1"/>
  <c r="L72" i="1"/>
  <c r="C73" i="1"/>
  <c r="R69" i="1"/>
  <c r="S201" i="12" l="1"/>
  <c r="T201" i="12"/>
  <c r="S200" i="14"/>
  <c r="T200" i="14"/>
  <c r="S199" i="15"/>
  <c r="T199" i="15"/>
  <c r="S201" i="17"/>
  <c r="T201" i="17"/>
  <c r="J37" i="15"/>
  <c r="O37" i="15" s="1"/>
  <c r="D38" i="15" s="1"/>
  <c r="H39" i="14"/>
  <c r="I39" i="14" s="1"/>
  <c r="J39" i="14" s="1"/>
  <c r="K39" i="14" s="1"/>
  <c r="M39" i="14" s="1"/>
  <c r="N51" i="14" s="1"/>
  <c r="J34" i="17"/>
  <c r="K34" i="17" s="1"/>
  <c r="M34" i="17" s="1"/>
  <c r="N46" i="17" s="1"/>
  <c r="C82" i="17"/>
  <c r="L81" i="17"/>
  <c r="R202" i="17"/>
  <c r="B203" i="17"/>
  <c r="F80" i="17"/>
  <c r="L79" i="15"/>
  <c r="C80" i="15"/>
  <c r="R200" i="15"/>
  <c r="B201" i="15"/>
  <c r="L80" i="14"/>
  <c r="C81" i="14"/>
  <c r="B202" i="14"/>
  <c r="R201" i="14"/>
  <c r="C82" i="12"/>
  <c r="L81" i="12"/>
  <c r="F80" i="12"/>
  <c r="E36" i="12"/>
  <c r="G36" i="12"/>
  <c r="B203" i="12"/>
  <c r="R202" i="12"/>
  <c r="E30" i="1"/>
  <c r="S69" i="1"/>
  <c r="T69" i="1"/>
  <c r="M29" i="1"/>
  <c r="L73" i="1"/>
  <c r="C74" i="1"/>
  <c r="R70" i="1"/>
  <c r="H30" i="1" l="1"/>
  <c r="I30" i="1" s="1"/>
  <c r="S202" i="12"/>
  <c r="T202" i="12"/>
  <c r="S201" i="14"/>
  <c r="T201" i="14"/>
  <c r="S200" i="15"/>
  <c r="T200" i="15"/>
  <c r="S202" i="17"/>
  <c r="T202" i="17"/>
  <c r="O39" i="14"/>
  <c r="D40" i="14" s="1"/>
  <c r="E40" i="14" s="1"/>
  <c r="P39" i="14"/>
  <c r="Q39" i="14" s="1"/>
  <c r="M24" i="13" s="1"/>
  <c r="K37" i="15"/>
  <c r="M37" i="15" s="1"/>
  <c r="N49" i="15" s="1"/>
  <c r="H36" i="12"/>
  <c r="I36" i="12" s="1"/>
  <c r="P34" i="17"/>
  <c r="Q34" i="17" s="1"/>
  <c r="M19" i="18" s="1"/>
  <c r="O34" i="17"/>
  <c r="D35" i="17" s="1"/>
  <c r="F81" i="17"/>
  <c r="R203" i="17"/>
  <c r="B204" i="17"/>
  <c r="L82" i="17"/>
  <c r="C83" i="17"/>
  <c r="E38" i="15"/>
  <c r="G38" i="15"/>
  <c r="L80" i="15"/>
  <c r="C81" i="15"/>
  <c r="R201" i="15"/>
  <c r="B202" i="15"/>
  <c r="R202" i="14"/>
  <c r="B203" i="14"/>
  <c r="C82" i="14"/>
  <c r="L81" i="14"/>
  <c r="F81" i="12"/>
  <c r="R203" i="12"/>
  <c r="B204" i="12"/>
  <c r="L82" i="12"/>
  <c r="C83" i="12"/>
  <c r="S70" i="1"/>
  <c r="T70" i="1"/>
  <c r="L74" i="1"/>
  <c r="C75" i="1"/>
  <c r="R71" i="1"/>
  <c r="S203" i="12" l="1"/>
  <c r="T203" i="12"/>
  <c r="S202" i="14"/>
  <c r="T202" i="14"/>
  <c r="S201" i="15"/>
  <c r="T201" i="15"/>
  <c r="S203" i="17"/>
  <c r="T203" i="17"/>
  <c r="G40" i="14"/>
  <c r="H40" i="14" s="1"/>
  <c r="I40" i="14" s="1"/>
  <c r="P40" i="14" s="1"/>
  <c r="Q40" i="14" s="1"/>
  <c r="M25" i="13" s="1"/>
  <c r="H38" i="15"/>
  <c r="I38" i="15" s="1"/>
  <c r="J38" i="15" s="1"/>
  <c r="K38" i="15" s="1"/>
  <c r="M38" i="15" s="1"/>
  <c r="N50" i="15" s="1"/>
  <c r="G35" i="17"/>
  <c r="E35" i="17"/>
  <c r="B205" i="17"/>
  <c r="R204" i="17"/>
  <c r="C84" i="17"/>
  <c r="L83" i="17"/>
  <c r="F82" i="17"/>
  <c r="B203" i="15"/>
  <c r="R202" i="15"/>
  <c r="L81" i="15"/>
  <c r="C82" i="15"/>
  <c r="L82" i="14"/>
  <c r="C83" i="14"/>
  <c r="B204" i="14"/>
  <c r="R203" i="14"/>
  <c r="P36" i="12"/>
  <c r="Q36" i="12" s="1"/>
  <c r="M21" i="10" s="1"/>
  <c r="J36" i="12"/>
  <c r="O36" i="12" s="1"/>
  <c r="D37" i="12" s="1"/>
  <c r="R204" i="12"/>
  <c r="B205" i="12"/>
  <c r="F82" i="12"/>
  <c r="C84" i="12"/>
  <c r="L83" i="12"/>
  <c r="J30" i="1"/>
  <c r="K30" i="1" s="1"/>
  <c r="S71" i="1"/>
  <c r="T71" i="1"/>
  <c r="L75" i="1"/>
  <c r="C76" i="1"/>
  <c r="R72" i="1"/>
  <c r="S204" i="12" l="1"/>
  <c r="T204" i="12"/>
  <c r="S203" i="14"/>
  <c r="T203" i="14"/>
  <c r="S202" i="15"/>
  <c r="T202" i="15"/>
  <c r="S204" i="17"/>
  <c r="T204" i="17"/>
  <c r="O38" i="15"/>
  <c r="D39" i="15" s="1"/>
  <c r="E39" i="15" s="1"/>
  <c r="P38" i="15"/>
  <c r="Q38" i="15" s="1"/>
  <c r="M23" i="16" s="1"/>
  <c r="H35" i="17"/>
  <c r="B206" i="17"/>
  <c r="R205" i="17"/>
  <c r="L84" i="17"/>
  <c r="C85" i="17"/>
  <c r="F83" i="17"/>
  <c r="J40" i="14"/>
  <c r="O40" i="14" s="1"/>
  <c r="D41" i="14" s="1"/>
  <c r="E41" i="14" s="1"/>
  <c r="L82" i="15"/>
  <c r="C83" i="15"/>
  <c r="B204" i="15"/>
  <c r="R203" i="15"/>
  <c r="B205" i="14"/>
  <c r="R204" i="14"/>
  <c r="C84" i="14"/>
  <c r="L83" i="14"/>
  <c r="K36" i="12"/>
  <c r="M36" i="12" s="1"/>
  <c r="N48" i="12" s="1"/>
  <c r="E37" i="12"/>
  <c r="G37" i="12"/>
  <c r="C85" i="12"/>
  <c r="L84" i="12"/>
  <c r="F83" i="12"/>
  <c r="B206" i="12"/>
  <c r="R205" i="12"/>
  <c r="S72" i="1"/>
  <c r="T72" i="1"/>
  <c r="O30" i="1"/>
  <c r="D31" i="1" s="1"/>
  <c r="G31" i="1" s="1"/>
  <c r="L76" i="1"/>
  <c r="C77" i="1"/>
  <c r="R73" i="1"/>
  <c r="T73" i="1" s="1"/>
  <c r="G39" i="15" l="1"/>
  <c r="S205" i="12"/>
  <c r="T205" i="12"/>
  <c r="S204" i="14"/>
  <c r="T204" i="14"/>
  <c r="S203" i="15"/>
  <c r="T203" i="15"/>
  <c r="S205" i="17"/>
  <c r="T205" i="17"/>
  <c r="P35" i="17"/>
  <c r="Q35" i="17" s="1"/>
  <c r="M20" i="18" s="1"/>
  <c r="C86" i="17"/>
  <c r="L85" i="17"/>
  <c r="F84" i="17"/>
  <c r="R206" i="17"/>
  <c r="B207" i="17"/>
  <c r="K40" i="14"/>
  <c r="M40" i="14" s="1"/>
  <c r="N52" i="14" s="1"/>
  <c r="G41" i="14"/>
  <c r="H41" i="14" s="1"/>
  <c r="I41" i="14" s="1"/>
  <c r="H39" i="15"/>
  <c r="C84" i="15"/>
  <c r="L83" i="15"/>
  <c r="R204" i="15"/>
  <c r="B205" i="15"/>
  <c r="C85" i="14"/>
  <c r="L84" i="14"/>
  <c r="B206" i="14"/>
  <c r="R205" i="14"/>
  <c r="H37" i="12"/>
  <c r="I37" i="12" s="1"/>
  <c r="P37" i="12" s="1"/>
  <c r="Q37" i="12" s="1"/>
  <c r="M22" i="10" s="1"/>
  <c r="F84" i="12"/>
  <c r="C86" i="12"/>
  <c r="L85" i="12"/>
  <c r="B207" i="12"/>
  <c r="R206" i="12"/>
  <c r="E31" i="1"/>
  <c r="M30" i="1"/>
  <c r="L77" i="1"/>
  <c r="C78" i="1"/>
  <c r="S73" i="1"/>
  <c r="R74" i="1"/>
  <c r="H31" i="1" l="1"/>
  <c r="S206" i="12"/>
  <c r="T206" i="12"/>
  <c r="S205" i="14"/>
  <c r="T205" i="14"/>
  <c r="S204" i="15"/>
  <c r="T204" i="15"/>
  <c r="S206" i="17"/>
  <c r="T206" i="17"/>
  <c r="J35" i="17"/>
  <c r="K35" i="17" s="1"/>
  <c r="M35" i="17" s="1"/>
  <c r="N47" i="17" s="1"/>
  <c r="J37" i="12"/>
  <c r="O37" i="12" s="1"/>
  <c r="D38" i="12" s="1"/>
  <c r="E38" i="12" s="1"/>
  <c r="C87" i="17"/>
  <c r="L86" i="17"/>
  <c r="F85" i="17"/>
  <c r="R207" i="17"/>
  <c r="B208" i="17"/>
  <c r="I39" i="15"/>
  <c r="P39" i="15" s="1"/>
  <c r="Q39" i="15" s="1"/>
  <c r="M24" i="16" s="1"/>
  <c r="C85" i="15"/>
  <c r="L84" i="15"/>
  <c r="R205" i="15"/>
  <c r="B206" i="15"/>
  <c r="P41" i="14"/>
  <c r="Q41" i="14" s="1"/>
  <c r="M26" i="13" s="1"/>
  <c r="J41" i="14"/>
  <c r="O41" i="14" s="1"/>
  <c r="D42" i="14" s="1"/>
  <c r="G42" i="14" s="1"/>
  <c r="R206" i="14"/>
  <c r="B207" i="14"/>
  <c r="C86" i="14"/>
  <c r="L85" i="14"/>
  <c r="F85" i="12"/>
  <c r="L86" i="12"/>
  <c r="C87" i="12"/>
  <c r="R207" i="12"/>
  <c r="B208" i="12"/>
  <c r="I31" i="1"/>
  <c r="S74" i="1"/>
  <c r="T74" i="1"/>
  <c r="L78" i="1"/>
  <c r="C79" i="1"/>
  <c r="R75" i="1"/>
  <c r="S207" i="12" l="1"/>
  <c r="T207" i="12"/>
  <c r="S206" i="14"/>
  <c r="T206" i="14"/>
  <c r="S205" i="15"/>
  <c r="T205" i="15"/>
  <c r="S207" i="17"/>
  <c r="T207" i="17"/>
  <c r="O35" i="17"/>
  <c r="D36" i="17" s="1"/>
  <c r="E36" i="17" s="1"/>
  <c r="G38" i="12"/>
  <c r="H38" i="12" s="1"/>
  <c r="I38" i="12" s="1"/>
  <c r="K37" i="12"/>
  <c r="M37" i="12" s="1"/>
  <c r="N49" i="12" s="1"/>
  <c r="B209" i="17"/>
  <c r="R208" i="17"/>
  <c r="C88" i="17"/>
  <c r="L87" i="17"/>
  <c r="F86" i="17"/>
  <c r="J39" i="15"/>
  <c r="K39" i="15" s="1"/>
  <c r="M39" i="15" s="1"/>
  <c r="N51" i="15" s="1"/>
  <c r="B207" i="15"/>
  <c r="R206" i="15"/>
  <c r="L85" i="15"/>
  <c r="C86" i="15"/>
  <c r="E42" i="14"/>
  <c r="H42" i="14" s="1"/>
  <c r="K41" i="14"/>
  <c r="M41" i="14" s="1"/>
  <c r="N53" i="14" s="1"/>
  <c r="L86" i="14"/>
  <c r="C87" i="14"/>
  <c r="B208" i="14"/>
  <c r="R207" i="14"/>
  <c r="C88" i="12"/>
  <c r="L87" i="12"/>
  <c r="B209" i="12"/>
  <c r="R208" i="12"/>
  <c r="F86" i="12"/>
  <c r="S75" i="1"/>
  <c r="T75" i="1"/>
  <c r="L79" i="1"/>
  <c r="C80" i="1"/>
  <c r="R76" i="1"/>
  <c r="J31" i="1"/>
  <c r="K31" i="1" s="1"/>
  <c r="S208" i="12" l="1"/>
  <c r="T208" i="12"/>
  <c r="S207" i="14"/>
  <c r="T207" i="14"/>
  <c r="S206" i="15"/>
  <c r="T206" i="15"/>
  <c r="S208" i="17"/>
  <c r="T208" i="17"/>
  <c r="G36" i="17"/>
  <c r="H36" i="17"/>
  <c r="J36" i="17" s="1"/>
  <c r="K36" i="17" s="1"/>
  <c r="M36" i="17" s="1"/>
  <c r="N48" i="17" s="1"/>
  <c r="J38" i="12"/>
  <c r="O38" i="12" s="1"/>
  <c r="D39" i="12" s="1"/>
  <c r="E39" i="12" s="1"/>
  <c r="P38" i="12"/>
  <c r="Q38" i="12" s="1"/>
  <c r="M23" i="10" s="1"/>
  <c r="F87" i="17"/>
  <c r="L88" i="17"/>
  <c r="C89" i="17"/>
  <c r="B210" i="17"/>
  <c r="R209" i="17"/>
  <c r="O39" i="15"/>
  <c r="D40" i="15" s="1"/>
  <c r="C87" i="15"/>
  <c r="L86" i="15"/>
  <c r="R207" i="15"/>
  <c r="B208" i="15"/>
  <c r="I42" i="14"/>
  <c r="P42" i="14" s="1"/>
  <c r="Q42" i="14" s="1"/>
  <c r="M27" i="13" s="1"/>
  <c r="B209" i="14"/>
  <c r="R208" i="14"/>
  <c r="C88" i="14"/>
  <c r="L87" i="14"/>
  <c r="C89" i="12"/>
  <c r="L88" i="12"/>
  <c r="F87" i="12"/>
  <c r="R209" i="12"/>
  <c r="B210" i="12"/>
  <c r="S76" i="1"/>
  <c r="T76" i="1"/>
  <c r="L80" i="1"/>
  <c r="C81" i="1"/>
  <c r="R77" i="1"/>
  <c r="S209" i="12" l="1"/>
  <c r="T209" i="12"/>
  <c r="S208" i="14"/>
  <c r="T208" i="14"/>
  <c r="S207" i="15"/>
  <c r="T207" i="15"/>
  <c r="S209" i="17"/>
  <c r="T209" i="17"/>
  <c r="G39" i="12"/>
  <c r="H39" i="12" s="1"/>
  <c r="I39" i="12" s="1"/>
  <c r="P36" i="17"/>
  <c r="Q36" i="17" s="1"/>
  <c r="M21" i="18" s="1"/>
  <c r="K38" i="12"/>
  <c r="M38" i="12" s="1"/>
  <c r="N50" i="12" s="1"/>
  <c r="O36" i="17"/>
  <c r="D37" i="17" s="1"/>
  <c r="B211" i="17"/>
  <c r="R210" i="17"/>
  <c r="C90" i="17"/>
  <c r="L89" i="17"/>
  <c r="F88" i="17"/>
  <c r="E40" i="15"/>
  <c r="G40" i="15"/>
  <c r="H40" i="15" s="1"/>
  <c r="I40" i="15" s="1"/>
  <c r="B209" i="15"/>
  <c r="R208" i="15"/>
  <c r="L87" i="15"/>
  <c r="C88" i="15"/>
  <c r="J42" i="14"/>
  <c r="K42" i="14" s="1"/>
  <c r="M42" i="14" s="1"/>
  <c r="N54" i="14" s="1"/>
  <c r="L88" i="14"/>
  <c r="C89" i="14"/>
  <c r="R209" i="14"/>
  <c r="B210" i="14"/>
  <c r="C90" i="12"/>
  <c r="L89" i="12"/>
  <c r="B211" i="12"/>
  <c r="R210" i="12"/>
  <c r="F88" i="12"/>
  <c r="S77" i="1"/>
  <c r="T77" i="1"/>
  <c r="O31" i="1"/>
  <c r="D32" i="1" s="1"/>
  <c r="G32" i="1" s="1"/>
  <c r="L81" i="1"/>
  <c r="C82" i="1"/>
  <c r="R78" i="1"/>
  <c r="S210" i="12" l="1"/>
  <c r="T210" i="12"/>
  <c r="S209" i="14"/>
  <c r="T209" i="14"/>
  <c r="S208" i="15"/>
  <c r="T208" i="15"/>
  <c r="S210" i="17"/>
  <c r="T210" i="17"/>
  <c r="E37" i="17"/>
  <c r="G37" i="17"/>
  <c r="H37" i="17" s="1"/>
  <c r="F89" i="17"/>
  <c r="L90" i="17"/>
  <c r="C91" i="17"/>
  <c r="B212" i="17"/>
  <c r="R211" i="17"/>
  <c r="P40" i="15"/>
  <c r="Q40" i="15" s="1"/>
  <c r="M25" i="16" s="1"/>
  <c r="J39" i="12"/>
  <c r="O39" i="12" s="1"/>
  <c r="D40" i="12" s="1"/>
  <c r="P39" i="12"/>
  <c r="Q39" i="12" s="1"/>
  <c r="M24" i="10" s="1"/>
  <c r="J40" i="15"/>
  <c r="O42" i="14"/>
  <c r="D43" i="14" s="1"/>
  <c r="G43" i="14" s="1"/>
  <c r="B210" i="15"/>
  <c r="R209" i="15"/>
  <c r="L88" i="15"/>
  <c r="C89" i="15"/>
  <c r="C90" i="14"/>
  <c r="L89" i="14"/>
  <c r="R210" i="14"/>
  <c r="B211" i="14"/>
  <c r="F89" i="12"/>
  <c r="R211" i="12"/>
  <c r="B212" i="12"/>
  <c r="C91" i="12"/>
  <c r="L90" i="12"/>
  <c r="E32" i="1"/>
  <c r="S78" i="1"/>
  <c r="T78" i="1"/>
  <c r="M31" i="1"/>
  <c r="L82" i="1"/>
  <c r="C83" i="1"/>
  <c r="R79" i="1"/>
  <c r="S211" i="12" l="1"/>
  <c r="T211" i="12"/>
  <c r="S210" i="14"/>
  <c r="T210" i="14"/>
  <c r="S209" i="15"/>
  <c r="T209" i="15"/>
  <c r="S211" i="17"/>
  <c r="T211" i="17"/>
  <c r="H32" i="1"/>
  <c r="I32" i="1" s="1"/>
  <c r="J37" i="17"/>
  <c r="K37" i="17" s="1"/>
  <c r="M37" i="17" s="1"/>
  <c r="N49" i="17" s="1"/>
  <c r="P37" i="17"/>
  <c r="Q37" i="17" s="1"/>
  <c r="M22" i="18" s="1"/>
  <c r="K39" i="12"/>
  <c r="M39" i="12" s="1"/>
  <c r="N51" i="12" s="1"/>
  <c r="R212" i="17"/>
  <c r="B213" i="17"/>
  <c r="L91" i="17"/>
  <c r="C92" i="17"/>
  <c r="F90" i="17"/>
  <c r="O40" i="15"/>
  <c r="D41" i="15" s="1"/>
  <c r="K40" i="15"/>
  <c r="M40" i="15" s="1"/>
  <c r="N52" i="15" s="1"/>
  <c r="E43" i="14"/>
  <c r="H43" i="14" s="1"/>
  <c r="R210" i="15"/>
  <c r="B211" i="15"/>
  <c r="C90" i="15"/>
  <c r="L89" i="15"/>
  <c r="L90" i="14"/>
  <c r="C91" i="14"/>
  <c r="B212" i="14"/>
  <c r="R211" i="14"/>
  <c r="E40" i="12"/>
  <c r="G40" i="12"/>
  <c r="R212" i="12"/>
  <c r="B213" i="12"/>
  <c r="C92" i="12"/>
  <c r="L91" i="12"/>
  <c r="F90" i="12"/>
  <c r="S79" i="1"/>
  <c r="T79" i="1"/>
  <c r="L83" i="1"/>
  <c r="C84" i="1"/>
  <c r="R80" i="1"/>
  <c r="S212" i="12" l="1"/>
  <c r="T212" i="12"/>
  <c r="S211" i="14"/>
  <c r="T211" i="14"/>
  <c r="S210" i="15"/>
  <c r="T210" i="15"/>
  <c r="S212" i="17"/>
  <c r="T212" i="17"/>
  <c r="O37" i="17"/>
  <c r="D38" i="17" s="1"/>
  <c r="C93" i="17"/>
  <c r="L92" i="17"/>
  <c r="B214" i="17"/>
  <c r="R213" i="17"/>
  <c r="F91" i="17"/>
  <c r="I43" i="14"/>
  <c r="J43" i="14" s="1"/>
  <c r="K43" i="14" s="1"/>
  <c r="M43" i="14" s="1"/>
  <c r="N55" i="14" s="1"/>
  <c r="E41" i="15"/>
  <c r="G41" i="15"/>
  <c r="H41" i="15" s="1"/>
  <c r="I41" i="15" s="1"/>
  <c r="L90" i="15"/>
  <c r="C91" i="15"/>
  <c r="R211" i="15"/>
  <c r="B212" i="15"/>
  <c r="H40" i="12"/>
  <c r="I40" i="12" s="1"/>
  <c r="P40" i="12" s="1"/>
  <c r="Q40" i="12" s="1"/>
  <c r="M25" i="10" s="1"/>
  <c r="B213" i="14"/>
  <c r="R212" i="14"/>
  <c r="L91" i="14"/>
  <c r="C92" i="14"/>
  <c r="B214" i="12"/>
  <c r="R213" i="12"/>
  <c r="C93" i="12"/>
  <c r="L92" i="12"/>
  <c r="F91" i="12"/>
  <c r="J32" i="1"/>
  <c r="K32" i="1" s="1"/>
  <c r="S80" i="1"/>
  <c r="T80" i="1"/>
  <c r="L84" i="1"/>
  <c r="C85" i="1"/>
  <c r="R81" i="1"/>
  <c r="S213" i="12" l="1"/>
  <c r="T213" i="12"/>
  <c r="S212" i="14"/>
  <c r="T212" i="14"/>
  <c r="S211" i="15"/>
  <c r="T211" i="15"/>
  <c r="S213" i="17"/>
  <c r="T213" i="17"/>
  <c r="P41" i="15"/>
  <c r="Q41" i="15" s="1"/>
  <c r="M26" i="16" s="1"/>
  <c r="O43" i="14"/>
  <c r="D44" i="14" s="1"/>
  <c r="P43" i="14"/>
  <c r="Q43" i="14" s="1"/>
  <c r="M28" i="13" s="1"/>
  <c r="G38" i="17"/>
  <c r="E38" i="17"/>
  <c r="R214" i="17"/>
  <c r="B215" i="17"/>
  <c r="F92" i="17"/>
  <c r="C94" i="17"/>
  <c r="L93" i="17"/>
  <c r="J41" i="15"/>
  <c r="C92" i="15"/>
  <c r="L91" i="15"/>
  <c r="R212" i="15"/>
  <c r="B213" i="15"/>
  <c r="C93" i="14"/>
  <c r="L92" i="14"/>
  <c r="R213" i="14"/>
  <c r="B214" i="14"/>
  <c r="J40" i="12"/>
  <c r="O40" i="12" s="1"/>
  <c r="D41" i="12" s="1"/>
  <c r="C94" i="12"/>
  <c r="L93" i="12"/>
  <c r="F92" i="12"/>
  <c r="R214" i="12"/>
  <c r="B215" i="12"/>
  <c r="S81" i="1"/>
  <c r="T81" i="1"/>
  <c r="L85" i="1"/>
  <c r="C86" i="1"/>
  <c r="R82" i="1"/>
  <c r="S214" i="12" l="1"/>
  <c r="T214" i="12"/>
  <c r="S213" i="14"/>
  <c r="T213" i="14"/>
  <c r="S212" i="15"/>
  <c r="T212" i="15"/>
  <c r="S214" i="17"/>
  <c r="T214" i="17"/>
  <c r="H38" i="17"/>
  <c r="E44" i="14"/>
  <c r="G44" i="14"/>
  <c r="H44" i="14" s="1"/>
  <c r="I44" i="14" s="1"/>
  <c r="P44" i="14" s="1"/>
  <c r="Q44" i="14" s="1"/>
  <c r="M29" i="13" s="1"/>
  <c r="C95" i="17"/>
  <c r="L94" i="17"/>
  <c r="B216" i="17"/>
  <c r="R215" i="17"/>
  <c r="F93" i="17"/>
  <c r="O41" i="15"/>
  <c r="D42" i="15" s="1"/>
  <c r="K41" i="15"/>
  <c r="M41" i="15" s="1"/>
  <c r="N53" i="15" s="1"/>
  <c r="R213" i="15"/>
  <c r="B214" i="15"/>
  <c r="C93" i="15"/>
  <c r="L92" i="15"/>
  <c r="K40" i="12"/>
  <c r="M40" i="12" s="1"/>
  <c r="N52" i="12" s="1"/>
  <c r="R214" i="14"/>
  <c r="B215" i="14"/>
  <c r="L93" i="14"/>
  <c r="C94" i="14"/>
  <c r="E41" i="12"/>
  <c r="G41" i="12"/>
  <c r="F93" i="12"/>
  <c r="B216" i="12"/>
  <c r="R215" i="12"/>
  <c r="L94" i="12"/>
  <c r="C95" i="12"/>
  <c r="S82" i="1"/>
  <c r="T82" i="1"/>
  <c r="O32" i="1"/>
  <c r="D33" i="1" s="1"/>
  <c r="G33" i="1" s="1"/>
  <c r="L86" i="1"/>
  <c r="C87" i="1"/>
  <c r="R83" i="1"/>
  <c r="S215" i="12" l="1"/>
  <c r="T215" i="12"/>
  <c r="S214" i="14"/>
  <c r="T214" i="14"/>
  <c r="S213" i="15"/>
  <c r="T213" i="15"/>
  <c r="S215" i="17"/>
  <c r="T215" i="17"/>
  <c r="J44" i="14"/>
  <c r="O44" i="14" s="1"/>
  <c r="D45" i="14" s="1"/>
  <c r="E45" i="14" s="1"/>
  <c r="H41" i="12"/>
  <c r="I41" i="12" s="1"/>
  <c r="P41" i="12" s="1"/>
  <c r="Q41" i="12" s="1"/>
  <c r="M26" i="10" s="1"/>
  <c r="J38" i="17"/>
  <c r="K38" i="17" s="1"/>
  <c r="M38" i="17" s="1"/>
  <c r="N50" i="17" s="1"/>
  <c r="R216" i="17"/>
  <c r="B217" i="17"/>
  <c r="F94" i="17"/>
  <c r="C96" i="17"/>
  <c r="L95" i="17"/>
  <c r="E42" i="15"/>
  <c r="G42" i="15"/>
  <c r="B215" i="15"/>
  <c r="R214" i="15"/>
  <c r="C94" i="15"/>
  <c r="L93" i="15"/>
  <c r="L94" i="14"/>
  <c r="C95" i="14"/>
  <c r="B216" i="14"/>
  <c r="R215" i="14"/>
  <c r="B217" i="12"/>
  <c r="R216" i="12"/>
  <c r="F94" i="12"/>
  <c r="C96" i="12"/>
  <c r="L95" i="12"/>
  <c r="E33" i="1"/>
  <c r="S83" i="1"/>
  <c r="T83" i="1"/>
  <c r="M32" i="1"/>
  <c r="L87" i="1"/>
  <c r="C88" i="1"/>
  <c r="R84" i="1"/>
  <c r="K44" i="14" l="1"/>
  <c r="M44" i="14" s="1"/>
  <c r="N56" i="14" s="1"/>
  <c r="S216" i="12"/>
  <c r="T216" i="12"/>
  <c r="S215" i="14"/>
  <c r="T215" i="14"/>
  <c r="S214" i="15"/>
  <c r="T214" i="15"/>
  <c r="S216" i="17"/>
  <c r="T216" i="17"/>
  <c r="H33" i="1"/>
  <c r="I33" i="1" s="1"/>
  <c r="G45" i="14"/>
  <c r="H45" i="14" s="1"/>
  <c r="I45" i="14" s="1"/>
  <c r="J45" i="14" s="1"/>
  <c r="P38" i="17"/>
  <c r="Q38" i="17" s="1"/>
  <c r="M23" i="18" s="1"/>
  <c r="O38" i="17"/>
  <c r="D39" i="17" s="1"/>
  <c r="H42" i="15"/>
  <c r="I42" i="15" s="1"/>
  <c r="F95" i="17"/>
  <c r="L96" i="17"/>
  <c r="C97" i="17"/>
  <c r="B218" i="17"/>
  <c r="R217" i="17"/>
  <c r="C95" i="15"/>
  <c r="L94" i="15"/>
  <c r="B216" i="15"/>
  <c r="R215" i="15"/>
  <c r="R216" i="14"/>
  <c r="B217" i="14"/>
  <c r="C96" i="14"/>
  <c r="L95" i="14"/>
  <c r="J41" i="12"/>
  <c r="K41" i="12" s="1"/>
  <c r="M41" i="12" s="1"/>
  <c r="N53" i="12" s="1"/>
  <c r="L96" i="12"/>
  <c r="C97" i="12"/>
  <c r="F95" i="12"/>
  <c r="B218" i="12"/>
  <c r="R217" i="12"/>
  <c r="S84" i="1"/>
  <c r="T84" i="1"/>
  <c r="L88" i="1"/>
  <c r="C89" i="1"/>
  <c r="R85" i="1"/>
  <c r="S217" i="12" l="1"/>
  <c r="T217" i="12"/>
  <c r="S216" i="14"/>
  <c r="T216" i="14"/>
  <c r="S215" i="15"/>
  <c r="T215" i="15"/>
  <c r="S217" i="17"/>
  <c r="T217" i="17"/>
  <c r="E39" i="17"/>
  <c r="G39" i="17"/>
  <c r="H39" i="17" s="1"/>
  <c r="R218" i="17"/>
  <c r="B219" i="17"/>
  <c r="L97" i="17"/>
  <c r="C98" i="17"/>
  <c r="F96" i="17"/>
  <c r="J42" i="15"/>
  <c r="K42" i="15" s="1"/>
  <c r="M42" i="15" s="1"/>
  <c r="N54" i="15" s="1"/>
  <c r="P42" i="15"/>
  <c r="Q42" i="15" s="1"/>
  <c r="M27" i="16" s="1"/>
  <c r="R216" i="15"/>
  <c r="B217" i="15"/>
  <c r="L95" i="15"/>
  <c r="C96" i="15"/>
  <c r="K45" i="14"/>
  <c r="M45" i="14" s="1"/>
  <c r="N57" i="14" s="1"/>
  <c r="P45" i="14"/>
  <c r="Q45" i="14" s="1"/>
  <c r="M30" i="13" s="1"/>
  <c r="L96" i="14"/>
  <c r="C97" i="14"/>
  <c r="O45" i="14"/>
  <c r="D46" i="14" s="1"/>
  <c r="B218" i="14"/>
  <c r="R217" i="14"/>
  <c r="O41" i="12"/>
  <c r="D42" i="12" s="1"/>
  <c r="E42" i="12" s="1"/>
  <c r="C98" i="12"/>
  <c r="L97" i="12"/>
  <c r="R218" i="12"/>
  <c r="B219" i="12"/>
  <c r="F96" i="12"/>
  <c r="S85" i="1"/>
  <c r="T85" i="1"/>
  <c r="L89" i="1"/>
  <c r="C90" i="1"/>
  <c r="R86" i="1"/>
  <c r="J33" i="1"/>
  <c r="K33" i="1" s="1"/>
  <c r="S218" i="12" l="1"/>
  <c r="T218" i="12"/>
  <c r="S217" i="14"/>
  <c r="T217" i="14"/>
  <c r="S216" i="15"/>
  <c r="T216" i="15"/>
  <c r="S218" i="17"/>
  <c r="T218" i="17"/>
  <c r="J39" i="17"/>
  <c r="K39" i="17" s="1"/>
  <c r="M39" i="17" s="1"/>
  <c r="N51" i="17" s="1"/>
  <c r="P39" i="17"/>
  <c r="Q39" i="17" s="1"/>
  <c r="M24" i="18" s="1"/>
  <c r="L98" i="17"/>
  <c r="C99" i="17"/>
  <c r="B220" i="17"/>
  <c r="R219" i="17"/>
  <c r="F97" i="17"/>
  <c r="O42" i="15"/>
  <c r="D43" i="15" s="1"/>
  <c r="L96" i="15"/>
  <c r="C97" i="15"/>
  <c r="B218" i="15"/>
  <c r="R217" i="15"/>
  <c r="G42" i="12"/>
  <c r="H42" i="12" s="1"/>
  <c r="I42" i="12" s="1"/>
  <c r="P42" i="12" s="1"/>
  <c r="Q42" i="12" s="1"/>
  <c r="M27" i="10" s="1"/>
  <c r="E46" i="14"/>
  <c r="G46" i="14"/>
  <c r="R218" i="14"/>
  <c r="B219" i="14"/>
  <c r="C98" i="14"/>
  <c r="L97" i="14"/>
  <c r="B220" i="12"/>
  <c r="R219" i="12"/>
  <c r="L98" i="12"/>
  <c r="C99" i="12"/>
  <c r="F97" i="12"/>
  <c r="S86" i="1"/>
  <c r="T86" i="1"/>
  <c r="L90" i="1"/>
  <c r="C91" i="1"/>
  <c r="R87" i="1"/>
  <c r="S219" i="12" l="1"/>
  <c r="T219" i="12"/>
  <c r="S218" i="14"/>
  <c r="T218" i="14"/>
  <c r="S217" i="15"/>
  <c r="T217" i="15"/>
  <c r="S219" i="17"/>
  <c r="T219" i="17"/>
  <c r="O39" i="17"/>
  <c r="D40" i="17" s="1"/>
  <c r="E40" i="17" s="1"/>
  <c r="H46" i="14"/>
  <c r="I46" i="14" s="1"/>
  <c r="J46" i="14" s="1"/>
  <c r="B221" i="17"/>
  <c r="R220" i="17"/>
  <c r="C100" i="17"/>
  <c r="L99" i="17"/>
  <c r="F98" i="17"/>
  <c r="E43" i="15"/>
  <c r="G43" i="15"/>
  <c r="B219" i="15"/>
  <c r="R218" i="15"/>
  <c r="C98" i="15"/>
  <c r="L97" i="15"/>
  <c r="J42" i="12"/>
  <c r="K42" i="12" s="1"/>
  <c r="M42" i="12" s="1"/>
  <c r="N54" i="12" s="1"/>
  <c r="B220" i="14"/>
  <c r="R219" i="14"/>
  <c r="L98" i="14"/>
  <c r="C99" i="14"/>
  <c r="F98" i="12"/>
  <c r="C100" i="12"/>
  <c r="L99" i="12"/>
  <c r="R220" i="12"/>
  <c r="B221" i="12"/>
  <c r="S87" i="1"/>
  <c r="T87" i="1"/>
  <c r="O33" i="1"/>
  <c r="D34" i="1" s="1"/>
  <c r="G34" i="1" s="1"/>
  <c r="L91" i="1"/>
  <c r="C92" i="1"/>
  <c r="R88" i="1"/>
  <c r="G40" i="17" l="1"/>
  <c r="S220" i="12"/>
  <c r="T220" i="12"/>
  <c r="S219" i="14"/>
  <c r="T219" i="14"/>
  <c r="S218" i="15"/>
  <c r="T218" i="15"/>
  <c r="S220" i="17"/>
  <c r="T220" i="17"/>
  <c r="H40" i="17"/>
  <c r="J40" i="17" s="1"/>
  <c r="O40" i="17" s="1"/>
  <c r="D41" i="17" s="1"/>
  <c r="H43" i="15"/>
  <c r="F99" i="17"/>
  <c r="C101" i="17"/>
  <c r="L100" i="17"/>
  <c r="B222" i="17"/>
  <c r="R221" i="17"/>
  <c r="O42" i="12"/>
  <c r="D43" i="12" s="1"/>
  <c r="G43" i="12" s="1"/>
  <c r="L98" i="15"/>
  <c r="C99" i="15"/>
  <c r="R219" i="15"/>
  <c r="B220" i="15"/>
  <c r="O46" i="14"/>
  <c r="D47" i="14" s="1"/>
  <c r="E47" i="14" s="1"/>
  <c r="L99" i="14"/>
  <c r="C100" i="14"/>
  <c r="K46" i="14"/>
  <c r="M46" i="14" s="1"/>
  <c r="N58" i="14" s="1"/>
  <c r="P46" i="14"/>
  <c r="Q46" i="14" s="1"/>
  <c r="M31" i="13" s="1"/>
  <c r="R220" i="14"/>
  <c r="B221" i="14"/>
  <c r="R221" i="12"/>
  <c r="B222" i="12"/>
  <c r="L100" i="12"/>
  <c r="C101" i="12"/>
  <c r="F99" i="12"/>
  <c r="E34" i="1"/>
  <c r="S88" i="1"/>
  <c r="T88" i="1"/>
  <c r="M33" i="1"/>
  <c r="L92" i="1"/>
  <c r="C93" i="1"/>
  <c r="R89" i="1"/>
  <c r="S221" i="12" l="1"/>
  <c r="T221" i="12"/>
  <c r="S220" i="14"/>
  <c r="T220" i="14"/>
  <c r="S219" i="15"/>
  <c r="T219" i="15"/>
  <c r="S221" i="17"/>
  <c r="T221" i="17"/>
  <c r="H34" i="1"/>
  <c r="I34" i="1" s="1"/>
  <c r="P40" i="17"/>
  <c r="Q40" i="17" s="1"/>
  <c r="M25" i="18" s="1"/>
  <c r="G47" i="14"/>
  <c r="H47" i="14" s="1"/>
  <c r="I47" i="14" s="1"/>
  <c r="K40" i="17"/>
  <c r="M40" i="17" s="1"/>
  <c r="N52" i="17" s="1"/>
  <c r="E41" i="17"/>
  <c r="G41" i="17"/>
  <c r="I43" i="15"/>
  <c r="J43" i="15" s="1"/>
  <c r="K43" i="15" s="1"/>
  <c r="M43" i="15" s="1"/>
  <c r="N55" i="15" s="1"/>
  <c r="B223" i="17"/>
  <c r="R222" i="17"/>
  <c r="L101" i="17"/>
  <c r="C102" i="17"/>
  <c r="F100" i="17"/>
  <c r="E43" i="12"/>
  <c r="H43" i="12" s="1"/>
  <c r="I43" i="12" s="1"/>
  <c r="P43" i="12" s="1"/>
  <c r="Q43" i="12" s="1"/>
  <c r="M28" i="10" s="1"/>
  <c r="B221" i="15"/>
  <c r="R220" i="15"/>
  <c r="C100" i="15"/>
  <c r="L99" i="15"/>
  <c r="C101" i="14"/>
  <c r="L100" i="14"/>
  <c r="R221" i="14"/>
  <c r="B222" i="14"/>
  <c r="C102" i="12"/>
  <c r="L101" i="12"/>
  <c r="B223" i="12"/>
  <c r="R222" i="12"/>
  <c r="F100" i="12"/>
  <c r="S89" i="1"/>
  <c r="T89" i="1"/>
  <c r="L93" i="1"/>
  <c r="C94" i="1"/>
  <c r="R90" i="1"/>
  <c r="S222" i="12" l="1"/>
  <c r="T222" i="12"/>
  <c r="S221" i="14"/>
  <c r="T221" i="14"/>
  <c r="S220" i="15"/>
  <c r="T220" i="15"/>
  <c r="S222" i="17"/>
  <c r="T222" i="17"/>
  <c r="P43" i="15"/>
  <c r="Q43" i="15" s="1"/>
  <c r="M28" i="16" s="1"/>
  <c r="H41" i="17"/>
  <c r="O43" i="15"/>
  <c r="D44" i="15" s="1"/>
  <c r="F101" i="17"/>
  <c r="C103" i="17"/>
  <c r="L102" i="17"/>
  <c r="R223" i="17"/>
  <c r="B224" i="17"/>
  <c r="C101" i="15"/>
  <c r="L100" i="15"/>
  <c r="B222" i="15"/>
  <c r="R221" i="15"/>
  <c r="P47" i="14"/>
  <c r="Q47" i="14" s="1"/>
  <c r="M32" i="13" s="1"/>
  <c r="J47" i="14"/>
  <c r="O47" i="14" s="1"/>
  <c r="D48" i="14" s="1"/>
  <c r="E48" i="14" s="1"/>
  <c r="B223" i="14"/>
  <c r="R222" i="14"/>
  <c r="C102" i="14"/>
  <c r="L101" i="14"/>
  <c r="J43" i="12"/>
  <c r="O43" i="12" s="1"/>
  <c r="D44" i="12" s="1"/>
  <c r="E44" i="12" s="1"/>
  <c r="F101" i="12"/>
  <c r="B224" i="12"/>
  <c r="R223" i="12"/>
  <c r="L102" i="12"/>
  <c r="C103" i="12"/>
  <c r="S90" i="1"/>
  <c r="T90" i="1"/>
  <c r="L94" i="1"/>
  <c r="C95" i="1"/>
  <c r="R91" i="1"/>
  <c r="J34" i="1"/>
  <c r="K34" i="1" s="1"/>
  <c r="S223" i="12" l="1"/>
  <c r="T223" i="12"/>
  <c r="S222" i="14"/>
  <c r="T222" i="14"/>
  <c r="S221" i="15"/>
  <c r="T221" i="15"/>
  <c r="S223" i="17"/>
  <c r="T223" i="17"/>
  <c r="G44" i="15"/>
  <c r="E44" i="15"/>
  <c r="B225" i="17"/>
  <c r="R224" i="17"/>
  <c r="L103" i="17"/>
  <c r="C104" i="17"/>
  <c r="F102" i="17"/>
  <c r="R222" i="15"/>
  <c r="B223" i="15"/>
  <c r="L101" i="15"/>
  <c r="C102" i="15"/>
  <c r="G48" i="14"/>
  <c r="H48" i="14" s="1"/>
  <c r="I48" i="14" s="1"/>
  <c r="P48" i="14" s="1"/>
  <c r="Q48" i="14" s="1"/>
  <c r="M33" i="13" s="1"/>
  <c r="K47" i="14"/>
  <c r="M47" i="14" s="1"/>
  <c r="N59" i="14" s="1"/>
  <c r="L102" i="14"/>
  <c r="C103" i="14"/>
  <c r="B224" i="14"/>
  <c r="R223" i="14"/>
  <c r="K43" i="12"/>
  <c r="M43" i="12" s="1"/>
  <c r="N55" i="12" s="1"/>
  <c r="G44" i="12"/>
  <c r="H44" i="12" s="1"/>
  <c r="I44" i="12" s="1"/>
  <c r="P44" i="12" s="1"/>
  <c r="Q44" i="12" s="1"/>
  <c r="M29" i="10" s="1"/>
  <c r="B225" i="12"/>
  <c r="R224" i="12"/>
  <c r="F102" i="12"/>
  <c r="C104" i="12"/>
  <c r="L103" i="12"/>
  <c r="S91" i="1"/>
  <c r="T91" i="1"/>
  <c r="L95" i="1"/>
  <c r="C96" i="1"/>
  <c r="R92" i="1"/>
  <c r="S224" i="12" l="1"/>
  <c r="T224" i="12"/>
  <c r="S223" i="14"/>
  <c r="T223" i="14"/>
  <c r="S222" i="15"/>
  <c r="T222" i="15"/>
  <c r="S224" i="17"/>
  <c r="T224" i="17"/>
  <c r="P41" i="17"/>
  <c r="Q41" i="17" s="1"/>
  <c r="M26" i="18" s="1"/>
  <c r="J41" i="17"/>
  <c r="K41" i="17" s="1"/>
  <c r="M41" i="17" s="1"/>
  <c r="N53" i="17" s="1"/>
  <c r="H44" i="15"/>
  <c r="R225" i="17"/>
  <c r="B226" i="17"/>
  <c r="L104" i="17"/>
  <c r="C105" i="17"/>
  <c r="F103" i="17"/>
  <c r="L102" i="15"/>
  <c r="C103" i="15"/>
  <c r="B224" i="15"/>
  <c r="R223" i="15"/>
  <c r="B225" i="14"/>
  <c r="R224" i="14"/>
  <c r="J48" i="14"/>
  <c r="C104" i="14"/>
  <c r="L103" i="14"/>
  <c r="J44" i="12"/>
  <c r="K44" i="12" s="1"/>
  <c r="M44" i="12" s="1"/>
  <c r="N56" i="12" s="1"/>
  <c r="L104" i="12"/>
  <c r="C105" i="12"/>
  <c r="F103" i="12"/>
  <c r="B226" i="12"/>
  <c r="R225" i="12"/>
  <c r="S92" i="1"/>
  <c r="T92" i="1"/>
  <c r="O34" i="1"/>
  <c r="D35" i="1" s="1"/>
  <c r="G35" i="1" s="1"/>
  <c r="L96" i="1"/>
  <c r="C97" i="1"/>
  <c r="R93" i="1"/>
  <c r="S225" i="12" l="1"/>
  <c r="T225" i="12"/>
  <c r="S224" i="14"/>
  <c r="T224" i="14"/>
  <c r="S223" i="15"/>
  <c r="T223" i="15"/>
  <c r="S225" i="17"/>
  <c r="T225" i="17"/>
  <c r="O41" i="17"/>
  <c r="D42" i="17" s="1"/>
  <c r="I44" i="15"/>
  <c r="J44" i="15" s="1"/>
  <c r="K44" i="15" s="1"/>
  <c r="M44" i="15" s="1"/>
  <c r="N56" i="15" s="1"/>
  <c r="R226" i="17"/>
  <c r="B227" i="17"/>
  <c r="F104" i="17"/>
  <c r="C106" i="17"/>
  <c r="L105" i="17"/>
  <c r="R224" i="15"/>
  <c r="B225" i="15"/>
  <c r="L103" i="15"/>
  <c r="C104" i="15"/>
  <c r="L104" i="14"/>
  <c r="C105" i="14"/>
  <c r="B226" i="14"/>
  <c r="R225" i="14"/>
  <c r="K48" i="14"/>
  <c r="M48" i="14" s="1"/>
  <c r="N60" i="14" s="1"/>
  <c r="O48" i="14"/>
  <c r="D49" i="14" s="1"/>
  <c r="O44" i="12"/>
  <c r="D45" i="12" s="1"/>
  <c r="E45" i="12" s="1"/>
  <c r="R226" i="12"/>
  <c r="B227" i="12"/>
  <c r="F104" i="12"/>
  <c r="C106" i="12"/>
  <c r="L105" i="12"/>
  <c r="E35" i="1"/>
  <c r="S93" i="1"/>
  <c r="T93" i="1"/>
  <c r="M34" i="1"/>
  <c r="L97" i="1"/>
  <c r="C98" i="1"/>
  <c r="R94" i="1"/>
  <c r="H35" i="1" l="1"/>
  <c r="S226" i="12"/>
  <c r="T226" i="12"/>
  <c r="S225" i="14"/>
  <c r="T225" i="14"/>
  <c r="S224" i="15"/>
  <c r="T224" i="15"/>
  <c r="S226" i="17"/>
  <c r="T226" i="17"/>
  <c r="E42" i="17"/>
  <c r="G42" i="17"/>
  <c r="H42" i="17" s="1"/>
  <c r="J42" i="17" s="1"/>
  <c r="K42" i="17" s="1"/>
  <c r="M42" i="17" s="1"/>
  <c r="N54" i="17" s="1"/>
  <c r="O44" i="15"/>
  <c r="D45" i="15" s="1"/>
  <c r="P44" i="15"/>
  <c r="Q44" i="15" s="1"/>
  <c r="M29" i="16" s="1"/>
  <c r="L106" i="17"/>
  <c r="C107" i="17"/>
  <c r="F105" i="17"/>
  <c r="R227" i="17"/>
  <c r="B228" i="17"/>
  <c r="G45" i="12"/>
  <c r="H45" i="12" s="1"/>
  <c r="L104" i="15"/>
  <c r="C105" i="15"/>
  <c r="R225" i="15"/>
  <c r="B226" i="15"/>
  <c r="E49" i="14"/>
  <c r="G49" i="14"/>
  <c r="R226" i="14"/>
  <c r="B227" i="14"/>
  <c r="C106" i="14"/>
  <c r="L105" i="14"/>
  <c r="C107" i="12"/>
  <c r="L106" i="12"/>
  <c r="F105" i="12"/>
  <c r="R227" i="12"/>
  <c r="B228" i="12"/>
  <c r="I35" i="1"/>
  <c r="S94" i="1"/>
  <c r="T94" i="1"/>
  <c r="L98" i="1"/>
  <c r="C99" i="1"/>
  <c r="R95" i="1"/>
  <c r="H49" i="14" l="1"/>
  <c r="I49" i="14" s="1"/>
  <c r="J49" i="14" s="1"/>
  <c r="O49" i="14" s="1"/>
  <c r="D50" i="14" s="1"/>
  <c r="S227" i="12"/>
  <c r="T227" i="12"/>
  <c r="S226" i="14"/>
  <c r="T226" i="14"/>
  <c r="S225" i="15"/>
  <c r="T225" i="15"/>
  <c r="S227" i="17"/>
  <c r="T227" i="17"/>
  <c r="O42" i="17"/>
  <c r="D43" i="17" s="1"/>
  <c r="P42" i="17"/>
  <c r="Q42" i="17" s="1"/>
  <c r="M27" i="18" s="1"/>
  <c r="G45" i="15"/>
  <c r="E45" i="15"/>
  <c r="B229" i="17"/>
  <c r="R228" i="17"/>
  <c r="L107" i="17"/>
  <c r="C108" i="17"/>
  <c r="F106" i="17"/>
  <c r="L105" i="15"/>
  <c r="C106" i="15"/>
  <c r="B227" i="15"/>
  <c r="R226" i="15"/>
  <c r="C107" i="14"/>
  <c r="L106" i="14"/>
  <c r="R227" i="14"/>
  <c r="B228" i="14"/>
  <c r="F106" i="12"/>
  <c r="C108" i="12"/>
  <c r="L107" i="12"/>
  <c r="R228" i="12"/>
  <c r="B229" i="12"/>
  <c r="I45" i="12"/>
  <c r="P45" i="12" s="1"/>
  <c r="Q45" i="12" s="1"/>
  <c r="M30" i="10" s="1"/>
  <c r="J35" i="1"/>
  <c r="K35" i="1" s="1"/>
  <c r="S95" i="1"/>
  <c r="T95" i="1"/>
  <c r="L99" i="1"/>
  <c r="C100" i="1"/>
  <c r="R96" i="1"/>
  <c r="S228" i="12" l="1"/>
  <c r="T228" i="12"/>
  <c r="S227" i="14"/>
  <c r="T227" i="14"/>
  <c r="S226" i="15"/>
  <c r="T226" i="15"/>
  <c r="S228" i="17"/>
  <c r="T228" i="17"/>
  <c r="E43" i="17"/>
  <c r="G43" i="17"/>
  <c r="H43" i="17" s="1"/>
  <c r="J43" i="17" s="1"/>
  <c r="O43" i="17" s="1"/>
  <c r="D44" i="17" s="1"/>
  <c r="H45" i="15"/>
  <c r="F107" i="17"/>
  <c r="B230" i="17"/>
  <c r="R229" i="17"/>
  <c r="C109" i="17"/>
  <c r="L108" i="17"/>
  <c r="B228" i="15"/>
  <c r="R227" i="15"/>
  <c r="L106" i="15"/>
  <c r="C107" i="15"/>
  <c r="E50" i="14"/>
  <c r="G50" i="14"/>
  <c r="B229" i="14"/>
  <c r="R228" i="14"/>
  <c r="C108" i="14"/>
  <c r="L107" i="14"/>
  <c r="K49" i="14"/>
  <c r="M49" i="14" s="1"/>
  <c r="N61" i="14" s="1"/>
  <c r="P49" i="14"/>
  <c r="Q49" i="14" s="1"/>
  <c r="M34" i="13" s="1"/>
  <c r="J45" i="12"/>
  <c r="O45" i="12" s="1"/>
  <c r="D46" i="12" s="1"/>
  <c r="E46" i="12" s="1"/>
  <c r="R229" i="12"/>
  <c r="B230" i="12"/>
  <c r="L108" i="12"/>
  <c r="C109" i="12"/>
  <c r="F107" i="12"/>
  <c r="S96" i="1"/>
  <c r="T96" i="1"/>
  <c r="L100" i="1"/>
  <c r="C101" i="1"/>
  <c r="R97" i="1"/>
  <c r="T97" i="1" s="1"/>
  <c r="S229" i="12" l="1"/>
  <c r="T229" i="12"/>
  <c r="S228" i="14"/>
  <c r="T228" i="14"/>
  <c r="S227" i="15"/>
  <c r="T227" i="15"/>
  <c r="S229" i="17"/>
  <c r="T229" i="17"/>
  <c r="P43" i="17"/>
  <c r="Q43" i="17" s="1"/>
  <c r="M28" i="18" s="1"/>
  <c r="I45" i="15"/>
  <c r="P45" i="15" s="1"/>
  <c r="Q45" i="15" s="1"/>
  <c r="E44" i="17"/>
  <c r="G44" i="17"/>
  <c r="L109" i="17"/>
  <c r="C110" i="17"/>
  <c r="K43" i="17"/>
  <c r="M43" i="17" s="1"/>
  <c r="N55" i="17" s="1"/>
  <c r="B231" i="17"/>
  <c r="R230" i="17"/>
  <c r="F108" i="17"/>
  <c r="H50" i="14"/>
  <c r="I50" i="14" s="1"/>
  <c r="P50" i="14" s="1"/>
  <c r="Q50" i="14" s="1"/>
  <c r="M35" i="13" s="1"/>
  <c r="R228" i="15"/>
  <c r="B229" i="15"/>
  <c r="C108" i="15"/>
  <c r="L107" i="15"/>
  <c r="B230" i="14"/>
  <c r="R229" i="14"/>
  <c r="C109" i="14"/>
  <c r="L108" i="14"/>
  <c r="K45" i="12"/>
  <c r="M45" i="12" s="1"/>
  <c r="N57" i="12" s="1"/>
  <c r="G46" i="12"/>
  <c r="H46" i="12" s="1"/>
  <c r="I46" i="12" s="1"/>
  <c r="C110" i="12"/>
  <c r="L109" i="12"/>
  <c r="R230" i="12"/>
  <c r="B231" i="12"/>
  <c r="F108" i="12"/>
  <c r="O35" i="1"/>
  <c r="D36" i="1" s="1"/>
  <c r="G36" i="1" s="1"/>
  <c r="L101" i="1"/>
  <c r="C102" i="1"/>
  <c r="S97" i="1"/>
  <c r="R98" i="1"/>
  <c r="S230" i="12" l="1"/>
  <c r="T230" i="12"/>
  <c r="S229" i="14"/>
  <c r="T229" i="14"/>
  <c r="S228" i="15"/>
  <c r="T228" i="15"/>
  <c r="S230" i="17"/>
  <c r="T230" i="17"/>
  <c r="J45" i="15"/>
  <c r="K45" i="15" s="1"/>
  <c r="M45" i="15" s="1"/>
  <c r="N57" i="15" s="1"/>
  <c r="H44" i="17"/>
  <c r="C111" i="17"/>
  <c r="L110" i="17"/>
  <c r="F109" i="17"/>
  <c r="B232" i="17"/>
  <c r="R231" i="17"/>
  <c r="B230" i="15"/>
  <c r="R229" i="15"/>
  <c r="C109" i="15"/>
  <c r="L108" i="15"/>
  <c r="J50" i="14"/>
  <c r="O50" i="14" s="1"/>
  <c r="D51" i="14" s="1"/>
  <c r="C110" i="14"/>
  <c r="L109" i="14"/>
  <c r="R230" i="14"/>
  <c r="B231" i="14"/>
  <c r="P46" i="12"/>
  <c r="Q46" i="12" s="1"/>
  <c r="M31" i="10" s="1"/>
  <c r="J46" i="12"/>
  <c r="K46" i="12" s="1"/>
  <c r="M46" i="12" s="1"/>
  <c r="N58" i="12" s="1"/>
  <c r="F109" i="12"/>
  <c r="B232" i="12"/>
  <c r="R231" i="12"/>
  <c r="L110" i="12"/>
  <c r="C111" i="12"/>
  <c r="E36" i="1"/>
  <c r="S98" i="1"/>
  <c r="T98" i="1"/>
  <c r="M35" i="1"/>
  <c r="L102" i="1"/>
  <c r="C103" i="1"/>
  <c r="R99" i="1"/>
  <c r="S231" i="12" l="1"/>
  <c r="T231" i="12"/>
  <c r="S230" i="14"/>
  <c r="T230" i="14"/>
  <c r="S229" i="15"/>
  <c r="T229" i="15"/>
  <c r="S231" i="17"/>
  <c r="T231" i="17"/>
  <c r="H36" i="1"/>
  <c r="I36" i="1" s="1"/>
  <c r="O45" i="15"/>
  <c r="D46" i="15" s="1"/>
  <c r="E46" i="15" s="1"/>
  <c r="F110" i="17"/>
  <c r="C112" i="17"/>
  <c r="L111" i="17"/>
  <c r="R232" i="17"/>
  <c r="B233" i="17"/>
  <c r="L109" i="15"/>
  <c r="C110" i="15"/>
  <c r="B231" i="15"/>
  <c r="R230" i="15"/>
  <c r="K50" i="14"/>
  <c r="M50" i="14" s="1"/>
  <c r="N62" i="14" s="1"/>
  <c r="R231" i="14"/>
  <c r="B232" i="14"/>
  <c r="L110" i="14"/>
  <c r="C111" i="14"/>
  <c r="E51" i="14"/>
  <c r="G51" i="14"/>
  <c r="O46" i="12"/>
  <c r="D47" i="12" s="1"/>
  <c r="G47" i="12" s="1"/>
  <c r="C112" i="12"/>
  <c r="L111" i="12"/>
  <c r="R232" i="12"/>
  <c r="B233" i="12"/>
  <c r="F110" i="12"/>
  <c r="S99" i="1"/>
  <c r="T99" i="1"/>
  <c r="L103" i="1"/>
  <c r="C104" i="1"/>
  <c r="R100" i="1"/>
  <c r="G46" i="15" l="1"/>
  <c r="S232" i="12"/>
  <c r="T232" i="12"/>
  <c r="S231" i="14"/>
  <c r="T231" i="14"/>
  <c r="S230" i="15"/>
  <c r="T230" i="15"/>
  <c r="S232" i="17"/>
  <c r="T232" i="17"/>
  <c r="H46" i="15"/>
  <c r="I46" i="15" s="1"/>
  <c r="J46" i="15" s="1"/>
  <c r="K46" i="15" s="1"/>
  <c r="M46" i="15" s="1"/>
  <c r="N58" i="15" s="1"/>
  <c r="J44" i="17"/>
  <c r="O44" i="17" s="1"/>
  <c r="D45" i="17" s="1"/>
  <c r="P44" i="17"/>
  <c r="Q44" i="17" s="1"/>
  <c r="M29" i="18" s="1"/>
  <c r="C113" i="17"/>
  <c r="L112" i="17"/>
  <c r="R233" i="17"/>
  <c r="B234" i="17"/>
  <c r="F111" i="17"/>
  <c r="E47" i="12"/>
  <c r="H47" i="12" s="1"/>
  <c r="H51" i="14"/>
  <c r="I51" i="14" s="1"/>
  <c r="J51" i="14" s="1"/>
  <c r="L110" i="15"/>
  <c r="C111" i="15"/>
  <c r="R231" i="15"/>
  <c r="B232" i="15"/>
  <c r="C112" i="14"/>
  <c r="L111" i="14"/>
  <c r="B233" i="14"/>
  <c r="R232" i="14"/>
  <c r="L112" i="12"/>
  <c r="C113" i="12"/>
  <c r="R233" i="12"/>
  <c r="B234" i="12"/>
  <c r="F111" i="12"/>
  <c r="S100" i="1"/>
  <c r="T100" i="1"/>
  <c r="L104" i="1"/>
  <c r="C105" i="1"/>
  <c r="R101" i="1"/>
  <c r="J36" i="1"/>
  <c r="K36" i="1" s="1"/>
  <c r="S233" i="12" l="1"/>
  <c r="T233" i="12"/>
  <c r="S232" i="14"/>
  <c r="T232" i="14"/>
  <c r="S231" i="15"/>
  <c r="T231" i="15"/>
  <c r="S233" i="17"/>
  <c r="T233" i="17"/>
  <c r="K44" i="17"/>
  <c r="M44" i="17" s="1"/>
  <c r="N56" i="17" s="1"/>
  <c r="O46" i="15"/>
  <c r="D47" i="15" s="1"/>
  <c r="E47" i="15" s="1"/>
  <c r="G45" i="17"/>
  <c r="E45" i="17"/>
  <c r="P46" i="15"/>
  <c r="Q46" i="15" s="1"/>
  <c r="C114" i="17"/>
  <c r="L113" i="17"/>
  <c r="F112" i="17"/>
  <c r="B235" i="17"/>
  <c r="R234" i="17"/>
  <c r="I47" i="12"/>
  <c r="P47" i="12" s="1"/>
  <c r="Q47" i="12" s="1"/>
  <c r="M32" i="10" s="1"/>
  <c r="R232" i="15"/>
  <c r="B233" i="15"/>
  <c r="C112" i="15"/>
  <c r="L111" i="15"/>
  <c r="R233" i="14"/>
  <c r="B234" i="14"/>
  <c r="K51" i="14"/>
  <c r="M51" i="14" s="1"/>
  <c r="N63" i="14" s="1"/>
  <c r="O51" i="14"/>
  <c r="D52" i="14" s="1"/>
  <c r="L112" i="14"/>
  <c r="C113" i="14"/>
  <c r="P51" i="14"/>
  <c r="Q51" i="14" s="1"/>
  <c r="M36" i="13" s="1"/>
  <c r="F112" i="12"/>
  <c r="B235" i="12"/>
  <c r="R234" i="12"/>
  <c r="C114" i="12"/>
  <c r="L113" i="12"/>
  <c r="S101" i="1"/>
  <c r="T101" i="1"/>
  <c r="L105" i="1"/>
  <c r="C106" i="1"/>
  <c r="R102" i="1"/>
  <c r="S234" i="12" l="1"/>
  <c r="T234" i="12"/>
  <c r="S233" i="14"/>
  <c r="T233" i="14"/>
  <c r="S232" i="15"/>
  <c r="T232" i="15"/>
  <c r="S234" i="17"/>
  <c r="T234" i="17"/>
  <c r="G47" i="15"/>
  <c r="H47" i="15" s="1"/>
  <c r="I47" i="15" s="1"/>
  <c r="J47" i="12"/>
  <c r="O47" i="12" s="1"/>
  <c r="D48" i="12" s="1"/>
  <c r="E48" i="12" s="1"/>
  <c r="H45" i="17"/>
  <c r="P45" i="17" s="1"/>
  <c r="Q45" i="17" s="1"/>
  <c r="M30" i="18" s="1"/>
  <c r="R235" i="17"/>
  <c r="B236" i="17"/>
  <c r="F113" i="17"/>
  <c r="L114" i="17"/>
  <c r="C115" i="17"/>
  <c r="B234" i="15"/>
  <c r="R233" i="15"/>
  <c r="C113" i="15"/>
  <c r="L112" i="15"/>
  <c r="E52" i="14"/>
  <c r="G52" i="14"/>
  <c r="L113" i="14"/>
  <c r="C114" i="14"/>
  <c r="R234" i="14"/>
  <c r="B235" i="14"/>
  <c r="B236" i="12"/>
  <c r="R235" i="12"/>
  <c r="F113" i="12"/>
  <c r="C115" i="12"/>
  <c r="L114" i="12"/>
  <c r="S102" i="1"/>
  <c r="T102" i="1"/>
  <c r="O36" i="1"/>
  <c r="D37" i="1" s="1"/>
  <c r="G37" i="1" s="1"/>
  <c r="L106" i="1"/>
  <c r="C107" i="1"/>
  <c r="R103" i="1"/>
  <c r="S235" i="12" l="1"/>
  <c r="T235" i="12"/>
  <c r="S234" i="14"/>
  <c r="T234" i="14"/>
  <c r="S233" i="15"/>
  <c r="T233" i="15"/>
  <c r="S235" i="17"/>
  <c r="T235" i="17"/>
  <c r="K47" i="12"/>
  <c r="M47" i="12" s="1"/>
  <c r="N59" i="12" s="1"/>
  <c r="J45" i="17"/>
  <c r="K45" i="17" s="1"/>
  <c r="M45" i="17" s="1"/>
  <c r="N57" i="17" s="1"/>
  <c r="H52" i="14"/>
  <c r="I52" i="14" s="1"/>
  <c r="P52" i="14" s="1"/>
  <c r="Q52" i="14" s="1"/>
  <c r="M37" i="13" s="1"/>
  <c r="G48" i="12"/>
  <c r="H48" i="12" s="1"/>
  <c r="I48" i="12" s="1"/>
  <c r="P47" i="15"/>
  <c r="Q47" i="15" s="1"/>
  <c r="J47" i="15"/>
  <c r="K47" i="15" s="1"/>
  <c r="M47" i="15" s="1"/>
  <c r="N59" i="15" s="1"/>
  <c r="F114" i="17"/>
  <c r="B237" i="17"/>
  <c r="R236" i="17"/>
  <c r="L115" i="17"/>
  <c r="C116" i="17"/>
  <c r="R234" i="15"/>
  <c r="B235" i="15"/>
  <c r="L113" i="15"/>
  <c r="C114" i="15"/>
  <c r="R235" i="14"/>
  <c r="B236" i="14"/>
  <c r="L114" i="14"/>
  <c r="C115" i="14"/>
  <c r="C116" i="12"/>
  <c r="L115" i="12"/>
  <c r="F114" i="12"/>
  <c r="B237" i="12"/>
  <c r="R236" i="12"/>
  <c r="E37" i="1"/>
  <c r="S103" i="1"/>
  <c r="T103" i="1"/>
  <c r="M36" i="1"/>
  <c r="L107" i="1"/>
  <c r="C108" i="1"/>
  <c r="R104" i="1"/>
  <c r="H37" i="1" l="1"/>
  <c r="I37" i="1" s="1"/>
  <c r="S236" i="12"/>
  <c r="T236" i="12"/>
  <c r="S235" i="14"/>
  <c r="T235" i="14"/>
  <c r="S234" i="15"/>
  <c r="T234" i="15"/>
  <c r="S236" i="17"/>
  <c r="T236" i="17"/>
  <c r="O45" i="17"/>
  <c r="D46" i="17" s="1"/>
  <c r="E46" i="17" s="1"/>
  <c r="J48" i="12"/>
  <c r="O48" i="12" s="1"/>
  <c r="D49" i="12" s="1"/>
  <c r="P48" i="12"/>
  <c r="Q48" i="12" s="1"/>
  <c r="M33" i="10" s="1"/>
  <c r="O47" i="15"/>
  <c r="D48" i="15" s="1"/>
  <c r="B238" i="17"/>
  <c r="R237" i="17"/>
  <c r="L116" i="17"/>
  <c r="C117" i="17"/>
  <c r="F115" i="17"/>
  <c r="C115" i="15"/>
  <c r="L114" i="15"/>
  <c r="R235" i="15"/>
  <c r="B236" i="15"/>
  <c r="J52" i="14"/>
  <c r="O52" i="14" s="1"/>
  <c r="D53" i="14" s="1"/>
  <c r="C116" i="14"/>
  <c r="L115" i="14"/>
  <c r="R236" i="14"/>
  <c r="B237" i="14"/>
  <c r="F115" i="12"/>
  <c r="L116" i="12"/>
  <c r="C117" i="12"/>
  <c r="B238" i="12"/>
  <c r="R237" i="12"/>
  <c r="S104" i="1"/>
  <c r="T104" i="1"/>
  <c r="L108" i="1"/>
  <c r="C109" i="1"/>
  <c r="R105" i="1"/>
  <c r="G46" i="17" l="1"/>
  <c r="K48" i="12"/>
  <c r="M48" i="12" s="1"/>
  <c r="N60" i="12" s="1"/>
  <c r="S237" i="12"/>
  <c r="T237" i="12"/>
  <c r="S236" i="14"/>
  <c r="T236" i="14"/>
  <c r="S235" i="15"/>
  <c r="T235" i="15"/>
  <c r="S237" i="17"/>
  <c r="T237" i="17"/>
  <c r="H46" i="17"/>
  <c r="G48" i="15"/>
  <c r="E48" i="15"/>
  <c r="F116" i="17"/>
  <c r="C118" i="17"/>
  <c r="L117" i="17"/>
  <c r="R238" i="17"/>
  <c r="B239" i="17"/>
  <c r="R236" i="15"/>
  <c r="B237" i="15"/>
  <c r="L115" i="15"/>
  <c r="C116" i="15"/>
  <c r="E53" i="14"/>
  <c r="G53" i="14"/>
  <c r="H53" i="14" s="1"/>
  <c r="I53" i="14" s="1"/>
  <c r="K52" i="14"/>
  <c r="M52" i="14" s="1"/>
  <c r="N64" i="14" s="1"/>
  <c r="C117" i="14"/>
  <c r="L116" i="14"/>
  <c r="B238" i="14"/>
  <c r="R237" i="14"/>
  <c r="C118" i="12"/>
  <c r="L117" i="12"/>
  <c r="R238" i="12"/>
  <c r="B239" i="12"/>
  <c r="E49" i="12"/>
  <c r="G49" i="12"/>
  <c r="F116" i="12"/>
  <c r="S105" i="1"/>
  <c r="T105" i="1"/>
  <c r="L109" i="1"/>
  <c r="C110" i="1"/>
  <c r="R106" i="1"/>
  <c r="J37" i="1"/>
  <c r="K37" i="1" s="1"/>
  <c r="S238" i="12" l="1"/>
  <c r="T238" i="12"/>
  <c r="S237" i="14"/>
  <c r="T237" i="14"/>
  <c r="S236" i="15"/>
  <c r="T236" i="15"/>
  <c r="S238" i="17"/>
  <c r="T238" i="17"/>
  <c r="H48" i="15"/>
  <c r="I48" i="15" s="1"/>
  <c r="P48" i="15" s="1"/>
  <c r="Q48" i="15" s="1"/>
  <c r="H49" i="12"/>
  <c r="I49" i="12" s="1"/>
  <c r="J49" i="12" s="1"/>
  <c r="O49" i="12" s="1"/>
  <c r="D50" i="12" s="1"/>
  <c r="P46" i="17"/>
  <c r="Q46" i="17" s="1"/>
  <c r="M31" i="18" s="1"/>
  <c r="J46" i="17"/>
  <c r="B240" i="17"/>
  <c r="R239" i="17"/>
  <c r="C119" i="17"/>
  <c r="L118" i="17"/>
  <c r="F117" i="17"/>
  <c r="B238" i="15"/>
  <c r="R237" i="15"/>
  <c r="C117" i="15"/>
  <c r="L116" i="15"/>
  <c r="J53" i="14"/>
  <c r="K53" i="14" s="1"/>
  <c r="M53" i="14" s="1"/>
  <c r="N65" i="14" s="1"/>
  <c r="P53" i="14"/>
  <c r="Q53" i="14" s="1"/>
  <c r="M38" i="13" s="1"/>
  <c r="B239" i="14"/>
  <c r="R238" i="14"/>
  <c r="L117" i="14"/>
  <c r="C118" i="14"/>
  <c r="B240" i="12"/>
  <c r="R239" i="12"/>
  <c r="F117" i="12"/>
  <c r="L118" i="12"/>
  <c r="C119" i="12"/>
  <c r="S106" i="1"/>
  <c r="T106" i="1"/>
  <c r="L110" i="1"/>
  <c r="C111" i="1"/>
  <c r="R107" i="1"/>
  <c r="P49" i="12" l="1"/>
  <c r="Q49" i="12" s="1"/>
  <c r="M34" i="10" s="1"/>
  <c r="S239" i="12"/>
  <c r="T239" i="12"/>
  <c r="S238" i="14"/>
  <c r="T238" i="14"/>
  <c r="S237" i="15"/>
  <c r="T237" i="15"/>
  <c r="S239" i="17"/>
  <c r="T239" i="17"/>
  <c r="J48" i="15"/>
  <c r="K48" i="15" s="1"/>
  <c r="M48" i="15" s="1"/>
  <c r="N60" i="15" s="1"/>
  <c r="K46" i="17"/>
  <c r="M46" i="17" s="1"/>
  <c r="N58" i="17" s="1"/>
  <c r="O46" i="17"/>
  <c r="D47" i="17" s="1"/>
  <c r="C120" i="17"/>
  <c r="L119" i="17"/>
  <c r="F118" i="17"/>
  <c r="B241" i="17"/>
  <c r="R240" i="17"/>
  <c r="B239" i="15"/>
  <c r="R238" i="15"/>
  <c r="C118" i="15"/>
  <c r="L117" i="15"/>
  <c r="O53" i="14"/>
  <c r="D54" i="14" s="1"/>
  <c r="E54" i="14" s="1"/>
  <c r="L118" i="14"/>
  <c r="C119" i="14"/>
  <c r="R239" i="14"/>
  <c r="B240" i="14"/>
  <c r="E50" i="12"/>
  <c r="G50" i="12"/>
  <c r="C120" i="12"/>
  <c r="L119" i="12"/>
  <c r="F118" i="12"/>
  <c r="R240" i="12"/>
  <c r="B241" i="12"/>
  <c r="K49" i="12"/>
  <c r="M49" i="12" s="1"/>
  <c r="N61" i="12" s="1"/>
  <c r="S107" i="1"/>
  <c r="T107" i="1"/>
  <c r="O37" i="1"/>
  <c r="D38" i="1" s="1"/>
  <c r="G38" i="1" s="1"/>
  <c r="L111" i="1"/>
  <c r="C112" i="1"/>
  <c r="R108" i="1"/>
  <c r="S240" i="12" l="1"/>
  <c r="T240" i="12"/>
  <c r="S239" i="14"/>
  <c r="T239" i="14"/>
  <c r="S238" i="15"/>
  <c r="T238" i="15"/>
  <c r="S240" i="17"/>
  <c r="T240" i="17"/>
  <c r="O48" i="15"/>
  <c r="D49" i="15" s="1"/>
  <c r="E49" i="15" s="1"/>
  <c r="G47" i="17"/>
  <c r="E47" i="17"/>
  <c r="B242" i="17"/>
  <c r="R241" i="17"/>
  <c r="F119" i="17"/>
  <c r="L120" i="17"/>
  <c r="C121" i="17"/>
  <c r="C119" i="15"/>
  <c r="L118" i="15"/>
  <c r="B240" i="15"/>
  <c r="R239" i="15"/>
  <c r="G54" i="14"/>
  <c r="H54" i="14" s="1"/>
  <c r="I54" i="14" s="1"/>
  <c r="P54" i="14" s="1"/>
  <c r="Q54" i="14" s="1"/>
  <c r="M39" i="13" s="1"/>
  <c r="B241" i="14"/>
  <c r="R240" i="14"/>
  <c r="C120" i="14"/>
  <c r="L119" i="14"/>
  <c r="H50" i="12"/>
  <c r="R241" i="12"/>
  <c r="B242" i="12"/>
  <c r="F119" i="12"/>
  <c r="L120" i="12"/>
  <c r="C121" i="12"/>
  <c r="E38" i="1"/>
  <c r="S108" i="1"/>
  <c r="T108" i="1"/>
  <c r="M37" i="1"/>
  <c r="L112" i="1"/>
  <c r="C113" i="1"/>
  <c r="R109" i="1"/>
  <c r="H38" i="1" l="1"/>
  <c r="I38" i="1" s="1"/>
  <c r="S241" i="12"/>
  <c r="T241" i="12"/>
  <c r="S240" i="14"/>
  <c r="T240" i="14"/>
  <c r="S239" i="15"/>
  <c r="T239" i="15"/>
  <c r="S241" i="17"/>
  <c r="T241" i="17"/>
  <c r="H49" i="15"/>
  <c r="I49" i="15" s="1"/>
  <c r="P49" i="15" s="1"/>
  <c r="Q49" i="15" s="1"/>
  <c r="G49" i="15"/>
  <c r="H47" i="17"/>
  <c r="F120" i="17"/>
  <c r="L121" i="17"/>
  <c r="C122" i="17"/>
  <c r="B243" i="17"/>
  <c r="R242" i="17"/>
  <c r="J54" i="14"/>
  <c r="O54" i="14" s="1"/>
  <c r="D55" i="14" s="1"/>
  <c r="E55" i="14" s="1"/>
  <c r="R240" i="15"/>
  <c r="B241" i="15"/>
  <c r="C120" i="15"/>
  <c r="L119" i="15"/>
  <c r="L120" i="14"/>
  <c r="C121" i="14"/>
  <c r="B242" i="14"/>
  <c r="R241" i="14"/>
  <c r="I50" i="12"/>
  <c r="P50" i="12" s="1"/>
  <c r="Q50" i="12" s="1"/>
  <c r="M35" i="10" s="1"/>
  <c r="C122" i="12"/>
  <c r="L121" i="12"/>
  <c r="F120" i="12"/>
  <c r="R242" i="12"/>
  <c r="B243" i="12"/>
  <c r="S109" i="1"/>
  <c r="T109" i="1"/>
  <c r="L113" i="1"/>
  <c r="C114" i="1"/>
  <c r="R110" i="1"/>
  <c r="J49" i="15" l="1"/>
  <c r="K49" i="15" s="1"/>
  <c r="S242" i="12"/>
  <c r="T242" i="12"/>
  <c r="S241" i="14"/>
  <c r="T241" i="14"/>
  <c r="S240" i="15"/>
  <c r="T240" i="15"/>
  <c r="S242" i="17"/>
  <c r="T242" i="17"/>
  <c r="P47" i="17"/>
  <c r="Q47" i="17" s="1"/>
  <c r="M32" i="18" s="1"/>
  <c r="J47" i="17"/>
  <c r="K47" i="17" s="1"/>
  <c r="M47" i="17" s="1"/>
  <c r="N59" i="17" s="1"/>
  <c r="L122" i="17"/>
  <c r="C123" i="17"/>
  <c r="B244" i="17"/>
  <c r="R243" i="17"/>
  <c r="F121" i="17"/>
  <c r="G55" i="14"/>
  <c r="H55" i="14" s="1"/>
  <c r="I55" i="14" s="1"/>
  <c r="P55" i="14" s="1"/>
  <c r="Q55" i="14" s="1"/>
  <c r="M40" i="13" s="1"/>
  <c r="K54" i="14"/>
  <c r="M54" i="14" s="1"/>
  <c r="N66" i="14" s="1"/>
  <c r="R241" i="15"/>
  <c r="B242" i="15"/>
  <c r="L120" i="15"/>
  <c r="C121" i="15"/>
  <c r="L121" i="14"/>
  <c r="C122" i="14"/>
  <c r="R242" i="14"/>
  <c r="B243" i="14"/>
  <c r="J50" i="12"/>
  <c r="K50" i="12" s="1"/>
  <c r="M50" i="12" s="1"/>
  <c r="N62" i="12" s="1"/>
  <c r="F121" i="12"/>
  <c r="B244" i="12"/>
  <c r="R243" i="12"/>
  <c r="C123" i="12"/>
  <c r="L122" i="12"/>
  <c r="S110" i="1"/>
  <c r="T110" i="1"/>
  <c r="L114" i="1"/>
  <c r="C115" i="1"/>
  <c r="R111" i="1"/>
  <c r="J38" i="1"/>
  <c r="K38" i="1" s="1"/>
  <c r="M49" i="15" l="1"/>
  <c r="N61" i="15" s="1"/>
  <c r="O49" i="15"/>
  <c r="D50" i="15" s="1"/>
  <c r="G50" i="15" s="1"/>
  <c r="S243" i="12"/>
  <c r="T243" i="12"/>
  <c r="S242" i="14"/>
  <c r="T242" i="14"/>
  <c r="S241" i="15"/>
  <c r="T241" i="15"/>
  <c r="S243" i="17"/>
  <c r="T243" i="17"/>
  <c r="E50" i="15"/>
  <c r="H50" i="15"/>
  <c r="I50" i="15" s="1"/>
  <c r="J50" i="15" s="1"/>
  <c r="K50" i="15" s="1"/>
  <c r="M50" i="15" s="1"/>
  <c r="N62" i="15" s="1"/>
  <c r="O47" i="17"/>
  <c r="D48" i="17" s="1"/>
  <c r="F122" i="17"/>
  <c r="C124" i="17"/>
  <c r="L123" i="17"/>
  <c r="R244" i="17"/>
  <c r="B245" i="17"/>
  <c r="R242" i="15"/>
  <c r="B243" i="15"/>
  <c r="C122" i="15"/>
  <c r="L121" i="15"/>
  <c r="B244" i="14"/>
  <c r="R243" i="14"/>
  <c r="C123" i="14"/>
  <c r="L122" i="14"/>
  <c r="J55" i="14"/>
  <c r="O50" i="12"/>
  <c r="D51" i="12" s="1"/>
  <c r="C124" i="12"/>
  <c r="L123" i="12"/>
  <c r="R244" i="12"/>
  <c r="B245" i="12"/>
  <c r="F122" i="12"/>
  <c r="S111" i="1"/>
  <c r="T111" i="1"/>
  <c r="L115" i="1"/>
  <c r="C116" i="1"/>
  <c r="R112" i="1"/>
  <c r="S244" i="12" l="1"/>
  <c r="T244" i="12"/>
  <c r="S243" i="14"/>
  <c r="T243" i="14"/>
  <c r="S242" i="15"/>
  <c r="T242" i="15"/>
  <c r="S244" i="17"/>
  <c r="T244" i="17"/>
  <c r="P50" i="15"/>
  <c r="Q50" i="15" s="1"/>
  <c r="G48" i="17"/>
  <c r="E48" i="17"/>
  <c r="O50" i="15"/>
  <c r="D51" i="15" s="1"/>
  <c r="B246" i="17"/>
  <c r="R245" i="17"/>
  <c r="C125" i="17"/>
  <c r="L124" i="17"/>
  <c r="F123" i="17"/>
  <c r="B244" i="15"/>
  <c r="R243" i="15"/>
  <c r="C123" i="15"/>
  <c r="L122" i="15"/>
  <c r="C124" i="14"/>
  <c r="L123" i="14"/>
  <c r="K55" i="14"/>
  <c r="M55" i="14" s="1"/>
  <c r="N67" i="14" s="1"/>
  <c r="R244" i="14"/>
  <c r="B245" i="14"/>
  <c r="O55" i="14"/>
  <c r="D56" i="14" s="1"/>
  <c r="G51" i="12"/>
  <c r="E51" i="12"/>
  <c r="F123" i="12"/>
  <c r="R245" i="12"/>
  <c r="B246" i="12"/>
  <c r="L124" i="12"/>
  <c r="C125" i="12"/>
  <c r="S112" i="1"/>
  <c r="T112" i="1"/>
  <c r="O38" i="1"/>
  <c r="D39" i="1" s="1"/>
  <c r="G39" i="1" s="1"/>
  <c r="L116" i="1"/>
  <c r="C117" i="1"/>
  <c r="R113" i="1"/>
  <c r="S245" i="12" l="1"/>
  <c r="T245" i="12"/>
  <c r="S244" i="14"/>
  <c r="T244" i="14"/>
  <c r="S243" i="15"/>
  <c r="T243" i="15"/>
  <c r="S245" i="17"/>
  <c r="T245" i="17"/>
  <c r="G51" i="15"/>
  <c r="E51" i="15"/>
  <c r="H48" i="17"/>
  <c r="C126" i="17"/>
  <c r="L125" i="17"/>
  <c r="F124" i="17"/>
  <c r="B247" i="17"/>
  <c r="R246" i="17"/>
  <c r="L123" i="15"/>
  <c r="C124" i="15"/>
  <c r="R244" i="15"/>
  <c r="B245" i="15"/>
  <c r="E56" i="14"/>
  <c r="G56" i="14"/>
  <c r="R245" i="14"/>
  <c r="B246" i="14"/>
  <c r="C125" i="14"/>
  <c r="L124" i="14"/>
  <c r="H51" i="12"/>
  <c r="B247" i="12"/>
  <c r="R246" i="12"/>
  <c r="F124" i="12"/>
  <c r="C126" i="12"/>
  <c r="L125" i="12"/>
  <c r="E39" i="1"/>
  <c r="S113" i="1"/>
  <c r="T113" i="1"/>
  <c r="M38" i="1"/>
  <c r="L117" i="1"/>
  <c r="C118" i="1"/>
  <c r="R114" i="1"/>
  <c r="S246" i="12" l="1"/>
  <c r="T246" i="12"/>
  <c r="S245" i="14"/>
  <c r="T245" i="14"/>
  <c r="S244" i="15"/>
  <c r="T244" i="15"/>
  <c r="S246" i="17"/>
  <c r="T246" i="17"/>
  <c r="H39" i="1"/>
  <c r="I39" i="1" s="1"/>
  <c r="J48" i="17"/>
  <c r="K48" i="17" s="1"/>
  <c r="M48" i="17" s="1"/>
  <c r="N60" i="17" s="1"/>
  <c r="H51" i="15"/>
  <c r="F125" i="17"/>
  <c r="C127" i="17"/>
  <c r="L126" i="17"/>
  <c r="B248" i="17"/>
  <c r="R247" i="17"/>
  <c r="C125" i="15"/>
  <c r="L124" i="15"/>
  <c r="B246" i="15"/>
  <c r="R245" i="15"/>
  <c r="H56" i="14"/>
  <c r="I56" i="14" s="1"/>
  <c r="J56" i="14" s="1"/>
  <c r="C126" i="14"/>
  <c r="L125" i="14"/>
  <c r="R246" i="14"/>
  <c r="B247" i="14"/>
  <c r="I51" i="12"/>
  <c r="J51" i="12" s="1"/>
  <c r="K51" i="12" s="1"/>
  <c r="M51" i="12" s="1"/>
  <c r="N63" i="12" s="1"/>
  <c r="L126" i="12"/>
  <c r="C127" i="12"/>
  <c r="F125" i="12"/>
  <c r="B248" i="12"/>
  <c r="R247" i="12"/>
  <c r="S114" i="1"/>
  <c r="T114" i="1"/>
  <c r="L118" i="1"/>
  <c r="C119" i="1"/>
  <c r="R115" i="1"/>
  <c r="S247" i="12" l="1"/>
  <c r="T247" i="12"/>
  <c r="S246" i="14"/>
  <c r="T246" i="14"/>
  <c r="S245" i="15"/>
  <c r="T245" i="15"/>
  <c r="S247" i="17"/>
  <c r="T247" i="17"/>
  <c r="I51" i="15"/>
  <c r="J51" i="15" s="1"/>
  <c r="K51" i="15" s="1"/>
  <c r="M51" i="15" s="1"/>
  <c r="N63" i="15" s="1"/>
  <c r="O48" i="17"/>
  <c r="D49" i="17" s="1"/>
  <c r="P48" i="17"/>
  <c r="Q48" i="17" s="1"/>
  <c r="M33" i="18" s="1"/>
  <c r="B249" i="17"/>
  <c r="R248" i="17"/>
  <c r="L127" i="17"/>
  <c r="C128" i="17"/>
  <c r="F126" i="17"/>
  <c r="B247" i="15"/>
  <c r="R246" i="15"/>
  <c r="L125" i="15"/>
  <c r="C126" i="15"/>
  <c r="K56" i="14"/>
  <c r="M56" i="14" s="1"/>
  <c r="N68" i="14" s="1"/>
  <c r="R247" i="14"/>
  <c r="B248" i="14"/>
  <c r="O56" i="14"/>
  <c r="D57" i="14" s="1"/>
  <c r="L126" i="14"/>
  <c r="C127" i="14"/>
  <c r="P56" i="14"/>
  <c r="Q56" i="14" s="1"/>
  <c r="M41" i="13" s="1"/>
  <c r="P51" i="12"/>
  <c r="Q51" i="12" s="1"/>
  <c r="M36" i="10" s="1"/>
  <c r="O51" i="12"/>
  <c r="D52" i="12" s="1"/>
  <c r="G52" i="12" s="1"/>
  <c r="F126" i="12"/>
  <c r="R248" i="12"/>
  <c r="B249" i="12"/>
  <c r="C128" i="12"/>
  <c r="L127" i="12"/>
  <c r="S115" i="1"/>
  <c r="T115" i="1"/>
  <c r="L119" i="1"/>
  <c r="C120" i="1"/>
  <c r="R116" i="1"/>
  <c r="J39" i="1"/>
  <c r="K39" i="1" s="1"/>
  <c r="S248" i="12" l="1"/>
  <c r="T248" i="12"/>
  <c r="S247" i="14"/>
  <c r="T247" i="14"/>
  <c r="S246" i="15"/>
  <c r="T246" i="15"/>
  <c r="S248" i="17"/>
  <c r="T248" i="17"/>
  <c r="E52" i="12"/>
  <c r="H52" i="12" s="1"/>
  <c r="I52" i="12" s="1"/>
  <c r="J52" i="12" s="1"/>
  <c r="K52" i="12" s="1"/>
  <c r="M52" i="12" s="1"/>
  <c r="N64" i="12" s="1"/>
  <c r="O51" i="15"/>
  <c r="D52" i="15" s="1"/>
  <c r="E52" i="15" s="1"/>
  <c r="P51" i="15"/>
  <c r="Q51" i="15" s="1"/>
  <c r="G49" i="17"/>
  <c r="E49" i="17"/>
  <c r="L128" i="17"/>
  <c r="C129" i="17"/>
  <c r="F127" i="17"/>
  <c r="B250" i="17"/>
  <c r="R249" i="17"/>
  <c r="C127" i="15"/>
  <c r="L126" i="15"/>
  <c r="B248" i="15"/>
  <c r="R247" i="15"/>
  <c r="E57" i="14"/>
  <c r="G57" i="14"/>
  <c r="B249" i="14"/>
  <c r="R248" i="14"/>
  <c r="C128" i="14"/>
  <c r="L127" i="14"/>
  <c r="C129" i="12"/>
  <c r="L128" i="12"/>
  <c r="R249" i="12"/>
  <c r="B250" i="12"/>
  <c r="F127" i="12"/>
  <c r="S116" i="1"/>
  <c r="T116" i="1"/>
  <c r="L120" i="1"/>
  <c r="C121" i="1"/>
  <c r="R117" i="1"/>
  <c r="O52" i="12" l="1"/>
  <c r="D53" i="12" s="1"/>
  <c r="E53" i="12" s="1"/>
  <c r="P52" i="12"/>
  <c r="Q52" i="12" s="1"/>
  <c r="M37" i="10" s="1"/>
  <c r="S249" i="12"/>
  <c r="T249" i="12"/>
  <c r="S248" i="14"/>
  <c r="T248" i="14"/>
  <c r="S247" i="15"/>
  <c r="T247" i="15"/>
  <c r="S249" i="17"/>
  <c r="T249" i="17"/>
  <c r="G52" i="15"/>
  <c r="H57" i="14"/>
  <c r="I57" i="14" s="1"/>
  <c r="J57" i="14" s="1"/>
  <c r="O57" i="14" s="1"/>
  <c r="D58" i="14" s="1"/>
  <c r="H52" i="15"/>
  <c r="I52" i="15" s="1"/>
  <c r="P52" i="15" s="1"/>
  <c r="Q52" i="15" s="1"/>
  <c r="H49" i="17"/>
  <c r="C130" i="17"/>
  <c r="L129" i="17"/>
  <c r="R250" i="17"/>
  <c r="B251" i="17"/>
  <c r="F128" i="17"/>
  <c r="R248" i="15"/>
  <c r="B249" i="15"/>
  <c r="C128" i="15"/>
  <c r="L127" i="15"/>
  <c r="G53" i="12"/>
  <c r="H53" i="12" s="1"/>
  <c r="B250" i="14"/>
  <c r="R249" i="14"/>
  <c r="L128" i="14"/>
  <c r="C129" i="14"/>
  <c r="R250" i="12"/>
  <c r="B251" i="12"/>
  <c r="F128" i="12"/>
  <c r="C130" i="12"/>
  <c r="L129" i="12"/>
  <c r="S117" i="1"/>
  <c r="T117" i="1"/>
  <c r="O39" i="1"/>
  <c r="D40" i="1" s="1"/>
  <c r="G40" i="1" s="1"/>
  <c r="L121" i="1"/>
  <c r="C122" i="1"/>
  <c r="R118" i="1"/>
  <c r="S250" i="12" l="1"/>
  <c r="T250" i="12"/>
  <c r="S249" i="14"/>
  <c r="T249" i="14"/>
  <c r="S248" i="15"/>
  <c r="T248" i="15"/>
  <c r="S250" i="17"/>
  <c r="T250" i="17"/>
  <c r="J49" i="17"/>
  <c r="K49" i="17" s="1"/>
  <c r="M49" i="17" s="1"/>
  <c r="N61" i="17" s="1"/>
  <c r="J52" i="15"/>
  <c r="K52" i="15" s="1"/>
  <c r="M52" i="15" s="1"/>
  <c r="N64" i="15" s="1"/>
  <c r="B252" i="17"/>
  <c r="R251" i="17"/>
  <c r="F129" i="17"/>
  <c r="L130" i="17"/>
  <c r="C131" i="17"/>
  <c r="L128" i="15"/>
  <c r="C129" i="15"/>
  <c r="R249" i="15"/>
  <c r="B250" i="15"/>
  <c r="P57" i="14"/>
  <c r="Q57" i="14" s="1"/>
  <c r="M42" i="13" s="1"/>
  <c r="E58" i="14"/>
  <c r="G58" i="14"/>
  <c r="B251" i="14"/>
  <c r="R250" i="14"/>
  <c r="C130" i="14"/>
  <c r="L129" i="14"/>
  <c r="K57" i="14"/>
  <c r="M57" i="14" s="1"/>
  <c r="N69" i="14" s="1"/>
  <c r="L130" i="12"/>
  <c r="C131" i="12"/>
  <c r="I53" i="12"/>
  <c r="P53" i="12" s="1"/>
  <c r="Q53" i="12" s="1"/>
  <c r="M38" i="10" s="1"/>
  <c r="F129" i="12"/>
  <c r="B252" i="12"/>
  <c r="R251" i="12"/>
  <c r="E40" i="1"/>
  <c r="S118" i="1"/>
  <c r="T118" i="1"/>
  <c r="M39" i="1"/>
  <c r="L122" i="1"/>
  <c r="C123" i="1"/>
  <c r="R119" i="1"/>
  <c r="H40" i="1" l="1"/>
  <c r="I40" i="1" s="1"/>
  <c r="S251" i="12"/>
  <c r="T251" i="12"/>
  <c r="S250" i="14"/>
  <c r="T250" i="14"/>
  <c r="S249" i="15"/>
  <c r="T249" i="15"/>
  <c r="S251" i="17"/>
  <c r="T251" i="17"/>
  <c r="H58" i="14"/>
  <c r="I58" i="14" s="1"/>
  <c r="J58" i="14" s="1"/>
  <c r="O52" i="15"/>
  <c r="D53" i="15" s="1"/>
  <c r="O49" i="17"/>
  <c r="D50" i="17" s="1"/>
  <c r="J53" i="12"/>
  <c r="K53" i="12" s="1"/>
  <c r="M53" i="12" s="1"/>
  <c r="N65" i="12" s="1"/>
  <c r="P49" i="17"/>
  <c r="Q49" i="17" s="1"/>
  <c r="M34" i="18" s="1"/>
  <c r="F130" i="17"/>
  <c r="R252" i="17"/>
  <c r="B253" i="17"/>
  <c r="L131" i="17"/>
  <c r="C132" i="17"/>
  <c r="R250" i="15"/>
  <c r="B251" i="15"/>
  <c r="L129" i="15"/>
  <c r="C130" i="15"/>
  <c r="C131" i="14"/>
  <c r="L130" i="14"/>
  <c r="R251" i="14"/>
  <c r="B252" i="14"/>
  <c r="F130" i="12"/>
  <c r="C132" i="12"/>
  <c r="L131" i="12"/>
  <c r="R252" i="12"/>
  <c r="B253" i="12"/>
  <c r="S119" i="1"/>
  <c r="T119" i="1"/>
  <c r="L123" i="1"/>
  <c r="C124" i="1"/>
  <c r="R120" i="1"/>
  <c r="S252" i="12" l="1"/>
  <c r="T252" i="12"/>
  <c r="S251" i="14"/>
  <c r="T251" i="14"/>
  <c r="S250" i="15"/>
  <c r="T250" i="15"/>
  <c r="S252" i="17"/>
  <c r="T252" i="17"/>
  <c r="O53" i="12"/>
  <c r="D54" i="12" s="1"/>
  <c r="E54" i="12" s="1"/>
  <c r="E50" i="17"/>
  <c r="G50" i="17"/>
  <c r="H50" i="17" s="1"/>
  <c r="E53" i="15"/>
  <c r="G53" i="15"/>
  <c r="L132" i="17"/>
  <c r="C133" i="17"/>
  <c r="B254" i="17"/>
  <c r="R253" i="17"/>
  <c r="F131" i="17"/>
  <c r="B252" i="15"/>
  <c r="R251" i="15"/>
  <c r="C131" i="15"/>
  <c r="L130" i="15"/>
  <c r="O58" i="14"/>
  <c r="D59" i="14" s="1"/>
  <c r="E59" i="14" s="1"/>
  <c r="B253" i="14"/>
  <c r="R252" i="14"/>
  <c r="C132" i="14"/>
  <c r="L131" i="14"/>
  <c r="K58" i="14"/>
  <c r="M58" i="14" s="1"/>
  <c r="N70" i="14" s="1"/>
  <c r="P58" i="14"/>
  <c r="Q58" i="14" s="1"/>
  <c r="M43" i="13" s="1"/>
  <c r="L132" i="12"/>
  <c r="C133" i="12"/>
  <c r="B254" i="12"/>
  <c r="R253" i="12"/>
  <c r="F131" i="12"/>
  <c r="S120" i="1"/>
  <c r="T120" i="1"/>
  <c r="L124" i="1"/>
  <c r="C125" i="1"/>
  <c r="R121" i="1"/>
  <c r="J40" i="1"/>
  <c r="K40" i="1" s="1"/>
  <c r="G54" i="12" l="1"/>
  <c r="S253" i="12"/>
  <c r="T253" i="12"/>
  <c r="S252" i="14"/>
  <c r="T252" i="14"/>
  <c r="S251" i="15"/>
  <c r="T251" i="15"/>
  <c r="S253" i="17"/>
  <c r="T253" i="17"/>
  <c r="H53" i="15"/>
  <c r="J50" i="17"/>
  <c r="K50" i="17" s="1"/>
  <c r="M50" i="17" s="1"/>
  <c r="N62" i="17" s="1"/>
  <c r="L133" i="17"/>
  <c r="C134" i="17"/>
  <c r="F132" i="17"/>
  <c r="B255" i="17"/>
  <c r="R254" i="17"/>
  <c r="G59" i="14"/>
  <c r="H59" i="14" s="1"/>
  <c r="I59" i="14" s="1"/>
  <c r="J59" i="14" s="1"/>
  <c r="L131" i="15"/>
  <c r="C132" i="15"/>
  <c r="B253" i="15"/>
  <c r="R252" i="15"/>
  <c r="C133" i="14"/>
  <c r="L132" i="14"/>
  <c r="B254" i="14"/>
  <c r="R253" i="14"/>
  <c r="H54" i="12"/>
  <c r="I54" i="12" s="1"/>
  <c r="C134" i="12"/>
  <c r="L133" i="12"/>
  <c r="R254" i="12"/>
  <c r="B255" i="12"/>
  <c r="F132" i="12"/>
  <c r="S121" i="1"/>
  <c r="T121" i="1"/>
  <c r="L125" i="1"/>
  <c r="C126" i="1"/>
  <c r="R122" i="1"/>
  <c r="S254" i="12" l="1"/>
  <c r="T254" i="12"/>
  <c r="S253" i="14"/>
  <c r="T253" i="14"/>
  <c r="S252" i="15"/>
  <c r="T252" i="15"/>
  <c r="S254" i="17"/>
  <c r="T254" i="17"/>
  <c r="P50" i="17"/>
  <c r="Q50" i="17" s="1"/>
  <c r="M35" i="18" s="1"/>
  <c r="I53" i="15"/>
  <c r="P53" i="15" s="1"/>
  <c r="Q53" i="15" s="1"/>
  <c r="O50" i="17"/>
  <c r="D51" i="17" s="1"/>
  <c r="R255" i="17"/>
  <c r="B256" i="17"/>
  <c r="F133" i="17"/>
  <c r="C135" i="17"/>
  <c r="L134" i="17"/>
  <c r="C133" i="15"/>
  <c r="L132" i="15"/>
  <c r="B254" i="15"/>
  <c r="R253" i="15"/>
  <c r="K59" i="14"/>
  <c r="M59" i="14" s="1"/>
  <c r="N71" i="14" s="1"/>
  <c r="O59" i="14"/>
  <c r="D60" i="14" s="1"/>
  <c r="P59" i="14"/>
  <c r="Q59" i="14" s="1"/>
  <c r="M44" i="13" s="1"/>
  <c r="B255" i="14"/>
  <c r="R254" i="14"/>
  <c r="C134" i="14"/>
  <c r="L133" i="14"/>
  <c r="J54" i="12"/>
  <c r="O54" i="12" s="1"/>
  <c r="D55" i="12" s="1"/>
  <c r="P54" i="12"/>
  <c r="Q54" i="12" s="1"/>
  <c r="M39" i="10" s="1"/>
  <c r="F133" i="12"/>
  <c r="R255" i="12"/>
  <c r="B256" i="12"/>
  <c r="L134" i="12"/>
  <c r="C135" i="12"/>
  <c r="S122" i="1"/>
  <c r="T122" i="1"/>
  <c r="O40" i="1"/>
  <c r="D41" i="1" s="1"/>
  <c r="G41" i="1" s="1"/>
  <c r="L126" i="1"/>
  <c r="C127" i="1"/>
  <c r="R123" i="1"/>
  <c r="S255" i="12" l="1"/>
  <c r="T255" i="12"/>
  <c r="S254" i="14"/>
  <c r="T254" i="14"/>
  <c r="S253" i="15"/>
  <c r="T253" i="15"/>
  <c r="S255" i="17"/>
  <c r="T255" i="17"/>
  <c r="J53" i="15"/>
  <c r="K53" i="15" s="1"/>
  <c r="M53" i="15" s="1"/>
  <c r="N65" i="15" s="1"/>
  <c r="G51" i="17"/>
  <c r="E51" i="17"/>
  <c r="L135" i="17"/>
  <c r="C136" i="17"/>
  <c r="F134" i="17"/>
  <c r="R256" i="17"/>
  <c r="B257" i="17"/>
  <c r="R254" i="15"/>
  <c r="B255" i="15"/>
  <c r="C134" i="15"/>
  <c r="L133" i="15"/>
  <c r="L134" i="14"/>
  <c r="C135" i="14"/>
  <c r="B256" i="14"/>
  <c r="R255" i="14"/>
  <c r="E60" i="14"/>
  <c r="G60" i="14"/>
  <c r="K54" i="12"/>
  <c r="M54" i="12" s="1"/>
  <c r="N66" i="12" s="1"/>
  <c r="E55" i="12"/>
  <c r="G55" i="12"/>
  <c r="F134" i="12"/>
  <c r="R256" i="12"/>
  <c r="B257" i="12"/>
  <c r="C136" i="12"/>
  <c r="L135" i="12"/>
  <c r="E41" i="1"/>
  <c r="S123" i="1"/>
  <c r="T123" i="1"/>
  <c r="M40" i="1"/>
  <c r="L127" i="1"/>
  <c r="C128" i="1"/>
  <c r="R124" i="1"/>
  <c r="S256" i="12" l="1"/>
  <c r="T256" i="12"/>
  <c r="S255" i="14"/>
  <c r="T255" i="14"/>
  <c r="S254" i="15"/>
  <c r="T254" i="15"/>
  <c r="S256" i="17"/>
  <c r="T256" i="17"/>
  <c r="H41" i="1"/>
  <c r="I41" i="1" s="1"/>
  <c r="O53" i="15"/>
  <c r="D54" i="15" s="1"/>
  <c r="H51" i="17"/>
  <c r="B258" i="17"/>
  <c r="R257" i="17"/>
  <c r="F135" i="17"/>
  <c r="C137" i="17"/>
  <c r="L136" i="17"/>
  <c r="H60" i="14"/>
  <c r="I60" i="14" s="1"/>
  <c r="J60" i="14" s="1"/>
  <c r="K60" i="14" s="1"/>
  <c r="M60" i="14" s="1"/>
  <c r="N72" i="14" s="1"/>
  <c r="B256" i="15"/>
  <c r="R255" i="15"/>
  <c r="C135" i="15"/>
  <c r="L134" i="15"/>
  <c r="R256" i="14"/>
  <c r="B257" i="14"/>
  <c r="L135" i="14"/>
  <c r="C136" i="14"/>
  <c r="H55" i="12"/>
  <c r="I55" i="12" s="1"/>
  <c r="P55" i="12" s="1"/>
  <c r="Q55" i="12" s="1"/>
  <c r="M40" i="10" s="1"/>
  <c r="R257" i="12"/>
  <c r="B258" i="12"/>
  <c r="L136" i="12"/>
  <c r="C137" i="12"/>
  <c r="F135" i="12"/>
  <c r="S124" i="1"/>
  <c r="T124" i="1"/>
  <c r="L128" i="1"/>
  <c r="C129" i="1"/>
  <c r="R125" i="1"/>
  <c r="S257" i="12" l="1"/>
  <c r="T257" i="12"/>
  <c r="S256" i="14"/>
  <c r="T256" i="14"/>
  <c r="S255" i="15"/>
  <c r="T255" i="15"/>
  <c r="S257" i="17"/>
  <c r="T257" i="17"/>
  <c r="E54" i="15"/>
  <c r="G54" i="15"/>
  <c r="H54" i="15" s="1"/>
  <c r="I54" i="15" s="1"/>
  <c r="J54" i="15" s="1"/>
  <c r="K54" i="15" s="1"/>
  <c r="M54" i="15" s="1"/>
  <c r="N66" i="15" s="1"/>
  <c r="J51" i="17"/>
  <c r="K51" i="17" s="1"/>
  <c r="M51" i="17" s="1"/>
  <c r="N63" i="17" s="1"/>
  <c r="L137" i="17"/>
  <c r="C138" i="17"/>
  <c r="F136" i="17"/>
  <c r="B259" i="17"/>
  <c r="R258" i="17"/>
  <c r="O60" i="14"/>
  <c r="D61" i="14" s="1"/>
  <c r="E61" i="14" s="1"/>
  <c r="P60" i="14"/>
  <c r="Q60" i="14" s="1"/>
  <c r="M45" i="13" s="1"/>
  <c r="L135" i="15"/>
  <c r="C136" i="15"/>
  <c r="B257" i="15"/>
  <c r="R256" i="15"/>
  <c r="J55" i="12"/>
  <c r="O55" i="12" s="1"/>
  <c r="D56" i="12" s="1"/>
  <c r="G56" i="12" s="1"/>
  <c r="L136" i="14"/>
  <c r="C137" i="14"/>
  <c r="B258" i="14"/>
  <c r="R257" i="14"/>
  <c r="F136" i="12"/>
  <c r="C138" i="12"/>
  <c r="L137" i="12"/>
  <c r="R258" i="12"/>
  <c r="B259" i="12"/>
  <c r="J41" i="1"/>
  <c r="K41" i="1" s="1"/>
  <c r="S125" i="1"/>
  <c r="T125" i="1"/>
  <c r="L129" i="1"/>
  <c r="C130" i="1"/>
  <c r="R126" i="1"/>
  <c r="S258" i="12" l="1"/>
  <c r="T258" i="12"/>
  <c r="S257" i="14"/>
  <c r="T257" i="14"/>
  <c r="S256" i="15"/>
  <c r="T256" i="15"/>
  <c r="S258" i="17"/>
  <c r="T258" i="17"/>
  <c r="G61" i="14"/>
  <c r="H61" i="14" s="1"/>
  <c r="I61" i="14" s="1"/>
  <c r="P54" i="15"/>
  <c r="Q54" i="15" s="1"/>
  <c r="O54" i="15"/>
  <c r="D55" i="15" s="1"/>
  <c r="O51" i="17"/>
  <c r="D52" i="17" s="1"/>
  <c r="P51" i="17"/>
  <c r="Q51" i="17" s="1"/>
  <c r="M36" i="18" s="1"/>
  <c r="L138" i="17"/>
  <c r="C139" i="17"/>
  <c r="B260" i="17"/>
  <c r="R259" i="17"/>
  <c r="F137" i="17"/>
  <c r="E56" i="12"/>
  <c r="H56" i="12" s="1"/>
  <c r="K55" i="12"/>
  <c r="M55" i="12" s="1"/>
  <c r="N67" i="12" s="1"/>
  <c r="B258" i="15"/>
  <c r="R257" i="15"/>
  <c r="L136" i="15"/>
  <c r="C137" i="15"/>
  <c r="C138" i="14"/>
  <c r="L137" i="14"/>
  <c r="R258" i="14"/>
  <c r="B259" i="14"/>
  <c r="C139" i="12"/>
  <c r="L138" i="12"/>
  <c r="B260" i="12"/>
  <c r="R259" i="12"/>
  <c r="F137" i="12"/>
  <c r="S126" i="1"/>
  <c r="T126" i="1"/>
  <c r="L130" i="1"/>
  <c r="C131" i="1"/>
  <c r="R127" i="1"/>
  <c r="S259" i="12" l="1"/>
  <c r="T259" i="12"/>
  <c r="S258" i="14"/>
  <c r="T258" i="14"/>
  <c r="S257" i="15"/>
  <c r="T257" i="15"/>
  <c r="S259" i="17"/>
  <c r="T259" i="17"/>
  <c r="G55" i="15"/>
  <c r="E55" i="15"/>
  <c r="E52" i="17"/>
  <c r="G52" i="17"/>
  <c r="C140" i="17"/>
  <c r="L139" i="17"/>
  <c r="B261" i="17"/>
  <c r="R260" i="17"/>
  <c r="F138" i="17"/>
  <c r="C138" i="15"/>
  <c r="L137" i="15"/>
  <c r="B259" i="15"/>
  <c r="R258" i="15"/>
  <c r="P61" i="14"/>
  <c r="Q61" i="14" s="1"/>
  <c r="M46" i="13" s="1"/>
  <c r="B260" i="14"/>
  <c r="R259" i="14"/>
  <c r="J61" i="14"/>
  <c r="C139" i="14"/>
  <c r="L138" i="14"/>
  <c r="F138" i="12"/>
  <c r="I56" i="12"/>
  <c r="P56" i="12" s="1"/>
  <c r="Q56" i="12" s="1"/>
  <c r="M41" i="10" s="1"/>
  <c r="B261" i="12"/>
  <c r="R260" i="12"/>
  <c r="L139" i="12"/>
  <c r="C140" i="12"/>
  <c r="S127" i="1"/>
  <c r="T127" i="1"/>
  <c r="O41" i="1"/>
  <c r="D42" i="1" s="1"/>
  <c r="G42" i="1" s="1"/>
  <c r="L131" i="1"/>
  <c r="C132" i="1"/>
  <c r="R128" i="1"/>
  <c r="S260" i="12" l="1"/>
  <c r="T260" i="12"/>
  <c r="S259" i="14"/>
  <c r="T259" i="14"/>
  <c r="S258" i="15"/>
  <c r="T258" i="15"/>
  <c r="S260" i="17"/>
  <c r="T260" i="17"/>
  <c r="H52" i="17"/>
  <c r="P52" i="17" s="1"/>
  <c r="Q52" i="17" s="1"/>
  <c r="M37" i="18" s="1"/>
  <c r="H55" i="15"/>
  <c r="F139" i="17"/>
  <c r="B262" i="17"/>
  <c r="R261" i="17"/>
  <c r="L140" i="17"/>
  <c r="C141" i="17"/>
  <c r="C139" i="15"/>
  <c r="L138" i="15"/>
  <c r="B260" i="15"/>
  <c r="R259" i="15"/>
  <c r="K61" i="14"/>
  <c r="M61" i="14" s="1"/>
  <c r="N73" i="14" s="1"/>
  <c r="R260" i="14"/>
  <c r="B261" i="14"/>
  <c r="L139" i="14"/>
  <c r="C140" i="14"/>
  <c r="O61" i="14"/>
  <c r="D62" i="14" s="1"/>
  <c r="J56" i="12"/>
  <c r="K56" i="12" s="1"/>
  <c r="M56" i="12" s="1"/>
  <c r="N68" i="12" s="1"/>
  <c r="C141" i="12"/>
  <c r="L140" i="12"/>
  <c r="B262" i="12"/>
  <c r="R261" i="12"/>
  <c r="F139" i="12"/>
  <c r="E42" i="1"/>
  <c r="S128" i="1"/>
  <c r="T128" i="1"/>
  <c r="M41" i="1"/>
  <c r="L132" i="1"/>
  <c r="C133" i="1"/>
  <c r="R129" i="1"/>
  <c r="S261" i="12" l="1"/>
  <c r="T261" i="12"/>
  <c r="S260" i="14"/>
  <c r="T260" i="14"/>
  <c r="S259" i="15"/>
  <c r="T259" i="15"/>
  <c r="S261" i="17"/>
  <c r="T261" i="17"/>
  <c r="H42" i="1"/>
  <c r="I42" i="1" s="1"/>
  <c r="I55" i="15"/>
  <c r="J55" i="15" s="1"/>
  <c r="K55" i="15" s="1"/>
  <c r="M55" i="15" s="1"/>
  <c r="N67" i="15" s="1"/>
  <c r="J52" i="17"/>
  <c r="K52" i="17" s="1"/>
  <c r="M52" i="17" s="1"/>
  <c r="N64" i="17" s="1"/>
  <c r="B263" i="17"/>
  <c r="R262" i="17"/>
  <c r="C142" i="17"/>
  <c r="L141" i="17"/>
  <c r="F140" i="17"/>
  <c r="L139" i="15"/>
  <c r="C140" i="15"/>
  <c r="R260" i="15"/>
  <c r="B261" i="15"/>
  <c r="C141" i="14"/>
  <c r="L140" i="14"/>
  <c r="B262" i="14"/>
  <c r="R261" i="14"/>
  <c r="E62" i="14"/>
  <c r="G62" i="14"/>
  <c r="O56" i="12"/>
  <c r="D57" i="12" s="1"/>
  <c r="E57" i="12" s="1"/>
  <c r="F140" i="12"/>
  <c r="R262" i="12"/>
  <c r="B263" i="12"/>
  <c r="C142" i="12"/>
  <c r="L141" i="12"/>
  <c r="S129" i="1"/>
  <c r="T129" i="1"/>
  <c r="L133" i="1"/>
  <c r="C134" i="1"/>
  <c r="R130" i="1"/>
  <c r="S262" i="12" l="1"/>
  <c r="T262" i="12"/>
  <c r="S261" i="14"/>
  <c r="T261" i="14"/>
  <c r="S260" i="15"/>
  <c r="T260" i="15"/>
  <c r="S262" i="17"/>
  <c r="T262" i="17"/>
  <c r="O55" i="15"/>
  <c r="D56" i="15" s="1"/>
  <c r="E56" i="15" s="1"/>
  <c r="P55" i="15"/>
  <c r="Q55" i="15" s="1"/>
  <c r="O52" i="17"/>
  <c r="D53" i="17" s="1"/>
  <c r="F141" i="17"/>
  <c r="L142" i="17"/>
  <c r="C143" i="17"/>
  <c r="R263" i="17"/>
  <c r="B264" i="17"/>
  <c r="R261" i="15"/>
  <c r="B262" i="15"/>
  <c r="L140" i="15"/>
  <c r="C141" i="15"/>
  <c r="H62" i="14"/>
  <c r="I62" i="14" s="1"/>
  <c r="G57" i="12"/>
  <c r="H57" i="12" s="1"/>
  <c r="B263" i="14"/>
  <c r="R262" i="14"/>
  <c r="L141" i="14"/>
  <c r="C142" i="14"/>
  <c r="L142" i="12"/>
  <c r="C143" i="12"/>
  <c r="B264" i="12"/>
  <c r="R263" i="12"/>
  <c r="F141" i="12"/>
  <c r="S130" i="1"/>
  <c r="T130" i="1"/>
  <c r="L134" i="1"/>
  <c r="C135" i="1"/>
  <c r="R131" i="1"/>
  <c r="J42" i="1"/>
  <c r="K42" i="1" s="1"/>
  <c r="S263" i="12" l="1"/>
  <c r="T263" i="12"/>
  <c r="S262" i="14"/>
  <c r="T262" i="14"/>
  <c r="S261" i="15"/>
  <c r="T261" i="15"/>
  <c r="S263" i="17"/>
  <c r="T263" i="17"/>
  <c r="G56" i="15"/>
  <c r="H56" i="15"/>
  <c r="I56" i="15" s="1"/>
  <c r="J56" i="15" s="1"/>
  <c r="K56" i="15" s="1"/>
  <c r="M56" i="15" s="1"/>
  <c r="N68" i="15" s="1"/>
  <c r="J62" i="14"/>
  <c r="O62" i="14" s="1"/>
  <c r="D63" i="14" s="1"/>
  <c r="E63" i="14" s="1"/>
  <c r="E53" i="17"/>
  <c r="G53" i="17"/>
  <c r="L143" i="17"/>
  <c r="C144" i="17"/>
  <c r="R264" i="17"/>
  <c r="B265" i="17"/>
  <c r="F142" i="17"/>
  <c r="B263" i="15"/>
  <c r="R262" i="15"/>
  <c r="C142" i="15"/>
  <c r="L141" i="15"/>
  <c r="L142" i="14"/>
  <c r="C143" i="14"/>
  <c r="B264" i="14"/>
  <c r="R263" i="14"/>
  <c r="P62" i="14"/>
  <c r="Q62" i="14" s="1"/>
  <c r="M47" i="13" s="1"/>
  <c r="F142" i="12"/>
  <c r="R264" i="12"/>
  <c r="B265" i="12"/>
  <c r="I57" i="12"/>
  <c r="P57" i="12" s="1"/>
  <c r="Q57" i="12" s="1"/>
  <c r="M42" i="10" s="1"/>
  <c r="C144" i="12"/>
  <c r="L143" i="12"/>
  <c r="S131" i="1"/>
  <c r="T131" i="1"/>
  <c r="L135" i="1"/>
  <c r="C136" i="1"/>
  <c r="R132" i="1"/>
  <c r="S264" i="12" l="1"/>
  <c r="T264" i="12"/>
  <c r="S263" i="14"/>
  <c r="T263" i="14"/>
  <c r="S262" i="15"/>
  <c r="T262" i="15"/>
  <c r="S264" i="17"/>
  <c r="T264" i="17"/>
  <c r="P56" i="15"/>
  <c r="Q56" i="15" s="1"/>
  <c r="O56" i="15"/>
  <c r="D57" i="15" s="1"/>
  <c r="E57" i="15" s="1"/>
  <c r="H53" i="17"/>
  <c r="J53" i="17" s="1"/>
  <c r="K53" i="17" s="1"/>
  <c r="M53" i="17" s="1"/>
  <c r="N65" i="17" s="1"/>
  <c r="K62" i="14"/>
  <c r="M62" i="14" s="1"/>
  <c r="N74" i="14" s="1"/>
  <c r="L144" i="17"/>
  <c r="C145" i="17"/>
  <c r="R265" i="17"/>
  <c r="B266" i="17"/>
  <c r="F143" i="17"/>
  <c r="G63" i="14"/>
  <c r="H63" i="14" s="1"/>
  <c r="L142" i="15"/>
  <c r="C143" i="15"/>
  <c r="R263" i="15"/>
  <c r="B264" i="15"/>
  <c r="B265" i="14"/>
  <c r="R264" i="14"/>
  <c r="L143" i="14"/>
  <c r="C144" i="14"/>
  <c r="J57" i="12"/>
  <c r="O57" i="12" s="1"/>
  <c r="D58" i="12" s="1"/>
  <c r="E58" i="12" s="1"/>
  <c r="L144" i="12"/>
  <c r="C145" i="12"/>
  <c r="B266" i="12"/>
  <c r="R265" i="12"/>
  <c r="F143" i="12"/>
  <c r="S132" i="1"/>
  <c r="T132" i="1"/>
  <c r="O42" i="1"/>
  <c r="D43" i="1" s="1"/>
  <c r="G43" i="1" s="1"/>
  <c r="L136" i="1"/>
  <c r="C137" i="1"/>
  <c r="R133" i="1"/>
  <c r="S265" i="12" l="1"/>
  <c r="T265" i="12"/>
  <c r="S264" i="14"/>
  <c r="T264" i="14"/>
  <c r="S263" i="15"/>
  <c r="T263" i="15"/>
  <c r="S265" i="17"/>
  <c r="T265" i="17"/>
  <c r="G57" i="15"/>
  <c r="H57" i="15" s="1"/>
  <c r="I57" i="15" s="1"/>
  <c r="J57" i="15" s="1"/>
  <c r="K57" i="15" s="1"/>
  <c r="M57" i="15" s="1"/>
  <c r="N69" i="15" s="1"/>
  <c r="O53" i="17"/>
  <c r="D54" i="17" s="1"/>
  <c r="P53" i="17"/>
  <c r="Q53" i="17" s="1"/>
  <c r="M38" i="18" s="1"/>
  <c r="F144" i="17"/>
  <c r="B267" i="17"/>
  <c r="R266" i="17"/>
  <c r="C146" i="17"/>
  <c r="L145" i="17"/>
  <c r="B265" i="15"/>
  <c r="R264" i="15"/>
  <c r="L143" i="15"/>
  <c r="C144" i="15"/>
  <c r="I63" i="14"/>
  <c r="P63" i="14" s="1"/>
  <c r="Q63" i="14" s="1"/>
  <c r="M48" i="13" s="1"/>
  <c r="C145" i="14"/>
  <c r="L144" i="14"/>
  <c r="B266" i="14"/>
  <c r="R265" i="14"/>
  <c r="G58" i="12"/>
  <c r="H58" i="12" s="1"/>
  <c r="I58" i="12" s="1"/>
  <c r="K57" i="12"/>
  <c r="M57" i="12" s="1"/>
  <c r="N69" i="12" s="1"/>
  <c r="R266" i="12"/>
  <c r="B267" i="12"/>
  <c r="L145" i="12"/>
  <c r="C146" i="12"/>
  <c r="F144" i="12"/>
  <c r="E43" i="1"/>
  <c r="S133" i="1"/>
  <c r="T133" i="1"/>
  <c r="M42" i="1"/>
  <c r="L137" i="1"/>
  <c r="C138" i="1"/>
  <c r="R134" i="1"/>
  <c r="H43" i="1" l="1"/>
  <c r="S266" i="12"/>
  <c r="T266" i="12"/>
  <c r="S265" i="14"/>
  <c r="T265" i="14"/>
  <c r="S264" i="15"/>
  <c r="T264" i="15"/>
  <c r="S266" i="17"/>
  <c r="T266" i="17"/>
  <c r="O57" i="15"/>
  <c r="D58" i="15" s="1"/>
  <c r="E58" i="15" s="1"/>
  <c r="P57" i="15"/>
  <c r="Q57" i="15" s="1"/>
  <c r="G54" i="17"/>
  <c r="E54" i="17"/>
  <c r="C147" i="17"/>
  <c r="L146" i="17"/>
  <c r="B268" i="17"/>
  <c r="R267" i="17"/>
  <c r="F145" i="17"/>
  <c r="R265" i="15"/>
  <c r="B266" i="15"/>
  <c r="C145" i="15"/>
  <c r="L144" i="15"/>
  <c r="J63" i="14"/>
  <c r="K63" i="14" s="1"/>
  <c r="M63" i="14" s="1"/>
  <c r="N75" i="14" s="1"/>
  <c r="B267" i="14"/>
  <c r="R266" i="14"/>
  <c r="C146" i="14"/>
  <c r="L145" i="14"/>
  <c r="P58" i="12"/>
  <c r="Q58" i="12" s="1"/>
  <c r="M43" i="10" s="1"/>
  <c r="J58" i="12"/>
  <c r="O58" i="12" s="1"/>
  <c r="D59" i="12" s="1"/>
  <c r="E59" i="12" s="1"/>
  <c r="F145" i="12"/>
  <c r="C147" i="12"/>
  <c r="L146" i="12"/>
  <c r="B268" i="12"/>
  <c r="R267" i="12"/>
  <c r="I43" i="1"/>
  <c r="S134" i="1"/>
  <c r="T134" i="1"/>
  <c r="L138" i="1"/>
  <c r="C139" i="1"/>
  <c r="R135" i="1"/>
  <c r="S267" i="12" l="1"/>
  <c r="T267" i="12"/>
  <c r="S266" i="14"/>
  <c r="T266" i="14"/>
  <c r="S265" i="15"/>
  <c r="T265" i="15"/>
  <c r="S267" i="17"/>
  <c r="T267" i="17"/>
  <c r="G58" i="15"/>
  <c r="H58" i="15" s="1"/>
  <c r="I58" i="15" s="1"/>
  <c r="J58" i="15" s="1"/>
  <c r="K58" i="15" s="1"/>
  <c r="M58" i="15" s="1"/>
  <c r="N70" i="15" s="1"/>
  <c r="H54" i="17"/>
  <c r="C148" i="17"/>
  <c r="L147" i="17"/>
  <c r="B269" i="17"/>
  <c r="R268" i="17"/>
  <c r="F146" i="17"/>
  <c r="L145" i="15"/>
  <c r="C146" i="15"/>
  <c r="B267" i="15"/>
  <c r="R266" i="15"/>
  <c r="O63" i="14"/>
  <c r="D64" i="14" s="1"/>
  <c r="E64" i="14" s="1"/>
  <c r="L146" i="14"/>
  <c r="C147" i="14"/>
  <c r="R267" i="14"/>
  <c r="B268" i="14"/>
  <c r="K58" i="12"/>
  <c r="M58" i="12" s="1"/>
  <c r="N70" i="12" s="1"/>
  <c r="G59" i="12"/>
  <c r="H59" i="12" s="1"/>
  <c r="I59" i="12" s="1"/>
  <c r="J59" i="12" s="1"/>
  <c r="F146" i="12"/>
  <c r="R268" i="12"/>
  <c r="B269" i="12"/>
  <c r="L147" i="12"/>
  <c r="C148" i="12"/>
  <c r="S135" i="1"/>
  <c r="T135" i="1"/>
  <c r="L139" i="1"/>
  <c r="C140" i="1"/>
  <c r="R136" i="1"/>
  <c r="J43" i="1"/>
  <c r="K43" i="1" s="1"/>
  <c r="S268" i="12" l="1"/>
  <c r="T268" i="12"/>
  <c r="S267" i="14"/>
  <c r="T267" i="14"/>
  <c r="S266" i="15"/>
  <c r="T266" i="15"/>
  <c r="S268" i="17"/>
  <c r="T268" i="17"/>
  <c r="O58" i="15"/>
  <c r="D59" i="15" s="1"/>
  <c r="G59" i="15" s="1"/>
  <c r="P58" i="15"/>
  <c r="Q58" i="15" s="1"/>
  <c r="G64" i="14"/>
  <c r="H64" i="14" s="1"/>
  <c r="I64" i="14" s="1"/>
  <c r="P64" i="14" s="1"/>
  <c r="Q64" i="14" s="1"/>
  <c r="M49" i="13" s="1"/>
  <c r="J54" i="17"/>
  <c r="K54" i="17" s="1"/>
  <c r="M54" i="17" s="1"/>
  <c r="N66" i="17" s="1"/>
  <c r="F147" i="17"/>
  <c r="B270" i="17"/>
  <c r="R269" i="17"/>
  <c r="C149" i="17"/>
  <c r="L148" i="17"/>
  <c r="R267" i="15"/>
  <c r="B268" i="15"/>
  <c r="L146" i="15"/>
  <c r="C147" i="15"/>
  <c r="R268" i="14"/>
  <c r="B269" i="14"/>
  <c r="C148" i="14"/>
  <c r="L147" i="14"/>
  <c r="O59" i="12"/>
  <c r="D60" i="12" s="1"/>
  <c r="E60" i="12" s="1"/>
  <c r="C149" i="12"/>
  <c r="L148" i="12"/>
  <c r="B270" i="12"/>
  <c r="R269" i="12"/>
  <c r="K59" i="12"/>
  <c r="M59" i="12" s="1"/>
  <c r="N71" i="12" s="1"/>
  <c r="P59" i="12"/>
  <c r="Q59" i="12" s="1"/>
  <c r="M44" i="10" s="1"/>
  <c r="F147" i="12"/>
  <c r="S136" i="1"/>
  <c r="T136" i="1"/>
  <c r="L140" i="1"/>
  <c r="C141" i="1"/>
  <c r="R137" i="1"/>
  <c r="H59" i="15" l="1"/>
  <c r="I59" i="15" s="1"/>
  <c r="S269" i="12"/>
  <c r="T269" i="12"/>
  <c r="S268" i="14"/>
  <c r="T268" i="14"/>
  <c r="S267" i="15"/>
  <c r="T267" i="15"/>
  <c r="S269" i="17"/>
  <c r="T269" i="17"/>
  <c r="J59" i="15"/>
  <c r="K59" i="15" s="1"/>
  <c r="M59" i="15" s="1"/>
  <c r="N71" i="15" s="1"/>
  <c r="E59" i="15"/>
  <c r="P59" i="15" s="1"/>
  <c r="Q59" i="15" s="1"/>
  <c r="O54" i="17"/>
  <c r="D55" i="17" s="1"/>
  <c r="P54" i="17"/>
  <c r="Q54" i="17" s="1"/>
  <c r="M39" i="18" s="1"/>
  <c r="G60" i="12"/>
  <c r="H60" i="12" s="1"/>
  <c r="I60" i="12" s="1"/>
  <c r="J60" i="12" s="1"/>
  <c r="L149" i="17"/>
  <c r="C150" i="17"/>
  <c r="B271" i="17"/>
  <c r="R270" i="17"/>
  <c r="F148" i="17"/>
  <c r="C148" i="15"/>
  <c r="L147" i="15"/>
  <c r="R268" i="15"/>
  <c r="B269" i="15"/>
  <c r="J64" i="14"/>
  <c r="L148" i="14"/>
  <c r="C149" i="14"/>
  <c r="R269" i="14"/>
  <c r="B270" i="14"/>
  <c r="B271" i="12"/>
  <c r="R270" i="12"/>
  <c r="C150" i="12"/>
  <c r="L149" i="12"/>
  <c r="F148" i="12"/>
  <c r="S137" i="1"/>
  <c r="T137" i="1"/>
  <c r="O43" i="1"/>
  <c r="D44" i="1" s="1"/>
  <c r="G44" i="1" s="1"/>
  <c r="L141" i="1"/>
  <c r="C142" i="1"/>
  <c r="B139" i="1"/>
  <c r="R138" i="1"/>
  <c r="S270" i="12" l="1"/>
  <c r="T270" i="12"/>
  <c r="S269" i="14"/>
  <c r="T269" i="14"/>
  <c r="S268" i="15"/>
  <c r="T268" i="15"/>
  <c r="S270" i="17"/>
  <c r="T270" i="17"/>
  <c r="O59" i="15"/>
  <c r="D60" i="15" s="1"/>
  <c r="E60" i="15" s="1"/>
  <c r="G55" i="17"/>
  <c r="E55" i="17"/>
  <c r="B272" i="17"/>
  <c r="R271" i="17"/>
  <c r="C151" i="17"/>
  <c r="L150" i="17"/>
  <c r="F149" i="17"/>
  <c r="B270" i="15"/>
  <c r="R269" i="15"/>
  <c r="C149" i="15"/>
  <c r="L148" i="15"/>
  <c r="L149" i="14"/>
  <c r="C150" i="14"/>
  <c r="B271" i="14"/>
  <c r="R270" i="14"/>
  <c r="K64" i="14"/>
  <c r="M64" i="14" s="1"/>
  <c r="N76" i="14" s="1"/>
  <c r="O64" i="14"/>
  <c r="D65" i="14" s="1"/>
  <c r="O60" i="12"/>
  <c r="D61" i="12" s="1"/>
  <c r="E61" i="12" s="1"/>
  <c r="P60" i="12"/>
  <c r="Q60" i="12" s="1"/>
  <c r="M45" i="10" s="1"/>
  <c r="K60" i="12"/>
  <c r="M60" i="12" s="1"/>
  <c r="N72" i="12" s="1"/>
  <c r="F149" i="12"/>
  <c r="L150" i="12"/>
  <c r="C151" i="12"/>
  <c r="R271" i="12"/>
  <c r="B272" i="12"/>
  <c r="E44" i="1"/>
  <c r="S138" i="1"/>
  <c r="T138" i="1"/>
  <c r="M43" i="1"/>
  <c r="L142" i="1"/>
  <c r="C143" i="1"/>
  <c r="B140" i="1"/>
  <c r="R139" i="1"/>
  <c r="H60" i="15" l="1"/>
  <c r="I60" i="15" s="1"/>
  <c r="P60" i="15" s="1"/>
  <c r="Q60" i="15" s="1"/>
  <c r="G60" i="15"/>
  <c r="S271" i="12"/>
  <c r="T271" i="12"/>
  <c r="S270" i="14"/>
  <c r="T270" i="14"/>
  <c r="S269" i="15"/>
  <c r="T269" i="15"/>
  <c r="S271" i="17"/>
  <c r="T271" i="17"/>
  <c r="H44" i="1"/>
  <c r="I44" i="1" s="1"/>
  <c r="H55" i="17"/>
  <c r="J60" i="15"/>
  <c r="K60" i="15" s="1"/>
  <c r="M60" i="15" s="1"/>
  <c r="N72" i="15" s="1"/>
  <c r="L151" i="17"/>
  <c r="C152" i="17"/>
  <c r="F150" i="17"/>
  <c r="R272" i="17"/>
  <c r="B273" i="17"/>
  <c r="L149" i="15"/>
  <c r="C150" i="15"/>
  <c r="B271" i="15"/>
  <c r="R270" i="15"/>
  <c r="G61" i="12"/>
  <c r="H61" i="12" s="1"/>
  <c r="I61" i="12" s="1"/>
  <c r="P61" i="12" s="1"/>
  <c r="Q61" i="12" s="1"/>
  <c r="M46" i="10" s="1"/>
  <c r="E65" i="14"/>
  <c r="G65" i="14"/>
  <c r="R271" i="14"/>
  <c r="B272" i="14"/>
  <c r="C151" i="14"/>
  <c r="L150" i="14"/>
  <c r="B273" i="12"/>
  <c r="R272" i="12"/>
  <c r="C152" i="12"/>
  <c r="L151" i="12"/>
  <c r="F150" i="12"/>
  <c r="S139" i="1"/>
  <c r="T139" i="1"/>
  <c r="L143" i="1"/>
  <c r="C144" i="1"/>
  <c r="R140" i="1"/>
  <c r="B141" i="1"/>
  <c r="H65" i="14" l="1"/>
  <c r="I65" i="14" s="1"/>
  <c r="P65" i="14" s="1"/>
  <c r="Q65" i="14" s="1"/>
  <c r="M50" i="13" s="1"/>
  <c r="S272" i="12"/>
  <c r="T272" i="12"/>
  <c r="S271" i="14"/>
  <c r="T271" i="14"/>
  <c r="S270" i="15"/>
  <c r="T270" i="15"/>
  <c r="S272" i="17"/>
  <c r="T272" i="17"/>
  <c r="O60" i="15"/>
  <c r="D61" i="15" s="1"/>
  <c r="G61" i="15" s="1"/>
  <c r="P55" i="17"/>
  <c r="Q55" i="17" s="1"/>
  <c r="M40" i="18" s="1"/>
  <c r="F151" i="17"/>
  <c r="L152" i="17"/>
  <c r="C153" i="17"/>
  <c r="B274" i="17"/>
  <c r="R273" i="17"/>
  <c r="L150" i="15"/>
  <c r="C151" i="15"/>
  <c r="B272" i="15"/>
  <c r="R271" i="15"/>
  <c r="L151" i="14"/>
  <c r="C152" i="14"/>
  <c r="R272" i="14"/>
  <c r="B273" i="14"/>
  <c r="J61" i="12"/>
  <c r="O61" i="12" s="1"/>
  <c r="D62" i="12" s="1"/>
  <c r="F151" i="12"/>
  <c r="C153" i="12"/>
  <c r="L152" i="12"/>
  <c r="B274" i="12"/>
  <c r="R273" i="12"/>
  <c r="S140" i="1"/>
  <c r="T140" i="1"/>
  <c r="L144" i="1"/>
  <c r="C145" i="1"/>
  <c r="B142" i="1"/>
  <c r="R141" i="1"/>
  <c r="J44" i="1"/>
  <c r="K44" i="1" s="1"/>
  <c r="S273" i="12" l="1"/>
  <c r="T273" i="12"/>
  <c r="S272" i="14"/>
  <c r="T272" i="14"/>
  <c r="S271" i="15"/>
  <c r="T271" i="15"/>
  <c r="S273" i="17"/>
  <c r="T273" i="17"/>
  <c r="E61" i="15"/>
  <c r="H61" i="15" s="1"/>
  <c r="J55" i="17"/>
  <c r="O55" i="17" s="1"/>
  <c r="D56" i="17" s="1"/>
  <c r="B275" i="17"/>
  <c r="R274" i="17"/>
  <c r="C154" i="17"/>
  <c r="L153" i="17"/>
  <c r="F152" i="17"/>
  <c r="B273" i="15"/>
  <c r="R272" i="15"/>
  <c r="L151" i="15"/>
  <c r="C152" i="15"/>
  <c r="J65" i="14"/>
  <c r="O65" i="14" s="1"/>
  <c r="D66" i="14" s="1"/>
  <c r="R273" i="14"/>
  <c r="B274" i="14"/>
  <c r="L152" i="14"/>
  <c r="C153" i="14"/>
  <c r="K61" i="12"/>
  <c r="M61" i="12" s="1"/>
  <c r="N73" i="12" s="1"/>
  <c r="B275" i="12"/>
  <c r="R274" i="12"/>
  <c r="C154" i="12"/>
  <c r="L153" i="12"/>
  <c r="E62" i="12"/>
  <c r="G62" i="12"/>
  <c r="F152" i="12"/>
  <c r="S141" i="1"/>
  <c r="T141" i="1"/>
  <c r="L145" i="1"/>
  <c r="C146" i="1"/>
  <c r="B143" i="1"/>
  <c r="R142" i="1"/>
  <c r="S274" i="12" l="1"/>
  <c r="T274" i="12"/>
  <c r="S273" i="14"/>
  <c r="T273" i="14"/>
  <c r="S272" i="15"/>
  <c r="T272" i="15"/>
  <c r="S274" i="17"/>
  <c r="T274" i="17"/>
  <c r="K55" i="17"/>
  <c r="M55" i="17" s="1"/>
  <c r="N67" i="17" s="1"/>
  <c r="I61" i="15"/>
  <c r="P61" i="15" s="1"/>
  <c r="Q61" i="15" s="1"/>
  <c r="J61" i="15"/>
  <c r="K61" i="15" s="1"/>
  <c r="M61" i="15" s="1"/>
  <c r="N73" i="15" s="1"/>
  <c r="G56" i="17"/>
  <c r="E56" i="17"/>
  <c r="F153" i="17"/>
  <c r="L154" i="17"/>
  <c r="C155" i="17"/>
  <c r="B276" i="17"/>
  <c r="R275" i="17"/>
  <c r="K65" i="14"/>
  <c r="M65" i="14" s="1"/>
  <c r="N77" i="14" s="1"/>
  <c r="L152" i="15"/>
  <c r="C153" i="15"/>
  <c r="B274" i="15"/>
  <c r="R273" i="15"/>
  <c r="H62" i="12"/>
  <c r="I62" i="12" s="1"/>
  <c r="J62" i="12" s="1"/>
  <c r="O62" i="12" s="1"/>
  <c r="D63" i="12" s="1"/>
  <c r="R274" i="14"/>
  <c r="B275" i="14"/>
  <c r="C154" i="14"/>
  <c r="L153" i="14"/>
  <c r="E66" i="14"/>
  <c r="G66" i="14"/>
  <c r="L154" i="12"/>
  <c r="C155" i="12"/>
  <c r="F153" i="12"/>
  <c r="R275" i="12"/>
  <c r="B276" i="12"/>
  <c r="S142" i="1"/>
  <c r="T142" i="1"/>
  <c r="O44" i="1"/>
  <c r="D45" i="1" s="1"/>
  <c r="G45" i="1" s="1"/>
  <c r="L146" i="1"/>
  <c r="C147" i="1"/>
  <c r="B144" i="1"/>
  <c r="R143" i="1"/>
  <c r="S275" i="12" l="1"/>
  <c r="T275" i="12"/>
  <c r="S274" i="14"/>
  <c r="T274" i="14"/>
  <c r="S273" i="15"/>
  <c r="T273" i="15"/>
  <c r="S275" i="17"/>
  <c r="T275" i="17"/>
  <c r="O61" i="15"/>
  <c r="D62" i="15" s="1"/>
  <c r="G62" i="15" s="1"/>
  <c r="H56" i="17"/>
  <c r="L155" i="17"/>
  <c r="C156" i="17"/>
  <c r="R276" i="17"/>
  <c r="B277" i="17"/>
  <c r="F154" i="17"/>
  <c r="H66" i="14"/>
  <c r="I66" i="14" s="1"/>
  <c r="J66" i="14" s="1"/>
  <c r="K66" i="14" s="1"/>
  <c r="M66" i="14" s="1"/>
  <c r="N78" i="14" s="1"/>
  <c r="B275" i="15"/>
  <c r="R274" i="15"/>
  <c r="L153" i="15"/>
  <c r="C154" i="15"/>
  <c r="C155" i="14"/>
  <c r="L154" i="14"/>
  <c r="B276" i="14"/>
  <c r="R275" i="14"/>
  <c r="P62" i="12"/>
  <c r="Q62" i="12" s="1"/>
  <c r="M47" i="10" s="1"/>
  <c r="E63" i="12"/>
  <c r="G63" i="12"/>
  <c r="R276" i="12"/>
  <c r="B277" i="12"/>
  <c r="F154" i="12"/>
  <c r="C156" i="12"/>
  <c r="L155" i="12"/>
  <c r="K62" i="12"/>
  <c r="M62" i="12" s="1"/>
  <c r="N74" i="12" s="1"/>
  <c r="E45" i="1"/>
  <c r="S143" i="1"/>
  <c r="T143" i="1"/>
  <c r="M44" i="1"/>
  <c r="L147" i="1"/>
  <c r="C148" i="1"/>
  <c r="B145" i="1"/>
  <c r="R144" i="1"/>
  <c r="H45" i="1" l="1"/>
  <c r="I45" i="1" s="1"/>
  <c r="S276" i="12"/>
  <c r="T276" i="12"/>
  <c r="S275" i="14"/>
  <c r="T275" i="14"/>
  <c r="S274" i="15"/>
  <c r="T274" i="15"/>
  <c r="S276" i="17"/>
  <c r="T276" i="17"/>
  <c r="E62" i="15"/>
  <c r="H62" i="15"/>
  <c r="I62" i="15" s="1"/>
  <c r="J62" i="15" s="1"/>
  <c r="K62" i="15" s="1"/>
  <c r="M62" i="15" s="1"/>
  <c r="N74" i="15" s="1"/>
  <c r="P56" i="17"/>
  <c r="Q56" i="17" s="1"/>
  <c r="M41" i="18" s="1"/>
  <c r="L156" i="17"/>
  <c r="C157" i="17"/>
  <c r="B278" i="17"/>
  <c r="R277" i="17"/>
  <c r="F155" i="17"/>
  <c r="O66" i="14"/>
  <c r="D67" i="14" s="1"/>
  <c r="E67" i="14" s="1"/>
  <c r="P66" i="14"/>
  <c r="Q66" i="14" s="1"/>
  <c r="M51" i="13" s="1"/>
  <c r="C155" i="15"/>
  <c r="L154" i="15"/>
  <c r="R275" i="15"/>
  <c r="B276" i="15"/>
  <c r="B277" i="14"/>
  <c r="R276" i="14"/>
  <c r="C156" i="14"/>
  <c r="L155" i="14"/>
  <c r="H63" i="12"/>
  <c r="I63" i="12" s="1"/>
  <c r="P63" i="12" s="1"/>
  <c r="Q63" i="12" s="1"/>
  <c r="M48" i="10" s="1"/>
  <c r="B278" i="12"/>
  <c r="R277" i="12"/>
  <c r="L156" i="12"/>
  <c r="C157" i="12"/>
  <c r="F155" i="12"/>
  <c r="S144" i="1"/>
  <c r="T144" i="1"/>
  <c r="L148" i="1"/>
  <c r="C149" i="1"/>
  <c r="B146" i="1"/>
  <c r="R145" i="1"/>
  <c r="S277" i="12" l="1"/>
  <c r="T277" i="12"/>
  <c r="S276" i="14"/>
  <c r="T276" i="14"/>
  <c r="S275" i="15"/>
  <c r="T275" i="15"/>
  <c r="S277" i="17"/>
  <c r="T277" i="17"/>
  <c r="P62" i="15"/>
  <c r="Q62" i="15" s="1"/>
  <c r="J56" i="17"/>
  <c r="K56" i="17" s="1"/>
  <c r="M56" i="17" s="1"/>
  <c r="N68" i="17" s="1"/>
  <c r="G67" i="14"/>
  <c r="H67" i="14" s="1"/>
  <c r="I67" i="14" s="1"/>
  <c r="J67" i="14" s="1"/>
  <c r="O67" i="14" s="1"/>
  <c r="D68" i="14" s="1"/>
  <c r="O62" i="15"/>
  <c r="D63" i="15" s="1"/>
  <c r="F156" i="17"/>
  <c r="B279" i="17"/>
  <c r="R278" i="17"/>
  <c r="C158" i="17"/>
  <c r="L157" i="17"/>
  <c r="B277" i="15"/>
  <c r="R276" i="15"/>
  <c r="C156" i="15"/>
  <c r="L155" i="15"/>
  <c r="C157" i="14"/>
  <c r="L156" i="14"/>
  <c r="R277" i="14"/>
  <c r="B278" i="14"/>
  <c r="F156" i="12"/>
  <c r="L157" i="12"/>
  <c r="C158" i="12"/>
  <c r="R278" i="12"/>
  <c r="B279" i="12"/>
  <c r="J63" i="12"/>
  <c r="S145" i="1"/>
  <c r="T145" i="1"/>
  <c r="L149" i="1"/>
  <c r="C150" i="1"/>
  <c r="B147" i="1"/>
  <c r="R146" i="1"/>
  <c r="J45" i="1"/>
  <c r="K45" i="1" s="1"/>
  <c r="S278" i="12" l="1"/>
  <c r="T278" i="12"/>
  <c r="S277" i="14"/>
  <c r="T277" i="14"/>
  <c r="S276" i="15"/>
  <c r="T276" i="15"/>
  <c r="S278" i="17"/>
  <c r="T278" i="17"/>
  <c r="E63" i="15"/>
  <c r="G63" i="15"/>
  <c r="H63" i="15" s="1"/>
  <c r="I63" i="15" s="1"/>
  <c r="J63" i="15" s="1"/>
  <c r="K63" i="15" s="1"/>
  <c r="M63" i="15" s="1"/>
  <c r="N75" i="15" s="1"/>
  <c r="O56" i="17"/>
  <c r="D57" i="17" s="1"/>
  <c r="C159" i="17"/>
  <c r="L158" i="17"/>
  <c r="B280" i="17"/>
  <c r="R279" i="17"/>
  <c r="F157" i="17"/>
  <c r="C157" i="15"/>
  <c r="L156" i="15"/>
  <c r="B278" i="15"/>
  <c r="R277" i="15"/>
  <c r="P67" i="14"/>
  <c r="Q67" i="14" s="1"/>
  <c r="M52" i="13" s="1"/>
  <c r="E68" i="14"/>
  <c r="G68" i="14"/>
  <c r="R278" i="14"/>
  <c r="B279" i="14"/>
  <c r="L157" i="14"/>
  <c r="C158" i="14"/>
  <c r="K67" i="14"/>
  <c r="M67" i="14" s="1"/>
  <c r="N79" i="14" s="1"/>
  <c r="K63" i="12"/>
  <c r="M63" i="12" s="1"/>
  <c r="N75" i="12" s="1"/>
  <c r="O63" i="12"/>
  <c r="D64" i="12" s="1"/>
  <c r="L158" i="12"/>
  <c r="C159" i="12"/>
  <c r="B280" i="12"/>
  <c r="R279" i="12"/>
  <c r="F157" i="12"/>
  <c r="S146" i="1"/>
  <c r="T146" i="1"/>
  <c r="L150" i="1"/>
  <c r="C151" i="1"/>
  <c r="B148" i="1"/>
  <c r="R147" i="1"/>
  <c r="S279" i="12" l="1"/>
  <c r="T279" i="12"/>
  <c r="S278" i="14"/>
  <c r="T278" i="14"/>
  <c r="S277" i="15"/>
  <c r="T277" i="15"/>
  <c r="S279" i="17"/>
  <c r="T279" i="17"/>
  <c r="E57" i="17"/>
  <c r="G57" i="17"/>
  <c r="H57" i="17" s="1"/>
  <c r="O63" i="15"/>
  <c r="D64" i="15" s="1"/>
  <c r="P63" i="15"/>
  <c r="Q63" i="15" s="1"/>
  <c r="C160" i="17"/>
  <c r="L159" i="17"/>
  <c r="F158" i="17"/>
  <c r="B281" i="17"/>
  <c r="R280" i="17"/>
  <c r="H68" i="14"/>
  <c r="I68" i="14" s="1"/>
  <c r="P68" i="14" s="1"/>
  <c r="Q68" i="14" s="1"/>
  <c r="M53" i="13" s="1"/>
  <c r="L157" i="15"/>
  <c r="C158" i="15"/>
  <c r="R278" i="15"/>
  <c r="B279" i="15"/>
  <c r="L158" i="14"/>
  <c r="C159" i="14"/>
  <c r="R279" i="14"/>
  <c r="B280" i="14"/>
  <c r="B281" i="12"/>
  <c r="R280" i="12"/>
  <c r="C160" i="12"/>
  <c r="L159" i="12"/>
  <c r="E64" i="12"/>
  <c r="G64" i="12"/>
  <c r="F158" i="12"/>
  <c r="S147" i="1"/>
  <c r="T147" i="1"/>
  <c r="O45" i="1"/>
  <c r="D46" i="1" s="1"/>
  <c r="G46" i="1" s="1"/>
  <c r="L151" i="1"/>
  <c r="C152" i="1"/>
  <c r="R148" i="1"/>
  <c r="B149" i="1"/>
  <c r="S280" i="12" l="1"/>
  <c r="T280" i="12"/>
  <c r="S279" i="14"/>
  <c r="T279" i="14"/>
  <c r="S278" i="15"/>
  <c r="T278" i="15"/>
  <c r="S280" i="17"/>
  <c r="T280" i="17"/>
  <c r="E64" i="15"/>
  <c r="G64" i="15"/>
  <c r="H64" i="15" s="1"/>
  <c r="P57" i="17"/>
  <c r="Q57" i="17" s="1"/>
  <c r="M42" i="18" s="1"/>
  <c r="F159" i="17"/>
  <c r="B282" i="17"/>
  <c r="R281" i="17"/>
  <c r="C161" i="17"/>
  <c r="L160" i="17"/>
  <c r="R279" i="15"/>
  <c r="B280" i="15"/>
  <c r="L158" i="15"/>
  <c r="C159" i="15"/>
  <c r="J68" i="14"/>
  <c r="K68" i="14" s="1"/>
  <c r="M68" i="14" s="1"/>
  <c r="N80" i="14" s="1"/>
  <c r="R280" i="14"/>
  <c r="B281" i="14"/>
  <c r="L159" i="14"/>
  <c r="C160" i="14"/>
  <c r="H64" i="12"/>
  <c r="I64" i="12" s="1"/>
  <c r="P64" i="12" s="1"/>
  <c r="Q64" i="12" s="1"/>
  <c r="M49" i="10" s="1"/>
  <c r="L160" i="12"/>
  <c r="C161" i="12"/>
  <c r="F159" i="12"/>
  <c r="R281" i="12"/>
  <c r="B282" i="12"/>
  <c r="E46" i="1"/>
  <c r="S148" i="1"/>
  <c r="T148" i="1"/>
  <c r="M45" i="1"/>
  <c r="L152" i="1"/>
  <c r="C153" i="1"/>
  <c r="B150" i="1"/>
  <c r="R149" i="1"/>
  <c r="S281" i="12" l="1"/>
  <c r="T281" i="12"/>
  <c r="S280" i="14"/>
  <c r="T280" i="14"/>
  <c r="S279" i="15"/>
  <c r="T279" i="15"/>
  <c r="S281" i="17"/>
  <c r="T281" i="17"/>
  <c r="H46" i="1"/>
  <c r="I46" i="1" s="1"/>
  <c r="J57" i="17"/>
  <c r="K57" i="17" s="1"/>
  <c r="M57" i="17" s="1"/>
  <c r="N69" i="17" s="1"/>
  <c r="O68" i="14"/>
  <c r="D69" i="14" s="1"/>
  <c r="E69" i="14" s="1"/>
  <c r="I64" i="15"/>
  <c r="J64" i="15" s="1"/>
  <c r="L161" i="17"/>
  <c r="C162" i="17"/>
  <c r="B283" i="17"/>
  <c r="R282" i="17"/>
  <c r="F160" i="17"/>
  <c r="L159" i="15"/>
  <c r="C160" i="15"/>
  <c r="R280" i="15"/>
  <c r="B281" i="15"/>
  <c r="R281" i="14"/>
  <c r="B282" i="14"/>
  <c r="L160" i="14"/>
  <c r="C161" i="14"/>
  <c r="J64" i="12"/>
  <c r="O64" i="12" s="1"/>
  <c r="D65" i="12" s="1"/>
  <c r="R282" i="12"/>
  <c r="B283" i="12"/>
  <c r="L161" i="12"/>
  <c r="C162" i="12"/>
  <c r="F160" i="12"/>
  <c r="S149" i="1"/>
  <c r="T149" i="1"/>
  <c r="L153" i="1"/>
  <c r="C154" i="1"/>
  <c r="B151" i="1"/>
  <c r="R150" i="1"/>
  <c r="G69" i="14" l="1"/>
  <c r="S282" i="12"/>
  <c r="T282" i="12"/>
  <c r="S281" i="14"/>
  <c r="T281" i="14"/>
  <c r="S280" i="15"/>
  <c r="T280" i="15"/>
  <c r="S282" i="17"/>
  <c r="T282" i="17"/>
  <c r="O57" i="17"/>
  <c r="D58" i="17" s="1"/>
  <c r="G58" i="17" s="1"/>
  <c r="P64" i="15"/>
  <c r="Q64" i="15" s="1"/>
  <c r="O64" i="15"/>
  <c r="D65" i="15" s="1"/>
  <c r="K64" i="15"/>
  <c r="M64" i="15" s="1"/>
  <c r="N76" i="15" s="1"/>
  <c r="F161" i="17"/>
  <c r="R283" i="17"/>
  <c r="B284" i="17"/>
  <c r="L162" i="17"/>
  <c r="C163" i="17"/>
  <c r="B282" i="15"/>
  <c r="R281" i="15"/>
  <c r="C161" i="15"/>
  <c r="L160" i="15"/>
  <c r="H69" i="14"/>
  <c r="I69" i="14" s="1"/>
  <c r="L161" i="14"/>
  <c r="C162" i="14"/>
  <c r="B283" i="14"/>
  <c r="R282" i="14"/>
  <c r="K64" i="12"/>
  <c r="M64" i="12" s="1"/>
  <c r="N76" i="12" s="1"/>
  <c r="E65" i="12"/>
  <c r="G65" i="12"/>
  <c r="F161" i="12"/>
  <c r="C163" i="12"/>
  <c r="L162" i="12"/>
  <c r="R283" i="12"/>
  <c r="B284" i="12"/>
  <c r="J46" i="1"/>
  <c r="K46" i="1" s="1"/>
  <c r="S150" i="1"/>
  <c r="T150" i="1"/>
  <c r="L154" i="1"/>
  <c r="C155" i="1"/>
  <c r="B152" i="1"/>
  <c r="R151" i="1"/>
  <c r="E58" i="17" l="1"/>
  <c r="S283" i="12"/>
  <c r="T283" i="12"/>
  <c r="S282" i="14"/>
  <c r="T282" i="14"/>
  <c r="S281" i="15"/>
  <c r="T281" i="15"/>
  <c r="S283" i="17"/>
  <c r="T283" i="17"/>
  <c r="H58" i="17"/>
  <c r="J58" i="17" s="1"/>
  <c r="G65" i="15"/>
  <c r="E65" i="15"/>
  <c r="L163" i="17"/>
  <c r="C164" i="17"/>
  <c r="B285" i="17"/>
  <c r="R284" i="17"/>
  <c r="F162" i="17"/>
  <c r="L161" i="15"/>
  <c r="C162" i="15"/>
  <c r="B283" i="15"/>
  <c r="R282" i="15"/>
  <c r="J69" i="14"/>
  <c r="O69" i="14" s="1"/>
  <c r="D70" i="14" s="1"/>
  <c r="E70" i="14" s="1"/>
  <c r="P69" i="14"/>
  <c r="Q69" i="14" s="1"/>
  <c r="M54" i="13" s="1"/>
  <c r="C163" i="14"/>
  <c r="L162" i="14"/>
  <c r="R283" i="14"/>
  <c r="B284" i="14"/>
  <c r="H65" i="12"/>
  <c r="I65" i="12" s="1"/>
  <c r="J65" i="12" s="1"/>
  <c r="C164" i="12"/>
  <c r="L163" i="12"/>
  <c r="F162" i="12"/>
  <c r="B285" i="12"/>
  <c r="R284" i="12"/>
  <c r="S151" i="1"/>
  <c r="T151" i="1"/>
  <c r="L155" i="1"/>
  <c r="C156" i="1"/>
  <c r="B153" i="1"/>
  <c r="R152" i="1"/>
  <c r="S284" i="12" l="1"/>
  <c r="T284" i="12"/>
  <c r="S283" i="14"/>
  <c r="T283" i="14"/>
  <c r="S282" i="15"/>
  <c r="T282" i="15"/>
  <c r="S284" i="17"/>
  <c r="T284" i="17"/>
  <c r="H65" i="15"/>
  <c r="I65" i="15" s="1"/>
  <c r="J65" i="15" s="1"/>
  <c r="K58" i="17"/>
  <c r="M58" i="17" s="1"/>
  <c r="N70" i="17" s="1"/>
  <c r="O58" i="17"/>
  <c r="D59" i="17" s="1"/>
  <c r="P58" i="17"/>
  <c r="Q58" i="17" s="1"/>
  <c r="M43" i="18" s="1"/>
  <c r="F163" i="17"/>
  <c r="L164" i="17"/>
  <c r="C165" i="17"/>
  <c r="B286" i="17"/>
  <c r="R285" i="17"/>
  <c r="B284" i="15"/>
  <c r="R283" i="15"/>
  <c r="L162" i="15"/>
  <c r="C163" i="15"/>
  <c r="K69" i="14"/>
  <c r="M69" i="14" s="1"/>
  <c r="N81" i="14" s="1"/>
  <c r="G70" i="14"/>
  <c r="H70" i="14" s="1"/>
  <c r="I70" i="14" s="1"/>
  <c r="P70" i="14" s="1"/>
  <c r="Q70" i="14" s="1"/>
  <c r="M55" i="13" s="1"/>
  <c r="C164" i="14"/>
  <c r="L163" i="14"/>
  <c r="B285" i="14"/>
  <c r="R284" i="14"/>
  <c r="O65" i="12"/>
  <c r="D66" i="12" s="1"/>
  <c r="E66" i="12" s="1"/>
  <c r="B286" i="12"/>
  <c r="R285" i="12"/>
  <c r="P65" i="12"/>
  <c r="Q65" i="12" s="1"/>
  <c r="M50" i="10" s="1"/>
  <c r="F163" i="12"/>
  <c r="K65" i="12"/>
  <c r="M65" i="12" s="1"/>
  <c r="N77" i="12" s="1"/>
  <c r="C165" i="12"/>
  <c r="L164" i="12"/>
  <c r="S152" i="1"/>
  <c r="T152" i="1"/>
  <c r="O46" i="1"/>
  <c r="D47" i="1" s="1"/>
  <c r="G47" i="1" s="1"/>
  <c r="L156" i="1"/>
  <c r="C157" i="1"/>
  <c r="B154" i="1"/>
  <c r="R153" i="1"/>
  <c r="T153" i="1" s="1"/>
  <c r="S285" i="12" l="1"/>
  <c r="T285" i="12"/>
  <c r="S284" i="14"/>
  <c r="T284" i="14"/>
  <c r="S283" i="15"/>
  <c r="T283" i="15"/>
  <c r="S285" i="17"/>
  <c r="T285" i="17"/>
  <c r="P65" i="15"/>
  <c r="Q65" i="15" s="1"/>
  <c r="O65" i="15"/>
  <c r="D66" i="15" s="1"/>
  <c r="K65" i="15"/>
  <c r="M65" i="15" s="1"/>
  <c r="N77" i="15" s="1"/>
  <c r="G59" i="17"/>
  <c r="E59" i="17"/>
  <c r="R286" i="17"/>
  <c r="B287" i="17"/>
  <c r="C166" i="17"/>
  <c r="L165" i="17"/>
  <c r="F164" i="17"/>
  <c r="J70" i="14"/>
  <c r="O70" i="14" s="1"/>
  <c r="D71" i="14" s="1"/>
  <c r="C164" i="15"/>
  <c r="L163" i="15"/>
  <c r="R284" i="15"/>
  <c r="B285" i="15"/>
  <c r="G66" i="12"/>
  <c r="H66" i="12" s="1"/>
  <c r="I66" i="12" s="1"/>
  <c r="J66" i="12" s="1"/>
  <c r="B286" i="14"/>
  <c r="R285" i="14"/>
  <c r="C165" i="14"/>
  <c r="L164" i="14"/>
  <c r="F164" i="12"/>
  <c r="R286" i="12"/>
  <c r="B287" i="12"/>
  <c r="L165" i="12"/>
  <c r="C166" i="12"/>
  <c r="E47" i="1"/>
  <c r="M46" i="1"/>
  <c r="L157" i="1"/>
  <c r="C158" i="1"/>
  <c r="S153" i="1"/>
  <c r="B155" i="1"/>
  <c r="R154" i="1"/>
  <c r="S286" i="12" l="1"/>
  <c r="T286" i="12"/>
  <c r="S285" i="14"/>
  <c r="T285" i="14"/>
  <c r="S284" i="15"/>
  <c r="T284" i="15"/>
  <c r="S286" i="17"/>
  <c r="T286" i="17"/>
  <c r="H47" i="1"/>
  <c r="I47" i="1" s="1"/>
  <c r="H59" i="17"/>
  <c r="G66" i="15"/>
  <c r="E66" i="15"/>
  <c r="K70" i="14"/>
  <c r="M70" i="14" s="1"/>
  <c r="N82" i="14" s="1"/>
  <c r="F165" i="17"/>
  <c r="L166" i="17"/>
  <c r="C167" i="17"/>
  <c r="B288" i="17"/>
  <c r="R287" i="17"/>
  <c r="C165" i="15"/>
  <c r="L164" i="15"/>
  <c r="B286" i="15"/>
  <c r="R285" i="15"/>
  <c r="C166" i="14"/>
  <c r="L165" i="14"/>
  <c r="E71" i="14"/>
  <c r="G71" i="14"/>
  <c r="B287" i="14"/>
  <c r="R286" i="14"/>
  <c r="O66" i="12"/>
  <c r="D67" i="12" s="1"/>
  <c r="E67" i="12" s="1"/>
  <c r="C167" i="12"/>
  <c r="L166" i="12"/>
  <c r="R287" i="12"/>
  <c r="B288" i="12"/>
  <c r="P66" i="12"/>
  <c r="Q66" i="12" s="1"/>
  <c r="M51" i="10" s="1"/>
  <c r="K66" i="12"/>
  <c r="M66" i="12" s="1"/>
  <c r="N78" i="12" s="1"/>
  <c r="F165" i="12"/>
  <c r="S154" i="1"/>
  <c r="T154" i="1"/>
  <c r="L158" i="1"/>
  <c r="C159" i="1"/>
  <c r="B156" i="1"/>
  <c r="R155" i="1"/>
  <c r="H71" i="14" l="1"/>
  <c r="S287" i="12"/>
  <c r="T287" i="12"/>
  <c r="S286" i="14"/>
  <c r="T286" i="14"/>
  <c r="S285" i="15"/>
  <c r="T285" i="15"/>
  <c r="S287" i="17"/>
  <c r="T287" i="17"/>
  <c r="J59" i="17"/>
  <c r="K59" i="17" s="1"/>
  <c r="M59" i="17" s="1"/>
  <c r="N71" i="17" s="1"/>
  <c r="H66" i="15"/>
  <c r="P59" i="17"/>
  <c r="Q59" i="17" s="1"/>
  <c r="M44" i="18" s="1"/>
  <c r="L167" i="17"/>
  <c r="C168" i="17"/>
  <c r="B289" i="17"/>
  <c r="R288" i="17"/>
  <c r="F166" i="17"/>
  <c r="B287" i="15"/>
  <c r="R286" i="15"/>
  <c r="C166" i="15"/>
  <c r="L165" i="15"/>
  <c r="G67" i="12"/>
  <c r="H67" i="12" s="1"/>
  <c r="I67" i="12" s="1"/>
  <c r="B288" i="14"/>
  <c r="R287" i="14"/>
  <c r="I71" i="14"/>
  <c r="L166" i="14"/>
  <c r="C167" i="14"/>
  <c r="L167" i="12"/>
  <c r="C168" i="12"/>
  <c r="R288" i="12"/>
  <c r="B289" i="12"/>
  <c r="F166" i="12"/>
  <c r="S155" i="1"/>
  <c r="T155" i="1"/>
  <c r="L159" i="1"/>
  <c r="C160" i="1"/>
  <c r="B157" i="1"/>
  <c r="R156" i="1"/>
  <c r="J47" i="1"/>
  <c r="K47" i="1" s="1"/>
  <c r="S288" i="12" l="1"/>
  <c r="T288" i="12"/>
  <c r="S287" i="14"/>
  <c r="T287" i="14"/>
  <c r="S286" i="15"/>
  <c r="T286" i="15"/>
  <c r="S288" i="17"/>
  <c r="T288" i="17"/>
  <c r="I66" i="15"/>
  <c r="P66" i="15" s="1"/>
  <c r="Q66" i="15" s="1"/>
  <c r="O59" i="17"/>
  <c r="D60" i="17" s="1"/>
  <c r="F167" i="17"/>
  <c r="B290" i="17"/>
  <c r="R289" i="17"/>
  <c r="L168" i="17"/>
  <c r="C169" i="17"/>
  <c r="C167" i="15"/>
  <c r="L166" i="15"/>
  <c r="R287" i="15"/>
  <c r="B288" i="15"/>
  <c r="L167" i="14"/>
  <c r="C168" i="14"/>
  <c r="J71" i="14"/>
  <c r="R288" i="14"/>
  <c r="B289" i="14"/>
  <c r="P71" i="14"/>
  <c r="Q71" i="14" s="1"/>
  <c r="M56" i="13" s="1"/>
  <c r="P67" i="12"/>
  <c r="Q67" i="12" s="1"/>
  <c r="M52" i="10" s="1"/>
  <c r="J67" i="12"/>
  <c r="O67" i="12" s="1"/>
  <c r="D68" i="12" s="1"/>
  <c r="E68" i="12" s="1"/>
  <c r="B290" i="12"/>
  <c r="R289" i="12"/>
  <c r="C169" i="12"/>
  <c r="L168" i="12"/>
  <c r="F167" i="12"/>
  <c r="S156" i="1"/>
  <c r="T156" i="1"/>
  <c r="L160" i="1"/>
  <c r="C161" i="1"/>
  <c r="B158" i="1"/>
  <c r="R157" i="1"/>
  <c r="S289" i="12" l="1"/>
  <c r="T289" i="12"/>
  <c r="S288" i="14"/>
  <c r="T288" i="14"/>
  <c r="S287" i="15"/>
  <c r="T287" i="15"/>
  <c r="S289" i="17"/>
  <c r="T289" i="17"/>
  <c r="J66" i="15"/>
  <c r="K66" i="15" s="1"/>
  <c r="M66" i="15" s="1"/>
  <c r="N78" i="15" s="1"/>
  <c r="E60" i="17"/>
  <c r="G60" i="17"/>
  <c r="L169" i="17"/>
  <c r="C170" i="17"/>
  <c r="B291" i="17"/>
  <c r="R290" i="17"/>
  <c r="F168" i="17"/>
  <c r="B289" i="15"/>
  <c r="R288" i="15"/>
  <c r="C168" i="15"/>
  <c r="L167" i="15"/>
  <c r="R289" i="14"/>
  <c r="B290" i="14"/>
  <c r="K71" i="14"/>
  <c r="M71" i="14" s="1"/>
  <c r="N83" i="14" s="1"/>
  <c r="C169" i="14"/>
  <c r="L168" i="14"/>
  <c r="O71" i="14"/>
  <c r="D72" i="14" s="1"/>
  <c r="K67" i="12"/>
  <c r="M67" i="12" s="1"/>
  <c r="N79" i="12" s="1"/>
  <c r="G68" i="12"/>
  <c r="H68" i="12" s="1"/>
  <c r="L169" i="12"/>
  <c r="C170" i="12"/>
  <c r="B291" i="12"/>
  <c r="R290" i="12"/>
  <c r="F168" i="12"/>
  <c r="S157" i="1"/>
  <c r="T157" i="1"/>
  <c r="O47" i="1"/>
  <c r="D48" i="1" s="1"/>
  <c r="G48" i="1" s="1"/>
  <c r="L161" i="1"/>
  <c r="C162" i="1"/>
  <c r="B159" i="1"/>
  <c r="R158" i="1"/>
  <c r="S290" i="12" l="1"/>
  <c r="T290" i="12"/>
  <c r="S289" i="14"/>
  <c r="T289" i="14"/>
  <c r="S288" i="15"/>
  <c r="T288" i="15"/>
  <c r="S290" i="17"/>
  <c r="T290" i="17"/>
  <c r="H60" i="17"/>
  <c r="J60" i="17" s="1"/>
  <c r="K60" i="17" s="1"/>
  <c r="M60" i="17" s="1"/>
  <c r="N72" i="17" s="1"/>
  <c r="O66" i="15"/>
  <c r="D67" i="15" s="1"/>
  <c r="G67" i="15" s="1"/>
  <c r="F169" i="17"/>
  <c r="B292" i="17"/>
  <c r="R291" i="17"/>
  <c r="C171" i="17"/>
  <c r="L170" i="17"/>
  <c r="L168" i="15"/>
  <c r="C169" i="15"/>
  <c r="R289" i="15"/>
  <c r="B290" i="15"/>
  <c r="E72" i="14"/>
  <c r="G72" i="14"/>
  <c r="L169" i="14"/>
  <c r="C170" i="14"/>
  <c r="B291" i="14"/>
  <c r="R290" i="14"/>
  <c r="I68" i="12"/>
  <c r="P68" i="12" s="1"/>
  <c r="Q68" i="12" s="1"/>
  <c r="M53" i="10" s="1"/>
  <c r="R291" i="12"/>
  <c r="B292" i="12"/>
  <c r="L170" i="12"/>
  <c r="C171" i="12"/>
  <c r="F169" i="12"/>
  <c r="E48" i="1"/>
  <c r="S158" i="1"/>
  <c r="T158" i="1"/>
  <c r="M47" i="1"/>
  <c r="L162" i="1"/>
  <c r="C163" i="1"/>
  <c r="B160" i="1"/>
  <c r="R159" i="1"/>
  <c r="S291" i="12" l="1"/>
  <c r="T291" i="12"/>
  <c r="S290" i="14"/>
  <c r="T290" i="14"/>
  <c r="S289" i="15"/>
  <c r="T289" i="15"/>
  <c r="S291" i="17"/>
  <c r="T291" i="17"/>
  <c r="H48" i="1"/>
  <c r="I48" i="1" s="1"/>
  <c r="H72" i="14"/>
  <c r="I72" i="14" s="1"/>
  <c r="J72" i="14" s="1"/>
  <c r="O60" i="17"/>
  <c r="D61" i="17" s="1"/>
  <c r="E61" i="17" s="1"/>
  <c r="P60" i="17"/>
  <c r="Q60" i="17" s="1"/>
  <c r="M45" i="18" s="1"/>
  <c r="E67" i="15"/>
  <c r="H67" i="15"/>
  <c r="I67" i="15" s="1"/>
  <c r="J67" i="15" s="1"/>
  <c r="K67" i="15" s="1"/>
  <c r="M67" i="15" s="1"/>
  <c r="N79" i="15" s="1"/>
  <c r="L171" i="17"/>
  <c r="C172" i="17"/>
  <c r="R292" i="17"/>
  <c r="B293" i="17"/>
  <c r="F170" i="17"/>
  <c r="R290" i="15"/>
  <c r="B291" i="15"/>
  <c r="L169" i="15"/>
  <c r="C170" i="15"/>
  <c r="R291" i="14"/>
  <c r="B292" i="14"/>
  <c r="L170" i="14"/>
  <c r="C171" i="14"/>
  <c r="J68" i="12"/>
  <c r="K68" i="12" s="1"/>
  <c r="M68" i="12" s="1"/>
  <c r="N80" i="12" s="1"/>
  <c r="F170" i="12"/>
  <c r="L171" i="12"/>
  <c r="C172" i="12"/>
  <c r="R292" i="12"/>
  <c r="B293" i="12"/>
  <c r="S159" i="1"/>
  <c r="T159" i="1"/>
  <c r="L163" i="1"/>
  <c r="C164" i="1"/>
  <c r="B161" i="1"/>
  <c r="R160" i="1"/>
  <c r="G61" i="17" l="1"/>
  <c r="S292" i="12"/>
  <c r="T292" i="12"/>
  <c r="S291" i="14"/>
  <c r="T291" i="14"/>
  <c r="S290" i="15"/>
  <c r="T290" i="15"/>
  <c r="S292" i="17"/>
  <c r="T292" i="17"/>
  <c r="P67" i="15"/>
  <c r="Q67" i="15" s="1"/>
  <c r="H61" i="17"/>
  <c r="P61" i="17" s="1"/>
  <c r="Q61" i="17" s="1"/>
  <c r="M46" i="18" s="1"/>
  <c r="O67" i="15"/>
  <c r="D68" i="15" s="1"/>
  <c r="E68" i="15" s="1"/>
  <c r="C173" i="17"/>
  <c r="L172" i="17"/>
  <c r="F171" i="17"/>
  <c r="B294" i="17"/>
  <c r="R293" i="17"/>
  <c r="L170" i="15"/>
  <c r="C171" i="15"/>
  <c r="R291" i="15"/>
  <c r="B292" i="15"/>
  <c r="P72" i="14"/>
  <c r="Q72" i="14" s="1"/>
  <c r="M57" i="13" s="1"/>
  <c r="O72" i="14"/>
  <c r="D73" i="14" s="1"/>
  <c r="E73" i="14" s="1"/>
  <c r="K72" i="14"/>
  <c r="M72" i="14" s="1"/>
  <c r="N84" i="14" s="1"/>
  <c r="L171" i="14"/>
  <c r="C172" i="14"/>
  <c r="R292" i="14"/>
  <c r="B293" i="14"/>
  <c r="O68" i="12"/>
  <c r="D69" i="12" s="1"/>
  <c r="C173" i="12"/>
  <c r="L172" i="12"/>
  <c r="F171" i="12"/>
  <c r="R293" i="12"/>
  <c r="B294" i="12"/>
  <c r="S160" i="1"/>
  <c r="T160" i="1"/>
  <c r="L164" i="1"/>
  <c r="C165" i="1"/>
  <c r="B162" i="1"/>
  <c r="R161" i="1"/>
  <c r="J48" i="1"/>
  <c r="K48" i="1" s="1"/>
  <c r="G73" i="14" l="1"/>
  <c r="H73" i="14" s="1"/>
  <c r="G68" i="15"/>
  <c r="S293" i="12"/>
  <c r="T293" i="12"/>
  <c r="S292" i="14"/>
  <c r="T292" i="14"/>
  <c r="S291" i="15"/>
  <c r="T291" i="15"/>
  <c r="S293" i="17"/>
  <c r="T293" i="17"/>
  <c r="J61" i="17"/>
  <c r="K61" i="17" s="1"/>
  <c r="M61" i="17" s="1"/>
  <c r="N73" i="17" s="1"/>
  <c r="H68" i="15"/>
  <c r="F172" i="17"/>
  <c r="R294" i="17"/>
  <c r="B295" i="17"/>
  <c r="L173" i="17"/>
  <c r="C174" i="17"/>
  <c r="L171" i="15"/>
  <c r="C172" i="15"/>
  <c r="B293" i="15"/>
  <c r="R292" i="15"/>
  <c r="L172" i="14"/>
  <c r="C173" i="14"/>
  <c r="B294" i="14"/>
  <c r="R293" i="14"/>
  <c r="E69" i="12"/>
  <c r="G69" i="12"/>
  <c r="B295" i="12"/>
  <c r="R294" i="12"/>
  <c r="F172" i="12"/>
  <c r="L173" i="12"/>
  <c r="C174" i="12"/>
  <c r="S161" i="1"/>
  <c r="T161" i="1"/>
  <c r="L165" i="1"/>
  <c r="C166" i="1"/>
  <c r="B163" i="1"/>
  <c r="R162" i="1"/>
  <c r="S294" i="12" l="1"/>
  <c r="T294" i="12"/>
  <c r="S293" i="14"/>
  <c r="T293" i="14"/>
  <c r="S292" i="15"/>
  <c r="T292" i="15"/>
  <c r="S294" i="17"/>
  <c r="T294" i="17"/>
  <c r="O61" i="17"/>
  <c r="D62" i="17" s="1"/>
  <c r="E62" i="17" s="1"/>
  <c r="I68" i="15"/>
  <c r="P68" i="15" s="1"/>
  <c r="Q68" i="15" s="1"/>
  <c r="R295" i="17"/>
  <c r="B296" i="17"/>
  <c r="F173" i="17"/>
  <c r="C175" i="17"/>
  <c r="L174" i="17"/>
  <c r="B294" i="15"/>
  <c r="R293" i="15"/>
  <c r="C173" i="15"/>
  <c r="L172" i="15"/>
  <c r="I73" i="14"/>
  <c r="J73" i="14" s="1"/>
  <c r="K73" i="14" s="1"/>
  <c r="M73" i="14" s="1"/>
  <c r="N85" i="14" s="1"/>
  <c r="H69" i="12"/>
  <c r="I69" i="12" s="1"/>
  <c r="P69" i="12" s="1"/>
  <c r="Q69" i="12" s="1"/>
  <c r="M54" i="10" s="1"/>
  <c r="C174" i="14"/>
  <c r="L173" i="14"/>
  <c r="B295" i="14"/>
  <c r="R294" i="14"/>
  <c r="F173" i="12"/>
  <c r="L174" i="12"/>
  <c r="C175" i="12"/>
  <c r="B296" i="12"/>
  <c r="R295" i="12"/>
  <c r="S162" i="1"/>
  <c r="T162" i="1"/>
  <c r="O48" i="1"/>
  <c r="D49" i="1" s="1"/>
  <c r="G49" i="1" s="1"/>
  <c r="L166" i="1"/>
  <c r="C167" i="1"/>
  <c r="B164" i="1"/>
  <c r="R163" i="1"/>
  <c r="S295" i="12" l="1"/>
  <c r="T295" i="12"/>
  <c r="S294" i="14"/>
  <c r="T294" i="14"/>
  <c r="S293" i="15"/>
  <c r="T293" i="15"/>
  <c r="S295" i="17"/>
  <c r="T295" i="17"/>
  <c r="G62" i="17"/>
  <c r="J68" i="15"/>
  <c r="K68" i="15" s="1"/>
  <c r="M68" i="15" s="1"/>
  <c r="N80" i="15" s="1"/>
  <c r="H62" i="17"/>
  <c r="F174" i="17"/>
  <c r="B297" i="17"/>
  <c r="R296" i="17"/>
  <c r="C176" i="17"/>
  <c r="L175" i="17"/>
  <c r="J69" i="12"/>
  <c r="K69" i="12" s="1"/>
  <c r="M69" i="12" s="1"/>
  <c r="N81" i="12" s="1"/>
  <c r="C174" i="15"/>
  <c r="L173" i="15"/>
  <c r="B295" i="15"/>
  <c r="R294" i="15"/>
  <c r="P73" i="14"/>
  <c r="Q73" i="14" s="1"/>
  <c r="M58" i="13" s="1"/>
  <c r="O73" i="14"/>
  <c r="D74" i="14" s="1"/>
  <c r="C175" i="14"/>
  <c r="L174" i="14"/>
  <c r="R295" i="14"/>
  <c r="B296" i="14"/>
  <c r="B297" i="12"/>
  <c r="R296" i="12"/>
  <c r="F174" i="12"/>
  <c r="C176" i="12"/>
  <c r="L175" i="12"/>
  <c r="E49" i="1"/>
  <c r="S163" i="1"/>
  <c r="T163" i="1"/>
  <c r="M48" i="1"/>
  <c r="L167" i="1"/>
  <c r="C168" i="1"/>
  <c r="R164" i="1"/>
  <c r="B165" i="1"/>
  <c r="S296" i="12" l="1"/>
  <c r="T296" i="12"/>
  <c r="S295" i="14"/>
  <c r="T295" i="14"/>
  <c r="S294" i="15"/>
  <c r="T294" i="15"/>
  <c r="S296" i="17"/>
  <c r="T296" i="17"/>
  <c r="H49" i="1"/>
  <c r="I49" i="1" s="1"/>
  <c r="O68" i="15"/>
  <c r="D69" i="15" s="1"/>
  <c r="E69" i="15" s="1"/>
  <c r="J62" i="17"/>
  <c r="K62" i="17" s="1"/>
  <c r="M62" i="17" s="1"/>
  <c r="N74" i="17" s="1"/>
  <c r="C177" i="17"/>
  <c r="L176" i="17"/>
  <c r="B298" i="17"/>
  <c r="R297" i="17"/>
  <c r="F175" i="17"/>
  <c r="O69" i="12"/>
  <c r="D70" i="12" s="1"/>
  <c r="G70" i="12" s="1"/>
  <c r="C175" i="15"/>
  <c r="L174" i="15"/>
  <c r="R295" i="15"/>
  <c r="B296" i="15"/>
  <c r="E74" i="14"/>
  <c r="G74" i="14"/>
  <c r="B297" i="14"/>
  <c r="R296" i="14"/>
  <c r="C176" i="14"/>
  <c r="L175" i="14"/>
  <c r="L176" i="12"/>
  <c r="C177" i="12"/>
  <c r="F175" i="12"/>
  <c r="B298" i="12"/>
  <c r="R297" i="12"/>
  <c r="S164" i="1"/>
  <c r="T164" i="1"/>
  <c r="L168" i="1"/>
  <c r="C169" i="1"/>
  <c r="B166" i="1"/>
  <c r="R165" i="1"/>
  <c r="H74" i="14" l="1"/>
  <c r="G69" i="15"/>
  <c r="S297" i="12"/>
  <c r="T297" i="12"/>
  <c r="S296" i="14"/>
  <c r="T296" i="14"/>
  <c r="S295" i="15"/>
  <c r="T295" i="15"/>
  <c r="S297" i="17"/>
  <c r="T297" i="17"/>
  <c r="E70" i="12"/>
  <c r="H70" i="12" s="1"/>
  <c r="O62" i="17"/>
  <c r="D63" i="17" s="1"/>
  <c r="E63" i="17" s="1"/>
  <c r="P62" i="17"/>
  <c r="Q62" i="17" s="1"/>
  <c r="M47" i="18" s="1"/>
  <c r="H69" i="15"/>
  <c r="F176" i="17"/>
  <c r="R298" i="17"/>
  <c r="B299" i="17"/>
  <c r="C178" i="17"/>
  <c r="L177" i="17"/>
  <c r="R296" i="15"/>
  <c r="B297" i="15"/>
  <c r="L175" i="15"/>
  <c r="C176" i="15"/>
  <c r="I74" i="14"/>
  <c r="R297" i="14"/>
  <c r="B298" i="14"/>
  <c r="L176" i="14"/>
  <c r="C177" i="14"/>
  <c r="F176" i="12"/>
  <c r="R298" i="12"/>
  <c r="B299" i="12"/>
  <c r="C178" i="12"/>
  <c r="L177" i="12"/>
  <c r="J49" i="1"/>
  <c r="K49" i="1" s="1"/>
  <c r="S165" i="1"/>
  <c r="T165" i="1"/>
  <c r="L169" i="1"/>
  <c r="C170" i="1"/>
  <c r="B167" i="1"/>
  <c r="R166" i="1"/>
  <c r="S298" i="12" l="1"/>
  <c r="T298" i="12"/>
  <c r="S297" i="14"/>
  <c r="T297" i="14"/>
  <c r="S296" i="15"/>
  <c r="T296" i="15"/>
  <c r="S298" i="17"/>
  <c r="T298" i="17"/>
  <c r="G63" i="17"/>
  <c r="I69" i="15"/>
  <c r="H63" i="17"/>
  <c r="L178" i="17"/>
  <c r="C179" i="17"/>
  <c r="B300" i="17"/>
  <c r="R299" i="17"/>
  <c r="F177" i="17"/>
  <c r="C177" i="15"/>
  <c r="L176" i="15"/>
  <c r="B298" i="15"/>
  <c r="R297" i="15"/>
  <c r="J74" i="14"/>
  <c r="K74" i="14" s="1"/>
  <c r="M74" i="14" s="1"/>
  <c r="N86" i="14" s="1"/>
  <c r="P74" i="14"/>
  <c r="Q74" i="14" s="1"/>
  <c r="M59" i="13" s="1"/>
  <c r="C178" i="14"/>
  <c r="L177" i="14"/>
  <c r="R298" i="14"/>
  <c r="B299" i="14"/>
  <c r="I70" i="12"/>
  <c r="P70" i="12" s="1"/>
  <c r="Q70" i="12" s="1"/>
  <c r="M55" i="10" s="1"/>
  <c r="L178" i="12"/>
  <c r="C179" i="12"/>
  <c r="B300" i="12"/>
  <c r="R299" i="12"/>
  <c r="F177" i="12"/>
  <c r="O49" i="1"/>
  <c r="D50" i="1" s="1"/>
  <c r="G50" i="1" s="1"/>
  <c r="S166" i="1"/>
  <c r="T166" i="1"/>
  <c r="L170" i="1"/>
  <c r="C171" i="1"/>
  <c r="B168" i="1"/>
  <c r="R167" i="1"/>
  <c r="S299" i="12" l="1"/>
  <c r="T299" i="12"/>
  <c r="S298" i="14"/>
  <c r="T298" i="14"/>
  <c r="S297" i="15"/>
  <c r="T297" i="15"/>
  <c r="S299" i="17"/>
  <c r="T299" i="17"/>
  <c r="P63" i="17"/>
  <c r="Q63" i="17" s="1"/>
  <c r="M48" i="18" s="1"/>
  <c r="P69" i="15"/>
  <c r="Q69" i="15" s="1"/>
  <c r="J69" i="15"/>
  <c r="K69" i="15" s="1"/>
  <c r="M69" i="15" s="1"/>
  <c r="N81" i="15" s="1"/>
  <c r="F178" i="17"/>
  <c r="R300" i="17"/>
  <c r="B301" i="17"/>
  <c r="C180" i="17"/>
  <c r="L179" i="17"/>
  <c r="R298" i="15"/>
  <c r="B299" i="15"/>
  <c r="C178" i="15"/>
  <c r="L177" i="15"/>
  <c r="O74" i="14"/>
  <c r="D75" i="14" s="1"/>
  <c r="E75" i="14" s="1"/>
  <c r="L178" i="14"/>
  <c r="C179" i="14"/>
  <c r="B300" i="14"/>
  <c r="R299" i="14"/>
  <c r="J70" i="12"/>
  <c r="K70" i="12" s="1"/>
  <c r="M70" i="12" s="1"/>
  <c r="N82" i="12" s="1"/>
  <c r="F178" i="12"/>
  <c r="R300" i="12"/>
  <c r="B301" i="12"/>
  <c r="C180" i="12"/>
  <c r="L179" i="12"/>
  <c r="E50" i="1"/>
  <c r="H50" i="1" s="1"/>
  <c r="M49" i="1"/>
  <c r="S167" i="1"/>
  <c r="T167" i="1"/>
  <c r="L171" i="1"/>
  <c r="C172" i="1"/>
  <c r="B169" i="1"/>
  <c r="R168" i="1"/>
  <c r="S300" i="12" l="1"/>
  <c r="T300" i="12"/>
  <c r="S299" i="14"/>
  <c r="T299" i="14"/>
  <c r="S298" i="15"/>
  <c r="T298" i="15"/>
  <c r="S300" i="17"/>
  <c r="T300" i="17"/>
  <c r="G75" i="14"/>
  <c r="H75" i="14" s="1"/>
  <c r="J63" i="17"/>
  <c r="K63" i="17" s="1"/>
  <c r="M63" i="17" s="1"/>
  <c r="N75" i="17" s="1"/>
  <c r="O69" i="15"/>
  <c r="D70" i="15" s="1"/>
  <c r="B302" i="17"/>
  <c r="R301" i="17"/>
  <c r="L180" i="17"/>
  <c r="C181" i="17"/>
  <c r="F179" i="17"/>
  <c r="L178" i="15"/>
  <c r="C179" i="15"/>
  <c r="R299" i="15"/>
  <c r="B300" i="15"/>
  <c r="R300" i="14"/>
  <c r="B301" i="14"/>
  <c r="L179" i="14"/>
  <c r="C180" i="14"/>
  <c r="O70" i="12"/>
  <c r="D71" i="12" s="1"/>
  <c r="E71" i="12" s="1"/>
  <c r="C181" i="12"/>
  <c r="L180" i="12"/>
  <c r="F179" i="12"/>
  <c r="B302" i="12"/>
  <c r="R301" i="12"/>
  <c r="I50" i="1"/>
  <c r="S168" i="1"/>
  <c r="T168" i="1"/>
  <c r="L172" i="1"/>
  <c r="C173" i="1"/>
  <c r="B170" i="1"/>
  <c r="R169" i="1"/>
  <c r="S301" i="12" l="1"/>
  <c r="T301" i="12"/>
  <c r="S300" i="14"/>
  <c r="T300" i="14"/>
  <c r="S299" i="15"/>
  <c r="T299" i="15"/>
  <c r="S301" i="17"/>
  <c r="T301" i="17"/>
  <c r="G70" i="15"/>
  <c r="E70" i="15"/>
  <c r="O63" i="17"/>
  <c r="D64" i="17" s="1"/>
  <c r="R302" i="17"/>
  <c r="B303" i="17"/>
  <c r="F180" i="17"/>
  <c r="C182" i="17"/>
  <c r="L181" i="17"/>
  <c r="C180" i="15"/>
  <c r="L179" i="15"/>
  <c r="R300" i="15"/>
  <c r="B301" i="15"/>
  <c r="I75" i="14"/>
  <c r="J75" i="14" s="1"/>
  <c r="K75" i="14" s="1"/>
  <c r="M75" i="14" s="1"/>
  <c r="N87" i="14" s="1"/>
  <c r="L180" i="14"/>
  <c r="C181" i="14"/>
  <c r="B302" i="14"/>
  <c r="R301" i="14"/>
  <c r="G71" i="12"/>
  <c r="H71" i="12" s="1"/>
  <c r="I71" i="12" s="1"/>
  <c r="P71" i="12" s="1"/>
  <c r="Q71" i="12" s="1"/>
  <c r="M56" i="10" s="1"/>
  <c r="F180" i="12"/>
  <c r="B303" i="12"/>
  <c r="R302" i="12"/>
  <c r="L181" i="12"/>
  <c r="C182" i="12"/>
  <c r="J50" i="1"/>
  <c r="K50" i="1" s="1"/>
  <c r="S169" i="1"/>
  <c r="T169" i="1"/>
  <c r="L173" i="1"/>
  <c r="C174" i="1"/>
  <c r="B171" i="1"/>
  <c r="R170" i="1"/>
  <c r="S302" i="12" l="1"/>
  <c r="T302" i="12"/>
  <c r="S301" i="14"/>
  <c r="T301" i="14"/>
  <c r="S300" i="15"/>
  <c r="T300" i="15"/>
  <c r="S302" i="17"/>
  <c r="T302" i="17"/>
  <c r="G64" i="17"/>
  <c r="E64" i="17"/>
  <c r="H70" i="15"/>
  <c r="C183" i="17"/>
  <c r="L182" i="17"/>
  <c r="F181" i="17"/>
  <c r="B304" i="17"/>
  <c r="R303" i="17"/>
  <c r="B302" i="15"/>
  <c r="R301" i="15"/>
  <c r="L180" i="15"/>
  <c r="C181" i="15"/>
  <c r="P75" i="14"/>
  <c r="Q75" i="14" s="1"/>
  <c r="M60" i="13" s="1"/>
  <c r="O75" i="14"/>
  <c r="D76" i="14" s="1"/>
  <c r="B303" i="14"/>
  <c r="R302" i="14"/>
  <c r="L181" i="14"/>
  <c r="C182" i="14"/>
  <c r="J71" i="12"/>
  <c r="O71" i="12" s="1"/>
  <c r="D72" i="12" s="1"/>
  <c r="E72" i="12" s="1"/>
  <c r="L182" i="12"/>
  <c r="C183" i="12"/>
  <c r="B304" i="12"/>
  <c r="R303" i="12"/>
  <c r="F181" i="12"/>
  <c r="O50" i="1"/>
  <c r="D51" i="1" s="1"/>
  <c r="G51" i="1" s="1"/>
  <c r="S170" i="1"/>
  <c r="T170" i="1"/>
  <c r="L174" i="1"/>
  <c r="C175" i="1"/>
  <c r="B172" i="1"/>
  <c r="R171" i="1"/>
  <c r="S303" i="12" l="1"/>
  <c r="T303" i="12"/>
  <c r="S302" i="14"/>
  <c r="T302" i="14"/>
  <c r="S301" i="15"/>
  <c r="T301" i="15"/>
  <c r="S303" i="17"/>
  <c r="T303" i="17"/>
  <c r="I70" i="15"/>
  <c r="P70" i="15" s="1"/>
  <c r="Q70" i="15" s="1"/>
  <c r="H64" i="17"/>
  <c r="F182" i="17"/>
  <c r="R304" i="17"/>
  <c r="B305" i="17"/>
  <c r="C184" i="17"/>
  <c r="L183" i="17"/>
  <c r="L181" i="15"/>
  <c r="C182" i="15"/>
  <c r="R302" i="15"/>
  <c r="B303" i="15"/>
  <c r="E76" i="14"/>
  <c r="G76" i="14"/>
  <c r="C183" i="14"/>
  <c r="L182" i="14"/>
  <c r="R303" i="14"/>
  <c r="B304" i="14"/>
  <c r="K71" i="12"/>
  <c r="M71" i="12" s="1"/>
  <c r="N83" i="12" s="1"/>
  <c r="G72" i="12"/>
  <c r="H72" i="12" s="1"/>
  <c r="I72" i="12" s="1"/>
  <c r="C184" i="12"/>
  <c r="L183" i="12"/>
  <c r="F182" i="12"/>
  <c r="B305" i="12"/>
  <c r="R304" i="12"/>
  <c r="E51" i="1"/>
  <c r="M50" i="1"/>
  <c r="S171" i="1"/>
  <c r="T171" i="1"/>
  <c r="L175" i="1"/>
  <c r="C176" i="1"/>
  <c r="B173" i="1"/>
  <c r="R172" i="1"/>
  <c r="S304" i="12" l="1"/>
  <c r="T304" i="12"/>
  <c r="S303" i="14"/>
  <c r="T303" i="14"/>
  <c r="S302" i="15"/>
  <c r="T302" i="15"/>
  <c r="S304" i="17"/>
  <c r="T304" i="17"/>
  <c r="H51" i="1"/>
  <c r="I51" i="1" s="1"/>
  <c r="H76" i="14"/>
  <c r="I76" i="14" s="1"/>
  <c r="J76" i="14" s="1"/>
  <c r="K76" i="14" s="1"/>
  <c r="M76" i="14" s="1"/>
  <c r="N88" i="14" s="1"/>
  <c r="J64" i="17"/>
  <c r="K64" i="17" s="1"/>
  <c r="M64" i="17" s="1"/>
  <c r="N76" i="17" s="1"/>
  <c r="J70" i="15"/>
  <c r="K70" i="15" s="1"/>
  <c r="M70" i="15" s="1"/>
  <c r="N82" i="15" s="1"/>
  <c r="B306" i="17"/>
  <c r="R305" i="17"/>
  <c r="L184" i="17"/>
  <c r="C185" i="17"/>
  <c r="F183" i="17"/>
  <c r="R303" i="15"/>
  <c r="B304" i="15"/>
  <c r="L182" i="15"/>
  <c r="C183" i="15"/>
  <c r="B305" i="14"/>
  <c r="R304" i="14"/>
  <c r="L183" i="14"/>
  <c r="C184" i="14"/>
  <c r="P72" i="12"/>
  <c r="Q72" i="12" s="1"/>
  <c r="M57" i="10" s="1"/>
  <c r="J72" i="12"/>
  <c r="F183" i="12"/>
  <c r="C185" i="12"/>
  <c r="L184" i="12"/>
  <c r="R305" i="12"/>
  <c r="B306" i="12"/>
  <c r="S172" i="1"/>
  <c r="T172" i="1"/>
  <c r="L176" i="1"/>
  <c r="C177" i="1"/>
  <c r="B174" i="1"/>
  <c r="R173" i="1"/>
  <c r="S305" i="12" l="1"/>
  <c r="T305" i="12"/>
  <c r="S304" i="14"/>
  <c r="T304" i="14"/>
  <c r="S303" i="15"/>
  <c r="T303" i="15"/>
  <c r="S305" i="17"/>
  <c r="T305" i="17"/>
  <c r="O64" i="17"/>
  <c r="D65" i="17" s="1"/>
  <c r="E65" i="17" s="1"/>
  <c r="P64" i="17"/>
  <c r="Q64" i="17" s="1"/>
  <c r="M49" i="18" s="1"/>
  <c r="O70" i="15"/>
  <c r="D71" i="15" s="1"/>
  <c r="L185" i="17"/>
  <c r="C186" i="17"/>
  <c r="F184" i="17"/>
  <c r="B307" i="17"/>
  <c r="R306" i="17"/>
  <c r="C184" i="15"/>
  <c r="L183" i="15"/>
  <c r="B305" i="15"/>
  <c r="R304" i="15"/>
  <c r="P76" i="14"/>
  <c r="Q76" i="14" s="1"/>
  <c r="M61" i="13" s="1"/>
  <c r="O76" i="14"/>
  <c r="D77" i="14" s="1"/>
  <c r="L184" i="14"/>
  <c r="C185" i="14"/>
  <c r="B306" i="14"/>
  <c r="R305" i="14"/>
  <c r="O72" i="12"/>
  <c r="D73" i="12" s="1"/>
  <c r="K72" i="12"/>
  <c r="M72" i="12" s="1"/>
  <c r="N84" i="12" s="1"/>
  <c r="L185" i="12"/>
  <c r="C186" i="12"/>
  <c r="B307" i="12"/>
  <c r="R306" i="12"/>
  <c r="F184" i="12"/>
  <c r="J51" i="1"/>
  <c r="K51" i="1" s="1"/>
  <c r="S173" i="1"/>
  <c r="T173" i="1"/>
  <c r="L177" i="1"/>
  <c r="C178" i="1"/>
  <c r="B175" i="1"/>
  <c r="R174" i="1"/>
  <c r="S306" i="12" l="1"/>
  <c r="T306" i="12"/>
  <c r="S305" i="14"/>
  <c r="T305" i="14"/>
  <c r="S304" i="15"/>
  <c r="T304" i="15"/>
  <c r="S306" i="17"/>
  <c r="T306" i="17"/>
  <c r="G65" i="17"/>
  <c r="H65" i="17" s="1"/>
  <c r="E71" i="15"/>
  <c r="G71" i="15"/>
  <c r="H71" i="15" s="1"/>
  <c r="I71" i="15" s="1"/>
  <c r="P71" i="15" s="1"/>
  <c r="Q71" i="15" s="1"/>
  <c r="R307" i="17"/>
  <c r="B308" i="17"/>
  <c r="F185" i="17"/>
  <c r="C187" i="17"/>
  <c r="L186" i="17"/>
  <c r="B306" i="15"/>
  <c r="R305" i="15"/>
  <c r="C185" i="15"/>
  <c r="L184" i="15"/>
  <c r="E77" i="14"/>
  <c r="G77" i="14"/>
  <c r="L185" i="14"/>
  <c r="C186" i="14"/>
  <c r="B307" i="14"/>
  <c r="R306" i="14"/>
  <c r="G73" i="12"/>
  <c r="E73" i="12"/>
  <c r="F185" i="12"/>
  <c r="C187" i="12"/>
  <c r="L186" i="12"/>
  <c r="B308" i="12"/>
  <c r="R307" i="12"/>
  <c r="S174" i="1"/>
  <c r="T174" i="1"/>
  <c r="L178" i="1"/>
  <c r="C179" i="1"/>
  <c r="B176" i="1"/>
  <c r="R175" i="1"/>
  <c r="O51" i="1"/>
  <c r="D52" i="1" s="1"/>
  <c r="G52" i="1" s="1"/>
  <c r="S307" i="12" l="1"/>
  <c r="T307" i="12"/>
  <c r="S306" i="14"/>
  <c r="T306" i="14"/>
  <c r="S305" i="15"/>
  <c r="T305" i="15"/>
  <c r="S307" i="17"/>
  <c r="T307" i="17"/>
  <c r="J65" i="17"/>
  <c r="K65" i="17" s="1"/>
  <c r="M65" i="17" s="1"/>
  <c r="N77" i="17" s="1"/>
  <c r="J71" i="15"/>
  <c r="K71" i="15" s="1"/>
  <c r="M71" i="15" s="1"/>
  <c r="N83" i="15" s="1"/>
  <c r="L187" i="17"/>
  <c r="C188" i="17"/>
  <c r="B309" i="17"/>
  <c r="R308" i="17"/>
  <c r="F186" i="17"/>
  <c r="C186" i="15"/>
  <c r="L185" i="15"/>
  <c r="B307" i="15"/>
  <c r="R306" i="15"/>
  <c r="H77" i="14"/>
  <c r="I77" i="14" s="1"/>
  <c r="J77" i="14" s="1"/>
  <c r="K77" i="14" s="1"/>
  <c r="M77" i="14" s="1"/>
  <c r="N89" i="14" s="1"/>
  <c r="H73" i="12"/>
  <c r="I73" i="12" s="1"/>
  <c r="J73" i="12" s="1"/>
  <c r="K73" i="12" s="1"/>
  <c r="M73" i="12" s="1"/>
  <c r="N85" i="12" s="1"/>
  <c r="B308" i="14"/>
  <c r="R307" i="14"/>
  <c r="C187" i="14"/>
  <c r="L186" i="14"/>
  <c r="B309" i="12"/>
  <c r="R308" i="12"/>
  <c r="C188" i="12"/>
  <c r="L187" i="12"/>
  <c r="F186" i="12"/>
  <c r="E52" i="1"/>
  <c r="S175" i="1"/>
  <c r="T175" i="1"/>
  <c r="L179" i="1"/>
  <c r="C180" i="1"/>
  <c r="B177" i="1"/>
  <c r="R176" i="1"/>
  <c r="M51" i="1"/>
  <c r="H52" i="1" l="1"/>
  <c r="S308" i="12"/>
  <c r="T308" i="12"/>
  <c r="S307" i="14"/>
  <c r="T307" i="14"/>
  <c r="S306" i="15"/>
  <c r="T306" i="15"/>
  <c r="S308" i="17"/>
  <c r="T308" i="17"/>
  <c r="O71" i="15"/>
  <c r="D72" i="15" s="1"/>
  <c r="O65" i="17"/>
  <c r="D66" i="17" s="1"/>
  <c r="P65" i="17"/>
  <c r="Q65" i="17" s="1"/>
  <c r="M50" i="18" s="1"/>
  <c r="F187" i="17"/>
  <c r="L188" i="17"/>
  <c r="C189" i="17"/>
  <c r="B310" i="17"/>
  <c r="R309" i="17"/>
  <c r="P73" i="12"/>
  <c r="Q73" i="12" s="1"/>
  <c r="M58" i="10" s="1"/>
  <c r="O73" i="12"/>
  <c r="D74" i="12" s="1"/>
  <c r="E74" i="12" s="1"/>
  <c r="C187" i="15"/>
  <c r="L186" i="15"/>
  <c r="B308" i="15"/>
  <c r="R307" i="15"/>
  <c r="O77" i="14"/>
  <c r="D78" i="14" s="1"/>
  <c r="P77" i="14"/>
  <c r="Q77" i="14" s="1"/>
  <c r="M62" i="13" s="1"/>
  <c r="L187" i="14"/>
  <c r="C188" i="14"/>
  <c r="B309" i="14"/>
  <c r="R308" i="14"/>
  <c r="F187" i="12"/>
  <c r="C189" i="12"/>
  <c r="L188" i="12"/>
  <c r="B310" i="12"/>
  <c r="R309" i="12"/>
  <c r="I52" i="1"/>
  <c r="S176" i="1"/>
  <c r="T176" i="1"/>
  <c r="L180" i="1"/>
  <c r="C181" i="1"/>
  <c r="B178" i="1"/>
  <c r="R177" i="1"/>
  <c r="S309" i="12" l="1"/>
  <c r="T309" i="12"/>
  <c r="S308" i="14"/>
  <c r="T308" i="14"/>
  <c r="S307" i="15"/>
  <c r="T307" i="15"/>
  <c r="S309" i="17"/>
  <c r="T309" i="17"/>
  <c r="G66" i="17"/>
  <c r="E66" i="17"/>
  <c r="E72" i="15"/>
  <c r="G72" i="15"/>
  <c r="R310" i="17"/>
  <c r="B311" i="17"/>
  <c r="C190" i="17"/>
  <c r="L189" i="17"/>
  <c r="F188" i="17"/>
  <c r="G74" i="12"/>
  <c r="H74" i="12" s="1"/>
  <c r="I74" i="12" s="1"/>
  <c r="B309" i="15"/>
  <c r="R308" i="15"/>
  <c r="L187" i="15"/>
  <c r="C188" i="15"/>
  <c r="E78" i="14"/>
  <c r="G78" i="14"/>
  <c r="R309" i="14"/>
  <c r="B310" i="14"/>
  <c r="L188" i="14"/>
  <c r="C189" i="14"/>
  <c r="C190" i="12"/>
  <c r="L189" i="12"/>
  <c r="F188" i="12"/>
  <c r="B311" i="12"/>
  <c r="R310" i="12"/>
  <c r="J52" i="1"/>
  <c r="K52" i="1" s="1"/>
  <c r="S177" i="1"/>
  <c r="T177" i="1"/>
  <c r="L181" i="1"/>
  <c r="C182" i="1"/>
  <c r="B179" i="1"/>
  <c r="R178" i="1"/>
  <c r="S310" i="12" l="1"/>
  <c r="T310" i="12"/>
  <c r="S309" i="14"/>
  <c r="T309" i="14"/>
  <c r="S308" i="15"/>
  <c r="T308" i="15"/>
  <c r="S310" i="17"/>
  <c r="T310" i="17"/>
  <c r="H78" i="14"/>
  <c r="I78" i="14" s="1"/>
  <c r="P78" i="14" s="1"/>
  <c r="Q78" i="14" s="1"/>
  <c r="M63" i="13" s="1"/>
  <c r="H72" i="15"/>
  <c r="I72" i="15" s="1"/>
  <c r="J72" i="15" s="1"/>
  <c r="K72" i="15" s="1"/>
  <c r="M72" i="15" s="1"/>
  <c r="N84" i="15" s="1"/>
  <c r="H66" i="17"/>
  <c r="F189" i="17"/>
  <c r="L190" i="17"/>
  <c r="C191" i="17"/>
  <c r="R311" i="17"/>
  <c r="B312" i="17"/>
  <c r="J74" i="12"/>
  <c r="K74" i="12" s="1"/>
  <c r="M74" i="12" s="1"/>
  <c r="N86" i="12" s="1"/>
  <c r="B310" i="15"/>
  <c r="R309" i="15"/>
  <c r="C189" i="15"/>
  <c r="L188" i="15"/>
  <c r="J78" i="14"/>
  <c r="L189" i="14"/>
  <c r="C190" i="14"/>
  <c r="R310" i="14"/>
  <c r="B311" i="14"/>
  <c r="P74" i="12"/>
  <c r="Q74" i="12" s="1"/>
  <c r="M59" i="10" s="1"/>
  <c r="R311" i="12"/>
  <c r="B312" i="12"/>
  <c r="F189" i="12"/>
  <c r="C191" i="12"/>
  <c r="L190" i="12"/>
  <c r="S178" i="1"/>
  <c r="T178" i="1"/>
  <c r="L182" i="1"/>
  <c r="C183" i="1"/>
  <c r="B180" i="1"/>
  <c r="R179" i="1"/>
  <c r="S311" i="12" l="1"/>
  <c r="T311" i="12"/>
  <c r="S310" i="14"/>
  <c r="T310" i="14"/>
  <c r="S309" i="15"/>
  <c r="T309" i="15"/>
  <c r="S311" i="17"/>
  <c r="T311" i="17"/>
  <c r="P72" i="15"/>
  <c r="Q72" i="15" s="1"/>
  <c r="O74" i="12"/>
  <c r="D75" i="12" s="1"/>
  <c r="G75" i="12" s="1"/>
  <c r="O72" i="15"/>
  <c r="D73" i="15" s="1"/>
  <c r="L191" i="17"/>
  <c r="C192" i="17"/>
  <c r="R312" i="17"/>
  <c r="B313" i="17"/>
  <c r="F190" i="17"/>
  <c r="L189" i="15"/>
  <c r="C190" i="15"/>
  <c r="R310" i="15"/>
  <c r="B311" i="15"/>
  <c r="O78" i="14"/>
  <c r="D79" i="14" s="1"/>
  <c r="K78" i="14"/>
  <c r="M78" i="14" s="1"/>
  <c r="N90" i="14" s="1"/>
  <c r="B312" i="14"/>
  <c r="R311" i="14"/>
  <c r="L190" i="14"/>
  <c r="C191" i="14"/>
  <c r="C192" i="12"/>
  <c r="L191" i="12"/>
  <c r="F190" i="12"/>
  <c r="B313" i="12"/>
  <c r="R312" i="12"/>
  <c r="S179" i="1"/>
  <c r="T179" i="1"/>
  <c r="L183" i="1"/>
  <c r="C184" i="1"/>
  <c r="B181" i="1"/>
  <c r="R180" i="1"/>
  <c r="O52" i="1"/>
  <c r="D53" i="1" s="1"/>
  <c r="G53" i="1" s="1"/>
  <c r="S312" i="12" l="1"/>
  <c r="T312" i="12"/>
  <c r="S311" i="14"/>
  <c r="T311" i="14"/>
  <c r="S310" i="15"/>
  <c r="T310" i="15"/>
  <c r="S312" i="17"/>
  <c r="T312" i="17"/>
  <c r="E75" i="12"/>
  <c r="H75" i="12" s="1"/>
  <c r="I75" i="12" s="1"/>
  <c r="P75" i="12" s="1"/>
  <c r="Q75" i="12" s="1"/>
  <c r="M60" i="10" s="1"/>
  <c r="P66" i="17"/>
  <c r="Q66" i="17" s="1"/>
  <c r="M51" i="18" s="1"/>
  <c r="J66" i="17"/>
  <c r="K66" i="17" s="1"/>
  <c r="M66" i="17" s="1"/>
  <c r="N78" i="17" s="1"/>
  <c r="E73" i="15"/>
  <c r="G73" i="15"/>
  <c r="H73" i="15" s="1"/>
  <c r="F191" i="17"/>
  <c r="B314" i="17"/>
  <c r="R313" i="17"/>
  <c r="C193" i="17"/>
  <c r="L192" i="17"/>
  <c r="B312" i="15"/>
  <c r="R311" i="15"/>
  <c r="L190" i="15"/>
  <c r="C191" i="15"/>
  <c r="E79" i="14"/>
  <c r="G79" i="14"/>
  <c r="C192" i="14"/>
  <c r="L191" i="14"/>
  <c r="R312" i="14"/>
  <c r="B313" i="14"/>
  <c r="F191" i="12"/>
  <c r="C193" i="12"/>
  <c r="L192" i="12"/>
  <c r="B314" i="12"/>
  <c r="R313" i="12"/>
  <c r="E53" i="1"/>
  <c r="S180" i="1"/>
  <c r="T180" i="1"/>
  <c r="L184" i="1"/>
  <c r="C185" i="1"/>
  <c r="B182" i="1"/>
  <c r="R181" i="1"/>
  <c r="M52" i="1"/>
  <c r="J75" i="12" l="1"/>
  <c r="K75" i="12" s="1"/>
  <c r="M75" i="12" s="1"/>
  <c r="N87" i="12" s="1"/>
  <c r="H79" i="14"/>
  <c r="I79" i="14" s="1"/>
  <c r="J79" i="14" s="1"/>
  <c r="K79" i="14" s="1"/>
  <c r="M79" i="14" s="1"/>
  <c r="N91" i="14" s="1"/>
  <c r="H53" i="1"/>
  <c r="I53" i="1" s="1"/>
  <c r="S313" i="12"/>
  <c r="T313" i="12"/>
  <c r="S312" i="14"/>
  <c r="T312" i="14"/>
  <c r="S311" i="15"/>
  <c r="T311" i="15"/>
  <c r="S313" i="17"/>
  <c r="T313" i="17"/>
  <c r="O66" i="17"/>
  <c r="D67" i="17" s="1"/>
  <c r="E67" i="17" s="1"/>
  <c r="I73" i="15"/>
  <c r="J73" i="15" s="1"/>
  <c r="K73" i="15" s="1"/>
  <c r="M73" i="15" s="1"/>
  <c r="N85" i="15" s="1"/>
  <c r="R314" i="17"/>
  <c r="B315" i="17"/>
  <c r="L193" i="17"/>
  <c r="C194" i="17"/>
  <c r="F192" i="17"/>
  <c r="C192" i="15"/>
  <c r="L191" i="15"/>
  <c r="R312" i="15"/>
  <c r="B313" i="15"/>
  <c r="R313" i="14"/>
  <c r="B314" i="14"/>
  <c r="L192" i="14"/>
  <c r="C193" i="14"/>
  <c r="O75" i="12"/>
  <c r="D76" i="12" s="1"/>
  <c r="R314" i="12"/>
  <c r="B315" i="12"/>
  <c r="L193" i="12"/>
  <c r="C194" i="12"/>
  <c r="F192" i="12"/>
  <c r="S181" i="1"/>
  <c r="T181" i="1"/>
  <c r="L185" i="1"/>
  <c r="C186" i="1"/>
  <c r="B183" i="1"/>
  <c r="R182" i="1"/>
  <c r="O79" i="14" l="1"/>
  <c r="D80" i="14" s="1"/>
  <c r="P79" i="14"/>
  <c r="Q79" i="14" s="1"/>
  <c r="M64" i="13" s="1"/>
  <c r="S314" i="12"/>
  <c r="T314" i="12"/>
  <c r="S313" i="14"/>
  <c r="T313" i="14"/>
  <c r="S312" i="15"/>
  <c r="T312" i="15"/>
  <c r="S314" i="17"/>
  <c r="T314" i="17"/>
  <c r="G67" i="17"/>
  <c r="H67" i="17" s="1"/>
  <c r="P73" i="15"/>
  <c r="Q73" i="15" s="1"/>
  <c r="O73" i="15"/>
  <c r="D74" i="15" s="1"/>
  <c r="F193" i="17"/>
  <c r="L194" i="17"/>
  <c r="C195" i="17"/>
  <c r="B316" i="17"/>
  <c r="R315" i="17"/>
  <c r="L192" i="15"/>
  <c r="C193" i="15"/>
  <c r="B314" i="15"/>
  <c r="R313" i="15"/>
  <c r="G80" i="14"/>
  <c r="E80" i="14"/>
  <c r="B315" i="14"/>
  <c r="R314" i="14"/>
  <c r="C194" i="14"/>
  <c r="L193" i="14"/>
  <c r="G76" i="12"/>
  <c r="E76" i="12"/>
  <c r="R315" i="12"/>
  <c r="B316" i="12"/>
  <c r="F193" i="12"/>
  <c r="L194" i="12"/>
  <c r="C195" i="12"/>
  <c r="S182" i="1"/>
  <c r="T182" i="1"/>
  <c r="L186" i="1"/>
  <c r="C187" i="1"/>
  <c r="B184" i="1"/>
  <c r="R183" i="1"/>
  <c r="J53" i="1"/>
  <c r="K53" i="1" s="1"/>
  <c r="S315" i="12" l="1"/>
  <c r="T315" i="12"/>
  <c r="S314" i="14"/>
  <c r="T314" i="14"/>
  <c r="S313" i="15"/>
  <c r="T313" i="15"/>
  <c r="S315" i="17"/>
  <c r="T315" i="17"/>
  <c r="P67" i="17"/>
  <c r="Q67" i="17" s="1"/>
  <c r="M52" i="18" s="1"/>
  <c r="G74" i="15"/>
  <c r="E74" i="15"/>
  <c r="F194" i="17"/>
  <c r="L195" i="17"/>
  <c r="C196" i="17"/>
  <c r="B317" i="17"/>
  <c r="R316" i="17"/>
  <c r="H76" i="12"/>
  <c r="I76" i="12" s="1"/>
  <c r="J76" i="12" s="1"/>
  <c r="K76" i="12" s="1"/>
  <c r="M76" i="12" s="1"/>
  <c r="N88" i="12" s="1"/>
  <c r="R314" i="15"/>
  <c r="B315" i="15"/>
  <c r="L193" i="15"/>
  <c r="C194" i="15"/>
  <c r="H80" i="14"/>
  <c r="I80" i="14" s="1"/>
  <c r="J80" i="14" s="1"/>
  <c r="K80" i="14" s="1"/>
  <c r="M80" i="14" s="1"/>
  <c r="N92" i="14" s="1"/>
  <c r="C195" i="14"/>
  <c r="L194" i="14"/>
  <c r="R315" i="14"/>
  <c r="B316" i="14"/>
  <c r="C196" i="12"/>
  <c r="L195" i="12"/>
  <c r="F194" i="12"/>
  <c r="B317" i="12"/>
  <c r="R316" i="12"/>
  <c r="S183" i="1"/>
  <c r="T183" i="1"/>
  <c r="L187" i="1"/>
  <c r="C188" i="1"/>
  <c r="B185" i="1"/>
  <c r="R184" i="1"/>
  <c r="S316" i="12" l="1"/>
  <c r="T316" i="12"/>
  <c r="S315" i="14"/>
  <c r="T315" i="14"/>
  <c r="S314" i="15"/>
  <c r="T314" i="15"/>
  <c r="S316" i="17"/>
  <c r="T316" i="17"/>
  <c r="H74" i="15"/>
  <c r="I74" i="15" s="1"/>
  <c r="J67" i="17"/>
  <c r="B318" i="17"/>
  <c r="R317" i="17"/>
  <c r="L196" i="17"/>
  <c r="C197" i="17"/>
  <c r="F195" i="17"/>
  <c r="B316" i="15"/>
  <c r="R315" i="15"/>
  <c r="L194" i="15"/>
  <c r="C195" i="15"/>
  <c r="P80" i="14"/>
  <c r="Q80" i="14" s="1"/>
  <c r="M65" i="13" s="1"/>
  <c r="O80" i="14"/>
  <c r="D81" i="14" s="1"/>
  <c r="G81" i="14" s="1"/>
  <c r="P76" i="12"/>
  <c r="Q76" i="12" s="1"/>
  <c r="M61" i="10" s="1"/>
  <c r="O76" i="12"/>
  <c r="D77" i="12" s="1"/>
  <c r="G77" i="12" s="1"/>
  <c r="C196" i="14"/>
  <c r="L195" i="14"/>
  <c r="B317" i="14"/>
  <c r="R316" i="14"/>
  <c r="R317" i="12"/>
  <c r="B318" i="12"/>
  <c r="F195" i="12"/>
  <c r="L196" i="12"/>
  <c r="C197" i="12"/>
  <c r="S184" i="1"/>
  <c r="T184" i="1"/>
  <c r="L188" i="1"/>
  <c r="C189" i="1"/>
  <c r="B186" i="1"/>
  <c r="R185" i="1"/>
  <c r="O53" i="1"/>
  <c r="D54" i="1" s="1"/>
  <c r="G54" i="1" s="1"/>
  <c r="S317" i="12" l="1"/>
  <c r="T317" i="12"/>
  <c r="S316" i="14"/>
  <c r="T316" i="14"/>
  <c r="S315" i="15"/>
  <c r="T315" i="15"/>
  <c r="S317" i="17"/>
  <c r="T317" i="17"/>
  <c r="E81" i="14"/>
  <c r="H81" i="14" s="1"/>
  <c r="I81" i="14" s="1"/>
  <c r="J81" i="14" s="1"/>
  <c r="K81" i="14" s="1"/>
  <c r="M81" i="14" s="1"/>
  <c r="N93" i="14" s="1"/>
  <c r="J74" i="15"/>
  <c r="K74" i="15" s="1"/>
  <c r="M74" i="15" s="1"/>
  <c r="N86" i="15" s="1"/>
  <c r="P74" i="15"/>
  <c r="Q74" i="15" s="1"/>
  <c r="E77" i="12"/>
  <c r="H77" i="12" s="1"/>
  <c r="I77" i="12" s="1"/>
  <c r="P77" i="12" s="1"/>
  <c r="Q77" i="12" s="1"/>
  <c r="M62" i="10" s="1"/>
  <c r="K67" i="17"/>
  <c r="M67" i="17" s="1"/>
  <c r="N79" i="17" s="1"/>
  <c r="O67" i="17"/>
  <c r="D68" i="17" s="1"/>
  <c r="L197" i="17"/>
  <c r="C198" i="17"/>
  <c r="F196" i="17"/>
  <c r="B319" i="17"/>
  <c r="R318" i="17"/>
  <c r="L195" i="15"/>
  <c r="C196" i="15"/>
  <c r="R316" i="15"/>
  <c r="B317" i="15"/>
  <c r="R317" i="14"/>
  <c r="B318" i="14"/>
  <c r="L196" i="14"/>
  <c r="C197" i="14"/>
  <c r="L197" i="12"/>
  <c r="C198" i="12"/>
  <c r="F196" i="12"/>
  <c r="B319" i="12"/>
  <c r="R318" i="12"/>
  <c r="E54" i="1"/>
  <c r="S185" i="1"/>
  <c r="T185" i="1"/>
  <c r="L189" i="1"/>
  <c r="C190" i="1"/>
  <c r="B187" i="1"/>
  <c r="R186" i="1"/>
  <c r="M53" i="1"/>
  <c r="S318" i="12" l="1"/>
  <c r="T318" i="12"/>
  <c r="S317" i="14"/>
  <c r="T317" i="14"/>
  <c r="S316" i="15"/>
  <c r="T316" i="15"/>
  <c r="S318" i="17"/>
  <c r="T318" i="17"/>
  <c r="H54" i="1"/>
  <c r="I54" i="1" s="1"/>
  <c r="O74" i="15"/>
  <c r="D75" i="15" s="1"/>
  <c r="E75" i="15" s="1"/>
  <c r="E68" i="17"/>
  <c r="G68" i="17"/>
  <c r="B320" i="17"/>
  <c r="R319" i="17"/>
  <c r="C199" i="17"/>
  <c r="L198" i="17"/>
  <c r="F197" i="17"/>
  <c r="P81" i="14"/>
  <c r="Q81" i="14" s="1"/>
  <c r="M66" i="13" s="1"/>
  <c r="J77" i="12"/>
  <c r="K77" i="12" s="1"/>
  <c r="M77" i="12" s="1"/>
  <c r="N89" i="12" s="1"/>
  <c r="C197" i="15"/>
  <c r="L196" i="15"/>
  <c r="B318" i="15"/>
  <c r="R317" i="15"/>
  <c r="O81" i="14"/>
  <c r="D82" i="14" s="1"/>
  <c r="E82" i="14" s="1"/>
  <c r="C198" i="14"/>
  <c r="L197" i="14"/>
  <c r="B319" i="14"/>
  <c r="R318" i="14"/>
  <c r="R319" i="12"/>
  <c r="B320" i="12"/>
  <c r="F197" i="12"/>
  <c r="C199" i="12"/>
  <c r="L198" i="12"/>
  <c r="S186" i="1"/>
  <c r="T186" i="1"/>
  <c r="L190" i="1"/>
  <c r="C191" i="1"/>
  <c r="B188" i="1"/>
  <c r="R187" i="1"/>
  <c r="S319" i="12" l="1"/>
  <c r="T319" i="12"/>
  <c r="S318" i="14"/>
  <c r="T318" i="14"/>
  <c r="S317" i="15"/>
  <c r="T317" i="15"/>
  <c r="S319" i="17"/>
  <c r="T319" i="17"/>
  <c r="G75" i="15"/>
  <c r="H75" i="15" s="1"/>
  <c r="I75" i="15" s="1"/>
  <c r="P75" i="15" s="1"/>
  <c r="Q75" i="15" s="1"/>
  <c r="H68" i="17"/>
  <c r="L199" i="17"/>
  <c r="C200" i="17"/>
  <c r="F198" i="17"/>
  <c r="R320" i="17"/>
  <c r="B321" i="17"/>
  <c r="O77" i="12"/>
  <c r="D78" i="12" s="1"/>
  <c r="G82" i="14"/>
  <c r="H82" i="14" s="1"/>
  <c r="I82" i="14" s="1"/>
  <c r="J82" i="14" s="1"/>
  <c r="K82" i="14" s="1"/>
  <c r="M82" i="14" s="1"/>
  <c r="N94" i="14" s="1"/>
  <c r="B319" i="15"/>
  <c r="R318" i="15"/>
  <c r="C198" i="15"/>
  <c r="L197" i="15"/>
  <c r="B320" i="14"/>
  <c r="R319" i="14"/>
  <c r="C199" i="14"/>
  <c r="L198" i="14"/>
  <c r="F198" i="12"/>
  <c r="C200" i="12"/>
  <c r="L199" i="12"/>
  <c r="B321" i="12"/>
  <c r="R320" i="12"/>
  <c r="S187" i="1"/>
  <c r="T187" i="1"/>
  <c r="L191" i="1"/>
  <c r="C192" i="1"/>
  <c r="B189" i="1"/>
  <c r="R188" i="1"/>
  <c r="J54" i="1"/>
  <c r="K54" i="1" s="1"/>
  <c r="S320" i="12" l="1"/>
  <c r="T320" i="12"/>
  <c r="S319" i="14"/>
  <c r="T319" i="14"/>
  <c r="S318" i="15"/>
  <c r="T318" i="15"/>
  <c r="S320" i="17"/>
  <c r="T320" i="17"/>
  <c r="J75" i="15"/>
  <c r="K75" i="15" s="1"/>
  <c r="M75" i="15" s="1"/>
  <c r="N87" i="15" s="1"/>
  <c r="P82" i="14"/>
  <c r="Q82" i="14" s="1"/>
  <c r="M67" i="13" s="1"/>
  <c r="C201" i="17"/>
  <c r="L200" i="17"/>
  <c r="R321" i="17"/>
  <c r="B322" i="17"/>
  <c r="F199" i="17"/>
  <c r="O82" i="14"/>
  <c r="D83" i="14" s="1"/>
  <c r="G83" i="14" s="1"/>
  <c r="E78" i="12"/>
  <c r="G78" i="12"/>
  <c r="L198" i="15"/>
  <c r="C199" i="15"/>
  <c r="R319" i="15"/>
  <c r="B320" i="15"/>
  <c r="C200" i="14"/>
  <c r="L199" i="14"/>
  <c r="B321" i="14"/>
  <c r="R320" i="14"/>
  <c r="R321" i="12"/>
  <c r="B322" i="12"/>
  <c r="C201" i="12"/>
  <c r="L200" i="12"/>
  <c r="F199" i="12"/>
  <c r="S188" i="1"/>
  <c r="T188" i="1"/>
  <c r="L192" i="1"/>
  <c r="C193" i="1"/>
  <c r="B190" i="1"/>
  <c r="R189" i="1"/>
  <c r="H78" i="12" l="1"/>
  <c r="I78" i="12" s="1"/>
  <c r="P78" i="12" s="1"/>
  <c r="Q78" i="12" s="1"/>
  <c r="M63" i="10" s="1"/>
  <c r="S321" i="12"/>
  <c r="T321" i="12"/>
  <c r="S320" i="14"/>
  <c r="T320" i="14"/>
  <c r="S319" i="15"/>
  <c r="T319" i="15"/>
  <c r="S321" i="17"/>
  <c r="T321" i="17"/>
  <c r="O75" i="15"/>
  <c r="D76" i="15" s="1"/>
  <c r="E76" i="15" s="1"/>
  <c r="P68" i="17"/>
  <c r="Q68" i="17" s="1"/>
  <c r="M53" i="18" s="1"/>
  <c r="J68" i="17"/>
  <c r="K68" i="17" s="1"/>
  <c r="M68" i="17" s="1"/>
  <c r="N80" i="17" s="1"/>
  <c r="E83" i="14"/>
  <c r="H83" i="14" s="1"/>
  <c r="I83" i="14" s="1"/>
  <c r="P83" i="14" s="1"/>
  <c r="Q83" i="14" s="1"/>
  <c r="M68" i="13" s="1"/>
  <c r="F200" i="17"/>
  <c r="R322" i="17"/>
  <c r="B323" i="17"/>
  <c r="L201" i="17"/>
  <c r="C202" i="17"/>
  <c r="J78" i="12"/>
  <c r="O78" i="12" s="1"/>
  <c r="D79" i="12" s="1"/>
  <c r="E79" i="12" s="1"/>
  <c r="R320" i="15"/>
  <c r="B321" i="15"/>
  <c r="L199" i="15"/>
  <c r="C200" i="15"/>
  <c r="R321" i="14"/>
  <c r="B322" i="14"/>
  <c r="C201" i="14"/>
  <c r="L200" i="14"/>
  <c r="L201" i="12"/>
  <c r="C202" i="12"/>
  <c r="B323" i="12"/>
  <c r="R322" i="12"/>
  <c r="F200" i="12"/>
  <c r="S189" i="1"/>
  <c r="T189" i="1"/>
  <c r="L193" i="1"/>
  <c r="C194" i="1"/>
  <c r="B191" i="1"/>
  <c r="R190" i="1"/>
  <c r="O54" i="1"/>
  <c r="D55" i="1" s="1"/>
  <c r="G55" i="1" s="1"/>
  <c r="G76" i="15" l="1"/>
  <c r="H76" i="15" s="1"/>
  <c r="S322" i="12"/>
  <c r="T322" i="12"/>
  <c r="S321" i="14"/>
  <c r="T321" i="14"/>
  <c r="S320" i="15"/>
  <c r="T320" i="15"/>
  <c r="S322" i="17"/>
  <c r="T322" i="17"/>
  <c r="O68" i="17"/>
  <c r="D69" i="17" s="1"/>
  <c r="E69" i="17" s="1"/>
  <c r="J83" i="14"/>
  <c r="K83" i="14" s="1"/>
  <c r="M83" i="14" s="1"/>
  <c r="N95" i="14" s="1"/>
  <c r="K78" i="12"/>
  <c r="M78" i="12" s="1"/>
  <c r="N90" i="12" s="1"/>
  <c r="I76" i="15"/>
  <c r="P76" i="15" s="1"/>
  <c r="Q76" i="15" s="1"/>
  <c r="B324" i="17"/>
  <c r="R323" i="17"/>
  <c r="C203" i="17"/>
  <c r="L202" i="17"/>
  <c r="F201" i="17"/>
  <c r="G79" i="12"/>
  <c r="H79" i="12" s="1"/>
  <c r="I79" i="12" s="1"/>
  <c r="P79" i="12" s="1"/>
  <c r="Q79" i="12" s="1"/>
  <c r="M64" i="10" s="1"/>
  <c r="B322" i="15"/>
  <c r="R321" i="15"/>
  <c r="C201" i="15"/>
  <c r="L200" i="15"/>
  <c r="L201" i="14"/>
  <c r="C202" i="14"/>
  <c r="R322" i="14"/>
  <c r="B323" i="14"/>
  <c r="R323" i="12"/>
  <c r="B324" i="12"/>
  <c r="F201" i="12"/>
  <c r="C203" i="12"/>
  <c r="L202" i="12"/>
  <c r="E55" i="1"/>
  <c r="S190" i="1"/>
  <c r="T190" i="1"/>
  <c r="L194" i="1"/>
  <c r="C195" i="1"/>
  <c r="B192" i="1"/>
  <c r="R191" i="1"/>
  <c r="M54" i="1"/>
  <c r="S323" i="12" l="1"/>
  <c r="T323" i="12"/>
  <c r="S322" i="14"/>
  <c r="T322" i="14"/>
  <c r="S321" i="15"/>
  <c r="T321" i="15"/>
  <c r="S323" i="17"/>
  <c r="T323" i="17"/>
  <c r="H55" i="1"/>
  <c r="I55" i="1" s="1"/>
  <c r="O83" i="14"/>
  <c r="D84" i="14" s="1"/>
  <c r="E84" i="14" s="1"/>
  <c r="G69" i="17"/>
  <c r="H69" i="17" s="1"/>
  <c r="J79" i="12"/>
  <c r="O79" i="12" s="1"/>
  <c r="D80" i="12" s="1"/>
  <c r="E80" i="12" s="1"/>
  <c r="J76" i="15"/>
  <c r="K76" i="15" s="1"/>
  <c r="M76" i="15" s="1"/>
  <c r="N88" i="15" s="1"/>
  <c r="F202" i="17"/>
  <c r="C204" i="17"/>
  <c r="L203" i="17"/>
  <c r="B325" i="17"/>
  <c r="R324" i="17"/>
  <c r="L201" i="15"/>
  <c r="C202" i="15"/>
  <c r="B323" i="15"/>
  <c r="R322" i="15"/>
  <c r="C203" i="14"/>
  <c r="L202" i="14"/>
  <c r="B324" i="14"/>
  <c r="R323" i="14"/>
  <c r="C204" i="12"/>
  <c r="L203" i="12"/>
  <c r="F202" i="12"/>
  <c r="B325" i="12"/>
  <c r="R324" i="12"/>
  <c r="S191" i="1"/>
  <c r="T191" i="1"/>
  <c r="L195" i="1"/>
  <c r="C196" i="1"/>
  <c r="B193" i="1"/>
  <c r="R192" i="1"/>
  <c r="G84" i="14" l="1"/>
  <c r="S324" i="12"/>
  <c r="T324" i="12"/>
  <c r="S323" i="14"/>
  <c r="T323" i="14"/>
  <c r="S322" i="15"/>
  <c r="T322" i="15"/>
  <c r="S324" i="17"/>
  <c r="T324" i="17"/>
  <c r="G80" i="12"/>
  <c r="H80" i="12" s="1"/>
  <c r="I80" i="12" s="1"/>
  <c r="J80" i="12" s="1"/>
  <c r="K79" i="12"/>
  <c r="M79" i="12" s="1"/>
  <c r="N91" i="12" s="1"/>
  <c r="J69" i="17"/>
  <c r="K69" i="17" s="1"/>
  <c r="M69" i="17" s="1"/>
  <c r="N81" i="17" s="1"/>
  <c r="O76" i="15"/>
  <c r="D77" i="15" s="1"/>
  <c r="B326" i="17"/>
  <c r="R325" i="17"/>
  <c r="L204" i="17"/>
  <c r="C205" i="17"/>
  <c r="F203" i="17"/>
  <c r="H84" i="14"/>
  <c r="I84" i="14" s="1"/>
  <c r="P84" i="14" s="1"/>
  <c r="Q84" i="14" s="1"/>
  <c r="M69" i="13" s="1"/>
  <c r="L202" i="15"/>
  <c r="C203" i="15"/>
  <c r="B324" i="15"/>
  <c r="R323" i="15"/>
  <c r="L203" i="14"/>
  <c r="C204" i="14"/>
  <c r="B325" i="14"/>
  <c r="R324" i="14"/>
  <c r="F203" i="12"/>
  <c r="B326" i="12"/>
  <c r="R325" i="12"/>
  <c r="C205" i="12"/>
  <c r="L204" i="12"/>
  <c r="S192" i="1"/>
  <c r="T192" i="1"/>
  <c r="L196" i="1"/>
  <c r="C197" i="1"/>
  <c r="B194" i="1"/>
  <c r="R193" i="1"/>
  <c r="J55" i="1"/>
  <c r="K55" i="1" s="1"/>
  <c r="S325" i="12" l="1"/>
  <c r="T325" i="12"/>
  <c r="S324" i="14"/>
  <c r="T324" i="14"/>
  <c r="S323" i="15"/>
  <c r="T323" i="15"/>
  <c r="S325" i="17"/>
  <c r="T325" i="17"/>
  <c r="P69" i="17"/>
  <c r="Q69" i="17" s="1"/>
  <c r="M54" i="18" s="1"/>
  <c r="O69" i="17"/>
  <c r="D70" i="17" s="1"/>
  <c r="E77" i="15"/>
  <c r="G77" i="15"/>
  <c r="L205" i="17"/>
  <c r="C206" i="17"/>
  <c r="R326" i="17"/>
  <c r="B327" i="17"/>
  <c r="F204" i="17"/>
  <c r="C204" i="15"/>
  <c r="L203" i="15"/>
  <c r="B325" i="15"/>
  <c r="R324" i="15"/>
  <c r="J84" i="14"/>
  <c r="O84" i="14" s="1"/>
  <c r="D85" i="14" s="1"/>
  <c r="R325" i="14"/>
  <c r="B326" i="14"/>
  <c r="L204" i="14"/>
  <c r="C205" i="14"/>
  <c r="B327" i="12"/>
  <c r="R326" i="12"/>
  <c r="L205" i="12"/>
  <c r="C206" i="12"/>
  <c r="F204" i="12"/>
  <c r="K80" i="12"/>
  <c r="M80" i="12" s="1"/>
  <c r="N92" i="12" s="1"/>
  <c r="O80" i="12"/>
  <c r="D81" i="12" s="1"/>
  <c r="P80" i="12"/>
  <c r="Q80" i="12" s="1"/>
  <c r="M65" i="10" s="1"/>
  <c r="S193" i="1"/>
  <c r="T193" i="1"/>
  <c r="L197" i="1"/>
  <c r="C198" i="1"/>
  <c r="B195" i="1"/>
  <c r="R194" i="1"/>
  <c r="S326" i="12" l="1"/>
  <c r="T326" i="12"/>
  <c r="S325" i="14"/>
  <c r="T325" i="14"/>
  <c r="S324" i="15"/>
  <c r="T324" i="15"/>
  <c r="S326" i="17"/>
  <c r="T326" i="17"/>
  <c r="E70" i="17"/>
  <c r="G70" i="17"/>
  <c r="H70" i="17" s="1"/>
  <c r="H77" i="15"/>
  <c r="L206" i="17"/>
  <c r="C207" i="17"/>
  <c r="B328" i="17"/>
  <c r="R327" i="17"/>
  <c r="F205" i="17"/>
  <c r="B326" i="15"/>
  <c r="R325" i="15"/>
  <c r="L204" i="15"/>
  <c r="C205" i="15"/>
  <c r="K84" i="14"/>
  <c r="M84" i="14" s="1"/>
  <c r="N96" i="14" s="1"/>
  <c r="E85" i="14"/>
  <c r="G85" i="14"/>
  <c r="H85" i="14" s="1"/>
  <c r="I85" i="14" s="1"/>
  <c r="J85" i="14" s="1"/>
  <c r="K85" i="14" s="1"/>
  <c r="M85" i="14" s="1"/>
  <c r="N97" i="14" s="1"/>
  <c r="C206" i="14"/>
  <c r="L205" i="14"/>
  <c r="B327" i="14"/>
  <c r="R326" i="14"/>
  <c r="F205" i="12"/>
  <c r="C207" i="12"/>
  <c r="L206" i="12"/>
  <c r="E81" i="12"/>
  <c r="G81" i="12"/>
  <c r="B328" i="12"/>
  <c r="R327" i="12"/>
  <c r="S194" i="1"/>
  <c r="T194" i="1"/>
  <c r="L198" i="1"/>
  <c r="C199" i="1"/>
  <c r="B196" i="1"/>
  <c r="R195" i="1"/>
  <c r="O55" i="1"/>
  <c r="D56" i="1" s="1"/>
  <c r="G56" i="1" s="1"/>
  <c r="P70" i="17" l="1"/>
  <c r="Q70" i="17" s="1"/>
  <c r="M55" i="18" s="1"/>
  <c r="S327" i="12"/>
  <c r="T327" i="12"/>
  <c r="S326" i="14"/>
  <c r="T326" i="14"/>
  <c r="S325" i="15"/>
  <c r="T325" i="15"/>
  <c r="S327" i="17"/>
  <c r="T327" i="17"/>
  <c r="J70" i="17"/>
  <c r="I77" i="15"/>
  <c r="J77" i="15" s="1"/>
  <c r="K77" i="15" s="1"/>
  <c r="M77" i="15" s="1"/>
  <c r="N89" i="15" s="1"/>
  <c r="R328" i="17"/>
  <c r="B329" i="17"/>
  <c r="C208" i="17"/>
  <c r="L207" i="17"/>
  <c r="F206" i="17"/>
  <c r="L205" i="15"/>
  <c r="C206" i="15"/>
  <c r="R326" i="15"/>
  <c r="B327" i="15"/>
  <c r="P85" i="14"/>
  <c r="Q85" i="14" s="1"/>
  <c r="M70" i="13" s="1"/>
  <c r="O85" i="14"/>
  <c r="D86" i="14" s="1"/>
  <c r="B328" i="14"/>
  <c r="R327" i="14"/>
  <c r="C207" i="14"/>
  <c r="L206" i="14"/>
  <c r="H81" i="12"/>
  <c r="I81" i="12" s="1"/>
  <c r="C208" i="12"/>
  <c r="L207" i="12"/>
  <c r="B329" i="12"/>
  <c r="R328" i="12"/>
  <c r="F206" i="12"/>
  <c r="E56" i="1"/>
  <c r="S195" i="1"/>
  <c r="T195" i="1"/>
  <c r="L199" i="1"/>
  <c r="C200" i="1"/>
  <c r="B197" i="1"/>
  <c r="R196" i="1"/>
  <c r="M55" i="1"/>
  <c r="H56" i="1" l="1"/>
  <c r="I56" i="1" s="1"/>
  <c r="S328" i="12"/>
  <c r="T328" i="12"/>
  <c r="S327" i="14"/>
  <c r="T327" i="14"/>
  <c r="S326" i="15"/>
  <c r="T326" i="15"/>
  <c r="S328" i="17"/>
  <c r="T328" i="17"/>
  <c r="O77" i="15"/>
  <c r="D78" i="15" s="1"/>
  <c r="E78" i="15" s="1"/>
  <c r="P77" i="15"/>
  <c r="Q77" i="15" s="1"/>
  <c r="O70" i="17"/>
  <c r="D71" i="17" s="1"/>
  <c r="K70" i="17"/>
  <c r="M70" i="17" s="1"/>
  <c r="N82" i="17" s="1"/>
  <c r="L208" i="17"/>
  <c r="C209" i="17"/>
  <c r="B330" i="17"/>
  <c r="R329" i="17"/>
  <c r="F207" i="17"/>
  <c r="B328" i="15"/>
  <c r="R327" i="15"/>
  <c r="L206" i="15"/>
  <c r="C207" i="15"/>
  <c r="G86" i="14"/>
  <c r="E86" i="14"/>
  <c r="L207" i="14"/>
  <c r="C208" i="14"/>
  <c r="B329" i="14"/>
  <c r="R328" i="14"/>
  <c r="J81" i="12"/>
  <c r="O81" i="12" s="1"/>
  <c r="D82" i="12" s="1"/>
  <c r="E82" i="12" s="1"/>
  <c r="P81" i="12"/>
  <c r="Q81" i="12" s="1"/>
  <c r="M66" i="10" s="1"/>
  <c r="F207" i="12"/>
  <c r="B330" i="12"/>
  <c r="R329" i="12"/>
  <c r="C209" i="12"/>
  <c r="L208" i="12"/>
  <c r="S196" i="1"/>
  <c r="T196" i="1"/>
  <c r="L200" i="1"/>
  <c r="C201" i="1"/>
  <c r="B198" i="1"/>
  <c r="R197" i="1"/>
  <c r="S329" i="12" l="1"/>
  <c r="T329" i="12"/>
  <c r="S328" i="14"/>
  <c r="T328" i="14"/>
  <c r="S327" i="15"/>
  <c r="T327" i="15"/>
  <c r="S329" i="17"/>
  <c r="T329" i="17"/>
  <c r="G78" i="15"/>
  <c r="E71" i="17"/>
  <c r="G71" i="17"/>
  <c r="H71" i="17" s="1"/>
  <c r="H78" i="15"/>
  <c r="F208" i="17"/>
  <c r="R330" i="17"/>
  <c r="B331" i="17"/>
  <c r="L209" i="17"/>
  <c r="C210" i="17"/>
  <c r="L207" i="15"/>
  <c r="C208" i="15"/>
  <c r="R328" i="15"/>
  <c r="B329" i="15"/>
  <c r="H86" i="14"/>
  <c r="R329" i="14"/>
  <c r="B330" i="14"/>
  <c r="L208" i="14"/>
  <c r="C209" i="14"/>
  <c r="G82" i="12"/>
  <c r="H82" i="12" s="1"/>
  <c r="I82" i="12" s="1"/>
  <c r="K81" i="12"/>
  <c r="M81" i="12" s="1"/>
  <c r="N93" i="12" s="1"/>
  <c r="R330" i="12"/>
  <c r="B331" i="12"/>
  <c r="F208" i="12"/>
  <c r="L209" i="12"/>
  <c r="C210" i="12"/>
  <c r="S197" i="1"/>
  <c r="T197" i="1"/>
  <c r="L201" i="1"/>
  <c r="C202" i="1"/>
  <c r="B199" i="1"/>
  <c r="R198" i="1"/>
  <c r="J56" i="1"/>
  <c r="K56" i="1" s="1"/>
  <c r="S330" i="12" l="1"/>
  <c r="T330" i="12"/>
  <c r="S329" i="14"/>
  <c r="T329" i="14"/>
  <c r="S328" i="15"/>
  <c r="T328" i="15"/>
  <c r="S330" i="17"/>
  <c r="T330" i="17"/>
  <c r="I78" i="15"/>
  <c r="P78" i="15" s="1"/>
  <c r="Q78" i="15" s="1"/>
  <c r="P71" i="17"/>
  <c r="Q71" i="17" s="1"/>
  <c r="M56" i="18" s="1"/>
  <c r="J71" i="17"/>
  <c r="K71" i="17" s="1"/>
  <c r="M71" i="17" s="1"/>
  <c r="N83" i="17" s="1"/>
  <c r="B332" i="17"/>
  <c r="R331" i="17"/>
  <c r="C211" i="17"/>
  <c r="L210" i="17"/>
  <c r="F209" i="17"/>
  <c r="R329" i="15"/>
  <c r="B330" i="15"/>
  <c r="C209" i="15"/>
  <c r="L208" i="15"/>
  <c r="I86" i="14"/>
  <c r="J86" i="14" s="1"/>
  <c r="K86" i="14" s="1"/>
  <c r="M86" i="14" s="1"/>
  <c r="N98" i="14" s="1"/>
  <c r="B331" i="14"/>
  <c r="R330" i="14"/>
  <c r="C210" i="14"/>
  <c r="L209" i="14"/>
  <c r="P82" i="12"/>
  <c r="Q82" i="12" s="1"/>
  <c r="M67" i="10" s="1"/>
  <c r="J82" i="12"/>
  <c r="F209" i="12"/>
  <c r="R331" i="12"/>
  <c r="B332" i="12"/>
  <c r="C211" i="12"/>
  <c r="L210" i="12"/>
  <c r="S198" i="1"/>
  <c r="T198" i="1"/>
  <c r="L202" i="1"/>
  <c r="C203" i="1"/>
  <c r="B200" i="1"/>
  <c r="R199" i="1"/>
  <c r="S331" i="12" l="1"/>
  <c r="T331" i="12"/>
  <c r="S330" i="14"/>
  <c r="T330" i="14"/>
  <c r="S329" i="15"/>
  <c r="T329" i="15"/>
  <c r="S331" i="17"/>
  <c r="T331" i="17"/>
  <c r="J78" i="15"/>
  <c r="K78" i="15" s="1"/>
  <c r="M78" i="15" s="1"/>
  <c r="N90" i="15" s="1"/>
  <c r="O71" i="17"/>
  <c r="D72" i="17" s="1"/>
  <c r="C212" i="17"/>
  <c r="L211" i="17"/>
  <c r="F210" i="17"/>
  <c r="B333" i="17"/>
  <c r="R332" i="17"/>
  <c r="C210" i="15"/>
  <c r="L209" i="15"/>
  <c r="B331" i="15"/>
  <c r="R330" i="15"/>
  <c r="P86" i="14"/>
  <c r="Q86" i="14" s="1"/>
  <c r="M71" i="13" s="1"/>
  <c r="O86" i="14"/>
  <c r="D87" i="14" s="1"/>
  <c r="C211" i="14"/>
  <c r="L210" i="14"/>
  <c r="B332" i="14"/>
  <c r="R331" i="14"/>
  <c r="B333" i="12"/>
  <c r="R332" i="12"/>
  <c r="K82" i="12"/>
  <c r="M82" i="12" s="1"/>
  <c r="N94" i="12" s="1"/>
  <c r="F210" i="12"/>
  <c r="C212" i="12"/>
  <c r="L211" i="12"/>
  <c r="O82" i="12"/>
  <c r="D83" i="12" s="1"/>
  <c r="S199" i="1"/>
  <c r="T199" i="1"/>
  <c r="L203" i="1"/>
  <c r="C204" i="1"/>
  <c r="B201" i="1"/>
  <c r="R200" i="1"/>
  <c r="O56" i="1"/>
  <c r="D57" i="1" s="1"/>
  <c r="G57" i="1" s="1"/>
  <c r="S332" i="12" l="1"/>
  <c r="T332" i="12"/>
  <c r="S331" i="14"/>
  <c r="T331" i="14"/>
  <c r="S330" i="15"/>
  <c r="T330" i="15"/>
  <c r="S332" i="17"/>
  <c r="T332" i="17"/>
  <c r="E72" i="17"/>
  <c r="G72" i="17"/>
  <c r="O78" i="15"/>
  <c r="D79" i="15" s="1"/>
  <c r="C213" i="17"/>
  <c r="L212" i="17"/>
  <c r="R333" i="17"/>
  <c r="B334" i="17"/>
  <c r="F211" i="17"/>
  <c r="C211" i="15"/>
  <c r="L210" i="15"/>
  <c r="B332" i="15"/>
  <c r="R331" i="15"/>
  <c r="E87" i="14"/>
  <c r="G87" i="14"/>
  <c r="R332" i="14"/>
  <c r="B333" i="14"/>
  <c r="C212" i="14"/>
  <c r="L211" i="14"/>
  <c r="F211" i="12"/>
  <c r="L212" i="12"/>
  <c r="C213" i="12"/>
  <c r="E83" i="12"/>
  <c r="G83" i="12"/>
  <c r="R333" i="12"/>
  <c r="B334" i="12"/>
  <c r="E57" i="1"/>
  <c r="S200" i="1"/>
  <c r="T200" i="1"/>
  <c r="L204" i="1"/>
  <c r="C205" i="1"/>
  <c r="B202" i="1"/>
  <c r="R201" i="1"/>
  <c r="M56" i="1"/>
  <c r="S333" i="12" l="1"/>
  <c r="T333" i="12"/>
  <c r="S332" i="14"/>
  <c r="T332" i="14"/>
  <c r="S331" i="15"/>
  <c r="T331" i="15"/>
  <c r="S333" i="17"/>
  <c r="T333" i="17"/>
  <c r="H57" i="1"/>
  <c r="I57" i="1" s="1"/>
  <c r="H72" i="17"/>
  <c r="J72" i="17" s="1"/>
  <c r="K72" i="17" s="1"/>
  <c r="M72" i="17" s="1"/>
  <c r="N84" i="17" s="1"/>
  <c r="H87" i="14"/>
  <c r="I87" i="14" s="1"/>
  <c r="J87" i="14" s="1"/>
  <c r="H83" i="12"/>
  <c r="I83" i="12" s="1"/>
  <c r="P83" i="12" s="1"/>
  <c r="Q83" i="12" s="1"/>
  <c r="M68" i="10" s="1"/>
  <c r="G79" i="15"/>
  <c r="E79" i="15"/>
  <c r="B335" i="17"/>
  <c r="R334" i="17"/>
  <c r="C214" i="17"/>
  <c r="L213" i="17"/>
  <c r="F212" i="17"/>
  <c r="B333" i="15"/>
  <c r="R332" i="15"/>
  <c r="L211" i="15"/>
  <c r="C212" i="15"/>
  <c r="L212" i="14"/>
  <c r="C213" i="14"/>
  <c r="B334" i="14"/>
  <c r="R333" i="14"/>
  <c r="L213" i="12"/>
  <c r="C214" i="12"/>
  <c r="B335" i="12"/>
  <c r="R334" i="12"/>
  <c r="F212" i="12"/>
  <c r="S201" i="1"/>
  <c r="T201" i="1"/>
  <c r="L205" i="1"/>
  <c r="C206" i="1"/>
  <c r="B203" i="1"/>
  <c r="R202" i="1"/>
  <c r="S334" i="12" l="1"/>
  <c r="T334" i="12"/>
  <c r="S333" i="14"/>
  <c r="T333" i="14"/>
  <c r="S332" i="15"/>
  <c r="T332" i="15"/>
  <c r="S334" i="17"/>
  <c r="T334" i="17"/>
  <c r="P72" i="17"/>
  <c r="Q72" i="17" s="1"/>
  <c r="M57" i="18" s="1"/>
  <c r="O72" i="17"/>
  <c r="D73" i="17" s="1"/>
  <c r="H79" i="15"/>
  <c r="I79" i="15" s="1"/>
  <c r="J79" i="15" s="1"/>
  <c r="K79" i="15" s="1"/>
  <c r="M79" i="15" s="1"/>
  <c r="N91" i="15" s="1"/>
  <c r="F213" i="17"/>
  <c r="L214" i="17"/>
  <c r="C215" i="17"/>
  <c r="R335" i="17"/>
  <c r="B336" i="17"/>
  <c r="R333" i="15"/>
  <c r="B334" i="15"/>
  <c r="L212" i="15"/>
  <c r="C213" i="15"/>
  <c r="P87" i="14"/>
  <c r="Q87" i="14" s="1"/>
  <c r="M72" i="13" s="1"/>
  <c r="O87" i="14"/>
  <c r="D88" i="14" s="1"/>
  <c r="K87" i="14"/>
  <c r="M87" i="14" s="1"/>
  <c r="N99" i="14" s="1"/>
  <c r="B335" i="14"/>
  <c r="R334" i="14"/>
  <c r="L213" i="14"/>
  <c r="C214" i="14"/>
  <c r="J83" i="12"/>
  <c r="O83" i="12" s="1"/>
  <c r="D84" i="12" s="1"/>
  <c r="F213" i="12"/>
  <c r="R335" i="12"/>
  <c r="B336" i="12"/>
  <c r="L214" i="12"/>
  <c r="C215" i="12"/>
  <c r="J57" i="1"/>
  <c r="K57" i="1" s="1"/>
  <c r="S202" i="1"/>
  <c r="T202" i="1"/>
  <c r="L206" i="1"/>
  <c r="C207" i="1"/>
  <c r="B204" i="1"/>
  <c r="R203" i="1"/>
  <c r="S335" i="12" l="1"/>
  <c r="T335" i="12"/>
  <c r="S334" i="14"/>
  <c r="T334" i="14"/>
  <c r="S333" i="15"/>
  <c r="T333" i="15"/>
  <c r="S335" i="17"/>
  <c r="T335" i="17"/>
  <c r="E73" i="17"/>
  <c r="G73" i="17"/>
  <c r="H73" i="17" s="1"/>
  <c r="P79" i="15"/>
  <c r="Q79" i="15" s="1"/>
  <c r="O79" i="15"/>
  <c r="D80" i="15" s="1"/>
  <c r="E80" i="15" s="1"/>
  <c r="F214" i="17"/>
  <c r="R336" i="17"/>
  <c r="B337" i="17"/>
  <c r="L215" i="17"/>
  <c r="C216" i="17"/>
  <c r="R334" i="15"/>
  <c r="B335" i="15"/>
  <c r="L213" i="15"/>
  <c r="C214" i="15"/>
  <c r="G88" i="14"/>
  <c r="E88" i="14"/>
  <c r="R335" i="14"/>
  <c r="B336" i="14"/>
  <c r="C215" i="14"/>
  <c r="L214" i="14"/>
  <c r="K83" i="12"/>
  <c r="M83" i="12" s="1"/>
  <c r="N95" i="12" s="1"/>
  <c r="E84" i="12"/>
  <c r="G84" i="12"/>
  <c r="L215" i="12"/>
  <c r="C216" i="12"/>
  <c r="B337" i="12"/>
  <c r="R336" i="12"/>
  <c r="F214" i="12"/>
  <c r="S203" i="1"/>
  <c r="T203" i="1"/>
  <c r="L207" i="1"/>
  <c r="C208" i="1"/>
  <c r="B205" i="1"/>
  <c r="R204" i="1"/>
  <c r="S336" i="12" l="1"/>
  <c r="T336" i="12"/>
  <c r="S335" i="14"/>
  <c r="T335" i="14"/>
  <c r="S334" i="15"/>
  <c r="T334" i="15"/>
  <c r="S336" i="17"/>
  <c r="T336" i="17"/>
  <c r="J73" i="17"/>
  <c r="K73" i="17" s="1"/>
  <c r="M73" i="17" s="1"/>
  <c r="N85" i="17" s="1"/>
  <c r="G80" i="15"/>
  <c r="H80" i="15" s="1"/>
  <c r="I80" i="15" s="1"/>
  <c r="J80" i="15" s="1"/>
  <c r="K80" i="15" s="1"/>
  <c r="M80" i="15" s="1"/>
  <c r="N92" i="15" s="1"/>
  <c r="R337" i="17"/>
  <c r="B338" i="17"/>
  <c r="L216" i="17"/>
  <c r="C217" i="17"/>
  <c r="F215" i="17"/>
  <c r="L214" i="15"/>
  <c r="C215" i="15"/>
  <c r="R335" i="15"/>
  <c r="B336" i="15"/>
  <c r="H88" i="14"/>
  <c r="I88" i="14" s="1"/>
  <c r="J88" i="14" s="1"/>
  <c r="K88" i="14" s="1"/>
  <c r="M88" i="14" s="1"/>
  <c r="N100" i="14" s="1"/>
  <c r="B337" i="14"/>
  <c r="R336" i="14"/>
  <c r="L215" i="14"/>
  <c r="C216" i="14"/>
  <c r="H84" i="12"/>
  <c r="I84" i="12" s="1"/>
  <c r="P84" i="12" s="1"/>
  <c r="Q84" i="12" s="1"/>
  <c r="M69" i="10" s="1"/>
  <c r="R337" i="12"/>
  <c r="B338" i="12"/>
  <c r="C217" i="12"/>
  <c r="L216" i="12"/>
  <c r="F215" i="12"/>
  <c r="S204" i="1"/>
  <c r="T204" i="1"/>
  <c r="L208" i="1"/>
  <c r="C209" i="1"/>
  <c r="B206" i="1"/>
  <c r="R205" i="1"/>
  <c r="O57" i="1"/>
  <c r="D58" i="1" s="1"/>
  <c r="G58" i="1" s="1"/>
  <c r="S337" i="12" l="1"/>
  <c r="T337" i="12"/>
  <c r="S336" i="14"/>
  <c r="T336" i="14"/>
  <c r="S335" i="15"/>
  <c r="T335" i="15"/>
  <c r="S337" i="17"/>
  <c r="T337" i="17"/>
  <c r="O73" i="17"/>
  <c r="D74" i="17" s="1"/>
  <c r="G74" i="17" s="1"/>
  <c r="P73" i="17"/>
  <c r="Q73" i="17" s="1"/>
  <c r="M58" i="18" s="1"/>
  <c r="P80" i="15"/>
  <c r="Q80" i="15" s="1"/>
  <c r="O80" i="15"/>
  <c r="D81" i="15" s="1"/>
  <c r="F216" i="17"/>
  <c r="L217" i="17"/>
  <c r="C218" i="17"/>
  <c r="B339" i="17"/>
  <c r="R338" i="17"/>
  <c r="J84" i="12"/>
  <c r="K84" i="12" s="1"/>
  <c r="M84" i="12" s="1"/>
  <c r="N96" i="12" s="1"/>
  <c r="L215" i="15"/>
  <c r="C216" i="15"/>
  <c r="B337" i="15"/>
  <c r="R336" i="15"/>
  <c r="P88" i="14"/>
  <c r="Q88" i="14" s="1"/>
  <c r="M73" i="13" s="1"/>
  <c r="O88" i="14"/>
  <c r="D89" i="14" s="1"/>
  <c r="E89" i="14" s="1"/>
  <c r="L216" i="14"/>
  <c r="C217" i="14"/>
  <c r="R337" i="14"/>
  <c r="B338" i="14"/>
  <c r="F216" i="12"/>
  <c r="C218" i="12"/>
  <c r="L217" i="12"/>
  <c r="R338" i="12"/>
  <c r="B339" i="12"/>
  <c r="E58" i="1"/>
  <c r="S205" i="1"/>
  <c r="T205" i="1"/>
  <c r="L209" i="1"/>
  <c r="C210" i="1"/>
  <c r="B207" i="1"/>
  <c r="R206" i="1"/>
  <c r="M57" i="1"/>
  <c r="S338" i="12" l="1"/>
  <c r="T338" i="12"/>
  <c r="S337" i="14"/>
  <c r="T337" i="14"/>
  <c r="S336" i="15"/>
  <c r="T336" i="15"/>
  <c r="S338" i="17"/>
  <c r="T338" i="17"/>
  <c r="H58" i="1"/>
  <c r="I58" i="1" s="1"/>
  <c r="E74" i="17"/>
  <c r="H74" i="17" s="1"/>
  <c r="O84" i="12"/>
  <c r="D85" i="12" s="1"/>
  <c r="E85" i="12" s="1"/>
  <c r="G81" i="15"/>
  <c r="E81" i="15"/>
  <c r="C219" i="17"/>
  <c r="L218" i="17"/>
  <c r="B340" i="17"/>
  <c r="R339" i="17"/>
  <c r="F217" i="17"/>
  <c r="L216" i="15"/>
  <c r="C217" i="15"/>
  <c r="B338" i="15"/>
  <c r="R337" i="15"/>
  <c r="G89" i="14"/>
  <c r="H89" i="14" s="1"/>
  <c r="I89" i="14" s="1"/>
  <c r="J89" i="14" s="1"/>
  <c r="O89" i="14" s="1"/>
  <c r="D90" i="14" s="1"/>
  <c r="B339" i="14"/>
  <c r="R338" i="14"/>
  <c r="C218" i="14"/>
  <c r="L217" i="14"/>
  <c r="B340" i="12"/>
  <c r="R339" i="12"/>
  <c r="L218" i="12"/>
  <c r="C219" i="12"/>
  <c r="F217" i="12"/>
  <c r="S206" i="1"/>
  <c r="T206" i="1"/>
  <c r="L210" i="1"/>
  <c r="C211" i="1"/>
  <c r="B208" i="1"/>
  <c r="R207" i="1"/>
  <c r="G85" i="12" l="1"/>
  <c r="H85" i="12" s="1"/>
  <c r="I85" i="12" s="1"/>
  <c r="J85" i="12" s="1"/>
  <c r="S339" i="12"/>
  <c r="T339" i="12"/>
  <c r="S338" i="14"/>
  <c r="T338" i="14"/>
  <c r="S337" i="15"/>
  <c r="T337" i="15"/>
  <c r="S339" i="17"/>
  <c r="T339" i="17"/>
  <c r="J74" i="17"/>
  <c r="K74" i="17" s="1"/>
  <c r="M74" i="17" s="1"/>
  <c r="N86" i="17" s="1"/>
  <c r="H81" i="15"/>
  <c r="F218" i="17"/>
  <c r="B341" i="17"/>
  <c r="R340" i="17"/>
  <c r="C220" i="17"/>
  <c r="L219" i="17"/>
  <c r="B339" i="15"/>
  <c r="R338" i="15"/>
  <c r="C218" i="15"/>
  <c r="L217" i="15"/>
  <c r="P89" i="14"/>
  <c r="Q89" i="14" s="1"/>
  <c r="M74" i="13" s="1"/>
  <c r="G90" i="14"/>
  <c r="E90" i="14"/>
  <c r="K89" i="14"/>
  <c r="M89" i="14" s="1"/>
  <c r="N101" i="14" s="1"/>
  <c r="L218" i="14"/>
  <c r="C219" i="14"/>
  <c r="R339" i="14"/>
  <c r="B340" i="14"/>
  <c r="B341" i="12"/>
  <c r="R340" i="12"/>
  <c r="L219" i="12"/>
  <c r="C220" i="12"/>
  <c r="F218" i="12"/>
  <c r="S207" i="1"/>
  <c r="T207" i="1"/>
  <c r="L211" i="1"/>
  <c r="C212" i="1"/>
  <c r="B209" i="1"/>
  <c r="R208" i="1"/>
  <c r="J58" i="1"/>
  <c r="K58" i="1" s="1"/>
  <c r="S340" i="12" l="1"/>
  <c r="T340" i="12"/>
  <c r="S339" i="14"/>
  <c r="T339" i="14"/>
  <c r="S338" i="15"/>
  <c r="T338" i="15"/>
  <c r="S340" i="17"/>
  <c r="T340" i="17"/>
  <c r="O74" i="17"/>
  <c r="D75" i="17" s="1"/>
  <c r="P74" i="17"/>
  <c r="Q74" i="17" s="1"/>
  <c r="M59" i="18" s="1"/>
  <c r="I81" i="15"/>
  <c r="R341" i="17"/>
  <c r="B342" i="17"/>
  <c r="L220" i="17"/>
  <c r="C221" i="17"/>
  <c r="F219" i="17"/>
  <c r="L218" i="15"/>
  <c r="C219" i="15"/>
  <c r="B340" i="15"/>
  <c r="R339" i="15"/>
  <c r="H90" i="14"/>
  <c r="I90" i="14" s="1"/>
  <c r="J90" i="14" s="1"/>
  <c r="K90" i="14" s="1"/>
  <c r="M90" i="14" s="1"/>
  <c r="N102" i="14" s="1"/>
  <c r="B341" i="14"/>
  <c r="R340" i="14"/>
  <c r="C220" i="14"/>
  <c r="L219" i="14"/>
  <c r="L220" i="12"/>
  <c r="C221" i="12"/>
  <c r="K85" i="12"/>
  <c r="M85" i="12" s="1"/>
  <c r="N97" i="12" s="1"/>
  <c r="F219" i="12"/>
  <c r="O85" i="12"/>
  <c r="D86" i="12" s="1"/>
  <c r="P85" i="12"/>
  <c r="Q85" i="12" s="1"/>
  <c r="M70" i="10" s="1"/>
  <c r="B342" i="12"/>
  <c r="R341" i="12"/>
  <c r="S208" i="1"/>
  <c r="T208" i="1"/>
  <c r="L212" i="1"/>
  <c r="C213" i="1"/>
  <c r="B210" i="1"/>
  <c r="R209" i="1"/>
  <c r="S341" i="12" l="1"/>
  <c r="T341" i="12"/>
  <c r="S340" i="14"/>
  <c r="T340" i="14"/>
  <c r="S339" i="15"/>
  <c r="T339" i="15"/>
  <c r="S341" i="17"/>
  <c r="T341" i="17"/>
  <c r="E75" i="17"/>
  <c r="G75" i="17"/>
  <c r="H75" i="17" s="1"/>
  <c r="I75" i="17" s="1"/>
  <c r="J75" i="17" s="1"/>
  <c r="K75" i="17" s="1"/>
  <c r="M75" i="17" s="1"/>
  <c r="N87" i="17" s="1"/>
  <c r="P81" i="15"/>
  <c r="Q81" i="15" s="1"/>
  <c r="J81" i="15"/>
  <c r="K81" i="15" s="1"/>
  <c r="M81" i="15" s="1"/>
  <c r="N93" i="15" s="1"/>
  <c r="L221" i="17"/>
  <c r="C222" i="17"/>
  <c r="B343" i="17"/>
  <c r="R342" i="17"/>
  <c r="F220" i="17"/>
  <c r="B341" i="15"/>
  <c r="R340" i="15"/>
  <c r="C220" i="15"/>
  <c r="L219" i="15"/>
  <c r="P90" i="14"/>
  <c r="Q90" i="14" s="1"/>
  <c r="M75" i="13" s="1"/>
  <c r="O90" i="14"/>
  <c r="D91" i="14" s="1"/>
  <c r="G91" i="14" s="1"/>
  <c r="H91" i="14" s="1"/>
  <c r="I91" i="14" s="1"/>
  <c r="L220" i="14"/>
  <c r="C221" i="14"/>
  <c r="B342" i="14"/>
  <c r="R341" i="14"/>
  <c r="R342" i="12"/>
  <c r="B343" i="12"/>
  <c r="F220" i="12"/>
  <c r="L221" i="12"/>
  <c r="C222" i="12"/>
  <c r="E86" i="12"/>
  <c r="G86" i="12"/>
  <c r="S209" i="1"/>
  <c r="T209" i="1"/>
  <c r="L213" i="1"/>
  <c r="C214" i="1"/>
  <c r="B211" i="1"/>
  <c r="R210" i="1"/>
  <c r="O58" i="1"/>
  <c r="D59" i="1" s="1"/>
  <c r="G59" i="1" s="1"/>
  <c r="S342" i="12" l="1"/>
  <c r="T342" i="12"/>
  <c r="S341" i="14"/>
  <c r="T341" i="14"/>
  <c r="S340" i="15"/>
  <c r="T340" i="15"/>
  <c r="S342" i="17"/>
  <c r="T342" i="17"/>
  <c r="O75" i="17"/>
  <c r="D76" i="17" s="1"/>
  <c r="E76" i="17" s="1"/>
  <c r="P75" i="17"/>
  <c r="Q75" i="17" s="1"/>
  <c r="M60" i="18" s="1"/>
  <c r="O81" i="15"/>
  <c r="D82" i="15" s="1"/>
  <c r="E82" i="15" s="1"/>
  <c r="C223" i="17"/>
  <c r="L222" i="17"/>
  <c r="B344" i="17"/>
  <c r="R343" i="17"/>
  <c r="F221" i="17"/>
  <c r="B342" i="15"/>
  <c r="R341" i="15"/>
  <c r="C221" i="15"/>
  <c r="L220" i="15"/>
  <c r="E91" i="14"/>
  <c r="P91" i="14" s="1"/>
  <c r="Q91" i="14" s="1"/>
  <c r="M76" i="13" s="1"/>
  <c r="J91" i="14"/>
  <c r="L221" i="14"/>
  <c r="C222" i="14"/>
  <c r="R342" i="14"/>
  <c r="B343" i="14"/>
  <c r="H86" i="12"/>
  <c r="I86" i="12" s="1"/>
  <c r="L222" i="12"/>
  <c r="C223" i="12"/>
  <c r="F221" i="12"/>
  <c r="R343" i="12"/>
  <c r="B344" i="12"/>
  <c r="E59" i="1"/>
  <c r="S210" i="1"/>
  <c r="T210" i="1"/>
  <c r="L214" i="1"/>
  <c r="C215" i="1"/>
  <c r="B212" i="1"/>
  <c r="R211" i="1"/>
  <c r="M58" i="1"/>
  <c r="G76" i="17" l="1"/>
  <c r="S343" i="12"/>
  <c r="T343" i="12"/>
  <c r="S342" i="14"/>
  <c r="T342" i="14"/>
  <c r="S341" i="15"/>
  <c r="T341" i="15"/>
  <c r="S343" i="17"/>
  <c r="T343" i="17"/>
  <c r="H59" i="1"/>
  <c r="I59" i="1" s="1"/>
  <c r="H76" i="17"/>
  <c r="I76" i="17" s="1"/>
  <c r="J76" i="17" s="1"/>
  <c r="G82" i="15"/>
  <c r="H82" i="15" s="1"/>
  <c r="I82" i="15" s="1"/>
  <c r="J82" i="15" s="1"/>
  <c r="K82" i="15" s="1"/>
  <c r="M82" i="15" s="1"/>
  <c r="N94" i="15" s="1"/>
  <c r="R344" i="17"/>
  <c r="B345" i="17"/>
  <c r="F222" i="17"/>
  <c r="C224" i="17"/>
  <c r="L223" i="17"/>
  <c r="C222" i="15"/>
  <c r="L221" i="15"/>
  <c r="B343" i="15"/>
  <c r="R342" i="15"/>
  <c r="O91" i="14"/>
  <c r="D92" i="14" s="1"/>
  <c r="K91" i="14"/>
  <c r="M91" i="14" s="1"/>
  <c r="N103" i="14" s="1"/>
  <c r="R343" i="14"/>
  <c r="B344" i="14"/>
  <c r="C223" i="14"/>
  <c r="L222" i="14"/>
  <c r="P86" i="12"/>
  <c r="Q86" i="12" s="1"/>
  <c r="M71" i="10" s="1"/>
  <c r="J86" i="12"/>
  <c r="O86" i="12" s="1"/>
  <c r="D87" i="12" s="1"/>
  <c r="E87" i="12" s="1"/>
  <c r="B345" i="12"/>
  <c r="R344" i="12"/>
  <c r="F222" i="12"/>
  <c r="L223" i="12"/>
  <c r="C224" i="12"/>
  <c r="S211" i="1"/>
  <c r="T211" i="1"/>
  <c r="L215" i="1"/>
  <c r="C216" i="1"/>
  <c r="B213" i="1"/>
  <c r="R212" i="1"/>
  <c r="S344" i="12" l="1"/>
  <c r="T344" i="12"/>
  <c r="S343" i="14"/>
  <c r="T343" i="14"/>
  <c r="S342" i="15"/>
  <c r="T342" i="15"/>
  <c r="S344" i="17"/>
  <c r="T344" i="17"/>
  <c r="P76" i="17"/>
  <c r="Q76" i="17" s="1"/>
  <c r="M61" i="18" s="1"/>
  <c r="P82" i="15"/>
  <c r="Q82" i="15" s="1"/>
  <c r="O82" i="15"/>
  <c r="D83" i="15" s="1"/>
  <c r="E83" i="15" s="1"/>
  <c r="K76" i="17"/>
  <c r="M76" i="17" s="1"/>
  <c r="N88" i="17" s="1"/>
  <c r="O76" i="17"/>
  <c r="D77" i="17" s="1"/>
  <c r="F223" i="17"/>
  <c r="R345" i="17"/>
  <c r="B346" i="17"/>
  <c r="C225" i="17"/>
  <c r="L224" i="17"/>
  <c r="C223" i="15"/>
  <c r="L222" i="15"/>
  <c r="B344" i="15"/>
  <c r="R343" i="15"/>
  <c r="E92" i="14"/>
  <c r="G92" i="14"/>
  <c r="B345" i="14"/>
  <c r="R344" i="14"/>
  <c r="C224" i="14"/>
  <c r="L223" i="14"/>
  <c r="K86" i="12"/>
  <c r="M86" i="12" s="1"/>
  <c r="N98" i="12" s="1"/>
  <c r="G87" i="12"/>
  <c r="H87" i="12" s="1"/>
  <c r="I87" i="12" s="1"/>
  <c r="P87" i="12" s="1"/>
  <c r="Q87" i="12" s="1"/>
  <c r="M72" i="10" s="1"/>
  <c r="R345" i="12"/>
  <c r="B346" i="12"/>
  <c r="F223" i="12"/>
  <c r="L224" i="12"/>
  <c r="C225" i="12"/>
  <c r="J59" i="1"/>
  <c r="K59" i="1" s="1"/>
  <c r="S212" i="1"/>
  <c r="T212" i="1"/>
  <c r="L216" i="1"/>
  <c r="C217" i="1"/>
  <c r="B214" i="1"/>
  <c r="R213" i="1"/>
  <c r="S345" i="12" l="1"/>
  <c r="T345" i="12"/>
  <c r="S344" i="14"/>
  <c r="T344" i="14"/>
  <c r="S343" i="15"/>
  <c r="T343" i="15"/>
  <c r="S345" i="17"/>
  <c r="T345" i="17"/>
  <c r="G83" i="15"/>
  <c r="H83" i="15" s="1"/>
  <c r="I83" i="15" s="1"/>
  <c r="P83" i="15" s="1"/>
  <c r="Q83" i="15" s="1"/>
  <c r="H92" i="14"/>
  <c r="I92" i="14" s="1"/>
  <c r="P92" i="14" s="1"/>
  <c r="Q92" i="14" s="1"/>
  <c r="M77" i="13" s="1"/>
  <c r="E77" i="17"/>
  <c r="G77" i="17"/>
  <c r="R346" i="17"/>
  <c r="B347" i="17"/>
  <c r="L225" i="17"/>
  <c r="C226" i="17"/>
  <c r="F224" i="17"/>
  <c r="B345" i="15"/>
  <c r="R344" i="15"/>
  <c r="L223" i="15"/>
  <c r="C224" i="15"/>
  <c r="L224" i="14"/>
  <c r="C225" i="14"/>
  <c r="B346" i="14"/>
  <c r="R345" i="14"/>
  <c r="J87" i="12"/>
  <c r="O87" i="12" s="1"/>
  <c r="D88" i="12" s="1"/>
  <c r="C226" i="12"/>
  <c r="L225" i="12"/>
  <c r="F224" i="12"/>
  <c r="R346" i="12"/>
  <c r="B347" i="12"/>
  <c r="S213" i="1"/>
  <c r="T213" i="1"/>
  <c r="L217" i="1"/>
  <c r="C218" i="1"/>
  <c r="B215" i="1"/>
  <c r="R214" i="1"/>
  <c r="S346" i="12" l="1"/>
  <c r="T346" i="12"/>
  <c r="S345" i="14"/>
  <c r="T345" i="14"/>
  <c r="S344" i="15"/>
  <c r="T344" i="15"/>
  <c r="S346" i="17"/>
  <c r="T346" i="17"/>
  <c r="H77" i="17"/>
  <c r="I77" i="17" s="1"/>
  <c r="J77" i="17" s="1"/>
  <c r="K77" i="17" s="1"/>
  <c r="M77" i="17" s="1"/>
  <c r="N89" i="17" s="1"/>
  <c r="J83" i="15"/>
  <c r="K83" i="15" s="1"/>
  <c r="M83" i="15" s="1"/>
  <c r="N95" i="15" s="1"/>
  <c r="F225" i="17"/>
  <c r="L226" i="17"/>
  <c r="C227" i="17"/>
  <c r="B348" i="17"/>
  <c r="R347" i="17"/>
  <c r="L224" i="15"/>
  <c r="C225" i="15"/>
  <c r="R345" i="15"/>
  <c r="B346" i="15"/>
  <c r="J92" i="14"/>
  <c r="K92" i="14" s="1"/>
  <c r="M92" i="14" s="1"/>
  <c r="N104" i="14" s="1"/>
  <c r="L225" i="14"/>
  <c r="C226" i="14"/>
  <c r="B347" i="14"/>
  <c r="R346" i="14"/>
  <c r="K87" i="12"/>
  <c r="M87" i="12" s="1"/>
  <c r="N99" i="12" s="1"/>
  <c r="E88" i="12"/>
  <c r="G88" i="12"/>
  <c r="F225" i="12"/>
  <c r="R347" i="12"/>
  <c r="B348" i="12"/>
  <c r="L226" i="12"/>
  <c r="C227" i="12"/>
  <c r="S214" i="1"/>
  <c r="T214" i="1"/>
  <c r="L218" i="1"/>
  <c r="C219" i="1"/>
  <c r="B216" i="1"/>
  <c r="R215" i="1"/>
  <c r="O59" i="1"/>
  <c r="D60" i="1" s="1"/>
  <c r="G60" i="1" s="1"/>
  <c r="S347" i="12" l="1"/>
  <c r="T347" i="12"/>
  <c r="S346" i="14"/>
  <c r="T346" i="14"/>
  <c r="S345" i="15"/>
  <c r="T345" i="15"/>
  <c r="S347" i="17"/>
  <c r="T347" i="17"/>
  <c r="O77" i="17"/>
  <c r="D78" i="17" s="1"/>
  <c r="E78" i="17" s="1"/>
  <c r="P77" i="17"/>
  <c r="Q77" i="17" s="1"/>
  <c r="M62" i="18" s="1"/>
  <c r="O83" i="15"/>
  <c r="D84" i="15" s="1"/>
  <c r="G84" i="15" s="1"/>
  <c r="F226" i="17"/>
  <c r="R348" i="17"/>
  <c r="B349" i="17"/>
  <c r="L227" i="17"/>
  <c r="C228" i="17"/>
  <c r="B347" i="15"/>
  <c r="R346" i="15"/>
  <c r="L225" i="15"/>
  <c r="C226" i="15"/>
  <c r="O92" i="14"/>
  <c r="D93" i="14" s="1"/>
  <c r="H88" i="12"/>
  <c r="I88" i="12" s="1"/>
  <c r="J88" i="12" s="1"/>
  <c r="R347" i="14"/>
  <c r="B348" i="14"/>
  <c r="C227" i="14"/>
  <c r="L226" i="14"/>
  <c r="F226" i="12"/>
  <c r="B349" i="12"/>
  <c r="R348" i="12"/>
  <c r="C228" i="12"/>
  <c r="L227" i="12"/>
  <c r="E60" i="1"/>
  <c r="S215" i="1"/>
  <c r="T215" i="1"/>
  <c r="L219" i="1"/>
  <c r="C220" i="1"/>
  <c r="B217" i="1"/>
  <c r="R216" i="1"/>
  <c r="M59" i="1"/>
  <c r="G78" i="17" l="1"/>
  <c r="H78" i="17" s="1"/>
  <c r="I78" i="17" s="1"/>
  <c r="S348" i="12"/>
  <c r="T348" i="12"/>
  <c r="S347" i="14"/>
  <c r="T347" i="14"/>
  <c r="S346" i="15"/>
  <c r="T346" i="15"/>
  <c r="S348" i="17"/>
  <c r="T348" i="17"/>
  <c r="H60" i="1"/>
  <c r="I60" i="1" s="1"/>
  <c r="E84" i="15"/>
  <c r="H84" i="15" s="1"/>
  <c r="L228" i="17"/>
  <c r="C229" i="17"/>
  <c r="R349" i="17"/>
  <c r="B350" i="17"/>
  <c r="F227" i="17"/>
  <c r="L226" i="15"/>
  <c r="C227" i="15"/>
  <c r="R347" i="15"/>
  <c r="B348" i="15"/>
  <c r="E93" i="14"/>
  <c r="G93" i="14"/>
  <c r="L227" i="14"/>
  <c r="C228" i="14"/>
  <c r="R348" i="14"/>
  <c r="B349" i="14"/>
  <c r="O88" i="12"/>
  <c r="D89" i="12" s="1"/>
  <c r="E89" i="12" s="1"/>
  <c r="K88" i="12"/>
  <c r="M88" i="12" s="1"/>
  <c r="N100" i="12" s="1"/>
  <c r="B350" i="12"/>
  <c r="R349" i="12"/>
  <c r="C229" i="12"/>
  <c r="L228" i="12"/>
  <c r="P88" i="12"/>
  <c r="Q88" i="12" s="1"/>
  <c r="M73" i="10" s="1"/>
  <c r="F227" i="12"/>
  <c r="S216" i="1"/>
  <c r="T216" i="1"/>
  <c r="L220" i="1"/>
  <c r="C221" i="1"/>
  <c r="B218" i="1"/>
  <c r="R217" i="1"/>
  <c r="S349" i="12" l="1"/>
  <c r="T349" i="12"/>
  <c r="S348" i="14"/>
  <c r="T348" i="14"/>
  <c r="S347" i="15"/>
  <c r="T347" i="15"/>
  <c r="S349" i="17"/>
  <c r="T349" i="17"/>
  <c r="H93" i="14"/>
  <c r="I93" i="14" s="1"/>
  <c r="J93" i="14" s="1"/>
  <c r="I84" i="15"/>
  <c r="J84" i="15" s="1"/>
  <c r="K84" i="15" s="1"/>
  <c r="M84" i="15" s="1"/>
  <c r="N96" i="15" s="1"/>
  <c r="P78" i="17"/>
  <c r="Q78" i="17" s="1"/>
  <c r="M63" i="18" s="1"/>
  <c r="J78" i="17"/>
  <c r="K78" i="17" s="1"/>
  <c r="M78" i="17" s="1"/>
  <c r="N90" i="17" s="1"/>
  <c r="B351" i="17"/>
  <c r="R350" i="17"/>
  <c r="F228" i="17"/>
  <c r="C230" i="17"/>
  <c r="L229" i="17"/>
  <c r="R348" i="15"/>
  <c r="B349" i="15"/>
  <c r="L227" i="15"/>
  <c r="C228" i="15"/>
  <c r="B350" i="14"/>
  <c r="R349" i="14"/>
  <c r="L228" i="14"/>
  <c r="C229" i="14"/>
  <c r="G89" i="12"/>
  <c r="H89" i="12" s="1"/>
  <c r="I89" i="12" s="1"/>
  <c r="F228" i="12"/>
  <c r="B351" i="12"/>
  <c r="R350" i="12"/>
  <c r="L229" i="12"/>
  <c r="C230" i="12"/>
  <c r="J60" i="1"/>
  <c r="K60" i="1" s="1"/>
  <c r="S217" i="1"/>
  <c r="T217" i="1"/>
  <c r="L221" i="1"/>
  <c r="C222" i="1"/>
  <c r="B219" i="1"/>
  <c r="R218" i="1"/>
  <c r="S350" i="12" l="1"/>
  <c r="T350" i="12"/>
  <c r="S349" i="14"/>
  <c r="T349" i="14"/>
  <c r="S348" i="15"/>
  <c r="T348" i="15"/>
  <c r="S350" i="17"/>
  <c r="T350" i="17"/>
  <c r="O78" i="17"/>
  <c r="D79" i="17" s="1"/>
  <c r="E79" i="17" s="1"/>
  <c r="O84" i="15"/>
  <c r="D85" i="15" s="1"/>
  <c r="P84" i="15"/>
  <c r="Q84" i="15" s="1"/>
  <c r="F229" i="17"/>
  <c r="C231" i="17"/>
  <c r="L230" i="17"/>
  <c r="R351" i="17"/>
  <c r="B352" i="17"/>
  <c r="R349" i="15"/>
  <c r="B350" i="15"/>
  <c r="C229" i="15"/>
  <c r="L228" i="15"/>
  <c r="P93" i="14"/>
  <c r="Q93" i="14" s="1"/>
  <c r="M78" i="13" s="1"/>
  <c r="O93" i="14"/>
  <c r="D94" i="14" s="1"/>
  <c r="K93" i="14"/>
  <c r="M93" i="14" s="1"/>
  <c r="N105" i="14" s="1"/>
  <c r="L229" i="14"/>
  <c r="C230" i="14"/>
  <c r="B351" i="14"/>
  <c r="R350" i="14"/>
  <c r="P89" i="12"/>
  <c r="Q89" i="12" s="1"/>
  <c r="M74" i="10" s="1"/>
  <c r="J89" i="12"/>
  <c r="O89" i="12" s="1"/>
  <c r="D90" i="12" s="1"/>
  <c r="E90" i="12" s="1"/>
  <c r="B352" i="12"/>
  <c r="R351" i="12"/>
  <c r="C231" i="12"/>
  <c r="L230" i="12"/>
  <c r="F229" i="12"/>
  <c r="S218" i="1"/>
  <c r="T218" i="1"/>
  <c r="L222" i="1"/>
  <c r="C223" i="1"/>
  <c r="B220" i="1"/>
  <c r="R219" i="1"/>
  <c r="S351" i="12" l="1"/>
  <c r="T351" i="12"/>
  <c r="S350" i="14"/>
  <c r="T350" i="14"/>
  <c r="S349" i="15"/>
  <c r="T349" i="15"/>
  <c r="S351" i="17"/>
  <c r="T351" i="17"/>
  <c r="G79" i="17"/>
  <c r="H79" i="17" s="1"/>
  <c r="I79" i="17" s="1"/>
  <c r="J79" i="17" s="1"/>
  <c r="K79" i="17" s="1"/>
  <c r="M79" i="17" s="1"/>
  <c r="N91" i="17" s="1"/>
  <c r="G85" i="15"/>
  <c r="E85" i="15"/>
  <c r="B353" i="17"/>
  <c r="R352" i="17"/>
  <c r="C232" i="17"/>
  <c r="L231" i="17"/>
  <c r="F230" i="17"/>
  <c r="C230" i="15"/>
  <c r="L229" i="15"/>
  <c r="B351" i="15"/>
  <c r="R350" i="15"/>
  <c r="E94" i="14"/>
  <c r="G94" i="14"/>
  <c r="K89" i="12"/>
  <c r="M89" i="12" s="1"/>
  <c r="N101" i="12" s="1"/>
  <c r="R351" i="14"/>
  <c r="B352" i="14"/>
  <c r="L230" i="14"/>
  <c r="C231" i="14"/>
  <c r="G90" i="12"/>
  <c r="H90" i="12" s="1"/>
  <c r="I90" i="12" s="1"/>
  <c r="P90" i="12" s="1"/>
  <c r="Q90" i="12" s="1"/>
  <c r="M75" i="10" s="1"/>
  <c r="R352" i="12"/>
  <c r="B353" i="12"/>
  <c r="L231" i="12"/>
  <c r="C232" i="12"/>
  <c r="F230" i="12"/>
  <c r="S219" i="1"/>
  <c r="T219" i="1"/>
  <c r="L223" i="1"/>
  <c r="C224" i="1"/>
  <c r="B221" i="1"/>
  <c r="R220" i="1"/>
  <c r="O60" i="1"/>
  <c r="D61" i="1" s="1"/>
  <c r="G61" i="1" s="1"/>
  <c r="H94" i="14" l="1"/>
  <c r="S352" i="12"/>
  <c r="T352" i="12"/>
  <c r="S351" i="14"/>
  <c r="T351" i="14"/>
  <c r="S350" i="15"/>
  <c r="T350" i="15"/>
  <c r="S352" i="17"/>
  <c r="T352" i="17"/>
  <c r="P79" i="17"/>
  <c r="Q79" i="17" s="1"/>
  <c r="M64" i="18" s="1"/>
  <c r="O79" i="17"/>
  <c r="D80" i="17" s="1"/>
  <c r="G80" i="17" s="1"/>
  <c r="H85" i="15"/>
  <c r="B354" i="17"/>
  <c r="R353" i="17"/>
  <c r="L232" i="17"/>
  <c r="C233" i="17"/>
  <c r="F231" i="17"/>
  <c r="L230" i="15"/>
  <c r="C231" i="15"/>
  <c r="R351" i="15"/>
  <c r="B352" i="15"/>
  <c r="I94" i="14"/>
  <c r="P94" i="14" s="1"/>
  <c r="Q94" i="14" s="1"/>
  <c r="M79" i="13" s="1"/>
  <c r="L231" i="14"/>
  <c r="C232" i="14"/>
  <c r="B353" i="14"/>
  <c r="R352" i="14"/>
  <c r="J90" i="12"/>
  <c r="K90" i="12" s="1"/>
  <c r="M90" i="12" s="1"/>
  <c r="N102" i="12" s="1"/>
  <c r="L232" i="12"/>
  <c r="C233" i="12"/>
  <c r="F231" i="12"/>
  <c r="B354" i="12"/>
  <c r="R353" i="12"/>
  <c r="E61" i="1"/>
  <c r="S220" i="1"/>
  <c r="T220" i="1"/>
  <c r="L224" i="1"/>
  <c r="C225" i="1"/>
  <c r="B222" i="1"/>
  <c r="R221" i="1"/>
  <c r="M60" i="1"/>
  <c r="S353" i="12" l="1"/>
  <c r="T353" i="12"/>
  <c r="S352" i="14"/>
  <c r="T352" i="14"/>
  <c r="S351" i="15"/>
  <c r="T351" i="15"/>
  <c r="S353" i="17"/>
  <c r="T353" i="17"/>
  <c r="H61" i="1"/>
  <c r="I61" i="1" s="1"/>
  <c r="E80" i="17"/>
  <c r="H80" i="17"/>
  <c r="I85" i="15"/>
  <c r="P85" i="15" s="1"/>
  <c r="Q85" i="15" s="1"/>
  <c r="F232" i="17"/>
  <c r="L233" i="17"/>
  <c r="C234" i="17"/>
  <c r="B355" i="17"/>
  <c r="R354" i="17"/>
  <c r="C232" i="15"/>
  <c r="L231" i="15"/>
  <c r="B353" i="15"/>
  <c r="R352" i="15"/>
  <c r="J94" i="14"/>
  <c r="O94" i="14" s="1"/>
  <c r="D95" i="14" s="1"/>
  <c r="B354" i="14"/>
  <c r="R353" i="14"/>
  <c r="L232" i="14"/>
  <c r="C233" i="14"/>
  <c r="O90" i="12"/>
  <c r="D91" i="12" s="1"/>
  <c r="E91" i="12" s="1"/>
  <c r="R354" i="12"/>
  <c r="B355" i="12"/>
  <c r="F232" i="12"/>
  <c r="C234" i="12"/>
  <c r="L233" i="12"/>
  <c r="S221" i="1"/>
  <c r="T221" i="1"/>
  <c r="L225" i="1"/>
  <c r="C226" i="1"/>
  <c r="B223" i="1"/>
  <c r="R222" i="1"/>
  <c r="S354" i="12" l="1"/>
  <c r="T354" i="12"/>
  <c r="S353" i="14"/>
  <c r="T353" i="14"/>
  <c r="S352" i="15"/>
  <c r="T352" i="15"/>
  <c r="S354" i="17"/>
  <c r="T354" i="17"/>
  <c r="J85" i="15"/>
  <c r="K85" i="15" s="1"/>
  <c r="M85" i="15" s="1"/>
  <c r="N97" i="15" s="1"/>
  <c r="I80" i="17"/>
  <c r="J80" i="17" s="1"/>
  <c r="K80" i="17" s="1"/>
  <c r="M80" i="17" s="1"/>
  <c r="N92" i="17" s="1"/>
  <c r="C235" i="17"/>
  <c r="L234" i="17"/>
  <c r="F233" i="17"/>
  <c r="R355" i="17"/>
  <c r="B356" i="17"/>
  <c r="B354" i="15"/>
  <c r="R353" i="15"/>
  <c r="C233" i="15"/>
  <c r="L232" i="15"/>
  <c r="K94" i="14"/>
  <c r="M94" i="14" s="1"/>
  <c r="N106" i="14" s="1"/>
  <c r="G95" i="14"/>
  <c r="E95" i="14"/>
  <c r="L233" i="14"/>
  <c r="C234" i="14"/>
  <c r="B355" i="14"/>
  <c r="R354" i="14"/>
  <c r="G91" i="12"/>
  <c r="H91" i="12" s="1"/>
  <c r="I91" i="12" s="1"/>
  <c r="P91" i="12" s="1"/>
  <c r="Q91" i="12" s="1"/>
  <c r="M76" i="10" s="1"/>
  <c r="F233" i="12"/>
  <c r="C235" i="12"/>
  <c r="L234" i="12"/>
  <c r="B356" i="12"/>
  <c r="R355" i="12"/>
  <c r="S222" i="1"/>
  <c r="T222" i="1"/>
  <c r="L226" i="1"/>
  <c r="C227" i="1"/>
  <c r="B224" i="1"/>
  <c r="R223" i="1"/>
  <c r="J61" i="1"/>
  <c r="K61" i="1" s="1"/>
  <c r="S355" i="12" l="1"/>
  <c r="T355" i="12"/>
  <c r="S354" i="14"/>
  <c r="T354" i="14"/>
  <c r="S353" i="15"/>
  <c r="T353" i="15"/>
  <c r="S355" i="17"/>
  <c r="T355" i="17"/>
  <c r="O85" i="15"/>
  <c r="D86" i="15" s="1"/>
  <c r="E86" i="15" s="1"/>
  <c r="O80" i="17"/>
  <c r="D81" i="17" s="1"/>
  <c r="E81" i="17" s="1"/>
  <c r="P80" i="17"/>
  <c r="Q80" i="17" s="1"/>
  <c r="M65" i="18" s="1"/>
  <c r="B357" i="17"/>
  <c r="R356" i="17"/>
  <c r="F234" i="17"/>
  <c r="C236" i="17"/>
  <c r="L235" i="17"/>
  <c r="L233" i="15"/>
  <c r="C234" i="15"/>
  <c r="R354" i="15"/>
  <c r="B355" i="15"/>
  <c r="H95" i="14"/>
  <c r="I95" i="14" s="1"/>
  <c r="J95" i="14" s="1"/>
  <c r="K95" i="14" s="1"/>
  <c r="M95" i="14" s="1"/>
  <c r="N107" i="14" s="1"/>
  <c r="L234" i="14"/>
  <c r="C235" i="14"/>
  <c r="B356" i="14"/>
  <c r="R355" i="14"/>
  <c r="J91" i="12"/>
  <c r="O91" i="12" s="1"/>
  <c r="D92" i="12" s="1"/>
  <c r="C236" i="12"/>
  <c r="L235" i="12"/>
  <c r="B357" i="12"/>
  <c r="R356" i="12"/>
  <c r="F234" i="12"/>
  <c r="S223" i="1"/>
  <c r="T223" i="1"/>
  <c r="L227" i="1"/>
  <c r="C228" i="1"/>
  <c r="B225" i="1"/>
  <c r="R224" i="1"/>
  <c r="S356" i="12" l="1"/>
  <c r="T356" i="12"/>
  <c r="S355" i="14"/>
  <c r="T355" i="14"/>
  <c r="S354" i="15"/>
  <c r="T354" i="15"/>
  <c r="S356" i="17"/>
  <c r="T356" i="17"/>
  <c r="G86" i="15"/>
  <c r="G81" i="17"/>
  <c r="H81" i="17" s="1"/>
  <c r="H86" i="15"/>
  <c r="L236" i="17"/>
  <c r="C237" i="17"/>
  <c r="F235" i="17"/>
  <c r="B358" i="17"/>
  <c r="R357" i="17"/>
  <c r="B356" i="15"/>
  <c r="R355" i="15"/>
  <c r="L234" i="15"/>
  <c r="C235" i="15"/>
  <c r="P95" i="14"/>
  <c r="Q95" i="14" s="1"/>
  <c r="M80" i="13" s="1"/>
  <c r="O95" i="14"/>
  <c r="D96" i="14" s="1"/>
  <c r="B357" i="14"/>
  <c r="R356" i="14"/>
  <c r="L235" i="14"/>
  <c r="C236" i="14"/>
  <c r="K91" i="12"/>
  <c r="M91" i="12" s="1"/>
  <c r="N103" i="12" s="1"/>
  <c r="R357" i="12"/>
  <c r="B358" i="12"/>
  <c r="E92" i="12"/>
  <c r="G92" i="12"/>
  <c r="F235" i="12"/>
  <c r="C237" i="12"/>
  <c r="L236" i="12"/>
  <c r="S224" i="1"/>
  <c r="T224" i="1"/>
  <c r="L228" i="1"/>
  <c r="C229" i="1"/>
  <c r="B226" i="1"/>
  <c r="R225" i="1"/>
  <c r="O61" i="1"/>
  <c r="D62" i="1" s="1"/>
  <c r="G62" i="1" s="1"/>
  <c r="S357" i="12" l="1"/>
  <c r="T357" i="12"/>
  <c r="S356" i="14"/>
  <c r="T356" i="14"/>
  <c r="S355" i="15"/>
  <c r="T355" i="15"/>
  <c r="S357" i="17"/>
  <c r="T357" i="17"/>
  <c r="I81" i="17"/>
  <c r="J81" i="17" s="1"/>
  <c r="K81" i="17" s="1"/>
  <c r="M81" i="17" s="1"/>
  <c r="N93" i="17" s="1"/>
  <c r="I86" i="15"/>
  <c r="P86" i="15" s="1"/>
  <c r="Q86" i="15" s="1"/>
  <c r="J86" i="15"/>
  <c r="K86" i="15" s="1"/>
  <c r="M86" i="15" s="1"/>
  <c r="N98" i="15" s="1"/>
  <c r="F236" i="17"/>
  <c r="C238" i="17"/>
  <c r="L237" i="17"/>
  <c r="R358" i="17"/>
  <c r="B359" i="17"/>
  <c r="L235" i="15"/>
  <c r="C236" i="15"/>
  <c r="R356" i="15"/>
  <c r="B357" i="15"/>
  <c r="E96" i="14"/>
  <c r="G96" i="14"/>
  <c r="L236" i="14"/>
  <c r="C237" i="14"/>
  <c r="B358" i="14"/>
  <c r="R357" i="14"/>
  <c r="C238" i="12"/>
  <c r="L237" i="12"/>
  <c r="F236" i="12"/>
  <c r="H92" i="12"/>
  <c r="B359" i="12"/>
  <c r="R358" i="12"/>
  <c r="E62" i="1"/>
  <c r="S225" i="1"/>
  <c r="T225" i="1"/>
  <c r="L229" i="1"/>
  <c r="C230" i="1"/>
  <c r="B227" i="1"/>
  <c r="R226" i="1"/>
  <c r="M61" i="1"/>
  <c r="S358" i="12" l="1"/>
  <c r="T358" i="12"/>
  <c r="S357" i="14"/>
  <c r="T357" i="14"/>
  <c r="S356" i="15"/>
  <c r="T356" i="15"/>
  <c r="S358" i="17"/>
  <c r="T358" i="17"/>
  <c r="H62" i="1"/>
  <c r="I62" i="1" s="1"/>
  <c r="O81" i="17"/>
  <c r="D82" i="17" s="1"/>
  <c r="P81" i="17"/>
  <c r="Q81" i="17" s="1"/>
  <c r="M66" i="18" s="1"/>
  <c r="O86" i="15"/>
  <c r="D87" i="15" s="1"/>
  <c r="B360" i="17"/>
  <c r="R359" i="17"/>
  <c r="C239" i="17"/>
  <c r="L238" i="17"/>
  <c r="F237" i="17"/>
  <c r="L236" i="15"/>
  <c r="C237" i="15"/>
  <c r="B358" i="15"/>
  <c r="R357" i="15"/>
  <c r="H96" i="14"/>
  <c r="I96" i="14" s="1"/>
  <c r="P96" i="14" s="1"/>
  <c r="Q96" i="14" s="1"/>
  <c r="M81" i="13" s="1"/>
  <c r="B359" i="14"/>
  <c r="R358" i="14"/>
  <c r="C238" i="14"/>
  <c r="L237" i="14"/>
  <c r="I92" i="12"/>
  <c r="P92" i="12" s="1"/>
  <c r="Q92" i="12" s="1"/>
  <c r="M77" i="10" s="1"/>
  <c r="F237" i="12"/>
  <c r="L238" i="12"/>
  <c r="C239" i="12"/>
  <c r="R359" i="12"/>
  <c r="B360" i="12"/>
  <c r="S226" i="1"/>
  <c r="T226" i="1"/>
  <c r="L230" i="1"/>
  <c r="C231" i="1"/>
  <c r="B228" i="1"/>
  <c r="R227" i="1"/>
  <c r="S359" i="12" l="1"/>
  <c r="T359" i="12"/>
  <c r="S358" i="14"/>
  <c r="T358" i="14"/>
  <c r="S357" i="15"/>
  <c r="T357" i="15"/>
  <c r="S359" i="17"/>
  <c r="T359" i="17"/>
  <c r="E82" i="17"/>
  <c r="G82" i="17"/>
  <c r="G87" i="15"/>
  <c r="E87" i="15"/>
  <c r="L239" i="17"/>
  <c r="C240" i="17"/>
  <c r="F238" i="17"/>
  <c r="B361" i="17"/>
  <c r="R360" i="17"/>
  <c r="C238" i="15"/>
  <c r="L237" i="15"/>
  <c r="R358" i="15"/>
  <c r="B359" i="15"/>
  <c r="J96" i="14"/>
  <c r="O96" i="14" s="1"/>
  <c r="D97" i="14" s="1"/>
  <c r="C239" i="14"/>
  <c r="L238" i="14"/>
  <c r="R359" i="14"/>
  <c r="B360" i="14"/>
  <c r="J92" i="12"/>
  <c r="K92" i="12" s="1"/>
  <c r="M92" i="12" s="1"/>
  <c r="N104" i="12" s="1"/>
  <c r="F238" i="12"/>
  <c r="C240" i="12"/>
  <c r="L239" i="12"/>
  <c r="B361" i="12"/>
  <c r="R360" i="12"/>
  <c r="J62" i="1"/>
  <c r="K62" i="1" s="1"/>
  <c r="S227" i="1"/>
  <c r="T227" i="1"/>
  <c r="L231" i="1"/>
  <c r="C232" i="1"/>
  <c r="B229" i="1"/>
  <c r="R228" i="1"/>
  <c r="S360" i="12" l="1"/>
  <c r="T360" i="12"/>
  <c r="S359" i="14"/>
  <c r="T359" i="14"/>
  <c r="S358" i="15"/>
  <c r="T358" i="15"/>
  <c r="S360" i="17"/>
  <c r="T360" i="17"/>
  <c r="H82" i="17"/>
  <c r="I82" i="17" s="1"/>
  <c r="P82" i="17" s="1"/>
  <c r="Q82" i="17" s="1"/>
  <c r="M67" i="18" s="1"/>
  <c r="K96" i="14"/>
  <c r="M96" i="14" s="1"/>
  <c r="N108" i="14" s="1"/>
  <c r="H87" i="15"/>
  <c r="F239" i="17"/>
  <c r="R361" i="17"/>
  <c r="B362" i="17"/>
  <c r="C241" i="17"/>
  <c r="L240" i="17"/>
  <c r="R359" i="15"/>
  <c r="B360" i="15"/>
  <c r="C239" i="15"/>
  <c r="L238" i="15"/>
  <c r="E97" i="14"/>
  <c r="G97" i="14"/>
  <c r="R360" i="14"/>
  <c r="B361" i="14"/>
  <c r="C240" i="14"/>
  <c r="L239" i="14"/>
  <c r="O92" i="12"/>
  <c r="D93" i="12" s="1"/>
  <c r="E93" i="12" s="1"/>
  <c r="C241" i="12"/>
  <c r="L240" i="12"/>
  <c r="B362" i="12"/>
  <c r="R361" i="12"/>
  <c r="F239" i="12"/>
  <c r="S228" i="1"/>
  <c r="T228" i="1"/>
  <c r="L232" i="1"/>
  <c r="C233" i="1"/>
  <c r="B230" i="1"/>
  <c r="R229" i="1"/>
  <c r="H97" i="14" l="1"/>
  <c r="G93" i="12"/>
  <c r="S361" i="12"/>
  <c r="T361" i="12"/>
  <c r="S360" i="14"/>
  <c r="T360" i="14"/>
  <c r="S359" i="15"/>
  <c r="T359" i="15"/>
  <c r="S361" i="17"/>
  <c r="T361" i="17"/>
  <c r="J82" i="17"/>
  <c r="K82" i="17" s="1"/>
  <c r="M82" i="17" s="1"/>
  <c r="N94" i="17" s="1"/>
  <c r="I87" i="15"/>
  <c r="J87" i="15" s="1"/>
  <c r="K87" i="15" s="1"/>
  <c r="M87" i="15" s="1"/>
  <c r="N99" i="15" s="1"/>
  <c r="C242" i="17"/>
  <c r="L241" i="17"/>
  <c r="B363" i="17"/>
  <c r="R362" i="17"/>
  <c r="F240" i="17"/>
  <c r="C240" i="15"/>
  <c r="L239" i="15"/>
  <c r="R360" i="15"/>
  <c r="B361" i="15"/>
  <c r="I97" i="14"/>
  <c r="J97" i="14" s="1"/>
  <c r="R361" i="14"/>
  <c r="B362" i="14"/>
  <c r="C241" i="14"/>
  <c r="L240" i="14"/>
  <c r="H93" i="12"/>
  <c r="I93" i="12" s="1"/>
  <c r="J93" i="12" s="1"/>
  <c r="L241" i="12"/>
  <c r="C242" i="12"/>
  <c r="B363" i="12"/>
  <c r="R362" i="12"/>
  <c r="F240" i="12"/>
  <c r="S229" i="1"/>
  <c r="T229" i="1"/>
  <c r="L233" i="1"/>
  <c r="C234" i="1"/>
  <c r="B231" i="1"/>
  <c r="R230" i="1"/>
  <c r="O62" i="1"/>
  <c r="D63" i="1" s="1"/>
  <c r="G63" i="1" s="1"/>
  <c r="S362" i="12" l="1"/>
  <c r="T362" i="12"/>
  <c r="S361" i="14"/>
  <c r="T361" i="14"/>
  <c r="S360" i="15"/>
  <c r="T360" i="15"/>
  <c r="S362" i="17"/>
  <c r="T362" i="17"/>
  <c r="O82" i="17"/>
  <c r="D83" i="17" s="1"/>
  <c r="E83" i="17" s="1"/>
  <c r="O87" i="15"/>
  <c r="D88" i="15" s="1"/>
  <c r="E88" i="15" s="1"/>
  <c r="G83" i="17"/>
  <c r="P87" i="15"/>
  <c r="Q87" i="15" s="1"/>
  <c r="F241" i="17"/>
  <c r="B364" i="17"/>
  <c r="R363" i="17"/>
  <c r="L242" i="17"/>
  <c r="C243" i="17"/>
  <c r="C241" i="15"/>
  <c r="L240" i="15"/>
  <c r="R361" i="15"/>
  <c r="B362" i="15"/>
  <c r="P97" i="14"/>
  <c r="Q97" i="14" s="1"/>
  <c r="M82" i="13" s="1"/>
  <c r="O97" i="14"/>
  <c r="D98" i="14" s="1"/>
  <c r="K97" i="14"/>
  <c r="M97" i="14" s="1"/>
  <c r="N109" i="14" s="1"/>
  <c r="L241" i="14"/>
  <c r="C242" i="14"/>
  <c r="B363" i="14"/>
  <c r="R362" i="14"/>
  <c r="K93" i="12"/>
  <c r="M93" i="12" s="1"/>
  <c r="N105" i="12" s="1"/>
  <c r="O93" i="12"/>
  <c r="D94" i="12" s="1"/>
  <c r="F241" i="12"/>
  <c r="R363" i="12"/>
  <c r="B364" i="12"/>
  <c r="P93" i="12"/>
  <c r="Q93" i="12" s="1"/>
  <c r="M78" i="10" s="1"/>
  <c r="C243" i="12"/>
  <c r="L242" i="12"/>
  <c r="E63" i="1"/>
  <c r="S230" i="1"/>
  <c r="T230" i="1"/>
  <c r="L234" i="1"/>
  <c r="C235" i="1"/>
  <c r="B232" i="1"/>
  <c r="R231" i="1"/>
  <c r="M62" i="1"/>
  <c r="S363" i="12" l="1"/>
  <c r="T363" i="12"/>
  <c r="S362" i="14"/>
  <c r="T362" i="14"/>
  <c r="S361" i="15"/>
  <c r="T361" i="15"/>
  <c r="S363" i="17"/>
  <c r="T363" i="17"/>
  <c r="H63" i="1"/>
  <c r="I63" i="1" s="1"/>
  <c r="H83" i="17"/>
  <c r="I83" i="17" s="1"/>
  <c r="P83" i="17" s="1"/>
  <c r="Q83" i="17" s="1"/>
  <c r="M68" i="18" s="1"/>
  <c r="G88" i="15"/>
  <c r="H88" i="15" s="1"/>
  <c r="I88" i="15" s="1"/>
  <c r="P88" i="15" s="1"/>
  <c r="Q88" i="15" s="1"/>
  <c r="C244" i="17"/>
  <c r="L243" i="17"/>
  <c r="B365" i="17"/>
  <c r="R364" i="17"/>
  <c r="F242" i="17"/>
  <c r="B363" i="15"/>
  <c r="R362" i="15"/>
  <c r="L241" i="15"/>
  <c r="C242" i="15"/>
  <c r="G98" i="14"/>
  <c r="E98" i="14"/>
  <c r="R363" i="14"/>
  <c r="B364" i="14"/>
  <c r="L242" i="14"/>
  <c r="C243" i="14"/>
  <c r="F242" i="12"/>
  <c r="L243" i="12"/>
  <c r="C244" i="12"/>
  <c r="R364" i="12"/>
  <c r="B365" i="12"/>
  <c r="E94" i="12"/>
  <c r="G94" i="12"/>
  <c r="S231" i="1"/>
  <c r="T231" i="1"/>
  <c r="L235" i="1"/>
  <c r="C236" i="1"/>
  <c r="B233" i="1"/>
  <c r="R232" i="1"/>
  <c r="S364" i="12" l="1"/>
  <c r="T364" i="12"/>
  <c r="S363" i="14"/>
  <c r="T363" i="14"/>
  <c r="S362" i="15"/>
  <c r="T362" i="15"/>
  <c r="S364" i="17"/>
  <c r="T364" i="17"/>
  <c r="J83" i="17"/>
  <c r="J88" i="15"/>
  <c r="K88" i="15" s="1"/>
  <c r="M88" i="15" s="1"/>
  <c r="N100" i="15" s="1"/>
  <c r="R365" i="17"/>
  <c r="B366" i="17"/>
  <c r="F243" i="17"/>
  <c r="L244" i="17"/>
  <c r="C245" i="17"/>
  <c r="L242" i="15"/>
  <c r="C243" i="15"/>
  <c r="R363" i="15"/>
  <c r="B364" i="15"/>
  <c r="H98" i="14"/>
  <c r="I98" i="14" s="1"/>
  <c r="C244" i="14"/>
  <c r="L243" i="14"/>
  <c r="B365" i="14"/>
  <c r="R364" i="14"/>
  <c r="H94" i="12"/>
  <c r="I94" i="12" s="1"/>
  <c r="J94" i="12" s="1"/>
  <c r="B366" i="12"/>
  <c r="R365" i="12"/>
  <c r="L244" i="12"/>
  <c r="C245" i="12"/>
  <c r="F243" i="12"/>
  <c r="J63" i="1"/>
  <c r="K63" i="1" s="1"/>
  <c r="S232" i="1"/>
  <c r="T232" i="1"/>
  <c r="L236" i="1"/>
  <c r="C237" i="1"/>
  <c r="B234" i="1"/>
  <c r="R233" i="1"/>
  <c r="S365" i="12" l="1"/>
  <c r="T365" i="12"/>
  <c r="S364" i="14"/>
  <c r="T364" i="14"/>
  <c r="S363" i="15"/>
  <c r="T363" i="15"/>
  <c r="S365" i="17"/>
  <c r="T365" i="17"/>
  <c r="O88" i="15"/>
  <c r="D89" i="15" s="1"/>
  <c r="E89" i="15" s="1"/>
  <c r="O83" i="17"/>
  <c r="D84" i="17" s="1"/>
  <c r="K83" i="17"/>
  <c r="M83" i="17" s="1"/>
  <c r="N95" i="17" s="1"/>
  <c r="J98" i="14"/>
  <c r="K98" i="14" s="1"/>
  <c r="M98" i="14" s="1"/>
  <c r="N110" i="14" s="1"/>
  <c r="L245" i="17"/>
  <c r="C246" i="17"/>
  <c r="F244" i="17"/>
  <c r="B367" i="17"/>
  <c r="R366" i="17"/>
  <c r="P98" i="14"/>
  <c r="Q98" i="14" s="1"/>
  <c r="M83" i="13" s="1"/>
  <c r="L243" i="15"/>
  <c r="C244" i="15"/>
  <c r="R364" i="15"/>
  <c r="B365" i="15"/>
  <c r="B366" i="14"/>
  <c r="R365" i="14"/>
  <c r="C245" i="14"/>
  <c r="L244" i="14"/>
  <c r="P94" i="12"/>
  <c r="Q94" i="12" s="1"/>
  <c r="M79" i="10" s="1"/>
  <c r="F244" i="12"/>
  <c r="C246" i="12"/>
  <c r="L245" i="12"/>
  <c r="B367" i="12"/>
  <c r="R366" i="12"/>
  <c r="K94" i="12"/>
  <c r="M94" i="12" s="1"/>
  <c r="N106" i="12" s="1"/>
  <c r="O94" i="12"/>
  <c r="D95" i="12" s="1"/>
  <c r="S233" i="1"/>
  <c r="T233" i="1"/>
  <c r="L237" i="1"/>
  <c r="C238" i="1"/>
  <c r="B235" i="1"/>
  <c r="R234" i="1"/>
  <c r="G89" i="15" l="1"/>
  <c r="S366" i="12"/>
  <c r="T366" i="12"/>
  <c r="S365" i="14"/>
  <c r="T365" i="14"/>
  <c r="S364" i="15"/>
  <c r="T364" i="15"/>
  <c r="S366" i="17"/>
  <c r="T366" i="17"/>
  <c r="O98" i="14"/>
  <c r="D99" i="14" s="1"/>
  <c r="E99" i="14" s="1"/>
  <c r="E84" i="17"/>
  <c r="G84" i="17"/>
  <c r="H84" i="17" s="1"/>
  <c r="I84" i="17" s="1"/>
  <c r="H89" i="15"/>
  <c r="F245" i="17"/>
  <c r="C247" i="17"/>
  <c r="L246" i="17"/>
  <c r="B368" i="17"/>
  <c r="R367" i="17"/>
  <c r="R365" i="15"/>
  <c r="B366" i="15"/>
  <c r="L244" i="15"/>
  <c r="C245" i="15"/>
  <c r="L245" i="14"/>
  <c r="C246" i="14"/>
  <c r="B367" i="14"/>
  <c r="R366" i="14"/>
  <c r="C247" i="12"/>
  <c r="L246" i="12"/>
  <c r="E95" i="12"/>
  <c r="G95" i="12"/>
  <c r="H95" i="12" s="1"/>
  <c r="I95" i="12" s="1"/>
  <c r="B368" i="12"/>
  <c r="R367" i="12"/>
  <c r="F245" i="12"/>
  <c r="S234" i="1"/>
  <c r="T234" i="1"/>
  <c r="L238" i="1"/>
  <c r="C239" i="1"/>
  <c r="B236" i="1"/>
  <c r="R235" i="1"/>
  <c r="O63" i="1"/>
  <c r="D64" i="1" s="1"/>
  <c r="G64" i="1" s="1"/>
  <c r="G99" i="14" l="1"/>
  <c r="H99" i="14" s="1"/>
  <c r="I99" i="14" s="1"/>
  <c r="J99" i="14" s="1"/>
  <c r="K99" i="14" s="1"/>
  <c r="M99" i="14" s="1"/>
  <c r="N111" i="14" s="1"/>
  <c r="S367" i="12"/>
  <c r="T367" i="12"/>
  <c r="S366" i="14"/>
  <c r="T366" i="14"/>
  <c r="S365" i="15"/>
  <c r="T365" i="15"/>
  <c r="S367" i="17"/>
  <c r="T367" i="17"/>
  <c r="P84" i="17"/>
  <c r="Q84" i="17" s="1"/>
  <c r="M69" i="18" s="1"/>
  <c r="J84" i="17"/>
  <c r="K84" i="17" s="1"/>
  <c r="M84" i="17" s="1"/>
  <c r="N96" i="17" s="1"/>
  <c r="I89" i="15"/>
  <c r="L247" i="17"/>
  <c r="C248" i="17"/>
  <c r="R368" i="17"/>
  <c r="B369" i="17"/>
  <c r="F246" i="17"/>
  <c r="L245" i="15"/>
  <c r="C246" i="15"/>
  <c r="R366" i="15"/>
  <c r="B367" i="15"/>
  <c r="O99" i="14"/>
  <c r="D100" i="14" s="1"/>
  <c r="P99" i="14"/>
  <c r="Q99" i="14" s="1"/>
  <c r="M84" i="13" s="1"/>
  <c r="B368" i="14"/>
  <c r="R367" i="14"/>
  <c r="L246" i="14"/>
  <c r="C247" i="14"/>
  <c r="J95" i="12"/>
  <c r="O95" i="12" s="1"/>
  <c r="D96" i="12" s="1"/>
  <c r="B369" i="12"/>
  <c r="R368" i="12"/>
  <c r="P95" i="12"/>
  <c r="Q95" i="12" s="1"/>
  <c r="M80" i="10" s="1"/>
  <c r="F246" i="12"/>
  <c r="C248" i="12"/>
  <c r="L247" i="12"/>
  <c r="E64" i="1"/>
  <c r="S235" i="1"/>
  <c r="T235" i="1"/>
  <c r="L239" i="1"/>
  <c r="C240" i="1"/>
  <c r="B237" i="1"/>
  <c r="R236" i="1"/>
  <c r="M63" i="1"/>
  <c r="S368" i="12" l="1"/>
  <c r="T368" i="12"/>
  <c r="S367" i="14"/>
  <c r="T367" i="14"/>
  <c r="S366" i="15"/>
  <c r="T366" i="15"/>
  <c r="S368" i="17"/>
  <c r="T368" i="17"/>
  <c r="H64" i="1"/>
  <c r="I64" i="1" s="1"/>
  <c r="O84" i="17"/>
  <c r="D85" i="17" s="1"/>
  <c r="J89" i="15"/>
  <c r="K89" i="15" s="1"/>
  <c r="M89" i="15" s="1"/>
  <c r="N101" i="15" s="1"/>
  <c r="P89" i="15"/>
  <c r="Q89" i="15" s="1"/>
  <c r="F247" i="17"/>
  <c r="R369" i="17"/>
  <c r="B370" i="17"/>
  <c r="C249" i="17"/>
  <c r="L248" i="17"/>
  <c r="B368" i="15"/>
  <c r="R367" i="15"/>
  <c r="C247" i="15"/>
  <c r="L246" i="15"/>
  <c r="G100" i="14"/>
  <c r="E100" i="14"/>
  <c r="L247" i="14"/>
  <c r="C248" i="14"/>
  <c r="B369" i="14"/>
  <c r="R368" i="14"/>
  <c r="E96" i="12"/>
  <c r="G96" i="12"/>
  <c r="L248" i="12"/>
  <c r="C249" i="12"/>
  <c r="F247" i="12"/>
  <c r="R369" i="12"/>
  <c r="B370" i="12"/>
  <c r="K95" i="12"/>
  <c r="M95" i="12" s="1"/>
  <c r="N107" i="12" s="1"/>
  <c r="S236" i="1"/>
  <c r="T236" i="1"/>
  <c r="L240" i="1"/>
  <c r="C241" i="1"/>
  <c r="B238" i="1"/>
  <c r="R237" i="1"/>
  <c r="S369" i="12" l="1"/>
  <c r="T369" i="12"/>
  <c r="S368" i="14"/>
  <c r="T368" i="14"/>
  <c r="S367" i="15"/>
  <c r="T367" i="15"/>
  <c r="S369" i="17"/>
  <c r="T369" i="17"/>
  <c r="O89" i="15"/>
  <c r="D90" i="15" s="1"/>
  <c r="G85" i="17"/>
  <c r="E85" i="17"/>
  <c r="H96" i="12"/>
  <c r="I96" i="12" s="1"/>
  <c r="J96" i="12" s="1"/>
  <c r="L249" i="17"/>
  <c r="C250" i="17"/>
  <c r="B371" i="17"/>
  <c r="R370" i="17"/>
  <c r="F248" i="17"/>
  <c r="C248" i="15"/>
  <c r="L247" i="15"/>
  <c r="R368" i="15"/>
  <c r="B369" i="15"/>
  <c r="H100" i="14"/>
  <c r="I100" i="14" s="1"/>
  <c r="P100" i="14" s="1"/>
  <c r="Q100" i="14" s="1"/>
  <c r="M85" i="13" s="1"/>
  <c r="B370" i="14"/>
  <c r="R369" i="14"/>
  <c r="C249" i="14"/>
  <c r="L248" i="14"/>
  <c r="F248" i="12"/>
  <c r="L249" i="12"/>
  <c r="C250" i="12"/>
  <c r="R370" i="12"/>
  <c r="B371" i="12"/>
  <c r="S237" i="1"/>
  <c r="T237" i="1"/>
  <c r="L241" i="1"/>
  <c r="C242" i="1"/>
  <c r="B239" i="1"/>
  <c r="R238" i="1"/>
  <c r="J64" i="1"/>
  <c r="K64" i="1" s="1"/>
  <c r="S370" i="12" l="1"/>
  <c r="T370" i="12"/>
  <c r="S369" i="14"/>
  <c r="T369" i="14"/>
  <c r="S368" i="15"/>
  <c r="T368" i="15"/>
  <c r="S370" i="17"/>
  <c r="T370" i="17"/>
  <c r="H85" i="17"/>
  <c r="I85" i="17" s="1"/>
  <c r="J85" i="17" s="1"/>
  <c r="K85" i="17" s="1"/>
  <c r="M85" i="17" s="1"/>
  <c r="N97" i="17" s="1"/>
  <c r="J100" i="14"/>
  <c r="K100" i="14" s="1"/>
  <c r="M100" i="14" s="1"/>
  <c r="N112" i="14" s="1"/>
  <c r="E90" i="15"/>
  <c r="G90" i="15"/>
  <c r="H90" i="15" s="1"/>
  <c r="F249" i="17"/>
  <c r="C251" i="17"/>
  <c r="L250" i="17"/>
  <c r="B372" i="17"/>
  <c r="R371" i="17"/>
  <c r="R369" i="15"/>
  <c r="B370" i="15"/>
  <c r="C249" i="15"/>
  <c r="L248" i="15"/>
  <c r="L249" i="14"/>
  <c r="C250" i="14"/>
  <c r="R370" i="14"/>
  <c r="B371" i="14"/>
  <c r="O96" i="12"/>
  <c r="D97" i="12" s="1"/>
  <c r="E97" i="12" s="1"/>
  <c r="L250" i="12"/>
  <c r="C251" i="12"/>
  <c r="R371" i="12"/>
  <c r="B372" i="12"/>
  <c r="K96" i="12"/>
  <c r="M96" i="12" s="1"/>
  <c r="N108" i="12" s="1"/>
  <c r="P96" i="12"/>
  <c r="Q96" i="12" s="1"/>
  <c r="M81" i="10" s="1"/>
  <c r="F249" i="12"/>
  <c r="S238" i="1"/>
  <c r="T238" i="1"/>
  <c r="L242" i="1"/>
  <c r="C243" i="1"/>
  <c r="B240" i="1"/>
  <c r="R239" i="1"/>
  <c r="S371" i="12" l="1"/>
  <c r="T371" i="12"/>
  <c r="S370" i="14"/>
  <c r="T370" i="14"/>
  <c r="S369" i="15"/>
  <c r="T369" i="15"/>
  <c r="S371" i="17"/>
  <c r="T371" i="17"/>
  <c r="O85" i="17"/>
  <c r="D86" i="17" s="1"/>
  <c r="E86" i="17" s="1"/>
  <c r="P85" i="17"/>
  <c r="Q85" i="17" s="1"/>
  <c r="M70" i="18" s="1"/>
  <c r="O100" i="14"/>
  <c r="D101" i="14" s="1"/>
  <c r="G101" i="14" s="1"/>
  <c r="I90" i="15"/>
  <c r="J90" i="15" s="1"/>
  <c r="K90" i="15" s="1"/>
  <c r="M90" i="15" s="1"/>
  <c r="N102" i="15" s="1"/>
  <c r="B373" i="17"/>
  <c r="R372" i="17"/>
  <c r="C252" i="17"/>
  <c r="L251" i="17"/>
  <c r="F250" i="17"/>
  <c r="L249" i="15"/>
  <c r="C250" i="15"/>
  <c r="B371" i="15"/>
  <c r="R370" i="15"/>
  <c r="R371" i="14"/>
  <c r="B372" i="14"/>
  <c r="L250" i="14"/>
  <c r="C251" i="14"/>
  <c r="G97" i="12"/>
  <c r="H97" i="12" s="1"/>
  <c r="I97" i="12" s="1"/>
  <c r="P97" i="12" s="1"/>
  <c r="Q97" i="12" s="1"/>
  <c r="M82" i="10" s="1"/>
  <c r="C252" i="12"/>
  <c r="L251" i="12"/>
  <c r="F250" i="12"/>
  <c r="B373" i="12"/>
  <c r="R372" i="12"/>
  <c r="S239" i="1"/>
  <c r="T239" i="1"/>
  <c r="L243" i="1"/>
  <c r="C244" i="1"/>
  <c r="B241" i="1"/>
  <c r="R240" i="1"/>
  <c r="O64" i="1"/>
  <c r="D65" i="1" s="1"/>
  <c r="G65" i="1" s="1"/>
  <c r="E101" i="14" l="1"/>
  <c r="G86" i="17"/>
  <c r="S372" i="12"/>
  <c r="T372" i="12"/>
  <c r="S371" i="14"/>
  <c r="T371" i="14"/>
  <c r="S370" i="15"/>
  <c r="T370" i="15"/>
  <c r="S372" i="17"/>
  <c r="T372" i="17"/>
  <c r="H101" i="14"/>
  <c r="I101" i="14" s="1"/>
  <c r="H86" i="17"/>
  <c r="I86" i="17" s="1"/>
  <c r="P86" i="17" s="1"/>
  <c r="Q86" i="17" s="1"/>
  <c r="O90" i="15"/>
  <c r="D91" i="15" s="1"/>
  <c r="P90" i="15"/>
  <c r="Q90" i="15" s="1"/>
  <c r="F251" i="17"/>
  <c r="C253" i="17"/>
  <c r="L252" i="17"/>
  <c r="R373" i="17"/>
  <c r="B374" i="17"/>
  <c r="R371" i="15"/>
  <c r="B372" i="15"/>
  <c r="C251" i="15"/>
  <c r="L250" i="15"/>
  <c r="R372" i="14"/>
  <c r="B373" i="14"/>
  <c r="C252" i="14"/>
  <c r="L251" i="14"/>
  <c r="J97" i="12"/>
  <c r="K97" i="12" s="1"/>
  <c r="M97" i="12" s="1"/>
  <c r="N109" i="12" s="1"/>
  <c r="R373" i="12"/>
  <c r="B374" i="12"/>
  <c r="F251" i="12"/>
  <c r="C253" i="12"/>
  <c r="L252" i="12"/>
  <c r="E65" i="1"/>
  <c r="S240" i="1"/>
  <c r="T240" i="1"/>
  <c r="L244" i="1"/>
  <c r="C245" i="1"/>
  <c r="B242" i="1"/>
  <c r="R241" i="1"/>
  <c r="M64" i="1"/>
  <c r="J101" i="14" l="1"/>
  <c r="P101" i="14"/>
  <c r="Q101" i="14" s="1"/>
  <c r="M86" i="13" s="1"/>
  <c r="H65" i="1"/>
  <c r="I65" i="1" s="1"/>
  <c r="S373" i="12"/>
  <c r="T373" i="12"/>
  <c r="S372" i="14"/>
  <c r="T372" i="14"/>
  <c r="S371" i="15"/>
  <c r="T371" i="15"/>
  <c r="S373" i="17"/>
  <c r="T373" i="17"/>
  <c r="J86" i="17"/>
  <c r="K86" i="17" s="1"/>
  <c r="M86" i="17" s="1"/>
  <c r="N98" i="17" s="1"/>
  <c r="E91" i="15"/>
  <c r="G91" i="15"/>
  <c r="H91" i="15"/>
  <c r="L253" i="17"/>
  <c r="C254" i="17"/>
  <c r="B375" i="17"/>
  <c r="R374" i="17"/>
  <c r="F252" i="17"/>
  <c r="L251" i="15"/>
  <c r="C252" i="15"/>
  <c r="R372" i="15"/>
  <c r="B373" i="15"/>
  <c r="O101" i="14"/>
  <c r="D102" i="14" s="1"/>
  <c r="K101" i="14"/>
  <c r="M101" i="14" s="1"/>
  <c r="N113" i="14" s="1"/>
  <c r="R373" i="14"/>
  <c r="B374" i="14"/>
  <c r="L252" i="14"/>
  <c r="C253" i="14"/>
  <c r="O97" i="12"/>
  <c r="D98" i="12" s="1"/>
  <c r="G98" i="12" s="1"/>
  <c r="C254" i="12"/>
  <c r="L253" i="12"/>
  <c r="F252" i="12"/>
  <c r="B375" i="12"/>
  <c r="R374" i="12"/>
  <c r="S241" i="1"/>
  <c r="T241" i="1"/>
  <c r="L245" i="1"/>
  <c r="C246" i="1"/>
  <c r="B243" i="1"/>
  <c r="R242" i="1"/>
  <c r="S374" i="12" l="1"/>
  <c r="T374" i="12"/>
  <c r="S373" i="14"/>
  <c r="T373" i="14"/>
  <c r="S372" i="15"/>
  <c r="T372" i="15"/>
  <c r="S374" i="17"/>
  <c r="T374" i="17"/>
  <c r="O86" i="17"/>
  <c r="D87" i="17" s="1"/>
  <c r="E87" i="17" s="1"/>
  <c r="I91" i="15"/>
  <c r="P91" i="15" s="1"/>
  <c r="Q91" i="15" s="1"/>
  <c r="E98" i="12"/>
  <c r="H98" i="12" s="1"/>
  <c r="I98" i="12" s="1"/>
  <c r="R375" i="17"/>
  <c r="B376" i="17"/>
  <c r="L254" i="17"/>
  <c r="C255" i="17"/>
  <c r="F253" i="17"/>
  <c r="B374" i="15"/>
  <c r="R373" i="15"/>
  <c r="L252" i="15"/>
  <c r="C253" i="15"/>
  <c r="E102" i="14"/>
  <c r="G102" i="14"/>
  <c r="L253" i="14"/>
  <c r="C254" i="14"/>
  <c r="B375" i="14"/>
  <c r="R374" i="14"/>
  <c r="L254" i="12"/>
  <c r="C255" i="12"/>
  <c r="F253" i="12"/>
  <c r="R375" i="12"/>
  <c r="B376" i="12"/>
  <c r="S242" i="1"/>
  <c r="T242" i="1"/>
  <c r="L246" i="1"/>
  <c r="C247" i="1"/>
  <c r="B244" i="1"/>
  <c r="R243" i="1"/>
  <c r="J65" i="1"/>
  <c r="K65" i="1" s="1"/>
  <c r="G87" i="17" l="1"/>
  <c r="S375" i="12"/>
  <c r="T375" i="12"/>
  <c r="S374" i="14"/>
  <c r="T374" i="14"/>
  <c r="S373" i="15"/>
  <c r="T373" i="15"/>
  <c r="S375" i="17"/>
  <c r="T375" i="17"/>
  <c r="H102" i="14"/>
  <c r="I102" i="14" s="1"/>
  <c r="P102" i="14" s="1"/>
  <c r="Q102" i="14" s="1"/>
  <c r="M87" i="13" s="1"/>
  <c r="J91" i="15"/>
  <c r="K91" i="15" s="1"/>
  <c r="M91" i="15" s="1"/>
  <c r="N103" i="15" s="1"/>
  <c r="H87" i="17"/>
  <c r="F254" i="17"/>
  <c r="C256" i="17"/>
  <c r="L255" i="17"/>
  <c r="B377" i="17"/>
  <c r="R376" i="17"/>
  <c r="L253" i="15"/>
  <c r="C254" i="15"/>
  <c r="B375" i="15"/>
  <c r="R374" i="15"/>
  <c r="R375" i="14"/>
  <c r="B376" i="14"/>
  <c r="C255" i="14"/>
  <c r="L254" i="14"/>
  <c r="R376" i="12"/>
  <c r="B377" i="12"/>
  <c r="J98" i="12"/>
  <c r="P98" i="12"/>
  <c r="Q98" i="12" s="1"/>
  <c r="M83" i="10" s="1"/>
  <c r="C256" i="12"/>
  <c r="L255" i="12"/>
  <c r="F254" i="12"/>
  <c r="S243" i="1"/>
  <c r="T243" i="1"/>
  <c r="L247" i="1"/>
  <c r="C248" i="1"/>
  <c r="B245" i="1"/>
  <c r="R244" i="1"/>
  <c r="S376" i="12" l="1"/>
  <c r="T376" i="12"/>
  <c r="S375" i="14"/>
  <c r="T375" i="14"/>
  <c r="S374" i="15"/>
  <c r="T374" i="15"/>
  <c r="S376" i="17"/>
  <c r="T376" i="17"/>
  <c r="O91" i="15"/>
  <c r="D92" i="15" s="1"/>
  <c r="E92" i="15" s="1"/>
  <c r="I87" i="17"/>
  <c r="P87" i="17" s="1"/>
  <c r="Q87" i="17" s="1"/>
  <c r="L256" i="17"/>
  <c r="C257" i="17"/>
  <c r="R377" i="17"/>
  <c r="B378" i="17"/>
  <c r="F255" i="17"/>
  <c r="R375" i="15"/>
  <c r="B376" i="15"/>
  <c r="L254" i="15"/>
  <c r="C255" i="15"/>
  <c r="J102" i="14"/>
  <c r="K102" i="14" s="1"/>
  <c r="M102" i="14" s="1"/>
  <c r="N114" i="14" s="1"/>
  <c r="L255" i="14"/>
  <c r="C256" i="14"/>
  <c r="B377" i="14"/>
  <c r="R376" i="14"/>
  <c r="L256" i="12"/>
  <c r="C257" i="12"/>
  <c r="K98" i="12"/>
  <c r="M98" i="12" s="1"/>
  <c r="N110" i="12" s="1"/>
  <c r="F255" i="12"/>
  <c r="B378" i="12"/>
  <c r="R377" i="12"/>
  <c r="O98" i="12"/>
  <c r="D99" i="12" s="1"/>
  <c r="S244" i="1"/>
  <c r="T244" i="1"/>
  <c r="L248" i="1"/>
  <c r="C249" i="1"/>
  <c r="B246" i="1"/>
  <c r="R245" i="1"/>
  <c r="O65" i="1"/>
  <c r="D66" i="1" s="1"/>
  <c r="G66" i="1" s="1"/>
  <c r="S377" i="12" l="1"/>
  <c r="T377" i="12"/>
  <c r="S376" i="14"/>
  <c r="T376" i="14"/>
  <c r="S375" i="15"/>
  <c r="T375" i="15"/>
  <c r="S377" i="17"/>
  <c r="T377" i="17"/>
  <c r="J87" i="17"/>
  <c r="K87" i="17" s="1"/>
  <c r="M87" i="17" s="1"/>
  <c r="N99" i="17" s="1"/>
  <c r="G92" i="15"/>
  <c r="H92" i="15" s="1"/>
  <c r="I92" i="15" s="1"/>
  <c r="J92" i="15" s="1"/>
  <c r="K92" i="15" s="1"/>
  <c r="M92" i="15" s="1"/>
  <c r="N104" i="15" s="1"/>
  <c r="C258" i="17"/>
  <c r="L257" i="17"/>
  <c r="F256" i="17"/>
  <c r="B379" i="17"/>
  <c r="R378" i="17"/>
  <c r="C256" i="15"/>
  <c r="L255" i="15"/>
  <c r="B377" i="15"/>
  <c r="R376" i="15"/>
  <c r="O102" i="14"/>
  <c r="D103" i="14" s="1"/>
  <c r="L256" i="14"/>
  <c r="C257" i="14"/>
  <c r="B378" i="14"/>
  <c r="R377" i="14"/>
  <c r="E99" i="12"/>
  <c r="G99" i="12"/>
  <c r="C258" i="12"/>
  <c r="L257" i="12"/>
  <c r="B379" i="12"/>
  <c r="R378" i="12"/>
  <c r="F256" i="12"/>
  <c r="E66" i="1"/>
  <c r="S245" i="1"/>
  <c r="T245" i="1"/>
  <c r="L249" i="1"/>
  <c r="C250" i="1"/>
  <c r="B247" i="1"/>
  <c r="R246" i="1"/>
  <c r="M65" i="1"/>
  <c r="H66" i="1" l="1"/>
  <c r="S378" i="12"/>
  <c r="T378" i="12"/>
  <c r="S377" i="14"/>
  <c r="T377" i="14"/>
  <c r="S376" i="15"/>
  <c r="T376" i="15"/>
  <c r="S378" i="17"/>
  <c r="T378" i="17"/>
  <c r="O87" i="17"/>
  <c r="D88" i="17" s="1"/>
  <c r="G88" i="17" s="1"/>
  <c r="P92" i="15"/>
  <c r="Q92" i="15" s="1"/>
  <c r="O92" i="15"/>
  <c r="D93" i="15" s="1"/>
  <c r="E93" i="15" s="1"/>
  <c r="C259" i="17"/>
  <c r="L258" i="17"/>
  <c r="F257" i="17"/>
  <c r="R379" i="17"/>
  <c r="B380" i="17"/>
  <c r="H99" i="12"/>
  <c r="I99" i="12" s="1"/>
  <c r="J99" i="12" s="1"/>
  <c r="R377" i="15"/>
  <c r="B378" i="15"/>
  <c r="L256" i="15"/>
  <c r="C257" i="15"/>
  <c r="G103" i="14"/>
  <c r="E103" i="14"/>
  <c r="B379" i="14"/>
  <c r="R378" i="14"/>
  <c r="C258" i="14"/>
  <c r="L257" i="14"/>
  <c r="B380" i="12"/>
  <c r="R379" i="12"/>
  <c r="C259" i="12"/>
  <c r="L258" i="12"/>
  <c r="F257" i="12"/>
  <c r="I66" i="1"/>
  <c r="S246" i="1"/>
  <c r="T246" i="1"/>
  <c r="L250" i="1"/>
  <c r="C251" i="1"/>
  <c r="B248" i="1"/>
  <c r="R247" i="1"/>
  <c r="S379" i="12" l="1"/>
  <c r="T379" i="12"/>
  <c r="S378" i="14"/>
  <c r="T378" i="14"/>
  <c r="S377" i="15"/>
  <c r="T377" i="15"/>
  <c r="S379" i="17"/>
  <c r="T379" i="17"/>
  <c r="E88" i="17"/>
  <c r="H88" i="17" s="1"/>
  <c r="G93" i="15"/>
  <c r="H93" i="15" s="1"/>
  <c r="I93" i="15" s="1"/>
  <c r="J93" i="15" s="1"/>
  <c r="K93" i="15" s="1"/>
  <c r="M93" i="15" s="1"/>
  <c r="N105" i="15" s="1"/>
  <c r="L259" i="17"/>
  <c r="C260" i="17"/>
  <c r="F258" i="17"/>
  <c r="B381" i="17"/>
  <c r="R380" i="17"/>
  <c r="L257" i="15"/>
  <c r="C258" i="15"/>
  <c r="R378" i="15"/>
  <c r="B379" i="15"/>
  <c r="H103" i="14"/>
  <c r="I103" i="14" s="1"/>
  <c r="J103" i="14" s="1"/>
  <c r="K103" i="14" s="1"/>
  <c r="M103" i="14" s="1"/>
  <c r="N115" i="14" s="1"/>
  <c r="R379" i="14"/>
  <c r="B380" i="14"/>
  <c r="C259" i="14"/>
  <c r="L258" i="14"/>
  <c r="P99" i="12"/>
  <c r="Q99" i="12" s="1"/>
  <c r="M84" i="10" s="1"/>
  <c r="F258" i="12"/>
  <c r="L259" i="12"/>
  <c r="C260" i="12"/>
  <c r="K99" i="12"/>
  <c r="M99" i="12" s="1"/>
  <c r="N111" i="12" s="1"/>
  <c r="R380" i="12"/>
  <c r="B381" i="12"/>
  <c r="O99" i="12"/>
  <c r="D100" i="12" s="1"/>
  <c r="S247" i="1"/>
  <c r="T247" i="1"/>
  <c r="L251" i="1"/>
  <c r="C252" i="1"/>
  <c r="B249" i="1"/>
  <c r="R248" i="1"/>
  <c r="J66" i="1"/>
  <c r="K66" i="1" s="1"/>
  <c r="S380" i="12" l="1"/>
  <c r="T380" i="12"/>
  <c r="S379" i="14"/>
  <c r="T379" i="14"/>
  <c r="S378" i="15"/>
  <c r="T378" i="15"/>
  <c r="S380" i="17"/>
  <c r="T380" i="17"/>
  <c r="P93" i="15"/>
  <c r="Q93" i="15" s="1"/>
  <c r="O93" i="15"/>
  <c r="D94" i="15" s="1"/>
  <c r="E94" i="15" s="1"/>
  <c r="I88" i="17"/>
  <c r="J88" i="17" s="1"/>
  <c r="F259" i="17"/>
  <c r="C261" i="17"/>
  <c r="L260" i="17"/>
  <c r="B382" i="17"/>
  <c r="R381" i="17"/>
  <c r="C259" i="15"/>
  <c r="L258" i="15"/>
  <c r="B380" i="15"/>
  <c r="R379" i="15"/>
  <c r="P103" i="14"/>
  <c r="Q103" i="14" s="1"/>
  <c r="M88" i="13" s="1"/>
  <c r="O103" i="14"/>
  <c r="D104" i="14" s="1"/>
  <c r="E104" i="14" s="1"/>
  <c r="C260" i="14"/>
  <c r="L259" i="14"/>
  <c r="B381" i="14"/>
  <c r="R380" i="14"/>
  <c r="E100" i="12"/>
  <c r="G100" i="12"/>
  <c r="C261" i="12"/>
  <c r="L260" i="12"/>
  <c r="R381" i="12"/>
  <c r="B382" i="12"/>
  <c r="F259" i="12"/>
  <c r="S248" i="1"/>
  <c r="T248" i="1"/>
  <c r="L252" i="1"/>
  <c r="C253" i="1"/>
  <c r="B250" i="1"/>
  <c r="R249" i="1"/>
  <c r="G104" i="14" l="1"/>
  <c r="S381" i="12"/>
  <c r="T381" i="12"/>
  <c r="S380" i="14"/>
  <c r="T380" i="14"/>
  <c r="S379" i="15"/>
  <c r="T379" i="15"/>
  <c r="S381" i="17"/>
  <c r="T381" i="17"/>
  <c r="G94" i="15"/>
  <c r="H94" i="15" s="1"/>
  <c r="I94" i="15" s="1"/>
  <c r="J94" i="15" s="1"/>
  <c r="K94" i="15" s="1"/>
  <c r="M94" i="15" s="1"/>
  <c r="N106" i="15" s="1"/>
  <c r="K88" i="17"/>
  <c r="M88" i="17" s="1"/>
  <c r="N100" i="17" s="1"/>
  <c r="O88" i="17"/>
  <c r="D89" i="17" s="1"/>
  <c r="P88" i="17"/>
  <c r="Q88" i="17" s="1"/>
  <c r="C262" i="17"/>
  <c r="L261" i="17"/>
  <c r="B383" i="17"/>
  <c r="R382" i="17"/>
  <c r="F260" i="17"/>
  <c r="B381" i="15"/>
  <c r="R380" i="15"/>
  <c r="L259" i="15"/>
  <c r="C260" i="15"/>
  <c r="H104" i="14"/>
  <c r="I104" i="14" s="1"/>
  <c r="J104" i="14" s="1"/>
  <c r="K104" i="14" s="1"/>
  <c r="M104" i="14" s="1"/>
  <c r="N116" i="14" s="1"/>
  <c r="C261" i="14"/>
  <c r="L260" i="14"/>
  <c r="R381" i="14"/>
  <c r="B382" i="14"/>
  <c r="H100" i="12"/>
  <c r="I100" i="12" s="1"/>
  <c r="P100" i="12" s="1"/>
  <c r="Q100" i="12" s="1"/>
  <c r="M85" i="10" s="1"/>
  <c r="B383" i="12"/>
  <c r="R382" i="12"/>
  <c r="L261" i="12"/>
  <c r="C262" i="12"/>
  <c r="F260" i="12"/>
  <c r="S249" i="1"/>
  <c r="T249" i="1"/>
  <c r="L253" i="1"/>
  <c r="C254" i="1"/>
  <c r="B251" i="1"/>
  <c r="R250" i="1"/>
  <c r="O66" i="1"/>
  <c r="D67" i="1" s="1"/>
  <c r="G67" i="1" s="1"/>
  <c r="S382" i="12" l="1"/>
  <c r="T382" i="12"/>
  <c r="S381" i="14"/>
  <c r="T381" i="14"/>
  <c r="S380" i="15"/>
  <c r="T380" i="15"/>
  <c r="S382" i="17"/>
  <c r="T382" i="17"/>
  <c r="P94" i="15"/>
  <c r="Q94" i="15" s="1"/>
  <c r="O94" i="15"/>
  <c r="D95" i="15" s="1"/>
  <c r="E95" i="15" s="1"/>
  <c r="E89" i="17"/>
  <c r="G89" i="17"/>
  <c r="H89" i="17" s="1"/>
  <c r="B384" i="17"/>
  <c r="R383" i="17"/>
  <c r="F261" i="17"/>
  <c r="L262" i="17"/>
  <c r="C263" i="17"/>
  <c r="C261" i="15"/>
  <c r="L260" i="15"/>
  <c r="B382" i="15"/>
  <c r="R381" i="15"/>
  <c r="O104" i="14"/>
  <c r="D105" i="14" s="1"/>
  <c r="G105" i="14" s="1"/>
  <c r="P104" i="14"/>
  <c r="Q104" i="14" s="1"/>
  <c r="M89" i="13" s="1"/>
  <c r="R382" i="14"/>
  <c r="B383" i="14"/>
  <c r="L261" i="14"/>
  <c r="C262" i="14"/>
  <c r="J100" i="12"/>
  <c r="O100" i="12" s="1"/>
  <c r="D101" i="12" s="1"/>
  <c r="L262" i="12"/>
  <c r="C263" i="12"/>
  <c r="F261" i="12"/>
  <c r="R383" i="12"/>
  <c r="B384" i="12"/>
  <c r="E67" i="1"/>
  <c r="S250" i="1"/>
  <c r="T250" i="1"/>
  <c r="L254" i="1"/>
  <c r="C255" i="1"/>
  <c r="B252" i="1"/>
  <c r="R251" i="1"/>
  <c r="M66" i="1"/>
  <c r="H67" i="1" l="1"/>
  <c r="S383" i="12"/>
  <c r="T383" i="12"/>
  <c r="S382" i="14"/>
  <c r="T382" i="14"/>
  <c r="S381" i="15"/>
  <c r="T381" i="15"/>
  <c r="S383" i="17"/>
  <c r="T383" i="17"/>
  <c r="G95" i="15"/>
  <c r="H95" i="15"/>
  <c r="I95" i="15" s="1"/>
  <c r="I89" i="17"/>
  <c r="J89" i="17" s="1"/>
  <c r="K89" i="17" s="1"/>
  <c r="M89" i="17" s="1"/>
  <c r="N101" i="17" s="1"/>
  <c r="F262" i="17"/>
  <c r="L263" i="17"/>
  <c r="C264" i="17"/>
  <c r="B385" i="17"/>
  <c r="R385" i="17" s="1"/>
  <c r="T385" i="17" s="1"/>
  <c r="R384" i="17"/>
  <c r="E105" i="14"/>
  <c r="H105" i="14" s="1"/>
  <c r="B383" i="15"/>
  <c r="R382" i="15"/>
  <c r="L261" i="15"/>
  <c r="C262" i="15"/>
  <c r="R383" i="14"/>
  <c r="B384" i="14"/>
  <c r="L262" i="14"/>
  <c r="C263" i="14"/>
  <c r="K100" i="12"/>
  <c r="M100" i="12" s="1"/>
  <c r="N112" i="12" s="1"/>
  <c r="B385" i="12"/>
  <c r="R385" i="12" s="1"/>
  <c r="T385" i="12" s="1"/>
  <c r="R384" i="12"/>
  <c r="F262" i="12"/>
  <c r="E101" i="12"/>
  <c r="G101" i="12"/>
  <c r="C264" i="12"/>
  <c r="L263" i="12"/>
  <c r="I67" i="1"/>
  <c r="S251" i="1"/>
  <c r="T251" i="1"/>
  <c r="L255" i="1"/>
  <c r="C256" i="1"/>
  <c r="B253" i="1"/>
  <c r="R252" i="1"/>
  <c r="S384" i="12" l="1"/>
  <c r="T384" i="12"/>
  <c r="S383" i="14"/>
  <c r="T383" i="14"/>
  <c r="S382" i="15"/>
  <c r="T382" i="15"/>
  <c r="S384" i="17"/>
  <c r="T384" i="17"/>
  <c r="H101" i="12"/>
  <c r="I101" i="12" s="1"/>
  <c r="P101" i="12" s="1"/>
  <c r="Q101" i="12" s="1"/>
  <c r="M86" i="10" s="1"/>
  <c r="S385" i="12"/>
  <c r="S385" i="17"/>
  <c r="P89" i="17"/>
  <c r="Q89" i="17" s="1"/>
  <c r="J95" i="15"/>
  <c r="K95" i="15" s="1"/>
  <c r="M95" i="15" s="1"/>
  <c r="N107" i="15" s="1"/>
  <c r="P95" i="15"/>
  <c r="Q95" i="15" s="1"/>
  <c r="O89" i="17"/>
  <c r="D90" i="17" s="1"/>
  <c r="L264" i="17"/>
  <c r="C265" i="17"/>
  <c r="F263" i="17"/>
  <c r="L262" i="15"/>
  <c r="C263" i="15"/>
  <c r="R383" i="15"/>
  <c r="B384" i="15"/>
  <c r="I105" i="14"/>
  <c r="P105" i="14" s="1"/>
  <c r="Q105" i="14" s="1"/>
  <c r="M90" i="13" s="1"/>
  <c r="C264" i="14"/>
  <c r="L263" i="14"/>
  <c r="B385" i="14"/>
  <c r="R385" i="14" s="1"/>
  <c r="T385" i="14" s="1"/>
  <c r="R384" i="14"/>
  <c r="C265" i="12"/>
  <c r="L264" i="12"/>
  <c r="F263" i="12"/>
  <c r="S252" i="1"/>
  <c r="T252" i="1"/>
  <c r="L256" i="1"/>
  <c r="C257" i="1"/>
  <c r="B254" i="1"/>
  <c r="R253" i="1"/>
  <c r="J67" i="1"/>
  <c r="K67" i="1" s="1"/>
  <c r="S384" i="14" l="1"/>
  <c r="T384" i="14"/>
  <c r="S383" i="15"/>
  <c r="T383" i="15"/>
  <c r="S385" i="14"/>
  <c r="E90" i="17"/>
  <c r="G90" i="17"/>
  <c r="O95" i="15"/>
  <c r="D96" i="15" s="1"/>
  <c r="C266" i="17"/>
  <c r="L265" i="17"/>
  <c r="F264" i="17"/>
  <c r="B385" i="15"/>
  <c r="R385" i="15" s="1"/>
  <c r="T385" i="15" s="1"/>
  <c r="R384" i="15"/>
  <c r="L263" i="15"/>
  <c r="C264" i="15"/>
  <c r="J105" i="14"/>
  <c r="K105" i="14" s="1"/>
  <c r="M105" i="14" s="1"/>
  <c r="N117" i="14" s="1"/>
  <c r="C265" i="14"/>
  <c r="L264" i="14"/>
  <c r="J101" i="12"/>
  <c r="O101" i="12" s="1"/>
  <c r="D102" i="12" s="1"/>
  <c r="F264" i="12"/>
  <c r="C266" i="12"/>
  <c r="L265" i="12"/>
  <c r="S253" i="1"/>
  <c r="T253" i="1"/>
  <c r="L257" i="1"/>
  <c r="C258" i="1"/>
  <c r="B255" i="1"/>
  <c r="R254" i="1"/>
  <c r="S384" i="15" l="1"/>
  <c r="T384" i="15"/>
  <c r="H90" i="17"/>
  <c r="I90" i="17" s="1"/>
  <c r="S385" i="15"/>
  <c r="E96" i="15"/>
  <c r="G96" i="15"/>
  <c r="F265" i="17"/>
  <c r="L266" i="17"/>
  <c r="C267" i="17"/>
  <c r="O105" i="14"/>
  <c r="D106" i="14" s="1"/>
  <c r="G106" i="14" s="1"/>
  <c r="C265" i="15"/>
  <c r="L264" i="15"/>
  <c r="C266" i="14"/>
  <c r="L265" i="14"/>
  <c r="K101" i="12"/>
  <c r="M101" i="12" s="1"/>
  <c r="N113" i="12" s="1"/>
  <c r="C267" i="12"/>
  <c r="L266" i="12"/>
  <c r="E102" i="12"/>
  <c r="G102" i="12"/>
  <c r="F265" i="12"/>
  <c r="S254" i="1"/>
  <c r="T254" i="1"/>
  <c r="L258" i="1"/>
  <c r="C259" i="1"/>
  <c r="B256" i="1"/>
  <c r="R255" i="1"/>
  <c r="O67" i="1"/>
  <c r="D68" i="1" s="1"/>
  <c r="G68" i="1" s="1"/>
  <c r="P90" i="17" l="1"/>
  <c r="Q90" i="17" s="1"/>
  <c r="J90" i="17"/>
  <c r="K90" i="17" s="1"/>
  <c r="M90" i="17" s="1"/>
  <c r="N102" i="17" s="1"/>
  <c r="E106" i="14"/>
  <c r="H106" i="14" s="1"/>
  <c r="I106" i="14" s="1"/>
  <c r="P106" i="14" s="1"/>
  <c r="Q106" i="14" s="1"/>
  <c r="M91" i="13" s="1"/>
  <c r="H96" i="15"/>
  <c r="I96" i="15" s="1"/>
  <c r="P96" i="15" s="1"/>
  <c r="Q96" i="15" s="1"/>
  <c r="L267" i="17"/>
  <c r="C268" i="17"/>
  <c r="F266" i="17"/>
  <c r="L265" i="15"/>
  <c r="C266" i="15"/>
  <c r="L266" i="14"/>
  <c r="C267" i="14"/>
  <c r="H102" i="12"/>
  <c r="I102" i="12" s="1"/>
  <c r="J102" i="12" s="1"/>
  <c r="C268" i="12"/>
  <c r="L267" i="12"/>
  <c r="F266" i="12"/>
  <c r="E68" i="1"/>
  <c r="S255" i="1"/>
  <c r="T255" i="1"/>
  <c r="L259" i="1"/>
  <c r="C260" i="1"/>
  <c r="B257" i="1"/>
  <c r="R256" i="1"/>
  <c r="M67" i="1"/>
  <c r="H68" i="1" l="1"/>
  <c r="I68" i="1" s="1"/>
  <c r="O90" i="17"/>
  <c r="D91" i="17" s="1"/>
  <c r="H91" i="17" s="1"/>
  <c r="G91" i="17"/>
  <c r="J96" i="15"/>
  <c r="K96" i="15" s="1"/>
  <c r="M96" i="15" s="1"/>
  <c r="N108" i="15" s="1"/>
  <c r="J106" i="14"/>
  <c r="K106" i="14" s="1"/>
  <c r="M106" i="14" s="1"/>
  <c r="N118" i="14" s="1"/>
  <c r="F267" i="17"/>
  <c r="L268" i="17"/>
  <c r="C269" i="17"/>
  <c r="C267" i="15"/>
  <c r="L266" i="15"/>
  <c r="C268" i="14"/>
  <c r="L267" i="14"/>
  <c r="O102" i="12"/>
  <c r="D103" i="12" s="1"/>
  <c r="P102" i="12"/>
  <c r="Q102" i="12" s="1"/>
  <c r="M87" i="10" s="1"/>
  <c r="F267" i="12"/>
  <c r="K102" i="12"/>
  <c r="M102" i="12" s="1"/>
  <c r="N114" i="12" s="1"/>
  <c r="L268" i="12"/>
  <c r="C269" i="12"/>
  <c r="S256" i="1"/>
  <c r="T256" i="1"/>
  <c r="L260" i="1"/>
  <c r="C261" i="1"/>
  <c r="B258" i="1"/>
  <c r="R257" i="1"/>
  <c r="I91" i="17" l="1"/>
  <c r="J91" i="17" s="1"/>
  <c r="K91" i="17" s="1"/>
  <c r="M91" i="17" s="1"/>
  <c r="N103" i="17" s="1"/>
  <c r="E91" i="17"/>
  <c r="P91" i="17" s="1"/>
  <c r="Q91" i="17" s="1"/>
  <c r="O106" i="14"/>
  <c r="D107" i="14" s="1"/>
  <c r="G107" i="14" s="1"/>
  <c r="O96" i="15"/>
  <c r="D97" i="15" s="1"/>
  <c r="E97" i="15" s="1"/>
  <c r="F268" i="17"/>
  <c r="L269" i="17"/>
  <c r="C270" i="17"/>
  <c r="L267" i="15"/>
  <c r="C268" i="15"/>
  <c r="C269" i="14"/>
  <c r="L268" i="14"/>
  <c r="C270" i="12"/>
  <c r="L269" i="12"/>
  <c r="F268" i="12"/>
  <c r="E103" i="12"/>
  <c r="G103" i="12"/>
  <c r="J68" i="1"/>
  <c r="K68" i="1" s="1"/>
  <c r="S257" i="1"/>
  <c r="T257" i="1"/>
  <c r="L261" i="1"/>
  <c r="C262" i="1"/>
  <c r="B259" i="1"/>
  <c r="R258" i="1"/>
  <c r="E107" i="14" l="1"/>
  <c r="O91" i="17"/>
  <c r="D92" i="17" s="1"/>
  <c r="E92" i="17" s="1"/>
  <c r="G92" i="17"/>
  <c r="H92" i="17" s="1"/>
  <c r="I92" i="17" s="1"/>
  <c r="J92" i="17" s="1"/>
  <c r="K92" i="17" s="1"/>
  <c r="M92" i="17" s="1"/>
  <c r="N104" i="17" s="1"/>
  <c r="G97" i="15"/>
  <c r="H97" i="15" s="1"/>
  <c r="L270" i="17"/>
  <c r="C271" i="17"/>
  <c r="F269" i="17"/>
  <c r="L268" i="15"/>
  <c r="C269" i="15"/>
  <c r="H107" i="14"/>
  <c r="L269" i="14"/>
  <c r="C270" i="14"/>
  <c r="H103" i="12"/>
  <c r="I103" i="12" s="1"/>
  <c r="P103" i="12" s="1"/>
  <c r="Q103" i="12" s="1"/>
  <c r="M88" i="10" s="1"/>
  <c r="F269" i="12"/>
  <c r="L270" i="12"/>
  <c r="C271" i="12"/>
  <c r="S258" i="1"/>
  <c r="T258" i="1"/>
  <c r="L262" i="1"/>
  <c r="C263" i="1"/>
  <c r="B260" i="1"/>
  <c r="R259" i="1"/>
  <c r="I97" i="15" l="1"/>
  <c r="P97" i="15" s="1"/>
  <c r="Q97" i="15" s="1"/>
  <c r="O92" i="17"/>
  <c r="D93" i="17" s="1"/>
  <c r="P92" i="17"/>
  <c r="Q92" i="17" s="1"/>
  <c r="F270" i="17"/>
  <c r="C272" i="17"/>
  <c r="L271" i="17"/>
  <c r="L269" i="15"/>
  <c r="C270" i="15"/>
  <c r="I107" i="14"/>
  <c r="J107" i="14" s="1"/>
  <c r="K107" i="14" s="1"/>
  <c r="M107" i="14" s="1"/>
  <c r="N119" i="14" s="1"/>
  <c r="J103" i="12"/>
  <c r="O103" i="12" s="1"/>
  <c r="D104" i="12" s="1"/>
  <c r="E104" i="12" s="1"/>
  <c r="L270" i="14"/>
  <c r="C271" i="14"/>
  <c r="C272" i="12"/>
  <c r="L271" i="12"/>
  <c r="F270" i="12"/>
  <c r="S259" i="1"/>
  <c r="T259" i="1"/>
  <c r="L263" i="1"/>
  <c r="C264" i="1"/>
  <c r="B261" i="1"/>
  <c r="R260" i="1"/>
  <c r="O68" i="1"/>
  <c r="D69" i="1" s="1"/>
  <c r="G69" i="1" s="1"/>
  <c r="J97" i="15" l="1"/>
  <c r="K97" i="15" s="1"/>
  <c r="M97" i="15" s="1"/>
  <c r="N109" i="15" s="1"/>
  <c r="G93" i="17"/>
  <c r="E93" i="17"/>
  <c r="G104" i="12"/>
  <c r="H104" i="12" s="1"/>
  <c r="I104" i="12" s="1"/>
  <c r="P104" i="12" s="1"/>
  <c r="Q104" i="12" s="1"/>
  <c r="M89" i="10" s="1"/>
  <c r="C273" i="17"/>
  <c r="L272" i="17"/>
  <c r="F271" i="17"/>
  <c r="K103" i="12"/>
  <c r="M103" i="12" s="1"/>
  <c r="N115" i="12" s="1"/>
  <c r="L270" i="15"/>
  <c r="C271" i="15"/>
  <c r="P107" i="14"/>
  <c r="Q107" i="14" s="1"/>
  <c r="M92" i="13" s="1"/>
  <c r="O107" i="14"/>
  <c r="D108" i="14" s="1"/>
  <c r="L271" i="14"/>
  <c r="C272" i="14"/>
  <c r="L272" i="12"/>
  <c r="C273" i="12"/>
  <c r="F271" i="12"/>
  <c r="E69" i="1"/>
  <c r="S260" i="1"/>
  <c r="T260" i="1"/>
  <c r="L264" i="1"/>
  <c r="C265" i="1"/>
  <c r="B262" i="1"/>
  <c r="R261" i="1"/>
  <c r="M68" i="1"/>
  <c r="H69" i="1" l="1"/>
  <c r="I69" i="1" s="1"/>
  <c r="O97" i="15"/>
  <c r="D98" i="15" s="1"/>
  <c r="E98" i="15" s="1"/>
  <c r="H93" i="17"/>
  <c r="L273" i="17"/>
  <c r="C274" i="17"/>
  <c r="F272" i="17"/>
  <c r="C272" i="15"/>
  <c r="L271" i="15"/>
  <c r="E108" i="14"/>
  <c r="G108" i="14"/>
  <c r="J104" i="12"/>
  <c r="O104" i="12" s="1"/>
  <c r="D105" i="12" s="1"/>
  <c r="E105" i="12" s="1"/>
  <c r="L272" i="14"/>
  <c r="C273" i="14"/>
  <c r="F272" i="12"/>
  <c r="C274" i="12"/>
  <c r="L273" i="12"/>
  <c r="S261" i="1"/>
  <c r="T261" i="1"/>
  <c r="L265" i="1"/>
  <c r="C266" i="1"/>
  <c r="B263" i="1"/>
  <c r="R262" i="1"/>
  <c r="H108" i="14" l="1"/>
  <c r="G98" i="15"/>
  <c r="H98" i="15" s="1"/>
  <c r="I98" i="15" s="1"/>
  <c r="I93" i="17"/>
  <c r="J93" i="17" s="1"/>
  <c r="F273" i="17"/>
  <c r="C275" i="17"/>
  <c r="L274" i="17"/>
  <c r="G105" i="12"/>
  <c r="H105" i="12" s="1"/>
  <c r="I105" i="12" s="1"/>
  <c r="P105" i="12" s="1"/>
  <c r="Q105" i="12" s="1"/>
  <c r="M90" i="10" s="1"/>
  <c r="K104" i="12"/>
  <c r="M104" i="12" s="1"/>
  <c r="N116" i="12" s="1"/>
  <c r="L272" i="15"/>
  <c r="C273" i="15"/>
  <c r="I108" i="14"/>
  <c r="P108" i="14" s="1"/>
  <c r="Q108" i="14" s="1"/>
  <c r="M93" i="13" s="1"/>
  <c r="L273" i="14"/>
  <c r="C274" i="14"/>
  <c r="C275" i="12"/>
  <c r="L274" i="12"/>
  <c r="F273" i="12"/>
  <c r="J69" i="1"/>
  <c r="K69" i="1" s="1"/>
  <c r="S262" i="1"/>
  <c r="T262" i="1"/>
  <c r="L266" i="1"/>
  <c r="C267" i="1"/>
  <c r="B264" i="1"/>
  <c r="R263" i="1"/>
  <c r="P98" i="15" l="1"/>
  <c r="Q98" i="15" s="1"/>
  <c r="J98" i="15"/>
  <c r="K98" i="15" s="1"/>
  <c r="M98" i="15" s="1"/>
  <c r="N110" i="15" s="1"/>
  <c r="O93" i="17"/>
  <c r="D94" i="17" s="1"/>
  <c r="K93" i="17"/>
  <c r="M93" i="17" s="1"/>
  <c r="N105" i="17" s="1"/>
  <c r="P93" i="17"/>
  <c r="Q93" i="17" s="1"/>
  <c r="C276" i="17"/>
  <c r="L275" i="17"/>
  <c r="F274" i="17"/>
  <c r="L273" i="15"/>
  <c r="C274" i="15"/>
  <c r="J108" i="14"/>
  <c r="K108" i="14" s="1"/>
  <c r="M108" i="14" s="1"/>
  <c r="N120" i="14" s="1"/>
  <c r="L274" i="14"/>
  <c r="C275" i="14"/>
  <c r="J105" i="12"/>
  <c r="K105" i="12" s="1"/>
  <c r="M105" i="12" s="1"/>
  <c r="N117" i="12" s="1"/>
  <c r="F274" i="12"/>
  <c r="L275" i="12"/>
  <c r="C276" i="12"/>
  <c r="S263" i="1"/>
  <c r="T263" i="1"/>
  <c r="L267" i="1"/>
  <c r="C268" i="1"/>
  <c r="B265" i="1"/>
  <c r="R264" i="1"/>
  <c r="O98" i="15" l="1"/>
  <c r="D99" i="15" s="1"/>
  <c r="G94" i="17"/>
  <c r="E94" i="17"/>
  <c r="L276" i="17"/>
  <c r="C277" i="17"/>
  <c r="F275" i="17"/>
  <c r="C275" i="15"/>
  <c r="L274" i="15"/>
  <c r="O108" i="14"/>
  <c r="D109" i="14" s="1"/>
  <c r="C276" i="14"/>
  <c r="L275" i="14"/>
  <c r="O105" i="12"/>
  <c r="D106" i="12" s="1"/>
  <c r="E106" i="12" s="1"/>
  <c r="L276" i="12"/>
  <c r="C277" i="12"/>
  <c r="F275" i="12"/>
  <c r="S264" i="1"/>
  <c r="T264" i="1"/>
  <c r="L268" i="1"/>
  <c r="C269" i="1"/>
  <c r="B266" i="1"/>
  <c r="R265" i="1"/>
  <c r="O69" i="1"/>
  <c r="D70" i="1" s="1"/>
  <c r="G70" i="1" s="1"/>
  <c r="G99" i="15" l="1"/>
  <c r="E99" i="15"/>
  <c r="H94" i="17"/>
  <c r="I94" i="17" s="1"/>
  <c r="J94" i="17" s="1"/>
  <c r="K94" i="17" s="1"/>
  <c r="M94" i="17" s="1"/>
  <c r="N106" i="17" s="1"/>
  <c r="C278" i="17"/>
  <c r="L277" i="17"/>
  <c r="F276" i="17"/>
  <c r="C276" i="15"/>
  <c r="L275" i="15"/>
  <c r="G109" i="14"/>
  <c r="E109" i="14"/>
  <c r="C277" i="14"/>
  <c r="L276" i="14"/>
  <c r="G106" i="12"/>
  <c r="H106" i="12" s="1"/>
  <c r="I106" i="12" s="1"/>
  <c r="C278" i="12"/>
  <c r="L277" i="12"/>
  <c r="F276" i="12"/>
  <c r="E70" i="1"/>
  <c r="S265" i="1"/>
  <c r="T265" i="1"/>
  <c r="L269" i="1"/>
  <c r="C270" i="1"/>
  <c r="B267" i="1"/>
  <c r="R266" i="1"/>
  <c r="M69" i="1"/>
  <c r="H70" i="1" l="1"/>
  <c r="I70" i="1" s="1"/>
  <c r="H99" i="15"/>
  <c r="O94" i="17"/>
  <c r="D95" i="17" s="1"/>
  <c r="P94" i="17"/>
  <c r="Q94" i="17" s="1"/>
  <c r="L278" i="17"/>
  <c r="C279" i="17"/>
  <c r="F277" i="17"/>
  <c r="C277" i="15"/>
  <c r="L276" i="15"/>
  <c r="H109" i="14"/>
  <c r="I109" i="14" s="1"/>
  <c r="J109" i="14" s="1"/>
  <c r="K109" i="14" s="1"/>
  <c r="M109" i="14" s="1"/>
  <c r="N121" i="14" s="1"/>
  <c r="C278" i="14"/>
  <c r="L277" i="14"/>
  <c r="C279" i="12"/>
  <c r="L278" i="12"/>
  <c r="F277" i="12"/>
  <c r="P106" i="12"/>
  <c r="Q106" i="12" s="1"/>
  <c r="M91" i="10" s="1"/>
  <c r="J106" i="12"/>
  <c r="S266" i="1"/>
  <c r="T266" i="1"/>
  <c r="L270" i="1"/>
  <c r="C271" i="1"/>
  <c r="B268" i="1"/>
  <c r="R267" i="1"/>
  <c r="I99" i="15" l="1"/>
  <c r="P99" i="15" s="1"/>
  <c r="Q99" i="15" s="1"/>
  <c r="E95" i="17"/>
  <c r="G95" i="17"/>
  <c r="F278" i="17"/>
  <c r="L279" i="17"/>
  <c r="C280" i="17"/>
  <c r="C278" i="15"/>
  <c r="L277" i="15"/>
  <c r="P109" i="14"/>
  <c r="Q109" i="14" s="1"/>
  <c r="M94" i="13" s="1"/>
  <c r="O109" i="14"/>
  <c r="D110" i="14" s="1"/>
  <c r="E110" i="14" s="1"/>
  <c r="C279" i="14"/>
  <c r="L278" i="14"/>
  <c r="F278" i="12"/>
  <c r="C280" i="12"/>
  <c r="L279" i="12"/>
  <c r="K106" i="12"/>
  <c r="M106" i="12" s="1"/>
  <c r="N118" i="12" s="1"/>
  <c r="O106" i="12"/>
  <c r="D107" i="12" s="1"/>
  <c r="J70" i="1"/>
  <c r="K70" i="1" s="1"/>
  <c r="S267" i="1"/>
  <c r="T267" i="1"/>
  <c r="L271" i="1"/>
  <c r="C272" i="1"/>
  <c r="B269" i="1"/>
  <c r="R268" i="1"/>
  <c r="J99" i="15" l="1"/>
  <c r="K99" i="15" s="1"/>
  <c r="M99" i="15" s="1"/>
  <c r="N111" i="15" s="1"/>
  <c r="H95" i="17"/>
  <c r="C281" i="17"/>
  <c r="L280" i="17"/>
  <c r="F279" i="17"/>
  <c r="C279" i="15"/>
  <c r="L278" i="15"/>
  <c r="G110" i="14"/>
  <c r="H110" i="14" s="1"/>
  <c r="I110" i="14" s="1"/>
  <c r="L279" i="14"/>
  <c r="C280" i="14"/>
  <c r="L280" i="12"/>
  <c r="C281" i="12"/>
  <c r="E107" i="12"/>
  <c r="G107" i="12"/>
  <c r="F279" i="12"/>
  <c r="S268" i="1"/>
  <c r="T268" i="1"/>
  <c r="L272" i="1"/>
  <c r="C273" i="1"/>
  <c r="B270" i="1"/>
  <c r="R269" i="1"/>
  <c r="O99" i="15" l="1"/>
  <c r="D100" i="15" s="1"/>
  <c r="I95" i="17"/>
  <c r="F280" i="17"/>
  <c r="C282" i="17"/>
  <c r="L281" i="17"/>
  <c r="L279" i="15"/>
  <c r="C280" i="15"/>
  <c r="J110" i="14"/>
  <c r="K110" i="14" s="1"/>
  <c r="M110" i="14" s="1"/>
  <c r="N122" i="14" s="1"/>
  <c r="P110" i="14"/>
  <c r="Q110" i="14" s="1"/>
  <c r="M95" i="13" s="1"/>
  <c r="L280" i="14"/>
  <c r="C281" i="14"/>
  <c r="H107" i="12"/>
  <c r="I107" i="12" s="1"/>
  <c r="J107" i="12" s="1"/>
  <c r="K107" i="12" s="1"/>
  <c r="M107" i="12" s="1"/>
  <c r="N119" i="12" s="1"/>
  <c r="C282" i="12"/>
  <c r="L281" i="12"/>
  <c r="F280" i="12"/>
  <c r="S269" i="1"/>
  <c r="T269" i="1"/>
  <c r="L273" i="1"/>
  <c r="C274" i="1"/>
  <c r="B271" i="1"/>
  <c r="R270" i="1"/>
  <c r="O70" i="1"/>
  <c r="D71" i="1" s="1"/>
  <c r="G71" i="1" s="1"/>
  <c r="E100" i="15" l="1"/>
  <c r="G100" i="15"/>
  <c r="H100" i="15" s="1"/>
  <c r="I100" i="15" s="1"/>
  <c r="J100" i="15" s="1"/>
  <c r="K100" i="15" s="1"/>
  <c r="M100" i="15" s="1"/>
  <c r="N112" i="15" s="1"/>
  <c r="P95" i="17"/>
  <c r="Q95" i="17" s="1"/>
  <c r="O110" i="14"/>
  <c r="D111" i="14" s="1"/>
  <c r="G111" i="14" s="1"/>
  <c r="J95" i="17"/>
  <c r="K95" i="17" s="1"/>
  <c r="M95" i="17" s="1"/>
  <c r="N107" i="17" s="1"/>
  <c r="L282" i="17"/>
  <c r="C283" i="17"/>
  <c r="F281" i="17"/>
  <c r="L280" i="15"/>
  <c r="C281" i="15"/>
  <c r="L281" i="14"/>
  <c r="C282" i="14"/>
  <c r="O107" i="12"/>
  <c r="D108" i="12" s="1"/>
  <c r="G108" i="12" s="1"/>
  <c r="P107" i="12"/>
  <c r="Q107" i="12" s="1"/>
  <c r="M92" i="10" s="1"/>
  <c r="F281" i="12"/>
  <c r="C283" i="12"/>
  <c r="L282" i="12"/>
  <c r="E71" i="1"/>
  <c r="S270" i="1"/>
  <c r="T270" i="1"/>
  <c r="L274" i="1"/>
  <c r="C275" i="1"/>
  <c r="B272" i="1"/>
  <c r="R271" i="1"/>
  <c r="M70" i="1"/>
  <c r="H71" i="1" l="1"/>
  <c r="I71" i="1" s="1"/>
  <c r="E108" i="12"/>
  <c r="H108" i="12" s="1"/>
  <c r="I108" i="12" s="1"/>
  <c r="J108" i="12" s="1"/>
  <c r="O100" i="15"/>
  <c r="D101" i="15" s="1"/>
  <c r="P100" i="15"/>
  <c r="Q100" i="15" s="1"/>
  <c r="E111" i="14"/>
  <c r="H111" i="14" s="1"/>
  <c r="I111" i="14" s="1"/>
  <c r="J111" i="14" s="1"/>
  <c r="K111" i="14" s="1"/>
  <c r="M111" i="14" s="1"/>
  <c r="N123" i="14" s="1"/>
  <c r="O95" i="17"/>
  <c r="D96" i="17" s="1"/>
  <c r="F282" i="17"/>
  <c r="L283" i="17"/>
  <c r="C284" i="17"/>
  <c r="C282" i="15"/>
  <c r="L281" i="15"/>
  <c r="L282" i="14"/>
  <c r="C283" i="14"/>
  <c r="L283" i="12"/>
  <c r="C284" i="12"/>
  <c r="F282" i="12"/>
  <c r="S271" i="1"/>
  <c r="T271" i="1"/>
  <c r="L275" i="1"/>
  <c r="C276" i="1"/>
  <c r="B273" i="1"/>
  <c r="R272" i="1"/>
  <c r="P108" i="12" l="1"/>
  <c r="Q108" i="12" s="1"/>
  <c r="M93" i="10" s="1"/>
  <c r="G101" i="15"/>
  <c r="E101" i="15"/>
  <c r="G96" i="17"/>
  <c r="E96" i="17"/>
  <c r="F283" i="17"/>
  <c r="L284" i="17"/>
  <c r="C285" i="17"/>
  <c r="L282" i="15"/>
  <c r="C283" i="15"/>
  <c r="O111" i="14"/>
  <c r="D112" i="14" s="1"/>
  <c r="P111" i="14"/>
  <c r="Q111" i="14" s="1"/>
  <c r="M96" i="13" s="1"/>
  <c r="C284" i="14"/>
  <c r="L283" i="14"/>
  <c r="K108" i="12"/>
  <c r="M108" i="12" s="1"/>
  <c r="N120" i="12" s="1"/>
  <c r="F283" i="12"/>
  <c r="O108" i="12"/>
  <c r="D109" i="12" s="1"/>
  <c r="L284" i="12"/>
  <c r="C285" i="12"/>
  <c r="J71" i="1"/>
  <c r="K71" i="1" s="1"/>
  <c r="S272" i="1"/>
  <c r="T272" i="1"/>
  <c r="L276" i="1"/>
  <c r="C277" i="1"/>
  <c r="B274" i="1"/>
  <c r="R273" i="1"/>
  <c r="H101" i="15" l="1"/>
  <c r="I101" i="15" s="1"/>
  <c r="J101" i="15" s="1"/>
  <c r="K101" i="15" s="1"/>
  <c r="M101" i="15" s="1"/>
  <c r="N113" i="15" s="1"/>
  <c r="H96" i="17"/>
  <c r="C286" i="17"/>
  <c r="L285" i="17"/>
  <c r="F284" i="17"/>
  <c r="C284" i="15"/>
  <c r="L283" i="15"/>
  <c r="G112" i="14"/>
  <c r="E112" i="14"/>
  <c r="L284" i="14"/>
  <c r="C285" i="14"/>
  <c r="C286" i="12"/>
  <c r="L285" i="12"/>
  <c r="E109" i="12"/>
  <c r="G109" i="12"/>
  <c r="F284" i="12"/>
  <c r="S273" i="1"/>
  <c r="T273" i="1"/>
  <c r="L277" i="1"/>
  <c r="C278" i="1"/>
  <c r="B275" i="1"/>
  <c r="R274" i="1"/>
  <c r="O101" i="15" l="1"/>
  <c r="D102" i="15" s="1"/>
  <c r="P101" i="15"/>
  <c r="Q101" i="15" s="1"/>
  <c r="G102" i="15"/>
  <c r="E102" i="15"/>
  <c r="I96" i="17"/>
  <c r="P96" i="17" s="1"/>
  <c r="Q96" i="17" s="1"/>
  <c r="F285" i="17"/>
  <c r="L286" i="17"/>
  <c r="C287" i="17"/>
  <c r="L284" i="15"/>
  <c r="C285" i="15"/>
  <c r="H112" i="14"/>
  <c r="I112" i="14" s="1"/>
  <c r="J112" i="14" s="1"/>
  <c r="K112" i="14" s="1"/>
  <c r="M112" i="14" s="1"/>
  <c r="N124" i="14" s="1"/>
  <c r="L285" i="14"/>
  <c r="C286" i="14"/>
  <c r="H109" i="12"/>
  <c r="I109" i="12" s="1"/>
  <c r="F285" i="12"/>
  <c r="C287" i="12"/>
  <c r="L286" i="12"/>
  <c r="S274" i="1"/>
  <c r="T274" i="1"/>
  <c r="L278" i="1"/>
  <c r="C279" i="1"/>
  <c r="B276" i="1"/>
  <c r="R275" i="1"/>
  <c r="O71" i="1"/>
  <c r="D72" i="1" s="1"/>
  <c r="G72" i="1" s="1"/>
  <c r="H102" i="15" l="1"/>
  <c r="J96" i="17"/>
  <c r="C288" i="17"/>
  <c r="L287" i="17"/>
  <c r="F286" i="17"/>
  <c r="C286" i="15"/>
  <c r="L285" i="15"/>
  <c r="P112" i="14"/>
  <c r="Q112" i="14" s="1"/>
  <c r="M97" i="13" s="1"/>
  <c r="O112" i="14"/>
  <c r="D113" i="14" s="1"/>
  <c r="C287" i="14"/>
  <c r="L286" i="14"/>
  <c r="P109" i="12"/>
  <c r="Q109" i="12" s="1"/>
  <c r="M94" i="10" s="1"/>
  <c r="J109" i="12"/>
  <c r="O109" i="12" s="1"/>
  <c r="D110" i="12" s="1"/>
  <c r="E110" i="12" s="1"/>
  <c r="L287" i="12"/>
  <c r="C288" i="12"/>
  <c r="F286" i="12"/>
  <c r="E72" i="1"/>
  <c r="S275" i="1"/>
  <c r="T275" i="1"/>
  <c r="L279" i="1"/>
  <c r="C280" i="1"/>
  <c r="B277" i="1"/>
  <c r="R276" i="1"/>
  <c r="M71" i="1"/>
  <c r="H72" i="1" l="1"/>
  <c r="I72" i="1" s="1"/>
  <c r="I102" i="15"/>
  <c r="J102" i="15"/>
  <c r="K102" i="15" s="1"/>
  <c r="M102" i="15" s="1"/>
  <c r="N114" i="15" s="1"/>
  <c r="K96" i="17"/>
  <c r="M96" i="17" s="1"/>
  <c r="N108" i="17" s="1"/>
  <c r="O96" i="17"/>
  <c r="D97" i="17" s="1"/>
  <c r="F287" i="17"/>
  <c r="C289" i="17"/>
  <c r="L288" i="17"/>
  <c r="C287" i="15"/>
  <c r="L286" i="15"/>
  <c r="E113" i="14"/>
  <c r="G113" i="14"/>
  <c r="C288" i="14"/>
  <c r="L287" i="14"/>
  <c r="K109" i="12"/>
  <c r="M109" i="12" s="1"/>
  <c r="N121" i="12" s="1"/>
  <c r="G110" i="12"/>
  <c r="H110" i="12" s="1"/>
  <c r="I110" i="12" s="1"/>
  <c r="P110" i="12" s="1"/>
  <c r="Q110" i="12" s="1"/>
  <c r="M95" i="10" s="1"/>
  <c r="L288" i="12"/>
  <c r="C289" i="12"/>
  <c r="F287" i="12"/>
  <c r="S276" i="1"/>
  <c r="T276" i="1"/>
  <c r="L280" i="1"/>
  <c r="C281" i="1"/>
  <c r="B278" i="1"/>
  <c r="R277" i="1"/>
  <c r="P102" i="15" l="1"/>
  <c r="Q102" i="15" s="1"/>
  <c r="O102" i="15"/>
  <c r="D103" i="15" s="1"/>
  <c r="G97" i="17"/>
  <c r="E97" i="17"/>
  <c r="C290" i="17"/>
  <c r="L289" i="17"/>
  <c r="F288" i="17"/>
  <c r="H113" i="14"/>
  <c r="I113" i="14" s="1"/>
  <c r="J113" i="14" s="1"/>
  <c r="K113" i="14" s="1"/>
  <c r="M113" i="14" s="1"/>
  <c r="N125" i="14" s="1"/>
  <c r="C288" i="15"/>
  <c r="L287" i="15"/>
  <c r="L288" i="14"/>
  <c r="C289" i="14"/>
  <c r="J110" i="12"/>
  <c r="O110" i="12" s="1"/>
  <c r="D111" i="12" s="1"/>
  <c r="E111" i="12" s="1"/>
  <c r="F288" i="12"/>
  <c r="C290" i="12"/>
  <c r="L289" i="12"/>
  <c r="S277" i="1"/>
  <c r="T277" i="1"/>
  <c r="L281" i="1"/>
  <c r="C282" i="1"/>
  <c r="B279" i="1"/>
  <c r="R278" i="1"/>
  <c r="J72" i="1"/>
  <c r="K72" i="1" s="1"/>
  <c r="E103" i="15" l="1"/>
  <c r="G103" i="15"/>
  <c r="H103" i="15" s="1"/>
  <c r="I103" i="15" s="1"/>
  <c r="P113" i="14"/>
  <c r="Q113" i="14" s="1"/>
  <c r="M98" i="13" s="1"/>
  <c r="H97" i="17"/>
  <c r="F289" i="17"/>
  <c r="L290" i="17"/>
  <c r="C291" i="17"/>
  <c r="O113" i="14"/>
  <c r="D114" i="14" s="1"/>
  <c r="G114" i="14" s="1"/>
  <c r="C289" i="15"/>
  <c r="L288" i="15"/>
  <c r="L289" i="14"/>
  <c r="C290" i="14"/>
  <c r="K110" i="12"/>
  <c r="M110" i="12" s="1"/>
  <c r="N122" i="12" s="1"/>
  <c r="G111" i="12"/>
  <c r="H111" i="12" s="1"/>
  <c r="F289" i="12"/>
  <c r="L290" i="12"/>
  <c r="C291" i="12"/>
  <c r="S278" i="1"/>
  <c r="T278" i="1"/>
  <c r="L282" i="1"/>
  <c r="C283" i="1"/>
  <c r="B280" i="1"/>
  <c r="R279" i="1"/>
  <c r="J103" i="15" l="1"/>
  <c r="K103" i="15" s="1"/>
  <c r="M103" i="15" s="1"/>
  <c r="N115" i="15" s="1"/>
  <c r="P103" i="15"/>
  <c r="Q103" i="15" s="1"/>
  <c r="I97" i="17"/>
  <c r="E114" i="14"/>
  <c r="H114" i="14" s="1"/>
  <c r="I114" i="14" s="1"/>
  <c r="J114" i="14" s="1"/>
  <c r="F290" i="17"/>
  <c r="C292" i="17"/>
  <c r="L291" i="17"/>
  <c r="C290" i="15"/>
  <c r="L289" i="15"/>
  <c r="L290" i="14"/>
  <c r="C291" i="14"/>
  <c r="I111" i="12"/>
  <c r="J111" i="12" s="1"/>
  <c r="K111" i="12" s="1"/>
  <c r="M111" i="12" s="1"/>
  <c r="N123" i="12" s="1"/>
  <c r="L291" i="12"/>
  <c r="C292" i="12"/>
  <c r="F290" i="12"/>
  <c r="S279" i="1"/>
  <c r="T279" i="1"/>
  <c r="L283" i="1"/>
  <c r="C284" i="1"/>
  <c r="B281" i="1"/>
  <c r="R280" i="1"/>
  <c r="O72" i="1"/>
  <c r="D73" i="1" s="1"/>
  <c r="G73" i="1" s="1"/>
  <c r="O103" i="15" l="1"/>
  <c r="D104" i="15" s="1"/>
  <c r="E104" i="15" s="1"/>
  <c r="J97" i="17"/>
  <c r="K97" i="17" s="1"/>
  <c r="M97" i="17" s="1"/>
  <c r="N109" i="17" s="1"/>
  <c r="P97" i="17"/>
  <c r="Q97" i="17" s="1"/>
  <c r="L292" i="17"/>
  <c r="C293" i="17"/>
  <c r="F291" i="17"/>
  <c r="L290" i="15"/>
  <c r="C291" i="15"/>
  <c r="P114" i="14"/>
  <c r="Q114" i="14" s="1"/>
  <c r="M99" i="13" s="1"/>
  <c r="O114" i="14"/>
  <c r="D115" i="14" s="1"/>
  <c r="K114" i="14"/>
  <c r="M114" i="14" s="1"/>
  <c r="N126" i="14" s="1"/>
  <c r="C292" i="14"/>
  <c r="L291" i="14"/>
  <c r="O111" i="12"/>
  <c r="D112" i="12" s="1"/>
  <c r="P111" i="12"/>
  <c r="Q111" i="12" s="1"/>
  <c r="M96" i="10" s="1"/>
  <c r="L292" i="12"/>
  <c r="C293" i="12"/>
  <c r="F291" i="12"/>
  <c r="E73" i="1"/>
  <c r="S280" i="1"/>
  <c r="T280" i="1"/>
  <c r="L284" i="1"/>
  <c r="C285" i="1"/>
  <c r="B282" i="1"/>
  <c r="R281" i="1"/>
  <c r="M72" i="1"/>
  <c r="H73" i="1" l="1"/>
  <c r="I73" i="1" s="1"/>
  <c r="G104" i="15"/>
  <c r="H104" i="15" s="1"/>
  <c r="I104" i="15" s="1"/>
  <c r="P104" i="15" s="1"/>
  <c r="Q104" i="15" s="1"/>
  <c r="O97" i="17"/>
  <c r="D98" i="17" s="1"/>
  <c r="F292" i="17"/>
  <c r="C294" i="17"/>
  <c r="L293" i="17"/>
  <c r="C292" i="15"/>
  <c r="L291" i="15"/>
  <c r="E115" i="14"/>
  <c r="G115" i="14"/>
  <c r="C293" i="14"/>
  <c r="L292" i="14"/>
  <c r="E112" i="12"/>
  <c r="G112" i="12"/>
  <c r="L293" i="12"/>
  <c r="C294" i="12"/>
  <c r="F292" i="12"/>
  <c r="S281" i="1"/>
  <c r="T281" i="1"/>
  <c r="L285" i="1"/>
  <c r="C286" i="1"/>
  <c r="B283" i="1"/>
  <c r="R282" i="1"/>
  <c r="J104" i="15" l="1"/>
  <c r="K104" i="15" s="1"/>
  <c r="M104" i="15" s="1"/>
  <c r="N116" i="15" s="1"/>
  <c r="E98" i="17"/>
  <c r="G98" i="17"/>
  <c r="H98" i="17" s="1"/>
  <c r="I98" i="17" s="1"/>
  <c r="P98" i="17" s="1"/>
  <c r="Q98" i="17" s="1"/>
  <c r="H115" i="14"/>
  <c r="I115" i="14" s="1"/>
  <c r="J115" i="14" s="1"/>
  <c r="K115" i="14" s="1"/>
  <c r="M115" i="14" s="1"/>
  <c r="N127" i="14" s="1"/>
  <c r="H112" i="12"/>
  <c r="I112" i="12" s="1"/>
  <c r="J112" i="12" s="1"/>
  <c r="K112" i="12" s="1"/>
  <c r="M112" i="12" s="1"/>
  <c r="N124" i="12" s="1"/>
  <c r="C295" i="17"/>
  <c r="L294" i="17"/>
  <c r="F293" i="17"/>
  <c r="L292" i="15"/>
  <c r="C293" i="15"/>
  <c r="L293" i="14"/>
  <c r="C294" i="14"/>
  <c r="C295" i="12"/>
  <c r="L294" i="12"/>
  <c r="F293" i="12"/>
  <c r="J73" i="1"/>
  <c r="K73" i="1" s="1"/>
  <c r="S282" i="1"/>
  <c r="T282" i="1"/>
  <c r="L286" i="1"/>
  <c r="C287" i="1"/>
  <c r="B284" i="1"/>
  <c r="R283" i="1"/>
  <c r="O104" i="15" l="1"/>
  <c r="D105" i="15" s="1"/>
  <c r="G105" i="15" s="1"/>
  <c r="J98" i="17"/>
  <c r="K98" i="17" s="1"/>
  <c r="M98" i="17" s="1"/>
  <c r="N110" i="17" s="1"/>
  <c r="O112" i="12"/>
  <c r="D113" i="12" s="1"/>
  <c r="E113" i="12" s="1"/>
  <c r="P112" i="12"/>
  <c r="Q112" i="12" s="1"/>
  <c r="M97" i="10" s="1"/>
  <c r="F294" i="17"/>
  <c r="L295" i="17"/>
  <c r="C296" i="17"/>
  <c r="L293" i="15"/>
  <c r="C294" i="15"/>
  <c r="P115" i="14"/>
  <c r="Q115" i="14" s="1"/>
  <c r="M100" i="13" s="1"/>
  <c r="O115" i="14"/>
  <c r="D116" i="14" s="1"/>
  <c r="L294" i="14"/>
  <c r="C295" i="14"/>
  <c r="F294" i="12"/>
  <c r="C296" i="12"/>
  <c r="L295" i="12"/>
  <c r="S283" i="1"/>
  <c r="T283" i="1"/>
  <c r="L287" i="1"/>
  <c r="C288" i="1"/>
  <c r="B285" i="1"/>
  <c r="R284" i="1"/>
  <c r="E105" i="15" l="1"/>
  <c r="H105" i="15" s="1"/>
  <c r="I105" i="15" s="1"/>
  <c r="J105" i="15" s="1"/>
  <c r="K105" i="15" s="1"/>
  <c r="M105" i="15" s="1"/>
  <c r="N117" i="15" s="1"/>
  <c r="O98" i="17"/>
  <c r="D99" i="17" s="1"/>
  <c r="G113" i="12"/>
  <c r="H113" i="12" s="1"/>
  <c r="I113" i="12" s="1"/>
  <c r="C297" i="17"/>
  <c r="L296" i="17"/>
  <c r="F295" i="17"/>
  <c r="C295" i="15"/>
  <c r="L294" i="15"/>
  <c r="G116" i="14"/>
  <c r="E116" i="14"/>
  <c r="C296" i="14"/>
  <c r="L295" i="14"/>
  <c r="L296" i="12"/>
  <c r="C297" i="12"/>
  <c r="F295" i="12"/>
  <c r="S284" i="1"/>
  <c r="T284" i="1"/>
  <c r="L288" i="1"/>
  <c r="C289" i="1"/>
  <c r="B286" i="1"/>
  <c r="R285" i="1"/>
  <c r="O73" i="1"/>
  <c r="D74" i="1" s="1"/>
  <c r="G74" i="1" s="1"/>
  <c r="P113" i="12" l="1"/>
  <c r="Q113" i="12" s="1"/>
  <c r="M98" i="10" s="1"/>
  <c r="J113" i="12"/>
  <c r="O113" i="12" s="1"/>
  <c r="D114" i="12" s="1"/>
  <c r="G114" i="12" s="1"/>
  <c r="G99" i="17"/>
  <c r="E99" i="17"/>
  <c r="P105" i="15"/>
  <c r="Q105" i="15" s="1"/>
  <c r="O105" i="15"/>
  <c r="D106" i="15" s="1"/>
  <c r="G106" i="15" s="1"/>
  <c r="F296" i="17"/>
  <c r="C298" i="17"/>
  <c r="L297" i="17"/>
  <c r="L295" i="15"/>
  <c r="C296" i="15"/>
  <c r="H116" i="14"/>
  <c r="I116" i="14" s="1"/>
  <c r="J116" i="14" s="1"/>
  <c r="K116" i="14" s="1"/>
  <c r="M116" i="14" s="1"/>
  <c r="N128" i="14" s="1"/>
  <c r="C297" i="14"/>
  <c r="L296" i="14"/>
  <c r="L297" i="12"/>
  <c r="C298" i="12"/>
  <c r="F296" i="12"/>
  <c r="E74" i="1"/>
  <c r="S285" i="1"/>
  <c r="T285" i="1"/>
  <c r="L289" i="1"/>
  <c r="C290" i="1"/>
  <c r="B287" i="1"/>
  <c r="R286" i="1"/>
  <c r="M73" i="1"/>
  <c r="H74" i="1" l="1"/>
  <c r="I74" i="1" s="1"/>
  <c r="K113" i="12"/>
  <c r="M113" i="12" s="1"/>
  <c r="N125" i="12" s="1"/>
  <c r="E114" i="12"/>
  <c r="H114" i="12" s="1"/>
  <c r="H99" i="17"/>
  <c r="I99" i="17" s="1"/>
  <c r="J99" i="17" s="1"/>
  <c r="K99" i="17" s="1"/>
  <c r="M99" i="17" s="1"/>
  <c r="N111" i="17" s="1"/>
  <c r="E106" i="15"/>
  <c r="H106" i="15" s="1"/>
  <c r="I106" i="15" s="1"/>
  <c r="C299" i="17"/>
  <c r="L298" i="17"/>
  <c r="F297" i="17"/>
  <c r="L296" i="15"/>
  <c r="C297" i="15"/>
  <c r="P116" i="14"/>
  <c r="Q116" i="14" s="1"/>
  <c r="M101" i="13" s="1"/>
  <c r="O116" i="14"/>
  <c r="D117" i="14" s="1"/>
  <c r="L297" i="14"/>
  <c r="C298" i="14"/>
  <c r="F297" i="12"/>
  <c r="C299" i="12"/>
  <c r="L298" i="12"/>
  <c r="S286" i="1"/>
  <c r="T286" i="1"/>
  <c r="L290" i="1"/>
  <c r="C291" i="1"/>
  <c r="B288" i="1"/>
  <c r="R287" i="1"/>
  <c r="I114" i="12" l="1"/>
  <c r="P114" i="12" s="1"/>
  <c r="Q114" i="12" s="1"/>
  <c r="M99" i="10" s="1"/>
  <c r="J114" i="12"/>
  <c r="O114" i="12" s="1"/>
  <c r="D115" i="12" s="1"/>
  <c r="E115" i="12" s="1"/>
  <c r="P99" i="17"/>
  <c r="Q99" i="17" s="1"/>
  <c r="O99" i="17"/>
  <c r="D100" i="17" s="1"/>
  <c r="E100" i="17" s="1"/>
  <c r="J106" i="15"/>
  <c r="K106" i="15" s="1"/>
  <c r="M106" i="15" s="1"/>
  <c r="N118" i="15" s="1"/>
  <c r="P106" i="15"/>
  <c r="Q106" i="15" s="1"/>
  <c r="C300" i="17"/>
  <c r="L299" i="17"/>
  <c r="F298" i="17"/>
  <c r="C298" i="15"/>
  <c r="L297" i="15"/>
  <c r="E117" i="14"/>
  <c r="G117" i="14"/>
  <c r="C299" i="14"/>
  <c r="L298" i="14"/>
  <c r="F298" i="12"/>
  <c r="L299" i="12"/>
  <c r="C300" i="12"/>
  <c r="J74" i="1"/>
  <c r="K74" i="1" s="1"/>
  <c r="S287" i="1"/>
  <c r="T287" i="1"/>
  <c r="L291" i="1"/>
  <c r="C292" i="1"/>
  <c r="B289" i="1"/>
  <c r="R288" i="1"/>
  <c r="H117" i="14" l="1"/>
  <c r="I117" i="14" s="1"/>
  <c r="P117" i="14" s="1"/>
  <c r="Q117" i="14" s="1"/>
  <c r="M102" i="13" s="1"/>
  <c r="G115" i="12"/>
  <c r="H115" i="12" s="1"/>
  <c r="I115" i="12" s="1"/>
  <c r="K114" i="12"/>
  <c r="M114" i="12" s="1"/>
  <c r="N126" i="12" s="1"/>
  <c r="G100" i="17"/>
  <c r="H100" i="17" s="1"/>
  <c r="O106" i="15"/>
  <c r="D107" i="15" s="1"/>
  <c r="C301" i="17"/>
  <c r="L300" i="17"/>
  <c r="F299" i="17"/>
  <c r="C299" i="15"/>
  <c r="L298" i="15"/>
  <c r="J117" i="14"/>
  <c r="K117" i="14" s="1"/>
  <c r="M117" i="14" s="1"/>
  <c r="N129" i="14" s="1"/>
  <c r="C300" i="14"/>
  <c r="L299" i="14"/>
  <c r="C301" i="12"/>
  <c r="L300" i="12"/>
  <c r="F299" i="12"/>
  <c r="S288" i="1"/>
  <c r="T288" i="1"/>
  <c r="L292" i="1"/>
  <c r="C293" i="1"/>
  <c r="B290" i="1"/>
  <c r="R289" i="1"/>
  <c r="T289" i="1" s="1"/>
  <c r="J115" i="12" l="1"/>
  <c r="O115" i="12" s="1"/>
  <c r="D116" i="12" s="1"/>
  <c r="E116" i="12" s="1"/>
  <c r="P115" i="12"/>
  <c r="Q115" i="12" s="1"/>
  <c r="M100" i="10" s="1"/>
  <c r="I100" i="17"/>
  <c r="J100" i="17" s="1"/>
  <c r="K100" i="17" s="1"/>
  <c r="M100" i="17" s="1"/>
  <c r="N112" i="17" s="1"/>
  <c r="E107" i="15"/>
  <c r="G107" i="15"/>
  <c r="F300" i="17"/>
  <c r="L301" i="17"/>
  <c r="C302" i="17"/>
  <c r="L299" i="15"/>
  <c r="C300" i="15"/>
  <c r="O117" i="14"/>
  <c r="D118" i="14" s="1"/>
  <c r="C301" i="14"/>
  <c r="L300" i="14"/>
  <c r="G116" i="12"/>
  <c r="F300" i="12"/>
  <c r="C302" i="12"/>
  <c r="L301" i="12"/>
  <c r="L293" i="1"/>
  <c r="C294" i="1"/>
  <c r="S289" i="1"/>
  <c r="B291" i="1"/>
  <c r="R290" i="1"/>
  <c r="O74" i="1"/>
  <c r="D75" i="1" s="1"/>
  <c r="G75" i="1" s="1"/>
  <c r="K115" i="12" l="1"/>
  <c r="M115" i="12" s="1"/>
  <c r="N127" i="12" s="1"/>
  <c r="P100" i="17"/>
  <c r="Q100" i="17" s="1"/>
  <c r="O100" i="17"/>
  <c r="D101" i="17" s="1"/>
  <c r="H107" i="15"/>
  <c r="C303" i="17"/>
  <c r="L302" i="17"/>
  <c r="F301" i="17"/>
  <c r="H116" i="12"/>
  <c r="I116" i="12" s="1"/>
  <c r="L300" i="15"/>
  <c r="C301" i="15"/>
  <c r="E118" i="14"/>
  <c r="G118" i="14"/>
  <c r="C302" i="14"/>
  <c r="L301" i="14"/>
  <c r="F301" i="12"/>
  <c r="C303" i="12"/>
  <c r="L302" i="12"/>
  <c r="E75" i="1"/>
  <c r="S290" i="1"/>
  <c r="T290" i="1"/>
  <c r="L294" i="1"/>
  <c r="C295" i="1"/>
  <c r="B292" i="1"/>
  <c r="R291" i="1"/>
  <c r="M74" i="1"/>
  <c r="H75" i="1" l="1"/>
  <c r="I75" i="1" s="1"/>
  <c r="G101" i="17"/>
  <c r="H101" i="17" s="1"/>
  <c r="I101" i="17" s="1"/>
  <c r="J101" i="17" s="1"/>
  <c r="K101" i="17" s="1"/>
  <c r="M101" i="17" s="1"/>
  <c r="N113" i="17" s="1"/>
  <c r="E101" i="17"/>
  <c r="H118" i="14"/>
  <c r="I118" i="14" s="1"/>
  <c r="J118" i="14" s="1"/>
  <c r="K118" i="14" s="1"/>
  <c r="M118" i="14" s="1"/>
  <c r="N130" i="14" s="1"/>
  <c r="I107" i="15"/>
  <c r="J107" i="15" s="1"/>
  <c r="K107" i="15" s="1"/>
  <c r="M107" i="15" s="1"/>
  <c r="N119" i="15" s="1"/>
  <c r="J116" i="12"/>
  <c r="O116" i="12" s="1"/>
  <c r="D117" i="12" s="1"/>
  <c r="E117" i="12" s="1"/>
  <c r="F302" i="17"/>
  <c r="C304" i="17"/>
  <c r="L303" i="17"/>
  <c r="P116" i="12"/>
  <c r="Q116" i="12" s="1"/>
  <c r="M101" i="10" s="1"/>
  <c r="C302" i="15"/>
  <c r="L301" i="15"/>
  <c r="L302" i="14"/>
  <c r="C303" i="14"/>
  <c r="F302" i="12"/>
  <c r="C304" i="12"/>
  <c r="L303" i="12"/>
  <c r="S291" i="1"/>
  <c r="T291" i="1"/>
  <c r="L295" i="1"/>
  <c r="C296" i="1"/>
  <c r="B293" i="1"/>
  <c r="R292" i="1"/>
  <c r="O118" i="14" l="1"/>
  <c r="D119" i="14" s="1"/>
  <c r="E119" i="14" s="1"/>
  <c r="P118" i="14"/>
  <c r="Q118" i="14" s="1"/>
  <c r="M103" i="13" s="1"/>
  <c r="O101" i="17"/>
  <c r="D102" i="17" s="1"/>
  <c r="G102" i="17" s="1"/>
  <c r="P101" i="17"/>
  <c r="Q101" i="17" s="1"/>
  <c r="K116" i="12"/>
  <c r="M116" i="12" s="1"/>
  <c r="N128" i="12" s="1"/>
  <c r="O107" i="15"/>
  <c r="D108" i="15" s="1"/>
  <c r="P107" i="15"/>
  <c r="Q107" i="15" s="1"/>
  <c r="G117" i="12"/>
  <c r="H117" i="12" s="1"/>
  <c r="I117" i="12" s="1"/>
  <c r="J117" i="12" s="1"/>
  <c r="K117" i="12" s="1"/>
  <c r="M117" i="12" s="1"/>
  <c r="N129" i="12" s="1"/>
  <c r="L304" i="17"/>
  <c r="C305" i="17"/>
  <c r="F303" i="17"/>
  <c r="L302" i="15"/>
  <c r="C303" i="15"/>
  <c r="C304" i="14"/>
  <c r="L303" i="14"/>
  <c r="C305" i="12"/>
  <c r="L304" i="12"/>
  <c r="F303" i="12"/>
  <c r="J75" i="1"/>
  <c r="K75" i="1" s="1"/>
  <c r="S292" i="1"/>
  <c r="T292" i="1"/>
  <c r="L296" i="1"/>
  <c r="C297" i="1"/>
  <c r="B294" i="1"/>
  <c r="R293" i="1"/>
  <c r="G119" i="14" l="1"/>
  <c r="H119" i="14" s="1"/>
  <c r="E102" i="17"/>
  <c r="H102" i="17"/>
  <c r="I102" i="17" s="1"/>
  <c r="J102" i="17" s="1"/>
  <c r="K102" i="17" s="1"/>
  <c r="M102" i="17" s="1"/>
  <c r="N114" i="17" s="1"/>
  <c r="O117" i="12"/>
  <c r="D118" i="12" s="1"/>
  <c r="E118" i="12" s="1"/>
  <c r="P117" i="12"/>
  <c r="Q117" i="12" s="1"/>
  <c r="M102" i="10" s="1"/>
  <c r="G108" i="15"/>
  <c r="E108" i="15"/>
  <c r="F304" i="17"/>
  <c r="L305" i="17"/>
  <c r="C306" i="17"/>
  <c r="L303" i="15"/>
  <c r="C304" i="15"/>
  <c r="I119" i="14"/>
  <c r="J119" i="14" s="1"/>
  <c r="K119" i="14" s="1"/>
  <c r="M119" i="14" s="1"/>
  <c r="N131" i="14" s="1"/>
  <c r="C305" i="14"/>
  <c r="L304" i="14"/>
  <c r="F304" i="12"/>
  <c r="L305" i="12"/>
  <c r="C306" i="12"/>
  <c r="S293" i="1"/>
  <c r="T293" i="1"/>
  <c r="L297" i="1"/>
  <c r="C298" i="1"/>
  <c r="B295" i="1"/>
  <c r="R294" i="1"/>
  <c r="G118" i="12" l="1"/>
  <c r="P102" i="17"/>
  <c r="Q102" i="17" s="1"/>
  <c r="O102" i="17"/>
  <c r="D103" i="17" s="1"/>
  <c r="H108" i="15"/>
  <c r="C307" i="17"/>
  <c r="L306" i="17"/>
  <c r="F305" i="17"/>
  <c r="L304" i="15"/>
  <c r="C305" i="15"/>
  <c r="P119" i="14"/>
  <c r="Q119" i="14" s="1"/>
  <c r="M104" i="13" s="1"/>
  <c r="O119" i="14"/>
  <c r="D120" i="14" s="1"/>
  <c r="C306" i="14"/>
  <c r="L305" i="14"/>
  <c r="L306" i="12"/>
  <c r="C307" i="12"/>
  <c r="H118" i="12"/>
  <c r="F305" i="12"/>
  <c r="S294" i="1"/>
  <c r="T294" i="1"/>
  <c r="L298" i="1"/>
  <c r="C299" i="1"/>
  <c r="B296" i="1"/>
  <c r="R295" i="1"/>
  <c r="O75" i="1"/>
  <c r="D76" i="1" s="1"/>
  <c r="G76" i="1" s="1"/>
  <c r="E103" i="17" l="1"/>
  <c r="G103" i="17"/>
  <c r="I108" i="15"/>
  <c r="J108" i="15"/>
  <c r="K108" i="15" s="1"/>
  <c r="M108" i="15" s="1"/>
  <c r="N120" i="15" s="1"/>
  <c r="F306" i="17"/>
  <c r="C308" i="17"/>
  <c r="L307" i="17"/>
  <c r="C306" i="15"/>
  <c r="L305" i="15"/>
  <c r="E120" i="14"/>
  <c r="G120" i="14"/>
  <c r="C307" i="14"/>
  <c r="L306" i="14"/>
  <c r="I118" i="12"/>
  <c r="P118" i="12" s="1"/>
  <c r="Q118" i="12" s="1"/>
  <c r="M103" i="10" s="1"/>
  <c r="F306" i="12"/>
  <c r="C308" i="12"/>
  <c r="L307" i="12"/>
  <c r="E76" i="1"/>
  <c r="S295" i="1"/>
  <c r="T295" i="1"/>
  <c r="L299" i="1"/>
  <c r="C300" i="1"/>
  <c r="B297" i="1"/>
  <c r="R296" i="1"/>
  <c r="M75" i="1"/>
  <c r="H120" i="14" l="1"/>
  <c r="I120" i="14" s="1"/>
  <c r="J120" i="14" s="1"/>
  <c r="O120" i="14" s="1"/>
  <c r="D121" i="14" s="1"/>
  <c r="H76" i="1"/>
  <c r="I76" i="1" s="1"/>
  <c r="H103" i="17"/>
  <c r="P108" i="15"/>
  <c r="Q108" i="15" s="1"/>
  <c r="O108" i="15"/>
  <c r="D109" i="15" s="1"/>
  <c r="L308" i="17"/>
  <c r="C309" i="17"/>
  <c r="F307" i="17"/>
  <c r="L306" i="15"/>
  <c r="C307" i="15"/>
  <c r="P120" i="14"/>
  <c r="Q120" i="14" s="1"/>
  <c r="M105" i="13" s="1"/>
  <c r="C308" i="14"/>
  <c r="L307" i="14"/>
  <c r="J118" i="12"/>
  <c r="K118" i="12" s="1"/>
  <c r="M118" i="12" s="1"/>
  <c r="N130" i="12" s="1"/>
  <c r="F307" i="12"/>
  <c r="L308" i="12"/>
  <c r="C309" i="12"/>
  <c r="S296" i="1"/>
  <c r="T296" i="1"/>
  <c r="L300" i="1"/>
  <c r="C301" i="1"/>
  <c r="B298" i="1"/>
  <c r="R297" i="1"/>
  <c r="K120" i="14" l="1"/>
  <c r="M120" i="14" s="1"/>
  <c r="N132" i="14" s="1"/>
  <c r="I103" i="17"/>
  <c r="P103" i="17" s="1"/>
  <c r="Q103" i="17" s="1"/>
  <c r="E109" i="15"/>
  <c r="G109" i="15"/>
  <c r="H109" i="15" s="1"/>
  <c r="I109" i="15" s="1"/>
  <c r="F308" i="17"/>
  <c r="C310" i="17"/>
  <c r="L309" i="17"/>
  <c r="L307" i="15"/>
  <c r="C308" i="15"/>
  <c r="E121" i="14"/>
  <c r="G121" i="14"/>
  <c r="C309" i="14"/>
  <c r="L308" i="14"/>
  <c r="O118" i="12"/>
  <c r="D119" i="12" s="1"/>
  <c r="G119" i="12" s="1"/>
  <c r="L309" i="12"/>
  <c r="C310" i="12"/>
  <c r="F308" i="12"/>
  <c r="J76" i="1"/>
  <c r="K76" i="1" s="1"/>
  <c r="S297" i="1"/>
  <c r="T297" i="1"/>
  <c r="L301" i="1"/>
  <c r="C302" i="1"/>
  <c r="B299" i="1"/>
  <c r="R298" i="1"/>
  <c r="P109" i="15" l="1"/>
  <c r="Q109" i="15" s="1"/>
  <c r="H121" i="14"/>
  <c r="I121" i="14" s="1"/>
  <c r="P121" i="14" s="1"/>
  <c r="Q121" i="14" s="1"/>
  <c r="M106" i="13" s="1"/>
  <c r="J103" i="17"/>
  <c r="E119" i="12"/>
  <c r="H119" i="12" s="1"/>
  <c r="I119" i="12" s="1"/>
  <c r="J109" i="15"/>
  <c r="K109" i="15" s="1"/>
  <c r="M109" i="15" s="1"/>
  <c r="N121" i="15" s="1"/>
  <c r="C311" i="17"/>
  <c r="L310" i="17"/>
  <c r="F309" i="17"/>
  <c r="L308" i="15"/>
  <c r="C309" i="15"/>
  <c r="J121" i="14"/>
  <c r="K121" i="14" s="1"/>
  <c r="M121" i="14" s="1"/>
  <c r="N133" i="14" s="1"/>
  <c r="L309" i="14"/>
  <c r="C310" i="14"/>
  <c r="C311" i="12"/>
  <c r="L310" i="12"/>
  <c r="F309" i="12"/>
  <c r="S298" i="1"/>
  <c r="T298" i="1"/>
  <c r="L302" i="1"/>
  <c r="C303" i="1"/>
  <c r="B300" i="1"/>
  <c r="R299" i="1"/>
  <c r="K103" i="17" l="1"/>
  <c r="M103" i="17" s="1"/>
  <c r="N115" i="17" s="1"/>
  <c r="O103" i="17"/>
  <c r="D104" i="17" s="1"/>
  <c r="O109" i="15"/>
  <c r="D110" i="15" s="1"/>
  <c r="G110" i="15" s="1"/>
  <c r="F310" i="17"/>
  <c r="L311" i="17"/>
  <c r="C312" i="17"/>
  <c r="J119" i="12"/>
  <c r="O119" i="12" s="1"/>
  <c r="D120" i="12" s="1"/>
  <c r="P119" i="12"/>
  <c r="Q119" i="12" s="1"/>
  <c r="M104" i="10" s="1"/>
  <c r="C310" i="15"/>
  <c r="L309" i="15"/>
  <c r="O121" i="14"/>
  <c r="D122" i="14" s="1"/>
  <c r="C311" i="14"/>
  <c r="L310" i="14"/>
  <c r="F310" i="12"/>
  <c r="L311" i="12"/>
  <c r="C312" i="12"/>
  <c r="S299" i="1"/>
  <c r="T299" i="1"/>
  <c r="L303" i="1"/>
  <c r="C304" i="1"/>
  <c r="B301" i="1"/>
  <c r="R300" i="1"/>
  <c r="O76" i="1"/>
  <c r="D77" i="1" s="1"/>
  <c r="G77" i="1" s="1"/>
  <c r="E104" i="17" l="1"/>
  <c r="G104" i="17"/>
  <c r="H104" i="17" s="1"/>
  <c r="I104" i="17" s="1"/>
  <c r="E110" i="15"/>
  <c r="K119" i="12"/>
  <c r="M119" i="12" s="1"/>
  <c r="N131" i="12" s="1"/>
  <c r="H110" i="15"/>
  <c r="I110" i="15" s="1"/>
  <c r="P110" i="15" s="1"/>
  <c r="Q110" i="15" s="1"/>
  <c r="C313" i="17"/>
  <c r="L312" i="17"/>
  <c r="F311" i="17"/>
  <c r="C311" i="15"/>
  <c r="L310" i="15"/>
  <c r="E122" i="14"/>
  <c r="G122" i="14"/>
  <c r="H122" i="14" s="1"/>
  <c r="I122" i="14" s="1"/>
  <c r="C312" i="14"/>
  <c r="L311" i="14"/>
  <c r="L312" i="12"/>
  <c r="C313" i="12"/>
  <c r="E120" i="12"/>
  <c r="G120" i="12"/>
  <c r="F311" i="12"/>
  <c r="E77" i="1"/>
  <c r="S300" i="1"/>
  <c r="T300" i="1"/>
  <c r="L304" i="1"/>
  <c r="C305" i="1"/>
  <c r="B302" i="1"/>
  <c r="R301" i="1"/>
  <c r="M76" i="1"/>
  <c r="H77" i="1" l="1"/>
  <c r="I77" i="1" s="1"/>
  <c r="J104" i="17"/>
  <c r="K104" i="17" s="1"/>
  <c r="M104" i="17" s="1"/>
  <c r="N116" i="17" s="1"/>
  <c r="P104" i="17"/>
  <c r="Q104" i="17" s="1"/>
  <c r="J110" i="15"/>
  <c r="K110" i="15" s="1"/>
  <c r="M110" i="15" s="1"/>
  <c r="N122" i="15" s="1"/>
  <c r="F312" i="17"/>
  <c r="L313" i="17"/>
  <c r="C314" i="17"/>
  <c r="H120" i="12"/>
  <c r="I120" i="12" s="1"/>
  <c r="J120" i="12" s="1"/>
  <c r="L311" i="15"/>
  <c r="C312" i="15"/>
  <c r="P122" i="14"/>
  <c r="Q122" i="14" s="1"/>
  <c r="M107" i="13" s="1"/>
  <c r="J122" i="14"/>
  <c r="K122" i="14" s="1"/>
  <c r="M122" i="14" s="1"/>
  <c r="N134" i="14" s="1"/>
  <c r="L312" i="14"/>
  <c r="C313" i="14"/>
  <c r="F312" i="12"/>
  <c r="C314" i="12"/>
  <c r="L313" i="12"/>
  <c r="S301" i="1"/>
  <c r="T301" i="1"/>
  <c r="L305" i="1"/>
  <c r="C306" i="1"/>
  <c r="B303" i="1"/>
  <c r="R302" i="1"/>
  <c r="O104" i="17" l="1"/>
  <c r="D105" i="17" s="1"/>
  <c r="G105" i="17" s="1"/>
  <c r="O110" i="15"/>
  <c r="D111" i="15" s="1"/>
  <c r="E111" i="15" s="1"/>
  <c r="C315" i="17"/>
  <c r="L314" i="17"/>
  <c r="F313" i="17"/>
  <c r="L312" i="15"/>
  <c r="C313" i="15"/>
  <c r="O122" i="14"/>
  <c r="D123" i="14" s="1"/>
  <c r="L313" i="14"/>
  <c r="C314" i="14"/>
  <c r="L314" i="12"/>
  <c r="C315" i="12"/>
  <c r="F313" i="12"/>
  <c r="O120" i="12"/>
  <c r="D121" i="12" s="1"/>
  <c r="K120" i="12"/>
  <c r="M120" i="12" s="1"/>
  <c r="N132" i="12" s="1"/>
  <c r="P120" i="12"/>
  <c r="Q120" i="12" s="1"/>
  <c r="M105" i="10" s="1"/>
  <c r="J77" i="1"/>
  <c r="K77" i="1" s="1"/>
  <c r="S302" i="1"/>
  <c r="T302" i="1"/>
  <c r="L306" i="1"/>
  <c r="C307" i="1"/>
  <c r="B304" i="1"/>
  <c r="R303" i="1"/>
  <c r="G111" i="15" l="1"/>
  <c r="H111" i="15" s="1"/>
  <c r="I111" i="15" s="1"/>
  <c r="E105" i="17"/>
  <c r="H105" i="17" s="1"/>
  <c r="I105" i="17" s="1"/>
  <c r="P105" i="17" s="1"/>
  <c r="Q105" i="17" s="1"/>
  <c r="J111" i="15"/>
  <c r="K111" i="15" s="1"/>
  <c r="M111" i="15" s="1"/>
  <c r="N123" i="15" s="1"/>
  <c r="F314" i="17"/>
  <c r="L315" i="17"/>
  <c r="C316" i="17"/>
  <c r="C314" i="15"/>
  <c r="L313" i="15"/>
  <c r="E123" i="14"/>
  <c r="G123" i="14"/>
  <c r="H123" i="14" s="1"/>
  <c r="C315" i="14"/>
  <c r="L314" i="14"/>
  <c r="F314" i="12"/>
  <c r="L315" i="12"/>
  <c r="C316" i="12"/>
  <c r="E121" i="12"/>
  <c r="G121" i="12"/>
  <c r="S303" i="1"/>
  <c r="T303" i="1"/>
  <c r="L307" i="1"/>
  <c r="C308" i="1"/>
  <c r="B305" i="1"/>
  <c r="R304" i="1"/>
  <c r="P111" i="15" l="1"/>
  <c r="Q111" i="15" s="1"/>
  <c r="J105" i="17"/>
  <c r="O105" i="17" s="1"/>
  <c r="D106" i="17" s="1"/>
  <c r="O111" i="15"/>
  <c r="D112" i="15" s="1"/>
  <c r="L316" i="17"/>
  <c r="C317" i="17"/>
  <c r="F315" i="17"/>
  <c r="C315" i="15"/>
  <c r="L314" i="15"/>
  <c r="I123" i="14"/>
  <c r="J123" i="14" s="1"/>
  <c r="K123" i="14" s="1"/>
  <c r="M123" i="14" s="1"/>
  <c r="N135" i="14" s="1"/>
  <c r="C316" i="14"/>
  <c r="L315" i="14"/>
  <c r="H121" i="12"/>
  <c r="I121" i="12" s="1"/>
  <c r="J121" i="12" s="1"/>
  <c r="K121" i="12" s="1"/>
  <c r="M121" i="12" s="1"/>
  <c r="N133" i="12" s="1"/>
  <c r="C317" i="12"/>
  <c r="L316" i="12"/>
  <c r="F315" i="12"/>
  <c r="S304" i="1"/>
  <c r="T304" i="1"/>
  <c r="L308" i="1"/>
  <c r="C309" i="1"/>
  <c r="B306" i="1"/>
  <c r="R305" i="1"/>
  <c r="O77" i="1"/>
  <c r="D78" i="1" s="1"/>
  <c r="G78" i="1" s="1"/>
  <c r="K105" i="17" l="1"/>
  <c r="M105" i="17" s="1"/>
  <c r="N117" i="17" s="1"/>
  <c r="E106" i="17"/>
  <c r="G106" i="17"/>
  <c r="H106" i="17" s="1"/>
  <c r="I106" i="17" s="1"/>
  <c r="J106" i="17" s="1"/>
  <c r="K106" i="17" s="1"/>
  <c r="M106" i="17" s="1"/>
  <c r="N118" i="17" s="1"/>
  <c r="E112" i="15"/>
  <c r="G112" i="15"/>
  <c r="H112" i="15" s="1"/>
  <c r="I112" i="15" s="1"/>
  <c r="L317" i="17"/>
  <c r="C318" i="17"/>
  <c r="F316" i="17"/>
  <c r="L315" i="15"/>
  <c r="C316" i="15"/>
  <c r="P123" i="14"/>
  <c r="Q123" i="14" s="1"/>
  <c r="M108" i="13" s="1"/>
  <c r="O123" i="14"/>
  <c r="D124" i="14" s="1"/>
  <c r="L316" i="14"/>
  <c r="C317" i="14"/>
  <c r="O121" i="12"/>
  <c r="D122" i="12" s="1"/>
  <c r="G122" i="12" s="1"/>
  <c r="P121" i="12"/>
  <c r="Q121" i="12" s="1"/>
  <c r="M106" i="10" s="1"/>
  <c r="F316" i="12"/>
  <c r="C318" i="12"/>
  <c r="L317" i="12"/>
  <c r="E78" i="1"/>
  <c r="S305" i="1"/>
  <c r="T305" i="1"/>
  <c r="L309" i="1"/>
  <c r="C310" i="1"/>
  <c r="B307" i="1"/>
  <c r="R306" i="1"/>
  <c r="M77" i="1"/>
  <c r="H78" i="1" l="1"/>
  <c r="I78" i="1" s="1"/>
  <c r="P112" i="15"/>
  <c r="Q112" i="15" s="1"/>
  <c r="J112" i="15"/>
  <c r="K112" i="15" s="1"/>
  <c r="M112" i="15" s="1"/>
  <c r="N124" i="15" s="1"/>
  <c r="O106" i="17"/>
  <c r="D107" i="17" s="1"/>
  <c r="P106" i="17"/>
  <c r="Q106" i="17" s="1"/>
  <c r="F317" i="17"/>
  <c r="C319" i="17"/>
  <c r="L318" i="17"/>
  <c r="E122" i="12"/>
  <c r="H122" i="12" s="1"/>
  <c r="I122" i="12" s="1"/>
  <c r="C317" i="15"/>
  <c r="L316" i="15"/>
  <c r="E124" i="14"/>
  <c r="G124" i="14"/>
  <c r="C318" i="14"/>
  <c r="L317" i="14"/>
  <c r="L318" i="12"/>
  <c r="C319" i="12"/>
  <c r="F317" i="12"/>
  <c r="S306" i="1"/>
  <c r="T306" i="1"/>
  <c r="L310" i="1"/>
  <c r="C311" i="1"/>
  <c r="B308" i="1"/>
  <c r="R307" i="1"/>
  <c r="O112" i="15" l="1"/>
  <c r="D113" i="15" s="1"/>
  <c r="E113" i="15" s="1"/>
  <c r="E107" i="17"/>
  <c r="G107" i="17"/>
  <c r="G113" i="15"/>
  <c r="C320" i="17"/>
  <c r="L319" i="17"/>
  <c r="F318" i="17"/>
  <c r="H124" i="14"/>
  <c r="I124" i="14" s="1"/>
  <c r="P124" i="14" s="1"/>
  <c r="Q124" i="14" s="1"/>
  <c r="M109" i="13" s="1"/>
  <c r="L317" i="15"/>
  <c r="C318" i="15"/>
  <c r="L318" i="14"/>
  <c r="C319" i="14"/>
  <c r="J122" i="12"/>
  <c r="O122" i="12" s="1"/>
  <c r="D123" i="12" s="1"/>
  <c r="P122" i="12"/>
  <c r="Q122" i="12" s="1"/>
  <c r="M107" i="10" s="1"/>
  <c r="F318" i="12"/>
  <c r="C320" i="12"/>
  <c r="L319" i="12"/>
  <c r="S307" i="1"/>
  <c r="T307" i="1"/>
  <c r="L311" i="1"/>
  <c r="C312" i="1"/>
  <c r="B309" i="1"/>
  <c r="R308" i="1"/>
  <c r="J78" i="1"/>
  <c r="K78" i="1" s="1"/>
  <c r="H107" i="17" l="1"/>
  <c r="I107" i="17" s="1"/>
  <c r="P107" i="17" s="1"/>
  <c r="Q107" i="17" s="1"/>
  <c r="H113" i="15"/>
  <c r="I113" i="15" s="1"/>
  <c r="P113" i="15" s="1"/>
  <c r="Q113" i="15" s="1"/>
  <c r="F319" i="17"/>
  <c r="C321" i="17"/>
  <c r="L320" i="17"/>
  <c r="L318" i="15"/>
  <c r="C319" i="15"/>
  <c r="J124" i="14"/>
  <c r="K124" i="14" s="1"/>
  <c r="M124" i="14" s="1"/>
  <c r="N136" i="14" s="1"/>
  <c r="L319" i="14"/>
  <c r="C320" i="14"/>
  <c r="K122" i="12"/>
  <c r="M122" i="12" s="1"/>
  <c r="N134" i="12" s="1"/>
  <c r="E123" i="12"/>
  <c r="G123" i="12"/>
  <c r="C321" i="12"/>
  <c r="L320" i="12"/>
  <c r="F319" i="12"/>
  <c r="S308" i="1"/>
  <c r="T308" i="1"/>
  <c r="L312" i="1"/>
  <c r="C313" i="1"/>
  <c r="B310" i="1"/>
  <c r="R309" i="1"/>
  <c r="J113" i="15" l="1"/>
  <c r="K113" i="15" s="1"/>
  <c r="M113" i="15" s="1"/>
  <c r="N125" i="15" s="1"/>
  <c r="J107" i="17"/>
  <c r="L321" i="17"/>
  <c r="C322" i="17"/>
  <c r="F320" i="17"/>
  <c r="C320" i="15"/>
  <c r="L319" i="15"/>
  <c r="O124" i="14"/>
  <c r="D125" i="14" s="1"/>
  <c r="C321" i="14"/>
  <c r="L320" i="14"/>
  <c r="H123" i="12"/>
  <c r="I123" i="12" s="1"/>
  <c r="F320" i="12"/>
  <c r="L321" i="12"/>
  <c r="C322" i="12"/>
  <c r="S309" i="1"/>
  <c r="T309" i="1"/>
  <c r="L313" i="1"/>
  <c r="C314" i="1"/>
  <c r="B311" i="1"/>
  <c r="R310" i="1"/>
  <c r="O78" i="1"/>
  <c r="D79" i="1" s="1"/>
  <c r="G79" i="1" s="1"/>
  <c r="O113" i="15" l="1"/>
  <c r="D114" i="15" s="1"/>
  <c r="E114" i="15" s="1"/>
  <c r="O107" i="17"/>
  <c r="D108" i="17" s="1"/>
  <c r="K107" i="17"/>
  <c r="M107" i="17" s="1"/>
  <c r="N119" i="17" s="1"/>
  <c r="L322" i="17"/>
  <c r="C323" i="17"/>
  <c r="F321" i="17"/>
  <c r="L320" i="15"/>
  <c r="C321" i="15"/>
  <c r="E125" i="14"/>
  <c r="G125" i="14"/>
  <c r="L321" i="14"/>
  <c r="C322" i="14"/>
  <c r="J123" i="12"/>
  <c r="O123" i="12" s="1"/>
  <c r="D124" i="12" s="1"/>
  <c r="E124" i="12" s="1"/>
  <c r="P123" i="12"/>
  <c r="Q123" i="12" s="1"/>
  <c r="M108" i="10" s="1"/>
  <c r="L322" i="12"/>
  <c r="C323" i="12"/>
  <c r="F321" i="12"/>
  <c r="E79" i="1"/>
  <c r="S310" i="1"/>
  <c r="T310" i="1"/>
  <c r="L314" i="1"/>
  <c r="C315" i="1"/>
  <c r="B312" i="1"/>
  <c r="R311" i="1"/>
  <c r="M78" i="1"/>
  <c r="H79" i="1" l="1"/>
  <c r="I79" i="1" s="1"/>
  <c r="G114" i="15"/>
  <c r="H114" i="15" s="1"/>
  <c r="I114" i="15" s="1"/>
  <c r="G108" i="17"/>
  <c r="E108" i="17"/>
  <c r="F322" i="17"/>
  <c r="C324" i="17"/>
  <c r="L323" i="17"/>
  <c r="K123" i="12"/>
  <c r="M123" i="12" s="1"/>
  <c r="N135" i="12" s="1"/>
  <c r="H125" i="14"/>
  <c r="I125" i="14" s="1"/>
  <c r="P125" i="14" s="1"/>
  <c r="Q125" i="14" s="1"/>
  <c r="M110" i="13" s="1"/>
  <c r="G124" i="12"/>
  <c r="H124" i="12" s="1"/>
  <c r="I124" i="12" s="1"/>
  <c r="P124" i="12" s="1"/>
  <c r="Q124" i="12" s="1"/>
  <c r="M109" i="10" s="1"/>
  <c r="L321" i="15"/>
  <c r="C322" i="15"/>
  <c r="C323" i="14"/>
  <c r="L322" i="14"/>
  <c r="F322" i="12"/>
  <c r="C324" i="12"/>
  <c r="L323" i="12"/>
  <c r="S311" i="1"/>
  <c r="T311" i="1"/>
  <c r="L315" i="1"/>
  <c r="C316" i="1"/>
  <c r="B313" i="1"/>
  <c r="R312" i="1"/>
  <c r="J114" i="15" l="1"/>
  <c r="O114" i="15" s="1"/>
  <c r="D115" i="15" s="1"/>
  <c r="P114" i="15"/>
  <c r="Q114" i="15" s="1"/>
  <c r="H108" i="17"/>
  <c r="C325" i="17"/>
  <c r="L324" i="17"/>
  <c r="F323" i="17"/>
  <c r="J124" i="12"/>
  <c r="O124" i="12" s="1"/>
  <c r="D125" i="12" s="1"/>
  <c r="G125" i="12" s="1"/>
  <c r="C323" i="15"/>
  <c r="L322" i="15"/>
  <c r="J125" i="14"/>
  <c r="C324" i="14"/>
  <c r="L323" i="14"/>
  <c r="C325" i="12"/>
  <c r="L324" i="12"/>
  <c r="F323" i="12"/>
  <c r="S312" i="1"/>
  <c r="T312" i="1"/>
  <c r="L316" i="1"/>
  <c r="C317" i="1"/>
  <c r="B314" i="1"/>
  <c r="R313" i="1"/>
  <c r="J79" i="1"/>
  <c r="K79" i="1" s="1"/>
  <c r="K114" i="15" l="1"/>
  <c r="M114" i="15" s="1"/>
  <c r="N126" i="15" s="1"/>
  <c r="E115" i="15"/>
  <c r="G115" i="15"/>
  <c r="I108" i="17"/>
  <c r="J108" i="17" s="1"/>
  <c r="K108" i="17" s="1"/>
  <c r="M108" i="17" s="1"/>
  <c r="N120" i="17" s="1"/>
  <c r="F324" i="17"/>
  <c r="C326" i="17"/>
  <c r="L325" i="17"/>
  <c r="E125" i="12"/>
  <c r="H125" i="12" s="1"/>
  <c r="K124" i="12"/>
  <c r="M124" i="12" s="1"/>
  <c r="N136" i="12" s="1"/>
  <c r="C324" i="15"/>
  <c r="L323" i="15"/>
  <c r="O125" i="14"/>
  <c r="D126" i="14" s="1"/>
  <c r="K125" i="14"/>
  <c r="M125" i="14" s="1"/>
  <c r="N137" i="14" s="1"/>
  <c r="C325" i="14"/>
  <c r="L324" i="14"/>
  <c r="C326" i="12"/>
  <c r="L325" i="12"/>
  <c r="F324" i="12"/>
  <c r="S313" i="1"/>
  <c r="T313" i="1"/>
  <c r="L317" i="1"/>
  <c r="C318" i="1"/>
  <c r="B315" i="1"/>
  <c r="R314" i="1"/>
  <c r="H115" i="15" l="1"/>
  <c r="I115" i="15" s="1"/>
  <c r="P115" i="15" s="1"/>
  <c r="Q115" i="15" s="1"/>
  <c r="P108" i="17"/>
  <c r="Q108" i="17" s="1"/>
  <c r="O108" i="17"/>
  <c r="D109" i="17" s="1"/>
  <c r="L326" i="17"/>
  <c r="C327" i="17"/>
  <c r="F325" i="17"/>
  <c r="I125" i="12"/>
  <c r="P125" i="12" s="1"/>
  <c r="Q125" i="12" s="1"/>
  <c r="M110" i="10" s="1"/>
  <c r="C325" i="15"/>
  <c r="L324" i="15"/>
  <c r="E126" i="14"/>
  <c r="G126" i="14"/>
  <c r="L325" i="14"/>
  <c r="C326" i="14"/>
  <c r="F325" i="12"/>
  <c r="C327" i="12"/>
  <c r="L326" i="12"/>
  <c r="S314" i="1"/>
  <c r="T314" i="1"/>
  <c r="L318" i="1"/>
  <c r="C319" i="1"/>
  <c r="B316" i="1"/>
  <c r="R315" i="1"/>
  <c r="O79" i="1"/>
  <c r="D80" i="1" s="1"/>
  <c r="G80" i="1" s="1"/>
  <c r="J125" i="12" l="1"/>
  <c r="O125" i="12" s="1"/>
  <c r="D126" i="12" s="1"/>
  <c r="E126" i="12" s="1"/>
  <c r="J115" i="15"/>
  <c r="K115" i="15" s="1"/>
  <c r="M115" i="15" s="1"/>
  <c r="N127" i="15" s="1"/>
  <c r="G109" i="17"/>
  <c r="E109" i="17"/>
  <c r="F326" i="17"/>
  <c r="C328" i="17"/>
  <c r="L327" i="17"/>
  <c r="H126" i="14"/>
  <c r="I126" i="14" s="1"/>
  <c r="J126" i="14" s="1"/>
  <c r="C326" i="15"/>
  <c r="L325" i="15"/>
  <c r="C327" i="14"/>
  <c r="L326" i="14"/>
  <c r="F326" i="12"/>
  <c r="L327" i="12"/>
  <c r="C328" i="12"/>
  <c r="E80" i="1"/>
  <c r="S315" i="1"/>
  <c r="T315" i="1"/>
  <c r="L319" i="1"/>
  <c r="C320" i="1"/>
  <c r="B317" i="1"/>
  <c r="R316" i="1"/>
  <c r="M79" i="1"/>
  <c r="H80" i="1" l="1"/>
  <c r="G126" i="12"/>
  <c r="H126" i="12" s="1"/>
  <c r="I126" i="12" s="1"/>
  <c r="P126" i="12" s="1"/>
  <c r="Q126" i="12" s="1"/>
  <c r="M111" i="10" s="1"/>
  <c r="K125" i="12"/>
  <c r="M125" i="12" s="1"/>
  <c r="N137" i="12" s="1"/>
  <c r="O115" i="15"/>
  <c r="D116" i="15" s="1"/>
  <c r="E116" i="15" s="1"/>
  <c r="H109" i="17"/>
  <c r="L328" i="17"/>
  <c r="C329" i="17"/>
  <c r="F327" i="17"/>
  <c r="P126" i="14"/>
  <c r="Q126" i="14" s="1"/>
  <c r="M111" i="13" s="1"/>
  <c r="C327" i="15"/>
  <c r="L326" i="15"/>
  <c r="O126" i="14"/>
  <c r="D127" i="14" s="1"/>
  <c r="K126" i="14"/>
  <c r="M126" i="14" s="1"/>
  <c r="N138" i="14" s="1"/>
  <c r="C328" i="14"/>
  <c r="L327" i="14"/>
  <c r="L328" i="12"/>
  <c r="C329" i="12"/>
  <c r="F327" i="12"/>
  <c r="I80" i="1"/>
  <c r="S316" i="1"/>
  <c r="T316" i="1"/>
  <c r="L320" i="1"/>
  <c r="C321" i="1"/>
  <c r="B318" i="1"/>
  <c r="R317" i="1"/>
  <c r="J126" i="12" l="1"/>
  <c r="O126" i="12" s="1"/>
  <c r="D127" i="12" s="1"/>
  <c r="E127" i="12" s="1"/>
  <c r="G116" i="15"/>
  <c r="H116" i="15" s="1"/>
  <c r="I116" i="15" s="1"/>
  <c r="J116" i="15" s="1"/>
  <c r="K116" i="15" s="1"/>
  <c r="M116" i="15" s="1"/>
  <c r="N128" i="15" s="1"/>
  <c r="I109" i="17"/>
  <c r="P109" i="17" s="1"/>
  <c r="Q109" i="17" s="1"/>
  <c r="F328" i="17"/>
  <c r="L329" i="17"/>
  <c r="C330" i="17"/>
  <c r="L327" i="15"/>
  <c r="C328" i="15"/>
  <c r="E127" i="14"/>
  <c r="G127" i="14"/>
  <c r="C329" i="14"/>
  <c r="L328" i="14"/>
  <c r="K126" i="12"/>
  <c r="M126" i="12" s="1"/>
  <c r="N138" i="12" s="1"/>
  <c r="L329" i="12"/>
  <c r="C330" i="12"/>
  <c r="F328" i="12"/>
  <c r="J80" i="1"/>
  <c r="K80" i="1" s="1"/>
  <c r="S317" i="1"/>
  <c r="T317" i="1"/>
  <c r="L321" i="1"/>
  <c r="C322" i="1"/>
  <c r="B319" i="1"/>
  <c r="R318" i="1"/>
  <c r="J109" i="17" l="1"/>
  <c r="K109" i="17" s="1"/>
  <c r="M109" i="17" s="1"/>
  <c r="N121" i="17" s="1"/>
  <c r="P116" i="15"/>
  <c r="Q116" i="15" s="1"/>
  <c r="G127" i="12"/>
  <c r="H127" i="12" s="1"/>
  <c r="I127" i="12" s="1"/>
  <c r="J127" i="12" s="1"/>
  <c r="O127" i="12" s="1"/>
  <c r="D128" i="12" s="1"/>
  <c r="O116" i="15"/>
  <c r="D117" i="15" s="1"/>
  <c r="E117" i="15" s="1"/>
  <c r="H127" i="14"/>
  <c r="I127" i="14" s="1"/>
  <c r="P127" i="14" s="1"/>
  <c r="Q127" i="14" s="1"/>
  <c r="M112" i="13" s="1"/>
  <c r="G117" i="15"/>
  <c r="L330" i="17"/>
  <c r="C331" i="17"/>
  <c r="F329" i="17"/>
  <c r="L328" i="15"/>
  <c r="C329" i="15"/>
  <c r="L329" i="14"/>
  <c r="C330" i="14"/>
  <c r="C331" i="12"/>
  <c r="L330" i="12"/>
  <c r="F329" i="12"/>
  <c r="S318" i="1"/>
  <c r="T318" i="1"/>
  <c r="L322" i="1"/>
  <c r="C323" i="1"/>
  <c r="B320" i="1"/>
  <c r="R319" i="1"/>
  <c r="K127" i="12" l="1"/>
  <c r="M127" i="12" s="1"/>
  <c r="N139" i="12" s="1"/>
  <c r="P127" i="12"/>
  <c r="Q127" i="12" s="1"/>
  <c r="M112" i="10" s="1"/>
  <c r="O109" i="17"/>
  <c r="D110" i="17" s="1"/>
  <c r="E110" i="17" s="1"/>
  <c r="G110" i="17"/>
  <c r="H110" i="17" s="1"/>
  <c r="J127" i="14"/>
  <c r="K127" i="14" s="1"/>
  <c r="M127" i="14" s="1"/>
  <c r="N139" i="14" s="1"/>
  <c r="H117" i="15"/>
  <c r="F330" i="17"/>
  <c r="L331" i="17"/>
  <c r="C332" i="17"/>
  <c r="L329" i="15"/>
  <c r="C330" i="15"/>
  <c r="L330" i="14"/>
  <c r="C331" i="14"/>
  <c r="C332" i="12"/>
  <c r="L331" i="12"/>
  <c r="F330" i="12"/>
  <c r="E128" i="12"/>
  <c r="G128" i="12"/>
  <c r="S319" i="1"/>
  <c r="T319" i="1"/>
  <c r="L323" i="1"/>
  <c r="C324" i="1"/>
  <c r="B321" i="1"/>
  <c r="R320" i="1"/>
  <c r="O80" i="1"/>
  <c r="D81" i="1" s="1"/>
  <c r="G81" i="1" s="1"/>
  <c r="O127" i="14" l="1"/>
  <c r="D128" i="14" s="1"/>
  <c r="E128" i="14" s="1"/>
  <c r="I117" i="15"/>
  <c r="P117" i="15" s="1"/>
  <c r="Q117" i="15" s="1"/>
  <c r="I110" i="17"/>
  <c r="P110" i="17" s="1"/>
  <c r="Q110" i="17" s="1"/>
  <c r="L332" i="17"/>
  <c r="C333" i="17"/>
  <c r="F331" i="17"/>
  <c r="H128" i="12"/>
  <c r="I128" i="12" s="1"/>
  <c r="J128" i="12" s="1"/>
  <c r="C331" i="15"/>
  <c r="L330" i="15"/>
  <c r="G128" i="14"/>
  <c r="L331" i="14"/>
  <c r="C332" i="14"/>
  <c r="F331" i="12"/>
  <c r="L332" i="12"/>
  <c r="C333" i="12"/>
  <c r="E81" i="1"/>
  <c r="S320" i="1"/>
  <c r="T320" i="1"/>
  <c r="L324" i="1"/>
  <c r="C325" i="1"/>
  <c r="B322" i="1"/>
  <c r="R321" i="1"/>
  <c r="M80" i="1"/>
  <c r="H81" i="1" l="1"/>
  <c r="I81" i="1" s="1"/>
  <c r="J110" i="17"/>
  <c r="K110" i="17" s="1"/>
  <c r="M110" i="17" s="1"/>
  <c r="N122" i="17" s="1"/>
  <c r="J117" i="15"/>
  <c r="K117" i="15" s="1"/>
  <c r="M117" i="15" s="1"/>
  <c r="N129" i="15" s="1"/>
  <c r="C334" i="17"/>
  <c r="L333" i="17"/>
  <c r="F332" i="17"/>
  <c r="H128" i="14"/>
  <c r="I128" i="14" s="1"/>
  <c r="J128" i="14" s="1"/>
  <c r="K128" i="14" s="1"/>
  <c r="M128" i="14" s="1"/>
  <c r="N140" i="14" s="1"/>
  <c r="C332" i="15"/>
  <c r="L331" i="15"/>
  <c r="C333" i="14"/>
  <c r="L332" i="14"/>
  <c r="O128" i="12"/>
  <c r="D129" i="12" s="1"/>
  <c r="E129" i="12" s="1"/>
  <c r="P128" i="12"/>
  <c r="Q128" i="12" s="1"/>
  <c r="M113" i="10" s="1"/>
  <c r="L333" i="12"/>
  <c r="C334" i="12"/>
  <c r="F332" i="12"/>
  <c r="K128" i="12"/>
  <c r="M128" i="12" s="1"/>
  <c r="N140" i="12" s="1"/>
  <c r="S321" i="1"/>
  <c r="T321" i="1"/>
  <c r="L325" i="1"/>
  <c r="C326" i="1"/>
  <c r="B323" i="1"/>
  <c r="R322" i="1"/>
  <c r="O110" i="17" l="1"/>
  <c r="D111" i="17" s="1"/>
  <c r="E111" i="17" s="1"/>
  <c r="P128" i="14"/>
  <c r="Q128" i="14" s="1"/>
  <c r="M113" i="13" s="1"/>
  <c r="O128" i="14"/>
  <c r="D129" i="14" s="1"/>
  <c r="E129" i="14" s="1"/>
  <c r="O117" i="15"/>
  <c r="D118" i="15" s="1"/>
  <c r="F333" i="17"/>
  <c r="C335" i="17"/>
  <c r="L334" i="17"/>
  <c r="C333" i="15"/>
  <c r="L332" i="15"/>
  <c r="L333" i="14"/>
  <c r="C334" i="14"/>
  <c r="G129" i="12"/>
  <c r="H129" i="12" s="1"/>
  <c r="I129" i="12" s="1"/>
  <c r="J129" i="12" s="1"/>
  <c r="C335" i="12"/>
  <c r="L334" i="12"/>
  <c r="F333" i="12"/>
  <c r="J81" i="1"/>
  <c r="K81" i="1" s="1"/>
  <c r="S322" i="1"/>
  <c r="T322" i="1"/>
  <c r="L326" i="1"/>
  <c r="C327" i="1"/>
  <c r="B324" i="1"/>
  <c r="R323" i="1"/>
  <c r="G129" i="14" l="1"/>
  <c r="G111" i="17"/>
  <c r="H111" i="17"/>
  <c r="E118" i="15"/>
  <c r="G118" i="15"/>
  <c r="H118" i="15" s="1"/>
  <c r="I118" i="15" s="1"/>
  <c r="C336" i="17"/>
  <c r="L335" i="17"/>
  <c r="F334" i="17"/>
  <c r="H129" i="14"/>
  <c r="I129" i="14" s="1"/>
  <c r="J129" i="14" s="1"/>
  <c r="C334" i="15"/>
  <c r="L333" i="15"/>
  <c r="L334" i="14"/>
  <c r="C335" i="14"/>
  <c r="K129" i="12"/>
  <c r="M129" i="12" s="1"/>
  <c r="N141" i="12" s="1"/>
  <c r="F334" i="12"/>
  <c r="O129" i="12"/>
  <c r="D130" i="12" s="1"/>
  <c r="P129" i="12"/>
  <c r="Q129" i="12" s="1"/>
  <c r="M114" i="10" s="1"/>
  <c r="L335" i="12"/>
  <c r="C336" i="12"/>
  <c r="S323" i="1"/>
  <c r="T323" i="1"/>
  <c r="L327" i="1"/>
  <c r="C328" i="1"/>
  <c r="B325" i="1"/>
  <c r="R324" i="1"/>
  <c r="P118" i="15" l="1"/>
  <c r="Q118" i="15" s="1"/>
  <c r="J118" i="15"/>
  <c r="K118" i="15" s="1"/>
  <c r="M118" i="15" s="1"/>
  <c r="N130" i="15" s="1"/>
  <c r="I111" i="17"/>
  <c r="F335" i="17"/>
  <c r="L336" i="17"/>
  <c r="C337" i="17"/>
  <c r="C335" i="15"/>
  <c r="L334" i="15"/>
  <c r="O129" i="14"/>
  <c r="D130" i="14" s="1"/>
  <c r="K129" i="14"/>
  <c r="M129" i="14" s="1"/>
  <c r="N141" i="14" s="1"/>
  <c r="P129" i="14"/>
  <c r="Q129" i="14" s="1"/>
  <c r="M114" i="13" s="1"/>
  <c r="L335" i="14"/>
  <c r="C336" i="14"/>
  <c r="C337" i="12"/>
  <c r="L336" i="12"/>
  <c r="E130" i="12"/>
  <c r="G130" i="12"/>
  <c r="F335" i="12"/>
  <c r="S324" i="1"/>
  <c r="T324" i="1"/>
  <c r="L328" i="1"/>
  <c r="C329" i="1"/>
  <c r="B326" i="1"/>
  <c r="R325" i="1"/>
  <c r="O81" i="1"/>
  <c r="D82" i="1" s="1"/>
  <c r="G82" i="1" s="1"/>
  <c r="O118" i="15" l="1"/>
  <c r="D119" i="15" s="1"/>
  <c r="E119" i="15" s="1"/>
  <c r="J111" i="17"/>
  <c r="P111" i="17"/>
  <c r="Q111" i="17" s="1"/>
  <c r="C338" i="17"/>
  <c r="L337" i="17"/>
  <c r="F336" i="17"/>
  <c r="C336" i="15"/>
  <c r="L335" i="15"/>
  <c r="E130" i="14"/>
  <c r="G130" i="14"/>
  <c r="C337" i="14"/>
  <c r="L336" i="14"/>
  <c r="H130" i="12"/>
  <c r="I130" i="12" s="1"/>
  <c r="C338" i="12"/>
  <c r="L337" i="12"/>
  <c r="F336" i="12"/>
  <c r="E82" i="1"/>
  <c r="S325" i="1"/>
  <c r="T325" i="1"/>
  <c r="L329" i="1"/>
  <c r="C330" i="1"/>
  <c r="B327" i="1"/>
  <c r="R326" i="1"/>
  <c r="M81" i="1"/>
  <c r="H82" i="1" l="1"/>
  <c r="I82" i="1" s="1"/>
  <c r="G119" i="15"/>
  <c r="H119" i="15" s="1"/>
  <c r="I119" i="15" s="1"/>
  <c r="H130" i="14"/>
  <c r="I130" i="14" s="1"/>
  <c r="P130" i="14" s="1"/>
  <c r="Q130" i="14" s="1"/>
  <c r="M115" i="13" s="1"/>
  <c r="K111" i="17"/>
  <c r="M111" i="17" s="1"/>
  <c r="N123" i="17" s="1"/>
  <c r="O111" i="17"/>
  <c r="D112" i="17" s="1"/>
  <c r="L338" i="17"/>
  <c r="C339" i="17"/>
  <c r="F337" i="17"/>
  <c r="L336" i="15"/>
  <c r="C337" i="15"/>
  <c r="L337" i="14"/>
  <c r="C338" i="14"/>
  <c r="F337" i="12"/>
  <c r="L338" i="12"/>
  <c r="C339" i="12"/>
  <c r="P130" i="12"/>
  <c r="Q130" i="12" s="1"/>
  <c r="M115" i="10" s="1"/>
  <c r="J130" i="12"/>
  <c r="S326" i="1"/>
  <c r="T326" i="1"/>
  <c r="L330" i="1"/>
  <c r="C331" i="1"/>
  <c r="B328" i="1"/>
  <c r="R327" i="1"/>
  <c r="J130" i="14" l="1"/>
  <c r="K130" i="14" s="1"/>
  <c r="M130" i="14" s="1"/>
  <c r="N142" i="14" s="1"/>
  <c r="J119" i="15"/>
  <c r="K119" i="15" s="1"/>
  <c r="M119" i="15" s="1"/>
  <c r="N131" i="15" s="1"/>
  <c r="P119" i="15"/>
  <c r="Q119" i="15" s="1"/>
  <c r="G112" i="17"/>
  <c r="E112" i="17"/>
  <c r="F338" i="17"/>
  <c r="C340" i="17"/>
  <c r="L339" i="17"/>
  <c r="L337" i="15"/>
  <c r="C338" i="15"/>
  <c r="O130" i="14"/>
  <c r="D131" i="14" s="1"/>
  <c r="C339" i="14"/>
  <c r="L338" i="14"/>
  <c r="L339" i="12"/>
  <c r="C340" i="12"/>
  <c r="K130" i="12"/>
  <c r="M130" i="12" s="1"/>
  <c r="N142" i="12" s="1"/>
  <c r="F338" i="12"/>
  <c r="O130" i="12"/>
  <c r="D131" i="12" s="1"/>
  <c r="S327" i="1"/>
  <c r="T327" i="1"/>
  <c r="L331" i="1"/>
  <c r="C332" i="1"/>
  <c r="B329" i="1"/>
  <c r="R328" i="1"/>
  <c r="J82" i="1"/>
  <c r="K82" i="1" s="1"/>
  <c r="O119" i="15" l="1"/>
  <c r="D120" i="15" s="1"/>
  <c r="E120" i="15" s="1"/>
  <c r="H112" i="17"/>
  <c r="I112" i="17" s="1"/>
  <c r="J112" i="17" s="1"/>
  <c r="K112" i="17" s="1"/>
  <c r="M112" i="17" s="1"/>
  <c r="N124" i="17" s="1"/>
  <c r="C341" i="17"/>
  <c r="L340" i="17"/>
  <c r="F339" i="17"/>
  <c r="C339" i="15"/>
  <c r="L338" i="15"/>
  <c r="E131" i="14"/>
  <c r="G131" i="14"/>
  <c r="C340" i="14"/>
  <c r="L339" i="14"/>
  <c r="E131" i="12"/>
  <c r="G131" i="12"/>
  <c r="C341" i="12"/>
  <c r="L340" i="12"/>
  <c r="F339" i="12"/>
  <c r="S328" i="1"/>
  <c r="T328" i="1"/>
  <c r="L332" i="1"/>
  <c r="C333" i="1"/>
  <c r="B330" i="1"/>
  <c r="R329" i="1"/>
  <c r="H131" i="14" l="1"/>
  <c r="I131" i="14" s="1"/>
  <c r="J131" i="14" s="1"/>
  <c r="K131" i="14" s="1"/>
  <c r="M131" i="14" s="1"/>
  <c r="N143" i="14" s="1"/>
  <c r="G120" i="15"/>
  <c r="H120" i="15" s="1"/>
  <c r="I120" i="15" s="1"/>
  <c r="P120" i="15" s="1"/>
  <c r="Q120" i="15" s="1"/>
  <c r="P112" i="17"/>
  <c r="Q112" i="17" s="1"/>
  <c r="O112" i="17"/>
  <c r="D113" i="17" s="1"/>
  <c r="G113" i="17" s="1"/>
  <c r="F340" i="17"/>
  <c r="C342" i="17"/>
  <c r="L341" i="17"/>
  <c r="L339" i="15"/>
  <c r="C340" i="15"/>
  <c r="C341" i="14"/>
  <c r="L340" i="14"/>
  <c r="H131" i="12"/>
  <c r="I131" i="12" s="1"/>
  <c r="F340" i="12"/>
  <c r="L341" i="12"/>
  <c r="C342" i="12"/>
  <c r="S329" i="1"/>
  <c r="T329" i="1"/>
  <c r="L333" i="1"/>
  <c r="C334" i="1"/>
  <c r="B331" i="1"/>
  <c r="R330" i="1"/>
  <c r="O82" i="1"/>
  <c r="D83" i="1" s="1"/>
  <c r="G83" i="1" s="1"/>
  <c r="P131" i="14" l="1"/>
  <c r="Q131" i="14" s="1"/>
  <c r="M116" i="13" s="1"/>
  <c r="O131" i="14"/>
  <c r="D132" i="14" s="1"/>
  <c r="E132" i="14" s="1"/>
  <c r="E113" i="17"/>
  <c r="H113" i="17"/>
  <c r="I113" i="17" s="1"/>
  <c r="J113" i="17" s="1"/>
  <c r="K113" i="17" s="1"/>
  <c r="M113" i="17" s="1"/>
  <c r="N125" i="17" s="1"/>
  <c r="J120" i="15"/>
  <c r="K120" i="15" s="1"/>
  <c r="M120" i="15" s="1"/>
  <c r="N132" i="15" s="1"/>
  <c r="F341" i="17"/>
  <c r="L342" i="17"/>
  <c r="C343" i="17"/>
  <c r="L340" i="15"/>
  <c r="C341" i="15"/>
  <c r="L341" i="14"/>
  <c r="C342" i="14"/>
  <c r="J131" i="12"/>
  <c r="O131" i="12" s="1"/>
  <c r="D132" i="12" s="1"/>
  <c r="P131" i="12"/>
  <c r="Q131" i="12" s="1"/>
  <c r="M116" i="10" s="1"/>
  <c r="L342" i="12"/>
  <c r="C343" i="12"/>
  <c r="F341" i="12"/>
  <c r="E83" i="1"/>
  <c r="S330" i="1"/>
  <c r="T330" i="1"/>
  <c r="L334" i="1"/>
  <c r="C335" i="1"/>
  <c r="B332" i="1"/>
  <c r="R331" i="1"/>
  <c r="M82" i="1"/>
  <c r="G132" i="14" l="1"/>
  <c r="H83" i="1"/>
  <c r="I83" i="1" s="1"/>
  <c r="P113" i="17"/>
  <c r="Q113" i="17" s="1"/>
  <c r="O113" i="17"/>
  <c r="D114" i="17" s="1"/>
  <c r="G114" i="17" s="1"/>
  <c r="O120" i="15"/>
  <c r="D121" i="15" s="1"/>
  <c r="E121" i="15" s="1"/>
  <c r="H132" i="14"/>
  <c r="I132" i="14" s="1"/>
  <c r="J132" i="14" s="1"/>
  <c r="K132" i="14" s="1"/>
  <c r="M132" i="14" s="1"/>
  <c r="N144" i="14" s="1"/>
  <c r="L343" i="17"/>
  <c r="C344" i="17"/>
  <c r="F342" i="17"/>
  <c r="L341" i="15"/>
  <c r="C342" i="15"/>
  <c r="L342" i="14"/>
  <c r="C343" i="14"/>
  <c r="K131" i="12"/>
  <c r="M131" i="12" s="1"/>
  <c r="N143" i="12" s="1"/>
  <c r="F342" i="12"/>
  <c r="E132" i="12"/>
  <c r="G132" i="12"/>
  <c r="C344" i="12"/>
  <c r="L343" i="12"/>
  <c r="S331" i="1"/>
  <c r="T331" i="1"/>
  <c r="L335" i="1"/>
  <c r="C336" i="1"/>
  <c r="B333" i="1"/>
  <c r="R332" i="1"/>
  <c r="H132" i="12" l="1"/>
  <c r="G121" i="15"/>
  <c r="O132" i="14"/>
  <c r="D133" i="14" s="1"/>
  <c r="P132" i="14"/>
  <c r="Q132" i="14" s="1"/>
  <c r="M117" i="13" s="1"/>
  <c r="E114" i="17"/>
  <c r="H121" i="15"/>
  <c r="I121" i="15" s="1"/>
  <c r="P121" i="15" s="1"/>
  <c r="Q121" i="15" s="1"/>
  <c r="H114" i="17"/>
  <c r="F343" i="17"/>
  <c r="C345" i="17"/>
  <c r="L344" i="17"/>
  <c r="L342" i="15"/>
  <c r="C343" i="15"/>
  <c r="E133" i="14"/>
  <c r="G133" i="14"/>
  <c r="C344" i="14"/>
  <c r="L343" i="14"/>
  <c r="I132" i="12"/>
  <c r="J132" i="12" s="1"/>
  <c r="L344" i="12"/>
  <c r="C345" i="12"/>
  <c r="F343" i="12"/>
  <c r="J83" i="1"/>
  <c r="K83" i="1" s="1"/>
  <c r="S332" i="1"/>
  <c r="T332" i="1"/>
  <c r="L336" i="1"/>
  <c r="C337" i="1"/>
  <c r="B334" i="1"/>
  <c r="R333" i="1"/>
  <c r="J121" i="15" l="1"/>
  <c r="K121" i="15" s="1"/>
  <c r="M121" i="15" s="1"/>
  <c r="N133" i="15" s="1"/>
  <c r="I114" i="17"/>
  <c r="J114" i="17" s="1"/>
  <c r="K114" i="17" s="1"/>
  <c r="M114" i="17" s="1"/>
  <c r="N126" i="17" s="1"/>
  <c r="C346" i="17"/>
  <c r="L345" i="17"/>
  <c r="F344" i="17"/>
  <c r="H133" i="14"/>
  <c r="I133" i="14" s="1"/>
  <c r="J133" i="14" s="1"/>
  <c r="K133" i="14" s="1"/>
  <c r="M133" i="14" s="1"/>
  <c r="N145" i="14" s="1"/>
  <c r="C344" i="15"/>
  <c r="L343" i="15"/>
  <c r="L344" i="14"/>
  <c r="C345" i="14"/>
  <c r="P132" i="12"/>
  <c r="Q132" i="12" s="1"/>
  <c r="M117" i="10" s="1"/>
  <c r="F344" i="12"/>
  <c r="C346" i="12"/>
  <c r="L345" i="12"/>
  <c r="K132" i="12"/>
  <c r="M132" i="12" s="1"/>
  <c r="N144" i="12" s="1"/>
  <c r="O132" i="12"/>
  <c r="D133" i="12" s="1"/>
  <c r="S333" i="1"/>
  <c r="T333" i="1"/>
  <c r="L337" i="1"/>
  <c r="C338" i="1"/>
  <c r="B335" i="1"/>
  <c r="R334" i="1"/>
  <c r="O121" i="15" l="1"/>
  <c r="D122" i="15" s="1"/>
  <c r="G122" i="15" s="1"/>
  <c r="O133" i="14"/>
  <c r="D134" i="14" s="1"/>
  <c r="O114" i="17"/>
  <c r="D115" i="17" s="1"/>
  <c r="P114" i="17"/>
  <c r="Q114" i="17" s="1"/>
  <c r="P133" i="14"/>
  <c r="Q133" i="14" s="1"/>
  <c r="M118" i="13" s="1"/>
  <c r="E122" i="15"/>
  <c r="C347" i="17"/>
  <c r="L346" i="17"/>
  <c r="F345" i="17"/>
  <c r="C345" i="15"/>
  <c r="L344" i="15"/>
  <c r="G134" i="14"/>
  <c r="E134" i="14"/>
  <c r="L345" i="14"/>
  <c r="C346" i="14"/>
  <c r="E133" i="12"/>
  <c r="G133" i="12"/>
  <c r="C347" i="12"/>
  <c r="L346" i="12"/>
  <c r="F345" i="12"/>
  <c r="S334" i="1"/>
  <c r="T334" i="1"/>
  <c r="L338" i="1"/>
  <c r="C339" i="1"/>
  <c r="B336" i="1"/>
  <c r="R335" i="1"/>
  <c r="O83" i="1"/>
  <c r="D84" i="1" s="1"/>
  <c r="G84" i="1" s="1"/>
  <c r="E115" i="17" l="1"/>
  <c r="G115" i="17"/>
  <c r="H115" i="17" s="1"/>
  <c r="I115" i="17" s="1"/>
  <c r="P115" i="17" s="1"/>
  <c r="Q115" i="17" s="1"/>
  <c r="H122" i="15"/>
  <c r="F346" i="17"/>
  <c r="L347" i="17"/>
  <c r="C348" i="17"/>
  <c r="C346" i="15"/>
  <c r="L345" i="15"/>
  <c r="H134" i="14"/>
  <c r="I134" i="14" s="1"/>
  <c r="J134" i="14" s="1"/>
  <c r="K134" i="14" s="1"/>
  <c r="M134" i="14" s="1"/>
  <c r="N146" i="14" s="1"/>
  <c r="C347" i="14"/>
  <c r="L346" i="14"/>
  <c r="H133" i="12"/>
  <c r="I133" i="12" s="1"/>
  <c r="P133" i="12" s="1"/>
  <c r="Q133" i="12" s="1"/>
  <c r="M118" i="10" s="1"/>
  <c r="F346" i="12"/>
  <c r="C348" i="12"/>
  <c r="L347" i="12"/>
  <c r="E84" i="1"/>
  <c r="S335" i="1"/>
  <c r="T335" i="1"/>
  <c r="L339" i="1"/>
  <c r="C340" i="1"/>
  <c r="B337" i="1"/>
  <c r="R336" i="1"/>
  <c r="M83" i="1"/>
  <c r="H84" i="1" l="1"/>
  <c r="I84" i="1" s="1"/>
  <c r="J115" i="17"/>
  <c r="K115" i="17" s="1"/>
  <c r="M115" i="17" s="1"/>
  <c r="N127" i="17" s="1"/>
  <c r="I122" i="15"/>
  <c r="P122" i="15" s="1"/>
  <c r="Q122" i="15" s="1"/>
  <c r="C349" i="17"/>
  <c r="L348" i="17"/>
  <c r="F347" i="17"/>
  <c r="L346" i="15"/>
  <c r="C347" i="15"/>
  <c r="P134" i="14"/>
  <c r="Q134" i="14" s="1"/>
  <c r="M119" i="13" s="1"/>
  <c r="O134" i="14"/>
  <c r="D135" i="14" s="1"/>
  <c r="L347" i="14"/>
  <c r="C348" i="14"/>
  <c r="J133" i="12"/>
  <c r="O133" i="12" s="1"/>
  <c r="D134" i="12" s="1"/>
  <c r="L348" i="12"/>
  <c r="C349" i="12"/>
  <c r="F347" i="12"/>
  <c r="S336" i="1"/>
  <c r="T336" i="1"/>
  <c r="L340" i="1"/>
  <c r="C341" i="1"/>
  <c r="B338" i="1"/>
  <c r="R337" i="1"/>
  <c r="O115" i="17" l="1"/>
  <c r="D116" i="17" s="1"/>
  <c r="E116" i="17" s="1"/>
  <c r="J122" i="15"/>
  <c r="K122" i="15" s="1"/>
  <c r="M122" i="15" s="1"/>
  <c r="N134" i="15" s="1"/>
  <c r="L349" i="17"/>
  <c r="C350" i="17"/>
  <c r="F348" i="17"/>
  <c r="C348" i="15"/>
  <c r="L347" i="15"/>
  <c r="E135" i="14"/>
  <c r="G135" i="14"/>
  <c r="L348" i="14"/>
  <c r="C349" i="14"/>
  <c r="E134" i="12"/>
  <c r="G134" i="12"/>
  <c r="K133" i="12"/>
  <c r="M133" i="12" s="1"/>
  <c r="N145" i="12" s="1"/>
  <c r="C350" i="12"/>
  <c r="L349" i="12"/>
  <c r="F348" i="12"/>
  <c r="J84" i="1"/>
  <c r="K84" i="1" s="1"/>
  <c r="S337" i="1"/>
  <c r="T337" i="1"/>
  <c r="L341" i="1"/>
  <c r="C342" i="1"/>
  <c r="B339" i="1"/>
  <c r="R338" i="1"/>
  <c r="G116" i="17" l="1"/>
  <c r="H116" i="17" s="1"/>
  <c r="I116" i="17" s="1"/>
  <c r="O122" i="15"/>
  <c r="D123" i="15" s="1"/>
  <c r="E123" i="15" s="1"/>
  <c r="H135" i="14"/>
  <c r="I135" i="14" s="1"/>
  <c r="P135" i="14" s="1"/>
  <c r="Q135" i="14" s="1"/>
  <c r="M120" i="13" s="1"/>
  <c r="H134" i="12"/>
  <c r="I134" i="12" s="1"/>
  <c r="F349" i="17"/>
  <c r="C351" i="17"/>
  <c r="L350" i="17"/>
  <c r="L348" i="15"/>
  <c r="C349" i="15"/>
  <c r="C350" i="14"/>
  <c r="L349" i="14"/>
  <c r="F349" i="12"/>
  <c r="L350" i="12"/>
  <c r="C351" i="12"/>
  <c r="S338" i="1"/>
  <c r="T338" i="1"/>
  <c r="L342" i="1"/>
  <c r="C343" i="1"/>
  <c r="B340" i="1"/>
  <c r="R339" i="1"/>
  <c r="J134" i="12" l="1"/>
  <c r="O134" i="12" s="1"/>
  <c r="D135" i="12" s="1"/>
  <c r="E135" i="12" s="1"/>
  <c r="P116" i="17"/>
  <c r="Q116" i="17" s="1"/>
  <c r="J116" i="17"/>
  <c r="K116" i="17" s="1"/>
  <c r="M116" i="17" s="1"/>
  <c r="N128" i="17" s="1"/>
  <c r="G123" i="15"/>
  <c r="H123" i="15" s="1"/>
  <c r="I123" i="15" s="1"/>
  <c r="J123" i="15" s="1"/>
  <c r="K123" i="15" s="1"/>
  <c r="M123" i="15" s="1"/>
  <c r="N135" i="15" s="1"/>
  <c r="P134" i="12"/>
  <c r="Q134" i="12" s="1"/>
  <c r="M119" i="10" s="1"/>
  <c r="C352" i="17"/>
  <c r="L351" i="17"/>
  <c r="F350" i="17"/>
  <c r="L349" i="15"/>
  <c r="C350" i="15"/>
  <c r="J135" i="14"/>
  <c r="K135" i="14" s="1"/>
  <c r="M135" i="14" s="1"/>
  <c r="N147" i="14" s="1"/>
  <c r="C351" i="14"/>
  <c r="L350" i="14"/>
  <c r="L351" i="12"/>
  <c r="C352" i="12"/>
  <c r="F350" i="12"/>
  <c r="S339" i="1"/>
  <c r="T339" i="1"/>
  <c r="L343" i="1"/>
  <c r="C344" i="1"/>
  <c r="B341" i="1"/>
  <c r="R340" i="1"/>
  <c r="O84" i="1"/>
  <c r="D85" i="1" s="1"/>
  <c r="G85" i="1" s="1"/>
  <c r="G135" i="12" l="1"/>
  <c r="H135" i="12"/>
  <c r="I135" i="12" s="1"/>
  <c r="J135" i="12" s="1"/>
  <c r="O135" i="12" s="1"/>
  <c r="D136" i="12" s="1"/>
  <c r="K134" i="12"/>
  <c r="M134" i="12" s="1"/>
  <c r="N146" i="12" s="1"/>
  <c r="O116" i="17"/>
  <c r="D117" i="17" s="1"/>
  <c r="G117" i="17" s="1"/>
  <c r="P123" i="15"/>
  <c r="Q123" i="15" s="1"/>
  <c r="O123" i="15"/>
  <c r="D124" i="15" s="1"/>
  <c r="E124" i="15" s="1"/>
  <c r="F351" i="17"/>
  <c r="L352" i="17"/>
  <c r="C353" i="17"/>
  <c r="C351" i="15"/>
  <c r="L350" i="15"/>
  <c r="O135" i="14"/>
  <c r="D136" i="14" s="1"/>
  <c r="L351" i="14"/>
  <c r="C352" i="14"/>
  <c r="F351" i="12"/>
  <c r="C353" i="12"/>
  <c r="L352" i="12"/>
  <c r="E85" i="1"/>
  <c r="S340" i="1"/>
  <c r="T340" i="1"/>
  <c r="L344" i="1"/>
  <c r="C345" i="1"/>
  <c r="B342" i="1"/>
  <c r="R341" i="1"/>
  <c r="M84" i="1"/>
  <c r="H85" i="1" l="1"/>
  <c r="I85" i="1" s="1"/>
  <c r="G124" i="15"/>
  <c r="E117" i="17"/>
  <c r="H117" i="17" s="1"/>
  <c r="I117" i="17" s="1"/>
  <c r="J117" i="17" s="1"/>
  <c r="K117" i="17" s="1"/>
  <c r="M117" i="17" s="1"/>
  <c r="N129" i="17" s="1"/>
  <c r="H124" i="15"/>
  <c r="F352" i="17"/>
  <c r="C354" i="17"/>
  <c r="L353" i="17"/>
  <c r="C352" i="15"/>
  <c r="L351" i="15"/>
  <c r="E136" i="14"/>
  <c r="G136" i="14"/>
  <c r="L352" i="14"/>
  <c r="C353" i="14"/>
  <c r="E136" i="12"/>
  <c r="G136" i="12"/>
  <c r="L353" i="12"/>
  <c r="C354" i="12"/>
  <c r="K135" i="12"/>
  <c r="M135" i="12" s="1"/>
  <c r="N147" i="12" s="1"/>
  <c r="P135" i="12"/>
  <c r="Q135" i="12" s="1"/>
  <c r="M120" i="10" s="1"/>
  <c r="F352" i="12"/>
  <c r="S341" i="1"/>
  <c r="T341" i="1"/>
  <c r="L345" i="1"/>
  <c r="C346" i="1"/>
  <c r="B343" i="1"/>
  <c r="R342" i="1"/>
  <c r="O117" i="17" l="1"/>
  <c r="D118" i="17" s="1"/>
  <c r="E118" i="17" s="1"/>
  <c r="P117" i="17"/>
  <c r="Q117" i="17" s="1"/>
  <c r="I124" i="15"/>
  <c r="P124" i="15" s="1"/>
  <c r="Q124" i="15" s="1"/>
  <c r="C355" i="17"/>
  <c r="L354" i="17"/>
  <c r="F353" i="17"/>
  <c r="H136" i="14"/>
  <c r="I136" i="14" s="1"/>
  <c r="J136" i="14" s="1"/>
  <c r="K136" i="14" s="1"/>
  <c r="M136" i="14" s="1"/>
  <c r="N148" i="14" s="1"/>
  <c r="L352" i="15"/>
  <c r="C353" i="15"/>
  <c r="L353" i="14"/>
  <c r="C354" i="14"/>
  <c r="L354" i="12"/>
  <c r="C355" i="12"/>
  <c r="H136" i="12"/>
  <c r="F353" i="12"/>
  <c r="J85" i="1"/>
  <c r="K85" i="1" s="1"/>
  <c r="S342" i="1"/>
  <c r="T342" i="1"/>
  <c r="L346" i="1"/>
  <c r="C347" i="1"/>
  <c r="B344" i="1"/>
  <c r="R343" i="1"/>
  <c r="P136" i="14" l="1"/>
  <c r="Q136" i="14" s="1"/>
  <c r="M121" i="13" s="1"/>
  <c r="G118" i="17"/>
  <c r="H118" i="17" s="1"/>
  <c r="J124" i="15"/>
  <c r="K124" i="15" s="1"/>
  <c r="M124" i="15" s="1"/>
  <c r="N136" i="15" s="1"/>
  <c r="F354" i="17"/>
  <c r="L355" i="17"/>
  <c r="C356" i="17"/>
  <c r="L353" i="15"/>
  <c r="C354" i="15"/>
  <c r="O136" i="14"/>
  <c r="D137" i="14" s="1"/>
  <c r="L354" i="14"/>
  <c r="C355" i="14"/>
  <c r="C356" i="12"/>
  <c r="L355" i="12"/>
  <c r="F354" i="12"/>
  <c r="I136" i="12"/>
  <c r="P136" i="12" s="1"/>
  <c r="Q136" i="12" s="1"/>
  <c r="M121" i="10" s="1"/>
  <c r="S343" i="1"/>
  <c r="T343" i="1"/>
  <c r="L347" i="1"/>
  <c r="C348" i="1"/>
  <c r="B345" i="1"/>
  <c r="R344" i="1"/>
  <c r="I118" i="17" l="1"/>
  <c r="J118" i="17" s="1"/>
  <c r="K118" i="17" s="1"/>
  <c r="M118" i="17" s="1"/>
  <c r="N130" i="17" s="1"/>
  <c r="O124" i="15"/>
  <c r="D125" i="15" s="1"/>
  <c r="E125" i="15" s="1"/>
  <c r="L356" i="17"/>
  <c r="C357" i="17"/>
  <c r="F355" i="17"/>
  <c r="C355" i="15"/>
  <c r="L354" i="15"/>
  <c r="G137" i="14"/>
  <c r="E137" i="14"/>
  <c r="C356" i="14"/>
  <c r="L355" i="14"/>
  <c r="J136" i="12"/>
  <c r="K136" i="12" s="1"/>
  <c r="M136" i="12" s="1"/>
  <c r="N148" i="12" s="1"/>
  <c r="F355" i="12"/>
  <c r="L356" i="12"/>
  <c r="C357" i="12"/>
  <c r="S344" i="1"/>
  <c r="T344" i="1"/>
  <c r="L348" i="1"/>
  <c r="C349" i="1"/>
  <c r="B346" i="1"/>
  <c r="R345" i="1"/>
  <c r="O85" i="1"/>
  <c r="D86" i="1" s="1"/>
  <c r="G86" i="1" s="1"/>
  <c r="G125" i="15" l="1"/>
  <c r="H125" i="15" s="1"/>
  <c r="I125" i="15" s="1"/>
  <c r="J125" i="15" s="1"/>
  <c r="K125" i="15" s="1"/>
  <c r="M125" i="15" s="1"/>
  <c r="N137" i="15" s="1"/>
  <c r="P118" i="17"/>
  <c r="Q118" i="17" s="1"/>
  <c r="O118" i="17"/>
  <c r="D119" i="17" s="1"/>
  <c r="F356" i="17"/>
  <c r="C358" i="17"/>
  <c r="L357" i="17"/>
  <c r="C356" i="15"/>
  <c r="L355" i="15"/>
  <c r="H137" i="14"/>
  <c r="I137" i="14" s="1"/>
  <c r="J137" i="14" s="1"/>
  <c r="K137" i="14" s="1"/>
  <c r="M137" i="14" s="1"/>
  <c r="N149" i="14" s="1"/>
  <c r="L356" i="14"/>
  <c r="C357" i="14"/>
  <c r="O136" i="12"/>
  <c r="D137" i="12" s="1"/>
  <c r="E137" i="12" s="1"/>
  <c r="C358" i="12"/>
  <c r="L357" i="12"/>
  <c r="F356" i="12"/>
  <c r="E86" i="1"/>
  <c r="S345" i="1"/>
  <c r="T345" i="1"/>
  <c r="L349" i="1"/>
  <c r="C350" i="1"/>
  <c r="B347" i="1"/>
  <c r="R346" i="1"/>
  <c r="M85" i="1"/>
  <c r="H86" i="1" l="1"/>
  <c r="I86" i="1" s="1"/>
  <c r="E119" i="17"/>
  <c r="G119" i="17"/>
  <c r="O125" i="15"/>
  <c r="D126" i="15" s="1"/>
  <c r="G126" i="15" s="1"/>
  <c r="P125" i="15"/>
  <c r="Q125" i="15" s="1"/>
  <c r="C359" i="17"/>
  <c r="L358" i="17"/>
  <c r="F357" i="17"/>
  <c r="G137" i="12"/>
  <c r="H137" i="12" s="1"/>
  <c r="I137" i="12" s="1"/>
  <c r="C357" i="15"/>
  <c r="L356" i="15"/>
  <c r="P137" i="14"/>
  <c r="Q137" i="14" s="1"/>
  <c r="M122" i="13" s="1"/>
  <c r="O137" i="14"/>
  <c r="D138" i="14" s="1"/>
  <c r="L357" i="14"/>
  <c r="C358" i="14"/>
  <c r="F357" i="12"/>
  <c r="C359" i="12"/>
  <c r="L358" i="12"/>
  <c r="S346" i="1"/>
  <c r="T346" i="1"/>
  <c r="L350" i="1"/>
  <c r="C351" i="1"/>
  <c r="B348" i="1"/>
  <c r="R347" i="1"/>
  <c r="H119" i="17" l="1"/>
  <c r="I119" i="17" s="1"/>
  <c r="P119" i="17" s="1"/>
  <c r="Q119" i="17" s="1"/>
  <c r="E126" i="15"/>
  <c r="H126" i="15"/>
  <c r="I126" i="15" s="1"/>
  <c r="F358" i="17"/>
  <c r="C360" i="17"/>
  <c r="L359" i="17"/>
  <c r="C358" i="15"/>
  <c r="L357" i="15"/>
  <c r="E138" i="14"/>
  <c r="G138" i="14"/>
  <c r="C359" i="14"/>
  <c r="L358" i="14"/>
  <c r="L359" i="12"/>
  <c r="C360" i="12"/>
  <c r="J137" i="12"/>
  <c r="F358" i="12"/>
  <c r="P137" i="12"/>
  <c r="Q137" i="12" s="1"/>
  <c r="M122" i="10" s="1"/>
  <c r="J86" i="1"/>
  <c r="K86" i="1" s="1"/>
  <c r="S347" i="1"/>
  <c r="T347" i="1"/>
  <c r="L351" i="1"/>
  <c r="C352" i="1"/>
  <c r="B349" i="1"/>
  <c r="R348" i="1"/>
  <c r="H138" i="14" l="1"/>
  <c r="J119" i="17"/>
  <c r="K119" i="17" s="1"/>
  <c r="M119" i="17" s="1"/>
  <c r="N131" i="17" s="1"/>
  <c r="P126" i="15"/>
  <c r="Q126" i="15" s="1"/>
  <c r="J126" i="15"/>
  <c r="K126" i="15" s="1"/>
  <c r="M126" i="15" s="1"/>
  <c r="N138" i="15" s="1"/>
  <c r="F359" i="17"/>
  <c r="L360" i="17"/>
  <c r="C361" i="17"/>
  <c r="L358" i="15"/>
  <c r="C359" i="15"/>
  <c r="I138" i="14"/>
  <c r="J138" i="14" s="1"/>
  <c r="K138" i="14" s="1"/>
  <c r="M138" i="14" s="1"/>
  <c r="N150" i="14" s="1"/>
  <c r="C360" i="14"/>
  <c r="L359" i="14"/>
  <c r="F359" i="12"/>
  <c r="K137" i="12"/>
  <c r="M137" i="12" s="1"/>
  <c r="N149" i="12" s="1"/>
  <c r="L360" i="12"/>
  <c r="C361" i="12"/>
  <c r="O137" i="12"/>
  <c r="D138" i="12" s="1"/>
  <c r="S348" i="1"/>
  <c r="T348" i="1"/>
  <c r="L352" i="1"/>
  <c r="C353" i="1"/>
  <c r="B350" i="1"/>
  <c r="R349" i="1"/>
  <c r="O119" i="17" l="1"/>
  <c r="D120" i="17" s="1"/>
  <c r="E120" i="17" s="1"/>
  <c r="O126" i="15"/>
  <c r="D127" i="15" s="1"/>
  <c r="C362" i="17"/>
  <c r="L361" i="17"/>
  <c r="F360" i="17"/>
  <c r="L359" i="15"/>
  <c r="C360" i="15"/>
  <c r="P138" i="14"/>
  <c r="Q138" i="14" s="1"/>
  <c r="M123" i="13" s="1"/>
  <c r="O138" i="14"/>
  <c r="D139" i="14" s="1"/>
  <c r="C361" i="14"/>
  <c r="L360" i="14"/>
  <c r="C362" i="12"/>
  <c r="L361" i="12"/>
  <c r="E138" i="12"/>
  <c r="G138" i="12"/>
  <c r="F360" i="12"/>
  <c r="S349" i="1"/>
  <c r="T349" i="1"/>
  <c r="L353" i="1"/>
  <c r="C354" i="1"/>
  <c r="B351" i="1"/>
  <c r="R350" i="1"/>
  <c r="O86" i="1"/>
  <c r="D87" i="1" s="1"/>
  <c r="G87" i="1" s="1"/>
  <c r="G120" i="17" l="1"/>
  <c r="H120" i="17" s="1"/>
  <c r="I120" i="17" s="1"/>
  <c r="J120" i="17" s="1"/>
  <c r="K120" i="17" s="1"/>
  <c r="M120" i="17" s="1"/>
  <c r="N132" i="17" s="1"/>
  <c r="G127" i="15"/>
  <c r="E127" i="15"/>
  <c r="L362" i="17"/>
  <c r="C363" i="17"/>
  <c r="F361" i="17"/>
  <c r="H138" i="12"/>
  <c r="I138" i="12" s="1"/>
  <c r="J138" i="12" s="1"/>
  <c r="C361" i="15"/>
  <c r="L360" i="15"/>
  <c r="E139" i="14"/>
  <c r="G139" i="14"/>
  <c r="L361" i="14"/>
  <c r="C362" i="14"/>
  <c r="F361" i="12"/>
  <c r="C363" i="12"/>
  <c r="L362" i="12"/>
  <c r="E87" i="1"/>
  <c r="S350" i="1"/>
  <c r="T350" i="1"/>
  <c r="L354" i="1"/>
  <c r="C355" i="1"/>
  <c r="B352" i="1"/>
  <c r="R351" i="1"/>
  <c r="M86" i="1"/>
  <c r="P120" i="17" l="1"/>
  <c r="Q120" i="17" s="1"/>
  <c r="O120" i="17"/>
  <c r="D121" i="17" s="1"/>
  <c r="E121" i="17" s="1"/>
  <c r="H87" i="1"/>
  <c r="I87" i="1" s="1"/>
  <c r="G121" i="17"/>
  <c r="H121" i="17"/>
  <c r="I121" i="17" s="1"/>
  <c r="J121" i="17" s="1"/>
  <c r="K121" i="17" s="1"/>
  <c r="M121" i="17" s="1"/>
  <c r="N133" i="17" s="1"/>
  <c r="P138" i="12"/>
  <c r="Q138" i="12" s="1"/>
  <c r="M123" i="10" s="1"/>
  <c r="H127" i="15"/>
  <c r="F362" i="17"/>
  <c r="C364" i="17"/>
  <c r="L363" i="17"/>
  <c r="H139" i="14"/>
  <c r="I139" i="14" s="1"/>
  <c r="L361" i="15"/>
  <c r="C362" i="15"/>
  <c r="L362" i="14"/>
  <c r="C363" i="14"/>
  <c r="K138" i="12"/>
  <c r="M138" i="12" s="1"/>
  <c r="N150" i="12" s="1"/>
  <c r="O138" i="12"/>
  <c r="D139" i="12" s="1"/>
  <c r="L363" i="12"/>
  <c r="C364" i="12"/>
  <c r="F362" i="12"/>
  <c r="S351" i="1"/>
  <c r="T351" i="1"/>
  <c r="L355" i="1"/>
  <c r="C356" i="1"/>
  <c r="B353" i="1"/>
  <c r="R352" i="1"/>
  <c r="P121" i="17" l="1"/>
  <c r="Q121" i="17" s="1"/>
  <c r="O121" i="17"/>
  <c r="D122" i="17" s="1"/>
  <c r="E122" i="17" s="1"/>
  <c r="J139" i="14"/>
  <c r="K139" i="14" s="1"/>
  <c r="M139" i="14" s="1"/>
  <c r="N151" i="14" s="1"/>
  <c r="I127" i="15"/>
  <c r="P127" i="15" s="1"/>
  <c r="Q127" i="15" s="1"/>
  <c r="P139" i="14"/>
  <c r="Q139" i="14" s="1"/>
  <c r="M124" i="13" s="1"/>
  <c r="F363" i="17"/>
  <c r="C365" i="17"/>
  <c r="L364" i="17"/>
  <c r="L362" i="15"/>
  <c r="C363" i="15"/>
  <c r="C364" i="14"/>
  <c r="L363" i="14"/>
  <c r="L364" i="12"/>
  <c r="C365" i="12"/>
  <c r="F363" i="12"/>
  <c r="E139" i="12"/>
  <c r="G139" i="12"/>
  <c r="J87" i="1"/>
  <c r="K87" i="1" s="1"/>
  <c r="S352" i="1"/>
  <c r="T352" i="1"/>
  <c r="L356" i="1"/>
  <c r="C357" i="1"/>
  <c r="B354" i="1"/>
  <c r="R353" i="1"/>
  <c r="O139" i="14" l="1"/>
  <c r="D140" i="14" s="1"/>
  <c r="G122" i="17"/>
  <c r="H122" i="17"/>
  <c r="I122" i="17" s="1"/>
  <c r="J122" i="17" s="1"/>
  <c r="K122" i="17" s="1"/>
  <c r="M122" i="17" s="1"/>
  <c r="N134" i="17" s="1"/>
  <c r="J127" i="15"/>
  <c r="C366" i="17"/>
  <c r="L365" i="17"/>
  <c r="F364" i="17"/>
  <c r="C364" i="15"/>
  <c r="L363" i="15"/>
  <c r="E140" i="14"/>
  <c r="G140" i="14"/>
  <c r="H140" i="14" s="1"/>
  <c r="I140" i="14" s="1"/>
  <c r="L364" i="14"/>
  <c r="C365" i="14"/>
  <c r="H139" i="12"/>
  <c r="I139" i="12" s="1"/>
  <c r="L365" i="12"/>
  <c r="C366" i="12"/>
  <c r="F364" i="12"/>
  <c r="S353" i="1"/>
  <c r="T353" i="1"/>
  <c r="L357" i="1"/>
  <c r="C358" i="1"/>
  <c r="B355" i="1"/>
  <c r="R354" i="1"/>
  <c r="P122" i="17" l="1"/>
  <c r="Q122" i="17" s="1"/>
  <c r="O122" i="17"/>
  <c r="D123" i="17" s="1"/>
  <c r="G123" i="17" s="1"/>
  <c r="K127" i="15"/>
  <c r="M127" i="15" s="1"/>
  <c r="N139" i="15" s="1"/>
  <c r="O127" i="15"/>
  <c r="D128" i="15" s="1"/>
  <c r="F365" i="17"/>
  <c r="C367" i="17"/>
  <c r="L366" i="17"/>
  <c r="C365" i="15"/>
  <c r="L364" i="15"/>
  <c r="P140" i="14"/>
  <c r="Q140" i="14" s="1"/>
  <c r="M125" i="13" s="1"/>
  <c r="J140" i="14"/>
  <c r="K140" i="14" s="1"/>
  <c r="M140" i="14" s="1"/>
  <c r="N152" i="14" s="1"/>
  <c r="L365" i="14"/>
  <c r="C366" i="14"/>
  <c r="J139" i="12"/>
  <c r="O139" i="12" s="1"/>
  <c r="D140" i="12" s="1"/>
  <c r="P139" i="12"/>
  <c r="Q139" i="12" s="1"/>
  <c r="M124" i="10" s="1"/>
  <c r="F365" i="12"/>
  <c r="C367" i="12"/>
  <c r="L366" i="12"/>
  <c r="S354" i="1"/>
  <c r="T354" i="1"/>
  <c r="L358" i="1"/>
  <c r="C359" i="1"/>
  <c r="B356" i="1"/>
  <c r="R355" i="1"/>
  <c r="O87" i="1"/>
  <c r="D88" i="1" s="1"/>
  <c r="G88" i="1" s="1"/>
  <c r="E123" i="17" l="1"/>
  <c r="H123" i="17"/>
  <c r="G128" i="15"/>
  <c r="E128" i="15"/>
  <c r="L367" i="17"/>
  <c r="C368" i="17"/>
  <c r="F366" i="17"/>
  <c r="L365" i="15"/>
  <c r="C366" i="15"/>
  <c r="O140" i="14"/>
  <c r="D141" i="14" s="1"/>
  <c r="L366" i="14"/>
  <c r="C367" i="14"/>
  <c r="K139" i="12"/>
  <c r="M139" i="12" s="1"/>
  <c r="N151" i="12" s="1"/>
  <c r="C368" i="12"/>
  <c r="L367" i="12"/>
  <c r="E140" i="12"/>
  <c r="G140" i="12"/>
  <c r="F366" i="12"/>
  <c r="E88" i="1"/>
  <c r="S355" i="1"/>
  <c r="T355" i="1"/>
  <c r="L359" i="1"/>
  <c r="C360" i="1"/>
  <c r="B357" i="1"/>
  <c r="R356" i="1"/>
  <c r="M87" i="1"/>
  <c r="H88" i="1" l="1"/>
  <c r="I88" i="1" s="1"/>
  <c r="H128" i="15"/>
  <c r="I123" i="17"/>
  <c r="J123" i="17" s="1"/>
  <c r="K123" i="17" s="1"/>
  <c r="M123" i="17" s="1"/>
  <c r="N135" i="17" s="1"/>
  <c r="F367" i="17"/>
  <c r="C369" i="17"/>
  <c r="L368" i="17"/>
  <c r="C367" i="15"/>
  <c r="L366" i="15"/>
  <c r="E141" i="14"/>
  <c r="G141" i="14"/>
  <c r="H141" i="14" s="1"/>
  <c r="H140" i="12"/>
  <c r="I140" i="12" s="1"/>
  <c r="J140" i="12" s="1"/>
  <c r="K140" i="12" s="1"/>
  <c r="M140" i="12" s="1"/>
  <c r="N152" i="12" s="1"/>
  <c r="C368" i="14"/>
  <c r="L367" i="14"/>
  <c r="F367" i="12"/>
  <c r="L368" i="12"/>
  <c r="C369" i="12"/>
  <c r="S356" i="1"/>
  <c r="T356" i="1"/>
  <c r="L360" i="1"/>
  <c r="C361" i="1"/>
  <c r="B358" i="1"/>
  <c r="R357" i="1"/>
  <c r="P123" i="17" l="1"/>
  <c r="Q123" i="17" s="1"/>
  <c r="O123" i="17"/>
  <c r="D124" i="17" s="1"/>
  <c r="E124" i="17" s="1"/>
  <c r="I128" i="15"/>
  <c r="P128" i="15" s="1"/>
  <c r="Q128" i="15" s="1"/>
  <c r="F368" i="17"/>
  <c r="L369" i="17"/>
  <c r="C370" i="17"/>
  <c r="P140" i="12"/>
  <c r="Q140" i="12" s="1"/>
  <c r="M125" i="10" s="1"/>
  <c r="O140" i="12"/>
  <c r="D141" i="12" s="1"/>
  <c r="G141" i="12" s="1"/>
  <c r="C368" i="15"/>
  <c r="L367" i="15"/>
  <c r="I141" i="14"/>
  <c r="J141" i="14" s="1"/>
  <c r="K141" i="14" s="1"/>
  <c r="M141" i="14" s="1"/>
  <c r="N153" i="14" s="1"/>
  <c r="C369" i="14"/>
  <c r="L368" i="14"/>
  <c r="C370" i="12"/>
  <c r="L369" i="12"/>
  <c r="F368" i="12"/>
  <c r="J88" i="1"/>
  <c r="K88" i="1" s="1"/>
  <c r="S357" i="1"/>
  <c r="T357" i="1"/>
  <c r="L361" i="1"/>
  <c r="C362" i="1"/>
  <c r="B359" i="1"/>
  <c r="R358" i="1"/>
  <c r="G124" i="17" l="1"/>
  <c r="H124" i="17"/>
  <c r="I124" i="17" s="1"/>
  <c r="J124" i="17" s="1"/>
  <c r="K124" i="17" s="1"/>
  <c r="M124" i="17" s="1"/>
  <c r="N136" i="17" s="1"/>
  <c r="J128" i="15"/>
  <c r="K128" i="15" s="1"/>
  <c r="M128" i="15" s="1"/>
  <c r="N140" i="15" s="1"/>
  <c r="F369" i="17"/>
  <c r="C371" i="17"/>
  <c r="L370" i="17"/>
  <c r="E141" i="12"/>
  <c r="H141" i="12" s="1"/>
  <c r="I141" i="12" s="1"/>
  <c r="J141" i="12" s="1"/>
  <c r="C369" i="15"/>
  <c r="L368" i="15"/>
  <c r="P141" i="14"/>
  <c r="Q141" i="14" s="1"/>
  <c r="M126" i="13" s="1"/>
  <c r="O141" i="14"/>
  <c r="D142" i="14" s="1"/>
  <c r="C370" i="14"/>
  <c r="L369" i="14"/>
  <c r="F369" i="12"/>
  <c r="C371" i="12"/>
  <c r="L370" i="12"/>
  <c r="S358" i="1"/>
  <c r="T358" i="1"/>
  <c r="L362" i="1"/>
  <c r="C363" i="1"/>
  <c r="B360" i="1"/>
  <c r="R359" i="1"/>
  <c r="P124" i="17" l="1"/>
  <c r="Q124" i="17" s="1"/>
  <c r="O124" i="17"/>
  <c r="D125" i="17" s="1"/>
  <c r="G125" i="17" s="1"/>
  <c r="O128" i="15"/>
  <c r="D129" i="15" s="1"/>
  <c r="F370" i="17"/>
  <c r="C372" i="17"/>
  <c r="L371" i="17"/>
  <c r="L369" i="15"/>
  <c r="C370" i="15"/>
  <c r="G142" i="14"/>
  <c r="E142" i="14"/>
  <c r="C371" i="14"/>
  <c r="L370" i="14"/>
  <c r="K141" i="12"/>
  <c r="M141" i="12" s="1"/>
  <c r="N153" i="12" s="1"/>
  <c r="L371" i="12"/>
  <c r="C372" i="12"/>
  <c r="F370" i="12"/>
  <c r="O141" i="12"/>
  <c r="D142" i="12" s="1"/>
  <c r="P141" i="12"/>
  <c r="Q141" i="12" s="1"/>
  <c r="M126" i="10" s="1"/>
  <c r="S359" i="1"/>
  <c r="T359" i="1"/>
  <c r="L363" i="1"/>
  <c r="C364" i="1"/>
  <c r="B361" i="1"/>
  <c r="R360" i="1"/>
  <c r="O88" i="1"/>
  <c r="D89" i="1" s="1"/>
  <c r="G89" i="1" s="1"/>
  <c r="E125" i="17" l="1"/>
  <c r="E129" i="15"/>
  <c r="G129" i="15"/>
  <c r="H129" i="15" s="1"/>
  <c r="I129" i="15" s="1"/>
  <c r="H125" i="17"/>
  <c r="L372" i="17"/>
  <c r="C373" i="17"/>
  <c r="F371" i="17"/>
  <c r="L370" i="15"/>
  <c r="C371" i="15"/>
  <c r="H142" i="14"/>
  <c r="I142" i="14" s="1"/>
  <c r="J142" i="14" s="1"/>
  <c r="K142" i="14" s="1"/>
  <c r="M142" i="14" s="1"/>
  <c r="N154" i="14" s="1"/>
  <c r="C372" i="14"/>
  <c r="L371" i="14"/>
  <c r="F371" i="12"/>
  <c r="C373" i="12"/>
  <c r="L372" i="12"/>
  <c r="E142" i="12"/>
  <c r="G142" i="12"/>
  <c r="E89" i="1"/>
  <c r="S360" i="1"/>
  <c r="T360" i="1"/>
  <c r="L364" i="1"/>
  <c r="C365" i="1"/>
  <c r="B362" i="1"/>
  <c r="R361" i="1"/>
  <c r="M88" i="1"/>
  <c r="H89" i="1" l="1"/>
  <c r="P129" i="15"/>
  <c r="Q129" i="15" s="1"/>
  <c r="J129" i="15"/>
  <c r="K129" i="15" s="1"/>
  <c r="M129" i="15" s="1"/>
  <c r="N141" i="15" s="1"/>
  <c r="I125" i="17"/>
  <c r="J125" i="17" s="1"/>
  <c r="K125" i="17" s="1"/>
  <c r="M125" i="17" s="1"/>
  <c r="N137" i="17" s="1"/>
  <c r="C374" i="17"/>
  <c r="L373" i="17"/>
  <c r="F372" i="17"/>
  <c r="H142" i="12"/>
  <c r="I142" i="12" s="1"/>
  <c r="J142" i="12" s="1"/>
  <c r="O142" i="12" s="1"/>
  <c r="D143" i="12" s="1"/>
  <c r="C372" i="15"/>
  <c r="L371" i="15"/>
  <c r="P142" i="14"/>
  <c r="Q142" i="14" s="1"/>
  <c r="M127" i="13" s="1"/>
  <c r="O142" i="14"/>
  <c r="D143" i="14" s="1"/>
  <c r="L372" i="14"/>
  <c r="C373" i="14"/>
  <c r="C374" i="12"/>
  <c r="L373" i="12"/>
  <c r="F372" i="12"/>
  <c r="I89" i="1"/>
  <c r="S361" i="1"/>
  <c r="T361" i="1"/>
  <c r="L365" i="1"/>
  <c r="C366" i="1"/>
  <c r="B363" i="1"/>
  <c r="R362" i="1"/>
  <c r="O129" i="15" l="1"/>
  <c r="D130" i="15" s="1"/>
  <c r="E130" i="15" s="1"/>
  <c r="O125" i="17"/>
  <c r="D126" i="17" s="1"/>
  <c r="P125" i="17"/>
  <c r="Q125" i="17" s="1"/>
  <c r="L374" i="17"/>
  <c r="C375" i="17"/>
  <c r="F373" i="17"/>
  <c r="C373" i="15"/>
  <c r="L372" i="15"/>
  <c r="E143" i="14"/>
  <c r="G143" i="14"/>
  <c r="H143" i="14" s="1"/>
  <c r="L373" i="14"/>
  <c r="C374" i="14"/>
  <c r="E143" i="12"/>
  <c r="G143" i="12"/>
  <c r="F373" i="12"/>
  <c r="K142" i="12"/>
  <c r="M142" i="12" s="1"/>
  <c r="N154" i="12" s="1"/>
  <c r="P142" i="12"/>
  <c r="Q142" i="12" s="1"/>
  <c r="M127" i="10" s="1"/>
  <c r="C375" i="12"/>
  <c r="L374" i="12"/>
  <c r="J89" i="1"/>
  <c r="K89" i="1" s="1"/>
  <c r="S362" i="1"/>
  <c r="T362" i="1"/>
  <c r="L366" i="1"/>
  <c r="C367" i="1"/>
  <c r="B364" i="1"/>
  <c r="R363" i="1"/>
  <c r="G130" i="15" l="1"/>
  <c r="H130" i="15"/>
  <c r="E126" i="17"/>
  <c r="G126" i="17"/>
  <c r="C376" i="17"/>
  <c r="L375" i="17"/>
  <c r="F374" i="17"/>
  <c r="L373" i="15"/>
  <c r="C374" i="15"/>
  <c r="I143" i="14"/>
  <c r="J143" i="14" s="1"/>
  <c r="C375" i="14"/>
  <c r="L374" i="14"/>
  <c r="H143" i="12"/>
  <c r="I143" i="12" s="1"/>
  <c r="J143" i="12" s="1"/>
  <c r="F374" i="12"/>
  <c r="L375" i="12"/>
  <c r="C376" i="12"/>
  <c r="S363" i="1"/>
  <c r="T363" i="1"/>
  <c r="L367" i="1"/>
  <c r="C368" i="1"/>
  <c r="B365" i="1"/>
  <c r="R364" i="1"/>
  <c r="N46" i="1"/>
  <c r="P46" i="1" s="1"/>
  <c r="Q46" i="1" s="1"/>
  <c r="N64" i="1"/>
  <c r="P64" i="1" s="1"/>
  <c r="Q64" i="1" s="1"/>
  <c r="N82" i="1"/>
  <c r="P82" i="1" s="1"/>
  <c r="Q82" i="1" s="1"/>
  <c r="N78" i="1"/>
  <c r="P78" i="1" s="1"/>
  <c r="Q78" i="1" s="1"/>
  <c r="N60" i="1"/>
  <c r="P60" i="1" s="1"/>
  <c r="Q60" i="1" s="1"/>
  <c r="N93" i="1"/>
  <c r="N51" i="1"/>
  <c r="P51" i="1" s="1"/>
  <c r="Q51" i="1" s="1"/>
  <c r="N73" i="1"/>
  <c r="P73" i="1" s="1"/>
  <c r="Q73" i="1" s="1"/>
  <c r="N86" i="1"/>
  <c r="P86" i="1" s="1"/>
  <c r="Q86" i="1" s="1"/>
  <c r="N52" i="1"/>
  <c r="P52" i="1" s="1"/>
  <c r="Q52" i="1" s="1"/>
  <c r="N43" i="1"/>
  <c r="P43" i="1" s="1"/>
  <c r="Q43" i="1" s="1"/>
  <c r="N88" i="1"/>
  <c r="P88" i="1" s="1"/>
  <c r="Q88" i="1" s="1"/>
  <c r="N48" i="1"/>
  <c r="P48" i="1" s="1"/>
  <c r="Q48" i="1" s="1"/>
  <c r="N71" i="1"/>
  <c r="P71" i="1" s="1"/>
  <c r="Q71" i="1" s="1"/>
  <c r="N90" i="1"/>
  <c r="N94" i="1"/>
  <c r="N62" i="1"/>
  <c r="P62" i="1" s="1"/>
  <c r="Q62" i="1" s="1"/>
  <c r="N50" i="1"/>
  <c r="P50" i="1" s="1"/>
  <c r="Q50" i="1" s="1"/>
  <c r="N89" i="1"/>
  <c r="P89" i="1" s="1"/>
  <c r="Q89" i="1" s="1"/>
  <c r="N68" i="1"/>
  <c r="P68" i="1" s="1"/>
  <c r="Q68" i="1" s="1"/>
  <c r="N80" i="1"/>
  <c r="P80" i="1" s="1"/>
  <c r="Q80" i="1" s="1"/>
  <c r="N72" i="1"/>
  <c r="P72" i="1" s="1"/>
  <c r="Q72" i="1" s="1"/>
  <c r="N83" i="1"/>
  <c r="P83" i="1" s="1"/>
  <c r="Q83" i="1" s="1"/>
  <c r="N98" i="1"/>
  <c r="N63" i="1"/>
  <c r="P63" i="1" s="1"/>
  <c r="Q63" i="1" s="1"/>
  <c r="N81" i="1"/>
  <c r="P81" i="1" s="1"/>
  <c r="Q81" i="1" s="1"/>
  <c r="N91" i="1"/>
  <c r="N56" i="1"/>
  <c r="P56" i="1" s="1"/>
  <c r="Q56" i="1" s="1"/>
  <c r="N76" i="1"/>
  <c r="P76" i="1" s="1"/>
  <c r="Q76" i="1" s="1"/>
  <c r="N45" i="1"/>
  <c r="P45" i="1" s="1"/>
  <c r="Q45" i="1" s="1"/>
  <c r="N61" i="1"/>
  <c r="P61" i="1" s="1"/>
  <c r="Q61" i="1" s="1"/>
  <c r="N42" i="1"/>
  <c r="P42" i="1" s="1"/>
  <c r="Q42" i="1" s="1"/>
  <c r="N97" i="1"/>
  <c r="N75" i="1"/>
  <c r="P75" i="1" s="1"/>
  <c r="Q75" i="1" s="1"/>
  <c r="N70" i="1"/>
  <c r="P70" i="1" s="1"/>
  <c r="Q70" i="1" s="1"/>
  <c r="N79" i="1"/>
  <c r="P79" i="1" s="1"/>
  <c r="Q79" i="1" s="1"/>
  <c r="N77" i="1"/>
  <c r="P77" i="1" s="1"/>
  <c r="Q77" i="1" s="1"/>
  <c r="N84" i="1"/>
  <c r="P84" i="1" s="1"/>
  <c r="Q84" i="1" s="1"/>
  <c r="N66" i="1"/>
  <c r="P66" i="1" s="1"/>
  <c r="Q66" i="1" s="1"/>
  <c r="N41" i="1"/>
  <c r="P41" i="1" s="1"/>
  <c r="Q41" i="1" s="1"/>
  <c r="N85" i="1"/>
  <c r="P85" i="1" s="1"/>
  <c r="Q85" i="1" s="1"/>
  <c r="N67" i="1"/>
  <c r="P67" i="1" s="1"/>
  <c r="Q67" i="1" s="1"/>
  <c r="N95" i="1"/>
  <c r="N55" i="1"/>
  <c r="P55" i="1" s="1"/>
  <c r="Q55" i="1" s="1"/>
  <c r="N59" i="1"/>
  <c r="P59" i="1" s="1"/>
  <c r="Q59" i="1" s="1"/>
  <c r="N53" i="1"/>
  <c r="P53" i="1" s="1"/>
  <c r="Q53" i="1" s="1"/>
  <c r="N74" i="1"/>
  <c r="P74" i="1" s="1"/>
  <c r="Q74" i="1" s="1"/>
  <c r="N44" i="1"/>
  <c r="P44" i="1" s="1"/>
  <c r="Q44" i="1" s="1"/>
  <c r="N96" i="1"/>
  <c r="N57" i="1"/>
  <c r="P57" i="1" s="1"/>
  <c r="Q57" i="1" s="1"/>
  <c r="N92" i="1"/>
  <c r="N47" i="1"/>
  <c r="P47" i="1" s="1"/>
  <c r="Q47" i="1" s="1"/>
  <c r="N58" i="1"/>
  <c r="P58" i="1" s="1"/>
  <c r="Q58" i="1" s="1"/>
  <c r="N49" i="1"/>
  <c r="P49" i="1" s="1"/>
  <c r="Q49" i="1" s="1"/>
  <c r="N54" i="1"/>
  <c r="P54" i="1" s="1"/>
  <c r="Q54" i="1" s="1"/>
  <c r="N87" i="1"/>
  <c r="P87" i="1" s="1"/>
  <c r="Q87" i="1" s="1"/>
  <c r="N69" i="1"/>
  <c r="P69" i="1" s="1"/>
  <c r="Q69" i="1" s="1"/>
  <c r="N65" i="1"/>
  <c r="P65" i="1" s="1"/>
  <c r="Q65" i="1" s="1"/>
  <c r="M35" i="9" l="1"/>
  <c r="N35" i="9" s="1"/>
  <c r="M55" i="9"/>
  <c r="N55" i="9" s="1"/>
  <c r="M51" i="9"/>
  <c r="N51" i="9" s="1"/>
  <c r="M43" i="9"/>
  <c r="N43" i="9" s="1"/>
  <c r="M38" i="9"/>
  <c r="N38" i="9" s="1"/>
  <c r="N58" i="18"/>
  <c r="N52" i="18"/>
  <c r="N49" i="18"/>
  <c r="N29" i="18"/>
  <c r="N39" i="18"/>
  <c r="N59" i="18"/>
  <c r="N51" i="18"/>
  <c r="N46" i="18"/>
  <c r="N68" i="18"/>
  <c r="N36" i="18"/>
  <c r="N28" i="18"/>
  <c r="N42" i="18"/>
  <c r="N35" i="18"/>
  <c r="N70" i="18"/>
  <c r="N47" i="18"/>
  <c r="N31" i="18"/>
  <c r="N26" i="18"/>
  <c r="N34" i="18"/>
  <c r="N38" i="18"/>
  <c r="N69" i="18"/>
  <c r="N30" i="18"/>
  <c r="N57" i="18"/>
  <c r="N56" i="18"/>
  <c r="N50" i="18"/>
  <c r="N66" i="18"/>
  <c r="N54" i="18"/>
  <c r="N27" i="18"/>
  <c r="N43" i="18"/>
  <c r="N44" i="18"/>
  <c r="N62" i="18"/>
  <c r="N61" i="18"/>
  <c r="N65" i="18"/>
  <c r="N33" i="18"/>
  <c r="N45" i="18"/>
  <c r="N55" i="18"/>
  <c r="N67" i="18"/>
  <c r="N60" i="18"/>
  <c r="N37" i="18"/>
  <c r="N48" i="18"/>
  <c r="N32" i="18"/>
  <c r="N40" i="18"/>
  <c r="N64" i="18"/>
  <c r="N41" i="18"/>
  <c r="N53" i="18"/>
  <c r="N63" i="18"/>
  <c r="H126" i="17"/>
  <c r="I130" i="15"/>
  <c r="F375" i="17"/>
  <c r="L376" i="17"/>
  <c r="C377" i="17"/>
  <c r="N62" i="13"/>
  <c r="N38" i="13"/>
  <c r="N37" i="13"/>
  <c r="N40" i="13"/>
  <c r="N58" i="13"/>
  <c r="N39" i="13"/>
  <c r="N46" i="13"/>
  <c r="N74" i="13"/>
  <c r="N36" i="13"/>
  <c r="N29" i="13"/>
  <c r="N29" i="16"/>
  <c r="N59" i="13"/>
  <c r="N57" i="13"/>
  <c r="N72" i="13"/>
  <c r="N52" i="13"/>
  <c r="N30" i="13"/>
  <c r="N35" i="13"/>
  <c r="N48" i="13"/>
  <c r="N50" i="13"/>
  <c r="N65" i="13"/>
  <c r="N43" i="13"/>
  <c r="N61" i="13"/>
  <c r="N47" i="13"/>
  <c r="N45" i="13"/>
  <c r="N31" i="13"/>
  <c r="N68" i="13"/>
  <c r="N54" i="13"/>
  <c r="N27" i="13"/>
  <c r="N27" i="16"/>
  <c r="N32" i="13"/>
  <c r="N41" i="13"/>
  <c r="N63" i="13"/>
  <c r="N64" i="13"/>
  <c r="N28" i="13"/>
  <c r="N28" i="16"/>
  <c r="N71" i="13"/>
  <c r="N34" i="13"/>
  <c r="N67" i="13"/>
  <c r="N33" i="13"/>
  <c r="N73" i="13"/>
  <c r="N55" i="13"/>
  <c r="N60" i="13"/>
  <c r="N44" i="13"/>
  <c r="N53" i="13"/>
  <c r="N70" i="13"/>
  <c r="N26" i="13"/>
  <c r="N26" i="16"/>
  <c r="N51" i="13"/>
  <c r="N42" i="13"/>
  <c r="N69" i="13"/>
  <c r="N66" i="13"/>
  <c r="N56" i="13"/>
  <c r="N49" i="13"/>
  <c r="C375" i="15"/>
  <c r="L374" i="15"/>
  <c r="P143" i="14"/>
  <c r="Q143" i="14" s="1"/>
  <c r="O143" i="14"/>
  <c r="D144" i="14" s="1"/>
  <c r="K143" i="14"/>
  <c r="M143" i="14" s="1"/>
  <c r="N155" i="14" s="1"/>
  <c r="L375" i="14"/>
  <c r="C376" i="14"/>
  <c r="L376" i="12"/>
  <c r="C377" i="12"/>
  <c r="O143" i="12"/>
  <c r="D144" i="12" s="1"/>
  <c r="K143" i="12"/>
  <c r="M143" i="12" s="1"/>
  <c r="N155" i="12" s="1"/>
  <c r="P143" i="12"/>
  <c r="Q143" i="12" s="1"/>
  <c r="F375" i="12"/>
  <c r="M45" i="9"/>
  <c r="N45" i="9" s="1"/>
  <c r="N45" i="10"/>
  <c r="N34" i="10"/>
  <c r="M70" i="9"/>
  <c r="N70" i="9" s="1"/>
  <c r="N70" i="10"/>
  <c r="M41" i="9"/>
  <c r="N41" i="9" s="1"/>
  <c r="N41" i="10"/>
  <c r="N67" i="10"/>
  <c r="N56" i="10"/>
  <c r="M49" i="9"/>
  <c r="N49" i="9" s="1"/>
  <c r="N49" i="10"/>
  <c r="M62" i="9"/>
  <c r="N62" i="9" s="1"/>
  <c r="N62" i="10"/>
  <c r="M48" i="9"/>
  <c r="N48" i="9" s="1"/>
  <c r="N48" i="10"/>
  <c r="M33" i="9"/>
  <c r="N33" i="9" s="1"/>
  <c r="N33" i="10"/>
  <c r="N31" i="10"/>
  <c r="N51" i="10"/>
  <c r="N64" i="10"/>
  <c r="M73" i="9"/>
  <c r="N73" i="9" s="1"/>
  <c r="N73" i="10"/>
  <c r="M52" i="9"/>
  <c r="N52" i="9" s="1"/>
  <c r="N52" i="10"/>
  <c r="M32" i="9"/>
  <c r="N32" i="9" s="1"/>
  <c r="N32" i="10"/>
  <c r="N55" i="10"/>
  <c r="M68" i="9"/>
  <c r="N68" i="9" s="1"/>
  <c r="N68" i="10"/>
  <c r="M28" i="9"/>
  <c r="N28" i="9" s="1"/>
  <c r="N28" i="10"/>
  <c r="N43" i="10"/>
  <c r="M42" i="9"/>
  <c r="N42" i="9" s="1"/>
  <c r="N42" i="10"/>
  <c r="N60" i="10"/>
  <c r="M57" i="9"/>
  <c r="N57" i="9" s="1"/>
  <c r="N57" i="10"/>
  <c r="M37" i="9"/>
  <c r="N37" i="9" s="1"/>
  <c r="N37" i="10"/>
  <c r="N35" i="10"/>
  <c r="N26" i="10"/>
  <c r="M69" i="9"/>
  <c r="N69" i="9" s="1"/>
  <c r="N69" i="10"/>
  <c r="N38" i="10"/>
  <c r="M65" i="9"/>
  <c r="N65" i="9" s="1"/>
  <c r="N65" i="10"/>
  <c r="M71" i="9"/>
  <c r="N71" i="9" s="1"/>
  <c r="N71" i="10"/>
  <c r="N47" i="10"/>
  <c r="M59" i="9"/>
  <c r="N59" i="9" s="1"/>
  <c r="N59" i="10"/>
  <c r="M27" i="9"/>
  <c r="N27" i="9" s="1"/>
  <c r="N27" i="10"/>
  <c r="M30" i="9"/>
  <c r="N30" i="9" s="1"/>
  <c r="N30" i="10"/>
  <c r="M61" i="9"/>
  <c r="N61" i="9" s="1"/>
  <c r="N61" i="10"/>
  <c r="M63" i="9"/>
  <c r="N63" i="9" s="1"/>
  <c r="N63" i="10"/>
  <c r="M66" i="9"/>
  <c r="N66" i="9" s="1"/>
  <c r="N66" i="10"/>
  <c r="M29" i="9"/>
  <c r="N29" i="9" s="1"/>
  <c r="N29" i="10"/>
  <c r="M50" i="9"/>
  <c r="N50" i="9" s="1"/>
  <c r="N50" i="10"/>
  <c r="N54" i="10"/>
  <c r="M44" i="9"/>
  <c r="N44" i="9" s="1"/>
  <c r="N44" i="10"/>
  <c r="M72" i="9"/>
  <c r="N72" i="9" s="1"/>
  <c r="N72" i="10"/>
  <c r="N40" i="10"/>
  <c r="M53" i="9"/>
  <c r="N53" i="9" s="1"/>
  <c r="N53" i="10"/>
  <c r="M58" i="9"/>
  <c r="N58" i="9" s="1"/>
  <c r="N58" i="10"/>
  <c r="N39" i="10"/>
  <c r="M46" i="9"/>
  <c r="N46" i="9" s="1"/>
  <c r="N46" i="10"/>
  <c r="M74" i="9"/>
  <c r="N74" i="9" s="1"/>
  <c r="N74" i="10"/>
  <c r="M36" i="9"/>
  <c r="N36" i="9" s="1"/>
  <c r="N36" i="10"/>
  <c r="S364" i="1"/>
  <c r="T364" i="1"/>
  <c r="L368" i="1"/>
  <c r="C369" i="1"/>
  <c r="B366" i="1"/>
  <c r="R365" i="1"/>
  <c r="O89" i="1"/>
  <c r="D90" i="1" s="1"/>
  <c r="G90" i="1" s="1"/>
  <c r="M67" i="9" l="1"/>
  <c r="N67" i="9" s="1"/>
  <c r="M26" i="9"/>
  <c r="N26" i="9" s="1"/>
  <c r="M40" i="9"/>
  <c r="N40" i="9" s="1"/>
  <c r="M31" i="9"/>
  <c r="N31" i="9" s="1"/>
  <c r="M39" i="9"/>
  <c r="N39" i="9" s="1"/>
  <c r="M64" i="9"/>
  <c r="N64" i="9" s="1"/>
  <c r="M54" i="9"/>
  <c r="N54" i="9" s="1"/>
  <c r="M47" i="9"/>
  <c r="N47" i="9" s="1"/>
  <c r="M60" i="9"/>
  <c r="N60" i="9" s="1"/>
  <c r="M56" i="9"/>
  <c r="N56" i="9" s="1"/>
  <c r="M34" i="9"/>
  <c r="N34" i="9" s="1"/>
  <c r="P130" i="15"/>
  <c r="Q130" i="15" s="1"/>
  <c r="J130" i="15"/>
  <c r="K130" i="15" s="1"/>
  <c r="M130" i="15" s="1"/>
  <c r="N142" i="15" s="1"/>
  <c r="I126" i="17"/>
  <c r="L377" i="17"/>
  <c r="C378" i="17"/>
  <c r="F376" i="17"/>
  <c r="C376" i="15"/>
  <c r="L375" i="15"/>
  <c r="E144" i="14"/>
  <c r="G144" i="14"/>
  <c r="L376" i="14"/>
  <c r="C377" i="14"/>
  <c r="E144" i="12"/>
  <c r="G144" i="12"/>
  <c r="F376" i="12"/>
  <c r="L377" i="12"/>
  <c r="C378" i="12"/>
  <c r="E90" i="1"/>
  <c r="S365" i="1"/>
  <c r="T365" i="1"/>
  <c r="L369" i="1"/>
  <c r="C370" i="1"/>
  <c r="B367" i="1"/>
  <c r="R366" i="1"/>
  <c r="M89" i="1"/>
  <c r="H90" i="1" l="1"/>
  <c r="I90" i="1" s="1"/>
  <c r="O130" i="15"/>
  <c r="D131" i="15" s="1"/>
  <c r="G131" i="15" s="1"/>
  <c r="P126" i="17"/>
  <c r="Q126" i="17" s="1"/>
  <c r="J126" i="17"/>
  <c r="K126" i="17" s="1"/>
  <c r="M126" i="17" s="1"/>
  <c r="N138" i="17" s="1"/>
  <c r="H144" i="14"/>
  <c r="I144" i="14" s="1"/>
  <c r="J144" i="14" s="1"/>
  <c r="K144" i="14" s="1"/>
  <c r="M144" i="14" s="1"/>
  <c r="N156" i="14" s="1"/>
  <c r="C379" i="17"/>
  <c r="L378" i="17"/>
  <c r="F377" i="17"/>
  <c r="H144" i="12"/>
  <c r="I144" i="12" s="1"/>
  <c r="J144" i="12" s="1"/>
  <c r="C377" i="15"/>
  <c r="L376" i="15"/>
  <c r="L377" i="14"/>
  <c r="C378" i="14"/>
  <c r="F377" i="12"/>
  <c r="C379" i="12"/>
  <c r="L378" i="12"/>
  <c r="N99" i="1"/>
  <c r="S366" i="1"/>
  <c r="T366" i="1"/>
  <c r="L370" i="1"/>
  <c r="C371" i="1"/>
  <c r="B368" i="1"/>
  <c r="R367" i="1"/>
  <c r="O126" i="17" l="1"/>
  <c r="D127" i="17" s="1"/>
  <c r="E127" i="17" s="1"/>
  <c r="E131" i="15"/>
  <c r="H131" i="15"/>
  <c r="I131" i="15" s="1"/>
  <c r="P131" i="15" s="1"/>
  <c r="Q131" i="15" s="1"/>
  <c r="F378" i="17"/>
  <c r="L379" i="17"/>
  <c r="C380" i="17"/>
  <c r="L377" i="15"/>
  <c r="C378" i="15"/>
  <c r="O144" i="14"/>
  <c r="D145" i="14" s="1"/>
  <c r="P144" i="14"/>
  <c r="Q144" i="14" s="1"/>
  <c r="L378" i="14"/>
  <c r="C379" i="14"/>
  <c r="K144" i="12"/>
  <c r="M144" i="12" s="1"/>
  <c r="N156" i="12" s="1"/>
  <c r="O144" i="12"/>
  <c r="D145" i="12" s="1"/>
  <c r="C380" i="12"/>
  <c r="L379" i="12"/>
  <c r="P144" i="12"/>
  <c r="Q144" i="12" s="1"/>
  <c r="F378" i="12"/>
  <c r="P90" i="1"/>
  <c r="Q90" i="1" s="1"/>
  <c r="J90" i="1"/>
  <c r="K90" i="1" s="1"/>
  <c r="S367" i="1"/>
  <c r="T367" i="1"/>
  <c r="L371" i="1"/>
  <c r="C372" i="1"/>
  <c r="B369" i="1"/>
  <c r="R368" i="1"/>
  <c r="G127" i="17" l="1"/>
  <c r="H127" i="17" s="1"/>
  <c r="I127" i="17" s="1"/>
  <c r="P127" i="17" s="1"/>
  <c r="Q127" i="17" s="1"/>
  <c r="J131" i="15"/>
  <c r="K131" i="15" s="1"/>
  <c r="M131" i="15" s="1"/>
  <c r="N143" i="15" s="1"/>
  <c r="C381" i="17"/>
  <c r="L380" i="17"/>
  <c r="F379" i="17"/>
  <c r="N75" i="13"/>
  <c r="C379" i="15"/>
  <c r="L378" i="15"/>
  <c r="E145" i="14"/>
  <c r="G145" i="14"/>
  <c r="H145" i="14" s="1"/>
  <c r="C380" i="14"/>
  <c r="L379" i="14"/>
  <c r="F379" i="12"/>
  <c r="L380" i="12"/>
  <c r="C381" i="12"/>
  <c r="E145" i="12"/>
  <c r="G145" i="12"/>
  <c r="M75" i="9"/>
  <c r="N75" i="9" s="1"/>
  <c r="N75" i="10"/>
  <c r="S368" i="1"/>
  <c r="T368" i="1"/>
  <c r="L372" i="1"/>
  <c r="C373" i="1"/>
  <c r="B370" i="1"/>
  <c r="R369" i="1"/>
  <c r="O90" i="1"/>
  <c r="D91" i="1" s="1"/>
  <c r="G91" i="1" s="1"/>
  <c r="O131" i="15" l="1"/>
  <c r="D132" i="15" s="1"/>
  <c r="G132" i="15" s="1"/>
  <c r="J127" i="17"/>
  <c r="K127" i="17" s="1"/>
  <c r="M127" i="17" s="1"/>
  <c r="N139" i="17" s="1"/>
  <c r="F380" i="17"/>
  <c r="L381" i="17"/>
  <c r="C382" i="17"/>
  <c r="C380" i="15"/>
  <c r="L379" i="15"/>
  <c r="I145" i="14"/>
  <c r="J145" i="14" s="1"/>
  <c r="K145" i="14" s="1"/>
  <c r="M145" i="14" s="1"/>
  <c r="N157" i="14" s="1"/>
  <c r="C381" i="14"/>
  <c r="L380" i="14"/>
  <c r="H145" i="12"/>
  <c r="I145" i="12" s="1"/>
  <c r="L381" i="12"/>
  <c r="C382" i="12"/>
  <c r="F380" i="12"/>
  <c r="E91" i="1"/>
  <c r="S369" i="1"/>
  <c r="T369" i="1"/>
  <c r="L373" i="1"/>
  <c r="C374" i="1"/>
  <c r="B371" i="1"/>
  <c r="R370" i="1"/>
  <c r="M90" i="1"/>
  <c r="H91" i="1" l="1"/>
  <c r="I91" i="1" s="1"/>
  <c r="E132" i="15"/>
  <c r="O127" i="17"/>
  <c r="D128" i="17" s="1"/>
  <c r="H132" i="15"/>
  <c r="F381" i="17"/>
  <c r="C383" i="17"/>
  <c r="L382" i="17"/>
  <c r="C381" i="15"/>
  <c r="L380" i="15"/>
  <c r="P145" i="14"/>
  <c r="Q145" i="14" s="1"/>
  <c r="O145" i="14"/>
  <c r="D146" i="14" s="1"/>
  <c r="L381" i="14"/>
  <c r="C382" i="14"/>
  <c r="J145" i="12"/>
  <c r="O145" i="12" s="1"/>
  <c r="D146" i="12" s="1"/>
  <c r="F381" i="12"/>
  <c r="P145" i="12"/>
  <c r="Q145" i="12" s="1"/>
  <c r="C383" i="12"/>
  <c r="L382" i="12"/>
  <c r="N100" i="1"/>
  <c r="S370" i="1"/>
  <c r="T370" i="1"/>
  <c r="L374" i="1"/>
  <c r="C375" i="1"/>
  <c r="B372" i="1"/>
  <c r="R371" i="1"/>
  <c r="I132" i="15" l="1"/>
  <c r="J132" i="15" s="1"/>
  <c r="K132" i="15" s="1"/>
  <c r="M132" i="15" s="1"/>
  <c r="N144" i="15" s="1"/>
  <c r="G128" i="17"/>
  <c r="E128" i="17"/>
  <c r="C384" i="17"/>
  <c r="L383" i="17"/>
  <c r="F382" i="17"/>
  <c r="C382" i="15"/>
  <c r="L381" i="15"/>
  <c r="E146" i="14"/>
  <c r="G146" i="14"/>
  <c r="L382" i="14"/>
  <c r="C383" i="14"/>
  <c r="E146" i="12"/>
  <c r="G146" i="12"/>
  <c r="K145" i="12"/>
  <c r="M145" i="12" s="1"/>
  <c r="N157" i="12" s="1"/>
  <c r="C384" i="12"/>
  <c r="L383" i="12"/>
  <c r="F382" i="12"/>
  <c r="P91" i="1"/>
  <c r="Q91" i="1" s="1"/>
  <c r="J91" i="1"/>
  <c r="K91" i="1" s="1"/>
  <c r="S371" i="1"/>
  <c r="T371" i="1"/>
  <c r="L375" i="1"/>
  <c r="C376" i="1"/>
  <c r="B373" i="1"/>
  <c r="R372" i="1"/>
  <c r="H146" i="14" l="1"/>
  <c r="I146" i="14" s="1"/>
  <c r="J146" i="14" s="1"/>
  <c r="K146" i="14" s="1"/>
  <c r="M146" i="14" s="1"/>
  <c r="N158" i="14" s="1"/>
  <c r="O132" i="15"/>
  <c r="D133" i="15" s="1"/>
  <c r="G133" i="15" s="1"/>
  <c r="P132" i="15"/>
  <c r="Q132" i="15" s="1"/>
  <c r="H128" i="17"/>
  <c r="I128" i="17" s="1"/>
  <c r="J128" i="17" s="1"/>
  <c r="F383" i="17"/>
  <c r="C385" i="17"/>
  <c r="L384" i="17"/>
  <c r="H146" i="12"/>
  <c r="I146" i="12" s="1"/>
  <c r="J146" i="12" s="1"/>
  <c r="O146" i="12" s="1"/>
  <c r="D147" i="12" s="1"/>
  <c r="N76" i="13"/>
  <c r="C383" i="15"/>
  <c r="L382" i="15"/>
  <c r="P146" i="14"/>
  <c r="Q146" i="14" s="1"/>
  <c r="C384" i="14"/>
  <c r="L383" i="14"/>
  <c r="F383" i="12"/>
  <c r="C385" i="12"/>
  <c r="L384" i="12"/>
  <c r="N76" i="10"/>
  <c r="S372" i="1"/>
  <c r="T372" i="1"/>
  <c r="L376" i="1"/>
  <c r="C377" i="1"/>
  <c r="B374" i="1"/>
  <c r="R373" i="1"/>
  <c r="O91" i="1"/>
  <c r="D92" i="1" s="1"/>
  <c r="G92" i="1" s="1"/>
  <c r="M76" i="9" l="1"/>
  <c r="N76" i="9" s="1"/>
  <c r="E133" i="15"/>
  <c r="O146" i="14"/>
  <c r="D147" i="14" s="1"/>
  <c r="G147" i="14" s="1"/>
  <c r="P128" i="17"/>
  <c r="Q128" i="17" s="1"/>
  <c r="K128" i="17"/>
  <c r="M128" i="17" s="1"/>
  <c r="N140" i="17" s="1"/>
  <c r="O128" i="17"/>
  <c r="D129" i="17" s="1"/>
  <c r="K146" i="12"/>
  <c r="M146" i="12" s="1"/>
  <c r="N158" i="12" s="1"/>
  <c r="P146" i="12"/>
  <c r="Q146" i="12" s="1"/>
  <c r="H133" i="15"/>
  <c r="L385" i="17"/>
  <c r="F384" i="17"/>
  <c r="L383" i="15"/>
  <c r="C384" i="15"/>
  <c r="E147" i="14"/>
  <c r="L384" i="14"/>
  <c r="C385" i="14"/>
  <c r="E147" i="12"/>
  <c r="G147" i="12"/>
  <c r="F384" i="12"/>
  <c r="L385" i="12"/>
  <c r="E92" i="1"/>
  <c r="S373" i="1"/>
  <c r="T373" i="1"/>
  <c r="L377" i="1"/>
  <c r="C378" i="1"/>
  <c r="B375" i="1"/>
  <c r="R374" i="1"/>
  <c r="M91" i="1"/>
  <c r="H147" i="14" l="1"/>
  <c r="I147" i="14" s="1"/>
  <c r="H92" i="1"/>
  <c r="I92" i="1" s="1"/>
  <c r="I133" i="15"/>
  <c r="J133" i="15" s="1"/>
  <c r="K133" i="15" s="1"/>
  <c r="M133" i="15" s="1"/>
  <c r="N145" i="15" s="1"/>
  <c r="G129" i="17"/>
  <c r="E129" i="17"/>
  <c r="F385" i="17"/>
  <c r="L384" i="15"/>
  <c r="C385" i="15"/>
  <c r="J147" i="14"/>
  <c r="K147" i="14" s="1"/>
  <c r="M147" i="14" s="1"/>
  <c r="N159" i="14" s="1"/>
  <c r="L385" i="14"/>
  <c r="H147" i="12"/>
  <c r="I147" i="12" s="1"/>
  <c r="P147" i="12" s="1"/>
  <c r="Q147" i="12" s="1"/>
  <c r="F385" i="12"/>
  <c r="N101" i="1"/>
  <c r="S374" i="1"/>
  <c r="T374" i="1"/>
  <c r="L378" i="1"/>
  <c r="C379" i="1"/>
  <c r="B376" i="1"/>
  <c r="R375" i="1"/>
  <c r="P147" i="14" l="1"/>
  <c r="Q147" i="14" s="1"/>
  <c r="H129" i="17"/>
  <c r="O133" i="15"/>
  <c r="D134" i="15" s="1"/>
  <c r="P133" i="15"/>
  <c r="Q133" i="15" s="1"/>
  <c r="L385" i="15"/>
  <c r="O147" i="14"/>
  <c r="D148" i="14" s="1"/>
  <c r="J147" i="12"/>
  <c r="K147" i="12" s="1"/>
  <c r="M147" i="12" s="1"/>
  <c r="N159" i="12" s="1"/>
  <c r="J92" i="1"/>
  <c r="K92" i="1" s="1"/>
  <c r="S375" i="1"/>
  <c r="T375" i="1"/>
  <c r="L379" i="1"/>
  <c r="C380" i="1"/>
  <c r="B377" i="1"/>
  <c r="R376" i="1"/>
  <c r="P92" i="1"/>
  <c r="Q92" i="1" s="1"/>
  <c r="E134" i="15" l="1"/>
  <c r="G134" i="15"/>
  <c r="H134" i="15" s="1"/>
  <c r="I134" i="15" s="1"/>
  <c r="P134" i="15" s="1"/>
  <c r="Q134" i="15" s="1"/>
  <c r="I129" i="17"/>
  <c r="P129" i="17" s="1"/>
  <c r="Q129" i="17" s="1"/>
  <c r="N77" i="13"/>
  <c r="E148" i="14"/>
  <c r="G148" i="14"/>
  <c r="H148" i="14" s="1"/>
  <c r="I148" i="14" s="1"/>
  <c r="P148" i="14" s="1"/>
  <c r="Q148" i="14" s="1"/>
  <c r="O147" i="12"/>
  <c r="D148" i="12" s="1"/>
  <c r="E148" i="12" s="1"/>
  <c r="M77" i="9"/>
  <c r="N77" i="9" s="1"/>
  <c r="N77" i="10"/>
  <c r="S376" i="1"/>
  <c r="T376" i="1"/>
  <c r="L380" i="1"/>
  <c r="C381" i="1"/>
  <c r="B378" i="1"/>
  <c r="R377" i="1"/>
  <c r="O92" i="1"/>
  <c r="D93" i="1" s="1"/>
  <c r="G93" i="1" s="1"/>
  <c r="J134" i="15" l="1"/>
  <c r="K134" i="15" s="1"/>
  <c r="M134" i="15" s="1"/>
  <c r="N146" i="15" s="1"/>
  <c r="J129" i="17"/>
  <c r="K129" i="17" s="1"/>
  <c r="M129" i="17" s="1"/>
  <c r="N141" i="17" s="1"/>
  <c r="G148" i="12"/>
  <c r="H148" i="12" s="1"/>
  <c r="I148" i="12" s="1"/>
  <c r="J148" i="14"/>
  <c r="O148" i="14" s="1"/>
  <c r="D149" i="14" s="1"/>
  <c r="E93" i="1"/>
  <c r="S377" i="1"/>
  <c r="T377" i="1"/>
  <c r="L381" i="1"/>
  <c r="C382" i="1"/>
  <c r="B379" i="1"/>
  <c r="R378" i="1"/>
  <c r="M92" i="1"/>
  <c r="H93" i="1" l="1"/>
  <c r="I93" i="1" s="1"/>
  <c r="O129" i="17"/>
  <c r="D130" i="17" s="1"/>
  <c r="G130" i="17" s="1"/>
  <c r="O134" i="15"/>
  <c r="D135" i="15" s="1"/>
  <c r="G135" i="15" s="1"/>
  <c r="P148" i="12"/>
  <c r="Q148" i="12" s="1"/>
  <c r="J148" i="12"/>
  <c r="O148" i="12" s="1"/>
  <c r="D149" i="12" s="1"/>
  <c r="E149" i="12" s="1"/>
  <c r="K148" i="14"/>
  <c r="M148" i="14" s="1"/>
  <c r="N160" i="14" s="1"/>
  <c r="E149" i="14"/>
  <c r="G149" i="14"/>
  <c r="H149" i="14" s="1"/>
  <c r="N102" i="1"/>
  <c r="S378" i="1"/>
  <c r="T378" i="1"/>
  <c r="L382" i="1"/>
  <c r="C383" i="1"/>
  <c r="B380" i="1"/>
  <c r="R379" i="1"/>
  <c r="K148" i="12" l="1"/>
  <c r="M148" i="12" s="1"/>
  <c r="N160" i="12" s="1"/>
  <c r="E130" i="17"/>
  <c r="H130" i="17" s="1"/>
  <c r="I130" i="17" s="1"/>
  <c r="E135" i="15"/>
  <c r="H135" i="15"/>
  <c r="I149" i="14"/>
  <c r="J149" i="14" s="1"/>
  <c r="K149" i="14" s="1"/>
  <c r="M149" i="14" s="1"/>
  <c r="N161" i="14" s="1"/>
  <c r="G149" i="12"/>
  <c r="H149" i="12" s="1"/>
  <c r="J93" i="1"/>
  <c r="K93" i="1" s="1"/>
  <c r="S379" i="1"/>
  <c r="T379" i="1"/>
  <c r="L383" i="1"/>
  <c r="C384" i="1"/>
  <c r="B381" i="1"/>
  <c r="R380" i="1"/>
  <c r="P93" i="1"/>
  <c r="Q93" i="1" s="1"/>
  <c r="J130" i="17" l="1"/>
  <c r="I135" i="15"/>
  <c r="J135" i="15" s="1"/>
  <c r="K135" i="15" s="1"/>
  <c r="M135" i="15" s="1"/>
  <c r="N147" i="15" s="1"/>
  <c r="P130" i="17"/>
  <c r="Q130" i="17" s="1"/>
  <c r="N78" i="13"/>
  <c r="O149" i="14"/>
  <c r="D150" i="14" s="1"/>
  <c r="P149" i="14"/>
  <c r="Q149" i="14" s="1"/>
  <c r="I149" i="12"/>
  <c r="P149" i="12" s="1"/>
  <c r="Q149" i="12" s="1"/>
  <c r="N78" i="10"/>
  <c r="S380" i="1"/>
  <c r="T380" i="1"/>
  <c r="L384" i="1"/>
  <c r="C385" i="1"/>
  <c r="L385" i="1" s="1"/>
  <c r="B382" i="1"/>
  <c r="R381" i="1"/>
  <c r="O93" i="1"/>
  <c r="D94" i="1" s="1"/>
  <c r="G94" i="1" s="1"/>
  <c r="M78" i="9" l="1"/>
  <c r="N78" i="9" s="1"/>
  <c r="O135" i="15"/>
  <c r="D136" i="15" s="1"/>
  <c r="P135" i="15"/>
  <c r="Q135" i="15" s="1"/>
  <c r="K130" i="17"/>
  <c r="M130" i="17" s="1"/>
  <c r="N142" i="17" s="1"/>
  <c r="O130" i="17"/>
  <c r="D131" i="17" s="1"/>
  <c r="E150" i="14"/>
  <c r="G150" i="14"/>
  <c r="J149" i="12"/>
  <c r="K149" i="12" s="1"/>
  <c r="M149" i="12" s="1"/>
  <c r="N161" i="12" s="1"/>
  <c r="E94" i="1"/>
  <c r="S381" i="1"/>
  <c r="T381" i="1"/>
  <c r="B383" i="1"/>
  <c r="R382" i="1"/>
  <c r="M93" i="1"/>
  <c r="H94" i="1" l="1"/>
  <c r="I94" i="1" s="1"/>
  <c r="E131" i="17"/>
  <c r="G131" i="17"/>
  <c r="H131" i="17" s="1"/>
  <c r="I131" i="17" s="1"/>
  <c r="P131" i="17" s="1"/>
  <c r="Q131" i="17" s="1"/>
  <c r="E136" i="15"/>
  <c r="G136" i="15"/>
  <c r="H136" i="15" s="1"/>
  <c r="H150" i="14"/>
  <c r="I150" i="14" s="1"/>
  <c r="J150" i="14" s="1"/>
  <c r="K150" i="14" s="1"/>
  <c r="M150" i="14" s="1"/>
  <c r="N162" i="14" s="1"/>
  <c r="O149" i="12"/>
  <c r="D150" i="12" s="1"/>
  <c r="N103" i="1"/>
  <c r="S382" i="1"/>
  <c r="T382" i="1"/>
  <c r="B384" i="1"/>
  <c r="R383" i="1"/>
  <c r="I136" i="15" l="1"/>
  <c r="J136" i="15" s="1"/>
  <c r="K136" i="15" s="1"/>
  <c r="M136" i="15" s="1"/>
  <c r="N148" i="15" s="1"/>
  <c r="J131" i="17"/>
  <c r="P150" i="14"/>
  <c r="Q150" i="14" s="1"/>
  <c r="O150" i="14"/>
  <c r="D151" i="14" s="1"/>
  <c r="E151" i="14" s="1"/>
  <c r="E150" i="12"/>
  <c r="G150" i="12"/>
  <c r="J94" i="1"/>
  <c r="K94" i="1" s="1"/>
  <c r="S383" i="1"/>
  <c r="T383" i="1"/>
  <c r="B385" i="1"/>
  <c r="R385" i="1" s="1"/>
  <c r="R384" i="1"/>
  <c r="P94" i="1"/>
  <c r="Q94" i="1" s="1"/>
  <c r="G151" i="14" l="1"/>
  <c r="H151" i="14" s="1"/>
  <c r="I151" i="14" s="1"/>
  <c r="P151" i="14" s="1"/>
  <c r="Q151" i="14" s="1"/>
  <c r="P136" i="15"/>
  <c r="Q136" i="15" s="1"/>
  <c r="O131" i="17"/>
  <c r="D132" i="17" s="1"/>
  <c r="K131" i="17"/>
  <c r="M131" i="17" s="1"/>
  <c r="N143" i="17" s="1"/>
  <c r="O136" i="15"/>
  <c r="D137" i="15" s="1"/>
  <c r="N79" i="13"/>
  <c r="H150" i="12"/>
  <c r="I150" i="12" s="1"/>
  <c r="P150" i="12" s="1"/>
  <c r="Q150" i="12" s="1"/>
  <c r="M79" i="9"/>
  <c r="N79" i="9" s="1"/>
  <c r="N79" i="10"/>
  <c r="S384" i="1"/>
  <c r="T384" i="1"/>
  <c r="S385" i="1"/>
  <c r="T385" i="1"/>
  <c r="O94" i="1"/>
  <c r="D95" i="1" s="1"/>
  <c r="G95" i="1" s="1"/>
  <c r="E137" i="15" l="1"/>
  <c r="G137" i="15"/>
  <c r="H137" i="15" s="1"/>
  <c r="E132" i="17"/>
  <c r="G132" i="17"/>
  <c r="J150" i="12"/>
  <c r="O150" i="12" s="1"/>
  <c r="D151" i="12" s="1"/>
  <c r="E151" i="12" s="1"/>
  <c r="J151" i="14"/>
  <c r="K151" i="14" s="1"/>
  <c r="M151" i="14" s="1"/>
  <c r="N163" i="14" s="1"/>
  <c r="E95" i="1"/>
  <c r="M94" i="1"/>
  <c r="H95" i="1" l="1"/>
  <c r="I95" i="1" s="1"/>
  <c r="H132" i="17"/>
  <c r="I132" i="17" s="1"/>
  <c r="J132" i="17" s="1"/>
  <c r="K132" i="17" s="1"/>
  <c r="M132" i="17" s="1"/>
  <c r="N144" i="17" s="1"/>
  <c r="I137" i="15"/>
  <c r="J137" i="15" s="1"/>
  <c r="K137" i="15" s="1"/>
  <c r="M137" i="15" s="1"/>
  <c r="N149" i="15" s="1"/>
  <c r="G151" i="12"/>
  <c r="H151" i="12" s="1"/>
  <c r="I151" i="12" s="1"/>
  <c r="P151" i="12" s="1"/>
  <c r="Q151" i="12" s="1"/>
  <c r="K150" i="12"/>
  <c r="M150" i="12" s="1"/>
  <c r="N162" i="12" s="1"/>
  <c r="O151" i="14"/>
  <c r="D152" i="14" s="1"/>
  <c r="E152" i="14" s="1"/>
  <c r="N104" i="1"/>
  <c r="G152" i="14" l="1"/>
  <c r="H152" i="14" s="1"/>
  <c r="I152" i="14" s="1"/>
  <c r="P137" i="15"/>
  <c r="Q137" i="15" s="1"/>
  <c r="O132" i="17"/>
  <c r="D133" i="17" s="1"/>
  <c r="P132" i="17"/>
  <c r="Q132" i="17" s="1"/>
  <c r="O137" i="15"/>
  <c r="D138" i="15" s="1"/>
  <c r="J151" i="12"/>
  <c r="O151" i="12" s="1"/>
  <c r="D152" i="12" s="1"/>
  <c r="E152" i="12" s="1"/>
  <c r="P95" i="1"/>
  <c r="Q95" i="1" s="1"/>
  <c r="J95" i="1"/>
  <c r="K95" i="1" s="1"/>
  <c r="J152" i="14" l="1"/>
  <c r="K152" i="14" s="1"/>
  <c r="M152" i="14" s="1"/>
  <c r="N164" i="14" s="1"/>
  <c r="G152" i="12"/>
  <c r="H152" i="12" s="1"/>
  <c r="I152" i="12" s="1"/>
  <c r="P152" i="12" s="1"/>
  <c r="Q152" i="12" s="1"/>
  <c r="G138" i="15"/>
  <c r="E138" i="15"/>
  <c r="K151" i="12"/>
  <c r="M151" i="12" s="1"/>
  <c r="N163" i="12" s="1"/>
  <c r="E133" i="17"/>
  <c r="G133" i="17"/>
  <c r="N80" i="13"/>
  <c r="P152" i="14"/>
  <c r="Q152" i="14" s="1"/>
  <c r="M80" i="9"/>
  <c r="N80" i="9" s="1"/>
  <c r="N80" i="10"/>
  <c r="O95" i="1"/>
  <c r="D96" i="1" s="1"/>
  <c r="G96" i="1" s="1"/>
  <c r="O152" i="14" l="1"/>
  <c r="D153" i="14" s="1"/>
  <c r="J152" i="12"/>
  <c r="O152" i="12" s="1"/>
  <c r="D153" i="12" s="1"/>
  <c r="E153" i="12" s="1"/>
  <c r="H133" i="17"/>
  <c r="I133" i="17" s="1"/>
  <c r="J133" i="17" s="1"/>
  <c r="K133" i="17" s="1"/>
  <c r="M133" i="17" s="1"/>
  <c r="N145" i="17" s="1"/>
  <c r="H138" i="15"/>
  <c r="E153" i="14"/>
  <c r="G153" i="14"/>
  <c r="E96" i="1"/>
  <c r="M95" i="1"/>
  <c r="H96" i="1" l="1"/>
  <c r="I96" i="1" s="1"/>
  <c r="G153" i="12"/>
  <c r="H153" i="12" s="1"/>
  <c r="I153" i="12" s="1"/>
  <c r="J153" i="12" s="1"/>
  <c r="O153" i="12" s="1"/>
  <c r="D154" i="12" s="1"/>
  <c r="K152" i="12"/>
  <c r="M152" i="12" s="1"/>
  <c r="N164" i="12" s="1"/>
  <c r="P133" i="17"/>
  <c r="Q133" i="17" s="1"/>
  <c r="O133" i="17"/>
  <c r="D134" i="17" s="1"/>
  <c r="E134" i="17" s="1"/>
  <c r="I138" i="15"/>
  <c r="P138" i="15" s="1"/>
  <c r="Q138" i="15" s="1"/>
  <c r="H153" i="14"/>
  <c r="I153" i="14" s="1"/>
  <c r="P153" i="14" s="1"/>
  <c r="Q153" i="14" s="1"/>
  <c r="N105" i="1"/>
  <c r="P153" i="12" l="1"/>
  <c r="Q153" i="12" s="1"/>
  <c r="G134" i="17"/>
  <c r="J138" i="15"/>
  <c r="K138" i="15" s="1"/>
  <c r="M138" i="15" s="1"/>
  <c r="N150" i="15" s="1"/>
  <c r="H134" i="17"/>
  <c r="J153" i="14"/>
  <c r="K153" i="14" s="1"/>
  <c r="M153" i="14" s="1"/>
  <c r="N165" i="14" s="1"/>
  <c r="K153" i="12"/>
  <c r="M153" i="12" s="1"/>
  <c r="N165" i="12" s="1"/>
  <c r="E154" i="12"/>
  <c r="G154" i="12"/>
  <c r="P96" i="1"/>
  <c r="Q96" i="1" s="1"/>
  <c r="J96" i="1"/>
  <c r="K96" i="1" s="1"/>
  <c r="M81" i="9" l="1"/>
  <c r="N81" i="9" s="1"/>
  <c r="O138" i="15"/>
  <c r="D139" i="15" s="1"/>
  <c r="G139" i="15" s="1"/>
  <c r="I134" i="17"/>
  <c r="H154" i="12"/>
  <c r="I154" i="12" s="1"/>
  <c r="N81" i="13"/>
  <c r="O153" i="14"/>
  <c r="D154" i="14" s="1"/>
  <c r="E154" i="14" s="1"/>
  <c r="N81" i="10"/>
  <c r="O96" i="1"/>
  <c r="D97" i="1" s="1"/>
  <c r="G97" i="1" s="1"/>
  <c r="P154" i="12" l="1"/>
  <c r="Q154" i="12" s="1"/>
  <c r="E139" i="15"/>
  <c r="H139" i="15"/>
  <c r="I139" i="15" s="1"/>
  <c r="J139" i="15" s="1"/>
  <c r="K139" i="15" s="1"/>
  <c r="M139" i="15" s="1"/>
  <c r="N151" i="15" s="1"/>
  <c r="P134" i="17"/>
  <c r="Q134" i="17" s="1"/>
  <c r="J154" i="12"/>
  <c r="O154" i="12" s="1"/>
  <c r="D155" i="12" s="1"/>
  <c r="G155" i="12" s="1"/>
  <c r="J134" i="17"/>
  <c r="K134" i="17" s="1"/>
  <c r="M134" i="17" s="1"/>
  <c r="N146" i="17" s="1"/>
  <c r="G154" i="14"/>
  <c r="H154" i="14" s="1"/>
  <c r="I154" i="14" s="1"/>
  <c r="P154" i="14" s="1"/>
  <c r="Q154" i="14" s="1"/>
  <c r="E97" i="1"/>
  <c r="M96" i="1"/>
  <c r="H97" i="1" l="1"/>
  <c r="I97" i="1" s="1"/>
  <c r="K154" i="12"/>
  <c r="M154" i="12" s="1"/>
  <c r="N166" i="12" s="1"/>
  <c r="E155" i="12"/>
  <c r="H155" i="12" s="1"/>
  <c r="I155" i="12" s="1"/>
  <c r="P139" i="15"/>
  <c r="Q139" i="15" s="1"/>
  <c r="O134" i="17"/>
  <c r="D135" i="17" s="1"/>
  <c r="O139" i="15"/>
  <c r="D140" i="15" s="1"/>
  <c r="J154" i="14"/>
  <c r="O154" i="14" s="1"/>
  <c r="D155" i="14" s="1"/>
  <c r="N106" i="1"/>
  <c r="K154" i="14" l="1"/>
  <c r="M154" i="14" s="1"/>
  <c r="N166" i="14" s="1"/>
  <c r="E135" i="17"/>
  <c r="G135" i="17"/>
  <c r="G140" i="15"/>
  <c r="E140" i="15"/>
  <c r="E155" i="14"/>
  <c r="G155" i="14"/>
  <c r="P155" i="12"/>
  <c r="Q155" i="12" s="1"/>
  <c r="J155" i="12"/>
  <c r="O155" i="12" s="1"/>
  <c r="D156" i="12" s="1"/>
  <c r="E156" i="12" s="1"/>
  <c r="J97" i="1"/>
  <c r="K97" i="1" s="1"/>
  <c r="P97" i="1"/>
  <c r="Q97" i="1" s="1"/>
  <c r="H155" i="14" l="1"/>
  <c r="I155" i="14" s="1"/>
  <c r="H135" i="17"/>
  <c r="I135" i="17" s="1"/>
  <c r="P135" i="17" s="1"/>
  <c r="Q135" i="17" s="1"/>
  <c r="H140" i="15"/>
  <c r="N82" i="13"/>
  <c r="P155" i="14"/>
  <c r="Q155" i="14" s="1"/>
  <c r="J155" i="14"/>
  <c r="K155" i="12"/>
  <c r="M155" i="12" s="1"/>
  <c r="N167" i="12" s="1"/>
  <c r="G156" i="12"/>
  <c r="H156" i="12" s="1"/>
  <c r="I156" i="12" s="1"/>
  <c r="P156" i="12" s="1"/>
  <c r="Q156" i="12" s="1"/>
  <c r="M82" i="9"/>
  <c r="N82" i="9" s="1"/>
  <c r="N82" i="10"/>
  <c r="O97" i="1"/>
  <c r="D98" i="1" s="1"/>
  <c r="G98" i="1" s="1"/>
  <c r="J135" i="17" l="1"/>
  <c r="I140" i="15"/>
  <c r="J140" i="15" s="1"/>
  <c r="K140" i="15" s="1"/>
  <c r="M140" i="15" s="1"/>
  <c r="N152" i="15" s="1"/>
  <c r="O155" i="14"/>
  <c r="D156" i="14" s="1"/>
  <c r="K155" i="14"/>
  <c r="M155" i="14" s="1"/>
  <c r="N167" i="14" s="1"/>
  <c r="J156" i="12"/>
  <c r="O156" i="12" s="1"/>
  <c r="D157" i="12" s="1"/>
  <c r="E98" i="1"/>
  <c r="M97" i="1"/>
  <c r="H98" i="1" l="1"/>
  <c r="I98" i="1" s="1"/>
  <c r="O140" i="15"/>
  <c r="D141" i="15" s="1"/>
  <c r="G141" i="15" s="1"/>
  <c r="P140" i="15"/>
  <c r="Q140" i="15" s="1"/>
  <c r="K135" i="17"/>
  <c r="M135" i="17" s="1"/>
  <c r="N147" i="17" s="1"/>
  <c r="O135" i="17"/>
  <c r="D136" i="17" s="1"/>
  <c r="E156" i="14"/>
  <c r="G156" i="14"/>
  <c r="K156" i="12"/>
  <c r="M156" i="12" s="1"/>
  <c r="N168" i="12" s="1"/>
  <c r="E157" i="12"/>
  <c r="G157" i="12"/>
  <c r="N107" i="1"/>
  <c r="H156" i="14" l="1"/>
  <c r="I156" i="14" s="1"/>
  <c r="P156" i="14" s="1"/>
  <c r="Q156" i="14" s="1"/>
  <c r="E141" i="15"/>
  <c r="H141" i="15" s="1"/>
  <c r="E136" i="17"/>
  <c r="G136" i="17"/>
  <c r="H157" i="12"/>
  <c r="I157" i="12" s="1"/>
  <c r="P157" i="12" s="1"/>
  <c r="Q157" i="12" s="1"/>
  <c r="J98" i="1"/>
  <c r="K98" i="1" s="1"/>
  <c r="P98" i="1"/>
  <c r="Q98" i="1" s="1"/>
  <c r="M83" i="9" l="1"/>
  <c r="N83" i="9" s="1"/>
  <c r="H136" i="17"/>
  <c r="I136" i="17" s="1"/>
  <c r="P136" i="17" s="1"/>
  <c r="Q136" i="17" s="1"/>
  <c r="I141" i="15"/>
  <c r="P141" i="15" s="1"/>
  <c r="Q141" i="15" s="1"/>
  <c r="N83" i="13"/>
  <c r="J156" i="14"/>
  <c r="K156" i="14" s="1"/>
  <c r="M156" i="14" s="1"/>
  <c r="N168" i="14" s="1"/>
  <c r="J157" i="12"/>
  <c r="K157" i="12" s="1"/>
  <c r="M157" i="12" s="1"/>
  <c r="N169" i="12" s="1"/>
  <c r="N83" i="10"/>
  <c r="O98" i="1"/>
  <c r="D99" i="1" s="1"/>
  <c r="G99" i="1" s="1"/>
  <c r="J136" i="17" l="1"/>
  <c r="K136" i="17" s="1"/>
  <c r="M136" i="17" s="1"/>
  <c r="N148" i="17" s="1"/>
  <c r="J141" i="15"/>
  <c r="K141" i="15" s="1"/>
  <c r="M141" i="15" s="1"/>
  <c r="N153" i="15" s="1"/>
  <c r="O156" i="14"/>
  <c r="D157" i="14" s="1"/>
  <c r="G157" i="14" s="1"/>
  <c r="O157" i="12"/>
  <c r="D158" i="12" s="1"/>
  <c r="G158" i="12" s="1"/>
  <c r="E99" i="1"/>
  <c r="M98" i="1"/>
  <c r="H99" i="1" l="1"/>
  <c r="I99" i="1" s="1"/>
  <c r="O136" i="17"/>
  <c r="D137" i="17" s="1"/>
  <c r="O141" i="15"/>
  <c r="D142" i="15" s="1"/>
  <c r="E158" i="12"/>
  <c r="H158" i="12" s="1"/>
  <c r="I158" i="12" s="1"/>
  <c r="P158" i="12" s="1"/>
  <c r="Q158" i="12" s="1"/>
  <c r="E157" i="14"/>
  <c r="H157" i="14" s="1"/>
  <c r="I157" i="14" s="1"/>
  <c r="P157" i="14" s="1"/>
  <c r="Q157" i="14" s="1"/>
  <c r="N108" i="1"/>
  <c r="G137" i="17" l="1"/>
  <c r="E137" i="17"/>
  <c r="E142" i="15"/>
  <c r="G142" i="15"/>
  <c r="H142" i="15" s="1"/>
  <c r="I142" i="15" s="1"/>
  <c r="J158" i="12"/>
  <c r="O158" i="12" s="1"/>
  <c r="D159" i="12" s="1"/>
  <c r="G159" i="12" s="1"/>
  <c r="J157" i="14"/>
  <c r="K157" i="14" s="1"/>
  <c r="M157" i="14" s="1"/>
  <c r="N169" i="14" s="1"/>
  <c r="P99" i="1"/>
  <c r="Q99" i="1" s="1"/>
  <c r="J99" i="1"/>
  <c r="K99" i="1" s="1"/>
  <c r="H137" i="17" l="1"/>
  <c r="I137" i="17" s="1"/>
  <c r="J137" i="17" s="1"/>
  <c r="K137" i="17" s="1"/>
  <c r="M137" i="17" s="1"/>
  <c r="N149" i="17" s="1"/>
  <c r="P142" i="15"/>
  <c r="Q142" i="15" s="1"/>
  <c r="J142" i="15"/>
  <c r="K142" i="15" s="1"/>
  <c r="M142" i="15" s="1"/>
  <c r="N154" i="15" s="1"/>
  <c r="E159" i="12"/>
  <c r="H159" i="12" s="1"/>
  <c r="I159" i="12" s="1"/>
  <c r="P159" i="12" s="1"/>
  <c r="Q159" i="12" s="1"/>
  <c r="K158" i="12"/>
  <c r="M158" i="12" s="1"/>
  <c r="N170" i="12" s="1"/>
  <c r="N84" i="13"/>
  <c r="O157" i="14"/>
  <c r="D158" i="14" s="1"/>
  <c r="N84" i="10"/>
  <c r="O99" i="1"/>
  <c r="D100" i="1" s="1"/>
  <c r="G100" i="1" s="1"/>
  <c r="M84" i="9" l="1"/>
  <c r="N84" i="9" s="1"/>
  <c r="O137" i="17"/>
  <c r="D138" i="17" s="1"/>
  <c r="E138" i="17" s="1"/>
  <c r="P137" i="17"/>
  <c r="Q137" i="17" s="1"/>
  <c r="O142" i="15"/>
  <c r="D143" i="15" s="1"/>
  <c r="E143" i="15" s="1"/>
  <c r="E158" i="14"/>
  <c r="G158" i="14"/>
  <c r="J159" i="12"/>
  <c r="O159" i="12" s="1"/>
  <c r="D160" i="12" s="1"/>
  <c r="E160" i="12" s="1"/>
  <c r="E100" i="1"/>
  <c r="M99" i="1"/>
  <c r="H100" i="1" l="1"/>
  <c r="I100" i="1" s="1"/>
  <c r="G138" i="17"/>
  <c r="H138" i="17" s="1"/>
  <c r="I138" i="17" s="1"/>
  <c r="J138" i="17" s="1"/>
  <c r="K138" i="17" s="1"/>
  <c r="M138" i="17" s="1"/>
  <c r="N150" i="17" s="1"/>
  <c r="G143" i="15"/>
  <c r="H143" i="15" s="1"/>
  <c r="I143" i="15" s="1"/>
  <c r="J143" i="15" s="1"/>
  <c r="K143" i="15" s="1"/>
  <c r="M143" i="15" s="1"/>
  <c r="N155" i="15" s="1"/>
  <c r="H158" i="14"/>
  <c r="I158" i="14" s="1"/>
  <c r="P158" i="14" s="1"/>
  <c r="Q158" i="14" s="1"/>
  <c r="K159" i="12"/>
  <c r="M159" i="12" s="1"/>
  <c r="N171" i="12" s="1"/>
  <c r="G160" i="12"/>
  <c r="H160" i="12" s="1"/>
  <c r="I160" i="12" s="1"/>
  <c r="N109" i="1"/>
  <c r="P138" i="17" l="1"/>
  <c r="Q138" i="17" s="1"/>
  <c r="O138" i="17"/>
  <c r="D139" i="17" s="1"/>
  <c r="E139" i="17" s="1"/>
  <c r="J158" i="14"/>
  <c r="O158" i="14" s="1"/>
  <c r="D159" i="14" s="1"/>
  <c r="E159" i="14" s="1"/>
  <c r="O143" i="15"/>
  <c r="D144" i="15" s="1"/>
  <c r="P143" i="15"/>
  <c r="Q143" i="15" s="1"/>
  <c r="P160" i="12"/>
  <c r="Q160" i="12" s="1"/>
  <c r="J160" i="12"/>
  <c r="O160" i="12" s="1"/>
  <c r="D161" i="12" s="1"/>
  <c r="E161" i="12" s="1"/>
  <c r="J100" i="1"/>
  <c r="K100" i="1" s="1"/>
  <c r="P100" i="1"/>
  <c r="Q100" i="1" s="1"/>
  <c r="G159" i="14" l="1"/>
  <c r="H159" i="14" s="1"/>
  <c r="I159" i="14" s="1"/>
  <c r="J159" i="14" s="1"/>
  <c r="K158" i="14"/>
  <c r="M158" i="14" s="1"/>
  <c r="N170" i="14" s="1"/>
  <c r="G139" i="17"/>
  <c r="H139" i="17" s="1"/>
  <c r="I139" i="17" s="1"/>
  <c r="P139" i="17" s="1"/>
  <c r="Q139" i="17" s="1"/>
  <c r="G144" i="15"/>
  <c r="E144" i="15"/>
  <c r="N85" i="13"/>
  <c r="G161" i="12"/>
  <c r="H161" i="12" s="1"/>
  <c r="I161" i="12" s="1"/>
  <c r="P161" i="12" s="1"/>
  <c r="Q161" i="12" s="1"/>
  <c r="K160" i="12"/>
  <c r="M160" i="12" s="1"/>
  <c r="N172" i="12" s="1"/>
  <c r="M85" i="9"/>
  <c r="N85" i="9" s="1"/>
  <c r="N85" i="10"/>
  <c r="O100" i="1"/>
  <c r="D101" i="1" s="1"/>
  <c r="G101" i="1" s="1"/>
  <c r="J139" i="17" l="1"/>
  <c r="K139" i="17" s="1"/>
  <c r="M139" i="17" s="1"/>
  <c r="N151" i="17" s="1"/>
  <c r="H144" i="15"/>
  <c r="O159" i="14"/>
  <c r="D160" i="14" s="1"/>
  <c r="K159" i="14"/>
  <c r="M159" i="14" s="1"/>
  <c r="N171" i="14" s="1"/>
  <c r="P159" i="14"/>
  <c r="Q159" i="14" s="1"/>
  <c r="J161" i="12"/>
  <c r="K161" i="12" s="1"/>
  <c r="M161" i="12" s="1"/>
  <c r="N173" i="12" s="1"/>
  <c r="E101" i="1"/>
  <c r="M100" i="1"/>
  <c r="O139" i="17" l="1"/>
  <c r="D140" i="17" s="1"/>
  <c r="H101" i="1"/>
  <c r="I101" i="1" s="1"/>
  <c r="E140" i="17"/>
  <c r="G140" i="17"/>
  <c r="H140" i="17" s="1"/>
  <c r="I144" i="15"/>
  <c r="P144" i="15" s="1"/>
  <c r="Q144" i="15" s="1"/>
  <c r="J144" i="15"/>
  <c r="K144" i="15" s="1"/>
  <c r="M144" i="15" s="1"/>
  <c r="N156" i="15" s="1"/>
  <c r="E160" i="14"/>
  <c r="G160" i="14"/>
  <c r="O161" i="12"/>
  <c r="D162" i="12" s="1"/>
  <c r="E162" i="12" s="1"/>
  <c r="N110" i="1"/>
  <c r="I140" i="17" l="1"/>
  <c r="P140" i="17" s="1"/>
  <c r="Q140" i="17" s="1"/>
  <c r="G162" i="12"/>
  <c r="H162" i="12" s="1"/>
  <c r="I162" i="12" s="1"/>
  <c r="P162" i="12" s="1"/>
  <c r="Q162" i="12" s="1"/>
  <c r="H160" i="14"/>
  <c r="I160" i="14" s="1"/>
  <c r="J160" i="14" s="1"/>
  <c r="K160" i="14" s="1"/>
  <c r="M160" i="14" s="1"/>
  <c r="N172" i="14" s="1"/>
  <c r="O144" i="15"/>
  <c r="D145" i="15" s="1"/>
  <c r="P101" i="1"/>
  <c r="Q101" i="1" s="1"/>
  <c r="J101" i="1"/>
  <c r="K101" i="1" s="1"/>
  <c r="J140" i="17" l="1"/>
  <c r="K140" i="17" s="1"/>
  <c r="M140" i="17" s="1"/>
  <c r="N152" i="17" s="1"/>
  <c r="E145" i="15"/>
  <c r="G145" i="15"/>
  <c r="H145" i="15" s="1"/>
  <c r="I145" i="15" s="1"/>
  <c r="N86" i="13"/>
  <c r="P160" i="14"/>
  <c r="Q160" i="14" s="1"/>
  <c r="O160" i="14"/>
  <c r="D161" i="14" s="1"/>
  <c r="J162" i="12"/>
  <c r="O162" i="12" s="1"/>
  <c r="D163" i="12" s="1"/>
  <c r="E163" i="12" s="1"/>
  <c r="N86" i="10"/>
  <c r="O101" i="1"/>
  <c r="D102" i="1" s="1"/>
  <c r="G102" i="1" s="1"/>
  <c r="M86" i="9" l="1"/>
  <c r="N86" i="9" s="1"/>
  <c r="O140" i="17"/>
  <c r="D141" i="17" s="1"/>
  <c r="E141" i="17" s="1"/>
  <c r="G141" i="17"/>
  <c r="H141" i="17"/>
  <c r="I141" i="17" s="1"/>
  <c r="J141" i="17" s="1"/>
  <c r="K141" i="17" s="1"/>
  <c r="M141" i="17" s="1"/>
  <c r="N153" i="17" s="1"/>
  <c r="P145" i="15"/>
  <c r="Q145" i="15" s="1"/>
  <c r="J145" i="15"/>
  <c r="K145" i="15" s="1"/>
  <c r="M145" i="15" s="1"/>
  <c r="N157" i="15" s="1"/>
  <c r="E161" i="14"/>
  <c r="G161" i="14"/>
  <c r="K162" i="12"/>
  <c r="M162" i="12" s="1"/>
  <c r="N174" i="12" s="1"/>
  <c r="G163" i="12"/>
  <c r="H163" i="12" s="1"/>
  <c r="I163" i="12" s="1"/>
  <c r="P163" i="12" s="1"/>
  <c r="Q163" i="12" s="1"/>
  <c r="E102" i="1"/>
  <c r="M101" i="1"/>
  <c r="H102" i="1" l="1"/>
  <c r="I102" i="1" s="1"/>
  <c r="P141" i="17"/>
  <c r="Q141" i="17" s="1"/>
  <c r="O141" i="17"/>
  <c r="D142" i="17" s="1"/>
  <c r="E142" i="17" s="1"/>
  <c r="O145" i="15"/>
  <c r="D146" i="15" s="1"/>
  <c r="H161" i="14"/>
  <c r="I161" i="14" s="1"/>
  <c r="J161" i="14" s="1"/>
  <c r="J163" i="12"/>
  <c r="K163" i="12" s="1"/>
  <c r="M163" i="12" s="1"/>
  <c r="N175" i="12" s="1"/>
  <c r="N111" i="1"/>
  <c r="G142" i="17" l="1"/>
  <c r="H142" i="17" s="1"/>
  <c r="I142" i="17" s="1"/>
  <c r="E146" i="15"/>
  <c r="G146" i="15"/>
  <c r="H146" i="15" s="1"/>
  <c r="P161" i="14"/>
  <c r="Q161" i="14" s="1"/>
  <c r="O161" i="14"/>
  <c r="D162" i="14" s="1"/>
  <c r="K161" i="14"/>
  <c r="M161" i="14" s="1"/>
  <c r="N173" i="14" s="1"/>
  <c r="O163" i="12"/>
  <c r="D164" i="12" s="1"/>
  <c r="E164" i="12" s="1"/>
  <c r="J102" i="1"/>
  <c r="K102" i="1" s="1"/>
  <c r="P102" i="1"/>
  <c r="Q102" i="1" s="1"/>
  <c r="J142" i="17" l="1"/>
  <c r="K142" i="17" s="1"/>
  <c r="M142" i="17" s="1"/>
  <c r="N154" i="17" s="1"/>
  <c r="P142" i="17"/>
  <c r="Q142" i="17" s="1"/>
  <c r="I146" i="15"/>
  <c r="J146" i="15" s="1"/>
  <c r="K146" i="15" s="1"/>
  <c r="M146" i="15" s="1"/>
  <c r="N158" i="15" s="1"/>
  <c r="N87" i="13"/>
  <c r="E162" i="14"/>
  <c r="G162" i="14"/>
  <c r="H162" i="14" s="1"/>
  <c r="G164" i="12"/>
  <c r="H164" i="12" s="1"/>
  <c r="I164" i="12" s="1"/>
  <c r="P164" i="12" s="1"/>
  <c r="Q164" i="12" s="1"/>
  <c r="N87" i="10"/>
  <c r="O102" i="1"/>
  <c r="D103" i="1" s="1"/>
  <c r="G103" i="1" s="1"/>
  <c r="M87" i="9" l="1"/>
  <c r="N87" i="9" s="1"/>
  <c r="O146" i="15"/>
  <c r="D147" i="15" s="1"/>
  <c r="P146" i="15"/>
  <c r="Q146" i="15" s="1"/>
  <c r="O142" i="17"/>
  <c r="D143" i="17" s="1"/>
  <c r="I162" i="14"/>
  <c r="J162" i="14" s="1"/>
  <c r="K162" i="14" s="1"/>
  <c r="M162" i="14" s="1"/>
  <c r="N174" i="14" s="1"/>
  <c r="J164" i="12"/>
  <c r="K164" i="12" s="1"/>
  <c r="M164" i="12" s="1"/>
  <c r="N176" i="12" s="1"/>
  <c r="E103" i="1"/>
  <c r="M102" i="1"/>
  <c r="H103" i="1" l="1"/>
  <c r="I103" i="1" s="1"/>
  <c r="E143" i="17"/>
  <c r="G143" i="17"/>
  <c r="H143" i="17" s="1"/>
  <c r="I143" i="17" s="1"/>
  <c r="J143" i="17" s="1"/>
  <c r="K143" i="17" s="1"/>
  <c r="M143" i="17" s="1"/>
  <c r="N155" i="17" s="1"/>
  <c r="E147" i="15"/>
  <c r="G147" i="15"/>
  <c r="P162" i="14"/>
  <c r="Q162" i="14" s="1"/>
  <c r="O162" i="14"/>
  <c r="D163" i="14" s="1"/>
  <c r="O164" i="12"/>
  <c r="D165" i="12" s="1"/>
  <c r="N112" i="1"/>
  <c r="H147" i="15" l="1"/>
  <c r="I147" i="15" s="1"/>
  <c r="J147" i="15" s="1"/>
  <c r="K147" i="15" s="1"/>
  <c r="M147" i="15" s="1"/>
  <c r="N159" i="15" s="1"/>
  <c r="O143" i="17"/>
  <c r="D144" i="17" s="1"/>
  <c r="P143" i="17"/>
  <c r="Q143" i="17" s="1"/>
  <c r="E163" i="14"/>
  <c r="G163" i="14"/>
  <c r="E165" i="12"/>
  <c r="G165" i="12"/>
  <c r="J103" i="1"/>
  <c r="K103" i="1" s="1"/>
  <c r="P103" i="1"/>
  <c r="Q103" i="1" s="1"/>
  <c r="H163" i="14" l="1"/>
  <c r="I163" i="14" s="1"/>
  <c r="J163" i="14" s="1"/>
  <c r="P147" i="15"/>
  <c r="Q147" i="15" s="1"/>
  <c r="E144" i="17"/>
  <c r="G144" i="17"/>
  <c r="O147" i="15"/>
  <c r="D148" i="15" s="1"/>
  <c r="N88" i="13"/>
  <c r="H165" i="12"/>
  <c r="I165" i="12" s="1"/>
  <c r="P165" i="12" s="1"/>
  <c r="Q165" i="12" s="1"/>
  <c r="N88" i="10"/>
  <c r="O103" i="1"/>
  <c r="D104" i="1" s="1"/>
  <c r="G104" i="1" s="1"/>
  <c r="M88" i="9" l="1"/>
  <c r="N88" i="9" s="1"/>
  <c r="H144" i="17"/>
  <c r="I144" i="17" s="1"/>
  <c r="P144" i="17" s="1"/>
  <c r="Q144" i="17" s="1"/>
  <c r="J165" i="12"/>
  <c r="O165" i="12" s="1"/>
  <c r="D166" i="12" s="1"/>
  <c r="G166" i="12" s="1"/>
  <c r="E148" i="15"/>
  <c r="G148" i="15"/>
  <c r="P163" i="14"/>
  <c r="Q163" i="14" s="1"/>
  <c r="O163" i="14"/>
  <c r="D164" i="14" s="1"/>
  <c r="K163" i="14"/>
  <c r="M163" i="14" s="1"/>
  <c r="N175" i="14" s="1"/>
  <c r="E104" i="1"/>
  <c r="M103" i="1"/>
  <c r="H104" i="1" l="1"/>
  <c r="I104" i="1" s="1"/>
  <c r="E166" i="12"/>
  <c r="H166" i="12" s="1"/>
  <c r="I166" i="12" s="1"/>
  <c r="K165" i="12"/>
  <c r="M165" i="12" s="1"/>
  <c r="N177" i="12" s="1"/>
  <c r="H148" i="15"/>
  <c r="J144" i="17"/>
  <c r="K144" i="17" s="1"/>
  <c r="M144" i="17" s="1"/>
  <c r="N156" i="17" s="1"/>
  <c r="E164" i="14"/>
  <c r="G164" i="14"/>
  <c r="N113" i="1"/>
  <c r="H164" i="14" l="1"/>
  <c r="I164" i="14" s="1"/>
  <c r="J164" i="14" s="1"/>
  <c r="O144" i="17"/>
  <c r="D145" i="17" s="1"/>
  <c r="I148" i="15"/>
  <c r="J148" i="15" s="1"/>
  <c r="K148" i="15" s="1"/>
  <c r="M148" i="15" s="1"/>
  <c r="N160" i="15" s="1"/>
  <c r="P166" i="12"/>
  <c r="Q166" i="12" s="1"/>
  <c r="J166" i="12"/>
  <c r="O166" i="12" s="1"/>
  <c r="D167" i="12" s="1"/>
  <c r="J104" i="1"/>
  <c r="K104" i="1" s="1"/>
  <c r="P104" i="1"/>
  <c r="Q104" i="1" s="1"/>
  <c r="P148" i="15" l="1"/>
  <c r="Q148" i="15" s="1"/>
  <c r="O148" i="15"/>
  <c r="D149" i="15" s="1"/>
  <c r="E145" i="17"/>
  <c r="G145" i="17"/>
  <c r="N89" i="13"/>
  <c r="P164" i="14"/>
  <c r="Q164" i="14" s="1"/>
  <c r="O164" i="14"/>
  <c r="D165" i="14" s="1"/>
  <c r="K164" i="14"/>
  <c r="M164" i="14" s="1"/>
  <c r="N176" i="14" s="1"/>
  <c r="G167" i="12"/>
  <c r="E167" i="12"/>
  <c r="K166" i="12"/>
  <c r="M166" i="12" s="1"/>
  <c r="N178" i="12" s="1"/>
  <c r="M89" i="9"/>
  <c r="N89" i="9" s="1"/>
  <c r="N89" i="10"/>
  <c r="O104" i="1"/>
  <c r="D105" i="1" s="1"/>
  <c r="G105" i="1" s="1"/>
  <c r="H145" i="17" l="1"/>
  <c r="I145" i="17" s="1"/>
  <c r="J145" i="17" s="1"/>
  <c r="K145" i="17" s="1"/>
  <c r="M145" i="17" s="1"/>
  <c r="N157" i="17" s="1"/>
  <c r="G149" i="15"/>
  <c r="E149" i="15"/>
  <c r="E165" i="14"/>
  <c r="G165" i="14"/>
  <c r="H167" i="12"/>
  <c r="I167" i="12" s="1"/>
  <c r="P167" i="12" s="1"/>
  <c r="Q167" i="12" s="1"/>
  <c r="E105" i="1"/>
  <c r="M104" i="1"/>
  <c r="H165" i="14" l="1"/>
  <c r="I165" i="14" s="1"/>
  <c r="P165" i="14" s="1"/>
  <c r="Q165" i="14" s="1"/>
  <c r="H105" i="1"/>
  <c r="I105" i="1" s="1"/>
  <c r="H149" i="15"/>
  <c r="I149" i="15" s="1"/>
  <c r="P149" i="15" s="1"/>
  <c r="Q149" i="15" s="1"/>
  <c r="P145" i="17"/>
  <c r="Q145" i="17" s="1"/>
  <c r="O145" i="17"/>
  <c r="D146" i="17" s="1"/>
  <c r="J167" i="12"/>
  <c r="K167" i="12" s="1"/>
  <c r="M167" i="12" s="1"/>
  <c r="N179" i="12" s="1"/>
  <c r="N114" i="1"/>
  <c r="J165" i="14" l="1"/>
  <c r="K165" i="14" s="1"/>
  <c r="M165" i="14" s="1"/>
  <c r="N177" i="14" s="1"/>
  <c r="G146" i="17"/>
  <c r="E146" i="17"/>
  <c r="J149" i="15"/>
  <c r="K149" i="15" s="1"/>
  <c r="M149" i="15" s="1"/>
  <c r="N161" i="15" s="1"/>
  <c r="O167" i="12"/>
  <c r="D168" i="12" s="1"/>
  <c r="J105" i="1"/>
  <c r="K105" i="1" s="1"/>
  <c r="P105" i="1"/>
  <c r="Q105" i="1" s="1"/>
  <c r="O165" i="14" l="1"/>
  <c r="D166" i="14" s="1"/>
  <c r="G166" i="14" s="1"/>
  <c r="O149" i="15"/>
  <c r="D150" i="15" s="1"/>
  <c r="H146" i="17"/>
  <c r="N90" i="13"/>
  <c r="E166" i="14"/>
  <c r="E168" i="12"/>
  <c r="G168" i="12"/>
  <c r="M90" i="9"/>
  <c r="N90" i="9" s="1"/>
  <c r="N90" i="10"/>
  <c r="O105" i="1"/>
  <c r="D106" i="1" s="1"/>
  <c r="G106" i="1" s="1"/>
  <c r="H166" i="14" l="1"/>
  <c r="I146" i="17"/>
  <c r="P146" i="17" s="1"/>
  <c r="Q146" i="17" s="1"/>
  <c r="H168" i="12"/>
  <c r="I168" i="12" s="1"/>
  <c r="P168" i="12" s="1"/>
  <c r="Q168" i="12" s="1"/>
  <c r="E150" i="15"/>
  <c r="G150" i="15"/>
  <c r="I166" i="14"/>
  <c r="P166" i="14" s="1"/>
  <c r="Q166" i="14" s="1"/>
  <c r="E106" i="1"/>
  <c r="M105" i="1"/>
  <c r="H106" i="1" l="1"/>
  <c r="I106" i="1" s="1"/>
  <c r="J146" i="17"/>
  <c r="O146" i="17" s="1"/>
  <c r="D147" i="17" s="1"/>
  <c r="E147" i="17" s="1"/>
  <c r="J168" i="12"/>
  <c r="K168" i="12" s="1"/>
  <c r="M168" i="12" s="1"/>
  <c r="N180" i="12" s="1"/>
  <c r="H150" i="15"/>
  <c r="I150" i="15" s="1"/>
  <c r="P150" i="15" s="1"/>
  <c r="Q150" i="15" s="1"/>
  <c r="J166" i="14"/>
  <c r="K166" i="14" s="1"/>
  <c r="M166" i="14" s="1"/>
  <c r="N178" i="14" s="1"/>
  <c r="N115" i="1"/>
  <c r="O168" i="12" l="1"/>
  <c r="D169" i="12" s="1"/>
  <c r="E169" i="12" s="1"/>
  <c r="K146" i="17"/>
  <c r="M146" i="17" s="1"/>
  <c r="N158" i="17" s="1"/>
  <c r="G147" i="17"/>
  <c r="H147" i="17" s="1"/>
  <c r="I147" i="17" s="1"/>
  <c r="J147" i="17" s="1"/>
  <c r="J150" i="15"/>
  <c r="K150" i="15" s="1"/>
  <c r="M150" i="15" s="1"/>
  <c r="N162" i="15" s="1"/>
  <c r="G169" i="12"/>
  <c r="H169" i="12" s="1"/>
  <c r="I169" i="12" s="1"/>
  <c r="O166" i="14"/>
  <c r="D167" i="14" s="1"/>
  <c r="P106" i="1"/>
  <c r="Q106" i="1" s="1"/>
  <c r="J106" i="1"/>
  <c r="K106" i="1" s="1"/>
  <c r="O150" i="15" l="1"/>
  <c r="D151" i="15" s="1"/>
  <c r="E151" i="15" s="1"/>
  <c r="P147" i="17"/>
  <c r="Q147" i="17" s="1"/>
  <c r="K147" i="17"/>
  <c r="M147" i="17" s="1"/>
  <c r="N159" i="17" s="1"/>
  <c r="O147" i="17"/>
  <c r="D148" i="17" s="1"/>
  <c r="J169" i="12"/>
  <c r="O169" i="12" s="1"/>
  <c r="D170" i="12" s="1"/>
  <c r="E170" i="12" s="1"/>
  <c r="P169" i="12"/>
  <c r="Q169" i="12" s="1"/>
  <c r="N91" i="13"/>
  <c r="E167" i="14"/>
  <c r="G167" i="14"/>
  <c r="M91" i="9"/>
  <c r="N91" i="9" s="1"/>
  <c r="N91" i="10"/>
  <c r="O106" i="1"/>
  <c r="D107" i="1" s="1"/>
  <c r="G107" i="1" s="1"/>
  <c r="G151" i="15" l="1"/>
  <c r="K169" i="12"/>
  <c r="M169" i="12" s="1"/>
  <c r="N181" i="12" s="1"/>
  <c r="G170" i="12"/>
  <c r="H170" i="12" s="1"/>
  <c r="I170" i="12" s="1"/>
  <c r="P170" i="12" s="1"/>
  <c r="Q170" i="12" s="1"/>
  <c r="E148" i="17"/>
  <c r="G148" i="17"/>
  <c r="H151" i="15"/>
  <c r="H167" i="14"/>
  <c r="I167" i="14" s="1"/>
  <c r="J167" i="14" s="1"/>
  <c r="E107" i="1"/>
  <c r="M106" i="1"/>
  <c r="H107" i="1" l="1"/>
  <c r="I107" i="1" s="1"/>
  <c r="J170" i="12"/>
  <c r="K170" i="12" s="1"/>
  <c r="M170" i="12" s="1"/>
  <c r="N182" i="12" s="1"/>
  <c r="H148" i="17"/>
  <c r="I148" i="17" s="1"/>
  <c r="P148" i="17" s="1"/>
  <c r="Q148" i="17" s="1"/>
  <c r="I151" i="15"/>
  <c r="P151" i="15" s="1"/>
  <c r="Q151" i="15" s="1"/>
  <c r="P167" i="14"/>
  <c r="Q167" i="14" s="1"/>
  <c r="O167" i="14"/>
  <c r="D168" i="14" s="1"/>
  <c r="K167" i="14"/>
  <c r="M167" i="14" s="1"/>
  <c r="N179" i="14" s="1"/>
  <c r="N116" i="1"/>
  <c r="O170" i="12" l="1"/>
  <c r="D171" i="12" s="1"/>
  <c r="E171" i="12" s="1"/>
  <c r="J148" i="17"/>
  <c r="K148" i="17" s="1"/>
  <c r="M148" i="17" s="1"/>
  <c r="N160" i="17" s="1"/>
  <c r="J151" i="15"/>
  <c r="K151" i="15" s="1"/>
  <c r="M151" i="15" s="1"/>
  <c r="N163" i="15" s="1"/>
  <c r="E168" i="14"/>
  <c r="G168" i="14"/>
  <c r="J107" i="1"/>
  <c r="K107" i="1" s="1"/>
  <c r="P107" i="1"/>
  <c r="Q107" i="1" s="1"/>
  <c r="G171" i="12" l="1"/>
  <c r="H171" i="12" s="1"/>
  <c r="I171" i="12" s="1"/>
  <c r="P171" i="12" s="1"/>
  <c r="Q171" i="12" s="1"/>
  <c r="H168" i="14"/>
  <c r="I168" i="14" s="1"/>
  <c r="P168" i="14" s="1"/>
  <c r="Q168" i="14" s="1"/>
  <c r="O148" i="17"/>
  <c r="D149" i="17" s="1"/>
  <c r="O151" i="15"/>
  <c r="D152" i="15" s="1"/>
  <c r="N92" i="13"/>
  <c r="M92" i="9"/>
  <c r="N92" i="9" s="1"/>
  <c r="N92" i="10"/>
  <c r="O107" i="1"/>
  <c r="D108" i="1" s="1"/>
  <c r="G108" i="1" s="1"/>
  <c r="J171" i="12" l="1"/>
  <c r="K171" i="12" s="1"/>
  <c r="E152" i="15"/>
  <c r="G152" i="15"/>
  <c r="H152" i="15" s="1"/>
  <c r="I152" i="15" s="1"/>
  <c r="P152" i="15" s="1"/>
  <c r="Q152" i="15" s="1"/>
  <c r="E149" i="17"/>
  <c r="G149" i="17"/>
  <c r="H149" i="17" s="1"/>
  <c r="I149" i="17" s="1"/>
  <c r="J168" i="14"/>
  <c r="K168" i="14" s="1"/>
  <c r="M168" i="14" s="1"/>
  <c r="N180" i="14" s="1"/>
  <c r="E108" i="1"/>
  <c r="M107" i="1"/>
  <c r="P149" i="17" l="1"/>
  <c r="Q149" i="17" s="1"/>
  <c r="H108" i="1"/>
  <c r="I108" i="1" s="1"/>
  <c r="M171" i="12"/>
  <c r="N183" i="12" s="1"/>
  <c r="O171" i="12"/>
  <c r="D172" i="12" s="1"/>
  <c r="J149" i="17"/>
  <c r="K149" i="17" s="1"/>
  <c r="M149" i="17" s="1"/>
  <c r="N161" i="17" s="1"/>
  <c r="J152" i="15"/>
  <c r="K152" i="15" s="1"/>
  <c r="M152" i="15" s="1"/>
  <c r="N164" i="15" s="1"/>
  <c r="O168" i="14"/>
  <c r="D169" i="14" s="1"/>
  <c r="N117" i="1"/>
  <c r="E172" i="12" l="1"/>
  <c r="G172" i="12"/>
  <c r="H172" i="12" s="1"/>
  <c r="I172" i="12" s="1"/>
  <c r="P172" i="12" s="1"/>
  <c r="Q172" i="12" s="1"/>
  <c r="O149" i="17"/>
  <c r="D150" i="17" s="1"/>
  <c r="E150" i="17" s="1"/>
  <c r="O152" i="15"/>
  <c r="D153" i="15" s="1"/>
  <c r="E153" i="15" s="1"/>
  <c r="E169" i="14"/>
  <c r="G169" i="14"/>
  <c r="H169" i="14" s="1"/>
  <c r="J108" i="1"/>
  <c r="K108" i="1" s="1"/>
  <c r="P108" i="1"/>
  <c r="Q108" i="1" s="1"/>
  <c r="J172" i="12" l="1"/>
  <c r="K172" i="12" s="1"/>
  <c r="M172" i="12" s="1"/>
  <c r="N184" i="12" s="1"/>
  <c r="G150" i="17"/>
  <c r="H150" i="17" s="1"/>
  <c r="I150" i="17" s="1"/>
  <c r="G153" i="15"/>
  <c r="H153" i="15" s="1"/>
  <c r="I153" i="15" s="1"/>
  <c r="J153" i="15" s="1"/>
  <c r="K153" i="15" s="1"/>
  <c r="M153" i="15" s="1"/>
  <c r="N165" i="15" s="1"/>
  <c r="N93" i="13"/>
  <c r="I169" i="14"/>
  <c r="J169" i="14" s="1"/>
  <c r="N93" i="10"/>
  <c r="O108" i="1"/>
  <c r="D109" i="1" s="1"/>
  <c r="G109" i="1" s="1"/>
  <c r="M93" i="9" l="1"/>
  <c r="N93" i="9" s="1"/>
  <c r="O172" i="12"/>
  <c r="D173" i="12" s="1"/>
  <c r="E173" i="12" s="1"/>
  <c r="J150" i="17"/>
  <c r="O150" i="17" s="1"/>
  <c r="D151" i="17" s="1"/>
  <c r="G151" i="17" s="1"/>
  <c r="P150" i="17"/>
  <c r="Q150" i="17" s="1"/>
  <c r="P153" i="15"/>
  <c r="Q153" i="15" s="1"/>
  <c r="O153" i="15"/>
  <c r="D154" i="15" s="1"/>
  <c r="E154" i="15" s="1"/>
  <c r="P169" i="14"/>
  <c r="Q169" i="14" s="1"/>
  <c r="O169" i="14"/>
  <c r="D170" i="14" s="1"/>
  <c r="K169" i="14"/>
  <c r="M169" i="14" s="1"/>
  <c r="N181" i="14" s="1"/>
  <c r="G173" i="12"/>
  <c r="H173" i="12" s="1"/>
  <c r="I173" i="12" s="1"/>
  <c r="P173" i="12" s="1"/>
  <c r="Q173" i="12" s="1"/>
  <c r="E109" i="1"/>
  <c r="M108" i="1"/>
  <c r="H109" i="1" l="1"/>
  <c r="I109" i="1" s="1"/>
  <c r="K150" i="17"/>
  <c r="M150" i="17" s="1"/>
  <c r="N162" i="17" s="1"/>
  <c r="E151" i="17"/>
  <c r="H151" i="17" s="1"/>
  <c r="G154" i="15"/>
  <c r="H154" i="15" s="1"/>
  <c r="I154" i="15" s="1"/>
  <c r="P154" i="15" s="1"/>
  <c r="Q154" i="15" s="1"/>
  <c r="G170" i="14"/>
  <c r="E170" i="14"/>
  <c r="J173" i="12"/>
  <c r="O173" i="12" s="1"/>
  <c r="D174" i="12" s="1"/>
  <c r="E174" i="12" s="1"/>
  <c r="N118" i="1"/>
  <c r="J154" i="15" l="1"/>
  <c r="K154" i="15" s="1"/>
  <c r="M154" i="15" s="1"/>
  <c r="N166" i="15" s="1"/>
  <c r="I151" i="17"/>
  <c r="P151" i="17" s="1"/>
  <c r="Q151" i="17" s="1"/>
  <c r="H170" i="14"/>
  <c r="I170" i="14" s="1"/>
  <c r="J170" i="14" s="1"/>
  <c r="K173" i="12"/>
  <c r="M173" i="12" s="1"/>
  <c r="N185" i="12" s="1"/>
  <c r="G174" i="12"/>
  <c r="H174" i="12" s="1"/>
  <c r="I174" i="12" s="1"/>
  <c r="J109" i="1"/>
  <c r="K109" i="1" s="1"/>
  <c r="P109" i="1"/>
  <c r="Q109" i="1" s="1"/>
  <c r="O154" i="15" l="1"/>
  <c r="D155" i="15" s="1"/>
  <c r="E155" i="15" s="1"/>
  <c r="J151" i="17"/>
  <c r="N94" i="13"/>
  <c r="P170" i="14"/>
  <c r="Q170" i="14" s="1"/>
  <c r="O170" i="14"/>
  <c r="D171" i="14" s="1"/>
  <c r="K170" i="14"/>
  <c r="M170" i="14" s="1"/>
  <c r="N182" i="14" s="1"/>
  <c r="P174" i="12"/>
  <c r="Q174" i="12" s="1"/>
  <c r="J174" i="12"/>
  <c r="O174" i="12" s="1"/>
  <c r="D175" i="12" s="1"/>
  <c r="E175" i="12" s="1"/>
  <c r="M94" i="9"/>
  <c r="N94" i="9" s="1"/>
  <c r="N94" i="10"/>
  <c r="O109" i="1"/>
  <c r="D110" i="1" s="1"/>
  <c r="G110" i="1" s="1"/>
  <c r="G155" i="15" l="1"/>
  <c r="H155" i="15" s="1"/>
  <c r="I155" i="15" s="1"/>
  <c r="K151" i="17"/>
  <c r="M151" i="17" s="1"/>
  <c r="N163" i="17" s="1"/>
  <c r="O151" i="17"/>
  <c r="D152" i="17" s="1"/>
  <c r="E171" i="14"/>
  <c r="G171" i="14"/>
  <c r="H171" i="14" s="1"/>
  <c r="K174" i="12"/>
  <c r="M174" i="12" s="1"/>
  <c r="N186" i="12" s="1"/>
  <c r="G175" i="12"/>
  <c r="H175" i="12" s="1"/>
  <c r="I175" i="12" s="1"/>
  <c r="P175" i="12" s="1"/>
  <c r="Q175" i="12" s="1"/>
  <c r="E110" i="1"/>
  <c r="M109" i="1"/>
  <c r="H110" i="1" l="1"/>
  <c r="I110" i="1" s="1"/>
  <c r="J155" i="15"/>
  <c r="K155" i="15" s="1"/>
  <c r="M155" i="15" s="1"/>
  <c r="N167" i="15" s="1"/>
  <c r="P155" i="15"/>
  <c r="Q155" i="15" s="1"/>
  <c r="G152" i="17"/>
  <c r="E152" i="17"/>
  <c r="I171" i="14"/>
  <c r="J171" i="14" s="1"/>
  <c r="K171" i="14" s="1"/>
  <c r="M171" i="14" s="1"/>
  <c r="N183" i="14" s="1"/>
  <c r="J175" i="12"/>
  <c r="K175" i="12" s="1"/>
  <c r="M175" i="12" s="1"/>
  <c r="N187" i="12" s="1"/>
  <c r="N119" i="1"/>
  <c r="O155" i="15" l="1"/>
  <c r="D156" i="15" s="1"/>
  <c r="G156" i="15" s="1"/>
  <c r="H152" i="17"/>
  <c r="O171" i="14"/>
  <c r="D172" i="14" s="1"/>
  <c r="P171" i="14"/>
  <c r="Q171" i="14" s="1"/>
  <c r="O175" i="12"/>
  <c r="D176" i="12" s="1"/>
  <c r="E176" i="12" s="1"/>
  <c r="J110" i="1"/>
  <c r="K110" i="1" s="1"/>
  <c r="P110" i="1"/>
  <c r="Q110" i="1" s="1"/>
  <c r="E156" i="15" l="1"/>
  <c r="H156" i="15" s="1"/>
  <c r="G176" i="12"/>
  <c r="H176" i="12" s="1"/>
  <c r="I176" i="12" s="1"/>
  <c r="P176" i="12" s="1"/>
  <c r="Q176" i="12" s="1"/>
  <c r="I152" i="17"/>
  <c r="J152" i="17" s="1"/>
  <c r="N95" i="13"/>
  <c r="E172" i="14"/>
  <c r="G172" i="14"/>
  <c r="N95" i="10"/>
  <c r="O110" i="1"/>
  <c r="D111" i="1" s="1"/>
  <c r="G111" i="1" s="1"/>
  <c r="M95" i="9" l="1"/>
  <c r="N95" i="9" s="1"/>
  <c r="P152" i="17"/>
  <c r="Q152" i="17" s="1"/>
  <c r="I156" i="15"/>
  <c r="P156" i="15" s="1"/>
  <c r="Q156" i="15" s="1"/>
  <c r="O152" i="17"/>
  <c r="D153" i="17" s="1"/>
  <c r="K152" i="17"/>
  <c r="M152" i="17" s="1"/>
  <c r="N164" i="17" s="1"/>
  <c r="H172" i="14"/>
  <c r="J176" i="12"/>
  <c r="O176" i="12" s="1"/>
  <c r="D177" i="12" s="1"/>
  <c r="E177" i="12" s="1"/>
  <c r="E111" i="1"/>
  <c r="M110" i="1"/>
  <c r="J156" i="15" l="1"/>
  <c r="K156" i="15" s="1"/>
  <c r="M156" i="15" s="1"/>
  <c r="N168" i="15" s="1"/>
  <c r="H111" i="1"/>
  <c r="I111" i="1" s="1"/>
  <c r="G153" i="17"/>
  <c r="E153" i="17"/>
  <c r="I172" i="14"/>
  <c r="P172" i="14" s="1"/>
  <c r="Q172" i="14" s="1"/>
  <c r="K176" i="12"/>
  <c r="M176" i="12" s="1"/>
  <c r="N188" i="12" s="1"/>
  <c r="G177" i="12"/>
  <c r="H177" i="12" s="1"/>
  <c r="I177" i="12" s="1"/>
  <c r="N120" i="1"/>
  <c r="O156" i="15" l="1"/>
  <c r="D157" i="15" s="1"/>
  <c r="E157" i="15" s="1"/>
  <c r="H153" i="17"/>
  <c r="J172" i="14"/>
  <c r="K172" i="14" s="1"/>
  <c r="M172" i="14" s="1"/>
  <c r="N184" i="14" s="1"/>
  <c r="P177" i="12"/>
  <c r="Q177" i="12" s="1"/>
  <c r="J177" i="12"/>
  <c r="K177" i="12" s="1"/>
  <c r="M177" i="12" s="1"/>
  <c r="N189" i="12" s="1"/>
  <c r="P111" i="1"/>
  <c r="Q111" i="1" s="1"/>
  <c r="J111" i="1"/>
  <c r="K111" i="1" s="1"/>
  <c r="G157" i="15" l="1"/>
  <c r="H157" i="15" s="1"/>
  <c r="I157" i="15" s="1"/>
  <c r="J157" i="15" s="1"/>
  <c r="K157" i="15" s="1"/>
  <c r="M157" i="15" s="1"/>
  <c r="N169" i="15" s="1"/>
  <c r="I153" i="17"/>
  <c r="J153" i="17" s="1"/>
  <c r="K153" i="17" s="1"/>
  <c r="M153" i="17" s="1"/>
  <c r="N165" i="17" s="1"/>
  <c r="N96" i="13"/>
  <c r="O172" i="14"/>
  <c r="D173" i="14" s="1"/>
  <c r="E173" i="14" s="1"/>
  <c r="O177" i="12"/>
  <c r="D178" i="12" s="1"/>
  <c r="E178" i="12" s="1"/>
  <c r="N96" i="10"/>
  <c r="O111" i="1"/>
  <c r="D112" i="1" s="1"/>
  <c r="G112" i="1" s="1"/>
  <c r="M96" i="9" l="1"/>
  <c r="N96" i="9" s="1"/>
  <c r="P157" i="15"/>
  <c r="Q157" i="15" s="1"/>
  <c r="O157" i="15"/>
  <c r="D158" i="15" s="1"/>
  <c r="G158" i="15" s="1"/>
  <c r="H158" i="15" s="1"/>
  <c r="G173" i="14"/>
  <c r="H173" i="14" s="1"/>
  <c r="I173" i="14" s="1"/>
  <c r="J173" i="14" s="1"/>
  <c r="K173" i="14" s="1"/>
  <c r="M173" i="14" s="1"/>
  <c r="N185" i="14" s="1"/>
  <c r="P153" i="17"/>
  <c r="Q153" i="17" s="1"/>
  <c r="O153" i="17"/>
  <c r="D154" i="17" s="1"/>
  <c r="G178" i="12"/>
  <c r="H178" i="12" s="1"/>
  <c r="I178" i="12" s="1"/>
  <c r="P178" i="12" s="1"/>
  <c r="Q178" i="12" s="1"/>
  <c r="E112" i="1"/>
  <c r="M111" i="1"/>
  <c r="E158" i="15" l="1"/>
  <c r="I158" i="15"/>
  <c r="J158" i="15" s="1"/>
  <c r="K158" i="15" s="1"/>
  <c r="M158" i="15" s="1"/>
  <c r="N170" i="15" s="1"/>
  <c r="H112" i="1"/>
  <c r="I112" i="1" s="1"/>
  <c r="O173" i="14"/>
  <c r="D174" i="14" s="1"/>
  <c r="E174" i="14" s="1"/>
  <c r="P173" i="14"/>
  <c r="Q173" i="14" s="1"/>
  <c r="E154" i="17"/>
  <c r="G154" i="17"/>
  <c r="H154" i="17" s="1"/>
  <c r="J178" i="12"/>
  <c r="N121" i="1"/>
  <c r="O158" i="15" l="1"/>
  <c r="D159" i="15" s="1"/>
  <c r="P158" i="15"/>
  <c r="Q158" i="15" s="1"/>
  <c r="G174" i="14"/>
  <c r="H174" i="14" s="1"/>
  <c r="I174" i="14" s="1"/>
  <c r="P174" i="14" s="1"/>
  <c r="Q174" i="14" s="1"/>
  <c r="E159" i="15"/>
  <c r="G159" i="15"/>
  <c r="H159" i="15" s="1"/>
  <c r="I159" i="15" s="1"/>
  <c r="J159" i="15" s="1"/>
  <c r="K159" i="15" s="1"/>
  <c r="M159" i="15" s="1"/>
  <c r="N171" i="15" s="1"/>
  <c r="I154" i="17"/>
  <c r="K178" i="12"/>
  <c r="M178" i="12" s="1"/>
  <c r="N190" i="12" s="1"/>
  <c r="O178" i="12"/>
  <c r="D179" i="12" s="1"/>
  <c r="P112" i="1"/>
  <c r="Q112" i="1" s="1"/>
  <c r="J112" i="1"/>
  <c r="K112" i="1" s="1"/>
  <c r="J174" i="14" l="1"/>
  <c r="O174" i="14" s="1"/>
  <c r="D175" i="14" s="1"/>
  <c r="O159" i="15"/>
  <c r="D160" i="15" s="1"/>
  <c r="P159" i="15"/>
  <c r="Q159" i="15" s="1"/>
  <c r="P154" i="17"/>
  <c r="Q154" i="17" s="1"/>
  <c r="J154" i="17"/>
  <c r="K154" i="17" s="1"/>
  <c r="M154" i="17" s="1"/>
  <c r="N166" i="17" s="1"/>
  <c r="N97" i="13"/>
  <c r="G175" i="14"/>
  <c r="E175" i="14"/>
  <c r="K174" i="14"/>
  <c r="M174" i="14" s="1"/>
  <c r="N186" i="14" s="1"/>
  <c r="E179" i="12"/>
  <c r="G179" i="12"/>
  <c r="M97" i="9"/>
  <c r="N97" i="9" s="1"/>
  <c r="N97" i="10"/>
  <c r="O112" i="1"/>
  <c r="D113" i="1" s="1"/>
  <c r="G113" i="1" s="1"/>
  <c r="H179" i="12" l="1"/>
  <c r="I179" i="12" s="1"/>
  <c r="P179" i="12" s="1"/>
  <c r="Q179" i="12" s="1"/>
  <c r="E160" i="15"/>
  <c r="G160" i="15"/>
  <c r="O154" i="17"/>
  <c r="D155" i="17" s="1"/>
  <c r="H175" i="14"/>
  <c r="E113" i="1"/>
  <c r="M112" i="1"/>
  <c r="H113" i="1" l="1"/>
  <c r="I113" i="1" s="1"/>
  <c r="H160" i="15"/>
  <c r="I160" i="15" s="1"/>
  <c r="P160" i="15" s="1"/>
  <c r="Q160" i="15" s="1"/>
  <c r="E155" i="17"/>
  <c r="G155" i="17"/>
  <c r="H155" i="17" s="1"/>
  <c r="I175" i="14"/>
  <c r="P175" i="14" s="1"/>
  <c r="Q175" i="14" s="1"/>
  <c r="J179" i="12"/>
  <c r="O179" i="12" s="1"/>
  <c r="D180" i="12" s="1"/>
  <c r="E180" i="12" s="1"/>
  <c r="N122" i="1"/>
  <c r="J160" i="15" l="1"/>
  <c r="K160" i="15" s="1"/>
  <c r="M160" i="15" s="1"/>
  <c r="N172" i="15" s="1"/>
  <c r="I155" i="17"/>
  <c r="J155" i="17" s="1"/>
  <c r="K155" i="17" s="1"/>
  <c r="M155" i="17" s="1"/>
  <c r="N167" i="17" s="1"/>
  <c r="K179" i="12"/>
  <c r="M179" i="12" s="1"/>
  <c r="N191" i="12" s="1"/>
  <c r="G180" i="12"/>
  <c r="H180" i="12" s="1"/>
  <c r="I180" i="12" s="1"/>
  <c r="P180" i="12" s="1"/>
  <c r="Q180" i="12" s="1"/>
  <c r="J175" i="14"/>
  <c r="O175" i="14" s="1"/>
  <c r="D176" i="14" s="1"/>
  <c r="P113" i="1"/>
  <c r="Q113" i="1" s="1"/>
  <c r="J113" i="1"/>
  <c r="K113" i="1" s="1"/>
  <c r="M98" i="9" l="1"/>
  <c r="N98" i="9" s="1"/>
  <c r="O160" i="15"/>
  <c r="D161" i="15" s="1"/>
  <c r="E161" i="15" s="1"/>
  <c r="P155" i="17"/>
  <c r="Q155" i="17" s="1"/>
  <c r="O155" i="17"/>
  <c r="D156" i="17" s="1"/>
  <c r="N98" i="13"/>
  <c r="K175" i="14"/>
  <c r="M175" i="14" s="1"/>
  <c r="N187" i="14" s="1"/>
  <c r="E176" i="14"/>
  <c r="G176" i="14"/>
  <c r="J180" i="12"/>
  <c r="O180" i="12" s="1"/>
  <c r="D181" i="12" s="1"/>
  <c r="E181" i="12" s="1"/>
  <c r="N98" i="10"/>
  <c r="O113" i="1"/>
  <c r="D114" i="1" s="1"/>
  <c r="G114" i="1" s="1"/>
  <c r="G161" i="15" l="1"/>
  <c r="H161" i="15" s="1"/>
  <c r="I161" i="15" s="1"/>
  <c r="J161" i="15" s="1"/>
  <c r="K161" i="15" s="1"/>
  <c r="M161" i="15" s="1"/>
  <c r="N173" i="15" s="1"/>
  <c r="E156" i="17"/>
  <c r="G156" i="17"/>
  <c r="H156" i="17" s="1"/>
  <c r="H176" i="14"/>
  <c r="I176" i="14" s="1"/>
  <c r="P176" i="14" s="1"/>
  <c r="Q176" i="14" s="1"/>
  <c r="K180" i="12"/>
  <c r="M180" i="12" s="1"/>
  <c r="N192" i="12" s="1"/>
  <c r="G181" i="12"/>
  <c r="H181" i="12" s="1"/>
  <c r="I181" i="12" s="1"/>
  <c r="P181" i="12" s="1"/>
  <c r="Q181" i="12" s="1"/>
  <c r="E114" i="1"/>
  <c r="M113" i="1"/>
  <c r="H114" i="1" l="1"/>
  <c r="I114" i="1" s="1"/>
  <c r="P161" i="15"/>
  <c r="Q161" i="15" s="1"/>
  <c r="O161" i="15"/>
  <c r="D162" i="15" s="1"/>
  <c r="G162" i="15" s="1"/>
  <c r="I156" i="17"/>
  <c r="P156" i="17" s="1"/>
  <c r="Q156" i="17" s="1"/>
  <c r="J176" i="14"/>
  <c r="K176" i="14" s="1"/>
  <c r="M176" i="14" s="1"/>
  <c r="N188" i="14" s="1"/>
  <c r="J181" i="12"/>
  <c r="K181" i="12" s="1"/>
  <c r="M181" i="12" s="1"/>
  <c r="N193" i="12" s="1"/>
  <c r="N123" i="1"/>
  <c r="E162" i="15" l="1"/>
  <c r="H162" i="15" s="1"/>
  <c r="I162" i="15" s="1"/>
  <c r="J162" i="15" s="1"/>
  <c r="K162" i="15" s="1"/>
  <c r="M162" i="15" s="1"/>
  <c r="N174" i="15" s="1"/>
  <c r="J156" i="17"/>
  <c r="K156" i="17" s="1"/>
  <c r="M156" i="17" s="1"/>
  <c r="N168" i="17" s="1"/>
  <c r="O176" i="14"/>
  <c r="D177" i="14" s="1"/>
  <c r="O181" i="12"/>
  <c r="D182" i="12" s="1"/>
  <c r="E182" i="12" s="1"/>
  <c r="J114" i="1"/>
  <c r="K114" i="1" s="1"/>
  <c r="P114" i="1"/>
  <c r="Q114" i="1" s="1"/>
  <c r="P162" i="15" l="1"/>
  <c r="Q162" i="15" s="1"/>
  <c r="O162" i="15"/>
  <c r="D163" i="15" s="1"/>
  <c r="E163" i="15" s="1"/>
  <c r="O156" i="17"/>
  <c r="D157" i="17" s="1"/>
  <c r="N99" i="13"/>
  <c r="E177" i="14"/>
  <c r="G177" i="14"/>
  <c r="G182" i="12"/>
  <c r="H182" i="12" s="1"/>
  <c r="I182" i="12" s="1"/>
  <c r="N99" i="10"/>
  <c r="O114" i="1"/>
  <c r="D115" i="1" s="1"/>
  <c r="G115" i="1" s="1"/>
  <c r="M99" i="9" l="1"/>
  <c r="N99" i="9" s="1"/>
  <c r="G163" i="15"/>
  <c r="E157" i="17"/>
  <c r="G157" i="17"/>
  <c r="H157" i="17" s="1"/>
  <c r="H163" i="15"/>
  <c r="H177" i="14"/>
  <c r="P182" i="12"/>
  <c r="Q182" i="12" s="1"/>
  <c r="J182" i="12"/>
  <c r="O182" i="12" s="1"/>
  <c r="D183" i="12" s="1"/>
  <c r="E183" i="12" s="1"/>
  <c r="E115" i="1"/>
  <c r="M114" i="1"/>
  <c r="H115" i="1" l="1"/>
  <c r="I115" i="1" s="1"/>
  <c r="I157" i="17"/>
  <c r="P157" i="17" s="1"/>
  <c r="Q157" i="17" s="1"/>
  <c r="I163" i="15"/>
  <c r="P163" i="15" s="1"/>
  <c r="Q163" i="15" s="1"/>
  <c r="I177" i="14"/>
  <c r="P177" i="14" s="1"/>
  <c r="Q177" i="14" s="1"/>
  <c r="G183" i="12"/>
  <c r="H183" i="12" s="1"/>
  <c r="I183" i="12" s="1"/>
  <c r="K182" i="12"/>
  <c r="M182" i="12" s="1"/>
  <c r="N194" i="12" s="1"/>
  <c r="N124" i="1"/>
  <c r="J163" i="15" l="1"/>
  <c r="K163" i="15" s="1"/>
  <c r="M163" i="15" s="1"/>
  <c r="N175" i="15" s="1"/>
  <c r="J157" i="17"/>
  <c r="K157" i="17" s="1"/>
  <c r="M157" i="17" s="1"/>
  <c r="N169" i="17" s="1"/>
  <c r="J177" i="14"/>
  <c r="P183" i="12"/>
  <c r="Q183" i="12" s="1"/>
  <c r="J183" i="12"/>
  <c r="K183" i="12" s="1"/>
  <c r="M183" i="12" s="1"/>
  <c r="N195" i="12" s="1"/>
  <c r="P115" i="1"/>
  <c r="Q115" i="1" s="1"/>
  <c r="J115" i="1"/>
  <c r="K115" i="1" s="1"/>
  <c r="O163" i="15" l="1"/>
  <c r="D164" i="15" s="1"/>
  <c r="E164" i="15" s="1"/>
  <c r="O157" i="17"/>
  <c r="D158" i="17" s="1"/>
  <c r="N100" i="13"/>
  <c r="K177" i="14"/>
  <c r="M177" i="14" s="1"/>
  <c r="N189" i="14" s="1"/>
  <c r="O177" i="14"/>
  <c r="D178" i="14" s="1"/>
  <c r="O183" i="12"/>
  <c r="D184" i="12" s="1"/>
  <c r="G184" i="12" s="1"/>
  <c r="N100" i="10"/>
  <c r="O115" i="1"/>
  <c r="D116" i="1" s="1"/>
  <c r="G116" i="1" s="1"/>
  <c r="M100" i="9" l="1"/>
  <c r="N100" i="9" s="1"/>
  <c r="G164" i="15"/>
  <c r="H164" i="15" s="1"/>
  <c r="E158" i="17"/>
  <c r="G158" i="17"/>
  <c r="H158" i="17" s="1"/>
  <c r="I158" i="17" s="1"/>
  <c r="P158" i="17" s="1"/>
  <c r="Q158" i="17" s="1"/>
  <c r="G178" i="14"/>
  <c r="E178" i="14"/>
  <c r="E184" i="12"/>
  <c r="H184" i="12" s="1"/>
  <c r="E116" i="1"/>
  <c r="M115" i="1"/>
  <c r="H116" i="1" l="1"/>
  <c r="I116" i="1" s="1"/>
  <c r="J158" i="17"/>
  <c r="K158" i="17" s="1"/>
  <c r="M158" i="17" s="1"/>
  <c r="N170" i="17" s="1"/>
  <c r="I164" i="15"/>
  <c r="P164" i="15" s="1"/>
  <c r="Q164" i="15" s="1"/>
  <c r="H178" i="14"/>
  <c r="I184" i="12"/>
  <c r="P184" i="12" s="1"/>
  <c r="Q184" i="12" s="1"/>
  <c r="N125" i="1"/>
  <c r="O158" i="17" l="1"/>
  <c r="D159" i="17" s="1"/>
  <c r="G159" i="17" s="1"/>
  <c r="J164" i="15"/>
  <c r="K164" i="15" s="1"/>
  <c r="M164" i="15" s="1"/>
  <c r="N176" i="15" s="1"/>
  <c r="I178" i="14"/>
  <c r="P178" i="14" s="1"/>
  <c r="Q178" i="14" s="1"/>
  <c r="J178" i="14"/>
  <c r="K178" i="14" s="1"/>
  <c r="M178" i="14" s="1"/>
  <c r="N190" i="14" s="1"/>
  <c r="J184" i="12"/>
  <c r="K184" i="12" s="1"/>
  <c r="M184" i="12" s="1"/>
  <c r="N196" i="12" s="1"/>
  <c r="P116" i="1"/>
  <c r="Q116" i="1" s="1"/>
  <c r="J116" i="1"/>
  <c r="K116" i="1" s="1"/>
  <c r="E159" i="17" l="1"/>
  <c r="H159" i="17"/>
  <c r="O164" i="15"/>
  <c r="D165" i="15" s="1"/>
  <c r="N101" i="13"/>
  <c r="O178" i="14"/>
  <c r="D179" i="14" s="1"/>
  <c r="E179" i="14" s="1"/>
  <c r="O184" i="12"/>
  <c r="D185" i="12" s="1"/>
  <c r="M101" i="9"/>
  <c r="N101" i="9" s="1"/>
  <c r="N101" i="10"/>
  <c r="O116" i="1"/>
  <c r="D117" i="1" s="1"/>
  <c r="G117" i="1" s="1"/>
  <c r="I159" i="17" l="1"/>
  <c r="P159" i="17" s="1"/>
  <c r="Q159" i="17" s="1"/>
  <c r="J159" i="17"/>
  <c r="K159" i="17" s="1"/>
  <c r="M159" i="17" s="1"/>
  <c r="N171" i="17" s="1"/>
  <c r="G179" i="14"/>
  <c r="H179" i="14" s="1"/>
  <c r="I179" i="14" s="1"/>
  <c r="E165" i="15"/>
  <c r="G165" i="15"/>
  <c r="H165" i="15" s="1"/>
  <c r="E185" i="12"/>
  <c r="G185" i="12"/>
  <c r="E117" i="1"/>
  <c r="M116" i="1"/>
  <c r="H185" i="12" l="1"/>
  <c r="I185" i="12" s="1"/>
  <c r="H117" i="1"/>
  <c r="I117" i="1" s="1"/>
  <c r="P179" i="14"/>
  <c r="Q179" i="14" s="1"/>
  <c r="O159" i="17"/>
  <c r="D160" i="17" s="1"/>
  <c r="I165" i="15"/>
  <c r="J165" i="15" s="1"/>
  <c r="K165" i="15" s="1"/>
  <c r="M165" i="15" s="1"/>
  <c r="N177" i="15" s="1"/>
  <c r="J179" i="14"/>
  <c r="K179" i="14" s="1"/>
  <c r="M179" i="14" s="1"/>
  <c r="N191" i="14" s="1"/>
  <c r="J185" i="12"/>
  <c r="O185" i="12" s="1"/>
  <c r="D186" i="12" s="1"/>
  <c r="E186" i="12" s="1"/>
  <c r="P185" i="12"/>
  <c r="Q185" i="12" s="1"/>
  <c r="N126" i="1"/>
  <c r="E160" i="17" l="1"/>
  <c r="G160" i="17"/>
  <c r="H160" i="17" s="1"/>
  <c r="I160" i="17" s="1"/>
  <c r="O165" i="15"/>
  <c r="D166" i="15" s="1"/>
  <c r="G186" i="12"/>
  <c r="H186" i="12" s="1"/>
  <c r="I186" i="12" s="1"/>
  <c r="P186" i="12" s="1"/>
  <c r="Q186" i="12" s="1"/>
  <c r="O179" i="14"/>
  <c r="D180" i="14" s="1"/>
  <c r="G180" i="14" s="1"/>
  <c r="K185" i="12"/>
  <c r="M185" i="12" s="1"/>
  <c r="N197" i="12" s="1"/>
  <c r="P165" i="15"/>
  <c r="Q165" i="15" s="1"/>
  <c r="P117" i="1"/>
  <c r="Q117" i="1" s="1"/>
  <c r="J117" i="1"/>
  <c r="K117" i="1" s="1"/>
  <c r="J160" i="17" l="1"/>
  <c r="K160" i="17" s="1"/>
  <c r="M160" i="17" s="1"/>
  <c r="N172" i="17" s="1"/>
  <c r="P160" i="17"/>
  <c r="Q160" i="17" s="1"/>
  <c r="J186" i="12"/>
  <c r="K186" i="12" s="1"/>
  <c r="M186" i="12" s="1"/>
  <c r="N198" i="12" s="1"/>
  <c r="E166" i="15"/>
  <c r="G166" i="15"/>
  <c r="E180" i="14"/>
  <c r="H180" i="14" s="1"/>
  <c r="I180" i="14" s="1"/>
  <c r="J180" i="14" s="1"/>
  <c r="K180" i="14" s="1"/>
  <c r="M180" i="14" s="1"/>
  <c r="N192" i="14" s="1"/>
  <c r="N102" i="13"/>
  <c r="M102" i="9"/>
  <c r="N102" i="9" s="1"/>
  <c r="N102" i="10"/>
  <c r="O117" i="1"/>
  <c r="D118" i="1" s="1"/>
  <c r="G118" i="1" s="1"/>
  <c r="O160" i="17" l="1"/>
  <c r="D161" i="17" s="1"/>
  <c r="E161" i="17" s="1"/>
  <c r="O186" i="12"/>
  <c r="D187" i="12" s="1"/>
  <c r="E187" i="12" s="1"/>
  <c r="H166" i="15"/>
  <c r="I166" i="15" s="1"/>
  <c r="J166" i="15" s="1"/>
  <c r="K166" i="15" s="1"/>
  <c r="M166" i="15" s="1"/>
  <c r="N178" i="15" s="1"/>
  <c r="O180" i="14"/>
  <c r="D181" i="14" s="1"/>
  <c r="P180" i="14"/>
  <c r="Q180" i="14" s="1"/>
  <c r="E118" i="1"/>
  <c r="M117" i="1"/>
  <c r="G187" i="12" l="1"/>
  <c r="H187" i="12" s="1"/>
  <c r="I187" i="12" s="1"/>
  <c r="H118" i="1"/>
  <c r="I118" i="1" s="1"/>
  <c r="G161" i="17"/>
  <c r="H161" i="17"/>
  <c r="I161" i="17" s="1"/>
  <c r="J161" i="17" s="1"/>
  <c r="K161" i="17" s="1"/>
  <c r="M161" i="17" s="1"/>
  <c r="N173" i="17" s="1"/>
  <c r="P166" i="15"/>
  <c r="Q166" i="15" s="1"/>
  <c r="O166" i="15"/>
  <c r="D167" i="15" s="1"/>
  <c r="E181" i="14"/>
  <c r="G181" i="14"/>
  <c r="J187" i="12"/>
  <c r="O187" i="12" s="1"/>
  <c r="D188" i="12" s="1"/>
  <c r="N127" i="1"/>
  <c r="P187" i="12" l="1"/>
  <c r="Q187" i="12" s="1"/>
  <c r="O161" i="17"/>
  <c r="D162" i="17" s="1"/>
  <c r="E162" i="17" s="1"/>
  <c r="P161" i="17"/>
  <c r="Q161" i="17" s="1"/>
  <c r="H181" i="14"/>
  <c r="I181" i="14" s="1"/>
  <c r="P181" i="14" s="1"/>
  <c r="Q181" i="14" s="1"/>
  <c r="G162" i="17"/>
  <c r="E167" i="15"/>
  <c r="G167" i="15"/>
  <c r="H167" i="15" s="1"/>
  <c r="K187" i="12"/>
  <c r="M187" i="12" s="1"/>
  <c r="N199" i="12" s="1"/>
  <c r="E188" i="12"/>
  <c r="G188" i="12"/>
  <c r="J118" i="1"/>
  <c r="K118" i="1" s="1"/>
  <c r="P118" i="1"/>
  <c r="Q118" i="1" s="1"/>
  <c r="M103" i="9" l="1"/>
  <c r="N103" i="9" s="1"/>
  <c r="H162" i="17"/>
  <c r="I162" i="17" s="1"/>
  <c r="P162" i="17" s="1"/>
  <c r="Q162" i="17" s="1"/>
  <c r="J162" i="17"/>
  <c r="K162" i="17" s="1"/>
  <c r="M162" i="17" s="1"/>
  <c r="N174" i="17" s="1"/>
  <c r="I167" i="15"/>
  <c r="J167" i="15" s="1"/>
  <c r="K167" i="15" s="1"/>
  <c r="M167" i="15" s="1"/>
  <c r="N179" i="15" s="1"/>
  <c r="N103" i="13"/>
  <c r="J181" i="14"/>
  <c r="K181" i="14" s="1"/>
  <c r="M181" i="14" s="1"/>
  <c r="N193" i="14" s="1"/>
  <c r="H188" i="12"/>
  <c r="I188" i="12" s="1"/>
  <c r="P188" i="12" s="1"/>
  <c r="Q188" i="12" s="1"/>
  <c r="N103" i="10"/>
  <c r="O118" i="1"/>
  <c r="D119" i="1" s="1"/>
  <c r="G119" i="1" s="1"/>
  <c r="O162" i="17" l="1"/>
  <c r="D163" i="17" s="1"/>
  <c r="E163" i="17" s="1"/>
  <c r="P167" i="15"/>
  <c r="Q167" i="15" s="1"/>
  <c r="O167" i="15"/>
  <c r="D168" i="15" s="1"/>
  <c r="O181" i="14"/>
  <c r="D182" i="14" s="1"/>
  <c r="J188" i="12"/>
  <c r="O188" i="12" s="1"/>
  <c r="D189" i="12" s="1"/>
  <c r="E119" i="1"/>
  <c r="M118" i="1"/>
  <c r="H119" i="1" l="1"/>
  <c r="I119" i="1" s="1"/>
  <c r="G163" i="17"/>
  <c r="H163" i="17"/>
  <c r="E168" i="15"/>
  <c r="G168" i="15"/>
  <c r="H168" i="15" s="1"/>
  <c r="I168" i="15" s="1"/>
  <c r="P168" i="15" s="1"/>
  <c r="Q168" i="15" s="1"/>
  <c r="E182" i="14"/>
  <c r="G182" i="14"/>
  <c r="E189" i="12"/>
  <c r="G189" i="12"/>
  <c r="K188" i="12"/>
  <c r="M188" i="12" s="1"/>
  <c r="N200" i="12" s="1"/>
  <c r="N128" i="1"/>
  <c r="H189" i="12" l="1"/>
  <c r="I189" i="12" s="1"/>
  <c r="P189" i="12" s="1"/>
  <c r="Q189" i="12" s="1"/>
  <c r="I163" i="17"/>
  <c r="P163" i="17" s="1"/>
  <c r="Q163" i="17" s="1"/>
  <c r="J163" i="17"/>
  <c r="K163" i="17" s="1"/>
  <c r="M163" i="17" s="1"/>
  <c r="N175" i="17" s="1"/>
  <c r="J168" i="15"/>
  <c r="K168" i="15" s="1"/>
  <c r="M168" i="15" s="1"/>
  <c r="N180" i="15" s="1"/>
  <c r="H182" i="14"/>
  <c r="P119" i="1"/>
  <c r="Q119" i="1" s="1"/>
  <c r="J119" i="1"/>
  <c r="K119" i="1" s="1"/>
  <c r="M104" i="9" l="1"/>
  <c r="N104" i="9" s="1"/>
  <c r="J189" i="12"/>
  <c r="K189" i="12" s="1"/>
  <c r="M189" i="12" s="1"/>
  <c r="N201" i="12" s="1"/>
  <c r="O163" i="17"/>
  <c r="D164" i="17" s="1"/>
  <c r="O168" i="15"/>
  <c r="D169" i="15" s="1"/>
  <c r="N104" i="13"/>
  <c r="I182" i="14"/>
  <c r="P182" i="14" s="1"/>
  <c r="Q182" i="14" s="1"/>
  <c r="N104" i="10"/>
  <c r="O119" i="1"/>
  <c r="D120" i="1" s="1"/>
  <c r="G120" i="1" s="1"/>
  <c r="O189" i="12" l="1"/>
  <c r="D190" i="12" s="1"/>
  <c r="E164" i="17"/>
  <c r="G164" i="17"/>
  <c r="H164" i="17" s="1"/>
  <c r="I164" i="17" s="1"/>
  <c r="P164" i="17" s="1"/>
  <c r="Q164" i="17" s="1"/>
  <c r="E169" i="15"/>
  <c r="G169" i="15"/>
  <c r="H169" i="15" s="1"/>
  <c r="I169" i="15" s="1"/>
  <c r="J182" i="14"/>
  <c r="K182" i="14" s="1"/>
  <c r="M182" i="14" s="1"/>
  <c r="N194" i="14" s="1"/>
  <c r="E190" i="12"/>
  <c r="G190" i="12"/>
  <c r="E120" i="1"/>
  <c r="M119" i="1"/>
  <c r="H120" i="1" l="1"/>
  <c r="I120" i="1" s="1"/>
  <c r="O182" i="14"/>
  <c r="D183" i="14" s="1"/>
  <c r="E183" i="14" s="1"/>
  <c r="P169" i="15"/>
  <c r="Q169" i="15" s="1"/>
  <c r="J169" i="15"/>
  <c r="K169" i="15" s="1"/>
  <c r="M169" i="15" s="1"/>
  <c r="N181" i="15" s="1"/>
  <c r="J164" i="17"/>
  <c r="K164" i="17" s="1"/>
  <c r="M164" i="17" s="1"/>
  <c r="N176" i="17" s="1"/>
  <c r="G183" i="14"/>
  <c r="H183" i="14" s="1"/>
  <c r="H190" i="12"/>
  <c r="I190" i="12" s="1"/>
  <c r="P190" i="12" s="1"/>
  <c r="Q190" i="12" s="1"/>
  <c r="N129" i="1"/>
  <c r="O164" i="17" l="1"/>
  <c r="D165" i="17" s="1"/>
  <c r="O169" i="15"/>
  <c r="D170" i="15" s="1"/>
  <c r="I183" i="14"/>
  <c r="J183" i="14" s="1"/>
  <c r="K183" i="14" s="1"/>
  <c r="M183" i="14" s="1"/>
  <c r="N195" i="14" s="1"/>
  <c r="J190" i="12"/>
  <c r="O190" i="12" s="1"/>
  <c r="D191" i="12" s="1"/>
  <c r="E191" i="12" s="1"/>
  <c r="J120" i="1"/>
  <c r="K120" i="1" s="1"/>
  <c r="P120" i="1"/>
  <c r="Q120" i="1" s="1"/>
  <c r="G170" i="15" l="1"/>
  <c r="E170" i="15"/>
  <c r="E165" i="17"/>
  <c r="G165" i="17"/>
  <c r="H165" i="17" s="1"/>
  <c r="N105" i="13"/>
  <c r="O183" i="14"/>
  <c r="D184" i="14" s="1"/>
  <c r="P183" i="14"/>
  <c r="Q183" i="14" s="1"/>
  <c r="K190" i="12"/>
  <c r="M190" i="12" s="1"/>
  <c r="N202" i="12" s="1"/>
  <c r="G191" i="12"/>
  <c r="H191" i="12" s="1"/>
  <c r="N105" i="10"/>
  <c r="O120" i="1"/>
  <c r="D121" i="1" s="1"/>
  <c r="G121" i="1" s="1"/>
  <c r="M105" i="9" l="1"/>
  <c r="N105" i="9" s="1"/>
  <c r="I165" i="17"/>
  <c r="P165" i="17" s="1"/>
  <c r="Q165" i="17" s="1"/>
  <c r="H170" i="15"/>
  <c r="E184" i="14"/>
  <c r="G184" i="14"/>
  <c r="I191" i="12"/>
  <c r="P191" i="12" s="1"/>
  <c r="Q191" i="12" s="1"/>
  <c r="E121" i="1"/>
  <c r="M120" i="1"/>
  <c r="H121" i="1" l="1"/>
  <c r="I121" i="1" s="1"/>
  <c r="I170" i="15"/>
  <c r="P170" i="15" s="1"/>
  <c r="Q170" i="15" s="1"/>
  <c r="J170" i="15"/>
  <c r="O170" i="15" s="1"/>
  <c r="D171" i="15" s="1"/>
  <c r="J165" i="17"/>
  <c r="H184" i="14"/>
  <c r="I184" i="14" s="1"/>
  <c r="J191" i="12"/>
  <c r="O191" i="12" s="1"/>
  <c r="D192" i="12" s="1"/>
  <c r="E192" i="12" s="1"/>
  <c r="N130" i="1"/>
  <c r="E171" i="15" l="1"/>
  <c r="G171" i="15"/>
  <c r="H171" i="15" s="1"/>
  <c r="K165" i="17"/>
  <c r="M165" i="17" s="1"/>
  <c r="N177" i="17" s="1"/>
  <c r="O165" i="17"/>
  <c r="D166" i="17" s="1"/>
  <c r="K170" i="15"/>
  <c r="M170" i="15" s="1"/>
  <c r="N182" i="15" s="1"/>
  <c r="P184" i="14"/>
  <c r="Q184" i="14" s="1"/>
  <c r="J184" i="14"/>
  <c r="K184" i="14" s="1"/>
  <c r="M184" i="14" s="1"/>
  <c r="N196" i="14" s="1"/>
  <c r="K191" i="12"/>
  <c r="M191" i="12" s="1"/>
  <c r="N203" i="12" s="1"/>
  <c r="G192" i="12"/>
  <c r="H192" i="12" s="1"/>
  <c r="I192" i="12" s="1"/>
  <c r="J121" i="1"/>
  <c r="K121" i="1" s="1"/>
  <c r="P121" i="1"/>
  <c r="Q121" i="1" s="1"/>
  <c r="G166" i="17" l="1"/>
  <c r="E166" i="17"/>
  <c r="I171" i="15"/>
  <c r="J171" i="15" s="1"/>
  <c r="K171" i="15" s="1"/>
  <c r="M171" i="15" s="1"/>
  <c r="N183" i="15" s="1"/>
  <c r="N106" i="13"/>
  <c r="J192" i="12"/>
  <c r="K192" i="12" s="1"/>
  <c r="M192" i="12" s="1"/>
  <c r="N204" i="12" s="1"/>
  <c r="O184" i="14"/>
  <c r="D185" i="14" s="1"/>
  <c r="P192" i="12"/>
  <c r="Q192" i="12" s="1"/>
  <c r="M106" i="9"/>
  <c r="N106" i="9" s="1"/>
  <c r="N106" i="10"/>
  <c r="O121" i="1"/>
  <c r="D122" i="1" s="1"/>
  <c r="G122" i="1" s="1"/>
  <c r="O192" i="12" l="1"/>
  <c r="D193" i="12" s="1"/>
  <c r="E193" i="12" s="1"/>
  <c r="H166" i="17"/>
  <c r="I166" i="17" s="1"/>
  <c r="J166" i="17" s="1"/>
  <c r="K166" i="17" s="1"/>
  <c r="M166" i="17" s="1"/>
  <c r="N178" i="17" s="1"/>
  <c r="P171" i="15"/>
  <c r="Q171" i="15" s="1"/>
  <c r="O171" i="15"/>
  <c r="D172" i="15" s="1"/>
  <c r="G193" i="12"/>
  <c r="H193" i="12" s="1"/>
  <c r="I193" i="12" s="1"/>
  <c r="P193" i="12" s="1"/>
  <c r="Q193" i="12" s="1"/>
  <c r="G185" i="14"/>
  <c r="E185" i="14"/>
  <c r="E122" i="1"/>
  <c r="M121" i="1"/>
  <c r="H122" i="1" l="1"/>
  <c r="I122" i="1" s="1"/>
  <c r="P166" i="17"/>
  <c r="Q166" i="17" s="1"/>
  <c r="O166" i="17"/>
  <c r="D167" i="17" s="1"/>
  <c r="E167" i="17" s="1"/>
  <c r="E172" i="15"/>
  <c r="G172" i="15"/>
  <c r="H172" i="15" s="1"/>
  <c r="I172" i="15" s="1"/>
  <c r="H185" i="14"/>
  <c r="I185" i="14" s="1"/>
  <c r="J185" i="14" s="1"/>
  <c r="K185" i="14" s="1"/>
  <c r="M185" i="14" s="1"/>
  <c r="N197" i="14" s="1"/>
  <c r="J193" i="12"/>
  <c r="O193" i="12" s="1"/>
  <c r="D194" i="12" s="1"/>
  <c r="N131" i="1"/>
  <c r="G167" i="17" l="1"/>
  <c r="H167" i="17" s="1"/>
  <c r="I167" i="17" s="1"/>
  <c r="P167" i="17" s="1"/>
  <c r="Q167" i="17" s="1"/>
  <c r="P172" i="15"/>
  <c r="Q172" i="15" s="1"/>
  <c r="J172" i="15"/>
  <c r="K172" i="15" s="1"/>
  <c r="M172" i="15" s="1"/>
  <c r="N184" i="15" s="1"/>
  <c r="P185" i="14"/>
  <c r="Q185" i="14" s="1"/>
  <c r="O185" i="14"/>
  <c r="D186" i="14" s="1"/>
  <c r="E194" i="12"/>
  <c r="G194" i="12"/>
  <c r="K193" i="12"/>
  <c r="M193" i="12" s="1"/>
  <c r="N205" i="12" s="1"/>
  <c r="P122" i="1"/>
  <c r="Q122" i="1" s="1"/>
  <c r="J122" i="1"/>
  <c r="K122" i="1" s="1"/>
  <c r="O172" i="15" l="1"/>
  <c r="D173" i="15" s="1"/>
  <c r="J167" i="17"/>
  <c r="E186" i="14"/>
  <c r="G186" i="14"/>
  <c r="H186" i="14" s="1"/>
  <c r="I186" i="14" s="1"/>
  <c r="J186" i="14" s="1"/>
  <c r="K186" i="14" s="1"/>
  <c r="M186" i="14" s="1"/>
  <c r="N198" i="14" s="1"/>
  <c r="H194" i="12"/>
  <c r="I194" i="12" s="1"/>
  <c r="P194" i="12" s="1"/>
  <c r="Q194" i="12" s="1"/>
  <c r="M107" i="9"/>
  <c r="N107" i="9" s="1"/>
  <c r="N107" i="10"/>
  <c r="N107" i="13"/>
  <c r="O122" i="1"/>
  <c r="D123" i="1" s="1"/>
  <c r="G123" i="1" s="1"/>
  <c r="G173" i="15" l="1"/>
  <c r="E173" i="15"/>
  <c r="K167" i="17"/>
  <c r="M167" i="17" s="1"/>
  <c r="N179" i="17" s="1"/>
  <c r="O167" i="17"/>
  <c r="D168" i="17" s="1"/>
  <c r="O186" i="14"/>
  <c r="D187" i="14" s="1"/>
  <c r="P186" i="14"/>
  <c r="Q186" i="14" s="1"/>
  <c r="J194" i="12"/>
  <c r="K194" i="12" s="1"/>
  <c r="M194" i="12" s="1"/>
  <c r="N206" i="12" s="1"/>
  <c r="E123" i="1"/>
  <c r="M122" i="1"/>
  <c r="H123" i="1" l="1"/>
  <c r="I123" i="1" s="1"/>
  <c r="H173" i="15"/>
  <c r="I173" i="15" s="1"/>
  <c r="J173" i="15" s="1"/>
  <c r="K173" i="15" s="1"/>
  <c r="M173" i="15" s="1"/>
  <c r="N185" i="15" s="1"/>
  <c r="E168" i="17"/>
  <c r="G168" i="17"/>
  <c r="H168" i="17" s="1"/>
  <c r="I168" i="17" s="1"/>
  <c r="E187" i="14"/>
  <c r="G187" i="14"/>
  <c r="O194" i="12"/>
  <c r="D195" i="12" s="1"/>
  <c r="N132" i="1"/>
  <c r="O173" i="15" l="1"/>
  <c r="D174" i="15" s="1"/>
  <c r="P173" i="15"/>
  <c r="Q173" i="15" s="1"/>
  <c r="P168" i="17"/>
  <c r="Q168" i="17" s="1"/>
  <c r="J168" i="17"/>
  <c r="K168" i="17" s="1"/>
  <c r="M168" i="17" s="1"/>
  <c r="N180" i="17" s="1"/>
  <c r="H187" i="14"/>
  <c r="I187" i="14" s="1"/>
  <c r="J187" i="14" s="1"/>
  <c r="K187" i="14" s="1"/>
  <c r="M187" i="14" s="1"/>
  <c r="N199" i="14" s="1"/>
  <c r="E195" i="12"/>
  <c r="G195" i="12"/>
  <c r="P123" i="1"/>
  <c r="Q123" i="1" s="1"/>
  <c r="J123" i="1"/>
  <c r="K123" i="1" s="1"/>
  <c r="E174" i="15" l="1"/>
  <c r="G174" i="15"/>
  <c r="H174" i="15" s="1"/>
  <c r="O168" i="17"/>
  <c r="D169" i="17" s="1"/>
  <c r="G169" i="17" s="1"/>
  <c r="P187" i="14"/>
  <c r="Q187" i="14" s="1"/>
  <c r="O187" i="14"/>
  <c r="D188" i="14" s="1"/>
  <c r="N108" i="10"/>
  <c r="N108" i="13"/>
  <c r="H195" i="12"/>
  <c r="O123" i="1"/>
  <c r="D124" i="1" s="1"/>
  <c r="G124" i="1" s="1"/>
  <c r="M108" i="9" l="1"/>
  <c r="N108" i="9" s="1"/>
  <c r="I174" i="15"/>
  <c r="P174" i="15" s="1"/>
  <c r="Q174" i="15" s="1"/>
  <c r="E169" i="17"/>
  <c r="H169" i="17"/>
  <c r="E188" i="14"/>
  <c r="G188" i="14"/>
  <c r="I195" i="12"/>
  <c r="P195" i="12" s="1"/>
  <c r="Q195" i="12" s="1"/>
  <c r="E124" i="1"/>
  <c r="M123" i="1"/>
  <c r="J174" i="15" l="1"/>
  <c r="K174" i="15" s="1"/>
  <c r="M174" i="15" s="1"/>
  <c r="N186" i="15" s="1"/>
  <c r="H124" i="1"/>
  <c r="I124" i="1" s="1"/>
  <c r="H188" i="14"/>
  <c r="I188" i="14" s="1"/>
  <c r="J188" i="14" s="1"/>
  <c r="K188" i="14" s="1"/>
  <c r="M188" i="14" s="1"/>
  <c r="N200" i="14" s="1"/>
  <c r="I169" i="17"/>
  <c r="P169" i="17" s="1"/>
  <c r="Q169" i="17" s="1"/>
  <c r="J195" i="12"/>
  <c r="K195" i="12" s="1"/>
  <c r="M195" i="12" s="1"/>
  <c r="N207" i="12" s="1"/>
  <c r="N133" i="1"/>
  <c r="O174" i="15" l="1"/>
  <c r="D175" i="15" s="1"/>
  <c r="G175" i="15" s="1"/>
  <c r="H175" i="15" s="1"/>
  <c r="I175" i="15" s="1"/>
  <c r="P188" i="14"/>
  <c r="Q188" i="14" s="1"/>
  <c r="O188" i="14"/>
  <c r="D189" i="14" s="1"/>
  <c r="J169" i="17"/>
  <c r="K169" i="17" s="1"/>
  <c r="M169" i="17" s="1"/>
  <c r="N181" i="17" s="1"/>
  <c r="E189" i="14"/>
  <c r="G189" i="14"/>
  <c r="H189" i="14" s="1"/>
  <c r="I189" i="14" s="1"/>
  <c r="J189" i="14" s="1"/>
  <c r="K189" i="14" s="1"/>
  <c r="M189" i="14" s="1"/>
  <c r="N201" i="14" s="1"/>
  <c r="O195" i="12"/>
  <c r="D196" i="12" s="1"/>
  <c r="P124" i="1"/>
  <c r="Q124" i="1" s="1"/>
  <c r="J124" i="1"/>
  <c r="K124" i="1" s="1"/>
  <c r="J175" i="15" l="1"/>
  <c r="K175" i="15" s="1"/>
  <c r="M175" i="15" s="1"/>
  <c r="N187" i="15" s="1"/>
  <c r="E175" i="15"/>
  <c r="P175" i="15" s="1"/>
  <c r="Q175" i="15" s="1"/>
  <c r="O169" i="17"/>
  <c r="D170" i="17" s="1"/>
  <c r="G170" i="17" s="1"/>
  <c r="O189" i="14"/>
  <c r="D190" i="14" s="1"/>
  <c r="P189" i="14"/>
  <c r="Q189" i="14" s="1"/>
  <c r="N109" i="13"/>
  <c r="N109" i="10"/>
  <c r="G196" i="12"/>
  <c r="E196" i="12"/>
  <c r="O124" i="1"/>
  <c r="D125" i="1" s="1"/>
  <c r="G125" i="1" s="1"/>
  <c r="M109" i="9" l="1"/>
  <c r="N109" i="9" s="1"/>
  <c r="O175" i="15"/>
  <c r="D176" i="15" s="1"/>
  <c r="G176" i="15" s="1"/>
  <c r="E170" i="17"/>
  <c r="H170" i="17" s="1"/>
  <c r="G190" i="14"/>
  <c r="E190" i="14"/>
  <c r="H196" i="12"/>
  <c r="I196" i="12" s="1"/>
  <c r="P196" i="12" s="1"/>
  <c r="Q196" i="12" s="1"/>
  <c r="E125" i="1"/>
  <c r="M124" i="1"/>
  <c r="E176" i="15" l="1"/>
  <c r="H176" i="15" s="1"/>
  <c r="I176" i="15" s="1"/>
  <c r="P176" i="15" s="1"/>
  <c r="Q176" i="15" s="1"/>
  <c r="H125" i="1"/>
  <c r="I125" i="1" s="1"/>
  <c r="I170" i="17"/>
  <c r="P170" i="17" s="1"/>
  <c r="Q170" i="17" s="1"/>
  <c r="H190" i="14"/>
  <c r="J196" i="12"/>
  <c r="O196" i="12" s="1"/>
  <c r="D197" i="12" s="1"/>
  <c r="N134" i="1"/>
  <c r="J176" i="15" l="1"/>
  <c r="K176" i="15" s="1"/>
  <c r="M176" i="15" s="1"/>
  <c r="N188" i="15" s="1"/>
  <c r="J170" i="17"/>
  <c r="K170" i="17" s="1"/>
  <c r="M170" i="17" s="1"/>
  <c r="N182" i="17" s="1"/>
  <c r="I190" i="14"/>
  <c r="P190" i="14" s="1"/>
  <c r="Q190" i="14" s="1"/>
  <c r="J190" i="14"/>
  <c r="K190" i="14" s="1"/>
  <c r="M190" i="14" s="1"/>
  <c r="N202" i="14" s="1"/>
  <c r="K196" i="12"/>
  <c r="M196" i="12" s="1"/>
  <c r="N208" i="12" s="1"/>
  <c r="E197" i="12"/>
  <c r="G197" i="12"/>
  <c r="J125" i="1"/>
  <c r="K125" i="1" s="1"/>
  <c r="P125" i="1"/>
  <c r="Q125" i="1" s="1"/>
  <c r="O176" i="15" l="1"/>
  <c r="D177" i="15" s="1"/>
  <c r="G177" i="15" s="1"/>
  <c r="O170" i="17"/>
  <c r="D171" i="17" s="1"/>
  <c r="O190" i="14"/>
  <c r="D191" i="14" s="1"/>
  <c r="M110" i="9"/>
  <c r="N110" i="9" s="1"/>
  <c r="N110" i="13"/>
  <c r="N110" i="10"/>
  <c r="H197" i="12"/>
  <c r="I197" i="12" s="1"/>
  <c r="P197" i="12" s="1"/>
  <c r="Q197" i="12" s="1"/>
  <c r="O125" i="1"/>
  <c r="D126" i="1" s="1"/>
  <c r="G126" i="1" s="1"/>
  <c r="E177" i="15" l="1"/>
  <c r="E171" i="17"/>
  <c r="G171" i="17"/>
  <c r="H171" i="17" s="1"/>
  <c r="H177" i="15"/>
  <c r="J197" i="12"/>
  <c r="K197" i="12" s="1"/>
  <c r="M197" i="12" s="1"/>
  <c r="N209" i="12" s="1"/>
  <c r="E191" i="14"/>
  <c r="G191" i="14"/>
  <c r="H191" i="14" s="1"/>
  <c r="I191" i="14" s="1"/>
  <c r="J191" i="14" s="1"/>
  <c r="K191" i="14" s="1"/>
  <c r="M191" i="14" s="1"/>
  <c r="N203" i="14" s="1"/>
  <c r="E126" i="1"/>
  <c r="M125" i="1"/>
  <c r="H126" i="1" l="1"/>
  <c r="I171" i="17"/>
  <c r="O197" i="12"/>
  <c r="D198" i="12" s="1"/>
  <c r="G198" i="12" s="1"/>
  <c r="I177" i="15"/>
  <c r="J177" i="15" s="1"/>
  <c r="K177" i="15" s="1"/>
  <c r="M177" i="15" s="1"/>
  <c r="N189" i="15" s="1"/>
  <c r="O191" i="14"/>
  <c r="D192" i="14" s="1"/>
  <c r="P191" i="14"/>
  <c r="Q191" i="14" s="1"/>
  <c r="I126" i="1"/>
  <c r="N135" i="1"/>
  <c r="E198" i="12" l="1"/>
  <c r="O177" i="15"/>
  <c r="D178" i="15" s="1"/>
  <c r="G178" i="15" s="1"/>
  <c r="P177" i="15"/>
  <c r="Q177" i="15" s="1"/>
  <c r="P171" i="17"/>
  <c r="Q171" i="17" s="1"/>
  <c r="J171" i="17"/>
  <c r="K171" i="17" s="1"/>
  <c r="M171" i="17" s="1"/>
  <c r="N183" i="17" s="1"/>
  <c r="E192" i="14"/>
  <c r="G192" i="14"/>
  <c r="H198" i="12"/>
  <c r="I198" i="12" s="1"/>
  <c r="P126" i="1"/>
  <c r="Q126" i="1" s="1"/>
  <c r="J126" i="1"/>
  <c r="K126" i="1" s="1"/>
  <c r="E178" i="15" l="1"/>
  <c r="H192" i="14"/>
  <c r="I192" i="14" s="1"/>
  <c r="O171" i="17"/>
  <c r="D172" i="17" s="1"/>
  <c r="H178" i="15"/>
  <c r="J198" i="12"/>
  <c r="O198" i="12" s="1"/>
  <c r="D199" i="12" s="1"/>
  <c r="P198" i="12"/>
  <c r="Q198" i="12" s="1"/>
  <c r="N111" i="10"/>
  <c r="N111" i="13"/>
  <c r="O126" i="1"/>
  <c r="D127" i="1" s="1"/>
  <c r="G127" i="1" s="1"/>
  <c r="M111" i="9" l="1"/>
  <c r="N111" i="9" s="1"/>
  <c r="H127" i="1"/>
  <c r="E172" i="17"/>
  <c r="G172" i="17"/>
  <c r="H172" i="17" s="1"/>
  <c r="I172" i="17" s="1"/>
  <c r="P172" i="17" s="1"/>
  <c r="Q172" i="17" s="1"/>
  <c r="I178" i="15"/>
  <c r="P178" i="15" s="1"/>
  <c r="Q178" i="15" s="1"/>
  <c r="J192" i="14"/>
  <c r="K192" i="14" s="1"/>
  <c r="M192" i="14" s="1"/>
  <c r="N204" i="14" s="1"/>
  <c r="P192" i="14"/>
  <c r="Q192" i="14" s="1"/>
  <c r="K198" i="12"/>
  <c r="M198" i="12" s="1"/>
  <c r="N210" i="12" s="1"/>
  <c r="E199" i="12"/>
  <c r="G199" i="12"/>
  <c r="E127" i="1"/>
  <c r="M126" i="1"/>
  <c r="J178" i="15" l="1"/>
  <c r="K178" i="15" s="1"/>
  <c r="M178" i="15" s="1"/>
  <c r="N190" i="15" s="1"/>
  <c r="J172" i="17"/>
  <c r="K172" i="17" s="1"/>
  <c r="M172" i="17" s="1"/>
  <c r="N184" i="17" s="1"/>
  <c r="O192" i="14"/>
  <c r="D193" i="14" s="1"/>
  <c r="H199" i="12"/>
  <c r="I199" i="12" s="1"/>
  <c r="I127" i="1"/>
  <c r="N136" i="1"/>
  <c r="O178" i="15" l="1"/>
  <c r="D179" i="15" s="1"/>
  <c r="E179" i="15" s="1"/>
  <c r="O172" i="17"/>
  <c r="D173" i="17" s="1"/>
  <c r="G179" i="15"/>
  <c r="H179" i="15" s="1"/>
  <c r="I179" i="15" s="1"/>
  <c r="J179" i="15" s="1"/>
  <c r="K179" i="15" s="1"/>
  <c r="M179" i="15" s="1"/>
  <c r="N191" i="15" s="1"/>
  <c r="J199" i="12"/>
  <c r="O199" i="12" s="1"/>
  <c r="D200" i="12" s="1"/>
  <c r="G200" i="12" s="1"/>
  <c r="E193" i="14"/>
  <c r="G193" i="14"/>
  <c r="P199" i="12"/>
  <c r="Q199" i="12" s="1"/>
  <c r="P127" i="1"/>
  <c r="Q127" i="1" s="1"/>
  <c r="J127" i="1"/>
  <c r="K127" i="1" s="1"/>
  <c r="M112" i="9" l="1"/>
  <c r="N112" i="9" s="1"/>
  <c r="G173" i="17"/>
  <c r="E173" i="17"/>
  <c r="O179" i="15"/>
  <c r="D180" i="15" s="1"/>
  <c r="K199" i="12"/>
  <c r="M199" i="12" s="1"/>
  <c r="N211" i="12" s="1"/>
  <c r="P179" i="15"/>
  <c r="Q179" i="15" s="1"/>
  <c r="E200" i="12"/>
  <c r="H200" i="12" s="1"/>
  <c r="H193" i="14"/>
  <c r="N112" i="10"/>
  <c r="N112" i="13"/>
  <c r="O127" i="1"/>
  <c r="D128" i="1" s="1"/>
  <c r="G128" i="1" s="1"/>
  <c r="H173" i="17" l="1"/>
  <c r="I173" i="17" s="1"/>
  <c r="P173" i="17" s="1"/>
  <c r="Q173" i="17" s="1"/>
  <c r="E180" i="15"/>
  <c r="G180" i="15"/>
  <c r="H180" i="15" s="1"/>
  <c r="I180" i="15" s="1"/>
  <c r="I193" i="14"/>
  <c r="J193" i="14" s="1"/>
  <c r="K193" i="14" s="1"/>
  <c r="M193" i="14" s="1"/>
  <c r="N205" i="14" s="1"/>
  <c r="I200" i="12"/>
  <c r="J200" i="12"/>
  <c r="K200" i="12" s="1"/>
  <c r="M200" i="12" s="1"/>
  <c r="N212" i="12" s="1"/>
  <c r="E128" i="1"/>
  <c r="M127" i="1"/>
  <c r="H128" i="1" l="1"/>
  <c r="I128" i="1" s="1"/>
  <c r="J173" i="17"/>
  <c r="K173" i="17" s="1"/>
  <c r="M173" i="17" s="1"/>
  <c r="N185" i="17" s="1"/>
  <c r="J180" i="15"/>
  <c r="K180" i="15" s="1"/>
  <c r="M180" i="15" s="1"/>
  <c r="N192" i="15" s="1"/>
  <c r="P180" i="15"/>
  <c r="Q180" i="15" s="1"/>
  <c r="O193" i="14"/>
  <c r="D194" i="14" s="1"/>
  <c r="P193" i="14"/>
  <c r="Q193" i="14" s="1"/>
  <c r="P200" i="12"/>
  <c r="Q200" i="12" s="1"/>
  <c r="O200" i="12"/>
  <c r="D201" i="12" s="1"/>
  <c r="N137" i="1"/>
  <c r="O173" i="17" l="1"/>
  <c r="D174" i="17" s="1"/>
  <c r="O180" i="15"/>
  <c r="D181" i="15" s="1"/>
  <c r="E174" i="17"/>
  <c r="G174" i="17"/>
  <c r="H174" i="17" s="1"/>
  <c r="E194" i="14"/>
  <c r="G194" i="14"/>
  <c r="H194" i="14" s="1"/>
  <c r="I194" i="14" s="1"/>
  <c r="J194" i="14" s="1"/>
  <c r="K194" i="14" s="1"/>
  <c r="M194" i="14" s="1"/>
  <c r="N206" i="14" s="1"/>
  <c r="E201" i="12"/>
  <c r="G201" i="12"/>
  <c r="J128" i="1"/>
  <c r="K128" i="1" s="1"/>
  <c r="P128" i="1"/>
  <c r="Q128" i="1" s="1"/>
  <c r="E181" i="15" l="1"/>
  <c r="G181" i="15"/>
  <c r="H181" i="15" s="1"/>
  <c r="I174" i="17"/>
  <c r="P194" i="14"/>
  <c r="Q194" i="14" s="1"/>
  <c r="O194" i="14"/>
  <c r="D195" i="14" s="1"/>
  <c r="H201" i="12"/>
  <c r="I201" i="12" s="1"/>
  <c r="P201" i="12" s="1"/>
  <c r="Q201" i="12" s="1"/>
  <c r="M113" i="9"/>
  <c r="N113" i="9" s="1"/>
  <c r="N113" i="10"/>
  <c r="N113" i="13"/>
  <c r="O128" i="1"/>
  <c r="D129" i="1" s="1"/>
  <c r="G129" i="1" s="1"/>
  <c r="I181" i="15" l="1"/>
  <c r="J181" i="15" s="1"/>
  <c r="K181" i="15" s="1"/>
  <c r="M181" i="15" s="1"/>
  <c r="N193" i="15" s="1"/>
  <c r="J201" i="12"/>
  <c r="K201" i="12" s="1"/>
  <c r="M201" i="12" s="1"/>
  <c r="N213" i="12" s="1"/>
  <c r="P174" i="17"/>
  <c r="Q174" i="17" s="1"/>
  <c r="J174" i="17"/>
  <c r="K174" i="17" s="1"/>
  <c r="M174" i="17" s="1"/>
  <c r="N186" i="17" s="1"/>
  <c r="E195" i="14"/>
  <c r="G195" i="14"/>
  <c r="E129" i="1"/>
  <c r="M128" i="1"/>
  <c r="H129" i="1" l="1"/>
  <c r="I129" i="1" s="1"/>
  <c r="O201" i="12"/>
  <c r="D202" i="12" s="1"/>
  <c r="E202" i="12" s="1"/>
  <c r="O181" i="15"/>
  <c r="D182" i="15" s="1"/>
  <c r="E182" i="15" s="1"/>
  <c r="P181" i="15"/>
  <c r="Q181" i="15" s="1"/>
  <c r="G182" i="15"/>
  <c r="O174" i="17"/>
  <c r="D175" i="17" s="1"/>
  <c r="H195" i="14"/>
  <c r="I195" i="14" s="1"/>
  <c r="J195" i="14" s="1"/>
  <c r="K195" i="14" s="1"/>
  <c r="M195" i="14" s="1"/>
  <c r="N207" i="14" s="1"/>
  <c r="N138" i="1"/>
  <c r="G202" i="12" l="1"/>
  <c r="H202" i="12" s="1"/>
  <c r="I202" i="12" s="1"/>
  <c r="P202" i="12" s="1"/>
  <c r="Q202" i="12" s="1"/>
  <c r="H182" i="15"/>
  <c r="I182" i="15" s="1"/>
  <c r="P182" i="15" s="1"/>
  <c r="Q182" i="15" s="1"/>
  <c r="G175" i="17"/>
  <c r="E175" i="17"/>
  <c r="J182" i="15"/>
  <c r="K182" i="15" s="1"/>
  <c r="M182" i="15" s="1"/>
  <c r="N194" i="15" s="1"/>
  <c r="P195" i="14"/>
  <c r="Q195" i="14" s="1"/>
  <c r="O195" i="14"/>
  <c r="D196" i="14" s="1"/>
  <c r="J202" i="12"/>
  <c r="K202" i="12" s="1"/>
  <c r="M202" i="12" s="1"/>
  <c r="N214" i="12" s="1"/>
  <c r="J129" i="1"/>
  <c r="K129" i="1" s="1"/>
  <c r="P129" i="1"/>
  <c r="Q129" i="1" s="1"/>
  <c r="H175" i="17" l="1"/>
  <c r="O182" i="15"/>
  <c r="D183" i="15" s="1"/>
  <c r="E196" i="14"/>
  <c r="G196" i="14"/>
  <c r="O202" i="12"/>
  <c r="D203" i="12" s="1"/>
  <c r="E203" i="12" s="1"/>
  <c r="M114" i="9"/>
  <c r="N114" i="9" s="1"/>
  <c r="N114" i="13"/>
  <c r="N114" i="10"/>
  <c r="O129" i="1"/>
  <c r="D130" i="1" s="1"/>
  <c r="G130" i="1" s="1"/>
  <c r="I175" i="17" l="1"/>
  <c r="P175" i="17" s="1"/>
  <c r="Q175" i="17" s="1"/>
  <c r="J175" i="17"/>
  <c r="E183" i="15"/>
  <c r="G183" i="15"/>
  <c r="H183" i="15" s="1"/>
  <c r="I183" i="15" s="1"/>
  <c r="P183" i="15" s="1"/>
  <c r="Q183" i="15" s="1"/>
  <c r="G203" i="12"/>
  <c r="H203" i="12" s="1"/>
  <c r="I203" i="12" s="1"/>
  <c r="P203" i="12" s="1"/>
  <c r="Q203" i="12" s="1"/>
  <c r="H196" i="14"/>
  <c r="E130" i="1"/>
  <c r="M129" i="1"/>
  <c r="H130" i="1" l="1"/>
  <c r="I130" i="1" s="1"/>
  <c r="J183" i="15"/>
  <c r="K183" i="15" s="1"/>
  <c r="M183" i="15" s="1"/>
  <c r="N195" i="15" s="1"/>
  <c r="O175" i="17"/>
  <c r="D176" i="17" s="1"/>
  <c r="K175" i="17"/>
  <c r="M175" i="17" s="1"/>
  <c r="N187" i="17" s="1"/>
  <c r="I196" i="14"/>
  <c r="J196" i="14" s="1"/>
  <c r="K196" i="14" s="1"/>
  <c r="M196" i="14" s="1"/>
  <c r="N208" i="14" s="1"/>
  <c r="J203" i="12"/>
  <c r="K203" i="12" s="1"/>
  <c r="M203" i="12" s="1"/>
  <c r="N215" i="12" s="1"/>
  <c r="N139" i="1"/>
  <c r="O183" i="15" l="1"/>
  <c r="D184" i="15" s="1"/>
  <c r="E184" i="15" s="1"/>
  <c r="E176" i="17"/>
  <c r="G176" i="17"/>
  <c r="H176" i="17" s="1"/>
  <c r="O203" i="12"/>
  <c r="D204" i="12" s="1"/>
  <c r="E204" i="12" s="1"/>
  <c r="P196" i="14"/>
  <c r="Q196" i="14" s="1"/>
  <c r="O196" i="14"/>
  <c r="D197" i="14" s="1"/>
  <c r="P130" i="1"/>
  <c r="Q130" i="1" s="1"/>
  <c r="J130" i="1"/>
  <c r="K130" i="1" s="1"/>
  <c r="G184" i="15" l="1"/>
  <c r="H184" i="15" s="1"/>
  <c r="I184" i="15" s="1"/>
  <c r="I176" i="17"/>
  <c r="P176" i="17" s="1"/>
  <c r="Q176" i="17" s="1"/>
  <c r="G204" i="12"/>
  <c r="H204" i="12" s="1"/>
  <c r="I204" i="12" s="1"/>
  <c r="E197" i="14"/>
  <c r="G197" i="14"/>
  <c r="N115" i="10"/>
  <c r="N115" i="13"/>
  <c r="O130" i="1"/>
  <c r="D131" i="1" s="1"/>
  <c r="G131" i="1" s="1"/>
  <c r="M115" i="9" l="1"/>
  <c r="N115" i="9" s="1"/>
  <c r="J184" i="15"/>
  <c r="K184" i="15" s="1"/>
  <c r="M184" i="15" s="1"/>
  <c r="N196" i="15" s="1"/>
  <c r="P184" i="15"/>
  <c r="Q184" i="15" s="1"/>
  <c r="J176" i="17"/>
  <c r="H197" i="14"/>
  <c r="I197" i="14" s="1"/>
  <c r="J197" i="14" s="1"/>
  <c r="K197" i="14" s="1"/>
  <c r="M197" i="14" s="1"/>
  <c r="N209" i="14" s="1"/>
  <c r="J204" i="12"/>
  <c r="K204" i="12" s="1"/>
  <c r="M204" i="12" s="1"/>
  <c r="N216" i="12" s="1"/>
  <c r="P204" i="12"/>
  <c r="Q204" i="12" s="1"/>
  <c r="E131" i="1"/>
  <c r="M130" i="1"/>
  <c r="H131" i="1" l="1"/>
  <c r="I131" i="1" s="1"/>
  <c r="O184" i="15"/>
  <c r="D185" i="15" s="1"/>
  <c r="E185" i="15" s="1"/>
  <c r="G185" i="15"/>
  <c r="H185" i="15" s="1"/>
  <c r="I185" i="15" s="1"/>
  <c r="J185" i="15" s="1"/>
  <c r="K185" i="15" s="1"/>
  <c r="M185" i="15" s="1"/>
  <c r="N197" i="15" s="1"/>
  <c r="K176" i="17"/>
  <c r="M176" i="17" s="1"/>
  <c r="N188" i="17" s="1"/>
  <c r="O176" i="17"/>
  <c r="D177" i="17" s="1"/>
  <c r="P197" i="14"/>
  <c r="Q197" i="14" s="1"/>
  <c r="O204" i="12"/>
  <c r="D205" i="12" s="1"/>
  <c r="O197" i="14"/>
  <c r="D198" i="14" s="1"/>
  <c r="N140" i="1"/>
  <c r="P185" i="15" l="1"/>
  <c r="Q185" i="15" s="1"/>
  <c r="O185" i="15"/>
  <c r="D186" i="15" s="1"/>
  <c r="E186" i="15" s="1"/>
  <c r="E177" i="17"/>
  <c r="G177" i="17"/>
  <c r="H177" i="17" s="1"/>
  <c r="E205" i="12"/>
  <c r="G205" i="12"/>
  <c r="E198" i="14"/>
  <c r="G198" i="14"/>
  <c r="J131" i="1"/>
  <c r="K131" i="1" s="1"/>
  <c r="P131" i="1"/>
  <c r="Q131" i="1" s="1"/>
  <c r="G186" i="15" l="1"/>
  <c r="H186" i="15" s="1"/>
  <c r="I177" i="17"/>
  <c r="P177" i="17" s="1"/>
  <c r="Q177" i="17" s="1"/>
  <c r="H198" i="14"/>
  <c r="I198" i="14" s="1"/>
  <c r="J198" i="14" s="1"/>
  <c r="H205" i="12"/>
  <c r="I205" i="12" s="1"/>
  <c r="P205" i="12" s="1"/>
  <c r="Q205" i="12" s="1"/>
  <c r="N116" i="13"/>
  <c r="N116" i="10"/>
  <c r="O131" i="1"/>
  <c r="D132" i="1" s="1"/>
  <c r="G132" i="1" s="1"/>
  <c r="M116" i="9" l="1"/>
  <c r="N116" i="9" s="1"/>
  <c r="J205" i="12"/>
  <c r="O205" i="12" s="1"/>
  <c r="D206" i="12" s="1"/>
  <c r="E206" i="12" s="1"/>
  <c r="J177" i="17"/>
  <c r="K177" i="17" s="1"/>
  <c r="M177" i="17" s="1"/>
  <c r="N189" i="17" s="1"/>
  <c r="I186" i="15"/>
  <c r="P186" i="15" s="1"/>
  <c r="Q186" i="15" s="1"/>
  <c r="P198" i="14"/>
  <c r="Q198" i="14" s="1"/>
  <c r="K198" i="14"/>
  <c r="M198" i="14" s="1"/>
  <c r="N210" i="14" s="1"/>
  <c r="O198" i="14"/>
  <c r="D199" i="14" s="1"/>
  <c r="E132" i="1"/>
  <c r="M131" i="1"/>
  <c r="G206" i="12" l="1"/>
  <c r="H206" i="12" s="1"/>
  <c r="I206" i="12" s="1"/>
  <c r="J206" i="12" s="1"/>
  <c r="O206" i="12" s="1"/>
  <c r="D207" i="12" s="1"/>
  <c r="G207" i="12" s="1"/>
  <c r="K205" i="12"/>
  <c r="M205" i="12" s="1"/>
  <c r="N217" i="12" s="1"/>
  <c r="H132" i="1"/>
  <c r="J186" i="15"/>
  <c r="K186" i="15" s="1"/>
  <c r="M186" i="15" s="1"/>
  <c r="N198" i="15" s="1"/>
  <c r="O177" i="17"/>
  <c r="D178" i="17" s="1"/>
  <c r="E178" i="17" s="1"/>
  <c r="E199" i="14"/>
  <c r="G199" i="14"/>
  <c r="P206" i="12"/>
  <c r="Q206" i="12" s="1"/>
  <c r="I132" i="1"/>
  <c r="N141" i="1"/>
  <c r="K206" i="12" l="1"/>
  <c r="M206" i="12" s="1"/>
  <c r="N218" i="12" s="1"/>
  <c r="E207" i="12"/>
  <c r="H207" i="12" s="1"/>
  <c r="O186" i="15"/>
  <c r="D187" i="15" s="1"/>
  <c r="G178" i="17"/>
  <c r="H178" i="17"/>
  <c r="I178" i="17" s="1"/>
  <c r="J178" i="17" s="1"/>
  <c r="K178" i="17" s="1"/>
  <c r="M178" i="17" s="1"/>
  <c r="N190" i="17" s="1"/>
  <c r="G187" i="15"/>
  <c r="E187" i="15"/>
  <c r="H199" i="14"/>
  <c r="I199" i="14" s="1"/>
  <c r="J199" i="14" s="1"/>
  <c r="K199" i="14" s="1"/>
  <c r="M199" i="14" s="1"/>
  <c r="N211" i="14" s="1"/>
  <c r="I207" i="12"/>
  <c r="P207" i="12" s="1"/>
  <c r="Q207" i="12" s="1"/>
  <c r="J132" i="1"/>
  <c r="K132" i="1" s="1"/>
  <c r="P132" i="1"/>
  <c r="Q132" i="1" s="1"/>
  <c r="P178" i="17" l="1"/>
  <c r="Q178" i="17" s="1"/>
  <c r="O178" i="17"/>
  <c r="D179" i="17" s="1"/>
  <c r="H187" i="15"/>
  <c r="I187" i="15" s="1"/>
  <c r="J187" i="15" s="1"/>
  <c r="K187" i="15" s="1"/>
  <c r="M187" i="15" s="1"/>
  <c r="N199" i="15" s="1"/>
  <c r="P199" i="14"/>
  <c r="Q199" i="14" s="1"/>
  <c r="O199" i="14"/>
  <c r="D200" i="14" s="1"/>
  <c r="E200" i="14" s="1"/>
  <c r="M117" i="9"/>
  <c r="N117" i="9" s="1"/>
  <c r="N117" i="13"/>
  <c r="N117" i="10"/>
  <c r="J207" i="12"/>
  <c r="K207" i="12" s="1"/>
  <c r="M207" i="12" s="1"/>
  <c r="N219" i="12" s="1"/>
  <c r="O132" i="1"/>
  <c r="D133" i="1" s="1"/>
  <c r="G133" i="1" s="1"/>
  <c r="E179" i="17" l="1"/>
  <c r="G179" i="17"/>
  <c r="H179" i="17" s="1"/>
  <c r="I179" i="17" s="1"/>
  <c r="P179" i="17" s="1"/>
  <c r="Q179" i="17" s="1"/>
  <c r="P187" i="15"/>
  <c r="Q187" i="15" s="1"/>
  <c r="O187" i="15"/>
  <c r="D188" i="15" s="1"/>
  <c r="G200" i="14"/>
  <c r="H200" i="14" s="1"/>
  <c r="I200" i="14" s="1"/>
  <c r="P200" i="14" s="1"/>
  <c r="Q200" i="14" s="1"/>
  <c r="O207" i="12"/>
  <c r="D208" i="12" s="1"/>
  <c r="E133" i="1"/>
  <c r="M132" i="1"/>
  <c r="H133" i="1" l="1"/>
  <c r="I133" i="1" s="1"/>
  <c r="J179" i="17"/>
  <c r="K179" i="17" s="1"/>
  <c r="M179" i="17" s="1"/>
  <c r="N191" i="17" s="1"/>
  <c r="E188" i="15"/>
  <c r="G188" i="15"/>
  <c r="H188" i="15" s="1"/>
  <c r="I188" i="15" s="1"/>
  <c r="J188" i="15" s="1"/>
  <c r="K188" i="15" s="1"/>
  <c r="M188" i="15" s="1"/>
  <c r="N200" i="15" s="1"/>
  <c r="J200" i="14"/>
  <c r="K200" i="14" s="1"/>
  <c r="M200" i="14" s="1"/>
  <c r="N212" i="14" s="1"/>
  <c r="G208" i="12"/>
  <c r="E208" i="12"/>
  <c r="N142" i="1"/>
  <c r="O179" i="17" l="1"/>
  <c r="D180" i="17" s="1"/>
  <c r="E180" i="17" s="1"/>
  <c r="O188" i="15"/>
  <c r="D189" i="15" s="1"/>
  <c r="P188" i="15"/>
  <c r="Q188" i="15" s="1"/>
  <c r="O200" i="14"/>
  <c r="D201" i="14" s="1"/>
  <c r="E201" i="14" s="1"/>
  <c r="H208" i="12"/>
  <c r="I208" i="12" s="1"/>
  <c r="P208" i="12" s="1"/>
  <c r="Q208" i="12" s="1"/>
  <c r="P133" i="1"/>
  <c r="Q133" i="1" s="1"/>
  <c r="J133" i="1"/>
  <c r="K133" i="1" s="1"/>
  <c r="G180" i="17" l="1"/>
  <c r="H180" i="17" s="1"/>
  <c r="E189" i="15"/>
  <c r="G189" i="15"/>
  <c r="J208" i="12"/>
  <c r="K208" i="12" s="1"/>
  <c r="M208" i="12" s="1"/>
  <c r="N220" i="12" s="1"/>
  <c r="G201" i="14"/>
  <c r="H201" i="14" s="1"/>
  <c r="N118" i="10"/>
  <c r="N118" i="13"/>
  <c r="O133" i="1"/>
  <c r="D134" i="1" s="1"/>
  <c r="G134" i="1" s="1"/>
  <c r="M118" i="9" l="1"/>
  <c r="N118" i="9" s="1"/>
  <c r="H189" i="15"/>
  <c r="I189" i="15" s="1"/>
  <c r="P189" i="15" s="1"/>
  <c r="Q189" i="15" s="1"/>
  <c r="I180" i="17"/>
  <c r="P180" i="17" s="1"/>
  <c r="Q180" i="17" s="1"/>
  <c r="O208" i="12"/>
  <c r="D209" i="12" s="1"/>
  <c r="E209" i="12" s="1"/>
  <c r="I201" i="14"/>
  <c r="P201" i="14" s="1"/>
  <c r="Q201" i="14" s="1"/>
  <c r="E134" i="1"/>
  <c r="M133" i="1"/>
  <c r="H134" i="1" l="1"/>
  <c r="J180" i="17"/>
  <c r="K180" i="17" s="1"/>
  <c r="M180" i="17" s="1"/>
  <c r="N192" i="17" s="1"/>
  <c r="J201" i="14"/>
  <c r="K201" i="14" s="1"/>
  <c r="M201" i="14" s="1"/>
  <c r="N213" i="14" s="1"/>
  <c r="G209" i="12"/>
  <c r="H209" i="12" s="1"/>
  <c r="I209" i="12" s="1"/>
  <c r="P209" i="12" s="1"/>
  <c r="Q209" i="12" s="1"/>
  <c r="J189" i="15"/>
  <c r="K189" i="15" s="1"/>
  <c r="M189" i="15" s="1"/>
  <c r="N201" i="15" s="1"/>
  <c r="I134" i="1"/>
  <c r="N143" i="1"/>
  <c r="O201" i="14" l="1"/>
  <c r="D202" i="14" s="1"/>
  <c r="O180" i="17"/>
  <c r="D181" i="17" s="1"/>
  <c r="E181" i="17" s="1"/>
  <c r="O189" i="15"/>
  <c r="D190" i="15" s="1"/>
  <c r="E190" i="15" s="1"/>
  <c r="G202" i="14"/>
  <c r="E202" i="14"/>
  <c r="J209" i="12"/>
  <c r="P134" i="1"/>
  <c r="Q134" i="1" s="1"/>
  <c r="J134" i="1"/>
  <c r="K134" i="1" s="1"/>
  <c r="G190" i="15" l="1"/>
  <c r="G181" i="17"/>
  <c r="H181" i="17" s="1"/>
  <c r="I181" i="17" s="1"/>
  <c r="J181" i="17" s="1"/>
  <c r="K181" i="17" s="1"/>
  <c r="M181" i="17" s="1"/>
  <c r="N193" i="17" s="1"/>
  <c r="H190" i="15"/>
  <c r="H202" i="14"/>
  <c r="I202" i="14" s="1"/>
  <c r="J202" i="14" s="1"/>
  <c r="K202" i="14" s="1"/>
  <c r="M202" i="14" s="1"/>
  <c r="N214" i="14" s="1"/>
  <c r="M119" i="9"/>
  <c r="N119" i="9" s="1"/>
  <c r="N119" i="13"/>
  <c r="N119" i="10"/>
  <c r="K209" i="12"/>
  <c r="M209" i="12" s="1"/>
  <c r="N221" i="12" s="1"/>
  <c r="O209" i="12"/>
  <c r="D210" i="12" s="1"/>
  <c r="O134" i="1"/>
  <c r="D135" i="1" s="1"/>
  <c r="G135" i="1" s="1"/>
  <c r="P181" i="17" l="1"/>
  <c r="Q181" i="17" s="1"/>
  <c r="O181" i="17"/>
  <c r="D182" i="17" s="1"/>
  <c r="I190" i="15"/>
  <c r="P190" i="15" s="1"/>
  <c r="Q190" i="15" s="1"/>
  <c r="P202" i="14"/>
  <c r="Q202" i="14" s="1"/>
  <c r="O202" i="14"/>
  <c r="D203" i="14" s="1"/>
  <c r="E210" i="12"/>
  <c r="G210" i="12"/>
  <c r="E135" i="1"/>
  <c r="M134" i="1"/>
  <c r="J190" i="15" l="1"/>
  <c r="K190" i="15" s="1"/>
  <c r="M190" i="15" s="1"/>
  <c r="N202" i="15" s="1"/>
  <c r="H135" i="1"/>
  <c r="I135" i="1" s="1"/>
  <c r="G182" i="17"/>
  <c r="E182" i="17"/>
  <c r="H210" i="12"/>
  <c r="I210" i="12" s="1"/>
  <c r="G203" i="14"/>
  <c r="E203" i="14"/>
  <c r="N144" i="1"/>
  <c r="O190" i="15" l="1"/>
  <c r="D191" i="15" s="1"/>
  <c r="H182" i="17"/>
  <c r="J210" i="12"/>
  <c r="K210" i="12" s="1"/>
  <c r="M210" i="12" s="1"/>
  <c r="N222" i="12" s="1"/>
  <c r="P210" i="12"/>
  <c r="Q210" i="12" s="1"/>
  <c r="G191" i="15"/>
  <c r="E191" i="15"/>
  <c r="H203" i="14"/>
  <c r="J135" i="1"/>
  <c r="K135" i="1" s="1"/>
  <c r="P135" i="1"/>
  <c r="Q135" i="1" s="1"/>
  <c r="M120" i="9" l="1"/>
  <c r="N120" i="9" s="1"/>
  <c r="I182" i="17"/>
  <c r="P182" i="17" s="1"/>
  <c r="Q182" i="17" s="1"/>
  <c r="H191" i="15"/>
  <c r="O210" i="12"/>
  <c r="D211" i="12" s="1"/>
  <c r="E211" i="12" s="1"/>
  <c r="I203" i="14"/>
  <c r="J203" i="14" s="1"/>
  <c r="K203" i="14" s="1"/>
  <c r="M203" i="14" s="1"/>
  <c r="N215" i="14" s="1"/>
  <c r="N120" i="10"/>
  <c r="N120" i="13"/>
  <c r="O135" i="1"/>
  <c r="D136" i="1" s="1"/>
  <c r="G136" i="1" s="1"/>
  <c r="J182" i="17" l="1"/>
  <c r="K182" i="17" s="1"/>
  <c r="M182" i="17" s="1"/>
  <c r="N194" i="17" s="1"/>
  <c r="I191" i="15"/>
  <c r="J191" i="15" s="1"/>
  <c r="K191" i="15" s="1"/>
  <c r="M191" i="15" s="1"/>
  <c r="N203" i="15" s="1"/>
  <c r="G211" i="12"/>
  <c r="H211" i="12" s="1"/>
  <c r="P203" i="14"/>
  <c r="Q203" i="14" s="1"/>
  <c r="O203" i="14"/>
  <c r="D204" i="14" s="1"/>
  <c r="E136" i="1"/>
  <c r="M135" i="1"/>
  <c r="H136" i="1" l="1"/>
  <c r="I136" i="1" s="1"/>
  <c r="O182" i="17"/>
  <c r="D183" i="17" s="1"/>
  <c r="E183" i="17" s="1"/>
  <c r="O191" i="15"/>
  <c r="D192" i="15" s="1"/>
  <c r="P191" i="15"/>
  <c r="Q191" i="15" s="1"/>
  <c r="G204" i="14"/>
  <c r="E204" i="14"/>
  <c r="I211" i="12"/>
  <c r="P211" i="12" s="1"/>
  <c r="Q211" i="12" s="1"/>
  <c r="N145" i="1"/>
  <c r="G183" i="17" l="1"/>
  <c r="H183" i="17" s="1"/>
  <c r="I183" i="17" s="1"/>
  <c r="P183" i="17" s="1"/>
  <c r="Q183" i="17" s="1"/>
  <c r="E192" i="15"/>
  <c r="G192" i="15"/>
  <c r="H192" i="15" s="1"/>
  <c r="I192" i="15" s="1"/>
  <c r="J211" i="12"/>
  <c r="K211" i="12" s="1"/>
  <c r="M211" i="12" s="1"/>
  <c r="N223" i="12" s="1"/>
  <c r="H204" i="14"/>
  <c r="P136" i="1"/>
  <c r="Q136" i="1" s="1"/>
  <c r="J136" i="1"/>
  <c r="K136" i="1" s="1"/>
  <c r="O211" i="12" l="1"/>
  <c r="D212" i="12" s="1"/>
  <c r="E212" i="12" s="1"/>
  <c r="J183" i="17"/>
  <c r="K183" i="17" s="1"/>
  <c r="M183" i="17" s="1"/>
  <c r="N195" i="17" s="1"/>
  <c r="J192" i="15"/>
  <c r="K192" i="15" s="1"/>
  <c r="M192" i="15" s="1"/>
  <c r="N204" i="15" s="1"/>
  <c r="P192" i="15"/>
  <c r="Q192" i="15" s="1"/>
  <c r="I204" i="14"/>
  <c r="J204" i="14" s="1"/>
  <c r="K204" i="14" s="1"/>
  <c r="M204" i="14" s="1"/>
  <c r="N216" i="14" s="1"/>
  <c r="N121" i="13"/>
  <c r="N121" i="10"/>
  <c r="G212" i="12"/>
  <c r="O136" i="1"/>
  <c r="D137" i="1" s="1"/>
  <c r="G137" i="1" s="1"/>
  <c r="M121" i="9" l="1"/>
  <c r="N121" i="9" s="1"/>
  <c r="O183" i="17"/>
  <c r="D184" i="17" s="1"/>
  <c r="H184" i="17" s="1"/>
  <c r="O192" i="15"/>
  <c r="D193" i="15" s="1"/>
  <c r="O204" i="14"/>
  <c r="D205" i="14" s="1"/>
  <c r="P204" i="14"/>
  <c r="Q204" i="14" s="1"/>
  <c r="H212" i="12"/>
  <c r="I212" i="12" s="1"/>
  <c r="P212" i="12" s="1"/>
  <c r="Q212" i="12" s="1"/>
  <c r="E137" i="1"/>
  <c r="M136" i="1"/>
  <c r="H137" i="1" l="1"/>
  <c r="I137" i="1" s="1"/>
  <c r="G184" i="17"/>
  <c r="E184" i="17"/>
  <c r="I184" i="17"/>
  <c r="J184" i="17"/>
  <c r="K184" i="17" s="1"/>
  <c r="M184" i="17" s="1"/>
  <c r="N196" i="17" s="1"/>
  <c r="E193" i="15"/>
  <c r="G193" i="15"/>
  <c r="H193" i="15" s="1"/>
  <c r="G205" i="14"/>
  <c r="E205" i="14"/>
  <c r="J212" i="12"/>
  <c r="K212" i="12" s="1"/>
  <c r="M212" i="12" s="1"/>
  <c r="N224" i="12" s="1"/>
  <c r="N146" i="1"/>
  <c r="P184" i="17" l="1"/>
  <c r="Q184" i="17" s="1"/>
  <c r="O184" i="17"/>
  <c r="D185" i="17" s="1"/>
  <c r="I193" i="15"/>
  <c r="J193" i="15" s="1"/>
  <c r="K193" i="15" s="1"/>
  <c r="M193" i="15" s="1"/>
  <c r="N205" i="15" s="1"/>
  <c r="H205" i="14"/>
  <c r="O212" i="12"/>
  <c r="D213" i="12" s="1"/>
  <c r="E213" i="12" s="1"/>
  <c r="P137" i="1"/>
  <c r="Q137" i="1" s="1"/>
  <c r="J137" i="1"/>
  <c r="K137" i="1" s="1"/>
  <c r="E185" i="17" l="1"/>
  <c r="G185" i="17"/>
  <c r="H185" i="17" s="1"/>
  <c r="I185" i="17" s="1"/>
  <c r="J185" i="17" s="1"/>
  <c r="K185" i="17" s="1"/>
  <c r="M185" i="17" s="1"/>
  <c r="N197" i="17" s="1"/>
  <c r="O193" i="15"/>
  <c r="D194" i="15" s="1"/>
  <c r="P193" i="15"/>
  <c r="Q193" i="15" s="1"/>
  <c r="G213" i="12"/>
  <c r="H213" i="12" s="1"/>
  <c r="I213" i="12" s="1"/>
  <c r="J213" i="12" s="1"/>
  <c r="O213" i="12" s="1"/>
  <c r="D214" i="12" s="1"/>
  <c r="I205" i="14"/>
  <c r="P205" i="14" s="1"/>
  <c r="Q205" i="14" s="1"/>
  <c r="N122" i="13"/>
  <c r="N122" i="10"/>
  <c r="O137" i="1"/>
  <c r="D138" i="1" s="1"/>
  <c r="G138" i="1" s="1"/>
  <c r="M122" i="9" l="1"/>
  <c r="N122" i="9" s="1"/>
  <c r="O185" i="17"/>
  <c r="D186" i="17" s="1"/>
  <c r="G186" i="17" s="1"/>
  <c r="P185" i="17"/>
  <c r="Q185" i="17" s="1"/>
  <c r="E194" i="15"/>
  <c r="G194" i="15"/>
  <c r="J205" i="14"/>
  <c r="K205" i="14" s="1"/>
  <c r="M205" i="14" s="1"/>
  <c r="N217" i="14" s="1"/>
  <c r="P213" i="12"/>
  <c r="Q213" i="12" s="1"/>
  <c r="K213" i="12"/>
  <c r="M213" i="12" s="1"/>
  <c r="N225" i="12" s="1"/>
  <c r="E214" i="12"/>
  <c r="G214" i="12"/>
  <c r="E138" i="1"/>
  <c r="M137" i="1"/>
  <c r="E186" i="17" l="1"/>
  <c r="H138" i="1"/>
  <c r="I138" i="1" s="1"/>
  <c r="H194" i="15"/>
  <c r="I194" i="15" s="1"/>
  <c r="J194" i="15" s="1"/>
  <c r="K194" i="15" s="1"/>
  <c r="M194" i="15" s="1"/>
  <c r="N206" i="15" s="1"/>
  <c r="H186" i="17"/>
  <c r="H214" i="12"/>
  <c r="I214" i="12" s="1"/>
  <c r="J214" i="12" s="1"/>
  <c r="K214" i="12" s="1"/>
  <c r="M214" i="12" s="1"/>
  <c r="N226" i="12" s="1"/>
  <c r="O205" i="14"/>
  <c r="D206" i="14" s="1"/>
  <c r="G206" i="14" s="1"/>
  <c r="N147" i="1"/>
  <c r="P194" i="15" l="1"/>
  <c r="Q194" i="15" s="1"/>
  <c r="I186" i="17"/>
  <c r="J186" i="17" s="1"/>
  <c r="K186" i="17" s="1"/>
  <c r="M186" i="17" s="1"/>
  <c r="N198" i="17" s="1"/>
  <c r="E206" i="14"/>
  <c r="H206" i="14" s="1"/>
  <c r="O194" i="15"/>
  <c r="D195" i="15" s="1"/>
  <c r="P214" i="12"/>
  <c r="Q214" i="12" s="1"/>
  <c r="O214" i="12"/>
  <c r="D215" i="12" s="1"/>
  <c r="J138" i="1"/>
  <c r="K138" i="1" s="1"/>
  <c r="P138" i="1"/>
  <c r="Q138" i="1" s="1"/>
  <c r="P186" i="17" l="1"/>
  <c r="Q186" i="17" s="1"/>
  <c r="O186" i="17"/>
  <c r="D187" i="17" s="1"/>
  <c r="G195" i="15"/>
  <c r="E195" i="15"/>
  <c r="I206" i="14"/>
  <c r="J206" i="14" s="1"/>
  <c r="K206" i="14" s="1"/>
  <c r="M206" i="14" s="1"/>
  <c r="N218" i="14" s="1"/>
  <c r="N123" i="10"/>
  <c r="N123" i="13"/>
  <c r="E215" i="12"/>
  <c r="G215" i="12"/>
  <c r="O138" i="1"/>
  <c r="D139" i="1" s="1"/>
  <c r="G139" i="1" s="1"/>
  <c r="M123" i="9" l="1"/>
  <c r="N123" i="9" s="1"/>
  <c r="E187" i="17"/>
  <c r="G187" i="17"/>
  <c r="H195" i="15"/>
  <c r="O206" i="14"/>
  <c r="D207" i="14" s="1"/>
  <c r="P206" i="14"/>
  <c r="Q206" i="14" s="1"/>
  <c r="H215" i="12"/>
  <c r="I215" i="12" s="1"/>
  <c r="J215" i="12" s="1"/>
  <c r="K215" i="12" s="1"/>
  <c r="M215" i="12" s="1"/>
  <c r="N227" i="12" s="1"/>
  <c r="E139" i="1"/>
  <c r="M138" i="1"/>
  <c r="H139" i="1" l="1"/>
  <c r="I139" i="1" s="1"/>
  <c r="H187" i="17"/>
  <c r="I187" i="17" s="1"/>
  <c r="I195" i="15"/>
  <c r="J195" i="15" s="1"/>
  <c r="K195" i="15" s="1"/>
  <c r="M195" i="15" s="1"/>
  <c r="N207" i="15" s="1"/>
  <c r="G207" i="14"/>
  <c r="E207" i="14"/>
  <c r="P215" i="12"/>
  <c r="Q215" i="12" s="1"/>
  <c r="O215" i="12"/>
  <c r="D216" i="12" s="1"/>
  <c r="N148" i="1"/>
  <c r="O195" i="15" l="1"/>
  <c r="D196" i="15" s="1"/>
  <c r="E196" i="15" s="1"/>
  <c r="J187" i="17"/>
  <c r="K187" i="17" s="1"/>
  <c r="M187" i="17" s="1"/>
  <c r="N199" i="17" s="1"/>
  <c r="P187" i="17"/>
  <c r="Q187" i="17" s="1"/>
  <c r="H207" i="14"/>
  <c r="I207" i="14" s="1"/>
  <c r="J207" i="14" s="1"/>
  <c r="K207" i="14" s="1"/>
  <c r="M207" i="14" s="1"/>
  <c r="N219" i="14" s="1"/>
  <c r="P195" i="15"/>
  <c r="Q195" i="15" s="1"/>
  <c r="E216" i="12"/>
  <c r="G216" i="12"/>
  <c r="J139" i="1"/>
  <c r="K139" i="1" s="1"/>
  <c r="P139" i="1"/>
  <c r="Q139" i="1" s="1"/>
  <c r="O187" i="17" l="1"/>
  <c r="D188" i="17" s="1"/>
  <c r="G188" i="17" s="1"/>
  <c r="G196" i="15"/>
  <c r="H196" i="15"/>
  <c r="P207" i="14"/>
  <c r="Q207" i="14" s="1"/>
  <c r="O207" i="14"/>
  <c r="D208" i="14" s="1"/>
  <c r="N124" i="13"/>
  <c r="N124" i="10"/>
  <c r="H216" i="12"/>
  <c r="I216" i="12" s="1"/>
  <c r="J216" i="12" s="1"/>
  <c r="K216" i="12" s="1"/>
  <c r="M216" i="12" s="1"/>
  <c r="N228" i="12" s="1"/>
  <c r="O139" i="1"/>
  <c r="D140" i="1" s="1"/>
  <c r="G140" i="1" s="1"/>
  <c r="E188" i="17" l="1"/>
  <c r="H188" i="17" s="1"/>
  <c r="I188" i="17" s="1"/>
  <c r="J188" i="17" s="1"/>
  <c r="K188" i="17" s="1"/>
  <c r="M188" i="17" s="1"/>
  <c r="N200" i="17" s="1"/>
  <c r="I196" i="15"/>
  <c r="J196" i="15" s="1"/>
  <c r="K196" i="15" s="1"/>
  <c r="M196" i="15" s="1"/>
  <c r="N208" i="15" s="1"/>
  <c r="E208" i="14"/>
  <c r="G208" i="14"/>
  <c r="O216" i="12"/>
  <c r="D217" i="12" s="1"/>
  <c r="G217" i="12" s="1"/>
  <c r="P216" i="12"/>
  <c r="Q216" i="12" s="1"/>
  <c r="E140" i="1"/>
  <c r="M139" i="1"/>
  <c r="H140" i="1" l="1"/>
  <c r="I140" i="1" s="1"/>
  <c r="O188" i="17"/>
  <c r="D189" i="17" s="1"/>
  <c r="P188" i="17"/>
  <c r="Q188" i="17" s="1"/>
  <c r="P196" i="15"/>
  <c r="Q196" i="15" s="1"/>
  <c r="O196" i="15"/>
  <c r="D197" i="15" s="1"/>
  <c r="E197" i="15" s="1"/>
  <c r="E217" i="12"/>
  <c r="H217" i="12" s="1"/>
  <c r="H208" i="14"/>
  <c r="I208" i="14" s="1"/>
  <c r="P208" i="14" s="1"/>
  <c r="Q208" i="14" s="1"/>
  <c r="N149" i="1"/>
  <c r="E189" i="17" l="1"/>
  <c r="G189" i="17"/>
  <c r="G197" i="15"/>
  <c r="H197" i="15" s="1"/>
  <c r="I197" i="15" s="1"/>
  <c r="P197" i="15" s="1"/>
  <c r="Q197" i="15" s="1"/>
  <c r="I217" i="12"/>
  <c r="P217" i="12" s="1"/>
  <c r="Q217" i="12" s="1"/>
  <c r="J217" i="12"/>
  <c r="O217" i="12" s="1"/>
  <c r="D218" i="12" s="1"/>
  <c r="J208" i="14"/>
  <c r="K208" i="14" s="1"/>
  <c r="M208" i="14" s="1"/>
  <c r="N220" i="14" s="1"/>
  <c r="J140" i="1"/>
  <c r="K140" i="1" s="1"/>
  <c r="P140" i="1"/>
  <c r="Q140" i="1" s="1"/>
  <c r="H189" i="17" l="1"/>
  <c r="K217" i="12"/>
  <c r="M217" i="12" s="1"/>
  <c r="N229" i="12" s="1"/>
  <c r="O208" i="14"/>
  <c r="D209" i="14" s="1"/>
  <c r="G209" i="14" s="1"/>
  <c r="J197" i="15"/>
  <c r="K197" i="15" s="1"/>
  <c r="M197" i="15" s="1"/>
  <c r="N209" i="15" s="1"/>
  <c r="N125" i="10"/>
  <c r="N125" i="13"/>
  <c r="E218" i="12"/>
  <c r="G218" i="12"/>
  <c r="O140" i="1"/>
  <c r="D141" i="1" s="1"/>
  <c r="G141" i="1" s="1"/>
  <c r="H218" i="12" l="1"/>
  <c r="I218" i="12" s="1"/>
  <c r="J218" i="12" s="1"/>
  <c r="K218" i="12" s="1"/>
  <c r="M218" i="12" s="1"/>
  <c r="N230" i="12" s="1"/>
  <c r="I189" i="17"/>
  <c r="P189" i="17" s="1"/>
  <c r="Q189" i="17" s="1"/>
  <c r="J189" i="17"/>
  <c r="K189" i="17" s="1"/>
  <c r="M189" i="17" s="1"/>
  <c r="N201" i="17" s="1"/>
  <c r="E209" i="14"/>
  <c r="H209" i="14"/>
  <c r="I209" i="14" s="1"/>
  <c r="P209" i="14" s="1"/>
  <c r="Q209" i="14" s="1"/>
  <c r="O197" i="15"/>
  <c r="D198" i="15" s="1"/>
  <c r="E198" i="15" s="1"/>
  <c r="E141" i="1"/>
  <c r="M140" i="1"/>
  <c r="H141" i="1" l="1"/>
  <c r="I141" i="1" s="1"/>
  <c r="J209" i="14"/>
  <c r="K209" i="14" s="1"/>
  <c r="M209" i="14" s="1"/>
  <c r="N221" i="14" s="1"/>
  <c r="P218" i="12"/>
  <c r="Q218" i="12" s="1"/>
  <c r="O189" i="17"/>
  <c r="D190" i="17" s="1"/>
  <c r="G198" i="15"/>
  <c r="H198" i="15"/>
  <c r="O218" i="12"/>
  <c r="D219" i="12" s="1"/>
  <c r="N150" i="1"/>
  <c r="O209" i="14" l="1"/>
  <c r="D210" i="14" s="1"/>
  <c r="G210" i="14" s="1"/>
  <c r="E190" i="17"/>
  <c r="G190" i="17"/>
  <c r="H190" i="17" s="1"/>
  <c r="I190" i="17" s="1"/>
  <c r="P190" i="17" s="1"/>
  <c r="Q190" i="17" s="1"/>
  <c r="I198" i="15"/>
  <c r="J198" i="15" s="1"/>
  <c r="K198" i="15" s="1"/>
  <c r="M198" i="15" s="1"/>
  <c r="N210" i="15" s="1"/>
  <c r="E210" i="14"/>
  <c r="E219" i="12"/>
  <c r="G219" i="12"/>
  <c r="H219" i="12" s="1"/>
  <c r="J141" i="1"/>
  <c r="K141" i="1" s="1"/>
  <c r="P141" i="1"/>
  <c r="Q141" i="1" s="1"/>
  <c r="H210" i="14" l="1"/>
  <c r="I210" i="14" s="1"/>
  <c r="P210" i="14" s="1"/>
  <c r="Q210" i="14" s="1"/>
  <c r="J190" i="17"/>
  <c r="K190" i="17" s="1"/>
  <c r="M190" i="17" s="1"/>
  <c r="N202" i="17" s="1"/>
  <c r="P198" i="15"/>
  <c r="Q198" i="15" s="1"/>
  <c r="O198" i="15"/>
  <c r="D199" i="15" s="1"/>
  <c r="J210" i="14"/>
  <c r="K210" i="14" s="1"/>
  <c r="M210" i="14" s="1"/>
  <c r="N222" i="14" s="1"/>
  <c r="N126" i="10"/>
  <c r="N126" i="13"/>
  <c r="I219" i="12"/>
  <c r="P219" i="12" s="1"/>
  <c r="Q219" i="12" s="1"/>
  <c r="O141" i="1"/>
  <c r="D142" i="1" s="1"/>
  <c r="G142" i="1" s="1"/>
  <c r="O190" i="17" l="1"/>
  <c r="D191" i="17" s="1"/>
  <c r="E199" i="15"/>
  <c r="G199" i="15"/>
  <c r="H199" i="15" s="1"/>
  <c r="I199" i="15" s="1"/>
  <c r="O210" i="14"/>
  <c r="D211" i="14" s="1"/>
  <c r="G211" i="14" s="1"/>
  <c r="J219" i="12"/>
  <c r="K219" i="12" s="1"/>
  <c r="M219" i="12" s="1"/>
  <c r="N231" i="12" s="1"/>
  <c r="E142" i="1"/>
  <c r="M141" i="1"/>
  <c r="H142" i="1" l="1"/>
  <c r="I142" i="1" s="1"/>
  <c r="E191" i="17"/>
  <c r="G191" i="17"/>
  <c r="H191" i="17" s="1"/>
  <c r="I191" i="17" s="1"/>
  <c r="J191" i="17" s="1"/>
  <c r="K191" i="17" s="1"/>
  <c r="M191" i="17" s="1"/>
  <c r="N203" i="17" s="1"/>
  <c r="P199" i="15"/>
  <c r="Q199" i="15" s="1"/>
  <c r="J199" i="15"/>
  <c r="K199" i="15" s="1"/>
  <c r="M199" i="15" s="1"/>
  <c r="N211" i="15" s="1"/>
  <c r="E211" i="14"/>
  <c r="H211" i="14" s="1"/>
  <c r="I211" i="14" s="1"/>
  <c r="P211" i="14" s="1"/>
  <c r="Q211" i="14" s="1"/>
  <c r="O219" i="12"/>
  <c r="D220" i="12" s="1"/>
  <c r="E220" i="12" s="1"/>
  <c r="N151" i="1"/>
  <c r="P191" i="17" l="1"/>
  <c r="Q191" i="17" s="1"/>
  <c r="O191" i="17"/>
  <c r="D192" i="17" s="1"/>
  <c r="G192" i="17" s="1"/>
  <c r="O199" i="15"/>
  <c r="D200" i="15" s="1"/>
  <c r="E200" i="15" s="1"/>
  <c r="G220" i="12"/>
  <c r="H220" i="12" s="1"/>
  <c r="J211" i="14"/>
  <c r="K211" i="14" s="1"/>
  <c r="M211" i="14" s="1"/>
  <c r="N223" i="14" s="1"/>
  <c r="J142" i="1"/>
  <c r="K142" i="1" s="1"/>
  <c r="P142" i="1"/>
  <c r="Q142" i="1" s="1"/>
  <c r="E192" i="17" l="1"/>
  <c r="G200" i="15"/>
  <c r="H200" i="15" s="1"/>
  <c r="I200" i="15" s="1"/>
  <c r="H192" i="17"/>
  <c r="I192" i="17" s="1"/>
  <c r="J192" i="17" s="1"/>
  <c r="K192" i="17" s="1"/>
  <c r="M192" i="17" s="1"/>
  <c r="N204" i="17" s="1"/>
  <c r="O211" i="14"/>
  <c r="D212" i="14" s="1"/>
  <c r="N127" i="13"/>
  <c r="N127" i="10"/>
  <c r="I220" i="12"/>
  <c r="P220" i="12" s="1"/>
  <c r="Q220" i="12" s="1"/>
  <c r="O142" i="1"/>
  <c r="D143" i="1" s="1"/>
  <c r="G143" i="1" s="1"/>
  <c r="J220" i="12" l="1"/>
  <c r="K220" i="12" s="1"/>
  <c r="M220" i="12" s="1"/>
  <c r="N232" i="12" s="1"/>
  <c r="J200" i="15"/>
  <c r="K200" i="15" s="1"/>
  <c r="M200" i="15" s="1"/>
  <c r="N212" i="15" s="1"/>
  <c r="P200" i="15"/>
  <c r="Q200" i="15" s="1"/>
  <c r="O192" i="17"/>
  <c r="D193" i="17" s="1"/>
  <c r="P192" i="17"/>
  <c r="Q192" i="17" s="1"/>
  <c r="G212" i="14"/>
  <c r="E212" i="14"/>
  <c r="E143" i="1"/>
  <c r="M142" i="1"/>
  <c r="O220" i="12" l="1"/>
  <c r="D221" i="12" s="1"/>
  <c r="H143" i="1"/>
  <c r="I143" i="1" s="1"/>
  <c r="O200" i="15"/>
  <c r="D201" i="15" s="1"/>
  <c r="G201" i="15" s="1"/>
  <c r="E193" i="17"/>
  <c r="G193" i="17"/>
  <c r="H193" i="17" s="1"/>
  <c r="H212" i="14"/>
  <c r="E221" i="12"/>
  <c r="G221" i="12"/>
  <c r="N152" i="1"/>
  <c r="E201" i="15" l="1"/>
  <c r="H201" i="15"/>
  <c r="I201" i="15" s="1"/>
  <c r="H221" i="12"/>
  <c r="I221" i="12" s="1"/>
  <c r="P221" i="12" s="1"/>
  <c r="Q221" i="12" s="1"/>
  <c r="I193" i="17"/>
  <c r="P193" i="17" s="1"/>
  <c r="Q193" i="17" s="1"/>
  <c r="J221" i="12"/>
  <c r="K221" i="12" s="1"/>
  <c r="M221" i="12" s="1"/>
  <c r="N233" i="12" s="1"/>
  <c r="I212" i="14"/>
  <c r="J212" i="14" s="1"/>
  <c r="K212" i="14" s="1"/>
  <c r="M212" i="14" s="1"/>
  <c r="N224" i="14" s="1"/>
  <c r="J143" i="1"/>
  <c r="K143" i="1" s="1"/>
  <c r="P143" i="1"/>
  <c r="Q143" i="1" s="1"/>
  <c r="P201" i="15" l="1"/>
  <c r="Q201" i="15" s="1"/>
  <c r="J201" i="15"/>
  <c r="K201" i="15" s="1"/>
  <c r="M201" i="15" s="1"/>
  <c r="N213" i="15" s="1"/>
  <c r="J193" i="17"/>
  <c r="K193" i="17" s="1"/>
  <c r="M193" i="17" s="1"/>
  <c r="N205" i="17" s="1"/>
  <c r="O221" i="12"/>
  <c r="D222" i="12" s="1"/>
  <c r="E222" i="12" s="1"/>
  <c r="O212" i="14"/>
  <c r="D213" i="14" s="1"/>
  <c r="P212" i="14"/>
  <c r="Q212" i="14" s="1"/>
  <c r="G222" i="12"/>
  <c r="O143" i="1"/>
  <c r="D144" i="1" s="1"/>
  <c r="G144" i="1" s="1"/>
  <c r="O201" i="15" l="1"/>
  <c r="D202" i="15" s="1"/>
  <c r="O193" i="17"/>
  <c r="D194" i="17" s="1"/>
  <c r="G194" i="17" s="1"/>
  <c r="H222" i="12"/>
  <c r="I222" i="12" s="1"/>
  <c r="J222" i="12" s="1"/>
  <c r="K222" i="12" s="1"/>
  <c r="M222" i="12" s="1"/>
  <c r="N234" i="12" s="1"/>
  <c r="E213" i="14"/>
  <c r="G213" i="14"/>
  <c r="E144" i="1"/>
  <c r="M143" i="1"/>
  <c r="H144" i="1" l="1"/>
  <c r="I144" i="1" s="1"/>
  <c r="E194" i="17"/>
  <c r="H194" i="17" s="1"/>
  <c r="G202" i="15"/>
  <c r="H202" i="15" s="1"/>
  <c r="I202" i="15" s="1"/>
  <c r="J202" i="15" s="1"/>
  <c r="K202" i="15" s="1"/>
  <c r="M202" i="15" s="1"/>
  <c r="N214" i="15" s="1"/>
  <c r="E202" i="15"/>
  <c r="H213" i="14"/>
  <c r="I213" i="14" s="1"/>
  <c r="J213" i="14" s="1"/>
  <c r="K213" i="14" s="1"/>
  <c r="M213" i="14" s="1"/>
  <c r="N225" i="14" s="1"/>
  <c r="P222" i="12"/>
  <c r="Q222" i="12" s="1"/>
  <c r="O222" i="12"/>
  <c r="D223" i="12" s="1"/>
  <c r="N153" i="1"/>
  <c r="P213" i="14" l="1"/>
  <c r="Q213" i="14" s="1"/>
  <c r="O213" i="14"/>
  <c r="D214" i="14" s="1"/>
  <c r="G214" i="14" s="1"/>
  <c r="I194" i="17"/>
  <c r="P194" i="17" s="1"/>
  <c r="Q194" i="17" s="1"/>
  <c r="O202" i="15"/>
  <c r="D203" i="15" s="1"/>
  <c r="P202" i="15"/>
  <c r="Q202" i="15" s="1"/>
  <c r="G223" i="12"/>
  <c r="E223" i="12"/>
  <c r="P144" i="1"/>
  <c r="Q144" i="1" s="1"/>
  <c r="J144" i="1"/>
  <c r="K144" i="1" s="1"/>
  <c r="E214" i="14" l="1"/>
  <c r="J194" i="17"/>
  <c r="K194" i="17" s="1"/>
  <c r="M194" i="17" s="1"/>
  <c r="N206" i="17" s="1"/>
  <c r="G203" i="15"/>
  <c r="E203" i="15"/>
  <c r="H214" i="14"/>
  <c r="H223" i="12"/>
  <c r="O144" i="1"/>
  <c r="D145" i="1" s="1"/>
  <c r="G145" i="1" s="1"/>
  <c r="H203" i="15" l="1"/>
  <c r="I203" i="15" s="1"/>
  <c r="J203" i="15" s="1"/>
  <c r="K203" i="15" s="1"/>
  <c r="M203" i="15" s="1"/>
  <c r="N215" i="15" s="1"/>
  <c r="O194" i="17"/>
  <c r="D195" i="17" s="1"/>
  <c r="I214" i="14"/>
  <c r="P214" i="14" s="1"/>
  <c r="Q214" i="14" s="1"/>
  <c r="J214" i="14"/>
  <c r="K214" i="14" s="1"/>
  <c r="M214" i="14" s="1"/>
  <c r="N226" i="14" s="1"/>
  <c r="I223" i="12"/>
  <c r="P223" i="12" s="1"/>
  <c r="Q223" i="12" s="1"/>
  <c r="E145" i="1"/>
  <c r="M144" i="1"/>
  <c r="H145" i="1" l="1"/>
  <c r="I145" i="1" s="1"/>
  <c r="E195" i="17"/>
  <c r="G195" i="17"/>
  <c r="H195" i="17" s="1"/>
  <c r="O203" i="15"/>
  <c r="D204" i="15" s="1"/>
  <c r="P203" i="15"/>
  <c r="Q203" i="15" s="1"/>
  <c r="O214" i="14"/>
  <c r="D215" i="14" s="1"/>
  <c r="E215" i="14" s="1"/>
  <c r="J223" i="12"/>
  <c r="K223" i="12" s="1"/>
  <c r="M223" i="12" s="1"/>
  <c r="N235" i="12" s="1"/>
  <c r="N154" i="1"/>
  <c r="G215" i="14" l="1"/>
  <c r="I195" i="17"/>
  <c r="J195" i="17" s="1"/>
  <c r="E204" i="15"/>
  <c r="G204" i="15"/>
  <c r="H204" i="15" s="1"/>
  <c r="H215" i="14"/>
  <c r="I215" i="14" s="1"/>
  <c r="P215" i="14" s="1"/>
  <c r="Q215" i="14" s="1"/>
  <c r="O223" i="12"/>
  <c r="D224" i="12" s="1"/>
  <c r="J145" i="1"/>
  <c r="K145" i="1" s="1"/>
  <c r="P145" i="1"/>
  <c r="Q145" i="1" s="1"/>
  <c r="P195" i="17" l="1"/>
  <c r="Q195" i="17" s="1"/>
  <c r="K195" i="17"/>
  <c r="M195" i="17" s="1"/>
  <c r="N207" i="17" s="1"/>
  <c r="O195" i="17"/>
  <c r="D196" i="17" s="1"/>
  <c r="I204" i="15"/>
  <c r="J204" i="15" s="1"/>
  <c r="K204" i="15" s="1"/>
  <c r="M204" i="15" s="1"/>
  <c r="N216" i="15" s="1"/>
  <c r="J215" i="14"/>
  <c r="K215" i="14" s="1"/>
  <c r="M215" i="14" s="1"/>
  <c r="N227" i="14" s="1"/>
  <c r="E224" i="12"/>
  <c r="G224" i="12"/>
  <c r="H224" i="12" s="1"/>
  <c r="I224" i="12" s="1"/>
  <c r="P224" i="12" s="1"/>
  <c r="Q224" i="12" s="1"/>
  <c r="O145" i="1"/>
  <c r="D146" i="1" s="1"/>
  <c r="G146" i="1" s="1"/>
  <c r="G196" i="17" l="1"/>
  <c r="E196" i="17"/>
  <c r="O204" i="15"/>
  <c r="D205" i="15" s="1"/>
  <c r="P204" i="15"/>
  <c r="Q204" i="15" s="1"/>
  <c r="O215" i="14"/>
  <c r="D216" i="14" s="1"/>
  <c r="G216" i="14" s="1"/>
  <c r="J224" i="12"/>
  <c r="K224" i="12" s="1"/>
  <c r="M224" i="12" s="1"/>
  <c r="N236" i="12" s="1"/>
  <c r="E146" i="1"/>
  <c r="M145" i="1"/>
  <c r="H146" i="1" l="1"/>
  <c r="I146" i="1" s="1"/>
  <c r="H196" i="17"/>
  <c r="E216" i="14"/>
  <c r="H216" i="14" s="1"/>
  <c r="I216" i="14" s="1"/>
  <c r="J216" i="14" s="1"/>
  <c r="K216" i="14" s="1"/>
  <c r="M216" i="14" s="1"/>
  <c r="N228" i="14" s="1"/>
  <c r="G205" i="15"/>
  <c r="E205" i="15"/>
  <c r="O224" i="12"/>
  <c r="D225" i="12" s="1"/>
  <c r="E225" i="12" s="1"/>
  <c r="N155" i="1"/>
  <c r="I196" i="17" l="1"/>
  <c r="P196" i="17" s="1"/>
  <c r="Q196" i="17" s="1"/>
  <c r="J196" i="17"/>
  <c r="K196" i="17" s="1"/>
  <c r="M196" i="17" s="1"/>
  <c r="N208" i="17" s="1"/>
  <c r="H205" i="15"/>
  <c r="G225" i="12"/>
  <c r="H225" i="12" s="1"/>
  <c r="I225" i="12" s="1"/>
  <c r="J225" i="12" s="1"/>
  <c r="K225" i="12" s="1"/>
  <c r="M225" i="12" s="1"/>
  <c r="N237" i="12" s="1"/>
  <c r="O216" i="14"/>
  <c r="D217" i="14" s="1"/>
  <c r="P216" i="14"/>
  <c r="Q216" i="14" s="1"/>
  <c r="P146" i="1"/>
  <c r="Q146" i="1" s="1"/>
  <c r="J146" i="1"/>
  <c r="K146" i="1" s="1"/>
  <c r="O196" i="17" l="1"/>
  <c r="D197" i="17" s="1"/>
  <c r="E197" i="17" s="1"/>
  <c r="I205" i="15"/>
  <c r="J205" i="15" s="1"/>
  <c r="K205" i="15" s="1"/>
  <c r="M205" i="15" s="1"/>
  <c r="N217" i="15" s="1"/>
  <c r="G217" i="14"/>
  <c r="E217" i="14"/>
  <c r="P225" i="12"/>
  <c r="Q225" i="12" s="1"/>
  <c r="O225" i="12"/>
  <c r="D226" i="12" s="1"/>
  <c r="O146" i="1"/>
  <c r="D147" i="1" s="1"/>
  <c r="G147" i="1" s="1"/>
  <c r="G197" i="17" l="1"/>
  <c r="H197" i="17"/>
  <c r="P205" i="15"/>
  <c r="Q205" i="15" s="1"/>
  <c r="O205" i="15"/>
  <c r="D206" i="15" s="1"/>
  <c r="H217" i="14"/>
  <c r="G226" i="12"/>
  <c r="E226" i="12"/>
  <c r="E147" i="1"/>
  <c r="M146" i="1"/>
  <c r="H147" i="1" l="1"/>
  <c r="I147" i="1" s="1"/>
  <c r="I197" i="17"/>
  <c r="E206" i="15"/>
  <c r="G206" i="15"/>
  <c r="H226" i="12"/>
  <c r="I226" i="12" s="1"/>
  <c r="I217" i="14"/>
  <c r="J217" i="14" s="1"/>
  <c r="N156" i="1"/>
  <c r="H206" i="15" l="1"/>
  <c r="I206" i="15" s="1"/>
  <c r="J206" i="15" s="1"/>
  <c r="K206" i="15" s="1"/>
  <c r="M206" i="15" s="1"/>
  <c r="N218" i="15" s="1"/>
  <c r="J197" i="17"/>
  <c r="K197" i="17" s="1"/>
  <c r="M197" i="17" s="1"/>
  <c r="N209" i="17" s="1"/>
  <c r="P197" i="17"/>
  <c r="Q197" i="17" s="1"/>
  <c r="K217" i="14"/>
  <c r="M217" i="14" s="1"/>
  <c r="N229" i="14" s="1"/>
  <c r="O217" i="14"/>
  <c r="D218" i="14" s="1"/>
  <c r="P217" i="14"/>
  <c r="Q217" i="14" s="1"/>
  <c r="P226" i="12"/>
  <c r="Q226" i="12" s="1"/>
  <c r="J226" i="12"/>
  <c r="K226" i="12" s="1"/>
  <c r="M226" i="12" s="1"/>
  <c r="N238" i="12" s="1"/>
  <c r="P147" i="1"/>
  <c r="Q147" i="1" s="1"/>
  <c r="J147" i="1"/>
  <c r="K147" i="1" s="1"/>
  <c r="P206" i="15" l="1"/>
  <c r="Q206" i="15" s="1"/>
  <c r="O206" i="15"/>
  <c r="D207" i="15" s="1"/>
  <c r="E207" i="15" s="1"/>
  <c r="O197" i="17"/>
  <c r="D198" i="17" s="1"/>
  <c r="G218" i="14"/>
  <c r="E218" i="14"/>
  <c r="O226" i="12"/>
  <c r="D227" i="12" s="1"/>
  <c r="O147" i="1"/>
  <c r="D148" i="1" s="1"/>
  <c r="G148" i="1" s="1"/>
  <c r="G207" i="15" l="1"/>
  <c r="H207" i="15"/>
  <c r="I207" i="15" s="1"/>
  <c r="E198" i="17"/>
  <c r="G198" i="17"/>
  <c r="H218" i="14"/>
  <c r="E227" i="12"/>
  <c r="G227" i="12"/>
  <c r="E148" i="1"/>
  <c r="M147" i="1"/>
  <c r="H148" i="1" l="1"/>
  <c r="I148" i="1" s="1"/>
  <c r="J207" i="15"/>
  <c r="K207" i="15" s="1"/>
  <c r="M207" i="15" s="1"/>
  <c r="N219" i="15" s="1"/>
  <c r="P207" i="15"/>
  <c r="Q207" i="15" s="1"/>
  <c r="H198" i="17"/>
  <c r="H227" i="12"/>
  <c r="I227" i="12" s="1"/>
  <c r="P227" i="12" s="1"/>
  <c r="Q227" i="12" s="1"/>
  <c r="I218" i="14"/>
  <c r="P218" i="14" s="1"/>
  <c r="Q218" i="14" s="1"/>
  <c r="N157" i="1"/>
  <c r="J227" i="12" l="1"/>
  <c r="K227" i="12" s="1"/>
  <c r="M227" i="12" s="1"/>
  <c r="N239" i="12" s="1"/>
  <c r="J218" i="14"/>
  <c r="K218" i="14" s="1"/>
  <c r="M218" i="14" s="1"/>
  <c r="N230" i="14" s="1"/>
  <c r="O207" i="15"/>
  <c r="D208" i="15" s="1"/>
  <c r="E208" i="15" s="1"/>
  <c r="I198" i="17"/>
  <c r="P198" i="17" s="1"/>
  <c r="Q198" i="17" s="1"/>
  <c r="J148" i="1"/>
  <c r="K148" i="1" s="1"/>
  <c r="P148" i="1"/>
  <c r="Q148" i="1" s="1"/>
  <c r="O218" i="14" l="1"/>
  <c r="D219" i="14" s="1"/>
  <c r="O227" i="12"/>
  <c r="D228" i="12" s="1"/>
  <c r="G228" i="12" s="1"/>
  <c r="G208" i="15"/>
  <c r="J198" i="17"/>
  <c r="H208" i="15"/>
  <c r="G219" i="14"/>
  <c r="E219" i="14"/>
  <c r="E228" i="12"/>
  <c r="O148" i="1"/>
  <c r="D149" i="1" s="1"/>
  <c r="G149" i="1" s="1"/>
  <c r="H228" i="12" l="1"/>
  <c r="I228" i="12" s="1"/>
  <c r="J228" i="12" s="1"/>
  <c r="K228" i="12" s="1"/>
  <c r="M228" i="12" s="1"/>
  <c r="N240" i="12" s="1"/>
  <c r="K198" i="17"/>
  <c r="M198" i="17" s="1"/>
  <c r="N210" i="17" s="1"/>
  <c r="O198" i="17"/>
  <c r="D199" i="17" s="1"/>
  <c r="I208" i="15"/>
  <c r="J208" i="15" s="1"/>
  <c r="K208" i="15" s="1"/>
  <c r="M208" i="15" s="1"/>
  <c r="N220" i="15" s="1"/>
  <c r="H219" i="14"/>
  <c r="P228" i="12"/>
  <c r="Q228" i="12" s="1"/>
  <c r="E149" i="1"/>
  <c r="M148" i="1"/>
  <c r="O228" i="12" l="1"/>
  <c r="D229" i="12" s="1"/>
  <c r="E229" i="12" s="1"/>
  <c r="H149" i="1"/>
  <c r="I149" i="1" s="1"/>
  <c r="G199" i="17"/>
  <c r="E199" i="17"/>
  <c r="O208" i="15"/>
  <c r="D209" i="15" s="1"/>
  <c r="P208" i="15"/>
  <c r="Q208" i="15" s="1"/>
  <c r="G229" i="12"/>
  <c r="H229" i="12" s="1"/>
  <c r="I219" i="14"/>
  <c r="P219" i="14" s="1"/>
  <c r="Q219" i="14" s="1"/>
  <c r="N158" i="1"/>
  <c r="H199" i="17" l="1"/>
  <c r="J219" i="14"/>
  <c r="K219" i="14" s="1"/>
  <c r="M219" i="14" s="1"/>
  <c r="N231" i="14" s="1"/>
  <c r="G209" i="15"/>
  <c r="E209" i="15"/>
  <c r="I229" i="12"/>
  <c r="J229" i="12" s="1"/>
  <c r="K229" i="12" s="1"/>
  <c r="M229" i="12" s="1"/>
  <c r="N241" i="12" s="1"/>
  <c r="J149" i="1"/>
  <c r="K149" i="1" s="1"/>
  <c r="P149" i="1"/>
  <c r="Q149" i="1" s="1"/>
  <c r="O219" i="14" l="1"/>
  <c r="D220" i="14" s="1"/>
  <c r="H209" i="15"/>
  <c r="I209" i="15" s="1"/>
  <c r="P209" i="15" s="1"/>
  <c r="Q209" i="15" s="1"/>
  <c r="I199" i="17"/>
  <c r="P199" i="17" s="1"/>
  <c r="Q199" i="17" s="1"/>
  <c r="O229" i="12"/>
  <c r="D230" i="12" s="1"/>
  <c r="E230" i="12" s="1"/>
  <c r="E220" i="14"/>
  <c r="G220" i="14"/>
  <c r="P229" i="12"/>
  <c r="Q229" i="12" s="1"/>
  <c r="O149" i="1"/>
  <c r="D150" i="1" s="1"/>
  <c r="G150" i="1" s="1"/>
  <c r="J199" i="17" l="1"/>
  <c r="K199" i="17" s="1"/>
  <c r="M199" i="17" s="1"/>
  <c r="N211" i="17" s="1"/>
  <c r="J209" i="15"/>
  <c r="O209" i="15" s="1"/>
  <c r="D210" i="15" s="1"/>
  <c r="E210" i="15" s="1"/>
  <c r="G230" i="12"/>
  <c r="H230" i="12" s="1"/>
  <c r="H220" i="14"/>
  <c r="E150" i="1"/>
  <c r="M149" i="1"/>
  <c r="O199" i="17" l="1"/>
  <c r="D200" i="17" s="1"/>
  <c r="E200" i="17" s="1"/>
  <c r="H150" i="1"/>
  <c r="I150" i="1" s="1"/>
  <c r="K209" i="15"/>
  <c r="M209" i="15" s="1"/>
  <c r="N221" i="15" s="1"/>
  <c r="G210" i="15"/>
  <c r="H210" i="15" s="1"/>
  <c r="I210" i="15" s="1"/>
  <c r="G200" i="17"/>
  <c r="H200" i="17" s="1"/>
  <c r="I200" i="17" s="1"/>
  <c r="I230" i="12"/>
  <c r="J230" i="12" s="1"/>
  <c r="K230" i="12" s="1"/>
  <c r="M230" i="12" s="1"/>
  <c r="N242" i="12" s="1"/>
  <c r="I220" i="14"/>
  <c r="J220" i="14" s="1"/>
  <c r="K220" i="14" s="1"/>
  <c r="M220" i="14" s="1"/>
  <c r="N232" i="14" s="1"/>
  <c r="N159" i="1"/>
  <c r="P200" i="17" l="1"/>
  <c r="Q200" i="17" s="1"/>
  <c r="J210" i="15"/>
  <c r="K210" i="15" s="1"/>
  <c r="M210" i="15" s="1"/>
  <c r="N222" i="15" s="1"/>
  <c r="P210" i="15"/>
  <c r="Q210" i="15" s="1"/>
  <c r="J200" i="17"/>
  <c r="K200" i="17" s="1"/>
  <c r="M200" i="17" s="1"/>
  <c r="N212" i="17" s="1"/>
  <c r="O230" i="12"/>
  <c r="D231" i="12" s="1"/>
  <c r="P230" i="12"/>
  <c r="Q230" i="12" s="1"/>
  <c r="O220" i="14"/>
  <c r="D221" i="14" s="1"/>
  <c r="P220" i="14"/>
  <c r="Q220" i="14" s="1"/>
  <c r="P150" i="1"/>
  <c r="Q150" i="1" s="1"/>
  <c r="J150" i="1"/>
  <c r="K150" i="1" s="1"/>
  <c r="O210" i="15" l="1"/>
  <c r="D211" i="15" s="1"/>
  <c r="O200" i="17"/>
  <c r="D201" i="17" s="1"/>
  <c r="E231" i="12"/>
  <c r="G231" i="12"/>
  <c r="E221" i="14"/>
  <c r="G221" i="14"/>
  <c r="O150" i="1"/>
  <c r="D151" i="1" s="1"/>
  <c r="G151" i="1" s="1"/>
  <c r="E211" i="15" l="1"/>
  <c r="G211" i="15"/>
  <c r="H211" i="15" s="1"/>
  <c r="H221" i="14"/>
  <c r="I221" i="14" s="1"/>
  <c r="P221" i="14" s="1"/>
  <c r="Q221" i="14" s="1"/>
  <c r="H231" i="12"/>
  <c r="E201" i="17"/>
  <c r="G201" i="17"/>
  <c r="H201" i="17" s="1"/>
  <c r="J221" i="14"/>
  <c r="K221" i="14" s="1"/>
  <c r="M221" i="14" s="1"/>
  <c r="N233" i="14" s="1"/>
  <c r="E151" i="1"/>
  <c r="M150" i="1"/>
  <c r="H151" i="1" l="1"/>
  <c r="I151" i="1" s="1"/>
  <c r="I211" i="15"/>
  <c r="I201" i="17"/>
  <c r="J201" i="17" s="1"/>
  <c r="K201" i="17" s="1"/>
  <c r="M201" i="17" s="1"/>
  <c r="N213" i="17" s="1"/>
  <c r="I231" i="12"/>
  <c r="O221" i="14"/>
  <c r="D222" i="14" s="1"/>
  <c r="N160" i="1"/>
  <c r="J211" i="15" l="1"/>
  <c r="K211" i="15" s="1"/>
  <c r="M211" i="15" s="1"/>
  <c r="N223" i="15" s="1"/>
  <c r="P211" i="15"/>
  <c r="Q211" i="15" s="1"/>
  <c r="J231" i="12"/>
  <c r="P231" i="12"/>
  <c r="Q231" i="12" s="1"/>
  <c r="O201" i="17"/>
  <c r="D202" i="17" s="1"/>
  <c r="P201" i="17"/>
  <c r="Q201" i="17" s="1"/>
  <c r="E222" i="14"/>
  <c r="G222" i="14"/>
  <c r="P151" i="1"/>
  <c r="Q151" i="1" s="1"/>
  <c r="J151" i="1"/>
  <c r="K151" i="1" s="1"/>
  <c r="H222" i="14" l="1"/>
  <c r="I222" i="14" s="1"/>
  <c r="J222" i="14" s="1"/>
  <c r="K222" i="14" s="1"/>
  <c r="M222" i="14" s="1"/>
  <c r="N234" i="14" s="1"/>
  <c r="O211" i="15"/>
  <c r="D212" i="15" s="1"/>
  <c r="E202" i="17"/>
  <c r="G202" i="17"/>
  <c r="H202" i="17" s="1"/>
  <c r="K231" i="12"/>
  <c r="M231" i="12" s="1"/>
  <c r="N243" i="12" s="1"/>
  <c r="O231" i="12"/>
  <c r="D232" i="12" s="1"/>
  <c r="O151" i="1"/>
  <c r="D152" i="1" s="1"/>
  <c r="G152" i="1" s="1"/>
  <c r="E212" i="15" l="1"/>
  <c r="G212" i="15"/>
  <c r="H212" i="15" s="1"/>
  <c r="G232" i="12"/>
  <c r="E232" i="12"/>
  <c r="I202" i="17"/>
  <c r="J202" i="17" s="1"/>
  <c r="K202" i="17" s="1"/>
  <c r="M202" i="17" s="1"/>
  <c r="N214" i="17" s="1"/>
  <c r="O222" i="14"/>
  <c r="D223" i="14" s="1"/>
  <c r="P222" i="14"/>
  <c r="Q222" i="14" s="1"/>
  <c r="E152" i="1"/>
  <c r="M151" i="1"/>
  <c r="H152" i="1" l="1"/>
  <c r="I152" i="1" s="1"/>
  <c r="P202" i="17"/>
  <c r="Q202" i="17" s="1"/>
  <c r="I212" i="15"/>
  <c r="J212" i="15"/>
  <c r="K212" i="15" s="1"/>
  <c r="M212" i="15" s="1"/>
  <c r="N224" i="15" s="1"/>
  <c r="H232" i="12"/>
  <c r="O202" i="17"/>
  <c r="D203" i="17" s="1"/>
  <c r="E223" i="14"/>
  <c r="G223" i="14"/>
  <c r="N161" i="1"/>
  <c r="P212" i="15" l="1"/>
  <c r="Q212" i="15" s="1"/>
  <c r="O212" i="15"/>
  <c r="D213" i="15" s="1"/>
  <c r="G203" i="17"/>
  <c r="E203" i="17"/>
  <c r="I232" i="12"/>
  <c r="J232" i="12" s="1"/>
  <c r="K232" i="12" s="1"/>
  <c r="M232" i="12" s="1"/>
  <c r="N244" i="12" s="1"/>
  <c r="H223" i="14"/>
  <c r="I223" i="14" s="1"/>
  <c r="J152" i="1"/>
  <c r="K152" i="1" s="1"/>
  <c r="P152" i="1"/>
  <c r="Q152" i="1" s="1"/>
  <c r="P232" i="12" l="1"/>
  <c r="Q232" i="12" s="1"/>
  <c r="O232" i="12"/>
  <c r="D233" i="12" s="1"/>
  <c r="G233" i="12" s="1"/>
  <c r="G213" i="15"/>
  <c r="E213" i="15"/>
  <c r="H203" i="17"/>
  <c r="J223" i="14"/>
  <c r="K223" i="14" s="1"/>
  <c r="M223" i="14" s="1"/>
  <c r="N235" i="14" s="1"/>
  <c r="P223" i="14"/>
  <c r="Q223" i="14" s="1"/>
  <c r="O152" i="1"/>
  <c r="D153" i="1" s="1"/>
  <c r="G153" i="1" s="1"/>
  <c r="E233" i="12" l="1"/>
  <c r="O223" i="14"/>
  <c r="D224" i="14" s="1"/>
  <c r="E224" i="14" s="1"/>
  <c r="H213" i="15"/>
  <c r="I203" i="17"/>
  <c r="H233" i="12"/>
  <c r="G224" i="14"/>
  <c r="H224" i="14" s="1"/>
  <c r="I224" i="14" s="1"/>
  <c r="P224" i="14" s="1"/>
  <c r="Q224" i="14" s="1"/>
  <c r="E153" i="1"/>
  <c r="M152" i="1"/>
  <c r="H153" i="1" l="1"/>
  <c r="I153" i="1" s="1"/>
  <c r="I213" i="15"/>
  <c r="J213" i="15" s="1"/>
  <c r="K213" i="15" s="1"/>
  <c r="M213" i="15" s="1"/>
  <c r="N225" i="15" s="1"/>
  <c r="P203" i="17"/>
  <c r="Q203" i="17" s="1"/>
  <c r="J203" i="17"/>
  <c r="J224" i="14"/>
  <c r="K224" i="14" s="1"/>
  <c r="M224" i="14" s="1"/>
  <c r="N236" i="14" s="1"/>
  <c r="I233" i="12"/>
  <c r="J233" i="12" s="1"/>
  <c r="K233" i="12" s="1"/>
  <c r="M233" i="12" s="1"/>
  <c r="N245" i="12" s="1"/>
  <c r="N162" i="1"/>
  <c r="O224" i="14" l="1"/>
  <c r="D225" i="14" s="1"/>
  <c r="E225" i="14" s="1"/>
  <c r="P213" i="15"/>
  <c r="Q213" i="15" s="1"/>
  <c r="O213" i="15"/>
  <c r="D214" i="15" s="1"/>
  <c r="K203" i="17"/>
  <c r="M203" i="17" s="1"/>
  <c r="N215" i="17" s="1"/>
  <c r="O203" i="17"/>
  <c r="D204" i="17" s="1"/>
  <c r="O233" i="12"/>
  <c r="D234" i="12" s="1"/>
  <c r="P233" i="12"/>
  <c r="Q233" i="12" s="1"/>
  <c r="J153" i="1"/>
  <c r="K153" i="1" s="1"/>
  <c r="P153" i="1"/>
  <c r="Q153" i="1" s="1"/>
  <c r="G225" i="14" l="1"/>
  <c r="H225" i="14" s="1"/>
  <c r="I225" i="14" s="1"/>
  <c r="J225" i="14" s="1"/>
  <c r="K225" i="14" s="1"/>
  <c r="M225" i="14" s="1"/>
  <c r="N237" i="14" s="1"/>
  <c r="E214" i="15"/>
  <c r="G214" i="15"/>
  <c r="H214" i="15" s="1"/>
  <c r="I214" i="15" s="1"/>
  <c r="J214" i="15" s="1"/>
  <c r="K214" i="15" s="1"/>
  <c r="M214" i="15" s="1"/>
  <c r="N226" i="15" s="1"/>
  <c r="E204" i="17"/>
  <c r="G204" i="17"/>
  <c r="H204" i="17" s="1"/>
  <c r="I204" i="17" s="1"/>
  <c r="J204" i="17" s="1"/>
  <c r="K204" i="17" s="1"/>
  <c r="M204" i="17" s="1"/>
  <c r="N216" i="17" s="1"/>
  <c r="E234" i="12"/>
  <c r="G234" i="12"/>
  <c r="O153" i="1"/>
  <c r="D154" i="1" s="1"/>
  <c r="G154" i="1" s="1"/>
  <c r="P225" i="14" l="1"/>
  <c r="Q225" i="14" s="1"/>
  <c r="O225" i="14"/>
  <c r="D226" i="14" s="1"/>
  <c r="G226" i="14" s="1"/>
  <c r="P214" i="15"/>
  <c r="Q214" i="15" s="1"/>
  <c r="O214" i="15"/>
  <c r="D215" i="15" s="1"/>
  <c r="P204" i="17"/>
  <c r="Q204" i="17" s="1"/>
  <c r="O204" i="17"/>
  <c r="D205" i="17" s="1"/>
  <c r="H234" i="12"/>
  <c r="E226" i="14"/>
  <c r="E154" i="1"/>
  <c r="M153" i="1"/>
  <c r="H154" i="1" l="1"/>
  <c r="I154" i="1" s="1"/>
  <c r="E215" i="15"/>
  <c r="G215" i="15"/>
  <c r="H215" i="15" s="1"/>
  <c r="I215" i="15" s="1"/>
  <c r="J215" i="15" s="1"/>
  <c r="K215" i="15" s="1"/>
  <c r="M215" i="15" s="1"/>
  <c r="N227" i="15" s="1"/>
  <c r="E205" i="17"/>
  <c r="G205" i="17"/>
  <c r="H205" i="17" s="1"/>
  <c r="I205" i="17" s="1"/>
  <c r="J205" i="17" s="1"/>
  <c r="K205" i="17" s="1"/>
  <c r="M205" i="17" s="1"/>
  <c r="N217" i="17" s="1"/>
  <c r="I234" i="12"/>
  <c r="J234" i="12" s="1"/>
  <c r="K234" i="12" s="1"/>
  <c r="M234" i="12" s="1"/>
  <c r="N246" i="12" s="1"/>
  <c r="H226" i="14"/>
  <c r="N163" i="1"/>
  <c r="O205" i="17" l="1"/>
  <c r="D206" i="17" s="1"/>
  <c r="E206" i="17" s="1"/>
  <c r="P205" i="17"/>
  <c r="Q205" i="17" s="1"/>
  <c r="O234" i="12"/>
  <c r="D235" i="12" s="1"/>
  <c r="P234" i="12"/>
  <c r="Q234" i="12" s="1"/>
  <c r="O215" i="15"/>
  <c r="D216" i="15" s="1"/>
  <c r="P215" i="15"/>
  <c r="Q215" i="15" s="1"/>
  <c r="I226" i="14"/>
  <c r="J226" i="14" s="1"/>
  <c r="K226" i="14" s="1"/>
  <c r="M226" i="14" s="1"/>
  <c r="N238" i="14" s="1"/>
  <c r="P154" i="1"/>
  <c r="Q154" i="1" s="1"/>
  <c r="J154" i="1"/>
  <c r="K154" i="1" s="1"/>
  <c r="G206" i="17" l="1"/>
  <c r="H206" i="17" s="1"/>
  <c r="E235" i="12"/>
  <c r="G235" i="12"/>
  <c r="H235" i="12" s="1"/>
  <c r="I235" i="12" s="1"/>
  <c r="J235" i="12" s="1"/>
  <c r="K235" i="12" s="1"/>
  <c r="M235" i="12" s="1"/>
  <c r="N247" i="12" s="1"/>
  <c r="E216" i="15"/>
  <c r="G216" i="15"/>
  <c r="H216" i="15" s="1"/>
  <c r="I216" i="15" s="1"/>
  <c r="P216" i="15" s="1"/>
  <c r="Q216" i="15" s="1"/>
  <c r="O226" i="14"/>
  <c r="D227" i="14" s="1"/>
  <c r="P226" i="14"/>
  <c r="Q226" i="14" s="1"/>
  <c r="O154" i="1"/>
  <c r="D155" i="1" s="1"/>
  <c r="G155" i="1" s="1"/>
  <c r="I206" i="17" l="1"/>
  <c r="P206" i="17" s="1"/>
  <c r="Q206" i="17" s="1"/>
  <c r="O235" i="12"/>
  <c r="D236" i="12" s="1"/>
  <c r="P235" i="12"/>
  <c r="Q235" i="12" s="1"/>
  <c r="J216" i="15"/>
  <c r="G227" i="14"/>
  <c r="E227" i="14"/>
  <c r="E155" i="1"/>
  <c r="M154" i="1"/>
  <c r="H155" i="1" l="1"/>
  <c r="I155" i="1" s="1"/>
  <c r="G236" i="12"/>
  <c r="E236" i="12"/>
  <c r="J206" i="17"/>
  <c r="O216" i="15"/>
  <c r="D217" i="15" s="1"/>
  <c r="K216" i="15"/>
  <c r="M216" i="15" s="1"/>
  <c r="N228" i="15" s="1"/>
  <c r="H227" i="14"/>
  <c r="N164" i="1"/>
  <c r="K206" i="17" l="1"/>
  <c r="M206" i="17" s="1"/>
  <c r="N218" i="17" s="1"/>
  <c r="O206" i="17"/>
  <c r="D207" i="17" s="1"/>
  <c r="G207" i="17" s="1"/>
  <c r="H236" i="12"/>
  <c r="I236" i="12" s="1"/>
  <c r="J236" i="12" s="1"/>
  <c r="K236" i="12" s="1"/>
  <c r="M236" i="12" s="1"/>
  <c r="N248" i="12" s="1"/>
  <c r="E217" i="15"/>
  <c r="G217" i="15"/>
  <c r="H217" i="15" s="1"/>
  <c r="I217" i="15" s="1"/>
  <c r="J217" i="15" s="1"/>
  <c r="I227" i="14"/>
  <c r="P227" i="14" s="1"/>
  <c r="Q227" i="14" s="1"/>
  <c r="J155" i="1"/>
  <c r="K155" i="1" s="1"/>
  <c r="P155" i="1"/>
  <c r="Q155" i="1" s="1"/>
  <c r="P236" i="12" l="1"/>
  <c r="Q236" i="12" s="1"/>
  <c r="E207" i="17"/>
  <c r="H207" i="17" s="1"/>
  <c r="O236" i="12"/>
  <c r="D237" i="12" s="1"/>
  <c r="O217" i="15"/>
  <c r="D218" i="15" s="1"/>
  <c r="K217" i="15"/>
  <c r="M217" i="15" s="1"/>
  <c r="N229" i="15" s="1"/>
  <c r="P217" i="15"/>
  <c r="Q217" i="15" s="1"/>
  <c r="J227" i="14"/>
  <c r="K227" i="14" s="1"/>
  <c r="M227" i="14" s="1"/>
  <c r="N239" i="14" s="1"/>
  <c r="O155" i="1"/>
  <c r="D156" i="1" s="1"/>
  <c r="G156" i="1" s="1"/>
  <c r="E237" i="12" l="1"/>
  <c r="G237" i="12"/>
  <c r="I207" i="17"/>
  <c r="P207" i="17" s="1"/>
  <c r="Q207" i="17" s="1"/>
  <c r="G218" i="15"/>
  <c r="E218" i="15"/>
  <c r="O227" i="14"/>
  <c r="D228" i="14" s="1"/>
  <c r="G228" i="14" s="1"/>
  <c r="E156" i="1"/>
  <c r="M155" i="1"/>
  <c r="H237" i="12" l="1"/>
  <c r="I237" i="12" s="1"/>
  <c r="J237" i="12" s="1"/>
  <c r="K237" i="12" s="1"/>
  <c r="M237" i="12" s="1"/>
  <c r="N249" i="12" s="1"/>
  <c r="H156" i="1"/>
  <c r="I156" i="1" s="1"/>
  <c r="E228" i="14"/>
  <c r="J207" i="17"/>
  <c r="K207" i="17" s="1"/>
  <c r="M207" i="17" s="1"/>
  <c r="N219" i="17" s="1"/>
  <c r="H218" i="15"/>
  <c r="H228" i="14"/>
  <c r="N165" i="1"/>
  <c r="P237" i="12" l="1"/>
  <c r="Q237" i="12" s="1"/>
  <c r="O207" i="17"/>
  <c r="D208" i="17" s="1"/>
  <c r="O237" i="12"/>
  <c r="D238" i="12" s="1"/>
  <c r="I218" i="15"/>
  <c r="P218" i="15" s="1"/>
  <c r="Q218" i="15" s="1"/>
  <c r="I228" i="14"/>
  <c r="P228" i="14" s="1"/>
  <c r="Q228" i="14" s="1"/>
  <c r="P156" i="1"/>
  <c r="Q156" i="1" s="1"/>
  <c r="J156" i="1"/>
  <c r="K156" i="1" s="1"/>
  <c r="J218" i="15" l="1"/>
  <c r="K218" i="15" s="1"/>
  <c r="M218" i="15" s="1"/>
  <c r="N230" i="15" s="1"/>
  <c r="G238" i="12"/>
  <c r="E238" i="12"/>
  <c r="G208" i="17"/>
  <c r="E208" i="17"/>
  <c r="J228" i="14"/>
  <c r="K228" i="14" s="1"/>
  <c r="M228" i="14" s="1"/>
  <c r="N240" i="14" s="1"/>
  <c r="O156" i="1"/>
  <c r="D157" i="1" s="1"/>
  <c r="G157" i="1" s="1"/>
  <c r="O218" i="15" l="1"/>
  <c r="D219" i="15" s="1"/>
  <c r="E219" i="15" s="1"/>
  <c r="H208" i="17"/>
  <c r="I208" i="17" s="1"/>
  <c r="H238" i="12"/>
  <c r="I238" i="12" s="1"/>
  <c r="O228" i="14"/>
  <c r="D229" i="14" s="1"/>
  <c r="E157" i="1"/>
  <c r="M156" i="1"/>
  <c r="H157" i="1" l="1"/>
  <c r="I157" i="1" s="1"/>
  <c r="J238" i="12"/>
  <c r="K238" i="12" s="1"/>
  <c r="M238" i="12" s="1"/>
  <c r="N250" i="12" s="1"/>
  <c r="P238" i="12"/>
  <c r="Q238" i="12" s="1"/>
  <c r="G219" i="15"/>
  <c r="H219" i="15"/>
  <c r="I219" i="15" s="1"/>
  <c r="J219" i="15" s="1"/>
  <c r="K219" i="15" s="1"/>
  <c r="M219" i="15" s="1"/>
  <c r="N231" i="15" s="1"/>
  <c r="P208" i="17"/>
  <c r="Q208" i="17" s="1"/>
  <c r="J208" i="17"/>
  <c r="K208" i="17" s="1"/>
  <c r="M208" i="17" s="1"/>
  <c r="N220" i="17" s="1"/>
  <c r="E229" i="14"/>
  <c r="G229" i="14"/>
  <c r="N166" i="1"/>
  <c r="O238" i="12" l="1"/>
  <c r="D239" i="12" s="1"/>
  <c r="O208" i="17"/>
  <c r="D209" i="17" s="1"/>
  <c r="E209" i="17" s="1"/>
  <c r="E239" i="12"/>
  <c r="G239" i="12"/>
  <c r="O219" i="15"/>
  <c r="D220" i="15" s="1"/>
  <c r="P219" i="15"/>
  <c r="Q219" i="15" s="1"/>
  <c r="H229" i="14"/>
  <c r="J157" i="1"/>
  <c r="K157" i="1" s="1"/>
  <c r="P157" i="1"/>
  <c r="Q157" i="1" s="1"/>
  <c r="H239" i="12" l="1"/>
  <c r="I239" i="12" s="1"/>
  <c r="P239" i="12" s="1"/>
  <c r="Q239" i="12" s="1"/>
  <c r="G209" i="17"/>
  <c r="H209" i="17" s="1"/>
  <c r="J239" i="12"/>
  <c r="K239" i="12" s="1"/>
  <c r="M239" i="12" s="1"/>
  <c r="N251" i="12" s="1"/>
  <c r="E220" i="15"/>
  <c r="G220" i="15"/>
  <c r="I229" i="14"/>
  <c r="P229" i="14" s="1"/>
  <c r="Q229" i="14" s="1"/>
  <c r="O157" i="1"/>
  <c r="D158" i="1" s="1"/>
  <c r="G158" i="1" s="1"/>
  <c r="O239" i="12" l="1"/>
  <c r="D240" i="12" s="1"/>
  <c r="I209" i="17"/>
  <c r="P209" i="17" s="1"/>
  <c r="Q209" i="17" s="1"/>
  <c r="J209" i="17"/>
  <c r="K209" i="17" s="1"/>
  <c r="M209" i="17" s="1"/>
  <c r="N221" i="17" s="1"/>
  <c r="H220" i="15"/>
  <c r="I220" i="15" s="1"/>
  <c r="J220" i="15" s="1"/>
  <c r="K220" i="15" s="1"/>
  <c r="M220" i="15" s="1"/>
  <c r="N232" i="15" s="1"/>
  <c r="G240" i="12"/>
  <c r="E240" i="12"/>
  <c r="J229" i="14"/>
  <c r="K229" i="14" s="1"/>
  <c r="M229" i="14" s="1"/>
  <c r="N241" i="14" s="1"/>
  <c r="E158" i="1"/>
  <c r="M157" i="1"/>
  <c r="H158" i="1" l="1"/>
  <c r="I158" i="1" s="1"/>
  <c r="O209" i="17"/>
  <c r="D210" i="17" s="1"/>
  <c r="G210" i="17" s="1"/>
  <c r="O220" i="15"/>
  <c r="D221" i="15" s="1"/>
  <c r="E221" i="15" s="1"/>
  <c r="P220" i="15"/>
  <c r="Q220" i="15" s="1"/>
  <c r="H240" i="12"/>
  <c r="I240" i="12" s="1"/>
  <c r="P240" i="12" s="1"/>
  <c r="Q240" i="12" s="1"/>
  <c r="J240" i="12"/>
  <c r="O240" i="12" s="1"/>
  <c r="D241" i="12" s="1"/>
  <c r="O229" i="14"/>
  <c r="D230" i="14" s="1"/>
  <c r="G230" i="14" s="1"/>
  <c r="N167" i="1"/>
  <c r="E210" i="17" l="1"/>
  <c r="G221" i="15"/>
  <c r="E230" i="14"/>
  <c r="H221" i="15"/>
  <c r="I221" i="15" s="1"/>
  <c r="J221" i="15" s="1"/>
  <c r="K221" i="15" s="1"/>
  <c r="M221" i="15" s="1"/>
  <c r="N233" i="15" s="1"/>
  <c r="H230" i="14"/>
  <c r="I230" i="14" s="1"/>
  <c r="P230" i="14" s="1"/>
  <c r="Q230" i="14" s="1"/>
  <c r="E241" i="12"/>
  <c r="G241" i="12"/>
  <c r="H210" i="17"/>
  <c r="K240" i="12"/>
  <c r="M240" i="12" s="1"/>
  <c r="N252" i="12" s="1"/>
  <c r="J158" i="1"/>
  <c r="K158" i="1" s="1"/>
  <c r="P158" i="1"/>
  <c r="Q158" i="1" s="1"/>
  <c r="H241" i="12" l="1"/>
  <c r="I241" i="12" s="1"/>
  <c r="P241" i="12" s="1"/>
  <c r="Q241" i="12" s="1"/>
  <c r="I210" i="17"/>
  <c r="P210" i="17" s="1"/>
  <c r="Q210" i="17" s="1"/>
  <c r="J241" i="12"/>
  <c r="K241" i="12" s="1"/>
  <c r="M241" i="12" s="1"/>
  <c r="N253" i="12" s="1"/>
  <c r="P221" i="15"/>
  <c r="Q221" i="15" s="1"/>
  <c r="O221" i="15"/>
  <c r="D222" i="15" s="1"/>
  <c r="J230" i="14"/>
  <c r="K230" i="14" s="1"/>
  <c r="M230" i="14" s="1"/>
  <c r="N242" i="14" s="1"/>
  <c r="O158" i="1"/>
  <c r="D159" i="1" s="1"/>
  <c r="G159" i="1" s="1"/>
  <c r="J210" i="17" l="1"/>
  <c r="K210" i="17" s="1"/>
  <c r="M210" i="17" s="1"/>
  <c r="N222" i="17" s="1"/>
  <c r="O241" i="12"/>
  <c r="D242" i="12" s="1"/>
  <c r="O230" i="14"/>
  <c r="D231" i="14" s="1"/>
  <c r="G231" i="14" s="1"/>
  <c r="E222" i="15"/>
  <c r="G222" i="15"/>
  <c r="H222" i="15" s="1"/>
  <c r="E231" i="14"/>
  <c r="E159" i="1"/>
  <c r="M158" i="1"/>
  <c r="H159" i="1" l="1"/>
  <c r="I159" i="1" s="1"/>
  <c r="O210" i="17"/>
  <c r="D211" i="17" s="1"/>
  <c r="E211" i="17" s="1"/>
  <c r="I222" i="15"/>
  <c r="P222" i="15" s="1"/>
  <c r="Q222" i="15" s="1"/>
  <c r="E242" i="12"/>
  <c r="G242" i="12"/>
  <c r="H231" i="14"/>
  <c r="I231" i="14" s="1"/>
  <c r="J231" i="14" s="1"/>
  <c r="K231" i="14" s="1"/>
  <c r="M231" i="14" s="1"/>
  <c r="N243" i="14" s="1"/>
  <c r="N168" i="1"/>
  <c r="H242" i="12" l="1"/>
  <c r="G211" i="17"/>
  <c r="H211" i="17" s="1"/>
  <c r="I211" i="17" s="1"/>
  <c r="I242" i="12"/>
  <c r="P242" i="12" s="1"/>
  <c r="Q242" i="12" s="1"/>
  <c r="J222" i="15"/>
  <c r="P231" i="14"/>
  <c r="Q231" i="14" s="1"/>
  <c r="O231" i="14"/>
  <c r="D232" i="14" s="1"/>
  <c r="E232" i="14" s="1"/>
  <c r="P159" i="1"/>
  <c r="Q159" i="1" s="1"/>
  <c r="J159" i="1"/>
  <c r="K159" i="1" s="1"/>
  <c r="J211" i="17" l="1"/>
  <c r="K211" i="17" s="1"/>
  <c r="M211" i="17" s="1"/>
  <c r="N223" i="17" s="1"/>
  <c r="P211" i="17"/>
  <c r="Q211" i="17" s="1"/>
  <c r="J242" i="12"/>
  <c r="K222" i="15"/>
  <c r="M222" i="15" s="1"/>
  <c r="N234" i="15" s="1"/>
  <c r="O222" i="15"/>
  <c r="D223" i="15" s="1"/>
  <c r="G232" i="14"/>
  <c r="H232" i="14" s="1"/>
  <c r="O159" i="1"/>
  <c r="D160" i="1" s="1"/>
  <c r="G160" i="1" s="1"/>
  <c r="O211" i="17" l="1"/>
  <c r="D212" i="17" s="1"/>
  <c r="G212" i="17" s="1"/>
  <c r="K242" i="12"/>
  <c r="M242" i="12" s="1"/>
  <c r="N254" i="12" s="1"/>
  <c r="O242" i="12"/>
  <c r="D243" i="12" s="1"/>
  <c r="E223" i="15"/>
  <c r="G223" i="15"/>
  <c r="H223" i="15" s="1"/>
  <c r="I232" i="14"/>
  <c r="P232" i="14" s="1"/>
  <c r="Q232" i="14" s="1"/>
  <c r="J232" i="14"/>
  <c r="K232" i="14" s="1"/>
  <c r="M232" i="14" s="1"/>
  <c r="N244" i="14" s="1"/>
  <c r="E160" i="1"/>
  <c r="M159" i="1"/>
  <c r="H160" i="1" l="1"/>
  <c r="I160" i="1" s="1"/>
  <c r="E212" i="17"/>
  <c r="H212" i="17" s="1"/>
  <c r="I212" i="17" s="1"/>
  <c r="P212" i="17" s="1"/>
  <c r="Q212" i="17" s="1"/>
  <c r="E243" i="12"/>
  <c r="G243" i="12"/>
  <c r="I223" i="15"/>
  <c r="J223" i="15" s="1"/>
  <c r="K223" i="15" s="1"/>
  <c r="M223" i="15" s="1"/>
  <c r="N235" i="15" s="1"/>
  <c r="O232" i="14"/>
  <c r="D233" i="14" s="1"/>
  <c r="N169" i="1"/>
  <c r="H243" i="12" l="1"/>
  <c r="I243" i="12" s="1"/>
  <c r="P243" i="12" s="1"/>
  <c r="Q243" i="12" s="1"/>
  <c r="J243" i="12"/>
  <c r="K243" i="12" s="1"/>
  <c r="M243" i="12" s="1"/>
  <c r="N255" i="12" s="1"/>
  <c r="J212" i="17"/>
  <c r="O223" i="15"/>
  <c r="D224" i="15" s="1"/>
  <c r="P223" i="15"/>
  <c r="Q223" i="15" s="1"/>
  <c r="E233" i="14"/>
  <c r="G233" i="14"/>
  <c r="P160" i="1"/>
  <c r="Q160" i="1" s="1"/>
  <c r="J160" i="1"/>
  <c r="K160" i="1" s="1"/>
  <c r="H233" i="14" l="1"/>
  <c r="I233" i="14" s="1"/>
  <c r="P233" i="14" s="1"/>
  <c r="Q233" i="14" s="1"/>
  <c r="O243" i="12"/>
  <c r="D244" i="12" s="1"/>
  <c r="G244" i="12" s="1"/>
  <c r="E244" i="12"/>
  <c r="H244" i="12" s="1"/>
  <c r="I244" i="12" s="1"/>
  <c r="J244" i="12" s="1"/>
  <c r="K212" i="17"/>
  <c r="M212" i="17" s="1"/>
  <c r="N224" i="17" s="1"/>
  <c r="O212" i="17"/>
  <c r="D213" i="17" s="1"/>
  <c r="E224" i="15"/>
  <c r="G224" i="15"/>
  <c r="O160" i="1"/>
  <c r="D161" i="1" s="1"/>
  <c r="G161" i="1" s="1"/>
  <c r="J233" i="14" l="1"/>
  <c r="K233" i="14" s="1"/>
  <c r="M233" i="14" s="1"/>
  <c r="N245" i="14" s="1"/>
  <c r="P244" i="12"/>
  <c r="Q244" i="12" s="1"/>
  <c r="E213" i="17"/>
  <c r="G213" i="17"/>
  <c r="H213" i="17" s="1"/>
  <c r="H224" i="15"/>
  <c r="I224" i="15" s="1"/>
  <c r="J224" i="15" s="1"/>
  <c r="K224" i="15" s="1"/>
  <c r="M224" i="15" s="1"/>
  <c r="N236" i="15" s="1"/>
  <c r="O244" i="12"/>
  <c r="D245" i="12" s="1"/>
  <c r="K244" i="12"/>
  <c r="M244" i="12" s="1"/>
  <c r="N256" i="12" s="1"/>
  <c r="E161" i="1"/>
  <c r="M160" i="1"/>
  <c r="O233" i="14" l="1"/>
  <c r="D234" i="14" s="1"/>
  <c r="H161" i="1"/>
  <c r="I161" i="1" s="1"/>
  <c r="P224" i="15"/>
  <c r="Q224" i="15" s="1"/>
  <c r="I213" i="17"/>
  <c r="P213" i="17" s="1"/>
  <c r="Q213" i="17" s="1"/>
  <c r="O224" i="15"/>
  <c r="D225" i="15" s="1"/>
  <c r="E245" i="12"/>
  <c r="G245" i="12"/>
  <c r="G234" i="14"/>
  <c r="E234" i="14"/>
  <c r="N170" i="1"/>
  <c r="H245" i="12" l="1"/>
  <c r="J213" i="17"/>
  <c r="K213" i="17" s="1"/>
  <c r="M213" i="17" s="1"/>
  <c r="N225" i="17" s="1"/>
  <c r="I245" i="12"/>
  <c r="J245" i="12" s="1"/>
  <c r="K245" i="12" s="1"/>
  <c r="M245" i="12" s="1"/>
  <c r="N257" i="12" s="1"/>
  <c r="H234" i="14"/>
  <c r="I234" i="14" s="1"/>
  <c r="G225" i="15"/>
  <c r="E225" i="15"/>
  <c r="J161" i="1"/>
  <c r="K161" i="1" s="1"/>
  <c r="P161" i="1"/>
  <c r="Q161" i="1" s="1"/>
  <c r="O213" i="17" l="1"/>
  <c r="D214" i="17" s="1"/>
  <c r="E214" i="17" s="1"/>
  <c r="P234" i="14"/>
  <c r="Q234" i="14" s="1"/>
  <c r="J234" i="14"/>
  <c r="K234" i="14" s="1"/>
  <c r="M234" i="14" s="1"/>
  <c r="N246" i="14" s="1"/>
  <c r="H225" i="15"/>
  <c r="I225" i="15" s="1"/>
  <c r="P225" i="15" s="1"/>
  <c r="Q225" i="15" s="1"/>
  <c r="O245" i="12"/>
  <c r="D246" i="12" s="1"/>
  <c r="P245" i="12"/>
  <c r="Q245" i="12" s="1"/>
  <c r="O161" i="1"/>
  <c r="D162" i="1" s="1"/>
  <c r="G162" i="1" s="1"/>
  <c r="G214" i="17" l="1"/>
  <c r="H214" i="17" s="1"/>
  <c r="J225" i="15"/>
  <c r="K225" i="15" s="1"/>
  <c r="M225" i="15" s="1"/>
  <c r="N237" i="15" s="1"/>
  <c r="O234" i="14"/>
  <c r="D235" i="14" s="1"/>
  <c r="E246" i="12"/>
  <c r="G246" i="12"/>
  <c r="G235" i="14"/>
  <c r="E235" i="14"/>
  <c r="E162" i="1"/>
  <c r="M161" i="1"/>
  <c r="H246" i="12" l="1"/>
  <c r="I246" i="12" s="1"/>
  <c r="H162" i="1"/>
  <c r="I162" i="1" s="1"/>
  <c r="I214" i="17"/>
  <c r="P214" i="17" s="1"/>
  <c r="Q214" i="17" s="1"/>
  <c r="O225" i="15"/>
  <c r="D226" i="15" s="1"/>
  <c r="G226" i="15" s="1"/>
  <c r="P246" i="12"/>
  <c r="Q246" i="12" s="1"/>
  <c r="J246" i="12"/>
  <c r="K246" i="12" s="1"/>
  <c r="M246" i="12" s="1"/>
  <c r="N258" i="12" s="1"/>
  <c r="H235" i="14"/>
  <c r="I235" i="14" s="1"/>
  <c r="P235" i="14" s="1"/>
  <c r="Q235" i="14" s="1"/>
  <c r="N171" i="1"/>
  <c r="J214" i="17" l="1"/>
  <c r="K214" i="17" s="1"/>
  <c r="M214" i="17" s="1"/>
  <c r="N226" i="17" s="1"/>
  <c r="E226" i="15"/>
  <c r="H226" i="15"/>
  <c r="O246" i="12"/>
  <c r="D247" i="12" s="1"/>
  <c r="J235" i="14"/>
  <c r="K235" i="14" s="1"/>
  <c r="M235" i="14" s="1"/>
  <c r="N247" i="14" s="1"/>
  <c r="P162" i="1"/>
  <c r="Q162" i="1" s="1"/>
  <c r="J162" i="1"/>
  <c r="K162" i="1" s="1"/>
  <c r="O214" i="17" l="1"/>
  <c r="D215" i="17" s="1"/>
  <c r="E215" i="17" s="1"/>
  <c r="G215" i="17"/>
  <c r="H215" i="17" s="1"/>
  <c r="I215" i="17" s="1"/>
  <c r="J215" i="17" s="1"/>
  <c r="K215" i="17" s="1"/>
  <c r="M215" i="17" s="1"/>
  <c r="N227" i="17" s="1"/>
  <c r="G247" i="12"/>
  <c r="E247" i="12"/>
  <c r="I226" i="15"/>
  <c r="J226" i="15" s="1"/>
  <c r="K226" i="15" s="1"/>
  <c r="M226" i="15" s="1"/>
  <c r="N238" i="15" s="1"/>
  <c r="O235" i="14"/>
  <c r="D236" i="14" s="1"/>
  <c r="E236" i="14" s="1"/>
  <c r="O162" i="1"/>
  <c r="D163" i="1" s="1"/>
  <c r="G163" i="1" s="1"/>
  <c r="O215" i="17" l="1"/>
  <c r="D216" i="17" s="1"/>
  <c r="G216" i="17" s="1"/>
  <c r="H216" i="17" s="1"/>
  <c r="P215" i="17"/>
  <c r="Q215" i="17" s="1"/>
  <c r="O226" i="15"/>
  <c r="D227" i="15" s="1"/>
  <c r="E227" i="15" s="1"/>
  <c r="P226" i="15"/>
  <c r="Q226" i="15" s="1"/>
  <c r="H247" i="12"/>
  <c r="G236" i="14"/>
  <c r="H236" i="14" s="1"/>
  <c r="I236" i="14" s="1"/>
  <c r="J236" i="14" s="1"/>
  <c r="K236" i="14" s="1"/>
  <c r="M236" i="14" s="1"/>
  <c r="N248" i="14" s="1"/>
  <c r="E163" i="1"/>
  <c r="M162" i="1"/>
  <c r="E216" i="17" l="1"/>
  <c r="H163" i="1"/>
  <c r="I163" i="1" s="1"/>
  <c r="G227" i="15"/>
  <c r="H227" i="15" s="1"/>
  <c r="I227" i="15" s="1"/>
  <c r="P227" i="15" s="1"/>
  <c r="Q227" i="15" s="1"/>
  <c r="I216" i="17"/>
  <c r="I247" i="12"/>
  <c r="P247" i="12" s="1"/>
  <c r="Q247" i="12" s="1"/>
  <c r="P236" i="14"/>
  <c r="Q236" i="14" s="1"/>
  <c r="O236" i="14"/>
  <c r="D237" i="14" s="1"/>
  <c r="E237" i="14" s="1"/>
  <c r="N172" i="1"/>
  <c r="J247" i="12" l="1"/>
  <c r="P216" i="17"/>
  <c r="Q216" i="17" s="1"/>
  <c r="J216" i="17"/>
  <c r="K216" i="17" s="1"/>
  <c r="M216" i="17" s="1"/>
  <c r="N228" i="17" s="1"/>
  <c r="G237" i="14"/>
  <c r="H237" i="14" s="1"/>
  <c r="I237" i="14" s="1"/>
  <c r="J237" i="14" s="1"/>
  <c r="K237" i="14" s="1"/>
  <c r="M237" i="14" s="1"/>
  <c r="N249" i="14" s="1"/>
  <c r="J227" i="15"/>
  <c r="K227" i="15" s="1"/>
  <c r="M227" i="15" s="1"/>
  <c r="N239" i="15" s="1"/>
  <c r="O247" i="12"/>
  <c r="D248" i="12" s="1"/>
  <c r="K247" i="12"/>
  <c r="M247" i="12" s="1"/>
  <c r="N259" i="12" s="1"/>
  <c r="J163" i="1"/>
  <c r="K163" i="1" s="1"/>
  <c r="P163" i="1"/>
  <c r="Q163" i="1" s="1"/>
  <c r="O216" i="17" l="1"/>
  <c r="D217" i="17" s="1"/>
  <c r="E217" i="17" s="1"/>
  <c r="G248" i="12"/>
  <c r="E248" i="12"/>
  <c r="O227" i="15"/>
  <c r="D228" i="15" s="1"/>
  <c r="O237" i="14"/>
  <c r="D238" i="14" s="1"/>
  <c r="P237" i="14"/>
  <c r="Q237" i="14" s="1"/>
  <c r="O163" i="1"/>
  <c r="D164" i="1" s="1"/>
  <c r="G164" i="1" s="1"/>
  <c r="G217" i="17" l="1"/>
  <c r="H217" i="17" s="1"/>
  <c r="I217" i="17" s="1"/>
  <c r="H248" i="12"/>
  <c r="I248" i="12" s="1"/>
  <c r="P248" i="12" s="1"/>
  <c r="Q248" i="12" s="1"/>
  <c r="E228" i="15"/>
  <c r="G228" i="15"/>
  <c r="H228" i="15" s="1"/>
  <c r="I228" i="15" s="1"/>
  <c r="E238" i="14"/>
  <c r="G238" i="14"/>
  <c r="E164" i="1"/>
  <c r="M163" i="1"/>
  <c r="H164" i="1" l="1"/>
  <c r="I164" i="1" s="1"/>
  <c r="P217" i="17"/>
  <c r="Q217" i="17" s="1"/>
  <c r="J217" i="17"/>
  <c r="K217" i="17" s="1"/>
  <c r="M217" i="17" s="1"/>
  <c r="N229" i="17" s="1"/>
  <c r="J248" i="12"/>
  <c r="K248" i="12" s="1"/>
  <c r="M248" i="12" s="1"/>
  <c r="N260" i="12" s="1"/>
  <c r="P228" i="15"/>
  <c r="Q228" i="15" s="1"/>
  <c r="J228" i="15"/>
  <c r="K228" i="15" s="1"/>
  <c r="M228" i="15" s="1"/>
  <c r="N240" i="15" s="1"/>
  <c r="H238" i="14"/>
  <c r="I238" i="14" s="1"/>
  <c r="P238" i="14" s="1"/>
  <c r="Q238" i="14" s="1"/>
  <c r="N173" i="1"/>
  <c r="O217" i="17" l="1"/>
  <c r="D218" i="17" s="1"/>
  <c r="E218" i="17" s="1"/>
  <c r="O228" i="15"/>
  <c r="D229" i="15" s="1"/>
  <c r="E229" i="15" s="1"/>
  <c r="O248" i="12"/>
  <c r="D249" i="12" s="1"/>
  <c r="J238" i="14"/>
  <c r="K238" i="14" s="1"/>
  <c r="M238" i="14" s="1"/>
  <c r="N250" i="14" s="1"/>
  <c r="P164" i="1"/>
  <c r="Q164" i="1" s="1"/>
  <c r="J164" i="1"/>
  <c r="K164" i="1" s="1"/>
  <c r="G218" i="17" l="1"/>
  <c r="H218" i="17"/>
  <c r="I218" i="17" s="1"/>
  <c r="P218" i="17" s="1"/>
  <c r="Q218" i="17" s="1"/>
  <c r="G229" i="15"/>
  <c r="H229" i="15" s="1"/>
  <c r="I229" i="15" s="1"/>
  <c r="P229" i="15" s="1"/>
  <c r="Q229" i="15" s="1"/>
  <c r="E249" i="12"/>
  <c r="G249" i="12"/>
  <c r="H249" i="12" s="1"/>
  <c r="I249" i="12" s="1"/>
  <c r="J249" i="12" s="1"/>
  <c r="K249" i="12" s="1"/>
  <c r="M249" i="12" s="1"/>
  <c r="N261" i="12" s="1"/>
  <c r="O238" i="14"/>
  <c r="D239" i="14" s="1"/>
  <c r="G239" i="14" s="1"/>
  <c r="O164" i="1"/>
  <c r="D165" i="1" s="1"/>
  <c r="G165" i="1" s="1"/>
  <c r="E239" i="14" l="1"/>
  <c r="J218" i="17"/>
  <c r="K218" i="17" s="1"/>
  <c r="M218" i="17" s="1"/>
  <c r="N230" i="17" s="1"/>
  <c r="P249" i="12"/>
  <c r="Q249" i="12" s="1"/>
  <c r="H239" i="14"/>
  <c r="I239" i="14" s="1"/>
  <c r="P239" i="14" s="1"/>
  <c r="Q239" i="14" s="1"/>
  <c r="O249" i="12"/>
  <c r="D250" i="12" s="1"/>
  <c r="J229" i="15"/>
  <c r="K229" i="15" s="1"/>
  <c r="M229" i="15" s="1"/>
  <c r="N241" i="15" s="1"/>
  <c r="E165" i="1"/>
  <c r="M164" i="1"/>
  <c r="H165" i="1" l="1"/>
  <c r="I165" i="1" s="1"/>
  <c r="O218" i="17"/>
  <c r="D219" i="17" s="1"/>
  <c r="H219" i="17" s="1"/>
  <c r="I219" i="17" s="1"/>
  <c r="J239" i="14"/>
  <c r="K239" i="14" s="1"/>
  <c r="M239" i="14" s="1"/>
  <c r="N251" i="14" s="1"/>
  <c r="O229" i="15"/>
  <c r="D230" i="15" s="1"/>
  <c r="E250" i="12"/>
  <c r="G250" i="12"/>
  <c r="N174" i="1"/>
  <c r="H250" i="12" l="1"/>
  <c r="E219" i="17"/>
  <c r="P219" i="17" s="1"/>
  <c r="Q219" i="17" s="1"/>
  <c r="G219" i="17"/>
  <c r="O239" i="14"/>
  <c r="D240" i="14" s="1"/>
  <c r="E240" i="14" s="1"/>
  <c r="J219" i="17"/>
  <c r="I250" i="12"/>
  <c r="J250" i="12" s="1"/>
  <c r="K250" i="12" s="1"/>
  <c r="M250" i="12" s="1"/>
  <c r="N262" i="12" s="1"/>
  <c r="E230" i="15"/>
  <c r="G230" i="15"/>
  <c r="H230" i="15" s="1"/>
  <c r="I230" i="15" s="1"/>
  <c r="J165" i="1"/>
  <c r="K165" i="1" s="1"/>
  <c r="P165" i="1"/>
  <c r="Q165" i="1" s="1"/>
  <c r="G240" i="14" l="1"/>
  <c r="P230" i="15"/>
  <c r="Q230" i="15" s="1"/>
  <c r="K219" i="17"/>
  <c r="M219" i="17" s="1"/>
  <c r="N231" i="17" s="1"/>
  <c r="O219" i="17"/>
  <c r="D220" i="17" s="1"/>
  <c r="J230" i="15"/>
  <c r="K230" i="15" s="1"/>
  <c r="M230" i="15" s="1"/>
  <c r="N242" i="15" s="1"/>
  <c r="P250" i="12"/>
  <c r="Q250" i="12" s="1"/>
  <c r="O250" i="12"/>
  <c r="D251" i="12" s="1"/>
  <c r="H240" i="14"/>
  <c r="O165" i="1"/>
  <c r="D166" i="1" s="1"/>
  <c r="G166" i="1" s="1"/>
  <c r="E220" i="17" l="1"/>
  <c r="G220" i="17"/>
  <c r="H220" i="17" s="1"/>
  <c r="I220" i="17" s="1"/>
  <c r="J220" i="17" s="1"/>
  <c r="K220" i="17" s="1"/>
  <c r="M220" i="17" s="1"/>
  <c r="N232" i="17" s="1"/>
  <c r="G251" i="12"/>
  <c r="E251" i="12"/>
  <c r="H251" i="12" s="1"/>
  <c r="I251" i="12" s="1"/>
  <c r="P251" i="12" s="1"/>
  <c r="Q251" i="12" s="1"/>
  <c r="O230" i="15"/>
  <c r="D231" i="15" s="1"/>
  <c r="I240" i="14"/>
  <c r="P240" i="14" s="1"/>
  <c r="Q240" i="14" s="1"/>
  <c r="E166" i="1"/>
  <c r="M165" i="1"/>
  <c r="H166" i="1" l="1"/>
  <c r="I166" i="1" s="1"/>
  <c r="J251" i="12"/>
  <c r="O251" i="12" s="1"/>
  <c r="D252" i="12" s="1"/>
  <c r="G252" i="12" s="1"/>
  <c r="P220" i="17"/>
  <c r="Q220" i="17" s="1"/>
  <c r="O220" i="17"/>
  <c r="D221" i="17" s="1"/>
  <c r="E231" i="15"/>
  <c r="G231" i="15"/>
  <c r="H231" i="15" s="1"/>
  <c r="I231" i="15" s="1"/>
  <c r="J240" i="14"/>
  <c r="N175" i="1"/>
  <c r="P231" i="15" l="1"/>
  <c r="Q231" i="15" s="1"/>
  <c r="E252" i="12"/>
  <c r="H252" i="12" s="1"/>
  <c r="K251" i="12"/>
  <c r="M251" i="12" s="1"/>
  <c r="N263" i="12" s="1"/>
  <c r="E221" i="17"/>
  <c r="G221" i="17"/>
  <c r="H221" i="17" s="1"/>
  <c r="J231" i="15"/>
  <c r="K231" i="15" s="1"/>
  <c r="M231" i="15" s="1"/>
  <c r="N243" i="15" s="1"/>
  <c r="K240" i="14"/>
  <c r="M240" i="14" s="1"/>
  <c r="N252" i="14" s="1"/>
  <c r="O240" i="14"/>
  <c r="D241" i="14" s="1"/>
  <c r="P166" i="1"/>
  <c r="Q166" i="1" s="1"/>
  <c r="J166" i="1"/>
  <c r="K166" i="1" s="1"/>
  <c r="I221" i="17" l="1"/>
  <c r="P221" i="17" s="1"/>
  <c r="Q221" i="17" s="1"/>
  <c r="O231" i="15"/>
  <c r="D232" i="15" s="1"/>
  <c r="G241" i="14"/>
  <c r="E241" i="14"/>
  <c r="I252" i="12"/>
  <c r="P252" i="12" s="1"/>
  <c r="Q252" i="12" s="1"/>
  <c r="O166" i="1"/>
  <c r="D167" i="1" s="1"/>
  <c r="G167" i="1" s="1"/>
  <c r="J221" i="17" l="1"/>
  <c r="K221" i="17" s="1"/>
  <c r="M221" i="17" s="1"/>
  <c r="N233" i="17" s="1"/>
  <c r="G232" i="15"/>
  <c r="E232" i="15"/>
  <c r="H241" i="14"/>
  <c r="J252" i="12"/>
  <c r="K252" i="12" s="1"/>
  <c r="M252" i="12" s="1"/>
  <c r="N264" i="12" s="1"/>
  <c r="E167" i="1"/>
  <c r="M166" i="1"/>
  <c r="O221" i="17" l="1"/>
  <c r="D222" i="17" s="1"/>
  <c r="E222" i="17" s="1"/>
  <c r="H167" i="1"/>
  <c r="I167" i="1" s="1"/>
  <c r="H232" i="15"/>
  <c r="I232" i="15" s="1"/>
  <c r="I241" i="14"/>
  <c r="J241" i="14" s="1"/>
  <c r="K241" i="14" s="1"/>
  <c r="M241" i="14" s="1"/>
  <c r="N253" i="14" s="1"/>
  <c r="O252" i="12"/>
  <c r="D253" i="12" s="1"/>
  <c r="E253" i="12" s="1"/>
  <c r="N176" i="1"/>
  <c r="G222" i="17" l="1"/>
  <c r="H222" i="17" s="1"/>
  <c r="I222" i="17" s="1"/>
  <c r="J222" i="17"/>
  <c r="K222" i="17" s="1"/>
  <c r="M222" i="17" s="1"/>
  <c r="N234" i="17" s="1"/>
  <c r="P222" i="17"/>
  <c r="Q222" i="17" s="1"/>
  <c r="J232" i="15"/>
  <c r="K232" i="15" s="1"/>
  <c r="M232" i="15" s="1"/>
  <c r="N244" i="15" s="1"/>
  <c r="P232" i="15"/>
  <c r="Q232" i="15" s="1"/>
  <c r="G253" i="12"/>
  <c r="H253" i="12" s="1"/>
  <c r="I253" i="12" s="1"/>
  <c r="J253" i="12" s="1"/>
  <c r="P241" i="14"/>
  <c r="Q241" i="14" s="1"/>
  <c r="O241" i="14"/>
  <c r="D242" i="14" s="1"/>
  <c r="P167" i="1"/>
  <c r="Q167" i="1" s="1"/>
  <c r="J167" i="1"/>
  <c r="K167" i="1" s="1"/>
  <c r="O222" i="17" l="1"/>
  <c r="D223" i="17" s="1"/>
  <c r="E223" i="17" s="1"/>
  <c r="O232" i="15"/>
  <c r="D233" i="15" s="1"/>
  <c r="G233" i="15" s="1"/>
  <c r="G223" i="17"/>
  <c r="E242" i="14"/>
  <c r="G242" i="14"/>
  <c r="P253" i="12"/>
  <c r="Q253" i="12" s="1"/>
  <c r="O253" i="12"/>
  <c r="D254" i="12" s="1"/>
  <c r="K253" i="12"/>
  <c r="M253" i="12" s="1"/>
  <c r="N265" i="12" s="1"/>
  <c r="O167" i="1"/>
  <c r="D168" i="1" s="1"/>
  <c r="G168" i="1" s="1"/>
  <c r="H242" i="14" l="1"/>
  <c r="I242" i="14" s="1"/>
  <c r="H223" i="17"/>
  <c r="I223" i="17" s="1"/>
  <c r="E233" i="15"/>
  <c r="H233" i="15"/>
  <c r="J242" i="14"/>
  <c r="K242" i="14" s="1"/>
  <c r="M242" i="14" s="1"/>
  <c r="N254" i="14" s="1"/>
  <c r="P242" i="14"/>
  <c r="Q242" i="14" s="1"/>
  <c r="E254" i="12"/>
  <c r="G254" i="12"/>
  <c r="E168" i="1"/>
  <c r="M167" i="1"/>
  <c r="H168" i="1" l="1"/>
  <c r="I168" i="1" s="1"/>
  <c r="J223" i="17"/>
  <c r="K223" i="17" s="1"/>
  <c r="M223" i="17" s="1"/>
  <c r="N235" i="17" s="1"/>
  <c r="P223" i="17"/>
  <c r="Q223" i="17" s="1"/>
  <c r="I233" i="15"/>
  <c r="J233" i="15" s="1"/>
  <c r="K233" i="15" s="1"/>
  <c r="M233" i="15" s="1"/>
  <c r="N245" i="15" s="1"/>
  <c r="H254" i="12"/>
  <c r="I254" i="12" s="1"/>
  <c r="O242" i="14"/>
  <c r="D243" i="14" s="1"/>
  <c r="N177" i="1"/>
  <c r="O223" i="17" l="1"/>
  <c r="D224" i="17" s="1"/>
  <c r="G224" i="17" s="1"/>
  <c r="O233" i="15"/>
  <c r="D234" i="15" s="1"/>
  <c r="P254" i="12"/>
  <c r="Q254" i="12" s="1"/>
  <c r="P233" i="15"/>
  <c r="Q233" i="15" s="1"/>
  <c r="J254" i="12"/>
  <c r="K254" i="12" s="1"/>
  <c r="M254" i="12" s="1"/>
  <c r="N266" i="12" s="1"/>
  <c r="E243" i="14"/>
  <c r="G243" i="14"/>
  <c r="P168" i="1"/>
  <c r="Q168" i="1" s="1"/>
  <c r="J168" i="1"/>
  <c r="K168" i="1" s="1"/>
  <c r="E224" i="17" l="1"/>
  <c r="H224" i="17" s="1"/>
  <c r="O254" i="12"/>
  <c r="D255" i="12" s="1"/>
  <c r="E234" i="15"/>
  <c r="G234" i="15"/>
  <c r="H234" i="15" s="1"/>
  <c r="I234" i="15" s="1"/>
  <c r="H243" i="14"/>
  <c r="I243" i="14" s="1"/>
  <c r="J243" i="14" s="1"/>
  <c r="K243" i="14" s="1"/>
  <c r="M243" i="14" s="1"/>
  <c r="N255" i="14" s="1"/>
  <c r="E255" i="12"/>
  <c r="G255" i="12"/>
  <c r="O168" i="1"/>
  <c r="D169" i="1" s="1"/>
  <c r="G169" i="1" s="1"/>
  <c r="I224" i="17" l="1"/>
  <c r="P224" i="17" s="1"/>
  <c r="Q224" i="17" s="1"/>
  <c r="O243" i="14"/>
  <c r="D244" i="14" s="1"/>
  <c r="E244" i="14" s="1"/>
  <c r="P234" i="15"/>
  <c r="Q234" i="15" s="1"/>
  <c r="J234" i="15"/>
  <c r="K234" i="15" s="1"/>
  <c r="M234" i="15" s="1"/>
  <c r="N246" i="15" s="1"/>
  <c r="P243" i="14"/>
  <c r="Q243" i="14" s="1"/>
  <c r="H255" i="12"/>
  <c r="I255" i="12" s="1"/>
  <c r="P255" i="12" s="1"/>
  <c r="Q255" i="12" s="1"/>
  <c r="E169" i="1"/>
  <c r="M168" i="1"/>
  <c r="G244" i="14" l="1"/>
  <c r="H244" i="14" s="1"/>
  <c r="I244" i="14" s="1"/>
  <c r="J244" i="14" s="1"/>
  <c r="K244" i="14" s="1"/>
  <c r="M244" i="14" s="1"/>
  <c r="N256" i="14" s="1"/>
  <c r="H169" i="1"/>
  <c r="I169" i="1" s="1"/>
  <c r="J224" i="17"/>
  <c r="K224" i="17" s="1"/>
  <c r="M224" i="17" s="1"/>
  <c r="N236" i="17" s="1"/>
  <c r="O234" i="15"/>
  <c r="D235" i="15" s="1"/>
  <c r="E235" i="15" s="1"/>
  <c r="J255" i="12"/>
  <c r="K255" i="12" s="1"/>
  <c r="M255" i="12" s="1"/>
  <c r="N267" i="12" s="1"/>
  <c r="N178" i="1"/>
  <c r="P244" i="14" l="1"/>
  <c r="Q244" i="14" s="1"/>
  <c r="O244" i="14"/>
  <c r="D245" i="14" s="1"/>
  <c r="O224" i="17"/>
  <c r="D225" i="17" s="1"/>
  <c r="G225" i="17" s="1"/>
  <c r="G235" i="15"/>
  <c r="H235" i="15" s="1"/>
  <c r="I235" i="15" s="1"/>
  <c r="O255" i="12"/>
  <c r="D256" i="12" s="1"/>
  <c r="E256" i="12" s="1"/>
  <c r="G245" i="14"/>
  <c r="E245" i="14"/>
  <c r="J169" i="1"/>
  <c r="K169" i="1" s="1"/>
  <c r="P169" i="1"/>
  <c r="Q169" i="1" s="1"/>
  <c r="G256" i="12" l="1"/>
  <c r="H256" i="12" s="1"/>
  <c r="I256" i="12" s="1"/>
  <c r="P256" i="12" s="1"/>
  <c r="Q256" i="12" s="1"/>
  <c r="E225" i="17"/>
  <c r="H225" i="17" s="1"/>
  <c r="I225" i="17" s="1"/>
  <c r="P225" i="17" s="1"/>
  <c r="Q225" i="17" s="1"/>
  <c r="J235" i="15"/>
  <c r="K235" i="15" s="1"/>
  <c r="M235" i="15" s="1"/>
  <c r="N247" i="15" s="1"/>
  <c r="P235" i="15"/>
  <c r="Q235" i="15" s="1"/>
  <c r="H245" i="14"/>
  <c r="O169" i="1"/>
  <c r="D170" i="1" s="1"/>
  <c r="G170" i="1" s="1"/>
  <c r="J225" i="17" l="1"/>
  <c r="K225" i="17" s="1"/>
  <c r="M225" i="17" s="1"/>
  <c r="N237" i="17" s="1"/>
  <c r="O235" i="15"/>
  <c r="D236" i="15" s="1"/>
  <c r="E236" i="15" s="1"/>
  <c r="I245" i="14"/>
  <c r="J256" i="12"/>
  <c r="K256" i="12" s="1"/>
  <c r="M256" i="12" s="1"/>
  <c r="N268" i="12" s="1"/>
  <c r="E170" i="1"/>
  <c r="M169" i="1"/>
  <c r="O225" i="17" l="1"/>
  <c r="D226" i="17" s="1"/>
  <c r="G226" i="17" s="1"/>
  <c r="H170" i="1"/>
  <c r="I170" i="1" s="1"/>
  <c r="E226" i="17"/>
  <c r="G236" i="15"/>
  <c r="H236" i="15" s="1"/>
  <c r="I236" i="15" s="1"/>
  <c r="P236" i="15" s="1"/>
  <c r="Q236" i="15" s="1"/>
  <c r="P245" i="14"/>
  <c r="Q245" i="14" s="1"/>
  <c r="J245" i="14"/>
  <c r="K245" i="14" s="1"/>
  <c r="M245" i="14" s="1"/>
  <c r="N257" i="14" s="1"/>
  <c r="H226" i="17"/>
  <c r="O256" i="12"/>
  <c r="D257" i="12" s="1"/>
  <c r="N179" i="1"/>
  <c r="O245" i="14" l="1"/>
  <c r="D246" i="14" s="1"/>
  <c r="I226" i="17"/>
  <c r="P226" i="17" s="1"/>
  <c r="Q226" i="17" s="1"/>
  <c r="J236" i="15"/>
  <c r="K236" i="15" s="1"/>
  <c r="M236" i="15" s="1"/>
  <c r="N248" i="15" s="1"/>
  <c r="E246" i="14"/>
  <c r="G246" i="14"/>
  <c r="E257" i="12"/>
  <c r="G257" i="12"/>
  <c r="P170" i="1"/>
  <c r="Q170" i="1" s="1"/>
  <c r="J170" i="1"/>
  <c r="K170" i="1" s="1"/>
  <c r="H246" i="14" l="1"/>
  <c r="I246" i="14" s="1"/>
  <c r="J246" i="14" s="1"/>
  <c r="K246" i="14" s="1"/>
  <c r="M246" i="14" s="1"/>
  <c r="N258" i="14" s="1"/>
  <c r="J226" i="17"/>
  <c r="K226" i="17" s="1"/>
  <c r="M226" i="17" s="1"/>
  <c r="N238" i="17" s="1"/>
  <c r="O236" i="15"/>
  <c r="D237" i="15" s="1"/>
  <c r="H257" i="12"/>
  <c r="I257" i="12" s="1"/>
  <c r="O170" i="1"/>
  <c r="D171" i="1" s="1"/>
  <c r="G171" i="1" s="1"/>
  <c r="P246" i="14" l="1"/>
  <c r="Q246" i="14" s="1"/>
  <c r="O246" i="14"/>
  <c r="D247" i="14" s="1"/>
  <c r="E247" i="14" s="1"/>
  <c r="O226" i="17"/>
  <c r="D227" i="17" s="1"/>
  <c r="G227" i="17" s="1"/>
  <c r="H227" i="17" s="1"/>
  <c r="E237" i="15"/>
  <c r="G237" i="15"/>
  <c r="H237" i="15" s="1"/>
  <c r="I237" i="15" s="1"/>
  <c r="G247" i="14"/>
  <c r="P257" i="12"/>
  <c r="Q257" i="12" s="1"/>
  <c r="J257" i="12"/>
  <c r="K257" i="12" s="1"/>
  <c r="M257" i="12" s="1"/>
  <c r="N269" i="12" s="1"/>
  <c r="E171" i="1"/>
  <c r="M170" i="1"/>
  <c r="P237" i="15" l="1"/>
  <c r="Q237" i="15" s="1"/>
  <c r="H171" i="1"/>
  <c r="I171" i="1" s="1"/>
  <c r="E227" i="17"/>
  <c r="I227" i="17"/>
  <c r="J227" i="17" s="1"/>
  <c r="K227" i="17" s="1"/>
  <c r="M227" i="17" s="1"/>
  <c r="N239" i="17" s="1"/>
  <c r="H247" i="14"/>
  <c r="I247" i="14" s="1"/>
  <c r="P247" i="14" s="1"/>
  <c r="Q247" i="14" s="1"/>
  <c r="J237" i="15"/>
  <c r="K237" i="15" s="1"/>
  <c r="M237" i="15" s="1"/>
  <c r="N249" i="15" s="1"/>
  <c r="O257" i="12"/>
  <c r="D258" i="12" s="1"/>
  <c r="N180" i="1"/>
  <c r="P227" i="17" l="1"/>
  <c r="Q227" i="17" s="1"/>
  <c r="J247" i="14"/>
  <c r="K247" i="14" s="1"/>
  <c r="M247" i="14" s="1"/>
  <c r="N259" i="14" s="1"/>
  <c r="O227" i="17"/>
  <c r="D228" i="17" s="1"/>
  <c r="O237" i="15"/>
  <c r="D238" i="15" s="1"/>
  <c r="E258" i="12"/>
  <c r="G258" i="12"/>
  <c r="J171" i="1"/>
  <c r="K171" i="1" s="1"/>
  <c r="P171" i="1"/>
  <c r="Q171" i="1" s="1"/>
  <c r="O247" i="14" l="1"/>
  <c r="D248" i="14" s="1"/>
  <c r="E248" i="14" s="1"/>
  <c r="G228" i="17"/>
  <c r="E228" i="17"/>
  <c r="G238" i="15"/>
  <c r="E238" i="15"/>
  <c r="H258" i="12"/>
  <c r="I258" i="12" s="1"/>
  <c r="J258" i="12" s="1"/>
  <c r="K258" i="12" s="1"/>
  <c r="M258" i="12" s="1"/>
  <c r="N270" i="12" s="1"/>
  <c r="O171" i="1"/>
  <c r="D172" i="1" s="1"/>
  <c r="G172" i="1" s="1"/>
  <c r="G248" i="14" l="1"/>
  <c r="H248" i="14" s="1"/>
  <c r="H228" i="17"/>
  <c r="H238" i="15"/>
  <c r="I238" i="15" s="1"/>
  <c r="J238" i="15" s="1"/>
  <c r="K238" i="15" s="1"/>
  <c r="M238" i="15" s="1"/>
  <c r="N250" i="15" s="1"/>
  <c r="O258" i="12"/>
  <c r="D259" i="12" s="1"/>
  <c r="E259" i="12" s="1"/>
  <c r="P258" i="12"/>
  <c r="Q258" i="12" s="1"/>
  <c r="E172" i="1"/>
  <c r="M171" i="1"/>
  <c r="I248" i="14" l="1"/>
  <c r="P248" i="14" s="1"/>
  <c r="Q248" i="14" s="1"/>
  <c r="J248" i="14"/>
  <c r="K248" i="14" s="1"/>
  <c r="M248" i="14" s="1"/>
  <c r="N260" i="14" s="1"/>
  <c r="H172" i="1"/>
  <c r="I172" i="1" s="1"/>
  <c r="P238" i="15"/>
  <c r="Q238" i="15" s="1"/>
  <c r="O238" i="15"/>
  <c r="D239" i="15" s="1"/>
  <c r="E239" i="15" s="1"/>
  <c r="I228" i="17"/>
  <c r="P228" i="17" s="1"/>
  <c r="Q228" i="17" s="1"/>
  <c r="G259" i="12"/>
  <c r="H259" i="12" s="1"/>
  <c r="I259" i="12" s="1"/>
  <c r="J259" i="12" s="1"/>
  <c r="K259" i="12" s="1"/>
  <c r="M259" i="12" s="1"/>
  <c r="N271" i="12" s="1"/>
  <c r="N181" i="1"/>
  <c r="O248" i="14" l="1"/>
  <c r="D249" i="14" s="1"/>
  <c r="J228" i="17"/>
  <c r="K228" i="17" s="1"/>
  <c r="M228" i="17" s="1"/>
  <c r="N240" i="17" s="1"/>
  <c r="G239" i="15"/>
  <c r="H239" i="15" s="1"/>
  <c r="I239" i="15" s="1"/>
  <c r="P259" i="12"/>
  <c r="Q259" i="12" s="1"/>
  <c r="O259" i="12"/>
  <c r="D260" i="12" s="1"/>
  <c r="E260" i="12" s="1"/>
  <c r="G249" i="14"/>
  <c r="E249" i="14"/>
  <c r="P172" i="1"/>
  <c r="Q172" i="1" s="1"/>
  <c r="J172" i="1"/>
  <c r="K172" i="1" s="1"/>
  <c r="O228" i="17" l="1"/>
  <c r="D229" i="17" s="1"/>
  <c r="E229" i="17" s="1"/>
  <c r="G229" i="17"/>
  <c r="H229" i="17"/>
  <c r="I229" i="17" s="1"/>
  <c r="J229" i="17" s="1"/>
  <c r="K229" i="17" s="1"/>
  <c r="M229" i="17" s="1"/>
  <c r="N241" i="17" s="1"/>
  <c r="J239" i="15"/>
  <c r="O239" i="15" s="1"/>
  <c r="D240" i="15" s="1"/>
  <c r="E240" i="15" s="1"/>
  <c r="P239" i="15"/>
  <c r="Q239" i="15" s="1"/>
  <c r="G260" i="12"/>
  <c r="H260" i="12" s="1"/>
  <c r="I260" i="12" s="1"/>
  <c r="J260" i="12" s="1"/>
  <c r="K260" i="12" s="1"/>
  <c r="M260" i="12" s="1"/>
  <c r="N272" i="12" s="1"/>
  <c r="H249" i="14"/>
  <c r="I249" i="14" s="1"/>
  <c r="O172" i="1"/>
  <c r="D173" i="1" s="1"/>
  <c r="G173" i="1" s="1"/>
  <c r="O229" i="17" l="1"/>
  <c r="D230" i="17" s="1"/>
  <c r="G230" i="17" s="1"/>
  <c r="P229" i="17"/>
  <c r="Q229" i="17" s="1"/>
  <c r="K239" i="15"/>
  <c r="M239" i="15" s="1"/>
  <c r="N251" i="15" s="1"/>
  <c r="G240" i="15"/>
  <c r="H240" i="15" s="1"/>
  <c r="I240" i="15" s="1"/>
  <c r="P240" i="15" s="1"/>
  <c r="Q240" i="15" s="1"/>
  <c r="J249" i="14"/>
  <c r="K249" i="14" s="1"/>
  <c r="M249" i="14" s="1"/>
  <c r="N261" i="14" s="1"/>
  <c r="P249" i="14"/>
  <c r="Q249" i="14" s="1"/>
  <c r="O260" i="12"/>
  <c r="D261" i="12" s="1"/>
  <c r="P260" i="12"/>
  <c r="Q260" i="12" s="1"/>
  <c r="E173" i="1"/>
  <c r="M172" i="1"/>
  <c r="H173" i="1" l="1"/>
  <c r="I173" i="1" s="1"/>
  <c r="E230" i="17"/>
  <c r="H230" i="17"/>
  <c r="I230" i="17" s="1"/>
  <c r="J240" i="15"/>
  <c r="K240" i="15" s="1"/>
  <c r="M240" i="15" s="1"/>
  <c r="N252" i="15" s="1"/>
  <c r="O249" i="14"/>
  <c r="D250" i="14" s="1"/>
  <c r="G261" i="12"/>
  <c r="E261" i="12"/>
  <c r="N182" i="1"/>
  <c r="J230" i="17" l="1"/>
  <c r="K230" i="17" s="1"/>
  <c r="M230" i="17" s="1"/>
  <c r="N242" i="17" s="1"/>
  <c r="P230" i="17"/>
  <c r="Q230" i="17" s="1"/>
  <c r="O240" i="15"/>
  <c r="D241" i="15" s="1"/>
  <c r="E241" i="15" s="1"/>
  <c r="E250" i="14"/>
  <c r="G250" i="14"/>
  <c r="H261" i="12"/>
  <c r="I261" i="12" s="1"/>
  <c r="J261" i="12" s="1"/>
  <c r="K261" i="12" s="1"/>
  <c r="M261" i="12" s="1"/>
  <c r="N273" i="12" s="1"/>
  <c r="J173" i="1"/>
  <c r="K173" i="1" s="1"/>
  <c r="P173" i="1"/>
  <c r="Q173" i="1" s="1"/>
  <c r="G241" i="15" l="1"/>
  <c r="H241" i="15" s="1"/>
  <c r="I241" i="15" s="1"/>
  <c r="O230" i="17"/>
  <c r="D231" i="17" s="1"/>
  <c r="H250" i="14"/>
  <c r="P261" i="12"/>
  <c r="Q261" i="12" s="1"/>
  <c r="O261" i="12"/>
  <c r="D262" i="12" s="1"/>
  <c r="O173" i="1"/>
  <c r="D174" i="1" s="1"/>
  <c r="G174" i="1" s="1"/>
  <c r="J241" i="15" l="1"/>
  <c r="K241" i="15" s="1"/>
  <c r="M241" i="15" s="1"/>
  <c r="N253" i="15" s="1"/>
  <c r="P241" i="15"/>
  <c r="Q241" i="15" s="1"/>
  <c r="E231" i="17"/>
  <c r="G231" i="17"/>
  <c r="H231" i="17" s="1"/>
  <c r="I250" i="14"/>
  <c r="P250" i="14" s="1"/>
  <c r="Q250" i="14" s="1"/>
  <c r="E262" i="12"/>
  <c r="G262" i="12"/>
  <c r="E174" i="1"/>
  <c r="M173" i="1"/>
  <c r="O241" i="15" l="1"/>
  <c r="D242" i="15" s="1"/>
  <c r="G242" i="15" s="1"/>
  <c r="H174" i="1"/>
  <c r="I174" i="1" s="1"/>
  <c r="I231" i="17"/>
  <c r="P231" i="17" s="1"/>
  <c r="Q231" i="17" s="1"/>
  <c r="J250" i="14"/>
  <c r="K250" i="14" s="1"/>
  <c r="M250" i="14" s="1"/>
  <c r="N262" i="14" s="1"/>
  <c r="H262" i="12"/>
  <c r="I262" i="12" s="1"/>
  <c r="J262" i="12" s="1"/>
  <c r="K262" i="12" s="1"/>
  <c r="M262" i="12" s="1"/>
  <c r="N274" i="12" s="1"/>
  <c r="N183" i="1"/>
  <c r="E242" i="15" l="1"/>
  <c r="H242" i="15"/>
  <c r="I242" i="15" s="1"/>
  <c r="J242" i="15"/>
  <c r="K242" i="15" s="1"/>
  <c r="M242" i="15" s="1"/>
  <c r="N254" i="15" s="1"/>
  <c r="J231" i="17"/>
  <c r="K231" i="17" s="1"/>
  <c r="M231" i="17" s="1"/>
  <c r="N243" i="17" s="1"/>
  <c r="O250" i="14"/>
  <c r="D251" i="14" s="1"/>
  <c r="P262" i="12"/>
  <c r="Q262" i="12" s="1"/>
  <c r="O262" i="12"/>
  <c r="D263" i="12" s="1"/>
  <c r="J174" i="1"/>
  <c r="K174" i="1" s="1"/>
  <c r="P174" i="1"/>
  <c r="Q174" i="1" s="1"/>
  <c r="P242" i="15" l="1"/>
  <c r="Q242" i="15" s="1"/>
  <c r="O242" i="15"/>
  <c r="D243" i="15" s="1"/>
  <c r="H243" i="15" s="1"/>
  <c r="O231" i="17"/>
  <c r="D232" i="17" s="1"/>
  <c r="G251" i="14"/>
  <c r="E251" i="14"/>
  <c r="E263" i="12"/>
  <c r="G263" i="12"/>
  <c r="O174" i="1"/>
  <c r="D175" i="1" s="1"/>
  <c r="G175" i="1" s="1"/>
  <c r="H263" i="12" l="1"/>
  <c r="I263" i="12" s="1"/>
  <c r="J263" i="12" s="1"/>
  <c r="K263" i="12" s="1"/>
  <c r="M263" i="12" s="1"/>
  <c r="N275" i="12" s="1"/>
  <c r="E243" i="15"/>
  <c r="G243" i="15"/>
  <c r="E232" i="17"/>
  <c r="G232" i="17"/>
  <c r="H232" i="17" s="1"/>
  <c r="I232" i="17" s="1"/>
  <c r="P232" i="17" s="1"/>
  <c r="Q232" i="17" s="1"/>
  <c r="H251" i="14"/>
  <c r="I243" i="15"/>
  <c r="J243" i="15" s="1"/>
  <c r="K243" i="15" s="1"/>
  <c r="M243" i="15" s="1"/>
  <c r="N255" i="15" s="1"/>
  <c r="P263" i="12"/>
  <c r="Q263" i="12" s="1"/>
  <c r="E175" i="1"/>
  <c r="M174" i="1"/>
  <c r="O263" i="12" l="1"/>
  <c r="D264" i="12" s="1"/>
  <c r="H175" i="1"/>
  <c r="I175" i="1" s="1"/>
  <c r="J232" i="17"/>
  <c r="K232" i="17" s="1"/>
  <c r="M232" i="17" s="1"/>
  <c r="N244" i="17" s="1"/>
  <c r="I251" i="14"/>
  <c r="P251" i="14" s="1"/>
  <c r="Q251" i="14" s="1"/>
  <c r="O243" i="15"/>
  <c r="D244" i="15" s="1"/>
  <c r="P243" i="15"/>
  <c r="Q243" i="15" s="1"/>
  <c r="E264" i="12"/>
  <c r="G264" i="12"/>
  <c r="N184" i="1"/>
  <c r="O232" i="17" l="1"/>
  <c r="D233" i="17" s="1"/>
  <c r="E233" i="17" s="1"/>
  <c r="J251" i="14"/>
  <c r="E244" i="15"/>
  <c r="G244" i="15"/>
  <c r="H244" i="15" s="1"/>
  <c r="H264" i="12"/>
  <c r="I264" i="12" s="1"/>
  <c r="J264" i="12" s="1"/>
  <c r="K264" i="12" s="1"/>
  <c r="M264" i="12" s="1"/>
  <c r="N276" i="12" s="1"/>
  <c r="P175" i="1"/>
  <c r="Q175" i="1" s="1"/>
  <c r="J175" i="1"/>
  <c r="K175" i="1" s="1"/>
  <c r="G233" i="17" l="1"/>
  <c r="H233" i="17"/>
  <c r="I233" i="17" s="1"/>
  <c r="K251" i="14"/>
  <c r="M251" i="14" s="1"/>
  <c r="N263" i="14" s="1"/>
  <c r="O251" i="14"/>
  <c r="D252" i="14" s="1"/>
  <c r="I244" i="15"/>
  <c r="O264" i="12"/>
  <c r="D265" i="12" s="1"/>
  <c r="E265" i="12" s="1"/>
  <c r="P264" i="12"/>
  <c r="Q264" i="12" s="1"/>
  <c r="O175" i="1"/>
  <c r="D176" i="1" s="1"/>
  <c r="G176" i="1" s="1"/>
  <c r="P233" i="17" l="1"/>
  <c r="Q233" i="17" s="1"/>
  <c r="J233" i="17"/>
  <c r="K233" i="17" s="1"/>
  <c r="M233" i="17" s="1"/>
  <c r="N245" i="17" s="1"/>
  <c r="E252" i="14"/>
  <c r="G252" i="14"/>
  <c r="H252" i="14" s="1"/>
  <c r="I252" i="14" s="1"/>
  <c r="J252" i="14" s="1"/>
  <c r="K252" i="14" s="1"/>
  <c r="M252" i="14" s="1"/>
  <c r="N264" i="14" s="1"/>
  <c r="J244" i="15"/>
  <c r="K244" i="15" s="1"/>
  <c r="M244" i="15" s="1"/>
  <c r="N256" i="15" s="1"/>
  <c r="P244" i="15"/>
  <c r="Q244" i="15" s="1"/>
  <c r="G265" i="12"/>
  <c r="H265" i="12" s="1"/>
  <c r="E176" i="1"/>
  <c r="M175" i="1"/>
  <c r="H176" i="1" l="1"/>
  <c r="I176" i="1" s="1"/>
  <c r="O233" i="17"/>
  <c r="D234" i="17" s="1"/>
  <c r="G234" i="17" s="1"/>
  <c r="O244" i="15"/>
  <c r="D245" i="15" s="1"/>
  <c r="E245" i="15" s="1"/>
  <c r="O252" i="14"/>
  <c r="D253" i="14" s="1"/>
  <c r="P252" i="14"/>
  <c r="Q252" i="14" s="1"/>
  <c r="I265" i="12"/>
  <c r="P265" i="12" s="1"/>
  <c r="Q265" i="12" s="1"/>
  <c r="N185" i="1"/>
  <c r="E234" i="17" l="1"/>
  <c r="H234" i="17"/>
  <c r="I234" i="17" s="1"/>
  <c r="G245" i="15"/>
  <c r="H245" i="15" s="1"/>
  <c r="I245" i="15" s="1"/>
  <c r="P245" i="15" s="1"/>
  <c r="Q245" i="15" s="1"/>
  <c r="E253" i="14"/>
  <c r="G253" i="14"/>
  <c r="J265" i="12"/>
  <c r="K265" i="12" s="1"/>
  <c r="M265" i="12" s="1"/>
  <c r="N277" i="12" s="1"/>
  <c r="J176" i="1"/>
  <c r="K176" i="1" s="1"/>
  <c r="P176" i="1"/>
  <c r="Q176" i="1" s="1"/>
  <c r="H253" i="14" l="1"/>
  <c r="I253" i="14" s="1"/>
  <c r="J253" i="14" s="1"/>
  <c r="K253" i="14" s="1"/>
  <c r="M253" i="14" s="1"/>
  <c r="N265" i="14" s="1"/>
  <c r="P234" i="17"/>
  <c r="Q234" i="17" s="1"/>
  <c r="J234" i="17"/>
  <c r="K234" i="17" s="1"/>
  <c r="M234" i="17" s="1"/>
  <c r="N246" i="17" s="1"/>
  <c r="J245" i="15"/>
  <c r="K245" i="15" s="1"/>
  <c r="M245" i="15" s="1"/>
  <c r="N257" i="15" s="1"/>
  <c r="O265" i="12"/>
  <c r="D266" i="12" s="1"/>
  <c r="O176" i="1"/>
  <c r="D177" i="1" s="1"/>
  <c r="G177" i="1" s="1"/>
  <c r="P253" i="14" l="1"/>
  <c r="Q253" i="14" s="1"/>
  <c r="O234" i="17"/>
  <c r="D235" i="17" s="1"/>
  <c r="O245" i="15"/>
  <c r="D246" i="15" s="1"/>
  <c r="O253" i="14"/>
  <c r="D254" i="14" s="1"/>
  <c r="E266" i="12"/>
  <c r="G266" i="12"/>
  <c r="E177" i="1"/>
  <c r="M176" i="1"/>
  <c r="H177" i="1" l="1"/>
  <c r="I177" i="1" s="1"/>
  <c r="G235" i="17"/>
  <c r="E235" i="17"/>
  <c r="E246" i="15"/>
  <c r="G246" i="15"/>
  <c r="H246" i="15" s="1"/>
  <c r="I246" i="15" s="1"/>
  <c r="G254" i="14"/>
  <c r="E254" i="14"/>
  <c r="H266" i="12"/>
  <c r="I266" i="12" s="1"/>
  <c r="J266" i="12" s="1"/>
  <c r="K266" i="12" s="1"/>
  <c r="M266" i="12" s="1"/>
  <c r="N278" i="12" s="1"/>
  <c r="N186" i="1"/>
  <c r="H235" i="17" l="1"/>
  <c r="I235" i="17" s="1"/>
  <c r="P235" i="17" s="1"/>
  <c r="Q235" i="17" s="1"/>
  <c r="J246" i="15"/>
  <c r="K246" i="15" s="1"/>
  <c r="M246" i="15" s="1"/>
  <c r="N258" i="15" s="1"/>
  <c r="P246" i="15"/>
  <c r="Q246" i="15" s="1"/>
  <c r="P266" i="12"/>
  <c r="Q266" i="12" s="1"/>
  <c r="H254" i="14"/>
  <c r="O266" i="12"/>
  <c r="D267" i="12" s="1"/>
  <c r="J177" i="1"/>
  <c r="K177" i="1" s="1"/>
  <c r="P177" i="1"/>
  <c r="Q177" i="1" s="1"/>
  <c r="J235" i="17" l="1"/>
  <c r="K235" i="17" s="1"/>
  <c r="M235" i="17" s="1"/>
  <c r="N247" i="17" s="1"/>
  <c r="O246" i="15"/>
  <c r="D247" i="15" s="1"/>
  <c r="I254" i="14"/>
  <c r="J254" i="14" s="1"/>
  <c r="K254" i="14" s="1"/>
  <c r="M254" i="14" s="1"/>
  <c r="N266" i="14" s="1"/>
  <c r="G267" i="12"/>
  <c r="E267" i="12"/>
  <c r="O177" i="1"/>
  <c r="D178" i="1" s="1"/>
  <c r="G178" i="1" s="1"/>
  <c r="O235" i="17" l="1"/>
  <c r="D236" i="17" s="1"/>
  <c r="E247" i="15"/>
  <c r="G247" i="15"/>
  <c r="H247" i="15" s="1"/>
  <c r="O254" i="14"/>
  <c r="D255" i="14" s="1"/>
  <c r="P254" i="14"/>
  <c r="Q254" i="14" s="1"/>
  <c r="H267" i="12"/>
  <c r="E178" i="1"/>
  <c r="M177" i="1"/>
  <c r="H178" i="1" l="1"/>
  <c r="I178" i="1" s="1"/>
  <c r="G236" i="17"/>
  <c r="H236" i="17" s="1"/>
  <c r="I236" i="17" s="1"/>
  <c r="J236" i="17" s="1"/>
  <c r="K236" i="17" s="1"/>
  <c r="M236" i="17" s="1"/>
  <c r="N248" i="17" s="1"/>
  <c r="E236" i="17"/>
  <c r="I247" i="15"/>
  <c r="P247" i="15" s="1"/>
  <c r="Q247" i="15" s="1"/>
  <c r="G255" i="14"/>
  <c r="E255" i="14"/>
  <c r="I267" i="12"/>
  <c r="J267" i="12" s="1"/>
  <c r="K267" i="12" s="1"/>
  <c r="M267" i="12" s="1"/>
  <c r="N279" i="12" s="1"/>
  <c r="N187" i="1"/>
  <c r="O236" i="17" l="1"/>
  <c r="D237" i="17" s="1"/>
  <c r="P236" i="17"/>
  <c r="Q236" i="17" s="1"/>
  <c r="E237" i="17"/>
  <c r="G237" i="17"/>
  <c r="H237" i="17" s="1"/>
  <c r="I237" i="17" s="1"/>
  <c r="P237" i="17" s="1"/>
  <c r="Q237" i="17" s="1"/>
  <c r="J247" i="15"/>
  <c r="K247" i="15" s="1"/>
  <c r="M247" i="15" s="1"/>
  <c r="N259" i="15" s="1"/>
  <c r="H255" i="14"/>
  <c r="O267" i="12"/>
  <c r="D268" i="12" s="1"/>
  <c r="P267" i="12"/>
  <c r="Q267" i="12" s="1"/>
  <c r="J178" i="1"/>
  <c r="K178" i="1" s="1"/>
  <c r="P178" i="1"/>
  <c r="Q178" i="1" s="1"/>
  <c r="J237" i="17" l="1"/>
  <c r="K237" i="17" s="1"/>
  <c r="M237" i="17" s="1"/>
  <c r="N249" i="17" s="1"/>
  <c r="O247" i="15"/>
  <c r="D248" i="15" s="1"/>
  <c r="I255" i="14"/>
  <c r="J255" i="14" s="1"/>
  <c r="K255" i="14" s="1"/>
  <c r="M255" i="14" s="1"/>
  <c r="N267" i="14" s="1"/>
  <c r="E268" i="12"/>
  <c r="G268" i="12"/>
  <c r="O178" i="1"/>
  <c r="D179" i="1" s="1"/>
  <c r="G179" i="1" s="1"/>
  <c r="O237" i="17" l="1"/>
  <c r="D238" i="17" s="1"/>
  <c r="E238" i="17" s="1"/>
  <c r="G248" i="15"/>
  <c r="E248" i="15"/>
  <c r="P255" i="14"/>
  <c r="Q255" i="14" s="1"/>
  <c r="O255" i="14"/>
  <c r="D256" i="14" s="1"/>
  <c r="H268" i="12"/>
  <c r="I268" i="12" s="1"/>
  <c r="J268" i="12" s="1"/>
  <c r="K268" i="12" s="1"/>
  <c r="M268" i="12" s="1"/>
  <c r="N280" i="12" s="1"/>
  <c r="E179" i="1"/>
  <c r="M178" i="1"/>
  <c r="H179" i="1" l="1"/>
  <c r="I179" i="1" s="1"/>
  <c r="G238" i="17"/>
  <c r="H248" i="15"/>
  <c r="I248" i="15" s="1"/>
  <c r="J248" i="15" s="1"/>
  <c r="K248" i="15" s="1"/>
  <c r="M248" i="15" s="1"/>
  <c r="N260" i="15" s="1"/>
  <c r="H238" i="17"/>
  <c r="I238" i="17" s="1"/>
  <c r="P238" i="17" s="1"/>
  <c r="Q238" i="17" s="1"/>
  <c r="G256" i="14"/>
  <c r="E256" i="14"/>
  <c r="P268" i="12"/>
  <c r="Q268" i="12" s="1"/>
  <c r="O268" i="12"/>
  <c r="D269" i="12" s="1"/>
  <c r="N188" i="1"/>
  <c r="H256" i="14" l="1"/>
  <c r="I256" i="14" s="1"/>
  <c r="J256" i="14" s="1"/>
  <c r="K256" i="14" s="1"/>
  <c r="M256" i="14" s="1"/>
  <c r="N268" i="14" s="1"/>
  <c r="P248" i="15"/>
  <c r="Q248" i="15" s="1"/>
  <c r="J238" i="17"/>
  <c r="K238" i="17" s="1"/>
  <c r="M238" i="17" s="1"/>
  <c r="N250" i="17" s="1"/>
  <c r="O248" i="15"/>
  <c r="D249" i="15" s="1"/>
  <c r="P256" i="14"/>
  <c r="Q256" i="14" s="1"/>
  <c r="E269" i="12"/>
  <c r="G269" i="12"/>
  <c r="J179" i="1"/>
  <c r="K179" i="1" s="1"/>
  <c r="P179" i="1"/>
  <c r="Q179" i="1" s="1"/>
  <c r="O256" i="14" l="1"/>
  <c r="D257" i="14" s="1"/>
  <c r="O238" i="17"/>
  <c r="D239" i="17" s="1"/>
  <c r="E239" i="17" s="1"/>
  <c r="G249" i="15"/>
  <c r="E249" i="15"/>
  <c r="E257" i="14"/>
  <c r="G257" i="14"/>
  <c r="H257" i="14" s="1"/>
  <c r="I257" i="14" s="1"/>
  <c r="J257" i="14" s="1"/>
  <c r="K257" i="14" s="1"/>
  <c r="M257" i="14" s="1"/>
  <c r="N269" i="14" s="1"/>
  <c r="H269" i="12"/>
  <c r="O179" i="1"/>
  <c r="D180" i="1" s="1"/>
  <c r="G180" i="1" s="1"/>
  <c r="G239" i="17" l="1"/>
  <c r="H239" i="17" s="1"/>
  <c r="I239" i="17" s="1"/>
  <c r="J239" i="17" s="1"/>
  <c r="K239" i="17" s="1"/>
  <c r="M239" i="17" s="1"/>
  <c r="N251" i="17" s="1"/>
  <c r="H249" i="15"/>
  <c r="I249" i="15" s="1"/>
  <c r="J249" i="15" s="1"/>
  <c r="K249" i="15" s="1"/>
  <c r="M249" i="15" s="1"/>
  <c r="N261" i="15" s="1"/>
  <c r="P257" i="14"/>
  <c r="Q257" i="14" s="1"/>
  <c r="O257" i="14"/>
  <c r="D258" i="14" s="1"/>
  <c r="I269" i="12"/>
  <c r="J269" i="12" s="1"/>
  <c r="K269" i="12" s="1"/>
  <c r="M269" i="12" s="1"/>
  <c r="N281" i="12" s="1"/>
  <c r="E180" i="1"/>
  <c r="M179" i="1"/>
  <c r="H180" i="1" l="1"/>
  <c r="I180" i="1" s="1"/>
  <c r="O249" i="15"/>
  <c r="D250" i="15" s="1"/>
  <c r="G250" i="15" s="1"/>
  <c r="P249" i="15"/>
  <c r="Q249" i="15" s="1"/>
  <c r="O239" i="17"/>
  <c r="D240" i="17" s="1"/>
  <c r="P239" i="17"/>
  <c r="Q239" i="17" s="1"/>
  <c r="H250" i="15"/>
  <c r="E258" i="14"/>
  <c r="G258" i="14"/>
  <c r="P269" i="12"/>
  <c r="Q269" i="12" s="1"/>
  <c r="O269" i="12"/>
  <c r="D270" i="12" s="1"/>
  <c r="N189" i="1"/>
  <c r="H258" i="14" l="1"/>
  <c r="E250" i="15"/>
  <c r="E240" i="17"/>
  <c r="G240" i="17"/>
  <c r="H240" i="17" s="1"/>
  <c r="I240" i="17" s="1"/>
  <c r="J240" i="17" s="1"/>
  <c r="K240" i="17" s="1"/>
  <c r="M240" i="17" s="1"/>
  <c r="N252" i="17" s="1"/>
  <c r="I250" i="15"/>
  <c r="P250" i="15" s="1"/>
  <c r="Q250" i="15" s="1"/>
  <c r="I258" i="14"/>
  <c r="J258" i="14" s="1"/>
  <c r="K258" i="14" s="1"/>
  <c r="M258" i="14" s="1"/>
  <c r="N270" i="14" s="1"/>
  <c r="E270" i="12"/>
  <c r="G270" i="12"/>
  <c r="P180" i="1"/>
  <c r="Q180" i="1" s="1"/>
  <c r="J180" i="1"/>
  <c r="K180" i="1" s="1"/>
  <c r="O240" i="17" l="1"/>
  <c r="D241" i="17" s="1"/>
  <c r="P240" i="17"/>
  <c r="Q240" i="17" s="1"/>
  <c r="J250" i="15"/>
  <c r="K250" i="15" s="1"/>
  <c r="M250" i="15" s="1"/>
  <c r="N262" i="15" s="1"/>
  <c r="O258" i="14"/>
  <c r="D259" i="14" s="1"/>
  <c r="P258" i="14"/>
  <c r="Q258" i="14" s="1"/>
  <c r="H270" i="12"/>
  <c r="O180" i="1"/>
  <c r="D181" i="1" s="1"/>
  <c r="G181" i="1" s="1"/>
  <c r="E241" i="17" l="1"/>
  <c r="G241" i="17"/>
  <c r="H241" i="17" s="1"/>
  <c r="O250" i="15"/>
  <c r="D251" i="15" s="1"/>
  <c r="G251" i="15" s="1"/>
  <c r="E259" i="14"/>
  <c r="G259" i="14"/>
  <c r="I270" i="12"/>
  <c r="J270" i="12" s="1"/>
  <c r="K270" i="12" s="1"/>
  <c r="M270" i="12" s="1"/>
  <c r="N282" i="12" s="1"/>
  <c r="E181" i="1"/>
  <c r="M180" i="1"/>
  <c r="H181" i="1" l="1"/>
  <c r="I181" i="1" s="1"/>
  <c r="I241" i="17"/>
  <c r="E251" i="15"/>
  <c r="H251" i="15" s="1"/>
  <c r="I251" i="15" s="1"/>
  <c r="H259" i="14"/>
  <c r="I259" i="14" s="1"/>
  <c r="J259" i="14" s="1"/>
  <c r="K259" i="14" s="1"/>
  <c r="M259" i="14" s="1"/>
  <c r="N271" i="14" s="1"/>
  <c r="O270" i="12"/>
  <c r="D271" i="12" s="1"/>
  <c r="P270" i="12"/>
  <c r="Q270" i="12" s="1"/>
  <c r="N190" i="1"/>
  <c r="J241" i="17" l="1"/>
  <c r="K241" i="17" s="1"/>
  <c r="M241" i="17" s="1"/>
  <c r="N253" i="17" s="1"/>
  <c r="P241" i="17"/>
  <c r="Q241" i="17" s="1"/>
  <c r="P251" i="15"/>
  <c r="Q251" i="15" s="1"/>
  <c r="J251" i="15"/>
  <c r="K251" i="15" s="1"/>
  <c r="M251" i="15" s="1"/>
  <c r="N263" i="15" s="1"/>
  <c r="P259" i="14"/>
  <c r="Q259" i="14" s="1"/>
  <c r="O259" i="14"/>
  <c r="D260" i="14" s="1"/>
  <c r="G271" i="12"/>
  <c r="E271" i="12"/>
  <c r="J181" i="1"/>
  <c r="K181" i="1" s="1"/>
  <c r="P181" i="1"/>
  <c r="Q181" i="1" s="1"/>
  <c r="O241" i="17" l="1"/>
  <c r="D242" i="17" s="1"/>
  <c r="O251" i="15"/>
  <c r="D252" i="15" s="1"/>
  <c r="E260" i="14"/>
  <c r="G260" i="14"/>
  <c r="H271" i="12"/>
  <c r="I271" i="12" s="1"/>
  <c r="J271" i="12" s="1"/>
  <c r="K271" i="12" s="1"/>
  <c r="M271" i="12" s="1"/>
  <c r="N283" i="12" s="1"/>
  <c r="O181" i="1"/>
  <c r="D182" i="1" s="1"/>
  <c r="G182" i="1" s="1"/>
  <c r="E242" i="17" l="1"/>
  <c r="G242" i="17"/>
  <c r="H242" i="17" s="1"/>
  <c r="E252" i="15"/>
  <c r="G252" i="15"/>
  <c r="H252" i="15" s="1"/>
  <c r="H260" i="14"/>
  <c r="I260" i="14" s="1"/>
  <c r="J260" i="14" s="1"/>
  <c r="K260" i="14" s="1"/>
  <c r="M260" i="14" s="1"/>
  <c r="N272" i="14" s="1"/>
  <c r="P271" i="12"/>
  <c r="Q271" i="12" s="1"/>
  <c r="O271" i="12"/>
  <c r="D272" i="12" s="1"/>
  <c r="E182" i="1"/>
  <c r="M181" i="1"/>
  <c r="H182" i="1" l="1"/>
  <c r="P260" i="14"/>
  <c r="Q260" i="14" s="1"/>
  <c r="I242" i="17"/>
  <c r="P242" i="17" s="1"/>
  <c r="Q242" i="17" s="1"/>
  <c r="O260" i="14"/>
  <c r="D261" i="14" s="1"/>
  <c r="I252" i="15"/>
  <c r="J252" i="15" s="1"/>
  <c r="K252" i="15" s="1"/>
  <c r="M252" i="15" s="1"/>
  <c r="N264" i="15" s="1"/>
  <c r="G261" i="14"/>
  <c r="E261" i="14"/>
  <c r="E272" i="12"/>
  <c r="G272" i="12"/>
  <c r="I182" i="1"/>
  <c r="N191" i="1"/>
  <c r="H272" i="12" l="1"/>
  <c r="I272" i="12" s="1"/>
  <c r="J272" i="12" s="1"/>
  <c r="K272" i="12" s="1"/>
  <c r="M272" i="12" s="1"/>
  <c r="N284" i="12" s="1"/>
  <c r="J242" i="17"/>
  <c r="K242" i="17" s="1"/>
  <c r="M242" i="17" s="1"/>
  <c r="N254" i="17" s="1"/>
  <c r="P252" i="15"/>
  <c r="Q252" i="15" s="1"/>
  <c r="O252" i="15"/>
  <c r="D253" i="15" s="1"/>
  <c r="H261" i="14"/>
  <c r="I261" i="14" s="1"/>
  <c r="J261" i="14" s="1"/>
  <c r="K261" i="14" s="1"/>
  <c r="M261" i="14" s="1"/>
  <c r="N273" i="14" s="1"/>
  <c r="J182" i="1"/>
  <c r="K182" i="1" s="1"/>
  <c r="P182" i="1"/>
  <c r="Q182" i="1" s="1"/>
  <c r="P272" i="12" l="1"/>
  <c r="Q272" i="12" s="1"/>
  <c r="O272" i="12"/>
  <c r="D273" i="12" s="1"/>
  <c r="E273" i="12" s="1"/>
  <c r="O242" i="17"/>
  <c r="D243" i="17" s="1"/>
  <c r="G253" i="15"/>
  <c r="E253" i="15"/>
  <c r="P261" i="14"/>
  <c r="Q261" i="14" s="1"/>
  <c r="O261" i="14"/>
  <c r="D262" i="14" s="1"/>
  <c r="E262" i="14" s="1"/>
  <c r="O182" i="1"/>
  <c r="D183" i="1" s="1"/>
  <c r="G183" i="1" s="1"/>
  <c r="G273" i="12" l="1"/>
  <c r="G262" i="14"/>
  <c r="E243" i="17"/>
  <c r="G243" i="17"/>
  <c r="H243" i="17" s="1"/>
  <c r="H253" i="15"/>
  <c r="H262" i="14"/>
  <c r="I262" i="14" s="1"/>
  <c r="J262" i="14" s="1"/>
  <c r="K262" i="14" s="1"/>
  <c r="M262" i="14" s="1"/>
  <c r="N274" i="14" s="1"/>
  <c r="H273" i="12"/>
  <c r="I273" i="12" s="1"/>
  <c r="J273" i="12" s="1"/>
  <c r="K273" i="12" s="1"/>
  <c r="M273" i="12" s="1"/>
  <c r="N285" i="12" s="1"/>
  <c r="E183" i="1"/>
  <c r="M182" i="1"/>
  <c r="H183" i="1" l="1"/>
  <c r="I183" i="1" s="1"/>
  <c r="I243" i="17"/>
  <c r="J243" i="17" s="1"/>
  <c r="K243" i="17" s="1"/>
  <c r="M243" i="17" s="1"/>
  <c r="N255" i="17" s="1"/>
  <c r="I253" i="15"/>
  <c r="P253" i="15" s="1"/>
  <c r="Q253" i="15" s="1"/>
  <c r="P273" i="12"/>
  <c r="Q273" i="12" s="1"/>
  <c r="O273" i="12"/>
  <c r="D274" i="12" s="1"/>
  <c r="E274" i="12" s="1"/>
  <c r="P262" i="14"/>
  <c r="Q262" i="14" s="1"/>
  <c r="O262" i="14"/>
  <c r="D263" i="14" s="1"/>
  <c r="G263" i="14" s="1"/>
  <c r="N192" i="1"/>
  <c r="J253" i="15" l="1"/>
  <c r="K253" i="15" s="1"/>
  <c r="M253" i="15" s="1"/>
  <c r="N265" i="15" s="1"/>
  <c r="O243" i="17"/>
  <c r="D244" i="17" s="1"/>
  <c r="P243" i="17"/>
  <c r="Q243" i="17" s="1"/>
  <c r="G274" i="12"/>
  <c r="H274" i="12" s="1"/>
  <c r="I274" i="12" s="1"/>
  <c r="P274" i="12" s="1"/>
  <c r="Q274" i="12" s="1"/>
  <c r="E263" i="14"/>
  <c r="H263" i="14" s="1"/>
  <c r="I263" i="14" s="1"/>
  <c r="J263" i="14" s="1"/>
  <c r="K263" i="14" s="1"/>
  <c r="M263" i="14" s="1"/>
  <c r="N275" i="14" s="1"/>
  <c r="J183" i="1"/>
  <c r="K183" i="1" s="1"/>
  <c r="P183" i="1"/>
  <c r="Q183" i="1" s="1"/>
  <c r="O253" i="15" l="1"/>
  <c r="D254" i="15" s="1"/>
  <c r="E244" i="17"/>
  <c r="G244" i="17"/>
  <c r="H244" i="17" s="1"/>
  <c r="E254" i="15"/>
  <c r="G254" i="15"/>
  <c r="H254" i="15" s="1"/>
  <c r="O263" i="14"/>
  <c r="D264" i="14" s="1"/>
  <c r="P263" i="14"/>
  <c r="Q263" i="14" s="1"/>
  <c r="J274" i="12"/>
  <c r="K274" i="12" s="1"/>
  <c r="M274" i="12" s="1"/>
  <c r="N286" i="12" s="1"/>
  <c r="O183" i="1"/>
  <c r="D184" i="1" s="1"/>
  <c r="G184" i="1" s="1"/>
  <c r="I244" i="17" l="1"/>
  <c r="P244" i="17" s="1"/>
  <c r="Q244" i="17" s="1"/>
  <c r="I254" i="15"/>
  <c r="P254" i="15" s="1"/>
  <c r="Q254" i="15" s="1"/>
  <c r="E264" i="14"/>
  <c r="G264" i="14"/>
  <c r="O274" i="12"/>
  <c r="D275" i="12" s="1"/>
  <c r="E275" i="12" s="1"/>
  <c r="E184" i="1"/>
  <c r="M183" i="1"/>
  <c r="H184" i="1" l="1"/>
  <c r="I184" i="1" s="1"/>
  <c r="J244" i="17"/>
  <c r="K244" i="17" s="1"/>
  <c r="M244" i="17" s="1"/>
  <c r="N256" i="17" s="1"/>
  <c r="J254" i="15"/>
  <c r="G275" i="12"/>
  <c r="H275" i="12" s="1"/>
  <c r="I275" i="12" s="1"/>
  <c r="J275" i="12" s="1"/>
  <c r="K275" i="12" s="1"/>
  <c r="M275" i="12" s="1"/>
  <c r="N287" i="12" s="1"/>
  <c r="H264" i="14"/>
  <c r="N193" i="1"/>
  <c r="O244" i="17" l="1"/>
  <c r="D245" i="17" s="1"/>
  <c r="E245" i="17" s="1"/>
  <c r="K254" i="15"/>
  <c r="M254" i="15" s="1"/>
  <c r="N266" i="15" s="1"/>
  <c r="O254" i="15"/>
  <c r="D255" i="15" s="1"/>
  <c r="I264" i="14"/>
  <c r="P264" i="14" s="1"/>
  <c r="Q264" i="14" s="1"/>
  <c r="O275" i="12"/>
  <c r="D276" i="12" s="1"/>
  <c r="E276" i="12" s="1"/>
  <c r="P275" i="12"/>
  <c r="Q275" i="12" s="1"/>
  <c r="P184" i="1"/>
  <c r="Q184" i="1" s="1"/>
  <c r="J184" i="1"/>
  <c r="K184" i="1" s="1"/>
  <c r="G245" i="17" l="1"/>
  <c r="H245" i="17" s="1"/>
  <c r="I245" i="17" s="1"/>
  <c r="P245" i="17" s="1"/>
  <c r="Q245" i="17" s="1"/>
  <c r="E255" i="15"/>
  <c r="G255" i="15"/>
  <c r="H255" i="15" s="1"/>
  <c r="G276" i="12"/>
  <c r="H276" i="12" s="1"/>
  <c r="I276" i="12" s="1"/>
  <c r="J264" i="14"/>
  <c r="K264" i="14" s="1"/>
  <c r="M264" i="14" s="1"/>
  <c r="N276" i="14" s="1"/>
  <c r="O184" i="1"/>
  <c r="D185" i="1" s="1"/>
  <c r="G185" i="1" s="1"/>
  <c r="J245" i="17" l="1"/>
  <c r="K245" i="17" s="1"/>
  <c r="M245" i="17" s="1"/>
  <c r="N257" i="17" s="1"/>
  <c r="I255" i="15"/>
  <c r="P255" i="15" s="1"/>
  <c r="Q255" i="15" s="1"/>
  <c r="O264" i="14"/>
  <c r="D265" i="14" s="1"/>
  <c r="P276" i="12"/>
  <c r="Q276" i="12" s="1"/>
  <c r="J276" i="12"/>
  <c r="O276" i="12" s="1"/>
  <c r="D277" i="12" s="1"/>
  <c r="E185" i="1"/>
  <c r="M184" i="1"/>
  <c r="H185" i="1" l="1"/>
  <c r="I185" i="1" s="1"/>
  <c r="O245" i="17"/>
  <c r="D246" i="17" s="1"/>
  <c r="J255" i="15"/>
  <c r="K255" i="15" s="1"/>
  <c r="M255" i="15" s="1"/>
  <c r="N267" i="15" s="1"/>
  <c r="E265" i="14"/>
  <c r="G265" i="14"/>
  <c r="H265" i="14" s="1"/>
  <c r="K276" i="12"/>
  <c r="M276" i="12" s="1"/>
  <c r="N288" i="12" s="1"/>
  <c r="E277" i="12"/>
  <c r="G277" i="12"/>
  <c r="N194" i="1"/>
  <c r="G246" i="17" l="1"/>
  <c r="E246" i="17"/>
  <c r="O255" i="15"/>
  <c r="D256" i="15" s="1"/>
  <c r="E256" i="15" s="1"/>
  <c r="I265" i="14"/>
  <c r="H277" i="12"/>
  <c r="I277" i="12" s="1"/>
  <c r="P185" i="1"/>
  <c r="Q185" i="1" s="1"/>
  <c r="J185" i="1"/>
  <c r="K185" i="1" s="1"/>
  <c r="J277" i="12" l="1"/>
  <c r="K277" i="12" s="1"/>
  <c r="M277" i="12" s="1"/>
  <c r="N289" i="12" s="1"/>
  <c r="H246" i="17"/>
  <c r="I246" i="17" s="1"/>
  <c r="P246" i="17" s="1"/>
  <c r="Q246" i="17" s="1"/>
  <c r="G256" i="15"/>
  <c r="H256" i="15" s="1"/>
  <c r="I256" i="15" s="1"/>
  <c r="J256" i="15" s="1"/>
  <c r="P265" i="14"/>
  <c r="Q265" i="14" s="1"/>
  <c r="P277" i="12"/>
  <c r="Q277" i="12" s="1"/>
  <c r="J265" i="14"/>
  <c r="K265" i="14" s="1"/>
  <c r="M265" i="14" s="1"/>
  <c r="N277" i="14" s="1"/>
  <c r="O185" i="1"/>
  <c r="D186" i="1" s="1"/>
  <c r="G186" i="1" s="1"/>
  <c r="O277" i="12" l="1"/>
  <c r="D278" i="12" s="1"/>
  <c r="E278" i="12" s="1"/>
  <c r="J246" i="17"/>
  <c r="K246" i="17" s="1"/>
  <c r="M246" i="17" s="1"/>
  <c r="N258" i="17" s="1"/>
  <c r="P256" i="15"/>
  <c r="Q256" i="15" s="1"/>
  <c r="O256" i="15"/>
  <c r="D257" i="15" s="1"/>
  <c r="K256" i="15"/>
  <c r="M256" i="15" s="1"/>
  <c r="N268" i="15" s="1"/>
  <c r="G278" i="12"/>
  <c r="H278" i="12" s="1"/>
  <c r="I278" i="12" s="1"/>
  <c r="J278" i="12" s="1"/>
  <c r="K278" i="12" s="1"/>
  <c r="M278" i="12" s="1"/>
  <c r="N290" i="12" s="1"/>
  <c r="O265" i="14"/>
  <c r="D266" i="14" s="1"/>
  <c r="E186" i="1"/>
  <c r="M185" i="1"/>
  <c r="H186" i="1" l="1"/>
  <c r="I186" i="1" s="1"/>
  <c r="O246" i="17"/>
  <c r="D247" i="17" s="1"/>
  <c r="G247" i="17" s="1"/>
  <c r="E247" i="17"/>
  <c r="E257" i="15"/>
  <c r="G257" i="15"/>
  <c r="H257" i="15" s="1"/>
  <c r="I257" i="15" s="1"/>
  <c r="G266" i="14"/>
  <c r="E266" i="14"/>
  <c r="P278" i="12"/>
  <c r="Q278" i="12" s="1"/>
  <c r="O278" i="12"/>
  <c r="D279" i="12" s="1"/>
  <c r="N195" i="1"/>
  <c r="H247" i="17" l="1"/>
  <c r="I247" i="17" s="1"/>
  <c r="P247" i="17" s="1"/>
  <c r="Q247" i="17" s="1"/>
  <c r="P257" i="15"/>
  <c r="Q257" i="15" s="1"/>
  <c r="J257" i="15"/>
  <c r="K257" i="15" s="1"/>
  <c r="M257" i="15" s="1"/>
  <c r="N269" i="15" s="1"/>
  <c r="H266" i="14"/>
  <c r="E279" i="12"/>
  <c r="G279" i="12"/>
  <c r="J186" i="1"/>
  <c r="K186" i="1" s="1"/>
  <c r="P186" i="1"/>
  <c r="Q186" i="1" s="1"/>
  <c r="J247" i="17" l="1"/>
  <c r="K247" i="17" s="1"/>
  <c r="M247" i="17" s="1"/>
  <c r="N259" i="17" s="1"/>
  <c r="O257" i="15"/>
  <c r="D258" i="15" s="1"/>
  <c r="H279" i="12"/>
  <c r="I279" i="12" s="1"/>
  <c r="I266" i="14"/>
  <c r="P266" i="14" s="1"/>
  <c r="Q266" i="14" s="1"/>
  <c r="O186" i="1"/>
  <c r="D187" i="1" s="1"/>
  <c r="G187" i="1" s="1"/>
  <c r="O247" i="17" l="1"/>
  <c r="D248" i="17" s="1"/>
  <c r="E248" i="17" s="1"/>
  <c r="E258" i="15"/>
  <c r="G258" i="15"/>
  <c r="H258" i="15" s="1"/>
  <c r="I258" i="15" s="1"/>
  <c r="J266" i="14"/>
  <c r="K266" i="14" s="1"/>
  <c r="M266" i="14" s="1"/>
  <c r="N278" i="14" s="1"/>
  <c r="J279" i="12"/>
  <c r="K279" i="12" s="1"/>
  <c r="M279" i="12" s="1"/>
  <c r="N291" i="12" s="1"/>
  <c r="P279" i="12"/>
  <c r="Q279" i="12" s="1"/>
  <c r="E187" i="1"/>
  <c r="M186" i="1"/>
  <c r="G248" i="17" l="1"/>
  <c r="H248" i="17" s="1"/>
  <c r="I248" i="17" s="1"/>
  <c r="J248" i="17" s="1"/>
  <c r="K248" i="17" s="1"/>
  <c r="M248" i="17" s="1"/>
  <c r="N260" i="17" s="1"/>
  <c r="H187" i="1"/>
  <c r="I187" i="1" s="1"/>
  <c r="P258" i="15"/>
  <c r="Q258" i="15" s="1"/>
  <c r="J258" i="15"/>
  <c r="K258" i="15" s="1"/>
  <c r="M258" i="15" s="1"/>
  <c r="N270" i="15" s="1"/>
  <c r="O266" i="14"/>
  <c r="D267" i="14" s="1"/>
  <c r="E267" i="14" s="1"/>
  <c r="O279" i="12"/>
  <c r="D280" i="12" s="1"/>
  <c r="E280" i="12" s="1"/>
  <c r="N196" i="1"/>
  <c r="G267" i="14" l="1"/>
  <c r="H267" i="14"/>
  <c r="I267" i="14" s="1"/>
  <c r="P267" i="14" s="1"/>
  <c r="Q267" i="14" s="1"/>
  <c r="P248" i="17"/>
  <c r="Q248" i="17" s="1"/>
  <c r="O248" i="17"/>
  <c r="D249" i="17" s="1"/>
  <c r="O258" i="15"/>
  <c r="D259" i="15" s="1"/>
  <c r="G280" i="12"/>
  <c r="H280" i="12" s="1"/>
  <c r="I280" i="12" s="1"/>
  <c r="P280" i="12" s="1"/>
  <c r="Q280" i="12" s="1"/>
  <c r="J267" i="14"/>
  <c r="K267" i="14" s="1"/>
  <c r="M267" i="14" s="1"/>
  <c r="N279" i="14" s="1"/>
  <c r="P187" i="1"/>
  <c r="Q187" i="1" s="1"/>
  <c r="J187" i="1"/>
  <c r="K187" i="1" s="1"/>
  <c r="E249" i="17" l="1"/>
  <c r="G249" i="17"/>
  <c r="H249" i="17" s="1"/>
  <c r="I249" i="17" s="1"/>
  <c r="P249" i="17" s="1"/>
  <c r="Q249" i="17" s="1"/>
  <c r="E259" i="15"/>
  <c r="G259" i="15"/>
  <c r="H259" i="15" s="1"/>
  <c r="I259" i="15" s="1"/>
  <c r="J259" i="15" s="1"/>
  <c r="K259" i="15" s="1"/>
  <c r="M259" i="15" s="1"/>
  <c r="N271" i="15" s="1"/>
  <c r="O267" i="14"/>
  <c r="D268" i="14" s="1"/>
  <c r="E268" i="14" s="1"/>
  <c r="J280" i="12"/>
  <c r="O280" i="12" s="1"/>
  <c r="D281" i="12" s="1"/>
  <c r="O187" i="1"/>
  <c r="D188" i="1" s="1"/>
  <c r="G188" i="1" s="1"/>
  <c r="J249" i="17" l="1"/>
  <c r="K249" i="17" s="1"/>
  <c r="M249" i="17" s="1"/>
  <c r="N261" i="17" s="1"/>
  <c r="O259" i="15"/>
  <c r="D260" i="15" s="1"/>
  <c r="P259" i="15"/>
  <c r="Q259" i="15" s="1"/>
  <c r="G268" i="14"/>
  <c r="H268" i="14" s="1"/>
  <c r="I268" i="14" s="1"/>
  <c r="J268" i="14" s="1"/>
  <c r="K280" i="12"/>
  <c r="M280" i="12" s="1"/>
  <c r="N292" i="12" s="1"/>
  <c r="E281" i="12"/>
  <c r="G281" i="12"/>
  <c r="E188" i="1"/>
  <c r="M187" i="1"/>
  <c r="H188" i="1" l="1"/>
  <c r="I188" i="1" s="1"/>
  <c r="O249" i="17"/>
  <c r="D250" i="17" s="1"/>
  <c r="G260" i="15"/>
  <c r="E260" i="15"/>
  <c r="H281" i="12"/>
  <c r="I281" i="12" s="1"/>
  <c r="P281" i="12" s="1"/>
  <c r="Q281" i="12" s="1"/>
  <c r="P268" i="14"/>
  <c r="Q268" i="14" s="1"/>
  <c r="K268" i="14"/>
  <c r="M268" i="14" s="1"/>
  <c r="N280" i="14" s="1"/>
  <c r="O268" i="14"/>
  <c r="D269" i="14" s="1"/>
  <c r="N197" i="1"/>
  <c r="G250" i="17" l="1"/>
  <c r="E250" i="17"/>
  <c r="H260" i="15"/>
  <c r="J281" i="12"/>
  <c r="O281" i="12" s="1"/>
  <c r="D282" i="12" s="1"/>
  <c r="E269" i="14"/>
  <c r="G269" i="14"/>
  <c r="P188" i="1"/>
  <c r="Q188" i="1" s="1"/>
  <c r="J188" i="1"/>
  <c r="K188" i="1" s="1"/>
  <c r="H250" i="17" l="1"/>
  <c r="I250" i="17" s="1"/>
  <c r="P250" i="17" s="1"/>
  <c r="Q250" i="17" s="1"/>
  <c r="H269" i="14"/>
  <c r="I269" i="14" s="1"/>
  <c r="J269" i="14" s="1"/>
  <c r="K269" i="14" s="1"/>
  <c r="M269" i="14" s="1"/>
  <c r="N281" i="14" s="1"/>
  <c r="I260" i="15"/>
  <c r="P260" i="15" s="1"/>
  <c r="Q260" i="15" s="1"/>
  <c r="K281" i="12"/>
  <c r="M281" i="12" s="1"/>
  <c r="N293" i="12" s="1"/>
  <c r="E282" i="12"/>
  <c r="G282" i="12"/>
  <c r="O188" i="1"/>
  <c r="D189" i="1" s="1"/>
  <c r="G189" i="1" s="1"/>
  <c r="J260" i="15" l="1"/>
  <c r="K260" i="15" s="1"/>
  <c r="M260" i="15" s="1"/>
  <c r="N272" i="15" s="1"/>
  <c r="J250" i="17"/>
  <c r="K250" i="17" s="1"/>
  <c r="M250" i="17" s="1"/>
  <c r="N262" i="17" s="1"/>
  <c r="P269" i="14"/>
  <c r="Q269" i="14" s="1"/>
  <c r="O269" i="14"/>
  <c r="D270" i="14" s="1"/>
  <c r="G270" i="14" s="1"/>
  <c r="H282" i="12"/>
  <c r="I282" i="12" s="1"/>
  <c r="E189" i="1"/>
  <c r="M188" i="1"/>
  <c r="O260" i="15" l="1"/>
  <c r="D261" i="15" s="1"/>
  <c r="G261" i="15" s="1"/>
  <c r="H189" i="1"/>
  <c r="I189" i="1" s="1"/>
  <c r="E270" i="14"/>
  <c r="H270" i="14" s="1"/>
  <c r="I270" i="14" s="1"/>
  <c r="P270" i="14" s="1"/>
  <c r="Q270" i="14" s="1"/>
  <c r="O250" i="17"/>
  <c r="D251" i="17" s="1"/>
  <c r="E251" i="17" s="1"/>
  <c r="E261" i="15"/>
  <c r="P282" i="12"/>
  <c r="Q282" i="12" s="1"/>
  <c r="J282" i="12"/>
  <c r="K282" i="12" s="1"/>
  <c r="M282" i="12" s="1"/>
  <c r="N294" i="12" s="1"/>
  <c r="N198" i="1"/>
  <c r="G251" i="17" l="1"/>
  <c r="H251" i="17" s="1"/>
  <c r="I251" i="17" s="1"/>
  <c r="P251" i="17" s="1"/>
  <c r="Q251" i="17" s="1"/>
  <c r="H261" i="15"/>
  <c r="J270" i="14"/>
  <c r="K270" i="14" s="1"/>
  <c r="M270" i="14" s="1"/>
  <c r="N282" i="14" s="1"/>
  <c r="O282" i="12"/>
  <c r="D283" i="12" s="1"/>
  <c r="P189" i="1"/>
  <c r="Q189" i="1" s="1"/>
  <c r="J189" i="1"/>
  <c r="K189" i="1" s="1"/>
  <c r="J251" i="17" l="1"/>
  <c r="K251" i="17" s="1"/>
  <c r="M251" i="17" s="1"/>
  <c r="N263" i="17" s="1"/>
  <c r="I261" i="15"/>
  <c r="J261" i="15"/>
  <c r="K261" i="15" s="1"/>
  <c r="M261" i="15" s="1"/>
  <c r="N273" i="15" s="1"/>
  <c r="P261" i="15"/>
  <c r="Q261" i="15" s="1"/>
  <c r="O270" i="14"/>
  <c r="D271" i="14" s="1"/>
  <c r="G283" i="12"/>
  <c r="E283" i="12"/>
  <c r="O189" i="1"/>
  <c r="D190" i="1" s="1"/>
  <c r="G190" i="1" s="1"/>
  <c r="O251" i="17" l="1"/>
  <c r="D252" i="17" s="1"/>
  <c r="G252" i="17" s="1"/>
  <c r="O261" i="15"/>
  <c r="D262" i="15" s="1"/>
  <c r="G262" i="15" s="1"/>
  <c r="G271" i="14"/>
  <c r="E271" i="14"/>
  <c r="H283" i="12"/>
  <c r="I283" i="12" s="1"/>
  <c r="P283" i="12" s="1"/>
  <c r="Q283" i="12" s="1"/>
  <c r="E190" i="1"/>
  <c r="M189" i="1"/>
  <c r="E252" i="17" l="1"/>
  <c r="H190" i="1"/>
  <c r="I190" i="1" s="1"/>
  <c r="E262" i="15"/>
  <c r="H252" i="17"/>
  <c r="I252" i="17" s="1"/>
  <c r="P252" i="17" s="1"/>
  <c r="Q252" i="17" s="1"/>
  <c r="H262" i="15"/>
  <c r="J283" i="12"/>
  <c r="K283" i="12" s="1"/>
  <c r="M283" i="12" s="1"/>
  <c r="N295" i="12" s="1"/>
  <c r="H271" i="14"/>
  <c r="N199" i="1"/>
  <c r="J252" i="17" l="1"/>
  <c r="K252" i="17" s="1"/>
  <c r="M252" i="17" s="1"/>
  <c r="N264" i="17" s="1"/>
  <c r="I262" i="15"/>
  <c r="P262" i="15" s="1"/>
  <c r="Q262" i="15" s="1"/>
  <c r="J262" i="15"/>
  <c r="K262" i="15" s="1"/>
  <c r="M262" i="15" s="1"/>
  <c r="N274" i="15" s="1"/>
  <c r="O283" i="12"/>
  <c r="D284" i="12" s="1"/>
  <c r="E284" i="12" s="1"/>
  <c r="I271" i="14"/>
  <c r="J271" i="14" s="1"/>
  <c r="K271" i="14" s="1"/>
  <c r="M271" i="14" s="1"/>
  <c r="N283" i="14" s="1"/>
  <c r="G284" i="12"/>
  <c r="J190" i="1"/>
  <c r="K190" i="1" s="1"/>
  <c r="P190" i="1"/>
  <c r="Q190" i="1" s="1"/>
  <c r="O252" i="17" l="1"/>
  <c r="D253" i="17" s="1"/>
  <c r="E253" i="17" s="1"/>
  <c r="G253" i="17"/>
  <c r="H253" i="17" s="1"/>
  <c r="I253" i="17" s="1"/>
  <c r="J253" i="17" s="1"/>
  <c r="K253" i="17" s="1"/>
  <c r="M253" i="17" s="1"/>
  <c r="N265" i="17" s="1"/>
  <c r="O262" i="15"/>
  <c r="D263" i="15" s="1"/>
  <c r="H284" i="12"/>
  <c r="I284" i="12" s="1"/>
  <c r="P284" i="12" s="1"/>
  <c r="Q284" i="12" s="1"/>
  <c r="O271" i="14"/>
  <c r="D272" i="14" s="1"/>
  <c r="P271" i="14"/>
  <c r="Q271" i="14" s="1"/>
  <c r="O190" i="1"/>
  <c r="D191" i="1" s="1"/>
  <c r="G191" i="1" s="1"/>
  <c r="O253" i="17" l="1"/>
  <c r="D254" i="17" s="1"/>
  <c r="E254" i="17" s="1"/>
  <c r="P253" i="17"/>
  <c r="Q253" i="17" s="1"/>
  <c r="E263" i="15"/>
  <c r="G263" i="15"/>
  <c r="H263" i="15" s="1"/>
  <c r="G254" i="17"/>
  <c r="H254" i="17" s="1"/>
  <c r="I254" i="17" s="1"/>
  <c r="J284" i="12"/>
  <c r="K284" i="12" s="1"/>
  <c r="M284" i="12" s="1"/>
  <c r="N296" i="12" s="1"/>
  <c r="E272" i="14"/>
  <c r="G272" i="14"/>
  <c r="E191" i="1"/>
  <c r="M190" i="1"/>
  <c r="H272" i="14" l="1"/>
  <c r="H191" i="1"/>
  <c r="I191" i="1" s="1"/>
  <c r="I263" i="15"/>
  <c r="J263" i="15" s="1"/>
  <c r="K263" i="15" s="1"/>
  <c r="M263" i="15" s="1"/>
  <c r="N275" i="15" s="1"/>
  <c r="J254" i="17"/>
  <c r="K254" i="17" s="1"/>
  <c r="M254" i="17" s="1"/>
  <c r="N266" i="17" s="1"/>
  <c r="P254" i="17"/>
  <c r="Q254" i="17" s="1"/>
  <c r="O284" i="12"/>
  <c r="D285" i="12" s="1"/>
  <c r="E285" i="12" s="1"/>
  <c r="I272" i="14"/>
  <c r="J272" i="14" s="1"/>
  <c r="K272" i="14" s="1"/>
  <c r="M272" i="14" s="1"/>
  <c r="N284" i="14" s="1"/>
  <c r="N200" i="1"/>
  <c r="G285" i="12" l="1"/>
  <c r="H285" i="12" s="1"/>
  <c r="P263" i="15"/>
  <c r="Q263" i="15" s="1"/>
  <c r="O263" i="15"/>
  <c r="D264" i="15" s="1"/>
  <c r="O254" i="17"/>
  <c r="D255" i="17" s="1"/>
  <c r="E255" i="17" s="1"/>
  <c r="O272" i="14"/>
  <c r="D273" i="14" s="1"/>
  <c r="E273" i="14" s="1"/>
  <c r="P272" i="14"/>
  <c r="Q272" i="14" s="1"/>
  <c r="P191" i="1"/>
  <c r="Q191" i="1" s="1"/>
  <c r="J191" i="1"/>
  <c r="K191" i="1" s="1"/>
  <c r="I285" i="12" l="1"/>
  <c r="P285" i="12" s="1"/>
  <c r="Q285" i="12" s="1"/>
  <c r="J285" i="12"/>
  <c r="O285" i="12" s="1"/>
  <c r="D286" i="12" s="1"/>
  <c r="G264" i="15"/>
  <c r="E264" i="15"/>
  <c r="G255" i="17"/>
  <c r="H255" i="17" s="1"/>
  <c r="I255" i="17" s="1"/>
  <c r="P255" i="17" s="1"/>
  <c r="Q255" i="17" s="1"/>
  <c r="G273" i="14"/>
  <c r="H273" i="14" s="1"/>
  <c r="O191" i="1"/>
  <c r="D192" i="1" s="1"/>
  <c r="G192" i="1" s="1"/>
  <c r="K285" i="12" l="1"/>
  <c r="M285" i="12" s="1"/>
  <c r="N297" i="12" s="1"/>
  <c r="H264" i="15"/>
  <c r="J255" i="17"/>
  <c r="K255" i="17" s="1"/>
  <c r="M255" i="17" s="1"/>
  <c r="N267" i="17" s="1"/>
  <c r="I273" i="14"/>
  <c r="J273" i="14" s="1"/>
  <c r="K273" i="14" s="1"/>
  <c r="M273" i="14" s="1"/>
  <c r="N285" i="14" s="1"/>
  <c r="E286" i="12"/>
  <c r="G286" i="12"/>
  <c r="E192" i="1"/>
  <c r="M191" i="1"/>
  <c r="H192" i="1" l="1"/>
  <c r="I192" i="1" s="1"/>
  <c r="I264" i="15"/>
  <c r="J264" i="15" s="1"/>
  <c r="K264" i="15" s="1"/>
  <c r="M264" i="15" s="1"/>
  <c r="N276" i="15" s="1"/>
  <c r="O255" i="17"/>
  <c r="D256" i="17" s="1"/>
  <c r="E256" i="17" s="1"/>
  <c r="O273" i="14"/>
  <c r="D274" i="14" s="1"/>
  <c r="P273" i="14"/>
  <c r="Q273" i="14" s="1"/>
  <c r="H286" i="12"/>
  <c r="I286" i="12" s="1"/>
  <c r="P286" i="12" s="1"/>
  <c r="Q286" i="12" s="1"/>
  <c r="N201" i="1"/>
  <c r="G256" i="17" l="1"/>
  <c r="O264" i="15"/>
  <c r="D265" i="15" s="1"/>
  <c r="P264" i="15"/>
  <c r="Q264" i="15" s="1"/>
  <c r="H256" i="17"/>
  <c r="I256" i="17" s="1"/>
  <c r="J256" i="17" s="1"/>
  <c r="K256" i="17" s="1"/>
  <c r="M256" i="17" s="1"/>
  <c r="N268" i="17" s="1"/>
  <c r="J286" i="12"/>
  <c r="K286" i="12" s="1"/>
  <c r="M286" i="12" s="1"/>
  <c r="N298" i="12" s="1"/>
  <c r="G274" i="14"/>
  <c r="E274" i="14"/>
  <c r="J192" i="1"/>
  <c r="K192" i="1" s="1"/>
  <c r="P192" i="1"/>
  <c r="Q192" i="1" s="1"/>
  <c r="E265" i="15" l="1"/>
  <c r="G265" i="15"/>
  <c r="H265" i="15" s="1"/>
  <c r="I265" i="15" s="1"/>
  <c r="J265" i="15" s="1"/>
  <c r="K265" i="15" s="1"/>
  <c r="M265" i="15" s="1"/>
  <c r="N277" i="15" s="1"/>
  <c r="P256" i="17"/>
  <c r="Q256" i="17" s="1"/>
  <c r="O256" i="17"/>
  <c r="D257" i="17" s="1"/>
  <c r="G257" i="17" s="1"/>
  <c r="H274" i="14"/>
  <c r="I274" i="14" s="1"/>
  <c r="O286" i="12"/>
  <c r="D287" i="12" s="1"/>
  <c r="E287" i="12" s="1"/>
  <c r="O192" i="1"/>
  <c r="D193" i="1" s="1"/>
  <c r="G193" i="1" s="1"/>
  <c r="O265" i="15" l="1"/>
  <c r="D266" i="15" s="1"/>
  <c r="P265" i="15"/>
  <c r="Q265" i="15" s="1"/>
  <c r="E257" i="17"/>
  <c r="H257" i="17" s="1"/>
  <c r="I257" i="17" s="1"/>
  <c r="J257" i="17" s="1"/>
  <c r="K257" i="17" s="1"/>
  <c r="M257" i="17" s="1"/>
  <c r="N269" i="17" s="1"/>
  <c r="G287" i="12"/>
  <c r="H287" i="12" s="1"/>
  <c r="I287" i="12" s="1"/>
  <c r="P287" i="12" s="1"/>
  <c r="Q287" i="12" s="1"/>
  <c r="J274" i="14"/>
  <c r="K274" i="14" s="1"/>
  <c r="M274" i="14" s="1"/>
  <c r="N286" i="14" s="1"/>
  <c r="P274" i="14"/>
  <c r="Q274" i="14" s="1"/>
  <c r="E193" i="1"/>
  <c r="M192" i="1"/>
  <c r="H193" i="1" l="1"/>
  <c r="I193" i="1" s="1"/>
  <c r="G266" i="15"/>
  <c r="E266" i="15"/>
  <c r="O257" i="17"/>
  <c r="D258" i="17" s="1"/>
  <c r="P257" i="17"/>
  <c r="Q257" i="17" s="1"/>
  <c r="O274" i="14"/>
  <c r="D275" i="14" s="1"/>
  <c r="E275" i="14" s="1"/>
  <c r="J287" i="12"/>
  <c r="K287" i="12" s="1"/>
  <c r="M287" i="12" s="1"/>
  <c r="N299" i="12" s="1"/>
  <c r="N202" i="1"/>
  <c r="G275" i="14" l="1"/>
  <c r="H266" i="15"/>
  <c r="O287" i="12"/>
  <c r="D288" i="12" s="1"/>
  <c r="E288" i="12" s="1"/>
  <c r="H275" i="14"/>
  <c r="I275" i="14" s="1"/>
  <c r="J275" i="14" s="1"/>
  <c r="K275" i="14" s="1"/>
  <c r="M275" i="14" s="1"/>
  <c r="N287" i="14" s="1"/>
  <c r="G258" i="17"/>
  <c r="E258" i="17"/>
  <c r="J193" i="1"/>
  <c r="K193" i="1" s="1"/>
  <c r="P193" i="1"/>
  <c r="Q193" i="1" s="1"/>
  <c r="G288" i="12" l="1"/>
  <c r="H288" i="12" s="1"/>
  <c r="I288" i="12" s="1"/>
  <c r="I266" i="15"/>
  <c r="J266" i="15" s="1"/>
  <c r="K266" i="15" s="1"/>
  <c r="M266" i="15" s="1"/>
  <c r="N278" i="15" s="1"/>
  <c r="H258" i="17"/>
  <c r="O275" i="14"/>
  <c r="D276" i="14" s="1"/>
  <c r="G276" i="14" s="1"/>
  <c r="P275" i="14"/>
  <c r="Q275" i="14" s="1"/>
  <c r="P288" i="12"/>
  <c r="Q288" i="12" s="1"/>
  <c r="J288" i="12"/>
  <c r="O193" i="1"/>
  <c r="D194" i="1" s="1"/>
  <c r="G194" i="1" s="1"/>
  <c r="O266" i="15" l="1"/>
  <c r="D267" i="15" s="1"/>
  <c r="P266" i="15"/>
  <c r="Q266" i="15" s="1"/>
  <c r="I258" i="17"/>
  <c r="P258" i="17" s="1"/>
  <c r="Q258" i="17" s="1"/>
  <c r="E276" i="14"/>
  <c r="H276" i="14" s="1"/>
  <c r="O288" i="12"/>
  <c r="D289" i="12" s="1"/>
  <c r="K288" i="12"/>
  <c r="M288" i="12" s="1"/>
  <c r="N300" i="12" s="1"/>
  <c r="E194" i="1"/>
  <c r="M193" i="1"/>
  <c r="H194" i="1" l="1"/>
  <c r="I194" i="1" s="1"/>
  <c r="E267" i="15"/>
  <c r="G267" i="15"/>
  <c r="H267" i="15" s="1"/>
  <c r="I267" i="15" s="1"/>
  <c r="J267" i="15" s="1"/>
  <c r="K267" i="15" s="1"/>
  <c r="M267" i="15" s="1"/>
  <c r="N279" i="15" s="1"/>
  <c r="J258" i="17"/>
  <c r="K258" i="17" s="1"/>
  <c r="M258" i="17" s="1"/>
  <c r="N270" i="17" s="1"/>
  <c r="I276" i="14"/>
  <c r="P276" i="14" s="1"/>
  <c r="Q276" i="14" s="1"/>
  <c r="E289" i="12"/>
  <c r="G289" i="12"/>
  <c r="N203" i="1"/>
  <c r="J276" i="14" l="1"/>
  <c r="K276" i="14" s="1"/>
  <c r="M276" i="14" s="1"/>
  <c r="N288" i="14" s="1"/>
  <c r="O267" i="15"/>
  <c r="D268" i="15" s="1"/>
  <c r="P267" i="15"/>
  <c r="Q267" i="15" s="1"/>
  <c r="O258" i="17"/>
  <c r="D259" i="17" s="1"/>
  <c r="E259" i="17" s="1"/>
  <c r="H289" i="12"/>
  <c r="I289" i="12" s="1"/>
  <c r="P289" i="12" s="1"/>
  <c r="Q289" i="12" s="1"/>
  <c r="J194" i="1"/>
  <c r="K194" i="1" s="1"/>
  <c r="P194" i="1"/>
  <c r="Q194" i="1" s="1"/>
  <c r="O276" i="14" l="1"/>
  <c r="D277" i="14" s="1"/>
  <c r="G268" i="15"/>
  <c r="E268" i="15"/>
  <c r="G259" i="17"/>
  <c r="H259" i="17" s="1"/>
  <c r="J289" i="12"/>
  <c r="K289" i="12" s="1"/>
  <c r="M289" i="12" s="1"/>
  <c r="N301" i="12" s="1"/>
  <c r="O194" i="1"/>
  <c r="D195" i="1" s="1"/>
  <c r="G195" i="1" s="1"/>
  <c r="E277" i="14" l="1"/>
  <c r="G277" i="14"/>
  <c r="H277" i="14" s="1"/>
  <c r="I277" i="14" s="1"/>
  <c r="J277" i="14" s="1"/>
  <c r="K277" i="14" s="1"/>
  <c r="M277" i="14" s="1"/>
  <c r="N289" i="14" s="1"/>
  <c r="H268" i="15"/>
  <c r="I259" i="17"/>
  <c r="P259" i="17" s="1"/>
  <c r="Q259" i="17" s="1"/>
  <c r="J259" i="17"/>
  <c r="K259" i="17" s="1"/>
  <c r="M259" i="17" s="1"/>
  <c r="N271" i="17" s="1"/>
  <c r="O289" i="12"/>
  <c r="D290" i="12" s="1"/>
  <c r="E290" i="12" s="1"/>
  <c r="E195" i="1"/>
  <c r="M194" i="1"/>
  <c r="G290" i="12" l="1"/>
  <c r="H290" i="12" s="1"/>
  <c r="H195" i="1"/>
  <c r="I195" i="1" s="1"/>
  <c r="I268" i="15"/>
  <c r="P268" i="15" s="1"/>
  <c r="Q268" i="15" s="1"/>
  <c r="O259" i="17"/>
  <c r="D260" i="17" s="1"/>
  <c r="O277" i="14"/>
  <c r="D278" i="14" s="1"/>
  <c r="P277" i="14"/>
  <c r="Q277" i="14" s="1"/>
  <c r="N204" i="1"/>
  <c r="I290" i="12" l="1"/>
  <c r="P290" i="12" s="1"/>
  <c r="Q290" i="12" s="1"/>
  <c r="J268" i="15"/>
  <c r="K268" i="15" s="1"/>
  <c r="M268" i="15" s="1"/>
  <c r="N280" i="15" s="1"/>
  <c r="E260" i="17"/>
  <c r="G260" i="17"/>
  <c r="E278" i="14"/>
  <c r="G278" i="14"/>
  <c r="J195" i="1"/>
  <c r="K195" i="1" s="1"/>
  <c r="P195" i="1"/>
  <c r="Q195" i="1" s="1"/>
  <c r="J290" i="12" l="1"/>
  <c r="O290" i="12" s="1"/>
  <c r="D291" i="12" s="1"/>
  <c r="H278" i="14"/>
  <c r="O268" i="15"/>
  <c r="D269" i="15" s="1"/>
  <c r="E269" i="15"/>
  <c r="G269" i="15"/>
  <c r="H269" i="15" s="1"/>
  <c r="I269" i="15" s="1"/>
  <c r="J269" i="15" s="1"/>
  <c r="K269" i="15" s="1"/>
  <c r="M269" i="15" s="1"/>
  <c r="N281" i="15" s="1"/>
  <c r="H260" i="17"/>
  <c r="I260" i="17" s="1"/>
  <c r="P260" i="17" s="1"/>
  <c r="Q260" i="17" s="1"/>
  <c r="I278" i="14"/>
  <c r="P278" i="14" s="1"/>
  <c r="Q278" i="14" s="1"/>
  <c r="G291" i="12"/>
  <c r="E291" i="12"/>
  <c r="O195" i="1"/>
  <c r="D196" i="1" s="1"/>
  <c r="G196" i="1" s="1"/>
  <c r="K290" i="12" l="1"/>
  <c r="M290" i="12" s="1"/>
  <c r="N302" i="12" s="1"/>
  <c r="J260" i="17"/>
  <c r="K260" i="17" s="1"/>
  <c r="M260" i="17" s="1"/>
  <c r="N272" i="17" s="1"/>
  <c r="O269" i="15"/>
  <c r="D270" i="15" s="1"/>
  <c r="P269" i="15"/>
  <c r="Q269" i="15" s="1"/>
  <c r="J278" i="14"/>
  <c r="K278" i="14" s="1"/>
  <c r="M278" i="14" s="1"/>
  <c r="N290" i="14" s="1"/>
  <c r="H291" i="12"/>
  <c r="I291" i="12" s="1"/>
  <c r="E196" i="1"/>
  <c r="M195" i="1"/>
  <c r="H196" i="1" l="1"/>
  <c r="I196" i="1" s="1"/>
  <c r="O260" i="17"/>
  <c r="D261" i="17" s="1"/>
  <c r="E261" i="17" s="1"/>
  <c r="E270" i="15"/>
  <c r="G270" i="15"/>
  <c r="H270" i="15" s="1"/>
  <c r="O278" i="14"/>
  <c r="D279" i="14" s="1"/>
  <c r="E279" i="14" s="1"/>
  <c r="P291" i="12"/>
  <c r="Q291" i="12" s="1"/>
  <c r="J291" i="12"/>
  <c r="K291" i="12" s="1"/>
  <c r="M291" i="12" s="1"/>
  <c r="N303" i="12" s="1"/>
  <c r="N205" i="1"/>
  <c r="G279" i="14" l="1"/>
  <c r="H279" i="14"/>
  <c r="I279" i="14" s="1"/>
  <c r="J279" i="14" s="1"/>
  <c r="K279" i="14" s="1"/>
  <c r="M279" i="14" s="1"/>
  <c r="N291" i="14" s="1"/>
  <c r="G261" i="17"/>
  <c r="H261" i="17" s="1"/>
  <c r="I261" i="17" s="1"/>
  <c r="J261" i="17" s="1"/>
  <c r="K261" i="17" s="1"/>
  <c r="M261" i="17" s="1"/>
  <c r="N273" i="17" s="1"/>
  <c r="I270" i="15"/>
  <c r="P270" i="15" s="1"/>
  <c r="Q270" i="15" s="1"/>
  <c r="J270" i="15"/>
  <c r="K270" i="15" s="1"/>
  <c r="M270" i="15" s="1"/>
  <c r="N282" i="15" s="1"/>
  <c r="O291" i="12"/>
  <c r="D292" i="12" s="1"/>
  <c r="P196" i="1"/>
  <c r="Q196" i="1" s="1"/>
  <c r="J196" i="1"/>
  <c r="K196" i="1" s="1"/>
  <c r="P279" i="14" l="1"/>
  <c r="Q279" i="14" s="1"/>
  <c r="O279" i="14"/>
  <c r="D280" i="14" s="1"/>
  <c r="P261" i="17"/>
  <c r="Q261" i="17" s="1"/>
  <c r="O261" i="17"/>
  <c r="D262" i="17" s="1"/>
  <c r="E262" i="17" s="1"/>
  <c r="O270" i="15"/>
  <c r="D271" i="15" s="1"/>
  <c r="E280" i="14"/>
  <c r="G280" i="14"/>
  <c r="E292" i="12"/>
  <c r="G292" i="12"/>
  <c r="O196" i="1"/>
  <c r="D197" i="1" s="1"/>
  <c r="G197" i="1" s="1"/>
  <c r="H280" i="14" l="1"/>
  <c r="G262" i="17"/>
  <c r="H262" i="17" s="1"/>
  <c r="I262" i="17" s="1"/>
  <c r="J262" i="17" s="1"/>
  <c r="K262" i="17" s="1"/>
  <c r="M262" i="17" s="1"/>
  <c r="N274" i="17" s="1"/>
  <c r="E271" i="15"/>
  <c r="G271" i="15"/>
  <c r="H271" i="15" s="1"/>
  <c r="I280" i="14"/>
  <c r="P280" i="14" s="1"/>
  <c r="Q280" i="14" s="1"/>
  <c r="H292" i="12"/>
  <c r="I292" i="12" s="1"/>
  <c r="P292" i="12" s="1"/>
  <c r="Q292" i="12" s="1"/>
  <c r="E197" i="1"/>
  <c r="M196" i="1"/>
  <c r="H197" i="1" l="1"/>
  <c r="I197" i="1" s="1"/>
  <c r="P262" i="17"/>
  <c r="Q262" i="17" s="1"/>
  <c r="O262" i="17"/>
  <c r="D263" i="17" s="1"/>
  <c r="G263" i="17" s="1"/>
  <c r="H263" i="17" s="1"/>
  <c r="I263" i="17" s="1"/>
  <c r="I271" i="15"/>
  <c r="J271" i="15" s="1"/>
  <c r="K271" i="15" s="1"/>
  <c r="M271" i="15" s="1"/>
  <c r="N283" i="15" s="1"/>
  <c r="J292" i="12"/>
  <c r="K292" i="12" s="1"/>
  <c r="M292" i="12" s="1"/>
  <c r="N304" i="12" s="1"/>
  <c r="J280" i="14"/>
  <c r="K280" i="14" s="1"/>
  <c r="M280" i="14" s="1"/>
  <c r="N292" i="14" s="1"/>
  <c r="N206" i="1"/>
  <c r="P271" i="15" l="1"/>
  <c r="Q271" i="15" s="1"/>
  <c r="E263" i="17"/>
  <c r="P263" i="17" s="1"/>
  <c r="Q263" i="17" s="1"/>
  <c r="O271" i="15"/>
  <c r="D272" i="15" s="1"/>
  <c r="J263" i="17"/>
  <c r="K263" i="17" s="1"/>
  <c r="M263" i="17" s="1"/>
  <c r="N275" i="17" s="1"/>
  <c r="O292" i="12"/>
  <c r="D293" i="12" s="1"/>
  <c r="E293" i="12" s="1"/>
  <c r="O280" i="14"/>
  <c r="D281" i="14" s="1"/>
  <c r="E281" i="14" s="1"/>
  <c r="P197" i="1"/>
  <c r="Q197" i="1" s="1"/>
  <c r="J197" i="1"/>
  <c r="K197" i="1" s="1"/>
  <c r="G281" i="14" l="1"/>
  <c r="E272" i="15"/>
  <c r="G272" i="15"/>
  <c r="H272" i="15" s="1"/>
  <c r="I272" i="15" s="1"/>
  <c r="J272" i="15" s="1"/>
  <c r="K272" i="15" s="1"/>
  <c r="M272" i="15" s="1"/>
  <c r="N284" i="15" s="1"/>
  <c r="O263" i="17"/>
  <c r="D264" i="17" s="1"/>
  <c r="G293" i="12"/>
  <c r="H293" i="12" s="1"/>
  <c r="I293" i="12" s="1"/>
  <c r="H281" i="14"/>
  <c r="O197" i="1"/>
  <c r="D198" i="1" s="1"/>
  <c r="G198" i="1" s="1"/>
  <c r="O272" i="15" l="1"/>
  <c r="D273" i="15" s="1"/>
  <c r="P272" i="15"/>
  <c r="Q272" i="15" s="1"/>
  <c r="E264" i="17"/>
  <c r="G264" i="17"/>
  <c r="P293" i="12"/>
  <c r="Q293" i="12" s="1"/>
  <c r="J293" i="12"/>
  <c r="K293" i="12" s="1"/>
  <c r="M293" i="12" s="1"/>
  <c r="N305" i="12" s="1"/>
  <c r="I281" i="14"/>
  <c r="P281" i="14" s="1"/>
  <c r="Q281" i="14" s="1"/>
  <c r="J281" i="14"/>
  <c r="K281" i="14" s="1"/>
  <c r="M281" i="14" s="1"/>
  <c r="N293" i="14" s="1"/>
  <c r="E198" i="1"/>
  <c r="M197" i="1"/>
  <c r="H198" i="1" l="1"/>
  <c r="I198" i="1" s="1"/>
  <c r="E273" i="15"/>
  <c r="G273" i="15"/>
  <c r="H273" i="15" s="1"/>
  <c r="I273" i="15" s="1"/>
  <c r="J273" i="15" s="1"/>
  <c r="K273" i="15" s="1"/>
  <c r="M273" i="15" s="1"/>
  <c r="N285" i="15" s="1"/>
  <c r="H264" i="17"/>
  <c r="I264" i="17" s="1"/>
  <c r="J264" i="17" s="1"/>
  <c r="K264" i="17" s="1"/>
  <c r="M264" i="17" s="1"/>
  <c r="N276" i="17" s="1"/>
  <c r="O293" i="12"/>
  <c r="D294" i="12" s="1"/>
  <c r="E294" i="12" s="1"/>
  <c r="O281" i="14"/>
  <c r="D282" i="14" s="1"/>
  <c r="N207" i="1"/>
  <c r="G294" i="12" l="1"/>
  <c r="H294" i="12" s="1"/>
  <c r="P273" i="15"/>
  <c r="Q273" i="15" s="1"/>
  <c r="P264" i="17"/>
  <c r="Q264" i="17" s="1"/>
  <c r="O264" i="17"/>
  <c r="D265" i="17" s="1"/>
  <c r="E265" i="17" s="1"/>
  <c r="O273" i="15"/>
  <c r="D274" i="15" s="1"/>
  <c r="G282" i="14"/>
  <c r="E282" i="14"/>
  <c r="I294" i="12"/>
  <c r="J294" i="12" s="1"/>
  <c r="K294" i="12" s="1"/>
  <c r="M294" i="12" s="1"/>
  <c r="N306" i="12" s="1"/>
  <c r="P198" i="1"/>
  <c r="Q198" i="1" s="1"/>
  <c r="J198" i="1"/>
  <c r="K198" i="1" s="1"/>
  <c r="G265" i="17" l="1"/>
  <c r="H265" i="17" s="1"/>
  <c r="I265" i="17" s="1"/>
  <c r="E274" i="15"/>
  <c r="G274" i="15"/>
  <c r="H282" i="14"/>
  <c r="O294" i="12"/>
  <c r="D295" i="12" s="1"/>
  <c r="E295" i="12" s="1"/>
  <c r="P294" i="12"/>
  <c r="Q294" i="12" s="1"/>
  <c r="O198" i="1"/>
  <c r="D199" i="1" s="1"/>
  <c r="G199" i="1" s="1"/>
  <c r="H274" i="15" l="1"/>
  <c r="I274" i="15" s="1"/>
  <c r="P274" i="15" s="1"/>
  <c r="Q274" i="15" s="1"/>
  <c r="P265" i="17"/>
  <c r="Q265" i="17" s="1"/>
  <c r="J265" i="17"/>
  <c r="K265" i="17" s="1"/>
  <c r="M265" i="17" s="1"/>
  <c r="N277" i="17" s="1"/>
  <c r="I282" i="14"/>
  <c r="P282" i="14" s="1"/>
  <c r="Q282" i="14" s="1"/>
  <c r="G295" i="12"/>
  <c r="H295" i="12" s="1"/>
  <c r="E199" i="1"/>
  <c r="M198" i="1"/>
  <c r="J274" i="15" l="1"/>
  <c r="K274" i="15" s="1"/>
  <c r="M274" i="15" s="1"/>
  <c r="N286" i="15" s="1"/>
  <c r="J282" i="14"/>
  <c r="K282" i="14" s="1"/>
  <c r="M282" i="14" s="1"/>
  <c r="N294" i="14" s="1"/>
  <c r="H199" i="1"/>
  <c r="I199" i="1" s="1"/>
  <c r="O265" i="17"/>
  <c r="D266" i="17" s="1"/>
  <c r="I295" i="12"/>
  <c r="P295" i="12" s="1"/>
  <c r="Q295" i="12" s="1"/>
  <c r="N208" i="1"/>
  <c r="O282" i="14" l="1"/>
  <c r="D283" i="14" s="1"/>
  <c r="O274" i="15"/>
  <c r="D275" i="15" s="1"/>
  <c r="E266" i="17"/>
  <c r="G266" i="17"/>
  <c r="H266" i="17" s="1"/>
  <c r="I266" i="17" s="1"/>
  <c r="P266" i="17" s="1"/>
  <c r="Q266" i="17" s="1"/>
  <c r="G283" i="14"/>
  <c r="E283" i="14"/>
  <c r="J295" i="12"/>
  <c r="K295" i="12" s="1"/>
  <c r="M295" i="12" s="1"/>
  <c r="N307" i="12" s="1"/>
  <c r="J199" i="1"/>
  <c r="K199" i="1" s="1"/>
  <c r="P199" i="1"/>
  <c r="Q199" i="1" s="1"/>
  <c r="E275" i="15" l="1"/>
  <c r="G275" i="15"/>
  <c r="H275" i="15" s="1"/>
  <c r="J266" i="17"/>
  <c r="H283" i="14"/>
  <c r="O295" i="12"/>
  <c r="D296" i="12" s="1"/>
  <c r="E296" i="12" s="1"/>
  <c r="O199" i="1"/>
  <c r="D200" i="1" s="1"/>
  <c r="G200" i="1" s="1"/>
  <c r="I275" i="15" l="1"/>
  <c r="J275" i="15" s="1"/>
  <c r="K275" i="15" s="1"/>
  <c r="M275" i="15" s="1"/>
  <c r="N287" i="15" s="1"/>
  <c r="K266" i="17"/>
  <c r="M266" i="17" s="1"/>
  <c r="N278" i="17" s="1"/>
  <c r="O266" i="17"/>
  <c r="D267" i="17" s="1"/>
  <c r="I283" i="14"/>
  <c r="P283" i="14" s="1"/>
  <c r="Q283" i="14" s="1"/>
  <c r="G296" i="12"/>
  <c r="H296" i="12" s="1"/>
  <c r="I296" i="12" s="1"/>
  <c r="E200" i="1"/>
  <c r="M199" i="1"/>
  <c r="O275" i="15" l="1"/>
  <c r="D276" i="15" s="1"/>
  <c r="P275" i="15"/>
  <c r="Q275" i="15" s="1"/>
  <c r="J283" i="14"/>
  <c r="K283" i="14" s="1"/>
  <c r="M283" i="14" s="1"/>
  <c r="N295" i="14" s="1"/>
  <c r="H200" i="1"/>
  <c r="I200" i="1" s="1"/>
  <c r="G267" i="17"/>
  <c r="E267" i="17"/>
  <c r="P296" i="12"/>
  <c r="Q296" i="12" s="1"/>
  <c r="J296" i="12"/>
  <c r="K296" i="12" s="1"/>
  <c r="M296" i="12" s="1"/>
  <c r="N308" i="12" s="1"/>
  <c r="N209" i="1"/>
  <c r="O283" i="14" l="1"/>
  <c r="D284" i="14" s="1"/>
  <c r="E276" i="15"/>
  <c r="G276" i="15"/>
  <c r="H276" i="15"/>
  <c r="H267" i="17"/>
  <c r="G284" i="14"/>
  <c r="E284" i="14"/>
  <c r="O296" i="12"/>
  <c r="D297" i="12" s="1"/>
  <c r="J200" i="1"/>
  <c r="K200" i="1" s="1"/>
  <c r="P200" i="1"/>
  <c r="Q200" i="1" s="1"/>
  <c r="I276" i="15" l="1"/>
  <c r="J276" i="15" s="1"/>
  <c r="K276" i="15" s="1"/>
  <c r="M276" i="15" s="1"/>
  <c r="N288" i="15" s="1"/>
  <c r="I267" i="17"/>
  <c r="P267" i="17" s="1"/>
  <c r="Q267" i="17" s="1"/>
  <c r="H284" i="14"/>
  <c r="G297" i="12"/>
  <c r="E297" i="12"/>
  <c r="O200" i="1"/>
  <c r="D201" i="1" s="1"/>
  <c r="G201" i="1" s="1"/>
  <c r="O276" i="15" l="1"/>
  <c r="D277" i="15" s="1"/>
  <c r="P276" i="15"/>
  <c r="Q276" i="15" s="1"/>
  <c r="J267" i="17"/>
  <c r="K267" i="17" s="1"/>
  <c r="M267" i="17" s="1"/>
  <c r="N279" i="17" s="1"/>
  <c r="I284" i="14"/>
  <c r="J284" i="14" s="1"/>
  <c r="K284" i="14" s="1"/>
  <c r="M284" i="14" s="1"/>
  <c r="N296" i="14" s="1"/>
  <c r="H297" i="12"/>
  <c r="I297" i="12" s="1"/>
  <c r="J297" i="12" s="1"/>
  <c r="K297" i="12" s="1"/>
  <c r="M297" i="12" s="1"/>
  <c r="N309" i="12" s="1"/>
  <c r="E201" i="1"/>
  <c r="M200" i="1"/>
  <c r="E277" i="15" l="1"/>
  <c r="G277" i="15"/>
  <c r="H277" i="15" s="1"/>
  <c r="I277" i="15" s="1"/>
  <c r="H201" i="1"/>
  <c r="I201" i="1" s="1"/>
  <c r="O267" i="17"/>
  <c r="D268" i="17" s="1"/>
  <c r="E268" i="17" s="1"/>
  <c r="O284" i="14"/>
  <c r="D285" i="14" s="1"/>
  <c r="E285" i="14" s="1"/>
  <c r="P284" i="14"/>
  <c r="Q284" i="14" s="1"/>
  <c r="P297" i="12"/>
  <c r="Q297" i="12" s="1"/>
  <c r="O297" i="12"/>
  <c r="D298" i="12" s="1"/>
  <c r="N210" i="1"/>
  <c r="J277" i="15" l="1"/>
  <c r="K277" i="15" s="1"/>
  <c r="M277" i="15" s="1"/>
  <c r="N289" i="15" s="1"/>
  <c r="P277" i="15"/>
  <c r="Q277" i="15" s="1"/>
  <c r="G268" i="17"/>
  <c r="H268" i="17"/>
  <c r="I268" i="17" s="1"/>
  <c r="J268" i="17" s="1"/>
  <c r="K268" i="17" s="1"/>
  <c r="M268" i="17" s="1"/>
  <c r="N280" i="17" s="1"/>
  <c r="G285" i="14"/>
  <c r="H285" i="14" s="1"/>
  <c r="I285" i="14" s="1"/>
  <c r="P285" i="14" s="1"/>
  <c r="Q285" i="14" s="1"/>
  <c r="E298" i="12"/>
  <c r="G298" i="12"/>
  <c r="J201" i="1"/>
  <c r="K201" i="1" s="1"/>
  <c r="P201" i="1"/>
  <c r="Q201" i="1" s="1"/>
  <c r="H298" i="12" l="1"/>
  <c r="O277" i="15"/>
  <c r="D278" i="15" s="1"/>
  <c r="P268" i="17"/>
  <c r="Q268" i="17" s="1"/>
  <c r="O268" i="17"/>
  <c r="D269" i="17" s="1"/>
  <c r="E269" i="17" s="1"/>
  <c r="J285" i="14"/>
  <c r="K285" i="14" s="1"/>
  <c r="M285" i="14" s="1"/>
  <c r="N297" i="14" s="1"/>
  <c r="I298" i="12"/>
  <c r="O201" i="1"/>
  <c r="D202" i="1" s="1"/>
  <c r="G202" i="1" s="1"/>
  <c r="E278" i="15" l="1"/>
  <c r="G278" i="15"/>
  <c r="H278" i="15"/>
  <c r="G269" i="17"/>
  <c r="H269" i="17"/>
  <c r="I269" i="17" s="1"/>
  <c r="J269" i="17" s="1"/>
  <c r="K269" i="17" s="1"/>
  <c r="M269" i="17" s="1"/>
  <c r="N281" i="17" s="1"/>
  <c r="O285" i="14"/>
  <c r="D286" i="14" s="1"/>
  <c r="E286" i="14" s="1"/>
  <c r="P298" i="12"/>
  <c r="Q298" i="12" s="1"/>
  <c r="J298" i="12"/>
  <c r="K298" i="12" s="1"/>
  <c r="M298" i="12" s="1"/>
  <c r="N310" i="12" s="1"/>
  <c r="E202" i="1"/>
  <c r="M201" i="1"/>
  <c r="I278" i="15" l="1"/>
  <c r="P278" i="15" s="1"/>
  <c r="Q278" i="15" s="1"/>
  <c r="G286" i="14"/>
  <c r="H286" i="14" s="1"/>
  <c r="H202" i="1"/>
  <c r="I202" i="1" s="1"/>
  <c r="O269" i="17"/>
  <c r="D270" i="17" s="1"/>
  <c r="P269" i="17"/>
  <c r="Q269" i="17" s="1"/>
  <c r="O298" i="12"/>
  <c r="D299" i="12" s="1"/>
  <c r="N211" i="1"/>
  <c r="J278" i="15" l="1"/>
  <c r="K278" i="15" s="1"/>
  <c r="M278" i="15" s="1"/>
  <c r="N290" i="15" s="1"/>
  <c r="E270" i="17"/>
  <c r="G270" i="17"/>
  <c r="H270" i="17" s="1"/>
  <c r="I286" i="14"/>
  <c r="J286" i="14" s="1"/>
  <c r="K286" i="14" s="1"/>
  <c r="M286" i="14" s="1"/>
  <c r="N298" i="14" s="1"/>
  <c r="G299" i="12"/>
  <c r="E299" i="12"/>
  <c r="P202" i="1"/>
  <c r="Q202" i="1" s="1"/>
  <c r="J202" i="1"/>
  <c r="K202" i="1" s="1"/>
  <c r="O278" i="15" l="1"/>
  <c r="D279" i="15" s="1"/>
  <c r="P286" i="14"/>
  <c r="Q286" i="14" s="1"/>
  <c r="I270" i="17"/>
  <c r="O286" i="14"/>
  <c r="D287" i="14" s="1"/>
  <c r="H299" i="12"/>
  <c r="I299" i="12" s="1"/>
  <c r="P299" i="12" s="1"/>
  <c r="Q299" i="12" s="1"/>
  <c r="O202" i="1"/>
  <c r="D203" i="1" s="1"/>
  <c r="G203" i="1" s="1"/>
  <c r="E279" i="15" l="1"/>
  <c r="G279" i="15"/>
  <c r="H279" i="15" s="1"/>
  <c r="I279" i="15" s="1"/>
  <c r="J279" i="15" s="1"/>
  <c r="K279" i="15" s="1"/>
  <c r="M279" i="15" s="1"/>
  <c r="N291" i="15" s="1"/>
  <c r="J270" i="17"/>
  <c r="K270" i="17" s="1"/>
  <c r="M270" i="17" s="1"/>
  <c r="N282" i="17" s="1"/>
  <c r="P270" i="17"/>
  <c r="Q270" i="17" s="1"/>
  <c r="J299" i="12"/>
  <c r="K299" i="12" s="1"/>
  <c r="M299" i="12" s="1"/>
  <c r="N311" i="12" s="1"/>
  <c r="E287" i="14"/>
  <c r="G287" i="14"/>
  <c r="E203" i="1"/>
  <c r="M202" i="1"/>
  <c r="O279" i="15" l="1"/>
  <c r="D280" i="15" s="1"/>
  <c r="P279" i="15"/>
  <c r="Q279" i="15" s="1"/>
  <c r="H203" i="1"/>
  <c r="I203" i="1" s="1"/>
  <c r="O299" i="12"/>
  <c r="D300" i="12" s="1"/>
  <c r="E300" i="12" s="1"/>
  <c r="O270" i="17"/>
  <c r="D271" i="17" s="1"/>
  <c r="H287" i="14"/>
  <c r="I287" i="14" s="1"/>
  <c r="P287" i="14" s="1"/>
  <c r="Q287" i="14" s="1"/>
  <c r="N212" i="1"/>
  <c r="G280" i="15" l="1"/>
  <c r="E280" i="15"/>
  <c r="H280" i="15"/>
  <c r="I280" i="15" s="1"/>
  <c r="J280" i="15" s="1"/>
  <c r="K280" i="15" s="1"/>
  <c r="M280" i="15" s="1"/>
  <c r="N292" i="15" s="1"/>
  <c r="G300" i="12"/>
  <c r="H300" i="12" s="1"/>
  <c r="I300" i="12" s="1"/>
  <c r="J300" i="12" s="1"/>
  <c r="K300" i="12" s="1"/>
  <c r="M300" i="12" s="1"/>
  <c r="N312" i="12" s="1"/>
  <c r="G271" i="17"/>
  <c r="E271" i="17"/>
  <c r="J287" i="14"/>
  <c r="K287" i="14" s="1"/>
  <c r="M287" i="14" s="1"/>
  <c r="N299" i="14" s="1"/>
  <c r="J203" i="1"/>
  <c r="K203" i="1" s="1"/>
  <c r="P203" i="1"/>
  <c r="Q203" i="1" s="1"/>
  <c r="P280" i="15" l="1"/>
  <c r="Q280" i="15" s="1"/>
  <c r="O280" i="15"/>
  <c r="D281" i="15" s="1"/>
  <c r="H271" i="17"/>
  <c r="O287" i="14"/>
  <c r="D288" i="14" s="1"/>
  <c r="P300" i="12"/>
  <c r="Q300" i="12" s="1"/>
  <c r="O300" i="12"/>
  <c r="D301" i="12" s="1"/>
  <c r="O203" i="1"/>
  <c r="D204" i="1" s="1"/>
  <c r="G204" i="1" s="1"/>
  <c r="H281" i="15" l="1"/>
  <c r="E281" i="15"/>
  <c r="G281" i="15"/>
  <c r="I271" i="17"/>
  <c r="P271" i="17" s="1"/>
  <c r="Q271" i="17" s="1"/>
  <c r="G288" i="14"/>
  <c r="E288" i="14"/>
  <c r="G301" i="12"/>
  <c r="E301" i="12"/>
  <c r="E204" i="1"/>
  <c r="M203" i="1"/>
  <c r="I281" i="15" l="1"/>
  <c r="P281" i="15" s="1"/>
  <c r="Q281" i="15" s="1"/>
  <c r="J281" i="15"/>
  <c r="K281" i="15" s="1"/>
  <c r="M281" i="15" s="1"/>
  <c r="N293" i="15" s="1"/>
  <c r="H204" i="1"/>
  <c r="I204" i="1" s="1"/>
  <c r="J271" i="17"/>
  <c r="K271" i="17" s="1"/>
  <c r="M271" i="17" s="1"/>
  <c r="N283" i="17" s="1"/>
  <c r="H288" i="14"/>
  <c r="H301" i="12"/>
  <c r="I301" i="12" s="1"/>
  <c r="J301" i="12" s="1"/>
  <c r="K301" i="12" s="1"/>
  <c r="M301" i="12" s="1"/>
  <c r="N313" i="12" s="1"/>
  <c r="N213" i="1"/>
  <c r="O281" i="15" l="1"/>
  <c r="D282" i="15" s="1"/>
  <c r="O271" i="17"/>
  <c r="D272" i="17" s="1"/>
  <c r="G272" i="17" s="1"/>
  <c r="P301" i="12"/>
  <c r="Q301" i="12" s="1"/>
  <c r="I288" i="14"/>
  <c r="P288" i="14" s="1"/>
  <c r="Q288" i="14" s="1"/>
  <c r="O301" i="12"/>
  <c r="D302" i="12" s="1"/>
  <c r="E302" i="12" s="1"/>
  <c r="J204" i="1"/>
  <c r="K204" i="1" s="1"/>
  <c r="P204" i="1"/>
  <c r="Q204" i="1" s="1"/>
  <c r="G302" i="12" l="1"/>
  <c r="H302" i="12" s="1"/>
  <c r="I302" i="12" s="1"/>
  <c r="H272" i="17"/>
  <c r="G282" i="15"/>
  <c r="E282" i="15"/>
  <c r="H282" i="15" s="1"/>
  <c r="I282" i="15" s="1"/>
  <c r="J282" i="15" s="1"/>
  <c r="K282" i="15" s="1"/>
  <c r="M282" i="15" s="1"/>
  <c r="N294" i="15" s="1"/>
  <c r="J288" i="14"/>
  <c r="K288" i="14" s="1"/>
  <c r="M288" i="14" s="1"/>
  <c r="N300" i="14" s="1"/>
  <c r="E272" i="17"/>
  <c r="I272" i="17"/>
  <c r="O204" i="1"/>
  <c r="D205" i="1" s="1"/>
  <c r="G205" i="1" s="1"/>
  <c r="P282" i="15" l="1"/>
  <c r="Q282" i="15" s="1"/>
  <c r="O282" i="15"/>
  <c r="D283" i="15" s="1"/>
  <c r="G283" i="15" s="1"/>
  <c r="H283" i="15" s="1"/>
  <c r="O288" i="14"/>
  <c r="D289" i="14" s="1"/>
  <c r="E289" i="14" s="1"/>
  <c r="P272" i="17"/>
  <c r="Q272" i="17" s="1"/>
  <c r="J272" i="17"/>
  <c r="J302" i="12"/>
  <c r="K302" i="12" s="1"/>
  <c r="M302" i="12" s="1"/>
  <c r="N314" i="12" s="1"/>
  <c r="P302" i="12"/>
  <c r="Q302" i="12" s="1"/>
  <c r="E205" i="1"/>
  <c r="M204" i="1"/>
  <c r="E283" i="15" l="1"/>
  <c r="G289" i="14"/>
  <c r="H289" i="14" s="1"/>
  <c r="H205" i="1"/>
  <c r="I205" i="1" s="1"/>
  <c r="I283" i="15"/>
  <c r="J283" i="15" s="1"/>
  <c r="K283" i="15" s="1"/>
  <c r="M283" i="15" s="1"/>
  <c r="N295" i="15" s="1"/>
  <c r="K272" i="17"/>
  <c r="M272" i="17" s="1"/>
  <c r="N284" i="17" s="1"/>
  <c r="O272" i="17"/>
  <c r="D273" i="17" s="1"/>
  <c r="O302" i="12"/>
  <c r="D303" i="12" s="1"/>
  <c r="E303" i="12" s="1"/>
  <c r="N214" i="1"/>
  <c r="I289" i="14" l="1"/>
  <c r="P289" i="14" s="1"/>
  <c r="Q289" i="14" s="1"/>
  <c r="J289" i="14"/>
  <c r="K289" i="14" s="1"/>
  <c r="M289" i="14" s="1"/>
  <c r="N301" i="14" s="1"/>
  <c r="O283" i="15"/>
  <c r="D284" i="15" s="1"/>
  <c r="P283" i="15"/>
  <c r="Q283" i="15" s="1"/>
  <c r="G303" i="12"/>
  <c r="H303" i="12" s="1"/>
  <c r="I303" i="12" s="1"/>
  <c r="E273" i="17"/>
  <c r="G273" i="17"/>
  <c r="H273" i="17" s="1"/>
  <c r="I273" i="17" s="1"/>
  <c r="P273" i="17" s="1"/>
  <c r="Q273" i="17" s="1"/>
  <c r="J205" i="1"/>
  <c r="K205" i="1" s="1"/>
  <c r="P205" i="1"/>
  <c r="Q205" i="1" s="1"/>
  <c r="O289" i="14" l="1"/>
  <c r="D290" i="14" s="1"/>
  <c r="E290" i="14" s="1"/>
  <c r="J303" i="12"/>
  <c r="K303" i="12" s="1"/>
  <c r="M303" i="12" s="1"/>
  <c r="N315" i="12" s="1"/>
  <c r="G290" i="14"/>
  <c r="P303" i="12"/>
  <c r="Q303" i="12" s="1"/>
  <c r="G284" i="15"/>
  <c r="E284" i="15"/>
  <c r="J273" i="17"/>
  <c r="K273" i="17" s="1"/>
  <c r="M273" i="17" s="1"/>
  <c r="N285" i="17" s="1"/>
  <c r="H290" i="14"/>
  <c r="I290" i="14" s="1"/>
  <c r="P290" i="14" s="1"/>
  <c r="Q290" i="14" s="1"/>
  <c r="O205" i="1"/>
  <c r="D206" i="1" s="1"/>
  <c r="G206" i="1" s="1"/>
  <c r="O303" i="12" l="1"/>
  <c r="D304" i="12" s="1"/>
  <c r="H284" i="15"/>
  <c r="I284" i="15" s="1"/>
  <c r="P284" i="15" s="1"/>
  <c r="Q284" i="15" s="1"/>
  <c r="O273" i="17"/>
  <c r="D274" i="17" s="1"/>
  <c r="J290" i="14"/>
  <c r="K290" i="14" s="1"/>
  <c r="M290" i="14" s="1"/>
  <c r="N302" i="14" s="1"/>
  <c r="E304" i="12"/>
  <c r="G304" i="12"/>
  <c r="E206" i="1"/>
  <c r="M205" i="1"/>
  <c r="J284" i="15" l="1"/>
  <c r="K284" i="15" s="1"/>
  <c r="M284" i="15" s="1"/>
  <c r="N296" i="15" s="1"/>
  <c r="H206" i="1"/>
  <c r="I206" i="1" s="1"/>
  <c r="G274" i="17"/>
  <c r="E274" i="17"/>
  <c r="H304" i="12"/>
  <c r="I304" i="12" s="1"/>
  <c r="J304" i="12" s="1"/>
  <c r="O290" i="14"/>
  <c r="D291" i="14" s="1"/>
  <c r="E291" i="14" s="1"/>
  <c r="N215" i="1"/>
  <c r="O284" i="15" l="1"/>
  <c r="D285" i="15" s="1"/>
  <c r="H274" i="17"/>
  <c r="I274" i="17" s="1"/>
  <c r="J274" i="17" s="1"/>
  <c r="K274" i="17" s="1"/>
  <c r="M274" i="17" s="1"/>
  <c r="N286" i="17" s="1"/>
  <c r="E285" i="15"/>
  <c r="G285" i="15"/>
  <c r="H285" i="15"/>
  <c r="I285" i="15" s="1"/>
  <c r="G291" i="14"/>
  <c r="H291" i="14" s="1"/>
  <c r="P304" i="12"/>
  <c r="Q304" i="12" s="1"/>
  <c r="K304" i="12"/>
  <c r="M304" i="12" s="1"/>
  <c r="N316" i="12" s="1"/>
  <c r="O304" i="12"/>
  <c r="D305" i="12" s="1"/>
  <c r="P206" i="1"/>
  <c r="Q206" i="1" s="1"/>
  <c r="J206" i="1"/>
  <c r="K206" i="1" s="1"/>
  <c r="P274" i="17" l="1"/>
  <c r="Q274" i="17" s="1"/>
  <c r="O274" i="17"/>
  <c r="D275" i="17" s="1"/>
  <c r="J285" i="15"/>
  <c r="K285" i="15" s="1"/>
  <c r="M285" i="15" s="1"/>
  <c r="N297" i="15" s="1"/>
  <c r="P285" i="15"/>
  <c r="Q285" i="15" s="1"/>
  <c r="I291" i="14"/>
  <c r="P291" i="14" s="1"/>
  <c r="Q291" i="14" s="1"/>
  <c r="J291" i="14"/>
  <c r="K291" i="14" s="1"/>
  <c r="M291" i="14" s="1"/>
  <c r="N303" i="14" s="1"/>
  <c r="G305" i="12"/>
  <c r="E305" i="12"/>
  <c r="O206" i="1"/>
  <c r="D207" i="1" s="1"/>
  <c r="G207" i="1" s="1"/>
  <c r="E275" i="17" l="1"/>
  <c r="G275" i="17"/>
  <c r="H275" i="17" s="1"/>
  <c r="I275" i="17" s="1"/>
  <c r="J275" i="17" s="1"/>
  <c r="K275" i="17" s="1"/>
  <c r="M275" i="17" s="1"/>
  <c r="N287" i="17" s="1"/>
  <c r="O285" i="15"/>
  <c r="D286" i="15" s="1"/>
  <c r="O291" i="14"/>
  <c r="D292" i="14" s="1"/>
  <c r="E292" i="14" s="1"/>
  <c r="H305" i="12"/>
  <c r="E207" i="1"/>
  <c r="M206" i="1"/>
  <c r="H207" i="1" l="1"/>
  <c r="I207" i="1" s="1"/>
  <c r="P275" i="17"/>
  <c r="Q275" i="17" s="1"/>
  <c r="O275" i="17"/>
  <c r="D276" i="17" s="1"/>
  <c r="G286" i="15"/>
  <c r="E286" i="15"/>
  <c r="I305" i="12"/>
  <c r="J305" i="12" s="1"/>
  <c r="K305" i="12" s="1"/>
  <c r="M305" i="12" s="1"/>
  <c r="N317" i="12" s="1"/>
  <c r="G292" i="14"/>
  <c r="H292" i="14" s="1"/>
  <c r="N216" i="1"/>
  <c r="O305" i="12" l="1"/>
  <c r="D306" i="12" s="1"/>
  <c r="E306" i="12" s="1"/>
  <c r="H286" i="15"/>
  <c r="I286" i="15" s="1"/>
  <c r="J286" i="15" s="1"/>
  <c r="K286" i="15" s="1"/>
  <c r="M286" i="15" s="1"/>
  <c r="N298" i="15" s="1"/>
  <c r="G276" i="17"/>
  <c r="E276" i="17"/>
  <c r="P305" i="12"/>
  <c r="Q305" i="12" s="1"/>
  <c r="I292" i="14"/>
  <c r="P292" i="14" s="1"/>
  <c r="Q292" i="14" s="1"/>
  <c r="G306" i="12"/>
  <c r="J207" i="1"/>
  <c r="K207" i="1" s="1"/>
  <c r="P207" i="1"/>
  <c r="Q207" i="1" s="1"/>
  <c r="P286" i="15" l="1"/>
  <c r="Q286" i="15" s="1"/>
  <c r="H276" i="17"/>
  <c r="I276" i="17" s="1"/>
  <c r="J276" i="17" s="1"/>
  <c r="K276" i="17" s="1"/>
  <c r="M276" i="17" s="1"/>
  <c r="N288" i="17" s="1"/>
  <c r="O286" i="15"/>
  <c r="D287" i="15" s="1"/>
  <c r="J292" i="14"/>
  <c r="K292" i="14" s="1"/>
  <c r="M292" i="14" s="1"/>
  <c r="N304" i="14" s="1"/>
  <c r="H306" i="12"/>
  <c r="O207" i="1"/>
  <c r="D208" i="1" s="1"/>
  <c r="G208" i="1" s="1"/>
  <c r="P276" i="17" l="1"/>
  <c r="Q276" i="17" s="1"/>
  <c r="O276" i="17"/>
  <c r="D277" i="17" s="1"/>
  <c r="G277" i="17" s="1"/>
  <c r="E287" i="15"/>
  <c r="G287" i="15"/>
  <c r="H287" i="15" s="1"/>
  <c r="O292" i="14"/>
  <c r="D293" i="14" s="1"/>
  <c r="E293" i="14" s="1"/>
  <c r="I306" i="12"/>
  <c r="P306" i="12" s="1"/>
  <c r="Q306" i="12" s="1"/>
  <c r="E208" i="1"/>
  <c r="M207" i="1"/>
  <c r="H208" i="1" l="1"/>
  <c r="I208" i="1" s="1"/>
  <c r="G293" i="14"/>
  <c r="H293" i="14" s="1"/>
  <c r="I293" i="14" s="1"/>
  <c r="P293" i="14" s="1"/>
  <c r="Q293" i="14" s="1"/>
  <c r="E277" i="17"/>
  <c r="H277" i="17" s="1"/>
  <c r="I277" i="17" s="1"/>
  <c r="I287" i="15"/>
  <c r="P287" i="15" s="1"/>
  <c r="Q287" i="15" s="1"/>
  <c r="J306" i="12"/>
  <c r="K306" i="12" s="1"/>
  <c r="M306" i="12" s="1"/>
  <c r="N318" i="12" s="1"/>
  <c r="N217" i="1"/>
  <c r="J293" i="14" l="1"/>
  <c r="K293" i="14" s="1"/>
  <c r="M293" i="14" s="1"/>
  <c r="N305" i="14" s="1"/>
  <c r="P277" i="17"/>
  <c r="Q277" i="17" s="1"/>
  <c r="J277" i="17"/>
  <c r="K277" i="17" s="1"/>
  <c r="M277" i="17" s="1"/>
  <c r="N289" i="17" s="1"/>
  <c r="J287" i="15"/>
  <c r="K287" i="15" s="1"/>
  <c r="M287" i="15" s="1"/>
  <c r="N299" i="15" s="1"/>
  <c r="O306" i="12"/>
  <c r="D307" i="12" s="1"/>
  <c r="G307" i="12" s="1"/>
  <c r="J208" i="1"/>
  <c r="K208" i="1" s="1"/>
  <c r="P208" i="1"/>
  <c r="Q208" i="1" s="1"/>
  <c r="O293" i="14" l="1"/>
  <c r="D294" i="14" s="1"/>
  <c r="E294" i="14" s="1"/>
  <c r="O277" i="17"/>
  <c r="D278" i="17" s="1"/>
  <c r="O287" i="15"/>
  <c r="D288" i="15" s="1"/>
  <c r="E288" i="15" s="1"/>
  <c r="E307" i="12"/>
  <c r="H307" i="12" s="1"/>
  <c r="I307" i="12" s="1"/>
  <c r="J307" i="12" s="1"/>
  <c r="K307" i="12" s="1"/>
  <c r="M307" i="12" s="1"/>
  <c r="N319" i="12" s="1"/>
  <c r="O208" i="1"/>
  <c r="D209" i="1" s="1"/>
  <c r="G209" i="1" s="1"/>
  <c r="G294" i="14" l="1"/>
  <c r="H294" i="14" s="1"/>
  <c r="G278" i="17"/>
  <c r="E278" i="17"/>
  <c r="H278" i="17"/>
  <c r="I278" i="17" s="1"/>
  <c r="J278" i="17" s="1"/>
  <c r="K278" i="17" s="1"/>
  <c r="M278" i="17" s="1"/>
  <c r="N290" i="17" s="1"/>
  <c r="G288" i="15"/>
  <c r="H288" i="15" s="1"/>
  <c r="I288" i="15" s="1"/>
  <c r="P307" i="12"/>
  <c r="Q307" i="12" s="1"/>
  <c r="O307" i="12"/>
  <c r="D308" i="12" s="1"/>
  <c r="E308" i="12" s="1"/>
  <c r="E209" i="1"/>
  <c r="M208" i="1"/>
  <c r="I294" i="14" l="1"/>
  <c r="J294" i="14"/>
  <c r="K294" i="14" s="1"/>
  <c r="M294" i="14" s="1"/>
  <c r="N306" i="14" s="1"/>
  <c r="H209" i="1"/>
  <c r="I209" i="1" s="1"/>
  <c r="P288" i="15"/>
  <c r="Q288" i="15" s="1"/>
  <c r="J288" i="15"/>
  <c r="K288" i="15" s="1"/>
  <c r="M288" i="15" s="1"/>
  <c r="N300" i="15" s="1"/>
  <c r="P278" i="17"/>
  <c r="Q278" i="17" s="1"/>
  <c r="O278" i="17"/>
  <c r="D279" i="17" s="1"/>
  <c r="G308" i="12"/>
  <c r="H308" i="12" s="1"/>
  <c r="N218" i="1"/>
  <c r="P294" i="14" l="1"/>
  <c r="Q294" i="14" s="1"/>
  <c r="O294" i="14"/>
  <c r="D295" i="14" s="1"/>
  <c r="O288" i="15"/>
  <c r="D289" i="15" s="1"/>
  <c r="E279" i="17"/>
  <c r="G279" i="17"/>
  <c r="I308" i="12"/>
  <c r="P308" i="12" s="1"/>
  <c r="Q308" i="12" s="1"/>
  <c r="P209" i="1"/>
  <c r="Q209" i="1" s="1"/>
  <c r="J209" i="1"/>
  <c r="K209" i="1" s="1"/>
  <c r="G295" i="14" l="1"/>
  <c r="E295" i="14"/>
  <c r="H279" i="17"/>
  <c r="I279" i="17" s="1"/>
  <c r="J279" i="17" s="1"/>
  <c r="K279" i="17" s="1"/>
  <c r="M279" i="17" s="1"/>
  <c r="N291" i="17" s="1"/>
  <c r="G289" i="15"/>
  <c r="E289" i="15"/>
  <c r="J308" i="12"/>
  <c r="K308" i="12" s="1"/>
  <c r="M308" i="12" s="1"/>
  <c r="N320" i="12" s="1"/>
  <c r="O209" i="1"/>
  <c r="D210" i="1" s="1"/>
  <c r="G210" i="1" s="1"/>
  <c r="H295" i="14" l="1"/>
  <c r="I295" i="14" s="1"/>
  <c r="J295" i="14" s="1"/>
  <c r="K295" i="14" s="1"/>
  <c r="M295" i="14" s="1"/>
  <c r="N307" i="14" s="1"/>
  <c r="H289" i="15"/>
  <c r="I289" i="15" s="1"/>
  <c r="J289" i="15" s="1"/>
  <c r="K289" i="15" s="1"/>
  <c r="M289" i="15" s="1"/>
  <c r="N301" i="15" s="1"/>
  <c r="P279" i="17"/>
  <c r="Q279" i="17" s="1"/>
  <c r="O279" i="17"/>
  <c r="D280" i="17" s="1"/>
  <c r="E280" i="17" s="1"/>
  <c r="O308" i="12"/>
  <c r="D309" i="12" s="1"/>
  <c r="E210" i="1"/>
  <c r="M209" i="1"/>
  <c r="P295" i="14" l="1"/>
  <c r="Q295" i="14" s="1"/>
  <c r="O295" i="14"/>
  <c r="D296" i="14" s="1"/>
  <c r="P289" i="15"/>
  <c r="Q289" i="15" s="1"/>
  <c r="H210" i="1"/>
  <c r="I210" i="1" s="1"/>
  <c r="O289" i="15"/>
  <c r="D290" i="15" s="1"/>
  <c r="E290" i="15" s="1"/>
  <c r="G280" i="17"/>
  <c r="H280" i="17" s="1"/>
  <c r="I280" i="17" s="1"/>
  <c r="J280" i="17" s="1"/>
  <c r="K280" i="17" s="1"/>
  <c r="M280" i="17" s="1"/>
  <c r="N292" i="17" s="1"/>
  <c r="E309" i="12"/>
  <c r="G309" i="12"/>
  <c r="H309" i="12" s="1"/>
  <c r="N219" i="1"/>
  <c r="G296" i="14" l="1"/>
  <c r="E296" i="14"/>
  <c r="H296" i="14" s="1"/>
  <c r="I296" i="14" s="1"/>
  <c r="J296" i="14" s="1"/>
  <c r="K296" i="14" s="1"/>
  <c r="M296" i="14" s="1"/>
  <c r="N308" i="14" s="1"/>
  <c r="G290" i="15"/>
  <c r="H290" i="15"/>
  <c r="I290" i="15" s="1"/>
  <c r="J290" i="15" s="1"/>
  <c r="K290" i="15" s="1"/>
  <c r="M290" i="15" s="1"/>
  <c r="N302" i="15" s="1"/>
  <c r="P280" i="17"/>
  <c r="Q280" i="17" s="1"/>
  <c r="O280" i="17"/>
  <c r="D281" i="17" s="1"/>
  <c r="E281" i="17" s="1"/>
  <c r="I309" i="12"/>
  <c r="P309" i="12" s="1"/>
  <c r="Q309" i="12" s="1"/>
  <c r="P296" i="14"/>
  <c r="Q296" i="14" s="1"/>
  <c r="J210" i="1"/>
  <c r="K210" i="1" s="1"/>
  <c r="P210" i="1"/>
  <c r="Q210" i="1" s="1"/>
  <c r="O296" i="14" l="1"/>
  <c r="D297" i="14" s="1"/>
  <c r="G281" i="17"/>
  <c r="H281" i="17"/>
  <c r="I281" i="17" s="1"/>
  <c r="P290" i="15"/>
  <c r="Q290" i="15" s="1"/>
  <c r="O290" i="15"/>
  <c r="D291" i="15" s="1"/>
  <c r="J309" i="12"/>
  <c r="K309" i="12" s="1"/>
  <c r="M309" i="12" s="1"/>
  <c r="N321" i="12" s="1"/>
  <c r="E297" i="14"/>
  <c r="G297" i="14"/>
  <c r="H297" i="14" s="1"/>
  <c r="O210" i="1"/>
  <c r="D211" i="1" s="1"/>
  <c r="G211" i="1" s="1"/>
  <c r="J281" i="17" l="1"/>
  <c r="K281" i="17" s="1"/>
  <c r="M281" i="17" s="1"/>
  <c r="N293" i="17" s="1"/>
  <c r="P281" i="17"/>
  <c r="Q281" i="17" s="1"/>
  <c r="G291" i="15"/>
  <c r="E291" i="15"/>
  <c r="H291" i="15"/>
  <c r="I291" i="15" s="1"/>
  <c r="O309" i="12"/>
  <c r="D310" i="12" s="1"/>
  <c r="I297" i="14"/>
  <c r="P297" i="14" s="1"/>
  <c r="Q297" i="14" s="1"/>
  <c r="E211" i="1"/>
  <c r="M210" i="1"/>
  <c r="H211" i="1" l="1"/>
  <c r="I211" i="1" s="1"/>
  <c r="O281" i="17"/>
  <c r="D282" i="17" s="1"/>
  <c r="E282" i="17" s="1"/>
  <c r="P291" i="15"/>
  <c r="Q291" i="15" s="1"/>
  <c r="J291" i="15"/>
  <c r="K291" i="15" s="1"/>
  <c r="M291" i="15" s="1"/>
  <c r="N303" i="15" s="1"/>
  <c r="E310" i="12"/>
  <c r="G310" i="12"/>
  <c r="H310" i="12" s="1"/>
  <c r="J297" i="14"/>
  <c r="K297" i="14" s="1"/>
  <c r="M297" i="14" s="1"/>
  <c r="N309" i="14" s="1"/>
  <c r="N220" i="1"/>
  <c r="G282" i="17" l="1"/>
  <c r="H282" i="17" s="1"/>
  <c r="O291" i="15"/>
  <c r="D292" i="15" s="1"/>
  <c r="I310" i="12"/>
  <c r="P310" i="12" s="1"/>
  <c r="Q310" i="12" s="1"/>
  <c r="J310" i="12"/>
  <c r="K310" i="12" s="1"/>
  <c r="M310" i="12" s="1"/>
  <c r="N322" i="12" s="1"/>
  <c r="O297" i="14"/>
  <c r="D298" i="14" s="1"/>
  <c r="E298" i="14" s="1"/>
  <c r="J211" i="1"/>
  <c r="K211" i="1" s="1"/>
  <c r="P211" i="1"/>
  <c r="Q211" i="1" s="1"/>
  <c r="O310" i="12" l="1"/>
  <c r="D311" i="12" s="1"/>
  <c r="E292" i="15"/>
  <c r="G292" i="15"/>
  <c r="H292" i="15" s="1"/>
  <c r="I282" i="17"/>
  <c r="P282" i="17" s="1"/>
  <c r="Q282" i="17" s="1"/>
  <c r="J282" i="17"/>
  <c r="K282" i="17" s="1"/>
  <c r="M282" i="17" s="1"/>
  <c r="N294" i="17" s="1"/>
  <c r="G298" i="14"/>
  <c r="H298" i="14" s="1"/>
  <c r="I298" i="14" s="1"/>
  <c r="P298" i="14" s="1"/>
  <c r="Q298" i="14" s="1"/>
  <c r="O211" i="1"/>
  <c r="D212" i="1" s="1"/>
  <c r="G212" i="1" s="1"/>
  <c r="E311" i="12" l="1"/>
  <c r="G311" i="12"/>
  <c r="H311" i="12" s="1"/>
  <c r="I292" i="15"/>
  <c r="P292" i="15" s="1"/>
  <c r="Q292" i="15" s="1"/>
  <c r="O282" i="17"/>
  <c r="D283" i="17" s="1"/>
  <c r="J298" i="14"/>
  <c r="K298" i="14" s="1"/>
  <c r="M298" i="14" s="1"/>
  <c r="N310" i="14" s="1"/>
  <c r="E212" i="1"/>
  <c r="M211" i="1"/>
  <c r="H212" i="1" l="1"/>
  <c r="I212" i="1" s="1"/>
  <c r="I311" i="12"/>
  <c r="J311" i="12" s="1"/>
  <c r="K311" i="12" s="1"/>
  <c r="M311" i="12" s="1"/>
  <c r="N323" i="12" s="1"/>
  <c r="J292" i="15"/>
  <c r="K292" i="15" s="1"/>
  <c r="M292" i="15" s="1"/>
  <c r="N304" i="15" s="1"/>
  <c r="E283" i="17"/>
  <c r="G283" i="17"/>
  <c r="H283" i="17" s="1"/>
  <c r="O298" i="14"/>
  <c r="D299" i="14" s="1"/>
  <c r="N221" i="1"/>
  <c r="P311" i="12" l="1"/>
  <c r="Q311" i="12" s="1"/>
  <c r="O311" i="12"/>
  <c r="D312" i="12" s="1"/>
  <c r="O292" i="15"/>
  <c r="D293" i="15" s="1"/>
  <c r="I283" i="17"/>
  <c r="P283" i="17" s="1"/>
  <c r="Q283" i="17" s="1"/>
  <c r="E299" i="14"/>
  <c r="G299" i="14"/>
  <c r="H299" i="14" s="1"/>
  <c r="J212" i="1"/>
  <c r="K212" i="1" s="1"/>
  <c r="P212" i="1"/>
  <c r="Q212" i="1" s="1"/>
  <c r="E312" i="12" l="1"/>
  <c r="G312" i="12"/>
  <c r="H312" i="12" s="1"/>
  <c r="E293" i="15"/>
  <c r="G293" i="15"/>
  <c r="H293" i="15" s="1"/>
  <c r="I293" i="15" s="1"/>
  <c r="P293" i="15" s="1"/>
  <c r="Q293" i="15" s="1"/>
  <c r="J283" i="17"/>
  <c r="K283" i="17" s="1"/>
  <c r="M283" i="17" s="1"/>
  <c r="N295" i="17" s="1"/>
  <c r="I299" i="14"/>
  <c r="P299" i="14" s="1"/>
  <c r="Q299" i="14" s="1"/>
  <c r="O212" i="1"/>
  <c r="D213" i="1" s="1"/>
  <c r="G213" i="1" s="1"/>
  <c r="I312" i="12" l="1"/>
  <c r="J312" i="12" s="1"/>
  <c r="K312" i="12" s="1"/>
  <c r="M312" i="12" s="1"/>
  <c r="N324" i="12" s="1"/>
  <c r="O283" i="17"/>
  <c r="D284" i="17" s="1"/>
  <c r="E284" i="17" s="1"/>
  <c r="J293" i="15"/>
  <c r="K293" i="15" s="1"/>
  <c r="M293" i="15" s="1"/>
  <c r="N305" i="15" s="1"/>
  <c r="J299" i="14"/>
  <c r="K299" i="14" s="1"/>
  <c r="M299" i="14" s="1"/>
  <c r="N311" i="14" s="1"/>
  <c r="E213" i="1"/>
  <c r="M212" i="1"/>
  <c r="H213" i="1" l="1"/>
  <c r="I213" i="1" s="1"/>
  <c r="O312" i="12"/>
  <c r="D313" i="12" s="1"/>
  <c r="P312" i="12"/>
  <c r="Q312" i="12" s="1"/>
  <c r="G284" i="17"/>
  <c r="H284" i="17" s="1"/>
  <c r="I284" i="17" s="1"/>
  <c r="J284" i="17" s="1"/>
  <c r="K284" i="17" s="1"/>
  <c r="M284" i="17" s="1"/>
  <c r="N296" i="17" s="1"/>
  <c r="O293" i="15"/>
  <c r="D294" i="15" s="1"/>
  <c r="E294" i="15" s="1"/>
  <c r="O299" i="14"/>
  <c r="D300" i="14" s="1"/>
  <c r="N222" i="1"/>
  <c r="G294" i="15" l="1"/>
  <c r="E313" i="12"/>
  <c r="G313" i="12"/>
  <c r="H313" i="12" s="1"/>
  <c r="I313" i="12" s="1"/>
  <c r="P313" i="12" s="1"/>
  <c r="Q313" i="12" s="1"/>
  <c r="J313" i="12"/>
  <c r="K313" i="12" s="1"/>
  <c r="M313" i="12" s="1"/>
  <c r="N325" i="12" s="1"/>
  <c r="P284" i="17"/>
  <c r="Q284" i="17" s="1"/>
  <c r="O284" i="17"/>
  <c r="D285" i="17" s="1"/>
  <c r="E285" i="17" s="1"/>
  <c r="H294" i="15"/>
  <c r="I294" i="15" s="1"/>
  <c r="J294" i="15" s="1"/>
  <c r="K294" i="15" s="1"/>
  <c r="M294" i="15" s="1"/>
  <c r="N306" i="15" s="1"/>
  <c r="G300" i="14"/>
  <c r="E300" i="14"/>
  <c r="P213" i="1"/>
  <c r="Q213" i="1" s="1"/>
  <c r="J213" i="1"/>
  <c r="K213" i="1" s="1"/>
  <c r="G285" i="17" l="1"/>
  <c r="O313" i="12"/>
  <c r="D314" i="12" s="1"/>
  <c r="E314" i="12" s="1"/>
  <c r="O294" i="15"/>
  <c r="D295" i="15" s="1"/>
  <c r="P294" i="15"/>
  <c r="Q294" i="15" s="1"/>
  <c r="G314" i="12"/>
  <c r="H285" i="17"/>
  <c r="H300" i="14"/>
  <c r="I300" i="14" s="1"/>
  <c r="J300" i="14" s="1"/>
  <c r="K300" i="14" s="1"/>
  <c r="M300" i="14" s="1"/>
  <c r="N312" i="14" s="1"/>
  <c r="O213" i="1"/>
  <c r="D214" i="1" s="1"/>
  <c r="G214" i="1" s="1"/>
  <c r="E295" i="15" l="1"/>
  <c r="G295" i="15"/>
  <c r="H295" i="15"/>
  <c r="I295" i="15" s="1"/>
  <c r="J295" i="15" s="1"/>
  <c r="K295" i="15" s="1"/>
  <c r="M295" i="15" s="1"/>
  <c r="N307" i="15" s="1"/>
  <c r="P300" i="14"/>
  <c r="Q300" i="14" s="1"/>
  <c r="H314" i="12"/>
  <c r="I314" i="12" s="1"/>
  <c r="J314" i="12" s="1"/>
  <c r="K314" i="12" s="1"/>
  <c r="M314" i="12" s="1"/>
  <c r="N326" i="12" s="1"/>
  <c r="I285" i="17"/>
  <c r="P285" i="17" s="1"/>
  <c r="Q285" i="17" s="1"/>
  <c r="O300" i="14"/>
  <c r="D301" i="14" s="1"/>
  <c r="E214" i="1"/>
  <c r="M213" i="1"/>
  <c r="J285" i="17" l="1"/>
  <c r="K285" i="17" s="1"/>
  <c r="M285" i="17" s="1"/>
  <c r="N297" i="17" s="1"/>
  <c r="H214" i="1"/>
  <c r="I214" i="1" s="1"/>
  <c r="O314" i="12"/>
  <c r="D315" i="12" s="1"/>
  <c r="P314" i="12"/>
  <c r="Q314" i="12" s="1"/>
  <c r="O295" i="15"/>
  <c r="D296" i="15" s="1"/>
  <c r="E296" i="15" s="1"/>
  <c r="P295" i="15"/>
  <c r="Q295" i="15" s="1"/>
  <c r="E301" i="14"/>
  <c r="G301" i="14"/>
  <c r="N223" i="1"/>
  <c r="O285" i="17" l="1"/>
  <c r="D286" i="17" s="1"/>
  <c r="G286" i="17" s="1"/>
  <c r="G296" i="15"/>
  <c r="G315" i="12"/>
  <c r="E315" i="12"/>
  <c r="H301" i="14"/>
  <c r="I301" i="14" s="1"/>
  <c r="P301" i="14" s="1"/>
  <c r="Q301" i="14" s="1"/>
  <c r="H296" i="15"/>
  <c r="P214" i="1"/>
  <c r="Q214" i="1" s="1"/>
  <c r="J214" i="1"/>
  <c r="K214" i="1" s="1"/>
  <c r="E286" i="17" l="1"/>
  <c r="H315" i="12"/>
  <c r="I315" i="12" s="1"/>
  <c r="J315" i="12" s="1"/>
  <c r="K315" i="12" s="1"/>
  <c r="M315" i="12" s="1"/>
  <c r="N327" i="12" s="1"/>
  <c r="I296" i="15"/>
  <c r="P296" i="15" s="1"/>
  <c r="Q296" i="15" s="1"/>
  <c r="H286" i="17"/>
  <c r="J301" i="14"/>
  <c r="K301" i="14" s="1"/>
  <c r="M301" i="14" s="1"/>
  <c r="N313" i="14" s="1"/>
  <c r="O214" i="1"/>
  <c r="D215" i="1" s="1"/>
  <c r="G215" i="1" s="1"/>
  <c r="P315" i="12" l="1"/>
  <c r="Q315" i="12" s="1"/>
  <c r="O315" i="12"/>
  <c r="D316" i="12" s="1"/>
  <c r="I286" i="17"/>
  <c r="P286" i="17" s="1"/>
  <c r="Q286" i="17" s="1"/>
  <c r="J296" i="15"/>
  <c r="K296" i="15" s="1"/>
  <c r="M296" i="15" s="1"/>
  <c r="N308" i="15" s="1"/>
  <c r="O301" i="14"/>
  <c r="D302" i="14" s="1"/>
  <c r="G302" i="14" s="1"/>
  <c r="E215" i="1"/>
  <c r="M214" i="1"/>
  <c r="J286" i="17" l="1"/>
  <c r="K286" i="17" s="1"/>
  <c r="M286" i="17" s="1"/>
  <c r="N298" i="17" s="1"/>
  <c r="G316" i="12"/>
  <c r="E316" i="12"/>
  <c r="H215" i="1"/>
  <c r="I215" i="1" s="1"/>
  <c r="O296" i="15"/>
  <c r="D297" i="15" s="1"/>
  <c r="E302" i="14"/>
  <c r="H302" i="14" s="1"/>
  <c r="N224" i="1"/>
  <c r="O286" i="17" l="1"/>
  <c r="D287" i="17" s="1"/>
  <c r="H316" i="12"/>
  <c r="I316" i="12" s="1"/>
  <c r="J316" i="12" s="1"/>
  <c r="K316" i="12" s="1"/>
  <c r="M316" i="12" s="1"/>
  <c r="N328" i="12" s="1"/>
  <c r="G297" i="15"/>
  <c r="E297" i="15"/>
  <c r="E287" i="17"/>
  <c r="G287" i="17"/>
  <c r="I302" i="14"/>
  <c r="P302" i="14" s="1"/>
  <c r="Q302" i="14" s="1"/>
  <c r="P215" i="1"/>
  <c r="Q215" i="1" s="1"/>
  <c r="J215" i="1"/>
  <c r="K215" i="1" s="1"/>
  <c r="J302" i="14" l="1"/>
  <c r="K302" i="14" s="1"/>
  <c r="M302" i="14" s="1"/>
  <c r="N314" i="14" s="1"/>
  <c r="P316" i="12"/>
  <c r="Q316" i="12" s="1"/>
  <c r="O316" i="12"/>
  <c r="D317" i="12" s="1"/>
  <c r="H287" i="17"/>
  <c r="I287" i="17" s="1"/>
  <c r="J287" i="17" s="1"/>
  <c r="K287" i="17" s="1"/>
  <c r="M287" i="17" s="1"/>
  <c r="N299" i="17" s="1"/>
  <c r="H297" i="15"/>
  <c r="O215" i="1"/>
  <c r="D216" i="1" s="1"/>
  <c r="G216" i="1" s="1"/>
  <c r="O302" i="14" l="1"/>
  <c r="D303" i="14" s="1"/>
  <c r="G303" i="14" s="1"/>
  <c r="G317" i="12"/>
  <c r="E317" i="12"/>
  <c r="I297" i="15"/>
  <c r="P297" i="15" s="1"/>
  <c r="Q297" i="15" s="1"/>
  <c r="O287" i="17"/>
  <c r="D288" i="17" s="1"/>
  <c r="P287" i="17"/>
  <c r="Q287" i="17" s="1"/>
  <c r="E303" i="14"/>
  <c r="E216" i="1"/>
  <c r="M215" i="1"/>
  <c r="H317" i="12" l="1"/>
  <c r="I317" i="12" s="1"/>
  <c r="J317" i="12" s="1"/>
  <c r="K317" i="12" s="1"/>
  <c r="M317" i="12" s="1"/>
  <c r="N329" i="12" s="1"/>
  <c r="H303" i="14"/>
  <c r="I303" i="14" s="1"/>
  <c r="H216" i="1"/>
  <c r="I216" i="1" s="1"/>
  <c r="G288" i="17"/>
  <c r="E288" i="17"/>
  <c r="J297" i="15"/>
  <c r="K297" i="15" s="1"/>
  <c r="M297" i="15" s="1"/>
  <c r="N309" i="15" s="1"/>
  <c r="N225" i="1"/>
  <c r="J303" i="14" l="1"/>
  <c r="K303" i="14" s="1"/>
  <c r="M303" i="14" s="1"/>
  <c r="N315" i="14" s="1"/>
  <c r="P317" i="12"/>
  <c r="Q317" i="12" s="1"/>
  <c r="P303" i="14"/>
  <c r="Q303" i="14" s="1"/>
  <c r="O317" i="12"/>
  <c r="D318" i="12" s="1"/>
  <c r="H288" i="17"/>
  <c r="I288" i="17" s="1"/>
  <c r="O297" i="15"/>
  <c r="D298" i="15" s="1"/>
  <c r="O303" i="14"/>
  <c r="D304" i="14" s="1"/>
  <c r="G304" i="14" s="1"/>
  <c r="J216" i="1"/>
  <c r="K216" i="1" s="1"/>
  <c r="P216" i="1"/>
  <c r="Q216" i="1" s="1"/>
  <c r="G318" i="12" l="1"/>
  <c r="E318" i="12"/>
  <c r="H318" i="12" s="1"/>
  <c r="I318" i="12" s="1"/>
  <c r="P318" i="12" s="1"/>
  <c r="Q318" i="12" s="1"/>
  <c r="E304" i="14"/>
  <c r="H304" i="14" s="1"/>
  <c r="P288" i="17"/>
  <c r="Q288" i="17" s="1"/>
  <c r="J288" i="17"/>
  <c r="K288" i="17" s="1"/>
  <c r="M288" i="17" s="1"/>
  <c r="N300" i="17" s="1"/>
  <c r="G298" i="15"/>
  <c r="E298" i="15"/>
  <c r="O216" i="1"/>
  <c r="D217" i="1" s="1"/>
  <c r="G217" i="1" s="1"/>
  <c r="J318" i="12" l="1"/>
  <c r="K318" i="12" s="1"/>
  <c r="M318" i="12" s="1"/>
  <c r="N330" i="12" s="1"/>
  <c r="O288" i="17"/>
  <c r="D289" i="17" s="1"/>
  <c r="E289" i="17" s="1"/>
  <c r="H298" i="15"/>
  <c r="I304" i="14"/>
  <c r="P304" i="14" s="1"/>
  <c r="Q304" i="14" s="1"/>
  <c r="E217" i="1"/>
  <c r="M216" i="1"/>
  <c r="O318" i="12" l="1"/>
  <c r="D319" i="12" s="1"/>
  <c r="H217" i="1"/>
  <c r="I217" i="1" s="1"/>
  <c r="G289" i="17"/>
  <c r="H289" i="17" s="1"/>
  <c r="I289" i="17" s="1"/>
  <c r="J289" i="17" s="1"/>
  <c r="K289" i="17" s="1"/>
  <c r="M289" i="17" s="1"/>
  <c r="N301" i="17" s="1"/>
  <c r="I298" i="15"/>
  <c r="P298" i="15" s="1"/>
  <c r="Q298" i="15" s="1"/>
  <c r="J298" i="15"/>
  <c r="K298" i="15" s="1"/>
  <c r="M298" i="15" s="1"/>
  <c r="N310" i="15" s="1"/>
  <c r="J304" i="14"/>
  <c r="K304" i="14" s="1"/>
  <c r="M304" i="14" s="1"/>
  <c r="N316" i="14" s="1"/>
  <c r="N226" i="1"/>
  <c r="G319" i="12" l="1"/>
  <c r="E319" i="12"/>
  <c r="P289" i="17"/>
  <c r="Q289" i="17" s="1"/>
  <c r="O289" i="17"/>
  <c r="D290" i="17" s="1"/>
  <c r="E290" i="17" s="1"/>
  <c r="O304" i="14"/>
  <c r="D305" i="14" s="1"/>
  <c r="G305" i="14" s="1"/>
  <c r="G290" i="17"/>
  <c r="O298" i="15"/>
  <c r="D299" i="15" s="1"/>
  <c r="J217" i="1"/>
  <c r="K217" i="1" s="1"/>
  <c r="P217" i="1"/>
  <c r="Q217" i="1" s="1"/>
  <c r="H319" i="12" l="1"/>
  <c r="I319" i="12" s="1"/>
  <c r="P319" i="12" s="1"/>
  <c r="Q319" i="12" s="1"/>
  <c r="J319" i="12"/>
  <c r="K319" i="12" s="1"/>
  <c r="M319" i="12" s="1"/>
  <c r="N331" i="12" s="1"/>
  <c r="E305" i="14"/>
  <c r="H305" i="14" s="1"/>
  <c r="I305" i="14" s="1"/>
  <c r="H290" i="17"/>
  <c r="I290" i="17" s="1"/>
  <c r="E299" i="15"/>
  <c r="G299" i="15"/>
  <c r="H299" i="15" s="1"/>
  <c r="I299" i="15" s="1"/>
  <c r="P299" i="15" s="1"/>
  <c r="Q299" i="15" s="1"/>
  <c r="O217" i="1"/>
  <c r="D218" i="1" s="1"/>
  <c r="G218" i="1" s="1"/>
  <c r="O319" i="12" l="1"/>
  <c r="D320" i="12" s="1"/>
  <c r="G320" i="12" s="1"/>
  <c r="J290" i="17"/>
  <c r="K290" i="17" s="1"/>
  <c r="M290" i="17" s="1"/>
  <c r="N302" i="17" s="1"/>
  <c r="P290" i="17"/>
  <c r="Q290" i="17" s="1"/>
  <c r="J299" i="15"/>
  <c r="K299" i="15" s="1"/>
  <c r="M299" i="15" s="1"/>
  <c r="N311" i="15" s="1"/>
  <c r="J305" i="14"/>
  <c r="K305" i="14" s="1"/>
  <c r="M305" i="14" s="1"/>
  <c r="N317" i="14" s="1"/>
  <c r="P305" i="14"/>
  <c r="Q305" i="14" s="1"/>
  <c r="E218" i="1"/>
  <c r="M217" i="1"/>
  <c r="E320" i="12" l="1"/>
  <c r="H320" i="12" s="1"/>
  <c r="I320" i="12" s="1"/>
  <c r="P320" i="12" s="1"/>
  <c r="Q320" i="12" s="1"/>
  <c r="H218" i="1"/>
  <c r="I218" i="1" s="1"/>
  <c r="O290" i="17"/>
  <c r="D291" i="17" s="1"/>
  <c r="E291" i="17" s="1"/>
  <c r="O299" i="15"/>
  <c r="D300" i="15" s="1"/>
  <c r="O305" i="14"/>
  <c r="D306" i="14" s="1"/>
  <c r="J320" i="12"/>
  <c r="K320" i="12" s="1"/>
  <c r="M320" i="12" s="1"/>
  <c r="N332" i="12" s="1"/>
  <c r="N227" i="1"/>
  <c r="G291" i="17" l="1"/>
  <c r="H291" i="17"/>
  <c r="I291" i="17" s="1"/>
  <c r="J291" i="17" s="1"/>
  <c r="K291" i="17" s="1"/>
  <c r="M291" i="17" s="1"/>
  <c r="N303" i="17" s="1"/>
  <c r="E300" i="15"/>
  <c r="G300" i="15"/>
  <c r="G306" i="14"/>
  <c r="E306" i="14"/>
  <c r="O320" i="12"/>
  <c r="D321" i="12" s="1"/>
  <c r="G321" i="12" s="1"/>
  <c r="P218" i="1"/>
  <c r="Q218" i="1" s="1"/>
  <c r="J218" i="1"/>
  <c r="K218" i="1" s="1"/>
  <c r="P291" i="17" l="1"/>
  <c r="Q291" i="17" s="1"/>
  <c r="O291" i="17"/>
  <c r="D292" i="17" s="1"/>
  <c r="E292" i="17" s="1"/>
  <c r="H300" i="15"/>
  <c r="E321" i="12"/>
  <c r="H321" i="12" s="1"/>
  <c r="I321" i="12" s="1"/>
  <c r="P321" i="12" s="1"/>
  <c r="Q321" i="12" s="1"/>
  <c r="H306" i="14"/>
  <c r="O218" i="1"/>
  <c r="D219" i="1" s="1"/>
  <c r="G219" i="1" s="1"/>
  <c r="G292" i="17" l="1"/>
  <c r="H292" i="17"/>
  <c r="I292" i="17" s="1"/>
  <c r="P292" i="17" s="1"/>
  <c r="Q292" i="17" s="1"/>
  <c r="I300" i="15"/>
  <c r="P300" i="15" s="1"/>
  <c r="Q300" i="15" s="1"/>
  <c r="I306" i="14"/>
  <c r="P306" i="14" s="1"/>
  <c r="Q306" i="14" s="1"/>
  <c r="J306" i="14"/>
  <c r="K306" i="14" s="1"/>
  <c r="M306" i="14" s="1"/>
  <c r="N318" i="14" s="1"/>
  <c r="J321" i="12"/>
  <c r="K321" i="12" s="1"/>
  <c r="M321" i="12" s="1"/>
  <c r="N333" i="12" s="1"/>
  <c r="E219" i="1"/>
  <c r="M218" i="1"/>
  <c r="J300" i="15" l="1"/>
  <c r="K300" i="15" s="1"/>
  <c r="M300" i="15" s="1"/>
  <c r="N312" i="15" s="1"/>
  <c r="H219" i="1"/>
  <c r="I219" i="1" s="1"/>
  <c r="J292" i="17"/>
  <c r="O306" i="14"/>
  <c r="D307" i="14" s="1"/>
  <c r="O321" i="12"/>
  <c r="D322" i="12" s="1"/>
  <c r="G322" i="12" s="1"/>
  <c r="N228" i="1"/>
  <c r="O300" i="15" l="1"/>
  <c r="D301" i="15" s="1"/>
  <c r="G301" i="15"/>
  <c r="E301" i="15"/>
  <c r="O292" i="17"/>
  <c r="D293" i="17" s="1"/>
  <c r="K292" i="17"/>
  <c r="M292" i="17" s="1"/>
  <c r="N304" i="17" s="1"/>
  <c r="E322" i="12"/>
  <c r="H322" i="12" s="1"/>
  <c r="E307" i="14"/>
  <c r="G307" i="14"/>
  <c r="J219" i="1"/>
  <c r="K219" i="1" s="1"/>
  <c r="P219" i="1"/>
  <c r="Q219" i="1" s="1"/>
  <c r="H301" i="15" l="1"/>
  <c r="I301" i="15" s="1"/>
  <c r="P301" i="15" s="1"/>
  <c r="Q301" i="15" s="1"/>
  <c r="E293" i="17"/>
  <c r="G293" i="17"/>
  <c r="H307" i="14"/>
  <c r="I307" i="14" s="1"/>
  <c r="I322" i="12"/>
  <c r="P322" i="12" s="1"/>
  <c r="Q322" i="12" s="1"/>
  <c r="J322" i="12"/>
  <c r="K322" i="12" s="1"/>
  <c r="M322" i="12" s="1"/>
  <c r="N334" i="12" s="1"/>
  <c r="O219" i="1"/>
  <c r="D220" i="1" s="1"/>
  <c r="G220" i="1" s="1"/>
  <c r="J301" i="15" l="1"/>
  <c r="K301" i="15" s="1"/>
  <c r="M301" i="15" s="1"/>
  <c r="N313" i="15" s="1"/>
  <c r="H293" i="17"/>
  <c r="I293" i="17" s="1"/>
  <c r="P307" i="14"/>
  <c r="Q307" i="14" s="1"/>
  <c r="J307" i="14"/>
  <c r="K307" i="14" s="1"/>
  <c r="M307" i="14" s="1"/>
  <c r="N319" i="14" s="1"/>
  <c r="O322" i="12"/>
  <c r="D323" i="12" s="1"/>
  <c r="G323" i="12" s="1"/>
  <c r="E220" i="1"/>
  <c r="M219" i="1"/>
  <c r="H220" i="1" l="1"/>
  <c r="I220" i="1" s="1"/>
  <c r="O301" i="15"/>
  <c r="D302" i="15" s="1"/>
  <c r="G302" i="15" s="1"/>
  <c r="J293" i="17"/>
  <c r="P293" i="17"/>
  <c r="Q293" i="17" s="1"/>
  <c r="E323" i="12"/>
  <c r="H323" i="12" s="1"/>
  <c r="O307" i="14"/>
  <c r="D308" i="14" s="1"/>
  <c r="N229" i="1"/>
  <c r="E302" i="15" l="1"/>
  <c r="H302" i="15"/>
  <c r="I302" i="15" s="1"/>
  <c r="P302" i="15" s="1"/>
  <c r="Q302" i="15" s="1"/>
  <c r="K293" i="17"/>
  <c r="M293" i="17" s="1"/>
  <c r="N305" i="17" s="1"/>
  <c r="O293" i="17"/>
  <c r="D294" i="17" s="1"/>
  <c r="G308" i="14"/>
  <c r="E308" i="14"/>
  <c r="I323" i="12"/>
  <c r="P323" i="12" s="1"/>
  <c r="Q323" i="12" s="1"/>
  <c r="J220" i="1"/>
  <c r="K220" i="1" s="1"/>
  <c r="P220" i="1"/>
  <c r="Q220" i="1" s="1"/>
  <c r="J302" i="15" l="1"/>
  <c r="O302" i="15" s="1"/>
  <c r="D303" i="15" s="1"/>
  <c r="E294" i="17"/>
  <c r="G294" i="17"/>
  <c r="H308" i="14"/>
  <c r="J323" i="12"/>
  <c r="K323" i="12" s="1"/>
  <c r="M323" i="12" s="1"/>
  <c r="N335" i="12" s="1"/>
  <c r="O220" i="1"/>
  <c r="D221" i="1" s="1"/>
  <c r="G221" i="1" s="1"/>
  <c r="H294" i="17" l="1"/>
  <c r="I294" i="17" s="1"/>
  <c r="P294" i="17" s="1"/>
  <c r="Q294" i="17" s="1"/>
  <c r="K302" i="15"/>
  <c r="M302" i="15" s="1"/>
  <c r="N314" i="15" s="1"/>
  <c r="E303" i="15"/>
  <c r="G303" i="15"/>
  <c r="H303" i="15" s="1"/>
  <c r="I303" i="15" s="1"/>
  <c r="P303" i="15" s="1"/>
  <c r="Q303" i="15" s="1"/>
  <c r="O323" i="12"/>
  <c r="D324" i="12" s="1"/>
  <c r="E324" i="12" s="1"/>
  <c r="I308" i="14"/>
  <c r="J308" i="14" s="1"/>
  <c r="K308" i="14" s="1"/>
  <c r="M308" i="14" s="1"/>
  <c r="N320" i="14" s="1"/>
  <c r="E221" i="1"/>
  <c r="M220" i="1"/>
  <c r="H221" i="1" l="1"/>
  <c r="I221" i="1" s="1"/>
  <c r="J294" i="17"/>
  <c r="K294" i="17" s="1"/>
  <c r="M294" i="17" s="1"/>
  <c r="N306" i="17" s="1"/>
  <c r="J303" i="15"/>
  <c r="K303" i="15" s="1"/>
  <c r="M303" i="15" s="1"/>
  <c r="N315" i="15" s="1"/>
  <c r="G324" i="12"/>
  <c r="H324" i="12" s="1"/>
  <c r="I324" i="12" s="1"/>
  <c r="O308" i="14"/>
  <c r="D309" i="14" s="1"/>
  <c r="P308" i="14"/>
  <c r="Q308" i="14" s="1"/>
  <c r="N230" i="1"/>
  <c r="O294" i="17" l="1"/>
  <c r="D295" i="17" s="1"/>
  <c r="O303" i="15"/>
  <c r="D304" i="15" s="1"/>
  <c r="E309" i="14"/>
  <c r="G309" i="14"/>
  <c r="P324" i="12"/>
  <c r="Q324" i="12" s="1"/>
  <c r="J324" i="12"/>
  <c r="K324" i="12" s="1"/>
  <c r="M324" i="12" s="1"/>
  <c r="N336" i="12" s="1"/>
  <c r="J221" i="1"/>
  <c r="K221" i="1" s="1"/>
  <c r="P221" i="1"/>
  <c r="Q221" i="1" s="1"/>
  <c r="E295" i="17" l="1"/>
  <c r="G295" i="17"/>
  <c r="H295" i="17" s="1"/>
  <c r="I295" i="17" s="1"/>
  <c r="J295" i="17" s="1"/>
  <c r="K295" i="17" s="1"/>
  <c r="M295" i="17" s="1"/>
  <c r="N307" i="17" s="1"/>
  <c r="H309" i="14"/>
  <c r="I309" i="14" s="1"/>
  <c r="J309" i="14" s="1"/>
  <c r="K309" i="14" s="1"/>
  <c r="M309" i="14" s="1"/>
  <c r="N321" i="14" s="1"/>
  <c r="G304" i="15"/>
  <c r="E304" i="15"/>
  <c r="O324" i="12"/>
  <c r="D325" i="12" s="1"/>
  <c r="O221" i="1"/>
  <c r="D222" i="1" s="1"/>
  <c r="G222" i="1" s="1"/>
  <c r="P309" i="14" l="1"/>
  <c r="Q309" i="14" s="1"/>
  <c r="O309" i="14"/>
  <c r="D310" i="14" s="1"/>
  <c r="G310" i="14" s="1"/>
  <c r="O295" i="17"/>
  <c r="D296" i="17" s="1"/>
  <c r="P295" i="17"/>
  <c r="Q295" i="17" s="1"/>
  <c r="H304" i="15"/>
  <c r="E325" i="12"/>
  <c r="G325" i="12"/>
  <c r="E222" i="1"/>
  <c r="M221" i="1"/>
  <c r="E310" i="14" l="1"/>
  <c r="H310" i="14" s="1"/>
  <c r="I310" i="14" s="1"/>
  <c r="P310" i="14" s="1"/>
  <c r="Q310" i="14" s="1"/>
  <c r="H222" i="1"/>
  <c r="I222" i="1" s="1"/>
  <c r="H325" i="12"/>
  <c r="I325" i="12" s="1"/>
  <c r="J325" i="12" s="1"/>
  <c r="K325" i="12" s="1"/>
  <c r="M325" i="12" s="1"/>
  <c r="N337" i="12" s="1"/>
  <c r="G296" i="17"/>
  <c r="E296" i="17"/>
  <c r="I304" i="15"/>
  <c r="J304" i="15" s="1"/>
  <c r="K304" i="15" s="1"/>
  <c r="M304" i="15" s="1"/>
  <c r="N316" i="15" s="1"/>
  <c r="N231" i="1"/>
  <c r="P325" i="12" l="1"/>
  <c r="Q325" i="12" s="1"/>
  <c r="H296" i="17"/>
  <c r="O304" i="15"/>
  <c r="D305" i="15" s="1"/>
  <c r="G305" i="15" s="1"/>
  <c r="P304" i="15"/>
  <c r="Q304" i="15" s="1"/>
  <c r="J310" i="14"/>
  <c r="K310" i="14" s="1"/>
  <c r="M310" i="14" s="1"/>
  <c r="N322" i="14" s="1"/>
  <c r="O325" i="12"/>
  <c r="D326" i="12" s="1"/>
  <c r="J222" i="1"/>
  <c r="K222" i="1" s="1"/>
  <c r="P222" i="1"/>
  <c r="Q222" i="1" s="1"/>
  <c r="E305" i="15" l="1"/>
  <c r="H305" i="15"/>
  <c r="I305" i="15" s="1"/>
  <c r="J305" i="15" s="1"/>
  <c r="K305" i="15" s="1"/>
  <c r="M305" i="15" s="1"/>
  <c r="N317" i="15" s="1"/>
  <c r="I296" i="17"/>
  <c r="J296" i="17"/>
  <c r="K296" i="17" s="1"/>
  <c r="M296" i="17" s="1"/>
  <c r="N308" i="17" s="1"/>
  <c r="O310" i="14"/>
  <c r="D311" i="14" s="1"/>
  <c r="E311" i="14" s="1"/>
  <c r="E326" i="12"/>
  <c r="G326" i="12"/>
  <c r="O222" i="1"/>
  <c r="D223" i="1" s="1"/>
  <c r="G223" i="1" s="1"/>
  <c r="G311" i="14" l="1"/>
  <c r="H326" i="12"/>
  <c r="I326" i="12" s="1"/>
  <c r="P326" i="12" s="1"/>
  <c r="Q326" i="12" s="1"/>
  <c r="P305" i="15"/>
  <c r="Q305" i="15" s="1"/>
  <c r="P296" i="17"/>
  <c r="Q296" i="17" s="1"/>
  <c r="O296" i="17"/>
  <c r="D297" i="17" s="1"/>
  <c r="O305" i="15"/>
  <c r="D306" i="15" s="1"/>
  <c r="H311" i="14"/>
  <c r="I311" i="14" s="1"/>
  <c r="J311" i="14" s="1"/>
  <c r="K311" i="14" s="1"/>
  <c r="M311" i="14" s="1"/>
  <c r="N323" i="14" s="1"/>
  <c r="E223" i="1"/>
  <c r="M222" i="1"/>
  <c r="J326" i="12" l="1"/>
  <c r="K326" i="12" s="1"/>
  <c r="M326" i="12" s="1"/>
  <c r="N338" i="12" s="1"/>
  <c r="H223" i="1"/>
  <c r="I223" i="1" s="1"/>
  <c r="E297" i="17"/>
  <c r="G297" i="17"/>
  <c r="H297" i="17" s="1"/>
  <c r="E306" i="15"/>
  <c r="G306" i="15"/>
  <c r="P311" i="14"/>
  <c r="Q311" i="14" s="1"/>
  <c r="O311" i="14"/>
  <c r="D312" i="14" s="1"/>
  <c r="N232" i="1"/>
  <c r="O326" i="12" l="1"/>
  <c r="D327" i="12" s="1"/>
  <c r="I297" i="17"/>
  <c r="H306" i="15"/>
  <c r="E312" i="14"/>
  <c r="G312" i="14"/>
  <c r="E327" i="12"/>
  <c r="G327" i="12"/>
  <c r="P223" i="1"/>
  <c r="Q223" i="1" s="1"/>
  <c r="J223" i="1"/>
  <c r="K223" i="1" s="1"/>
  <c r="P297" i="17" l="1"/>
  <c r="Q297" i="17" s="1"/>
  <c r="J297" i="17"/>
  <c r="K297" i="17" s="1"/>
  <c r="M297" i="17" s="1"/>
  <c r="N309" i="17" s="1"/>
  <c r="H312" i="14"/>
  <c r="I312" i="14" s="1"/>
  <c r="P312" i="14" s="1"/>
  <c r="Q312" i="14" s="1"/>
  <c r="I306" i="15"/>
  <c r="J306" i="15" s="1"/>
  <c r="K306" i="15" s="1"/>
  <c r="M306" i="15" s="1"/>
  <c r="N318" i="15" s="1"/>
  <c r="H327" i="12"/>
  <c r="I327" i="12" s="1"/>
  <c r="J327" i="12" s="1"/>
  <c r="K327" i="12" s="1"/>
  <c r="M327" i="12" s="1"/>
  <c r="N339" i="12" s="1"/>
  <c r="O223" i="1"/>
  <c r="D224" i="1" s="1"/>
  <c r="G224" i="1" s="1"/>
  <c r="O297" i="17" l="1"/>
  <c r="D298" i="17" s="1"/>
  <c r="P306" i="15"/>
  <c r="Q306" i="15" s="1"/>
  <c r="O306" i="15"/>
  <c r="D307" i="15" s="1"/>
  <c r="J312" i="14"/>
  <c r="K312" i="14" s="1"/>
  <c r="M312" i="14" s="1"/>
  <c r="N324" i="14" s="1"/>
  <c r="P327" i="12"/>
  <c r="Q327" i="12" s="1"/>
  <c r="O327" i="12"/>
  <c r="D328" i="12" s="1"/>
  <c r="E224" i="1"/>
  <c r="M223" i="1"/>
  <c r="H224" i="1" l="1"/>
  <c r="I224" i="1" s="1"/>
  <c r="E298" i="17"/>
  <c r="G298" i="17"/>
  <c r="H298" i="17" s="1"/>
  <c r="G307" i="15"/>
  <c r="E307" i="15"/>
  <c r="O312" i="14"/>
  <c r="D313" i="14" s="1"/>
  <c r="E313" i="14" s="1"/>
  <c r="E328" i="12"/>
  <c r="G328" i="12"/>
  <c r="H328" i="12" s="1"/>
  <c r="I328" i="12" s="1"/>
  <c r="J328" i="12" s="1"/>
  <c r="K328" i="12" s="1"/>
  <c r="M328" i="12" s="1"/>
  <c r="N340" i="12" s="1"/>
  <c r="N233" i="1"/>
  <c r="I298" i="17" l="1"/>
  <c r="P298" i="17" s="1"/>
  <c r="Q298" i="17" s="1"/>
  <c r="H307" i="15"/>
  <c r="G313" i="14"/>
  <c r="H313" i="14" s="1"/>
  <c r="I313" i="14" s="1"/>
  <c r="P313" i="14" s="1"/>
  <c r="Q313" i="14" s="1"/>
  <c r="O328" i="12"/>
  <c r="D329" i="12" s="1"/>
  <c r="P328" i="12"/>
  <c r="Q328" i="12" s="1"/>
  <c r="J224" i="1"/>
  <c r="K224" i="1" s="1"/>
  <c r="P224" i="1"/>
  <c r="Q224" i="1" s="1"/>
  <c r="J298" i="17" l="1"/>
  <c r="K298" i="17" s="1"/>
  <c r="M298" i="17" s="1"/>
  <c r="N310" i="17" s="1"/>
  <c r="J313" i="14"/>
  <c r="K313" i="14" s="1"/>
  <c r="M313" i="14" s="1"/>
  <c r="N325" i="14" s="1"/>
  <c r="I307" i="15"/>
  <c r="P307" i="15" s="1"/>
  <c r="Q307" i="15" s="1"/>
  <c r="E329" i="12"/>
  <c r="G329" i="12"/>
  <c r="O224" i="1"/>
  <c r="D225" i="1" s="1"/>
  <c r="G225" i="1" s="1"/>
  <c r="O313" i="14" l="1"/>
  <c r="D314" i="14" s="1"/>
  <c r="O298" i="17"/>
  <c r="D299" i="17" s="1"/>
  <c r="H329" i="12"/>
  <c r="I329" i="12" s="1"/>
  <c r="J329" i="12" s="1"/>
  <c r="K329" i="12" s="1"/>
  <c r="M329" i="12" s="1"/>
  <c r="N341" i="12" s="1"/>
  <c r="J307" i="15"/>
  <c r="K307" i="15" s="1"/>
  <c r="M307" i="15" s="1"/>
  <c r="N319" i="15" s="1"/>
  <c r="E314" i="14"/>
  <c r="G314" i="14"/>
  <c r="H314" i="14" s="1"/>
  <c r="I314" i="14" s="1"/>
  <c r="P314" i="14" s="1"/>
  <c r="Q314" i="14" s="1"/>
  <c r="E225" i="1"/>
  <c r="M224" i="1"/>
  <c r="H225" i="1" l="1"/>
  <c r="I225" i="1" s="1"/>
  <c r="E299" i="17"/>
  <c r="G299" i="17"/>
  <c r="H299" i="17" s="1"/>
  <c r="I299" i="17" s="1"/>
  <c r="O307" i="15"/>
  <c r="D308" i="15" s="1"/>
  <c r="J314" i="14"/>
  <c r="K314" i="14" s="1"/>
  <c r="M314" i="14" s="1"/>
  <c r="N326" i="14" s="1"/>
  <c r="P329" i="12"/>
  <c r="Q329" i="12" s="1"/>
  <c r="O329" i="12"/>
  <c r="D330" i="12" s="1"/>
  <c r="N234" i="1"/>
  <c r="J299" i="17" l="1"/>
  <c r="K299" i="17" s="1"/>
  <c r="M299" i="17" s="1"/>
  <c r="N311" i="17" s="1"/>
  <c r="P299" i="17"/>
  <c r="Q299" i="17" s="1"/>
  <c r="E308" i="15"/>
  <c r="G308" i="15"/>
  <c r="H308" i="15" s="1"/>
  <c r="I308" i="15" s="1"/>
  <c r="J308" i="15" s="1"/>
  <c r="K308" i="15" s="1"/>
  <c r="M308" i="15" s="1"/>
  <c r="N320" i="15" s="1"/>
  <c r="O314" i="14"/>
  <c r="D315" i="14" s="1"/>
  <c r="E330" i="12"/>
  <c r="G330" i="12"/>
  <c r="J225" i="1"/>
  <c r="K225" i="1" s="1"/>
  <c r="P225" i="1"/>
  <c r="Q225" i="1" s="1"/>
  <c r="O299" i="17" l="1"/>
  <c r="D300" i="17" s="1"/>
  <c r="E300" i="17" s="1"/>
  <c r="O308" i="15"/>
  <c r="D309" i="15" s="1"/>
  <c r="P308" i="15"/>
  <c r="Q308" i="15" s="1"/>
  <c r="H330" i="12"/>
  <c r="I330" i="12" s="1"/>
  <c r="J330" i="12" s="1"/>
  <c r="K330" i="12" s="1"/>
  <c r="M330" i="12" s="1"/>
  <c r="N342" i="12" s="1"/>
  <c r="E315" i="14"/>
  <c r="G315" i="14"/>
  <c r="O225" i="1"/>
  <c r="D226" i="1" s="1"/>
  <c r="G226" i="1" s="1"/>
  <c r="G300" i="17" l="1"/>
  <c r="H300" i="17" s="1"/>
  <c r="I300" i="17" s="1"/>
  <c r="P300" i="17" s="1"/>
  <c r="Q300" i="17" s="1"/>
  <c r="G309" i="15"/>
  <c r="E309" i="15"/>
  <c r="H315" i="14"/>
  <c r="P330" i="12"/>
  <c r="Q330" i="12" s="1"/>
  <c r="O330" i="12"/>
  <c r="D331" i="12" s="1"/>
  <c r="E226" i="1"/>
  <c r="M225" i="1"/>
  <c r="H226" i="1" l="1"/>
  <c r="I226" i="1" s="1"/>
  <c r="J300" i="17"/>
  <c r="K300" i="17" s="1"/>
  <c r="M300" i="17" s="1"/>
  <c r="N312" i="17" s="1"/>
  <c r="H309" i="15"/>
  <c r="I315" i="14"/>
  <c r="P315" i="14" s="1"/>
  <c r="Q315" i="14" s="1"/>
  <c r="E331" i="12"/>
  <c r="G331" i="12"/>
  <c r="N235" i="1"/>
  <c r="O300" i="17" l="1"/>
  <c r="D301" i="17" s="1"/>
  <c r="H331" i="12"/>
  <c r="I331" i="12" s="1"/>
  <c r="J331" i="12" s="1"/>
  <c r="K331" i="12" s="1"/>
  <c r="M331" i="12" s="1"/>
  <c r="N343" i="12" s="1"/>
  <c r="I309" i="15"/>
  <c r="P309" i="15" s="1"/>
  <c r="Q309" i="15" s="1"/>
  <c r="J309" i="15"/>
  <c r="K309" i="15" s="1"/>
  <c r="M309" i="15" s="1"/>
  <c r="N321" i="15" s="1"/>
  <c r="J315" i="14"/>
  <c r="K315" i="14" s="1"/>
  <c r="M315" i="14" s="1"/>
  <c r="N327" i="14" s="1"/>
  <c r="J226" i="1"/>
  <c r="K226" i="1" s="1"/>
  <c r="P226" i="1"/>
  <c r="Q226" i="1" s="1"/>
  <c r="G301" i="17" l="1"/>
  <c r="E301" i="17"/>
  <c r="O309" i="15"/>
  <c r="D310" i="15" s="1"/>
  <c r="O315" i="14"/>
  <c r="D316" i="14" s="1"/>
  <c r="E316" i="14" s="1"/>
  <c r="P331" i="12"/>
  <c r="Q331" i="12" s="1"/>
  <c r="O331" i="12"/>
  <c r="D332" i="12" s="1"/>
  <c r="O226" i="1"/>
  <c r="D227" i="1" s="1"/>
  <c r="G227" i="1" s="1"/>
  <c r="H301" i="17" l="1"/>
  <c r="E310" i="15"/>
  <c r="G310" i="15"/>
  <c r="H310" i="15" s="1"/>
  <c r="I310" i="15" s="1"/>
  <c r="G316" i="14"/>
  <c r="H316" i="14" s="1"/>
  <c r="I316" i="14" s="1"/>
  <c r="P316" i="14" s="1"/>
  <c r="Q316" i="14" s="1"/>
  <c r="E332" i="12"/>
  <c r="G332" i="12"/>
  <c r="E227" i="1"/>
  <c r="M226" i="1"/>
  <c r="H227" i="1" l="1"/>
  <c r="I227" i="1" s="1"/>
  <c r="I301" i="17"/>
  <c r="P301" i="17" s="1"/>
  <c r="Q301" i="17" s="1"/>
  <c r="J301" i="17"/>
  <c r="K301" i="17" s="1"/>
  <c r="M301" i="17" s="1"/>
  <c r="N313" i="17" s="1"/>
  <c r="P310" i="15"/>
  <c r="Q310" i="15" s="1"/>
  <c r="J310" i="15"/>
  <c r="K310" i="15" s="1"/>
  <c r="M310" i="15" s="1"/>
  <c r="N322" i="15" s="1"/>
  <c r="J316" i="14"/>
  <c r="K316" i="14" s="1"/>
  <c r="M316" i="14" s="1"/>
  <c r="N328" i="14" s="1"/>
  <c r="H332" i="12"/>
  <c r="I332" i="12" s="1"/>
  <c r="J332" i="12" s="1"/>
  <c r="K332" i="12" s="1"/>
  <c r="M332" i="12" s="1"/>
  <c r="N344" i="12" s="1"/>
  <c r="N236" i="1"/>
  <c r="O301" i="17" l="1"/>
  <c r="D302" i="17" s="1"/>
  <c r="O310" i="15"/>
  <c r="D311" i="15" s="1"/>
  <c r="E311" i="15" s="1"/>
  <c r="O316" i="14"/>
  <c r="D317" i="14" s="1"/>
  <c r="P332" i="12"/>
  <c r="Q332" i="12" s="1"/>
  <c r="O332" i="12"/>
  <c r="D333" i="12" s="1"/>
  <c r="E333" i="12" s="1"/>
  <c r="J227" i="1"/>
  <c r="K227" i="1" s="1"/>
  <c r="P227" i="1"/>
  <c r="Q227" i="1" s="1"/>
  <c r="E302" i="17" l="1"/>
  <c r="G302" i="17"/>
  <c r="H302" i="17" s="1"/>
  <c r="I302" i="17" s="1"/>
  <c r="G311" i="15"/>
  <c r="H311" i="15"/>
  <c r="E317" i="14"/>
  <c r="G317" i="14"/>
  <c r="G333" i="12"/>
  <c r="H333" i="12" s="1"/>
  <c r="I333" i="12" s="1"/>
  <c r="J333" i="12" s="1"/>
  <c r="K333" i="12" s="1"/>
  <c r="M333" i="12" s="1"/>
  <c r="N345" i="12" s="1"/>
  <c r="O227" i="1"/>
  <c r="D228" i="1" s="1"/>
  <c r="G228" i="1" s="1"/>
  <c r="P302" i="17" l="1"/>
  <c r="Q302" i="17" s="1"/>
  <c r="H317" i="14"/>
  <c r="J302" i="17"/>
  <c r="K302" i="17" s="1"/>
  <c r="M302" i="17" s="1"/>
  <c r="N314" i="17" s="1"/>
  <c r="I317" i="14"/>
  <c r="J317" i="14"/>
  <c r="K317" i="14" s="1"/>
  <c r="M317" i="14" s="1"/>
  <c r="N329" i="14" s="1"/>
  <c r="I311" i="15"/>
  <c r="P333" i="12"/>
  <c r="Q333" i="12" s="1"/>
  <c r="O333" i="12"/>
  <c r="D334" i="12" s="1"/>
  <c r="E228" i="1"/>
  <c r="M227" i="1"/>
  <c r="H228" i="1" l="1"/>
  <c r="I228" i="1" s="1"/>
  <c r="O302" i="17"/>
  <c r="D303" i="17" s="1"/>
  <c r="G303" i="17" s="1"/>
  <c r="H303" i="17" s="1"/>
  <c r="J311" i="15"/>
  <c r="K311" i="15" s="1"/>
  <c r="M311" i="15" s="1"/>
  <c r="N323" i="15" s="1"/>
  <c r="P311" i="15"/>
  <c r="Q311" i="15" s="1"/>
  <c r="P317" i="14"/>
  <c r="Q317" i="14" s="1"/>
  <c r="O317" i="14"/>
  <c r="D318" i="14" s="1"/>
  <c r="E334" i="12"/>
  <c r="G334" i="12"/>
  <c r="N237" i="1"/>
  <c r="I303" i="17" l="1"/>
  <c r="J303" i="17" s="1"/>
  <c r="K303" i="17" s="1"/>
  <c r="M303" i="17" s="1"/>
  <c r="N315" i="17" s="1"/>
  <c r="E303" i="17"/>
  <c r="E318" i="14"/>
  <c r="G318" i="14"/>
  <c r="H318" i="14" s="1"/>
  <c r="I318" i="14" s="1"/>
  <c r="P318" i="14" s="1"/>
  <c r="Q318" i="14" s="1"/>
  <c r="O311" i="15"/>
  <c r="D312" i="15" s="1"/>
  <c r="H334" i="12"/>
  <c r="I334" i="12" s="1"/>
  <c r="J334" i="12" s="1"/>
  <c r="K334" i="12" s="1"/>
  <c r="M334" i="12" s="1"/>
  <c r="N346" i="12" s="1"/>
  <c r="J228" i="1"/>
  <c r="K228" i="1" s="1"/>
  <c r="P228" i="1"/>
  <c r="Q228" i="1" s="1"/>
  <c r="J318" i="14" l="1"/>
  <c r="K318" i="14" s="1"/>
  <c r="M318" i="14" s="1"/>
  <c r="N330" i="14" s="1"/>
  <c r="P303" i="17"/>
  <c r="Q303" i="17" s="1"/>
  <c r="O303" i="17"/>
  <c r="D304" i="17" s="1"/>
  <c r="E304" i="17" s="1"/>
  <c r="E312" i="15"/>
  <c r="G312" i="15"/>
  <c r="H312" i="15" s="1"/>
  <c r="P334" i="12"/>
  <c r="Q334" i="12" s="1"/>
  <c r="O334" i="12"/>
  <c r="D335" i="12" s="1"/>
  <c r="O228" i="1"/>
  <c r="D229" i="1" s="1"/>
  <c r="G229" i="1" s="1"/>
  <c r="O318" i="14" l="1"/>
  <c r="D319" i="14" s="1"/>
  <c r="E319" i="14" s="1"/>
  <c r="G304" i="17"/>
  <c r="H304" i="17" s="1"/>
  <c r="I304" i="17" s="1"/>
  <c r="J304" i="17" s="1"/>
  <c r="K304" i="17" s="1"/>
  <c r="M304" i="17" s="1"/>
  <c r="N316" i="17" s="1"/>
  <c r="I312" i="15"/>
  <c r="G319" i="14"/>
  <c r="H319" i="14" s="1"/>
  <c r="E335" i="12"/>
  <c r="G335" i="12"/>
  <c r="E229" i="1"/>
  <c r="M228" i="1"/>
  <c r="H229" i="1" l="1"/>
  <c r="I229" i="1" s="1"/>
  <c r="P304" i="17"/>
  <c r="Q304" i="17" s="1"/>
  <c r="O304" i="17"/>
  <c r="D305" i="17" s="1"/>
  <c r="H335" i="12"/>
  <c r="I335" i="12" s="1"/>
  <c r="J335" i="12" s="1"/>
  <c r="K335" i="12" s="1"/>
  <c r="M335" i="12" s="1"/>
  <c r="N347" i="12" s="1"/>
  <c r="J312" i="15"/>
  <c r="K312" i="15" s="1"/>
  <c r="M312" i="15" s="1"/>
  <c r="N324" i="15" s="1"/>
  <c r="P312" i="15"/>
  <c r="Q312" i="15" s="1"/>
  <c r="I319" i="14"/>
  <c r="P319" i="14" s="1"/>
  <c r="Q319" i="14" s="1"/>
  <c r="N238" i="1"/>
  <c r="J319" i="14" l="1"/>
  <c r="K319" i="14" s="1"/>
  <c r="M319" i="14" s="1"/>
  <c r="N331" i="14" s="1"/>
  <c r="O335" i="12"/>
  <c r="D336" i="12" s="1"/>
  <c r="G336" i="12" s="1"/>
  <c r="P335" i="12"/>
  <c r="Q335" i="12" s="1"/>
  <c r="E305" i="17"/>
  <c r="G305" i="17"/>
  <c r="H305" i="17" s="1"/>
  <c r="I305" i="17" s="1"/>
  <c r="J305" i="17" s="1"/>
  <c r="K305" i="17" s="1"/>
  <c r="M305" i="17" s="1"/>
  <c r="N317" i="17" s="1"/>
  <c r="O312" i="15"/>
  <c r="D313" i="15" s="1"/>
  <c r="P229" i="1"/>
  <c r="Q229" i="1" s="1"/>
  <c r="J229" i="1"/>
  <c r="K229" i="1" s="1"/>
  <c r="E336" i="12" l="1"/>
  <c r="O319" i="14"/>
  <c r="D320" i="14" s="1"/>
  <c r="O305" i="17"/>
  <c r="D306" i="17" s="1"/>
  <c r="P305" i="17"/>
  <c r="Q305" i="17" s="1"/>
  <c r="E313" i="15"/>
  <c r="G313" i="15"/>
  <c r="H313" i="15" s="1"/>
  <c r="I313" i="15" s="1"/>
  <c r="J313" i="15" s="1"/>
  <c r="K313" i="15" s="1"/>
  <c r="M313" i="15" s="1"/>
  <c r="N325" i="15" s="1"/>
  <c r="E320" i="14"/>
  <c r="G320" i="14"/>
  <c r="H336" i="12"/>
  <c r="O229" i="1"/>
  <c r="D230" i="1" s="1"/>
  <c r="G230" i="1" s="1"/>
  <c r="E306" i="17" l="1"/>
  <c r="G306" i="17"/>
  <c r="H306" i="17" s="1"/>
  <c r="O313" i="15"/>
  <c r="D314" i="15" s="1"/>
  <c r="P313" i="15"/>
  <c r="Q313" i="15" s="1"/>
  <c r="H320" i="14"/>
  <c r="I320" i="14" s="1"/>
  <c r="I336" i="12"/>
  <c r="P336" i="12" s="1"/>
  <c r="Q336" i="12" s="1"/>
  <c r="E230" i="1"/>
  <c r="M229" i="1"/>
  <c r="H230" i="1" l="1"/>
  <c r="I230" i="1" s="1"/>
  <c r="I306" i="17"/>
  <c r="P306" i="17" s="1"/>
  <c r="Q306" i="17" s="1"/>
  <c r="E314" i="15"/>
  <c r="G314" i="15"/>
  <c r="H314" i="15" s="1"/>
  <c r="I314" i="15" s="1"/>
  <c r="J314" i="15" s="1"/>
  <c r="K314" i="15" s="1"/>
  <c r="M314" i="15" s="1"/>
  <c r="N326" i="15" s="1"/>
  <c r="P320" i="14"/>
  <c r="Q320" i="14" s="1"/>
  <c r="J320" i="14"/>
  <c r="K320" i="14" s="1"/>
  <c r="M320" i="14" s="1"/>
  <c r="N332" i="14" s="1"/>
  <c r="J336" i="12"/>
  <c r="K336" i="12" s="1"/>
  <c r="M336" i="12" s="1"/>
  <c r="N348" i="12" s="1"/>
  <c r="N239" i="1"/>
  <c r="J306" i="17" l="1"/>
  <c r="K306" i="17" s="1"/>
  <c r="M306" i="17" s="1"/>
  <c r="N318" i="17" s="1"/>
  <c r="O314" i="15"/>
  <c r="D315" i="15" s="1"/>
  <c r="P314" i="15"/>
  <c r="Q314" i="15" s="1"/>
  <c r="O320" i="14"/>
  <c r="D321" i="14" s="1"/>
  <c r="O336" i="12"/>
  <c r="D337" i="12" s="1"/>
  <c r="E337" i="12" s="1"/>
  <c r="P230" i="1"/>
  <c r="Q230" i="1" s="1"/>
  <c r="J230" i="1"/>
  <c r="K230" i="1" s="1"/>
  <c r="G337" i="12" l="1"/>
  <c r="O306" i="17"/>
  <c r="D307" i="17" s="1"/>
  <c r="H337" i="12"/>
  <c r="I337" i="12" s="1"/>
  <c r="J337" i="12" s="1"/>
  <c r="K337" i="12" s="1"/>
  <c r="M337" i="12" s="1"/>
  <c r="N349" i="12" s="1"/>
  <c r="E315" i="15"/>
  <c r="G315" i="15"/>
  <c r="H315" i="15" s="1"/>
  <c r="G321" i="14"/>
  <c r="E321" i="14"/>
  <c r="O230" i="1"/>
  <c r="D231" i="1" s="1"/>
  <c r="G231" i="1" s="1"/>
  <c r="E307" i="17" l="1"/>
  <c r="G307" i="17"/>
  <c r="H307" i="17" s="1"/>
  <c r="I315" i="15"/>
  <c r="J315" i="15"/>
  <c r="K315" i="15" s="1"/>
  <c r="M315" i="15" s="1"/>
  <c r="N327" i="15" s="1"/>
  <c r="H321" i="14"/>
  <c r="I321" i="14" s="1"/>
  <c r="P321" i="14" s="1"/>
  <c r="Q321" i="14" s="1"/>
  <c r="P337" i="12"/>
  <c r="Q337" i="12" s="1"/>
  <c r="O337" i="12"/>
  <c r="D338" i="12" s="1"/>
  <c r="E231" i="1"/>
  <c r="M230" i="1"/>
  <c r="H231" i="1" l="1"/>
  <c r="I231" i="1" s="1"/>
  <c r="I307" i="17"/>
  <c r="J307" i="17" s="1"/>
  <c r="K307" i="17" s="1"/>
  <c r="M307" i="17" s="1"/>
  <c r="N319" i="17" s="1"/>
  <c r="P315" i="15"/>
  <c r="Q315" i="15" s="1"/>
  <c r="O315" i="15"/>
  <c r="D316" i="15" s="1"/>
  <c r="J321" i="14"/>
  <c r="K321" i="14" s="1"/>
  <c r="M321" i="14" s="1"/>
  <c r="N333" i="14" s="1"/>
  <c r="G338" i="12"/>
  <c r="E338" i="12"/>
  <c r="N240" i="1"/>
  <c r="P307" i="17" l="1"/>
  <c r="Q307" i="17" s="1"/>
  <c r="O307" i="17"/>
  <c r="D308" i="17" s="1"/>
  <c r="E316" i="15"/>
  <c r="G316" i="15"/>
  <c r="H316" i="15" s="1"/>
  <c r="O321" i="14"/>
  <c r="D322" i="14" s="1"/>
  <c r="H338" i="12"/>
  <c r="I338" i="12" s="1"/>
  <c r="J338" i="12" s="1"/>
  <c r="K338" i="12" s="1"/>
  <c r="M338" i="12" s="1"/>
  <c r="N350" i="12" s="1"/>
  <c r="J231" i="1"/>
  <c r="K231" i="1" s="1"/>
  <c r="P231" i="1"/>
  <c r="Q231" i="1" s="1"/>
  <c r="G308" i="17" l="1"/>
  <c r="E308" i="17"/>
  <c r="I316" i="15"/>
  <c r="P316" i="15" s="1"/>
  <c r="Q316" i="15" s="1"/>
  <c r="G322" i="14"/>
  <c r="E322" i="14"/>
  <c r="P338" i="12"/>
  <c r="Q338" i="12" s="1"/>
  <c r="O338" i="12"/>
  <c r="D339" i="12" s="1"/>
  <c r="O231" i="1"/>
  <c r="D232" i="1" s="1"/>
  <c r="G232" i="1" s="1"/>
  <c r="J316" i="15" l="1"/>
  <c r="K316" i="15" s="1"/>
  <c r="M316" i="15" s="1"/>
  <c r="N328" i="15" s="1"/>
  <c r="H308" i="17"/>
  <c r="H322" i="14"/>
  <c r="I322" i="14" s="1"/>
  <c r="J322" i="14" s="1"/>
  <c r="K322" i="14" s="1"/>
  <c r="M322" i="14" s="1"/>
  <c r="N334" i="14" s="1"/>
  <c r="E339" i="12"/>
  <c r="G339" i="12"/>
  <c r="E232" i="1"/>
  <c r="M231" i="1"/>
  <c r="O316" i="15" l="1"/>
  <c r="D317" i="15" s="1"/>
  <c r="G317" i="15" s="1"/>
  <c r="H317" i="15" s="1"/>
  <c r="I317" i="15" s="1"/>
  <c r="J317" i="15" s="1"/>
  <c r="K317" i="15" s="1"/>
  <c r="M317" i="15" s="1"/>
  <c r="N329" i="15" s="1"/>
  <c r="H232" i="1"/>
  <c r="I232" i="1" s="1"/>
  <c r="I308" i="17"/>
  <c r="J308" i="17" s="1"/>
  <c r="K308" i="17" s="1"/>
  <c r="M308" i="17" s="1"/>
  <c r="N320" i="17" s="1"/>
  <c r="P322" i="14"/>
  <c r="Q322" i="14" s="1"/>
  <c r="O322" i="14"/>
  <c r="D323" i="14" s="1"/>
  <c r="E317" i="15"/>
  <c r="H339" i="12"/>
  <c r="I339" i="12" s="1"/>
  <c r="J339" i="12" s="1"/>
  <c r="K339" i="12" s="1"/>
  <c r="M339" i="12" s="1"/>
  <c r="N351" i="12" s="1"/>
  <c r="N241" i="1"/>
  <c r="O308" i="17" l="1"/>
  <c r="D309" i="17" s="1"/>
  <c r="P308" i="17"/>
  <c r="Q308" i="17" s="1"/>
  <c r="E323" i="14"/>
  <c r="G323" i="14"/>
  <c r="H323" i="14" s="1"/>
  <c r="I323" i="14" s="1"/>
  <c r="P323" i="14" s="1"/>
  <c r="Q323" i="14" s="1"/>
  <c r="O317" i="15"/>
  <c r="D318" i="15" s="1"/>
  <c r="P317" i="15"/>
  <c r="Q317" i="15" s="1"/>
  <c r="O339" i="12"/>
  <c r="D340" i="12" s="1"/>
  <c r="P339" i="12"/>
  <c r="Q339" i="12" s="1"/>
  <c r="J232" i="1"/>
  <c r="K232" i="1" s="1"/>
  <c r="P232" i="1"/>
  <c r="Q232" i="1" s="1"/>
  <c r="J323" i="14" l="1"/>
  <c r="K323" i="14" s="1"/>
  <c r="M323" i="14" s="1"/>
  <c r="N335" i="14" s="1"/>
  <c r="G309" i="17"/>
  <c r="E309" i="17"/>
  <c r="G318" i="15"/>
  <c r="E318" i="15"/>
  <c r="E340" i="12"/>
  <c r="G340" i="12"/>
  <c r="O232" i="1"/>
  <c r="D233" i="1" s="1"/>
  <c r="G233" i="1" s="1"/>
  <c r="O323" i="14" l="1"/>
  <c r="D324" i="14" s="1"/>
  <c r="E324" i="14" s="1"/>
  <c r="H309" i="17"/>
  <c r="H318" i="15"/>
  <c r="G324" i="14"/>
  <c r="H340" i="12"/>
  <c r="I340" i="12" s="1"/>
  <c r="J340" i="12" s="1"/>
  <c r="K340" i="12" s="1"/>
  <c r="M340" i="12" s="1"/>
  <c r="N352" i="12" s="1"/>
  <c r="E233" i="1"/>
  <c r="M232" i="1"/>
  <c r="H324" i="14" l="1"/>
  <c r="H233" i="1"/>
  <c r="I233" i="1" s="1"/>
  <c r="I309" i="17"/>
  <c r="P309" i="17" s="1"/>
  <c r="Q309" i="17" s="1"/>
  <c r="J309" i="17"/>
  <c r="K309" i="17" s="1"/>
  <c r="M309" i="17" s="1"/>
  <c r="N321" i="17" s="1"/>
  <c r="I318" i="15"/>
  <c r="J318" i="15" s="1"/>
  <c r="K318" i="15" s="1"/>
  <c r="M318" i="15" s="1"/>
  <c r="N330" i="15" s="1"/>
  <c r="I324" i="14"/>
  <c r="J324" i="14" s="1"/>
  <c r="K324" i="14" s="1"/>
  <c r="M324" i="14" s="1"/>
  <c r="N336" i="14" s="1"/>
  <c r="O340" i="12"/>
  <c r="D341" i="12" s="1"/>
  <c r="P340" i="12"/>
  <c r="Q340" i="12" s="1"/>
  <c r="N242" i="1"/>
  <c r="O309" i="17" l="1"/>
  <c r="D310" i="17" s="1"/>
  <c r="O318" i="15"/>
  <c r="D319" i="15" s="1"/>
  <c r="P318" i="15"/>
  <c r="Q318" i="15" s="1"/>
  <c r="O324" i="14"/>
  <c r="D325" i="14" s="1"/>
  <c r="G325" i="14" s="1"/>
  <c r="P324" i="14"/>
  <c r="Q324" i="14" s="1"/>
  <c r="E341" i="12"/>
  <c r="G341" i="12"/>
  <c r="P233" i="1"/>
  <c r="Q233" i="1" s="1"/>
  <c r="J233" i="1"/>
  <c r="K233" i="1" s="1"/>
  <c r="E310" i="17" l="1"/>
  <c r="G310" i="17"/>
  <c r="H310" i="17" s="1"/>
  <c r="E325" i="14"/>
  <c r="H325" i="14" s="1"/>
  <c r="E319" i="15"/>
  <c r="G319" i="15"/>
  <c r="H319" i="15" s="1"/>
  <c r="H341" i="12"/>
  <c r="I341" i="12" s="1"/>
  <c r="J341" i="12" s="1"/>
  <c r="K341" i="12" s="1"/>
  <c r="M341" i="12" s="1"/>
  <c r="N353" i="12" s="1"/>
  <c r="O233" i="1"/>
  <c r="D234" i="1" s="1"/>
  <c r="G234" i="1" s="1"/>
  <c r="I310" i="17" l="1"/>
  <c r="P310" i="17" s="1"/>
  <c r="Q310" i="17" s="1"/>
  <c r="I319" i="15"/>
  <c r="P319" i="15" s="1"/>
  <c r="Q319" i="15" s="1"/>
  <c r="I325" i="14"/>
  <c r="J325" i="14" s="1"/>
  <c r="K325" i="14" s="1"/>
  <c r="M325" i="14" s="1"/>
  <c r="N337" i="14" s="1"/>
  <c r="P341" i="12"/>
  <c r="Q341" i="12" s="1"/>
  <c r="O341" i="12"/>
  <c r="D342" i="12" s="1"/>
  <c r="E234" i="1"/>
  <c r="M233" i="1"/>
  <c r="H234" i="1" l="1"/>
  <c r="I234" i="1" s="1"/>
  <c r="J310" i="17"/>
  <c r="K310" i="17" s="1"/>
  <c r="M310" i="17" s="1"/>
  <c r="N322" i="17" s="1"/>
  <c r="J319" i="15"/>
  <c r="K319" i="15" s="1"/>
  <c r="M319" i="15" s="1"/>
  <c r="N331" i="15" s="1"/>
  <c r="P325" i="14"/>
  <c r="Q325" i="14" s="1"/>
  <c r="O325" i="14"/>
  <c r="D326" i="14" s="1"/>
  <c r="E342" i="12"/>
  <c r="G342" i="12"/>
  <c r="N243" i="1"/>
  <c r="O310" i="17" l="1"/>
  <c r="D311" i="17" s="1"/>
  <c r="G311" i="17" s="1"/>
  <c r="H311" i="17" s="1"/>
  <c r="O319" i="15"/>
  <c r="D320" i="15" s="1"/>
  <c r="H342" i="12"/>
  <c r="I342" i="12" s="1"/>
  <c r="J342" i="12" s="1"/>
  <c r="K342" i="12" s="1"/>
  <c r="M342" i="12" s="1"/>
  <c r="N354" i="12" s="1"/>
  <c r="E326" i="14"/>
  <c r="G326" i="14"/>
  <c r="J234" i="1"/>
  <c r="K234" i="1" s="1"/>
  <c r="P234" i="1"/>
  <c r="Q234" i="1" s="1"/>
  <c r="I311" i="17" l="1"/>
  <c r="E311" i="17"/>
  <c r="J311" i="17"/>
  <c r="K311" i="17" s="1"/>
  <c r="M311" i="17" s="1"/>
  <c r="N323" i="17" s="1"/>
  <c r="H326" i="14"/>
  <c r="I326" i="14" s="1"/>
  <c r="J326" i="14" s="1"/>
  <c r="K326" i="14" s="1"/>
  <c r="M326" i="14" s="1"/>
  <c r="N338" i="14" s="1"/>
  <c r="E320" i="15"/>
  <c r="G320" i="15"/>
  <c r="P342" i="12"/>
  <c r="Q342" i="12" s="1"/>
  <c r="O342" i="12"/>
  <c r="D343" i="12" s="1"/>
  <c r="O234" i="1"/>
  <c r="D235" i="1" s="1"/>
  <c r="G235" i="1" s="1"/>
  <c r="P311" i="17" l="1"/>
  <c r="Q311" i="17" s="1"/>
  <c r="O311" i="17"/>
  <c r="D312" i="17" s="1"/>
  <c r="O326" i="14"/>
  <c r="D327" i="14" s="1"/>
  <c r="G327" i="14" s="1"/>
  <c r="P326" i="14"/>
  <c r="Q326" i="14" s="1"/>
  <c r="H320" i="15"/>
  <c r="E343" i="12"/>
  <c r="G343" i="12"/>
  <c r="E235" i="1"/>
  <c r="M234" i="1"/>
  <c r="H235" i="1" l="1"/>
  <c r="I235" i="1" s="1"/>
  <c r="E312" i="17"/>
  <c r="G312" i="17"/>
  <c r="H312" i="17" s="1"/>
  <c r="E327" i="14"/>
  <c r="H327" i="14" s="1"/>
  <c r="I320" i="15"/>
  <c r="P320" i="15" s="1"/>
  <c r="Q320" i="15" s="1"/>
  <c r="H343" i="12"/>
  <c r="I343" i="12" s="1"/>
  <c r="J343" i="12" s="1"/>
  <c r="K343" i="12" s="1"/>
  <c r="M343" i="12" s="1"/>
  <c r="N355" i="12" s="1"/>
  <c r="N244" i="1"/>
  <c r="J320" i="15" l="1"/>
  <c r="K320" i="15" s="1"/>
  <c r="M320" i="15" s="1"/>
  <c r="N332" i="15" s="1"/>
  <c r="I312" i="17"/>
  <c r="J312" i="17" s="1"/>
  <c r="K312" i="17" s="1"/>
  <c r="M312" i="17" s="1"/>
  <c r="N324" i="17" s="1"/>
  <c r="I327" i="14"/>
  <c r="J327" i="14" s="1"/>
  <c r="K327" i="14" s="1"/>
  <c r="M327" i="14" s="1"/>
  <c r="N339" i="14" s="1"/>
  <c r="O343" i="12"/>
  <c r="D344" i="12" s="1"/>
  <c r="P343" i="12"/>
  <c r="Q343" i="12" s="1"/>
  <c r="J235" i="1"/>
  <c r="K235" i="1" s="1"/>
  <c r="P235" i="1"/>
  <c r="Q235" i="1" s="1"/>
  <c r="O320" i="15" l="1"/>
  <c r="D321" i="15" s="1"/>
  <c r="O312" i="17"/>
  <c r="D313" i="17" s="1"/>
  <c r="P312" i="17"/>
  <c r="Q312" i="17" s="1"/>
  <c r="E321" i="15"/>
  <c r="G321" i="15"/>
  <c r="H321" i="15" s="1"/>
  <c r="I321" i="15" s="1"/>
  <c r="P327" i="14"/>
  <c r="Q327" i="14" s="1"/>
  <c r="O327" i="14"/>
  <c r="D328" i="14" s="1"/>
  <c r="E344" i="12"/>
  <c r="G344" i="12"/>
  <c r="O235" i="1"/>
  <c r="D236" i="1" s="1"/>
  <c r="G236" i="1" s="1"/>
  <c r="E313" i="17" l="1"/>
  <c r="G313" i="17"/>
  <c r="H313" i="17" s="1"/>
  <c r="P321" i="15"/>
  <c r="Q321" i="15" s="1"/>
  <c r="J321" i="15"/>
  <c r="K321" i="15" s="1"/>
  <c r="M321" i="15" s="1"/>
  <c r="N333" i="15" s="1"/>
  <c r="H344" i="12"/>
  <c r="I344" i="12" s="1"/>
  <c r="P344" i="12" s="1"/>
  <c r="Q344" i="12" s="1"/>
  <c r="E328" i="14"/>
  <c r="G328" i="14"/>
  <c r="E236" i="1"/>
  <c r="M235" i="1"/>
  <c r="H236" i="1" l="1"/>
  <c r="I313" i="17"/>
  <c r="O321" i="15"/>
  <c r="D322" i="15" s="1"/>
  <c r="J344" i="12"/>
  <c r="K344" i="12" s="1"/>
  <c r="M344" i="12" s="1"/>
  <c r="N356" i="12" s="1"/>
  <c r="H328" i="14"/>
  <c r="I328" i="14" s="1"/>
  <c r="J328" i="14" s="1"/>
  <c r="K328" i="14" s="1"/>
  <c r="M328" i="14" s="1"/>
  <c r="N340" i="14" s="1"/>
  <c r="I236" i="1"/>
  <c r="N245" i="1"/>
  <c r="P313" i="17" l="1"/>
  <c r="Q313" i="17" s="1"/>
  <c r="J313" i="17"/>
  <c r="G322" i="15"/>
  <c r="E322" i="15"/>
  <c r="O344" i="12"/>
  <c r="D345" i="12" s="1"/>
  <c r="E345" i="12" s="1"/>
  <c r="O328" i="14"/>
  <c r="D329" i="14" s="1"/>
  <c r="P328" i="14"/>
  <c r="Q328" i="14" s="1"/>
  <c r="J236" i="1"/>
  <c r="K236" i="1" s="1"/>
  <c r="P236" i="1"/>
  <c r="Q236" i="1" s="1"/>
  <c r="G345" i="12" l="1"/>
  <c r="H345" i="12" s="1"/>
  <c r="I345" i="12" s="1"/>
  <c r="J345" i="12" s="1"/>
  <c r="K345" i="12" s="1"/>
  <c r="M345" i="12" s="1"/>
  <c r="N357" i="12" s="1"/>
  <c r="K313" i="17"/>
  <c r="M313" i="17" s="1"/>
  <c r="N325" i="17" s="1"/>
  <c r="O313" i="17"/>
  <c r="D314" i="17" s="1"/>
  <c r="H322" i="15"/>
  <c r="I322" i="15" s="1"/>
  <c r="J322" i="15" s="1"/>
  <c r="K322" i="15" s="1"/>
  <c r="M322" i="15" s="1"/>
  <c r="N334" i="15" s="1"/>
  <c r="G329" i="14"/>
  <c r="E329" i="14"/>
  <c r="P345" i="12"/>
  <c r="Q345" i="12" s="1"/>
  <c r="O236" i="1"/>
  <c r="D237" i="1" s="1"/>
  <c r="G237" i="1" s="1"/>
  <c r="O345" i="12" l="1"/>
  <c r="D346" i="12" s="1"/>
  <c r="E314" i="17"/>
  <c r="H314" i="17" s="1"/>
  <c r="I314" i="17" s="1"/>
  <c r="J314" i="17" s="1"/>
  <c r="K314" i="17" s="1"/>
  <c r="M314" i="17" s="1"/>
  <c r="N326" i="17" s="1"/>
  <c r="G314" i="17"/>
  <c r="O322" i="15"/>
  <c r="D323" i="15" s="1"/>
  <c r="E323" i="15" s="1"/>
  <c r="P322" i="15"/>
  <c r="Q322" i="15" s="1"/>
  <c r="H329" i="14"/>
  <c r="G346" i="12"/>
  <c r="E346" i="12"/>
  <c r="E237" i="1"/>
  <c r="M236" i="1"/>
  <c r="H237" i="1" l="1"/>
  <c r="O314" i="17"/>
  <c r="D315" i="17" s="1"/>
  <c r="P314" i="17"/>
  <c r="Q314" i="17" s="1"/>
  <c r="G323" i="15"/>
  <c r="H323" i="15" s="1"/>
  <c r="I323" i="15" s="1"/>
  <c r="I329" i="14"/>
  <c r="J329" i="14" s="1"/>
  <c r="K329" i="14" s="1"/>
  <c r="M329" i="14" s="1"/>
  <c r="N341" i="14" s="1"/>
  <c r="H346" i="12"/>
  <c r="I237" i="1"/>
  <c r="N246" i="1"/>
  <c r="J323" i="15" l="1"/>
  <c r="K323" i="15" s="1"/>
  <c r="M323" i="15" s="1"/>
  <c r="N335" i="15" s="1"/>
  <c r="E315" i="17"/>
  <c r="G315" i="17"/>
  <c r="H315" i="17" s="1"/>
  <c r="I315" i="17" s="1"/>
  <c r="P323" i="15"/>
  <c r="Q323" i="15" s="1"/>
  <c r="P329" i="14"/>
  <c r="Q329" i="14" s="1"/>
  <c r="O329" i="14"/>
  <c r="D330" i="14" s="1"/>
  <c r="I346" i="12"/>
  <c r="P346" i="12" s="1"/>
  <c r="Q346" i="12" s="1"/>
  <c r="J237" i="1"/>
  <c r="K237" i="1" s="1"/>
  <c r="P237" i="1"/>
  <c r="Q237" i="1" s="1"/>
  <c r="O323" i="15" l="1"/>
  <c r="D324" i="15" s="1"/>
  <c r="J315" i="17"/>
  <c r="K315" i="17" s="1"/>
  <c r="M315" i="17" s="1"/>
  <c r="N327" i="17" s="1"/>
  <c r="P315" i="17"/>
  <c r="Q315" i="17" s="1"/>
  <c r="E324" i="15"/>
  <c r="G324" i="15"/>
  <c r="H324" i="15" s="1"/>
  <c r="J346" i="12"/>
  <c r="K346" i="12" s="1"/>
  <c r="M346" i="12" s="1"/>
  <c r="N358" i="12" s="1"/>
  <c r="G330" i="14"/>
  <c r="E330" i="14"/>
  <c r="O237" i="1"/>
  <c r="D238" i="1" s="1"/>
  <c r="G238" i="1" s="1"/>
  <c r="O315" i="17" l="1"/>
  <c r="D316" i="17" s="1"/>
  <c r="G316" i="17" s="1"/>
  <c r="I324" i="15"/>
  <c r="J324" i="15" s="1"/>
  <c r="K324" i="15" s="1"/>
  <c r="M324" i="15" s="1"/>
  <c r="N336" i="15" s="1"/>
  <c r="O346" i="12"/>
  <c r="D347" i="12" s="1"/>
  <c r="E347" i="12" s="1"/>
  <c r="H330" i="14"/>
  <c r="E238" i="1"/>
  <c r="M237" i="1"/>
  <c r="H316" i="17" l="1"/>
  <c r="I316" i="17" s="1"/>
  <c r="H238" i="1"/>
  <c r="I238" i="1" s="1"/>
  <c r="E316" i="17"/>
  <c r="J316" i="17"/>
  <c r="K316" i="17" s="1"/>
  <c r="M316" i="17" s="1"/>
  <c r="N328" i="17" s="1"/>
  <c r="O324" i="15"/>
  <c r="D325" i="15" s="1"/>
  <c r="E325" i="15" s="1"/>
  <c r="P324" i="15"/>
  <c r="Q324" i="15" s="1"/>
  <c r="G347" i="12"/>
  <c r="H347" i="12" s="1"/>
  <c r="I347" i="12" s="1"/>
  <c r="P347" i="12" s="1"/>
  <c r="Q347" i="12" s="1"/>
  <c r="I330" i="14"/>
  <c r="P330" i="14" s="1"/>
  <c r="Q330" i="14" s="1"/>
  <c r="N247" i="1"/>
  <c r="P316" i="17" l="1"/>
  <c r="Q316" i="17" s="1"/>
  <c r="G325" i="15"/>
  <c r="H325" i="15" s="1"/>
  <c r="I325" i="15" s="1"/>
  <c r="P325" i="15" s="1"/>
  <c r="Q325" i="15" s="1"/>
  <c r="O316" i="17"/>
  <c r="D317" i="17" s="1"/>
  <c r="J325" i="15"/>
  <c r="K325" i="15" s="1"/>
  <c r="M325" i="15" s="1"/>
  <c r="N337" i="15" s="1"/>
  <c r="J330" i="14"/>
  <c r="K330" i="14" s="1"/>
  <c r="M330" i="14" s="1"/>
  <c r="N342" i="14" s="1"/>
  <c r="J347" i="12"/>
  <c r="K347" i="12" s="1"/>
  <c r="M347" i="12" s="1"/>
  <c r="N359" i="12" s="1"/>
  <c r="J238" i="1"/>
  <c r="K238" i="1" s="1"/>
  <c r="P238" i="1"/>
  <c r="Q238" i="1" s="1"/>
  <c r="E317" i="17" l="1"/>
  <c r="G317" i="17"/>
  <c r="H317" i="17"/>
  <c r="O325" i="15"/>
  <c r="D326" i="15" s="1"/>
  <c r="G326" i="15" s="1"/>
  <c r="O330" i="14"/>
  <c r="D331" i="14" s="1"/>
  <c r="E331" i="14" s="1"/>
  <c r="O347" i="12"/>
  <c r="D348" i="12" s="1"/>
  <c r="O238" i="1"/>
  <c r="D239" i="1" s="1"/>
  <c r="G239" i="1" s="1"/>
  <c r="G331" i="14" l="1"/>
  <c r="I317" i="17"/>
  <c r="P317" i="17" s="1"/>
  <c r="Q317" i="17" s="1"/>
  <c r="E326" i="15"/>
  <c r="H326" i="15" s="1"/>
  <c r="I326" i="15" s="1"/>
  <c r="J326" i="15" s="1"/>
  <c r="K326" i="15" s="1"/>
  <c r="M326" i="15" s="1"/>
  <c r="N338" i="15" s="1"/>
  <c r="H331" i="14"/>
  <c r="E348" i="12"/>
  <c r="G348" i="12"/>
  <c r="E239" i="1"/>
  <c r="M238" i="1"/>
  <c r="H239" i="1" l="1"/>
  <c r="I239" i="1" s="1"/>
  <c r="J317" i="17"/>
  <c r="K317" i="17" s="1"/>
  <c r="M317" i="17" s="1"/>
  <c r="N329" i="17" s="1"/>
  <c r="P326" i="15"/>
  <c r="Q326" i="15" s="1"/>
  <c r="O326" i="15"/>
  <c r="D327" i="15" s="1"/>
  <c r="I331" i="14"/>
  <c r="P331" i="14" s="1"/>
  <c r="Q331" i="14" s="1"/>
  <c r="H348" i="12"/>
  <c r="I348" i="12" s="1"/>
  <c r="P348" i="12" s="1"/>
  <c r="Q348" i="12" s="1"/>
  <c r="N248" i="1"/>
  <c r="O317" i="17" l="1"/>
  <c r="D318" i="17" s="1"/>
  <c r="G318" i="17" s="1"/>
  <c r="H318" i="17" s="1"/>
  <c r="I318" i="17" s="1"/>
  <c r="E327" i="15"/>
  <c r="G327" i="15"/>
  <c r="H327" i="15" s="1"/>
  <c r="I327" i="15" s="1"/>
  <c r="P327" i="15" s="1"/>
  <c r="Q327" i="15" s="1"/>
  <c r="J331" i="14"/>
  <c r="K331" i="14" s="1"/>
  <c r="M331" i="14" s="1"/>
  <c r="N343" i="14" s="1"/>
  <c r="J348" i="12"/>
  <c r="K348" i="12" s="1"/>
  <c r="M348" i="12" s="1"/>
  <c r="N360" i="12" s="1"/>
  <c r="J239" i="1"/>
  <c r="K239" i="1" s="1"/>
  <c r="P239" i="1"/>
  <c r="Q239" i="1" s="1"/>
  <c r="J318" i="17" l="1"/>
  <c r="K318" i="17" s="1"/>
  <c r="M318" i="17" s="1"/>
  <c r="N330" i="17" s="1"/>
  <c r="E318" i="17"/>
  <c r="P318" i="17" s="1"/>
  <c r="Q318" i="17" s="1"/>
  <c r="J327" i="15"/>
  <c r="K327" i="15" s="1"/>
  <c r="M327" i="15" s="1"/>
  <c r="N339" i="15" s="1"/>
  <c r="O331" i="14"/>
  <c r="D332" i="14" s="1"/>
  <c r="G332" i="14" s="1"/>
  <c r="O348" i="12"/>
  <c r="D349" i="12" s="1"/>
  <c r="G349" i="12" s="1"/>
  <c r="O239" i="1"/>
  <c r="D240" i="1" s="1"/>
  <c r="G240" i="1" s="1"/>
  <c r="E332" i="14" l="1"/>
  <c r="O318" i="17"/>
  <c r="D319" i="17" s="1"/>
  <c r="E319" i="17" s="1"/>
  <c r="G319" i="17"/>
  <c r="O327" i="15"/>
  <c r="D328" i="15" s="1"/>
  <c r="E349" i="12"/>
  <c r="H349" i="12" s="1"/>
  <c r="I349" i="12" s="1"/>
  <c r="P349" i="12" s="1"/>
  <c r="Q349" i="12" s="1"/>
  <c r="H332" i="14"/>
  <c r="E240" i="1"/>
  <c r="M239" i="1"/>
  <c r="H240" i="1" l="1"/>
  <c r="I240" i="1" s="1"/>
  <c r="H319" i="17"/>
  <c r="E328" i="15"/>
  <c r="G328" i="15"/>
  <c r="J349" i="12"/>
  <c r="K349" i="12" s="1"/>
  <c r="M349" i="12" s="1"/>
  <c r="N361" i="12" s="1"/>
  <c r="I332" i="14"/>
  <c r="P332" i="14" s="1"/>
  <c r="Q332" i="14" s="1"/>
  <c r="N249" i="1"/>
  <c r="I319" i="17" l="1"/>
  <c r="P319" i="17" s="1"/>
  <c r="Q319" i="17" s="1"/>
  <c r="J319" i="17"/>
  <c r="K319" i="17" s="1"/>
  <c r="M319" i="17" s="1"/>
  <c r="N331" i="17" s="1"/>
  <c r="H328" i="15"/>
  <c r="O349" i="12"/>
  <c r="D350" i="12" s="1"/>
  <c r="G350" i="12" s="1"/>
  <c r="J332" i="14"/>
  <c r="K332" i="14" s="1"/>
  <c r="M332" i="14" s="1"/>
  <c r="N344" i="14" s="1"/>
  <c r="J240" i="1"/>
  <c r="K240" i="1" s="1"/>
  <c r="P240" i="1"/>
  <c r="Q240" i="1" s="1"/>
  <c r="O319" i="17" l="1"/>
  <c r="D320" i="17" s="1"/>
  <c r="I328" i="15"/>
  <c r="P328" i="15" s="1"/>
  <c r="Q328" i="15" s="1"/>
  <c r="E350" i="12"/>
  <c r="H350" i="12" s="1"/>
  <c r="O332" i="14"/>
  <c r="D333" i="14" s="1"/>
  <c r="G333" i="14" s="1"/>
  <c r="O240" i="1"/>
  <c r="D241" i="1" s="1"/>
  <c r="G241" i="1" s="1"/>
  <c r="E333" i="14" l="1"/>
  <c r="G320" i="17"/>
  <c r="E320" i="17"/>
  <c r="J328" i="15"/>
  <c r="K328" i="15" s="1"/>
  <c r="M328" i="15" s="1"/>
  <c r="N340" i="15" s="1"/>
  <c r="I350" i="12"/>
  <c r="P350" i="12" s="1"/>
  <c r="Q350" i="12" s="1"/>
  <c r="J350" i="12"/>
  <c r="K350" i="12" s="1"/>
  <c r="M350" i="12" s="1"/>
  <c r="N362" i="12" s="1"/>
  <c r="H333" i="14"/>
  <c r="I333" i="14" s="1"/>
  <c r="E241" i="1"/>
  <c r="M240" i="1"/>
  <c r="H241" i="1" l="1"/>
  <c r="I241" i="1" s="1"/>
  <c r="H320" i="17"/>
  <c r="P333" i="14"/>
  <c r="Q333" i="14" s="1"/>
  <c r="O328" i="15"/>
  <c r="D329" i="15" s="1"/>
  <c r="O350" i="12"/>
  <c r="D351" i="12" s="1"/>
  <c r="G351" i="12" s="1"/>
  <c r="J333" i="14"/>
  <c r="K333" i="14" s="1"/>
  <c r="M333" i="14" s="1"/>
  <c r="N345" i="14" s="1"/>
  <c r="N250" i="1"/>
  <c r="E351" i="12" l="1"/>
  <c r="I320" i="17"/>
  <c r="P320" i="17" s="1"/>
  <c r="Q320" i="17" s="1"/>
  <c r="E329" i="15"/>
  <c r="G329" i="15"/>
  <c r="H329" i="15" s="1"/>
  <c r="H351" i="12"/>
  <c r="I351" i="12" s="1"/>
  <c r="J351" i="12" s="1"/>
  <c r="K351" i="12" s="1"/>
  <c r="M351" i="12" s="1"/>
  <c r="N363" i="12" s="1"/>
  <c r="O333" i="14"/>
  <c r="D334" i="14" s="1"/>
  <c r="P241" i="1"/>
  <c r="Q241" i="1" s="1"/>
  <c r="J241" i="1"/>
  <c r="K241" i="1" s="1"/>
  <c r="J320" i="17" l="1"/>
  <c r="K320" i="17" s="1"/>
  <c r="M320" i="17" s="1"/>
  <c r="N332" i="17" s="1"/>
  <c r="I329" i="15"/>
  <c r="P329" i="15" s="1"/>
  <c r="Q329" i="15" s="1"/>
  <c r="G334" i="14"/>
  <c r="E334" i="14"/>
  <c r="O351" i="12"/>
  <c r="D352" i="12" s="1"/>
  <c r="P351" i="12"/>
  <c r="Q351" i="12" s="1"/>
  <c r="O241" i="1"/>
  <c r="D242" i="1" s="1"/>
  <c r="G242" i="1" s="1"/>
  <c r="O320" i="17" l="1"/>
  <c r="D321" i="17" s="1"/>
  <c r="E321" i="17" s="1"/>
  <c r="J329" i="15"/>
  <c r="K329" i="15" s="1"/>
  <c r="M329" i="15" s="1"/>
  <c r="N341" i="15" s="1"/>
  <c r="H334" i="14"/>
  <c r="G352" i="12"/>
  <c r="E352" i="12"/>
  <c r="E242" i="1"/>
  <c r="M241" i="1"/>
  <c r="H242" i="1" l="1"/>
  <c r="I242" i="1" s="1"/>
  <c r="G321" i="17"/>
  <c r="H321" i="17"/>
  <c r="O329" i="15"/>
  <c r="D330" i="15" s="1"/>
  <c r="I334" i="14"/>
  <c r="P334" i="14" s="1"/>
  <c r="Q334" i="14" s="1"/>
  <c r="H352" i="12"/>
  <c r="I352" i="12" s="1"/>
  <c r="P352" i="12" s="1"/>
  <c r="Q352" i="12" s="1"/>
  <c r="N251" i="1"/>
  <c r="I321" i="17" l="1"/>
  <c r="J321" i="17" s="1"/>
  <c r="K321" i="17" s="1"/>
  <c r="M321" i="17" s="1"/>
  <c r="N333" i="17" s="1"/>
  <c r="E330" i="15"/>
  <c r="G330" i="15"/>
  <c r="H330" i="15" s="1"/>
  <c r="I330" i="15" s="1"/>
  <c r="J330" i="15" s="1"/>
  <c r="K330" i="15" s="1"/>
  <c r="M330" i="15" s="1"/>
  <c r="N342" i="15" s="1"/>
  <c r="J334" i="14"/>
  <c r="K334" i="14" s="1"/>
  <c r="M334" i="14" s="1"/>
  <c r="N346" i="14" s="1"/>
  <c r="J352" i="12"/>
  <c r="K352" i="12" s="1"/>
  <c r="M352" i="12" s="1"/>
  <c r="N364" i="12" s="1"/>
  <c r="J242" i="1"/>
  <c r="K242" i="1" s="1"/>
  <c r="P242" i="1"/>
  <c r="Q242" i="1" s="1"/>
  <c r="O321" i="17" l="1"/>
  <c r="D322" i="17" s="1"/>
  <c r="P321" i="17"/>
  <c r="Q321" i="17" s="1"/>
  <c r="O330" i="15"/>
  <c r="D331" i="15" s="1"/>
  <c r="P330" i="15"/>
  <c r="Q330" i="15" s="1"/>
  <c r="O352" i="12"/>
  <c r="D353" i="12" s="1"/>
  <c r="E353" i="12" s="1"/>
  <c r="O334" i="14"/>
  <c r="D335" i="14" s="1"/>
  <c r="O242" i="1"/>
  <c r="D243" i="1" s="1"/>
  <c r="G243" i="1" s="1"/>
  <c r="G353" i="12" l="1"/>
  <c r="G322" i="17"/>
  <c r="E322" i="17"/>
  <c r="E331" i="15"/>
  <c r="G331" i="15"/>
  <c r="H331" i="15" s="1"/>
  <c r="I331" i="15" s="1"/>
  <c r="J331" i="15" s="1"/>
  <c r="K331" i="15" s="1"/>
  <c r="M331" i="15" s="1"/>
  <c r="N343" i="15" s="1"/>
  <c r="G335" i="14"/>
  <c r="E335" i="14"/>
  <c r="H353" i="12"/>
  <c r="I353" i="12" s="1"/>
  <c r="J353" i="12" s="1"/>
  <c r="K353" i="12" s="1"/>
  <c r="M353" i="12" s="1"/>
  <c r="N365" i="12" s="1"/>
  <c r="E243" i="1"/>
  <c r="M242" i="1"/>
  <c r="H243" i="1" l="1"/>
  <c r="I243" i="1" s="1"/>
  <c r="H322" i="17"/>
  <c r="O331" i="15"/>
  <c r="D332" i="15" s="1"/>
  <c r="P331" i="15"/>
  <c r="Q331" i="15" s="1"/>
  <c r="H335" i="14"/>
  <c r="O353" i="12"/>
  <c r="D354" i="12" s="1"/>
  <c r="P353" i="12"/>
  <c r="Q353" i="12" s="1"/>
  <c r="N252" i="1"/>
  <c r="I322" i="17" l="1"/>
  <c r="J322" i="17" s="1"/>
  <c r="K322" i="17" s="1"/>
  <c r="M322" i="17" s="1"/>
  <c r="N334" i="17" s="1"/>
  <c r="G332" i="15"/>
  <c r="E332" i="15"/>
  <c r="I335" i="14"/>
  <c r="G354" i="12"/>
  <c r="E354" i="12"/>
  <c r="J243" i="1"/>
  <c r="K243" i="1" s="1"/>
  <c r="P243" i="1"/>
  <c r="Q243" i="1" s="1"/>
  <c r="O322" i="17" l="1"/>
  <c r="D323" i="17" s="1"/>
  <c r="P322" i="17"/>
  <c r="Q322" i="17" s="1"/>
  <c r="H332" i="15"/>
  <c r="P335" i="14"/>
  <c r="Q335" i="14" s="1"/>
  <c r="J335" i="14"/>
  <c r="K335" i="14" s="1"/>
  <c r="M335" i="14" s="1"/>
  <c r="N347" i="14" s="1"/>
  <c r="H354" i="12"/>
  <c r="I354" i="12" s="1"/>
  <c r="J354" i="12" s="1"/>
  <c r="K354" i="12" s="1"/>
  <c r="M354" i="12" s="1"/>
  <c r="N366" i="12" s="1"/>
  <c r="O243" i="1"/>
  <c r="D244" i="1" s="1"/>
  <c r="G244" i="1" s="1"/>
  <c r="O335" i="14" l="1"/>
  <c r="D336" i="14" s="1"/>
  <c r="E336" i="14" s="1"/>
  <c r="E323" i="17"/>
  <c r="G323" i="17"/>
  <c r="I332" i="15"/>
  <c r="J332" i="15" s="1"/>
  <c r="G336" i="14"/>
  <c r="P354" i="12"/>
  <c r="Q354" i="12" s="1"/>
  <c r="O354" i="12"/>
  <c r="D355" i="12" s="1"/>
  <c r="G355" i="12" s="1"/>
  <c r="E244" i="1"/>
  <c r="M243" i="1"/>
  <c r="H336" i="14" l="1"/>
  <c r="I336" i="14" s="1"/>
  <c r="J336" i="14" s="1"/>
  <c r="K336" i="14" s="1"/>
  <c r="M336" i="14" s="1"/>
  <c r="N348" i="14" s="1"/>
  <c r="H244" i="1"/>
  <c r="I244" i="1" s="1"/>
  <c r="H323" i="17"/>
  <c r="P332" i="15"/>
  <c r="Q332" i="15" s="1"/>
  <c r="K332" i="15"/>
  <c r="M332" i="15" s="1"/>
  <c r="N344" i="15" s="1"/>
  <c r="O332" i="15"/>
  <c r="D333" i="15" s="1"/>
  <c r="E355" i="12"/>
  <c r="H355" i="12" s="1"/>
  <c r="I355" i="12" s="1"/>
  <c r="J355" i="12" s="1"/>
  <c r="K355" i="12" s="1"/>
  <c r="M355" i="12" s="1"/>
  <c r="N367" i="12" s="1"/>
  <c r="N253" i="1"/>
  <c r="P336" i="14" l="1"/>
  <c r="Q336" i="14" s="1"/>
  <c r="O336" i="14"/>
  <c r="D337" i="14" s="1"/>
  <c r="G337" i="14" s="1"/>
  <c r="I323" i="17"/>
  <c r="P323" i="17" s="1"/>
  <c r="Q323" i="17" s="1"/>
  <c r="J323" i="17"/>
  <c r="K323" i="17" s="1"/>
  <c r="M323" i="17" s="1"/>
  <c r="N335" i="17" s="1"/>
  <c r="E333" i="15"/>
  <c r="G333" i="15"/>
  <c r="H333" i="15" s="1"/>
  <c r="I333" i="15" s="1"/>
  <c r="O355" i="12"/>
  <c r="D356" i="12" s="1"/>
  <c r="P355" i="12"/>
  <c r="Q355" i="12" s="1"/>
  <c r="P244" i="1"/>
  <c r="Q244" i="1" s="1"/>
  <c r="J244" i="1"/>
  <c r="K244" i="1" s="1"/>
  <c r="E337" i="14" l="1"/>
  <c r="P333" i="15"/>
  <c r="Q333" i="15" s="1"/>
  <c r="O323" i="17"/>
  <c r="D324" i="17" s="1"/>
  <c r="J333" i="15"/>
  <c r="H337" i="14"/>
  <c r="G356" i="12"/>
  <c r="E356" i="12"/>
  <c r="O244" i="1"/>
  <c r="D245" i="1" s="1"/>
  <c r="G245" i="1" s="1"/>
  <c r="E324" i="17" l="1"/>
  <c r="G324" i="17"/>
  <c r="H324" i="17" s="1"/>
  <c r="I324" i="17" s="1"/>
  <c r="P324" i="17" s="1"/>
  <c r="Q324" i="17" s="1"/>
  <c r="K333" i="15"/>
  <c r="M333" i="15" s="1"/>
  <c r="N345" i="15" s="1"/>
  <c r="O333" i="15"/>
  <c r="D334" i="15" s="1"/>
  <c r="I337" i="14"/>
  <c r="J337" i="14" s="1"/>
  <c r="K337" i="14" s="1"/>
  <c r="M337" i="14" s="1"/>
  <c r="N349" i="14" s="1"/>
  <c r="H356" i="12"/>
  <c r="E245" i="1"/>
  <c r="M244" i="1"/>
  <c r="H245" i="1" l="1"/>
  <c r="I245" i="1" s="1"/>
  <c r="J324" i="17"/>
  <c r="K324" i="17" s="1"/>
  <c r="M324" i="17" s="1"/>
  <c r="N336" i="17" s="1"/>
  <c r="G334" i="15"/>
  <c r="E334" i="15"/>
  <c r="O337" i="14"/>
  <c r="D338" i="14" s="1"/>
  <c r="G338" i="14" s="1"/>
  <c r="P337" i="14"/>
  <c r="Q337" i="14" s="1"/>
  <c r="I356" i="12"/>
  <c r="J356" i="12" s="1"/>
  <c r="K356" i="12" s="1"/>
  <c r="M356" i="12" s="1"/>
  <c r="N368" i="12" s="1"/>
  <c r="N254" i="1"/>
  <c r="O324" i="17" l="1"/>
  <c r="D325" i="17" s="1"/>
  <c r="H325" i="17" s="1"/>
  <c r="E338" i="14"/>
  <c r="H338" i="14" s="1"/>
  <c r="I338" i="14" s="1"/>
  <c r="P338" i="14" s="1"/>
  <c r="Q338" i="14" s="1"/>
  <c r="H334" i="15"/>
  <c r="P356" i="12"/>
  <c r="Q356" i="12" s="1"/>
  <c r="O356" i="12"/>
  <c r="D357" i="12" s="1"/>
  <c r="P245" i="1"/>
  <c r="Q245" i="1" s="1"/>
  <c r="J245" i="1"/>
  <c r="K245" i="1" s="1"/>
  <c r="G325" i="17" l="1"/>
  <c r="E325" i="17"/>
  <c r="I325" i="17"/>
  <c r="J325" i="17" s="1"/>
  <c r="K325" i="17" s="1"/>
  <c r="M325" i="17" s="1"/>
  <c r="N337" i="17" s="1"/>
  <c r="I334" i="15"/>
  <c r="J334" i="15" s="1"/>
  <c r="K334" i="15" s="1"/>
  <c r="M334" i="15" s="1"/>
  <c r="N346" i="15" s="1"/>
  <c r="J338" i="14"/>
  <c r="K338" i="14" s="1"/>
  <c r="M338" i="14" s="1"/>
  <c r="N350" i="14" s="1"/>
  <c r="E357" i="12"/>
  <c r="G357" i="12"/>
  <c r="O245" i="1"/>
  <c r="D246" i="1" s="1"/>
  <c r="G246" i="1" s="1"/>
  <c r="H357" i="12" l="1"/>
  <c r="P325" i="17"/>
  <c r="Q325" i="17" s="1"/>
  <c r="O325" i="17"/>
  <c r="D326" i="17" s="1"/>
  <c r="E326" i="17" s="1"/>
  <c r="O334" i="15"/>
  <c r="D335" i="15" s="1"/>
  <c r="P334" i="15"/>
  <c r="Q334" i="15" s="1"/>
  <c r="O338" i="14"/>
  <c r="D339" i="14" s="1"/>
  <c r="E339" i="14" s="1"/>
  <c r="I357" i="12"/>
  <c r="J357" i="12" s="1"/>
  <c r="K357" i="12" s="1"/>
  <c r="M357" i="12" s="1"/>
  <c r="N369" i="12" s="1"/>
  <c r="E246" i="1"/>
  <c r="M245" i="1"/>
  <c r="G326" i="17" l="1"/>
  <c r="H246" i="1"/>
  <c r="I246" i="1" s="1"/>
  <c r="H326" i="17"/>
  <c r="G335" i="15"/>
  <c r="E335" i="15"/>
  <c r="G339" i="14"/>
  <c r="H339" i="14" s="1"/>
  <c r="O357" i="12"/>
  <c r="D358" i="12" s="1"/>
  <c r="E358" i="12" s="1"/>
  <c r="P357" i="12"/>
  <c r="Q357" i="12" s="1"/>
  <c r="N255" i="1"/>
  <c r="I326" i="17" l="1"/>
  <c r="P326" i="17" s="1"/>
  <c r="Q326" i="17" s="1"/>
  <c r="J326" i="17"/>
  <c r="K326" i="17" s="1"/>
  <c r="M326" i="17" s="1"/>
  <c r="N338" i="17" s="1"/>
  <c r="H335" i="15"/>
  <c r="G358" i="12"/>
  <c r="H358" i="12" s="1"/>
  <c r="I358" i="12" s="1"/>
  <c r="J358" i="12" s="1"/>
  <c r="K358" i="12" s="1"/>
  <c r="M358" i="12" s="1"/>
  <c r="N370" i="12" s="1"/>
  <c r="I339" i="14"/>
  <c r="P339" i="14" s="1"/>
  <c r="Q339" i="14" s="1"/>
  <c r="J339" i="14"/>
  <c r="K339" i="14" s="1"/>
  <c r="M339" i="14" s="1"/>
  <c r="N351" i="14" s="1"/>
  <c r="P246" i="1"/>
  <c r="Q246" i="1" s="1"/>
  <c r="J246" i="1"/>
  <c r="K246" i="1" s="1"/>
  <c r="O326" i="17" l="1"/>
  <c r="D327" i="17" s="1"/>
  <c r="I335" i="15"/>
  <c r="J335" i="15" s="1"/>
  <c r="K335" i="15" s="1"/>
  <c r="M335" i="15" s="1"/>
  <c r="N347" i="15" s="1"/>
  <c r="O339" i="14"/>
  <c r="D340" i="14" s="1"/>
  <c r="O358" i="12"/>
  <c r="D359" i="12" s="1"/>
  <c r="E359" i="12" s="1"/>
  <c r="P358" i="12"/>
  <c r="Q358" i="12" s="1"/>
  <c r="O246" i="1"/>
  <c r="D247" i="1" s="1"/>
  <c r="G247" i="1" s="1"/>
  <c r="G359" i="12" l="1"/>
  <c r="H359" i="12" s="1"/>
  <c r="G327" i="17"/>
  <c r="E327" i="17"/>
  <c r="O335" i="15"/>
  <c r="D336" i="15" s="1"/>
  <c r="G336" i="15" s="1"/>
  <c r="P335" i="15"/>
  <c r="Q335" i="15" s="1"/>
  <c r="G340" i="14"/>
  <c r="E340" i="14"/>
  <c r="E247" i="1"/>
  <c r="M246" i="1"/>
  <c r="H247" i="1" l="1"/>
  <c r="I247" i="1" s="1"/>
  <c r="H327" i="17"/>
  <c r="E336" i="15"/>
  <c r="H336" i="15"/>
  <c r="H340" i="14"/>
  <c r="I359" i="12"/>
  <c r="P359" i="12" s="1"/>
  <c r="Q359" i="12" s="1"/>
  <c r="N256" i="1"/>
  <c r="I327" i="17" l="1"/>
  <c r="P327" i="17" s="1"/>
  <c r="Q327" i="17" s="1"/>
  <c r="I336" i="15"/>
  <c r="P336" i="15" s="1"/>
  <c r="Q336" i="15" s="1"/>
  <c r="J336" i="15"/>
  <c r="K336" i="15" s="1"/>
  <c r="M336" i="15" s="1"/>
  <c r="N348" i="15" s="1"/>
  <c r="J359" i="12"/>
  <c r="K359" i="12" s="1"/>
  <c r="M359" i="12" s="1"/>
  <c r="N371" i="12" s="1"/>
  <c r="I340" i="14"/>
  <c r="P340" i="14" s="1"/>
  <c r="Q340" i="14" s="1"/>
  <c r="J247" i="1"/>
  <c r="K247" i="1" s="1"/>
  <c r="P247" i="1"/>
  <c r="Q247" i="1" s="1"/>
  <c r="J327" i="17" l="1"/>
  <c r="K327" i="17" s="1"/>
  <c r="M327" i="17" s="1"/>
  <c r="N339" i="17" s="1"/>
  <c r="O359" i="12"/>
  <c r="D360" i="12" s="1"/>
  <c r="O336" i="15"/>
  <c r="D337" i="15" s="1"/>
  <c r="J340" i="14"/>
  <c r="K340" i="14" s="1"/>
  <c r="M340" i="14" s="1"/>
  <c r="N352" i="14" s="1"/>
  <c r="E360" i="12"/>
  <c r="G360" i="12"/>
  <c r="O247" i="1"/>
  <c r="D248" i="1" s="1"/>
  <c r="G248" i="1" s="1"/>
  <c r="O327" i="17" l="1"/>
  <c r="D328" i="17" s="1"/>
  <c r="O340" i="14"/>
  <c r="D341" i="14" s="1"/>
  <c r="E341" i="14" s="1"/>
  <c r="H328" i="17"/>
  <c r="G337" i="15"/>
  <c r="E337" i="15"/>
  <c r="G341" i="14"/>
  <c r="H360" i="12"/>
  <c r="E248" i="1"/>
  <c r="M247" i="1"/>
  <c r="E328" i="17" l="1"/>
  <c r="G328" i="17"/>
  <c r="H341" i="14"/>
  <c r="I341" i="14" s="1"/>
  <c r="P341" i="14" s="1"/>
  <c r="Q341" i="14" s="1"/>
  <c r="H248" i="1"/>
  <c r="I248" i="1" s="1"/>
  <c r="I328" i="17"/>
  <c r="P328" i="17" s="1"/>
  <c r="Q328" i="17" s="1"/>
  <c r="J328" i="17"/>
  <c r="K328" i="17" s="1"/>
  <c r="M328" i="17" s="1"/>
  <c r="N340" i="17" s="1"/>
  <c r="H337" i="15"/>
  <c r="I360" i="12"/>
  <c r="J360" i="12" s="1"/>
  <c r="K360" i="12" s="1"/>
  <c r="M360" i="12" s="1"/>
  <c r="N372" i="12" s="1"/>
  <c r="N257" i="1"/>
  <c r="J341" i="14" l="1"/>
  <c r="K341" i="14" s="1"/>
  <c r="M341" i="14" s="1"/>
  <c r="N353" i="14" s="1"/>
  <c r="O328" i="17"/>
  <c r="D329" i="17" s="1"/>
  <c r="I337" i="15"/>
  <c r="J337" i="15" s="1"/>
  <c r="K337" i="15" s="1"/>
  <c r="M337" i="15" s="1"/>
  <c r="N349" i="15" s="1"/>
  <c r="O360" i="12"/>
  <c r="D361" i="12" s="1"/>
  <c r="P360" i="12"/>
  <c r="Q360" i="12" s="1"/>
  <c r="J248" i="1"/>
  <c r="K248" i="1" s="1"/>
  <c r="P248" i="1"/>
  <c r="Q248" i="1" s="1"/>
  <c r="O341" i="14" l="1"/>
  <c r="D342" i="14" s="1"/>
  <c r="E329" i="17"/>
  <c r="G329" i="17"/>
  <c r="H329" i="17" s="1"/>
  <c r="I329" i="17" s="1"/>
  <c r="P329" i="17" s="1"/>
  <c r="Q329" i="17" s="1"/>
  <c r="O337" i="15"/>
  <c r="D338" i="15" s="1"/>
  <c r="E338" i="15" s="1"/>
  <c r="P337" i="15"/>
  <c r="Q337" i="15" s="1"/>
  <c r="G342" i="14"/>
  <c r="E342" i="14"/>
  <c r="G361" i="12"/>
  <c r="E361" i="12"/>
  <c r="O248" i="1"/>
  <c r="D249" i="1" s="1"/>
  <c r="G249" i="1" s="1"/>
  <c r="J329" i="17" l="1"/>
  <c r="K329" i="17" s="1"/>
  <c r="M329" i="17" s="1"/>
  <c r="N341" i="17" s="1"/>
  <c r="G338" i="15"/>
  <c r="H338" i="15" s="1"/>
  <c r="I338" i="15" s="1"/>
  <c r="J338" i="15" s="1"/>
  <c r="K338" i="15" s="1"/>
  <c r="M338" i="15" s="1"/>
  <c r="N350" i="15" s="1"/>
  <c r="H342" i="14"/>
  <c r="I342" i="14" s="1"/>
  <c r="P342" i="14" s="1"/>
  <c r="Q342" i="14" s="1"/>
  <c r="J342" i="14"/>
  <c r="K342" i="14" s="1"/>
  <c r="M342" i="14" s="1"/>
  <c r="N354" i="14" s="1"/>
  <c r="H361" i="12"/>
  <c r="I361" i="12" s="1"/>
  <c r="J361" i="12" s="1"/>
  <c r="K361" i="12" s="1"/>
  <c r="M361" i="12" s="1"/>
  <c r="N373" i="12" s="1"/>
  <c r="E249" i="1"/>
  <c r="M248" i="1"/>
  <c r="H249" i="1" l="1"/>
  <c r="I249" i="1" s="1"/>
  <c r="O329" i="17"/>
  <c r="D330" i="17" s="1"/>
  <c r="O338" i="15"/>
  <c r="D339" i="15" s="1"/>
  <c r="P338" i="15"/>
  <c r="Q338" i="15" s="1"/>
  <c r="P361" i="12"/>
  <c r="Q361" i="12" s="1"/>
  <c r="O342" i="14"/>
  <c r="D343" i="14" s="1"/>
  <c r="O361" i="12"/>
  <c r="D362" i="12" s="1"/>
  <c r="E362" i="12" s="1"/>
  <c r="N258" i="1"/>
  <c r="E330" i="17" l="1"/>
  <c r="G330" i="17"/>
  <c r="H330" i="17" s="1"/>
  <c r="E339" i="15"/>
  <c r="G339" i="15"/>
  <c r="H339" i="15" s="1"/>
  <c r="G362" i="12"/>
  <c r="H362" i="12" s="1"/>
  <c r="I362" i="12" s="1"/>
  <c r="J362" i="12" s="1"/>
  <c r="K362" i="12" s="1"/>
  <c r="M362" i="12" s="1"/>
  <c r="N374" i="12" s="1"/>
  <c r="E343" i="14"/>
  <c r="G343" i="14"/>
  <c r="P249" i="1"/>
  <c r="Q249" i="1" s="1"/>
  <c r="J249" i="1"/>
  <c r="K249" i="1" s="1"/>
  <c r="H343" i="14" l="1"/>
  <c r="I343" i="14" s="1"/>
  <c r="P343" i="14" s="1"/>
  <c r="Q343" i="14" s="1"/>
  <c r="I330" i="17"/>
  <c r="J330" i="17" s="1"/>
  <c r="K330" i="17" s="1"/>
  <c r="M330" i="17" s="1"/>
  <c r="N342" i="17" s="1"/>
  <c r="I339" i="15"/>
  <c r="J339" i="15" s="1"/>
  <c r="K339" i="15" s="1"/>
  <c r="M339" i="15" s="1"/>
  <c r="N351" i="15" s="1"/>
  <c r="J343" i="14"/>
  <c r="K343" i="14" s="1"/>
  <c r="M343" i="14" s="1"/>
  <c r="N355" i="14" s="1"/>
  <c r="O362" i="12"/>
  <c r="D363" i="12" s="1"/>
  <c r="P362" i="12"/>
  <c r="Q362" i="12" s="1"/>
  <c r="O249" i="1"/>
  <c r="D250" i="1" s="1"/>
  <c r="G250" i="1" s="1"/>
  <c r="P330" i="17" l="1"/>
  <c r="Q330" i="17" s="1"/>
  <c r="O330" i="17"/>
  <c r="D331" i="17" s="1"/>
  <c r="E331" i="17" s="1"/>
  <c r="P339" i="15"/>
  <c r="Q339" i="15" s="1"/>
  <c r="O339" i="15"/>
  <c r="D340" i="15" s="1"/>
  <c r="O343" i="14"/>
  <c r="D344" i="14" s="1"/>
  <c r="E344" i="14" s="1"/>
  <c r="E363" i="12"/>
  <c r="G363" i="12"/>
  <c r="E250" i="1"/>
  <c r="M249" i="1"/>
  <c r="H250" i="1" l="1"/>
  <c r="I250" i="1" s="1"/>
  <c r="G331" i="17"/>
  <c r="H331" i="17"/>
  <c r="E340" i="15"/>
  <c r="G340" i="15"/>
  <c r="H340" i="15" s="1"/>
  <c r="G344" i="14"/>
  <c r="H344" i="14" s="1"/>
  <c r="H363" i="12"/>
  <c r="I363" i="12" s="1"/>
  <c r="J363" i="12" s="1"/>
  <c r="K363" i="12" s="1"/>
  <c r="M363" i="12" s="1"/>
  <c r="N375" i="12" s="1"/>
  <c r="N259" i="1"/>
  <c r="I331" i="17" l="1"/>
  <c r="P331" i="17" s="1"/>
  <c r="Q331" i="17" s="1"/>
  <c r="J331" i="17"/>
  <c r="K331" i="17" s="1"/>
  <c r="M331" i="17" s="1"/>
  <c r="N343" i="17" s="1"/>
  <c r="I340" i="15"/>
  <c r="J340" i="15" s="1"/>
  <c r="K340" i="15" s="1"/>
  <c r="M340" i="15" s="1"/>
  <c r="N352" i="15" s="1"/>
  <c r="P363" i="12"/>
  <c r="Q363" i="12" s="1"/>
  <c r="O363" i="12"/>
  <c r="D364" i="12" s="1"/>
  <c r="E364" i="12" s="1"/>
  <c r="I344" i="14"/>
  <c r="P344" i="14" s="1"/>
  <c r="Q344" i="14" s="1"/>
  <c r="P250" i="1"/>
  <c r="Q250" i="1" s="1"/>
  <c r="J250" i="1"/>
  <c r="K250" i="1" s="1"/>
  <c r="J344" i="14" l="1"/>
  <c r="K344" i="14" s="1"/>
  <c r="M344" i="14" s="1"/>
  <c r="N356" i="14" s="1"/>
  <c r="O331" i="17"/>
  <c r="D332" i="17" s="1"/>
  <c r="P340" i="15"/>
  <c r="Q340" i="15" s="1"/>
  <c r="O340" i="15"/>
  <c r="D341" i="15" s="1"/>
  <c r="G364" i="12"/>
  <c r="H364" i="12" s="1"/>
  <c r="I364" i="12" s="1"/>
  <c r="J364" i="12" s="1"/>
  <c r="K364" i="12" s="1"/>
  <c r="M364" i="12" s="1"/>
  <c r="N376" i="12" s="1"/>
  <c r="O250" i="1"/>
  <c r="D251" i="1" s="1"/>
  <c r="G251" i="1" s="1"/>
  <c r="O344" i="14" l="1"/>
  <c r="D345" i="14" s="1"/>
  <c r="G332" i="17"/>
  <c r="E332" i="17"/>
  <c r="E341" i="15"/>
  <c r="G341" i="15"/>
  <c r="H341" i="15" s="1"/>
  <c r="E345" i="14"/>
  <c r="G345" i="14"/>
  <c r="P364" i="12"/>
  <c r="Q364" i="12" s="1"/>
  <c r="O364" i="12"/>
  <c r="D365" i="12" s="1"/>
  <c r="E251" i="1"/>
  <c r="M250" i="1"/>
  <c r="H251" i="1" l="1"/>
  <c r="I251" i="1" s="1"/>
  <c r="H332" i="17"/>
  <c r="I341" i="15"/>
  <c r="J341" i="15" s="1"/>
  <c r="K341" i="15" s="1"/>
  <c r="M341" i="15" s="1"/>
  <c r="N353" i="15" s="1"/>
  <c r="H345" i="14"/>
  <c r="I345" i="14" s="1"/>
  <c r="P345" i="14" s="1"/>
  <c r="Q345" i="14" s="1"/>
  <c r="E365" i="12"/>
  <c r="G365" i="12"/>
  <c r="H365" i="12" s="1"/>
  <c r="I365" i="12" s="1"/>
  <c r="J365" i="12" s="1"/>
  <c r="K365" i="12" s="1"/>
  <c r="M365" i="12" s="1"/>
  <c r="N377" i="12" s="1"/>
  <c r="N260" i="1"/>
  <c r="I332" i="17" l="1"/>
  <c r="P332" i="17" s="1"/>
  <c r="Q332" i="17" s="1"/>
  <c r="O341" i="15"/>
  <c r="D342" i="15" s="1"/>
  <c r="E342" i="15" s="1"/>
  <c r="P341" i="15"/>
  <c r="Q341" i="15" s="1"/>
  <c r="J345" i="14"/>
  <c r="K345" i="14" s="1"/>
  <c r="M345" i="14" s="1"/>
  <c r="N357" i="14" s="1"/>
  <c r="O365" i="12"/>
  <c r="D366" i="12" s="1"/>
  <c r="P365" i="12"/>
  <c r="Q365" i="12" s="1"/>
  <c r="P251" i="1"/>
  <c r="Q251" i="1" s="1"/>
  <c r="J251" i="1"/>
  <c r="K251" i="1" s="1"/>
  <c r="J332" i="17" l="1"/>
  <c r="K332" i="17" s="1"/>
  <c r="M332" i="17" s="1"/>
  <c r="N344" i="17" s="1"/>
  <c r="G342" i="15"/>
  <c r="H342" i="15" s="1"/>
  <c r="I342" i="15" s="1"/>
  <c r="J342" i="15" s="1"/>
  <c r="K342" i="15" s="1"/>
  <c r="M342" i="15" s="1"/>
  <c r="N354" i="15" s="1"/>
  <c r="O345" i="14"/>
  <c r="D346" i="14" s="1"/>
  <c r="G366" i="12"/>
  <c r="E366" i="12"/>
  <c r="O251" i="1"/>
  <c r="D252" i="1" s="1"/>
  <c r="G252" i="1" s="1"/>
  <c r="O332" i="17" l="1"/>
  <c r="D333" i="17" s="1"/>
  <c r="P342" i="15"/>
  <c r="Q342" i="15" s="1"/>
  <c r="O342" i="15"/>
  <c r="D343" i="15" s="1"/>
  <c r="E346" i="14"/>
  <c r="G346" i="14"/>
  <c r="H366" i="12"/>
  <c r="I366" i="12" s="1"/>
  <c r="E252" i="1"/>
  <c r="M251" i="1"/>
  <c r="H252" i="1" l="1"/>
  <c r="I252" i="1" s="1"/>
  <c r="E333" i="17"/>
  <c r="G333" i="17"/>
  <c r="E343" i="15"/>
  <c r="G343" i="15"/>
  <c r="H343" i="15" s="1"/>
  <c r="H346" i="14"/>
  <c r="I346" i="14" s="1"/>
  <c r="J346" i="14" s="1"/>
  <c r="K346" i="14" s="1"/>
  <c r="M346" i="14" s="1"/>
  <c r="N358" i="14" s="1"/>
  <c r="P366" i="12"/>
  <c r="Q366" i="12" s="1"/>
  <c r="J366" i="12"/>
  <c r="K366" i="12" s="1"/>
  <c r="M366" i="12" s="1"/>
  <c r="N378" i="12" s="1"/>
  <c r="N261" i="1"/>
  <c r="H333" i="17" l="1"/>
  <c r="I343" i="15"/>
  <c r="J343" i="15" s="1"/>
  <c r="K343" i="15" s="1"/>
  <c r="M343" i="15" s="1"/>
  <c r="N355" i="15" s="1"/>
  <c r="O346" i="14"/>
  <c r="D347" i="14" s="1"/>
  <c r="G347" i="14" s="1"/>
  <c r="P346" i="14"/>
  <c r="Q346" i="14" s="1"/>
  <c r="O366" i="12"/>
  <c r="D367" i="12" s="1"/>
  <c r="P252" i="1"/>
  <c r="Q252" i="1" s="1"/>
  <c r="J252" i="1"/>
  <c r="K252" i="1" s="1"/>
  <c r="E347" i="14" l="1"/>
  <c r="I333" i="17"/>
  <c r="P333" i="17" s="1"/>
  <c r="Q333" i="17" s="1"/>
  <c r="J333" i="17"/>
  <c r="K333" i="17" s="1"/>
  <c r="M333" i="17" s="1"/>
  <c r="N345" i="17" s="1"/>
  <c r="P343" i="15"/>
  <c r="Q343" i="15" s="1"/>
  <c r="O343" i="15"/>
  <c r="D344" i="15" s="1"/>
  <c r="H347" i="14"/>
  <c r="G367" i="12"/>
  <c r="E367" i="12"/>
  <c r="O252" i="1"/>
  <c r="D253" i="1" s="1"/>
  <c r="G253" i="1" s="1"/>
  <c r="O333" i="17" l="1"/>
  <c r="D334" i="17" s="1"/>
  <c r="G334" i="17" s="1"/>
  <c r="E344" i="15"/>
  <c r="G344" i="15"/>
  <c r="H344" i="15" s="1"/>
  <c r="I344" i="15" s="1"/>
  <c r="I347" i="14"/>
  <c r="J347" i="14" s="1"/>
  <c r="K347" i="14" s="1"/>
  <c r="M347" i="14" s="1"/>
  <c r="N359" i="14" s="1"/>
  <c r="H367" i="12"/>
  <c r="E253" i="1"/>
  <c r="M252" i="1"/>
  <c r="H253" i="1" l="1"/>
  <c r="I253" i="1" s="1"/>
  <c r="E334" i="17"/>
  <c r="H334" i="17"/>
  <c r="P344" i="15"/>
  <c r="Q344" i="15" s="1"/>
  <c r="J344" i="15"/>
  <c r="K344" i="15" s="1"/>
  <c r="M344" i="15" s="1"/>
  <c r="N356" i="15" s="1"/>
  <c r="O347" i="14"/>
  <c r="D348" i="14" s="1"/>
  <c r="P347" i="14"/>
  <c r="Q347" i="14" s="1"/>
  <c r="I367" i="12"/>
  <c r="J367" i="12" s="1"/>
  <c r="K367" i="12" s="1"/>
  <c r="M367" i="12" s="1"/>
  <c r="N379" i="12" s="1"/>
  <c r="N262" i="1"/>
  <c r="I334" i="17" l="1"/>
  <c r="P334" i="17" s="1"/>
  <c r="Q334" i="17" s="1"/>
  <c r="O344" i="15"/>
  <c r="D345" i="15" s="1"/>
  <c r="E348" i="14"/>
  <c r="G348" i="14"/>
  <c r="H348" i="14" s="1"/>
  <c r="P367" i="12"/>
  <c r="Q367" i="12" s="1"/>
  <c r="O367" i="12"/>
  <c r="D368" i="12" s="1"/>
  <c r="P253" i="1"/>
  <c r="Q253" i="1" s="1"/>
  <c r="J253" i="1"/>
  <c r="K253" i="1" s="1"/>
  <c r="J334" i="17" l="1"/>
  <c r="K334" i="17" s="1"/>
  <c r="M334" i="17" s="1"/>
  <c r="N346" i="17" s="1"/>
  <c r="E345" i="15"/>
  <c r="G345" i="15"/>
  <c r="H345" i="15" s="1"/>
  <c r="I345" i="15" s="1"/>
  <c r="J345" i="15" s="1"/>
  <c r="K345" i="15" s="1"/>
  <c r="M345" i="15" s="1"/>
  <c r="N357" i="15" s="1"/>
  <c r="I348" i="14"/>
  <c r="G368" i="12"/>
  <c r="E368" i="12"/>
  <c r="O253" i="1"/>
  <c r="D254" i="1" s="1"/>
  <c r="G254" i="1" s="1"/>
  <c r="O334" i="17" l="1"/>
  <c r="D335" i="17" s="1"/>
  <c r="O345" i="15"/>
  <c r="D346" i="15" s="1"/>
  <c r="P345" i="15"/>
  <c r="Q345" i="15" s="1"/>
  <c r="J348" i="14"/>
  <c r="K348" i="14" s="1"/>
  <c r="M348" i="14" s="1"/>
  <c r="N360" i="14" s="1"/>
  <c r="P348" i="14"/>
  <c r="Q348" i="14" s="1"/>
  <c r="H368" i="12"/>
  <c r="E254" i="1"/>
  <c r="M253" i="1"/>
  <c r="H254" i="1" l="1"/>
  <c r="I254" i="1" s="1"/>
  <c r="G335" i="17"/>
  <c r="E335" i="17"/>
  <c r="E346" i="15"/>
  <c r="G346" i="15"/>
  <c r="H346" i="15"/>
  <c r="O348" i="14"/>
  <c r="D349" i="14" s="1"/>
  <c r="I368" i="12"/>
  <c r="J368" i="12" s="1"/>
  <c r="K368" i="12" s="1"/>
  <c r="M368" i="12" s="1"/>
  <c r="N380" i="12" s="1"/>
  <c r="N263" i="1"/>
  <c r="H335" i="17" l="1"/>
  <c r="I346" i="15"/>
  <c r="J346" i="15" s="1"/>
  <c r="K346" i="15" s="1"/>
  <c r="M346" i="15" s="1"/>
  <c r="N358" i="15" s="1"/>
  <c r="G349" i="14"/>
  <c r="E349" i="14"/>
  <c r="P368" i="12"/>
  <c r="Q368" i="12" s="1"/>
  <c r="O368" i="12"/>
  <c r="D369" i="12" s="1"/>
  <c r="G369" i="12" s="1"/>
  <c r="P254" i="1"/>
  <c r="Q254" i="1" s="1"/>
  <c r="J254" i="1"/>
  <c r="K254" i="1" s="1"/>
  <c r="E369" i="12" l="1"/>
  <c r="H369" i="12" s="1"/>
  <c r="I335" i="17"/>
  <c r="P335" i="17" s="1"/>
  <c r="Q335" i="17" s="1"/>
  <c r="J335" i="17"/>
  <c r="K335" i="17" s="1"/>
  <c r="M335" i="17" s="1"/>
  <c r="N347" i="17" s="1"/>
  <c r="P346" i="15"/>
  <c r="Q346" i="15" s="1"/>
  <c r="O346" i="15"/>
  <c r="D347" i="15" s="1"/>
  <c r="H349" i="14"/>
  <c r="I349" i="14" s="1"/>
  <c r="J349" i="14" s="1"/>
  <c r="K349" i="14" s="1"/>
  <c r="M349" i="14" s="1"/>
  <c r="N361" i="14" s="1"/>
  <c r="O254" i="1"/>
  <c r="D255" i="1" s="1"/>
  <c r="G255" i="1" s="1"/>
  <c r="O335" i="17" l="1"/>
  <c r="D336" i="17" s="1"/>
  <c r="G336" i="17"/>
  <c r="E336" i="17"/>
  <c r="G347" i="15"/>
  <c r="E347" i="15"/>
  <c r="H347" i="15"/>
  <c r="I347" i="15" s="1"/>
  <c r="P347" i="15" s="1"/>
  <c r="Q347" i="15" s="1"/>
  <c r="O349" i="14"/>
  <c r="D350" i="14" s="1"/>
  <c r="P349" i="14"/>
  <c r="Q349" i="14" s="1"/>
  <c r="I369" i="12"/>
  <c r="P369" i="12" s="1"/>
  <c r="Q369" i="12" s="1"/>
  <c r="E255" i="1"/>
  <c r="M254" i="1"/>
  <c r="H255" i="1" l="1"/>
  <c r="I255" i="1" s="1"/>
  <c r="H336" i="17"/>
  <c r="I336" i="17" s="1"/>
  <c r="P336" i="17" s="1"/>
  <c r="Q336" i="17" s="1"/>
  <c r="J347" i="15"/>
  <c r="K347" i="15" s="1"/>
  <c r="M347" i="15" s="1"/>
  <c r="N359" i="15" s="1"/>
  <c r="J336" i="17"/>
  <c r="K336" i="17" s="1"/>
  <c r="M336" i="17" s="1"/>
  <c r="N348" i="17" s="1"/>
  <c r="E350" i="14"/>
  <c r="G350" i="14"/>
  <c r="H350" i="14" s="1"/>
  <c r="I350" i="14" s="1"/>
  <c r="P350" i="14" s="1"/>
  <c r="Q350" i="14" s="1"/>
  <c r="J369" i="12"/>
  <c r="K369" i="12" s="1"/>
  <c r="M369" i="12" s="1"/>
  <c r="N381" i="12" s="1"/>
  <c r="N264" i="1"/>
  <c r="O347" i="15" l="1"/>
  <c r="D348" i="15" s="1"/>
  <c r="O336" i="17"/>
  <c r="D337" i="17" s="1"/>
  <c r="E348" i="15"/>
  <c r="G348" i="15"/>
  <c r="H348" i="15"/>
  <c r="J350" i="14"/>
  <c r="K350" i="14" s="1"/>
  <c r="M350" i="14" s="1"/>
  <c r="N362" i="14" s="1"/>
  <c r="O369" i="12"/>
  <c r="D370" i="12" s="1"/>
  <c r="J255" i="1"/>
  <c r="K255" i="1" s="1"/>
  <c r="P255" i="1"/>
  <c r="Q255" i="1" s="1"/>
  <c r="E337" i="17" l="1"/>
  <c r="G337" i="17"/>
  <c r="H337" i="17" s="1"/>
  <c r="I337" i="17" s="1"/>
  <c r="I348" i="15"/>
  <c r="J348" i="15" s="1"/>
  <c r="K348" i="15" s="1"/>
  <c r="M348" i="15" s="1"/>
  <c r="N360" i="15" s="1"/>
  <c r="O350" i="14"/>
  <c r="D351" i="14" s="1"/>
  <c r="G351" i="14" s="1"/>
  <c r="E370" i="12"/>
  <c r="G370" i="12"/>
  <c r="O255" i="1"/>
  <c r="D256" i="1" s="1"/>
  <c r="G256" i="1" s="1"/>
  <c r="J337" i="17" l="1"/>
  <c r="K337" i="17" s="1"/>
  <c r="M337" i="17" s="1"/>
  <c r="N349" i="17" s="1"/>
  <c r="P337" i="17"/>
  <c r="Q337" i="17" s="1"/>
  <c r="O348" i="15"/>
  <c r="D349" i="15" s="1"/>
  <c r="E349" i="15" s="1"/>
  <c r="P348" i="15"/>
  <c r="Q348" i="15" s="1"/>
  <c r="E351" i="14"/>
  <c r="H351" i="14" s="1"/>
  <c r="H370" i="12"/>
  <c r="I370" i="12" s="1"/>
  <c r="P370" i="12" s="1"/>
  <c r="Q370" i="12" s="1"/>
  <c r="E256" i="1"/>
  <c r="M255" i="1"/>
  <c r="G349" i="15" l="1"/>
  <c r="H349" i="15" s="1"/>
  <c r="I349" i="15" s="1"/>
  <c r="J349" i="15" s="1"/>
  <c r="K349" i="15" s="1"/>
  <c r="M349" i="15" s="1"/>
  <c r="N361" i="15" s="1"/>
  <c r="H256" i="1"/>
  <c r="O337" i="17"/>
  <c r="D338" i="17" s="1"/>
  <c r="G338" i="17" s="1"/>
  <c r="H338" i="17" s="1"/>
  <c r="J370" i="12"/>
  <c r="K370" i="12" s="1"/>
  <c r="M370" i="12" s="1"/>
  <c r="N382" i="12" s="1"/>
  <c r="I351" i="14"/>
  <c r="P351" i="14" s="1"/>
  <c r="Q351" i="14" s="1"/>
  <c r="J351" i="14"/>
  <c r="K351" i="14" s="1"/>
  <c r="M351" i="14" s="1"/>
  <c r="N363" i="14" s="1"/>
  <c r="I256" i="1"/>
  <c r="N265" i="1"/>
  <c r="O370" i="12" l="1"/>
  <c r="D371" i="12" s="1"/>
  <c r="E371" i="12" s="1"/>
  <c r="E338" i="17"/>
  <c r="I338" i="17"/>
  <c r="P338" i="17" s="1"/>
  <c r="Q338" i="17" s="1"/>
  <c r="P349" i="15"/>
  <c r="Q349" i="15" s="1"/>
  <c r="O349" i="15"/>
  <c r="D350" i="15" s="1"/>
  <c r="O351" i="14"/>
  <c r="D352" i="14" s="1"/>
  <c r="G352" i="14" s="1"/>
  <c r="G371" i="12"/>
  <c r="P256" i="1"/>
  <c r="Q256" i="1" s="1"/>
  <c r="J256" i="1"/>
  <c r="K256" i="1" s="1"/>
  <c r="E352" i="14" l="1"/>
  <c r="J338" i="17"/>
  <c r="K338" i="17" s="1"/>
  <c r="M338" i="17" s="1"/>
  <c r="N350" i="17" s="1"/>
  <c r="G350" i="15"/>
  <c r="E350" i="15"/>
  <c r="H350" i="15" s="1"/>
  <c r="I350" i="15" s="1"/>
  <c r="J350" i="15" s="1"/>
  <c r="K350" i="15" s="1"/>
  <c r="M350" i="15" s="1"/>
  <c r="N362" i="15" s="1"/>
  <c r="H352" i="14"/>
  <c r="I352" i="14" s="1"/>
  <c r="H371" i="12"/>
  <c r="I371" i="12" s="1"/>
  <c r="J371" i="12" s="1"/>
  <c r="K371" i="12" s="1"/>
  <c r="M371" i="12" s="1"/>
  <c r="N383" i="12" s="1"/>
  <c r="O256" i="1"/>
  <c r="D257" i="1" s="1"/>
  <c r="G257" i="1" s="1"/>
  <c r="O338" i="17" l="1"/>
  <c r="D339" i="17" s="1"/>
  <c r="E339" i="17" s="1"/>
  <c r="P350" i="15"/>
  <c r="Q350" i="15" s="1"/>
  <c r="O350" i="15"/>
  <c r="D351" i="15" s="1"/>
  <c r="P352" i="14"/>
  <c r="Q352" i="14" s="1"/>
  <c r="J352" i="14"/>
  <c r="K352" i="14" s="1"/>
  <c r="M352" i="14" s="1"/>
  <c r="N364" i="14" s="1"/>
  <c r="P371" i="12"/>
  <c r="Q371" i="12" s="1"/>
  <c r="O371" i="12"/>
  <c r="D372" i="12" s="1"/>
  <c r="E257" i="1"/>
  <c r="M256" i="1"/>
  <c r="G339" i="17" l="1"/>
  <c r="H257" i="1"/>
  <c r="I257" i="1" s="1"/>
  <c r="O352" i="14"/>
  <c r="D353" i="14" s="1"/>
  <c r="H339" i="17"/>
  <c r="I339" i="17" s="1"/>
  <c r="J339" i="17" s="1"/>
  <c r="K339" i="17" s="1"/>
  <c r="M339" i="17" s="1"/>
  <c r="N351" i="17" s="1"/>
  <c r="G351" i="15"/>
  <c r="E351" i="15"/>
  <c r="H351" i="15"/>
  <c r="I351" i="15" s="1"/>
  <c r="E372" i="12"/>
  <c r="G372" i="12"/>
  <c r="N266" i="1"/>
  <c r="E353" i="14" l="1"/>
  <c r="G353" i="14"/>
  <c r="H353" i="14" s="1"/>
  <c r="I353" i="14" s="1"/>
  <c r="J353" i="14" s="1"/>
  <c r="K353" i="14" s="1"/>
  <c r="M353" i="14" s="1"/>
  <c r="N365" i="14" s="1"/>
  <c r="P339" i="17"/>
  <c r="Q339" i="17" s="1"/>
  <c r="O339" i="17"/>
  <c r="D340" i="17" s="1"/>
  <c r="P351" i="15"/>
  <c r="Q351" i="15" s="1"/>
  <c r="J351" i="15"/>
  <c r="K351" i="15" s="1"/>
  <c r="M351" i="15" s="1"/>
  <c r="N363" i="15" s="1"/>
  <c r="H372" i="12"/>
  <c r="I372" i="12" s="1"/>
  <c r="P372" i="12" s="1"/>
  <c r="Q372" i="12" s="1"/>
  <c r="P257" i="1"/>
  <c r="Q257" i="1" s="1"/>
  <c r="J257" i="1"/>
  <c r="K257" i="1" s="1"/>
  <c r="G340" i="17" l="1"/>
  <c r="E340" i="17"/>
  <c r="O351" i="15"/>
  <c r="D352" i="15" s="1"/>
  <c r="E352" i="15" s="1"/>
  <c r="O353" i="14"/>
  <c r="D354" i="14" s="1"/>
  <c r="E354" i="14" s="1"/>
  <c r="P353" i="14"/>
  <c r="Q353" i="14" s="1"/>
  <c r="J372" i="12"/>
  <c r="O257" i="1"/>
  <c r="D258" i="1" s="1"/>
  <c r="G258" i="1" s="1"/>
  <c r="G354" i="14" l="1"/>
  <c r="H354" i="14"/>
  <c r="I354" i="14" s="1"/>
  <c r="J354" i="14" s="1"/>
  <c r="K354" i="14" s="1"/>
  <c r="M354" i="14" s="1"/>
  <c r="N366" i="14" s="1"/>
  <c r="H340" i="17"/>
  <c r="I340" i="17" s="1"/>
  <c r="J340" i="17" s="1"/>
  <c r="K340" i="17" s="1"/>
  <c r="M340" i="17" s="1"/>
  <c r="N352" i="17" s="1"/>
  <c r="G352" i="15"/>
  <c r="H352" i="15" s="1"/>
  <c r="K372" i="12"/>
  <c r="M372" i="12" s="1"/>
  <c r="N384" i="12" s="1"/>
  <c r="O372" i="12"/>
  <c r="D373" i="12" s="1"/>
  <c r="E258" i="1"/>
  <c r="M257" i="1"/>
  <c r="O354" i="14" l="1"/>
  <c r="D355" i="14" s="1"/>
  <c r="E355" i="14" s="1"/>
  <c r="P354" i="14"/>
  <c r="Q354" i="14" s="1"/>
  <c r="H258" i="1"/>
  <c r="I258" i="1" s="1"/>
  <c r="P340" i="17"/>
  <c r="Q340" i="17" s="1"/>
  <c r="I352" i="15"/>
  <c r="J352" i="15" s="1"/>
  <c r="K352" i="15" s="1"/>
  <c r="M352" i="15" s="1"/>
  <c r="N364" i="15" s="1"/>
  <c r="O340" i="17"/>
  <c r="D341" i="17" s="1"/>
  <c r="G355" i="14"/>
  <c r="E373" i="12"/>
  <c r="G373" i="12"/>
  <c r="N267" i="1"/>
  <c r="O352" i="15" l="1"/>
  <c r="D353" i="15" s="1"/>
  <c r="E353" i="15" s="1"/>
  <c r="P352" i="15"/>
  <c r="Q352" i="15" s="1"/>
  <c r="G353" i="15"/>
  <c r="H353" i="15"/>
  <c r="I353" i="15" s="1"/>
  <c r="J353" i="15" s="1"/>
  <c r="K353" i="15" s="1"/>
  <c r="M353" i="15" s="1"/>
  <c r="N365" i="15" s="1"/>
  <c r="E341" i="17"/>
  <c r="G341" i="17"/>
  <c r="H373" i="12"/>
  <c r="I373" i="12" s="1"/>
  <c r="J373" i="12" s="1"/>
  <c r="K373" i="12" s="1"/>
  <c r="M373" i="12" s="1"/>
  <c r="N385" i="12" s="1"/>
  <c r="H355" i="14"/>
  <c r="J258" i="1"/>
  <c r="K258" i="1" s="1"/>
  <c r="P258" i="1"/>
  <c r="Q258" i="1" s="1"/>
  <c r="P353" i="15" l="1"/>
  <c r="Q353" i="15" s="1"/>
  <c r="O353" i="15"/>
  <c r="D354" i="15" s="1"/>
  <c r="E354" i="15" s="1"/>
  <c r="H341" i="17"/>
  <c r="I355" i="14"/>
  <c r="J355" i="14" s="1"/>
  <c r="K355" i="14" s="1"/>
  <c r="M355" i="14" s="1"/>
  <c r="N367" i="14" s="1"/>
  <c r="O373" i="12"/>
  <c r="D374" i="12" s="1"/>
  <c r="P373" i="12"/>
  <c r="Q373" i="12" s="1"/>
  <c r="O258" i="1"/>
  <c r="D259" i="1" s="1"/>
  <c r="G259" i="1" s="1"/>
  <c r="G354" i="15" l="1"/>
  <c r="H354" i="15" s="1"/>
  <c r="I354" i="15" s="1"/>
  <c r="J354" i="15" s="1"/>
  <c r="I341" i="17"/>
  <c r="J341" i="17" s="1"/>
  <c r="K341" i="17" s="1"/>
  <c r="M341" i="17" s="1"/>
  <c r="N353" i="17" s="1"/>
  <c r="P355" i="14"/>
  <c r="Q355" i="14" s="1"/>
  <c r="O355" i="14"/>
  <c r="D356" i="14" s="1"/>
  <c r="E374" i="12"/>
  <c r="G374" i="12"/>
  <c r="E259" i="1"/>
  <c r="M258" i="1"/>
  <c r="P354" i="15" l="1"/>
  <c r="Q354" i="15" s="1"/>
  <c r="H259" i="1"/>
  <c r="I259" i="1" s="1"/>
  <c r="P341" i="17"/>
  <c r="Q341" i="17" s="1"/>
  <c r="O341" i="17"/>
  <c r="D342" i="17" s="1"/>
  <c r="K354" i="15"/>
  <c r="M354" i="15" s="1"/>
  <c r="N366" i="15" s="1"/>
  <c r="O354" i="15"/>
  <c r="D355" i="15" s="1"/>
  <c r="E356" i="14"/>
  <c r="G356" i="14"/>
  <c r="H356" i="14" s="1"/>
  <c r="I356" i="14" s="1"/>
  <c r="H374" i="12"/>
  <c r="I374" i="12" s="1"/>
  <c r="J374" i="12" s="1"/>
  <c r="K374" i="12" s="1"/>
  <c r="M374" i="12" s="1"/>
  <c r="N268" i="1"/>
  <c r="E342" i="17" l="1"/>
  <c r="G342" i="17"/>
  <c r="H342" i="17" s="1"/>
  <c r="G355" i="15"/>
  <c r="E355" i="15"/>
  <c r="P356" i="14"/>
  <c r="Q356" i="14" s="1"/>
  <c r="J356" i="14"/>
  <c r="K356" i="14" s="1"/>
  <c r="M356" i="14" s="1"/>
  <c r="N368" i="14" s="1"/>
  <c r="P374" i="12"/>
  <c r="Q374" i="12" s="1"/>
  <c r="O374" i="12"/>
  <c r="D375" i="12" s="1"/>
  <c r="E375" i="12" s="1"/>
  <c r="P259" i="1"/>
  <c r="Q259" i="1" s="1"/>
  <c r="J259" i="1"/>
  <c r="K259" i="1" s="1"/>
  <c r="G375" i="12" l="1"/>
  <c r="H375" i="12" s="1"/>
  <c r="I375" i="12" s="1"/>
  <c r="I342" i="17"/>
  <c r="P342" i="17" s="1"/>
  <c r="Q342" i="17" s="1"/>
  <c r="H355" i="15"/>
  <c r="O356" i="14"/>
  <c r="D357" i="14" s="1"/>
  <c r="E357" i="14" s="1"/>
  <c r="J375" i="12"/>
  <c r="K375" i="12" s="1"/>
  <c r="M375" i="12" s="1"/>
  <c r="P375" i="12"/>
  <c r="Q375" i="12" s="1"/>
  <c r="O259" i="1"/>
  <c r="D260" i="1" s="1"/>
  <c r="G260" i="1" s="1"/>
  <c r="J342" i="17" l="1"/>
  <c r="K342" i="17" s="1"/>
  <c r="M342" i="17" s="1"/>
  <c r="N354" i="17" s="1"/>
  <c r="I355" i="15"/>
  <c r="J355" i="15"/>
  <c r="K355" i="15" s="1"/>
  <c r="M355" i="15" s="1"/>
  <c r="N367" i="15" s="1"/>
  <c r="G357" i="14"/>
  <c r="H357" i="14" s="1"/>
  <c r="I357" i="14" s="1"/>
  <c r="P357" i="14" s="1"/>
  <c r="Q357" i="14" s="1"/>
  <c r="O375" i="12"/>
  <c r="D376" i="12" s="1"/>
  <c r="E376" i="12" s="1"/>
  <c r="E260" i="1"/>
  <c r="M259" i="1"/>
  <c r="H260" i="1" l="1"/>
  <c r="I260" i="1" s="1"/>
  <c r="G376" i="12"/>
  <c r="H376" i="12" s="1"/>
  <c r="I376" i="12" s="1"/>
  <c r="J376" i="12" s="1"/>
  <c r="K376" i="12" s="1"/>
  <c r="M376" i="12" s="1"/>
  <c r="O342" i="17"/>
  <c r="D343" i="17" s="1"/>
  <c r="G343" i="17" s="1"/>
  <c r="P355" i="15"/>
  <c r="Q355" i="15" s="1"/>
  <c r="O355" i="15"/>
  <c r="D356" i="15" s="1"/>
  <c r="J357" i="14"/>
  <c r="N269" i="1"/>
  <c r="E343" i="17" l="1"/>
  <c r="H343" i="17"/>
  <c r="E356" i="15"/>
  <c r="G356" i="15"/>
  <c r="H356" i="15" s="1"/>
  <c r="I356" i="15" s="1"/>
  <c r="J356" i="15" s="1"/>
  <c r="K356" i="15" s="1"/>
  <c r="M356" i="15" s="1"/>
  <c r="N368" i="15" s="1"/>
  <c r="K357" i="14"/>
  <c r="M357" i="14" s="1"/>
  <c r="N369" i="14" s="1"/>
  <c r="O357" i="14"/>
  <c r="D358" i="14" s="1"/>
  <c r="P376" i="12"/>
  <c r="Q376" i="12" s="1"/>
  <c r="O376" i="12"/>
  <c r="D377" i="12" s="1"/>
  <c r="J260" i="1"/>
  <c r="K260" i="1" s="1"/>
  <c r="P260" i="1"/>
  <c r="Q260" i="1" s="1"/>
  <c r="I343" i="17" l="1"/>
  <c r="P343" i="17" s="1"/>
  <c r="Q343" i="17" s="1"/>
  <c r="J343" i="17"/>
  <c r="K343" i="17" s="1"/>
  <c r="M343" i="17" s="1"/>
  <c r="N355" i="17" s="1"/>
  <c r="P356" i="15"/>
  <c r="Q356" i="15" s="1"/>
  <c r="O356" i="15"/>
  <c r="D357" i="15" s="1"/>
  <c r="E357" i="15" s="1"/>
  <c r="G357" i="15"/>
  <c r="E358" i="14"/>
  <c r="G358" i="14"/>
  <c r="H358" i="14" s="1"/>
  <c r="I358" i="14" s="1"/>
  <c r="P358" i="14" s="1"/>
  <c r="Q358" i="14" s="1"/>
  <c r="E377" i="12"/>
  <c r="G377" i="12"/>
  <c r="O260" i="1"/>
  <c r="D261" i="1" s="1"/>
  <c r="G261" i="1" s="1"/>
  <c r="O343" i="17" l="1"/>
  <c r="D344" i="17" s="1"/>
  <c r="H357" i="15"/>
  <c r="J358" i="14"/>
  <c r="K358" i="14" s="1"/>
  <c r="M358" i="14" s="1"/>
  <c r="N370" i="14" s="1"/>
  <c r="H377" i="12"/>
  <c r="E261" i="1"/>
  <c r="M260" i="1"/>
  <c r="H261" i="1" l="1"/>
  <c r="I261" i="1" s="1"/>
  <c r="E344" i="17"/>
  <c r="G344" i="17"/>
  <c r="H344" i="17" s="1"/>
  <c r="I357" i="15"/>
  <c r="O358" i="14"/>
  <c r="D359" i="14" s="1"/>
  <c r="E359" i="14" s="1"/>
  <c r="G359" i="14"/>
  <c r="I377" i="12"/>
  <c r="J377" i="12" s="1"/>
  <c r="K377" i="12" s="1"/>
  <c r="M377" i="12" s="1"/>
  <c r="N270" i="1"/>
  <c r="H359" i="14" l="1"/>
  <c r="I359" i="14" s="1"/>
  <c r="J359" i="14" s="1"/>
  <c r="K359" i="14" s="1"/>
  <c r="M359" i="14" s="1"/>
  <c r="N371" i="14" s="1"/>
  <c r="I344" i="17"/>
  <c r="J344" i="17" s="1"/>
  <c r="K344" i="17" s="1"/>
  <c r="M344" i="17" s="1"/>
  <c r="N356" i="17" s="1"/>
  <c r="P357" i="15"/>
  <c r="Q357" i="15" s="1"/>
  <c r="J357" i="15"/>
  <c r="P377" i="12"/>
  <c r="Q377" i="12" s="1"/>
  <c r="O377" i="12"/>
  <c r="D378" i="12" s="1"/>
  <c r="J261" i="1"/>
  <c r="K261" i="1" s="1"/>
  <c r="P261" i="1"/>
  <c r="Q261" i="1" s="1"/>
  <c r="P344" i="17" l="1"/>
  <c r="Q344" i="17" s="1"/>
  <c r="O344" i="17"/>
  <c r="D345" i="17" s="1"/>
  <c r="K357" i="15"/>
  <c r="M357" i="15" s="1"/>
  <c r="N369" i="15" s="1"/>
  <c r="O357" i="15"/>
  <c r="D358" i="15" s="1"/>
  <c r="P359" i="14"/>
  <c r="Q359" i="14" s="1"/>
  <c r="O359" i="14"/>
  <c r="D360" i="14" s="1"/>
  <c r="E378" i="12"/>
  <c r="G378" i="12"/>
  <c r="O261" i="1"/>
  <c r="D262" i="1" s="1"/>
  <c r="G262" i="1" s="1"/>
  <c r="E345" i="17" l="1"/>
  <c r="G345" i="17"/>
  <c r="H345" i="17" s="1"/>
  <c r="E358" i="15"/>
  <c r="G358" i="15"/>
  <c r="H358" i="15" s="1"/>
  <c r="I358" i="15" s="1"/>
  <c r="H378" i="12"/>
  <c r="I378" i="12" s="1"/>
  <c r="J378" i="12" s="1"/>
  <c r="K378" i="12" s="1"/>
  <c r="M378" i="12" s="1"/>
  <c r="G360" i="14"/>
  <c r="E360" i="14"/>
  <c r="E262" i="1"/>
  <c r="M261" i="1"/>
  <c r="H262" i="1" l="1"/>
  <c r="I262" i="1" s="1"/>
  <c r="I345" i="17"/>
  <c r="P345" i="17" s="1"/>
  <c r="Q345" i="17" s="1"/>
  <c r="H360" i="14"/>
  <c r="I360" i="14" s="1"/>
  <c r="J360" i="14" s="1"/>
  <c r="K360" i="14" s="1"/>
  <c r="M360" i="14" s="1"/>
  <c r="N372" i="14" s="1"/>
  <c r="P358" i="15"/>
  <c r="Q358" i="15" s="1"/>
  <c r="J358" i="15"/>
  <c r="O378" i="12"/>
  <c r="D379" i="12" s="1"/>
  <c r="E379" i="12" s="1"/>
  <c r="P378" i="12"/>
  <c r="Q378" i="12" s="1"/>
  <c r="N271" i="1"/>
  <c r="P360" i="14" l="1"/>
  <c r="Q360" i="14" s="1"/>
  <c r="O360" i="14"/>
  <c r="D361" i="14" s="1"/>
  <c r="E361" i="14" s="1"/>
  <c r="J345" i="17"/>
  <c r="K345" i="17" s="1"/>
  <c r="M345" i="17" s="1"/>
  <c r="N357" i="17" s="1"/>
  <c r="K358" i="15"/>
  <c r="M358" i="15" s="1"/>
  <c r="N370" i="15" s="1"/>
  <c r="O358" i="15"/>
  <c r="D359" i="15" s="1"/>
  <c r="G379" i="12"/>
  <c r="H379" i="12" s="1"/>
  <c r="I379" i="12" s="1"/>
  <c r="J379" i="12" s="1"/>
  <c r="K379" i="12" s="1"/>
  <c r="M379" i="12" s="1"/>
  <c r="G361" i="14"/>
  <c r="J262" i="1"/>
  <c r="K262" i="1" s="1"/>
  <c r="P262" i="1"/>
  <c r="Q262" i="1" s="1"/>
  <c r="P379" i="12" l="1"/>
  <c r="Q379" i="12" s="1"/>
  <c r="O345" i="17"/>
  <c r="D346" i="17" s="1"/>
  <c r="E346" i="17" s="1"/>
  <c r="G346" i="17"/>
  <c r="H346" i="17" s="1"/>
  <c r="H361" i="14"/>
  <c r="I361" i="14" s="1"/>
  <c r="P361" i="14" s="1"/>
  <c r="Q361" i="14" s="1"/>
  <c r="G359" i="15"/>
  <c r="E359" i="15"/>
  <c r="O379" i="12"/>
  <c r="D380" i="12" s="1"/>
  <c r="E380" i="12" s="1"/>
  <c r="O262" i="1"/>
  <c r="D263" i="1" s="1"/>
  <c r="G263" i="1" s="1"/>
  <c r="I346" i="17" l="1"/>
  <c r="J346" i="17" s="1"/>
  <c r="K346" i="17" s="1"/>
  <c r="M346" i="17" s="1"/>
  <c r="N358" i="17" s="1"/>
  <c r="J361" i="14"/>
  <c r="O361" i="14" s="1"/>
  <c r="D362" i="14" s="1"/>
  <c r="H359" i="15"/>
  <c r="G380" i="12"/>
  <c r="H380" i="12" s="1"/>
  <c r="I380" i="12" s="1"/>
  <c r="J380" i="12" s="1"/>
  <c r="K380" i="12" s="1"/>
  <c r="M380" i="12" s="1"/>
  <c r="E263" i="1"/>
  <c r="M262" i="1"/>
  <c r="H263" i="1" l="1"/>
  <c r="I263" i="1" s="1"/>
  <c r="K361" i="14"/>
  <c r="M361" i="14" s="1"/>
  <c r="N373" i="14" s="1"/>
  <c r="P346" i="17"/>
  <c r="Q346" i="17" s="1"/>
  <c r="O346" i="17"/>
  <c r="D347" i="17" s="1"/>
  <c r="P380" i="12"/>
  <c r="Q380" i="12" s="1"/>
  <c r="O380" i="12"/>
  <c r="D381" i="12" s="1"/>
  <c r="G381" i="12" s="1"/>
  <c r="I359" i="15"/>
  <c r="J359" i="15" s="1"/>
  <c r="K359" i="15" s="1"/>
  <c r="M359" i="15" s="1"/>
  <c r="N371" i="15" s="1"/>
  <c r="G362" i="14"/>
  <c r="E362" i="14"/>
  <c r="N272" i="1"/>
  <c r="E381" i="12" l="1"/>
  <c r="H381" i="12"/>
  <c r="I381" i="12" s="1"/>
  <c r="J381" i="12" s="1"/>
  <c r="K381" i="12" s="1"/>
  <c r="M381" i="12" s="1"/>
  <c r="G347" i="17"/>
  <c r="E347" i="17"/>
  <c r="O359" i="15"/>
  <c r="D360" i="15" s="1"/>
  <c r="P359" i="15"/>
  <c r="Q359" i="15" s="1"/>
  <c r="H362" i="14"/>
  <c r="P263" i="1"/>
  <c r="Q263" i="1" s="1"/>
  <c r="J263" i="1"/>
  <c r="K263" i="1" s="1"/>
  <c r="O381" i="12" l="1"/>
  <c r="D382" i="12" s="1"/>
  <c r="G382" i="12" s="1"/>
  <c r="P381" i="12"/>
  <c r="Q381" i="12" s="1"/>
  <c r="H347" i="17"/>
  <c r="I347" i="17" s="1"/>
  <c r="P347" i="17" s="1"/>
  <c r="Q347" i="17" s="1"/>
  <c r="E360" i="15"/>
  <c r="G360" i="15"/>
  <c r="H360" i="15" s="1"/>
  <c r="I360" i="15" s="1"/>
  <c r="P360" i="15" s="1"/>
  <c r="Q360" i="15" s="1"/>
  <c r="I362" i="14"/>
  <c r="P362" i="14" s="1"/>
  <c r="Q362" i="14" s="1"/>
  <c r="O263" i="1"/>
  <c r="D264" i="1" s="1"/>
  <c r="G264" i="1" s="1"/>
  <c r="E382" i="12" l="1"/>
  <c r="J362" i="14"/>
  <c r="K362" i="14" s="1"/>
  <c r="M362" i="14" s="1"/>
  <c r="N374" i="14" s="1"/>
  <c r="J347" i="17"/>
  <c r="K347" i="17" s="1"/>
  <c r="M347" i="17" s="1"/>
  <c r="N359" i="17" s="1"/>
  <c r="J360" i="15"/>
  <c r="K360" i="15" s="1"/>
  <c r="M360" i="15" s="1"/>
  <c r="N372" i="15" s="1"/>
  <c r="H382" i="12"/>
  <c r="E264" i="1"/>
  <c r="M263" i="1"/>
  <c r="O362" i="14" l="1"/>
  <c r="D363" i="14" s="1"/>
  <c r="E363" i="14" s="1"/>
  <c r="H264" i="1"/>
  <c r="I264" i="1" s="1"/>
  <c r="O347" i="17"/>
  <c r="D348" i="17" s="1"/>
  <c r="O360" i="15"/>
  <c r="D361" i="15" s="1"/>
  <c r="I382" i="12"/>
  <c r="J382" i="12" s="1"/>
  <c r="K382" i="12" s="1"/>
  <c r="M382" i="12" s="1"/>
  <c r="N273" i="1"/>
  <c r="G363" i="14" l="1"/>
  <c r="H363" i="14" s="1"/>
  <c r="G348" i="17"/>
  <c r="E348" i="17"/>
  <c r="E361" i="15"/>
  <c r="G361" i="15"/>
  <c r="H361" i="15" s="1"/>
  <c r="I361" i="15" s="1"/>
  <c r="I363" i="14"/>
  <c r="J363" i="14"/>
  <c r="K363" i="14" s="1"/>
  <c r="M363" i="14" s="1"/>
  <c r="N375" i="14" s="1"/>
  <c r="O382" i="12"/>
  <c r="D383" i="12" s="1"/>
  <c r="P382" i="12"/>
  <c r="Q382" i="12" s="1"/>
  <c r="P264" i="1"/>
  <c r="Q264" i="1" s="1"/>
  <c r="J264" i="1"/>
  <c r="K264" i="1" s="1"/>
  <c r="H348" i="17" l="1"/>
  <c r="P361" i="15"/>
  <c r="Q361" i="15" s="1"/>
  <c r="J361" i="15"/>
  <c r="K361" i="15" s="1"/>
  <c r="M361" i="15" s="1"/>
  <c r="N373" i="15" s="1"/>
  <c r="P363" i="14"/>
  <c r="Q363" i="14" s="1"/>
  <c r="O363" i="14"/>
  <c r="D364" i="14" s="1"/>
  <c r="G383" i="12"/>
  <c r="E383" i="12"/>
  <c r="O264" i="1"/>
  <c r="D265" i="1" s="1"/>
  <c r="G265" i="1" s="1"/>
  <c r="I348" i="17" l="1"/>
  <c r="P348" i="17" s="1"/>
  <c r="Q348" i="17" s="1"/>
  <c r="J348" i="17"/>
  <c r="K348" i="17" s="1"/>
  <c r="M348" i="17" s="1"/>
  <c r="N360" i="17" s="1"/>
  <c r="O361" i="15"/>
  <c r="D362" i="15" s="1"/>
  <c r="G364" i="14"/>
  <c r="E364" i="14"/>
  <c r="H383" i="12"/>
  <c r="I383" i="12" s="1"/>
  <c r="J383" i="12" s="1"/>
  <c r="K383" i="12" s="1"/>
  <c r="M383" i="12" s="1"/>
  <c r="E265" i="1"/>
  <c r="M264" i="1"/>
  <c r="H265" i="1" l="1"/>
  <c r="I265" i="1" s="1"/>
  <c r="O348" i="17"/>
  <c r="D349" i="17" s="1"/>
  <c r="G349" i="17"/>
  <c r="E349" i="17"/>
  <c r="G362" i="15"/>
  <c r="E362" i="15"/>
  <c r="H364" i="14"/>
  <c r="P383" i="12"/>
  <c r="Q383" i="12" s="1"/>
  <c r="O383" i="12"/>
  <c r="D384" i="12" s="1"/>
  <c r="N274" i="1"/>
  <c r="H362" i="15" l="1"/>
  <c r="I362" i="15" s="1"/>
  <c r="P362" i="15" s="1"/>
  <c r="Q362" i="15" s="1"/>
  <c r="H349" i="17"/>
  <c r="J362" i="15"/>
  <c r="K362" i="15" s="1"/>
  <c r="M362" i="15" s="1"/>
  <c r="N374" i="15" s="1"/>
  <c r="I364" i="14"/>
  <c r="P364" i="14" s="1"/>
  <c r="Q364" i="14" s="1"/>
  <c r="G384" i="12"/>
  <c r="E384" i="12"/>
  <c r="P265" i="1"/>
  <c r="Q265" i="1" s="1"/>
  <c r="J265" i="1"/>
  <c r="K265" i="1" s="1"/>
  <c r="I349" i="17" l="1"/>
  <c r="P349" i="17" s="1"/>
  <c r="Q349" i="17" s="1"/>
  <c r="O362" i="15"/>
  <c r="D363" i="15" s="1"/>
  <c r="J364" i="14"/>
  <c r="K364" i="14" s="1"/>
  <c r="M364" i="14" s="1"/>
  <c r="N376" i="14" s="1"/>
  <c r="H384" i="12"/>
  <c r="I384" i="12" s="1"/>
  <c r="J384" i="12" s="1"/>
  <c r="K384" i="12" s="1"/>
  <c r="M384" i="12" s="1"/>
  <c r="O265" i="1"/>
  <c r="D266" i="1" s="1"/>
  <c r="G266" i="1" s="1"/>
  <c r="J349" i="17" l="1"/>
  <c r="K349" i="17" s="1"/>
  <c r="M349" i="17" s="1"/>
  <c r="N361" i="17" s="1"/>
  <c r="E363" i="15"/>
  <c r="G363" i="15"/>
  <c r="H363" i="15" s="1"/>
  <c r="I363" i="15" s="1"/>
  <c r="J363" i="15" s="1"/>
  <c r="K363" i="15" s="1"/>
  <c r="M363" i="15" s="1"/>
  <c r="N375" i="15" s="1"/>
  <c r="O364" i="14"/>
  <c r="D365" i="14" s="1"/>
  <c r="P384" i="12"/>
  <c r="Q384" i="12" s="1"/>
  <c r="O384" i="12"/>
  <c r="D385" i="12" s="1"/>
  <c r="E385" i="12" s="1"/>
  <c r="E266" i="1"/>
  <c r="M265" i="1"/>
  <c r="H266" i="1" l="1"/>
  <c r="I266" i="1" s="1"/>
  <c r="O349" i="17"/>
  <c r="D350" i="17" s="1"/>
  <c r="E350" i="17" s="1"/>
  <c r="G350" i="17"/>
  <c r="H350" i="17" s="1"/>
  <c r="P363" i="15"/>
  <c r="Q363" i="15" s="1"/>
  <c r="O363" i="15"/>
  <c r="D364" i="15" s="1"/>
  <c r="E365" i="14"/>
  <c r="G365" i="14"/>
  <c r="G385" i="12"/>
  <c r="H385" i="12" s="1"/>
  <c r="N275" i="1"/>
  <c r="I350" i="17" l="1"/>
  <c r="P350" i="17" s="1"/>
  <c r="Q350" i="17" s="1"/>
  <c r="G364" i="15"/>
  <c r="E364" i="15"/>
  <c r="H365" i="14"/>
  <c r="I385" i="12"/>
  <c r="P385" i="12" s="1"/>
  <c r="Q385" i="12" s="1"/>
  <c r="J266" i="1"/>
  <c r="K266" i="1" s="1"/>
  <c r="P266" i="1"/>
  <c r="Q266" i="1" s="1"/>
  <c r="J385" i="12" l="1"/>
  <c r="K385" i="12" s="1"/>
  <c r="M385" i="12" s="1"/>
  <c r="N18" i="12" s="1"/>
  <c r="P18" i="12" s="1"/>
  <c r="Q18" i="12" s="1"/>
  <c r="M2" i="12" s="1"/>
  <c r="M4" i="12" s="1"/>
  <c r="H364" i="15"/>
  <c r="I364" i="15" s="1"/>
  <c r="J350" i="17"/>
  <c r="K350" i="17" s="1"/>
  <c r="M350" i="17" s="1"/>
  <c r="N362" i="17" s="1"/>
  <c r="I365" i="14"/>
  <c r="J365" i="14" s="1"/>
  <c r="K365" i="14" s="1"/>
  <c r="M365" i="14" s="1"/>
  <c r="N377" i="14" s="1"/>
  <c r="O266" i="1"/>
  <c r="D267" i="1" s="1"/>
  <c r="G267" i="1" s="1"/>
  <c r="O385" i="12" l="1"/>
  <c r="M3" i="10"/>
  <c r="M8" i="12"/>
  <c r="J364" i="15"/>
  <c r="K364" i="15" s="1"/>
  <c r="M364" i="15" s="1"/>
  <c r="N376" i="15" s="1"/>
  <c r="P364" i="15"/>
  <c r="Q364" i="15" s="1"/>
  <c r="M5" i="12"/>
  <c r="O350" i="17"/>
  <c r="D351" i="17" s="1"/>
  <c r="E351" i="17" s="1"/>
  <c r="O365" i="14"/>
  <c r="D366" i="14" s="1"/>
  <c r="P365" i="14"/>
  <c r="Q365" i="14" s="1"/>
  <c r="E267" i="1"/>
  <c r="M266" i="1"/>
  <c r="M9" i="12" l="1"/>
  <c r="G351" i="17"/>
  <c r="H351" i="17" s="1"/>
  <c r="I351" i="17" s="1"/>
  <c r="J351" i="17" s="1"/>
  <c r="K351" i="17" s="1"/>
  <c r="M351" i="17" s="1"/>
  <c r="N363" i="17" s="1"/>
  <c r="O364" i="15"/>
  <c r="D365" i="15" s="1"/>
  <c r="H267" i="1"/>
  <c r="I267" i="1" s="1"/>
  <c r="G365" i="15"/>
  <c r="E365" i="15"/>
  <c r="E366" i="14"/>
  <c r="G366" i="14"/>
  <c r="N276" i="1"/>
  <c r="H366" i="14" l="1"/>
  <c r="I366" i="14" s="1"/>
  <c r="P351" i="17"/>
  <c r="Q351" i="17" s="1"/>
  <c r="O351" i="17"/>
  <c r="D352" i="17" s="1"/>
  <c r="G352" i="17" s="1"/>
  <c r="H352" i="17" s="1"/>
  <c r="I352" i="17" s="1"/>
  <c r="H365" i="15"/>
  <c r="I365" i="15" s="1"/>
  <c r="J365" i="15" s="1"/>
  <c r="K365" i="15" s="1"/>
  <c r="M365" i="15" s="1"/>
  <c r="N377" i="15" s="1"/>
  <c r="J267" i="1"/>
  <c r="K267" i="1" s="1"/>
  <c r="P267" i="1"/>
  <c r="Q267" i="1" s="1"/>
  <c r="E352" i="17" l="1"/>
  <c r="P352" i="17"/>
  <c r="Q352" i="17" s="1"/>
  <c r="J352" i="17"/>
  <c r="K352" i="17" s="1"/>
  <c r="M352" i="17" s="1"/>
  <c r="N364" i="17" s="1"/>
  <c r="P365" i="15"/>
  <c r="Q365" i="15" s="1"/>
  <c r="O365" i="15"/>
  <c r="D366" i="15" s="1"/>
  <c r="J366" i="14"/>
  <c r="K366" i="14" s="1"/>
  <c r="M366" i="14" s="1"/>
  <c r="N378" i="14" s="1"/>
  <c r="P366" i="14"/>
  <c r="Q366" i="14" s="1"/>
  <c r="O267" i="1"/>
  <c r="D268" i="1" s="1"/>
  <c r="G268" i="1" s="1"/>
  <c r="O352" i="17" l="1"/>
  <c r="D353" i="17" s="1"/>
  <c r="E353" i="17" s="1"/>
  <c r="O366" i="14"/>
  <c r="D367" i="14" s="1"/>
  <c r="E366" i="15"/>
  <c r="G366" i="15"/>
  <c r="H366" i="15" s="1"/>
  <c r="I366" i="15" s="1"/>
  <c r="J366" i="15" s="1"/>
  <c r="K366" i="15" s="1"/>
  <c r="M366" i="15" s="1"/>
  <c r="N378" i="15" s="1"/>
  <c r="G367" i="14"/>
  <c r="E367" i="14"/>
  <c r="E268" i="1"/>
  <c r="M267" i="1"/>
  <c r="G353" i="17" l="1"/>
  <c r="H353" i="17" s="1"/>
  <c r="I353" i="17" s="1"/>
  <c r="P353" i="17" s="1"/>
  <c r="Q353" i="17" s="1"/>
  <c r="H268" i="1"/>
  <c r="I268" i="1" s="1"/>
  <c r="P366" i="15"/>
  <c r="Q366" i="15" s="1"/>
  <c r="O366" i="15"/>
  <c r="D367" i="15" s="1"/>
  <c r="H367" i="14"/>
  <c r="N277" i="1"/>
  <c r="J353" i="17" l="1"/>
  <c r="K353" i="17" s="1"/>
  <c r="M353" i="17" s="1"/>
  <c r="N365" i="17" s="1"/>
  <c r="G367" i="15"/>
  <c r="E367" i="15"/>
  <c r="I367" i="14"/>
  <c r="P367" i="14" s="1"/>
  <c r="Q367" i="14" s="1"/>
  <c r="J268" i="1"/>
  <c r="K268" i="1" s="1"/>
  <c r="P268" i="1"/>
  <c r="Q268" i="1" s="1"/>
  <c r="O353" i="17" l="1"/>
  <c r="D354" i="17" s="1"/>
  <c r="E354" i="17" s="1"/>
  <c r="H367" i="15"/>
  <c r="I367" i="15" s="1"/>
  <c r="J367" i="15" s="1"/>
  <c r="K367" i="15" s="1"/>
  <c r="M367" i="15" s="1"/>
  <c r="N379" i="15" s="1"/>
  <c r="G354" i="17"/>
  <c r="J367" i="14"/>
  <c r="O268" i="1"/>
  <c r="D269" i="1" s="1"/>
  <c r="G269" i="1" s="1"/>
  <c r="H354" i="17" l="1"/>
  <c r="I354" i="17" s="1"/>
  <c r="J354" i="17" s="1"/>
  <c r="K354" i="17" s="1"/>
  <c r="M354" i="17" s="1"/>
  <c r="N366" i="17" s="1"/>
  <c r="P367" i="15"/>
  <c r="Q367" i="15" s="1"/>
  <c r="O367" i="15"/>
  <c r="D368" i="15" s="1"/>
  <c r="E368" i="15" s="1"/>
  <c r="K367" i="14"/>
  <c r="M367" i="14" s="1"/>
  <c r="N379" i="14" s="1"/>
  <c r="O367" i="14"/>
  <c r="D368" i="14" s="1"/>
  <c r="E269" i="1"/>
  <c r="M268" i="1"/>
  <c r="H269" i="1" l="1"/>
  <c r="I269" i="1" s="1"/>
  <c r="P354" i="17"/>
  <c r="Q354" i="17" s="1"/>
  <c r="O354" i="17"/>
  <c r="D355" i="17" s="1"/>
  <c r="E355" i="17" s="1"/>
  <c r="G368" i="15"/>
  <c r="H368" i="15" s="1"/>
  <c r="I368" i="15" s="1"/>
  <c r="J368" i="15" s="1"/>
  <c r="K368" i="15" s="1"/>
  <c r="M368" i="15" s="1"/>
  <c r="N380" i="15" s="1"/>
  <c r="E368" i="14"/>
  <c r="G368" i="14"/>
  <c r="H368" i="14" s="1"/>
  <c r="N278" i="1"/>
  <c r="G355" i="17" l="1"/>
  <c r="H355" i="17" s="1"/>
  <c r="I355" i="17" s="1"/>
  <c r="J355" i="17" s="1"/>
  <c r="K355" i="17" s="1"/>
  <c r="M355" i="17" s="1"/>
  <c r="N367" i="17" s="1"/>
  <c r="O368" i="15"/>
  <c r="D369" i="15" s="1"/>
  <c r="P368" i="15"/>
  <c r="Q368" i="15" s="1"/>
  <c r="I368" i="14"/>
  <c r="J368" i="14" s="1"/>
  <c r="K368" i="14" s="1"/>
  <c r="M368" i="14" s="1"/>
  <c r="N380" i="14" s="1"/>
  <c r="P269" i="1"/>
  <c r="Q269" i="1" s="1"/>
  <c r="J269" i="1"/>
  <c r="K269" i="1" s="1"/>
  <c r="P368" i="14" l="1"/>
  <c r="Q368" i="14" s="1"/>
  <c r="P355" i="17"/>
  <c r="Q355" i="17" s="1"/>
  <c r="O355" i="17"/>
  <c r="D356" i="17" s="1"/>
  <c r="E356" i="17" s="1"/>
  <c r="G369" i="15"/>
  <c r="E369" i="15"/>
  <c r="O368" i="14"/>
  <c r="D369" i="14" s="1"/>
  <c r="O269" i="1"/>
  <c r="D270" i="1" s="1"/>
  <c r="G270" i="1" s="1"/>
  <c r="G356" i="17" l="1"/>
  <c r="H356" i="17"/>
  <c r="H369" i="15"/>
  <c r="G369" i="14"/>
  <c r="E369" i="14"/>
  <c r="E270" i="1"/>
  <c r="M269" i="1"/>
  <c r="H270" i="1" l="1"/>
  <c r="I270" i="1" s="1"/>
  <c r="I356" i="17"/>
  <c r="P356" i="17" s="1"/>
  <c r="Q356" i="17" s="1"/>
  <c r="J356" i="17"/>
  <c r="K356" i="17" s="1"/>
  <c r="M356" i="17" s="1"/>
  <c r="N368" i="17" s="1"/>
  <c r="I369" i="15"/>
  <c r="P369" i="15" s="1"/>
  <c r="Q369" i="15" s="1"/>
  <c r="H369" i="14"/>
  <c r="I369" i="14" s="1"/>
  <c r="P369" i="14" s="1"/>
  <c r="Q369" i="14" s="1"/>
  <c r="N279" i="1"/>
  <c r="O356" i="17" l="1"/>
  <c r="D357" i="17" s="1"/>
  <c r="E357" i="17" s="1"/>
  <c r="G357" i="17"/>
  <c r="J369" i="15"/>
  <c r="K369" i="15" s="1"/>
  <c r="M369" i="15" s="1"/>
  <c r="N381" i="15" s="1"/>
  <c r="J369" i="14"/>
  <c r="K369" i="14" s="1"/>
  <c r="M369" i="14" s="1"/>
  <c r="N381" i="14" s="1"/>
  <c r="J270" i="1"/>
  <c r="K270" i="1" s="1"/>
  <c r="P270" i="1"/>
  <c r="Q270" i="1" s="1"/>
  <c r="H357" i="17" l="1"/>
  <c r="O369" i="15"/>
  <c r="D370" i="15" s="1"/>
  <c r="G370" i="15" s="1"/>
  <c r="O369" i="14"/>
  <c r="D370" i="14" s="1"/>
  <c r="O270" i="1"/>
  <c r="D271" i="1" s="1"/>
  <c r="G271" i="1" s="1"/>
  <c r="I357" i="17" l="1"/>
  <c r="P357" i="17" s="1"/>
  <c r="Q357" i="17" s="1"/>
  <c r="J357" i="17"/>
  <c r="K357" i="17" s="1"/>
  <c r="M357" i="17" s="1"/>
  <c r="N369" i="17" s="1"/>
  <c r="E370" i="15"/>
  <c r="H370" i="15"/>
  <c r="E370" i="14"/>
  <c r="G370" i="14"/>
  <c r="E271" i="1"/>
  <c r="M270" i="1"/>
  <c r="H271" i="1" l="1"/>
  <c r="I271" i="1" s="1"/>
  <c r="O357" i="17"/>
  <c r="D358" i="17" s="1"/>
  <c r="H370" i="14"/>
  <c r="I370" i="14" s="1"/>
  <c r="I370" i="15"/>
  <c r="P370" i="15" s="1"/>
  <c r="Q370" i="15" s="1"/>
  <c r="J370" i="14"/>
  <c r="K370" i="14" s="1"/>
  <c r="M370" i="14" s="1"/>
  <c r="N382" i="14" s="1"/>
  <c r="N280" i="1"/>
  <c r="P370" i="14" l="1"/>
  <c r="Q370" i="14" s="1"/>
  <c r="J370" i="15"/>
  <c r="K370" i="15" s="1"/>
  <c r="M370" i="15" s="1"/>
  <c r="N382" i="15" s="1"/>
  <c r="G358" i="17"/>
  <c r="E358" i="17"/>
  <c r="O370" i="14"/>
  <c r="D371" i="14" s="1"/>
  <c r="G371" i="14" s="1"/>
  <c r="P271" i="1"/>
  <c r="Q271" i="1" s="1"/>
  <c r="J271" i="1"/>
  <c r="K271" i="1" s="1"/>
  <c r="O370" i="15" l="1"/>
  <c r="D371" i="15" s="1"/>
  <c r="E371" i="15" s="1"/>
  <c r="E371" i="14"/>
  <c r="H358" i="17"/>
  <c r="G371" i="15"/>
  <c r="H371" i="15" s="1"/>
  <c r="H371" i="14"/>
  <c r="I371" i="14" s="1"/>
  <c r="P371" i="14" s="1"/>
  <c r="Q371" i="14" s="1"/>
  <c r="O271" i="1"/>
  <c r="D272" i="1" s="1"/>
  <c r="G272" i="1" s="1"/>
  <c r="I358" i="17" l="1"/>
  <c r="P358" i="17" s="1"/>
  <c r="Q358" i="17" s="1"/>
  <c r="J358" i="17"/>
  <c r="K358" i="17" s="1"/>
  <c r="M358" i="17" s="1"/>
  <c r="N370" i="17" s="1"/>
  <c r="I371" i="15"/>
  <c r="J371" i="15" s="1"/>
  <c r="K371" i="15" s="1"/>
  <c r="M371" i="15" s="1"/>
  <c r="N383" i="15" s="1"/>
  <c r="J371" i="14"/>
  <c r="K371" i="14" s="1"/>
  <c r="M371" i="14" s="1"/>
  <c r="N383" i="14" s="1"/>
  <c r="E272" i="1"/>
  <c r="M271" i="1"/>
  <c r="H272" i="1" l="1"/>
  <c r="I272" i="1" s="1"/>
  <c r="O358" i="17"/>
  <c r="D359" i="17" s="1"/>
  <c r="P371" i="15"/>
  <c r="Q371" i="15" s="1"/>
  <c r="O371" i="15"/>
  <c r="D372" i="15" s="1"/>
  <c r="O371" i="14"/>
  <c r="D372" i="14" s="1"/>
  <c r="N281" i="1"/>
  <c r="E359" i="17" l="1"/>
  <c r="G359" i="17"/>
  <c r="H359" i="17" s="1"/>
  <c r="I359" i="17" s="1"/>
  <c r="G372" i="15"/>
  <c r="E372" i="15"/>
  <c r="E372" i="14"/>
  <c r="G372" i="14"/>
  <c r="J272" i="1"/>
  <c r="K272" i="1" s="1"/>
  <c r="P272" i="1"/>
  <c r="Q272" i="1" s="1"/>
  <c r="H372" i="14" l="1"/>
  <c r="I372" i="14" s="1"/>
  <c r="P372" i="14" s="1"/>
  <c r="Q372" i="14" s="1"/>
  <c r="J372" i="14"/>
  <c r="K372" i="14" s="1"/>
  <c r="M372" i="14" s="1"/>
  <c r="N384" i="14" s="1"/>
  <c r="P359" i="17"/>
  <c r="Q359" i="17" s="1"/>
  <c r="J359" i="17"/>
  <c r="K359" i="17" s="1"/>
  <c r="M359" i="17" s="1"/>
  <c r="N371" i="17" s="1"/>
  <c r="H372" i="15"/>
  <c r="I372" i="15" s="1"/>
  <c r="J372" i="15" s="1"/>
  <c r="K372" i="15" s="1"/>
  <c r="M372" i="15" s="1"/>
  <c r="N384" i="15" s="1"/>
  <c r="O272" i="1"/>
  <c r="D273" i="1" s="1"/>
  <c r="G273" i="1" s="1"/>
  <c r="P372" i="15" l="1"/>
  <c r="Q372" i="15" s="1"/>
  <c r="O372" i="14"/>
  <c r="D373" i="14" s="1"/>
  <c r="O359" i="17"/>
  <c r="D360" i="17" s="1"/>
  <c r="G360" i="17" s="1"/>
  <c r="O372" i="15"/>
  <c r="D373" i="15" s="1"/>
  <c r="E373" i="15" s="1"/>
  <c r="E373" i="14"/>
  <c r="G373" i="14"/>
  <c r="E273" i="1"/>
  <c r="M272" i="1"/>
  <c r="H373" i="14" l="1"/>
  <c r="I373" i="14" s="1"/>
  <c r="H273" i="1"/>
  <c r="I273" i="1" s="1"/>
  <c r="G373" i="15"/>
  <c r="E360" i="17"/>
  <c r="H373" i="15"/>
  <c r="I373" i="15" s="1"/>
  <c r="H360" i="17"/>
  <c r="J373" i="14"/>
  <c r="K373" i="14" s="1"/>
  <c r="M373" i="14" s="1"/>
  <c r="N385" i="14" s="1"/>
  <c r="N282" i="1"/>
  <c r="P373" i="14" l="1"/>
  <c r="Q373" i="14" s="1"/>
  <c r="J373" i="15"/>
  <c r="K373" i="15" s="1"/>
  <c r="M373" i="15" s="1"/>
  <c r="N385" i="15" s="1"/>
  <c r="P373" i="15"/>
  <c r="Q373" i="15" s="1"/>
  <c r="I360" i="17"/>
  <c r="P360" i="17" s="1"/>
  <c r="Q360" i="17" s="1"/>
  <c r="O373" i="14"/>
  <c r="D374" i="14" s="1"/>
  <c r="J273" i="1"/>
  <c r="K273" i="1" s="1"/>
  <c r="P273" i="1"/>
  <c r="Q273" i="1" s="1"/>
  <c r="O373" i="15" l="1"/>
  <c r="D374" i="15" s="1"/>
  <c r="J360" i="17"/>
  <c r="K360" i="17" s="1"/>
  <c r="M360" i="17" s="1"/>
  <c r="N372" i="17" s="1"/>
  <c r="E374" i="15"/>
  <c r="G374" i="15"/>
  <c r="H374" i="15" s="1"/>
  <c r="G374" i="14"/>
  <c r="E374" i="14"/>
  <c r="O273" i="1"/>
  <c r="D274" i="1" s="1"/>
  <c r="G274" i="1" s="1"/>
  <c r="O360" i="17" l="1"/>
  <c r="D361" i="17" s="1"/>
  <c r="E361" i="17" s="1"/>
  <c r="G361" i="17"/>
  <c r="H361" i="17"/>
  <c r="I374" i="15"/>
  <c r="J374" i="15" s="1"/>
  <c r="K374" i="15" s="1"/>
  <c r="M374" i="15" s="1"/>
  <c r="H374" i="14"/>
  <c r="E274" i="1"/>
  <c r="M273" i="1"/>
  <c r="H274" i="1" l="1"/>
  <c r="I274" i="1" s="1"/>
  <c r="I361" i="17"/>
  <c r="P361" i="17" s="1"/>
  <c r="Q361" i="17" s="1"/>
  <c r="J361" i="17"/>
  <c r="K361" i="17" s="1"/>
  <c r="M361" i="17" s="1"/>
  <c r="N373" i="17" s="1"/>
  <c r="P374" i="15"/>
  <c r="Q374" i="15" s="1"/>
  <c r="O374" i="15"/>
  <c r="D375" i="15" s="1"/>
  <c r="E375" i="15" s="1"/>
  <c r="I374" i="14"/>
  <c r="P374" i="14" s="1"/>
  <c r="Q374" i="14" s="1"/>
  <c r="N283" i="1"/>
  <c r="O361" i="17" l="1"/>
  <c r="D362" i="17" s="1"/>
  <c r="G375" i="15"/>
  <c r="H375" i="15" s="1"/>
  <c r="I375" i="15" s="1"/>
  <c r="J374" i="14"/>
  <c r="K374" i="14" s="1"/>
  <c r="M374" i="14" s="1"/>
  <c r="J274" i="1"/>
  <c r="K274" i="1" s="1"/>
  <c r="P274" i="1"/>
  <c r="Q274" i="1" s="1"/>
  <c r="G362" i="17" l="1"/>
  <c r="H362" i="17" s="1"/>
  <c r="E362" i="17"/>
  <c r="J375" i="15"/>
  <c r="K375" i="15" s="1"/>
  <c r="M375" i="15" s="1"/>
  <c r="P375" i="15"/>
  <c r="Q375" i="15" s="1"/>
  <c r="O374" i="14"/>
  <c r="D375" i="14" s="1"/>
  <c r="O274" i="1"/>
  <c r="D275" i="1" s="1"/>
  <c r="G275" i="1" s="1"/>
  <c r="O375" i="15" l="1"/>
  <c r="D376" i="15" s="1"/>
  <c r="E376" i="15" s="1"/>
  <c r="I362" i="17"/>
  <c r="J362" i="17" s="1"/>
  <c r="K362" i="17" s="1"/>
  <c r="M362" i="17" s="1"/>
  <c r="N374" i="17" s="1"/>
  <c r="G376" i="15"/>
  <c r="E375" i="14"/>
  <c r="G375" i="14"/>
  <c r="H375" i="14" s="1"/>
  <c r="H376" i="15"/>
  <c r="I376" i="15" s="1"/>
  <c r="E275" i="1"/>
  <c r="M274" i="1"/>
  <c r="H275" i="1" l="1"/>
  <c r="I275" i="1" s="1"/>
  <c r="O362" i="17"/>
  <c r="D363" i="17" s="1"/>
  <c r="P362" i="17"/>
  <c r="Q362" i="17" s="1"/>
  <c r="I375" i="14"/>
  <c r="J375" i="14" s="1"/>
  <c r="K375" i="14" s="1"/>
  <c r="M375" i="14" s="1"/>
  <c r="P376" i="15"/>
  <c r="Q376" i="15" s="1"/>
  <c r="J376" i="15"/>
  <c r="K376" i="15" s="1"/>
  <c r="M376" i="15" s="1"/>
  <c r="N284" i="1"/>
  <c r="G363" i="17" l="1"/>
  <c r="E363" i="17"/>
  <c r="O375" i="14"/>
  <c r="D376" i="14" s="1"/>
  <c r="P375" i="14"/>
  <c r="Q375" i="14" s="1"/>
  <c r="O376" i="15"/>
  <c r="D377" i="15" s="1"/>
  <c r="J275" i="1"/>
  <c r="K275" i="1" s="1"/>
  <c r="P275" i="1"/>
  <c r="Q275" i="1" s="1"/>
  <c r="H363" i="17" l="1"/>
  <c r="E376" i="14"/>
  <c r="G376" i="14"/>
  <c r="H376" i="14" s="1"/>
  <c r="G377" i="15"/>
  <c r="E377" i="15"/>
  <c r="O275" i="1"/>
  <c r="D276" i="1" s="1"/>
  <c r="G276" i="1" s="1"/>
  <c r="I363" i="17" l="1"/>
  <c r="P363" i="17" s="1"/>
  <c r="Q363" i="17" s="1"/>
  <c r="I376" i="14"/>
  <c r="J376" i="14" s="1"/>
  <c r="K376" i="14" s="1"/>
  <c r="M376" i="14" s="1"/>
  <c r="H377" i="15"/>
  <c r="I377" i="15" s="1"/>
  <c r="P377" i="15" s="1"/>
  <c r="Q377" i="15" s="1"/>
  <c r="E276" i="1"/>
  <c r="M275" i="1"/>
  <c r="H276" i="1" l="1"/>
  <c r="I276" i="1" s="1"/>
  <c r="P376" i="14"/>
  <c r="Q376" i="14" s="1"/>
  <c r="O376" i="14"/>
  <c r="D377" i="14" s="1"/>
  <c r="G377" i="14" s="1"/>
  <c r="J363" i="17"/>
  <c r="K363" i="17" s="1"/>
  <c r="M363" i="17" s="1"/>
  <c r="N375" i="17" s="1"/>
  <c r="J377" i="15"/>
  <c r="K377" i="15" s="1"/>
  <c r="M377" i="15" s="1"/>
  <c r="N285" i="1"/>
  <c r="E377" i="14" l="1"/>
  <c r="O363" i="17"/>
  <c r="D364" i="17" s="1"/>
  <c r="G364" i="17" s="1"/>
  <c r="H364" i="17" s="1"/>
  <c r="I364" i="17" s="1"/>
  <c r="H377" i="14"/>
  <c r="I377" i="14" s="1"/>
  <c r="J377" i="14" s="1"/>
  <c r="K377" i="14" s="1"/>
  <c r="M377" i="14" s="1"/>
  <c r="O377" i="15"/>
  <c r="D378" i="15" s="1"/>
  <c r="E378" i="15" s="1"/>
  <c r="J276" i="1"/>
  <c r="K276" i="1" s="1"/>
  <c r="P276" i="1"/>
  <c r="Q276" i="1" s="1"/>
  <c r="P377" i="14" l="1"/>
  <c r="Q377" i="14" s="1"/>
  <c r="J364" i="17"/>
  <c r="K364" i="17" s="1"/>
  <c r="M364" i="17" s="1"/>
  <c r="N376" i="17" s="1"/>
  <c r="E364" i="17"/>
  <c r="O377" i="14"/>
  <c r="D378" i="14" s="1"/>
  <c r="G378" i="15"/>
  <c r="P364" i="17"/>
  <c r="Q364" i="17" s="1"/>
  <c r="H378" i="15"/>
  <c r="O276" i="1"/>
  <c r="D277" i="1" s="1"/>
  <c r="G277" i="1" s="1"/>
  <c r="O364" i="17" l="1"/>
  <c r="D365" i="17" s="1"/>
  <c r="G378" i="14"/>
  <c r="E378" i="14"/>
  <c r="E365" i="17"/>
  <c r="G365" i="17"/>
  <c r="H365" i="17" s="1"/>
  <c r="I378" i="15"/>
  <c r="P378" i="15" s="1"/>
  <c r="Q378" i="15" s="1"/>
  <c r="E277" i="1"/>
  <c r="M276" i="1"/>
  <c r="J378" i="15" l="1"/>
  <c r="K378" i="15" s="1"/>
  <c r="M378" i="15" s="1"/>
  <c r="H378" i="14"/>
  <c r="H277" i="1"/>
  <c r="I277" i="1" s="1"/>
  <c r="I365" i="17"/>
  <c r="P365" i="17" s="1"/>
  <c r="Q365" i="17" s="1"/>
  <c r="N286" i="1"/>
  <c r="O378" i="15" l="1"/>
  <c r="D379" i="15" s="1"/>
  <c r="I378" i="14"/>
  <c r="J378" i="14"/>
  <c r="K378" i="14" s="1"/>
  <c r="M378" i="14" s="1"/>
  <c r="J365" i="17"/>
  <c r="K365" i="17" s="1"/>
  <c r="M365" i="17" s="1"/>
  <c r="N377" i="17" s="1"/>
  <c r="G379" i="15"/>
  <c r="E379" i="15"/>
  <c r="J277" i="1"/>
  <c r="K277" i="1" s="1"/>
  <c r="P277" i="1"/>
  <c r="Q277" i="1" s="1"/>
  <c r="P378" i="14" l="1"/>
  <c r="Q378" i="14" s="1"/>
  <c r="O378" i="14"/>
  <c r="D379" i="14" s="1"/>
  <c r="O365" i="17"/>
  <c r="D366" i="17" s="1"/>
  <c r="E366" i="17" s="1"/>
  <c r="H379" i="15"/>
  <c r="O277" i="1"/>
  <c r="D278" i="1" s="1"/>
  <c r="G278" i="1" s="1"/>
  <c r="G366" i="17" l="1"/>
  <c r="H366" i="17" s="1"/>
  <c r="I366" i="17" s="1"/>
  <c r="P366" i="17" s="1"/>
  <c r="Q366" i="17" s="1"/>
  <c r="G379" i="14"/>
  <c r="E379" i="14"/>
  <c r="J366" i="17"/>
  <c r="K366" i="17" s="1"/>
  <c r="M366" i="17" s="1"/>
  <c r="N378" i="17" s="1"/>
  <c r="I379" i="15"/>
  <c r="P379" i="15" s="1"/>
  <c r="Q379" i="15" s="1"/>
  <c r="E278" i="1"/>
  <c r="M277" i="1"/>
  <c r="H379" i="14" l="1"/>
  <c r="H278" i="1"/>
  <c r="I278" i="1" s="1"/>
  <c r="O366" i="17"/>
  <c r="D367" i="17" s="1"/>
  <c r="G367" i="17" s="1"/>
  <c r="J379" i="15"/>
  <c r="N287" i="1"/>
  <c r="I379" i="14" l="1"/>
  <c r="J379" i="14" s="1"/>
  <c r="K379" i="14" s="1"/>
  <c r="M379" i="14" s="1"/>
  <c r="E367" i="17"/>
  <c r="H367" i="17"/>
  <c r="K379" i="15"/>
  <c r="M379" i="15" s="1"/>
  <c r="O379" i="15"/>
  <c r="D380" i="15" s="1"/>
  <c r="P278" i="1"/>
  <c r="Q278" i="1" s="1"/>
  <c r="J278" i="1"/>
  <c r="K278" i="1" s="1"/>
  <c r="P379" i="14" l="1"/>
  <c r="Q379" i="14" s="1"/>
  <c r="O379" i="14"/>
  <c r="D380" i="14" s="1"/>
  <c r="I367" i="17"/>
  <c r="P367" i="17" s="1"/>
  <c r="Q367" i="17" s="1"/>
  <c r="J367" i="17"/>
  <c r="K367" i="17" s="1"/>
  <c r="M367" i="17" s="1"/>
  <c r="N379" i="17" s="1"/>
  <c r="E380" i="15"/>
  <c r="G380" i="15"/>
  <c r="H380" i="15" s="1"/>
  <c r="I380" i="15" s="1"/>
  <c r="O278" i="1"/>
  <c r="D279" i="1" s="1"/>
  <c r="G279" i="1" s="1"/>
  <c r="G380" i="14" l="1"/>
  <c r="E380" i="14"/>
  <c r="O367" i="17"/>
  <c r="D368" i="17" s="1"/>
  <c r="P380" i="15"/>
  <c r="Q380" i="15" s="1"/>
  <c r="J380" i="15"/>
  <c r="K380" i="15" s="1"/>
  <c r="M380" i="15" s="1"/>
  <c r="E279" i="1"/>
  <c r="M278" i="1"/>
  <c r="H380" i="14" l="1"/>
  <c r="H279" i="1"/>
  <c r="I279" i="1" s="1"/>
  <c r="E368" i="17"/>
  <c r="G368" i="17"/>
  <c r="H368" i="17" s="1"/>
  <c r="O380" i="15"/>
  <c r="D381" i="15" s="1"/>
  <c r="N288" i="1"/>
  <c r="I380" i="14" l="1"/>
  <c r="J380" i="14" s="1"/>
  <c r="K380" i="14" s="1"/>
  <c r="M380" i="14" s="1"/>
  <c r="I368" i="17"/>
  <c r="P368" i="17" s="1"/>
  <c r="Q368" i="17" s="1"/>
  <c r="G381" i="15"/>
  <c r="E381" i="15"/>
  <c r="P279" i="1"/>
  <c r="Q279" i="1" s="1"/>
  <c r="J279" i="1"/>
  <c r="K279" i="1" s="1"/>
  <c r="P380" i="14" l="1"/>
  <c r="Q380" i="14" s="1"/>
  <c r="O380" i="14"/>
  <c r="D381" i="14" s="1"/>
  <c r="J368" i="17"/>
  <c r="K368" i="17" s="1"/>
  <c r="M368" i="17" s="1"/>
  <c r="N380" i="17" s="1"/>
  <c r="H381" i="15"/>
  <c r="O279" i="1"/>
  <c r="D280" i="1" s="1"/>
  <c r="G280" i="1" s="1"/>
  <c r="E381" i="14" l="1"/>
  <c r="G381" i="14"/>
  <c r="O368" i="17"/>
  <c r="D369" i="17" s="1"/>
  <c r="E369" i="17" s="1"/>
  <c r="I381" i="15"/>
  <c r="P381" i="15" s="1"/>
  <c r="Q381" i="15" s="1"/>
  <c r="E280" i="1"/>
  <c r="M279" i="1"/>
  <c r="H381" i="14" l="1"/>
  <c r="I381" i="14" s="1"/>
  <c r="J381" i="14" s="1"/>
  <c r="K381" i="14" s="1"/>
  <c r="M381" i="14" s="1"/>
  <c r="G369" i="17"/>
  <c r="H280" i="1"/>
  <c r="I280" i="1" s="1"/>
  <c r="P381" i="14"/>
  <c r="Q381" i="14" s="1"/>
  <c r="H369" i="17"/>
  <c r="J381" i="15"/>
  <c r="K381" i="15" s="1"/>
  <c r="M381" i="15" s="1"/>
  <c r="N289" i="1"/>
  <c r="O381" i="14" l="1"/>
  <c r="D382" i="14" s="1"/>
  <c r="I369" i="17"/>
  <c r="P369" i="17" s="1"/>
  <c r="Q369" i="17" s="1"/>
  <c r="J369" i="17"/>
  <c r="K369" i="17" s="1"/>
  <c r="M369" i="17" s="1"/>
  <c r="N381" i="17" s="1"/>
  <c r="O381" i="15"/>
  <c r="D382" i="15" s="1"/>
  <c r="E382" i="15" s="1"/>
  <c r="J280" i="1"/>
  <c r="K280" i="1" s="1"/>
  <c r="P280" i="1"/>
  <c r="Q280" i="1" s="1"/>
  <c r="E382" i="14" l="1"/>
  <c r="G382" i="14"/>
  <c r="H382" i="14" s="1"/>
  <c r="O369" i="17"/>
  <c r="D370" i="17" s="1"/>
  <c r="E370" i="17" s="1"/>
  <c r="G382" i="15"/>
  <c r="H382" i="15" s="1"/>
  <c r="I382" i="15" s="1"/>
  <c r="P382" i="15" s="1"/>
  <c r="Q382" i="15" s="1"/>
  <c r="O280" i="1"/>
  <c r="D281" i="1" s="1"/>
  <c r="G281" i="1" s="1"/>
  <c r="I382" i="14" l="1"/>
  <c r="P382" i="14" s="1"/>
  <c r="Q382" i="14" s="1"/>
  <c r="J382" i="14"/>
  <c r="K382" i="14" s="1"/>
  <c r="M382" i="14" s="1"/>
  <c r="G370" i="17"/>
  <c r="H370" i="17" s="1"/>
  <c r="I370" i="17" s="1"/>
  <c r="P370" i="17" s="1"/>
  <c r="Q370" i="17" s="1"/>
  <c r="J382" i="15"/>
  <c r="K382" i="15" s="1"/>
  <c r="M382" i="15" s="1"/>
  <c r="E281" i="1"/>
  <c r="M280" i="1"/>
  <c r="O382" i="14" l="1"/>
  <c r="D383" i="14" s="1"/>
  <c r="H281" i="1"/>
  <c r="I281" i="1" s="1"/>
  <c r="J370" i="17"/>
  <c r="K370" i="17" s="1"/>
  <c r="M370" i="17" s="1"/>
  <c r="N382" i="17" s="1"/>
  <c r="O382" i="15"/>
  <c r="D383" i="15" s="1"/>
  <c r="N290" i="1"/>
  <c r="G383" i="14" l="1"/>
  <c r="E383" i="14"/>
  <c r="O370" i="17"/>
  <c r="D371" i="17" s="1"/>
  <c r="E371" i="17" s="1"/>
  <c r="G383" i="15"/>
  <c r="E383" i="15"/>
  <c r="J281" i="1"/>
  <c r="K281" i="1" s="1"/>
  <c r="P281" i="1"/>
  <c r="Q281" i="1" s="1"/>
  <c r="H383" i="14" l="1"/>
  <c r="I383" i="14" s="1"/>
  <c r="J383" i="14" s="1"/>
  <c r="K383" i="14" s="1"/>
  <c r="M383" i="14" s="1"/>
  <c r="G371" i="17"/>
  <c r="H371" i="17" s="1"/>
  <c r="I371" i="17" s="1"/>
  <c r="P371" i="17" s="1"/>
  <c r="Q371" i="17" s="1"/>
  <c r="H383" i="15"/>
  <c r="I383" i="15" s="1"/>
  <c r="P383" i="15" s="1"/>
  <c r="Q383" i="15" s="1"/>
  <c r="O281" i="1"/>
  <c r="D282" i="1" s="1"/>
  <c r="G282" i="1" s="1"/>
  <c r="O383" i="14" l="1"/>
  <c r="D384" i="14" s="1"/>
  <c r="P383" i="14"/>
  <c r="Q383" i="14" s="1"/>
  <c r="G384" i="14"/>
  <c r="E384" i="14"/>
  <c r="J371" i="17"/>
  <c r="K371" i="17" s="1"/>
  <c r="M371" i="17" s="1"/>
  <c r="N383" i="17" s="1"/>
  <c r="J383" i="15"/>
  <c r="K383" i="15" s="1"/>
  <c r="M383" i="15" s="1"/>
  <c r="E282" i="1"/>
  <c r="M281" i="1"/>
  <c r="H384" i="14" l="1"/>
  <c r="H282" i="1"/>
  <c r="I282" i="1" s="1"/>
  <c r="O371" i="17"/>
  <c r="D372" i="17" s="1"/>
  <c r="E372" i="17" s="1"/>
  <c r="G372" i="17"/>
  <c r="O383" i="15"/>
  <c r="D384" i="15" s="1"/>
  <c r="E384" i="15" s="1"/>
  <c r="N291" i="1"/>
  <c r="I384" i="14" l="1"/>
  <c r="P384" i="14"/>
  <c r="Q384" i="14" s="1"/>
  <c r="J384" i="14"/>
  <c r="K384" i="14" s="1"/>
  <c r="M384" i="14" s="1"/>
  <c r="H372" i="17"/>
  <c r="I372" i="17" s="1"/>
  <c r="P372" i="17" s="1"/>
  <c r="Q372" i="17" s="1"/>
  <c r="G384" i="15"/>
  <c r="H384" i="15" s="1"/>
  <c r="I384" i="15" s="1"/>
  <c r="J384" i="15" s="1"/>
  <c r="K384" i="15" s="1"/>
  <c r="M384" i="15" s="1"/>
  <c r="J282" i="1"/>
  <c r="K282" i="1" s="1"/>
  <c r="P282" i="1"/>
  <c r="Q282" i="1" s="1"/>
  <c r="O384" i="14" l="1"/>
  <c r="D385" i="14" s="1"/>
  <c r="J372" i="17"/>
  <c r="K372" i="17" s="1"/>
  <c r="M372" i="17" s="1"/>
  <c r="N384" i="17" s="1"/>
  <c r="O384" i="15"/>
  <c r="D385" i="15" s="1"/>
  <c r="E385" i="15" s="1"/>
  <c r="P384" i="15"/>
  <c r="Q384" i="15" s="1"/>
  <c r="O282" i="1"/>
  <c r="D283" i="1" s="1"/>
  <c r="G283" i="1" s="1"/>
  <c r="E385" i="14" l="1"/>
  <c r="G385" i="14"/>
  <c r="H385" i="14" s="1"/>
  <c r="O372" i="17"/>
  <c r="D373" i="17" s="1"/>
  <c r="E373" i="17" s="1"/>
  <c r="G385" i="15"/>
  <c r="H385" i="15" s="1"/>
  <c r="I385" i="15" s="1"/>
  <c r="J385" i="15" s="1"/>
  <c r="K385" i="15" s="1"/>
  <c r="M385" i="15" s="1"/>
  <c r="N18" i="15" s="1"/>
  <c r="P18" i="15" s="1"/>
  <c r="Q18" i="15" s="1"/>
  <c r="M3" i="16" s="1"/>
  <c r="E283" i="1"/>
  <c r="M282" i="1"/>
  <c r="I385" i="14" l="1"/>
  <c r="J385" i="14" s="1"/>
  <c r="K385" i="14" s="1"/>
  <c r="M385" i="14" s="1"/>
  <c r="N18" i="14" s="1"/>
  <c r="P18" i="14" s="1"/>
  <c r="Q18" i="14" s="1"/>
  <c r="H283" i="1"/>
  <c r="I283" i="1" s="1"/>
  <c r="G373" i="17"/>
  <c r="H373" i="17"/>
  <c r="I373" i="17" s="1"/>
  <c r="P373" i="17" s="1"/>
  <c r="Q373" i="17" s="1"/>
  <c r="P385" i="15"/>
  <c r="Q385" i="15" s="1"/>
  <c r="M2" i="15" s="1"/>
  <c r="M4" i="15" s="1"/>
  <c r="O385" i="15"/>
  <c r="N292" i="1"/>
  <c r="M3" i="13" l="1"/>
  <c r="M2" i="14"/>
  <c r="M4" i="14" s="1"/>
  <c r="O385" i="14"/>
  <c r="P385" i="14"/>
  <c r="Q385" i="14" s="1"/>
  <c r="M5" i="15"/>
  <c r="J373" i="17"/>
  <c r="K373" i="17" s="1"/>
  <c r="M373" i="17" s="1"/>
  <c r="N385" i="17" s="1"/>
  <c r="M8" i="15"/>
  <c r="P283" i="1"/>
  <c r="Q283" i="1" s="1"/>
  <c r="J283" i="1"/>
  <c r="K283" i="1" s="1"/>
  <c r="M5" i="14" l="1"/>
  <c r="M8" i="14"/>
  <c r="M9" i="15"/>
  <c r="O373" i="17"/>
  <c r="D374" i="17" s="1"/>
  <c r="G374" i="17" s="1"/>
  <c r="O283" i="1"/>
  <c r="D284" i="1" s="1"/>
  <c r="G284" i="1" s="1"/>
  <c r="M9" i="14" l="1"/>
  <c r="E374" i="17"/>
  <c r="H374" i="17"/>
  <c r="E284" i="1"/>
  <c r="M283" i="1"/>
  <c r="H284" i="1" l="1"/>
  <c r="I284" i="1" s="1"/>
  <c r="I374" i="17"/>
  <c r="P374" i="17" s="1"/>
  <c r="Q374" i="17" s="1"/>
  <c r="N293" i="1"/>
  <c r="J374" i="17" l="1"/>
  <c r="K374" i="17" s="1"/>
  <c r="M374" i="17" s="1"/>
  <c r="J284" i="1"/>
  <c r="K284" i="1" s="1"/>
  <c r="P284" i="1"/>
  <c r="Q284" i="1" s="1"/>
  <c r="O374" i="17" l="1"/>
  <c r="D375" i="17" s="1"/>
  <c r="E375" i="17"/>
  <c r="G375" i="17"/>
  <c r="H375" i="17" s="1"/>
  <c r="I375" i="17" s="1"/>
  <c r="P375" i="17" s="1"/>
  <c r="Q375" i="17" s="1"/>
  <c r="O284" i="1"/>
  <c r="D285" i="1" s="1"/>
  <c r="G285" i="1" s="1"/>
  <c r="J375" i="17" l="1"/>
  <c r="K375" i="17" s="1"/>
  <c r="M375" i="17" s="1"/>
  <c r="E285" i="1"/>
  <c r="M284" i="1"/>
  <c r="H285" i="1" l="1"/>
  <c r="I285" i="1" s="1"/>
  <c r="O375" i="17"/>
  <c r="D376" i="17" s="1"/>
  <c r="G376" i="17" s="1"/>
  <c r="E376" i="17"/>
  <c r="N294" i="1"/>
  <c r="H376" i="17" l="1"/>
  <c r="J285" i="1"/>
  <c r="K285" i="1" s="1"/>
  <c r="P285" i="1"/>
  <c r="Q285" i="1" s="1"/>
  <c r="I376" i="17" l="1"/>
  <c r="P376" i="17" s="1"/>
  <c r="Q376" i="17" s="1"/>
  <c r="J376" i="17"/>
  <c r="K376" i="17" s="1"/>
  <c r="M376" i="17" s="1"/>
  <c r="O285" i="1"/>
  <c r="D286" i="1" s="1"/>
  <c r="G286" i="1" s="1"/>
  <c r="O376" i="17" l="1"/>
  <c r="D377" i="17" s="1"/>
  <c r="E286" i="1"/>
  <c r="M285" i="1"/>
  <c r="H286" i="1" l="1"/>
  <c r="I286" i="1" s="1"/>
  <c r="E377" i="17"/>
  <c r="G377" i="17"/>
  <c r="H377" i="17" s="1"/>
  <c r="I377" i="17" s="1"/>
  <c r="J377" i="17" s="1"/>
  <c r="K377" i="17" s="1"/>
  <c r="M377" i="17" s="1"/>
  <c r="N295" i="1"/>
  <c r="O377" i="17" l="1"/>
  <c r="D378" i="17" s="1"/>
  <c r="P377" i="17"/>
  <c r="Q377" i="17" s="1"/>
  <c r="J286" i="1"/>
  <c r="K286" i="1" s="1"/>
  <c r="P286" i="1"/>
  <c r="Q286" i="1" s="1"/>
  <c r="E378" i="17" l="1"/>
  <c r="G378" i="17"/>
  <c r="H378" i="17" s="1"/>
  <c r="O286" i="1"/>
  <c r="D287" i="1" s="1"/>
  <c r="G287" i="1" s="1"/>
  <c r="I378" i="17" l="1"/>
  <c r="P378" i="17" s="1"/>
  <c r="Q378" i="17" s="1"/>
  <c r="E287" i="1"/>
  <c r="M286" i="1"/>
  <c r="H287" i="1" l="1"/>
  <c r="I287" i="1" s="1"/>
  <c r="J378" i="17"/>
  <c r="K378" i="17" s="1"/>
  <c r="M378" i="17" s="1"/>
  <c r="N296" i="1"/>
  <c r="O378" i="17" l="1"/>
  <c r="D379" i="17" s="1"/>
  <c r="G379" i="17" s="1"/>
  <c r="H379" i="17" s="1"/>
  <c r="I379" i="17" s="1"/>
  <c r="P287" i="1"/>
  <c r="Q287" i="1" s="1"/>
  <c r="J287" i="1"/>
  <c r="K287" i="1" s="1"/>
  <c r="E379" i="17" l="1"/>
  <c r="P379" i="17" s="1"/>
  <c r="Q379" i="17" s="1"/>
  <c r="J379" i="17"/>
  <c r="K379" i="17" s="1"/>
  <c r="M379" i="17" s="1"/>
  <c r="O287" i="1"/>
  <c r="D288" i="1" s="1"/>
  <c r="G288" i="1" s="1"/>
  <c r="O379" i="17" l="1"/>
  <c r="D380" i="17" s="1"/>
  <c r="E288" i="1"/>
  <c r="M287" i="1"/>
  <c r="H288" i="1" l="1"/>
  <c r="I288" i="1" s="1"/>
  <c r="E380" i="17"/>
  <c r="G380" i="17"/>
  <c r="H380" i="17" s="1"/>
  <c r="N297" i="1"/>
  <c r="I380" i="17" l="1"/>
  <c r="J380" i="17" s="1"/>
  <c r="K380" i="17" s="1"/>
  <c r="M380" i="17" s="1"/>
  <c r="J288" i="1"/>
  <c r="K288" i="1" s="1"/>
  <c r="P288" i="1"/>
  <c r="Q288" i="1" s="1"/>
  <c r="P380" i="17" l="1"/>
  <c r="Q380" i="17" s="1"/>
  <c r="O380" i="17"/>
  <c r="D381" i="17" s="1"/>
  <c r="O288" i="1"/>
  <c r="D289" i="1" s="1"/>
  <c r="G289" i="1" s="1"/>
  <c r="E381" i="17" l="1"/>
  <c r="G381" i="17"/>
  <c r="H381" i="17" s="1"/>
  <c r="I381" i="17" s="1"/>
  <c r="J381" i="17" s="1"/>
  <c r="K381" i="17" s="1"/>
  <c r="M381" i="17" s="1"/>
  <c r="E289" i="1"/>
  <c r="M288" i="1"/>
  <c r="H289" i="1" l="1"/>
  <c r="I289" i="1" s="1"/>
  <c r="O381" i="17"/>
  <c r="D382" i="17" s="1"/>
  <c r="P381" i="17"/>
  <c r="Q381" i="17" s="1"/>
  <c r="N298" i="1"/>
  <c r="G382" i="17" l="1"/>
  <c r="E382" i="17"/>
  <c r="P289" i="1"/>
  <c r="Q289" i="1" s="1"/>
  <c r="J289" i="1"/>
  <c r="K289" i="1" s="1"/>
  <c r="H382" i="17" l="1"/>
  <c r="O289" i="1"/>
  <c r="D290" i="1" s="1"/>
  <c r="G290" i="1" s="1"/>
  <c r="I382" i="17" l="1"/>
  <c r="J382" i="17" s="1"/>
  <c r="K382" i="17" s="1"/>
  <c r="M382" i="17" s="1"/>
  <c r="E290" i="1"/>
  <c r="M289" i="1"/>
  <c r="H290" i="1" l="1"/>
  <c r="I290" i="1" s="1"/>
  <c r="O382" i="17"/>
  <c r="D383" i="17" s="1"/>
  <c r="E383" i="17" s="1"/>
  <c r="P382" i="17"/>
  <c r="Q382" i="17" s="1"/>
  <c r="G383" i="17"/>
  <c r="N299" i="1"/>
  <c r="H383" i="17" l="1"/>
  <c r="J290" i="1"/>
  <c r="K290" i="1" s="1"/>
  <c r="P290" i="1"/>
  <c r="Q290" i="1" s="1"/>
  <c r="I383" i="17" l="1"/>
  <c r="P383" i="17" s="1"/>
  <c r="Q383" i="17" s="1"/>
  <c r="J383" i="17"/>
  <c r="K383" i="17" s="1"/>
  <c r="M383" i="17" s="1"/>
  <c r="O290" i="1"/>
  <c r="D291" i="1" s="1"/>
  <c r="G291" i="1" s="1"/>
  <c r="O383" i="17" l="1"/>
  <c r="D384" i="17" s="1"/>
  <c r="E384" i="17" s="1"/>
  <c r="G384" i="17"/>
  <c r="H384" i="17" s="1"/>
  <c r="E291" i="1"/>
  <c r="M290" i="1"/>
  <c r="H291" i="1" l="1"/>
  <c r="I291" i="1" s="1"/>
  <c r="I384" i="17"/>
  <c r="P384" i="17" s="1"/>
  <c r="Q384" i="17" s="1"/>
  <c r="N300" i="1"/>
  <c r="J384" i="17" l="1"/>
  <c r="K384" i="17" s="1"/>
  <c r="M384" i="17" s="1"/>
  <c r="P291" i="1"/>
  <c r="Q291" i="1" s="1"/>
  <c r="J291" i="1"/>
  <c r="K291" i="1" s="1"/>
  <c r="O384" i="17" l="1"/>
  <c r="D385" i="17" s="1"/>
  <c r="G385" i="17"/>
  <c r="E385" i="17"/>
  <c r="O291" i="1"/>
  <c r="D292" i="1" s="1"/>
  <c r="G292" i="1" s="1"/>
  <c r="H385" i="17" l="1"/>
  <c r="E292" i="1"/>
  <c r="M291" i="1"/>
  <c r="H292" i="1" l="1"/>
  <c r="I292" i="1" s="1"/>
  <c r="I385" i="17"/>
  <c r="P385" i="17" s="1"/>
  <c r="Q385" i="17" s="1"/>
  <c r="J385" i="17"/>
  <c r="K385" i="17" s="1"/>
  <c r="M385" i="17" s="1"/>
  <c r="N18" i="17" s="1"/>
  <c r="P18" i="17" s="1"/>
  <c r="Q18" i="17" s="1"/>
  <c r="N301" i="1"/>
  <c r="M2" i="17" l="1"/>
  <c r="M3" i="18"/>
  <c r="O385" i="17"/>
  <c r="P292" i="1"/>
  <c r="Q292" i="1" s="1"/>
  <c r="J292" i="1"/>
  <c r="K292" i="1" s="1"/>
  <c r="M4" i="17" l="1"/>
  <c r="M5" i="17"/>
  <c r="O292" i="1"/>
  <c r="D293" i="1" s="1"/>
  <c r="G293" i="1" s="1"/>
  <c r="M8" i="17" l="1"/>
  <c r="M9" i="17" s="1"/>
  <c r="E293" i="1"/>
  <c r="M292" i="1"/>
  <c r="H293" i="1" l="1"/>
  <c r="I293" i="1" s="1"/>
  <c r="N302" i="1"/>
  <c r="J293" i="1" l="1"/>
  <c r="K293" i="1" s="1"/>
  <c r="P293" i="1"/>
  <c r="Q293" i="1" s="1"/>
  <c r="O293" i="1" l="1"/>
  <c r="D294" i="1" s="1"/>
  <c r="G294" i="1" s="1"/>
  <c r="E294" i="1" l="1"/>
  <c r="M293" i="1"/>
  <c r="H294" i="1" l="1"/>
  <c r="I294" i="1" s="1"/>
  <c r="N303" i="1"/>
  <c r="J294" i="1" l="1"/>
  <c r="K294" i="1" s="1"/>
  <c r="P294" i="1"/>
  <c r="Q294" i="1" s="1"/>
  <c r="O294" i="1" l="1"/>
  <c r="D295" i="1" s="1"/>
  <c r="G295" i="1" s="1"/>
  <c r="E295" i="1" l="1"/>
  <c r="M294" i="1"/>
  <c r="H295" i="1" l="1"/>
  <c r="I295" i="1" s="1"/>
  <c r="N304" i="1"/>
  <c r="J295" i="1" l="1"/>
  <c r="K295" i="1" s="1"/>
  <c r="P295" i="1"/>
  <c r="Q295" i="1" s="1"/>
  <c r="O295" i="1" l="1"/>
  <c r="D296" i="1" s="1"/>
  <c r="G296" i="1" s="1"/>
  <c r="E296" i="1" l="1"/>
  <c r="M295" i="1"/>
  <c r="H296" i="1" l="1"/>
  <c r="I296" i="1" s="1"/>
  <c r="N305" i="1"/>
  <c r="J296" i="1" l="1"/>
  <c r="K296" i="1" s="1"/>
  <c r="P296" i="1"/>
  <c r="Q296" i="1" s="1"/>
  <c r="O296" i="1" l="1"/>
  <c r="D297" i="1" s="1"/>
  <c r="G297" i="1" s="1"/>
  <c r="E297" i="1" l="1"/>
  <c r="M296" i="1"/>
  <c r="H297" i="1" l="1"/>
  <c r="I297" i="1" s="1"/>
  <c r="N306" i="1"/>
  <c r="P297" i="1" l="1"/>
  <c r="Q297" i="1" s="1"/>
  <c r="J297" i="1"/>
  <c r="K297" i="1" s="1"/>
  <c r="O297" i="1" l="1"/>
  <c r="D298" i="1" s="1"/>
  <c r="G298" i="1" s="1"/>
  <c r="E298" i="1" l="1"/>
  <c r="M297" i="1"/>
  <c r="H298" i="1" l="1"/>
  <c r="I298" i="1" s="1"/>
  <c r="N307" i="1"/>
  <c r="J298" i="1" l="1"/>
  <c r="K298" i="1" s="1"/>
  <c r="P298" i="1"/>
  <c r="Q298" i="1" s="1"/>
  <c r="O298" i="1" l="1"/>
  <c r="D299" i="1" s="1"/>
  <c r="G299" i="1" s="1"/>
  <c r="E299" i="1" l="1"/>
  <c r="M298" i="1"/>
  <c r="H299" i="1" l="1"/>
  <c r="I299" i="1" s="1"/>
  <c r="N308" i="1"/>
  <c r="P299" i="1" l="1"/>
  <c r="Q299" i="1" s="1"/>
  <c r="J299" i="1"/>
  <c r="K299" i="1" s="1"/>
  <c r="O299" i="1" l="1"/>
  <c r="D300" i="1" s="1"/>
  <c r="G300" i="1" s="1"/>
  <c r="E300" i="1" l="1"/>
  <c r="M299" i="1"/>
  <c r="H300" i="1" l="1"/>
  <c r="I300" i="1" s="1"/>
  <c r="N309" i="1"/>
  <c r="J300" i="1" l="1"/>
  <c r="K300" i="1" s="1"/>
  <c r="P300" i="1"/>
  <c r="Q300" i="1" s="1"/>
  <c r="O300" i="1" l="1"/>
  <c r="D301" i="1" s="1"/>
  <c r="G301" i="1" s="1"/>
  <c r="E301" i="1" l="1"/>
  <c r="M300" i="1"/>
  <c r="H301" i="1" l="1"/>
  <c r="I301" i="1" s="1"/>
  <c r="N310" i="1"/>
  <c r="J301" i="1" l="1"/>
  <c r="K301" i="1" s="1"/>
  <c r="P301" i="1"/>
  <c r="Q301" i="1" s="1"/>
  <c r="O301" i="1" l="1"/>
  <c r="D302" i="1" s="1"/>
  <c r="G302" i="1" s="1"/>
  <c r="E302" i="1" l="1"/>
  <c r="M301" i="1"/>
  <c r="H302" i="1" l="1"/>
  <c r="I302" i="1" s="1"/>
  <c r="N311" i="1"/>
  <c r="J302" i="1" l="1"/>
  <c r="K302" i="1" s="1"/>
  <c r="P302" i="1"/>
  <c r="Q302" i="1" s="1"/>
  <c r="O302" i="1" l="1"/>
  <c r="D303" i="1" s="1"/>
  <c r="G303" i="1" s="1"/>
  <c r="E303" i="1" l="1"/>
  <c r="M302" i="1"/>
  <c r="H303" i="1" l="1"/>
  <c r="I303" i="1" s="1"/>
  <c r="N312" i="1"/>
  <c r="J303" i="1" l="1"/>
  <c r="K303" i="1" s="1"/>
  <c r="P303" i="1"/>
  <c r="Q303" i="1" s="1"/>
  <c r="O303" i="1" l="1"/>
  <c r="D304" i="1" s="1"/>
  <c r="G304" i="1" s="1"/>
  <c r="E304" i="1" l="1"/>
  <c r="M303" i="1"/>
  <c r="H304" i="1" l="1"/>
  <c r="I304" i="1" s="1"/>
  <c r="N313" i="1"/>
  <c r="P304" i="1" l="1"/>
  <c r="Q304" i="1" s="1"/>
  <c r="J304" i="1"/>
  <c r="K304" i="1" s="1"/>
  <c r="O304" i="1" l="1"/>
  <c r="D305" i="1" s="1"/>
  <c r="G305" i="1" s="1"/>
  <c r="E305" i="1" l="1"/>
  <c r="M304" i="1"/>
  <c r="H305" i="1" l="1"/>
  <c r="I305" i="1" s="1"/>
  <c r="N314" i="1"/>
  <c r="J305" i="1" l="1"/>
  <c r="K305" i="1" s="1"/>
  <c r="P305" i="1"/>
  <c r="Q305" i="1" s="1"/>
  <c r="O305" i="1" l="1"/>
  <c r="D306" i="1" s="1"/>
  <c r="G306" i="1" s="1"/>
  <c r="E306" i="1" l="1"/>
  <c r="M305" i="1"/>
  <c r="H306" i="1" l="1"/>
  <c r="I306" i="1" s="1"/>
  <c r="N315" i="1"/>
  <c r="J306" i="1" l="1"/>
  <c r="K306" i="1" s="1"/>
  <c r="P306" i="1"/>
  <c r="Q306" i="1" s="1"/>
  <c r="O306" i="1" l="1"/>
  <c r="D307" i="1" s="1"/>
  <c r="G307" i="1" s="1"/>
  <c r="E307" i="1" l="1"/>
  <c r="M306" i="1"/>
  <c r="H307" i="1" l="1"/>
  <c r="I307" i="1" s="1"/>
  <c r="N316" i="1"/>
  <c r="P307" i="1" l="1"/>
  <c r="Q307" i="1" s="1"/>
  <c r="J307" i="1"/>
  <c r="K307" i="1" s="1"/>
  <c r="O307" i="1" l="1"/>
  <c r="D308" i="1" s="1"/>
  <c r="G308" i="1" s="1"/>
  <c r="E308" i="1" l="1"/>
  <c r="M307" i="1"/>
  <c r="H308" i="1" l="1"/>
  <c r="I308" i="1" s="1"/>
  <c r="N317" i="1"/>
  <c r="J308" i="1" l="1"/>
  <c r="K308" i="1" s="1"/>
  <c r="P308" i="1"/>
  <c r="Q308" i="1" s="1"/>
  <c r="O308" i="1" l="1"/>
  <c r="D309" i="1" s="1"/>
  <c r="G309" i="1" s="1"/>
  <c r="E309" i="1" l="1"/>
  <c r="M308" i="1"/>
  <c r="H309" i="1" l="1"/>
  <c r="I309" i="1" s="1"/>
  <c r="N318" i="1"/>
  <c r="J309" i="1" l="1"/>
  <c r="K309" i="1" s="1"/>
  <c r="P309" i="1"/>
  <c r="Q309" i="1" s="1"/>
  <c r="O309" i="1" l="1"/>
  <c r="D310" i="1" s="1"/>
  <c r="G310" i="1" s="1"/>
  <c r="E310" i="1" l="1"/>
  <c r="M309" i="1"/>
  <c r="H310" i="1" l="1"/>
  <c r="I310" i="1" s="1"/>
  <c r="N319" i="1"/>
  <c r="J310" i="1" l="1"/>
  <c r="K310" i="1" s="1"/>
  <c r="P310" i="1"/>
  <c r="Q310" i="1" s="1"/>
  <c r="O310" i="1" l="1"/>
  <c r="D311" i="1" s="1"/>
  <c r="G311" i="1" s="1"/>
  <c r="E311" i="1" l="1"/>
  <c r="M310" i="1"/>
  <c r="H311" i="1" l="1"/>
  <c r="I311" i="1" s="1"/>
  <c r="N320" i="1"/>
  <c r="J311" i="1" l="1"/>
  <c r="K311" i="1" s="1"/>
  <c r="P311" i="1"/>
  <c r="Q311" i="1" s="1"/>
  <c r="O311" i="1" l="1"/>
  <c r="D312" i="1" s="1"/>
  <c r="G312" i="1" s="1"/>
  <c r="E312" i="1" l="1"/>
  <c r="M311" i="1"/>
  <c r="H312" i="1" l="1"/>
  <c r="I312" i="1" s="1"/>
  <c r="N321" i="1"/>
  <c r="P312" i="1" l="1"/>
  <c r="Q312" i="1" s="1"/>
  <c r="J312" i="1"/>
  <c r="K312" i="1" s="1"/>
  <c r="O312" i="1" l="1"/>
  <c r="D313" i="1" s="1"/>
  <c r="G313" i="1" s="1"/>
  <c r="E313" i="1" l="1"/>
  <c r="M312" i="1"/>
  <c r="H313" i="1" l="1"/>
  <c r="I313" i="1" s="1"/>
  <c r="N322" i="1"/>
  <c r="P313" i="1" l="1"/>
  <c r="Q313" i="1" s="1"/>
  <c r="J313" i="1"/>
  <c r="K313" i="1" s="1"/>
  <c r="O313" i="1" l="1"/>
  <c r="D314" i="1" s="1"/>
  <c r="G314" i="1" s="1"/>
  <c r="E314" i="1" l="1"/>
  <c r="M313" i="1"/>
  <c r="H314" i="1" l="1"/>
  <c r="I314" i="1" s="1"/>
  <c r="N323" i="1"/>
  <c r="P314" i="1" l="1"/>
  <c r="Q314" i="1" s="1"/>
  <c r="J314" i="1"/>
  <c r="K314" i="1" s="1"/>
  <c r="O314" i="1" l="1"/>
  <c r="D315" i="1" s="1"/>
  <c r="G315" i="1" s="1"/>
  <c r="E315" i="1" l="1"/>
  <c r="M314" i="1"/>
  <c r="H315" i="1" l="1"/>
  <c r="I315" i="1" s="1"/>
  <c r="N324" i="1"/>
  <c r="J315" i="1" l="1"/>
  <c r="K315" i="1" s="1"/>
  <c r="P315" i="1"/>
  <c r="Q315" i="1" s="1"/>
  <c r="O315" i="1" l="1"/>
  <c r="D316" i="1" s="1"/>
  <c r="G316" i="1" s="1"/>
  <c r="E316" i="1" l="1"/>
  <c r="M315" i="1"/>
  <c r="H316" i="1" l="1"/>
  <c r="I316" i="1" s="1"/>
  <c r="N325" i="1"/>
  <c r="J316" i="1" l="1"/>
  <c r="K316" i="1" s="1"/>
  <c r="P316" i="1"/>
  <c r="Q316" i="1" s="1"/>
  <c r="O316" i="1" l="1"/>
  <c r="D317" i="1" s="1"/>
  <c r="G317" i="1" s="1"/>
  <c r="E317" i="1" l="1"/>
  <c r="M316" i="1"/>
  <c r="H317" i="1" l="1"/>
  <c r="I317" i="1" s="1"/>
  <c r="N326" i="1"/>
  <c r="J317" i="1" l="1"/>
  <c r="K317" i="1" s="1"/>
  <c r="P317" i="1"/>
  <c r="Q317" i="1" s="1"/>
  <c r="O317" i="1" l="1"/>
  <c r="D318" i="1" s="1"/>
  <c r="G318" i="1" s="1"/>
  <c r="E318" i="1" l="1"/>
  <c r="M317" i="1"/>
  <c r="H318" i="1" l="1"/>
  <c r="I318" i="1" s="1"/>
  <c r="N327" i="1"/>
  <c r="J318" i="1" l="1"/>
  <c r="K318" i="1" s="1"/>
  <c r="P318" i="1"/>
  <c r="Q318" i="1" s="1"/>
  <c r="O318" i="1" l="1"/>
  <c r="D319" i="1" s="1"/>
  <c r="G319" i="1" s="1"/>
  <c r="E319" i="1" l="1"/>
  <c r="M318" i="1"/>
  <c r="H319" i="1" l="1"/>
  <c r="I319" i="1" s="1"/>
  <c r="N328" i="1"/>
  <c r="P319" i="1" l="1"/>
  <c r="Q319" i="1" s="1"/>
  <c r="J319" i="1"/>
  <c r="K319" i="1" s="1"/>
  <c r="O319" i="1" l="1"/>
  <c r="D320" i="1" s="1"/>
  <c r="G320" i="1" s="1"/>
  <c r="E320" i="1" l="1"/>
  <c r="M319" i="1"/>
  <c r="H320" i="1" l="1"/>
  <c r="I320" i="1" s="1"/>
  <c r="N329" i="1"/>
  <c r="P320" i="1" l="1"/>
  <c r="Q320" i="1" s="1"/>
  <c r="J320" i="1"/>
  <c r="K320" i="1" s="1"/>
  <c r="O320" i="1" l="1"/>
  <c r="D321" i="1" s="1"/>
  <c r="G321" i="1" s="1"/>
  <c r="E321" i="1" l="1"/>
  <c r="M320" i="1"/>
  <c r="H321" i="1" l="1"/>
  <c r="I321" i="1" s="1"/>
  <c r="N330" i="1"/>
  <c r="J321" i="1" l="1"/>
  <c r="K321" i="1" s="1"/>
  <c r="P321" i="1"/>
  <c r="Q321" i="1" s="1"/>
  <c r="O321" i="1" l="1"/>
  <c r="D322" i="1" s="1"/>
  <c r="G322" i="1" s="1"/>
  <c r="E322" i="1" l="1"/>
  <c r="M321" i="1"/>
  <c r="H322" i="1" l="1"/>
  <c r="I322" i="1" s="1"/>
  <c r="N331" i="1"/>
  <c r="J322" i="1" l="1"/>
  <c r="K322" i="1" s="1"/>
  <c r="P322" i="1"/>
  <c r="Q322" i="1" s="1"/>
  <c r="O322" i="1" l="1"/>
  <c r="D323" i="1" s="1"/>
  <c r="G323" i="1" s="1"/>
  <c r="E323" i="1" l="1"/>
  <c r="M322" i="1"/>
  <c r="H323" i="1" l="1"/>
  <c r="I323" i="1" s="1"/>
  <c r="N332" i="1"/>
  <c r="J323" i="1" l="1"/>
  <c r="K323" i="1" s="1"/>
  <c r="P323" i="1"/>
  <c r="Q323" i="1" s="1"/>
  <c r="O323" i="1" l="1"/>
  <c r="D324" i="1" s="1"/>
  <c r="G324" i="1" s="1"/>
  <c r="E324" i="1" l="1"/>
  <c r="M323" i="1"/>
  <c r="H324" i="1" l="1"/>
  <c r="I324" i="1" s="1"/>
  <c r="N333" i="1"/>
  <c r="J324" i="1" l="1"/>
  <c r="K324" i="1" s="1"/>
  <c r="P324" i="1"/>
  <c r="Q324" i="1" s="1"/>
  <c r="O324" i="1" l="1"/>
  <c r="D325" i="1" s="1"/>
  <c r="G325" i="1" s="1"/>
  <c r="E325" i="1" l="1"/>
  <c r="M324" i="1"/>
  <c r="H325" i="1" l="1"/>
  <c r="I325" i="1" s="1"/>
  <c r="N334" i="1"/>
  <c r="J325" i="1" l="1"/>
  <c r="K325" i="1" s="1"/>
  <c r="P325" i="1"/>
  <c r="Q325" i="1" s="1"/>
  <c r="O325" i="1" l="1"/>
  <c r="D326" i="1" s="1"/>
  <c r="G326" i="1" s="1"/>
  <c r="E326" i="1" l="1"/>
  <c r="M325" i="1"/>
  <c r="H326" i="1" l="1"/>
  <c r="I326" i="1" s="1"/>
  <c r="N335" i="1"/>
  <c r="J326" i="1" l="1"/>
  <c r="K326" i="1" s="1"/>
  <c r="P326" i="1"/>
  <c r="Q326" i="1" s="1"/>
  <c r="O326" i="1" l="1"/>
  <c r="D327" i="1" s="1"/>
  <c r="G327" i="1" s="1"/>
  <c r="E327" i="1" l="1"/>
  <c r="M326" i="1"/>
  <c r="H327" i="1" l="1"/>
  <c r="I327" i="1" s="1"/>
  <c r="N336" i="1"/>
  <c r="J327" i="1" l="1"/>
  <c r="K327" i="1" s="1"/>
  <c r="P327" i="1"/>
  <c r="Q327" i="1" s="1"/>
  <c r="O327" i="1" l="1"/>
  <c r="D328" i="1" s="1"/>
  <c r="G328" i="1" s="1"/>
  <c r="E328" i="1" l="1"/>
  <c r="M327" i="1"/>
  <c r="H328" i="1" l="1"/>
  <c r="I328" i="1" s="1"/>
  <c r="N337" i="1"/>
  <c r="J328" i="1" l="1"/>
  <c r="K328" i="1" s="1"/>
  <c r="P328" i="1"/>
  <c r="Q328" i="1" s="1"/>
  <c r="O328" i="1" l="1"/>
  <c r="D329" i="1" s="1"/>
  <c r="G329" i="1" s="1"/>
  <c r="E329" i="1" l="1"/>
  <c r="M328" i="1"/>
  <c r="H329" i="1" l="1"/>
  <c r="I329" i="1" s="1"/>
  <c r="N338" i="1"/>
  <c r="J329" i="1" l="1"/>
  <c r="K329" i="1" s="1"/>
  <c r="P329" i="1"/>
  <c r="Q329" i="1" s="1"/>
  <c r="O329" i="1" l="1"/>
  <c r="D330" i="1" s="1"/>
  <c r="G330" i="1" s="1"/>
  <c r="E330" i="1" l="1"/>
  <c r="M329" i="1"/>
  <c r="H330" i="1" l="1"/>
  <c r="I330" i="1" s="1"/>
  <c r="N339" i="1"/>
  <c r="J330" i="1" l="1"/>
  <c r="K330" i="1" s="1"/>
  <c r="P330" i="1"/>
  <c r="Q330" i="1" s="1"/>
  <c r="O330" i="1" l="1"/>
  <c r="D331" i="1" s="1"/>
  <c r="G331" i="1" s="1"/>
  <c r="E331" i="1" l="1"/>
  <c r="M330" i="1"/>
  <c r="H331" i="1" l="1"/>
  <c r="I331" i="1" s="1"/>
  <c r="N340" i="1"/>
  <c r="P331" i="1" l="1"/>
  <c r="Q331" i="1" s="1"/>
  <c r="J331" i="1"/>
  <c r="K331" i="1" s="1"/>
  <c r="O331" i="1" l="1"/>
  <c r="D332" i="1" s="1"/>
  <c r="G332" i="1" s="1"/>
  <c r="E332" i="1" l="1"/>
  <c r="M331" i="1"/>
  <c r="H332" i="1" l="1"/>
  <c r="I332" i="1" s="1"/>
  <c r="N341" i="1"/>
  <c r="J332" i="1" l="1"/>
  <c r="K332" i="1" s="1"/>
  <c r="P332" i="1"/>
  <c r="Q332" i="1" s="1"/>
  <c r="O332" i="1" l="1"/>
  <c r="D333" i="1" s="1"/>
  <c r="G333" i="1" s="1"/>
  <c r="E333" i="1" l="1"/>
  <c r="M332" i="1"/>
  <c r="H333" i="1" l="1"/>
  <c r="I333" i="1" s="1"/>
  <c r="N342" i="1"/>
  <c r="J333" i="1" l="1"/>
  <c r="K333" i="1" s="1"/>
  <c r="P333" i="1"/>
  <c r="Q333" i="1" s="1"/>
  <c r="O333" i="1" l="1"/>
  <c r="D334" i="1" s="1"/>
  <c r="G334" i="1" s="1"/>
  <c r="E334" i="1" l="1"/>
  <c r="M333" i="1"/>
  <c r="H334" i="1" l="1"/>
  <c r="I334" i="1" s="1"/>
  <c r="N343" i="1"/>
  <c r="J334" i="1" l="1"/>
  <c r="K334" i="1" s="1"/>
  <c r="P334" i="1"/>
  <c r="Q334" i="1" s="1"/>
  <c r="O334" i="1" l="1"/>
  <c r="D335" i="1" s="1"/>
  <c r="G335" i="1" s="1"/>
  <c r="E335" i="1" l="1"/>
  <c r="M334" i="1"/>
  <c r="H335" i="1" l="1"/>
  <c r="I335" i="1" s="1"/>
  <c r="N344" i="1"/>
  <c r="P335" i="1" l="1"/>
  <c r="Q335" i="1" s="1"/>
  <c r="J335" i="1"/>
  <c r="K335" i="1" s="1"/>
  <c r="O335" i="1" l="1"/>
  <c r="D336" i="1" s="1"/>
  <c r="G336" i="1" s="1"/>
  <c r="E336" i="1" l="1"/>
  <c r="M335" i="1"/>
  <c r="H336" i="1" l="1"/>
  <c r="I336" i="1" s="1"/>
  <c r="N345" i="1"/>
  <c r="J336" i="1" l="1"/>
  <c r="K336" i="1" s="1"/>
  <c r="P336" i="1"/>
  <c r="Q336" i="1" s="1"/>
  <c r="O336" i="1" l="1"/>
  <c r="D337" i="1" s="1"/>
  <c r="G337" i="1" s="1"/>
  <c r="E337" i="1" l="1"/>
  <c r="M336" i="1"/>
  <c r="H337" i="1" l="1"/>
  <c r="I337" i="1" s="1"/>
  <c r="N346" i="1"/>
  <c r="P337" i="1" l="1"/>
  <c r="Q337" i="1" s="1"/>
  <c r="J337" i="1"/>
  <c r="K337" i="1" s="1"/>
  <c r="O337" i="1" l="1"/>
  <c r="D338" i="1" s="1"/>
  <c r="G338" i="1" s="1"/>
  <c r="E338" i="1" l="1"/>
  <c r="M337" i="1"/>
  <c r="H338" i="1" l="1"/>
  <c r="I338" i="1" s="1"/>
  <c r="N347" i="1"/>
  <c r="J338" i="1" l="1"/>
  <c r="K338" i="1" s="1"/>
  <c r="P338" i="1"/>
  <c r="Q338" i="1" s="1"/>
  <c r="O338" i="1" l="1"/>
  <c r="D339" i="1" s="1"/>
  <c r="G339" i="1" s="1"/>
  <c r="E339" i="1" l="1"/>
  <c r="M338" i="1"/>
  <c r="H339" i="1" l="1"/>
  <c r="I339" i="1" s="1"/>
  <c r="N348" i="1"/>
  <c r="P339" i="1" l="1"/>
  <c r="Q339" i="1" s="1"/>
  <c r="J339" i="1"/>
  <c r="K339" i="1" s="1"/>
  <c r="O339" i="1" l="1"/>
  <c r="D340" i="1" s="1"/>
  <c r="G340" i="1" s="1"/>
  <c r="E340" i="1" l="1"/>
  <c r="M339" i="1"/>
  <c r="H340" i="1" l="1"/>
  <c r="I340" i="1" s="1"/>
  <c r="N349" i="1"/>
  <c r="J340" i="1" l="1"/>
  <c r="K340" i="1" s="1"/>
  <c r="P340" i="1"/>
  <c r="Q340" i="1" s="1"/>
  <c r="O340" i="1" l="1"/>
  <c r="D341" i="1" s="1"/>
  <c r="G341" i="1" s="1"/>
  <c r="E341" i="1" l="1"/>
  <c r="M340" i="1"/>
  <c r="H341" i="1" l="1"/>
  <c r="I341" i="1" s="1"/>
  <c r="N350" i="1"/>
  <c r="J341" i="1" l="1"/>
  <c r="K341" i="1" s="1"/>
  <c r="P341" i="1"/>
  <c r="Q341" i="1" s="1"/>
  <c r="O341" i="1" l="1"/>
  <c r="D342" i="1" s="1"/>
  <c r="G342" i="1" s="1"/>
  <c r="E342" i="1" l="1"/>
  <c r="M341" i="1"/>
  <c r="H342" i="1" l="1"/>
  <c r="I342" i="1" s="1"/>
  <c r="N351" i="1"/>
  <c r="P342" i="1" l="1"/>
  <c r="Q342" i="1" s="1"/>
  <c r="J342" i="1"/>
  <c r="K342" i="1" s="1"/>
  <c r="O342" i="1" l="1"/>
  <c r="D343" i="1" s="1"/>
  <c r="G343" i="1" s="1"/>
  <c r="E343" i="1" l="1"/>
  <c r="M342" i="1"/>
  <c r="H343" i="1" l="1"/>
  <c r="I343" i="1" s="1"/>
  <c r="N352" i="1"/>
  <c r="J343" i="1" l="1"/>
  <c r="K343" i="1" s="1"/>
  <c r="P343" i="1"/>
  <c r="Q343" i="1" s="1"/>
  <c r="O343" i="1" l="1"/>
  <c r="D344" i="1" s="1"/>
  <c r="G344" i="1" s="1"/>
  <c r="E344" i="1" l="1"/>
  <c r="M343" i="1"/>
  <c r="H344" i="1" l="1"/>
  <c r="I344" i="1" s="1"/>
  <c r="N353" i="1"/>
  <c r="J344" i="1" l="1"/>
  <c r="K344" i="1" s="1"/>
  <c r="P344" i="1"/>
  <c r="Q344" i="1" s="1"/>
  <c r="O344" i="1" l="1"/>
  <c r="D345" i="1" s="1"/>
  <c r="G345" i="1" s="1"/>
  <c r="E345" i="1" l="1"/>
  <c r="M344" i="1"/>
  <c r="H345" i="1" l="1"/>
  <c r="I345" i="1" s="1"/>
  <c r="N354" i="1"/>
  <c r="J345" i="1" l="1"/>
  <c r="K345" i="1" s="1"/>
  <c r="P345" i="1"/>
  <c r="Q345" i="1" s="1"/>
  <c r="O345" i="1" l="1"/>
  <c r="D346" i="1" s="1"/>
  <c r="G346" i="1" s="1"/>
  <c r="E346" i="1" l="1"/>
  <c r="M345" i="1"/>
  <c r="H346" i="1" l="1"/>
  <c r="I346" i="1" s="1"/>
  <c r="N355" i="1"/>
  <c r="J346" i="1" l="1"/>
  <c r="K346" i="1" s="1"/>
  <c r="P346" i="1"/>
  <c r="Q346" i="1" s="1"/>
  <c r="O346" i="1" l="1"/>
  <c r="D347" i="1" s="1"/>
  <c r="G347" i="1" s="1"/>
  <c r="E347" i="1" l="1"/>
  <c r="M346" i="1"/>
  <c r="H347" i="1" l="1"/>
  <c r="I347" i="1" s="1"/>
  <c r="N356" i="1"/>
  <c r="J347" i="1" l="1"/>
  <c r="K347" i="1" s="1"/>
  <c r="P347" i="1"/>
  <c r="Q347" i="1" s="1"/>
  <c r="O347" i="1" l="1"/>
  <c r="D348" i="1" s="1"/>
  <c r="G348" i="1" s="1"/>
  <c r="E348" i="1" l="1"/>
  <c r="M347" i="1"/>
  <c r="H348" i="1" l="1"/>
  <c r="I348" i="1" s="1"/>
  <c r="N357" i="1"/>
  <c r="J348" i="1" l="1"/>
  <c r="K348" i="1" s="1"/>
  <c r="P348" i="1"/>
  <c r="Q348" i="1" s="1"/>
  <c r="O348" i="1" l="1"/>
  <c r="D349" i="1" s="1"/>
  <c r="G349" i="1" s="1"/>
  <c r="E349" i="1" l="1"/>
  <c r="M348" i="1"/>
  <c r="H349" i="1" l="1"/>
  <c r="I349" i="1" s="1"/>
  <c r="N358" i="1"/>
  <c r="P349" i="1" l="1"/>
  <c r="Q349" i="1" s="1"/>
  <c r="J349" i="1"/>
  <c r="K349" i="1" s="1"/>
  <c r="O349" i="1" l="1"/>
  <c r="D350" i="1" s="1"/>
  <c r="G350" i="1" s="1"/>
  <c r="E350" i="1" l="1"/>
  <c r="M349" i="1"/>
  <c r="H350" i="1" l="1"/>
  <c r="I350" i="1" s="1"/>
  <c r="N359" i="1"/>
  <c r="P350" i="1" l="1"/>
  <c r="Q350" i="1" s="1"/>
  <c r="J350" i="1"/>
  <c r="K350" i="1" s="1"/>
  <c r="O350" i="1" l="1"/>
  <c r="D351" i="1" s="1"/>
  <c r="G351" i="1" s="1"/>
  <c r="E351" i="1" l="1"/>
  <c r="M350" i="1"/>
  <c r="H351" i="1" l="1"/>
  <c r="I351" i="1" s="1"/>
  <c r="N360" i="1"/>
  <c r="J351" i="1" l="1"/>
  <c r="K351" i="1" s="1"/>
  <c r="P351" i="1"/>
  <c r="Q351" i="1" s="1"/>
  <c r="O351" i="1" l="1"/>
  <c r="D352" i="1" s="1"/>
  <c r="G352" i="1" s="1"/>
  <c r="E352" i="1" l="1"/>
  <c r="M351" i="1"/>
  <c r="H352" i="1" l="1"/>
  <c r="I352" i="1" s="1"/>
  <c r="N361" i="1"/>
  <c r="P352" i="1" l="1"/>
  <c r="Q352" i="1" s="1"/>
  <c r="J352" i="1"/>
  <c r="K352" i="1" s="1"/>
  <c r="O352" i="1" l="1"/>
  <c r="D353" i="1" s="1"/>
  <c r="G353" i="1" s="1"/>
  <c r="E353" i="1" l="1"/>
  <c r="M352" i="1"/>
  <c r="H353" i="1" l="1"/>
  <c r="I353" i="1" s="1"/>
  <c r="N362" i="1"/>
  <c r="J353" i="1" l="1"/>
  <c r="K353" i="1" s="1"/>
  <c r="P353" i="1"/>
  <c r="Q353" i="1" s="1"/>
  <c r="O353" i="1" l="1"/>
  <c r="D354" i="1" s="1"/>
  <c r="G354" i="1" s="1"/>
  <c r="E354" i="1" l="1"/>
  <c r="M353" i="1"/>
  <c r="H354" i="1" l="1"/>
  <c r="I354" i="1" s="1"/>
  <c r="N363" i="1"/>
  <c r="J354" i="1" l="1"/>
  <c r="K354" i="1" s="1"/>
  <c r="P354" i="1"/>
  <c r="Q354" i="1" s="1"/>
  <c r="O354" i="1" l="1"/>
  <c r="D355" i="1" s="1"/>
  <c r="G355" i="1" s="1"/>
  <c r="E355" i="1" l="1"/>
  <c r="M354" i="1"/>
  <c r="H355" i="1" l="1"/>
  <c r="I355" i="1" s="1"/>
  <c r="N364" i="1"/>
  <c r="J355" i="1" l="1"/>
  <c r="K355" i="1" s="1"/>
  <c r="P355" i="1"/>
  <c r="Q355" i="1" s="1"/>
  <c r="O355" i="1" l="1"/>
  <c r="D356" i="1" s="1"/>
  <c r="G356" i="1" s="1"/>
  <c r="E356" i="1" l="1"/>
  <c r="M355" i="1"/>
  <c r="H356" i="1" l="1"/>
  <c r="I356" i="1" s="1"/>
  <c r="N365" i="1"/>
  <c r="P356" i="1" l="1"/>
  <c r="Q356" i="1" s="1"/>
  <c r="J356" i="1"/>
  <c r="K356" i="1" s="1"/>
  <c r="O356" i="1" l="1"/>
  <c r="D357" i="1" s="1"/>
  <c r="G357" i="1" s="1"/>
  <c r="E357" i="1" l="1"/>
  <c r="M356" i="1"/>
  <c r="H357" i="1" l="1"/>
  <c r="I357" i="1" s="1"/>
  <c r="N366" i="1"/>
  <c r="J357" i="1" l="1"/>
  <c r="K357" i="1" s="1"/>
  <c r="P357" i="1"/>
  <c r="Q357" i="1" s="1"/>
  <c r="O357" i="1" l="1"/>
  <c r="D358" i="1" s="1"/>
  <c r="G358" i="1" s="1"/>
  <c r="E358" i="1" l="1"/>
  <c r="M357" i="1"/>
  <c r="H358" i="1" l="1"/>
  <c r="I358" i="1" s="1"/>
  <c r="N367" i="1"/>
  <c r="J358" i="1" l="1"/>
  <c r="K358" i="1" s="1"/>
  <c r="P358" i="1"/>
  <c r="Q358" i="1" s="1"/>
  <c r="O358" i="1" l="1"/>
  <c r="D359" i="1" s="1"/>
  <c r="G359" i="1" s="1"/>
  <c r="E359" i="1" l="1"/>
  <c r="M358" i="1"/>
  <c r="H359" i="1" l="1"/>
  <c r="I359" i="1" s="1"/>
  <c r="N368" i="1"/>
  <c r="J359" i="1" l="1"/>
  <c r="K359" i="1" s="1"/>
  <c r="P359" i="1"/>
  <c r="Q359" i="1" s="1"/>
  <c r="O359" i="1" l="1"/>
  <c r="D360" i="1" s="1"/>
  <c r="G360" i="1" s="1"/>
  <c r="E360" i="1" l="1"/>
  <c r="M359" i="1"/>
  <c r="H360" i="1" l="1"/>
  <c r="I360" i="1" s="1"/>
  <c r="N369" i="1"/>
  <c r="J360" i="1" l="1"/>
  <c r="K360" i="1" s="1"/>
  <c r="P360" i="1"/>
  <c r="Q360" i="1" s="1"/>
  <c r="O360" i="1" l="1"/>
  <c r="D361" i="1" s="1"/>
  <c r="G361" i="1" s="1"/>
  <c r="E361" i="1" l="1"/>
  <c r="M360" i="1"/>
  <c r="H361" i="1" l="1"/>
  <c r="I361" i="1" s="1"/>
  <c r="N370" i="1"/>
  <c r="J361" i="1" l="1"/>
  <c r="K361" i="1" s="1"/>
  <c r="P361" i="1"/>
  <c r="Q361" i="1" s="1"/>
  <c r="O361" i="1" l="1"/>
  <c r="D362" i="1" s="1"/>
  <c r="G362" i="1" s="1"/>
  <c r="E362" i="1" l="1"/>
  <c r="M361" i="1"/>
  <c r="H362" i="1" l="1"/>
  <c r="I362" i="1" s="1"/>
  <c r="N371" i="1"/>
  <c r="P362" i="1" l="1"/>
  <c r="Q362" i="1" s="1"/>
  <c r="J362" i="1"/>
  <c r="K362" i="1" s="1"/>
  <c r="O362" i="1" l="1"/>
  <c r="D363" i="1" s="1"/>
  <c r="G363" i="1" s="1"/>
  <c r="E363" i="1" l="1"/>
  <c r="M362" i="1"/>
  <c r="H363" i="1" l="1"/>
  <c r="I363" i="1" s="1"/>
  <c r="N372" i="1"/>
  <c r="J363" i="1" l="1"/>
  <c r="K363" i="1" s="1"/>
  <c r="P363" i="1"/>
  <c r="Q363" i="1" s="1"/>
  <c r="O363" i="1" l="1"/>
  <c r="D364" i="1" s="1"/>
  <c r="G364" i="1" s="1"/>
  <c r="E364" i="1" l="1"/>
  <c r="M363" i="1"/>
  <c r="H364" i="1" l="1"/>
  <c r="I364" i="1" s="1"/>
  <c r="N373" i="1"/>
  <c r="P364" i="1" l="1"/>
  <c r="Q364" i="1" s="1"/>
  <c r="J364" i="1"/>
  <c r="K364" i="1" s="1"/>
  <c r="O364" i="1" l="1"/>
  <c r="D365" i="1" s="1"/>
  <c r="G365" i="1" s="1"/>
  <c r="E365" i="1" l="1"/>
  <c r="M364" i="1"/>
  <c r="H365" i="1" l="1"/>
  <c r="I365" i="1" s="1"/>
  <c r="N374" i="1"/>
  <c r="J365" i="1" l="1"/>
  <c r="K365" i="1" s="1"/>
  <c r="P365" i="1"/>
  <c r="Q365" i="1" s="1"/>
  <c r="O365" i="1" l="1"/>
  <c r="D366" i="1" s="1"/>
  <c r="G366" i="1" s="1"/>
  <c r="E366" i="1" l="1"/>
  <c r="M365" i="1"/>
  <c r="H366" i="1" l="1"/>
  <c r="I366" i="1" s="1"/>
  <c r="N375" i="1"/>
  <c r="J366" i="1" l="1"/>
  <c r="K366" i="1" s="1"/>
  <c r="P366" i="1"/>
  <c r="Q366" i="1" s="1"/>
  <c r="O366" i="1" l="1"/>
  <c r="D367" i="1" s="1"/>
  <c r="G367" i="1" s="1"/>
  <c r="E367" i="1" l="1"/>
  <c r="M366" i="1"/>
  <c r="H367" i="1" l="1"/>
  <c r="I367" i="1" s="1"/>
  <c r="N376" i="1"/>
  <c r="J367" i="1" l="1"/>
  <c r="K367" i="1" s="1"/>
  <c r="P367" i="1"/>
  <c r="Q367" i="1" s="1"/>
  <c r="O367" i="1" l="1"/>
  <c r="D368" i="1" s="1"/>
  <c r="G368" i="1" s="1"/>
  <c r="E368" i="1" l="1"/>
  <c r="M367" i="1"/>
  <c r="H368" i="1" l="1"/>
  <c r="I368" i="1" s="1"/>
  <c r="N377" i="1"/>
  <c r="P368" i="1" l="1"/>
  <c r="Q368" i="1" s="1"/>
  <c r="J368" i="1"/>
  <c r="K368" i="1" s="1"/>
  <c r="O368" i="1" l="1"/>
  <c r="D369" i="1" s="1"/>
  <c r="G369" i="1" s="1"/>
  <c r="E369" i="1" l="1"/>
  <c r="M368" i="1"/>
  <c r="H369" i="1" l="1"/>
  <c r="I369" i="1" s="1"/>
  <c r="N378" i="1"/>
  <c r="P369" i="1" l="1"/>
  <c r="Q369" i="1" s="1"/>
  <c r="J369" i="1"/>
  <c r="K369" i="1" s="1"/>
  <c r="O369" i="1" l="1"/>
  <c r="D370" i="1" s="1"/>
  <c r="G370" i="1" s="1"/>
  <c r="E370" i="1" l="1"/>
  <c r="M369" i="1"/>
  <c r="H370" i="1" l="1"/>
  <c r="I370" i="1" s="1"/>
  <c r="N379" i="1"/>
  <c r="P370" i="1" l="1"/>
  <c r="Q370" i="1" s="1"/>
  <c r="J370" i="1"/>
  <c r="K370" i="1" s="1"/>
  <c r="O370" i="1" l="1"/>
  <c r="D371" i="1" s="1"/>
  <c r="G371" i="1" s="1"/>
  <c r="E371" i="1" l="1"/>
  <c r="M370" i="1"/>
  <c r="H371" i="1" l="1"/>
  <c r="I371" i="1" s="1"/>
  <c r="N380" i="1"/>
  <c r="P371" i="1" l="1"/>
  <c r="Q371" i="1" s="1"/>
  <c r="J371" i="1"/>
  <c r="K371" i="1" s="1"/>
  <c r="O371" i="1" l="1"/>
  <c r="D372" i="1" s="1"/>
  <c r="G372" i="1" s="1"/>
  <c r="E372" i="1" l="1"/>
  <c r="M371" i="1"/>
  <c r="H372" i="1" l="1"/>
  <c r="I372" i="1" s="1"/>
  <c r="N381" i="1"/>
  <c r="J372" i="1" l="1"/>
  <c r="K372" i="1" s="1"/>
  <c r="P372" i="1"/>
  <c r="Q372" i="1" s="1"/>
  <c r="O372" i="1" l="1"/>
  <c r="D373" i="1" s="1"/>
  <c r="G373" i="1" s="1"/>
  <c r="E373" i="1" l="1"/>
  <c r="M372" i="1"/>
  <c r="H373" i="1" l="1"/>
  <c r="I373" i="1" s="1"/>
  <c r="N382" i="1"/>
  <c r="J373" i="1" l="1"/>
  <c r="K373" i="1" s="1"/>
  <c r="P373" i="1"/>
  <c r="Q373" i="1" s="1"/>
  <c r="O373" i="1" l="1"/>
  <c r="D374" i="1" s="1"/>
  <c r="G374" i="1" s="1"/>
  <c r="E374" i="1" l="1"/>
  <c r="M373" i="1"/>
  <c r="H374" i="1" l="1"/>
  <c r="I374" i="1" s="1"/>
  <c r="N383" i="1"/>
  <c r="P374" i="1" l="1"/>
  <c r="Q374" i="1" s="1"/>
  <c r="J374" i="1"/>
  <c r="K374" i="1" s="1"/>
  <c r="O374" i="1" l="1"/>
  <c r="D375" i="1" s="1"/>
  <c r="G375" i="1" s="1"/>
  <c r="E375" i="1" l="1"/>
  <c r="M374" i="1"/>
  <c r="N384" i="1" s="1"/>
  <c r="H375" i="1" l="1"/>
  <c r="I375" i="1" s="1"/>
  <c r="J375" i="1" l="1"/>
  <c r="K375" i="1" s="1"/>
  <c r="P375" i="1"/>
  <c r="Q375" i="1" s="1"/>
  <c r="O375" i="1" l="1"/>
  <c r="D376" i="1" s="1"/>
  <c r="G376" i="1" s="1"/>
  <c r="E376" i="1" l="1"/>
  <c r="M375" i="1"/>
  <c r="N385" i="1" s="1"/>
  <c r="H376" i="1" l="1"/>
  <c r="I376" i="1" s="1"/>
  <c r="J376" i="1" l="1"/>
  <c r="K376" i="1" s="1"/>
  <c r="P376" i="1"/>
  <c r="Q376" i="1" s="1"/>
  <c r="O376" i="1" l="1"/>
  <c r="D377" i="1" s="1"/>
  <c r="G377" i="1" s="1"/>
  <c r="E377" i="1" l="1"/>
  <c r="M376" i="1"/>
  <c r="H377" i="1" l="1"/>
  <c r="I377" i="1" s="1"/>
  <c r="J377" i="1" l="1"/>
  <c r="K377" i="1" s="1"/>
  <c r="P377" i="1"/>
  <c r="Q377" i="1" s="1"/>
  <c r="O377" i="1" l="1"/>
  <c r="D378" i="1" s="1"/>
  <c r="G378" i="1" s="1"/>
  <c r="E378" i="1" l="1"/>
  <c r="M377" i="1"/>
  <c r="H378" i="1" l="1"/>
  <c r="I378" i="1" s="1"/>
  <c r="P378" i="1" l="1"/>
  <c r="Q378" i="1" s="1"/>
  <c r="J378" i="1"/>
  <c r="K378" i="1" s="1"/>
  <c r="O378" i="1" l="1"/>
  <c r="D379" i="1" s="1"/>
  <c r="G379" i="1" s="1"/>
  <c r="E379" i="1" l="1"/>
  <c r="M378" i="1"/>
  <c r="H379" i="1" l="1"/>
  <c r="I379" i="1" s="1"/>
  <c r="J379" i="1" l="1"/>
  <c r="K379" i="1" s="1"/>
  <c r="P379" i="1"/>
  <c r="Q379" i="1" s="1"/>
  <c r="O379" i="1" l="1"/>
  <c r="D380" i="1" s="1"/>
  <c r="G380" i="1" s="1"/>
  <c r="E380" i="1" l="1"/>
  <c r="M379" i="1"/>
  <c r="H380" i="1" l="1"/>
  <c r="I380" i="1" s="1"/>
  <c r="J380" i="1" l="1"/>
  <c r="K380" i="1" s="1"/>
  <c r="P380" i="1"/>
  <c r="Q380" i="1" s="1"/>
  <c r="O380" i="1" l="1"/>
  <c r="D381" i="1" s="1"/>
  <c r="G381" i="1" s="1"/>
  <c r="E381" i="1" l="1"/>
  <c r="M380" i="1"/>
  <c r="H381" i="1" l="1"/>
  <c r="I381" i="1" s="1"/>
  <c r="P381" i="1" l="1"/>
  <c r="Q381" i="1" s="1"/>
  <c r="J381" i="1"/>
  <c r="K381" i="1" s="1"/>
  <c r="O381" i="1" l="1"/>
  <c r="D382" i="1" s="1"/>
  <c r="G382" i="1" s="1"/>
  <c r="E382" i="1" l="1"/>
  <c r="M381" i="1"/>
  <c r="H382" i="1" l="1"/>
  <c r="I382" i="1" s="1"/>
  <c r="J382" i="1" l="1"/>
  <c r="K382" i="1" s="1"/>
  <c r="P382" i="1"/>
  <c r="Q382" i="1" s="1"/>
  <c r="O382" i="1" l="1"/>
  <c r="D383" i="1" s="1"/>
  <c r="G383" i="1" s="1"/>
  <c r="E383" i="1" l="1"/>
  <c r="M382" i="1"/>
  <c r="H383" i="1" l="1"/>
  <c r="I383" i="1" s="1"/>
  <c r="P383" i="1" l="1"/>
  <c r="Q383" i="1" s="1"/>
  <c r="J383" i="1"/>
  <c r="K383" i="1" s="1"/>
  <c r="O383" i="1" l="1"/>
  <c r="D384" i="1" s="1"/>
  <c r="G384" i="1" s="1"/>
  <c r="E384" i="1" l="1"/>
  <c r="M383" i="1"/>
  <c r="H384" i="1" l="1"/>
  <c r="I384" i="1" s="1"/>
  <c r="J384" i="1" l="1"/>
  <c r="K384" i="1" s="1"/>
  <c r="P384" i="1"/>
  <c r="Q384" i="1" s="1"/>
  <c r="O384" i="1" l="1"/>
  <c r="D385" i="1" s="1"/>
  <c r="G385" i="1" s="1"/>
  <c r="E385" i="1" l="1"/>
  <c r="M384" i="1"/>
  <c r="H385" i="1" l="1"/>
  <c r="I385" i="1" s="1"/>
  <c r="J385" i="1" l="1"/>
  <c r="K385" i="1" s="1"/>
  <c r="P385" i="1"/>
  <c r="Q385" i="1" s="1"/>
  <c r="O385" i="1" l="1"/>
  <c r="M385" i="1" l="1"/>
  <c r="N30" i="1" l="1"/>
  <c r="P30" i="1" s="1"/>
  <c r="Q30" i="1" s="1"/>
  <c r="N29" i="1"/>
  <c r="P29" i="1" s="1"/>
  <c r="Q29" i="1" s="1"/>
  <c r="N31" i="1"/>
  <c r="P31" i="1" s="1"/>
  <c r="Q31" i="1" s="1"/>
  <c r="N32" i="1"/>
  <c r="P32" i="1" s="1"/>
  <c r="Q32" i="1" s="1"/>
  <c r="N33" i="1"/>
  <c r="P33" i="1" s="1"/>
  <c r="Q33" i="1" s="1"/>
  <c r="N37" i="1"/>
  <c r="P37" i="1" s="1"/>
  <c r="Q37" i="1" s="1"/>
  <c r="N18" i="1"/>
  <c r="P18" i="1" s="1"/>
  <c r="Q18" i="1" s="1"/>
  <c r="N38" i="1"/>
  <c r="P38" i="1" s="1"/>
  <c r="Q38" i="1" s="1"/>
  <c r="N40" i="1"/>
  <c r="P40" i="1" s="1"/>
  <c r="Q40" i="1" s="1"/>
  <c r="N35" i="1"/>
  <c r="P35" i="1" s="1"/>
  <c r="Q35" i="1" s="1"/>
  <c r="N36" i="1"/>
  <c r="P36" i="1" s="1"/>
  <c r="Q36" i="1" s="1"/>
  <c r="N34" i="1"/>
  <c r="P34" i="1" s="1"/>
  <c r="Q34" i="1" s="1"/>
  <c r="N39" i="1"/>
  <c r="P39" i="1" s="1"/>
  <c r="Q39" i="1" s="1"/>
  <c r="N23" i="18" l="1"/>
  <c r="N18" i="18"/>
  <c r="N17" i="18"/>
  <c r="N16" i="18"/>
  <c r="N24" i="18"/>
  <c r="N14" i="18"/>
  <c r="N22" i="18"/>
  <c r="N19" i="18"/>
  <c r="N21" i="18"/>
  <c r="N20" i="18"/>
  <c r="N25" i="18"/>
  <c r="N15" i="18"/>
  <c r="N3" i="18"/>
  <c r="N19" i="13"/>
  <c r="N19" i="16"/>
  <c r="N25" i="13"/>
  <c r="N25" i="16"/>
  <c r="N22" i="13"/>
  <c r="N22" i="16"/>
  <c r="N23" i="13"/>
  <c r="N23" i="16"/>
  <c r="N18" i="13"/>
  <c r="N18" i="16"/>
  <c r="N16" i="13"/>
  <c r="N16" i="16"/>
  <c r="N20" i="13"/>
  <c r="N20" i="16"/>
  <c r="N14" i="13"/>
  <c r="N14" i="16"/>
  <c r="N21" i="13"/>
  <c r="N21" i="16"/>
  <c r="N3" i="13"/>
  <c r="N3" i="16"/>
  <c r="N17" i="13"/>
  <c r="N17" i="16"/>
  <c r="N24" i="13"/>
  <c r="N24" i="16"/>
  <c r="N15" i="13"/>
  <c r="N15" i="16"/>
  <c r="M23" i="9"/>
  <c r="N23" i="9" s="1"/>
  <c r="N23" i="10"/>
  <c r="M21" i="9"/>
  <c r="N21" i="9" s="1"/>
  <c r="N21" i="10"/>
  <c r="M20" i="9"/>
  <c r="N20" i="9" s="1"/>
  <c r="N20" i="10"/>
  <c r="M25" i="9"/>
  <c r="N25" i="9" s="1"/>
  <c r="N25" i="10"/>
  <c r="M18" i="9"/>
  <c r="N18" i="9" s="1"/>
  <c r="N18" i="10"/>
  <c r="N19" i="10"/>
  <c r="M16" i="9"/>
  <c r="N16" i="9" s="1"/>
  <c r="N16" i="10"/>
  <c r="M14" i="9"/>
  <c r="N14" i="9" s="1"/>
  <c r="N14" i="10"/>
  <c r="M3" i="9"/>
  <c r="N3" i="9" s="1"/>
  <c r="N3" i="10"/>
  <c r="M22" i="9"/>
  <c r="N22" i="9" s="1"/>
  <c r="N22" i="10"/>
  <c r="M17" i="9"/>
  <c r="N17" i="9" s="1"/>
  <c r="N17" i="10"/>
  <c r="M24" i="9"/>
  <c r="N24" i="9" s="1"/>
  <c r="N24" i="10"/>
  <c r="M15" i="9"/>
  <c r="N15" i="9" s="1"/>
  <c r="N15" i="10"/>
  <c r="M19" i="9" l="1"/>
  <c r="N19" i="9" s="1"/>
  <c r="M2" i="1"/>
  <c r="M4" i="1" s="1"/>
  <c r="M8" i="1" l="1"/>
  <c r="M9" i="1" s="1"/>
  <c r="M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00000000-0006-0000-0100-000001000000}">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00000000-0006-0000-0100-000002000000}">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69E93918-A15F-49DB-8154-44A5EED180B7}">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2F4013EA-77B0-4F69-A7D0-BD060C3D6CA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05A2DBF-978E-4289-ABC6-DFAB1AD1377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C6D991BE-2655-42EF-A447-3D73979F97A5}">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1E6492F3-17C0-452F-85B3-24FF2C9EC56D}">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4B06C9B3-F665-4A61-86B5-72744F2BAA96}">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E63E52A1-80A7-440B-8285-5BBAAFB8B139}">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E13CFE3-3852-49E7-A0C3-E0E6E5A6F216}">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7C68749A-223C-437B-974B-8DD53D0775FF}">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9B2D1620-FC3F-4E47-9472-0A7DA705C0A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97AB1D3F-5900-4028-9DF6-2CFEB3C304F3}">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5A919465-C533-4885-B59B-B6AB7E16304A}">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34F87357-379A-4D75-8F12-362B84F2B0C2}">
      <text>
        <r>
          <rPr>
            <b/>
            <sz val="9"/>
            <color indexed="81"/>
            <rFont val="Tahoma"/>
            <family val="2"/>
          </rPr>
          <t>Kevin Abbas:</t>
        </r>
        <r>
          <rPr>
            <sz val="9"/>
            <color indexed="81"/>
            <rFont val="Tahoma"/>
            <family val="2"/>
          </rPr>
          <t xml:space="preserve">
Forecasts for up to 20 quarters are presently supported.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Kevin Abbas</author>
  </authors>
  <commentList>
    <comment ref="M3" authorId="0" shapeId="0" xr:uid="{CCAE0ECE-3705-4D46-B4C9-8670E04A34B7}">
      <text>
        <r>
          <rPr>
            <b/>
            <sz val="9"/>
            <color indexed="81"/>
            <rFont val="Tahoma"/>
            <family val="2"/>
          </rPr>
          <t>Kevin Abbas:</t>
        </r>
        <r>
          <rPr>
            <sz val="9"/>
            <color indexed="81"/>
            <rFont val="Tahoma"/>
            <family val="2"/>
          </rPr>
          <t xml:space="preserve">
Leave blank if not using the Amortized Cost approach in E9</t>
        </r>
      </text>
    </comment>
    <comment ref="J7" authorId="0" shapeId="0" xr:uid="{B35FD8F1-B39E-4AB1-A0A0-0BA483389F75}">
      <text>
        <r>
          <rPr>
            <b/>
            <sz val="9"/>
            <color indexed="81"/>
            <rFont val="Tahoma"/>
            <family val="2"/>
          </rPr>
          <t>Kevin Abbas:</t>
        </r>
        <r>
          <rPr>
            <sz val="9"/>
            <color indexed="81"/>
            <rFont val="Tahoma"/>
            <family val="2"/>
          </rPr>
          <t xml:space="preserve">
calculated via the macro within the Run Amortized Cost Basis (think goal seek)</t>
        </r>
      </text>
    </comment>
    <comment ref="C8" authorId="0" shapeId="0" xr:uid="{B7F8393F-2AA9-445C-A21B-D85BA7FF940A}">
      <text>
        <r>
          <rPr>
            <b/>
            <sz val="9"/>
            <color indexed="81"/>
            <rFont val="Tahoma"/>
            <family val="2"/>
          </rPr>
          <t>Kevin Abbas:</t>
        </r>
        <r>
          <rPr>
            <sz val="9"/>
            <color indexed="81"/>
            <rFont val="Tahoma"/>
            <family val="2"/>
          </rPr>
          <t xml:space="preserve">
Forecasts for up to 20 quarters are presently supported. 
</t>
        </r>
      </text>
    </comment>
  </commentList>
</comments>
</file>

<file path=xl/sharedStrings.xml><?xml version="1.0" encoding="utf-8"?>
<sst xmlns="http://schemas.openxmlformats.org/spreadsheetml/2006/main" count="507" uniqueCount="84">
  <si>
    <t>Quarter</t>
  </si>
  <si>
    <t>PD</t>
  </si>
  <si>
    <t>LGD</t>
  </si>
  <si>
    <t>Prepay</t>
  </si>
  <si>
    <t>Curtail</t>
  </si>
  <si>
    <t>Months</t>
  </si>
  <si>
    <t xml:space="preserve"> </t>
  </si>
  <si>
    <t>Abrigo Reserve</t>
  </si>
  <si>
    <t>Loan Balance</t>
  </si>
  <si>
    <t>Section for handling discount rates</t>
  </si>
  <si>
    <t>NPV of Cash Flows</t>
  </si>
  <si>
    <t>Loan Type</t>
  </si>
  <si>
    <t>Fixed Payment</t>
  </si>
  <si>
    <t>Monthly PD</t>
  </si>
  <si>
    <t>Amortization Multiplier</t>
  </si>
  <si>
    <t>Unamortized Amount</t>
  </si>
  <si>
    <t>Remaining Term</t>
  </si>
  <si>
    <t>Calculated Discount Rate</t>
  </si>
  <si>
    <t>Reserve Amount</t>
  </si>
  <si>
    <t>Interest Rate</t>
  </si>
  <si>
    <t>OR</t>
  </si>
  <si>
    <t>ACB Calculated Rate</t>
  </si>
  <si>
    <t>Reserve %</t>
  </si>
  <si>
    <t>Payment</t>
  </si>
  <si>
    <t>Prepayment Rate</t>
  </si>
  <si>
    <t>Manual Discount Rate</t>
  </si>
  <si>
    <t>Amortization Days</t>
  </si>
  <si>
    <t>Actual 360</t>
  </si>
  <si>
    <t>SMM</t>
  </si>
  <si>
    <t>ACB As Percent</t>
  </si>
  <si>
    <t>Forecast PD</t>
  </si>
  <si>
    <t>Yes</t>
  </si>
  <si>
    <t>Curtailment Rate</t>
  </si>
  <si>
    <t>Discount Source</t>
  </si>
  <si>
    <t>Manually Entered</t>
  </si>
  <si>
    <t>Variance ($)</t>
  </si>
  <si>
    <t>Forecast LGD</t>
  </si>
  <si>
    <t>Recovery Lag</t>
  </si>
  <si>
    <t>Variance (%)</t>
  </si>
  <si>
    <t>Forecast Prepay</t>
  </si>
  <si>
    <t>No</t>
  </si>
  <si>
    <t>Periods</t>
  </si>
  <si>
    <t>Forecast Curtail</t>
  </si>
  <si>
    <t>Loan Number</t>
  </si>
  <si>
    <t>Calculation Date</t>
  </si>
  <si>
    <t>Segment</t>
  </si>
  <si>
    <t>CRE - Nonowner Occupied</t>
  </si>
  <si>
    <t>Reamortize Each Period</t>
  </si>
  <si>
    <t>Inferred Am through</t>
  </si>
  <si>
    <t>Date</t>
  </si>
  <si>
    <t>Period</t>
  </si>
  <si>
    <t>Beginning Balance</t>
  </si>
  <si>
    <t>Interest</t>
  </si>
  <si>
    <t>Am Thru</t>
  </si>
  <si>
    <t>Payment Amount (Reamortized)</t>
  </si>
  <si>
    <t>Principal</t>
  </si>
  <si>
    <t>Prepayments</t>
  </si>
  <si>
    <t>Defaulted Principal</t>
  </si>
  <si>
    <t>Estimated Loss</t>
  </si>
  <si>
    <t>Estimated Recovery Period</t>
  </si>
  <si>
    <t>Available to Recover</t>
  </si>
  <si>
    <t>RecoveredAmount</t>
  </si>
  <si>
    <t>End of month Balance</t>
  </si>
  <si>
    <t>Cash Flow</t>
  </si>
  <si>
    <t>Present Value</t>
  </si>
  <si>
    <t>Days in month</t>
  </si>
  <si>
    <t>Running Total</t>
  </si>
  <si>
    <t>Monthly Interest Rate</t>
  </si>
  <si>
    <t>Principal Payment</t>
  </si>
  <si>
    <t>Prepayment</t>
  </si>
  <si>
    <t>Estimated Recovery</t>
  </si>
  <si>
    <t>Ending Balance</t>
  </si>
  <si>
    <t>NPV</t>
  </si>
  <si>
    <t>DCF CALC NPV</t>
  </si>
  <si>
    <t>NPV Diff.</t>
  </si>
  <si>
    <t>Column1</t>
  </si>
  <si>
    <t>Interest Only</t>
  </si>
  <si>
    <t>Amort</t>
  </si>
  <si>
    <t>Y/N</t>
  </si>
  <si>
    <t>Types</t>
  </si>
  <si>
    <t>Book Balance</t>
  </si>
  <si>
    <t>Line of Credit</t>
  </si>
  <si>
    <t>Fixed Principal</t>
  </si>
  <si>
    <t>Actual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</si>
</sst>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7" formatCode="&quot;$&quot;#,##0.00_);\(&quot;$&quot;#,##0.00\)"/>
    <numFmt numFmtId="8" formatCode="&quot;$&quot;#,##0.00_);[Red]\(&quot;$&quot;#,##0.00\)"/>
    <numFmt numFmtId="44" formatCode="_(&quot;$&quot;* #,##0.00_);_(&quot;$&quot;* \(#,##0.00\);_(&quot;$&quot;* &quot;-&quot;??_);_(@_)"/>
    <numFmt numFmtId="43" formatCode="_(* #,##0.00_);_(* \(#,##0.00\);_(* &quot;-&quot;??_);_(@_)"/>
    <numFmt numFmtId="164" formatCode="0.0000%"/>
    <numFmt numFmtId="165" formatCode="_(* #,##0.0000_);_(* \(#,##0.0000\);_(* &quot;-&quot;??_);_(@_)"/>
    <numFmt numFmtId="166" formatCode="0.00000%"/>
    <numFmt numFmtId="167" formatCode="_(&quot;$&quot;* #,##0_);_(&quot;$&quot;* \(#,##0\);_(&quot;$&quot;* &quot;-&quot;??_);_(@_)"/>
    <numFmt numFmtId="168" formatCode="0.0"/>
    <numFmt numFmtId="169" formatCode="mm/dd/yyyy"/>
  </numFmts>
  <fonts count="11" x14ac:knownFonts="1">
    <font>
      <sz val="11"/>
      <color theme="1"/>
      <name val="Calibri"/>
      <family val="2"/>
      <scheme val="minor"/>
    </font>
    <font>
      <sz val="11"/>
      <color theme="1"/>
      <name val="Calibri"/>
      <family val="2"/>
      <scheme val="minor"/>
    </font>
    <font>
      <b/>
      <sz val="8"/>
      <color theme="1"/>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sz val="9"/>
      <color indexed="81"/>
      <name val="Tahoma"/>
      <family val="2"/>
    </font>
    <font>
      <b/>
      <sz val="9"/>
      <color indexed="81"/>
      <name val="Tahoma"/>
      <family val="2"/>
    </font>
    <font>
      <sz val="11"/>
      <name val="Calibri"/>
      <family val="2"/>
    </font>
    <font>
      <sz val="10"/>
      <name val="Calibri"/>
      <family val="2"/>
      <scheme val="minor"/>
    </font>
    <font>
      <sz val="11"/>
      <name val="Calibri"/>
      <family val="2"/>
      <scheme val="minor"/>
    </font>
  </fonts>
  <fills count="7">
    <fill>
      <patternFill patternType="none"/>
    </fill>
    <fill>
      <patternFill patternType="gray125"/>
    </fill>
    <fill>
      <patternFill patternType="solid">
        <fgColor rgb="FFF5FC9C"/>
        <bgColor indexed="64"/>
      </patternFill>
    </fill>
    <fill>
      <patternFill patternType="solid">
        <fgColor theme="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9" tint="0.59999389629810485"/>
        <bgColor indexed="64"/>
      </patternFill>
    </fill>
  </fills>
  <borders count="3">
    <border>
      <left/>
      <right/>
      <top/>
      <bottom/>
      <diagonal/>
    </border>
    <border>
      <left/>
      <right/>
      <top/>
      <bottom style="thin">
        <color indexed="64"/>
      </bottom>
      <diagonal/>
    </border>
    <border>
      <left/>
      <right/>
      <top style="thin">
        <color theme="4" tint="0.39997558519241921"/>
      </top>
      <bottom style="thin">
        <color theme="4" tint="0.39997558519241921"/>
      </bottom>
      <diagonal/>
    </border>
  </borders>
  <cellStyleXfs count="5">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8" fillId="0" borderId="0"/>
  </cellStyleXfs>
  <cellXfs count="59">
    <xf numFmtId="0" fontId="0" fillId="0" borderId="0" xfId="0"/>
    <xf numFmtId="14" fontId="3" fillId="0" borderId="0" xfId="0" applyNumberFormat="1" applyFont="1"/>
    <xf numFmtId="0" fontId="3" fillId="0" borderId="0" xfId="0" applyFont="1"/>
    <xf numFmtId="43" fontId="3" fillId="0" borderId="0" xfId="2" applyFont="1"/>
    <xf numFmtId="43" fontId="3" fillId="0" borderId="0" xfId="2" applyFont="1" applyFill="1"/>
    <xf numFmtId="10" fontId="3" fillId="0" borderId="0" xfId="0" applyNumberFormat="1" applyFont="1"/>
    <xf numFmtId="0" fontId="2" fillId="0" borderId="0" xfId="0" applyFont="1"/>
    <xf numFmtId="0" fontId="5" fillId="0" borderId="0" xfId="0" applyFont="1" applyAlignment="1">
      <alignment horizontal="right"/>
    </xf>
    <xf numFmtId="0" fontId="4" fillId="0" borderId="0" xfId="0" applyFont="1" applyAlignment="1">
      <alignment horizontal="right"/>
    </xf>
    <xf numFmtId="164" fontId="4" fillId="0" borderId="0" xfId="1" applyNumberFormat="1" applyFont="1" applyAlignment="1">
      <alignment horizontal="right"/>
    </xf>
    <xf numFmtId="0" fontId="5" fillId="0" borderId="0" xfId="0" applyFont="1" applyAlignment="1">
      <alignment horizontal="left"/>
    </xf>
    <xf numFmtId="165" fontId="4" fillId="0" borderId="0" xfId="2" applyNumberFormat="1" applyFont="1" applyAlignment="1">
      <alignment horizontal="right"/>
    </xf>
    <xf numFmtId="43" fontId="4" fillId="0" borderId="0" xfId="2" applyFont="1" applyAlignment="1">
      <alignment horizontal="right"/>
    </xf>
    <xf numFmtId="0" fontId="4" fillId="2" borderId="0" xfId="0" applyFont="1" applyFill="1" applyAlignment="1" applyProtection="1">
      <alignment horizontal="right"/>
      <protection locked="0"/>
    </xf>
    <xf numFmtId="164" fontId="4" fillId="2" borderId="0" xfId="0" applyNumberFormat="1" applyFont="1" applyFill="1" applyAlignment="1" applyProtection="1">
      <alignment horizontal="right"/>
      <protection locked="0"/>
    </xf>
    <xf numFmtId="164" fontId="4" fillId="2" borderId="0" xfId="1" applyNumberFormat="1" applyFont="1" applyFill="1" applyAlignment="1" applyProtection="1">
      <alignment horizontal="right"/>
      <protection locked="0"/>
    </xf>
    <xf numFmtId="43" fontId="4" fillId="2" borderId="0" xfId="2" applyFont="1" applyFill="1" applyAlignment="1" applyProtection="1">
      <alignment horizontal="right"/>
      <protection locked="0"/>
    </xf>
    <xf numFmtId="0" fontId="0" fillId="3" borderId="0" xfId="0" applyFill="1"/>
    <xf numFmtId="164" fontId="0" fillId="0" borderId="0" xfId="1" applyNumberFormat="1" applyFont="1"/>
    <xf numFmtId="164" fontId="3" fillId="0" borderId="0" xfId="0" applyNumberFormat="1" applyFont="1"/>
    <xf numFmtId="166" fontId="4" fillId="0" borderId="0" xfId="1" applyNumberFormat="1" applyFont="1" applyAlignment="1">
      <alignment horizontal="right"/>
    </xf>
    <xf numFmtId="0" fontId="2" fillId="0" borderId="0" xfId="0" applyFont="1" applyAlignment="1">
      <alignment vertical="top"/>
    </xf>
    <xf numFmtId="0" fontId="3" fillId="0" borderId="0" xfId="0" applyFont="1" applyAlignment="1">
      <alignment horizontal="right"/>
    </xf>
    <xf numFmtId="43" fontId="3" fillId="0" borderId="0" xfId="2" applyFont="1" applyAlignment="1">
      <alignment horizontal="right"/>
    </xf>
    <xf numFmtId="164" fontId="4" fillId="0" borderId="0" xfId="0" applyNumberFormat="1" applyFont="1" applyAlignment="1" applyProtection="1">
      <alignment horizontal="right"/>
      <protection locked="0"/>
    </xf>
    <xf numFmtId="164" fontId="4" fillId="0" borderId="0" xfId="1" applyNumberFormat="1" applyFont="1" applyFill="1" applyAlignment="1">
      <alignment horizontal="right"/>
    </xf>
    <xf numFmtId="9" fontId="4" fillId="0" borderId="0" xfId="0" applyNumberFormat="1" applyFont="1" applyAlignment="1" applyProtection="1">
      <alignment horizontal="right"/>
      <protection locked="0"/>
    </xf>
    <xf numFmtId="164" fontId="4" fillId="0" borderId="0" xfId="1" applyNumberFormat="1" applyFont="1" applyFill="1" applyAlignment="1" applyProtection="1">
      <alignment horizontal="right"/>
      <protection locked="0"/>
    </xf>
    <xf numFmtId="10" fontId="4" fillId="0" borderId="0" xfId="0" applyNumberFormat="1" applyFont="1" applyAlignment="1" applyProtection="1">
      <alignment horizontal="right"/>
      <protection locked="0"/>
    </xf>
    <xf numFmtId="164" fontId="0" fillId="4" borderId="0" xfId="1" applyNumberFormat="1" applyFont="1" applyFill="1"/>
    <xf numFmtId="14" fontId="3" fillId="0" borderId="0" xfId="0" applyNumberFormat="1" applyFont="1" applyProtection="1">
      <protection locked="0"/>
    </xf>
    <xf numFmtId="0" fontId="4" fillId="0" borderId="0" xfId="0" applyFont="1" applyAlignment="1" applyProtection="1">
      <alignment horizontal="right"/>
      <protection locked="0"/>
    </xf>
    <xf numFmtId="43" fontId="3" fillId="0" borderId="0" xfId="0" applyNumberFormat="1" applyFont="1" applyAlignment="1">
      <alignment horizontal="right"/>
    </xf>
    <xf numFmtId="44" fontId="3" fillId="0" borderId="0" xfId="3" applyFont="1"/>
    <xf numFmtId="167" fontId="3" fillId="0" borderId="2" xfId="3" applyNumberFormat="1" applyFont="1" applyBorder="1"/>
    <xf numFmtId="167" fontId="3" fillId="0" borderId="0" xfId="3" applyNumberFormat="1" applyFont="1"/>
    <xf numFmtId="44" fontId="3" fillId="0" borderId="0" xfId="3" applyFont="1" applyFill="1"/>
    <xf numFmtId="164" fontId="3" fillId="0" borderId="0" xfId="1" applyNumberFormat="1" applyFont="1"/>
    <xf numFmtId="168" fontId="3" fillId="0" borderId="0" xfId="0" applyNumberFormat="1" applyFont="1" applyAlignment="1">
      <alignment horizontal="right"/>
    </xf>
    <xf numFmtId="10" fontId="0" fillId="0" borderId="0" xfId="1" applyNumberFormat="1" applyFont="1"/>
    <xf numFmtId="164" fontId="0" fillId="4" borderId="0" xfId="0" applyNumberFormat="1" applyFill="1"/>
    <xf numFmtId="10" fontId="4" fillId="0" borderId="0" xfId="1" applyNumberFormat="1" applyFont="1" applyAlignment="1">
      <alignment horizontal="right"/>
    </xf>
    <xf numFmtId="43" fontId="4" fillId="0" borderId="0" xfId="0" applyNumberFormat="1" applyFont="1" applyAlignment="1">
      <alignment horizontal="right"/>
    </xf>
    <xf numFmtId="7" fontId="0" fillId="0" borderId="0" xfId="0" applyNumberFormat="1"/>
    <xf numFmtId="3" fontId="0" fillId="0" borderId="0" xfId="0" applyNumberFormat="1"/>
    <xf numFmtId="169" fontId="0" fillId="0" borderId="0" xfId="0" applyNumberFormat="1"/>
    <xf numFmtId="7" fontId="0" fillId="0" borderId="0" xfId="1" applyNumberFormat="1" applyFont="1"/>
    <xf numFmtId="1" fontId="9" fillId="0" borderId="0" xfId="0" applyNumberFormat="1" applyFont="1"/>
    <xf numFmtId="43" fontId="0" fillId="0" borderId="0" xfId="0" applyNumberFormat="1"/>
    <xf numFmtId="0" fontId="10" fillId="5" borderId="0" xfId="0" applyFont="1" applyFill="1"/>
    <xf numFmtId="43" fontId="3" fillId="0" borderId="0" xfId="2" applyFont="1" applyFill="1" applyAlignment="1">
      <alignment horizontal="right"/>
    </xf>
    <xf numFmtId="0" fontId="4" fillId="2" borderId="0" xfId="0" applyFont="1" applyFill="1" applyAlignment="1">
      <alignment horizontal="right"/>
    </xf>
    <xf numFmtId="0" fontId="3" fillId="2" borderId="0" xfId="0" applyFont="1" applyFill="1"/>
    <xf numFmtId="8" fontId="4" fillId="2" borderId="0" xfId="2" applyNumberFormat="1" applyFont="1" applyFill="1" applyAlignment="1">
      <alignment horizontal="right"/>
    </xf>
    <xf numFmtId="44" fontId="4" fillId="0" borderId="0" xfId="3" applyFont="1" applyAlignment="1" applyProtection="1">
      <alignment horizontal="right"/>
      <protection locked="0"/>
    </xf>
    <xf numFmtId="43" fontId="3" fillId="6" borderId="0" xfId="2" applyFont="1" applyFill="1"/>
    <xf numFmtId="8" fontId="3" fillId="0" borderId="0" xfId="0" applyNumberFormat="1" applyFont="1" applyAlignment="1">
      <alignment horizontal="right"/>
    </xf>
    <xf numFmtId="8" fontId="3" fillId="0" borderId="0" xfId="0" applyNumberFormat="1" applyFont="1"/>
    <xf numFmtId="0" fontId="5" fillId="0" borderId="1" xfId="0" applyFont="1" applyBorder="1" applyAlignment="1">
      <alignment horizontal="center"/>
    </xf>
  </cellXfs>
  <cellStyles count="5">
    <cellStyle name="Comma" xfId="2" builtinId="3"/>
    <cellStyle name="Currency" xfId="3" builtinId="4"/>
    <cellStyle name="Normal" xfId="0" builtinId="0"/>
    <cellStyle name="Normal 2" xfId="4" xr:uid="{C2706C90-4A3B-4861-95DD-0A8864AEC306}"/>
    <cellStyle name="Percent" xfId="1" builtinId="5"/>
  </cellStyles>
  <dxfs count="207">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rgb="FF000000"/>
        <name val="Calibri"/>
        <scheme val="none"/>
      </font>
    </dxf>
    <dxf>
      <border outline="0">
        <bottom style="thin">
          <color rgb="FF000000"/>
        </bottom>
      </border>
    </dxf>
    <dxf>
      <font>
        <strike val="0"/>
        <outline val="0"/>
        <shadow val="0"/>
        <u val="none"/>
        <vertAlign val="baseline"/>
        <sz val="8"/>
        <color theme="1"/>
        <name val="Calibri"/>
        <scheme val="minor"/>
      </font>
    </dxf>
    <dxf>
      <numFmt numFmtId="11" formatCode="&quot;$&quot;#,##0.00_);\(&quot;$&quot;#,##0.00\)"/>
    </dxf>
    <dxf>
      <numFmt numFmtId="11" formatCode="&quot;$&quot;#,##0.00_);\(&quot;$&quot;#,##0.00\)"/>
    </dxf>
    <dxf>
      <numFmt numFmtId="35" formatCode="_(* #,##0.00_);_(* \(#,##0.00\);_(* &quot;-&quot;??_);_(@_)"/>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11" formatCode="&quot;$&quot;#,##0.00_);\(&quot;$&quot;#,##0.00\)"/>
    </dxf>
    <dxf>
      <numFmt numFmtId="3" formatCode="#,##0"/>
    </dxf>
    <dxf>
      <numFmt numFmtId="169" formatCode="mm/dd/yyyy"/>
    </dxf>
    <dxf>
      <font>
        <strike val="0"/>
        <outline val="0"/>
        <shadow val="0"/>
        <u val="none"/>
        <vertAlign val="baseline"/>
        <sz val="8"/>
        <color theme="1"/>
        <name val="Calibri"/>
        <scheme val="minor"/>
      </font>
      <numFmt numFmtId="164" formatCode="0.000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0" formatCode="General"/>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family val="2"/>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b val="0"/>
        <i val="0"/>
        <strike val="0"/>
        <condense val="0"/>
        <extend val="0"/>
        <outline val="0"/>
        <shadow val="0"/>
        <u val="none"/>
        <vertAlign val="baseline"/>
        <sz val="8"/>
        <color theme="1"/>
        <name val="Calibri"/>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35" formatCode="_(* #,##0.00_);_(* \(#,##0.00\);_(* &quot;-&quot;??_);_(@_)"/>
    </dxf>
    <dxf>
      <font>
        <strike val="0"/>
        <outline val="0"/>
        <shadow val="0"/>
        <u val="none"/>
        <vertAlign val="baseline"/>
        <sz val="8"/>
        <color theme="1"/>
        <name val="Calibri"/>
        <scheme val="minor"/>
      </font>
      <numFmt numFmtId="35" formatCode="_(* #,##0.00_);_(* \(#,##0.00\);_(* &quot;-&quot;??_);_(@_)"/>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numFmt numFmtId="19" formatCode="m/d/yyyy"/>
    </dxf>
    <dxf>
      <font>
        <strike val="0"/>
        <outline val="0"/>
        <shadow val="0"/>
        <u val="none"/>
        <vertAlign val="baseline"/>
        <sz val="8"/>
        <color theme="1"/>
        <name val="Calibri"/>
        <scheme val="minor"/>
      </font>
    </dxf>
    <dxf>
      <border outline="0">
        <bottom style="thin">
          <color indexed="64"/>
        </bottom>
      </border>
    </dxf>
    <dxf>
      <font>
        <strike val="0"/>
        <outline val="0"/>
        <shadow val="0"/>
        <u val="none"/>
        <vertAlign val="baseline"/>
        <sz val="8"/>
        <color theme="1"/>
        <name val="Calibri"/>
        <scheme val="minor"/>
      </font>
    </dxf>
  </dxfs>
  <tableStyles count="0" defaultTableStyle="TableStyleMedium2" defaultPivotStyle="PivotStyleLight16"/>
  <colors>
    <mruColors>
      <color rgb="FFF5FC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0</xdr:col>
      <xdr:colOff>388620</xdr:colOff>
      <xdr:row>1</xdr:row>
      <xdr:rowOff>137160</xdr:rowOff>
    </xdr:from>
    <xdr:to>
      <xdr:col>14</xdr:col>
      <xdr:colOff>213360</xdr:colOff>
      <xdr:row>28</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88620" y="327660"/>
          <a:ext cx="8092440" cy="506349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t>ReadMe</a:t>
          </a:r>
          <a:endParaRPr lang="en-US" sz="2000" b="0"/>
        </a:p>
        <a:p>
          <a:r>
            <a:rPr lang="en-US" sz="1100"/>
            <a:t>First and foremost, this document is presented as-is without warranty. The calculations within the DCF are complex and we have tried to recreate them to the best of our abilities within Excel as a courtesy to our users. It is likely we missed something in certain cases. It is our hope this covers the majority of base cases. If you note an issue with the formulas / sheet please contact us at alll@sageworks.com.</a:t>
          </a:r>
        </a:p>
        <a:p>
          <a:endParaRPr lang="en-US" sz="1100"/>
        </a:p>
        <a:p>
          <a:r>
            <a:rPr lang="en-US" sz="1100"/>
            <a:t>Cells highlighted</a:t>
          </a:r>
          <a:r>
            <a:rPr lang="en-US" sz="1100" baseline="0"/>
            <a:t> in light yellow can be changed by the user. The sheet is left unprotected for ease-of-use &amp; review. </a:t>
          </a:r>
        </a:p>
        <a:p>
          <a:endParaRPr lang="en-US" sz="1100"/>
        </a:p>
        <a:p>
          <a:r>
            <a:rPr lang="en-US" sz="1100" b="1"/>
            <a:t>Last updated: </a:t>
          </a:r>
          <a:r>
            <a:rPr lang="en-US" sz="1100"/>
            <a:t>02/26/2020</a:t>
          </a:r>
        </a:p>
        <a:p>
          <a:endParaRPr lang="en-US" sz="1100"/>
        </a:p>
        <a:p>
          <a:r>
            <a:rPr lang="en-US" sz="1100" b="1"/>
            <a:t>Recent Revisions:</a:t>
          </a:r>
        </a:p>
        <a:p>
          <a:r>
            <a:rPr lang="en-US" sz="1100"/>
            <a:t>2/18/19</a:t>
          </a:r>
          <a:r>
            <a:rPr lang="en-US" sz="1100" baseline="0"/>
            <a:t> - adjust to allow for forecasting. To do so use the "Forecasts" tab to setup forecasts (if you are only forecasting &lt; 20 quarters just fill the rest of the quarters in with your final forecasted value). B7-B10 of the DCF tab can be changed to start using the forecasts. </a:t>
          </a:r>
        </a:p>
        <a:p>
          <a:r>
            <a:rPr lang="en-US" sz="1100" baseline="0"/>
            <a:t>2/18/19 - set prepayment to 0 if modeling a line of credit</a:t>
          </a:r>
        </a:p>
        <a:p>
          <a:r>
            <a:rPr lang="en-US" sz="1100" baseline="0"/>
            <a:t>6/3/19 - updated to use a User Defined Function for Bankers Rounding per: </a:t>
          </a:r>
          <a:r>
            <a:rPr lang="en-US">
              <a:hlinkClick xmlns:r="http://schemas.openxmlformats.org/officeDocument/2006/relationships" r:id=""/>
            </a:rPr>
            <a:t>https://stackoverflow.com/questions/44310679/bankers-rounding-function-in-excel</a:t>
          </a:r>
          <a:endParaRPr lang="en-US"/>
        </a:p>
        <a:p>
          <a:r>
            <a:rPr lang="en-US" sz="1100" baseline="0"/>
            <a:t>6/3/19 - updated to reflect that we always treat February as 28 days regardless of potential leap year. </a:t>
          </a:r>
        </a:p>
        <a:p>
          <a:r>
            <a:rPr lang="en-US" sz="1100" baseline="0"/>
            <a:t>9/20/19 - updated to add support for fixed principal payment types</a:t>
          </a:r>
        </a:p>
        <a:p>
          <a:r>
            <a:rPr lang="en-US" sz="1100" baseline="0"/>
            <a:t>10/10/19 - updated to remove amortized cost functionality not working well</a:t>
          </a:r>
        </a:p>
        <a:p>
          <a:r>
            <a:rPr lang="en-US" sz="1100" baseline="0"/>
            <a:t>2/26/20 - Started updating to support reamortizing each period for fi</a:t>
          </a:r>
        </a:p>
        <a:p>
          <a:endParaRPr lang="en-US" sz="1100" baseline="0"/>
        </a:p>
        <a:p>
          <a:r>
            <a:rPr lang="en-US" sz="1100" b="1" baseline="0"/>
            <a:t>To do:</a:t>
          </a:r>
        </a:p>
        <a:p>
          <a:r>
            <a:rPr lang="en-US" sz="1100" b="0" baseline="0"/>
            <a:t>Support for single pay balloons.</a:t>
          </a:r>
        </a:p>
        <a:p>
          <a:r>
            <a:rPr lang="en-US" sz="1100" b="0" baseline="0"/>
            <a:t>Support for fixed principal. </a:t>
          </a:r>
        </a:p>
        <a:p>
          <a:r>
            <a:rPr lang="en-US" sz="1100" b="0" baseline="0"/>
            <a:t>Support for payment frequencies other than monthly.</a:t>
          </a:r>
        </a:p>
        <a:p>
          <a:r>
            <a:rPr lang="en-US" sz="1100" b="0" baseline="0"/>
            <a:t>It would be nice to use the export functionality to pull in the inputs</a:t>
          </a:r>
        </a:p>
        <a:p>
          <a:r>
            <a:rPr lang="en-US" sz="1100" b="0" baseline="0"/>
            <a:t>"Run Amortized Cost" button seems like it needs some work - removed for now.</a:t>
          </a:r>
        </a:p>
        <a:p>
          <a:endParaRPr lang="en-US" sz="1100" b="0" baseline="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25</xdr:col>
      <xdr:colOff>424180</xdr:colOff>
      <xdr:row>2</xdr:row>
      <xdr:rowOff>17990</xdr:rowOff>
    </xdr:from>
    <xdr:to>
      <xdr:col>29</xdr:col>
      <xdr:colOff>552238</xdr:colOff>
      <xdr:row>26</xdr:row>
      <xdr:rowOff>96929</xdr:rowOff>
    </xdr:to>
    <xdr:pic>
      <xdr:nvPicPr>
        <xdr:cNvPr id="2" name="Picture 1">
          <a:extLst>
            <a:ext uri="{FF2B5EF4-FFF2-40B4-BE49-F238E27FC236}">
              <a16:creationId xmlns:a16="http://schemas.microsoft.com/office/drawing/2014/main" id="{2A288440-E3B5-FEE4-3BAD-C9A9EF4207BD}"/>
            </a:ext>
          </a:extLst>
        </xdr:cNvPr>
        <xdr:cNvPicPr>
          <a:picLocks noChangeAspect="1"/>
        </xdr:cNvPicPr>
      </xdr:nvPicPr>
      <xdr:blipFill>
        <a:blip xmlns:r="http://schemas.openxmlformats.org/officeDocument/2006/relationships" r:embed="rId1"/>
        <a:stretch>
          <a:fillRect/>
        </a:stretch>
      </xdr:blipFill>
      <xdr:spPr>
        <a:xfrm>
          <a:off x="16553180" y="377823"/>
          <a:ext cx="2583391" cy="4396939"/>
        </a:xfrm>
        <a:prstGeom prst="rect">
          <a:avLst/>
        </a:prstGeom>
      </xdr:spPr>
    </xdr:pic>
    <xdr:clientData/>
  </xdr:twoCellAnchor>
  <xdr:twoCellAnchor editAs="oneCell">
    <xdr:from>
      <xdr:col>25</xdr:col>
      <xdr:colOff>289983</xdr:colOff>
      <xdr:row>26</xdr:row>
      <xdr:rowOff>122767</xdr:rowOff>
    </xdr:from>
    <xdr:to>
      <xdr:col>29</xdr:col>
      <xdr:colOff>190923</xdr:colOff>
      <xdr:row>50</xdr:row>
      <xdr:rowOff>141505</xdr:rowOff>
    </xdr:to>
    <xdr:pic>
      <xdr:nvPicPr>
        <xdr:cNvPr id="3" name="Picture 2">
          <a:extLst>
            <a:ext uri="{FF2B5EF4-FFF2-40B4-BE49-F238E27FC236}">
              <a16:creationId xmlns:a16="http://schemas.microsoft.com/office/drawing/2014/main" id="{BA5DEB82-BEAF-E7C6-E1CE-676773C30CA6}"/>
            </a:ext>
          </a:extLst>
        </xdr:cNvPr>
        <xdr:cNvPicPr>
          <a:picLocks noChangeAspect="1"/>
        </xdr:cNvPicPr>
      </xdr:nvPicPr>
      <xdr:blipFill>
        <a:blip xmlns:r="http://schemas.openxmlformats.org/officeDocument/2006/relationships" r:embed="rId2"/>
        <a:stretch>
          <a:fillRect/>
        </a:stretch>
      </xdr:blipFill>
      <xdr:spPr>
        <a:xfrm>
          <a:off x="16418983" y="4800600"/>
          <a:ext cx="2356273" cy="43367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422592</xdr:colOff>
      <xdr:row>0</xdr:row>
      <xdr:rowOff>90489</xdr:rowOff>
    </xdr:from>
    <xdr:to>
      <xdr:col>19</xdr:col>
      <xdr:colOff>476017</xdr:colOff>
      <xdr:row>13</xdr:row>
      <xdr:rowOff>97051</xdr:rowOff>
    </xdr:to>
    <xdr:pic>
      <xdr:nvPicPr>
        <xdr:cNvPr id="8" name="Picture 2">
          <a:extLst>
            <a:ext uri="{FF2B5EF4-FFF2-40B4-BE49-F238E27FC236}">
              <a16:creationId xmlns:a16="http://schemas.microsoft.com/office/drawing/2014/main" id="{3657C2D0-A8A7-38AF-9475-8687C1273E62}"/>
            </a:ext>
          </a:extLst>
        </xdr:cNvPr>
        <xdr:cNvPicPr>
          <a:picLocks noChangeAspect="1"/>
        </xdr:cNvPicPr>
      </xdr:nvPicPr>
      <xdr:blipFill>
        <a:blip xmlns:r="http://schemas.openxmlformats.org/officeDocument/2006/relationships" r:embed="rId1"/>
        <a:stretch>
          <a:fillRect/>
        </a:stretch>
      </xdr:blipFill>
      <xdr:spPr>
        <a:xfrm>
          <a:off x="14591030" y="90489"/>
          <a:ext cx="5414730" cy="19636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291672</xdr:colOff>
      <xdr:row>2</xdr:row>
      <xdr:rowOff>0</xdr:rowOff>
    </xdr:from>
    <xdr:to>
      <xdr:col>19</xdr:col>
      <xdr:colOff>67739</xdr:colOff>
      <xdr:row>14</xdr:row>
      <xdr:rowOff>28575</xdr:rowOff>
    </xdr:to>
    <xdr:pic>
      <xdr:nvPicPr>
        <xdr:cNvPr id="3" name="Picture 2">
          <a:extLst>
            <a:ext uri="{FF2B5EF4-FFF2-40B4-BE49-F238E27FC236}">
              <a16:creationId xmlns:a16="http://schemas.microsoft.com/office/drawing/2014/main" id="{D1A6810D-F02C-EF17-0643-9CB16A852C5F}"/>
            </a:ext>
          </a:extLst>
        </xdr:cNvPr>
        <xdr:cNvPicPr>
          <a:picLocks noChangeAspect="1"/>
        </xdr:cNvPicPr>
      </xdr:nvPicPr>
      <xdr:blipFill>
        <a:blip xmlns:r="http://schemas.openxmlformats.org/officeDocument/2006/relationships" r:embed="rId1"/>
        <a:stretch>
          <a:fillRect/>
        </a:stretch>
      </xdr:blipFill>
      <xdr:spPr>
        <a:xfrm>
          <a:off x="14055297" y="295275"/>
          <a:ext cx="4986242" cy="18573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215265</xdr:colOff>
      <xdr:row>0</xdr:row>
      <xdr:rowOff>0</xdr:rowOff>
    </xdr:from>
    <xdr:to>
      <xdr:col>22</xdr:col>
      <xdr:colOff>274320</xdr:colOff>
      <xdr:row>12</xdr:row>
      <xdr:rowOff>49483</xdr:rowOff>
    </xdr:to>
    <xdr:pic>
      <xdr:nvPicPr>
        <xdr:cNvPr id="2" name="Picture 2">
          <a:extLst>
            <a:ext uri="{FF2B5EF4-FFF2-40B4-BE49-F238E27FC236}">
              <a16:creationId xmlns:a16="http://schemas.microsoft.com/office/drawing/2014/main" id="{9900528B-45A4-C6F3-0F24-55614144590A}"/>
            </a:ext>
          </a:extLst>
        </xdr:cNvPr>
        <xdr:cNvPicPr>
          <a:picLocks noChangeAspect="1"/>
        </xdr:cNvPicPr>
      </xdr:nvPicPr>
      <xdr:blipFill>
        <a:blip xmlns:r="http://schemas.openxmlformats.org/officeDocument/2006/relationships" r:embed="rId1"/>
        <a:stretch>
          <a:fillRect/>
        </a:stretch>
      </xdr:blipFill>
      <xdr:spPr>
        <a:xfrm>
          <a:off x="18027015" y="0"/>
          <a:ext cx="4259580" cy="187828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105872</xdr:colOff>
      <xdr:row>3</xdr:row>
      <xdr:rowOff>71437</xdr:rowOff>
    </xdr:from>
    <xdr:to>
      <xdr:col>15</xdr:col>
      <xdr:colOff>404812</xdr:colOff>
      <xdr:row>9</xdr:row>
      <xdr:rowOff>95250</xdr:rowOff>
    </xdr:to>
    <xdr:pic>
      <xdr:nvPicPr>
        <xdr:cNvPr id="2" name="Picture 3">
          <a:extLst>
            <a:ext uri="{FF2B5EF4-FFF2-40B4-BE49-F238E27FC236}">
              <a16:creationId xmlns:a16="http://schemas.microsoft.com/office/drawing/2014/main" id="{CDC71607-A140-85F8-8807-4B1537626619}"/>
            </a:ext>
          </a:extLst>
        </xdr:cNvPr>
        <xdr:cNvPicPr>
          <a:picLocks noChangeAspect="1"/>
        </xdr:cNvPicPr>
      </xdr:nvPicPr>
      <xdr:blipFill>
        <a:blip xmlns:r="http://schemas.openxmlformats.org/officeDocument/2006/relationships" r:embed="rId1"/>
        <a:stretch>
          <a:fillRect/>
        </a:stretch>
      </xdr:blipFill>
      <xdr:spPr>
        <a:xfrm>
          <a:off x="13885372" y="515937"/>
          <a:ext cx="2219815" cy="9286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217170</xdr:colOff>
      <xdr:row>12</xdr:row>
      <xdr:rowOff>49692</xdr:rowOff>
    </xdr:to>
    <xdr:pic>
      <xdr:nvPicPr>
        <xdr:cNvPr id="2" name="Picture 1">
          <a:extLst>
            <a:ext uri="{FF2B5EF4-FFF2-40B4-BE49-F238E27FC236}">
              <a16:creationId xmlns:a16="http://schemas.microsoft.com/office/drawing/2014/main" id="{D2E5DB00-4E40-DD97-4E3B-4B340C019C20}"/>
            </a:ext>
          </a:extLst>
        </xdr:cNvPr>
        <xdr:cNvPicPr>
          <a:picLocks noChangeAspect="1"/>
        </xdr:cNvPicPr>
      </xdr:nvPicPr>
      <xdr:blipFill>
        <a:blip xmlns:r="http://schemas.openxmlformats.org/officeDocument/2006/relationships" r:embed="rId1"/>
        <a:stretch>
          <a:fillRect/>
        </a:stretch>
      </xdr:blipFill>
      <xdr:spPr>
        <a:xfrm>
          <a:off x="13982700" y="190501"/>
          <a:ext cx="4391025" cy="168608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13</xdr:col>
      <xdr:colOff>219075</xdr:colOff>
      <xdr:row>1</xdr:row>
      <xdr:rowOff>47626</xdr:rowOff>
    </xdr:from>
    <xdr:to>
      <xdr:col>18</xdr:col>
      <xdr:colOff>211455</xdr:colOff>
      <xdr:row>12</xdr:row>
      <xdr:rowOff>57312</xdr:rowOff>
    </xdr:to>
    <xdr:pic>
      <xdr:nvPicPr>
        <xdr:cNvPr id="2" name="Picture 1">
          <a:extLst>
            <a:ext uri="{FF2B5EF4-FFF2-40B4-BE49-F238E27FC236}">
              <a16:creationId xmlns:a16="http://schemas.microsoft.com/office/drawing/2014/main" id="{2D6C309B-7376-4433-98C7-77B1DF1D32FE}"/>
            </a:ext>
          </a:extLst>
        </xdr:cNvPr>
        <xdr:cNvPicPr>
          <a:picLocks noChangeAspect="1"/>
        </xdr:cNvPicPr>
      </xdr:nvPicPr>
      <xdr:blipFill>
        <a:blip xmlns:r="http://schemas.openxmlformats.org/officeDocument/2006/relationships" r:embed="rId1"/>
        <a:stretch>
          <a:fillRect/>
        </a:stretch>
      </xdr:blipFill>
      <xdr:spPr>
        <a:xfrm>
          <a:off x="14380845" y="182881"/>
          <a:ext cx="4505325" cy="1695611"/>
        </a:xfrm>
        <a:prstGeom prst="rect">
          <a:avLst/>
        </a:prstGeom>
      </xdr:spPr>
    </xdr:pic>
    <xdr:clientData/>
  </xdr:twoCellAnchor>
  <xdr:twoCellAnchor editAs="oneCell">
    <xdr:from>
      <xdr:col>5</xdr:col>
      <xdr:colOff>314324</xdr:colOff>
      <xdr:row>10</xdr:row>
      <xdr:rowOff>28576</xdr:rowOff>
    </xdr:from>
    <xdr:to>
      <xdr:col>12</xdr:col>
      <xdr:colOff>171656</xdr:colOff>
      <xdr:row>31</xdr:row>
      <xdr:rowOff>114300</xdr:rowOff>
    </xdr:to>
    <xdr:pic>
      <xdr:nvPicPr>
        <xdr:cNvPr id="3" name="Picture 2">
          <a:extLst>
            <a:ext uri="{FF2B5EF4-FFF2-40B4-BE49-F238E27FC236}">
              <a16:creationId xmlns:a16="http://schemas.microsoft.com/office/drawing/2014/main" id="{900C17CB-23BA-44AE-BE4E-F25CE621997C}"/>
            </a:ext>
          </a:extLst>
        </xdr:cNvPr>
        <xdr:cNvPicPr>
          <a:picLocks noChangeAspect="1"/>
        </xdr:cNvPicPr>
      </xdr:nvPicPr>
      <xdr:blipFill>
        <a:blip xmlns:r="http://schemas.openxmlformats.org/officeDocument/2006/relationships" r:embed="rId2"/>
        <a:stretch>
          <a:fillRect/>
        </a:stretch>
      </xdr:blipFill>
      <xdr:spPr>
        <a:xfrm>
          <a:off x="5162549" y="1533526"/>
          <a:ext cx="8104077" cy="296227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e.sharepoint.com/personal/maxim_hromis_crowe_com/Documents/Microsoft%20Teams%20Chat%20Files/Columbia%20CECL%20Workpaper%20DCF%20Re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DCF"/>
      <sheetName val="Forecasts"/>
      <sheetName val="Input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T385" totalsRowShown="0" headerRowDxfId="206" dataDxfId="204" headerRowBorderDxfId="205" headerRowCellStyle="Normal" dataCellStyle="Normal">
  <autoFilter ref="B16:T385" xr:uid="{00000000-0009-0000-0100-000001000000}"/>
  <tableColumns count="19">
    <tableColumn id="1" xr3:uid="{00000000-0010-0000-0000-000001000000}" name="Date" dataDxfId="203" dataCellStyle="Normal">
      <calculatedColumnFormula>EOMONTH(B16,1)</calculatedColumnFormula>
    </tableColumn>
    <tableColumn id="2" xr3:uid="{00000000-0010-0000-0000-000002000000}" name="Period" dataDxfId="202" dataCellStyle="Normal">
      <calculatedColumnFormula>C16+1</calculatedColumnFormula>
    </tableColumn>
    <tableColumn id="3" xr3:uid="{00000000-0010-0000-0000-000003000000}" name="Beginning Balance" dataDxfId="201" dataCellStyle="Comma">
      <calculatedColumnFormula>O16</calculatedColumnFormula>
    </tableColumn>
    <tableColumn id="4" xr3:uid="{00000000-0010-0000-0000-000004000000}" name="Interest" dataDxfId="200" dataCellStyle="Comma">
      <calculatedColumnFormula>BankerRound(Table1[[#This Row],[Beginning Balance]]*Table1[[#This Row],[Monthly Interest Rate]],2)</calculatedColumnFormula>
    </tableColumn>
    <tableColumn id="18" xr3:uid="{9D4C985A-76D6-4F53-966A-3D5A651F59C7}" name="Am Thru" dataDxfId="199" dataCellStyle="Comma">
      <calculatedColumnFormula>IF(D17=0,0,ROUND(NPER(Table1[[#This Row],[Monthly Interest Rate]],G16,-D16)-1,0))</calculatedColumnFormula>
    </tableColumn>
    <tableColumn id="20" xr3:uid="{00000000-0010-0000-0000-000014000000}" name="Payment Amount (Reamortized)" dataDxfId="198" dataCellStyle="Comma">
      <calculatedColumnFormula>IFERROR(IF($C$13="No","N/A",IF(Table1[[#This Row],[Period]]=1,$C$6,PMT(InterestRate*AmortizationMultiplier/12,Table1[[#This Row],[Am Thru]],-Table1[[#This Row],[Beginning Balance]]))),0)</calculatedColumnFormula>
    </tableColumn>
    <tableColumn id="5" xr3:uid="{00000000-0010-0000-0000-000005000000}" name="Principal" dataDxfId="197" dataCellStyle="Comma">
      <calculatedColumnFormula>MAX(0,IF(C17=$C$4,D17,ROUND(IF($C$3="Fixed Principal",$C$6-Table1[[#This Row],[Interest]],IF($C$3="Interest Only",Table1[[#This Row],[Beginning Balance]]*ROUND(1-(1-IF($C$11="No",$E$8,1))^(1/12),6),MIN(IF($C$13="Yes",Table1[[#This Row],[Payment Amount (Reamortized)]],$C$6)-Table1[[#This Row],[Interest]],Table1[[#This Row],[Beginning Balance]]))),2)))</calculatedColumnFormula>
    </tableColumn>
    <tableColumn id="6" xr3:uid="{00000000-0010-0000-0000-000006000000}" name="Prepayments" dataDxfId="196" dataCellStyle="Comma">
      <calculatedColumnFormula>ROUND(MAX(MIN(IF(C10="No",$E$7,VLOOKUP(Table1[[#This Row],[Period]],Forecast!G2:L1048576,5,FALSE))*Table1[[#This Row],[Beginning Balance]],Table1[[#This Row],[Beginning Balance]]-Table1[[#This Row],[Principal]]),0),2)</calculatedColumnFormula>
    </tableColumn>
    <tableColumn id="7" xr3:uid="{00000000-0010-0000-0000-000007000000}" name="Defaulted Principal" dataDxfId="195" dataCellStyle="Comma">
      <calculatedColumnFormula>BankerRound(MIN(Table1[[#This Row],[Beginning Balance]]*IF($C$8="No",$E$3,VLOOKUP(Table1[[#This Row],[Period]],Forecast!$H$2:$L$1048576,2,FALSE)),Table1[[#This Row],[Beginning Balance]]-Table1[[#This Row],[Principal]]-Table1[[#This Row],[Prepayments]]),2)</calculatedColumnFormula>
    </tableColumn>
    <tableColumn id="8" xr3:uid="{00000000-0010-0000-0000-000008000000}" name="Estimated Loss" dataDxfId="194" dataCellStyle="Comma">
      <calculatedColumnFormula>BankerRound(Table1[[#This Row],[Defaulted Principal]]*IF($C$9="No",$E$4,VLOOKUP(Table1[[#This Row],[Period]],Forecast!$H$2:$L$1048576,3,FALSE)),2)</calculatedColumnFormula>
    </tableColumn>
    <tableColumn id="9" xr3:uid="{00000000-0010-0000-0000-000009000000}" name="Estimated Recovery Period" dataDxfId="193" dataCellStyle="Normal">
      <calculatedColumnFormula>Table1[[#This Row],[Period]]+$E$9</calculatedColumnFormula>
    </tableColumn>
    <tableColumn id="10" xr3:uid="{00000000-0010-0000-0000-00000A000000}" name="Available to Recover" dataDxfId="192" dataCellStyle="Comma">
      <calculatedColumnFormula>Table1[[#This Row],[Defaulted Principal]]-Table1[[#This Row],[Estimated Loss]]</calculatedColumnFormula>
    </tableColumn>
    <tableColumn id="11" xr3:uid="{00000000-0010-0000-0000-00000B000000}" name="RecoveredAmount" dataDxfId="191" dataCellStyle="Comma">
      <calculatedColumnFormula>IFERROR(VLOOKUP(Table1[[#This Row],[Period]],$L$16:$M$385,2,FALSE),0)</calculatedColumnFormula>
    </tableColumn>
    <tableColumn id="12" xr3:uid="{00000000-0010-0000-0000-00000C000000}" name="End of month Balance" dataDxfId="190" dataCellStyle="Comma">
      <calculatedColumnFormula>Table1[[#This Row],[Beginning Balance]]-Table1[[#This Row],[Principal]]-Table1[[#This Row],[Prepayments]]-Table1[[#This Row],[Defaulted Principal]]</calculatedColumnFormula>
    </tableColumn>
    <tableColumn id="13" xr3:uid="{00000000-0010-0000-0000-00000D000000}" name="Cash Flow" dataDxfId="189" dataCellStyle="Comma">
      <calculatedColumnFormula>Table1[[#This Row],[Principal]]+Table1[[#This Row],[Interest]]+Table1[[#This Row],[Prepayments]]+Table1[[#This Row],[RecoveredAmount]]</calculatedColumnFormula>
    </tableColumn>
    <tableColumn id="14" xr3:uid="{00000000-0010-0000-0000-00000E000000}" name="Present Value" dataDxfId="188" dataCellStyle="Comma">
      <calculatedColumnFormula>Table1[[#This Row],[Cash Flow]]/((1+ActualRateToUse)^(IF(ISNUMBER(SEARCH("Actual",$C$7)),Table1[[#This Row],[Running Total]]/365,Table1[[#This Row],[Period]]/12)))</calculatedColumnFormula>
    </tableColumn>
    <tableColumn id="15" xr3:uid="{00000000-0010-0000-0000-00000F000000}" name="Days in month" dataDxfId="187" dataCellStyle="Normal">
      <calculatedColumnFormula>IF(MONTH(Table1[[#This Row],[Date]])=2,28,DAY(DATE(YEAR(Table1[[#This Row],[Date]]),MONTH(Table1[[#This Row],[Date]])+1,1)-1))</calculatedColumnFormula>
    </tableColumn>
    <tableColumn id="16" xr3:uid="{00000000-0010-0000-0000-000010000000}" name="Running Total" dataDxfId="186" dataCellStyle="Normal">
      <calculatedColumnFormula>SUM(OFFSET(Table1[[#Headers],[Days in month]],1,0):Table1[[#This Row],[Days in month]])</calculatedColumnFormula>
    </tableColumn>
    <tableColumn id="17" xr3:uid="{00000000-0010-0000-0000-000011000000}" name="Monthly Interest Rate" dataDxfId="185" dataCellStyle="Percent">
      <calculatedColumnFormula>InterestRate*AmortizationMultiplier*IF(ISNUMBER(SEARCH("Actual",$C$7)),Table1[[#This Row],[Days in month]]/365,1/12)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0B2644-8EDB-4A19-BDBC-9DDA7DCC9A96}" name="Loan_Level_Results" displayName="Loan_Level_Results" ref="A1:O123" totalsRowShown="0">
  <autoFilter ref="A1:O123" xr:uid="{1FA8FD71-989A-494F-9CF4-811442029D11}"/>
  <tableColumns count="15">
    <tableColumn id="1" xr3:uid="{551CD7FF-0FA9-4E66-A46C-4D75CA90C174}" name="Date" dataDxfId="184"/>
    <tableColumn id="2" xr3:uid="{4FB6BB29-E346-428A-89C9-175D5609F1FE}" name="Period" dataDxfId="183"/>
    <tableColumn id="3" xr3:uid="{86784B2B-3F9D-4027-8E3A-6E1547E2142B}" name="Beginning Balance" dataDxfId="182"/>
    <tableColumn id="4" xr3:uid="{728A1CEA-A489-4F41-8BEC-A0CFCF4B88FF}" name="Principal Payment" dataDxfId="181"/>
    <tableColumn id="5" xr3:uid="{FC43C5ED-5185-4E50-B882-B6A3B4ABC358}" name="Interest" dataDxfId="180"/>
    <tableColumn id="6" xr3:uid="{C36DC48C-275C-4FA5-89BA-4F545BB33CDA}" name="Prepayment" dataDxfId="179"/>
    <tableColumn id="7" xr3:uid="{DEDCE732-2570-46D7-AC78-55622F9D8E00}" name="Defaulted Principal" dataDxfId="178"/>
    <tableColumn id="8" xr3:uid="{7E7344CE-F69D-455D-A2DB-60FF80FAF38D}" name="Estimated Loss" dataDxfId="177"/>
    <tableColumn id="9" xr3:uid="{29E23341-F207-47F7-B8A3-5973B04F0657}" name="Estimated Recovery" dataDxfId="176"/>
    <tableColumn id="10" xr3:uid="{426083F6-E368-4557-97FC-E486F0386B7B}" name="Ending Balance" dataDxfId="175"/>
    <tableColumn id="11" xr3:uid="{FD0EA74D-B925-4B7D-90B7-CF227C4411A7}" name="Cash Flow" dataDxfId="174"/>
    <tableColumn id="12" xr3:uid="{31AA7849-7F13-4AD0-B473-25524F2D1E7F}" name="NPV" dataDxfId="173"/>
    <tableColumn id="13" xr3:uid="{856EBAA6-571D-443E-B6B6-EB6658FEA350}" name="DCF CALC NPV" dataDxfId="172">
      <calculatedColumnFormula>'DCF Calc'!Q17</calculatedColumnFormula>
    </tableColumn>
    <tableColumn id="14" xr3:uid="{1BCAC041-5F76-4A83-B2AE-09E83E94DE47}" name="NPV Diff." dataDxfId="171">
      <calculatedColumnFormula>Loan_Level_Results[[#This Row],[NPV]]-Loan_Level_Results[[#This Row],[DCF CALC NPV]]</calculatedColumnFormula>
    </tableColumn>
    <tableColumn id="15" xr3:uid="{4EE7999A-E4AE-4C05-ABE5-36A59C67DF25}" name="Column1" dataDxfId="170">
      <calculatedColumnFormula>Loan_Level_Results[[#This Row],[Principal Payment]]+Loan_Level_Results[[#This Row],[Interest]]</calculatedColumnFormula>
    </tableColumn>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A26BD2-4604-4A4E-9C56-C52E79560A39}" name="Table15" displayName="Table15" ref="B16:T385" totalsRowShown="0" headerRowDxfId="169" dataDxfId="167" headerRowBorderDxfId="168" headerRowCellStyle="Normal" dataCellStyle="Normal">
  <autoFilter ref="B16:T385" xr:uid="{00000000-0009-0000-0100-000001000000}"/>
  <tableColumns count="19">
    <tableColumn id="1" xr3:uid="{E9FE72AF-3434-4A9A-BB5F-D452513CC1B9}" name="Date" dataDxfId="166" dataCellStyle="Normal">
      <calculatedColumnFormula>EOMONTH(B16,1)</calculatedColumnFormula>
    </tableColumn>
    <tableColumn id="2" xr3:uid="{21DDFF65-F996-42C7-A64C-03B9350F9DE7}" name="Period" dataDxfId="165" dataCellStyle="Normal">
      <calculatedColumnFormula>C16+1</calculatedColumnFormula>
    </tableColumn>
    <tableColumn id="3" xr3:uid="{8F1D1903-BBE1-47BE-B66F-828FC82164F8}" name="Beginning Balance" dataDxfId="164" dataCellStyle="Comma">
      <calculatedColumnFormula>O16</calculatedColumnFormula>
    </tableColumn>
    <tableColumn id="4" xr3:uid="{E6F24A8C-9755-411C-96AB-5C1CA3602454}" name="Interest" dataDxfId="163" dataCellStyle="Comma">
      <calculatedColumnFormula>ROUND(Table15[[#This Row],[Beginning Balance]]*Table15[[#This Row],[Monthly Interest Rate]],2)</calculatedColumnFormula>
    </tableColumn>
    <tableColumn id="18" xr3:uid="{311B9AC8-F1F1-42A5-95CF-1E6B8A29708D}" name="Am Thru" dataDxfId="162" dataCellStyle="Comma">
      <calculatedColumnFormula>IF(D17=0,0,ROUND(NPER(Table15[[#This Row],[Monthly Interest Rate]],G16,-D16)-1,0))</calculatedColumnFormula>
    </tableColumn>
    <tableColumn id="20" xr3:uid="{073B0112-8243-4D84-A190-B180B4C93591}" name="Payment Amount (Reamortized)" dataDxfId="161" dataCellStyle="Comma">
      <calculatedColumnFormula>IFERROR(IF($C$13="No","N/A",IF(Table15[[#This Row],[Period]]=1,$C$6,PMT(InterestRate*AmortizationMultiplier/12,Table15[[#This Row],[Am Thru]],-Table15[[#This Row],[Beginning Balance]]))),0)</calculatedColumnFormula>
    </tableColumn>
    <tableColumn id="5" xr3:uid="{17DBE2FB-4257-41F1-9F91-E5A5B735C921}" name="Principal" dataDxfId="160" dataCellStyle="Comma">
      <calculatedColumnFormula>MAX(0,IF(C17=$C$4,D17,ROUND(IF($C$3="Fixed Principal",$C$6-Table15[[#This Row],[Interest]],IF($C$3="Interest Only",Table15[[#This Row],[Beginning Balance]]*ROUND(1-(1-IF($C$11="No",$E$8,1))^(1/12),6),MIN(IF($C$13="Yes",Table15[[#This Row],[Payment Amount (Reamortized)]],$C$6)-Table15[[#This Row],[Interest]],Table15[[#This Row],[Beginning Balance]]))),2)))</calculatedColumnFormula>
    </tableColumn>
    <tableColumn id="6" xr3:uid="{855322B9-B67B-4C3C-BAAC-4DFDE2E3DECB}" name="Prepayments" dataDxfId="159" dataCellStyle="Comma">
      <calculatedColumnFormula>ROUND(MAX(MIN(IF(C10="No",$E$7,VLOOKUP(Table15[[#This Row],[Period]],Forecast!G2:L1048576,5,FALSE))*Table15[[#This Row],[Beginning Balance]],Table15[[#This Row],[Beginning Balance]]-Table15[[#This Row],[Principal]]),0),2)</calculatedColumnFormula>
    </tableColumn>
    <tableColumn id="7" xr3:uid="{9A8016F1-7281-4E70-8DD9-50E6D08A3252}" name="Defaulted Principal" dataDxfId="158" dataCellStyle="Comma">
      <calculatedColumnFormula>ROUND(MIN(Table15[[#This Row],[Beginning Balance]]*IF($C$8="No",$E$3,VLOOKUP(Table15[[#This Row],[Period]],Forecast!$H$2:$L$1048576,2,FALSE)),Table15[[#This Row],[Beginning Balance]]-Table15[[#This Row],[Principal]]-Table15[[#This Row],[Prepayments]]),2)</calculatedColumnFormula>
    </tableColumn>
    <tableColumn id="8" xr3:uid="{3004B0B7-6489-4C87-B1B7-72A28E3E35FA}" name="Estimated Loss" dataDxfId="157" dataCellStyle="Comma">
      <calculatedColumnFormula>ROUND(Table15[[#This Row],[Defaulted Principal]]*IF($C$9="No",$E$4,VLOOKUP(Table15[[#This Row],[Period]],Forecast!$H$2:$L$1048576,3,FALSE)),2)</calculatedColumnFormula>
    </tableColumn>
    <tableColumn id="9" xr3:uid="{0F84D174-4A58-4CBC-885D-A58A3F0537C8}" name="Estimated Recovery Period" dataDxfId="156" dataCellStyle="Normal">
      <calculatedColumnFormula>Table15[[#This Row],[Period]]+$E$9</calculatedColumnFormula>
    </tableColumn>
    <tableColumn id="10" xr3:uid="{B60F8988-7062-4445-A619-AF58293A1958}" name="Available to Recover" dataDxfId="155" dataCellStyle="Comma">
      <calculatedColumnFormula>Table15[[#This Row],[Defaulted Principal]]-Table15[[#This Row],[Estimated Loss]]</calculatedColumnFormula>
    </tableColumn>
    <tableColumn id="11" xr3:uid="{F8A14BA2-0F96-4C59-9DFF-A68063F1360E}" name="RecoveredAmount" dataDxfId="154" dataCellStyle="Comma">
      <calculatedColumnFormula>IFERROR(VLOOKUP(Table15[[#This Row],[Period]],$L$16:$M$385,2,FALSE),0)</calculatedColumnFormula>
    </tableColumn>
    <tableColumn id="12" xr3:uid="{FD9CA1CF-B3D7-4035-A55F-D1AE0CBD72F1}" name="End of month Balance" dataDxfId="153" dataCellStyle="Comma">
      <calculatedColumnFormula>Table15[[#This Row],[Beginning Balance]]-Table15[[#This Row],[Principal]]-Table15[[#This Row],[Prepayments]]-Table15[[#This Row],[Defaulted Principal]]</calculatedColumnFormula>
    </tableColumn>
    <tableColumn id="13" xr3:uid="{7AFAAEC4-C281-4FBF-91D6-E294E8F0095B}" name="Cash Flow" dataDxfId="152" dataCellStyle="Comma">
      <calculatedColumnFormula>Table15[[#This Row],[Principal]]+Table15[[#This Row],[Interest]]+Table15[[#This Row],[Prepayments]]+Table15[[#This Row],[RecoveredAmount]]</calculatedColumnFormula>
    </tableColumn>
    <tableColumn id="14" xr3:uid="{3456A84A-1027-4EB5-A9B3-59D381DBC5BB}" name="Present Value" dataDxfId="151" dataCellStyle="Comma">
      <calculatedColumnFormula>ROUND(Table15[[#This Row],[Cash Flow]]/((1+ActualRateToUse)^(IF(ISNUMBER(SEARCH("Actual",$C$7)),Table15[[#This Row],[Running Total]]/365,Table15[[#This Row],[Period]]/12))),2)</calculatedColumnFormula>
    </tableColumn>
    <tableColumn id="15" xr3:uid="{597617A0-19A1-4F82-A545-0BD2BB53A300}" name="Days in month" dataDxfId="150" dataCellStyle="Normal">
      <calculatedColumnFormula>IF(MONTH(Table15[[#This Row],[Date]])=2,28,DAY(DATE(YEAR(Table15[[#This Row],[Date]]),MONTH(Table15[[#This Row],[Date]])+1,1)-1))</calculatedColumnFormula>
    </tableColumn>
    <tableColumn id="16" xr3:uid="{8EBD90F0-BAB8-4D1B-8E5F-5625B5A2BC0E}" name="Running Total" dataDxfId="149" dataCellStyle="Normal">
      <calculatedColumnFormula>SUM(OFFSET(Table15[[#Headers],[Days in month]],1,0):Table15[[#This Row],[Days in month]])</calculatedColumnFormula>
    </tableColumn>
    <tableColumn id="17" xr3:uid="{BE577913-B899-4220-B688-7237FA91FFF4}" name="Monthly Interest Rate" dataDxfId="148" dataCellStyle="Percent">
      <calculatedColumnFormula>InterestRate*AmortizationMultiplier*IF(ISNUMBER(SEARCH("Actual",$C$7)),Table15[[#This Row],[Days in month]]/365,1/12)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7AAB55A-18D4-441E-9B79-36A8719E5039}" name="Loan_Level_Results4" displayName="Loan_Level_Results4" ref="A1:O127" totalsRowShown="0">
  <autoFilter ref="A1:O127" xr:uid="{1FA8FD71-989A-494F-9CF4-811442029D11}"/>
  <tableColumns count="15">
    <tableColumn id="1" xr3:uid="{F92195E4-557C-46B0-B7A6-F8C6949F49E6}" name="Date" dataDxfId="147"/>
    <tableColumn id="2" xr3:uid="{06DCD723-2E17-4D59-87AE-33D86683BBED}" name="Period" dataDxfId="146"/>
    <tableColumn id="3" xr3:uid="{ED9DAFFA-00B9-4BE2-8CD5-1A47A780F25F}" name="Beginning Balance" dataDxfId="145"/>
    <tableColumn id="4" xr3:uid="{25E857B7-60D3-4A84-8A59-A3B267756BA1}" name="Principal Payment" dataDxfId="144"/>
    <tableColumn id="5" xr3:uid="{D30E0ABF-ECA7-4823-8DA1-CA8185F2F779}" name="Interest" dataDxfId="143"/>
    <tableColumn id="6" xr3:uid="{1EF8B4FE-F2FC-48B6-BE8A-FF4E252E607C}" name="Prepayment" dataDxfId="142"/>
    <tableColumn id="7" xr3:uid="{27B2FE3A-04AD-45D9-B060-FC0E2CFCCB84}" name="Defaulted Principal" dataDxfId="141"/>
    <tableColumn id="8" xr3:uid="{8039B95D-CDD2-42BF-B108-8DFE1E82B31F}" name="Estimated Loss" dataDxfId="140"/>
    <tableColumn id="9" xr3:uid="{FFC78637-E55A-45F6-A81A-8DDB7F814829}" name="Estimated Recovery" dataDxfId="139"/>
    <tableColumn id="10" xr3:uid="{40923DF1-ED3C-4837-9D32-3748C98760DB}" name="Ending Balance" dataDxfId="138"/>
    <tableColumn id="11" xr3:uid="{14C0B7BC-C310-496E-9558-EAB39155AF19}" name="Cash Flow" dataDxfId="137"/>
    <tableColumn id="12" xr3:uid="{6EB394D5-9291-4232-87FA-E423C44C098D}" name="NPV" dataDxfId="136"/>
    <tableColumn id="13" xr3:uid="{0E09F6CB-A810-4B9B-8F3B-370C33349A0F}" name="DCF CALC NPV" dataDxfId="135">
      <calculatedColumnFormula>'DCF Calc 2'!Q17</calculatedColumnFormula>
    </tableColumn>
    <tableColumn id="14" xr3:uid="{504B4912-9EC8-4254-AB87-EEEF4E95DD8C}" name="NPV Diff." dataDxfId="134">
      <calculatedColumnFormula>Loan_Level_Results4[[#This Row],[NPV]]-Loan_Level_Results4[[#This Row],[DCF CALC NPV]]</calculatedColumnFormula>
    </tableColumn>
    <tableColumn id="15" xr3:uid="{79888C03-ECD4-46A9-BB78-839D37BF80EF}" name="Column1" dataDxfId="133">
      <calculatedColumnFormula>Loan_Level_Results4[[#This Row],[Principal Payment]]+Loan_Level_Results4[[#This Row],[Interest]]</calculatedColumnFormula>
    </tableColumn>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CAB2115-C06D-465C-B8FB-FBFBDFD002CB}" name="Table157" displayName="Table157" ref="B16:T385" totalsRowShown="0" headerRowDxfId="132" dataDxfId="130" headerRowBorderDxfId="131" headerRowCellStyle="Normal" dataCellStyle="Normal">
  <autoFilter ref="B16:T385" xr:uid="{00000000-0009-0000-0100-000001000000}"/>
  <tableColumns count="19">
    <tableColumn id="1" xr3:uid="{CCC0E9BD-6D85-4570-ACDC-6EA15FBF8208}" name="Date" dataDxfId="129" dataCellStyle="Normal">
      <calculatedColumnFormula>EOMONTH(B16,1)</calculatedColumnFormula>
    </tableColumn>
    <tableColumn id="2" xr3:uid="{0243F434-090C-4173-A856-2872CABE9AD3}" name="Period" dataDxfId="128" dataCellStyle="Normal">
      <calculatedColumnFormula>C16+1</calculatedColumnFormula>
    </tableColumn>
    <tableColumn id="3" xr3:uid="{97691F13-4599-4221-85AC-7107B973729D}" name="Beginning Balance" dataDxfId="127" dataCellStyle="Comma">
      <calculatedColumnFormula>O16</calculatedColumnFormula>
    </tableColumn>
    <tableColumn id="4" xr3:uid="{72DBFB0E-4915-4253-8639-3676ACD0E4A5}" name="Interest" dataDxfId="126" dataCellStyle="Comma">
      <calculatedColumnFormula>ROUND(Table157[[#This Row],[Beginning Balance]]*Table157[[#This Row],[Monthly Interest Rate]],2)</calculatedColumnFormula>
    </tableColumn>
    <tableColumn id="18" xr3:uid="{8E5B7CCC-D00C-409A-8FE9-C737F654C272}" name="Am Thru" dataDxfId="125" dataCellStyle="Comma">
      <calculatedColumnFormula>IF(D17=0,0,ROUND(NPER(Table157[[#This Row],[Monthly Interest Rate]],G16,-D16)-1,0))</calculatedColumnFormula>
    </tableColumn>
    <tableColumn id="20" xr3:uid="{63B88273-6105-4E94-9357-FADD0E475373}" name="Payment Amount (Reamortized)" dataDxfId="124" dataCellStyle="Comma">
      <calculatedColumnFormula>IFERROR(IF($C$13="No","N/A",IF(Table157[[#This Row],[Period]]=1,$C$6,PMT(InterestRate*AmortizationMultiplier/12,Table157[[#This Row],[Am Thru]],-Table157[[#This Row],[Beginning Balance]]))),0)</calculatedColumnFormula>
    </tableColumn>
    <tableColumn id="5" xr3:uid="{544466A4-08BF-48EE-BB79-0263B3C5C51C}" name="Principal" dataDxfId="123" dataCellStyle="Comma">
      <calculatedColumnFormula>MAX(0,IF(C17=$C$4,D17,ROUND(IF($C$3="Fixed Principal",$C$6-Table157[[#This Row],[Interest]],IF($C$3="Interest Only",Table157[[#This Row],[Beginning Balance]]*ROUND(1-(1-IF($C$11="No",$E$8,1))^(1/12),6),MIN(IF($C$13="Yes",Table157[[#This Row],[Payment Amount (Reamortized)]],$C$6)-Table157[[#This Row],[Interest]],Table157[[#This Row],[Beginning Balance]]))),2)))</calculatedColumnFormula>
    </tableColumn>
    <tableColumn id="6" xr3:uid="{1503C80E-81BF-468E-BA80-D423D8D6421D}" name="Prepayments" dataDxfId="122" dataCellStyle="Comma">
      <calculatedColumnFormula>ROUND(MAX(MIN(IF(C10="No",$E$7,VLOOKUP(Table157[[#This Row],[Period]],Forecast!G2:L1048576,5,FALSE))*Table157[[#This Row],[Beginning Balance]],Table157[[#This Row],[Beginning Balance]]-Table157[[#This Row],[Principal]]),0),2)</calculatedColumnFormula>
    </tableColumn>
    <tableColumn id="7" xr3:uid="{975AD189-C546-442D-85EF-0B5BC180FA60}" name="Defaulted Principal" dataDxfId="121" dataCellStyle="Comma">
      <calculatedColumnFormula>ROUND(MIN(Table157[[#This Row],[Beginning Balance]]*IF($C$8="No",$E$3,VLOOKUP(Table157[[#This Row],[Period]],Forecast!$H$2:$L$1048576,2,FALSE)),Table157[[#This Row],[Beginning Balance]]-Table157[[#This Row],[Principal]]-Table157[[#This Row],[Prepayments]]),2)</calculatedColumnFormula>
    </tableColumn>
    <tableColumn id="8" xr3:uid="{97CF3C8F-0DAF-442A-8240-D7136D0F5866}" name="Estimated Loss" dataDxfId="120" dataCellStyle="Comma">
      <calculatedColumnFormula>ROUND(Table157[[#This Row],[Defaulted Principal]]*IF($C$9="No",$E$4,VLOOKUP(Table157[[#This Row],[Period]],Forecast!$H$2:$L$1048576,3,FALSE)),2)</calculatedColumnFormula>
    </tableColumn>
    <tableColumn id="9" xr3:uid="{5713BFD1-0D9D-45E6-B6E8-5BED7A7AE592}" name="Estimated Recovery Period" dataDxfId="119" dataCellStyle="Normal">
      <calculatedColumnFormula>Table157[[#This Row],[Period]]+$E$9</calculatedColumnFormula>
    </tableColumn>
    <tableColumn id="10" xr3:uid="{04D03DAA-9EB5-4784-B913-AE70708B07D8}" name="Available to Recover" dataDxfId="118" dataCellStyle="Comma">
      <calculatedColumnFormula>Table157[[#This Row],[Defaulted Principal]]-Table157[[#This Row],[Estimated Loss]]</calculatedColumnFormula>
    </tableColumn>
    <tableColumn id="11" xr3:uid="{B2D96C73-B2D9-4380-AD58-C64E71C23A6C}" name="RecoveredAmount" dataDxfId="117" dataCellStyle="Comma">
      <calculatedColumnFormula>IFERROR(VLOOKUP(Table157[[#This Row],[Period]],$L$16:$M$385,2,FALSE),0)</calculatedColumnFormula>
    </tableColumn>
    <tableColumn id="12" xr3:uid="{502FE917-D5C1-4443-8B8F-858A13353E3B}" name="End of month Balance" dataDxfId="116" dataCellStyle="Comma">
      <calculatedColumnFormula>Table157[[#This Row],[Beginning Balance]]-Table157[[#This Row],[Principal]]-Table157[[#This Row],[Prepayments]]-Table157[[#This Row],[Defaulted Principal]]</calculatedColumnFormula>
    </tableColumn>
    <tableColumn id="13" xr3:uid="{8E20B7E8-EBC2-4C11-9CAA-34C9CE5BA427}" name="Cash Flow" dataDxfId="115" dataCellStyle="Comma">
      <calculatedColumnFormula>Table157[[#This Row],[Principal]]+Table157[[#This Row],[Interest]]+Table157[[#This Row],[Prepayments]]+Table157[[#This Row],[RecoveredAmount]]</calculatedColumnFormula>
    </tableColumn>
    <tableColumn id="14" xr3:uid="{CB332CAB-D423-4928-8FCA-A088D1CEA8F1}" name="Present Value" dataDxfId="114" dataCellStyle="Comma">
      <calculatedColumnFormula>ROUND(Table157[[#This Row],[Cash Flow]]/((1+ActualRateToUse)^(IF(ISNUMBER(SEARCH("Actual",$C$7)),Table157[[#This Row],[Running Total]]/365,Table157[[#This Row],[Period]]/12))),2)</calculatedColumnFormula>
    </tableColumn>
    <tableColumn id="15" xr3:uid="{422E9E3C-DC19-4495-ADE9-581ACF2EE25C}" name="Days in month" dataDxfId="113" dataCellStyle="Normal">
      <calculatedColumnFormula>IF(MONTH(Table157[[#This Row],[Date]])=2,28,DAY(DATE(YEAR(Table157[[#This Row],[Date]]),MONTH(Table157[[#This Row],[Date]])+1,1)-1))</calculatedColumnFormula>
    </tableColumn>
    <tableColumn id="16" xr3:uid="{C15DC651-2D87-406A-886D-3506A605FE5F}" name="Running Total" dataDxfId="112" dataCellStyle="Normal">
      <calculatedColumnFormula>SUM(OFFSET(Table157[[#Headers],[Days in month]],1,0):Table157[[#This Row],[Days in month]])</calculatedColumnFormula>
    </tableColumn>
    <tableColumn id="17" xr3:uid="{CFC813CF-433E-46DF-A0E4-83146E57EB01}" name="Monthly Interest Rate" dataDxfId="111" dataCellStyle="Percent">
      <calculatedColumnFormula>InterestRate*AmortizationMultiplier*IF(ISNUMBER(SEARCH("Actual",$C$7)),Table157[[#This Row],[Days in month]]/365,1/12)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5748DA-09B3-4F01-98D6-03A8850D850D}" name="Loan_Level_Results46" displayName="Loan_Level_Results46" ref="A1:O127" totalsRowShown="0">
  <autoFilter ref="A1:O127" xr:uid="{1FA8FD71-989A-494F-9CF4-811442029D11}"/>
  <tableColumns count="15">
    <tableColumn id="1" xr3:uid="{97A6F6FF-BCE1-4A4A-BC20-A68D92F06CA5}" name="Date" dataDxfId="110"/>
    <tableColumn id="2" xr3:uid="{0A9A559D-D1F4-4A7F-9E4C-36AAD2B2F1BA}" name="Period" dataDxfId="109"/>
    <tableColumn id="3" xr3:uid="{5258E08F-5BBD-4398-9284-F9C9DD2DD65C}" name="Beginning Balance" dataDxfId="108"/>
    <tableColumn id="4" xr3:uid="{4A324F7B-204F-4E85-8D2D-8C7994BA2524}" name="Principal Payment" dataDxfId="107"/>
    <tableColumn id="5" xr3:uid="{4AB44AEA-1E9F-4BAE-BA89-D937E6636C42}" name="Interest" dataDxfId="106"/>
    <tableColumn id="6" xr3:uid="{AF82B33B-E53A-42EE-B437-B8C7471B1DEC}" name="Prepayment" dataDxfId="105"/>
    <tableColumn id="7" xr3:uid="{E1D9C620-BCBD-4BAE-B398-4AFF3742C075}" name="Defaulted Principal" dataDxfId="104"/>
    <tableColumn id="8" xr3:uid="{FE6976FC-B098-42C4-A745-5CB4F45AAFF6}" name="Estimated Loss" dataDxfId="103"/>
    <tableColumn id="9" xr3:uid="{0CD61D38-BAF6-41F0-A928-81E50819EBC8}" name="Estimated Recovery" dataDxfId="102"/>
    <tableColumn id="10" xr3:uid="{03B23257-D515-4F45-B6C2-CF4FA93C37A5}" name="Ending Balance" dataDxfId="101"/>
    <tableColumn id="11" xr3:uid="{8E6FBC82-BF33-4FED-BE2E-14EBBF7F9C13}" name="Cash Flow" dataDxfId="100"/>
    <tableColumn id="12" xr3:uid="{C7E381B8-197F-4A20-9759-552DDE3385F9}" name="NPV" dataDxfId="99"/>
    <tableColumn id="13" xr3:uid="{D3245B44-B9B7-4F3A-B7FD-73BFE4DA35E0}" name="DCF CALC NPV" dataDxfId="98">
      <calculatedColumnFormula>'DCF Calc 3'!Q17</calculatedColumnFormula>
    </tableColumn>
    <tableColumn id="14" xr3:uid="{958D1283-CC59-4B17-A2D7-FAB3AA198D1A}" name="NPV Diff." dataDxfId="97">
      <calculatedColumnFormula>Loan_Level_Results46[[#This Row],[NPV]]-Loan_Level_Results46[[#This Row],[DCF CALC NPV]]</calculatedColumnFormula>
    </tableColumn>
    <tableColumn id="15" xr3:uid="{983E2019-53B1-49AC-AB30-CB2B5EAD2246}" name="Column1" dataDxfId="96">
      <calculatedColumnFormula>Loan_Level_Results46[[#This Row],[Principal Payment]]+Loan_Level_Results46[[#This Row],[Interest]]</calculatedColumnFormula>
    </tableColumn>
  </tableColumns>
  <tableStyleInfo name="TableStyleMedium1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CF3048-9DEF-468D-A93D-C80865A15371}" name="Table1578" displayName="Table1578" ref="B16:T385" totalsRowShown="0" headerRowDxfId="95" dataDxfId="93" headerRowBorderDxfId="94" headerRowCellStyle="Normal" dataCellStyle="Normal">
  <autoFilter ref="B16:T385" xr:uid="{00000000-0009-0000-0100-000001000000}"/>
  <tableColumns count="19">
    <tableColumn id="1" xr3:uid="{66393B4D-C6E4-405B-A375-074B9194C826}" name="Date" dataDxfId="92" dataCellStyle="Normal">
      <calculatedColumnFormula>EOMONTH(B16,1)</calculatedColumnFormula>
    </tableColumn>
    <tableColumn id="2" xr3:uid="{67B65A20-F285-4B64-AEAD-1EC934AA8CF2}" name="Period" dataDxfId="91" dataCellStyle="Normal">
      <calculatedColumnFormula>C16+1</calculatedColumnFormula>
    </tableColumn>
    <tableColumn id="3" xr3:uid="{0F737A3E-48D9-4FF1-B328-17E15E16B8F4}" name="Beginning Balance" dataDxfId="90" dataCellStyle="Comma">
      <calculatedColumnFormula>O16</calculatedColumnFormula>
    </tableColumn>
    <tableColumn id="4" xr3:uid="{F3BCC6BE-33F3-4E35-BBC9-FD06255659AD}" name="Interest" dataDxfId="89" dataCellStyle="Comma">
      <calculatedColumnFormula>ROUND(Table1578[[#This Row],[Beginning Balance]]*Table1578[[#This Row],[Monthly Interest Rate]],2)</calculatedColumnFormula>
    </tableColumn>
    <tableColumn id="18" xr3:uid="{319E7125-FD0D-4443-A08A-81027C8CC297}" name="Am Thru" dataDxfId="88" dataCellStyle="Comma">
      <calculatedColumnFormula>IF(D17=0,0,ROUND(NPER(Table1578[[#This Row],[Monthly Interest Rate]],G16,-D16)-1,0))</calculatedColumnFormula>
    </tableColumn>
    <tableColumn id="20" xr3:uid="{B7373BD8-AD2F-4481-A4FD-66EC616DA219}" name="Payment Amount (Reamortized)" dataDxfId="87" dataCellStyle="Comma">
      <calculatedColumnFormula>IFERROR(IF($C$13="No","N/A",IF(Table1578[[#This Row],[Period]]=1,$C$6,PMT(InterestRate*AmortizationMultiplier/12,Table1578[[#This Row],[Am Thru]],-Table1578[[#This Row],[Beginning Balance]]))),0)</calculatedColumnFormula>
    </tableColumn>
    <tableColumn id="5" xr3:uid="{99764329-1C10-4939-9D4E-D3BBD7381188}" name="Principal" dataDxfId="86" dataCellStyle="Comma">
      <calculatedColumnFormula>MAX(0,IF(C17=$C$4,D17,ROUND(IF($C$3="Fixed Principal",$C$6-Table1578[[#This Row],[Interest]],IF($C$3="Interest Only",Table1578[[#This Row],[Beginning Balance]]*ROUND(1-(1-IF($C$11="No",$E$8,1))^(1/12),6),MIN(IF($C$13="Yes",Table1578[[#This Row],[Payment Amount (Reamortized)]],$C$6)-Table1578[[#This Row],[Interest]],Table1578[[#This Row],[Beginning Balance]]))),2)))</calculatedColumnFormula>
    </tableColumn>
    <tableColumn id="6" xr3:uid="{A5B4F7BA-F9E6-4B1A-B23B-53DE4586AC8C}" name="Prepayments" dataDxfId="85" dataCellStyle="Comma">
      <calculatedColumnFormula>ROUND(MAX(MIN(IF(C10="No",$E$7,VLOOKUP(Table1578[[#This Row],[Period]],Forecast!G2:L1048576,5,FALSE))*Table1578[[#This Row],[Beginning Balance]],Table1578[[#This Row],[Beginning Balance]]-Table1578[[#This Row],[Principal]]),0),2)</calculatedColumnFormula>
    </tableColumn>
    <tableColumn id="7" xr3:uid="{BCCAF68C-5AF0-4537-B044-600142FFC42E}" name="Defaulted Principal" dataDxfId="84" dataCellStyle="Comma">
      <calculatedColumnFormula>ROUND(MIN(Table1578[[#This Row],[Beginning Balance]]*IF($C$8="No",$E$3,VLOOKUP(Table1578[[#This Row],[Period]],Forecast!$H$2:$L$1048576,2,FALSE)),Table1578[[#This Row],[Beginning Balance]]-Table1578[[#This Row],[Principal]]-Table1578[[#This Row],[Prepayments]]),2)</calculatedColumnFormula>
    </tableColumn>
    <tableColumn id="8" xr3:uid="{5C693D12-6638-4383-A30D-55DB4DED3494}" name="Estimated Loss" dataDxfId="83" dataCellStyle="Comma">
      <calculatedColumnFormula>ROUND(Table1578[[#This Row],[Defaulted Principal]]*IF($C$9="No",$E$4,VLOOKUP(Table1578[[#This Row],[Period]],Forecast!$H$2:$L$1048576,3,FALSE)),2)</calculatedColumnFormula>
    </tableColumn>
    <tableColumn id="9" xr3:uid="{D6C9A16B-DF84-473D-91EF-611AF78E01B8}" name="Estimated Recovery Period" dataDxfId="82" dataCellStyle="Normal">
      <calculatedColumnFormula>Table1578[[#This Row],[Period]]+$E$9</calculatedColumnFormula>
    </tableColumn>
    <tableColumn id="10" xr3:uid="{23EA3FAC-C610-45C2-BC42-5FA9D289C646}" name="Available to Recover" dataDxfId="81" dataCellStyle="Comma">
      <calculatedColumnFormula>Table1578[[#This Row],[Defaulted Principal]]-Table1578[[#This Row],[Estimated Loss]]</calculatedColumnFormula>
    </tableColumn>
    <tableColumn id="11" xr3:uid="{1BBBC238-601F-483B-A440-5B33DFF94DF6}" name="RecoveredAmount" dataDxfId="80" dataCellStyle="Comma">
      <calculatedColumnFormula>IFERROR(VLOOKUP(Table1578[[#This Row],[Period]],$L$16:$M$385,2,FALSE),0)</calculatedColumnFormula>
    </tableColumn>
    <tableColumn id="12" xr3:uid="{4D243871-465D-4932-8829-44200D17F629}" name="End of month Balance" dataDxfId="79" dataCellStyle="Comma">
      <calculatedColumnFormula>Table1578[[#This Row],[Beginning Balance]]-Table1578[[#This Row],[Principal]]-Table1578[[#This Row],[Prepayments]]-Table1578[[#This Row],[Defaulted Principal]]</calculatedColumnFormula>
    </tableColumn>
    <tableColumn id="13" xr3:uid="{D0410AE7-493D-4F5A-953F-4375C9D4B222}" name="Cash Flow" dataDxfId="78" dataCellStyle="Comma">
      <calculatedColumnFormula>Table1578[[#This Row],[Principal]]+Table1578[[#This Row],[Interest]]+Table1578[[#This Row],[Prepayments]]+Table1578[[#This Row],[RecoveredAmount]]</calculatedColumnFormula>
    </tableColumn>
    <tableColumn id="14" xr3:uid="{119BA601-C91F-465A-92C2-905A9784181F}" name="Present Value" dataDxfId="77" dataCellStyle="Comma">
      <calculatedColumnFormula>ROUND(Table1578[[#This Row],[Cash Flow]]/((1+ActualRateToUse)^(IF(ISNUMBER(SEARCH("Actual",$C$7)),Table1578[[#This Row],[Running Total]]/365,Table1578[[#This Row],[Period]]/12))),2)</calculatedColumnFormula>
    </tableColumn>
    <tableColumn id="15" xr3:uid="{A7D90761-302D-4BC2-A315-26CEE98A0754}" name="Days in month" dataDxfId="76" dataCellStyle="Normal">
      <calculatedColumnFormula>IF(MONTH(Table1578[[#This Row],[Date]])=2,28,DAY(DATE(YEAR(Table1578[[#This Row],[Date]]),MONTH(Table1578[[#This Row],[Date]])+1,1)-1))</calculatedColumnFormula>
    </tableColumn>
    <tableColumn id="16" xr3:uid="{9099A802-39E2-404E-91FD-388B33B4F961}" name="Running Total" dataDxfId="75" dataCellStyle="Normal">
      <calculatedColumnFormula>SUM(OFFSET(Table1578[[#Headers],[Days in month]],1,0):Table1578[[#This Row],[Days in month]])</calculatedColumnFormula>
    </tableColumn>
    <tableColumn id="17" xr3:uid="{41E27D6A-883B-4416-873C-7D1FB5E66251}" name="Monthly Interest Rate" dataDxfId="74" dataCellStyle="Percent">
      <calculatedColumnFormula>InterestRate*AmortizationMultiplier*IF(ISNUMBER(SEARCH("Actual",$C$7)),Table1578[[#This Row],[Days in month]]/365,1/12)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79B725-4BD1-4344-BD25-71B5F2B818B4}" name="Loan_Level_Results469" displayName="Loan_Level_Results469" ref="A1:O127" totalsRowShown="0">
  <autoFilter ref="A1:O127" xr:uid="{1FA8FD71-989A-494F-9CF4-811442029D11}"/>
  <tableColumns count="15">
    <tableColumn id="1" xr3:uid="{FC4CC2FB-EE29-4DC7-802D-0F00121428A2}" name="Date" dataDxfId="73"/>
    <tableColumn id="2" xr3:uid="{A67E50B9-0262-4B50-ACDC-7BEF1322DB80}" name="Period" dataDxfId="72"/>
    <tableColumn id="3" xr3:uid="{366AB947-6AA1-4007-B549-56C8FA614C8F}" name="Beginning Balance" dataDxfId="71"/>
    <tableColumn id="4" xr3:uid="{A660B100-6D8A-45BD-A4C1-F7C2195EE28D}" name="Principal Payment" dataDxfId="70"/>
    <tableColumn id="5" xr3:uid="{80D4D605-9124-498E-9C6D-8D418FACFEDB}" name="Interest" dataDxfId="69"/>
    <tableColumn id="6" xr3:uid="{F2F79991-F478-4413-8C62-8CB35B71BE2D}" name="Prepayment" dataDxfId="68"/>
    <tableColumn id="7" xr3:uid="{CE6E401B-13E9-4C49-A695-16BEEF535F14}" name="Defaulted Principal" dataDxfId="67"/>
    <tableColumn id="8" xr3:uid="{8C18A11C-DD6B-4965-94E9-F41999532A60}" name="Estimated Loss" dataDxfId="66"/>
    <tableColumn id="9" xr3:uid="{38AA53A6-19AE-4734-B807-567FB43BB835}" name="Estimated Recovery" dataDxfId="65"/>
    <tableColumn id="10" xr3:uid="{19159678-DB58-4B7B-82CE-BA2B2F9ED27D}" name="Ending Balance" dataDxfId="64"/>
    <tableColumn id="11" xr3:uid="{C7777DA8-857B-469D-9742-CA9867F4D7F0}" name="Cash Flow" dataDxfId="63"/>
    <tableColumn id="12" xr3:uid="{6B57E5EF-F6D5-4E99-9046-276931DE28D7}" name="NPV" dataDxfId="62"/>
    <tableColumn id="13" xr3:uid="{655649ED-27FC-47DA-BFB4-68BB9A5CEE70}" name="DCF CALC NPV" dataDxfId="61">
      <calculatedColumnFormula>'DCF Calc'!Q17</calculatedColumnFormula>
    </tableColumn>
    <tableColumn id="14" xr3:uid="{FD95B8E9-9A75-4A5F-B632-04D289A0E28C}" name="NPV Diff." dataDxfId="60">
      <calculatedColumnFormula>Loan_Level_Results469[[#This Row],[NPV]]-Loan_Level_Results469[[#This Row],[DCF CALC NPV]]</calculatedColumnFormula>
    </tableColumn>
    <tableColumn id="15" xr3:uid="{8AACE0CA-7C3B-4A1E-AD17-AA6A09B728EF}" name="Column1" dataDxfId="59">
      <calculatedColumnFormula>Loan_Level_Results469[[#This Row],[Principal Payment]]+Loan_Level_Results469[[#This Row],[Interest]]</calculatedColumnFormula>
    </tableColumn>
  </tableColumns>
  <tableStyleInfo name="TableStyleMedium1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E45D911-612F-4394-82A4-8EC03EDB44E5}" name="Table157810" displayName="Table157810" ref="B16:T385" totalsRowShown="0" headerRowDxfId="58" dataDxfId="56" headerRowBorderDxfId="57" headerRowCellStyle="Normal" dataCellStyle="Normal">
  <autoFilter ref="B16:T385" xr:uid="{00000000-0009-0000-0100-000001000000}"/>
  <tableColumns count="19">
    <tableColumn id="1" xr3:uid="{C2C4C7F1-397B-4251-87DD-779EEEEBC025}" name="Date" dataDxfId="55" dataCellStyle="Normal">
      <calculatedColumnFormula>EOMONTH(B16,1)</calculatedColumnFormula>
    </tableColumn>
    <tableColumn id="2" xr3:uid="{08938F42-0C7B-439F-A912-63E575665788}" name="Period" dataDxfId="54" dataCellStyle="Normal">
      <calculatedColumnFormula>C16+1</calculatedColumnFormula>
    </tableColumn>
    <tableColumn id="3" xr3:uid="{63BA77A5-A5B6-4E22-B160-E09747B37BD2}" name="Beginning Balance" dataDxfId="53" dataCellStyle="Comma">
      <calculatedColumnFormula>O16</calculatedColumnFormula>
    </tableColumn>
    <tableColumn id="4" xr3:uid="{5E413F65-DFC0-4841-B920-55F28B15C64F}" name="Interest" dataDxfId="52" dataCellStyle="Comma">
      <calculatedColumnFormula>ROUND(Table157810[[#This Row],[Beginning Balance]]*Table157810[[#This Row],[Monthly Interest Rate]],2)</calculatedColumnFormula>
    </tableColumn>
    <tableColumn id="18" xr3:uid="{F4D4530E-617E-4E53-84FC-05FE64572965}" name="Am Thru" dataDxfId="51" dataCellStyle="Comma">
      <calculatedColumnFormula>IF(D17=0,0,ROUND(NPER(Table157810[[#This Row],[Monthly Interest Rate]],G16,-D16)-1,0))</calculatedColumnFormula>
    </tableColumn>
    <tableColumn id="20" xr3:uid="{8EB05711-FAD7-46BF-8DCE-9BC63171F195}" name="Payment Amount (Reamortized)" dataDxfId="50" dataCellStyle="Comma">
      <calculatedColumnFormula>IFERROR(IF($C$13="No","N/A",IF(Table157810[[#This Row],[Period]]=1,$C$6,PMT(InterestRate*AmortizationMultiplier/12,Table157810[[#This Row],[Am Thru]],-Table157810[[#This Row],[Beginning Balance]]))),0)</calculatedColumnFormula>
    </tableColumn>
    <tableColumn id="5" xr3:uid="{37AC5EF2-7ACC-4506-A080-774AB3050518}" name="Principal" dataDxfId="49" dataCellStyle="Comma">
      <calculatedColumnFormula>MAX(0,IF(C17=$C$4,D17,ROUND(IF($C$3="Fixed Principal",$C$6-Table157810[[#This Row],[Interest]],IF($C$3="Interest Only",Table157810[[#This Row],[Beginning Balance]]*ROUND(1-(1-IF($C$11="No",$E$8,1))^(1/12),6),MIN(IF($C$13="Yes",Table157810[[#This Row],[Payment Amount (Reamortized)]],$C$6)-Table157810[[#This Row],[Interest]],Table157810[[#This Row],[Beginning Balance]]))),2)))</calculatedColumnFormula>
    </tableColumn>
    <tableColumn id="6" xr3:uid="{222E2879-46E0-495C-99AF-96327554D2B6}" name="Prepayments" dataDxfId="48" dataCellStyle="Comma">
      <calculatedColumnFormula>ROUND(MAX(MIN(IF(C10="No",$E$7,VLOOKUP(Table157810[[#This Row],[Period]],Forecast!G2:L1048576,5,FALSE))*Table157810[[#This Row],[Beginning Balance]],Table157810[[#This Row],[Beginning Balance]]-Table157810[[#This Row],[Principal]]),0),2)</calculatedColumnFormula>
    </tableColumn>
    <tableColumn id="7" xr3:uid="{3462B4E8-0D3A-4276-A102-0D7ADAFDAD1B}" name="Defaulted Principal" dataDxfId="47" dataCellStyle="Comma">
      <calculatedColumnFormula>ROUND(MIN(Table157810[[#This Row],[Beginning Balance]]*IF($C$8="No",$E$3,VLOOKUP(Table157810[[#This Row],[Period]],Forecast!$H$2:$L$1048576,2,FALSE)),Table157810[[#This Row],[Beginning Balance]]-Table157810[[#This Row],[Principal]]-Table157810[[#This Row],[Prepayments]]),2)</calculatedColumnFormula>
    </tableColumn>
    <tableColumn id="8" xr3:uid="{4C5F046F-F25D-4DDD-9EE6-C5F2AA098554}" name="Estimated Loss" dataDxfId="46" dataCellStyle="Comma">
      <calculatedColumnFormula>ROUND(Table157810[[#This Row],[Defaulted Principal]]*IF($C$9="No",$E$4,VLOOKUP(Table157810[[#This Row],[Period]],Forecast!$H$2:$L$1048576,3,FALSE)),2)</calculatedColumnFormula>
    </tableColumn>
    <tableColumn id="9" xr3:uid="{BCDEC0CD-C0DF-43A5-93B0-B80E3D3E6609}" name="Estimated Recovery Period" dataDxfId="45" dataCellStyle="Normal">
      <calculatedColumnFormula>Table157810[[#This Row],[Period]]+$E$9</calculatedColumnFormula>
    </tableColumn>
    <tableColumn id="10" xr3:uid="{0B736A6A-05BE-4625-A34B-8A2149BF62BA}" name="Available to Recover" dataDxfId="44" dataCellStyle="Comma">
      <calculatedColumnFormula>Table157810[[#This Row],[Defaulted Principal]]-Table157810[[#This Row],[Estimated Loss]]</calculatedColumnFormula>
    </tableColumn>
    <tableColumn id="11" xr3:uid="{1C0D57B9-1681-4A08-994B-9BBC2CB844C4}" name="RecoveredAmount" dataDxfId="43" dataCellStyle="Comma">
      <calculatedColumnFormula>IFERROR(VLOOKUP(Table157810[[#This Row],[Period]],$L$16:$M$385,2,FALSE),0)</calculatedColumnFormula>
    </tableColumn>
    <tableColumn id="12" xr3:uid="{F7AFC462-B58D-42C3-9DB3-9495AEDE8D23}" name="End of month Balance" dataDxfId="42" dataCellStyle="Comma">
      <calculatedColumnFormula>Table157810[[#This Row],[Beginning Balance]]-Table157810[[#This Row],[Principal]]-Table157810[[#This Row],[Prepayments]]-Table157810[[#This Row],[Defaulted Principal]]</calculatedColumnFormula>
    </tableColumn>
    <tableColumn id="13" xr3:uid="{1F12F30C-9854-4B5C-9295-0B333116E950}" name="Cash Flow" dataDxfId="41" dataCellStyle="Comma">
      <calculatedColumnFormula>Table157810[[#This Row],[Principal]]+Table157810[[#This Row],[Interest]]+Table157810[[#This Row],[Prepayments]]+Table157810[[#This Row],[RecoveredAmount]]</calculatedColumnFormula>
    </tableColumn>
    <tableColumn id="14" xr3:uid="{37E30DDD-0EDC-4BA9-9EDC-221B64FC77A7}" name="Present Value" dataDxfId="40" dataCellStyle="Comma">
      <calculatedColumnFormula>ROUND(Table157810[[#This Row],[Cash Flow]]/((1+ActualRateToUse)^(IF(ISNUMBER(SEARCH("Actual",$C$7)),Table157810[[#This Row],[Running Total]]/365,Table157810[[#This Row],[Period]]/12))),2)</calculatedColumnFormula>
    </tableColumn>
    <tableColumn id="15" xr3:uid="{AC7FB88F-5B9A-47B8-BBBB-F761513D0FD0}" name="Days in month" dataDxfId="39" dataCellStyle="Normal">
      <calculatedColumnFormula>IF(MONTH(Table157810[[#This Row],[Date]])=2,28,DAY(DATE(YEAR(Table157810[[#This Row],[Date]]),MONTH(Table157810[[#This Row],[Date]])+1,1)-1))</calculatedColumnFormula>
    </tableColumn>
    <tableColumn id="16" xr3:uid="{B0E49B1D-CBC3-4E68-B66D-A5ABE0C46B1D}" name="Running Total" dataDxfId="38" dataCellStyle="Normal">
      <calculatedColumnFormula>SUM(OFFSET(Table157810[[#Headers],[Days in month]],1,0):Table157810[[#This Row],[Days in month]])</calculatedColumnFormula>
    </tableColumn>
    <tableColumn id="17" xr3:uid="{CEB7FD4F-A8B0-4514-B480-CC49F2C452B7}" name="Monthly Interest Rate" dataDxfId="37" dataCellStyle="Percent">
      <calculatedColumnFormula>InterestRate*AmortizationMultiplier*IF(ISNUMBER(SEARCH("Actual",$C$7)),Table157810[[#This Row],[Days in month]]/365,1/12)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7C00B1D-9B0C-4656-8246-A3E6EFA9C1DE}" name="Loan_Level_Results46911" displayName="Loan_Level_Results46911" ref="A1:O127" totalsRowShown="0">
  <autoFilter ref="A1:O127" xr:uid="{1FA8FD71-989A-494F-9CF4-811442029D11}"/>
  <tableColumns count="15">
    <tableColumn id="1" xr3:uid="{80DF594C-1588-4984-BC5D-3121791D3173}" name="Date" dataDxfId="36"/>
    <tableColumn id="2" xr3:uid="{80B014A1-F5B8-4966-A907-2F2E25762DD4}" name="Period" dataDxfId="35"/>
    <tableColumn id="3" xr3:uid="{AFF6A22E-4F9F-48A3-92AD-CBDA14FCC642}" name="Beginning Balance" dataDxfId="34"/>
    <tableColumn id="4" xr3:uid="{28D21DC9-D975-4AFB-A97B-F1F1D2B1685F}" name="Principal Payment" dataDxfId="33"/>
    <tableColumn id="5" xr3:uid="{7094D36C-C03E-4C3A-A52C-33CF1C444A72}" name="Interest" dataDxfId="32"/>
    <tableColumn id="6" xr3:uid="{DF094968-FB62-473C-BDD6-D8B973453B9B}" name="Prepayment" dataDxfId="31"/>
    <tableColumn id="7" xr3:uid="{B881236D-F075-42DF-B302-9B2C2452D9CD}" name="Defaulted Principal" dataDxfId="30"/>
    <tableColumn id="8" xr3:uid="{27C7F0D2-2F83-46A3-8ADA-9F90C06B36F0}" name="Estimated Loss" dataDxfId="29"/>
    <tableColumn id="9" xr3:uid="{A1326106-33AE-46CF-8792-65F22900DBA4}" name="Estimated Recovery" dataDxfId="28"/>
    <tableColumn id="10" xr3:uid="{97708E0D-4A64-4674-B539-7B56B2D70560}" name="Ending Balance" dataDxfId="27"/>
    <tableColumn id="11" xr3:uid="{F0D9D16D-41F6-4E20-87D8-A1515A159DE2}" name="Cash Flow" dataDxfId="26"/>
    <tableColumn id="12" xr3:uid="{F1FB8CCF-263B-4AF2-9B89-F33344E544A0}" name="NPV" dataDxfId="25"/>
    <tableColumn id="13" xr3:uid="{6FDCA5F1-46E7-4AD4-A374-A99041E5D749}" name="DCF CALC NPV" dataDxfId="24">
      <calculatedColumnFormula>'DCF Calc'!Q17</calculatedColumnFormula>
    </tableColumn>
    <tableColumn id="14" xr3:uid="{018958A2-6FCF-4837-B494-297A87C294D6}" name="NPV Diff." dataDxfId="23">
      <calculatedColumnFormula>Loan_Level_Results46911[[#This Row],[NPV]]-Loan_Level_Results46911[[#This Row],[DCF CALC NPV]]</calculatedColumnFormula>
    </tableColumn>
    <tableColumn id="15" xr3:uid="{DDB8844D-1ACF-470A-8709-198325F7618D}" name="Column1" dataDxfId="22">
      <calculatedColumnFormula>Loan_Level_Results46911[[#This Row],[Principal Payment]]+Loan_Level_Results46911[[#This Row],[Interest]]</calculatedColumnFormula>
    </tableColumn>
  </tableColumns>
  <tableStyleInfo name="TableStyleMedium1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C4FFA50-0AA4-4706-8F9C-2A735142CE0D}" name="Table15781012" displayName="Table15781012" ref="B16:T385" totalsRowShown="0" headerRowDxfId="21" dataDxfId="19" headerRowBorderDxfId="20" headerRowCellStyle="Normal" dataCellStyle="Normal">
  <autoFilter ref="B16:T385" xr:uid="{00000000-0009-0000-0100-000001000000}"/>
  <tableColumns count="19">
    <tableColumn id="1" xr3:uid="{5A49098B-310E-4AA9-98C5-1B70FF8FADFE}" name="Date" dataDxfId="18" dataCellStyle="Normal">
      <calculatedColumnFormula>EOMONTH(B16,1)</calculatedColumnFormula>
    </tableColumn>
    <tableColumn id="2" xr3:uid="{96DFB7FD-13E0-48A1-AEF9-90A285FAFFC6}" name="Period" dataDxfId="17" dataCellStyle="Normal">
      <calculatedColumnFormula>C16+1</calculatedColumnFormula>
    </tableColumn>
    <tableColumn id="3" xr3:uid="{D49B2D04-4971-408A-B5DD-27B0470231BF}" name="Beginning Balance" dataDxfId="16" dataCellStyle="Comma">
      <calculatedColumnFormula>O16</calculatedColumnFormula>
    </tableColumn>
    <tableColumn id="4" xr3:uid="{C9DB52CE-6B8E-4B3E-8DA4-9CDCA4D151CB}" name="Interest" dataDxfId="15" dataCellStyle="Comma">
      <calculatedColumnFormula>ROUND(Table15781012[[#This Row],[Beginning Balance]]*Table15781012[[#This Row],[Monthly Interest Rate]],2)</calculatedColumnFormula>
    </tableColumn>
    <tableColumn id="18" xr3:uid="{7AC707A1-9061-4F32-9414-01EEF19F0916}" name="Am Thru" dataDxfId="14" dataCellStyle="Comma">
      <calculatedColumnFormula>IF(D17=0,0,ROUND(NPER(Table15781012[[#This Row],[Monthly Interest Rate]],G16,-D16)-1,0))</calculatedColumnFormula>
    </tableColumn>
    <tableColumn id="20" xr3:uid="{F2F8D6EF-BD9F-4CA2-8292-75FDABDF8D45}" name="Payment Amount (Reamortized)" dataDxfId="13" dataCellStyle="Comma">
      <calculatedColumnFormula>IFERROR(IF($C$13="No","N/A",IF(Table15781012[[#This Row],[Period]]=1,$C$6,PMT(InterestRate*AmortizationMultiplier/12,Table15781012[[#This Row],[Am Thru]],-Table15781012[[#This Row],[Beginning Balance]]))),0)</calculatedColumnFormula>
    </tableColumn>
    <tableColumn id="5" xr3:uid="{8C2B1E00-6339-4B0B-8BA5-AE670B8B7C86}" name="Principal" dataDxfId="12" dataCellStyle="Comma">
      <calculatedColumnFormula>MAX(0,IF(C17=$C$4,D17,ROUND(IF($C$3="Fixed Principal",$C$6-Table15781012[[#This Row],[Interest]],IF($C$3="Interest Only",Table15781012[[#This Row],[Beginning Balance]]*ROUND(1-(1-IF($C$11="No",$E$8,1))^(1/12),6),MIN(IF($C$13="Yes",Table15781012[[#This Row],[Payment Amount (Reamortized)]],$C$6)-Table15781012[[#This Row],[Interest]],Table15781012[[#This Row],[Beginning Balance]]))),2)))</calculatedColumnFormula>
    </tableColumn>
    <tableColumn id="6" xr3:uid="{B045F189-EC12-419B-9748-91697A3B33C7}" name="Prepayments" dataDxfId="11" dataCellStyle="Comma">
      <calculatedColumnFormula>ROUND(MAX(MIN(IF(C10="No",$E$7,VLOOKUP(Table15781012[[#This Row],[Period]],Forecast!G2:L1048576,5,FALSE))*Table15781012[[#This Row],[Beginning Balance]],Table15781012[[#This Row],[Beginning Balance]]-Table15781012[[#This Row],[Principal]]),0),2)</calculatedColumnFormula>
    </tableColumn>
    <tableColumn id="7" xr3:uid="{B4C19A2B-274F-40A7-83A3-0EACEA5B89F9}" name="Defaulted Principal" dataDxfId="10" dataCellStyle="Comma">
      <calculatedColumnFormula>ROUND(MIN(Table15781012[[#This Row],[Beginning Balance]]*IF($C$8="No",$E$3,VLOOKUP(Table15781012[[#This Row],[Period]],Forecast!$H$2:$L$1048576,2,FALSE)),Table15781012[[#This Row],[Beginning Balance]]-Table15781012[[#This Row],[Principal]]-Table15781012[[#This Row],[Prepayments]]),2)</calculatedColumnFormula>
    </tableColumn>
    <tableColumn id="8" xr3:uid="{935A5607-937F-49C3-A4D8-E84CEEDA9BF4}" name="Estimated Loss" dataDxfId="9" dataCellStyle="Comma">
      <calculatedColumnFormula>ROUND(Table15781012[[#This Row],[Defaulted Principal]]*IF($C$9="No",$E$4,VLOOKUP(Table15781012[[#This Row],[Period]],Forecast!$H$2:$L$1048576,3,FALSE)),2)</calculatedColumnFormula>
    </tableColumn>
    <tableColumn id="9" xr3:uid="{FCBBB9FE-265F-4186-AD16-34AD2E82E8A9}" name="Estimated Recovery Period" dataDxfId="8" dataCellStyle="Normal">
      <calculatedColumnFormula>Table15781012[[#This Row],[Period]]+$E$9</calculatedColumnFormula>
    </tableColumn>
    <tableColumn id="10" xr3:uid="{EFF8677A-2B95-47B5-A551-020511A1CF34}" name="Available to Recover" dataDxfId="7" dataCellStyle="Comma">
      <calculatedColumnFormula>Table15781012[[#This Row],[Defaulted Principal]]-Table15781012[[#This Row],[Estimated Loss]]</calculatedColumnFormula>
    </tableColumn>
    <tableColumn id="11" xr3:uid="{FC3D7E24-6BCF-48CD-BA92-8841E2627FB4}" name="RecoveredAmount" dataDxfId="6" dataCellStyle="Comma">
      <calculatedColumnFormula>IFERROR(VLOOKUP(Table15781012[[#This Row],[Period]],$L$16:$M$385,2,FALSE),0)</calculatedColumnFormula>
    </tableColumn>
    <tableColumn id="12" xr3:uid="{D5B63DFA-F3FB-4EE8-A90E-004A8E631890}" name="End of month Balance" dataDxfId="5" dataCellStyle="Comma">
      <calculatedColumnFormula>Table15781012[[#This Row],[Beginning Balance]]-Table15781012[[#This Row],[Principal]]-Table15781012[[#This Row],[Prepayments]]-Table15781012[[#This Row],[Defaulted Principal]]</calculatedColumnFormula>
    </tableColumn>
    <tableColumn id="13" xr3:uid="{AFD49CDF-1C94-42F5-88D3-2B3B498D7E76}" name="Cash Flow" dataDxfId="4" dataCellStyle="Comma">
      <calculatedColumnFormula>Table15781012[[#This Row],[Principal]]+Table15781012[[#This Row],[Interest]]+Table15781012[[#This Row],[Prepayments]]+Table15781012[[#This Row],[RecoveredAmount]]</calculatedColumnFormula>
    </tableColumn>
    <tableColumn id="14" xr3:uid="{317428F7-B11B-41A0-940F-2D6981340A88}" name="Present Value" dataDxfId="3" dataCellStyle="Comma">
      <calculatedColumnFormula>ROUND(Table15781012[[#This Row],[Cash Flow]]/((1+ActualRateToUse)^(IF(ISNUMBER(SEARCH("Actual",$C$7)),Table15781012[[#This Row],[Running Total]]/365,Table15781012[[#This Row],[Period]]/12))),2)</calculatedColumnFormula>
    </tableColumn>
    <tableColumn id="15" xr3:uid="{EC65A97A-5292-4160-B4EF-2513DC3A4F84}" name="Days in month" dataDxfId="2" dataCellStyle="Normal">
      <calculatedColumnFormula>IF(MONTH(Table15781012[[#This Row],[Date]])=2,28,DAY(DATE(YEAR(Table15781012[[#This Row],[Date]]),MONTH(Table15781012[[#This Row],[Date]])+1,1)-1))</calculatedColumnFormula>
    </tableColumn>
    <tableColumn id="16" xr3:uid="{0CA10E29-93D8-4AD8-94DD-BEE12C9F7E9C}" name="Running Total" dataDxfId="1" dataCellStyle="Normal">
      <calculatedColumnFormula>SUM(OFFSET(Table15781012[[#Headers],[Days in month]],1,0):Table15781012[[#This Row],[Days in month]])</calculatedColumnFormula>
    </tableColumn>
    <tableColumn id="17" xr3:uid="{7379636F-324D-471D-9EF9-A9EDF2484AEC}" name="Monthly Interest Rate" dataDxfId="0" dataCellStyle="Percent">
      <calculatedColumnFormula>InterestRate*AmortizationMultiplier*IF(ISNUMBER(SEARCH("Actual",$C$7)),Table15781012[[#This Row],[Days in month]]/365,1/12)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
  <sheetViews>
    <sheetView workbookViewId="0"/>
  </sheetViews>
  <sheetFormatPr defaultColWidth="8.88671875" defaultRowHeight="14.4" x14ac:dyDescent="0.3"/>
  <cols>
    <col min="1" max="16384" width="8.88671875" style="1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451"/>
  <sheetViews>
    <sheetView topLeftCell="A31" zoomScale="110" zoomScaleNormal="110" workbookViewId="0">
      <selection activeCell="O10" sqref="O10"/>
    </sheetView>
  </sheetViews>
  <sheetFormatPr defaultRowHeight="14.4" x14ac:dyDescent="0.3"/>
  <cols>
    <col min="2" max="2" width="9.109375" style="18"/>
    <col min="3" max="3" width="20.33203125" bestFit="1" customWidth="1"/>
  </cols>
  <sheetData>
    <row r="1" spans="1:12" x14ac:dyDescent="0.3">
      <c r="A1" t="s">
        <v>0</v>
      </c>
      <c r="B1" s="18" t="s">
        <v>1</v>
      </c>
      <c r="C1" t="s">
        <v>2</v>
      </c>
      <c r="D1" t="s">
        <v>3</v>
      </c>
      <c r="E1" t="s">
        <v>4</v>
      </c>
      <c r="H1" t="s">
        <v>5</v>
      </c>
      <c r="I1" t="s">
        <v>1</v>
      </c>
      <c r="J1" t="s">
        <v>2</v>
      </c>
      <c r="K1" t="s">
        <v>3</v>
      </c>
      <c r="L1" t="s">
        <v>4</v>
      </c>
    </row>
    <row r="2" spans="1:12" x14ac:dyDescent="0.3">
      <c r="A2">
        <v>1</v>
      </c>
      <c r="B2" s="29">
        <v>5.4489999999999999E-3</v>
      </c>
      <c r="C2" s="29">
        <v>7.8015000000000001E-2</v>
      </c>
      <c r="D2" s="39">
        <v>3.3700000000000001E-2</v>
      </c>
      <c r="E2" s="39">
        <v>2.0799999999999999E-2</v>
      </c>
      <c r="H2">
        <v>1</v>
      </c>
      <c r="I2">
        <f>ROUND(1-(1-VLOOKUP(ROUNDUP($H2/3,0),$A$1:$E$21,2,FALSE))^(1/12),6)</f>
        <v>4.55E-4</v>
      </c>
      <c r="J2">
        <f>VLOOKUP(ROUNDUP($H2/3,0),$A$1:$E$21,3,FALSE)</f>
        <v>7.8015000000000001E-2</v>
      </c>
      <c r="K2">
        <f>ROUND(1-(1-VLOOKUP(ROUNDUP($H2/3,0),$A$1:$E$21,4,FALSE))^(1/12),6)</f>
        <v>2.8530000000000001E-3</v>
      </c>
      <c r="L2">
        <f>ROUND(1-(1-VLOOKUP(ROUNDUP($H2/3,0),$A$1:$E$21,5,FALSE))^(1/12),6)</f>
        <v>1.75E-3</v>
      </c>
    </row>
    <row r="3" spans="1:12" x14ac:dyDescent="0.3">
      <c r="A3">
        <v>2</v>
      </c>
      <c r="B3" s="29">
        <v>6.0000000000000001E-3</v>
      </c>
      <c r="C3" s="29">
        <v>7.9966999999999996E-2</v>
      </c>
      <c r="D3" s="39">
        <v>3.3700000000000001E-2</v>
      </c>
      <c r="E3" s="39">
        <v>2.0799999999999999E-2</v>
      </c>
      <c r="H3">
        <v>2</v>
      </c>
      <c r="I3">
        <f t="shared" ref="I3:I61" si="0">ROUND(1-(1-VLOOKUP(ROUNDUP($H3/3,0),$A$1:$E$21,2,FALSE))^(1/12),6)</f>
        <v>4.55E-4</v>
      </c>
      <c r="J3">
        <f t="shared" ref="J3:J61" si="1">VLOOKUP(ROUNDUP($H3/3,0),$A$1:$E$21,3,FALSE)</f>
        <v>7.8015000000000001E-2</v>
      </c>
      <c r="K3">
        <f t="shared" ref="K3:K61" si="2">ROUND(1-(1-VLOOKUP(ROUNDUP($H3/3,0),$A$1:$E$21,4,FALSE))^(1/12),6)</f>
        <v>2.8530000000000001E-3</v>
      </c>
      <c r="L3">
        <f t="shared" ref="L3:L61" si="3">ROUND(1-(1-VLOOKUP(ROUNDUP($H3/3,0),$A$1:$E$21,5,FALSE))^(1/12),6)</f>
        <v>1.75E-3</v>
      </c>
    </row>
    <row r="4" spans="1:12" x14ac:dyDescent="0.3">
      <c r="A4">
        <v>3</v>
      </c>
      <c r="B4" s="29">
        <v>5.9449999999999998E-3</v>
      </c>
      <c r="C4" s="29">
        <v>7.9778000000000002E-2</v>
      </c>
      <c r="D4" s="39">
        <v>3.3700000000000001E-2</v>
      </c>
      <c r="E4" s="39">
        <v>2.0799999999999999E-2</v>
      </c>
      <c r="H4">
        <v>3</v>
      </c>
      <c r="I4">
        <f t="shared" si="0"/>
        <v>4.55E-4</v>
      </c>
      <c r="J4">
        <f t="shared" si="1"/>
        <v>7.8015000000000001E-2</v>
      </c>
      <c r="K4">
        <f t="shared" si="2"/>
        <v>2.8530000000000001E-3</v>
      </c>
      <c r="L4">
        <f t="shared" si="3"/>
        <v>1.75E-3</v>
      </c>
    </row>
    <row r="5" spans="1:12" x14ac:dyDescent="0.3">
      <c r="A5">
        <v>4</v>
      </c>
      <c r="B5" s="29">
        <v>5.8910000000000004E-3</v>
      </c>
      <c r="C5" s="29">
        <v>7.9588000000000006E-2</v>
      </c>
      <c r="D5" s="39">
        <v>3.3700000000000001E-2</v>
      </c>
      <c r="E5" s="39">
        <v>2.0799999999999999E-2</v>
      </c>
      <c r="H5">
        <v>4</v>
      </c>
      <c r="I5">
        <f t="shared" si="0"/>
        <v>5.0100000000000003E-4</v>
      </c>
      <c r="J5">
        <f t="shared" si="1"/>
        <v>7.9966999999999996E-2</v>
      </c>
      <c r="K5">
        <f t="shared" si="2"/>
        <v>2.8530000000000001E-3</v>
      </c>
      <c r="L5">
        <f t="shared" si="3"/>
        <v>1.75E-3</v>
      </c>
    </row>
    <row r="6" spans="1:12" x14ac:dyDescent="0.3">
      <c r="A6">
        <v>5</v>
      </c>
      <c r="B6" s="29">
        <v>6.1749999999999999E-3</v>
      </c>
      <c r="C6" s="29">
        <v>8.0562999999999996E-2</v>
      </c>
      <c r="D6" s="39">
        <v>3.3700000000000001E-2</v>
      </c>
      <c r="E6" s="39">
        <v>2.0799999999999999E-2</v>
      </c>
      <c r="H6">
        <v>5</v>
      </c>
      <c r="I6">
        <f t="shared" si="0"/>
        <v>5.0100000000000003E-4</v>
      </c>
      <c r="J6">
        <f t="shared" si="1"/>
        <v>7.9966999999999996E-2</v>
      </c>
      <c r="K6">
        <f t="shared" si="2"/>
        <v>2.8530000000000001E-3</v>
      </c>
      <c r="L6">
        <f t="shared" si="3"/>
        <v>1.75E-3</v>
      </c>
    </row>
    <row r="7" spans="1:12" x14ac:dyDescent="0.3">
      <c r="A7">
        <v>6</v>
      </c>
      <c r="B7" s="29">
        <v>6.4590000000000003E-3</v>
      </c>
      <c r="C7" s="29">
        <v>8.1508999999999998E-2</v>
      </c>
      <c r="D7" s="39">
        <v>3.3700000000000001E-2</v>
      </c>
      <c r="E7" s="39">
        <v>2.0799999999999999E-2</v>
      </c>
      <c r="H7">
        <v>6</v>
      </c>
      <c r="I7">
        <f t="shared" si="0"/>
        <v>5.0100000000000003E-4</v>
      </c>
      <c r="J7">
        <f t="shared" si="1"/>
        <v>7.9966999999999996E-2</v>
      </c>
      <c r="K7">
        <f t="shared" si="2"/>
        <v>2.8530000000000001E-3</v>
      </c>
      <c r="L7">
        <f t="shared" si="3"/>
        <v>1.75E-3</v>
      </c>
    </row>
    <row r="8" spans="1:12" x14ac:dyDescent="0.3">
      <c r="A8">
        <v>7</v>
      </c>
      <c r="B8" s="29">
        <v>6.7429999999999999E-3</v>
      </c>
      <c r="C8" s="29">
        <v>8.2429000000000002E-2</v>
      </c>
      <c r="D8" s="39">
        <v>3.3700000000000001E-2</v>
      </c>
      <c r="E8" s="39">
        <v>2.0799999999999999E-2</v>
      </c>
      <c r="H8">
        <v>7</v>
      </c>
      <c r="I8">
        <f t="shared" si="0"/>
        <v>4.9700000000000005E-4</v>
      </c>
      <c r="J8">
        <f t="shared" si="1"/>
        <v>7.9778000000000002E-2</v>
      </c>
      <c r="K8">
        <f t="shared" si="2"/>
        <v>2.8530000000000001E-3</v>
      </c>
      <c r="L8">
        <f t="shared" si="3"/>
        <v>1.75E-3</v>
      </c>
    </row>
    <row r="9" spans="1:12" x14ac:dyDescent="0.3">
      <c r="A9">
        <v>8</v>
      </c>
      <c r="B9" s="29">
        <v>7.0280000000000004E-3</v>
      </c>
      <c r="C9" s="40">
        <v>8.3323999999999995E-2</v>
      </c>
      <c r="D9" s="39">
        <v>3.3700000000000001E-2</v>
      </c>
      <c r="E9" s="39">
        <v>2.0799999999999999E-2</v>
      </c>
      <c r="H9">
        <v>8</v>
      </c>
      <c r="I9">
        <f t="shared" si="0"/>
        <v>4.9700000000000005E-4</v>
      </c>
      <c r="J9">
        <f t="shared" si="1"/>
        <v>7.9778000000000002E-2</v>
      </c>
      <c r="K9">
        <f t="shared" si="2"/>
        <v>2.8530000000000001E-3</v>
      </c>
      <c r="L9">
        <f t="shared" si="3"/>
        <v>1.75E-3</v>
      </c>
    </row>
    <row r="10" spans="1:12" x14ac:dyDescent="0.3">
      <c r="A10">
        <v>9</v>
      </c>
      <c r="B10" s="29">
        <v>7.3119999999999999E-3</v>
      </c>
      <c r="C10" s="40">
        <v>8.4196999999999994E-2</v>
      </c>
      <c r="D10" s="39">
        <v>3.3700000000000001E-2</v>
      </c>
      <c r="E10" s="39">
        <v>2.0799999999999999E-2</v>
      </c>
      <c r="H10">
        <v>9</v>
      </c>
      <c r="I10">
        <f t="shared" si="0"/>
        <v>4.9700000000000005E-4</v>
      </c>
      <c r="J10">
        <f t="shared" si="1"/>
        <v>7.9778000000000002E-2</v>
      </c>
      <c r="K10">
        <f t="shared" si="2"/>
        <v>2.8530000000000001E-3</v>
      </c>
      <c r="L10">
        <f t="shared" si="3"/>
        <v>1.75E-3</v>
      </c>
    </row>
    <row r="11" spans="1:12" x14ac:dyDescent="0.3">
      <c r="A11">
        <v>10</v>
      </c>
      <c r="B11" s="29">
        <v>7.5960000000000003E-3</v>
      </c>
      <c r="C11" s="40">
        <v>8.5049E-2</v>
      </c>
      <c r="D11" s="39">
        <v>3.3700000000000001E-2</v>
      </c>
      <c r="E11" s="39">
        <v>2.0799999999999999E-2</v>
      </c>
      <c r="H11">
        <v>10</v>
      </c>
      <c r="I11">
        <f t="shared" si="0"/>
        <v>4.9200000000000003E-4</v>
      </c>
      <c r="J11">
        <f t="shared" si="1"/>
        <v>7.9588000000000006E-2</v>
      </c>
      <c r="K11">
        <f t="shared" si="2"/>
        <v>2.8530000000000001E-3</v>
      </c>
      <c r="L11">
        <f t="shared" si="3"/>
        <v>1.75E-3</v>
      </c>
    </row>
    <row r="12" spans="1:12" x14ac:dyDescent="0.3">
      <c r="A12">
        <v>11</v>
      </c>
      <c r="B12" s="29">
        <v>7.8810000000000009E-3</v>
      </c>
      <c r="C12" s="40">
        <v>8.5880999999999999E-2</v>
      </c>
      <c r="D12" s="39">
        <v>3.3700000000000001E-2</v>
      </c>
      <c r="E12" s="39">
        <v>2.0799999999999999E-2</v>
      </c>
      <c r="H12">
        <v>11</v>
      </c>
      <c r="I12">
        <f t="shared" si="0"/>
        <v>4.9200000000000003E-4</v>
      </c>
      <c r="J12">
        <f t="shared" si="1"/>
        <v>7.9588000000000006E-2</v>
      </c>
      <c r="K12">
        <f t="shared" si="2"/>
        <v>2.8530000000000001E-3</v>
      </c>
      <c r="L12">
        <f t="shared" si="3"/>
        <v>1.75E-3</v>
      </c>
    </row>
    <row r="13" spans="1:12" x14ac:dyDescent="0.3">
      <c r="A13">
        <v>12</v>
      </c>
      <c r="B13" s="29">
        <v>8.1650000000000004E-3</v>
      </c>
      <c r="C13" s="40">
        <v>8.6693999999999993E-2</v>
      </c>
      <c r="D13" s="39">
        <v>3.3700000000000001E-2</v>
      </c>
      <c r="E13" s="39">
        <v>2.0799999999999999E-2</v>
      </c>
      <c r="H13">
        <v>12</v>
      </c>
      <c r="I13">
        <f t="shared" si="0"/>
        <v>4.9200000000000003E-4</v>
      </c>
      <c r="J13">
        <f t="shared" si="1"/>
        <v>7.9588000000000006E-2</v>
      </c>
      <c r="K13">
        <f t="shared" si="2"/>
        <v>2.8530000000000001E-3</v>
      </c>
      <c r="L13">
        <f t="shared" si="3"/>
        <v>1.75E-3</v>
      </c>
    </row>
    <row r="14" spans="1:12" x14ac:dyDescent="0.3">
      <c r="A14">
        <v>13</v>
      </c>
      <c r="B14" s="29">
        <v>8.1650000000000004E-3</v>
      </c>
      <c r="C14" s="40">
        <v>8.6693999999999993E-2</v>
      </c>
      <c r="D14" s="39">
        <v>3.3700000000000001E-2</v>
      </c>
      <c r="E14" s="39">
        <v>2.0799999999999999E-2</v>
      </c>
      <c r="H14">
        <v>13</v>
      </c>
      <c r="I14">
        <f t="shared" si="0"/>
        <v>5.1599999999999997E-4</v>
      </c>
      <c r="J14">
        <f t="shared" si="1"/>
        <v>8.0562999999999996E-2</v>
      </c>
      <c r="K14">
        <f t="shared" si="2"/>
        <v>2.8530000000000001E-3</v>
      </c>
      <c r="L14">
        <f t="shared" si="3"/>
        <v>1.75E-3</v>
      </c>
    </row>
    <row r="15" spans="1:12" x14ac:dyDescent="0.3">
      <c r="A15">
        <v>14</v>
      </c>
      <c r="B15" s="29">
        <v>8.1650000000000004E-3</v>
      </c>
      <c r="C15" s="40">
        <v>8.6693999999999993E-2</v>
      </c>
      <c r="D15" s="39">
        <v>3.3700000000000001E-2</v>
      </c>
      <c r="E15" s="39">
        <v>2.0799999999999999E-2</v>
      </c>
      <c r="H15">
        <v>14</v>
      </c>
      <c r="I15">
        <f t="shared" si="0"/>
        <v>5.1599999999999997E-4</v>
      </c>
      <c r="J15">
        <f t="shared" si="1"/>
        <v>8.0562999999999996E-2</v>
      </c>
      <c r="K15">
        <f t="shared" si="2"/>
        <v>2.8530000000000001E-3</v>
      </c>
      <c r="L15">
        <f t="shared" si="3"/>
        <v>1.75E-3</v>
      </c>
    </row>
    <row r="16" spans="1:12" x14ac:dyDescent="0.3">
      <c r="A16">
        <v>15</v>
      </c>
      <c r="B16" s="29">
        <v>8.1650000000000004E-3</v>
      </c>
      <c r="C16" s="40">
        <v>8.6693999999999993E-2</v>
      </c>
      <c r="D16" s="39">
        <v>3.3700000000000001E-2</v>
      </c>
      <c r="E16" s="39">
        <v>2.0799999999999999E-2</v>
      </c>
      <c r="H16">
        <v>15</v>
      </c>
      <c r="I16">
        <f t="shared" si="0"/>
        <v>5.1599999999999997E-4</v>
      </c>
      <c r="J16">
        <f t="shared" si="1"/>
        <v>8.0562999999999996E-2</v>
      </c>
      <c r="K16">
        <f t="shared" si="2"/>
        <v>2.8530000000000001E-3</v>
      </c>
      <c r="L16">
        <f t="shared" si="3"/>
        <v>1.75E-3</v>
      </c>
    </row>
    <row r="17" spans="1:12" x14ac:dyDescent="0.3">
      <c r="A17">
        <v>16</v>
      </c>
      <c r="B17" s="29">
        <v>8.1650000000000004E-3</v>
      </c>
      <c r="C17" s="40">
        <v>8.6693999999999993E-2</v>
      </c>
      <c r="D17" s="39">
        <v>3.3700000000000001E-2</v>
      </c>
      <c r="E17" s="39">
        <v>2.0799999999999999E-2</v>
      </c>
      <c r="H17">
        <v>16</v>
      </c>
      <c r="I17">
        <f t="shared" si="0"/>
        <v>5.4000000000000001E-4</v>
      </c>
      <c r="J17">
        <f t="shared" si="1"/>
        <v>8.1508999999999998E-2</v>
      </c>
      <c r="K17">
        <f t="shared" si="2"/>
        <v>2.8530000000000001E-3</v>
      </c>
      <c r="L17">
        <f t="shared" si="3"/>
        <v>1.75E-3</v>
      </c>
    </row>
    <row r="18" spans="1:12" x14ac:dyDescent="0.3">
      <c r="A18">
        <v>17</v>
      </c>
      <c r="B18" s="29">
        <v>8.1650000000000004E-3</v>
      </c>
      <c r="C18" s="40">
        <v>8.6693999999999993E-2</v>
      </c>
      <c r="D18" s="39">
        <v>3.3700000000000001E-2</v>
      </c>
      <c r="E18" s="39">
        <v>2.0799999999999999E-2</v>
      </c>
      <c r="H18">
        <v>17</v>
      </c>
      <c r="I18">
        <f t="shared" si="0"/>
        <v>5.4000000000000001E-4</v>
      </c>
      <c r="J18">
        <f t="shared" si="1"/>
        <v>8.1508999999999998E-2</v>
      </c>
      <c r="K18">
        <f t="shared" si="2"/>
        <v>2.8530000000000001E-3</v>
      </c>
      <c r="L18">
        <f t="shared" si="3"/>
        <v>1.75E-3</v>
      </c>
    </row>
    <row r="19" spans="1:12" x14ac:dyDescent="0.3">
      <c r="A19">
        <v>18</v>
      </c>
      <c r="B19" s="29">
        <v>8.1650000000000004E-3</v>
      </c>
      <c r="C19" s="40">
        <v>8.6693999999999993E-2</v>
      </c>
      <c r="D19" s="39">
        <v>3.3700000000000001E-2</v>
      </c>
      <c r="E19" s="39">
        <v>2.0799999999999999E-2</v>
      </c>
      <c r="H19">
        <v>18</v>
      </c>
      <c r="I19">
        <f t="shared" si="0"/>
        <v>5.4000000000000001E-4</v>
      </c>
      <c r="J19">
        <f t="shared" si="1"/>
        <v>8.1508999999999998E-2</v>
      </c>
      <c r="K19">
        <f t="shared" si="2"/>
        <v>2.8530000000000001E-3</v>
      </c>
      <c r="L19">
        <f t="shared" si="3"/>
        <v>1.75E-3</v>
      </c>
    </row>
    <row r="20" spans="1:12" x14ac:dyDescent="0.3">
      <c r="A20">
        <v>19</v>
      </c>
      <c r="B20" s="29">
        <v>8.1650000000000004E-3</v>
      </c>
      <c r="C20" s="40">
        <v>8.6693999999999993E-2</v>
      </c>
      <c r="D20" s="39">
        <v>3.3700000000000001E-2</v>
      </c>
      <c r="E20" s="39">
        <v>2.0799999999999999E-2</v>
      </c>
      <c r="H20">
        <v>19</v>
      </c>
      <c r="I20">
        <f t="shared" si="0"/>
        <v>5.6400000000000005E-4</v>
      </c>
      <c r="J20">
        <f t="shared" si="1"/>
        <v>8.2429000000000002E-2</v>
      </c>
      <c r="K20">
        <f t="shared" si="2"/>
        <v>2.8530000000000001E-3</v>
      </c>
      <c r="L20">
        <f t="shared" si="3"/>
        <v>1.75E-3</v>
      </c>
    </row>
    <row r="21" spans="1:12" x14ac:dyDescent="0.3">
      <c r="A21">
        <v>20</v>
      </c>
      <c r="B21" s="29">
        <v>8.1650000000000004E-3</v>
      </c>
      <c r="C21" s="40">
        <v>8.6693999999999993E-2</v>
      </c>
      <c r="D21" s="39">
        <v>3.3700000000000001E-2</v>
      </c>
      <c r="E21" s="39">
        <v>2.0799999999999999E-2</v>
      </c>
      <c r="H21">
        <v>20</v>
      </c>
      <c r="I21">
        <f t="shared" si="0"/>
        <v>5.6400000000000005E-4</v>
      </c>
      <c r="J21">
        <f t="shared" si="1"/>
        <v>8.2429000000000002E-2</v>
      </c>
      <c r="K21">
        <f t="shared" si="2"/>
        <v>2.8530000000000001E-3</v>
      </c>
      <c r="L21">
        <f t="shared" si="3"/>
        <v>1.75E-3</v>
      </c>
    </row>
    <row r="22" spans="1:12" x14ac:dyDescent="0.3">
      <c r="H22">
        <v>21</v>
      </c>
      <c r="I22">
        <f t="shared" si="0"/>
        <v>5.6400000000000005E-4</v>
      </c>
      <c r="J22">
        <f t="shared" si="1"/>
        <v>8.2429000000000002E-2</v>
      </c>
      <c r="K22">
        <f t="shared" si="2"/>
        <v>2.8530000000000001E-3</v>
      </c>
      <c r="L22">
        <f t="shared" si="3"/>
        <v>1.75E-3</v>
      </c>
    </row>
    <row r="23" spans="1:12" x14ac:dyDescent="0.3">
      <c r="H23">
        <v>22</v>
      </c>
      <c r="I23">
        <f t="shared" si="0"/>
        <v>5.8799999999999998E-4</v>
      </c>
      <c r="J23">
        <f t="shared" si="1"/>
        <v>8.3323999999999995E-2</v>
      </c>
      <c r="K23">
        <f t="shared" si="2"/>
        <v>2.8530000000000001E-3</v>
      </c>
      <c r="L23">
        <f t="shared" si="3"/>
        <v>1.75E-3</v>
      </c>
    </row>
    <row r="24" spans="1:12" x14ac:dyDescent="0.3">
      <c r="H24">
        <v>23</v>
      </c>
      <c r="I24">
        <f t="shared" si="0"/>
        <v>5.8799999999999998E-4</v>
      </c>
      <c r="J24">
        <f t="shared" si="1"/>
        <v>8.3323999999999995E-2</v>
      </c>
      <c r="K24">
        <f t="shared" si="2"/>
        <v>2.8530000000000001E-3</v>
      </c>
      <c r="L24">
        <f t="shared" si="3"/>
        <v>1.75E-3</v>
      </c>
    </row>
    <row r="25" spans="1:12" x14ac:dyDescent="0.3">
      <c r="H25">
        <v>24</v>
      </c>
      <c r="I25">
        <f t="shared" si="0"/>
        <v>5.8799999999999998E-4</v>
      </c>
      <c r="J25">
        <f t="shared" si="1"/>
        <v>8.3323999999999995E-2</v>
      </c>
      <c r="K25">
        <f t="shared" si="2"/>
        <v>2.8530000000000001E-3</v>
      </c>
      <c r="L25">
        <f t="shared" si="3"/>
        <v>1.75E-3</v>
      </c>
    </row>
    <row r="26" spans="1:12" x14ac:dyDescent="0.3">
      <c r="H26">
        <v>25</v>
      </c>
      <c r="I26">
        <f t="shared" si="0"/>
        <v>6.11E-4</v>
      </c>
      <c r="J26">
        <f t="shared" si="1"/>
        <v>8.4196999999999994E-2</v>
      </c>
      <c r="K26">
        <f t="shared" si="2"/>
        <v>2.8530000000000001E-3</v>
      </c>
      <c r="L26">
        <f t="shared" si="3"/>
        <v>1.75E-3</v>
      </c>
    </row>
    <row r="27" spans="1:12" x14ac:dyDescent="0.3">
      <c r="H27">
        <v>26</v>
      </c>
      <c r="I27">
        <f t="shared" si="0"/>
        <v>6.11E-4</v>
      </c>
      <c r="J27">
        <f t="shared" si="1"/>
        <v>8.4196999999999994E-2</v>
      </c>
      <c r="K27">
        <f t="shared" si="2"/>
        <v>2.8530000000000001E-3</v>
      </c>
      <c r="L27">
        <f t="shared" si="3"/>
        <v>1.75E-3</v>
      </c>
    </row>
    <row r="28" spans="1:12" x14ac:dyDescent="0.3">
      <c r="C28" t="s">
        <v>6</v>
      </c>
      <c r="H28">
        <v>27</v>
      </c>
      <c r="I28">
        <f t="shared" si="0"/>
        <v>6.11E-4</v>
      </c>
      <c r="J28">
        <f t="shared" si="1"/>
        <v>8.4196999999999994E-2</v>
      </c>
      <c r="K28">
        <f t="shared" si="2"/>
        <v>2.8530000000000001E-3</v>
      </c>
      <c r="L28">
        <f t="shared" si="3"/>
        <v>1.75E-3</v>
      </c>
    </row>
    <row r="29" spans="1:12" x14ac:dyDescent="0.3">
      <c r="H29">
        <v>28</v>
      </c>
      <c r="I29">
        <f t="shared" si="0"/>
        <v>6.3500000000000004E-4</v>
      </c>
      <c r="J29">
        <f t="shared" si="1"/>
        <v>8.5049E-2</v>
      </c>
      <c r="K29">
        <f t="shared" si="2"/>
        <v>2.8530000000000001E-3</v>
      </c>
      <c r="L29">
        <f t="shared" si="3"/>
        <v>1.75E-3</v>
      </c>
    </row>
    <row r="30" spans="1:12" x14ac:dyDescent="0.3">
      <c r="H30">
        <v>29</v>
      </c>
      <c r="I30">
        <f t="shared" si="0"/>
        <v>6.3500000000000004E-4</v>
      </c>
      <c r="J30">
        <f t="shared" si="1"/>
        <v>8.5049E-2</v>
      </c>
      <c r="K30">
        <f t="shared" si="2"/>
        <v>2.8530000000000001E-3</v>
      </c>
      <c r="L30">
        <f t="shared" si="3"/>
        <v>1.75E-3</v>
      </c>
    </row>
    <row r="31" spans="1:12" x14ac:dyDescent="0.3">
      <c r="H31">
        <v>30</v>
      </c>
      <c r="I31">
        <f t="shared" si="0"/>
        <v>6.3500000000000004E-4</v>
      </c>
      <c r="J31">
        <f t="shared" si="1"/>
        <v>8.5049E-2</v>
      </c>
      <c r="K31">
        <f t="shared" si="2"/>
        <v>2.8530000000000001E-3</v>
      </c>
      <c r="L31">
        <f t="shared" si="3"/>
        <v>1.75E-3</v>
      </c>
    </row>
    <row r="32" spans="1:12" x14ac:dyDescent="0.3">
      <c r="H32">
        <v>31</v>
      </c>
      <c r="I32">
        <f t="shared" si="0"/>
        <v>6.5899999999999997E-4</v>
      </c>
      <c r="J32">
        <f t="shared" si="1"/>
        <v>8.5880999999999999E-2</v>
      </c>
      <c r="K32">
        <f t="shared" si="2"/>
        <v>2.8530000000000001E-3</v>
      </c>
      <c r="L32">
        <f t="shared" si="3"/>
        <v>1.75E-3</v>
      </c>
    </row>
    <row r="33" spans="8:12" x14ac:dyDescent="0.3">
      <c r="H33">
        <v>32</v>
      </c>
      <c r="I33">
        <f t="shared" si="0"/>
        <v>6.5899999999999997E-4</v>
      </c>
      <c r="J33">
        <f t="shared" si="1"/>
        <v>8.5880999999999999E-2</v>
      </c>
      <c r="K33">
        <f t="shared" si="2"/>
        <v>2.8530000000000001E-3</v>
      </c>
      <c r="L33">
        <f t="shared" si="3"/>
        <v>1.75E-3</v>
      </c>
    </row>
    <row r="34" spans="8:12" x14ac:dyDescent="0.3">
      <c r="H34">
        <v>33</v>
      </c>
      <c r="I34">
        <f t="shared" si="0"/>
        <v>6.5899999999999997E-4</v>
      </c>
      <c r="J34">
        <f t="shared" si="1"/>
        <v>8.5880999999999999E-2</v>
      </c>
      <c r="K34">
        <f t="shared" si="2"/>
        <v>2.8530000000000001E-3</v>
      </c>
      <c r="L34">
        <f t="shared" si="3"/>
        <v>1.75E-3</v>
      </c>
    </row>
    <row r="35" spans="8:12" x14ac:dyDescent="0.3">
      <c r="H35">
        <v>34</v>
      </c>
      <c r="I35">
        <f t="shared" si="0"/>
        <v>6.8300000000000001E-4</v>
      </c>
      <c r="J35">
        <f t="shared" si="1"/>
        <v>8.6693999999999993E-2</v>
      </c>
      <c r="K35">
        <f t="shared" si="2"/>
        <v>2.8530000000000001E-3</v>
      </c>
      <c r="L35">
        <f t="shared" si="3"/>
        <v>1.75E-3</v>
      </c>
    </row>
    <row r="36" spans="8:12" x14ac:dyDescent="0.3">
      <c r="H36">
        <v>35</v>
      </c>
      <c r="I36">
        <f t="shared" si="0"/>
        <v>6.8300000000000001E-4</v>
      </c>
      <c r="J36">
        <f t="shared" si="1"/>
        <v>8.6693999999999993E-2</v>
      </c>
      <c r="K36">
        <f t="shared" si="2"/>
        <v>2.8530000000000001E-3</v>
      </c>
      <c r="L36">
        <f t="shared" si="3"/>
        <v>1.75E-3</v>
      </c>
    </row>
    <row r="37" spans="8:12" x14ac:dyDescent="0.3">
      <c r="H37">
        <v>36</v>
      </c>
      <c r="I37">
        <f t="shared" si="0"/>
        <v>6.8300000000000001E-4</v>
      </c>
      <c r="J37">
        <f t="shared" si="1"/>
        <v>8.6693999999999993E-2</v>
      </c>
      <c r="K37">
        <f t="shared" si="2"/>
        <v>2.8530000000000001E-3</v>
      </c>
      <c r="L37">
        <f t="shared" si="3"/>
        <v>1.75E-3</v>
      </c>
    </row>
    <row r="38" spans="8:12" x14ac:dyDescent="0.3">
      <c r="H38">
        <v>37</v>
      </c>
      <c r="I38">
        <f t="shared" si="0"/>
        <v>6.8300000000000001E-4</v>
      </c>
      <c r="J38">
        <f t="shared" si="1"/>
        <v>8.6693999999999993E-2</v>
      </c>
      <c r="K38">
        <f t="shared" si="2"/>
        <v>2.8530000000000001E-3</v>
      </c>
      <c r="L38">
        <f t="shared" si="3"/>
        <v>1.75E-3</v>
      </c>
    </row>
    <row r="39" spans="8:12" x14ac:dyDescent="0.3">
      <c r="H39">
        <v>38</v>
      </c>
      <c r="I39">
        <f t="shared" si="0"/>
        <v>6.8300000000000001E-4</v>
      </c>
      <c r="J39">
        <f t="shared" si="1"/>
        <v>8.6693999999999993E-2</v>
      </c>
      <c r="K39">
        <f t="shared" si="2"/>
        <v>2.8530000000000001E-3</v>
      </c>
      <c r="L39">
        <f t="shared" si="3"/>
        <v>1.75E-3</v>
      </c>
    </row>
    <row r="40" spans="8:12" x14ac:dyDescent="0.3">
      <c r="H40">
        <v>39</v>
      </c>
      <c r="I40">
        <f t="shared" si="0"/>
        <v>6.8300000000000001E-4</v>
      </c>
      <c r="J40">
        <f t="shared" si="1"/>
        <v>8.6693999999999993E-2</v>
      </c>
      <c r="K40">
        <f t="shared" si="2"/>
        <v>2.8530000000000001E-3</v>
      </c>
      <c r="L40">
        <f t="shared" si="3"/>
        <v>1.75E-3</v>
      </c>
    </row>
    <row r="41" spans="8:12" x14ac:dyDescent="0.3">
      <c r="H41">
        <v>40</v>
      </c>
      <c r="I41">
        <f t="shared" si="0"/>
        <v>6.8300000000000001E-4</v>
      </c>
      <c r="J41">
        <f t="shared" si="1"/>
        <v>8.6693999999999993E-2</v>
      </c>
      <c r="K41">
        <f t="shared" si="2"/>
        <v>2.8530000000000001E-3</v>
      </c>
      <c r="L41">
        <f t="shared" si="3"/>
        <v>1.75E-3</v>
      </c>
    </row>
    <row r="42" spans="8:12" x14ac:dyDescent="0.3">
      <c r="H42">
        <v>41</v>
      </c>
      <c r="I42">
        <f t="shared" si="0"/>
        <v>6.8300000000000001E-4</v>
      </c>
      <c r="J42">
        <f t="shared" si="1"/>
        <v>8.6693999999999993E-2</v>
      </c>
      <c r="K42">
        <f t="shared" si="2"/>
        <v>2.8530000000000001E-3</v>
      </c>
      <c r="L42">
        <f t="shared" si="3"/>
        <v>1.75E-3</v>
      </c>
    </row>
    <row r="43" spans="8:12" x14ac:dyDescent="0.3">
      <c r="H43">
        <v>42</v>
      </c>
      <c r="I43">
        <f t="shared" si="0"/>
        <v>6.8300000000000001E-4</v>
      </c>
      <c r="J43">
        <f t="shared" si="1"/>
        <v>8.6693999999999993E-2</v>
      </c>
      <c r="K43">
        <f t="shared" si="2"/>
        <v>2.8530000000000001E-3</v>
      </c>
      <c r="L43">
        <f t="shared" si="3"/>
        <v>1.75E-3</v>
      </c>
    </row>
    <row r="44" spans="8:12" x14ac:dyDescent="0.3">
      <c r="H44">
        <v>43</v>
      </c>
      <c r="I44">
        <f t="shared" si="0"/>
        <v>6.8300000000000001E-4</v>
      </c>
      <c r="J44">
        <f t="shared" si="1"/>
        <v>8.6693999999999993E-2</v>
      </c>
      <c r="K44">
        <f t="shared" si="2"/>
        <v>2.8530000000000001E-3</v>
      </c>
      <c r="L44">
        <f t="shared" si="3"/>
        <v>1.75E-3</v>
      </c>
    </row>
    <row r="45" spans="8:12" x14ac:dyDescent="0.3">
      <c r="H45">
        <v>44</v>
      </c>
      <c r="I45">
        <f t="shared" si="0"/>
        <v>6.8300000000000001E-4</v>
      </c>
      <c r="J45">
        <f t="shared" si="1"/>
        <v>8.6693999999999993E-2</v>
      </c>
      <c r="K45">
        <f t="shared" si="2"/>
        <v>2.8530000000000001E-3</v>
      </c>
      <c r="L45">
        <f t="shared" si="3"/>
        <v>1.75E-3</v>
      </c>
    </row>
    <row r="46" spans="8:12" x14ac:dyDescent="0.3">
      <c r="H46">
        <v>45</v>
      </c>
      <c r="I46">
        <f t="shared" si="0"/>
        <v>6.8300000000000001E-4</v>
      </c>
      <c r="J46">
        <f t="shared" si="1"/>
        <v>8.6693999999999993E-2</v>
      </c>
      <c r="K46">
        <f t="shared" si="2"/>
        <v>2.8530000000000001E-3</v>
      </c>
      <c r="L46">
        <f t="shared" si="3"/>
        <v>1.75E-3</v>
      </c>
    </row>
    <row r="47" spans="8:12" x14ac:dyDescent="0.3">
      <c r="H47">
        <v>46</v>
      </c>
      <c r="I47">
        <f t="shared" si="0"/>
        <v>6.8300000000000001E-4</v>
      </c>
      <c r="J47">
        <f t="shared" si="1"/>
        <v>8.6693999999999993E-2</v>
      </c>
      <c r="K47">
        <f t="shared" si="2"/>
        <v>2.8530000000000001E-3</v>
      </c>
      <c r="L47">
        <f t="shared" si="3"/>
        <v>1.75E-3</v>
      </c>
    </row>
    <row r="48" spans="8:12" x14ac:dyDescent="0.3">
      <c r="H48">
        <v>47</v>
      </c>
      <c r="I48">
        <f t="shared" si="0"/>
        <v>6.8300000000000001E-4</v>
      </c>
      <c r="J48">
        <f t="shared" si="1"/>
        <v>8.6693999999999993E-2</v>
      </c>
      <c r="K48">
        <f t="shared" si="2"/>
        <v>2.8530000000000001E-3</v>
      </c>
      <c r="L48">
        <f t="shared" si="3"/>
        <v>1.75E-3</v>
      </c>
    </row>
    <row r="49" spans="8:12" x14ac:dyDescent="0.3">
      <c r="H49">
        <v>48</v>
      </c>
      <c r="I49">
        <f t="shared" si="0"/>
        <v>6.8300000000000001E-4</v>
      </c>
      <c r="J49">
        <f t="shared" si="1"/>
        <v>8.6693999999999993E-2</v>
      </c>
      <c r="K49">
        <f t="shared" si="2"/>
        <v>2.8530000000000001E-3</v>
      </c>
      <c r="L49">
        <f t="shared" si="3"/>
        <v>1.75E-3</v>
      </c>
    </row>
    <row r="50" spans="8:12" x14ac:dyDescent="0.3">
      <c r="H50">
        <v>49</v>
      </c>
      <c r="I50">
        <f t="shared" si="0"/>
        <v>6.8300000000000001E-4</v>
      </c>
      <c r="J50">
        <f t="shared" si="1"/>
        <v>8.6693999999999993E-2</v>
      </c>
      <c r="K50">
        <f t="shared" si="2"/>
        <v>2.8530000000000001E-3</v>
      </c>
      <c r="L50">
        <f t="shared" si="3"/>
        <v>1.75E-3</v>
      </c>
    </row>
    <row r="51" spans="8:12" x14ac:dyDescent="0.3">
      <c r="H51">
        <v>50</v>
      </c>
      <c r="I51">
        <f t="shared" si="0"/>
        <v>6.8300000000000001E-4</v>
      </c>
      <c r="J51">
        <f t="shared" si="1"/>
        <v>8.6693999999999993E-2</v>
      </c>
      <c r="K51">
        <f t="shared" si="2"/>
        <v>2.8530000000000001E-3</v>
      </c>
      <c r="L51">
        <f t="shared" si="3"/>
        <v>1.75E-3</v>
      </c>
    </row>
    <row r="52" spans="8:12" x14ac:dyDescent="0.3">
      <c r="H52">
        <v>51</v>
      </c>
      <c r="I52">
        <f t="shared" si="0"/>
        <v>6.8300000000000001E-4</v>
      </c>
      <c r="J52">
        <f t="shared" si="1"/>
        <v>8.6693999999999993E-2</v>
      </c>
      <c r="K52">
        <f t="shared" si="2"/>
        <v>2.8530000000000001E-3</v>
      </c>
      <c r="L52">
        <f t="shared" si="3"/>
        <v>1.75E-3</v>
      </c>
    </row>
    <row r="53" spans="8:12" x14ac:dyDescent="0.3">
      <c r="H53">
        <v>52</v>
      </c>
      <c r="I53">
        <f t="shared" si="0"/>
        <v>6.8300000000000001E-4</v>
      </c>
      <c r="J53">
        <f t="shared" si="1"/>
        <v>8.6693999999999993E-2</v>
      </c>
      <c r="K53">
        <f t="shared" si="2"/>
        <v>2.8530000000000001E-3</v>
      </c>
      <c r="L53">
        <f t="shared" si="3"/>
        <v>1.75E-3</v>
      </c>
    </row>
    <row r="54" spans="8:12" x14ac:dyDescent="0.3">
      <c r="H54">
        <v>53</v>
      </c>
      <c r="I54">
        <f t="shared" si="0"/>
        <v>6.8300000000000001E-4</v>
      </c>
      <c r="J54">
        <f t="shared" si="1"/>
        <v>8.6693999999999993E-2</v>
      </c>
      <c r="K54">
        <f t="shared" si="2"/>
        <v>2.8530000000000001E-3</v>
      </c>
      <c r="L54">
        <f t="shared" si="3"/>
        <v>1.75E-3</v>
      </c>
    </row>
    <row r="55" spans="8:12" x14ac:dyDescent="0.3">
      <c r="H55">
        <v>54</v>
      </c>
      <c r="I55">
        <f t="shared" si="0"/>
        <v>6.8300000000000001E-4</v>
      </c>
      <c r="J55">
        <f t="shared" si="1"/>
        <v>8.6693999999999993E-2</v>
      </c>
      <c r="K55">
        <f t="shared" si="2"/>
        <v>2.8530000000000001E-3</v>
      </c>
      <c r="L55">
        <f t="shared" si="3"/>
        <v>1.75E-3</v>
      </c>
    </row>
    <row r="56" spans="8:12" x14ac:dyDescent="0.3">
      <c r="H56">
        <v>55</v>
      </c>
      <c r="I56">
        <f t="shared" si="0"/>
        <v>6.8300000000000001E-4</v>
      </c>
      <c r="J56">
        <f t="shared" si="1"/>
        <v>8.6693999999999993E-2</v>
      </c>
      <c r="K56">
        <f t="shared" si="2"/>
        <v>2.8530000000000001E-3</v>
      </c>
      <c r="L56">
        <f t="shared" si="3"/>
        <v>1.75E-3</v>
      </c>
    </row>
    <row r="57" spans="8:12" x14ac:dyDescent="0.3">
      <c r="H57">
        <v>56</v>
      </c>
      <c r="I57">
        <f t="shared" si="0"/>
        <v>6.8300000000000001E-4</v>
      </c>
      <c r="J57">
        <f t="shared" si="1"/>
        <v>8.6693999999999993E-2</v>
      </c>
      <c r="K57">
        <f t="shared" si="2"/>
        <v>2.8530000000000001E-3</v>
      </c>
      <c r="L57">
        <f t="shared" si="3"/>
        <v>1.75E-3</v>
      </c>
    </row>
    <row r="58" spans="8:12" x14ac:dyDescent="0.3">
      <c r="H58">
        <v>57</v>
      </c>
      <c r="I58">
        <f t="shared" si="0"/>
        <v>6.8300000000000001E-4</v>
      </c>
      <c r="J58">
        <f t="shared" si="1"/>
        <v>8.6693999999999993E-2</v>
      </c>
      <c r="K58">
        <f t="shared" si="2"/>
        <v>2.8530000000000001E-3</v>
      </c>
      <c r="L58">
        <f t="shared" si="3"/>
        <v>1.75E-3</v>
      </c>
    </row>
    <row r="59" spans="8:12" x14ac:dyDescent="0.3">
      <c r="H59">
        <v>58</v>
      </c>
      <c r="I59">
        <f t="shared" si="0"/>
        <v>6.8300000000000001E-4</v>
      </c>
      <c r="J59">
        <f t="shared" si="1"/>
        <v>8.6693999999999993E-2</v>
      </c>
      <c r="K59">
        <f t="shared" si="2"/>
        <v>2.8530000000000001E-3</v>
      </c>
      <c r="L59">
        <f t="shared" si="3"/>
        <v>1.75E-3</v>
      </c>
    </row>
    <row r="60" spans="8:12" x14ac:dyDescent="0.3">
      <c r="H60">
        <v>59</v>
      </c>
      <c r="I60">
        <f t="shared" si="0"/>
        <v>6.8300000000000001E-4</v>
      </c>
      <c r="J60">
        <f t="shared" si="1"/>
        <v>8.6693999999999993E-2</v>
      </c>
      <c r="K60">
        <f t="shared" si="2"/>
        <v>2.8530000000000001E-3</v>
      </c>
      <c r="L60">
        <f t="shared" si="3"/>
        <v>1.75E-3</v>
      </c>
    </row>
    <row r="61" spans="8:12" x14ac:dyDescent="0.3">
      <c r="H61">
        <v>60</v>
      </c>
      <c r="I61">
        <f t="shared" si="0"/>
        <v>6.8300000000000001E-4</v>
      </c>
      <c r="J61">
        <f t="shared" si="1"/>
        <v>8.6693999999999993E-2</v>
      </c>
      <c r="K61">
        <f t="shared" si="2"/>
        <v>2.8530000000000001E-3</v>
      </c>
      <c r="L61">
        <f t="shared" si="3"/>
        <v>1.75E-3</v>
      </c>
    </row>
    <row r="62" spans="8:12" x14ac:dyDescent="0.3">
      <c r="H62">
        <v>61</v>
      </c>
      <c r="I62">
        <f>I$61</f>
        <v>6.8300000000000001E-4</v>
      </c>
      <c r="J62">
        <f>J$61</f>
        <v>8.6693999999999993E-2</v>
      </c>
      <c r="K62">
        <f>K$61</f>
        <v>2.8530000000000001E-3</v>
      </c>
      <c r="L62">
        <f>L$61</f>
        <v>1.75E-3</v>
      </c>
    </row>
    <row r="63" spans="8:12" x14ac:dyDescent="0.3">
      <c r="H63">
        <v>62</v>
      </c>
      <c r="I63">
        <f t="shared" ref="I63:L94" si="4">I$61</f>
        <v>6.8300000000000001E-4</v>
      </c>
      <c r="J63">
        <f t="shared" si="4"/>
        <v>8.6693999999999993E-2</v>
      </c>
      <c r="K63">
        <f t="shared" si="4"/>
        <v>2.8530000000000001E-3</v>
      </c>
      <c r="L63">
        <f t="shared" si="4"/>
        <v>1.75E-3</v>
      </c>
    </row>
    <row r="64" spans="8:12" x14ac:dyDescent="0.3">
      <c r="H64">
        <v>63</v>
      </c>
      <c r="I64">
        <f t="shared" si="4"/>
        <v>6.8300000000000001E-4</v>
      </c>
      <c r="J64">
        <f t="shared" si="4"/>
        <v>8.6693999999999993E-2</v>
      </c>
      <c r="K64">
        <f t="shared" si="4"/>
        <v>2.8530000000000001E-3</v>
      </c>
      <c r="L64">
        <f t="shared" si="4"/>
        <v>1.75E-3</v>
      </c>
    </row>
    <row r="65" spans="8:12" x14ac:dyDescent="0.3">
      <c r="H65">
        <v>64</v>
      </c>
      <c r="I65">
        <f t="shared" si="4"/>
        <v>6.8300000000000001E-4</v>
      </c>
      <c r="J65">
        <f t="shared" si="4"/>
        <v>8.6693999999999993E-2</v>
      </c>
      <c r="K65">
        <f t="shared" si="4"/>
        <v>2.8530000000000001E-3</v>
      </c>
      <c r="L65">
        <f t="shared" si="4"/>
        <v>1.75E-3</v>
      </c>
    </row>
    <row r="66" spans="8:12" x14ac:dyDescent="0.3">
      <c r="H66">
        <v>65</v>
      </c>
      <c r="I66">
        <f t="shared" si="4"/>
        <v>6.8300000000000001E-4</v>
      </c>
      <c r="J66">
        <f t="shared" si="4"/>
        <v>8.6693999999999993E-2</v>
      </c>
      <c r="K66">
        <f t="shared" si="4"/>
        <v>2.8530000000000001E-3</v>
      </c>
      <c r="L66">
        <f t="shared" si="4"/>
        <v>1.75E-3</v>
      </c>
    </row>
    <row r="67" spans="8:12" x14ac:dyDescent="0.3">
      <c r="H67">
        <v>66</v>
      </c>
      <c r="I67">
        <f t="shared" si="4"/>
        <v>6.8300000000000001E-4</v>
      </c>
      <c r="J67">
        <f t="shared" si="4"/>
        <v>8.6693999999999993E-2</v>
      </c>
      <c r="K67">
        <f t="shared" si="4"/>
        <v>2.8530000000000001E-3</v>
      </c>
      <c r="L67">
        <f t="shared" si="4"/>
        <v>1.75E-3</v>
      </c>
    </row>
    <row r="68" spans="8:12" x14ac:dyDescent="0.3">
      <c r="H68">
        <v>67</v>
      </c>
      <c r="I68">
        <f t="shared" si="4"/>
        <v>6.8300000000000001E-4</v>
      </c>
      <c r="J68">
        <f t="shared" si="4"/>
        <v>8.6693999999999993E-2</v>
      </c>
      <c r="K68">
        <f t="shared" si="4"/>
        <v>2.8530000000000001E-3</v>
      </c>
      <c r="L68">
        <f t="shared" si="4"/>
        <v>1.75E-3</v>
      </c>
    </row>
    <row r="69" spans="8:12" x14ac:dyDescent="0.3">
      <c r="H69">
        <v>68</v>
      </c>
      <c r="I69">
        <f t="shared" si="4"/>
        <v>6.8300000000000001E-4</v>
      </c>
      <c r="J69">
        <f t="shared" si="4"/>
        <v>8.6693999999999993E-2</v>
      </c>
      <c r="K69">
        <f t="shared" si="4"/>
        <v>2.8530000000000001E-3</v>
      </c>
      <c r="L69">
        <f t="shared" si="4"/>
        <v>1.75E-3</v>
      </c>
    </row>
    <row r="70" spans="8:12" x14ac:dyDescent="0.3">
      <c r="H70">
        <v>69</v>
      </c>
      <c r="I70">
        <f t="shared" si="4"/>
        <v>6.8300000000000001E-4</v>
      </c>
      <c r="J70">
        <f t="shared" si="4"/>
        <v>8.6693999999999993E-2</v>
      </c>
      <c r="K70">
        <f t="shared" si="4"/>
        <v>2.8530000000000001E-3</v>
      </c>
      <c r="L70">
        <f t="shared" si="4"/>
        <v>1.75E-3</v>
      </c>
    </row>
    <row r="71" spans="8:12" x14ac:dyDescent="0.3">
      <c r="H71">
        <v>70</v>
      </c>
      <c r="I71">
        <f t="shared" si="4"/>
        <v>6.8300000000000001E-4</v>
      </c>
      <c r="J71">
        <f t="shared" si="4"/>
        <v>8.6693999999999993E-2</v>
      </c>
      <c r="K71">
        <f t="shared" si="4"/>
        <v>2.8530000000000001E-3</v>
      </c>
      <c r="L71">
        <f t="shared" si="4"/>
        <v>1.75E-3</v>
      </c>
    </row>
    <row r="72" spans="8:12" x14ac:dyDescent="0.3">
      <c r="H72">
        <v>71</v>
      </c>
      <c r="I72">
        <f t="shared" si="4"/>
        <v>6.8300000000000001E-4</v>
      </c>
      <c r="J72">
        <f t="shared" si="4"/>
        <v>8.6693999999999993E-2</v>
      </c>
      <c r="K72">
        <f t="shared" si="4"/>
        <v>2.8530000000000001E-3</v>
      </c>
      <c r="L72">
        <f t="shared" si="4"/>
        <v>1.75E-3</v>
      </c>
    </row>
    <row r="73" spans="8:12" x14ac:dyDescent="0.3">
      <c r="H73">
        <v>72</v>
      </c>
      <c r="I73">
        <f t="shared" si="4"/>
        <v>6.8300000000000001E-4</v>
      </c>
      <c r="J73">
        <f t="shared" si="4"/>
        <v>8.6693999999999993E-2</v>
      </c>
      <c r="K73">
        <f t="shared" si="4"/>
        <v>2.8530000000000001E-3</v>
      </c>
      <c r="L73">
        <f t="shared" si="4"/>
        <v>1.75E-3</v>
      </c>
    </row>
    <row r="74" spans="8:12" x14ac:dyDescent="0.3">
      <c r="H74">
        <v>73</v>
      </c>
      <c r="I74">
        <f t="shared" si="4"/>
        <v>6.8300000000000001E-4</v>
      </c>
      <c r="J74">
        <f t="shared" si="4"/>
        <v>8.6693999999999993E-2</v>
      </c>
      <c r="K74">
        <f t="shared" si="4"/>
        <v>2.8530000000000001E-3</v>
      </c>
      <c r="L74">
        <f t="shared" si="4"/>
        <v>1.75E-3</v>
      </c>
    </row>
    <row r="75" spans="8:12" x14ac:dyDescent="0.3">
      <c r="H75">
        <v>74</v>
      </c>
      <c r="I75">
        <f t="shared" si="4"/>
        <v>6.8300000000000001E-4</v>
      </c>
      <c r="J75">
        <f t="shared" si="4"/>
        <v>8.6693999999999993E-2</v>
      </c>
      <c r="K75">
        <f t="shared" si="4"/>
        <v>2.8530000000000001E-3</v>
      </c>
      <c r="L75">
        <f t="shared" si="4"/>
        <v>1.75E-3</v>
      </c>
    </row>
    <row r="76" spans="8:12" x14ac:dyDescent="0.3">
      <c r="H76">
        <v>75</v>
      </c>
      <c r="I76">
        <f t="shared" si="4"/>
        <v>6.8300000000000001E-4</v>
      </c>
      <c r="J76">
        <f t="shared" si="4"/>
        <v>8.6693999999999993E-2</v>
      </c>
      <c r="K76">
        <f t="shared" si="4"/>
        <v>2.8530000000000001E-3</v>
      </c>
      <c r="L76">
        <f t="shared" si="4"/>
        <v>1.75E-3</v>
      </c>
    </row>
    <row r="77" spans="8:12" x14ac:dyDescent="0.3">
      <c r="H77">
        <v>76</v>
      </c>
      <c r="I77">
        <f t="shared" si="4"/>
        <v>6.8300000000000001E-4</v>
      </c>
      <c r="J77">
        <f t="shared" si="4"/>
        <v>8.6693999999999993E-2</v>
      </c>
      <c r="K77">
        <f t="shared" si="4"/>
        <v>2.8530000000000001E-3</v>
      </c>
      <c r="L77">
        <f t="shared" si="4"/>
        <v>1.75E-3</v>
      </c>
    </row>
    <row r="78" spans="8:12" x14ac:dyDescent="0.3">
      <c r="H78">
        <v>77</v>
      </c>
      <c r="I78">
        <f t="shared" si="4"/>
        <v>6.8300000000000001E-4</v>
      </c>
      <c r="J78">
        <f t="shared" si="4"/>
        <v>8.6693999999999993E-2</v>
      </c>
      <c r="K78">
        <f t="shared" si="4"/>
        <v>2.8530000000000001E-3</v>
      </c>
      <c r="L78">
        <f t="shared" si="4"/>
        <v>1.75E-3</v>
      </c>
    </row>
    <row r="79" spans="8:12" x14ac:dyDescent="0.3">
      <c r="H79">
        <v>78</v>
      </c>
      <c r="I79">
        <f t="shared" si="4"/>
        <v>6.8300000000000001E-4</v>
      </c>
      <c r="J79">
        <f t="shared" si="4"/>
        <v>8.6693999999999993E-2</v>
      </c>
      <c r="K79">
        <f t="shared" si="4"/>
        <v>2.8530000000000001E-3</v>
      </c>
      <c r="L79">
        <f t="shared" si="4"/>
        <v>1.75E-3</v>
      </c>
    </row>
    <row r="80" spans="8:12" x14ac:dyDescent="0.3">
      <c r="H80">
        <v>79</v>
      </c>
      <c r="I80">
        <f t="shared" si="4"/>
        <v>6.8300000000000001E-4</v>
      </c>
      <c r="J80">
        <f t="shared" si="4"/>
        <v>8.6693999999999993E-2</v>
      </c>
      <c r="K80">
        <f t="shared" si="4"/>
        <v>2.8530000000000001E-3</v>
      </c>
      <c r="L80">
        <f t="shared" si="4"/>
        <v>1.75E-3</v>
      </c>
    </row>
    <row r="81" spans="8:12" x14ac:dyDescent="0.3">
      <c r="H81">
        <v>80</v>
      </c>
      <c r="I81">
        <f t="shared" si="4"/>
        <v>6.8300000000000001E-4</v>
      </c>
      <c r="J81">
        <f t="shared" si="4"/>
        <v>8.6693999999999993E-2</v>
      </c>
      <c r="K81">
        <f t="shared" si="4"/>
        <v>2.8530000000000001E-3</v>
      </c>
      <c r="L81">
        <f t="shared" si="4"/>
        <v>1.75E-3</v>
      </c>
    </row>
    <row r="82" spans="8:12" x14ac:dyDescent="0.3">
      <c r="H82">
        <v>81</v>
      </c>
      <c r="I82">
        <f t="shared" si="4"/>
        <v>6.8300000000000001E-4</v>
      </c>
      <c r="J82">
        <f t="shared" si="4"/>
        <v>8.6693999999999993E-2</v>
      </c>
      <c r="K82">
        <f t="shared" si="4"/>
        <v>2.8530000000000001E-3</v>
      </c>
      <c r="L82">
        <f t="shared" si="4"/>
        <v>1.75E-3</v>
      </c>
    </row>
    <row r="83" spans="8:12" x14ac:dyDescent="0.3">
      <c r="H83">
        <v>82</v>
      </c>
      <c r="I83">
        <f t="shared" si="4"/>
        <v>6.8300000000000001E-4</v>
      </c>
      <c r="J83">
        <f t="shared" si="4"/>
        <v>8.6693999999999993E-2</v>
      </c>
      <c r="K83">
        <f t="shared" si="4"/>
        <v>2.8530000000000001E-3</v>
      </c>
      <c r="L83">
        <f t="shared" si="4"/>
        <v>1.75E-3</v>
      </c>
    </row>
    <row r="84" spans="8:12" x14ac:dyDescent="0.3">
      <c r="H84">
        <v>83</v>
      </c>
      <c r="I84">
        <f t="shared" si="4"/>
        <v>6.8300000000000001E-4</v>
      </c>
      <c r="J84">
        <f t="shared" si="4"/>
        <v>8.6693999999999993E-2</v>
      </c>
      <c r="K84">
        <f t="shared" si="4"/>
        <v>2.8530000000000001E-3</v>
      </c>
      <c r="L84">
        <f t="shared" si="4"/>
        <v>1.75E-3</v>
      </c>
    </row>
    <row r="85" spans="8:12" x14ac:dyDescent="0.3">
      <c r="H85">
        <v>84</v>
      </c>
      <c r="I85">
        <f t="shared" si="4"/>
        <v>6.8300000000000001E-4</v>
      </c>
      <c r="J85">
        <f t="shared" si="4"/>
        <v>8.6693999999999993E-2</v>
      </c>
      <c r="K85">
        <f t="shared" si="4"/>
        <v>2.8530000000000001E-3</v>
      </c>
      <c r="L85">
        <f t="shared" si="4"/>
        <v>1.75E-3</v>
      </c>
    </row>
    <row r="86" spans="8:12" x14ac:dyDescent="0.3">
      <c r="H86">
        <v>85</v>
      </c>
      <c r="I86">
        <f t="shared" si="4"/>
        <v>6.8300000000000001E-4</v>
      </c>
      <c r="J86">
        <f t="shared" si="4"/>
        <v>8.6693999999999993E-2</v>
      </c>
      <c r="K86">
        <f t="shared" si="4"/>
        <v>2.8530000000000001E-3</v>
      </c>
      <c r="L86">
        <f t="shared" si="4"/>
        <v>1.75E-3</v>
      </c>
    </row>
    <row r="87" spans="8:12" x14ac:dyDescent="0.3">
      <c r="H87">
        <v>86</v>
      </c>
      <c r="I87">
        <f t="shared" si="4"/>
        <v>6.8300000000000001E-4</v>
      </c>
      <c r="J87">
        <f t="shared" si="4"/>
        <v>8.6693999999999993E-2</v>
      </c>
      <c r="K87">
        <f t="shared" si="4"/>
        <v>2.8530000000000001E-3</v>
      </c>
      <c r="L87">
        <f t="shared" si="4"/>
        <v>1.75E-3</v>
      </c>
    </row>
    <row r="88" spans="8:12" x14ac:dyDescent="0.3">
      <c r="H88">
        <v>87</v>
      </c>
      <c r="I88">
        <f t="shared" si="4"/>
        <v>6.8300000000000001E-4</v>
      </c>
      <c r="J88">
        <f t="shared" si="4"/>
        <v>8.6693999999999993E-2</v>
      </c>
      <c r="K88">
        <f t="shared" si="4"/>
        <v>2.8530000000000001E-3</v>
      </c>
      <c r="L88">
        <f t="shared" si="4"/>
        <v>1.75E-3</v>
      </c>
    </row>
    <row r="89" spans="8:12" x14ac:dyDescent="0.3">
      <c r="H89">
        <v>88</v>
      </c>
      <c r="I89">
        <f t="shared" si="4"/>
        <v>6.8300000000000001E-4</v>
      </c>
      <c r="J89">
        <f t="shared" si="4"/>
        <v>8.6693999999999993E-2</v>
      </c>
      <c r="K89">
        <f t="shared" si="4"/>
        <v>2.8530000000000001E-3</v>
      </c>
      <c r="L89">
        <f t="shared" si="4"/>
        <v>1.75E-3</v>
      </c>
    </row>
    <row r="90" spans="8:12" x14ac:dyDescent="0.3">
      <c r="H90">
        <v>89</v>
      </c>
      <c r="I90">
        <f t="shared" si="4"/>
        <v>6.8300000000000001E-4</v>
      </c>
      <c r="J90">
        <f t="shared" si="4"/>
        <v>8.6693999999999993E-2</v>
      </c>
      <c r="K90">
        <f t="shared" si="4"/>
        <v>2.8530000000000001E-3</v>
      </c>
      <c r="L90">
        <f t="shared" si="4"/>
        <v>1.75E-3</v>
      </c>
    </row>
    <row r="91" spans="8:12" x14ac:dyDescent="0.3">
      <c r="H91">
        <v>90</v>
      </c>
      <c r="I91">
        <f t="shared" si="4"/>
        <v>6.8300000000000001E-4</v>
      </c>
      <c r="J91">
        <f t="shared" si="4"/>
        <v>8.6693999999999993E-2</v>
      </c>
      <c r="K91">
        <f t="shared" si="4"/>
        <v>2.8530000000000001E-3</v>
      </c>
      <c r="L91">
        <f t="shared" si="4"/>
        <v>1.75E-3</v>
      </c>
    </row>
    <row r="92" spans="8:12" x14ac:dyDescent="0.3">
      <c r="H92">
        <v>91</v>
      </c>
      <c r="I92">
        <f t="shared" si="4"/>
        <v>6.8300000000000001E-4</v>
      </c>
      <c r="J92">
        <f t="shared" si="4"/>
        <v>8.6693999999999993E-2</v>
      </c>
      <c r="K92">
        <f t="shared" si="4"/>
        <v>2.8530000000000001E-3</v>
      </c>
      <c r="L92">
        <f t="shared" si="4"/>
        <v>1.75E-3</v>
      </c>
    </row>
    <row r="93" spans="8:12" x14ac:dyDescent="0.3">
      <c r="H93">
        <v>92</v>
      </c>
      <c r="I93">
        <f t="shared" si="4"/>
        <v>6.8300000000000001E-4</v>
      </c>
      <c r="J93">
        <f t="shared" si="4"/>
        <v>8.6693999999999993E-2</v>
      </c>
      <c r="K93">
        <f t="shared" si="4"/>
        <v>2.8530000000000001E-3</v>
      </c>
      <c r="L93">
        <f t="shared" si="4"/>
        <v>1.75E-3</v>
      </c>
    </row>
    <row r="94" spans="8:12" x14ac:dyDescent="0.3">
      <c r="H94">
        <v>93</v>
      </c>
      <c r="I94">
        <f t="shared" si="4"/>
        <v>6.8300000000000001E-4</v>
      </c>
      <c r="J94">
        <f t="shared" si="4"/>
        <v>8.6693999999999993E-2</v>
      </c>
      <c r="K94">
        <f t="shared" si="4"/>
        <v>2.8530000000000001E-3</v>
      </c>
      <c r="L94">
        <f t="shared" si="4"/>
        <v>1.75E-3</v>
      </c>
    </row>
    <row r="95" spans="8:12" x14ac:dyDescent="0.3">
      <c r="H95">
        <v>94</v>
      </c>
      <c r="I95">
        <f t="shared" ref="I95:L126" si="5">I$61</f>
        <v>6.8300000000000001E-4</v>
      </c>
      <c r="J95">
        <f t="shared" si="5"/>
        <v>8.6693999999999993E-2</v>
      </c>
      <c r="K95">
        <f t="shared" si="5"/>
        <v>2.8530000000000001E-3</v>
      </c>
      <c r="L95">
        <f t="shared" si="5"/>
        <v>1.75E-3</v>
      </c>
    </row>
    <row r="96" spans="8:12" x14ac:dyDescent="0.3">
      <c r="H96">
        <v>95</v>
      </c>
      <c r="I96">
        <f t="shared" si="5"/>
        <v>6.8300000000000001E-4</v>
      </c>
      <c r="J96">
        <f t="shared" si="5"/>
        <v>8.6693999999999993E-2</v>
      </c>
      <c r="K96">
        <f t="shared" si="5"/>
        <v>2.8530000000000001E-3</v>
      </c>
      <c r="L96">
        <f t="shared" si="5"/>
        <v>1.75E-3</v>
      </c>
    </row>
    <row r="97" spans="8:12" x14ac:dyDescent="0.3">
      <c r="H97">
        <v>96</v>
      </c>
      <c r="I97">
        <f t="shared" si="5"/>
        <v>6.8300000000000001E-4</v>
      </c>
      <c r="J97">
        <f t="shared" si="5"/>
        <v>8.6693999999999993E-2</v>
      </c>
      <c r="K97">
        <f t="shared" si="5"/>
        <v>2.8530000000000001E-3</v>
      </c>
      <c r="L97">
        <f t="shared" si="5"/>
        <v>1.75E-3</v>
      </c>
    </row>
    <row r="98" spans="8:12" x14ac:dyDescent="0.3">
      <c r="H98">
        <v>97</v>
      </c>
      <c r="I98">
        <f t="shared" si="5"/>
        <v>6.8300000000000001E-4</v>
      </c>
      <c r="J98">
        <f t="shared" si="5"/>
        <v>8.6693999999999993E-2</v>
      </c>
      <c r="K98">
        <f t="shared" si="5"/>
        <v>2.8530000000000001E-3</v>
      </c>
      <c r="L98">
        <f t="shared" si="5"/>
        <v>1.75E-3</v>
      </c>
    </row>
    <row r="99" spans="8:12" x14ac:dyDescent="0.3">
      <c r="H99">
        <v>98</v>
      </c>
      <c r="I99">
        <f t="shared" si="5"/>
        <v>6.8300000000000001E-4</v>
      </c>
      <c r="J99">
        <f t="shared" si="5"/>
        <v>8.6693999999999993E-2</v>
      </c>
      <c r="K99">
        <f t="shared" si="5"/>
        <v>2.8530000000000001E-3</v>
      </c>
      <c r="L99">
        <f t="shared" si="5"/>
        <v>1.75E-3</v>
      </c>
    </row>
    <row r="100" spans="8:12" x14ac:dyDescent="0.3">
      <c r="H100">
        <v>99</v>
      </c>
      <c r="I100">
        <f t="shared" si="5"/>
        <v>6.8300000000000001E-4</v>
      </c>
      <c r="J100">
        <f t="shared" si="5"/>
        <v>8.6693999999999993E-2</v>
      </c>
      <c r="K100">
        <f t="shared" si="5"/>
        <v>2.8530000000000001E-3</v>
      </c>
      <c r="L100">
        <f t="shared" si="5"/>
        <v>1.75E-3</v>
      </c>
    </row>
    <row r="101" spans="8:12" x14ac:dyDescent="0.3">
      <c r="H101">
        <v>100</v>
      </c>
      <c r="I101">
        <f t="shared" si="5"/>
        <v>6.8300000000000001E-4</v>
      </c>
      <c r="J101">
        <f t="shared" si="5"/>
        <v>8.6693999999999993E-2</v>
      </c>
      <c r="K101">
        <f t="shared" si="5"/>
        <v>2.8530000000000001E-3</v>
      </c>
      <c r="L101">
        <f t="shared" si="5"/>
        <v>1.75E-3</v>
      </c>
    </row>
    <row r="102" spans="8:12" x14ac:dyDescent="0.3">
      <c r="H102">
        <v>101</v>
      </c>
      <c r="I102">
        <f t="shared" si="5"/>
        <v>6.8300000000000001E-4</v>
      </c>
      <c r="J102">
        <f t="shared" si="5"/>
        <v>8.6693999999999993E-2</v>
      </c>
      <c r="K102">
        <f t="shared" si="5"/>
        <v>2.8530000000000001E-3</v>
      </c>
      <c r="L102">
        <f t="shared" si="5"/>
        <v>1.75E-3</v>
      </c>
    </row>
    <row r="103" spans="8:12" x14ac:dyDescent="0.3">
      <c r="H103">
        <v>102</v>
      </c>
      <c r="I103">
        <f t="shared" si="5"/>
        <v>6.8300000000000001E-4</v>
      </c>
      <c r="J103">
        <f t="shared" si="5"/>
        <v>8.6693999999999993E-2</v>
      </c>
      <c r="K103">
        <f t="shared" si="5"/>
        <v>2.8530000000000001E-3</v>
      </c>
      <c r="L103">
        <f t="shared" si="5"/>
        <v>1.75E-3</v>
      </c>
    </row>
    <row r="104" spans="8:12" x14ac:dyDescent="0.3">
      <c r="H104">
        <v>103</v>
      </c>
      <c r="I104">
        <f t="shared" si="5"/>
        <v>6.8300000000000001E-4</v>
      </c>
      <c r="J104">
        <f t="shared" si="5"/>
        <v>8.6693999999999993E-2</v>
      </c>
      <c r="K104">
        <f t="shared" si="5"/>
        <v>2.8530000000000001E-3</v>
      </c>
      <c r="L104">
        <f t="shared" si="5"/>
        <v>1.75E-3</v>
      </c>
    </row>
    <row r="105" spans="8:12" x14ac:dyDescent="0.3">
      <c r="H105">
        <v>104</v>
      </c>
      <c r="I105">
        <f t="shared" si="5"/>
        <v>6.8300000000000001E-4</v>
      </c>
      <c r="J105">
        <f t="shared" si="5"/>
        <v>8.6693999999999993E-2</v>
      </c>
      <c r="K105">
        <f t="shared" si="5"/>
        <v>2.8530000000000001E-3</v>
      </c>
      <c r="L105">
        <f t="shared" si="5"/>
        <v>1.75E-3</v>
      </c>
    </row>
    <row r="106" spans="8:12" x14ac:dyDescent="0.3">
      <c r="H106">
        <v>105</v>
      </c>
      <c r="I106">
        <f t="shared" si="5"/>
        <v>6.8300000000000001E-4</v>
      </c>
      <c r="J106">
        <f t="shared" si="5"/>
        <v>8.6693999999999993E-2</v>
      </c>
      <c r="K106">
        <f t="shared" si="5"/>
        <v>2.8530000000000001E-3</v>
      </c>
      <c r="L106">
        <f t="shared" si="5"/>
        <v>1.75E-3</v>
      </c>
    </row>
    <row r="107" spans="8:12" x14ac:dyDescent="0.3">
      <c r="H107">
        <v>106</v>
      </c>
      <c r="I107">
        <f t="shared" si="5"/>
        <v>6.8300000000000001E-4</v>
      </c>
      <c r="J107">
        <f t="shared" si="5"/>
        <v>8.6693999999999993E-2</v>
      </c>
      <c r="K107">
        <f t="shared" si="5"/>
        <v>2.8530000000000001E-3</v>
      </c>
      <c r="L107">
        <f t="shared" si="5"/>
        <v>1.75E-3</v>
      </c>
    </row>
    <row r="108" spans="8:12" x14ac:dyDescent="0.3">
      <c r="H108">
        <v>107</v>
      </c>
      <c r="I108">
        <f t="shared" si="5"/>
        <v>6.8300000000000001E-4</v>
      </c>
      <c r="J108">
        <f t="shared" si="5"/>
        <v>8.6693999999999993E-2</v>
      </c>
      <c r="K108">
        <f t="shared" si="5"/>
        <v>2.8530000000000001E-3</v>
      </c>
      <c r="L108">
        <f t="shared" si="5"/>
        <v>1.75E-3</v>
      </c>
    </row>
    <row r="109" spans="8:12" x14ac:dyDescent="0.3">
      <c r="H109">
        <v>108</v>
      </c>
      <c r="I109">
        <f t="shared" si="5"/>
        <v>6.8300000000000001E-4</v>
      </c>
      <c r="J109">
        <f t="shared" si="5"/>
        <v>8.6693999999999993E-2</v>
      </c>
      <c r="K109">
        <f t="shared" si="5"/>
        <v>2.8530000000000001E-3</v>
      </c>
      <c r="L109">
        <f t="shared" si="5"/>
        <v>1.75E-3</v>
      </c>
    </row>
    <row r="110" spans="8:12" x14ac:dyDescent="0.3">
      <c r="H110">
        <v>109</v>
      </c>
      <c r="I110">
        <f t="shared" si="5"/>
        <v>6.8300000000000001E-4</v>
      </c>
      <c r="J110">
        <f t="shared" si="5"/>
        <v>8.6693999999999993E-2</v>
      </c>
      <c r="K110">
        <f t="shared" si="5"/>
        <v>2.8530000000000001E-3</v>
      </c>
      <c r="L110">
        <f t="shared" si="5"/>
        <v>1.75E-3</v>
      </c>
    </row>
    <row r="111" spans="8:12" x14ac:dyDescent="0.3">
      <c r="H111">
        <v>110</v>
      </c>
      <c r="I111">
        <f t="shared" si="5"/>
        <v>6.8300000000000001E-4</v>
      </c>
      <c r="J111">
        <f t="shared" si="5"/>
        <v>8.6693999999999993E-2</v>
      </c>
      <c r="K111">
        <f t="shared" si="5"/>
        <v>2.8530000000000001E-3</v>
      </c>
      <c r="L111">
        <f t="shared" si="5"/>
        <v>1.75E-3</v>
      </c>
    </row>
    <row r="112" spans="8:12" x14ac:dyDescent="0.3">
      <c r="H112">
        <v>111</v>
      </c>
      <c r="I112">
        <f t="shared" si="5"/>
        <v>6.8300000000000001E-4</v>
      </c>
      <c r="J112">
        <f t="shared" si="5"/>
        <v>8.6693999999999993E-2</v>
      </c>
      <c r="K112">
        <f t="shared" si="5"/>
        <v>2.8530000000000001E-3</v>
      </c>
      <c r="L112">
        <f t="shared" si="5"/>
        <v>1.75E-3</v>
      </c>
    </row>
    <row r="113" spans="8:12" x14ac:dyDescent="0.3">
      <c r="H113">
        <v>112</v>
      </c>
      <c r="I113">
        <f t="shared" si="5"/>
        <v>6.8300000000000001E-4</v>
      </c>
      <c r="J113">
        <f t="shared" si="5"/>
        <v>8.6693999999999993E-2</v>
      </c>
      <c r="K113">
        <f t="shared" si="5"/>
        <v>2.8530000000000001E-3</v>
      </c>
      <c r="L113">
        <f t="shared" si="5"/>
        <v>1.75E-3</v>
      </c>
    </row>
    <row r="114" spans="8:12" x14ac:dyDescent="0.3">
      <c r="H114">
        <v>113</v>
      </c>
      <c r="I114">
        <f t="shared" si="5"/>
        <v>6.8300000000000001E-4</v>
      </c>
      <c r="J114">
        <f t="shared" si="5"/>
        <v>8.6693999999999993E-2</v>
      </c>
      <c r="K114">
        <f t="shared" si="5"/>
        <v>2.8530000000000001E-3</v>
      </c>
      <c r="L114">
        <f t="shared" si="5"/>
        <v>1.75E-3</v>
      </c>
    </row>
    <row r="115" spans="8:12" x14ac:dyDescent="0.3">
      <c r="H115">
        <v>114</v>
      </c>
      <c r="I115">
        <f t="shared" si="5"/>
        <v>6.8300000000000001E-4</v>
      </c>
      <c r="J115">
        <f t="shared" si="5"/>
        <v>8.6693999999999993E-2</v>
      </c>
      <c r="K115">
        <f t="shared" si="5"/>
        <v>2.8530000000000001E-3</v>
      </c>
      <c r="L115">
        <f t="shared" si="5"/>
        <v>1.75E-3</v>
      </c>
    </row>
    <row r="116" spans="8:12" x14ac:dyDescent="0.3">
      <c r="H116">
        <v>115</v>
      </c>
      <c r="I116">
        <f t="shared" si="5"/>
        <v>6.8300000000000001E-4</v>
      </c>
      <c r="J116">
        <f t="shared" si="5"/>
        <v>8.6693999999999993E-2</v>
      </c>
      <c r="K116">
        <f t="shared" si="5"/>
        <v>2.8530000000000001E-3</v>
      </c>
      <c r="L116">
        <f t="shared" si="5"/>
        <v>1.75E-3</v>
      </c>
    </row>
    <row r="117" spans="8:12" x14ac:dyDescent="0.3">
      <c r="H117">
        <v>116</v>
      </c>
      <c r="I117">
        <f t="shared" si="5"/>
        <v>6.8300000000000001E-4</v>
      </c>
      <c r="J117">
        <f t="shared" si="5"/>
        <v>8.6693999999999993E-2</v>
      </c>
      <c r="K117">
        <f t="shared" si="5"/>
        <v>2.8530000000000001E-3</v>
      </c>
      <c r="L117">
        <f t="shared" si="5"/>
        <v>1.75E-3</v>
      </c>
    </row>
    <row r="118" spans="8:12" x14ac:dyDescent="0.3">
      <c r="H118">
        <v>117</v>
      </c>
      <c r="I118">
        <f t="shared" si="5"/>
        <v>6.8300000000000001E-4</v>
      </c>
      <c r="J118">
        <f t="shared" si="5"/>
        <v>8.6693999999999993E-2</v>
      </c>
      <c r="K118">
        <f t="shared" si="5"/>
        <v>2.8530000000000001E-3</v>
      </c>
      <c r="L118">
        <f t="shared" si="5"/>
        <v>1.75E-3</v>
      </c>
    </row>
    <row r="119" spans="8:12" x14ac:dyDescent="0.3">
      <c r="H119">
        <v>118</v>
      </c>
      <c r="I119">
        <f t="shared" si="5"/>
        <v>6.8300000000000001E-4</v>
      </c>
      <c r="J119">
        <f t="shared" si="5"/>
        <v>8.6693999999999993E-2</v>
      </c>
      <c r="K119">
        <f t="shared" si="5"/>
        <v>2.8530000000000001E-3</v>
      </c>
      <c r="L119">
        <f t="shared" si="5"/>
        <v>1.75E-3</v>
      </c>
    </row>
    <row r="120" spans="8:12" x14ac:dyDescent="0.3">
      <c r="H120">
        <v>119</v>
      </c>
      <c r="I120">
        <f t="shared" si="5"/>
        <v>6.8300000000000001E-4</v>
      </c>
      <c r="J120">
        <f t="shared" si="5"/>
        <v>8.6693999999999993E-2</v>
      </c>
      <c r="K120">
        <f t="shared" si="5"/>
        <v>2.8530000000000001E-3</v>
      </c>
      <c r="L120">
        <f t="shared" si="5"/>
        <v>1.75E-3</v>
      </c>
    </row>
    <row r="121" spans="8:12" x14ac:dyDescent="0.3">
      <c r="H121">
        <v>120</v>
      </c>
      <c r="I121">
        <f t="shared" si="5"/>
        <v>6.8300000000000001E-4</v>
      </c>
      <c r="J121">
        <f t="shared" si="5"/>
        <v>8.6693999999999993E-2</v>
      </c>
      <c r="K121">
        <f t="shared" si="5"/>
        <v>2.8530000000000001E-3</v>
      </c>
      <c r="L121">
        <f t="shared" si="5"/>
        <v>1.75E-3</v>
      </c>
    </row>
    <row r="122" spans="8:12" x14ac:dyDescent="0.3">
      <c r="H122">
        <v>121</v>
      </c>
      <c r="I122">
        <f t="shared" si="5"/>
        <v>6.8300000000000001E-4</v>
      </c>
      <c r="J122">
        <f t="shared" si="5"/>
        <v>8.6693999999999993E-2</v>
      </c>
      <c r="K122">
        <f t="shared" si="5"/>
        <v>2.8530000000000001E-3</v>
      </c>
      <c r="L122">
        <f t="shared" si="5"/>
        <v>1.75E-3</v>
      </c>
    </row>
    <row r="123" spans="8:12" x14ac:dyDescent="0.3">
      <c r="H123">
        <v>122</v>
      </c>
      <c r="I123">
        <f t="shared" si="5"/>
        <v>6.8300000000000001E-4</v>
      </c>
      <c r="J123">
        <f t="shared" si="5"/>
        <v>8.6693999999999993E-2</v>
      </c>
      <c r="K123">
        <f t="shared" si="5"/>
        <v>2.8530000000000001E-3</v>
      </c>
      <c r="L123">
        <f t="shared" si="5"/>
        <v>1.75E-3</v>
      </c>
    </row>
    <row r="124" spans="8:12" x14ac:dyDescent="0.3">
      <c r="H124">
        <v>123</v>
      </c>
      <c r="I124">
        <f t="shared" si="5"/>
        <v>6.8300000000000001E-4</v>
      </c>
      <c r="J124">
        <f t="shared" si="5"/>
        <v>8.6693999999999993E-2</v>
      </c>
      <c r="K124">
        <f t="shared" si="5"/>
        <v>2.8530000000000001E-3</v>
      </c>
      <c r="L124">
        <f t="shared" si="5"/>
        <v>1.75E-3</v>
      </c>
    </row>
    <row r="125" spans="8:12" x14ac:dyDescent="0.3">
      <c r="H125">
        <v>124</v>
      </c>
      <c r="I125">
        <f t="shared" si="5"/>
        <v>6.8300000000000001E-4</v>
      </c>
      <c r="J125">
        <f t="shared" si="5"/>
        <v>8.6693999999999993E-2</v>
      </c>
      <c r="K125">
        <f t="shared" si="5"/>
        <v>2.8530000000000001E-3</v>
      </c>
      <c r="L125">
        <f t="shared" si="5"/>
        <v>1.75E-3</v>
      </c>
    </row>
    <row r="126" spans="8:12" x14ac:dyDescent="0.3">
      <c r="H126">
        <v>125</v>
      </c>
      <c r="I126">
        <f t="shared" si="5"/>
        <v>6.8300000000000001E-4</v>
      </c>
      <c r="J126">
        <f t="shared" si="5"/>
        <v>8.6693999999999993E-2</v>
      </c>
      <c r="K126">
        <f t="shared" si="5"/>
        <v>2.8530000000000001E-3</v>
      </c>
      <c r="L126">
        <f t="shared" si="5"/>
        <v>1.75E-3</v>
      </c>
    </row>
    <row r="127" spans="8:12" x14ac:dyDescent="0.3">
      <c r="H127">
        <v>126</v>
      </c>
      <c r="I127">
        <f t="shared" ref="I127:L158" si="6">I$61</f>
        <v>6.8300000000000001E-4</v>
      </c>
      <c r="J127">
        <f t="shared" si="6"/>
        <v>8.6693999999999993E-2</v>
      </c>
      <c r="K127">
        <f t="shared" si="6"/>
        <v>2.8530000000000001E-3</v>
      </c>
      <c r="L127">
        <f t="shared" si="6"/>
        <v>1.75E-3</v>
      </c>
    </row>
    <row r="128" spans="8:12" x14ac:dyDescent="0.3">
      <c r="H128">
        <v>127</v>
      </c>
      <c r="I128">
        <f t="shared" si="6"/>
        <v>6.8300000000000001E-4</v>
      </c>
      <c r="J128">
        <f t="shared" si="6"/>
        <v>8.6693999999999993E-2</v>
      </c>
      <c r="K128">
        <f t="shared" si="6"/>
        <v>2.8530000000000001E-3</v>
      </c>
      <c r="L128">
        <f t="shared" si="6"/>
        <v>1.75E-3</v>
      </c>
    </row>
    <row r="129" spans="8:12" x14ac:dyDescent="0.3">
      <c r="H129">
        <v>128</v>
      </c>
      <c r="I129">
        <f t="shared" si="6"/>
        <v>6.8300000000000001E-4</v>
      </c>
      <c r="J129">
        <f t="shared" si="6"/>
        <v>8.6693999999999993E-2</v>
      </c>
      <c r="K129">
        <f t="shared" si="6"/>
        <v>2.8530000000000001E-3</v>
      </c>
      <c r="L129">
        <f t="shared" si="6"/>
        <v>1.75E-3</v>
      </c>
    </row>
    <row r="130" spans="8:12" x14ac:dyDescent="0.3">
      <c r="H130">
        <v>129</v>
      </c>
      <c r="I130">
        <f t="shared" si="6"/>
        <v>6.8300000000000001E-4</v>
      </c>
      <c r="J130">
        <f t="shared" si="6"/>
        <v>8.6693999999999993E-2</v>
      </c>
      <c r="K130">
        <f t="shared" si="6"/>
        <v>2.8530000000000001E-3</v>
      </c>
      <c r="L130">
        <f t="shared" si="6"/>
        <v>1.75E-3</v>
      </c>
    </row>
    <row r="131" spans="8:12" x14ac:dyDescent="0.3">
      <c r="H131">
        <v>130</v>
      </c>
      <c r="I131">
        <f t="shared" si="6"/>
        <v>6.8300000000000001E-4</v>
      </c>
      <c r="J131">
        <f t="shared" si="6"/>
        <v>8.6693999999999993E-2</v>
      </c>
      <c r="K131">
        <f t="shared" si="6"/>
        <v>2.8530000000000001E-3</v>
      </c>
      <c r="L131">
        <f t="shared" si="6"/>
        <v>1.75E-3</v>
      </c>
    </row>
    <row r="132" spans="8:12" x14ac:dyDescent="0.3">
      <c r="H132">
        <v>131</v>
      </c>
      <c r="I132">
        <f t="shared" si="6"/>
        <v>6.8300000000000001E-4</v>
      </c>
      <c r="J132">
        <f t="shared" si="6"/>
        <v>8.6693999999999993E-2</v>
      </c>
      <c r="K132">
        <f t="shared" si="6"/>
        <v>2.8530000000000001E-3</v>
      </c>
      <c r="L132">
        <f t="shared" si="6"/>
        <v>1.75E-3</v>
      </c>
    </row>
    <row r="133" spans="8:12" x14ac:dyDescent="0.3">
      <c r="H133">
        <v>132</v>
      </c>
      <c r="I133">
        <f t="shared" si="6"/>
        <v>6.8300000000000001E-4</v>
      </c>
      <c r="J133">
        <f t="shared" si="6"/>
        <v>8.6693999999999993E-2</v>
      </c>
      <c r="K133">
        <f t="shared" si="6"/>
        <v>2.8530000000000001E-3</v>
      </c>
      <c r="L133">
        <f t="shared" si="6"/>
        <v>1.75E-3</v>
      </c>
    </row>
    <row r="134" spans="8:12" x14ac:dyDescent="0.3">
      <c r="H134">
        <v>133</v>
      </c>
      <c r="I134">
        <f t="shared" si="6"/>
        <v>6.8300000000000001E-4</v>
      </c>
      <c r="J134">
        <f t="shared" si="6"/>
        <v>8.6693999999999993E-2</v>
      </c>
      <c r="K134">
        <f t="shared" si="6"/>
        <v>2.8530000000000001E-3</v>
      </c>
      <c r="L134">
        <f t="shared" si="6"/>
        <v>1.75E-3</v>
      </c>
    </row>
    <row r="135" spans="8:12" x14ac:dyDescent="0.3">
      <c r="H135">
        <v>134</v>
      </c>
      <c r="I135">
        <f t="shared" si="6"/>
        <v>6.8300000000000001E-4</v>
      </c>
      <c r="J135">
        <f t="shared" si="6"/>
        <v>8.6693999999999993E-2</v>
      </c>
      <c r="K135">
        <f t="shared" si="6"/>
        <v>2.8530000000000001E-3</v>
      </c>
      <c r="L135">
        <f t="shared" si="6"/>
        <v>1.75E-3</v>
      </c>
    </row>
    <row r="136" spans="8:12" x14ac:dyDescent="0.3">
      <c r="H136">
        <v>135</v>
      </c>
      <c r="I136">
        <f t="shared" si="6"/>
        <v>6.8300000000000001E-4</v>
      </c>
      <c r="J136">
        <f t="shared" si="6"/>
        <v>8.6693999999999993E-2</v>
      </c>
      <c r="K136">
        <f t="shared" si="6"/>
        <v>2.8530000000000001E-3</v>
      </c>
      <c r="L136">
        <f t="shared" si="6"/>
        <v>1.75E-3</v>
      </c>
    </row>
    <row r="137" spans="8:12" x14ac:dyDescent="0.3">
      <c r="H137">
        <v>136</v>
      </c>
      <c r="I137">
        <f t="shared" si="6"/>
        <v>6.8300000000000001E-4</v>
      </c>
      <c r="J137">
        <f t="shared" si="6"/>
        <v>8.6693999999999993E-2</v>
      </c>
      <c r="K137">
        <f t="shared" si="6"/>
        <v>2.8530000000000001E-3</v>
      </c>
      <c r="L137">
        <f t="shared" si="6"/>
        <v>1.75E-3</v>
      </c>
    </row>
    <row r="138" spans="8:12" x14ac:dyDescent="0.3">
      <c r="H138">
        <v>137</v>
      </c>
      <c r="I138">
        <f t="shared" si="6"/>
        <v>6.8300000000000001E-4</v>
      </c>
      <c r="J138">
        <f t="shared" si="6"/>
        <v>8.6693999999999993E-2</v>
      </c>
      <c r="K138">
        <f t="shared" si="6"/>
        <v>2.8530000000000001E-3</v>
      </c>
      <c r="L138">
        <f t="shared" si="6"/>
        <v>1.75E-3</v>
      </c>
    </row>
    <row r="139" spans="8:12" x14ac:dyDescent="0.3">
      <c r="H139">
        <v>138</v>
      </c>
      <c r="I139">
        <f t="shared" si="6"/>
        <v>6.8300000000000001E-4</v>
      </c>
      <c r="J139">
        <f t="shared" si="6"/>
        <v>8.6693999999999993E-2</v>
      </c>
      <c r="K139">
        <f t="shared" si="6"/>
        <v>2.8530000000000001E-3</v>
      </c>
      <c r="L139">
        <f t="shared" si="6"/>
        <v>1.75E-3</v>
      </c>
    </row>
    <row r="140" spans="8:12" x14ac:dyDescent="0.3">
      <c r="H140">
        <v>139</v>
      </c>
      <c r="I140">
        <f t="shared" si="6"/>
        <v>6.8300000000000001E-4</v>
      </c>
      <c r="J140">
        <f t="shared" si="6"/>
        <v>8.6693999999999993E-2</v>
      </c>
      <c r="K140">
        <f t="shared" si="6"/>
        <v>2.8530000000000001E-3</v>
      </c>
      <c r="L140">
        <f t="shared" si="6"/>
        <v>1.75E-3</v>
      </c>
    </row>
    <row r="141" spans="8:12" x14ac:dyDescent="0.3">
      <c r="H141">
        <v>140</v>
      </c>
      <c r="I141">
        <f t="shared" si="6"/>
        <v>6.8300000000000001E-4</v>
      </c>
      <c r="J141">
        <f t="shared" si="6"/>
        <v>8.6693999999999993E-2</v>
      </c>
      <c r="K141">
        <f t="shared" si="6"/>
        <v>2.8530000000000001E-3</v>
      </c>
      <c r="L141">
        <f t="shared" si="6"/>
        <v>1.75E-3</v>
      </c>
    </row>
    <row r="142" spans="8:12" x14ac:dyDescent="0.3">
      <c r="H142">
        <v>141</v>
      </c>
      <c r="I142">
        <f t="shared" si="6"/>
        <v>6.8300000000000001E-4</v>
      </c>
      <c r="J142">
        <f t="shared" si="6"/>
        <v>8.6693999999999993E-2</v>
      </c>
      <c r="K142">
        <f t="shared" si="6"/>
        <v>2.8530000000000001E-3</v>
      </c>
      <c r="L142">
        <f t="shared" si="6"/>
        <v>1.75E-3</v>
      </c>
    </row>
    <row r="143" spans="8:12" x14ac:dyDescent="0.3">
      <c r="H143">
        <v>142</v>
      </c>
      <c r="I143">
        <f t="shared" si="6"/>
        <v>6.8300000000000001E-4</v>
      </c>
      <c r="J143">
        <f t="shared" si="6"/>
        <v>8.6693999999999993E-2</v>
      </c>
      <c r="K143">
        <f t="shared" si="6"/>
        <v>2.8530000000000001E-3</v>
      </c>
      <c r="L143">
        <f t="shared" si="6"/>
        <v>1.75E-3</v>
      </c>
    </row>
    <row r="144" spans="8:12" x14ac:dyDescent="0.3">
      <c r="H144">
        <v>143</v>
      </c>
      <c r="I144">
        <f t="shared" si="6"/>
        <v>6.8300000000000001E-4</v>
      </c>
      <c r="J144">
        <f t="shared" si="6"/>
        <v>8.6693999999999993E-2</v>
      </c>
      <c r="K144">
        <f t="shared" si="6"/>
        <v>2.8530000000000001E-3</v>
      </c>
      <c r="L144">
        <f t="shared" si="6"/>
        <v>1.75E-3</v>
      </c>
    </row>
    <row r="145" spans="8:12" x14ac:dyDescent="0.3">
      <c r="H145">
        <v>144</v>
      </c>
      <c r="I145">
        <f t="shared" si="6"/>
        <v>6.8300000000000001E-4</v>
      </c>
      <c r="J145">
        <f t="shared" si="6"/>
        <v>8.6693999999999993E-2</v>
      </c>
      <c r="K145">
        <f t="shared" si="6"/>
        <v>2.8530000000000001E-3</v>
      </c>
      <c r="L145">
        <f t="shared" si="6"/>
        <v>1.75E-3</v>
      </c>
    </row>
    <row r="146" spans="8:12" x14ac:dyDescent="0.3">
      <c r="H146">
        <v>145</v>
      </c>
      <c r="I146">
        <f t="shared" si="6"/>
        <v>6.8300000000000001E-4</v>
      </c>
      <c r="J146">
        <f t="shared" si="6"/>
        <v>8.6693999999999993E-2</v>
      </c>
      <c r="K146">
        <f t="shared" si="6"/>
        <v>2.8530000000000001E-3</v>
      </c>
      <c r="L146">
        <f t="shared" si="6"/>
        <v>1.75E-3</v>
      </c>
    </row>
    <row r="147" spans="8:12" x14ac:dyDescent="0.3">
      <c r="H147">
        <v>146</v>
      </c>
      <c r="I147">
        <f t="shared" si="6"/>
        <v>6.8300000000000001E-4</v>
      </c>
      <c r="J147">
        <f t="shared" si="6"/>
        <v>8.6693999999999993E-2</v>
      </c>
      <c r="K147">
        <f t="shared" si="6"/>
        <v>2.8530000000000001E-3</v>
      </c>
      <c r="L147">
        <f t="shared" si="6"/>
        <v>1.75E-3</v>
      </c>
    </row>
    <row r="148" spans="8:12" x14ac:dyDescent="0.3">
      <c r="H148">
        <v>147</v>
      </c>
      <c r="I148">
        <f t="shared" si="6"/>
        <v>6.8300000000000001E-4</v>
      </c>
      <c r="J148">
        <f t="shared" si="6"/>
        <v>8.6693999999999993E-2</v>
      </c>
      <c r="K148">
        <f t="shared" si="6"/>
        <v>2.8530000000000001E-3</v>
      </c>
      <c r="L148">
        <f t="shared" si="6"/>
        <v>1.75E-3</v>
      </c>
    </row>
    <row r="149" spans="8:12" x14ac:dyDescent="0.3">
      <c r="H149">
        <v>148</v>
      </c>
      <c r="I149">
        <f t="shared" si="6"/>
        <v>6.8300000000000001E-4</v>
      </c>
      <c r="J149">
        <f t="shared" si="6"/>
        <v>8.6693999999999993E-2</v>
      </c>
      <c r="K149">
        <f t="shared" si="6"/>
        <v>2.8530000000000001E-3</v>
      </c>
      <c r="L149">
        <f t="shared" si="6"/>
        <v>1.75E-3</v>
      </c>
    </row>
    <row r="150" spans="8:12" x14ac:dyDescent="0.3">
      <c r="H150">
        <v>149</v>
      </c>
      <c r="I150">
        <f t="shared" si="6"/>
        <v>6.8300000000000001E-4</v>
      </c>
      <c r="J150">
        <f t="shared" si="6"/>
        <v>8.6693999999999993E-2</v>
      </c>
      <c r="K150">
        <f t="shared" si="6"/>
        <v>2.8530000000000001E-3</v>
      </c>
      <c r="L150">
        <f t="shared" si="6"/>
        <v>1.75E-3</v>
      </c>
    </row>
    <row r="151" spans="8:12" x14ac:dyDescent="0.3">
      <c r="H151">
        <v>150</v>
      </c>
      <c r="I151">
        <f t="shared" si="6"/>
        <v>6.8300000000000001E-4</v>
      </c>
      <c r="J151">
        <f t="shared" si="6"/>
        <v>8.6693999999999993E-2</v>
      </c>
      <c r="K151">
        <f t="shared" si="6"/>
        <v>2.8530000000000001E-3</v>
      </c>
      <c r="L151">
        <f t="shared" si="6"/>
        <v>1.75E-3</v>
      </c>
    </row>
    <row r="152" spans="8:12" x14ac:dyDescent="0.3">
      <c r="H152">
        <v>151</v>
      </c>
      <c r="I152">
        <f t="shared" si="6"/>
        <v>6.8300000000000001E-4</v>
      </c>
      <c r="J152">
        <f t="shared" si="6"/>
        <v>8.6693999999999993E-2</v>
      </c>
      <c r="K152">
        <f t="shared" si="6"/>
        <v>2.8530000000000001E-3</v>
      </c>
      <c r="L152">
        <f t="shared" si="6"/>
        <v>1.75E-3</v>
      </c>
    </row>
    <row r="153" spans="8:12" x14ac:dyDescent="0.3">
      <c r="H153">
        <v>152</v>
      </c>
      <c r="I153">
        <f t="shared" si="6"/>
        <v>6.8300000000000001E-4</v>
      </c>
      <c r="J153">
        <f t="shared" si="6"/>
        <v>8.6693999999999993E-2</v>
      </c>
      <c r="K153">
        <f t="shared" si="6"/>
        <v>2.8530000000000001E-3</v>
      </c>
      <c r="L153">
        <f t="shared" si="6"/>
        <v>1.75E-3</v>
      </c>
    </row>
    <row r="154" spans="8:12" x14ac:dyDescent="0.3">
      <c r="H154">
        <v>153</v>
      </c>
      <c r="I154">
        <f t="shared" si="6"/>
        <v>6.8300000000000001E-4</v>
      </c>
      <c r="J154">
        <f t="shared" si="6"/>
        <v>8.6693999999999993E-2</v>
      </c>
      <c r="K154">
        <f t="shared" si="6"/>
        <v>2.8530000000000001E-3</v>
      </c>
      <c r="L154">
        <f t="shared" si="6"/>
        <v>1.75E-3</v>
      </c>
    </row>
    <row r="155" spans="8:12" x14ac:dyDescent="0.3">
      <c r="H155">
        <v>154</v>
      </c>
      <c r="I155">
        <f t="shared" si="6"/>
        <v>6.8300000000000001E-4</v>
      </c>
      <c r="J155">
        <f t="shared" si="6"/>
        <v>8.6693999999999993E-2</v>
      </c>
      <c r="K155">
        <f t="shared" si="6"/>
        <v>2.8530000000000001E-3</v>
      </c>
      <c r="L155">
        <f t="shared" si="6"/>
        <v>1.75E-3</v>
      </c>
    </row>
    <row r="156" spans="8:12" x14ac:dyDescent="0.3">
      <c r="H156">
        <v>155</v>
      </c>
      <c r="I156">
        <f t="shared" si="6"/>
        <v>6.8300000000000001E-4</v>
      </c>
      <c r="J156">
        <f t="shared" si="6"/>
        <v>8.6693999999999993E-2</v>
      </c>
      <c r="K156">
        <f t="shared" si="6"/>
        <v>2.8530000000000001E-3</v>
      </c>
      <c r="L156">
        <f t="shared" si="6"/>
        <v>1.75E-3</v>
      </c>
    </row>
    <row r="157" spans="8:12" x14ac:dyDescent="0.3">
      <c r="H157">
        <v>156</v>
      </c>
      <c r="I157">
        <f t="shared" si="6"/>
        <v>6.8300000000000001E-4</v>
      </c>
      <c r="J157">
        <f t="shared" si="6"/>
        <v>8.6693999999999993E-2</v>
      </c>
      <c r="K157">
        <f t="shared" si="6"/>
        <v>2.8530000000000001E-3</v>
      </c>
      <c r="L157">
        <f t="shared" si="6"/>
        <v>1.75E-3</v>
      </c>
    </row>
    <row r="158" spans="8:12" x14ac:dyDescent="0.3">
      <c r="H158">
        <v>157</v>
      </c>
      <c r="I158">
        <f t="shared" si="6"/>
        <v>6.8300000000000001E-4</v>
      </c>
      <c r="J158">
        <f t="shared" si="6"/>
        <v>8.6693999999999993E-2</v>
      </c>
      <c r="K158">
        <f t="shared" si="6"/>
        <v>2.8530000000000001E-3</v>
      </c>
      <c r="L158">
        <f t="shared" si="6"/>
        <v>1.75E-3</v>
      </c>
    </row>
    <row r="159" spans="8:12" x14ac:dyDescent="0.3">
      <c r="H159">
        <v>158</v>
      </c>
      <c r="I159">
        <f t="shared" ref="I159:L190" si="7">I$61</f>
        <v>6.8300000000000001E-4</v>
      </c>
      <c r="J159">
        <f t="shared" si="7"/>
        <v>8.6693999999999993E-2</v>
      </c>
      <c r="K159">
        <f t="shared" si="7"/>
        <v>2.8530000000000001E-3</v>
      </c>
      <c r="L159">
        <f t="shared" si="7"/>
        <v>1.75E-3</v>
      </c>
    </row>
    <row r="160" spans="8:12" x14ac:dyDescent="0.3">
      <c r="H160">
        <v>159</v>
      </c>
      <c r="I160">
        <f t="shared" si="7"/>
        <v>6.8300000000000001E-4</v>
      </c>
      <c r="J160">
        <f t="shared" si="7"/>
        <v>8.6693999999999993E-2</v>
      </c>
      <c r="K160">
        <f t="shared" si="7"/>
        <v>2.8530000000000001E-3</v>
      </c>
      <c r="L160">
        <f t="shared" si="7"/>
        <v>1.75E-3</v>
      </c>
    </row>
    <row r="161" spans="8:12" x14ac:dyDescent="0.3">
      <c r="H161">
        <v>160</v>
      </c>
      <c r="I161">
        <f t="shared" si="7"/>
        <v>6.8300000000000001E-4</v>
      </c>
      <c r="J161">
        <f t="shared" si="7"/>
        <v>8.6693999999999993E-2</v>
      </c>
      <c r="K161">
        <f t="shared" si="7"/>
        <v>2.8530000000000001E-3</v>
      </c>
      <c r="L161">
        <f t="shared" si="7"/>
        <v>1.75E-3</v>
      </c>
    </row>
    <row r="162" spans="8:12" x14ac:dyDescent="0.3">
      <c r="H162">
        <v>161</v>
      </c>
      <c r="I162">
        <f t="shared" si="7"/>
        <v>6.8300000000000001E-4</v>
      </c>
      <c r="J162">
        <f t="shared" si="7"/>
        <v>8.6693999999999993E-2</v>
      </c>
      <c r="K162">
        <f t="shared" si="7"/>
        <v>2.8530000000000001E-3</v>
      </c>
      <c r="L162">
        <f t="shared" si="7"/>
        <v>1.75E-3</v>
      </c>
    </row>
    <row r="163" spans="8:12" x14ac:dyDescent="0.3">
      <c r="H163">
        <v>162</v>
      </c>
      <c r="I163">
        <f t="shared" si="7"/>
        <v>6.8300000000000001E-4</v>
      </c>
      <c r="J163">
        <f t="shared" si="7"/>
        <v>8.6693999999999993E-2</v>
      </c>
      <c r="K163">
        <f t="shared" si="7"/>
        <v>2.8530000000000001E-3</v>
      </c>
      <c r="L163">
        <f t="shared" si="7"/>
        <v>1.75E-3</v>
      </c>
    </row>
    <row r="164" spans="8:12" x14ac:dyDescent="0.3">
      <c r="H164">
        <v>163</v>
      </c>
      <c r="I164">
        <f t="shared" si="7"/>
        <v>6.8300000000000001E-4</v>
      </c>
      <c r="J164">
        <f t="shared" si="7"/>
        <v>8.6693999999999993E-2</v>
      </c>
      <c r="K164">
        <f t="shared" si="7"/>
        <v>2.8530000000000001E-3</v>
      </c>
      <c r="L164">
        <f t="shared" si="7"/>
        <v>1.75E-3</v>
      </c>
    </row>
    <row r="165" spans="8:12" x14ac:dyDescent="0.3">
      <c r="H165">
        <v>164</v>
      </c>
      <c r="I165">
        <f t="shared" si="7"/>
        <v>6.8300000000000001E-4</v>
      </c>
      <c r="J165">
        <f t="shared" si="7"/>
        <v>8.6693999999999993E-2</v>
      </c>
      <c r="K165">
        <f t="shared" si="7"/>
        <v>2.8530000000000001E-3</v>
      </c>
      <c r="L165">
        <f t="shared" si="7"/>
        <v>1.75E-3</v>
      </c>
    </row>
    <row r="166" spans="8:12" x14ac:dyDescent="0.3">
      <c r="H166">
        <v>165</v>
      </c>
      <c r="I166">
        <f t="shared" si="7"/>
        <v>6.8300000000000001E-4</v>
      </c>
      <c r="J166">
        <f t="shared" si="7"/>
        <v>8.6693999999999993E-2</v>
      </c>
      <c r="K166">
        <f t="shared" si="7"/>
        <v>2.8530000000000001E-3</v>
      </c>
      <c r="L166">
        <f t="shared" si="7"/>
        <v>1.75E-3</v>
      </c>
    </row>
    <row r="167" spans="8:12" x14ac:dyDescent="0.3">
      <c r="H167">
        <v>166</v>
      </c>
      <c r="I167">
        <f t="shared" si="7"/>
        <v>6.8300000000000001E-4</v>
      </c>
      <c r="J167">
        <f t="shared" si="7"/>
        <v>8.6693999999999993E-2</v>
      </c>
      <c r="K167">
        <f t="shared" si="7"/>
        <v>2.8530000000000001E-3</v>
      </c>
      <c r="L167">
        <f t="shared" si="7"/>
        <v>1.75E-3</v>
      </c>
    </row>
    <row r="168" spans="8:12" x14ac:dyDescent="0.3">
      <c r="H168">
        <v>167</v>
      </c>
      <c r="I168">
        <f t="shared" si="7"/>
        <v>6.8300000000000001E-4</v>
      </c>
      <c r="J168">
        <f t="shared" si="7"/>
        <v>8.6693999999999993E-2</v>
      </c>
      <c r="K168">
        <f t="shared" si="7"/>
        <v>2.8530000000000001E-3</v>
      </c>
      <c r="L168">
        <f t="shared" si="7"/>
        <v>1.75E-3</v>
      </c>
    </row>
    <row r="169" spans="8:12" x14ac:dyDescent="0.3">
      <c r="H169">
        <v>168</v>
      </c>
      <c r="I169">
        <f t="shared" si="7"/>
        <v>6.8300000000000001E-4</v>
      </c>
      <c r="J169">
        <f t="shared" si="7"/>
        <v>8.6693999999999993E-2</v>
      </c>
      <c r="K169">
        <f t="shared" si="7"/>
        <v>2.8530000000000001E-3</v>
      </c>
      <c r="L169">
        <f t="shared" si="7"/>
        <v>1.75E-3</v>
      </c>
    </row>
    <row r="170" spans="8:12" x14ac:dyDescent="0.3">
      <c r="H170">
        <v>169</v>
      </c>
      <c r="I170">
        <f t="shared" si="7"/>
        <v>6.8300000000000001E-4</v>
      </c>
      <c r="J170">
        <f t="shared" si="7"/>
        <v>8.6693999999999993E-2</v>
      </c>
      <c r="K170">
        <f t="shared" si="7"/>
        <v>2.8530000000000001E-3</v>
      </c>
      <c r="L170">
        <f t="shared" si="7"/>
        <v>1.75E-3</v>
      </c>
    </row>
    <row r="171" spans="8:12" x14ac:dyDescent="0.3">
      <c r="H171">
        <v>170</v>
      </c>
      <c r="I171">
        <f t="shared" si="7"/>
        <v>6.8300000000000001E-4</v>
      </c>
      <c r="J171">
        <f t="shared" si="7"/>
        <v>8.6693999999999993E-2</v>
      </c>
      <c r="K171">
        <f t="shared" si="7"/>
        <v>2.8530000000000001E-3</v>
      </c>
      <c r="L171">
        <f t="shared" si="7"/>
        <v>1.75E-3</v>
      </c>
    </row>
    <row r="172" spans="8:12" x14ac:dyDescent="0.3">
      <c r="H172">
        <v>171</v>
      </c>
      <c r="I172">
        <f t="shared" si="7"/>
        <v>6.8300000000000001E-4</v>
      </c>
      <c r="J172">
        <f t="shared" si="7"/>
        <v>8.6693999999999993E-2</v>
      </c>
      <c r="K172">
        <f t="shared" si="7"/>
        <v>2.8530000000000001E-3</v>
      </c>
      <c r="L172">
        <f t="shared" si="7"/>
        <v>1.75E-3</v>
      </c>
    </row>
    <row r="173" spans="8:12" x14ac:dyDescent="0.3">
      <c r="H173">
        <v>172</v>
      </c>
      <c r="I173">
        <f t="shared" si="7"/>
        <v>6.8300000000000001E-4</v>
      </c>
      <c r="J173">
        <f t="shared" si="7"/>
        <v>8.6693999999999993E-2</v>
      </c>
      <c r="K173">
        <f t="shared" si="7"/>
        <v>2.8530000000000001E-3</v>
      </c>
      <c r="L173">
        <f t="shared" si="7"/>
        <v>1.75E-3</v>
      </c>
    </row>
    <row r="174" spans="8:12" x14ac:dyDescent="0.3">
      <c r="H174">
        <v>173</v>
      </c>
      <c r="I174">
        <f t="shared" si="7"/>
        <v>6.8300000000000001E-4</v>
      </c>
      <c r="J174">
        <f t="shared" si="7"/>
        <v>8.6693999999999993E-2</v>
      </c>
      <c r="K174">
        <f t="shared" si="7"/>
        <v>2.8530000000000001E-3</v>
      </c>
      <c r="L174">
        <f t="shared" si="7"/>
        <v>1.75E-3</v>
      </c>
    </row>
    <row r="175" spans="8:12" x14ac:dyDescent="0.3">
      <c r="H175">
        <v>174</v>
      </c>
      <c r="I175">
        <f t="shared" si="7"/>
        <v>6.8300000000000001E-4</v>
      </c>
      <c r="J175">
        <f t="shared" si="7"/>
        <v>8.6693999999999993E-2</v>
      </c>
      <c r="K175">
        <f t="shared" si="7"/>
        <v>2.8530000000000001E-3</v>
      </c>
      <c r="L175">
        <f t="shared" si="7"/>
        <v>1.75E-3</v>
      </c>
    </row>
    <row r="176" spans="8:12" x14ac:dyDescent="0.3">
      <c r="H176">
        <v>175</v>
      </c>
      <c r="I176">
        <f t="shared" si="7"/>
        <v>6.8300000000000001E-4</v>
      </c>
      <c r="J176">
        <f t="shared" si="7"/>
        <v>8.6693999999999993E-2</v>
      </c>
      <c r="K176">
        <f t="shared" si="7"/>
        <v>2.8530000000000001E-3</v>
      </c>
      <c r="L176">
        <f t="shared" si="7"/>
        <v>1.75E-3</v>
      </c>
    </row>
    <row r="177" spans="8:12" x14ac:dyDescent="0.3">
      <c r="H177">
        <v>176</v>
      </c>
      <c r="I177">
        <f t="shared" si="7"/>
        <v>6.8300000000000001E-4</v>
      </c>
      <c r="J177">
        <f t="shared" si="7"/>
        <v>8.6693999999999993E-2</v>
      </c>
      <c r="K177">
        <f t="shared" si="7"/>
        <v>2.8530000000000001E-3</v>
      </c>
      <c r="L177">
        <f t="shared" si="7"/>
        <v>1.75E-3</v>
      </c>
    </row>
    <row r="178" spans="8:12" x14ac:dyDescent="0.3">
      <c r="H178">
        <v>177</v>
      </c>
      <c r="I178">
        <f t="shared" si="7"/>
        <v>6.8300000000000001E-4</v>
      </c>
      <c r="J178">
        <f t="shared" si="7"/>
        <v>8.6693999999999993E-2</v>
      </c>
      <c r="K178">
        <f t="shared" si="7"/>
        <v>2.8530000000000001E-3</v>
      </c>
      <c r="L178">
        <f t="shared" si="7"/>
        <v>1.75E-3</v>
      </c>
    </row>
    <row r="179" spans="8:12" x14ac:dyDescent="0.3">
      <c r="H179">
        <v>178</v>
      </c>
      <c r="I179">
        <f t="shared" si="7"/>
        <v>6.8300000000000001E-4</v>
      </c>
      <c r="J179">
        <f t="shared" si="7"/>
        <v>8.6693999999999993E-2</v>
      </c>
      <c r="K179">
        <f t="shared" si="7"/>
        <v>2.8530000000000001E-3</v>
      </c>
      <c r="L179">
        <f t="shared" si="7"/>
        <v>1.75E-3</v>
      </c>
    </row>
    <row r="180" spans="8:12" x14ac:dyDescent="0.3">
      <c r="H180">
        <v>179</v>
      </c>
      <c r="I180">
        <f t="shared" si="7"/>
        <v>6.8300000000000001E-4</v>
      </c>
      <c r="J180">
        <f t="shared" si="7"/>
        <v>8.6693999999999993E-2</v>
      </c>
      <c r="K180">
        <f t="shared" si="7"/>
        <v>2.8530000000000001E-3</v>
      </c>
      <c r="L180">
        <f t="shared" si="7"/>
        <v>1.75E-3</v>
      </c>
    </row>
    <row r="181" spans="8:12" x14ac:dyDescent="0.3">
      <c r="H181">
        <v>180</v>
      </c>
      <c r="I181">
        <f t="shared" si="7"/>
        <v>6.8300000000000001E-4</v>
      </c>
      <c r="J181">
        <f t="shared" si="7"/>
        <v>8.6693999999999993E-2</v>
      </c>
      <c r="K181">
        <f t="shared" si="7"/>
        <v>2.8530000000000001E-3</v>
      </c>
      <c r="L181">
        <f t="shared" si="7"/>
        <v>1.75E-3</v>
      </c>
    </row>
    <row r="182" spans="8:12" x14ac:dyDescent="0.3">
      <c r="H182">
        <v>181</v>
      </c>
      <c r="I182">
        <f t="shared" si="7"/>
        <v>6.8300000000000001E-4</v>
      </c>
      <c r="J182">
        <f t="shared" si="7"/>
        <v>8.6693999999999993E-2</v>
      </c>
      <c r="K182">
        <f t="shared" si="7"/>
        <v>2.8530000000000001E-3</v>
      </c>
      <c r="L182">
        <f t="shared" si="7"/>
        <v>1.75E-3</v>
      </c>
    </row>
    <row r="183" spans="8:12" x14ac:dyDescent="0.3">
      <c r="H183">
        <v>182</v>
      </c>
      <c r="I183">
        <f t="shared" si="7"/>
        <v>6.8300000000000001E-4</v>
      </c>
      <c r="J183">
        <f t="shared" si="7"/>
        <v>8.6693999999999993E-2</v>
      </c>
      <c r="K183">
        <f t="shared" si="7"/>
        <v>2.8530000000000001E-3</v>
      </c>
      <c r="L183">
        <f t="shared" si="7"/>
        <v>1.75E-3</v>
      </c>
    </row>
    <row r="184" spans="8:12" x14ac:dyDescent="0.3">
      <c r="H184">
        <v>183</v>
      </c>
      <c r="I184">
        <f t="shared" si="7"/>
        <v>6.8300000000000001E-4</v>
      </c>
      <c r="J184">
        <f t="shared" si="7"/>
        <v>8.6693999999999993E-2</v>
      </c>
      <c r="K184">
        <f t="shared" si="7"/>
        <v>2.8530000000000001E-3</v>
      </c>
      <c r="L184">
        <f t="shared" si="7"/>
        <v>1.75E-3</v>
      </c>
    </row>
    <row r="185" spans="8:12" x14ac:dyDescent="0.3">
      <c r="H185">
        <v>184</v>
      </c>
      <c r="I185">
        <f t="shared" si="7"/>
        <v>6.8300000000000001E-4</v>
      </c>
      <c r="J185">
        <f t="shared" si="7"/>
        <v>8.6693999999999993E-2</v>
      </c>
      <c r="K185">
        <f t="shared" si="7"/>
        <v>2.8530000000000001E-3</v>
      </c>
      <c r="L185">
        <f t="shared" si="7"/>
        <v>1.75E-3</v>
      </c>
    </row>
    <row r="186" spans="8:12" x14ac:dyDescent="0.3">
      <c r="H186">
        <v>185</v>
      </c>
      <c r="I186">
        <f t="shared" si="7"/>
        <v>6.8300000000000001E-4</v>
      </c>
      <c r="J186">
        <f t="shared" si="7"/>
        <v>8.6693999999999993E-2</v>
      </c>
      <c r="K186">
        <f t="shared" si="7"/>
        <v>2.8530000000000001E-3</v>
      </c>
      <c r="L186">
        <f t="shared" si="7"/>
        <v>1.75E-3</v>
      </c>
    </row>
    <row r="187" spans="8:12" x14ac:dyDescent="0.3">
      <c r="H187">
        <v>186</v>
      </c>
      <c r="I187">
        <f t="shared" si="7"/>
        <v>6.8300000000000001E-4</v>
      </c>
      <c r="J187">
        <f t="shared" si="7"/>
        <v>8.6693999999999993E-2</v>
      </c>
      <c r="K187">
        <f t="shared" si="7"/>
        <v>2.8530000000000001E-3</v>
      </c>
      <c r="L187">
        <f t="shared" si="7"/>
        <v>1.75E-3</v>
      </c>
    </row>
    <row r="188" spans="8:12" x14ac:dyDescent="0.3">
      <c r="H188">
        <v>187</v>
      </c>
      <c r="I188">
        <f t="shared" si="7"/>
        <v>6.8300000000000001E-4</v>
      </c>
      <c r="J188">
        <f t="shared" si="7"/>
        <v>8.6693999999999993E-2</v>
      </c>
      <c r="K188">
        <f t="shared" si="7"/>
        <v>2.8530000000000001E-3</v>
      </c>
      <c r="L188">
        <f t="shared" si="7"/>
        <v>1.75E-3</v>
      </c>
    </row>
    <row r="189" spans="8:12" x14ac:dyDescent="0.3">
      <c r="H189">
        <v>188</v>
      </c>
      <c r="I189">
        <f t="shared" si="7"/>
        <v>6.8300000000000001E-4</v>
      </c>
      <c r="J189">
        <f t="shared" si="7"/>
        <v>8.6693999999999993E-2</v>
      </c>
      <c r="K189">
        <f t="shared" si="7"/>
        <v>2.8530000000000001E-3</v>
      </c>
      <c r="L189">
        <f t="shared" si="7"/>
        <v>1.75E-3</v>
      </c>
    </row>
    <row r="190" spans="8:12" x14ac:dyDescent="0.3">
      <c r="H190">
        <v>189</v>
      </c>
      <c r="I190">
        <f t="shared" si="7"/>
        <v>6.8300000000000001E-4</v>
      </c>
      <c r="J190">
        <f t="shared" si="7"/>
        <v>8.6693999999999993E-2</v>
      </c>
      <c r="K190">
        <f t="shared" si="7"/>
        <v>2.8530000000000001E-3</v>
      </c>
      <c r="L190">
        <f t="shared" si="7"/>
        <v>1.75E-3</v>
      </c>
    </row>
    <row r="191" spans="8:12" x14ac:dyDescent="0.3">
      <c r="H191">
        <v>190</v>
      </c>
      <c r="I191">
        <f t="shared" ref="I191:L222" si="8">I$61</f>
        <v>6.8300000000000001E-4</v>
      </c>
      <c r="J191">
        <f t="shared" si="8"/>
        <v>8.6693999999999993E-2</v>
      </c>
      <c r="K191">
        <f t="shared" si="8"/>
        <v>2.8530000000000001E-3</v>
      </c>
      <c r="L191">
        <f t="shared" si="8"/>
        <v>1.75E-3</v>
      </c>
    </row>
    <row r="192" spans="8:12" x14ac:dyDescent="0.3">
      <c r="H192">
        <v>191</v>
      </c>
      <c r="I192">
        <f t="shared" si="8"/>
        <v>6.8300000000000001E-4</v>
      </c>
      <c r="J192">
        <f t="shared" si="8"/>
        <v>8.6693999999999993E-2</v>
      </c>
      <c r="K192">
        <f t="shared" si="8"/>
        <v>2.8530000000000001E-3</v>
      </c>
      <c r="L192">
        <f t="shared" si="8"/>
        <v>1.75E-3</v>
      </c>
    </row>
    <row r="193" spans="8:12" x14ac:dyDescent="0.3">
      <c r="H193">
        <v>192</v>
      </c>
      <c r="I193">
        <f t="shared" si="8"/>
        <v>6.8300000000000001E-4</v>
      </c>
      <c r="J193">
        <f t="shared" si="8"/>
        <v>8.6693999999999993E-2</v>
      </c>
      <c r="K193">
        <f t="shared" si="8"/>
        <v>2.8530000000000001E-3</v>
      </c>
      <c r="L193">
        <f t="shared" si="8"/>
        <v>1.75E-3</v>
      </c>
    </row>
    <row r="194" spans="8:12" x14ac:dyDescent="0.3">
      <c r="H194">
        <v>193</v>
      </c>
      <c r="I194">
        <f t="shared" si="8"/>
        <v>6.8300000000000001E-4</v>
      </c>
      <c r="J194">
        <f t="shared" si="8"/>
        <v>8.6693999999999993E-2</v>
      </c>
      <c r="K194">
        <f t="shared" si="8"/>
        <v>2.8530000000000001E-3</v>
      </c>
      <c r="L194">
        <f t="shared" si="8"/>
        <v>1.75E-3</v>
      </c>
    </row>
    <row r="195" spans="8:12" x14ac:dyDescent="0.3">
      <c r="H195">
        <v>194</v>
      </c>
      <c r="I195">
        <f t="shared" si="8"/>
        <v>6.8300000000000001E-4</v>
      </c>
      <c r="J195">
        <f t="shared" si="8"/>
        <v>8.6693999999999993E-2</v>
      </c>
      <c r="K195">
        <f t="shared" si="8"/>
        <v>2.8530000000000001E-3</v>
      </c>
      <c r="L195">
        <f t="shared" si="8"/>
        <v>1.75E-3</v>
      </c>
    </row>
    <row r="196" spans="8:12" x14ac:dyDescent="0.3">
      <c r="H196">
        <v>195</v>
      </c>
      <c r="I196">
        <f t="shared" si="8"/>
        <v>6.8300000000000001E-4</v>
      </c>
      <c r="J196">
        <f t="shared" si="8"/>
        <v>8.6693999999999993E-2</v>
      </c>
      <c r="K196">
        <f t="shared" si="8"/>
        <v>2.8530000000000001E-3</v>
      </c>
      <c r="L196">
        <f t="shared" si="8"/>
        <v>1.75E-3</v>
      </c>
    </row>
    <row r="197" spans="8:12" x14ac:dyDescent="0.3">
      <c r="H197">
        <v>196</v>
      </c>
      <c r="I197">
        <f t="shared" si="8"/>
        <v>6.8300000000000001E-4</v>
      </c>
      <c r="J197">
        <f t="shared" si="8"/>
        <v>8.6693999999999993E-2</v>
      </c>
      <c r="K197">
        <f t="shared" si="8"/>
        <v>2.8530000000000001E-3</v>
      </c>
      <c r="L197">
        <f t="shared" si="8"/>
        <v>1.75E-3</v>
      </c>
    </row>
    <row r="198" spans="8:12" x14ac:dyDescent="0.3">
      <c r="H198">
        <v>197</v>
      </c>
      <c r="I198">
        <f t="shared" si="8"/>
        <v>6.8300000000000001E-4</v>
      </c>
      <c r="J198">
        <f t="shared" si="8"/>
        <v>8.6693999999999993E-2</v>
      </c>
      <c r="K198">
        <f t="shared" si="8"/>
        <v>2.8530000000000001E-3</v>
      </c>
      <c r="L198">
        <f t="shared" si="8"/>
        <v>1.75E-3</v>
      </c>
    </row>
    <row r="199" spans="8:12" x14ac:dyDescent="0.3">
      <c r="H199">
        <v>198</v>
      </c>
      <c r="I199">
        <f t="shared" si="8"/>
        <v>6.8300000000000001E-4</v>
      </c>
      <c r="J199">
        <f t="shared" si="8"/>
        <v>8.6693999999999993E-2</v>
      </c>
      <c r="K199">
        <f t="shared" si="8"/>
        <v>2.8530000000000001E-3</v>
      </c>
      <c r="L199">
        <f t="shared" si="8"/>
        <v>1.75E-3</v>
      </c>
    </row>
    <row r="200" spans="8:12" x14ac:dyDescent="0.3">
      <c r="H200">
        <v>199</v>
      </c>
      <c r="I200">
        <f t="shared" si="8"/>
        <v>6.8300000000000001E-4</v>
      </c>
      <c r="J200">
        <f t="shared" si="8"/>
        <v>8.6693999999999993E-2</v>
      </c>
      <c r="K200">
        <f t="shared" si="8"/>
        <v>2.8530000000000001E-3</v>
      </c>
      <c r="L200">
        <f t="shared" si="8"/>
        <v>1.75E-3</v>
      </c>
    </row>
    <row r="201" spans="8:12" x14ac:dyDescent="0.3">
      <c r="H201">
        <v>200</v>
      </c>
      <c r="I201">
        <f t="shared" si="8"/>
        <v>6.8300000000000001E-4</v>
      </c>
      <c r="J201">
        <f t="shared" si="8"/>
        <v>8.6693999999999993E-2</v>
      </c>
      <c r="K201">
        <f t="shared" si="8"/>
        <v>2.8530000000000001E-3</v>
      </c>
      <c r="L201">
        <f t="shared" si="8"/>
        <v>1.75E-3</v>
      </c>
    </row>
    <row r="202" spans="8:12" x14ac:dyDescent="0.3">
      <c r="H202">
        <v>201</v>
      </c>
      <c r="I202">
        <f t="shared" si="8"/>
        <v>6.8300000000000001E-4</v>
      </c>
      <c r="J202">
        <f t="shared" si="8"/>
        <v>8.6693999999999993E-2</v>
      </c>
      <c r="K202">
        <f t="shared" si="8"/>
        <v>2.8530000000000001E-3</v>
      </c>
      <c r="L202">
        <f t="shared" si="8"/>
        <v>1.75E-3</v>
      </c>
    </row>
    <row r="203" spans="8:12" x14ac:dyDescent="0.3">
      <c r="H203">
        <v>202</v>
      </c>
      <c r="I203">
        <f t="shared" si="8"/>
        <v>6.8300000000000001E-4</v>
      </c>
      <c r="J203">
        <f t="shared" si="8"/>
        <v>8.6693999999999993E-2</v>
      </c>
      <c r="K203">
        <f t="shared" si="8"/>
        <v>2.8530000000000001E-3</v>
      </c>
      <c r="L203">
        <f t="shared" si="8"/>
        <v>1.75E-3</v>
      </c>
    </row>
    <row r="204" spans="8:12" x14ac:dyDescent="0.3">
      <c r="H204">
        <v>203</v>
      </c>
      <c r="I204">
        <f t="shared" si="8"/>
        <v>6.8300000000000001E-4</v>
      </c>
      <c r="J204">
        <f t="shared" si="8"/>
        <v>8.6693999999999993E-2</v>
      </c>
      <c r="K204">
        <f t="shared" si="8"/>
        <v>2.8530000000000001E-3</v>
      </c>
      <c r="L204">
        <f t="shared" si="8"/>
        <v>1.75E-3</v>
      </c>
    </row>
    <row r="205" spans="8:12" x14ac:dyDescent="0.3">
      <c r="H205">
        <v>204</v>
      </c>
      <c r="I205">
        <f t="shared" si="8"/>
        <v>6.8300000000000001E-4</v>
      </c>
      <c r="J205">
        <f t="shared" si="8"/>
        <v>8.6693999999999993E-2</v>
      </c>
      <c r="K205">
        <f t="shared" si="8"/>
        <v>2.8530000000000001E-3</v>
      </c>
      <c r="L205">
        <f t="shared" si="8"/>
        <v>1.75E-3</v>
      </c>
    </row>
    <row r="206" spans="8:12" x14ac:dyDescent="0.3">
      <c r="H206">
        <v>205</v>
      </c>
      <c r="I206">
        <f t="shared" si="8"/>
        <v>6.8300000000000001E-4</v>
      </c>
      <c r="J206">
        <f t="shared" si="8"/>
        <v>8.6693999999999993E-2</v>
      </c>
      <c r="K206">
        <f t="shared" si="8"/>
        <v>2.8530000000000001E-3</v>
      </c>
      <c r="L206">
        <f t="shared" si="8"/>
        <v>1.75E-3</v>
      </c>
    </row>
    <row r="207" spans="8:12" x14ac:dyDescent="0.3">
      <c r="H207">
        <v>206</v>
      </c>
      <c r="I207">
        <f t="shared" si="8"/>
        <v>6.8300000000000001E-4</v>
      </c>
      <c r="J207">
        <f t="shared" si="8"/>
        <v>8.6693999999999993E-2</v>
      </c>
      <c r="K207">
        <f t="shared" si="8"/>
        <v>2.8530000000000001E-3</v>
      </c>
      <c r="L207">
        <f t="shared" si="8"/>
        <v>1.75E-3</v>
      </c>
    </row>
    <row r="208" spans="8:12" x14ac:dyDescent="0.3">
      <c r="H208">
        <v>207</v>
      </c>
      <c r="I208">
        <f t="shared" si="8"/>
        <v>6.8300000000000001E-4</v>
      </c>
      <c r="J208">
        <f t="shared" si="8"/>
        <v>8.6693999999999993E-2</v>
      </c>
      <c r="K208">
        <f t="shared" si="8"/>
        <v>2.8530000000000001E-3</v>
      </c>
      <c r="L208">
        <f t="shared" si="8"/>
        <v>1.75E-3</v>
      </c>
    </row>
    <row r="209" spans="8:12" x14ac:dyDescent="0.3">
      <c r="H209">
        <v>208</v>
      </c>
      <c r="I209">
        <f t="shared" si="8"/>
        <v>6.8300000000000001E-4</v>
      </c>
      <c r="J209">
        <f t="shared" si="8"/>
        <v>8.6693999999999993E-2</v>
      </c>
      <c r="K209">
        <f t="shared" si="8"/>
        <v>2.8530000000000001E-3</v>
      </c>
      <c r="L209">
        <f t="shared" si="8"/>
        <v>1.75E-3</v>
      </c>
    </row>
    <row r="210" spans="8:12" x14ac:dyDescent="0.3">
      <c r="H210">
        <v>209</v>
      </c>
      <c r="I210">
        <f t="shared" si="8"/>
        <v>6.8300000000000001E-4</v>
      </c>
      <c r="J210">
        <f t="shared" si="8"/>
        <v>8.6693999999999993E-2</v>
      </c>
      <c r="K210">
        <f t="shared" si="8"/>
        <v>2.8530000000000001E-3</v>
      </c>
      <c r="L210">
        <f t="shared" si="8"/>
        <v>1.75E-3</v>
      </c>
    </row>
    <row r="211" spans="8:12" x14ac:dyDescent="0.3">
      <c r="H211">
        <v>210</v>
      </c>
      <c r="I211">
        <f t="shared" si="8"/>
        <v>6.8300000000000001E-4</v>
      </c>
      <c r="J211">
        <f t="shared" si="8"/>
        <v>8.6693999999999993E-2</v>
      </c>
      <c r="K211">
        <f t="shared" si="8"/>
        <v>2.8530000000000001E-3</v>
      </c>
      <c r="L211">
        <f t="shared" si="8"/>
        <v>1.75E-3</v>
      </c>
    </row>
    <row r="212" spans="8:12" x14ac:dyDescent="0.3">
      <c r="H212">
        <v>211</v>
      </c>
      <c r="I212">
        <f t="shared" si="8"/>
        <v>6.8300000000000001E-4</v>
      </c>
      <c r="J212">
        <f t="shared" si="8"/>
        <v>8.6693999999999993E-2</v>
      </c>
      <c r="K212">
        <f t="shared" si="8"/>
        <v>2.8530000000000001E-3</v>
      </c>
      <c r="L212">
        <f t="shared" si="8"/>
        <v>1.75E-3</v>
      </c>
    </row>
    <row r="213" spans="8:12" x14ac:dyDescent="0.3">
      <c r="H213">
        <v>212</v>
      </c>
      <c r="I213">
        <f t="shared" si="8"/>
        <v>6.8300000000000001E-4</v>
      </c>
      <c r="J213">
        <f t="shared" si="8"/>
        <v>8.6693999999999993E-2</v>
      </c>
      <c r="K213">
        <f t="shared" si="8"/>
        <v>2.8530000000000001E-3</v>
      </c>
      <c r="L213">
        <f t="shared" si="8"/>
        <v>1.75E-3</v>
      </c>
    </row>
    <row r="214" spans="8:12" x14ac:dyDescent="0.3">
      <c r="H214">
        <v>213</v>
      </c>
      <c r="I214">
        <f t="shared" si="8"/>
        <v>6.8300000000000001E-4</v>
      </c>
      <c r="J214">
        <f t="shared" si="8"/>
        <v>8.6693999999999993E-2</v>
      </c>
      <c r="K214">
        <f t="shared" si="8"/>
        <v>2.8530000000000001E-3</v>
      </c>
      <c r="L214">
        <f t="shared" si="8"/>
        <v>1.75E-3</v>
      </c>
    </row>
    <row r="215" spans="8:12" x14ac:dyDescent="0.3">
      <c r="H215">
        <v>214</v>
      </c>
      <c r="I215">
        <f t="shared" si="8"/>
        <v>6.8300000000000001E-4</v>
      </c>
      <c r="J215">
        <f t="shared" si="8"/>
        <v>8.6693999999999993E-2</v>
      </c>
      <c r="K215">
        <f t="shared" si="8"/>
        <v>2.8530000000000001E-3</v>
      </c>
      <c r="L215">
        <f t="shared" si="8"/>
        <v>1.75E-3</v>
      </c>
    </row>
    <row r="216" spans="8:12" x14ac:dyDescent="0.3">
      <c r="H216">
        <v>215</v>
      </c>
      <c r="I216">
        <f t="shared" si="8"/>
        <v>6.8300000000000001E-4</v>
      </c>
      <c r="J216">
        <f t="shared" si="8"/>
        <v>8.6693999999999993E-2</v>
      </c>
      <c r="K216">
        <f t="shared" si="8"/>
        <v>2.8530000000000001E-3</v>
      </c>
      <c r="L216">
        <f t="shared" si="8"/>
        <v>1.75E-3</v>
      </c>
    </row>
    <row r="217" spans="8:12" x14ac:dyDescent="0.3">
      <c r="H217">
        <v>216</v>
      </c>
      <c r="I217">
        <f t="shared" si="8"/>
        <v>6.8300000000000001E-4</v>
      </c>
      <c r="J217">
        <f t="shared" si="8"/>
        <v>8.6693999999999993E-2</v>
      </c>
      <c r="K217">
        <f t="shared" si="8"/>
        <v>2.8530000000000001E-3</v>
      </c>
      <c r="L217">
        <f t="shared" si="8"/>
        <v>1.75E-3</v>
      </c>
    </row>
    <row r="218" spans="8:12" x14ac:dyDescent="0.3">
      <c r="H218">
        <v>217</v>
      </c>
      <c r="I218">
        <f t="shared" si="8"/>
        <v>6.8300000000000001E-4</v>
      </c>
      <c r="J218">
        <f t="shared" si="8"/>
        <v>8.6693999999999993E-2</v>
      </c>
      <c r="K218">
        <f t="shared" si="8"/>
        <v>2.8530000000000001E-3</v>
      </c>
      <c r="L218">
        <f t="shared" si="8"/>
        <v>1.75E-3</v>
      </c>
    </row>
    <row r="219" spans="8:12" x14ac:dyDescent="0.3">
      <c r="H219">
        <v>218</v>
      </c>
      <c r="I219">
        <f t="shared" si="8"/>
        <v>6.8300000000000001E-4</v>
      </c>
      <c r="J219">
        <f t="shared" si="8"/>
        <v>8.6693999999999993E-2</v>
      </c>
      <c r="K219">
        <f t="shared" si="8"/>
        <v>2.8530000000000001E-3</v>
      </c>
      <c r="L219">
        <f t="shared" si="8"/>
        <v>1.75E-3</v>
      </c>
    </row>
    <row r="220" spans="8:12" x14ac:dyDescent="0.3">
      <c r="H220">
        <v>219</v>
      </c>
      <c r="I220">
        <f t="shared" si="8"/>
        <v>6.8300000000000001E-4</v>
      </c>
      <c r="J220">
        <f t="shared" si="8"/>
        <v>8.6693999999999993E-2</v>
      </c>
      <c r="K220">
        <f t="shared" si="8"/>
        <v>2.8530000000000001E-3</v>
      </c>
      <c r="L220">
        <f t="shared" si="8"/>
        <v>1.75E-3</v>
      </c>
    </row>
    <row r="221" spans="8:12" x14ac:dyDescent="0.3">
      <c r="H221">
        <v>220</v>
      </c>
      <c r="I221">
        <f t="shared" si="8"/>
        <v>6.8300000000000001E-4</v>
      </c>
      <c r="J221">
        <f t="shared" si="8"/>
        <v>8.6693999999999993E-2</v>
      </c>
      <c r="K221">
        <f t="shared" si="8"/>
        <v>2.8530000000000001E-3</v>
      </c>
      <c r="L221">
        <f t="shared" si="8"/>
        <v>1.75E-3</v>
      </c>
    </row>
    <row r="222" spans="8:12" x14ac:dyDescent="0.3">
      <c r="H222">
        <v>221</v>
      </c>
      <c r="I222">
        <f t="shared" si="8"/>
        <v>6.8300000000000001E-4</v>
      </c>
      <c r="J222">
        <f t="shared" si="8"/>
        <v>8.6693999999999993E-2</v>
      </c>
      <c r="K222">
        <f t="shared" si="8"/>
        <v>2.8530000000000001E-3</v>
      </c>
      <c r="L222">
        <f t="shared" si="8"/>
        <v>1.75E-3</v>
      </c>
    </row>
    <row r="223" spans="8:12" x14ac:dyDescent="0.3">
      <c r="H223">
        <v>222</v>
      </c>
      <c r="I223">
        <f t="shared" ref="I223:L242" si="9">I$61</f>
        <v>6.8300000000000001E-4</v>
      </c>
      <c r="J223">
        <f t="shared" si="9"/>
        <v>8.6693999999999993E-2</v>
      </c>
      <c r="K223">
        <f t="shared" si="9"/>
        <v>2.8530000000000001E-3</v>
      </c>
      <c r="L223">
        <f t="shared" si="9"/>
        <v>1.75E-3</v>
      </c>
    </row>
    <row r="224" spans="8:12" x14ac:dyDescent="0.3">
      <c r="H224">
        <v>223</v>
      </c>
      <c r="I224">
        <f t="shared" si="9"/>
        <v>6.8300000000000001E-4</v>
      </c>
      <c r="J224">
        <f t="shared" si="9"/>
        <v>8.6693999999999993E-2</v>
      </c>
      <c r="K224">
        <f t="shared" si="9"/>
        <v>2.8530000000000001E-3</v>
      </c>
      <c r="L224">
        <f t="shared" si="9"/>
        <v>1.75E-3</v>
      </c>
    </row>
    <row r="225" spans="8:12" x14ac:dyDescent="0.3">
      <c r="H225">
        <v>224</v>
      </c>
      <c r="I225">
        <f t="shared" si="9"/>
        <v>6.8300000000000001E-4</v>
      </c>
      <c r="J225">
        <f t="shared" si="9"/>
        <v>8.6693999999999993E-2</v>
      </c>
      <c r="K225">
        <f t="shared" si="9"/>
        <v>2.8530000000000001E-3</v>
      </c>
      <c r="L225">
        <f t="shared" si="9"/>
        <v>1.75E-3</v>
      </c>
    </row>
    <row r="226" spans="8:12" x14ac:dyDescent="0.3">
      <c r="H226">
        <v>225</v>
      </c>
      <c r="I226">
        <f t="shared" si="9"/>
        <v>6.8300000000000001E-4</v>
      </c>
      <c r="J226">
        <f t="shared" si="9"/>
        <v>8.6693999999999993E-2</v>
      </c>
      <c r="K226">
        <f t="shared" si="9"/>
        <v>2.8530000000000001E-3</v>
      </c>
      <c r="L226">
        <f t="shared" si="9"/>
        <v>1.75E-3</v>
      </c>
    </row>
    <row r="227" spans="8:12" x14ac:dyDescent="0.3">
      <c r="H227">
        <v>226</v>
      </c>
      <c r="I227">
        <f t="shared" si="9"/>
        <v>6.8300000000000001E-4</v>
      </c>
      <c r="J227">
        <f t="shared" si="9"/>
        <v>8.6693999999999993E-2</v>
      </c>
      <c r="K227">
        <f t="shared" si="9"/>
        <v>2.8530000000000001E-3</v>
      </c>
      <c r="L227">
        <f t="shared" si="9"/>
        <v>1.75E-3</v>
      </c>
    </row>
    <row r="228" spans="8:12" x14ac:dyDescent="0.3">
      <c r="H228">
        <v>227</v>
      </c>
      <c r="I228">
        <f t="shared" si="9"/>
        <v>6.8300000000000001E-4</v>
      </c>
      <c r="J228">
        <f t="shared" si="9"/>
        <v>8.6693999999999993E-2</v>
      </c>
      <c r="K228">
        <f t="shared" si="9"/>
        <v>2.8530000000000001E-3</v>
      </c>
      <c r="L228">
        <f t="shared" si="9"/>
        <v>1.75E-3</v>
      </c>
    </row>
    <row r="229" spans="8:12" x14ac:dyDescent="0.3">
      <c r="H229">
        <v>228</v>
      </c>
      <c r="I229">
        <f t="shared" si="9"/>
        <v>6.8300000000000001E-4</v>
      </c>
      <c r="J229">
        <f t="shared" si="9"/>
        <v>8.6693999999999993E-2</v>
      </c>
      <c r="K229">
        <f t="shared" si="9"/>
        <v>2.8530000000000001E-3</v>
      </c>
      <c r="L229">
        <f t="shared" si="9"/>
        <v>1.75E-3</v>
      </c>
    </row>
    <row r="230" spans="8:12" x14ac:dyDescent="0.3">
      <c r="H230">
        <v>229</v>
      </c>
      <c r="I230">
        <f t="shared" si="9"/>
        <v>6.8300000000000001E-4</v>
      </c>
      <c r="J230">
        <f t="shared" si="9"/>
        <v>8.6693999999999993E-2</v>
      </c>
      <c r="K230">
        <f t="shared" si="9"/>
        <v>2.8530000000000001E-3</v>
      </c>
      <c r="L230">
        <f t="shared" si="9"/>
        <v>1.75E-3</v>
      </c>
    </row>
    <row r="231" spans="8:12" x14ac:dyDescent="0.3">
      <c r="H231">
        <v>230</v>
      </c>
      <c r="I231">
        <f t="shared" si="9"/>
        <v>6.8300000000000001E-4</v>
      </c>
      <c r="J231">
        <f t="shared" si="9"/>
        <v>8.6693999999999993E-2</v>
      </c>
      <c r="K231">
        <f t="shared" si="9"/>
        <v>2.8530000000000001E-3</v>
      </c>
      <c r="L231">
        <f t="shared" si="9"/>
        <v>1.75E-3</v>
      </c>
    </row>
    <row r="232" spans="8:12" x14ac:dyDescent="0.3">
      <c r="H232">
        <v>231</v>
      </c>
      <c r="I232">
        <f t="shared" si="9"/>
        <v>6.8300000000000001E-4</v>
      </c>
      <c r="J232">
        <f t="shared" si="9"/>
        <v>8.6693999999999993E-2</v>
      </c>
      <c r="K232">
        <f t="shared" si="9"/>
        <v>2.8530000000000001E-3</v>
      </c>
      <c r="L232">
        <f t="shared" si="9"/>
        <v>1.75E-3</v>
      </c>
    </row>
    <row r="233" spans="8:12" x14ac:dyDescent="0.3">
      <c r="H233">
        <v>232</v>
      </c>
      <c r="I233">
        <f t="shared" si="9"/>
        <v>6.8300000000000001E-4</v>
      </c>
      <c r="J233">
        <f t="shared" si="9"/>
        <v>8.6693999999999993E-2</v>
      </c>
      <c r="K233">
        <f t="shared" si="9"/>
        <v>2.8530000000000001E-3</v>
      </c>
      <c r="L233">
        <f t="shared" si="9"/>
        <v>1.75E-3</v>
      </c>
    </row>
    <row r="234" spans="8:12" x14ac:dyDescent="0.3">
      <c r="H234">
        <v>233</v>
      </c>
      <c r="I234">
        <f t="shared" si="9"/>
        <v>6.8300000000000001E-4</v>
      </c>
      <c r="J234">
        <f t="shared" si="9"/>
        <v>8.6693999999999993E-2</v>
      </c>
      <c r="K234">
        <f t="shared" si="9"/>
        <v>2.8530000000000001E-3</v>
      </c>
      <c r="L234">
        <f t="shared" si="9"/>
        <v>1.75E-3</v>
      </c>
    </row>
    <row r="235" spans="8:12" x14ac:dyDescent="0.3">
      <c r="H235">
        <v>234</v>
      </c>
      <c r="I235">
        <f t="shared" si="9"/>
        <v>6.8300000000000001E-4</v>
      </c>
      <c r="J235">
        <f t="shared" si="9"/>
        <v>8.6693999999999993E-2</v>
      </c>
      <c r="K235">
        <f t="shared" si="9"/>
        <v>2.8530000000000001E-3</v>
      </c>
      <c r="L235">
        <f t="shared" si="9"/>
        <v>1.75E-3</v>
      </c>
    </row>
    <row r="236" spans="8:12" x14ac:dyDescent="0.3">
      <c r="H236">
        <v>235</v>
      </c>
      <c r="I236">
        <f t="shared" si="9"/>
        <v>6.8300000000000001E-4</v>
      </c>
      <c r="J236">
        <f t="shared" si="9"/>
        <v>8.6693999999999993E-2</v>
      </c>
      <c r="K236">
        <f t="shared" si="9"/>
        <v>2.8530000000000001E-3</v>
      </c>
      <c r="L236">
        <f t="shared" si="9"/>
        <v>1.75E-3</v>
      </c>
    </row>
    <row r="237" spans="8:12" x14ac:dyDescent="0.3">
      <c r="H237">
        <v>236</v>
      </c>
      <c r="I237">
        <f t="shared" si="9"/>
        <v>6.8300000000000001E-4</v>
      </c>
      <c r="J237">
        <f t="shared" si="9"/>
        <v>8.6693999999999993E-2</v>
      </c>
      <c r="K237">
        <f t="shared" si="9"/>
        <v>2.8530000000000001E-3</v>
      </c>
      <c r="L237">
        <f t="shared" si="9"/>
        <v>1.75E-3</v>
      </c>
    </row>
    <row r="238" spans="8:12" x14ac:dyDescent="0.3">
      <c r="H238">
        <v>237</v>
      </c>
      <c r="I238">
        <f t="shared" si="9"/>
        <v>6.8300000000000001E-4</v>
      </c>
      <c r="J238">
        <f t="shared" si="9"/>
        <v>8.6693999999999993E-2</v>
      </c>
      <c r="K238">
        <f t="shared" si="9"/>
        <v>2.8530000000000001E-3</v>
      </c>
      <c r="L238">
        <f t="shared" si="9"/>
        <v>1.75E-3</v>
      </c>
    </row>
    <row r="239" spans="8:12" x14ac:dyDescent="0.3">
      <c r="H239">
        <v>238</v>
      </c>
      <c r="I239">
        <f t="shared" si="9"/>
        <v>6.8300000000000001E-4</v>
      </c>
      <c r="J239">
        <f t="shared" si="9"/>
        <v>8.6693999999999993E-2</v>
      </c>
      <c r="K239">
        <f t="shared" si="9"/>
        <v>2.8530000000000001E-3</v>
      </c>
      <c r="L239">
        <f t="shared" si="9"/>
        <v>1.75E-3</v>
      </c>
    </row>
    <row r="240" spans="8:12" x14ac:dyDescent="0.3">
      <c r="H240">
        <v>239</v>
      </c>
      <c r="I240">
        <f t="shared" si="9"/>
        <v>6.8300000000000001E-4</v>
      </c>
      <c r="J240">
        <f t="shared" si="9"/>
        <v>8.6693999999999993E-2</v>
      </c>
      <c r="K240">
        <f t="shared" si="9"/>
        <v>2.8530000000000001E-3</v>
      </c>
      <c r="L240">
        <f t="shared" si="9"/>
        <v>1.75E-3</v>
      </c>
    </row>
    <row r="241" spans="8:12" x14ac:dyDescent="0.3">
      <c r="H241">
        <v>240</v>
      </c>
      <c r="I241">
        <f t="shared" si="9"/>
        <v>6.8300000000000001E-4</v>
      </c>
      <c r="J241">
        <f t="shared" si="9"/>
        <v>8.6693999999999993E-2</v>
      </c>
      <c r="K241">
        <f t="shared" si="9"/>
        <v>2.8530000000000001E-3</v>
      </c>
      <c r="L241">
        <f t="shared" si="9"/>
        <v>1.75E-3</v>
      </c>
    </row>
    <row r="242" spans="8:12" x14ac:dyDescent="0.3">
      <c r="H242">
        <v>241</v>
      </c>
      <c r="I242">
        <f t="shared" si="9"/>
        <v>6.8300000000000001E-4</v>
      </c>
      <c r="J242">
        <f t="shared" si="9"/>
        <v>8.6693999999999993E-2</v>
      </c>
      <c r="K242">
        <f t="shared" si="9"/>
        <v>2.8530000000000001E-3</v>
      </c>
      <c r="L242">
        <f t="shared" si="9"/>
        <v>1.75E-3</v>
      </c>
    </row>
    <row r="243" spans="8:12" x14ac:dyDescent="0.3">
      <c r="H243">
        <v>242</v>
      </c>
      <c r="I243">
        <f t="shared" ref="I243:L306" si="10">I$61</f>
        <v>6.8300000000000001E-4</v>
      </c>
      <c r="J243">
        <f t="shared" si="10"/>
        <v>8.6693999999999993E-2</v>
      </c>
      <c r="K243">
        <f t="shared" si="10"/>
        <v>2.8530000000000001E-3</v>
      </c>
      <c r="L243">
        <f t="shared" si="10"/>
        <v>1.75E-3</v>
      </c>
    </row>
    <row r="244" spans="8:12" x14ac:dyDescent="0.3">
      <c r="H244">
        <v>243</v>
      </c>
      <c r="I244">
        <f t="shared" si="10"/>
        <v>6.8300000000000001E-4</v>
      </c>
      <c r="J244">
        <f t="shared" si="10"/>
        <v>8.6693999999999993E-2</v>
      </c>
      <c r="K244">
        <f t="shared" si="10"/>
        <v>2.8530000000000001E-3</v>
      </c>
      <c r="L244">
        <f t="shared" si="10"/>
        <v>1.75E-3</v>
      </c>
    </row>
    <row r="245" spans="8:12" x14ac:dyDescent="0.3">
      <c r="H245">
        <v>244</v>
      </c>
      <c r="I245">
        <f t="shared" si="10"/>
        <v>6.8300000000000001E-4</v>
      </c>
      <c r="J245">
        <f t="shared" si="10"/>
        <v>8.6693999999999993E-2</v>
      </c>
      <c r="K245">
        <f t="shared" si="10"/>
        <v>2.8530000000000001E-3</v>
      </c>
      <c r="L245">
        <f t="shared" si="10"/>
        <v>1.75E-3</v>
      </c>
    </row>
    <row r="246" spans="8:12" x14ac:dyDescent="0.3">
      <c r="H246">
        <v>245</v>
      </c>
      <c r="I246">
        <f t="shared" si="10"/>
        <v>6.8300000000000001E-4</v>
      </c>
      <c r="J246">
        <f t="shared" si="10"/>
        <v>8.6693999999999993E-2</v>
      </c>
      <c r="K246">
        <f t="shared" si="10"/>
        <v>2.8530000000000001E-3</v>
      </c>
      <c r="L246">
        <f t="shared" si="10"/>
        <v>1.75E-3</v>
      </c>
    </row>
    <row r="247" spans="8:12" x14ac:dyDescent="0.3">
      <c r="H247">
        <v>246</v>
      </c>
      <c r="I247">
        <f t="shared" si="10"/>
        <v>6.8300000000000001E-4</v>
      </c>
      <c r="J247">
        <f t="shared" si="10"/>
        <v>8.6693999999999993E-2</v>
      </c>
      <c r="K247">
        <f t="shared" si="10"/>
        <v>2.8530000000000001E-3</v>
      </c>
      <c r="L247">
        <f t="shared" si="10"/>
        <v>1.75E-3</v>
      </c>
    </row>
    <row r="248" spans="8:12" x14ac:dyDescent="0.3">
      <c r="H248">
        <v>247</v>
      </c>
      <c r="I248">
        <f t="shared" si="10"/>
        <v>6.8300000000000001E-4</v>
      </c>
      <c r="J248">
        <f t="shared" si="10"/>
        <v>8.6693999999999993E-2</v>
      </c>
      <c r="K248">
        <f t="shared" si="10"/>
        <v>2.8530000000000001E-3</v>
      </c>
      <c r="L248">
        <f t="shared" si="10"/>
        <v>1.75E-3</v>
      </c>
    </row>
    <row r="249" spans="8:12" x14ac:dyDescent="0.3">
      <c r="H249">
        <v>248</v>
      </c>
      <c r="I249">
        <f t="shared" si="10"/>
        <v>6.8300000000000001E-4</v>
      </c>
      <c r="J249">
        <f t="shared" si="10"/>
        <v>8.6693999999999993E-2</v>
      </c>
      <c r="K249">
        <f t="shared" si="10"/>
        <v>2.8530000000000001E-3</v>
      </c>
      <c r="L249">
        <f t="shared" si="10"/>
        <v>1.75E-3</v>
      </c>
    </row>
    <row r="250" spans="8:12" x14ac:dyDescent="0.3">
      <c r="H250">
        <v>249</v>
      </c>
      <c r="I250">
        <f t="shared" si="10"/>
        <v>6.8300000000000001E-4</v>
      </c>
      <c r="J250">
        <f t="shared" si="10"/>
        <v>8.6693999999999993E-2</v>
      </c>
      <c r="K250">
        <f t="shared" si="10"/>
        <v>2.8530000000000001E-3</v>
      </c>
      <c r="L250">
        <f t="shared" si="10"/>
        <v>1.75E-3</v>
      </c>
    </row>
    <row r="251" spans="8:12" x14ac:dyDescent="0.3">
      <c r="H251">
        <v>250</v>
      </c>
      <c r="I251">
        <f t="shared" si="10"/>
        <v>6.8300000000000001E-4</v>
      </c>
      <c r="J251">
        <f t="shared" si="10"/>
        <v>8.6693999999999993E-2</v>
      </c>
      <c r="K251">
        <f t="shared" si="10"/>
        <v>2.8530000000000001E-3</v>
      </c>
      <c r="L251">
        <f t="shared" si="10"/>
        <v>1.75E-3</v>
      </c>
    </row>
    <row r="252" spans="8:12" x14ac:dyDescent="0.3">
      <c r="H252">
        <v>251</v>
      </c>
      <c r="I252">
        <f t="shared" si="10"/>
        <v>6.8300000000000001E-4</v>
      </c>
      <c r="J252">
        <f t="shared" si="10"/>
        <v>8.6693999999999993E-2</v>
      </c>
      <c r="K252">
        <f t="shared" si="10"/>
        <v>2.8530000000000001E-3</v>
      </c>
      <c r="L252">
        <f t="shared" si="10"/>
        <v>1.75E-3</v>
      </c>
    </row>
    <row r="253" spans="8:12" x14ac:dyDescent="0.3">
      <c r="H253">
        <v>252</v>
      </c>
      <c r="I253">
        <f t="shared" si="10"/>
        <v>6.8300000000000001E-4</v>
      </c>
      <c r="J253">
        <f t="shared" si="10"/>
        <v>8.6693999999999993E-2</v>
      </c>
      <c r="K253">
        <f t="shared" si="10"/>
        <v>2.8530000000000001E-3</v>
      </c>
      <c r="L253">
        <f t="shared" si="10"/>
        <v>1.75E-3</v>
      </c>
    </row>
    <row r="254" spans="8:12" x14ac:dyDescent="0.3">
      <c r="H254">
        <v>253</v>
      </c>
      <c r="I254">
        <f t="shared" si="10"/>
        <v>6.8300000000000001E-4</v>
      </c>
      <c r="J254">
        <f t="shared" si="10"/>
        <v>8.6693999999999993E-2</v>
      </c>
      <c r="K254">
        <f t="shared" si="10"/>
        <v>2.8530000000000001E-3</v>
      </c>
      <c r="L254">
        <f t="shared" si="10"/>
        <v>1.75E-3</v>
      </c>
    </row>
    <row r="255" spans="8:12" x14ac:dyDescent="0.3">
      <c r="H255">
        <v>254</v>
      </c>
      <c r="I255">
        <f t="shared" si="10"/>
        <v>6.8300000000000001E-4</v>
      </c>
      <c r="J255">
        <f t="shared" si="10"/>
        <v>8.6693999999999993E-2</v>
      </c>
      <c r="K255">
        <f t="shared" si="10"/>
        <v>2.8530000000000001E-3</v>
      </c>
      <c r="L255">
        <f t="shared" si="10"/>
        <v>1.75E-3</v>
      </c>
    </row>
    <row r="256" spans="8:12" x14ac:dyDescent="0.3">
      <c r="H256">
        <v>255</v>
      </c>
      <c r="I256">
        <f t="shared" si="10"/>
        <v>6.8300000000000001E-4</v>
      </c>
      <c r="J256">
        <f t="shared" si="10"/>
        <v>8.6693999999999993E-2</v>
      </c>
      <c r="K256">
        <f t="shared" si="10"/>
        <v>2.8530000000000001E-3</v>
      </c>
      <c r="L256">
        <f t="shared" si="10"/>
        <v>1.75E-3</v>
      </c>
    </row>
    <row r="257" spans="8:12" x14ac:dyDescent="0.3">
      <c r="H257">
        <v>256</v>
      </c>
      <c r="I257">
        <f t="shared" si="10"/>
        <v>6.8300000000000001E-4</v>
      </c>
      <c r="J257">
        <f t="shared" si="10"/>
        <v>8.6693999999999993E-2</v>
      </c>
      <c r="K257">
        <f t="shared" si="10"/>
        <v>2.8530000000000001E-3</v>
      </c>
      <c r="L257">
        <f t="shared" si="10"/>
        <v>1.75E-3</v>
      </c>
    </row>
    <row r="258" spans="8:12" x14ac:dyDescent="0.3">
      <c r="H258">
        <v>257</v>
      </c>
      <c r="I258">
        <f t="shared" si="10"/>
        <v>6.8300000000000001E-4</v>
      </c>
      <c r="J258">
        <f t="shared" si="10"/>
        <v>8.6693999999999993E-2</v>
      </c>
      <c r="K258">
        <f t="shared" si="10"/>
        <v>2.8530000000000001E-3</v>
      </c>
      <c r="L258">
        <f t="shared" si="10"/>
        <v>1.75E-3</v>
      </c>
    </row>
    <row r="259" spans="8:12" x14ac:dyDescent="0.3">
      <c r="H259">
        <v>258</v>
      </c>
      <c r="I259">
        <f t="shared" si="10"/>
        <v>6.8300000000000001E-4</v>
      </c>
      <c r="J259">
        <f t="shared" si="10"/>
        <v>8.6693999999999993E-2</v>
      </c>
      <c r="K259">
        <f t="shared" si="10"/>
        <v>2.8530000000000001E-3</v>
      </c>
      <c r="L259">
        <f t="shared" si="10"/>
        <v>1.75E-3</v>
      </c>
    </row>
    <row r="260" spans="8:12" x14ac:dyDescent="0.3">
      <c r="H260">
        <v>259</v>
      </c>
      <c r="I260">
        <f t="shared" si="10"/>
        <v>6.8300000000000001E-4</v>
      </c>
      <c r="J260">
        <f t="shared" si="10"/>
        <v>8.6693999999999993E-2</v>
      </c>
      <c r="K260">
        <f t="shared" si="10"/>
        <v>2.8530000000000001E-3</v>
      </c>
      <c r="L260">
        <f t="shared" si="10"/>
        <v>1.75E-3</v>
      </c>
    </row>
    <row r="261" spans="8:12" x14ac:dyDescent="0.3">
      <c r="H261">
        <v>260</v>
      </c>
      <c r="I261">
        <f t="shared" si="10"/>
        <v>6.8300000000000001E-4</v>
      </c>
      <c r="J261">
        <f t="shared" si="10"/>
        <v>8.6693999999999993E-2</v>
      </c>
      <c r="K261">
        <f t="shared" si="10"/>
        <v>2.8530000000000001E-3</v>
      </c>
      <c r="L261">
        <f t="shared" si="10"/>
        <v>1.75E-3</v>
      </c>
    </row>
    <row r="262" spans="8:12" x14ac:dyDescent="0.3">
      <c r="H262">
        <v>261</v>
      </c>
      <c r="I262">
        <f t="shared" si="10"/>
        <v>6.8300000000000001E-4</v>
      </c>
      <c r="J262">
        <f t="shared" si="10"/>
        <v>8.6693999999999993E-2</v>
      </c>
      <c r="K262">
        <f t="shared" si="10"/>
        <v>2.8530000000000001E-3</v>
      </c>
      <c r="L262">
        <f t="shared" si="10"/>
        <v>1.75E-3</v>
      </c>
    </row>
    <row r="263" spans="8:12" x14ac:dyDescent="0.3">
      <c r="H263">
        <v>262</v>
      </c>
      <c r="I263">
        <f t="shared" si="10"/>
        <v>6.8300000000000001E-4</v>
      </c>
      <c r="J263">
        <f t="shared" si="10"/>
        <v>8.6693999999999993E-2</v>
      </c>
      <c r="K263">
        <f t="shared" si="10"/>
        <v>2.8530000000000001E-3</v>
      </c>
      <c r="L263">
        <f t="shared" si="10"/>
        <v>1.75E-3</v>
      </c>
    </row>
    <row r="264" spans="8:12" x14ac:dyDescent="0.3">
      <c r="H264">
        <v>263</v>
      </c>
      <c r="I264">
        <f t="shared" si="10"/>
        <v>6.8300000000000001E-4</v>
      </c>
      <c r="J264">
        <f t="shared" si="10"/>
        <v>8.6693999999999993E-2</v>
      </c>
      <c r="K264">
        <f t="shared" si="10"/>
        <v>2.8530000000000001E-3</v>
      </c>
      <c r="L264">
        <f t="shared" si="10"/>
        <v>1.75E-3</v>
      </c>
    </row>
    <row r="265" spans="8:12" x14ac:dyDescent="0.3">
      <c r="H265">
        <v>264</v>
      </c>
      <c r="I265">
        <f t="shared" si="10"/>
        <v>6.8300000000000001E-4</v>
      </c>
      <c r="J265">
        <f t="shared" si="10"/>
        <v>8.6693999999999993E-2</v>
      </c>
      <c r="K265">
        <f t="shared" si="10"/>
        <v>2.8530000000000001E-3</v>
      </c>
      <c r="L265">
        <f t="shared" si="10"/>
        <v>1.75E-3</v>
      </c>
    </row>
    <row r="266" spans="8:12" x14ac:dyDescent="0.3">
      <c r="H266">
        <v>265</v>
      </c>
      <c r="I266">
        <f t="shared" si="10"/>
        <v>6.8300000000000001E-4</v>
      </c>
      <c r="J266">
        <f t="shared" si="10"/>
        <v>8.6693999999999993E-2</v>
      </c>
      <c r="K266">
        <f t="shared" si="10"/>
        <v>2.8530000000000001E-3</v>
      </c>
      <c r="L266">
        <f t="shared" si="10"/>
        <v>1.75E-3</v>
      </c>
    </row>
    <row r="267" spans="8:12" x14ac:dyDescent="0.3">
      <c r="H267">
        <v>266</v>
      </c>
      <c r="I267">
        <f t="shared" si="10"/>
        <v>6.8300000000000001E-4</v>
      </c>
      <c r="J267">
        <f t="shared" si="10"/>
        <v>8.6693999999999993E-2</v>
      </c>
      <c r="K267">
        <f t="shared" si="10"/>
        <v>2.8530000000000001E-3</v>
      </c>
      <c r="L267">
        <f t="shared" si="10"/>
        <v>1.75E-3</v>
      </c>
    </row>
    <row r="268" spans="8:12" x14ac:dyDescent="0.3">
      <c r="H268">
        <v>267</v>
      </c>
      <c r="I268">
        <f t="shared" si="10"/>
        <v>6.8300000000000001E-4</v>
      </c>
      <c r="J268">
        <f t="shared" si="10"/>
        <v>8.6693999999999993E-2</v>
      </c>
      <c r="K268">
        <f t="shared" si="10"/>
        <v>2.8530000000000001E-3</v>
      </c>
      <c r="L268">
        <f t="shared" si="10"/>
        <v>1.75E-3</v>
      </c>
    </row>
    <row r="269" spans="8:12" x14ac:dyDescent="0.3">
      <c r="H269">
        <v>268</v>
      </c>
      <c r="I269">
        <f t="shared" si="10"/>
        <v>6.8300000000000001E-4</v>
      </c>
      <c r="J269">
        <f t="shared" si="10"/>
        <v>8.6693999999999993E-2</v>
      </c>
      <c r="K269">
        <f t="shared" si="10"/>
        <v>2.8530000000000001E-3</v>
      </c>
      <c r="L269">
        <f t="shared" si="10"/>
        <v>1.75E-3</v>
      </c>
    </row>
    <row r="270" spans="8:12" x14ac:dyDescent="0.3">
      <c r="H270">
        <v>269</v>
      </c>
      <c r="I270">
        <f t="shared" si="10"/>
        <v>6.8300000000000001E-4</v>
      </c>
      <c r="J270">
        <f t="shared" si="10"/>
        <v>8.6693999999999993E-2</v>
      </c>
      <c r="K270">
        <f t="shared" si="10"/>
        <v>2.8530000000000001E-3</v>
      </c>
      <c r="L270">
        <f t="shared" si="10"/>
        <v>1.75E-3</v>
      </c>
    </row>
    <row r="271" spans="8:12" x14ac:dyDescent="0.3">
      <c r="H271">
        <v>270</v>
      </c>
      <c r="I271">
        <f t="shared" si="10"/>
        <v>6.8300000000000001E-4</v>
      </c>
      <c r="J271">
        <f t="shared" si="10"/>
        <v>8.6693999999999993E-2</v>
      </c>
      <c r="K271">
        <f t="shared" si="10"/>
        <v>2.8530000000000001E-3</v>
      </c>
      <c r="L271">
        <f t="shared" si="10"/>
        <v>1.75E-3</v>
      </c>
    </row>
    <row r="272" spans="8:12" x14ac:dyDescent="0.3">
      <c r="H272">
        <v>271</v>
      </c>
      <c r="I272">
        <f t="shared" si="10"/>
        <v>6.8300000000000001E-4</v>
      </c>
      <c r="J272">
        <f t="shared" si="10"/>
        <v>8.6693999999999993E-2</v>
      </c>
      <c r="K272">
        <f t="shared" si="10"/>
        <v>2.8530000000000001E-3</v>
      </c>
      <c r="L272">
        <f t="shared" si="10"/>
        <v>1.75E-3</v>
      </c>
    </row>
    <row r="273" spans="8:12" x14ac:dyDescent="0.3">
      <c r="H273">
        <v>272</v>
      </c>
      <c r="I273">
        <f t="shared" si="10"/>
        <v>6.8300000000000001E-4</v>
      </c>
      <c r="J273">
        <f t="shared" si="10"/>
        <v>8.6693999999999993E-2</v>
      </c>
      <c r="K273">
        <f t="shared" si="10"/>
        <v>2.8530000000000001E-3</v>
      </c>
      <c r="L273">
        <f t="shared" si="10"/>
        <v>1.75E-3</v>
      </c>
    </row>
    <row r="274" spans="8:12" x14ac:dyDescent="0.3">
      <c r="H274">
        <v>273</v>
      </c>
      <c r="I274">
        <f t="shared" si="10"/>
        <v>6.8300000000000001E-4</v>
      </c>
      <c r="J274">
        <f t="shared" si="10"/>
        <v>8.6693999999999993E-2</v>
      </c>
      <c r="K274">
        <f t="shared" si="10"/>
        <v>2.8530000000000001E-3</v>
      </c>
      <c r="L274">
        <f t="shared" si="10"/>
        <v>1.75E-3</v>
      </c>
    </row>
    <row r="275" spans="8:12" x14ac:dyDescent="0.3">
      <c r="H275">
        <v>274</v>
      </c>
      <c r="I275">
        <f t="shared" si="10"/>
        <v>6.8300000000000001E-4</v>
      </c>
      <c r="J275">
        <f t="shared" si="10"/>
        <v>8.6693999999999993E-2</v>
      </c>
      <c r="K275">
        <f t="shared" si="10"/>
        <v>2.8530000000000001E-3</v>
      </c>
      <c r="L275">
        <f t="shared" si="10"/>
        <v>1.75E-3</v>
      </c>
    </row>
    <row r="276" spans="8:12" x14ac:dyDescent="0.3">
      <c r="H276">
        <v>275</v>
      </c>
      <c r="I276">
        <f t="shared" si="10"/>
        <v>6.8300000000000001E-4</v>
      </c>
      <c r="J276">
        <f t="shared" si="10"/>
        <v>8.6693999999999993E-2</v>
      </c>
      <c r="K276">
        <f t="shared" si="10"/>
        <v>2.8530000000000001E-3</v>
      </c>
      <c r="L276">
        <f t="shared" si="10"/>
        <v>1.75E-3</v>
      </c>
    </row>
    <row r="277" spans="8:12" x14ac:dyDescent="0.3">
      <c r="H277">
        <v>276</v>
      </c>
      <c r="I277">
        <f t="shared" si="10"/>
        <v>6.8300000000000001E-4</v>
      </c>
      <c r="J277">
        <f t="shared" si="10"/>
        <v>8.6693999999999993E-2</v>
      </c>
      <c r="K277">
        <f t="shared" si="10"/>
        <v>2.8530000000000001E-3</v>
      </c>
      <c r="L277">
        <f t="shared" si="10"/>
        <v>1.75E-3</v>
      </c>
    </row>
    <row r="278" spans="8:12" x14ac:dyDescent="0.3">
      <c r="H278">
        <v>277</v>
      </c>
      <c r="I278">
        <f t="shared" si="10"/>
        <v>6.8300000000000001E-4</v>
      </c>
      <c r="J278">
        <f t="shared" si="10"/>
        <v>8.6693999999999993E-2</v>
      </c>
      <c r="K278">
        <f t="shared" si="10"/>
        <v>2.8530000000000001E-3</v>
      </c>
      <c r="L278">
        <f t="shared" si="10"/>
        <v>1.75E-3</v>
      </c>
    </row>
    <row r="279" spans="8:12" x14ac:dyDescent="0.3">
      <c r="H279">
        <v>278</v>
      </c>
      <c r="I279">
        <f t="shared" si="10"/>
        <v>6.8300000000000001E-4</v>
      </c>
      <c r="J279">
        <f t="shared" si="10"/>
        <v>8.6693999999999993E-2</v>
      </c>
      <c r="K279">
        <f t="shared" si="10"/>
        <v>2.8530000000000001E-3</v>
      </c>
      <c r="L279">
        <f t="shared" si="10"/>
        <v>1.75E-3</v>
      </c>
    </row>
    <row r="280" spans="8:12" x14ac:dyDescent="0.3">
      <c r="H280">
        <v>279</v>
      </c>
      <c r="I280">
        <f t="shared" si="10"/>
        <v>6.8300000000000001E-4</v>
      </c>
      <c r="J280">
        <f t="shared" si="10"/>
        <v>8.6693999999999993E-2</v>
      </c>
      <c r="K280">
        <f t="shared" si="10"/>
        <v>2.8530000000000001E-3</v>
      </c>
      <c r="L280">
        <f t="shared" si="10"/>
        <v>1.75E-3</v>
      </c>
    </row>
    <row r="281" spans="8:12" x14ac:dyDescent="0.3">
      <c r="H281">
        <v>280</v>
      </c>
      <c r="I281">
        <f t="shared" si="10"/>
        <v>6.8300000000000001E-4</v>
      </c>
      <c r="J281">
        <f t="shared" si="10"/>
        <v>8.6693999999999993E-2</v>
      </c>
      <c r="K281">
        <f t="shared" si="10"/>
        <v>2.8530000000000001E-3</v>
      </c>
      <c r="L281">
        <f t="shared" si="10"/>
        <v>1.75E-3</v>
      </c>
    </row>
    <row r="282" spans="8:12" x14ac:dyDescent="0.3">
      <c r="H282">
        <v>281</v>
      </c>
      <c r="I282">
        <f t="shared" si="10"/>
        <v>6.8300000000000001E-4</v>
      </c>
      <c r="J282">
        <f t="shared" si="10"/>
        <v>8.6693999999999993E-2</v>
      </c>
      <c r="K282">
        <f t="shared" si="10"/>
        <v>2.8530000000000001E-3</v>
      </c>
      <c r="L282">
        <f t="shared" si="10"/>
        <v>1.75E-3</v>
      </c>
    </row>
    <row r="283" spans="8:12" x14ac:dyDescent="0.3">
      <c r="H283">
        <v>282</v>
      </c>
      <c r="I283">
        <f t="shared" si="10"/>
        <v>6.8300000000000001E-4</v>
      </c>
      <c r="J283">
        <f t="shared" si="10"/>
        <v>8.6693999999999993E-2</v>
      </c>
      <c r="K283">
        <f t="shared" si="10"/>
        <v>2.8530000000000001E-3</v>
      </c>
      <c r="L283">
        <f t="shared" si="10"/>
        <v>1.75E-3</v>
      </c>
    </row>
    <row r="284" spans="8:12" x14ac:dyDescent="0.3">
      <c r="H284">
        <v>283</v>
      </c>
      <c r="I284">
        <f t="shared" si="10"/>
        <v>6.8300000000000001E-4</v>
      </c>
      <c r="J284">
        <f t="shared" si="10"/>
        <v>8.6693999999999993E-2</v>
      </c>
      <c r="K284">
        <f t="shared" si="10"/>
        <v>2.8530000000000001E-3</v>
      </c>
      <c r="L284">
        <f t="shared" si="10"/>
        <v>1.75E-3</v>
      </c>
    </row>
    <row r="285" spans="8:12" x14ac:dyDescent="0.3">
      <c r="H285">
        <v>284</v>
      </c>
      <c r="I285">
        <f t="shared" si="10"/>
        <v>6.8300000000000001E-4</v>
      </c>
      <c r="J285">
        <f t="shared" si="10"/>
        <v>8.6693999999999993E-2</v>
      </c>
      <c r="K285">
        <f t="shared" si="10"/>
        <v>2.8530000000000001E-3</v>
      </c>
      <c r="L285">
        <f t="shared" si="10"/>
        <v>1.75E-3</v>
      </c>
    </row>
    <row r="286" spans="8:12" x14ac:dyDescent="0.3">
      <c r="H286">
        <v>285</v>
      </c>
      <c r="I286">
        <f t="shared" si="10"/>
        <v>6.8300000000000001E-4</v>
      </c>
      <c r="J286">
        <f t="shared" si="10"/>
        <v>8.6693999999999993E-2</v>
      </c>
      <c r="K286">
        <f t="shared" si="10"/>
        <v>2.8530000000000001E-3</v>
      </c>
      <c r="L286">
        <f t="shared" si="10"/>
        <v>1.75E-3</v>
      </c>
    </row>
    <row r="287" spans="8:12" x14ac:dyDescent="0.3">
      <c r="H287">
        <v>286</v>
      </c>
      <c r="I287">
        <f t="shared" si="10"/>
        <v>6.8300000000000001E-4</v>
      </c>
      <c r="J287">
        <f t="shared" si="10"/>
        <v>8.6693999999999993E-2</v>
      </c>
      <c r="K287">
        <f t="shared" si="10"/>
        <v>2.8530000000000001E-3</v>
      </c>
      <c r="L287">
        <f t="shared" si="10"/>
        <v>1.75E-3</v>
      </c>
    </row>
    <row r="288" spans="8:12" x14ac:dyDescent="0.3">
      <c r="H288">
        <v>287</v>
      </c>
      <c r="I288">
        <f t="shared" si="10"/>
        <v>6.8300000000000001E-4</v>
      </c>
      <c r="J288">
        <f t="shared" si="10"/>
        <v>8.6693999999999993E-2</v>
      </c>
      <c r="K288">
        <f t="shared" si="10"/>
        <v>2.8530000000000001E-3</v>
      </c>
      <c r="L288">
        <f t="shared" si="10"/>
        <v>1.75E-3</v>
      </c>
    </row>
    <row r="289" spans="8:12" x14ac:dyDescent="0.3">
      <c r="H289">
        <v>288</v>
      </c>
      <c r="I289">
        <f t="shared" si="10"/>
        <v>6.8300000000000001E-4</v>
      </c>
      <c r="J289">
        <f t="shared" si="10"/>
        <v>8.6693999999999993E-2</v>
      </c>
      <c r="K289">
        <f t="shared" si="10"/>
        <v>2.8530000000000001E-3</v>
      </c>
      <c r="L289">
        <f t="shared" si="10"/>
        <v>1.75E-3</v>
      </c>
    </row>
    <row r="290" spans="8:12" x14ac:dyDescent="0.3">
      <c r="H290">
        <v>289</v>
      </c>
      <c r="I290">
        <f t="shared" si="10"/>
        <v>6.8300000000000001E-4</v>
      </c>
      <c r="J290">
        <f t="shared" si="10"/>
        <v>8.6693999999999993E-2</v>
      </c>
      <c r="K290">
        <f t="shared" si="10"/>
        <v>2.8530000000000001E-3</v>
      </c>
      <c r="L290">
        <f t="shared" si="10"/>
        <v>1.75E-3</v>
      </c>
    </row>
    <row r="291" spans="8:12" x14ac:dyDescent="0.3">
      <c r="H291">
        <v>290</v>
      </c>
      <c r="I291">
        <f t="shared" si="10"/>
        <v>6.8300000000000001E-4</v>
      </c>
      <c r="J291">
        <f t="shared" si="10"/>
        <v>8.6693999999999993E-2</v>
      </c>
      <c r="K291">
        <f t="shared" si="10"/>
        <v>2.8530000000000001E-3</v>
      </c>
      <c r="L291">
        <f t="shared" si="10"/>
        <v>1.75E-3</v>
      </c>
    </row>
    <row r="292" spans="8:12" x14ac:dyDescent="0.3">
      <c r="H292">
        <v>291</v>
      </c>
      <c r="I292">
        <f t="shared" si="10"/>
        <v>6.8300000000000001E-4</v>
      </c>
      <c r="J292">
        <f t="shared" si="10"/>
        <v>8.6693999999999993E-2</v>
      </c>
      <c r="K292">
        <f t="shared" si="10"/>
        <v>2.8530000000000001E-3</v>
      </c>
      <c r="L292">
        <f t="shared" si="10"/>
        <v>1.75E-3</v>
      </c>
    </row>
    <row r="293" spans="8:12" x14ac:dyDescent="0.3">
      <c r="H293">
        <v>292</v>
      </c>
      <c r="I293">
        <f t="shared" si="10"/>
        <v>6.8300000000000001E-4</v>
      </c>
      <c r="J293">
        <f t="shared" si="10"/>
        <v>8.6693999999999993E-2</v>
      </c>
      <c r="K293">
        <f t="shared" si="10"/>
        <v>2.8530000000000001E-3</v>
      </c>
      <c r="L293">
        <f t="shared" si="10"/>
        <v>1.75E-3</v>
      </c>
    </row>
    <row r="294" spans="8:12" x14ac:dyDescent="0.3">
      <c r="H294">
        <v>293</v>
      </c>
      <c r="I294">
        <f t="shared" si="10"/>
        <v>6.8300000000000001E-4</v>
      </c>
      <c r="J294">
        <f t="shared" si="10"/>
        <v>8.6693999999999993E-2</v>
      </c>
      <c r="K294">
        <f t="shared" si="10"/>
        <v>2.8530000000000001E-3</v>
      </c>
      <c r="L294">
        <f t="shared" si="10"/>
        <v>1.75E-3</v>
      </c>
    </row>
    <row r="295" spans="8:12" x14ac:dyDescent="0.3">
      <c r="H295">
        <v>294</v>
      </c>
      <c r="I295">
        <f t="shared" si="10"/>
        <v>6.8300000000000001E-4</v>
      </c>
      <c r="J295">
        <f t="shared" si="10"/>
        <v>8.6693999999999993E-2</v>
      </c>
      <c r="K295">
        <f t="shared" si="10"/>
        <v>2.8530000000000001E-3</v>
      </c>
      <c r="L295">
        <f t="shared" si="10"/>
        <v>1.75E-3</v>
      </c>
    </row>
    <row r="296" spans="8:12" x14ac:dyDescent="0.3">
      <c r="H296">
        <v>295</v>
      </c>
      <c r="I296">
        <f t="shared" si="10"/>
        <v>6.8300000000000001E-4</v>
      </c>
      <c r="J296">
        <f t="shared" si="10"/>
        <v>8.6693999999999993E-2</v>
      </c>
      <c r="K296">
        <f t="shared" si="10"/>
        <v>2.8530000000000001E-3</v>
      </c>
      <c r="L296">
        <f t="shared" si="10"/>
        <v>1.75E-3</v>
      </c>
    </row>
    <row r="297" spans="8:12" x14ac:dyDescent="0.3">
      <c r="H297">
        <v>296</v>
      </c>
      <c r="I297">
        <f t="shared" si="10"/>
        <v>6.8300000000000001E-4</v>
      </c>
      <c r="J297">
        <f t="shared" si="10"/>
        <v>8.6693999999999993E-2</v>
      </c>
      <c r="K297">
        <f t="shared" si="10"/>
        <v>2.8530000000000001E-3</v>
      </c>
      <c r="L297">
        <f t="shared" si="10"/>
        <v>1.75E-3</v>
      </c>
    </row>
    <row r="298" spans="8:12" x14ac:dyDescent="0.3">
      <c r="H298">
        <v>297</v>
      </c>
      <c r="I298">
        <f t="shared" si="10"/>
        <v>6.8300000000000001E-4</v>
      </c>
      <c r="J298">
        <f t="shared" si="10"/>
        <v>8.6693999999999993E-2</v>
      </c>
      <c r="K298">
        <f t="shared" si="10"/>
        <v>2.8530000000000001E-3</v>
      </c>
      <c r="L298">
        <f t="shared" si="10"/>
        <v>1.75E-3</v>
      </c>
    </row>
    <row r="299" spans="8:12" x14ac:dyDescent="0.3">
      <c r="H299">
        <v>298</v>
      </c>
      <c r="I299">
        <f t="shared" si="10"/>
        <v>6.8300000000000001E-4</v>
      </c>
      <c r="J299">
        <f t="shared" si="10"/>
        <v>8.6693999999999993E-2</v>
      </c>
      <c r="K299">
        <f t="shared" si="10"/>
        <v>2.8530000000000001E-3</v>
      </c>
      <c r="L299">
        <f t="shared" si="10"/>
        <v>1.75E-3</v>
      </c>
    </row>
    <row r="300" spans="8:12" x14ac:dyDescent="0.3">
      <c r="H300">
        <v>299</v>
      </c>
      <c r="I300">
        <f t="shared" si="10"/>
        <v>6.8300000000000001E-4</v>
      </c>
      <c r="J300">
        <f t="shared" si="10"/>
        <v>8.6693999999999993E-2</v>
      </c>
      <c r="K300">
        <f t="shared" si="10"/>
        <v>2.8530000000000001E-3</v>
      </c>
      <c r="L300">
        <f t="shared" si="10"/>
        <v>1.75E-3</v>
      </c>
    </row>
    <row r="301" spans="8:12" x14ac:dyDescent="0.3">
      <c r="H301">
        <v>300</v>
      </c>
      <c r="I301">
        <f t="shared" si="10"/>
        <v>6.8300000000000001E-4</v>
      </c>
      <c r="J301">
        <f t="shared" si="10"/>
        <v>8.6693999999999993E-2</v>
      </c>
      <c r="K301">
        <f t="shared" si="10"/>
        <v>2.8530000000000001E-3</v>
      </c>
      <c r="L301">
        <f t="shared" si="10"/>
        <v>1.75E-3</v>
      </c>
    </row>
    <row r="302" spans="8:12" x14ac:dyDescent="0.3">
      <c r="H302">
        <v>301</v>
      </c>
      <c r="I302">
        <f t="shared" si="10"/>
        <v>6.8300000000000001E-4</v>
      </c>
      <c r="J302">
        <f t="shared" si="10"/>
        <v>8.6693999999999993E-2</v>
      </c>
      <c r="K302">
        <f t="shared" si="10"/>
        <v>2.8530000000000001E-3</v>
      </c>
      <c r="L302">
        <f t="shared" si="10"/>
        <v>1.75E-3</v>
      </c>
    </row>
    <row r="303" spans="8:12" x14ac:dyDescent="0.3">
      <c r="H303">
        <v>302</v>
      </c>
      <c r="I303">
        <f t="shared" si="10"/>
        <v>6.8300000000000001E-4</v>
      </c>
      <c r="J303">
        <f t="shared" si="10"/>
        <v>8.6693999999999993E-2</v>
      </c>
      <c r="K303">
        <f t="shared" si="10"/>
        <v>2.8530000000000001E-3</v>
      </c>
      <c r="L303">
        <f t="shared" si="10"/>
        <v>1.75E-3</v>
      </c>
    </row>
    <row r="304" spans="8:12" x14ac:dyDescent="0.3">
      <c r="H304">
        <v>303</v>
      </c>
      <c r="I304">
        <f t="shared" si="10"/>
        <v>6.8300000000000001E-4</v>
      </c>
      <c r="J304">
        <f t="shared" si="10"/>
        <v>8.6693999999999993E-2</v>
      </c>
      <c r="K304">
        <f t="shared" si="10"/>
        <v>2.8530000000000001E-3</v>
      </c>
      <c r="L304">
        <f t="shared" si="10"/>
        <v>1.75E-3</v>
      </c>
    </row>
    <row r="305" spans="8:12" x14ac:dyDescent="0.3">
      <c r="H305">
        <v>304</v>
      </c>
      <c r="I305">
        <f t="shared" si="10"/>
        <v>6.8300000000000001E-4</v>
      </c>
      <c r="J305">
        <f t="shared" si="10"/>
        <v>8.6693999999999993E-2</v>
      </c>
      <c r="K305">
        <f t="shared" si="10"/>
        <v>2.8530000000000001E-3</v>
      </c>
      <c r="L305">
        <f t="shared" si="10"/>
        <v>1.75E-3</v>
      </c>
    </row>
    <row r="306" spans="8:12" x14ac:dyDescent="0.3">
      <c r="H306">
        <v>305</v>
      </c>
      <c r="I306">
        <f t="shared" si="10"/>
        <v>6.8300000000000001E-4</v>
      </c>
      <c r="J306">
        <f t="shared" si="10"/>
        <v>8.6693999999999993E-2</v>
      </c>
      <c r="K306">
        <f t="shared" si="10"/>
        <v>2.8530000000000001E-3</v>
      </c>
      <c r="L306">
        <f t="shared" ref="I306:L369" si="11">L$61</f>
        <v>1.75E-3</v>
      </c>
    </row>
    <row r="307" spans="8:12" x14ac:dyDescent="0.3">
      <c r="H307">
        <v>306</v>
      </c>
      <c r="I307">
        <f t="shared" si="11"/>
        <v>6.8300000000000001E-4</v>
      </c>
      <c r="J307">
        <f t="shared" si="11"/>
        <v>8.6693999999999993E-2</v>
      </c>
      <c r="K307">
        <f t="shared" si="11"/>
        <v>2.8530000000000001E-3</v>
      </c>
      <c r="L307">
        <f t="shared" si="11"/>
        <v>1.75E-3</v>
      </c>
    </row>
    <row r="308" spans="8:12" x14ac:dyDescent="0.3">
      <c r="H308">
        <v>307</v>
      </c>
      <c r="I308">
        <f t="shared" si="11"/>
        <v>6.8300000000000001E-4</v>
      </c>
      <c r="J308">
        <f t="shared" si="11"/>
        <v>8.6693999999999993E-2</v>
      </c>
      <c r="K308">
        <f t="shared" si="11"/>
        <v>2.8530000000000001E-3</v>
      </c>
      <c r="L308">
        <f t="shared" si="11"/>
        <v>1.75E-3</v>
      </c>
    </row>
    <row r="309" spans="8:12" x14ac:dyDescent="0.3">
      <c r="H309">
        <v>308</v>
      </c>
      <c r="I309">
        <f t="shared" si="11"/>
        <v>6.8300000000000001E-4</v>
      </c>
      <c r="J309">
        <f t="shared" si="11"/>
        <v>8.6693999999999993E-2</v>
      </c>
      <c r="K309">
        <f t="shared" si="11"/>
        <v>2.8530000000000001E-3</v>
      </c>
      <c r="L309">
        <f t="shared" si="11"/>
        <v>1.75E-3</v>
      </c>
    </row>
    <row r="310" spans="8:12" x14ac:dyDescent="0.3">
      <c r="H310">
        <v>309</v>
      </c>
      <c r="I310">
        <f t="shared" si="11"/>
        <v>6.8300000000000001E-4</v>
      </c>
      <c r="J310">
        <f t="shared" si="11"/>
        <v>8.6693999999999993E-2</v>
      </c>
      <c r="K310">
        <f t="shared" si="11"/>
        <v>2.8530000000000001E-3</v>
      </c>
      <c r="L310">
        <f t="shared" si="11"/>
        <v>1.75E-3</v>
      </c>
    </row>
    <row r="311" spans="8:12" x14ac:dyDescent="0.3">
      <c r="H311">
        <v>310</v>
      </c>
      <c r="I311">
        <f t="shared" si="11"/>
        <v>6.8300000000000001E-4</v>
      </c>
      <c r="J311">
        <f t="shared" si="11"/>
        <v>8.6693999999999993E-2</v>
      </c>
      <c r="K311">
        <f t="shared" si="11"/>
        <v>2.8530000000000001E-3</v>
      </c>
      <c r="L311">
        <f t="shared" si="11"/>
        <v>1.75E-3</v>
      </c>
    </row>
    <row r="312" spans="8:12" x14ac:dyDescent="0.3">
      <c r="H312">
        <v>311</v>
      </c>
      <c r="I312">
        <f t="shared" si="11"/>
        <v>6.8300000000000001E-4</v>
      </c>
      <c r="J312">
        <f t="shared" si="11"/>
        <v>8.6693999999999993E-2</v>
      </c>
      <c r="K312">
        <f t="shared" si="11"/>
        <v>2.8530000000000001E-3</v>
      </c>
      <c r="L312">
        <f t="shared" si="11"/>
        <v>1.75E-3</v>
      </c>
    </row>
    <row r="313" spans="8:12" x14ac:dyDescent="0.3">
      <c r="H313">
        <v>312</v>
      </c>
      <c r="I313">
        <f t="shared" si="11"/>
        <v>6.8300000000000001E-4</v>
      </c>
      <c r="J313">
        <f t="shared" si="11"/>
        <v>8.6693999999999993E-2</v>
      </c>
      <c r="K313">
        <f t="shared" si="11"/>
        <v>2.8530000000000001E-3</v>
      </c>
      <c r="L313">
        <f t="shared" si="11"/>
        <v>1.75E-3</v>
      </c>
    </row>
    <row r="314" spans="8:12" x14ac:dyDescent="0.3">
      <c r="H314">
        <v>313</v>
      </c>
      <c r="I314">
        <f t="shared" si="11"/>
        <v>6.8300000000000001E-4</v>
      </c>
      <c r="J314">
        <f t="shared" si="11"/>
        <v>8.6693999999999993E-2</v>
      </c>
      <c r="K314">
        <f t="shared" si="11"/>
        <v>2.8530000000000001E-3</v>
      </c>
      <c r="L314">
        <f t="shared" si="11"/>
        <v>1.75E-3</v>
      </c>
    </row>
    <row r="315" spans="8:12" x14ac:dyDescent="0.3">
      <c r="H315">
        <v>314</v>
      </c>
      <c r="I315">
        <f t="shared" si="11"/>
        <v>6.8300000000000001E-4</v>
      </c>
      <c r="J315">
        <f t="shared" si="11"/>
        <v>8.6693999999999993E-2</v>
      </c>
      <c r="K315">
        <f t="shared" si="11"/>
        <v>2.8530000000000001E-3</v>
      </c>
      <c r="L315">
        <f t="shared" si="11"/>
        <v>1.75E-3</v>
      </c>
    </row>
    <row r="316" spans="8:12" x14ac:dyDescent="0.3">
      <c r="H316">
        <v>315</v>
      </c>
      <c r="I316">
        <f t="shared" si="11"/>
        <v>6.8300000000000001E-4</v>
      </c>
      <c r="J316">
        <f t="shared" si="11"/>
        <v>8.6693999999999993E-2</v>
      </c>
      <c r="K316">
        <f t="shared" si="11"/>
        <v>2.8530000000000001E-3</v>
      </c>
      <c r="L316">
        <f t="shared" si="11"/>
        <v>1.75E-3</v>
      </c>
    </row>
    <row r="317" spans="8:12" x14ac:dyDescent="0.3">
      <c r="H317">
        <v>316</v>
      </c>
      <c r="I317">
        <f t="shared" si="11"/>
        <v>6.8300000000000001E-4</v>
      </c>
      <c r="J317">
        <f t="shared" si="11"/>
        <v>8.6693999999999993E-2</v>
      </c>
      <c r="K317">
        <f t="shared" si="11"/>
        <v>2.8530000000000001E-3</v>
      </c>
      <c r="L317">
        <f t="shared" si="11"/>
        <v>1.75E-3</v>
      </c>
    </row>
    <row r="318" spans="8:12" x14ac:dyDescent="0.3">
      <c r="H318">
        <v>317</v>
      </c>
      <c r="I318">
        <f t="shared" si="11"/>
        <v>6.8300000000000001E-4</v>
      </c>
      <c r="J318">
        <f t="shared" si="11"/>
        <v>8.6693999999999993E-2</v>
      </c>
      <c r="K318">
        <f t="shared" si="11"/>
        <v>2.8530000000000001E-3</v>
      </c>
      <c r="L318">
        <f t="shared" si="11"/>
        <v>1.75E-3</v>
      </c>
    </row>
    <row r="319" spans="8:12" x14ac:dyDescent="0.3">
      <c r="H319">
        <v>318</v>
      </c>
      <c r="I319">
        <f t="shared" si="11"/>
        <v>6.8300000000000001E-4</v>
      </c>
      <c r="J319">
        <f t="shared" si="11"/>
        <v>8.6693999999999993E-2</v>
      </c>
      <c r="K319">
        <f t="shared" si="11"/>
        <v>2.8530000000000001E-3</v>
      </c>
      <c r="L319">
        <f t="shared" si="11"/>
        <v>1.75E-3</v>
      </c>
    </row>
    <row r="320" spans="8:12" x14ac:dyDescent="0.3">
      <c r="H320">
        <v>319</v>
      </c>
      <c r="I320">
        <f t="shared" si="11"/>
        <v>6.8300000000000001E-4</v>
      </c>
      <c r="J320">
        <f t="shared" si="11"/>
        <v>8.6693999999999993E-2</v>
      </c>
      <c r="K320">
        <f t="shared" si="11"/>
        <v>2.8530000000000001E-3</v>
      </c>
      <c r="L320">
        <f t="shared" si="11"/>
        <v>1.75E-3</v>
      </c>
    </row>
    <row r="321" spans="8:12" x14ac:dyDescent="0.3">
      <c r="H321">
        <v>320</v>
      </c>
      <c r="I321">
        <f t="shared" si="11"/>
        <v>6.8300000000000001E-4</v>
      </c>
      <c r="J321">
        <f t="shared" si="11"/>
        <v>8.6693999999999993E-2</v>
      </c>
      <c r="K321">
        <f t="shared" si="11"/>
        <v>2.8530000000000001E-3</v>
      </c>
      <c r="L321">
        <f t="shared" si="11"/>
        <v>1.75E-3</v>
      </c>
    </row>
    <row r="322" spans="8:12" x14ac:dyDescent="0.3">
      <c r="H322">
        <v>321</v>
      </c>
      <c r="I322">
        <f t="shared" si="11"/>
        <v>6.8300000000000001E-4</v>
      </c>
      <c r="J322">
        <f t="shared" si="11"/>
        <v>8.6693999999999993E-2</v>
      </c>
      <c r="K322">
        <f t="shared" si="11"/>
        <v>2.8530000000000001E-3</v>
      </c>
      <c r="L322">
        <f t="shared" si="11"/>
        <v>1.75E-3</v>
      </c>
    </row>
    <row r="323" spans="8:12" x14ac:dyDescent="0.3">
      <c r="H323">
        <v>322</v>
      </c>
      <c r="I323">
        <f t="shared" si="11"/>
        <v>6.8300000000000001E-4</v>
      </c>
      <c r="J323">
        <f t="shared" si="11"/>
        <v>8.6693999999999993E-2</v>
      </c>
      <c r="K323">
        <f t="shared" si="11"/>
        <v>2.8530000000000001E-3</v>
      </c>
      <c r="L323">
        <f t="shared" si="11"/>
        <v>1.75E-3</v>
      </c>
    </row>
    <row r="324" spans="8:12" x14ac:dyDescent="0.3">
      <c r="H324">
        <v>323</v>
      </c>
      <c r="I324">
        <f t="shared" si="11"/>
        <v>6.8300000000000001E-4</v>
      </c>
      <c r="J324">
        <f t="shared" si="11"/>
        <v>8.6693999999999993E-2</v>
      </c>
      <c r="K324">
        <f t="shared" si="11"/>
        <v>2.8530000000000001E-3</v>
      </c>
      <c r="L324">
        <f t="shared" si="11"/>
        <v>1.75E-3</v>
      </c>
    </row>
    <row r="325" spans="8:12" x14ac:dyDescent="0.3">
      <c r="H325">
        <v>324</v>
      </c>
      <c r="I325">
        <f t="shared" si="11"/>
        <v>6.8300000000000001E-4</v>
      </c>
      <c r="J325">
        <f t="shared" si="11"/>
        <v>8.6693999999999993E-2</v>
      </c>
      <c r="K325">
        <f t="shared" si="11"/>
        <v>2.8530000000000001E-3</v>
      </c>
      <c r="L325">
        <f t="shared" si="11"/>
        <v>1.75E-3</v>
      </c>
    </row>
    <row r="326" spans="8:12" x14ac:dyDescent="0.3">
      <c r="H326">
        <v>325</v>
      </c>
      <c r="I326">
        <f t="shared" si="11"/>
        <v>6.8300000000000001E-4</v>
      </c>
      <c r="J326">
        <f t="shared" si="11"/>
        <v>8.6693999999999993E-2</v>
      </c>
      <c r="K326">
        <f t="shared" si="11"/>
        <v>2.8530000000000001E-3</v>
      </c>
      <c r="L326">
        <f t="shared" si="11"/>
        <v>1.75E-3</v>
      </c>
    </row>
    <row r="327" spans="8:12" x14ac:dyDescent="0.3">
      <c r="H327">
        <v>326</v>
      </c>
      <c r="I327">
        <f t="shared" si="11"/>
        <v>6.8300000000000001E-4</v>
      </c>
      <c r="J327">
        <f t="shared" si="11"/>
        <v>8.6693999999999993E-2</v>
      </c>
      <c r="K327">
        <f t="shared" si="11"/>
        <v>2.8530000000000001E-3</v>
      </c>
      <c r="L327">
        <f t="shared" si="11"/>
        <v>1.75E-3</v>
      </c>
    </row>
    <row r="328" spans="8:12" x14ac:dyDescent="0.3">
      <c r="H328">
        <v>327</v>
      </c>
      <c r="I328">
        <f t="shared" si="11"/>
        <v>6.8300000000000001E-4</v>
      </c>
      <c r="J328">
        <f t="shared" si="11"/>
        <v>8.6693999999999993E-2</v>
      </c>
      <c r="K328">
        <f t="shared" si="11"/>
        <v>2.8530000000000001E-3</v>
      </c>
      <c r="L328">
        <f t="shared" si="11"/>
        <v>1.75E-3</v>
      </c>
    </row>
    <row r="329" spans="8:12" x14ac:dyDescent="0.3">
      <c r="H329">
        <v>328</v>
      </c>
      <c r="I329">
        <f t="shared" si="11"/>
        <v>6.8300000000000001E-4</v>
      </c>
      <c r="J329">
        <f t="shared" si="11"/>
        <v>8.6693999999999993E-2</v>
      </c>
      <c r="K329">
        <f t="shared" si="11"/>
        <v>2.8530000000000001E-3</v>
      </c>
      <c r="L329">
        <f t="shared" si="11"/>
        <v>1.75E-3</v>
      </c>
    </row>
    <row r="330" spans="8:12" x14ac:dyDescent="0.3">
      <c r="H330">
        <v>329</v>
      </c>
      <c r="I330">
        <f t="shared" si="11"/>
        <v>6.8300000000000001E-4</v>
      </c>
      <c r="J330">
        <f t="shared" si="11"/>
        <v>8.6693999999999993E-2</v>
      </c>
      <c r="K330">
        <f t="shared" si="11"/>
        <v>2.8530000000000001E-3</v>
      </c>
      <c r="L330">
        <f t="shared" si="11"/>
        <v>1.75E-3</v>
      </c>
    </row>
    <row r="331" spans="8:12" x14ac:dyDescent="0.3">
      <c r="H331">
        <v>330</v>
      </c>
      <c r="I331">
        <f t="shared" si="11"/>
        <v>6.8300000000000001E-4</v>
      </c>
      <c r="J331">
        <f t="shared" si="11"/>
        <v>8.6693999999999993E-2</v>
      </c>
      <c r="K331">
        <f t="shared" si="11"/>
        <v>2.8530000000000001E-3</v>
      </c>
      <c r="L331">
        <f t="shared" si="11"/>
        <v>1.75E-3</v>
      </c>
    </row>
    <row r="332" spans="8:12" x14ac:dyDescent="0.3">
      <c r="H332">
        <v>331</v>
      </c>
      <c r="I332">
        <f t="shared" si="11"/>
        <v>6.8300000000000001E-4</v>
      </c>
      <c r="J332">
        <f t="shared" si="11"/>
        <v>8.6693999999999993E-2</v>
      </c>
      <c r="K332">
        <f t="shared" si="11"/>
        <v>2.8530000000000001E-3</v>
      </c>
      <c r="L332">
        <f t="shared" si="11"/>
        <v>1.75E-3</v>
      </c>
    </row>
    <row r="333" spans="8:12" x14ac:dyDescent="0.3">
      <c r="H333">
        <v>332</v>
      </c>
      <c r="I333">
        <f t="shared" si="11"/>
        <v>6.8300000000000001E-4</v>
      </c>
      <c r="J333">
        <f t="shared" si="11"/>
        <v>8.6693999999999993E-2</v>
      </c>
      <c r="K333">
        <f t="shared" si="11"/>
        <v>2.8530000000000001E-3</v>
      </c>
      <c r="L333">
        <f t="shared" si="11"/>
        <v>1.75E-3</v>
      </c>
    </row>
    <row r="334" spans="8:12" x14ac:dyDescent="0.3">
      <c r="H334">
        <v>333</v>
      </c>
      <c r="I334">
        <f t="shared" si="11"/>
        <v>6.8300000000000001E-4</v>
      </c>
      <c r="J334">
        <f t="shared" si="11"/>
        <v>8.6693999999999993E-2</v>
      </c>
      <c r="K334">
        <f t="shared" si="11"/>
        <v>2.8530000000000001E-3</v>
      </c>
      <c r="L334">
        <f t="shared" si="11"/>
        <v>1.75E-3</v>
      </c>
    </row>
    <row r="335" spans="8:12" x14ac:dyDescent="0.3">
      <c r="H335">
        <v>334</v>
      </c>
      <c r="I335">
        <f t="shared" si="11"/>
        <v>6.8300000000000001E-4</v>
      </c>
      <c r="J335">
        <f t="shared" si="11"/>
        <v>8.6693999999999993E-2</v>
      </c>
      <c r="K335">
        <f t="shared" si="11"/>
        <v>2.8530000000000001E-3</v>
      </c>
      <c r="L335">
        <f t="shared" si="11"/>
        <v>1.75E-3</v>
      </c>
    </row>
    <row r="336" spans="8:12" x14ac:dyDescent="0.3">
      <c r="H336">
        <v>335</v>
      </c>
      <c r="I336">
        <f t="shared" si="11"/>
        <v>6.8300000000000001E-4</v>
      </c>
      <c r="J336">
        <f t="shared" si="11"/>
        <v>8.6693999999999993E-2</v>
      </c>
      <c r="K336">
        <f t="shared" si="11"/>
        <v>2.8530000000000001E-3</v>
      </c>
      <c r="L336">
        <f t="shared" si="11"/>
        <v>1.75E-3</v>
      </c>
    </row>
    <row r="337" spans="8:12" x14ac:dyDescent="0.3">
      <c r="H337">
        <v>336</v>
      </c>
      <c r="I337">
        <f t="shared" si="11"/>
        <v>6.8300000000000001E-4</v>
      </c>
      <c r="J337">
        <f t="shared" si="11"/>
        <v>8.6693999999999993E-2</v>
      </c>
      <c r="K337">
        <f t="shared" si="11"/>
        <v>2.8530000000000001E-3</v>
      </c>
      <c r="L337">
        <f t="shared" si="11"/>
        <v>1.75E-3</v>
      </c>
    </row>
    <row r="338" spans="8:12" x14ac:dyDescent="0.3">
      <c r="H338">
        <v>337</v>
      </c>
      <c r="I338">
        <f t="shared" si="11"/>
        <v>6.8300000000000001E-4</v>
      </c>
      <c r="J338">
        <f t="shared" si="11"/>
        <v>8.6693999999999993E-2</v>
      </c>
      <c r="K338">
        <f t="shared" si="11"/>
        <v>2.8530000000000001E-3</v>
      </c>
      <c r="L338">
        <f t="shared" si="11"/>
        <v>1.75E-3</v>
      </c>
    </row>
    <row r="339" spans="8:12" x14ac:dyDescent="0.3">
      <c r="H339">
        <v>338</v>
      </c>
      <c r="I339">
        <f t="shared" si="11"/>
        <v>6.8300000000000001E-4</v>
      </c>
      <c r="J339">
        <f t="shared" si="11"/>
        <v>8.6693999999999993E-2</v>
      </c>
      <c r="K339">
        <f t="shared" si="11"/>
        <v>2.8530000000000001E-3</v>
      </c>
      <c r="L339">
        <f t="shared" si="11"/>
        <v>1.75E-3</v>
      </c>
    </row>
    <row r="340" spans="8:12" x14ac:dyDescent="0.3">
      <c r="H340">
        <v>339</v>
      </c>
      <c r="I340">
        <f t="shared" si="11"/>
        <v>6.8300000000000001E-4</v>
      </c>
      <c r="J340">
        <f t="shared" si="11"/>
        <v>8.6693999999999993E-2</v>
      </c>
      <c r="K340">
        <f t="shared" si="11"/>
        <v>2.8530000000000001E-3</v>
      </c>
      <c r="L340">
        <f t="shared" si="11"/>
        <v>1.75E-3</v>
      </c>
    </row>
    <row r="341" spans="8:12" x14ac:dyDescent="0.3">
      <c r="H341">
        <v>340</v>
      </c>
      <c r="I341">
        <f t="shared" si="11"/>
        <v>6.8300000000000001E-4</v>
      </c>
      <c r="J341">
        <f t="shared" si="11"/>
        <v>8.6693999999999993E-2</v>
      </c>
      <c r="K341">
        <f t="shared" si="11"/>
        <v>2.8530000000000001E-3</v>
      </c>
      <c r="L341">
        <f t="shared" si="11"/>
        <v>1.75E-3</v>
      </c>
    </row>
    <row r="342" spans="8:12" x14ac:dyDescent="0.3">
      <c r="H342">
        <v>341</v>
      </c>
      <c r="I342">
        <f t="shared" si="11"/>
        <v>6.8300000000000001E-4</v>
      </c>
      <c r="J342">
        <f t="shared" si="11"/>
        <v>8.6693999999999993E-2</v>
      </c>
      <c r="K342">
        <f t="shared" si="11"/>
        <v>2.8530000000000001E-3</v>
      </c>
      <c r="L342">
        <f t="shared" si="11"/>
        <v>1.75E-3</v>
      </c>
    </row>
    <row r="343" spans="8:12" x14ac:dyDescent="0.3">
      <c r="H343">
        <v>342</v>
      </c>
      <c r="I343">
        <f t="shared" si="11"/>
        <v>6.8300000000000001E-4</v>
      </c>
      <c r="J343">
        <f t="shared" si="11"/>
        <v>8.6693999999999993E-2</v>
      </c>
      <c r="K343">
        <f t="shared" si="11"/>
        <v>2.8530000000000001E-3</v>
      </c>
      <c r="L343">
        <f t="shared" si="11"/>
        <v>1.75E-3</v>
      </c>
    </row>
    <row r="344" spans="8:12" x14ac:dyDescent="0.3">
      <c r="H344">
        <v>343</v>
      </c>
      <c r="I344">
        <f t="shared" si="11"/>
        <v>6.8300000000000001E-4</v>
      </c>
      <c r="J344">
        <f t="shared" si="11"/>
        <v>8.6693999999999993E-2</v>
      </c>
      <c r="K344">
        <f t="shared" si="11"/>
        <v>2.8530000000000001E-3</v>
      </c>
      <c r="L344">
        <f t="shared" si="11"/>
        <v>1.75E-3</v>
      </c>
    </row>
    <row r="345" spans="8:12" x14ac:dyDescent="0.3">
      <c r="H345">
        <v>344</v>
      </c>
      <c r="I345">
        <f t="shared" si="11"/>
        <v>6.8300000000000001E-4</v>
      </c>
      <c r="J345">
        <f t="shared" si="11"/>
        <v>8.6693999999999993E-2</v>
      </c>
      <c r="K345">
        <f t="shared" si="11"/>
        <v>2.8530000000000001E-3</v>
      </c>
      <c r="L345">
        <f t="shared" si="11"/>
        <v>1.75E-3</v>
      </c>
    </row>
    <row r="346" spans="8:12" x14ac:dyDescent="0.3">
      <c r="H346">
        <v>345</v>
      </c>
      <c r="I346">
        <f t="shared" si="11"/>
        <v>6.8300000000000001E-4</v>
      </c>
      <c r="J346">
        <f t="shared" si="11"/>
        <v>8.6693999999999993E-2</v>
      </c>
      <c r="K346">
        <f t="shared" si="11"/>
        <v>2.8530000000000001E-3</v>
      </c>
      <c r="L346">
        <f t="shared" si="11"/>
        <v>1.75E-3</v>
      </c>
    </row>
    <row r="347" spans="8:12" x14ac:dyDescent="0.3">
      <c r="H347">
        <v>346</v>
      </c>
      <c r="I347">
        <f t="shared" si="11"/>
        <v>6.8300000000000001E-4</v>
      </c>
      <c r="J347">
        <f t="shared" si="11"/>
        <v>8.6693999999999993E-2</v>
      </c>
      <c r="K347">
        <f t="shared" si="11"/>
        <v>2.8530000000000001E-3</v>
      </c>
      <c r="L347">
        <f t="shared" si="11"/>
        <v>1.75E-3</v>
      </c>
    </row>
    <row r="348" spans="8:12" x14ac:dyDescent="0.3">
      <c r="H348">
        <v>347</v>
      </c>
      <c r="I348">
        <f t="shared" si="11"/>
        <v>6.8300000000000001E-4</v>
      </c>
      <c r="J348">
        <f t="shared" si="11"/>
        <v>8.6693999999999993E-2</v>
      </c>
      <c r="K348">
        <f t="shared" si="11"/>
        <v>2.8530000000000001E-3</v>
      </c>
      <c r="L348">
        <f t="shared" si="11"/>
        <v>1.75E-3</v>
      </c>
    </row>
    <row r="349" spans="8:12" x14ac:dyDescent="0.3">
      <c r="H349">
        <v>348</v>
      </c>
      <c r="I349">
        <f t="shared" si="11"/>
        <v>6.8300000000000001E-4</v>
      </c>
      <c r="J349">
        <f t="shared" si="11"/>
        <v>8.6693999999999993E-2</v>
      </c>
      <c r="K349">
        <f t="shared" si="11"/>
        <v>2.8530000000000001E-3</v>
      </c>
      <c r="L349">
        <f t="shared" si="11"/>
        <v>1.75E-3</v>
      </c>
    </row>
    <row r="350" spans="8:12" x14ac:dyDescent="0.3">
      <c r="H350">
        <v>349</v>
      </c>
      <c r="I350">
        <f t="shared" si="11"/>
        <v>6.8300000000000001E-4</v>
      </c>
      <c r="J350">
        <f t="shared" si="11"/>
        <v>8.6693999999999993E-2</v>
      </c>
      <c r="K350">
        <f t="shared" si="11"/>
        <v>2.8530000000000001E-3</v>
      </c>
      <c r="L350">
        <f t="shared" si="11"/>
        <v>1.75E-3</v>
      </c>
    </row>
    <row r="351" spans="8:12" x14ac:dyDescent="0.3">
      <c r="H351">
        <v>350</v>
      </c>
      <c r="I351">
        <f t="shared" si="11"/>
        <v>6.8300000000000001E-4</v>
      </c>
      <c r="J351">
        <f t="shared" si="11"/>
        <v>8.6693999999999993E-2</v>
      </c>
      <c r="K351">
        <f t="shared" si="11"/>
        <v>2.8530000000000001E-3</v>
      </c>
      <c r="L351">
        <f t="shared" si="11"/>
        <v>1.75E-3</v>
      </c>
    </row>
    <row r="352" spans="8:12" x14ac:dyDescent="0.3">
      <c r="H352">
        <v>351</v>
      </c>
      <c r="I352">
        <f t="shared" si="11"/>
        <v>6.8300000000000001E-4</v>
      </c>
      <c r="J352">
        <f t="shared" si="11"/>
        <v>8.6693999999999993E-2</v>
      </c>
      <c r="K352">
        <f t="shared" si="11"/>
        <v>2.8530000000000001E-3</v>
      </c>
      <c r="L352">
        <f t="shared" si="11"/>
        <v>1.75E-3</v>
      </c>
    </row>
    <row r="353" spans="8:12" x14ac:dyDescent="0.3">
      <c r="H353">
        <v>352</v>
      </c>
      <c r="I353">
        <f t="shared" si="11"/>
        <v>6.8300000000000001E-4</v>
      </c>
      <c r="J353">
        <f t="shared" si="11"/>
        <v>8.6693999999999993E-2</v>
      </c>
      <c r="K353">
        <f t="shared" si="11"/>
        <v>2.8530000000000001E-3</v>
      </c>
      <c r="L353">
        <f t="shared" si="11"/>
        <v>1.75E-3</v>
      </c>
    </row>
    <row r="354" spans="8:12" x14ac:dyDescent="0.3">
      <c r="H354">
        <v>353</v>
      </c>
      <c r="I354">
        <f t="shared" si="11"/>
        <v>6.8300000000000001E-4</v>
      </c>
      <c r="J354">
        <f t="shared" si="11"/>
        <v>8.6693999999999993E-2</v>
      </c>
      <c r="K354">
        <f t="shared" si="11"/>
        <v>2.8530000000000001E-3</v>
      </c>
      <c r="L354">
        <f t="shared" si="11"/>
        <v>1.75E-3</v>
      </c>
    </row>
    <row r="355" spans="8:12" x14ac:dyDescent="0.3">
      <c r="H355">
        <v>354</v>
      </c>
      <c r="I355">
        <f t="shared" si="11"/>
        <v>6.8300000000000001E-4</v>
      </c>
      <c r="J355">
        <f t="shared" si="11"/>
        <v>8.6693999999999993E-2</v>
      </c>
      <c r="K355">
        <f t="shared" si="11"/>
        <v>2.8530000000000001E-3</v>
      </c>
      <c r="L355">
        <f t="shared" si="11"/>
        <v>1.75E-3</v>
      </c>
    </row>
    <row r="356" spans="8:12" x14ac:dyDescent="0.3">
      <c r="H356">
        <v>355</v>
      </c>
      <c r="I356">
        <f t="shared" si="11"/>
        <v>6.8300000000000001E-4</v>
      </c>
      <c r="J356">
        <f t="shared" si="11"/>
        <v>8.6693999999999993E-2</v>
      </c>
      <c r="K356">
        <f t="shared" si="11"/>
        <v>2.8530000000000001E-3</v>
      </c>
      <c r="L356">
        <f t="shared" si="11"/>
        <v>1.75E-3</v>
      </c>
    </row>
    <row r="357" spans="8:12" x14ac:dyDescent="0.3">
      <c r="H357">
        <v>356</v>
      </c>
      <c r="I357">
        <f t="shared" si="11"/>
        <v>6.8300000000000001E-4</v>
      </c>
      <c r="J357">
        <f t="shared" si="11"/>
        <v>8.6693999999999993E-2</v>
      </c>
      <c r="K357">
        <f t="shared" si="11"/>
        <v>2.8530000000000001E-3</v>
      </c>
      <c r="L357">
        <f t="shared" si="11"/>
        <v>1.75E-3</v>
      </c>
    </row>
    <row r="358" spans="8:12" x14ac:dyDescent="0.3">
      <c r="H358">
        <v>357</v>
      </c>
      <c r="I358">
        <f t="shared" si="11"/>
        <v>6.8300000000000001E-4</v>
      </c>
      <c r="J358">
        <f t="shared" si="11"/>
        <v>8.6693999999999993E-2</v>
      </c>
      <c r="K358">
        <f t="shared" si="11"/>
        <v>2.8530000000000001E-3</v>
      </c>
      <c r="L358">
        <f t="shared" si="11"/>
        <v>1.75E-3</v>
      </c>
    </row>
    <row r="359" spans="8:12" x14ac:dyDescent="0.3">
      <c r="H359">
        <v>358</v>
      </c>
      <c r="I359">
        <f t="shared" si="11"/>
        <v>6.8300000000000001E-4</v>
      </c>
      <c r="J359">
        <f t="shared" si="11"/>
        <v>8.6693999999999993E-2</v>
      </c>
      <c r="K359">
        <f t="shared" si="11"/>
        <v>2.8530000000000001E-3</v>
      </c>
      <c r="L359">
        <f t="shared" si="11"/>
        <v>1.75E-3</v>
      </c>
    </row>
    <row r="360" spans="8:12" x14ac:dyDescent="0.3">
      <c r="H360">
        <v>359</v>
      </c>
      <c r="I360">
        <f t="shared" si="11"/>
        <v>6.8300000000000001E-4</v>
      </c>
      <c r="J360">
        <f t="shared" si="11"/>
        <v>8.6693999999999993E-2</v>
      </c>
      <c r="K360">
        <f t="shared" si="11"/>
        <v>2.8530000000000001E-3</v>
      </c>
      <c r="L360">
        <f t="shared" si="11"/>
        <v>1.75E-3</v>
      </c>
    </row>
    <row r="361" spans="8:12" x14ac:dyDescent="0.3">
      <c r="H361">
        <v>360</v>
      </c>
      <c r="I361">
        <f t="shared" si="11"/>
        <v>6.8300000000000001E-4</v>
      </c>
      <c r="J361">
        <f t="shared" si="11"/>
        <v>8.6693999999999993E-2</v>
      </c>
      <c r="K361">
        <f t="shared" si="11"/>
        <v>2.8530000000000001E-3</v>
      </c>
      <c r="L361">
        <f t="shared" si="11"/>
        <v>1.75E-3</v>
      </c>
    </row>
    <row r="362" spans="8:12" x14ac:dyDescent="0.3">
      <c r="H362">
        <v>361</v>
      </c>
      <c r="I362">
        <f t="shared" si="11"/>
        <v>6.8300000000000001E-4</v>
      </c>
      <c r="J362">
        <f t="shared" si="11"/>
        <v>8.6693999999999993E-2</v>
      </c>
      <c r="K362">
        <f t="shared" si="11"/>
        <v>2.8530000000000001E-3</v>
      </c>
      <c r="L362">
        <f t="shared" si="11"/>
        <v>1.75E-3</v>
      </c>
    </row>
    <row r="363" spans="8:12" x14ac:dyDescent="0.3">
      <c r="H363">
        <v>362</v>
      </c>
      <c r="I363">
        <f t="shared" si="11"/>
        <v>6.8300000000000001E-4</v>
      </c>
      <c r="J363">
        <f t="shared" si="11"/>
        <v>8.6693999999999993E-2</v>
      </c>
      <c r="K363">
        <f t="shared" si="11"/>
        <v>2.8530000000000001E-3</v>
      </c>
      <c r="L363">
        <f t="shared" si="11"/>
        <v>1.75E-3</v>
      </c>
    </row>
    <row r="364" spans="8:12" x14ac:dyDescent="0.3">
      <c r="H364">
        <v>363</v>
      </c>
      <c r="I364">
        <f t="shared" si="11"/>
        <v>6.8300000000000001E-4</v>
      </c>
      <c r="J364">
        <f t="shared" si="11"/>
        <v>8.6693999999999993E-2</v>
      </c>
      <c r="K364">
        <f t="shared" si="11"/>
        <v>2.8530000000000001E-3</v>
      </c>
      <c r="L364">
        <f t="shared" si="11"/>
        <v>1.75E-3</v>
      </c>
    </row>
    <row r="365" spans="8:12" x14ac:dyDescent="0.3">
      <c r="H365">
        <v>364</v>
      </c>
      <c r="I365">
        <f t="shared" si="11"/>
        <v>6.8300000000000001E-4</v>
      </c>
      <c r="J365">
        <f t="shared" si="11"/>
        <v>8.6693999999999993E-2</v>
      </c>
      <c r="K365">
        <f t="shared" si="11"/>
        <v>2.8530000000000001E-3</v>
      </c>
      <c r="L365">
        <f t="shared" si="11"/>
        <v>1.75E-3</v>
      </c>
    </row>
    <row r="366" spans="8:12" x14ac:dyDescent="0.3">
      <c r="H366">
        <v>365</v>
      </c>
      <c r="I366">
        <f t="shared" si="11"/>
        <v>6.8300000000000001E-4</v>
      </c>
      <c r="J366">
        <f t="shared" si="11"/>
        <v>8.6693999999999993E-2</v>
      </c>
      <c r="K366">
        <f t="shared" si="11"/>
        <v>2.8530000000000001E-3</v>
      </c>
      <c r="L366">
        <f t="shared" si="11"/>
        <v>1.75E-3</v>
      </c>
    </row>
    <row r="367" spans="8:12" x14ac:dyDescent="0.3">
      <c r="H367">
        <v>366</v>
      </c>
      <c r="I367">
        <f t="shared" si="11"/>
        <v>6.8300000000000001E-4</v>
      </c>
      <c r="J367">
        <f t="shared" si="11"/>
        <v>8.6693999999999993E-2</v>
      </c>
      <c r="K367">
        <f t="shared" si="11"/>
        <v>2.8530000000000001E-3</v>
      </c>
      <c r="L367">
        <f t="shared" si="11"/>
        <v>1.75E-3</v>
      </c>
    </row>
    <row r="368" spans="8:12" x14ac:dyDescent="0.3">
      <c r="H368">
        <v>367</v>
      </c>
      <c r="I368">
        <f t="shared" si="11"/>
        <v>6.8300000000000001E-4</v>
      </c>
      <c r="J368">
        <f t="shared" si="11"/>
        <v>8.6693999999999993E-2</v>
      </c>
      <c r="K368">
        <f t="shared" si="11"/>
        <v>2.8530000000000001E-3</v>
      </c>
      <c r="L368">
        <f t="shared" si="11"/>
        <v>1.75E-3</v>
      </c>
    </row>
    <row r="369" spans="8:12" x14ac:dyDescent="0.3">
      <c r="H369">
        <v>368</v>
      </c>
      <c r="I369">
        <f t="shared" si="11"/>
        <v>6.8300000000000001E-4</v>
      </c>
      <c r="J369">
        <f t="shared" si="11"/>
        <v>8.6693999999999993E-2</v>
      </c>
      <c r="K369">
        <f t="shared" si="11"/>
        <v>2.8530000000000001E-3</v>
      </c>
      <c r="L369">
        <f t="shared" si="11"/>
        <v>1.75E-3</v>
      </c>
    </row>
    <row r="370" spans="8:12" x14ac:dyDescent="0.3">
      <c r="H370">
        <v>369</v>
      </c>
      <c r="I370">
        <f t="shared" ref="I370:L433" si="12">I$61</f>
        <v>6.8300000000000001E-4</v>
      </c>
      <c r="J370">
        <f t="shared" si="12"/>
        <v>8.6693999999999993E-2</v>
      </c>
      <c r="K370">
        <f t="shared" si="12"/>
        <v>2.8530000000000001E-3</v>
      </c>
      <c r="L370">
        <f t="shared" si="12"/>
        <v>1.75E-3</v>
      </c>
    </row>
    <row r="371" spans="8:12" x14ac:dyDescent="0.3">
      <c r="H371">
        <v>370</v>
      </c>
      <c r="I371">
        <f t="shared" si="12"/>
        <v>6.8300000000000001E-4</v>
      </c>
      <c r="J371">
        <f t="shared" si="12"/>
        <v>8.6693999999999993E-2</v>
      </c>
      <c r="K371">
        <f t="shared" si="12"/>
        <v>2.8530000000000001E-3</v>
      </c>
      <c r="L371">
        <f t="shared" si="12"/>
        <v>1.75E-3</v>
      </c>
    </row>
    <row r="372" spans="8:12" x14ac:dyDescent="0.3">
      <c r="H372">
        <v>371</v>
      </c>
      <c r="I372">
        <f t="shared" si="12"/>
        <v>6.8300000000000001E-4</v>
      </c>
      <c r="J372">
        <f t="shared" si="12"/>
        <v>8.6693999999999993E-2</v>
      </c>
      <c r="K372">
        <f t="shared" si="12"/>
        <v>2.8530000000000001E-3</v>
      </c>
      <c r="L372">
        <f t="shared" si="12"/>
        <v>1.75E-3</v>
      </c>
    </row>
    <row r="373" spans="8:12" x14ac:dyDescent="0.3">
      <c r="H373">
        <v>372</v>
      </c>
      <c r="I373">
        <f t="shared" si="12"/>
        <v>6.8300000000000001E-4</v>
      </c>
      <c r="J373">
        <f t="shared" si="12"/>
        <v>8.6693999999999993E-2</v>
      </c>
      <c r="K373">
        <f t="shared" si="12"/>
        <v>2.8530000000000001E-3</v>
      </c>
      <c r="L373">
        <f t="shared" si="12"/>
        <v>1.75E-3</v>
      </c>
    </row>
    <row r="374" spans="8:12" x14ac:dyDescent="0.3">
      <c r="H374">
        <v>373</v>
      </c>
      <c r="I374">
        <f t="shared" si="12"/>
        <v>6.8300000000000001E-4</v>
      </c>
      <c r="J374">
        <f t="shared" si="12"/>
        <v>8.6693999999999993E-2</v>
      </c>
      <c r="K374">
        <f t="shared" si="12"/>
        <v>2.8530000000000001E-3</v>
      </c>
      <c r="L374">
        <f t="shared" si="12"/>
        <v>1.75E-3</v>
      </c>
    </row>
    <row r="375" spans="8:12" x14ac:dyDescent="0.3">
      <c r="H375">
        <v>374</v>
      </c>
      <c r="I375">
        <f t="shared" si="12"/>
        <v>6.8300000000000001E-4</v>
      </c>
      <c r="J375">
        <f t="shared" si="12"/>
        <v>8.6693999999999993E-2</v>
      </c>
      <c r="K375">
        <f t="shared" si="12"/>
        <v>2.8530000000000001E-3</v>
      </c>
      <c r="L375">
        <f t="shared" si="12"/>
        <v>1.75E-3</v>
      </c>
    </row>
    <row r="376" spans="8:12" x14ac:dyDescent="0.3">
      <c r="H376">
        <v>375</v>
      </c>
      <c r="I376">
        <f t="shared" si="12"/>
        <v>6.8300000000000001E-4</v>
      </c>
      <c r="J376">
        <f t="shared" si="12"/>
        <v>8.6693999999999993E-2</v>
      </c>
      <c r="K376">
        <f t="shared" si="12"/>
        <v>2.8530000000000001E-3</v>
      </c>
      <c r="L376">
        <f t="shared" si="12"/>
        <v>1.75E-3</v>
      </c>
    </row>
    <row r="377" spans="8:12" x14ac:dyDescent="0.3">
      <c r="H377">
        <v>376</v>
      </c>
      <c r="I377">
        <f t="shared" si="12"/>
        <v>6.8300000000000001E-4</v>
      </c>
      <c r="J377">
        <f t="shared" si="12"/>
        <v>8.6693999999999993E-2</v>
      </c>
      <c r="K377">
        <f t="shared" si="12"/>
        <v>2.8530000000000001E-3</v>
      </c>
      <c r="L377">
        <f t="shared" si="12"/>
        <v>1.75E-3</v>
      </c>
    </row>
    <row r="378" spans="8:12" x14ac:dyDescent="0.3">
      <c r="H378">
        <v>377</v>
      </c>
      <c r="I378">
        <f t="shared" si="12"/>
        <v>6.8300000000000001E-4</v>
      </c>
      <c r="J378">
        <f t="shared" si="12"/>
        <v>8.6693999999999993E-2</v>
      </c>
      <c r="K378">
        <f t="shared" si="12"/>
        <v>2.8530000000000001E-3</v>
      </c>
      <c r="L378">
        <f t="shared" si="12"/>
        <v>1.75E-3</v>
      </c>
    </row>
    <row r="379" spans="8:12" x14ac:dyDescent="0.3">
      <c r="H379">
        <v>378</v>
      </c>
      <c r="I379">
        <f t="shared" si="12"/>
        <v>6.8300000000000001E-4</v>
      </c>
      <c r="J379">
        <f t="shared" si="12"/>
        <v>8.6693999999999993E-2</v>
      </c>
      <c r="K379">
        <f t="shared" si="12"/>
        <v>2.8530000000000001E-3</v>
      </c>
      <c r="L379">
        <f t="shared" si="12"/>
        <v>1.75E-3</v>
      </c>
    </row>
    <row r="380" spans="8:12" x14ac:dyDescent="0.3">
      <c r="H380">
        <v>379</v>
      </c>
      <c r="I380">
        <f t="shared" si="12"/>
        <v>6.8300000000000001E-4</v>
      </c>
      <c r="J380">
        <f t="shared" si="12"/>
        <v>8.6693999999999993E-2</v>
      </c>
      <c r="K380">
        <f t="shared" si="12"/>
        <v>2.8530000000000001E-3</v>
      </c>
      <c r="L380">
        <f t="shared" si="12"/>
        <v>1.75E-3</v>
      </c>
    </row>
    <row r="381" spans="8:12" x14ac:dyDescent="0.3">
      <c r="H381">
        <v>380</v>
      </c>
      <c r="I381">
        <f t="shared" si="12"/>
        <v>6.8300000000000001E-4</v>
      </c>
      <c r="J381">
        <f t="shared" si="12"/>
        <v>8.6693999999999993E-2</v>
      </c>
      <c r="K381">
        <f t="shared" si="12"/>
        <v>2.8530000000000001E-3</v>
      </c>
      <c r="L381">
        <f t="shared" si="12"/>
        <v>1.75E-3</v>
      </c>
    </row>
    <row r="382" spans="8:12" x14ac:dyDescent="0.3">
      <c r="H382">
        <v>381</v>
      </c>
      <c r="I382">
        <f t="shared" si="12"/>
        <v>6.8300000000000001E-4</v>
      </c>
      <c r="J382">
        <f t="shared" si="12"/>
        <v>8.6693999999999993E-2</v>
      </c>
      <c r="K382">
        <f t="shared" si="12"/>
        <v>2.8530000000000001E-3</v>
      </c>
      <c r="L382">
        <f t="shared" si="12"/>
        <v>1.75E-3</v>
      </c>
    </row>
    <row r="383" spans="8:12" x14ac:dyDescent="0.3">
      <c r="H383">
        <v>382</v>
      </c>
      <c r="I383">
        <f t="shared" si="12"/>
        <v>6.8300000000000001E-4</v>
      </c>
      <c r="J383">
        <f t="shared" si="12"/>
        <v>8.6693999999999993E-2</v>
      </c>
      <c r="K383">
        <f t="shared" si="12"/>
        <v>2.8530000000000001E-3</v>
      </c>
      <c r="L383">
        <f t="shared" si="12"/>
        <v>1.75E-3</v>
      </c>
    </row>
    <row r="384" spans="8:12" x14ac:dyDescent="0.3">
      <c r="H384">
        <v>383</v>
      </c>
      <c r="I384">
        <f t="shared" si="12"/>
        <v>6.8300000000000001E-4</v>
      </c>
      <c r="J384">
        <f t="shared" si="12"/>
        <v>8.6693999999999993E-2</v>
      </c>
      <c r="K384">
        <f t="shared" si="12"/>
        <v>2.8530000000000001E-3</v>
      </c>
      <c r="L384">
        <f t="shared" si="12"/>
        <v>1.75E-3</v>
      </c>
    </row>
    <row r="385" spans="8:12" x14ac:dyDescent="0.3">
      <c r="H385">
        <v>384</v>
      </c>
      <c r="I385">
        <f t="shared" si="12"/>
        <v>6.8300000000000001E-4</v>
      </c>
      <c r="J385">
        <f t="shared" si="12"/>
        <v>8.6693999999999993E-2</v>
      </c>
      <c r="K385">
        <f t="shared" si="12"/>
        <v>2.8530000000000001E-3</v>
      </c>
      <c r="L385">
        <f t="shared" si="12"/>
        <v>1.75E-3</v>
      </c>
    </row>
    <row r="386" spans="8:12" x14ac:dyDescent="0.3">
      <c r="H386">
        <v>385</v>
      </c>
      <c r="I386">
        <f t="shared" si="12"/>
        <v>6.8300000000000001E-4</v>
      </c>
      <c r="J386">
        <f t="shared" si="12"/>
        <v>8.6693999999999993E-2</v>
      </c>
      <c r="K386">
        <f t="shared" si="12"/>
        <v>2.8530000000000001E-3</v>
      </c>
      <c r="L386">
        <f t="shared" si="12"/>
        <v>1.75E-3</v>
      </c>
    </row>
    <row r="387" spans="8:12" x14ac:dyDescent="0.3">
      <c r="H387">
        <v>386</v>
      </c>
      <c r="I387">
        <f t="shared" si="12"/>
        <v>6.8300000000000001E-4</v>
      </c>
      <c r="J387">
        <f t="shared" si="12"/>
        <v>8.6693999999999993E-2</v>
      </c>
      <c r="K387">
        <f t="shared" si="12"/>
        <v>2.8530000000000001E-3</v>
      </c>
      <c r="L387">
        <f t="shared" si="12"/>
        <v>1.75E-3</v>
      </c>
    </row>
    <row r="388" spans="8:12" x14ac:dyDescent="0.3">
      <c r="H388">
        <v>387</v>
      </c>
      <c r="I388">
        <f t="shared" si="12"/>
        <v>6.8300000000000001E-4</v>
      </c>
      <c r="J388">
        <f t="shared" si="12"/>
        <v>8.6693999999999993E-2</v>
      </c>
      <c r="K388">
        <f t="shared" si="12"/>
        <v>2.8530000000000001E-3</v>
      </c>
      <c r="L388">
        <f t="shared" si="12"/>
        <v>1.75E-3</v>
      </c>
    </row>
    <row r="389" spans="8:12" x14ac:dyDescent="0.3">
      <c r="H389">
        <v>388</v>
      </c>
      <c r="I389">
        <f t="shared" si="12"/>
        <v>6.8300000000000001E-4</v>
      </c>
      <c r="J389">
        <f t="shared" si="12"/>
        <v>8.6693999999999993E-2</v>
      </c>
      <c r="K389">
        <f t="shared" si="12"/>
        <v>2.8530000000000001E-3</v>
      </c>
      <c r="L389">
        <f t="shared" si="12"/>
        <v>1.75E-3</v>
      </c>
    </row>
    <row r="390" spans="8:12" x14ac:dyDescent="0.3">
      <c r="H390">
        <v>389</v>
      </c>
      <c r="I390">
        <f t="shared" si="12"/>
        <v>6.8300000000000001E-4</v>
      </c>
      <c r="J390">
        <f t="shared" si="12"/>
        <v>8.6693999999999993E-2</v>
      </c>
      <c r="K390">
        <f t="shared" si="12"/>
        <v>2.8530000000000001E-3</v>
      </c>
      <c r="L390">
        <f t="shared" si="12"/>
        <v>1.75E-3</v>
      </c>
    </row>
    <row r="391" spans="8:12" x14ac:dyDescent="0.3">
      <c r="H391">
        <v>390</v>
      </c>
      <c r="I391">
        <f t="shared" si="12"/>
        <v>6.8300000000000001E-4</v>
      </c>
      <c r="J391">
        <f t="shared" si="12"/>
        <v>8.6693999999999993E-2</v>
      </c>
      <c r="K391">
        <f t="shared" si="12"/>
        <v>2.8530000000000001E-3</v>
      </c>
      <c r="L391">
        <f t="shared" si="12"/>
        <v>1.75E-3</v>
      </c>
    </row>
    <row r="392" spans="8:12" x14ac:dyDescent="0.3">
      <c r="H392">
        <v>391</v>
      </c>
      <c r="I392">
        <f t="shared" si="12"/>
        <v>6.8300000000000001E-4</v>
      </c>
      <c r="J392">
        <f t="shared" si="12"/>
        <v>8.6693999999999993E-2</v>
      </c>
      <c r="K392">
        <f t="shared" si="12"/>
        <v>2.8530000000000001E-3</v>
      </c>
      <c r="L392">
        <f t="shared" si="12"/>
        <v>1.75E-3</v>
      </c>
    </row>
    <row r="393" spans="8:12" x14ac:dyDescent="0.3">
      <c r="H393">
        <v>392</v>
      </c>
      <c r="I393">
        <f t="shared" si="12"/>
        <v>6.8300000000000001E-4</v>
      </c>
      <c r="J393">
        <f t="shared" si="12"/>
        <v>8.6693999999999993E-2</v>
      </c>
      <c r="K393">
        <f t="shared" si="12"/>
        <v>2.8530000000000001E-3</v>
      </c>
      <c r="L393">
        <f t="shared" si="12"/>
        <v>1.75E-3</v>
      </c>
    </row>
    <row r="394" spans="8:12" x14ac:dyDescent="0.3">
      <c r="H394">
        <v>393</v>
      </c>
      <c r="I394">
        <f t="shared" si="12"/>
        <v>6.8300000000000001E-4</v>
      </c>
      <c r="J394">
        <f t="shared" si="12"/>
        <v>8.6693999999999993E-2</v>
      </c>
      <c r="K394">
        <f t="shared" si="12"/>
        <v>2.8530000000000001E-3</v>
      </c>
      <c r="L394">
        <f t="shared" si="12"/>
        <v>1.75E-3</v>
      </c>
    </row>
    <row r="395" spans="8:12" x14ac:dyDescent="0.3">
      <c r="H395">
        <v>394</v>
      </c>
      <c r="I395">
        <f t="shared" si="12"/>
        <v>6.8300000000000001E-4</v>
      </c>
      <c r="J395">
        <f t="shared" si="12"/>
        <v>8.6693999999999993E-2</v>
      </c>
      <c r="K395">
        <f t="shared" si="12"/>
        <v>2.8530000000000001E-3</v>
      </c>
      <c r="L395">
        <f t="shared" si="12"/>
        <v>1.75E-3</v>
      </c>
    </row>
    <row r="396" spans="8:12" x14ac:dyDescent="0.3">
      <c r="H396">
        <v>395</v>
      </c>
      <c r="I396">
        <f t="shared" si="12"/>
        <v>6.8300000000000001E-4</v>
      </c>
      <c r="J396">
        <f t="shared" si="12"/>
        <v>8.6693999999999993E-2</v>
      </c>
      <c r="K396">
        <f t="shared" si="12"/>
        <v>2.8530000000000001E-3</v>
      </c>
      <c r="L396">
        <f t="shared" si="12"/>
        <v>1.75E-3</v>
      </c>
    </row>
    <row r="397" spans="8:12" x14ac:dyDescent="0.3">
      <c r="H397">
        <v>396</v>
      </c>
      <c r="I397">
        <f t="shared" si="12"/>
        <v>6.8300000000000001E-4</v>
      </c>
      <c r="J397">
        <f t="shared" si="12"/>
        <v>8.6693999999999993E-2</v>
      </c>
      <c r="K397">
        <f t="shared" si="12"/>
        <v>2.8530000000000001E-3</v>
      </c>
      <c r="L397">
        <f t="shared" si="12"/>
        <v>1.75E-3</v>
      </c>
    </row>
    <row r="398" spans="8:12" x14ac:dyDescent="0.3">
      <c r="H398">
        <v>397</v>
      </c>
      <c r="I398">
        <f t="shared" si="12"/>
        <v>6.8300000000000001E-4</v>
      </c>
      <c r="J398">
        <f t="shared" si="12"/>
        <v>8.6693999999999993E-2</v>
      </c>
      <c r="K398">
        <f t="shared" si="12"/>
        <v>2.8530000000000001E-3</v>
      </c>
      <c r="L398">
        <f t="shared" si="12"/>
        <v>1.75E-3</v>
      </c>
    </row>
    <row r="399" spans="8:12" x14ac:dyDescent="0.3">
      <c r="H399">
        <v>398</v>
      </c>
      <c r="I399">
        <f t="shared" si="12"/>
        <v>6.8300000000000001E-4</v>
      </c>
      <c r="J399">
        <f t="shared" si="12"/>
        <v>8.6693999999999993E-2</v>
      </c>
      <c r="K399">
        <f t="shared" si="12"/>
        <v>2.8530000000000001E-3</v>
      </c>
      <c r="L399">
        <f t="shared" si="12"/>
        <v>1.75E-3</v>
      </c>
    </row>
    <row r="400" spans="8:12" x14ac:dyDescent="0.3">
      <c r="H400">
        <v>399</v>
      </c>
      <c r="I400">
        <f t="shared" si="12"/>
        <v>6.8300000000000001E-4</v>
      </c>
      <c r="J400">
        <f t="shared" si="12"/>
        <v>8.6693999999999993E-2</v>
      </c>
      <c r="K400">
        <f t="shared" si="12"/>
        <v>2.8530000000000001E-3</v>
      </c>
      <c r="L400">
        <f t="shared" si="12"/>
        <v>1.75E-3</v>
      </c>
    </row>
    <row r="401" spans="8:12" x14ac:dyDescent="0.3">
      <c r="H401">
        <v>400</v>
      </c>
      <c r="I401">
        <f t="shared" si="12"/>
        <v>6.8300000000000001E-4</v>
      </c>
      <c r="J401">
        <f t="shared" si="12"/>
        <v>8.6693999999999993E-2</v>
      </c>
      <c r="K401">
        <f t="shared" si="12"/>
        <v>2.8530000000000001E-3</v>
      </c>
      <c r="L401">
        <f t="shared" si="12"/>
        <v>1.75E-3</v>
      </c>
    </row>
    <row r="402" spans="8:12" x14ac:dyDescent="0.3">
      <c r="H402">
        <v>401</v>
      </c>
      <c r="I402">
        <f t="shared" si="12"/>
        <v>6.8300000000000001E-4</v>
      </c>
      <c r="J402">
        <f t="shared" si="12"/>
        <v>8.6693999999999993E-2</v>
      </c>
      <c r="K402">
        <f t="shared" si="12"/>
        <v>2.8530000000000001E-3</v>
      </c>
      <c r="L402">
        <f t="shared" si="12"/>
        <v>1.75E-3</v>
      </c>
    </row>
    <row r="403" spans="8:12" x14ac:dyDescent="0.3">
      <c r="H403">
        <v>402</v>
      </c>
      <c r="I403">
        <f t="shared" si="12"/>
        <v>6.8300000000000001E-4</v>
      </c>
      <c r="J403">
        <f t="shared" si="12"/>
        <v>8.6693999999999993E-2</v>
      </c>
      <c r="K403">
        <f t="shared" si="12"/>
        <v>2.8530000000000001E-3</v>
      </c>
      <c r="L403">
        <f t="shared" si="12"/>
        <v>1.75E-3</v>
      </c>
    </row>
    <row r="404" spans="8:12" x14ac:dyDescent="0.3">
      <c r="H404">
        <v>403</v>
      </c>
      <c r="I404">
        <f t="shared" si="12"/>
        <v>6.8300000000000001E-4</v>
      </c>
      <c r="J404">
        <f t="shared" si="12"/>
        <v>8.6693999999999993E-2</v>
      </c>
      <c r="K404">
        <f t="shared" si="12"/>
        <v>2.8530000000000001E-3</v>
      </c>
      <c r="L404">
        <f t="shared" si="12"/>
        <v>1.75E-3</v>
      </c>
    </row>
    <row r="405" spans="8:12" x14ac:dyDescent="0.3">
      <c r="H405">
        <v>404</v>
      </c>
      <c r="I405">
        <f t="shared" si="12"/>
        <v>6.8300000000000001E-4</v>
      </c>
      <c r="J405">
        <f t="shared" si="12"/>
        <v>8.6693999999999993E-2</v>
      </c>
      <c r="K405">
        <f t="shared" si="12"/>
        <v>2.8530000000000001E-3</v>
      </c>
      <c r="L405">
        <f t="shared" si="12"/>
        <v>1.75E-3</v>
      </c>
    </row>
    <row r="406" spans="8:12" x14ac:dyDescent="0.3">
      <c r="H406">
        <v>405</v>
      </c>
      <c r="I406">
        <f t="shared" si="12"/>
        <v>6.8300000000000001E-4</v>
      </c>
      <c r="J406">
        <f t="shared" si="12"/>
        <v>8.6693999999999993E-2</v>
      </c>
      <c r="K406">
        <f t="shared" si="12"/>
        <v>2.8530000000000001E-3</v>
      </c>
      <c r="L406">
        <f t="shared" si="12"/>
        <v>1.75E-3</v>
      </c>
    </row>
    <row r="407" spans="8:12" x14ac:dyDescent="0.3">
      <c r="H407">
        <v>406</v>
      </c>
      <c r="I407">
        <f t="shared" si="12"/>
        <v>6.8300000000000001E-4</v>
      </c>
      <c r="J407">
        <f t="shared" si="12"/>
        <v>8.6693999999999993E-2</v>
      </c>
      <c r="K407">
        <f t="shared" si="12"/>
        <v>2.8530000000000001E-3</v>
      </c>
      <c r="L407">
        <f t="shared" si="12"/>
        <v>1.75E-3</v>
      </c>
    </row>
    <row r="408" spans="8:12" x14ac:dyDescent="0.3">
      <c r="H408">
        <v>407</v>
      </c>
      <c r="I408">
        <f t="shared" si="12"/>
        <v>6.8300000000000001E-4</v>
      </c>
      <c r="J408">
        <f t="shared" si="12"/>
        <v>8.6693999999999993E-2</v>
      </c>
      <c r="K408">
        <f t="shared" si="12"/>
        <v>2.8530000000000001E-3</v>
      </c>
      <c r="L408">
        <f t="shared" si="12"/>
        <v>1.75E-3</v>
      </c>
    </row>
    <row r="409" spans="8:12" x14ac:dyDescent="0.3">
      <c r="H409">
        <v>408</v>
      </c>
      <c r="I409">
        <f t="shared" si="12"/>
        <v>6.8300000000000001E-4</v>
      </c>
      <c r="J409">
        <f t="shared" si="12"/>
        <v>8.6693999999999993E-2</v>
      </c>
      <c r="K409">
        <f t="shared" si="12"/>
        <v>2.8530000000000001E-3</v>
      </c>
      <c r="L409">
        <f t="shared" si="12"/>
        <v>1.75E-3</v>
      </c>
    </row>
    <row r="410" spans="8:12" x14ac:dyDescent="0.3">
      <c r="H410">
        <v>409</v>
      </c>
      <c r="I410">
        <f t="shared" si="12"/>
        <v>6.8300000000000001E-4</v>
      </c>
      <c r="J410">
        <f t="shared" si="12"/>
        <v>8.6693999999999993E-2</v>
      </c>
      <c r="K410">
        <f t="shared" si="12"/>
        <v>2.8530000000000001E-3</v>
      </c>
      <c r="L410">
        <f t="shared" si="12"/>
        <v>1.75E-3</v>
      </c>
    </row>
    <row r="411" spans="8:12" x14ac:dyDescent="0.3">
      <c r="H411">
        <v>410</v>
      </c>
      <c r="I411">
        <f t="shared" si="12"/>
        <v>6.8300000000000001E-4</v>
      </c>
      <c r="J411">
        <f t="shared" si="12"/>
        <v>8.6693999999999993E-2</v>
      </c>
      <c r="K411">
        <f t="shared" si="12"/>
        <v>2.8530000000000001E-3</v>
      </c>
      <c r="L411">
        <f t="shared" si="12"/>
        <v>1.75E-3</v>
      </c>
    </row>
    <row r="412" spans="8:12" x14ac:dyDescent="0.3">
      <c r="H412">
        <v>411</v>
      </c>
      <c r="I412">
        <f t="shared" si="12"/>
        <v>6.8300000000000001E-4</v>
      </c>
      <c r="J412">
        <f t="shared" si="12"/>
        <v>8.6693999999999993E-2</v>
      </c>
      <c r="K412">
        <f t="shared" si="12"/>
        <v>2.8530000000000001E-3</v>
      </c>
      <c r="L412">
        <f t="shared" si="12"/>
        <v>1.75E-3</v>
      </c>
    </row>
    <row r="413" spans="8:12" x14ac:dyDescent="0.3">
      <c r="H413">
        <v>412</v>
      </c>
      <c r="I413">
        <f t="shared" si="12"/>
        <v>6.8300000000000001E-4</v>
      </c>
      <c r="J413">
        <f t="shared" si="12"/>
        <v>8.6693999999999993E-2</v>
      </c>
      <c r="K413">
        <f t="shared" si="12"/>
        <v>2.8530000000000001E-3</v>
      </c>
      <c r="L413">
        <f t="shared" si="12"/>
        <v>1.75E-3</v>
      </c>
    </row>
    <row r="414" spans="8:12" x14ac:dyDescent="0.3">
      <c r="H414">
        <v>413</v>
      </c>
      <c r="I414">
        <f t="shared" si="12"/>
        <v>6.8300000000000001E-4</v>
      </c>
      <c r="J414">
        <f t="shared" si="12"/>
        <v>8.6693999999999993E-2</v>
      </c>
      <c r="K414">
        <f t="shared" si="12"/>
        <v>2.8530000000000001E-3</v>
      </c>
      <c r="L414">
        <f t="shared" si="12"/>
        <v>1.75E-3</v>
      </c>
    </row>
    <row r="415" spans="8:12" x14ac:dyDescent="0.3">
      <c r="H415">
        <v>414</v>
      </c>
      <c r="I415">
        <f t="shared" si="12"/>
        <v>6.8300000000000001E-4</v>
      </c>
      <c r="J415">
        <f t="shared" si="12"/>
        <v>8.6693999999999993E-2</v>
      </c>
      <c r="K415">
        <f t="shared" si="12"/>
        <v>2.8530000000000001E-3</v>
      </c>
      <c r="L415">
        <f t="shared" si="12"/>
        <v>1.75E-3</v>
      </c>
    </row>
    <row r="416" spans="8:12" x14ac:dyDescent="0.3">
      <c r="H416">
        <v>415</v>
      </c>
      <c r="I416">
        <f t="shared" si="12"/>
        <v>6.8300000000000001E-4</v>
      </c>
      <c r="J416">
        <f t="shared" si="12"/>
        <v>8.6693999999999993E-2</v>
      </c>
      <c r="K416">
        <f t="shared" si="12"/>
        <v>2.8530000000000001E-3</v>
      </c>
      <c r="L416">
        <f t="shared" si="12"/>
        <v>1.75E-3</v>
      </c>
    </row>
    <row r="417" spans="8:12" x14ac:dyDescent="0.3">
      <c r="H417">
        <v>416</v>
      </c>
      <c r="I417">
        <f t="shared" si="12"/>
        <v>6.8300000000000001E-4</v>
      </c>
      <c r="J417">
        <f t="shared" si="12"/>
        <v>8.6693999999999993E-2</v>
      </c>
      <c r="K417">
        <f t="shared" si="12"/>
        <v>2.8530000000000001E-3</v>
      </c>
      <c r="L417">
        <f t="shared" si="12"/>
        <v>1.75E-3</v>
      </c>
    </row>
    <row r="418" spans="8:12" x14ac:dyDescent="0.3">
      <c r="H418">
        <v>417</v>
      </c>
      <c r="I418">
        <f t="shared" si="12"/>
        <v>6.8300000000000001E-4</v>
      </c>
      <c r="J418">
        <f t="shared" si="12"/>
        <v>8.6693999999999993E-2</v>
      </c>
      <c r="K418">
        <f t="shared" si="12"/>
        <v>2.8530000000000001E-3</v>
      </c>
      <c r="L418">
        <f t="shared" si="12"/>
        <v>1.75E-3</v>
      </c>
    </row>
    <row r="419" spans="8:12" x14ac:dyDescent="0.3">
      <c r="H419">
        <v>418</v>
      </c>
      <c r="I419">
        <f t="shared" si="12"/>
        <v>6.8300000000000001E-4</v>
      </c>
      <c r="J419">
        <f t="shared" si="12"/>
        <v>8.6693999999999993E-2</v>
      </c>
      <c r="K419">
        <f t="shared" si="12"/>
        <v>2.8530000000000001E-3</v>
      </c>
      <c r="L419">
        <f t="shared" si="12"/>
        <v>1.75E-3</v>
      </c>
    </row>
    <row r="420" spans="8:12" x14ac:dyDescent="0.3">
      <c r="H420">
        <v>419</v>
      </c>
      <c r="I420">
        <f t="shared" si="12"/>
        <v>6.8300000000000001E-4</v>
      </c>
      <c r="J420">
        <f t="shared" si="12"/>
        <v>8.6693999999999993E-2</v>
      </c>
      <c r="K420">
        <f t="shared" si="12"/>
        <v>2.8530000000000001E-3</v>
      </c>
      <c r="L420">
        <f t="shared" si="12"/>
        <v>1.75E-3</v>
      </c>
    </row>
    <row r="421" spans="8:12" x14ac:dyDescent="0.3">
      <c r="H421">
        <v>420</v>
      </c>
      <c r="I421">
        <f t="shared" si="12"/>
        <v>6.8300000000000001E-4</v>
      </c>
      <c r="J421">
        <f t="shared" si="12"/>
        <v>8.6693999999999993E-2</v>
      </c>
      <c r="K421">
        <f t="shared" si="12"/>
        <v>2.8530000000000001E-3</v>
      </c>
      <c r="L421">
        <f t="shared" si="12"/>
        <v>1.75E-3</v>
      </c>
    </row>
    <row r="422" spans="8:12" x14ac:dyDescent="0.3">
      <c r="H422">
        <v>421</v>
      </c>
      <c r="I422">
        <f t="shared" si="12"/>
        <v>6.8300000000000001E-4</v>
      </c>
      <c r="J422">
        <f t="shared" si="12"/>
        <v>8.6693999999999993E-2</v>
      </c>
      <c r="K422">
        <f t="shared" si="12"/>
        <v>2.8530000000000001E-3</v>
      </c>
      <c r="L422">
        <f t="shared" si="12"/>
        <v>1.75E-3</v>
      </c>
    </row>
    <row r="423" spans="8:12" x14ac:dyDescent="0.3">
      <c r="H423">
        <v>422</v>
      </c>
      <c r="I423">
        <f t="shared" si="12"/>
        <v>6.8300000000000001E-4</v>
      </c>
      <c r="J423">
        <f t="shared" si="12"/>
        <v>8.6693999999999993E-2</v>
      </c>
      <c r="K423">
        <f t="shared" si="12"/>
        <v>2.8530000000000001E-3</v>
      </c>
      <c r="L423">
        <f t="shared" si="12"/>
        <v>1.75E-3</v>
      </c>
    </row>
    <row r="424" spans="8:12" x14ac:dyDescent="0.3">
      <c r="H424">
        <v>423</v>
      </c>
      <c r="I424">
        <f t="shared" si="12"/>
        <v>6.8300000000000001E-4</v>
      </c>
      <c r="J424">
        <f t="shared" si="12"/>
        <v>8.6693999999999993E-2</v>
      </c>
      <c r="K424">
        <f t="shared" si="12"/>
        <v>2.8530000000000001E-3</v>
      </c>
      <c r="L424">
        <f t="shared" si="12"/>
        <v>1.75E-3</v>
      </c>
    </row>
    <row r="425" spans="8:12" x14ac:dyDescent="0.3">
      <c r="H425">
        <v>424</v>
      </c>
      <c r="I425">
        <f t="shared" si="12"/>
        <v>6.8300000000000001E-4</v>
      </c>
      <c r="J425">
        <f t="shared" si="12"/>
        <v>8.6693999999999993E-2</v>
      </c>
      <c r="K425">
        <f t="shared" si="12"/>
        <v>2.8530000000000001E-3</v>
      </c>
      <c r="L425">
        <f t="shared" si="12"/>
        <v>1.75E-3</v>
      </c>
    </row>
    <row r="426" spans="8:12" x14ac:dyDescent="0.3">
      <c r="H426">
        <v>425</v>
      </c>
      <c r="I426">
        <f t="shared" si="12"/>
        <v>6.8300000000000001E-4</v>
      </c>
      <c r="J426">
        <f t="shared" si="12"/>
        <v>8.6693999999999993E-2</v>
      </c>
      <c r="K426">
        <f t="shared" si="12"/>
        <v>2.8530000000000001E-3</v>
      </c>
      <c r="L426">
        <f t="shared" si="12"/>
        <v>1.75E-3</v>
      </c>
    </row>
    <row r="427" spans="8:12" x14ac:dyDescent="0.3">
      <c r="H427">
        <v>426</v>
      </c>
      <c r="I427">
        <f t="shared" si="12"/>
        <v>6.8300000000000001E-4</v>
      </c>
      <c r="J427">
        <f t="shared" si="12"/>
        <v>8.6693999999999993E-2</v>
      </c>
      <c r="K427">
        <f t="shared" si="12"/>
        <v>2.8530000000000001E-3</v>
      </c>
      <c r="L427">
        <f t="shared" si="12"/>
        <v>1.75E-3</v>
      </c>
    </row>
    <row r="428" spans="8:12" x14ac:dyDescent="0.3">
      <c r="H428">
        <v>427</v>
      </c>
      <c r="I428">
        <f t="shared" si="12"/>
        <v>6.8300000000000001E-4</v>
      </c>
      <c r="J428">
        <f t="shared" si="12"/>
        <v>8.6693999999999993E-2</v>
      </c>
      <c r="K428">
        <f t="shared" si="12"/>
        <v>2.8530000000000001E-3</v>
      </c>
      <c r="L428">
        <f t="shared" si="12"/>
        <v>1.75E-3</v>
      </c>
    </row>
    <row r="429" spans="8:12" x14ac:dyDescent="0.3">
      <c r="H429">
        <v>428</v>
      </c>
      <c r="I429">
        <f t="shared" si="12"/>
        <v>6.8300000000000001E-4</v>
      </c>
      <c r="J429">
        <f t="shared" si="12"/>
        <v>8.6693999999999993E-2</v>
      </c>
      <c r="K429">
        <f t="shared" si="12"/>
        <v>2.8530000000000001E-3</v>
      </c>
      <c r="L429">
        <f t="shared" si="12"/>
        <v>1.75E-3</v>
      </c>
    </row>
    <row r="430" spans="8:12" x14ac:dyDescent="0.3">
      <c r="H430">
        <v>429</v>
      </c>
      <c r="I430">
        <f t="shared" si="12"/>
        <v>6.8300000000000001E-4</v>
      </c>
      <c r="J430">
        <f t="shared" si="12"/>
        <v>8.6693999999999993E-2</v>
      </c>
      <c r="K430">
        <f t="shared" si="12"/>
        <v>2.8530000000000001E-3</v>
      </c>
      <c r="L430">
        <f t="shared" si="12"/>
        <v>1.75E-3</v>
      </c>
    </row>
    <row r="431" spans="8:12" x14ac:dyDescent="0.3">
      <c r="H431">
        <v>430</v>
      </c>
      <c r="I431">
        <f t="shared" si="12"/>
        <v>6.8300000000000001E-4</v>
      </c>
      <c r="J431">
        <f t="shared" si="12"/>
        <v>8.6693999999999993E-2</v>
      </c>
      <c r="K431">
        <f t="shared" si="12"/>
        <v>2.8530000000000001E-3</v>
      </c>
      <c r="L431">
        <f t="shared" si="12"/>
        <v>1.75E-3</v>
      </c>
    </row>
    <row r="432" spans="8:12" x14ac:dyDescent="0.3">
      <c r="H432">
        <v>431</v>
      </c>
      <c r="I432">
        <f t="shared" si="12"/>
        <v>6.8300000000000001E-4</v>
      </c>
      <c r="J432">
        <f t="shared" si="12"/>
        <v>8.6693999999999993E-2</v>
      </c>
      <c r="K432">
        <f t="shared" si="12"/>
        <v>2.8530000000000001E-3</v>
      </c>
      <c r="L432">
        <f t="shared" si="12"/>
        <v>1.75E-3</v>
      </c>
    </row>
    <row r="433" spans="8:12" x14ac:dyDescent="0.3">
      <c r="H433">
        <v>432</v>
      </c>
      <c r="I433">
        <f t="shared" si="12"/>
        <v>6.8300000000000001E-4</v>
      </c>
      <c r="J433">
        <f t="shared" si="12"/>
        <v>8.6693999999999993E-2</v>
      </c>
      <c r="K433">
        <f t="shared" si="12"/>
        <v>2.8530000000000001E-3</v>
      </c>
      <c r="L433">
        <f t="shared" ref="I433:L451" si="13">L$61</f>
        <v>1.75E-3</v>
      </c>
    </row>
    <row r="434" spans="8:12" x14ac:dyDescent="0.3">
      <c r="H434">
        <v>433</v>
      </c>
      <c r="I434">
        <f t="shared" si="13"/>
        <v>6.8300000000000001E-4</v>
      </c>
      <c r="J434">
        <f t="shared" si="13"/>
        <v>8.6693999999999993E-2</v>
      </c>
      <c r="K434">
        <f t="shared" si="13"/>
        <v>2.8530000000000001E-3</v>
      </c>
      <c r="L434">
        <f t="shared" si="13"/>
        <v>1.75E-3</v>
      </c>
    </row>
    <row r="435" spans="8:12" x14ac:dyDescent="0.3">
      <c r="H435">
        <v>434</v>
      </c>
      <c r="I435">
        <f t="shared" si="13"/>
        <v>6.8300000000000001E-4</v>
      </c>
      <c r="J435">
        <f t="shared" si="13"/>
        <v>8.6693999999999993E-2</v>
      </c>
      <c r="K435">
        <f t="shared" si="13"/>
        <v>2.8530000000000001E-3</v>
      </c>
      <c r="L435">
        <f t="shared" si="13"/>
        <v>1.75E-3</v>
      </c>
    </row>
    <row r="436" spans="8:12" x14ac:dyDescent="0.3">
      <c r="H436">
        <v>435</v>
      </c>
      <c r="I436">
        <f t="shared" si="13"/>
        <v>6.8300000000000001E-4</v>
      </c>
      <c r="J436">
        <f t="shared" si="13"/>
        <v>8.6693999999999993E-2</v>
      </c>
      <c r="K436">
        <f t="shared" si="13"/>
        <v>2.8530000000000001E-3</v>
      </c>
      <c r="L436">
        <f t="shared" si="13"/>
        <v>1.75E-3</v>
      </c>
    </row>
    <row r="437" spans="8:12" x14ac:dyDescent="0.3">
      <c r="H437">
        <v>436</v>
      </c>
      <c r="I437">
        <f t="shared" si="13"/>
        <v>6.8300000000000001E-4</v>
      </c>
      <c r="J437">
        <f t="shared" si="13"/>
        <v>8.6693999999999993E-2</v>
      </c>
      <c r="K437">
        <f t="shared" si="13"/>
        <v>2.8530000000000001E-3</v>
      </c>
      <c r="L437">
        <f t="shared" si="13"/>
        <v>1.75E-3</v>
      </c>
    </row>
    <row r="438" spans="8:12" x14ac:dyDescent="0.3">
      <c r="H438">
        <v>437</v>
      </c>
      <c r="I438">
        <f t="shared" si="13"/>
        <v>6.8300000000000001E-4</v>
      </c>
      <c r="J438">
        <f t="shared" si="13"/>
        <v>8.6693999999999993E-2</v>
      </c>
      <c r="K438">
        <f t="shared" si="13"/>
        <v>2.8530000000000001E-3</v>
      </c>
      <c r="L438">
        <f t="shared" si="13"/>
        <v>1.75E-3</v>
      </c>
    </row>
    <row r="439" spans="8:12" x14ac:dyDescent="0.3">
      <c r="H439">
        <v>438</v>
      </c>
      <c r="I439">
        <f t="shared" si="13"/>
        <v>6.8300000000000001E-4</v>
      </c>
      <c r="J439">
        <f t="shared" si="13"/>
        <v>8.6693999999999993E-2</v>
      </c>
      <c r="K439">
        <f t="shared" si="13"/>
        <v>2.8530000000000001E-3</v>
      </c>
      <c r="L439">
        <f t="shared" si="13"/>
        <v>1.75E-3</v>
      </c>
    </row>
    <row r="440" spans="8:12" x14ac:dyDescent="0.3">
      <c r="H440">
        <v>439</v>
      </c>
      <c r="I440">
        <f t="shared" si="13"/>
        <v>6.8300000000000001E-4</v>
      </c>
      <c r="J440">
        <f t="shared" si="13"/>
        <v>8.6693999999999993E-2</v>
      </c>
      <c r="K440">
        <f t="shared" si="13"/>
        <v>2.8530000000000001E-3</v>
      </c>
      <c r="L440">
        <f t="shared" si="13"/>
        <v>1.75E-3</v>
      </c>
    </row>
    <row r="441" spans="8:12" x14ac:dyDescent="0.3">
      <c r="H441">
        <v>440</v>
      </c>
      <c r="I441">
        <f t="shared" si="13"/>
        <v>6.8300000000000001E-4</v>
      </c>
      <c r="J441">
        <f t="shared" si="13"/>
        <v>8.6693999999999993E-2</v>
      </c>
      <c r="K441">
        <f t="shared" si="13"/>
        <v>2.8530000000000001E-3</v>
      </c>
      <c r="L441">
        <f t="shared" si="13"/>
        <v>1.75E-3</v>
      </c>
    </row>
    <row r="442" spans="8:12" x14ac:dyDescent="0.3">
      <c r="H442">
        <v>441</v>
      </c>
      <c r="I442">
        <f t="shared" si="13"/>
        <v>6.8300000000000001E-4</v>
      </c>
      <c r="J442">
        <f t="shared" si="13"/>
        <v>8.6693999999999993E-2</v>
      </c>
      <c r="K442">
        <f t="shared" si="13"/>
        <v>2.8530000000000001E-3</v>
      </c>
      <c r="L442">
        <f t="shared" si="13"/>
        <v>1.75E-3</v>
      </c>
    </row>
    <row r="443" spans="8:12" x14ac:dyDescent="0.3">
      <c r="H443">
        <v>442</v>
      </c>
      <c r="I443">
        <f t="shared" si="13"/>
        <v>6.8300000000000001E-4</v>
      </c>
      <c r="J443">
        <f t="shared" si="13"/>
        <v>8.6693999999999993E-2</v>
      </c>
      <c r="K443">
        <f t="shared" si="13"/>
        <v>2.8530000000000001E-3</v>
      </c>
      <c r="L443">
        <f t="shared" si="13"/>
        <v>1.75E-3</v>
      </c>
    </row>
    <row r="444" spans="8:12" x14ac:dyDescent="0.3">
      <c r="H444">
        <v>443</v>
      </c>
      <c r="I444">
        <f t="shared" si="13"/>
        <v>6.8300000000000001E-4</v>
      </c>
      <c r="J444">
        <f t="shared" si="13"/>
        <v>8.6693999999999993E-2</v>
      </c>
      <c r="K444">
        <f t="shared" si="13"/>
        <v>2.8530000000000001E-3</v>
      </c>
      <c r="L444">
        <f t="shared" si="13"/>
        <v>1.75E-3</v>
      </c>
    </row>
    <row r="445" spans="8:12" x14ac:dyDescent="0.3">
      <c r="H445">
        <v>444</v>
      </c>
      <c r="I445">
        <f t="shared" si="13"/>
        <v>6.8300000000000001E-4</v>
      </c>
      <c r="J445">
        <f t="shared" si="13"/>
        <v>8.6693999999999993E-2</v>
      </c>
      <c r="K445">
        <f t="shared" si="13"/>
        <v>2.8530000000000001E-3</v>
      </c>
      <c r="L445">
        <f t="shared" si="13"/>
        <v>1.75E-3</v>
      </c>
    </row>
    <row r="446" spans="8:12" x14ac:dyDescent="0.3">
      <c r="H446">
        <v>445</v>
      </c>
      <c r="I446">
        <f t="shared" si="13"/>
        <v>6.8300000000000001E-4</v>
      </c>
      <c r="J446">
        <f t="shared" si="13"/>
        <v>8.6693999999999993E-2</v>
      </c>
      <c r="K446">
        <f t="shared" si="13"/>
        <v>2.8530000000000001E-3</v>
      </c>
      <c r="L446">
        <f t="shared" si="13"/>
        <v>1.75E-3</v>
      </c>
    </row>
    <row r="447" spans="8:12" x14ac:dyDescent="0.3">
      <c r="H447">
        <v>446</v>
      </c>
      <c r="I447">
        <f t="shared" si="13"/>
        <v>6.8300000000000001E-4</v>
      </c>
      <c r="J447">
        <f t="shared" si="13"/>
        <v>8.6693999999999993E-2</v>
      </c>
      <c r="K447">
        <f t="shared" si="13"/>
        <v>2.8530000000000001E-3</v>
      </c>
      <c r="L447">
        <f t="shared" si="13"/>
        <v>1.75E-3</v>
      </c>
    </row>
    <row r="448" spans="8:12" x14ac:dyDescent="0.3">
      <c r="H448">
        <v>447</v>
      </c>
      <c r="I448">
        <f t="shared" si="13"/>
        <v>6.8300000000000001E-4</v>
      </c>
      <c r="J448">
        <f t="shared" si="13"/>
        <v>8.6693999999999993E-2</v>
      </c>
      <c r="K448">
        <f t="shared" si="13"/>
        <v>2.8530000000000001E-3</v>
      </c>
      <c r="L448">
        <f t="shared" si="13"/>
        <v>1.75E-3</v>
      </c>
    </row>
    <row r="449" spans="8:12" x14ac:dyDescent="0.3">
      <c r="H449">
        <v>448</v>
      </c>
      <c r="I449">
        <f t="shared" si="13"/>
        <v>6.8300000000000001E-4</v>
      </c>
      <c r="J449">
        <f t="shared" si="13"/>
        <v>8.6693999999999993E-2</v>
      </c>
      <c r="K449">
        <f t="shared" si="13"/>
        <v>2.8530000000000001E-3</v>
      </c>
      <c r="L449">
        <f t="shared" si="13"/>
        <v>1.75E-3</v>
      </c>
    </row>
    <row r="450" spans="8:12" x14ac:dyDescent="0.3">
      <c r="H450">
        <v>449</v>
      </c>
      <c r="I450">
        <f t="shared" si="13"/>
        <v>6.8300000000000001E-4</v>
      </c>
      <c r="J450">
        <f t="shared" si="13"/>
        <v>8.6693999999999993E-2</v>
      </c>
      <c r="K450">
        <f t="shared" si="13"/>
        <v>2.8530000000000001E-3</v>
      </c>
      <c r="L450">
        <f t="shared" si="13"/>
        <v>1.75E-3</v>
      </c>
    </row>
    <row r="451" spans="8:12" x14ac:dyDescent="0.3">
      <c r="H451">
        <v>450</v>
      </c>
      <c r="I451">
        <f t="shared" si="13"/>
        <v>6.8300000000000001E-4</v>
      </c>
      <c r="J451">
        <f t="shared" si="13"/>
        <v>8.6693999999999993E-2</v>
      </c>
      <c r="K451">
        <f t="shared" si="13"/>
        <v>2.8530000000000001E-3</v>
      </c>
      <c r="L451">
        <f t="shared" si="13"/>
        <v>1.75E-3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fitToPage="1"/>
  </sheetPr>
  <dimension ref="B2:T385"/>
  <sheetViews>
    <sheetView showFormulas="1" zoomScale="120" zoomScaleNormal="120" workbookViewId="0">
      <selection activeCell="M11" sqref="M11"/>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SUM(Table1[Present Value])</f>
        <v>8615666.1763791889</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51561.573620811105</v>
      </c>
    </row>
    <row r="5" spans="2:20" ht="12" x14ac:dyDescent="0.25">
      <c r="B5" s="7" t="s">
        <v>19</v>
      </c>
      <c r="C5" s="14">
        <v>7.0499999999999993E-2</v>
      </c>
      <c r="D5" s="6"/>
      <c r="H5" s="7" t="s">
        <v>20</v>
      </c>
      <c r="I5" s="8" t="s">
        <v>21</v>
      </c>
      <c r="J5" s="9">
        <v>0</v>
      </c>
      <c r="K5" s="10"/>
      <c r="L5" s="7" t="s">
        <v>22</v>
      </c>
      <c r="M5" s="9">
        <f ca="1">M4/C2</f>
        <v>5.9350129653470141E-3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-768.2163791888961</v>
      </c>
      <c r="O8" s="21"/>
    </row>
    <row r="9" spans="2:20" ht="12" x14ac:dyDescent="0.25">
      <c r="B9" s="7" t="s">
        <v>36</v>
      </c>
      <c r="C9" s="31" t="s">
        <v>31</v>
      </c>
      <c r="D9" s="7" t="s">
        <v>37</v>
      </c>
      <c r="E9" s="51">
        <v>12</v>
      </c>
      <c r="F9" s="8"/>
      <c r="G9" s="8"/>
      <c r="L9" s="7" t="s">
        <v>38</v>
      </c>
      <c r="M9" s="41">
        <f ca="1">M8/M4</f>
        <v>-1.4899009577140432E-2</v>
      </c>
      <c r="O9" s="21"/>
    </row>
    <row r="10" spans="2:20" ht="12" x14ac:dyDescent="0.25">
      <c r="B10" s="7" t="s">
        <v>39</v>
      </c>
      <c r="C10" s="31" t="s">
        <v>40</v>
      </c>
      <c r="D10" s="7" t="s">
        <v>41</v>
      </c>
      <c r="E10" s="52">
        <v>122</v>
      </c>
      <c r="G10" s="56">
        <f>PMT(InterestRate*(AmortizationMultiplier/12),F19,-D19)</f>
        <v>58721.274824090702</v>
      </c>
      <c r="H10" s="57"/>
      <c r="J10" s="37"/>
      <c r="K10" s="19"/>
      <c r="L10" s="8"/>
      <c r="M10" s="8"/>
      <c r="O10" s="21"/>
      <c r="Q10" s="3"/>
    </row>
    <row r="11" spans="2:20" ht="13.8" x14ac:dyDescent="0.3">
      <c r="B11" s="7" t="s">
        <v>42</v>
      </c>
      <c r="C11" s="31" t="s">
        <v>40</v>
      </c>
      <c r="D11" s="7" t="s">
        <v>43</v>
      </c>
      <c r="E11" s="47">
        <v>772400484</v>
      </c>
      <c r="F11" s="22"/>
      <c r="G11" s="32">
        <f>G17-E17</f>
        <v>6386.7900000000009</v>
      </c>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ROUND(Table1[[#This Row],[Beginning Balance]]*Table1[[#This Row],[Monthly Interest Rate]],2)</f>
        <v>52741.54</v>
      </c>
      <c r="F17" s="4">
        <f>+C14</f>
        <v>351</v>
      </c>
      <c r="G17" s="4">
        <f>IFERROR(IF($C$13="No","N/A",IF(Table1[[#This Row],[Period]]=1,$C$6,PMT(InterestRate*AmortizationMultiplier/12,Table1[[#This Row],[Am Thru]],-Table1[[#This Row],[Beginning Balance]]))),0)</f>
        <v>59128.33</v>
      </c>
      <c r="H17" s="55">
        <f>MAX(0,IF(C17=$C$4,D17,ROUND(IF($C$3="Fixed Principal",$C$6-Table1[[#This Row],[Interest]],IF($C$3="Interest Only",Table1[[#This Row],[Beginning Balance]]*ROUND(1-(1-IF($C$11="No",$E$8,1))^(1/12),6),MIN(IF($C$13="Yes",Table1[[#This Row],[Payment Amount (Reamortized)]],$C$6)-Table1[[#This Row],[Interest]],Table1[[#This Row],[Beginning Balance]]))),2)))</f>
        <v>6386.79</v>
      </c>
      <c r="I17" s="4">
        <f>IF($C$3="Interest Only",0,ROUND(MAX(MIN(IF($C$10="No",$E$7,VLOOKUP(Table1[[#This Row],[Period]],Forecast!$H$2:$L$1048576,4,FALSE))*Table1[[#This Row],[Beginning Balance]],Table1[[#This Row],[Beginning Balance]]-Table1[[#This Row],[Principal]]),0),2))</f>
        <v>24785.99</v>
      </c>
      <c r="J17" s="4">
        <f>ROUND(MIN(Table1[[#This Row],[Beginning Balance]]*IF($C$8="No",$E$3,VLOOKUP(Table1[[#This Row],[Period]],Forecast!$H$2:$L$1048576,2,FALSE)),Table1[[#This Row],[Beginning Balance]]-Table1[[#This Row],[Principal]]-Table1[[#This Row],[Prepayments]]),2)</f>
        <v>3952.9</v>
      </c>
      <c r="K17" s="4">
        <f>ROUND(Table1[[#This Row],[Defaulted Principal]]*IF($C$9="No",$E$4,VLOOKUP(Table1[[#This Row],[Period]],Forecast!$H$2:$L$1048576,3,FALSE)),2)</f>
        <v>308.39</v>
      </c>
      <c r="L17" s="2">
        <f>Table1[[#This Row],[Period]]+$E$9</f>
        <v>13</v>
      </c>
      <c r="M17" s="4">
        <f>Table1[[#This Row],[Defaulted Principal]]-Table1[[#This Row],[Estimated Loss]]</f>
        <v>3644.51</v>
      </c>
      <c r="N17" s="3">
        <f>IFERROR(VLOOKUP(Table1[[#This Row],[Period]],$L$16:$M$28,2,FALSE),0)</f>
        <v>0</v>
      </c>
      <c r="O17" s="3">
        <f>Table1[[#This Row],[Beginning Balance]]-Table1[[#This Row],[Principal]]-Table1[[#This Row],[Prepayments]]-Table1[[#This Row],[Defaulted Principal]]</f>
        <v>8652567.8300000001</v>
      </c>
      <c r="P17" s="3">
        <f>Table1[[#This Row],[Principal]]+Table1[[#This Row],[Interest]]+Table1[[#This Row],[Prepayments]]+Table1[[#This Row],[RecoveredAmount]]</f>
        <v>83914.32</v>
      </c>
      <c r="Q17" s="3">
        <f ca="1">Table1[[#This Row],[Cash Flow]]/((1+ActualRateToUse)^(IF(ISNUMBER(SEARCH("Actual",$C$7)),Table1[[#This Row],[Running Total]]/365,Table1[[#This Row],[Period]]/12)))</f>
        <v>83405.00746347777</v>
      </c>
      <c r="R17" s="2">
        <f>IF(MONTH(Table1[[#This Row],[Date]])=2,28,DAY(DATE(YEAR(Table1[[#This Row],[Date]]),MONTH(Table1[[#This Row],[Date]])+1,1)-1))</f>
        <v>31</v>
      </c>
      <c r="S17" s="2">
        <f ca="1">SUM(OFFSET(Table1[[#Headers],[Days in month]],1,0):Table1[[#This Row],[Days in month]])</f>
        <v>31</v>
      </c>
      <c r="T17" s="37">
        <f>InterestRate*AmortizationMultiplier*IF(ISNUMBER(SEARCH("Actual",$C$7)),Table1[[#This Row],[Days in month]]/365,1/12)</f>
        <v>6.0708333333333326E-3</v>
      </c>
    </row>
    <row r="18" spans="2:20" x14ac:dyDescent="0.2">
      <c r="B18" s="1">
        <v>45900</v>
      </c>
      <c r="C18" s="2">
        <f>C17+1</f>
        <v>2</v>
      </c>
      <c r="D18" s="3">
        <f t="shared" ref="D18:D28" si="0">O17</f>
        <v>8652567.8300000001</v>
      </c>
      <c r="E18" s="4">
        <f>ROUND(Table1[[#This Row],[Beginning Balance]]*Table1[[#This Row],[Monthly Interest Rate]],2)</f>
        <v>52528.3</v>
      </c>
      <c r="F18" s="4">
        <f>+F17-1</f>
        <v>350</v>
      </c>
      <c r="G18" s="4">
        <f>IFERROR(IF($C$13="No","N/A",IF(Table1[[#This Row],[Period]]=1,$C$6,PMT(InterestRate*AmortizationMultiplier/12,Table1[[#This Row],[Am Thru]],-Table1[[#This Row],[Beginning Balance]]))),0)</f>
        <v>58909.578523272678</v>
      </c>
      <c r="H18" s="4">
        <f>MAX(0,IF(C18=$C$4,D18,ROUND(IF($C$3="Fixed Principal",$C$6-Table1[[#This Row],[Interest]],IF($C$3="Interest Only",Table1[[#This Row],[Beginning Balance]]*ROUND(1-(1-IF($C$11="No",$E$8,1))^(1/12),6),MIN(IF($C$13="Yes",Table1[[#This Row],[Payment Amount (Reamortized)]],$C$6)-Table1[[#This Row],[Interest]],Table1[[#This Row],[Beginning Balance]]))),2)))</f>
        <v>6381.28</v>
      </c>
      <c r="I18" s="4">
        <f>_xlfn.SINGLE(IF($C$3="Line of Credit",0,ROUND(MAX(MIN(IF($C$10="No",$E$7,VLOOKUP(Table1[[#This Row],[Period]],Forecast!$H$2:$L$1048576,4,FALSE))*Table1[[#This Row],[Beginning Balance]],Table1[[#This Row],[Beginning Balance]]-Table1[[#This Row],[Principal]]),0),2)))</f>
        <v>24685.78</v>
      </c>
      <c r="J18" s="4">
        <f>ROUND(MIN(Table1[[#This Row],[Beginning Balance]]*IF($C$8="No",$E$3,VLOOKUP(Table1[[#This Row],[Period]],Forecast!$H$2:$L$1048576,2,FALSE)),Table1[[#This Row],[Beginning Balance]]-Table1[[#This Row],[Principal]]-Table1[[#This Row],[Prepayments]]),2)</f>
        <v>3936.92</v>
      </c>
      <c r="K18" s="4">
        <f>ROUND(Table1[[#This Row],[Defaulted Principal]]*IF($C$9="No",$E$4,VLOOKUP(Table1[[#This Row],[Period]],Forecast!$H$2:$L$1048576,3,FALSE)),2)</f>
        <v>307.14</v>
      </c>
      <c r="L18" s="2">
        <f>Table1[[#This Row],[Period]]+$E$9</f>
        <v>14</v>
      </c>
      <c r="M18" s="4">
        <f>Table1[[#This Row],[Defaulted Principal]]-Table1[[#This Row],[Estimated Loss]]</f>
        <v>3629.78</v>
      </c>
      <c r="N18" s="3">
        <f>IFERROR(VLOOKUP(Table1[[#This Row],[Period]],$L$16:$M$385,2,FALSE),0)</f>
        <v>0</v>
      </c>
      <c r="O18" s="4">
        <f>Table1[[#This Row],[Beginning Balance]]-Table1[[#This Row],[Principal]]-Table1[[#This Row],[Prepayments]]-Table1[[#This Row],[Defaulted Principal]]</f>
        <v>8617563.8500000015</v>
      </c>
      <c r="P18" s="3">
        <f>Table1[[#This Row],[Principal]]+Table1[[#This Row],[Interest]]+Table1[[#This Row],[Prepayments]]+Table1[[#This Row],[RecoveredAmount]]</f>
        <v>83595.360000000001</v>
      </c>
      <c r="Q18" s="3">
        <f ca="1">Table1[[#This Row],[Cash Flow]]/((1+ActualRateToUse)^(IF(ISNUMBER(SEARCH("Actual",$C$7)),Table1[[#This Row],[Running Total]]/365,Table1[[#This Row],[Period]]/12)))</f>
        <v>82583.686230754553</v>
      </c>
      <c r="R18" s="2">
        <f>IF(MONTH(Table1[[#This Row],[Date]])=2,28,DAY(DATE(YEAR(Table1[[#This Row],[Date]]),MONTH(Table1[[#This Row],[Date]])+1,1)-1))</f>
        <v>31</v>
      </c>
      <c r="S18" s="2">
        <f ca="1">SUM(OFFSET(Table1[[#Headers],[Days in month]],1,0):Table1[[#This Row],[Days in month]])</f>
        <v>62</v>
      </c>
      <c r="T18" s="37">
        <f>InterestRate*AmortizationMultiplier*IF(ISNUMBER(SEARCH("Actual",$C$7)),Table1[[#This Row],[Days in month]]/365,1/12)</f>
        <v>6.0708333333333326E-3</v>
      </c>
    </row>
    <row r="19" spans="2:20" x14ac:dyDescent="0.2">
      <c r="B19" s="1">
        <v>45930</v>
      </c>
      <c r="C19" s="2">
        <f t="shared" ref="C19:C82" si="1">C18+1</f>
        <v>3</v>
      </c>
      <c r="D19" s="3">
        <f t="shared" si="0"/>
        <v>8617563.8500000015</v>
      </c>
      <c r="E19" s="4">
        <f>ROUND(Table1[[#This Row],[Beginning Balance]]*Table1[[#This Row],[Monthly Interest Rate]],2)</f>
        <v>50628.19</v>
      </c>
      <c r="F19" s="4">
        <f t="shared" ref="F19:F82" si="2">+F18-1</f>
        <v>349</v>
      </c>
      <c r="G19" s="50">
        <f>IFERROR(IF($C$13="No","N/A",IF(Table1[[#This Row],[Period]]=1,$C$6,PMT(InterestRate*AmortizationMultiplier/12,Table1[[#This Row],[Am Thru]],-Table1[[#This Row],[Beginning Balance]]))),0)</f>
        <v>58721.274824090702</v>
      </c>
      <c r="H19" s="4">
        <f>MAX(0,IF(C19=$C$4,D19,ROUND(IF($C$3="Fixed Principal",$C$6-Table1[[#This Row],[Interest]],IF($C$3="Interest Only",Table1[[#This Row],[Beginning Balance]]*ROUND(1-(1-IF($C$11="No",$E$8,1))^(1/12),6),MIN(IF($C$13="Yes",Table1[[#This Row],[Payment Amount (Reamortized)]],$C$6)-Table1[[#This Row],[Interest]],Table1[[#This Row],[Beginning Balance]]))),2)))</f>
        <v>8093.08</v>
      </c>
      <c r="I19" s="4">
        <f>_xlfn.SINGLE(IF($C$3="Line of Credit",0,ROUND(MAX(MIN(IF($C$10="No",$E$7,VLOOKUP(Table1[[#This Row],[Period]],Forecast!$H$2:$L$1048576,4,FALSE))*Table1[[#This Row],[Beginning Balance]],Table1[[#This Row],[Beginning Balance]]-Table1[[#This Row],[Principal]]),0),2)))</f>
        <v>24585.91</v>
      </c>
      <c r="J19" s="4">
        <f>ROUND(MIN(Table1[[#This Row],[Beginning Balance]]*IF($C$8="No",$E$3,VLOOKUP(Table1[[#This Row],[Period]],Forecast!$H$2:$L$1048576,2,FALSE)),Table1[[#This Row],[Beginning Balance]]-Table1[[#This Row],[Principal]]-Table1[[#This Row],[Prepayments]]),2)</f>
        <v>3920.99</v>
      </c>
      <c r="K19" s="4">
        <f>ROUND(Table1[[#This Row],[Defaulted Principal]]*IF($C$9="No",$E$4,VLOOKUP(Table1[[#This Row],[Period]],Forecast!$H$2:$L$1048576,3,FALSE)),2)</f>
        <v>305.89999999999998</v>
      </c>
      <c r="L19" s="2">
        <f>Table1[[#This Row],[Period]]+$E$9</f>
        <v>15</v>
      </c>
      <c r="M19" s="4">
        <f>Table1[[#This Row],[Defaulted Principal]]-Table1[[#This Row],[Estimated Loss]]</f>
        <v>3615.0899999999997</v>
      </c>
      <c r="N19" s="3">
        <f>IFERROR(VLOOKUP(Table1[[#This Row],[Period]],$L$16:$M$28,2,FALSE),0)</f>
        <v>0</v>
      </c>
      <c r="O19" s="3">
        <f>Table1[[#This Row],[Beginning Balance]]-Table1[[#This Row],[Principal]]-Table1[[#This Row],[Prepayments]]-Table1[[#This Row],[Defaulted Principal]]</f>
        <v>8580963.870000001</v>
      </c>
      <c r="P19" s="3">
        <f>Table1[[#This Row],[Principal]]+Table1[[#This Row],[Interest]]+Table1[[#This Row],[Prepayments]]+Table1[[#This Row],[RecoveredAmount]]</f>
        <v>83307.180000000008</v>
      </c>
      <c r="Q19" s="3">
        <f ca="1">Table1[[#This Row],[Cash Flow]]/((1+ActualRateToUse)^(IF(ISNUMBER(SEARCH("Actual",$C$7)),Table1[[#This Row],[Running Total]]/365,Table1[[#This Row],[Period]]/12)))</f>
        <v>81815.551129991407</v>
      </c>
      <c r="R19" s="2">
        <f>IF(MONTH(Table1[[#This Row],[Date]])=2,28,DAY(DATE(YEAR(Table1[[#This Row],[Date]]),MONTH(Table1[[#This Row],[Date]])+1,1)-1))</f>
        <v>30</v>
      </c>
      <c r="S19" s="2">
        <f ca="1">SUM(OFFSET(Table1[[#Headers],[Days in month]],1,0):Table1[[#This Row],[Days in month]])</f>
        <v>92</v>
      </c>
      <c r="T19" s="37">
        <f>InterestRate*AmortizationMultiplier*IF(ISNUMBER(SEARCH("Actual",$C$7)),Table1[[#This Row],[Days in month]]/365,1/12)</f>
        <v>5.8749999999999991E-3</v>
      </c>
    </row>
    <row r="20" spans="2:20" x14ac:dyDescent="0.2">
      <c r="B20" s="1">
        <v>45961</v>
      </c>
      <c r="C20" s="2">
        <f t="shared" si="1"/>
        <v>4</v>
      </c>
      <c r="D20" s="3">
        <f t="shared" si="0"/>
        <v>8580963.870000001</v>
      </c>
      <c r="E20" s="4">
        <f>ROUND(Table1[[#This Row],[Beginning Balance]]*Table1[[#This Row],[Monthly Interest Rate]],2)</f>
        <v>52093.599999999999</v>
      </c>
      <c r="F20" s="4">
        <f>+F19-1</f>
        <v>348</v>
      </c>
      <c r="G20" s="50">
        <f>IFERROR(IF($C$13="No","N/A",IF(Table1[[#This Row],[Period]]=1,$C$6,PMT(InterestRate*AmortizationMultiplier/12,Table1[[#This Row],[Am Thru]],-Table1[[#This Row],[Beginning Balance]]))),0)</f>
        <v>58522.062578692814</v>
      </c>
      <c r="H20" s="4">
        <f>MAX(0,IF(C20=$C$4,D20,ROUND(IF($C$3="Fixed Principal",$C$6-Table1[[#This Row],[Interest]],IF($C$3="Interest Only",Table1[[#This Row],[Beginning Balance]]*ROUND(1-(1-IF($C$11="No",$E$8,1))^(1/12),6),MIN(IF($C$13="Yes",Table1[[#This Row],[Payment Amount (Reamortized)]],$C$6)-Table1[[#This Row],[Interest]],Table1[[#This Row],[Beginning Balance]]))),2)))</f>
        <v>6428.46</v>
      </c>
      <c r="I20" s="4">
        <f>_xlfn.SINGLE(IF($C$3="Line of Credit",0,ROUND(MAX(MIN(IF($C$10="No",$E$7,VLOOKUP(Table1[[#This Row],[Period]],Forecast!$H$2:$L$1048576,4,FALSE))*Table1[[#This Row],[Beginning Balance]],Table1[[#This Row],[Beginning Balance]]-Table1[[#This Row],[Principal]]),0),2)))</f>
        <v>24481.49</v>
      </c>
      <c r="J20" s="4">
        <f>ROUND(MIN(Table1[[#This Row],[Beginning Balance]]*IF($C$8="No",$E$3,VLOOKUP(Table1[[#This Row],[Period]],Forecast!$H$2:$L$1048576,2,FALSE)),Table1[[#This Row],[Beginning Balance]]-Table1[[#This Row],[Principal]]-Table1[[#This Row],[Prepayments]]),2)</f>
        <v>4299.0600000000004</v>
      </c>
      <c r="K20" s="4">
        <f>ROUND(Table1[[#This Row],[Defaulted Principal]]*IF($C$9="No",$E$4,VLOOKUP(Table1[[#This Row],[Period]],Forecast!$H$2:$L$1048576,3,FALSE)),2)</f>
        <v>343.78</v>
      </c>
      <c r="L20" s="2">
        <f>Table1[[#This Row],[Period]]+$E$9</f>
        <v>16</v>
      </c>
      <c r="M20" s="4">
        <f>Table1[[#This Row],[Defaulted Principal]]-Table1[[#This Row],[Estimated Loss]]</f>
        <v>3955.2800000000007</v>
      </c>
      <c r="N20" s="3">
        <f>IFERROR(VLOOKUP(Table1[[#This Row],[Period]],$L$16:$M$28,2,FALSE),0)</f>
        <v>0</v>
      </c>
      <c r="O20" s="3">
        <f>Table1[[#This Row],[Beginning Balance]]-Table1[[#This Row],[Principal]]-Table1[[#This Row],[Prepayments]]-Table1[[#This Row],[Defaulted Principal]]</f>
        <v>8545754.8599999994</v>
      </c>
      <c r="P20" s="3">
        <f>Table1[[#This Row],[Principal]]+Table1[[#This Row],[Interest]]+Table1[[#This Row],[Prepayments]]+Table1[[#This Row],[RecoveredAmount]]</f>
        <v>83003.55</v>
      </c>
      <c r="Q20" s="3">
        <f ca="1">Table1[[#This Row],[Cash Flow]]/((1+ActualRateToUse)^(IF(ISNUMBER(SEARCH("Actual",$C$7)),Table1[[#This Row],[Running Total]]/365,Table1[[#This Row],[Period]]/12)))</f>
        <v>81022.59334672078</v>
      </c>
      <c r="R20" s="2">
        <f>IF(MONTH(Table1[[#This Row],[Date]])=2,28,DAY(DATE(YEAR(Table1[[#This Row],[Date]]),MONTH(Table1[[#This Row],[Date]])+1,1)-1))</f>
        <v>31</v>
      </c>
      <c r="S20" s="2">
        <f ca="1">SUM(OFFSET(Table1[[#Headers],[Days in month]],1,0):Table1[[#This Row],[Days in month]])</f>
        <v>123</v>
      </c>
      <c r="T20" s="37">
        <f>InterestRate*AmortizationMultiplier*IF(ISNUMBER(SEARCH("Actual",$C$7)),Table1[[#This Row],[Days in month]]/365,1/12)</f>
        <v>6.0708333333333326E-3</v>
      </c>
    </row>
    <row r="21" spans="2:20" x14ac:dyDescent="0.2">
      <c r="B21" s="1">
        <v>45991</v>
      </c>
      <c r="C21" s="2">
        <f t="shared" si="1"/>
        <v>5</v>
      </c>
      <c r="D21" s="3">
        <f t="shared" si="0"/>
        <v>8545754.8599999994</v>
      </c>
      <c r="E21" s="3">
        <f>ROUND(Table1[[#This Row],[Beginning Balance]]*Table1[[#This Row],[Monthly Interest Rate]],2)</f>
        <v>50206.31</v>
      </c>
      <c r="F21" s="3">
        <f t="shared" si="2"/>
        <v>347</v>
      </c>
      <c r="G21" s="23">
        <f>IFERROR(IF($C$13="No","N/A",IF(Table1[[#This Row],[Period]]=1,$C$6,PMT(InterestRate*AmortizationMultiplier/12,Table1[[#This Row],[Am Thru]],-Table1[[#This Row],[Beginning Balance]]))),0)</f>
        <v>58332.301102145066</v>
      </c>
      <c r="H21" s="3">
        <f>MAX(0,IF(C21=$C$4,D21,ROUND(IF($C$3="Fixed Principal",$C$6-Table1[[#This Row],[Interest]],IF($C$3="Interest Only",Table1[[#This Row],[Beginning Balance]]*ROUND(1-(1-IF($C$11="No",$E$8,1))^(1/12),6),MIN(IF($C$13="Yes",Table1[[#This Row],[Payment Amount (Reamortized)]],$C$6)-Table1[[#This Row],[Interest]],Table1[[#This Row],[Beginning Balance]]))),2)))</f>
        <v>8125.99</v>
      </c>
      <c r="I21" s="3">
        <f>_xlfn.SINGLE(IF($C$3="Line of Credit",0,ROUND(MAX(MIN(IF($C$10="No",$E$7,VLOOKUP(Table1[[#This Row],[Period]],Forecast!$H$2:$L$1048576,4,FALSE))*Table1[[#This Row],[Beginning Balance]],Table1[[#This Row],[Beginning Balance]]-Table1[[#This Row],[Principal]]),0),2)))</f>
        <v>24381.040000000001</v>
      </c>
      <c r="J21" s="3">
        <f>ROUND(MIN(Table1[[#This Row],[Beginning Balance]]*IF($C$8="No",$E$3,VLOOKUP(Table1[[#This Row],[Period]],Forecast!$H$2:$L$1048576,2,FALSE)),Table1[[#This Row],[Beginning Balance]]-Table1[[#This Row],[Principal]]-Table1[[#This Row],[Prepayments]]),2)</f>
        <v>4281.42</v>
      </c>
      <c r="K21" s="3">
        <f>ROUND(Table1[[#This Row],[Defaulted Principal]]*IF($C$9="No",$E$4,VLOOKUP(Table1[[#This Row],[Period]],Forecast!$H$2:$L$1048576,3,FALSE)),2)</f>
        <v>342.37</v>
      </c>
      <c r="L21" s="2">
        <f>Table1[[#This Row],[Period]]+$E$9</f>
        <v>17</v>
      </c>
      <c r="M21" s="3">
        <f>Table1[[#This Row],[Defaulted Principal]]-Table1[[#This Row],[Estimated Loss]]</f>
        <v>3939.05</v>
      </c>
      <c r="N21" s="3">
        <f>IFERROR(VLOOKUP(Table1[[#This Row],[Period]],$L$16:$M$28,2,FALSE),0)</f>
        <v>0</v>
      </c>
      <c r="O21" s="3">
        <f>Table1[[#This Row],[Beginning Balance]]-Table1[[#This Row],[Principal]]-Table1[[#This Row],[Prepayments]]-Table1[[#This Row],[Defaulted Principal]]</f>
        <v>8508966.4100000001</v>
      </c>
      <c r="P21" s="3">
        <f>Table1[[#This Row],[Principal]]+Table1[[#This Row],[Interest]]+Table1[[#This Row],[Prepayments]]+Table1[[#This Row],[RecoveredAmount]]</f>
        <v>82713.34</v>
      </c>
      <c r="Q21" s="3">
        <f ca="1">Table1[[#This Row],[Cash Flow]]/((1+ActualRateToUse)^(IF(ISNUMBER(SEARCH("Actual",$C$7)),Table1[[#This Row],[Running Total]]/365,Table1[[#This Row],[Period]]/12)))</f>
        <v>80265.028746756594</v>
      </c>
      <c r="R21" s="2">
        <f>IF(MONTH(Table1[[#This Row],[Date]])=2,28,DAY(DATE(YEAR(Table1[[#This Row],[Date]]),MONTH(Table1[[#This Row],[Date]])+1,1)-1))</f>
        <v>30</v>
      </c>
      <c r="S21" s="2">
        <f ca="1">SUM(OFFSET(Table1[[#Headers],[Days in month]],1,0):Table1[[#This Row],[Days in month]])</f>
        <v>153</v>
      </c>
      <c r="T21" s="37">
        <f>InterestRate*AmortizationMultiplier*IF(ISNUMBER(SEARCH("Actual",$C$7)),Table1[[#This Row],[Days in month]]/365,1/12)</f>
        <v>5.8749999999999991E-3</v>
      </c>
    </row>
    <row r="22" spans="2:20" x14ac:dyDescent="0.2">
      <c r="B22" s="1">
        <v>46022</v>
      </c>
      <c r="C22" s="2">
        <f t="shared" si="1"/>
        <v>6</v>
      </c>
      <c r="D22" s="3">
        <f t="shared" si="0"/>
        <v>8508966.4100000001</v>
      </c>
      <c r="E22" s="3">
        <f>ROUND(Table1[[#This Row],[Beginning Balance]]*Table1[[#This Row],[Monthly Interest Rate]],2)</f>
        <v>51656.52</v>
      </c>
      <c r="F22" s="3">
        <f t="shared" si="2"/>
        <v>346</v>
      </c>
      <c r="G22" s="23">
        <f>IFERROR(IF($C$13="No","N/A",IF(Table1[[#This Row],[Period]]=1,$C$6,PMT(InterestRate*AmortizationMultiplier/12,Table1[[#This Row],[Am Thru]],-Table1[[#This Row],[Beginning Balance]]))),0)</f>
        <v>58131.720470292719</v>
      </c>
      <c r="H22" s="3">
        <f>MAX(0,IF(C22=$C$4,D22,ROUND(IF($C$3="Fixed Principal",$C$6-Table1[[#This Row],[Interest]],IF($C$3="Interest Only",Table1[[#This Row],[Beginning Balance]]*ROUND(1-(1-IF($C$11="No",$E$8,1))^(1/12),6),MIN(IF($C$13="Yes",Table1[[#This Row],[Payment Amount (Reamortized)]],$C$6)-Table1[[#This Row],[Interest]],Table1[[#This Row],[Beginning Balance]]))),2)))</f>
        <v>6475.2</v>
      </c>
      <c r="I22" s="3">
        <f>_xlfn.SINGLE(IF($C$3="Line of Credit",0,ROUND(MAX(MIN(IF($C$10="No",$E$7,VLOOKUP(Table1[[#This Row],[Period]],Forecast!$H$2:$L$1048576,4,FALSE))*Table1[[#This Row],[Beginning Balance]],Table1[[#This Row],[Beginning Balance]]-Table1[[#This Row],[Principal]]),0),2)))</f>
        <v>24276.080000000002</v>
      </c>
      <c r="J22" s="3">
        <f>ROUND(MIN(Table1[[#This Row],[Beginning Balance]]*IF($C$8="No",$E$3,VLOOKUP(Table1[[#This Row],[Period]],Forecast!$H$2:$L$1048576,2,FALSE)),Table1[[#This Row],[Beginning Balance]]-Table1[[#This Row],[Principal]]-Table1[[#This Row],[Prepayments]]),2)</f>
        <v>4262.99</v>
      </c>
      <c r="K22" s="3">
        <f>ROUND(Table1[[#This Row],[Defaulted Principal]]*IF($C$9="No",$E$4,VLOOKUP(Table1[[#This Row],[Period]],Forecast!$H$2:$L$1048576,3,FALSE)),2)</f>
        <v>340.9</v>
      </c>
      <c r="L22" s="2">
        <f>Table1[[#This Row],[Period]]+$E$9</f>
        <v>18</v>
      </c>
      <c r="M22" s="3">
        <f>Table1[[#This Row],[Defaulted Principal]]-Table1[[#This Row],[Estimated Loss]]</f>
        <v>3922.0899999999997</v>
      </c>
      <c r="N22" s="3">
        <f>IFERROR(VLOOKUP(Table1[[#This Row],[Period]],$L$16:$M$28,2,FALSE),0)</f>
        <v>0</v>
      </c>
      <c r="O22" s="3">
        <f>Table1[[#This Row],[Beginning Balance]]-Table1[[#This Row],[Principal]]-Table1[[#This Row],[Prepayments]]-Table1[[#This Row],[Defaulted Principal]]</f>
        <v>8473952.1400000006</v>
      </c>
      <c r="P22" s="3">
        <f>Table1[[#This Row],[Principal]]+Table1[[#This Row],[Interest]]+Table1[[#This Row],[Prepayments]]+Table1[[#This Row],[RecoveredAmount]]</f>
        <v>82407.799999999988</v>
      </c>
      <c r="Q22" s="3">
        <f ca="1">Table1[[#This Row],[Cash Flow]]/((1+ActualRateToUse)^(IF(ISNUMBER(SEARCH("Actual",$C$7)),Table1[[#This Row],[Running Total]]/365,Table1[[#This Row],[Period]]/12)))</f>
        <v>79483.168881540856</v>
      </c>
      <c r="R22" s="2">
        <f>IF(MONTH(Table1[[#This Row],[Date]])=2,28,DAY(DATE(YEAR(Table1[[#This Row],[Date]]),MONTH(Table1[[#This Row],[Date]])+1,1)-1))</f>
        <v>31</v>
      </c>
      <c r="S22" s="2">
        <f ca="1">SUM(OFFSET(Table1[[#Headers],[Days in month]],1,0):Table1[[#This Row],[Days in month]])</f>
        <v>184</v>
      </c>
      <c r="T22" s="37">
        <f>InterestRate*AmortizationMultiplier*IF(ISNUMBER(SEARCH("Actual",$C$7)),Table1[[#This Row],[Days in month]]/365,1/12)</f>
        <v>6.0708333333333326E-3</v>
      </c>
    </row>
    <row r="23" spans="2:20" x14ac:dyDescent="0.2">
      <c r="B23" s="1">
        <v>46053</v>
      </c>
      <c r="C23" s="2">
        <f t="shared" si="1"/>
        <v>7</v>
      </c>
      <c r="D23" s="3">
        <f t="shared" si="0"/>
        <v>8473952.1400000006</v>
      </c>
      <c r="E23" s="3">
        <f>ROUND(Table1[[#This Row],[Beginning Balance]]*Table1[[#This Row],[Monthly Interest Rate]],2)</f>
        <v>51443.95</v>
      </c>
      <c r="F23" s="3">
        <f t="shared" si="2"/>
        <v>345</v>
      </c>
      <c r="G23" s="23">
        <f>IFERROR(IF($C$13="No","N/A",IF(Table1[[#This Row],[Period]]=1,$C$6,PMT(InterestRate*AmortizationMultiplier/12,Table1[[#This Row],[Am Thru]],-Table1[[#This Row],[Beginning Balance]]))),0)</f>
        <v>57943.22249103956</v>
      </c>
      <c r="H23" s="3">
        <f>MAX(0,IF(C23=$C$4,D23,ROUND(IF($C$3="Fixed Principal",$C$6-Table1[[#This Row],[Interest]],IF($C$3="Interest Only",Table1[[#This Row],[Beginning Balance]]*ROUND(1-(1-IF($C$11="No",$E$8,1))^(1/12),6),MIN(IF($C$13="Yes",Table1[[#This Row],[Payment Amount (Reamortized)]],$C$6)-Table1[[#This Row],[Interest]],Table1[[#This Row],[Beginning Balance]]))),2)))</f>
        <v>6499.27</v>
      </c>
      <c r="I23" s="3">
        <f>_xlfn.SINGLE(IF($C$3="Line of Credit",0,ROUND(MAX(MIN(IF($C$10="No",$E$7,VLOOKUP(Table1[[#This Row],[Period]],Forecast!$H$2:$L$1048576,4,FALSE))*Table1[[#This Row],[Beginning Balance]],Table1[[#This Row],[Beginning Balance]]-Table1[[#This Row],[Principal]]),0),2)))</f>
        <v>24176.19</v>
      </c>
      <c r="J23" s="3">
        <f>ROUND(MIN(Table1[[#This Row],[Beginning Balance]]*IF($C$8="No",$E$3,VLOOKUP(Table1[[#This Row],[Period]],Forecast!$H$2:$L$1048576,2,FALSE)),Table1[[#This Row],[Beginning Balance]]-Table1[[#This Row],[Principal]]-Table1[[#This Row],[Prepayments]]),2)</f>
        <v>4211.55</v>
      </c>
      <c r="K23" s="3">
        <f>ROUND(Table1[[#This Row],[Defaulted Principal]]*IF($C$9="No",$E$4,VLOOKUP(Table1[[#This Row],[Period]],Forecast!$H$2:$L$1048576,3,FALSE)),2)</f>
        <v>335.99</v>
      </c>
      <c r="L23" s="2">
        <f>Table1[[#This Row],[Period]]+$E$9</f>
        <v>19</v>
      </c>
      <c r="M23" s="3">
        <f>Table1[[#This Row],[Defaulted Principal]]-Table1[[#This Row],[Estimated Loss]]</f>
        <v>3875.5600000000004</v>
      </c>
      <c r="N23" s="3">
        <f>IFERROR(VLOOKUP(Table1[[#This Row],[Period]],$L$16:$M$28,2,FALSE),0)</f>
        <v>0</v>
      </c>
      <c r="O23" s="3">
        <f>Table1[[#This Row],[Beginning Balance]]-Table1[[#This Row],[Principal]]-Table1[[#This Row],[Prepayments]]-Table1[[#This Row],[Defaulted Principal]]</f>
        <v>8439065.1300000008</v>
      </c>
      <c r="P23" s="3">
        <f>Table1[[#This Row],[Principal]]+Table1[[#This Row],[Interest]]+Table1[[#This Row],[Prepayments]]+Table1[[#This Row],[RecoveredAmount]]</f>
        <v>82119.41</v>
      </c>
      <c r="Q23" s="3">
        <f ca="1">Table1[[#This Row],[Cash Flow]]/((1+ActualRateToUse)^(IF(ISNUMBER(SEARCH("Actual",$C$7)),Table1[[#This Row],[Running Total]]/365,Table1[[#This Row],[Period]]/12)))</f>
        <v>78724.28405968727</v>
      </c>
      <c r="R23" s="2">
        <f>IF(MONTH(Table1[[#This Row],[Date]])=2,28,DAY(DATE(YEAR(Table1[[#This Row],[Date]]),MONTH(Table1[[#This Row],[Date]])+1,1)-1))</f>
        <v>31</v>
      </c>
      <c r="S23" s="2">
        <f ca="1">SUM(OFFSET(Table1[[#Headers],[Days in month]],1,0):Table1[[#This Row],[Days in month]])</f>
        <v>215</v>
      </c>
      <c r="T23" s="37">
        <f>InterestRate*AmortizationMultiplier*IF(ISNUMBER(SEARCH("Actual",$C$7)),Table1[[#This Row],[Days in month]]/365,1/12)</f>
        <v>6.0708333333333326E-3</v>
      </c>
    </row>
    <row r="24" spans="2:20" x14ac:dyDescent="0.2">
      <c r="B24" s="1">
        <v>46081</v>
      </c>
      <c r="C24" s="2">
        <f t="shared" si="1"/>
        <v>8</v>
      </c>
      <c r="D24" s="3">
        <f t="shared" si="0"/>
        <v>8439065.1300000008</v>
      </c>
      <c r="E24" s="3">
        <f>ROUND(Table1[[#This Row],[Beginning Balance]]*Table1[[#This Row],[Monthly Interest Rate]],2)</f>
        <v>46274.21</v>
      </c>
      <c r="F24" s="3">
        <f t="shared" si="2"/>
        <v>344</v>
      </c>
      <c r="G24" s="23">
        <f>IFERROR(IF($C$13="No","N/A",IF(Table1[[#This Row],[Period]]=1,$C$6,PMT(InterestRate*AmortizationMultiplier/12,Table1[[#This Row],[Am Thru]],-Table1[[#This Row],[Beginning Balance]]))),0)</f>
        <v>57755.566547572722</v>
      </c>
      <c r="H24" s="3">
        <f>MAX(0,IF(C24=$C$4,D24,ROUND(IF($C$3="Fixed Principal",$C$6-Table1[[#This Row],[Interest]],IF($C$3="Interest Only",Table1[[#This Row],[Beginning Balance]]*ROUND(1-(1-IF($C$11="No",$E$8,1))^(1/12),6),MIN(IF($C$13="Yes",Table1[[#This Row],[Payment Amount (Reamortized)]],$C$6)-Table1[[#This Row],[Interest]],Table1[[#This Row],[Beginning Balance]]))),2)))</f>
        <v>11481.36</v>
      </c>
      <c r="I24" s="3">
        <f>_xlfn.SINGLE(IF($C$3="Line of Credit",0,ROUND(MAX(MIN(IF($C$10="No",$E$7,VLOOKUP(Table1[[#This Row],[Period]],Forecast!$H$2:$L$1048576,4,FALSE))*Table1[[#This Row],[Beginning Balance]],Table1[[#This Row],[Beginning Balance]]-Table1[[#This Row],[Principal]]),0),2)))</f>
        <v>24076.65</v>
      </c>
      <c r="J24" s="3">
        <f>ROUND(MIN(Table1[[#This Row],[Beginning Balance]]*IF($C$8="No",$E$3,VLOOKUP(Table1[[#This Row],[Period]],Forecast!$H$2:$L$1048576,2,FALSE)),Table1[[#This Row],[Beginning Balance]]-Table1[[#This Row],[Principal]]-Table1[[#This Row],[Prepayments]]),2)</f>
        <v>4194.22</v>
      </c>
      <c r="K24" s="3">
        <f>ROUND(Table1[[#This Row],[Defaulted Principal]]*IF($C$9="No",$E$4,VLOOKUP(Table1[[#This Row],[Period]],Forecast!$H$2:$L$1048576,3,FALSE)),2)</f>
        <v>334.61</v>
      </c>
      <c r="L24" s="2">
        <f>Table1[[#This Row],[Period]]+$E$9</f>
        <v>20</v>
      </c>
      <c r="M24" s="3">
        <f>Table1[[#This Row],[Defaulted Principal]]-Table1[[#This Row],[Estimated Loss]]</f>
        <v>3859.61</v>
      </c>
      <c r="N24" s="3">
        <f>IFERROR(VLOOKUP(Table1[[#This Row],[Period]],$L$16:$M$28,2,FALSE),0)</f>
        <v>0</v>
      </c>
      <c r="O24" s="3">
        <f>Table1[[#This Row],[Beginning Balance]]-Table1[[#This Row],[Principal]]-Table1[[#This Row],[Prepayments]]-Table1[[#This Row],[Defaulted Principal]]</f>
        <v>8399312.9000000004</v>
      </c>
      <c r="P24" s="3">
        <f>Table1[[#This Row],[Principal]]+Table1[[#This Row],[Interest]]+Table1[[#This Row],[Prepayments]]+Table1[[#This Row],[RecoveredAmount]]</f>
        <v>81832.22</v>
      </c>
      <c r="Q24" s="3">
        <f ca="1">Table1[[#This Row],[Cash Flow]]/((1+ActualRateToUse)^(IF(ISNUMBER(SEARCH("Actual",$C$7)),Table1[[#This Row],[Running Total]]/365,Table1[[#This Row],[Period]]/12)))</f>
        <v>78018.778215085054</v>
      </c>
      <c r="R24" s="2">
        <f>IF(MONTH(Table1[[#This Row],[Date]])=2,28,DAY(DATE(YEAR(Table1[[#This Row],[Date]]),MONTH(Table1[[#This Row],[Date]])+1,1)-1))</f>
        <v>28</v>
      </c>
      <c r="S24" s="2">
        <f ca="1">SUM(OFFSET(Table1[[#Headers],[Days in month]],1,0):Table1[[#This Row],[Days in month]])</f>
        <v>243</v>
      </c>
      <c r="T24" s="37">
        <f>InterestRate*AmortizationMultiplier*IF(ISNUMBER(SEARCH("Actual",$C$7)),Table1[[#This Row],[Days in month]]/365,1/12)</f>
        <v>5.4833333333333331E-3</v>
      </c>
    </row>
    <row r="25" spans="2:20" x14ac:dyDescent="0.2">
      <c r="B25" s="1">
        <v>46112</v>
      </c>
      <c r="C25" s="2">
        <f t="shared" si="1"/>
        <v>9</v>
      </c>
      <c r="D25" s="3">
        <f t="shared" si="0"/>
        <v>8399312.9000000004</v>
      </c>
      <c r="E25" s="3">
        <f>ROUND(Table1[[#This Row],[Beginning Balance]]*Table1[[#This Row],[Monthly Interest Rate]],2)</f>
        <v>50990.83</v>
      </c>
      <c r="F25" s="3">
        <f t="shared" si="2"/>
        <v>343</v>
      </c>
      <c r="G25" s="23">
        <f>IFERROR(IF($C$13="No","N/A",IF(Table1[[#This Row],[Period]]=1,$C$6,PMT(InterestRate*AmortizationMultiplier/12,Table1[[#This Row],[Am Thru]],-Table1[[#This Row],[Beginning Balance]]))),0)</f>
        <v>57534.555670080699</v>
      </c>
      <c r="H25" s="3">
        <f>MAX(0,IF(C25=$C$4,D25,ROUND(IF($C$3="Fixed Principal",$C$6-Table1[[#This Row],[Interest]],IF($C$3="Interest Only",Table1[[#This Row],[Beginning Balance]]*ROUND(1-(1-IF($C$11="No",$E$8,1))^(1/12),6),MIN(IF($C$13="Yes",Table1[[#This Row],[Payment Amount (Reamortized)]],$C$6)-Table1[[#This Row],[Interest]],Table1[[#This Row],[Beginning Balance]]))),2)))</f>
        <v>6543.73</v>
      </c>
      <c r="I25" s="3">
        <f>_xlfn.SINGLE(IF($C$3="Line of Credit",0,ROUND(MAX(MIN(IF($C$10="No",$E$7,VLOOKUP(Table1[[#This Row],[Period]],Forecast!$H$2:$L$1048576,4,FALSE))*Table1[[#This Row],[Beginning Balance]],Table1[[#This Row],[Beginning Balance]]-Table1[[#This Row],[Principal]]),0),2)))</f>
        <v>23963.24</v>
      </c>
      <c r="J25" s="3">
        <f>ROUND(MIN(Table1[[#This Row],[Beginning Balance]]*IF($C$8="No",$E$3,VLOOKUP(Table1[[#This Row],[Period]],Forecast!$H$2:$L$1048576,2,FALSE)),Table1[[#This Row],[Beginning Balance]]-Table1[[#This Row],[Principal]]-Table1[[#This Row],[Prepayments]]),2)</f>
        <v>4174.46</v>
      </c>
      <c r="K25" s="3">
        <f>ROUND(Table1[[#This Row],[Defaulted Principal]]*IF($C$9="No",$E$4,VLOOKUP(Table1[[#This Row],[Period]],Forecast!$H$2:$L$1048576,3,FALSE)),2)</f>
        <v>333.03</v>
      </c>
      <c r="L25" s="2">
        <f>Table1[[#This Row],[Period]]+$E$9</f>
        <v>21</v>
      </c>
      <c r="M25" s="3">
        <f>Table1[[#This Row],[Defaulted Principal]]-Table1[[#This Row],[Estimated Loss]]</f>
        <v>3841.4300000000003</v>
      </c>
      <c r="N25" s="3">
        <f>IFERROR(VLOOKUP(Table1[[#This Row],[Period]],$L$16:$M$28,2,FALSE),0)</f>
        <v>0</v>
      </c>
      <c r="O25" s="3">
        <f>Table1[[#This Row],[Beginning Balance]]-Table1[[#This Row],[Principal]]-Table1[[#This Row],[Prepayments]]-Table1[[#This Row],[Defaulted Principal]]</f>
        <v>8364631.4699999997</v>
      </c>
      <c r="P25" s="3">
        <f>Table1[[#This Row],[Principal]]+Table1[[#This Row],[Interest]]+Table1[[#This Row],[Prepayments]]+Table1[[#This Row],[RecoveredAmount]]</f>
        <v>81497.8</v>
      </c>
      <c r="Q25" s="3">
        <f ca="1">Table1[[#This Row],[Cash Flow]]/((1+ActualRateToUse)^(IF(ISNUMBER(SEARCH("Actual",$C$7)),Table1[[#This Row],[Running Total]]/365,Table1[[#This Row],[Period]]/12)))</f>
        <v>77228.34765973124</v>
      </c>
      <c r="R25" s="2">
        <f>IF(MONTH(Table1[[#This Row],[Date]])=2,28,DAY(DATE(YEAR(Table1[[#This Row],[Date]]),MONTH(Table1[[#This Row],[Date]])+1,1)-1))</f>
        <v>31</v>
      </c>
      <c r="S25" s="2">
        <f ca="1">SUM(OFFSET(Table1[[#Headers],[Days in month]],1,0):Table1[[#This Row],[Days in month]])</f>
        <v>274</v>
      </c>
      <c r="T25" s="37">
        <f>InterestRate*AmortizationMultiplier*IF(ISNUMBER(SEARCH("Actual",$C$7)),Table1[[#This Row],[Days in month]]/365,1/12)</f>
        <v>6.0708333333333326E-3</v>
      </c>
    </row>
    <row r="26" spans="2:20" x14ac:dyDescent="0.2">
      <c r="B26" s="1">
        <v>46142</v>
      </c>
      <c r="C26" s="2">
        <f t="shared" si="1"/>
        <v>10</v>
      </c>
      <c r="D26" s="3">
        <f t="shared" si="0"/>
        <v>8364631.4699999997</v>
      </c>
      <c r="E26" s="3">
        <f>ROUND(Table1[[#This Row],[Beginning Balance]]*Table1[[#This Row],[Monthly Interest Rate]],2)</f>
        <v>49142.21</v>
      </c>
      <c r="F26" s="3">
        <f t="shared" si="2"/>
        <v>342</v>
      </c>
      <c r="G26" s="23">
        <f>IFERROR(IF($C$13="No","N/A",IF(Table1[[#This Row],[Period]]=1,$C$6,PMT(InterestRate*AmortizationMultiplier/12,Table1[[#This Row],[Am Thru]],-Table1[[#This Row],[Beginning Balance]]))),0)</f>
        <v>57348.220943693304</v>
      </c>
      <c r="H26" s="3">
        <f>MAX(0,IF(C26=$C$4,D26,ROUND(IF($C$3="Fixed Principal",$C$6-Table1[[#This Row],[Interest]],IF($C$3="Interest Only",Table1[[#This Row],[Beginning Balance]]*ROUND(1-(1-IF($C$11="No",$E$8,1))^(1/12),6),MIN(IF($C$13="Yes",Table1[[#This Row],[Payment Amount (Reamortized)]],$C$6)-Table1[[#This Row],[Interest]],Table1[[#This Row],[Beginning Balance]]))),2)))</f>
        <v>8206.01</v>
      </c>
      <c r="I26" s="3">
        <f>_xlfn.SINGLE(IF($C$3="Line of Credit",0,ROUND(MAX(MIN(IF($C$10="No",$E$7,VLOOKUP(Table1[[#This Row],[Period]],Forecast!$H$2:$L$1048576,4,FALSE))*Table1[[#This Row],[Beginning Balance]],Table1[[#This Row],[Beginning Balance]]-Table1[[#This Row],[Principal]]),0),2)))</f>
        <v>23864.29</v>
      </c>
      <c r="J26" s="3">
        <f>ROUND(MIN(Table1[[#This Row],[Beginning Balance]]*IF($C$8="No",$E$3,VLOOKUP(Table1[[#This Row],[Period]],Forecast!$H$2:$L$1048576,2,FALSE)),Table1[[#This Row],[Beginning Balance]]-Table1[[#This Row],[Principal]]-Table1[[#This Row],[Prepayments]]),2)</f>
        <v>4115.3999999999996</v>
      </c>
      <c r="K26" s="3">
        <f>ROUND(Table1[[#This Row],[Defaulted Principal]]*IF($C$9="No",$E$4,VLOOKUP(Table1[[#This Row],[Period]],Forecast!$H$2:$L$1048576,3,FALSE)),2)</f>
        <v>327.54000000000002</v>
      </c>
      <c r="L26" s="2">
        <f>Table1[[#This Row],[Period]]+$E$9</f>
        <v>22</v>
      </c>
      <c r="M26" s="3">
        <f>Table1[[#This Row],[Defaulted Principal]]-Table1[[#This Row],[Estimated Loss]]</f>
        <v>3787.8599999999997</v>
      </c>
      <c r="N26" s="3">
        <f>IFERROR(VLOOKUP(Table1[[#This Row],[Period]],$L$16:$M$28,2,FALSE),0)</f>
        <v>0</v>
      </c>
      <c r="O26" s="3">
        <f>Table1[[#This Row],[Beginning Balance]]-Table1[[#This Row],[Principal]]-Table1[[#This Row],[Prepayments]]-Table1[[#This Row],[Defaulted Principal]]</f>
        <v>8328445.7699999996</v>
      </c>
      <c r="P26" s="3">
        <f>Table1[[#This Row],[Principal]]+Table1[[#This Row],[Interest]]+Table1[[#This Row],[Prepayments]]+Table1[[#This Row],[RecoveredAmount]]</f>
        <v>81212.510000000009</v>
      </c>
      <c r="Q26" s="3">
        <f ca="1">Table1[[#This Row],[Cash Flow]]/((1+ActualRateToUse)^(IF(ISNUMBER(SEARCH("Actual",$C$7)),Table1[[#This Row],[Running Total]]/365,Table1[[#This Row],[Period]]/12)))</f>
        <v>76505.934748283034</v>
      </c>
      <c r="R26" s="2">
        <f>IF(MONTH(Table1[[#This Row],[Date]])=2,28,DAY(DATE(YEAR(Table1[[#This Row],[Date]]),MONTH(Table1[[#This Row],[Date]])+1,1)-1))</f>
        <v>30</v>
      </c>
      <c r="S26" s="2">
        <f ca="1">SUM(OFFSET(Table1[[#Headers],[Days in month]],1,0):Table1[[#This Row],[Days in month]])</f>
        <v>304</v>
      </c>
      <c r="T26" s="37">
        <f>InterestRate*AmortizationMultiplier*IF(ISNUMBER(SEARCH("Actual",$C$7)),Table1[[#This Row],[Days in month]]/365,1/12)</f>
        <v>5.8749999999999991E-3</v>
      </c>
    </row>
    <row r="27" spans="2:20" x14ac:dyDescent="0.2">
      <c r="B27" s="1">
        <v>46173</v>
      </c>
      <c r="C27" s="2">
        <f t="shared" si="1"/>
        <v>11</v>
      </c>
      <c r="D27" s="3">
        <f t="shared" si="0"/>
        <v>8328445.7699999996</v>
      </c>
      <c r="E27" s="3">
        <f>ROUND(Table1[[#This Row],[Beginning Balance]]*Table1[[#This Row],[Monthly Interest Rate]],2)</f>
        <v>50560.61</v>
      </c>
      <c r="F27" s="3">
        <f t="shared" si="2"/>
        <v>341</v>
      </c>
      <c r="G27" s="23">
        <f>IFERROR(IF($C$13="No","N/A",IF(Table1[[#This Row],[Period]]=1,$C$6,PMT(InterestRate*AmortizationMultiplier/12,Table1[[#This Row],[Am Thru]],-Table1[[#This Row],[Beginning Balance]]))),0)</f>
        <v>57151.534804609379</v>
      </c>
      <c r="H27" s="3">
        <f>MAX(0,IF(C27=$C$4,D27,ROUND(IF($C$3="Fixed Principal",$C$6-Table1[[#This Row],[Interest]],IF($C$3="Interest Only",Table1[[#This Row],[Beginning Balance]]*ROUND(1-(1-IF($C$11="No",$E$8,1))^(1/12),6),MIN(IF($C$13="Yes",Table1[[#This Row],[Payment Amount (Reamortized)]],$C$6)-Table1[[#This Row],[Interest]],Table1[[#This Row],[Beginning Balance]]))),2)))</f>
        <v>6590.92</v>
      </c>
      <c r="I27" s="3">
        <f>_xlfn.SINGLE(IF($C$3="Line of Credit",0,ROUND(MAX(MIN(IF($C$10="No",$E$7,VLOOKUP(Table1[[#This Row],[Period]],Forecast!$H$2:$L$1048576,4,FALSE))*Table1[[#This Row],[Beginning Balance]],Table1[[#This Row],[Beginning Balance]]-Table1[[#This Row],[Principal]]),0),2)))</f>
        <v>23761.06</v>
      </c>
      <c r="J27" s="3">
        <f>ROUND(MIN(Table1[[#This Row],[Beginning Balance]]*IF($C$8="No",$E$3,VLOOKUP(Table1[[#This Row],[Period]],Forecast!$H$2:$L$1048576,2,FALSE)),Table1[[#This Row],[Beginning Balance]]-Table1[[#This Row],[Principal]]-Table1[[#This Row],[Prepayments]]),2)</f>
        <v>4097.6000000000004</v>
      </c>
      <c r="K27" s="3">
        <f>ROUND(Table1[[#This Row],[Defaulted Principal]]*IF($C$9="No",$E$4,VLOOKUP(Table1[[#This Row],[Period]],Forecast!$H$2:$L$1048576,3,FALSE)),2)</f>
        <v>326.12</v>
      </c>
      <c r="L27" s="2">
        <f>Table1[[#This Row],[Period]]+$E$9</f>
        <v>23</v>
      </c>
      <c r="M27" s="3">
        <f>Table1[[#This Row],[Defaulted Principal]]-Table1[[#This Row],[Estimated Loss]]</f>
        <v>3771.4800000000005</v>
      </c>
      <c r="N27" s="3">
        <f>IFERROR(VLOOKUP(Table1[[#This Row],[Period]],$L$16:$M$28,2,FALSE),0)</f>
        <v>0</v>
      </c>
      <c r="O27" s="3">
        <f>Table1[[#This Row],[Beginning Balance]]-Table1[[#This Row],[Principal]]-Table1[[#This Row],[Prepayments]]-Table1[[#This Row],[Defaulted Principal]]</f>
        <v>8293996.1900000004</v>
      </c>
      <c r="P27" s="3">
        <f>Table1[[#This Row],[Principal]]+Table1[[#This Row],[Interest]]+Table1[[#This Row],[Prepayments]]+Table1[[#This Row],[RecoveredAmount]]</f>
        <v>80912.59</v>
      </c>
      <c r="Q27" s="3">
        <f ca="1">Table1[[#This Row],[Cash Flow]]/((1+ActualRateToUse)^(IF(ISNUMBER(SEARCH("Actual",$C$7)),Table1[[#This Row],[Running Total]]/365,Table1[[#This Row],[Period]]/12)))</f>
        <v>75760.763285794164</v>
      </c>
      <c r="R27" s="2">
        <f>IF(MONTH(Table1[[#This Row],[Date]])=2,28,DAY(DATE(YEAR(Table1[[#This Row],[Date]]),MONTH(Table1[[#This Row],[Date]])+1,1)-1))</f>
        <v>31</v>
      </c>
      <c r="S27" s="2">
        <f ca="1">SUM(OFFSET(Table1[[#Headers],[Days in month]],1,0):Table1[[#This Row],[Days in month]])</f>
        <v>335</v>
      </c>
      <c r="T27" s="37">
        <f>InterestRate*AmortizationMultiplier*IF(ISNUMBER(SEARCH("Actual",$C$7)),Table1[[#This Row],[Days in month]]/365,1/12)</f>
        <v>6.0708333333333326E-3</v>
      </c>
    </row>
    <row r="28" spans="2:20" x14ac:dyDescent="0.2">
      <c r="B28" s="1">
        <v>46203</v>
      </c>
      <c r="C28" s="2">
        <f t="shared" si="1"/>
        <v>12</v>
      </c>
      <c r="D28" s="3">
        <f t="shared" si="0"/>
        <v>8293996.1900000004</v>
      </c>
      <c r="E28" s="3">
        <f>ROUND(Table1[[#This Row],[Beginning Balance]]*Table1[[#This Row],[Monthly Interest Rate]],2)</f>
        <v>48727.23</v>
      </c>
      <c r="F28" s="3">
        <f t="shared" si="2"/>
        <v>340</v>
      </c>
      <c r="G28" s="23">
        <f>IFERROR(IF($C$13="No","N/A",IF(Table1[[#This Row],[Period]]=1,$C$6,PMT(InterestRate*AmortizationMultiplier/12,Table1[[#This Row],[Am Thru]],-Table1[[#This Row],[Beginning Balance]]))),0)</f>
        <v>56966.724321242706</v>
      </c>
      <c r="H28" s="3">
        <f>MAX(0,IF(C28=$C$4,D28,ROUND(IF($C$3="Fixed Principal",$C$6-Table1[[#This Row],[Interest]],IF($C$3="Interest Only",Table1[[#This Row],[Beginning Balance]]*ROUND(1-(1-IF($C$11="No",$E$8,1))^(1/12),6),MIN(IF($C$13="Yes",Table1[[#This Row],[Payment Amount (Reamortized)]],$C$6)-Table1[[#This Row],[Interest]],Table1[[#This Row],[Beginning Balance]]))),2)))</f>
        <v>8239.49</v>
      </c>
      <c r="I28" s="3">
        <f>_xlfn.SINGLE(IF($C$3="Line of Credit",0,ROUND(MAX(MIN(IF($C$10="No",$E$7,VLOOKUP(Table1[[#This Row],[Period]],Forecast!$H$2:$L$1048576,4,FALSE))*Table1[[#This Row],[Beginning Balance]],Table1[[#This Row],[Beginning Balance]]-Table1[[#This Row],[Principal]]),0),2)))</f>
        <v>23662.77</v>
      </c>
      <c r="J28" s="3">
        <f>ROUND(MIN(Table1[[#This Row],[Beginning Balance]]*IF($C$8="No",$E$3,VLOOKUP(Table1[[#This Row],[Period]],Forecast!$H$2:$L$1048576,2,FALSE)),Table1[[#This Row],[Beginning Balance]]-Table1[[#This Row],[Principal]]-Table1[[#This Row],[Prepayments]]),2)</f>
        <v>4080.65</v>
      </c>
      <c r="K28" s="3">
        <f>ROUND(Table1[[#This Row],[Defaulted Principal]]*IF($C$9="No",$E$4,VLOOKUP(Table1[[#This Row],[Period]],Forecast!$H$2:$L$1048576,3,FALSE)),2)</f>
        <v>324.77</v>
      </c>
      <c r="L28" s="2">
        <f>Table1[[#This Row],[Period]]+$E$9</f>
        <v>24</v>
      </c>
      <c r="M28" s="3">
        <f>Table1[[#This Row],[Defaulted Principal]]-Table1[[#This Row],[Estimated Loss]]</f>
        <v>3755.88</v>
      </c>
      <c r="N28" s="3">
        <f>IFERROR(VLOOKUP(Table1[[#This Row],[Period]],$L$16:$M$28,2,FALSE),0)</f>
        <v>0</v>
      </c>
      <c r="O28" s="3">
        <f>Table1[[#This Row],[Beginning Balance]]-Table1[[#This Row],[Principal]]-Table1[[#This Row],[Prepayments]]-Table1[[#This Row],[Defaulted Principal]]</f>
        <v>8258013.2800000003</v>
      </c>
      <c r="P28" s="3">
        <f>Table1[[#This Row],[Principal]]+Table1[[#This Row],[Interest]]+Table1[[#This Row],[Prepayments]]+Table1[[#This Row],[RecoveredAmount]]</f>
        <v>80629.490000000005</v>
      </c>
      <c r="Q28" s="3">
        <f ca="1">Table1[[#This Row],[Cash Flow]]/((1+ActualRateToUse)^(IF(ISNUMBER(SEARCH("Actual",$C$7)),Table1[[#This Row],[Running Total]]/365,Table1[[#This Row],[Period]]/12)))</f>
        <v>75052.210158687623</v>
      </c>
      <c r="R28" s="2">
        <f>IF(MONTH(Table1[[#This Row],[Date]])=2,28,DAY(DATE(YEAR(Table1[[#This Row],[Date]]),MONTH(Table1[[#This Row],[Date]])+1,1)-1))</f>
        <v>30</v>
      </c>
      <c r="S28" s="2">
        <f ca="1">SUM(OFFSET(Table1[[#Headers],[Days in month]],1,0):Table1[[#This Row],[Days in month]])</f>
        <v>365</v>
      </c>
      <c r="T28" s="37">
        <f>InterestRate*AmortizationMultiplier*IF(ISNUMBER(SEARCH("Actual",$C$7)),Table1[[#This Row],[Days in month]]/365,1/12)</f>
        <v>5.8749999999999991E-3</v>
      </c>
    </row>
    <row r="29" spans="2:20" x14ac:dyDescent="0.2">
      <c r="B29" s="1">
        <v>46234</v>
      </c>
      <c r="C29" s="2">
        <f t="shared" si="1"/>
        <v>13</v>
      </c>
      <c r="D29" s="3">
        <f t="shared" ref="D29:D92" si="3">O28</f>
        <v>8258013.2800000003</v>
      </c>
      <c r="E29" s="3">
        <f>ROUND(Table1[[#This Row],[Beginning Balance]]*Table1[[#This Row],[Monthly Interest Rate]],2)</f>
        <v>50133.02</v>
      </c>
      <c r="F29" s="3">
        <f t="shared" si="2"/>
        <v>339</v>
      </c>
      <c r="G29" s="23">
        <f>IFERROR(IF($C$13="No","N/A",IF(Table1[[#This Row],[Period]]=1,$C$6,PMT(InterestRate*AmortizationMultiplier/12,Table1[[#This Row],[Am Thru]],-Table1[[#This Row],[Beginning Balance]]))),0)</f>
        <v>56771.344175292747</v>
      </c>
      <c r="H29" s="3">
        <f>MAX(0,IF(C29=$C$4,D29,ROUND(IF($C$3="Fixed Principal",$C$6-Table1[[#This Row],[Interest]],IF($C$3="Interest Only",Table1[[#This Row],[Beginning Balance]]*ROUND(1-(1-IF($C$11="No",$E$8,1))^(1/12),6),MIN(IF($C$13="Yes",Table1[[#This Row],[Payment Amount (Reamortized)]],$C$6)-Table1[[#This Row],[Interest]],Table1[[#This Row],[Beginning Balance]]))),2)))</f>
        <v>6638.32</v>
      </c>
      <c r="I29" s="3">
        <f>_xlfn.SINGLE(IF($C$3="Line of Credit",0,ROUND(MAX(MIN(IF($C$10="No",$E$7,VLOOKUP(Table1[[#This Row],[Period]],Forecast!$H$2:$L$1048576,4,FALSE))*Table1[[#This Row],[Beginning Balance]],Table1[[#This Row],[Beginning Balance]]-Table1[[#This Row],[Principal]]),0),2)))</f>
        <v>23560.11</v>
      </c>
      <c r="J29" s="3">
        <f>ROUND(MIN(Table1[[#This Row],[Beginning Balance]]*IF($C$8="No",$E$3,VLOOKUP(Table1[[#This Row],[Period]],Forecast!$H$2:$L$1048576,2,FALSE)),Table1[[#This Row],[Beginning Balance]]-Table1[[#This Row],[Principal]]-Table1[[#This Row],[Prepayments]]),2)</f>
        <v>4261.13</v>
      </c>
      <c r="K29" s="3">
        <f>ROUND(Table1[[#This Row],[Defaulted Principal]]*IF($C$9="No",$E$4,VLOOKUP(Table1[[#This Row],[Period]],Forecast!$H$2:$L$1048576,3,FALSE)),2)</f>
        <v>343.29</v>
      </c>
      <c r="L29" s="2">
        <f>Table1[[#This Row],[Period]]+$E$9</f>
        <v>25</v>
      </c>
      <c r="M29" s="3">
        <f>Table1[[#This Row],[Defaulted Principal]]-Table1[[#This Row],[Estimated Loss]]</f>
        <v>3917.84</v>
      </c>
      <c r="N29" s="3">
        <f>IFERROR(VLOOKUP(Table1[[#This Row],[Period]],$L$16:$M$385,2,FALSE),0)</f>
        <v>3644.51</v>
      </c>
      <c r="O29" s="3">
        <f>Table1[[#This Row],[Beginning Balance]]-Table1[[#This Row],[Principal]]-Table1[[#This Row],[Prepayments]]-Table1[[#This Row],[Defaulted Principal]]</f>
        <v>8223553.7199999997</v>
      </c>
      <c r="P29" s="3">
        <f>Table1[[#This Row],[Principal]]+Table1[[#This Row],[Interest]]+Table1[[#This Row],[Prepayments]]+Table1[[#This Row],[RecoveredAmount]]</f>
        <v>83975.959999999992</v>
      </c>
      <c r="Q29" s="3">
        <f ca="1">Table1[[#This Row],[Cash Flow]]/((1+ActualRateToUse)^(IF(ISNUMBER(SEARCH("Actual",$C$7)),Table1[[#This Row],[Running Total]]/365,Table1[[#This Row],[Period]]/12)))</f>
        <v>77692.768342423311</v>
      </c>
      <c r="R29" s="2">
        <f>IF(MONTH(Table1[[#This Row],[Date]])=2,28,DAY(DATE(YEAR(Table1[[#This Row],[Date]]),MONTH(Table1[[#This Row],[Date]])+1,1)-1))</f>
        <v>31</v>
      </c>
      <c r="S29" s="2">
        <f ca="1">SUM(OFFSET(Table1[[#Headers],[Days in month]],1,0):Table1[[#This Row],[Days in month]])</f>
        <v>396</v>
      </c>
      <c r="T29" s="37">
        <f>InterestRate*AmortizationMultiplier*IF(ISNUMBER(SEARCH("Actual",$C$7)),Table1[[#This Row],[Days in month]]/365,1/12)</f>
        <v>6.0708333333333326E-3</v>
      </c>
    </row>
    <row r="30" spans="2:20" x14ac:dyDescent="0.2">
      <c r="B30" s="1">
        <v>46265</v>
      </c>
      <c r="C30" s="2">
        <f t="shared" si="1"/>
        <v>14</v>
      </c>
      <c r="D30" s="3">
        <f t="shared" si="3"/>
        <v>8223553.7199999997</v>
      </c>
      <c r="E30" s="3">
        <f>ROUND(Table1[[#This Row],[Beginning Balance]]*Table1[[#This Row],[Monthly Interest Rate]],2)</f>
        <v>49923.82</v>
      </c>
      <c r="F30" s="3">
        <f t="shared" si="2"/>
        <v>338</v>
      </c>
      <c r="G30" s="23">
        <f>IFERROR(IF($C$13="No","N/A",IF(Table1[[#This Row],[Period]]=1,$C$6,PMT(InterestRate*AmortizationMultiplier/12,Table1[[#This Row],[Am Thru]],-Table1[[#This Row],[Beginning Balance]]))),0)</f>
        <v>56586.397113694795</v>
      </c>
      <c r="H30" s="3">
        <f>MAX(0,IF(C30=$C$4,D30,ROUND(IF($C$3="Fixed Principal",$C$6-Table1[[#This Row],[Interest]],IF($C$3="Interest Only",Table1[[#This Row],[Beginning Balance]]*ROUND(1-(1-IF($C$11="No",$E$8,1))^(1/12),6),MIN(IF($C$13="Yes",Table1[[#This Row],[Payment Amount (Reamortized)]],$C$6)-Table1[[#This Row],[Interest]],Table1[[#This Row],[Beginning Balance]]))),2)))</f>
        <v>6662.58</v>
      </c>
      <c r="I30" s="3">
        <f>_xlfn.SINGLE(IF($C$3="Line of Credit",0,ROUND(MAX(MIN(IF($C$10="No",$E$7,VLOOKUP(Table1[[#This Row],[Period]],Forecast!$H$2:$L$1048576,4,FALSE))*Table1[[#This Row],[Beginning Balance]],Table1[[#This Row],[Beginning Balance]]-Table1[[#This Row],[Principal]]),0),2)))</f>
        <v>23461.8</v>
      </c>
      <c r="J30" s="3">
        <f>ROUND(MIN(Table1[[#This Row],[Beginning Balance]]*IF($C$8="No",$E$3,VLOOKUP(Table1[[#This Row],[Period]],Forecast!$H$2:$L$1048576,2,FALSE)),Table1[[#This Row],[Beginning Balance]]-Table1[[#This Row],[Principal]]-Table1[[#This Row],[Prepayments]]),2)</f>
        <v>4243.3500000000004</v>
      </c>
      <c r="K30" s="3">
        <f>ROUND(Table1[[#This Row],[Defaulted Principal]]*IF($C$9="No",$E$4,VLOOKUP(Table1[[#This Row],[Period]],Forecast!$H$2:$L$1048576,3,FALSE)),2)</f>
        <v>341.86</v>
      </c>
      <c r="L30" s="2">
        <f>Table1[[#This Row],[Period]]+$E$9</f>
        <v>26</v>
      </c>
      <c r="M30" s="3">
        <f>Table1[[#This Row],[Defaulted Principal]]-Table1[[#This Row],[Estimated Loss]]</f>
        <v>3901.4900000000002</v>
      </c>
      <c r="N30" s="3">
        <f>IFERROR(VLOOKUP(Table1[[#This Row],[Period]],$L$16:$M$385,2,FALSE),0)</f>
        <v>3629.78</v>
      </c>
      <c r="O30" s="3">
        <f>Table1[[#This Row],[Beginning Balance]]-Table1[[#This Row],[Principal]]-Table1[[#This Row],[Prepayments]]-Table1[[#This Row],[Defaulted Principal]]</f>
        <v>8189185.9900000002</v>
      </c>
      <c r="P30" s="3">
        <f>Table1[[#This Row],[Principal]]+Table1[[#This Row],[Interest]]+Table1[[#This Row],[Prepayments]]+Table1[[#This Row],[RecoveredAmount]]</f>
        <v>83677.98</v>
      </c>
      <c r="Q30" s="3">
        <f ca="1">Table1[[#This Row],[Cash Flow]]/((1+ActualRateToUse)^(IF(ISNUMBER(SEARCH("Actual",$C$7)),Table1[[#This Row],[Running Total]]/365,Table1[[#This Row],[Period]]/12)))</f>
        <v>76947.205617012369</v>
      </c>
      <c r="R30" s="2">
        <f>IF(MONTH(Table1[[#This Row],[Date]])=2,28,DAY(DATE(YEAR(Table1[[#This Row],[Date]]),MONTH(Table1[[#This Row],[Date]])+1,1)-1))</f>
        <v>31</v>
      </c>
      <c r="S30" s="2">
        <f ca="1">SUM(OFFSET(Table1[[#Headers],[Days in month]],1,0):Table1[[#This Row],[Days in month]])</f>
        <v>427</v>
      </c>
      <c r="T30" s="37">
        <f>InterestRate*AmortizationMultiplier*IF(ISNUMBER(SEARCH("Actual",$C$7)),Table1[[#This Row],[Days in month]]/365,1/12)</f>
        <v>6.0708333333333326E-3</v>
      </c>
    </row>
    <row r="31" spans="2:20" x14ac:dyDescent="0.2">
      <c r="B31" s="1">
        <v>46295</v>
      </c>
      <c r="C31" s="2">
        <f t="shared" si="1"/>
        <v>15</v>
      </c>
      <c r="D31" s="3">
        <f t="shared" si="3"/>
        <v>8189185.9900000002</v>
      </c>
      <c r="E31" s="3">
        <f>ROUND(Table1[[#This Row],[Beginning Balance]]*Table1[[#This Row],[Monthly Interest Rate]],2)</f>
        <v>48111.47</v>
      </c>
      <c r="F31" s="3">
        <f t="shared" si="2"/>
        <v>337</v>
      </c>
      <c r="G31" s="23">
        <f>IFERROR(IF($C$13="No","N/A",IF(Table1[[#This Row],[Period]]=1,$C$6,PMT(InterestRate*AmortizationMultiplier/12,Table1[[#This Row],[Am Thru]],-Table1[[#This Row],[Beginning Balance]]))),0)</f>
        <v>56402.051308624337</v>
      </c>
      <c r="H31" s="3">
        <f>MAX(0,IF(C31=$C$4,D31,ROUND(IF($C$3="Fixed Principal",$C$6-Table1[[#This Row],[Interest]],IF($C$3="Interest Only",Table1[[#This Row],[Beginning Balance]]*ROUND(1-(1-IF($C$11="No",$E$8,1))^(1/12),6),MIN(IF($C$13="Yes",Table1[[#This Row],[Payment Amount (Reamortized)]],$C$6)-Table1[[#This Row],[Interest]],Table1[[#This Row],[Beginning Balance]]))),2)))</f>
        <v>8290.58</v>
      </c>
      <c r="I31" s="3">
        <f>_xlfn.SINGLE(IF($C$3="Line of Credit",0,ROUND(MAX(MIN(IF($C$10="No",$E$7,VLOOKUP(Table1[[#This Row],[Period]],Forecast!$H$2:$L$1048576,4,FALSE))*Table1[[#This Row],[Beginning Balance]],Table1[[#This Row],[Beginning Balance]]-Table1[[#This Row],[Principal]]),0),2)))</f>
        <v>23363.75</v>
      </c>
      <c r="J31" s="3">
        <f>ROUND(MIN(Table1[[#This Row],[Beginning Balance]]*IF($C$8="No",$E$3,VLOOKUP(Table1[[#This Row],[Period]],Forecast!$H$2:$L$1048576,2,FALSE)),Table1[[#This Row],[Beginning Balance]]-Table1[[#This Row],[Principal]]-Table1[[#This Row],[Prepayments]]),2)</f>
        <v>4225.62</v>
      </c>
      <c r="K31" s="3">
        <f>ROUND(Table1[[#This Row],[Defaulted Principal]]*IF($C$9="No",$E$4,VLOOKUP(Table1[[#This Row],[Period]],Forecast!$H$2:$L$1048576,3,FALSE)),2)</f>
        <v>340.43</v>
      </c>
      <c r="L31" s="2">
        <f>Table1[[#This Row],[Period]]+$E$9</f>
        <v>27</v>
      </c>
      <c r="M31" s="3">
        <f>Table1[[#This Row],[Defaulted Principal]]-Table1[[#This Row],[Estimated Loss]]</f>
        <v>3885.19</v>
      </c>
      <c r="N31" s="3">
        <f>IFERROR(VLOOKUP(Table1[[#This Row],[Period]],$L$16:$M$385,2,FALSE),0)</f>
        <v>3615.0899999999997</v>
      </c>
      <c r="O31" s="3">
        <f>Table1[[#This Row],[Beginning Balance]]-Table1[[#This Row],[Principal]]-Table1[[#This Row],[Prepayments]]-Table1[[#This Row],[Defaulted Principal]]</f>
        <v>8153306.04</v>
      </c>
      <c r="P31" s="3">
        <f>Table1[[#This Row],[Principal]]+Table1[[#This Row],[Interest]]+Table1[[#This Row],[Prepayments]]+Table1[[#This Row],[RecoveredAmount]]</f>
        <v>83380.89</v>
      </c>
      <c r="Q31" s="3">
        <f ca="1">Table1[[#This Row],[Cash Flow]]/((1+ActualRateToUse)^(IF(ISNUMBER(SEARCH("Actual",$C$7)),Table1[[#This Row],[Running Total]]/365,Table1[[#This Row],[Period]]/12)))</f>
        <v>76223.612265543416</v>
      </c>
      <c r="R31" s="2">
        <f>IF(MONTH(Table1[[#This Row],[Date]])=2,28,DAY(DATE(YEAR(Table1[[#This Row],[Date]]),MONTH(Table1[[#This Row],[Date]])+1,1)-1))</f>
        <v>30</v>
      </c>
      <c r="S31" s="2">
        <f ca="1">SUM(OFFSET(Table1[[#Headers],[Days in month]],1,0):Table1[[#This Row],[Days in month]])</f>
        <v>457</v>
      </c>
      <c r="T31" s="37">
        <f>InterestRate*AmortizationMultiplier*IF(ISNUMBER(SEARCH("Actual",$C$7)),Table1[[#This Row],[Days in month]]/365,1/12)</f>
        <v>5.8749999999999991E-3</v>
      </c>
    </row>
    <row r="32" spans="2:20" x14ac:dyDescent="0.2">
      <c r="B32" s="1">
        <v>46326</v>
      </c>
      <c r="C32" s="2">
        <f t="shared" si="1"/>
        <v>16</v>
      </c>
      <c r="D32" s="3">
        <f t="shared" si="3"/>
        <v>8153306.04</v>
      </c>
      <c r="E32" s="3">
        <f>ROUND(Table1[[#This Row],[Beginning Balance]]*Table1[[#This Row],[Monthly Interest Rate]],2)</f>
        <v>49497.36</v>
      </c>
      <c r="F32" s="3">
        <f t="shared" si="2"/>
        <v>336</v>
      </c>
      <c r="G32" s="23">
        <f>IFERROR(IF($C$13="No","N/A",IF(Table1[[#This Row],[Period]]=1,$C$6,PMT(InterestRate*AmortizationMultiplier/12,Table1[[#This Row],[Am Thru]],-Table1[[#This Row],[Beginning Balance]]))),0)</f>
        <v>56207.249236655334</v>
      </c>
      <c r="H32" s="3">
        <f>MAX(0,IF(C32=$C$4,D32,ROUND(IF($C$3="Fixed Principal",$C$6-Table1[[#This Row],[Interest]],IF($C$3="Interest Only",Table1[[#This Row],[Beginning Balance]]*ROUND(1-(1-IF($C$11="No",$E$8,1))^(1/12),6),MIN(IF($C$13="Yes",Table1[[#This Row],[Payment Amount (Reamortized)]],$C$6)-Table1[[#This Row],[Interest]],Table1[[#This Row],[Beginning Balance]]))),2)))</f>
        <v>6709.89</v>
      </c>
      <c r="I32" s="3">
        <f>_xlfn.SINGLE(IF($C$3="Line of Credit",0,ROUND(MAX(MIN(IF($C$10="No",$E$7,VLOOKUP(Table1[[#This Row],[Period]],Forecast!$H$2:$L$1048576,4,FALSE))*Table1[[#This Row],[Beginning Balance]],Table1[[#This Row],[Beginning Balance]]-Table1[[#This Row],[Principal]]),0),2)))</f>
        <v>23261.38</v>
      </c>
      <c r="J32" s="3">
        <f>ROUND(MIN(Table1[[#This Row],[Beginning Balance]]*IF($C$8="No",$E$3,VLOOKUP(Table1[[#This Row],[Period]],Forecast!$H$2:$L$1048576,2,FALSE)),Table1[[#This Row],[Beginning Balance]]-Table1[[#This Row],[Principal]]-Table1[[#This Row],[Prepayments]]),2)</f>
        <v>4402.79</v>
      </c>
      <c r="K32" s="3">
        <f>ROUND(Table1[[#This Row],[Defaulted Principal]]*IF($C$9="No",$E$4,VLOOKUP(Table1[[#This Row],[Period]],Forecast!$H$2:$L$1048576,3,FALSE)),2)</f>
        <v>358.87</v>
      </c>
      <c r="L32" s="2">
        <f>Table1[[#This Row],[Period]]+$E$9</f>
        <v>28</v>
      </c>
      <c r="M32" s="3">
        <f>Table1[[#This Row],[Defaulted Principal]]-Table1[[#This Row],[Estimated Loss]]</f>
        <v>4043.92</v>
      </c>
      <c r="N32" s="3">
        <f>IFERROR(VLOOKUP(Table1[[#This Row],[Period]],$L$16:$M$385,2,FALSE),0)</f>
        <v>3955.2800000000007</v>
      </c>
      <c r="O32" s="3">
        <f>Table1[[#This Row],[Beginning Balance]]-Table1[[#This Row],[Principal]]-Table1[[#This Row],[Prepayments]]-Table1[[#This Row],[Defaulted Principal]]</f>
        <v>8118931.9800000004</v>
      </c>
      <c r="P32" s="3">
        <f>Table1[[#This Row],[Principal]]+Table1[[#This Row],[Interest]]+Table1[[#This Row],[Prepayments]]+Table1[[#This Row],[RecoveredAmount]]</f>
        <v>83423.91</v>
      </c>
      <c r="Q32" s="3">
        <f ca="1">Table1[[#This Row],[Cash Flow]]/((1+ActualRateToUse)^(IF(ISNUMBER(SEARCH("Actual",$C$7)),Table1[[#This Row],[Running Total]]/365,Table1[[#This Row],[Period]]/12)))</f>
        <v>75800.066522301378</v>
      </c>
      <c r="R32" s="2">
        <f>IF(MONTH(Table1[[#This Row],[Date]])=2,28,DAY(DATE(YEAR(Table1[[#This Row],[Date]]),MONTH(Table1[[#This Row],[Date]])+1,1)-1))</f>
        <v>31</v>
      </c>
      <c r="S32" s="2">
        <f ca="1">SUM(OFFSET(Table1[[#Headers],[Days in month]],1,0):Table1[[#This Row],[Days in month]])</f>
        <v>488</v>
      </c>
      <c r="T32" s="37">
        <f>InterestRate*AmortizationMultiplier*IF(ISNUMBER(SEARCH("Actual",$C$7)),Table1[[#This Row],[Days in month]]/365,1/12)</f>
        <v>6.0708333333333326E-3</v>
      </c>
    </row>
    <row r="33" spans="2:20" x14ac:dyDescent="0.2">
      <c r="B33" s="1">
        <v>46356</v>
      </c>
      <c r="C33" s="2">
        <f t="shared" si="1"/>
        <v>17</v>
      </c>
      <c r="D33" s="3">
        <f t="shared" si="3"/>
        <v>8118931.9800000004</v>
      </c>
      <c r="E33" s="3">
        <f>ROUND(Table1[[#This Row],[Beginning Balance]]*Table1[[#This Row],[Monthly Interest Rate]],2)</f>
        <v>47698.73</v>
      </c>
      <c r="F33" s="3">
        <f t="shared" si="2"/>
        <v>335</v>
      </c>
      <c r="G33" s="23">
        <f>IFERROR(IF($C$13="No","N/A",IF(Table1[[#This Row],[Period]]=1,$C$6,PMT(InterestRate*AmortizationMultiplier/12,Table1[[#This Row],[Am Thru]],-Table1[[#This Row],[Beginning Balance]]))),0)</f>
        <v>56022.786020796651</v>
      </c>
      <c r="H33" s="3">
        <f>MAX(0,IF(C33=$C$4,D33,ROUND(IF($C$3="Fixed Principal",$C$6-Table1[[#This Row],[Interest]],IF($C$3="Interest Only",Table1[[#This Row],[Beginning Balance]]*ROUND(1-(1-IF($C$11="No",$E$8,1))^(1/12),6),MIN(IF($C$13="Yes",Table1[[#This Row],[Payment Amount (Reamortized)]],$C$6)-Table1[[#This Row],[Interest]],Table1[[#This Row],[Beginning Balance]]))),2)))</f>
        <v>8324.06</v>
      </c>
      <c r="I33" s="3">
        <f>_xlfn.SINGLE(IF($C$3="Line of Credit",0,ROUND(MAX(MIN(IF($C$10="No",$E$7,VLOOKUP(Table1[[#This Row],[Period]],Forecast!$H$2:$L$1048576,4,FALSE))*Table1[[#This Row],[Beginning Balance]],Table1[[#This Row],[Beginning Balance]]-Table1[[#This Row],[Principal]]),0),2)))</f>
        <v>23163.31</v>
      </c>
      <c r="J33" s="3">
        <f>ROUND(MIN(Table1[[#This Row],[Beginning Balance]]*IF($C$8="No",$E$3,VLOOKUP(Table1[[#This Row],[Period]],Forecast!$H$2:$L$1048576,2,FALSE)),Table1[[#This Row],[Beginning Balance]]-Table1[[#This Row],[Principal]]-Table1[[#This Row],[Prepayments]]),2)</f>
        <v>4384.22</v>
      </c>
      <c r="K33" s="3">
        <f>ROUND(Table1[[#This Row],[Defaulted Principal]]*IF($C$9="No",$E$4,VLOOKUP(Table1[[#This Row],[Period]],Forecast!$H$2:$L$1048576,3,FALSE)),2)</f>
        <v>357.35</v>
      </c>
      <c r="L33" s="2">
        <f>Table1[[#This Row],[Period]]+$E$9</f>
        <v>29</v>
      </c>
      <c r="M33" s="3">
        <f>Table1[[#This Row],[Defaulted Principal]]-Table1[[#This Row],[Estimated Loss]]</f>
        <v>4026.8700000000003</v>
      </c>
      <c r="N33" s="3">
        <f>IFERROR(VLOOKUP(Table1[[#This Row],[Period]],$L$16:$M$385,2,FALSE),0)</f>
        <v>3939.05</v>
      </c>
      <c r="O33" s="3">
        <f>Table1[[#This Row],[Beginning Balance]]-Table1[[#This Row],[Principal]]-Table1[[#This Row],[Prepayments]]-Table1[[#This Row],[Defaulted Principal]]</f>
        <v>8083060.3900000015</v>
      </c>
      <c r="P33" s="3">
        <f>Table1[[#This Row],[Principal]]+Table1[[#This Row],[Interest]]+Table1[[#This Row],[Prepayments]]+Table1[[#This Row],[RecoveredAmount]]</f>
        <v>83125.150000000009</v>
      </c>
      <c r="Q33" s="3">
        <f ca="1">Table1[[#This Row],[Cash Flow]]/((1+ActualRateToUse)^(IF(ISNUMBER(SEARCH("Actual",$C$7)),Table1[[#This Row],[Running Total]]/365,Table1[[#This Row],[Period]]/12)))</f>
        <v>75084.937326152649</v>
      </c>
      <c r="R33" s="2">
        <f>IF(MONTH(Table1[[#This Row],[Date]])=2,28,DAY(DATE(YEAR(Table1[[#This Row],[Date]]),MONTH(Table1[[#This Row],[Date]])+1,1)-1))</f>
        <v>30</v>
      </c>
      <c r="S33" s="2">
        <f ca="1">SUM(OFFSET(Table1[[#Headers],[Days in month]],1,0):Table1[[#This Row],[Days in month]])</f>
        <v>518</v>
      </c>
      <c r="T33" s="37">
        <f>InterestRate*AmortizationMultiplier*IF(ISNUMBER(SEARCH("Actual",$C$7)),Table1[[#This Row],[Days in month]]/365,1/12)</f>
        <v>5.8749999999999991E-3</v>
      </c>
    </row>
    <row r="34" spans="2:20" x14ac:dyDescent="0.2">
      <c r="B34" s="1">
        <v>46387</v>
      </c>
      <c r="C34" s="2">
        <f t="shared" si="1"/>
        <v>18</v>
      </c>
      <c r="D34" s="3">
        <f t="shared" si="3"/>
        <v>8083060.3900000015</v>
      </c>
      <c r="E34" s="3">
        <f>ROUND(Table1[[#This Row],[Beginning Balance]]*Table1[[#This Row],[Monthly Interest Rate]],2)</f>
        <v>49070.91</v>
      </c>
      <c r="F34" s="3">
        <f t="shared" si="2"/>
        <v>334</v>
      </c>
      <c r="G34" s="23">
        <f>IFERROR(IF($C$13="No","N/A",IF(Table1[[#This Row],[Period]]=1,$C$6,PMT(InterestRate*AmortizationMultiplier/12,Table1[[#This Row],[Am Thru]],-Table1[[#This Row],[Beginning Balance]]))),0)</f>
        <v>55827.945586618138</v>
      </c>
      <c r="H34" s="3">
        <f>MAX(0,IF(C34=$C$4,D34,ROUND(IF($C$3="Fixed Principal",$C$6-Table1[[#This Row],[Interest]],IF($C$3="Interest Only",Table1[[#This Row],[Beginning Balance]]*ROUND(1-(1-IF($C$11="No",$E$8,1))^(1/12),6),MIN(IF($C$13="Yes",Table1[[#This Row],[Payment Amount (Reamortized)]],$C$6)-Table1[[#This Row],[Interest]],Table1[[#This Row],[Beginning Balance]]))),2)))</f>
        <v>6757.04</v>
      </c>
      <c r="I34" s="3">
        <f>_xlfn.SINGLE(IF($C$3="Line of Credit",0,ROUND(MAX(MIN(IF($C$10="No",$E$7,VLOOKUP(Table1[[#This Row],[Period]],Forecast!$H$2:$L$1048576,4,FALSE))*Table1[[#This Row],[Beginning Balance]],Table1[[#This Row],[Beginning Balance]]-Table1[[#This Row],[Principal]]),0),2)))</f>
        <v>23060.97</v>
      </c>
      <c r="J34" s="3">
        <f>ROUND(MIN(Table1[[#This Row],[Beginning Balance]]*IF($C$8="No",$E$3,VLOOKUP(Table1[[#This Row],[Period]],Forecast!$H$2:$L$1048576,2,FALSE)),Table1[[#This Row],[Beginning Balance]]-Table1[[#This Row],[Principal]]-Table1[[#This Row],[Prepayments]]),2)</f>
        <v>4364.8500000000004</v>
      </c>
      <c r="K34" s="3">
        <f>ROUND(Table1[[#This Row],[Defaulted Principal]]*IF($C$9="No",$E$4,VLOOKUP(Table1[[#This Row],[Period]],Forecast!$H$2:$L$1048576,3,FALSE)),2)</f>
        <v>355.77</v>
      </c>
      <c r="L34" s="2">
        <f>Table1[[#This Row],[Period]]+$E$9</f>
        <v>30</v>
      </c>
      <c r="M34" s="3">
        <f>Table1[[#This Row],[Defaulted Principal]]-Table1[[#This Row],[Estimated Loss]]</f>
        <v>4009.0800000000004</v>
      </c>
      <c r="N34" s="3">
        <f>IFERROR(VLOOKUP(Table1[[#This Row],[Period]],$L$16:$M$385,2,FALSE),0)</f>
        <v>3922.0899999999997</v>
      </c>
      <c r="O34" s="3">
        <f>Table1[[#This Row],[Beginning Balance]]-Table1[[#This Row],[Principal]]-Table1[[#This Row],[Prepayments]]-Table1[[#This Row],[Defaulted Principal]]</f>
        <v>8048877.5300000021</v>
      </c>
      <c r="P34" s="3">
        <f>Table1[[#This Row],[Principal]]+Table1[[#This Row],[Interest]]+Table1[[#This Row],[Prepayments]]+Table1[[#This Row],[RecoveredAmount]]</f>
        <v>82811.010000000009</v>
      </c>
      <c r="Q34" s="3">
        <f ca="1">Table1[[#This Row],[Cash Flow]]/((1+ActualRateToUse)^(IF(ISNUMBER(SEARCH("Actual",$C$7)),Table1[[#This Row],[Running Total]]/365,Table1[[#This Row],[Period]]/12)))</f>
        <v>74347.181326126229</v>
      </c>
      <c r="R34" s="2">
        <f>IF(MONTH(Table1[[#This Row],[Date]])=2,28,DAY(DATE(YEAR(Table1[[#This Row],[Date]]),MONTH(Table1[[#This Row],[Date]])+1,1)-1))</f>
        <v>31</v>
      </c>
      <c r="S34" s="2">
        <f ca="1">SUM(OFFSET(Table1[[#Headers],[Days in month]],1,0):Table1[[#This Row],[Days in month]])</f>
        <v>549</v>
      </c>
      <c r="T34" s="37">
        <f>InterestRate*AmortizationMultiplier*IF(ISNUMBER(SEARCH("Actual",$C$7)),Table1[[#This Row],[Days in month]]/365,1/12)</f>
        <v>6.0708333333333326E-3</v>
      </c>
    </row>
    <row r="35" spans="2:20" x14ac:dyDescent="0.2">
      <c r="B35" s="1">
        <v>46418</v>
      </c>
      <c r="C35" s="2">
        <f t="shared" si="1"/>
        <v>19</v>
      </c>
      <c r="D35" s="3">
        <f t="shared" si="3"/>
        <v>8048877.5300000021</v>
      </c>
      <c r="E35" s="3">
        <f>ROUND(Table1[[#This Row],[Beginning Balance]]*Table1[[#This Row],[Monthly Interest Rate]],2)</f>
        <v>48863.39</v>
      </c>
      <c r="F35" s="3">
        <f t="shared" si="2"/>
        <v>333</v>
      </c>
      <c r="G35" s="23">
        <f>IFERROR(IF($C$13="No","N/A",IF(Table1[[#This Row],[Period]]=1,$C$6,PMT(InterestRate*AmortizationMultiplier/12,Table1[[#This Row],[Am Thru]],-Table1[[#This Row],[Beginning Balance]]))),0)</f>
        <v>55644.724820386218</v>
      </c>
      <c r="H35" s="3">
        <f>MAX(0,IF(C35=$C$4,D35,ROUND(IF($C$3="Fixed Principal",$C$6-Table1[[#This Row],[Interest]],IF($C$3="Interest Only",Table1[[#This Row],[Beginning Balance]]*ROUND(1-(1-IF($C$11="No",$E$8,1))^(1/12),6),MIN(IF($C$13="Yes",Table1[[#This Row],[Payment Amount (Reamortized)]],$C$6)-Table1[[#This Row],[Interest]],Table1[[#This Row],[Beginning Balance]]))),2)))</f>
        <v>6781.33</v>
      </c>
      <c r="I35" s="3">
        <f>_xlfn.SINGLE(IF($C$3="Line of Credit",0,ROUND(MAX(MIN(IF($C$10="No",$E$7,VLOOKUP(Table1[[#This Row],[Period]],Forecast!$H$2:$L$1048576,4,FALSE))*Table1[[#This Row],[Beginning Balance]],Table1[[#This Row],[Beginning Balance]]-Table1[[#This Row],[Principal]]),0),2)))</f>
        <v>22963.45</v>
      </c>
      <c r="J35" s="3">
        <f>ROUND(MIN(Table1[[#This Row],[Beginning Balance]]*IF($C$8="No",$E$3,VLOOKUP(Table1[[#This Row],[Period]],Forecast!$H$2:$L$1048576,2,FALSE)),Table1[[#This Row],[Beginning Balance]]-Table1[[#This Row],[Principal]]-Table1[[#This Row],[Prepayments]]),2)</f>
        <v>4539.57</v>
      </c>
      <c r="K35" s="3">
        <f>ROUND(Table1[[#This Row],[Defaulted Principal]]*IF($C$9="No",$E$4,VLOOKUP(Table1[[#This Row],[Period]],Forecast!$H$2:$L$1048576,3,FALSE)),2)</f>
        <v>374.19</v>
      </c>
      <c r="L35" s="2">
        <f>Table1[[#This Row],[Period]]+$E$9</f>
        <v>31</v>
      </c>
      <c r="M35" s="3">
        <f>Table1[[#This Row],[Defaulted Principal]]-Table1[[#This Row],[Estimated Loss]]</f>
        <v>4165.38</v>
      </c>
      <c r="N35" s="3">
        <f>IFERROR(VLOOKUP(Table1[[#This Row],[Period]],$L$16:$M$385,2,FALSE),0)</f>
        <v>3875.5600000000004</v>
      </c>
      <c r="O35" s="3">
        <f>Table1[[#This Row],[Beginning Balance]]-Table1[[#This Row],[Principal]]-Table1[[#This Row],[Prepayments]]-Table1[[#This Row],[Defaulted Principal]]</f>
        <v>8014593.1800000016</v>
      </c>
      <c r="P35" s="3">
        <f>Table1[[#This Row],[Principal]]+Table1[[#This Row],[Interest]]+Table1[[#This Row],[Prepayments]]+Table1[[#This Row],[RecoveredAmount]]</f>
        <v>82483.73</v>
      </c>
      <c r="Q35" s="3">
        <f ca="1">Table1[[#This Row],[Cash Flow]]/((1+ActualRateToUse)^(IF(ISNUMBER(SEARCH("Actual",$C$7)),Table1[[#This Row],[Running Total]]/365,Table1[[#This Row],[Period]]/12)))</f>
        <v>73603.889463827829</v>
      </c>
      <c r="R35" s="2">
        <f>IF(MONTH(Table1[[#This Row],[Date]])=2,28,DAY(DATE(YEAR(Table1[[#This Row],[Date]]),MONTH(Table1[[#This Row],[Date]])+1,1)-1))</f>
        <v>31</v>
      </c>
      <c r="S35" s="2">
        <f ca="1">SUM(OFFSET(Table1[[#Headers],[Days in month]],1,0):Table1[[#This Row],[Days in month]])</f>
        <v>580</v>
      </c>
      <c r="T35" s="37">
        <f>InterestRate*AmortizationMultiplier*IF(ISNUMBER(SEARCH("Actual",$C$7)),Table1[[#This Row],[Days in month]]/365,1/12)</f>
        <v>6.0708333333333326E-3</v>
      </c>
    </row>
    <row r="36" spans="2:20" x14ac:dyDescent="0.2">
      <c r="B36" s="1">
        <v>46446</v>
      </c>
      <c r="C36" s="2">
        <f t="shared" si="1"/>
        <v>20</v>
      </c>
      <c r="D36" s="3">
        <f t="shared" si="3"/>
        <v>8014593.1800000016</v>
      </c>
      <c r="E36" s="3">
        <f>ROUND(Table1[[#This Row],[Beginning Balance]]*Table1[[#This Row],[Monthly Interest Rate]],2)</f>
        <v>43946.69</v>
      </c>
      <c r="F36" s="3">
        <f t="shared" si="2"/>
        <v>332</v>
      </c>
      <c r="G36" s="23">
        <f>IFERROR(IF($C$13="No","N/A",IF(Table1[[#This Row],[Period]]=1,$C$6,PMT(InterestRate*AmortizationMultiplier/12,Table1[[#This Row],[Am Thru]],-Table1[[#This Row],[Beginning Balance]]))),0)</f>
        <v>55460.767398222801</v>
      </c>
      <c r="H36" s="3">
        <f>MAX(0,IF(C36=$C$4,D36,ROUND(IF($C$3="Fixed Principal",$C$6-Table1[[#This Row],[Interest]],IF($C$3="Interest Only",Table1[[#This Row],[Beginning Balance]]*ROUND(1-(1-IF($C$11="No",$E$8,1))^(1/12),6),MIN(IF($C$13="Yes",Table1[[#This Row],[Payment Amount (Reamortized)]],$C$6)-Table1[[#This Row],[Interest]],Table1[[#This Row],[Beginning Balance]]))),2)))</f>
        <v>11514.08</v>
      </c>
      <c r="I36" s="3">
        <f>_xlfn.SINGLE(IF($C$3="Line of Credit",0,ROUND(MAX(MIN(IF($C$10="No",$E$7,VLOOKUP(Table1[[#This Row],[Period]],Forecast!$H$2:$L$1048576,4,FALSE))*Table1[[#This Row],[Beginning Balance]],Table1[[#This Row],[Beginning Balance]]-Table1[[#This Row],[Principal]]),0),2)))</f>
        <v>22865.63</v>
      </c>
      <c r="J36" s="3">
        <f>ROUND(MIN(Table1[[#This Row],[Beginning Balance]]*IF($C$8="No",$E$3,VLOOKUP(Table1[[#This Row],[Period]],Forecast!$H$2:$L$1048576,2,FALSE)),Table1[[#This Row],[Beginning Balance]]-Table1[[#This Row],[Principal]]-Table1[[#This Row],[Prepayments]]),2)</f>
        <v>4520.2299999999996</v>
      </c>
      <c r="K36" s="3">
        <f>ROUND(Table1[[#This Row],[Defaulted Principal]]*IF($C$9="No",$E$4,VLOOKUP(Table1[[#This Row],[Period]],Forecast!$H$2:$L$1048576,3,FALSE)),2)</f>
        <v>372.6</v>
      </c>
      <c r="L36" s="2">
        <f>Table1[[#This Row],[Period]]+$E$9</f>
        <v>32</v>
      </c>
      <c r="M36" s="3">
        <f>Table1[[#This Row],[Defaulted Principal]]-Table1[[#This Row],[Estimated Loss]]</f>
        <v>4147.6299999999992</v>
      </c>
      <c r="N36" s="3">
        <f>IFERROR(VLOOKUP(Table1[[#This Row],[Period]],$L$16:$M$385,2,FALSE),0)</f>
        <v>3859.61</v>
      </c>
      <c r="O36" s="3">
        <f>Table1[[#This Row],[Beginning Balance]]-Table1[[#This Row],[Principal]]-Table1[[#This Row],[Prepayments]]-Table1[[#This Row],[Defaulted Principal]]</f>
        <v>7975693.2400000012</v>
      </c>
      <c r="P36" s="3">
        <f>Table1[[#This Row],[Principal]]+Table1[[#This Row],[Interest]]+Table1[[#This Row],[Prepayments]]+Table1[[#This Row],[RecoveredAmount]]</f>
        <v>82186.010000000009</v>
      </c>
      <c r="Q36" s="3">
        <f ca="1">Table1[[#This Row],[Cash Flow]]/((1+ActualRateToUse)^(IF(ISNUMBER(SEARCH("Actual",$C$7)),Table1[[#This Row],[Running Total]]/365,Table1[[#This Row],[Period]]/12)))</f>
        <v>72936.05706744807</v>
      </c>
      <c r="R36" s="2">
        <f>IF(MONTH(Table1[[#This Row],[Date]])=2,28,DAY(DATE(YEAR(Table1[[#This Row],[Date]]),MONTH(Table1[[#This Row],[Date]])+1,1)-1))</f>
        <v>28</v>
      </c>
      <c r="S36" s="2">
        <f ca="1">SUM(OFFSET(Table1[[#Headers],[Days in month]],1,0):Table1[[#This Row],[Days in month]])</f>
        <v>608</v>
      </c>
      <c r="T36" s="37">
        <f>InterestRate*AmortizationMultiplier*IF(ISNUMBER(SEARCH("Actual",$C$7)),Table1[[#This Row],[Days in month]]/365,1/12)</f>
        <v>5.4833333333333331E-3</v>
      </c>
    </row>
    <row r="37" spans="2:20" x14ac:dyDescent="0.2">
      <c r="B37" s="1">
        <v>46477</v>
      </c>
      <c r="C37" s="2">
        <f t="shared" si="1"/>
        <v>21</v>
      </c>
      <c r="D37" s="3">
        <f t="shared" si="3"/>
        <v>7975693.2400000012</v>
      </c>
      <c r="E37" s="3">
        <f>ROUND(Table1[[#This Row],[Beginning Balance]]*Table1[[#This Row],[Monthly Interest Rate]],2)</f>
        <v>48419.1</v>
      </c>
      <c r="F37" s="3">
        <f t="shared" si="2"/>
        <v>331</v>
      </c>
      <c r="G37" s="23">
        <f>IFERROR(IF($C$13="No","N/A",IF(Table1[[#This Row],[Period]]=1,$C$6,PMT(InterestRate*AmortizationMultiplier/12,Table1[[#This Row],[Am Thru]],-Table1[[#This Row],[Beginning Balance]]))),0)</f>
        <v>55244.802366102165</v>
      </c>
      <c r="H37" s="3">
        <f>MAX(0,IF(C37=$C$4,D37,ROUND(IF($C$3="Fixed Principal",$C$6-Table1[[#This Row],[Interest]],IF($C$3="Interest Only",Table1[[#This Row],[Beginning Balance]]*ROUND(1-(1-IF($C$11="No",$E$8,1))^(1/12),6),MIN(IF($C$13="Yes",Table1[[#This Row],[Payment Amount (Reamortized)]],$C$6)-Table1[[#This Row],[Interest]],Table1[[#This Row],[Beginning Balance]]))),2)))</f>
        <v>6825.7</v>
      </c>
      <c r="I37" s="3">
        <f>_xlfn.SINGLE(IF($C$3="Line of Credit",0,ROUND(MAX(MIN(IF($C$10="No",$E$7,VLOOKUP(Table1[[#This Row],[Period]],Forecast!$H$2:$L$1048576,4,FALSE))*Table1[[#This Row],[Beginning Balance]],Table1[[#This Row],[Beginning Balance]]-Table1[[#This Row],[Principal]]),0),2)))</f>
        <v>22754.65</v>
      </c>
      <c r="J37" s="3">
        <f>ROUND(MIN(Table1[[#This Row],[Beginning Balance]]*IF($C$8="No",$E$3,VLOOKUP(Table1[[#This Row],[Period]],Forecast!$H$2:$L$1048576,2,FALSE)),Table1[[#This Row],[Beginning Balance]]-Table1[[#This Row],[Principal]]-Table1[[#This Row],[Prepayments]]),2)</f>
        <v>4498.29</v>
      </c>
      <c r="K37" s="3">
        <f>ROUND(Table1[[#This Row],[Defaulted Principal]]*IF($C$9="No",$E$4,VLOOKUP(Table1[[#This Row],[Period]],Forecast!$H$2:$L$1048576,3,FALSE)),2)</f>
        <v>370.79</v>
      </c>
      <c r="L37" s="2">
        <f>Table1[[#This Row],[Period]]+$E$9</f>
        <v>33</v>
      </c>
      <c r="M37" s="3">
        <f>Table1[[#This Row],[Defaulted Principal]]-Table1[[#This Row],[Estimated Loss]]</f>
        <v>4127.5</v>
      </c>
      <c r="N37" s="3">
        <f>IFERROR(VLOOKUP(Table1[[#This Row],[Period]],$L$16:$M$385,2,FALSE),0)</f>
        <v>3841.4300000000003</v>
      </c>
      <c r="O37" s="3">
        <f>Table1[[#This Row],[Beginning Balance]]-Table1[[#This Row],[Principal]]-Table1[[#This Row],[Prepayments]]-Table1[[#This Row],[Defaulted Principal]]</f>
        <v>7941614.6000000006</v>
      </c>
      <c r="P37" s="3">
        <f>Table1[[#This Row],[Principal]]+Table1[[#This Row],[Interest]]+Table1[[#This Row],[Prepayments]]+Table1[[#This Row],[RecoveredAmount]]</f>
        <v>81840.88</v>
      </c>
      <c r="Q37" s="3">
        <f ca="1">Table1[[#This Row],[Cash Flow]]/((1+ActualRateToUse)^(IF(ISNUMBER(SEARCH("Actual",$C$7)),Table1[[#This Row],[Running Total]]/365,Table1[[#This Row],[Period]]/12)))</f>
        <v>72188.949405502208</v>
      </c>
      <c r="R37" s="2">
        <f>IF(MONTH(Table1[[#This Row],[Date]])=2,28,DAY(DATE(YEAR(Table1[[#This Row],[Date]]),MONTH(Table1[[#This Row],[Date]])+1,1)-1))</f>
        <v>31</v>
      </c>
      <c r="S37" s="2">
        <f ca="1">SUM(OFFSET(Table1[[#Headers],[Days in month]],1,0):Table1[[#This Row],[Days in month]])</f>
        <v>639</v>
      </c>
      <c r="T37" s="37">
        <f>InterestRate*AmortizationMultiplier*IF(ISNUMBER(SEARCH("Actual",$C$7)),Table1[[#This Row],[Days in month]]/365,1/12)</f>
        <v>6.0708333333333326E-3</v>
      </c>
    </row>
    <row r="38" spans="2:20" x14ac:dyDescent="0.2">
      <c r="B38" s="1">
        <v>46507</v>
      </c>
      <c r="C38" s="2">
        <f t="shared" si="1"/>
        <v>22</v>
      </c>
      <c r="D38" s="3">
        <f t="shared" si="3"/>
        <v>7941614.6000000006</v>
      </c>
      <c r="E38" s="3">
        <f>ROUND(Table1[[#This Row],[Beginning Balance]]*Table1[[#This Row],[Monthly Interest Rate]],2)</f>
        <v>46656.99</v>
      </c>
      <c r="F38" s="3">
        <f t="shared" si="2"/>
        <v>330</v>
      </c>
      <c r="G38" s="23">
        <f>IFERROR(IF($C$13="No","N/A",IF(Table1[[#This Row],[Period]]=1,$C$6,PMT(InterestRate*AmortizationMultiplier/12,Table1[[#This Row],[Am Thru]],-Table1[[#This Row],[Beginning Balance]]))),0)</f>
        <v>55062.16467275162</v>
      </c>
      <c r="H38" s="3">
        <f>MAX(0,IF(C38=$C$4,D38,ROUND(IF($C$3="Fixed Principal",$C$6-Table1[[#This Row],[Interest]],IF($C$3="Interest Only",Table1[[#This Row],[Beginning Balance]]*ROUND(1-(1-IF($C$11="No",$E$8,1))^(1/12),6),MIN(IF($C$13="Yes",Table1[[#This Row],[Payment Amount (Reamortized)]],$C$6)-Table1[[#This Row],[Interest]],Table1[[#This Row],[Beginning Balance]]))),2)))</f>
        <v>8405.17</v>
      </c>
      <c r="I38" s="3">
        <f>_xlfn.SINGLE(IF($C$3="Line of Credit",0,ROUND(MAX(MIN(IF($C$10="No",$E$7,VLOOKUP(Table1[[#This Row],[Period]],Forecast!$H$2:$L$1048576,4,FALSE))*Table1[[#This Row],[Beginning Balance]],Table1[[#This Row],[Beginning Balance]]-Table1[[#This Row],[Principal]]),0),2)))</f>
        <v>22657.43</v>
      </c>
      <c r="J38" s="3">
        <f>ROUND(MIN(Table1[[#This Row],[Beginning Balance]]*IF($C$8="No",$E$3,VLOOKUP(Table1[[#This Row],[Period]],Forecast!$H$2:$L$1048576,2,FALSE)),Table1[[#This Row],[Beginning Balance]]-Table1[[#This Row],[Principal]]-Table1[[#This Row],[Prepayments]]),2)</f>
        <v>4669.67</v>
      </c>
      <c r="K38" s="3">
        <f>ROUND(Table1[[#This Row],[Defaulted Principal]]*IF($C$9="No",$E$4,VLOOKUP(Table1[[#This Row],[Period]],Forecast!$H$2:$L$1048576,3,FALSE)),2)</f>
        <v>389.1</v>
      </c>
      <c r="L38" s="2">
        <f>Table1[[#This Row],[Period]]+$E$9</f>
        <v>34</v>
      </c>
      <c r="M38" s="3">
        <f>Table1[[#This Row],[Defaulted Principal]]-Table1[[#This Row],[Estimated Loss]]</f>
        <v>4280.57</v>
      </c>
      <c r="N38" s="3">
        <f>IFERROR(VLOOKUP(Table1[[#This Row],[Period]],$L$16:$M$385,2,FALSE),0)</f>
        <v>3787.8599999999997</v>
      </c>
      <c r="O38" s="3">
        <f>Table1[[#This Row],[Beginning Balance]]-Table1[[#This Row],[Principal]]-Table1[[#This Row],[Prepayments]]-Table1[[#This Row],[Defaulted Principal]]</f>
        <v>7905882.330000001</v>
      </c>
      <c r="P38" s="3">
        <f>Table1[[#This Row],[Principal]]+Table1[[#This Row],[Interest]]+Table1[[#This Row],[Prepayments]]+Table1[[#This Row],[RecoveredAmount]]</f>
        <v>81507.45</v>
      </c>
      <c r="Q38" s="3">
        <f ca="1">Table1[[#This Row],[Cash Flow]]/((1+ActualRateToUse)^(IF(ISNUMBER(SEARCH("Actual",$C$7)),Table1[[#This Row],[Running Total]]/365,Table1[[#This Row],[Period]]/12)))</f>
        <v>71472.51622282411</v>
      </c>
      <c r="R38" s="2">
        <f>IF(MONTH(Table1[[#This Row],[Date]])=2,28,DAY(DATE(YEAR(Table1[[#This Row],[Date]]),MONTH(Table1[[#This Row],[Date]])+1,1)-1))</f>
        <v>30</v>
      </c>
      <c r="S38" s="2">
        <f ca="1">SUM(OFFSET(Table1[[#Headers],[Days in month]],1,0):Table1[[#This Row],[Days in month]])</f>
        <v>669</v>
      </c>
      <c r="T38" s="37">
        <f>InterestRate*AmortizationMultiplier*IF(ISNUMBER(SEARCH("Actual",$C$7)),Table1[[#This Row],[Days in month]]/365,1/12)</f>
        <v>5.8749999999999991E-3</v>
      </c>
    </row>
    <row r="39" spans="2:20" x14ac:dyDescent="0.2">
      <c r="B39" s="1">
        <v>46538</v>
      </c>
      <c r="C39" s="2">
        <f t="shared" si="1"/>
        <v>23</v>
      </c>
      <c r="D39" s="3">
        <f t="shared" si="3"/>
        <v>7905882.330000001</v>
      </c>
      <c r="E39" s="3">
        <f>ROUND(Table1[[#This Row],[Beginning Balance]]*Table1[[#This Row],[Monthly Interest Rate]],2)</f>
        <v>47995.29</v>
      </c>
      <c r="F39" s="3">
        <f t="shared" si="2"/>
        <v>329</v>
      </c>
      <c r="G39" s="23">
        <f>IFERROR(IF($C$13="No","N/A",IF(Table1[[#This Row],[Period]]=1,$C$6,PMT(InterestRate*AmortizationMultiplier/12,Table1[[#This Row],[Am Thru]],-Table1[[#This Row],[Beginning Balance]]))),0)</f>
        <v>54868.013235126127</v>
      </c>
      <c r="H39" s="3">
        <f>MAX(0,IF(C39=$C$4,D39,ROUND(IF($C$3="Fixed Principal",$C$6-Table1[[#This Row],[Interest]],IF($C$3="Interest Only",Table1[[#This Row],[Beginning Balance]]*ROUND(1-(1-IF($C$11="No",$E$8,1))^(1/12),6),MIN(IF($C$13="Yes",Table1[[#This Row],[Payment Amount (Reamortized)]],$C$6)-Table1[[#This Row],[Interest]],Table1[[#This Row],[Beginning Balance]]))),2)))</f>
        <v>6872.72</v>
      </c>
      <c r="I39" s="3">
        <f>_xlfn.SINGLE(IF($C$3="Line of Credit",0,ROUND(MAX(MIN(IF($C$10="No",$E$7,VLOOKUP(Table1[[#This Row],[Period]],Forecast!$H$2:$L$1048576,4,FALSE))*Table1[[#This Row],[Beginning Balance]],Table1[[#This Row],[Beginning Balance]]-Table1[[#This Row],[Principal]]),0),2)))</f>
        <v>22555.48</v>
      </c>
      <c r="J39" s="3">
        <f>ROUND(MIN(Table1[[#This Row],[Beginning Balance]]*IF($C$8="No",$E$3,VLOOKUP(Table1[[#This Row],[Period]],Forecast!$H$2:$L$1048576,2,FALSE)),Table1[[#This Row],[Beginning Balance]]-Table1[[#This Row],[Principal]]-Table1[[#This Row],[Prepayments]]),2)</f>
        <v>4648.66</v>
      </c>
      <c r="K39" s="3">
        <f>ROUND(Table1[[#This Row],[Defaulted Principal]]*IF($C$9="No",$E$4,VLOOKUP(Table1[[#This Row],[Period]],Forecast!$H$2:$L$1048576,3,FALSE)),2)</f>
        <v>387.34</v>
      </c>
      <c r="L39" s="2">
        <f>Table1[[#This Row],[Period]]+$E$9</f>
        <v>35</v>
      </c>
      <c r="M39" s="3">
        <f>Table1[[#This Row],[Defaulted Principal]]-Table1[[#This Row],[Estimated Loss]]</f>
        <v>4261.32</v>
      </c>
      <c r="N39" s="3">
        <f>IFERROR(VLOOKUP(Table1[[#This Row],[Period]],$L$16:$M$385,2,FALSE),0)</f>
        <v>3771.4800000000005</v>
      </c>
      <c r="O39" s="3">
        <f>Table1[[#This Row],[Beginning Balance]]-Table1[[#This Row],[Principal]]-Table1[[#This Row],[Prepayments]]-Table1[[#This Row],[Defaulted Principal]]</f>
        <v>7871805.4700000007</v>
      </c>
      <c r="P39" s="3">
        <f>Table1[[#This Row],[Principal]]+Table1[[#This Row],[Interest]]+Table1[[#This Row],[Prepayments]]+Table1[[#This Row],[RecoveredAmount]]</f>
        <v>81194.97</v>
      </c>
      <c r="Q39" s="3">
        <f ca="1">Table1[[#This Row],[Cash Flow]]/((1+ActualRateToUse)^(IF(ISNUMBER(SEARCH("Actual",$C$7)),Table1[[#This Row],[Running Total]]/365,Table1[[#This Row],[Period]]/12)))</f>
        <v>70766.3730136511</v>
      </c>
      <c r="R39" s="2">
        <f>IF(MONTH(Table1[[#This Row],[Date]])=2,28,DAY(DATE(YEAR(Table1[[#This Row],[Date]]),MONTH(Table1[[#This Row],[Date]])+1,1)-1))</f>
        <v>31</v>
      </c>
      <c r="S39" s="2">
        <f ca="1">SUM(OFFSET(Table1[[#Headers],[Days in month]],1,0):Table1[[#This Row],[Days in month]])</f>
        <v>700</v>
      </c>
      <c r="T39" s="37">
        <f>InterestRate*AmortizationMultiplier*IF(ISNUMBER(SEARCH("Actual",$C$7)),Table1[[#This Row],[Days in month]]/365,1/12)</f>
        <v>6.0708333333333326E-3</v>
      </c>
    </row>
    <row r="40" spans="2:20" x14ac:dyDescent="0.2">
      <c r="B40" s="1">
        <v>46568</v>
      </c>
      <c r="C40" s="2">
        <f t="shared" si="1"/>
        <v>24</v>
      </c>
      <c r="D40" s="3">
        <f t="shared" si="3"/>
        <v>7871805.4700000007</v>
      </c>
      <c r="E40" s="3">
        <f>ROUND(Table1[[#This Row],[Beginning Balance]]*Table1[[#This Row],[Monthly Interest Rate]],2)</f>
        <v>46246.86</v>
      </c>
      <c r="F40" s="3">
        <f t="shared" si="2"/>
        <v>328</v>
      </c>
      <c r="G40" s="23">
        <f>IFERROR(IF($C$13="No","N/A",IF(Table1[[#This Row],[Period]]=1,$C$6,PMT(InterestRate*AmortizationMultiplier/12,Table1[[#This Row],[Am Thru]],-Table1[[#This Row],[Beginning Balance]]))),0)</f>
        <v>54685.300604892145</v>
      </c>
      <c r="H40" s="3">
        <f>MAX(0,IF(C40=$C$4,D40,ROUND(IF($C$3="Fixed Principal",$C$6-Table1[[#This Row],[Interest]],IF($C$3="Interest Only",Table1[[#This Row],[Beginning Balance]]*ROUND(1-(1-IF($C$11="No",$E$8,1))^(1/12),6),MIN(IF($C$13="Yes",Table1[[#This Row],[Payment Amount (Reamortized)]],$C$6)-Table1[[#This Row],[Interest]],Table1[[#This Row],[Beginning Balance]]))),2)))</f>
        <v>8438.44</v>
      </c>
      <c r="I40" s="3">
        <f>_xlfn.SINGLE(IF($C$3="Line of Credit",0,ROUND(MAX(MIN(IF($C$10="No",$E$7,VLOOKUP(Table1[[#This Row],[Period]],Forecast!$H$2:$L$1048576,4,FALSE))*Table1[[#This Row],[Beginning Balance]],Table1[[#This Row],[Beginning Balance]]-Table1[[#This Row],[Principal]]),0),2)))</f>
        <v>22458.26</v>
      </c>
      <c r="J40" s="3">
        <f>ROUND(MIN(Table1[[#This Row],[Beginning Balance]]*IF($C$8="No",$E$3,VLOOKUP(Table1[[#This Row],[Period]],Forecast!$H$2:$L$1048576,2,FALSE)),Table1[[#This Row],[Beginning Balance]]-Table1[[#This Row],[Principal]]-Table1[[#This Row],[Prepayments]]),2)</f>
        <v>4628.62</v>
      </c>
      <c r="K40" s="3">
        <f>ROUND(Table1[[#This Row],[Defaulted Principal]]*IF($C$9="No",$E$4,VLOOKUP(Table1[[#This Row],[Period]],Forecast!$H$2:$L$1048576,3,FALSE)),2)</f>
        <v>385.68</v>
      </c>
      <c r="L40" s="2">
        <f>Table1[[#This Row],[Period]]+$E$9</f>
        <v>36</v>
      </c>
      <c r="M40" s="3">
        <f>Table1[[#This Row],[Defaulted Principal]]-Table1[[#This Row],[Estimated Loss]]</f>
        <v>4242.9399999999996</v>
      </c>
      <c r="N40" s="3">
        <f>IFERROR(VLOOKUP(Table1[[#This Row],[Period]],$L$16:$M$385,2,FALSE),0)</f>
        <v>3755.88</v>
      </c>
      <c r="O40" s="3">
        <f>Table1[[#This Row],[Beginning Balance]]-Table1[[#This Row],[Principal]]-Table1[[#This Row],[Prepayments]]-Table1[[#This Row],[Defaulted Principal]]</f>
        <v>7836280.1500000004</v>
      </c>
      <c r="P40" s="3">
        <f>Table1[[#This Row],[Principal]]+Table1[[#This Row],[Interest]]+Table1[[#This Row],[Prepayments]]+Table1[[#This Row],[RecoveredAmount]]</f>
        <v>80899.44</v>
      </c>
      <c r="Q40" s="3">
        <f ca="1">Table1[[#This Row],[Cash Flow]]/((1+ActualRateToUse)^(IF(ISNUMBER(SEARCH("Actual",$C$7)),Table1[[#This Row],[Running Total]]/365,Table1[[#This Row],[Period]]/12)))</f>
        <v>70094.616140468599</v>
      </c>
      <c r="R40" s="2">
        <f>IF(MONTH(Table1[[#This Row],[Date]])=2,28,DAY(DATE(YEAR(Table1[[#This Row],[Date]]),MONTH(Table1[[#This Row],[Date]])+1,1)-1))</f>
        <v>30</v>
      </c>
      <c r="S40" s="2">
        <f ca="1">SUM(OFFSET(Table1[[#Headers],[Days in month]],1,0):Table1[[#This Row],[Days in month]])</f>
        <v>730</v>
      </c>
      <c r="T40" s="37">
        <f>InterestRate*AmortizationMultiplier*IF(ISNUMBER(SEARCH("Actual",$C$7)),Table1[[#This Row],[Days in month]]/365,1/12)</f>
        <v>5.8749999999999991E-3</v>
      </c>
    </row>
    <row r="41" spans="2:20" x14ac:dyDescent="0.2">
      <c r="B41" s="1">
        <v>46599</v>
      </c>
      <c r="C41" s="2">
        <f t="shared" si="1"/>
        <v>25</v>
      </c>
      <c r="D41" s="3">
        <f t="shared" si="3"/>
        <v>7836280.1500000004</v>
      </c>
      <c r="E41" s="3">
        <f>ROUND(Table1[[#This Row],[Beginning Balance]]*Table1[[#This Row],[Monthly Interest Rate]],2)</f>
        <v>47572.75</v>
      </c>
      <c r="F41" s="3">
        <f t="shared" si="2"/>
        <v>327</v>
      </c>
      <c r="G41" s="23">
        <f>IFERROR(IF($C$13="No","N/A",IF(Table1[[#This Row],[Period]]=1,$C$6,PMT(InterestRate*AmortizationMultiplier/12,Table1[[#This Row],[Am Thru]],-Table1[[#This Row],[Beginning Balance]]))),0)</f>
        <v>54492.475387801103</v>
      </c>
      <c r="H41" s="3">
        <f>MAX(0,IF(C41=$C$4,D41,ROUND(IF($C$3="Fixed Principal",$C$6-Table1[[#This Row],[Interest]],IF($C$3="Interest Only",Table1[[#This Row],[Beginning Balance]]*ROUND(1-(1-IF($C$11="No",$E$8,1))^(1/12),6),MIN(IF($C$13="Yes",Table1[[#This Row],[Payment Amount (Reamortized)]],$C$6)-Table1[[#This Row],[Interest]],Table1[[#This Row],[Beginning Balance]]))),2)))</f>
        <v>6919.73</v>
      </c>
      <c r="I41" s="3">
        <f>_xlfn.SINGLE(IF($C$3="Line of Credit",0,ROUND(MAX(MIN(IF($C$10="No",$E$7,VLOOKUP(Table1[[#This Row],[Period]],Forecast!$H$2:$L$1048576,4,FALSE))*Table1[[#This Row],[Beginning Balance]],Table1[[#This Row],[Beginning Balance]]-Table1[[#This Row],[Principal]]),0),2)))</f>
        <v>22356.91</v>
      </c>
      <c r="J41" s="3">
        <f>ROUND(MIN(Table1[[#This Row],[Beginning Balance]]*IF($C$8="No",$E$3,VLOOKUP(Table1[[#This Row],[Period]],Forecast!$H$2:$L$1048576,2,FALSE)),Table1[[#This Row],[Beginning Balance]]-Table1[[#This Row],[Principal]]-Table1[[#This Row],[Prepayments]]),2)</f>
        <v>4787.97</v>
      </c>
      <c r="K41" s="3">
        <f>ROUND(Table1[[#This Row],[Defaulted Principal]]*IF($C$9="No",$E$4,VLOOKUP(Table1[[#This Row],[Period]],Forecast!$H$2:$L$1048576,3,FALSE)),2)</f>
        <v>403.13</v>
      </c>
      <c r="L41" s="2">
        <f>Table1[[#This Row],[Period]]+$E$9</f>
        <v>37</v>
      </c>
      <c r="M41" s="3">
        <f>Table1[[#This Row],[Defaulted Principal]]-Table1[[#This Row],[Estimated Loss]]</f>
        <v>4384.84</v>
      </c>
      <c r="N41" s="3">
        <f>IFERROR(VLOOKUP(Table1[[#This Row],[Period]],$L$16:$M$385,2,FALSE),0)</f>
        <v>3917.84</v>
      </c>
      <c r="O41" s="3">
        <f>Table1[[#This Row],[Beginning Balance]]-Table1[[#This Row],[Principal]]-Table1[[#This Row],[Prepayments]]-Table1[[#This Row],[Defaulted Principal]]</f>
        <v>7802215.54</v>
      </c>
      <c r="P41" s="3">
        <f>Table1[[#This Row],[Principal]]+Table1[[#This Row],[Interest]]+Table1[[#This Row],[Prepayments]]+Table1[[#This Row],[RecoveredAmount]]</f>
        <v>80767.23</v>
      </c>
      <c r="Q41" s="3">
        <f ca="1">Table1[[#This Row],[Cash Flow]]/((1+ActualRateToUse)^(IF(ISNUMBER(SEARCH("Actual",$C$7)),Table1[[#This Row],[Running Total]]/365,Table1[[#This Row],[Period]]/12)))</f>
        <v>69555.324465107216</v>
      </c>
      <c r="R41" s="2">
        <f>IF(MONTH(Table1[[#This Row],[Date]])=2,28,DAY(DATE(YEAR(Table1[[#This Row],[Date]]),MONTH(Table1[[#This Row],[Date]])+1,1)-1))</f>
        <v>31</v>
      </c>
      <c r="S41" s="2">
        <f ca="1">SUM(OFFSET(Table1[[#Headers],[Days in month]],1,0):Table1[[#This Row],[Days in month]])</f>
        <v>761</v>
      </c>
      <c r="T41" s="37">
        <f>InterestRate*AmortizationMultiplier*IF(ISNUMBER(SEARCH("Actual",$C$7)),Table1[[#This Row],[Days in month]]/365,1/12)</f>
        <v>6.0708333333333326E-3</v>
      </c>
    </row>
    <row r="42" spans="2:20" x14ac:dyDescent="0.2">
      <c r="B42" s="1">
        <v>46630</v>
      </c>
      <c r="C42" s="2">
        <f t="shared" si="1"/>
        <v>26</v>
      </c>
      <c r="D42" s="3">
        <f t="shared" si="3"/>
        <v>7802215.54</v>
      </c>
      <c r="E42" s="3">
        <f>ROUND(Table1[[#This Row],[Beginning Balance]]*Table1[[#This Row],[Monthly Interest Rate]],2)</f>
        <v>47365.95</v>
      </c>
      <c r="F42" s="3">
        <f t="shared" si="2"/>
        <v>326</v>
      </c>
      <c r="G42" s="23">
        <f>IFERROR(IF($C$13="No","N/A",IF(Table1[[#This Row],[Period]]=1,$C$6,PMT(InterestRate*AmortizationMultiplier/12,Table1[[#This Row],[Am Thru]],-Table1[[#This Row],[Beginning Balance]]))),0)</f>
        <v>54309.756164666091</v>
      </c>
      <c r="H42" s="3">
        <f>MAX(0,IF(C42=$C$4,D42,ROUND(IF($C$3="Fixed Principal",$C$6-Table1[[#This Row],[Interest]],IF($C$3="Interest Only",Table1[[#This Row],[Beginning Balance]]*ROUND(1-(1-IF($C$11="No",$E$8,1))^(1/12),6),MIN(IF($C$13="Yes",Table1[[#This Row],[Payment Amount (Reamortized)]],$C$6)-Table1[[#This Row],[Interest]],Table1[[#This Row],[Beginning Balance]]))),2)))</f>
        <v>6943.81</v>
      </c>
      <c r="I42" s="3">
        <f>_xlfn.SINGLE(IF($C$3="Line of Credit",0,ROUND(MAX(MIN(IF($C$10="No",$E$7,VLOOKUP(Table1[[#This Row],[Period]],Forecast!$H$2:$L$1048576,4,FALSE))*Table1[[#This Row],[Beginning Balance]],Table1[[#This Row],[Beginning Balance]]-Table1[[#This Row],[Principal]]),0),2)))</f>
        <v>22259.72</v>
      </c>
      <c r="J42" s="3">
        <f>ROUND(MIN(Table1[[#This Row],[Beginning Balance]]*IF($C$8="No",$E$3,VLOOKUP(Table1[[#This Row],[Period]],Forecast!$H$2:$L$1048576,2,FALSE)),Table1[[#This Row],[Beginning Balance]]-Table1[[#This Row],[Principal]]-Table1[[#This Row],[Prepayments]]),2)</f>
        <v>4767.1499999999996</v>
      </c>
      <c r="K42" s="3">
        <f>ROUND(Table1[[#This Row],[Defaulted Principal]]*IF($C$9="No",$E$4,VLOOKUP(Table1[[#This Row],[Period]],Forecast!$H$2:$L$1048576,3,FALSE)),2)</f>
        <v>401.38</v>
      </c>
      <c r="L42" s="2">
        <f>Table1[[#This Row],[Period]]+$E$9</f>
        <v>38</v>
      </c>
      <c r="M42" s="3">
        <f>Table1[[#This Row],[Defaulted Principal]]-Table1[[#This Row],[Estimated Loss]]</f>
        <v>4365.7699999999995</v>
      </c>
      <c r="N42" s="3">
        <f>IFERROR(VLOOKUP(Table1[[#This Row],[Period]],$L$16:$M$385,2,FALSE),0)</f>
        <v>3901.4900000000002</v>
      </c>
      <c r="O42" s="3">
        <f>Table1[[#This Row],[Beginning Balance]]-Table1[[#This Row],[Principal]]-Table1[[#This Row],[Prepayments]]-Table1[[#This Row],[Defaulted Principal]]</f>
        <v>7768244.8600000003</v>
      </c>
      <c r="P42" s="3">
        <f>Table1[[#This Row],[Principal]]+Table1[[#This Row],[Interest]]+Table1[[#This Row],[Prepayments]]+Table1[[#This Row],[RecoveredAmount]]</f>
        <v>80470.97</v>
      </c>
      <c r="Q42" s="3">
        <f ca="1">Table1[[#This Row],[Cash Flow]]/((1+ActualRateToUse)^(IF(ISNUMBER(SEARCH("Actual",$C$7)),Table1[[#This Row],[Running Total]]/365,Table1[[#This Row],[Period]]/12)))</f>
        <v>68879.577516596808</v>
      </c>
      <c r="R42" s="2">
        <f>IF(MONTH(Table1[[#This Row],[Date]])=2,28,DAY(DATE(YEAR(Table1[[#This Row],[Date]]),MONTH(Table1[[#This Row],[Date]])+1,1)-1))</f>
        <v>31</v>
      </c>
      <c r="S42" s="2">
        <f ca="1">SUM(OFFSET(Table1[[#Headers],[Days in month]],1,0):Table1[[#This Row],[Days in month]])</f>
        <v>792</v>
      </c>
      <c r="T42" s="37">
        <f>InterestRate*AmortizationMultiplier*IF(ISNUMBER(SEARCH("Actual",$C$7)),Table1[[#This Row],[Days in month]]/365,1/12)</f>
        <v>6.0708333333333326E-3</v>
      </c>
    </row>
    <row r="43" spans="2:20" x14ac:dyDescent="0.2">
      <c r="B43" s="1">
        <v>46660</v>
      </c>
      <c r="C43" s="2">
        <f t="shared" si="1"/>
        <v>27</v>
      </c>
      <c r="D43" s="3">
        <f t="shared" si="3"/>
        <v>7768244.8600000003</v>
      </c>
      <c r="E43" s="3">
        <f>ROUND(Table1[[#This Row],[Beginning Balance]]*Table1[[#This Row],[Monthly Interest Rate]],2)</f>
        <v>45638.44</v>
      </c>
      <c r="F43" s="3">
        <f t="shared" si="2"/>
        <v>325</v>
      </c>
      <c r="G43" s="23">
        <f>IFERROR(IF($C$13="No","N/A",IF(Table1[[#This Row],[Period]]=1,$C$6,PMT(InterestRate*AmortizationMultiplier/12,Table1[[#This Row],[Am Thru]],-Table1[[#This Row],[Beginning Balance]]))),0)</f>
        <v>54127.64843368622</v>
      </c>
      <c r="H43" s="3">
        <f>MAX(0,IF(C43=$C$4,D43,ROUND(IF($C$3="Fixed Principal",$C$6-Table1[[#This Row],[Interest]],IF($C$3="Interest Only",Table1[[#This Row],[Beginning Balance]]*ROUND(1-(1-IF($C$11="No",$E$8,1))^(1/12),6),MIN(IF($C$13="Yes",Table1[[#This Row],[Payment Amount (Reamortized)]],$C$6)-Table1[[#This Row],[Interest]],Table1[[#This Row],[Beginning Balance]]))),2)))</f>
        <v>8489.2099999999991</v>
      </c>
      <c r="I43" s="3">
        <f>_xlfn.SINGLE(IF($C$3="Line of Credit",0,ROUND(MAX(MIN(IF($C$10="No",$E$7,VLOOKUP(Table1[[#This Row],[Period]],Forecast!$H$2:$L$1048576,4,FALSE))*Table1[[#This Row],[Beginning Balance]],Table1[[#This Row],[Beginning Balance]]-Table1[[#This Row],[Principal]]),0),2)))</f>
        <v>22162.799999999999</v>
      </c>
      <c r="J43" s="3">
        <f>ROUND(MIN(Table1[[#This Row],[Beginning Balance]]*IF($C$8="No",$E$3,VLOOKUP(Table1[[#This Row],[Period]],Forecast!$H$2:$L$1048576,2,FALSE)),Table1[[#This Row],[Beginning Balance]]-Table1[[#This Row],[Principal]]-Table1[[#This Row],[Prepayments]]),2)</f>
        <v>4746.3999999999996</v>
      </c>
      <c r="K43" s="3">
        <f>ROUND(Table1[[#This Row],[Defaulted Principal]]*IF($C$9="No",$E$4,VLOOKUP(Table1[[#This Row],[Period]],Forecast!$H$2:$L$1048576,3,FALSE)),2)</f>
        <v>399.63</v>
      </c>
      <c r="L43" s="2">
        <f>Table1[[#This Row],[Period]]+$E$9</f>
        <v>39</v>
      </c>
      <c r="M43" s="3">
        <f>Table1[[#This Row],[Defaulted Principal]]-Table1[[#This Row],[Estimated Loss]]</f>
        <v>4346.7699999999995</v>
      </c>
      <c r="N43" s="3">
        <f>IFERROR(VLOOKUP(Table1[[#This Row],[Period]],$L$16:$M$385,2,FALSE),0)</f>
        <v>3885.19</v>
      </c>
      <c r="O43" s="3">
        <f>Table1[[#This Row],[Beginning Balance]]-Table1[[#This Row],[Principal]]-Table1[[#This Row],[Prepayments]]-Table1[[#This Row],[Defaulted Principal]]</f>
        <v>7732846.4500000002</v>
      </c>
      <c r="P43" s="3">
        <f>Table1[[#This Row],[Principal]]+Table1[[#This Row],[Interest]]+Table1[[#This Row],[Prepayments]]+Table1[[#This Row],[RecoveredAmount]]</f>
        <v>80175.64</v>
      </c>
      <c r="Q43" s="3">
        <f ca="1">Table1[[#This Row],[Cash Flow]]/((1+ActualRateToUse)^(IF(ISNUMBER(SEARCH("Actual",$C$7)),Table1[[#This Row],[Running Total]]/365,Table1[[#This Row],[Period]]/12)))</f>
        <v>68223.659072911512</v>
      </c>
      <c r="R43" s="2">
        <f>IF(MONTH(Table1[[#This Row],[Date]])=2,28,DAY(DATE(YEAR(Table1[[#This Row],[Date]]),MONTH(Table1[[#This Row],[Date]])+1,1)-1))</f>
        <v>30</v>
      </c>
      <c r="S43" s="2">
        <f ca="1">SUM(OFFSET(Table1[[#Headers],[Days in month]],1,0):Table1[[#This Row],[Days in month]])</f>
        <v>822</v>
      </c>
      <c r="T43" s="37">
        <f>InterestRate*AmortizationMultiplier*IF(ISNUMBER(SEARCH("Actual",$C$7)),Table1[[#This Row],[Days in month]]/365,1/12)</f>
        <v>5.8749999999999991E-3</v>
      </c>
    </row>
    <row r="44" spans="2:20" x14ac:dyDescent="0.2">
      <c r="B44" s="1">
        <v>46691</v>
      </c>
      <c r="C44" s="2">
        <f t="shared" si="1"/>
        <v>28</v>
      </c>
      <c r="D44" s="3">
        <f t="shared" si="3"/>
        <v>7732846.4500000002</v>
      </c>
      <c r="E44" s="3">
        <f>ROUND(Table1[[#This Row],[Beginning Balance]]*Table1[[#This Row],[Monthly Interest Rate]],2)</f>
        <v>46944.82</v>
      </c>
      <c r="F44" s="3">
        <f t="shared" si="2"/>
        <v>324</v>
      </c>
      <c r="G44" s="23">
        <f>IFERROR(IF($C$13="No","N/A",IF(Table1[[#This Row],[Period]]=1,$C$6,PMT(InterestRate*AmortizationMultiplier/12,Table1[[#This Row],[Am Thru]],-Table1[[#This Row],[Beginning Balance]]))),0)</f>
        <v>53935.539331249376</v>
      </c>
      <c r="H44" s="3">
        <f>MAX(0,IF(C44=$C$4,D44,ROUND(IF($C$3="Fixed Principal",$C$6-Table1[[#This Row],[Interest]],IF($C$3="Interest Only",Table1[[#This Row],[Beginning Balance]]*ROUND(1-(1-IF($C$11="No",$E$8,1))^(1/12),6),MIN(IF($C$13="Yes",Table1[[#This Row],[Payment Amount (Reamortized)]],$C$6)-Table1[[#This Row],[Interest]],Table1[[#This Row],[Beginning Balance]]))),2)))</f>
        <v>6990.72</v>
      </c>
      <c r="I44" s="3">
        <f>_xlfn.SINGLE(IF($C$3="Line of Credit",0,ROUND(MAX(MIN(IF($C$10="No",$E$7,VLOOKUP(Table1[[#This Row],[Period]],Forecast!$H$2:$L$1048576,4,FALSE))*Table1[[#This Row],[Beginning Balance]],Table1[[#This Row],[Beginning Balance]]-Table1[[#This Row],[Principal]]),0),2)))</f>
        <v>22061.81</v>
      </c>
      <c r="J44" s="3">
        <f>ROUND(MIN(Table1[[#This Row],[Beginning Balance]]*IF($C$8="No",$E$3,VLOOKUP(Table1[[#This Row],[Period]],Forecast!$H$2:$L$1048576,2,FALSE)),Table1[[#This Row],[Beginning Balance]]-Table1[[#This Row],[Principal]]-Table1[[#This Row],[Prepayments]]),2)</f>
        <v>4910.3599999999997</v>
      </c>
      <c r="K44" s="3">
        <f>ROUND(Table1[[#This Row],[Defaulted Principal]]*IF($C$9="No",$E$4,VLOOKUP(Table1[[#This Row],[Period]],Forecast!$H$2:$L$1048576,3,FALSE)),2)</f>
        <v>417.62</v>
      </c>
      <c r="L44" s="2">
        <f>Table1[[#This Row],[Period]]+$E$9</f>
        <v>40</v>
      </c>
      <c r="M44" s="3">
        <f>Table1[[#This Row],[Defaulted Principal]]-Table1[[#This Row],[Estimated Loss]]</f>
        <v>4492.74</v>
      </c>
      <c r="N44" s="3">
        <f>IFERROR(VLOOKUP(Table1[[#This Row],[Period]],$L$16:$M$385,2,FALSE),0)</f>
        <v>4043.92</v>
      </c>
      <c r="O44" s="3">
        <f>Table1[[#This Row],[Beginning Balance]]-Table1[[#This Row],[Principal]]-Table1[[#This Row],[Prepayments]]-Table1[[#This Row],[Defaulted Principal]]</f>
        <v>7698883.5600000005</v>
      </c>
      <c r="P44" s="3">
        <f>Table1[[#This Row],[Principal]]+Table1[[#This Row],[Interest]]+Table1[[#This Row],[Prepayments]]+Table1[[#This Row],[RecoveredAmount]]</f>
        <v>80041.27</v>
      </c>
      <c r="Q44" s="3">
        <f ca="1">Table1[[#This Row],[Cash Flow]]/((1+ActualRateToUse)^(IF(ISNUMBER(SEARCH("Actual",$C$7)),Table1[[#This Row],[Running Total]]/365,Table1[[#This Row],[Period]]/12)))</f>
        <v>67695.934829958249</v>
      </c>
      <c r="R44" s="2">
        <f>IF(MONTH(Table1[[#This Row],[Date]])=2,28,DAY(DATE(YEAR(Table1[[#This Row],[Date]]),MONTH(Table1[[#This Row],[Date]])+1,1)-1))</f>
        <v>31</v>
      </c>
      <c r="S44" s="2">
        <f ca="1">SUM(OFFSET(Table1[[#Headers],[Days in month]],1,0):Table1[[#This Row],[Days in month]])</f>
        <v>853</v>
      </c>
      <c r="T44" s="37">
        <f>InterestRate*AmortizationMultiplier*IF(ISNUMBER(SEARCH("Actual",$C$7)),Table1[[#This Row],[Days in month]]/365,1/12)</f>
        <v>6.0708333333333326E-3</v>
      </c>
    </row>
    <row r="45" spans="2:20" x14ac:dyDescent="0.2">
      <c r="B45" s="1">
        <v>46721</v>
      </c>
      <c r="C45" s="2">
        <f t="shared" si="1"/>
        <v>29</v>
      </c>
      <c r="D45" s="3">
        <f t="shared" si="3"/>
        <v>7698883.5600000005</v>
      </c>
      <c r="E45" s="3">
        <f>ROUND(Table1[[#This Row],[Beginning Balance]]*Table1[[#This Row],[Monthly Interest Rate]],2)</f>
        <v>45230.94</v>
      </c>
      <c r="F45" s="3">
        <f t="shared" si="2"/>
        <v>323</v>
      </c>
      <c r="G45" s="23">
        <f>IFERROR(IF($C$13="No","N/A",IF(Table1[[#This Row],[Period]]=1,$C$6,PMT(InterestRate*AmortizationMultiplier/12,Table1[[#This Row],[Am Thru]],-Table1[[#This Row],[Beginning Balance]]))),0)</f>
        <v>53753.388048449175</v>
      </c>
      <c r="H45" s="3">
        <f>MAX(0,IF(C45=$C$4,D45,ROUND(IF($C$3="Fixed Principal",$C$6-Table1[[#This Row],[Interest]],IF($C$3="Interest Only",Table1[[#This Row],[Beginning Balance]]*ROUND(1-(1-IF($C$11="No",$E$8,1))^(1/12),6),MIN(IF($C$13="Yes",Table1[[#This Row],[Payment Amount (Reamortized)]],$C$6)-Table1[[#This Row],[Interest]],Table1[[#This Row],[Beginning Balance]]))),2)))</f>
        <v>8522.4500000000007</v>
      </c>
      <c r="I45" s="3">
        <f>_xlfn.SINGLE(IF($C$3="Line of Credit",0,ROUND(MAX(MIN(IF($C$10="No",$E$7,VLOOKUP(Table1[[#This Row],[Period]],Forecast!$H$2:$L$1048576,4,FALSE))*Table1[[#This Row],[Beginning Balance]],Table1[[#This Row],[Beginning Balance]]-Table1[[#This Row],[Principal]]),0),2)))</f>
        <v>21964.91</v>
      </c>
      <c r="J45" s="3">
        <f>ROUND(MIN(Table1[[#This Row],[Beginning Balance]]*IF($C$8="No",$E$3,VLOOKUP(Table1[[#This Row],[Period]],Forecast!$H$2:$L$1048576,2,FALSE)),Table1[[#This Row],[Beginning Balance]]-Table1[[#This Row],[Principal]]-Table1[[#This Row],[Prepayments]]),2)</f>
        <v>4888.79</v>
      </c>
      <c r="K45" s="3">
        <f>ROUND(Table1[[#This Row],[Defaulted Principal]]*IF($C$9="No",$E$4,VLOOKUP(Table1[[#This Row],[Period]],Forecast!$H$2:$L$1048576,3,FALSE)),2)</f>
        <v>415.79</v>
      </c>
      <c r="L45" s="2">
        <f>Table1[[#This Row],[Period]]+$E$9</f>
        <v>41</v>
      </c>
      <c r="M45" s="3">
        <f>Table1[[#This Row],[Defaulted Principal]]-Table1[[#This Row],[Estimated Loss]]</f>
        <v>4473</v>
      </c>
      <c r="N45" s="3">
        <f>IFERROR(VLOOKUP(Table1[[#This Row],[Period]],$L$16:$M$385,2,FALSE),0)</f>
        <v>4026.8700000000003</v>
      </c>
      <c r="O45" s="3">
        <f>Table1[[#This Row],[Beginning Balance]]-Table1[[#This Row],[Principal]]-Table1[[#This Row],[Prepayments]]-Table1[[#This Row],[Defaulted Principal]]</f>
        <v>7663507.4100000001</v>
      </c>
      <c r="P45" s="3">
        <f>Table1[[#This Row],[Principal]]+Table1[[#This Row],[Interest]]+Table1[[#This Row],[Prepayments]]+Table1[[#This Row],[RecoveredAmount]]</f>
        <v>79745.17</v>
      </c>
      <c r="Q45" s="3">
        <f ca="1">Table1[[#This Row],[Cash Flow]]/((1+ActualRateToUse)^(IF(ISNUMBER(SEARCH("Actual",$C$7)),Table1[[#This Row],[Running Total]]/365,Table1[[#This Row],[Period]]/12)))</f>
        <v>67049.314490243618</v>
      </c>
      <c r="R45" s="2">
        <f>IF(MONTH(Table1[[#This Row],[Date]])=2,28,DAY(DATE(YEAR(Table1[[#This Row],[Date]]),MONTH(Table1[[#This Row],[Date]])+1,1)-1))</f>
        <v>30</v>
      </c>
      <c r="S45" s="2">
        <f ca="1">SUM(OFFSET(Table1[[#Headers],[Days in month]],1,0):Table1[[#This Row],[Days in month]])</f>
        <v>883</v>
      </c>
      <c r="T45" s="37">
        <f>InterestRate*AmortizationMultiplier*IF(ISNUMBER(SEARCH("Actual",$C$7)),Table1[[#This Row],[Days in month]]/365,1/12)</f>
        <v>5.8749999999999991E-3</v>
      </c>
    </row>
    <row r="46" spans="2:20" x14ac:dyDescent="0.2">
      <c r="B46" s="1">
        <v>46752</v>
      </c>
      <c r="C46" s="2">
        <f t="shared" si="1"/>
        <v>30</v>
      </c>
      <c r="D46" s="3">
        <f t="shared" si="3"/>
        <v>7663507.4100000001</v>
      </c>
      <c r="E46" s="3">
        <f>ROUND(Table1[[#This Row],[Beginning Balance]]*Table1[[#This Row],[Monthly Interest Rate]],2)</f>
        <v>46523.88</v>
      </c>
      <c r="F46" s="3">
        <f t="shared" si="2"/>
        <v>322</v>
      </c>
      <c r="G46" s="23">
        <f>IFERROR(IF($C$13="No","N/A",IF(Table1[[#This Row],[Period]]=1,$C$6,PMT(InterestRate*AmortizationMultiplier/12,Table1[[#This Row],[Am Thru]],-Table1[[#This Row],[Beginning Balance]]))),0)</f>
        <v>53561.313175972798</v>
      </c>
      <c r="H46" s="3">
        <f>MAX(0,IF(C46=$C$4,D46,ROUND(IF($C$3="Fixed Principal",$C$6-Table1[[#This Row],[Interest]],IF($C$3="Interest Only",Table1[[#This Row],[Beginning Balance]]*ROUND(1-(1-IF($C$11="No",$E$8,1))^(1/12),6),MIN(IF($C$13="Yes",Table1[[#This Row],[Payment Amount (Reamortized)]],$C$6)-Table1[[#This Row],[Interest]],Table1[[#This Row],[Beginning Balance]]))),2)))</f>
        <v>7037.43</v>
      </c>
      <c r="I46" s="3">
        <f>_xlfn.SINGLE(IF($C$3="Line of Credit",0,ROUND(MAX(MIN(IF($C$10="No",$E$7,VLOOKUP(Table1[[#This Row],[Period]],Forecast!$H$2:$L$1048576,4,FALSE))*Table1[[#This Row],[Beginning Balance]],Table1[[#This Row],[Beginning Balance]]-Table1[[#This Row],[Principal]]),0),2)))</f>
        <v>21863.99</v>
      </c>
      <c r="J46" s="3">
        <f>ROUND(MIN(Table1[[#This Row],[Beginning Balance]]*IF($C$8="No",$E$3,VLOOKUP(Table1[[#This Row],[Period]],Forecast!$H$2:$L$1048576,2,FALSE)),Table1[[#This Row],[Beginning Balance]]-Table1[[#This Row],[Principal]]-Table1[[#This Row],[Prepayments]]),2)</f>
        <v>4866.33</v>
      </c>
      <c r="K46" s="3">
        <f>ROUND(Table1[[#This Row],[Defaulted Principal]]*IF($C$9="No",$E$4,VLOOKUP(Table1[[#This Row],[Period]],Forecast!$H$2:$L$1048576,3,FALSE)),2)</f>
        <v>413.88</v>
      </c>
      <c r="L46" s="2">
        <f>Table1[[#This Row],[Period]]+$E$9</f>
        <v>42</v>
      </c>
      <c r="M46" s="3">
        <f>Table1[[#This Row],[Defaulted Principal]]-Table1[[#This Row],[Estimated Loss]]</f>
        <v>4452.45</v>
      </c>
      <c r="N46" s="3">
        <f>IFERROR(VLOOKUP(Table1[[#This Row],[Period]],$L$16:$M$385,2,FALSE),0)</f>
        <v>4009.0800000000004</v>
      </c>
      <c r="O46" s="3">
        <f>Table1[[#This Row],[Beginning Balance]]-Table1[[#This Row],[Principal]]-Table1[[#This Row],[Prepayments]]-Table1[[#This Row],[Defaulted Principal]]</f>
        <v>7629739.6600000001</v>
      </c>
      <c r="P46" s="3">
        <f>Table1[[#This Row],[Principal]]+Table1[[#This Row],[Interest]]+Table1[[#This Row],[Prepayments]]+Table1[[#This Row],[RecoveredAmount]]</f>
        <v>79434.38</v>
      </c>
      <c r="Q46" s="3">
        <f ca="1">Table1[[#This Row],[Cash Flow]]/((1+ActualRateToUse)^(IF(ISNUMBER(SEARCH("Actual",$C$7)),Table1[[#This Row],[Running Total]]/365,Table1[[#This Row],[Period]]/12)))</f>
        <v>66382.638443440097</v>
      </c>
      <c r="R46" s="2">
        <f>IF(MONTH(Table1[[#This Row],[Date]])=2,28,DAY(DATE(YEAR(Table1[[#This Row],[Date]]),MONTH(Table1[[#This Row],[Date]])+1,1)-1))</f>
        <v>31</v>
      </c>
      <c r="S46" s="2">
        <f ca="1">SUM(OFFSET(Table1[[#Headers],[Days in month]],1,0):Table1[[#This Row],[Days in month]])</f>
        <v>914</v>
      </c>
      <c r="T46" s="37">
        <f>InterestRate*AmortizationMultiplier*IF(ISNUMBER(SEARCH("Actual",$C$7)),Table1[[#This Row],[Days in month]]/365,1/12)</f>
        <v>6.0708333333333326E-3</v>
      </c>
    </row>
    <row r="47" spans="2:20" x14ac:dyDescent="0.2">
      <c r="B47" s="1">
        <v>46783</v>
      </c>
      <c r="C47" s="2">
        <f t="shared" si="1"/>
        <v>31</v>
      </c>
      <c r="D47" s="3">
        <f t="shared" si="3"/>
        <v>7629739.6600000001</v>
      </c>
      <c r="E47" s="3">
        <f>ROUND(Table1[[#This Row],[Beginning Balance]]*Table1[[#This Row],[Monthly Interest Rate]],2)</f>
        <v>46318.879999999997</v>
      </c>
      <c r="F47" s="3">
        <f t="shared" si="2"/>
        <v>321</v>
      </c>
      <c r="G47" s="23">
        <f>IFERROR(IF($C$13="No","N/A",IF(Table1[[#This Row],[Period]]=1,$C$6,PMT(InterestRate*AmortizationMultiplier/12,Table1[[#This Row],[Am Thru]],-Table1[[#This Row],[Beginning Balance]]))),0)</f>
        <v>53380.423180888851</v>
      </c>
      <c r="H47" s="3">
        <f>MAX(0,IF(C47=$C$4,D47,ROUND(IF($C$3="Fixed Principal",$C$6-Table1[[#This Row],[Interest]],IF($C$3="Interest Only",Table1[[#This Row],[Beginning Balance]]*ROUND(1-(1-IF($C$11="No",$E$8,1))^(1/12),6),MIN(IF($C$13="Yes",Table1[[#This Row],[Payment Amount (Reamortized)]],$C$6)-Table1[[#This Row],[Interest]],Table1[[#This Row],[Beginning Balance]]))),2)))</f>
        <v>7061.54</v>
      </c>
      <c r="I47" s="3">
        <f>_xlfn.SINGLE(IF($C$3="Line of Credit",0,ROUND(MAX(MIN(IF($C$10="No",$E$7,VLOOKUP(Table1[[#This Row],[Period]],Forecast!$H$2:$L$1048576,4,FALSE))*Table1[[#This Row],[Beginning Balance]],Table1[[#This Row],[Beginning Balance]]-Table1[[#This Row],[Principal]]),0),2)))</f>
        <v>21767.65</v>
      </c>
      <c r="J47" s="3">
        <f>ROUND(MIN(Table1[[#This Row],[Beginning Balance]]*IF($C$8="No",$E$3,VLOOKUP(Table1[[#This Row],[Period]],Forecast!$H$2:$L$1048576,2,FALSE)),Table1[[#This Row],[Beginning Balance]]-Table1[[#This Row],[Principal]]-Table1[[#This Row],[Prepayments]]),2)</f>
        <v>5028</v>
      </c>
      <c r="K47" s="3">
        <f>ROUND(Table1[[#This Row],[Defaulted Principal]]*IF($C$9="No",$E$4,VLOOKUP(Table1[[#This Row],[Period]],Forecast!$H$2:$L$1048576,3,FALSE)),2)</f>
        <v>431.81</v>
      </c>
      <c r="L47" s="2">
        <f>Table1[[#This Row],[Period]]+$E$9</f>
        <v>43</v>
      </c>
      <c r="M47" s="3">
        <f>Table1[[#This Row],[Defaulted Principal]]-Table1[[#This Row],[Estimated Loss]]</f>
        <v>4596.1899999999996</v>
      </c>
      <c r="N47" s="3">
        <f>IFERROR(VLOOKUP(Table1[[#This Row],[Period]],$L$16:$M$385,2,FALSE),0)</f>
        <v>4165.38</v>
      </c>
      <c r="O47" s="3">
        <f>Table1[[#This Row],[Beginning Balance]]-Table1[[#This Row],[Principal]]-Table1[[#This Row],[Prepayments]]-Table1[[#This Row],[Defaulted Principal]]</f>
        <v>7595882.4699999997</v>
      </c>
      <c r="P47" s="3">
        <f>Table1[[#This Row],[Principal]]+Table1[[#This Row],[Interest]]+Table1[[#This Row],[Prepayments]]+Table1[[#This Row],[RecoveredAmount]]</f>
        <v>79313.450000000012</v>
      </c>
      <c r="Q47" s="3">
        <f ca="1">Table1[[#This Row],[Cash Flow]]/((1+ActualRateToUse)^(IF(ISNUMBER(SEARCH("Actual",$C$7)),Table1[[#This Row],[Running Total]]/365,Table1[[#This Row],[Period]]/12)))</f>
        <v>65879.286515591462</v>
      </c>
      <c r="R47" s="2">
        <f>IF(MONTH(Table1[[#This Row],[Date]])=2,28,DAY(DATE(YEAR(Table1[[#This Row],[Date]]),MONTH(Table1[[#This Row],[Date]])+1,1)-1))</f>
        <v>31</v>
      </c>
      <c r="S47" s="2">
        <f ca="1">SUM(OFFSET(Table1[[#Headers],[Days in month]],1,0):Table1[[#This Row],[Days in month]])</f>
        <v>945</v>
      </c>
      <c r="T47" s="37">
        <f>InterestRate*AmortizationMultiplier*IF(ISNUMBER(SEARCH("Actual",$C$7)),Table1[[#This Row],[Days in month]]/365,1/12)</f>
        <v>6.0708333333333326E-3</v>
      </c>
    </row>
    <row r="48" spans="2:20" x14ac:dyDescent="0.2">
      <c r="B48" s="1">
        <v>46812</v>
      </c>
      <c r="C48" s="2">
        <f t="shared" si="1"/>
        <v>32</v>
      </c>
      <c r="D48" s="3">
        <f t="shared" si="3"/>
        <v>7595882.4699999997</v>
      </c>
      <c r="E48" s="3">
        <f>ROUND(Table1[[#This Row],[Beginning Balance]]*Table1[[#This Row],[Monthly Interest Rate]],2)</f>
        <v>41650.76</v>
      </c>
      <c r="F48" s="3">
        <f t="shared" si="2"/>
        <v>320</v>
      </c>
      <c r="G48" s="23">
        <f>IFERROR(IF($C$13="No","N/A",IF(Table1[[#This Row],[Period]]=1,$C$6,PMT(InterestRate*AmortizationMultiplier/12,Table1[[#This Row],[Am Thru]],-Table1[[#This Row],[Beginning Balance]]))),0)</f>
        <v>53198.860331010081</v>
      </c>
      <c r="H48" s="3">
        <f>MAX(0,IF(C48=$C$4,D48,ROUND(IF($C$3="Fixed Principal",$C$6-Table1[[#This Row],[Interest]],IF($C$3="Interest Only",Table1[[#This Row],[Beginning Balance]]*ROUND(1-(1-IF($C$11="No",$E$8,1))^(1/12),6),MIN(IF($C$13="Yes",Table1[[#This Row],[Payment Amount (Reamortized)]],$C$6)-Table1[[#This Row],[Interest]],Table1[[#This Row],[Beginning Balance]]))),2)))</f>
        <v>11548.1</v>
      </c>
      <c r="I48" s="3">
        <f>_xlfn.SINGLE(IF($C$3="Line of Credit",0,ROUND(MAX(MIN(IF($C$10="No",$E$7,VLOOKUP(Table1[[#This Row],[Period]],Forecast!$H$2:$L$1048576,4,FALSE))*Table1[[#This Row],[Beginning Balance]],Table1[[#This Row],[Beginning Balance]]-Table1[[#This Row],[Principal]]),0),2)))</f>
        <v>21671.05</v>
      </c>
      <c r="J48" s="3">
        <f>ROUND(MIN(Table1[[#This Row],[Beginning Balance]]*IF($C$8="No",$E$3,VLOOKUP(Table1[[#This Row],[Period]],Forecast!$H$2:$L$1048576,2,FALSE)),Table1[[#This Row],[Beginning Balance]]-Table1[[#This Row],[Principal]]-Table1[[#This Row],[Prepayments]]),2)</f>
        <v>5005.6899999999996</v>
      </c>
      <c r="K48" s="3">
        <f>ROUND(Table1[[#This Row],[Defaulted Principal]]*IF($C$9="No",$E$4,VLOOKUP(Table1[[#This Row],[Period]],Forecast!$H$2:$L$1048576,3,FALSE)),2)</f>
        <v>429.89</v>
      </c>
      <c r="L48" s="2">
        <f>Table1[[#This Row],[Period]]+$E$9</f>
        <v>44</v>
      </c>
      <c r="M48" s="3">
        <f>Table1[[#This Row],[Defaulted Principal]]-Table1[[#This Row],[Estimated Loss]]</f>
        <v>4575.7999999999993</v>
      </c>
      <c r="N48" s="3">
        <f>IFERROR(VLOOKUP(Table1[[#This Row],[Period]],$L$16:$M$385,2,FALSE),0)</f>
        <v>4147.6299999999992</v>
      </c>
      <c r="O48" s="3">
        <f>Table1[[#This Row],[Beginning Balance]]-Table1[[#This Row],[Principal]]-Table1[[#This Row],[Prepayments]]-Table1[[#This Row],[Defaulted Principal]]</f>
        <v>7557657.6299999999</v>
      </c>
      <c r="P48" s="3">
        <f>Table1[[#This Row],[Principal]]+Table1[[#This Row],[Interest]]+Table1[[#This Row],[Prepayments]]+Table1[[#This Row],[RecoveredAmount]]</f>
        <v>79017.540000000008</v>
      </c>
      <c r="Q48" s="3">
        <f ca="1">Table1[[#This Row],[Cash Flow]]/((1+ActualRateToUse)^(IF(ISNUMBER(SEARCH("Actual",$C$7)),Table1[[#This Row],[Running Total]]/365,Table1[[#This Row],[Period]]/12)))</f>
        <v>65273.584569142724</v>
      </c>
      <c r="R48" s="2">
        <f>IF(MONTH(Table1[[#This Row],[Date]])=2,28,DAY(DATE(YEAR(Table1[[#This Row],[Date]]),MONTH(Table1[[#This Row],[Date]])+1,1)-1))</f>
        <v>28</v>
      </c>
      <c r="S48" s="2">
        <f ca="1">SUM(OFFSET(Table1[[#Headers],[Days in month]],1,0):Table1[[#This Row],[Days in month]])</f>
        <v>973</v>
      </c>
      <c r="T48" s="37">
        <f>InterestRate*AmortizationMultiplier*IF(ISNUMBER(SEARCH("Actual",$C$7)),Table1[[#This Row],[Days in month]]/365,1/12)</f>
        <v>5.4833333333333331E-3</v>
      </c>
    </row>
    <row r="49" spans="2:20" x14ac:dyDescent="0.2">
      <c r="B49" s="1">
        <v>46843</v>
      </c>
      <c r="C49" s="2">
        <f t="shared" si="1"/>
        <v>33</v>
      </c>
      <c r="D49" s="3">
        <f t="shared" si="3"/>
        <v>7557657.6299999999</v>
      </c>
      <c r="E49" s="3">
        <f>ROUND(Table1[[#This Row],[Beginning Balance]]*Table1[[#This Row],[Monthly Interest Rate]],2)</f>
        <v>45881.279999999999</v>
      </c>
      <c r="F49" s="3">
        <f t="shared" si="2"/>
        <v>319</v>
      </c>
      <c r="G49" s="23">
        <f>IFERROR(IF($C$13="No","N/A",IF(Table1[[#This Row],[Period]]=1,$C$6,PMT(InterestRate*AmortizationMultiplier/12,Table1[[#This Row],[Am Thru]],-Table1[[#This Row],[Beginning Balance]]))),0)</f>
        <v>52986.626643469703</v>
      </c>
      <c r="H49" s="3">
        <f>MAX(0,IF(C49=$C$4,D49,ROUND(IF($C$3="Fixed Principal",$C$6-Table1[[#This Row],[Interest]],IF($C$3="Interest Only",Table1[[#This Row],[Beginning Balance]]*ROUND(1-(1-IF($C$11="No",$E$8,1))^(1/12),6),MIN(IF($C$13="Yes",Table1[[#This Row],[Payment Amount (Reamortized)]],$C$6)-Table1[[#This Row],[Interest]],Table1[[#This Row],[Beginning Balance]]))),2)))</f>
        <v>7105.35</v>
      </c>
      <c r="I49" s="3">
        <f>_xlfn.SINGLE(IF($C$3="Line of Credit",0,ROUND(MAX(MIN(IF($C$10="No",$E$7,VLOOKUP(Table1[[#This Row],[Period]],Forecast!$H$2:$L$1048576,4,FALSE))*Table1[[#This Row],[Beginning Balance]],Table1[[#This Row],[Beginning Balance]]-Table1[[#This Row],[Principal]]),0),2)))</f>
        <v>21562</v>
      </c>
      <c r="J49" s="3">
        <f>ROUND(MIN(Table1[[#This Row],[Beginning Balance]]*IF($C$8="No",$E$3,VLOOKUP(Table1[[#This Row],[Period]],Forecast!$H$2:$L$1048576,2,FALSE)),Table1[[#This Row],[Beginning Balance]]-Table1[[#This Row],[Principal]]-Table1[[#This Row],[Prepayments]]),2)</f>
        <v>4980.5</v>
      </c>
      <c r="K49" s="3">
        <f>ROUND(Table1[[#This Row],[Defaulted Principal]]*IF($C$9="No",$E$4,VLOOKUP(Table1[[#This Row],[Period]],Forecast!$H$2:$L$1048576,3,FALSE)),2)</f>
        <v>427.73</v>
      </c>
      <c r="L49" s="2">
        <f>Table1[[#This Row],[Period]]+$E$9</f>
        <v>45</v>
      </c>
      <c r="M49" s="3">
        <f>Table1[[#This Row],[Defaulted Principal]]-Table1[[#This Row],[Estimated Loss]]</f>
        <v>4552.7700000000004</v>
      </c>
      <c r="N49" s="3">
        <f>IFERROR(VLOOKUP(Table1[[#This Row],[Period]],$L$16:$M$385,2,FALSE),0)</f>
        <v>4127.5</v>
      </c>
      <c r="O49" s="3">
        <f>Table1[[#This Row],[Beginning Balance]]-Table1[[#This Row],[Principal]]-Table1[[#This Row],[Prepayments]]-Table1[[#This Row],[Defaulted Principal]]</f>
        <v>7524009.7800000003</v>
      </c>
      <c r="P49" s="3">
        <f>Table1[[#This Row],[Principal]]+Table1[[#This Row],[Interest]]+Table1[[#This Row],[Prepayments]]+Table1[[#This Row],[RecoveredAmount]]</f>
        <v>78676.13</v>
      </c>
      <c r="Q49" s="3">
        <f ca="1">Table1[[#This Row],[Cash Flow]]/((1+ActualRateToUse)^(IF(ISNUMBER(SEARCH("Actual",$C$7)),Table1[[#This Row],[Running Total]]/365,Table1[[#This Row],[Period]]/12)))</f>
        <v>64597.095832570689</v>
      </c>
      <c r="R49" s="2">
        <f>IF(MONTH(Table1[[#This Row],[Date]])=2,28,DAY(DATE(YEAR(Table1[[#This Row],[Date]]),MONTH(Table1[[#This Row],[Date]])+1,1)-1))</f>
        <v>31</v>
      </c>
      <c r="S49" s="2">
        <f ca="1">SUM(OFFSET(Table1[[#Headers],[Days in month]],1,0):Table1[[#This Row],[Days in month]])</f>
        <v>1004</v>
      </c>
      <c r="T49" s="37">
        <f>InterestRate*AmortizationMultiplier*IF(ISNUMBER(SEARCH("Actual",$C$7)),Table1[[#This Row],[Days in month]]/365,1/12)</f>
        <v>6.0708333333333326E-3</v>
      </c>
    </row>
    <row r="50" spans="2:20" x14ac:dyDescent="0.2">
      <c r="B50" s="1">
        <v>46873</v>
      </c>
      <c r="C50" s="2">
        <f t="shared" si="1"/>
        <v>34</v>
      </c>
      <c r="D50" s="3">
        <f t="shared" si="3"/>
        <v>7524009.7800000003</v>
      </c>
      <c r="E50" s="3">
        <f>ROUND(Table1[[#This Row],[Beginning Balance]]*Table1[[#This Row],[Monthly Interest Rate]],2)</f>
        <v>44203.56</v>
      </c>
      <c r="F50" s="3">
        <f t="shared" si="2"/>
        <v>318</v>
      </c>
      <c r="G50" s="23">
        <f>IFERROR(IF($C$13="No","N/A",IF(Table1[[#This Row],[Period]]=1,$C$6,PMT(InterestRate*AmortizationMultiplier/12,Table1[[#This Row],[Am Thru]],-Table1[[#This Row],[Beginning Balance]]))),0)</f>
        <v>52806.400501108001</v>
      </c>
      <c r="H50" s="3">
        <f>MAX(0,IF(C50=$C$4,D50,ROUND(IF($C$3="Fixed Principal",$C$6-Table1[[#This Row],[Interest]],IF($C$3="Interest Only",Table1[[#This Row],[Beginning Balance]]*ROUND(1-(1-IF($C$11="No",$E$8,1))^(1/12),6),MIN(IF($C$13="Yes",Table1[[#This Row],[Payment Amount (Reamortized)]],$C$6)-Table1[[#This Row],[Interest]],Table1[[#This Row],[Beginning Balance]]))),2)))</f>
        <v>8602.84</v>
      </c>
      <c r="I50" s="3">
        <f>_xlfn.SINGLE(IF($C$3="Line of Credit",0,ROUND(MAX(MIN(IF($C$10="No",$E$7,VLOOKUP(Table1[[#This Row],[Period]],Forecast!$H$2:$L$1048576,4,FALSE))*Table1[[#This Row],[Beginning Balance]],Table1[[#This Row],[Beginning Balance]]-Table1[[#This Row],[Principal]]),0),2)))</f>
        <v>21466</v>
      </c>
      <c r="J50" s="3">
        <f>ROUND(MIN(Table1[[#This Row],[Beginning Balance]]*IF($C$8="No",$E$3,VLOOKUP(Table1[[#This Row],[Period]],Forecast!$H$2:$L$1048576,2,FALSE)),Table1[[#This Row],[Beginning Balance]]-Table1[[#This Row],[Principal]]-Table1[[#This Row],[Prepayments]]),2)</f>
        <v>5138.8999999999996</v>
      </c>
      <c r="K50" s="3">
        <f>ROUND(Table1[[#This Row],[Defaulted Principal]]*IF($C$9="No",$E$4,VLOOKUP(Table1[[#This Row],[Period]],Forecast!$H$2:$L$1048576,3,FALSE)),2)</f>
        <v>445.51</v>
      </c>
      <c r="L50" s="2">
        <f>Table1[[#This Row],[Period]]+$E$9</f>
        <v>46</v>
      </c>
      <c r="M50" s="3">
        <f>Table1[[#This Row],[Defaulted Principal]]-Table1[[#This Row],[Estimated Loss]]</f>
        <v>4693.3899999999994</v>
      </c>
      <c r="N50" s="3">
        <f>IFERROR(VLOOKUP(Table1[[#This Row],[Period]],$L$16:$M$385,2,FALSE),0)</f>
        <v>4280.57</v>
      </c>
      <c r="O50" s="3">
        <f>Table1[[#This Row],[Beginning Balance]]-Table1[[#This Row],[Principal]]-Table1[[#This Row],[Prepayments]]-Table1[[#This Row],[Defaulted Principal]]</f>
        <v>7488802.04</v>
      </c>
      <c r="P50" s="3">
        <f>Table1[[#This Row],[Principal]]+Table1[[#This Row],[Interest]]+Table1[[#This Row],[Prepayments]]+Table1[[#This Row],[RecoveredAmount]]</f>
        <v>78552.97</v>
      </c>
      <c r="Q50" s="3">
        <f ca="1">Table1[[#This Row],[Cash Flow]]/((1+ActualRateToUse)^(IF(ISNUMBER(SEARCH("Actual",$C$7)),Table1[[#This Row],[Running Total]]/365,Table1[[#This Row],[Period]]/12)))</f>
        <v>64117.111463229754</v>
      </c>
      <c r="R50" s="2">
        <f>IF(MONTH(Table1[[#This Row],[Date]])=2,28,DAY(DATE(YEAR(Table1[[#This Row],[Date]]),MONTH(Table1[[#This Row],[Date]])+1,1)-1))</f>
        <v>30</v>
      </c>
      <c r="S50" s="2">
        <f ca="1">SUM(OFFSET(Table1[[#Headers],[Days in month]],1,0):Table1[[#This Row],[Days in month]])</f>
        <v>1034</v>
      </c>
      <c r="T50" s="37">
        <f>InterestRate*AmortizationMultiplier*IF(ISNUMBER(SEARCH("Actual",$C$7)),Table1[[#This Row],[Days in month]]/365,1/12)</f>
        <v>5.8749999999999991E-3</v>
      </c>
    </row>
    <row r="51" spans="2:20" x14ac:dyDescent="0.2">
      <c r="B51" s="1">
        <v>46904</v>
      </c>
      <c r="C51" s="2">
        <f t="shared" si="1"/>
        <v>35</v>
      </c>
      <c r="D51" s="3">
        <f t="shared" si="3"/>
        <v>7488802.04</v>
      </c>
      <c r="E51" s="3">
        <f>ROUND(Table1[[#This Row],[Beginning Balance]]*Table1[[#This Row],[Monthly Interest Rate]],2)</f>
        <v>45463.27</v>
      </c>
      <c r="F51" s="3">
        <f t="shared" si="2"/>
        <v>317</v>
      </c>
      <c r="G51" s="23">
        <f>IFERROR(IF($C$13="No","N/A",IF(Table1[[#This Row],[Period]]=1,$C$6,PMT(InterestRate*AmortizationMultiplier/12,Table1[[#This Row],[Am Thru]],-Table1[[#This Row],[Beginning Balance]]))),0)</f>
        <v>52615.165173336296</v>
      </c>
      <c r="H51" s="3">
        <f>MAX(0,IF(C51=$C$4,D51,ROUND(IF($C$3="Fixed Principal",$C$6-Table1[[#This Row],[Interest]],IF($C$3="Interest Only",Table1[[#This Row],[Beginning Balance]]*ROUND(1-(1-IF($C$11="No",$E$8,1))^(1/12),6),MIN(IF($C$13="Yes",Table1[[#This Row],[Payment Amount (Reamortized)]],$C$6)-Table1[[#This Row],[Interest]],Table1[[#This Row],[Beginning Balance]]))),2)))</f>
        <v>7151.9</v>
      </c>
      <c r="I51" s="3">
        <f>_xlfn.SINGLE(IF($C$3="Line of Credit",0,ROUND(MAX(MIN(IF($C$10="No",$E$7,VLOOKUP(Table1[[#This Row],[Period]],Forecast!$H$2:$L$1048576,4,FALSE))*Table1[[#This Row],[Beginning Balance]],Table1[[#This Row],[Beginning Balance]]-Table1[[#This Row],[Principal]]),0),2)))</f>
        <v>21365.55</v>
      </c>
      <c r="J51" s="3">
        <f>ROUND(MIN(Table1[[#This Row],[Beginning Balance]]*IF($C$8="No",$E$3,VLOOKUP(Table1[[#This Row],[Period]],Forecast!$H$2:$L$1048576,2,FALSE)),Table1[[#This Row],[Beginning Balance]]-Table1[[#This Row],[Principal]]-Table1[[#This Row],[Prepayments]]),2)</f>
        <v>5114.8500000000004</v>
      </c>
      <c r="K51" s="3">
        <f>ROUND(Table1[[#This Row],[Defaulted Principal]]*IF($C$9="No",$E$4,VLOOKUP(Table1[[#This Row],[Period]],Forecast!$H$2:$L$1048576,3,FALSE)),2)</f>
        <v>443.43</v>
      </c>
      <c r="L51" s="2">
        <f>Table1[[#This Row],[Period]]+$E$9</f>
        <v>47</v>
      </c>
      <c r="M51" s="3">
        <f>Table1[[#This Row],[Defaulted Principal]]-Table1[[#This Row],[Estimated Loss]]</f>
        <v>4671.42</v>
      </c>
      <c r="N51" s="3">
        <f>IFERROR(VLOOKUP(Table1[[#This Row],[Period]],$L$16:$M$385,2,FALSE),0)</f>
        <v>4261.32</v>
      </c>
      <c r="O51" s="3">
        <f>Table1[[#This Row],[Beginning Balance]]-Table1[[#This Row],[Principal]]-Table1[[#This Row],[Prepayments]]-Table1[[#This Row],[Defaulted Principal]]</f>
        <v>7455169.7400000002</v>
      </c>
      <c r="P51" s="3">
        <f>Table1[[#This Row],[Principal]]+Table1[[#This Row],[Interest]]+Table1[[#This Row],[Prepayments]]+Table1[[#This Row],[RecoveredAmount]]</f>
        <v>78242.040000000008</v>
      </c>
      <c r="Q51" s="3">
        <f ca="1">Table1[[#This Row],[Cash Flow]]/((1+ActualRateToUse)^(IF(ISNUMBER(SEARCH("Actual",$C$7)),Table1[[#This Row],[Running Total]]/365,Table1[[#This Row],[Period]]/12)))</f>
        <v>63475.707478811215</v>
      </c>
      <c r="R51" s="2">
        <f>IF(MONTH(Table1[[#This Row],[Date]])=2,28,DAY(DATE(YEAR(Table1[[#This Row],[Date]]),MONTH(Table1[[#This Row],[Date]])+1,1)-1))</f>
        <v>31</v>
      </c>
      <c r="S51" s="2">
        <f ca="1">SUM(OFFSET(Table1[[#Headers],[Days in month]],1,0):Table1[[#This Row],[Days in month]])</f>
        <v>1065</v>
      </c>
      <c r="T51" s="37">
        <f>InterestRate*AmortizationMultiplier*IF(ISNUMBER(SEARCH("Actual",$C$7)),Table1[[#This Row],[Days in month]]/365,1/12)</f>
        <v>6.0708333333333326E-3</v>
      </c>
    </row>
    <row r="52" spans="2:20" x14ac:dyDescent="0.2">
      <c r="B52" s="1">
        <v>46934</v>
      </c>
      <c r="C52" s="2">
        <f t="shared" si="1"/>
        <v>36</v>
      </c>
      <c r="D52" s="3">
        <f t="shared" si="3"/>
        <v>7455169.7400000002</v>
      </c>
      <c r="E52" s="3">
        <f>ROUND(Table1[[#This Row],[Beginning Balance]]*Table1[[#This Row],[Monthly Interest Rate]],2)</f>
        <v>43799.12</v>
      </c>
      <c r="F52" s="3">
        <f t="shared" si="2"/>
        <v>316</v>
      </c>
      <c r="G52" s="23">
        <f>IFERROR(IF($C$13="No","N/A",IF(Table1[[#This Row],[Period]]=1,$C$6,PMT(InterestRate*AmortizationMultiplier/12,Table1[[#This Row],[Am Thru]],-Table1[[#This Row],[Beginning Balance]]))),0)</f>
        <v>52434.93579215822</v>
      </c>
      <c r="H52" s="3">
        <f>MAX(0,IF(C52=$C$4,D52,ROUND(IF($C$3="Fixed Principal",$C$6-Table1[[#This Row],[Interest]],IF($C$3="Interest Only",Table1[[#This Row],[Beginning Balance]]*ROUND(1-(1-IF($C$11="No",$E$8,1))^(1/12),6),MIN(IF($C$13="Yes",Table1[[#This Row],[Payment Amount (Reamortized)]],$C$6)-Table1[[#This Row],[Interest]],Table1[[#This Row],[Beginning Balance]]))),2)))</f>
        <v>8635.82</v>
      </c>
      <c r="I52" s="3">
        <f>_xlfn.SINGLE(IF($C$3="Line of Credit",0,ROUND(MAX(MIN(IF($C$10="No",$E$7,VLOOKUP(Table1[[#This Row],[Period]],Forecast!$H$2:$L$1048576,4,FALSE))*Table1[[#This Row],[Beginning Balance]],Table1[[#This Row],[Beginning Balance]]-Table1[[#This Row],[Principal]]),0),2)))</f>
        <v>21269.599999999999</v>
      </c>
      <c r="J52" s="3">
        <f>ROUND(MIN(Table1[[#This Row],[Beginning Balance]]*IF($C$8="No",$E$3,VLOOKUP(Table1[[#This Row],[Period]],Forecast!$H$2:$L$1048576,2,FALSE)),Table1[[#This Row],[Beginning Balance]]-Table1[[#This Row],[Principal]]-Table1[[#This Row],[Prepayments]]),2)</f>
        <v>5091.88</v>
      </c>
      <c r="K52" s="3">
        <f>ROUND(Table1[[#This Row],[Defaulted Principal]]*IF($C$9="No",$E$4,VLOOKUP(Table1[[#This Row],[Period]],Forecast!$H$2:$L$1048576,3,FALSE)),2)</f>
        <v>441.44</v>
      </c>
      <c r="L52" s="2">
        <f>Table1[[#This Row],[Period]]+$E$9</f>
        <v>48</v>
      </c>
      <c r="M52" s="3">
        <f>Table1[[#This Row],[Defaulted Principal]]-Table1[[#This Row],[Estimated Loss]]</f>
        <v>4650.4400000000005</v>
      </c>
      <c r="N52" s="3">
        <f>IFERROR(VLOOKUP(Table1[[#This Row],[Period]],$L$16:$M$385,2,FALSE),0)</f>
        <v>4242.9399999999996</v>
      </c>
      <c r="O52" s="3">
        <f>Table1[[#This Row],[Beginning Balance]]-Table1[[#This Row],[Principal]]-Table1[[#This Row],[Prepayments]]-Table1[[#This Row],[Defaulted Principal]]</f>
        <v>7420172.4400000004</v>
      </c>
      <c r="P52" s="3">
        <f>Table1[[#This Row],[Principal]]+Table1[[#This Row],[Interest]]+Table1[[#This Row],[Prepayments]]+Table1[[#This Row],[RecoveredAmount]]</f>
        <v>77947.48000000001</v>
      </c>
      <c r="Q52" s="3">
        <f ca="1">Table1[[#This Row],[Cash Flow]]/((1+ActualRateToUse)^(IF(ISNUMBER(SEARCH("Actual",$C$7)),Table1[[#This Row],[Running Total]]/365,Table1[[#This Row],[Period]]/12)))</f>
        <v>62865.271982478305</v>
      </c>
      <c r="R52" s="2">
        <f>IF(MONTH(Table1[[#This Row],[Date]])=2,28,DAY(DATE(YEAR(Table1[[#This Row],[Date]]),MONTH(Table1[[#This Row],[Date]])+1,1)-1))</f>
        <v>30</v>
      </c>
      <c r="S52" s="2">
        <f ca="1">SUM(OFFSET(Table1[[#Headers],[Days in month]],1,0):Table1[[#This Row],[Days in month]])</f>
        <v>1095</v>
      </c>
      <c r="T52" s="37">
        <f>InterestRate*AmortizationMultiplier*IF(ISNUMBER(SEARCH("Actual",$C$7)),Table1[[#This Row],[Days in month]]/365,1/12)</f>
        <v>5.8749999999999991E-3</v>
      </c>
    </row>
    <row r="53" spans="2:20" x14ac:dyDescent="0.2">
      <c r="B53" s="1">
        <v>46965</v>
      </c>
      <c r="C53" s="2">
        <f t="shared" si="1"/>
        <v>37</v>
      </c>
      <c r="D53" s="3">
        <f t="shared" si="3"/>
        <v>7420172.4400000004</v>
      </c>
      <c r="E53" s="3">
        <f>ROUND(Table1[[#This Row],[Beginning Balance]]*Table1[[#This Row],[Monthly Interest Rate]],2)</f>
        <v>45046.63</v>
      </c>
      <c r="F53" s="3">
        <f t="shared" si="2"/>
        <v>315</v>
      </c>
      <c r="G53" s="23">
        <f>IFERROR(IF($C$13="No","N/A",IF(Table1[[#This Row],[Period]]=1,$C$6,PMT(InterestRate*AmortizationMultiplier/12,Table1[[#This Row],[Am Thru]],-Table1[[#This Row],[Beginning Balance]]))),0)</f>
        <v>52245.04279946797</v>
      </c>
      <c r="H53" s="3">
        <f>MAX(0,IF(C53=$C$4,D53,ROUND(IF($C$3="Fixed Principal",$C$6-Table1[[#This Row],[Interest]],IF($C$3="Interest Only",Table1[[#This Row],[Beginning Balance]]*ROUND(1-(1-IF($C$11="No",$E$8,1))^(1/12),6),MIN(IF($C$13="Yes",Table1[[#This Row],[Payment Amount (Reamortized)]],$C$6)-Table1[[#This Row],[Interest]],Table1[[#This Row],[Beginning Balance]]))),2)))</f>
        <v>7198.41</v>
      </c>
      <c r="I53" s="3">
        <f>_xlfn.SINGLE(IF($C$3="Line of Credit",0,ROUND(MAX(MIN(IF($C$10="No",$E$7,VLOOKUP(Table1[[#This Row],[Period]],Forecast!$H$2:$L$1048576,4,FALSE))*Table1[[#This Row],[Beginning Balance]],Table1[[#This Row],[Beginning Balance]]-Table1[[#This Row],[Principal]]),0),2)))</f>
        <v>21169.75</v>
      </c>
      <c r="J53" s="3">
        <f>ROUND(MIN(Table1[[#This Row],[Beginning Balance]]*IF($C$8="No",$E$3,VLOOKUP(Table1[[#This Row],[Period]],Forecast!$H$2:$L$1048576,2,FALSE)),Table1[[#This Row],[Beginning Balance]]-Table1[[#This Row],[Principal]]-Table1[[#This Row],[Prepayments]]),2)</f>
        <v>5067.9799999999996</v>
      </c>
      <c r="K53" s="3">
        <f>ROUND(Table1[[#This Row],[Defaulted Principal]]*IF($C$9="No",$E$4,VLOOKUP(Table1[[#This Row],[Period]],Forecast!$H$2:$L$1048576,3,FALSE)),2)</f>
        <v>439.36</v>
      </c>
      <c r="L53" s="2">
        <f>Table1[[#This Row],[Period]]+$E$9</f>
        <v>49</v>
      </c>
      <c r="M53" s="3">
        <f>Table1[[#This Row],[Defaulted Principal]]-Table1[[#This Row],[Estimated Loss]]</f>
        <v>4628.62</v>
      </c>
      <c r="N53" s="3">
        <f>IFERROR(VLOOKUP(Table1[[#This Row],[Period]],$L$16:$M$385,2,FALSE),0)</f>
        <v>4384.84</v>
      </c>
      <c r="O53" s="3">
        <f>Table1[[#This Row],[Beginning Balance]]-Table1[[#This Row],[Principal]]-Table1[[#This Row],[Prepayments]]-Table1[[#This Row],[Defaulted Principal]]</f>
        <v>7386736.2999999998</v>
      </c>
      <c r="P53" s="3">
        <f>Table1[[#This Row],[Principal]]+Table1[[#This Row],[Interest]]+Table1[[#This Row],[Prepayments]]+Table1[[#This Row],[RecoveredAmount]]</f>
        <v>77799.62999999999</v>
      </c>
      <c r="Q53" s="3">
        <f ca="1">Table1[[#This Row],[Cash Flow]]/((1+ActualRateToUse)^(IF(ISNUMBER(SEARCH("Actual",$C$7)),Table1[[#This Row],[Running Total]]/365,Table1[[#This Row],[Period]]/12)))</f>
        <v>62365.196795324286</v>
      </c>
      <c r="R53" s="2">
        <f>IF(MONTH(Table1[[#This Row],[Date]])=2,28,DAY(DATE(YEAR(Table1[[#This Row],[Date]]),MONTH(Table1[[#This Row],[Date]])+1,1)-1))</f>
        <v>31</v>
      </c>
      <c r="S53" s="2">
        <f ca="1">SUM(OFFSET(Table1[[#Headers],[Days in month]],1,0):Table1[[#This Row],[Days in month]])</f>
        <v>1126</v>
      </c>
      <c r="T53" s="37">
        <f>InterestRate*AmortizationMultiplier*IF(ISNUMBER(SEARCH("Actual",$C$7)),Table1[[#This Row],[Days in month]]/365,1/12)</f>
        <v>6.0708333333333326E-3</v>
      </c>
    </row>
    <row r="54" spans="2:20" x14ac:dyDescent="0.2">
      <c r="B54" s="1">
        <v>46996</v>
      </c>
      <c r="C54" s="2">
        <f t="shared" si="1"/>
        <v>38</v>
      </c>
      <c r="D54" s="3">
        <f t="shared" si="3"/>
        <v>7386736.2999999998</v>
      </c>
      <c r="E54" s="3">
        <f>ROUND(Table1[[#This Row],[Beginning Balance]]*Table1[[#This Row],[Monthly Interest Rate]],2)</f>
        <v>44843.64</v>
      </c>
      <c r="F54" s="3">
        <f t="shared" si="2"/>
        <v>314</v>
      </c>
      <c r="G54" s="23">
        <f>IFERROR(IF($C$13="No","N/A",IF(Table1[[#This Row],[Period]]=1,$C$6,PMT(InterestRate*AmortizationMultiplier/12,Table1[[#This Row],[Am Thru]],-Table1[[#This Row],[Beginning Balance]]))),0)</f>
        <v>52066.078555371634</v>
      </c>
      <c r="H54" s="3">
        <f>MAX(0,IF(C54=$C$4,D54,ROUND(IF($C$3="Fixed Principal",$C$6-Table1[[#This Row],[Interest]],IF($C$3="Interest Only",Table1[[#This Row],[Beginning Balance]]*ROUND(1-(1-IF($C$11="No",$E$8,1))^(1/12),6),MIN(IF($C$13="Yes",Table1[[#This Row],[Payment Amount (Reamortized)]],$C$6)-Table1[[#This Row],[Interest]],Table1[[#This Row],[Beginning Balance]]))),2)))</f>
        <v>7222.44</v>
      </c>
      <c r="I54" s="3">
        <f>_xlfn.SINGLE(IF($C$3="Line of Credit",0,ROUND(MAX(MIN(IF($C$10="No",$E$7,VLOOKUP(Table1[[#This Row],[Period]],Forecast!$H$2:$L$1048576,4,FALSE))*Table1[[#This Row],[Beginning Balance]],Table1[[#This Row],[Beginning Balance]]-Table1[[#This Row],[Principal]]),0),2)))</f>
        <v>21074.36</v>
      </c>
      <c r="J54" s="3">
        <f>ROUND(MIN(Table1[[#This Row],[Beginning Balance]]*IF($C$8="No",$E$3,VLOOKUP(Table1[[#This Row],[Period]],Forecast!$H$2:$L$1048576,2,FALSE)),Table1[[#This Row],[Beginning Balance]]-Table1[[#This Row],[Principal]]-Table1[[#This Row],[Prepayments]]),2)</f>
        <v>5045.1400000000003</v>
      </c>
      <c r="K54" s="3">
        <f>ROUND(Table1[[#This Row],[Defaulted Principal]]*IF($C$9="No",$E$4,VLOOKUP(Table1[[#This Row],[Period]],Forecast!$H$2:$L$1048576,3,FALSE)),2)</f>
        <v>437.38</v>
      </c>
      <c r="L54" s="2">
        <f>Table1[[#This Row],[Period]]+$E$9</f>
        <v>50</v>
      </c>
      <c r="M54" s="3">
        <f>Table1[[#This Row],[Defaulted Principal]]-Table1[[#This Row],[Estimated Loss]]</f>
        <v>4607.76</v>
      </c>
      <c r="N54" s="3">
        <f>IFERROR(VLOOKUP(Table1[[#This Row],[Period]],$L$16:$M$385,2,FALSE),0)</f>
        <v>4365.7699999999995</v>
      </c>
      <c r="O54" s="3">
        <f>Table1[[#This Row],[Beginning Balance]]-Table1[[#This Row],[Principal]]-Table1[[#This Row],[Prepayments]]-Table1[[#This Row],[Defaulted Principal]]</f>
        <v>7353394.3599999994</v>
      </c>
      <c r="P54" s="3">
        <f>Table1[[#This Row],[Principal]]+Table1[[#This Row],[Interest]]+Table1[[#This Row],[Prepayments]]+Table1[[#This Row],[RecoveredAmount]]</f>
        <v>77506.210000000006</v>
      </c>
      <c r="Q54" s="3">
        <f ca="1">Table1[[#This Row],[Cash Flow]]/((1+ActualRateToUse)^(IF(ISNUMBER(SEARCH("Actual",$C$7)),Table1[[#This Row],[Running Total]]/365,Table1[[#This Row],[Period]]/12)))</f>
        <v>61752.893561622855</v>
      </c>
      <c r="R54" s="2">
        <f>IF(MONTH(Table1[[#This Row],[Date]])=2,28,DAY(DATE(YEAR(Table1[[#This Row],[Date]]),MONTH(Table1[[#This Row],[Date]])+1,1)-1))</f>
        <v>31</v>
      </c>
      <c r="S54" s="2">
        <f ca="1">SUM(OFFSET(Table1[[#Headers],[Days in month]],1,0):Table1[[#This Row],[Days in month]])</f>
        <v>1157</v>
      </c>
      <c r="T54" s="37">
        <f>InterestRate*AmortizationMultiplier*IF(ISNUMBER(SEARCH("Actual",$C$7)),Table1[[#This Row],[Days in month]]/365,1/12)</f>
        <v>6.0708333333333326E-3</v>
      </c>
    </row>
    <row r="55" spans="2:20" x14ac:dyDescent="0.2">
      <c r="B55" s="1">
        <v>47026</v>
      </c>
      <c r="C55" s="2">
        <f t="shared" si="1"/>
        <v>39</v>
      </c>
      <c r="D55" s="3">
        <f t="shared" si="3"/>
        <v>7353394.3599999994</v>
      </c>
      <c r="E55" s="3">
        <f>ROUND(Table1[[#This Row],[Beginning Balance]]*Table1[[#This Row],[Monthly Interest Rate]],2)</f>
        <v>43201.19</v>
      </c>
      <c r="F55" s="3">
        <f t="shared" si="2"/>
        <v>313</v>
      </c>
      <c r="G55" s="23">
        <f>IFERROR(IF($C$13="No","N/A",IF(Table1[[#This Row],[Period]]=1,$C$6,PMT(InterestRate*AmortizationMultiplier/12,Table1[[#This Row],[Am Thru]],-Table1[[#This Row],[Beginning Balance]]))),0)</f>
        <v>51887.725919844605</v>
      </c>
      <c r="H55" s="3">
        <f>MAX(0,IF(C55=$C$4,D55,ROUND(IF($C$3="Fixed Principal",$C$6-Table1[[#This Row],[Interest]],IF($C$3="Interest Only",Table1[[#This Row],[Beginning Balance]]*ROUND(1-(1-IF($C$11="No",$E$8,1))^(1/12),6),MIN(IF($C$13="Yes",Table1[[#This Row],[Payment Amount (Reamortized)]],$C$6)-Table1[[#This Row],[Interest]],Table1[[#This Row],[Beginning Balance]]))),2)))</f>
        <v>8686.5400000000009</v>
      </c>
      <c r="I55" s="3">
        <f>_xlfn.SINGLE(IF($C$3="Line of Credit",0,ROUND(MAX(MIN(IF($C$10="No",$E$7,VLOOKUP(Table1[[#This Row],[Period]],Forecast!$H$2:$L$1048576,4,FALSE))*Table1[[#This Row],[Beginning Balance]],Table1[[#This Row],[Beginning Balance]]-Table1[[#This Row],[Principal]]),0),2)))</f>
        <v>20979.23</v>
      </c>
      <c r="J55" s="3">
        <f>ROUND(MIN(Table1[[#This Row],[Beginning Balance]]*IF($C$8="No",$E$3,VLOOKUP(Table1[[#This Row],[Period]],Forecast!$H$2:$L$1048576,2,FALSE)),Table1[[#This Row],[Beginning Balance]]-Table1[[#This Row],[Principal]]-Table1[[#This Row],[Prepayments]]),2)</f>
        <v>5022.37</v>
      </c>
      <c r="K55" s="3">
        <f>ROUND(Table1[[#This Row],[Defaulted Principal]]*IF($C$9="No",$E$4,VLOOKUP(Table1[[#This Row],[Period]],Forecast!$H$2:$L$1048576,3,FALSE)),2)</f>
        <v>435.41</v>
      </c>
      <c r="L55" s="2">
        <f>Table1[[#This Row],[Period]]+$E$9</f>
        <v>51</v>
      </c>
      <c r="M55" s="3">
        <f>Table1[[#This Row],[Defaulted Principal]]-Table1[[#This Row],[Estimated Loss]]</f>
        <v>4586.96</v>
      </c>
      <c r="N55" s="3">
        <f>IFERROR(VLOOKUP(Table1[[#This Row],[Period]],$L$16:$M$385,2,FALSE),0)</f>
        <v>4346.7699999999995</v>
      </c>
      <c r="O55" s="3">
        <f>Table1[[#This Row],[Beginning Balance]]-Table1[[#This Row],[Principal]]-Table1[[#This Row],[Prepayments]]-Table1[[#This Row],[Defaulted Principal]]</f>
        <v>7318706.2199999988</v>
      </c>
      <c r="P55" s="3">
        <f>Table1[[#This Row],[Principal]]+Table1[[#This Row],[Interest]]+Table1[[#This Row],[Prepayments]]+Table1[[#This Row],[RecoveredAmount]]</f>
        <v>77213.73000000001</v>
      </c>
      <c r="Q55" s="3">
        <f ca="1">Table1[[#This Row],[Cash Flow]]/((1+ActualRateToUse)^(IF(ISNUMBER(SEARCH("Actual",$C$7)),Table1[[#This Row],[Running Total]]/365,Table1[[#This Row],[Period]]/12)))</f>
        <v>61158.479400154247</v>
      </c>
      <c r="R55" s="2">
        <f>IF(MONTH(Table1[[#This Row],[Date]])=2,28,DAY(DATE(YEAR(Table1[[#This Row],[Date]]),MONTH(Table1[[#This Row],[Date]])+1,1)-1))</f>
        <v>30</v>
      </c>
      <c r="S55" s="2">
        <f ca="1">SUM(OFFSET(Table1[[#Headers],[Days in month]],1,0):Table1[[#This Row],[Days in month]])</f>
        <v>1187</v>
      </c>
      <c r="T55" s="37">
        <f>InterestRate*AmortizationMultiplier*IF(ISNUMBER(SEARCH("Actual",$C$7)),Table1[[#This Row],[Days in month]]/365,1/12)</f>
        <v>5.8749999999999991E-3</v>
      </c>
    </row>
    <row r="56" spans="2:20" x14ac:dyDescent="0.2">
      <c r="B56" s="1">
        <v>47057</v>
      </c>
      <c r="C56" s="2">
        <f t="shared" si="1"/>
        <v>40</v>
      </c>
      <c r="D56" s="3">
        <f t="shared" si="3"/>
        <v>7318706.2199999988</v>
      </c>
      <c r="E56" s="3">
        <f>ROUND(Table1[[#This Row],[Beginning Balance]]*Table1[[#This Row],[Monthly Interest Rate]],2)</f>
        <v>44430.65</v>
      </c>
      <c r="F56" s="3">
        <f t="shared" si="2"/>
        <v>312</v>
      </c>
      <c r="G56" s="23">
        <f>IFERROR(IF($C$13="No","N/A",IF(Table1[[#This Row],[Period]]=1,$C$6,PMT(InterestRate*AmortizationMultiplier/12,Table1[[#This Row],[Am Thru]],-Table1[[#This Row],[Beginning Balance]]))),0)</f>
        <v>51699.810351588014</v>
      </c>
      <c r="H56" s="3">
        <f>MAX(0,IF(C56=$C$4,D56,ROUND(IF($C$3="Fixed Principal",$C$6-Table1[[#This Row],[Interest]],IF($C$3="Interest Only",Table1[[#This Row],[Beginning Balance]]*ROUND(1-(1-IF($C$11="No",$E$8,1))^(1/12),6),MIN(IF($C$13="Yes",Table1[[#This Row],[Payment Amount (Reamortized)]],$C$6)-Table1[[#This Row],[Interest]],Table1[[#This Row],[Beginning Balance]]))),2)))</f>
        <v>7269.16</v>
      </c>
      <c r="I56" s="3">
        <f>_xlfn.SINGLE(IF($C$3="Line of Credit",0,ROUND(MAX(MIN(IF($C$10="No",$E$7,VLOOKUP(Table1[[#This Row],[Period]],Forecast!$H$2:$L$1048576,4,FALSE))*Table1[[#This Row],[Beginning Balance]],Table1[[#This Row],[Beginning Balance]]-Table1[[#This Row],[Principal]]),0),2)))</f>
        <v>20880.27</v>
      </c>
      <c r="J56" s="3">
        <f>ROUND(MIN(Table1[[#This Row],[Beginning Balance]]*IF($C$8="No",$E$3,VLOOKUP(Table1[[#This Row],[Period]],Forecast!$H$2:$L$1048576,2,FALSE)),Table1[[#This Row],[Beginning Balance]]-Table1[[#This Row],[Principal]]-Table1[[#This Row],[Prepayments]]),2)</f>
        <v>4998.68</v>
      </c>
      <c r="K56" s="3">
        <f>ROUND(Table1[[#This Row],[Defaulted Principal]]*IF($C$9="No",$E$4,VLOOKUP(Table1[[#This Row],[Period]],Forecast!$H$2:$L$1048576,3,FALSE)),2)</f>
        <v>433.36</v>
      </c>
      <c r="L56" s="2">
        <f>Table1[[#This Row],[Period]]+$E$9</f>
        <v>52</v>
      </c>
      <c r="M56" s="3">
        <f>Table1[[#This Row],[Defaulted Principal]]-Table1[[#This Row],[Estimated Loss]]</f>
        <v>4565.3200000000006</v>
      </c>
      <c r="N56" s="3">
        <f>IFERROR(VLOOKUP(Table1[[#This Row],[Period]],$L$16:$M$385,2,FALSE),0)</f>
        <v>4492.74</v>
      </c>
      <c r="O56" s="3">
        <f>Table1[[#This Row],[Beginning Balance]]-Table1[[#This Row],[Principal]]-Table1[[#This Row],[Prepayments]]-Table1[[#This Row],[Defaulted Principal]]</f>
        <v>7285558.1099999994</v>
      </c>
      <c r="P56" s="3">
        <f>Table1[[#This Row],[Principal]]+Table1[[#This Row],[Interest]]+Table1[[#This Row],[Prepayments]]+Table1[[#This Row],[RecoveredAmount]]</f>
        <v>77072.820000000007</v>
      </c>
      <c r="Q56" s="3">
        <f ca="1">Table1[[#This Row],[Cash Flow]]/((1+ActualRateToUse)^(IF(ISNUMBER(SEARCH("Actual",$C$7)),Table1[[#This Row],[Running Total]]/365,Table1[[#This Row],[Period]]/12)))</f>
        <v>60676.349157778735</v>
      </c>
      <c r="R56" s="2">
        <f>IF(MONTH(Table1[[#This Row],[Date]])=2,28,DAY(DATE(YEAR(Table1[[#This Row],[Date]]),MONTH(Table1[[#This Row],[Date]])+1,1)-1))</f>
        <v>31</v>
      </c>
      <c r="S56" s="2">
        <f ca="1">SUM(OFFSET(Table1[[#Headers],[Days in month]],1,0):Table1[[#This Row],[Days in month]])</f>
        <v>1218</v>
      </c>
      <c r="T56" s="37">
        <f>InterestRate*AmortizationMultiplier*IF(ISNUMBER(SEARCH("Actual",$C$7)),Table1[[#This Row],[Days in month]]/365,1/12)</f>
        <v>6.0708333333333326E-3</v>
      </c>
    </row>
    <row r="57" spans="2:20" x14ac:dyDescent="0.2">
      <c r="B57" s="1">
        <v>47087</v>
      </c>
      <c r="C57" s="2">
        <f t="shared" si="1"/>
        <v>41</v>
      </c>
      <c r="D57" s="3">
        <f t="shared" si="3"/>
        <v>7285558.1099999994</v>
      </c>
      <c r="E57" s="3">
        <f>ROUND(Table1[[#This Row],[Beginning Balance]]*Table1[[#This Row],[Monthly Interest Rate]],2)</f>
        <v>42802.65</v>
      </c>
      <c r="F57" s="3">
        <f t="shared" si="2"/>
        <v>311</v>
      </c>
      <c r="G57" s="23">
        <f>IFERROR(IF($C$13="No","N/A",IF(Table1[[#This Row],[Period]]=1,$C$6,PMT(InterestRate*AmortizationMultiplier/12,Table1[[#This Row],[Am Thru]],-Table1[[#This Row],[Beginning Balance]]))),0)</f>
        <v>51522.709673387057</v>
      </c>
      <c r="H57" s="3">
        <f>MAX(0,IF(C57=$C$4,D57,ROUND(IF($C$3="Fixed Principal",$C$6-Table1[[#This Row],[Interest]],IF($C$3="Interest Only",Table1[[#This Row],[Beginning Balance]]*ROUND(1-(1-IF($C$11="No",$E$8,1))^(1/12),6),MIN(IF($C$13="Yes",Table1[[#This Row],[Payment Amount (Reamortized)]],$C$6)-Table1[[#This Row],[Interest]],Table1[[#This Row],[Beginning Balance]]))),2)))</f>
        <v>8720.06</v>
      </c>
      <c r="I57" s="3">
        <f>_xlfn.SINGLE(IF($C$3="Line of Credit",0,ROUND(MAX(MIN(IF($C$10="No",$E$7,VLOOKUP(Table1[[#This Row],[Period]],Forecast!$H$2:$L$1048576,4,FALSE))*Table1[[#This Row],[Beginning Balance]],Table1[[#This Row],[Beginning Balance]]-Table1[[#This Row],[Principal]]),0),2)))</f>
        <v>20785.7</v>
      </c>
      <c r="J57" s="3">
        <f>ROUND(MIN(Table1[[#This Row],[Beginning Balance]]*IF($C$8="No",$E$3,VLOOKUP(Table1[[#This Row],[Period]],Forecast!$H$2:$L$1048576,2,FALSE)),Table1[[#This Row],[Beginning Balance]]-Table1[[#This Row],[Principal]]-Table1[[#This Row],[Prepayments]]),2)</f>
        <v>4976.04</v>
      </c>
      <c r="K57" s="3">
        <f>ROUND(Table1[[#This Row],[Defaulted Principal]]*IF($C$9="No",$E$4,VLOOKUP(Table1[[#This Row],[Period]],Forecast!$H$2:$L$1048576,3,FALSE)),2)</f>
        <v>431.39</v>
      </c>
      <c r="L57" s="2">
        <f>Table1[[#This Row],[Period]]+$E$9</f>
        <v>53</v>
      </c>
      <c r="M57" s="3">
        <f>Table1[[#This Row],[Defaulted Principal]]-Table1[[#This Row],[Estimated Loss]]</f>
        <v>4544.6499999999996</v>
      </c>
      <c r="N57" s="3">
        <f>IFERROR(VLOOKUP(Table1[[#This Row],[Period]],$L$16:$M$385,2,FALSE),0)</f>
        <v>4473</v>
      </c>
      <c r="O57" s="3">
        <f>Table1[[#This Row],[Beginning Balance]]-Table1[[#This Row],[Principal]]-Table1[[#This Row],[Prepayments]]-Table1[[#This Row],[Defaulted Principal]]</f>
        <v>7251076.3099999996</v>
      </c>
      <c r="P57" s="3">
        <f>Table1[[#This Row],[Principal]]+Table1[[#This Row],[Interest]]+Table1[[#This Row],[Prepayments]]+Table1[[#This Row],[RecoveredAmount]]</f>
        <v>76781.41</v>
      </c>
      <c r="Q57" s="3">
        <f ca="1">Table1[[#This Row],[Cash Flow]]/((1+ActualRateToUse)^(IF(ISNUMBER(SEARCH("Actual",$C$7)),Table1[[#This Row],[Running Total]]/365,Table1[[#This Row],[Period]]/12)))</f>
        <v>60091.854933142204</v>
      </c>
      <c r="R57" s="2">
        <f>IF(MONTH(Table1[[#This Row],[Date]])=2,28,DAY(DATE(YEAR(Table1[[#This Row],[Date]]),MONTH(Table1[[#This Row],[Date]])+1,1)-1))</f>
        <v>30</v>
      </c>
      <c r="S57" s="2">
        <f ca="1">SUM(OFFSET(Table1[[#Headers],[Days in month]],1,0):Table1[[#This Row],[Days in month]])</f>
        <v>1248</v>
      </c>
      <c r="T57" s="37">
        <f>InterestRate*AmortizationMultiplier*IF(ISNUMBER(SEARCH("Actual",$C$7)),Table1[[#This Row],[Days in month]]/365,1/12)</f>
        <v>5.8749999999999991E-3</v>
      </c>
    </row>
    <row r="58" spans="2:20" x14ac:dyDescent="0.2">
      <c r="B58" s="1">
        <v>47118</v>
      </c>
      <c r="C58" s="2">
        <f t="shared" si="1"/>
        <v>42</v>
      </c>
      <c r="D58" s="3">
        <f t="shared" si="3"/>
        <v>7251076.3099999996</v>
      </c>
      <c r="E58" s="3">
        <f>ROUND(Table1[[#This Row],[Beginning Balance]]*Table1[[#This Row],[Monthly Interest Rate]],2)</f>
        <v>44020.08</v>
      </c>
      <c r="F58" s="3">
        <f t="shared" si="2"/>
        <v>310</v>
      </c>
      <c r="G58" s="23">
        <f>IFERROR(IF($C$13="No","N/A",IF(Table1[[#This Row],[Period]]=1,$C$6,PMT(InterestRate*AmortizationMultiplier/12,Table1[[#This Row],[Am Thru]],-Table1[[#This Row],[Beginning Balance]]))),0)</f>
        <v>51336.113075028567</v>
      </c>
      <c r="H58" s="3">
        <f>MAX(0,IF(C58=$C$4,D58,ROUND(IF($C$3="Fixed Principal",$C$6-Table1[[#This Row],[Interest]],IF($C$3="Interest Only",Table1[[#This Row],[Beginning Balance]]*ROUND(1-(1-IF($C$11="No",$E$8,1))^(1/12),6),MIN(IF($C$13="Yes",Table1[[#This Row],[Payment Amount (Reamortized)]],$C$6)-Table1[[#This Row],[Interest]],Table1[[#This Row],[Beginning Balance]]))),2)))</f>
        <v>7316.03</v>
      </c>
      <c r="I58" s="3">
        <f>_xlfn.SINGLE(IF($C$3="Line of Credit",0,ROUND(MAX(MIN(IF($C$10="No",$E$7,VLOOKUP(Table1[[#This Row],[Period]],Forecast!$H$2:$L$1048576,4,FALSE))*Table1[[#This Row],[Beginning Balance]],Table1[[#This Row],[Beginning Balance]]-Table1[[#This Row],[Principal]]),0),2)))</f>
        <v>20687.32</v>
      </c>
      <c r="J58" s="3">
        <f>ROUND(MIN(Table1[[#This Row],[Beginning Balance]]*IF($C$8="No",$E$3,VLOOKUP(Table1[[#This Row],[Period]],Forecast!$H$2:$L$1048576,2,FALSE)),Table1[[#This Row],[Beginning Balance]]-Table1[[#This Row],[Principal]]-Table1[[#This Row],[Prepayments]]),2)</f>
        <v>4952.49</v>
      </c>
      <c r="K58" s="3">
        <f>ROUND(Table1[[#This Row],[Defaulted Principal]]*IF($C$9="No",$E$4,VLOOKUP(Table1[[#This Row],[Period]],Forecast!$H$2:$L$1048576,3,FALSE)),2)</f>
        <v>429.35</v>
      </c>
      <c r="L58" s="2">
        <f>Table1[[#This Row],[Period]]+$E$9</f>
        <v>54</v>
      </c>
      <c r="M58" s="3">
        <f>Table1[[#This Row],[Defaulted Principal]]-Table1[[#This Row],[Estimated Loss]]</f>
        <v>4523.1399999999994</v>
      </c>
      <c r="N58" s="3">
        <f>IFERROR(VLOOKUP(Table1[[#This Row],[Period]],$L$16:$M$385,2,FALSE),0)</f>
        <v>4452.45</v>
      </c>
      <c r="O58" s="3">
        <f>Table1[[#This Row],[Beginning Balance]]-Table1[[#This Row],[Principal]]-Table1[[#This Row],[Prepayments]]-Table1[[#This Row],[Defaulted Principal]]</f>
        <v>7218120.4699999988</v>
      </c>
      <c r="P58" s="3">
        <f>Table1[[#This Row],[Principal]]+Table1[[#This Row],[Interest]]+Table1[[#This Row],[Prepayments]]+Table1[[#This Row],[RecoveredAmount]]</f>
        <v>76475.87999999999</v>
      </c>
      <c r="Q58" s="3">
        <f ca="1">Table1[[#This Row],[Cash Flow]]/((1+ActualRateToUse)^(IF(ISNUMBER(SEARCH("Actual",$C$7)),Table1[[#This Row],[Running Total]]/365,Table1[[#This Row],[Period]]/12)))</f>
        <v>59489.464006878057</v>
      </c>
      <c r="R58" s="2">
        <f>IF(MONTH(Table1[[#This Row],[Date]])=2,28,DAY(DATE(YEAR(Table1[[#This Row],[Date]]),MONTH(Table1[[#This Row],[Date]])+1,1)-1))</f>
        <v>31</v>
      </c>
      <c r="S58" s="2">
        <f ca="1">SUM(OFFSET(Table1[[#Headers],[Days in month]],1,0):Table1[[#This Row],[Days in month]])</f>
        <v>1279</v>
      </c>
      <c r="T58" s="37">
        <f>InterestRate*AmortizationMultiplier*IF(ISNUMBER(SEARCH("Actual",$C$7)),Table1[[#This Row],[Days in month]]/365,1/12)</f>
        <v>6.0708333333333326E-3</v>
      </c>
    </row>
    <row r="59" spans="2:20" x14ac:dyDescent="0.2">
      <c r="B59" s="1">
        <v>47149</v>
      </c>
      <c r="C59" s="2">
        <f t="shared" si="1"/>
        <v>43</v>
      </c>
      <c r="D59" s="3">
        <f t="shared" si="3"/>
        <v>7218120.4699999988</v>
      </c>
      <c r="E59" s="3">
        <f>ROUND(Table1[[#This Row],[Beginning Balance]]*Table1[[#This Row],[Monthly Interest Rate]],2)</f>
        <v>43820.01</v>
      </c>
      <c r="F59" s="3">
        <f t="shared" si="2"/>
        <v>309</v>
      </c>
      <c r="G59" s="23">
        <f>IFERROR(IF($C$13="No","N/A",IF(Table1[[#This Row],[Period]]=1,$C$6,PMT(InterestRate*AmortizationMultiplier/12,Table1[[#This Row],[Am Thru]],-Table1[[#This Row],[Beginning Balance]]))),0)</f>
        <v>51160.255517040881</v>
      </c>
      <c r="H59" s="3">
        <f>MAX(0,IF(C59=$C$4,D59,ROUND(IF($C$3="Fixed Principal",$C$6-Table1[[#This Row],[Interest]],IF($C$3="Interest Only",Table1[[#This Row],[Beginning Balance]]*ROUND(1-(1-IF($C$11="No",$E$8,1))^(1/12),6),MIN(IF($C$13="Yes",Table1[[#This Row],[Payment Amount (Reamortized)]],$C$6)-Table1[[#This Row],[Interest]],Table1[[#This Row],[Beginning Balance]]))),2)))</f>
        <v>7340.25</v>
      </c>
      <c r="I59" s="3">
        <f>_xlfn.SINGLE(IF($C$3="Line of Credit",0,ROUND(MAX(MIN(IF($C$10="No",$E$7,VLOOKUP(Table1[[#This Row],[Period]],Forecast!$H$2:$L$1048576,4,FALSE))*Table1[[#This Row],[Beginning Balance]],Table1[[#This Row],[Beginning Balance]]-Table1[[#This Row],[Principal]]),0),2)))</f>
        <v>20593.3</v>
      </c>
      <c r="J59" s="3">
        <f>ROUND(MIN(Table1[[#This Row],[Beginning Balance]]*IF($C$8="No",$E$3,VLOOKUP(Table1[[#This Row],[Period]],Forecast!$H$2:$L$1048576,2,FALSE)),Table1[[#This Row],[Beginning Balance]]-Table1[[#This Row],[Principal]]-Table1[[#This Row],[Prepayments]]),2)</f>
        <v>4929.9799999999996</v>
      </c>
      <c r="K59" s="3">
        <f>ROUND(Table1[[#This Row],[Defaulted Principal]]*IF($C$9="No",$E$4,VLOOKUP(Table1[[#This Row],[Period]],Forecast!$H$2:$L$1048576,3,FALSE)),2)</f>
        <v>427.4</v>
      </c>
      <c r="L59" s="2">
        <f>Table1[[#This Row],[Period]]+$E$9</f>
        <v>55</v>
      </c>
      <c r="M59" s="3">
        <f>Table1[[#This Row],[Defaulted Principal]]-Table1[[#This Row],[Estimated Loss]]</f>
        <v>4502.58</v>
      </c>
      <c r="N59" s="3">
        <f>IFERROR(VLOOKUP(Table1[[#This Row],[Period]],$L$16:$M$385,2,FALSE),0)</f>
        <v>4596.1899999999996</v>
      </c>
      <c r="O59" s="3">
        <f>Table1[[#This Row],[Beginning Balance]]-Table1[[#This Row],[Principal]]-Table1[[#This Row],[Prepayments]]-Table1[[#This Row],[Defaulted Principal]]</f>
        <v>7185256.9399999985</v>
      </c>
      <c r="P59" s="3">
        <f>Table1[[#This Row],[Principal]]+Table1[[#This Row],[Interest]]+Table1[[#This Row],[Prepayments]]+Table1[[#This Row],[RecoveredAmount]]</f>
        <v>76349.75</v>
      </c>
      <c r="Q59" s="3">
        <f ca="1">Table1[[#This Row],[Cash Flow]]/((1+ActualRateToUse)^(IF(ISNUMBER(SEARCH("Actual",$C$7)),Table1[[#This Row],[Running Total]]/365,Table1[[#This Row],[Period]]/12)))</f>
        <v>59030.877379559744</v>
      </c>
      <c r="R59" s="2">
        <f>IF(MONTH(Table1[[#This Row],[Date]])=2,28,DAY(DATE(YEAR(Table1[[#This Row],[Date]]),MONTH(Table1[[#This Row],[Date]])+1,1)-1))</f>
        <v>31</v>
      </c>
      <c r="S59" s="2">
        <f ca="1">SUM(OFFSET(Table1[[#Headers],[Days in month]],1,0):Table1[[#This Row],[Days in month]])</f>
        <v>1310</v>
      </c>
      <c r="T59" s="37">
        <f>InterestRate*AmortizationMultiplier*IF(ISNUMBER(SEARCH("Actual",$C$7)),Table1[[#This Row],[Days in month]]/365,1/12)</f>
        <v>6.0708333333333326E-3</v>
      </c>
    </row>
    <row r="60" spans="2:20" x14ac:dyDescent="0.2">
      <c r="B60" s="1">
        <v>47177</v>
      </c>
      <c r="C60" s="2">
        <f t="shared" si="1"/>
        <v>44</v>
      </c>
      <c r="D60" s="3">
        <f t="shared" si="3"/>
        <v>7185256.9399999985</v>
      </c>
      <c r="E60" s="3">
        <f>ROUND(Table1[[#This Row],[Beginning Balance]]*Table1[[#This Row],[Monthly Interest Rate]],2)</f>
        <v>39399.160000000003</v>
      </c>
      <c r="F60" s="3">
        <f t="shared" si="2"/>
        <v>308</v>
      </c>
      <c r="G60" s="23">
        <f>IFERROR(IF($C$13="No","N/A",IF(Table1[[#This Row],[Period]]=1,$C$6,PMT(InterestRate*AmortizationMultiplier/12,Table1[[#This Row],[Am Thru]],-Table1[[#This Row],[Beginning Balance]]))),0)</f>
        <v>50984.998911049901</v>
      </c>
      <c r="H60" s="3">
        <f>MAX(0,IF(C60=$C$4,D60,ROUND(IF($C$3="Fixed Principal",$C$6-Table1[[#This Row],[Interest]],IF($C$3="Interest Only",Table1[[#This Row],[Beginning Balance]]*ROUND(1-(1-IF($C$11="No",$E$8,1))^(1/12),6),MIN(IF($C$13="Yes",Table1[[#This Row],[Payment Amount (Reamortized)]],$C$6)-Table1[[#This Row],[Interest]],Table1[[#This Row],[Beginning Balance]]))),2)))</f>
        <v>11585.84</v>
      </c>
      <c r="I60" s="3">
        <f>_xlfn.SINGLE(IF($C$3="Line of Credit",0,ROUND(MAX(MIN(IF($C$10="No",$E$7,VLOOKUP(Table1[[#This Row],[Period]],Forecast!$H$2:$L$1048576,4,FALSE))*Table1[[#This Row],[Beginning Balance]],Table1[[#This Row],[Beginning Balance]]-Table1[[#This Row],[Principal]]),0),2)))</f>
        <v>20499.54</v>
      </c>
      <c r="J60" s="3">
        <f>ROUND(MIN(Table1[[#This Row],[Beginning Balance]]*IF($C$8="No",$E$3,VLOOKUP(Table1[[#This Row],[Period]],Forecast!$H$2:$L$1048576,2,FALSE)),Table1[[#This Row],[Beginning Balance]]-Table1[[#This Row],[Principal]]-Table1[[#This Row],[Prepayments]]),2)</f>
        <v>4907.53</v>
      </c>
      <c r="K60" s="3">
        <f>ROUND(Table1[[#This Row],[Defaulted Principal]]*IF($C$9="No",$E$4,VLOOKUP(Table1[[#This Row],[Period]],Forecast!$H$2:$L$1048576,3,FALSE)),2)</f>
        <v>425.45</v>
      </c>
      <c r="L60" s="2">
        <f>Table1[[#This Row],[Period]]+$E$9</f>
        <v>56</v>
      </c>
      <c r="M60" s="3">
        <f>Table1[[#This Row],[Defaulted Principal]]-Table1[[#This Row],[Estimated Loss]]</f>
        <v>4482.08</v>
      </c>
      <c r="N60" s="3">
        <f>IFERROR(VLOOKUP(Table1[[#This Row],[Period]],$L$16:$M$385,2,FALSE),0)</f>
        <v>4575.7999999999993</v>
      </c>
      <c r="O60" s="3">
        <f>Table1[[#This Row],[Beginning Balance]]-Table1[[#This Row],[Principal]]-Table1[[#This Row],[Prepayments]]-Table1[[#This Row],[Defaulted Principal]]</f>
        <v>7148264.0299999984</v>
      </c>
      <c r="P60" s="3">
        <f>Table1[[#This Row],[Principal]]+Table1[[#This Row],[Interest]]+Table1[[#This Row],[Prepayments]]+Table1[[#This Row],[RecoveredAmount]]</f>
        <v>76060.340000000011</v>
      </c>
      <c r="Q60" s="3">
        <f ca="1">Table1[[#This Row],[Cash Flow]]/((1+ActualRateToUse)^(IF(ISNUMBER(SEARCH("Actual",$C$7)),Table1[[#This Row],[Running Total]]/365,Table1[[#This Row],[Period]]/12)))</f>
        <v>58484.636338016382</v>
      </c>
      <c r="R60" s="2">
        <f>IF(MONTH(Table1[[#This Row],[Date]])=2,28,DAY(DATE(YEAR(Table1[[#This Row],[Date]]),MONTH(Table1[[#This Row],[Date]])+1,1)-1))</f>
        <v>28</v>
      </c>
      <c r="S60" s="2">
        <f ca="1">SUM(OFFSET(Table1[[#Headers],[Days in month]],1,0):Table1[[#This Row],[Days in month]])</f>
        <v>1338</v>
      </c>
      <c r="T60" s="37">
        <f>InterestRate*AmortizationMultiplier*IF(ISNUMBER(SEARCH("Actual",$C$7)),Table1[[#This Row],[Days in month]]/365,1/12)</f>
        <v>5.4833333333333331E-3</v>
      </c>
    </row>
    <row r="61" spans="2:20" x14ac:dyDescent="0.2">
      <c r="B61" s="1">
        <v>47208</v>
      </c>
      <c r="C61" s="2">
        <f t="shared" si="1"/>
        <v>45</v>
      </c>
      <c r="D61" s="3">
        <f t="shared" si="3"/>
        <v>7148264.0299999984</v>
      </c>
      <c r="E61" s="3">
        <f>ROUND(Table1[[#This Row],[Beginning Balance]]*Table1[[#This Row],[Monthly Interest Rate]],2)</f>
        <v>43395.92</v>
      </c>
      <c r="F61" s="3">
        <f t="shared" si="2"/>
        <v>307</v>
      </c>
      <c r="G61" s="23">
        <f>IFERROR(IF($C$13="No","N/A",IF(Table1[[#This Row],[Period]]=1,$C$6,PMT(InterestRate*AmortizationMultiplier/12,Table1[[#This Row],[Am Thru]],-Table1[[#This Row],[Beginning Balance]]))),0)</f>
        <v>50780.353457371275</v>
      </c>
      <c r="H61" s="3">
        <f>MAX(0,IF(C61=$C$4,D61,ROUND(IF($C$3="Fixed Principal",$C$6-Table1[[#This Row],[Interest]],IF($C$3="Interest Only",Table1[[#This Row],[Beginning Balance]]*ROUND(1-(1-IF($C$11="No",$E$8,1))^(1/12),6),MIN(IF($C$13="Yes",Table1[[#This Row],[Payment Amount (Reamortized)]],$C$6)-Table1[[#This Row],[Interest]],Table1[[#This Row],[Beginning Balance]]))),2)))</f>
        <v>7384.43</v>
      </c>
      <c r="I61" s="3">
        <f>_xlfn.SINGLE(IF($C$3="Line of Credit",0,ROUND(MAX(MIN(IF($C$10="No",$E$7,VLOOKUP(Table1[[#This Row],[Period]],Forecast!$H$2:$L$1048576,4,FALSE))*Table1[[#This Row],[Beginning Balance]],Table1[[#This Row],[Beginning Balance]]-Table1[[#This Row],[Principal]]),0),2)))</f>
        <v>20394</v>
      </c>
      <c r="J61" s="3">
        <f>ROUND(MIN(Table1[[#This Row],[Beginning Balance]]*IF($C$8="No",$E$3,VLOOKUP(Table1[[#This Row],[Period]],Forecast!$H$2:$L$1048576,2,FALSE)),Table1[[#This Row],[Beginning Balance]]-Table1[[#This Row],[Principal]]-Table1[[#This Row],[Prepayments]]),2)</f>
        <v>4882.26</v>
      </c>
      <c r="K61" s="3">
        <f>ROUND(Table1[[#This Row],[Defaulted Principal]]*IF($C$9="No",$E$4,VLOOKUP(Table1[[#This Row],[Period]],Forecast!$H$2:$L$1048576,3,FALSE)),2)</f>
        <v>423.26</v>
      </c>
      <c r="L61" s="2">
        <f>Table1[[#This Row],[Period]]+$E$9</f>
        <v>57</v>
      </c>
      <c r="M61" s="3">
        <f>Table1[[#This Row],[Defaulted Principal]]-Table1[[#This Row],[Estimated Loss]]</f>
        <v>4459</v>
      </c>
      <c r="N61" s="3">
        <f>IFERROR(VLOOKUP(Table1[[#This Row],[Period]],$L$16:$M$385,2,FALSE),0)</f>
        <v>4552.7700000000004</v>
      </c>
      <c r="O61" s="3">
        <f>Table1[[#This Row],[Beginning Balance]]-Table1[[#This Row],[Principal]]-Table1[[#This Row],[Prepayments]]-Table1[[#This Row],[Defaulted Principal]]</f>
        <v>7115603.3399999989</v>
      </c>
      <c r="P61" s="3">
        <f>Table1[[#This Row],[Principal]]+Table1[[#This Row],[Interest]]+Table1[[#This Row],[Prepayments]]+Table1[[#This Row],[RecoveredAmount]]</f>
        <v>75727.12000000001</v>
      </c>
      <c r="Q61" s="3">
        <f ca="1">Table1[[#This Row],[Cash Flow]]/((1+ActualRateToUse)^(IF(ISNUMBER(SEARCH("Actual",$C$7)),Table1[[#This Row],[Running Total]]/365,Table1[[#This Row],[Period]]/12)))</f>
        <v>57875.001814632655</v>
      </c>
      <c r="R61" s="2">
        <f>IF(MONTH(Table1[[#This Row],[Date]])=2,28,DAY(DATE(YEAR(Table1[[#This Row],[Date]]),MONTH(Table1[[#This Row],[Date]])+1,1)-1))</f>
        <v>31</v>
      </c>
      <c r="S61" s="2">
        <f ca="1">SUM(OFFSET(Table1[[#Headers],[Days in month]],1,0):Table1[[#This Row],[Days in month]])</f>
        <v>1369</v>
      </c>
      <c r="T61" s="37">
        <f>InterestRate*AmortizationMultiplier*IF(ISNUMBER(SEARCH("Actual",$C$7)),Table1[[#This Row],[Days in month]]/365,1/12)</f>
        <v>6.0708333333333326E-3</v>
      </c>
    </row>
    <row r="62" spans="2:20" x14ac:dyDescent="0.2">
      <c r="B62" s="1">
        <v>47238</v>
      </c>
      <c r="C62" s="2">
        <f t="shared" si="1"/>
        <v>46</v>
      </c>
      <c r="D62" s="3">
        <f t="shared" si="3"/>
        <v>7115603.3399999989</v>
      </c>
      <c r="E62" s="3">
        <f>ROUND(Table1[[#This Row],[Beginning Balance]]*Table1[[#This Row],[Monthly Interest Rate]],2)</f>
        <v>41804.17</v>
      </c>
      <c r="F62" s="3">
        <f t="shared" si="2"/>
        <v>306</v>
      </c>
      <c r="G62" s="23">
        <f>IFERROR(IF($C$13="No","N/A",IF(Table1[[#This Row],[Period]]=1,$C$6,PMT(InterestRate*AmortizationMultiplier/12,Table1[[#This Row],[Am Thru]],-Table1[[#This Row],[Beginning Balance]]))),0)</f>
        <v>50606.395539299243</v>
      </c>
      <c r="H62" s="3">
        <f>MAX(0,IF(C62=$C$4,D62,ROUND(IF($C$3="Fixed Principal",$C$6-Table1[[#This Row],[Interest]],IF($C$3="Interest Only",Table1[[#This Row],[Beginning Balance]]*ROUND(1-(1-IF($C$11="No",$E$8,1))^(1/12),6),MIN(IF($C$13="Yes",Table1[[#This Row],[Payment Amount (Reamortized)]],$C$6)-Table1[[#This Row],[Interest]],Table1[[#This Row],[Beginning Balance]]))),2)))</f>
        <v>8802.23</v>
      </c>
      <c r="I62" s="3">
        <f>_xlfn.SINGLE(IF($C$3="Line of Credit",0,ROUND(MAX(MIN(IF($C$10="No",$E$7,VLOOKUP(Table1[[#This Row],[Period]],Forecast!$H$2:$L$1048576,4,FALSE))*Table1[[#This Row],[Beginning Balance]],Table1[[#This Row],[Beginning Balance]]-Table1[[#This Row],[Principal]]),0),2)))</f>
        <v>20300.82</v>
      </c>
      <c r="J62" s="3">
        <f>ROUND(MIN(Table1[[#This Row],[Beginning Balance]]*IF($C$8="No",$E$3,VLOOKUP(Table1[[#This Row],[Period]],Forecast!$H$2:$L$1048576,2,FALSE)),Table1[[#This Row],[Beginning Balance]]-Table1[[#This Row],[Principal]]-Table1[[#This Row],[Prepayments]]),2)</f>
        <v>4859.96</v>
      </c>
      <c r="K62" s="3">
        <f>ROUND(Table1[[#This Row],[Defaulted Principal]]*IF($C$9="No",$E$4,VLOOKUP(Table1[[#This Row],[Period]],Forecast!$H$2:$L$1048576,3,FALSE)),2)</f>
        <v>421.33</v>
      </c>
      <c r="L62" s="2">
        <f>Table1[[#This Row],[Period]]+$E$9</f>
        <v>58</v>
      </c>
      <c r="M62" s="3">
        <f>Table1[[#This Row],[Defaulted Principal]]-Table1[[#This Row],[Estimated Loss]]</f>
        <v>4438.63</v>
      </c>
      <c r="N62" s="3">
        <f>IFERROR(VLOOKUP(Table1[[#This Row],[Period]],$L$16:$M$385,2,FALSE),0)</f>
        <v>4693.3899999999994</v>
      </c>
      <c r="O62" s="3">
        <f>Table1[[#This Row],[Beginning Balance]]-Table1[[#This Row],[Principal]]-Table1[[#This Row],[Prepayments]]-Table1[[#This Row],[Defaulted Principal]]</f>
        <v>7081640.3299999982</v>
      </c>
      <c r="P62" s="3">
        <f>Table1[[#This Row],[Principal]]+Table1[[#This Row],[Interest]]+Table1[[#This Row],[Prepayments]]+Table1[[#This Row],[RecoveredAmount]]</f>
        <v>75600.61</v>
      </c>
      <c r="Q62" s="3">
        <f ca="1">Table1[[#This Row],[Cash Flow]]/((1+ActualRateToUse)^(IF(ISNUMBER(SEARCH("Actual",$C$7)),Table1[[#This Row],[Running Total]]/365,Table1[[#This Row],[Period]]/12)))</f>
        <v>57438.912901502066</v>
      </c>
      <c r="R62" s="2">
        <f>IF(MONTH(Table1[[#This Row],[Date]])=2,28,DAY(DATE(YEAR(Table1[[#This Row],[Date]]),MONTH(Table1[[#This Row],[Date]])+1,1)-1))</f>
        <v>30</v>
      </c>
      <c r="S62" s="2">
        <f ca="1">SUM(OFFSET(Table1[[#Headers],[Days in month]],1,0):Table1[[#This Row],[Days in month]])</f>
        <v>1399</v>
      </c>
      <c r="T62" s="37">
        <f>InterestRate*AmortizationMultiplier*IF(ISNUMBER(SEARCH("Actual",$C$7)),Table1[[#This Row],[Days in month]]/365,1/12)</f>
        <v>5.8749999999999991E-3</v>
      </c>
    </row>
    <row r="63" spans="2:20" x14ac:dyDescent="0.2">
      <c r="B63" s="1">
        <v>47269</v>
      </c>
      <c r="C63" s="2">
        <f t="shared" si="1"/>
        <v>47</v>
      </c>
      <c r="D63" s="3">
        <f t="shared" si="3"/>
        <v>7081640.3299999982</v>
      </c>
      <c r="E63" s="3">
        <f>ROUND(Table1[[#This Row],[Beginning Balance]]*Table1[[#This Row],[Monthly Interest Rate]],2)</f>
        <v>42991.46</v>
      </c>
      <c r="F63" s="3">
        <f t="shared" si="2"/>
        <v>305</v>
      </c>
      <c r="G63" s="23">
        <f>IFERROR(IF($C$13="No","N/A",IF(Table1[[#This Row],[Period]]=1,$C$6,PMT(InterestRate*AmortizationMultiplier/12,Table1[[#This Row],[Am Thru]],-Table1[[#This Row],[Beginning Balance]]))),0)</f>
        <v>50423.11013321091</v>
      </c>
      <c r="H63" s="3">
        <f>MAX(0,IF(C63=$C$4,D63,ROUND(IF($C$3="Fixed Principal",$C$6-Table1[[#This Row],[Interest]],IF($C$3="Interest Only",Table1[[#This Row],[Beginning Balance]]*ROUND(1-(1-IF($C$11="No",$E$8,1))^(1/12),6),MIN(IF($C$13="Yes",Table1[[#This Row],[Payment Amount (Reamortized)]],$C$6)-Table1[[#This Row],[Interest]],Table1[[#This Row],[Beginning Balance]]))),2)))</f>
        <v>7431.65</v>
      </c>
      <c r="I63" s="3">
        <f>_xlfn.SINGLE(IF($C$3="Line of Credit",0,ROUND(MAX(MIN(IF($C$10="No",$E$7,VLOOKUP(Table1[[#This Row],[Period]],Forecast!$H$2:$L$1048576,4,FALSE))*Table1[[#This Row],[Beginning Balance]],Table1[[#This Row],[Beginning Balance]]-Table1[[#This Row],[Principal]]),0),2)))</f>
        <v>20203.919999999998</v>
      </c>
      <c r="J63" s="3">
        <f>ROUND(MIN(Table1[[#This Row],[Beginning Balance]]*IF($C$8="No",$E$3,VLOOKUP(Table1[[#This Row],[Period]],Forecast!$H$2:$L$1048576,2,FALSE)),Table1[[#This Row],[Beginning Balance]]-Table1[[#This Row],[Principal]]-Table1[[#This Row],[Prepayments]]),2)</f>
        <v>4836.76</v>
      </c>
      <c r="K63" s="3">
        <f>ROUND(Table1[[#This Row],[Defaulted Principal]]*IF($C$9="No",$E$4,VLOOKUP(Table1[[#This Row],[Period]],Forecast!$H$2:$L$1048576,3,FALSE)),2)</f>
        <v>419.32</v>
      </c>
      <c r="L63" s="2">
        <f>Table1[[#This Row],[Period]]+$E$9</f>
        <v>59</v>
      </c>
      <c r="M63" s="3">
        <f>Table1[[#This Row],[Defaulted Principal]]-Table1[[#This Row],[Estimated Loss]]</f>
        <v>4417.4400000000005</v>
      </c>
      <c r="N63" s="3">
        <f>IFERROR(VLOOKUP(Table1[[#This Row],[Period]],$L$16:$M$385,2,FALSE),0)</f>
        <v>4671.42</v>
      </c>
      <c r="O63" s="3">
        <f>Table1[[#This Row],[Beginning Balance]]-Table1[[#This Row],[Principal]]-Table1[[#This Row],[Prepayments]]-Table1[[#This Row],[Defaulted Principal]]</f>
        <v>7049167.9999999981</v>
      </c>
      <c r="P63" s="3">
        <f>Table1[[#This Row],[Principal]]+Table1[[#This Row],[Interest]]+Table1[[#This Row],[Prepayments]]+Table1[[#This Row],[RecoveredAmount]]</f>
        <v>75298.45</v>
      </c>
      <c r="Q63" s="3">
        <f ca="1">Table1[[#This Row],[Cash Flow]]/((1+ActualRateToUse)^(IF(ISNUMBER(SEARCH("Actual",$C$7)),Table1[[#This Row],[Running Total]]/365,Table1[[#This Row],[Period]]/12)))</f>
        <v>56862.113051171931</v>
      </c>
      <c r="R63" s="2">
        <f>IF(MONTH(Table1[[#This Row],[Date]])=2,28,DAY(DATE(YEAR(Table1[[#This Row],[Date]]),MONTH(Table1[[#This Row],[Date]])+1,1)-1))</f>
        <v>31</v>
      </c>
      <c r="S63" s="2">
        <f ca="1">SUM(OFFSET(Table1[[#Headers],[Days in month]],1,0):Table1[[#This Row],[Days in month]])</f>
        <v>1430</v>
      </c>
      <c r="T63" s="37">
        <f>InterestRate*AmortizationMultiplier*IF(ISNUMBER(SEARCH("Actual",$C$7)),Table1[[#This Row],[Days in month]]/365,1/12)</f>
        <v>6.0708333333333326E-3</v>
      </c>
    </row>
    <row r="64" spans="2:20" x14ac:dyDescent="0.2">
      <c r="B64" s="1">
        <v>47299</v>
      </c>
      <c r="C64" s="2">
        <f t="shared" si="1"/>
        <v>48</v>
      </c>
      <c r="D64" s="3">
        <f t="shared" si="3"/>
        <v>7049167.9999999981</v>
      </c>
      <c r="E64" s="3">
        <f>ROUND(Table1[[#This Row],[Beginning Balance]]*Table1[[#This Row],[Monthly Interest Rate]],2)</f>
        <v>41413.86</v>
      </c>
      <c r="F64" s="3">
        <f t="shared" si="2"/>
        <v>304</v>
      </c>
      <c r="G64" s="23">
        <f>IFERROR(IF($C$13="No","N/A",IF(Table1[[#This Row],[Period]]=1,$C$6,PMT(InterestRate*AmortizationMultiplier/12,Table1[[#This Row],[Am Thru]],-Table1[[#This Row],[Beginning Balance]]))),0)</f>
        <v>50250.373163911267</v>
      </c>
      <c r="H64" s="3">
        <f>MAX(0,IF(C64=$C$4,D64,ROUND(IF($C$3="Fixed Principal",$C$6-Table1[[#This Row],[Interest]],IF($C$3="Interest Only",Table1[[#This Row],[Beginning Balance]]*ROUND(1-(1-IF($C$11="No",$E$8,1))^(1/12),6),MIN(IF($C$13="Yes",Table1[[#This Row],[Payment Amount (Reamortized)]],$C$6)-Table1[[#This Row],[Interest]],Table1[[#This Row],[Beginning Balance]]))),2)))</f>
        <v>8836.51</v>
      </c>
      <c r="I64" s="3">
        <f>_xlfn.SINGLE(IF($C$3="Line of Credit",0,ROUND(MAX(MIN(IF($C$10="No",$E$7,VLOOKUP(Table1[[#This Row],[Period]],Forecast!$H$2:$L$1048576,4,FALSE))*Table1[[#This Row],[Beginning Balance]],Table1[[#This Row],[Beginning Balance]]-Table1[[#This Row],[Principal]]),0),2)))</f>
        <v>20111.28</v>
      </c>
      <c r="J64" s="3">
        <f>ROUND(MIN(Table1[[#This Row],[Beginning Balance]]*IF($C$8="No",$E$3,VLOOKUP(Table1[[#This Row],[Period]],Forecast!$H$2:$L$1048576,2,FALSE)),Table1[[#This Row],[Beginning Balance]]-Table1[[#This Row],[Principal]]-Table1[[#This Row],[Prepayments]]),2)</f>
        <v>4814.58</v>
      </c>
      <c r="K64" s="3">
        <f>ROUND(Table1[[#This Row],[Defaulted Principal]]*IF($C$9="No",$E$4,VLOOKUP(Table1[[#This Row],[Period]],Forecast!$H$2:$L$1048576,3,FALSE)),2)</f>
        <v>417.4</v>
      </c>
      <c r="L64" s="2">
        <f>Table1[[#This Row],[Period]]+$E$9</f>
        <v>60</v>
      </c>
      <c r="M64" s="3">
        <f>Table1[[#This Row],[Defaulted Principal]]-Table1[[#This Row],[Estimated Loss]]</f>
        <v>4397.18</v>
      </c>
      <c r="N64" s="3">
        <f>IFERROR(VLOOKUP(Table1[[#This Row],[Period]],$L$16:$M$385,2,FALSE),0)</f>
        <v>4650.4400000000005</v>
      </c>
      <c r="O64" s="3">
        <f>Table1[[#This Row],[Beginning Balance]]-Table1[[#This Row],[Principal]]-Table1[[#This Row],[Prepayments]]-Table1[[#This Row],[Defaulted Principal]]</f>
        <v>7015405.629999998</v>
      </c>
      <c r="P64" s="3">
        <f>Table1[[#This Row],[Principal]]+Table1[[#This Row],[Interest]]+Table1[[#This Row],[Prepayments]]+Table1[[#This Row],[RecoveredAmount]]</f>
        <v>75012.09</v>
      </c>
      <c r="Q64" s="3">
        <f ca="1">Table1[[#This Row],[Cash Flow]]/((1+ActualRateToUse)^(IF(ISNUMBER(SEARCH("Actual",$C$7)),Table1[[#This Row],[Running Total]]/365,Table1[[#This Row],[Period]]/12)))</f>
        <v>56313.115972447915</v>
      </c>
      <c r="R64" s="2">
        <f>IF(MONTH(Table1[[#This Row],[Date]])=2,28,DAY(DATE(YEAR(Table1[[#This Row],[Date]]),MONTH(Table1[[#This Row],[Date]])+1,1)-1))</f>
        <v>30</v>
      </c>
      <c r="S64" s="2">
        <f ca="1">SUM(OFFSET(Table1[[#Headers],[Days in month]],1,0):Table1[[#This Row],[Days in month]])</f>
        <v>1460</v>
      </c>
      <c r="T64" s="37">
        <f>InterestRate*AmortizationMultiplier*IF(ISNUMBER(SEARCH("Actual",$C$7)),Table1[[#This Row],[Days in month]]/365,1/12)</f>
        <v>5.8749999999999991E-3</v>
      </c>
    </row>
    <row r="65" spans="2:20" x14ac:dyDescent="0.2">
      <c r="B65" s="1">
        <v>47330</v>
      </c>
      <c r="C65" s="2">
        <f t="shared" si="1"/>
        <v>49</v>
      </c>
      <c r="D65" s="3">
        <f t="shared" si="3"/>
        <v>7015405.629999998</v>
      </c>
      <c r="E65" s="3">
        <f>ROUND(Table1[[#This Row],[Beginning Balance]]*Table1[[#This Row],[Monthly Interest Rate]],2)</f>
        <v>42589.36</v>
      </c>
      <c r="F65" s="3">
        <f t="shared" si="2"/>
        <v>303</v>
      </c>
      <c r="G65" s="23">
        <f>IFERROR(IF($C$13="No","N/A",IF(Table1[[#This Row],[Period]]=1,$C$6,PMT(InterestRate*AmortizationMultiplier/12,Table1[[#This Row],[Am Thru]],-Table1[[#This Row],[Beginning Balance]]))),0)</f>
        <v>50068.374253103641</v>
      </c>
      <c r="H65" s="3">
        <f>MAX(0,IF(C65=$C$4,D65,ROUND(IF($C$3="Fixed Principal",$C$6-Table1[[#This Row],[Interest]],IF($C$3="Interest Only",Table1[[#This Row],[Beginning Balance]]*ROUND(1-(1-IF($C$11="No",$E$8,1))^(1/12),6),MIN(IF($C$13="Yes",Table1[[#This Row],[Payment Amount (Reamortized)]],$C$6)-Table1[[#This Row],[Interest]],Table1[[#This Row],[Beginning Balance]]))),2)))</f>
        <v>7479.01</v>
      </c>
      <c r="I65" s="3">
        <f>_xlfn.SINGLE(IF($C$3="Line of Credit",0,ROUND(MAX(MIN(IF($C$10="No",$E$7,VLOOKUP(Table1[[#This Row],[Period]],Forecast!$H$2:$L$1048576,4,FALSE))*Table1[[#This Row],[Beginning Balance]],Table1[[#This Row],[Beginning Balance]]-Table1[[#This Row],[Principal]]),0),2)))</f>
        <v>20014.95</v>
      </c>
      <c r="J65" s="3">
        <f>ROUND(MIN(Table1[[#This Row],[Beginning Balance]]*IF($C$8="No",$E$3,VLOOKUP(Table1[[#This Row],[Period]],Forecast!$H$2:$L$1048576,2,FALSE)),Table1[[#This Row],[Beginning Balance]]-Table1[[#This Row],[Principal]]-Table1[[#This Row],[Prepayments]]),2)</f>
        <v>4791.5200000000004</v>
      </c>
      <c r="K65" s="3">
        <f>ROUND(Table1[[#This Row],[Defaulted Principal]]*IF($C$9="No",$E$4,VLOOKUP(Table1[[#This Row],[Period]],Forecast!$H$2:$L$1048576,3,FALSE)),2)</f>
        <v>415.4</v>
      </c>
      <c r="L65" s="2">
        <f>Table1[[#This Row],[Period]]+$E$9</f>
        <v>61</v>
      </c>
      <c r="M65" s="3">
        <f>Table1[[#This Row],[Defaulted Principal]]-Table1[[#This Row],[Estimated Loss]]</f>
        <v>4376.1200000000008</v>
      </c>
      <c r="N65" s="3">
        <f>IFERROR(VLOOKUP(Table1[[#This Row],[Period]],$L$16:$M$385,2,FALSE),0)</f>
        <v>4628.62</v>
      </c>
      <c r="O65" s="3">
        <f>Table1[[#This Row],[Beginning Balance]]-Table1[[#This Row],[Principal]]-Table1[[#This Row],[Prepayments]]-Table1[[#This Row],[Defaulted Principal]]</f>
        <v>6983120.1499999985</v>
      </c>
      <c r="P65" s="3">
        <f>Table1[[#This Row],[Principal]]+Table1[[#This Row],[Interest]]+Table1[[#This Row],[Prepayments]]+Table1[[#This Row],[RecoveredAmount]]</f>
        <v>74711.94</v>
      </c>
      <c r="Q65" s="3">
        <f ca="1">Table1[[#This Row],[Cash Flow]]/((1+ActualRateToUse)^(IF(ISNUMBER(SEARCH("Actual",$C$7)),Table1[[#This Row],[Running Total]]/365,Table1[[#This Row],[Period]]/12)))</f>
        <v>55747.366009400466</v>
      </c>
      <c r="R65" s="2">
        <f>IF(MONTH(Table1[[#This Row],[Date]])=2,28,DAY(DATE(YEAR(Table1[[#This Row],[Date]]),MONTH(Table1[[#This Row],[Date]])+1,1)-1))</f>
        <v>31</v>
      </c>
      <c r="S65" s="2">
        <f ca="1">SUM(OFFSET(Table1[[#Headers],[Days in month]],1,0):Table1[[#This Row],[Days in month]])</f>
        <v>1491</v>
      </c>
      <c r="T65" s="37">
        <f>InterestRate*AmortizationMultiplier*IF(ISNUMBER(SEARCH("Actual",$C$7)),Table1[[#This Row],[Days in month]]/365,1/12)</f>
        <v>6.0708333333333326E-3</v>
      </c>
    </row>
    <row r="66" spans="2:20" x14ac:dyDescent="0.2">
      <c r="B66" s="1">
        <v>47361</v>
      </c>
      <c r="C66" s="2">
        <f t="shared" si="1"/>
        <v>50</v>
      </c>
      <c r="D66" s="3">
        <f t="shared" si="3"/>
        <v>6983120.1499999985</v>
      </c>
      <c r="E66" s="3">
        <f>ROUND(Table1[[#This Row],[Beginning Balance]]*Table1[[#This Row],[Monthly Interest Rate]],2)</f>
        <v>42393.36</v>
      </c>
      <c r="F66" s="3">
        <f t="shared" si="2"/>
        <v>302</v>
      </c>
      <c r="G66" s="23">
        <f>IFERROR(IF($C$13="No","N/A",IF(Table1[[#This Row],[Period]]=1,$C$6,PMT(InterestRate*AmortizationMultiplier/12,Table1[[#This Row],[Am Thru]],-Table1[[#This Row],[Beginning Balance]]))),0)</f>
        <v>49896.849717052508</v>
      </c>
      <c r="H66" s="3">
        <f>MAX(0,IF(C66=$C$4,D66,ROUND(IF($C$3="Fixed Principal",$C$6-Table1[[#This Row],[Interest]],IF($C$3="Interest Only",Table1[[#This Row],[Beginning Balance]]*ROUND(1-(1-IF($C$11="No",$E$8,1))^(1/12),6),MIN(IF($C$13="Yes",Table1[[#This Row],[Payment Amount (Reamortized)]],$C$6)-Table1[[#This Row],[Interest]],Table1[[#This Row],[Beginning Balance]]))),2)))</f>
        <v>7503.49</v>
      </c>
      <c r="I66" s="3">
        <f>_xlfn.SINGLE(IF($C$3="Line of Credit",0,ROUND(MAX(MIN(IF($C$10="No",$E$7,VLOOKUP(Table1[[#This Row],[Period]],Forecast!$H$2:$L$1048576,4,FALSE))*Table1[[#This Row],[Beginning Balance]],Table1[[#This Row],[Beginning Balance]]-Table1[[#This Row],[Principal]]),0),2)))</f>
        <v>19922.84</v>
      </c>
      <c r="J66" s="3">
        <f>ROUND(MIN(Table1[[#This Row],[Beginning Balance]]*IF($C$8="No",$E$3,VLOOKUP(Table1[[#This Row],[Period]],Forecast!$H$2:$L$1048576,2,FALSE)),Table1[[#This Row],[Beginning Balance]]-Table1[[#This Row],[Principal]]-Table1[[#This Row],[Prepayments]]),2)</f>
        <v>4769.47</v>
      </c>
      <c r="K66" s="3">
        <f>ROUND(Table1[[#This Row],[Defaulted Principal]]*IF($C$9="No",$E$4,VLOOKUP(Table1[[#This Row],[Period]],Forecast!$H$2:$L$1048576,3,FALSE)),2)</f>
        <v>413.48</v>
      </c>
      <c r="L66" s="2">
        <f>Table1[[#This Row],[Period]]+$E$9</f>
        <v>62</v>
      </c>
      <c r="M66" s="3">
        <f>Table1[[#This Row],[Defaulted Principal]]-Table1[[#This Row],[Estimated Loss]]</f>
        <v>4355.99</v>
      </c>
      <c r="N66" s="3">
        <f>IFERROR(VLOOKUP(Table1[[#This Row],[Period]],$L$16:$M$385,2,FALSE),0)</f>
        <v>4607.76</v>
      </c>
      <c r="O66" s="3">
        <f>Table1[[#This Row],[Beginning Balance]]-Table1[[#This Row],[Principal]]-Table1[[#This Row],[Prepayments]]-Table1[[#This Row],[Defaulted Principal]]</f>
        <v>6950924.3499999987</v>
      </c>
      <c r="P66" s="3">
        <f>Table1[[#This Row],[Principal]]+Table1[[#This Row],[Interest]]+Table1[[#This Row],[Prepayments]]+Table1[[#This Row],[RecoveredAmount]]</f>
        <v>74427.45</v>
      </c>
      <c r="Q66" s="3">
        <f ca="1">Table1[[#This Row],[Cash Flow]]/((1+ActualRateToUse)^(IF(ISNUMBER(SEARCH("Actual",$C$7)),Table1[[#This Row],[Running Total]]/365,Table1[[#This Row],[Period]]/12)))</f>
        <v>55198.023155433148</v>
      </c>
      <c r="R66" s="2">
        <f>IF(MONTH(Table1[[#This Row],[Date]])=2,28,DAY(DATE(YEAR(Table1[[#This Row],[Date]]),MONTH(Table1[[#This Row],[Date]])+1,1)-1))</f>
        <v>31</v>
      </c>
      <c r="S66" s="2">
        <f ca="1">SUM(OFFSET(Table1[[#Headers],[Days in month]],1,0):Table1[[#This Row],[Days in month]])</f>
        <v>1522</v>
      </c>
      <c r="T66" s="37">
        <f>InterestRate*AmortizationMultiplier*IF(ISNUMBER(SEARCH("Actual",$C$7)),Table1[[#This Row],[Days in month]]/365,1/12)</f>
        <v>6.0708333333333326E-3</v>
      </c>
    </row>
    <row r="67" spans="2:20" x14ac:dyDescent="0.2">
      <c r="B67" s="1">
        <v>47391</v>
      </c>
      <c r="C67" s="2">
        <f t="shared" si="1"/>
        <v>51</v>
      </c>
      <c r="D67" s="3">
        <f t="shared" si="3"/>
        <v>6950924.3499999987</v>
      </c>
      <c r="E67" s="3">
        <f>ROUND(Table1[[#This Row],[Beginning Balance]]*Table1[[#This Row],[Monthly Interest Rate]],2)</f>
        <v>40836.68</v>
      </c>
      <c r="F67" s="3">
        <f t="shared" si="2"/>
        <v>301</v>
      </c>
      <c r="G67" s="23">
        <f>IFERROR(IF($C$13="No","N/A",IF(Table1[[#This Row],[Period]]=1,$C$6,PMT(InterestRate*AmortizationMultiplier/12,Table1[[#This Row],[Am Thru]],-Table1[[#This Row],[Beginning Balance]]))),0)</f>
        <v>49725.911303220717</v>
      </c>
      <c r="H67" s="3">
        <f>MAX(0,IF(C67=$C$4,D67,ROUND(IF($C$3="Fixed Principal",$C$6-Table1[[#This Row],[Interest]],IF($C$3="Interest Only",Table1[[#This Row],[Beginning Balance]]*ROUND(1-(1-IF($C$11="No",$E$8,1))^(1/12),6),MIN(IF($C$13="Yes",Table1[[#This Row],[Payment Amount (Reamortized)]],$C$6)-Table1[[#This Row],[Interest]],Table1[[#This Row],[Beginning Balance]]))),2)))</f>
        <v>8889.23</v>
      </c>
      <c r="I67" s="3">
        <f>_xlfn.SINGLE(IF($C$3="Line of Credit",0,ROUND(MAX(MIN(IF($C$10="No",$E$7,VLOOKUP(Table1[[#This Row],[Period]],Forecast!$H$2:$L$1048576,4,FALSE))*Table1[[#This Row],[Beginning Balance]],Table1[[#This Row],[Beginning Balance]]-Table1[[#This Row],[Principal]]),0),2)))</f>
        <v>19830.990000000002</v>
      </c>
      <c r="J67" s="3">
        <f>ROUND(MIN(Table1[[#This Row],[Beginning Balance]]*IF($C$8="No",$E$3,VLOOKUP(Table1[[#This Row],[Period]],Forecast!$H$2:$L$1048576,2,FALSE)),Table1[[#This Row],[Beginning Balance]]-Table1[[#This Row],[Principal]]-Table1[[#This Row],[Prepayments]]),2)</f>
        <v>4747.4799999999996</v>
      </c>
      <c r="K67" s="3">
        <f>ROUND(Table1[[#This Row],[Defaulted Principal]]*IF($C$9="No",$E$4,VLOOKUP(Table1[[#This Row],[Period]],Forecast!$H$2:$L$1048576,3,FALSE)),2)</f>
        <v>411.58</v>
      </c>
      <c r="L67" s="2">
        <f>Table1[[#This Row],[Period]]+$E$9</f>
        <v>63</v>
      </c>
      <c r="M67" s="3">
        <f>Table1[[#This Row],[Defaulted Principal]]-Table1[[#This Row],[Estimated Loss]]</f>
        <v>4335.8999999999996</v>
      </c>
      <c r="N67" s="3">
        <f>IFERROR(VLOOKUP(Table1[[#This Row],[Period]],$L$16:$M$385,2,FALSE),0)</f>
        <v>4586.96</v>
      </c>
      <c r="O67" s="3">
        <f>Table1[[#This Row],[Beginning Balance]]-Table1[[#This Row],[Principal]]-Table1[[#This Row],[Prepayments]]-Table1[[#This Row],[Defaulted Principal]]</f>
        <v>6917456.6499999976</v>
      </c>
      <c r="P67" s="3">
        <f>Table1[[#This Row],[Principal]]+Table1[[#This Row],[Interest]]+Table1[[#This Row],[Prepayments]]+Table1[[#This Row],[RecoveredAmount]]</f>
        <v>74143.860000000015</v>
      </c>
      <c r="Q67" s="3">
        <f ca="1">Table1[[#This Row],[Cash Flow]]/((1+ActualRateToUse)^(IF(ISNUMBER(SEARCH("Actual",$C$7)),Table1[[#This Row],[Running Total]]/365,Table1[[#This Row],[Period]]/12)))</f>
        <v>54664.692761298858</v>
      </c>
      <c r="R67" s="2">
        <f>IF(MONTH(Table1[[#This Row],[Date]])=2,28,DAY(DATE(YEAR(Table1[[#This Row],[Date]]),MONTH(Table1[[#This Row],[Date]])+1,1)-1))</f>
        <v>30</v>
      </c>
      <c r="S67" s="2">
        <f ca="1">SUM(OFFSET(Table1[[#Headers],[Days in month]],1,0):Table1[[#This Row],[Days in month]])</f>
        <v>1552</v>
      </c>
      <c r="T67" s="37">
        <f>InterestRate*AmortizationMultiplier*IF(ISNUMBER(SEARCH("Actual",$C$7)),Table1[[#This Row],[Days in month]]/365,1/12)</f>
        <v>5.8749999999999991E-3</v>
      </c>
    </row>
    <row r="68" spans="2:20" x14ac:dyDescent="0.2">
      <c r="B68" s="1">
        <v>47422</v>
      </c>
      <c r="C68" s="2">
        <f t="shared" si="1"/>
        <v>52</v>
      </c>
      <c r="D68" s="3">
        <f t="shared" si="3"/>
        <v>6917456.6499999976</v>
      </c>
      <c r="E68" s="3">
        <f>ROUND(Table1[[#This Row],[Beginning Balance]]*Table1[[#This Row],[Monthly Interest Rate]],2)</f>
        <v>41994.73</v>
      </c>
      <c r="F68" s="3">
        <f t="shared" si="2"/>
        <v>300</v>
      </c>
      <c r="G68" s="23">
        <f>IFERROR(IF($C$13="No","N/A",IF(Table1[[#This Row],[Period]]=1,$C$6,PMT(InterestRate*AmortizationMultiplier/12,Table1[[#This Row],[Am Thru]],-Table1[[#This Row],[Beginning Balance]]))),0)</f>
        <v>49545.807348215654</v>
      </c>
      <c r="H68" s="3">
        <f>MAX(0,IF(C68=$C$4,D68,ROUND(IF($C$3="Fixed Principal",$C$6-Table1[[#This Row],[Interest]],IF($C$3="Interest Only",Table1[[#This Row],[Beginning Balance]]*ROUND(1-(1-IF($C$11="No",$E$8,1))^(1/12),6),MIN(IF($C$13="Yes",Table1[[#This Row],[Payment Amount (Reamortized)]],$C$6)-Table1[[#This Row],[Interest]],Table1[[#This Row],[Beginning Balance]]))),2)))</f>
        <v>7551.08</v>
      </c>
      <c r="I68" s="3">
        <f>_xlfn.SINGLE(IF($C$3="Line of Credit",0,ROUND(MAX(MIN(IF($C$10="No",$E$7,VLOOKUP(Table1[[#This Row],[Period]],Forecast!$H$2:$L$1048576,4,FALSE))*Table1[[#This Row],[Beginning Balance]],Table1[[#This Row],[Beginning Balance]]-Table1[[#This Row],[Principal]]),0),2)))</f>
        <v>19735.5</v>
      </c>
      <c r="J68" s="3">
        <f>ROUND(MIN(Table1[[#This Row],[Beginning Balance]]*IF($C$8="No",$E$3,VLOOKUP(Table1[[#This Row],[Period]],Forecast!$H$2:$L$1048576,2,FALSE)),Table1[[#This Row],[Beginning Balance]]-Table1[[#This Row],[Principal]]-Table1[[#This Row],[Prepayments]]),2)</f>
        <v>4724.62</v>
      </c>
      <c r="K68" s="3">
        <f>ROUND(Table1[[#This Row],[Defaulted Principal]]*IF($C$9="No",$E$4,VLOOKUP(Table1[[#This Row],[Period]],Forecast!$H$2:$L$1048576,3,FALSE)),2)</f>
        <v>409.6</v>
      </c>
      <c r="L68" s="2">
        <f>Table1[[#This Row],[Period]]+$E$9</f>
        <v>64</v>
      </c>
      <c r="M68" s="3">
        <f>Table1[[#This Row],[Defaulted Principal]]-Table1[[#This Row],[Estimated Loss]]</f>
        <v>4315.0199999999995</v>
      </c>
      <c r="N68" s="3">
        <f>IFERROR(VLOOKUP(Table1[[#This Row],[Period]],$L$16:$M$385,2,FALSE),0)</f>
        <v>4565.3200000000006</v>
      </c>
      <c r="O68" s="3">
        <f>Table1[[#This Row],[Beginning Balance]]-Table1[[#This Row],[Principal]]-Table1[[#This Row],[Prepayments]]-Table1[[#This Row],[Defaulted Principal]]</f>
        <v>6885445.4499999974</v>
      </c>
      <c r="P68" s="3">
        <f>Table1[[#This Row],[Principal]]+Table1[[#This Row],[Interest]]+Table1[[#This Row],[Prepayments]]+Table1[[#This Row],[RecoveredAmount]]</f>
        <v>73846.63</v>
      </c>
      <c r="Q68" s="3">
        <f ca="1">Table1[[#This Row],[Cash Flow]]/((1+ActualRateToUse)^(IF(ISNUMBER(SEARCH("Actual",$C$7)),Table1[[#This Row],[Running Total]]/365,Table1[[#This Row],[Period]]/12)))</f>
        <v>54115.097645145142</v>
      </c>
      <c r="R68" s="2">
        <f>IF(MONTH(Table1[[#This Row],[Date]])=2,28,DAY(DATE(YEAR(Table1[[#This Row],[Date]]),MONTH(Table1[[#This Row],[Date]])+1,1)-1))</f>
        <v>31</v>
      </c>
      <c r="S68" s="2">
        <f ca="1">SUM(OFFSET(Table1[[#Headers],[Days in month]],1,0):Table1[[#This Row],[Days in month]])</f>
        <v>1583</v>
      </c>
      <c r="T68" s="37">
        <f>InterestRate*AmortizationMultiplier*IF(ISNUMBER(SEARCH("Actual",$C$7)),Table1[[#This Row],[Days in month]]/365,1/12)</f>
        <v>6.0708333333333326E-3</v>
      </c>
    </row>
    <row r="69" spans="2:20" x14ac:dyDescent="0.2">
      <c r="B69" s="1">
        <v>47452</v>
      </c>
      <c r="C69" s="2">
        <f t="shared" si="1"/>
        <v>53</v>
      </c>
      <c r="D69" s="3">
        <f t="shared" si="3"/>
        <v>6885445.4499999974</v>
      </c>
      <c r="E69" s="3">
        <f>ROUND(Table1[[#This Row],[Beginning Balance]]*Table1[[#This Row],[Monthly Interest Rate]],2)</f>
        <v>40451.99</v>
      </c>
      <c r="F69" s="3">
        <f t="shared" si="2"/>
        <v>299</v>
      </c>
      <c r="G69" s="23">
        <f>IFERROR(IF($C$13="No","N/A",IF(Table1[[#This Row],[Period]]=1,$C$6,PMT(InterestRate*AmortizationMultiplier/12,Table1[[#This Row],[Am Thru]],-Table1[[#This Row],[Beginning Balance]]))),0)</f>
        <v>49376.06867191405</v>
      </c>
      <c r="H69" s="3">
        <f>MAX(0,IF(C69=$C$4,D69,ROUND(IF($C$3="Fixed Principal",$C$6-Table1[[#This Row],[Interest]],IF($C$3="Interest Only",Table1[[#This Row],[Beginning Balance]]*ROUND(1-(1-IF($C$11="No",$E$8,1))^(1/12),6),MIN(IF($C$13="Yes",Table1[[#This Row],[Payment Amount (Reamortized)]],$C$6)-Table1[[#This Row],[Interest]],Table1[[#This Row],[Beginning Balance]]))),2)))</f>
        <v>8924.08</v>
      </c>
      <c r="I69" s="3">
        <f>_xlfn.SINGLE(IF($C$3="Line of Credit",0,ROUND(MAX(MIN(IF($C$10="No",$E$7,VLOOKUP(Table1[[#This Row],[Period]],Forecast!$H$2:$L$1048576,4,FALSE))*Table1[[#This Row],[Beginning Balance]],Table1[[#This Row],[Beginning Balance]]-Table1[[#This Row],[Principal]]),0),2)))</f>
        <v>19644.18</v>
      </c>
      <c r="J69" s="3">
        <f>ROUND(MIN(Table1[[#This Row],[Beginning Balance]]*IF($C$8="No",$E$3,VLOOKUP(Table1[[#This Row],[Period]],Forecast!$H$2:$L$1048576,2,FALSE)),Table1[[#This Row],[Beginning Balance]]-Table1[[#This Row],[Principal]]-Table1[[#This Row],[Prepayments]]),2)</f>
        <v>4702.76</v>
      </c>
      <c r="K69" s="3">
        <f>ROUND(Table1[[#This Row],[Defaulted Principal]]*IF($C$9="No",$E$4,VLOOKUP(Table1[[#This Row],[Period]],Forecast!$H$2:$L$1048576,3,FALSE)),2)</f>
        <v>407.7</v>
      </c>
      <c r="L69" s="2">
        <f>Table1[[#This Row],[Period]]+$E$9</f>
        <v>65</v>
      </c>
      <c r="M69" s="3">
        <f>Table1[[#This Row],[Defaulted Principal]]-Table1[[#This Row],[Estimated Loss]]</f>
        <v>4295.0600000000004</v>
      </c>
      <c r="N69" s="3">
        <f>IFERROR(VLOOKUP(Table1[[#This Row],[Period]],$L$16:$M$385,2,FALSE),0)</f>
        <v>4544.6499999999996</v>
      </c>
      <c r="O69" s="3">
        <f>Table1[[#This Row],[Beginning Balance]]-Table1[[#This Row],[Principal]]-Table1[[#This Row],[Prepayments]]-Table1[[#This Row],[Defaulted Principal]]</f>
        <v>6852174.4299999978</v>
      </c>
      <c r="P69" s="3">
        <f>Table1[[#This Row],[Principal]]+Table1[[#This Row],[Interest]]+Table1[[#This Row],[Prepayments]]+Table1[[#This Row],[RecoveredAmount]]</f>
        <v>73564.899999999994</v>
      </c>
      <c r="Q69" s="3">
        <f ca="1">Table1[[#This Row],[Cash Flow]]/((1+ActualRateToUse)^(IF(ISNUMBER(SEARCH("Actual",$C$7)),Table1[[#This Row],[Running Total]]/365,Table1[[#This Row],[Period]]/12)))</f>
        <v>53591.973389716921</v>
      </c>
      <c r="R69" s="2">
        <f>IF(MONTH(Table1[[#This Row],[Date]])=2,28,DAY(DATE(YEAR(Table1[[#This Row],[Date]]),MONTH(Table1[[#This Row],[Date]])+1,1)-1))</f>
        <v>30</v>
      </c>
      <c r="S69" s="2">
        <f ca="1">SUM(OFFSET(Table1[[#Headers],[Days in month]],1,0):Table1[[#This Row],[Days in month]])</f>
        <v>1613</v>
      </c>
      <c r="T69" s="37">
        <f>InterestRate*AmortizationMultiplier*IF(ISNUMBER(SEARCH("Actual",$C$7)),Table1[[#This Row],[Days in month]]/365,1/12)</f>
        <v>5.8749999999999991E-3</v>
      </c>
    </row>
    <row r="70" spans="2:20" x14ac:dyDescent="0.2">
      <c r="B70" s="1">
        <v>47483</v>
      </c>
      <c r="C70" s="2">
        <f t="shared" si="1"/>
        <v>54</v>
      </c>
      <c r="D70" s="3">
        <f t="shared" si="3"/>
        <v>6852174.4299999978</v>
      </c>
      <c r="E70" s="3">
        <f>ROUND(Table1[[#This Row],[Beginning Balance]]*Table1[[#This Row],[Monthly Interest Rate]],2)</f>
        <v>41598.410000000003</v>
      </c>
      <c r="F70" s="3">
        <f t="shared" si="2"/>
        <v>298</v>
      </c>
      <c r="G70" s="23">
        <f>IFERROR(IF($C$13="No","N/A",IF(Table1[[#This Row],[Period]]=1,$C$6,PMT(InterestRate*AmortizationMultiplier/12,Table1[[#This Row],[Am Thru]],-Table1[[#This Row],[Beginning Balance]]))),0)</f>
        <v>49197.228686199596</v>
      </c>
      <c r="H70" s="3">
        <f>MAX(0,IF(C70=$C$4,D70,ROUND(IF($C$3="Fixed Principal",$C$6-Table1[[#This Row],[Interest]],IF($C$3="Interest Only",Table1[[#This Row],[Beginning Balance]]*ROUND(1-(1-IF($C$11="No",$E$8,1))^(1/12),6),MIN(IF($C$13="Yes",Table1[[#This Row],[Payment Amount (Reamortized)]],$C$6)-Table1[[#This Row],[Interest]],Table1[[#This Row],[Beginning Balance]]))),2)))</f>
        <v>7598.82</v>
      </c>
      <c r="I70" s="3">
        <f>_xlfn.SINGLE(IF($C$3="Line of Credit",0,ROUND(MAX(MIN(IF($C$10="No",$E$7,VLOOKUP(Table1[[#This Row],[Period]],Forecast!$H$2:$L$1048576,4,FALSE))*Table1[[#This Row],[Beginning Balance]],Table1[[#This Row],[Beginning Balance]]-Table1[[#This Row],[Principal]]),0),2)))</f>
        <v>19549.25</v>
      </c>
      <c r="J70" s="3">
        <f>ROUND(MIN(Table1[[#This Row],[Beginning Balance]]*IF($C$8="No",$E$3,VLOOKUP(Table1[[#This Row],[Period]],Forecast!$H$2:$L$1048576,2,FALSE)),Table1[[#This Row],[Beginning Balance]]-Table1[[#This Row],[Principal]]-Table1[[#This Row],[Prepayments]]),2)</f>
        <v>4680.04</v>
      </c>
      <c r="K70" s="3">
        <f>ROUND(Table1[[#This Row],[Defaulted Principal]]*IF($C$9="No",$E$4,VLOOKUP(Table1[[#This Row],[Period]],Forecast!$H$2:$L$1048576,3,FALSE)),2)</f>
        <v>405.73</v>
      </c>
      <c r="L70" s="2">
        <f>Table1[[#This Row],[Period]]+$E$9</f>
        <v>66</v>
      </c>
      <c r="M70" s="3">
        <f>Table1[[#This Row],[Defaulted Principal]]-Table1[[#This Row],[Estimated Loss]]</f>
        <v>4274.3099999999995</v>
      </c>
      <c r="N70" s="3">
        <f>IFERROR(VLOOKUP(Table1[[#This Row],[Period]],$L$16:$M$385,2,FALSE),0)</f>
        <v>4523.1399999999994</v>
      </c>
      <c r="O70" s="3">
        <f>Table1[[#This Row],[Beginning Balance]]-Table1[[#This Row],[Principal]]-Table1[[#This Row],[Prepayments]]-Table1[[#This Row],[Defaulted Principal]]</f>
        <v>6820346.3199999975</v>
      </c>
      <c r="P70" s="3">
        <f>Table1[[#This Row],[Principal]]+Table1[[#This Row],[Interest]]+Table1[[#This Row],[Prepayments]]+Table1[[#This Row],[RecoveredAmount]]</f>
        <v>73269.62000000001</v>
      </c>
      <c r="Q70" s="3">
        <f ca="1">Table1[[#This Row],[Cash Flow]]/((1+ActualRateToUse)^(IF(ISNUMBER(SEARCH("Actual",$C$7)),Table1[[#This Row],[Running Total]]/365,Table1[[#This Row],[Period]]/12)))</f>
        <v>53052.894723947073</v>
      </c>
      <c r="R70" s="2">
        <f>IF(MONTH(Table1[[#This Row],[Date]])=2,28,DAY(DATE(YEAR(Table1[[#This Row],[Date]]),MONTH(Table1[[#This Row],[Date]])+1,1)-1))</f>
        <v>31</v>
      </c>
      <c r="S70" s="2">
        <f ca="1">SUM(OFFSET(Table1[[#Headers],[Days in month]],1,0):Table1[[#This Row],[Days in month]])</f>
        <v>1644</v>
      </c>
      <c r="T70" s="37">
        <f>InterestRate*AmortizationMultiplier*IF(ISNUMBER(SEARCH("Actual",$C$7)),Table1[[#This Row],[Days in month]]/365,1/12)</f>
        <v>6.0708333333333326E-3</v>
      </c>
    </row>
    <row r="71" spans="2:20" x14ac:dyDescent="0.2">
      <c r="B71" s="1">
        <v>47514</v>
      </c>
      <c r="C71" s="2">
        <f t="shared" si="1"/>
        <v>55</v>
      </c>
      <c r="D71" s="3">
        <f t="shared" si="3"/>
        <v>6820346.3199999975</v>
      </c>
      <c r="E71" s="3">
        <f>ROUND(Table1[[#This Row],[Beginning Balance]]*Table1[[#This Row],[Monthly Interest Rate]],2)</f>
        <v>41405.19</v>
      </c>
      <c r="F71" s="3">
        <f t="shared" si="2"/>
        <v>297</v>
      </c>
      <c r="G71" s="23">
        <f>IFERROR(IF($C$13="No","N/A",IF(Table1[[#This Row],[Period]]=1,$C$6,PMT(InterestRate*AmortizationMultiplier/12,Table1[[#This Row],[Am Thru]],-Table1[[#This Row],[Beginning Balance]]))),0)</f>
        <v>49028.681207713875</v>
      </c>
      <c r="H71" s="3">
        <f>MAX(0,IF(C71=$C$4,D71,ROUND(IF($C$3="Fixed Principal",$C$6-Table1[[#This Row],[Interest]],IF($C$3="Interest Only",Table1[[#This Row],[Beginning Balance]]*ROUND(1-(1-IF($C$11="No",$E$8,1))^(1/12),6),MIN(IF($C$13="Yes",Table1[[#This Row],[Payment Amount (Reamortized)]],$C$6)-Table1[[#This Row],[Interest]],Table1[[#This Row],[Beginning Balance]]))),2)))</f>
        <v>7623.49</v>
      </c>
      <c r="I71" s="3">
        <f>_xlfn.SINGLE(IF($C$3="Line of Credit",0,ROUND(MAX(MIN(IF($C$10="No",$E$7,VLOOKUP(Table1[[#This Row],[Period]],Forecast!$H$2:$L$1048576,4,FALSE))*Table1[[#This Row],[Beginning Balance]],Table1[[#This Row],[Beginning Balance]]-Table1[[#This Row],[Principal]]),0),2)))</f>
        <v>19458.45</v>
      </c>
      <c r="J71" s="3">
        <f>ROUND(MIN(Table1[[#This Row],[Beginning Balance]]*IF($C$8="No",$E$3,VLOOKUP(Table1[[#This Row],[Period]],Forecast!$H$2:$L$1048576,2,FALSE)),Table1[[#This Row],[Beginning Balance]]-Table1[[#This Row],[Principal]]-Table1[[#This Row],[Prepayments]]),2)</f>
        <v>4658.3</v>
      </c>
      <c r="K71" s="3">
        <f>ROUND(Table1[[#This Row],[Defaulted Principal]]*IF($C$9="No",$E$4,VLOOKUP(Table1[[#This Row],[Period]],Forecast!$H$2:$L$1048576,3,FALSE)),2)</f>
        <v>403.85</v>
      </c>
      <c r="L71" s="2">
        <f>Table1[[#This Row],[Period]]+$E$9</f>
        <v>67</v>
      </c>
      <c r="M71" s="3">
        <f>Table1[[#This Row],[Defaulted Principal]]-Table1[[#This Row],[Estimated Loss]]</f>
        <v>4254.45</v>
      </c>
      <c r="N71" s="3">
        <f>IFERROR(VLOOKUP(Table1[[#This Row],[Period]],$L$16:$M$385,2,FALSE),0)</f>
        <v>4502.58</v>
      </c>
      <c r="O71" s="3">
        <f>Table1[[#This Row],[Beginning Balance]]-Table1[[#This Row],[Principal]]-Table1[[#This Row],[Prepayments]]-Table1[[#This Row],[Defaulted Principal]]</f>
        <v>6788606.0799999973</v>
      </c>
      <c r="P71" s="3">
        <f>Table1[[#This Row],[Principal]]+Table1[[#This Row],[Interest]]+Table1[[#This Row],[Prepayments]]+Table1[[#This Row],[RecoveredAmount]]</f>
        <v>72989.710000000006</v>
      </c>
      <c r="Q71" s="3">
        <f ca="1">Table1[[#This Row],[Cash Flow]]/((1+ActualRateToUse)^(IF(ISNUMBER(SEARCH("Actual",$C$7)),Table1[[#This Row],[Running Total]]/365,Table1[[#This Row],[Period]]/12)))</f>
        <v>52529.447167211525</v>
      </c>
      <c r="R71" s="2">
        <f>IF(MONTH(Table1[[#This Row],[Date]])=2,28,DAY(DATE(YEAR(Table1[[#This Row],[Date]]),MONTH(Table1[[#This Row],[Date]])+1,1)-1))</f>
        <v>31</v>
      </c>
      <c r="S71" s="2">
        <f ca="1">SUM(OFFSET(Table1[[#Headers],[Days in month]],1,0):Table1[[#This Row],[Days in month]])</f>
        <v>1675</v>
      </c>
      <c r="T71" s="37">
        <f>InterestRate*AmortizationMultiplier*IF(ISNUMBER(SEARCH("Actual",$C$7)),Table1[[#This Row],[Days in month]]/365,1/12)</f>
        <v>6.0708333333333326E-3</v>
      </c>
    </row>
    <row r="72" spans="2:20" x14ac:dyDescent="0.2">
      <c r="B72" s="1">
        <v>47542</v>
      </c>
      <c r="C72" s="2">
        <f t="shared" si="1"/>
        <v>56</v>
      </c>
      <c r="D72" s="3">
        <f t="shared" si="3"/>
        <v>6788606.0799999973</v>
      </c>
      <c r="E72" s="3">
        <f>ROUND(Table1[[#This Row],[Beginning Balance]]*Table1[[#This Row],[Monthly Interest Rate]],2)</f>
        <v>37224.19</v>
      </c>
      <c r="F72" s="3">
        <f t="shared" si="2"/>
        <v>296</v>
      </c>
      <c r="G72" s="23">
        <f>IFERROR(IF($C$13="No","N/A",IF(Table1[[#This Row],[Period]]=1,$C$6,PMT(InterestRate*AmortizationMultiplier/12,Table1[[#This Row],[Am Thru]],-Table1[[#This Row],[Beginning Balance]]))),0)</f>
        <v>48860.709697034341</v>
      </c>
      <c r="H72" s="3">
        <f>MAX(0,IF(C72=$C$4,D72,ROUND(IF($C$3="Fixed Principal",$C$6-Table1[[#This Row],[Interest]],IF($C$3="Interest Only",Table1[[#This Row],[Beginning Balance]]*ROUND(1-(1-IF($C$11="No",$E$8,1))^(1/12),6),MIN(IF($C$13="Yes",Table1[[#This Row],[Payment Amount (Reamortized)]],$C$6)-Table1[[#This Row],[Interest]],Table1[[#This Row],[Beginning Balance]]))),2)))</f>
        <v>11636.52</v>
      </c>
      <c r="I72" s="3">
        <f>_xlfn.SINGLE(IF($C$3="Line of Credit",0,ROUND(MAX(MIN(IF($C$10="No",$E$7,VLOOKUP(Table1[[#This Row],[Period]],Forecast!$H$2:$L$1048576,4,FALSE))*Table1[[#This Row],[Beginning Balance]],Table1[[#This Row],[Beginning Balance]]-Table1[[#This Row],[Principal]]),0),2)))</f>
        <v>19367.89</v>
      </c>
      <c r="J72" s="3">
        <f>ROUND(MIN(Table1[[#This Row],[Beginning Balance]]*IF($C$8="No",$E$3,VLOOKUP(Table1[[#This Row],[Period]],Forecast!$H$2:$L$1048576,2,FALSE)),Table1[[#This Row],[Beginning Balance]]-Table1[[#This Row],[Principal]]-Table1[[#This Row],[Prepayments]]),2)</f>
        <v>4636.62</v>
      </c>
      <c r="K72" s="3">
        <f>ROUND(Table1[[#This Row],[Defaulted Principal]]*IF($C$9="No",$E$4,VLOOKUP(Table1[[#This Row],[Period]],Forecast!$H$2:$L$1048576,3,FALSE)),2)</f>
        <v>401.97</v>
      </c>
      <c r="L72" s="2">
        <f>Table1[[#This Row],[Period]]+$E$9</f>
        <v>68</v>
      </c>
      <c r="M72" s="3">
        <f>Table1[[#This Row],[Defaulted Principal]]-Table1[[#This Row],[Estimated Loss]]</f>
        <v>4234.6499999999996</v>
      </c>
      <c r="N72" s="3">
        <f>IFERROR(VLOOKUP(Table1[[#This Row],[Period]],$L$16:$M$385,2,FALSE),0)</f>
        <v>4482.08</v>
      </c>
      <c r="O72" s="3">
        <f>Table1[[#This Row],[Beginning Balance]]-Table1[[#This Row],[Principal]]-Table1[[#This Row],[Prepayments]]-Table1[[#This Row],[Defaulted Principal]]</f>
        <v>6752965.049999998</v>
      </c>
      <c r="P72" s="3">
        <f>Table1[[#This Row],[Principal]]+Table1[[#This Row],[Interest]]+Table1[[#This Row],[Prepayments]]+Table1[[#This Row],[RecoveredAmount]]</f>
        <v>72710.680000000008</v>
      </c>
      <c r="Q72" s="3">
        <f ca="1">Table1[[#This Row],[Cash Flow]]/((1+ActualRateToUse)^(IF(ISNUMBER(SEARCH("Actual",$C$7)),Table1[[#This Row],[Running Total]]/365,Table1[[#This Row],[Period]]/12)))</f>
        <v>52041.680341610023</v>
      </c>
      <c r="R72" s="2">
        <f>IF(MONTH(Table1[[#This Row],[Date]])=2,28,DAY(DATE(YEAR(Table1[[#This Row],[Date]]),MONTH(Table1[[#This Row],[Date]])+1,1)-1))</f>
        <v>28</v>
      </c>
      <c r="S72" s="2">
        <f ca="1">SUM(OFFSET(Table1[[#Headers],[Days in month]],1,0):Table1[[#This Row],[Days in month]])</f>
        <v>1703</v>
      </c>
      <c r="T72" s="37">
        <f>InterestRate*AmortizationMultiplier*IF(ISNUMBER(SEARCH("Actual",$C$7)),Table1[[#This Row],[Days in month]]/365,1/12)</f>
        <v>5.4833333333333331E-3</v>
      </c>
    </row>
    <row r="73" spans="2:20" x14ac:dyDescent="0.2">
      <c r="B73" s="1">
        <v>47573</v>
      </c>
      <c r="C73" s="2">
        <f t="shared" si="1"/>
        <v>57</v>
      </c>
      <c r="D73" s="3">
        <f t="shared" si="3"/>
        <v>6752965.049999998</v>
      </c>
      <c r="E73" s="3">
        <f>ROUND(Table1[[#This Row],[Beginning Balance]]*Table1[[#This Row],[Monthly Interest Rate]],2)</f>
        <v>40996.129999999997</v>
      </c>
      <c r="F73" s="3">
        <f t="shared" si="2"/>
        <v>295</v>
      </c>
      <c r="G73" s="23">
        <f>IFERROR(IF($C$13="No","N/A",IF(Table1[[#This Row],[Period]]=1,$C$6,PMT(InterestRate*AmortizationMultiplier/12,Table1[[#This Row],[Am Thru]],-Table1[[#This Row],[Beginning Balance]]))),0)</f>
        <v>48664.570842665431</v>
      </c>
      <c r="H73" s="3">
        <f>MAX(0,IF(C73=$C$4,D73,ROUND(IF($C$3="Fixed Principal",$C$6-Table1[[#This Row],[Interest]],IF($C$3="Interest Only",Table1[[#This Row],[Beginning Balance]]*ROUND(1-(1-IF($C$11="No",$E$8,1))^(1/12),6),MIN(IF($C$13="Yes",Table1[[#This Row],[Payment Amount (Reamortized)]],$C$6)-Table1[[#This Row],[Interest]],Table1[[#This Row],[Beginning Balance]]))),2)))</f>
        <v>7668.44</v>
      </c>
      <c r="I73" s="3">
        <f>_xlfn.SINGLE(IF($C$3="Line of Credit",0,ROUND(MAX(MIN(IF($C$10="No",$E$7,VLOOKUP(Table1[[#This Row],[Period]],Forecast!$H$2:$L$1048576,4,FALSE))*Table1[[#This Row],[Beginning Balance]],Table1[[#This Row],[Beginning Balance]]-Table1[[#This Row],[Principal]]),0),2)))</f>
        <v>19266.21</v>
      </c>
      <c r="J73" s="3">
        <f>ROUND(MIN(Table1[[#This Row],[Beginning Balance]]*IF($C$8="No",$E$3,VLOOKUP(Table1[[#This Row],[Period]],Forecast!$H$2:$L$1048576,2,FALSE)),Table1[[#This Row],[Beginning Balance]]-Table1[[#This Row],[Principal]]-Table1[[#This Row],[Prepayments]]),2)</f>
        <v>4612.28</v>
      </c>
      <c r="K73" s="3">
        <f>ROUND(Table1[[#This Row],[Defaulted Principal]]*IF($C$9="No",$E$4,VLOOKUP(Table1[[#This Row],[Period]],Forecast!$H$2:$L$1048576,3,FALSE)),2)</f>
        <v>399.86</v>
      </c>
      <c r="L73" s="2">
        <f>Table1[[#This Row],[Period]]+$E$9</f>
        <v>69</v>
      </c>
      <c r="M73" s="3">
        <f>Table1[[#This Row],[Defaulted Principal]]-Table1[[#This Row],[Estimated Loss]]</f>
        <v>4212.42</v>
      </c>
      <c r="N73" s="3">
        <f>IFERROR(VLOOKUP(Table1[[#This Row],[Period]],$L$16:$M$385,2,FALSE),0)</f>
        <v>4459</v>
      </c>
      <c r="O73" s="3">
        <f>Table1[[#This Row],[Beginning Balance]]-Table1[[#This Row],[Principal]]-Table1[[#This Row],[Prepayments]]-Table1[[#This Row],[Defaulted Principal]]</f>
        <v>6721418.1199999973</v>
      </c>
      <c r="P73" s="3">
        <f>Table1[[#This Row],[Principal]]+Table1[[#This Row],[Interest]]+Table1[[#This Row],[Prepayments]]+Table1[[#This Row],[RecoveredAmount]]</f>
        <v>72389.78</v>
      </c>
      <c r="Q73" s="3">
        <f ca="1">Table1[[#This Row],[Cash Flow]]/((1+ActualRateToUse)^(IF(ISNUMBER(SEARCH("Actual",$C$7)),Table1[[#This Row],[Running Total]]/365,Table1[[#This Row],[Period]]/12)))</f>
        <v>51497.530945545594</v>
      </c>
      <c r="R73" s="2">
        <f>IF(MONTH(Table1[[#This Row],[Date]])=2,28,DAY(DATE(YEAR(Table1[[#This Row],[Date]]),MONTH(Table1[[#This Row],[Date]])+1,1)-1))</f>
        <v>31</v>
      </c>
      <c r="S73" s="2">
        <f ca="1">SUM(OFFSET(Table1[[#Headers],[Days in month]],1,0):Table1[[#This Row],[Days in month]])</f>
        <v>1734</v>
      </c>
      <c r="T73" s="37">
        <f>InterestRate*AmortizationMultiplier*IF(ISNUMBER(SEARCH("Actual",$C$7)),Table1[[#This Row],[Days in month]]/365,1/12)</f>
        <v>6.0708333333333326E-3</v>
      </c>
    </row>
    <row r="74" spans="2:20" x14ac:dyDescent="0.2">
      <c r="B74" s="1">
        <v>47603</v>
      </c>
      <c r="C74" s="2">
        <f t="shared" si="1"/>
        <v>58</v>
      </c>
      <c r="D74" s="3">
        <f t="shared" si="3"/>
        <v>6721418.1199999973</v>
      </c>
      <c r="E74" s="3">
        <f>ROUND(Table1[[#This Row],[Beginning Balance]]*Table1[[#This Row],[Monthly Interest Rate]],2)</f>
        <v>39488.33</v>
      </c>
      <c r="F74" s="3">
        <f t="shared" si="2"/>
        <v>294</v>
      </c>
      <c r="G74" s="23">
        <f>IFERROR(IF($C$13="No","N/A",IF(Table1[[#This Row],[Period]]=1,$C$6,PMT(InterestRate*AmortizationMultiplier/12,Table1[[#This Row],[Am Thru]],-Table1[[#This Row],[Beginning Balance]]))),0)</f>
        <v>48497.843795006091</v>
      </c>
      <c r="H74" s="3">
        <f>MAX(0,IF(C74=$C$4,D74,ROUND(IF($C$3="Fixed Principal",$C$6-Table1[[#This Row],[Interest]],IF($C$3="Interest Only",Table1[[#This Row],[Beginning Balance]]*ROUND(1-(1-IF($C$11="No",$E$8,1))^(1/12),6),MIN(IF($C$13="Yes",Table1[[#This Row],[Payment Amount (Reamortized)]],$C$6)-Table1[[#This Row],[Interest]],Table1[[#This Row],[Beginning Balance]]))),2)))</f>
        <v>9009.51</v>
      </c>
      <c r="I74" s="3">
        <f>_xlfn.SINGLE(IF($C$3="Line of Credit",0,ROUND(MAX(MIN(IF($C$10="No",$E$7,VLOOKUP(Table1[[#This Row],[Period]],Forecast!$H$2:$L$1048576,4,FALSE))*Table1[[#This Row],[Beginning Balance]],Table1[[#This Row],[Beginning Balance]]-Table1[[#This Row],[Principal]]),0),2)))</f>
        <v>19176.21</v>
      </c>
      <c r="J74" s="3">
        <f>ROUND(MIN(Table1[[#This Row],[Beginning Balance]]*IF($C$8="No",$E$3,VLOOKUP(Table1[[#This Row],[Period]],Forecast!$H$2:$L$1048576,2,FALSE)),Table1[[#This Row],[Beginning Balance]]-Table1[[#This Row],[Principal]]-Table1[[#This Row],[Prepayments]]),2)</f>
        <v>4590.7299999999996</v>
      </c>
      <c r="K74" s="3">
        <f>ROUND(Table1[[#This Row],[Defaulted Principal]]*IF($C$9="No",$E$4,VLOOKUP(Table1[[#This Row],[Period]],Forecast!$H$2:$L$1048576,3,FALSE)),2)</f>
        <v>397.99</v>
      </c>
      <c r="L74" s="2">
        <f>Table1[[#This Row],[Period]]+$E$9</f>
        <v>70</v>
      </c>
      <c r="M74" s="3">
        <f>Table1[[#This Row],[Defaulted Principal]]-Table1[[#This Row],[Estimated Loss]]</f>
        <v>4192.74</v>
      </c>
      <c r="N74" s="3">
        <f>IFERROR(VLOOKUP(Table1[[#This Row],[Period]],$L$16:$M$385,2,FALSE),0)</f>
        <v>4438.63</v>
      </c>
      <c r="O74" s="3">
        <f>Table1[[#This Row],[Beginning Balance]]-Table1[[#This Row],[Principal]]-Table1[[#This Row],[Prepayments]]-Table1[[#This Row],[Defaulted Principal]]</f>
        <v>6688641.6699999971</v>
      </c>
      <c r="P74" s="3">
        <f>Table1[[#This Row],[Principal]]+Table1[[#This Row],[Interest]]+Table1[[#This Row],[Prepayments]]+Table1[[#This Row],[RecoveredAmount]]</f>
        <v>72112.680000000008</v>
      </c>
      <c r="Q74" s="3">
        <f ca="1">Table1[[#This Row],[Cash Flow]]/((1+ActualRateToUse)^(IF(ISNUMBER(SEARCH("Actual",$C$7)),Table1[[#This Row],[Running Total]]/365,Table1[[#This Row],[Period]]/12)))</f>
        <v>50999.054115778898</v>
      </c>
      <c r="R74" s="2">
        <f>IF(MONTH(Table1[[#This Row],[Date]])=2,28,DAY(DATE(YEAR(Table1[[#This Row],[Date]]),MONTH(Table1[[#This Row],[Date]])+1,1)-1))</f>
        <v>30</v>
      </c>
      <c r="S74" s="2">
        <f ca="1">SUM(OFFSET(Table1[[#Headers],[Days in month]],1,0):Table1[[#This Row],[Days in month]])</f>
        <v>1764</v>
      </c>
      <c r="T74" s="37">
        <f>InterestRate*AmortizationMultiplier*IF(ISNUMBER(SEARCH("Actual",$C$7)),Table1[[#This Row],[Days in month]]/365,1/12)</f>
        <v>5.8749999999999991E-3</v>
      </c>
    </row>
    <row r="75" spans="2:20" x14ac:dyDescent="0.2">
      <c r="B75" s="1">
        <v>47634</v>
      </c>
      <c r="C75" s="2">
        <f t="shared" si="1"/>
        <v>59</v>
      </c>
      <c r="D75" s="3">
        <f t="shared" si="3"/>
        <v>6688641.6699999971</v>
      </c>
      <c r="E75" s="3">
        <f>ROUND(Table1[[#This Row],[Beginning Balance]]*Table1[[#This Row],[Monthly Interest Rate]],2)</f>
        <v>40605.629999999997</v>
      </c>
      <c r="F75" s="3">
        <f t="shared" si="2"/>
        <v>293</v>
      </c>
      <c r="G75" s="23">
        <f>IFERROR(IF($C$13="No","N/A",IF(Table1[[#This Row],[Period]]=1,$C$6,PMT(InterestRate*AmortizationMultiplier/12,Table1[[#This Row],[Am Thru]],-Table1[[#This Row],[Beginning Balance]]))),0)</f>
        <v>48322.17697389923</v>
      </c>
      <c r="H75" s="3">
        <f>MAX(0,IF(C75=$C$4,D75,ROUND(IF($C$3="Fixed Principal",$C$6-Table1[[#This Row],[Interest]],IF($C$3="Interest Only",Table1[[#This Row],[Beginning Balance]]*ROUND(1-(1-IF($C$11="No",$E$8,1))^(1/12),6),MIN(IF($C$13="Yes",Table1[[#This Row],[Payment Amount (Reamortized)]],$C$6)-Table1[[#This Row],[Interest]],Table1[[#This Row],[Beginning Balance]]))),2)))</f>
        <v>7716.55</v>
      </c>
      <c r="I75" s="3">
        <f>_xlfn.SINGLE(IF($C$3="Line of Credit",0,ROUND(MAX(MIN(IF($C$10="No",$E$7,VLOOKUP(Table1[[#This Row],[Period]],Forecast!$H$2:$L$1048576,4,FALSE))*Table1[[#This Row],[Beginning Balance]],Table1[[#This Row],[Beginning Balance]]-Table1[[#This Row],[Principal]]),0),2)))</f>
        <v>19082.689999999999</v>
      </c>
      <c r="J75" s="3">
        <f>ROUND(MIN(Table1[[#This Row],[Beginning Balance]]*IF($C$8="No",$E$3,VLOOKUP(Table1[[#This Row],[Period]],Forecast!$H$2:$L$1048576,2,FALSE)),Table1[[#This Row],[Beginning Balance]]-Table1[[#This Row],[Principal]]-Table1[[#This Row],[Prepayments]]),2)</f>
        <v>4568.34</v>
      </c>
      <c r="K75" s="3">
        <f>ROUND(Table1[[#This Row],[Defaulted Principal]]*IF($C$9="No",$E$4,VLOOKUP(Table1[[#This Row],[Period]],Forecast!$H$2:$L$1048576,3,FALSE)),2)</f>
        <v>396.05</v>
      </c>
      <c r="L75" s="2">
        <f>Table1[[#This Row],[Period]]+$E$9</f>
        <v>71</v>
      </c>
      <c r="M75" s="3">
        <f>Table1[[#This Row],[Defaulted Principal]]-Table1[[#This Row],[Estimated Loss]]</f>
        <v>4172.29</v>
      </c>
      <c r="N75" s="3">
        <f>IFERROR(VLOOKUP(Table1[[#This Row],[Period]],$L$16:$M$385,2,FALSE),0)</f>
        <v>4417.4400000000005</v>
      </c>
      <c r="O75" s="3">
        <f>Table1[[#This Row],[Beginning Balance]]-Table1[[#This Row],[Principal]]-Table1[[#This Row],[Prepayments]]-Table1[[#This Row],[Defaulted Principal]]</f>
        <v>6657274.0899999971</v>
      </c>
      <c r="P75" s="3">
        <f>Table1[[#This Row],[Principal]]+Table1[[#This Row],[Interest]]+Table1[[#This Row],[Prepayments]]+Table1[[#This Row],[RecoveredAmount]]</f>
        <v>71822.31</v>
      </c>
      <c r="Q75" s="3">
        <f ca="1">Table1[[#This Row],[Cash Flow]]/((1+ActualRateToUse)^(IF(ISNUMBER(SEARCH("Actual",$C$7)),Table1[[#This Row],[Running Total]]/365,Table1[[#This Row],[Period]]/12)))</f>
        <v>50485.411479252725</v>
      </c>
      <c r="R75" s="2">
        <f>IF(MONTH(Table1[[#This Row],[Date]])=2,28,DAY(DATE(YEAR(Table1[[#This Row],[Date]]),MONTH(Table1[[#This Row],[Date]])+1,1)-1))</f>
        <v>31</v>
      </c>
      <c r="S75" s="2">
        <f ca="1">SUM(OFFSET(Table1[[#Headers],[Days in month]],1,0):Table1[[#This Row],[Days in month]])</f>
        <v>1795</v>
      </c>
      <c r="T75" s="37">
        <f>InterestRate*AmortizationMultiplier*IF(ISNUMBER(SEARCH("Actual",$C$7)),Table1[[#This Row],[Days in month]]/365,1/12)</f>
        <v>6.0708333333333326E-3</v>
      </c>
    </row>
    <row r="76" spans="2:20" x14ac:dyDescent="0.2">
      <c r="B76" s="1">
        <v>47664</v>
      </c>
      <c r="C76" s="2">
        <f t="shared" si="1"/>
        <v>60</v>
      </c>
      <c r="D76" s="3">
        <f t="shared" si="3"/>
        <v>6657274.0899999971</v>
      </c>
      <c r="E76" s="3">
        <f>ROUND(Table1[[#This Row],[Beginning Balance]]*Table1[[#This Row],[Monthly Interest Rate]],2)</f>
        <v>39111.49</v>
      </c>
      <c r="F76" s="3">
        <f t="shared" si="2"/>
        <v>292</v>
      </c>
      <c r="G76" s="23">
        <f>IFERROR(IF($C$13="No","N/A",IF(Table1[[#This Row],[Period]]=1,$C$6,PMT(InterestRate*AmortizationMultiplier/12,Table1[[#This Row],[Am Thru]],-Table1[[#This Row],[Beginning Balance]]))),0)</f>
        <v>48156.620018410707</v>
      </c>
      <c r="H76" s="3">
        <f>MAX(0,IF(C76=$C$4,D76,ROUND(IF($C$3="Fixed Principal",$C$6-Table1[[#This Row],[Interest]],IF($C$3="Interest Only",Table1[[#This Row],[Beginning Balance]]*ROUND(1-(1-IF($C$11="No",$E$8,1))^(1/12),6),MIN(IF($C$13="Yes",Table1[[#This Row],[Payment Amount (Reamortized)]],$C$6)-Table1[[#This Row],[Interest]],Table1[[#This Row],[Beginning Balance]]))),2)))</f>
        <v>9045.1299999999992</v>
      </c>
      <c r="I76" s="3">
        <f>_xlfn.SINGLE(IF($C$3="Line of Credit",0,ROUND(MAX(MIN(IF($C$10="No",$E$7,VLOOKUP(Table1[[#This Row],[Period]],Forecast!$H$2:$L$1048576,4,FALSE))*Table1[[#This Row],[Beginning Balance]],Table1[[#This Row],[Beginning Balance]]-Table1[[#This Row],[Principal]]),0),2)))</f>
        <v>18993.2</v>
      </c>
      <c r="J76" s="3">
        <f>ROUND(MIN(Table1[[#This Row],[Beginning Balance]]*IF($C$8="No",$E$3,VLOOKUP(Table1[[#This Row],[Period]],Forecast!$H$2:$L$1048576,2,FALSE)),Table1[[#This Row],[Beginning Balance]]-Table1[[#This Row],[Principal]]-Table1[[#This Row],[Prepayments]]),2)</f>
        <v>4546.92</v>
      </c>
      <c r="K76" s="3">
        <f>ROUND(Table1[[#This Row],[Defaulted Principal]]*IF($C$9="No",$E$4,VLOOKUP(Table1[[#This Row],[Period]],Forecast!$H$2:$L$1048576,3,FALSE)),2)</f>
        <v>394.19</v>
      </c>
      <c r="L76" s="2">
        <f>Table1[[#This Row],[Period]]+$E$9</f>
        <v>72</v>
      </c>
      <c r="M76" s="3">
        <f>Table1[[#This Row],[Defaulted Principal]]-Table1[[#This Row],[Estimated Loss]]</f>
        <v>4152.7300000000005</v>
      </c>
      <c r="N76" s="3">
        <f>IFERROR(VLOOKUP(Table1[[#This Row],[Period]],$L$16:$M$385,2,FALSE),0)</f>
        <v>4397.18</v>
      </c>
      <c r="O76" s="3">
        <f>Table1[[#This Row],[Beginning Balance]]-Table1[[#This Row],[Principal]]-Table1[[#This Row],[Prepayments]]-Table1[[#This Row],[Defaulted Principal]]</f>
        <v>6624688.8399999971</v>
      </c>
      <c r="P76" s="3">
        <f>Table1[[#This Row],[Principal]]+Table1[[#This Row],[Interest]]+Table1[[#This Row],[Prepayments]]+Table1[[#This Row],[RecoveredAmount]]</f>
        <v>71547</v>
      </c>
      <c r="Q76" s="3">
        <f ca="1">Table1[[#This Row],[Cash Flow]]/((1+ActualRateToUse)^(IF(ISNUMBER(SEARCH("Actual",$C$7)),Table1[[#This Row],[Running Total]]/365,Table1[[#This Row],[Period]]/12)))</f>
        <v>49996.46450065809</v>
      </c>
      <c r="R76" s="2">
        <f>IF(MONTH(Table1[[#This Row],[Date]])=2,28,DAY(DATE(YEAR(Table1[[#This Row],[Date]]),MONTH(Table1[[#This Row],[Date]])+1,1)-1))</f>
        <v>30</v>
      </c>
      <c r="S76" s="2">
        <f ca="1">SUM(OFFSET(Table1[[#Headers],[Days in month]],1,0):Table1[[#This Row],[Days in month]])</f>
        <v>1825</v>
      </c>
      <c r="T76" s="37">
        <f>InterestRate*AmortizationMultiplier*IF(ISNUMBER(SEARCH("Actual",$C$7)),Table1[[#This Row],[Days in month]]/365,1/12)</f>
        <v>5.8749999999999991E-3</v>
      </c>
    </row>
    <row r="77" spans="2:20" x14ac:dyDescent="0.2">
      <c r="B77" s="1">
        <v>47695</v>
      </c>
      <c r="C77" s="2">
        <f t="shared" si="1"/>
        <v>61</v>
      </c>
      <c r="D77" s="3">
        <f t="shared" si="3"/>
        <v>6624688.8399999971</v>
      </c>
      <c r="E77" s="3">
        <f>ROUND(Table1[[#This Row],[Beginning Balance]]*Table1[[#This Row],[Monthly Interest Rate]],2)</f>
        <v>40217.379999999997</v>
      </c>
      <c r="F77" s="3">
        <f t="shared" si="2"/>
        <v>291</v>
      </c>
      <c r="G77" s="23">
        <f>IFERROR(IF($C$13="No","N/A",IF(Table1[[#This Row],[Period]]=1,$C$6,PMT(InterestRate*AmortizationMultiplier/12,Table1[[#This Row],[Am Thru]],-Table1[[#This Row],[Beginning Balance]]))),0)</f>
        <v>47982.186039031702</v>
      </c>
      <c r="H77" s="3">
        <f>MAX(0,IF(C77=$C$4,D77,ROUND(IF($C$3="Fixed Principal",$C$6-Table1[[#This Row],[Interest]],IF($C$3="Interest Only",Table1[[#This Row],[Beginning Balance]]*ROUND(1-(1-IF($C$11="No",$E$8,1))^(1/12),6),MIN(IF($C$13="Yes",Table1[[#This Row],[Payment Amount (Reamortized)]],$C$6)-Table1[[#This Row],[Interest]],Table1[[#This Row],[Beginning Balance]]))),2)))</f>
        <v>7764.81</v>
      </c>
      <c r="I77" s="3">
        <f>_xlfn.SINGLE(IF($C$3="Line of Credit",0,ROUND(MAX(MIN(IF($C$10="No",$E$7,VLOOKUP(Table1[[#This Row],[Period]],Forecast!$H$2:$L$1048576,4,FALSE))*Table1[[#This Row],[Beginning Balance]],Table1[[#This Row],[Beginning Balance]]-Table1[[#This Row],[Principal]]),0),2)))</f>
        <v>18900.240000000002</v>
      </c>
      <c r="J77" s="3">
        <f>ROUND(MIN(Table1[[#This Row],[Beginning Balance]]*IF($C$8="No",$E$3,VLOOKUP(Table1[[#This Row],[Period]],Forecast!$H$2:$L$1048576,2,FALSE)),Table1[[#This Row],[Beginning Balance]]-Table1[[#This Row],[Principal]]-Table1[[#This Row],[Prepayments]]),2)</f>
        <v>4524.66</v>
      </c>
      <c r="K77" s="3">
        <f>ROUND(Table1[[#This Row],[Defaulted Principal]]*IF($C$9="No",$E$4,VLOOKUP(Table1[[#This Row],[Period]],Forecast!$H$2:$L$1048576,3,FALSE)),2)</f>
        <v>392.26</v>
      </c>
      <c r="L77" s="2">
        <f>Table1[[#This Row],[Period]]+$E$9</f>
        <v>73</v>
      </c>
      <c r="M77" s="3">
        <f>Table1[[#This Row],[Defaulted Principal]]-Table1[[#This Row],[Estimated Loss]]</f>
        <v>4132.3999999999996</v>
      </c>
      <c r="N77" s="3">
        <f>IFERROR(VLOOKUP(Table1[[#This Row],[Period]],$L$16:$M$385,2,FALSE),0)</f>
        <v>4376.1200000000008</v>
      </c>
      <c r="O77" s="3">
        <f>Table1[[#This Row],[Beginning Balance]]-Table1[[#This Row],[Principal]]-Table1[[#This Row],[Prepayments]]-Table1[[#This Row],[Defaulted Principal]]</f>
        <v>6593499.1299999971</v>
      </c>
      <c r="P77" s="3">
        <f>Table1[[#This Row],[Principal]]+Table1[[#This Row],[Interest]]+Table1[[#This Row],[Prepayments]]+Table1[[#This Row],[RecoveredAmount]]</f>
        <v>71258.549999999988</v>
      </c>
      <c r="Q77" s="3">
        <f ca="1">Table1[[#This Row],[Cash Flow]]/((1+ActualRateToUse)^(IF(ISNUMBER(SEARCH("Actual",$C$7)),Table1[[#This Row],[Running Total]]/365,Table1[[#This Row],[Period]]/12)))</f>
        <v>49492.671063512731</v>
      </c>
      <c r="R77" s="2">
        <f>IF(MONTH(Table1[[#This Row],[Date]])=2,28,DAY(DATE(YEAR(Table1[[#This Row],[Date]]),MONTH(Table1[[#This Row],[Date]])+1,1)-1))</f>
        <v>31</v>
      </c>
      <c r="S77" s="2">
        <f ca="1">SUM(OFFSET(Table1[[#Headers],[Days in month]],1,0):Table1[[#This Row],[Days in month]])</f>
        <v>1856</v>
      </c>
      <c r="T77" s="37">
        <f>InterestRate*AmortizationMultiplier*IF(ISNUMBER(SEARCH("Actual",$C$7)),Table1[[#This Row],[Days in month]]/365,1/12)</f>
        <v>6.0708333333333326E-3</v>
      </c>
    </row>
    <row r="78" spans="2:20" x14ac:dyDescent="0.2">
      <c r="B78" s="1">
        <v>47726</v>
      </c>
      <c r="C78" s="2">
        <f t="shared" si="1"/>
        <v>62</v>
      </c>
      <c r="D78" s="3">
        <f t="shared" si="3"/>
        <v>6593499.1299999971</v>
      </c>
      <c r="E78" s="3">
        <f>ROUND(Table1[[#This Row],[Beginning Balance]]*Table1[[#This Row],[Monthly Interest Rate]],2)</f>
        <v>40028.03</v>
      </c>
      <c r="F78" s="3">
        <f t="shared" si="2"/>
        <v>290</v>
      </c>
      <c r="G78" s="23">
        <f>IFERROR(IF($C$13="No","N/A",IF(Table1[[#This Row],[Period]]=1,$C$6,PMT(InterestRate*AmortizationMultiplier/12,Table1[[#This Row],[Am Thru]],-Table1[[#This Row],[Beginning Balance]]))),0)</f>
        <v>47817.790816002249</v>
      </c>
      <c r="H78" s="3">
        <f>MAX(0,IF(C78=$C$4,D78,ROUND(IF($C$3="Fixed Principal",$C$6-Table1[[#This Row],[Interest]],IF($C$3="Interest Only",Table1[[#This Row],[Beginning Balance]]*ROUND(1-(1-IF($C$11="No",$E$8,1))^(1/12),6),MIN(IF($C$13="Yes",Table1[[#This Row],[Payment Amount (Reamortized)]],$C$6)-Table1[[#This Row],[Interest]],Table1[[#This Row],[Beginning Balance]]))),2)))</f>
        <v>7789.76</v>
      </c>
      <c r="I78" s="3">
        <f>_xlfn.SINGLE(IF($C$3="Line of Credit",0,ROUND(MAX(MIN(IF($C$10="No",$E$7,VLOOKUP(Table1[[#This Row],[Period]],Forecast!$H$2:$L$1048576,4,FALSE))*Table1[[#This Row],[Beginning Balance]],Table1[[#This Row],[Beginning Balance]]-Table1[[#This Row],[Principal]]),0),2)))</f>
        <v>18811.25</v>
      </c>
      <c r="J78" s="3">
        <f>ROUND(MIN(Table1[[#This Row],[Beginning Balance]]*IF($C$8="No",$E$3,VLOOKUP(Table1[[#This Row],[Period]],Forecast!$H$2:$L$1048576,2,FALSE)),Table1[[#This Row],[Beginning Balance]]-Table1[[#This Row],[Principal]]-Table1[[#This Row],[Prepayments]]),2)</f>
        <v>4503.3599999999997</v>
      </c>
      <c r="K78" s="3">
        <f>ROUND(Table1[[#This Row],[Defaulted Principal]]*IF($C$9="No",$E$4,VLOOKUP(Table1[[#This Row],[Period]],Forecast!$H$2:$L$1048576,3,FALSE)),2)</f>
        <v>390.41</v>
      </c>
      <c r="L78" s="2">
        <f>Table1[[#This Row],[Period]]+$E$9</f>
        <v>74</v>
      </c>
      <c r="M78" s="3">
        <f>Table1[[#This Row],[Defaulted Principal]]-Table1[[#This Row],[Estimated Loss]]</f>
        <v>4112.95</v>
      </c>
      <c r="N78" s="3">
        <f>IFERROR(VLOOKUP(Table1[[#This Row],[Period]],$L$16:$M$385,2,FALSE),0)</f>
        <v>4355.99</v>
      </c>
      <c r="O78" s="3">
        <f>Table1[[#This Row],[Beginning Balance]]-Table1[[#This Row],[Principal]]-Table1[[#This Row],[Prepayments]]-Table1[[#This Row],[Defaulted Principal]]</f>
        <v>6562394.759999997</v>
      </c>
      <c r="P78" s="3">
        <f>Table1[[#This Row],[Principal]]+Table1[[#This Row],[Interest]]+Table1[[#This Row],[Prepayments]]+Table1[[#This Row],[RecoveredAmount]]</f>
        <v>70985.030000000013</v>
      </c>
      <c r="Q78" s="3">
        <f ca="1">Table1[[#This Row],[Cash Flow]]/((1+ActualRateToUse)^(IF(ISNUMBER(SEARCH("Actual",$C$7)),Table1[[#This Row],[Running Total]]/365,Table1[[#This Row],[Period]]/12)))</f>
        <v>49003.458040807578</v>
      </c>
      <c r="R78" s="2">
        <f>IF(MONTH(Table1[[#This Row],[Date]])=2,28,DAY(DATE(YEAR(Table1[[#This Row],[Date]]),MONTH(Table1[[#This Row],[Date]])+1,1)-1))</f>
        <v>31</v>
      </c>
      <c r="S78" s="2">
        <f ca="1">SUM(OFFSET(Table1[[#Headers],[Days in month]],1,0):Table1[[#This Row],[Days in month]])</f>
        <v>1887</v>
      </c>
      <c r="T78" s="37">
        <f>InterestRate*AmortizationMultiplier*IF(ISNUMBER(SEARCH("Actual",$C$7)),Table1[[#This Row],[Days in month]]/365,1/12)</f>
        <v>6.0708333333333326E-3</v>
      </c>
    </row>
    <row r="79" spans="2:20" x14ac:dyDescent="0.2">
      <c r="B79" s="1">
        <v>47756</v>
      </c>
      <c r="C79" s="2">
        <f t="shared" si="1"/>
        <v>63</v>
      </c>
      <c r="D79" s="3">
        <f t="shared" si="3"/>
        <v>6562394.759999997</v>
      </c>
      <c r="E79" s="3">
        <f>ROUND(Table1[[#This Row],[Beginning Balance]]*Table1[[#This Row],[Monthly Interest Rate]],2)</f>
        <v>38554.07</v>
      </c>
      <c r="F79" s="3">
        <f t="shared" si="2"/>
        <v>289</v>
      </c>
      <c r="G79" s="23">
        <f>IFERROR(IF($C$13="No","N/A",IF(Table1[[#This Row],[Period]]=1,$C$6,PMT(InterestRate*AmortizationMultiplier/12,Table1[[#This Row],[Am Thru]],-Table1[[#This Row],[Beginning Balance]]))),0)</f>
        <v>47653.957348622993</v>
      </c>
      <c r="H79" s="3">
        <f>MAX(0,IF(C79=$C$4,D79,ROUND(IF($C$3="Fixed Principal",$C$6-Table1[[#This Row],[Interest]],IF($C$3="Interest Only",Table1[[#This Row],[Beginning Balance]]*ROUND(1-(1-IF($C$11="No",$E$8,1))^(1/12),6),MIN(IF($C$13="Yes",Table1[[#This Row],[Payment Amount (Reamortized)]],$C$6)-Table1[[#This Row],[Interest]],Table1[[#This Row],[Beginning Balance]]))),2)))</f>
        <v>9099.89</v>
      </c>
      <c r="I79" s="3">
        <f>_xlfn.SINGLE(IF($C$3="Line of Credit",0,ROUND(MAX(MIN(IF($C$10="No",$E$7,VLOOKUP(Table1[[#This Row],[Period]],Forecast!$H$2:$L$1048576,4,FALSE))*Table1[[#This Row],[Beginning Balance]],Table1[[#This Row],[Beginning Balance]]-Table1[[#This Row],[Principal]]),0),2)))</f>
        <v>18722.509999999998</v>
      </c>
      <c r="J79" s="3">
        <f>ROUND(MIN(Table1[[#This Row],[Beginning Balance]]*IF($C$8="No",$E$3,VLOOKUP(Table1[[#This Row],[Period]],Forecast!$H$2:$L$1048576,2,FALSE)),Table1[[#This Row],[Beginning Balance]]-Table1[[#This Row],[Principal]]-Table1[[#This Row],[Prepayments]]),2)</f>
        <v>4482.12</v>
      </c>
      <c r="K79" s="3">
        <f>ROUND(Table1[[#This Row],[Defaulted Principal]]*IF($C$9="No",$E$4,VLOOKUP(Table1[[#This Row],[Period]],Forecast!$H$2:$L$1048576,3,FALSE)),2)</f>
        <v>388.57</v>
      </c>
      <c r="L79" s="2">
        <f>Table1[[#This Row],[Period]]+$E$9</f>
        <v>75</v>
      </c>
      <c r="M79" s="3">
        <f>Table1[[#This Row],[Defaulted Principal]]-Table1[[#This Row],[Estimated Loss]]</f>
        <v>4093.5499999999997</v>
      </c>
      <c r="N79" s="3">
        <f>IFERROR(VLOOKUP(Table1[[#This Row],[Period]],$L$16:$M$385,2,FALSE),0)</f>
        <v>4335.8999999999996</v>
      </c>
      <c r="O79" s="3">
        <f>Table1[[#This Row],[Beginning Balance]]-Table1[[#This Row],[Principal]]-Table1[[#This Row],[Prepayments]]-Table1[[#This Row],[Defaulted Principal]]</f>
        <v>6530090.2399999974</v>
      </c>
      <c r="P79" s="3">
        <f>Table1[[#This Row],[Principal]]+Table1[[#This Row],[Interest]]+Table1[[#This Row],[Prepayments]]+Table1[[#This Row],[RecoveredAmount]]</f>
        <v>70712.37</v>
      </c>
      <c r="Q79" s="3">
        <f ca="1">Table1[[#This Row],[Cash Flow]]/((1+ActualRateToUse)^(IF(ISNUMBER(SEARCH("Actual",$C$7)),Table1[[#This Row],[Running Total]]/365,Table1[[#This Row],[Period]]/12)))</f>
        <v>48528.479703950652</v>
      </c>
      <c r="R79" s="2">
        <f>IF(MONTH(Table1[[#This Row],[Date]])=2,28,DAY(DATE(YEAR(Table1[[#This Row],[Date]]),MONTH(Table1[[#This Row],[Date]])+1,1)-1))</f>
        <v>30</v>
      </c>
      <c r="S79" s="2">
        <f ca="1">SUM(OFFSET(Table1[[#Headers],[Days in month]],1,0):Table1[[#This Row],[Days in month]])</f>
        <v>1917</v>
      </c>
      <c r="T79" s="37">
        <f>InterestRate*AmortizationMultiplier*IF(ISNUMBER(SEARCH("Actual",$C$7)),Table1[[#This Row],[Days in month]]/365,1/12)</f>
        <v>5.8749999999999991E-3</v>
      </c>
    </row>
    <row r="80" spans="2:20" x14ac:dyDescent="0.2">
      <c r="B80" s="1">
        <v>47787</v>
      </c>
      <c r="C80" s="2">
        <f t="shared" si="1"/>
        <v>64</v>
      </c>
      <c r="D80" s="3">
        <f t="shared" si="3"/>
        <v>6530090.2399999974</v>
      </c>
      <c r="E80" s="3">
        <f>ROUND(Table1[[#This Row],[Beginning Balance]]*Table1[[#This Row],[Monthly Interest Rate]],2)</f>
        <v>39643.089999999997</v>
      </c>
      <c r="F80" s="3">
        <f t="shared" si="2"/>
        <v>288</v>
      </c>
      <c r="G80" s="23">
        <f>IFERROR(IF($C$13="No","N/A",IF(Table1[[#This Row],[Period]]=1,$C$6,PMT(InterestRate*AmortizationMultiplier/12,Table1[[#This Row],[Am Thru]],-Table1[[#This Row],[Beginning Balance]]))),0)</f>
        <v>47481.33921633412</v>
      </c>
      <c r="H80" s="3">
        <f>MAX(0,IF(C80=$C$4,D80,ROUND(IF($C$3="Fixed Principal",$C$6-Table1[[#This Row],[Interest]],IF($C$3="Interest Only",Table1[[#This Row],[Beginning Balance]]*ROUND(1-(1-IF($C$11="No",$E$8,1))^(1/12),6),MIN(IF($C$13="Yes",Table1[[#This Row],[Payment Amount (Reamortized)]],$C$6)-Table1[[#This Row],[Interest]],Table1[[#This Row],[Beginning Balance]]))),2)))</f>
        <v>7838.25</v>
      </c>
      <c r="I80" s="3">
        <f>_xlfn.SINGLE(IF($C$3="Line of Credit",0,ROUND(MAX(MIN(IF($C$10="No",$E$7,VLOOKUP(Table1[[#This Row],[Period]],Forecast!$H$2:$L$1048576,4,FALSE))*Table1[[#This Row],[Beginning Balance]],Table1[[#This Row],[Beginning Balance]]-Table1[[#This Row],[Principal]]),0),2)))</f>
        <v>18630.349999999999</v>
      </c>
      <c r="J80" s="3">
        <f>ROUND(MIN(Table1[[#This Row],[Beginning Balance]]*IF($C$8="No",$E$3,VLOOKUP(Table1[[#This Row],[Period]],Forecast!$H$2:$L$1048576,2,FALSE)),Table1[[#This Row],[Beginning Balance]]-Table1[[#This Row],[Principal]]-Table1[[#This Row],[Prepayments]]),2)</f>
        <v>4460.05</v>
      </c>
      <c r="K80" s="3">
        <f>ROUND(Table1[[#This Row],[Defaulted Principal]]*IF($C$9="No",$E$4,VLOOKUP(Table1[[#This Row],[Period]],Forecast!$H$2:$L$1048576,3,FALSE)),2)</f>
        <v>386.66</v>
      </c>
      <c r="L80" s="2">
        <f>Table1[[#This Row],[Period]]+$E$9</f>
        <v>76</v>
      </c>
      <c r="M80" s="3">
        <f>Table1[[#This Row],[Defaulted Principal]]-Table1[[#This Row],[Estimated Loss]]</f>
        <v>4073.3900000000003</v>
      </c>
      <c r="N80" s="3">
        <f>IFERROR(VLOOKUP(Table1[[#This Row],[Period]],$L$16:$M$385,2,FALSE),0)</f>
        <v>4315.0199999999995</v>
      </c>
      <c r="O80" s="3">
        <f>Table1[[#This Row],[Beginning Balance]]-Table1[[#This Row],[Principal]]-Table1[[#This Row],[Prepayments]]-Table1[[#This Row],[Defaulted Principal]]</f>
        <v>6499161.589999998</v>
      </c>
      <c r="P80" s="3">
        <f>Table1[[#This Row],[Principal]]+Table1[[#This Row],[Interest]]+Table1[[#This Row],[Prepayments]]+Table1[[#This Row],[RecoveredAmount]]</f>
        <v>70426.710000000006</v>
      </c>
      <c r="Q80" s="3">
        <f ca="1">Table1[[#This Row],[Cash Flow]]/((1+ActualRateToUse)^(IF(ISNUMBER(SEARCH("Actual",$C$7)),Table1[[#This Row],[Running Total]]/365,Table1[[#This Row],[Period]]/12)))</f>
        <v>48039.086382229027</v>
      </c>
      <c r="R80" s="2">
        <f>IF(MONTH(Table1[[#This Row],[Date]])=2,28,DAY(DATE(YEAR(Table1[[#This Row],[Date]]),MONTH(Table1[[#This Row],[Date]])+1,1)-1))</f>
        <v>31</v>
      </c>
      <c r="S80" s="2">
        <f ca="1">SUM(OFFSET(Table1[[#Headers],[Days in month]],1,0):Table1[[#This Row],[Days in month]])</f>
        <v>1948</v>
      </c>
      <c r="T80" s="37">
        <f>InterestRate*AmortizationMultiplier*IF(ISNUMBER(SEARCH("Actual",$C$7)),Table1[[#This Row],[Days in month]]/365,1/12)</f>
        <v>6.0708333333333326E-3</v>
      </c>
    </row>
    <row r="81" spans="2:20" x14ac:dyDescent="0.2">
      <c r="B81" s="1">
        <v>47817</v>
      </c>
      <c r="C81" s="2">
        <f t="shared" si="1"/>
        <v>65</v>
      </c>
      <c r="D81" s="3">
        <f t="shared" si="3"/>
        <v>6499161.589999998</v>
      </c>
      <c r="E81" s="3">
        <f>ROUND(Table1[[#This Row],[Beginning Balance]]*Table1[[#This Row],[Monthly Interest Rate]],2)</f>
        <v>38182.57</v>
      </c>
      <c r="F81" s="3">
        <f t="shared" si="2"/>
        <v>287</v>
      </c>
      <c r="G81" s="23">
        <f>IFERROR(IF($C$13="No","N/A",IF(Table1[[#This Row],[Period]]=1,$C$6,PMT(InterestRate*AmortizationMultiplier/12,Table1[[#This Row],[Am Thru]],-Table1[[#This Row],[Beginning Balance]]))),0)</f>
        <v>47318.655417455549</v>
      </c>
      <c r="H81" s="3">
        <f>MAX(0,IF(C81=$C$4,D81,ROUND(IF($C$3="Fixed Principal",$C$6-Table1[[#This Row],[Interest]],IF($C$3="Interest Only",Table1[[#This Row],[Beginning Balance]]*ROUND(1-(1-IF($C$11="No",$E$8,1))^(1/12),6),MIN(IF($C$13="Yes",Table1[[#This Row],[Payment Amount (Reamortized)]],$C$6)-Table1[[#This Row],[Interest]],Table1[[#This Row],[Beginning Balance]]))),2)))</f>
        <v>9136.09</v>
      </c>
      <c r="I81" s="3">
        <f>_xlfn.SINGLE(IF($C$3="Line of Credit",0,ROUND(MAX(MIN(IF($C$10="No",$E$7,VLOOKUP(Table1[[#This Row],[Period]],Forecast!$H$2:$L$1048576,4,FALSE))*Table1[[#This Row],[Beginning Balance]],Table1[[#This Row],[Beginning Balance]]-Table1[[#This Row],[Principal]]),0),2)))</f>
        <v>18542.11</v>
      </c>
      <c r="J81" s="3">
        <f>ROUND(MIN(Table1[[#This Row],[Beginning Balance]]*IF($C$8="No",$E$3,VLOOKUP(Table1[[#This Row],[Period]],Forecast!$H$2:$L$1048576,2,FALSE)),Table1[[#This Row],[Beginning Balance]]-Table1[[#This Row],[Principal]]-Table1[[#This Row],[Prepayments]]),2)</f>
        <v>4438.93</v>
      </c>
      <c r="K81" s="3">
        <f>ROUND(Table1[[#This Row],[Defaulted Principal]]*IF($C$9="No",$E$4,VLOOKUP(Table1[[#This Row],[Period]],Forecast!$H$2:$L$1048576,3,FALSE)),2)</f>
        <v>384.83</v>
      </c>
      <c r="L81" s="2">
        <f>Table1[[#This Row],[Period]]+$E$9</f>
        <v>77</v>
      </c>
      <c r="M81" s="3">
        <f>Table1[[#This Row],[Defaulted Principal]]-Table1[[#This Row],[Estimated Loss]]</f>
        <v>4054.1000000000004</v>
      </c>
      <c r="N81" s="3">
        <f>IFERROR(VLOOKUP(Table1[[#This Row],[Period]],$L$16:$M$385,2,FALSE),0)</f>
        <v>4295.0600000000004</v>
      </c>
      <c r="O81" s="3">
        <f>Table1[[#This Row],[Beginning Balance]]-Table1[[#This Row],[Principal]]-Table1[[#This Row],[Prepayments]]-Table1[[#This Row],[Defaulted Principal]]</f>
        <v>6467044.4599999981</v>
      </c>
      <c r="P81" s="3">
        <f>Table1[[#This Row],[Principal]]+Table1[[#This Row],[Interest]]+Table1[[#This Row],[Prepayments]]+Table1[[#This Row],[RecoveredAmount]]</f>
        <v>70155.83</v>
      </c>
      <c r="Q81" s="3">
        <f ca="1">Table1[[#This Row],[Cash Flow]]/((1+ActualRateToUse)^(IF(ISNUMBER(SEARCH("Actual",$C$7)),Table1[[#This Row],[Running Total]]/365,Table1[[#This Row],[Period]]/12)))</f>
        <v>47573.208250372256</v>
      </c>
      <c r="R81" s="2">
        <f>IF(MONTH(Table1[[#This Row],[Date]])=2,28,DAY(DATE(YEAR(Table1[[#This Row],[Date]]),MONTH(Table1[[#This Row],[Date]])+1,1)-1))</f>
        <v>30</v>
      </c>
      <c r="S81" s="2">
        <f ca="1">SUM(OFFSET(Table1[[#Headers],[Days in month]],1,0):Table1[[#This Row],[Days in month]])</f>
        <v>1978</v>
      </c>
      <c r="T81" s="37">
        <f>InterestRate*AmortizationMultiplier*IF(ISNUMBER(SEARCH("Actual",$C$7)),Table1[[#This Row],[Days in month]]/365,1/12)</f>
        <v>5.8749999999999991E-3</v>
      </c>
    </row>
    <row r="82" spans="2:20" x14ac:dyDescent="0.2">
      <c r="B82" s="1">
        <v>47848</v>
      </c>
      <c r="C82" s="2">
        <f t="shared" si="1"/>
        <v>66</v>
      </c>
      <c r="D82" s="3">
        <f t="shared" si="3"/>
        <v>6467044.4599999981</v>
      </c>
      <c r="E82" s="3">
        <f>ROUND(Table1[[#This Row],[Beginning Balance]]*Table1[[#This Row],[Monthly Interest Rate]],2)</f>
        <v>39260.35</v>
      </c>
      <c r="F82" s="3">
        <f t="shared" si="2"/>
        <v>286</v>
      </c>
      <c r="G82" s="23">
        <f>IFERROR(IF($C$13="No","N/A",IF(Table1[[#This Row],[Period]]=1,$C$6,PMT(InterestRate*AmortizationMultiplier/12,Table1[[#This Row],[Am Thru]],-Table1[[#This Row],[Beginning Balance]]))),0)</f>
        <v>47147.248516583379</v>
      </c>
      <c r="H82" s="3">
        <f>MAX(0,IF(C82=$C$4,D82,ROUND(IF($C$3="Fixed Principal",$C$6-Table1[[#This Row],[Interest]],IF($C$3="Interest Only",Table1[[#This Row],[Beginning Balance]]*ROUND(1-(1-IF($C$11="No",$E$8,1))^(1/12),6),MIN(IF($C$13="Yes",Table1[[#This Row],[Payment Amount (Reamortized)]],$C$6)-Table1[[#This Row],[Interest]],Table1[[#This Row],[Beginning Balance]]))),2)))</f>
        <v>7886.9</v>
      </c>
      <c r="I82" s="3">
        <f>_xlfn.SINGLE(IF($C$3="Line of Credit",0,ROUND(MAX(MIN(IF($C$10="No",$E$7,VLOOKUP(Table1[[#This Row],[Period]],Forecast!$H$2:$L$1048576,4,FALSE))*Table1[[#This Row],[Beginning Balance]],Table1[[#This Row],[Beginning Balance]]-Table1[[#This Row],[Principal]]),0),2)))</f>
        <v>18450.48</v>
      </c>
      <c r="J82" s="3">
        <f>ROUND(MIN(Table1[[#This Row],[Beginning Balance]]*IF($C$8="No",$E$3,VLOOKUP(Table1[[#This Row],[Period]],Forecast!$H$2:$L$1048576,2,FALSE)),Table1[[#This Row],[Beginning Balance]]-Table1[[#This Row],[Principal]]-Table1[[#This Row],[Prepayments]]),2)</f>
        <v>4416.99</v>
      </c>
      <c r="K82" s="3">
        <f>ROUND(Table1[[#This Row],[Defaulted Principal]]*IF($C$9="No",$E$4,VLOOKUP(Table1[[#This Row],[Period]],Forecast!$H$2:$L$1048576,3,FALSE)),2)</f>
        <v>382.93</v>
      </c>
      <c r="L82" s="2">
        <f>Table1[[#This Row],[Period]]+$E$9</f>
        <v>78</v>
      </c>
      <c r="M82" s="3">
        <f>Table1[[#This Row],[Defaulted Principal]]-Table1[[#This Row],[Estimated Loss]]</f>
        <v>4034.06</v>
      </c>
      <c r="N82" s="3">
        <f>IFERROR(VLOOKUP(Table1[[#This Row],[Period]],$L$16:$M$385,2,FALSE),0)</f>
        <v>4274.3099999999995</v>
      </c>
      <c r="O82" s="3">
        <f>Table1[[#This Row],[Beginning Balance]]-Table1[[#This Row],[Principal]]-Table1[[#This Row],[Prepayments]]-Table1[[#This Row],[Defaulted Principal]]</f>
        <v>6436290.0899999971</v>
      </c>
      <c r="P82" s="3">
        <f>Table1[[#This Row],[Principal]]+Table1[[#This Row],[Interest]]+Table1[[#This Row],[Prepayments]]+Table1[[#This Row],[RecoveredAmount]]</f>
        <v>69872.039999999994</v>
      </c>
      <c r="Q82" s="3">
        <f ca="1">Table1[[#This Row],[Cash Flow]]/((1+ActualRateToUse)^(IF(ISNUMBER(SEARCH("Actual",$C$7)),Table1[[#This Row],[Running Total]]/365,Table1[[#This Row],[Period]]/12)))</f>
        <v>47093.193560738699</v>
      </c>
      <c r="R82" s="2">
        <f>IF(MONTH(Table1[[#This Row],[Date]])=2,28,DAY(DATE(YEAR(Table1[[#This Row],[Date]]),MONTH(Table1[[#This Row],[Date]])+1,1)-1))</f>
        <v>31</v>
      </c>
      <c r="S82" s="2">
        <f ca="1">SUM(OFFSET(Table1[[#Headers],[Days in month]],1,0):Table1[[#This Row],[Days in month]])</f>
        <v>2009</v>
      </c>
      <c r="T82" s="37">
        <f>InterestRate*AmortizationMultiplier*IF(ISNUMBER(SEARCH("Actual",$C$7)),Table1[[#This Row],[Days in month]]/365,1/12)</f>
        <v>6.0708333333333326E-3</v>
      </c>
    </row>
    <row r="83" spans="2:20" x14ac:dyDescent="0.2">
      <c r="B83" s="1">
        <v>47879</v>
      </c>
      <c r="C83" s="2">
        <f t="shared" ref="C83:C146" si="4">C82+1</f>
        <v>67</v>
      </c>
      <c r="D83" s="3">
        <f t="shared" si="3"/>
        <v>6436290.0899999971</v>
      </c>
      <c r="E83" s="3">
        <f>ROUND(Table1[[#This Row],[Beginning Balance]]*Table1[[#This Row],[Monthly Interest Rate]],2)</f>
        <v>39073.64</v>
      </c>
      <c r="F83" s="3">
        <f t="shared" ref="F83:F146" si="5">+F82-1</f>
        <v>285</v>
      </c>
      <c r="G83" s="23">
        <f>IFERROR(IF($C$13="No","N/A",IF(Table1[[#This Row],[Period]]=1,$C$6,PMT(InterestRate*AmortizationMultiplier/12,Table1[[#This Row],[Am Thru]],-Table1[[#This Row],[Beginning Balance]]))),0)</f>
        <v>46985.70629115522</v>
      </c>
      <c r="H83" s="3">
        <f>MAX(0,IF(C83=$C$4,D83,ROUND(IF($C$3="Fixed Principal",$C$6-Table1[[#This Row],[Interest]],IF($C$3="Interest Only",Table1[[#This Row],[Beginning Balance]]*ROUND(1-(1-IF($C$11="No",$E$8,1))^(1/12),6),MIN(IF($C$13="Yes",Table1[[#This Row],[Payment Amount (Reamortized)]],$C$6)-Table1[[#This Row],[Interest]],Table1[[#This Row],[Beginning Balance]]))),2)))</f>
        <v>7912.07</v>
      </c>
      <c r="I83" s="3">
        <f>_xlfn.SINGLE(IF($C$3="Line of Credit",0,ROUND(MAX(MIN(IF($C$10="No",$E$7,VLOOKUP(Table1[[#This Row],[Period]],Forecast!$H$2:$L$1048576,4,FALSE))*Table1[[#This Row],[Beginning Balance]],Table1[[#This Row],[Beginning Balance]]-Table1[[#This Row],[Principal]]),0),2)))</f>
        <v>18362.740000000002</v>
      </c>
      <c r="J83" s="3">
        <f>ROUND(MIN(Table1[[#This Row],[Beginning Balance]]*IF($C$8="No",$E$3,VLOOKUP(Table1[[#This Row],[Period]],Forecast!$H$2:$L$1048576,2,FALSE)),Table1[[#This Row],[Beginning Balance]]-Table1[[#This Row],[Principal]]-Table1[[#This Row],[Prepayments]]),2)</f>
        <v>4395.99</v>
      </c>
      <c r="K83" s="3">
        <f>ROUND(Table1[[#This Row],[Defaulted Principal]]*IF($C$9="No",$E$4,VLOOKUP(Table1[[#This Row],[Period]],Forecast!$H$2:$L$1048576,3,FALSE)),2)</f>
        <v>381.11</v>
      </c>
      <c r="L83" s="2">
        <f>Table1[[#This Row],[Period]]+$E$9</f>
        <v>79</v>
      </c>
      <c r="M83" s="3">
        <f>Table1[[#This Row],[Defaulted Principal]]-Table1[[#This Row],[Estimated Loss]]</f>
        <v>4014.8799999999997</v>
      </c>
      <c r="N83" s="3">
        <f>IFERROR(VLOOKUP(Table1[[#This Row],[Period]],$L$16:$M$385,2,FALSE),0)</f>
        <v>4254.45</v>
      </c>
      <c r="O83" s="3">
        <f>Table1[[#This Row],[Beginning Balance]]-Table1[[#This Row],[Principal]]-Table1[[#This Row],[Prepayments]]-Table1[[#This Row],[Defaulted Principal]]</f>
        <v>6405619.2899999963</v>
      </c>
      <c r="P83" s="3">
        <f>Table1[[#This Row],[Principal]]+Table1[[#This Row],[Interest]]+Table1[[#This Row],[Prepayments]]+Table1[[#This Row],[RecoveredAmount]]</f>
        <v>69602.899999999994</v>
      </c>
      <c r="Q83" s="3">
        <f ca="1">Table1[[#This Row],[Cash Flow]]/((1+ActualRateToUse)^(IF(ISNUMBER(SEARCH("Actual",$C$7)),Table1[[#This Row],[Running Total]]/365,Table1[[#This Row],[Period]]/12)))</f>
        <v>46627.067256126706</v>
      </c>
      <c r="R83" s="2">
        <f>IF(MONTH(Table1[[#This Row],[Date]])=2,28,DAY(DATE(YEAR(Table1[[#This Row],[Date]]),MONTH(Table1[[#This Row],[Date]])+1,1)-1))</f>
        <v>31</v>
      </c>
      <c r="S83" s="2">
        <f ca="1">SUM(OFFSET(Table1[[#Headers],[Days in month]],1,0):Table1[[#This Row],[Days in month]])</f>
        <v>2040</v>
      </c>
      <c r="T83" s="37">
        <f>InterestRate*AmortizationMultiplier*IF(ISNUMBER(SEARCH("Actual",$C$7)),Table1[[#This Row],[Days in month]]/365,1/12)</f>
        <v>6.0708333333333326E-3</v>
      </c>
    </row>
    <row r="84" spans="2:20" x14ac:dyDescent="0.2">
      <c r="B84" s="1">
        <v>47907</v>
      </c>
      <c r="C84" s="2">
        <f t="shared" si="4"/>
        <v>68</v>
      </c>
      <c r="D84" s="3">
        <f t="shared" si="3"/>
        <v>6405619.2899999963</v>
      </c>
      <c r="E84" s="3">
        <f>ROUND(Table1[[#This Row],[Beginning Balance]]*Table1[[#This Row],[Monthly Interest Rate]],2)</f>
        <v>35124.15</v>
      </c>
      <c r="F84" s="3">
        <f t="shared" si="5"/>
        <v>284</v>
      </c>
      <c r="G84" s="23">
        <f>IFERROR(IF($C$13="No","N/A",IF(Table1[[#This Row],[Period]]=1,$C$6,PMT(InterestRate*AmortizationMultiplier/12,Table1[[#This Row],[Am Thru]],-Table1[[#This Row],[Beginning Balance]]))),0)</f>
        <v>46824.715883870354</v>
      </c>
      <c r="H84" s="3">
        <f>MAX(0,IF(C84=$C$4,D84,ROUND(IF($C$3="Fixed Principal",$C$6-Table1[[#This Row],[Interest]],IF($C$3="Interest Only",Table1[[#This Row],[Beginning Balance]]*ROUND(1-(1-IF($C$11="No",$E$8,1))^(1/12),6),MIN(IF($C$13="Yes",Table1[[#This Row],[Payment Amount (Reamortized)]],$C$6)-Table1[[#This Row],[Interest]],Table1[[#This Row],[Beginning Balance]]))),2)))</f>
        <v>11700.57</v>
      </c>
      <c r="I84" s="3">
        <f>_xlfn.SINGLE(IF($C$3="Line of Credit",0,ROUND(MAX(MIN(IF($C$10="No",$E$7,VLOOKUP(Table1[[#This Row],[Period]],Forecast!$H$2:$L$1048576,4,FALSE))*Table1[[#This Row],[Beginning Balance]],Table1[[#This Row],[Beginning Balance]]-Table1[[#This Row],[Principal]]),0),2)))</f>
        <v>18275.23</v>
      </c>
      <c r="J84" s="3">
        <f>ROUND(MIN(Table1[[#This Row],[Beginning Balance]]*IF($C$8="No",$E$3,VLOOKUP(Table1[[#This Row],[Period]],Forecast!$H$2:$L$1048576,2,FALSE)),Table1[[#This Row],[Beginning Balance]]-Table1[[#This Row],[Principal]]-Table1[[#This Row],[Prepayments]]),2)</f>
        <v>4375.04</v>
      </c>
      <c r="K84" s="3">
        <f>ROUND(Table1[[#This Row],[Defaulted Principal]]*IF($C$9="No",$E$4,VLOOKUP(Table1[[#This Row],[Period]],Forecast!$H$2:$L$1048576,3,FALSE)),2)</f>
        <v>379.29</v>
      </c>
      <c r="L84" s="2">
        <f>Table1[[#This Row],[Period]]+$E$9</f>
        <v>80</v>
      </c>
      <c r="M84" s="3">
        <f>Table1[[#This Row],[Defaulted Principal]]-Table1[[#This Row],[Estimated Loss]]</f>
        <v>3995.75</v>
      </c>
      <c r="N84" s="3">
        <f>IFERROR(VLOOKUP(Table1[[#This Row],[Period]],$L$16:$M$385,2,FALSE),0)</f>
        <v>4234.6499999999996</v>
      </c>
      <c r="O84" s="3">
        <f>Table1[[#This Row],[Beginning Balance]]-Table1[[#This Row],[Principal]]-Table1[[#This Row],[Prepayments]]-Table1[[#This Row],[Defaulted Principal]]</f>
        <v>6371268.4499999955</v>
      </c>
      <c r="P84" s="3">
        <f>Table1[[#This Row],[Principal]]+Table1[[#This Row],[Interest]]+Table1[[#This Row],[Prepayments]]+Table1[[#This Row],[RecoveredAmount]]</f>
        <v>69334.599999999991</v>
      </c>
      <c r="Q84" s="3">
        <f ca="1">Table1[[#This Row],[Cash Flow]]/((1+ActualRateToUse)^(IF(ISNUMBER(SEARCH("Actual",$C$7)),Table1[[#This Row],[Running Total]]/365,Table1[[#This Row],[Period]]/12)))</f>
        <v>46192.630256800541</v>
      </c>
      <c r="R84" s="2">
        <f>IF(MONTH(Table1[[#This Row],[Date]])=2,28,DAY(DATE(YEAR(Table1[[#This Row],[Date]]),MONTH(Table1[[#This Row],[Date]])+1,1)-1))</f>
        <v>28</v>
      </c>
      <c r="S84" s="2">
        <f ca="1">SUM(OFFSET(Table1[[#Headers],[Days in month]],1,0):Table1[[#This Row],[Days in month]])</f>
        <v>2068</v>
      </c>
      <c r="T84" s="37">
        <f>InterestRate*AmortizationMultiplier*IF(ISNUMBER(SEARCH("Actual",$C$7)),Table1[[#This Row],[Days in month]]/365,1/12)</f>
        <v>5.4833333333333331E-3</v>
      </c>
    </row>
    <row r="85" spans="2:20" x14ac:dyDescent="0.2">
      <c r="B85" s="1">
        <v>47938</v>
      </c>
      <c r="C85" s="2">
        <f t="shared" si="4"/>
        <v>69</v>
      </c>
      <c r="D85" s="3">
        <f t="shared" si="3"/>
        <v>6371268.4499999955</v>
      </c>
      <c r="E85" s="3">
        <f>ROUND(Table1[[#This Row],[Beginning Balance]]*Table1[[#This Row],[Monthly Interest Rate]],2)</f>
        <v>38678.910000000003</v>
      </c>
      <c r="F85" s="3">
        <f t="shared" si="5"/>
        <v>283</v>
      </c>
      <c r="G85" s="23">
        <f>IFERROR(IF($C$13="No","N/A",IF(Table1[[#This Row],[Period]]=1,$C$6,PMT(InterestRate*AmortizationMultiplier/12,Table1[[#This Row],[Am Thru]],-Table1[[#This Row],[Beginning Balance]]))),0)</f>
        <v>46636.728829179527</v>
      </c>
      <c r="H85" s="3">
        <f>MAX(0,IF(C85=$C$4,D85,ROUND(IF($C$3="Fixed Principal",$C$6-Table1[[#This Row],[Interest]],IF($C$3="Interest Only",Table1[[#This Row],[Beginning Balance]]*ROUND(1-(1-IF($C$11="No",$E$8,1))^(1/12),6),MIN(IF($C$13="Yes",Table1[[#This Row],[Payment Amount (Reamortized)]],$C$6)-Table1[[#This Row],[Interest]],Table1[[#This Row],[Beginning Balance]]))),2)))</f>
        <v>7957.82</v>
      </c>
      <c r="I85" s="3">
        <f>_xlfn.SINGLE(IF($C$3="Line of Credit",0,ROUND(MAX(MIN(IF($C$10="No",$E$7,VLOOKUP(Table1[[#This Row],[Period]],Forecast!$H$2:$L$1048576,4,FALSE))*Table1[[#This Row],[Beginning Balance]],Table1[[#This Row],[Beginning Balance]]-Table1[[#This Row],[Principal]]),0),2)))</f>
        <v>18177.23</v>
      </c>
      <c r="J85" s="3">
        <f>ROUND(MIN(Table1[[#This Row],[Beginning Balance]]*IF($C$8="No",$E$3,VLOOKUP(Table1[[#This Row],[Period]],Forecast!$H$2:$L$1048576,2,FALSE)),Table1[[#This Row],[Beginning Balance]]-Table1[[#This Row],[Principal]]-Table1[[#This Row],[Prepayments]]),2)</f>
        <v>4351.58</v>
      </c>
      <c r="K85" s="3">
        <f>ROUND(Table1[[#This Row],[Defaulted Principal]]*IF($C$9="No",$E$4,VLOOKUP(Table1[[#This Row],[Period]],Forecast!$H$2:$L$1048576,3,FALSE)),2)</f>
        <v>377.26</v>
      </c>
      <c r="L85" s="2">
        <f>Table1[[#This Row],[Period]]+$E$9</f>
        <v>81</v>
      </c>
      <c r="M85" s="3">
        <f>Table1[[#This Row],[Defaulted Principal]]-Table1[[#This Row],[Estimated Loss]]</f>
        <v>3974.3199999999997</v>
      </c>
      <c r="N85" s="3">
        <f>IFERROR(VLOOKUP(Table1[[#This Row],[Period]],$L$16:$M$385,2,FALSE),0)</f>
        <v>4212.42</v>
      </c>
      <c r="O85" s="3">
        <f>Table1[[#This Row],[Beginning Balance]]-Table1[[#This Row],[Principal]]-Table1[[#This Row],[Prepayments]]-Table1[[#This Row],[Defaulted Principal]]</f>
        <v>6340781.8199999947</v>
      </c>
      <c r="P85" s="3">
        <f>Table1[[#This Row],[Principal]]+Table1[[#This Row],[Interest]]+Table1[[#This Row],[Prepayments]]+Table1[[#This Row],[RecoveredAmount]]</f>
        <v>69026.38</v>
      </c>
      <c r="Q85" s="3">
        <f ca="1">Table1[[#This Row],[Cash Flow]]/((1+ActualRateToUse)^(IF(ISNUMBER(SEARCH("Actual",$C$7)),Table1[[#This Row],[Running Total]]/365,Table1[[#This Row],[Period]]/12)))</f>
        <v>45708.168704186399</v>
      </c>
      <c r="R85" s="2">
        <f>IF(MONTH(Table1[[#This Row],[Date]])=2,28,DAY(DATE(YEAR(Table1[[#This Row],[Date]]),MONTH(Table1[[#This Row],[Date]])+1,1)-1))</f>
        <v>31</v>
      </c>
      <c r="S85" s="2">
        <f ca="1">SUM(OFFSET(Table1[[#Headers],[Days in month]],1,0):Table1[[#This Row],[Days in month]])</f>
        <v>2099</v>
      </c>
      <c r="T85" s="37">
        <f>InterestRate*AmortizationMultiplier*IF(ISNUMBER(SEARCH("Actual",$C$7)),Table1[[#This Row],[Days in month]]/365,1/12)</f>
        <v>6.0708333333333326E-3</v>
      </c>
    </row>
    <row r="86" spans="2:20" x14ac:dyDescent="0.2">
      <c r="B86" s="1">
        <v>47968</v>
      </c>
      <c r="C86" s="2">
        <f t="shared" si="4"/>
        <v>70</v>
      </c>
      <c r="D86" s="3">
        <f t="shared" si="3"/>
        <v>6340781.8199999947</v>
      </c>
      <c r="E86" s="3">
        <f>ROUND(Table1[[#This Row],[Beginning Balance]]*Table1[[#This Row],[Monthly Interest Rate]],2)</f>
        <v>37252.089999999997</v>
      </c>
      <c r="F86" s="3">
        <f t="shared" si="5"/>
        <v>282</v>
      </c>
      <c r="G86" s="23">
        <f>IFERROR(IF($C$13="No","N/A",IF(Table1[[#This Row],[Period]]=1,$C$6,PMT(InterestRate*AmortizationMultiplier/12,Table1[[#This Row],[Am Thru]],-Table1[[#This Row],[Beginning Balance]]))),0)</f>
        <v>46476.931074622487</v>
      </c>
      <c r="H86" s="3">
        <f>MAX(0,IF(C86=$C$4,D86,ROUND(IF($C$3="Fixed Principal",$C$6-Table1[[#This Row],[Interest]],IF($C$3="Interest Only",Table1[[#This Row],[Beginning Balance]]*ROUND(1-(1-IF($C$11="No",$E$8,1))^(1/12),6),MIN(IF($C$13="Yes",Table1[[#This Row],[Payment Amount (Reamortized)]],$C$6)-Table1[[#This Row],[Interest]],Table1[[#This Row],[Beginning Balance]]))),2)))</f>
        <v>9224.84</v>
      </c>
      <c r="I86" s="3">
        <f>_xlfn.SINGLE(IF($C$3="Line of Credit",0,ROUND(MAX(MIN(IF($C$10="No",$E$7,VLOOKUP(Table1[[#This Row],[Period]],Forecast!$H$2:$L$1048576,4,FALSE))*Table1[[#This Row],[Beginning Balance]],Table1[[#This Row],[Beginning Balance]]-Table1[[#This Row],[Principal]]),0),2)))</f>
        <v>18090.25</v>
      </c>
      <c r="J86" s="3">
        <f>ROUND(MIN(Table1[[#This Row],[Beginning Balance]]*IF($C$8="No",$E$3,VLOOKUP(Table1[[#This Row],[Period]],Forecast!$H$2:$L$1048576,2,FALSE)),Table1[[#This Row],[Beginning Balance]]-Table1[[#This Row],[Principal]]-Table1[[#This Row],[Prepayments]]),2)</f>
        <v>4330.75</v>
      </c>
      <c r="K86" s="3">
        <f>ROUND(Table1[[#This Row],[Defaulted Principal]]*IF($C$9="No",$E$4,VLOOKUP(Table1[[#This Row],[Period]],Forecast!$H$2:$L$1048576,3,FALSE)),2)</f>
        <v>375.45</v>
      </c>
      <c r="L86" s="2">
        <f>Table1[[#This Row],[Period]]+$E$9</f>
        <v>82</v>
      </c>
      <c r="M86" s="3">
        <f>Table1[[#This Row],[Defaulted Principal]]-Table1[[#This Row],[Estimated Loss]]</f>
        <v>3955.3</v>
      </c>
      <c r="N86" s="3">
        <f>IFERROR(VLOOKUP(Table1[[#This Row],[Period]],$L$16:$M$385,2,FALSE),0)</f>
        <v>4192.74</v>
      </c>
      <c r="O86" s="3">
        <f>Table1[[#This Row],[Beginning Balance]]-Table1[[#This Row],[Principal]]-Table1[[#This Row],[Prepayments]]-Table1[[#This Row],[Defaulted Principal]]</f>
        <v>6309135.9799999949</v>
      </c>
      <c r="P86" s="3">
        <f>Table1[[#This Row],[Principal]]+Table1[[#This Row],[Interest]]+Table1[[#This Row],[Prepayments]]+Table1[[#This Row],[RecoveredAmount]]</f>
        <v>68759.92</v>
      </c>
      <c r="Q86" s="3">
        <f ca="1">Table1[[#This Row],[Cash Flow]]/((1+ActualRateToUse)^(IF(ISNUMBER(SEARCH("Actual",$C$7)),Table1[[#This Row],[Running Total]]/365,Table1[[#This Row],[Period]]/12)))</f>
        <v>45264.25963136358</v>
      </c>
      <c r="R86" s="2">
        <f>IF(MONTH(Table1[[#This Row],[Date]])=2,28,DAY(DATE(YEAR(Table1[[#This Row],[Date]]),MONTH(Table1[[#This Row],[Date]])+1,1)-1))</f>
        <v>30</v>
      </c>
      <c r="S86" s="2">
        <f ca="1">SUM(OFFSET(Table1[[#Headers],[Days in month]],1,0):Table1[[#This Row],[Days in month]])</f>
        <v>2129</v>
      </c>
      <c r="T86" s="37">
        <f>InterestRate*AmortizationMultiplier*IF(ISNUMBER(SEARCH("Actual",$C$7)),Table1[[#This Row],[Days in month]]/365,1/12)</f>
        <v>5.8749999999999991E-3</v>
      </c>
    </row>
    <row r="87" spans="2:20" x14ac:dyDescent="0.2">
      <c r="B87" s="1">
        <v>47999</v>
      </c>
      <c r="C87" s="2">
        <f t="shared" si="4"/>
        <v>71</v>
      </c>
      <c r="D87" s="3">
        <f t="shared" si="3"/>
        <v>6309135.9799999949</v>
      </c>
      <c r="E87" s="3">
        <f>ROUND(Table1[[#This Row],[Beginning Balance]]*Table1[[#This Row],[Monthly Interest Rate]],2)</f>
        <v>38301.71</v>
      </c>
      <c r="F87" s="3">
        <f t="shared" si="5"/>
        <v>281</v>
      </c>
      <c r="G87" s="23">
        <f>IFERROR(IF($C$13="No","N/A",IF(Table1[[#This Row],[Period]]=1,$C$6,PMT(InterestRate*AmortizationMultiplier/12,Table1[[#This Row],[Am Thru]],-Table1[[#This Row],[Beginning Balance]]))),0)</f>
        <v>46308.565067646203</v>
      </c>
      <c r="H87" s="3">
        <f>MAX(0,IF(C87=$C$4,D87,ROUND(IF($C$3="Fixed Principal",$C$6-Table1[[#This Row],[Interest]],IF($C$3="Interest Only",Table1[[#This Row],[Beginning Balance]]*ROUND(1-(1-IF($C$11="No",$E$8,1))^(1/12),6),MIN(IF($C$13="Yes",Table1[[#This Row],[Payment Amount (Reamortized)]],$C$6)-Table1[[#This Row],[Interest]],Table1[[#This Row],[Beginning Balance]]))),2)))</f>
        <v>8006.86</v>
      </c>
      <c r="I87" s="3">
        <f>_xlfn.SINGLE(IF($C$3="Line of Credit",0,ROUND(MAX(MIN(IF($C$10="No",$E$7,VLOOKUP(Table1[[#This Row],[Period]],Forecast!$H$2:$L$1048576,4,FALSE))*Table1[[#This Row],[Beginning Balance]],Table1[[#This Row],[Beginning Balance]]-Table1[[#This Row],[Principal]]),0),2)))</f>
        <v>17999.96</v>
      </c>
      <c r="J87" s="3">
        <f>ROUND(MIN(Table1[[#This Row],[Beginning Balance]]*IF($C$8="No",$E$3,VLOOKUP(Table1[[#This Row],[Period]],Forecast!$H$2:$L$1048576,2,FALSE)),Table1[[#This Row],[Beginning Balance]]-Table1[[#This Row],[Principal]]-Table1[[#This Row],[Prepayments]]),2)</f>
        <v>4309.1400000000003</v>
      </c>
      <c r="K87" s="3">
        <f>ROUND(Table1[[#This Row],[Defaulted Principal]]*IF($C$9="No",$E$4,VLOOKUP(Table1[[#This Row],[Period]],Forecast!$H$2:$L$1048576,3,FALSE)),2)</f>
        <v>373.58</v>
      </c>
      <c r="L87" s="2">
        <f>Table1[[#This Row],[Period]]+$E$9</f>
        <v>83</v>
      </c>
      <c r="M87" s="3">
        <f>Table1[[#This Row],[Defaulted Principal]]-Table1[[#This Row],[Estimated Loss]]</f>
        <v>3935.5600000000004</v>
      </c>
      <c r="N87" s="3">
        <f>IFERROR(VLOOKUP(Table1[[#This Row],[Period]],$L$16:$M$385,2,FALSE),0)</f>
        <v>4172.29</v>
      </c>
      <c r="O87" s="3">
        <f>Table1[[#This Row],[Beginning Balance]]-Table1[[#This Row],[Principal]]-Table1[[#This Row],[Prepayments]]-Table1[[#This Row],[Defaulted Principal]]</f>
        <v>6278820.0199999949</v>
      </c>
      <c r="P87" s="3">
        <f>Table1[[#This Row],[Principal]]+Table1[[#This Row],[Interest]]+Table1[[#This Row],[Prepayments]]+Table1[[#This Row],[RecoveredAmount]]</f>
        <v>68480.819999999992</v>
      </c>
      <c r="Q87" s="3">
        <f ca="1">Table1[[#This Row],[Cash Flow]]/((1+ActualRateToUse)^(IF(ISNUMBER(SEARCH("Actual",$C$7)),Table1[[#This Row],[Running Total]]/365,Table1[[#This Row],[Period]]/12)))</f>
        <v>44806.916348909625</v>
      </c>
      <c r="R87" s="2">
        <f>IF(MONTH(Table1[[#This Row],[Date]])=2,28,DAY(DATE(YEAR(Table1[[#This Row],[Date]]),MONTH(Table1[[#This Row],[Date]])+1,1)-1))</f>
        <v>31</v>
      </c>
      <c r="S87" s="2">
        <f ca="1">SUM(OFFSET(Table1[[#Headers],[Days in month]],1,0):Table1[[#This Row],[Days in month]])</f>
        <v>2160</v>
      </c>
      <c r="T87" s="37">
        <f>InterestRate*AmortizationMultiplier*IF(ISNUMBER(SEARCH("Actual",$C$7)),Table1[[#This Row],[Days in month]]/365,1/12)</f>
        <v>6.0708333333333326E-3</v>
      </c>
    </row>
    <row r="88" spans="2:20" x14ac:dyDescent="0.2">
      <c r="B88" s="1">
        <v>48029</v>
      </c>
      <c r="C88" s="2">
        <f t="shared" si="4"/>
        <v>72</v>
      </c>
      <c r="D88" s="3">
        <f t="shared" si="3"/>
        <v>6278820.0199999949</v>
      </c>
      <c r="E88" s="3">
        <f>ROUND(Table1[[#This Row],[Beginning Balance]]*Table1[[#This Row],[Monthly Interest Rate]],2)</f>
        <v>36888.07</v>
      </c>
      <c r="F88" s="3">
        <f t="shared" si="5"/>
        <v>280</v>
      </c>
      <c r="G88" s="23">
        <f>IFERROR(IF($C$13="No","N/A",IF(Table1[[#This Row],[Period]]=1,$C$6,PMT(InterestRate*AmortizationMultiplier/12,Table1[[#This Row],[Am Thru]],-Table1[[#This Row],[Beginning Balance]]))),0)</f>
        <v>46149.888567947608</v>
      </c>
      <c r="H88" s="3">
        <f>MAX(0,IF(C88=$C$4,D88,ROUND(IF($C$3="Fixed Principal",$C$6-Table1[[#This Row],[Interest]],IF($C$3="Interest Only",Table1[[#This Row],[Beginning Balance]]*ROUND(1-(1-IF($C$11="No",$E$8,1))^(1/12),6),MIN(IF($C$13="Yes",Table1[[#This Row],[Payment Amount (Reamortized)]],$C$6)-Table1[[#This Row],[Interest]],Table1[[#This Row],[Beginning Balance]]))),2)))</f>
        <v>9261.82</v>
      </c>
      <c r="I88" s="3">
        <f>_xlfn.SINGLE(IF($C$3="Line of Credit",0,ROUND(MAX(MIN(IF($C$10="No",$E$7,VLOOKUP(Table1[[#This Row],[Period]],Forecast!$H$2:$L$1048576,4,FALSE))*Table1[[#This Row],[Beginning Balance]],Table1[[#This Row],[Beginning Balance]]-Table1[[#This Row],[Principal]]),0),2)))</f>
        <v>17913.47</v>
      </c>
      <c r="J88" s="3">
        <f>ROUND(MIN(Table1[[#This Row],[Beginning Balance]]*IF($C$8="No",$E$3,VLOOKUP(Table1[[#This Row],[Period]],Forecast!$H$2:$L$1048576,2,FALSE)),Table1[[#This Row],[Beginning Balance]]-Table1[[#This Row],[Principal]]-Table1[[#This Row],[Prepayments]]),2)</f>
        <v>4288.43</v>
      </c>
      <c r="K88" s="3">
        <f>ROUND(Table1[[#This Row],[Defaulted Principal]]*IF($C$9="No",$E$4,VLOOKUP(Table1[[#This Row],[Period]],Forecast!$H$2:$L$1048576,3,FALSE)),2)</f>
        <v>371.78</v>
      </c>
      <c r="L88" s="2">
        <f>Table1[[#This Row],[Period]]+$E$9</f>
        <v>84</v>
      </c>
      <c r="M88" s="3">
        <f>Table1[[#This Row],[Defaulted Principal]]-Table1[[#This Row],[Estimated Loss]]</f>
        <v>3916.6500000000005</v>
      </c>
      <c r="N88" s="3">
        <f>IFERROR(VLOOKUP(Table1[[#This Row],[Period]],$L$16:$M$385,2,FALSE),0)</f>
        <v>4152.7300000000005</v>
      </c>
      <c r="O88" s="3">
        <f>Table1[[#This Row],[Beginning Balance]]-Table1[[#This Row],[Principal]]-Table1[[#This Row],[Prepayments]]-Table1[[#This Row],[Defaulted Principal]]</f>
        <v>6247356.2999999952</v>
      </c>
      <c r="P88" s="3">
        <f>Table1[[#This Row],[Principal]]+Table1[[#This Row],[Interest]]+Table1[[#This Row],[Prepayments]]+Table1[[#This Row],[RecoveredAmount]]</f>
        <v>68216.09</v>
      </c>
      <c r="Q88" s="3">
        <f ca="1">Table1[[#This Row],[Cash Flow]]/((1+ActualRateToUse)^(IF(ISNUMBER(SEARCH("Actual",$C$7)),Table1[[#This Row],[Running Total]]/365,Table1[[#This Row],[Period]]/12)))</f>
        <v>44371.515493587503</v>
      </c>
      <c r="R88" s="2">
        <f>IF(MONTH(Table1[[#This Row],[Date]])=2,28,DAY(DATE(YEAR(Table1[[#This Row],[Date]]),MONTH(Table1[[#This Row],[Date]])+1,1)-1))</f>
        <v>30</v>
      </c>
      <c r="S88" s="2">
        <f ca="1">SUM(OFFSET(Table1[[#Headers],[Days in month]],1,0):Table1[[#This Row],[Days in month]])</f>
        <v>2190</v>
      </c>
      <c r="T88" s="37">
        <f>InterestRate*AmortizationMultiplier*IF(ISNUMBER(SEARCH("Actual",$C$7)),Table1[[#This Row],[Days in month]]/365,1/12)</f>
        <v>5.8749999999999991E-3</v>
      </c>
    </row>
    <row r="89" spans="2:20" x14ac:dyDescent="0.2">
      <c r="B89" s="1">
        <v>48060</v>
      </c>
      <c r="C89" s="2">
        <f t="shared" si="4"/>
        <v>73</v>
      </c>
      <c r="D89" s="3">
        <f t="shared" si="3"/>
        <v>6247356.2999999952</v>
      </c>
      <c r="E89" s="3">
        <f>ROUND(Table1[[#This Row],[Beginning Balance]]*Table1[[#This Row],[Monthly Interest Rate]],2)</f>
        <v>37926.660000000003</v>
      </c>
      <c r="F89" s="3">
        <f t="shared" si="5"/>
        <v>279</v>
      </c>
      <c r="G89" s="23">
        <f>IFERROR(IF($C$13="No","N/A",IF(Table1[[#This Row],[Period]]=1,$C$6,PMT(InterestRate*AmortizationMultiplier/12,Table1[[#This Row],[Am Thru]],-Table1[[#This Row],[Beginning Balance]]))),0)</f>
        <v>45982.703951579009</v>
      </c>
      <c r="H89" s="3">
        <f>MAX(0,IF(C89=$C$4,D89,ROUND(IF($C$3="Fixed Principal",$C$6-Table1[[#This Row],[Interest]],IF($C$3="Interest Only",Table1[[#This Row],[Beginning Balance]]*ROUND(1-(1-IF($C$11="No",$E$8,1))^(1/12),6),MIN(IF($C$13="Yes",Table1[[#This Row],[Payment Amount (Reamortized)]],$C$6)-Table1[[#This Row],[Interest]],Table1[[#This Row],[Beginning Balance]]))),2)))</f>
        <v>8056.04</v>
      </c>
      <c r="I89" s="3">
        <f>_xlfn.SINGLE(IF($C$3="Line of Credit",0,ROUND(MAX(MIN(IF($C$10="No",$E$7,VLOOKUP(Table1[[#This Row],[Period]],Forecast!$H$2:$L$1048576,4,FALSE))*Table1[[#This Row],[Beginning Balance]],Table1[[#This Row],[Beginning Balance]]-Table1[[#This Row],[Principal]]),0),2)))</f>
        <v>17823.71</v>
      </c>
      <c r="J89" s="3">
        <f>ROUND(MIN(Table1[[#This Row],[Beginning Balance]]*IF($C$8="No",$E$3,VLOOKUP(Table1[[#This Row],[Period]],Forecast!$H$2:$L$1048576,2,FALSE)),Table1[[#This Row],[Beginning Balance]]-Table1[[#This Row],[Principal]]-Table1[[#This Row],[Prepayments]]),2)</f>
        <v>4266.9399999999996</v>
      </c>
      <c r="K89" s="3">
        <f>ROUND(Table1[[#This Row],[Defaulted Principal]]*IF($C$9="No",$E$4,VLOOKUP(Table1[[#This Row],[Period]],Forecast!$H$2:$L$1048576,3,FALSE)),2)</f>
        <v>369.92</v>
      </c>
      <c r="L89" s="2">
        <f>Table1[[#This Row],[Period]]+$E$9</f>
        <v>85</v>
      </c>
      <c r="M89" s="3">
        <f>Table1[[#This Row],[Defaulted Principal]]-Table1[[#This Row],[Estimated Loss]]</f>
        <v>3897.0199999999995</v>
      </c>
      <c r="N89" s="3">
        <f>IFERROR(VLOOKUP(Table1[[#This Row],[Period]],$L$16:$M$385,2,FALSE),0)</f>
        <v>4132.3999999999996</v>
      </c>
      <c r="O89" s="3">
        <f>Table1[[#This Row],[Beginning Balance]]-Table1[[#This Row],[Principal]]-Table1[[#This Row],[Prepayments]]-Table1[[#This Row],[Defaulted Principal]]</f>
        <v>6217209.6099999947</v>
      </c>
      <c r="P89" s="3">
        <f>Table1[[#This Row],[Principal]]+Table1[[#This Row],[Interest]]+Table1[[#This Row],[Prepayments]]+Table1[[#This Row],[RecoveredAmount]]</f>
        <v>67938.81</v>
      </c>
      <c r="Q89" s="3">
        <f ca="1">Table1[[#This Row],[Cash Flow]]/((1+ActualRateToUse)^(IF(ISNUMBER(SEARCH("Actual",$C$7)),Table1[[#This Row],[Running Total]]/365,Table1[[#This Row],[Period]]/12)))</f>
        <v>43922.941885211447</v>
      </c>
      <c r="R89" s="2">
        <f>IF(MONTH(Table1[[#This Row],[Date]])=2,28,DAY(DATE(YEAR(Table1[[#This Row],[Date]]),MONTH(Table1[[#This Row],[Date]])+1,1)-1))</f>
        <v>31</v>
      </c>
      <c r="S89" s="2">
        <f ca="1">SUM(OFFSET(Table1[[#Headers],[Days in month]],1,0):Table1[[#This Row],[Days in month]])</f>
        <v>2221</v>
      </c>
      <c r="T89" s="37">
        <f>InterestRate*AmortizationMultiplier*IF(ISNUMBER(SEARCH("Actual",$C$7)),Table1[[#This Row],[Days in month]]/365,1/12)</f>
        <v>6.0708333333333326E-3</v>
      </c>
    </row>
    <row r="90" spans="2:20" x14ac:dyDescent="0.2">
      <c r="B90" s="1">
        <v>48091</v>
      </c>
      <c r="C90" s="2">
        <f t="shared" si="4"/>
        <v>74</v>
      </c>
      <c r="D90" s="3">
        <f t="shared" si="3"/>
        <v>6217209.6099999947</v>
      </c>
      <c r="E90" s="3">
        <f>ROUND(Table1[[#This Row],[Beginning Balance]]*Table1[[#This Row],[Monthly Interest Rate]],2)</f>
        <v>37743.64</v>
      </c>
      <c r="F90" s="3">
        <f t="shared" si="5"/>
        <v>278</v>
      </c>
      <c r="G90" s="23">
        <f>IFERROR(IF($C$13="No","N/A",IF(Table1[[#This Row],[Period]]=1,$C$6,PMT(InterestRate*AmortizationMultiplier/12,Table1[[#This Row],[Am Thru]],-Table1[[#This Row],[Beginning Balance]]))),0)</f>
        <v>45825.140867904811</v>
      </c>
      <c r="H90" s="3">
        <f>MAX(0,IF(C90=$C$4,D90,ROUND(IF($C$3="Fixed Principal",$C$6-Table1[[#This Row],[Interest]],IF($C$3="Interest Only",Table1[[#This Row],[Beginning Balance]]*ROUND(1-(1-IF($C$11="No",$E$8,1))^(1/12),6),MIN(IF($C$13="Yes",Table1[[#This Row],[Payment Amount (Reamortized)]],$C$6)-Table1[[#This Row],[Interest]],Table1[[#This Row],[Beginning Balance]]))),2)))</f>
        <v>8081.5</v>
      </c>
      <c r="I90" s="3">
        <f>_xlfn.SINGLE(IF($C$3="Line of Credit",0,ROUND(MAX(MIN(IF($C$10="No",$E$7,VLOOKUP(Table1[[#This Row],[Period]],Forecast!$H$2:$L$1048576,4,FALSE))*Table1[[#This Row],[Beginning Balance]],Table1[[#This Row],[Beginning Balance]]-Table1[[#This Row],[Principal]]),0),2)))</f>
        <v>17737.7</v>
      </c>
      <c r="J90" s="3">
        <f>ROUND(MIN(Table1[[#This Row],[Beginning Balance]]*IF($C$8="No",$E$3,VLOOKUP(Table1[[#This Row],[Period]],Forecast!$H$2:$L$1048576,2,FALSE)),Table1[[#This Row],[Beginning Balance]]-Table1[[#This Row],[Principal]]-Table1[[#This Row],[Prepayments]]),2)</f>
        <v>4246.3500000000004</v>
      </c>
      <c r="K90" s="3">
        <f>ROUND(Table1[[#This Row],[Defaulted Principal]]*IF($C$9="No",$E$4,VLOOKUP(Table1[[#This Row],[Period]],Forecast!$H$2:$L$1048576,3,FALSE)),2)</f>
        <v>368.13</v>
      </c>
      <c r="L90" s="2">
        <f>Table1[[#This Row],[Period]]+$E$9</f>
        <v>86</v>
      </c>
      <c r="M90" s="3">
        <f>Table1[[#This Row],[Defaulted Principal]]-Table1[[#This Row],[Estimated Loss]]</f>
        <v>3878.2200000000003</v>
      </c>
      <c r="N90" s="3">
        <f>IFERROR(VLOOKUP(Table1[[#This Row],[Period]],$L$16:$M$385,2,FALSE),0)</f>
        <v>4112.95</v>
      </c>
      <c r="O90" s="3">
        <f>Table1[[#This Row],[Beginning Balance]]-Table1[[#This Row],[Principal]]-Table1[[#This Row],[Prepayments]]-Table1[[#This Row],[Defaulted Principal]]</f>
        <v>6187144.0599999949</v>
      </c>
      <c r="P90" s="3">
        <f>Table1[[#This Row],[Principal]]+Table1[[#This Row],[Interest]]+Table1[[#This Row],[Prepayments]]+Table1[[#This Row],[RecoveredAmount]]</f>
        <v>67675.789999999994</v>
      </c>
      <c r="Q90" s="3">
        <f ca="1">Table1[[#This Row],[Cash Flow]]/((1+ActualRateToUse)^(IF(ISNUMBER(SEARCH("Actual",$C$7)),Table1[[#This Row],[Running Total]]/365,Table1[[#This Row],[Period]]/12)))</f>
        <v>43487.342133840684</v>
      </c>
      <c r="R90" s="2">
        <f>IF(MONTH(Table1[[#This Row],[Date]])=2,28,DAY(DATE(YEAR(Table1[[#This Row],[Date]]),MONTH(Table1[[#This Row],[Date]])+1,1)-1))</f>
        <v>31</v>
      </c>
      <c r="S90" s="2">
        <f ca="1">SUM(OFFSET(Table1[[#Headers],[Days in month]],1,0):Table1[[#This Row],[Days in month]])</f>
        <v>2252</v>
      </c>
      <c r="T90" s="37">
        <f>InterestRate*AmortizationMultiplier*IF(ISNUMBER(SEARCH("Actual",$C$7)),Table1[[#This Row],[Days in month]]/365,1/12)</f>
        <v>6.0708333333333326E-3</v>
      </c>
    </row>
    <row r="91" spans="2:20" x14ac:dyDescent="0.2">
      <c r="B91" s="1">
        <v>48121</v>
      </c>
      <c r="C91" s="2">
        <f t="shared" si="4"/>
        <v>75</v>
      </c>
      <c r="D91" s="3">
        <f t="shared" si="3"/>
        <v>6187144.0599999949</v>
      </c>
      <c r="E91" s="3">
        <f>ROUND(Table1[[#This Row],[Beginning Balance]]*Table1[[#This Row],[Monthly Interest Rate]],2)</f>
        <v>36349.47</v>
      </c>
      <c r="F91" s="3">
        <f t="shared" si="5"/>
        <v>277</v>
      </c>
      <c r="G91" s="23">
        <f>IFERROR(IF($C$13="No","N/A",IF(Table1[[#This Row],[Period]]=1,$C$6,PMT(InterestRate*AmortizationMultiplier/12,Table1[[#This Row],[Am Thru]],-Table1[[#This Row],[Beginning Balance]]))),0)</f>
        <v>45668.116012777478</v>
      </c>
      <c r="H91" s="3">
        <f>MAX(0,IF(C91=$C$4,D91,ROUND(IF($C$3="Fixed Principal",$C$6-Table1[[#This Row],[Interest]],IF($C$3="Interest Only",Table1[[#This Row],[Beginning Balance]]*ROUND(1-(1-IF($C$11="No",$E$8,1))^(1/12),6),MIN(IF($C$13="Yes",Table1[[#This Row],[Payment Amount (Reamortized)]],$C$6)-Table1[[#This Row],[Interest]],Table1[[#This Row],[Beginning Balance]]))),2)))</f>
        <v>9318.65</v>
      </c>
      <c r="I91" s="3">
        <f>_xlfn.SINGLE(IF($C$3="Line of Credit",0,ROUND(MAX(MIN(IF($C$10="No",$E$7,VLOOKUP(Table1[[#This Row],[Period]],Forecast!$H$2:$L$1048576,4,FALSE))*Table1[[#This Row],[Beginning Balance]],Table1[[#This Row],[Beginning Balance]]-Table1[[#This Row],[Principal]]),0),2)))</f>
        <v>17651.919999999998</v>
      </c>
      <c r="J91" s="3">
        <f>ROUND(MIN(Table1[[#This Row],[Beginning Balance]]*IF($C$8="No",$E$3,VLOOKUP(Table1[[#This Row],[Period]],Forecast!$H$2:$L$1048576,2,FALSE)),Table1[[#This Row],[Beginning Balance]]-Table1[[#This Row],[Principal]]-Table1[[#This Row],[Prepayments]]),2)</f>
        <v>4225.82</v>
      </c>
      <c r="K91" s="3">
        <f>ROUND(Table1[[#This Row],[Defaulted Principal]]*IF($C$9="No",$E$4,VLOOKUP(Table1[[#This Row],[Period]],Forecast!$H$2:$L$1048576,3,FALSE)),2)</f>
        <v>366.35</v>
      </c>
      <c r="L91" s="2">
        <f>Table1[[#This Row],[Period]]+$E$9</f>
        <v>87</v>
      </c>
      <c r="M91" s="3">
        <f>Table1[[#This Row],[Defaulted Principal]]-Table1[[#This Row],[Estimated Loss]]</f>
        <v>3859.47</v>
      </c>
      <c r="N91" s="3">
        <f>IFERROR(VLOOKUP(Table1[[#This Row],[Period]],$L$16:$M$385,2,FALSE),0)</f>
        <v>4093.5499999999997</v>
      </c>
      <c r="O91" s="3">
        <f>Table1[[#This Row],[Beginning Balance]]-Table1[[#This Row],[Principal]]-Table1[[#This Row],[Prepayments]]-Table1[[#This Row],[Defaulted Principal]]</f>
        <v>6155947.6699999943</v>
      </c>
      <c r="P91" s="3">
        <f>Table1[[#This Row],[Principal]]+Table1[[#This Row],[Interest]]+Table1[[#This Row],[Prepayments]]+Table1[[#This Row],[RecoveredAmount]]</f>
        <v>67413.59</v>
      </c>
      <c r="Q91" s="3">
        <f ca="1">Table1[[#This Row],[Cash Flow]]/((1+ActualRateToUse)^(IF(ISNUMBER(SEARCH("Actual",$C$7)),Table1[[#This Row],[Running Total]]/365,Table1[[#This Row],[Period]]/12)))</f>
        <v>43064.392118718853</v>
      </c>
      <c r="R91" s="2">
        <f>IF(MONTH(Table1[[#This Row],[Date]])=2,28,DAY(DATE(YEAR(Table1[[#This Row],[Date]]),MONTH(Table1[[#This Row],[Date]])+1,1)-1))</f>
        <v>30</v>
      </c>
      <c r="S91" s="2">
        <f ca="1">SUM(OFFSET(Table1[[#Headers],[Days in month]],1,0):Table1[[#This Row],[Days in month]])</f>
        <v>2282</v>
      </c>
      <c r="T91" s="37">
        <f>InterestRate*AmortizationMultiplier*IF(ISNUMBER(SEARCH("Actual",$C$7)),Table1[[#This Row],[Days in month]]/365,1/12)</f>
        <v>5.8749999999999991E-3</v>
      </c>
    </row>
    <row r="92" spans="2:20" x14ac:dyDescent="0.2">
      <c r="B92" s="1">
        <v>48152</v>
      </c>
      <c r="C92" s="2">
        <f t="shared" si="4"/>
        <v>76</v>
      </c>
      <c r="D92" s="3">
        <f t="shared" si="3"/>
        <v>6155947.6699999943</v>
      </c>
      <c r="E92" s="3">
        <f>ROUND(Table1[[#This Row],[Beginning Balance]]*Table1[[#This Row],[Monthly Interest Rate]],2)</f>
        <v>37371.730000000003</v>
      </c>
      <c r="F92" s="3">
        <f t="shared" si="5"/>
        <v>276</v>
      </c>
      <c r="G92" s="23">
        <f>IFERROR(IF($C$13="No","N/A",IF(Table1[[#This Row],[Period]]=1,$C$6,PMT(InterestRate*AmortizationMultiplier/12,Table1[[#This Row],[Am Thru]],-Table1[[#This Row],[Beginning Balance]]))),0)</f>
        <v>45502.671452802162</v>
      </c>
      <c r="H92" s="3">
        <f>MAX(0,IF(C92=$C$4,D92,ROUND(IF($C$3="Fixed Principal",$C$6-Table1[[#This Row],[Interest]],IF($C$3="Interest Only",Table1[[#This Row],[Beginning Balance]]*ROUND(1-(1-IF($C$11="No",$E$8,1))^(1/12),6),MIN(IF($C$13="Yes",Table1[[#This Row],[Payment Amount (Reamortized)]],$C$6)-Table1[[#This Row],[Interest]],Table1[[#This Row],[Beginning Balance]]))),2)))</f>
        <v>8130.94</v>
      </c>
      <c r="I92" s="3">
        <f>_xlfn.SINGLE(IF($C$3="Line of Credit",0,ROUND(MAX(MIN(IF($C$10="No",$E$7,VLOOKUP(Table1[[#This Row],[Period]],Forecast!$H$2:$L$1048576,4,FALSE))*Table1[[#This Row],[Beginning Balance]],Table1[[#This Row],[Beginning Balance]]-Table1[[#This Row],[Principal]]),0),2)))</f>
        <v>17562.919999999998</v>
      </c>
      <c r="J92" s="3">
        <f>ROUND(MIN(Table1[[#This Row],[Beginning Balance]]*IF($C$8="No",$E$3,VLOOKUP(Table1[[#This Row],[Period]],Forecast!$H$2:$L$1048576,2,FALSE)),Table1[[#This Row],[Beginning Balance]]-Table1[[#This Row],[Principal]]-Table1[[#This Row],[Prepayments]]),2)</f>
        <v>4204.51</v>
      </c>
      <c r="K92" s="3">
        <f>ROUND(Table1[[#This Row],[Defaulted Principal]]*IF($C$9="No",$E$4,VLOOKUP(Table1[[#This Row],[Period]],Forecast!$H$2:$L$1048576,3,FALSE)),2)</f>
        <v>364.51</v>
      </c>
      <c r="L92" s="2">
        <f>Table1[[#This Row],[Period]]+$E$9</f>
        <v>88</v>
      </c>
      <c r="M92" s="3">
        <f>Table1[[#This Row],[Defaulted Principal]]-Table1[[#This Row],[Estimated Loss]]</f>
        <v>3840</v>
      </c>
      <c r="N92" s="3">
        <f>IFERROR(VLOOKUP(Table1[[#This Row],[Period]],$L$16:$M$385,2,FALSE),0)</f>
        <v>4073.3900000000003</v>
      </c>
      <c r="O92" s="3">
        <f>Table1[[#This Row],[Beginning Balance]]-Table1[[#This Row],[Principal]]-Table1[[#This Row],[Prepayments]]-Table1[[#This Row],[Defaulted Principal]]</f>
        <v>6126049.2999999942</v>
      </c>
      <c r="P92" s="3">
        <f>Table1[[#This Row],[Principal]]+Table1[[#This Row],[Interest]]+Table1[[#This Row],[Prepayments]]+Table1[[#This Row],[RecoveredAmount]]</f>
        <v>67138.98000000001</v>
      </c>
      <c r="Q92" s="3">
        <f ca="1">Table1[[#This Row],[Cash Flow]]/((1+ActualRateToUse)^(IF(ISNUMBER(SEARCH("Actual",$C$7)),Table1[[#This Row],[Running Total]]/365,Table1[[#This Row],[Period]]/12)))</f>
        <v>42628.65702222212</v>
      </c>
      <c r="R92" s="2">
        <f>IF(MONTH(Table1[[#This Row],[Date]])=2,28,DAY(DATE(YEAR(Table1[[#This Row],[Date]]),MONTH(Table1[[#This Row],[Date]])+1,1)-1))</f>
        <v>31</v>
      </c>
      <c r="S92" s="2">
        <f ca="1">SUM(OFFSET(Table1[[#Headers],[Days in month]],1,0):Table1[[#This Row],[Days in month]])</f>
        <v>2313</v>
      </c>
      <c r="T92" s="37">
        <f>InterestRate*AmortizationMultiplier*IF(ISNUMBER(SEARCH("Actual",$C$7)),Table1[[#This Row],[Days in month]]/365,1/12)</f>
        <v>6.0708333333333326E-3</v>
      </c>
    </row>
    <row r="93" spans="2:20" x14ac:dyDescent="0.2">
      <c r="B93" s="1">
        <v>48182</v>
      </c>
      <c r="C93" s="2">
        <f t="shared" si="4"/>
        <v>77</v>
      </c>
      <c r="D93" s="3">
        <f t="shared" ref="D93:D156" si="6">O92</f>
        <v>6126049.2999999942</v>
      </c>
      <c r="E93" s="3">
        <f>ROUND(Table1[[#This Row],[Beginning Balance]]*Table1[[#This Row],[Monthly Interest Rate]],2)</f>
        <v>35990.54</v>
      </c>
      <c r="F93" s="3">
        <f t="shared" si="5"/>
        <v>275</v>
      </c>
      <c r="G93" s="23">
        <f>IFERROR(IF($C$13="No","N/A",IF(Table1[[#This Row],[Period]]=1,$C$6,PMT(InterestRate*AmortizationMultiplier/12,Table1[[#This Row],[Am Thru]],-Table1[[#This Row],[Beginning Balance]]))),0)</f>
        <v>45346.748296020094</v>
      </c>
      <c r="H93" s="3">
        <f>MAX(0,IF(C93=$C$4,D93,ROUND(IF($C$3="Fixed Principal",$C$6-Table1[[#This Row],[Interest]],IF($C$3="Interest Only",Table1[[#This Row],[Beginning Balance]]*ROUND(1-(1-IF($C$11="No",$E$8,1))^(1/12),6),MIN(IF($C$13="Yes",Table1[[#This Row],[Payment Amount (Reamortized)]],$C$6)-Table1[[#This Row],[Interest]],Table1[[#This Row],[Beginning Balance]]))),2)))</f>
        <v>9356.2099999999991</v>
      </c>
      <c r="I93" s="3">
        <f>_xlfn.SINGLE(IF($C$3="Line of Credit",0,ROUND(MAX(MIN(IF($C$10="No",$E$7,VLOOKUP(Table1[[#This Row],[Period]],Forecast!$H$2:$L$1048576,4,FALSE))*Table1[[#This Row],[Beginning Balance]],Table1[[#This Row],[Beginning Balance]]-Table1[[#This Row],[Principal]]),0),2)))</f>
        <v>17477.62</v>
      </c>
      <c r="J93" s="3">
        <f>ROUND(MIN(Table1[[#This Row],[Beginning Balance]]*IF($C$8="No",$E$3,VLOOKUP(Table1[[#This Row],[Period]],Forecast!$H$2:$L$1048576,2,FALSE)),Table1[[#This Row],[Beginning Balance]]-Table1[[#This Row],[Principal]]-Table1[[#This Row],[Prepayments]]),2)</f>
        <v>4184.09</v>
      </c>
      <c r="K93" s="3">
        <f>ROUND(Table1[[#This Row],[Defaulted Principal]]*IF($C$9="No",$E$4,VLOOKUP(Table1[[#This Row],[Period]],Forecast!$H$2:$L$1048576,3,FALSE)),2)</f>
        <v>362.74</v>
      </c>
      <c r="L93" s="2">
        <f>Table1[[#This Row],[Period]]+$E$9</f>
        <v>89</v>
      </c>
      <c r="M93" s="3">
        <f>Table1[[#This Row],[Defaulted Principal]]-Table1[[#This Row],[Estimated Loss]]</f>
        <v>3821.3500000000004</v>
      </c>
      <c r="N93" s="3">
        <f>IFERROR(VLOOKUP(Table1[[#This Row],[Period]],$L$16:$M$385,2,FALSE),0)</f>
        <v>4054.1000000000004</v>
      </c>
      <c r="O93" s="3">
        <f>Table1[[#This Row],[Beginning Balance]]-Table1[[#This Row],[Principal]]-Table1[[#This Row],[Prepayments]]-Table1[[#This Row],[Defaulted Principal]]</f>
        <v>6095031.3799999943</v>
      </c>
      <c r="P93" s="3">
        <f>Table1[[#This Row],[Principal]]+Table1[[#This Row],[Interest]]+Table1[[#This Row],[Prepayments]]+Table1[[#This Row],[RecoveredAmount]]</f>
        <v>66878.47</v>
      </c>
      <c r="Q93" s="3">
        <f ca="1">Table1[[#This Row],[Cash Flow]]/((1+ActualRateToUse)^(IF(ISNUMBER(SEARCH("Actual",$C$7)),Table1[[#This Row],[Running Total]]/365,Table1[[#This Row],[Period]]/12)))</f>
        <v>42213.812385443976</v>
      </c>
      <c r="R93" s="2">
        <f>IF(MONTH(Table1[[#This Row],[Date]])=2,28,DAY(DATE(YEAR(Table1[[#This Row],[Date]]),MONTH(Table1[[#This Row],[Date]])+1,1)-1))</f>
        <v>30</v>
      </c>
      <c r="S93" s="2">
        <f ca="1">SUM(OFFSET(Table1[[#Headers],[Days in month]],1,0):Table1[[#This Row],[Days in month]])</f>
        <v>2343</v>
      </c>
      <c r="T93" s="37">
        <f>InterestRate*AmortizationMultiplier*IF(ISNUMBER(SEARCH("Actual",$C$7)),Table1[[#This Row],[Days in month]]/365,1/12)</f>
        <v>5.8749999999999991E-3</v>
      </c>
    </row>
    <row r="94" spans="2:20" x14ac:dyDescent="0.2">
      <c r="B94" s="1">
        <v>48213</v>
      </c>
      <c r="C94" s="2">
        <f t="shared" si="4"/>
        <v>78</v>
      </c>
      <c r="D94" s="3">
        <f t="shared" si="6"/>
        <v>6095031.3799999943</v>
      </c>
      <c r="E94" s="3">
        <f>ROUND(Table1[[#This Row],[Beginning Balance]]*Table1[[#This Row],[Monthly Interest Rate]],2)</f>
        <v>37001.919999999998</v>
      </c>
      <c r="F94" s="3">
        <f t="shared" si="5"/>
        <v>274</v>
      </c>
      <c r="G94" s="23">
        <f>IFERROR(IF($C$13="No","N/A",IF(Table1[[#This Row],[Period]]=1,$C$6,PMT(InterestRate*AmortizationMultiplier/12,Table1[[#This Row],[Am Thru]],-Table1[[#This Row],[Beginning Balance]]))),0)</f>
        <v>45182.464515157866</v>
      </c>
      <c r="H94" s="3">
        <f>MAX(0,IF(C94=$C$4,D94,ROUND(IF($C$3="Fixed Principal",$C$6-Table1[[#This Row],[Interest]],IF($C$3="Interest Only",Table1[[#This Row],[Beginning Balance]]*ROUND(1-(1-IF($C$11="No",$E$8,1))^(1/12),6),MIN(IF($C$13="Yes",Table1[[#This Row],[Payment Amount (Reamortized)]],$C$6)-Table1[[#This Row],[Interest]],Table1[[#This Row],[Beginning Balance]]))),2)))</f>
        <v>8180.54</v>
      </c>
      <c r="I94" s="3">
        <f>_xlfn.SINGLE(IF($C$3="Line of Credit",0,ROUND(MAX(MIN(IF($C$10="No",$E$7,VLOOKUP(Table1[[#This Row],[Period]],Forecast!$H$2:$L$1048576,4,FALSE))*Table1[[#This Row],[Beginning Balance]],Table1[[#This Row],[Beginning Balance]]-Table1[[#This Row],[Principal]]),0),2)))</f>
        <v>17389.12</v>
      </c>
      <c r="J94" s="3">
        <f>ROUND(MIN(Table1[[#This Row],[Beginning Balance]]*IF($C$8="No",$E$3,VLOOKUP(Table1[[#This Row],[Period]],Forecast!$H$2:$L$1048576,2,FALSE)),Table1[[#This Row],[Beginning Balance]]-Table1[[#This Row],[Principal]]-Table1[[#This Row],[Prepayments]]),2)</f>
        <v>4162.91</v>
      </c>
      <c r="K94" s="3">
        <f>ROUND(Table1[[#This Row],[Defaulted Principal]]*IF($C$9="No",$E$4,VLOOKUP(Table1[[#This Row],[Period]],Forecast!$H$2:$L$1048576,3,FALSE)),2)</f>
        <v>360.9</v>
      </c>
      <c r="L94" s="2">
        <f>Table1[[#This Row],[Period]]+$E$9</f>
        <v>90</v>
      </c>
      <c r="M94" s="3">
        <f>Table1[[#This Row],[Defaulted Principal]]-Table1[[#This Row],[Estimated Loss]]</f>
        <v>3802.0099999999998</v>
      </c>
      <c r="N94" s="3">
        <f>IFERROR(VLOOKUP(Table1[[#This Row],[Period]],$L$16:$M$385,2,FALSE),0)</f>
        <v>4034.06</v>
      </c>
      <c r="O94" s="3">
        <f>Table1[[#This Row],[Beginning Balance]]-Table1[[#This Row],[Principal]]-Table1[[#This Row],[Prepayments]]-Table1[[#This Row],[Defaulted Principal]]</f>
        <v>6065298.809999994</v>
      </c>
      <c r="P94" s="3">
        <f>Table1[[#This Row],[Principal]]+Table1[[#This Row],[Interest]]+Table1[[#This Row],[Prepayments]]+Table1[[#This Row],[RecoveredAmount]]</f>
        <v>66605.64</v>
      </c>
      <c r="Q94" s="3">
        <f ca="1">Table1[[#This Row],[Cash Flow]]/((1+ActualRateToUse)^(IF(ISNUMBER(SEARCH("Actual",$C$7)),Table1[[#This Row],[Running Total]]/365,Table1[[#This Row],[Period]]/12)))</f>
        <v>41786.432810214472</v>
      </c>
      <c r="R94" s="2">
        <f>IF(MONTH(Table1[[#This Row],[Date]])=2,28,DAY(DATE(YEAR(Table1[[#This Row],[Date]]),MONTH(Table1[[#This Row],[Date]])+1,1)-1))</f>
        <v>31</v>
      </c>
      <c r="S94" s="2">
        <f ca="1">SUM(OFFSET(Table1[[#Headers],[Days in month]],1,0):Table1[[#This Row],[Days in month]])</f>
        <v>2374</v>
      </c>
      <c r="T94" s="37">
        <f>InterestRate*AmortizationMultiplier*IF(ISNUMBER(SEARCH("Actual",$C$7)),Table1[[#This Row],[Days in month]]/365,1/12)</f>
        <v>6.0708333333333326E-3</v>
      </c>
    </row>
    <row r="95" spans="2:20" x14ac:dyDescent="0.2">
      <c r="B95" s="1">
        <v>48244</v>
      </c>
      <c r="C95" s="2">
        <f t="shared" si="4"/>
        <v>79</v>
      </c>
      <c r="D95" s="3">
        <f t="shared" si="6"/>
        <v>6065298.809999994</v>
      </c>
      <c r="E95" s="3">
        <f>ROUND(Table1[[#This Row],[Beginning Balance]]*Table1[[#This Row],[Monthly Interest Rate]],2)</f>
        <v>36821.42</v>
      </c>
      <c r="F95" s="3">
        <f t="shared" si="5"/>
        <v>273</v>
      </c>
      <c r="G95" s="23">
        <f>IFERROR(IF($C$13="No","N/A",IF(Table1[[#This Row],[Period]]=1,$C$6,PMT(InterestRate*AmortizationMultiplier/12,Table1[[#This Row],[Am Thru]],-Table1[[#This Row],[Beginning Balance]]))),0)</f>
        <v>45027.635339141321</v>
      </c>
      <c r="H95" s="3">
        <f>MAX(0,IF(C95=$C$4,D95,ROUND(IF($C$3="Fixed Principal",$C$6-Table1[[#This Row],[Interest]],IF($C$3="Interest Only",Table1[[#This Row],[Beginning Balance]]*ROUND(1-(1-IF($C$11="No",$E$8,1))^(1/12),6),MIN(IF($C$13="Yes",Table1[[#This Row],[Payment Amount (Reamortized)]],$C$6)-Table1[[#This Row],[Interest]],Table1[[#This Row],[Beginning Balance]]))),2)))</f>
        <v>8206.2199999999993</v>
      </c>
      <c r="I95" s="3">
        <f>_xlfn.SINGLE(IF($C$3="Line of Credit",0,ROUND(MAX(MIN(IF($C$10="No",$E$7,VLOOKUP(Table1[[#This Row],[Period]],Forecast!$H$2:$L$1048576,4,FALSE))*Table1[[#This Row],[Beginning Balance]],Table1[[#This Row],[Beginning Balance]]-Table1[[#This Row],[Principal]]),0),2)))</f>
        <v>17304.3</v>
      </c>
      <c r="J95" s="3">
        <f>ROUND(MIN(Table1[[#This Row],[Beginning Balance]]*IF($C$8="No",$E$3,VLOOKUP(Table1[[#This Row],[Period]],Forecast!$H$2:$L$1048576,2,FALSE)),Table1[[#This Row],[Beginning Balance]]-Table1[[#This Row],[Principal]]-Table1[[#This Row],[Prepayments]]),2)</f>
        <v>4142.6000000000004</v>
      </c>
      <c r="K95" s="3">
        <f>ROUND(Table1[[#This Row],[Defaulted Principal]]*IF($C$9="No",$E$4,VLOOKUP(Table1[[#This Row],[Period]],Forecast!$H$2:$L$1048576,3,FALSE)),2)</f>
        <v>359.14</v>
      </c>
      <c r="L95" s="2">
        <f>Table1[[#This Row],[Period]]+$E$9</f>
        <v>91</v>
      </c>
      <c r="M95" s="3">
        <f>Table1[[#This Row],[Defaulted Principal]]-Table1[[#This Row],[Estimated Loss]]</f>
        <v>3783.4600000000005</v>
      </c>
      <c r="N95" s="3">
        <f>IFERROR(VLOOKUP(Table1[[#This Row],[Period]],$L$16:$M$385,2,FALSE),0)</f>
        <v>4014.8799999999997</v>
      </c>
      <c r="O95" s="3">
        <f>Table1[[#This Row],[Beginning Balance]]-Table1[[#This Row],[Principal]]-Table1[[#This Row],[Prepayments]]-Table1[[#This Row],[Defaulted Principal]]</f>
        <v>6035645.6899999948</v>
      </c>
      <c r="P95" s="3">
        <f>Table1[[#This Row],[Principal]]+Table1[[#This Row],[Interest]]+Table1[[#This Row],[Prepayments]]+Table1[[#This Row],[RecoveredAmount]]</f>
        <v>66346.820000000007</v>
      </c>
      <c r="Q95" s="3">
        <f ca="1">Table1[[#This Row],[Cash Flow]]/((1+ActualRateToUse)^(IF(ISNUMBER(SEARCH("Actual",$C$7)),Table1[[#This Row],[Running Total]]/365,Table1[[#This Row],[Period]]/12)))</f>
        <v>41371.422183677074</v>
      </c>
      <c r="R95" s="2">
        <f>IF(MONTH(Table1[[#This Row],[Date]])=2,28,DAY(DATE(YEAR(Table1[[#This Row],[Date]]),MONTH(Table1[[#This Row],[Date]])+1,1)-1))</f>
        <v>31</v>
      </c>
      <c r="S95" s="2">
        <f ca="1">SUM(OFFSET(Table1[[#Headers],[Days in month]],1,0):Table1[[#This Row],[Days in month]])</f>
        <v>2405</v>
      </c>
      <c r="T95" s="37">
        <f>InterestRate*AmortizationMultiplier*IF(ISNUMBER(SEARCH("Actual",$C$7)),Table1[[#This Row],[Days in month]]/365,1/12)</f>
        <v>6.0708333333333326E-3</v>
      </c>
    </row>
    <row r="96" spans="2:20" x14ac:dyDescent="0.2">
      <c r="B96" s="1">
        <v>48273</v>
      </c>
      <c r="C96" s="2">
        <f t="shared" si="4"/>
        <v>80</v>
      </c>
      <c r="D96" s="3">
        <f t="shared" si="6"/>
        <v>6035645.6899999948</v>
      </c>
      <c r="E96" s="3">
        <f>ROUND(Table1[[#This Row],[Beginning Balance]]*Table1[[#This Row],[Monthly Interest Rate]],2)</f>
        <v>33095.46</v>
      </c>
      <c r="F96" s="3">
        <f t="shared" si="5"/>
        <v>272</v>
      </c>
      <c r="G96" s="23">
        <f>IFERROR(IF($C$13="No","N/A",IF(Table1[[#This Row],[Period]]=1,$C$6,PMT(InterestRate*AmortizationMultiplier/12,Table1[[#This Row],[Am Thru]],-Table1[[#This Row],[Beginning Balance]]))),0)</f>
        <v>44873.334964334594</v>
      </c>
      <c r="H96" s="3">
        <f>MAX(0,IF(C96=$C$4,D96,ROUND(IF($C$3="Fixed Principal",$C$6-Table1[[#This Row],[Interest]],IF($C$3="Interest Only",Table1[[#This Row],[Beginning Balance]]*ROUND(1-(1-IF($C$11="No",$E$8,1))^(1/12),6),MIN(IF($C$13="Yes",Table1[[#This Row],[Payment Amount (Reamortized)]],$C$6)-Table1[[#This Row],[Interest]],Table1[[#This Row],[Beginning Balance]]))),2)))</f>
        <v>11777.87</v>
      </c>
      <c r="I96" s="3">
        <f>_xlfn.SINGLE(IF($C$3="Line of Credit",0,ROUND(MAX(MIN(IF($C$10="No",$E$7,VLOOKUP(Table1[[#This Row],[Period]],Forecast!$H$2:$L$1048576,4,FALSE))*Table1[[#This Row],[Beginning Balance]],Table1[[#This Row],[Beginning Balance]]-Table1[[#This Row],[Principal]]),0),2)))</f>
        <v>17219.7</v>
      </c>
      <c r="J96" s="3">
        <f>ROUND(MIN(Table1[[#This Row],[Beginning Balance]]*IF($C$8="No",$E$3,VLOOKUP(Table1[[#This Row],[Period]],Forecast!$H$2:$L$1048576,2,FALSE)),Table1[[#This Row],[Beginning Balance]]-Table1[[#This Row],[Principal]]-Table1[[#This Row],[Prepayments]]),2)</f>
        <v>4122.3500000000004</v>
      </c>
      <c r="K96" s="3">
        <f>ROUND(Table1[[#This Row],[Defaulted Principal]]*IF($C$9="No",$E$4,VLOOKUP(Table1[[#This Row],[Period]],Forecast!$H$2:$L$1048576,3,FALSE)),2)</f>
        <v>357.38</v>
      </c>
      <c r="L96" s="2">
        <f>Table1[[#This Row],[Period]]+$E$9</f>
        <v>92</v>
      </c>
      <c r="M96" s="3">
        <f>Table1[[#This Row],[Defaulted Principal]]-Table1[[#This Row],[Estimated Loss]]</f>
        <v>3764.9700000000003</v>
      </c>
      <c r="N96" s="3">
        <f>IFERROR(VLOOKUP(Table1[[#This Row],[Period]],$L$16:$M$385,2,FALSE),0)</f>
        <v>3995.75</v>
      </c>
      <c r="O96" s="3">
        <f>Table1[[#This Row],[Beginning Balance]]-Table1[[#This Row],[Principal]]-Table1[[#This Row],[Prepayments]]-Table1[[#This Row],[Defaulted Principal]]</f>
        <v>6002525.7699999949</v>
      </c>
      <c r="P96" s="3">
        <f>Table1[[#This Row],[Principal]]+Table1[[#This Row],[Interest]]+Table1[[#This Row],[Prepayments]]+Table1[[#This Row],[RecoveredAmount]]</f>
        <v>66088.78</v>
      </c>
      <c r="Q96" s="3">
        <f ca="1">Table1[[#This Row],[Cash Flow]]/((1+ActualRateToUse)^(IF(ISNUMBER(SEARCH("Actual",$C$7)),Table1[[#This Row],[Running Total]]/365,Table1[[#This Row],[Period]]/12)))</f>
        <v>40984.532521760775</v>
      </c>
      <c r="R96" s="2">
        <f>IF(MONTH(Table1[[#This Row],[Date]])=2,28,DAY(DATE(YEAR(Table1[[#This Row],[Date]]),MONTH(Table1[[#This Row],[Date]])+1,1)-1))</f>
        <v>28</v>
      </c>
      <c r="S96" s="2">
        <f ca="1">SUM(OFFSET(Table1[[#Headers],[Days in month]],1,0):Table1[[#This Row],[Days in month]])</f>
        <v>2433</v>
      </c>
      <c r="T96" s="37">
        <f>InterestRate*AmortizationMultiplier*IF(ISNUMBER(SEARCH("Actual",$C$7)),Table1[[#This Row],[Days in month]]/365,1/12)</f>
        <v>5.4833333333333331E-3</v>
      </c>
    </row>
    <row r="97" spans="2:20" x14ac:dyDescent="0.2">
      <c r="B97" s="1">
        <v>48304</v>
      </c>
      <c r="C97" s="2">
        <f t="shared" si="4"/>
        <v>81</v>
      </c>
      <c r="D97" s="3">
        <f t="shared" si="6"/>
        <v>6002525.7699999949</v>
      </c>
      <c r="E97" s="3">
        <f>ROUND(Table1[[#This Row],[Beginning Balance]]*Table1[[#This Row],[Monthly Interest Rate]],2)</f>
        <v>36440.33</v>
      </c>
      <c r="F97" s="3">
        <f t="shared" si="5"/>
        <v>271</v>
      </c>
      <c r="G97" s="23">
        <f>IFERROR(IF($C$13="No","N/A",IF(Table1[[#This Row],[Period]]=1,$C$6,PMT(InterestRate*AmortizationMultiplier/12,Table1[[#This Row],[Am Thru]],-Table1[[#This Row],[Beginning Balance]]))),0)</f>
        <v>44693.159608483016</v>
      </c>
      <c r="H97" s="3">
        <f>MAX(0,IF(C97=$C$4,D97,ROUND(IF($C$3="Fixed Principal",$C$6-Table1[[#This Row],[Interest]],IF($C$3="Interest Only",Table1[[#This Row],[Beginning Balance]]*ROUND(1-(1-IF($C$11="No",$E$8,1))^(1/12),6),MIN(IF($C$13="Yes",Table1[[#This Row],[Payment Amount (Reamortized)]],$C$6)-Table1[[#This Row],[Interest]],Table1[[#This Row],[Beginning Balance]]))),2)))</f>
        <v>8252.83</v>
      </c>
      <c r="I97" s="3">
        <f>_xlfn.SINGLE(IF($C$3="Line of Credit",0,ROUND(MAX(MIN(IF($C$10="No",$E$7,VLOOKUP(Table1[[#This Row],[Period]],Forecast!$H$2:$L$1048576,4,FALSE))*Table1[[#This Row],[Beginning Balance]],Table1[[#This Row],[Beginning Balance]]-Table1[[#This Row],[Principal]]),0),2)))</f>
        <v>17125.21</v>
      </c>
      <c r="J97" s="3">
        <f>ROUND(MIN(Table1[[#This Row],[Beginning Balance]]*IF($C$8="No",$E$3,VLOOKUP(Table1[[#This Row],[Period]],Forecast!$H$2:$L$1048576,2,FALSE)),Table1[[#This Row],[Beginning Balance]]-Table1[[#This Row],[Principal]]-Table1[[#This Row],[Prepayments]]),2)</f>
        <v>4099.7299999999996</v>
      </c>
      <c r="K97" s="3">
        <f>ROUND(Table1[[#This Row],[Defaulted Principal]]*IF($C$9="No",$E$4,VLOOKUP(Table1[[#This Row],[Period]],Forecast!$H$2:$L$1048576,3,FALSE)),2)</f>
        <v>355.42</v>
      </c>
      <c r="L97" s="2">
        <f>Table1[[#This Row],[Period]]+$E$9</f>
        <v>93</v>
      </c>
      <c r="M97" s="3">
        <f>Table1[[#This Row],[Defaulted Principal]]-Table1[[#This Row],[Estimated Loss]]</f>
        <v>3744.3099999999995</v>
      </c>
      <c r="N97" s="3">
        <f>IFERROR(VLOOKUP(Table1[[#This Row],[Period]],$L$16:$M$385,2,FALSE),0)</f>
        <v>3974.3199999999997</v>
      </c>
      <c r="O97" s="3">
        <f>Table1[[#This Row],[Beginning Balance]]-Table1[[#This Row],[Principal]]-Table1[[#This Row],[Prepayments]]-Table1[[#This Row],[Defaulted Principal]]</f>
        <v>5973047.9999999944</v>
      </c>
      <c r="P97" s="3">
        <f>Table1[[#This Row],[Principal]]+Table1[[#This Row],[Interest]]+Table1[[#This Row],[Prepayments]]+Table1[[#This Row],[RecoveredAmount]]</f>
        <v>65792.69</v>
      </c>
      <c r="Q97" s="3">
        <f ca="1">Table1[[#This Row],[Cash Flow]]/((1+ActualRateToUse)^(IF(ISNUMBER(SEARCH("Actual",$C$7)),Table1[[#This Row],[Running Total]]/365,Table1[[#This Row],[Period]]/12)))</f>
        <v>40553.275700392063</v>
      </c>
      <c r="R97" s="2">
        <f>IF(MONTH(Table1[[#This Row],[Date]])=2,28,DAY(DATE(YEAR(Table1[[#This Row],[Date]]),MONTH(Table1[[#This Row],[Date]])+1,1)-1))</f>
        <v>31</v>
      </c>
      <c r="S97" s="2">
        <f ca="1">SUM(OFFSET(Table1[[#Headers],[Days in month]],1,0):Table1[[#This Row],[Days in month]])</f>
        <v>2464</v>
      </c>
      <c r="T97" s="37">
        <f>InterestRate*AmortizationMultiplier*IF(ISNUMBER(SEARCH("Actual",$C$7)),Table1[[#This Row],[Days in month]]/365,1/12)</f>
        <v>6.0708333333333326E-3</v>
      </c>
    </row>
    <row r="98" spans="2:20" x14ac:dyDescent="0.2">
      <c r="B98" s="1">
        <v>48334</v>
      </c>
      <c r="C98" s="2">
        <f t="shared" si="4"/>
        <v>82</v>
      </c>
      <c r="D98" s="3">
        <f t="shared" si="6"/>
        <v>5973047.9999999944</v>
      </c>
      <c r="E98" s="3">
        <f>ROUND(Table1[[#This Row],[Beginning Balance]]*Table1[[#This Row],[Monthly Interest Rate]],2)</f>
        <v>35091.660000000003</v>
      </c>
      <c r="F98" s="3">
        <f t="shared" si="5"/>
        <v>270</v>
      </c>
      <c r="G98" s="23">
        <f>IFERROR(IF($C$13="No","N/A",IF(Table1[[#This Row],[Period]]=1,$C$6,PMT(InterestRate*AmortizationMultiplier/12,Table1[[#This Row],[Am Thru]],-Table1[[#This Row],[Beginning Balance]]))),0)</f>
        <v>44540.002002234549</v>
      </c>
      <c r="H98" s="3">
        <f>MAX(0,IF(C98=$C$4,D98,ROUND(IF($C$3="Fixed Principal",$C$6-Table1[[#This Row],[Interest]],IF($C$3="Interest Only",Table1[[#This Row],[Beginning Balance]]*ROUND(1-(1-IF($C$11="No",$E$8,1))^(1/12),6),MIN(IF($C$13="Yes",Table1[[#This Row],[Payment Amount (Reamortized)]],$C$6)-Table1[[#This Row],[Interest]],Table1[[#This Row],[Beginning Balance]]))),2)))</f>
        <v>9448.34</v>
      </c>
      <c r="I98" s="3">
        <f>_xlfn.SINGLE(IF($C$3="Line of Credit",0,ROUND(MAX(MIN(IF($C$10="No",$E$7,VLOOKUP(Table1[[#This Row],[Period]],Forecast!$H$2:$L$1048576,4,FALSE))*Table1[[#This Row],[Beginning Balance]],Table1[[#This Row],[Beginning Balance]]-Table1[[#This Row],[Principal]]),0),2)))</f>
        <v>17041.11</v>
      </c>
      <c r="J98" s="3">
        <f>ROUND(MIN(Table1[[#This Row],[Beginning Balance]]*IF($C$8="No",$E$3,VLOOKUP(Table1[[#This Row],[Period]],Forecast!$H$2:$L$1048576,2,FALSE)),Table1[[#This Row],[Beginning Balance]]-Table1[[#This Row],[Principal]]-Table1[[#This Row],[Prepayments]]),2)</f>
        <v>4079.59</v>
      </c>
      <c r="K98" s="3">
        <f>ROUND(Table1[[#This Row],[Defaulted Principal]]*IF($C$9="No",$E$4,VLOOKUP(Table1[[#This Row],[Period]],Forecast!$H$2:$L$1048576,3,FALSE)),2)</f>
        <v>353.68</v>
      </c>
      <c r="L98" s="2">
        <f>Table1[[#This Row],[Period]]+$E$9</f>
        <v>94</v>
      </c>
      <c r="M98" s="3">
        <f>Table1[[#This Row],[Defaulted Principal]]-Table1[[#This Row],[Estimated Loss]]</f>
        <v>3725.9100000000003</v>
      </c>
      <c r="N98" s="3">
        <f>IFERROR(VLOOKUP(Table1[[#This Row],[Period]],$L$16:$M$385,2,FALSE),0)</f>
        <v>3955.3</v>
      </c>
      <c r="O98" s="3">
        <f>Table1[[#This Row],[Beginning Balance]]-Table1[[#This Row],[Principal]]-Table1[[#This Row],[Prepayments]]-Table1[[#This Row],[Defaulted Principal]]</f>
        <v>5942478.9599999944</v>
      </c>
      <c r="P98" s="3">
        <f>Table1[[#This Row],[Principal]]+Table1[[#This Row],[Interest]]+Table1[[#This Row],[Prepayments]]+Table1[[#This Row],[RecoveredAmount]]</f>
        <v>65536.41</v>
      </c>
      <c r="Q98" s="3">
        <f ca="1">Table1[[#This Row],[Cash Flow]]/((1+ActualRateToUse)^(IF(ISNUMBER(SEARCH("Actual",$C$7)),Table1[[#This Row],[Running Total]]/365,Table1[[#This Row],[Period]]/12)))</f>
        <v>40158.018852303263</v>
      </c>
      <c r="R98" s="2">
        <f>IF(MONTH(Table1[[#This Row],[Date]])=2,28,DAY(DATE(YEAR(Table1[[#This Row],[Date]]),MONTH(Table1[[#This Row],[Date]])+1,1)-1))</f>
        <v>30</v>
      </c>
      <c r="S98" s="2">
        <f ca="1">SUM(OFFSET(Table1[[#Headers],[Days in month]],1,0):Table1[[#This Row],[Days in month]])</f>
        <v>2494</v>
      </c>
      <c r="T98" s="37">
        <f>InterestRate*AmortizationMultiplier*IF(ISNUMBER(SEARCH("Actual",$C$7)),Table1[[#This Row],[Days in month]]/365,1/12)</f>
        <v>5.8749999999999991E-3</v>
      </c>
    </row>
    <row r="99" spans="2:20" x14ac:dyDescent="0.2">
      <c r="B99" s="1">
        <v>48365</v>
      </c>
      <c r="C99" s="2">
        <f t="shared" si="4"/>
        <v>83</v>
      </c>
      <c r="D99" s="3">
        <f t="shared" si="6"/>
        <v>5942478.9599999944</v>
      </c>
      <c r="E99" s="3">
        <f>ROUND(Table1[[#This Row],[Beginning Balance]]*Table1[[#This Row],[Monthly Interest Rate]],2)</f>
        <v>36075.800000000003</v>
      </c>
      <c r="F99" s="3">
        <f t="shared" si="5"/>
        <v>269</v>
      </c>
      <c r="G99" s="23">
        <f>IFERROR(IF($C$13="No","N/A",IF(Table1[[#This Row],[Period]]=1,$C$6,PMT(InterestRate*AmortizationMultiplier/12,Table1[[#This Row],[Am Thru]],-Table1[[#This Row],[Beginning Balance]]))),0)</f>
        <v>44378.632142760805</v>
      </c>
      <c r="H99" s="3">
        <f>MAX(0,IF(C99=$C$4,D99,ROUND(IF($C$3="Fixed Principal",$C$6-Table1[[#This Row],[Interest]],IF($C$3="Interest Only",Table1[[#This Row],[Beginning Balance]]*ROUND(1-(1-IF($C$11="No",$E$8,1))^(1/12),6),MIN(IF($C$13="Yes",Table1[[#This Row],[Payment Amount (Reamortized)]],$C$6)-Table1[[#This Row],[Interest]],Table1[[#This Row],[Beginning Balance]]))),2)))</f>
        <v>8302.83</v>
      </c>
      <c r="I99" s="3">
        <f>_xlfn.SINGLE(IF($C$3="Line of Credit",0,ROUND(MAX(MIN(IF($C$10="No",$E$7,VLOOKUP(Table1[[#This Row],[Period]],Forecast!$H$2:$L$1048576,4,FALSE))*Table1[[#This Row],[Beginning Balance]],Table1[[#This Row],[Beginning Balance]]-Table1[[#This Row],[Principal]]),0),2)))</f>
        <v>16953.89</v>
      </c>
      <c r="J99" s="3">
        <f>ROUND(MIN(Table1[[#This Row],[Beginning Balance]]*IF($C$8="No",$E$3,VLOOKUP(Table1[[#This Row],[Period]],Forecast!$H$2:$L$1048576,2,FALSE)),Table1[[#This Row],[Beginning Balance]]-Table1[[#This Row],[Principal]]-Table1[[#This Row],[Prepayments]]),2)</f>
        <v>4058.71</v>
      </c>
      <c r="K99" s="3">
        <f>ROUND(Table1[[#This Row],[Defaulted Principal]]*IF($C$9="No",$E$4,VLOOKUP(Table1[[#This Row],[Period]],Forecast!$H$2:$L$1048576,3,FALSE)),2)</f>
        <v>351.87</v>
      </c>
      <c r="L99" s="2">
        <f>Table1[[#This Row],[Period]]+$E$9</f>
        <v>95</v>
      </c>
      <c r="M99" s="3">
        <f>Table1[[#This Row],[Defaulted Principal]]-Table1[[#This Row],[Estimated Loss]]</f>
        <v>3706.84</v>
      </c>
      <c r="N99" s="3">
        <f>IFERROR(VLOOKUP(Table1[[#This Row],[Period]],$L$16:$M$385,2,FALSE),0)</f>
        <v>3935.5600000000004</v>
      </c>
      <c r="O99" s="3">
        <f>Table1[[#This Row],[Beginning Balance]]-Table1[[#This Row],[Principal]]-Table1[[#This Row],[Prepayments]]-Table1[[#This Row],[Defaulted Principal]]</f>
        <v>5913163.5299999947</v>
      </c>
      <c r="P99" s="3">
        <f>Table1[[#This Row],[Principal]]+Table1[[#This Row],[Interest]]+Table1[[#This Row],[Prepayments]]+Table1[[#This Row],[RecoveredAmount]]</f>
        <v>65268.08</v>
      </c>
      <c r="Q99" s="3">
        <f ca="1">Table1[[#This Row],[Cash Flow]]/((1+ActualRateToUse)^(IF(ISNUMBER(SEARCH("Actual",$C$7)),Table1[[#This Row],[Running Total]]/365,Table1[[#This Row],[Period]]/12)))</f>
        <v>39750.858704018501</v>
      </c>
      <c r="R99" s="2">
        <f>IF(MONTH(Table1[[#This Row],[Date]])=2,28,DAY(DATE(YEAR(Table1[[#This Row],[Date]]),MONTH(Table1[[#This Row],[Date]])+1,1)-1))</f>
        <v>31</v>
      </c>
      <c r="S99" s="2">
        <f ca="1">SUM(OFFSET(Table1[[#Headers],[Days in month]],1,0):Table1[[#This Row],[Days in month]])</f>
        <v>2525</v>
      </c>
      <c r="T99" s="37">
        <f>InterestRate*AmortizationMultiplier*IF(ISNUMBER(SEARCH("Actual",$C$7)),Table1[[#This Row],[Days in month]]/365,1/12)</f>
        <v>6.0708333333333326E-3</v>
      </c>
    </row>
    <row r="100" spans="2:20" x14ac:dyDescent="0.2">
      <c r="B100" s="1">
        <v>48395</v>
      </c>
      <c r="C100" s="2">
        <f t="shared" si="4"/>
        <v>84</v>
      </c>
      <c r="D100" s="3">
        <f t="shared" si="6"/>
        <v>5913163.5299999947</v>
      </c>
      <c r="E100" s="3">
        <f>ROUND(Table1[[#This Row],[Beginning Balance]]*Table1[[#This Row],[Monthly Interest Rate]],2)</f>
        <v>34739.839999999997</v>
      </c>
      <c r="F100" s="3">
        <f t="shared" si="5"/>
        <v>268</v>
      </c>
      <c r="G100" s="23">
        <f>IFERROR(IF($C$13="No","N/A",IF(Table1[[#This Row],[Period]]=1,$C$6,PMT(InterestRate*AmortizationMultiplier/12,Table1[[#This Row],[Am Thru]],-Table1[[#This Row],[Beginning Balance]]))),0)</f>
        <v>44226.549140759074</v>
      </c>
      <c r="H100" s="3">
        <f>MAX(0,IF(C100=$C$4,D100,ROUND(IF($C$3="Fixed Principal",$C$6-Table1[[#This Row],[Interest]],IF($C$3="Interest Only",Table1[[#This Row],[Beginning Balance]]*ROUND(1-(1-IF($C$11="No",$E$8,1))^(1/12),6),MIN(IF($C$13="Yes",Table1[[#This Row],[Payment Amount (Reamortized)]],$C$6)-Table1[[#This Row],[Interest]],Table1[[#This Row],[Beginning Balance]]))),2)))</f>
        <v>9486.7099999999991</v>
      </c>
      <c r="I100" s="3">
        <f>_xlfn.SINGLE(IF($C$3="Line of Credit",0,ROUND(MAX(MIN(IF($C$10="No",$E$7,VLOOKUP(Table1[[#This Row],[Period]],Forecast!$H$2:$L$1048576,4,FALSE))*Table1[[#This Row],[Beginning Balance]],Table1[[#This Row],[Beginning Balance]]-Table1[[#This Row],[Principal]]),0),2)))</f>
        <v>16870.259999999998</v>
      </c>
      <c r="J100" s="3">
        <f>ROUND(MIN(Table1[[#This Row],[Beginning Balance]]*IF($C$8="No",$E$3,VLOOKUP(Table1[[#This Row],[Period]],Forecast!$H$2:$L$1048576,2,FALSE)),Table1[[#This Row],[Beginning Balance]]-Table1[[#This Row],[Principal]]-Table1[[#This Row],[Prepayments]]),2)</f>
        <v>4038.69</v>
      </c>
      <c r="K100" s="3">
        <f>ROUND(Table1[[#This Row],[Defaulted Principal]]*IF($C$9="No",$E$4,VLOOKUP(Table1[[#This Row],[Period]],Forecast!$H$2:$L$1048576,3,FALSE)),2)</f>
        <v>350.13</v>
      </c>
      <c r="L100" s="2">
        <f>Table1[[#This Row],[Period]]+$E$9</f>
        <v>96</v>
      </c>
      <c r="M100" s="3">
        <f>Table1[[#This Row],[Defaulted Principal]]-Table1[[#This Row],[Estimated Loss]]</f>
        <v>3688.56</v>
      </c>
      <c r="N100" s="3">
        <f>IFERROR(VLOOKUP(Table1[[#This Row],[Period]],$L$16:$M$385,2,FALSE),0)</f>
        <v>3916.6500000000005</v>
      </c>
      <c r="O100" s="3">
        <f>Table1[[#This Row],[Beginning Balance]]-Table1[[#This Row],[Principal]]-Table1[[#This Row],[Prepayments]]-Table1[[#This Row],[Defaulted Principal]]</f>
        <v>5882767.8699999945</v>
      </c>
      <c r="P100" s="3">
        <f>Table1[[#This Row],[Principal]]+Table1[[#This Row],[Interest]]+Table1[[#This Row],[Prepayments]]+Table1[[#This Row],[RecoveredAmount]]</f>
        <v>65013.46</v>
      </c>
      <c r="Q100" s="3">
        <f ca="1">Table1[[#This Row],[Cash Flow]]/((1+ActualRateToUse)^(IF(ISNUMBER(SEARCH("Actual",$C$7)),Table1[[#This Row],[Running Total]]/365,Table1[[#This Row],[Period]]/12)))</f>
        <v>39363.190507309584</v>
      </c>
      <c r="R100" s="2">
        <f>IF(MONTH(Table1[[#This Row],[Date]])=2,28,DAY(DATE(YEAR(Table1[[#This Row],[Date]]),MONTH(Table1[[#This Row],[Date]])+1,1)-1))</f>
        <v>30</v>
      </c>
      <c r="S100" s="2">
        <f ca="1">SUM(OFFSET(Table1[[#Headers],[Days in month]],1,0):Table1[[#This Row],[Days in month]])</f>
        <v>2555</v>
      </c>
      <c r="T100" s="37">
        <f>InterestRate*AmortizationMultiplier*IF(ISNUMBER(SEARCH("Actual",$C$7)),Table1[[#This Row],[Days in month]]/365,1/12)</f>
        <v>5.8749999999999991E-3</v>
      </c>
    </row>
    <row r="101" spans="2:20" x14ac:dyDescent="0.2">
      <c r="B101" s="1">
        <v>48426</v>
      </c>
      <c r="C101" s="2">
        <f t="shared" si="4"/>
        <v>85</v>
      </c>
      <c r="D101" s="3">
        <f t="shared" si="6"/>
        <v>5882767.8699999945</v>
      </c>
      <c r="E101" s="3">
        <f>ROUND(Table1[[#This Row],[Beginning Balance]]*Table1[[#This Row],[Monthly Interest Rate]],2)</f>
        <v>35713.300000000003</v>
      </c>
      <c r="F101" s="3">
        <f t="shared" si="5"/>
        <v>267</v>
      </c>
      <c r="G101" s="23">
        <f>IFERROR(IF($C$13="No","N/A",IF(Table1[[#This Row],[Period]]=1,$C$6,PMT(InterestRate*AmortizationMultiplier/12,Table1[[#This Row],[Am Thru]],-Table1[[#This Row],[Beginning Balance]]))),0)</f>
        <v>44066.311296064538</v>
      </c>
      <c r="H101" s="3">
        <f>MAX(0,IF(C101=$C$4,D101,ROUND(IF($C$3="Fixed Principal",$C$6-Table1[[#This Row],[Interest]],IF($C$3="Interest Only",Table1[[#This Row],[Beginning Balance]]*ROUND(1-(1-IF($C$11="No",$E$8,1))^(1/12),6),MIN(IF($C$13="Yes",Table1[[#This Row],[Payment Amount (Reamortized)]],$C$6)-Table1[[#This Row],[Interest]],Table1[[#This Row],[Beginning Balance]]))),2)))</f>
        <v>8353.01</v>
      </c>
      <c r="I101" s="3">
        <f>_xlfn.SINGLE(IF($C$3="Line of Credit",0,ROUND(MAX(MIN(IF($C$10="No",$E$7,VLOOKUP(Table1[[#This Row],[Period]],Forecast!$H$2:$L$1048576,4,FALSE))*Table1[[#This Row],[Beginning Balance]],Table1[[#This Row],[Beginning Balance]]-Table1[[#This Row],[Principal]]),0),2)))</f>
        <v>16783.54</v>
      </c>
      <c r="J101" s="3">
        <f>ROUND(MIN(Table1[[#This Row],[Beginning Balance]]*IF($C$8="No",$E$3,VLOOKUP(Table1[[#This Row],[Period]],Forecast!$H$2:$L$1048576,2,FALSE)),Table1[[#This Row],[Beginning Balance]]-Table1[[#This Row],[Principal]]-Table1[[#This Row],[Prepayments]]),2)</f>
        <v>4017.93</v>
      </c>
      <c r="K101" s="3">
        <f>ROUND(Table1[[#This Row],[Defaulted Principal]]*IF($C$9="No",$E$4,VLOOKUP(Table1[[#This Row],[Period]],Forecast!$H$2:$L$1048576,3,FALSE)),2)</f>
        <v>348.33</v>
      </c>
      <c r="L101" s="2">
        <f>Table1[[#This Row],[Period]]+$E$9</f>
        <v>97</v>
      </c>
      <c r="M101" s="3">
        <f>Table1[[#This Row],[Defaulted Principal]]-Table1[[#This Row],[Estimated Loss]]</f>
        <v>3669.6</v>
      </c>
      <c r="N101" s="3">
        <f>IFERROR(VLOOKUP(Table1[[#This Row],[Period]],$L$16:$M$385,2,FALSE),0)</f>
        <v>3897.0199999999995</v>
      </c>
      <c r="O101" s="3">
        <f>Table1[[#This Row],[Beginning Balance]]-Table1[[#This Row],[Principal]]-Table1[[#This Row],[Prepayments]]-Table1[[#This Row],[Defaulted Principal]]</f>
        <v>5853613.389999995</v>
      </c>
      <c r="P101" s="3">
        <f>Table1[[#This Row],[Principal]]+Table1[[#This Row],[Interest]]+Table1[[#This Row],[Prepayments]]+Table1[[#This Row],[RecoveredAmount]]</f>
        <v>64746.87</v>
      </c>
      <c r="Q101" s="3">
        <f ca="1">Table1[[#This Row],[Cash Flow]]/((1+ActualRateToUse)^(IF(ISNUMBER(SEARCH("Actual",$C$7)),Table1[[#This Row],[Running Total]]/365,Table1[[#This Row],[Period]]/12)))</f>
        <v>38963.847677952981</v>
      </c>
      <c r="R101" s="2">
        <f>IF(MONTH(Table1[[#This Row],[Date]])=2,28,DAY(DATE(YEAR(Table1[[#This Row],[Date]]),MONTH(Table1[[#This Row],[Date]])+1,1)-1))</f>
        <v>31</v>
      </c>
      <c r="S101" s="2">
        <f ca="1">SUM(OFFSET(Table1[[#Headers],[Days in month]],1,0):Table1[[#This Row],[Days in month]])</f>
        <v>2586</v>
      </c>
      <c r="T101" s="37">
        <f>InterestRate*AmortizationMultiplier*IF(ISNUMBER(SEARCH("Actual",$C$7)),Table1[[#This Row],[Days in month]]/365,1/12)</f>
        <v>6.0708333333333326E-3</v>
      </c>
    </row>
    <row r="102" spans="2:20" x14ac:dyDescent="0.2">
      <c r="B102" s="1">
        <v>48457</v>
      </c>
      <c r="C102" s="2">
        <f t="shared" si="4"/>
        <v>86</v>
      </c>
      <c r="D102" s="3">
        <f t="shared" si="6"/>
        <v>5853613.389999995</v>
      </c>
      <c r="E102" s="3">
        <f>ROUND(Table1[[#This Row],[Beginning Balance]]*Table1[[#This Row],[Monthly Interest Rate]],2)</f>
        <v>35536.31</v>
      </c>
      <c r="F102" s="3">
        <f t="shared" si="5"/>
        <v>266</v>
      </c>
      <c r="G102" s="23">
        <f>IFERROR(IF($C$13="No","N/A",IF(Table1[[#This Row],[Period]]=1,$C$6,PMT(InterestRate*AmortizationMultiplier/12,Table1[[#This Row],[Am Thru]],-Table1[[#This Row],[Beginning Balance]]))),0)</f>
        <v>43915.295066307779</v>
      </c>
      <c r="H102" s="3">
        <f>MAX(0,IF(C102=$C$4,D102,ROUND(IF($C$3="Fixed Principal",$C$6-Table1[[#This Row],[Interest]],IF($C$3="Interest Only",Table1[[#This Row],[Beginning Balance]]*ROUND(1-(1-IF($C$11="No",$E$8,1))^(1/12),6),MIN(IF($C$13="Yes",Table1[[#This Row],[Payment Amount (Reamortized)]],$C$6)-Table1[[#This Row],[Interest]],Table1[[#This Row],[Beginning Balance]]))),2)))</f>
        <v>8378.99</v>
      </c>
      <c r="I102" s="3">
        <f>_xlfn.SINGLE(IF($C$3="Line of Credit",0,ROUND(MAX(MIN(IF($C$10="No",$E$7,VLOOKUP(Table1[[#This Row],[Period]],Forecast!$H$2:$L$1048576,4,FALSE))*Table1[[#This Row],[Beginning Balance]],Table1[[#This Row],[Beginning Balance]]-Table1[[#This Row],[Principal]]),0),2)))</f>
        <v>16700.36</v>
      </c>
      <c r="J102" s="3">
        <f>ROUND(MIN(Table1[[#This Row],[Beginning Balance]]*IF($C$8="No",$E$3,VLOOKUP(Table1[[#This Row],[Period]],Forecast!$H$2:$L$1048576,2,FALSE)),Table1[[#This Row],[Beginning Balance]]-Table1[[#This Row],[Principal]]-Table1[[#This Row],[Prepayments]]),2)</f>
        <v>3998.02</v>
      </c>
      <c r="K102" s="3">
        <f>ROUND(Table1[[#This Row],[Defaulted Principal]]*IF($C$9="No",$E$4,VLOOKUP(Table1[[#This Row],[Period]],Forecast!$H$2:$L$1048576,3,FALSE)),2)</f>
        <v>346.6</v>
      </c>
      <c r="L102" s="2">
        <f>Table1[[#This Row],[Period]]+$E$9</f>
        <v>98</v>
      </c>
      <c r="M102" s="3">
        <f>Table1[[#This Row],[Defaulted Principal]]-Table1[[#This Row],[Estimated Loss]]</f>
        <v>3651.42</v>
      </c>
      <c r="N102" s="3">
        <f>IFERROR(VLOOKUP(Table1[[#This Row],[Period]],$L$16:$M$385,2,FALSE),0)</f>
        <v>3878.2200000000003</v>
      </c>
      <c r="O102" s="3">
        <f>Table1[[#This Row],[Beginning Balance]]-Table1[[#This Row],[Principal]]-Table1[[#This Row],[Prepayments]]-Table1[[#This Row],[Defaulted Principal]]</f>
        <v>5824536.0199999949</v>
      </c>
      <c r="P102" s="3">
        <f>Table1[[#This Row],[Principal]]+Table1[[#This Row],[Interest]]+Table1[[#This Row],[Prepayments]]+Table1[[#This Row],[RecoveredAmount]]</f>
        <v>64493.88</v>
      </c>
      <c r="Q102" s="3">
        <f ca="1">Table1[[#This Row],[Cash Flow]]/((1+ActualRateToUse)^(IF(ISNUMBER(SEARCH("Actual",$C$7)),Table1[[#This Row],[Running Total]]/365,Table1[[#This Row],[Period]]/12)))</f>
        <v>38576.036990458699</v>
      </c>
      <c r="R102" s="2">
        <f>IF(MONTH(Table1[[#This Row],[Date]])=2,28,DAY(DATE(YEAR(Table1[[#This Row],[Date]]),MONTH(Table1[[#This Row],[Date]])+1,1)-1))</f>
        <v>31</v>
      </c>
      <c r="S102" s="2">
        <f ca="1">SUM(OFFSET(Table1[[#Headers],[Days in month]],1,0):Table1[[#This Row],[Days in month]])</f>
        <v>2617</v>
      </c>
      <c r="T102" s="37">
        <f>InterestRate*AmortizationMultiplier*IF(ISNUMBER(SEARCH("Actual",$C$7)),Table1[[#This Row],[Days in month]]/365,1/12)</f>
        <v>6.0708333333333326E-3</v>
      </c>
    </row>
    <row r="103" spans="2:20" x14ac:dyDescent="0.2">
      <c r="B103" s="1">
        <v>48487</v>
      </c>
      <c r="C103" s="2">
        <f t="shared" si="4"/>
        <v>87</v>
      </c>
      <c r="D103" s="3">
        <f t="shared" si="6"/>
        <v>5824536.0199999949</v>
      </c>
      <c r="E103" s="3">
        <f>ROUND(Table1[[#This Row],[Beginning Balance]]*Table1[[#This Row],[Monthly Interest Rate]],2)</f>
        <v>34219.15</v>
      </c>
      <c r="F103" s="3">
        <f t="shared" si="5"/>
        <v>265</v>
      </c>
      <c r="G103" s="23">
        <f>IFERROR(IF($C$13="No","N/A",IF(Table1[[#This Row],[Period]]=1,$C$6,PMT(InterestRate*AmortizationMultiplier/12,Table1[[#This Row],[Am Thru]],-Table1[[#This Row],[Beginning Balance]]))),0)</f>
        <v>43764.794603820512</v>
      </c>
      <c r="H103" s="3">
        <f>MAX(0,IF(C103=$C$4,D103,ROUND(IF($C$3="Fixed Principal",$C$6-Table1[[#This Row],[Interest]],IF($C$3="Interest Only",Table1[[#This Row],[Beginning Balance]]*ROUND(1-(1-IF($C$11="No",$E$8,1))^(1/12),6),MIN(IF($C$13="Yes",Table1[[#This Row],[Payment Amount (Reamortized)]],$C$6)-Table1[[#This Row],[Interest]],Table1[[#This Row],[Beginning Balance]]))),2)))</f>
        <v>9545.64</v>
      </c>
      <c r="I103" s="3">
        <f>_xlfn.SINGLE(IF($C$3="Line of Credit",0,ROUND(MAX(MIN(IF($C$10="No",$E$7,VLOOKUP(Table1[[#This Row],[Period]],Forecast!$H$2:$L$1048576,4,FALSE))*Table1[[#This Row],[Beginning Balance]],Table1[[#This Row],[Beginning Balance]]-Table1[[#This Row],[Principal]]),0),2)))</f>
        <v>16617.400000000001</v>
      </c>
      <c r="J103" s="3">
        <f>ROUND(MIN(Table1[[#This Row],[Beginning Balance]]*IF($C$8="No",$E$3,VLOOKUP(Table1[[#This Row],[Period]],Forecast!$H$2:$L$1048576,2,FALSE)),Table1[[#This Row],[Beginning Balance]]-Table1[[#This Row],[Principal]]-Table1[[#This Row],[Prepayments]]),2)</f>
        <v>3978.16</v>
      </c>
      <c r="K103" s="3">
        <f>ROUND(Table1[[#This Row],[Defaulted Principal]]*IF($C$9="No",$E$4,VLOOKUP(Table1[[#This Row],[Period]],Forecast!$H$2:$L$1048576,3,FALSE)),2)</f>
        <v>344.88</v>
      </c>
      <c r="L103" s="2">
        <f>Table1[[#This Row],[Period]]+$E$9</f>
        <v>99</v>
      </c>
      <c r="M103" s="3">
        <f>Table1[[#This Row],[Defaulted Principal]]-Table1[[#This Row],[Estimated Loss]]</f>
        <v>3633.2799999999997</v>
      </c>
      <c r="N103" s="3">
        <f>IFERROR(VLOOKUP(Table1[[#This Row],[Period]],$L$16:$M$385,2,FALSE),0)</f>
        <v>3859.47</v>
      </c>
      <c r="O103" s="3">
        <f>Table1[[#This Row],[Beginning Balance]]-Table1[[#This Row],[Principal]]-Table1[[#This Row],[Prepayments]]-Table1[[#This Row],[Defaulted Principal]]</f>
        <v>5794394.8199999947</v>
      </c>
      <c r="P103" s="3">
        <f>Table1[[#This Row],[Principal]]+Table1[[#This Row],[Interest]]+Table1[[#This Row],[Prepayments]]+Table1[[#This Row],[RecoveredAmount]]</f>
        <v>64241.66</v>
      </c>
      <c r="Q103" s="3">
        <f ca="1">Table1[[#This Row],[Cash Flow]]/((1+ActualRateToUse)^(IF(ISNUMBER(SEARCH("Actual",$C$7)),Table1[[#This Row],[Running Total]]/365,Table1[[#This Row],[Period]]/12)))</f>
        <v>38199.457359933484</v>
      </c>
      <c r="R103" s="2">
        <f>IF(MONTH(Table1[[#This Row],[Date]])=2,28,DAY(DATE(YEAR(Table1[[#This Row],[Date]]),MONTH(Table1[[#This Row],[Date]])+1,1)-1))</f>
        <v>30</v>
      </c>
      <c r="S103" s="2">
        <f ca="1">SUM(OFFSET(Table1[[#Headers],[Days in month]],1,0):Table1[[#This Row],[Days in month]])</f>
        <v>2647</v>
      </c>
      <c r="T103" s="37">
        <f>InterestRate*AmortizationMultiplier*IF(ISNUMBER(SEARCH("Actual",$C$7)),Table1[[#This Row],[Days in month]]/365,1/12)</f>
        <v>5.8749999999999991E-3</v>
      </c>
    </row>
    <row r="104" spans="2:20" x14ac:dyDescent="0.2">
      <c r="B104" s="1">
        <v>48518</v>
      </c>
      <c r="C104" s="2">
        <f t="shared" si="4"/>
        <v>88</v>
      </c>
      <c r="D104" s="3">
        <f t="shared" si="6"/>
        <v>5794394.8199999947</v>
      </c>
      <c r="E104" s="3">
        <f>ROUND(Table1[[#This Row],[Beginning Balance]]*Table1[[#This Row],[Monthly Interest Rate]],2)</f>
        <v>35176.81</v>
      </c>
      <c r="F104" s="3">
        <f t="shared" si="5"/>
        <v>264</v>
      </c>
      <c r="G104" s="23">
        <f>IFERROR(IF($C$13="No","N/A",IF(Table1[[#This Row],[Period]]=1,$C$6,PMT(InterestRate*AmortizationMultiplier/12,Table1[[#This Row],[Am Thru]],-Table1[[#This Row],[Beginning Balance]]))),0)</f>
        <v>43606.224304007344</v>
      </c>
      <c r="H104" s="3">
        <f>MAX(0,IF(C104=$C$4,D104,ROUND(IF($C$3="Fixed Principal",$C$6-Table1[[#This Row],[Interest]],IF($C$3="Interest Only",Table1[[#This Row],[Beginning Balance]]*ROUND(1-(1-IF($C$11="No",$E$8,1))^(1/12),6),MIN(IF($C$13="Yes",Table1[[#This Row],[Payment Amount (Reamortized)]],$C$6)-Table1[[#This Row],[Interest]],Table1[[#This Row],[Beginning Balance]]))),2)))</f>
        <v>8429.41</v>
      </c>
      <c r="I104" s="3">
        <f>_xlfn.SINGLE(IF($C$3="Line of Credit",0,ROUND(MAX(MIN(IF($C$10="No",$E$7,VLOOKUP(Table1[[#This Row],[Period]],Forecast!$H$2:$L$1048576,4,FALSE))*Table1[[#This Row],[Beginning Balance]],Table1[[#This Row],[Beginning Balance]]-Table1[[#This Row],[Principal]]),0),2)))</f>
        <v>16531.41</v>
      </c>
      <c r="J104" s="3">
        <f>ROUND(MIN(Table1[[#This Row],[Beginning Balance]]*IF($C$8="No",$E$3,VLOOKUP(Table1[[#This Row],[Period]],Forecast!$H$2:$L$1048576,2,FALSE)),Table1[[#This Row],[Beginning Balance]]-Table1[[#This Row],[Principal]]-Table1[[#This Row],[Prepayments]]),2)</f>
        <v>3957.57</v>
      </c>
      <c r="K104" s="3">
        <f>ROUND(Table1[[#This Row],[Defaulted Principal]]*IF($C$9="No",$E$4,VLOOKUP(Table1[[#This Row],[Period]],Forecast!$H$2:$L$1048576,3,FALSE)),2)</f>
        <v>343.1</v>
      </c>
      <c r="L104" s="2">
        <f>Table1[[#This Row],[Period]]+$E$9</f>
        <v>100</v>
      </c>
      <c r="M104" s="3">
        <f>Table1[[#This Row],[Defaulted Principal]]-Table1[[#This Row],[Estimated Loss]]</f>
        <v>3614.4700000000003</v>
      </c>
      <c r="N104" s="3">
        <f>IFERROR(VLOOKUP(Table1[[#This Row],[Period]],$L$16:$M$385,2,FALSE),0)</f>
        <v>3840</v>
      </c>
      <c r="O104" s="3">
        <f>Table1[[#This Row],[Beginning Balance]]-Table1[[#This Row],[Principal]]-Table1[[#This Row],[Prepayments]]-Table1[[#This Row],[Defaulted Principal]]</f>
        <v>5765476.4299999941</v>
      </c>
      <c r="P104" s="3">
        <f>Table1[[#This Row],[Principal]]+Table1[[#This Row],[Interest]]+Table1[[#This Row],[Prepayments]]+Table1[[#This Row],[RecoveredAmount]]</f>
        <v>63977.630000000005</v>
      </c>
      <c r="Q104" s="3">
        <f ca="1">Table1[[#This Row],[Cash Flow]]/((1+ActualRateToUse)^(IF(ISNUMBER(SEARCH("Actual",$C$7)),Table1[[#This Row],[Running Total]]/365,Table1[[#This Row],[Period]]/12)))</f>
        <v>37811.563259539384</v>
      </c>
      <c r="R104" s="2">
        <f>IF(MONTH(Table1[[#This Row],[Date]])=2,28,DAY(DATE(YEAR(Table1[[#This Row],[Date]]),MONTH(Table1[[#This Row],[Date]])+1,1)-1))</f>
        <v>31</v>
      </c>
      <c r="S104" s="2">
        <f ca="1">SUM(OFFSET(Table1[[#Headers],[Days in month]],1,0):Table1[[#This Row],[Days in month]])</f>
        <v>2678</v>
      </c>
      <c r="T104" s="37">
        <f>InterestRate*AmortizationMultiplier*IF(ISNUMBER(SEARCH("Actual",$C$7)),Table1[[#This Row],[Days in month]]/365,1/12)</f>
        <v>6.0708333333333326E-3</v>
      </c>
    </row>
    <row r="105" spans="2:20" x14ac:dyDescent="0.2">
      <c r="B105" s="1">
        <v>48548</v>
      </c>
      <c r="C105" s="2">
        <f t="shared" si="4"/>
        <v>89</v>
      </c>
      <c r="D105" s="3">
        <f t="shared" si="6"/>
        <v>5765476.4299999941</v>
      </c>
      <c r="E105" s="3">
        <f>ROUND(Table1[[#This Row],[Beginning Balance]]*Table1[[#This Row],[Monthly Interest Rate]],2)</f>
        <v>33872.17</v>
      </c>
      <c r="F105" s="3">
        <f t="shared" si="5"/>
        <v>263</v>
      </c>
      <c r="G105" s="23">
        <f>IFERROR(IF($C$13="No","N/A",IF(Table1[[#This Row],[Period]]=1,$C$6,PMT(InterestRate*AmortizationMultiplier/12,Table1[[#This Row],[Am Thru]],-Table1[[#This Row],[Beginning Balance]]))),0)</f>
        <v>43456.779692226875</v>
      </c>
      <c r="H105" s="3">
        <f>MAX(0,IF(C105=$C$4,D105,ROUND(IF($C$3="Fixed Principal",$C$6-Table1[[#This Row],[Interest]],IF($C$3="Interest Only",Table1[[#This Row],[Beginning Balance]]*ROUND(1-(1-IF($C$11="No",$E$8,1))^(1/12),6),MIN(IF($C$13="Yes",Table1[[#This Row],[Payment Amount (Reamortized)]],$C$6)-Table1[[#This Row],[Interest]],Table1[[#This Row],[Beginning Balance]]))),2)))</f>
        <v>9584.61</v>
      </c>
      <c r="I105" s="3">
        <f>_xlfn.SINGLE(IF($C$3="Line of Credit",0,ROUND(MAX(MIN(IF($C$10="No",$E$7,VLOOKUP(Table1[[#This Row],[Period]],Forecast!$H$2:$L$1048576,4,FALSE))*Table1[[#This Row],[Beginning Balance]],Table1[[#This Row],[Beginning Balance]]-Table1[[#This Row],[Principal]]),0),2)))</f>
        <v>16448.900000000001</v>
      </c>
      <c r="J105" s="3">
        <f>ROUND(MIN(Table1[[#This Row],[Beginning Balance]]*IF($C$8="No",$E$3,VLOOKUP(Table1[[#This Row],[Period]],Forecast!$H$2:$L$1048576,2,FALSE)),Table1[[#This Row],[Beginning Balance]]-Table1[[#This Row],[Principal]]-Table1[[#This Row],[Prepayments]]),2)</f>
        <v>3937.82</v>
      </c>
      <c r="K105" s="3">
        <f>ROUND(Table1[[#This Row],[Defaulted Principal]]*IF($C$9="No",$E$4,VLOOKUP(Table1[[#This Row],[Period]],Forecast!$H$2:$L$1048576,3,FALSE)),2)</f>
        <v>341.39</v>
      </c>
      <c r="L105" s="2">
        <f>Table1[[#This Row],[Period]]+$E$9</f>
        <v>101</v>
      </c>
      <c r="M105" s="3">
        <f>Table1[[#This Row],[Defaulted Principal]]-Table1[[#This Row],[Estimated Loss]]</f>
        <v>3596.4300000000003</v>
      </c>
      <c r="N105" s="3">
        <f>IFERROR(VLOOKUP(Table1[[#This Row],[Period]],$L$16:$M$385,2,FALSE),0)</f>
        <v>3821.3500000000004</v>
      </c>
      <c r="O105" s="3">
        <f>Table1[[#This Row],[Beginning Balance]]-Table1[[#This Row],[Principal]]-Table1[[#This Row],[Prepayments]]-Table1[[#This Row],[Defaulted Principal]]</f>
        <v>5735505.0999999931</v>
      </c>
      <c r="P105" s="3">
        <f>Table1[[#This Row],[Principal]]+Table1[[#This Row],[Interest]]+Table1[[#This Row],[Prepayments]]+Table1[[#This Row],[RecoveredAmount]]</f>
        <v>63727.03</v>
      </c>
      <c r="Q105" s="3">
        <f ca="1">Table1[[#This Row],[Cash Flow]]/((1+ActualRateToUse)^(IF(ISNUMBER(SEARCH("Actual",$C$7)),Table1[[#This Row],[Running Total]]/365,Table1[[#This Row],[Period]]/12)))</f>
        <v>37442.212041614126</v>
      </c>
      <c r="R105" s="2">
        <f>IF(MONTH(Table1[[#This Row],[Date]])=2,28,DAY(DATE(YEAR(Table1[[#This Row],[Date]]),MONTH(Table1[[#This Row],[Date]])+1,1)-1))</f>
        <v>30</v>
      </c>
      <c r="S105" s="2">
        <f ca="1">SUM(OFFSET(Table1[[#Headers],[Days in month]],1,0):Table1[[#This Row],[Days in month]])</f>
        <v>2708</v>
      </c>
      <c r="T105" s="37">
        <f>InterestRate*AmortizationMultiplier*IF(ISNUMBER(SEARCH("Actual",$C$7)),Table1[[#This Row],[Days in month]]/365,1/12)</f>
        <v>5.8749999999999991E-3</v>
      </c>
    </row>
    <row r="106" spans="2:20" x14ac:dyDescent="0.2">
      <c r="B106" s="1">
        <v>48579</v>
      </c>
      <c r="C106" s="2">
        <f t="shared" si="4"/>
        <v>90</v>
      </c>
      <c r="D106" s="3">
        <f t="shared" si="6"/>
        <v>5735505.0999999931</v>
      </c>
      <c r="E106" s="3">
        <f>ROUND(Table1[[#This Row],[Beginning Balance]]*Table1[[#This Row],[Monthly Interest Rate]],2)</f>
        <v>34819.300000000003</v>
      </c>
      <c r="F106" s="3">
        <f t="shared" si="5"/>
        <v>262</v>
      </c>
      <c r="G106" s="23">
        <f>IFERROR(IF($C$13="No","N/A",IF(Table1[[#This Row],[Period]]=1,$C$6,PMT(InterestRate*AmortizationMultiplier/12,Table1[[#This Row],[Am Thru]],-Table1[[#This Row],[Beginning Balance]]))),0)</f>
        <v>43299.321656935841</v>
      </c>
      <c r="H106" s="3">
        <f>MAX(0,IF(C106=$C$4,D106,ROUND(IF($C$3="Fixed Principal",$C$6-Table1[[#This Row],[Interest]],IF($C$3="Interest Only",Table1[[#This Row],[Beginning Balance]]*ROUND(1-(1-IF($C$11="No",$E$8,1))^(1/12),6),MIN(IF($C$13="Yes",Table1[[#This Row],[Payment Amount (Reamortized)]],$C$6)-Table1[[#This Row],[Interest]],Table1[[#This Row],[Beginning Balance]]))),2)))</f>
        <v>8480.02</v>
      </c>
      <c r="I106" s="3">
        <f>_xlfn.SINGLE(IF($C$3="Line of Credit",0,ROUND(MAX(MIN(IF($C$10="No",$E$7,VLOOKUP(Table1[[#This Row],[Period]],Forecast!$H$2:$L$1048576,4,FALSE))*Table1[[#This Row],[Beginning Balance]],Table1[[#This Row],[Beginning Balance]]-Table1[[#This Row],[Principal]]),0),2)))</f>
        <v>16363.4</v>
      </c>
      <c r="J106" s="3">
        <f>ROUND(MIN(Table1[[#This Row],[Beginning Balance]]*IF($C$8="No",$E$3,VLOOKUP(Table1[[#This Row],[Period]],Forecast!$H$2:$L$1048576,2,FALSE)),Table1[[#This Row],[Beginning Balance]]-Table1[[#This Row],[Principal]]-Table1[[#This Row],[Prepayments]]),2)</f>
        <v>3917.35</v>
      </c>
      <c r="K106" s="3">
        <f>ROUND(Table1[[#This Row],[Defaulted Principal]]*IF($C$9="No",$E$4,VLOOKUP(Table1[[#This Row],[Period]],Forecast!$H$2:$L$1048576,3,FALSE)),2)</f>
        <v>339.61</v>
      </c>
      <c r="L106" s="2">
        <f>Table1[[#This Row],[Period]]+$E$9</f>
        <v>102</v>
      </c>
      <c r="M106" s="3">
        <f>Table1[[#This Row],[Defaulted Principal]]-Table1[[#This Row],[Estimated Loss]]</f>
        <v>3577.74</v>
      </c>
      <c r="N106" s="3">
        <f>IFERROR(VLOOKUP(Table1[[#This Row],[Period]],$L$16:$M$385,2,FALSE),0)</f>
        <v>3802.0099999999998</v>
      </c>
      <c r="O106" s="3">
        <f>Table1[[#This Row],[Beginning Balance]]-Table1[[#This Row],[Principal]]-Table1[[#This Row],[Prepayments]]-Table1[[#This Row],[Defaulted Principal]]</f>
        <v>5706744.3299999936</v>
      </c>
      <c r="P106" s="3">
        <f>Table1[[#This Row],[Principal]]+Table1[[#This Row],[Interest]]+Table1[[#This Row],[Prepayments]]+Table1[[#This Row],[RecoveredAmount]]</f>
        <v>63464.73000000001</v>
      </c>
      <c r="Q106" s="3">
        <f ca="1">Table1[[#This Row],[Cash Flow]]/((1+ActualRateToUse)^(IF(ISNUMBER(SEARCH("Actual",$C$7)),Table1[[#This Row],[Running Total]]/365,Table1[[#This Row],[Period]]/12)))</f>
        <v>37061.782452816275</v>
      </c>
      <c r="R106" s="2">
        <f>IF(MONTH(Table1[[#This Row],[Date]])=2,28,DAY(DATE(YEAR(Table1[[#This Row],[Date]]),MONTH(Table1[[#This Row],[Date]])+1,1)-1))</f>
        <v>31</v>
      </c>
      <c r="S106" s="2">
        <f ca="1">SUM(OFFSET(Table1[[#Headers],[Days in month]],1,0):Table1[[#This Row],[Days in month]])</f>
        <v>2739</v>
      </c>
      <c r="T106" s="37">
        <f>InterestRate*AmortizationMultiplier*IF(ISNUMBER(SEARCH("Actual",$C$7)),Table1[[#This Row],[Days in month]]/365,1/12)</f>
        <v>6.0708333333333326E-3</v>
      </c>
    </row>
    <row r="107" spans="2:20" x14ac:dyDescent="0.2">
      <c r="B107" s="1">
        <v>48610</v>
      </c>
      <c r="C107" s="2">
        <f t="shared" si="4"/>
        <v>91</v>
      </c>
      <c r="D107" s="3">
        <f t="shared" si="6"/>
        <v>5706744.3299999936</v>
      </c>
      <c r="E107" s="3">
        <f>ROUND(Table1[[#This Row],[Beginning Balance]]*Table1[[#This Row],[Monthly Interest Rate]],2)</f>
        <v>34644.69</v>
      </c>
      <c r="F107" s="3">
        <f t="shared" si="5"/>
        <v>261</v>
      </c>
      <c r="G107" s="23">
        <f>IFERROR(IF($C$13="No","N/A",IF(Table1[[#This Row],[Period]]=1,$C$6,PMT(InterestRate*AmortizationMultiplier/12,Table1[[#This Row],[Am Thru]],-Table1[[#This Row],[Beginning Balance]]))),0)</f>
        <v>43150.925259459269</v>
      </c>
      <c r="H107" s="3">
        <f>MAX(0,IF(C107=$C$4,D107,ROUND(IF($C$3="Fixed Principal",$C$6-Table1[[#This Row],[Interest]],IF($C$3="Interest Only",Table1[[#This Row],[Beginning Balance]]*ROUND(1-(1-IF($C$11="No",$E$8,1))^(1/12),6),MIN(IF($C$13="Yes",Table1[[#This Row],[Payment Amount (Reamortized)]],$C$6)-Table1[[#This Row],[Interest]],Table1[[#This Row],[Beginning Balance]]))),2)))</f>
        <v>8506.24</v>
      </c>
      <c r="I107" s="3">
        <f>_xlfn.SINGLE(IF($C$3="Line of Credit",0,ROUND(MAX(MIN(IF($C$10="No",$E$7,VLOOKUP(Table1[[#This Row],[Period]],Forecast!$H$2:$L$1048576,4,FALSE))*Table1[[#This Row],[Beginning Balance]],Table1[[#This Row],[Beginning Balance]]-Table1[[#This Row],[Principal]]),0),2)))</f>
        <v>16281.34</v>
      </c>
      <c r="J107" s="3">
        <f>ROUND(MIN(Table1[[#This Row],[Beginning Balance]]*IF($C$8="No",$E$3,VLOOKUP(Table1[[#This Row],[Period]],Forecast!$H$2:$L$1048576,2,FALSE)),Table1[[#This Row],[Beginning Balance]]-Table1[[#This Row],[Principal]]-Table1[[#This Row],[Prepayments]]),2)</f>
        <v>3897.71</v>
      </c>
      <c r="K107" s="3">
        <f>ROUND(Table1[[#This Row],[Defaulted Principal]]*IF($C$9="No",$E$4,VLOOKUP(Table1[[#This Row],[Period]],Forecast!$H$2:$L$1048576,3,FALSE)),2)</f>
        <v>337.91</v>
      </c>
      <c r="L107" s="2">
        <f>Table1[[#This Row],[Period]]+$E$9</f>
        <v>103</v>
      </c>
      <c r="M107" s="3">
        <f>Table1[[#This Row],[Defaulted Principal]]-Table1[[#This Row],[Estimated Loss]]</f>
        <v>3559.8</v>
      </c>
      <c r="N107" s="3">
        <f>IFERROR(VLOOKUP(Table1[[#This Row],[Period]],$L$16:$M$385,2,FALSE),0)</f>
        <v>3783.4600000000005</v>
      </c>
      <c r="O107" s="3">
        <f>Table1[[#This Row],[Beginning Balance]]-Table1[[#This Row],[Principal]]-Table1[[#This Row],[Prepayments]]-Table1[[#This Row],[Defaulted Principal]]</f>
        <v>5678059.0399999935</v>
      </c>
      <c r="P107" s="3">
        <f>Table1[[#This Row],[Principal]]+Table1[[#This Row],[Interest]]+Table1[[#This Row],[Prepayments]]+Table1[[#This Row],[RecoveredAmount]]</f>
        <v>63215.73</v>
      </c>
      <c r="Q107" s="3">
        <f ca="1">Table1[[#This Row],[Cash Flow]]/((1+ActualRateToUse)^(IF(ISNUMBER(SEARCH("Actual",$C$7)),Table1[[#This Row],[Running Total]]/365,Table1[[#This Row],[Period]]/12)))</f>
        <v>36692.311271758976</v>
      </c>
      <c r="R107" s="2">
        <f>IF(MONTH(Table1[[#This Row],[Date]])=2,28,DAY(DATE(YEAR(Table1[[#This Row],[Date]]),MONTH(Table1[[#This Row],[Date]])+1,1)-1))</f>
        <v>31</v>
      </c>
      <c r="S107" s="2">
        <f ca="1">SUM(OFFSET(Table1[[#Headers],[Days in month]],1,0):Table1[[#This Row],[Days in month]])</f>
        <v>2770</v>
      </c>
      <c r="T107" s="37">
        <f>InterestRate*AmortizationMultiplier*IF(ISNUMBER(SEARCH("Actual",$C$7)),Table1[[#This Row],[Days in month]]/365,1/12)</f>
        <v>6.0708333333333326E-3</v>
      </c>
    </row>
    <row r="108" spans="2:20" x14ac:dyDescent="0.2">
      <c r="B108" s="1">
        <v>48638</v>
      </c>
      <c r="C108" s="2">
        <f t="shared" si="4"/>
        <v>92</v>
      </c>
      <c r="D108" s="3">
        <f t="shared" si="6"/>
        <v>5678059.0399999935</v>
      </c>
      <c r="E108" s="3">
        <f>ROUND(Table1[[#This Row],[Beginning Balance]]*Table1[[#This Row],[Monthly Interest Rate]],2)</f>
        <v>31134.69</v>
      </c>
      <c r="F108" s="3">
        <f t="shared" si="5"/>
        <v>260</v>
      </c>
      <c r="G108" s="23">
        <f>IFERROR(IF($C$13="No","N/A",IF(Table1[[#This Row],[Period]]=1,$C$6,PMT(InterestRate*AmortizationMultiplier/12,Table1[[#This Row],[Am Thru]],-Table1[[#This Row],[Beginning Balance]]))),0)</f>
        <v>43003.035569837542</v>
      </c>
      <c r="H108" s="3">
        <f>MAX(0,IF(C108=$C$4,D108,ROUND(IF($C$3="Fixed Principal",$C$6-Table1[[#This Row],[Interest]],IF($C$3="Interest Only",Table1[[#This Row],[Beginning Balance]]*ROUND(1-(1-IF($C$11="No",$E$8,1))^(1/12),6),MIN(IF($C$13="Yes",Table1[[#This Row],[Payment Amount (Reamortized)]],$C$6)-Table1[[#This Row],[Interest]],Table1[[#This Row],[Beginning Balance]]))),2)))</f>
        <v>11868.35</v>
      </c>
      <c r="I108" s="3">
        <f>_xlfn.SINGLE(IF($C$3="Line of Credit",0,ROUND(MAX(MIN(IF($C$10="No",$E$7,VLOOKUP(Table1[[#This Row],[Period]],Forecast!$H$2:$L$1048576,4,FALSE))*Table1[[#This Row],[Beginning Balance]],Table1[[#This Row],[Beginning Balance]]-Table1[[#This Row],[Principal]]),0),2)))</f>
        <v>16199.5</v>
      </c>
      <c r="J108" s="3">
        <f>ROUND(MIN(Table1[[#This Row],[Beginning Balance]]*IF($C$8="No",$E$3,VLOOKUP(Table1[[#This Row],[Period]],Forecast!$H$2:$L$1048576,2,FALSE)),Table1[[#This Row],[Beginning Balance]]-Table1[[#This Row],[Principal]]-Table1[[#This Row],[Prepayments]]),2)</f>
        <v>3878.11</v>
      </c>
      <c r="K108" s="3">
        <f>ROUND(Table1[[#This Row],[Defaulted Principal]]*IF($C$9="No",$E$4,VLOOKUP(Table1[[#This Row],[Period]],Forecast!$H$2:$L$1048576,3,FALSE)),2)</f>
        <v>336.21</v>
      </c>
      <c r="L108" s="2">
        <f>Table1[[#This Row],[Period]]+$E$9</f>
        <v>104</v>
      </c>
      <c r="M108" s="3">
        <f>Table1[[#This Row],[Defaulted Principal]]-Table1[[#This Row],[Estimated Loss]]</f>
        <v>3541.9</v>
      </c>
      <c r="N108" s="3">
        <f>IFERROR(VLOOKUP(Table1[[#This Row],[Period]],$L$16:$M$385,2,FALSE),0)</f>
        <v>3764.9700000000003</v>
      </c>
      <c r="O108" s="3">
        <f>Table1[[#This Row],[Beginning Balance]]-Table1[[#This Row],[Principal]]-Table1[[#This Row],[Prepayments]]-Table1[[#This Row],[Defaulted Principal]]</f>
        <v>5646113.0799999936</v>
      </c>
      <c r="P108" s="3">
        <f>Table1[[#This Row],[Principal]]+Table1[[#This Row],[Interest]]+Table1[[#This Row],[Prepayments]]+Table1[[#This Row],[RecoveredAmount]]</f>
        <v>62967.51</v>
      </c>
      <c r="Q108" s="3">
        <f ca="1">Table1[[#This Row],[Cash Flow]]/((1+ActualRateToUse)^(IF(ISNUMBER(SEARCH("Actual",$C$7)),Table1[[#This Row],[Running Total]]/365,Table1[[#This Row],[Period]]/12)))</f>
        <v>36347.817928856792</v>
      </c>
      <c r="R108" s="2">
        <f>IF(MONTH(Table1[[#This Row],[Date]])=2,28,DAY(DATE(YEAR(Table1[[#This Row],[Date]]),MONTH(Table1[[#This Row],[Date]])+1,1)-1))</f>
        <v>28</v>
      </c>
      <c r="S108" s="2">
        <f ca="1">SUM(OFFSET(Table1[[#Headers],[Days in month]],1,0):Table1[[#This Row],[Days in month]])</f>
        <v>2798</v>
      </c>
      <c r="T108" s="37">
        <f>InterestRate*AmortizationMultiplier*IF(ISNUMBER(SEARCH("Actual",$C$7)),Table1[[#This Row],[Days in month]]/365,1/12)</f>
        <v>5.4833333333333331E-3</v>
      </c>
    </row>
    <row r="109" spans="2:20" x14ac:dyDescent="0.2">
      <c r="B109" s="1">
        <v>48669</v>
      </c>
      <c r="C109" s="2">
        <f t="shared" si="4"/>
        <v>93</v>
      </c>
      <c r="D109" s="3">
        <f t="shared" si="6"/>
        <v>5646113.0799999936</v>
      </c>
      <c r="E109" s="3">
        <f>ROUND(Table1[[#This Row],[Beginning Balance]]*Table1[[#This Row],[Monthly Interest Rate]],2)</f>
        <v>34276.61</v>
      </c>
      <c r="F109" s="3">
        <f t="shared" si="5"/>
        <v>259</v>
      </c>
      <c r="G109" s="23">
        <f>IFERROR(IF($C$13="No","N/A",IF(Table1[[#This Row],[Period]]=1,$C$6,PMT(InterestRate*AmortizationMultiplier/12,Table1[[#This Row],[Am Thru]],-Table1[[#This Row],[Beginning Balance]]))),0)</f>
        <v>42830.345836573557</v>
      </c>
      <c r="H109" s="3">
        <f>MAX(0,IF(C109=$C$4,D109,ROUND(IF($C$3="Fixed Principal",$C$6-Table1[[#This Row],[Interest]],IF($C$3="Interest Only",Table1[[#This Row],[Beginning Balance]]*ROUND(1-(1-IF($C$11="No",$E$8,1))^(1/12),6),MIN(IF($C$13="Yes",Table1[[#This Row],[Payment Amount (Reamortized)]],$C$6)-Table1[[#This Row],[Interest]],Table1[[#This Row],[Beginning Balance]]))),2)))</f>
        <v>8553.74</v>
      </c>
      <c r="I109" s="3">
        <f>_xlfn.SINGLE(IF($C$3="Line of Credit",0,ROUND(MAX(MIN(IF($C$10="No",$E$7,VLOOKUP(Table1[[#This Row],[Period]],Forecast!$H$2:$L$1048576,4,FALSE))*Table1[[#This Row],[Beginning Balance]],Table1[[#This Row],[Beginning Balance]]-Table1[[#This Row],[Principal]]),0),2)))</f>
        <v>16108.36</v>
      </c>
      <c r="J109" s="3">
        <f>ROUND(MIN(Table1[[#This Row],[Beginning Balance]]*IF($C$8="No",$E$3,VLOOKUP(Table1[[#This Row],[Period]],Forecast!$H$2:$L$1048576,2,FALSE)),Table1[[#This Row],[Beginning Balance]]-Table1[[#This Row],[Principal]]-Table1[[#This Row],[Prepayments]]),2)</f>
        <v>3856.3</v>
      </c>
      <c r="K109" s="3">
        <f>ROUND(Table1[[#This Row],[Defaulted Principal]]*IF($C$9="No",$E$4,VLOOKUP(Table1[[#This Row],[Period]],Forecast!$H$2:$L$1048576,3,FALSE)),2)</f>
        <v>334.32</v>
      </c>
      <c r="L109" s="2">
        <f>Table1[[#This Row],[Period]]+$E$9</f>
        <v>105</v>
      </c>
      <c r="M109" s="3">
        <f>Table1[[#This Row],[Defaulted Principal]]-Table1[[#This Row],[Estimated Loss]]</f>
        <v>3521.98</v>
      </c>
      <c r="N109" s="3">
        <f>IFERROR(VLOOKUP(Table1[[#This Row],[Period]],$L$16:$M$385,2,FALSE),0)</f>
        <v>3744.3099999999995</v>
      </c>
      <c r="O109" s="3">
        <f>Table1[[#This Row],[Beginning Balance]]-Table1[[#This Row],[Principal]]-Table1[[#This Row],[Prepayments]]-Table1[[#This Row],[Defaulted Principal]]</f>
        <v>5617594.6799999932</v>
      </c>
      <c r="P109" s="3">
        <f>Table1[[#This Row],[Principal]]+Table1[[#This Row],[Interest]]+Table1[[#This Row],[Prepayments]]+Table1[[#This Row],[RecoveredAmount]]</f>
        <v>62683.02</v>
      </c>
      <c r="Q109" s="3">
        <f ca="1">Table1[[#This Row],[Cash Flow]]/((1+ActualRateToUse)^(IF(ISNUMBER(SEARCH("Actual",$C$7)),Table1[[#This Row],[Running Total]]/365,Table1[[#This Row],[Period]]/12)))</f>
        <v>35963.982876639697</v>
      </c>
      <c r="R109" s="2">
        <f>IF(MONTH(Table1[[#This Row],[Date]])=2,28,DAY(DATE(YEAR(Table1[[#This Row],[Date]]),MONTH(Table1[[#This Row],[Date]])+1,1)-1))</f>
        <v>31</v>
      </c>
      <c r="S109" s="2">
        <f ca="1">SUM(OFFSET(Table1[[#Headers],[Days in month]],1,0):Table1[[#This Row],[Days in month]])</f>
        <v>2829</v>
      </c>
      <c r="T109" s="37">
        <f>InterestRate*AmortizationMultiplier*IF(ISNUMBER(SEARCH("Actual",$C$7)),Table1[[#This Row],[Days in month]]/365,1/12)</f>
        <v>6.0708333333333326E-3</v>
      </c>
    </row>
    <row r="110" spans="2:20" x14ac:dyDescent="0.2">
      <c r="B110" s="1">
        <v>48699</v>
      </c>
      <c r="C110" s="2">
        <f t="shared" si="4"/>
        <v>94</v>
      </c>
      <c r="D110" s="3">
        <f t="shared" si="6"/>
        <v>5617594.6799999932</v>
      </c>
      <c r="E110" s="3">
        <f>ROUND(Table1[[#This Row],[Beginning Balance]]*Table1[[#This Row],[Monthly Interest Rate]],2)</f>
        <v>33003.370000000003</v>
      </c>
      <c r="F110" s="3">
        <f t="shared" si="5"/>
        <v>258</v>
      </c>
      <c r="G110" s="23">
        <f>IFERROR(IF($C$13="No","N/A",IF(Table1[[#This Row],[Period]]=1,$C$6,PMT(InterestRate*AmortizationMultiplier/12,Table1[[#This Row],[Am Thru]],-Table1[[#This Row],[Beginning Balance]]))),0)</f>
        <v>42683.551271777578</v>
      </c>
      <c r="H110" s="3">
        <f>MAX(0,IF(C110=$C$4,D110,ROUND(IF($C$3="Fixed Principal",$C$6-Table1[[#This Row],[Interest]],IF($C$3="Interest Only",Table1[[#This Row],[Beginning Balance]]*ROUND(1-(1-IF($C$11="No",$E$8,1))^(1/12),6),MIN(IF($C$13="Yes",Table1[[#This Row],[Payment Amount (Reamortized)]],$C$6)-Table1[[#This Row],[Interest]],Table1[[#This Row],[Beginning Balance]]))),2)))</f>
        <v>9680.18</v>
      </c>
      <c r="I110" s="3">
        <f>_xlfn.SINGLE(IF($C$3="Line of Credit",0,ROUND(MAX(MIN(IF($C$10="No",$E$7,VLOOKUP(Table1[[#This Row],[Period]],Forecast!$H$2:$L$1048576,4,FALSE))*Table1[[#This Row],[Beginning Balance]],Table1[[#This Row],[Beginning Balance]]-Table1[[#This Row],[Principal]]),0),2)))</f>
        <v>16027</v>
      </c>
      <c r="J110" s="3">
        <f>ROUND(MIN(Table1[[#This Row],[Beginning Balance]]*IF($C$8="No",$E$3,VLOOKUP(Table1[[#This Row],[Period]],Forecast!$H$2:$L$1048576,2,FALSE)),Table1[[#This Row],[Beginning Balance]]-Table1[[#This Row],[Principal]]-Table1[[#This Row],[Prepayments]]),2)</f>
        <v>3836.82</v>
      </c>
      <c r="K110" s="3">
        <f>ROUND(Table1[[#This Row],[Defaulted Principal]]*IF($C$9="No",$E$4,VLOOKUP(Table1[[#This Row],[Period]],Forecast!$H$2:$L$1048576,3,FALSE)),2)</f>
        <v>332.63</v>
      </c>
      <c r="L110" s="2">
        <f>Table1[[#This Row],[Period]]+$E$9</f>
        <v>106</v>
      </c>
      <c r="M110" s="3">
        <f>Table1[[#This Row],[Defaulted Principal]]-Table1[[#This Row],[Estimated Loss]]</f>
        <v>3504.19</v>
      </c>
      <c r="N110" s="3">
        <f>IFERROR(VLOOKUP(Table1[[#This Row],[Period]],$L$16:$M$385,2,FALSE),0)</f>
        <v>3725.9100000000003</v>
      </c>
      <c r="O110" s="3">
        <f>Table1[[#This Row],[Beginning Balance]]-Table1[[#This Row],[Principal]]-Table1[[#This Row],[Prepayments]]-Table1[[#This Row],[Defaulted Principal]]</f>
        <v>5588050.6799999932</v>
      </c>
      <c r="P110" s="3">
        <f>Table1[[#This Row],[Principal]]+Table1[[#This Row],[Interest]]+Table1[[#This Row],[Prepayments]]+Table1[[#This Row],[RecoveredAmount]]</f>
        <v>62436.460000000006</v>
      </c>
      <c r="Q110" s="3">
        <f ca="1">Table1[[#This Row],[Cash Flow]]/((1+ActualRateToUse)^(IF(ISNUMBER(SEARCH("Actual",$C$7)),Table1[[#This Row],[Running Total]]/365,Table1[[#This Row],[Period]]/12)))</f>
        <v>35612.09116500344</v>
      </c>
      <c r="R110" s="2">
        <f>IF(MONTH(Table1[[#This Row],[Date]])=2,28,DAY(DATE(YEAR(Table1[[#This Row],[Date]]),MONTH(Table1[[#This Row],[Date]])+1,1)-1))</f>
        <v>30</v>
      </c>
      <c r="S110" s="2">
        <f ca="1">SUM(OFFSET(Table1[[#Headers],[Days in month]],1,0):Table1[[#This Row],[Days in month]])</f>
        <v>2859</v>
      </c>
      <c r="T110" s="37">
        <f>InterestRate*AmortizationMultiplier*IF(ISNUMBER(SEARCH("Actual",$C$7)),Table1[[#This Row],[Days in month]]/365,1/12)</f>
        <v>5.8749999999999991E-3</v>
      </c>
    </row>
    <row r="111" spans="2:20" x14ac:dyDescent="0.2">
      <c r="B111" s="1">
        <v>48730</v>
      </c>
      <c r="C111" s="2">
        <f t="shared" si="4"/>
        <v>95</v>
      </c>
      <c r="D111" s="3">
        <f t="shared" si="6"/>
        <v>5588050.6799999932</v>
      </c>
      <c r="E111" s="3">
        <f>ROUND(Table1[[#This Row],[Beginning Balance]]*Table1[[#This Row],[Monthly Interest Rate]],2)</f>
        <v>33924.120000000003</v>
      </c>
      <c r="F111" s="3">
        <f t="shared" si="5"/>
        <v>257</v>
      </c>
      <c r="G111" s="23">
        <f>IFERROR(IF($C$13="No","N/A",IF(Table1[[#This Row],[Period]]=1,$C$6,PMT(InterestRate*AmortizationMultiplier/12,Table1[[#This Row],[Am Thru]],-Table1[[#This Row],[Beginning Balance]]))),0)</f>
        <v>42528.885456590229</v>
      </c>
      <c r="H111" s="3">
        <f>MAX(0,IF(C111=$C$4,D111,ROUND(IF($C$3="Fixed Principal",$C$6-Table1[[#This Row],[Interest]],IF($C$3="Interest Only",Table1[[#This Row],[Beginning Balance]]*ROUND(1-(1-IF($C$11="No",$E$8,1))^(1/12),6),MIN(IF($C$13="Yes",Table1[[#This Row],[Payment Amount (Reamortized)]],$C$6)-Table1[[#This Row],[Interest]],Table1[[#This Row],[Beginning Balance]]))),2)))</f>
        <v>8604.77</v>
      </c>
      <c r="I111" s="3">
        <f>_xlfn.SINGLE(IF($C$3="Line of Credit",0,ROUND(MAX(MIN(IF($C$10="No",$E$7,VLOOKUP(Table1[[#This Row],[Period]],Forecast!$H$2:$L$1048576,4,FALSE))*Table1[[#This Row],[Beginning Balance]],Table1[[#This Row],[Beginning Balance]]-Table1[[#This Row],[Principal]]),0),2)))</f>
        <v>15942.71</v>
      </c>
      <c r="J111" s="3">
        <f>ROUND(MIN(Table1[[#This Row],[Beginning Balance]]*IF($C$8="No",$E$3,VLOOKUP(Table1[[#This Row],[Period]],Forecast!$H$2:$L$1048576,2,FALSE)),Table1[[#This Row],[Beginning Balance]]-Table1[[#This Row],[Principal]]-Table1[[#This Row],[Prepayments]]),2)</f>
        <v>3816.64</v>
      </c>
      <c r="K111" s="3">
        <f>ROUND(Table1[[#This Row],[Defaulted Principal]]*IF($C$9="No",$E$4,VLOOKUP(Table1[[#This Row],[Period]],Forecast!$H$2:$L$1048576,3,FALSE)),2)</f>
        <v>330.88</v>
      </c>
      <c r="L111" s="2">
        <f>Table1[[#This Row],[Period]]+$E$9</f>
        <v>107</v>
      </c>
      <c r="M111" s="3">
        <f>Table1[[#This Row],[Defaulted Principal]]-Table1[[#This Row],[Estimated Loss]]</f>
        <v>3485.7599999999998</v>
      </c>
      <c r="N111" s="3">
        <f>IFERROR(VLOOKUP(Table1[[#This Row],[Period]],$L$16:$M$385,2,FALSE),0)</f>
        <v>3706.84</v>
      </c>
      <c r="O111" s="3">
        <f>Table1[[#This Row],[Beginning Balance]]-Table1[[#This Row],[Principal]]-Table1[[#This Row],[Prepayments]]-Table1[[#This Row],[Defaulted Principal]]</f>
        <v>5559686.559999994</v>
      </c>
      <c r="P111" s="3">
        <f>Table1[[#This Row],[Principal]]+Table1[[#This Row],[Interest]]+Table1[[#This Row],[Prepayments]]+Table1[[#This Row],[RecoveredAmount]]</f>
        <v>62178.44</v>
      </c>
      <c r="Q111" s="3">
        <f ca="1">Table1[[#This Row],[Cash Flow]]/((1+ActualRateToUse)^(IF(ISNUMBER(SEARCH("Actual",$C$7)),Table1[[#This Row],[Running Total]]/365,Table1[[#This Row],[Period]]/12)))</f>
        <v>35249.6713817419</v>
      </c>
      <c r="R111" s="2">
        <f>IF(MONTH(Table1[[#This Row],[Date]])=2,28,DAY(DATE(YEAR(Table1[[#This Row],[Date]]),MONTH(Table1[[#This Row],[Date]])+1,1)-1))</f>
        <v>31</v>
      </c>
      <c r="S111" s="2">
        <f ca="1">SUM(OFFSET(Table1[[#Headers],[Days in month]],1,0):Table1[[#This Row],[Days in month]])</f>
        <v>2890</v>
      </c>
      <c r="T111" s="37">
        <f>InterestRate*AmortizationMultiplier*IF(ISNUMBER(SEARCH("Actual",$C$7)),Table1[[#This Row],[Days in month]]/365,1/12)</f>
        <v>6.0708333333333326E-3</v>
      </c>
    </row>
    <row r="112" spans="2:20" x14ac:dyDescent="0.2">
      <c r="B112" s="1">
        <v>48760</v>
      </c>
      <c r="C112" s="2">
        <f t="shared" si="4"/>
        <v>96</v>
      </c>
      <c r="D112" s="3">
        <f t="shared" si="6"/>
        <v>5559686.559999994</v>
      </c>
      <c r="E112" s="3">
        <f>ROUND(Table1[[#This Row],[Beginning Balance]]*Table1[[#This Row],[Monthly Interest Rate]],2)</f>
        <v>32663.16</v>
      </c>
      <c r="F112" s="3">
        <f t="shared" si="5"/>
        <v>256</v>
      </c>
      <c r="G112" s="23">
        <f>IFERROR(IF($C$13="No","N/A",IF(Table1[[#This Row],[Period]]=1,$C$6,PMT(InterestRate*AmortizationMultiplier/12,Table1[[#This Row],[Am Thru]],-Table1[[#This Row],[Beginning Balance]]))),0)</f>
        <v>42383.120455344739</v>
      </c>
      <c r="H112" s="3">
        <f>MAX(0,IF(C112=$C$4,D112,ROUND(IF($C$3="Fixed Principal",$C$6-Table1[[#This Row],[Interest]],IF($C$3="Interest Only",Table1[[#This Row],[Beginning Balance]]*ROUND(1-(1-IF($C$11="No",$E$8,1))^(1/12),6),MIN(IF($C$13="Yes",Table1[[#This Row],[Payment Amount (Reamortized)]],$C$6)-Table1[[#This Row],[Interest]],Table1[[#This Row],[Beginning Balance]]))),2)))</f>
        <v>9719.9599999999991</v>
      </c>
      <c r="I112" s="3">
        <f>_xlfn.SINGLE(IF($C$3="Line of Credit",0,ROUND(MAX(MIN(IF($C$10="No",$E$7,VLOOKUP(Table1[[#This Row],[Period]],Forecast!$H$2:$L$1048576,4,FALSE))*Table1[[#This Row],[Beginning Balance]],Table1[[#This Row],[Beginning Balance]]-Table1[[#This Row],[Principal]]),0),2)))</f>
        <v>15861.79</v>
      </c>
      <c r="J112" s="3">
        <f>ROUND(MIN(Table1[[#This Row],[Beginning Balance]]*IF($C$8="No",$E$3,VLOOKUP(Table1[[#This Row],[Period]],Forecast!$H$2:$L$1048576,2,FALSE)),Table1[[#This Row],[Beginning Balance]]-Table1[[#This Row],[Principal]]-Table1[[#This Row],[Prepayments]]),2)</f>
        <v>3797.27</v>
      </c>
      <c r="K112" s="3">
        <f>ROUND(Table1[[#This Row],[Defaulted Principal]]*IF($C$9="No",$E$4,VLOOKUP(Table1[[#This Row],[Period]],Forecast!$H$2:$L$1048576,3,FALSE)),2)</f>
        <v>329.2</v>
      </c>
      <c r="L112" s="2">
        <f>Table1[[#This Row],[Period]]+$E$9</f>
        <v>108</v>
      </c>
      <c r="M112" s="3">
        <f>Table1[[#This Row],[Defaulted Principal]]-Table1[[#This Row],[Estimated Loss]]</f>
        <v>3468.07</v>
      </c>
      <c r="N112" s="3">
        <f>IFERROR(VLOOKUP(Table1[[#This Row],[Period]],$L$16:$M$385,2,FALSE),0)</f>
        <v>3688.56</v>
      </c>
      <c r="O112" s="3">
        <f>Table1[[#This Row],[Beginning Balance]]-Table1[[#This Row],[Principal]]-Table1[[#This Row],[Prepayments]]-Table1[[#This Row],[Defaulted Principal]]</f>
        <v>5530307.5399999944</v>
      </c>
      <c r="P112" s="3">
        <f>Table1[[#This Row],[Principal]]+Table1[[#This Row],[Interest]]+Table1[[#This Row],[Prepayments]]+Table1[[#This Row],[RecoveredAmount]]</f>
        <v>61933.469999999994</v>
      </c>
      <c r="Q112" s="3">
        <f ca="1">Table1[[#This Row],[Cash Flow]]/((1+ActualRateToUse)^(IF(ISNUMBER(SEARCH("Actual",$C$7)),Table1[[#This Row],[Running Total]]/365,Table1[[#This Row],[Period]]/12)))</f>
        <v>34904.546427238558</v>
      </c>
      <c r="R112" s="2">
        <f>IF(MONTH(Table1[[#This Row],[Date]])=2,28,DAY(DATE(YEAR(Table1[[#This Row],[Date]]),MONTH(Table1[[#This Row],[Date]])+1,1)-1))</f>
        <v>30</v>
      </c>
      <c r="S112" s="2">
        <f ca="1">SUM(OFFSET(Table1[[#Headers],[Days in month]],1,0):Table1[[#This Row],[Days in month]])</f>
        <v>2920</v>
      </c>
      <c r="T112" s="37">
        <f>InterestRate*AmortizationMultiplier*IF(ISNUMBER(SEARCH("Actual",$C$7)),Table1[[#This Row],[Days in month]]/365,1/12)</f>
        <v>5.8749999999999991E-3</v>
      </c>
    </row>
    <row r="113" spans="2:20" x14ac:dyDescent="0.2">
      <c r="B113" s="1">
        <v>48791</v>
      </c>
      <c r="C113" s="2">
        <f t="shared" si="4"/>
        <v>97</v>
      </c>
      <c r="D113" s="3">
        <f t="shared" si="6"/>
        <v>5530307.5399999944</v>
      </c>
      <c r="E113" s="3">
        <f>ROUND(Table1[[#This Row],[Beginning Balance]]*Table1[[#This Row],[Monthly Interest Rate]],2)</f>
        <v>33573.58</v>
      </c>
      <c r="F113" s="3">
        <f t="shared" si="5"/>
        <v>255</v>
      </c>
      <c r="G113" s="23">
        <f>IFERROR(IF($C$13="No","N/A",IF(Table1[[#This Row],[Period]]=1,$C$6,PMT(InterestRate*AmortizationMultiplier/12,Table1[[#This Row],[Am Thru]],-Table1[[#This Row],[Beginning Balance]]))),0)</f>
        <v>42229.53937470122</v>
      </c>
      <c r="H113" s="3">
        <f>MAX(0,IF(C113=$C$4,D113,ROUND(IF($C$3="Fixed Principal",$C$6-Table1[[#This Row],[Interest]],IF($C$3="Interest Only",Table1[[#This Row],[Beginning Balance]]*ROUND(1-(1-IF($C$11="No",$E$8,1))^(1/12),6),MIN(IF($C$13="Yes",Table1[[#This Row],[Payment Amount (Reamortized)]],$C$6)-Table1[[#This Row],[Interest]],Table1[[#This Row],[Beginning Balance]]))),2)))</f>
        <v>8655.9599999999991</v>
      </c>
      <c r="I113" s="3">
        <f>_xlfn.SINGLE(IF($C$3="Line of Credit",0,ROUND(MAX(MIN(IF($C$10="No",$E$7,VLOOKUP(Table1[[#This Row],[Period]],Forecast!$H$2:$L$1048576,4,FALSE))*Table1[[#This Row],[Beginning Balance]],Table1[[#This Row],[Beginning Balance]]-Table1[[#This Row],[Principal]]),0),2)))</f>
        <v>15777.97</v>
      </c>
      <c r="J113" s="3">
        <f>ROUND(MIN(Table1[[#This Row],[Beginning Balance]]*IF($C$8="No",$E$3,VLOOKUP(Table1[[#This Row],[Period]],Forecast!$H$2:$L$1048576,2,FALSE)),Table1[[#This Row],[Beginning Balance]]-Table1[[#This Row],[Principal]]-Table1[[#This Row],[Prepayments]]),2)</f>
        <v>3777.2</v>
      </c>
      <c r="K113" s="3">
        <f>ROUND(Table1[[#This Row],[Defaulted Principal]]*IF($C$9="No",$E$4,VLOOKUP(Table1[[#This Row],[Period]],Forecast!$H$2:$L$1048576,3,FALSE)),2)</f>
        <v>327.45999999999998</v>
      </c>
      <c r="L113" s="2">
        <f>Table1[[#This Row],[Period]]+$E$9</f>
        <v>109</v>
      </c>
      <c r="M113" s="3">
        <f>Table1[[#This Row],[Defaulted Principal]]-Table1[[#This Row],[Estimated Loss]]</f>
        <v>3449.74</v>
      </c>
      <c r="N113" s="3">
        <f>IFERROR(VLOOKUP(Table1[[#This Row],[Period]],$L$16:$M$385,2,FALSE),0)</f>
        <v>3669.6</v>
      </c>
      <c r="O113" s="3">
        <f>Table1[[#This Row],[Beginning Balance]]-Table1[[#This Row],[Principal]]-Table1[[#This Row],[Prepayments]]-Table1[[#This Row],[Defaulted Principal]]</f>
        <v>5502096.4099999946</v>
      </c>
      <c r="P113" s="3">
        <f>Table1[[#This Row],[Principal]]+Table1[[#This Row],[Interest]]+Table1[[#This Row],[Prepayments]]+Table1[[#This Row],[RecoveredAmount]]</f>
        <v>61677.11</v>
      </c>
      <c r="Q113" s="3">
        <f ca="1">Table1[[#This Row],[Cash Flow]]/((1+ActualRateToUse)^(IF(ISNUMBER(SEARCH("Actual",$C$7)),Table1[[#This Row],[Running Total]]/365,Table1[[#This Row],[Period]]/12)))</f>
        <v>34549.092745269038</v>
      </c>
      <c r="R113" s="2">
        <f>IF(MONTH(Table1[[#This Row],[Date]])=2,28,DAY(DATE(YEAR(Table1[[#This Row],[Date]]),MONTH(Table1[[#This Row],[Date]])+1,1)-1))</f>
        <v>31</v>
      </c>
      <c r="S113" s="2">
        <f ca="1">SUM(OFFSET(Table1[[#Headers],[Days in month]],1,0):Table1[[#This Row],[Days in month]])</f>
        <v>2951</v>
      </c>
      <c r="T113" s="37">
        <f>InterestRate*AmortizationMultiplier*IF(ISNUMBER(SEARCH("Actual",$C$7)),Table1[[#This Row],[Days in month]]/365,1/12)</f>
        <v>6.0708333333333326E-3</v>
      </c>
    </row>
    <row r="114" spans="2:20" x14ac:dyDescent="0.2">
      <c r="B114" s="1">
        <v>48822</v>
      </c>
      <c r="C114" s="2">
        <f t="shared" si="4"/>
        <v>98</v>
      </c>
      <c r="D114" s="3">
        <f t="shared" si="6"/>
        <v>5502096.4099999946</v>
      </c>
      <c r="E114" s="3">
        <f>ROUND(Table1[[#This Row],[Beginning Balance]]*Table1[[#This Row],[Monthly Interest Rate]],2)</f>
        <v>33402.31</v>
      </c>
      <c r="F114" s="3">
        <f t="shared" si="5"/>
        <v>254</v>
      </c>
      <c r="G114" s="23">
        <f>IFERROR(IF($C$13="No","N/A",IF(Table1[[#This Row],[Period]]=1,$C$6,PMT(InterestRate*AmortizationMultiplier/12,Table1[[#This Row],[Am Thru]],-Table1[[#This Row],[Beginning Balance]]))),0)</f>
        <v>42084.79678911058</v>
      </c>
      <c r="H114" s="3">
        <f>MAX(0,IF(C114=$C$4,D114,ROUND(IF($C$3="Fixed Principal",$C$6-Table1[[#This Row],[Interest]],IF($C$3="Interest Only",Table1[[#This Row],[Beginning Balance]]*ROUND(1-(1-IF($C$11="No",$E$8,1))^(1/12),6),MIN(IF($C$13="Yes",Table1[[#This Row],[Payment Amount (Reamortized)]],$C$6)-Table1[[#This Row],[Interest]],Table1[[#This Row],[Beginning Balance]]))),2)))</f>
        <v>8682.49</v>
      </c>
      <c r="I114" s="3">
        <f>_xlfn.SINGLE(IF($C$3="Line of Credit",0,ROUND(MAX(MIN(IF($C$10="No",$E$7,VLOOKUP(Table1[[#This Row],[Period]],Forecast!$H$2:$L$1048576,4,FALSE))*Table1[[#This Row],[Beginning Balance]],Table1[[#This Row],[Beginning Balance]]-Table1[[#This Row],[Principal]]),0),2)))</f>
        <v>15697.48</v>
      </c>
      <c r="J114" s="3">
        <f>ROUND(MIN(Table1[[#This Row],[Beginning Balance]]*IF($C$8="No",$E$3,VLOOKUP(Table1[[#This Row],[Period]],Forecast!$H$2:$L$1048576,2,FALSE)),Table1[[#This Row],[Beginning Balance]]-Table1[[#This Row],[Principal]]-Table1[[#This Row],[Prepayments]]),2)</f>
        <v>3757.93</v>
      </c>
      <c r="K114" s="3">
        <f>ROUND(Table1[[#This Row],[Defaulted Principal]]*IF($C$9="No",$E$4,VLOOKUP(Table1[[#This Row],[Period]],Forecast!$H$2:$L$1048576,3,FALSE)),2)</f>
        <v>325.79000000000002</v>
      </c>
      <c r="L114" s="2">
        <f>Table1[[#This Row],[Period]]+$E$9</f>
        <v>110</v>
      </c>
      <c r="M114" s="3">
        <f>Table1[[#This Row],[Defaulted Principal]]-Table1[[#This Row],[Estimated Loss]]</f>
        <v>3432.14</v>
      </c>
      <c r="N114" s="3">
        <f>IFERROR(VLOOKUP(Table1[[#This Row],[Period]],$L$16:$M$385,2,FALSE),0)</f>
        <v>3651.42</v>
      </c>
      <c r="O114" s="3">
        <f>Table1[[#This Row],[Beginning Balance]]-Table1[[#This Row],[Principal]]-Table1[[#This Row],[Prepayments]]-Table1[[#This Row],[Defaulted Principal]]</f>
        <v>5473958.5099999942</v>
      </c>
      <c r="P114" s="3">
        <f>Table1[[#This Row],[Principal]]+Table1[[#This Row],[Interest]]+Table1[[#This Row],[Prepayments]]+Table1[[#This Row],[RecoveredAmount]]</f>
        <v>61433.7</v>
      </c>
      <c r="Q114" s="3">
        <f ca="1">Table1[[#This Row],[Cash Flow]]/((1+ActualRateToUse)^(IF(ISNUMBER(SEARCH("Actual",$C$7)),Table1[[#This Row],[Running Total]]/365,Table1[[#This Row],[Period]]/12)))</f>
        <v>34203.878107116783</v>
      </c>
      <c r="R114" s="2">
        <f>IF(MONTH(Table1[[#This Row],[Date]])=2,28,DAY(DATE(YEAR(Table1[[#This Row],[Date]]),MONTH(Table1[[#This Row],[Date]])+1,1)-1))</f>
        <v>31</v>
      </c>
      <c r="S114" s="2">
        <f ca="1">SUM(OFFSET(Table1[[#Headers],[Days in month]],1,0):Table1[[#This Row],[Days in month]])</f>
        <v>2982</v>
      </c>
      <c r="T114" s="37">
        <f>InterestRate*AmortizationMultiplier*IF(ISNUMBER(SEARCH("Actual",$C$7)),Table1[[#This Row],[Days in month]]/365,1/12)</f>
        <v>6.0708333333333326E-3</v>
      </c>
    </row>
    <row r="115" spans="2:20" x14ac:dyDescent="0.2">
      <c r="B115" s="1">
        <v>48852</v>
      </c>
      <c r="C115" s="2">
        <f t="shared" si="4"/>
        <v>99</v>
      </c>
      <c r="D115" s="3">
        <f t="shared" si="6"/>
        <v>5473958.5099999942</v>
      </c>
      <c r="E115" s="3">
        <f>ROUND(Table1[[#This Row],[Beginning Balance]]*Table1[[#This Row],[Monthly Interest Rate]],2)</f>
        <v>32159.51</v>
      </c>
      <c r="F115" s="3">
        <f t="shared" si="5"/>
        <v>253</v>
      </c>
      <c r="G115" s="23">
        <f>IFERROR(IF($C$13="No","N/A",IF(Table1[[#This Row],[Period]]=1,$C$6,PMT(InterestRate*AmortizationMultiplier/12,Table1[[#This Row],[Am Thru]],-Table1[[#This Row],[Beginning Balance]]))),0)</f>
        <v>41940.548439699603</v>
      </c>
      <c r="H115" s="3">
        <f>MAX(0,IF(C115=$C$4,D115,ROUND(IF($C$3="Fixed Principal",$C$6-Table1[[#This Row],[Interest]],IF($C$3="Interest Only",Table1[[#This Row],[Beginning Balance]]*ROUND(1-(1-IF($C$11="No",$E$8,1))^(1/12),6),MIN(IF($C$13="Yes",Table1[[#This Row],[Payment Amount (Reamortized)]],$C$6)-Table1[[#This Row],[Interest]],Table1[[#This Row],[Beginning Balance]]))),2)))</f>
        <v>9781.0400000000009</v>
      </c>
      <c r="I115" s="3">
        <f>_xlfn.SINGLE(IF($C$3="Line of Credit",0,ROUND(MAX(MIN(IF($C$10="No",$E$7,VLOOKUP(Table1[[#This Row],[Period]],Forecast!$H$2:$L$1048576,4,FALSE))*Table1[[#This Row],[Beginning Balance]],Table1[[#This Row],[Beginning Balance]]-Table1[[#This Row],[Principal]]),0),2)))</f>
        <v>15617.2</v>
      </c>
      <c r="J115" s="3">
        <f>ROUND(MIN(Table1[[#This Row],[Beginning Balance]]*IF($C$8="No",$E$3,VLOOKUP(Table1[[#This Row],[Period]],Forecast!$H$2:$L$1048576,2,FALSE)),Table1[[#This Row],[Beginning Balance]]-Table1[[#This Row],[Principal]]-Table1[[#This Row],[Prepayments]]),2)</f>
        <v>3738.71</v>
      </c>
      <c r="K115" s="3">
        <f>ROUND(Table1[[#This Row],[Defaulted Principal]]*IF($C$9="No",$E$4,VLOOKUP(Table1[[#This Row],[Period]],Forecast!$H$2:$L$1048576,3,FALSE)),2)</f>
        <v>324.12</v>
      </c>
      <c r="L115" s="2">
        <f>Table1[[#This Row],[Period]]+$E$9</f>
        <v>111</v>
      </c>
      <c r="M115" s="3">
        <f>Table1[[#This Row],[Defaulted Principal]]-Table1[[#This Row],[Estimated Loss]]</f>
        <v>3414.59</v>
      </c>
      <c r="N115" s="3">
        <f>IFERROR(VLOOKUP(Table1[[#This Row],[Period]],$L$16:$M$385,2,FALSE),0)</f>
        <v>3633.2799999999997</v>
      </c>
      <c r="O115" s="3">
        <f>Table1[[#This Row],[Beginning Balance]]-Table1[[#This Row],[Principal]]-Table1[[#This Row],[Prepayments]]-Table1[[#This Row],[Defaulted Principal]]</f>
        <v>5444821.559999994</v>
      </c>
      <c r="P115" s="3">
        <f>Table1[[#This Row],[Principal]]+Table1[[#This Row],[Interest]]+Table1[[#This Row],[Prepayments]]+Table1[[#This Row],[RecoveredAmount]]</f>
        <v>61191.03</v>
      </c>
      <c r="Q115" s="3">
        <f ca="1">Table1[[#This Row],[Cash Flow]]/((1+ActualRateToUse)^(IF(ISNUMBER(SEARCH("Actual",$C$7)),Table1[[#This Row],[Running Total]]/365,Table1[[#This Row],[Period]]/12)))</f>
        <v>33868.641399891654</v>
      </c>
      <c r="R115" s="2">
        <f>IF(MONTH(Table1[[#This Row],[Date]])=2,28,DAY(DATE(YEAR(Table1[[#This Row],[Date]]),MONTH(Table1[[#This Row],[Date]])+1,1)-1))</f>
        <v>30</v>
      </c>
      <c r="S115" s="2">
        <f ca="1">SUM(OFFSET(Table1[[#Headers],[Days in month]],1,0):Table1[[#This Row],[Days in month]])</f>
        <v>3012</v>
      </c>
      <c r="T115" s="37">
        <f>InterestRate*AmortizationMultiplier*IF(ISNUMBER(SEARCH("Actual",$C$7)),Table1[[#This Row],[Days in month]]/365,1/12)</f>
        <v>5.8749999999999991E-3</v>
      </c>
    </row>
    <row r="116" spans="2:20" x14ac:dyDescent="0.2">
      <c r="B116" s="1">
        <v>48883</v>
      </c>
      <c r="C116" s="2">
        <f t="shared" si="4"/>
        <v>100</v>
      </c>
      <c r="D116" s="3">
        <f t="shared" si="6"/>
        <v>5444821.559999994</v>
      </c>
      <c r="E116" s="3">
        <f>ROUND(Table1[[#This Row],[Beginning Balance]]*Table1[[#This Row],[Monthly Interest Rate]],2)</f>
        <v>33054.6</v>
      </c>
      <c r="F116" s="3">
        <f t="shared" si="5"/>
        <v>252</v>
      </c>
      <c r="G116" s="23">
        <f>IFERROR(IF($C$13="No","N/A",IF(Table1[[#This Row],[Period]]=1,$C$6,PMT(InterestRate*AmortizationMultiplier/12,Table1[[#This Row],[Am Thru]],-Table1[[#This Row],[Beginning Balance]]))),0)</f>
        <v>41788.565334015853</v>
      </c>
      <c r="H116" s="3">
        <f>MAX(0,IF(C116=$C$4,D116,ROUND(IF($C$3="Fixed Principal",$C$6-Table1[[#This Row],[Interest]],IF($C$3="Interest Only",Table1[[#This Row],[Beginning Balance]]*ROUND(1-(1-IF($C$11="No",$E$8,1))^(1/12),6),MIN(IF($C$13="Yes",Table1[[#This Row],[Payment Amount (Reamortized)]],$C$6)-Table1[[#This Row],[Interest]],Table1[[#This Row],[Beginning Balance]]))),2)))</f>
        <v>8733.9699999999993</v>
      </c>
      <c r="I116" s="3">
        <f>_xlfn.SINGLE(IF($C$3="Line of Credit",0,ROUND(MAX(MIN(IF($C$10="No",$E$7,VLOOKUP(Table1[[#This Row],[Period]],Forecast!$H$2:$L$1048576,4,FALSE))*Table1[[#This Row],[Beginning Balance]],Table1[[#This Row],[Beginning Balance]]-Table1[[#This Row],[Principal]]),0),2)))</f>
        <v>15534.08</v>
      </c>
      <c r="J116" s="3">
        <f>ROUND(MIN(Table1[[#This Row],[Beginning Balance]]*IF($C$8="No",$E$3,VLOOKUP(Table1[[#This Row],[Period]],Forecast!$H$2:$L$1048576,2,FALSE)),Table1[[#This Row],[Beginning Balance]]-Table1[[#This Row],[Principal]]-Table1[[#This Row],[Prepayments]]),2)</f>
        <v>3718.81</v>
      </c>
      <c r="K116" s="3">
        <f>ROUND(Table1[[#This Row],[Defaulted Principal]]*IF($C$9="No",$E$4,VLOOKUP(Table1[[#This Row],[Period]],Forecast!$H$2:$L$1048576,3,FALSE)),2)</f>
        <v>322.39999999999998</v>
      </c>
      <c r="L116" s="2">
        <f>Table1[[#This Row],[Period]]+$E$9</f>
        <v>112</v>
      </c>
      <c r="M116" s="3">
        <f>Table1[[#This Row],[Defaulted Principal]]-Table1[[#This Row],[Estimated Loss]]</f>
        <v>3396.41</v>
      </c>
      <c r="N116" s="3">
        <f>IFERROR(VLOOKUP(Table1[[#This Row],[Period]],$L$16:$M$385,2,FALSE),0)</f>
        <v>3614.4700000000003</v>
      </c>
      <c r="O116" s="3">
        <f>Table1[[#This Row],[Beginning Balance]]-Table1[[#This Row],[Principal]]-Table1[[#This Row],[Prepayments]]-Table1[[#This Row],[Defaulted Principal]]</f>
        <v>5416834.6999999946</v>
      </c>
      <c r="P116" s="3">
        <f>Table1[[#This Row],[Principal]]+Table1[[#This Row],[Interest]]+Table1[[#This Row],[Prepayments]]+Table1[[#This Row],[RecoveredAmount]]</f>
        <v>60937.120000000003</v>
      </c>
      <c r="Q116" s="3">
        <f ca="1">Table1[[#This Row],[Cash Flow]]/((1+ActualRateToUse)^(IF(ISNUMBER(SEARCH("Actual",$C$7)),Table1[[#This Row],[Running Total]]/365,Table1[[#This Row],[Period]]/12)))</f>
        <v>33523.394129095846</v>
      </c>
      <c r="R116" s="2">
        <f>IF(MONTH(Table1[[#This Row],[Date]])=2,28,DAY(DATE(YEAR(Table1[[#This Row],[Date]]),MONTH(Table1[[#This Row],[Date]])+1,1)-1))</f>
        <v>31</v>
      </c>
      <c r="S116" s="2">
        <f ca="1">SUM(OFFSET(Table1[[#Headers],[Days in month]],1,0):Table1[[#This Row],[Days in month]])</f>
        <v>3043</v>
      </c>
      <c r="T116" s="37">
        <f>InterestRate*AmortizationMultiplier*IF(ISNUMBER(SEARCH("Actual",$C$7)),Table1[[#This Row],[Days in month]]/365,1/12)</f>
        <v>6.0708333333333326E-3</v>
      </c>
    </row>
    <row r="117" spans="2:20" x14ac:dyDescent="0.2">
      <c r="B117" s="1">
        <v>48913</v>
      </c>
      <c r="C117" s="2">
        <f t="shared" si="4"/>
        <v>101</v>
      </c>
      <c r="D117" s="3">
        <f t="shared" si="6"/>
        <v>5416834.6999999946</v>
      </c>
      <c r="E117" s="3">
        <f>ROUND(Table1[[#This Row],[Beginning Balance]]*Table1[[#This Row],[Monthly Interest Rate]],2)</f>
        <v>31823.9</v>
      </c>
      <c r="F117" s="3">
        <f t="shared" si="5"/>
        <v>251</v>
      </c>
      <c r="G117" s="23">
        <f>IFERROR(IF($C$13="No","N/A",IF(Table1[[#This Row],[Period]]=1,$C$6,PMT(InterestRate*AmortizationMultiplier/12,Table1[[#This Row],[Am Thru]],-Table1[[#This Row],[Beginning Balance]]))),0)</f>
        <v>41645.328527639773</v>
      </c>
      <c r="H117" s="3">
        <f>MAX(0,IF(C117=$C$4,D117,ROUND(IF($C$3="Fixed Principal",$C$6-Table1[[#This Row],[Interest]],IF($C$3="Interest Only",Table1[[#This Row],[Beginning Balance]]*ROUND(1-(1-IF($C$11="No",$E$8,1))^(1/12),6),MIN(IF($C$13="Yes",Table1[[#This Row],[Payment Amount (Reamortized)]],$C$6)-Table1[[#This Row],[Interest]],Table1[[#This Row],[Beginning Balance]]))),2)))</f>
        <v>9821.43</v>
      </c>
      <c r="I117" s="3">
        <f>_xlfn.SINGLE(IF($C$3="Line of Credit",0,ROUND(MAX(MIN(IF($C$10="No",$E$7,VLOOKUP(Table1[[#This Row],[Period]],Forecast!$H$2:$L$1048576,4,FALSE))*Table1[[#This Row],[Beginning Balance]],Table1[[#This Row],[Beginning Balance]]-Table1[[#This Row],[Principal]]),0),2)))</f>
        <v>15454.23</v>
      </c>
      <c r="J117" s="3">
        <f>ROUND(MIN(Table1[[#This Row],[Beginning Balance]]*IF($C$8="No",$E$3,VLOOKUP(Table1[[#This Row],[Period]],Forecast!$H$2:$L$1048576,2,FALSE)),Table1[[#This Row],[Beginning Balance]]-Table1[[#This Row],[Principal]]-Table1[[#This Row],[Prepayments]]),2)</f>
        <v>3699.7</v>
      </c>
      <c r="K117" s="3">
        <f>ROUND(Table1[[#This Row],[Defaulted Principal]]*IF($C$9="No",$E$4,VLOOKUP(Table1[[#This Row],[Period]],Forecast!$H$2:$L$1048576,3,FALSE)),2)</f>
        <v>320.74</v>
      </c>
      <c r="L117" s="2">
        <f>Table1[[#This Row],[Period]]+$E$9</f>
        <v>113</v>
      </c>
      <c r="M117" s="3">
        <f>Table1[[#This Row],[Defaulted Principal]]-Table1[[#This Row],[Estimated Loss]]</f>
        <v>3378.96</v>
      </c>
      <c r="N117" s="3">
        <f>IFERROR(VLOOKUP(Table1[[#This Row],[Period]],$L$16:$M$385,2,FALSE),0)</f>
        <v>3596.4300000000003</v>
      </c>
      <c r="O117" s="3">
        <f>Table1[[#This Row],[Beginning Balance]]-Table1[[#This Row],[Principal]]-Table1[[#This Row],[Prepayments]]-Table1[[#This Row],[Defaulted Principal]]</f>
        <v>5387859.3399999943</v>
      </c>
      <c r="P117" s="3">
        <f>Table1[[#This Row],[Principal]]+Table1[[#This Row],[Interest]]+Table1[[#This Row],[Prepayments]]+Table1[[#This Row],[RecoveredAmount]]</f>
        <v>60695.99</v>
      </c>
      <c r="Q117" s="3">
        <f ca="1">Table1[[#This Row],[Cash Flow]]/((1+ActualRateToUse)^(IF(ISNUMBER(SEARCH("Actual",$C$7)),Table1[[#This Row],[Running Total]]/365,Table1[[#This Row],[Period]]/12)))</f>
        <v>33194.596391241859</v>
      </c>
      <c r="R117" s="2">
        <f>IF(MONTH(Table1[[#This Row],[Date]])=2,28,DAY(DATE(YEAR(Table1[[#This Row],[Date]]),MONTH(Table1[[#This Row],[Date]])+1,1)-1))</f>
        <v>30</v>
      </c>
      <c r="S117" s="2">
        <f ca="1">SUM(OFFSET(Table1[[#Headers],[Days in month]],1,0):Table1[[#This Row],[Days in month]])</f>
        <v>3073</v>
      </c>
      <c r="T117" s="37">
        <f>InterestRate*AmortizationMultiplier*IF(ISNUMBER(SEARCH("Actual",$C$7)),Table1[[#This Row],[Days in month]]/365,1/12)</f>
        <v>5.8749999999999991E-3</v>
      </c>
    </row>
    <row r="118" spans="2:20" x14ac:dyDescent="0.2">
      <c r="B118" s="1">
        <v>48944</v>
      </c>
      <c r="C118" s="2">
        <f t="shared" si="4"/>
        <v>102</v>
      </c>
      <c r="D118" s="3">
        <f t="shared" si="6"/>
        <v>5387859.3399999943</v>
      </c>
      <c r="E118" s="3">
        <f>ROUND(Table1[[#This Row],[Beginning Balance]]*Table1[[#This Row],[Monthly Interest Rate]],2)</f>
        <v>32708.799999999999</v>
      </c>
      <c r="F118" s="3">
        <f t="shared" si="5"/>
        <v>250</v>
      </c>
      <c r="G118" s="23">
        <f>IFERROR(IF($C$13="No","N/A",IF(Table1[[#This Row],[Period]]=1,$C$6,PMT(InterestRate*AmortizationMultiplier/12,Table1[[#This Row],[Am Thru]],-Table1[[#This Row],[Beginning Balance]]))),0)</f>
        <v>41494.411124190512</v>
      </c>
      <c r="H118" s="3">
        <f>MAX(0,IF(C118=$C$4,D118,ROUND(IF($C$3="Fixed Principal",$C$6-Table1[[#This Row],[Interest]],IF($C$3="Interest Only",Table1[[#This Row],[Beginning Balance]]*ROUND(1-(1-IF($C$11="No",$E$8,1))^(1/12),6),MIN(IF($C$13="Yes",Table1[[#This Row],[Payment Amount (Reamortized)]],$C$6)-Table1[[#This Row],[Interest]],Table1[[#This Row],[Beginning Balance]]))),2)))</f>
        <v>8785.61</v>
      </c>
      <c r="I118" s="3">
        <f>_xlfn.SINGLE(IF($C$3="Line of Credit",0,ROUND(MAX(MIN(IF($C$10="No",$E$7,VLOOKUP(Table1[[#This Row],[Period]],Forecast!$H$2:$L$1048576,4,FALSE))*Table1[[#This Row],[Beginning Balance]],Table1[[#This Row],[Beginning Balance]]-Table1[[#This Row],[Principal]]),0),2)))</f>
        <v>15371.56</v>
      </c>
      <c r="J118" s="3">
        <f>ROUND(MIN(Table1[[#This Row],[Beginning Balance]]*IF($C$8="No",$E$3,VLOOKUP(Table1[[#This Row],[Period]],Forecast!$H$2:$L$1048576,2,FALSE)),Table1[[#This Row],[Beginning Balance]]-Table1[[#This Row],[Principal]]-Table1[[#This Row],[Prepayments]]),2)</f>
        <v>3679.91</v>
      </c>
      <c r="K118" s="3">
        <f>ROUND(Table1[[#This Row],[Defaulted Principal]]*IF($C$9="No",$E$4,VLOOKUP(Table1[[#This Row],[Period]],Forecast!$H$2:$L$1048576,3,FALSE)),2)</f>
        <v>319.02999999999997</v>
      </c>
      <c r="L118" s="2">
        <f>Table1[[#This Row],[Period]]+$E$9</f>
        <v>114</v>
      </c>
      <c r="M118" s="3">
        <f>Table1[[#This Row],[Defaulted Principal]]-Table1[[#This Row],[Estimated Loss]]</f>
        <v>3360.88</v>
      </c>
      <c r="N118" s="3">
        <f>IFERROR(VLOOKUP(Table1[[#This Row],[Period]],$L$16:$M$385,2,FALSE),0)</f>
        <v>3577.74</v>
      </c>
      <c r="O118" s="3">
        <f>Table1[[#This Row],[Beginning Balance]]-Table1[[#This Row],[Principal]]-Table1[[#This Row],[Prepayments]]-Table1[[#This Row],[Defaulted Principal]]</f>
        <v>5360022.2599999942</v>
      </c>
      <c r="P118" s="3">
        <f>Table1[[#This Row],[Principal]]+Table1[[#This Row],[Interest]]+Table1[[#This Row],[Prepayments]]+Table1[[#This Row],[RecoveredAmount]]</f>
        <v>60443.71</v>
      </c>
      <c r="Q118" s="3">
        <f ca="1">Table1[[#This Row],[Cash Flow]]/((1+ActualRateToUse)^(IF(ISNUMBER(SEARCH("Actual",$C$7)),Table1[[#This Row],[Running Total]]/365,Table1[[#This Row],[Period]]/12)))</f>
        <v>32855.989583116738</v>
      </c>
      <c r="R118" s="2">
        <f>IF(MONTH(Table1[[#This Row],[Date]])=2,28,DAY(DATE(YEAR(Table1[[#This Row],[Date]]),MONTH(Table1[[#This Row],[Date]])+1,1)-1))</f>
        <v>31</v>
      </c>
      <c r="S118" s="2">
        <f ca="1">SUM(OFFSET(Table1[[#Headers],[Days in month]],1,0):Table1[[#This Row],[Days in month]])</f>
        <v>3104</v>
      </c>
      <c r="T118" s="37">
        <f>InterestRate*AmortizationMultiplier*IF(ISNUMBER(SEARCH("Actual",$C$7)),Table1[[#This Row],[Days in month]]/365,1/12)</f>
        <v>6.0708333333333326E-3</v>
      </c>
    </row>
    <row r="119" spans="2:20" x14ac:dyDescent="0.2">
      <c r="B119" s="1">
        <v>48975</v>
      </c>
      <c r="C119" s="2">
        <f t="shared" si="4"/>
        <v>103</v>
      </c>
      <c r="D119" s="3">
        <f t="shared" si="6"/>
        <v>5360022.2599999942</v>
      </c>
      <c r="E119" s="3">
        <f>ROUND(Table1[[#This Row],[Beginning Balance]]*Table1[[#This Row],[Monthly Interest Rate]],2)</f>
        <v>32539.8</v>
      </c>
      <c r="F119" s="3">
        <f t="shared" si="5"/>
        <v>249</v>
      </c>
      <c r="G119" s="23">
        <f>IFERROR(IF($C$13="No","N/A",IF(Table1[[#This Row],[Period]]=1,$C$6,PMT(InterestRate*AmortizationMultiplier/12,Table1[[#This Row],[Am Thru]],-Table1[[#This Row],[Beginning Balance]]))),0)</f>
        <v>41352.178913885065</v>
      </c>
      <c r="H119" s="3">
        <f>MAX(0,IF(C119=$C$4,D119,ROUND(IF($C$3="Fixed Principal",$C$6-Table1[[#This Row],[Interest]],IF($C$3="Interest Only",Table1[[#This Row],[Beginning Balance]]*ROUND(1-(1-IF($C$11="No",$E$8,1))^(1/12),6),MIN(IF($C$13="Yes",Table1[[#This Row],[Payment Amount (Reamortized)]],$C$6)-Table1[[#This Row],[Interest]],Table1[[#This Row],[Beginning Balance]]))),2)))</f>
        <v>8812.3799999999992</v>
      </c>
      <c r="I119" s="3">
        <f>_xlfn.SINGLE(IF($C$3="Line of Credit",0,ROUND(MAX(MIN(IF($C$10="No",$E$7,VLOOKUP(Table1[[#This Row],[Period]],Forecast!$H$2:$L$1048576,4,FALSE))*Table1[[#This Row],[Beginning Balance]],Table1[[#This Row],[Beginning Balance]]-Table1[[#This Row],[Principal]]),0),2)))</f>
        <v>15292.14</v>
      </c>
      <c r="J119" s="3">
        <f>ROUND(MIN(Table1[[#This Row],[Beginning Balance]]*IF($C$8="No",$E$3,VLOOKUP(Table1[[#This Row],[Period]],Forecast!$H$2:$L$1048576,2,FALSE)),Table1[[#This Row],[Beginning Balance]]-Table1[[#This Row],[Principal]]-Table1[[#This Row],[Prepayments]]),2)</f>
        <v>3660.9</v>
      </c>
      <c r="K119" s="3">
        <f>ROUND(Table1[[#This Row],[Defaulted Principal]]*IF($C$9="No",$E$4,VLOOKUP(Table1[[#This Row],[Period]],Forecast!$H$2:$L$1048576,3,FALSE)),2)</f>
        <v>317.38</v>
      </c>
      <c r="L119" s="2">
        <f>Table1[[#This Row],[Period]]+$E$9</f>
        <v>115</v>
      </c>
      <c r="M119" s="3">
        <f>Table1[[#This Row],[Defaulted Principal]]-Table1[[#This Row],[Estimated Loss]]</f>
        <v>3343.52</v>
      </c>
      <c r="N119" s="3">
        <f>IFERROR(VLOOKUP(Table1[[#This Row],[Period]],$L$16:$M$385,2,FALSE),0)</f>
        <v>3559.8</v>
      </c>
      <c r="O119" s="3">
        <f>Table1[[#This Row],[Beginning Balance]]-Table1[[#This Row],[Principal]]-Table1[[#This Row],[Prepayments]]-Table1[[#This Row],[Defaulted Principal]]</f>
        <v>5332256.8399999943</v>
      </c>
      <c r="P119" s="3">
        <f>Table1[[#This Row],[Principal]]+Table1[[#This Row],[Interest]]+Table1[[#This Row],[Prepayments]]+Table1[[#This Row],[RecoveredAmount]]</f>
        <v>60204.12</v>
      </c>
      <c r="Q119" s="3">
        <f ca="1">Table1[[#This Row],[Cash Flow]]/((1+ActualRateToUse)^(IF(ISNUMBER(SEARCH("Actual",$C$7)),Table1[[#This Row],[Running Total]]/365,Table1[[#This Row],[Period]]/12)))</f>
        <v>32527.126417762775</v>
      </c>
      <c r="R119" s="2">
        <f>IF(MONTH(Table1[[#This Row],[Date]])=2,28,DAY(DATE(YEAR(Table1[[#This Row],[Date]]),MONTH(Table1[[#This Row],[Date]])+1,1)-1))</f>
        <v>31</v>
      </c>
      <c r="S119" s="2">
        <f ca="1">SUM(OFFSET(Table1[[#Headers],[Days in month]],1,0):Table1[[#This Row],[Days in month]])</f>
        <v>3135</v>
      </c>
      <c r="T119" s="37">
        <f>InterestRate*AmortizationMultiplier*IF(ISNUMBER(SEARCH("Actual",$C$7)),Table1[[#This Row],[Days in month]]/365,1/12)</f>
        <v>6.0708333333333326E-3</v>
      </c>
    </row>
    <row r="120" spans="2:20" x14ac:dyDescent="0.2">
      <c r="B120" s="1">
        <v>49003</v>
      </c>
      <c r="C120" s="2">
        <f t="shared" si="4"/>
        <v>104</v>
      </c>
      <c r="D120" s="3">
        <f t="shared" si="6"/>
        <v>5332256.8399999943</v>
      </c>
      <c r="E120" s="3">
        <f>ROUND(Table1[[#This Row],[Beginning Balance]]*Table1[[#This Row],[Monthly Interest Rate]],2)</f>
        <v>29238.54</v>
      </c>
      <c r="F120" s="3">
        <f t="shared" si="5"/>
        <v>248</v>
      </c>
      <c r="G120" s="23">
        <f>IFERROR(IF($C$13="No","N/A",IF(Table1[[#This Row],[Period]]=1,$C$6,PMT(InterestRate*AmortizationMultiplier/12,Table1[[#This Row],[Am Thru]],-Table1[[#This Row],[Beginning Balance]]))),0)</f>
        <v>41210.432251780236</v>
      </c>
      <c r="H120" s="3">
        <f>MAX(0,IF(C120=$C$4,D120,ROUND(IF($C$3="Fixed Principal",$C$6-Table1[[#This Row],[Interest]],IF($C$3="Interest Only",Table1[[#This Row],[Beginning Balance]]*ROUND(1-(1-IF($C$11="No",$E$8,1))^(1/12),6),MIN(IF($C$13="Yes",Table1[[#This Row],[Payment Amount (Reamortized)]],$C$6)-Table1[[#This Row],[Interest]],Table1[[#This Row],[Beginning Balance]]))),2)))</f>
        <v>11971.89</v>
      </c>
      <c r="I120" s="3">
        <f>_xlfn.SINGLE(IF($C$3="Line of Credit",0,ROUND(MAX(MIN(IF($C$10="No",$E$7,VLOOKUP(Table1[[#This Row],[Period]],Forecast!$H$2:$L$1048576,4,FALSE))*Table1[[#This Row],[Beginning Balance]],Table1[[#This Row],[Beginning Balance]]-Table1[[#This Row],[Principal]]),0),2)))</f>
        <v>15212.93</v>
      </c>
      <c r="J120" s="3">
        <f>ROUND(MIN(Table1[[#This Row],[Beginning Balance]]*IF($C$8="No",$E$3,VLOOKUP(Table1[[#This Row],[Period]],Forecast!$H$2:$L$1048576,2,FALSE)),Table1[[#This Row],[Beginning Balance]]-Table1[[#This Row],[Principal]]-Table1[[#This Row],[Prepayments]]),2)</f>
        <v>3641.93</v>
      </c>
      <c r="K120" s="3">
        <f>ROUND(Table1[[#This Row],[Defaulted Principal]]*IF($C$9="No",$E$4,VLOOKUP(Table1[[#This Row],[Period]],Forecast!$H$2:$L$1048576,3,FALSE)),2)</f>
        <v>315.73</v>
      </c>
      <c r="L120" s="2">
        <f>Table1[[#This Row],[Period]]+$E$9</f>
        <v>116</v>
      </c>
      <c r="M120" s="3">
        <f>Table1[[#This Row],[Defaulted Principal]]-Table1[[#This Row],[Estimated Loss]]</f>
        <v>3326.2</v>
      </c>
      <c r="N120" s="3">
        <f>IFERROR(VLOOKUP(Table1[[#This Row],[Period]],$L$16:$M$385,2,FALSE),0)</f>
        <v>3541.9</v>
      </c>
      <c r="O120" s="3">
        <f>Table1[[#This Row],[Beginning Balance]]-Table1[[#This Row],[Principal]]-Table1[[#This Row],[Prepayments]]-Table1[[#This Row],[Defaulted Principal]]</f>
        <v>5301430.0899999952</v>
      </c>
      <c r="P120" s="3">
        <f>Table1[[#This Row],[Principal]]+Table1[[#This Row],[Interest]]+Table1[[#This Row],[Prepayments]]+Table1[[#This Row],[RecoveredAmount]]</f>
        <v>59965.26</v>
      </c>
      <c r="Q120" s="3">
        <f ca="1">Table1[[#This Row],[Cash Flow]]/((1+ActualRateToUse)^(IF(ISNUMBER(SEARCH("Actual",$C$7)),Table1[[#This Row],[Running Total]]/365,Table1[[#This Row],[Period]]/12)))</f>
        <v>32220.414149731783</v>
      </c>
      <c r="R120" s="2">
        <f>IF(MONTH(Table1[[#This Row],[Date]])=2,28,DAY(DATE(YEAR(Table1[[#This Row],[Date]]),MONTH(Table1[[#This Row],[Date]])+1,1)-1))</f>
        <v>28</v>
      </c>
      <c r="S120" s="2">
        <f ca="1">SUM(OFFSET(Table1[[#Headers],[Days in month]],1,0):Table1[[#This Row],[Days in month]])</f>
        <v>3163</v>
      </c>
      <c r="T120" s="37">
        <f>InterestRate*AmortizationMultiplier*IF(ISNUMBER(SEARCH("Actual",$C$7)),Table1[[#This Row],[Days in month]]/365,1/12)</f>
        <v>5.4833333333333331E-3</v>
      </c>
    </row>
    <row r="121" spans="2:20" x14ac:dyDescent="0.2">
      <c r="B121" s="1">
        <v>49034</v>
      </c>
      <c r="C121" s="2">
        <f t="shared" si="4"/>
        <v>105</v>
      </c>
      <c r="D121" s="3">
        <f t="shared" si="6"/>
        <v>5301430.0899999952</v>
      </c>
      <c r="E121" s="3">
        <f>ROUND(Table1[[#This Row],[Beginning Balance]]*Table1[[#This Row],[Monthly Interest Rate]],2)</f>
        <v>32184.1</v>
      </c>
      <c r="F121" s="3">
        <f t="shared" si="5"/>
        <v>247</v>
      </c>
      <c r="G121" s="23">
        <f>IFERROR(IF($C$13="No","N/A",IF(Table1[[#This Row],[Period]]=1,$C$6,PMT(InterestRate*AmortizationMultiplier/12,Table1[[#This Row],[Am Thru]],-Table1[[#This Row],[Beginning Balance]]))),0)</f>
        <v>41044.91547754404</v>
      </c>
      <c r="H121" s="3">
        <f>MAX(0,IF(C121=$C$4,D121,ROUND(IF($C$3="Fixed Principal",$C$6-Table1[[#This Row],[Interest]],IF($C$3="Interest Only",Table1[[#This Row],[Beginning Balance]]*ROUND(1-(1-IF($C$11="No",$E$8,1))^(1/12),6),MIN(IF($C$13="Yes",Table1[[#This Row],[Payment Amount (Reamortized)]],$C$6)-Table1[[#This Row],[Interest]],Table1[[#This Row],[Beginning Balance]]))),2)))</f>
        <v>8860.82</v>
      </c>
      <c r="I121" s="3">
        <f>_xlfn.SINGLE(IF($C$3="Line of Credit",0,ROUND(MAX(MIN(IF($C$10="No",$E$7,VLOOKUP(Table1[[#This Row],[Period]],Forecast!$H$2:$L$1048576,4,FALSE))*Table1[[#This Row],[Beginning Balance]],Table1[[#This Row],[Beginning Balance]]-Table1[[#This Row],[Principal]]),0),2)))</f>
        <v>15124.98</v>
      </c>
      <c r="J121" s="3">
        <f>ROUND(MIN(Table1[[#This Row],[Beginning Balance]]*IF($C$8="No",$E$3,VLOOKUP(Table1[[#This Row],[Period]],Forecast!$H$2:$L$1048576,2,FALSE)),Table1[[#This Row],[Beginning Balance]]-Table1[[#This Row],[Principal]]-Table1[[#This Row],[Prepayments]]),2)</f>
        <v>3620.88</v>
      </c>
      <c r="K121" s="3">
        <f>ROUND(Table1[[#This Row],[Defaulted Principal]]*IF($C$9="No",$E$4,VLOOKUP(Table1[[#This Row],[Period]],Forecast!$H$2:$L$1048576,3,FALSE)),2)</f>
        <v>313.91000000000003</v>
      </c>
      <c r="L121" s="2">
        <f>Table1[[#This Row],[Period]]+$E$9</f>
        <v>117</v>
      </c>
      <c r="M121" s="3">
        <f>Table1[[#This Row],[Defaulted Principal]]-Table1[[#This Row],[Estimated Loss]]</f>
        <v>3306.9700000000003</v>
      </c>
      <c r="N121" s="3">
        <f>IFERROR(VLOOKUP(Table1[[#This Row],[Period]],$L$16:$M$385,2,FALSE),0)</f>
        <v>3521.98</v>
      </c>
      <c r="O121" s="3">
        <f>Table1[[#This Row],[Beginning Balance]]-Table1[[#This Row],[Principal]]-Table1[[#This Row],[Prepayments]]-Table1[[#This Row],[Defaulted Principal]]</f>
        <v>5273823.4099999946</v>
      </c>
      <c r="P121" s="3">
        <f>Table1[[#This Row],[Principal]]+Table1[[#This Row],[Interest]]+Table1[[#This Row],[Prepayments]]+Table1[[#This Row],[RecoveredAmount]]</f>
        <v>59691.88</v>
      </c>
      <c r="Q121" s="3">
        <f ca="1">Table1[[#This Row],[Cash Flow]]/((1+ActualRateToUse)^(IF(ISNUMBER(SEARCH("Actual",$C$7)),Table1[[#This Row],[Running Total]]/365,Table1[[#This Row],[Period]]/12)))</f>
        <v>31878.853984508831</v>
      </c>
      <c r="R121" s="2">
        <f>IF(MONTH(Table1[[#This Row],[Date]])=2,28,DAY(DATE(YEAR(Table1[[#This Row],[Date]]),MONTH(Table1[[#This Row],[Date]])+1,1)-1))</f>
        <v>31</v>
      </c>
      <c r="S121" s="2">
        <f ca="1">SUM(OFFSET(Table1[[#Headers],[Days in month]],1,0):Table1[[#This Row],[Days in month]])</f>
        <v>3194</v>
      </c>
      <c r="T121" s="37">
        <f>InterestRate*AmortizationMultiplier*IF(ISNUMBER(SEARCH("Actual",$C$7)),Table1[[#This Row],[Days in month]]/365,1/12)</f>
        <v>6.0708333333333326E-3</v>
      </c>
    </row>
    <row r="122" spans="2:20" x14ac:dyDescent="0.2">
      <c r="B122" s="1">
        <v>49064</v>
      </c>
      <c r="C122" s="2">
        <f t="shared" si="4"/>
        <v>106</v>
      </c>
      <c r="D122" s="3">
        <f t="shared" si="6"/>
        <v>5273823.4099999946</v>
      </c>
      <c r="E122" s="3">
        <f>ROUND(Table1[[#This Row],[Beginning Balance]]*Table1[[#This Row],[Monthly Interest Rate]],2)</f>
        <v>30983.71</v>
      </c>
      <c r="F122" s="3">
        <f t="shared" si="5"/>
        <v>246</v>
      </c>
      <c r="G122" s="23">
        <f>IFERROR(IF($C$13="No","N/A",IF(Table1[[#This Row],[Period]]=1,$C$6,PMT(InterestRate*AmortizationMultiplier/12,Table1[[#This Row],[Am Thru]],-Table1[[#This Row],[Beginning Balance]]))),0)</f>
        <v>40904.218185370686</v>
      </c>
      <c r="H122" s="3">
        <f>MAX(0,IF(C122=$C$4,D122,ROUND(IF($C$3="Fixed Principal",$C$6-Table1[[#This Row],[Interest]],IF($C$3="Interest Only",Table1[[#This Row],[Beginning Balance]]*ROUND(1-(1-IF($C$11="No",$E$8,1))^(1/12),6),MIN(IF($C$13="Yes",Table1[[#This Row],[Payment Amount (Reamortized)]],$C$6)-Table1[[#This Row],[Interest]],Table1[[#This Row],[Beginning Balance]]))),2)))</f>
        <v>9920.51</v>
      </c>
      <c r="I122" s="3">
        <f>_xlfn.SINGLE(IF($C$3="Line of Credit",0,ROUND(MAX(MIN(IF($C$10="No",$E$7,VLOOKUP(Table1[[#This Row],[Period]],Forecast!$H$2:$L$1048576,4,FALSE))*Table1[[#This Row],[Beginning Balance]],Table1[[#This Row],[Beginning Balance]]-Table1[[#This Row],[Principal]]),0),2)))</f>
        <v>15046.22</v>
      </c>
      <c r="J122" s="3">
        <f>ROUND(MIN(Table1[[#This Row],[Beginning Balance]]*IF($C$8="No",$E$3,VLOOKUP(Table1[[#This Row],[Period]],Forecast!$H$2:$L$1048576,2,FALSE)),Table1[[#This Row],[Beginning Balance]]-Table1[[#This Row],[Principal]]-Table1[[#This Row],[Prepayments]]),2)</f>
        <v>3602.02</v>
      </c>
      <c r="K122" s="3">
        <f>ROUND(Table1[[#This Row],[Defaulted Principal]]*IF($C$9="No",$E$4,VLOOKUP(Table1[[#This Row],[Period]],Forecast!$H$2:$L$1048576,3,FALSE)),2)</f>
        <v>312.27</v>
      </c>
      <c r="L122" s="2">
        <f>Table1[[#This Row],[Period]]+$E$9</f>
        <v>118</v>
      </c>
      <c r="M122" s="3">
        <f>Table1[[#This Row],[Defaulted Principal]]-Table1[[#This Row],[Estimated Loss]]</f>
        <v>3289.75</v>
      </c>
      <c r="N122" s="3">
        <f>IFERROR(VLOOKUP(Table1[[#This Row],[Period]],$L$16:$M$385,2,FALSE),0)</f>
        <v>3504.19</v>
      </c>
      <c r="O122" s="3">
        <f>Table1[[#This Row],[Beginning Balance]]-Table1[[#This Row],[Principal]]-Table1[[#This Row],[Prepayments]]-Table1[[#This Row],[Defaulted Principal]]</f>
        <v>5245254.6599999955</v>
      </c>
      <c r="P122" s="3">
        <f>Table1[[#This Row],[Principal]]+Table1[[#This Row],[Interest]]+Table1[[#This Row],[Prepayments]]+Table1[[#This Row],[RecoveredAmount]]</f>
        <v>59454.630000000005</v>
      </c>
      <c r="Q122" s="3">
        <f ca="1">Table1[[#This Row],[Cash Flow]]/((1+ActualRateToUse)^(IF(ISNUMBER(SEARCH("Actual",$C$7)),Table1[[#This Row],[Running Total]]/365,Table1[[#This Row],[Period]]/12)))</f>
        <v>31565.629797820864</v>
      </c>
      <c r="R122" s="2">
        <f>IF(MONTH(Table1[[#This Row],[Date]])=2,28,DAY(DATE(YEAR(Table1[[#This Row],[Date]]),MONTH(Table1[[#This Row],[Date]])+1,1)-1))</f>
        <v>30</v>
      </c>
      <c r="S122" s="2">
        <f ca="1">SUM(OFFSET(Table1[[#Headers],[Days in month]],1,0):Table1[[#This Row],[Days in month]])</f>
        <v>3224</v>
      </c>
      <c r="T122" s="37">
        <f>InterestRate*AmortizationMultiplier*IF(ISNUMBER(SEARCH("Actual",$C$7)),Table1[[#This Row],[Days in month]]/365,1/12)</f>
        <v>5.8749999999999991E-3</v>
      </c>
    </row>
    <row r="123" spans="2:20" x14ac:dyDescent="0.2">
      <c r="B123" s="1">
        <v>49095</v>
      </c>
      <c r="C123" s="2">
        <f t="shared" si="4"/>
        <v>107</v>
      </c>
      <c r="D123" s="3">
        <f t="shared" si="6"/>
        <v>5245254.6599999955</v>
      </c>
      <c r="E123" s="3">
        <f>ROUND(Table1[[#This Row],[Beginning Balance]]*Table1[[#This Row],[Monthly Interest Rate]],2)</f>
        <v>31843.07</v>
      </c>
      <c r="F123" s="3">
        <f t="shared" si="5"/>
        <v>245</v>
      </c>
      <c r="G123" s="23">
        <f>IFERROR(IF($C$13="No","N/A",IF(Table1[[#This Row],[Period]]=1,$C$6,PMT(InterestRate*AmortizationMultiplier/12,Table1[[#This Row],[Am Thru]],-Table1[[#This Row],[Beginning Balance]]))),0)</f>
        <v>40755.97640313481</v>
      </c>
      <c r="H123" s="3">
        <f>MAX(0,IF(C123=$C$4,D123,ROUND(IF($C$3="Fixed Principal",$C$6-Table1[[#This Row],[Interest]],IF($C$3="Interest Only",Table1[[#This Row],[Beginning Balance]]*ROUND(1-(1-IF($C$11="No",$E$8,1))^(1/12),6),MIN(IF($C$13="Yes",Table1[[#This Row],[Payment Amount (Reamortized)]],$C$6)-Table1[[#This Row],[Interest]],Table1[[#This Row],[Beginning Balance]]))),2)))</f>
        <v>8912.91</v>
      </c>
      <c r="I123" s="3">
        <f>_xlfn.SINGLE(IF($C$3="Line of Credit",0,ROUND(MAX(MIN(IF($C$10="No",$E$7,VLOOKUP(Table1[[#This Row],[Period]],Forecast!$H$2:$L$1048576,4,FALSE))*Table1[[#This Row],[Beginning Balance]],Table1[[#This Row],[Beginning Balance]]-Table1[[#This Row],[Principal]]),0),2)))</f>
        <v>14964.71</v>
      </c>
      <c r="J123" s="3">
        <f>ROUND(MIN(Table1[[#This Row],[Beginning Balance]]*IF($C$8="No",$E$3,VLOOKUP(Table1[[#This Row],[Period]],Forecast!$H$2:$L$1048576,2,FALSE)),Table1[[#This Row],[Beginning Balance]]-Table1[[#This Row],[Principal]]-Table1[[#This Row],[Prepayments]]),2)</f>
        <v>3582.51</v>
      </c>
      <c r="K123" s="3">
        <f>ROUND(Table1[[#This Row],[Defaulted Principal]]*IF($C$9="No",$E$4,VLOOKUP(Table1[[#This Row],[Period]],Forecast!$H$2:$L$1048576,3,FALSE)),2)</f>
        <v>310.58</v>
      </c>
      <c r="L123" s="2">
        <f>Table1[[#This Row],[Period]]+$E$9</f>
        <v>119</v>
      </c>
      <c r="M123" s="3">
        <f>Table1[[#This Row],[Defaulted Principal]]-Table1[[#This Row],[Estimated Loss]]</f>
        <v>3271.9300000000003</v>
      </c>
      <c r="N123" s="3">
        <f>IFERROR(VLOOKUP(Table1[[#This Row],[Period]],$L$16:$M$385,2,FALSE),0)</f>
        <v>3485.7599999999998</v>
      </c>
      <c r="O123" s="3">
        <f>Table1[[#This Row],[Beginning Balance]]-Table1[[#This Row],[Principal]]-Table1[[#This Row],[Prepayments]]-Table1[[#This Row],[Defaulted Principal]]</f>
        <v>5217794.5299999956</v>
      </c>
      <c r="P123" s="3">
        <f>Table1[[#This Row],[Principal]]+Table1[[#This Row],[Interest]]+Table1[[#This Row],[Prepayments]]+Table1[[#This Row],[RecoveredAmount]]</f>
        <v>59206.45</v>
      </c>
      <c r="Q123" s="3">
        <f ca="1">Table1[[#This Row],[Cash Flow]]/((1+ActualRateToUse)^(IF(ISNUMBER(SEARCH("Actual",$C$7)),Table1[[#This Row],[Running Total]]/365,Table1[[#This Row],[Period]]/12)))</f>
        <v>31243.080348442512</v>
      </c>
      <c r="R123" s="2">
        <f>IF(MONTH(Table1[[#This Row],[Date]])=2,28,DAY(DATE(YEAR(Table1[[#This Row],[Date]]),MONTH(Table1[[#This Row],[Date]])+1,1)-1))</f>
        <v>31</v>
      </c>
      <c r="S123" s="2">
        <f ca="1">SUM(OFFSET(Table1[[#Headers],[Days in month]],1,0):Table1[[#This Row],[Days in month]])</f>
        <v>3255</v>
      </c>
      <c r="T123" s="37">
        <f>InterestRate*AmortizationMultiplier*IF(ISNUMBER(SEARCH("Actual",$C$7)),Table1[[#This Row],[Days in month]]/365,1/12)</f>
        <v>6.0708333333333326E-3</v>
      </c>
    </row>
    <row r="124" spans="2:20" x14ac:dyDescent="0.2">
      <c r="B124" s="1">
        <v>49125</v>
      </c>
      <c r="C124" s="2">
        <f t="shared" si="4"/>
        <v>108</v>
      </c>
      <c r="D124" s="3">
        <f t="shared" si="6"/>
        <v>5217794.5299999956</v>
      </c>
      <c r="E124" s="3">
        <f>ROUND(Table1[[#This Row],[Beginning Balance]]*Table1[[#This Row],[Monthly Interest Rate]],2)</f>
        <v>30654.54</v>
      </c>
      <c r="F124" s="3">
        <f t="shared" si="5"/>
        <v>244</v>
      </c>
      <c r="G124" s="23">
        <f>IFERROR(IF($C$13="No","N/A",IF(Table1[[#This Row],[Period]]=1,$C$6,PMT(InterestRate*AmortizationMultiplier/12,Table1[[#This Row],[Am Thru]],-Table1[[#This Row],[Beginning Balance]]))),0)</f>
        <v>40616.265714191526</v>
      </c>
      <c r="H124" s="3">
        <f>MAX(0,IF(C124=$C$4,D124,ROUND(IF($C$3="Fixed Principal",$C$6-Table1[[#This Row],[Interest]],IF($C$3="Interest Only",Table1[[#This Row],[Beginning Balance]]*ROUND(1-(1-IF($C$11="No",$E$8,1))^(1/12),6),MIN(IF($C$13="Yes",Table1[[#This Row],[Payment Amount (Reamortized)]],$C$6)-Table1[[#This Row],[Interest]],Table1[[#This Row],[Beginning Balance]]))),2)))</f>
        <v>9961.73</v>
      </c>
      <c r="I124" s="3">
        <f>_xlfn.SINGLE(IF($C$3="Line of Credit",0,ROUND(MAX(MIN(IF($C$10="No",$E$7,VLOOKUP(Table1[[#This Row],[Period]],Forecast!$H$2:$L$1048576,4,FALSE))*Table1[[#This Row],[Beginning Balance]],Table1[[#This Row],[Beginning Balance]]-Table1[[#This Row],[Principal]]),0),2)))</f>
        <v>14886.37</v>
      </c>
      <c r="J124" s="3">
        <f>ROUND(MIN(Table1[[#This Row],[Beginning Balance]]*IF($C$8="No",$E$3,VLOOKUP(Table1[[#This Row],[Period]],Forecast!$H$2:$L$1048576,2,FALSE)),Table1[[#This Row],[Beginning Balance]]-Table1[[#This Row],[Principal]]-Table1[[#This Row],[Prepayments]]),2)</f>
        <v>3563.75</v>
      </c>
      <c r="K124" s="3">
        <f>ROUND(Table1[[#This Row],[Defaulted Principal]]*IF($C$9="No",$E$4,VLOOKUP(Table1[[#This Row],[Period]],Forecast!$H$2:$L$1048576,3,FALSE)),2)</f>
        <v>308.95999999999998</v>
      </c>
      <c r="L124" s="2">
        <f>Table1[[#This Row],[Period]]+$E$9</f>
        <v>120</v>
      </c>
      <c r="M124" s="3">
        <f>Table1[[#This Row],[Defaulted Principal]]-Table1[[#This Row],[Estimated Loss]]</f>
        <v>3254.79</v>
      </c>
      <c r="N124" s="3">
        <f>IFERROR(VLOOKUP(Table1[[#This Row],[Period]],$L$16:$M$385,2,FALSE),0)</f>
        <v>3468.07</v>
      </c>
      <c r="O124" s="3">
        <f>Table1[[#This Row],[Beginning Balance]]-Table1[[#This Row],[Principal]]-Table1[[#This Row],[Prepayments]]-Table1[[#This Row],[Defaulted Principal]]</f>
        <v>5189382.679999995</v>
      </c>
      <c r="P124" s="3">
        <f>Table1[[#This Row],[Principal]]+Table1[[#This Row],[Interest]]+Table1[[#This Row],[Prepayments]]+Table1[[#This Row],[RecoveredAmount]]</f>
        <v>58970.710000000006</v>
      </c>
      <c r="Q124" s="3">
        <f ca="1">Table1[[#This Row],[Cash Flow]]/((1+ActualRateToUse)^(IF(ISNUMBER(SEARCH("Actual",$C$7)),Table1[[#This Row],[Running Total]]/365,Table1[[#This Row],[Period]]/12)))</f>
        <v>30935.882920623619</v>
      </c>
      <c r="R124" s="2">
        <f>IF(MONTH(Table1[[#This Row],[Date]])=2,28,DAY(DATE(YEAR(Table1[[#This Row],[Date]]),MONTH(Table1[[#This Row],[Date]])+1,1)-1))</f>
        <v>30</v>
      </c>
      <c r="S124" s="2">
        <f ca="1">SUM(OFFSET(Table1[[#Headers],[Days in month]],1,0):Table1[[#This Row],[Days in month]])</f>
        <v>3285</v>
      </c>
      <c r="T124" s="37">
        <f>InterestRate*AmortizationMultiplier*IF(ISNUMBER(SEARCH("Actual",$C$7)),Table1[[#This Row],[Days in month]]/365,1/12)</f>
        <v>5.8749999999999991E-3</v>
      </c>
    </row>
    <row r="125" spans="2:20" x14ac:dyDescent="0.2">
      <c r="B125" s="1">
        <v>49156</v>
      </c>
      <c r="C125" s="2">
        <f t="shared" si="4"/>
        <v>109</v>
      </c>
      <c r="D125" s="3">
        <f t="shared" si="6"/>
        <v>5189382.679999995</v>
      </c>
      <c r="E125" s="3">
        <f>ROUND(Table1[[#This Row],[Beginning Balance]]*Table1[[#This Row],[Monthly Interest Rate]],2)</f>
        <v>31503.88</v>
      </c>
      <c r="F125" s="3">
        <f t="shared" si="5"/>
        <v>243</v>
      </c>
      <c r="G125" s="23">
        <f>IFERROR(IF($C$13="No","N/A",IF(Table1[[#This Row],[Period]]=1,$C$6,PMT(InterestRate*AmortizationMultiplier/12,Table1[[#This Row],[Am Thru]],-Table1[[#This Row],[Beginning Balance]]))),0)</f>
        <v>40469.063354974911</v>
      </c>
      <c r="H125" s="3">
        <f>MAX(0,IF(C125=$C$4,D125,ROUND(IF($C$3="Fixed Principal",$C$6-Table1[[#This Row],[Interest]],IF($C$3="Interest Only",Table1[[#This Row],[Beginning Balance]]*ROUND(1-(1-IF($C$11="No",$E$8,1))^(1/12),6),MIN(IF($C$13="Yes",Table1[[#This Row],[Payment Amount (Reamortized)]],$C$6)-Table1[[#This Row],[Interest]],Table1[[#This Row],[Beginning Balance]]))),2)))</f>
        <v>8965.18</v>
      </c>
      <c r="I125" s="3">
        <f>_xlfn.SINGLE(IF($C$3="Line of Credit",0,ROUND(MAX(MIN(IF($C$10="No",$E$7,VLOOKUP(Table1[[#This Row],[Period]],Forecast!$H$2:$L$1048576,4,FALSE))*Table1[[#This Row],[Beginning Balance]],Table1[[#This Row],[Beginning Balance]]-Table1[[#This Row],[Principal]]),0),2)))</f>
        <v>14805.31</v>
      </c>
      <c r="J125" s="3">
        <f>ROUND(MIN(Table1[[#This Row],[Beginning Balance]]*IF($C$8="No",$E$3,VLOOKUP(Table1[[#This Row],[Period]],Forecast!$H$2:$L$1048576,2,FALSE)),Table1[[#This Row],[Beginning Balance]]-Table1[[#This Row],[Principal]]-Table1[[#This Row],[Prepayments]]),2)</f>
        <v>3544.35</v>
      </c>
      <c r="K125" s="3">
        <f>ROUND(Table1[[#This Row],[Defaulted Principal]]*IF($C$9="No",$E$4,VLOOKUP(Table1[[#This Row],[Period]],Forecast!$H$2:$L$1048576,3,FALSE)),2)</f>
        <v>307.27</v>
      </c>
      <c r="L125" s="2">
        <f>Table1[[#This Row],[Period]]+$E$9</f>
        <v>121</v>
      </c>
      <c r="M125" s="3">
        <f>Table1[[#This Row],[Defaulted Principal]]-Table1[[#This Row],[Estimated Loss]]</f>
        <v>3237.08</v>
      </c>
      <c r="N125" s="3">
        <f>IFERROR(VLOOKUP(Table1[[#This Row],[Period]],$L$16:$M$385,2,FALSE),0)</f>
        <v>3449.74</v>
      </c>
      <c r="O125" s="3">
        <f>Table1[[#This Row],[Beginning Balance]]-Table1[[#This Row],[Principal]]-Table1[[#This Row],[Prepayments]]-Table1[[#This Row],[Defaulted Principal]]</f>
        <v>5162067.8399999961</v>
      </c>
      <c r="P125" s="3">
        <f>Table1[[#This Row],[Principal]]+Table1[[#This Row],[Interest]]+Table1[[#This Row],[Prepayments]]+Table1[[#This Row],[RecoveredAmount]]</f>
        <v>58724.109999999993</v>
      </c>
      <c r="Q125" s="3">
        <f ca="1">Table1[[#This Row],[Cash Flow]]/((1+ActualRateToUse)^(IF(ISNUMBER(SEARCH("Actual",$C$7)),Table1[[#This Row],[Running Total]]/365,Table1[[#This Row],[Period]]/12)))</f>
        <v>30619.539031219301</v>
      </c>
      <c r="R125" s="2">
        <f>IF(MONTH(Table1[[#This Row],[Date]])=2,28,DAY(DATE(YEAR(Table1[[#This Row],[Date]]),MONTH(Table1[[#This Row],[Date]])+1,1)-1))</f>
        <v>31</v>
      </c>
      <c r="S125" s="2">
        <f ca="1">SUM(OFFSET(Table1[[#Headers],[Days in month]],1,0):Table1[[#This Row],[Days in month]])</f>
        <v>3316</v>
      </c>
      <c r="T125" s="37">
        <f>InterestRate*AmortizationMultiplier*IF(ISNUMBER(SEARCH("Actual",$C$7)),Table1[[#This Row],[Days in month]]/365,1/12)</f>
        <v>6.0708333333333326E-3</v>
      </c>
    </row>
    <row r="126" spans="2:20" x14ac:dyDescent="0.2">
      <c r="B126" s="1">
        <v>49187</v>
      </c>
      <c r="C126" s="2">
        <f t="shared" si="4"/>
        <v>110</v>
      </c>
      <c r="D126" s="3">
        <f t="shared" si="6"/>
        <v>5162067.8399999961</v>
      </c>
      <c r="E126" s="3">
        <f>ROUND(Table1[[#This Row],[Beginning Balance]]*Table1[[#This Row],[Monthly Interest Rate]],2)</f>
        <v>31338.05</v>
      </c>
      <c r="F126" s="3">
        <f t="shared" si="5"/>
        <v>242</v>
      </c>
      <c r="G126" s="23">
        <f>IFERROR(IF($C$13="No","N/A",IF(Table1[[#This Row],[Period]]=1,$C$6,PMT(InterestRate*AmortizationMultiplier/12,Table1[[#This Row],[Am Thru]],-Table1[[#This Row],[Beginning Balance]]))),0)</f>
        <v>40330.332279868744</v>
      </c>
      <c r="H126" s="3">
        <f>MAX(0,IF(C126=$C$4,D126,ROUND(IF($C$3="Fixed Principal",$C$6-Table1[[#This Row],[Interest]],IF($C$3="Interest Only",Table1[[#This Row],[Beginning Balance]]*ROUND(1-(1-IF($C$11="No",$E$8,1))^(1/12),6),MIN(IF($C$13="Yes",Table1[[#This Row],[Payment Amount (Reamortized)]],$C$6)-Table1[[#This Row],[Interest]],Table1[[#This Row],[Beginning Balance]]))),2)))</f>
        <v>8992.2800000000007</v>
      </c>
      <c r="I126" s="3">
        <f>_xlfn.SINGLE(IF($C$3="Line of Credit",0,ROUND(MAX(MIN(IF($C$10="No",$E$7,VLOOKUP(Table1[[#This Row],[Period]],Forecast!$H$2:$L$1048576,4,FALSE))*Table1[[#This Row],[Beginning Balance]],Table1[[#This Row],[Beginning Balance]]-Table1[[#This Row],[Principal]]),0),2)))</f>
        <v>14727.38</v>
      </c>
      <c r="J126" s="3">
        <f>ROUND(MIN(Table1[[#This Row],[Beginning Balance]]*IF($C$8="No",$E$3,VLOOKUP(Table1[[#This Row],[Period]],Forecast!$H$2:$L$1048576,2,FALSE)),Table1[[#This Row],[Beginning Balance]]-Table1[[#This Row],[Principal]]-Table1[[#This Row],[Prepayments]]),2)</f>
        <v>3525.69</v>
      </c>
      <c r="K126" s="3">
        <f>ROUND(Table1[[#This Row],[Defaulted Principal]]*IF($C$9="No",$E$4,VLOOKUP(Table1[[#This Row],[Period]],Forecast!$H$2:$L$1048576,3,FALSE)),2)</f>
        <v>305.66000000000003</v>
      </c>
      <c r="L126" s="2">
        <f>Table1[[#This Row],[Period]]+$E$9</f>
        <v>122</v>
      </c>
      <c r="M126" s="3">
        <f>Table1[[#This Row],[Defaulted Principal]]-Table1[[#This Row],[Estimated Loss]]</f>
        <v>3220.03</v>
      </c>
      <c r="N126" s="3">
        <f>IFERROR(VLOOKUP(Table1[[#This Row],[Period]],$L$16:$M$385,2,FALSE),0)</f>
        <v>3432.14</v>
      </c>
      <c r="O126" s="3">
        <f>Table1[[#This Row],[Beginning Balance]]-Table1[[#This Row],[Principal]]-Table1[[#This Row],[Prepayments]]-Table1[[#This Row],[Defaulted Principal]]</f>
        <v>5134822.4899999956</v>
      </c>
      <c r="P126" s="3">
        <f>Table1[[#This Row],[Principal]]+Table1[[#This Row],[Interest]]+Table1[[#This Row],[Prepayments]]+Table1[[#This Row],[RecoveredAmount]]</f>
        <v>58489.85</v>
      </c>
      <c r="Q126" s="3">
        <f ca="1">Table1[[#This Row],[Cash Flow]]/((1+ActualRateToUse)^(IF(ISNUMBER(SEARCH("Actual",$C$7)),Table1[[#This Row],[Running Total]]/365,Table1[[#This Row],[Period]]/12)))</f>
        <v>30312.290771301967</v>
      </c>
      <c r="R126" s="2">
        <f>IF(MONTH(Table1[[#This Row],[Date]])=2,28,DAY(DATE(YEAR(Table1[[#This Row],[Date]]),MONTH(Table1[[#This Row],[Date]])+1,1)-1))</f>
        <v>31</v>
      </c>
      <c r="S126" s="2">
        <f ca="1">SUM(OFFSET(Table1[[#Headers],[Days in month]],1,0):Table1[[#This Row],[Days in month]])</f>
        <v>3347</v>
      </c>
      <c r="T126" s="37">
        <f>InterestRate*AmortizationMultiplier*IF(ISNUMBER(SEARCH("Actual",$C$7)),Table1[[#This Row],[Days in month]]/365,1/12)</f>
        <v>6.0708333333333326E-3</v>
      </c>
    </row>
    <row r="127" spans="2:20" x14ac:dyDescent="0.2">
      <c r="B127" s="1">
        <v>49217</v>
      </c>
      <c r="C127" s="2">
        <f t="shared" si="4"/>
        <v>111</v>
      </c>
      <c r="D127" s="3">
        <f t="shared" si="6"/>
        <v>5134822.4899999956</v>
      </c>
      <c r="E127" s="3">
        <f>ROUND(Table1[[#This Row],[Beginning Balance]]*Table1[[#This Row],[Monthly Interest Rate]],2)</f>
        <v>30167.08</v>
      </c>
      <c r="F127" s="3">
        <f t="shared" si="5"/>
        <v>241</v>
      </c>
      <c r="G127" s="23">
        <f>IFERROR(IF($C$13="No","N/A",IF(Table1[[#This Row],[Period]]=1,$C$6,PMT(InterestRate*AmortizationMultiplier/12,Table1[[#This Row],[Am Thru]],-Table1[[#This Row],[Beginning Balance]]))),0)</f>
        <v>40192.074772911394</v>
      </c>
      <c r="H127" s="3">
        <f>MAX(0,IF(C127=$C$4,D127,ROUND(IF($C$3="Fixed Principal",$C$6-Table1[[#This Row],[Interest]],IF($C$3="Interest Only",Table1[[#This Row],[Beginning Balance]]*ROUND(1-(1-IF($C$11="No",$E$8,1))^(1/12),6),MIN(IF($C$13="Yes",Table1[[#This Row],[Payment Amount (Reamortized)]],$C$6)-Table1[[#This Row],[Interest]],Table1[[#This Row],[Beginning Balance]]))),2)))</f>
        <v>5134822.4899999956</v>
      </c>
      <c r="I127" s="3">
        <f>_xlfn.SINGLE(IF($C$3="Line of Credit",0,ROUND(MAX(MIN(IF($C$10="No",$E$7,VLOOKUP(Table1[[#This Row],[Period]],Forecast!$H$2:$L$1048576,4,FALSE))*Table1[[#This Row],[Beginning Balance]],Table1[[#This Row],[Beginning Balance]]-Table1[[#This Row],[Principal]]),0),2)))</f>
        <v>0</v>
      </c>
      <c r="J127" s="3">
        <f>ROUND(MIN(Table1[[#This Row],[Beginning Balance]]*IF($C$8="No",$E$3,VLOOKUP(Table1[[#This Row],[Period]],Forecast!$H$2:$L$1048576,2,FALSE)),Table1[[#This Row],[Beginning Balance]]-Table1[[#This Row],[Principal]]-Table1[[#This Row],[Prepayments]]),2)</f>
        <v>0</v>
      </c>
      <c r="K127" s="3">
        <f>ROUND(Table1[[#This Row],[Defaulted Principal]]*IF($C$9="No",$E$4,VLOOKUP(Table1[[#This Row],[Period]],Forecast!$H$2:$L$1048576,3,FALSE)),2)</f>
        <v>0</v>
      </c>
      <c r="L127" s="2">
        <f>Table1[[#This Row],[Period]]+$E$9</f>
        <v>123</v>
      </c>
      <c r="M127" s="3">
        <f>Table1[[#This Row],[Defaulted Principal]]-Table1[[#This Row],[Estimated Loss]]</f>
        <v>0</v>
      </c>
      <c r="N127" s="3">
        <f>IFERROR(VLOOKUP(Table1[[#This Row],[Period]],$L$16:$M$385,2,FALSE),0)</f>
        <v>3414.59</v>
      </c>
      <c r="O127" s="3">
        <f>Table1[[#This Row],[Beginning Balance]]-Table1[[#This Row],[Principal]]-Table1[[#This Row],[Prepayments]]-Table1[[#This Row],[Defaulted Principal]]</f>
        <v>0</v>
      </c>
      <c r="P127" s="3">
        <f>Table1[[#This Row],[Principal]]+Table1[[#This Row],[Interest]]+Table1[[#This Row],[Prepayments]]+Table1[[#This Row],[RecoveredAmount]]</f>
        <v>5168404.1599999955</v>
      </c>
      <c r="Q127" s="3">
        <f ca="1">Table1[[#This Row],[Cash Flow]]/((1+ActualRateToUse)^(IF(ISNUMBER(SEARCH("Actual",$C$7)),Table1[[#This Row],[Running Total]]/365,Table1[[#This Row],[Period]]/12)))</f>
        <v>2662784.6995949908</v>
      </c>
      <c r="R127" s="2">
        <f>IF(MONTH(Table1[[#This Row],[Date]])=2,28,DAY(DATE(YEAR(Table1[[#This Row],[Date]]),MONTH(Table1[[#This Row],[Date]])+1,1)-1))</f>
        <v>30</v>
      </c>
      <c r="S127" s="2">
        <f ca="1">SUM(OFFSET(Table1[[#Headers],[Days in month]],1,0):Table1[[#This Row],[Days in month]])</f>
        <v>3377</v>
      </c>
      <c r="T127" s="37">
        <f>InterestRate*AmortizationMultiplier*IF(ISNUMBER(SEARCH("Actual",$C$7)),Table1[[#This Row],[Days in month]]/365,1/12)</f>
        <v>5.8749999999999991E-3</v>
      </c>
    </row>
    <row r="128" spans="2:20" x14ac:dyDescent="0.2">
      <c r="B128" s="1">
        <v>49248</v>
      </c>
      <c r="C128" s="2">
        <f t="shared" si="4"/>
        <v>112</v>
      </c>
      <c r="D128" s="3">
        <f t="shared" si="6"/>
        <v>0</v>
      </c>
      <c r="E128" s="3">
        <f>ROUND(Table1[[#This Row],[Beginning Balance]]*Table1[[#This Row],[Monthly Interest Rate]],2)</f>
        <v>0</v>
      </c>
      <c r="F128" s="3">
        <f t="shared" si="5"/>
        <v>240</v>
      </c>
      <c r="G128" s="23">
        <f>IFERROR(IF($C$13="No","N/A",IF(Table1[[#This Row],[Period]]=1,$C$6,PMT(InterestRate*AmortizationMultiplier/12,Table1[[#This Row],[Am Thru]],-Table1[[#This Row],[Beginning Balance]]))),0)</f>
        <v>0</v>
      </c>
      <c r="H128" s="3">
        <f>MAX(0,IF(C128=$C$4,D128,ROUND(IF($C$3="Fixed Principal",$C$6-Table1[[#This Row],[Interest]],IF($C$3="Interest Only",Table1[[#This Row],[Beginning Balance]]*ROUND(1-(1-IF($C$11="No",$E$8,1))^(1/12),6),MIN(IF($C$13="Yes",Table1[[#This Row],[Payment Amount (Reamortized)]],$C$6)-Table1[[#This Row],[Interest]],Table1[[#This Row],[Beginning Balance]]))),2)))</f>
        <v>0</v>
      </c>
      <c r="I128" s="3">
        <f>_xlfn.SINGLE(IF($C$3="Line of Credit",0,ROUND(MAX(MIN(IF($C$10="No",$E$7,VLOOKUP(Table1[[#This Row],[Period]],Forecast!$H$2:$L$1048576,4,FALSE))*Table1[[#This Row],[Beginning Balance]],Table1[[#This Row],[Beginning Balance]]-Table1[[#This Row],[Principal]]),0),2)))</f>
        <v>0</v>
      </c>
      <c r="J128" s="3">
        <f>ROUND(MIN(Table1[[#This Row],[Beginning Balance]]*IF($C$8="No",$E$3,VLOOKUP(Table1[[#This Row],[Period]],Forecast!$H$2:$L$1048576,2,FALSE)),Table1[[#This Row],[Beginning Balance]]-Table1[[#This Row],[Principal]]-Table1[[#This Row],[Prepayments]]),2)</f>
        <v>0</v>
      </c>
      <c r="K128" s="3">
        <f>ROUND(Table1[[#This Row],[Defaulted Principal]]*IF($C$9="No",$E$4,VLOOKUP(Table1[[#This Row],[Period]],Forecast!$H$2:$L$1048576,3,FALSE)),2)</f>
        <v>0</v>
      </c>
      <c r="L128" s="2">
        <f>Table1[[#This Row],[Period]]+$E$9</f>
        <v>124</v>
      </c>
      <c r="M128" s="3">
        <f>Table1[[#This Row],[Defaulted Principal]]-Table1[[#This Row],[Estimated Loss]]</f>
        <v>0</v>
      </c>
      <c r="N128" s="3">
        <f>IFERROR(VLOOKUP(Table1[[#This Row],[Period]],$L$16:$M$385,2,FALSE),0)</f>
        <v>3396.41</v>
      </c>
      <c r="O128" s="3">
        <f>Table1[[#This Row],[Beginning Balance]]-Table1[[#This Row],[Principal]]-Table1[[#This Row],[Prepayments]]-Table1[[#This Row],[Defaulted Principal]]</f>
        <v>0</v>
      </c>
      <c r="P128" s="3">
        <f>Table1[[#This Row],[Principal]]+Table1[[#This Row],[Interest]]+Table1[[#This Row],[Prepayments]]+Table1[[#This Row],[RecoveredAmount]]</f>
        <v>3396.41</v>
      </c>
      <c r="Q128" s="3">
        <f ca="1">Table1[[#This Row],[Cash Flow]]/((1+ActualRateToUse)^(IF(ISNUMBER(SEARCH("Actual",$C$7)),Table1[[#This Row],[Running Total]]/365,Table1[[#This Row],[Period]]/12)))</f>
        <v>1739.2248913247768</v>
      </c>
      <c r="R128" s="2">
        <f>IF(MONTH(Table1[[#This Row],[Date]])=2,28,DAY(DATE(YEAR(Table1[[#This Row],[Date]]),MONTH(Table1[[#This Row],[Date]])+1,1)-1))</f>
        <v>31</v>
      </c>
      <c r="S128" s="2">
        <f ca="1">SUM(OFFSET(Table1[[#Headers],[Days in month]],1,0):Table1[[#This Row],[Days in month]])</f>
        <v>3408</v>
      </c>
      <c r="T128" s="37">
        <f>InterestRate*AmortizationMultiplier*IF(ISNUMBER(SEARCH("Actual",$C$7)),Table1[[#This Row],[Days in month]]/365,1/12)</f>
        <v>6.0708333333333326E-3</v>
      </c>
    </row>
    <row r="129" spans="2:20" x14ac:dyDescent="0.2">
      <c r="B129" s="1">
        <v>49278</v>
      </c>
      <c r="C129" s="2">
        <f t="shared" si="4"/>
        <v>113</v>
      </c>
      <c r="D129" s="3">
        <f t="shared" si="6"/>
        <v>0</v>
      </c>
      <c r="E129" s="3">
        <f>ROUND(Table1[[#This Row],[Beginning Balance]]*Table1[[#This Row],[Monthly Interest Rate]],2)</f>
        <v>0</v>
      </c>
      <c r="F129" s="3">
        <f t="shared" si="5"/>
        <v>239</v>
      </c>
      <c r="G129" s="23">
        <f>IFERROR(IF($C$13="No","N/A",IF(Table1[[#This Row],[Period]]=1,$C$6,PMT(InterestRate*AmortizationMultiplier/12,Table1[[#This Row],[Am Thru]],-Table1[[#This Row],[Beginning Balance]]))),0)</f>
        <v>0</v>
      </c>
      <c r="H129" s="3">
        <f>MAX(0,IF(C129=$C$4,D129,ROUND(IF($C$3="Fixed Principal",$C$6-Table1[[#This Row],[Interest]],IF($C$3="Interest Only",Table1[[#This Row],[Beginning Balance]]*ROUND(1-(1-IF($C$11="No",$E$8,1))^(1/12),6),MIN(IF($C$13="Yes",Table1[[#This Row],[Payment Amount (Reamortized)]],$C$6)-Table1[[#This Row],[Interest]],Table1[[#This Row],[Beginning Balance]]))),2)))</f>
        <v>0</v>
      </c>
      <c r="I129" s="3">
        <f>_xlfn.SINGLE(IF($C$3="Line of Credit",0,ROUND(MAX(MIN(IF($C$10="No",$E$7,VLOOKUP(Table1[[#This Row],[Period]],Forecast!$H$2:$L$1048576,4,FALSE))*Table1[[#This Row],[Beginning Balance]],Table1[[#This Row],[Beginning Balance]]-Table1[[#This Row],[Principal]]),0),2)))</f>
        <v>0</v>
      </c>
      <c r="J129" s="3">
        <f>ROUND(MIN(Table1[[#This Row],[Beginning Balance]]*IF($C$8="No",$E$3,VLOOKUP(Table1[[#This Row],[Period]],Forecast!$H$2:$L$1048576,2,FALSE)),Table1[[#This Row],[Beginning Balance]]-Table1[[#This Row],[Principal]]-Table1[[#This Row],[Prepayments]]),2)</f>
        <v>0</v>
      </c>
      <c r="K129" s="3">
        <f>ROUND(Table1[[#This Row],[Defaulted Principal]]*IF($C$9="No",$E$4,VLOOKUP(Table1[[#This Row],[Period]],Forecast!$H$2:$L$1048576,3,FALSE)),2)</f>
        <v>0</v>
      </c>
      <c r="L129" s="2">
        <f>Table1[[#This Row],[Period]]+$E$9</f>
        <v>125</v>
      </c>
      <c r="M129" s="3">
        <f>Table1[[#This Row],[Defaulted Principal]]-Table1[[#This Row],[Estimated Loss]]</f>
        <v>0</v>
      </c>
      <c r="N129" s="3">
        <f>IFERROR(VLOOKUP(Table1[[#This Row],[Period]],$L$16:$M$385,2,FALSE),0)</f>
        <v>3378.96</v>
      </c>
      <c r="O129" s="3">
        <f>Table1[[#This Row],[Beginning Balance]]-Table1[[#This Row],[Principal]]-Table1[[#This Row],[Prepayments]]-Table1[[#This Row],[Defaulted Principal]]</f>
        <v>0</v>
      </c>
      <c r="P129" s="3">
        <f>Table1[[#This Row],[Principal]]+Table1[[#This Row],[Interest]]+Table1[[#This Row],[Prepayments]]+Table1[[#This Row],[RecoveredAmount]]</f>
        <v>3378.96</v>
      </c>
      <c r="Q129" s="3">
        <f ca="1">Table1[[#This Row],[Cash Flow]]/((1+ActualRateToUse)^(IF(ISNUMBER(SEARCH("Actual",$C$7)),Table1[[#This Row],[Running Total]]/365,Table1[[#This Row],[Period]]/12)))</f>
        <v>1720.1250355037976</v>
      </c>
      <c r="R129" s="2">
        <f>IF(MONTH(Table1[[#This Row],[Date]])=2,28,DAY(DATE(YEAR(Table1[[#This Row],[Date]]),MONTH(Table1[[#This Row],[Date]])+1,1)-1))</f>
        <v>30</v>
      </c>
      <c r="S129" s="2">
        <f ca="1">SUM(OFFSET(Table1[[#Headers],[Days in month]],1,0):Table1[[#This Row],[Days in month]])</f>
        <v>3438</v>
      </c>
      <c r="T129" s="37">
        <f>InterestRate*AmortizationMultiplier*IF(ISNUMBER(SEARCH("Actual",$C$7)),Table1[[#This Row],[Days in month]]/365,1/12)</f>
        <v>5.8749999999999991E-3</v>
      </c>
    </row>
    <row r="130" spans="2:20" x14ac:dyDescent="0.2">
      <c r="B130" s="1">
        <v>49309</v>
      </c>
      <c r="C130" s="2">
        <f t="shared" si="4"/>
        <v>114</v>
      </c>
      <c r="D130" s="3">
        <f t="shared" si="6"/>
        <v>0</v>
      </c>
      <c r="E130" s="3">
        <f>ROUND(Table1[[#This Row],[Beginning Balance]]*Table1[[#This Row],[Monthly Interest Rate]],2)</f>
        <v>0</v>
      </c>
      <c r="F130" s="3">
        <f t="shared" si="5"/>
        <v>238</v>
      </c>
      <c r="G130" s="23">
        <f>IFERROR(IF($C$13="No","N/A",IF(Table1[[#This Row],[Period]]=1,$C$6,PMT(InterestRate*AmortizationMultiplier/12,Table1[[#This Row],[Am Thru]],-Table1[[#This Row],[Beginning Balance]]))),0)</f>
        <v>0</v>
      </c>
      <c r="H130" s="3">
        <f>MAX(0,IF(C130=$C$4,D130,ROUND(IF($C$3="Fixed Principal",$C$6-Table1[[#This Row],[Interest]],IF($C$3="Interest Only",Table1[[#This Row],[Beginning Balance]]*ROUND(1-(1-IF($C$11="No",$E$8,1))^(1/12),6),MIN(IF($C$13="Yes",Table1[[#This Row],[Payment Amount (Reamortized)]],$C$6)-Table1[[#This Row],[Interest]],Table1[[#This Row],[Beginning Balance]]))),2)))</f>
        <v>0</v>
      </c>
      <c r="I130" s="3">
        <f>_xlfn.SINGLE(IF($C$3="Line of Credit",0,ROUND(MAX(MIN(IF($C$10="No",$E$7,VLOOKUP(Table1[[#This Row],[Period]],Forecast!$H$2:$L$1048576,4,FALSE))*Table1[[#This Row],[Beginning Balance]],Table1[[#This Row],[Beginning Balance]]-Table1[[#This Row],[Principal]]),0),2)))</f>
        <v>0</v>
      </c>
      <c r="J130" s="3">
        <f>ROUND(MIN(Table1[[#This Row],[Beginning Balance]]*IF($C$8="No",$E$3,VLOOKUP(Table1[[#This Row],[Period]],Forecast!$H$2:$L$1048576,2,FALSE)),Table1[[#This Row],[Beginning Balance]]-Table1[[#This Row],[Principal]]-Table1[[#This Row],[Prepayments]]),2)</f>
        <v>0</v>
      </c>
      <c r="K130" s="3">
        <f>ROUND(Table1[[#This Row],[Defaulted Principal]]*IF($C$9="No",$E$4,VLOOKUP(Table1[[#This Row],[Period]],Forecast!$H$2:$L$1048576,3,FALSE)),2)</f>
        <v>0</v>
      </c>
      <c r="L130" s="2">
        <f>Table1[[#This Row],[Period]]+$E$9</f>
        <v>126</v>
      </c>
      <c r="M130" s="3">
        <f>Table1[[#This Row],[Defaulted Principal]]-Table1[[#This Row],[Estimated Loss]]</f>
        <v>0</v>
      </c>
      <c r="N130" s="3">
        <f>IFERROR(VLOOKUP(Table1[[#This Row],[Period]],$L$16:$M$385,2,FALSE),0)</f>
        <v>3360.88</v>
      </c>
      <c r="O130" s="3">
        <f>Table1[[#This Row],[Beginning Balance]]-Table1[[#This Row],[Principal]]-Table1[[#This Row],[Prepayments]]-Table1[[#This Row],[Defaulted Principal]]</f>
        <v>0</v>
      </c>
      <c r="P130" s="3">
        <f>Table1[[#This Row],[Principal]]+Table1[[#This Row],[Interest]]+Table1[[#This Row],[Prepayments]]+Table1[[#This Row],[RecoveredAmount]]</f>
        <v>3360.88</v>
      </c>
      <c r="Q130" s="3">
        <f ca="1">Table1[[#This Row],[Cash Flow]]/((1+ActualRateToUse)^(IF(ISNUMBER(SEARCH("Actual",$C$7)),Table1[[#This Row],[Running Total]]/365,Table1[[#This Row],[Period]]/12)))</f>
        <v>1700.5367366139769</v>
      </c>
      <c r="R130" s="2">
        <f>IF(MONTH(Table1[[#This Row],[Date]])=2,28,DAY(DATE(YEAR(Table1[[#This Row],[Date]]),MONTH(Table1[[#This Row],[Date]])+1,1)-1))</f>
        <v>31</v>
      </c>
      <c r="S130" s="2">
        <f ca="1">SUM(OFFSET(Table1[[#Headers],[Days in month]],1,0):Table1[[#This Row],[Days in month]])</f>
        <v>3469</v>
      </c>
      <c r="T130" s="37">
        <f>InterestRate*AmortizationMultiplier*IF(ISNUMBER(SEARCH("Actual",$C$7)),Table1[[#This Row],[Days in month]]/365,1/12)</f>
        <v>6.0708333333333326E-3</v>
      </c>
    </row>
    <row r="131" spans="2:20" x14ac:dyDescent="0.2">
      <c r="B131" s="1">
        <v>49340</v>
      </c>
      <c r="C131" s="2">
        <f t="shared" si="4"/>
        <v>115</v>
      </c>
      <c r="D131" s="3">
        <f t="shared" si="6"/>
        <v>0</v>
      </c>
      <c r="E131" s="3">
        <f>ROUND(Table1[[#This Row],[Beginning Balance]]*Table1[[#This Row],[Monthly Interest Rate]],2)</f>
        <v>0</v>
      </c>
      <c r="F131" s="3">
        <f t="shared" si="5"/>
        <v>237</v>
      </c>
      <c r="G131" s="23">
        <f>IFERROR(IF($C$13="No","N/A",IF(Table1[[#This Row],[Period]]=1,$C$6,PMT(InterestRate*AmortizationMultiplier/12,Table1[[#This Row],[Am Thru]],-Table1[[#This Row],[Beginning Balance]]))),0)</f>
        <v>0</v>
      </c>
      <c r="H131" s="3">
        <f>MAX(0,IF(C131=$C$4,D131,ROUND(IF($C$3="Fixed Principal",$C$6-Table1[[#This Row],[Interest]],IF($C$3="Interest Only",Table1[[#This Row],[Beginning Balance]]*ROUND(1-(1-IF($C$11="No",$E$8,1))^(1/12),6),MIN(IF($C$13="Yes",Table1[[#This Row],[Payment Amount (Reamortized)]],$C$6)-Table1[[#This Row],[Interest]],Table1[[#This Row],[Beginning Balance]]))),2)))</f>
        <v>0</v>
      </c>
      <c r="I131" s="3">
        <f>_xlfn.SINGLE(IF($C$3="Line of Credit",0,ROUND(MAX(MIN(IF($C$10="No",$E$7,VLOOKUP(Table1[[#This Row],[Period]],Forecast!$H$2:$L$1048576,4,FALSE))*Table1[[#This Row],[Beginning Balance]],Table1[[#This Row],[Beginning Balance]]-Table1[[#This Row],[Principal]]),0),2)))</f>
        <v>0</v>
      </c>
      <c r="J131" s="3">
        <f>ROUND(MIN(Table1[[#This Row],[Beginning Balance]]*IF($C$8="No",$E$3,VLOOKUP(Table1[[#This Row],[Period]],Forecast!$H$2:$L$1048576,2,FALSE)),Table1[[#This Row],[Beginning Balance]]-Table1[[#This Row],[Principal]]-Table1[[#This Row],[Prepayments]]),2)</f>
        <v>0</v>
      </c>
      <c r="K131" s="3">
        <f>ROUND(Table1[[#This Row],[Defaulted Principal]]*IF($C$9="No",$E$4,VLOOKUP(Table1[[#This Row],[Period]],Forecast!$H$2:$L$1048576,3,FALSE)),2)</f>
        <v>0</v>
      </c>
      <c r="L131" s="2">
        <f>Table1[[#This Row],[Period]]+$E$9</f>
        <v>127</v>
      </c>
      <c r="M131" s="3">
        <f>Table1[[#This Row],[Defaulted Principal]]-Table1[[#This Row],[Estimated Loss]]</f>
        <v>0</v>
      </c>
      <c r="N131" s="3">
        <f>IFERROR(VLOOKUP(Table1[[#This Row],[Period]],$L$16:$M$385,2,FALSE),0)</f>
        <v>3343.52</v>
      </c>
      <c r="O131" s="3">
        <f>Table1[[#This Row],[Beginning Balance]]-Table1[[#This Row],[Principal]]-Table1[[#This Row],[Prepayments]]-Table1[[#This Row],[Defaulted Principal]]</f>
        <v>0</v>
      </c>
      <c r="P131" s="3">
        <f>Table1[[#This Row],[Principal]]+Table1[[#This Row],[Interest]]+Table1[[#This Row],[Prepayments]]+Table1[[#This Row],[RecoveredAmount]]</f>
        <v>3343.52</v>
      </c>
      <c r="Q131" s="3">
        <f ca="1">Table1[[#This Row],[Cash Flow]]/((1+ActualRateToUse)^(IF(ISNUMBER(SEARCH("Actual",$C$7)),Table1[[#This Row],[Running Total]]/365,Table1[[#This Row],[Period]]/12)))</f>
        <v>1681.4849456949778</v>
      </c>
      <c r="R131" s="2">
        <f>IF(MONTH(Table1[[#This Row],[Date]])=2,28,DAY(DATE(YEAR(Table1[[#This Row],[Date]]),MONTH(Table1[[#This Row],[Date]])+1,1)-1))</f>
        <v>31</v>
      </c>
      <c r="S131" s="2">
        <f ca="1">SUM(OFFSET(Table1[[#Headers],[Days in month]],1,0):Table1[[#This Row],[Days in month]])</f>
        <v>3500</v>
      </c>
      <c r="T131" s="37">
        <f>InterestRate*AmortizationMultiplier*IF(ISNUMBER(SEARCH("Actual",$C$7)),Table1[[#This Row],[Days in month]]/365,1/12)</f>
        <v>6.0708333333333326E-3</v>
      </c>
    </row>
    <row r="132" spans="2:20" x14ac:dyDescent="0.2">
      <c r="B132" s="1">
        <v>49368</v>
      </c>
      <c r="C132" s="2">
        <f t="shared" si="4"/>
        <v>116</v>
      </c>
      <c r="D132" s="3">
        <f t="shared" si="6"/>
        <v>0</v>
      </c>
      <c r="E132" s="3">
        <f>ROUND(Table1[[#This Row],[Beginning Balance]]*Table1[[#This Row],[Monthly Interest Rate]],2)</f>
        <v>0</v>
      </c>
      <c r="F132" s="3">
        <f t="shared" si="5"/>
        <v>236</v>
      </c>
      <c r="G132" s="23">
        <f>IFERROR(IF($C$13="No","N/A",IF(Table1[[#This Row],[Period]]=1,$C$6,PMT(InterestRate*AmortizationMultiplier/12,Table1[[#This Row],[Am Thru]],-Table1[[#This Row],[Beginning Balance]]))),0)</f>
        <v>0</v>
      </c>
      <c r="H132" s="3">
        <f>MAX(0,IF(C132=$C$4,D132,ROUND(IF($C$3="Fixed Principal",$C$6-Table1[[#This Row],[Interest]],IF($C$3="Interest Only",Table1[[#This Row],[Beginning Balance]]*ROUND(1-(1-IF($C$11="No",$E$8,1))^(1/12),6),MIN(IF($C$13="Yes",Table1[[#This Row],[Payment Amount (Reamortized)]],$C$6)-Table1[[#This Row],[Interest]],Table1[[#This Row],[Beginning Balance]]))),2)))</f>
        <v>0</v>
      </c>
      <c r="I132" s="3">
        <f>_xlfn.SINGLE(IF($C$3="Line of Credit",0,ROUND(MAX(MIN(IF($C$10="No",$E$7,VLOOKUP(Table1[[#This Row],[Period]],Forecast!$H$2:$L$1048576,4,FALSE))*Table1[[#This Row],[Beginning Balance]],Table1[[#This Row],[Beginning Balance]]-Table1[[#This Row],[Principal]]),0),2)))</f>
        <v>0</v>
      </c>
      <c r="J132" s="3">
        <f>ROUND(MIN(Table1[[#This Row],[Beginning Balance]]*IF($C$8="No",$E$3,VLOOKUP(Table1[[#This Row],[Period]],Forecast!$H$2:$L$1048576,2,FALSE)),Table1[[#This Row],[Beginning Balance]]-Table1[[#This Row],[Principal]]-Table1[[#This Row],[Prepayments]]),2)</f>
        <v>0</v>
      </c>
      <c r="K132" s="3">
        <f>ROUND(Table1[[#This Row],[Defaulted Principal]]*IF($C$9="No",$E$4,VLOOKUP(Table1[[#This Row],[Period]],Forecast!$H$2:$L$1048576,3,FALSE)),2)</f>
        <v>0</v>
      </c>
      <c r="L132" s="2">
        <f>Table1[[#This Row],[Period]]+$E$9</f>
        <v>128</v>
      </c>
      <c r="M132" s="3">
        <f>Table1[[#This Row],[Defaulted Principal]]-Table1[[#This Row],[Estimated Loss]]</f>
        <v>0</v>
      </c>
      <c r="N132" s="3">
        <f>IFERROR(VLOOKUP(Table1[[#This Row],[Period]],$L$16:$M$385,2,FALSE),0)</f>
        <v>3326.2</v>
      </c>
      <c r="O132" s="3">
        <f>Table1[[#This Row],[Beginning Balance]]-Table1[[#This Row],[Principal]]-Table1[[#This Row],[Prepayments]]-Table1[[#This Row],[Defaulted Principal]]</f>
        <v>0</v>
      </c>
      <c r="P132" s="3">
        <f>Table1[[#This Row],[Principal]]+Table1[[#This Row],[Interest]]+Table1[[#This Row],[Prepayments]]+Table1[[#This Row],[RecoveredAmount]]</f>
        <v>3326.2</v>
      </c>
      <c r="Q132" s="3">
        <f ca="1">Table1[[#This Row],[Cash Flow]]/((1+ActualRateToUse)^(IF(ISNUMBER(SEARCH("Actual",$C$7)),Table1[[#This Row],[Running Total]]/365,Table1[[#This Row],[Period]]/12)))</f>
        <v>1663.6016014047691</v>
      </c>
      <c r="R132" s="2">
        <f>IF(MONTH(Table1[[#This Row],[Date]])=2,28,DAY(DATE(YEAR(Table1[[#This Row],[Date]]),MONTH(Table1[[#This Row],[Date]])+1,1)-1))</f>
        <v>28</v>
      </c>
      <c r="S132" s="2">
        <f ca="1">SUM(OFFSET(Table1[[#Headers],[Days in month]],1,0):Table1[[#This Row],[Days in month]])</f>
        <v>3528</v>
      </c>
      <c r="T132" s="37">
        <f>InterestRate*AmortizationMultiplier*IF(ISNUMBER(SEARCH("Actual",$C$7)),Table1[[#This Row],[Days in month]]/365,1/12)</f>
        <v>5.4833333333333331E-3</v>
      </c>
    </row>
    <row r="133" spans="2:20" x14ac:dyDescent="0.2">
      <c r="B133" s="1">
        <v>49399</v>
      </c>
      <c r="C133" s="2">
        <f t="shared" si="4"/>
        <v>117</v>
      </c>
      <c r="D133" s="3">
        <f t="shared" si="6"/>
        <v>0</v>
      </c>
      <c r="E133" s="3">
        <f>ROUND(Table1[[#This Row],[Beginning Balance]]*Table1[[#This Row],[Monthly Interest Rate]],2)</f>
        <v>0</v>
      </c>
      <c r="F133" s="3">
        <f t="shared" si="5"/>
        <v>235</v>
      </c>
      <c r="G133" s="23">
        <f>IFERROR(IF($C$13="No","N/A",IF(Table1[[#This Row],[Period]]=1,$C$6,PMT(InterestRate*AmortizationMultiplier/12,Table1[[#This Row],[Am Thru]],-Table1[[#This Row],[Beginning Balance]]))),0)</f>
        <v>0</v>
      </c>
      <c r="H133" s="3">
        <f>MAX(0,IF(C133=$C$4,D133,ROUND(IF($C$3="Fixed Principal",$C$6-Table1[[#This Row],[Interest]],IF($C$3="Interest Only",Table1[[#This Row],[Beginning Balance]]*ROUND(1-(1-IF($C$11="No",$E$8,1))^(1/12),6),MIN(IF($C$13="Yes",Table1[[#This Row],[Payment Amount (Reamortized)]],$C$6)-Table1[[#This Row],[Interest]],Table1[[#This Row],[Beginning Balance]]))),2)))</f>
        <v>0</v>
      </c>
      <c r="I133" s="3">
        <f>_xlfn.SINGLE(IF($C$3="Line of Credit",0,ROUND(MAX(MIN(IF($C$10="No",$E$7,VLOOKUP(Table1[[#This Row],[Period]],Forecast!$H$2:$L$1048576,4,FALSE))*Table1[[#This Row],[Beginning Balance]],Table1[[#This Row],[Beginning Balance]]-Table1[[#This Row],[Principal]]),0),2)))</f>
        <v>0</v>
      </c>
      <c r="J133" s="3">
        <f>ROUND(MIN(Table1[[#This Row],[Beginning Balance]]*IF($C$8="No",$E$3,VLOOKUP(Table1[[#This Row],[Period]],Forecast!$H$2:$L$1048576,2,FALSE)),Table1[[#This Row],[Beginning Balance]]-Table1[[#This Row],[Principal]]-Table1[[#This Row],[Prepayments]]),2)</f>
        <v>0</v>
      </c>
      <c r="K133" s="3">
        <f>ROUND(Table1[[#This Row],[Defaulted Principal]]*IF($C$9="No",$E$4,VLOOKUP(Table1[[#This Row],[Period]],Forecast!$H$2:$L$1048576,3,FALSE)),2)</f>
        <v>0</v>
      </c>
      <c r="L133" s="2">
        <f>Table1[[#This Row],[Period]]+$E$9</f>
        <v>129</v>
      </c>
      <c r="M133" s="3">
        <f>Table1[[#This Row],[Defaulted Principal]]-Table1[[#This Row],[Estimated Loss]]</f>
        <v>0</v>
      </c>
      <c r="N133" s="3">
        <f>IFERROR(VLOOKUP(Table1[[#This Row],[Period]],$L$16:$M$385,2,FALSE),0)</f>
        <v>3306.9700000000003</v>
      </c>
      <c r="O133" s="3">
        <f>Table1[[#This Row],[Beginning Balance]]-Table1[[#This Row],[Principal]]-Table1[[#This Row],[Prepayments]]-Table1[[#This Row],[Defaulted Principal]]</f>
        <v>0</v>
      </c>
      <c r="P133" s="3">
        <f>Table1[[#This Row],[Principal]]+Table1[[#This Row],[Interest]]+Table1[[#This Row],[Prepayments]]+Table1[[#This Row],[RecoveredAmount]]</f>
        <v>3306.9700000000003</v>
      </c>
      <c r="Q133" s="3">
        <f ca="1">Table1[[#This Row],[Cash Flow]]/((1+ActualRateToUse)^(IF(ISNUMBER(SEARCH("Actual",$C$7)),Table1[[#This Row],[Running Total]]/365,Table1[[#This Row],[Period]]/12)))</f>
        <v>1643.9449543864971</v>
      </c>
      <c r="R133" s="2">
        <f>IF(MONTH(Table1[[#This Row],[Date]])=2,28,DAY(DATE(YEAR(Table1[[#This Row],[Date]]),MONTH(Table1[[#This Row],[Date]])+1,1)-1))</f>
        <v>31</v>
      </c>
      <c r="S133" s="2">
        <f ca="1">SUM(OFFSET(Table1[[#Headers],[Days in month]],1,0):Table1[[#This Row],[Days in month]])</f>
        <v>3559</v>
      </c>
      <c r="T133" s="37">
        <f>InterestRate*AmortizationMultiplier*IF(ISNUMBER(SEARCH("Actual",$C$7)),Table1[[#This Row],[Days in month]]/365,1/12)</f>
        <v>6.0708333333333326E-3</v>
      </c>
    </row>
    <row r="134" spans="2:20" x14ac:dyDescent="0.2">
      <c r="B134" s="1">
        <v>49429</v>
      </c>
      <c r="C134" s="2">
        <f t="shared" si="4"/>
        <v>118</v>
      </c>
      <c r="D134" s="3">
        <f t="shared" si="6"/>
        <v>0</v>
      </c>
      <c r="E134" s="3">
        <f>ROUND(Table1[[#This Row],[Beginning Balance]]*Table1[[#This Row],[Monthly Interest Rate]],2)</f>
        <v>0</v>
      </c>
      <c r="F134" s="3">
        <f t="shared" si="5"/>
        <v>234</v>
      </c>
      <c r="G134" s="23">
        <f>IFERROR(IF($C$13="No","N/A",IF(Table1[[#This Row],[Period]]=1,$C$6,PMT(InterestRate*AmortizationMultiplier/12,Table1[[#This Row],[Am Thru]],-Table1[[#This Row],[Beginning Balance]]))),0)</f>
        <v>0</v>
      </c>
      <c r="H134" s="3">
        <f>MAX(0,IF(C134=$C$4,D134,ROUND(IF($C$3="Fixed Principal",$C$6-Table1[[#This Row],[Interest]],IF($C$3="Interest Only",Table1[[#This Row],[Beginning Balance]]*ROUND(1-(1-IF($C$11="No",$E$8,1))^(1/12),6),MIN(IF($C$13="Yes",Table1[[#This Row],[Payment Amount (Reamortized)]],$C$6)-Table1[[#This Row],[Interest]],Table1[[#This Row],[Beginning Balance]]))),2)))</f>
        <v>0</v>
      </c>
      <c r="I134" s="3">
        <f>_xlfn.SINGLE(IF($C$3="Line of Credit",0,ROUND(MAX(MIN(IF($C$10="No",$E$7,VLOOKUP(Table1[[#This Row],[Period]],Forecast!$H$2:$L$1048576,4,FALSE))*Table1[[#This Row],[Beginning Balance]],Table1[[#This Row],[Beginning Balance]]-Table1[[#This Row],[Principal]]),0),2)))</f>
        <v>0</v>
      </c>
      <c r="J134" s="3">
        <f>ROUND(MIN(Table1[[#This Row],[Beginning Balance]]*IF($C$8="No",$E$3,VLOOKUP(Table1[[#This Row],[Period]],Forecast!$H$2:$L$1048576,2,FALSE)),Table1[[#This Row],[Beginning Balance]]-Table1[[#This Row],[Principal]]-Table1[[#This Row],[Prepayments]]),2)</f>
        <v>0</v>
      </c>
      <c r="K134" s="3">
        <f>ROUND(Table1[[#This Row],[Defaulted Principal]]*IF($C$9="No",$E$4,VLOOKUP(Table1[[#This Row],[Period]],Forecast!$H$2:$L$1048576,3,FALSE)),2)</f>
        <v>0</v>
      </c>
      <c r="L134" s="2">
        <f>Table1[[#This Row],[Period]]+$E$9</f>
        <v>130</v>
      </c>
      <c r="M134" s="3">
        <f>Table1[[#This Row],[Defaulted Principal]]-Table1[[#This Row],[Estimated Loss]]</f>
        <v>0</v>
      </c>
      <c r="N134" s="3">
        <f>IFERROR(VLOOKUP(Table1[[#This Row],[Period]],$L$16:$M$385,2,FALSE),0)</f>
        <v>3289.75</v>
      </c>
      <c r="O134" s="3">
        <f>Table1[[#This Row],[Beginning Balance]]-Table1[[#This Row],[Principal]]-Table1[[#This Row],[Prepayments]]-Table1[[#This Row],[Defaulted Principal]]</f>
        <v>0</v>
      </c>
      <c r="P134" s="3">
        <f>Table1[[#This Row],[Principal]]+Table1[[#This Row],[Interest]]+Table1[[#This Row],[Prepayments]]+Table1[[#This Row],[RecoveredAmount]]</f>
        <v>3289.75</v>
      </c>
      <c r="Q134" s="3">
        <f ca="1">Table1[[#This Row],[Cash Flow]]/((1+ActualRateToUse)^(IF(ISNUMBER(SEARCH("Actual",$C$7)),Table1[[#This Row],[Running Total]]/365,Table1[[#This Row],[Period]]/12)))</f>
        <v>1625.7780166987102</v>
      </c>
      <c r="R134" s="2">
        <f>IF(MONTH(Table1[[#This Row],[Date]])=2,28,DAY(DATE(YEAR(Table1[[#This Row],[Date]]),MONTH(Table1[[#This Row],[Date]])+1,1)-1))</f>
        <v>30</v>
      </c>
      <c r="S134" s="2">
        <f ca="1">SUM(OFFSET(Table1[[#Headers],[Days in month]],1,0):Table1[[#This Row],[Days in month]])</f>
        <v>3589</v>
      </c>
      <c r="T134" s="37">
        <f>InterestRate*AmortizationMultiplier*IF(ISNUMBER(SEARCH("Actual",$C$7)),Table1[[#This Row],[Days in month]]/365,1/12)</f>
        <v>5.8749999999999991E-3</v>
      </c>
    </row>
    <row r="135" spans="2:20" x14ac:dyDescent="0.2">
      <c r="B135" s="1">
        <v>49460</v>
      </c>
      <c r="C135" s="2">
        <f t="shared" si="4"/>
        <v>119</v>
      </c>
      <c r="D135" s="3">
        <f t="shared" si="6"/>
        <v>0</v>
      </c>
      <c r="E135" s="3">
        <f>ROUND(Table1[[#This Row],[Beginning Balance]]*Table1[[#This Row],[Monthly Interest Rate]],2)</f>
        <v>0</v>
      </c>
      <c r="F135" s="3">
        <f t="shared" si="5"/>
        <v>233</v>
      </c>
      <c r="G135" s="23">
        <f>IFERROR(IF($C$13="No","N/A",IF(Table1[[#This Row],[Period]]=1,$C$6,PMT(InterestRate*AmortizationMultiplier/12,Table1[[#This Row],[Am Thru]],-Table1[[#This Row],[Beginning Balance]]))),0)</f>
        <v>0</v>
      </c>
      <c r="H135" s="3">
        <f>MAX(0,IF(C135=$C$4,D135,ROUND(IF($C$3="Fixed Principal",$C$6-Table1[[#This Row],[Interest]],IF($C$3="Interest Only",Table1[[#This Row],[Beginning Balance]]*ROUND(1-(1-IF($C$11="No",$E$8,1))^(1/12),6),MIN(IF($C$13="Yes",Table1[[#This Row],[Payment Amount (Reamortized)]],$C$6)-Table1[[#This Row],[Interest]],Table1[[#This Row],[Beginning Balance]]))),2)))</f>
        <v>0</v>
      </c>
      <c r="I135" s="3">
        <f>_xlfn.SINGLE(IF($C$3="Line of Credit",0,ROUND(MAX(MIN(IF($C$10="No",$E$7,VLOOKUP(Table1[[#This Row],[Period]],Forecast!$H$2:$L$1048576,4,FALSE))*Table1[[#This Row],[Beginning Balance]],Table1[[#This Row],[Beginning Balance]]-Table1[[#This Row],[Principal]]),0),2)))</f>
        <v>0</v>
      </c>
      <c r="J135" s="3">
        <f>ROUND(MIN(Table1[[#This Row],[Beginning Balance]]*IF($C$8="No",$E$3,VLOOKUP(Table1[[#This Row],[Period]],Forecast!$H$2:$L$1048576,2,FALSE)),Table1[[#This Row],[Beginning Balance]]-Table1[[#This Row],[Principal]]-Table1[[#This Row],[Prepayments]]),2)</f>
        <v>0</v>
      </c>
      <c r="K135" s="3">
        <f>ROUND(Table1[[#This Row],[Defaulted Principal]]*IF($C$9="No",$E$4,VLOOKUP(Table1[[#This Row],[Period]],Forecast!$H$2:$L$1048576,3,FALSE)),2)</f>
        <v>0</v>
      </c>
      <c r="L135" s="2">
        <f>Table1[[#This Row],[Period]]+$E$9</f>
        <v>131</v>
      </c>
      <c r="M135" s="3">
        <f>Table1[[#This Row],[Defaulted Principal]]-Table1[[#This Row],[Estimated Loss]]</f>
        <v>0</v>
      </c>
      <c r="N135" s="3">
        <f>IFERROR(VLOOKUP(Table1[[#This Row],[Period]],$L$16:$M$385,2,FALSE),0)</f>
        <v>3271.9300000000003</v>
      </c>
      <c r="O135" s="3">
        <f>Table1[[#This Row],[Beginning Balance]]-Table1[[#This Row],[Principal]]-Table1[[#This Row],[Prepayments]]-Table1[[#This Row],[Defaulted Principal]]</f>
        <v>0</v>
      </c>
      <c r="P135" s="3">
        <f>Table1[[#This Row],[Principal]]+Table1[[#This Row],[Interest]]+Table1[[#This Row],[Prepayments]]+Table1[[#This Row],[RecoveredAmount]]</f>
        <v>3271.9300000000003</v>
      </c>
      <c r="Q135" s="3">
        <f ca="1">Table1[[#This Row],[Cash Flow]]/((1+ActualRateToUse)^(IF(ISNUMBER(SEARCH("Actual",$C$7)),Table1[[#This Row],[Running Total]]/365,Table1[[#This Row],[Period]]/12)))</f>
        <v>1607.1573580358202</v>
      </c>
      <c r="R135" s="2">
        <f>IF(MONTH(Table1[[#This Row],[Date]])=2,28,DAY(DATE(YEAR(Table1[[#This Row],[Date]]),MONTH(Table1[[#This Row],[Date]])+1,1)-1))</f>
        <v>31</v>
      </c>
      <c r="S135" s="2">
        <f ca="1">SUM(OFFSET(Table1[[#Headers],[Days in month]],1,0):Table1[[#This Row],[Days in month]])</f>
        <v>3620</v>
      </c>
      <c r="T135" s="37">
        <f>InterestRate*AmortizationMultiplier*IF(ISNUMBER(SEARCH("Actual",$C$7)),Table1[[#This Row],[Days in month]]/365,1/12)</f>
        <v>6.0708333333333326E-3</v>
      </c>
    </row>
    <row r="136" spans="2:20" x14ac:dyDescent="0.2">
      <c r="B136" s="1">
        <v>49490</v>
      </c>
      <c r="C136" s="2">
        <f t="shared" si="4"/>
        <v>120</v>
      </c>
      <c r="D136" s="3">
        <f t="shared" si="6"/>
        <v>0</v>
      </c>
      <c r="E136" s="3">
        <f>ROUND(Table1[[#This Row],[Beginning Balance]]*Table1[[#This Row],[Monthly Interest Rate]],2)</f>
        <v>0</v>
      </c>
      <c r="F136" s="3">
        <f t="shared" si="5"/>
        <v>232</v>
      </c>
      <c r="G136" s="23">
        <f>IFERROR(IF($C$13="No","N/A",IF(Table1[[#This Row],[Period]]=1,$C$6,PMT(InterestRate*AmortizationMultiplier/12,Table1[[#This Row],[Am Thru]],-Table1[[#This Row],[Beginning Balance]]))),0)</f>
        <v>0</v>
      </c>
      <c r="H136" s="3">
        <f>MAX(0,IF(C136=$C$4,D136,ROUND(IF($C$3="Fixed Principal",$C$6-Table1[[#This Row],[Interest]],IF($C$3="Interest Only",Table1[[#This Row],[Beginning Balance]]*ROUND(1-(1-IF($C$11="No",$E$8,1))^(1/12),6),MIN(IF($C$13="Yes",Table1[[#This Row],[Payment Amount (Reamortized)]],$C$6)-Table1[[#This Row],[Interest]],Table1[[#This Row],[Beginning Balance]]))),2)))</f>
        <v>0</v>
      </c>
      <c r="I136" s="3">
        <f>_xlfn.SINGLE(IF($C$3="Line of Credit",0,ROUND(MAX(MIN(IF($C$10="No",$E$7,VLOOKUP(Table1[[#This Row],[Period]],Forecast!$H$2:$L$1048576,4,FALSE))*Table1[[#This Row],[Beginning Balance]],Table1[[#This Row],[Beginning Balance]]-Table1[[#This Row],[Principal]]),0),2)))</f>
        <v>0</v>
      </c>
      <c r="J136" s="3">
        <f>ROUND(MIN(Table1[[#This Row],[Beginning Balance]]*IF($C$8="No",$E$3,VLOOKUP(Table1[[#This Row],[Period]],Forecast!$H$2:$L$1048576,2,FALSE)),Table1[[#This Row],[Beginning Balance]]-Table1[[#This Row],[Principal]]-Table1[[#This Row],[Prepayments]]),2)</f>
        <v>0</v>
      </c>
      <c r="K136" s="3">
        <f>ROUND(Table1[[#This Row],[Defaulted Principal]]*IF($C$9="No",$E$4,VLOOKUP(Table1[[#This Row],[Period]],Forecast!$H$2:$L$1048576,3,FALSE)),2)</f>
        <v>0</v>
      </c>
      <c r="L136" s="2">
        <f>Table1[[#This Row],[Period]]+$E$9</f>
        <v>132</v>
      </c>
      <c r="M136" s="3">
        <f>Table1[[#This Row],[Defaulted Principal]]-Table1[[#This Row],[Estimated Loss]]</f>
        <v>0</v>
      </c>
      <c r="N136" s="3">
        <f>IFERROR(VLOOKUP(Table1[[#This Row],[Period]],$L$16:$M$385,2,FALSE),0)</f>
        <v>3254.79</v>
      </c>
      <c r="O136" s="3">
        <f>Table1[[#This Row],[Beginning Balance]]-Table1[[#This Row],[Principal]]-Table1[[#This Row],[Prepayments]]-Table1[[#This Row],[Defaulted Principal]]</f>
        <v>0</v>
      </c>
      <c r="P136" s="3">
        <f>Table1[[#This Row],[Principal]]+Table1[[#This Row],[Interest]]+Table1[[#This Row],[Prepayments]]+Table1[[#This Row],[RecoveredAmount]]</f>
        <v>3254.79</v>
      </c>
      <c r="Q136" s="3">
        <f ca="1">Table1[[#This Row],[Cash Flow]]/((1+ActualRateToUse)^(IF(ISNUMBER(SEARCH("Actual",$C$7)),Table1[[#This Row],[Running Total]]/365,Table1[[#This Row],[Period]]/12)))</f>
        <v>1589.3469212907096</v>
      </c>
      <c r="R136" s="2">
        <f>IF(MONTH(Table1[[#This Row],[Date]])=2,28,DAY(DATE(YEAR(Table1[[#This Row],[Date]]),MONTH(Table1[[#This Row],[Date]])+1,1)-1))</f>
        <v>30</v>
      </c>
      <c r="S136" s="2">
        <f ca="1">SUM(OFFSET(Table1[[#Headers],[Days in month]],1,0):Table1[[#This Row],[Days in month]])</f>
        <v>3650</v>
      </c>
      <c r="T136" s="37">
        <f>InterestRate*AmortizationMultiplier*IF(ISNUMBER(SEARCH("Actual",$C$7)),Table1[[#This Row],[Days in month]]/365,1/12)</f>
        <v>5.8749999999999991E-3</v>
      </c>
    </row>
    <row r="137" spans="2:20" x14ac:dyDescent="0.2">
      <c r="B137" s="1">
        <v>49521</v>
      </c>
      <c r="C137" s="2">
        <f t="shared" si="4"/>
        <v>121</v>
      </c>
      <c r="D137" s="3">
        <f t="shared" si="6"/>
        <v>0</v>
      </c>
      <c r="E137" s="3">
        <f>ROUND(Table1[[#This Row],[Beginning Balance]]*Table1[[#This Row],[Monthly Interest Rate]],2)</f>
        <v>0</v>
      </c>
      <c r="F137" s="3">
        <f t="shared" si="5"/>
        <v>231</v>
      </c>
      <c r="G137" s="23">
        <f>IFERROR(IF($C$13="No","N/A",IF(Table1[[#This Row],[Period]]=1,$C$6,PMT(InterestRate*AmortizationMultiplier/12,Table1[[#This Row],[Am Thru]],-Table1[[#This Row],[Beginning Balance]]))),0)</f>
        <v>0</v>
      </c>
      <c r="H137" s="3">
        <f>MAX(0,IF(C137=$C$4,D137,ROUND(IF($C$3="Fixed Principal",$C$6-Table1[[#This Row],[Interest]],IF($C$3="Interest Only",Table1[[#This Row],[Beginning Balance]]*ROUND(1-(1-IF($C$11="No",$E$8,1))^(1/12),6),MIN(IF($C$13="Yes",Table1[[#This Row],[Payment Amount (Reamortized)]],$C$6)-Table1[[#This Row],[Interest]],Table1[[#This Row],[Beginning Balance]]))),2)))</f>
        <v>0</v>
      </c>
      <c r="I137" s="3">
        <f>_xlfn.SINGLE(IF($C$3="Line of Credit",0,ROUND(MAX(MIN(IF($C$10="No",$E$7,VLOOKUP(Table1[[#This Row],[Period]],Forecast!$H$2:$L$1048576,4,FALSE))*Table1[[#This Row],[Beginning Balance]],Table1[[#This Row],[Beginning Balance]]-Table1[[#This Row],[Principal]]),0),2)))</f>
        <v>0</v>
      </c>
      <c r="J137" s="3">
        <f>ROUND(MIN(Table1[[#This Row],[Beginning Balance]]*IF($C$8="No",$E$3,VLOOKUP(Table1[[#This Row],[Period]],Forecast!$H$2:$L$1048576,2,FALSE)),Table1[[#This Row],[Beginning Balance]]-Table1[[#This Row],[Principal]]-Table1[[#This Row],[Prepayments]]),2)</f>
        <v>0</v>
      </c>
      <c r="K137" s="3">
        <f>ROUND(Table1[[#This Row],[Defaulted Principal]]*IF($C$9="No",$E$4,VLOOKUP(Table1[[#This Row],[Period]],Forecast!$H$2:$L$1048576,3,FALSE)),2)</f>
        <v>0</v>
      </c>
      <c r="L137" s="2">
        <f>Table1[[#This Row],[Period]]+$E$9</f>
        <v>133</v>
      </c>
      <c r="M137" s="3">
        <f>Table1[[#This Row],[Defaulted Principal]]-Table1[[#This Row],[Estimated Loss]]</f>
        <v>0</v>
      </c>
      <c r="N137" s="3">
        <f>IFERROR(VLOOKUP(Table1[[#This Row],[Period]],$L$16:$M$385,2,FALSE),0)</f>
        <v>3237.08</v>
      </c>
      <c r="O137" s="3">
        <f>Table1[[#This Row],[Beginning Balance]]-Table1[[#This Row],[Principal]]-Table1[[#This Row],[Prepayments]]-Table1[[#This Row],[Defaulted Principal]]</f>
        <v>0</v>
      </c>
      <c r="P137" s="3">
        <f>Table1[[#This Row],[Principal]]+Table1[[#This Row],[Interest]]+Table1[[#This Row],[Prepayments]]+Table1[[#This Row],[RecoveredAmount]]</f>
        <v>3237.08</v>
      </c>
      <c r="Q137" s="3">
        <f ca="1">Table1[[#This Row],[Cash Flow]]/((1+ActualRateToUse)^(IF(ISNUMBER(SEARCH("Actual",$C$7)),Table1[[#This Row],[Running Total]]/365,Table1[[#This Row],[Period]]/12)))</f>
        <v>1571.1049989156122</v>
      </c>
      <c r="R137" s="2">
        <f>IF(MONTH(Table1[[#This Row],[Date]])=2,28,DAY(DATE(YEAR(Table1[[#This Row],[Date]]),MONTH(Table1[[#This Row],[Date]])+1,1)-1))</f>
        <v>31</v>
      </c>
      <c r="S137" s="2">
        <f ca="1">SUM(OFFSET(Table1[[#Headers],[Days in month]],1,0):Table1[[#This Row],[Days in month]])</f>
        <v>3681</v>
      </c>
      <c r="T137" s="37">
        <f>InterestRate*AmortizationMultiplier*IF(ISNUMBER(SEARCH("Actual",$C$7)),Table1[[#This Row],[Days in month]]/365,1/12)</f>
        <v>6.0708333333333326E-3</v>
      </c>
    </row>
    <row r="138" spans="2:20" x14ac:dyDescent="0.2">
      <c r="B138" s="1">
        <v>49552</v>
      </c>
      <c r="C138" s="2">
        <f t="shared" si="4"/>
        <v>122</v>
      </c>
      <c r="D138" s="3">
        <f t="shared" si="6"/>
        <v>0</v>
      </c>
      <c r="E138" s="3">
        <f>ROUND(Table1[[#This Row],[Beginning Balance]]*Table1[[#This Row],[Monthly Interest Rate]],2)</f>
        <v>0</v>
      </c>
      <c r="F138" s="3">
        <f t="shared" si="5"/>
        <v>230</v>
      </c>
      <c r="G138" s="23">
        <f>IFERROR(IF($C$13="No","N/A",IF(Table1[[#This Row],[Period]]=1,$C$6,PMT(InterestRate*AmortizationMultiplier/12,Table1[[#This Row],[Am Thru]],-Table1[[#This Row],[Beginning Balance]]))),0)</f>
        <v>0</v>
      </c>
      <c r="H138" s="3">
        <f>MAX(0,IF(C138=$C$4,D138,ROUND(IF($C$3="Fixed Principal",$C$6-Table1[[#This Row],[Interest]],IF($C$3="Interest Only",Table1[[#This Row],[Beginning Balance]]*ROUND(1-(1-IF($C$11="No",$E$8,1))^(1/12),6),MIN(IF($C$13="Yes",Table1[[#This Row],[Payment Amount (Reamortized)]],$C$6)-Table1[[#This Row],[Interest]],Table1[[#This Row],[Beginning Balance]]))),2)))</f>
        <v>0</v>
      </c>
      <c r="I138" s="3">
        <f>_xlfn.SINGLE(IF($C$3="Line of Credit",0,ROUND(MAX(MIN(IF($C$10="No",$E$7,VLOOKUP(Table1[[#This Row],[Period]],Forecast!$H$2:$L$1048576,4,FALSE))*Table1[[#This Row],[Beginning Balance]],Table1[[#This Row],[Beginning Balance]]-Table1[[#This Row],[Principal]]),0),2)))</f>
        <v>0</v>
      </c>
      <c r="J138" s="3">
        <f>ROUND(MIN(Table1[[#This Row],[Beginning Balance]]*IF($C$8="No",$E$3,VLOOKUP(Table1[[#This Row],[Period]],Forecast!$H$2:$L$1048576,2,FALSE)),Table1[[#This Row],[Beginning Balance]]-Table1[[#This Row],[Principal]]-Table1[[#This Row],[Prepayments]]),2)</f>
        <v>0</v>
      </c>
      <c r="K138" s="3">
        <f>ROUND(Table1[[#This Row],[Defaulted Principal]]*IF($C$9="No",$E$4,VLOOKUP(Table1[[#This Row],[Period]],Forecast!$H$2:$L$1048576,3,FALSE)),2)</f>
        <v>0</v>
      </c>
      <c r="L138" s="2">
        <f>Table1[[#This Row],[Period]]+$E$9</f>
        <v>134</v>
      </c>
      <c r="M138" s="3">
        <f>Table1[[#This Row],[Defaulted Principal]]-Table1[[#This Row],[Estimated Loss]]</f>
        <v>0</v>
      </c>
      <c r="N138" s="3">
        <f>IFERROR(VLOOKUP(Table1[[#This Row],[Period]],$L$16:$M$385,2,FALSE),0)</f>
        <v>3220.03</v>
      </c>
      <c r="O138" s="3">
        <f>Table1[[#This Row],[Beginning Balance]]-Table1[[#This Row],[Principal]]-Table1[[#This Row],[Prepayments]]-Table1[[#This Row],[Defaulted Principal]]</f>
        <v>0</v>
      </c>
      <c r="P138" s="3">
        <f>Table1[[#This Row],[Principal]]+Table1[[#This Row],[Interest]]+Table1[[#This Row],[Prepayments]]+Table1[[#This Row],[RecoveredAmount]]</f>
        <v>3220.03</v>
      </c>
      <c r="Q138" s="3">
        <f ca="1">Table1[[#This Row],[Cash Flow]]/((1+ActualRateToUse)^(IF(ISNUMBER(SEARCH("Actual",$C$7)),Table1[[#This Row],[Running Total]]/365,Table1[[#This Row],[Period]]/12)))</f>
        <v>1553.3443488273342</v>
      </c>
      <c r="R138" s="2">
        <f>IF(MONTH(Table1[[#This Row],[Date]])=2,28,DAY(DATE(YEAR(Table1[[#This Row],[Date]]),MONTH(Table1[[#This Row],[Date]])+1,1)-1))</f>
        <v>31</v>
      </c>
      <c r="S138" s="2">
        <f ca="1">SUM(OFFSET(Table1[[#Headers],[Days in month]],1,0):Table1[[#This Row],[Days in month]])</f>
        <v>3712</v>
      </c>
      <c r="T138" s="37">
        <f>InterestRate*AmortizationMultiplier*IF(ISNUMBER(SEARCH("Actual",$C$7)),Table1[[#This Row],[Days in month]]/365,1/12)</f>
        <v>6.0708333333333326E-3</v>
      </c>
    </row>
    <row r="139" spans="2:20" x14ac:dyDescent="0.2">
      <c r="B139" s="1">
        <f t="shared" ref="B139:B146" si="7">EOMONTH(B138,1)</f>
        <v>49582</v>
      </c>
      <c r="C139" s="2">
        <f t="shared" si="4"/>
        <v>123</v>
      </c>
      <c r="D139" s="3">
        <f t="shared" si="6"/>
        <v>0</v>
      </c>
      <c r="E139" s="3">
        <f>ROUND(Table1[[#This Row],[Beginning Balance]]*Table1[[#This Row],[Monthly Interest Rate]],2)</f>
        <v>0</v>
      </c>
      <c r="F139" s="3">
        <f t="shared" si="5"/>
        <v>229</v>
      </c>
      <c r="G139" s="23">
        <f>IFERROR(IF($C$13="No","N/A",IF(Table1[[#This Row],[Period]]=1,$C$6,PMT(InterestRate*AmortizationMultiplier/12,Table1[[#This Row],[Am Thru]],-Table1[[#This Row],[Beginning Balance]]))),0)</f>
        <v>0</v>
      </c>
      <c r="H139" s="3">
        <f>MAX(0,IF(C139=$C$4,D139,ROUND(IF($C$3="Fixed Principal",$C$6-Table1[[#This Row],[Interest]],IF($C$3="Interest Only",Table1[[#This Row],[Beginning Balance]]*ROUND(1-(1-IF($C$11="No",$E$8,1))^(1/12),6),MIN(IF($C$13="Yes",Table1[[#This Row],[Payment Amount (Reamortized)]],$C$6)-Table1[[#This Row],[Interest]],Table1[[#This Row],[Beginning Balance]]))),2)))</f>
        <v>0</v>
      </c>
      <c r="I139" s="3">
        <f>_xlfn.SINGLE(IF($C$3="Line of Credit",0,ROUND(MAX(MIN(IF($C$10="No",$E$7,VLOOKUP(Table1[[#This Row],[Period]],Forecast!$H$2:$L$1048576,4,FALSE))*Table1[[#This Row],[Beginning Balance]],Table1[[#This Row],[Beginning Balance]]-Table1[[#This Row],[Principal]]),0),2)))</f>
        <v>0</v>
      </c>
      <c r="J139" s="3">
        <f>ROUND(MIN(Table1[[#This Row],[Beginning Balance]]*IF($C$8="No",$E$3,VLOOKUP(Table1[[#This Row],[Period]],Forecast!$H$2:$L$1048576,2,FALSE)),Table1[[#This Row],[Beginning Balance]]-Table1[[#This Row],[Principal]]-Table1[[#This Row],[Prepayments]]),2)</f>
        <v>0</v>
      </c>
      <c r="K139" s="3">
        <f>ROUND(Table1[[#This Row],[Defaulted Principal]]*IF($C$9="No",$E$4,VLOOKUP(Table1[[#This Row],[Period]],Forecast!$H$2:$L$1048576,3,FALSE)),2)</f>
        <v>0</v>
      </c>
      <c r="L139" s="2">
        <f>Table1[[#This Row],[Period]]+$E$9</f>
        <v>135</v>
      </c>
      <c r="M139" s="3">
        <f>Table1[[#This Row],[Defaulted Principal]]-Table1[[#This Row],[Estimated Loss]]</f>
        <v>0</v>
      </c>
      <c r="N139" s="3">
        <f>IFERROR(VLOOKUP(Table1[[#This Row],[Period]],$L$16:$M$385,2,FALSE),0)</f>
        <v>0</v>
      </c>
      <c r="O139" s="3">
        <f>Table1[[#This Row],[Beginning Balance]]-Table1[[#This Row],[Principal]]-Table1[[#This Row],[Prepayments]]-Table1[[#This Row],[Defaulted Principal]]</f>
        <v>0</v>
      </c>
      <c r="P139" s="3">
        <f>Table1[[#This Row],[Principal]]+Table1[[#This Row],[Interest]]+Table1[[#This Row],[Prepayments]]+Table1[[#This Row],[RecoveredAmount]]</f>
        <v>0</v>
      </c>
      <c r="Q139" s="3">
        <f ca="1">Table1[[#This Row],[Cash Flow]]/((1+ActualRateToUse)^(IF(ISNUMBER(SEARCH("Actual",$C$7)),Table1[[#This Row],[Running Total]]/365,Table1[[#This Row],[Period]]/12)))</f>
        <v>0</v>
      </c>
      <c r="R139" s="2">
        <f>IF(MONTH(Table1[[#This Row],[Date]])=2,28,DAY(DATE(YEAR(Table1[[#This Row],[Date]]),MONTH(Table1[[#This Row],[Date]])+1,1)-1))</f>
        <v>30</v>
      </c>
      <c r="S139" s="2">
        <f ca="1">SUM(OFFSET(Table1[[#Headers],[Days in month]],1,0):Table1[[#This Row],[Days in month]])</f>
        <v>3742</v>
      </c>
      <c r="T139" s="37">
        <f>InterestRate*AmortizationMultiplier*IF(ISNUMBER(SEARCH("Actual",$C$7)),Table1[[#This Row],[Days in month]]/365,1/12)</f>
        <v>5.8749999999999991E-3</v>
      </c>
    </row>
    <row r="140" spans="2:20" x14ac:dyDescent="0.2">
      <c r="B140" s="1">
        <f t="shared" si="7"/>
        <v>49613</v>
      </c>
      <c r="C140" s="2">
        <f t="shared" si="4"/>
        <v>124</v>
      </c>
      <c r="D140" s="3">
        <f t="shared" si="6"/>
        <v>0</v>
      </c>
      <c r="E140" s="3">
        <f>ROUND(Table1[[#This Row],[Beginning Balance]]*Table1[[#This Row],[Monthly Interest Rate]],2)</f>
        <v>0</v>
      </c>
      <c r="F140" s="3">
        <f t="shared" si="5"/>
        <v>228</v>
      </c>
      <c r="G140" s="23">
        <f>IFERROR(IF($C$13="No","N/A",IF(Table1[[#This Row],[Period]]=1,$C$6,PMT(InterestRate*AmortizationMultiplier/12,Table1[[#This Row],[Am Thru]],-Table1[[#This Row],[Beginning Balance]]))),0)</f>
        <v>0</v>
      </c>
      <c r="H140" s="3">
        <f>MAX(0,IF(C140=$C$4,D140,ROUND(IF($C$3="Fixed Principal",$C$6-Table1[[#This Row],[Interest]],IF($C$3="Interest Only",Table1[[#This Row],[Beginning Balance]]*ROUND(1-(1-IF($C$11="No",$E$8,1))^(1/12),6),MIN(IF($C$13="Yes",Table1[[#This Row],[Payment Amount (Reamortized)]],$C$6)-Table1[[#This Row],[Interest]],Table1[[#This Row],[Beginning Balance]]))),2)))</f>
        <v>0</v>
      </c>
      <c r="I140" s="3">
        <f>_xlfn.SINGLE(IF($C$3="Line of Credit",0,ROUND(MAX(MIN(IF($C$10="No",$E$7,VLOOKUP(Table1[[#This Row],[Period]],Forecast!$H$2:$L$1048576,4,FALSE))*Table1[[#This Row],[Beginning Balance]],Table1[[#This Row],[Beginning Balance]]-Table1[[#This Row],[Principal]]),0),2)))</f>
        <v>0</v>
      </c>
      <c r="J140" s="3">
        <f>ROUND(MIN(Table1[[#This Row],[Beginning Balance]]*IF($C$8="No",$E$3,VLOOKUP(Table1[[#This Row],[Period]],Forecast!$H$2:$L$1048576,2,FALSE)),Table1[[#This Row],[Beginning Balance]]-Table1[[#This Row],[Principal]]-Table1[[#This Row],[Prepayments]]),2)</f>
        <v>0</v>
      </c>
      <c r="K140" s="3">
        <f>ROUND(Table1[[#This Row],[Defaulted Principal]]*IF($C$9="No",$E$4,VLOOKUP(Table1[[#This Row],[Period]],Forecast!$H$2:$L$1048576,3,FALSE)),2)</f>
        <v>0</v>
      </c>
      <c r="L140" s="2">
        <f>Table1[[#This Row],[Period]]+$E$9</f>
        <v>136</v>
      </c>
      <c r="M140" s="3">
        <f>Table1[[#This Row],[Defaulted Principal]]-Table1[[#This Row],[Estimated Loss]]</f>
        <v>0</v>
      </c>
      <c r="N140" s="3">
        <f>IFERROR(VLOOKUP(Table1[[#This Row],[Period]],$L$16:$M$385,2,FALSE),0)</f>
        <v>0</v>
      </c>
      <c r="O140" s="3">
        <f>Table1[[#This Row],[Beginning Balance]]-Table1[[#This Row],[Principal]]-Table1[[#This Row],[Prepayments]]-Table1[[#This Row],[Defaulted Principal]]</f>
        <v>0</v>
      </c>
      <c r="P140" s="3">
        <f>Table1[[#This Row],[Principal]]+Table1[[#This Row],[Interest]]+Table1[[#This Row],[Prepayments]]+Table1[[#This Row],[RecoveredAmount]]</f>
        <v>0</v>
      </c>
      <c r="Q140" s="3">
        <f ca="1">Table1[[#This Row],[Cash Flow]]/((1+ActualRateToUse)^(IF(ISNUMBER(SEARCH("Actual",$C$7)),Table1[[#This Row],[Running Total]]/365,Table1[[#This Row],[Period]]/12)))</f>
        <v>0</v>
      </c>
      <c r="R140" s="2">
        <f>IF(MONTH(Table1[[#This Row],[Date]])=2,28,DAY(DATE(YEAR(Table1[[#This Row],[Date]]),MONTH(Table1[[#This Row],[Date]])+1,1)-1))</f>
        <v>31</v>
      </c>
      <c r="S140" s="2">
        <f ca="1">SUM(OFFSET(Table1[[#Headers],[Days in month]],1,0):Table1[[#This Row],[Days in month]])</f>
        <v>3773</v>
      </c>
      <c r="T140" s="37">
        <f>InterestRate*AmortizationMultiplier*IF(ISNUMBER(SEARCH("Actual",$C$7)),Table1[[#This Row],[Days in month]]/365,1/12)</f>
        <v>6.0708333333333326E-3</v>
      </c>
    </row>
    <row r="141" spans="2:20" x14ac:dyDescent="0.2">
      <c r="B141" s="1">
        <f t="shared" si="7"/>
        <v>49643</v>
      </c>
      <c r="C141" s="2">
        <f t="shared" si="4"/>
        <v>125</v>
      </c>
      <c r="D141" s="3">
        <f t="shared" si="6"/>
        <v>0</v>
      </c>
      <c r="E141" s="3">
        <f>ROUND(Table1[[#This Row],[Beginning Balance]]*Table1[[#This Row],[Monthly Interest Rate]],2)</f>
        <v>0</v>
      </c>
      <c r="F141" s="3">
        <f t="shared" si="5"/>
        <v>227</v>
      </c>
      <c r="G141" s="23">
        <f>IFERROR(IF($C$13="No","N/A",IF(Table1[[#This Row],[Period]]=1,$C$6,PMT(InterestRate*AmortizationMultiplier/12,Table1[[#This Row],[Am Thru]],-Table1[[#This Row],[Beginning Balance]]))),0)</f>
        <v>0</v>
      </c>
      <c r="H141" s="3">
        <f>MAX(0,IF(C141=$C$4,D141,ROUND(IF($C$3="Fixed Principal",$C$6-Table1[[#This Row],[Interest]],IF($C$3="Interest Only",Table1[[#This Row],[Beginning Balance]]*ROUND(1-(1-IF($C$11="No",$E$8,1))^(1/12),6),MIN(IF($C$13="Yes",Table1[[#This Row],[Payment Amount (Reamortized)]],$C$6)-Table1[[#This Row],[Interest]],Table1[[#This Row],[Beginning Balance]]))),2)))</f>
        <v>0</v>
      </c>
      <c r="I141" s="3">
        <f>_xlfn.SINGLE(IF($C$3="Line of Credit",0,ROUND(MAX(MIN(IF($C$10="No",$E$7,VLOOKUP(Table1[[#This Row],[Period]],Forecast!$H$2:$L$1048576,4,FALSE))*Table1[[#This Row],[Beginning Balance]],Table1[[#This Row],[Beginning Balance]]-Table1[[#This Row],[Principal]]),0),2)))</f>
        <v>0</v>
      </c>
      <c r="J141" s="3">
        <f>ROUND(MIN(Table1[[#This Row],[Beginning Balance]]*IF($C$8="No",$E$3,VLOOKUP(Table1[[#This Row],[Period]],Forecast!$H$2:$L$1048576,2,FALSE)),Table1[[#This Row],[Beginning Balance]]-Table1[[#This Row],[Principal]]-Table1[[#This Row],[Prepayments]]),2)</f>
        <v>0</v>
      </c>
      <c r="K141" s="3">
        <f>ROUND(Table1[[#This Row],[Defaulted Principal]]*IF($C$9="No",$E$4,VLOOKUP(Table1[[#This Row],[Period]],Forecast!$H$2:$L$1048576,3,FALSE)),2)</f>
        <v>0</v>
      </c>
      <c r="L141" s="2">
        <f>Table1[[#This Row],[Period]]+$E$9</f>
        <v>137</v>
      </c>
      <c r="M141" s="3">
        <f>Table1[[#This Row],[Defaulted Principal]]-Table1[[#This Row],[Estimated Loss]]</f>
        <v>0</v>
      </c>
      <c r="N141" s="3">
        <f>IFERROR(VLOOKUP(Table1[[#This Row],[Period]],$L$16:$M$385,2,FALSE),0)</f>
        <v>0</v>
      </c>
      <c r="O141" s="3">
        <f>Table1[[#This Row],[Beginning Balance]]-Table1[[#This Row],[Principal]]-Table1[[#This Row],[Prepayments]]-Table1[[#This Row],[Defaulted Principal]]</f>
        <v>0</v>
      </c>
      <c r="P141" s="3">
        <f>Table1[[#This Row],[Principal]]+Table1[[#This Row],[Interest]]+Table1[[#This Row],[Prepayments]]+Table1[[#This Row],[RecoveredAmount]]</f>
        <v>0</v>
      </c>
      <c r="Q141" s="3">
        <f ca="1">Table1[[#This Row],[Cash Flow]]/((1+ActualRateToUse)^(IF(ISNUMBER(SEARCH("Actual",$C$7)),Table1[[#This Row],[Running Total]]/365,Table1[[#This Row],[Period]]/12)))</f>
        <v>0</v>
      </c>
      <c r="R141" s="2">
        <f>IF(MONTH(Table1[[#This Row],[Date]])=2,28,DAY(DATE(YEAR(Table1[[#This Row],[Date]]),MONTH(Table1[[#This Row],[Date]])+1,1)-1))</f>
        <v>30</v>
      </c>
      <c r="S141" s="2">
        <f ca="1">SUM(OFFSET(Table1[[#Headers],[Days in month]],1,0):Table1[[#This Row],[Days in month]])</f>
        <v>3803</v>
      </c>
      <c r="T141" s="37">
        <f>InterestRate*AmortizationMultiplier*IF(ISNUMBER(SEARCH("Actual",$C$7)),Table1[[#This Row],[Days in month]]/365,1/12)</f>
        <v>5.8749999999999991E-3</v>
      </c>
    </row>
    <row r="142" spans="2:20" x14ac:dyDescent="0.2">
      <c r="B142" s="1">
        <f t="shared" si="7"/>
        <v>49674</v>
      </c>
      <c r="C142" s="2">
        <f t="shared" si="4"/>
        <v>126</v>
      </c>
      <c r="D142" s="3">
        <f t="shared" si="6"/>
        <v>0</v>
      </c>
      <c r="E142" s="3">
        <f>ROUND(Table1[[#This Row],[Beginning Balance]]*Table1[[#This Row],[Monthly Interest Rate]],2)</f>
        <v>0</v>
      </c>
      <c r="F142" s="3">
        <f t="shared" si="5"/>
        <v>226</v>
      </c>
      <c r="G142" s="23">
        <f>IFERROR(IF($C$13="No","N/A",IF(Table1[[#This Row],[Period]]=1,$C$6,PMT(InterestRate*AmortizationMultiplier/12,Table1[[#This Row],[Am Thru]],-Table1[[#This Row],[Beginning Balance]]))),0)</f>
        <v>0</v>
      </c>
      <c r="H142" s="3">
        <f>MAX(0,IF(C142=$C$4,D142,ROUND(IF($C$3="Fixed Principal",$C$6-Table1[[#This Row],[Interest]],IF($C$3="Interest Only",Table1[[#This Row],[Beginning Balance]]*ROUND(1-(1-IF($C$11="No",$E$8,1))^(1/12),6),MIN(IF($C$13="Yes",Table1[[#This Row],[Payment Amount (Reamortized)]],$C$6)-Table1[[#This Row],[Interest]],Table1[[#This Row],[Beginning Balance]]))),2)))</f>
        <v>0</v>
      </c>
      <c r="I142" s="3">
        <f>_xlfn.SINGLE(IF($C$3="Line of Credit",0,ROUND(MAX(MIN(IF($C$10="No",$E$7,VLOOKUP(Table1[[#This Row],[Period]],Forecast!$H$2:$L$1048576,4,FALSE))*Table1[[#This Row],[Beginning Balance]],Table1[[#This Row],[Beginning Balance]]-Table1[[#This Row],[Principal]]),0),2)))</f>
        <v>0</v>
      </c>
      <c r="J142" s="3">
        <f>ROUND(MIN(Table1[[#This Row],[Beginning Balance]]*IF($C$8="No",$E$3,VLOOKUP(Table1[[#This Row],[Period]],Forecast!$H$2:$L$1048576,2,FALSE)),Table1[[#This Row],[Beginning Balance]]-Table1[[#This Row],[Principal]]-Table1[[#This Row],[Prepayments]]),2)</f>
        <v>0</v>
      </c>
      <c r="K142" s="3">
        <f>ROUND(Table1[[#This Row],[Defaulted Principal]]*IF($C$9="No",$E$4,VLOOKUP(Table1[[#This Row],[Period]],Forecast!$H$2:$L$1048576,3,FALSE)),2)</f>
        <v>0</v>
      </c>
      <c r="L142" s="2">
        <f>Table1[[#This Row],[Period]]+$E$9</f>
        <v>138</v>
      </c>
      <c r="M142" s="3">
        <f>Table1[[#This Row],[Defaulted Principal]]-Table1[[#This Row],[Estimated Loss]]</f>
        <v>0</v>
      </c>
      <c r="N142" s="3">
        <f>IFERROR(VLOOKUP(Table1[[#This Row],[Period]],$L$16:$M$385,2,FALSE),0)</f>
        <v>0</v>
      </c>
      <c r="O142" s="3">
        <f>Table1[[#This Row],[Beginning Balance]]-Table1[[#This Row],[Principal]]-Table1[[#This Row],[Prepayments]]-Table1[[#This Row],[Defaulted Principal]]</f>
        <v>0</v>
      </c>
      <c r="P142" s="3">
        <f>Table1[[#This Row],[Principal]]+Table1[[#This Row],[Interest]]+Table1[[#This Row],[Prepayments]]+Table1[[#This Row],[RecoveredAmount]]</f>
        <v>0</v>
      </c>
      <c r="Q142" s="3">
        <f ca="1">Table1[[#This Row],[Cash Flow]]/((1+ActualRateToUse)^(IF(ISNUMBER(SEARCH("Actual",$C$7)),Table1[[#This Row],[Running Total]]/365,Table1[[#This Row],[Period]]/12)))</f>
        <v>0</v>
      </c>
      <c r="R142" s="2">
        <f>IF(MONTH(Table1[[#This Row],[Date]])=2,28,DAY(DATE(YEAR(Table1[[#This Row],[Date]]),MONTH(Table1[[#This Row],[Date]])+1,1)-1))</f>
        <v>31</v>
      </c>
      <c r="S142" s="2">
        <f ca="1">SUM(OFFSET(Table1[[#Headers],[Days in month]],1,0):Table1[[#This Row],[Days in month]])</f>
        <v>3834</v>
      </c>
      <c r="T142" s="37">
        <f>InterestRate*AmortizationMultiplier*IF(ISNUMBER(SEARCH("Actual",$C$7)),Table1[[#This Row],[Days in month]]/365,1/12)</f>
        <v>6.0708333333333326E-3</v>
      </c>
    </row>
    <row r="143" spans="2:20" x14ac:dyDescent="0.2">
      <c r="B143" s="1">
        <f t="shared" si="7"/>
        <v>49705</v>
      </c>
      <c r="C143" s="2">
        <f t="shared" si="4"/>
        <v>127</v>
      </c>
      <c r="D143" s="3">
        <f t="shared" si="6"/>
        <v>0</v>
      </c>
      <c r="E143" s="3">
        <f>ROUND(Table1[[#This Row],[Beginning Balance]]*Table1[[#This Row],[Monthly Interest Rate]],2)</f>
        <v>0</v>
      </c>
      <c r="F143" s="3">
        <f t="shared" si="5"/>
        <v>225</v>
      </c>
      <c r="G143" s="23">
        <f>IFERROR(IF($C$13="No","N/A",IF(Table1[[#This Row],[Period]]=1,$C$6,PMT(InterestRate*AmortizationMultiplier/12,Table1[[#This Row],[Am Thru]],-Table1[[#This Row],[Beginning Balance]]))),0)</f>
        <v>0</v>
      </c>
      <c r="H143" s="3">
        <f>MAX(0,IF(C143=$C$4,D143,ROUND(IF($C$3="Fixed Principal",$C$6-Table1[[#This Row],[Interest]],IF($C$3="Interest Only",Table1[[#This Row],[Beginning Balance]]*ROUND(1-(1-IF($C$11="No",$E$8,1))^(1/12),6),MIN(IF($C$13="Yes",Table1[[#This Row],[Payment Amount (Reamortized)]],$C$6)-Table1[[#This Row],[Interest]],Table1[[#This Row],[Beginning Balance]]))),2)))</f>
        <v>0</v>
      </c>
      <c r="I143" s="3">
        <f>_xlfn.SINGLE(IF($C$3="Line of Credit",0,ROUND(MAX(MIN(IF($C$10="No",$E$7,VLOOKUP(Table1[[#This Row],[Period]],Forecast!$H$2:$L$1048576,4,FALSE))*Table1[[#This Row],[Beginning Balance]],Table1[[#This Row],[Beginning Balance]]-Table1[[#This Row],[Principal]]),0),2)))</f>
        <v>0</v>
      </c>
      <c r="J143" s="3">
        <f>ROUND(MIN(Table1[[#This Row],[Beginning Balance]]*IF($C$8="No",$E$3,VLOOKUP(Table1[[#This Row],[Period]],Forecast!$H$2:$L$1048576,2,FALSE)),Table1[[#This Row],[Beginning Balance]]-Table1[[#This Row],[Principal]]-Table1[[#This Row],[Prepayments]]),2)</f>
        <v>0</v>
      </c>
      <c r="K143" s="3">
        <f>ROUND(Table1[[#This Row],[Defaulted Principal]]*IF($C$9="No",$E$4,VLOOKUP(Table1[[#This Row],[Period]],Forecast!$H$2:$L$1048576,3,FALSE)),2)</f>
        <v>0</v>
      </c>
      <c r="L143" s="2">
        <f>Table1[[#This Row],[Period]]+$E$9</f>
        <v>139</v>
      </c>
      <c r="M143" s="3">
        <f>Table1[[#This Row],[Defaulted Principal]]-Table1[[#This Row],[Estimated Loss]]</f>
        <v>0</v>
      </c>
      <c r="N143" s="3">
        <f>IFERROR(VLOOKUP(Table1[[#This Row],[Period]],$L$16:$M$385,2,FALSE),0)</f>
        <v>0</v>
      </c>
      <c r="O143" s="3">
        <f>Table1[[#This Row],[Beginning Balance]]-Table1[[#This Row],[Principal]]-Table1[[#This Row],[Prepayments]]-Table1[[#This Row],[Defaulted Principal]]</f>
        <v>0</v>
      </c>
      <c r="P143" s="3">
        <f>Table1[[#This Row],[Principal]]+Table1[[#This Row],[Interest]]+Table1[[#This Row],[Prepayments]]+Table1[[#This Row],[RecoveredAmount]]</f>
        <v>0</v>
      </c>
      <c r="Q143" s="3">
        <f ca="1">Table1[[#This Row],[Cash Flow]]/((1+ActualRateToUse)^(IF(ISNUMBER(SEARCH("Actual",$C$7)),Table1[[#This Row],[Running Total]]/365,Table1[[#This Row],[Period]]/12)))</f>
        <v>0</v>
      </c>
      <c r="R143" s="2">
        <f>IF(MONTH(Table1[[#This Row],[Date]])=2,28,DAY(DATE(YEAR(Table1[[#This Row],[Date]]),MONTH(Table1[[#This Row],[Date]])+1,1)-1))</f>
        <v>31</v>
      </c>
      <c r="S143" s="2">
        <f ca="1">SUM(OFFSET(Table1[[#Headers],[Days in month]],1,0):Table1[[#This Row],[Days in month]])</f>
        <v>3865</v>
      </c>
      <c r="T143" s="37">
        <f>InterestRate*AmortizationMultiplier*IF(ISNUMBER(SEARCH("Actual",$C$7)),Table1[[#This Row],[Days in month]]/365,1/12)</f>
        <v>6.0708333333333326E-3</v>
      </c>
    </row>
    <row r="144" spans="2:20" x14ac:dyDescent="0.2">
      <c r="B144" s="1">
        <f t="shared" si="7"/>
        <v>49734</v>
      </c>
      <c r="C144" s="2">
        <f t="shared" si="4"/>
        <v>128</v>
      </c>
      <c r="D144" s="3">
        <f t="shared" si="6"/>
        <v>0</v>
      </c>
      <c r="E144" s="3">
        <f>ROUND(Table1[[#This Row],[Beginning Balance]]*Table1[[#This Row],[Monthly Interest Rate]],2)</f>
        <v>0</v>
      </c>
      <c r="F144" s="3">
        <f t="shared" si="5"/>
        <v>224</v>
      </c>
      <c r="G144" s="23">
        <f>IFERROR(IF($C$13="No","N/A",IF(Table1[[#This Row],[Period]]=1,$C$6,PMT(InterestRate*AmortizationMultiplier/12,Table1[[#This Row],[Am Thru]],-Table1[[#This Row],[Beginning Balance]]))),0)</f>
        <v>0</v>
      </c>
      <c r="H144" s="3">
        <f>MAX(0,IF(C144=$C$4,D144,ROUND(IF($C$3="Fixed Principal",$C$6-Table1[[#This Row],[Interest]],IF($C$3="Interest Only",Table1[[#This Row],[Beginning Balance]]*ROUND(1-(1-IF($C$11="No",$E$8,1))^(1/12),6),MIN(IF($C$13="Yes",Table1[[#This Row],[Payment Amount (Reamortized)]],$C$6)-Table1[[#This Row],[Interest]],Table1[[#This Row],[Beginning Balance]]))),2)))</f>
        <v>0</v>
      </c>
      <c r="I144" s="3">
        <f>_xlfn.SINGLE(IF($C$3="Line of Credit",0,ROUND(MAX(MIN(IF($C$10="No",$E$7,VLOOKUP(Table1[[#This Row],[Period]],Forecast!$H$2:$L$1048576,4,FALSE))*Table1[[#This Row],[Beginning Balance]],Table1[[#This Row],[Beginning Balance]]-Table1[[#This Row],[Principal]]),0),2)))</f>
        <v>0</v>
      </c>
      <c r="J144" s="3">
        <f>ROUND(MIN(Table1[[#This Row],[Beginning Balance]]*IF($C$8="No",$E$3,VLOOKUP(Table1[[#This Row],[Period]],Forecast!$H$2:$L$1048576,2,FALSE)),Table1[[#This Row],[Beginning Balance]]-Table1[[#This Row],[Principal]]-Table1[[#This Row],[Prepayments]]),2)</f>
        <v>0</v>
      </c>
      <c r="K144" s="3">
        <f>ROUND(Table1[[#This Row],[Defaulted Principal]]*IF($C$9="No",$E$4,VLOOKUP(Table1[[#This Row],[Period]],Forecast!$H$2:$L$1048576,3,FALSE)),2)</f>
        <v>0</v>
      </c>
      <c r="L144" s="2">
        <f>Table1[[#This Row],[Period]]+$E$9</f>
        <v>140</v>
      </c>
      <c r="M144" s="3">
        <f>Table1[[#This Row],[Defaulted Principal]]-Table1[[#This Row],[Estimated Loss]]</f>
        <v>0</v>
      </c>
      <c r="N144" s="3">
        <f>IFERROR(VLOOKUP(Table1[[#This Row],[Period]],$L$16:$M$385,2,FALSE),0)</f>
        <v>0</v>
      </c>
      <c r="O144" s="3">
        <f>Table1[[#This Row],[Beginning Balance]]-Table1[[#This Row],[Principal]]-Table1[[#This Row],[Prepayments]]-Table1[[#This Row],[Defaulted Principal]]</f>
        <v>0</v>
      </c>
      <c r="P144" s="3">
        <f>Table1[[#This Row],[Principal]]+Table1[[#This Row],[Interest]]+Table1[[#This Row],[Prepayments]]+Table1[[#This Row],[RecoveredAmount]]</f>
        <v>0</v>
      </c>
      <c r="Q144" s="3">
        <f ca="1">Table1[[#This Row],[Cash Flow]]/((1+ActualRateToUse)^(IF(ISNUMBER(SEARCH("Actual",$C$7)),Table1[[#This Row],[Running Total]]/365,Table1[[#This Row],[Period]]/12)))</f>
        <v>0</v>
      </c>
      <c r="R144" s="2">
        <f>IF(MONTH(Table1[[#This Row],[Date]])=2,28,DAY(DATE(YEAR(Table1[[#This Row],[Date]]),MONTH(Table1[[#This Row],[Date]])+1,1)-1))</f>
        <v>28</v>
      </c>
      <c r="S144" s="2">
        <f ca="1">SUM(OFFSET(Table1[[#Headers],[Days in month]],1,0):Table1[[#This Row],[Days in month]])</f>
        <v>3893</v>
      </c>
      <c r="T144" s="37">
        <f>InterestRate*AmortizationMultiplier*IF(ISNUMBER(SEARCH("Actual",$C$7)),Table1[[#This Row],[Days in month]]/365,1/12)</f>
        <v>5.4833333333333331E-3</v>
      </c>
    </row>
    <row r="145" spans="2:20" x14ac:dyDescent="0.2">
      <c r="B145" s="1">
        <f t="shared" si="7"/>
        <v>49765</v>
      </c>
      <c r="C145" s="2">
        <f t="shared" si="4"/>
        <v>129</v>
      </c>
      <c r="D145" s="3">
        <f t="shared" si="6"/>
        <v>0</v>
      </c>
      <c r="E145" s="3">
        <f>ROUND(Table1[[#This Row],[Beginning Balance]]*Table1[[#This Row],[Monthly Interest Rate]],2)</f>
        <v>0</v>
      </c>
      <c r="F145" s="3">
        <f t="shared" si="5"/>
        <v>223</v>
      </c>
      <c r="G145" s="23">
        <f>IFERROR(IF($C$13="No","N/A",IF(Table1[[#This Row],[Period]]=1,$C$6,PMT(InterestRate*AmortizationMultiplier/12,Table1[[#This Row],[Am Thru]],-Table1[[#This Row],[Beginning Balance]]))),0)</f>
        <v>0</v>
      </c>
      <c r="H145" s="3">
        <f>MAX(0,IF(C145=$C$4,D145,ROUND(IF($C$3="Fixed Principal",$C$6-Table1[[#This Row],[Interest]],IF($C$3="Interest Only",Table1[[#This Row],[Beginning Balance]]*ROUND(1-(1-IF($C$11="No",$E$8,1))^(1/12),6),MIN(IF($C$13="Yes",Table1[[#This Row],[Payment Amount (Reamortized)]],$C$6)-Table1[[#This Row],[Interest]],Table1[[#This Row],[Beginning Balance]]))),2)))</f>
        <v>0</v>
      </c>
      <c r="I145" s="3">
        <f>_xlfn.SINGLE(IF($C$3="Line of Credit",0,ROUND(MAX(MIN(IF($C$10="No",$E$7,VLOOKUP(Table1[[#This Row],[Period]],Forecast!$H$2:$L$1048576,4,FALSE))*Table1[[#This Row],[Beginning Balance]],Table1[[#This Row],[Beginning Balance]]-Table1[[#This Row],[Principal]]),0),2)))</f>
        <v>0</v>
      </c>
      <c r="J145" s="3">
        <f>ROUND(MIN(Table1[[#This Row],[Beginning Balance]]*IF($C$8="No",$E$3,VLOOKUP(Table1[[#This Row],[Period]],Forecast!$H$2:$L$1048576,2,FALSE)),Table1[[#This Row],[Beginning Balance]]-Table1[[#This Row],[Principal]]-Table1[[#This Row],[Prepayments]]),2)</f>
        <v>0</v>
      </c>
      <c r="K145" s="3">
        <f>ROUND(Table1[[#This Row],[Defaulted Principal]]*IF($C$9="No",$E$4,VLOOKUP(Table1[[#This Row],[Period]],Forecast!$H$2:$L$1048576,3,FALSE)),2)</f>
        <v>0</v>
      </c>
      <c r="L145" s="2">
        <f>Table1[[#This Row],[Period]]+$E$9</f>
        <v>141</v>
      </c>
      <c r="M145" s="3">
        <f>Table1[[#This Row],[Defaulted Principal]]-Table1[[#This Row],[Estimated Loss]]</f>
        <v>0</v>
      </c>
      <c r="N145" s="3">
        <f>IFERROR(VLOOKUP(Table1[[#This Row],[Period]],$L$16:$M$385,2,FALSE),0)</f>
        <v>0</v>
      </c>
      <c r="O145" s="3">
        <f>Table1[[#This Row],[Beginning Balance]]-Table1[[#This Row],[Principal]]-Table1[[#This Row],[Prepayments]]-Table1[[#This Row],[Defaulted Principal]]</f>
        <v>0</v>
      </c>
      <c r="P145" s="3">
        <f>Table1[[#This Row],[Principal]]+Table1[[#This Row],[Interest]]+Table1[[#This Row],[Prepayments]]+Table1[[#This Row],[RecoveredAmount]]</f>
        <v>0</v>
      </c>
      <c r="Q145" s="3">
        <f ca="1">Table1[[#This Row],[Cash Flow]]/((1+ActualRateToUse)^(IF(ISNUMBER(SEARCH("Actual",$C$7)),Table1[[#This Row],[Running Total]]/365,Table1[[#This Row],[Period]]/12)))</f>
        <v>0</v>
      </c>
      <c r="R145" s="2">
        <f>IF(MONTH(Table1[[#This Row],[Date]])=2,28,DAY(DATE(YEAR(Table1[[#This Row],[Date]]),MONTH(Table1[[#This Row],[Date]])+1,1)-1))</f>
        <v>31</v>
      </c>
      <c r="S145" s="2">
        <f ca="1">SUM(OFFSET(Table1[[#Headers],[Days in month]],1,0):Table1[[#This Row],[Days in month]])</f>
        <v>3924</v>
      </c>
      <c r="T145" s="37">
        <f>InterestRate*AmortizationMultiplier*IF(ISNUMBER(SEARCH("Actual",$C$7)),Table1[[#This Row],[Days in month]]/365,1/12)</f>
        <v>6.0708333333333326E-3</v>
      </c>
    </row>
    <row r="146" spans="2:20" x14ac:dyDescent="0.2">
      <c r="B146" s="1">
        <f t="shared" si="7"/>
        <v>49795</v>
      </c>
      <c r="C146" s="2">
        <f t="shared" si="4"/>
        <v>130</v>
      </c>
      <c r="D146" s="3">
        <f t="shared" si="6"/>
        <v>0</v>
      </c>
      <c r="E146" s="3">
        <f>ROUND(Table1[[#This Row],[Beginning Balance]]*Table1[[#This Row],[Monthly Interest Rate]],2)</f>
        <v>0</v>
      </c>
      <c r="F146" s="3">
        <f t="shared" si="5"/>
        <v>222</v>
      </c>
      <c r="G146" s="23">
        <f>IFERROR(IF($C$13="No","N/A",IF(Table1[[#This Row],[Period]]=1,$C$6,PMT(InterestRate*AmortizationMultiplier/12,Table1[[#This Row],[Am Thru]],-Table1[[#This Row],[Beginning Balance]]))),0)</f>
        <v>0</v>
      </c>
      <c r="H146" s="3">
        <f>MAX(0,IF(C146=$C$4,D146,ROUND(IF($C$3="Fixed Principal",$C$6-Table1[[#This Row],[Interest]],IF($C$3="Interest Only",Table1[[#This Row],[Beginning Balance]]*ROUND(1-(1-IF($C$11="No",$E$8,1))^(1/12),6),MIN(IF($C$13="Yes",Table1[[#This Row],[Payment Amount (Reamortized)]],$C$6)-Table1[[#This Row],[Interest]],Table1[[#This Row],[Beginning Balance]]))),2)))</f>
        <v>0</v>
      </c>
      <c r="I146" s="3">
        <f>_xlfn.SINGLE(IF($C$3="Line of Credit",0,ROUND(MAX(MIN(IF($C$10="No",$E$7,VLOOKUP(Table1[[#This Row],[Period]],Forecast!$H$2:$L$1048576,4,FALSE))*Table1[[#This Row],[Beginning Balance]],Table1[[#This Row],[Beginning Balance]]-Table1[[#This Row],[Principal]]),0),2)))</f>
        <v>0</v>
      </c>
      <c r="J146" s="3">
        <f>ROUND(MIN(Table1[[#This Row],[Beginning Balance]]*IF($C$8="No",$E$3,VLOOKUP(Table1[[#This Row],[Period]],Forecast!$H$2:$L$1048576,2,FALSE)),Table1[[#This Row],[Beginning Balance]]-Table1[[#This Row],[Principal]]-Table1[[#This Row],[Prepayments]]),2)</f>
        <v>0</v>
      </c>
      <c r="K146" s="3">
        <f>ROUND(Table1[[#This Row],[Defaulted Principal]]*IF($C$9="No",$E$4,VLOOKUP(Table1[[#This Row],[Period]],Forecast!$H$2:$L$1048576,3,FALSE)),2)</f>
        <v>0</v>
      </c>
      <c r="L146" s="2">
        <f>Table1[[#This Row],[Period]]+$E$9</f>
        <v>142</v>
      </c>
      <c r="M146" s="3">
        <f>Table1[[#This Row],[Defaulted Principal]]-Table1[[#This Row],[Estimated Loss]]</f>
        <v>0</v>
      </c>
      <c r="N146" s="3">
        <f>IFERROR(VLOOKUP(Table1[[#This Row],[Period]],$L$16:$M$385,2,FALSE),0)</f>
        <v>0</v>
      </c>
      <c r="O146" s="3">
        <f>Table1[[#This Row],[Beginning Balance]]-Table1[[#This Row],[Principal]]-Table1[[#This Row],[Prepayments]]-Table1[[#This Row],[Defaulted Principal]]</f>
        <v>0</v>
      </c>
      <c r="P146" s="3">
        <f>Table1[[#This Row],[Principal]]+Table1[[#This Row],[Interest]]+Table1[[#This Row],[Prepayments]]+Table1[[#This Row],[RecoveredAmount]]</f>
        <v>0</v>
      </c>
      <c r="Q146" s="3">
        <f ca="1">Table1[[#This Row],[Cash Flow]]/((1+ActualRateToUse)^(IF(ISNUMBER(SEARCH("Actual",$C$7)),Table1[[#This Row],[Running Total]]/365,Table1[[#This Row],[Period]]/12)))</f>
        <v>0</v>
      </c>
      <c r="R146" s="2">
        <f>IF(MONTH(Table1[[#This Row],[Date]])=2,28,DAY(DATE(YEAR(Table1[[#This Row],[Date]]),MONTH(Table1[[#This Row],[Date]])+1,1)-1))</f>
        <v>30</v>
      </c>
      <c r="S146" s="2">
        <f ca="1">SUM(OFFSET(Table1[[#Headers],[Days in month]],1,0):Table1[[#This Row],[Days in month]])</f>
        <v>3954</v>
      </c>
      <c r="T146" s="37">
        <f>InterestRate*AmortizationMultiplier*IF(ISNUMBER(SEARCH("Actual",$C$7)),Table1[[#This Row],[Days in month]]/365,1/12)</f>
        <v>5.8749999999999991E-3</v>
      </c>
    </row>
    <row r="147" spans="2:20" x14ac:dyDescent="0.2">
      <c r="B147" s="1">
        <f t="shared" ref="B147:B210" si="8">EOMONTH(B146,1)</f>
        <v>49826</v>
      </c>
      <c r="C147" s="2">
        <f t="shared" ref="C147:C210" si="9">C146+1</f>
        <v>131</v>
      </c>
      <c r="D147" s="3">
        <f t="shared" si="6"/>
        <v>0</v>
      </c>
      <c r="E147" s="3">
        <f>ROUND(Table1[[#This Row],[Beginning Balance]]*Table1[[#This Row],[Monthly Interest Rate]],2)</f>
        <v>0</v>
      </c>
      <c r="F147" s="3">
        <f t="shared" ref="F147:F210" si="10">+F146-1</f>
        <v>221</v>
      </c>
      <c r="G147" s="23">
        <f>IFERROR(IF($C$13="No","N/A",IF(Table1[[#This Row],[Period]]=1,$C$6,PMT(InterestRate*AmortizationMultiplier/12,Table1[[#This Row],[Am Thru]],-Table1[[#This Row],[Beginning Balance]]))),0)</f>
        <v>0</v>
      </c>
      <c r="H147" s="3">
        <f>MAX(0,IF(C147=$C$4,D147,ROUND(IF($C$3="Fixed Principal",$C$6-Table1[[#This Row],[Interest]],IF($C$3="Interest Only",Table1[[#This Row],[Beginning Balance]]*ROUND(1-(1-IF($C$11="No",$E$8,1))^(1/12),6),MIN(IF($C$13="Yes",Table1[[#This Row],[Payment Amount (Reamortized)]],$C$6)-Table1[[#This Row],[Interest]],Table1[[#This Row],[Beginning Balance]]))),2)))</f>
        <v>0</v>
      </c>
      <c r="I147" s="3">
        <f>_xlfn.SINGLE(IF($C$3="Line of Credit",0,ROUND(MAX(MIN(IF($C$10="No",$E$7,VLOOKUP(Table1[[#This Row],[Period]],Forecast!$H$2:$L$1048576,4,FALSE))*Table1[[#This Row],[Beginning Balance]],Table1[[#This Row],[Beginning Balance]]-Table1[[#This Row],[Principal]]),0),2)))</f>
        <v>0</v>
      </c>
      <c r="J147" s="3">
        <f>ROUND(MIN(Table1[[#This Row],[Beginning Balance]]*IF($C$8="No",$E$3,VLOOKUP(Table1[[#This Row],[Period]],Forecast!$H$2:$L$1048576,2,FALSE)),Table1[[#This Row],[Beginning Balance]]-Table1[[#This Row],[Principal]]-Table1[[#This Row],[Prepayments]]),2)</f>
        <v>0</v>
      </c>
      <c r="K147" s="3">
        <f>ROUND(Table1[[#This Row],[Defaulted Principal]]*IF($C$9="No",$E$4,VLOOKUP(Table1[[#This Row],[Period]],Forecast!$H$2:$L$1048576,3,FALSE)),2)</f>
        <v>0</v>
      </c>
      <c r="L147" s="2">
        <f>Table1[[#This Row],[Period]]+$E$9</f>
        <v>143</v>
      </c>
      <c r="M147" s="3">
        <f>Table1[[#This Row],[Defaulted Principal]]-Table1[[#This Row],[Estimated Loss]]</f>
        <v>0</v>
      </c>
      <c r="N147" s="3">
        <f>IFERROR(VLOOKUP(Table1[[#This Row],[Period]],$L$16:$M$385,2,FALSE),0)</f>
        <v>0</v>
      </c>
      <c r="O147" s="3">
        <f>Table1[[#This Row],[Beginning Balance]]-Table1[[#This Row],[Principal]]-Table1[[#This Row],[Prepayments]]-Table1[[#This Row],[Defaulted Principal]]</f>
        <v>0</v>
      </c>
      <c r="P147" s="3">
        <f>Table1[[#This Row],[Principal]]+Table1[[#This Row],[Interest]]+Table1[[#This Row],[Prepayments]]+Table1[[#This Row],[RecoveredAmount]]</f>
        <v>0</v>
      </c>
      <c r="Q147" s="3">
        <f ca="1">Table1[[#This Row],[Cash Flow]]/((1+ActualRateToUse)^(IF(ISNUMBER(SEARCH("Actual",$C$7)),Table1[[#This Row],[Running Total]]/365,Table1[[#This Row],[Period]]/12)))</f>
        <v>0</v>
      </c>
      <c r="R147" s="2">
        <f>IF(MONTH(Table1[[#This Row],[Date]])=2,28,DAY(DATE(YEAR(Table1[[#This Row],[Date]]),MONTH(Table1[[#This Row],[Date]])+1,1)-1))</f>
        <v>31</v>
      </c>
      <c r="S147" s="2">
        <f ca="1">SUM(OFFSET(Table1[[#Headers],[Days in month]],1,0):Table1[[#This Row],[Days in month]])</f>
        <v>3985</v>
      </c>
      <c r="T147" s="37">
        <f>InterestRate*AmortizationMultiplier*IF(ISNUMBER(SEARCH("Actual",$C$7)),Table1[[#This Row],[Days in month]]/365,1/12)</f>
        <v>6.0708333333333326E-3</v>
      </c>
    </row>
    <row r="148" spans="2:20" x14ac:dyDescent="0.2">
      <c r="B148" s="1">
        <f t="shared" si="8"/>
        <v>49856</v>
      </c>
      <c r="C148" s="2">
        <f t="shared" si="9"/>
        <v>132</v>
      </c>
      <c r="D148" s="3">
        <f t="shared" si="6"/>
        <v>0</v>
      </c>
      <c r="E148" s="3">
        <f>ROUND(Table1[[#This Row],[Beginning Balance]]*Table1[[#This Row],[Monthly Interest Rate]],2)</f>
        <v>0</v>
      </c>
      <c r="F148" s="3">
        <f t="shared" si="10"/>
        <v>220</v>
      </c>
      <c r="G148" s="23">
        <f>IFERROR(IF($C$13="No","N/A",IF(Table1[[#This Row],[Period]]=1,$C$6,PMT(InterestRate*AmortizationMultiplier/12,Table1[[#This Row],[Am Thru]],-Table1[[#This Row],[Beginning Balance]]))),0)</f>
        <v>0</v>
      </c>
      <c r="H148" s="3">
        <f>MAX(0,IF(C148=$C$4,D148,ROUND(IF($C$3="Fixed Principal",$C$6-Table1[[#This Row],[Interest]],IF($C$3="Interest Only",Table1[[#This Row],[Beginning Balance]]*ROUND(1-(1-IF($C$11="No",$E$8,1))^(1/12),6),MIN(IF($C$13="Yes",Table1[[#This Row],[Payment Amount (Reamortized)]],$C$6)-Table1[[#This Row],[Interest]],Table1[[#This Row],[Beginning Balance]]))),2)))</f>
        <v>0</v>
      </c>
      <c r="I148" s="3">
        <f>_xlfn.SINGLE(IF($C$3="Line of Credit",0,ROUND(MAX(MIN(IF($C$10="No",$E$7,VLOOKUP(Table1[[#This Row],[Period]],Forecast!$H$2:$L$1048576,4,FALSE))*Table1[[#This Row],[Beginning Balance]],Table1[[#This Row],[Beginning Balance]]-Table1[[#This Row],[Principal]]),0),2)))</f>
        <v>0</v>
      </c>
      <c r="J148" s="3">
        <f>ROUND(MIN(Table1[[#This Row],[Beginning Balance]]*IF($C$8="No",$E$3,VLOOKUP(Table1[[#This Row],[Period]],Forecast!$H$2:$L$1048576,2,FALSE)),Table1[[#This Row],[Beginning Balance]]-Table1[[#This Row],[Principal]]-Table1[[#This Row],[Prepayments]]),2)</f>
        <v>0</v>
      </c>
      <c r="K148" s="3">
        <f>ROUND(Table1[[#This Row],[Defaulted Principal]]*IF($C$9="No",$E$4,VLOOKUP(Table1[[#This Row],[Period]],Forecast!$H$2:$L$1048576,3,FALSE)),2)</f>
        <v>0</v>
      </c>
      <c r="L148" s="2">
        <f>Table1[[#This Row],[Period]]+$E$9</f>
        <v>144</v>
      </c>
      <c r="M148" s="3">
        <f>Table1[[#This Row],[Defaulted Principal]]-Table1[[#This Row],[Estimated Loss]]</f>
        <v>0</v>
      </c>
      <c r="N148" s="3">
        <f>IFERROR(VLOOKUP(Table1[[#This Row],[Period]],$L$16:$M$385,2,FALSE),0)</f>
        <v>0</v>
      </c>
      <c r="O148" s="3">
        <f>Table1[[#This Row],[Beginning Balance]]-Table1[[#This Row],[Principal]]-Table1[[#This Row],[Prepayments]]-Table1[[#This Row],[Defaulted Principal]]</f>
        <v>0</v>
      </c>
      <c r="P148" s="3">
        <f>Table1[[#This Row],[Principal]]+Table1[[#This Row],[Interest]]+Table1[[#This Row],[Prepayments]]+Table1[[#This Row],[RecoveredAmount]]</f>
        <v>0</v>
      </c>
      <c r="Q148" s="3">
        <f ca="1">Table1[[#This Row],[Cash Flow]]/((1+ActualRateToUse)^(IF(ISNUMBER(SEARCH("Actual",$C$7)),Table1[[#This Row],[Running Total]]/365,Table1[[#This Row],[Period]]/12)))</f>
        <v>0</v>
      </c>
      <c r="R148" s="2">
        <f>IF(MONTH(Table1[[#This Row],[Date]])=2,28,DAY(DATE(YEAR(Table1[[#This Row],[Date]]),MONTH(Table1[[#This Row],[Date]])+1,1)-1))</f>
        <v>30</v>
      </c>
      <c r="S148" s="2">
        <f ca="1">SUM(OFFSET(Table1[[#Headers],[Days in month]],1,0):Table1[[#This Row],[Days in month]])</f>
        <v>4015</v>
      </c>
      <c r="T148" s="37">
        <f>InterestRate*AmortizationMultiplier*IF(ISNUMBER(SEARCH("Actual",$C$7)),Table1[[#This Row],[Days in month]]/365,1/12)</f>
        <v>5.8749999999999991E-3</v>
      </c>
    </row>
    <row r="149" spans="2:20" x14ac:dyDescent="0.2">
      <c r="B149" s="1">
        <f t="shared" si="8"/>
        <v>49887</v>
      </c>
      <c r="C149" s="2">
        <f t="shared" si="9"/>
        <v>133</v>
      </c>
      <c r="D149" s="3">
        <f t="shared" si="6"/>
        <v>0</v>
      </c>
      <c r="E149" s="3">
        <f>ROUND(Table1[[#This Row],[Beginning Balance]]*Table1[[#This Row],[Monthly Interest Rate]],2)</f>
        <v>0</v>
      </c>
      <c r="F149" s="3">
        <f t="shared" si="10"/>
        <v>219</v>
      </c>
      <c r="G149" s="23">
        <f>IFERROR(IF($C$13="No","N/A",IF(Table1[[#This Row],[Period]]=1,$C$6,PMT(InterestRate*AmortizationMultiplier/12,Table1[[#This Row],[Am Thru]],-Table1[[#This Row],[Beginning Balance]]))),0)</f>
        <v>0</v>
      </c>
      <c r="H149" s="3">
        <f>MAX(0,IF(C149=$C$4,D149,ROUND(IF($C$3="Fixed Principal",$C$6-Table1[[#This Row],[Interest]],IF($C$3="Interest Only",Table1[[#This Row],[Beginning Balance]]*ROUND(1-(1-IF($C$11="No",$E$8,1))^(1/12),6),MIN(IF($C$13="Yes",Table1[[#This Row],[Payment Amount (Reamortized)]],$C$6)-Table1[[#This Row],[Interest]],Table1[[#This Row],[Beginning Balance]]))),2)))</f>
        <v>0</v>
      </c>
      <c r="I149" s="3">
        <f>_xlfn.SINGLE(IF($C$3="Line of Credit",0,ROUND(MAX(MIN(IF($C$10="No",$E$7,VLOOKUP(Table1[[#This Row],[Period]],Forecast!$H$2:$L$1048576,4,FALSE))*Table1[[#This Row],[Beginning Balance]],Table1[[#This Row],[Beginning Balance]]-Table1[[#This Row],[Principal]]),0),2)))</f>
        <v>0</v>
      </c>
      <c r="J149" s="3">
        <f>ROUND(MIN(Table1[[#This Row],[Beginning Balance]]*IF($C$8="No",$E$3,VLOOKUP(Table1[[#This Row],[Period]],Forecast!$H$2:$L$1048576,2,FALSE)),Table1[[#This Row],[Beginning Balance]]-Table1[[#This Row],[Principal]]-Table1[[#This Row],[Prepayments]]),2)</f>
        <v>0</v>
      </c>
      <c r="K149" s="3">
        <f>ROUND(Table1[[#This Row],[Defaulted Principal]]*IF($C$9="No",$E$4,VLOOKUP(Table1[[#This Row],[Period]],Forecast!$H$2:$L$1048576,3,FALSE)),2)</f>
        <v>0</v>
      </c>
      <c r="L149" s="2">
        <f>Table1[[#This Row],[Period]]+$E$9</f>
        <v>145</v>
      </c>
      <c r="M149" s="3">
        <f>Table1[[#This Row],[Defaulted Principal]]-Table1[[#This Row],[Estimated Loss]]</f>
        <v>0</v>
      </c>
      <c r="N149" s="3">
        <f>IFERROR(VLOOKUP(Table1[[#This Row],[Period]],$L$16:$M$385,2,FALSE),0)</f>
        <v>0</v>
      </c>
      <c r="O149" s="3">
        <f>Table1[[#This Row],[Beginning Balance]]-Table1[[#This Row],[Principal]]-Table1[[#This Row],[Prepayments]]-Table1[[#This Row],[Defaulted Principal]]</f>
        <v>0</v>
      </c>
      <c r="P149" s="3">
        <f>Table1[[#This Row],[Principal]]+Table1[[#This Row],[Interest]]+Table1[[#This Row],[Prepayments]]+Table1[[#This Row],[RecoveredAmount]]</f>
        <v>0</v>
      </c>
      <c r="Q149" s="3">
        <f ca="1">Table1[[#This Row],[Cash Flow]]/((1+ActualRateToUse)^(IF(ISNUMBER(SEARCH("Actual",$C$7)),Table1[[#This Row],[Running Total]]/365,Table1[[#This Row],[Period]]/12)))</f>
        <v>0</v>
      </c>
      <c r="R149" s="2">
        <f>IF(MONTH(Table1[[#This Row],[Date]])=2,28,DAY(DATE(YEAR(Table1[[#This Row],[Date]]),MONTH(Table1[[#This Row],[Date]])+1,1)-1))</f>
        <v>31</v>
      </c>
      <c r="S149" s="2">
        <f ca="1">SUM(OFFSET(Table1[[#Headers],[Days in month]],1,0):Table1[[#This Row],[Days in month]])</f>
        <v>4046</v>
      </c>
      <c r="T149" s="37">
        <f>InterestRate*AmortizationMultiplier*IF(ISNUMBER(SEARCH("Actual",$C$7)),Table1[[#This Row],[Days in month]]/365,1/12)</f>
        <v>6.0708333333333326E-3</v>
      </c>
    </row>
    <row r="150" spans="2:20" x14ac:dyDescent="0.2">
      <c r="B150" s="1">
        <f t="shared" si="8"/>
        <v>49918</v>
      </c>
      <c r="C150" s="2">
        <f t="shared" si="9"/>
        <v>134</v>
      </c>
      <c r="D150" s="3">
        <f t="shared" si="6"/>
        <v>0</v>
      </c>
      <c r="E150" s="3">
        <f>ROUND(Table1[[#This Row],[Beginning Balance]]*Table1[[#This Row],[Monthly Interest Rate]],2)</f>
        <v>0</v>
      </c>
      <c r="F150" s="3">
        <f t="shared" si="10"/>
        <v>218</v>
      </c>
      <c r="G150" s="23">
        <f>IFERROR(IF($C$13="No","N/A",IF(Table1[[#This Row],[Period]]=1,$C$6,PMT(InterestRate*AmortizationMultiplier/12,Table1[[#This Row],[Am Thru]],-Table1[[#This Row],[Beginning Balance]]))),0)</f>
        <v>0</v>
      </c>
      <c r="H150" s="3">
        <f>MAX(0,IF(C150=$C$4,D150,ROUND(IF($C$3="Fixed Principal",$C$6-Table1[[#This Row],[Interest]],IF($C$3="Interest Only",Table1[[#This Row],[Beginning Balance]]*ROUND(1-(1-IF($C$11="No",$E$8,1))^(1/12),6),MIN(IF($C$13="Yes",Table1[[#This Row],[Payment Amount (Reamortized)]],$C$6)-Table1[[#This Row],[Interest]],Table1[[#This Row],[Beginning Balance]]))),2)))</f>
        <v>0</v>
      </c>
      <c r="I150" s="3">
        <f>_xlfn.SINGLE(IF($C$3="Line of Credit",0,ROUND(MAX(MIN(IF($C$10="No",$E$7,VLOOKUP(Table1[[#This Row],[Period]],Forecast!$H$2:$L$1048576,4,FALSE))*Table1[[#This Row],[Beginning Balance]],Table1[[#This Row],[Beginning Balance]]-Table1[[#This Row],[Principal]]),0),2)))</f>
        <v>0</v>
      </c>
      <c r="J150" s="3">
        <f>ROUND(MIN(Table1[[#This Row],[Beginning Balance]]*IF($C$8="No",$E$3,VLOOKUP(Table1[[#This Row],[Period]],Forecast!$H$2:$L$1048576,2,FALSE)),Table1[[#This Row],[Beginning Balance]]-Table1[[#This Row],[Principal]]-Table1[[#This Row],[Prepayments]]),2)</f>
        <v>0</v>
      </c>
      <c r="K150" s="3">
        <f>ROUND(Table1[[#This Row],[Defaulted Principal]]*IF($C$9="No",$E$4,VLOOKUP(Table1[[#This Row],[Period]],Forecast!$H$2:$L$1048576,3,FALSE)),2)</f>
        <v>0</v>
      </c>
      <c r="L150" s="2">
        <f>Table1[[#This Row],[Period]]+$E$9</f>
        <v>146</v>
      </c>
      <c r="M150" s="3">
        <f>Table1[[#This Row],[Defaulted Principal]]-Table1[[#This Row],[Estimated Loss]]</f>
        <v>0</v>
      </c>
      <c r="N150" s="3">
        <f>IFERROR(VLOOKUP(Table1[[#This Row],[Period]],$L$16:$M$385,2,FALSE),0)</f>
        <v>0</v>
      </c>
      <c r="O150" s="3">
        <f>Table1[[#This Row],[Beginning Balance]]-Table1[[#This Row],[Principal]]-Table1[[#This Row],[Prepayments]]-Table1[[#This Row],[Defaulted Principal]]</f>
        <v>0</v>
      </c>
      <c r="P150" s="3">
        <f>Table1[[#This Row],[Principal]]+Table1[[#This Row],[Interest]]+Table1[[#This Row],[Prepayments]]+Table1[[#This Row],[RecoveredAmount]]</f>
        <v>0</v>
      </c>
      <c r="Q150" s="3">
        <f ca="1">Table1[[#This Row],[Cash Flow]]/((1+ActualRateToUse)^(IF(ISNUMBER(SEARCH("Actual",$C$7)),Table1[[#This Row],[Running Total]]/365,Table1[[#This Row],[Period]]/12)))</f>
        <v>0</v>
      </c>
      <c r="R150" s="2">
        <f>IF(MONTH(Table1[[#This Row],[Date]])=2,28,DAY(DATE(YEAR(Table1[[#This Row],[Date]]),MONTH(Table1[[#This Row],[Date]])+1,1)-1))</f>
        <v>31</v>
      </c>
      <c r="S150" s="2">
        <f ca="1">SUM(OFFSET(Table1[[#Headers],[Days in month]],1,0):Table1[[#This Row],[Days in month]])</f>
        <v>4077</v>
      </c>
      <c r="T150" s="37">
        <f>InterestRate*AmortizationMultiplier*IF(ISNUMBER(SEARCH("Actual",$C$7)),Table1[[#This Row],[Days in month]]/365,1/12)</f>
        <v>6.0708333333333326E-3</v>
      </c>
    </row>
    <row r="151" spans="2:20" x14ac:dyDescent="0.2">
      <c r="B151" s="1">
        <f t="shared" si="8"/>
        <v>49948</v>
      </c>
      <c r="C151" s="2">
        <f t="shared" si="9"/>
        <v>135</v>
      </c>
      <c r="D151" s="3">
        <f t="shared" si="6"/>
        <v>0</v>
      </c>
      <c r="E151" s="3">
        <f>ROUND(Table1[[#This Row],[Beginning Balance]]*Table1[[#This Row],[Monthly Interest Rate]],2)</f>
        <v>0</v>
      </c>
      <c r="F151" s="3">
        <f t="shared" si="10"/>
        <v>217</v>
      </c>
      <c r="G151" s="23">
        <f>IFERROR(IF($C$13="No","N/A",IF(Table1[[#This Row],[Period]]=1,$C$6,PMT(InterestRate*AmortizationMultiplier/12,Table1[[#This Row],[Am Thru]],-Table1[[#This Row],[Beginning Balance]]))),0)</f>
        <v>0</v>
      </c>
      <c r="H151" s="3">
        <f>MAX(0,IF(C151=$C$4,D151,ROUND(IF($C$3="Fixed Principal",$C$6-Table1[[#This Row],[Interest]],IF($C$3="Interest Only",Table1[[#This Row],[Beginning Balance]]*ROUND(1-(1-IF($C$11="No",$E$8,1))^(1/12),6),MIN(IF($C$13="Yes",Table1[[#This Row],[Payment Amount (Reamortized)]],$C$6)-Table1[[#This Row],[Interest]],Table1[[#This Row],[Beginning Balance]]))),2)))</f>
        <v>0</v>
      </c>
      <c r="I151" s="3">
        <f>_xlfn.SINGLE(IF($C$3="Line of Credit",0,ROUND(MAX(MIN(IF($C$10="No",$E$7,VLOOKUP(Table1[[#This Row],[Period]],Forecast!$H$2:$L$1048576,4,FALSE))*Table1[[#This Row],[Beginning Balance]],Table1[[#This Row],[Beginning Balance]]-Table1[[#This Row],[Principal]]),0),2)))</f>
        <v>0</v>
      </c>
      <c r="J151" s="3">
        <f>ROUND(MIN(Table1[[#This Row],[Beginning Balance]]*IF($C$8="No",$E$3,VLOOKUP(Table1[[#This Row],[Period]],Forecast!$H$2:$L$1048576,2,FALSE)),Table1[[#This Row],[Beginning Balance]]-Table1[[#This Row],[Principal]]-Table1[[#This Row],[Prepayments]]),2)</f>
        <v>0</v>
      </c>
      <c r="K151" s="3">
        <f>ROUND(Table1[[#This Row],[Defaulted Principal]]*IF($C$9="No",$E$4,VLOOKUP(Table1[[#This Row],[Period]],Forecast!$H$2:$L$1048576,3,FALSE)),2)</f>
        <v>0</v>
      </c>
      <c r="L151" s="2">
        <f>Table1[[#This Row],[Period]]+$E$9</f>
        <v>147</v>
      </c>
      <c r="M151" s="3">
        <f>Table1[[#This Row],[Defaulted Principal]]-Table1[[#This Row],[Estimated Loss]]</f>
        <v>0</v>
      </c>
      <c r="N151" s="3">
        <f>IFERROR(VLOOKUP(Table1[[#This Row],[Period]],$L$16:$M$385,2,FALSE),0)</f>
        <v>0</v>
      </c>
      <c r="O151" s="3">
        <f>Table1[[#This Row],[Beginning Balance]]-Table1[[#This Row],[Principal]]-Table1[[#This Row],[Prepayments]]-Table1[[#This Row],[Defaulted Principal]]</f>
        <v>0</v>
      </c>
      <c r="P151" s="3">
        <f>Table1[[#This Row],[Principal]]+Table1[[#This Row],[Interest]]+Table1[[#This Row],[Prepayments]]+Table1[[#This Row],[RecoveredAmount]]</f>
        <v>0</v>
      </c>
      <c r="Q151" s="3">
        <f ca="1">Table1[[#This Row],[Cash Flow]]/((1+ActualRateToUse)^(IF(ISNUMBER(SEARCH("Actual",$C$7)),Table1[[#This Row],[Running Total]]/365,Table1[[#This Row],[Period]]/12)))</f>
        <v>0</v>
      </c>
      <c r="R151" s="2">
        <f>IF(MONTH(Table1[[#This Row],[Date]])=2,28,DAY(DATE(YEAR(Table1[[#This Row],[Date]]),MONTH(Table1[[#This Row],[Date]])+1,1)-1))</f>
        <v>30</v>
      </c>
      <c r="S151" s="2">
        <f ca="1">SUM(OFFSET(Table1[[#Headers],[Days in month]],1,0):Table1[[#This Row],[Days in month]])</f>
        <v>4107</v>
      </c>
      <c r="T151" s="37">
        <f>InterestRate*AmortizationMultiplier*IF(ISNUMBER(SEARCH("Actual",$C$7)),Table1[[#This Row],[Days in month]]/365,1/12)</f>
        <v>5.8749999999999991E-3</v>
      </c>
    </row>
    <row r="152" spans="2:20" x14ac:dyDescent="0.2">
      <c r="B152" s="1">
        <f t="shared" si="8"/>
        <v>49979</v>
      </c>
      <c r="C152" s="2">
        <f t="shared" si="9"/>
        <v>136</v>
      </c>
      <c r="D152" s="3">
        <f t="shared" si="6"/>
        <v>0</v>
      </c>
      <c r="E152" s="3">
        <f>ROUND(Table1[[#This Row],[Beginning Balance]]*Table1[[#This Row],[Monthly Interest Rate]],2)</f>
        <v>0</v>
      </c>
      <c r="F152" s="3">
        <f t="shared" si="10"/>
        <v>216</v>
      </c>
      <c r="G152" s="23">
        <f>IFERROR(IF($C$13="No","N/A",IF(Table1[[#This Row],[Period]]=1,$C$6,PMT(InterestRate*AmortizationMultiplier/12,Table1[[#This Row],[Am Thru]],-Table1[[#This Row],[Beginning Balance]]))),0)</f>
        <v>0</v>
      </c>
      <c r="H152" s="3">
        <f>MAX(0,IF(C152=$C$4,D152,ROUND(IF($C$3="Fixed Principal",$C$6-Table1[[#This Row],[Interest]],IF($C$3="Interest Only",Table1[[#This Row],[Beginning Balance]]*ROUND(1-(1-IF($C$11="No",$E$8,1))^(1/12),6),MIN(IF($C$13="Yes",Table1[[#This Row],[Payment Amount (Reamortized)]],$C$6)-Table1[[#This Row],[Interest]],Table1[[#This Row],[Beginning Balance]]))),2)))</f>
        <v>0</v>
      </c>
      <c r="I152" s="3">
        <f>_xlfn.SINGLE(IF($C$3="Line of Credit",0,ROUND(MAX(MIN(IF($C$10="No",$E$7,VLOOKUP(Table1[[#This Row],[Period]],Forecast!$H$2:$L$1048576,4,FALSE))*Table1[[#This Row],[Beginning Balance]],Table1[[#This Row],[Beginning Balance]]-Table1[[#This Row],[Principal]]),0),2)))</f>
        <v>0</v>
      </c>
      <c r="J152" s="3">
        <f>ROUND(MIN(Table1[[#This Row],[Beginning Balance]]*IF($C$8="No",$E$3,VLOOKUP(Table1[[#This Row],[Period]],Forecast!$H$2:$L$1048576,2,FALSE)),Table1[[#This Row],[Beginning Balance]]-Table1[[#This Row],[Principal]]-Table1[[#This Row],[Prepayments]]),2)</f>
        <v>0</v>
      </c>
      <c r="K152" s="3">
        <f>ROUND(Table1[[#This Row],[Defaulted Principal]]*IF($C$9="No",$E$4,VLOOKUP(Table1[[#This Row],[Period]],Forecast!$H$2:$L$1048576,3,FALSE)),2)</f>
        <v>0</v>
      </c>
      <c r="L152" s="2">
        <f>Table1[[#This Row],[Period]]+$E$9</f>
        <v>148</v>
      </c>
      <c r="M152" s="3">
        <f>Table1[[#This Row],[Defaulted Principal]]-Table1[[#This Row],[Estimated Loss]]</f>
        <v>0</v>
      </c>
      <c r="N152" s="3">
        <f>IFERROR(VLOOKUP(Table1[[#This Row],[Period]],$L$16:$M$385,2,FALSE),0)</f>
        <v>0</v>
      </c>
      <c r="O152" s="3">
        <f>Table1[[#This Row],[Beginning Balance]]-Table1[[#This Row],[Principal]]-Table1[[#This Row],[Prepayments]]-Table1[[#This Row],[Defaulted Principal]]</f>
        <v>0</v>
      </c>
      <c r="P152" s="3">
        <f>Table1[[#This Row],[Principal]]+Table1[[#This Row],[Interest]]+Table1[[#This Row],[Prepayments]]+Table1[[#This Row],[RecoveredAmount]]</f>
        <v>0</v>
      </c>
      <c r="Q152" s="3">
        <f ca="1">Table1[[#This Row],[Cash Flow]]/((1+ActualRateToUse)^(IF(ISNUMBER(SEARCH("Actual",$C$7)),Table1[[#This Row],[Running Total]]/365,Table1[[#This Row],[Period]]/12)))</f>
        <v>0</v>
      </c>
      <c r="R152" s="2">
        <f>IF(MONTH(Table1[[#This Row],[Date]])=2,28,DAY(DATE(YEAR(Table1[[#This Row],[Date]]),MONTH(Table1[[#This Row],[Date]])+1,1)-1))</f>
        <v>31</v>
      </c>
      <c r="S152" s="2">
        <f ca="1">SUM(OFFSET(Table1[[#Headers],[Days in month]],1,0):Table1[[#This Row],[Days in month]])</f>
        <v>4138</v>
      </c>
      <c r="T152" s="37">
        <f>InterestRate*AmortizationMultiplier*IF(ISNUMBER(SEARCH("Actual",$C$7)),Table1[[#This Row],[Days in month]]/365,1/12)</f>
        <v>6.0708333333333326E-3</v>
      </c>
    </row>
    <row r="153" spans="2:20" x14ac:dyDescent="0.2">
      <c r="B153" s="1">
        <f t="shared" si="8"/>
        <v>50009</v>
      </c>
      <c r="C153" s="2">
        <f t="shared" si="9"/>
        <v>137</v>
      </c>
      <c r="D153" s="3">
        <f t="shared" si="6"/>
        <v>0</v>
      </c>
      <c r="E153" s="3">
        <f>ROUND(Table1[[#This Row],[Beginning Balance]]*Table1[[#This Row],[Monthly Interest Rate]],2)</f>
        <v>0</v>
      </c>
      <c r="F153" s="3">
        <f t="shared" si="10"/>
        <v>215</v>
      </c>
      <c r="G153" s="23">
        <f>IFERROR(IF($C$13="No","N/A",IF(Table1[[#This Row],[Period]]=1,$C$6,PMT(InterestRate*AmortizationMultiplier/12,Table1[[#This Row],[Am Thru]],-Table1[[#This Row],[Beginning Balance]]))),0)</f>
        <v>0</v>
      </c>
      <c r="H153" s="3">
        <f>MAX(0,IF(C153=$C$4,D153,ROUND(IF($C$3="Fixed Principal",$C$6-Table1[[#This Row],[Interest]],IF($C$3="Interest Only",Table1[[#This Row],[Beginning Balance]]*ROUND(1-(1-IF($C$11="No",$E$8,1))^(1/12),6),MIN(IF($C$13="Yes",Table1[[#This Row],[Payment Amount (Reamortized)]],$C$6)-Table1[[#This Row],[Interest]],Table1[[#This Row],[Beginning Balance]]))),2)))</f>
        <v>0</v>
      </c>
      <c r="I153" s="3">
        <f>_xlfn.SINGLE(IF($C$3="Line of Credit",0,ROUND(MAX(MIN(IF($C$10="No",$E$7,VLOOKUP(Table1[[#This Row],[Period]],Forecast!$H$2:$L$1048576,4,FALSE))*Table1[[#This Row],[Beginning Balance]],Table1[[#This Row],[Beginning Balance]]-Table1[[#This Row],[Principal]]),0),2)))</f>
        <v>0</v>
      </c>
      <c r="J153" s="3">
        <f>ROUND(MIN(Table1[[#This Row],[Beginning Balance]]*IF($C$8="No",$E$3,VLOOKUP(Table1[[#This Row],[Period]],Forecast!$H$2:$L$1048576,2,FALSE)),Table1[[#This Row],[Beginning Balance]]-Table1[[#This Row],[Principal]]-Table1[[#This Row],[Prepayments]]),2)</f>
        <v>0</v>
      </c>
      <c r="K153" s="3">
        <f>ROUND(Table1[[#This Row],[Defaulted Principal]]*IF($C$9="No",$E$4,VLOOKUP(Table1[[#This Row],[Period]],Forecast!$H$2:$L$1048576,3,FALSE)),2)</f>
        <v>0</v>
      </c>
      <c r="L153" s="2">
        <f>Table1[[#This Row],[Period]]+$E$9</f>
        <v>149</v>
      </c>
      <c r="M153" s="3">
        <f>Table1[[#This Row],[Defaulted Principal]]-Table1[[#This Row],[Estimated Loss]]</f>
        <v>0</v>
      </c>
      <c r="N153" s="3">
        <f>IFERROR(VLOOKUP(Table1[[#This Row],[Period]],$L$16:$M$385,2,FALSE),0)</f>
        <v>0</v>
      </c>
      <c r="O153" s="3">
        <f>Table1[[#This Row],[Beginning Balance]]-Table1[[#This Row],[Principal]]-Table1[[#This Row],[Prepayments]]-Table1[[#This Row],[Defaulted Principal]]</f>
        <v>0</v>
      </c>
      <c r="P153" s="3">
        <f>Table1[[#This Row],[Principal]]+Table1[[#This Row],[Interest]]+Table1[[#This Row],[Prepayments]]+Table1[[#This Row],[RecoveredAmount]]</f>
        <v>0</v>
      </c>
      <c r="Q153" s="3">
        <f ca="1">Table1[[#This Row],[Cash Flow]]/((1+ActualRateToUse)^(IF(ISNUMBER(SEARCH("Actual",$C$7)),Table1[[#This Row],[Running Total]]/365,Table1[[#This Row],[Period]]/12)))</f>
        <v>0</v>
      </c>
      <c r="R153" s="2">
        <f>IF(MONTH(Table1[[#This Row],[Date]])=2,28,DAY(DATE(YEAR(Table1[[#This Row],[Date]]),MONTH(Table1[[#This Row],[Date]])+1,1)-1))</f>
        <v>30</v>
      </c>
      <c r="S153" s="2">
        <f ca="1">SUM(OFFSET(Table1[[#Headers],[Days in month]],1,0):Table1[[#This Row],[Days in month]])</f>
        <v>4168</v>
      </c>
      <c r="T153" s="37">
        <f>InterestRate*AmortizationMultiplier*IF(ISNUMBER(SEARCH("Actual",$C$7)),Table1[[#This Row],[Days in month]]/365,1/12)</f>
        <v>5.8749999999999991E-3</v>
      </c>
    </row>
    <row r="154" spans="2:20" x14ac:dyDescent="0.2">
      <c r="B154" s="1">
        <f t="shared" si="8"/>
        <v>50040</v>
      </c>
      <c r="C154" s="2">
        <f t="shared" si="9"/>
        <v>138</v>
      </c>
      <c r="D154" s="3">
        <f t="shared" si="6"/>
        <v>0</v>
      </c>
      <c r="E154" s="3">
        <f>ROUND(Table1[[#This Row],[Beginning Balance]]*Table1[[#This Row],[Monthly Interest Rate]],2)</f>
        <v>0</v>
      </c>
      <c r="F154" s="3">
        <f t="shared" si="10"/>
        <v>214</v>
      </c>
      <c r="G154" s="23">
        <f>IFERROR(IF($C$13="No","N/A",IF(Table1[[#This Row],[Period]]=1,$C$6,PMT(InterestRate*AmortizationMultiplier/12,Table1[[#This Row],[Am Thru]],-Table1[[#This Row],[Beginning Balance]]))),0)</f>
        <v>0</v>
      </c>
      <c r="H154" s="3">
        <f>MAX(0,IF(C154=$C$4,D154,ROUND(IF($C$3="Fixed Principal",$C$6-Table1[[#This Row],[Interest]],IF($C$3="Interest Only",Table1[[#This Row],[Beginning Balance]]*ROUND(1-(1-IF($C$11="No",$E$8,1))^(1/12),6),MIN(IF($C$13="Yes",Table1[[#This Row],[Payment Amount (Reamortized)]],$C$6)-Table1[[#This Row],[Interest]],Table1[[#This Row],[Beginning Balance]]))),2)))</f>
        <v>0</v>
      </c>
      <c r="I154" s="3">
        <f>_xlfn.SINGLE(IF($C$3="Line of Credit",0,ROUND(MAX(MIN(IF($C$10="No",$E$7,VLOOKUP(Table1[[#This Row],[Period]],Forecast!$H$2:$L$1048576,4,FALSE))*Table1[[#This Row],[Beginning Balance]],Table1[[#This Row],[Beginning Balance]]-Table1[[#This Row],[Principal]]),0),2)))</f>
        <v>0</v>
      </c>
      <c r="J154" s="3">
        <f>ROUND(MIN(Table1[[#This Row],[Beginning Balance]]*IF($C$8="No",$E$3,VLOOKUP(Table1[[#This Row],[Period]],Forecast!$H$2:$L$1048576,2,FALSE)),Table1[[#This Row],[Beginning Balance]]-Table1[[#This Row],[Principal]]-Table1[[#This Row],[Prepayments]]),2)</f>
        <v>0</v>
      </c>
      <c r="K154" s="3">
        <f>ROUND(Table1[[#This Row],[Defaulted Principal]]*IF($C$9="No",$E$4,VLOOKUP(Table1[[#This Row],[Period]],Forecast!$H$2:$L$1048576,3,FALSE)),2)</f>
        <v>0</v>
      </c>
      <c r="L154" s="2">
        <f>Table1[[#This Row],[Period]]+$E$9</f>
        <v>150</v>
      </c>
      <c r="M154" s="3">
        <f>Table1[[#This Row],[Defaulted Principal]]-Table1[[#This Row],[Estimated Loss]]</f>
        <v>0</v>
      </c>
      <c r="N154" s="3">
        <f>IFERROR(VLOOKUP(Table1[[#This Row],[Period]],$L$16:$M$385,2,FALSE),0)</f>
        <v>0</v>
      </c>
      <c r="O154" s="3">
        <f>Table1[[#This Row],[Beginning Balance]]-Table1[[#This Row],[Principal]]-Table1[[#This Row],[Prepayments]]-Table1[[#This Row],[Defaulted Principal]]</f>
        <v>0</v>
      </c>
      <c r="P154" s="3">
        <f>Table1[[#This Row],[Principal]]+Table1[[#This Row],[Interest]]+Table1[[#This Row],[Prepayments]]+Table1[[#This Row],[RecoveredAmount]]</f>
        <v>0</v>
      </c>
      <c r="Q154" s="3">
        <f ca="1">Table1[[#This Row],[Cash Flow]]/((1+ActualRateToUse)^(IF(ISNUMBER(SEARCH("Actual",$C$7)),Table1[[#This Row],[Running Total]]/365,Table1[[#This Row],[Period]]/12)))</f>
        <v>0</v>
      </c>
      <c r="R154" s="2">
        <f>IF(MONTH(Table1[[#This Row],[Date]])=2,28,DAY(DATE(YEAR(Table1[[#This Row],[Date]]),MONTH(Table1[[#This Row],[Date]])+1,1)-1))</f>
        <v>31</v>
      </c>
      <c r="S154" s="2">
        <f ca="1">SUM(OFFSET(Table1[[#Headers],[Days in month]],1,0):Table1[[#This Row],[Days in month]])</f>
        <v>4199</v>
      </c>
      <c r="T154" s="37">
        <f>InterestRate*AmortizationMultiplier*IF(ISNUMBER(SEARCH("Actual",$C$7)),Table1[[#This Row],[Days in month]]/365,1/12)</f>
        <v>6.0708333333333326E-3</v>
      </c>
    </row>
    <row r="155" spans="2:20" x14ac:dyDescent="0.2">
      <c r="B155" s="1">
        <f t="shared" si="8"/>
        <v>50071</v>
      </c>
      <c r="C155" s="2">
        <f t="shared" si="9"/>
        <v>139</v>
      </c>
      <c r="D155" s="3">
        <f t="shared" si="6"/>
        <v>0</v>
      </c>
      <c r="E155" s="3">
        <f>ROUND(Table1[[#This Row],[Beginning Balance]]*Table1[[#This Row],[Monthly Interest Rate]],2)</f>
        <v>0</v>
      </c>
      <c r="F155" s="3">
        <f t="shared" si="10"/>
        <v>213</v>
      </c>
      <c r="G155" s="23">
        <f>IFERROR(IF($C$13="No","N/A",IF(Table1[[#This Row],[Period]]=1,$C$6,PMT(InterestRate*AmortizationMultiplier/12,Table1[[#This Row],[Am Thru]],-Table1[[#This Row],[Beginning Balance]]))),0)</f>
        <v>0</v>
      </c>
      <c r="H155" s="3">
        <f>MAX(0,IF(C155=$C$4,D155,ROUND(IF($C$3="Fixed Principal",$C$6-Table1[[#This Row],[Interest]],IF($C$3="Interest Only",Table1[[#This Row],[Beginning Balance]]*ROUND(1-(1-IF($C$11="No",$E$8,1))^(1/12),6),MIN(IF($C$13="Yes",Table1[[#This Row],[Payment Amount (Reamortized)]],$C$6)-Table1[[#This Row],[Interest]],Table1[[#This Row],[Beginning Balance]]))),2)))</f>
        <v>0</v>
      </c>
      <c r="I155" s="3">
        <f>_xlfn.SINGLE(IF($C$3="Line of Credit",0,ROUND(MAX(MIN(IF($C$10="No",$E$7,VLOOKUP(Table1[[#This Row],[Period]],Forecast!$H$2:$L$1048576,4,FALSE))*Table1[[#This Row],[Beginning Balance]],Table1[[#This Row],[Beginning Balance]]-Table1[[#This Row],[Principal]]),0),2)))</f>
        <v>0</v>
      </c>
      <c r="J155" s="3">
        <f>ROUND(MIN(Table1[[#This Row],[Beginning Balance]]*IF($C$8="No",$E$3,VLOOKUP(Table1[[#This Row],[Period]],Forecast!$H$2:$L$1048576,2,FALSE)),Table1[[#This Row],[Beginning Balance]]-Table1[[#This Row],[Principal]]-Table1[[#This Row],[Prepayments]]),2)</f>
        <v>0</v>
      </c>
      <c r="K155" s="3">
        <f>ROUND(Table1[[#This Row],[Defaulted Principal]]*IF($C$9="No",$E$4,VLOOKUP(Table1[[#This Row],[Period]],Forecast!$H$2:$L$1048576,3,FALSE)),2)</f>
        <v>0</v>
      </c>
      <c r="L155" s="2">
        <f>Table1[[#This Row],[Period]]+$E$9</f>
        <v>151</v>
      </c>
      <c r="M155" s="3">
        <f>Table1[[#This Row],[Defaulted Principal]]-Table1[[#This Row],[Estimated Loss]]</f>
        <v>0</v>
      </c>
      <c r="N155" s="3">
        <f>IFERROR(VLOOKUP(Table1[[#This Row],[Period]],$L$16:$M$385,2,FALSE),0)</f>
        <v>0</v>
      </c>
      <c r="O155" s="3">
        <f>Table1[[#This Row],[Beginning Balance]]-Table1[[#This Row],[Principal]]-Table1[[#This Row],[Prepayments]]-Table1[[#This Row],[Defaulted Principal]]</f>
        <v>0</v>
      </c>
      <c r="P155" s="3">
        <f>Table1[[#This Row],[Principal]]+Table1[[#This Row],[Interest]]+Table1[[#This Row],[Prepayments]]+Table1[[#This Row],[RecoveredAmount]]</f>
        <v>0</v>
      </c>
      <c r="Q155" s="3">
        <f ca="1">Table1[[#This Row],[Cash Flow]]/((1+ActualRateToUse)^(IF(ISNUMBER(SEARCH("Actual",$C$7)),Table1[[#This Row],[Running Total]]/365,Table1[[#This Row],[Period]]/12)))</f>
        <v>0</v>
      </c>
      <c r="R155" s="2">
        <f>IF(MONTH(Table1[[#This Row],[Date]])=2,28,DAY(DATE(YEAR(Table1[[#This Row],[Date]]),MONTH(Table1[[#This Row],[Date]])+1,1)-1))</f>
        <v>31</v>
      </c>
      <c r="S155" s="2">
        <f ca="1">SUM(OFFSET(Table1[[#Headers],[Days in month]],1,0):Table1[[#This Row],[Days in month]])</f>
        <v>4230</v>
      </c>
      <c r="T155" s="37">
        <f>InterestRate*AmortizationMultiplier*IF(ISNUMBER(SEARCH("Actual",$C$7)),Table1[[#This Row],[Days in month]]/365,1/12)</f>
        <v>6.0708333333333326E-3</v>
      </c>
    </row>
    <row r="156" spans="2:20" x14ac:dyDescent="0.2">
      <c r="B156" s="1">
        <f t="shared" si="8"/>
        <v>50099</v>
      </c>
      <c r="C156" s="2">
        <f t="shared" si="9"/>
        <v>140</v>
      </c>
      <c r="D156" s="3">
        <f t="shared" si="6"/>
        <v>0</v>
      </c>
      <c r="E156" s="3">
        <f>ROUND(Table1[[#This Row],[Beginning Balance]]*Table1[[#This Row],[Monthly Interest Rate]],2)</f>
        <v>0</v>
      </c>
      <c r="F156" s="3">
        <f t="shared" si="10"/>
        <v>212</v>
      </c>
      <c r="G156" s="23">
        <f>IFERROR(IF($C$13="No","N/A",IF(Table1[[#This Row],[Period]]=1,$C$6,PMT(InterestRate*AmortizationMultiplier/12,Table1[[#This Row],[Am Thru]],-Table1[[#This Row],[Beginning Balance]]))),0)</f>
        <v>0</v>
      </c>
      <c r="H156" s="3">
        <f>MAX(0,IF(C156=$C$4,D156,ROUND(IF($C$3="Fixed Principal",$C$6-Table1[[#This Row],[Interest]],IF($C$3="Interest Only",Table1[[#This Row],[Beginning Balance]]*ROUND(1-(1-IF($C$11="No",$E$8,1))^(1/12),6),MIN(IF($C$13="Yes",Table1[[#This Row],[Payment Amount (Reamortized)]],$C$6)-Table1[[#This Row],[Interest]],Table1[[#This Row],[Beginning Balance]]))),2)))</f>
        <v>0</v>
      </c>
      <c r="I156" s="3">
        <f>_xlfn.SINGLE(IF($C$3="Line of Credit",0,ROUND(MAX(MIN(IF($C$10="No",$E$7,VLOOKUP(Table1[[#This Row],[Period]],Forecast!$H$2:$L$1048576,4,FALSE))*Table1[[#This Row],[Beginning Balance]],Table1[[#This Row],[Beginning Balance]]-Table1[[#This Row],[Principal]]),0),2)))</f>
        <v>0</v>
      </c>
      <c r="J156" s="3">
        <f>ROUND(MIN(Table1[[#This Row],[Beginning Balance]]*IF($C$8="No",$E$3,VLOOKUP(Table1[[#This Row],[Period]],Forecast!$H$2:$L$1048576,2,FALSE)),Table1[[#This Row],[Beginning Balance]]-Table1[[#This Row],[Principal]]-Table1[[#This Row],[Prepayments]]),2)</f>
        <v>0</v>
      </c>
      <c r="K156" s="3">
        <f>ROUND(Table1[[#This Row],[Defaulted Principal]]*IF($C$9="No",$E$4,VLOOKUP(Table1[[#This Row],[Period]],Forecast!$H$2:$L$1048576,3,FALSE)),2)</f>
        <v>0</v>
      </c>
      <c r="L156" s="2">
        <f>Table1[[#This Row],[Period]]+$E$9</f>
        <v>152</v>
      </c>
      <c r="M156" s="3">
        <f>Table1[[#This Row],[Defaulted Principal]]-Table1[[#This Row],[Estimated Loss]]</f>
        <v>0</v>
      </c>
      <c r="N156" s="3">
        <f>IFERROR(VLOOKUP(Table1[[#This Row],[Period]],$L$16:$M$385,2,FALSE),0)</f>
        <v>0</v>
      </c>
      <c r="O156" s="3">
        <f>Table1[[#This Row],[Beginning Balance]]-Table1[[#This Row],[Principal]]-Table1[[#This Row],[Prepayments]]-Table1[[#This Row],[Defaulted Principal]]</f>
        <v>0</v>
      </c>
      <c r="P156" s="3">
        <f>Table1[[#This Row],[Principal]]+Table1[[#This Row],[Interest]]+Table1[[#This Row],[Prepayments]]+Table1[[#This Row],[RecoveredAmount]]</f>
        <v>0</v>
      </c>
      <c r="Q156" s="3">
        <f ca="1">Table1[[#This Row],[Cash Flow]]/((1+ActualRateToUse)^(IF(ISNUMBER(SEARCH("Actual",$C$7)),Table1[[#This Row],[Running Total]]/365,Table1[[#This Row],[Period]]/12)))</f>
        <v>0</v>
      </c>
      <c r="R156" s="2">
        <f>IF(MONTH(Table1[[#This Row],[Date]])=2,28,DAY(DATE(YEAR(Table1[[#This Row],[Date]]),MONTH(Table1[[#This Row],[Date]])+1,1)-1))</f>
        <v>28</v>
      </c>
      <c r="S156" s="2">
        <f ca="1">SUM(OFFSET(Table1[[#Headers],[Days in month]],1,0):Table1[[#This Row],[Days in month]])</f>
        <v>4258</v>
      </c>
      <c r="T156" s="37">
        <f>InterestRate*AmortizationMultiplier*IF(ISNUMBER(SEARCH("Actual",$C$7)),Table1[[#This Row],[Days in month]]/365,1/12)</f>
        <v>5.4833333333333331E-3</v>
      </c>
    </row>
    <row r="157" spans="2:20" x14ac:dyDescent="0.2">
      <c r="B157" s="1">
        <f t="shared" si="8"/>
        <v>50130</v>
      </c>
      <c r="C157" s="2">
        <f t="shared" si="9"/>
        <v>141</v>
      </c>
      <c r="D157" s="3">
        <f t="shared" ref="D157:D220" si="11">O156</f>
        <v>0</v>
      </c>
      <c r="E157" s="3">
        <f>ROUND(Table1[[#This Row],[Beginning Balance]]*Table1[[#This Row],[Monthly Interest Rate]],2)</f>
        <v>0</v>
      </c>
      <c r="F157" s="3">
        <f t="shared" si="10"/>
        <v>211</v>
      </c>
      <c r="G157" s="23">
        <f>IFERROR(IF($C$13="No","N/A",IF(Table1[[#This Row],[Period]]=1,$C$6,PMT(InterestRate*AmortizationMultiplier/12,Table1[[#This Row],[Am Thru]],-Table1[[#This Row],[Beginning Balance]]))),0)</f>
        <v>0</v>
      </c>
      <c r="H157" s="3">
        <f>MAX(0,IF(C157=$C$4,D157,ROUND(IF($C$3="Fixed Principal",$C$6-Table1[[#This Row],[Interest]],IF($C$3="Interest Only",Table1[[#This Row],[Beginning Balance]]*ROUND(1-(1-IF($C$11="No",$E$8,1))^(1/12),6),MIN(IF($C$13="Yes",Table1[[#This Row],[Payment Amount (Reamortized)]],$C$6)-Table1[[#This Row],[Interest]],Table1[[#This Row],[Beginning Balance]]))),2)))</f>
        <v>0</v>
      </c>
      <c r="I157" s="3">
        <f>_xlfn.SINGLE(IF($C$3="Line of Credit",0,ROUND(MAX(MIN(IF($C$10="No",$E$7,VLOOKUP(Table1[[#This Row],[Period]],Forecast!$H$2:$L$1048576,4,FALSE))*Table1[[#This Row],[Beginning Balance]],Table1[[#This Row],[Beginning Balance]]-Table1[[#This Row],[Principal]]),0),2)))</f>
        <v>0</v>
      </c>
      <c r="J157" s="3">
        <f>ROUND(MIN(Table1[[#This Row],[Beginning Balance]]*IF($C$8="No",$E$3,VLOOKUP(Table1[[#This Row],[Period]],Forecast!$H$2:$L$1048576,2,FALSE)),Table1[[#This Row],[Beginning Balance]]-Table1[[#This Row],[Principal]]-Table1[[#This Row],[Prepayments]]),2)</f>
        <v>0</v>
      </c>
      <c r="K157" s="3">
        <f>ROUND(Table1[[#This Row],[Defaulted Principal]]*IF($C$9="No",$E$4,VLOOKUP(Table1[[#This Row],[Period]],Forecast!$H$2:$L$1048576,3,FALSE)),2)</f>
        <v>0</v>
      </c>
      <c r="L157" s="2">
        <f>Table1[[#This Row],[Period]]+$E$9</f>
        <v>153</v>
      </c>
      <c r="M157" s="3">
        <f>Table1[[#This Row],[Defaulted Principal]]-Table1[[#This Row],[Estimated Loss]]</f>
        <v>0</v>
      </c>
      <c r="N157" s="3">
        <f>IFERROR(VLOOKUP(Table1[[#This Row],[Period]],$L$16:$M$385,2,FALSE),0)</f>
        <v>0</v>
      </c>
      <c r="O157" s="3">
        <f>Table1[[#This Row],[Beginning Balance]]-Table1[[#This Row],[Principal]]-Table1[[#This Row],[Prepayments]]-Table1[[#This Row],[Defaulted Principal]]</f>
        <v>0</v>
      </c>
      <c r="P157" s="3">
        <f>Table1[[#This Row],[Principal]]+Table1[[#This Row],[Interest]]+Table1[[#This Row],[Prepayments]]+Table1[[#This Row],[RecoveredAmount]]</f>
        <v>0</v>
      </c>
      <c r="Q157" s="3">
        <f ca="1">Table1[[#This Row],[Cash Flow]]/((1+ActualRateToUse)^(IF(ISNUMBER(SEARCH("Actual",$C$7)),Table1[[#This Row],[Running Total]]/365,Table1[[#This Row],[Period]]/12)))</f>
        <v>0</v>
      </c>
      <c r="R157" s="2">
        <f>IF(MONTH(Table1[[#This Row],[Date]])=2,28,DAY(DATE(YEAR(Table1[[#This Row],[Date]]),MONTH(Table1[[#This Row],[Date]])+1,1)-1))</f>
        <v>31</v>
      </c>
      <c r="S157" s="2">
        <f ca="1">SUM(OFFSET(Table1[[#Headers],[Days in month]],1,0):Table1[[#This Row],[Days in month]])</f>
        <v>4289</v>
      </c>
      <c r="T157" s="37">
        <f>InterestRate*AmortizationMultiplier*IF(ISNUMBER(SEARCH("Actual",$C$7)),Table1[[#This Row],[Days in month]]/365,1/12)</f>
        <v>6.0708333333333326E-3</v>
      </c>
    </row>
    <row r="158" spans="2:20" x14ac:dyDescent="0.2">
      <c r="B158" s="1">
        <f t="shared" si="8"/>
        <v>50160</v>
      </c>
      <c r="C158" s="2">
        <f t="shared" si="9"/>
        <v>142</v>
      </c>
      <c r="D158" s="3">
        <f t="shared" si="11"/>
        <v>0</v>
      </c>
      <c r="E158" s="3">
        <f>ROUND(Table1[[#This Row],[Beginning Balance]]*Table1[[#This Row],[Monthly Interest Rate]],2)</f>
        <v>0</v>
      </c>
      <c r="F158" s="3">
        <f t="shared" si="10"/>
        <v>210</v>
      </c>
      <c r="G158" s="23">
        <f>IFERROR(IF($C$13="No","N/A",IF(Table1[[#This Row],[Period]]=1,$C$6,PMT(InterestRate*AmortizationMultiplier/12,Table1[[#This Row],[Am Thru]],-Table1[[#This Row],[Beginning Balance]]))),0)</f>
        <v>0</v>
      </c>
      <c r="H158" s="3">
        <f>MAX(0,IF(C158=$C$4,D158,ROUND(IF($C$3="Fixed Principal",$C$6-Table1[[#This Row],[Interest]],IF($C$3="Interest Only",Table1[[#This Row],[Beginning Balance]]*ROUND(1-(1-IF($C$11="No",$E$8,1))^(1/12),6),MIN(IF($C$13="Yes",Table1[[#This Row],[Payment Amount (Reamortized)]],$C$6)-Table1[[#This Row],[Interest]],Table1[[#This Row],[Beginning Balance]]))),2)))</f>
        <v>0</v>
      </c>
      <c r="I158" s="3">
        <f>_xlfn.SINGLE(IF($C$3="Line of Credit",0,ROUND(MAX(MIN(IF($C$10="No",$E$7,VLOOKUP(Table1[[#This Row],[Period]],Forecast!$H$2:$L$1048576,4,FALSE))*Table1[[#This Row],[Beginning Balance]],Table1[[#This Row],[Beginning Balance]]-Table1[[#This Row],[Principal]]),0),2)))</f>
        <v>0</v>
      </c>
      <c r="J158" s="3">
        <f>ROUND(MIN(Table1[[#This Row],[Beginning Balance]]*IF($C$8="No",$E$3,VLOOKUP(Table1[[#This Row],[Period]],Forecast!$H$2:$L$1048576,2,FALSE)),Table1[[#This Row],[Beginning Balance]]-Table1[[#This Row],[Principal]]-Table1[[#This Row],[Prepayments]]),2)</f>
        <v>0</v>
      </c>
      <c r="K158" s="3">
        <f>ROUND(Table1[[#This Row],[Defaulted Principal]]*IF($C$9="No",$E$4,VLOOKUP(Table1[[#This Row],[Period]],Forecast!$H$2:$L$1048576,3,FALSE)),2)</f>
        <v>0</v>
      </c>
      <c r="L158" s="2">
        <f>Table1[[#This Row],[Period]]+$E$9</f>
        <v>154</v>
      </c>
      <c r="M158" s="3">
        <f>Table1[[#This Row],[Defaulted Principal]]-Table1[[#This Row],[Estimated Loss]]</f>
        <v>0</v>
      </c>
      <c r="N158" s="3">
        <f>IFERROR(VLOOKUP(Table1[[#This Row],[Period]],$L$16:$M$385,2,FALSE),0)</f>
        <v>0</v>
      </c>
      <c r="O158" s="3">
        <f>Table1[[#This Row],[Beginning Balance]]-Table1[[#This Row],[Principal]]-Table1[[#This Row],[Prepayments]]-Table1[[#This Row],[Defaulted Principal]]</f>
        <v>0</v>
      </c>
      <c r="P158" s="3">
        <f>Table1[[#This Row],[Principal]]+Table1[[#This Row],[Interest]]+Table1[[#This Row],[Prepayments]]+Table1[[#This Row],[RecoveredAmount]]</f>
        <v>0</v>
      </c>
      <c r="Q158" s="3">
        <f ca="1">Table1[[#This Row],[Cash Flow]]/((1+ActualRateToUse)^(IF(ISNUMBER(SEARCH("Actual",$C$7)),Table1[[#This Row],[Running Total]]/365,Table1[[#This Row],[Period]]/12)))</f>
        <v>0</v>
      </c>
      <c r="R158" s="2">
        <f>IF(MONTH(Table1[[#This Row],[Date]])=2,28,DAY(DATE(YEAR(Table1[[#This Row],[Date]]),MONTH(Table1[[#This Row],[Date]])+1,1)-1))</f>
        <v>30</v>
      </c>
      <c r="S158" s="2">
        <f ca="1">SUM(OFFSET(Table1[[#Headers],[Days in month]],1,0):Table1[[#This Row],[Days in month]])</f>
        <v>4319</v>
      </c>
      <c r="T158" s="37">
        <f>InterestRate*AmortizationMultiplier*IF(ISNUMBER(SEARCH("Actual",$C$7)),Table1[[#This Row],[Days in month]]/365,1/12)</f>
        <v>5.8749999999999991E-3</v>
      </c>
    </row>
    <row r="159" spans="2:20" x14ac:dyDescent="0.2">
      <c r="B159" s="1">
        <f t="shared" si="8"/>
        <v>50191</v>
      </c>
      <c r="C159" s="2">
        <f t="shared" si="9"/>
        <v>143</v>
      </c>
      <c r="D159" s="3">
        <f t="shared" si="11"/>
        <v>0</v>
      </c>
      <c r="E159" s="3">
        <f>ROUND(Table1[[#This Row],[Beginning Balance]]*Table1[[#This Row],[Monthly Interest Rate]],2)</f>
        <v>0</v>
      </c>
      <c r="F159" s="3">
        <f t="shared" si="10"/>
        <v>209</v>
      </c>
      <c r="G159" s="23">
        <f>IFERROR(IF($C$13="No","N/A",IF(Table1[[#This Row],[Period]]=1,$C$6,PMT(InterestRate*AmortizationMultiplier/12,Table1[[#This Row],[Am Thru]],-Table1[[#This Row],[Beginning Balance]]))),0)</f>
        <v>0</v>
      </c>
      <c r="H159" s="3">
        <f>MAX(0,IF(C159=$C$4,D159,ROUND(IF($C$3="Fixed Principal",$C$6-Table1[[#This Row],[Interest]],IF($C$3="Interest Only",Table1[[#This Row],[Beginning Balance]]*ROUND(1-(1-IF($C$11="No",$E$8,1))^(1/12),6),MIN(IF($C$13="Yes",Table1[[#This Row],[Payment Amount (Reamortized)]],$C$6)-Table1[[#This Row],[Interest]],Table1[[#This Row],[Beginning Balance]]))),2)))</f>
        <v>0</v>
      </c>
      <c r="I159" s="3">
        <f>_xlfn.SINGLE(IF($C$3="Line of Credit",0,ROUND(MAX(MIN(IF($C$10="No",$E$7,VLOOKUP(Table1[[#This Row],[Period]],Forecast!$H$2:$L$1048576,4,FALSE))*Table1[[#This Row],[Beginning Balance]],Table1[[#This Row],[Beginning Balance]]-Table1[[#This Row],[Principal]]),0),2)))</f>
        <v>0</v>
      </c>
      <c r="J159" s="3">
        <f>ROUND(MIN(Table1[[#This Row],[Beginning Balance]]*IF($C$8="No",$E$3,VLOOKUP(Table1[[#This Row],[Period]],Forecast!$H$2:$L$1048576,2,FALSE)),Table1[[#This Row],[Beginning Balance]]-Table1[[#This Row],[Principal]]-Table1[[#This Row],[Prepayments]]),2)</f>
        <v>0</v>
      </c>
      <c r="K159" s="3">
        <f>ROUND(Table1[[#This Row],[Defaulted Principal]]*IF($C$9="No",$E$4,VLOOKUP(Table1[[#This Row],[Period]],Forecast!$H$2:$L$1048576,3,FALSE)),2)</f>
        <v>0</v>
      </c>
      <c r="L159" s="2">
        <f>Table1[[#This Row],[Period]]+$E$9</f>
        <v>155</v>
      </c>
      <c r="M159" s="3">
        <f>Table1[[#This Row],[Defaulted Principal]]-Table1[[#This Row],[Estimated Loss]]</f>
        <v>0</v>
      </c>
      <c r="N159" s="3">
        <f>IFERROR(VLOOKUP(Table1[[#This Row],[Period]],$L$16:$M$385,2,FALSE),0)</f>
        <v>0</v>
      </c>
      <c r="O159" s="3">
        <f>Table1[[#This Row],[Beginning Balance]]-Table1[[#This Row],[Principal]]-Table1[[#This Row],[Prepayments]]-Table1[[#This Row],[Defaulted Principal]]</f>
        <v>0</v>
      </c>
      <c r="P159" s="3">
        <f>Table1[[#This Row],[Principal]]+Table1[[#This Row],[Interest]]+Table1[[#This Row],[Prepayments]]+Table1[[#This Row],[RecoveredAmount]]</f>
        <v>0</v>
      </c>
      <c r="Q159" s="3">
        <f ca="1">Table1[[#This Row],[Cash Flow]]/((1+ActualRateToUse)^(IF(ISNUMBER(SEARCH("Actual",$C$7)),Table1[[#This Row],[Running Total]]/365,Table1[[#This Row],[Period]]/12)))</f>
        <v>0</v>
      </c>
      <c r="R159" s="2">
        <f>IF(MONTH(Table1[[#This Row],[Date]])=2,28,DAY(DATE(YEAR(Table1[[#This Row],[Date]]),MONTH(Table1[[#This Row],[Date]])+1,1)-1))</f>
        <v>31</v>
      </c>
      <c r="S159" s="2">
        <f ca="1">SUM(OFFSET(Table1[[#Headers],[Days in month]],1,0):Table1[[#This Row],[Days in month]])</f>
        <v>4350</v>
      </c>
      <c r="T159" s="37">
        <f>InterestRate*AmortizationMultiplier*IF(ISNUMBER(SEARCH("Actual",$C$7)),Table1[[#This Row],[Days in month]]/365,1/12)</f>
        <v>6.0708333333333326E-3</v>
      </c>
    </row>
    <row r="160" spans="2:20" x14ac:dyDescent="0.2">
      <c r="B160" s="1">
        <f t="shared" si="8"/>
        <v>50221</v>
      </c>
      <c r="C160" s="2">
        <f t="shared" si="9"/>
        <v>144</v>
      </c>
      <c r="D160" s="3">
        <f t="shared" si="11"/>
        <v>0</v>
      </c>
      <c r="E160" s="3">
        <f>ROUND(Table1[[#This Row],[Beginning Balance]]*Table1[[#This Row],[Monthly Interest Rate]],2)</f>
        <v>0</v>
      </c>
      <c r="F160" s="3">
        <f t="shared" si="10"/>
        <v>208</v>
      </c>
      <c r="G160" s="23">
        <f>IFERROR(IF($C$13="No","N/A",IF(Table1[[#This Row],[Period]]=1,$C$6,PMT(InterestRate*AmortizationMultiplier/12,Table1[[#This Row],[Am Thru]],-Table1[[#This Row],[Beginning Balance]]))),0)</f>
        <v>0</v>
      </c>
      <c r="H160" s="3">
        <f>MAX(0,IF(C160=$C$4,D160,ROUND(IF($C$3="Fixed Principal",$C$6-Table1[[#This Row],[Interest]],IF($C$3="Interest Only",Table1[[#This Row],[Beginning Balance]]*ROUND(1-(1-IF($C$11="No",$E$8,1))^(1/12),6),MIN(IF($C$13="Yes",Table1[[#This Row],[Payment Amount (Reamortized)]],$C$6)-Table1[[#This Row],[Interest]],Table1[[#This Row],[Beginning Balance]]))),2)))</f>
        <v>0</v>
      </c>
      <c r="I160" s="3">
        <f>_xlfn.SINGLE(IF($C$3="Line of Credit",0,ROUND(MAX(MIN(IF($C$10="No",$E$7,VLOOKUP(Table1[[#This Row],[Period]],Forecast!$H$2:$L$1048576,4,FALSE))*Table1[[#This Row],[Beginning Balance]],Table1[[#This Row],[Beginning Balance]]-Table1[[#This Row],[Principal]]),0),2)))</f>
        <v>0</v>
      </c>
      <c r="J160" s="3">
        <f>ROUND(MIN(Table1[[#This Row],[Beginning Balance]]*IF($C$8="No",$E$3,VLOOKUP(Table1[[#This Row],[Period]],Forecast!$H$2:$L$1048576,2,FALSE)),Table1[[#This Row],[Beginning Balance]]-Table1[[#This Row],[Principal]]-Table1[[#This Row],[Prepayments]]),2)</f>
        <v>0</v>
      </c>
      <c r="K160" s="3">
        <f>ROUND(Table1[[#This Row],[Defaulted Principal]]*IF($C$9="No",$E$4,VLOOKUP(Table1[[#This Row],[Period]],Forecast!$H$2:$L$1048576,3,FALSE)),2)</f>
        <v>0</v>
      </c>
      <c r="L160" s="2">
        <f>Table1[[#This Row],[Period]]+$E$9</f>
        <v>156</v>
      </c>
      <c r="M160" s="3">
        <f>Table1[[#This Row],[Defaulted Principal]]-Table1[[#This Row],[Estimated Loss]]</f>
        <v>0</v>
      </c>
      <c r="N160" s="3">
        <f>IFERROR(VLOOKUP(Table1[[#This Row],[Period]],$L$16:$M$385,2,FALSE),0)</f>
        <v>0</v>
      </c>
      <c r="O160" s="3">
        <f>Table1[[#This Row],[Beginning Balance]]-Table1[[#This Row],[Principal]]-Table1[[#This Row],[Prepayments]]-Table1[[#This Row],[Defaulted Principal]]</f>
        <v>0</v>
      </c>
      <c r="P160" s="3">
        <f>Table1[[#This Row],[Principal]]+Table1[[#This Row],[Interest]]+Table1[[#This Row],[Prepayments]]+Table1[[#This Row],[RecoveredAmount]]</f>
        <v>0</v>
      </c>
      <c r="Q160" s="3">
        <f ca="1">Table1[[#This Row],[Cash Flow]]/((1+ActualRateToUse)^(IF(ISNUMBER(SEARCH("Actual",$C$7)),Table1[[#This Row],[Running Total]]/365,Table1[[#This Row],[Period]]/12)))</f>
        <v>0</v>
      </c>
      <c r="R160" s="2">
        <f>IF(MONTH(Table1[[#This Row],[Date]])=2,28,DAY(DATE(YEAR(Table1[[#This Row],[Date]]),MONTH(Table1[[#This Row],[Date]])+1,1)-1))</f>
        <v>30</v>
      </c>
      <c r="S160" s="2">
        <f ca="1">SUM(OFFSET(Table1[[#Headers],[Days in month]],1,0):Table1[[#This Row],[Days in month]])</f>
        <v>4380</v>
      </c>
      <c r="T160" s="37">
        <f>InterestRate*AmortizationMultiplier*IF(ISNUMBER(SEARCH("Actual",$C$7)),Table1[[#This Row],[Days in month]]/365,1/12)</f>
        <v>5.8749999999999991E-3</v>
      </c>
    </row>
    <row r="161" spans="2:20" x14ac:dyDescent="0.2">
      <c r="B161" s="1">
        <f t="shared" si="8"/>
        <v>50252</v>
      </c>
      <c r="C161" s="2">
        <f t="shared" si="9"/>
        <v>145</v>
      </c>
      <c r="D161" s="3">
        <f t="shared" si="11"/>
        <v>0</v>
      </c>
      <c r="E161" s="3">
        <f>ROUND(Table1[[#This Row],[Beginning Balance]]*Table1[[#This Row],[Monthly Interest Rate]],2)</f>
        <v>0</v>
      </c>
      <c r="F161" s="3">
        <f t="shared" si="10"/>
        <v>207</v>
      </c>
      <c r="G161" s="23">
        <f>IFERROR(IF($C$13="No","N/A",IF(Table1[[#This Row],[Period]]=1,$C$6,PMT(InterestRate*AmortizationMultiplier/12,Table1[[#This Row],[Am Thru]],-Table1[[#This Row],[Beginning Balance]]))),0)</f>
        <v>0</v>
      </c>
      <c r="H161" s="3">
        <f>MAX(0,IF(C161=$C$4,D161,ROUND(IF($C$3="Fixed Principal",$C$6-Table1[[#This Row],[Interest]],IF($C$3="Interest Only",Table1[[#This Row],[Beginning Balance]]*ROUND(1-(1-IF($C$11="No",$E$8,1))^(1/12),6),MIN(IF($C$13="Yes",Table1[[#This Row],[Payment Amount (Reamortized)]],$C$6)-Table1[[#This Row],[Interest]],Table1[[#This Row],[Beginning Balance]]))),2)))</f>
        <v>0</v>
      </c>
      <c r="I161" s="3">
        <f>_xlfn.SINGLE(IF($C$3="Line of Credit",0,ROUND(MAX(MIN(IF($C$10="No",$E$7,VLOOKUP(Table1[[#This Row],[Period]],Forecast!$H$2:$L$1048576,4,FALSE))*Table1[[#This Row],[Beginning Balance]],Table1[[#This Row],[Beginning Balance]]-Table1[[#This Row],[Principal]]),0),2)))</f>
        <v>0</v>
      </c>
      <c r="J161" s="3">
        <f>ROUND(MIN(Table1[[#This Row],[Beginning Balance]]*IF($C$8="No",$E$3,VLOOKUP(Table1[[#This Row],[Period]],Forecast!$H$2:$L$1048576,2,FALSE)),Table1[[#This Row],[Beginning Balance]]-Table1[[#This Row],[Principal]]-Table1[[#This Row],[Prepayments]]),2)</f>
        <v>0</v>
      </c>
      <c r="K161" s="3">
        <f>ROUND(Table1[[#This Row],[Defaulted Principal]]*IF($C$9="No",$E$4,VLOOKUP(Table1[[#This Row],[Period]],Forecast!$H$2:$L$1048576,3,FALSE)),2)</f>
        <v>0</v>
      </c>
      <c r="L161" s="2">
        <f>Table1[[#This Row],[Period]]+$E$9</f>
        <v>157</v>
      </c>
      <c r="M161" s="3">
        <f>Table1[[#This Row],[Defaulted Principal]]-Table1[[#This Row],[Estimated Loss]]</f>
        <v>0</v>
      </c>
      <c r="N161" s="3">
        <f>IFERROR(VLOOKUP(Table1[[#This Row],[Period]],$L$16:$M$385,2,FALSE),0)</f>
        <v>0</v>
      </c>
      <c r="O161" s="3">
        <f>Table1[[#This Row],[Beginning Balance]]-Table1[[#This Row],[Principal]]-Table1[[#This Row],[Prepayments]]-Table1[[#This Row],[Defaulted Principal]]</f>
        <v>0</v>
      </c>
      <c r="P161" s="3">
        <f>Table1[[#This Row],[Principal]]+Table1[[#This Row],[Interest]]+Table1[[#This Row],[Prepayments]]+Table1[[#This Row],[RecoveredAmount]]</f>
        <v>0</v>
      </c>
      <c r="Q161" s="3">
        <f ca="1">Table1[[#This Row],[Cash Flow]]/((1+ActualRateToUse)^(IF(ISNUMBER(SEARCH("Actual",$C$7)),Table1[[#This Row],[Running Total]]/365,Table1[[#This Row],[Period]]/12)))</f>
        <v>0</v>
      </c>
      <c r="R161" s="2">
        <f>IF(MONTH(Table1[[#This Row],[Date]])=2,28,DAY(DATE(YEAR(Table1[[#This Row],[Date]]),MONTH(Table1[[#This Row],[Date]])+1,1)-1))</f>
        <v>31</v>
      </c>
      <c r="S161" s="2">
        <f ca="1">SUM(OFFSET(Table1[[#Headers],[Days in month]],1,0):Table1[[#This Row],[Days in month]])</f>
        <v>4411</v>
      </c>
      <c r="T161" s="37">
        <f>InterestRate*AmortizationMultiplier*IF(ISNUMBER(SEARCH("Actual",$C$7)),Table1[[#This Row],[Days in month]]/365,1/12)</f>
        <v>6.0708333333333326E-3</v>
      </c>
    </row>
    <row r="162" spans="2:20" x14ac:dyDescent="0.2">
      <c r="B162" s="1">
        <f t="shared" si="8"/>
        <v>50283</v>
      </c>
      <c r="C162" s="2">
        <f t="shared" si="9"/>
        <v>146</v>
      </c>
      <c r="D162" s="3">
        <f t="shared" si="11"/>
        <v>0</v>
      </c>
      <c r="E162" s="3">
        <f>ROUND(Table1[[#This Row],[Beginning Balance]]*Table1[[#This Row],[Monthly Interest Rate]],2)</f>
        <v>0</v>
      </c>
      <c r="F162" s="3">
        <f t="shared" si="10"/>
        <v>206</v>
      </c>
      <c r="G162" s="23">
        <f>IFERROR(IF($C$13="No","N/A",IF(Table1[[#This Row],[Period]]=1,$C$6,PMT(InterestRate*AmortizationMultiplier/12,Table1[[#This Row],[Am Thru]],-Table1[[#This Row],[Beginning Balance]]))),0)</f>
        <v>0</v>
      </c>
      <c r="H162" s="3">
        <f>MAX(0,IF(C162=$C$4,D162,ROUND(IF($C$3="Fixed Principal",$C$6-Table1[[#This Row],[Interest]],IF($C$3="Interest Only",Table1[[#This Row],[Beginning Balance]]*ROUND(1-(1-IF($C$11="No",$E$8,1))^(1/12),6),MIN(IF($C$13="Yes",Table1[[#This Row],[Payment Amount (Reamortized)]],$C$6)-Table1[[#This Row],[Interest]],Table1[[#This Row],[Beginning Balance]]))),2)))</f>
        <v>0</v>
      </c>
      <c r="I162" s="3">
        <f>_xlfn.SINGLE(IF($C$3="Line of Credit",0,ROUND(MAX(MIN(IF($C$10="No",$E$7,VLOOKUP(Table1[[#This Row],[Period]],Forecast!$H$2:$L$1048576,4,FALSE))*Table1[[#This Row],[Beginning Balance]],Table1[[#This Row],[Beginning Balance]]-Table1[[#This Row],[Principal]]),0),2)))</f>
        <v>0</v>
      </c>
      <c r="J162" s="3">
        <f>ROUND(MIN(Table1[[#This Row],[Beginning Balance]]*IF($C$8="No",$E$3,VLOOKUP(Table1[[#This Row],[Period]],Forecast!$H$2:$L$1048576,2,FALSE)),Table1[[#This Row],[Beginning Balance]]-Table1[[#This Row],[Principal]]-Table1[[#This Row],[Prepayments]]),2)</f>
        <v>0</v>
      </c>
      <c r="K162" s="3">
        <f>ROUND(Table1[[#This Row],[Defaulted Principal]]*IF($C$9="No",$E$4,VLOOKUP(Table1[[#This Row],[Period]],Forecast!$H$2:$L$1048576,3,FALSE)),2)</f>
        <v>0</v>
      </c>
      <c r="L162" s="2">
        <f>Table1[[#This Row],[Period]]+$E$9</f>
        <v>158</v>
      </c>
      <c r="M162" s="3">
        <f>Table1[[#This Row],[Defaulted Principal]]-Table1[[#This Row],[Estimated Loss]]</f>
        <v>0</v>
      </c>
      <c r="N162" s="3">
        <f>IFERROR(VLOOKUP(Table1[[#This Row],[Period]],$L$16:$M$385,2,FALSE),0)</f>
        <v>0</v>
      </c>
      <c r="O162" s="3">
        <f>Table1[[#This Row],[Beginning Balance]]-Table1[[#This Row],[Principal]]-Table1[[#This Row],[Prepayments]]-Table1[[#This Row],[Defaulted Principal]]</f>
        <v>0</v>
      </c>
      <c r="P162" s="3">
        <f>Table1[[#This Row],[Principal]]+Table1[[#This Row],[Interest]]+Table1[[#This Row],[Prepayments]]+Table1[[#This Row],[RecoveredAmount]]</f>
        <v>0</v>
      </c>
      <c r="Q162" s="3">
        <f ca="1">Table1[[#This Row],[Cash Flow]]/((1+ActualRateToUse)^(IF(ISNUMBER(SEARCH("Actual",$C$7)),Table1[[#This Row],[Running Total]]/365,Table1[[#This Row],[Period]]/12)))</f>
        <v>0</v>
      </c>
      <c r="R162" s="2">
        <f>IF(MONTH(Table1[[#This Row],[Date]])=2,28,DAY(DATE(YEAR(Table1[[#This Row],[Date]]),MONTH(Table1[[#This Row],[Date]])+1,1)-1))</f>
        <v>31</v>
      </c>
      <c r="S162" s="2">
        <f ca="1">SUM(OFFSET(Table1[[#Headers],[Days in month]],1,0):Table1[[#This Row],[Days in month]])</f>
        <v>4442</v>
      </c>
      <c r="T162" s="37">
        <f>InterestRate*AmortizationMultiplier*IF(ISNUMBER(SEARCH("Actual",$C$7)),Table1[[#This Row],[Days in month]]/365,1/12)</f>
        <v>6.0708333333333326E-3</v>
      </c>
    </row>
    <row r="163" spans="2:20" x14ac:dyDescent="0.2">
      <c r="B163" s="1">
        <f t="shared" si="8"/>
        <v>50313</v>
      </c>
      <c r="C163" s="2">
        <f t="shared" si="9"/>
        <v>147</v>
      </c>
      <c r="D163" s="3">
        <f t="shared" si="11"/>
        <v>0</v>
      </c>
      <c r="E163" s="3">
        <f>ROUND(Table1[[#This Row],[Beginning Balance]]*Table1[[#This Row],[Monthly Interest Rate]],2)</f>
        <v>0</v>
      </c>
      <c r="F163" s="3">
        <f t="shared" si="10"/>
        <v>205</v>
      </c>
      <c r="G163" s="23">
        <f>IFERROR(IF($C$13="No","N/A",IF(Table1[[#This Row],[Period]]=1,$C$6,PMT(InterestRate*AmortizationMultiplier/12,Table1[[#This Row],[Am Thru]],-Table1[[#This Row],[Beginning Balance]]))),0)</f>
        <v>0</v>
      </c>
      <c r="H163" s="3">
        <f>MAX(0,IF(C163=$C$4,D163,ROUND(IF($C$3="Fixed Principal",$C$6-Table1[[#This Row],[Interest]],IF($C$3="Interest Only",Table1[[#This Row],[Beginning Balance]]*ROUND(1-(1-IF($C$11="No",$E$8,1))^(1/12),6),MIN(IF($C$13="Yes",Table1[[#This Row],[Payment Amount (Reamortized)]],$C$6)-Table1[[#This Row],[Interest]],Table1[[#This Row],[Beginning Balance]]))),2)))</f>
        <v>0</v>
      </c>
      <c r="I163" s="3">
        <f>_xlfn.SINGLE(IF($C$3="Line of Credit",0,ROUND(MAX(MIN(IF($C$10="No",$E$7,VLOOKUP(Table1[[#This Row],[Period]],Forecast!$H$2:$L$1048576,4,FALSE))*Table1[[#This Row],[Beginning Balance]],Table1[[#This Row],[Beginning Balance]]-Table1[[#This Row],[Principal]]),0),2)))</f>
        <v>0</v>
      </c>
      <c r="J163" s="3">
        <f>ROUND(MIN(Table1[[#This Row],[Beginning Balance]]*IF($C$8="No",$E$3,VLOOKUP(Table1[[#This Row],[Period]],Forecast!$H$2:$L$1048576,2,FALSE)),Table1[[#This Row],[Beginning Balance]]-Table1[[#This Row],[Principal]]-Table1[[#This Row],[Prepayments]]),2)</f>
        <v>0</v>
      </c>
      <c r="K163" s="3">
        <f>ROUND(Table1[[#This Row],[Defaulted Principal]]*IF($C$9="No",$E$4,VLOOKUP(Table1[[#This Row],[Period]],Forecast!$H$2:$L$1048576,3,FALSE)),2)</f>
        <v>0</v>
      </c>
      <c r="L163" s="2">
        <f>Table1[[#This Row],[Period]]+$E$9</f>
        <v>159</v>
      </c>
      <c r="M163" s="3">
        <f>Table1[[#This Row],[Defaulted Principal]]-Table1[[#This Row],[Estimated Loss]]</f>
        <v>0</v>
      </c>
      <c r="N163" s="3">
        <f>IFERROR(VLOOKUP(Table1[[#This Row],[Period]],$L$16:$M$385,2,FALSE),0)</f>
        <v>0</v>
      </c>
      <c r="O163" s="3">
        <f>Table1[[#This Row],[Beginning Balance]]-Table1[[#This Row],[Principal]]-Table1[[#This Row],[Prepayments]]-Table1[[#This Row],[Defaulted Principal]]</f>
        <v>0</v>
      </c>
      <c r="P163" s="3">
        <f>Table1[[#This Row],[Principal]]+Table1[[#This Row],[Interest]]+Table1[[#This Row],[Prepayments]]+Table1[[#This Row],[RecoveredAmount]]</f>
        <v>0</v>
      </c>
      <c r="Q163" s="3">
        <f ca="1">Table1[[#This Row],[Cash Flow]]/((1+ActualRateToUse)^(IF(ISNUMBER(SEARCH("Actual",$C$7)),Table1[[#This Row],[Running Total]]/365,Table1[[#This Row],[Period]]/12)))</f>
        <v>0</v>
      </c>
      <c r="R163" s="2">
        <f>IF(MONTH(Table1[[#This Row],[Date]])=2,28,DAY(DATE(YEAR(Table1[[#This Row],[Date]]),MONTH(Table1[[#This Row],[Date]])+1,1)-1))</f>
        <v>30</v>
      </c>
      <c r="S163" s="2">
        <f ca="1">SUM(OFFSET(Table1[[#Headers],[Days in month]],1,0):Table1[[#This Row],[Days in month]])</f>
        <v>4472</v>
      </c>
      <c r="T163" s="37">
        <f>InterestRate*AmortizationMultiplier*IF(ISNUMBER(SEARCH("Actual",$C$7)),Table1[[#This Row],[Days in month]]/365,1/12)</f>
        <v>5.8749999999999991E-3</v>
      </c>
    </row>
    <row r="164" spans="2:20" x14ac:dyDescent="0.2">
      <c r="B164" s="1">
        <f t="shared" si="8"/>
        <v>50344</v>
      </c>
      <c r="C164" s="2">
        <f t="shared" si="9"/>
        <v>148</v>
      </c>
      <c r="D164" s="3">
        <f t="shared" si="11"/>
        <v>0</v>
      </c>
      <c r="E164" s="3">
        <f>ROUND(Table1[[#This Row],[Beginning Balance]]*Table1[[#This Row],[Monthly Interest Rate]],2)</f>
        <v>0</v>
      </c>
      <c r="F164" s="3">
        <f t="shared" si="10"/>
        <v>204</v>
      </c>
      <c r="G164" s="23">
        <f>IFERROR(IF($C$13="No","N/A",IF(Table1[[#This Row],[Period]]=1,$C$6,PMT(InterestRate*AmortizationMultiplier/12,Table1[[#This Row],[Am Thru]],-Table1[[#This Row],[Beginning Balance]]))),0)</f>
        <v>0</v>
      </c>
      <c r="H164" s="3">
        <f>MAX(0,IF(C164=$C$4,D164,ROUND(IF($C$3="Fixed Principal",$C$6-Table1[[#This Row],[Interest]],IF($C$3="Interest Only",Table1[[#This Row],[Beginning Balance]]*ROUND(1-(1-IF($C$11="No",$E$8,1))^(1/12),6),MIN(IF($C$13="Yes",Table1[[#This Row],[Payment Amount (Reamortized)]],$C$6)-Table1[[#This Row],[Interest]],Table1[[#This Row],[Beginning Balance]]))),2)))</f>
        <v>0</v>
      </c>
      <c r="I164" s="3">
        <f>_xlfn.SINGLE(IF($C$3="Line of Credit",0,ROUND(MAX(MIN(IF($C$10="No",$E$7,VLOOKUP(Table1[[#This Row],[Period]],Forecast!$H$2:$L$1048576,4,FALSE))*Table1[[#This Row],[Beginning Balance]],Table1[[#This Row],[Beginning Balance]]-Table1[[#This Row],[Principal]]),0),2)))</f>
        <v>0</v>
      </c>
      <c r="J164" s="3">
        <f>ROUND(MIN(Table1[[#This Row],[Beginning Balance]]*IF($C$8="No",$E$3,VLOOKUP(Table1[[#This Row],[Period]],Forecast!$H$2:$L$1048576,2,FALSE)),Table1[[#This Row],[Beginning Balance]]-Table1[[#This Row],[Principal]]-Table1[[#This Row],[Prepayments]]),2)</f>
        <v>0</v>
      </c>
      <c r="K164" s="3">
        <f>ROUND(Table1[[#This Row],[Defaulted Principal]]*IF($C$9="No",$E$4,VLOOKUP(Table1[[#This Row],[Period]],Forecast!$H$2:$L$1048576,3,FALSE)),2)</f>
        <v>0</v>
      </c>
      <c r="L164" s="2">
        <f>Table1[[#This Row],[Period]]+$E$9</f>
        <v>160</v>
      </c>
      <c r="M164" s="3">
        <f>Table1[[#This Row],[Defaulted Principal]]-Table1[[#This Row],[Estimated Loss]]</f>
        <v>0</v>
      </c>
      <c r="N164" s="3">
        <f>IFERROR(VLOOKUP(Table1[[#This Row],[Period]],$L$16:$M$385,2,FALSE),0)</f>
        <v>0</v>
      </c>
      <c r="O164" s="3">
        <f>Table1[[#This Row],[Beginning Balance]]-Table1[[#This Row],[Principal]]-Table1[[#This Row],[Prepayments]]-Table1[[#This Row],[Defaulted Principal]]</f>
        <v>0</v>
      </c>
      <c r="P164" s="3">
        <f>Table1[[#This Row],[Principal]]+Table1[[#This Row],[Interest]]+Table1[[#This Row],[Prepayments]]+Table1[[#This Row],[RecoveredAmount]]</f>
        <v>0</v>
      </c>
      <c r="Q164" s="3">
        <f ca="1">Table1[[#This Row],[Cash Flow]]/((1+ActualRateToUse)^(IF(ISNUMBER(SEARCH("Actual",$C$7)),Table1[[#This Row],[Running Total]]/365,Table1[[#This Row],[Period]]/12)))</f>
        <v>0</v>
      </c>
      <c r="R164" s="2">
        <f>IF(MONTH(Table1[[#This Row],[Date]])=2,28,DAY(DATE(YEAR(Table1[[#This Row],[Date]]),MONTH(Table1[[#This Row],[Date]])+1,1)-1))</f>
        <v>31</v>
      </c>
      <c r="S164" s="2">
        <f ca="1">SUM(OFFSET(Table1[[#Headers],[Days in month]],1,0):Table1[[#This Row],[Days in month]])</f>
        <v>4503</v>
      </c>
      <c r="T164" s="37">
        <f>InterestRate*AmortizationMultiplier*IF(ISNUMBER(SEARCH("Actual",$C$7)),Table1[[#This Row],[Days in month]]/365,1/12)</f>
        <v>6.0708333333333326E-3</v>
      </c>
    </row>
    <row r="165" spans="2:20" x14ac:dyDescent="0.2">
      <c r="B165" s="1">
        <f t="shared" si="8"/>
        <v>50374</v>
      </c>
      <c r="C165" s="2">
        <f t="shared" si="9"/>
        <v>149</v>
      </c>
      <c r="D165" s="3">
        <f t="shared" si="11"/>
        <v>0</v>
      </c>
      <c r="E165" s="3">
        <f>ROUND(Table1[[#This Row],[Beginning Balance]]*Table1[[#This Row],[Monthly Interest Rate]],2)</f>
        <v>0</v>
      </c>
      <c r="F165" s="3">
        <f t="shared" si="10"/>
        <v>203</v>
      </c>
      <c r="G165" s="23">
        <f>IFERROR(IF($C$13="No","N/A",IF(Table1[[#This Row],[Period]]=1,$C$6,PMT(InterestRate*AmortizationMultiplier/12,Table1[[#This Row],[Am Thru]],-Table1[[#This Row],[Beginning Balance]]))),0)</f>
        <v>0</v>
      </c>
      <c r="H165" s="3">
        <f>MAX(0,IF(C165=$C$4,D165,ROUND(IF($C$3="Fixed Principal",$C$6-Table1[[#This Row],[Interest]],IF($C$3="Interest Only",Table1[[#This Row],[Beginning Balance]]*ROUND(1-(1-IF($C$11="No",$E$8,1))^(1/12),6),MIN(IF($C$13="Yes",Table1[[#This Row],[Payment Amount (Reamortized)]],$C$6)-Table1[[#This Row],[Interest]],Table1[[#This Row],[Beginning Balance]]))),2)))</f>
        <v>0</v>
      </c>
      <c r="I165" s="3">
        <f>_xlfn.SINGLE(IF($C$3="Line of Credit",0,ROUND(MAX(MIN(IF($C$10="No",$E$7,VLOOKUP(Table1[[#This Row],[Period]],Forecast!$H$2:$L$1048576,4,FALSE))*Table1[[#This Row],[Beginning Balance]],Table1[[#This Row],[Beginning Balance]]-Table1[[#This Row],[Principal]]),0),2)))</f>
        <v>0</v>
      </c>
      <c r="J165" s="3">
        <f>ROUND(MIN(Table1[[#This Row],[Beginning Balance]]*IF($C$8="No",$E$3,VLOOKUP(Table1[[#This Row],[Period]],Forecast!$H$2:$L$1048576,2,FALSE)),Table1[[#This Row],[Beginning Balance]]-Table1[[#This Row],[Principal]]-Table1[[#This Row],[Prepayments]]),2)</f>
        <v>0</v>
      </c>
      <c r="K165" s="3">
        <f>ROUND(Table1[[#This Row],[Defaulted Principal]]*IF($C$9="No",$E$4,VLOOKUP(Table1[[#This Row],[Period]],Forecast!$H$2:$L$1048576,3,FALSE)),2)</f>
        <v>0</v>
      </c>
      <c r="L165" s="2">
        <f>Table1[[#This Row],[Period]]+$E$9</f>
        <v>161</v>
      </c>
      <c r="M165" s="3">
        <f>Table1[[#This Row],[Defaulted Principal]]-Table1[[#This Row],[Estimated Loss]]</f>
        <v>0</v>
      </c>
      <c r="N165" s="3">
        <f>IFERROR(VLOOKUP(Table1[[#This Row],[Period]],$L$16:$M$385,2,FALSE),0)</f>
        <v>0</v>
      </c>
      <c r="O165" s="3">
        <f>Table1[[#This Row],[Beginning Balance]]-Table1[[#This Row],[Principal]]-Table1[[#This Row],[Prepayments]]-Table1[[#This Row],[Defaulted Principal]]</f>
        <v>0</v>
      </c>
      <c r="P165" s="3">
        <f>Table1[[#This Row],[Principal]]+Table1[[#This Row],[Interest]]+Table1[[#This Row],[Prepayments]]+Table1[[#This Row],[RecoveredAmount]]</f>
        <v>0</v>
      </c>
      <c r="Q165" s="3">
        <f ca="1">Table1[[#This Row],[Cash Flow]]/((1+ActualRateToUse)^(IF(ISNUMBER(SEARCH("Actual",$C$7)),Table1[[#This Row],[Running Total]]/365,Table1[[#This Row],[Period]]/12)))</f>
        <v>0</v>
      </c>
      <c r="R165" s="2">
        <f>IF(MONTH(Table1[[#This Row],[Date]])=2,28,DAY(DATE(YEAR(Table1[[#This Row],[Date]]),MONTH(Table1[[#This Row],[Date]])+1,1)-1))</f>
        <v>30</v>
      </c>
      <c r="S165" s="2">
        <f ca="1">SUM(OFFSET(Table1[[#Headers],[Days in month]],1,0):Table1[[#This Row],[Days in month]])</f>
        <v>4533</v>
      </c>
      <c r="T165" s="37">
        <f>InterestRate*AmortizationMultiplier*IF(ISNUMBER(SEARCH("Actual",$C$7)),Table1[[#This Row],[Days in month]]/365,1/12)</f>
        <v>5.8749999999999991E-3</v>
      </c>
    </row>
    <row r="166" spans="2:20" x14ac:dyDescent="0.2">
      <c r="B166" s="1">
        <f t="shared" si="8"/>
        <v>50405</v>
      </c>
      <c r="C166" s="2">
        <f t="shared" si="9"/>
        <v>150</v>
      </c>
      <c r="D166" s="3">
        <f t="shared" si="11"/>
        <v>0</v>
      </c>
      <c r="E166" s="3">
        <f>ROUND(Table1[[#This Row],[Beginning Balance]]*Table1[[#This Row],[Monthly Interest Rate]],2)</f>
        <v>0</v>
      </c>
      <c r="F166" s="3">
        <f t="shared" si="10"/>
        <v>202</v>
      </c>
      <c r="G166" s="23">
        <f>IFERROR(IF($C$13="No","N/A",IF(Table1[[#This Row],[Period]]=1,$C$6,PMT(InterestRate*AmortizationMultiplier/12,Table1[[#This Row],[Am Thru]],-Table1[[#This Row],[Beginning Balance]]))),0)</f>
        <v>0</v>
      </c>
      <c r="H166" s="3">
        <f>MAX(0,IF(C166=$C$4,D166,ROUND(IF($C$3="Fixed Principal",$C$6-Table1[[#This Row],[Interest]],IF($C$3="Interest Only",Table1[[#This Row],[Beginning Balance]]*ROUND(1-(1-IF($C$11="No",$E$8,1))^(1/12),6),MIN(IF($C$13="Yes",Table1[[#This Row],[Payment Amount (Reamortized)]],$C$6)-Table1[[#This Row],[Interest]],Table1[[#This Row],[Beginning Balance]]))),2)))</f>
        <v>0</v>
      </c>
      <c r="I166" s="3">
        <f>_xlfn.SINGLE(IF($C$3="Line of Credit",0,ROUND(MAX(MIN(IF($C$10="No",$E$7,VLOOKUP(Table1[[#This Row],[Period]],Forecast!$H$2:$L$1048576,4,FALSE))*Table1[[#This Row],[Beginning Balance]],Table1[[#This Row],[Beginning Balance]]-Table1[[#This Row],[Principal]]),0),2)))</f>
        <v>0</v>
      </c>
      <c r="J166" s="3">
        <f>ROUND(MIN(Table1[[#This Row],[Beginning Balance]]*IF($C$8="No",$E$3,VLOOKUP(Table1[[#This Row],[Period]],Forecast!$H$2:$L$1048576,2,FALSE)),Table1[[#This Row],[Beginning Balance]]-Table1[[#This Row],[Principal]]-Table1[[#This Row],[Prepayments]]),2)</f>
        <v>0</v>
      </c>
      <c r="K166" s="3">
        <f>ROUND(Table1[[#This Row],[Defaulted Principal]]*IF($C$9="No",$E$4,VLOOKUP(Table1[[#This Row],[Period]],Forecast!$H$2:$L$1048576,3,FALSE)),2)</f>
        <v>0</v>
      </c>
      <c r="L166" s="2">
        <f>Table1[[#This Row],[Period]]+$E$9</f>
        <v>162</v>
      </c>
      <c r="M166" s="3">
        <f>Table1[[#This Row],[Defaulted Principal]]-Table1[[#This Row],[Estimated Loss]]</f>
        <v>0</v>
      </c>
      <c r="N166" s="3">
        <f>IFERROR(VLOOKUP(Table1[[#This Row],[Period]],$L$16:$M$385,2,FALSE),0)</f>
        <v>0</v>
      </c>
      <c r="O166" s="3">
        <f>Table1[[#This Row],[Beginning Balance]]-Table1[[#This Row],[Principal]]-Table1[[#This Row],[Prepayments]]-Table1[[#This Row],[Defaulted Principal]]</f>
        <v>0</v>
      </c>
      <c r="P166" s="3">
        <f>Table1[[#This Row],[Principal]]+Table1[[#This Row],[Interest]]+Table1[[#This Row],[Prepayments]]+Table1[[#This Row],[RecoveredAmount]]</f>
        <v>0</v>
      </c>
      <c r="Q166" s="3">
        <f ca="1">Table1[[#This Row],[Cash Flow]]/((1+ActualRateToUse)^(IF(ISNUMBER(SEARCH("Actual",$C$7)),Table1[[#This Row],[Running Total]]/365,Table1[[#This Row],[Period]]/12)))</f>
        <v>0</v>
      </c>
      <c r="R166" s="2">
        <f>IF(MONTH(Table1[[#This Row],[Date]])=2,28,DAY(DATE(YEAR(Table1[[#This Row],[Date]]),MONTH(Table1[[#This Row],[Date]])+1,1)-1))</f>
        <v>31</v>
      </c>
      <c r="S166" s="2">
        <f ca="1">SUM(OFFSET(Table1[[#Headers],[Days in month]],1,0):Table1[[#This Row],[Days in month]])</f>
        <v>4564</v>
      </c>
      <c r="T166" s="37">
        <f>InterestRate*AmortizationMultiplier*IF(ISNUMBER(SEARCH("Actual",$C$7)),Table1[[#This Row],[Days in month]]/365,1/12)</f>
        <v>6.0708333333333326E-3</v>
      </c>
    </row>
    <row r="167" spans="2:20" x14ac:dyDescent="0.2">
      <c r="B167" s="1">
        <f t="shared" si="8"/>
        <v>50436</v>
      </c>
      <c r="C167" s="2">
        <f t="shared" si="9"/>
        <v>151</v>
      </c>
      <c r="D167" s="3">
        <f t="shared" si="11"/>
        <v>0</v>
      </c>
      <c r="E167" s="3">
        <f>ROUND(Table1[[#This Row],[Beginning Balance]]*Table1[[#This Row],[Monthly Interest Rate]],2)</f>
        <v>0</v>
      </c>
      <c r="F167" s="3">
        <f t="shared" si="10"/>
        <v>201</v>
      </c>
      <c r="G167" s="23">
        <f>IFERROR(IF($C$13="No","N/A",IF(Table1[[#This Row],[Period]]=1,$C$6,PMT(InterestRate*AmortizationMultiplier/12,Table1[[#This Row],[Am Thru]],-Table1[[#This Row],[Beginning Balance]]))),0)</f>
        <v>0</v>
      </c>
      <c r="H167" s="3">
        <f>MAX(0,IF(C167=$C$4,D167,ROUND(IF($C$3="Fixed Principal",$C$6-Table1[[#This Row],[Interest]],IF($C$3="Interest Only",Table1[[#This Row],[Beginning Balance]]*ROUND(1-(1-IF($C$11="No",$E$8,1))^(1/12),6),MIN(IF($C$13="Yes",Table1[[#This Row],[Payment Amount (Reamortized)]],$C$6)-Table1[[#This Row],[Interest]],Table1[[#This Row],[Beginning Balance]]))),2)))</f>
        <v>0</v>
      </c>
      <c r="I167" s="3">
        <f>_xlfn.SINGLE(IF($C$3="Line of Credit",0,ROUND(MAX(MIN(IF($C$10="No",$E$7,VLOOKUP(Table1[[#This Row],[Period]],Forecast!$H$2:$L$1048576,4,FALSE))*Table1[[#This Row],[Beginning Balance]],Table1[[#This Row],[Beginning Balance]]-Table1[[#This Row],[Principal]]),0),2)))</f>
        <v>0</v>
      </c>
      <c r="J167" s="3">
        <f>ROUND(MIN(Table1[[#This Row],[Beginning Balance]]*IF($C$8="No",$E$3,VLOOKUP(Table1[[#This Row],[Period]],Forecast!$H$2:$L$1048576,2,FALSE)),Table1[[#This Row],[Beginning Balance]]-Table1[[#This Row],[Principal]]-Table1[[#This Row],[Prepayments]]),2)</f>
        <v>0</v>
      </c>
      <c r="K167" s="3">
        <f>ROUND(Table1[[#This Row],[Defaulted Principal]]*IF($C$9="No",$E$4,VLOOKUP(Table1[[#This Row],[Period]],Forecast!$H$2:$L$1048576,3,FALSE)),2)</f>
        <v>0</v>
      </c>
      <c r="L167" s="2">
        <f>Table1[[#This Row],[Period]]+$E$9</f>
        <v>163</v>
      </c>
      <c r="M167" s="3">
        <f>Table1[[#This Row],[Defaulted Principal]]-Table1[[#This Row],[Estimated Loss]]</f>
        <v>0</v>
      </c>
      <c r="N167" s="3">
        <f>IFERROR(VLOOKUP(Table1[[#This Row],[Period]],$L$16:$M$385,2,FALSE),0)</f>
        <v>0</v>
      </c>
      <c r="O167" s="3">
        <f>Table1[[#This Row],[Beginning Balance]]-Table1[[#This Row],[Principal]]-Table1[[#This Row],[Prepayments]]-Table1[[#This Row],[Defaulted Principal]]</f>
        <v>0</v>
      </c>
      <c r="P167" s="3">
        <f>Table1[[#This Row],[Principal]]+Table1[[#This Row],[Interest]]+Table1[[#This Row],[Prepayments]]+Table1[[#This Row],[RecoveredAmount]]</f>
        <v>0</v>
      </c>
      <c r="Q167" s="3">
        <f ca="1">Table1[[#This Row],[Cash Flow]]/((1+ActualRateToUse)^(IF(ISNUMBER(SEARCH("Actual",$C$7)),Table1[[#This Row],[Running Total]]/365,Table1[[#This Row],[Period]]/12)))</f>
        <v>0</v>
      </c>
      <c r="R167" s="2">
        <f>IF(MONTH(Table1[[#This Row],[Date]])=2,28,DAY(DATE(YEAR(Table1[[#This Row],[Date]]),MONTH(Table1[[#This Row],[Date]])+1,1)-1))</f>
        <v>31</v>
      </c>
      <c r="S167" s="2">
        <f ca="1">SUM(OFFSET(Table1[[#Headers],[Days in month]],1,0):Table1[[#This Row],[Days in month]])</f>
        <v>4595</v>
      </c>
      <c r="T167" s="37">
        <f>InterestRate*AmortizationMultiplier*IF(ISNUMBER(SEARCH("Actual",$C$7)),Table1[[#This Row],[Days in month]]/365,1/12)</f>
        <v>6.0708333333333326E-3</v>
      </c>
    </row>
    <row r="168" spans="2:20" x14ac:dyDescent="0.2">
      <c r="B168" s="1">
        <f t="shared" si="8"/>
        <v>50464</v>
      </c>
      <c r="C168" s="2">
        <f t="shared" si="9"/>
        <v>152</v>
      </c>
      <c r="D168" s="3">
        <f t="shared" si="11"/>
        <v>0</v>
      </c>
      <c r="E168" s="3">
        <f>ROUND(Table1[[#This Row],[Beginning Balance]]*Table1[[#This Row],[Monthly Interest Rate]],2)</f>
        <v>0</v>
      </c>
      <c r="F168" s="3">
        <f t="shared" si="10"/>
        <v>200</v>
      </c>
      <c r="G168" s="23">
        <f>IFERROR(IF($C$13="No","N/A",IF(Table1[[#This Row],[Period]]=1,$C$6,PMT(InterestRate*AmortizationMultiplier/12,Table1[[#This Row],[Am Thru]],-Table1[[#This Row],[Beginning Balance]]))),0)</f>
        <v>0</v>
      </c>
      <c r="H168" s="3">
        <f>MAX(0,IF(C168=$C$4,D168,ROUND(IF($C$3="Fixed Principal",$C$6-Table1[[#This Row],[Interest]],IF($C$3="Interest Only",Table1[[#This Row],[Beginning Balance]]*ROUND(1-(1-IF($C$11="No",$E$8,1))^(1/12),6),MIN(IF($C$13="Yes",Table1[[#This Row],[Payment Amount (Reamortized)]],$C$6)-Table1[[#This Row],[Interest]],Table1[[#This Row],[Beginning Balance]]))),2)))</f>
        <v>0</v>
      </c>
      <c r="I168" s="3">
        <f>_xlfn.SINGLE(IF($C$3="Line of Credit",0,ROUND(MAX(MIN(IF($C$10="No",$E$7,VLOOKUP(Table1[[#This Row],[Period]],Forecast!$H$2:$L$1048576,4,FALSE))*Table1[[#This Row],[Beginning Balance]],Table1[[#This Row],[Beginning Balance]]-Table1[[#This Row],[Principal]]),0),2)))</f>
        <v>0</v>
      </c>
      <c r="J168" s="3">
        <f>ROUND(MIN(Table1[[#This Row],[Beginning Balance]]*IF($C$8="No",$E$3,VLOOKUP(Table1[[#This Row],[Period]],Forecast!$H$2:$L$1048576,2,FALSE)),Table1[[#This Row],[Beginning Balance]]-Table1[[#This Row],[Principal]]-Table1[[#This Row],[Prepayments]]),2)</f>
        <v>0</v>
      </c>
      <c r="K168" s="3">
        <f>ROUND(Table1[[#This Row],[Defaulted Principal]]*IF($C$9="No",$E$4,VLOOKUP(Table1[[#This Row],[Period]],Forecast!$H$2:$L$1048576,3,FALSE)),2)</f>
        <v>0</v>
      </c>
      <c r="L168" s="2">
        <f>Table1[[#This Row],[Period]]+$E$9</f>
        <v>164</v>
      </c>
      <c r="M168" s="3">
        <f>Table1[[#This Row],[Defaulted Principal]]-Table1[[#This Row],[Estimated Loss]]</f>
        <v>0</v>
      </c>
      <c r="N168" s="3">
        <f>IFERROR(VLOOKUP(Table1[[#This Row],[Period]],$L$16:$M$385,2,FALSE),0)</f>
        <v>0</v>
      </c>
      <c r="O168" s="3">
        <f>Table1[[#This Row],[Beginning Balance]]-Table1[[#This Row],[Principal]]-Table1[[#This Row],[Prepayments]]-Table1[[#This Row],[Defaulted Principal]]</f>
        <v>0</v>
      </c>
      <c r="P168" s="3">
        <f>Table1[[#This Row],[Principal]]+Table1[[#This Row],[Interest]]+Table1[[#This Row],[Prepayments]]+Table1[[#This Row],[RecoveredAmount]]</f>
        <v>0</v>
      </c>
      <c r="Q168" s="3">
        <f ca="1">Table1[[#This Row],[Cash Flow]]/((1+ActualRateToUse)^(IF(ISNUMBER(SEARCH("Actual",$C$7)),Table1[[#This Row],[Running Total]]/365,Table1[[#This Row],[Period]]/12)))</f>
        <v>0</v>
      </c>
      <c r="R168" s="2">
        <f>IF(MONTH(Table1[[#This Row],[Date]])=2,28,DAY(DATE(YEAR(Table1[[#This Row],[Date]]),MONTH(Table1[[#This Row],[Date]])+1,1)-1))</f>
        <v>28</v>
      </c>
      <c r="S168" s="2">
        <f ca="1">SUM(OFFSET(Table1[[#Headers],[Days in month]],1,0):Table1[[#This Row],[Days in month]])</f>
        <v>4623</v>
      </c>
      <c r="T168" s="37">
        <f>InterestRate*AmortizationMultiplier*IF(ISNUMBER(SEARCH("Actual",$C$7)),Table1[[#This Row],[Days in month]]/365,1/12)</f>
        <v>5.4833333333333331E-3</v>
      </c>
    </row>
    <row r="169" spans="2:20" x14ac:dyDescent="0.2">
      <c r="B169" s="1">
        <f t="shared" si="8"/>
        <v>50495</v>
      </c>
      <c r="C169" s="2">
        <f t="shared" si="9"/>
        <v>153</v>
      </c>
      <c r="D169" s="3">
        <f t="shared" si="11"/>
        <v>0</v>
      </c>
      <c r="E169" s="3">
        <f>ROUND(Table1[[#This Row],[Beginning Balance]]*Table1[[#This Row],[Monthly Interest Rate]],2)</f>
        <v>0</v>
      </c>
      <c r="F169" s="3">
        <f t="shared" si="10"/>
        <v>199</v>
      </c>
      <c r="G169" s="23">
        <f>IFERROR(IF($C$13="No","N/A",IF(Table1[[#This Row],[Period]]=1,$C$6,PMT(InterestRate*AmortizationMultiplier/12,Table1[[#This Row],[Am Thru]],-Table1[[#This Row],[Beginning Balance]]))),0)</f>
        <v>0</v>
      </c>
      <c r="H169" s="3">
        <f>MAX(0,IF(C169=$C$4,D169,ROUND(IF($C$3="Fixed Principal",$C$6-Table1[[#This Row],[Interest]],IF($C$3="Interest Only",Table1[[#This Row],[Beginning Balance]]*ROUND(1-(1-IF($C$11="No",$E$8,1))^(1/12),6),MIN(IF($C$13="Yes",Table1[[#This Row],[Payment Amount (Reamortized)]],$C$6)-Table1[[#This Row],[Interest]],Table1[[#This Row],[Beginning Balance]]))),2)))</f>
        <v>0</v>
      </c>
      <c r="I169" s="3">
        <f>_xlfn.SINGLE(IF($C$3="Line of Credit",0,ROUND(MAX(MIN(IF($C$10="No",$E$7,VLOOKUP(Table1[[#This Row],[Period]],Forecast!$H$2:$L$1048576,4,FALSE))*Table1[[#This Row],[Beginning Balance]],Table1[[#This Row],[Beginning Balance]]-Table1[[#This Row],[Principal]]),0),2)))</f>
        <v>0</v>
      </c>
      <c r="J169" s="3">
        <f>ROUND(MIN(Table1[[#This Row],[Beginning Balance]]*IF($C$8="No",$E$3,VLOOKUP(Table1[[#This Row],[Period]],Forecast!$H$2:$L$1048576,2,FALSE)),Table1[[#This Row],[Beginning Balance]]-Table1[[#This Row],[Principal]]-Table1[[#This Row],[Prepayments]]),2)</f>
        <v>0</v>
      </c>
      <c r="K169" s="3">
        <f>ROUND(Table1[[#This Row],[Defaulted Principal]]*IF($C$9="No",$E$4,VLOOKUP(Table1[[#This Row],[Period]],Forecast!$H$2:$L$1048576,3,FALSE)),2)</f>
        <v>0</v>
      </c>
      <c r="L169" s="2">
        <f>Table1[[#This Row],[Period]]+$E$9</f>
        <v>165</v>
      </c>
      <c r="M169" s="3">
        <f>Table1[[#This Row],[Defaulted Principal]]-Table1[[#This Row],[Estimated Loss]]</f>
        <v>0</v>
      </c>
      <c r="N169" s="3">
        <f>IFERROR(VLOOKUP(Table1[[#This Row],[Period]],$L$16:$M$385,2,FALSE),0)</f>
        <v>0</v>
      </c>
      <c r="O169" s="3">
        <f>Table1[[#This Row],[Beginning Balance]]-Table1[[#This Row],[Principal]]-Table1[[#This Row],[Prepayments]]-Table1[[#This Row],[Defaulted Principal]]</f>
        <v>0</v>
      </c>
      <c r="P169" s="3">
        <f>Table1[[#This Row],[Principal]]+Table1[[#This Row],[Interest]]+Table1[[#This Row],[Prepayments]]+Table1[[#This Row],[RecoveredAmount]]</f>
        <v>0</v>
      </c>
      <c r="Q169" s="3">
        <f ca="1">Table1[[#This Row],[Cash Flow]]/((1+ActualRateToUse)^(IF(ISNUMBER(SEARCH("Actual",$C$7)),Table1[[#This Row],[Running Total]]/365,Table1[[#This Row],[Period]]/12)))</f>
        <v>0</v>
      </c>
      <c r="R169" s="2">
        <f>IF(MONTH(Table1[[#This Row],[Date]])=2,28,DAY(DATE(YEAR(Table1[[#This Row],[Date]]),MONTH(Table1[[#This Row],[Date]])+1,1)-1))</f>
        <v>31</v>
      </c>
      <c r="S169" s="2">
        <f ca="1">SUM(OFFSET(Table1[[#Headers],[Days in month]],1,0):Table1[[#This Row],[Days in month]])</f>
        <v>4654</v>
      </c>
      <c r="T169" s="37">
        <f>InterestRate*AmortizationMultiplier*IF(ISNUMBER(SEARCH("Actual",$C$7)),Table1[[#This Row],[Days in month]]/365,1/12)</f>
        <v>6.0708333333333326E-3</v>
      </c>
    </row>
    <row r="170" spans="2:20" x14ac:dyDescent="0.2">
      <c r="B170" s="1">
        <f t="shared" si="8"/>
        <v>50525</v>
      </c>
      <c r="C170" s="2">
        <f t="shared" si="9"/>
        <v>154</v>
      </c>
      <c r="D170" s="3">
        <f t="shared" si="11"/>
        <v>0</v>
      </c>
      <c r="E170" s="3">
        <f>ROUND(Table1[[#This Row],[Beginning Balance]]*Table1[[#This Row],[Monthly Interest Rate]],2)</f>
        <v>0</v>
      </c>
      <c r="F170" s="3">
        <f t="shared" si="10"/>
        <v>198</v>
      </c>
      <c r="G170" s="23">
        <f>IFERROR(IF($C$13="No","N/A",IF(Table1[[#This Row],[Period]]=1,$C$6,PMT(InterestRate*AmortizationMultiplier/12,Table1[[#This Row],[Am Thru]],-Table1[[#This Row],[Beginning Balance]]))),0)</f>
        <v>0</v>
      </c>
      <c r="H170" s="3">
        <f>MAX(0,IF(C170=$C$4,D170,ROUND(IF($C$3="Fixed Principal",$C$6-Table1[[#This Row],[Interest]],IF($C$3="Interest Only",Table1[[#This Row],[Beginning Balance]]*ROUND(1-(1-IF($C$11="No",$E$8,1))^(1/12),6),MIN(IF($C$13="Yes",Table1[[#This Row],[Payment Amount (Reamortized)]],$C$6)-Table1[[#This Row],[Interest]],Table1[[#This Row],[Beginning Balance]]))),2)))</f>
        <v>0</v>
      </c>
      <c r="I170" s="3">
        <f>_xlfn.SINGLE(IF($C$3="Line of Credit",0,ROUND(MAX(MIN(IF($C$10="No",$E$7,VLOOKUP(Table1[[#This Row],[Period]],Forecast!$H$2:$L$1048576,4,FALSE))*Table1[[#This Row],[Beginning Balance]],Table1[[#This Row],[Beginning Balance]]-Table1[[#This Row],[Principal]]),0),2)))</f>
        <v>0</v>
      </c>
      <c r="J170" s="3">
        <f>ROUND(MIN(Table1[[#This Row],[Beginning Balance]]*IF($C$8="No",$E$3,VLOOKUP(Table1[[#This Row],[Period]],Forecast!$H$2:$L$1048576,2,FALSE)),Table1[[#This Row],[Beginning Balance]]-Table1[[#This Row],[Principal]]-Table1[[#This Row],[Prepayments]]),2)</f>
        <v>0</v>
      </c>
      <c r="K170" s="3">
        <f>ROUND(Table1[[#This Row],[Defaulted Principal]]*IF($C$9="No",$E$4,VLOOKUP(Table1[[#This Row],[Period]],Forecast!$H$2:$L$1048576,3,FALSE)),2)</f>
        <v>0</v>
      </c>
      <c r="L170" s="2">
        <f>Table1[[#This Row],[Period]]+$E$9</f>
        <v>166</v>
      </c>
      <c r="M170" s="3">
        <f>Table1[[#This Row],[Defaulted Principal]]-Table1[[#This Row],[Estimated Loss]]</f>
        <v>0</v>
      </c>
      <c r="N170" s="3">
        <f>IFERROR(VLOOKUP(Table1[[#This Row],[Period]],$L$16:$M$385,2,FALSE),0)</f>
        <v>0</v>
      </c>
      <c r="O170" s="3">
        <f>Table1[[#This Row],[Beginning Balance]]-Table1[[#This Row],[Principal]]-Table1[[#This Row],[Prepayments]]-Table1[[#This Row],[Defaulted Principal]]</f>
        <v>0</v>
      </c>
      <c r="P170" s="3">
        <f>Table1[[#This Row],[Principal]]+Table1[[#This Row],[Interest]]+Table1[[#This Row],[Prepayments]]+Table1[[#This Row],[RecoveredAmount]]</f>
        <v>0</v>
      </c>
      <c r="Q170" s="3">
        <f ca="1">Table1[[#This Row],[Cash Flow]]/((1+ActualRateToUse)^(IF(ISNUMBER(SEARCH("Actual",$C$7)),Table1[[#This Row],[Running Total]]/365,Table1[[#This Row],[Period]]/12)))</f>
        <v>0</v>
      </c>
      <c r="R170" s="2">
        <f>IF(MONTH(Table1[[#This Row],[Date]])=2,28,DAY(DATE(YEAR(Table1[[#This Row],[Date]]),MONTH(Table1[[#This Row],[Date]])+1,1)-1))</f>
        <v>30</v>
      </c>
      <c r="S170" s="2">
        <f ca="1">SUM(OFFSET(Table1[[#Headers],[Days in month]],1,0):Table1[[#This Row],[Days in month]])</f>
        <v>4684</v>
      </c>
      <c r="T170" s="37">
        <f>InterestRate*AmortizationMultiplier*IF(ISNUMBER(SEARCH("Actual",$C$7)),Table1[[#This Row],[Days in month]]/365,1/12)</f>
        <v>5.8749999999999991E-3</v>
      </c>
    </row>
    <row r="171" spans="2:20" x14ac:dyDescent="0.2">
      <c r="B171" s="1">
        <f t="shared" si="8"/>
        <v>50556</v>
      </c>
      <c r="C171" s="2">
        <f t="shared" si="9"/>
        <v>155</v>
      </c>
      <c r="D171" s="3">
        <f t="shared" si="11"/>
        <v>0</v>
      </c>
      <c r="E171" s="3">
        <f>ROUND(Table1[[#This Row],[Beginning Balance]]*Table1[[#This Row],[Monthly Interest Rate]],2)</f>
        <v>0</v>
      </c>
      <c r="F171" s="3">
        <f t="shared" si="10"/>
        <v>197</v>
      </c>
      <c r="G171" s="23">
        <f>IFERROR(IF($C$13="No","N/A",IF(Table1[[#This Row],[Period]]=1,$C$6,PMT(InterestRate*AmortizationMultiplier/12,Table1[[#This Row],[Am Thru]],-Table1[[#This Row],[Beginning Balance]]))),0)</f>
        <v>0</v>
      </c>
      <c r="H171" s="3">
        <f>MAX(0,IF(C171=$C$4,D171,ROUND(IF($C$3="Fixed Principal",$C$6-Table1[[#This Row],[Interest]],IF($C$3="Interest Only",Table1[[#This Row],[Beginning Balance]]*ROUND(1-(1-IF($C$11="No",$E$8,1))^(1/12),6),MIN(IF($C$13="Yes",Table1[[#This Row],[Payment Amount (Reamortized)]],$C$6)-Table1[[#This Row],[Interest]],Table1[[#This Row],[Beginning Balance]]))),2)))</f>
        <v>0</v>
      </c>
      <c r="I171" s="3">
        <f>_xlfn.SINGLE(IF($C$3="Line of Credit",0,ROUND(MAX(MIN(IF($C$10="No",$E$7,VLOOKUP(Table1[[#This Row],[Period]],Forecast!$H$2:$L$1048576,4,FALSE))*Table1[[#This Row],[Beginning Balance]],Table1[[#This Row],[Beginning Balance]]-Table1[[#This Row],[Principal]]),0),2)))</f>
        <v>0</v>
      </c>
      <c r="J171" s="3">
        <f>ROUND(MIN(Table1[[#This Row],[Beginning Balance]]*IF($C$8="No",$E$3,VLOOKUP(Table1[[#This Row],[Period]],Forecast!$H$2:$L$1048576,2,FALSE)),Table1[[#This Row],[Beginning Balance]]-Table1[[#This Row],[Principal]]-Table1[[#This Row],[Prepayments]]),2)</f>
        <v>0</v>
      </c>
      <c r="K171" s="3">
        <f>ROUND(Table1[[#This Row],[Defaulted Principal]]*IF($C$9="No",$E$4,VLOOKUP(Table1[[#This Row],[Period]],Forecast!$H$2:$L$1048576,3,FALSE)),2)</f>
        <v>0</v>
      </c>
      <c r="L171" s="2">
        <f>Table1[[#This Row],[Period]]+$E$9</f>
        <v>167</v>
      </c>
      <c r="M171" s="3">
        <f>Table1[[#This Row],[Defaulted Principal]]-Table1[[#This Row],[Estimated Loss]]</f>
        <v>0</v>
      </c>
      <c r="N171" s="3">
        <f>IFERROR(VLOOKUP(Table1[[#This Row],[Period]],$L$16:$M$385,2,FALSE),0)</f>
        <v>0</v>
      </c>
      <c r="O171" s="3">
        <f>Table1[[#This Row],[Beginning Balance]]-Table1[[#This Row],[Principal]]-Table1[[#This Row],[Prepayments]]-Table1[[#This Row],[Defaulted Principal]]</f>
        <v>0</v>
      </c>
      <c r="P171" s="3">
        <f>Table1[[#This Row],[Principal]]+Table1[[#This Row],[Interest]]+Table1[[#This Row],[Prepayments]]+Table1[[#This Row],[RecoveredAmount]]</f>
        <v>0</v>
      </c>
      <c r="Q171" s="3">
        <f ca="1">Table1[[#This Row],[Cash Flow]]/((1+ActualRateToUse)^(IF(ISNUMBER(SEARCH("Actual",$C$7)),Table1[[#This Row],[Running Total]]/365,Table1[[#This Row],[Period]]/12)))</f>
        <v>0</v>
      </c>
      <c r="R171" s="2">
        <f>IF(MONTH(Table1[[#This Row],[Date]])=2,28,DAY(DATE(YEAR(Table1[[#This Row],[Date]]),MONTH(Table1[[#This Row],[Date]])+1,1)-1))</f>
        <v>31</v>
      </c>
      <c r="S171" s="2">
        <f ca="1">SUM(OFFSET(Table1[[#Headers],[Days in month]],1,0):Table1[[#This Row],[Days in month]])</f>
        <v>4715</v>
      </c>
      <c r="T171" s="37">
        <f>InterestRate*AmortizationMultiplier*IF(ISNUMBER(SEARCH("Actual",$C$7)),Table1[[#This Row],[Days in month]]/365,1/12)</f>
        <v>6.0708333333333326E-3</v>
      </c>
    </row>
    <row r="172" spans="2:20" x14ac:dyDescent="0.2">
      <c r="B172" s="1">
        <f t="shared" si="8"/>
        <v>50586</v>
      </c>
      <c r="C172" s="2">
        <f t="shared" si="9"/>
        <v>156</v>
      </c>
      <c r="D172" s="3">
        <f t="shared" si="11"/>
        <v>0</v>
      </c>
      <c r="E172" s="3">
        <f>ROUND(Table1[[#This Row],[Beginning Balance]]*Table1[[#This Row],[Monthly Interest Rate]],2)</f>
        <v>0</v>
      </c>
      <c r="F172" s="3">
        <f t="shared" si="10"/>
        <v>196</v>
      </c>
      <c r="G172" s="23">
        <f>IFERROR(IF($C$13="No","N/A",IF(Table1[[#This Row],[Period]]=1,$C$6,PMT(InterestRate*AmortizationMultiplier/12,Table1[[#This Row],[Am Thru]],-Table1[[#This Row],[Beginning Balance]]))),0)</f>
        <v>0</v>
      </c>
      <c r="H172" s="3">
        <f>MAX(0,IF(C172=$C$4,D172,ROUND(IF($C$3="Fixed Principal",$C$6-Table1[[#This Row],[Interest]],IF($C$3="Interest Only",Table1[[#This Row],[Beginning Balance]]*ROUND(1-(1-IF($C$11="No",$E$8,1))^(1/12),6),MIN(IF($C$13="Yes",Table1[[#This Row],[Payment Amount (Reamortized)]],$C$6)-Table1[[#This Row],[Interest]],Table1[[#This Row],[Beginning Balance]]))),2)))</f>
        <v>0</v>
      </c>
      <c r="I172" s="3">
        <f>_xlfn.SINGLE(IF($C$3="Line of Credit",0,ROUND(MAX(MIN(IF($C$10="No",$E$7,VLOOKUP(Table1[[#This Row],[Period]],Forecast!$H$2:$L$1048576,4,FALSE))*Table1[[#This Row],[Beginning Balance]],Table1[[#This Row],[Beginning Balance]]-Table1[[#This Row],[Principal]]),0),2)))</f>
        <v>0</v>
      </c>
      <c r="J172" s="3">
        <f>ROUND(MIN(Table1[[#This Row],[Beginning Balance]]*IF($C$8="No",$E$3,VLOOKUP(Table1[[#This Row],[Period]],Forecast!$H$2:$L$1048576,2,FALSE)),Table1[[#This Row],[Beginning Balance]]-Table1[[#This Row],[Principal]]-Table1[[#This Row],[Prepayments]]),2)</f>
        <v>0</v>
      </c>
      <c r="K172" s="3">
        <f>ROUND(Table1[[#This Row],[Defaulted Principal]]*IF($C$9="No",$E$4,VLOOKUP(Table1[[#This Row],[Period]],Forecast!$H$2:$L$1048576,3,FALSE)),2)</f>
        <v>0</v>
      </c>
      <c r="L172" s="2">
        <f>Table1[[#This Row],[Period]]+$E$9</f>
        <v>168</v>
      </c>
      <c r="M172" s="3">
        <f>Table1[[#This Row],[Defaulted Principal]]-Table1[[#This Row],[Estimated Loss]]</f>
        <v>0</v>
      </c>
      <c r="N172" s="3">
        <f>IFERROR(VLOOKUP(Table1[[#This Row],[Period]],$L$16:$M$385,2,FALSE),0)</f>
        <v>0</v>
      </c>
      <c r="O172" s="3">
        <f>Table1[[#This Row],[Beginning Balance]]-Table1[[#This Row],[Principal]]-Table1[[#This Row],[Prepayments]]-Table1[[#This Row],[Defaulted Principal]]</f>
        <v>0</v>
      </c>
      <c r="P172" s="3">
        <f>Table1[[#This Row],[Principal]]+Table1[[#This Row],[Interest]]+Table1[[#This Row],[Prepayments]]+Table1[[#This Row],[RecoveredAmount]]</f>
        <v>0</v>
      </c>
      <c r="Q172" s="3">
        <f ca="1">Table1[[#This Row],[Cash Flow]]/((1+ActualRateToUse)^(IF(ISNUMBER(SEARCH("Actual",$C$7)),Table1[[#This Row],[Running Total]]/365,Table1[[#This Row],[Period]]/12)))</f>
        <v>0</v>
      </c>
      <c r="R172" s="2">
        <f>IF(MONTH(Table1[[#This Row],[Date]])=2,28,DAY(DATE(YEAR(Table1[[#This Row],[Date]]),MONTH(Table1[[#This Row],[Date]])+1,1)-1))</f>
        <v>30</v>
      </c>
      <c r="S172" s="2">
        <f ca="1">SUM(OFFSET(Table1[[#Headers],[Days in month]],1,0):Table1[[#This Row],[Days in month]])</f>
        <v>4745</v>
      </c>
      <c r="T172" s="37">
        <f>InterestRate*AmortizationMultiplier*IF(ISNUMBER(SEARCH("Actual",$C$7)),Table1[[#This Row],[Days in month]]/365,1/12)</f>
        <v>5.8749999999999991E-3</v>
      </c>
    </row>
    <row r="173" spans="2:20" x14ac:dyDescent="0.2">
      <c r="B173" s="1">
        <f t="shared" si="8"/>
        <v>50617</v>
      </c>
      <c r="C173" s="2">
        <f t="shared" si="9"/>
        <v>157</v>
      </c>
      <c r="D173" s="3">
        <f t="shared" si="11"/>
        <v>0</v>
      </c>
      <c r="E173" s="3">
        <f>ROUND(Table1[[#This Row],[Beginning Balance]]*Table1[[#This Row],[Monthly Interest Rate]],2)</f>
        <v>0</v>
      </c>
      <c r="F173" s="3">
        <f t="shared" si="10"/>
        <v>195</v>
      </c>
      <c r="G173" s="23">
        <f>IFERROR(IF($C$13="No","N/A",IF(Table1[[#This Row],[Period]]=1,$C$6,PMT(InterestRate*AmortizationMultiplier/12,Table1[[#This Row],[Am Thru]],-Table1[[#This Row],[Beginning Balance]]))),0)</f>
        <v>0</v>
      </c>
      <c r="H173" s="3">
        <f>MAX(0,IF(C173=$C$4,D173,ROUND(IF($C$3="Fixed Principal",$C$6-Table1[[#This Row],[Interest]],IF($C$3="Interest Only",Table1[[#This Row],[Beginning Balance]]*ROUND(1-(1-IF($C$11="No",$E$8,1))^(1/12),6),MIN(IF($C$13="Yes",Table1[[#This Row],[Payment Amount (Reamortized)]],$C$6)-Table1[[#This Row],[Interest]],Table1[[#This Row],[Beginning Balance]]))),2)))</f>
        <v>0</v>
      </c>
      <c r="I173" s="3">
        <f>_xlfn.SINGLE(IF($C$3="Line of Credit",0,ROUND(MAX(MIN(IF($C$10="No",$E$7,VLOOKUP(Table1[[#This Row],[Period]],Forecast!$H$2:$L$1048576,4,FALSE))*Table1[[#This Row],[Beginning Balance]],Table1[[#This Row],[Beginning Balance]]-Table1[[#This Row],[Principal]]),0),2)))</f>
        <v>0</v>
      </c>
      <c r="J173" s="3">
        <f>ROUND(MIN(Table1[[#This Row],[Beginning Balance]]*IF($C$8="No",$E$3,VLOOKUP(Table1[[#This Row],[Period]],Forecast!$H$2:$L$1048576,2,FALSE)),Table1[[#This Row],[Beginning Balance]]-Table1[[#This Row],[Principal]]-Table1[[#This Row],[Prepayments]]),2)</f>
        <v>0</v>
      </c>
      <c r="K173" s="3">
        <f>ROUND(Table1[[#This Row],[Defaulted Principal]]*IF($C$9="No",$E$4,VLOOKUP(Table1[[#This Row],[Period]],Forecast!$H$2:$L$1048576,3,FALSE)),2)</f>
        <v>0</v>
      </c>
      <c r="L173" s="2">
        <f>Table1[[#This Row],[Period]]+$E$9</f>
        <v>169</v>
      </c>
      <c r="M173" s="3">
        <f>Table1[[#This Row],[Defaulted Principal]]-Table1[[#This Row],[Estimated Loss]]</f>
        <v>0</v>
      </c>
      <c r="N173" s="3">
        <f>IFERROR(VLOOKUP(Table1[[#This Row],[Period]],$L$16:$M$385,2,FALSE),0)</f>
        <v>0</v>
      </c>
      <c r="O173" s="3">
        <f>Table1[[#This Row],[Beginning Balance]]-Table1[[#This Row],[Principal]]-Table1[[#This Row],[Prepayments]]-Table1[[#This Row],[Defaulted Principal]]</f>
        <v>0</v>
      </c>
      <c r="P173" s="3">
        <f>Table1[[#This Row],[Principal]]+Table1[[#This Row],[Interest]]+Table1[[#This Row],[Prepayments]]+Table1[[#This Row],[RecoveredAmount]]</f>
        <v>0</v>
      </c>
      <c r="Q173" s="3">
        <f ca="1">Table1[[#This Row],[Cash Flow]]/((1+ActualRateToUse)^(IF(ISNUMBER(SEARCH("Actual",$C$7)),Table1[[#This Row],[Running Total]]/365,Table1[[#This Row],[Period]]/12)))</f>
        <v>0</v>
      </c>
      <c r="R173" s="2">
        <f>IF(MONTH(Table1[[#This Row],[Date]])=2,28,DAY(DATE(YEAR(Table1[[#This Row],[Date]]),MONTH(Table1[[#This Row],[Date]])+1,1)-1))</f>
        <v>31</v>
      </c>
      <c r="S173" s="2">
        <f ca="1">SUM(OFFSET(Table1[[#Headers],[Days in month]],1,0):Table1[[#This Row],[Days in month]])</f>
        <v>4776</v>
      </c>
      <c r="T173" s="37">
        <f>InterestRate*AmortizationMultiplier*IF(ISNUMBER(SEARCH("Actual",$C$7)),Table1[[#This Row],[Days in month]]/365,1/12)</f>
        <v>6.0708333333333326E-3</v>
      </c>
    </row>
    <row r="174" spans="2:20" x14ac:dyDescent="0.2">
      <c r="B174" s="1">
        <f t="shared" si="8"/>
        <v>50648</v>
      </c>
      <c r="C174" s="2">
        <f t="shared" si="9"/>
        <v>158</v>
      </c>
      <c r="D174" s="3">
        <f t="shared" si="11"/>
        <v>0</v>
      </c>
      <c r="E174" s="3">
        <f>ROUND(Table1[[#This Row],[Beginning Balance]]*Table1[[#This Row],[Monthly Interest Rate]],2)</f>
        <v>0</v>
      </c>
      <c r="F174" s="3">
        <f t="shared" si="10"/>
        <v>194</v>
      </c>
      <c r="G174" s="23">
        <f>IFERROR(IF($C$13="No","N/A",IF(Table1[[#This Row],[Period]]=1,$C$6,PMT(InterestRate*AmortizationMultiplier/12,Table1[[#This Row],[Am Thru]],-Table1[[#This Row],[Beginning Balance]]))),0)</f>
        <v>0</v>
      </c>
      <c r="H174" s="3">
        <f>MAX(0,IF(C174=$C$4,D174,ROUND(IF($C$3="Fixed Principal",$C$6-Table1[[#This Row],[Interest]],IF($C$3="Interest Only",Table1[[#This Row],[Beginning Balance]]*ROUND(1-(1-IF($C$11="No",$E$8,1))^(1/12),6),MIN(IF($C$13="Yes",Table1[[#This Row],[Payment Amount (Reamortized)]],$C$6)-Table1[[#This Row],[Interest]],Table1[[#This Row],[Beginning Balance]]))),2)))</f>
        <v>0</v>
      </c>
      <c r="I174" s="3">
        <f>_xlfn.SINGLE(IF($C$3="Line of Credit",0,ROUND(MAX(MIN(IF($C$10="No",$E$7,VLOOKUP(Table1[[#This Row],[Period]],Forecast!$H$2:$L$1048576,4,FALSE))*Table1[[#This Row],[Beginning Balance]],Table1[[#This Row],[Beginning Balance]]-Table1[[#This Row],[Principal]]),0),2)))</f>
        <v>0</v>
      </c>
      <c r="J174" s="3">
        <f>ROUND(MIN(Table1[[#This Row],[Beginning Balance]]*IF($C$8="No",$E$3,VLOOKUP(Table1[[#This Row],[Period]],Forecast!$H$2:$L$1048576,2,FALSE)),Table1[[#This Row],[Beginning Balance]]-Table1[[#This Row],[Principal]]-Table1[[#This Row],[Prepayments]]),2)</f>
        <v>0</v>
      </c>
      <c r="K174" s="3">
        <f>ROUND(Table1[[#This Row],[Defaulted Principal]]*IF($C$9="No",$E$4,VLOOKUP(Table1[[#This Row],[Period]],Forecast!$H$2:$L$1048576,3,FALSE)),2)</f>
        <v>0</v>
      </c>
      <c r="L174" s="2">
        <f>Table1[[#This Row],[Period]]+$E$9</f>
        <v>170</v>
      </c>
      <c r="M174" s="3">
        <f>Table1[[#This Row],[Defaulted Principal]]-Table1[[#This Row],[Estimated Loss]]</f>
        <v>0</v>
      </c>
      <c r="N174" s="3">
        <f>IFERROR(VLOOKUP(Table1[[#This Row],[Period]],$L$16:$M$385,2,FALSE),0)</f>
        <v>0</v>
      </c>
      <c r="O174" s="3">
        <f>Table1[[#This Row],[Beginning Balance]]-Table1[[#This Row],[Principal]]-Table1[[#This Row],[Prepayments]]-Table1[[#This Row],[Defaulted Principal]]</f>
        <v>0</v>
      </c>
      <c r="P174" s="3">
        <f>Table1[[#This Row],[Principal]]+Table1[[#This Row],[Interest]]+Table1[[#This Row],[Prepayments]]+Table1[[#This Row],[RecoveredAmount]]</f>
        <v>0</v>
      </c>
      <c r="Q174" s="3">
        <f ca="1">Table1[[#This Row],[Cash Flow]]/((1+ActualRateToUse)^(IF(ISNUMBER(SEARCH("Actual",$C$7)),Table1[[#This Row],[Running Total]]/365,Table1[[#This Row],[Period]]/12)))</f>
        <v>0</v>
      </c>
      <c r="R174" s="2">
        <f>IF(MONTH(Table1[[#This Row],[Date]])=2,28,DAY(DATE(YEAR(Table1[[#This Row],[Date]]),MONTH(Table1[[#This Row],[Date]])+1,1)-1))</f>
        <v>31</v>
      </c>
      <c r="S174" s="2">
        <f ca="1">SUM(OFFSET(Table1[[#Headers],[Days in month]],1,0):Table1[[#This Row],[Days in month]])</f>
        <v>4807</v>
      </c>
      <c r="T174" s="37">
        <f>InterestRate*AmortizationMultiplier*IF(ISNUMBER(SEARCH("Actual",$C$7)),Table1[[#This Row],[Days in month]]/365,1/12)</f>
        <v>6.0708333333333326E-3</v>
      </c>
    </row>
    <row r="175" spans="2:20" x14ac:dyDescent="0.2">
      <c r="B175" s="1">
        <f t="shared" si="8"/>
        <v>50678</v>
      </c>
      <c r="C175" s="2">
        <f t="shared" si="9"/>
        <v>159</v>
      </c>
      <c r="D175" s="3">
        <f t="shared" si="11"/>
        <v>0</v>
      </c>
      <c r="E175" s="3">
        <f>ROUND(Table1[[#This Row],[Beginning Balance]]*Table1[[#This Row],[Monthly Interest Rate]],2)</f>
        <v>0</v>
      </c>
      <c r="F175" s="3">
        <f t="shared" si="10"/>
        <v>193</v>
      </c>
      <c r="G175" s="23">
        <f>IFERROR(IF($C$13="No","N/A",IF(Table1[[#This Row],[Period]]=1,$C$6,PMT(InterestRate*AmortizationMultiplier/12,Table1[[#This Row],[Am Thru]],-Table1[[#This Row],[Beginning Balance]]))),0)</f>
        <v>0</v>
      </c>
      <c r="H175" s="3">
        <f>MAX(0,IF(C175=$C$4,D175,ROUND(IF($C$3="Fixed Principal",$C$6-Table1[[#This Row],[Interest]],IF($C$3="Interest Only",Table1[[#This Row],[Beginning Balance]]*ROUND(1-(1-IF($C$11="No",$E$8,1))^(1/12),6),MIN(IF($C$13="Yes",Table1[[#This Row],[Payment Amount (Reamortized)]],$C$6)-Table1[[#This Row],[Interest]],Table1[[#This Row],[Beginning Balance]]))),2)))</f>
        <v>0</v>
      </c>
      <c r="I175" s="3">
        <f>_xlfn.SINGLE(IF($C$3="Line of Credit",0,ROUND(MAX(MIN(IF($C$10="No",$E$7,VLOOKUP(Table1[[#This Row],[Period]],Forecast!$H$2:$L$1048576,4,FALSE))*Table1[[#This Row],[Beginning Balance]],Table1[[#This Row],[Beginning Balance]]-Table1[[#This Row],[Principal]]),0),2)))</f>
        <v>0</v>
      </c>
      <c r="J175" s="3">
        <f>ROUND(MIN(Table1[[#This Row],[Beginning Balance]]*IF($C$8="No",$E$3,VLOOKUP(Table1[[#This Row],[Period]],Forecast!$H$2:$L$1048576,2,FALSE)),Table1[[#This Row],[Beginning Balance]]-Table1[[#This Row],[Principal]]-Table1[[#This Row],[Prepayments]]),2)</f>
        <v>0</v>
      </c>
      <c r="K175" s="3">
        <f>ROUND(Table1[[#This Row],[Defaulted Principal]]*IF($C$9="No",$E$4,VLOOKUP(Table1[[#This Row],[Period]],Forecast!$H$2:$L$1048576,3,FALSE)),2)</f>
        <v>0</v>
      </c>
      <c r="L175" s="2">
        <f>Table1[[#This Row],[Period]]+$E$9</f>
        <v>171</v>
      </c>
      <c r="M175" s="3">
        <f>Table1[[#This Row],[Defaulted Principal]]-Table1[[#This Row],[Estimated Loss]]</f>
        <v>0</v>
      </c>
      <c r="N175" s="3">
        <f>IFERROR(VLOOKUP(Table1[[#This Row],[Period]],$L$16:$M$385,2,FALSE),0)</f>
        <v>0</v>
      </c>
      <c r="O175" s="3">
        <f>Table1[[#This Row],[Beginning Balance]]-Table1[[#This Row],[Principal]]-Table1[[#This Row],[Prepayments]]-Table1[[#This Row],[Defaulted Principal]]</f>
        <v>0</v>
      </c>
      <c r="P175" s="3">
        <f>Table1[[#This Row],[Principal]]+Table1[[#This Row],[Interest]]+Table1[[#This Row],[Prepayments]]+Table1[[#This Row],[RecoveredAmount]]</f>
        <v>0</v>
      </c>
      <c r="Q175" s="3">
        <f ca="1">Table1[[#This Row],[Cash Flow]]/((1+ActualRateToUse)^(IF(ISNUMBER(SEARCH("Actual",$C$7)),Table1[[#This Row],[Running Total]]/365,Table1[[#This Row],[Period]]/12)))</f>
        <v>0</v>
      </c>
      <c r="R175" s="2">
        <f>IF(MONTH(Table1[[#This Row],[Date]])=2,28,DAY(DATE(YEAR(Table1[[#This Row],[Date]]),MONTH(Table1[[#This Row],[Date]])+1,1)-1))</f>
        <v>30</v>
      </c>
      <c r="S175" s="2">
        <f ca="1">SUM(OFFSET(Table1[[#Headers],[Days in month]],1,0):Table1[[#This Row],[Days in month]])</f>
        <v>4837</v>
      </c>
      <c r="T175" s="37">
        <f>InterestRate*AmortizationMultiplier*IF(ISNUMBER(SEARCH("Actual",$C$7)),Table1[[#This Row],[Days in month]]/365,1/12)</f>
        <v>5.8749999999999991E-3</v>
      </c>
    </row>
    <row r="176" spans="2:20" x14ac:dyDescent="0.2">
      <c r="B176" s="1">
        <f t="shared" si="8"/>
        <v>50709</v>
      </c>
      <c r="C176" s="2">
        <f t="shared" si="9"/>
        <v>160</v>
      </c>
      <c r="D176" s="3">
        <f t="shared" si="11"/>
        <v>0</v>
      </c>
      <c r="E176" s="3">
        <f>ROUND(Table1[[#This Row],[Beginning Balance]]*Table1[[#This Row],[Monthly Interest Rate]],2)</f>
        <v>0</v>
      </c>
      <c r="F176" s="3">
        <f t="shared" si="10"/>
        <v>192</v>
      </c>
      <c r="G176" s="23">
        <f>IFERROR(IF($C$13="No","N/A",IF(Table1[[#This Row],[Period]]=1,$C$6,PMT(InterestRate*AmortizationMultiplier/12,Table1[[#This Row],[Am Thru]],-Table1[[#This Row],[Beginning Balance]]))),0)</f>
        <v>0</v>
      </c>
      <c r="H176" s="3">
        <f>MAX(0,IF(C176=$C$4,D176,ROUND(IF($C$3="Fixed Principal",$C$6-Table1[[#This Row],[Interest]],IF($C$3="Interest Only",Table1[[#This Row],[Beginning Balance]]*ROUND(1-(1-IF($C$11="No",$E$8,1))^(1/12),6),MIN(IF($C$13="Yes",Table1[[#This Row],[Payment Amount (Reamortized)]],$C$6)-Table1[[#This Row],[Interest]],Table1[[#This Row],[Beginning Balance]]))),2)))</f>
        <v>0</v>
      </c>
      <c r="I176" s="3">
        <f>_xlfn.SINGLE(IF($C$3="Line of Credit",0,ROUND(MAX(MIN(IF($C$10="No",$E$7,VLOOKUP(Table1[[#This Row],[Period]],Forecast!$H$2:$L$1048576,4,FALSE))*Table1[[#This Row],[Beginning Balance]],Table1[[#This Row],[Beginning Balance]]-Table1[[#This Row],[Principal]]),0),2)))</f>
        <v>0</v>
      </c>
      <c r="J176" s="3">
        <f>ROUND(MIN(Table1[[#This Row],[Beginning Balance]]*IF($C$8="No",$E$3,VLOOKUP(Table1[[#This Row],[Period]],Forecast!$H$2:$L$1048576,2,FALSE)),Table1[[#This Row],[Beginning Balance]]-Table1[[#This Row],[Principal]]-Table1[[#This Row],[Prepayments]]),2)</f>
        <v>0</v>
      </c>
      <c r="K176" s="3">
        <f>ROUND(Table1[[#This Row],[Defaulted Principal]]*IF($C$9="No",$E$4,VLOOKUP(Table1[[#This Row],[Period]],Forecast!$H$2:$L$1048576,3,FALSE)),2)</f>
        <v>0</v>
      </c>
      <c r="L176" s="2">
        <f>Table1[[#This Row],[Period]]+$E$9</f>
        <v>172</v>
      </c>
      <c r="M176" s="3">
        <f>Table1[[#This Row],[Defaulted Principal]]-Table1[[#This Row],[Estimated Loss]]</f>
        <v>0</v>
      </c>
      <c r="N176" s="3">
        <f>IFERROR(VLOOKUP(Table1[[#This Row],[Period]],$L$16:$M$385,2,FALSE),0)</f>
        <v>0</v>
      </c>
      <c r="O176" s="3">
        <f>Table1[[#This Row],[Beginning Balance]]-Table1[[#This Row],[Principal]]-Table1[[#This Row],[Prepayments]]-Table1[[#This Row],[Defaulted Principal]]</f>
        <v>0</v>
      </c>
      <c r="P176" s="3">
        <f>Table1[[#This Row],[Principal]]+Table1[[#This Row],[Interest]]+Table1[[#This Row],[Prepayments]]+Table1[[#This Row],[RecoveredAmount]]</f>
        <v>0</v>
      </c>
      <c r="Q176" s="3">
        <f ca="1">Table1[[#This Row],[Cash Flow]]/((1+ActualRateToUse)^(IF(ISNUMBER(SEARCH("Actual",$C$7)),Table1[[#This Row],[Running Total]]/365,Table1[[#This Row],[Period]]/12)))</f>
        <v>0</v>
      </c>
      <c r="R176" s="2">
        <f>IF(MONTH(Table1[[#This Row],[Date]])=2,28,DAY(DATE(YEAR(Table1[[#This Row],[Date]]),MONTH(Table1[[#This Row],[Date]])+1,1)-1))</f>
        <v>31</v>
      </c>
      <c r="S176" s="2">
        <f ca="1">SUM(OFFSET(Table1[[#Headers],[Days in month]],1,0):Table1[[#This Row],[Days in month]])</f>
        <v>4868</v>
      </c>
      <c r="T176" s="37">
        <f>InterestRate*AmortizationMultiplier*IF(ISNUMBER(SEARCH("Actual",$C$7)),Table1[[#This Row],[Days in month]]/365,1/12)</f>
        <v>6.0708333333333326E-3</v>
      </c>
    </row>
    <row r="177" spans="2:20" x14ac:dyDescent="0.2">
      <c r="B177" s="1">
        <f t="shared" si="8"/>
        <v>50739</v>
      </c>
      <c r="C177" s="2">
        <f t="shared" si="9"/>
        <v>161</v>
      </c>
      <c r="D177" s="3">
        <f t="shared" si="11"/>
        <v>0</v>
      </c>
      <c r="E177" s="3">
        <f>ROUND(Table1[[#This Row],[Beginning Balance]]*Table1[[#This Row],[Monthly Interest Rate]],2)</f>
        <v>0</v>
      </c>
      <c r="F177" s="3">
        <f t="shared" si="10"/>
        <v>191</v>
      </c>
      <c r="G177" s="23">
        <f>IFERROR(IF($C$13="No","N/A",IF(Table1[[#This Row],[Period]]=1,$C$6,PMT(InterestRate*AmortizationMultiplier/12,Table1[[#This Row],[Am Thru]],-Table1[[#This Row],[Beginning Balance]]))),0)</f>
        <v>0</v>
      </c>
      <c r="H177" s="3">
        <f>MAX(0,IF(C177=$C$4,D177,ROUND(IF($C$3="Fixed Principal",$C$6-Table1[[#This Row],[Interest]],IF($C$3="Interest Only",Table1[[#This Row],[Beginning Balance]]*ROUND(1-(1-IF($C$11="No",$E$8,1))^(1/12),6),MIN(IF($C$13="Yes",Table1[[#This Row],[Payment Amount (Reamortized)]],$C$6)-Table1[[#This Row],[Interest]],Table1[[#This Row],[Beginning Balance]]))),2)))</f>
        <v>0</v>
      </c>
      <c r="I177" s="3">
        <f>_xlfn.SINGLE(IF($C$3="Line of Credit",0,ROUND(MAX(MIN(IF($C$10="No",$E$7,VLOOKUP(Table1[[#This Row],[Period]],Forecast!$H$2:$L$1048576,4,FALSE))*Table1[[#This Row],[Beginning Balance]],Table1[[#This Row],[Beginning Balance]]-Table1[[#This Row],[Principal]]),0),2)))</f>
        <v>0</v>
      </c>
      <c r="J177" s="3">
        <f>ROUND(MIN(Table1[[#This Row],[Beginning Balance]]*IF($C$8="No",$E$3,VLOOKUP(Table1[[#This Row],[Period]],Forecast!$H$2:$L$1048576,2,FALSE)),Table1[[#This Row],[Beginning Balance]]-Table1[[#This Row],[Principal]]-Table1[[#This Row],[Prepayments]]),2)</f>
        <v>0</v>
      </c>
      <c r="K177" s="3">
        <f>ROUND(Table1[[#This Row],[Defaulted Principal]]*IF($C$9="No",$E$4,VLOOKUP(Table1[[#This Row],[Period]],Forecast!$H$2:$L$1048576,3,FALSE)),2)</f>
        <v>0</v>
      </c>
      <c r="L177" s="2">
        <f>Table1[[#This Row],[Period]]+$E$9</f>
        <v>173</v>
      </c>
      <c r="M177" s="3">
        <f>Table1[[#This Row],[Defaulted Principal]]-Table1[[#This Row],[Estimated Loss]]</f>
        <v>0</v>
      </c>
      <c r="N177" s="3">
        <f>IFERROR(VLOOKUP(Table1[[#This Row],[Period]],$L$16:$M$385,2,FALSE),0)</f>
        <v>0</v>
      </c>
      <c r="O177" s="3">
        <f>Table1[[#This Row],[Beginning Balance]]-Table1[[#This Row],[Principal]]-Table1[[#This Row],[Prepayments]]-Table1[[#This Row],[Defaulted Principal]]</f>
        <v>0</v>
      </c>
      <c r="P177" s="3">
        <f>Table1[[#This Row],[Principal]]+Table1[[#This Row],[Interest]]+Table1[[#This Row],[Prepayments]]+Table1[[#This Row],[RecoveredAmount]]</f>
        <v>0</v>
      </c>
      <c r="Q177" s="3">
        <f ca="1">Table1[[#This Row],[Cash Flow]]/((1+ActualRateToUse)^(IF(ISNUMBER(SEARCH("Actual",$C$7)),Table1[[#This Row],[Running Total]]/365,Table1[[#This Row],[Period]]/12)))</f>
        <v>0</v>
      </c>
      <c r="R177" s="2">
        <f>IF(MONTH(Table1[[#This Row],[Date]])=2,28,DAY(DATE(YEAR(Table1[[#This Row],[Date]]),MONTH(Table1[[#This Row],[Date]])+1,1)-1))</f>
        <v>30</v>
      </c>
      <c r="S177" s="2">
        <f ca="1">SUM(OFFSET(Table1[[#Headers],[Days in month]],1,0):Table1[[#This Row],[Days in month]])</f>
        <v>4898</v>
      </c>
      <c r="T177" s="37">
        <f>InterestRate*AmortizationMultiplier*IF(ISNUMBER(SEARCH("Actual",$C$7)),Table1[[#This Row],[Days in month]]/365,1/12)</f>
        <v>5.8749999999999991E-3</v>
      </c>
    </row>
    <row r="178" spans="2:20" x14ac:dyDescent="0.2">
      <c r="B178" s="1">
        <f t="shared" si="8"/>
        <v>50770</v>
      </c>
      <c r="C178" s="2">
        <f t="shared" si="9"/>
        <v>162</v>
      </c>
      <c r="D178" s="3">
        <f t="shared" si="11"/>
        <v>0</v>
      </c>
      <c r="E178" s="3">
        <f>ROUND(Table1[[#This Row],[Beginning Balance]]*Table1[[#This Row],[Monthly Interest Rate]],2)</f>
        <v>0</v>
      </c>
      <c r="F178" s="3">
        <f t="shared" si="10"/>
        <v>190</v>
      </c>
      <c r="G178" s="23">
        <f>IFERROR(IF($C$13="No","N/A",IF(Table1[[#This Row],[Period]]=1,$C$6,PMT(InterestRate*AmortizationMultiplier/12,Table1[[#This Row],[Am Thru]],-Table1[[#This Row],[Beginning Balance]]))),0)</f>
        <v>0</v>
      </c>
      <c r="H178" s="3">
        <f>MAX(0,IF(C178=$C$4,D178,ROUND(IF($C$3="Fixed Principal",$C$6-Table1[[#This Row],[Interest]],IF($C$3="Interest Only",Table1[[#This Row],[Beginning Balance]]*ROUND(1-(1-IF($C$11="No",$E$8,1))^(1/12),6),MIN(IF($C$13="Yes",Table1[[#This Row],[Payment Amount (Reamortized)]],$C$6)-Table1[[#This Row],[Interest]],Table1[[#This Row],[Beginning Balance]]))),2)))</f>
        <v>0</v>
      </c>
      <c r="I178" s="3">
        <f>_xlfn.SINGLE(IF($C$3="Line of Credit",0,ROUND(MAX(MIN(IF($C$10="No",$E$7,VLOOKUP(Table1[[#This Row],[Period]],Forecast!$H$2:$L$1048576,4,FALSE))*Table1[[#This Row],[Beginning Balance]],Table1[[#This Row],[Beginning Balance]]-Table1[[#This Row],[Principal]]),0),2)))</f>
        <v>0</v>
      </c>
      <c r="J178" s="3">
        <f>ROUND(MIN(Table1[[#This Row],[Beginning Balance]]*IF($C$8="No",$E$3,VLOOKUP(Table1[[#This Row],[Period]],Forecast!$H$2:$L$1048576,2,FALSE)),Table1[[#This Row],[Beginning Balance]]-Table1[[#This Row],[Principal]]-Table1[[#This Row],[Prepayments]]),2)</f>
        <v>0</v>
      </c>
      <c r="K178" s="3">
        <f>ROUND(Table1[[#This Row],[Defaulted Principal]]*IF($C$9="No",$E$4,VLOOKUP(Table1[[#This Row],[Period]],Forecast!$H$2:$L$1048576,3,FALSE)),2)</f>
        <v>0</v>
      </c>
      <c r="L178" s="2">
        <f>Table1[[#This Row],[Period]]+$E$9</f>
        <v>174</v>
      </c>
      <c r="M178" s="3">
        <f>Table1[[#This Row],[Defaulted Principal]]-Table1[[#This Row],[Estimated Loss]]</f>
        <v>0</v>
      </c>
      <c r="N178" s="3">
        <f>IFERROR(VLOOKUP(Table1[[#This Row],[Period]],$L$16:$M$385,2,FALSE),0)</f>
        <v>0</v>
      </c>
      <c r="O178" s="3">
        <f>Table1[[#This Row],[Beginning Balance]]-Table1[[#This Row],[Principal]]-Table1[[#This Row],[Prepayments]]-Table1[[#This Row],[Defaulted Principal]]</f>
        <v>0</v>
      </c>
      <c r="P178" s="3">
        <f>Table1[[#This Row],[Principal]]+Table1[[#This Row],[Interest]]+Table1[[#This Row],[Prepayments]]+Table1[[#This Row],[RecoveredAmount]]</f>
        <v>0</v>
      </c>
      <c r="Q178" s="3">
        <f ca="1">Table1[[#This Row],[Cash Flow]]/((1+ActualRateToUse)^(IF(ISNUMBER(SEARCH("Actual",$C$7)),Table1[[#This Row],[Running Total]]/365,Table1[[#This Row],[Period]]/12)))</f>
        <v>0</v>
      </c>
      <c r="R178" s="2">
        <f>IF(MONTH(Table1[[#This Row],[Date]])=2,28,DAY(DATE(YEAR(Table1[[#This Row],[Date]]),MONTH(Table1[[#This Row],[Date]])+1,1)-1))</f>
        <v>31</v>
      </c>
      <c r="S178" s="2">
        <f ca="1">SUM(OFFSET(Table1[[#Headers],[Days in month]],1,0):Table1[[#This Row],[Days in month]])</f>
        <v>4929</v>
      </c>
      <c r="T178" s="37">
        <f>InterestRate*AmortizationMultiplier*IF(ISNUMBER(SEARCH("Actual",$C$7)),Table1[[#This Row],[Days in month]]/365,1/12)</f>
        <v>6.0708333333333326E-3</v>
      </c>
    </row>
    <row r="179" spans="2:20" x14ac:dyDescent="0.2">
      <c r="B179" s="1">
        <f t="shared" si="8"/>
        <v>50801</v>
      </c>
      <c r="C179" s="2">
        <f t="shared" si="9"/>
        <v>163</v>
      </c>
      <c r="D179" s="3">
        <f t="shared" si="11"/>
        <v>0</v>
      </c>
      <c r="E179" s="3">
        <f>ROUND(Table1[[#This Row],[Beginning Balance]]*Table1[[#This Row],[Monthly Interest Rate]],2)</f>
        <v>0</v>
      </c>
      <c r="F179" s="3">
        <f t="shared" si="10"/>
        <v>189</v>
      </c>
      <c r="G179" s="23">
        <f>IFERROR(IF($C$13="No","N/A",IF(Table1[[#This Row],[Period]]=1,$C$6,PMT(InterestRate*AmortizationMultiplier/12,Table1[[#This Row],[Am Thru]],-Table1[[#This Row],[Beginning Balance]]))),0)</f>
        <v>0</v>
      </c>
      <c r="H179" s="3">
        <f>MAX(0,IF(C179=$C$4,D179,ROUND(IF($C$3="Fixed Principal",$C$6-Table1[[#This Row],[Interest]],IF($C$3="Interest Only",Table1[[#This Row],[Beginning Balance]]*ROUND(1-(1-IF($C$11="No",$E$8,1))^(1/12),6),MIN(IF($C$13="Yes",Table1[[#This Row],[Payment Amount (Reamortized)]],$C$6)-Table1[[#This Row],[Interest]],Table1[[#This Row],[Beginning Balance]]))),2)))</f>
        <v>0</v>
      </c>
      <c r="I179" s="3">
        <f>_xlfn.SINGLE(IF($C$3="Line of Credit",0,ROUND(MAX(MIN(IF($C$10="No",$E$7,VLOOKUP(Table1[[#This Row],[Period]],Forecast!$H$2:$L$1048576,4,FALSE))*Table1[[#This Row],[Beginning Balance]],Table1[[#This Row],[Beginning Balance]]-Table1[[#This Row],[Principal]]),0),2)))</f>
        <v>0</v>
      </c>
      <c r="J179" s="3">
        <f>ROUND(MIN(Table1[[#This Row],[Beginning Balance]]*IF($C$8="No",$E$3,VLOOKUP(Table1[[#This Row],[Period]],Forecast!$H$2:$L$1048576,2,FALSE)),Table1[[#This Row],[Beginning Balance]]-Table1[[#This Row],[Principal]]-Table1[[#This Row],[Prepayments]]),2)</f>
        <v>0</v>
      </c>
      <c r="K179" s="3">
        <f>ROUND(Table1[[#This Row],[Defaulted Principal]]*IF($C$9="No",$E$4,VLOOKUP(Table1[[#This Row],[Period]],Forecast!$H$2:$L$1048576,3,FALSE)),2)</f>
        <v>0</v>
      </c>
      <c r="L179" s="2">
        <f>Table1[[#This Row],[Period]]+$E$9</f>
        <v>175</v>
      </c>
      <c r="M179" s="3">
        <f>Table1[[#This Row],[Defaulted Principal]]-Table1[[#This Row],[Estimated Loss]]</f>
        <v>0</v>
      </c>
      <c r="N179" s="3">
        <f>IFERROR(VLOOKUP(Table1[[#This Row],[Period]],$L$16:$M$385,2,FALSE),0)</f>
        <v>0</v>
      </c>
      <c r="O179" s="3">
        <f>Table1[[#This Row],[Beginning Balance]]-Table1[[#This Row],[Principal]]-Table1[[#This Row],[Prepayments]]-Table1[[#This Row],[Defaulted Principal]]</f>
        <v>0</v>
      </c>
      <c r="P179" s="3">
        <f>Table1[[#This Row],[Principal]]+Table1[[#This Row],[Interest]]+Table1[[#This Row],[Prepayments]]+Table1[[#This Row],[RecoveredAmount]]</f>
        <v>0</v>
      </c>
      <c r="Q179" s="3">
        <f ca="1">Table1[[#This Row],[Cash Flow]]/((1+ActualRateToUse)^(IF(ISNUMBER(SEARCH("Actual",$C$7)),Table1[[#This Row],[Running Total]]/365,Table1[[#This Row],[Period]]/12)))</f>
        <v>0</v>
      </c>
      <c r="R179" s="2">
        <f>IF(MONTH(Table1[[#This Row],[Date]])=2,28,DAY(DATE(YEAR(Table1[[#This Row],[Date]]),MONTH(Table1[[#This Row],[Date]])+1,1)-1))</f>
        <v>31</v>
      </c>
      <c r="S179" s="2">
        <f ca="1">SUM(OFFSET(Table1[[#Headers],[Days in month]],1,0):Table1[[#This Row],[Days in month]])</f>
        <v>4960</v>
      </c>
      <c r="T179" s="37">
        <f>InterestRate*AmortizationMultiplier*IF(ISNUMBER(SEARCH("Actual",$C$7)),Table1[[#This Row],[Days in month]]/365,1/12)</f>
        <v>6.0708333333333326E-3</v>
      </c>
    </row>
    <row r="180" spans="2:20" x14ac:dyDescent="0.2">
      <c r="B180" s="1">
        <f t="shared" si="8"/>
        <v>50829</v>
      </c>
      <c r="C180" s="2">
        <f t="shared" si="9"/>
        <v>164</v>
      </c>
      <c r="D180" s="3">
        <f t="shared" si="11"/>
        <v>0</v>
      </c>
      <c r="E180" s="3">
        <f>ROUND(Table1[[#This Row],[Beginning Balance]]*Table1[[#This Row],[Monthly Interest Rate]],2)</f>
        <v>0</v>
      </c>
      <c r="F180" s="3">
        <f t="shared" si="10"/>
        <v>188</v>
      </c>
      <c r="G180" s="23">
        <f>IFERROR(IF($C$13="No","N/A",IF(Table1[[#This Row],[Period]]=1,$C$6,PMT(InterestRate*AmortizationMultiplier/12,Table1[[#This Row],[Am Thru]],-Table1[[#This Row],[Beginning Balance]]))),0)</f>
        <v>0</v>
      </c>
      <c r="H180" s="3">
        <f>MAX(0,IF(C180=$C$4,D180,ROUND(IF($C$3="Fixed Principal",$C$6-Table1[[#This Row],[Interest]],IF($C$3="Interest Only",Table1[[#This Row],[Beginning Balance]]*ROUND(1-(1-IF($C$11="No",$E$8,1))^(1/12),6),MIN(IF($C$13="Yes",Table1[[#This Row],[Payment Amount (Reamortized)]],$C$6)-Table1[[#This Row],[Interest]],Table1[[#This Row],[Beginning Balance]]))),2)))</f>
        <v>0</v>
      </c>
      <c r="I180" s="3">
        <f>_xlfn.SINGLE(IF($C$3="Line of Credit",0,ROUND(MAX(MIN(IF($C$10="No",$E$7,VLOOKUP(Table1[[#This Row],[Period]],Forecast!$H$2:$L$1048576,4,FALSE))*Table1[[#This Row],[Beginning Balance]],Table1[[#This Row],[Beginning Balance]]-Table1[[#This Row],[Principal]]),0),2)))</f>
        <v>0</v>
      </c>
      <c r="J180" s="3">
        <f>ROUND(MIN(Table1[[#This Row],[Beginning Balance]]*IF($C$8="No",$E$3,VLOOKUP(Table1[[#This Row],[Period]],Forecast!$H$2:$L$1048576,2,FALSE)),Table1[[#This Row],[Beginning Balance]]-Table1[[#This Row],[Principal]]-Table1[[#This Row],[Prepayments]]),2)</f>
        <v>0</v>
      </c>
      <c r="K180" s="3">
        <f>ROUND(Table1[[#This Row],[Defaulted Principal]]*IF($C$9="No",$E$4,VLOOKUP(Table1[[#This Row],[Period]],Forecast!$H$2:$L$1048576,3,FALSE)),2)</f>
        <v>0</v>
      </c>
      <c r="L180" s="2">
        <f>Table1[[#This Row],[Period]]+$E$9</f>
        <v>176</v>
      </c>
      <c r="M180" s="3">
        <f>Table1[[#This Row],[Defaulted Principal]]-Table1[[#This Row],[Estimated Loss]]</f>
        <v>0</v>
      </c>
      <c r="N180" s="3">
        <f>IFERROR(VLOOKUP(Table1[[#This Row],[Period]],$L$16:$M$385,2,FALSE),0)</f>
        <v>0</v>
      </c>
      <c r="O180" s="3">
        <f>Table1[[#This Row],[Beginning Balance]]-Table1[[#This Row],[Principal]]-Table1[[#This Row],[Prepayments]]-Table1[[#This Row],[Defaulted Principal]]</f>
        <v>0</v>
      </c>
      <c r="P180" s="3">
        <f>Table1[[#This Row],[Principal]]+Table1[[#This Row],[Interest]]+Table1[[#This Row],[Prepayments]]+Table1[[#This Row],[RecoveredAmount]]</f>
        <v>0</v>
      </c>
      <c r="Q180" s="3">
        <f ca="1">Table1[[#This Row],[Cash Flow]]/((1+ActualRateToUse)^(IF(ISNUMBER(SEARCH("Actual",$C$7)),Table1[[#This Row],[Running Total]]/365,Table1[[#This Row],[Period]]/12)))</f>
        <v>0</v>
      </c>
      <c r="R180" s="2">
        <f>IF(MONTH(Table1[[#This Row],[Date]])=2,28,DAY(DATE(YEAR(Table1[[#This Row],[Date]]),MONTH(Table1[[#This Row],[Date]])+1,1)-1))</f>
        <v>28</v>
      </c>
      <c r="S180" s="2">
        <f ca="1">SUM(OFFSET(Table1[[#Headers],[Days in month]],1,0):Table1[[#This Row],[Days in month]])</f>
        <v>4988</v>
      </c>
      <c r="T180" s="37">
        <f>InterestRate*AmortizationMultiplier*IF(ISNUMBER(SEARCH("Actual",$C$7)),Table1[[#This Row],[Days in month]]/365,1/12)</f>
        <v>5.4833333333333331E-3</v>
      </c>
    </row>
    <row r="181" spans="2:20" x14ac:dyDescent="0.2">
      <c r="B181" s="1">
        <f t="shared" si="8"/>
        <v>50860</v>
      </c>
      <c r="C181" s="2">
        <f t="shared" si="9"/>
        <v>165</v>
      </c>
      <c r="D181" s="3">
        <f t="shared" si="11"/>
        <v>0</v>
      </c>
      <c r="E181" s="3">
        <f>ROUND(Table1[[#This Row],[Beginning Balance]]*Table1[[#This Row],[Monthly Interest Rate]],2)</f>
        <v>0</v>
      </c>
      <c r="F181" s="3">
        <f t="shared" si="10"/>
        <v>187</v>
      </c>
      <c r="G181" s="23">
        <f>IFERROR(IF($C$13="No","N/A",IF(Table1[[#This Row],[Period]]=1,$C$6,PMT(InterestRate*AmortizationMultiplier/12,Table1[[#This Row],[Am Thru]],-Table1[[#This Row],[Beginning Balance]]))),0)</f>
        <v>0</v>
      </c>
      <c r="H181" s="3">
        <f>MAX(0,IF(C181=$C$4,D181,ROUND(IF($C$3="Fixed Principal",$C$6-Table1[[#This Row],[Interest]],IF($C$3="Interest Only",Table1[[#This Row],[Beginning Balance]]*ROUND(1-(1-IF($C$11="No",$E$8,1))^(1/12),6),MIN(IF($C$13="Yes",Table1[[#This Row],[Payment Amount (Reamortized)]],$C$6)-Table1[[#This Row],[Interest]],Table1[[#This Row],[Beginning Balance]]))),2)))</f>
        <v>0</v>
      </c>
      <c r="I181" s="3">
        <f>_xlfn.SINGLE(IF($C$3="Line of Credit",0,ROUND(MAX(MIN(IF($C$10="No",$E$7,VLOOKUP(Table1[[#This Row],[Period]],Forecast!$H$2:$L$1048576,4,FALSE))*Table1[[#This Row],[Beginning Balance]],Table1[[#This Row],[Beginning Balance]]-Table1[[#This Row],[Principal]]),0),2)))</f>
        <v>0</v>
      </c>
      <c r="J181" s="3">
        <f>ROUND(MIN(Table1[[#This Row],[Beginning Balance]]*IF($C$8="No",$E$3,VLOOKUP(Table1[[#This Row],[Period]],Forecast!$H$2:$L$1048576,2,FALSE)),Table1[[#This Row],[Beginning Balance]]-Table1[[#This Row],[Principal]]-Table1[[#This Row],[Prepayments]]),2)</f>
        <v>0</v>
      </c>
      <c r="K181" s="3">
        <f>ROUND(Table1[[#This Row],[Defaulted Principal]]*IF($C$9="No",$E$4,VLOOKUP(Table1[[#This Row],[Period]],Forecast!$H$2:$L$1048576,3,FALSE)),2)</f>
        <v>0</v>
      </c>
      <c r="L181" s="2">
        <f>Table1[[#This Row],[Period]]+$E$9</f>
        <v>177</v>
      </c>
      <c r="M181" s="3">
        <f>Table1[[#This Row],[Defaulted Principal]]-Table1[[#This Row],[Estimated Loss]]</f>
        <v>0</v>
      </c>
      <c r="N181" s="3">
        <f>IFERROR(VLOOKUP(Table1[[#This Row],[Period]],$L$16:$M$385,2,FALSE),0)</f>
        <v>0</v>
      </c>
      <c r="O181" s="3">
        <f>Table1[[#This Row],[Beginning Balance]]-Table1[[#This Row],[Principal]]-Table1[[#This Row],[Prepayments]]-Table1[[#This Row],[Defaulted Principal]]</f>
        <v>0</v>
      </c>
      <c r="P181" s="3">
        <f>Table1[[#This Row],[Principal]]+Table1[[#This Row],[Interest]]+Table1[[#This Row],[Prepayments]]+Table1[[#This Row],[RecoveredAmount]]</f>
        <v>0</v>
      </c>
      <c r="Q181" s="3">
        <f ca="1">Table1[[#This Row],[Cash Flow]]/((1+ActualRateToUse)^(IF(ISNUMBER(SEARCH("Actual",$C$7)),Table1[[#This Row],[Running Total]]/365,Table1[[#This Row],[Period]]/12)))</f>
        <v>0</v>
      </c>
      <c r="R181" s="2">
        <f>IF(MONTH(Table1[[#This Row],[Date]])=2,28,DAY(DATE(YEAR(Table1[[#This Row],[Date]]),MONTH(Table1[[#This Row],[Date]])+1,1)-1))</f>
        <v>31</v>
      </c>
      <c r="S181" s="2">
        <f ca="1">SUM(OFFSET(Table1[[#Headers],[Days in month]],1,0):Table1[[#This Row],[Days in month]])</f>
        <v>5019</v>
      </c>
      <c r="T181" s="37">
        <f>InterestRate*AmortizationMultiplier*IF(ISNUMBER(SEARCH("Actual",$C$7)),Table1[[#This Row],[Days in month]]/365,1/12)</f>
        <v>6.0708333333333326E-3</v>
      </c>
    </row>
    <row r="182" spans="2:20" x14ac:dyDescent="0.2">
      <c r="B182" s="1">
        <f t="shared" si="8"/>
        <v>50890</v>
      </c>
      <c r="C182" s="2">
        <f t="shared" si="9"/>
        <v>166</v>
      </c>
      <c r="D182" s="3">
        <f t="shared" si="11"/>
        <v>0</v>
      </c>
      <c r="E182" s="3">
        <f>ROUND(Table1[[#This Row],[Beginning Balance]]*Table1[[#This Row],[Monthly Interest Rate]],2)</f>
        <v>0</v>
      </c>
      <c r="F182" s="3">
        <f t="shared" si="10"/>
        <v>186</v>
      </c>
      <c r="G182" s="23">
        <f>IFERROR(IF($C$13="No","N/A",IF(Table1[[#This Row],[Period]]=1,$C$6,PMT(InterestRate*AmortizationMultiplier/12,Table1[[#This Row],[Am Thru]],-Table1[[#This Row],[Beginning Balance]]))),0)</f>
        <v>0</v>
      </c>
      <c r="H182" s="3">
        <f>MAX(0,IF(C182=$C$4,D182,ROUND(IF($C$3="Fixed Principal",$C$6-Table1[[#This Row],[Interest]],IF($C$3="Interest Only",Table1[[#This Row],[Beginning Balance]]*ROUND(1-(1-IF($C$11="No",$E$8,1))^(1/12),6),MIN(IF($C$13="Yes",Table1[[#This Row],[Payment Amount (Reamortized)]],$C$6)-Table1[[#This Row],[Interest]],Table1[[#This Row],[Beginning Balance]]))),2)))</f>
        <v>0</v>
      </c>
      <c r="I182" s="3">
        <f>_xlfn.SINGLE(IF($C$3="Line of Credit",0,ROUND(MAX(MIN(IF($C$10="No",$E$7,VLOOKUP(Table1[[#This Row],[Period]],Forecast!$H$2:$L$1048576,4,FALSE))*Table1[[#This Row],[Beginning Balance]],Table1[[#This Row],[Beginning Balance]]-Table1[[#This Row],[Principal]]),0),2)))</f>
        <v>0</v>
      </c>
      <c r="J182" s="3">
        <f>ROUND(MIN(Table1[[#This Row],[Beginning Balance]]*IF($C$8="No",$E$3,VLOOKUP(Table1[[#This Row],[Period]],Forecast!$H$2:$L$1048576,2,FALSE)),Table1[[#This Row],[Beginning Balance]]-Table1[[#This Row],[Principal]]-Table1[[#This Row],[Prepayments]]),2)</f>
        <v>0</v>
      </c>
      <c r="K182" s="3">
        <f>ROUND(Table1[[#This Row],[Defaulted Principal]]*IF($C$9="No",$E$4,VLOOKUP(Table1[[#This Row],[Period]],Forecast!$H$2:$L$1048576,3,FALSE)),2)</f>
        <v>0</v>
      </c>
      <c r="L182" s="2">
        <f>Table1[[#This Row],[Period]]+$E$9</f>
        <v>178</v>
      </c>
      <c r="M182" s="3">
        <f>Table1[[#This Row],[Defaulted Principal]]-Table1[[#This Row],[Estimated Loss]]</f>
        <v>0</v>
      </c>
      <c r="N182" s="3">
        <f>IFERROR(VLOOKUP(Table1[[#This Row],[Period]],$L$16:$M$385,2,FALSE),0)</f>
        <v>0</v>
      </c>
      <c r="O182" s="3">
        <f>Table1[[#This Row],[Beginning Balance]]-Table1[[#This Row],[Principal]]-Table1[[#This Row],[Prepayments]]-Table1[[#This Row],[Defaulted Principal]]</f>
        <v>0</v>
      </c>
      <c r="P182" s="3">
        <f>Table1[[#This Row],[Principal]]+Table1[[#This Row],[Interest]]+Table1[[#This Row],[Prepayments]]+Table1[[#This Row],[RecoveredAmount]]</f>
        <v>0</v>
      </c>
      <c r="Q182" s="3">
        <f ca="1">Table1[[#This Row],[Cash Flow]]/((1+ActualRateToUse)^(IF(ISNUMBER(SEARCH("Actual",$C$7)),Table1[[#This Row],[Running Total]]/365,Table1[[#This Row],[Period]]/12)))</f>
        <v>0</v>
      </c>
      <c r="R182" s="2">
        <f>IF(MONTH(Table1[[#This Row],[Date]])=2,28,DAY(DATE(YEAR(Table1[[#This Row],[Date]]),MONTH(Table1[[#This Row],[Date]])+1,1)-1))</f>
        <v>30</v>
      </c>
      <c r="S182" s="2">
        <f ca="1">SUM(OFFSET(Table1[[#Headers],[Days in month]],1,0):Table1[[#This Row],[Days in month]])</f>
        <v>5049</v>
      </c>
      <c r="T182" s="37">
        <f>InterestRate*AmortizationMultiplier*IF(ISNUMBER(SEARCH("Actual",$C$7)),Table1[[#This Row],[Days in month]]/365,1/12)</f>
        <v>5.8749999999999991E-3</v>
      </c>
    </row>
    <row r="183" spans="2:20" x14ac:dyDescent="0.2">
      <c r="B183" s="1">
        <f t="shared" si="8"/>
        <v>50921</v>
      </c>
      <c r="C183" s="2">
        <f t="shared" si="9"/>
        <v>167</v>
      </c>
      <c r="D183" s="3">
        <f t="shared" si="11"/>
        <v>0</v>
      </c>
      <c r="E183" s="3">
        <f>ROUND(Table1[[#This Row],[Beginning Balance]]*Table1[[#This Row],[Monthly Interest Rate]],2)</f>
        <v>0</v>
      </c>
      <c r="F183" s="3">
        <f t="shared" si="10"/>
        <v>185</v>
      </c>
      <c r="G183" s="23">
        <f>IFERROR(IF($C$13="No","N/A",IF(Table1[[#This Row],[Period]]=1,$C$6,PMT(InterestRate*AmortizationMultiplier/12,Table1[[#This Row],[Am Thru]],-Table1[[#This Row],[Beginning Balance]]))),0)</f>
        <v>0</v>
      </c>
      <c r="H183" s="3">
        <f>MAX(0,IF(C183=$C$4,D183,ROUND(IF($C$3="Fixed Principal",$C$6-Table1[[#This Row],[Interest]],IF($C$3="Interest Only",Table1[[#This Row],[Beginning Balance]]*ROUND(1-(1-IF($C$11="No",$E$8,1))^(1/12),6),MIN(IF($C$13="Yes",Table1[[#This Row],[Payment Amount (Reamortized)]],$C$6)-Table1[[#This Row],[Interest]],Table1[[#This Row],[Beginning Balance]]))),2)))</f>
        <v>0</v>
      </c>
      <c r="I183" s="3">
        <f>_xlfn.SINGLE(IF($C$3="Line of Credit",0,ROUND(MAX(MIN(IF($C$10="No",$E$7,VLOOKUP(Table1[[#This Row],[Period]],Forecast!$H$2:$L$1048576,4,FALSE))*Table1[[#This Row],[Beginning Balance]],Table1[[#This Row],[Beginning Balance]]-Table1[[#This Row],[Principal]]),0),2)))</f>
        <v>0</v>
      </c>
      <c r="J183" s="3">
        <f>ROUND(MIN(Table1[[#This Row],[Beginning Balance]]*IF($C$8="No",$E$3,VLOOKUP(Table1[[#This Row],[Period]],Forecast!$H$2:$L$1048576,2,FALSE)),Table1[[#This Row],[Beginning Balance]]-Table1[[#This Row],[Principal]]-Table1[[#This Row],[Prepayments]]),2)</f>
        <v>0</v>
      </c>
      <c r="K183" s="3">
        <f>ROUND(Table1[[#This Row],[Defaulted Principal]]*IF($C$9="No",$E$4,VLOOKUP(Table1[[#This Row],[Period]],Forecast!$H$2:$L$1048576,3,FALSE)),2)</f>
        <v>0</v>
      </c>
      <c r="L183" s="2">
        <f>Table1[[#This Row],[Period]]+$E$9</f>
        <v>179</v>
      </c>
      <c r="M183" s="3">
        <f>Table1[[#This Row],[Defaulted Principal]]-Table1[[#This Row],[Estimated Loss]]</f>
        <v>0</v>
      </c>
      <c r="N183" s="3">
        <f>IFERROR(VLOOKUP(Table1[[#This Row],[Period]],$L$16:$M$385,2,FALSE),0)</f>
        <v>0</v>
      </c>
      <c r="O183" s="3">
        <f>Table1[[#This Row],[Beginning Balance]]-Table1[[#This Row],[Principal]]-Table1[[#This Row],[Prepayments]]-Table1[[#This Row],[Defaulted Principal]]</f>
        <v>0</v>
      </c>
      <c r="P183" s="3">
        <f>Table1[[#This Row],[Principal]]+Table1[[#This Row],[Interest]]+Table1[[#This Row],[Prepayments]]+Table1[[#This Row],[RecoveredAmount]]</f>
        <v>0</v>
      </c>
      <c r="Q183" s="3">
        <f ca="1">Table1[[#This Row],[Cash Flow]]/((1+ActualRateToUse)^(IF(ISNUMBER(SEARCH("Actual",$C$7)),Table1[[#This Row],[Running Total]]/365,Table1[[#This Row],[Period]]/12)))</f>
        <v>0</v>
      </c>
      <c r="R183" s="2">
        <f>IF(MONTH(Table1[[#This Row],[Date]])=2,28,DAY(DATE(YEAR(Table1[[#This Row],[Date]]),MONTH(Table1[[#This Row],[Date]])+1,1)-1))</f>
        <v>31</v>
      </c>
      <c r="S183" s="2">
        <f ca="1">SUM(OFFSET(Table1[[#Headers],[Days in month]],1,0):Table1[[#This Row],[Days in month]])</f>
        <v>5080</v>
      </c>
      <c r="T183" s="37">
        <f>InterestRate*AmortizationMultiplier*IF(ISNUMBER(SEARCH("Actual",$C$7)),Table1[[#This Row],[Days in month]]/365,1/12)</f>
        <v>6.0708333333333326E-3</v>
      </c>
    </row>
    <row r="184" spans="2:20" x14ac:dyDescent="0.2">
      <c r="B184" s="1">
        <f t="shared" si="8"/>
        <v>50951</v>
      </c>
      <c r="C184" s="2">
        <f t="shared" si="9"/>
        <v>168</v>
      </c>
      <c r="D184" s="3">
        <f t="shared" si="11"/>
        <v>0</v>
      </c>
      <c r="E184" s="3">
        <f>ROUND(Table1[[#This Row],[Beginning Balance]]*Table1[[#This Row],[Monthly Interest Rate]],2)</f>
        <v>0</v>
      </c>
      <c r="F184" s="3">
        <f t="shared" si="10"/>
        <v>184</v>
      </c>
      <c r="G184" s="23">
        <f>IFERROR(IF($C$13="No","N/A",IF(Table1[[#This Row],[Period]]=1,$C$6,PMT(InterestRate*AmortizationMultiplier/12,Table1[[#This Row],[Am Thru]],-Table1[[#This Row],[Beginning Balance]]))),0)</f>
        <v>0</v>
      </c>
      <c r="H184" s="3">
        <f>MAX(0,IF(C184=$C$4,D184,ROUND(IF($C$3="Fixed Principal",$C$6-Table1[[#This Row],[Interest]],IF($C$3="Interest Only",Table1[[#This Row],[Beginning Balance]]*ROUND(1-(1-IF($C$11="No",$E$8,1))^(1/12),6),MIN(IF($C$13="Yes",Table1[[#This Row],[Payment Amount (Reamortized)]],$C$6)-Table1[[#This Row],[Interest]],Table1[[#This Row],[Beginning Balance]]))),2)))</f>
        <v>0</v>
      </c>
      <c r="I184" s="3">
        <f>_xlfn.SINGLE(IF($C$3="Line of Credit",0,ROUND(MAX(MIN(IF($C$10="No",$E$7,VLOOKUP(Table1[[#This Row],[Period]],Forecast!$H$2:$L$1048576,4,FALSE))*Table1[[#This Row],[Beginning Balance]],Table1[[#This Row],[Beginning Balance]]-Table1[[#This Row],[Principal]]),0),2)))</f>
        <v>0</v>
      </c>
      <c r="J184" s="3">
        <f>ROUND(MIN(Table1[[#This Row],[Beginning Balance]]*IF($C$8="No",$E$3,VLOOKUP(Table1[[#This Row],[Period]],Forecast!$H$2:$L$1048576,2,FALSE)),Table1[[#This Row],[Beginning Balance]]-Table1[[#This Row],[Principal]]-Table1[[#This Row],[Prepayments]]),2)</f>
        <v>0</v>
      </c>
      <c r="K184" s="3">
        <f>ROUND(Table1[[#This Row],[Defaulted Principal]]*IF($C$9="No",$E$4,VLOOKUP(Table1[[#This Row],[Period]],Forecast!$H$2:$L$1048576,3,FALSE)),2)</f>
        <v>0</v>
      </c>
      <c r="L184" s="2">
        <f>Table1[[#This Row],[Period]]+$E$9</f>
        <v>180</v>
      </c>
      <c r="M184" s="3">
        <f>Table1[[#This Row],[Defaulted Principal]]-Table1[[#This Row],[Estimated Loss]]</f>
        <v>0</v>
      </c>
      <c r="N184" s="3">
        <f>IFERROR(VLOOKUP(Table1[[#This Row],[Period]],$L$16:$M$385,2,FALSE),0)</f>
        <v>0</v>
      </c>
      <c r="O184" s="3">
        <f>Table1[[#This Row],[Beginning Balance]]-Table1[[#This Row],[Principal]]-Table1[[#This Row],[Prepayments]]-Table1[[#This Row],[Defaulted Principal]]</f>
        <v>0</v>
      </c>
      <c r="P184" s="3">
        <f>Table1[[#This Row],[Principal]]+Table1[[#This Row],[Interest]]+Table1[[#This Row],[Prepayments]]+Table1[[#This Row],[RecoveredAmount]]</f>
        <v>0</v>
      </c>
      <c r="Q184" s="3">
        <f ca="1">Table1[[#This Row],[Cash Flow]]/((1+ActualRateToUse)^(IF(ISNUMBER(SEARCH("Actual",$C$7)),Table1[[#This Row],[Running Total]]/365,Table1[[#This Row],[Period]]/12)))</f>
        <v>0</v>
      </c>
      <c r="R184" s="2">
        <f>IF(MONTH(Table1[[#This Row],[Date]])=2,28,DAY(DATE(YEAR(Table1[[#This Row],[Date]]),MONTH(Table1[[#This Row],[Date]])+1,1)-1))</f>
        <v>30</v>
      </c>
      <c r="S184" s="2">
        <f ca="1">SUM(OFFSET(Table1[[#Headers],[Days in month]],1,0):Table1[[#This Row],[Days in month]])</f>
        <v>5110</v>
      </c>
      <c r="T184" s="37">
        <f>InterestRate*AmortizationMultiplier*IF(ISNUMBER(SEARCH("Actual",$C$7)),Table1[[#This Row],[Days in month]]/365,1/12)</f>
        <v>5.8749999999999991E-3</v>
      </c>
    </row>
    <row r="185" spans="2:20" x14ac:dyDescent="0.2">
      <c r="B185" s="1">
        <f t="shared" si="8"/>
        <v>50982</v>
      </c>
      <c r="C185" s="2">
        <f t="shared" si="9"/>
        <v>169</v>
      </c>
      <c r="D185" s="3">
        <f t="shared" si="11"/>
        <v>0</v>
      </c>
      <c r="E185" s="3">
        <f>ROUND(Table1[[#This Row],[Beginning Balance]]*Table1[[#This Row],[Monthly Interest Rate]],2)</f>
        <v>0</v>
      </c>
      <c r="F185" s="3">
        <f t="shared" si="10"/>
        <v>183</v>
      </c>
      <c r="G185" s="23">
        <f>IFERROR(IF($C$13="No","N/A",IF(Table1[[#This Row],[Period]]=1,$C$6,PMT(InterestRate*AmortizationMultiplier/12,Table1[[#This Row],[Am Thru]],-Table1[[#This Row],[Beginning Balance]]))),0)</f>
        <v>0</v>
      </c>
      <c r="H185" s="3">
        <f>MAX(0,IF(C185=$C$4,D185,ROUND(IF($C$3="Fixed Principal",$C$6-Table1[[#This Row],[Interest]],IF($C$3="Interest Only",Table1[[#This Row],[Beginning Balance]]*ROUND(1-(1-IF($C$11="No",$E$8,1))^(1/12),6),MIN(IF($C$13="Yes",Table1[[#This Row],[Payment Amount (Reamortized)]],$C$6)-Table1[[#This Row],[Interest]],Table1[[#This Row],[Beginning Balance]]))),2)))</f>
        <v>0</v>
      </c>
      <c r="I185" s="3">
        <f>_xlfn.SINGLE(IF($C$3="Line of Credit",0,ROUND(MAX(MIN(IF($C$10="No",$E$7,VLOOKUP(Table1[[#This Row],[Period]],Forecast!$H$2:$L$1048576,4,FALSE))*Table1[[#This Row],[Beginning Balance]],Table1[[#This Row],[Beginning Balance]]-Table1[[#This Row],[Principal]]),0),2)))</f>
        <v>0</v>
      </c>
      <c r="J185" s="3">
        <f>ROUND(MIN(Table1[[#This Row],[Beginning Balance]]*IF($C$8="No",$E$3,VLOOKUP(Table1[[#This Row],[Period]],Forecast!$H$2:$L$1048576,2,FALSE)),Table1[[#This Row],[Beginning Balance]]-Table1[[#This Row],[Principal]]-Table1[[#This Row],[Prepayments]]),2)</f>
        <v>0</v>
      </c>
      <c r="K185" s="3">
        <f>ROUND(Table1[[#This Row],[Defaulted Principal]]*IF($C$9="No",$E$4,VLOOKUP(Table1[[#This Row],[Period]],Forecast!$H$2:$L$1048576,3,FALSE)),2)</f>
        <v>0</v>
      </c>
      <c r="L185" s="2">
        <f>Table1[[#This Row],[Period]]+$E$9</f>
        <v>181</v>
      </c>
      <c r="M185" s="3">
        <f>Table1[[#This Row],[Defaulted Principal]]-Table1[[#This Row],[Estimated Loss]]</f>
        <v>0</v>
      </c>
      <c r="N185" s="3">
        <f>IFERROR(VLOOKUP(Table1[[#This Row],[Period]],$L$16:$M$385,2,FALSE),0)</f>
        <v>0</v>
      </c>
      <c r="O185" s="3">
        <f>Table1[[#This Row],[Beginning Balance]]-Table1[[#This Row],[Principal]]-Table1[[#This Row],[Prepayments]]-Table1[[#This Row],[Defaulted Principal]]</f>
        <v>0</v>
      </c>
      <c r="P185" s="3">
        <f>Table1[[#This Row],[Principal]]+Table1[[#This Row],[Interest]]+Table1[[#This Row],[Prepayments]]+Table1[[#This Row],[RecoveredAmount]]</f>
        <v>0</v>
      </c>
      <c r="Q185" s="3">
        <f ca="1">Table1[[#This Row],[Cash Flow]]/((1+ActualRateToUse)^(IF(ISNUMBER(SEARCH("Actual",$C$7)),Table1[[#This Row],[Running Total]]/365,Table1[[#This Row],[Period]]/12)))</f>
        <v>0</v>
      </c>
      <c r="R185" s="2">
        <f>IF(MONTH(Table1[[#This Row],[Date]])=2,28,DAY(DATE(YEAR(Table1[[#This Row],[Date]]),MONTH(Table1[[#This Row],[Date]])+1,1)-1))</f>
        <v>31</v>
      </c>
      <c r="S185" s="2">
        <f ca="1">SUM(OFFSET(Table1[[#Headers],[Days in month]],1,0):Table1[[#This Row],[Days in month]])</f>
        <v>5141</v>
      </c>
      <c r="T185" s="37">
        <f>InterestRate*AmortizationMultiplier*IF(ISNUMBER(SEARCH("Actual",$C$7)),Table1[[#This Row],[Days in month]]/365,1/12)</f>
        <v>6.0708333333333326E-3</v>
      </c>
    </row>
    <row r="186" spans="2:20" x14ac:dyDescent="0.2">
      <c r="B186" s="1">
        <f t="shared" si="8"/>
        <v>51013</v>
      </c>
      <c r="C186" s="2">
        <f t="shared" si="9"/>
        <v>170</v>
      </c>
      <c r="D186" s="3">
        <f t="shared" si="11"/>
        <v>0</v>
      </c>
      <c r="E186" s="3">
        <f>ROUND(Table1[[#This Row],[Beginning Balance]]*Table1[[#This Row],[Monthly Interest Rate]],2)</f>
        <v>0</v>
      </c>
      <c r="F186" s="3">
        <f t="shared" si="10"/>
        <v>182</v>
      </c>
      <c r="G186" s="23">
        <f>IFERROR(IF($C$13="No","N/A",IF(Table1[[#This Row],[Period]]=1,$C$6,PMT(InterestRate*AmortizationMultiplier/12,Table1[[#This Row],[Am Thru]],-Table1[[#This Row],[Beginning Balance]]))),0)</f>
        <v>0</v>
      </c>
      <c r="H186" s="3">
        <f>MAX(0,IF(C186=$C$4,D186,ROUND(IF($C$3="Fixed Principal",$C$6-Table1[[#This Row],[Interest]],IF($C$3="Interest Only",Table1[[#This Row],[Beginning Balance]]*ROUND(1-(1-IF($C$11="No",$E$8,1))^(1/12),6),MIN(IF($C$13="Yes",Table1[[#This Row],[Payment Amount (Reamortized)]],$C$6)-Table1[[#This Row],[Interest]],Table1[[#This Row],[Beginning Balance]]))),2)))</f>
        <v>0</v>
      </c>
      <c r="I186" s="3">
        <f>_xlfn.SINGLE(IF($C$3="Line of Credit",0,ROUND(MAX(MIN(IF($C$10="No",$E$7,VLOOKUP(Table1[[#This Row],[Period]],Forecast!$H$2:$L$1048576,4,FALSE))*Table1[[#This Row],[Beginning Balance]],Table1[[#This Row],[Beginning Balance]]-Table1[[#This Row],[Principal]]),0),2)))</f>
        <v>0</v>
      </c>
      <c r="J186" s="3">
        <f>ROUND(MIN(Table1[[#This Row],[Beginning Balance]]*IF($C$8="No",$E$3,VLOOKUP(Table1[[#This Row],[Period]],Forecast!$H$2:$L$1048576,2,FALSE)),Table1[[#This Row],[Beginning Balance]]-Table1[[#This Row],[Principal]]-Table1[[#This Row],[Prepayments]]),2)</f>
        <v>0</v>
      </c>
      <c r="K186" s="3">
        <f>ROUND(Table1[[#This Row],[Defaulted Principal]]*IF($C$9="No",$E$4,VLOOKUP(Table1[[#This Row],[Period]],Forecast!$H$2:$L$1048576,3,FALSE)),2)</f>
        <v>0</v>
      </c>
      <c r="L186" s="2">
        <f>Table1[[#This Row],[Period]]+$E$9</f>
        <v>182</v>
      </c>
      <c r="M186" s="3">
        <f>Table1[[#This Row],[Defaulted Principal]]-Table1[[#This Row],[Estimated Loss]]</f>
        <v>0</v>
      </c>
      <c r="N186" s="3">
        <f>IFERROR(VLOOKUP(Table1[[#This Row],[Period]],$L$16:$M$385,2,FALSE),0)</f>
        <v>0</v>
      </c>
      <c r="O186" s="3">
        <f>Table1[[#This Row],[Beginning Balance]]-Table1[[#This Row],[Principal]]-Table1[[#This Row],[Prepayments]]-Table1[[#This Row],[Defaulted Principal]]</f>
        <v>0</v>
      </c>
      <c r="P186" s="3">
        <f>Table1[[#This Row],[Principal]]+Table1[[#This Row],[Interest]]+Table1[[#This Row],[Prepayments]]+Table1[[#This Row],[RecoveredAmount]]</f>
        <v>0</v>
      </c>
      <c r="Q186" s="3">
        <f ca="1">Table1[[#This Row],[Cash Flow]]/((1+ActualRateToUse)^(IF(ISNUMBER(SEARCH("Actual",$C$7)),Table1[[#This Row],[Running Total]]/365,Table1[[#This Row],[Period]]/12)))</f>
        <v>0</v>
      </c>
      <c r="R186" s="2">
        <f>IF(MONTH(Table1[[#This Row],[Date]])=2,28,DAY(DATE(YEAR(Table1[[#This Row],[Date]]),MONTH(Table1[[#This Row],[Date]])+1,1)-1))</f>
        <v>31</v>
      </c>
      <c r="S186" s="2">
        <f ca="1">SUM(OFFSET(Table1[[#Headers],[Days in month]],1,0):Table1[[#This Row],[Days in month]])</f>
        <v>5172</v>
      </c>
      <c r="T186" s="37">
        <f>InterestRate*AmortizationMultiplier*IF(ISNUMBER(SEARCH("Actual",$C$7)),Table1[[#This Row],[Days in month]]/365,1/12)</f>
        <v>6.0708333333333326E-3</v>
      </c>
    </row>
    <row r="187" spans="2:20" x14ac:dyDescent="0.2">
      <c r="B187" s="1">
        <f t="shared" si="8"/>
        <v>51043</v>
      </c>
      <c r="C187" s="2">
        <f t="shared" si="9"/>
        <v>171</v>
      </c>
      <c r="D187" s="3">
        <f t="shared" si="11"/>
        <v>0</v>
      </c>
      <c r="E187" s="3">
        <f>ROUND(Table1[[#This Row],[Beginning Balance]]*Table1[[#This Row],[Monthly Interest Rate]],2)</f>
        <v>0</v>
      </c>
      <c r="F187" s="3">
        <f t="shared" si="10"/>
        <v>181</v>
      </c>
      <c r="G187" s="23">
        <f>IFERROR(IF($C$13="No","N/A",IF(Table1[[#This Row],[Period]]=1,$C$6,PMT(InterestRate*AmortizationMultiplier/12,Table1[[#This Row],[Am Thru]],-Table1[[#This Row],[Beginning Balance]]))),0)</f>
        <v>0</v>
      </c>
      <c r="H187" s="3">
        <f>MAX(0,IF(C187=$C$4,D187,ROUND(IF($C$3="Fixed Principal",$C$6-Table1[[#This Row],[Interest]],IF($C$3="Interest Only",Table1[[#This Row],[Beginning Balance]]*ROUND(1-(1-IF($C$11="No",$E$8,1))^(1/12),6),MIN(IF($C$13="Yes",Table1[[#This Row],[Payment Amount (Reamortized)]],$C$6)-Table1[[#This Row],[Interest]],Table1[[#This Row],[Beginning Balance]]))),2)))</f>
        <v>0</v>
      </c>
      <c r="I187" s="3">
        <f>_xlfn.SINGLE(IF($C$3="Line of Credit",0,ROUND(MAX(MIN(IF($C$10="No",$E$7,VLOOKUP(Table1[[#This Row],[Period]],Forecast!$H$2:$L$1048576,4,FALSE))*Table1[[#This Row],[Beginning Balance]],Table1[[#This Row],[Beginning Balance]]-Table1[[#This Row],[Principal]]),0),2)))</f>
        <v>0</v>
      </c>
      <c r="J187" s="3">
        <f>ROUND(MIN(Table1[[#This Row],[Beginning Balance]]*IF($C$8="No",$E$3,VLOOKUP(Table1[[#This Row],[Period]],Forecast!$H$2:$L$1048576,2,FALSE)),Table1[[#This Row],[Beginning Balance]]-Table1[[#This Row],[Principal]]-Table1[[#This Row],[Prepayments]]),2)</f>
        <v>0</v>
      </c>
      <c r="K187" s="3">
        <f>ROUND(Table1[[#This Row],[Defaulted Principal]]*IF($C$9="No",$E$4,VLOOKUP(Table1[[#This Row],[Period]],Forecast!$H$2:$L$1048576,3,FALSE)),2)</f>
        <v>0</v>
      </c>
      <c r="L187" s="2">
        <f>Table1[[#This Row],[Period]]+$E$9</f>
        <v>183</v>
      </c>
      <c r="M187" s="3">
        <f>Table1[[#This Row],[Defaulted Principal]]-Table1[[#This Row],[Estimated Loss]]</f>
        <v>0</v>
      </c>
      <c r="N187" s="3">
        <f>IFERROR(VLOOKUP(Table1[[#This Row],[Period]],$L$16:$M$385,2,FALSE),0)</f>
        <v>0</v>
      </c>
      <c r="O187" s="3">
        <f>Table1[[#This Row],[Beginning Balance]]-Table1[[#This Row],[Principal]]-Table1[[#This Row],[Prepayments]]-Table1[[#This Row],[Defaulted Principal]]</f>
        <v>0</v>
      </c>
      <c r="P187" s="3">
        <f>Table1[[#This Row],[Principal]]+Table1[[#This Row],[Interest]]+Table1[[#This Row],[Prepayments]]+Table1[[#This Row],[RecoveredAmount]]</f>
        <v>0</v>
      </c>
      <c r="Q187" s="3">
        <f ca="1">Table1[[#This Row],[Cash Flow]]/((1+ActualRateToUse)^(IF(ISNUMBER(SEARCH("Actual",$C$7)),Table1[[#This Row],[Running Total]]/365,Table1[[#This Row],[Period]]/12)))</f>
        <v>0</v>
      </c>
      <c r="R187" s="2">
        <f>IF(MONTH(Table1[[#This Row],[Date]])=2,28,DAY(DATE(YEAR(Table1[[#This Row],[Date]]),MONTH(Table1[[#This Row],[Date]])+1,1)-1))</f>
        <v>30</v>
      </c>
      <c r="S187" s="2">
        <f ca="1">SUM(OFFSET(Table1[[#Headers],[Days in month]],1,0):Table1[[#This Row],[Days in month]])</f>
        <v>5202</v>
      </c>
      <c r="T187" s="37">
        <f>InterestRate*AmortizationMultiplier*IF(ISNUMBER(SEARCH("Actual",$C$7)),Table1[[#This Row],[Days in month]]/365,1/12)</f>
        <v>5.8749999999999991E-3</v>
      </c>
    </row>
    <row r="188" spans="2:20" x14ac:dyDescent="0.2">
      <c r="B188" s="1">
        <f t="shared" si="8"/>
        <v>51074</v>
      </c>
      <c r="C188" s="2">
        <f t="shared" si="9"/>
        <v>172</v>
      </c>
      <c r="D188" s="3">
        <f t="shared" si="11"/>
        <v>0</v>
      </c>
      <c r="E188" s="3">
        <f>ROUND(Table1[[#This Row],[Beginning Balance]]*Table1[[#This Row],[Monthly Interest Rate]],2)</f>
        <v>0</v>
      </c>
      <c r="F188" s="3">
        <f t="shared" si="10"/>
        <v>180</v>
      </c>
      <c r="G188" s="23">
        <f>IFERROR(IF($C$13="No","N/A",IF(Table1[[#This Row],[Period]]=1,$C$6,PMT(InterestRate*AmortizationMultiplier/12,Table1[[#This Row],[Am Thru]],-Table1[[#This Row],[Beginning Balance]]))),0)</f>
        <v>0</v>
      </c>
      <c r="H188" s="3">
        <f>MAX(0,IF(C188=$C$4,D188,ROUND(IF($C$3="Fixed Principal",$C$6-Table1[[#This Row],[Interest]],IF($C$3="Interest Only",Table1[[#This Row],[Beginning Balance]]*ROUND(1-(1-IF($C$11="No",$E$8,1))^(1/12),6),MIN(IF($C$13="Yes",Table1[[#This Row],[Payment Amount (Reamortized)]],$C$6)-Table1[[#This Row],[Interest]],Table1[[#This Row],[Beginning Balance]]))),2)))</f>
        <v>0</v>
      </c>
      <c r="I188" s="3">
        <f>_xlfn.SINGLE(IF($C$3="Line of Credit",0,ROUND(MAX(MIN(IF($C$10="No",$E$7,VLOOKUP(Table1[[#This Row],[Period]],Forecast!$H$2:$L$1048576,4,FALSE))*Table1[[#This Row],[Beginning Balance]],Table1[[#This Row],[Beginning Balance]]-Table1[[#This Row],[Principal]]),0),2)))</f>
        <v>0</v>
      </c>
      <c r="J188" s="3">
        <f>ROUND(MIN(Table1[[#This Row],[Beginning Balance]]*IF($C$8="No",$E$3,VLOOKUP(Table1[[#This Row],[Period]],Forecast!$H$2:$L$1048576,2,FALSE)),Table1[[#This Row],[Beginning Balance]]-Table1[[#This Row],[Principal]]-Table1[[#This Row],[Prepayments]]),2)</f>
        <v>0</v>
      </c>
      <c r="K188" s="3">
        <f>ROUND(Table1[[#This Row],[Defaulted Principal]]*IF($C$9="No",$E$4,VLOOKUP(Table1[[#This Row],[Period]],Forecast!$H$2:$L$1048576,3,FALSE)),2)</f>
        <v>0</v>
      </c>
      <c r="L188" s="2">
        <f>Table1[[#This Row],[Period]]+$E$9</f>
        <v>184</v>
      </c>
      <c r="M188" s="3">
        <f>Table1[[#This Row],[Defaulted Principal]]-Table1[[#This Row],[Estimated Loss]]</f>
        <v>0</v>
      </c>
      <c r="N188" s="3">
        <f>IFERROR(VLOOKUP(Table1[[#This Row],[Period]],$L$16:$M$385,2,FALSE),0)</f>
        <v>0</v>
      </c>
      <c r="O188" s="3">
        <f>Table1[[#This Row],[Beginning Balance]]-Table1[[#This Row],[Principal]]-Table1[[#This Row],[Prepayments]]-Table1[[#This Row],[Defaulted Principal]]</f>
        <v>0</v>
      </c>
      <c r="P188" s="3">
        <f>Table1[[#This Row],[Principal]]+Table1[[#This Row],[Interest]]+Table1[[#This Row],[Prepayments]]+Table1[[#This Row],[RecoveredAmount]]</f>
        <v>0</v>
      </c>
      <c r="Q188" s="3">
        <f ca="1">Table1[[#This Row],[Cash Flow]]/((1+ActualRateToUse)^(IF(ISNUMBER(SEARCH("Actual",$C$7)),Table1[[#This Row],[Running Total]]/365,Table1[[#This Row],[Period]]/12)))</f>
        <v>0</v>
      </c>
      <c r="R188" s="2">
        <f>IF(MONTH(Table1[[#This Row],[Date]])=2,28,DAY(DATE(YEAR(Table1[[#This Row],[Date]]),MONTH(Table1[[#This Row],[Date]])+1,1)-1))</f>
        <v>31</v>
      </c>
      <c r="S188" s="2">
        <f ca="1">SUM(OFFSET(Table1[[#Headers],[Days in month]],1,0):Table1[[#This Row],[Days in month]])</f>
        <v>5233</v>
      </c>
      <c r="T188" s="37">
        <f>InterestRate*AmortizationMultiplier*IF(ISNUMBER(SEARCH("Actual",$C$7)),Table1[[#This Row],[Days in month]]/365,1/12)</f>
        <v>6.0708333333333326E-3</v>
      </c>
    </row>
    <row r="189" spans="2:20" x14ac:dyDescent="0.2">
      <c r="B189" s="1">
        <f t="shared" si="8"/>
        <v>51104</v>
      </c>
      <c r="C189" s="2">
        <f t="shared" si="9"/>
        <v>173</v>
      </c>
      <c r="D189" s="3">
        <f t="shared" si="11"/>
        <v>0</v>
      </c>
      <c r="E189" s="3">
        <f>ROUND(Table1[[#This Row],[Beginning Balance]]*Table1[[#This Row],[Monthly Interest Rate]],2)</f>
        <v>0</v>
      </c>
      <c r="F189" s="3">
        <f t="shared" si="10"/>
        <v>179</v>
      </c>
      <c r="G189" s="23">
        <f>IFERROR(IF($C$13="No","N/A",IF(Table1[[#This Row],[Period]]=1,$C$6,PMT(InterestRate*AmortizationMultiplier/12,Table1[[#This Row],[Am Thru]],-Table1[[#This Row],[Beginning Balance]]))),0)</f>
        <v>0</v>
      </c>
      <c r="H189" s="3">
        <f>MAX(0,IF(C189=$C$4,D189,ROUND(IF($C$3="Fixed Principal",$C$6-Table1[[#This Row],[Interest]],IF($C$3="Interest Only",Table1[[#This Row],[Beginning Balance]]*ROUND(1-(1-IF($C$11="No",$E$8,1))^(1/12),6),MIN(IF($C$13="Yes",Table1[[#This Row],[Payment Amount (Reamortized)]],$C$6)-Table1[[#This Row],[Interest]],Table1[[#This Row],[Beginning Balance]]))),2)))</f>
        <v>0</v>
      </c>
      <c r="I189" s="3">
        <f>_xlfn.SINGLE(IF($C$3="Line of Credit",0,ROUND(MAX(MIN(IF($C$10="No",$E$7,VLOOKUP(Table1[[#This Row],[Period]],Forecast!$H$2:$L$1048576,4,FALSE))*Table1[[#This Row],[Beginning Balance]],Table1[[#This Row],[Beginning Balance]]-Table1[[#This Row],[Principal]]),0),2)))</f>
        <v>0</v>
      </c>
      <c r="J189" s="3">
        <f>ROUND(MIN(Table1[[#This Row],[Beginning Balance]]*IF($C$8="No",$E$3,VLOOKUP(Table1[[#This Row],[Period]],Forecast!$H$2:$L$1048576,2,FALSE)),Table1[[#This Row],[Beginning Balance]]-Table1[[#This Row],[Principal]]-Table1[[#This Row],[Prepayments]]),2)</f>
        <v>0</v>
      </c>
      <c r="K189" s="3">
        <f>ROUND(Table1[[#This Row],[Defaulted Principal]]*IF($C$9="No",$E$4,VLOOKUP(Table1[[#This Row],[Period]],Forecast!$H$2:$L$1048576,3,FALSE)),2)</f>
        <v>0</v>
      </c>
      <c r="L189" s="2">
        <f>Table1[[#This Row],[Period]]+$E$9</f>
        <v>185</v>
      </c>
      <c r="M189" s="3">
        <f>Table1[[#This Row],[Defaulted Principal]]-Table1[[#This Row],[Estimated Loss]]</f>
        <v>0</v>
      </c>
      <c r="N189" s="3">
        <f>IFERROR(VLOOKUP(Table1[[#This Row],[Period]],$L$16:$M$385,2,FALSE),0)</f>
        <v>0</v>
      </c>
      <c r="O189" s="3">
        <f>Table1[[#This Row],[Beginning Balance]]-Table1[[#This Row],[Principal]]-Table1[[#This Row],[Prepayments]]-Table1[[#This Row],[Defaulted Principal]]</f>
        <v>0</v>
      </c>
      <c r="P189" s="3">
        <f>Table1[[#This Row],[Principal]]+Table1[[#This Row],[Interest]]+Table1[[#This Row],[Prepayments]]+Table1[[#This Row],[RecoveredAmount]]</f>
        <v>0</v>
      </c>
      <c r="Q189" s="3">
        <f ca="1">Table1[[#This Row],[Cash Flow]]/((1+ActualRateToUse)^(IF(ISNUMBER(SEARCH("Actual",$C$7)),Table1[[#This Row],[Running Total]]/365,Table1[[#This Row],[Period]]/12)))</f>
        <v>0</v>
      </c>
      <c r="R189" s="2">
        <f>IF(MONTH(Table1[[#This Row],[Date]])=2,28,DAY(DATE(YEAR(Table1[[#This Row],[Date]]),MONTH(Table1[[#This Row],[Date]])+1,1)-1))</f>
        <v>30</v>
      </c>
      <c r="S189" s="2">
        <f ca="1">SUM(OFFSET(Table1[[#Headers],[Days in month]],1,0):Table1[[#This Row],[Days in month]])</f>
        <v>5263</v>
      </c>
      <c r="T189" s="37">
        <f>InterestRate*AmortizationMultiplier*IF(ISNUMBER(SEARCH("Actual",$C$7)),Table1[[#This Row],[Days in month]]/365,1/12)</f>
        <v>5.8749999999999991E-3</v>
      </c>
    </row>
    <row r="190" spans="2:20" x14ac:dyDescent="0.2">
      <c r="B190" s="1">
        <f t="shared" si="8"/>
        <v>51135</v>
      </c>
      <c r="C190" s="2">
        <f t="shared" si="9"/>
        <v>174</v>
      </c>
      <c r="D190" s="3">
        <f t="shared" si="11"/>
        <v>0</v>
      </c>
      <c r="E190" s="3">
        <f>ROUND(Table1[[#This Row],[Beginning Balance]]*Table1[[#This Row],[Monthly Interest Rate]],2)</f>
        <v>0</v>
      </c>
      <c r="F190" s="3">
        <f t="shared" si="10"/>
        <v>178</v>
      </c>
      <c r="G190" s="23">
        <f>IFERROR(IF($C$13="No","N/A",IF(Table1[[#This Row],[Period]]=1,$C$6,PMT(InterestRate*AmortizationMultiplier/12,Table1[[#This Row],[Am Thru]],-Table1[[#This Row],[Beginning Balance]]))),0)</f>
        <v>0</v>
      </c>
      <c r="H190" s="3">
        <f>MAX(0,IF(C190=$C$4,D190,ROUND(IF($C$3="Fixed Principal",$C$6-Table1[[#This Row],[Interest]],IF($C$3="Interest Only",Table1[[#This Row],[Beginning Balance]]*ROUND(1-(1-IF($C$11="No",$E$8,1))^(1/12),6),MIN(IF($C$13="Yes",Table1[[#This Row],[Payment Amount (Reamortized)]],$C$6)-Table1[[#This Row],[Interest]],Table1[[#This Row],[Beginning Balance]]))),2)))</f>
        <v>0</v>
      </c>
      <c r="I190" s="3">
        <f>_xlfn.SINGLE(IF($C$3="Line of Credit",0,ROUND(MAX(MIN(IF($C$10="No",$E$7,VLOOKUP(Table1[[#This Row],[Period]],Forecast!$H$2:$L$1048576,4,FALSE))*Table1[[#This Row],[Beginning Balance]],Table1[[#This Row],[Beginning Balance]]-Table1[[#This Row],[Principal]]),0),2)))</f>
        <v>0</v>
      </c>
      <c r="J190" s="3">
        <f>ROUND(MIN(Table1[[#This Row],[Beginning Balance]]*IF($C$8="No",$E$3,VLOOKUP(Table1[[#This Row],[Period]],Forecast!$H$2:$L$1048576,2,FALSE)),Table1[[#This Row],[Beginning Balance]]-Table1[[#This Row],[Principal]]-Table1[[#This Row],[Prepayments]]),2)</f>
        <v>0</v>
      </c>
      <c r="K190" s="3">
        <f>ROUND(Table1[[#This Row],[Defaulted Principal]]*IF($C$9="No",$E$4,VLOOKUP(Table1[[#This Row],[Period]],Forecast!$H$2:$L$1048576,3,FALSE)),2)</f>
        <v>0</v>
      </c>
      <c r="L190" s="2">
        <f>Table1[[#This Row],[Period]]+$E$9</f>
        <v>186</v>
      </c>
      <c r="M190" s="3">
        <f>Table1[[#This Row],[Defaulted Principal]]-Table1[[#This Row],[Estimated Loss]]</f>
        <v>0</v>
      </c>
      <c r="N190" s="3">
        <f>IFERROR(VLOOKUP(Table1[[#This Row],[Period]],$L$16:$M$385,2,FALSE),0)</f>
        <v>0</v>
      </c>
      <c r="O190" s="3">
        <f>Table1[[#This Row],[Beginning Balance]]-Table1[[#This Row],[Principal]]-Table1[[#This Row],[Prepayments]]-Table1[[#This Row],[Defaulted Principal]]</f>
        <v>0</v>
      </c>
      <c r="P190" s="3">
        <f>Table1[[#This Row],[Principal]]+Table1[[#This Row],[Interest]]+Table1[[#This Row],[Prepayments]]+Table1[[#This Row],[RecoveredAmount]]</f>
        <v>0</v>
      </c>
      <c r="Q190" s="3">
        <f ca="1">Table1[[#This Row],[Cash Flow]]/((1+ActualRateToUse)^(IF(ISNUMBER(SEARCH("Actual",$C$7)),Table1[[#This Row],[Running Total]]/365,Table1[[#This Row],[Period]]/12)))</f>
        <v>0</v>
      </c>
      <c r="R190" s="2">
        <f>IF(MONTH(Table1[[#This Row],[Date]])=2,28,DAY(DATE(YEAR(Table1[[#This Row],[Date]]),MONTH(Table1[[#This Row],[Date]])+1,1)-1))</f>
        <v>31</v>
      </c>
      <c r="S190" s="2">
        <f ca="1">SUM(OFFSET(Table1[[#Headers],[Days in month]],1,0):Table1[[#This Row],[Days in month]])</f>
        <v>5294</v>
      </c>
      <c r="T190" s="37">
        <f>InterestRate*AmortizationMultiplier*IF(ISNUMBER(SEARCH("Actual",$C$7)),Table1[[#This Row],[Days in month]]/365,1/12)</f>
        <v>6.0708333333333326E-3</v>
      </c>
    </row>
    <row r="191" spans="2:20" x14ac:dyDescent="0.2">
      <c r="B191" s="1">
        <f t="shared" si="8"/>
        <v>51166</v>
      </c>
      <c r="C191" s="2">
        <f t="shared" si="9"/>
        <v>175</v>
      </c>
      <c r="D191" s="3">
        <f t="shared" si="11"/>
        <v>0</v>
      </c>
      <c r="E191" s="3">
        <f>ROUND(Table1[[#This Row],[Beginning Balance]]*Table1[[#This Row],[Monthly Interest Rate]],2)</f>
        <v>0</v>
      </c>
      <c r="F191" s="3">
        <f t="shared" si="10"/>
        <v>177</v>
      </c>
      <c r="G191" s="23">
        <f>IFERROR(IF($C$13="No","N/A",IF(Table1[[#This Row],[Period]]=1,$C$6,PMT(InterestRate*AmortizationMultiplier/12,Table1[[#This Row],[Am Thru]],-Table1[[#This Row],[Beginning Balance]]))),0)</f>
        <v>0</v>
      </c>
      <c r="H191" s="3">
        <f>MAX(0,IF(C191=$C$4,D191,ROUND(IF($C$3="Fixed Principal",$C$6-Table1[[#This Row],[Interest]],IF($C$3="Interest Only",Table1[[#This Row],[Beginning Balance]]*ROUND(1-(1-IF($C$11="No",$E$8,1))^(1/12),6),MIN(IF($C$13="Yes",Table1[[#This Row],[Payment Amount (Reamortized)]],$C$6)-Table1[[#This Row],[Interest]],Table1[[#This Row],[Beginning Balance]]))),2)))</f>
        <v>0</v>
      </c>
      <c r="I191" s="3">
        <f>_xlfn.SINGLE(IF($C$3="Line of Credit",0,ROUND(MAX(MIN(IF($C$10="No",$E$7,VLOOKUP(Table1[[#This Row],[Period]],Forecast!$H$2:$L$1048576,4,FALSE))*Table1[[#This Row],[Beginning Balance]],Table1[[#This Row],[Beginning Balance]]-Table1[[#This Row],[Principal]]),0),2)))</f>
        <v>0</v>
      </c>
      <c r="J191" s="3">
        <f>ROUND(MIN(Table1[[#This Row],[Beginning Balance]]*IF($C$8="No",$E$3,VLOOKUP(Table1[[#This Row],[Period]],Forecast!$H$2:$L$1048576,2,FALSE)),Table1[[#This Row],[Beginning Balance]]-Table1[[#This Row],[Principal]]-Table1[[#This Row],[Prepayments]]),2)</f>
        <v>0</v>
      </c>
      <c r="K191" s="3">
        <f>ROUND(Table1[[#This Row],[Defaulted Principal]]*IF($C$9="No",$E$4,VLOOKUP(Table1[[#This Row],[Period]],Forecast!$H$2:$L$1048576,3,FALSE)),2)</f>
        <v>0</v>
      </c>
      <c r="L191" s="2">
        <f>Table1[[#This Row],[Period]]+$E$9</f>
        <v>187</v>
      </c>
      <c r="M191" s="3">
        <f>Table1[[#This Row],[Defaulted Principal]]-Table1[[#This Row],[Estimated Loss]]</f>
        <v>0</v>
      </c>
      <c r="N191" s="3">
        <f>IFERROR(VLOOKUP(Table1[[#This Row],[Period]],$L$16:$M$385,2,FALSE),0)</f>
        <v>0</v>
      </c>
      <c r="O191" s="3">
        <f>Table1[[#This Row],[Beginning Balance]]-Table1[[#This Row],[Principal]]-Table1[[#This Row],[Prepayments]]-Table1[[#This Row],[Defaulted Principal]]</f>
        <v>0</v>
      </c>
      <c r="P191" s="3">
        <f>Table1[[#This Row],[Principal]]+Table1[[#This Row],[Interest]]+Table1[[#This Row],[Prepayments]]+Table1[[#This Row],[RecoveredAmount]]</f>
        <v>0</v>
      </c>
      <c r="Q191" s="3">
        <f ca="1">Table1[[#This Row],[Cash Flow]]/((1+ActualRateToUse)^(IF(ISNUMBER(SEARCH("Actual",$C$7)),Table1[[#This Row],[Running Total]]/365,Table1[[#This Row],[Period]]/12)))</f>
        <v>0</v>
      </c>
      <c r="R191" s="2">
        <f>IF(MONTH(Table1[[#This Row],[Date]])=2,28,DAY(DATE(YEAR(Table1[[#This Row],[Date]]),MONTH(Table1[[#This Row],[Date]])+1,1)-1))</f>
        <v>31</v>
      </c>
      <c r="S191" s="2">
        <f ca="1">SUM(OFFSET(Table1[[#Headers],[Days in month]],1,0):Table1[[#This Row],[Days in month]])</f>
        <v>5325</v>
      </c>
      <c r="T191" s="37">
        <f>InterestRate*AmortizationMultiplier*IF(ISNUMBER(SEARCH("Actual",$C$7)),Table1[[#This Row],[Days in month]]/365,1/12)</f>
        <v>6.0708333333333326E-3</v>
      </c>
    </row>
    <row r="192" spans="2:20" x14ac:dyDescent="0.2">
      <c r="B192" s="1">
        <f t="shared" si="8"/>
        <v>51195</v>
      </c>
      <c r="C192" s="2">
        <f t="shared" si="9"/>
        <v>176</v>
      </c>
      <c r="D192" s="3">
        <f t="shared" si="11"/>
        <v>0</v>
      </c>
      <c r="E192" s="3">
        <f>ROUND(Table1[[#This Row],[Beginning Balance]]*Table1[[#This Row],[Monthly Interest Rate]],2)</f>
        <v>0</v>
      </c>
      <c r="F192" s="3">
        <f t="shared" si="10"/>
        <v>176</v>
      </c>
      <c r="G192" s="23">
        <f>IFERROR(IF($C$13="No","N/A",IF(Table1[[#This Row],[Period]]=1,$C$6,PMT(InterestRate*AmortizationMultiplier/12,Table1[[#This Row],[Am Thru]],-Table1[[#This Row],[Beginning Balance]]))),0)</f>
        <v>0</v>
      </c>
      <c r="H192" s="3">
        <f>MAX(0,IF(C192=$C$4,D192,ROUND(IF($C$3="Fixed Principal",$C$6-Table1[[#This Row],[Interest]],IF($C$3="Interest Only",Table1[[#This Row],[Beginning Balance]]*ROUND(1-(1-IF($C$11="No",$E$8,1))^(1/12),6),MIN(IF($C$13="Yes",Table1[[#This Row],[Payment Amount (Reamortized)]],$C$6)-Table1[[#This Row],[Interest]],Table1[[#This Row],[Beginning Balance]]))),2)))</f>
        <v>0</v>
      </c>
      <c r="I192" s="3">
        <f>_xlfn.SINGLE(IF($C$3="Line of Credit",0,ROUND(MAX(MIN(IF($C$10="No",$E$7,VLOOKUP(Table1[[#This Row],[Period]],Forecast!$H$2:$L$1048576,4,FALSE))*Table1[[#This Row],[Beginning Balance]],Table1[[#This Row],[Beginning Balance]]-Table1[[#This Row],[Principal]]),0),2)))</f>
        <v>0</v>
      </c>
      <c r="J192" s="3">
        <f>ROUND(MIN(Table1[[#This Row],[Beginning Balance]]*IF($C$8="No",$E$3,VLOOKUP(Table1[[#This Row],[Period]],Forecast!$H$2:$L$1048576,2,FALSE)),Table1[[#This Row],[Beginning Balance]]-Table1[[#This Row],[Principal]]-Table1[[#This Row],[Prepayments]]),2)</f>
        <v>0</v>
      </c>
      <c r="K192" s="3">
        <f>ROUND(Table1[[#This Row],[Defaulted Principal]]*IF($C$9="No",$E$4,VLOOKUP(Table1[[#This Row],[Period]],Forecast!$H$2:$L$1048576,3,FALSE)),2)</f>
        <v>0</v>
      </c>
      <c r="L192" s="2">
        <f>Table1[[#This Row],[Period]]+$E$9</f>
        <v>188</v>
      </c>
      <c r="M192" s="3">
        <f>Table1[[#This Row],[Defaulted Principal]]-Table1[[#This Row],[Estimated Loss]]</f>
        <v>0</v>
      </c>
      <c r="N192" s="3">
        <f>IFERROR(VLOOKUP(Table1[[#This Row],[Period]],$L$16:$M$385,2,FALSE),0)</f>
        <v>0</v>
      </c>
      <c r="O192" s="3">
        <f>Table1[[#This Row],[Beginning Balance]]-Table1[[#This Row],[Principal]]-Table1[[#This Row],[Prepayments]]-Table1[[#This Row],[Defaulted Principal]]</f>
        <v>0</v>
      </c>
      <c r="P192" s="3">
        <f>Table1[[#This Row],[Principal]]+Table1[[#This Row],[Interest]]+Table1[[#This Row],[Prepayments]]+Table1[[#This Row],[RecoveredAmount]]</f>
        <v>0</v>
      </c>
      <c r="Q192" s="3">
        <f ca="1">Table1[[#This Row],[Cash Flow]]/((1+ActualRateToUse)^(IF(ISNUMBER(SEARCH("Actual",$C$7)),Table1[[#This Row],[Running Total]]/365,Table1[[#This Row],[Period]]/12)))</f>
        <v>0</v>
      </c>
      <c r="R192" s="2">
        <f>IF(MONTH(Table1[[#This Row],[Date]])=2,28,DAY(DATE(YEAR(Table1[[#This Row],[Date]]),MONTH(Table1[[#This Row],[Date]])+1,1)-1))</f>
        <v>28</v>
      </c>
      <c r="S192" s="2">
        <f ca="1">SUM(OFFSET(Table1[[#Headers],[Days in month]],1,0):Table1[[#This Row],[Days in month]])</f>
        <v>5353</v>
      </c>
      <c r="T192" s="37">
        <f>InterestRate*AmortizationMultiplier*IF(ISNUMBER(SEARCH("Actual",$C$7)),Table1[[#This Row],[Days in month]]/365,1/12)</f>
        <v>5.4833333333333331E-3</v>
      </c>
    </row>
    <row r="193" spans="2:20" x14ac:dyDescent="0.2">
      <c r="B193" s="1">
        <f t="shared" si="8"/>
        <v>51226</v>
      </c>
      <c r="C193" s="2">
        <f t="shared" si="9"/>
        <v>177</v>
      </c>
      <c r="D193" s="3">
        <f t="shared" si="11"/>
        <v>0</v>
      </c>
      <c r="E193" s="3">
        <f>ROUND(Table1[[#This Row],[Beginning Balance]]*Table1[[#This Row],[Monthly Interest Rate]],2)</f>
        <v>0</v>
      </c>
      <c r="F193" s="3">
        <f t="shared" si="10"/>
        <v>175</v>
      </c>
      <c r="G193" s="23">
        <f>IFERROR(IF($C$13="No","N/A",IF(Table1[[#This Row],[Period]]=1,$C$6,PMT(InterestRate*AmortizationMultiplier/12,Table1[[#This Row],[Am Thru]],-Table1[[#This Row],[Beginning Balance]]))),0)</f>
        <v>0</v>
      </c>
      <c r="H193" s="3">
        <f>MAX(0,IF(C193=$C$4,D193,ROUND(IF($C$3="Fixed Principal",$C$6-Table1[[#This Row],[Interest]],IF($C$3="Interest Only",Table1[[#This Row],[Beginning Balance]]*ROUND(1-(1-IF($C$11="No",$E$8,1))^(1/12),6),MIN(IF($C$13="Yes",Table1[[#This Row],[Payment Amount (Reamortized)]],$C$6)-Table1[[#This Row],[Interest]],Table1[[#This Row],[Beginning Balance]]))),2)))</f>
        <v>0</v>
      </c>
      <c r="I193" s="3">
        <f>_xlfn.SINGLE(IF($C$3="Line of Credit",0,ROUND(MAX(MIN(IF($C$10="No",$E$7,VLOOKUP(Table1[[#This Row],[Period]],Forecast!$H$2:$L$1048576,4,FALSE))*Table1[[#This Row],[Beginning Balance]],Table1[[#This Row],[Beginning Balance]]-Table1[[#This Row],[Principal]]),0),2)))</f>
        <v>0</v>
      </c>
      <c r="J193" s="3">
        <f>ROUND(MIN(Table1[[#This Row],[Beginning Balance]]*IF($C$8="No",$E$3,VLOOKUP(Table1[[#This Row],[Period]],Forecast!$H$2:$L$1048576,2,FALSE)),Table1[[#This Row],[Beginning Balance]]-Table1[[#This Row],[Principal]]-Table1[[#This Row],[Prepayments]]),2)</f>
        <v>0</v>
      </c>
      <c r="K193" s="3">
        <f>ROUND(Table1[[#This Row],[Defaulted Principal]]*IF($C$9="No",$E$4,VLOOKUP(Table1[[#This Row],[Period]],Forecast!$H$2:$L$1048576,3,FALSE)),2)</f>
        <v>0</v>
      </c>
      <c r="L193" s="2">
        <f>Table1[[#This Row],[Period]]+$E$9</f>
        <v>189</v>
      </c>
      <c r="M193" s="3">
        <f>Table1[[#This Row],[Defaulted Principal]]-Table1[[#This Row],[Estimated Loss]]</f>
        <v>0</v>
      </c>
      <c r="N193" s="3">
        <f>IFERROR(VLOOKUP(Table1[[#This Row],[Period]],$L$16:$M$385,2,FALSE),0)</f>
        <v>0</v>
      </c>
      <c r="O193" s="3">
        <f>Table1[[#This Row],[Beginning Balance]]-Table1[[#This Row],[Principal]]-Table1[[#This Row],[Prepayments]]-Table1[[#This Row],[Defaulted Principal]]</f>
        <v>0</v>
      </c>
      <c r="P193" s="3">
        <f>Table1[[#This Row],[Principal]]+Table1[[#This Row],[Interest]]+Table1[[#This Row],[Prepayments]]+Table1[[#This Row],[RecoveredAmount]]</f>
        <v>0</v>
      </c>
      <c r="Q193" s="3">
        <f ca="1">Table1[[#This Row],[Cash Flow]]/((1+ActualRateToUse)^(IF(ISNUMBER(SEARCH("Actual",$C$7)),Table1[[#This Row],[Running Total]]/365,Table1[[#This Row],[Period]]/12)))</f>
        <v>0</v>
      </c>
      <c r="R193" s="2">
        <f>IF(MONTH(Table1[[#This Row],[Date]])=2,28,DAY(DATE(YEAR(Table1[[#This Row],[Date]]),MONTH(Table1[[#This Row],[Date]])+1,1)-1))</f>
        <v>31</v>
      </c>
      <c r="S193" s="2">
        <f ca="1">SUM(OFFSET(Table1[[#Headers],[Days in month]],1,0):Table1[[#This Row],[Days in month]])</f>
        <v>5384</v>
      </c>
      <c r="T193" s="37">
        <f>InterestRate*AmortizationMultiplier*IF(ISNUMBER(SEARCH("Actual",$C$7)),Table1[[#This Row],[Days in month]]/365,1/12)</f>
        <v>6.0708333333333326E-3</v>
      </c>
    </row>
    <row r="194" spans="2:20" x14ac:dyDescent="0.2">
      <c r="B194" s="1">
        <f t="shared" si="8"/>
        <v>51256</v>
      </c>
      <c r="C194" s="2">
        <f t="shared" si="9"/>
        <v>178</v>
      </c>
      <c r="D194" s="3">
        <f t="shared" si="11"/>
        <v>0</v>
      </c>
      <c r="E194" s="3">
        <f>ROUND(Table1[[#This Row],[Beginning Balance]]*Table1[[#This Row],[Monthly Interest Rate]],2)</f>
        <v>0</v>
      </c>
      <c r="F194" s="3">
        <f t="shared" si="10"/>
        <v>174</v>
      </c>
      <c r="G194" s="23">
        <f>IFERROR(IF($C$13="No","N/A",IF(Table1[[#This Row],[Period]]=1,$C$6,PMT(InterestRate*AmortizationMultiplier/12,Table1[[#This Row],[Am Thru]],-Table1[[#This Row],[Beginning Balance]]))),0)</f>
        <v>0</v>
      </c>
      <c r="H194" s="3">
        <f>MAX(0,IF(C194=$C$4,D194,ROUND(IF($C$3="Fixed Principal",$C$6-Table1[[#This Row],[Interest]],IF($C$3="Interest Only",Table1[[#This Row],[Beginning Balance]]*ROUND(1-(1-IF($C$11="No",$E$8,1))^(1/12),6),MIN(IF($C$13="Yes",Table1[[#This Row],[Payment Amount (Reamortized)]],$C$6)-Table1[[#This Row],[Interest]],Table1[[#This Row],[Beginning Balance]]))),2)))</f>
        <v>0</v>
      </c>
      <c r="I194" s="3">
        <f>_xlfn.SINGLE(IF($C$3="Line of Credit",0,ROUND(MAX(MIN(IF($C$10="No",$E$7,VLOOKUP(Table1[[#This Row],[Period]],Forecast!$H$2:$L$1048576,4,FALSE))*Table1[[#This Row],[Beginning Balance]],Table1[[#This Row],[Beginning Balance]]-Table1[[#This Row],[Principal]]),0),2)))</f>
        <v>0</v>
      </c>
      <c r="J194" s="3">
        <f>ROUND(MIN(Table1[[#This Row],[Beginning Balance]]*IF($C$8="No",$E$3,VLOOKUP(Table1[[#This Row],[Period]],Forecast!$H$2:$L$1048576,2,FALSE)),Table1[[#This Row],[Beginning Balance]]-Table1[[#This Row],[Principal]]-Table1[[#This Row],[Prepayments]]),2)</f>
        <v>0</v>
      </c>
      <c r="K194" s="3">
        <f>ROUND(Table1[[#This Row],[Defaulted Principal]]*IF($C$9="No",$E$4,VLOOKUP(Table1[[#This Row],[Period]],Forecast!$H$2:$L$1048576,3,FALSE)),2)</f>
        <v>0</v>
      </c>
      <c r="L194" s="2">
        <f>Table1[[#This Row],[Period]]+$E$9</f>
        <v>190</v>
      </c>
      <c r="M194" s="3">
        <f>Table1[[#This Row],[Defaulted Principal]]-Table1[[#This Row],[Estimated Loss]]</f>
        <v>0</v>
      </c>
      <c r="N194" s="3">
        <f>IFERROR(VLOOKUP(Table1[[#This Row],[Period]],$L$16:$M$385,2,FALSE),0)</f>
        <v>0</v>
      </c>
      <c r="O194" s="3">
        <f>Table1[[#This Row],[Beginning Balance]]-Table1[[#This Row],[Principal]]-Table1[[#This Row],[Prepayments]]-Table1[[#This Row],[Defaulted Principal]]</f>
        <v>0</v>
      </c>
      <c r="P194" s="3">
        <f>Table1[[#This Row],[Principal]]+Table1[[#This Row],[Interest]]+Table1[[#This Row],[Prepayments]]+Table1[[#This Row],[RecoveredAmount]]</f>
        <v>0</v>
      </c>
      <c r="Q194" s="3">
        <f ca="1">Table1[[#This Row],[Cash Flow]]/((1+ActualRateToUse)^(IF(ISNUMBER(SEARCH("Actual",$C$7)),Table1[[#This Row],[Running Total]]/365,Table1[[#This Row],[Period]]/12)))</f>
        <v>0</v>
      </c>
      <c r="R194" s="2">
        <f>IF(MONTH(Table1[[#This Row],[Date]])=2,28,DAY(DATE(YEAR(Table1[[#This Row],[Date]]),MONTH(Table1[[#This Row],[Date]])+1,1)-1))</f>
        <v>30</v>
      </c>
      <c r="S194" s="2">
        <f ca="1">SUM(OFFSET(Table1[[#Headers],[Days in month]],1,0):Table1[[#This Row],[Days in month]])</f>
        <v>5414</v>
      </c>
      <c r="T194" s="37">
        <f>InterestRate*AmortizationMultiplier*IF(ISNUMBER(SEARCH("Actual",$C$7)),Table1[[#This Row],[Days in month]]/365,1/12)</f>
        <v>5.8749999999999991E-3</v>
      </c>
    </row>
    <row r="195" spans="2:20" x14ac:dyDescent="0.2">
      <c r="B195" s="1">
        <f t="shared" si="8"/>
        <v>51287</v>
      </c>
      <c r="C195" s="2">
        <f t="shared" si="9"/>
        <v>179</v>
      </c>
      <c r="D195" s="3">
        <f t="shared" si="11"/>
        <v>0</v>
      </c>
      <c r="E195" s="3">
        <f>ROUND(Table1[[#This Row],[Beginning Balance]]*Table1[[#This Row],[Monthly Interest Rate]],2)</f>
        <v>0</v>
      </c>
      <c r="F195" s="3">
        <f t="shared" si="10"/>
        <v>173</v>
      </c>
      <c r="G195" s="23">
        <f>IFERROR(IF($C$13="No","N/A",IF(Table1[[#This Row],[Period]]=1,$C$6,PMT(InterestRate*AmortizationMultiplier/12,Table1[[#This Row],[Am Thru]],-Table1[[#This Row],[Beginning Balance]]))),0)</f>
        <v>0</v>
      </c>
      <c r="H195" s="3">
        <f>MAX(0,IF(C195=$C$4,D195,ROUND(IF($C$3="Fixed Principal",$C$6-Table1[[#This Row],[Interest]],IF($C$3="Interest Only",Table1[[#This Row],[Beginning Balance]]*ROUND(1-(1-IF($C$11="No",$E$8,1))^(1/12),6),MIN(IF($C$13="Yes",Table1[[#This Row],[Payment Amount (Reamortized)]],$C$6)-Table1[[#This Row],[Interest]],Table1[[#This Row],[Beginning Balance]]))),2)))</f>
        <v>0</v>
      </c>
      <c r="I195" s="3">
        <f>_xlfn.SINGLE(IF($C$3="Line of Credit",0,ROUND(MAX(MIN(IF($C$10="No",$E$7,VLOOKUP(Table1[[#This Row],[Period]],Forecast!$H$2:$L$1048576,4,FALSE))*Table1[[#This Row],[Beginning Balance]],Table1[[#This Row],[Beginning Balance]]-Table1[[#This Row],[Principal]]),0),2)))</f>
        <v>0</v>
      </c>
      <c r="J195" s="3">
        <f>ROUND(MIN(Table1[[#This Row],[Beginning Balance]]*IF($C$8="No",$E$3,VLOOKUP(Table1[[#This Row],[Period]],Forecast!$H$2:$L$1048576,2,FALSE)),Table1[[#This Row],[Beginning Balance]]-Table1[[#This Row],[Principal]]-Table1[[#This Row],[Prepayments]]),2)</f>
        <v>0</v>
      </c>
      <c r="K195" s="3">
        <f>ROUND(Table1[[#This Row],[Defaulted Principal]]*IF($C$9="No",$E$4,VLOOKUP(Table1[[#This Row],[Period]],Forecast!$H$2:$L$1048576,3,FALSE)),2)</f>
        <v>0</v>
      </c>
      <c r="L195" s="2">
        <f>Table1[[#This Row],[Period]]+$E$9</f>
        <v>191</v>
      </c>
      <c r="M195" s="3">
        <f>Table1[[#This Row],[Defaulted Principal]]-Table1[[#This Row],[Estimated Loss]]</f>
        <v>0</v>
      </c>
      <c r="N195" s="3">
        <f>IFERROR(VLOOKUP(Table1[[#This Row],[Period]],$L$16:$M$385,2,FALSE),0)</f>
        <v>0</v>
      </c>
      <c r="O195" s="3">
        <f>Table1[[#This Row],[Beginning Balance]]-Table1[[#This Row],[Principal]]-Table1[[#This Row],[Prepayments]]-Table1[[#This Row],[Defaulted Principal]]</f>
        <v>0</v>
      </c>
      <c r="P195" s="3">
        <f>Table1[[#This Row],[Principal]]+Table1[[#This Row],[Interest]]+Table1[[#This Row],[Prepayments]]+Table1[[#This Row],[RecoveredAmount]]</f>
        <v>0</v>
      </c>
      <c r="Q195" s="3">
        <f ca="1">Table1[[#This Row],[Cash Flow]]/((1+ActualRateToUse)^(IF(ISNUMBER(SEARCH("Actual",$C$7)),Table1[[#This Row],[Running Total]]/365,Table1[[#This Row],[Period]]/12)))</f>
        <v>0</v>
      </c>
      <c r="R195" s="2">
        <f>IF(MONTH(Table1[[#This Row],[Date]])=2,28,DAY(DATE(YEAR(Table1[[#This Row],[Date]]),MONTH(Table1[[#This Row],[Date]])+1,1)-1))</f>
        <v>31</v>
      </c>
      <c r="S195" s="2">
        <f ca="1">SUM(OFFSET(Table1[[#Headers],[Days in month]],1,0):Table1[[#This Row],[Days in month]])</f>
        <v>5445</v>
      </c>
      <c r="T195" s="37">
        <f>InterestRate*AmortizationMultiplier*IF(ISNUMBER(SEARCH("Actual",$C$7)),Table1[[#This Row],[Days in month]]/365,1/12)</f>
        <v>6.0708333333333326E-3</v>
      </c>
    </row>
    <row r="196" spans="2:20" x14ac:dyDescent="0.2">
      <c r="B196" s="1">
        <f t="shared" si="8"/>
        <v>51317</v>
      </c>
      <c r="C196" s="2">
        <f t="shared" si="9"/>
        <v>180</v>
      </c>
      <c r="D196" s="3">
        <f t="shared" si="11"/>
        <v>0</v>
      </c>
      <c r="E196" s="3">
        <f>ROUND(Table1[[#This Row],[Beginning Balance]]*Table1[[#This Row],[Monthly Interest Rate]],2)</f>
        <v>0</v>
      </c>
      <c r="F196" s="3">
        <f t="shared" si="10"/>
        <v>172</v>
      </c>
      <c r="G196" s="23">
        <f>IFERROR(IF($C$13="No","N/A",IF(Table1[[#This Row],[Period]]=1,$C$6,PMT(InterestRate*AmortizationMultiplier/12,Table1[[#This Row],[Am Thru]],-Table1[[#This Row],[Beginning Balance]]))),0)</f>
        <v>0</v>
      </c>
      <c r="H196" s="3">
        <f>MAX(0,IF(C196=$C$4,D196,ROUND(IF($C$3="Fixed Principal",$C$6-Table1[[#This Row],[Interest]],IF($C$3="Interest Only",Table1[[#This Row],[Beginning Balance]]*ROUND(1-(1-IF($C$11="No",$E$8,1))^(1/12),6),MIN(IF($C$13="Yes",Table1[[#This Row],[Payment Amount (Reamortized)]],$C$6)-Table1[[#This Row],[Interest]],Table1[[#This Row],[Beginning Balance]]))),2)))</f>
        <v>0</v>
      </c>
      <c r="I196" s="3">
        <f>_xlfn.SINGLE(IF($C$3="Line of Credit",0,ROUND(MAX(MIN(IF($C$10="No",$E$7,VLOOKUP(Table1[[#This Row],[Period]],Forecast!$H$2:$L$1048576,4,FALSE))*Table1[[#This Row],[Beginning Balance]],Table1[[#This Row],[Beginning Balance]]-Table1[[#This Row],[Principal]]),0),2)))</f>
        <v>0</v>
      </c>
      <c r="J196" s="3">
        <f>ROUND(MIN(Table1[[#This Row],[Beginning Balance]]*IF($C$8="No",$E$3,VLOOKUP(Table1[[#This Row],[Period]],Forecast!$H$2:$L$1048576,2,FALSE)),Table1[[#This Row],[Beginning Balance]]-Table1[[#This Row],[Principal]]-Table1[[#This Row],[Prepayments]]),2)</f>
        <v>0</v>
      </c>
      <c r="K196" s="3">
        <f>ROUND(Table1[[#This Row],[Defaulted Principal]]*IF($C$9="No",$E$4,VLOOKUP(Table1[[#This Row],[Period]],Forecast!$H$2:$L$1048576,3,FALSE)),2)</f>
        <v>0</v>
      </c>
      <c r="L196" s="2">
        <f>Table1[[#This Row],[Period]]+$E$9</f>
        <v>192</v>
      </c>
      <c r="M196" s="3">
        <f>Table1[[#This Row],[Defaulted Principal]]-Table1[[#This Row],[Estimated Loss]]</f>
        <v>0</v>
      </c>
      <c r="N196" s="3">
        <f>IFERROR(VLOOKUP(Table1[[#This Row],[Period]],$L$16:$M$385,2,FALSE),0)</f>
        <v>0</v>
      </c>
      <c r="O196" s="3">
        <f>Table1[[#This Row],[Beginning Balance]]-Table1[[#This Row],[Principal]]-Table1[[#This Row],[Prepayments]]-Table1[[#This Row],[Defaulted Principal]]</f>
        <v>0</v>
      </c>
      <c r="P196" s="3">
        <f>Table1[[#This Row],[Principal]]+Table1[[#This Row],[Interest]]+Table1[[#This Row],[Prepayments]]+Table1[[#This Row],[RecoveredAmount]]</f>
        <v>0</v>
      </c>
      <c r="Q196" s="3">
        <f ca="1">Table1[[#This Row],[Cash Flow]]/((1+ActualRateToUse)^(IF(ISNUMBER(SEARCH("Actual",$C$7)),Table1[[#This Row],[Running Total]]/365,Table1[[#This Row],[Period]]/12)))</f>
        <v>0</v>
      </c>
      <c r="R196" s="2">
        <f>IF(MONTH(Table1[[#This Row],[Date]])=2,28,DAY(DATE(YEAR(Table1[[#This Row],[Date]]),MONTH(Table1[[#This Row],[Date]])+1,1)-1))</f>
        <v>30</v>
      </c>
      <c r="S196" s="2">
        <f ca="1">SUM(OFFSET(Table1[[#Headers],[Days in month]],1,0):Table1[[#This Row],[Days in month]])</f>
        <v>5475</v>
      </c>
      <c r="T196" s="37">
        <f>InterestRate*AmortizationMultiplier*IF(ISNUMBER(SEARCH("Actual",$C$7)),Table1[[#This Row],[Days in month]]/365,1/12)</f>
        <v>5.8749999999999991E-3</v>
      </c>
    </row>
    <row r="197" spans="2:20" x14ac:dyDescent="0.2">
      <c r="B197" s="1">
        <f t="shared" si="8"/>
        <v>51348</v>
      </c>
      <c r="C197" s="2">
        <f t="shared" si="9"/>
        <v>181</v>
      </c>
      <c r="D197" s="3">
        <f t="shared" si="11"/>
        <v>0</v>
      </c>
      <c r="E197" s="3">
        <f>ROUND(Table1[[#This Row],[Beginning Balance]]*Table1[[#This Row],[Monthly Interest Rate]],2)</f>
        <v>0</v>
      </c>
      <c r="F197" s="3">
        <f t="shared" si="10"/>
        <v>171</v>
      </c>
      <c r="G197" s="23">
        <f>IFERROR(IF($C$13="No","N/A",IF(Table1[[#This Row],[Period]]=1,$C$6,PMT(InterestRate*AmortizationMultiplier/12,Table1[[#This Row],[Am Thru]],-Table1[[#This Row],[Beginning Balance]]))),0)</f>
        <v>0</v>
      </c>
      <c r="H197" s="3">
        <f>MAX(0,IF(C197=$C$4,D197,ROUND(IF($C$3="Fixed Principal",$C$6-Table1[[#This Row],[Interest]],IF($C$3="Interest Only",Table1[[#This Row],[Beginning Balance]]*ROUND(1-(1-IF($C$11="No",$E$8,1))^(1/12),6),MIN(IF($C$13="Yes",Table1[[#This Row],[Payment Amount (Reamortized)]],$C$6)-Table1[[#This Row],[Interest]],Table1[[#This Row],[Beginning Balance]]))),2)))</f>
        <v>0</v>
      </c>
      <c r="I197" s="3">
        <f>_xlfn.SINGLE(IF($C$3="Line of Credit",0,ROUND(MAX(MIN(IF($C$10="No",$E$7,VLOOKUP(Table1[[#This Row],[Period]],Forecast!$H$2:$L$1048576,4,FALSE))*Table1[[#This Row],[Beginning Balance]],Table1[[#This Row],[Beginning Balance]]-Table1[[#This Row],[Principal]]),0),2)))</f>
        <v>0</v>
      </c>
      <c r="J197" s="3">
        <f>ROUND(MIN(Table1[[#This Row],[Beginning Balance]]*IF($C$8="No",$E$3,VLOOKUP(Table1[[#This Row],[Period]],Forecast!$H$2:$L$1048576,2,FALSE)),Table1[[#This Row],[Beginning Balance]]-Table1[[#This Row],[Principal]]-Table1[[#This Row],[Prepayments]]),2)</f>
        <v>0</v>
      </c>
      <c r="K197" s="3">
        <f>ROUND(Table1[[#This Row],[Defaulted Principal]]*IF($C$9="No",$E$4,VLOOKUP(Table1[[#This Row],[Period]],Forecast!$H$2:$L$1048576,3,FALSE)),2)</f>
        <v>0</v>
      </c>
      <c r="L197" s="2">
        <f>Table1[[#This Row],[Period]]+$E$9</f>
        <v>193</v>
      </c>
      <c r="M197" s="3">
        <f>Table1[[#This Row],[Defaulted Principal]]-Table1[[#This Row],[Estimated Loss]]</f>
        <v>0</v>
      </c>
      <c r="N197" s="3">
        <f>IFERROR(VLOOKUP(Table1[[#This Row],[Period]],$L$16:$M$385,2,FALSE),0)</f>
        <v>0</v>
      </c>
      <c r="O197" s="3">
        <f>Table1[[#This Row],[Beginning Balance]]-Table1[[#This Row],[Principal]]-Table1[[#This Row],[Prepayments]]-Table1[[#This Row],[Defaulted Principal]]</f>
        <v>0</v>
      </c>
      <c r="P197" s="3">
        <f>Table1[[#This Row],[Principal]]+Table1[[#This Row],[Interest]]+Table1[[#This Row],[Prepayments]]+Table1[[#This Row],[RecoveredAmount]]</f>
        <v>0</v>
      </c>
      <c r="Q197" s="3">
        <f ca="1">Table1[[#This Row],[Cash Flow]]/((1+ActualRateToUse)^(IF(ISNUMBER(SEARCH("Actual",$C$7)),Table1[[#This Row],[Running Total]]/365,Table1[[#This Row],[Period]]/12)))</f>
        <v>0</v>
      </c>
      <c r="R197" s="2">
        <f>IF(MONTH(Table1[[#This Row],[Date]])=2,28,DAY(DATE(YEAR(Table1[[#This Row],[Date]]),MONTH(Table1[[#This Row],[Date]])+1,1)-1))</f>
        <v>31</v>
      </c>
      <c r="S197" s="2">
        <f ca="1">SUM(OFFSET(Table1[[#Headers],[Days in month]],1,0):Table1[[#This Row],[Days in month]])</f>
        <v>5506</v>
      </c>
      <c r="T197" s="37">
        <f>InterestRate*AmortizationMultiplier*IF(ISNUMBER(SEARCH("Actual",$C$7)),Table1[[#This Row],[Days in month]]/365,1/12)</f>
        <v>6.0708333333333326E-3</v>
      </c>
    </row>
    <row r="198" spans="2:20" x14ac:dyDescent="0.2">
      <c r="B198" s="1">
        <f t="shared" si="8"/>
        <v>51379</v>
      </c>
      <c r="C198" s="2">
        <f t="shared" si="9"/>
        <v>182</v>
      </c>
      <c r="D198" s="3">
        <f t="shared" si="11"/>
        <v>0</v>
      </c>
      <c r="E198" s="3">
        <f>ROUND(Table1[[#This Row],[Beginning Balance]]*Table1[[#This Row],[Monthly Interest Rate]],2)</f>
        <v>0</v>
      </c>
      <c r="F198" s="3">
        <f t="shared" si="10"/>
        <v>170</v>
      </c>
      <c r="G198" s="23">
        <f>IFERROR(IF($C$13="No","N/A",IF(Table1[[#This Row],[Period]]=1,$C$6,PMT(InterestRate*AmortizationMultiplier/12,Table1[[#This Row],[Am Thru]],-Table1[[#This Row],[Beginning Balance]]))),0)</f>
        <v>0</v>
      </c>
      <c r="H198" s="3">
        <f>MAX(0,IF(C198=$C$4,D198,ROUND(IF($C$3="Fixed Principal",$C$6-Table1[[#This Row],[Interest]],IF($C$3="Interest Only",Table1[[#This Row],[Beginning Balance]]*ROUND(1-(1-IF($C$11="No",$E$8,1))^(1/12),6),MIN(IF($C$13="Yes",Table1[[#This Row],[Payment Amount (Reamortized)]],$C$6)-Table1[[#This Row],[Interest]],Table1[[#This Row],[Beginning Balance]]))),2)))</f>
        <v>0</v>
      </c>
      <c r="I198" s="3">
        <f>_xlfn.SINGLE(IF($C$3="Line of Credit",0,ROUND(MAX(MIN(IF($C$10="No",$E$7,VLOOKUP(Table1[[#This Row],[Period]],Forecast!$H$2:$L$1048576,4,FALSE))*Table1[[#This Row],[Beginning Balance]],Table1[[#This Row],[Beginning Balance]]-Table1[[#This Row],[Principal]]),0),2)))</f>
        <v>0</v>
      </c>
      <c r="J198" s="3">
        <f>ROUND(MIN(Table1[[#This Row],[Beginning Balance]]*IF($C$8="No",$E$3,VLOOKUP(Table1[[#This Row],[Period]],Forecast!$H$2:$L$1048576,2,FALSE)),Table1[[#This Row],[Beginning Balance]]-Table1[[#This Row],[Principal]]-Table1[[#This Row],[Prepayments]]),2)</f>
        <v>0</v>
      </c>
      <c r="K198" s="3">
        <f>ROUND(Table1[[#This Row],[Defaulted Principal]]*IF($C$9="No",$E$4,VLOOKUP(Table1[[#This Row],[Period]],Forecast!$H$2:$L$1048576,3,FALSE)),2)</f>
        <v>0</v>
      </c>
      <c r="L198" s="2">
        <f>Table1[[#This Row],[Period]]+$E$9</f>
        <v>194</v>
      </c>
      <c r="M198" s="3">
        <f>Table1[[#This Row],[Defaulted Principal]]-Table1[[#This Row],[Estimated Loss]]</f>
        <v>0</v>
      </c>
      <c r="N198" s="3">
        <f>IFERROR(VLOOKUP(Table1[[#This Row],[Period]],$L$16:$M$385,2,FALSE),0)</f>
        <v>0</v>
      </c>
      <c r="O198" s="3">
        <f>Table1[[#This Row],[Beginning Balance]]-Table1[[#This Row],[Principal]]-Table1[[#This Row],[Prepayments]]-Table1[[#This Row],[Defaulted Principal]]</f>
        <v>0</v>
      </c>
      <c r="P198" s="3">
        <f>Table1[[#This Row],[Principal]]+Table1[[#This Row],[Interest]]+Table1[[#This Row],[Prepayments]]+Table1[[#This Row],[RecoveredAmount]]</f>
        <v>0</v>
      </c>
      <c r="Q198" s="3">
        <f ca="1">Table1[[#This Row],[Cash Flow]]/((1+ActualRateToUse)^(IF(ISNUMBER(SEARCH("Actual",$C$7)),Table1[[#This Row],[Running Total]]/365,Table1[[#This Row],[Period]]/12)))</f>
        <v>0</v>
      </c>
      <c r="R198" s="2">
        <f>IF(MONTH(Table1[[#This Row],[Date]])=2,28,DAY(DATE(YEAR(Table1[[#This Row],[Date]]),MONTH(Table1[[#This Row],[Date]])+1,1)-1))</f>
        <v>31</v>
      </c>
      <c r="S198" s="2">
        <f ca="1">SUM(OFFSET(Table1[[#Headers],[Days in month]],1,0):Table1[[#This Row],[Days in month]])</f>
        <v>5537</v>
      </c>
      <c r="T198" s="37">
        <f>InterestRate*AmortizationMultiplier*IF(ISNUMBER(SEARCH("Actual",$C$7)),Table1[[#This Row],[Days in month]]/365,1/12)</f>
        <v>6.0708333333333326E-3</v>
      </c>
    </row>
    <row r="199" spans="2:20" x14ac:dyDescent="0.2">
      <c r="B199" s="1">
        <f t="shared" si="8"/>
        <v>51409</v>
      </c>
      <c r="C199" s="2">
        <f t="shared" si="9"/>
        <v>183</v>
      </c>
      <c r="D199" s="3">
        <f t="shared" si="11"/>
        <v>0</v>
      </c>
      <c r="E199" s="3">
        <f>ROUND(Table1[[#This Row],[Beginning Balance]]*Table1[[#This Row],[Monthly Interest Rate]],2)</f>
        <v>0</v>
      </c>
      <c r="F199" s="3">
        <f t="shared" si="10"/>
        <v>169</v>
      </c>
      <c r="G199" s="23">
        <f>IFERROR(IF($C$13="No","N/A",IF(Table1[[#This Row],[Period]]=1,$C$6,PMT(InterestRate*AmortizationMultiplier/12,Table1[[#This Row],[Am Thru]],-Table1[[#This Row],[Beginning Balance]]))),0)</f>
        <v>0</v>
      </c>
      <c r="H199" s="3">
        <f>MAX(0,IF(C199=$C$4,D199,ROUND(IF($C$3="Fixed Principal",$C$6-Table1[[#This Row],[Interest]],IF($C$3="Interest Only",Table1[[#This Row],[Beginning Balance]]*ROUND(1-(1-IF($C$11="No",$E$8,1))^(1/12),6),MIN(IF($C$13="Yes",Table1[[#This Row],[Payment Amount (Reamortized)]],$C$6)-Table1[[#This Row],[Interest]],Table1[[#This Row],[Beginning Balance]]))),2)))</f>
        <v>0</v>
      </c>
      <c r="I199" s="3">
        <f>_xlfn.SINGLE(IF($C$3="Line of Credit",0,ROUND(MAX(MIN(IF($C$10="No",$E$7,VLOOKUP(Table1[[#This Row],[Period]],Forecast!$H$2:$L$1048576,4,FALSE))*Table1[[#This Row],[Beginning Balance]],Table1[[#This Row],[Beginning Balance]]-Table1[[#This Row],[Principal]]),0),2)))</f>
        <v>0</v>
      </c>
      <c r="J199" s="3">
        <f>ROUND(MIN(Table1[[#This Row],[Beginning Balance]]*IF($C$8="No",$E$3,VLOOKUP(Table1[[#This Row],[Period]],Forecast!$H$2:$L$1048576,2,FALSE)),Table1[[#This Row],[Beginning Balance]]-Table1[[#This Row],[Principal]]-Table1[[#This Row],[Prepayments]]),2)</f>
        <v>0</v>
      </c>
      <c r="K199" s="3">
        <f>ROUND(Table1[[#This Row],[Defaulted Principal]]*IF($C$9="No",$E$4,VLOOKUP(Table1[[#This Row],[Period]],Forecast!$H$2:$L$1048576,3,FALSE)),2)</f>
        <v>0</v>
      </c>
      <c r="L199" s="2">
        <f>Table1[[#This Row],[Period]]+$E$9</f>
        <v>195</v>
      </c>
      <c r="M199" s="3">
        <f>Table1[[#This Row],[Defaulted Principal]]-Table1[[#This Row],[Estimated Loss]]</f>
        <v>0</v>
      </c>
      <c r="N199" s="3">
        <f>IFERROR(VLOOKUP(Table1[[#This Row],[Period]],$L$16:$M$385,2,FALSE),0)</f>
        <v>0</v>
      </c>
      <c r="O199" s="3">
        <f>Table1[[#This Row],[Beginning Balance]]-Table1[[#This Row],[Principal]]-Table1[[#This Row],[Prepayments]]-Table1[[#This Row],[Defaulted Principal]]</f>
        <v>0</v>
      </c>
      <c r="P199" s="3">
        <f>Table1[[#This Row],[Principal]]+Table1[[#This Row],[Interest]]+Table1[[#This Row],[Prepayments]]+Table1[[#This Row],[RecoveredAmount]]</f>
        <v>0</v>
      </c>
      <c r="Q199" s="3">
        <f ca="1">Table1[[#This Row],[Cash Flow]]/((1+ActualRateToUse)^(IF(ISNUMBER(SEARCH("Actual",$C$7)),Table1[[#This Row],[Running Total]]/365,Table1[[#This Row],[Period]]/12)))</f>
        <v>0</v>
      </c>
      <c r="R199" s="2">
        <f>IF(MONTH(Table1[[#This Row],[Date]])=2,28,DAY(DATE(YEAR(Table1[[#This Row],[Date]]),MONTH(Table1[[#This Row],[Date]])+1,1)-1))</f>
        <v>30</v>
      </c>
      <c r="S199" s="2">
        <f ca="1">SUM(OFFSET(Table1[[#Headers],[Days in month]],1,0):Table1[[#This Row],[Days in month]])</f>
        <v>5567</v>
      </c>
      <c r="T199" s="37">
        <f>InterestRate*AmortizationMultiplier*IF(ISNUMBER(SEARCH("Actual",$C$7)),Table1[[#This Row],[Days in month]]/365,1/12)</f>
        <v>5.8749999999999991E-3</v>
      </c>
    </row>
    <row r="200" spans="2:20" x14ac:dyDescent="0.2">
      <c r="B200" s="1">
        <f t="shared" si="8"/>
        <v>51440</v>
      </c>
      <c r="C200" s="2">
        <f t="shared" si="9"/>
        <v>184</v>
      </c>
      <c r="D200" s="3">
        <f t="shared" si="11"/>
        <v>0</v>
      </c>
      <c r="E200" s="3">
        <f>ROUND(Table1[[#This Row],[Beginning Balance]]*Table1[[#This Row],[Monthly Interest Rate]],2)</f>
        <v>0</v>
      </c>
      <c r="F200" s="3">
        <f t="shared" si="10"/>
        <v>168</v>
      </c>
      <c r="G200" s="23">
        <f>IFERROR(IF($C$13="No","N/A",IF(Table1[[#This Row],[Period]]=1,$C$6,PMT(InterestRate*AmortizationMultiplier/12,Table1[[#This Row],[Am Thru]],-Table1[[#This Row],[Beginning Balance]]))),0)</f>
        <v>0</v>
      </c>
      <c r="H200" s="3">
        <f>MAX(0,IF(C200=$C$4,D200,ROUND(IF($C$3="Fixed Principal",$C$6-Table1[[#This Row],[Interest]],IF($C$3="Interest Only",Table1[[#This Row],[Beginning Balance]]*ROUND(1-(1-IF($C$11="No",$E$8,1))^(1/12),6),MIN(IF($C$13="Yes",Table1[[#This Row],[Payment Amount (Reamortized)]],$C$6)-Table1[[#This Row],[Interest]],Table1[[#This Row],[Beginning Balance]]))),2)))</f>
        <v>0</v>
      </c>
      <c r="I200" s="3">
        <f>_xlfn.SINGLE(IF($C$3="Line of Credit",0,ROUND(MAX(MIN(IF($C$10="No",$E$7,VLOOKUP(Table1[[#This Row],[Period]],Forecast!$H$2:$L$1048576,4,FALSE))*Table1[[#This Row],[Beginning Balance]],Table1[[#This Row],[Beginning Balance]]-Table1[[#This Row],[Principal]]),0),2)))</f>
        <v>0</v>
      </c>
      <c r="J200" s="3">
        <f>ROUND(MIN(Table1[[#This Row],[Beginning Balance]]*IF($C$8="No",$E$3,VLOOKUP(Table1[[#This Row],[Period]],Forecast!$H$2:$L$1048576,2,FALSE)),Table1[[#This Row],[Beginning Balance]]-Table1[[#This Row],[Principal]]-Table1[[#This Row],[Prepayments]]),2)</f>
        <v>0</v>
      </c>
      <c r="K200" s="3">
        <f>ROUND(Table1[[#This Row],[Defaulted Principal]]*IF($C$9="No",$E$4,VLOOKUP(Table1[[#This Row],[Period]],Forecast!$H$2:$L$1048576,3,FALSE)),2)</f>
        <v>0</v>
      </c>
      <c r="L200" s="2">
        <f>Table1[[#This Row],[Period]]+$E$9</f>
        <v>196</v>
      </c>
      <c r="M200" s="3">
        <f>Table1[[#This Row],[Defaulted Principal]]-Table1[[#This Row],[Estimated Loss]]</f>
        <v>0</v>
      </c>
      <c r="N200" s="3">
        <f>IFERROR(VLOOKUP(Table1[[#This Row],[Period]],$L$16:$M$385,2,FALSE),0)</f>
        <v>0</v>
      </c>
      <c r="O200" s="3">
        <f>Table1[[#This Row],[Beginning Balance]]-Table1[[#This Row],[Principal]]-Table1[[#This Row],[Prepayments]]-Table1[[#This Row],[Defaulted Principal]]</f>
        <v>0</v>
      </c>
      <c r="P200" s="3">
        <f>Table1[[#This Row],[Principal]]+Table1[[#This Row],[Interest]]+Table1[[#This Row],[Prepayments]]+Table1[[#This Row],[RecoveredAmount]]</f>
        <v>0</v>
      </c>
      <c r="Q200" s="3">
        <f ca="1">Table1[[#This Row],[Cash Flow]]/((1+ActualRateToUse)^(IF(ISNUMBER(SEARCH("Actual",$C$7)),Table1[[#This Row],[Running Total]]/365,Table1[[#This Row],[Period]]/12)))</f>
        <v>0</v>
      </c>
      <c r="R200" s="2">
        <f>IF(MONTH(Table1[[#This Row],[Date]])=2,28,DAY(DATE(YEAR(Table1[[#This Row],[Date]]),MONTH(Table1[[#This Row],[Date]])+1,1)-1))</f>
        <v>31</v>
      </c>
      <c r="S200" s="2">
        <f ca="1">SUM(OFFSET(Table1[[#Headers],[Days in month]],1,0):Table1[[#This Row],[Days in month]])</f>
        <v>5598</v>
      </c>
      <c r="T200" s="37">
        <f>InterestRate*AmortizationMultiplier*IF(ISNUMBER(SEARCH("Actual",$C$7)),Table1[[#This Row],[Days in month]]/365,1/12)</f>
        <v>6.0708333333333326E-3</v>
      </c>
    </row>
    <row r="201" spans="2:20" x14ac:dyDescent="0.2">
      <c r="B201" s="1">
        <f t="shared" si="8"/>
        <v>51470</v>
      </c>
      <c r="C201" s="2">
        <f t="shared" si="9"/>
        <v>185</v>
      </c>
      <c r="D201" s="3">
        <f t="shared" si="11"/>
        <v>0</v>
      </c>
      <c r="E201" s="3">
        <f>ROUND(Table1[[#This Row],[Beginning Balance]]*Table1[[#This Row],[Monthly Interest Rate]],2)</f>
        <v>0</v>
      </c>
      <c r="F201" s="3">
        <f t="shared" si="10"/>
        <v>167</v>
      </c>
      <c r="G201" s="23">
        <f>IFERROR(IF($C$13="No","N/A",IF(Table1[[#This Row],[Period]]=1,$C$6,PMT(InterestRate*AmortizationMultiplier/12,Table1[[#This Row],[Am Thru]],-Table1[[#This Row],[Beginning Balance]]))),0)</f>
        <v>0</v>
      </c>
      <c r="H201" s="3">
        <f>MAX(0,IF(C201=$C$4,D201,ROUND(IF($C$3="Fixed Principal",$C$6-Table1[[#This Row],[Interest]],IF($C$3="Interest Only",Table1[[#This Row],[Beginning Balance]]*ROUND(1-(1-IF($C$11="No",$E$8,1))^(1/12),6),MIN(IF($C$13="Yes",Table1[[#This Row],[Payment Amount (Reamortized)]],$C$6)-Table1[[#This Row],[Interest]],Table1[[#This Row],[Beginning Balance]]))),2)))</f>
        <v>0</v>
      </c>
      <c r="I201" s="3">
        <f>_xlfn.SINGLE(IF($C$3="Line of Credit",0,ROUND(MAX(MIN(IF($C$10="No",$E$7,VLOOKUP(Table1[[#This Row],[Period]],Forecast!$H$2:$L$1048576,4,FALSE))*Table1[[#This Row],[Beginning Balance]],Table1[[#This Row],[Beginning Balance]]-Table1[[#This Row],[Principal]]),0),2)))</f>
        <v>0</v>
      </c>
      <c r="J201" s="3">
        <f>ROUND(MIN(Table1[[#This Row],[Beginning Balance]]*IF($C$8="No",$E$3,VLOOKUP(Table1[[#This Row],[Period]],Forecast!$H$2:$L$1048576,2,FALSE)),Table1[[#This Row],[Beginning Balance]]-Table1[[#This Row],[Principal]]-Table1[[#This Row],[Prepayments]]),2)</f>
        <v>0</v>
      </c>
      <c r="K201" s="3">
        <f>ROUND(Table1[[#This Row],[Defaulted Principal]]*IF($C$9="No",$E$4,VLOOKUP(Table1[[#This Row],[Period]],Forecast!$H$2:$L$1048576,3,FALSE)),2)</f>
        <v>0</v>
      </c>
      <c r="L201" s="2">
        <f>Table1[[#This Row],[Period]]+$E$9</f>
        <v>197</v>
      </c>
      <c r="M201" s="3">
        <f>Table1[[#This Row],[Defaulted Principal]]-Table1[[#This Row],[Estimated Loss]]</f>
        <v>0</v>
      </c>
      <c r="N201" s="3">
        <f>IFERROR(VLOOKUP(Table1[[#This Row],[Period]],$L$16:$M$385,2,FALSE),0)</f>
        <v>0</v>
      </c>
      <c r="O201" s="3">
        <f>Table1[[#This Row],[Beginning Balance]]-Table1[[#This Row],[Principal]]-Table1[[#This Row],[Prepayments]]-Table1[[#This Row],[Defaulted Principal]]</f>
        <v>0</v>
      </c>
      <c r="P201" s="3">
        <f>Table1[[#This Row],[Principal]]+Table1[[#This Row],[Interest]]+Table1[[#This Row],[Prepayments]]+Table1[[#This Row],[RecoveredAmount]]</f>
        <v>0</v>
      </c>
      <c r="Q201" s="3">
        <f ca="1">Table1[[#This Row],[Cash Flow]]/((1+ActualRateToUse)^(IF(ISNUMBER(SEARCH("Actual",$C$7)),Table1[[#This Row],[Running Total]]/365,Table1[[#This Row],[Period]]/12)))</f>
        <v>0</v>
      </c>
      <c r="R201" s="2">
        <f>IF(MONTH(Table1[[#This Row],[Date]])=2,28,DAY(DATE(YEAR(Table1[[#This Row],[Date]]),MONTH(Table1[[#This Row],[Date]])+1,1)-1))</f>
        <v>30</v>
      </c>
      <c r="S201" s="2">
        <f ca="1">SUM(OFFSET(Table1[[#Headers],[Days in month]],1,0):Table1[[#This Row],[Days in month]])</f>
        <v>5628</v>
      </c>
      <c r="T201" s="37">
        <f>InterestRate*AmortizationMultiplier*IF(ISNUMBER(SEARCH("Actual",$C$7)),Table1[[#This Row],[Days in month]]/365,1/12)</f>
        <v>5.8749999999999991E-3</v>
      </c>
    </row>
    <row r="202" spans="2:20" x14ac:dyDescent="0.2">
      <c r="B202" s="1">
        <f t="shared" si="8"/>
        <v>51501</v>
      </c>
      <c r="C202" s="2">
        <f t="shared" si="9"/>
        <v>186</v>
      </c>
      <c r="D202" s="3">
        <f t="shared" si="11"/>
        <v>0</v>
      </c>
      <c r="E202" s="3">
        <f>ROUND(Table1[[#This Row],[Beginning Balance]]*Table1[[#This Row],[Monthly Interest Rate]],2)</f>
        <v>0</v>
      </c>
      <c r="F202" s="3">
        <f t="shared" si="10"/>
        <v>166</v>
      </c>
      <c r="G202" s="23">
        <f>IFERROR(IF($C$13="No","N/A",IF(Table1[[#This Row],[Period]]=1,$C$6,PMT(InterestRate*AmortizationMultiplier/12,Table1[[#This Row],[Am Thru]],-Table1[[#This Row],[Beginning Balance]]))),0)</f>
        <v>0</v>
      </c>
      <c r="H202" s="3">
        <f>MAX(0,IF(C202=$C$4,D202,ROUND(IF($C$3="Fixed Principal",$C$6-Table1[[#This Row],[Interest]],IF($C$3="Interest Only",Table1[[#This Row],[Beginning Balance]]*ROUND(1-(1-IF($C$11="No",$E$8,1))^(1/12),6),MIN(IF($C$13="Yes",Table1[[#This Row],[Payment Amount (Reamortized)]],$C$6)-Table1[[#This Row],[Interest]],Table1[[#This Row],[Beginning Balance]]))),2)))</f>
        <v>0</v>
      </c>
      <c r="I202" s="3">
        <f>_xlfn.SINGLE(IF($C$3="Line of Credit",0,ROUND(MAX(MIN(IF($C$10="No",$E$7,VLOOKUP(Table1[[#This Row],[Period]],Forecast!$H$2:$L$1048576,4,FALSE))*Table1[[#This Row],[Beginning Balance]],Table1[[#This Row],[Beginning Balance]]-Table1[[#This Row],[Principal]]),0),2)))</f>
        <v>0</v>
      </c>
      <c r="J202" s="3">
        <f>ROUND(MIN(Table1[[#This Row],[Beginning Balance]]*IF($C$8="No",$E$3,VLOOKUP(Table1[[#This Row],[Period]],Forecast!$H$2:$L$1048576,2,FALSE)),Table1[[#This Row],[Beginning Balance]]-Table1[[#This Row],[Principal]]-Table1[[#This Row],[Prepayments]]),2)</f>
        <v>0</v>
      </c>
      <c r="K202" s="3">
        <f>ROUND(Table1[[#This Row],[Defaulted Principal]]*IF($C$9="No",$E$4,VLOOKUP(Table1[[#This Row],[Period]],Forecast!$H$2:$L$1048576,3,FALSE)),2)</f>
        <v>0</v>
      </c>
      <c r="L202" s="2">
        <f>Table1[[#This Row],[Period]]+$E$9</f>
        <v>198</v>
      </c>
      <c r="M202" s="3">
        <f>Table1[[#This Row],[Defaulted Principal]]-Table1[[#This Row],[Estimated Loss]]</f>
        <v>0</v>
      </c>
      <c r="N202" s="3">
        <f>IFERROR(VLOOKUP(Table1[[#This Row],[Period]],$L$16:$M$385,2,FALSE),0)</f>
        <v>0</v>
      </c>
      <c r="O202" s="3">
        <f>Table1[[#This Row],[Beginning Balance]]-Table1[[#This Row],[Principal]]-Table1[[#This Row],[Prepayments]]-Table1[[#This Row],[Defaulted Principal]]</f>
        <v>0</v>
      </c>
      <c r="P202" s="3">
        <f>Table1[[#This Row],[Principal]]+Table1[[#This Row],[Interest]]+Table1[[#This Row],[Prepayments]]+Table1[[#This Row],[RecoveredAmount]]</f>
        <v>0</v>
      </c>
      <c r="Q202" s="3">
        <f ca="1">Table1[[#This Row],[Cash Flow]]/((1+ActualRateToUse)^(IF(ISNUMBER(SEARCH("Actual",$C$7)),Table1[[#This Row],[Running Total]]/365,Table1[[#This Row],[Period]]/12)))</f>
        <v>0</v>
      </c>
      <c r="R202" s="2">
        <f>IF(MONTH(Table1[[#This Row],[Date]])=2,28,DAY(DATE(YEAR(Table1[[#This Row],[Date]]),MONTH(Table1[[#This Row],[Date]])+1,1)-1))</f>
        <v>31</v>
      </c>
      <c r="S202" s="2">
        <f ca="1">SUM(OFFSET(Table1[[#Headers],[Days in month]],1,0):Table1[[#This Row],[Days in month]])</f>
        <v>5659</v>
      </c>
      <c r="T202" s="37">
        <f>InterestRate*AmortizationMultiplier*IF(ISNUMBER(SEARCH("Actual",$C$7)),Table1[[#This Row],[Days in month]]/365,1/12)</f>
        <v>6.0708333333333326E-3</v>
      </c>
    </row>
    <row r="203" spans="2:20" x14ac:dyDescent="0.2">
      <c r="B203" s="1">
        <f t="shared" si="8"/>
        <v>51532</v>
      </c>
      <c r="C203" s="2">
        <f t="shared" si="9"/>
        <v>187</v>
      </c>
      <c r="D203" s="3">
        <f t="shared" si="11"/>
        <v>0</v>
      </c>
      <c r="E203" s="3">
        <f>ROUND(Table1[[#This Row],[Beginning Balance]]*Table1[[#This Row],[Monthly Interest Rate]],2)</f>
        <v>0</v>
      </c>
      <c r="F203" s="3">
        <f t="shared" si="10"/>
        <v>165</v>
      </c>
      <c r="G203" s="23">
        <f>IFERROR(IF($C$13="No","N/A",IF(Table1[[#This Row],[Period]]=1,$C$6,PMT(InterestRate*AmortizationMultiplier/12,Table1[[#This Row],[Am Thru]],-Table1[[#This Row],[Beginning Balance]]))),0)</f>
        <v>0</v>
      </c>
      <c r="H203" s="3">
        <f>MAX(0,IF(C203=$C$4,D203,ROUND(IF($C$3="Fixed Principal",$C$6-Table1[[#This Row],[Interest]],IF($C$3="Interest Only",Table1[[#This Row],[Beginning Balance]]*ROUND(1-(1-IF($C$11="No",$E$8,1))^(1/12),6),MIN(IF($C$13="Yes",Table1[[#This Row],[Payment Amount (Reamortized)]],$C$6)-Table1[[#This Row],[Interest]],Table1[[#This Row],[Beginning Balance]]))),2)))</f>
        <v>0</v>
      </c>
      <c r="I203" s="3">
        <f>_xlfn.SINGLE(IF($C$3="Line of Credit",0,ROUND(MAX(MIN(IF($C$10="No",$E$7,VLOOKUP(Table1[[#This Row],[Period]],Forecast!$H$2:$L$1048576,4,FALSE))*Table1[[#This Row],[Beginning Balance]],Table1[[#This Row],[Beginning Balance]]-Table1[[#This Row],[Principal]]),0),2)))</f>
        <v>0</v>
      </c>
      <c r="J203" s="3">
        <f>ROUND(MIN(Table1[[#This Row],[Beginning Balance]]*IF($C$8="No",$E$3,VLOOKUP(Table1[[#This Row],[Period]],Forecast!$H$2:$L$1048576,2,FALSE)),Table1[[#This Row],[Beginning Balance]]-Table1[[#This Row],[Principal]]-Table1[[#This Row],[Prepayments]]),2)</f>
        <v>0</v>
      </c>
      <c r="K203" s="3">
        <f>ROUND(Table1[[#This Row],[Defaulted Principal]]*IF($C$9="No",$E$4,VLOOKUP(Table1[[#This Row],[Period]],Forecast!$H$2:$L$1048576,3,FALSE)),2)</f>
        <v>0</v>
      </c>
      <c r="L203" s="2">
        <f>Table1[[#This Row],[Period]]+$E$9</f>
        <v>199</v>
      </c>
      <c r="M203" s="3">
        <f>Table1[[#This Row],[Defaulted Principal]]-Table1[[#This Row],[Estimated Loss]]</f>
        <v>0</v>
      </c>
      <c r="N203" s="3">
        <f>IFERROR(VLOOKUP(Table1[[#This Row],[Period]],$L$16:$M$385,2,FALSE),0)</f>
        <v>0</v>
      </c>
      <c r="O203" s="3">
        <f>Table1[[#This Row],[Beginning Balance]]-Table1[[#This Row],[Principal]]-Table1[[#This Row],[Prepayments]]-Table1[[#This Row],[Defaulted Principal]]</f>
        <v>0</v>
      </c>
      <c r="P203" s="3">
        <f>Table1[[#This Row],[Principal]]+Table1[[#This Row],[Interest]]+Table1[[#This Row],[Prepayments]]+Table1[[#This Row],[RecoveredAmount]]</f>
        <v>0</v>
      </c>
      <c r="Q203" s="3">
        <f ca="1">Table1[[#This Row],[Cash Flow]]/((1+ActualRateToUse)^(IF(ISNUMBER(SEARCH("Actual",$C$7)),Table1[[#This Row],[Running Total]]/365,Table1[[#This Row],[Period]]/12)))</f>
        <v>0</v>
      </c>
      <c r="R203" s="2">
        <f>IF(MONTH(Table1[[#This Row],[Date]])=2,28,DAY(DATE(YEAR(Table1[[#This Row],[Date]]),MONTH(Table1[[#This Row],[Date]])+1,1)-1))</f>
        <v>31</v>
      </c>
      <c r="S203" s="2">
        <f ca="1">SUM(OFFSET(Table1[[#Headers],[Days in month]],1,0):Table1[[#This Row],[Days in month]])</f>
        <v>5690</v>
      </c>
      <c r="T203" s="37">
        <f>InterestRate*AmortizationMultiplier*IF(ISNUMBER(SEARCH("Actual",$C$7)),Table1[[#This Row],[Days in month]]/365,1/12)</f>
        <v>6.0708333333333326E-3</v>
      </c>
    </row>
    <row r="204" spans="2:20" x14ac:dyDescent="0.2">
      <c r="B204" s="1">
        <f t="shared" si="8"/>
        <v>51560</v>
      </c>
      <c r="C204" s="2">
        <f t="shared" si="9"/>
        <v>188</v>
      </c>
      <c r="D204" s="3">
        <f t="shared" si="11"/>
        <v>0</v>
      </c>
      <c r="E204" s="3">
        <f>ROUND(Table1[[#This Row],[Beginning Balance]]*Table1[[#This Row],[Monthly Interest Rate]],2)</f>
        <v>0</v>
      </c>
      <c r="F204" s="3">
        <f t="shared" si="10"/>
        <v>164</v>
      </c>
      <c r="G204" s="23">
        <f>IFERROR(IF($C$13="No","N/A",IF(Table1[[#This Row],[Period]]=1,$C$6,PMT(InterestRate*AmortizationMultiplier/12,Table1[[#This Row],[Am Thru]],-Table1[[#This Row],[Beginning Balance]]))),0)</f>
        <v>0</v>
      </c>
      <c r="H204" s="3">
        <f>MAX(0,IF(C204=$C$4,D204,ROUND(IF($C$3="Fixed Principal",$C$6-Table1[[#This Row],[Interest]],IF($C$3="Interest Only",Table1[[#This Row],[Beginning Balance]]*ROUND(1-(1-IF($C$11="No",$E$8,1))^(1/12),6),MIN(IF($C$13="Yes",Table1[[#This Row],[Payment Amount (Reamortized)]],$C$6)-Table1[[#This Row],[Interest]],Table1[[#This Row],[Beginning Balance]]))),2)))</f>
        <v>0</v>
      </c>
      <c r="I204" s="3">
        <f>_xlfn.SINGLE(IF($C$3="Line of Credit",0,ROUND(MAX(MIN(IF($C$10="No",$E$7,VLOOKUP(Table1[[#This Row],[Period]],Forecast!$H$2:$L$1048576,4,FALSE))*Table1[[#This Row],[Beginning Balance]],Table1[[#This Row],[Beginning Balance]]-Table1[[#This Row],[Principal]]),0),2)))</f>
        <v>0</v>
      </c>
      <c r="J204" s="3">
        <f>ROUND(MIN(Table1[[#This Row],[Beginning Balance]]*IF($C$8="No",$E$3,VLOOKUP(Table1[[#This Row],[Period]],Forecast!$H$2:$L$1048576,2,FALSE)),Table1[[#This Row],[Beginning Balance]]-Table1[[#This Row],[Principal]]-Table1[[#This Row],[Prepayments]]),2)</f>
        <v>0</v>
      </c>
      <c r="K204" s="3">
        <f>ROUND(Table1[[#This Row],[Defaulted Principal]]*IF($C$9="No",$E$4,VLOOKUP(Table1[[#This Row],[Period]],Forecast!$H$2:$L$1048576,3,FALSE)),2)</f>
        <v>0</v>
      </c>
      <c r="L204" s="2">
        <f>Table1[[#This Row],[Period]]+$E$9</f>
        <v>200</v>
      </c>
      <c r="M204" s="3">
        <f>Table1[[#This Row],[Defaulted Principal]]-Table1[[#This Row],[Estimated Loss]]</f>
        <v>0</v>
      </c>
      <c r="N204" s="3">
        <f>IFERROR(VLOOKUP(Table1[[#This Row],[Period]],$L$16:$M$385,2,FALSE),0)</f>
        <v>0</v>
      </c>
      <c r="O204" s="3">
        <f>Table1[[#This Row],[Beginning Balance]]-Table1[[#This Row],[Principal]]-Table1[[#This Row],[Prepayments]]-Table1[[#This Row],[Defaulted Principal]]</f>
        <v>0</v>
      </c>
      <c r="P204" s="3">
        <f>Table1[[#This Row],[Principal]]+Table1[[#This Row],[Interest]]+Table1[[#This Row],[Prepayments]]+Table1[[#This Row],[RecoveredAmount]]</f>
        <v>0</v>
      </c>
      <c r="Q204" s="3">
        <f ca="1">Table1[[#This Row],[Cash Flow]]/((1+ActualRateToUse)^(IF(ISNUMBER(SEARCH("Actual",$C$7)),Table1[[#This Row],[Running Total]]/365,Table1[[#This Row],[Period]]/12)))</f>
        <v>0</v>
      </c>
      <c r="R204" s="2">
        <f>IF(MONTH(Table1[[#This Row],[Date]])=2,28,DAY(DATE(YEAR(Table1[[#This Row],[Date]]),MONTH(Table1[[#This Row],[Date]])+1,1)-1))</f>
        <v>28</v>
      </c>
      <c r="S204" s="2">
        <f ca="1">SUM(OFFSET(Table1[[#Headers],[Days in month]],1,0):Table1[[#This Row],[Days in month]])</f>
        <v>5718</v>
      </c>
      <c r="T204" s="37">
        <f>InterestRate*AmortizationMultiplier*IF(ISNUMBER(SEARCH("Actual",$C$7)),Table1[[#This Row],[Days in month]]/365,1/12)</f>
        <v>5.4833333333333331E-3</v>
      </c>
    </row>
    <row r="205" spans="2:20" x14ac:dyDescent="0.2">
      <c r="B205" s="1">
        <f t="shared" si="8"/>
        <v>51591</v>
      </c>
      <c r="C205" s="2">
        <f t="shared" si="9"/>
        <v>189</v>
      </c>
      <c r="D205" s="3">
        <f t="shared" si="11"/>
        <v>0</v>
      </c>
      <c r="E205" s="3">
        <f>ROUND(Table1[[#This Row],[Beginning Balance]]*Table1[[#This Row],[Monthly Interest Rate]],2)</f>
        <v>0</v>
      </c>
      <c r="F205" s="3">
        <f t="shared" si="10"/>
        <v>163</v>
      </c>
      <c r="G205" s="23">
        <f>IFERROR(IF($C$13="No","N/A",IF(Table1[[#This Row],[Period]]=1,$C$6,PMT(InterestRate*AmortizationMultiplier/12,Table1[[#This Row],[Am Thru]],-Table1[[#This Row],[Beginning Balance]]))),0)</f>
        <v>0</v>
      </c>
      <c r="H205" s="3">
        <f>MAX(0,IF(C205=$C$4,D205,ROUND(IF($C$3="Fixed Principal",$C$6-Table1[[#This Row],[Interest]],IF($C$3="Interest Only",Table1[[#This Row],[Beginning Balance]]*ROUND(1-(1-IF($C$11="No",$E$8,1))^(1/12),6),MIN(IF($C$13="Yes",Table1[[#This Row],[Payment Amount (Reamortized)]],$C$6)-Table1[[#This Row],[Interest]],Table1[[#This Row],[Beginning Balance]]))),2)))</f>
        <v>0</v>
      </c>
      <c r="I205" s="3">
        <f>_xlfn.SINGLE(IF($C$3="Line of Credit",0,ROUND(MAX(MIN(IF($C$10="No",$E$7,VLOOKUP(Table1[[#This Row],[Period]],Forecast!$H$2:$L$1048576,4,FALSE))*Table1[[#This Row],[Beginning Balance]],Table1[[#This Row],[Beginning Balance]]-Table1[[#This Row],[Principal]]),0),2)))</f>
        <v>0</v>
      </c>
      <c r="J205" s="3">
        <f>ROUND(MIN(Table1[[#This Row],[Beginning Balance]]*IF($C$8="No",$E$3,VLOOKUP(Table1[[#This Row],[Period]],Forecast!$H$2:$L$1048576,2,FALSE)),Table1[[#This Row],[Beginning Balance]]-Table1[[#This Row],[Principal]]-Table1[[#This Row],[Prepayments]]),2)</f>
        <v>0</v>
      </c>
      <c r="K205" s="3">
        <f>ROUND(Table1[[#This Row],[Defaulted Principal]]*IF($C$9="No",$E$4,VLOOKUP(Table1[[#This Row],[Period]],Forecast!$H$2:$L$1048576,3,FALSE)),2)</f>
        <v>0</v>
      </c>
      <c r="L205" s="2">
        <f>Table1[[#This Row],[Period]]+$E$9</f>
        <v>201</v>
      </c>
      <c r="M205" s="3">
        <f>Table1[[#This Row],[Defaulted Principal]]-Table1[[#This Row],[Estimated Loss]]</f>
        <v>0</v>
      </c>
      <c r="N205" s="3">
        <f>IFERROR(VLOOKUP(Table1[[#This Row],[Period]],$L$16:$M$385,2,FALSE),0)</f>
        <v>0</v>
      </c>
      <c r="O205" s="3">
        <f>Table1[[#This Row],[Beginning Balance]]-Table1[[#This Row],[Principal]]-Table1[[#This Row],[Prepayments]]-Table1[[#This Row],[Defaulted Principal]]</f>
        <v>0</v>
      </c>
      <c r="P205" s="3">
        <f>Table1[[#This Row],[Principal]]+Table1[[#This Row],[Interest]]+Table1[[#This Row],[Prepayments]]+Table1[[#This Row],[RecoveredAmount]]</f>
        <v>0</v>
      </c>
      <c r="Q205" s="3">
        <f ca="1">Table1[[#This Row],[Cash Flow]]/((1+ActualRateToUse)^(IF(ISNUMBER(SEARCH("Actual",$C$7)),Table1[[#This Row],[Running Total]]/365,Table1[[#This Row],[Period]]/12)))</f>
        <v>0</v>
      </c>
      <c r="R205" s="2">
        <f>IF(MONTH(Table1[[#This Row],[Date]])=2,28,DAY(DATE(YEAR(Table1[[#This Row],[Date]]),MONTH(Table1[[#This Row],[Date]])+1,1)-1))</f>
        <v>31</v>
      </c>
      <c r="S205" s="2">
        <f ca="1">SUM(OFFSET(Table1[[#Headers],[Days in month]],1,0):Table1[[#This Row],[Days in month]])</f>
        <v>5749</v>
      </c>
      <c r="T205" s="37">
        <f>InterestRate*AmortizationMultiplier*IF(ISNUMBER(SEARCH("Actual",$C$7)),Table1[[#This Row],[Days in month]]/365,1/12)</f>
        <v>6.0708333333333326E-3</v>
      </c>
    </row>
    <row r="206" spans="2:20" x14ac:dyDescent="0.2">
      <c r="B206" s="1">
        <f t="shared" si="8"/>
        <v>51621</v>
      </c>
      <c r="C206" s="2">
        <f t="shared" si="9"/>
        <v>190</v>
      </c>
      <c r="D206" s="3">
        <f t="shared" si="11"/>
        <v>0</v>
      </c>
      <c r="E206" s="3">
        <f>ROUND(Table1[[#This Row],[Beginning Balance]]*Table1[[#This Row],[Monthly Interest Rate]],2)</f>
        <v>0</v>
      </c>
      <c r="F206" s="3">
        <f t="shared" si="10"/>
        <v>162</v>
      </c>
      <c r="G206" s="23">
        <f>IFERROR(IF($C$13="No","N/A",IF(Table1[[#This Row],[Period]]=1,$C$6,PMT(InterestRate*AmortizationMultiplier/12,Table1[[#This Row],[Am Thru]],-Table1[[#This Row],[Beginning Balance]]))),0)</f>
        <v>0</v>
      </c>
      <c r="H206" s="3">
        <f>MAX(0,IF(C206=$C$4,D206,ROUND(IF($C$3="Fixed Principal",$C$6-Table1[[#This Row],[Interest]],IF($C$3="Interest Only",Table1[[#This Row],[Beginning Balance]]*ROUND(1-(1-IF($C$11="No",$E$8,1))^(1/12),6),MIN(IF($C$13="Yes",Table1[[#This Row],[Payment Amount (Reamortized)]],$C$6)-Table1[[#This Row],[Interest]],Table1[[#This Row],[Beginning Balance]]))),2)))</f>
        <v>0</v>
      </c>
      <c r="I206" s="3">
        <f>_xlfn.SINGLE(IF($C$3="Line of Credit",0,ROUND(MAX(MIN(IF($C$10="No",$E$7,VLOOKUP(Table1[[#This Row],[Period]],Forecast!$H$2:$L$1048576,4,FALSE))*Table1[[#This Row],[Beginning Balance]],Table1[[#This Row],[Beginning Balance]]-Table1[[#This Row],[Principal]]),0),2)))</f>
        <v>0</v>
      </c>
      <c r="J206" s="3">
        <f>ROUND(MIN(Table1[[#This Row],[Beginning Balance]]*IF($C$8="No",$E$3,VLOOKUP(Table1[[#This Row],[Period]],Forecast!$H$2:$L$1048576,2,FALSE)),Table1[[#This Row],[Beginning Balance]]-Table1[[#This Row],[Principal]]-Table1[[#This Row],[Prepayments]]),2)</f>
        <v>0</v>
      </c>
      <c r="K206" s="3">
        <f>ROUND(Table1[[#This Row],[Defaulted Principal]]*IF($C$9="No",$E$4,VLOOKUP(Table1[[#This Row],[Period]],Forecast!$H$2:$L$1048576,3,FALSE)),2)</f>
        <v>0</v>
      </c>
      <c r="L206" s="2">
        <f>Table1[[#This Row],[Period]]+$E$9</f>
        <v>202</v>
      </c>
      <c r="M206" s="3">
        <f>Table1[[#This Row],[Defaulted Principal]]-Table1[[#This Row],[Estimated Loss]]</f>
        <v>0</v>
      </c>
      <c r="N206" s="3">
        <f>IFERROR(VLOOKUP(Table1[[#This Row],[Period]],$L$16:$M$385,2,FALSE),0)</f>
        <v>0</v>
      </c>
      <c r="O206" s="3">
        <f>Table1[[#This Row],[Beginning Balance]]-Table1[[#This Row],[Principal]]-Table1[[#This Row],[Prepayments]]-Table1[[#This Row],[Defaulted Principal]]</f>
        <v>0</v>
      </c>
      <c r="P206" s="3">
        <f>Table1[[#This Row],[Principal]]+Table1[[#This Row],[Interest]]+Table1[[#This Row],[Prepayments]]+Table1[[#This Row],[RecoveredAmount]]</f>
        <v>0</v>
      </c>
      <c r="Q206" s="3">
        <f ca="1">Table1[[#This Row],[Cash Flow]]/((1+ActualRateToUse)^(IF(ISNUMBER(SEARCH("Actual",$C$7)),Table1[[#This Row],[Running Total]]/365,Table1[[#This Row],[Period]]/12)))</f>
        <v>0</v>
      </c>
      <c r="R206" s="2">
        <f>IF(MONTH(Table1[[#This Row],[Date]])=2,28,DAY(DATE(YEAR(Table1[[#This Row],[Date]]),MONTH(Table1[[#This Row],[Date]])+1,1)-1))</f>
        <v>30</v>
      </c>
      <c r="S206" s="2">
        <f ca="1">SUM(OFFSET(Table1[[#Headers],[Days in month]],1,0):Table1[[#This Row],[Days in month]])</f>
        <v>5779</v>
      </c>
      <c r="T206" s="37">
        <f>InterestRate*AmortizationMultiplier*IF(ISNUMBER(SEARCH("Actual",$C$7)),Table1[[#This Row],[Days in month]]/365,1/12)</f>
        <v>5.8749999999999991E-3</v>
      </c>
    </row>
    <row r="207" spans="2:20" x14ac:dyDescent="0.2">
      <c r="B207" s="1">
        <f t="shared" si="8"/>
        <v>51652</v>
      </c>
      <c r="C207" s="2">
        <f t="shared" si="9"/>
        <v>191</v>
      </c>
      <c r="D207" s="3">
        <f t="shared" si="11"/>
        <v>0</v>
      </c>
      <c r="E207" s="3">
        <f>ROUND(Table1[[#This Row],[Beginning Balance]]*Table1[[#This Row],[Monthly Interest Rate]],2)</f>
        <v>0</v>
      </c>
      <c r="F207" s="3">
        <f t="shared" si="10"/>
        <v>161</v>
      </c>
      <c r="G207" s="23">
        <f>IFERROR(IF($C$13="No","N/A",IF(Table1[[#This Row],[Period]]=1,$C$6,PMT(InterestRate*AmortizationMultiplier/12,Table1[[#This Row],[Am Thru]],-Table1[[#This Row],[Beginning Balance]]))),0)</f>
        <v>0</v>
      </c>
      <c r="H207" s="3">
        <f>MAX(0,IF(C207=$C$4,D207,ROUND(IF($C$3="Fixed Principal",$C$6-Table1[[#This Row],[Interest]],IF($C$3="Interest Only",Table1[[#This Row],[Beginning Balance]]*ROUND(1-(1-IF($C$11="No",$E$8,1))^(1/12),6),MIN(IF($C$13="Yes",Table1[[#This Row],[Payment Amount (Reamortized)]],$C$6)-Table1[[#This Row],[Interest]],Table1[[#This Row],[Beginning Balance]]))),2)))</f>
        <v>0</v>
      </c>
      <c r="I207" s="3">
        <f>_xlfn.SINGLE(IF($C$3="Line of Credit",0,ROUND(MAX(MIN(IF($C$10="No",$E$7,VLOOKUP(Table1[[#This Row],[Period]],Forecast!$H$2:$L$1048576,4,FALSE))*Table1[[#This Row],[Beginning Balance]],Table1[[#This Row],[Beginning Balance]]-Table1[[#This Row],[Principal]]),0),2)))</f>
        <v>0</v>
      </c>
      <c r="J207" s="3">
        <f>ROUND(MIN(Table1[[#This Row],[Beginning Balance]]*IF($C$8="No",$E$3,VLOOKUP(Table1[[#This Row],[Period]],Forecast!$H$2:$L$1048576,2,FALSE)),Table1[[#This Row],[Beginning Balance]]-Table1[[#This Row],[Principal]]-Table1[[#This Row],[Prepayments]]),2)</f>
        <v>0</v>
      </c>
      <c r="K207" s="3">
        <f>ROUND(Table1[[#This Row],[Defaulted Principal]]*IF($C$9="No",$E$4,VLOOKUP(Table1[[#This Row],[Period]],Forecast!$H$2:$L$1048576,3,FALSE)),2)</f>
        <v>0</v>
      </c>
      <c r="L207" s="2">
        <f>Table1[[#This Row],[Period]]+$E$9</f>
        <v>203</v>
      </c>
      <c r="M207" s="3">
        <f>Table1[[#This Row],[Defaulted Principal]]-Table1[[#This Row],[Estimated Loss]]</f>
        <v>0</v>
      </c>
      <c r="N207" s="3">
        <f>IFERROR(VLOOKUP(Table1[[#This Row],[Period]],$L$16:$M$385,2,FALSE),0)</f>
        <v>0</v>
      </c>
      <c r="O207" s="3">
        <f>Table1[[#This Row],[Beginning Balance]]-Table1[[#This Row],[Principal]]-Table1[[#This Row],[Prepayments]]-Table1[[#This Row],[Defaulted Principal]]</f>
        <v>0</v>
      </c>
      <c r="P207" s="3">
        <f>Table1[[#This Row],[Principal]]+Table1[[#This Row],[Interest]]+Table1[[#This Row],[Prepayments]]+Table1[[#This Row],[RecoveredAmount]]</f>
        <v>0</v>
      </c>
      <c r="Q207" s="3">
        <f ca="1">Table1[[#This Row],[Cash Flow]]/((1+ActualRateToUse)^(IF(ISNUMBER(SEARCH("Actual",$C$7)),Table1[[#This Row],[Running Total]]/365,Table1[[#This Row],[Period]]/12)))</f>
        <v>0</v>
      </c>
      <c r="R207" s="2">
        <f>IF(MONTH(Table1[[#This Row],[Date]])=2,28,DAY(DATE(YEAR(Table1[[#This Row],[Date]]),MONTH(Table1[[#This Row],[Date]])+1,1)-1))</f>
        <v>31</v>
      </c>
      <c r="S207" s="2">
        <f ca="1">SUM(OFFSET(Table1[[#Headers],[Days in month]],1,0):Table1[[#This Row],[Days in month]])</f>
        <v>5810</v>
      </c>
      <c r="T207" s="37">
        <f>InterestRate*AmortizationMultiplier*IF(ISNUMBER(SEARCH("Actual",$C$7)),Table1[[#This Row],[Days in month]]/365,1/12)</f>
        <v>6.0708333333333326E-3</v>
      </c>
    </row>
    <row r="208" spans="2:20" x14ac:dyDescent="0.2">
      <c r="B208" s="1">
        <f t="shared" si="8"/>
        <v>51682</v>
      </c>
      <c r="C208" s="2">
        <f t="shared" si="9"/>
        <v>192</v>
      </c>
      <c r="D208" s="3">
        <f t="shared" si="11"/>
        <v>0</v>
      </c>
      <c r="E208" s="3">
        <f>ROUND(Table1[[#This Row],[Beginning Balance]]*Table1[[#This Row],[Monthly Interest Rate]],2)</f>
        <v>0</v>
      </c>
      <c r="F208" s="3">
        <f t="shared" si="10"/>
        <v>160</v>
      </c>
      <c r="G208" s="23">
        <f>IFERROR(IF($C$13="No","N/A",IF(Table1[[#This Row],[Period]]=1,$C$6,PMT(InterestRate*AmortizationMultiplier/12,Table1[[#This Row],[Am Thru]],-Table1[[#This Row],[Beginning Balance]]))),0)</f>
        <v>0</v>
      </c>
      <c r="H208" s="3">
        <f>MAX(0,IF(C208=$C$4,D208,ROUND(IF($C$3="Fixed Principal",$C$6-Table1[[#This Row],[Interest]],IF($C$3="Interest Only",Table1[[#This Row],[Beginning Balance]]*ROUND(1-(1-IF($C$11="No",$E$8,1))^(1/12),6),MIN(IF($C$13="Yes",Table1[[#This Row],[Payment Amount (Reamortized)]],$C$6)-Table1[[#This Row],[Interest]],Table1[[#This Row],[Beginning Balance]]))),2)))</f>
        <v>0</v>
      </c>
      <c r="I208" s="3">
        <f>_xlfn.SINGLE(IF($C$3="Line of Credit",0,ROUND(MAX(MIN(IF($C$10="No",$E$7,VLOOKUP(Table1[[#This Row],[Period]],Forecast!$H$2:$L$1048576,4,FALSE))*Table1[[#This Row],[Beginning Balance]],Table1[[#This Row],[Beginning Balance]]-Table1[[#This Row],[Principal]]),0),2)))</f>
        <v>0</v>
      </c>
      <c r="J208" s="3">
        <f>ROUND(MIN(Table1[[#This Row],[Beginning Balance]]*IF($C$8="No",$E$3,VLOOKUP(Table1[[#This Row],[Period]],Forecast!$H$2:$L$1048576,2,FALSE)),Table1[[#This Row],[Beginning Balance]]-Table1[[#This Row],[Principal]]-Table1[[#This Row],[Prepayments]]),2)</f>
        <v>0</v>
      </c>
      <c r="K208" s="3">
        <f>ROUND(Table1[[#This Row],[Defaulted Principal]]*IF($C$9="No",$E$4,VLOOKUP(Table1[[#This Row],[Period]],Forecast!$H$2:$L$1048576,3,FALSE)),2)</f>
        <v>0</v>
      </c>
      <c r="L208" s="2">
        <f>Table1[[#This Row],[Period]]+$E$9</f>
        <v>204</v>
      </c>
      <c r="M208" s="3">
        <f>Table1[[#This Row],[Defaulted Principal]]-Table1[[#This Row],[Estimated Loss]]</f>
        <v>0</v>
      </c>
      <c r="N208" s="3">
        <f>IFERROR(VLOOKUP(Table1[[#This Row],[Period]],$L$16:$M$385,2,FALSE),0)</f>
        <v>0</v>
      </c>
      <c r="O208" s="3">
        <f>Table1[[#This Row],[Beginning Balance]]-Table1[[#This Row],[Principal]]-Table1[[#This Row],[Prepayments]]-Table1[[#This Row],[Defaulted Principal]]</f>
        <v>0</v>
      </c>
      <c r="P208" s="3">
        <f>Table1[[#This Row],[Principal]]+Table1[[#This Row],[Interest]]+Table1[[#This Row],[Prepayments]]+Table1[[#This Row],[RecoveredAmount]]</f>
        <v>0</v>
      </c>
      <c r="Q208" s="3">
        <f ca="1">Table1[[#This Row],[Cash Flow]]/((1+ActualRateToUse)^(IF(ISNUMBER(SEARCH("Actual",$C$7)),Table1[[#This Row],[Running Total]]/365,Table1[[#This Row],[Period]]/12)))</f>
        <v>0</v>
      </c>
      <c r="R208" s="2">
        <f>IF(MONTH(Table1[[#This Row],[Date]])=2,28,DAY(DATE(YEAR(Table1[[#This Row],[Date]]),MONTH(Table1[[#This Row],[Date]])+1,1)-1))</f>
        <v>30</v>
      </c>
      <c r="S208" s="2">
        <f ca="1">SUM(OFFSET(Table1[[#Headers],[Days in month]],1,0):Table1[[#This Row],[Days in month]])</f>
        <v>5840</v>
      </c>
      <c r="T208" s="37">
        <f>InterestRate*AmortizationMultiplier*IF(ISNUMBER(SEARCH("Actual",$C$7)),Table1[[#This Row],[Days in month]]/365,1/12)</f>
        <v>5.8749999999999991E-3</v>
      </c>
    </row>
    <row r="209" spans="2:20" x14ac:dyDescent="0.2">
      <c r="B209" s="1">
        <f t="shared" si="8"/>
        <v>51713</v>
      </c>
      <c r="C209" s="2">
        <f t="shared" si="9"/>
        <v>193</v>
      </c>
      <c r="D209" s="3">
        <f t="shared" si="11"/>
        <v>0</v>
      </c>
      <c r="E209" s="3">
        <f>ROUND(Table1[[#This Row],[Beginning Balance]]*Table1[[#This Row],[Monthly Interest Rate]],2)</f>
        <v>0</v>
      </c>
      <c r="F209" s="3">
        <f t="shared" si="10"/>
        <v>159</v>
      </c>
      <c r="G209" s="23">
        <f>IFERROR(IF($C$13="No","N/A",IF(Table1[[#This Row],[Period]]=1,$C$6,PMT(InterestRate*AmortizationMultiplier/12,Table1[[#This Row],[Am Thru]],-Table1[[#This Row],[Beginning Balance]]))),0)</f>
        <v>0</v>
      </c>
      <c r="H209" s="3">
        <f>MAX(0,IF(C209=$C$4,D209,ROUND(IF($C$3="Fixed Principal",$C$6-Table1[[#This Row],[Interest]],IF($C$3="Interest Only",Table1[[#This Row],[Beginning Balance]]*ROUND(1-(1-IF($C$11="No",$E$8,1))^(1/12),6),MIN(IF($C$13="Yes",Table1[[#This Row],[Payment Amount (Reamortized)]],$C$6)-Table1[[#This Row],[Interest]],Table1[[#This Row],[Beginning Balance]]))),2)))</f>
        <v>0</v>
      </c>
      <c r="I209" s="3">
        <f>_xlfn.SINGLE(IF($C$3="Line of Credit",0,ROUND(MAX(MIN(IF($C$10="No",$E$7,VLOOKUP(Table1[[#This Row],[Period]],Forecast!$H$2:$L$1048576,4,FALSE))*Table1[[#This Row],[Beginning Balance]],Table1[[#This Row],[Beginning Balance]]-Table1[[#This Row],[Principal]]),0),2)))</f>
        <v>0</v>
      </c>
      <c r="J209" s="3">
        <f>ROUND(MIN(Table1[[#This Row],[Beginning Balance]]*IF($C$8="No",$E$3,VLOOKUP(Table1[[#This Row],[Period]],Forecast!$H$2:$L$1048576,2,FALSE)),Table1[[#This Row],[Beginning Balance]]-Table1[[#This Row],[Principal]]-Table1[[#This Row],[Prepayments]]),2)</f>
        <v>0</v>
      </c>
      <c r="K209" s="3">
        <f>ROUND(Table1[[#This Row],[Defaulted Principal]]*IF($C$9="No",$E$4,VLOOKUP(Table1[[#This Row],[Period]],Forecast!$H$2:$L$1048576,3,FALSE)),2)</f>
        <v>0</v>
      </c>
      <c r="L209" s="2">
        <f>Table1[[#This Row],[Period]]+$E$9</f>
        <v>205</v>
      </c>
      <c r="M209" s="3">
        <f>Table1[[#This Row],[Defaulted Principal]]-Table1[[#This Row],[Estimated Loss]]</f>
        <v>0</v>
      </c>
      <c r="N209" s="3">
        <f>IFERROR(VLOOKUP(Table1[[#This Row],[Period]],$L$16:$M$385,2,FALSE),0)</f>
        <v>0</v>
      </c>
      <c r="O209" s="3">
        <f>Table1[[#This Row],[Beginning Balance]]-Table1[[#This Row],[Principal]]-Table1[[#This Row],[Prepayments]]-Table1[[#This Row],[Defaulted Principal]]</f>
        <v>0</v>
      </c>
      <c r="P209" s="3">
        <f>Table1[[#This Row],[Principal]]+Table1[[#This Row],[Interest]]+Table1[[#This Row],[Prepayments]]+Table1[[#This Row],[RecoveredAmount]]</f>
        <v>0</v>
      </c>
      <c r="Q209" s="3">
        <f ca="1">Table1[[#This Row],[Cash Flow]]/((1+ActualRateToUse)^(IF(ISNUMBER(SEARCH("Actual",$C$7)),Table1[[#This Row],[Running Total]]/365,Table1[[#This Row],[Period]]/12)))</f>
        <v>0</v>
      </c>
      <c r="R209" s="2">
        <f>IF(MONTH(Table1[[#This Row],[Date]])=2,28,DAY(DATE(YEAR(Table1[[#This Row],[Date]]),MONTH(Table1[[#This Row],[Date]])+1,1)-1))</f>
        <v>31</v>
      </c>
      <c r="S209" s="2">
        <f ca="1">SUM(OFFSET(Table1[[#Headers],[Days in month]],1,0):Table1[[#This Row],[Days in month]])</f>
        <v>5871</v>
      </c>
      <c r="T209" s="37">
        <f>InterestRate*AmortizationMultiplier*IF(ISNUMBER(SEARCH("Actual",$C$7)),Table1[[#This Row],[Days in month]]/365,1/12)</f>
        <v>6.0708333333333326E-3</v>
      </c>
    </row>
    <row r="210" spans="2:20" x14ac:dyDescent="0.2">
      <c r="B210" s="1">
        <f t="shared" si="8"/>
        <v>51744</v>
      </c>
      <c r="C210" s="2">
        <f t="shared" si="9"/>
        <v>194</v>
      </c>
      <c r="D210" s="3">
        <f t="shared" si="11"/>
        <v>0</v>
      </c>
      <c r="E210" s="3">
        <f>ROUND(Table1[[#This Row],[Beginning Balance]]*Table1[[#This Row],[Monthly Interest Rate]],2)</f>
        <v>0</v>
      </c>
      <c r="F210" s="3">
        <f t="shared" si="10"/>
        <v>158</v>
      </c>
      <c r="G210" s="23">
        <f>IFERROR(IF($C$13="No","N/A",IF(Table1[[#This Row],[Period]]=1,$C$6,PMT(InterestRate*AmortizationMultiplier/12,Table1[[#This Row],[Am Thru]],-Table1[[#This Row],[Beginning Balance]]))),0)</f>
        <v>0</v>
      </c>
      <c r="H210" s="3">
        <f>MAX(0,IF(C210=$C$4,D210,ROUND(IF($C$3="Fixed Principal",$C$6-Table1[[#This Row],[Interest]],IF($C$3="Interest Only",Table1[[#This Row],[Beginning Balance]]*ROUND(1-(1-IF($C$11="No",$E$8,1))^(1/12),6),MIN(IF($C$13="Yes",Table1[[#This Row],[Payment Amount (Reamortized)]],$C$6)-Table1[[#This Row],[Interest]],Table1[[#This Row],[Beginning Balance]]))),2)))</f>
        <v>0</v>
      </c>
      <c r="I210" s="3">
        <f>_xlfn.SINGLE(IF($C$3="Line of Credit",0,ROUND(MAX(MIN(IF($C$10="No",$E$7,VLOOKUP(Table1[[#This Row],[Period]],Forecast!$H$2:$L$1048576,4,FALSE))*Table1[[#This Row],[Beginning Balance]],Table1[[#This Row],[Beginning Balance]]-Table1[[#This Row],[Principal]]),0),2)))</f>
        <v>0</v>
      </c>
      <c r="J210" s="3">
        <f>ROUND(MIN(Table1[[#This Row],[Beginning Balance]]*IF($C$8="No",$E$3,VLOOKUP(Table1[[#This Row],[Period]],Forecast!$H$2:$L$1048576,2,FALSE)),Table1[[#This Row],[Beginning Balance]]-Table1[[#This Row],[Principal]]-Table1[[#This Row],[Prepayments]]),2)</f>
        <v>0</v>
      </c>
      <c r="K210" s="3">
        <f>ROUND(Table1[[#This Row],[Defaulted Principal]]*IF($C$9="No",$E$4,VLOOKUP(Table1[[#This Row],[Period]],Forecast!$H$2:$L$1048576,3,FALSE)),2)</f>
        <v>0</v>
      </c>
      <c r="L210" s="2">
        <f>Table1[[#This Row],[Period]]+$E$9</f>
        <v>206</v>
      </c>
      <c r="M210" s="3">
        <f>Table1[[#This Row],[Defaulted Principal]]-Table1[[#This Row],[Estimated Loss]]</f>
        <v>0</v>
      </c>
      <c r="N210" s="3">
        <f>IFERROR(VLOOKUP(Table1[[#This Row],[Period]],$L$16:$M$385,2,FALSE),0)</f>
        <v>0</v>
      </c>
      <c r="O210" s="3">
        <f>Table1[[#This Row],[Beginning Balance]]-Table1[[#This Row],[Principal]]-Table1[[#This Row],[Prepayments]]-Table1[[#This Row],[Defaulted Principal]]</f>
        <v>0</v>
      </c>
      <c r="P210" s="3">
        <f>Table1[[#This Row],[Principal]]+Table1[[#This Row],[Interest]]+Table1[[#This Row],[Prepayments]]+Table1[[#This Row],[RecoveredAmount]]</f>
        <v>0</v>
      </c>
      <c r="Q210" s="3">
        <f ca="1">Table1[[#This Row],[Cash Flow]]/((1+ActualRateToUse)^(IF(ISNUMBER(SEARCH("Actual",$C$7)),Table1[[#This Row],[Running Total]]/365,Table1[[#This Row],[Period]]/12)))</f>
        <v>0</v>
      </c>
      <c r="R210" s="2">
        <f>IF(MONTH(Table1[[#This Row],[Date]])=2,28,DAY(DATE(YEAR(Table1[[#This Row],[Date]]),MONTH(Table1[[#This Row],[Date]])+1,1)-1))</f>
        <v>31</v>
      </c>
      <c r="S210" s="2">
        <f ca="1">SUM(OFFSET(Table1[[#Headers],[Days in month]],1,0):Table1[[#This Row],[Days in month]])</f>
        <v>5902</v>
      </c>
      <c r="T210" s="37">
        <f>InterestRate*AmortizationMultiplier*IF(ISNUMBER(SEARCH("Actual",$C$7)),Table1[[#This Row],[Days in month]]/365,1/12)</f>
        <v>6.0708333333333326E-3</v>
      </c>
    </row>
    <row r="211" spans="2:20" x14ac:dyDescent="0.2">
      <c r="B211" s="1">
        <f t="shared" ref="B211:B274" si="12">EOMONTH(B210,1)</f>
        <v>51774</v>
      </c>
      <c r="C211" s="2">
        <f t="shared" ref="C211:C274" si="13">C210+1</f>
        <v>195</v>
      </c>
      <c r="D211" s="3">
        <f t="shared" si="11"/>
        <v>0</v>
      </c>
      <c r="E211" s="3">
        <f>ROUND(Table1[[#This Row],[Beginning Balance]]*Table1[[#This Row],[Monthly Interest Rate]],2)</f>
        <v>0</v>
      </c>
      <c r="F211" s="3">
        <f t="shared" ref="F211:F274" si="14">+F210-1</f>
        <v>157</v>
      </c>
      <c r="G211" s="23">
        <f>IFERROR(IF($C$13="No","N/A",IF(Table1[[#This Row],[Period]]=1,$C$6,PMT(InterestRate*AmortizationMultiplier/12,Table1[[#This Row],[Am Thru]],-Table1[[#This Row],[Beginning Balance]]))),0)</f>
        <v>0</v>
      </c>
      <c r="H211" s="3">
        <f>MAX(0,IF(C211=$C$4,D211,ROUND(IF($C$3="Fixed Principal",$C$6-Table1[[#This Row],[Interest]],IF($C$3="Interest Only",Table1[[#This Row],[Beginning Balance]]*ROUND(1-(1-IF($C$11="No",$E$8,1))^(1/12),6),MIN(IF($C$13="Yes",Table1[[#This Row],[Payment Amount (Reamortized)]],$C$6)-Table1[[#This Row],[Interest]],Table1[[#This Row],[Beginning Balance]]))),2)))</f>
        <v>0</v>
      </c>
      <c r="I211" s="3">
        <f>_xlfn.SINGLE(IF($C$3="Line of Credit",0,ROUND(MAX(MIN(IF($C$10="No",$E$7,VLOOKUP(Table1[[#This Row],[Period]],Forecast!$H$2:$L$1048576,4,FALSE))*Table1[[#This Row],[Beginning Balance]],Table1[[#This Row],[Beginning Balance]]-Table1[[#This Row],[Principal]]),0),2)))</f>
        <v>0</v>
      </c>
      <c r="J211" s="3">
        <f>ROUND(MIN(Table1[[#This Row],[Beginning Balance]]*IF($C$8="No",$E$3,VLOOKUP(Table1[[#This Row],[Period]],Forecast!$H$2:$L$1048576,2,FALSE)),Table1[[#This Row],[Beginning Balance]]-Table1[[#This Row],[Principal]]-Table1[[#This Row],[Prepayments]]),2)</f>
        <v>0</v>
      </c>
      <c r="K211" s="3">
        <f>ROUND(Table1[[#This Row],[Defaulted Principal]]*IF($C$9="No",$E$4,VLOOKUP(Table1[[#This Row],[Period]],Forecast!$H$2:$L$1048576,3,FALSE)),2)</f>
        <v>0</v>
      </c>
      <c r="L211" s="2">
        <f>Table1[[#This Row],[Period]]+$E$9</f>
        <v>207</v>
      </c>
      <c r="M211" s="3">
        <f>Table1[[#This Row],[Defaulted Principal]]-Table1[[#This Row],[Estimated Loss]]</f>
        <v>0</v>
      </c>
      <c r="N211" s="3">
        <f>IFERROR(VLOOKUP(Table1[[#This Row],[Period]],$L$16:$M$385,2,FALSE),0)</f>
        <v>0</v>
      </c>
      <c r="O211" s="3">
        <f>Table1[[#This Row],[Beginning Balance]]-Table1[[#This Row],[Principal]]-Table1[[#This Row],[Prepayments]]-Table1[[#This Row],[Defaulted Principal]]</f>
        <v>0</v>
      </c>
      <c r="P211" s="3">
        <f>Table1[[#This Row],[Principal]]+Table1[[#This Row],[Interest]]+Table1[[#This Row],[Prepayments]]+Table1[[#This Row],[RecoveredAmount]]</f>
        <v>0</v>
      </c>
      <c r="Q211" s="3">
        <f ca="1">Table1[[#This Row],[Cash Flow]]/((1+ActualRateToUse)^(IF(ISNUMBER(SEARCH("Actual",$C$7)),Table1[[#This Row],[Running Total]]/365,Table1[[#This Row],[Period]]/12)))</f>
        <v>0</v>
      </c>
      <c r="R211" s="2">
        <f>IF(MONTH(Table1[[#This Row],[Date]])=2,28,DAY(DATE(YEAR(Table1[[#This Row],[Date]]),MONTH(Table1[[#This Row],[Date]])+1,1)-1))</f>
        <v>30</v>
      </c>
      <c r="S211" s="2">
        <f ca="1">SUM(OFFSET(Table1[[#Headers],[Days in month]],1,0):Table1[[#This Row],[Days in month]])</f>
        <v>5932</v>
      </c>
      <c r="T211" s="37">
        <f>InterestRate*AmortizationMultiplier*IF(ISNUMBER(SEARCH("Actual",$C$7)),Table1[[#This Row],[Days in month]]/365,1/12)</f>
        <v>5.8749999999999991E-3</v>
      </c>
    </row>
    <row r="212" spans="2:20" x14ac:dyDescent="0.2">
      <c r="B212" s="1">
        <f t="shared" si="12"/>
        <v>51805</v>
      </c>
      <c r="C212" s="2">
        <f t="shared" si="13"/>
        <v>196</v>
      </c>
      <c r="D212" s="3">
        <f t="shared" si="11"/>
        <v>0</v>
      </c>
      <c r="E212" s="3">
        <f>ROUND(Table1[[#This Row],[Beginning Balance]]*Table1[[#This Row],[Monthly Interest Rate]],2)</f>
        <v>0</v>
      </c>
      <c r="F212" s="3">
        <f t="shared" si="14"/>
        <v>156</v>
      </c>
      <c r="G212" s="23">
        <f>IFERROR(IF($C$13="No","N/A",IF(Table1[[#This Row],[Period]]=1,$C$6,PMT(InterestRate*AmortizationMultiplier/12,Table1[[#This Row],[Am Thru]],-Table1[[#This Row],[Beginning Balance]]))),0)</f>
        <v>0</v>
      </c>
      <c r="H212" s="3">
        <f>MAX(0,IF(C212=$C$4,D212,ROUND(IF($C$3="Fixed Principal",$C$6-Table1[[#This Row],[Interest]],IF($C$3="Interest Only",Table1[[#This Row],[Beginning Balance]]*ROUND(1-(1-IF($C$11="No",$E$8,1))^(1/12),6),MIN(IF($C$13="Yes",Table1[[#This Row],[Payment Amount (Reamortized)]],$C$6)-Table1[[#This Row],[Interest]],Table1[[#This Row],[Beginning Balance]]))),2)))</f>
        <v>0</v>
      </c>
      <c r="I212" s="3">
        <f>_xlfn.SINGLE(IF($C$3="Line of Credit",0,ROUND(MAX(MIN(IF($C$10="No",$E$7,VLOOKUP(Table1[[#This Row],[Period]],Forecast!$H$2:$L$1048576,4,FALSE))*Table1[[#This Row],[Beginning Balance]],Table1[[#This Row],[Beginning Balance]]-Table1[[#This Row],[Principal]]),0),2)))</f>
        <v>0</v>
      </c>
      <c r="J212" s="3">
        <f>ROUND(MIN(Table1[[#This Row],[Beginning Balance]]*IF($C$8="No",$E$3,VLOOKUP(Table1[[#This Row],[Period]],Forecast!$H$2:$L$1048576,2,FALSE)),Table1[[#This Row],[Beginning Balance]]-Table1[[#This Row],[Principal]]-Table1[[#This Row],[Prepayments]]),2)</f>
        <v>0</v>
      </c>
      <c r="K212" s="3">
        <f>ROUND(Table1[[#This Row],[Defaulted Principal]]*IF($C$9="No",$E$4,VLOOKUP(Table1[[#This Row],[Period]],Forecast!$H$2:$L$1048576,3,FALSE)),2)</f>
        <v>0</v>
      </c>
      <c r="L212" s="2">
        <f>Table1[[#This Row],[Period]]+$E$9</f>
        <v>208</v>
      </c>
      <c r="M212" s="3">
        <f>Table1[[#This Row],[Defaulted Principal]]-Table1[[#This Row],[Estimated Loss]]</f>
        <v>0</v>
      </c>
      <c r="N212" s="3">
        <f>IFERROR(VLOOKUP(Table1[[#This Row],[Period]],$L$16:$M$385,2,FALSE),0)</f>
        <v>0</v>
      </c>
      <c r="O212" s="3">
        <f>Table1[[#This Row],[Beginning Balance]]-Table1[[#This Row],[Principal]]-Table1[[#This Row],[Prepayments]]-Table1[[#This Row],[Defaulted Principal]]</f>
        <v>0</v>
      </c>
      <c r="P212" s="3">
        <f>Table1[[#This Row],[Principal]]+Table1[[#This Row],[Interest]]+Table1[[#This Row],[Prepayments]]+Table1[[#This Row],[RecoveredAmount]]</f>
        <v>0</v>
      </c>
      <c r="Q212" s="3">
        <f ca="1">Table1[[#This Row],[Cash Flow]]/((1+ActualRateToUse)^(IF(ISNUMBER(SEARCH("Actual",$C$7)),Table1[[#This Row],[Running Total]]/365,Table1[[#This Row],[Period]]/12)))</f>
        <v>0</v>
      </c>
      <c r="R212" s="2">
        <f>IF(MONTH(Table1[[#This Row],[Date]])=2,28,DAY(DATE(YEAR(Table1[[#This Row],[Date]]),MONTH(Table1[[#This Row],[Date]])+1,1)-1))</f>
        <v>31</v>
      </c>
      <c r="S212" s="2">
        <f ca="1">SUM(OFFSET(Table1[[#Headers],[Days in month]],1,0):Table1[[#This Row],[Days in month]])</f>
        <v>5963</v>
      </c>
      <c r="T212" s="37">
        <f>InterestRate*AmortizationMultiplier*IF(ISNUMBER(SEARCH("Actual",$C$7)),Table1[[#This Row],[Days in month]]/365,1/12)</f>
        <v>6.0708333333333326E-3</v>
      </c>
    </row>
    <row r="213" spans="2:20" x14ac:dyDescent="0.2">
      <c r="B213" s="1">
        <f t="shared" si="12"/>
        <v>51835</v>
      </c>
      <c r="C213" s="2">
        <f t="shared" si="13"/>
        <v>197</v>
      </c>
      <c r="D213" s="3">
        <f t="shared" si="11"/>
        <v>0</v>
      </c>
      <c r="E213" s="3">
        <f>ROUND(Table1[[#This Row],[Beginning Balance]]*Table1[[#This Row],[Monthly Interest Rate]],2)</f>
        <v>0</v>
      </c>
      <c r="F213" s="3">
        <f t="shared" si="14"/>
        <v>155</v>
      </c>
      <c r="G213" s="23">
        <f>IFERROR(IF($C$13="No","N/A",IF(Table1[[#This Row],[Period]]=1,$C$6,PMT(InterestRate*AmortizationMultiplier/12,Table1[[#This Row],[Am Thru]],-Table1[[#This Row],[Beginning Balance]]))),0)</f>
        <v>0</v>
      </c>
      <c r="H213" s="3">
        <f>MAX(0,IF(C213=$C$4,D213,ROUND(IF($C$3="Fixed Principal",$C$6-Table1[[#This Row],[Interest]],IF($C$3="Interest Only",Table1[[#This Row],[Beginning Balance]]*ROUND(1-(1-IF($C$11="No",$E$8,1))^(1/12),6),MIN(IF($C$13="Yes",Table1[[#This Row],[Payment Amount (Reamortized)]],$C$6)-Table1[[#This Row],[Interest]],Table1[[#This Row],[Beginning Balance]]))),2)))</f>
        <v>0</v>
      </c>
      <c r="I213" s="3">
        <f>_xlfn.SINGLE(IF($C$3="Line of Credit",0,ROUND(MAX(MIN(IF($C$10="No",$E$7,VLOOKUP(Table1[[#This Row],[Period]],Forecast!$H$2:$L$1048576,4,FALSE))*Table1[[#This Row],[Beginning Balance]],Table1[[#This Row],[Beginning Balance]]-Table1[[#This Row],[Principal]]),0),2)))</f>
        <v>0</v>
      </c>
      <c r="J213" s="3">
        <f>ROUND(MIN(Table1[[#This Row],[Beginning Balance]]*IF($C$8="No",$E$3,VLOOKUP(Table1[[#This Row],[Period]],Forecast!$H$2:$L$1048576,2,FALSE)),Table1[[#This Row],[Beginning Balance]]-Table1[[#This Row],[Principal]]-Table1[[#This Row],[Prepayments]]),2)</f>
        <v>0</v>
      </c>
      <c r="K213" s="3">
        <f>ROUND(Table1[[#This Row],[Defaulted Principal]]*IF($C$9="No",$E$4,VLOOKUP(Table1[[#This Row],[Period]],Forecast!$H$2:$L$1048576,3,FALSE)),2)</f>
        <v>0</v>
      </c>
      <c r="L213" s="2">
        <f>Table1[[#This Row],[Period]]+$E$9</f>
        <v>209</v>
      </c>
      <c r="M213" s="3">
        <f>Table1[[#This Row],[Defaulted Principal]]-Table1[[#This Row],[Estimated Loss]]</f>
        <v>0</v>
      </c>
      <c r="N213" s="3">
        <f>IFERROR(VLOOKUP(Table1[[#This Row],[Period]],$L$16:$M$385,2,FALSE),0)</f>
        <v>0</v>
      </c>
      <c r="O213" s="3">
        <f>Table1[[#This Row],[Beginning Balance]]-Table1[[#This Row],[Principal]]-Table1[[#This Row],[Prepayments]]-Table1[[#This Row],[Defaulted Principal]]</f>
        <v>0</v>
      </c>
      <c r="P213" s="3">
        <f>Table1[[#This Row],[Principal]]+Table1[[#This Row],[Interest]]+Table1[[#This Row],[Prepayments]]+Table1[[#This Row],[RecoveredAmount]]</f>
        <v>0</v>
      </c>
      <c r="Q213" s="3">
        <f ca="1">Table1[[#This Row],[Cash Flow]]/((1+ActualRateToUse)^(IF(ISNUMBER(SEARCH("Actual",$C$7)),Table1[[#This Row],[Running Total]]/365,Table1[[#This Row],[Period]]/12)))</f>
        <v>0</v>
      </c>
      <c r="R213" s="2">
        <f>IF(MONTH(Table1[[#This Row],[Date]])=2,28,DAY(DATE(YEAR(Table1[[#This Row],[Date]]),MONTH(Table1[[#This Row],[Date]])+1,1)-1))</f>
        <v>30</v>
      </c>
      <c r="S213" s="2">
        <f ca="1">SUM(OFFSET(Table1[[#Headers],[Days in month]],1,0):Table1[[#This Row],[Days in month]])</f>
        <v>5993</v>
      </c>
      <c r="T213" s="37">
        <f>InterestRate*AmortizationMultiplier*IF(ISNUMBER(SEARCH("Actual",$C$7)),Table1[[#This Row],[Days in month]]/365,1/12)</f>
        <v>5.8749999999999991E-3</v>
      </c>
    </row>
    <row r="214" spans="2:20" x14ac:dyDescent="0.2">
      <c r="B214" s="1">
        <f t="shared" si="12"/>
        <v>51866</v>
      </c>
      <c r="C214" s="2">
        <f t="shared" si="13"/>
        <v>198</v>
      </c>
      <c r="D214" s="3">
        <f t="shared" si="11"/>
        <v>0</v>
      </c>
      <c r="E214" s="3">
        <f>ROUND(Table1[[#This Row],[Beginning Balance]]*Table1[[#This Row],[Monthly Interest Rate]],2)</f>
        <v>0</v>
      </c>
      <c r="F214" s="3">
        <f t="shared" si="14"/>
        <v>154</v>
      </c>
      <c r="G214" s="23">
        <f>IFERROR(IF($C$13="No","N/A",IF(Table1[[#This Row],[Period]]=1,$C$6,PMT(InterestRate*AmortizationMultiplier/12,Table1[[#This Row],[Am Thru]],-Table1[[#This Row],[Beginning Balance]]))),0)</f>
        <v>0</v>
      </c>
      <c r="H214" s="3">
        <f>MAX(0,IF(C214=$C$4,D214,ROUND(IF($C$3="Fixed Principal",$C$6-Table1[[#This Row],[Interest]],IF($C$3="Interest Only",Table1[[#This Row],[Beginning Balance]]*ROUND(1-(1-IF($C$11="No",$E$8,1))^(1/12),6),MIN(IF($C$13="Yes",Table1[[#This Row],[Payment Amount (Reamortized)]],$C$6)-Table1[[#This Row],[Interest]],Table1[[#This Row],[Beginning Balance]]))),2)))</f>
        <v>0</v>
      </c>
      <c r="I214" s="3">
        <f>_xlfn.SINGLE(IF($C$3="Line of Credit",0,ROUND(MAX(MIN(IF($C$10="No",$E$7,VLOOKUP(Table1[[#This Row],[Period]],Forecast!$H$2:$L$1048576,4,FALSE))*Table1[[#This Row],[Beginning Balance]],Table1[[#This Row],[Beginning Balance]]-Table1[[#This Row],[Principal]]),0),2)))</f>
        <v>0</v>
      </c>
      <c r="J214" s="3">
        <f>ROUND(MIN(Table1[[#This Row],[Beginning Balance]]*IF($C$8="No",$E$3,VLOOKUP(Table1[[#This Row],[Period]],Forecast!$H$2:$L$1048576,2,FALSE)),Table1[[#This Row],[Beginning Balance]]-Table1[[#This Row],[Principal]]-Table1[[#This Row],[Prepayments]]),2)</f>
        <v>0</v>
      </c>
      <c r="K214" s="3">
        <f>ROUND(Table1[[#This Row],[Defaulted Principal]]*IF($C$9="No",$E$4,VLOOKUP(Table1[[#This Row],[Period]],Forecast!$H$2:$L$1048576,3,FALSE)),2)</f>
        <v>0</v>
      </c>
      <c r="L214" s="2">
        <f>Table1[[#This Row],[Period]]+$E$9</f>
        <v>210</v>
      </c>
      <c r="M214" s="3">
        <f>Table1[[#This Row],[Defaulted Principal]]-Table1[[#This Row],[Estimated Loss]]</f>
        <v>0</v>
      </c>
      <c r="N214" s="3">
        <f>IFERROR(VLOOKUP(Table1[[#This Row],[Period]],$L$16:$M$385,2,FALSE),0)</f>
        <v>0</v>
      </c>
      <c r="O214" s="3">
        <f>Table1[[#This Row],[Beginning Balance]]-Table1[[#This Row],[Principal]]-Table1[[#This Row],[Prepayments]]-Table1[[#This Row],[Defaulted Principal]]</f>
        <v>0</v>
      </c>
      <c r="P214" s="3">
        <f>Table1[[#This Row],[Principal]]+Table1[[#This Row],[Interest]]+Table1[[#This Row],[Prepayments]]+Table1[[#This Row],[RecoveredAmount]]</f>
        <v>0</v>
      </c>
      <c r="Q214" s="3">
        <f ca="1">Table1[[#This Row],[Cash Flow]]/((1+ActualRateToUse)^(IF(ISNUMBER(SEARCH("Actual",$C$7)),Table1[[#This Row],[Running Total]]/365,Table1[[#This Row],[Period]]/12)))</f>
        <v>0</v>
      </c>
      <c r="R214" s="2">
        <f>IF(MONTH(Table1[[#This Row],[Date]])=2,28,DAY(DATE(YEAR(Table1[[#This Row],[Date]]),MONTH(Table1[[#This Row],[Date]])+1,1)-1))</f>
        <v>31</v>
      </c>
      <c r="S214" s="2">
        <f ca="1">SUM(OFFSET(Table1[[#Headers],[Days in month]],1,0):Table1[[#This Row],[Days in month]])</f>
        <v>6024</v>
      </c>
      <c r="T214" s="37">
        <f>InterestRate*AmortizationMultiplier*IF(ISNUMBER(SEARCH("Actual",$C$7)),Table1[[#This Row],[Days in month]]/365,1/12)</f>
        <v>6.0708333333333326E-3</v>
      </c>
    </row>
    <row r="215" spans="2:20" x14ac:dyDescent="0.2">
      <c r="B215" s="1">
        <f t="shared" si="12"/>
        <v>51897</v>
      </c>
      <c r="C215" s="2">
        <f t="shared" si="13"/>
        <v>199</v>
      </c>
      <c r="D215" s="3">
        <f t="shared" si="11"/>
        <v>0</v>
      </c>
      <c r="E215" s="3">
        <f>ROUND(Table1[[#This Row],[Beginning Balance]]*Table1[[#This Row],[Monthly Interest Rate]],2)</f>
        <v>0</v>
      </c>
      <c r="F215" s="3">
        <f t="shared" si="14"/>
        <v>153</v>
      </c>
      <c r="G215" s="23">
        <f>IFERROR(IF($C$13="No","N/A",IF(Table1[[#This Row],[Period]]=1,$C$6,PMT(InterestRate*AmortizationMultiplier/12,Table1[[#This Row],[Am Thru]],-Table1[[#This Row],[Beginning Balance]]))),0)</f>
        <v>0</v>
      </c>
      <c r="H215" s="3">
        <f>MAX(0,IF(C215=$C$4,D215,ROUND(IF($C$3="Fixed Principal",$C$6-Table1[[#This Row],[Interest]],IF($C$3="Interest Only",Table1[[#This Row],[Beginning Balance]]*ROUND(1-(1-IF($C$11="No",$E$8,1))^(1/12),6),MIN(IF($C$13="Yes",Table1[[#This Row],[Payment Amount (Reamortized)]],$C$6)-Table1[[#This Row],[Interest]],Table1[[#This Row],[Beginning Balance]]))),2)))</f>
        <v>0</v>
      </c>
      <c r="I215" s="3">
        <f>_xlfn.SINGLE(IF($C$3="Line of Credit",0,ROUND(MAX(MIN(IF($C$10="No",$E$7,VLOOKUP(Table1[[#This Row],[Period]],Forecast!$H$2:$L$1048576,4,FALSE))*Table1[[#This Row],[Beginning Balance]],Table1[[#This Row],[Beginning Balance]]-Table1[[#This Row],[Principal]]),0),2)))</f>
        <v>0</v>
      </c>
      <c r="J215" s="3">
        <f>ROUND(MIN(Table1[[#This Row],[Beginning Balance]]*IF($C$8="No",$E$3,VLOOKUP(Table1[[#This Row],[Period]],Forecast!$H$2:$L$1048576,2,FALSE)),Table1[[#This Row],[Beginning Balance]]-Table1[[#This Row],[Principal]]-Table1[[#This Row],[Prepayments]]),2)</f>
        <v>0</v>
      </c>
      <c r="K215" s="3">
        <f>ROUND(Table1[[#This Row],[Defaulted Principal]]*IF($C$9="No",$E$4,VLOOKUP(Table1[[#This Row],[Period]],Forecast!$H$2:$L$1048576,3,FALSE)),2)</f>
        <v>0</v>
      </c>
      <c r="L215" s="2">
        <f>Table1[[#This Row],[Period]]+$E$9</f>
        <v>211</v>
      </c>
      <c r="M215" s="3">
        <f>Table1[[#This Row],[Defaulted Principal]]-Table1[[#This Row],[Estimated Loss]]</f>
        <v>0</v>
      </c>
      <c r="N215" s="3">
        <f>IFERROR(VLOOKUP(Table1[[#This Row],[Period]],$L$16:$M$385,2,FALSE),0)</f>
        <v>0</v>
      </c>
      <c r="O215" s="3">
        <f>Table1[[#This Row],[Beginning Balance]]-Table1[[#This Row],[Principal]]-Table1[[#This Row],[Prepayments]]-Table1[[#This Row],[Defaulted Principal]]</f>
        <v>0</v>
      </c>
      <c r="P215" s="3">
        <f>Table1[[#This Row],[Principal]]+Table1[[#This Row],[Interest]]+Table1[[#This Row],[Prepayments]]+Table1[[#This Row],[RecoveredAmount]]</f>
        <v>0</v>
      </c>
      <c r="Q215" s="3">
        <f ca="1">Table1[[#This Row],[Cash Flow]]/((1+ActualRateToUse)^(IF(ISNUMBER(SEARCH("Actual",$C$7)),Table1[[#This Row],[Running Total]]/365,Table1[[#This Row],[Period]]/12)))</f>
        <v>0</v>
      </c>
      <c r="R215" s="2">
        <f>IF(MONTH(Table1[[#This Row],[Date]])=2,28,DAY(DATE(YEAR(Table1[[#This Row],[Date]]),MONTH(Table1[[#This Row],[Date]])+1,1)-1))</f>
        <v>31</v>
      </c>
      <c r="S215" s="2">
        <f ca="1">SUM(OFFSET(Table1[[#Headers],[Days in month]],1,0):Table1[[#This Row],[Days in month]])</f>
        <v>6055</v>
      </c>
      <c r="T215" s="37">
        <f>InterestRate*AmortizationMultiplier*IF(ISNUMBER(SEARCH("Actual",$C$7)),Table1[[#This Row],[Days in month]]/365,1/12)</f>
        <v>6.0708333333333326E-3</v>
      </c>
    </row>
    <row r="216" spans="2:20" x14ac:dyDescent="0.2">
      <c r="B216" s="1">
        <f t="shared" si="12"/>
        <v>51925</v>
      </c>
      <c r="C216" s="2">
        <f t="shared" si="13"/>
        <v>200</v>
      </c>
      <c r="D216" s="3">
        <f t="shared" si="11"/>
        <v>0</v>
      </c>
      <c r="E216" s="3">
        <f>ROUND(Table1[[#This Row],[Beginning Balance]]*Table1[[#This Row],[Monthly Interest Rate]],2)</f>
        <v>0</v>
      </c>
      <c r="F216" s="3">
        <f t="shared" si="14"/>
        <v>152</v>
      </c>
      <c r="G216" s="23">
        <f>IFERROR(IF($C$13="No","N/A",IF(Table1[[#This Row],[Period]]=1,$C$6,PMT(InterestRate*AmortizationMultiplier/12,Table1[[#This Row],[Am Thru]],-Table1[[#This Row],[Beginning Balance]]))),0)</f>
        <v>0</v>
      </c>
      <c r="H216" s="3">
        <f>MAX(0,IF(C216=$C$4,D216,ROUND(IF($C$3="Fixed Principal",$C$6-Table1[[#This Row],[Interest]],IF($C$3="Interest Only",Table1[[#This Row],[Beginning Balance]]*ROUND(1-(1-IF($C$11="No",$E$8,1))^(1/12),6),MIN(IF($C$13="Yes",Table1[[#This Row],[Payment Amount (Reamortized)]],$C$6)-Table1[[#This Row],[Interest]],Table1[[#This Row],[Beginning Balance]]))),2)))</f>
        <v>0</v>
      </c>
      <c r="I216" s="3">
        <f>_xlfn.SINGLE(IF($C$3="Line of Credit",0,ROUND(MAX(MIN(IF($C$10="No",$E$7,VLOOKUP(Table1[[#This Row],[Period]],Forecast!$H$2:$L$1048576,4,FALSE))*Table1[[#This Row],[Beginning Balance]],Table1[[#This Row],[Beginning Balance]]-Table1[[#This Row],[Principal]]),0),2)))</f>
        <v>0</v>
      </c>
      <c r="J216" s="3">
        <f>ROUND(MIN(Table1[[#This Row],[Beginning Balance]]*IF($C$8="No",$E$3,VLOOKUP(Table1[[#This Row],[Period]],Forecast!$H$2:$L$1048576,2,FALSE)),Table1[[#This Row],[Beginning Balance]]-Table1[[#This Row],[Principal]]-Table1[[#This Row],[Prepayments]]),2)</f>
        <v>0</v>
      </c>
      <c r="K216" s="3">
        <f>ROUND(Table1[[#This Row],[Defaulted Principal]]*IF($C$9="No",$E$4,VLOOKUP(Table1[[#This Row],[Period]],Forecast!$H$2:$L$1048576,3,FALSE)),2)</f>
        <v>0</v>
      </c>
      <c r="L216" s="2">
        <f>Table1[[#This Row],[Period]]+$E$9</f>
        <v>212</v>
      </c>
      <c r="M216" s="3">
        <f>Table1[[#This Row],[Defaulted Principal]]-Table1[[#This Row],[Estimated Loss]]</f>
        <v>0</v>
      </c>
      <c r="N216" s="3">
        <f>IFERROR(VLOOKUP(Table1[[#This Row],[Period]],$L$16:$M$385,2,FALSE),0)</f>
        <v>0</v>
      </c>
      <c r="O216" s="3">
        <f>Table1[[#This Row],[Beginning Balance]]-Table1[[#This Row],[Principal]]-Table1[[#This Row],[Prepayments]]-Table1[[#This Row],[Defaulted Principal]]</f>
        <v>0</v>
      </c>
      <c r="P216" s="3">
        <f>Table1[[#This Row],[Principal]]+Table1[[#This Row],[Interest]]+Table1[[#This Row],[Prepayments]]+Table1[[#This Row],[RecoveredAmount]]</f>
        <v>0</v>
      </c>
      <c r="Q216" s="3">
        <f ca="1">Table1[[#This Row],[Cash Flow]]/((1+ActualRateToUse)^(IF(ISNUMBER(SEARCH("Actual",$C$7)),Table1[[#This Row],[Running Total]]/365,Table1[[#This Row],[Period]]/12)))</f>
        <v>0</v>
      </c>
      <c r="R216" s="2">
        <f>IF(MONTH(Table1[[#This Row],[Date]])=2,28,DAY(DATE(YEAR(Table1[[#This Row],[Date]]),MONTH(Table1[[#This Row],[Date]])+1,1)-1))</f>
        <v>28</v>
      </c>
      <c r="S216" s="2">
        <f ca="1">SUM(OFFSET(Table1[[#Headers],[Days in month]],1,0):Table1[[#This Row],[Days in month]])</f>
        <v>6083</v>
      </c>
      <c r="T216" s="37">
        <f>InterestRate*AmortizationMultiplier*IF(ISNUMBER(SEARCH("Actual",$C$7)),Table1[[#This Row],[Days in month]]/365,1/12)</f>
        <v>5.4833333333333331E-3</v>
      </c>
    </row>
    <row r="217" spans="2:20" x14ac:dyDescent="0.2">
      <c r="B217" s="1">
        <f t="shared" si="12"/>
        <v>51956</v>
      </c>
      <c r="C217" s="2">
        <f t="shared" si="13"/>
        <v>201</v>
      </c>
      <c r="D217" s="3">
        <f t="shared" si="11"/>
        <v>0</v>
      </c>
      <c r="E217" s="3">
        <f>ROUND(Table1[[#This Row],[Beginning Balance]]*Table1[[#This Row],[Monthly Interest Rate]],2)</f>
        <v>0</v>
      </c>
      <c r="F217" s="3">
        <f t="shared" si="14"/>
        <v>151</v>
      </c>
      <c r="G217" s="23">
        <f>IFERROR(IF($C$13="No","N/A",IF(Table1[[#This Row],[Period]]=1,$C$6,PMT(InterestRate*AmortizationMultiplier/12,Table1[[#This Row],[Am Thru]],-Table1[[#This Row],[Beginning Balance]]))),0)</f>
        <v>0</v>
      </c>
      <c r="H217" s="3">
        <f>MAX(0,IF(C217=$C$4,D217,ROUND(IF($C$3="Fixed Principal",$C$6-Table1[[#This Row],[Interest]],IF($C$3="Interest Only",Table1[[#This Row],[Beginning Balance]]*ROUND(1-(1-IF($C$11="No",$E$8,1))^(1/12),6),MIN(IF($C$13="Yes",Table1[[#This Row],[Payment Amount (Reamortized)]],$C$6)-Table1[[#This Row],[Interest]],Table1[[#This Row],[Beginning Balance]]))),2)))</f>
        <v>0</v>
      </c>
      <c r="I217" s="3">
        <f>_xlfn.SINGLE(IF($C$3="Line of Credit",0,ROUND(MAX(MIN(IF($C$10="No",$E$7,VLOOKUP(Table1[[#This Row],[Period]],Forecast!$H$2:$L$1048576,4,FALSE))*Table1[[#This Row],[Beginning Balance]],Table1[[#This Row],[Beginning Balance]]-Table1[[#This Row],[Principal]]),0),2)))</f>
        <v>0</v>
      </c>
      <c r="J217" s="3">
        <f>ROUND(MIN(Table1[[#This Row],[Beginning Balance]]*IF($C$8="No",$E$3,VLOOKUP(Table1[[#This Row],[Period]],Forecast!$H$2:$L$1048576,2,FALSE)),Table1[[#This Row],[Beginning Balance]]-Table1[[#This Row],[Principal]]-Table1[[#This Row],[Prepayments]]),2)</f>
        <v>0</v>
      </c>
      <c r="K217" s="3">
        <f>ROUND(Table1[[#This Row],[Defaulted Principal]]*IF($C$9="No",$E$4,VLOOKUP(Table1[[#This Row],[Period]],Forecast!$H$2:$L$1048576,3,FALSE)),2)</f>
        <v>0</v>
      </c>
      <c r="L217" s="2">
        <f>Table1[[#This Row],[Period]]+$E$9</f>
        <v>213</v>
      </c>
      <c r="M217" s="3">
        <f>Table1[[#This Row],[Defaulted Principal]]-Table1[[#This Row],[Estimated Loss]]</f>
        <v>0</v>
      </c>
      <c r="N217" s="3">
        <f>IFERROR(VLOOKUP(Table1[[#This Row],[Period]],$L$16:$M$385,2,FALSE),0)</f>
        <v>0</v>
      </c>
      <c r="O217" s="3">
        <f>Table1[[#This Row],[Beginning Balance]]-Table1[[#This Row],[Principal]]-Table1[[#This Row],[Prepayments]]-Table1[[#This Row],[Defaulted Principal]]</f>
        <v>0</v>
      </c>
      <c r="P217" s="3">
        <f>Table1[[#This Row],[Principal]]+Table1[[#This Row],[Interest]]+Table1[[#This Row],[Prepayments]]+Table1[[#This Row],[RecoveredAmount]]</f>
        <v>0</v>
      </c>
      <c r="Q217" s="3">
        <f ca="1">Table1[[#This Row],[Cash Flow]]/((1+ActualRateToUse)^(IF(ISNUMBER(SEARCH("Actual",$C$7)),Table1[[#This Row],[Running Total]]/365,Table1[[#This Row],[Period]]/12)))</f>
        <v>0</v>
      </c>
      <c r="R217" s="2">
        <f>IF(MONTH(Table1[[#This Row],[Date]])=2,28,DAY(DATE(YEAR(Table1[[#This Row],[Date]]),MONTH(Table1[[#This Row],[Date]])+1,1)-1))</f>
        <v>31</v>
      </c>
      <c r="S217" s="2">
        <f ca="1">SUM(OFFSET(Table1[[#Headers],[Days in month]],1,0):Table1[[#This Row],[Days in month]])</f>
        <v>6114</v>
      </c>
      <c r="T217" s="37">
        <f>InterestRate*AmortizationMultiplier*IF(ISNUMBER(SEARCH("Actual",$C$7)),Table1[[#This Row],[Days in month]]/365,1/12)</f>
        <v>6.0708333333333326E-3</v>
      </c>
    </row>
    <row r="218" spans="2:20" x14ac:dyDescent="0.2">
      <c r="B218" s="1">
        <f t="shared" si="12"/>
        <v>51986</v>
      </c>
      <c r="C218" s="2">
        <f t="shared" si="13"/>
        <v>202</v>
      </c>
      <c r="D218" s="3">
        <f t="shared" si="11"/>
        <v>0</v>
      </c>
      <c r="E218" s="3">
        <f>ROUND(Table1[[#This Row],[Beginning Balance]]*Table1[[#This Row],[Monthly Interest Rate]],2)</f>
        <v>0</v>
      </c>
      <c r="F218" s="3">
        <f t="shared" si="14"/>
        <v>150</v>
      </c>
      <c r="G218" s="23">
        <f>IFERROR(IF($C$13="No","N/A",IF(Table1[[#This Row],[Period]]=1,$C$6,PMT(InterestRate*AmortizationMultiplier/12,Table1[[#This Row],[Am Thru]],-Table1[[#This Row],[Beginning Balance]]))),0)</f>
        <v>0</v>
      </c>
      <c r="H218" s="3">
        <f>MAX(0,IF(C218=$C$4,D218,ROUND(IF($C$3="Fixed Principal",$C$6-Table1[[#This Row],[Interest]],IF($C$3="Interest Only",Table1[[#This Row],[Beginning Balance]]*ROUND(1-(1-IF($C$11="No",$E$8,1))^(1/12),6),MIN(IF($C$13="Yes",Table1[[#This Row],[Payment Amount (Reamortized)]],$C$6)-Table1[[#This Row],[Interest]],Table1[[#This Row],[Beginning Balance]]))),2)))</f>
        <v>0</v>
      </c>
      <c r="I218" s="3">
        <f>_xlfn.SINGLE(IF($C$3="Line of Credit",0,ROUND(MAX(MIN(IF($C$10="No",$E$7,VLOOKUP(Table1[[#This Row],[Period]],Forecast!$H$2:$L$1048576,4,FALSE))*Table1[[#This Row],[Beginning Balance]],Table1[[#This Row],[Beginning Balance]]-Table1[[#This Row],[Principal]]),0),2)))</f>
        <v>0</v>
      </c>
      <c r="J218" s="3">
        <f>ROUND(MIN(Table1[[#This Row],[Beginning Balance]]*IF($C$8="No",$E$3,VLOOKUP(Table1[[#This Row],[Period]],Forecast!$H$2:$L$1048576,2,FALSE)),Table1[[#This Row],[Beginning Balance]]-Table1[[#This Row],[Principal]]-Table1[[#This Row],[Prepayments]]),2)</f>
        <v>0</v>
      </c>
      <c r="K218" s="3">
        <f>ROUND(Table1[[#This Row],[Defaulted Principal]]*IF($C$9="No",$E$4,VLOOKUP(Table1[[#This Row],[Period]],Forecast!$H$2:$L$1048576,3,FALSE)),2)</f>
        <v>0</v>
      </c>
      <c r="L218" s="2">
        <f>Table1[[#This Row],[Period]]+$E$9</f>
        <v>214</v>
      </c>
      <c r="M218" s="3">
        <f>Table1[[#This Row],[Defaulted Principal]]-Table1[[#This Row],[Estimated Loss]]</f>
        <v>0</v>
      </c>
      <c r="N218" s="3">
        <f>IFERROR(VLOOKUP(Table1[[#This Row],[Period]],$L$16:$M$385,2,FALSE),0)</f>
        <v>0</v>
      </c>
      <c r="O218" s="3">
        <f>Table1[[#This Row],[Beginning Balance]]-Table1[[#This Row],[Principal]]-Table1[[#This Row],[Prepayments]]-Table1[[#This Row],[Defaulted Principal]]</f>
        <v>0</v>
      </c>
      <c r="P218" s="3">
        <f>Table1[[#This Row],[Principal]]+Table1[[#This Row],[Interest]]+Table1[[#This Row],[Prepayments]]+Table1[[#This Row],[RecoveredAmount]]</f>
        <v>0</v>
      </c>
      <c r="Q218" s="3">
        <f ca="1">Table1[[#This Row],[Cash Flow]]/((1+ActualRateToUse)^(IF(ISNUMBER(SEARCH("Actual",$C$7)),Table1[[#This Row],[Running Total]]/365,Table1[[#This Row],[Period]]/12)))</f>
        <v>0</v>
      </c>
      <c r="R218" s="2">
        <f>IF(MONTH(Table1[[#This Row],[Date]])=2,28,DAY(DATE(YEAR(Table1[[#This Row],[Date]]),MONTH(Table1[[#This Row],[Date]])+1,1)-1))</f>
        <v>30</v>
      </c>
      <c r="S218" s="2">
        <f ca="1">SUM(OFFSET(Table1[[#Headers],[Days in month]],1,0):Table1[[#This Row],[Days in month]])</f>
        <v>6144</v>
      </c>
      <c r="T218" s="37">
        <f>InterestRate*AmortizationMultiplier*IF(ISNUMBER(SEARCH("Actual",$C$7)),Table1[[#This Row],[Days in month]]/365,1/12)</f>
        <v>5.8749999999999991E-3</v>
      </c>
    </row>
    <row r="219" spans="2:20" x14ac:dyDescent="0.2">
      <c r="B219" s="1">
        <f t="shared" si="12"/>
        <v>52017</v>
      </c>
      <c r="C219" s="2">
        <f t="shared" si="13"/>
        <v>203</v>
      </c>
      <c r="D219" s="3">
        <f t="shared" si="11"/>
        <v>0</v>
      </c>
      <c r="E219" s="3">
        <f>ROUND(Table1[[#This Row],[Beginning Balance]]*Table1[[#This Row],[Monthly Interest Rate]],2)</f>
        <v>0</v>
      </c>
      <c r="F219" s="3">
        <f t="shared" si="14"/>
        <v>149</v>
      </c>
      <c r="G219" s="23">
        <f>IFERROR(IF($C$13="No","N/A",IF(Table1[[#This Row],[Period]]=1,$C$6,PMT(InterestRate*AmortizationMultiplier/12,Table1[[#This Row],[Am Thru]],-Table1[[#This Row],[Beginning Balance]]))),0)</f>
        <v>0</v>
      </c>
      <c r="H219" s="3">
        <f>MAX(0,IF(C219=$C$4,D219,ROUND(IF($C$3="Fixed Principal",$C$6-Table1[[#This Row],[Interest]],IF($C$3="Interest Only",Table1[[#This Row],[Beginning Balance]]*ROUND(1-(1-IF($C$11="No",$E$8,1))^(1/12),6),MIN(IF($C$13="Yes",Table1[[#This Row],[Payment Amount (Reamortized)]],$C$6)-Table1[[#This Row],[Interest]],Table1[[#This Row],[Beginning Balance]]))),2)))</f>
        <v>0</v>
      </c>
      <c r="I219" s="3">
        <f>_xlfn.SINGLE(IF($C$3="Line of Credit",0,ROUND(MAX(MIN(IF($C$10="No",$E$7,VLOOKUP(Table1[[#This Row],[Period]],Forecast!$H$2:$L$1048576,4,FALSE))*Table1[[#This Row],[Beginning Balance]],Table1[[#This Row],[Beginning Balance]]-Table1[[#This Row],[Principal]]),0),2)))</f>
        <v>0</v>
      </c>
      <c r="J219" s="3">
        <f>ROUND(MIN(Table1[[#This Row],[Beginning Balance]]*IF($C$8="No",$E$3,VLOOKUP(Table1[[#This Row],[Period]],Forecast!$H$2:$L$1048576,2,FALSE)),Table1[[#This Row],[Beginning Balance]]-Table1[[#This Row],[Principal]]-Table1[[#This Row],[Prepayments]]),2)</f>
        <v>0</v>
      </c>
      <c r="K219" s="3">
        <f>ROUND(Table1[[#This Row],[Defaulted Principal]]*IF($C$9="No",$E$4,VLOOKUP(Table1[[#This Row],[Period]],Forecast!$H$2:$L$1048576,3,FALSE)),2)</f>
        <v>0</v>
      </c>
      <c r="L219" s="2">
        <f>Table1[[#This Row],[Period]]+$E$9</f>
        <v>215</v>
      </c>
      <c r="M219" s="3">
        <f>Table1[[#This Row],[Defaulted Principal]]-Table1[[#This Row],[Estimated Loss]]</f>
        <v>0</v>
      </c>
      <c r="N219" s="3">
        <f>IFERROR(VLOOKUP(Table1[[#This Row],[Period]],$L$16:$M$385,2,FALSE),0)</f>
        <v>0</v>
      </c>
      <c r="O219" s="3">
        <f>Table1[[#This Row],[Beginning Balance]]-Table1[[#This Row],[Principal]]-Table1[[#This Row],[Prepayments]]-Table1[[#This Row],[Defaulted Principal]]</f>
        <v>0</v>
      </c>
      <c r="P219" s="3">
        <f>Table1[[#This Row],[Principal]]+Table1[[#This Row],[Interest]]+Table1[[#This Row],[Prepayments]]+Table1[[#This Row],[RecoveredAmount]]</f>
        <v>0</v>
      </c>
      <c r="Q219" s="3">
        <f ca="1">Table1[[#This Row],[Cash Flow]]/((1+ActualRateToUse)^(IF(ISNUMBER(SEARCH("Actual",$C$7)),Table1[[#This Row],[Running Total]]/365,Table1[[#This Row],[Period]]/12)))</f>
        <v>0</v>
      </c>
      <c r="R219" s="2">
        <f>IF(MONTH(Table1[[#This Row],[Date]])=2,28,DAY(DATE(YEAR(Table1[[#This Row],[Date]]),MONTH(Table1[[#This Row],[Date]])+1,1)-1))</f>
        <v>31</v>
      </c>
      <c r="S219" s="2">
        <f ca="1">SUM(OFFSET(Table1[[#Headers],[Days in month]],1,0):Table1[[#This Row],[Days in month]])</f>
        <v>6175</v>
      </c>
      <c r="T219" s="37">
        <f>InterestRate*AmortizationMultiplier*IF(ISNUMBER(SEARCH("Actual",$C$7)),Table1[[#This Row],[Days in month]]/365,1/12)</f>
        <v>6.0708333333333326E-3</v>
      </c>
    </row>
    <row r="220" spans="2:20" x14ac:dyDescent="0.2">
      <c r="B220" s="1">
        <f t="shared" si="12"/>
        <v>52047</v>
      </c>
      <c r="C220" s="2">
        <f t="shared" si="13"/>
        <v>204</v>
      </c>
      <c r="D220" s="3">
        <f t="shared" si="11"/>
        <v>0</v>
      </c>
      <c r="E220" s="3">
        <f>ROUND(Table1[[#This Row],[Beginning Balance]]*Table1[[#This Row],[Monthly Interest Rate]],2)</f>
        <v>0</v>
      </c>
      <c r="F220" s="3">
        <f t="shared" si="14"/>
        <v>148</v>
      </c>
      <c r="G220" s="23">
        <f>IFERROR(IF($C$13="No","N/A",IF(Table1[[#This Row],[Period]]=1,$C$6,PMT(InterestRate*AmortizationMultiplier/12,Table1[[#This Row],[Am Thru]],-Table1[[#This Row],[Beginning Balance]]))),0)</f>
        <v>0</v>
      </c>
      <c r="H220" s="3">
        <f>MAX(0,IF(C220=$C$4,D220,ROUND(IF($C$3="Fixed Principal",$C$6-Table1[[#This Row],[Interest]],IF($C$3="Interest Only",Table1[[#This Row],[Beginning Balance]]*ROUND(1-(1-IF($C$11="No",$E$8,1))^(1/12),6),MIN(IF($C$13="Yes",Table1[[#This Row],[Payment Amount (Reamortized)]],$C$6)-Table1[[#This Row],[Interest]],Table1[[#This Row],[Beginning Balance]]))),2)))</f>
        <v>0</v>
      </c>
      <c r="I220" s="3">
        <f>_xlfn.SINGLE(IF($C$3="Line of Credit",0,ROUND(MAX(MIN(IF($C$10="No",$E$7,VLOOKUP(Table1[[#This Row],[Period]],Forecast!$H$2:$L$1048576,4,FALSE))*Table1[[#This Row],[Beginning Balance]],Table1[[#This Row],[Beginning Balance]]-Table1[[#This Row],[Principal]]),0),2)))</f>
        <v>0</v>
      </c>
      <c r="J220" s="3">
        <f>ROUND(MIN(Table1[[#This Row],[Beginning Balance]]*IF($C$8="No",$E$3,VLOOKUP(Table1[[#This Row],[Period]],Forecast!$H$2:$L$1048576,2,FALSE)),Table1[[#This Row],[Beginning Balance]]-Table1[[#This Row],[Principal]]-Table1[[#This Row],[Prepayments]]),2)</f>
        <v>0</v>
      </c>
      <c r="K220" s="3">
        <f>ROUND(Table1[[#This Row],[Defaulted Principal]]*IF($C$9="No",$E$4,VLOOKUP(Table1[[#This Row],[Period]],Forecast!$H$2:$L$1048576,3,FALSE)),2)</f>
        <v>0</v>
      </c>
      <c r="L220" s="2">
        <f>Table1[[#This Row],[Period]]+$E$9</f>
        <v>216</v>
      </c>
      <c r="M220" s="3">
        <f>Table1[[#This Row],[Defaulted Principal]]-Table1[[#This Row],[Estimated Loss]]</f>
        <v>0</v>
      </c>
      <c r="N220" s="3">
        <f>IFERROR(VLOOKUP(Table1[[#This Row],[Period]],$L$16:$M$385,2,FALSE),0)</f>
        <v>0</v>
      </c>
      <c r="O220" s="3">
        <f>Table1[[#This Row],[Beginning Balance]]-Table1[[#This Row],[Principal]]-Table1[[#This Row],[Prepayments]]-Table1[[#This Row],[Defaulted Principal]]</f>
        <v>0</v>
      </c>
      <c r="P220" s="3">
        <f>Table1[[#This Row],[Principal]]+Table1[[#This Row],[Interest]]+Table1[[#This Row],[Prepayments]]+Table1[[#This Row],[RecoveredAmount]]</f>
        <v>0</v>
      </c>
      <c r="Q220" s="3">
        <f ca="1">Table1[[#This Row],[Cash Flow]]/((1+ActualRateToUse)^(IF(ISNUMBER(SEARCH("Actual",$C$7)),Table1[[#This Row],[Running Total]]/365,Table1[[#This Row],[Period]]/12)))</f>
        <v>0</v>
      </c>
      <c r="R220" s="2">
        <f>IF(MONTH(Table1[[#This Row],[Date]])=2,28,DAY(DATE(YEAR(Table1[[#This Row],[Date]]),MONTH(Table1[[#This Row],[Date]])+1,1)-1))</f>
        <v>30</v>
      </c>
      <c r="S220" s="2">
        <f ca="1">SUM(OFFSET(Table1[[#Headers],[Days in month]],1,0):Table1[[#This Row],[Days in month]])</f>
        <v>6205</v>
      </c>
      <c r="T220" s="37">
        <f>InterestRate*AmortizationMultiplier*IF(ISNUMBER(SEARCH("Actual",$C$7)),Table1[[#This Row],[Days in month]]/365,1/12)</f>
        <v>5.8749999999999991E-3</v>
      </c>
    </row>
    <row r="221" spans="2:20" x14ac:dyDescent="0.2">
      <c r="B221" s="1">
        <f t="shared" si="12"/>
        <v>52078</v>
      </c>
      <c r="C221" s="2">
        <f t="shared" si="13"/>
        <v>205</v>
      </c>
      <c r="D221" s="3">
        <f t="shared" ref="D221:D284" si="15">O220</f>
        <v>0</v>
      </c>
      <c r="E221" s="3">
        <f>ROUND(Table1[[#This Row],[Beginning Balance]]*Table1[[#This Row],[Monthly Interest Rate]],2)</f>
        <v>0</v>
      </c>
      <c r="F221" s="3">
        <f t="shared" si="14"/>
        <v>147</v>
      </c>
      <c r="G221" s="23">
        <f>IFERROR(IF($C$13="No","N/A",IF(Table1[[#This Row],[Period]]=1,$C$6,PMT(InterestRate*AmortizationMultiplier/12,Table1[[#This Row],[Am Thru]],-Table1[[#This Row],[Beginning Balance]]))),0)</f>
        <v>0</v>
      </c>
      <c r="H221" s="3">
        <f>MAX(0,IF(C221=$C$4,D221,ROUND(IF($C$3="Fixed Principal",$C$6-Table1[[#This Row],[Interest]],IF($C$3="Interest Only",Table1[[#This Row],[Beginning Balance]]*ROUND(1-(1-IF($C$11="No",$E$8,1))^(1/12),6),MIN(IF($C$13="Yes",Table1[[#This Row],[Payment Amount (Reamortized)]],$C$6)-Table1[[#This Row],[Interest]],Table1[[#This Row],[Beginning Balance]]))),2)))</f>
        <v>0</v>
      </c>
      <c r="I221" s="3">
        <f>_xlfn.SINGLE(IF($C$3="Line of Credit",0,ROUND(MAX(MIN(IF($C$10="No",$E$7,VLOOKUP(Table1[[#This Row],[Period]],Forecast!$H$2:$L$1048576,4,FALSE))*Table1[[#This Row],[Beginning Balance]],Table1[[#This Row],[Beginning Balance]]-Table1[[#This Row],[Principal]]),0),2)))</f>
        <v>0</v>
      </c>
      <c r="J221" s="3">
        <f>ROUND(MIN(Table1[[#This Row],[Beginning Balance]]*IF($C$8="No",$E$3,VLOOKUP(Table1[[#This Row],[Period]],Forecast!$H$2:$L$1048576,2,FALSE)),Table1[[#This Row],[Beginning Balance]]-Table1[[#This Row],[Principal]]-Table1[[#This Row],[Prepayments]]),2)</f>
        <v>0</v>
      </c>
      <c r="K221" s="3">
        <f>ROUND(Table1[[#This Row],[Defaulted Principal]]*IF($C$9="No",$E$4,VLOOKUP(Table1[[#This Row],[Period]],Forecast!$H$2:$L$1048576,3,FALSE)),2)</f>
        <v>0</v>
      </c>
      <c r="L221" s="2">
        <f>Table1[[#This Row],[Period]]+$E$9</f>
        <v>217</v>
      </c>
      <c r="M221" s="3">
        <f>Table1[[#This Row],[Defaulted Principal]]-Table1[[#This Row],[Estimated Loss]]</f>
        <v>0</v>
      </c>
      <c r="N221" s="3">
        <f>IFERROR(VLOOKUP(Table1[[#This Row],[Period]],$L$16:$M$385,2,FALSE),0)</f>
        <v>0</v>
      </c>
      <c r="O221" s="3">
        <f>Table1[[#This Row],[Beginning Balance]]-Table1[[#This Row],[Principal]]-Table1[[#This Row],[Prepayments]]-Table1[[#This Row],[Defaulted Principal]]</f>
        <v>0</v>
      </c>
      <c r="P221" s="3">
        <f>Table1[[#This Row],[Principal]]+Table1[[#This Row],[Interest]]+Table1[[#This Row],[Prepayments]]+Table1[[#This Row],[RecoveredAmount]]</f>
        <v>0</v>
      </c>
      <c r="Q221" s="3">
        <f ca="1">Table1[[#This Row],[Cash Flow]]/((1+ActualRateToUse)^(IF(ISNUMBER(SEARCH("Actual",$C$7)),Table1[[#This Row],[Running Total]]/365,Table1[[#This Row],[Period]]/12)))</f>
        <v>0</v>
      </c>
      <c r="R221" s="2">
        <f>IF(MONTH(Table1[[#This Row],[Date]])=2,28,DAY(DATE(YEAR(Table1[[#This Row],[Date]]),MONTH(Table1[[#This Row],[Date]])+1,1)-1))</f>
        <v>31</v>
      </c>
      <c r="S221" s="2">
        <f ca="1">SUM(OFFSET(Table1[[#Headers],[Days in month]],1,0):Table1[[#This Row],[Days in month]])</f>
        <v>6236</v>
      </c>
      <c r="T221" s="37">
        <f>InterestRate*AmortizationMultiplier*IF(ISNUMBER(SEARCH("Actual",$C$7)),Table1[[#This Row],[Days in month]]/365,1/12)</f>
        <v>6.0708333333333326E-3</v>
      </c>
    </row>
    <row r="222" spans="2:20" x14ac:dyDescent="0.2">
      <c r="B222" s="1">
        <f t="shared" si="12"/>
        <v>52109</v>
      </c>
      <c r="C222" s="2">
        <f t="shared" si="13"/>
        <v>206</v>
      </c>
      <c r="D222" s="3">
        <f t="shared" si="15"/>
        <v>0</v>
      </c>
      <c r="E222" s="3">
        <f>ROUND(Table1[[#This Row],[Beginning Balance]]*Table1[[#This Row],[Monthly Interest Rate]],2)</f>
        <v>0</v>
      </c>
      <c r="F222" s="3">
        <f t="shared" si="14"/>
        <v>146</v>
      </c>
      <c r="G222" s="23">
        <f>IFERROR(IF($C$13="No","N/A",IF(Table1[[#This Row],[Period]]=1,$C$6,PMT(InterestRate*AmortizationMultiplier/12,Table1[[#This Row],[Am Thru]],-Table1[[#This Row],[Beginning Balance]]))),0)</f>
        <v>0</v>
      </c>
      <c r="H222" s="3">
        <f>MAX(0,IF(C222=$C$4,D222,ROUND(IF($C$3="Fixed Principal",$C$6-Table1[[#This Row],[Interest]],IF($C$3="Interest Only",Table1[[#This Row],[Beginning Balance]]*ROUND(1-(1-IF($C$11="No",$E$8,1))^(1/12),6),MIN(IF($C$13="Yes",Table1[[#This Row],[Payment Amount (Reamortized)]],$C$6)-Table1[[#This Row],[Interest]],Table1[[#This Row],[Beginning Balance]]))),2)))</f>
        <v>0</v>
      </c>
      <c r="I222" s="3">
        <f>_xlfn.SINGLE(IF($C$3="Line of Credit",0,ROUND(MAX(MIN(IF($C$10="No",$E$7,VLOOKUP(Table1[[#This Row],[Period]],Forecast!$H$2:$L$1048576,4,FALSE))*Table1[[#This Row],[Beginning Balance]],Table1[[#This Row],[Beginning Balance]]-Table1[[#This Row],[Principal]]),0),2)))</f>
        <v>0</v>
      </c>
      <c r="J222" s="3">
        <f>ROUND(MIN(Table1[[#This Row],[Beginning Balance]]*IF($C$8="No",$E$3,VLOOKUP(Table1[[#This Row],[Period]],Forecast!$H$2:$L$1048576,2,FALSE)),Table1[[#This Row],[Beginning Balance]]-Table1[[#This Row],[Principal]]-Table1[[#This Row],[Prepayments]]),2)</f>
        <v>0</v>
      </c>
      <c r="K222" s="3">
        <f>ROUND(Table1[[#This Row],[Defaulted Principal]]*IF($C$9="No",$E$4,VLOOKUP(Table1[[#This Row],[Period]],Forecast!$H$2:$L$1048576,3,FALSE)),2)</f>
        <v>0</v>
      </c>
      <c r="L222" s="2">
        <f>Table1[[#This Row],[Period]]+$E$9</f>
        <v>218</v>
      </c>
      <c r="M222" s="3">
        <f>Table1[[#This Row],[Defaulted Principal]]-Table1[[#This Row],[Estimated Loss]]</f>
        <v>0</v>
      </c>
      <c r="N222" s="3">
        <f>IFERROR(VLOOKUP(Table1[[#This Row],[Period]],$L$16:$M$385,2,FALSE),0)</f>
        <v>0</v>
      </c>
      <c r="O222" s="3">
        <f>Table1[[#This Row],[Beginning Balance]]-Table1[[#This Row],[Principal]]-Table1[[#This Row],[Prepayments]]-Table1[[#This Row],[Defaulted Principal]]</f>
        <v>0</v>
      </c>
      <c r="P222" s="3">
        <f>Table1[[#This Row],[Principal]]+Table1[[#This Row],[Interest]]+Table1[[#This Row],[Prepayments]]+Table1[[#This Row],[RecoveredAmount]]</f>
        <v>0</v>
      </c>
      <c r="Q222" s="3">
        <f ca="1">Table1[[#This Row],[Cash Flow]]/((1+ActualRateToUse)^(IF(ISNUMBER(SEARCH("Actual",$C$7)),Table1[[#This Row],[Running Total]]/365,Table1[[#This Row],[Period]]/12)))</f>
        <v>0</v>
      </c>
      <c r="R222" s="2">
        <f>IF(MONTH(Table1[[#This Row],[Date]])=2,28,DAY(DATE(YEAR(Table1[[#This Row],[Date]]),MONTH(Table1[[#This Row],[Date]])+1,1)-1))</f>
        <v>31</v>
      </c>
      <c r="S222" s="2">
        <f ca="1">SUM(OFFSET(Table1[[#Headers],[Days in month]],1,0):Table1[[#This Row],[Days in month]])</f>
        <v>6267</v>
      </c>
      <c r="T222" s="37">
        <f>InterestRate*AmortizationMultiplier*IF(ISNUMBER(SEARCH("Actual",$C$7)),Table1[[#This Row],[Days in month]]/365,1/12)</f>
        <v>6.0708333333333326E-3</v>
      </c>
    </row>
    <row r="223" spans="2:20" x14ac:dyDescent="0.2">
      <c r="B223" s="1">
        <f t="shared" si="12"/>
        <v>52139</v>
      </c>
      <c r="C223" s="2">
        <f t="shared" si="13"/>
        <v>207</v>
      </c>
      <c r="D223" s="3">
        <f t="shared" si="15"/>
        <v>0</v>
      </c>
      <c r="E223" s="3">
        <f>ROUND(Table1[[#This Row],[Beginning Balance]]*Table1[[#This Row],[Monthly Interest Rate]],2)</f>
        <v>0</v>
      </c>
      <c r="F223" s="3">
        <f t="shared" si="14"/>
        <v>145</v>
      </c>
      <c r="G223" s="23">
        <f>IFERROR(IF($C$13="No","N/A",IF(Table1[[#This Row],[Period]]=1,$C$6,PMT(InterestRate*AmortizationMultiplier/12,Table1[[#This Row],[Am Thru]],-Table1[[#This Row],[Beginning Balance]]))),0)</f>
        <v>0</v>
      </c>
      <c r="H223" s="3">
        <f>MAX(0,IF(C223=$C$4,D223,ROUND(IF($C$3="Fixed Principal",$C$6-Table1[[#This Row],[Interest]],IF($C$3="Interest Only",Table1[[#This Row],[Beginning Balance]]*ROUND(1-(1-IF($C$11="No",$E$8,1))^(1/12),6),MIN(IF($C$13="Yes",Table1[[#This Row],[Payment Amount (Reamortized)]],$C$6)-Table1[[#This Row],[Interest]],Table1[[#This Row],[Beginning Balance]]))),2)))</f>
        <v>0</v>
      </c>
      <c r="I223" s="3">
        <f>_xlfn.SINGLE(IF($C$3="Line of Credit",0,ROUND(MAX(MIN(IF($C$10="No",$E$7,VLOOKUP(Table1[[#This Row],[Period]],Forecast!$H$2:$L$1048576,4,FALSE))*Table1[[#This Row],[Beginning Balance]],Table1[[#This Row],[Beginning Balance]]-Table1[[#This Row],[Principal]]),0),2)))</f>
        <v>0</v>
      </c>
      <c r="J223" s="3">
        <f>ROUND(MIN(Table1[[#This Row],[Beginning Balance]]*IF($C$8="No",$E$3,VLOOKUP(Table1[[#This Row],[Period]],Forecast!$H$2:$L$1048576,2,FALSE)),Table1[[#This Row],[Beginning Balance]]-Table1[[#This Row],[Principal]]-Table1[[#This Row],[Prepayments]]),2)</f>
        <v>0</v>
      </c>
      <c r="K223" s="3">
        <f>ROUND(Table1[[#This Row],[Defaulted Principal]]*IF($C$9="No",$E$4,VLOOKUP(Table1[[#This Row],[Period]],Forecast!$H$2:$L$1048576,3,FALSE)),2)</f>
        <v>0</v>
      </c>
      <c r="L223" s="2">
        <f>Table1[[#This Row],[Period]]+$E$9</f>
        <v>219</v>
      </c>
      <c r="M223" s="3">
        <f>Table1[[#This Row],[Defaulted Principal]]-Table1[[#This Row],[Estimated Loss]]</f>
        <v>0</v>
      </c>
      <c r="N223" s="3">
        <f>IFERROR(VLOOKUP(Table1[[#This Row],[Period]],$L$16:$M$385,2,FALSE),0)</f>
        <v>0</v>
      </c>
      <c r="O223" s="3">
        <f>Table1[[#This Row],[Beginning Balance]]-Table1[[#This Row],[Principal]]-Table1[[#This Row],[Prepayments]]-Table1[[#This Row],[Defaulted Principal]]</f>
        <v>0</v>
      </c>
      <c r="P223" s="3">
        <f>Table1[[#This Row],[Principal]]+Table1[[#This Row],[Interest]]+Table1[[#This Row],[Prepayments]]+Table1[[#This Row],[RecoveredAmount]]</f>
        <v>0</v>
      </c>
      <c r="Q223" s="3">
        <f ca="1">Table1[[#This Row],[Cash Flow]]/((1+ActualRateToUse)^(IF(ISNUMBER(SEARCH("Actual",$C$7)),Table1[[#This Row],[Running Total]]/365,Table1[[#This Row],[Period]]/12)))</f>
        <v>0</v>
      </c>
      <c r="R223" s="2">
        <f>IF(MONTH(Table1[[#This Row],[Date]])=2,28,DAY(DATE(YEAR(Table1[[#This Row],[Date]]),MONTH(Table1[[#This Row],[Date]])+1,1)-1))</f>
        <v>30</v>
      </c>
      <c r="S223" s="2">
        <f ca="1">SUM(OFFSET(Table1[[#Headers],[Days in month]],1,0):Table1[[#This Row],[Days in month]])</f>
        <v>6297</v>
      </c>
      <c r="T223" s="37">
        <f>InterestRate*AmortizationMultiplier*IF(ISNUMBER(SEARCH("Actual",$C$7)),Table1[[#This Row],[Days in month]]/365,1/12)</f>
        <v>5.8749999999999991E-3</v>
      </c>
    </row>
    <row r="224" spans="2:20" x14ac:dyDescent="0.2">
      <c r="B224" s="1">
        <f t="shared" si="12"/>
        <v>52170</v>
      </c>
      <c r="C224" s="2">
        <f t="shared" si="13"/>
        <v>208</v>
      </c>
      <c r="D224" s="3">
        <f t="shared" si="15"/>
        <v>0</v>
      </c>
      <c r="E224" s="3">
        <f>ROUND(Table1[[#This Row],[Beginning Balance]]*Table1[[#This Row],[Monthly Interest Rate]],2)</f>
        <v>0</v>
      </c>
      <c r="F224" s="3">
        <f t="shared" si="14"/>
        <v>144</v>
      </c>
      <c r="G224" s="23">
        <f>IFERROR(IF($C$13="No","N/A",IF(Table1[[#This Row],[Period]]=1,$C$6,PMT(InterestRate*AmortizationMultiplier/12,Table1[[#This Row],[Am Thru]],-Table1[[#This Row],[Beginning Balance]]))),0)</f>
        <v>0</v>
      </c>
      <c r="H224" s="3">
        <f>MAX(0,IF(C224=$C$4,D224,ROUND(IF($C$3="Fixed Principal",$C$6-Table1[[#This Row],[Interest]],IF($C$3="Interest Only",Table1[[#This Row],[Beginning Balance]]*ROUND(1-(1-IF($C$11="No",$E$8,1))^(1/12),6),MIN(IF($C$13="Yes",Table1[[#This Row],[Payment Amount (Reamortized)]],$C$6)-Table1[[#This Row],[Interest]],Table1[[#This Row],[Beginning Balance]]))),2)))</f>
        <v>0</v>
      </c>
      <c r="I224" s="3">
        <f>_xlfn.SINGLE(IF($C$3="Line of Credit",0,ROUND(MAX(MIN(IF($C$10="No",$E$7,VLOOKUP(Table1[[#This Row],[Period]],Forecast!$H$2:$L$1048576,4,FALSE))*Table1[[#This Row],[Beginning Balance]],Table1[[#This Row],[Beginning Balance]]-Table1[[#This Row],[Principal]]),0),2)))</f>
        <v>0</v>
      </c>
      <c r="J224" s="3">
        <f>ROUND(MIN(Table1[[#This Row],[Beginning Balance]]*IF($C$8="No",$E$3,VLOOKUP(Table1[[#This Row],[Period]],Forecast!$H$2:$L$1048576,2,FALSE)),Table1[[#This Row],[Beginning Balance]]-Table1[[#This Row],[Principal]]-Table1[[#This Row],[Prepayments]]),2)</f>
        <v>0</v>
      </c>
      <c r="K224" s="3">
        <f>ROUND(Table1[[#This Row],[Defaulted Principal]]*IF($C$9="No",$E$4,VLOOKUP(Table1[[#This Row],[Period]],Forecast!$H$2:$L$1048576,3,FALSE)),2)</f>
        <v>0</v>
      </c>
      <c r="L224" s="2">
        <f>Table1[[#This Row],[Period]]+$E$9</f>
        <v>220</v>
      </c>
      <c r="M224" s="3">
        <f>Table1[[#This Row],[Defaulted Principal]]-Table1[[#This Row],[Estimated Loss]]</f>
        <v>0</v>
      </c>
      <c r="N224" s="3">
        <f>IFERROR(VLOOKUP(Table1[[#This Row],[Period]],$L$16:$M$385,2,FALSE),0)</f>
        <v>0</v>
      </c>
      <c r="O224" s="3">
        <f>Table1[[#This Row],[Beginning Balance]]-Table1[[#This Row],[Principal]]-Table1[[#This Row],[Prepayments]]-Table1[[#This Row],[Defaulted Principal]]</f>
        <v>0</v>
      </c>
      <c r="P224" s="3">
        <f>Table1[[#This Row],[Principal]]+Table1[[#This Row],[Interest]]+Table1[[#This Row],[Prepayments]]+Table1[[#This Row],[RecoveredAmount]]</f>
        <v>0</v>
      </c>
      <c r="Q224" s="3">
        <f ca="1">Table1[[#This Row],[Cash Flow]]/((1+ActualRateToUse)^(IF(ISNUMBER(SEARCH("Actual",$C$7)),Table1[[#This Row],[Running Total]]/365,Table1[[#This Row],[Period]]/12)))</f>
        <v>0</v>
      </c>
      <c r="R224" s="2">
        <f>IF(MONTH(Table1[[#This Row],[Date]])=2,28,DAY(DATE(YEAR(Table1[[#This Row],[Date]]),MONTH(Table1[[#This Row],[Date]])+1,1)-1))</f>
        <v>31</v>
      </c>
      <c r="S224" s="2">
        <f ca="1">SUM(OFFSET(Table1[[#Headers],[Days in month]],1,0):Table1[[#This Row],[Days in month]])</f>
        <v>6328</v>
      </c>
      <c r="T224" s="37">
        <f>InterestRate*AmortizationMultiplier*IF(ISNUMBER(SEARCH("Actual",$C$7)),Table1[[#This Row],[Days in month]]/365,1/12)</f>
        <v>6.0708333333333326E-3</v>
      </c>
    </row>
    <row r="225" spans="2:20" x14ac:dyDescent="0.2">
      <c r="B225" s="1">
        <f t="shared" si="12"/>
        <v>52200</v>
      </c>
      <c r="C225" s="2">
        <f t="shared" si="13"/>
        <v>209</v>
      </c>
      <c r="D225" s="3">
        <f t="shared" si="15"/>
        <v>0</v>
      </c>
      <c r="E225" s="3">
        <f>ROUND(Table1[[#This Row],[Beginning Balance]]*Table1[[#This Row],[Monthly Interest Rate]],2)</f>
        <v>0</v>
      </c>
      <c r="F225" s="3">
        <f t="shared" si="14"/>
        <v>143</v>
      </c>
      <c r="G225" s="23">
        <f>IFERROR(IF($C$13="No","N/A",IF(Table1[[#This Row],[Period]]=1,$C$6,PMT(InterestRate*AmortizationMultiplier/12,Table1[[#This Row],[Am Thru]],-Table1[[#This Row],[Beginning Balance]]))),0)</f>
        <v>0</v>
      </c>
      <c r="H225" s="3">
        <f>MAX(0,IF(C225=$C$4,D225,ROUND(IF($C$3="Fixed Principal",$C$6-Table1[[#This Row],[Interest]],IF($C$3="Interest Only",Table1[[#This Row],[Beginning Balance]]*ROUND(1-(1-IF($C$11="No",$E$8,1))^(1/12),6),MIN(IF($C$13="Yes",Table1[[#This Row],[Payment Amount (Reamortized)]],$C$6)-Table1[[#This Row],[Interest]],Table1[[#This Row],[Beginning Balance]]))),2)))</f>
        <v>0</v>
      </c>
      <c r="I225" s="3">
        <f>_xlfn.SINGLE(IF($C$3="Line of Credit",0,ROUND(MAX(MIN(IF($C$10="No",$E$7,VLOOKUP(Table1[[#This Row],[Period]],Forecast!$H$2:$L$1048576,4,FALSE))*Table1[[#This Row],[Beginning Balance]],Table1[[#This Row],[Beginning Balance]]-Table1[[#This Row],[Principal]]),0),2)))</f>
        <v>0</v>
      </c>
      <c r="J225" s="3">
        <f>ROUND(MIN(Table1[[#This Row],[Beginning Balance]]*IF($C$8="No",$E$3,VLOOKUP(Table1[[#This Row],[Period]],Forecast!$H$2:$L$1048576,2,FALSE)),Table1[[#This Row],[Beginning Balance]]-Table1[[#This Row],[Principal]]-Table1[[#This Row],[Prepayments]]),2)</f>
        <v>0</v>
      </c>
      <c r="K225" s="3">
        <f>ROUND(Table1[[#This Row],[Defaulted Principal]]*IF($C$9="No",$E$4,VLOOKUP(Table1[[#This Row],[Period]],Forecast!$H$2:$L$1048576,3,FALSE)),2)</f>
        <v>0</v>
      </c>
      <c r="L225" s="2">
        <f>Table1[[#This Row],[Period]]+$E$9</f>
        <v>221</v>
      </c>
      <c r="M225" s="3">
        <f>Table1[[#This Row],[Defaulted Principal]]-Table1[[#This Row],[Estimated Loss]]</f>
        <v>0</v>
      </c>
      <c r="N225" s="3">
        <f>IFERROR(VLOOKUP(Table1[[#This Row],[Period]],$L$16:$M$385,2,FALSE),0)</f>
        <v>0</v>
      </c>
      <c r="O225" s="3">
        <f>Table1[[#This Row],[Beginning Balance]]-Table1[[#This Row],[Principal]]-Table1[[#This Row],[Prepayments]]-Table1[[#This Row],[Defaulted Principal]]</f>
        <v>0</v>
      </c>
      <c r="P225" s="3">
        <f>Table1[[#This Row],[Principal]]+Table1[[#This Row],[Interest]]+Table1[[#This Row],[Prepayments]]+Table1[[#This Row],[RecoveredAmount]]</f>
        <v>0</v>
      </c>
      <c r="Q225" s="3">
        <f ca="1">Table1[[#This Row],[Cash Flow]]/((1+ActualRateToUse)^(IF(ISNUMBER(SEARCH("Actual",$C$7)),Table1[[#This Row],[Running Total]]/365,Table1[[#This Row],[Period]]/12)))</f>
        <v>0</v>
      </c>
      <c r="R225" s="2">
        <f>IF(MONTH(Table1[[#This Row],[Date]])=2,28,DAY(DATE(YEAR(Table1[[#This Row],[Date]]),MONTH(Table1[[#This Row],[Date]])+1,1)-1))</f>
        <v>30</v>
      </c>
      <c r="S225" s="2">
        <f ca="1">SUM(OFFSET(Table1[[#Headers],[Days in month]],1,0):Table1[[#This Row],[Days in month]])</f>
        <v>6358</v>
      </c>
      <c r="T225" s="37">
        <f>InterestRate*AmortizationMultiplier*IF(ISNUMBER(SEARCH("Actual",$C$7)),Table1[[#This Row],[Days in month]]/365,1/12)</f>
        <v>5.8749999999999991E-3</v>
      </c>
    </row>
    <row r="226" spans="2:20" x14ac:dyDescent="0.2">
      <c r="B226" s="1">
        <f t="shared" si="12"/>
        <v>52231</v>
      </c>
      <c r="C226" s="2">
        <f t="shared" si="13"/>
        <v>210</v>
      </c>
      <c r="D226" s="3">
        <f t="shared" si="15"/>
        <v>0</v>
      </c>
      <c r="E226" s="3">
        <f>ROUND(Table1[[#This Row],[Beginning Balance]]*Table1[[#This Row],[Monthly Interest Rate]],2)</f>
        <v>0</v>
      </c>
      <c r="F226" s="3">
        <f t="shared" si="14"/>
        <v>142</v>
      </c>
      <c r="G226" s="23">
        <f>IFERROR(IF($C$13="No","N/A",IF(Table1[[#This Row],[Period]]=1,$C$6,PMT(InterestRate*AmortizationMultiplier/12,Table1[[#This Row],[Am Thru]],-Table1[[#This Row],[Beginning Balance]]))),0)</f>
        <v>0</v>
      </c>
      <c r="H226" s="3">
        <f>MAX(0,IF(C226=$C$4,D226,ROUND(IF($C$3="Fixed Principal",$C$6-Table1[[#This Row],[Interest]],IF($C$3="Interest Only",Table1[[#This Row],[Beginning Balance]]*ROUND(1-(1-IF($C$11="No",$E$8,1))^(1/12),6),MIN(IF($C$13="Yes",Table1[[#This Row],[Payment Amount (Reamortized)]],$C$6)-Table1[[#This Row],[Interest]],Table1[[#This Row],[Beginning Balance]]))),2)))</f>
        <v>0</v>
      </c>
      <c r="I226" s="3">
        <f>_xlfn.SINGLE(IF($C$3="Line of Credit",0,ROUND(MAX(MIN(IF($C$10="No",$E$7,VLOOKUP(Table1[[#This Row],[Period]],Forecast!$H$2:$L$1048576,4,FALSE))*Table1[[#This Row],[Beginning Balance]],Table1[[#This Row],[Beginning Balance]]-Table1[[#This Row],[Principal]]),0),2)))</f>
        <v>0</v>
      </c>
      <c r="J226" s="3">
        <f>ROUND(MIN(Table1[[#This Row],[Beginning Balance]]*IF($C$8="No",$E$3,VLOOKUP(Table1[[#This Row],[Period]],Forecast!$H$2:$L$1048576,2,FALSE)),Table1[[#This Row],[Beginning Balance]]-Table1[[#This Row],[Principal]]-Table1[[#This Row],[Prepayments]]),2)</f>
        <v>0</v>
      </c>
      <c r="K226" s="3">
        <f>ROUND(Table1[[#This Row],[Defaulted Principal]]*IF($C$9="No",$E$4,VLOOKUP(Table1[[#This Row],[Period]],Forecast!$H$2:$L$1048576,3,FALSE)),2)</f>
        <v>0</v>
      </c>
      <c r="L226" s="2">
        <f>Table1[[#This Row],[Period]]+$E$9</f>
        <v>222</v>
      </c>
      <c r="M226" s="3">
        <f>Table1[[#This Row],[Defaulted Principal]]-Table1[[#This Row],[Estimated Loss]]</f>
        <v>0</v>
      </c>
      <c r="N226" s="3">
        <f>IFERROR(VLOOKUP(Table1[[#This Row],[Period]],$L$16:$M$385,2,FALSE),0)</f>
        <v>0</v>
      </c>
      <c r="O226" s="3">
        <f>Table1[[#This Row],[Beginning Balance]]-Table1[[#This Row],[Principal]]-Table1[[#This Row],[Prepayments]]-Table1[[#This Row],[Defaulted Principal]]</f>
        <v>0</v>
      </c>
      <c r="P226" s="3">
        <f>Table1[[#This Row],[Principal]]+Table1[[#This Row],[Interest]]+Table1[[#This Row],[Prepayments]]+Table1[[#This Row],[RecoveredAmount]]</f>
        <v>0</v>
      </c>
      <c r="Q226" s="3">
        <f ca="1">Table1[[#This Row],[Cash Flow]]/((1+ActualRateToUse)^(IF(ISNUMBER(SEARCH("Actual",$C$7)),Table1[[#This Row],[Running Total]]/365,Table1[[#This Row],[Period]]/12)))</f>
        <v>0</v>
      </c>
      <c r="R226" s="2">
        <f>IF(MONTH(Table1[[#This Row],[Date]])=2,28,DAY(DATE(YEAR(Table1[[#This Row],[Date]]),MONTH(Table1[[#This Row],[Date]])+1,1)-1))</f>
        <v>31</v>
      </c>
      <c r="S226" s="2">
        <f ca="1">SUM(OFFSET(Table1[[#Headers],[Days in month]],1,0):Table1[[#This Row],[Days in month]])</f>
        <v>6389</v>
      </c>
      <c r="T226" s="37">
        <f>InterestRate*AmortizationMultiplier*IF(ISNUMBER(SEARCH("Actual",$C$7)),Table1[[#This Row],[Days in month]]/365,1/12)</f>
        <v>6.0708333333333326E-3</v>
      </c>
    </row>
    <row r="227" spans="2:20" x14ac:dyDescent="0.2">
      <c r="B227" s="1">
        <f t="shared" si="12"/>
        <v>52262</v>
      </c>
      <c r="C227" s="2">
        <f t="shared" si="13"/>
        <v>211</v>
      </c>
      <c r="D227" s="3">
        <f t="shared" si="15"/>
        <v>0</v>
      </c>
      <c r="E227" s="3">
        <f>ROUND(Table1[[#This Row],[Beginning Balance]]*Table1[[#This Row],[Monthly Interest Rate]],2)</f>
        <v>0</v>
      </c>
      <c r="F227" s="3">
        <f t="shared" si="14"/>
        <v>141</v>
      </c>
      <c r="G227" s="23">
        <f>IFERROR(IF($C$13="No","N/A",IF(Table1[[#This Row],[Period]]=1,$C$6,PMT(InterestRate*AmortizationMultiplier/12,Table1[[#This Row],[Am Thru]],-Table1[[#This Row],[Beginning Balance]]))),0)</f>
        <v>0</v>
      </c>
      <c r="H227" s="3">
        <f>MAX(0,IF(C227=$C$4,D227,ROUND(IF($C$3="Fixed Principal",$C$6-Table1[[#This Row],[Interest]],IF($C$3="Interest Only",Table1[[#This Row],[Beginning Balance]]*ROUND(1-(1-IF($C$11="No",$E$8,1))^(1/12),6),MIN(IF($C$13="Yes",Table1[[#This Row],[Payment Amount (Reamortized)]],$C$6)-Table1[[#This Row],[Interest]],Table1[[#This Row],[Beginning Balance]]))),2)))</f>
        <v>0</v>
      </c>
      <c r="I227" s="3">
        <f>_xlfn.SINGLE(IF($C$3="Line of Credit",0,ROUND(MAX(MIN(IF($C$10="No",$E$7,VLOOKUP(Table1[[#This Row],[Period]],Forecast!$H$2:$L$1048576,4,FALSE))*Table1[[#This Row],[Beginning Balance]],Table1[[#This Row],[Beginning Balance]]-Table1[[#This Row],[Principal]]),0),2)))</f>
        <v>0</v>
      </c>
      <c r="J227" s="3">
        <f>ROUND(MIN(Table1[[#This Row],[Beginning Balance]]*IF($C$8="No",$E$3,VLOOKUP(Table1[[#This Row],[Period]],Forecast!$H$2:$L$1048576,2,FALSE)),Table1[[#This Row],[Beginning Balance]]-Table1[[#This Row],[Principal]]-Table1[[#This Row],[Prepayments]]),2)</f>
        <v>0</v>
      </c>
      <c r="K227" s="3">
        <f>ROUND(Table1[[#This Row],[Defaulted Principal]]*IF($C$9="No",$E$4,VLOOKUP(Table1[[#This Row],[Period]],Forecast!$H$2:$L$1048576,3,FALSE)),2)</f>
        <v>0</v>
      </c>
      <c r="L227" s="2">
        <f>Table1[[#This Row],[Period]]+$E$9</f>
        <v>223</v>
      </c>
      <c r="M227" s="3">
        <f>Table1[[#This Row],[Defaulted Principal]]-Table1[[#This Row],[Estimated Loss]]</f>
        <v>0</v>
      </c>
      <c r="N227" s="3">
        <f>IFERROR(VLOOKUP(Table1[[#This Row],[Period]],$L$16:$M$385,2,FALSE),0)</f>
        <v>0</v>
      </c>
      <c r="O227" s="3">
        <f>Table1[[#This Row],[Beginning Balance]]-Table1[[#This Row],[Principal]]-Table1[[#This Row],[Prepayments]]-Table1[[#This Row],[Defaulted Principal]]</f>
        <v>0</v>
      </c>
      <c r="P227" s="3">
        <f>Table1[[#This Row],[Principal]]+Table1[[#This Row],[Interest]]+Table1[[#This Row],[Prepayments]]+Table1[[#This Row],[RecoveredAmount]]</f>
        <v>0</v>
      </c>
      <c r="Q227" s="3">
        <f ca="1">Table1[[#This Row],[Cash Flow]]/((1+ActualRateToUse)^(IF(ISNUMBER(SEARCH("Actual",$C$7)),Table1[[#This Row],[Running Total]]/365,Table1[[#This Row],[Period]]/12)))</f>
        <v>0</v>
      </c>
      <c r="R227" s="2">
        <f>IF(MONTH(Table1[[#This Row],[Date]])=2,28,DAY(DATE(YEAR(Table1[[#This Row],[Date]]),MONTH(Table1[[#This Row],[Date]])+1,1)-1))</f>
        <v>31</v>
      </c>
      <c r="S227" s="2">
        <f ca="1">SUM(OFFSET(Table1[[#Headers],[Days in month]],1,0):Table1[[#This Row],[Days in month]])</f>
        <v>6420</v>
      </c>
      <c r="T227" s="37">
        <f>InterestRate*AmortizationMultiplier*IF(ISNUMBER(SEARCH("Actual",$C$7)),Table1[[#This Row],[Days in month]]/365,1/12)</f>
        <v>6.0708333333333326E-3</v>
      </c>
    </row>
    <row r="228" spans="2:20" x14ac:dyDescent="0.2">
      <c r="B228" s="1">
        <f t="shared" si="12"/>
        <v>52290</v>
      </c>
      <c r="C228" s="2">
        <f t="shared" si="13"/>
        <v>212</v>
      </c>
      <c r="D228" s="3">
        <f t="shared" si="15"/>
        <v>0</v>
      </c>
      <c r="E228" s="3">
        <f>ROUND(Table1[[#This Row],[Beginning Balance]]*Table1[[#This Row],[Monthly Interest Rate]],2)</f>
        <v>0</v>
      </c>
      <c r="F228" s="3">
        <f t="shared" si="14"/>
        <v>140</v>
      </c>
      <c r="G228" s="23">
        <f>IFERROR(IF($C$13="No","N/A",IF(Table1[[#This Row],[Period]]=1,$C$6,PMT(InterestRate*AmortizationMultiplier/12,Table1[[#This Row],[Am Thru]],-Table1[[#This Row],[Beginning Balance]]))),0)</f>
        <v>0</v>
      </c>
      <c r="H228" s="3">
        <f>MAX(0,IF(C228=$C$4,D228,ROUND(IF($C$3="Fixed Principal",$C$6-Table1[[#This Row],[Interest]],IF($C$3="Interest Only",Table1[[#This Row],[Beginning Balance]]*ROUND(1-(1-IF($C$11="No",$E$8,1))^(1/12),6),MIN(IF($C$13="Yes",Table1[[#This Row],[Payment Amount (Reamortized)]],$C$6)-Table1[[#This Row],[Interest]],Table1[[#This Row],[Beginning Balance]]))),2)))</f>
        <v>0</v>
      </c>
      <c r="I228" s="3">
        <f>_xlfn.SINGLE(IF($C$3="Line of Credit",0,ROUND(MAX(MIN(IF($C$10="No",$E$7,VLOOKUP(Table1[[#This Row],[Period]],Forecast!$H$2:$L$1048576,4,FALSE))*Table1[[#This Row],[Beginning Balance]],Table1[[#This Row],[Beginning Balance]]-Table1[[#This Row],[Principal]]),0),2)))</f>
        <v>0</v>
      </c>
      <c r="J228" s="3">
        <f>ROUND(MIN(Table1[[#This Row],[Beginning Balance]]*IF($C$8="No",$E$3,VLOOKUP(Table1[[#This Row],[Period]],Forecast!$H$2:$L$1048576,2,FALSE)),Table1[[#This Row],[Beginning Balance]]-Table1[[#This Row],[Principal]]-Table1[[#This Row],[Prepayments]]),2)</f>
        <v>0</v>
      </c>
      <c r="K228" s="3">
        <f>ROUND(Table1[[#This Row],[Defaulted Principal]]*IF($C$9="No",$E$4,VLOOKUP(Table1[[#This Row],[Period]],Forecast!$H$2:$L$1048576,3,FALSE)),2)</f>
        <v>0</v>
      </c>
      <c r="L228" s="2">
        <f>Table1[[#This Row],[Period]]+$E$9</f>
        <v>224</v>
      </c>
      <c r="M228" s="3">
        <f>Table1[[#This Row],[Defaulted Principal]]-Table1[[#This Row],[Estimated Loss]]</f>
        <v>0</v>
      </c>
      <c r="N228" s="3">
        <f>IFERROR(VLOOKUP(Table1[[#This Row],[Period]],$L$16:$M$385,2,FALSE),0)</f>
        <v>0</v>
      </c>
      <c r="O228" s="3">
        <f>Table1[[#This Row],[Beginning Balance]]-Table1[[#This Row],[Principal]]-Table1[[#This Row],[Prepayments]]-Table1[[#This Row],[Defaulted Principal]]</f>
        <v>0</v>
      </c>
      <c r="P228" s="3">
        <f>Table1[[#This Row],[Principal]]+Table1[[#This Row],[Interest]]+Table1[[#This Row],[Prepayments]]+Table1[[#This Row],[RecoveredAmount]]</f>
        <v>0</v>
      </c>
      <c r="Q228" s="3">
        <f ca="1">Table1[[#This Row],[Cash Flow]]/((1+ActualRateToUse)^(IF(ISNUMBER(SEARCH("Actual",$C$7)),Table1[[#This Row],[Running Total]]/365,Table1[[#This Row],[Period]]/12)))</f>
        <v>0</v>
      </c>
      <c r="R228" s="2">
        <f>IF(MONTH(Table1[[#This Row],[Date]])=2,28,DAY(DATE(YEAR(Table1[[#This Row],[Date]]),MONTH(Table1[[#This Row],[Date]])+1,1)-1))</f>
        <v>28</v>
      </c>
      <c r="S228" s="2">
        <f ca="1">SUM(OFFSET(Table1[[#Headers],[Days in month]],1,0):Table1[[#This Row],[Days in month]])</f>
        <v>6448</v>
      </c>
      <c r="T228" s="37">
        <f>InterestRate*AmortizationMultiplier*IF(ISNUMBER(SEARCH("Actual",$C$7)),Table1[[#This Row],[Days in month]]/365,1/12)</f>
        <v>5.4833333333333331E-3</v>
      </c>
    </row>
    <row r="229" spans="2:20" x14ac:dyDescent="0.2">
      <c r="B229" s="1">
        <f t="shared" si="12"/>
        <v>52321</v>
      </c>
      <c r="C229" s="2">
        <f t="shared" si="13"/>
        <v>213</v>
      </c>
      <c r="D229" s="3">
        <f t="shared" si="15"/>
        <v>0</v>
      </c>
      <c r="E229" s="3">
        <f>ROUND(Table1[[#This Row],[Beginning Balance]]*Table1[[#This Row],[Monthly Interest Rate]],2)</f>
        <v>0</v>
      </c>
      <c r="F229" s="3">
        <f t="shared" si="14"/>
        <v>139</v>
      </c>
      <c r="G229" s="23">
        <f>IFERROR(IF($C$13="No","N/A",IF(Table1[[#This Row],[Period]]=1,$C$6,PMT(InterestRate*AmortizationMultiplier/12,Table1[[#This Row],[Am Thru]],-Table1[[#This Row],[Beginning Balance]]))),0)</f>
        <v>0</v>
      </c>
      <c r="H229" s="3">
        <f>MAX(0,IF(C229=$C$4,D229,ROUND(IF($C$3="Fixed Principal",$C$6-Table1[[#This Row],[Interest]],IF($C$3="Interest Only",Table1[[#This Row],[Beginning Balance]]*ROUND(1-(1-IF($C$11="No",$E$8,1))^(1/12),6),MIN(IF($C$13="Yes",Table1[[#This Row],[Payment Amount (Reamortized)]],$C$6)-Table1[[#This Row],[Interest]],Table1[[#This Row],[Beginning Balance]]))),2)))</f>
        <v>0</v>
      </c>
      <c r="I229" s="3">
        <f>_xlfn.SINGLE(IF($C$3="Line of Credit",0,ROUND(MAX(MIN(IF($C$10="No",$E$7,VLOOKUP(Table1[[#This Row],[Period]],Forecast!$H$2:$L$1048576,4,FALSE))*Table1[[#This Row],[Beginning Balance]],Table1[[#This Row],[Beginning Balance]]-Table1[[#This Row],[Principal]]),0),2)))</f>
        <v>0</v>
      </c>
      <c r="J229" s="3">
        <f>ROUND(MIN(Table1[[#This Row],[Beginning Balance]]*IF($C$8="No",$E$3,VLOOKUP(Table1[[#This Row],[Period]],Forecast!$H$2:$L$1048576,2,FALSE)),Table1[[#This Row],[Beginning Balance]]-Table1[[#This Row],[Principal]]-Table1[[#This Row],[Prepayments]]),2)</f>
        <v>0</v>
      </c>
      <c r="K229" s="3">
        <f>ROUND(Table1[[#This Row],[Defaulted Principal]]*IF($C$9="No",$E$4,VLOOKUP(Table1[[#This Row],[Period]],Forecast!$H$2:$L$1048576,3,FALSE)),2)</f>
        <v>0</v>
      </c>
      <c r="L229" s="2">
        <f>Table1[[#This Row],[Period]]+$E$9</f>
        <v>225</v>
      </c>
      <c r="M229" s="3">
        <f>Table1[[#This Row],[Defaulted Principal]]-Table1[[#This Row],[Estimated Loss]]</f>
        <v>0</v>
      </c>
      <c r="N229" s="3">
        <f>IFERROR(VLOOKUP(Table1[[#This Row],[Period]],$L$16:$M$385,2,FALSE),0)</f>
        <v>0</v>
      </c>
      <c r="O229" s="3">
        <f>Table1[[#This Row],[Beginning Balance]]-Table1[[#This Row],[Principal]]-Table1[[#This Row],[Prepayments]]-Table1[[#This Row],[Defaulted Principal]]</f>
        <v>0</v>
      </c>
      <c r="P229" s="3">
        <f>Table1[[#This Row],[Principal]]+Table1[[#This Row],[Interest]]+Table1[[#This Row],[Prepayments]]+Table1[[#This Row],[RecoveredAmount]]</f>
        <v>0</v>
      </c>
      <c r="Q229" s="3">
        <f ca="1">Table1[[#This Row],[Cash Flow]]/((1+ActualRateToUse)^(IF(ISNUMBER(SEARCH("Actual",$C$7)),Table1[[#This Row],[Running Total]]/365,Table1[[#This Row],[Period]]/12)))</f>
        <v>0</v>
      </c>
      <c r="R229" s="2">
        <f>IF(MONTH(Table1[[#This Row],[Date]])=2,28,DAY(DATE(YEAR(Table1[[#This Row],[Date]]),MONTH(Table1[[#This Row],[Date]])+1,1)-1))</f>
        <v>31</v>
      </c>
      <c r="S229" s="2">
        <f ca="1">SUM(OFFSET(Table1[[#Headers],[Days in month]],1,0):Table1[[#This Row],[Days in month]])</f>
        <v>6479</v>
      </c>
      <c r="T229" s="37">
        <f>InterestRate*AmortizationMultiplier*IF(ISNUMBER(SEARCH("Actual",$C$7)),Table1[[#This Row],[Days in month]]/365,1/12)</f>
        <v>6.0708333333333326E-3</v>
      </c>
    </row>
    <row r="230" spans="2:20" x14ac:dyDescent="0.2">
      <c r="B230" s="1">
        <f t="shared" si="12"/>
        <v>52351</v>
      </c>
      <c r="C230" s="2">
        <f t="shared" si="13"/>
        <v>214</v>
      </c>
      <c r="D230" s="3">
        <f t="shared" si="15"/>
        <v>0</v>
      </c>
      <c r="E230" s="3">
        <f>ROUND(Table1[[#This Row],[Beginning Balance]]*Table1[[#This Row],[Monthly Interest Rate]],2)</f>
        <v>0</v>
      </c>
      <c r="F230" s="3">
        <f t="shared" si="14"/>
        <v>138</v>
      </c>
      <c r="G230" s="23">
        <f>IFERROR(IF($C$13="No","N/A",IF(Table1[[#This Row],[Period]]=1,$C$6,PMT(InterestRate*AmortizationMultiplier/12,Table1[[#This Row],[Am Thru]],-Table1[[#This Row],[Beginning Balance]]))),0)</f>
        <v>0</v>
      </c>
      <c r="H230" s="3">
        <f>MAX(0,IF(C230=$C$4,D230,ROUND(IF($C$3="Fixed Principal",$C$6-Table1[[#This Row],[Interest]],IF($C$3="Interest Only",Table1[[#This Row],[Beginning Balance]]*ROUND(1-(1-IF($C$11="No",$E$8,1))^(1/12),6),MIN(IF($C$13="Yes",Table1[[#This Row],[Payment Amount (Reamortized)]],$C$6)-Table1[[#This Row],[Interest]],Table1[[#This Row],[Beginning Balance]]))),2)))</f>
        <v>0</v>
      </c>
      <c r="I230" s="3">
        <f>_xlfn.SINGLE(IF($C$3="Line of Credit",0,ROUND(MAX(MIN(IF($C$10="No",$E$7,VLOOKUP(Table1[[#This Row],[Period]],Forecast!$H$2:$L$1048576,4,FALSE))*Table1[[#This Row],[Beginning Balance]],Table1[[#This Row],[Beginning Balance]]-Table1[[#This Row],[Principal]]),0),2)))</f>
        <v>0</v>
      </c>
      <c r="J230" s="3">
        <f>ROUND(MIN(Table1[[#This Row],[Beginning Balance]]*IF($C$8="No",$E$3,VLOOKUP(Table1[[#This Row],[Period]],Forecast!$H$2:$L$1048576,2,FALSE)),Table1[[#This Row],[Beginning Balance]]-Table1[[#This Row],[Principal]]-Table1[[#This Row],[Prepayments]]),2)</f>
        <v>0</v>
      </c>
      <c r="K230" s="3">
        <f>ROUND(Table1[[#This Row],[Defaulted Principal]]*IF($C$9="No",$E$4,VLOOKUP(Table1[[#This Row],[Period]],Forecast!$H$2:$L$1048576,3,FALSE)),2)</f>
        <v>0</v>
      </c>
      <c r="L230" s="2">
        <f>Table1[[#This Row],[Period]]+$E$9</f>
        <v>226</v>
      </c>
      <c r="M230" s="3">
        <f>Table1[[#This Row],[Defaulted Principal]]-Table1[[#This Row],[Estimated Loss]]</f>
        <v>0</v>
      </c>
      <c r="N230" s="3">
        <f>IFERROR(VLOOKUP(Table1[[#This Row],[Period]],$L$16:$M$385,2,FALSE),0)</f>
        <v>0</v>
      </c>
      <c r="O230" s="3">
        <f>Table1[[#This Row],[Beginning Balance]]-Table1[[#This Row],[Principal]]-Table1[[#This Row],[Prepayments]]-Table1[[#This Row],[Defaulted Principal]]</f>
        <v>0</v>
      </c>
      <c r="P230" s="3">
        <f>Table1[[#This Row],[Principal]]+Table1[[#This Row],[Interest]]+Table1[[#This Row],[Prepayments]]+Table1[[#This Row],[RecoveredAmount]]</f>
        <v>0</v>
      </c>
      <c r="Q230" s="3">
        <f ca="1">Table1[[#This Row],[Cash Flow]]/((1+ActualRateToUse)^(IF(ISNUMBER(SEARCH("Actual",$C$7)),Table1[[#This Row],[Running Total]]/365,Table1[[#This Row],[Period]]/12)))</f>
        <v>0</v>
      </c>
      <c r="R230" s="2">
        <f>IF(MONTH(Table1[[#This Row],[Date]])=2,28,DAY(DATE(YEAR(Table1[[#This Row],[Date]]),MONTH(Table1[[#This Row],[Date]])+1,1)-1))</f>
        <v>30</v>
      </c>
      <c r="S230" s="2">
        <f ca="1">SUM(OFFSET(Table1[[#Headers],[Days in month]],1,0):Table1[[#This Row],[Days in month]])</f>
        <v>6509</v>
      </c>
      <c r="T230" s="37">
        <f>InterestRate*AmortizationMultiplier*IF(ISNUMBER(SEARCH("Actual",$C$7)),Table1[[#This Row],[Days in month]]/365,1/12)</f>
        <v>5.8749999999999991E-3</v>
      </c>
    </row>
    <row r="231" spans="2:20" x14ac:dyDescent="0.2">
      <c r="B231" s="1">
        <f t="shared" si="12"/>
        <v>52382</v>
      </c>
      <c r="C231" s="2">
        <f t="shared" si="13"/>
        <v>215</v>
      </c>
      <c r="D231" s="3">
        <f t="shared" si="15"/>
        <v>0</v>
      </c>
      <c r="E231" s="3">
        <f>ROUND(Table1[[#This Row],[Beginning Balance]]*Table1[[#This Row],[Monthly Interest Rate]],2)</f>
        <v>0</v>
      </c>
      <c r="F231" s="3">
        <f t="shared" si="14"/>
        <v>137</v>
      </c>
      <c r="G231" s="23">
        <f>IFERROR(IF($C$13="No","N/A",IF(Table1[[#This Row],[Period]]=1,$C$6,PMT(InterestRate*AmortizationMultiplier/12,Table1[[#This Row],[Am Thru]],-Table1[[#This Row],[Beginning Balance]]))),0)</f>
        <v>0</v>
      </c>
      <c r="H231" s="3">
        <f>MAX(0,IF(C231=$C$4,D231,ROUND(IF($C$3="Fixed Principal",$C$6-Table1[[#This Row],[Interest]],IF($C$3="Interest Only",Table1[[#This Row],[Beginning Balance]]*ROUND(1-(1-IF($C$11="No",$E$8,1))^(1/12),6),MIN(IF($C$13="Yes",Table1[[#This Row],[Payment Amount (Reamortized)]],$C$6)-Table1[[#This Row],[Interest]],Table1[[#This Row],[Beginning Balance]]))),2)))</f>
        <v>0</v>
      </c>
      <c r="I231" s="3">
        <f>_xlfn.SINGLE(IF($C$3="Line of Credit",0,ROUND(MAX(MIN(IF($C$10="No",$E$7,VLOOKUP(Table1[[#This Row],[Period]],Forecast!$H$2:$L$1048576,4,FALSE))*Table1[[#This Row],[Beginning Balance]],Table1[[#This Row],[Beginning Balance]]-Table1[[#This Row],[Principal]]),0),2)))</f>
        <v>0</v>
      </c>
      <c r="J231" s="3">
        <f>ROUND(MIN(Table1[[#This Row],[Beginning Balance]]*IF($C$8="No",$E$3,VLOOKUP(Table1[[#This Row],[Period]],Forecast!$H$2:$L$1048576,2,FALSE)),Table1[[#This Row],[Beginning Balance]]-Table1[[#This Row],[Principal]]-Table1[[#This Row],[Prepayments]]),2)</f>
        <v>0</v>
      </c>
      <c r="K231" s="3">
        <f>ROUND(Table1[[#This Row],[Defaulted Principal]]*IF($C$9="No",$E$4,VLOOKUP(Table1[[#This Row],[Period]],Forecast!$H$2:$L$1048576,3,FALSE)),2)</f>
        <v>0</v>
      </c>
      <c r="L231" s="2">
        <f>Table1[[#This Row],[Period]]+$E$9</f>
        <v>227</v>
      </c>
      <c r="M231" s="3">
        <f>Table1[[#This Row],[Defaulted Principal]]-Table1[[#This Row],[Estimated Loss]]</f>
        <v>0</v>
      </c>
      <c r="N231" s="3">
        <f>IFERROR(VLOOKUP(Table1[[#This Row],[Period]],$L$16:$M$385,2,FALSE),0)</f>
        <v>0</v>
      </c>
      <c r="O231" s="3">
        <f>Table1[[#This Row],[Beginning Balance]]-Table1[[#This Row],[Principal]]-Table1[[#This Row],[Prepayments]]-Table1[[#This Row],[Defaulted Principal]]</f>
        <v>0</v>
      </c>
      <c r="P231" s="3">
        <f>Table1[[#This Row],[Principal]]+Table1[[#This Row],[Interest]]+Table1[[#This Row],[Prepayments]]+Table1[[#This Row],[RecoveredAmount]]</f>
        <v>0</v>
      </c>
      <c r="Q231" s="3">
        <f ca="1">Table1[[#This Row],[Cash Flow]]/((1+ActualRateToUse)^(IF(ISNUMBER(SEARCH("Actual",$C$7)),Table1[[#This Row],[Running Total]]/365,Table1[[#This Row],[Period]]/12)))</f>
        <v>0</v>
      </c>
      <c r="R231" s="2">
        <f>IF(MONTH(Table1[[#This Row],[Date]])=2,28,DAY(DATE(YEAR(Table1[[#This Row],[Date]]),MONTH(Table1[[#This Row],[Date]])+1,1)-1))</f>
        <v>31</v>
      </c>
      <c r="S231" s="2">
        <f ca="1">SUM(OFFSET(Table1[[#Headers],[Days in month]],1,0):Table1[[#This Row],[Days in month]])</f>
        <v>6540</v>
      </c>
      <c r="T231" s="37">
        <f>InterestRate*AmortizationMultiplier*IF(ISNUMBER(SEARCH("Actual",$C$7)),Table1[[#This Row],[Days in month]]/365,1/12)</f>
        <v>6.0708333333333326E-3</v>
      </c>
    </row>
    <row r="232" spans="2:20" x14ac:dyDescent="0.2">
      <c r="B232" s="1">
        <f t="shared" si="12"/>
        <v>52412</v>
      </c>
      <c r="C232" s="2">
        <f t="shared" si="13"/>
        <v>216</v>
      </c>
      <c r="D232" s="3">
        <f t="shared" si="15"/>
        <v>0</v>
      </c>
      <c r="E232" s="3">
        <f>ROUND(Table1[[#This Row],[Beginning Balance]]*Table1[[#This Row],[Monthly Interest Rate]],2)</f>
        <v>0</v>
      </c>
      <c r="F232" s="3">
        <f t="shared" si="14"/>
        <v>136</v>
      </c>
      <c r="G232" s="23">
        <f>IFERROR(IF($C$13="No","N/A",IF(Table1[[#This Row],[Period]]=1,$C$6,PMT(InterestRate*AmortizationMultiplier/12,Table1[[#This Row],[Am Thru]],-Table1[[#This Row],[Beginning Balance]]))),0)</f>
        <v>0</v>
      </c>
      <c r="H232" s="3">
        <f>MAX(0,IF(C232=$C$4,D232,ROUND(IF($C$3="Fixed Principal",$C$6-Table1[[#This Row],[Interest]],IF($C$3="Interest Only",Table1[[#This Row],[Beginning Balance]]*ROUND(1-(1-IF($C$11="No",$E$8,1))^(1/12),6),MIN(IF($C$13="Yes",Table1[[#This Row],[Payment Amount (Reamortized)]],$C$6)-Table1[[#This Row],[Interest]],Table1[[#This Row],[Beginning Balance]]))),2)))</f>
        <v>0</v>
      </c>
      <c r="I232" s="3">
        <f>_xlfn.SINGLE(IF($C$3="Line of Credit",0,ROUND(MAX(MIN(IF($C$10="No",$E$7,VLOOKUP(Table1[[#This Row],[Period]],Forecast!$H$2:$L$1048576,4,FALSE))*Table1[[#This Row],[Beginning Balance]],Table1[[#This Row],[Beginning Balance]]-Table1[[#This Row],[Principal]]),0),2)))</f>
        <v>0</v>
      </c>
      <c r="J232" s="3">
        <f>ROUND(MIN(Table1[[#This Row],[Beginning Balance]]*IF($C$8="No",$E$3,VLOOKUP(Table1[[#This Row],[Period]],Forecast!$H$2:$L$1048576,2,FALSE)),Table1[[#This Row],[Beginning Balance]]-Table1[[#This Row],[Principal]]-Table1[[#This Row],[Prepayments]]),2)</f>
        <v>0</v>
      </c>
      <c r="K232" s="3">
        <f>ROUND(Table1[[#This Row],[Defaulted Principal]]*IF($C$9="No",$E$4,VLOOKUP(Table1[[#This Row],[Period]],Forecast!$H$2:$L$1048576,3,FALSE)),2)</f>
        <v>0</v>
      </c>
      <c r="L232" s="2">
        <f>Table1[[#This Row],[Period]]+$E$9</f>
        <v>228</v>
      </c>
      <c r="M232" s="3">
        <f>Table1[[#This Row],[Defaulted Principal]]-Table1[[#This Row],[Estimated Loss]]</f>
        <v>0</v>
      </c>
      <c r="N232" s="3">
        <f>IFERROR(VLOOKUP(Table1[[#This Row],[Period]],$L$16:$M$385,2,FALSE),0)</f>
        <v>0</v>
      </c>
      <c r="O232" s="3">
        <f>Table1[[#This Row],[Beginning Balance]]-Table1[[#This Row],[Principal]]-Table1[[#This Row],[Prepayments]]-Table1[[#This Row],[Defaulted Principal]]</f>
        <v>0</v>
      </c>
      <c r="P232" s="3">
        <f>Table1[[#This Row],[Principal]]+Table1[[#This Row],[Interest]]+Table1[[#This Row],[Prepayments]]+Table1[[#This Row],[RecoveredAmount]]</f>
        <v>0</v>
      </c>
      <c r="Q232" s="3">
        <f ca="1">Table1[[#This Row],[Cash Flow]]/((1+ActualRateToUse)^(IF(ISNUMBER(SEARCH("Actual",$C$7)),Table1[[#This Row],[Running Total]]/365,Table1[[#This Row],[Period]]/12)))</f>
        <v>0</v>
      </c>
      <c r="R232" s="2">
        <f>IF(MONTH(Table1[[#This Row],[Date]])=2,28,DAY(DATE(YEAR(Table1[[#This Row],[Date]]),MONTH(Table1[[#This Row],[Date]])+1,1)-1))</f>
        <v>30</v>
      </c>
      <c r="S232" s="2">
        <f ca="1">SUM(OFFSET(Table1[[#Headers],[Days in month]],1,0):Table1[[#This Row],[Days in month]])</f>
        <v>6570</v>
      </c>
      <c r="T232" s="37">
        <f>InterestRate*AmortizationMultiplier*IF(ISNUMBER(SEARCH("Actual",$C$7)),Table1[[#This Row],[Days in month]]/365,1/12)</f>
        <v>5.8749999999999991E-3</v>
      </c>
    </row>
    <row r="233" spans="2:20" x14ac:dyDescent="0.2">
      <c r="B233" s="1">
        <f t="shared" si="12"/>
        <v>52443</v>
      </c>
      <c r="C233" s="2">
        <f t="shared" si="13"/>
        <v>217</v>
      </c>
      <c r="D233" s="3">
        <f t="shared" si="15"/>
        <v>0</v>
      </c>
      <c r="E233" s="3">
        <f>ROUND(Table1[[#This Row],[Beginning Balance]]*Table1[[#This Row],[Monthly Interest Rate]],2)</f>
        <v>0</v>
      </c>
      <c r="F233" s="3">
        <f t="shared" si="14"/>
        <v>135</v>
      </c>
      <c r="G233" s="23">
        <f>IFERROR(IF($C$13="No","N/A",IF(Table1[[#This Row],[Period]]=1,$C$6,PMT(InterestRate*AmortizationMultiplier/12,Table1[[#This Row],[Am Thru]],-Table1[[#This Row],[Beginning Balance]]))),0)</f>
        <v>0</v>
      </c>
      <c r="H233" s="3">
        <f>MAX(0,IF(C233=$C$4,D233,ROUND(IF($C$3="Fixed Principal",$C$6-Table1[[#This Row],[Interest]],IF($C$3="Interest Only",Table1[[#This Row],[Beginning Balance]]*ROUND(1-(1-IF($C$11="No",$E$8,1))^(1/12),6),MIN(IF($C$13="Yes",Table1[[#This Row],[Payment Amount (Reamortized)]],$C$6)-Table1[[#This Row],[Interest]],Table1[[#This Row],[Beginning Balance]]))),2)))</f>
        <v>0</v>
      </c>
      <c r="I233" s="3">
        <f>_xlfn.SINGLE(IF($C$3="Line of Credit",0,ROUND(MAX(MIN(IF($C$10="No",$E$7,VLOOKUP(Table1[[#This Row],[Period]],Forecast!$H$2:$L$1048576,4,FALSE))*Table1[[#This Row],[Beginning Balance]],Table1[[#This Row],[Beginning Balance]]-Table1[[#This Row],[Principal]]),0),2)))</f>
        <v>0</v>
      </c>
      <c r="J233" s="3">
        <f>ROUND(MIN(Table1[[#This Row],[Beginning Balance]]*IF($C$8="No",$E$3,VLOOKUP(Table1[[#This Row],[Period]],Forecast!$H$2:$L$1048576,2,FALSE)),Table1[[#This Row],[Beginning Balance]]-Table1[[#This Row],[Principal]]-Table1[[#This Row],[Prepayments]]),2)</f>
        <v>0</v>
      </c>
      <c r="K233" s="3">
        <f>ROUND(Table1[[#This Row],[Defaulted Principal]]*IF($C$9="No",$E$4,VLOOKUP(Table1[[#This Row],[Period]],Forecast!$H$2:$L$1048576,3,FALSE)),2)</f>
        <v>0</v>
      </c>
      <c r="L233" s="2">
        <f>Table1[[#This Row],[Period]]+$E$9</f>
        <v>229</v>
      </c>
      <c r="M233" s="3">
        <f>Table1[[#This Row],[Defaulted Principal]]-Table1[[#This Row],[Estimated Loss]]</f>
        <v>0</v>
      </c>
      <c r="N233" s="3">
        <f>IFERROR(VLOOKUP(Table1[[#This Row],[Period]],$L$16:$M$385,2,FALSE),0)</f>
        <v>0</v>
      </c>
      <c r="O233" s="3">
        <f>Table1[[#This Row],[Beginning Balance]]-Table1[[#This Row],[Principal]]-Table1[[#This Row],[Prepayments]]-Table1[[#This Row],[Defaulted Principal]]</f>
        <v>0</v>
      </c>
      <c r="P233" s="3">
        <f>Table1[[#This Row],[Principal]]+Table1[[#This Row],[Interest]]+Table1[[#This Row],[Prepayments]]+Table1[[#This Row],[RecoveredAmount]]</f>
        <v>0</v>
      </c>
      <c r="Q233" s="3">
        <f ca="1">Table1[[#This Row],[Cash Flow]]/((1+ActualRateToUse)^(IF(ISNUMBER(SEARCH("Actual",$C$7)),Table1[[#This Row],[Running Total]]/365,Table1[[#This Row],[Period]]/12)))</f>
        <v>0</v>
      </c>
      <c r="R233" s="2">
        <f>IF(MONTH(Table1[[#This Row],[Date]])=2,28,DAY(DATE(YEAR(Table1[[#This Row],[Date]]),MONTH(Table1[[#This Row],[Date]])+1,1)-1))</f>
        <v>31</v>
      </c>
      <c r="S233" s="2">
        <f ca="1">SUM(OFFSET(Table1[[#Headers],[Days in month]],1,0):Table1[[#This Row],[Days in month]])</f>
        <v>6601</v>
      </c>
      <c r="T233" s="37">
        <f>InterestRate*AmortizationMultiplier*IF(ISNUMBER(SEARCH("Actual",$C$7)),Table1[[#This Row],[Days in month]]/365,1/12)</f>
        <v>6.0708333333333326E-3</v>
      </c>
    </row>
    <row r="234" spans="2:20" x14ac:dyDescent="0.2">
      <c r="B234" s="1">
        <f t="shared" si="12"/>
        <v>52474</v>
      </c>
      <c r="C234" s="2">
        <f t="shared" si="13"/>
        <v>218</v>
      </c>
      <c r="D234" s="3">
        <f t="shared" si="15"/>
        <v>0</v>
      </c>
      <c r="E234" s="3">
        <f>ROUND(Table1[[#This Row],[Beginning Balance]]*Table1[[#This Row],[Monthly Interest Rate]],2)</f>
        <v>0</v>
      </c>
      <c r="F234" s="3">
        <f t="shared" si="14"/>
        <v>134</v>
      </c>
      <c r="G234" s="23">
        <f>IFERROR(IF($C$13="No","N/A",IF(Table1[[#This Row],[Period]]=1,$C$6,PMT(InterestRate*AmortizationMultiplier/12,Table1[[#This Row],[Am Thru]],-Table1[[#This Row],[Beginning Balance]]))),0)</f>
        <v>0</v>
      </c>
      <c r="H234" s="3">
        <f>MAX(0,IF(C234=$C$4,D234,ROUND(IF($C$3="Fixed Principal",$C$6-Table1[[#This Row],[Interest]],IF($C$3="Interest Only",Table1[[#This Row],[Beginning Balance]]*ROUND(1-(1-IF($C$11="No",$E$8,1))^(1/12),6),MIN(IF($C$13="Yes",Table1[[#This Row],[Payment Amount (Reamortized)]],$C$6)-Table1[[#This Row],[Interest]],Table1[[#This Row],[Beginning Balance]]))),2)))</f>
        <v>0</v>
      </c>
      <c r="I234" s="3">
        <f>_xlfn.SINGLE(IF($C$3="Line of Credit",0,ROUND(MAX(MIN(IF($C$10="No",$E$7,VLOOKUP(Table1[[#This Row],[Period]],Forecast!$H$2:$L$1048576,4,FALSE))*Table1[[#This Row],[Beginning Balance]],Table1[[#This Row],[Beginning Balance]]-Table1[[#This Row],[Principal]]),0),2)))</f>
        <v>0</v>
      </c>
      <c r="J234" s="3">
        <f>ROUND(MIN(Table1[[#This Row],[Beginning Balance]]*IF($C$8="No",$E$3,VLOOKUP(Table1[[#This Row],[Period]],Forecast!$H$2:$L$1048576,2,FALSE)),Table1[[#This Row],[Beginning Balance]]-Table1[[#This Row],[Principal]]-Table1[[#This Row],[Prepayments]]),2)</f>
        <v>0</v>
      </c>
      <c r="K234" s="3">
        <f>ROUND(Table1[[#This Row],[Defaulted Principal]]*IF($C$9="No",$E$4,VLOOKUP(Table1[[#This Row],[Period]],Forecast!$H$2:$L$1048576,3,FALSE)),2)</f>
        <v>0</v>
      </c>
      <c r="L234" s="2">
        <f>Table1[[#This Row],[Period]]+$E$9</f>
        <v>230</v>
      </c>
      <c r="M234" s="3">
        <f>Table1[[#This Row],[Defaulted Principal]]-Table1[[#This Row],[Estimated Loss]]</f>
        <v>0</v>
      </c>
      <c r="N234" s="3">
        <f>IFERROR(VLOOKUP(Table1[[#This Row],[Period]],$L$16:$M$385,2,FALSE),0)</f>
        <v>0</v>
      </c>
      <c r="O234" s="3">
        <f>Table1[[#This Row],[Beginning Balance]]-Table1[[#This Row],[Principal]]-Table1[[#This Row],[Prepayments]]-Table1[[#This Row],[Defaulted Principal]]</f>
        <v>0</v>
      </c>
      <c r="P234" s="3">
        <f>Table1[[#This Row],[Principal]]+Table1[[#This Row],[Interest]]+Table1[[#This Row],[Prepayments]]+Table1[[#This Row],[RecoveredAmount]]</f>
        <v>0</v>
      </c>
      <c r="Q234" s="3">
        <f ca="1">Table1[[#This Row],[Cash Flow]]/((1+ActualRateToUse)^(IF(ISNUMBER(SEARCH("Actual",$C$7)),Table1[[#This Row],[Running Total]]/365,Table1[[#This Row],[Period]]/12)))</f>
        <v>0</v>
      </c>
      <c r="R234" s="2">
        <f>IF(MONTH(Table1[[#This Row],[Date]])=2,28,DAY(DATE(YEAR(Table1[[#This Row],[Date]]),MONTH(Table1[[#This Row],[Date]])+1,1)-1))</f>
        <v>31</v>
      </c>
      <c r="S234" s="2">
        <f ca="1">SUM(OFFSET(Table1[[#Headers],[Days in month]],1,0):Table1[[#This Row],[Days in month]])</f>
        <v>6632</v>
      </c>
      <c r="T234" s="37">
        <f>InterestRate*AmortizationMultiplier*IF(ISNUMBER(SEARCH("Actual",$C$7)),Table1[[#This Row],[Days in month]]/365,1/12)</f>
        <v>6.0708333333333326E-3</v>
      </c>
    </row>
    <row r="235" spans="2:20" x14ac:dyDescent="0.2">
      <c r="B235" s="1">
        <f t="shared" si="12"/>
        <v>52504</v>
      </c>
      <c r="C235" s="2">
        <f t="shared" si="13"/>
        <v>219</v>
      </c>
      <c r="D235" s="3">
        <f t="shared" si="15"/>
        <v>0</v>
      </c>
      <c r="E235" s="3">
        <f>ROUND(Table1[[#This Row],[Beginning Balance]]*Table1[[#This Row],[Monthly Interest Rate]],2)</f>
        <v>0</v>
      </c>
      <c r="F235" s="3">
        <f t="shared" si="14"/>
        <v>133</v>
      </c>
      <c r="G235" s="23">
        <f>IFERROR(IF($C$13="No","N/A",IF(Table1[[#This Row],[Period]]=1,$C$6,PMT(InterestRate*AmortizationMultiplier/12,Table1[[#This Row],[Am Thru]],-Table1[[#This Row],[Beginning Balance]]))),0)</f>
        <v>0</v>
      </c>
      <c r="H235" s="3">
        <f>MAX(0,IF(C235=$C$4,D235,ROUND(IF($C$3="Fixed Principal",$C$6-Table1[[#This Row],[Interest]],IF($C$3="Interest Only",Table1[[#This Row],[Beginning Balance]]*ROUND(1-(1-IF($C$11="No",$E$8,1))^(1/12),6),MIN(IF($C$13="Yes",Table1[[#This Row],[Payment Amount (Reamortized)]],$C$6)-Table1[[#This Row],[Interest]],Table1[[#This Row],[Beginning Balance]]))),2)))</f>
        <v>0</v>
      </c>
      <c r="I235" s="3">
        <f>_xlfn.SINGLE(IF($C$3="Line of Credit",0,ROUND(MAX(MIN(IF($C$10="No",$E$7,VLOOKUP(Table1[[#This Row],[Period]],Forecast!$H$2:$L$1048576,4,FALSE))*Table1[[#This Row],[Beginning Balance]],Table1[[#This Row],[Beginning Balance]]-Table1[[#This Row],[Principal]]),0),2)))</f>
        <v>0</v>
      </c>
      <c r="J235" s="3">
        <f>ROUND(MIN(Table1[[#This Row],[Beginning Balance]]*IF($C$8="No",$E$3,VLOOKUP(Table1[[#This Row],[Period]],Forecast!$H$2:$L$1048576,2,FALSE)),Table1[[#This Row],[Beginning Balance]]-Table1[[#This Row],[Principal]]-Table1[[#This Row],[Prepayments]]),2)</f>
        <v>0</v>
      </c>
      <c r="K235" s="3">
        <f>ROUND(Table1[[#This Row],[Defaulted Principal]]*IF($C$9="No",$E$4,VLOOKUP(Table1[[#This Row],[Period]],Forecast!$H$2:$L$1048576,3,FALSE)),2)</f>
        <v>0</v>
      </c>
      <c r="L235" s="2">
        <f>Table1[[#This Row],[Period]]+$E$9</f>
        <v>231</v>
      </c>
      <c r="M235" s="3">
        <f>Table1[[#This Row],[Defaulted Principal]]-Table1[[#This Row],[Estimated Loss]]</f>
        <v>0</v>
      </c>
      <c r="N235" s="3">
        <f>IFERROR(VLOOKUP(Table1[[#This Row],[Period]],$L$16:$M$385,2,FALSE),0)</f>
        <v>0</v>
      </c>
      <c r="O235" s="3">
        <f>Table1[[#This Row],[Beginning Balance]]-Table1[[#This Row],[Principal]]-Table1[[#This Row],[Prepayments]]-Table1[[#This Row],[Defaulted Principal]]</f>
        <v>0</v>
      </c>
      <c r="P235" s="3">
        <f>Table1[[#This Row],[Principal]]+Table1[[#This Row],[Interest]]+Table1[[#This Row],[Prepayments]]+Table1[[#This Row],[RecoveredAmount]]</f>
        <v>0</v>
      </c>
      <c r="Q235" s="3">
        <f ca="1">Table1[[#This Row],[Cash Flow]]/((1+ActualRateToUse)^(IF(ISNUMBER(SEARCH("Actual",$C$7)),Table1[[#This Row],[Running Total]]/365,Table1[[#This Row],[Period]]/12)))</f>
        <v>0</v>
      </c>
      <c r="R235" s="2">
        <f>IF(MONTH(Table1[[#This Row],[Date]])=2,28,DAY(DATE(YEAR(Table1[[#This Row],[Date]]),MONTH(Table1[[#This Row],[Date]])+1,1)-1))</f>
        <v>30</v>
      </c>
      <c r="S235" s="2">
        <f ca="1">SUM(OFFSET(Table1[[#Headers],[Days in month]],1,0):Table1[[#This Row],[Days in month]])</f>
        <v>6662</v>
      </c>
      <c r="T235" s="37">
        <f>InterestRate*AmortizationMultiplier*IF(ISNUMBER(SEARCH("Actual",$C$7)),Table1[[#This Row],[Days in month]]/365,1/12)</f>
        <v>5.8749999999999991E-3</v>
      </c>
    </row>
    <row r="236" spans="2:20" x14ac:dyDescent="0.2">
      <c r="B236" s="1">
        <f t="shared" si="12"/>
        <v>52535</v>
      </c>
      <c r="C236" s="2">
        <f t="shared" si="13"/>
        <v>220</v>
      </c>
      <c r="D236" s="3">
        <f t="shared" si="15"/>
        <v>0</v>
      </c>
      <c r="E236" s="3">
        <f>ROUND(Table1[[#This Row],[Beginning Balance]]*Table1[[#This Row],[Monthly Interest Rate]],2)</f>
        <v>0</v>
      </c>
      <c r="F236" s="3">
        <f t="shared" si="14"/>
        <v>132</v>
      </c>
      <c r="G236" s="23">
        <f>IFERROR(IF($C$13="No","N/A",IF(Table1[[#This Row],[Period]]=1,$C$6,PMT(InterestRate*AmortizationMultiplier/12,Table1[[#This Row],[Am Thru]],-Table1[[#This Row],[Beginning Balance]]))),0)</f>
        <v>0</v>
      </c>
      <c r="H236" s="3">
        <f>MAX(0,IF(C236=$C$4,D236,ROUND(IF($C$3="Fixed Principal",$C$6-Table1[[#This Row],[Interest]],IF($C$3="Interest Only",Table1[[#This Row],[Beginning Balance]]*ROUND(1-(1-IF($C$11="No",$E$8,1))^(1/12),6),MIN(IF($C$13="Yes",Table1[[#This Row],[Payment Amount (Reamortized)]],$C$6)-Table1[[#This Row],[Interest]],Table1[[#This Row],[Beginning Balance]]))),2)))</f>
        <v>0</v>
      </c>
      <c r="I236" s="3">
        <f>_xlfn.SINGLE(IF($C$3="Line of Credit",0,ROUND(MAX(MIN(IF($C$10="No",$E$7,VLOOKUP(Table1[[#This Row],[Period]],Forecast!$H$2:$L$1048576,4,FALSE))*Table1[[#This Row],[Beginning Balance]],Table1[[#This Row],[Beginning Balance]]-Table1[[#This Row],[Principal]]),0),2)))</f>
        <v>0</v>
      </c>
      <c r="J236" s="3">
        <f>ROUND(MIN(Table1[[#This Row],[Beginning Balance]]*IF($C$8="No",$E$3,VLOOKUP(Table1[[#This Row],[Period]],Forecast!$H$2:$L$1048576,2,FALSE)),Table1[[#This Row],[Beginning Balance]]-Table1[[#This Row],[Principal]]-Table1[[#This Row],[Prepayments]]),2)</f>
        <v>0</v>
      </c>
      <c r="K236" s="3">
        <f>ROUND(Table1[[#This Row],[Defaulted Principal]]*IF($C$9="No",$E$4,VLOOKUP(Table1[[#This Row],[Period]],Forecast!$H$2:$L$1048576,3,FALSE)),2)</f>
        <v>0</v>
      </c>
      <c r="L236" s="2">
        <f>Table1[[#This Row],[Period]]+$E$9</f>
        <v>232</v>
      </c>
      <c r="M236" s="3">
        <f>Table1[[#This Row],[Defaulted Principal]]-Table1[[#This Row],[Estimated Loss]]</f>
        <v>0</v>
      </c>
      <c r="N236" s="3">
        <f>IFERROR(VLOOKUP(Table1[[#This Row],[Period]],$L$16:$M$385,2,FALSE),0)</f>
        <v>0</v>
      </c>
      <c r="O236" s="3">
        <f>Table1[[#This Row],[Beginning Balance]]-Table1[[#This Row],[Principal]]-Table1[[#This Row],[Prepayments]]-Table1[[#This Row],[Defaulted Principal]]</f>
        <v>0</v>
      </c>
      <c r="P236" s="3">
        <f>Table1[[#This Row],[Principal]]+Table1[[#This Row],[Interest]]+Table1[[#This Row],[Prepayments]]+Table1[[#This Row],[RecoveredAmount]]</f>
        <v>0</v>
      </c>
      <c r="Q236" s="3">
        <f ca="1">Table1[[#This Row],[Cash Flow]]/((1+ActualRateToUse)^(IF(ISNUMBER(SEARCH("Actual",$C$7)),Table1[[#This Row],[Running Total]]/365,Table1[[#This Row],[Period]]/12)))</f>
        <v>0</v>
      </c>
      <c r="R236" s="2">
        <f>IF(MONTH(Table1[[#This Row],[Date]])=2,28,DAY(DATE(YEAR(Table1[[#This Row],[Date]]),MONTH(Table1[[#This Row],[Date]])+1,1)-1))</f>
        <v>31</v>
      </c>
      <c r="S236" s="2">
        <f ca="1">SUM(OFFSET(Table1[[#Headers],[Days in month]],1,0):Table1[[#This Row],[Days in month]])</f>
        <v>6693</v>
      </c>
      <c r="T236" s="37">
        <f>InterestRate*AmortizationMultiplier*IF(ISNUMBER(SEARCH("Actual",$C$7)),Table1[[#This Row],[Days in month]]/365,1/12)</f>
        <v>6.0708333333333326E-3</v>
      </c>
    </row>
    <row r="237" spans="2:20" x14ac:dyDescent="0.2">
      <c r="B237" s="1">
        <f t="shared" si="12"/>
        <v>52565</v>
      </c>
      <c r="C237" s="2">
        <f t="shared" si="13"/>
        <v>221</v>
      </c>
      <c r="D237" s="3">
        <f t="shared" si="15"/>
        <v>0</v>
      </c>
      <c r="E237" s="3">
        <f>ROUND(Table1[[#This Row],[Beginning Balance]]*Table1[[#This Row],[Monthly Interest Rate]],2)</f>
        <v>0</v>
      </c>
      <c r="F237" s="3">
        <f t="shared" si="14"/>
        <v>131</v>
      </c>
      <c r="G237" s="23">
        <f>IFERROR(IF($C$13="No","N/A",IF(Table1[[#This Row],[Period]]=1,$C$6,PMT(InterestRate*AmortizationMultiplier/12,Table1[[#This Row],[Am Thru]],-Table1[[#This Row],[Beginning Balance]]))),0)</f>
        <v>0</v>
      </c>
      <c r="H237" s="3">
        <f>MAX(0,IF(C237=$C$4,D237,ROUND(IF($C$3="Fixed Principal",$C$6-Table1[[#This Row],[Interest]],IF($C$3="Interest Only",Table1[[#This Row],[Beginning Balance]]*ROUND(1-(1-IF($C$11="No",$E$8,1))^(1/12),6),MIN(IF($C$13="Yes",Table1[[#This Row],[Payment Amount (Reamortized)]],$C$6)-Table1[[#This Row],[Interest]],Table1[[#This Row],[Beginning Balance]]))),2)))</f>
        <v>0</v>
      </c>
      <c r="I237" s="3">
        <f>_xlfn.SINGLE(IF($C$3="Line of Credit",0,ROUND(MAX(MIN(IF($C$10="No",$E$7,VLOOKUP(Table1[[#This Row],[Period]],Forecast!$H$2:$L$1048576,4,FALSE))*Table1[[#This Row],[Beginning Balance]],Table1[[#This Row],[Beginning Balance]]-Table1[[#This Row],[Principal]]),0),2)))</f>
        <v>0</v>
      </c>
      <c r="J237" s="3">
        <f>ROUND(MIN(Table1[[#This Row],[Beginning Balance]]*IF($C$8="No",$E$3,VLOOKUP(Table1[[#This Row],[Period]],Forecast!$H$2:$L$1048576,2,FALSE)),Table1[[#This Row],[Beginning Balance]]-Table1[[#This Row],[Principal]]-Table1[[#This Row],[Prepayments]]),2)</f>
        <v>0</v>
      </c>
      <c r="K237" s="3">
        <f>ROUND(Table1[[#This Row],[Defaulted Principal]]*IF($C$9="No",$E$4,VLOOKUP(Table1[[#This Row],[Period]],Forecast!$H$2:$L$1048576,3,FALSE)),2)</f>
        <v>0</v>
      </c>
      <c r="L237" s="2">
        <f>Table1[[#This Row],[Period]]+$E$9</f>
        <v>233</v>
      </c>
      <c r="M237" s="3">
        <f>Table1[[#This Row],[Defaulted Principal]]-Table1[[#This Row],[Estimated Loss]]</f>
        <v>0</v>
      </c>
      <c r="N237" s="3">
        <f>IFERROR(VLOOKUP(Table1[[#This Row],[Period]],$L$16:$M$385,2,FALSE),0)</f>
        <v>0</v>
      </c>
      <c r="O237" s="3">
        <f>Table1[[#This Row],[Beginning Balance]]-Table1[[#This Row],[Principal]]-Table1[[#This Row],[Prepayments]]-Table1[[#This Row],[Defaulted Principal]]</f>
        <v>0</v>
      </c>
      <c r="P237" s="3">
        <f>Table1[[#This Row],[Principal]]+Table1[[#This Row],[Interest]]+Table1[[#This Row],[Prepayments]]+Table1[[#This Row],[RecoveredAmount]]</f>
        <v>0</v>
      </c>
      <c r="Q237" s="3">
        <f ca="1">Table1[[#This Row],[Cash Flow]]/((1+ActualRateToUse)^(IF(ISNUMBER(SEARCH("Actual",$C$7)),Table1[[#This Row],[Running Total]]/365,Table1[[#This Row],[Period]]/12)))</f>
        <v>0</v>
      </c>
      <c r="R237" s="2">
        <f>IF(MONTH(Table1[[#This Row],[Date]])=2,28,DAY(DATE(YEAR(Table1[[#This Row],[Date]]),MONTH(Table1[[#This Row],[Date]])+1,1)-1))</f>
        <v>30</v>
      </c>
      <c r="S237" s="2">
        <f ca="1">SUM(OFFSET(Table1[[#Headers],[Days in month]],1,0):Table1[[#This Row],[Days in month]])</f>
        <v>6723</v>
      </c>
      <c r="T237" s="37">
        <f>InterestRate*AmortizationMultiplier*IF(ISNUMBER(SEARCH("Actual",$C$7)),Table1[[#This Row],[Days in month]]/365,1/12)</f>
        <v>5.8749999999999991E-3</v>
      </c>
    </row>
    <row r="238" spans="2:20" x14ac:dyDescent="0.2">
      <c r="B238" s="1">
        <f t="shared" si="12"/>
        <v>52596</v>
      </c>
      <c r="C238" s="2">
        <f t="shared" si="13"/>
        <v>222</v>
      </c>
      <c r="D238" s="3">
        <f t="shared" si="15"/>
        <v>0</v>
      </c>
      <c r="E238" s="3">
        <f>ROUND(Table1[[#This Row],[Beginning Balance]]*Table1[[#This Row],[Monthly Interest Rate]],2)</f>
        <v>0</v>
      </c>
      <c r="F238" s="3">
        <f t="shared" si="14"/>
        <v>130</v>
      </c>
      <c r="G238" s="23">
        <f>IFERROR(IF($C$13="No","N/A",IF(Table1[[#This Row],[Period]]=1,$C$6,PMT(InterestRate*AmortizationMultiplier/12,Table1[[#This Row],[Am Thru]],-Table1[[#This Row],[Beginning Balance]]))),0)</f>
        <v>0</v>
      </c>
      <c r="H238" s="3">
        <f>MAX(0,IF(C238=$C$4,D238,ROUND(IF($C$3="Fixed Principal",$C$6-Table1[[#This Row],[Interest]],IF($C$3="Interest Only",Table1[[#This Row],[Beginning Balance]]*ROUND(1-(1-IF($C$11="No",$E$8,1))^(1/12),6),MIN(IF($C$13="Yes",Table1[[#This Row],[Payment Amount (Reamortized)]],$C$6)-Table1[[#This Row],[Interest]],Table1[[#This Row],[Beginning Balance]]))),2)))</f>
        <v>0</v>
      </c>
      <c r="I238" s="3">
        <f>_xlfn.SINGLE(IF($C$3="Line of Credit",0,ROUND(MAX(MIN(IF($C$10="No",$E$7,VLOOKUP(Table1[[#This Row],[Period]],Forecast!$H$2:$L$1048576,4,FALSE))*Table1[[#This Row],[Beginning Balance]],Table1[[#This Row],[Beginning Balance]]-Table1[[#This Row],[Principal]]),0),2)))</f>
        <v>0</v>
      </c>
      <c r="J238" s="3">
        <f>ROUND(MIN(Table1[[#This Row],[Beginning Balance]]*IF($C$8="No",$E$3,VLOOKUP(Table1[[#This Row],[Period]],Forecast!$H$2:$L$1048576,2,FALSE)),Table1[[#This Row],[Beginning Balance]]-Table1[[#This Row],[Principal]]-Table1[[#This Row],[Prepayments]]),2)</f>
        <v>0</v>
      </c>
      <c r="K238" s="3">
        <f>ROUND(Table1[[#This Row],[Defaulted Principal]]*IF($C$9="No",$E$4,VLOOKUP(Table1[[#This Row],[Period]],Forecast!$H$2:$L$1048576,3,FALSE)),2)</f>
        <v>0</v>
      </c>
      <c r="L238" s="2">
        <f>Table1[[#This Row],[Period]]+$E$9</f>
        <v>234</v>
      </c>
      <c r="M238" s="3">
        <f>Table1[[#This Row],[Defaulted Principal]]-Table1[[#This Row],[Estimated Loss]]</f>
        <v>0</v>
      </c>
      <c r="N238" s="3">
        <f>IFERROR(VLOOKUP(Table1[[#This Row],[Period]],$L$16:$M$385,2,FALSE),0)</f>
        <v>0</v>
      </c>
      <c r="O238" s="3">
        <f>Table1[[#This Row],[Beginning Balance]]-Table1[[#This Row],[Principal]]-Table1[[#This Row],[Prepayments]]-Table1[[#This Row],[Defaulted Principal]]</f>
        <v>0</v>
      </c>
      <c r="P238" s="3">
        <f>Table1[[#This Row],[Principal]]+Table1[[#This Row],[Interest]]+Table1[[#This Row],[Prepayments]]+Table1[[#This Row],[RecoveredAmount]]</f>
        <v>0</v>
      </c>
      <c r="Q238" s="3">
        <f ca="1">Table1[[#This Row],[Cash Flow]]/((1+ActualRateToUse)^(IF(ISNUMBER(SEARCH("Actual",$C$7)),Table1[[#This Row],[Running Total]]/365,Table1[[#This Row],[Period]]/12)))</f>
        <v>0</v>
      </c>
      <c r="R238" s="2">
        <f>IF(MONTH(Table1[[#This Row],[Date]])=2,28,DAY(DATE(YEAR(Table1[[#This Row],[Date]]),MONTH(Table1[[#This Row],[Date]])+1,1)-1))</f>
        <v>31</v>
      </c>
      <c r="S238" s="2">
        <f ca="1">SUM(OFFSET(Table1[[#Headers],[Days in month]],1,0):Table1[[#This Row],[Days in month]])</f>
        <v>6754</v>
      </c>
      <c r="T238" s="37">
        <f>InterestRate*AmortizationMultiplier*IF(ISNUMBER(SEARCH("Actual",$C$7)),Table1[[#This Row],[Days in month]]/365,1/12)</f>
        <v>6.0708333333333326E-3</v>
      </c>
    </row>
    <row r="239" spans="2:20" x14ac:dyDescent="0.2">
      <c r="B239" s="1">
        <f t="shared" si="12"/>
        <v>52627</v>
      </c>
      <c r="C239" s="2">
        <f t="shared" si="13"/>
        <v>223</v>
      </c>
      <c r="D239" s="3">
        <f t="shared" si="15"/>
        <v>0</v>
      </c>
      <c r="E239" s="3">
        <f>ROUND(Table1[[#This Row],[Beginning Balance]]*Table1[[#This Row],[Monthly Interest Rate]],2)</f>
        <v>0</v>
      </c>
      <c r="F239" s="3">
        <f t="shared" si="14"/>
        <v>129</v>
      </c>
      <c r="G239" s="23">
        <f>IFERROR(IF($C$13="No","N/A",IF(Table1[[#This Row],[Period]]=1,$C$6,PMT(InterestRate*AmortizationMultiplier/12,Table1[[#This Row],[Am Thru]],-Table1[[#This Row],[Beginning Balance]]))),0)</f>
        <v>0</v>
      </c>
      <c r="H239" s="3">
        <f>MAX(0,IF(C239=$C$4,D239,ROUND(IF($C$3="Fixed Principal",$C$6-Table1[[#This Row],[Interest]],IF($C$3="Interest Only",Table1[[#This Row],[Beginning Balance]]*ROUND(1-(1-IF($C$11="No",$E$8,1))^(1/12),6),MIN(IF($C$13="Yes",Table1[[#This Row],[Payment Amount (Reamortized)]],$C$6)-Table1[[#This Row],[Interest]],Table1[[#This Row],[Beginning Balance]]))),2)))</f>
        <v>0</v>
      </c>
      <c r="I239" s="3">
        <f>_xlfn.SINGLE(IF($C$3="Line of Credit",0,ROUND(MAX(MIN(IF($C$10="No",$E$7,VLOOKUP(Table1[[#This Row],[Period]],Forecast!$H$2:$L$1048576,4,FALSE))*Table1[[#This Row],[Beginning Balance]],Table1[[#This Row],[Beginning Balance]]-Table1[[#This Row],[Principal]]),0),2)))</f>
        <v>0</v>
      </c>
      <c r="J239" s="3">
        <f>ROUND(MIN(Table1[[#This Row],[Beginning Balance]]*IF($C$8="No",$E$3,VLOOKUP(Table1[[#This Row],[Period]],Forecast!$H$2:$L$1048576,2,FALSE)),Table1[[#This Row],[Beginning Balance]]-Table1[[#This Row],[Principal]]-Table1[[#This Row],[Prepayments]]),2)</f>
        <v>0</v>
      </c>
      <c r="K239" s="3">
        <f>ROUND(Table1[[#This Row],[Defaulted Principal]]*IF($C$9="No",$E$4,VLOOKUP(Table1[[#This Row],[Period]],Forecast!$H$2:$L$1048576,3,FALSE)),2)</f>
        <v>0</v>
      </c>
      <c r="L239" s="2">
        <f>Table1[[#This Row],[Period]]+$E$9</f>
        <v>235</v>
      </c>
      <c r="M239" s="3">
        <f>Table1[[#This Row],[Defaulted Principal]]-Table1[[#This Row],[Estimated Loss]]</f>
        <v>0</v>
      </c>
      <c r="N239" s="3">
        <f>IFERROR(VLOOKUP(Table1[[#This Row],[Period]],$L$16:$M$385,2,FALSE),0)</f>
        <v>0</v>
      </c>
      <c r="O239" s="3">
        <f>Table1[[#This Row],[Beginning Balance]]-Table1[[#This Row],[Principal]]-Table1[[#This Row],[Prepayments]]-Table1[[#This Row],[Defaulted Principal]]</f>
        <v>0</v>
      </c>
      <c r="P239" s="3">
        <f>Table1[[#This Row],[Principal]]+Table1[[#This Row],[Interest]]+Table1[[#This Row],[Prepayments]]+Table1[[#This Row],[RecoveredAmount]]</f>
        <v>0</v>
      </c>
      <c r="Q239" s="3">
        <f ca="1">Table1[[#This Row],[Cash Flow]]/((1+ActualRateToUse)^(IF(ISNUMBER(SEARCH("Actual",$C$7)),Table1[[#This Row],[Running Total]]/365,Table1[[#This Row],[Period]]/12)))</f>
        <v>0</v>
      </c>
      <c r="R239" s="2">
        <f>IF(MONTH(Table1[[#This Row],[Date]])=2,28,DAY(DATE(YEAR(Table1[[#This Row],[Date]]),MONTH(Table1[[#This Row],[Date]])+1,1)-1))</f>
        <v>31</v>
      </c>
      <c r="S239" s="2">
        <f ca="1">SUM(OFFSET(Table1[[#Headers],[Days in month]],1,0):Table1[[#This Row],[Days in month]])</f>
        <v>6785</v>
      </c>
      <c r="T239" s="37">
        <f>InterestRate*AmortizationMultiplier*IF(ISNUMBER(SEARCH("Actual",$C$7)),Table1[[#This Row],[Days in month]]/365,1/12)</f>
        <v>6.0708333333333326E-3</v>
      </c>
    </row>
    <row r="240" spans="2:20" x14ac:dyDescent="0.2">
      <c r="B240" s="1">
        <f t="shared" si="12"/>
        <v>52656</v>
      </c>
      <c r="C240" s="2">
        <f t="shared" si="13"/>
        <v>224</v>
      </c>
      <c r="D240" s="3">
        <f t="shared" si="15"/>
        <v>0</v>
      </c>
      <c r="E240" s="3">
        <f>ROUND(Table1[[#This Row],[Beginning Balance]]*Table1[[#This Row],[Monthly Interest Rate]],2)</f>
        <v>0</v>
      </c>
      <c r="F240" s="3">
        <f t="shared" si="14"/>
        <v>128</v>
      </c>
      <c r="G240" s="23">
        <f>IFERROR(IF($C$13="No","N/A",IF(Table1[[#This Row],[Period]]=1,$C$6,PMT(InterestRate*AmortizationMultiplier/12,Table1[[#This Row],[Am Thru]],-Table1[[#This Row],[Beginning Balance]]))),0)</f>
        <v>0</v>
      </c>
      <c r="H240" s="3">
        <f>MAX(0,IF(C240=$C$4,D240,ROUND(IF($C$3="Fixed Principal",$C$6-Table1[[#This Row],[Interest]],IF($C$3="Interest Only",Table1[[#This Row],[Beginning Balance]]*ROUND(1-(1-IF($C$11="No",$E$8,1))^(1/12),6),MIN(IF($C$13="Yes",Table1[[#This Row],[Payment Amount (Reamortized)]],$C$6)-Table1[[#This Row],[Interest]],Table1[[#This Row],[Beginning Balance]]))),2)))</f>
        <v>0</v>
      </c>
      <c r="I240" s="3">
        <f>_xlfn.SINGLE(IF($C$3="Line of Credit",0,ROUND(MAX(MIN(IF($C$10="No",$E$7,VLOOKUP(Table1[[#This Row],[Period]],Forecast!$H$2:$L$1048576,4,FALSE))*Table1[[#This Row],[Beginning Balance]],Table1[[#This Row],[Beginning Balance]]-Table1[[#This Row],[Principal]]),0),2)))</f>
        <v>0</v>
      </c>
      <c r="J240" s="3">
        <f>ROUND(MIN(Table1[[#This Row],[Beginning Balance]]*IF($C$8="No",$E$3,VLOOKUP(Table1[[#This Row],[Period]],Forecast!$H$2:$L$1048576,2,FALSE)),Table1[[#This Row],[Beginning Balance]]-Table1[[#This Row],[Principal]]-Table1[[#This Row],[Prepayments]]),2)</f>
        <v>0</v>
      </c>
      <c r="K240" s="3">
        <f>ROUND(Table1[[#This Row],[Defaulted Principal]]*IF($C$9="No",$E$4,VLOOKUP(Table1[[#This Row],[Period]],Forecast!$H$2:$L$1048576,3,FALSE)),2)</f>
        <v>0</v>
      </c>
      <c r="L240" s="2">
        <f>Table1[[#This Row],[Period]]+$E$9</f>
        <v>236</v>
      </c>
      <c r="M240" s="3">
        <f>Table1[[#This Row],[Defaulted Principal]]-Table1[[#This Row],[Estimated Loss]]</f>
        <v>0</v>
      </c>
      <c r="N240" s="3">
        <f>IFERROR(VLOOKUP(Table1[[#This Row],[Period]],$L$16:$M$385,2,FALSE),0)</f>
        <v>0</v>
      </c>
      <c r="O240" s="3">
        <f>Table1[[#This Row],[Beginning Balance]]-Table1[[#This Row],[Principal]]-Table1[[#This Row],[Prepayments]]-Table1[[#This Row],[Defaulted Principal]]</f>
        <v>0</v>
      </c>
      <c r="P240" s="3">
        <f>Table1[[#This Row],[Principal]]+Table1[[#This Row],[Interest]]+Table1[[#This Row],[Prepayments]]+Table1[[#This Row],[RecoveredAmount]]</f>
        <v>0</v>
      </c>
      <c r="Q240" s="3">
        <f ca="1">Table1[[#This Row],[Cash Flow]]/((1+ActualRateToUse)^(IF(ISNUMBER(SEARCH("Actual",$C$7)),Table1[[#This Row],[Running Total]]/365,Table1[[#This Row],[Period]]/12)))</f>
        <v>0</v>
      </c>
      <c r="R240" s="2">
        <f>IF(MONTH(Table1[[#This Row],[Date]])=2,28,DAY(DATE(YEAR(Table1[[#This Row],[Date]]),MONTH(Table1[[#This Row],[Date]])+1,1)-1))</f>
        <v>28</v>
      </c>
      <c r="S240" s="2">
        <f ca="1">SUM(OFFSET(Table1[[#Headers],[Days in month]],1,0):Table1[[#This Row],[Days in month]])</f>
        <v>6813</v>
      </c>
      <c r="T240" s="37">
        <f>InterestRate*AmortizationMultiplier*IF(ISNUMBER(SEARCH("Actual",$C$7)),Table1[[#This Row],[Days in month]]/365,1/12)</f>
        <v>5.4833333333333331E-3</v>
      </c>
    </row>
    <row r="241" spans="2:20" x14ac:dyDescent="0.2">
      <c r="B241" s="1">
        <f t="shared" si="12"/>
        <v>52687</v>
      </c>
      <c r="C241" s="2">
        <f t="shared" si="13"/>
        <v>225</v>
      </c>
      <c r="D241" s="3">
        <f t="shared" si="15"/>
        <v>0</v>
      </c>
      <c r="E241" s="3">
        <f>ROUND(Table1[[#This Row],[Beginning Balance]]*Table1[[#This Row],[Monthly Interest Rate]],2)</f>
        <v>0</v>
      </c>
      <c r="F241" s="3">
        <f t="shared" si="14"/>
        <v>127</v>
      </c>
      <c r="G241" s="23">
        <f>IFERROR(IF($C$13="No","N/A",IF(Table1[[#This Row],[Period]]=1,$C$6,PMT(InterestRate*AmortizationMultiplier/12,Table1[[#This Row],[Am Thru]],-Table1[[#This Row],[Beginning Balance]]))),0)</f>
        <v>0</v>
      </c>
      <c r="H241" s="3">
        <f>MAX(0,IF(C241=$C$4,D241,ROUND(IF($C$3="Fixed Principal",$C$6-Table1[[#This Row],[Interest]],IF($C$3="Interest Only",Table1[[#This Row],[Beginning Balance]]*ROUND(1-(1-IF($C$11="No",$E$8,1))^(1/12),6),MIN(IF($C$13="Yes",Table1[[#This Row],[Payment Amount (Reamortized)]],$C$6)-Table1[[#This Row],[Interest]],Table1[[#This Row],[Beginning Balance]]))),2)))</f>
        <v>0</v>
      </c>
      <c r="I241" s="3">
        <f>_xlfn.SINGLE(IF($C$3="Line of Credit",0,ROUND(MAX(MIN(IF($C$10="No",$E$7,VLOOKUP(Table1[[#This Row],[Period]],Forecast!$H$2:$L$1048576,4,FALSE))*Table1[[#This Row],[Beginning Balance]],Table1[[#This Row],[Beginning Balance]]-Table1[[#This Row],[Principal]]),0),2)))</f>
        <v>0</v>
      </c>
      <c r="J241" s="3">
        <f>ROUND(MIN(Table1[[#This Row],[Beginning Balance]]*IF($C$8="No",$E$3,VLOOKUP(Table1[[#This Row],[Period]],Forecast!$H$2:$L$1048576,2,FALSE)),Table1[[#This Row],[Beginning Balance]]-Table1[[#This Row],[Principal]]-Table1[[#This Row],[Prepayments]]),2)</f>
        <v>0</v>
      </c>
      <c r="K241" s="3">
        <f>ROUND(Table1[[#This Row],[Defaulted Principal]]*IF($C$9="No",$E$4,VLOOKUP(Table1[[#This Row],[Period]],Forecast!$H$2:$L$1048576,3,FALSE)),2)</f>
        <v>0</v>
      </c>
      <c r="L241" s="2">
        <f>Table1[[#This Row],[Period]]+$E$9</f>
        <v>237</v>
      </c>
      <c r="M241" s="3">
        <f>Table1[[#This Row],[Defaulted Principal]]-Table1[[#This Row],[Estimated Loss]]</f>
        <v>0</v>
      </c>
      <c r="N241" s="3">
        <f>IFERROR(VLOOKUP(Table1[[#This Row],[Period]],$L$16:$M$385,2,FALSE),0)</f>
        <v>0</v>
      </c>
      <c r="O241" s="3">
        <f>Table1[[#This Row],[Beginning Balance]]-Table1[[#This Row],[Principal]]-Table1[[#This Row],[Prepayments]]-Table1[[#This Row],[Defaulted Principal]]</f>
        <v>0</v>
      </c>
      <c r="P241" s="3">
        <f>Table1[[#This Row],[Principal]]+Table1[[#This Row],[Interest]]+Table1[[#This Row],[Prepayments]]+Table1[[#This Row],[RecoveredAmount]]</f>
        <v>0</v>
      </c>
      <c r="Q241" s="3">
        <f ca="1">Table1[[#This Row],[Cash Flow]]/((1+ActualRateToUse)^(IF(ISNUMBER(SEARCH("Actual",$C$7)),Table1[[#This Row],[Running Total]]/365,Table1[[#This Row],[Period]]/12)))</f>
        <v>0</v>
      </c>
      <c r="R241" s="2">
        <f>IF(MONTH(Table1[[#This Row],[Date]])=2,28,DAY(DATE(YEAR(Table1[[#This Row],[Date]]),MONTH(Table1[[#This Row],[Date]])+1,1)-1))</f>
        <v>31</v>
      </c>
      <c r="S241" s="2">
        <f ca="1">SUM(OFFSET(Table1[[#Headers],[Days in month]],1,0):Table1[[#This Row],[Days in month]])</f>
        <v>6844</v>
      </c>
      <c r="T241" s="37">
        <f>InterestRate*AmortizationMultiplier*IF(ISNUMBER(SEARCH("Actual",$C$7)),Table1[[#This Row],[Days in month]]/365,1/12)</f>
        <v>6.0708333333333326E-3</v>
      </c>
    </row>
    <row r="242" spans="2:20" x14ac:dyDescent="0.2">
      <c r="B242" s="1">
        <f t="shared" si="12"/>
        <v>52717</v>
      </c>
      <c r="C242" s="2">
        <f t="shared" si="13"/>
        <v>226</v>
      </c>
      <c r="D242" s="3">
        <f t="shared" si="15"/>
        <v>0</v>
      </c>
      <c r="E242" s="3">
        <f>ROUND(Table1[[#This Row],[Beginning Balance]]*Table1[[#This Row],[Monthly Interest Rate]],2)</f>
        <v>0</v>
      </c>
      <c r="F242" s="3">
        <f t="shared" si="14"/>
        <v>126</v>
      </c>
      <c r="G242" s="23">
        <f>IFERROR(IF($C$13="No","N/A",IF(Table1[[#This Row],[Period]]=1,$C$6,PMT(InterestRate*AmortizationMultiplier/12,Table1[[#This Row],[Am Thru]],-Table1[[#This Row],[Beginning Balance]]))),0)</f>
        <v>0</v>
      </c>
      <c r="H242" s="3">
        <f>MAX(0,IF(C242=$C$4,D242,ROUND(IF($C$3="Fixed Principal",$C$6-Table1[[#This Row],[Interest]],IF($C$3="Interest Only",Table1[[#This Row],[Beginning Balance]]*ROUND(1-(1-IF($C$11="No",$E$8,1))^(1/12),6),MIN(IF($C$13="Yes",Table1[[#This Row],[Payment Amount (Reamortized)]],$C$6)-Table1[[#This Row],[Interest]],Table1[[#This Row],[Beginning Balance]]))),2)))</f>
        <v>0</v>
      </c>
      <c r="I242" s="3">
        <f>_xlfn.SINGLE(IF($C$3="Line of Credit",0,ROUND(MAX(MIN(IF($C$10="No",$E$7,VLOOKUP(Table1[[#This Row],[Period]],Forecast!$H$2:$L$1048576,4,FALSE))*Table1[[#This Row],[Beginning Balance]],Table1[[#This Row],[Beginning Balance]]-Table1[[#This Row],[Principal]]),0),2)))</f>
        <v>0</v>
      </c>
      <c r="J242" s="3">
        <f>ROUND(MIN(Table1[[#This Row],[Beginning Balance]]*IF($C$8="No",$E$3,VLOOKUP(Table1[[#This Row],[Period]],Forecast!$H$2:$L$1048576,2,FALSE)),Table1[[#This Row],[Beginning Balance]]-Table1[[#This Row],[Principal]]-Table1[[#This Row],[Prepayments]]),2)</f>
        <v>0</v>
      </c>
      <c r="K242" s="3">
        <f>ROUND(Table1[[#This Row],[Defaulted Principal]]*IF($C$9="No",$E$4,VLOOKUP(Table1[[#This Row],[Period]],Forecast!$H$2:$L$1048576,3,FALSE)),2)</f>
        <v>0</v>
      </c>
      <c r="L242" s="2">
        <f>Table1[[#This Row],[Period]]+$E$9</f>
        <v>238</v>
      </c>
      <c r="M242" s="3">
        <f>Table1[[#This Row],[Defaulted Principal]]-Table1[[#This Row],[Estimated Loss]]</f>
        <v>0</v>
      </c>
      <c r="N242" s="3">
        <f>IFERROR(VLOOKUP(Table1[[#This Row],[Period]],$L$16:$M$385,2,FALSE),0)</f>
        <v>0</v>
      </c>
      <c r="O242" s="3">
        <f>Table1[[#This Row],[Beginning Balance]]-Table1[[#This Row],[Principal]]-Table1[[#This Row],[Prepayments]]-Table1[[#This Row],[Defaulted Principal]]</f>
        <v>0</v>
      </c>
      <c r="P242" s="3">
        <f>Table1[[#This Row],[Principal]]+Table1[[#This Row],[Interest]]+Table1[[#This Row],[Prepayments]]+Table1[[#This Row],[RecoveredAmount]]</f>
        <v>0</v>
      </c>
      <c r="Q242" s="3">
        <f ca="1">Table1[[#This Row],[Cash Flow]]/((1+ActualRateToUse)^(IF(ISNUMBER(SEARCH("Actual",$C$7)),Table1[[#This Row],[Running Total]]/365,Table1[[#This Row],[Period]]/12)))</f>
        <v>0</v>
      </c>
      <c r="R242" s="2">
        <f>IF(MONTH(Table1[[#This Row],[Date]])=2,28,DAY(DATE(YEAR(Table1[[#This Row],[Date]]),MONTH(Table1[[#This Row],[Date]])+1,1)-1))</f>
        <v>30</v>
      </c>
      <c r="S242" s="2">
        <f ca="1">SUM(OFFSET(Table1[[#Headers],[Days in month]],1,0):Table1[[#This Row],[Days in month]])</f>
        <v>6874</v>
      </c>
      <c r="T242" s="37">
        <f>InterestRate*AmortizationMultiplier*IF(ISNUMBER(SEARCH("Actual",$C$7)),Table1[[#This Row],[Days in month]]/365,1/12)</f>
        <v>5.8749999999999991E-3</v>
      </c>
    </row>
    <row r="243" spans="2:20" x14ac:dyDescent="0.2">
      <c r="B243" s="1">
        <f t="shared" si="12"/>
        <v>52748</v>
      </c>
      <c r="C243" s="2">
        <f t="shared" si="13"/>
        <v>227</v>
      </c>
      <c r="D243" s="3">
        <f t="shared" si="15"/>
        <v>0</v>
      </c>
      <c r="E243" s="3">
        <f>ROUND(Table1[[#This Row],[Beginning Balance]]*Table1[[#This Row],[Monthly Interest Rate]],2)</f>
        <v>0</v>
      </c>
      <c r="F243" s="3">
        <f t="shared" si="14"/>
        <v>125</v>
      </c>
      <c r="G243" s="23">
        <f>IFERROR(IF($C$13="No","N/A",IF(Table1[[#This Row],[Period]]=1,$C$6,PMT(InterestRate*AmortizationMultiplier/12,Table1[[#This Row],[Am Thru]],-Table1[[#This Row],[Beginning Balance]]))),0)</f>
        <v>0</v>
      </c>
      <c r="H243" s="3">
        <f>MAX(0,IF(C243=$C$4,D243,ROUND(IF($C$3="Fixed Principal",$C$6-Table1[[#This Row],[Interest]],IF($C$3="Interest Only",Table1[[#This Row],[Beginning Balance]]*ROUND(1-(1-IF($C$11="No",$E$8,1))^(1/12),6),MIN(IF($C$13="Yes",Table1[[#This Row],[Payment Amount (Reamortized)]],$C$6)-Table1[[#This Row],[Interest]],Table1[[#This Row],[Beginning Balance]]))),2)))</f>
        <v>0</v>
      </c>
      <c r="I243" s="3">
        <f>_xlfn.SINGLE(IF($C$3="Line of Credit",0,ROUND(MAX(MIN(IF($C$10="No",$E$7,VLOOKUP(Table1[[#This Row],[Period]],Forecast!$H$2:$L$1048576,4,FALSE))*Table1[[#This Row],[Beginning Balance]],Table1[[#This Row],[Beginning Balance]]-Table1[[#This Row],[Principal]]),0),2)))</f>
        <v>0</v>
      </c>
      <c r="J243" s="3">
        <f>ROUND(MIN(Table1[[#This Row],[Beginning Balance]]*IF($C$8="No",$E$3,VLOOKUP(Table1[[#This Row],[Period]],Forecast!$H$2:$L$1048576,2,FALSE)),Table1[[#This Row],[Beginning Balance]]-Table1[[#This Row],[Principal]]-Table1[[#This Row],[Prepayments]]),2)</f>
        <v>0</v>
      </c>
      <c r="K243" s="3">
        <f>ROUND(Table1[[#This Row],[Defaulted Principal]]*IF($C$9="No",$E$4,VLOOKUP(Table1[[#This Row],[Period]],Forecast!$H$2:$L$1048576,3,FALSE)),2)</f>
        <v>0</v>
      </c>
      <c r="L243" s="2">
        <f>Table1[[#This Row],[Period]]+$E$9</f>
        <v>239</v>
      </c>
      <c r="M243" s="3">
        <f>Table1[[#This Row],[Defaulted Principal]]-Table1[[#This Row],[Estimated Loss]]</f>
        <v>0</v>
      </c>
      <c r="N243" s="3">
        <f>IFERROR(VLOOKUP(Table1[[#This Row],[Period]],$L$16:$M$385,2,FALSE),0)</f>
        <v>0</v>
      </c>
      <c r="O243" s="3">
        <f>Table1[[#This Row],[Beginning Balance]]-Table1[[#This Row],[Principal]]-Table1[[#This Row],[Prepayments]]-Table1[[#This Row],[Defaulted Principal]]</f>
        <v>0</v>
      </c>
      <c r="P243" s="3">
        <f>Table1[[#This Row],[Principal]]+Table1[[#This Row],[Interest]]+Table1[[#This Row],[Prepayments]]+Table1[[#This Row],[RecoveredAmount]]</f>
        <v>0</v>
      </c>
      <c r="Q243" s="3">
        <f ca="1">Table1[[#This Row],[Cash Flow]]/((1+ActualRateToUse)^(IF(ISNUMBER(SEARCH("Actual",$C$7)),Table1[[#This Row],[Running Total]]/365,Table1[[#This Row],[Period]]/12)))</f>
        <v>0</v>
      </c>
      <c r="R243" s="2">
        <f>IF(MONTH(Table1[[#This Row],[Date]])=2,28,DAY(DATE(YEAR(Table1[[#This Row],[Date]]),MONTH(Table1[[#This Row],[Date]])+1,1)-1))</f>
        <v>31</v>
      </c>
      <c r="S243" s="2">
        <f ca="1">SUM(OFFSET(Table1[[#Headers],[Days in month]],1,0):Table1[[#This Row],[Days in month]])</f>
        <v>6905</v>
      </c>
      <c r="T243" s="37">
        <f>InterestRate*AmortizationMultiplier*IF(ISNUMBER(SEARCH("Actual",$C$7)),Table1[[#This Row],[Days in month]]/365,1/12)</f>
        <v>6.0708333333333326E-3</v>
      </c>
    </row>
    <row r="244" spans="2:20" x14ac:dyDescent="0.2">
      <c r="B244" s="1">
        <f t="shared" si="12"/>
        <v>52778</v>
      </c>
      <c r="C244" s="2">
        <f t="shared" si="13"/>
        <v>228</v>
      </c>
      <c r="D244" s="3">
        <f t="shared" si="15"/>
        <v>0</v>
      </c>
      <c r="E244" s="3">
        <f>ROUND(Table1[[#This Row],[Beginning Balance]]*Table1[[#This Row],[Monthly Interest Rate]],2)</f>
        <v>0</v>
      </c>
      <c r="F244" s="3">
        <f t="shared" si="14"/>
        <v>124</v>
      </c>
      <c r="G244" s="23">
        <f>IFERROR(IF($C$13="No","N/A",IF(Table1[[#This Row],[Period]]=1,$C$6,PMT(InterestRate*AmortizationMultiplier/12,Table1[[#This Row],[Am Thru]],-Table1[[#This Row],[Beginning Balance]]))),0)</f>
        <v>0</v>
      </c>
      <c r="H244" s="3">
        <f>MAX(0,IF(C244=$C$4,D244,ROUND(IF($C$3="Fixed Principal",$C$6-Table1[[#This Row],[Interest]],IF($C$3="Interest Only",Table1[[#This Row],[Beginning Balance]]*ROUND(1-(1-IF($C$11="No",$E$8,1))^(1/12),6),MIN(IF($C$13="Yes",Table1[[#This Row],[Payment Amount (Reamortized)]],$C$6)-Table1[[#This Row],[Interest]],Table1[[#This Row],[Beginning Balance]]))),2)))</f>
        <v>0</v>
      </c>
      <c r="I244" s="3">
        <f>_xlfn.SINGLE(IF($C$3="Line of Credit",0,ROUND(MAX(MIN(IF($C$10="No",$E$7,VLOOKUP(Table1[[#This Row],[Period]],Forecast!$H$2:$L$1048576,4,FALSE))*Table1[[#This Row],[Beginning Balance]],Table1[[#This Row],[Beginning Balance]]-Table1[[#This Row],[Principal]]),0),2)))</f>
        <v>0</v>
      </c>
      <c r="J244" s="3">
        <f>ROUND(MIN(Table1[[#This Row],[Beginning Balance]]*IF($C$8="No",$E$3,VLOOKUP(Table1[[#This Row],[Period]],Forecast!$H$2:$L$1048576,2,FALSE)),Table1[[#This Row],[Beginning Balance]]-Table1[[#This Row],[Principal]]-Table1[[#This Row],[Prepayments]]),2)</f>
        <v>0</v>
      </c>
      <c r="K244" s="3">
        <f>ROUND(Table1[[#This Row],[Defaulted Principal]]*IF($C$9="No",$E$4,VLOOKUP(Table1[[#This Row],[Period]],Forecast!$H$2:$L$1048576,3,FALSE)),2)</f>
        <v>0</v>
      </c>
      <c r="L244" s="2">
        <f>Table1[[#This Row],[Period]]+$E$9</f>
        <v>240</v>
      </c>
      <c r="M244" s="3">
        <f>Table1[[#This Row],[Defaulted Principal]]-Table1[[#This Row],[Estimated Loss]]</f>
        <v>0</v>
      </c>
      <c r="N244" s="3">
        <f>IFERROR(VLOOKUP(Table1[[#This Row],[Period]],$L$16:$M$385,2,FALSE),0)</f>
        <v>0</v>
      </c>
      <c r="O244" s="3">
        <f>Table1[[#This Row],[Beginning Balance]]-Table1[[#This Row],[Principal]]-Table1[[#This Row],[Prepayments]]-Table1[[#This Row],[Defaulted Principal]]</f>
        <v>0</v>
      </c>
      <c r="P244" s="3">
        <f>Table1[[#This Row],[Principal]]+Table1[[#This Row],[Interest]]+Table1[[#This Row],[Prepayments]]+Table1[[#This Row],[RecoveredAmount]]</f>
        <v>0</v>
      </c>
      <c r="Q244" s="3">
        <f ca="1">Table1[[#This Row],[Cash Flow]]/((1+ActualRateToUse)^(IF(ISNUMBER(SEARCH("Actual",$C$7)),Table1[[#This Row],[Running Total]]/365,Table1[[#This Row],[Period]]/12)))</f>
        <v>0</v>
      </c>
      <c r="R244" s="2">
        <f>IF(MONTH(Table1[[#This Row],[Date]])=2,28,DAY(DATE(YEAR(Table1[[#This Row],[Date]]),MONTH(Table1[[#This Row],[Date]])+1,1)-1))</f>
        <v>30</v>
      </c>
      <c r="S244" s="2">
        <f ca="1">SUM(OFFSET(Table1[[#Headers],[Days in month]],1,0):Table1[[#This Row],[Days in month]])</f>
        <v>6935</v>
      </c>
      <c r="T244" s="37">
        <f>InterestRate*AmortizationMultiplier*IF(ISNUMBER(SEARCH("Actual",$C$7)),Table1[[#This Row],[Days in month]]/365,1/12)</f>
        <v>5.8749999999999991E-3</v>
      </c>
    </row>
    <row r="245" spans="2:20" x14ac:dyDescent="0.2">
      <c r="B245" s="1">
        <f t="shared" si="12"/>
        <v>52809</v>
      </c>
      <c r="C245" s="2">
        <f t="shared" si="13"/>
        <v>229</v>
      </c>
      <c r="D245" s="3">
        <f t="shared" si="15"/>
        <v>0</v>
      </c>
      <c r="E245" s="3">
        <f>ROUND(Table1[[#This Row],[Beginning Balance]]*Table1[[#This Row],[Monthly Interest Rate]],2)</f>
        <v>0</v>
      </c>
      <c r="F245" s="3">
        <f t="shared" si="14"/>
        <v>123</v>
      </c>
      <c r="G245" s="23">
        <f>IFERROR(IF($C$13="No","N/A",IF(Table1[[#This Row],[Period]]=1,$C$6,PMT(InterestRate*AmortizationMultiplier/12,Table1[[#This Row],[Am Thru]],-Table1[[#This Row],[Beginning Balance]]))),0)</f>
        <v>0</v>
      </c>
      <c r="H245" s="3">
        <f>MAX(0,IF(C245=$C$4,D245,ROUND(IF($C$3="Fixed Principal",$C$6-Table1[[#This Row],[Interest]],IF($C$3="Interest Only",Table1[[#This Row],[Beginning Balance]]*ROUND(1-(1-IF($C$11="No",$E$8,1))^(1/12),6),MIN(IF($C$13="Yes",Table1[[#This Row],[Payment Amount (Reamortized)]],$C$6)-Table1[[#This Row],[Interest]],Table1[[#This Row],[Beginning Balance]]))),2)))</f>
        <v>0</v>
      </c>
      <c r="I245" s="3">
        <f>_xlfn.SINGLE(IF($C$3="Line of Credit",0,ROUND(MAX(MIN(IF($C$10="No",$E$7,VLOOKUP(Table1[[#This Row],[Period]],Forecast!$H$2:$L$1048576,4,FALSE))*Table1[[#This Row],[Beginning Balance]],Table1[[#This Row],[Beginning Balance]]-Table1[[#This Row],[Principal]]),0),2)))</f>
        <v>0</v>
      </c>
      <c r="J245" s="3">
        <f>ROUND(MIN(Table1[[#This Row],[Beginning Balance]]*IF($C$8="No",$E$3,VLOOKUP(Table1[[#This Row],[Period]],Forecast!$H$2:$L$1048576,2,FALSE)),Table1[[#This Row],[Beginning Balance]]-Table1[[#This Row],[Principal]]-Table1[[#This Row],[Prepayments]]),2)</f>
        <v>0</v>
      </c>
      <c r="K245" s="3">
        <f>ROUND(Table1[[#This Row],[Defaulted Principal]]*IF($C$9="No",$E$4,VLOOKUP(Table1[[#This Row],[Period]],Forecast!$H$2:$L$1048576,3,FALSE)),2)</f>
        <v>0</v>
      </c>
      <c r="L245" s="2">
        <f>Table1[[#This Row],[Period]]+$E$9</f>
        <v>241</v>
      </c>
      <c r="M245" s="3">
        <f>Table1[[#This Row],[Defaulted Principal]]-Table1[[#This Row],[Estimated Loss]]</f>
        <v>0</v>
      </c>
      <c r="N245" s="3">
        <f>IFERROR(VLOOKUP(Table1[[#This Row],[Period]],$L$16:$M$385,2,FALSE),0)</f>
        <v>0</v>
      </c>
      <c r="O245" s="3">
        <f>Table1[[#This Row],[Beginning Balance]]-Table1[[#This Row],[Principal]]-Table1[[#This Row],[Prepayments]]-Table1[[#This Row],[Defaulted Principal]]</f>
        <v>0</v>
      </c>
      <c r="P245" s="3">
        <f>Table1[[#This Row],[Principal]]+Table1[[#This Row],[Interest]]+Table1[[#This Row],[Prepayments]]+Table1[[#This Row],[RecoveredAmount]]</f>
        <v>0</v>
      </c>
      <c r="Q245" s="3">
        <f ca="1">Table1[[#This Row],[Cash Flow]]/((1+ActualRateToUse)^(IF(ISNUMBER(SEARCH("Actual",$C$7)),Table1[[#This Row],[Running Total]]/365,Table1[[#This Row],[Period]]/12)))</f>
        <v>0</v>
      </c>
      <c r="R245" s="2">
        <f>IF(MONTH(Table1[[#This Row],[Date]])=2,28,DAY(DATE(YEAR(Table1[[#This Row],[Date]]),MONTH(Table1[[#This Row],[Date]])+1,1)-1))</f>
        <v>31</v>
      </c>
      <c r="S245" s="2">
        <f ca="1">SUM(OFFSET(Table1[[#Headers],[Days in month]],1,0):Table1[[#This Row],[Days in month]])</f>
        <v>6966</v>
      </c>
      <c r="T245" s="37">
        <f>InterestRate*AmortizationMultiplier*IF(ISNUMBER(SEARCH("Actual",$C$7)),Table1[[#This Row],[Days in month]]/365,1/12)</f>
        <v>6.0708333333333326E-3</v>
      </c>
    </row>
    <row r="246" spans="2:20" x14ac:dyDescent="0.2">
      <c r="B246" s="1">
        <f t="shared" si="12"/>
        <v>52840</v>
      </c>
      <c r="C246" s="2">
        <f t="shared" si="13"/>
        <v>230</v>
      </c>
      <c r="D246" s="3">
        <f t="shared" si="15"/>
        <v>0</v>
      </c>
      <c r="E246" s="3">
        <f>ROUND(Table1[[#This Row],[Beginning Balance]]*Table1[[#This Row],[Monthly Interest Rate]],2)</f>
        <v>0</v>
      </c>
      <c r="F246" s="3">
        <f t="shared" si="14"/>
        <v>122</v>
      </c>
      <c r="G246" s="23">
        <f>IFERROR(IF($C$13="No","N/A",IF(Table1[[#This Row],[Period]]=1,$C$6,PMT(InterestRate*AmortizationMultiplier/12,Table1[[#This Row],[Am Thru]],-Table1[[#This Row],[Beginning Balance]]))),0)</f>
        <v>0</v>
      </c>
      <c r="H246" s="3">
        <f>MAX(0,IF(C246=$C$4,D246,ROUND(IF($C$3="Fixed Principal",$C$6-Table1[[#This Row],[Interest]],IF($C$3="Interest Only",Table1[[#This Row],[Beginning Balance]]*ROUND(1-(1-IF($C$11="No",$E$8,1))^(1/12),6),MIN(IF($C$13="Yes",Table1[[#This Row],[Payment Amount (Reamortized)]],$C$6)-Table1[[#This Row],[Interest]],Table1[[#This Row],[Beginning Balance]]))),2)))</f>
        <v>0</v>
      </c>
      <c r="I246" s="3">
        <f>_xlfn.SINGLE(IF($C$3="Line of Credit",0,ROUND(MAX(MIN(IF($C$10="No",$E$7,VLOOKUP(Table1[[#This Row],[Period]],Forecast!$H$2:$L$1048576,4,FALSE))*Table1[[#This Row],[Beginning Balance]],Table1[[#This Row],[Beginning Balance]]-Table1[[#This Row],[Principal]]),0),2)))</f>
        <v>0</v>
      </c>
      <c r="J246" s="3">
        <f>ROUND(MIN(Table1[[#This Row],[Beginning Balance]]*IF($C$8="No",$E$3,VLOOKUP(Table1[[#This Row],[Period]],Forecast!$H$2:$L$1048576,2,FALSE)),Table1[[#This Row],[Beginning Balance]]-Table1[[#This Row],[Principal]]-Table1[[#This Row],[Prepayments]]),2)</f>
        <v>0</v>
      </c>
      <c r="K246" s="3">
        <f>ROUND(Table1[[#This Row],[Defaulted Principal]]*IF($C$9="No",$E$4,VLOOKUP(Table1[[#This Row],[Period]],Forecast!$H$2:$L$1048576,3,FALSE)),2)</f>
        <v>0</v>
      </c>
      <c r="L246" s="2">
        <f>Table1[[#This Row],[Period]]+$E$9</f>
        <v>242</v>
      </c>
      <c r="M246" s="3">
        <f>Table1[[#This Row],[Defaulted Principal]]-Table1[[#This Row],[Estimated Loss]]</f>
        <v>0</v>
      </c>
      <c r="N246" s="3">
        <f>IFERROR(VLOOKUP(Table1[[#This Row],[Period]],$L$16:$M$385,2,FALSE),0)</f>
        <v>0</v>
      </c>
      <c r="O246" s="3">
        <f>Table1[[#This Row],[Beginning Balance]]-Table1[[#This Row],[Principal]]-Table1[[#This Row],[Prepayments]]-Table1[[#This Row],[Defaulted Principal]]</f>
        <v>0</v>
      </c>
      <c r="P246" s="3">
        <f>Table1[[#This Row],[Principal]]+Table1[[#This Row],[Interest]]+Table1[[#This Row],[Prepayments]]+Table1[[#This Row],[RecoveredAmount]]</f>
        <v>0</v>
      </c>
      <c r="Q246" s="3">
        <f ca="1">Table1[[#This Row],[Cash Flow]]/((1+ActualRateToUse)^(IF(ISNUMBER(SEARCH("Actual",$C$7)),Table1[[#This Row],[Running Total]]/365,Table1[[#This Row],[Period]]/12)))</f>
        <v>0</v>
      </c>
      <c r="R246" s="2">
        <f>IF(MONTH(Table1[[#This Row],[Date]])=2,28,DAY(DATE(YEAR(Table1[[#This Row],[Date]]),MONTH(Table1[[#This Row],[Date]])+1,1)-1))</f>
        <v>31</v>
      </c>
      <c r="S246" s="2">
        <f ca="1">SUM(OFFSET(Table1[[#Headers],[Days in month]],1,0):Table1[[#This Row],[Days in month]])</f>
        <v>6997</v>
      </c>
      <c r="T246" s="37">
        <f>InterestRate*AmortizationMultiplier*IF(ISNUMBER(SEARCH("Actual",$C$7)),Table1[[#This Row],[Days in month]]/365,1/12)</f>
        <v>6.0708333333333326E-3</v>
      </c>
    </row>
    <row r="247" spans="2:20" x14ac:dyDescent="0.2">
      <c r="B247" s="1">
        <f t="shared" si="12"/>
        <v>52870</v>
      </c>
      <c r="C247" s="2">
        <f t="shared" si="13"/>
        <v>231</v>
      </c>
      <c r="D247" s="3">
        <f t="shared" si="15"/>
        <v>0</v>
      </c>
      <c r="E247" s="3">
        <f>ROUND(Table1[[#This Row],[Beginning Balance]]*Table1[[#This Row],[Monthly Interest Rate]],2)</f>
        <v>0</v>
      </c>
      <c r="F247" s="3">
        <f t="shared" si="14"/>
        <v>121</v>
      </c>
      <c r="G247" s="23">
        <f>IFERROR(IF($C$13="No","N/A",IF(Table1[[#This Row],[Period]]=1,$C$6,PMT(InterestRate*AmortizationMultiplier/12,Table1[[#This Row],[Am Thru]],-Table1[[#This Row],[Beginning Balance]]))),0)</f>
        <v>0</v>
      </c>
      <c r="H247" s="3">
        <f>MAX(0,IF(C247=$C$4,D247,ROUND(IF($C$3="Fixed Principal",$C$6-Table1[[#This Row],[Interest]],IF($C$3="Interest Only",Table1[[#This Row],[Beginning Balance]]*ROUND(1-(1-IF($C$11="No",$E$8,1))^(1/12),6),MIN(IF($C$13="Yes",Table1[[#This Row],[Payment Amount (Reamortized)]],$C$6)-Table1[[#This Row],[Interest]],Table1[[#This Row],[Beginning Balance]]))),2)))</f>
        <v>0</v>
      </c>
      <c r="I247" s="3">
        <f>_xlfn.SINGLE(IF($C$3="Line of Credit",0,ROUND(MAX(MIN(IF($C$10="No",$E$7,VLOOKUP(Table1[[#This Row],[Period]],Forecast!$H$2:$L$1048576,4,FALSE))*Table1[[#This Row],[Beginning Balance]],Table1[[#This Row],[Beginning Balance]]-Table1[[#This Row],[Principal]]),0),2)))</f>
        <v>0</v>
      </c>
      <c r="J247" s="3">
        <f>ROUND(MIN(Table1[[#This Row],[Beginning Balance]]*IF($C$8="No",$E$3,VLOOKUP(Table1[[#This Row],[Period]],Forecast!$H$2:$L$1048576,2,FALSE)),Table1[[#This Row],[Beginning Balance]]-Table1[[#This Row],[Principal]]-Table1[[#This Row],[Prepayments]]),2)</f>
        <v>0</v>
      </c>
      <c r="K247" s="3">
        <f>ROUND(Table1[[#This Row],[Defaulted Principal]]*IF($C$9="No",$E$4,VLOOKUP(Table1[[#This Row],[Period]],Forecast!$H$2:$L$1048576,3,FALSE)),2)</f>
        <v>0</v>
      </c>
      <c r="L247" s="2">
        <f>Table1[[#This Row],[Period]]+$E$9</f>
        <v>243</v>
      </c>
      <c r="M247" s="3">
        <f>Table1[[#This Row],[Defaulted Principal]]-Table1[[#This Row],[Estimated Loss]]</f>
        <v>0</v>
      </c>
      <c r="N247" s="3">
        <f>IFERROR(VLOOKUP(Table1[[#This Row],[Period]],$L$16:$M$385,2,FALSE),0)</f>
        <v>0</v>
      </c>
      <c r="O247" s="3">
        <f>Table1[[#This Row],[Beginning Balance]]-Table1[[#This Row],[Principal]]-Table1[[#This Row],[Prepayments]]-Table1[[#This Row],[Defaulted Principal]]</f>
        <v>0</v>
      </c>
      <c r="P247" s="3">
        <f>Table1[[#This Row],[Principal]]+Table1[[#This Row],[Interest]]+Table1[[#This Row],[Prepayments]]+Table1[[#This Row],[RecoveredAmount]]</f>
        <v>0</v>
      </c>
      <c r="Q247" s="3">
        <f ca="1">Table1[[#This Row],[Cash Flow]]/((1+ActualRateToUse)^(IF(ISNUMBER(SEARCH("Actual",$C$7)),Table1[[#This Row],[Running Total]]/365,Table1[[#This Row],[Period]]/12)))</f>
        <v>0</v>
      </c>
      <c r="R247" s="2">
        <f>IF(MONTH(Table1[[#This Row],[Date]])=2,28,DAY(DATE(YEAR(Table1[[#This Row],[Date]]),MONTH(Table1[[#This Row],[Date]])+1,1)-1))</f>
        <v>30</v>
      </c>
      <c r="S247" s="2">
        <f ca="1">SUM(OFFSET(Table1[[#Headers],[Days in month]],1,0):Table1[[#This Row],[Days in month]])</f>
        <v>7027</v>
      </c>
      <c r="T247" s="37">
        <f>InterestRate*AmortizationMultiplier*IF(ISNUMBER(SEARCH("Actual",$C$7)),Table1[[#This Row],[Days in month]]/365,1/12)</f>
        <v>5.8749999999999991E-3</v>
      </c>
    </row>
    <row r="248" spans="2:20" x14ac:dyDescent="0.2">
      <c r="B248" s="1">
        <f t="shared" si="12"/>
        <v>52901</v>
      </c>
      <c r="C248" s="2">
        <f t="shared" si="13"/>
        <v>232</v>
      </c>
      <c r="D248" s="3">
        <f t="shared" si="15"/>
        <v>0</v>
      </c>
      <c r="E248" s="3">
        <f>ROUND(Table1[[#This Row],[Beginning Balance]]*Table1[[#This Row],[Monthly Interest Rate]],2)</f>
        <v>0</v>
      </c>
      <c r="F248" s="3">
        <f t="shared" si="14"/>
        <v>120</v>
      </c>
      <c r="G248" s="23">
        <f>IFERROR(IF($C$13="No","N/A",IF(Table1[[#This Row],[Period]]=1,$C$6,PMT(InterestRate*AmortizationMultiplier/12,Table1[[#This Row],[Am Thru]],-Table1[[#This Row],[Beginning Balance]]))),0)</f>
        <v>0</v>
      </c>
      <c r="H248" s="3">
        <f>MAX(0,IF(C248=$C$4,D248,ROUND(IF($C$3="Fixed Principal",$C$6-Table1[[#This Row],[Interest]],IF($C$3="Interest Only",Table1[[#This Row],[Beginning Balance]]*ROUND(1-(1-IF($C$11="No",$E$8,1))^(1/12),6),MIN(IF($C$13="Yes",Table1[[#This Row],[Payment Amount (Reamortized)]],$C$6)-Table1[[#This Row],[Interest]],Table1[[#This Row],[Beginning Balance]]))),2)))</f>
        <v>0</v>
      </c>
      <c r="I248" s="3">
        <f>_xlfn.SINGLE(IF($C$3="Line of Credit",0,ROUND(MAX(MIN(IF($C$10="No",$E$7,VLOOKUP(Table1[[#This Row],[Period]],Forecast!$H$2:$L$1048576,4,FALSE))*Table1[[#This Row],[Beginning Balance]],Table1[[#This Row],[Beginning Balance]]-Table1[[#This Row],[Principal]]),0),2)))</f>
        <v>0</v>
      </c>
      <c r="J248" s="3">
        <f>ROUND(MIN(Table1[[#This Row],[Beginning Balance]]*IF($C$8="No",$E$3,VLOOKUP(Table1[[#This Row],[Period]],Forecast!$H$2:$L$1048576,2,FALSE)),Table1[[#This Row],[Beginning Balance]]-Table1[[#This Row],[Principal]]-Table1[[#This Row],[Prepayments]]),2)</f>
        <v>0</v>
      </c>
      <c r="K248" s="3">
        <f>ROUND(Table1[[#This Row],[Defaulted Principal]]*IF($C$9="No",$E$4,VLOOKUP(Table1[[#This Row],[Period]],Forecast!$H$2:$L$1048576,3,FALSE)),2)</f>
        <v>0</v>
      </c>
      <c r="L248" s="2">
        <f>Table1[[#This Row],[Period]]+$E$9</f>
        <v>244</v>
      </c>
      <c r="M248" s="3">
        <f>Table1[[#This Row],[Defaulted Principal]]-Table1[[#This Row],[Estimated Loss]]</f>
        <v>0</v>
      </c>
      <c r="N248" s="3">
        <f>IFERROR(VLOOKUP(Table1[[#This Row],[Period]],$L$16:$M$385,2,FALSE),0)</f>
        <v>0</v>
      </c>
      <c r="O248" s="3">
        <f>Table1[[#This Row],[Beginning Balance]]-Table1[[#This Row],[Principal]]-Table1[[#This Row],[Prepayments]]-Table1[[#This Row],[Defaulted Principal]]</f>
        <v>0</v>
      </c>
      <c r="P248" s="3">
        <f>Table1[[#This Row],[Principal]]+Table1[[#This Row],[Interest]]+Table1[[#This Row],[Prepayments]]+Table1[[#This Row],[RecoveredAmount]]</f>
        <v>0</v>
      </c>
      <c r="Q248" s="3">
        <f ca="1">Table1[[#This Row],[Cash Flow]]/((1+ActualRateToUse)^(IF(ISNUMBER(SEARCH("Actual",$C$7)),Table1[[#This Row],[Running Total]]/365,Table1[[#This Row],[Period]]/12)))</f>
        <v>0</v>
      </c>
      <c r="R248" s="2">
        <f>IF(MONTH(Table1[[#This Row],[Date]])=2,28,DAY(DATE(YEAR(Table1[[#This Row],[Date]]),MONTH(Table1[[#This Row],[Date]])+1,1)-1))</f>
        <v>31</v>
      </c>
      <c r="S248" s="2">
        <f ca="1">SUM(OFFSET(Table1[[#Headers],[Days in month]],1,0):Table1[[#This Row],[Days in month]])</f>
        <v>7058</v>
      </c>
      <c r="T248" s="37">
        <f>InterestRate*AmortizationMultiplier*IF(ISNUMBER(SEARCH("Actual",$C$7)),Table1[[#This Row],[Days in month]]/365,1/12)</f>
        <v>6.0708333333333326E-3</v>
      </c>
    </row>
    <row r="249" spans="2:20" x14ac:dyDescent="0.2">
      <c r="B249" s="1">
        <f t="shared" si="12"/>
        <v>52931</v>
      </c>
      <c r="C249" s="2">
        <f t="shared" si="13"/>
        <v>233</v>
      </c>
      <c r="D249" s="3">
        <f t="shared" si="15"/>
        <v>0</v>
      </c>
      <c r="E249" s="3">
        <f>ROUND(Table1[[#This Row],[Beginning Balance]]*Table1[[#This Row],[Monthly Interest Rate]],2)</f>
        <v>0</v>
      </c>
      <c r="F249" s="3">
        <f t="shared" si="14"/>
        <v>119</v>
      </c>
      <c r="G249" s="23">
        <f>IFERROR(IF($C$13="No","N/A",IF(Table1[[#This Row],[Period]]=1,$C$6,PMT(InterestRate*AmortizationMultiplier/12,Table1[[#This Row],[Am Thru]],-Table1[[#This Row],[Beginning Balance]]))),0)</f>
        <v>0</v>
      </c>
      <c r="H249" s="3">
        <f>MAX(0,IF(C249=$C$4,D249,ROUND(IF($C$3="Fixed Principal",$C$6-Table1[[#This Row],[Interest]],IF($C$3="Interest Only",Table1[[#This Row],[Beginning Balance]]*ROUND(1-(1-IF($C$11="No",$E$8,1))^(1/12),6),MIN(IF($C$13="Yes",Table1[[#This Row],[Payment Amount (Reamortized)]],$C$6)-Table1[[#This Row],[Interest]],Table1[[#This Row],[Beginning Balance]]))),2)))</f>
        <v>0</v>
      </c>
      <c r="I249" s="3">
        <f>_xlfn.SINGLE(IF($C$3="Line of Credit",0,ROUND(MAX(MIN(IF($C$10="No",$E$7,VLOOKUP(Table1[[#This Row],[Period]],Forecast!$H$2:$L$1048576,4,FALSE))*Table1[[#This Row],[Beginning Balance]],Table1[[#This Row],[Beginning Balance]]-Table1[[#This Row],[Principal]]),0),2)))</f>
        <v>0</v>
      </c>
      <c r="J249" s="3">
        <f>ROUND(MIN(Table1[[#This Row],[Beginning Balance]]*IF($C$8="No",$E$3,VLOOKUP(Table1[[#This Row],[Period]],Forecast!$H$2:$L$1048576,2,FALSE)),Table1[[#This Row],[Beginning Balance]]-Table1[[#This Row],[Principal]]-Table1[[#This Row],[Prepayments]]),2)</f>
        <v>0</v>
      </c>
      <c r="K249" s="3">
        <f>ROUND(Table1[[#This Row],[Defaulted Principal]]*IF($C$9="No",$E$4,VLOOKUP(Table1[[#This Row],[Period]],Forecast!$H$2:$L$1048576,3,FALSE)),2)</f>
        <v>0</v>
      </c>
      <c r="L249" s="2">
        <f>Table1[[#This Row],[Period]]+$E$9</f>
        <v>245</v>
      </c>
      <c r="M249" s="3">
        <f>Table1[[#This Row],[Defaulted Principal]]-Table1[[#This Row],[Estimated Loss]]</f>
        <v>0</v>
      </c>
      <c r="N249" s="3">
        <f>IFERROR(VLOOKUP(Table1[[#This Row],[Period]],$L$16:$M$385,2,FALSE),0)</f>
        <v>0</v>
      </c>
      <c r="O249" s="3">
        <f>Table1[[#This Row],[Beginning Balance]]-Table1[[#This Row],[Principal]]-Table1[[#This Row],[Prepayments]]-Table1[[#This Row],[Defaulted Principal]]</f>
        <v>0</v>
      </c>
      <c r="P249" s="3">
        <f>Table1[[#This Row],[Principal]]+Table1[[#This Row],[Interest]]+Table1[[#This Row],[Prepayments]]+Table1[[#This Row],[RecoveredAmount]]</f>
        <v>0</v>
      </c>
      <c r="Q249" s="3">
        <f ca="1">Table1[[#This Row],[Cash Flow]]/((1+ActualRateToUse)^(IF(ISNUMBER(SEARCH("Actual",$C$7)),Table1[[#This Row],[Running Total]]/365,Table1[[#This Row],[Period]]/12)))</f>
        <v>0</v>
      </c>
      <c r="R249" s="2">
        <f>IF(MONTH(Table1[[#This Row],[Date]])=2,28,DAY(DATE(YEAR(Table1[[#This Row],[Date]]),MONTH(Table1[[#This Row],[Date]])+1,1)-1))</f>
        <v>30</v>
      </c>
      <c r="S249" s="2">
        <f ca="1">SUM(OFFSET(Table1[[#Headers],[Days in month]],1,0):Table1[[#This Row],[Days in month]])</f>
        <v>7088</v>
      </c>
      <c r="T249" s="37">
        <f>InterestRate*AmortizationMultiplier*IF(ISNUMBER(SEARCH("Actual",$C$7)),Table1[[#This Row],[Days in month]]/365,1/12)</f>
        <v>5.8749999999999991E-3</v>
      </c>
    </row>
    <row r="250" spans="2:20" x14ac:dyDescent="0.2">
      <c r="B250" s="1">
        <f t="shared" si="12"/>
        <v>52962</v>
      </c>
      <c r="C250" s="2">
        <f t="shared" si="13"/>
        <v>234</v>
      </c>
      <c r="D250" s="3">
        <f t="shared" si="15"/>
        <v>0</v>
      </c>
      <c r="E250" s="3">
        <f>ROUND(Table1[[#This Row],[Beginning Balance]]*Table1[[#This Row],[Monthly Interest Rate]],2)</f>
        <v>0</v>
      </c>
      <c r="F250" s="3">
        <f t="shared" si="14"/>
        <v>118</v>
      </c>
      <c r="G250" s="23">
        <f>IFERROR(IF($C$13="No","N/A",IF(Table1[[#This Row],[Period]]=1,$C$6,PMT(InterestRate*AmortizationMultiplier/12,Table1[[#This Row],[Am Thru]],-Table1[[#This Row],[Beginning Balance]]))),0)</f>
        <v>0</v>
      </c>
      <c r="H250" s="3">
        <f>MAX(0,IF(C250=$C$4,D250,ROUND(IF($C$3="Fixed Principal",$C$6-Table1[[#This Row],[Interest]],IF($C$3="Interest Only",Table1[[#This Row],[Beginning Balance]]*ROUND(1-(1-IF($C$11="No",$E$8,1))^(1/12),6),MIN(IF($C$13="Yes",Table1[[#This Row],[Payment Amount (Reamortized)]],$C$6)-Table1[[#This Row],[Interest]],Table1[[#This Row],[Beginning Balance]]))),2)))</f>
        <v>0</v>
      </c>
      <c r="I250" s="3">
        <f>_xlfn.SINGLE(IF($C$3="Line of Credit",0,ROUND(MAX(MIN(IF($C$10="No",$E$7,VLOOKUP(Table1[[#This Row],[Period]],Forecast!$H$2:$L$1048576,4,FALSE))*Table1[[#This Row],[Beginning Balance]],Table1[[#This Row],[Beginning Balance]]-Table1[[#This Row],[Principal]]),0),2)))</f>
        <v>0</v>
      </c>
      <c r="J250" s="3">
        <f>ROUND(MIN(Table1[[#This Row],[Beginning Balance]]*IF($C$8="No",$E$3,VLOOKUP(Table1[[#This Row],[Period]],Forecast!$H$2:$L$1048576,2,FALSE)),Table1[[#This Row],[Beginning Balance]]-Table1[[#This Row],[Principal]]-Table1[[#This Row],[Prepayments]]),2)</f>
        <v>0</v>
      </c>
      <c r="K250" s="3">
        <f>ROUND(Table1[[#This Row],[Defaulted Principal]]*IF($C$9="No",$E$4,VLOOKUP(Table1[[#This Row],[Period]],Forecast!$H$2:$L$1048576,3,FALSE)),2)</f>
        <v>0</v>
      </c>
      <c r="L250" s="2">
        <f>Table1[[#This Row],[Period]]+$E$9</f>
        <v>246</v>
      </c>
      <c r="M250" s="3">
        <f>Table1[[#This Row],[Defaulted Principal]]-Table1[[#This Row],[Estimated Loss]]</f>
        <v>0</v>
      </c>
      <c r="N250" s="3">
        <f>IFERROR(VLOOKUP(Table1[[#This Row],[Period]],$L$16:$M$385,2,FALSE),0)</f>
        <v>0</v>
      </c>
      <c r="O250" s="3">
        <f>Table1[[#This Row],[Beginning Balance]]-Table1[[#This Row],[Principal]]-Table1[[#This Row],[Prepayments]]-Table1[[#This Row],[Defaulted Principal]]</f>
        <v>0</v>
      </c>
      <c r="P250" s="3">
        <f>Table1[[#This Row],[Principal]]+Table1[[#This Row],[Interest]]+Table1[[#This Row],[Prepayments]]+Table1[[#This Row],[RecoveredAmount]]</f>
        <v>0</v>
      </c>
      <c r="Q250" s="3">
        <f ca="1">Table1[[#This Row],[Cash Flow]]/((1+ActualRateToUse)^(IF(ISNUMBER(SEARCH("Actual",$C$7)),Table1[[#This Row],[Running Total]]/365,Table1[[#This Row],[Period]]/12)))</f>
        <v>0</v>
      </c>
      <c r="R250" s="2">
        <f>IF(MONTH(Table1[[#This Row],[Date]])=2,28,DAY(DATE(YEAR(Table1[[#This Row],[Date]]),MONTH(Table1[[#This Row],[Date]])+1,1)-1))</f>
        <v>31</v>
      </c>
      <c r="S250" s="2">
        <f ca="1">SUM(OFFSET(Table1[[#Headers],[Days in month]],1,0):Table1[[#This Row],[Days in month]])</f>
        <v>7119</v>
      </c>
      <c r="T250" s="37">
        <f>InterestRate*AmortizationMultiplier*IF(ISNUMBER(SEARCH("Actual",$C$7)),Table1[[#This Row],[Days in month]]/365,1/12)</f>
        <v>6.0708333333333326E-3</v>
      </c>
    </row>
    <row r="251" spans="2:20" x14ac:dyDescent="0.2">
      <c r="B251" s="1">
        <f t="shared" si="12"/>
        <v>52993</v>
      </c>
      <c r="C251" s="2">
        <f t="shared" si="13"/>
        <v>235</v>
      </c>
      <c r="D251" s="3">
        <f t="shared" si="15"/>
        <v>0</v>
      </c>
      <c r="E251" s="3">
        <f>ROUND(Table1[[#This Row],[Beginning Balance]]*Table1[[#This Row],[Monthly Interest Rate]],2)</f>
        <v>0</v>
      </c>
      <c r="F251" s="3">
        <f t="shared" si="14"/>
        <v>117</v>
      </c>
      <c r="G251" s="23">
        <f>IFERROR(IF($C$13="No","N/A",IF(Table1[[#This Row],[Period]]=1,$C$6,PMT(InterestRate*AmortizationMultiplier/12,Table1[[#This Row],[Am Thru]],-Table1[[#This Row],[Beginning Balance]]))),0)</f>
        <v>0</v>
      </c>
      <c r="H251" s="3">
        <f>MAX(0,IF(C251=$C$4,D251,ROUND(IF($C$3="Fixed Principal",$C$6-Table1[[#This Row],[Interest]],IF($C$3="Interest Only",Table1[[#This Row],[Beginning Balance]]*ROUND(1-(1-IF($C$11="No",$E$8,1))^(1/12),6),MIN(IF($C$13="Yes",Table1[[#This Row],[Payment Amount (Reamortized)]],$C$6)-Table1[[#This Row],[Interest]],Table1[[#This Row],[Beginning Balance]]))),2)))</f>
        <v>0</v>
      </c>
      <c r="I251" s="3">
        <f>_xlfn.SINGLE(IF($C$3="Line of Credit",0,ROUND(MAX(MIN(IF($C$10="No",$E$7,VLOOKUP(Table1[[#This Row],[Period]],Forecast!$H$2:$L$1048576,4,FALSE))*Table1[[#This Row],[Beginning Balance]],Table1[[#This Row],[Beginning Balance]]-Table1[[#This Row],[Principal]]),0),2)))</f>
        <v>0</v>
      </c>
      <c r="J251" s="3">
        <f>ROUND(MIN(Table1[[#This Row],[Beginning Balance]]*IF($C$8="No",$E$3,VLOOKUP(Table1[[#This Row],[Period]],Forecast!$H$2:$L$1048576,2,FALSE)),Table1[[#This Row],[Beginning Balance]]-Table1[[#This Row],[Principal]]-Table1[[#This Row],[Prepayments]]),2)</f>
        <v>0</v>
      </c>
      <c r="K251" s="3">
        <f>ROUND(Table1[[#This Row],[Defaulted Principal]]*IF($C$9="No",$E$4,VLOOKUP(Table1[[#This Row],[Period]],Forecast!$H$2:$L$1048576,3,FALSE)),2)</f>
        <v>0</v>
      </c>
      <c r="L251" s="2">
        <f>Table1[[#This Row],[Period]]+$E$9</f>
        <v>247</v>
      </c>
      <c r="M251" s="3">
        <f>Table1[[#This Row],[Defaulted Principal]]-Table1[[#This Row],[Estimated Loss]]</f>
        <v>0</v>
      </c>
      <c r="N251" s="3">
        <f>IFERROR(VLOOKUP(Table1[[#This Row],[Period]],$L$16:$M$385,2,FALSE),0)</f>
        <v>0</v>
      </c>
      <c r="O251" s="3">
        <f>Table1[[#This Row],[Beginning Balance]]-Table1[[#This Row],[Principal]]-Table1[[#This Row],[Prepayments]]-Table1[[#This Row],[Defaulted Principal]]</f>
        <v>0</v>
      </c>
      <c r="P251" s="3">
        <f>Table1[[#This Row],[Principal]]+Table1[[#This Row],[Interest]]+Table1[[#This Row],[Prepayments]]+Table1[[#This Row],[RecoveredAmount]]</f>
        <v>0</v>
      </c>
      <c r="Q251" s="3">
        <f ca="1">Table1[[#This Row],[Cash Flow]]/((1+ActualRateToUse)^(IF(ISNUMBER(SEARCH("Actual",$C$7)),Table1[[#This Row],[Running Total]]/365,Table1[[#This Row],[Period]]/12)))</f>
        <v>0</v>
      </c>
      <c r="R251" s="2">
        <f>IF(MONTH(Table1[[#This Row],[Date]])=2,28,DAY(DATE(YEAR(Table1[[#This Row],[Date]]),MONTH(Table1[[#This Row],[Date]])+1,1)-1))</f>
        <v>31</v>
      </c>
      <c r="S251" s="2">
        <f ca="1">SUM(OFFSET(Table1[[#Headers],[Days in month]],1,0):Table1[[#This Row],[Days in month]])</f>
        <v>7150</v>
      </c>
      <c r="T251" s="37">
        <f>InterestRate*AmortizationMultiplier*IF(ISNUMBER(SEARCH("Actual",$C$7)),Table1[[#This Row],[Days in month]]/365,1/12)</f>
        <v>6.0708333333333326E-3</v>
      </c>
    </row>
    <row r="252" spans="2:20" x14ac:dyDescent="0.2">
      <c r="B252" s="1">
        <f t="shared" si="12"/>
        <v>53021</v>
      </c>
      <c r="C252" s="2">
        <f t="shared" si="13"/>
        <v>236</v>
      </c>
      <c r="D252" s="3">
        <f t="shared" si="15"/>
        <v>0</v>
      </c>
      <c r="E252" s="3">
        <f>ROUND(Table1[[#This Row],[Beginning Balance]]*Table1[[#This Row],[Monthly Interest Rate]],2)</f>
        <v>0</v>
      </c>
      <c r="F252" s="3">
        <f t="shared" si="14"/>
        <v>116</v>
      </c>
      <c r="G252" s="23">
        <f>IFERROR(IF($C$13="No","N/A",IF(Table1[[#This Row],[Period]]=1,$C$6,PMT(InterestRate*AmortizationMultiplier/12,Table1[[#This Row],[Am Thru]],-Table1[[#This Row],[Beginning Balance]]))),0)</f>
        <v>0</v>
      </c>
      <c r="H252" s="3">
        <f>MAX(0,IF(C252=$C$4,D252,ROUND(IF($C$3="Fixed Principal",$C$6-Table1[[#This Row],[Interest]],IF($C$3="Interest Only",Table1[[#This Row],[Beginning Balance]]*ROUND(1-(1-IF($C$11="No",$E$8,1))^(1/12),6),MIN(IF($C$13="Yes",Table1[[#This Row],[Payment Amount (Reamortized)]],$C$6)-Table1[[#This Row],[Interest]],Table1[[#This Row],[Beginning Balance]]))),2)))</f>
        <v>0</v>
      </c>
      <c r="I252" s="3">
        <f>_xlfn.SINGLE(IF($C$3="Line of Credit",0,ROUND(MAX(MIN(IF($C$10="No",$E$7,VLOOKUP(Table1[[#This Row],[Period]],Forecast!$H$2:$L$1048576,4,FALSE))*Table1[[#This Row],[Beginning Balance]],Table1[[#This Row],[Beginning Balance]]-Table1[[#This Row],[Principal]]),0),2)))</f>
        <v>0</v>
      </c>
      <c r="J252" s="3">
        <f>ROUND(MIN(Table1[[#This Row],[Beginning Balance]]*IF($C$8="No",$E$3,VLOOKUP(Table1[[#This Row],[Period]],Forecast!$H$2:$L$1048576,2,FALSE)),Table1[[#This Row],[Beginning Balance]]-Table1[[#This Row],[Principal]]-Table1[[#This Row],[Prepayments]]),2)</f>
        <v>0</v>
      </c>
      <c r="K252" s="3">
        <f>ROUND(Table1[[#This Row],[Defaulted Principal]]*IF($C$9="No",$E$4,VLOOKUP(Table1[[#This Row],[Period]],Forecast!$H$2:$L$1048576,3,FALSE)),2)</f>
        <v>0</v>
      </c>
      <c r="L252" s="2">
        <f>Table1[[#This Row],[Period]]+$E$9</f>
        <v>248</v>
      </c>
      <c r="M252" s="3">
        <f>Table1[[#This Row],[Defaulted Principal]]-Table1[[#This Row],[Estimated Loss]]</f>
        <v>0</v>
      </c>
      <c r="N252" s="3">
        <f>IFERROR(VLOOKUP(Table1[[#This Row],[Period]],$L$16:$M$385,2,FALSE),0)</f>
        <v>0</v>
      </c>
      <c r="O252" s="3">
        <f>Table1[[#This Row],[Beginning Balance]]-Table1[[#This Row],[Principal]]-Table1[[#This Row],[Prepayments]]-Table1[[#This Row],[Defaulted Principal]]</f>
        <v>0</v>
      </c>
      <c r="P252" s="3">
        <f>Table1[[#This Row],[Principal]]+Table1[[#This Row],[Interest]]+Table1[[#This Row],[Prepayments]]+Table1[[#This Row],[RecoveredAmount]]</f>
        <v>0</v>
      </c>
      <c r="Q252" s="3">
        <f ca="1">Table1[[#This Row],[Cash Flow]]/((1+ActualRateToUse)^(IF(ISNUMBER(SEARCH("Actual",$C$7)),Table1[[#This Row],[Running Total]]/365,Table1[[#This Row],[Period]]/12)))</f>
        <v>0</v>
      </c>
      <c r="R252" s="2">
        <f>IF(MONTH(Table1[[#This Row],[Date]])=2,28,DAY(DATE(YEAR(Table1[[#This Row],[Date]]),MONTH(Table1[[#This Row],[Date]])+1,1)-1))</f>
        <v>28</v>
      </c>
      <c r="S252" s="2">
        <f ca="1">SUM(OFFSET(Table1[[#Headers],[Days in month]],1,0):Table1[[#This Row],[Days in month]])</f>
        <v>7178</v>
      </c>
      <c r="T252" s="37">
        <f>InterestRate*AmortizationMultiplier*IF(ISNUMBER(SEARCH("Actual",$C$7)),Table1[[#This Row],[Days in month]]/365,1/12)</f>
        <v>5.4833333333333331E-3</v>
      </c>
    </row>
    <row r="253" spans="2:20" x14ac:dyDescent="0.2">
      <c r="B253" s="1">
        <f t="shared" si="12"/>
        <v>53052</v>
      </c>
      <c r="C253" s="2">
        <f t="shared" si="13"/>
        <v>237</v>
      </c>
      <c r="D253" s="3">
        <f t="shared" si="15"/>
        <v>0</v>
      </c>
      <c r="E253" s="3">
        <f>ROUND(Table1[[#This Row],[Beginning Balance]]*Table1[[#This Row],[Monthly Interest Rate]],2)</f>
        <v>0</v>
      </c>
      <c r="F253" s="3">
        <f t="shared" si="14"/>
        <v>115</v>
      </c>
      <c r="G253" s="23">
        <f>IFERROR(IF($C$13="No","N/A",IF(Table1[[#This Row],[Period]]=1,$C$6,PMT(InterestRate*AmortizationMultiplier/12,Table1[[#This Row],[Am Thru]],-Table1[[#This Row],[Beginning Balance]]))),0)</f>
        <v>0</v>
      </c>
      <c r="H253" s="3">
        <f>MAX(0,IF(C253=$C$4,D253,ROUND(IF($C$3="Fixed Principal",$C$6-Table1[[#This Row],[Interest]],IF($C$3="Interest Only",Table1[[#This Row],[Beginning Balance]]*ROUND(1-(1-IF($C$11="No",$E$8,1))^(1/12),6),MIN(IF($C$13="Yes",Table1[[#This Row],[Payment Amount (Reamortized)]],$C$6)-Table1[[#This Row],[Interest]],Table1[[#This Row],[Beginning Balance]]))),2)))</f>
        <v>0</v>
      </c>
      <c r="I253" s="3">
        <f>_xlfn.SINGLE(IF($C$3="Line of Credit",0,ROUND(MAX(MIN(IF($C$10="No",$E$7,VLOOKUP(Table1[[#This Row],[Period]],Forecast!$H$2:$L$1048576,4,FALSE))*Table1[[#This Row],[Beginning Balance]],Table1[[#This Row],[Beginning Balance]]-Table1[[#This Row],[Principal]]),0),2)))</f>
        <v>0</v>
      </c>
      <c r="J253" s="3">
        <f>ROUND(MIN(Table1[[#This Row],[Beginning Balance]]*IF($C$8="No",$E$3,VLOOKUP(Table1[[#This Row],[Period]],Forecast!$H$2:$L$1048576,2,FALSE)),Table1[[#This Row],[Beginning Balance]]-Table1[[#This Row],[Principal]]-Table1[[#This Row],[Prepayments]]),2)</f>
        <v>0</v>
      </c>
      <c r="K253" s="3">
        <f>ROUND(Table1[[#This Row],[Defaulted Principal]]*IF($C$9="No",$E$4,VLOOKUP(Table1[[#This Row],[Period]],Forecast!$H$2:$L$1048576,3,FALSE)),2)</f>
        <v>0</v>
      </c>
      <c r="L253" s="2">
        <f>Table1[[#This Row],[Period]]+$E$9</f>
        <v>249</v>
      </c>
      <c r="M253" s="3">
        <f>Table1[[#This Row],[Defaulted Principal]]-Table1[[#This Row],[Estimated Loss]]</f>
        <v>0</v>
      </c>
      <c r="N253" s="3">
        <f>IFERROR(VLOOKUP(Table1[[#This Row],[Period]],$L$16:$M$385,2,FALSE),0)</f>
        <v>0</v>
      </c>
      <c r="O253" s="3">
        <f>Table1[[#This Row],[Beginning Balance]]-Table1[[#This Row],[Principal]]-Table1[[#This Row],[Prepayments]]-Table1[[#This Row],[Defaulted Principal]]</f>
        <v>0</v>
      </c>
      <c r="P253" s="3">
        <f>Table1[[#This Row],[Principal]]+Table1[[#This Row],[Interest]]+Table1[[#This Row],[Prepayments]]+Table1[[#This Row],[RecoveredAmount]]</f>
        <v>0</v>
      </c>
      <c r="Q253" s="3">
        <f ca="1">Table1[[#This Row],[Cash Flow]]/((1+ActualRateToUse)^(IF(ISNUMBER(SEARCH("Actual",$C$7)),Table1[[#This Row],[Running Total]]/365,Table1[[#This Row],[Period]]/12)))</f>
        <v>0</v>
      </c>
      <c r="R253" s="2">
        <f>IF(MONTH(Table1[[#This Row],[Date]])=2,28,DAY(DATE(YEAR(Table1[[#This Row],[Date]]),MONTH(Table1[[#This Row],[Date]])+1,1)-1))</f>
        <v>31</v>
      </c>
      <c r="S253" s="2">
        <f ca="1">SUM(OFFSET(Table1[[#Headers],[Days in month]],1,0):Table1[[#This Row],[Days in month]])</f>
        <v>7209</v>
      </c>
      <c r="T253" s="37">
        <f>InterestRate*AmortizationMultiplier*IF(ISNUMBER(SEARCH("Actual",$C$7)),Table1[[#This Row],[Days in month]]/365,1/12)</f>
        <v>6.0708333333333326E-3</v>
      </c>
    </row>
    <row r="254" spans="2:20" x14ac:dyDescent="0.2">
      <c r="B254" s="1">
        <f t="shared" si="12"/>
        <v>53082</v>
      </c>
      <c r="C254" s="2">
        <f t="shared" si="13"/>
        <v>238</v>
      </c>
      <c r="D254" s="3">
        <f t="shared" si="15"/>
        <v>0</v>
      </c>
      <c r="E254" s="3">
        <f>ROUND(Table1[[#This Row],[Beginning Balance]]*Table1[[#This Row],[Monthly Interest Rate]],2)</f>
        <v>0</v>
      </c>
      <c r="F254" s="3">
        <f t="shared" si="14"/>
        <v>114</v>
      </c>
      <c r="G254" s="23">
        <f>IFERROR(IF($C$13="No","N/A",IF(Table1[[#This Row],[Period]]=1,$C$6,PMT(InterestRate*AmortizationMultiplier/12,Table1[[#This Row],[Am Thru]],-Table1[[#This Row],[Beginning Balance]]))),0)</f>
        <v>0</v>
      </c>
      <c r="H254" s="3">
        <f>MAX(0,IF(C254=$C$4,D254,ROUND(IF($C$3="Fixed Principal",$C$6-Table1[[#This Row],[Interest]],IF($C$3="Interest Only",Table1[[#This Row],[Beginning Balance]]*ROUND(1-(1-IF($C$11="No",$E$8,1))^(1/12),6),MIN(IF($C$13="Yes",Table1[[#This Row],[Payment Amount (Reamortized)]],$C$6)-Table1[[#This Row],[Interest]],Table1[[#This Row],[Beginning Balance]]))),2)))</f>
        <v>0</v>
      </c>
      <c r="I254" s="3">
        <f>_xlfn.SINGLE(IF($C$3="Line of Credit",0,ROUND(MAX(MIN(IF($C$10="No",$E$7,VLOOKUP(Table1[[#This Row],[Period]],Forecast!$H$2:$L$1048576,4,FALSE))*Table1[[#This Row],[Beginning Balance]],Table1[[#This Row],[Beginning Balance]]-Table1[[#This Row],[Principal]]),0),2)))</f>
        <v>0</v>
      </c>
      <c r="J254" s="3">
        <f>ROUND(MIN(Table1[[#This Row],[Beginning Balance]]*IF($C$8="No",$E$3,VLOOKUP(Table1[[#This Row],[Period]],Forecast!$H$2:$L$1048576,2,FALSE)),Table1[[#This Row],[Beginning Balance]]-Table1[[#This Row],[Principal]]-Table1[[#This Row],[Prepayments]]),2)</f>
        <v>0</v>
      </c>
      <c r="K254" s="3">
        <f>ROUND(Table1[[#This Row],[Defaulted Principal]]*IF($C$9="No",$E$4,VLOOKUP(Table1[[#This Row],[Period]],Forecast!$H$2:$L$1048576,3,FALSE)),2)</f>
        <v>0</v>
      </c>
      <c r="L254" s="2">
        <f>Table1[[#This Row],[Period]]+$E$9</f>
        <v>250</v>
      </c>
      <c r="M254" s="3">
        <f>Table1[[#This Row],[Defaulted Principal]]-Table1[[#This Row],[Estimated Loss]]</f>
        <v>0</v>
      </c>
      <c r="N254" s="3">
        <f>IFERROR(VLOOKUP(Table1[[#This Row],[Period]],$L$16:$M$385,2,FALSE),0)</f>
        <v>0</v>
      </c>
      <c r="O254" s="3">
        <f>Table1[[#This Row],[Beginning Balance]]-Table1[[#This Row],[Principal]]-Table1[[#This Row],[Prepayments]]-Table1[[#This Row],[Defaulted Principal]]</f>
        <v>0</v>
      </c>
      <c r="P254" s="3">
        <f>Table1[[#This Row],[Principal]]+Table1[[#This Row],[Interest]]+Table1[[#This Row],[Prepayments]]+Table1[[#This Row],[RecoveredAmount]]</f>
        <v>0</v>
      </c>
      <c r="Q254" s="3">
        <f ca="1">Table1[[#This Row],[Cash Flow]]/((1+ActualRateToUse)^(IF(ISNUMBER(SEARCH("Actual",$C$7)),Table1[[#This Row],[Running Total]]/365,Table1[[#This Row],[Period]]/12)))</f>
        <v>0</v>
      </c>
      <c r="R254" s="2">
        <f>IF(MONTH(Table1[[#This Row],[Date]])=2,28,DAY(DATE(YEAR(Table1[[#This Row],[Date]]),MONTH(Table1[[#This Row],[Date]])+1,1)-1))</f>
        <v>30</v>
      </c>
      <c r="S254" s="2">
        <f ca="1">SUM(OFFSET(Table1[[#Headers],[Days in month]],1,0):Table1[[#This Row],[Days in month]])</f>
        <v>7239</v>
      </c>
      <c r="T254" s="37">
        <f>InterestRate*AmortizationMultiplier*IF(ISNUMBER(SEARCH("Actual",$C$7)),Table1[[#This Row],[Days in month]]/365,1/12)</f>
        <v>5.8749999999999991E-3</v>
      </c>
    </row>
    <row r="255" spans="2:20" x14ac:dyDescent="0.2">
      <c r="B255" s="1">
        <f t="shared" si="12"/>
        <v>53113</v>
      </c>
      <c r="C255" s="2">
        <f t="shared" si="13"/>
        <v>239</v>
      </c>
      <c r="D255" s="3">
        <f t="shared" si="15"/>
        <v>0</v>
      </c>
      <c r="E255" s="3">
        <f>ROUND(Table1[[#This Row],[Beginning Balance]]*Table1[[#This Row],[Monthly Interest Rate]],2)</f>
        <v>0</v>
      </c>
      <c r="F255" s="3">
        <f t="shared" si="14"/>
        <v>113</v>
      </c>
      <c r="G255" s="23">
        <f>IFERROR(IF($C$13="No","N/A",IF(Table1[[#This Row],[Period]]=1,$C$6,PMT(InterestRate*AmortizationMultiplier/12,Table1[[#This Row],[Am Thru]],-Table1[[#This Row],[Beginning Balance]]))),0)</f>
        <v>0</v>
      </c>
      <c r="H255" s="3">
        <f>MAX(0,IF(C255=$C$4,D255,ROUND(IF($C$3="Fixed Principal",$C$6-Table1[[#This Row],[Interest]],IF($C$3="Interest Only",Table1[[#This Row],[Beginning Balance]]*ROUND(1-(1-IF($C$11="No",$E$8,1))^(1/12),6),MIN(IF($C$13="Yes",Table1[[#This Row],[Payment Amount (Reamortized)]],$C$6)-Table1[[#This Row],[Interest]],Table1[[#This Row],[Beginning Balance]]))),2)))</f>
        <v>0</v>
      </c>
      <c r="I255" s="3">
        <f>_xlfn.SINGLE(IF($C$3="Line of Credit",0,ROUND(MAX(MIN(IF($C$10="No",$E$7,VLOOKUP(Table1[[#This Row],[Period]],Forecast!$H$2:$L$1048576,4,FALSE))*Table1[[#This Row],[Beginning Balance]],Table1[[#This Row],[Beginning Balance]]-Table1[[#This Row],[Principal]]),0),2)))</f>
        <v>0</v>
      </c>
      <c r="J255" s="3">
        <f>ROUND(MIN(Table1[[#This Row],[Beginning Balance]]*IF($C$8="No",$E$3,VLOOKUP(Table1[[#This Row],[Period]],Forecast!$H$2:$L$1048576,2,FALSE)),Table1[[#This Row],[Beginning Balance]]-Table1[[#This Row],[Principal]]-Table1[[#This Row],[Prepayments]]),2)</f>
        <v>0</v>
      </c>
      <c r="K255" s="3">
        <f>ROUND(Table1[[#This Row],[Defaulted Principal]]*IF($C$9="No",$E$4,VLOOKUP(Table1[[#This Row],[Period]],Forecast!$H$2:$L$1048576,3,FALSE)),2)</f>
        <v>0</v>
      </c>
      <c r="L255" s="2">
        <f>Table1[[#This Row],[Period]]+$E$9</f>
        <v>251</v>
      </c>
      <c r="M255" s="3">
        <f>Table1[[#This Row],[Defaulted Principal]]-Table1[[#This Row],[Estimated Loss]]</f>
        <v>0</v>
      </c>
      <c r="N255" s="3">
        <f>IFERROR(VLOOKUP(Table1[[#This Row],[Period]],$L$16:$M$385,2,FALSE),0)</f>
        <v>0</v>
      </c>
      <c r="O255" s="3">
        <f>Table1[[#This Row],[Beginning Balance]]-Table1[[#This Row],[Principal]]-Table1[[#This Row],[Prepayments]]-Table1[[#This Row],[Defaulted Principal]]</f>
        <v>0</v>
      </c>
      <c r="P255" s="3">
        <f>Table1[[#This Row],[Principal]]+Table1[[#This Row],[Interest]]+Table1[[#This Row],[Prepayments]]+Table1[[#This Row],[RecoveredAmount]]</f>
        <v>0</v>
      </c>
      <c r="Q255" s="3">
        <f ca="1">Table1[[#This Row],[Cash Flow]]/((1+ActualRateToUse)^(IF(ISNUMBER(SEARCH("Actual",$C$7)),Table1[[#This Row],[Running Total]]/365,Table1[[#This Row],[Period]]/12)))</f>
        <v>0</v>
      </c>
      <c r="R255" s="2">
        <f>IF(MONTH(Table1[[#This Row],[Date]])=2,28,DAY(DATE(YEAR(Table1[[#This Row],[Date]]),MONTH(Table1[[#This Row],[Date]])+1,1)-1))</f>
        <v>31</v>
      </c>
      <c r="S255" s="2">
        <f ca="1">SUM(OFFSET(Table1[[#Headers],[Days in month]],1,0):Table1[[#This Row],[Days in month]])</f>
        <v>7270</v>
      </c>
      <c r="T255" s="37">
        <f>InterestRate*AmortizationMultiplier*IF(ISNUMBER(SEARCH("Actual",$C$7)),Table1[[#This Row],[Days in month]]/365,1/12)</f>
        <v>6.0708333333333326E-3</v>
      </c>
    </row>
    <row r="256" spans="2:20" x14ac:dyDescent="0.2">
      <c r="B256" s="1">
        <f t="shared" si="12"/>
        <v>53143</v>
      </c>
      <c r="C256" s="2">
        <f t="shared" si="13"/>
        <v>240</v>
      </c>
      <c r="D256" s="3">
        <f t="shared" si="15"/>
        <v>0</v>
      </c>
      <c r="E256" s="3">
        <f>ROUND(Table1[[#This Row],[Beginning Balance]]*Table1[[#This Row],[Monthly Interest Rate]],2)</f>
        <v>0</v>
      </c>
      <c r="F256" s="3">
        <f t="shared" si="14"/>
        <v>112</v>
      </c>
      <c r="G256" s="23">
        <f>IFERROR(IF($C$13="No","N/A",IF(Table1[[#This Row],[Period]]=1,$C$6,PMT(InterestRate*AmortizationMultiplier/12,Table1[[#This Row],[Am Thru]],-Table1[[#This Row],[Beginning Balance]]))),0)</f>
        <v>0</v>
      </c>
      <c r="H256" s="3">
        <f>MAX(0,IF(C256=$C$4,D256,ROUND(IF($C$3="Fixed Principal",$C$6-Table1[[#This Row],[Interest]],IF($C$3="Interest Only",Table1[[#This Row],[Beginning Balance]]*ROUND(1-(1-IF($C$11="No",$E$8,1))^(1/12),6),MIN(IF($C$13="Yes",Table1[[#This Row],[Payment Amount (Reamortized)]],$C$6)-Table1[[#This Row],[Interest]],Table1[[#This Row],[Beginning Balance]]))),2)))</f>
        <v>0</v>
      </c>
      <c r="I256" s="3">
        <f>_xlfn.SINGLE(IF($C$3="Line of Credit",0,ROUND(MAX(MIN(IF($C$10="No",$E$7,VLOOKUP(Table1[[#This Row],[Period]],Forecast!$H$2:$L$1048576,4,FALSE))*Table1[[#This Row],[Beginning Balance]],Table1[[#This Row],[Beginning Balance]]-Table1[[#This Row],[Principal]]),0),2)))</f>
        <v>0</v>
      </c>
      <c r="J256" s="3">
        <f>ROUND(MIN(Table1[[#This Row],[Beginning Balance]]*IF($C$8="No",$E$3,VLOOKUP(Table1[[#This Row],[Period]],Forecast!$H$2:$L$1048576,2,FALSE)),Table1[[#This Row],[Beginning Balance]]-Table1[[#This Row],[Principal]]-Table1[[#This Row],[Prepayments]]),2)</f>
        <v>0</v>
      </c>
      <c r="K256" s="3">
        <f>ROUND(Table1[[#This Row],[Defaulted Principal]]*IF($C$9="No",$E$4,VLOOKUP(Table1[[#This Row],[Period]],Forecast!$H$2:$L$1048576,3,FALSE)),2)</f>
        <v>0</v>
      </c>
      <c r="L256" s="2">
        <f>Table1[[#This Row],[Period]]+$E$9</f>
        <v>252</v>
      </c>
      <c r="M256" s="3">
        <f>Table1[[#This Row],[Defaulted Principal]]-Table1[[#This Row],[Estimated Loss]]</f>
        <v>0</v>
      </c>
      <c r="N256" s="3">
        <f>IFERROR(VLOOKUP(Table1[[#This Row],[Period]],$L$16:$M$385,2,FALSE),0)</f>
        <v>0</v>
      </c>
      <c r="O256" s="3">
        <f>Table1[[#This Row],[Beginning Balance]]-Table1[[#This Row],[Principal]]-Table1[[#This Row],[Prepayments]]-Table1[[#This Row],[Defaulted Principal]]</f>
        <v>0</v>
      </c>
      <c r="P256" s="3">
        <f>Table1[[#This Row],[Principal]]+Table1[[#This Row],[Interest]]+Table1[[#This Row],[Prepayments]]+Table1[[#This Row],[RecoveredAmount]]</f>
        <v>0</v>
      </c>
      <c r="Q256" s="3">
        <f ca="1">Table1[[#This Row],[Cash Flow]]/((1+ActualRateToUse)^(IF(ISNUMBER(SEARCH("Actual",$C$7)),Table1[[#This Row],[Running Total]]/365,Table1[[#This Row],[Period]]/12)))</f>
        <v>0</v>
      </c>
      <c r="R256" s="2">
        <f>IF(MONTH(Table1[[#This Row],[Date]])=2,28,DAY(DATE(YEAR(Table1[[#This Row],[Date]]),MONTH(Table1[[#This Row],[Date]])+1,1)-1))</f>
        <v>30</v>
      </c>
      <c r="S256" s="2">
        <f ca="1">SUM(OFFSET(Table1[[#Headers],[Days in month]],1,0):Table1[[#This Row],[Days in month]])</f>
        <v>7300</v>
      </c>
      <c r="T256" s="37">
        <f>InterestRate*AmortizationMultiplier*IF(ISNUMBER(SEARCH("Actual",$C$7)),Table1[[#This Row],[Days in month]]/365,1/12)</f>
        <v>5.8749999999999991E-3</v>
      </c>
    </row>
    <row r="257" spans="2:20" x14ac:dyDescent="0.2">
      <c r="B257" s="1">
        <f t="shared" si="12"/>
        <v>53174</v>
      </c>
      <c r="C257" s="2">
        <f t="shared" si="13"/>
        <v>241</v>
      </c>
      <c r="D257" s="3">
        <f t="shared" si="15"/>
        <v>0</v>
      </c>
      <c r="E257" s="3">
        <f>ROUND(Table1[[#This Row],[Beginning Balance]]*Table1[[#This Row],[Monthly Interest Rate]],2)</f>
        <v>0</v>
      </c>
      <c r="F257" s="3">
        <f t="shared" si="14"/>
        <v>111</v>
      </c>
      <c r="G257" s="23">
        <f>IFERROR(IF($C$13="No","N/A",IF(Table1[[#This Row],[Period]]=1,$C$6,PMT(InterestRate*AmortizationMultiplier/12,Table1[[#This Row],[Am Thru]],-Table1[[#This Row],[Beginning Balance]]))),0)</f>
        <v>0</v>
      </c>
      <c r="H257" s="3">
        <f>MAX(0,IF(C257=$C$4,D257,ROUND(IF($C$3="Fixed Principal",$C$6-Table1[[#This Row],[Interest]],IF($C$3="Interest Only",Table1[[#This Row],[Beginning Balance]]*ROUND(1-(1-IF($C$11="No",$E$8,1))^(1/12),6),MIN(IF($C$13="Yes",Table1[[#This Row],[Payment Amount (Reamortized)]],$C$6)-Table1[[#This Row],[Interest]],Table1[[#This Row],[Beginning Balance]]))),2)))</f>
        <v>0</v>
      </c>
      <c r="I257" s="3">
        <f>_xlfn.SINGLE(IF($C$3="Line of Credit",0,ROUND(MAX(MIN(IF($C$10="No",$E$7,VLOOKUP(Table1[[#This Row],[Period]],Forecast!$H$2:$L$1048576,4,FALSE))*Table1[[#This Row],[Beginning Balance]],Table1[[#This Row],[Beginning Balance]]-Table1[[#This Row],[Principal]]),0),2)))</f>
        <v>0</v>
      </c>
      <c r="J257" s="3">
        <f>ROUND(MIN(Table1[[#This Row],[Beginning Balance]]*IF($C$8="No",$E$3,VLOOKUP(Table1[[#This Row],[Period]],Forecast!$H$2:$L$1048576,2,FALSE)),Table1[[#This Row],[Beginning Balance]]-Table1[[#This Row],[Principal]]-Table1[[#This Row],[Prepayments]]),2)</f>
        <v>0</v>
      </c>
      <c r="K257" s="3">
        <f>ROUND(Table1[[#This Row],[Defaulted Principal]]*IF($C$9="No",$E$4,VLOOKUP(Table1[[#This Row],[Period]],Forecast!$H$2:$L$1048576,3,FALSE)),2)</f>
        <v>0</v>
      </c>
      <c r="L257" s="2">
        <f>Table1[[#This Row],[Period]]+$E$9</f>
        <v>253</v>
      </c>
      <c r="M257" s="3">
        <f>Table1[[#This Row],[Defaulted Principal]]-Table1[[#This Row],[Estimated Loss]]</f>
        <v>0</v>
      </c>
      <c r="N257" s="3">
        <f>IFERROR(VLOOKUP(Table1[[#This Row],[Period]],$L$16:$M$385,2,FALSE),0)</f>
        <v>0</v>
      </c>
      <c r="O257" s="3">
        <f>Table1[[#This Row],[Beginning Balance]]-Table1[[#This Row],[Principal]]-Table1[[#This Row],[Prepayments]]-Table1[[#This Row],[Defaulted Principal]]</f>
        <v>0</v>
      </c>
      <c r="P257" s="3">
        <f>Table1[[#This Row],[Principal]]+Table1[[#This Row],[Interest]]+Table1[[#This Row],[Prepayments]]+Table1[[#This Row],[RecoveredAmount]]</f>
        <v>0</v>
      </c>
      <c r="Q257" s="3">
        <f ca="1">Table1[[#This Row],[Cash Flow]]/((1+ActualRateToUse)^(IF(ISNUMBER(SEARCH("Actual",$C$7)),Table1[[#This Row],[Running Total]]/365,Table1[[#This Row],[Period]]/12)))</f>
        <v>0</v>
      </c>
      <c r="R257" s="2">
        <f>IF(MONTH(Table1[[#This Row],[Date]])=2,28,DAY(DATE(YEAR(Table1[[#This Row],[Date]]),MONTH(Table1[[#This Row],[Date]])+1,1)-1))</f>
        <v>31</v>
      </c>
      <c r="S257" s="2">
        <f ca="1">SUM(OFFSET(Table1[[#Headers],[Days in month]],1,0):Table1[[#This Row],[Days in month]])</f>
        <v>7331</v>
      </c>
      <c r="T257" s="37">
        <f>InterestRate*AmortizationMultiplier*IF(ISNUMBER(SEARCH("Actual",$C$7)),Table1[[#This Row],[Days in month]]/365,1/12)</f>
        <v>6.0708333333333326E-3</v>
      </c>
    </row>
    <row r="258" spans="2:20" x14ac:dyDescent="0.2">
      <c r="B258" s="1">
        <f t="shared" si="12"/>
        <v>53205</v>
      </c>
      <c r="C258" s="2">
        <f t="shared" si="13"/>
        <v>242</v>
      </c>
      <c r="D258" s="3">
        <f t="shared" si="15"/>
        <v>0</v>
      </c>
      <c r="E258" s="3">
        <f>ROUND(Table1[[#This Row],[Beginning Balance]]*Table1[[#This Row],[Monthly Interest Rate]],2)</f>
        <v>0</v>
      </c>
      <c r="F258" s="3">
        <f t="shared" si="14"/>
        <v>110</v>
      </c>
      <c r="G258" s="23">
        <f>IFERROR(IF($C$13="No","N/A",IF(Table1[[#This Row],[Period]]=1,$C$6,PMT(InterestRate*AmortizationMultiplier/12,Table1[[#This Row],[Am Thru]],-Table1[[#This Row],[Beginning Balance]]))),0)</f>
        <v>0</v>
      </c>
      <c r="H258" s="3">
        <f>MAX(0,IF(C258=$C$4,D258,ROUND(IF($C$3="Fixed Principal",$C$6-Table1[[#This Row],[Interest]],IF($C$3="Interest Only",Table1[[#This Row],[Beginning Balance]]*ROUND(1-(1-IF($C$11="No",$E$8,1))^(1/12),6),MIN(IF($C$13="Yes",Table1[[#This Row],[Payment Amount (Reamortized)]],$C$6)-Table1[[#This Row],[Interest]],Table1[[#This Row],[Beginning Balance]]))),2)))</f>
        <v>0</v>
      </c>
      <c r="I258" s="3">
        <f>_xlfn.SINGLE(IF($C$3="Line of Credit",0,ROUND(MAX(MIN(IF($C$10="No",$E$7,VLOOKUP(Table1[[#This Row],[Period]],Forecast!$H$2:$L$1048576,4,FALSE))*Table1[[#This Row],[Beginning Balance]],Table1[[#This Row],[Beginning Balance]]-Table1[[#This Row],[Principal]]),0),2)))</f>
        <v>0</v>
      </c>
      <c r="J258" s="3">
        <f>ROUND(MIN(Table1[[#This Row],[Beginning Balance]]*IF($C$8="No",$E$3,VLOOKUP(Table1[[#This Row],[Period]],Forecast!$H$2:$L$1048576,2,FALSE)),Table1[[#This Row],[Beginning Balance]]-Table1[[#This Row],[Principal]]-Table1[[#This Row],[Prepayments]]),2)</f>
        <v>0</v>
      </c>
      <c r="K258" s="3">
        <f>ROUND(Table1[[#This Row],[Defaulted Principal]]*IF($C$9="No",$E$4,VLOOKUP(Table1[[#This Row],[Period]],Forecast!$H$2:$L$1048576,3,FALSE)),2)</f>
        <v>0</v>
      </c>
      <c r="L258" s="2">
        <f>Table1[[#This Row],[Period]]+$E$9</f>
        <v>254</v>
      </c>
      <c r="M258" s="3">
        <f>Table1[[#This Row],[Defaulted Principal]]-Table1[[#This Row],[Estimated Loss]]</f>
        <v>0</v>
      </c>
      <c r="N258" s="3">
        <f>IFERROR(VLOOKUP(Table1[[#This Row],[Period]],$L$16:$M$385,2,FALSE),0)</f>
        <v>0</v>
      </c>
      <c r="O258" s="3">
        <f>Table1[[#This Row],[Beginning Balance]]-Table1[[#This Row],[Principal]]-Table1[[#This Row],[Prepayments]]-Table1[[#This Row],[Defaulted Principal]]</f>
        <v>0</v>
      </c>
      <c r="P258" s="3">
        <f>Table1[[#This Row],[Principal]]+Table1[[#This Row],[Interest]]+Table1[[#This Row],[Prepayments]]+Table1[[#This Row],[RecoveredAmount]]</f>
        <v>0</v>
      </c>
      <c r="Q258" s="3">
        <f ca="1">Table1[[#This Row],[Cash Flow]]/((1+ActualRateToUse)^(IF(ISNUMBER(SEARCH("Actual",$C$7)),Table1[[#This Row],[Running Total]]/365,Table1[[#This Row],[Period]]/12)))</f>
        <v>0</v>
      </c>
      <c r="R258" s="2">
        <f>IF(MONTH(Table1[[#This Row],[Date]])=2,28,DAY(DATE(YEAR(Table1[[#This Row],[Date]]),MONTH(Table1[[#This Row],[Date]])+1,1)-1))</f>
        <v>31</v>
      </c>
      <c r="S258" s="2">
        <f ca="1">SUM(OFFSET(Table1[[#Headers],[Days in month]],1,0):Table1[[#This Row],[Days in month]])</f>
        <v>7362</v>
      </c>
      <c r="T258" s="37">
        <f>InterestRate*AmortizationMultiplier*IF(ISNUMBER(SEARCH("Actual",$C$7)),Table1[[#This Row],[Days in month]]/365,1/12)</f>
        <v>6.0708333333333326E-3</v>
      </c>
    </row>
    <row r="259" spans="2:20" x14ac:dyDescent="0.2">
      <c r="B259" s="1">
        <f t="shared" si="12"/>
        <v>53235</v>
      </c>
      <c r="C259" s="2">
        <f t="shared" si="13"/>
        <v>243</v>
      </c>
      <c r="D259" s="3">
        <f t="shared" si="15"/>
        <v>0</v>
      </c>
      <c r="E259" s="3">
        <f>ROUND(Table1[[#This Row],[Beginning Balance]]*Table1[[#This Row],[Monthly Interest Rate]],2)</f>
        <v>0</v>
      </c>
      <c r="F259" s="3">
        <f t="shared" si="14"/>
        <v>109</v>
      </c>
      <c r="G259" s="23">
        <f>IFERROR(IF($C$13="No","N/A",IF(Table1[[#This Row],[Period]]=1,$C$6,PMT(InterestRate*AmortizationMultiplier/12,Table1[[#This Row],[Am Thru]],-Table1[[#This Row],[Beginning Balance]]))),0)</f>
        <v>0</v>
      </c>
      <c r="H259" s="3">
        <f>MAX(0,IF(C259=$C$4,D259,ROUND(IF($C$3="Fixed Principal",$C$6-Table1[[#This Row],[Interest]],IF($C$3="Interest Only",Table1[[#This Row],[Beginning Balance]]*ROUND(1-(1-IF($C$11="No",$E$8,1))^(1/12),6),MIN(IF($C$13="Yes",Table1[[#This Row],[Payment Amount (Reamortized)]],$C$6)-Table1[[#This Row],[Interest]],Table1[[#This Row],[Beginning Balance]]))),2)))</f>
        <v>0</v>
      </c>
      <c r="I259" s="3">
        <f>_xlfn.SINGLE(IF($C$3="Line of Credit",0,ROUND(MAX(MIN(IF($C$10="No",$E$7,VLOOKUP(Table1[[#This Row],[Period]],Forecast!$H$2:$L$1048576,4,FALSE))*Table1[[#This Row],[Beginning Balance]],Table1[[#This Row],[Beginning Balance]]-Table1[[#This Row],[Principal]]),0),2)))</f>
        <v>0</v>
      </c>
      <c r="J259" s="3">
        <f>ROUND(MIN(Table1[[#This Row],[Beginning Balance]]*IF($C$8="No",$E$3,VLOOKUP(Table1[[#This Row],[Period]],Forecast!$H$2:$L$1048576,2,FALSE)),Table1[[#This Row],[Beginning Balance]]-Table1[[#This Row],[Principal]]-Table1[[#This Row],[Prepayments]]),2)</f>
        <v>0</v>
      </c>
      <c r="K259" s="3">
        <f>ROUND(Table1[[#This Row],[Defaulted Principal]]*IF($C$9="No",$E$4,VLOOKUP(Table1[[#This Row],[Period]],Forecast!$H$2:$L$1048576,3,FALSE)),2)</f>
        <v>0</v>
      </c>
      <c r="L259" s="2">
        <f>Table1[[#This Row],[Period]]+$E$9</f>
        <v>255</v>
      </c>
      <c r="M259" s="3">
        <f>Table1[[#This Row],[Defaulted Principal]]-Table1[[#This Row],[Estimated Loss]]</f>
        <v>0</v>
      </c>
      <c r="N259" s="3">
        <f>IFERROR(VLOOKUP(Table1[[#This Row],[Period]],$L$16:$M$385,2,FALSE),0)</f>
        <v>0</v>
      </c>
      <c r="O259" s="3">
        <f>Table1[[#This Row],[Beginning Balance]]-Table1[[#This Row],[Principal]]-Table1[[#This Row],[Prepayments]]-Table1[[#This Row],[Defaulted Principal]]</f>
        <v>0</v>
      </c>
      <c r="P259" s="3">
        <f>Table1[[#This Row],[Principal]]+Table1[[#This Row],[Interest]]+Table1[[#This Row],[Prepayments]]+Table1[[#This Row],[RecoveredAmount]]</f>
        <v>0</v>
      </c>
      <c r="Q259" s="3">
        <f ca="1">Table1[[#This Row],[Cash Flow]]/((1+ActualRateToUse)^(IF(ISNUMBER(SEARCH("Actual",$C$7)),Table1[[#This Row],[Running Total]]/365,Table1[[#This Row],[Period]]/12)))</f>
        <v>0</v>
      </c>
      <c r="R259" s="2">
        <f>IF(MONTH(Table1[[#This Row],[Date]])=2,28,DAY(DATE(YEAR(Table1[[#This Row],[Date]]),MONTH(Table1[[#This Row],[Date]])+1,1)-1))</f>
        <v>30</v>
      </c>
      <c r="S259" s="2">
        <f ca="1">SUM(OFFSET(Table1[[#Headers],[Days in month]],1,0):Table1[[#This Row],[Days in month]])</f>
        <v>7392</v>
      </c>
      <c r="T259" s="37">
        <f>InterestRate*AmortizationMultiplier*IF(ISNUMBER(SEARCH("Actual",$C$7)),Table1[[#This Row],[Days in month]]/365,1/12)</f>
        <v>5.8749999999999991E-3</v>
      </c>
    </row>
    <row r="260" spans="2:20" x14ac:dyDescent="0.2">
      <c r="B260" s="1">
        <f t="shared" si="12"/>
        <v>53266</v>
      </c>
      <c r="C260" s="2">
        <f t="shared" si="13"/>
        <v>244</v>
      </c>
      <c r="D260" s="3">
        <f t="shared" si="15"/>
        <v>0</v>
      </c>
      <c r="E260" s="3">
        <f>ROUND(Table1[[#This Row],[Beginning Balance]]*Table1[[#This Row],[Monthly Interest Rate]],2)</f>
        <v>0</v>
      </c>
      <c r="F260" s="3">
        <f t="shared" si="14"/>
        <v>108</v>
      </c>
      <c r="G260" s="23">
        <f>IFERROR(IF($C$13="No","N/A",IF(Table1[[#This Row],[Period]]=1,$C$6,PMT(InterestRate*AmortizationMultiplier/12,Table1[[#This Row],[Am Thru]],-Table1[[#This Row],[Beginning Balance]]))),0)</f>
        <v>0</v>
      </c>
      <c r="H260" s="3">
        <f>MAX(0,IF(C260=$C$4,D260,ROUND(IF($C$3="Fixed Principal",$C$6-Table1[[#This Row],[Interest]],IF($C$3="Interest Only",Table1[[#This Row],[Beginning Balance]]*ROUND(1-(1-IF($C$11="No",$E$8,1))^(1/12),6),MIN(IF($C$13="Yes",Table1[[#This Row],[Payment Amount (Reamortized)]],$C$6)-Table1[[#This Row],[Interest]],Table1[[#This Row],[Beginning Balance]]))),2)))</f>
        <v>0</v>
      </c>
      <c r="I260" s="3">
        <f>_xlfn.SINGLE(IF($C$3="Line of Credit",0,ROUND(MAX(MIN(IF($C$10="No",$E$7,VLOOKUP(Table1[[#This Row],[Period]],Forecast!$H$2:$L$1048576,4,FALSE))*Table1[[#This Row],[Beginning Balance]],Table1[[#This Row],[Beginning Balance]]-Table1[[#This Row],[Principal]]),0),2)))</f>
        <v>0</v>
      </c>
      <c r="J260" s="3">
        <f>ROUND(MIN(Table1[[#This Row],[Beginning Balance]]*IF($C$8="No",$E$3,VLOOKUP(Table1[[#This Row],[Period]],Forecast!$H$2:$L$1048576,2,FALSE)),Table1[[#This Row],[Beginning Balance]]-Table1[[#This Row],[Principal]]-Table1[[#This Row],[Prepayments]]),2)</f>
        <v>0</v>
      </c>
      <c r="K260" s="3">
        <f>ROUND(Table1[[#This Row],[Defaulted Principal]]*IF($C$9="No",$E$4,VLOOKUP(Table1[[#This Row],[Period]],Forecast!$H$2:$L$1048576,3,FALSE)),2)</f>
        <v>0</v>
      </c>
      <c r="L260" s="2">
        <f>Table1[[#This Row],[Period]]+$E$9</f>
        <v>256</v>
      </c>
      <c r="M260" s="3">
        <f>Table1[[#This Row],[Defaulted Principal]]-Table1[[#This Row],[Estimated Loss]]</f>
        <v>0</v>
      </c>
      <c r="N260" s="3">
        <f>IFERROR(VLOOKUP(Table1[[#This Row],[Period]],$L$16:$M$385,2,FALSE),0)</f>
        <v>0</v>
      </c>
      <c r="O260" s="3">
        <f>Table1[[#This Row],[Beginning Balance]]-Table1[[#This Row],[Principal]]-Table1[[#This Row],[Prepayments]]-Table1[[#This Row],[Defaulted Principal]]</f>
        <v>0</v>
      </c>
      <c r="P260" s="3">
        <f>Table1[[#This Row],[Principal]]+Table1[[#This Row],[Interest]]+Table1[[#This Row],[Prepayments]]+Table1[[#This Row],[RecoveredAmount]]</f>
        <v>0</v>
      </c>
      <c r="Q260" s="3">
        <f ca="1">Table1[[#This Row],[Cash Flow]]/((1+ActualRateToUse)^(IF(ISNUMBER(SEARCH("Actual",$C$7)),Table1[[#This Row],[Running Total]]/365,Table1[[#This Row],[Period]]/12)))</f>
        <v>0</v>
      </c>
      <c r="R260" s="2">
        <f>IF(MONTH(Table1[[#This Row],[Date]])=2,28,DAY(DATE(YEAR(Table1[[#This Row],[Date]]),MONTH(Table1[[#This Row],[Date]])+1,1)-1))</f>
        <v>31</v>
      </c>
      <c r="S260" s="2">
        <f ca="1">SUM(OFFSET(Table1[[#Headers],[Days in month]],1,0):Table1[[#This Row],[Days in month]])</f>
        <v>7423</v>
      </c>
      <c r="T260" s="37">
        <f>InterestRate*AmortizationMultiplier*IF(ISNUMBER(SEARCH("Actual",$C$7)),Table1[[#This Row],[Days in month]]/365,1/12)</f>
        <v>6.0708333333333326E-3</v>
      </c>
    </row>
    <row r="261" spans="2:20" x14ac:dyDescent="0.2">
      <c r="B261" s="1">
        <f t="shared" si="12"/>
        <v>53296</v>
      </c>
      <c r="C261" s="2">
        <f t="shared" si="13"/>
        <v>245</v>
      </c>
      <c r="D261" s="3">
        <f t="shared" si="15"/>
        <v>0</v>
      </c>
      <c r="E261" s="3">
        <f>ROUND(Table1[[#This Row],[Beginning Balance]]*Table1[[#This Row],[Monthly Interest Rate]],2)</f>
        <v>0</v>
      </c>
      <c r="F261" s="3">
        <f t="shared" si="14"/>
        <v>107</v>
      </c>
      <c r="G261" s="23">
        <f>IFERROR(IF($C$13="No","N/A",IF(Table1[[#This Row],[Period]]=1,$C$6,PMT(InterestRate*AmortizationMultiplier/12,Table1[[#This Row],[Am Thru]],-Table1[[#This Row],[Beginning Balance]]))),0)</f>
        <v>0</v>
      </c>
      <c r="H261" s="3">
        <f>MAX(0,IF(C261=$C$4,D261,ROUND(IF($C$3="Fixed Principal",$C$6-Table1[[#This Row],[Interest]],IF($C$3="Interest Only",Table1[[#This Row],[Beginning Balance]]*ROUND(1-(1-IF($C$11="No",$E$8,1))^(1/12),6),MIN(IF($C$13="Yes",Table1[[#This Row],[Payment Amount (Reamortized)]],$C$6)-Table1[[#This Row],[Interest]],Table1[[#This Row],[Beginning Balance]]))),2)))</f>
        <v>0</v>
      </c>
      <c r="I261" s="3">
        <f>_xlfn.SINGLE(IF($C$3="Line of Credit",0,ROUND(MAX(MIN(IF($C$10="No",$E$7,VLOOKUP(Table1[[#This Row],[Period]],Forecast!$H$2:$L$1048576,4,FALSE))*Table1[[#This Row],[Beginning Balance]],Table1[[#This Row],[Beginning Balance]]-Table1[[#This Row],[Principal]]),0),2)))</f>
        <v>0</v>
      </c>
      <c r="J261" s="3">
        <f>ROUND(MIN(Table1[[#This Row],[Beginning Balance]]*IF($C$8="No",$E$3,VLOOKUP(Table1[[#This Row],[Period]],Forecast!$H$2:$L$1048576,2,FALSE)),Table1[[#This Row],[Beginning Balance]]-Table1[[#This Row],[Principal]]-Table1[[#This Row],[Prepayments]]),2)</f>
        <v>0</v>
      </c>
      <c r="K261" s="3">
        <f>ROUND(Table1[[#This Row],[Defaulted Principal]]*IF($C$9="No",$E$4,VLOOKUP(Table1[[#This Row],[Period]],Forecast!$H$2:$L$1048576,3,FALSE)),2)</f>
        <v>0</v>
      </c>
      <c r="L261" s="2">
        <f>Table1[[#This Row],[Period]]+$E$9</f>
        <v>257</v>
      </c>
      <c r="M261" s="3">
        <f>Table1[[#This Row],[Defaulted Principal]]-Table1[[#This Row],[Estimated Loss]]</f>
        <v>0</v>
      </c>
      <c r="N261" s="3">
        <f>IFERROR(VLOOKUP(Table1[[#This Row],[Period]],$L$16:$M$385,2,FALSE),0)</f>
        <v>0</v>
      </c>
      <c r="O261" s="3">
        <f>Table1[[#This Row],[Beginning Balance]]-Table1[[#This Row],[Principal]]-Table1[[#This Row],[Prepayments]]-Table1[[#This Row],[Defaulted Principal]]</f>
        <v>0</v>
      </c>
      <c r="P261" s="3">
        <f>Table1[[#This Row],[Principal]]+Table1[[#This Row],[Interest]]+Table1[[#This Row],[Prepayments]]+Table1[[#This Row],[RecoveredAmount]]</f>
        <v>0</v>
      </c>
      <c r="Q261" s="3">
        <f ca="1">Table1[[#This Row],[Cash Flow]]/((1+ActualRateToUse)^(IF(ISNUMBER(SEARCH("Actual",$C$7)),Table1[[#This Row],[Running Total]]/365,Table1[[#This Row],[Period]]/12)))</f>
        <v>0</v>
      </c>
      <c r="R261" s="2">
        <f>IF(MONTH(Table1[[#This Row],[Date]])=2,28,DAY(DATE(YEAR(Table1[[#This Row],[Date]]),MONTH(Table1[[#This Row],[Date]])+1,1)-1))</f>
        <v>30</v>
      </c>
      <c r="S261" s="2">
        <f ca="1">SUM(OFFSET(Table1[[#Headers],[Days in month]],1,0):Table1[[#This Row],[Days in month]])</f>
        <v>7453</v>
      </c>
      <c r="T261" s="37">
        <f>InterestRate*AmortizationMultiplier*IF(ISNUMBER(SEARCH("Actual",$C$7)),Table1[[#This Row],[Days in month]]/365,1/12)</f>
        <v>5.8749999999999991E-3</v>
      </c>
    </row>
    <row r="262" spans="2:20" x14ac:dyDescent="0.2">
      <c r="B262" s="1">
        <f t="shared" si="12"/>
        <v>53327</v>
      </c>
      <c r="C262" s="2">
        <f t="shared" si="13"/>
        <v>246</v>
      </c>
      <c r="D262" s="3">
        <f t="shared" si="15"/>
        <v>0</v>
      </c>
      <c r="E262" s="3">
        <f>ROUND(Table1[[#This Row],[Beginning Balance]]*Table1[[#This Row],[Monthly Interest Rate]],2)</f>
        <v>0</v>
      </c>
      <c r="F262" s="3">
        <f t="shared" si="14"/>
        <v>106</v>
      </c>
      <c r="G262" s="23">
        <f>IFERROR(IF($C$13="No","N/A",IF(Table1[[#This Row],[Period]]=1,$C$6,PMT(InterestRate*AmortizationMultiplier/12,Table1[[#This Row],[Am Thru]],-Table1[[#This Row],[Beginning Balance]]))),0)</f>
        <v>0</v>
      </c>
      <c r="H262" s="3">
        <f>MAX(0,IF(C262=$C$4,D262,ROUND(IF($C$3="Fixed Principal",$C$6-Table1[[#This Row],[Interest]],IF($C$3="Interest Only",Table1[[#This Row],[Beginning Balance]]*ROUND(1-(1-IF($C$11="No",$E$8,1))^(1/12),6),MIN(IF($C$13="Yes",Table1[[#This Row],[Payment Amount (Reamortized)]],$C$6)-Table1[[#This Row],[Interest]],Table1[[#This Row],[Beginning Balance]]))),2)))</f>
        <v>0</v>
      </c>
      <c r="I262" s="3">
        <f>_xlfn.SINGLE(IF($C$3="Line of Credit",0,ROUND(MAX(MIN(IF($C$10="No",$E$7,VLOOKUP(Table1[[#This Row],[Period]],Forecast!$H$2:$L$1048576,4,FALSE))*Table1[[#This Row],[Beginning Balance]],Table1[[#This Row],[Beginning Balance]]-Table1[[#This Row],[Principal]]),0),2)))</f>
        <v>0</v>
      </c>
      <c r="J262" s="3">
        <f>ROUND(MIN(Table1[[#This Row],[Beginning Balance]]*IF($C$8="No",$E$3,VLOOKUP(Table1[[#This Row],[Period]],Forecast!$H$2:$L$1048576,2,FALSE)),Table1[[#This Row],[Beginning Balance]]-Table1[[#This Row],[Principal]]-Table1[[#This Row],[Prepayments]]),2)</f>
        <v>0</v>
      </c>
      <c r="K262" s="3">
        <f>ROUND(Table1[[#This Row],[Defaulted Principal]]*IF($C$9="No",$E$4,VLOOKUP(Table1[[#This Row],[Period]],Forecast!$H$2:$L$1048576,3,FALSE)),2)</f>
        <v>0</v>
      </c>
      <c r="L262" s="2">
        <f>Table1[[#This Row],[Period]]+$E$9</f>
        <v>258</v>
      </c>
      <c r="M262" s="3">
        <f>Table1[[#This Row],[Defaulted Principal]]-Table1[[#This Row],[Estimated Loss]]</f>
        <v>0</v>
      </c>
      <c r="N262" s="3">
        <f>IFERROR(VLOOKUP(Table1[[#This Row],[Period]],$L$16:$M$385,2,FALSE),0)</f>
        <v>0</v>
      </c>
      <c r="O262" s="3">
        <f>Table1[[#This Row],[Beginning Balance]]-Table1[[#This Row],[Principal]]-Table1[[#This Row],[Prepayments]]-Table1[[#This Row],[Defaulted Principal]]</f>
        <v>0</v>
      </c>
      <c r="P262" s="3">
        <f>Table1[[#This Row],[Principal]]+Table1[[#This Row],[Interest]]+Table1[[#This Row],[Prepayments]]+Table1[[#This Row],[RecoveredAmount]]</f>
        <v>0</v>
      </c>
      <c r="Q262" s="3">
        <f ca="1">Table1[[#This Row],[Cash Flow]]/((1+ActualRateToUse)^(IF(ISNUMBER(SEARCH("Actual",$C$7)),Table1[[#This Row],[Running Total]]/365,Table1[[#This Row],[Period]]/12)))</f>
        <v>0</v>
      </c>
      <c r="R262" s="2">
        <f>IF(MONTH(Table1[[#This Row],[Date]])=2,28,DAY(DATE(YEAR(Table1[[#This Row],[Date]]),MONTH(Table1[[#This Row],[Date]])+1,1)-1))</f>
        <v>31</v>
      </c>
      <c r="S262" s="2">
        <f ca="1">SUM(OFFSET(Table1[[#Headers],[Days in month]],1,0):Table1[[#This Row],[Days in month]])</f>
        <v>7484</v>
      </c>
      <c r="T262" s="37">
        <f>InterestRate*AmortizationMultiplier*IF(ISNUMBER(SEARCH("Actual",$C$7)),Table1[[#This Row],[Days in month]]/365,1/12)</f>
        <v>6.0708333333333326E-3</v>
      </c>
    </row>
    <row r="263" spans="2:20" x14ac:dyDescent="0.2">
      <c r="B263" s="1">
        <f t="shared" si="12"/>
        <v>53358</v>
      </c>
      <c r="C263" s="2">
        <f t="shared" si="13"/>
        <v>247</v>
      </c>
      <c r="D263" s="3">
        <f t="shared" si="15"/>
        <v>0</v>
      </c>
      <c r="E263" s="3">
        <f>ROUND(Table1[[#This Row],[Beginning Balance]]*Table1[[#This Row],[Monthly Interest Rate]],2)</f>
        <v>0</v>
      </c>
      <c r="F263" s="3">
        <f t="shared" si="14"/>
        <v>105</v>
      </c>
      <c r="G263" s="23">
        <f>IFERROR(IF($C$13="No","N/A",IF(Table1[[#This Row],[Period]]=1,$C$6,PMT(InterestRate*AmortizationMultiplier/12,Table1[[#This Row],[Am Thru]],-Table1[[#This Row],[Beginning Balance]]))),0)</f>
        <v>0</v>
      </c>
      <c r="H263" s="3">
        <f>MAX(0,IF(C263=$C$4,D263,ROUND(IF($C$3="Fixed Principal",$C$6-Table1[[#This Row],[Interest]],IF($C$3="Interest Only",Table1[[#This Row],[Beginning Balance]]*ROUND(1-(1-IF($C$11="No",$E$8,1))^(1/12),6),MIN(IF($C$13="Yes",Table1[[#This Row],[Payment Amount (Reamortized)]],$C$6)-Table1[[#This Row],[Interest]],Table1[[#This Row],[Beginning Balance]]))),2)))</f>
        <v>0</v>
      </c>
      <c r="I263" s="3">
        <f>_xlfn.SINGLE(IF($C$3="Line of Credit",0,ROUND(MAX(MIN(IF($C$10="No",$E$7,VLOOKUP(Table1[[#This Row],[Period]],Forecast!$H$2:$L$1048576,4,FALSE))*Table1[[#This Row],[Beginning Balance]],Table1[[#This Row],[Beginning Balance]]-Table1[[#This Row],[Principal]]),0),2)))</f>
        <v>0</v>
      </c>
      <c r="J263" s="3">
        <f>ROUND(MIN(Table1[[#This Row],[Beginning Balance]]*IF($C$8="No",$E$3,VLOOKUP(Table1[[#This Row],[Period]],Forecast!$H$2:$L$1048576,2,FALSE)),Table1[[#This Row],[Beginning Balance]]-Table1[[#This Row],[Principal]]-Table1[[#This Row],[Prepayments]]),2)</f>
        <v>0</v>
      </c>
      <c r="K263" s="3">
        <f>ROUND(Table1[[#This Row],[Defaulted Principal]]*IF($C$9="No",$E$4,VLOOKUP(Table1[[#This Row],[Period]],Forecast!$H$2:$L$1048576,3,FALSE)),2)</f>
        <v>0</v>
      </c>
      <c r="L263" s="2">
        <f>Table1[[#This Row],[Period]]+$E$9</f>
        <v>259</v>
      </c>
      <c r="M263" s="3">
        <f>Table1[[#This Row],[Defaulted Principal]]-Table1[[#This Row],[Estimated Loss]]</f>
        <v>0</v>
      </c>
      <c r="N263" s="3">
        <f>IFERROR(VLOOKUP(Table1[[#This Row],[Period]],$L$16:$M$385,2,FALSE),0)</f>
        <v>0</v>
      </c>
      <c r="O263" s="3">
        <f>Table1[[#This Row],[Beginning Balance]]-Table1[[#This Row],[Principal]]-Table1[[#This Row],[Prepayments]]-Table1[[#This Row],[Defaulted Principal]]</f>
        <v>0</v>
      </c>
      <c r="P263" s="3">
        <f>Table1[[#This Row],[Principal]]+Table1[[#This Row],[Interest]]+Table1[[#This Row],[Prepayments]]+Table1[[#This Row],[RecoveredAmount]]</f>
        <v>0</v>
      </c>
      <c r="Q263" s="3">
        <f ca="1">Table1[[#This Row],[Cash Flow]]/((1+ActualRateToUse)^(IF(ISNUMBER(SEARCH("Actual",$C$7)),Table1[[#This Row],[Running Total]]/365,Table1[[#This Row],[Period]]/12)))</f>
        <v>0</v>
      </c>
      <c r="R263" s="2">
        <f>IF(MONTH(Table1[[#This Row],[Date]])=2,28,DAY(DATE(YEAR(Table1[[#This Row],[Date]]),MONTH(Table1[[#This Row],[Date]])+1,1)-1))</f>
        <v>31</v>
      </c>
      <c r="S263" s="2">
        <f ca="1">SUM(OFFSET(Table1[[#Headers],[Days in month]],1,0):Table1[[#This Row],[Days in month]])</f>
        <v>7515</v>
      </c>
      <c r="T263" s="37">
        <f>InterestRate*AmortizationMultiplier*IF(ISNUMBER(SEARCH("Actual",$C$7)),Table1[[#This Row],[Days in month]]/365,1/12)</f>
        <v>6.0708333333333326E-3</v>
      </c>
    </row>
    <row r="264" spans="2:20" x14ac:dyDescent="0.2">
      <c r="B264" s="1">
        <f t="shared" si="12"/>
        <v>53386</v>
      </c>
      <c r="C264" s="2">
        <f t="shared" si="13"/>
        <v>248</v>
      </c>
      <c r="D264" s="3">
        <f t="shared" si="15"/>
        <v>0</v>
      </c>
      <c r="E264" s="3">
        <f>ROUND(Table1[[#This Row],[Beginning Balance]]*Table1[[#This Row],[Monthly Interest Rate]],2)</f>
        <v>0</v>
      </c>
      <c r="F264" s="3">
        <f t="shared" si="14"/>
        <v>104</v>
      </c>
      <c r="G264" s="23">
        <f>IFERROR(IF($C$13="No","N/A",IF(Table1[[#This Row],[Period]]=1,$C$6,PMT(InterestRate*AmortizationMultiplier/12,Table1[[#This Row],[Am Thru]],-Table1[[#This Row],[Beginning Balance]]))),0)</f>
        <v>0</v>
      </c>
      <c r="H264" s="3">
        <f>MAX(0,IF(C264=$C$4,D264,ROUND(IF($C$3="Fixed Principal",$C$6-Table1[[#This Row],[Interest]],IF($C$3="Interest Only",Table1[[#This Row],[Beginning Balance]]*ROUND(1-(1-IF($C$11="No",$E$8,1))^(1/12),6),MIN(IF($C$13="Yes",Table1[[#This Row],[Payment Amount (Reamortized)]],$C$6)-Table1[[#This Row],[Interest]],Table1[[#This Row],[Beginning Balance]]))),2)))</f>
        <v>0</v>
      </c>
      <c r="I264" s="3">
        <f>_xlfn.SINGLE(IF($C$3="Line of Credit",0,ROUND(MAX(MIN(IF($C$10="No",$E$7,VLOOKUP(Table1[[#This Row],[Period]],Forecast!$H$2:$L$1048576,4,FALSE))*Table1[[#This Row],[Beginning Balance]],Table1[[#This Row],[Beginning Balance]]-Table1[[#This Row],[Principal]]),0),2)))</f>
        <v>0</v>
      </c>
      <c r="J264" s="3">
        <f>ROUND(MIN(Table1[[#This Row],[Beginning Balance]]*IF($C$8="No",$E$3,VLOOKUP(Table1[[#This Row],[Period]],Forecast!$H$2:$L$1048576,2,FALSE)),Table1[[#This Row],[Beginning Balance]]-Table1[[#This Row],[Principal]]-Table1[[#This Row],[Prepayments]]),2)</f>
        <v>0</v>
      </c>
      <c r="K264" s="3">
        <f>ROUND(Table1[[#This Row],[Defaulted Principal]]*IF($C$9="No",$E$4,VLOOKUP(Table1[[#This Row],[Period]],Forecast!$H$2:$L$1048576,3,FALSE)),2)</f>
        <v>0</v>
      </c>
      <c r="L264" s="2">
        <f>Table1[[#This Row],[Period]]+$E$9</f>
        <v>260</v>
      </c>
      <c r="M264" s="3">
        <f>Table1[[#This Row],[Defaulted Principal]]-Table1[[#This Row],[Estimated Loss]]</f>
        <v>0</v>
      </c>
      <c r="N264" s="3">
        <f>IFERROR(VLOOKUP(Table1[[#This Row],[Period]],$L$16:$M$385,2,FALSE),0)</f>
        <v>0</v>
      </c>
      <c r="O264" s="3">
        <f>Table1[[#This Row],[Beginning Balance]]-Table1[[#This Row],[Principal]]-Table1[[#This Row],[Prepayments]]-Table1[[#This Row],[Defaulted Principal]]</f>
        <v>0</v>
      </c>
      <c r="P264" s="3">
        <f>Table1[[#This Row],[Principal]]+Table1[[#This Row],[Interest]]+Table1[[#This Row],[Prepayments]]+Table1[[#This Row],[RecoveredAmount]]</f>
        <v>0</v>
      </c>
      <c r="Q264" s="3">
        <f ca="1">Table1[[#This Row],[Cash Flow]]/((1+ActualRateToUse)^(IF(ISNUMBER(SEARCH("Actual",$C$7)),Table1[[#This Row],[Running Total]]/365,Table1[[#This Row],[Period]]/12)))</f>
        <v>0</v>
      </c>
      <c r="R264" s="2">
        <f>IF(MONTH(Table1[[#This Row],[Date]])=2,28,DAY(DATE(YEAR(Table1[[#This Row],[Date]]),MONTH(Table1[[#This Row],[Date]])+1,1)-1))</f>
        <v>28</v>
      </c>
      <c r="S264" s="2">
        <f ca="1">SUM(OFFSET(Table1[[#Headers],[Days in month]],1,0):Table1[[#This Row],[Days in month]])</f>
        <v>7543</v>
      </c>
      <c r="T264" s="37">
        <f>InterestRate*AmortizationMultiplier*IF(ISNUMBER(SEARCH("Actual",$C$7)),Table1[[#This Row],[Days in month]]/365,1/12)</f>
        <v>5.4833333333333331E-3</v>
      </c>
    </row>
    <row r="265" spans="2:20" x14ac:dyDescent="0.2">
      <c r="B265" s="1">
        <f t="shared" si="12"/>
        <v>53417</v>
      </c>
      <c r="C265" s="2">
        <f t="shared" si="13"/>
        <v>249</v>
      </c>
      <c r="D265" s="3">
        <f t="shared" si="15"/>
        <v>0</v>
      </c>
      <c r="E265" s="3">
        <f>ROUND(Table1[[#This Row],[Beginning Balance]]*Table1[[#This Row],[Monthly Interest Rate]],2)</f>
        <v>0</v>
      </c>
      <c r="F265" s="3">
        <f t="shared" si="14"/>
        <v>103</v>
      </c>
      <c r="G265" s="23">
        <f>IFERROR(IF($C$13="No","N/A",IF(Table1[[#This Row],[Period]]=1,$C$6,PMT(InterestRate*AmortizationMultiplier/12,Table1[[#This Row],[Am Thru]],-Table1[[#This Row],[Beginning Balance]]))),0)</f>
        <v>0</v>
      </c>
      <c r="H265" s="3">
        <f>MAX(0,IF(C265=$C$4,D265,ROUND(IF($C$3="Fixed Principal",$C$6-Table1[[#This Row],[Interest]],IF($C$3="Interest Only",Table1[[#This Row],[Beginning Balance]]*ROUND(1-(1-IF($C$11="No",$E$8,1))^(1/12),6),MIN(IF($C$13="Yes",Table1[[#This Row],[Payment Amount (Reamortized)]],$C$6)-Table1[[#This Row],[Interest]],Table1[[#This Row],[Beginning Balance]]))),2)))</f>
        <v>0</v>
      </c>
      <c r="I265" s="3">
        <f>_xlfn.SINGLE(IF($C$3="Line of Credit",0,ROUND(MAX(MIN(IF($C$10="No",$E$7,VLOOKUP(Table1[[#This Row],[Period]],Forecast!$H$2:$L$1048576,4,FALSE))*Table1[[#This Row],[Beginning Balance]],Table1[[#This Row],[Beginning Balance]]-Table1[[#This Row],[Principal]]),0),2)))</f>
        <v>0</v>
      </c>
      <c r="J265" s="3">
        <f>ROUND(MIN(Table1[[#This Row],[Beginning Balance]]*IF($C$8="No",$E$3,VLOOKUP(Table1[[#This Row],[Period]],Forecast!$H$2:$L$1048576,2,FALSE)),Table1[[#This Row],[Beginning Balance]]-Table1[[#This Row],[Principal]]-Table1[[#This Row],[Prepayments]]),2)</f>
        <v>0</v>
      </c>
      <c r="K265" s="3">
        <f>ROUND(Table1[[#This Row],[Defaulted Principal]]*IF($C$9="No",$E$4,VLOOKUP(Table1[[#This Row],[Period]],Forecast!$H$2:$L$1048576,3,FALSE)),2)</f>
        <v>0</v>
      </c>
      <c r="L265" s="2">
        <f>Table1[[#This Row],[Period]]+$E$9</f>
        <v>261</v>
      </c>
      <c r="M265" s="3">
        <f>Table1[[#This Row],[Defaulted Principal]]-Table1[[#This Row],[Estimated Loss]]</f>
        <v>0</v>
      </c>
      <c r="N265" s="3">
        <f>IFERROR(VLOOKUP(Table1[[#This Row],[Period]],$L$16:$M$385,2,FALSE),0)</f>
        <v>0</v>
      </c>
      <c r="O265" s="3">
        <f>Table1[[#This Row],[Beginning Balance]]-Table1[[#This Row],[Principal]]-Table1[[#This Row],[Prepayments]]-Table1[[#This Row],[Defaulted Principal]]</f>
        <v>0</v>
      </c>
      <c r="P265" s="3">
        <f>Table1[[#This Row],[Principal]]+Table1[[#This Row],[Interest]]+Table1[[#This Row],[Prepayments]]+Table1[[#This Row],[RecoveredAmount]]</f>
        <v>0</v>
      </c>
      <c r="Q265" s="3">
        <f ca="1">Table1[[#This Row],[Cash Flow]]/((1+ActualRateToUse)^(IF(ISNUMBER(SEARCH("Actual",$C$7)),Table1[[#This Row],[Running Total]]/365,Table1[[#This Row],[Period]]/12)))</f>
        <v>0</v>
      </c>
      <c r="R265" s="2">
        <f>IF(MONTH(Table1[[#This Row],[Date]])=2,28,DAY(DATE(YEAR(Table1[[#This Row],[Date]]),MONTH(Table1[[#This Row],[Date]])+1,1)-1))</f>
        <v>31</v>
      </c>
      <c r="S265" s="2">
        <f ca="1">SUM(OFFSET(Table1[[#Headers],[Days in month]],1,0):Table1[[#This Row],[Days in month]])</f>
        <v>7574</v>
      </c>
      <c r="T265" s="37">
        <f>InterestRate*AmortizationMultiplier*IF(ISNUMBER(SEARCH("Actual",$C$7)),Table1[[#This Row],[Days in month]]/365,1/12)</f>
        <v>6.0708333333333326E-3</v>
      </c>
    </row>
    <row r="266" spans="2:20" x14ac:dyDescent="0.2">
      <c r="B266" s="1">
        <f t="shared" si="12"/>
        <v>53447</v>
      </c>
      <c r="C266" s="2">
        <f t="shared" si="13"/>
        <v>250</v>
      </c>
      <c r="D266" s="3">
        <f t="shared" si="15"/>
        <v>0</v>
      </c>
      <c r="E266" s="3">
        <f>ROUND(Table1[[#This Row],[Beginning Balance]]*Table1[[#This Row],[Monthly Interest Rate]],2)</f>
        <v>0</v>
      </c>
      <c r="F266" s="3">
        <f t="shared" si="14"/>
        <v>102</v>
      </c>
      <c r="G266" s="23">
        <f>IFERROR(IF($C$13="No","N/A",IF(Table1[[#This Row],[Period]]=1,$C$6,PMT(InterestRate*AmortizationMultiplier/12,Table1[[#This Row],[Am Thru]],-Table1[[#This Row],[Beginning Balance]]))),0)</f>
        <v>0</v>
      </c>
      <c r="H266" s="3">
        <f>MAX(0,IF(C266=$C$4,D266,ROUND(IF($C$3="Fixed Principal",$C$6-Table1[[#This Row],[Interest]],IF($C$3="Interest Only",Table1[[#This Row],[Beginning Balance]]*ROUND(1-(1-IF($C$11="No",$E$8,1))^(1/12),6),MIN(IF($C$13="Yes",Table1[[#This Row],[Payment Amount (Reamortized)]],$C$6)-Table1[[#This Row],[Interest]],Table1[[#This Row],[Beginning Balance]]))),2)))</f>
        <v>0</v>
      </c>
      <c r="I266" s="3">
        <f>_xlfn.SINGLE(IF($C$3="Line of Credit",0,ROUND(MAX(MIN(IF($C$10="No",$E$7,VLOOKUP(Table1[[#This Row],[Period]],Forecast!$H$2:$L$1048576,4,FALSE))*Table1[[#This Row],[Beginning Balance]],Table1[[#This Row],[Beginning Balance]]-Table1[[#This Row],[Principal]]),0),2)))</f>
        <v>0</v>
      </c>
      <c r="J266" s="3">
        <f>ROUND(MIN(Table1[[#This Row],[Beginning Balance]]*IF($C$8="No",$E$3,VLOOKUP(Table1[[#This Row],[Period]],Forecast!$H$2:$L$1048576,2,FALSE)),Table1[[#This Row],[Beginning Balance]]-Table1[[#This Row],[Principal]]-Table1[[#This Row],[Prepayments]]),2)</f>
        <v>0</v>
      </c>
      <c r="K266" s="3">
        <f>ROUND(Table1[[#This Row],[Defaulted Principal]]*IF($C$9="No",$E$4,VLOOKUP(Table1[[#This Row],[Period]],Forecast!$H$2:$L$1048576,3,FALSE)),2)</f>
        <v>0</v>
      </c>
      <c r="L266" s="2">
        <f>Table1[[#This Row],[Period]]+$E$9</f>
        <v>262</v>
      </c>
      <c r="M266" s="3">
        <f>Table1[[#This Row],[Defaulted Principal]]-Table1[[#This Row],[Estimated Loss]]</f>
        <v>0</v>
      </c>
      <c r="N266" s="3">
        <f>IFERROR(VLOOKUP(Table1[[#This Row],[Period]],$L$16:$M$385,2,FALSE),0)</f>
        <v>0</v>
      </c>
      <c r="O266" s="3">
        <f>Table1[[#This Row],[Beginning Balance]]-Table1[[#This Row],[Principal]]-Table1[[#This Row],[Prepayments]]-Table1[[#This Row],[Defaulted Principal]]</f>
        <v>0</v>
      </c>
      <c r="P266" s="3">
        <f>Table1[[#This Row],[Principal]]+Table1[[#This Row],[Interest]]+Table1[[#This Row],[Prepayments]]+Table1[[#This Row],[RecoveredAmount]]</f>
        <v>0</v>
      </c>
      <c r="Q266" s="3">
        <f ca="1">Table1[[#This Row],[Cash Flow]]/((1+ActualRateToUse)^(IF(ISNUMBER(SEARCH("Actual",$C$7)),Table1[[#This Row],[Running Total]]/365,Table1[[#This Row],[Period]]/12)))</f>
        <v>0</v>
      </c>
      <c r="R266" s="2">
        <f>IF(MONTH(Table1[[#This Row],[Date]])=2,28,DAY(DATE(YEAR(Table1[[#This Row],[Date]]),MONTH(Table1[[#This Row],[Date]])+1,1)-1))</f>
        <v>30</v>
      </c>
      <c r="S266" s="2">
        <f ca="1">SUM(OFFSET(Table1[[#Headers],[Days in month]],1,0):Table1[[#This Row],[Days in month]])</f>
        <v>7604</v>
      </c>
      <c r="T266" s="37">
        <f>InterestRate*AmortizationMultiplier*IF(ISNUMBER(SEARCH("Actual",$C$7)),Table1[[#This Row],[Days in month]]/365,1/12)</f>
        <v>5.8749999999999991E-3</v>
      </c>
    </row>
    <row r="267" spans="2:20" x14ac:dyDescent="0.2">
      <c r="B267" s="1">
        <f t="shared" si="12"/>
        <v>53478</v>
      </c>
      <c r="C267" s="2">
        <f t="shared" si="13"/>
        <v>251</v>
      </c>
      <c r="D267" s="3">
        <f t="shared" si="15"/>
        <v>0</v>
      </c>
      <c r="E267" s="3">
        <f>ROUND(Table1[[#This Row],[Beginning Balance]]*Table1[[#This Row],[Monthly Interest Rate]],2)</f>
        <v>0</v>
      </c>
      <c r="F267" s="3">
        <f t="shared" si="14"/>
        <v>101</v>
      </c>
      <c r="G267" s="23">
        <f>IFERROR(IF($C$13="No","N/A",IF(Table1[[#This Row],[Period]]=1,$C$6,PMT(InterestRate*AmortizationMultiplier/12,Table1[[#This Row],[Am Thru]],-Table1[[#This Row],[Beginning Balance]]))),0)</f>
        <v>0</v>
      </c>
      <c r="H267" s="3">
        <f>MAX(0,IF(C267=$C$4,D267,ROUND(IF($C$3="Fixed Principal",$C$6-Table1[[#This Row],[Interest]],IF($C$3="Interest Only",Table1[[#This Row],[Beginning Balance]]*ROUND(1-(1-IF($C$11="No",$E$8,1))^(1/12),6),MIN(IF($C$13="Yes",Table1[[#This Row],[Payment Amount (Reamortized)]],$C$6)-Table1[[#This Row],[Interest]],Table1[[#This Row],[Beginning Balance]]))),2)))</f>
        <v>0</v>
      </c>
      <c r="I267" s="3">
        <f>_xlfn.SINGLE(IF($C$3="Line of Credit",0,ROUND(MAX(MIN(IF($C$10="No",$E$7,VLOOKUP(Table1[[#This Row],[Period]],Forecast!$H$2:$L$1048576,4,FALSE))*Table1[[#This Row],[Beginning Balance]],Table1[[#This Row],[Beginning Balance]]-Table1[[#This Row],[Principal]]),0),2)))</f>
        <v>0</v>
      </c>
      <c r="J267" s="3">
        <f>ROUND(MIN(Table1[[#This Row],[Beginning Balance]]*IF($C$8="No",$E$3,VLOOKUP(Table1[[#This Row],[Period]],Forecast!$H$2:$L$1048576,2,FALSE)),Table1[[#This Row],[Beginning Balance]]-Table1[[#This Row],[Principal]]-Table1[[#This Row],[Prepayments]]),2)</f>
        <v>0</v>
      </c>
      <c r="K267" s="3">
        <f>ROUND(Table1[[#This Row],[Defaulted Principal]]*IF($C$9="No",$E$4,VLOOKUP(Table1[[#This Row],[Period]],Forecast!$H$2:$L$1048576,3,FALSE)),2)</f>
        <v>0</v>
      </c>
      <c r="L267" s="2">
        <f>Table1[[#This Row],[Period]]+$E$9</f>
        <v>263</v>
      </c>
      <c r="M267" s="3">
        <f>Table1[[#This Row],[Defaulted Principal]]-Table1[[#This Row],[Estimated Loss]]</f>
        <v>0</v>
      </c>
      <c r="N267" s="3">
        <f>IFERROR(VLOOKUP(Table1[[#This Row],[Period]],$L$16:$M$385,2,FALSE),0)</f>
        <v>0</v>
      </c>
      <c r="O267" s="3">
        <f>Table1[[#This Row],[Beginning Balance]]-Table1[[#This Row],[Principal]]-Table1[[#This Row],[Prepayments]]-Table1[[#This Row],[Defaulted Principal]]</f>
        <v>0</v>
      </c>
      <c r="P267" s="3">
        <f>Table1[[#This Row],[Principal]]+Table1[[#This Row],[Interest]]+Table1[[#This Row],[Prepayments]]+Table1[[#This Row],[RecoveredAmount]]</f>
        <v>0</v>
      </c>
      <c r="Q267" s="3">
        <f ca="1">Table1[[#This Row],[Cash Flow]]/((1+ActualRateToUse)^(IF(ISNUMBER(SEARCH("Actual",$C$7)),Table1[[#This Row],[Running Total]]/365,Table1[[#This Row],[Period]]/12)))</f>
        <v>0</v>
      </c>
      <c r="R267" s="2">
        <f>IF(MONTH(Table1[[#This Row],[Date]])=2,28,DAY(DATE(YEAR(Table1[[#This Row],[Date]]),MONTH(Table1[[#This Row],[Date]])+1,1)-1))</f>
        <v>31</v>
      </c>
      <c r="S267" s="2">
        <f ca="1">SUM(OFFSET(Table1[[#Headers],[Days in month]],1,0):Table1[[#This Row],[Days in month]])</f>
        <v>7635</v>
      </c>
      <c r="T267" s="37">
        <f>InterestRate*AmortizationMultiplier*IF(ISNUMBER(SEARCH("Actual",$C$7)),Table1[[#This Row],[Days in month]]/365,1/12)</f>
        <v>6.0708333333333326E-3</v>
      </c>
    </row>
    <row r="268" spans="2:20" x14ac:dyDescent="0.2">
      <c r="B268" s="1">
        <f t="shared" si="12"/>
        <v>53508</v>
      </c>
      <c r="C268" s="2">
        <f t="shared" si="13"/>
        <v>252</v>
      </c>
      <c r="D268" s="3">
        <f t="shared" si="15"/>
        <v>0</v>
      </c>
      <c r="E268" s="3">
        <f>ROUND(Table1[[#This Row],[Beginning Balance]]*Table1[[#This Row],[Monthly Interest Rate]],2)</f>
        <v>0</v>
      </c>
      <c r="F268" s="3">
        <f t="shared" si="14"/>
        <v>100</v>
      </c>
      <c r="G268" s="23">
        <f>IFERROR(IF($C$13="No","N/A",IF(Table1[[#This Row],[Period]]=1,$C$6,PMT(InterestRate*AmortizationMultiplier/12,Table1[[#This Row],[Am Thru]],-Table1[[#This Row],[Beginning Balance]]))),0)</f>
        <v>0</v>
      </c>
      <c r="H268" s="3">
        <f>MAX(0,IF(C268=$C$4,D268,ROUND(IF($C$3="Fixed Principal",$C$6-Table1[[#This Row],[Interest]],IF($C$3="Interest Only",Table1[[#This Row],[Beginning Balance]]*ROUND(1-(1-IF($C$11="No",$E$8,1))^(1/12),6),MIN(IF($C$13="Yes",Table1[[#This Row],[Payment Amount (Reamortized)]],$C$6)-Table1[[#This Row],[Interest]],Table1[[#This Row],[Beginning Balance]]))),2)))</f>
        <v>0</v>
      </c>
      <c r="I268" s="3">
        <f>_xlfn.SINGLE(IF($C$3="Line of Credit",0,ROUND(MAX(MIN(IF($C$10="No",$E$7,VLOOKUP(Table1[[#This Row],[Period]],Forecast!$H$2:$L$1048576,4,FALSE))*Table1[[#This Row],[Beginning Balance]],Table1[[#This Row],[Beginning Balance]]-Table1[[#This Row],[Principal]]),0),2)))</f>
        <v>0</v>
      </c>
      <c r="J268" s="3">
        <f>ROUND(MIN(Table1[[#This Row],[Beginning Balance]]*IF($C$8="No",$E$3,VLOOKUP(Table1[[#This Row],[Period]],Forecast!$H$2:$L$1048576,2,FALSE)),Table1[[#This Row],[Beginning Balance]]-Table1[[#This Row],[Principal]]-Table1[[#This Row],[Prepayments]]),2)</f>
        <v>0</v>
      </c>
      <c r="K268" s="3">
        <f>ROUND(Table1[[#This Row],[Defaulted Principal]]*IF($C$9="No",$E$4,VLOOKUP(Table1[[#This Row],[Period]],Forecast!$H$2:$L$1048576,3,FALSE)),2)</f>
        <v>0</v>
      </c>
      <c r="L268" s="2">
        <f>Table1[[#This Row],[Period]]+$E$9</f>
        <v>264</v>
      </c>
      <c r="M268" s="3">
        <f>Table1[[#This Row],[Defaulted Principal]]-Table1[[#This Row],[Estimated Loss]]</f>
        <v>0</v>
      </c>
      <c r="N268" s="3">
        <f>IFERROR(VLOOKUP(Table1[[#This Row],[Period]],$L$16:$M$385,2,FALSE),0)</f>
        <v>0</v>
      </c>
      <c r="O268" s="3">
        <f>Table1[[#This Row],[Beginning Balance]]-Table1[[#This Row],[Principal]]-Table1[[#This Row],[Prepayments]]-Table1[[#This Row],[Defaulted Principal]]</f>
        <v>0</v>
      </c>
      <c r="P268" s="3">
        <f>Table1[[#This Row],[Principal]]+Table1[[#This Row],[Interest]]+Table1[[#This Row],[Prepayments]]+Table1[[#This Row],[RecoveredAmount]]</f>
        <v>0</v>
      </c>
      <c r="Q268" s="3">
        <f ca="1">Table1[[#This Row],[Cash Flow]]/((1+ActualRateToUse)^(IF(ISNUMBER(SEARCH("Actual",$C$7)),Table1[[#This Row],[Running Total]]/365,Table1[[#This Row],[Period]]/12)))</f>
        <v>0</v>
      </c>
      <c r="R268" s="2">
        <f>IF(MONTH(Table1[[#This Row],[Date]])=2,28,DAY(DATE(YEAR(Table1[[#This Row],[Date]]),MONTH(Table1[[#This Row],[Date]])+1,1)-1))</f>
        <v>30</v>
      </c>
      <c r="S268" s="2">
        <f ca="1">SUM(OFFSET(Table1[[#Headers],[Days in month]],1,0):Table1[[#This Row],[Days in month]])</f>
        <v>7665</v>
      </c>
      <c r="T268" s="37">
        <f>InterestRate*AmortizationMultiplier*IF(ISNUMBER(SEARCH("Actual",$C$7)),Table1[[#This Row],[Days in month]]/365,1/12)</f>
        <v>5.8749999999999991E-3</v>
      </c>
    </row>
    <row r="269" spans="2:20" x14ac:dyDescent="0.2">
      <c r="B269" s="1">
        <f t="shared" si="12"/>
        <v>53539</v>
      </c>
      <c r="C269" s="2">
        <f t="shared" si="13"/>
        <v>253</v>
      </c>
      <c r="D269" s="3">
        <f t="shared" si="15"/>
        <v>0</v>
      </c>
      <c r="E269" s="3">
        <f>ROUND(Table1[[#This Row],[Beginning Balance]]*Table1[[#This Row],[Monthly Interest Rate]],2)</f>
        <v>0</v>
      </c>
      <c r="F269" s="3">
        <f t="shared" si="14"/>
        <v>99</v>
      </c>
      <c r="G269" s="23">
        <f>IFERROR(IF($C$13="No","N/A",IF(Table1[[#This Row],[Period]]=1,$C$6,PMT(InterestRate*AmortizationMultiplier/12,Table1[[#This Row],[Am Thru]],-Table1[[#This Row],[Beginning Balance]]))),0)</f>
        <v>0</v>
      </c>
      <c r="H269" s="3">
        <f>MAX(0,IF(C269=$C$4,D269,ROUND(IF($C$3="Fixed Principal",$C$6-Table1[[#This Row],[Interest]],IF($C$3="Interest Only",Table1[[#This Row],[Beginning Balance]]*ROUND(1-(1-IF($C$11="No",$E$8,1))^(1/12),6),MIN(IF($C$13="Yes",Table1[[#This Row],[Payment Amount (Reamortized)]],$C$6)-Table1[[#This Row],[Interest]],Table1[[#This Row],[Beginning Balance]]))),2)))</f>
        <v>0</v>
      </c>
      <c r="I269" s="3">
        <f>_xlfn.SINGLE(IF($C$3="Line of Credit",0,ROUND(MAX(MIN(IF($C$10="No",$E$7,VLOOKUP(Table1[[#This Row],[Period]],Forecast!$H$2:$L$1048576,4,FALSE))*Table1[[#This Row],[Beginning Balance]],Table1[[#This Row],[Beginning Balance]]-Table1[[#This Row],[Principal]]),0),2)))</f>
        <v>0</v>
      </c>
      <c r="J269" s="3">
        <f>ROUND(MIN(Table1[[#This Row],[Beginning Balance]]*IF($C$8="No",$E$3,VLOOKUP(Table1[[#This Row],[Period]],Forecast!$H$2:$L$1048576,2,FALSE)),Table1[[#This Row],[Beginning Balance]]-Table1[[#This Row],[Principal]]-Table1[[#This Row],[Prepayments]]),2)</f>
        <v>0</v>
      </c>
      <c r="K269" s="3">
        <f>ROUND(Table1[[#This Row],[Defaulted Principal]]*IF($C$9="No",$E$4,VLOOKUP(Table1[[#This Row],[Period]],Forecast!$H$2:$L$1048576,3,FALSE)),2)</f>
        <v>0</v>
      </c>
      <c r="L269" s="2">
        <f>Table1[[#This Row],[Period]]+$E$9</f>
        <v>265</v>
      </c>
      <c r="M269" s="3">
        <f>Table1[[#This Row],[Defaulted Principal]]-Table1[[#This Row],[Estimated Loss]]</f>
        <v>0</v>
      </c>
      <c r="N269" s="3">
        <f>IFERROR(VLOOKUP(Table1[[#This Row],[Period]],$L$16:$M$385,2,FALSE),0)</f>
        <v>0</v>
      </c>
      <c r="O269" s="3">
        <f>Table1[[#This Row],[Beginning Balance]]-Table1[[#This Row],[Principal]]-Table1[[#This Row],[Prepayments]]-Table1[[#This Row],[Defaulted Principal]]</f>
        <v>0</v>
      </c>
      <c r="P269" s="3">
        <f>Table1[[#This Row],[Principal]]+Table1[[#This Row],[Interest]]+Table1[[#This Row],[Prepayments]]+Table1[[#This Row],[RecoveredAmount]]</f>
        <v>0</v>
      </c>
      <c r="Q269" s="3">
        <f ca="1">Table1[[#This Row],[Cash Flow]]/((1+ActualRateToUse)^(IF(ISNUMBER(SEARCH("Actual",$C$7)),Table1[[#This Row],[Running Total]]/365,Table1[[#This Row],[Period]]/12)))</f>
        <v>0</v>
      </c>
      <c r="R269" s="2">
        <f>IF(MONTH(Table1[[#This Row],[Date]])=2,28,DAY(DATE(YEAR(Table1[[#This Row],[Date]]),MONTH(Table1[[#This Row],[Date]])+1,1)-1))</f>
        <v>31</v>
      </c>
      <c r="S269" s="2">
        <f ca="1">SUM(OFFSET(Table1[[#Headers],[Days in month]],1,0):Table1[[#This Row],[Days in month]])</f>
        <v>7696</v>
      </c>
      <c r="T269" s="37">
        <f>InterestRate*AmortizationMultiplier*IF(ISNUMBER(SEARCH("Actual",$C$7)),Table1[[#This Row],[Days in month]]/365,1/12)</f>
        <v>6.0708333333333326E-3</v>
      </c>
    </row>
    <row r="270" spans="2:20" x14ac:dyDescent="0.2">
      <c r="B270" s="1">
        <f t="shared" si="12"/>
        <v>53570</v>
      </c>
      <c r="C270" s="2">
        <f t="shared" si="13"/>
        <v>254</v>
      </c>
      <c r="D270" s="3">
        <f t="shared" si="15"/>
        <v>0</v>
      </c>
      <c r="E270" s="3">
        <f>ROUND(Table1[[#This Row],[Beginning Balance]]*Table1[[#This Row],[Monthly Interest Rate]],2)</f>
        <v>0</v>
      </c>
      <c r="F270" s="3">
        <f t="shared" si="14"/>
        <v>98</v>
      </c>
      <c r="G270" s="23">
        <f>IFERROR(IF($C$13="No","N/A",IF(Table1[[#This Row],[Period]]=1,$C$6,PMT(InterestRate*AmortizationMultiplier/12,Table1[[#This Row],[Am Thru]],-Table1[[#This Row],[Beginning Balance]]))),0)</f>
        <v>0</v>
      </c>
      <c r="H270" s="3">
        <f>MAX(0,IF(C270=$C$4,D270,ROUND(IF($C$3="Fixed Principal",$C$6-Table1[[#This Row],[Interest]],IF($C$3="Interest Only",Table1[[#This Row],[Beginning Balance]]*ROUND(1-(1-IF($C$11="No",$E$8,1))^(1/12),6),MIN(IF($C$13="Yes",Table1[[#This Row],[Payment Amount (Reamortized)]],$C$6)-Table1[[#This Row],[Interest]],Table1[[#This Row],[Beginning Balance]]))),2)))</f>
        <v>0</v>
      </c>
      <c r="I270" s="3">
        <f>_xlfn.SINGLE(IF($C$3="Line of Credit",0,ROUND(MAX(MIN(IF($C$10="No",$E$7,VLOOKUP(Table1[[#This Row],[Period]],Forecast!$H$2:$L$1048576,4,FALSE))*Table1[[#This Row],[Beginning Balance]],Table1[[#This Row],[Beginning Balance]]-Table1[[#This Row],[Principal]]),0),2)))</f>
        <v>0</v>
      </c>
      <c r="J270" s="3">
        <f>ROUND(MIN(Table1[[#This Row],[Beginning Balance]]*IF($C$8="No",$E$3,VLOOKUP(Table1[[#This Row],[Period]],Forecast!$H$2:$L$1048576,2,FALSE)),Table1[[#This Row],[Beginning Balance]]-Table1[[#This Row],[Principal]]-Table1[[#This Row],[Prepayments]]),2)</f>
        <v>0</v>
      </c>
      <c r="K270" s="3">
        <f>ROUND(Table1[[#This Row],[Defaulted Principal]]*IF($C$9="No",$E$4,VLOOKUP(Table1[[#This Row],[Period]],Forecast!$H$2:$L$1048576,3,FALSE)),2)</f>
        <v>0</v>
      </c>
      <c r="L270" s="2">
        <f>Table1[[#This Row],[Period]]+$E$9</f>
        <v>266</v>
      </c>
      <c r="M270" s="3">
        <f>Table1[[#This Row],[Defaulted Principal]]-Table1[[#This Row],[Estimated Loss]]</f>
        <v>0</v>
      </c>
      <c r="N270" s="3">
        <f>IFERROR(VLOOKUP(Table1[[#This Row],[Period]],$L$16:$M$385,2,FALSE),0)</f>
        <v>0</v>
      </c>
      <c r="O270" s="3">
        <f>Table1[[#This Row],[Beginning Balance]]-Table1[[#This Row],[Principal]]-Table1[[#This Row],[Prepayments]]-Table1[[#This Row],[Defaulted Principal]]</f>
        <v>0</v>
      </c>
      <c r="P270" s="3">
        <f>Table1[[#This Row],[Principal]]+Table1[[#This Row],[Interest]]+Table1[[#This Row],[Prepayments]]+Table1[[#This Row],[RecoveredAmount]]</f>
        <v>0</v>
      </c>
      <c r="Q270" s="3">
        <f ca="1">Table1[[#This Row],[Cash Flow]]/((1+ActualRateToUse)^(IF(ISNUMBER(SEARCH("Actual",$C$7)),Table1[[#This Row],[Running Total]]/365,Table1[[#This Row],[Period]]/12)))</f>
        <v>0</v>
      </c>
      <c r="R270" s="2">
        <f>IF(MONTH(Table1[[#This Row],[Date]])=2,28,DAY(DATE(YEAR(Table1[[#This Row],[Date]]),MONTH(Table1[[#This Row],[Date]])+1,1)-1))</f>
        <v>31</v>
      </c>
      <c r="S270" s="2">
        <f ca="1">SUM(OFFSET(Table1[[#Headers],[Days in month]],1,0):Table1[[#This Row],[Days in month]])</f>
        <v>7727</v>
      </c>
      <c r="T270" s="37">
        <f>InterestRate*AmortizationMultiplier*IF(ISNUMBER(SEARCH("Actual",$C$7)),Table1[[#This Row],[Days in month]]/365,1/12)</f>
        <v>6.0708333333333326E-3</v>
      </c>
    </row>
    <row r="271" spans="2:20" x14ac:dyDescent="0.2">
      <c r="B271" s="1">
        <f t="shared" si="12"/>
        <v>53600</v>
      </c>
      <c r="C271" s="2">
        <f t="shared" si="13"/>
        <v>255</v>
      </c>
      <c r="D271" s="3">
        <f t="shared" si="15"/>
        <v>0</v>
      </c>
      <c r="E271" s="3">
        <f>ROUND(Table1[[#This Row],[Beginning Balance]]*Table1[[#This Row],[Monthly Interest Rate]],2)</f>
        <v>0</v>
      </c>
      <c r="F271" s="3">
        <f t="shared" si="14"/>
        <v>97</v>
      </c>
      <c r="G271" s="23">
        <f>IFERROR(IF($C$13="No","N/A",IF(Table1[[#This Row],[Period]]=1,$C$6,PMT(InterestRate*AmortizationMultiplier/12,Table1[[#This Row],[Am Thru]],-Table1[[#This Row],[Beginning Balance]]))),0)</f>
        <v>0</v>
      </c>
      <c r="H271" s="3">
        <f>MAX(0,IF(C271=$C$4,D271,ROUND(IF($C$3="Fixed Principal",$C$6-Table1[[#This Row],[Interest]],IF($C$3="Interest Only",Table1[[#This Row],[Beginning Balance]]*ROUND(1-(1-IF($C$11="No",$E$8,1))^(1/12),6),MIN(IF($C$13="Yes",Table1[[#This Row],[Payment Amount (Reamortized)]],$C$6)-Table1[[#This Row],[Interest]],Table1[[#This Row],[Beginning Balance]]))),2)))</f>
        <v>0</v>
      </c>
      <c r="I271" s="3">
        <f>_xlfn.SINGLE(IF($C$3="Line of Credit",0,ROUND(MAX(MIN(IF($C$10="No",$E$7,VLOOKUP(Table1[[#This Row],[Period]],Forecast!$H$2:$L$1048576,4,FALSE))*Table1[[#This Row],[Beginning Balance]],Table1[[#This Row],[Beginning Balance]]-Table1[[#This Row],[Principal]]),0),2)))</f>
        <v>0</v>
      </c>
      <c r="J271" s="3">
        <f>ROUND(MIN(Table1[[#This Row],[Beginning Balance]]*IF($C$8="No",$E$3,VLOOKUP(Table1[[#This Row],[Period]],Forecast!$H$2:$L$1048576,2,FALSE)),Table1[[#This Row],[Beginning Balance]]-Table1[[#This Row],[Principal]]-Table1[[#This Row],[Prepayments]]),2)</f>
        <v>0</v>
      </c>
      <c r="K271" s="3">
        <f>ROUND(Table1[[#This Row],[Defaulted Principal]]*IF($C$9="No",$E$4,VLOOKUP(Table1[[#This Row],[Period]],Forecast!$H$2:$L$1048576,3,FALSE)),2)</f>
        <v>0</v>
      </c>
      <c r="L271" s="2">
        <f>Table1[[#This Row],[Period]]+$E$9</f>
        <v>267</v>
      </c>
      <c r="M271" s="3">
        <f>Table1[[#This Row],[Defaulted Principal]]-Table1[[#This Row],[Estimated Loss]]</f>
        <v>0</v>
      </c>
      <c r="N271" s="3">
        <f>IFERROR(VLOOKUP(Table1[[#This Row],[Period]],$L$16:$M$385,2,FALSE),0)</f>
        <v>0</v>
      </c>
      <c r="O271" s="3">
        <f>Table1[[#This Row],[Beginning Balance]]-Table1[[#This Row],[Principal]]-Table1[[#This Row],[Prepayments]]-Table1[[#This Row],[Defaulted Principal]]</f>
        <v>0</v>
      </c>
      <c r="P271" s="3">
        <f>Table1[[#This Row],[Principal]]+Table1[[#This Row],[Interest]]+Table1[[#This Row],[Prepayments]]+Table1[[#This Row],[RecoveredAmount]]</f>
        <v>0</v>
      </c>
      <c r="Q271" s="3">
        <f ca="1">Table1[[#This Row],[Cash Flow]]/((1+ActualRateToUse)^(IF(ISNUMBER(SEARCH("Actual",$C$7)),Table1[[#This Row],[Running Total]]/365,Table1[[#This Row],[Period]]/12)))</f>
        <v>0</v>
      </c>
      <c r="R271" s="2">
        <f>IF(MONTH(Table1[[#This Row],[Date]])=2,28,DAY(DATE(YEAR(Table1[[#This Row],[Date]]),MONTH(Table1[[#This Row],[Date]])+1,1)-1))</f>
        <v>30</v>
      </c>
      <c r="S271" s="2">
        <f ca="1">SUM(OFFSET(Table1[[#Headers],[Days in month]],1,0):Table1[[#This Row],[Days in month]])</f>
        <v>7757</v>
      </c>
      <c r="T271" s="37">
        <f>InterestRate*AmortizationMultiplier*IF(ISNUMBER(SEARCH("Actual",$C$7)),Table1[[#This Row],[Days in month]]/365,1/12)</f>
        <v>5.8749999999999991E-3</v>
      </c>
    </row>
    <row r="272" spans="2:20" x14ac:dyDescent="0.2">
      <c r="B272" s="1">
        <f t="shared" si="12"/>
        <v>53631</v>
      </c>
      <c r="C272" s="2">
        <f t="shared" si="13"/>
        <v>256</v>
      </c>
      <c r="D272" s="3">
        <f t="shared" si="15"/>
        <v>0</v>
      </c>
      <c r="E272" s="3">
        <f>ROUND(Table1[[#This Row],[Beginning Balance]]*Table1[[#This Row],[Monthly Interest Rate]],2)</f>
        <v>0</v>
      </c>
      <c r="F272" s="3">
        <f t="shared" si="14"/>
        <v>96</v>
      </c>
      <c r="G272" s="23">
        <f>IFERROR(IF($C$13="No","N/A",IF(Table1[[#This Row],[Period]]=1,$C$6,PMT(InterestRate*AmortizationMultiplier/12,Table1[[#This Row],[Am Thru]],-Table1[[#This Row],[Beginning Balance]]))),0)</f>
        <v>0</v>
      </c>
      <c r="H272" s="3">
        <f>MAX(0,IF(C272=$C$4,D272,ROUND(IF($C$3="Fixed Principal",$C$6-Table1[[#This Row],[Interest]],IF($C$3="Interest Only",Table1[[#This Row],[Beginning Balance]]*ROUND(1-(1-IF($C$11="No",$E$8,1))^(1/12),6),MIN(IF($C$13="Yes",Table1[[#This Row],[Payment Amount (Reamortized)]],$C$6)-Table1[[#This Row],[Interest]],Table1[[#This Row],[Beginning Balance]]))),2)))</f>
        <v>0</v>
      </c>
      <c r="I272" s="3">
        <f>_xlfn.SINGLE(IF($C$3="Line of Credit",0,ROUND(MAX(MIN(IF($C$10="No",$E$7,VLOOKUP(Table1[[#This Row],[Period]],Forecast!$H$2:$L$1048576,4,FALSE))*Table1[[#This Row],[Beginning Balance]],Table1[[#This Row],[Beginning Balance]]-Table1[[#This Row],[Principal]]),0),2)))</f>
        <v>0</v>
      </c>
      <c r="J272" s="3">
        <f>ROUND(MIN(Table1[[#This Row],[Beginning Balance]]*IF($C$8="No",$E$3,VLOOKUP(Table1[[#This Row],[Period]],Forecast!$H$2:$L$1048576,2,FALSE)),Table1[[#This Row],[Beginning Balance]]-Table1[[#This Row],[Principal]]-Table1[[#This Row],[Prepayments]]),2)</f>
        <v>0</v>
      </c>
      <c r="K272" s="3">
        <f>ROUND(Table1[[#This Row],[Defaulted Principal]]*IF($C$9="No",$E$4,VLOOKUP(Table1[[#This Row],[Period]],Forecast!$H$2:$L$1048576,3,FALSE)),2)</f>
        <v>0</v>
      </c>
      <c r="L272" s="2">
        <f>Table1[[#This Row],[Period]]+$E$9</f>
        <v>268</v>
      </c>
      <c r="M272" s="3">
        <f>Table1[[#This Row],[Defaulted Principal]]-Table1[[#This Row],[Estimated Loss]]</f>
        <v>0</v>
      </c>
      <c r="N272" s="3">
        <f>IFERROR(VLOOKUP(Table1[[#This Row],[Period]],$L$16:$M$385,2,FALSE),0)</f>
        <v>0</v>
      </c>
      <c r="O272" s="3">
        <f>Table1[[#This Row],[Beginning Balance]]-Table1[[#This Row],[Principal]]-Table1[[#This Row],[Prepayments]]-Table1[[#This Row],[Defaulted Principal]]</f>
        <v>0</v>
      </c>
      <c r="P272" s="3">
        <f>Table1[[#This Row],[Principal]]+Table1[[#This Row],[Interest]]+Table1[[#This Row],[Prepayments]]+Table1[[#This Row],[RecoveredAmount]]</f>
        <v>0</v>
      </c>
      <c r="Q272" s="3">
        <f ca="1">Table1[[#This Row],[Cash Flow]]/((1+ActualRateToUse)^(IF(ISNUMBER(SEARCH("Actual",$C$7)),Table1[[#This Row],[Running Total]]/365,Table1[[#This Row],[Period]]/12)))</f>
        <v>0</v>
      </c>
      <c r="R272" s="2">
        <f>IF(MONTH(Table1[[#This Row],[Date]])=2,28,DAY(DATE(YEAR(Table1[[#This Row],[Date]]),MONTH(Table1[[#This Row],[Date]])+1,1)-1))</f>
        <v>31</v>
      </c>
      <c r="S272" s="2">
        <f ca="1">SUM(OFFSET(Table1[[#Headers],[Days in month]],1,0):Table1[[#This Row],[Days in month]])</f>
        <v>7788</v>
      </c>
      <c r="T272" s="37">
        <f>InterestRate*AmortizationMultiplier*IF(ISNUMBER(SEARCH("Actual",$C$7)),Table1[[#This Row],[Days in month]]/365,1/12)</f>
        <v>6.0708333333333326E-3</v>
      </c>
    </row>
    <row r="273" spans="2:20" x14ac:dyDescent="0.2">
      <c r="B273" s="1">
        <f t="shared" si="12"/>
        <v>53661</v>
      </c>
      <c r="C273" s="2">
        <f t="shared" si="13"/>
        <v>257</v>
      </c>
      <c r="D273" s="3">
        <f t="shared" si="15"/>
        <v>0</v>
      </c>
      <c r="E273" s="3">
        <f>ROUND(Table1[[#This Row],[Beginning Balance]]*Table1[[#This Row],[Monthly Interest Rate]],2)</f>
        <v>0</v>
      </c>
      <c r="F273" s="3">
        <f t="shared" si="14"/>
        <v>95</v>
      </c>
      <c r="G273" s="23">
        <f>IFERROR(IF($C$13="No","N/A",IF(Table1[[#This Row],[Period]]=1,$C$6,PMT(InterestRate*AmortizationMultiplier/12,Table1[[#This Row],[Am Thru]],-Table1[[#This Row],[Beginning Balance]]))),0)</f>
        <v>0</v>
      </c>
      <c r="H273" s="3">
        <f>MAX(0,IF(C273=$C$4,D273,ROUND(IF($C$3="Fixed Principal",$C$6-Table1[[#This Row],[Interest]],IF($C$3="Interest Only",Table1[[#This Row],[Beginning Balance]]*ROUND(1-(1-IF($C$11="No",$E$8,1))^(1/12),6),MIN(IF($C$13="Yes",Table1[[#This Row],[Payment Amount (Reamortized)]],$C$6)-Table1[[#This Row],[Interest]],Table1[[#This Row],[Beginning Balance]]))),2)))</f>
        <v>0</v>
      </c>
      <c r="I273" s="3">
        <f>_xlfn.SINGLE(IF($C$3="Line of Credit",0,ROUND(MAX(MIN(IF($C$10="No",$E$7,VLOOKUP(Table1[[#This Row],[Period]],Forecast!$H$2:$L$1048576,4,FALSE))*Table1[[#This Row],[Beginning Balance]],Table1[[#This Row],[Beginning Balance]]-Table1[[#This Row],[Principal]]),0),2)))</f>
        <v>0</v>
      </c>
      <c r="J273" s="3">
        <f>ROUND(MIN(Table1[[#This Row],[Beginning Balance]]*IF($C$8="No",$E$3,VLOOKUP(Table1[[#This Row],[Period]],Forecast!$H$2:$L$1048576,2,FALSE)),Table1[[#This Row],[Beginning Balance]]-Table1[[#This Row],[Principal]]-Table1[[#This Row],[Prepayments]]),2)</f>
        <v>0</v>
      </c>
      <c r="K273" s="3">
        <f>ROUND(Table1[[#This Row],[Defaulted Principal]]*IF($C$9="No",$E$4,VLOOKUP(Table1[[#This Row],[Period]],Forecast!$H$2:$L$1048576,3,FALSE)),2)</f>
        <v>0</v>
      </c>
      <c r="L273" s="2">
        <f>Table1[[#This Row],[Period]]+$E$9</f>
        <v>269</v>
      </c>
      <c r="M273" s="3">
        <f>Table1[[#This Row],[Defaulted Principal]]-Table1[[#This Row],[Estimated Loss]]</f>
        <v>0</v>
      </c>
      <c r="N273" s="3">
        <f>IFERROR(VLOOKUP(Table1[[#This Row],[Period]],$L$16:$M$385,2,FALSE),0)</f>
        <v>0</v>
      </c>
      <c r="O273" s="3">
        <f>Table1[[#This Row],[Beginning Balance]]-Table1[[#This Row],[Principal]]-Table1[[#This Row],[Prepayments]]-Table1[[#This Row],[Defaulted Principal]]</f>
        <v>0</v>
      </c>
      <c r="P273" s="3">
        <f>Table1[[#This Row],[Principal]]+Table1[[#This Row],[Interest]]+Table1[[#This Row],[Prepayments]]+Table1[[#This Row],[RecoveredAmount]]</f>
        <v>0</v>
      </c>
      <c r="Q273" s="3">
        <f ca="1">Table1[[#This Row],[Cash Flow]]/((1+ActualRateToUse)^(IF(ISNUMBER(SEARCH("Actual",$C$7)),Table1[[#This Row],[Running Total]]/365,Table1[[#This Row],[Period]]/12)))</f>
        <v>0</v>
      </c>
      <c r="R273" s="2">
        <f>IF(MONTH(Table1[[#This Row],[Date]])=2,28,DAY(DATE(YEAR(Table1[[#This Row],[Date]]),MONTH(Table1[[#This Row],[Date]])+1,1)-1))</f>
        <v>30</v>
      </c>
      <c r="S273" s="2">
        <f ca="1">SUM(OFFSET(Table1[[#Headers],[Days in month]],1,0):Table1[[#This Row],[Days in month]])</f>
        <v>7818</v>
      </c>
      <c r="T273" s="37">
        <f>InterestRate*AmortizationMultiplier*IF(ISNUMBER(SEARCH("Actual",$C$7)),Table1[[#This Row],[Days in month]]/365,1/12)</f>
        <v>5.8749999999999991E-3</v>
      </c>
    </row>
    <row r="274" spans="2:20" x14ac:dyDescent="0.2">
      <c r="B274" s="1">
        <f t="shared" si="12"/>
        <v>53692</v>
      </c>
      <c r="C274" s="2">
        <f t="shared" si="13"/>
        <v>258</v>
      </c>
      <c r="D274" s="3">
        <f t="shared" si="15"/>
        <v>0</v>
      </c>
      <c r="E274" s="3">
        <f>ROUND(Table1[[#This Row],[Beginning Balance]]*Table1[[#This Row],[Monthly Interest Rate]],2)</f>
        <v>0</v>
      </c>
      <c r="F274" s="3">
        <f t="shared" si="14"/>
        <v>94</v>
      </c>
      <c r="G274" s="23">
        <f>IFERROR(IF($C$13="No","N/A",IF(Table1[[#This Row],[Period]]=1,$C$6,PMT(InterestRate*AmortizationMultiplier/12,Table1[[#This Row],[Am Thru]],-Table1[[#This Row],[Beginning Balance]]))),0)</f>
        <v>0</v>
      </c>
      <c r="H274" s="3">
        <f>MAX(0,IF(C274=$C$4,D274,ROUND(IF($C$3="Fixed Principal",$C$6-Table1[[#This Row],[Interest]],IF($C$3="Interest Only",Table1[[#This Row],[Beginning Balance]]*ROUND(1-(1-IF($C$11="No",$E$8,1))^(1/12),6),MIN(IF($C$13="Yes",Table1[[#This Row],[Payment Amount (Reamortized)]],$C$6)-Table1[[#This Row],[Interest]],Table1[[#This Row],[Beginning Balance]]))),2)))</f>
        <v>0</v>
      </c>
      <c r="I274" s="3">
        <f>_xlfn.SINGLE(IF($C$3="Line of Credit",0,ROUND(MAX(MIN(IF($C$10="No",$E$7,VLOOKUP(Table1[[#This Row],[Period]],Forecast!$H$2:$L$1048576,4,FALSE))*Table1[[#This Row],[Beginning Balance]],Table1[[#This Row],[Beginning Balance]]-Table1[[#This Row],[Principal]]),0),2)))</f>
        <v>0</v>
      </c>
      <c r="J274" s="3">
        <f>ROUND(MIN(Table1[[#This Row],[Beginning Balance]]*IF($C$8="No",$E$3,VLOOKUP(Table1[[#This Row],[Period]],Forecast!$H$2:$L$1048576,2,FALSE)),Table1[[#This Row],[Beginning Balance]]-Table1[[#This Row],[Principal]]-Table1[[#This Row],[Prepayments]]),2)</f>
        <v>0</v>
      </c>
      <c r="K274" s="3">
        <f>ROUND(Table1[[#This Row],[Defaulted Principal]]*IF($C$9="No",$E$4,VLOOKUP(Table1[[#This Row],[Period]],Forecast!$H$2:$L$1048576,3,FALSE)),2)</f>
        <v>0</v>
      </c>
      <c r="L274" s="2">
        <f>Table1[[#This Row],[Period]]+$E$9</f>
        <v>270</v>
      </c>
      <c r="M274" s="3">
        <f>Table1[[#This Row],[Defaulted Principal]]-Table1[[#This Row],[Estimated Loss]]</f>
        <v>0</v>
      </c>
      <c r="N274" s="3">
        <f>IFERROR(VLOOKUP(Table1[[#This Row],[Period]],$L$16:$M$385,2,FALSE),0)</f>
        <v>0</v>
      </c>
      <c r="O274" s="3">
        <f>Table1[[#This Row],[Beginning Balance]]-Table1[[#This Row],[Principal]]-Table1[[#This Row],[Prepayments]]-Table1[[#This Row],[Defaulted Principal]]</f>
        <v>0</v>
      </c>
      <c r="P274" s="3">
        <f>Table1[[#This Row],[Principal]]+Table1[[#This Row],[Interest]]+Table1[[#This Row],[Prepayments]]+Table1[[#This Row],[RecoveredAmount]]</f>
        <v>0</v>
      </c>
      <c r="Q274" s="3">
        <f ca="1">Table1[[#This Row],[Cash Flow]]/((1+ActualRateToUse)^(IF(ISNUMBER(SEARCH("Actual",$C$7)),Table1[[#This Row],[Running Total]]/365,Table1[[#This Row],[Period]]/12)))</f>
        <v>0</v>
      </c>
      <c r="R274" s="2">
        <f>IF(MONTH(Table1[[#This Row],[Date]])=2,28,DAY(DATE(YEAR(Table1[[#This Row],[Date]]),MONTH(Table1[[#This Row],[Date]])+1,1)-1))</f>
        <v>31</v>
      </c>
      <c r="S274" s="2">
        <f ca="1">SUM(OFFSET(Table1[[#Headers],[Days in month]],1,0):Table1[[#This Row],[Days in month]])</f>
        <v>7849</v>
      </c>
      <c r="T274" s="37">
        <f>InterestRate*AmortizationMultiplier*IF(ISNUMBER(SEARCH("Actual",$C$7)),Table1[[#This Row],[Days in month]]/365,1/12)</f>
        <v>6.0708333333333326E-3</v>
      </c>
    </row>
    <row r="275" spans="2:20" x14ac:dyDescent="0.2">
      <c r="B275" s="1">
        <f t="shared" ref="B275:B338" si="16">EOMONTH(B274,1)</f>
        <v>53723</v>
      </c>
      <c r="C275" s="2">
        <f t="shared" ref="C275:C338" si="17">C274+1</f>
        <v>259</v>
      </c>
      <c r="D275" s="3">
        <f t="shared" si="15"/>
        <v>0</v>
      </c>
      <c r="E275" s="3">
        <f>ROUND(Table1[[#This Row],[Beginning Balance]]*Table1[[#This Row],[Monthly Interest Rate]],2)</f>
        <v>0</v>
      </c>
      <c r="F275" s="3">
        <f t="shared" ref="F275:F338" si="18">+F274-1</f>
        <v>93</v>
      </c>
      <c r="G275" s="23">
        <f>IFERROR(IF($C$13="No","N/A",IF(Table1[[#This Row],[Period]]=1,$C$6,PMT(InterestRate*AmortizationMultiplier/12,Table1[[#This Row],[Am Thru]],-Table1[[#This Row],[Beginning Balance]]))),0)</f>
        <v>0</v>
      </c>
      <c r="H275" s="3">
        <f>MAX(0,IF(C275=$C$4,D275,ROUND(IF($C$3="Fixed Principal",$C$6-Table1[[#This Row],[Interest]],IF($C$3="Interest Only",Table1[[#This Row],[Beginning Balance]]*ROUND(1-(1-IF($C$11="No",$E$8,1))^(1/12),6),MIN(IF($C$13="Yes",Table1[[#This Row],[Payment Amount (Reamortized)]],$C$6)-Table1[[#This Row],[Interest]],Table1[[#This Row],[Beginning Balance]]))),2)))</f>
        <v>0</v>
      </c>
      <c r="I275" s="3">
        <f>_xlfn.SINGLE(IF($C$3="Line of Credit",0,ROUND(MAX(MIN(IF($C$10="No",$E$7,VLOOKUP(Table1[[#This Row],[Period]],Forecast!$H$2:$L$1048576,4,FALSE))*Table1[[#This Row],[Beginning Balance]],Table1[[#This Row],[Beginning Balance]]-Table1[[#This Row],[Principal]]),0),2)))</f>
        <v>0</v>
      </c>
      <c r="J275" s="3">
        <f>ROUND(MIN(Table1[[#This Row],[Beginning Balance]]*IF($C$8="No",$E$3,VLOOKUP(Table1[[#This Row],[Period]],Forecast!$H$2:$L$1048576,2,FALSE)),Table1[[#This Row],[Beginning Balance]]-Table1[[#This Row],[Principal]]-Table1[[#This Row],[Prepayments]]),2)</f>
        <v>0</v>
      </c>
      <c r="K275" s="3">
        <f>ROUND(Table1[[#This Row],[Defaulted Principal]]*IF($C$9="No",$E$4,VLOOKUP(Table1[[#This Row],[Period]],Forecast!$H$2:$L$1048576,3,FALSE)),2)</f>
        <v>0</v>
      </c>
      <c r="L275" s="2">
        <f>Table1[[#This Row],[Period]]+$E$9</f>
        <v>271</v>
      </c>
      <c r="M275" s="3">
        <f>Table1[[#This Row],[Defaulted Principal]]-Table1[[#This Row],[Estimated Loss]]</f>
        <v>0</v>
      </c>
      <c r="N275" s="3">
        <f>IFERROR(VLOOKUP(Table1[[#This Row],[Period]],$L$16:$M$385,2,FALSE),0)</f>
        <v>0</v>
      </c>
      <c r="O275" s="3">
        <f>Table1[[#This Row],[Beginning Balance]]-Table1[[#This Row],[Principal]]-Table1[[#This Row],[Prepayments]]-Table1[[#This Row],[Defaulted Principal]]</f>
        <v>0</v>
      </c>
      <c r="P275" s="3">
        <f>Table1[[#This Row],[Principal]]+Table1[[#This Row],[Interest]]+Table1[[#This Row],[Prepayments]]+Table1[[#This Row],[RecoveredAmount]]</f>
        <v>0</v>
      </c>
      <c r="Q275" s="3">
        <f ca="1">Table1[[#This Row],[Cash Flow]]/((1+ActualRateToUse)^(IF(ISNUMBER(SEARCH("Actual",$C$7)),Table1[[#This Row],[Running Total]]/365,Table1[[#This Row],[Period]]/12)))</f>
        <v>0</v>
      </c>
      <c r="R275" s="2">
        <f>IF(MONTH(Table1[[#This Row],[Date]])=2,28,DAY(DATE(YEAR(Table1[[#This Row],[Date]]),MONTH(Table1[[#This Row],[Date]])+1,1)-1))</f>
        <v>31</v>
      </c>
      <c r="S275" s="2">
        <f ca="1">SUM(OFFSET(Table1[[#Headers],[Days in month]],1,0):Table1[[#This Row],[Days in month]])</f>
        <v>7880</v>
      </c>
      <c r="T275" s="37">
        <f>InterestRate*AmortizationMultiplier*IF(ISNUMBER(SEARCH("Actual",$C$7)),Table1[[#This Row],[Days in month]]/365,1/12)</f>
        <v>6.0708333333333326E-3</v>
      </c>
    </row>
    <row r="276" spans="2:20" x14ac:dyDescent="0.2">
      <c r="B276" s="1">
        <f t="shared" si="16"/>
        <v>53751</v>
      </c>
      <c r="C276" s="2">
        <f t="shared" si="17"/>
        <v>260</v>
      </c>
      <c r="D276" s="3">
        <f t="shared" si="15"/>
        <v>0</v>
      </c>
      <c r="E276" s="3">
        <f>ROUND(Table1[[#This Row],[Beginning Balance]]*Table1[[#This Row],[Monthly Interest Rate]],2)</f>
        <v>0</v>
      </c>
      <c r="F276" s="3">
        <f t="shared" si="18"/>
        <v>92</v>
      </c>
      <c r="G276" s="23">
        <f>IFERROR(IF($C$13="No","N/A",IF(Table1[[#This Row],[Period]]=1,$C$6,PMT(InterestRate*AmortizationMultiplier/12,Table1[[#This Row],[Am Thru]],-Table1[[#This Row],[Beginning Balance]]))),0)</f>
        <v>0</v>
      </c>
      <c r="H276" s="3">
        <f>MAX(0,IF(C276=$C$4,D276,ROUND(IF($C$3="Fixed Principal",$C$6-Table1[[#This Row],[Interest]],IF($C$3="Interest Only",Table1[[#This Row],[Beginning Balance]]*ROUND(1-(1-IF($C$11="No",$E$8,1))^(1/12),6),MIN(IF($C$13="Yes",Table1[[#This Row],[Payment Amount (Reamortized)]],$C$6)-Table1[[#This Row],[Interest]],Table1[[#This Row],[Beginning Balance]]))),2)))</f>
        <v>0</v>
      </c>
      <c r="I276" s="3">
        <f>_xlfn.SINGLE(IF($C$3="Line of Credit",0,ROUND(MAX(MIN(IF($C$10="No",$E$7,VLOOKUP(Table1[[#This Row],[Period]],Forecast!$H$2:$L$1048576,4,FALSE))*Table1[[#This Row],[Beginning Balance]],Table1[[#This Row],[Beginning Balance]]-Table1[[#This Row],[Principal]]),0),2)))</f>
        <v>0</v>
      </c>
      <c r="J276" s="3">
        <f>ROUND(MIN(Table1[[#This Row],[Beginning Balance]]*IF($C$8="No",$E$3,VLOOKUP(Table1[[#This Row],[Period]],Forecast!$H$2:$L$1048576,2,FALSE)),Table1[[#This Row],[Beginning Balance]]-Table1[[#This Row],[Principal]]-Table1[[#This Row],[Prepayments]]),2)</f>
        <v>0</v>
      </c>
      <c r="K276" s="3">
        <f>ROUND(Table1[[#This Row],[Defaulted Principal]]*IF($C$9="No",$E$4,VLOOKUP(Table1[[#This Row],[Period]],Forecast!$H$2:$L$1048576,3,FALSE)),2)</f>
        <v>0</v>
      </c>
      <c r="L276" s="2">
        <f>Table1[[#This Row],[Period]]+$E$9</f>
        <v>272</v>
      </c>
      <c r="M276" s="3">
        <f>Table1[[#This Row],[Defaulted Principal]]-Table1[[#This Row],[Estimated Loss]]</f>
        <v>0</v>
      </c>
      <c r="N276" s="3">
        <f>IFERROR(VLOOKUP(Table1[[#This Row],[Period]],$L$16:$M$385,2,FALSE),0)</f>
        <v>0</v>
      </c>
      <c r="O276" s="3">
        <f>Table1[[#This Row],[Beginning Balance]]-Table1[[#This Row],[Principal]]-Table1[[#This Row],[Prepayments]]-Table1[[#This Row],[Defaulted Principal]]</f>
        <v>0</v>
      </c>
      <c r="P276" s="3">
        <f>Table1[[#This Row],[Principal]]+Table1[[#This Row],[Interest]]+Table1[[#This Row],[Prepayments]]+Table1[[#This Row],[RecoveredAmount]]</f>
        <v>0</v>
      </c>
      <c r="Q276" s="3">
        <f ca="1">Table1[[#This Row],[Cash Flow]]/((1+ActualRateToUse)^(IF(ISNUMBER(SEARCH("Actual",$C$7)),Table1[[#This Row],[Running Total]]/365,Table1[[#This Row],[Period]]/12)))</f>
        <v>0</v>
      </c>
      <c r="R276" s="2">
        <f>IF(MONTH(Table1[[#This Row],[Date]])=2,28,DAY(DATE(YEAR(Table1[[#This Row],[Date]]),MONTH(Table1[[#This Row],[Date]])+1,1)-1))</f>
        <v>28</v>
      </c>
      <c r="S276" s="2">
        <f ca="1">SUM(OFFSET(Table1[[#Headers],[Days in month]],1,0):Table1[[#This Row],[Days in month]])</f>
        <v>7908</v>
      </c>
      <c r="T276" s="37">
        <f>InterestRate*AmortizationMultiplier*IF(ISNUMBER(SEARCH("Actual",$C$7)),Table1[[#This Row],[Days in month]]/365,1/12)</f>
        <v>5.4833333333333331E-3</v>
      </c>
    </row>
    <row r="277" spans="2:20" x14ac:dyDescent="0.2">
      <c r="B277" s="1">
        <f t="shared" si="16"/>
        <v>53782</v>
      </c>
      <c r="C277" s="2">
        <f t="shared" si="17"/>
        <v>261</v>
      </c>
      <c r="D277" s="3">
        <f t="shared" si="15"/>
        <v>0</v>
      </c>
      <c r="E277" s="3">
        <f>ROUND(Table1[[#This Row],[Beginning Balance]]*Table1[[#This Row],[Monthly Interest Rate]],2)</f>
        <v>0</v>
      </c>
      <c r="F277" s="3">
        <f t="shared" si="18"/>
        <v>91</v>
      </c>
      <c r="G277" s="23">
        <f>IFERROR(IF($C$13="No","N/A",IF(Table1[[#This Row],[Period]]=1,$C$6,PMT(InterestRate*AmortizationMultiplier/12,Table1[[#This Row],[Am Thru]],-Table1[[#This Row],[Beginning Balance]]))),0)</f>
        <v>0</v>
      </c>
      <c r="H277" s="3">
        <f>MAX(0,IF(C277=$C$4,D277,ROUND(IF($C$3="Fixed Principal",$C$6-Table1[[#This Row],[Interest]],IF($C$3="Interest Only",Table1[[#This Row],[Beginning Balance]]*ROUND(1-(1-IF($C$11="No",$E$8,1))^(1/12),6),MIN(IF($C$13="Yes",Table1[[#This Row],[Payment Amount (Reamortized)]],$C$6)-Table1[[#This Row],[Interest]],Table1[[#This Row],[Beginning Balance]]))),2)))</f>
        <v>0</v>
      </c>
      <c r="I277" s="3">
        <f>_xlfn.SINGLE(IF($C$3="Line of Credit",0,ROUND(MAX(MIN(IF($C$10="No",$E$7,VLOOKUP(Table1[[#This Row],[Period]],Forecast!$H$2:$L$1048576,4,FALSE))*Table1[[#This Row],[Beginning Balance]],Table1[[#This Row],[Beginning Balance]]-Table1[[#This Row],[Principal]]),0),2)))</f>
        <v>0</v>
      </c>
      <c r="J277" s="3">
        <f>ROUND(MIN(Table1[[#This Row],[Beginning Balance]]*IF($C$8="No",$E$3,VLOOKUP(Table1[[#This Row],[Period]],Forecast!$H$2:$L$1048576,2,FALSE)),Table1[[#This Row],[Beginning Balance]]-Table1[[#This Row],[Principal]]-Table1[[#This Row],[Prepayments]]),2)</f>
        <v>0</v>
      </c>
      <c r="K277" s="3">
        <f>ROUND(Table1[[#This Row],[Defaulted Principal]]*IF($C$9="No",$E$4,VLOOKUP(Table1[[#This Row],[Period]],Forecast!$H$2:$L$1048576,3,FALSE)),2)</f>
        <v>0</v>
      </c>
      <c r="L277" s="2">
        <f>Table1[[#This Row],[Period]]+$E$9</f>
        <v>273</v>
      </c>
      <c r="M277" s="3">
        <f>Table1[[#This Row],[Defaulted Principal]]-Table1[[#This Row],[Estimated Loss]]</f>
        <v>0</v>
      </c>
      <c r="N277" s="3">
        <f>IFERROR(VLOOKUP(Table1[[#This Row],[Period]],$L$16:$M$385,2,FALSE),0)</f>
        <v>0</v>
      </c>
      <c r="O277" s="3">
        <f>Table1[[#This Row],[Beginning Balance]]-Table1[[#This Row],[Principal]]-Table1[[#This Row],[Prepayments]]-Table1[[#This Row],[Defaulted Principal]]</f>
        <v>0</v>
      </c>
      <c r="P277" s="3">
        <f>Table1[[#This Row],[Principal]]+Table1[[#This Row],[Interest]]+Table1[[#This Row],[Prepayments]]+Table1[[#This Row],[RecoveredAmount]]</f>
        <v>0</v>
      </c>
      <c r="Q277" s="3">
        <f ca="1">Table1[[#This Row],[Cash Flow]]/((1+ActualRateToUse)^(IF(ISNUMBER(SEARCH("Actual",$C$7)),Table1[[#This Row],[Running Total]]/365,Table1[[#This Row],[Period]]/12)))</f>
        <v>0</v>
      </c>
      <c r="R277" s="2">
        <f>IF(MONTH(Table1[[#This Row],[Date]])=2,28,DAY(DATE(YEAR(Table1[[#This Row],[Date]]),MONTH(Table1[[#This Row],[Date]])+1,1)-1))</f>
        <v>31</v>
      </c>
      <c r="S277" s="2">
        <f ca="1">SUM(OFFSET(Table1[[#Headers],[Days in month]],1,0):Table1[[#This Row],[Days in month]])</f>
        <v>7939</v>
      </c>
      <c r="T277" s="37">
        <f>InterestRate*AmortizationMultiplier*IF(ISNUMBER(SEARCH("Actual",$C$7)),Table1[[#This Row],[Days in month]]/365,1/12)</f>
        <v>6.0708333333333326E-3</v>
      </c>
    </row>
    <row r="278" spans="2:20" x14ac:dyDescent="0.2">
      <c r="B278" s="1">
        <f t="shared" si="16"/>
        <v>53812</v>
      </c>
      <c r="C278" s="2">
        <f t="shared" si="17"/>
        <v>262</v>
      </c>
      <c r="D278" s="3">
        <f t="shared" si="15"/>
        <v>0</v>
      </c>
      <c r="E278" s="3">
        <f>ROUND(Table1[[#This Row],[Beginning Balance]]*Table1[[#This Row],[Monthly Interest Rate]],2)</f>
        <v>0</v>
      </c>
      <c r="F278" s="3">
        <f t="shared" si="18"/>
        <v>90</v>
      </c>
      <c r="G278" s="23">
        <f>IFERROR(IF($C$13="No","N/A",IF(Table1[[#This Row],[Period]]=1,$C$6,PMT(InterestRate*AmortizationMultiplier/12,Table1[[#This Row],[Am Thru]],-Table1[[#This Row],[Beginning Balance]]))),0)</f>
        <v>0</v>
      </c>
      <c r="H278" s="3">
        <f>MAX(0,IF(C278=$C$4,D278,ROUND(IF($C$3="Fixed Principal",$C$6-Table1[[#This Row],[Interest]],IF($C$3="Interest Only",Table1[[#This Row],[Beginning Balance]]*ROUND(1-(1-IF($C$11="No",$E$8,1))^(1/12),6),MIN(IF($C$13="Yes",Table1[[#This Row],[Payment Amount (Reamortized)]],$C$6)-Table1[[#This Row],[Interest]],Table1[[#This Row],[Beginning Balance]]))),2)))</f>
        <v>0</v>
      </c>
      <c r="I278" s="3">
        <f>_xlfn.SINGLE(IF($C$3="Line of Credit",0,ROUND(MAX(MIN(IF($C$10="No",$E$7,VLOOKUP(Table1[[#This Row],[Period]],Forecast!$H$2:$L$1048576,4,FALSE))*Table1[[#This Row],[Beginning Balance]],Table1[[#This Row],[Beginning Balance]]-Table1[[#This Row],[Principal]]),0),2)))</f>
        <v>0</v>
      </c>
      <c r="J278" s="3">
        <f>ROUND(MIN(Table1[[#This Row],[Beginning Balance]]*IF($C$8="No",$E$3,VLOOKUP(Table1[[#This Row],[Period]],Forecast!$H$2:$L$1048576,2,FALSE)),Table1[[#This Row],[Beginning Balance]]-Table1[[#This Row],[Principal]]-Table1[[#This Row],[Prepayments]]),2)</f>
        <v>0</v>
      </c>
      <c r="K278" s="3">
        <f>ROUND(Table1[[#This Row],[Defaulted Principal]]*IF($C$9="No",$E$4,VLOOKUP(Table1[[#This Row],[Period]],Forecast!$H$2:$L$1048576,3,FALSE)),2)</f>
        <v>0</v>
      </c>
      <c r="L278" s="2">
        <f>Table1[[#This Row],[Period]]+$E$9</f>
        <v>274</v>
      </c>
      <c r="M278" s="3">
        <f>Table1[[#This Row],[Defaulted Principal]]-Table1[[#This Row],[Estimated Loss]]</f>
        <v>0</v>
      </c>
      <c r="N278" s="3">
        <f>IFERROR(VLOOKUP(Table1[[#This Row],[Period]],$L$16:$M$385,2,FALSE),0)</f>
        <v>0</v>
      </c>
      <c r="O278" s="3">
        <f>Table1[[#This Row],[Beginning Balance]]-Table1[[#This Row],[Principal]]-Table1[[#This Row],[Prepayments]]-Table1[[#This Row],[Defaulted Principal]]</f>
        <v>0</v>
      </c>
      <c r="P278" s="3">
        <f>Table1[[#This Row],[Principal]]+Table1[[#This Row],[Interest]]+Table1[[#This Row],[Prepayments]]+Table1[[#This Row],[RecoveredAmount]]</f>
        <v>0</v>
      </c>
      <c r="Q278" s="3">
        <f ca="1">Table1[[#This Row],[Cash Flow]]/((1+ActualRateToUse)^(IF(ISNUMBER(SEARCH("Actual",$C$7)),Table1[[#This Row],[Running Total]]/365,Table1[[#This Row],[Period]]/12)))</f>
        <v>0</v>
      </c>
      <c r="R278" s="2">
        <f>IF(MONTH(Table1[[#This Row],[Date]])=2,28,DAY(DATE(YEAR(Table1[[#This Row],[Date]]),MONTH(Table1[[#This Row],[Date]])+1,1)-1))</f>
        <v>30</v>
      </c>
      <c r="S278" s="2">
        <f ca="1">SUM(OFFSET(Table1[[#Headers],[Days in month]],1,0):Table1[[#This Row],[Days in month]])</f>
        <v>7969</v>
      </c>
      <c r="T278" s="37">
        <f>InterestRate*AmortizationMultiplier*IF(ISNUMBER(SEARCH("Actual",$C$7)),Table1[[#This Row],[Days in month]]/365,1/12)</f>
        <v>5.8749999999999991E-3</v>
      </c>
    </row>
    <row r="279" spans="2:20" x14ac:dyDescent="0.2">
      <c r="B279" s="1">
        <f t="shared" si="16"/>
        <v>53843</v>
      </c>
      <c r="C279" s="2">
        <f t="shared" si="17"/>
        <v>263</v>
      </c>
      <c r="D279" s="3">
        <f t="shared" si="15"/>
        <v>0</v>
      </c>
      <c r="E279" s="3">
        <f>ROUND(Table1[[#This Row],[Beginning Balance]]*Table1[[#This Row],[Monthly Interest Rate]],2)</f>
        <v>0</v>
      </c>
      <c r="F279" s="3">
        <f t="shared" si="18"/>
        <v>89</v>
      </c>
      <c r="G279" s="23">
        <f>IFERROR(IF($C$13="No","N/A",IF(Table1[[#This Row],[Period]]=1,$C$6,PMT(InterestRate*AmortizationMultiplier/12,Table1[[#This Row],[Am Thru]],-Table1[[#This Row],[Beginning Balance]]))),0)</f>
        <v>0</v>
      </c>
      <c r="H279" s="3">
        <f>MAX(0,IF(C279=$C$4,D279,ROUND(IF($C$3="Fixed Principal",$C$6-Table1[[#This Row],[Interest]],IF($C$3="Interest Only",Table1[[#This Row],[Beginning Balance]]*ROUND(1-(1-IF($C$11="No",$E$8,1))^(1/12),6),MIN(IF($C$13="Yes",Table1[[#This Row],[Payment Amount (Reamortized)]],$C$6)-Table1[[#This Row],[Interest]],Table1[[#This Row],[Beginning Balance]]))),2)))</f>
        <v>0</v>
      </c>
      <c r="I279" s="3">
        <f>_xlfn.SINGLE(IF($C$3="Line of Credit",0,ROUND(MAX(MIN(IF($C$10="No",$E$7,VLOOKUP(Table1[[#This Row],[Period]],Forecast!$H$2:$L$1048576,4,FALSE))*Table1[[#This Row],[Beginning Balance]],Table1[[#This Row],[Beginning Balance]]-Table1[[#This Row],[Principal]]),0),2)))</f>
        <v>0</v>
      </c>
      <c r="J279" s="3">
        <f>ROUND(MIN(Table1[[#This Row],[Beginning Balance]]*IF($C$8="No",$E$3,VLOOKUP(Table1[[#This Row],[Period]],Forecast!$H$2:$L$1048576,2,FALSE)),Table1[[#This Row],[Beginning Balance]]-Table1[[#This Row],[Principal]]-Table1[[#This Row],[Prepayments]]),2)</f>
        <v>0</v>
      </c>
      <c r="K279" s="3">
        <f>ROUND(Table1[[#This Row],[Defaulted Principal]]*IF($C$9="No",$E$4,VLOOKUP(Table1[[#This Row],[Period]],Forecast!$H$2:$L$1048576,3,FALSE)),2)</f>
        <v>0</v>
      </c>
      <c r="L279" s="2">
        <f>Table1[[#This Row],[Period]]+$E$9</f>
        <v>275</v>
      </c>
      <c r="M279" s="3">
        <f>Table1[[#This Row],[Defaulted Principal]]-Table1[[#This Row],[Estimated Loss]]</f>
        <v>0</v>
      </c>
      <c r="N279" s="3">
        <f>IFERROR(VLOOKUP(Table1[[#This Row],[Period]],$L$16:$M$385,2,FALSE),0)</f>
        <v>0</v>
      </c>
      <c r="O279" s="3">
        <f>Table1[[#This Row],[Beginning Balance]]-Table1[[#This Row],[Principal]]-Table1[[#This Row],[Prepayments]]-Table1[[#This Row],[Defaulted Principal]]</f>
        <v>0</v>
      </c>
      <c r="P279" s="3">
        <f>Table1[[#This Row],[Principal]]+Table1[[#This Row],[Interest]]+Table1[[#This Row],[Prepayments]]+Table1[[#This Row],[RecoveredAmount]]</f>
        <v>0</v>
      </c>
      <c r="Q279" s="3">
        <f ca="1">Table1[[#This Row],[Cash Flow]]/((1+ActualRateToUse)^(IF(ISNUMBER(SEARCH("Actual",$C$7)),Table1[[#This Row],[Running Total]]/365,Table1[[#This Row],[Period]]/12)))</f>
        <v>0</v>
      </c>
      <c r="R279" s="2">
        <f>IF(MONTH(Table1[[#This Row],[Date]])=2,28,DAY(DATE(YEAR(Table1[[#This Row],[Date]]),MONTH(Table1[[#This Row],[Date]])+1,1)-1))</f>
        <v>31</v>
      </c>
      <c r="S279" s="2">
        <f ca="1">SUM(OFFSET(Table1[[#Headers],[Days in month]],1,0):Table1[[#This Row],[Days in month]])</f>
        <v>8000</v>
      </c>
      <c r="T279" s="37">
        <f>InterestRate*AmortizationMultiplier*IF(ISNUMBER(SEARCH("Actual",$C$7)),Table1[[#This Row],[Days in month]]/365,1/12)</f>
        <v>6.0708333333333326E-3</v>
      </c>
    </row>
    <row r="280" spans="2:20" x14ac:dyDescent="0.2">
      <c r="B280" s="1">
        <f t="shared" si="16"/>
        <v>53873</v>
      </c>
      <c r="C280" s="2">
        <f t="shared" si="17"/>
        <v>264</v>
      </c>
      <c r="D280" s="3">
        <f t="shared" si="15"/>
        <v>0</v>
      </c>
      <c r="E280" s="3">
        <f>ROUND(Table1[[#This Row],[Beginning Balance]]*Table1[[#This Row],[Monthly Interest Rate]],2)</f>
        <v>0</v>
      </c>
      <c r="F280" s="3">
        <f t="shared" si="18"/>
        <v>88</v>
      </c>
      <c r="G280" s="23">
        <f>IFERROR(IF($C$13="No","N/A",IF(Table1[[#This Row],[Period]]=1,$C$6,PMT(InterestRate*AmortizationMultiplier/12,Table1[[#This Row],[Am Thru]],-Table1[[#This Row],[Beginning Balance]]))),0)</f>
        <v>0</v>
      </c>
      <c r="H280" s="3">
        <f>MAX(0,IF(C280=$C$4,D280,ROUND(IF($C$3="Fixed Principal",$C$6-Table1[[#This Row],[Interest]],IF($C$3="Interest Only",Table1[[#This Row],[Beginning Balance]]*ROUND(1-(1-IF($C$11="No",$E$8,1))^(1/12),6),MIN(IF($C$13="Yes",Table1[[#This Row],[Payment Amount (Reamortized)]],$C$6)-Table1[[#This Row],[Interest]],Table1[[#This Row],[Beginning Balance]]))),2)))</f>
        <v>0</v>
      </c>
      <c r="I280" s="3">
        <f>_xlfn.SINGLE(IF($C$3="Line of Credit",0,ROUND(MAX(MIN(IF($C$10="No",$E$7,VLOOKUP(Table1[[#This Row],[Period]],Forecast!$H$2:$L$1048576,4,FALSE))*Table1[[#This Row],[Beginning Balance]],Table1[[#This Row],[Beginning Balance]]-Table1[[#This Row],[Principal]]),0),2)))</f>
        <v>0</v>
      </c>
      <c r="J280" s="3">
        <f>ROUND(MIN(Table1[[#This Row],[Beginning Balance]]*IF($C$8="No",$E$3,VLOOKUP(Table1[[#This Row],[Period]],Forecast!$H$2:$L$1048576,2,FALSE)),Table1[[#This Row],[Beginning Balance]]-Table1[[#This Row],[Principal]]-Table1[[#This Row],[Prepayments]]),2)</f>
        <v>0</v>
      </c>
      <c r="K280" s="3">
        <f>ROUND(Table1[[#This Row],[Defaulted Principal]]*IF($C$9="No",$E$4,VLOOKUP(Table1[[#This Row],[Period]],Forecast!$H$2:$L$1048576,3,FALSE)),2)</f>
        <v>0</v>
      </c>
      <c r="L280" s="2">
        <f>Table1[[#This Row],[Period]]+$E$9</f>
        <v>276</v>
      </c>
      <c r="M280" s="3">
        <f>Table1[[#This Row],[Defaulted Principal]]-Table1[[#This Row],[Estimated Loss]]</f>
        <v>0</v>
      </c>
      <c r="N280" s="3">
        <f>IFERROR(VLOOKUP(Table1[[#This Row],[Period]],$L$16:$M$385,2,FALSE),0)</f>
        <v>0</v>
      </c>
      <c r="O280" s="3">
        <f>Table1[[#This Row],[Beginning Balance]]-Table1[[#This Row],[Principal]]-Table1[[#This Row],[Prepayments]]-Table1[[#This Row],[Defaulted Principal]]</f>
        <v>0</v>
      </c>
      <c r="P280" s="3">
        <f>Table1[[#This Row],[Principal]]+Table1[[#This Row],[Interest]]+Table1[[#This Row],[Prepayments]]+Table1[[#This Row],[RecoveredAmount]]</f>
        <v>0</v>
      </c>
      <c r="Q280" s="3">
        <f ca="1">Table1[[#This Row],[Cash Flow]]/((1+ActualRateToUse)^(IF(ISNUMBER(SEARCH("Actual",$C$7)),Table1[[#This Row],[Running Total]]/365,Table1[[#This Row],[Period]]/12)))</f>
        <v>0</v>
      </c>
      <c r="R280" s="2">
        <f>IF(MONTH(Table1[[#This Row],[Date]])=2,28,DAY(DATE(YEAR(Table1[[#This Row],[Date]]),MONTH(Table1[[#This Row],[Date]])+1,1)-1))</f>
        <v>30</v>
      </c>
      <c r="S280" s="2">
        <f ca="1">SUM(OFFSET(Table1[[#Headers],[Days in month]],1,0):Table1[[#This Row],[Days in month]])</f>
        <v>8030</v>
      </c>
      <c r="T280" s="37">
        <f>InterestRate*AmortizationMultiplier*IF(ISNUMBER(SEARCH("Actual",$C$7)),Table1[[#This Row],[Days in month]]/365,1/12)</f>
        <v>5.8749999999999991E-3</v>
      </c>
    </row>
    <row r="281" spans="2:20" x14ac:dyDescent="0.2">
      <c r="B281" s="1">
        <f t="shared" si="16"/>
        <v>53904</v>
      </c>
      <c r="C281" s="2">
        <f t="shared" si="17"/>
        <v>265</v>
      </c>
      <c r="D281" s="3">
        <f t="shared" si="15"/>
        <v>0</v>
      </c>
      <c r="E281" s="3">
        <f>ROUND(Table1[[#This Row],[Beginning Balance]]*Table1[[#This Row],[Monthly Interest Rate]],2)</f>
        <v>0</v>
      </c>
      <c r="F281" s="3">
        <f t="shared" si="18"/>
        <v>87</v>
      </c>
      <c r="G281" s="23">
        <f>IFERROR(IF($C$13="No","N/A",IF(Table1[[#This Row],[Period]]=1,$C$6,PMT(InterestRate*AmortizationMultiplier/12,Table1[[#This Row],[Am Thru]],-Table1[[#This Row],[Beginning Balance]]))),0)</f>
        <v>0</v>
      </c>
      <c r="H281" s="3">
        <f>MAX(0,IF(C281=$C$4,D281,ROUND(IF($C$3="Fixed Principal",$C$6-Table1[[#This Row],[Interest]],IF($C$3="Interest Only",Table1[[#This Row],[Beginning Balance]]*ROUND(1-(1-IF($C$11="No",$E$8,1))^(1/12),6),MIN(IF($C$13="Yes",Table1[[#This Row],[Payment Amount (Reamortized)]],$C$6)-Table1[[#This Row],[Interest]],Table1[[#This Row],[Beginning Balance]]))),2)))</f>
        <v>0</v>
      </c>
      <c r="I281" s="3">
        <f>_xlfn.SINGLE(IF($C$3="Line of Credit",0,ROUND(MAX(MIN(IF($C$10="No",$E$7,VLOOKUP(Table1[[#This Row],[Period]],Forecast!$H$2:$L$1048576,4,FALSE))*Table1[[#This Row],[Beginning Balance]],Table1[[#This Row],[Beginning Balance]]-Table1[[#This Row],[Principal]]),0),2)))</f>
        <v>0</v>
      </c>
      <c r="J281" s="3">
        <f>ROUND(MIN(Table1[[#This Row],[Beginning Balance]]*IF($C$8="No",$E$3,VLOOKUP(Table1[[#This Row],[Period]],Forecast!$H$2:$L$1048576,2,FALSE)),Table1[[#This Row],[Beginning Balance]]-Table1[[#This Row],[Principal]]-Table1[[#This Row],[Prepayments]]),2)</f>
        <v>0</v>
      </c>
      <c r="K281" s="3">
        <f>ROUND(Table1[[#This Row],[Defaulted Principal]]*IF($C$9="No",$E$4,VLOOKUP(Table1[[#This Row],[Period]],Forecast!$H$2:$L$1048576,3,FALSE)),2)</f>
        <v>0</v>
      </c>
      <c r="L281" s="2">
        <f>Table1[[#This Row],[Period]]+$E$9</f>
        <v>277</v>
      </c>
      <c r="M281" s="3">
        <f>Table1[[#This Row],[Defaulted Principal]]-Table1[[#This Row],[Estimated Loss]]</f>
        <v>0</v>
      </c>
      <c r="N281" s="3">
        <f>IFERROR(VLOOKUP(Table1[[#This Row],[Period]],$L$16:$M$385,2,FALSE),0)</f>
        <v>0</v>
      </c>
      <c r="O281" s="3">
        <f>Table1[[#This Row],[Beginning Balance]]-Table1[[#This Row],[Principal]]-Table1[[#This Row],[Prepayments]]-Table1[[#This Row],[Defaulted Principal]]</f>
        <v>0</v>
      </c>
      <c r="P281" s="3">
        <f>Table1[[#This Row],[Principal]]+Table1[[#This Row],[Interest]]+Table1[[#This Row],[Prepayments]]+Table1[[#This Row],[RecoveredAmount]]</f>
        <v>0</v>
      </c>
      <c r="Q281" s="3">
        <f ca="1">Table1[[#This Row],[Cash Flow]]/((1+ActualRateToUse)^(IF(ISNUMBER(SEARCH("Actual",$C$7)),Table1[[#This Row],[Running Total]]/365,Table1[[#This Row],[Period]]/12)))</f>
        <v>0</v>
      </c>
      <c r="R281" s="2">
        <f>IF(MONTH(Table1[[#This Row],[Date]])=2,28,DAY(DATE(YEAR(Table1[[#This Row],[Date]]),MONTH(Table1[[#This Row],[Date]])+1,1)-1))</f>
        <v>31</v>
      </c>
      <c r="S281" s="2">
        <f ca="1">SUM(OFFSET(Table1[[#Headers],[Days in month]],1,0):Table1[[#This Row],[Days in month]])</f>
        <v>8061</v>
      </c>
      <c r="T281" s="37">
        <f>InterestRate*AmortizationMultiplier*IF(ISNUMBER(SEARCH("Actual",$C$7)),Table1[[#This Row],[Days in month]]/365,1/12)</f>
        <v>6.0708333333333326E-3</v>
      </c>
    </row>
    <row r="282" spans="2:20" x14ac:dyDescent="0.2">
      <c r="B282" s="1">
        <f t="shared" si="16"/>
        <v>53935</v>
      </c>
      <c r="C282" s="2">
        <f t="shared" si="17"/>
        <v>266</v>
      </c>
      <c r="D282" s="3">
        <f t="shared" si="15"/>
        <v>0</v>
      </c>
      <c r="E282" s="3">
        <f>ROUND(Table1[[#This Row],[Beginning Balance]]*Table1[[#This Row],[Monthly Interest Rate]],2)</f>
        <v>0</v>
      </c>
      <c r="F282" s="3">
        <f t="shared" si="18"/>
        <v>86</v>
      </c>
      <c r="G282" s="23">
        <f>IFERROR(IF($C$13="No","N/A",IF(Table1[[#This Row],[Period]]=1,$C$6,PMT(InterestRate*AmortizationMultiplier/12,Table1[[#This Row],[Am Thru]],-Table1[[#This Row],[Beginning Balance]]))),0)</f>
        <v>0</v>
      </c>
      <c r="H282" s="3">
        <f>MAX(0,IF(C282=$C$4,D282,ROUND(IF($C$3="Fixed Principal",$C$6-Table1[[#This Row],[Interest]],IF($C$3="Interest Only",Table1[[#This Row],[Beginning Balance]]*ROUND(1-(1-IF($C$11="No",$E$8,1))^(1/12),6),MIN(IF($C$13="Yes",Table1[[#This Row],[Payment Amount (Reamortized)]],$C$6)-Table1[[#This Row],[Interest]],Table1[[#This Row],[Beginning Balance]]))),2)))</f>
        <v>0</v>
      </c>
      <c r="I282" s="3">
        <f>_xlfn.SINGLE(IF($C$3="Line of Credit",0,ROUND(MAX(MIN(IF($C$10="No",$E$7,VLOOKUP(Table1[[#This Row],[Period]],Forecast!$H$2:$L$1048576,4,FALSE))*Table1[[#This Row],[Beginning Balance]],Table1[[#This Row],[Beginning Balance]]-Table1[[#This Row],[Principal]]),0),2)))</f>
        <v>0</v>
      </c>
      <c r="J282" s="3">
        <f>ROUND(MIN(Table1[[#This Row],[Beginning Balance]]*IF($C$8="No",$E$3,VLOOKUP(Table1[[#This Row],[Period]],Forecast!$H$2:$L$1048576,2,FALSE)),Table1[[#This Row],[Beginning Balance]]-Table1[[#This Row],[Principal]]-Table1[[#This Row],[Prepayments]]),2)</f>
        <v>0</v>
      </c>
      <c r="K282" s="3">
        <f>ROUND(Table1[[#This Row],[Defaulted Principal]]*IF($C$9="No",$E$4,VLOOKUP(Table1[[#This Row],[Period]],Forecast!$H$2:$L$1048576,3,FALSE)),2)</f>
        <v>0</v>
      </c>
      <c r="L282" s="2">
        <f>Table1[[#This Row],[Period]]+$E$9</f>
        <v>278</v>
      </c>
      <c r="M282" s="3">
        <f>Table1[[#This Row],[Defaulted Principal]]-Table1[[#This Row],[Estimated Loss]]</f>
        <v>0</v>
      </c>
      <c r="N282" s="3">
        <f>IFERROR(VLOOKUP(Table1[[#This Row],[Period]],$L$16:$M$385,2,FALSE),0)</f>
        <v>0</v>
      </c>
      <c r="O282" s="3">
        <f>Table1[[#This Row],[Beginning Balance]]-Table1[[#This Row],[Principal]]-Table1[[#This Row],[Prepayments]]-Table1[[#This Row],[Defaulted Principal]]</f>
        <v>0</v>
      </c>
      <c r="P282" s="3">
        <f>Table1[[#This Row],[Principal]]+Table1[[#This Row],[Interest]]+Table1[[#This Row],[Prepayments]]+Table1[[#This Row],[RecoveredAmount]]</f>
        <v>0</v>
      </c>
      <c r="Q282" s="3">
        <f ca="1">Table1[[#This Row],[Cash Flow]]/((1+ActualRateToUse)^(IF(ISNUMBER(SEARCH("Actual",$C$7)),Table1[[#This Row],[Running Total]]/365,Table1[[#This Row],[Period]]/12)))</f>
        <v>0</v>
      </c>
      <c r="R282" s="2">
        <f>IF(MONTH(Table1[[#This Row],[Date]])=2,28,DAY(DATE(YEAR(Table1[[#This Row],[Date]]),MONTH(Table1[[#This Row],[Date]])+1,1)-1))</f>
        <v>31</v>
      </c>
      <c r="S282" s="2">
        <f ca="1">SUM(OFFSET(Table1[[#Headers],[Days in month]],1,0):Table1[[#This Row],[Days in month]])</f>
        <v>8092</v>
      </c>
      <c r="T282" s="37">
        <f>InterestRate*AmortizationMultiplier*IF(ISNUMBER(SEARCH("Actual",$C$7)),Table1[[#This Row],[Days in month]]/365,1/12)</f>
        <v>6.0708333333333326E-3</v>
      </c>
    </row>
    <row r="283" spans="2:20" x14ac:dyDescent="0.2">
      <c r="B283" s="1">
        <f t="shared" si="16"/>
        <v>53965</v>
      </c>
      <c r="C283" s="2">
        <f t="shared" si="17"/>
        <v>267</v>
      </c>
      <c r="D283" s="3">
        <f t="shared" si="15"/>
        <v>0</v>
      </c>
      <c r="E283" s="3">
        <f>ROUND(Table1[[#This Row],[Beginning Balance]]*Table1[[#This Row],[Monthly Interest Rate]],2)</f>
        <v>0</v>
      </c>
      <c r="F283" s="3">
        <f t="shared" si="18"/>
        <v>85</v>
      </c>
      <c r="G283" s="23">
        <f>IFERROR(IF($C$13="No","N/A",IF(Table1[[#This Row],[Period]]=1,$C$6,PMT(InterestRate*AmortizationMultiplier/12,Table1[[#This Row],[Am Thru]],-Table1[[#This Row],[Beginning Balance]]))),0)</f>
        <v>0</v>
      </c>
      <c r="H283" s="3">
        <f>MAX(0,IF(C283=$C$4,D283,ROUND(IF($C$3="Fixed Principal",$C$6-Table1[[#This Row],[Interest]],IF($C$3="Interest Only",Table1[[#This Row],[Beginning Balance]]*ROUND(1-(1-IF($C$11="No",$E$8,1))^(1/12),6),MIN(IF($C$13="Yes",Table1[[#This Row],[Payment Amount (Reamortized)]],$C$6)-Table1[[#This Row],[Interest]],Table1[[#This Row],[Beginning Balance]]))),2)))</f>
        <v>0</v>
      </c>
      <c r="I283" s="3">
        <f>_xlfn.SINGLE(IF($C$3="Line of Credit",0,ROUND(MAX(MIN(IF($C$10="No",$E$7,VLOOKUP(Table1[[#This Row],[Period]],Forecast!$H$2:$L$1048576,4,FALSE))*Table1[[#This Row],[Beginning Balance]],Table1[[#This Row],[Beginning Balance]]-Table1[[#This Row],[Principal]]),0),2)))</f>
        <v>0</v>
      </c>
      <c r="J283" s="3">
        <f>ROUND(MIN(Table1[[#This Row],[Beginning Balance]]*IF($C$8="No",$E$3,VLOOKUP(Table1[[#This Row],[Period]],Forecast!$H$2:$L$1048576,2,FALSE)),Table1[[#This Row],[Beginning Balance]]-Table1[[#This Row],[Principal]]-Table1[[#This Row],[Prepayments]]),2)</f>
        <v>0</v>
      </c>
      <c r="K283" s="3">
        <f>ROUND(Table1[[#This Row],[Defaulted Principal]]*IF($C$9="No",$E$4,VLOOKUP(Table1[[#This Row],[Period]],Forecast!$H$2:$L$1048576,3,FALSE)),2)</f>
        <v>0</v>
      </c>
      <c r="L283" s="2">
        <f>Table1[[#This Row],[Period]]+$E$9</f>
        <v>279</v>
      </c>
      <c r="M283" s="3">
        <f>Table1[[#This Row],[Defaulted Principal]]-Table1[[#This Row],[Estimated Loss]]</f>
        <v>0</v>
      </c>
      <c r="N283" s="3">
        <f>IFERROR(VLOOKUP(Table1[[#This Row],[Period]],$L$16:$M$385,2,FALSE),0)</f>
        <v>0</v>
      </c>
      <c r="O283" s="3">
        <f>Table1[[#This Row],[Beginning Balance]]-Table1[[#This Row],[Principal]]-Table1[[#This Row],[Prepayments]]-Table1[[#This Row],[Defaulted Principal]]</f>
        <v>0</v>
      </c>
      <c r="P283" s="3">
        <f>Table1[[#This Row],[Principal]]+Table1[[#This Row],[Interest]]+Table1[[#This Row],[Prepayments]]+Table1[[#This Row],[RecoveredAmount]]</f>
        <v>0</v>
      </c>
      <c r="Q283" s="3">
        <f ca="1">Table1[[#This Row],[Cash Flow]]/((1+ActualRateToUse)^(IF(ISNUMBER(SEARCH("Actual",$C$7)),Table1[[#This Row],[Running Total]]/365,Table1[[#This Row],[Period]]/12)))</f>
        <v>0</v>
      </c>
      <c r="R283" s="2">
        <f>IF(MONTH(Table1[[#This Row],[Date]])=2,28,DAY(DATE(YEAR(Table1[[#This Row],[Date]]),MONTH(Table1[[#This Row],[Date]])+1,1)-1))</f>
        <v>30</v>
      </c>
      <c r="S283" s="2">
        <f ca="1">SUM(OFFSET(Table1[[#Headers],[Days in month]],1,0):Table1[[#This Row],[Days in month]])</f>
        <v>8122</v>
      </c>
      <c r="T283" s="37">
        <f>InterestRate*AmortizationMultiplier*IF(ISNUMBER(SEARCH("Actual",$C$7)),Table1[[#This Row],[Days in month]]/365,1/12)</f>
        <v>5.8749999999999991E-3</v>
      </c>
    </row>
    <row r="284" spans="2:20" x14ac:dyDescent="0.2">
      <c r="B284" s="1">
        <f t="shared" si="16"/>
        <v>53996</v>
      </c>
      <c r="C284" s="2">
        <f t="shared" si="17"/>
        <v>268</v>
      </c>
      <c r="D284" s="3">
        <f t="shared" si="15"/>
        <v>0</v>
      </c>
      <c r="E284" s="3">
        <f>ROUND(Table1[[#This Row],[Beginning Balance]]*Table1[[#This Row],[Monthly Interest Rate]],2)</f>
        <v>0</v>
      </c>
      <c r="F284" s="3">
        <f t="shared" si="18"/>
        <v>84</v>
      </c>
      <c r="G284" s="23">
        <f>IFERROR(IF($C$13="No","N/A",IF(Table1[[#This Row],[Period]]=1,$C$6,PMT(InterestRate*AmortizationMultiplier/12,Table1[[#This Row],[Am Thru]],-Table1[[#This Row],[Beginning Balance]]))),0)</f>
        <v>0</v>
      </c>
      <c r="H284" s="3">
        <f>MAX(0,IF(C284=$C$4,D284,ROUND(IF($C$3="Fixed Principal",$C$6-Table1[[#This Row],[Interest]],IF($C$3="Interest Only",Table1[[#This Row],[Beginning Balance]]*ROUND(1-(1-IF($C$11="No",$E$8,1))^(1/12),6),MIN(IF($C$13="Yes",Table1[[#This Row],[Payment Amount (Reamortized)]],$C$6)-Table1[[#This Row],[Interest]],Table1[[#This Row],[Beginning Balance]]))),2)))</f>
        <v>0</v>
      </c>
      <c r="I284" s="3">
        <f>_xlfn.SINGLE(IF($C$3="Line of Credit",0,ROUND(MAX(MIN(IF($C$10="No",$E$7,VLOOKUP(Table1[[#This Row],[Period]],Forecast!$H$2:$L$1048576,4,FALSE))*Table1[[#This Row],[Beginning Balance]],Table1[[#This Row],[Beginning Balance]]-Table1[[#This Row],[Principal]]),0),2)))</f>
        <v>0</v>
      </c>
      <c r="J284" s="3">
        <f>ROUND(MIN(Table1[[#This Row],[Beginning Balance]]*IF($C$8="No",$E$3,VLOOKUP(Table1[[#This Row],[Period]],Forecast!$H$2:$L$1048576,2,FALSE)),Table1[[#This Row],[Beginning Balance]]-Table1[[#This Row],[Principal]]-Table1[[#This Row],[Prepayments]]),2)</f>
        <v>0</v>
      </c>
      <c r="K284" s="3">
        <f>ROUND(Table1[[#This Row],[Defaulted Principal]]*IF($C$9="No",$E$4,VLOOKUP(Table1[[#This Row],[Period]],Forecast!$H$2:$L$1048576,3,FALSE)),2)</f>
        <v>0</v>
      </c>
      <c r="L284" s="2">
        <f>Table1[[#This Row],[Period]]+$E$9</f>
        <v>280</v>
      </c>
      <c r="M284" s="3">
        <f>Table1[[#This Row],[Defaulted Principal]]-Table1[[#This Row],[Estimated Loss]]</f>
        <v>0</v>
      </c>
      <c r="N284" s="3">
        <f>IFERROR(VLOOKUP(Table1[[#This Row],[Period]],$L$16:$M$385,2,FALSE),0)</f>
        <v>0</v>
      </c>
      <c r="O284" s="3">
        <f>Table1[[#This Row],[Beginning Balance]]-Table1[[#This Row],[Principal]]-Table1[[#This Row],[Prepayments]]-Table1[[#This Row],[Defaulted Principal]]</f>
        <v>0</v>
      </c>
      <c r="P284" s="3">
        <f>Table1[[#This Row],[Principal]]+Table1[[#This Row],[Interest]]+Table1[[#This Row],[Prepayments]]+Table1[[#This Row],[RecoveredAmount]]</f>
        <v>0</v>
      </c>
      <c r="Q284" s="3">
        <f ca="1">Table1[[#This Row],[Cash Flow]]/((1+ActualRateToUse)^(IF(ISNUMBER(SEARCH("Actual",$C$7)),Table1[[#This Row],[Running Total]]/365,Table1[[#This Row],[Period]]/12)))</f>
        <v>0</v>
      </c>
      <c r="R284" s="2">
        <f>IF(MONTH(Table1[[#This Row],[Date]])=2,28,DAY(DATE(YEAR(Table1[[#This Row],[Date]]),MONTH(Table1[[#This Row],[Date]])+1,1)-1))</f>
        <v>31</v>
      </c>
      <c r="S284" s="2">
        <f ca="1">SUM(OFFSET(Table1[[#Headers],[Days in month]],1,0):Table1[[#This Row],[Days in month]])</f>
        <v>8153</v>
      </c>
      <c r="T284" s="37">
        <f>InterestRate*AmortizationMultiplier*IF(ISNUMBER(SEARCH("Actual",$C$7)),Table1[[#This Row],[Days in month]]/365,1/12)</f>
        <v>6.0708333333333326E-3</v>
      </c>
    </row>
    <row r="285" spans="2:20" x14ac:dyDescent="0.2">
      <c r="B285" s="1">
        <f t="shared" si="16"/>
        <v>54026</v>
      </c>
      <c r="C285" s="2">
        <f t="shared" si="17"/>
        <v>269</v>
      </c>
      <c r="D285" s="3">
        <f t="shared" ref="D285:D348" si="19">O284</f>
        <v>0</v>
      </c>
      <c r="E285" s="3">
        <f>ROUND(Table1[[#This Row],[Beginning Balance]]*Table1[[#This Row],[Monthly Interest Rate]],2)</f>
        <v>0</v>
      </c>
      <c r="F285" s="3">
        <f t="shared" si="18"/>
        <v>83</v>
      </c>
      <c r="G285" s="23">
        <f>IFERROR(IF($C$13="No","N/A",IF(Table1[[#This Row],[Period]]=1,$C$6,PMT(InterestRate*AmortizationMultiplier/12,Table1[[#This Row],[Am Thru]],-Table1[[#This Row],[Beginning Balance]]))),0)</f>
        <v>0</v>
      </c>
      <c r="H285" s="3">
        <f>MAX(0,IF(C285=$C$4,D285,ROUND(IF($C$3="Fixed Principal",$C$6-Table1[[#This Row],[Interest]],IF($C$3="Interest Only",Table1[[#This Row],[Beginning Balance]]*ROUND(1-(1-IF($C$11="No",$E$8,1))^(1/12),6),MIN(IF($C$13="Yes",Table1[[#This Row],[Payment Amount (Reamortized)]],$C$6)-Table1[[#This Row],[Interest]],Table1[[#This Row],[Beginning Balance]]))),2)))</f>
        <v>0</v>
      </c>
      <c r="I285" s="3">
        <f>_xlfn.SINGLE(IF($C$3="Line of Credit",0,ROUND(MAX(MIN(IF($C$10="No",$E$7,VLOOKUP(Table1[[#This Row],[Period]],Forecast!$H$2:$L$1048576,4,FALSE))*Table1[[#This Row],[Beginning Balance]],Table1[[#This Row],[Beginning Balance]]-Table1[[#This Row],[Principal]]),0),2)))</f>
        <v>0</v>
      </c>
      <c r="J285" s="3">
        <f>ROUND(MIN(Table1[[#This Row],[Beginning Balance]]*IF($C$8="No",$E$3,VLOOKUP(Table1[[#This Row],[Period]],Forecast!$H$2:$L$1048576,2,FALSE)),Table1[[#This Row],[Beginning Balance]]-Table1[[#This Row],[Principal]]-Table1[[#This Row],[Prepayments]]),2)</f>
        <v>0</v>
      </c>
      <c r="K285" s="3">
        <f>ROUND(Table1[[#This Row],[Defaulted Principal]]*IF($C$9="No",$E$4,VLOOKUP(Table1[[#This Row],[Period]],Forecast!$H$2:$L$1048576,3,FALSE)),2)</f>
        <v>0</v>
      </c>
      <c r="L285" s="2">
        <f>Table1[[#This Row],[Period]]+$E$9</f>
        <v>281</v>
      </c>
      <c r="M285" s="3">
        <f>Table1[[#This Row],[Defaulted Principal]]-Table1[[#This Row],[Estimated Loss]]</f>
        <v>0</v>
      </c>
      <c r="N285" s="3">
        <f>IFERROR(VLOOKUP(Table1[[#This Row],[Period]],$L$16:$M$385,2,FALSE),0)</f>
        <v>0</v>
      </c>
      <c r="O285" s="3">
        <f>Table1[[#This Row],[Beginning Balance]]-Table1[[#This Row],[Principal]]-Table1[[#This Row],[Prepayments]]-Table1[[#This Row],[Defaulted Principal]]</f>
        <v>0</v>
      </c>
      <c r="P285" s="3">
        <f>Table1[[#This Row],[Principal]]+Table1[[#This Row],[Interest]]+Table1[[#This Row],[Prepayments]]+Table1[[#This Row],[RecoveredAmount]]</f>
        <v>0</v>
      </c>
      <c r="Q285" s="3">
        <f ca="1">Table1[[#This Row],[Cash Flow]]/((1+ActualRateToUse)^(IF(ISNUMBER(SEARCH("Actual",$C$7)),Table1[[#This Row],[Running Total]]/365,Table1[[#This Row],[Period]]/12)))</f>
        <v>0</v>
      </c>
      <c r="R285" s="2">
        <f>IF(MONTH(Table1[[#This Row],[Date]])=2,28,DAY(DATE(YEAR(Table1[[#This Row],[Date]]),MONTH(Table1[[#This Row],[Date]])+1,1)-1))</f>
        <v>30</v>
      </c>
      <c r="S285" s="2">
        <f ca="1">SUM(OFFSET(Table1[[#Headers],[Days in month]],1,0):Table1[[#This Row],[Days in month]])</f>
        <v>8183</v>
      </c>
      <c r="T285" s="37">
        <f>InterestRate*AmortizationMultiplier*IF(ISNUMBER(SEARCH("Actual",$C$7)),Table1[[#This Row],[Days in month]]/365,1/12)</f>
        <v>5.8749999999999991E-3</v>
      </c>
    </row>
    <row r="286" spans="2:20" x14ac:dyDescent="0.2">
      <c r="B286" s="1">
        <f t="shared" si="16"/>
        <v>54057</v>
      </c>
      <c r="C286" s="2">
        <f t="shared" si="17"/>
        <v>270</v>
      </c>
      <c r="D286" s="3">
        <f t="shared" si="19"/>
        <v>0</v>
      </c>
      <c r="E286" s="3">
        <f>ROUND(Table1[[#This Row],[Beginning Balance]]*Table1[[#This Row],[Monthly Interest Rate]],2)</f>
        <v>0</v>
      </c>
      <c r="F286" s="3">
        <f t="shared" si="18"/>
        <v>82</v>
      </c>
      <c r="G286" s="23">
        <f>IFERROR(IF($C$13="No","N/A",IF(Table1[[#This Row],[Period]]=1,$C$6,PMT(InterestRate*AmortizationMultiplier/12,Table1[[#This Row],[Am Thru]],-Table1[[#This Row],[Beginning Balance]]))),0)</f>
        <v>0</v>
      </c>
      <c r="H286" s="3">
        <f>MAX(0,IF(C286=$C$4,D286,ROUND(IF($C$3="Fixed Principal",$C$6-Table1[[#This Row],[Interest]],IF($C$3="Interest Only",Table1[[#This Row],[Beginning Balance]]*ROUND(1-(1-IF($C$11="No",$E$8,1))^(1/12),6),MIN(IF($C$13="Yes",Table1[[#This Row],[Payment Amount (Reamortized)]],$C$6)-Table1[[#This Row],[Interest]],Table1[[#This Row],[Beginning Balance]]))),2)))</f>
        <v>0</v>
      </c>
      <c r="I286" s="3">
        <f>_xlfn.SINGLE(IF($C$3="Line of Credit",0,ROUND(MAX(MIN(IF($C$10="No",$E$7,VLOOKUP(Table1[[#This Row],[Period]],Forecast!$H$2:$L$1048576,4,FALSE))*Table1[[#This Row],[Beginning Balance]],Table1[[#This Row],[Beginning Balance]]-Table1[[#This Row],[Principal]]),0),2)))</f>
        <v>0</v>
      </c>
      <c r="J286" s="3">
        <f>ROUND(MIN(Table1[[#This Row],[Beginning Balance]]*IF($C$8="No",$E$3,VLOOKUP(Table1[[#This Row],[Period]],Forecast!$H$2:$L$1048576,2,FALSE)),Table1[[#This Row],[Beginning Balance]]-Table1[[#This Row],[Principal]]-Table1[[#This Row],[Prepayments]]),2)</f>
        <v>0</v>
      </c>
      <c r="K286" s="3">
        <f>ROUND(Table1[[#This Row],[Defaulted Principal]]*IF($C$9="No",$E$4,VLOOKUP(Table1[[#This Row],[Period]],Forecast!$H$2:$L$1048576,3,FALSE)),2)</f>
        <v>0</v>
      </c>
      <c r="L286" s="2">
        <f>Table1[[#This Row],[Period]]+$E$9</f>
        <v>282</v>
      </c>
      <c r="M286" s="3">
        <f>Table1[[#This Row],[Defaulted Principal]]-Table1[[#This Row],[Estimated Loss]]</f>
        <v>0</v>
      </c>
      <c r="N286" s="3">
        <f>IFERROR(VLOOKUP(Table1[[#This Row],[Period]],$L$16:$M$385,2,FALSE),0)</f>
        <v>0</v>
      </c>
      <c r="O286" s="3">
        <f>Table1[[#This Row],[Beginning Balance]]-Table1[[#This Row],[Principal]]-Table1[[#This Row],[Prepayments]]-Table1[[#This Row],[Defaulted Principal]]</f>
        <v>0</v>
      </c>
      <c r="P286" s="3">
        <f>Table1[[#This Row],[Principal]]+Table1[[#This Row],[Interest]]+Table1[[#This Row],[Prepayments]]+Table1[[#This Row],[RecoveredAmount]]</f>
        <v>0</v>
      </c>
      <c r="Q286" s="3">
        <f ca="1">Table1[[#This Row],[Cash Flow]]/((1+ActualRateToUse)^(IF(ISNUMBER(SEARCH("Actual",$C$7)),Table1[[#This Row],[Running Total]]/365,Table1[[#This Row],[Period]]/12)))</f>
        <v>0</v>
      </c>
      <c r="R286" s="2">
        <f>IF(MONTH(Table1[[#This Row],[Date]])=2,28,DAY(DATE(YEAR(Table1[[#This Row],[Date]]),MONTH(Table1[[#This Row],[Date]])+1,1)-1))</f>
        <v>31</v>
      </c>
      <c r="S286" s="2">
        <f ca="1">SUM(OFFSET(Table1[[#Headers],[Days in month]],1,0):Table1[[#This Row],[Days in month]])</f>
        <v>8214</v>
      </c>
      <c r="T286" s="37">
        <f>InterestRate*AmortizationMultiplier*IF(ISNUMBER(SEARCH("Actual",$C$7)),Table1[[#This Row],[Days in month]]/365,1/12)</f>
        <v>6.0708333333333326E-3</v>
      </c>
    </row>
    <row r="287" spans="2:20" x14ac:dyDescent="0.2">
      <c r="B287" s="1">
        <f t="shared" si="16"/>
        <v>54088</v>
      </c>
      <c r="C287" s="2">
        <f t="shared" si="17"/>
        <v>271</v>
      </c>
      <c r="D287" s="3">
        <f t="shared" si="19"/>
        <v>0</v>
      </c>
      <c r="E287" s="3">
        <f>ROUND(Table1[[#This Row],[Beginning Balance]]*Table1[[#This Row],[Monthly Interest Rate]],2)</f>
        <v>0</v>
      </c>
      <c r="F287" s="3">
        <f t="shared" si="18"/>
        <v>81</v>
      </c>
      <c r="G287" s="23">
        <f>IFERROR(IF($C$13="No","N/A",IF(Table1[[#This Row],[Period]]=1,$C$6,PMT(InterestRate*AmortizationMultiplier/12,Table1[[#This Row],[Am Thru]],-Table1[[#This Row],[Beginning Balance]]))),0)</f>
        <v>0</v>
      </c>
      <c r="H287" s="3">
        <f>MAX(0,IF(C287=$C$4,D287,ROUND(IF($C$3="Fixed Principal",$C$6-Table1[[#This Row],[Interest]],IF($C$3="Interest Only",Table1[[#This Row],[Beginning Balance]]*ROUND(1-(1-IF($C$11="No",$E$8,1))^(1/12),6),MIN(IF($C$13="Yes",Table1[[#This Row],[Payment Amount (Reamortized)]],$C$6)-Table1[[#This Row],[Interest]],Table1[[#This Row],[Beginning Balance]]))),2)))</f>
        <v>0</v>
      </c>
      <c r="I287" s="3">
        <f>_xlfn.SINGLE(IF($C$3="Line of Credit",0,ROUND(MAX(MIN(IF($C$10="No",$E$7,VLOOKUP(Table1[[#This Row],[Period]],Forecast!$H$2:$L$1048576,4,FALSE))*Table1[[#This Row],[Beginning Balance]],Table1[[#This Row],[Beginning Balance]]-Table1[[#This Row],[Principal]]),0),2)))</f>
        <v>0</v>
      </c>
      <c r="J287" s="3">
        <f>ROUND(MIN(Table1[[#This Row],[Beginning Balance]]*IF($C$8="No",$E$3,VLOOKUP(Table1[[#This Row],[Period]],Forecast!$H$2:$L$1048576,2,FALSE)),Table1[[#This Row],[Beginning Balance]]-Table1[[#This Row],[Principal]]-Table1[[#This Row],[Prepayments]]),2)</f>
        <v>0</v>
      </c>
      <c r="K287" s="3">
        <f>ROUND(Table1[[#This Row],[Defaulted Principal]]*IF($C$9="No",$E$4,VLOOKUP(Table1[[#This Row],[Period]],Forecast!$H$2:$L$1048576,3,FALSE)),2)</f>
        <v>0</v>
      </c>
      <c r="L287" s="2">
        <f>Table1[[#This Row],[Period]]+$E$9</f>
        <v>283</v>
      </c>
      <c r="M287" s="3">
        <f>Table1[[#This Row],[Defaulted Principal]]-Table1[[#This Row],[Estimated Loss]]</f>
        <v>0</v>
      </c>
      <c r="N287" s="3">
        <f>IFERROR(VLOOKUP(Table1[[#This Row],[Period]],$L$16:$M$385,2,FALSE),0)</f>
        <v>0</v>
      </c>
      <c r="O287" s="3">
        <f>Table1[[#This Row],[Beginning Balance]]-Table1[[#This Row],[Principal]]-Table1[[#This Row],[Prepayments]]-Table1[[#This Row],[Defaulted Principal]]</f>
        <v>0</v>
      </c>
      <c r="P287" s="3">
        <f>Table1[[#This Row],[Principal]]+Table1[[#This Row],[Interest]]+Table1[[#This Row],[Prepayments]]+Table1[[#This Row],[RecoveredAmount]]</f>
        <v>0</v>
      </c>
      <c r="Q287" s="3">
        <f ca="1">Table1[[#This Row],[Cash Flow]]/((1+ActualRateToUse)^(IF(ISNUMBER(SEARCH("Actual",$C$7)),Table1[[#This Row],[Running Total]]/365,Table1[[#This Row],[Period]]/12)))</f>
        <v>0</v>
      </c>
      <c r="R287" s="2">
        <f>IF(MONTH(Table1[[#This Row],[Date]])=2,28,DAY(DATE(YEAR(Table1[[#This Row],[Date]]),MONTH(Table1[[#This Row],[Date]])+1,1)-1))</f>
        <v>31</v>
      </c>
      <c r="S287" s="2">
        <f ca="1">SUM(OFFSET(Table1[[#Headers],[Days in month]],1,0):Table1[[#This Row],[Days in month]])</f>
        <v>8245</v>
      </c>
      <c r="T287" s="37">
        <f>InterestRate*AmortizationMultiplier*IF(ISNUMBER(SEARCH("Actual",$C$7)),Table1[[#This Row],[Days in month]]/365,1/12)</f>
        <v>6.0708333333333326E-3</v>
      </c>
    </row>
    <row r="288" spans="2:20" x14ac:dyDescent="0.2">
      <c r="B288" s="1">
        <f t="shared" si="16"/>
        <v>54117</v>
      </c>
      <c r="C288" s="2">
        <f t="shared" si="17"/>
        <v>272</v>
      </c>
      <c r="D288" s="3">
        <f t="shared" si="19"/>
        <v>0</v>
      </c>
      <c r="E288" s="3">
        <f>ROUND(Table1[[#This Row],[Beginning Balance]]*Table1[[#This Row],[Monthly Interest Rate]],2)</f>
        <v>0</v>
      </c>
      <c r="F288" s="3">
        <f t="shared" si="18"/>
        <v>80</v>
      </c>
      <c r="G288" s="23">
        <f>IFERROR(IF($C$13="No","N/A",IF(Table1[[#This Row],[Period]]=1,$C$6,PMT(InterestRate*AmortizationMultiplier/12,Table1[[#This Row],[Am Thru]],-Table1[[#This Row],[Beginning Balance]]))),0)</f>
        <v>0</v>
      </c>
      <c r="H288" s="3">
        <f>MAX(0,IF(C288=$C$4,D288,ROUND(IF($C$3="Fixed Principal",$C$6-Table1[[#This Row],[Interest]],IF($C$3="Interest Only",Table1[[#This Row],[Beginning Balance]]*ROUND(1-(1-IF($C$11="No",$E$8,1))^(1/12),6),MIN(IF($C$13="Yes",Table1[[#This Row],[Payment Amount (Reamortized)]],$C$6)-Table1[[#This Row],[Interest]],Table1[[#This Row],[Beginning Balance]]))),2)))</f>
        <v>0</v>
      </c>
      <c r="I288" s="3">
        <f>_xlfn.SINGLE(IF($C$3="Line of Credit",0,ROUND(MAX(MIN(IF($C$10="No",$E$7,VLOOKUP(Table1[[#This Row],[Period]],Forecast!$H$2:$L$1048576,4,FALSE))*Table1[[#This Row],[Beginning Balance]],Table1[[#This Row],[Beginning Balance]]-Table1[[#This Row],[Principal]]),0),2)))</f>
        <v>0</v>
      </c>
      <c r="J288" s="3">
        <f>ROUND(MIN(Table1[[#This Row],[Beginning Balance]]*IF($C$8="No",$E$3,VLOOKUP(Table1[[#This Row],[Period]],Forecast!$H$2:$L$1048576,2,FALSE)),Table1[[#This Row],[Beginning Balance]]-Table1[[#This Row],[Principal]]-Table1[[#This Row],[Prepayments]]),2)</f>
        <v>0</v>
      </c>
      <c r="K288" s="3">
        <f>ROUND(Table1[[#This Row],[Defaulted Principal]]*IF($C$9="No",$E$4,VLOOKUP(Table1[[#This Row],[Period]],Forecast!$H$2:$L$1048576,3,FALSE)),2)</f>
        <v>0</v>
      </c>
      <c r="L288" s="2">
        <f>Table1[[#This Row],[Period]]+$E$9</f>
        <v>284</v>
      </c>
      <c r="M288" s="3">
        <f>Table1[[#This Row],[Defaulted Principal]]-Table1[[#This Row],[Estimated Loss]]</f>
        <v>0</v>
      </c>
      <c r="N288" s="3">
        <f>IFERROR(VLOOKUP(Table1[[#This Row],[Period]],$L$16:$M$385,2,FALSE),0)</f>
        <v>0</v>
      </c>
      <c r="O288" s="3">
        <f>Table1[[#This Row],[Beginning Balance]]-Table1[[#This Row],[Principal]]-Table1[[#This Row],[Prepayments]]-Table1[[#This Row],[Defaulted Principal]]</f>
        <v>0</v>
      </c>
      <c r="P288" s="3">
        <f>Table1[[#This Row],[Principal]]+Table1[[#This Row],[Interest]]+Table1[[#This Row],[Prepayments]]+Table1[[#This Row],[RecoveredAmount]]</f>
        <v>0</v>
      </c>
      <c r="Q288" s="3">
        <f ca="1">Table1[[#This Row],[Cash Flow]]/((1+ActualRateToUse)^(IF(ISNUMBER(SEARCH("Actual",$C$7)),Table1[[#This Row],[Running Total]]/365,Table1[[#This Row],[Period]]/12)))</f>
        <v>0</v>
      </c>
      <c r="R288" s="2">
        <f>IF(MONTH(Table1[[#This Row],[Date]])=2,28,DAY(DATE(YEAR(Table1[[#This Row],[Date]]),MONTH(Table1[[#This Row],[Date]])+1,1)-1))</f>
        <v>28</v>
      </c>
      <c r="S288" s="2">
        <f ca="1">SUM(OFFSET(Table1[[#Headers],[Days in month]],1,0):Table1[[#This Row],[Days in month]])</f>
        <v>8273</v>
      </c>
      <c r="T288" s="37">
        <f>InterestRate*AmortizationMultiplier*IF(ISNUMBER(SEARCH("Actual",$C$7)),Table1[[#This Row],[Days in month]]/365,1/12)</f>
        <v>5.4833333333333331E-3</v>
      </c>
    </row>
    <row r="289" spans="2:20" x14ac:dyDescent="0.2">
      <c r="B289" s="1">
        <f t="shared" si="16"/>
        <v>54148</v>
      </c>
      <c r="C289" s="2">
        <f t="shared" si="17"/>
        <v>273</v>
      </c>
      <c r="D289" s="3">
        <f t="shared" si="19"/>
        <v>0</v>
      </c>
      <c r="E289" s="3">
        <f>ROUND(Table1[[#This Row],[Beginning Balance]]*Table1[[#This Row],[Monthly Interest Rate]],2)</f>
        <v>0</v>
      </c>
      <c r="F289" s="3">
        <f t="shared" si="18"/>
        <v>79</v>
      </c>
      <c r="G289" s="23">
        <f>IFERROR(IF($C$13="No","N/A",IF(Table1[[#This Row],[Period]]=1,$C$6,PMT(InterestRate*AmortizationMultiplier/12,Table1[[#This Row],[Am Thru]],-Table1[[#This Row],[Beginning Balance]]))),0)</f>
        <v>0</v>
      </c>
      <c r="H289" s="3">
        <f>MAX(0,IF(C289=$C$4,D289,ROUND(IF($C$3="Fixed Principal",$C$6-Table1[[#This Row],[Interest]],IF($C$3="Interest Only",Table1[[#This Row],[Beginning Balance]]*ROUND(1-(1-IF($C$11="No",$E$8,1))^(1/12),6),MIN(IF($C$13="Yes",Table1[[#This Row],[Payment Amount (Reamortized)]],$C$6)-Table1[[#This Row],[Interest]],Table1[[#This Row],[Beginning Balance]]))),2)))</f>
        <v>0</v>
      </c>
      <c r="I289" s="3">
        <f>_xlfn.SINGLE(IF($C$3="Line of Credit",0,ROUND(MAX(MIN(IF($C$10="No",$E$7,VLOOKUP(Table1[[#This Row],[Period]],Forecast!$H$2:$L$1048576,4,FALSE))*Table1[[#This Row],[Beginning Balance]],Table1[[#This Row],[Beginning Balance]]-Table1[[#This Row],[Principal]]),0),2)))</f>
        <v>0</v>
      </c>
      <c r="J289" s="3">
        <f>ROUND(MIN(Table1[[#This Row],[Beginning Balance]]*IF($C$8="No",$E$3,VLOOKUP(Table1[[#This Row],[Period]],Forecast!$H$2:$L$1048576,2,FALSE)),Table1[[#This Row],[Beginning Balance]]-Table1[[#This Row],[Principal]]-Table1[[#This Row],[Prepayments]]),2)</f>
        <v>0</v>
      </c>
      <c r="K289" s="3">
        <f>ROUND(Table1[[#This Row],[Defaulted Principal]]*IF($C$9="No",$E$4,VLOOKUP(Table1[[#This Row],[Period]],Forecast!$H$2:$L$1048576,3,FALSE)),2)</f>
        <v>0</v>
      </c>
      <c r="L289" s="2">
        <f>Table1[[#This Row],[Period]]+$E$9</f>
        <v>285</v>
      </c>
      <c r="M289" s="3">
        <f>Table1[[#This Row],[Defaulted Principal]]-Table1[[#This Row],[Estimated Loss]]</f>
        <v>0</v>
      </c>
      <c r="N289" s="3">
        <f>IFERROR(VLOOKUP(Table1[[#This Row],[Period]],$L$16:$M$385,2,FALSE),0)</f>
        <v>0</v>
      </c>
      <c r="O289" s="3">
        <f>Table1[[#This Row],[Beginning Balance]]-Table1[[#This Row],[Principal]]-Table1[[#This Row],[Prepayments]]-Table1[[#This Row],[Defaulted Principal]]</f>
        <v>0</v>
      </c>
      <c r="P289" s="3">
        <f>Table1[[#This Row],[Principal]]+Table1[[#This Row],[Interest]]+Table1[[#This Row],[Prepayments]]+Table1[[#This Row],[RecoveredAmount]]</f>
        <v>0</v>
      </c>
      <c r="Q289" s="3">
        <f ca="1">Table1[[#This Row],[Cash Flow]]/((1+ActualRateToUse)^(IF(ISNUMBER(SEARCH("Actual",$C$7)),Table1[[#This Row],[Running Total]]/365,Table1[[#This Row],[Period]]/12)))</f>
        <v>0</v>
      </c>
      <c r="R289" s="2">
        <f>IF(MONTH(Table1[[#This Row],[Date]])=2,28,DAY(DATE(YEAR(Table1[[#This Row],[Date]]),MONTH(Table1[[#This Row],[Date]])+1,1)-1))</f>
        <v>31</v>
      </c>
      <c r="S289" s="2">
        <f ca="1">SUM(OFFSET(Table1[[#Headers],[Days in month]],1,0):Table1[[#This Row],[Days in month]])</f>
        <v>8304</v>
      </c>
      <c r="T289" s="37">
        <f>InterestRate*AmortizationMultiplier*IF(ISNUMBER(SEARCH("Actual",$C$7)),Table1[[#This Row],[Days in month]]/365,1/12)</f>
        <v>6.0708333333333326E-3</v>
      </c>
    </row>
    <row r="290" spans="2:20" x14ac:dyDescent="0.2">
      <c r="B290" s="1">
        <f t="shared" si="16"/>
        <v>54178</v>
      </c>
      <c r="C290" s="2">
        <f t="shared" si="17"/>
        <v>274</v>
      </c>
      <c r="D290" s="3">
        <f t="shared" si="19"/>
        <v>0</v>
      </c>
      <c r="E290" s="3">
        <f>ROUND(Table1[[#This Row],[Beginning Balance]]*Table1[[#This Row],[Monthly Interest Rate]],2)</f>
        <v>0</v>
      </c>
      <c r="F290" s="3">
        <f t="shared" si="18"/>
        <v>78</v>
      </c>
      <c r="G290" s="23">
        <f>IFERROR(IF($C$13="No","N/A",IF(Table1[[#This Row],[Period]]=1,$C$6,PMT(InterestRate*AmortizationMultiplier/12,Table1[[#This Row],[Am Thru]],-Table1[[#This Row],[Beginning Balance]]))),0)</f>
        <v>0</v>
      </c>
      <c r="H290" s="3">
        <f>MAX(0,IF(C290=$C$4,D290,ROUND(IF($C$3="Fixed Principal",$C$6-Table1[[#This Row],[Interest]],IF($C$3="Interest Only",Table1[[#This Row],[Beginning Balance]]*ROUND(1-(1-IF($C$11="No",$E$8,1))^(1/12),6),MIN(IF($C$13="Yes",Table1[[#This Row],[Payment Amount (Reamortized)]],$C$6)-Table1[[#This Row],[Interest]],Table1[[#This Row],[Beginning Balance]]))),2)))</f>
        <v>0</v>
      </c>
      <c r="I290" s="3">
        <f>_xlfn.SINGLE(IF($C$3="Line of Credit",0,ROUND(MAX(MIN(IF($C$10="No",$E$7,VLOOKUP(Table1[[#This Row],[Period]],Forecast!$H$2:$L$1048576,4,FALSE))*Table1[[#This Row],[Beginning Balance]],Table1[[#This Row],[Beginning Balance]]-Table1[[#This Row],[Principal]]),0),2)))</f>
        <v>0</v>
      </c>
      <c r="J290" s="3">
        <f>ROUND(MIN(Table1[[#This Row],[Beginning Balance]]*IF($C$8="No",$E$3,VLOOKUP(Table1[[#This Row],[Period]],Forecast!$H$2:$L$1048576,2,FALSE)),Table1[[#This Row],[Beginning Balance]]-Table1[[#This Row],[Principal]]-Table1[[#This Row],[Prepayments]]),2)</f>
        <v>0</v>
      </c>
      <c r="K290" s="3">
        <f>ROUND(Table1[[#This Row],[Defaulted Principal]]*IF($C$9="No",$E$4,VLOOKUP(Table1[[#This Row],[Period]],Forecast!$H$2:$L$1048576,3,FALSE)),2)</f>
        <v>0</v>
      </c>
      <c r="L290" s="2">
        <f>Table1[[#This Row],[Period]]+$E$9</f>
        <v>286</v>
      </c>
      <c r="M290" s="3">
        <f>Table1[[#This Row],[Defaulted Principal]]-Table1[[#This Row],[Estimated Loss]]</f>
        <v>0</v>
      </c>
      <c r="N290" s="3">
        <f>IFERROR(VLOOKUP(Table1[[#This Row],[Period]],$L$16:$M$385,2,FALSE),0)</f>
        <v>0</v>
      </c>
      <c r="O290" s="3">
        <f>Table1[[#This Row],[Beginning Balance]]-Table1[[#This Row],[Principal]]-Table1[[#This Row],[Prepayments]]-Table1[[#This Row],[Defaulted Principal]]</f>
        <v>0</v>
      </c>
      <c r="P290" s="3">
        <f>Table1[[#This Row],[Principal]]+Table1[[#This Row],[Interest]]+Table1[[#This Row],[Prepayments]]+Table1[[#This Row],[RecoveredAmount]]</f>
        <v>0</v>
      </c>
      <c r="Q290" s="3">
        <f ca="1">Table1[[#This Row],[Cash Flow]]/((1+ActualRateToUse)^(IF(ISNUMBER(SEARCH("Actual",$C$7)),Table1[[#This Row],[Running Total]]/365,Table1[[#This Row],[Period]]/12)))</f>
        <v>0</v>
      </c>
      <c r="R290" s="2">
        <f>IF(MONTH(Table1[[#This Row],[Date]])=2,28,DAY(DATE(YEAR(Table1[[#This Row],[Date]]),MONTH(Table1[[#This Row],[Date]])+1,1)-1))</f>
        <v>30</v>
      </c>
      <c r="S290" s="2">
        <f ca="1">SUM(OFFSET(Table1[[#Headers],[Days in month]],1,0):Table1[[#This Row],[Days in month]])</f>
        <v>8334</v>
      </c>
      <c r="T290" s="37">
        <f>InterestRate*AmortizationMultiplier*IF(ISNUMBER(SEARCH("Actual",$C$7)),Table1[[#This Row],[Days in month]]/365,1/12)</f>
        <v>5.8749999999999991E-3</v>
      </c>
    </row>
    <row r="291" spans="2:20" x14ac:dyDescent="0.2">
      <c r="B291" s="1">
        <f t="shared" si="16"/>
        <v>54209</v>
      </c>
      <c r="C291" s="2">
        <f t="shared" si="17"/>
        <v>275</v>
      </c>
      <c r="D291" s="3">
        <f t="shared" si="19"/>
        <v>0</v>
      </c>
      <c r="E291" s="3">
        <f>ROUND(Table1[[#This Row],[Beginning Balance]]*Table1[[#This Row],[Monthly Interest Rate]],2)</f>
        <v>0</v>
      </c>
      <c r="F291" s="3">
        <f t="shared" si="18"/>
        <v>77</v>
      </c>
      <c r="G291" s="23">
        <f>IFERROR(IF($C$13="No","N/A",IF(Table1[[#This Row],[Period]]=1,$C$6,PMT(InterestRate*AmortizationMultiplier/12,Table1[[#This Row],[Am Thru]],-Table1[[#This Row],[Beginning Balance]]))),0)</f>
        <v>0</v>
      </c>
      <c r="H291" s="3">
        <f>MAX(0,IF(C291=$C$4,D291,ROUND(IF($C$3="Fixed Principal",$C$6-Table1[[#This Row],[Interest]],IF($C$3="Interest Only",Table1[[#This Row],[Beginning Balance]]*ROUND(1-(1-IF($C$11="No",$E$8,1))^(1/12),6),MIN(IF($C$13="Yes",Table1[[#This Row],[Payment Amount (Reamortized)]],$C$6)-Table1[[#This Row],[Interest]],Table1[[#This Row],[Beginning Balance]]))),2)))</f>
        <v>0</v>
      </c>
      <c r="I291" s="3">
        <f>_xlfn.SINGLE(IF($C$3="Line of Credit",0,ROUND(MAX(MIN(IF($C$10="No",$E$7,VLOOKUP(Table1[[#This Row],[Period]],Forecast!$H$2:$L$1048576,4,FALSE))*Table1[[#This Row],[Beginning Balance]],Table1[[#This Row],[Beginning Balance]]-Table1[[#This Row],[Principal]]),0),2)))</f>
        <v>0</v>
      </c>
      <c r="J291" s="3">
        <f>ROUND(MIN(Table1[[#This Row],[Beginning Balance]]*IF($C$8="No",$E$3,VLOOKUP(Table1[[#This Row],[Period]],Forecast!$H$2:$L$1048576,2,FALSE)),Table1[[#This Row],[Beginning Balance]]-Table1[[#This Row],[Principal]]-Table1[[#This Row],[Prepayments]]),2)</f>
        <v>0</v>
      </c>
      <c r="K291" s="3">
        <f>ROUND(Table1[[#This Row],[Defaulted Principal]]*IF($C$9="No",$E$4,VLOOKUP(Table1[[#This Row],[Period]],Forecast!$H$2:$L$1048576,3,FALSE)),2)</f>
        <v>0</v>
      </c>
      <c r="L291" s="2">
        <f>Table1[[#This Row],[Period]]+$E$9</f>
        <v>287</v>
      </c>
      <c r="M291" s="3">
        <f>Table1[[#This Row],[Defaulted Principal]]-Table1[[#This Row],[Estimated Loss]]</f>
        <v>0</v>
      </c>
      <c r="N291" s="3">
        <f>IFERROR(VLOOKUP(Table1[[#This Row],[Period]],$L$16:$M$385,2,FALSE),0)</f>
        <v>0</v>
      </c>
      <c r="O291" s="3">
        <f>Table1[[#This Row],[Beginning Balance]]-Table1[[#This Row],[Principal]]-Table1[[#This Row],[Prepayments]]-Table1[[#This Row],[Defaulted Principal]]</f>
        <v>0</v>
      </c>
      <c r="P291" s="3">
        <f>Table1[[#This Row],[Principal]]+Table1[[#This Row],[Interest]]+Table1[[#This Row],[Prepayments]]+Table1[[#This Row],[RecoveredAmount]]</f>
        <v>0</v>
      </c>
      <c r="Q291" s="3">
        <f ca="1">Table1[[#This Row],[Cash Flow]]/((1+ActualRateToUse)^(IF(ISNUMBER(SEARCH("Actual",$C$7)),Table1[[#This Row],[Running Total]]/365,Table1[[#This Row],[Period]]/12)))</f>
        <v>0</v>
      </c>
      <c r="R291" s="2">
        <f>IF(MONTH(Table1[[#This Row],[Date]])=2,28,DAY(DATE(YEAR(Table1[[#This Row],[Date]]),MONTH(Table1[[#This Row],[Date]])+1,1)-1))</f>
        <v>31</v>
      </c>
      <c r="S291" s="2">
        <f ca="1">SUM(OFFSET(Table1[[#Headers],[Days in month]],1,0):Table1[[#This Row],[Days in month]])</f>
        <v>8365</v>
      </c>
      <c r="T291" s="37">
        <f>InterestRate*AmortizationMultiplier*IF(ISNUMBER(SEARCH("Actual",$C$7)),Table1[[#This Row],[Days in month]]/365,1/12)</f>
        <v>6.0708333333333326E-3</v>
      </c>
    </row>
    <row r="292" spans="2:20" x14ac:dyDescent="0.2">
      <c r="B292" s="1">
        <f t="shared" si="16"/>
        <v>54239</v>
      </c>
      <c r="C292" s="2">
        <f t="shared" si="17"/>
        <v>276</v>
      </c>
      <c r="D292" s="3">
        <f t="shared" si="19"/>
        <v>0</v>
      </c>
      <c r="E292" s="3">
        <f>ROUND(Table1[[#This Row],[Beginning Balance]]*Table1[[#This Row],[Monthly Interest Rate]],2)</f>
        <v>0</v>
      </c>
      <c r="F292" s="3">
        <f t="shared" si="18"/>
        <v>76</v>
      </c>
      <c r="G292" s="23">
        <f>IFERROR(IF($C$13="No","N/A",IF(Table1[[#This Row],[Period]]=1,$C$6,PMT(InterestRate*AmortizationMultiplier/12,Table1[[#This Row],[Am Thru]],-Table1[[#This Row],[Beginning Balance]]))),0)</f>
        <v>0</v>
      </c>
      <c r="H292" s="3">
        <f>MAX(0,IF(C292=$C$4,D292,ROUND(IF($C$3="Fixed Principal",$C$6-Table1[[#This Row],[Interest]],IF($C$3="Interest Only",Table1[[#This Row],[Beginning Balance]]*ROUND(1-(1-IF($C$11="No",$E$8,1))^(1/12),6),MIN(IF($C$13="Yes",Table1[[#This Row],[Payment Amount (Reamortized)]],$C$6)-Table1[[#This Row],[Interest]],Table1[[#This Row],[Beginning Balance]]))),2)))</f>
        <v>0</v>
      </c>
      <c r="I292" s="3">
        <f>_xlfn.SINGLE(IF($C$3="Line of Credit",0,ROUND(MAX(MIN(IF($C$10="No",$E$7,VLOOKUP(Table1[[#This Row],[Period]],Forecast!$H$2:$L$1048576,4,FALSE))*Table1[[#This Row],[Beginning Balance]],Table1[[#This Row],[Beginning Balance]]-Table1[[#This Row],[Principal]]),0),2)))</f>
        <v>0</v>
      </c>
      <c r="J292" s="3">
        <f>ROUND(MIN(Table1[[#This Row],[Beginning Balance]]*IF($C$8="No",$E$3,VLOOKUP(Table1[[#This Row],[Period]],Forecast!$H$2:$L$1048576,2,FALSE)),Table1[[#This Row],[Beginning Balance]]-Table1[[#This Row],[Principal]]-Table1[[#This Row],[Prepayments]]),2)</f>
        <v>0</v>
      </c>
      <c r="K292" s="3">
        <f>ROUND(Table1[[#This Row],[Defaulted Principal]]*IF($C$9="No",$E$4,VLOOKUP(Table1[[#This Row],[Period]],Forecast!$H$2:$L$1048576,3,FALSE)),2)</f>
        <v>0</v>
      </c>
      <c r="L292" s="2">
        <f>Table1[[#This Row],[Period]]+$E$9</f>
        <v>288</v>
      </c>
      <c r="M292" s="3">
        <f>Table1[[#This Row],[Defaulted Principal]]-Table1[[#This Row],[Estimated Loss]]</f>
        <v>0</v>
      </c>
      <c r="N292" s="3">
        <f>IFERROR(VLOOKUP(Table1[[#This Row],[Period]],$L$16:$M$385,2,FALSE),0)</f>
        <v>0</v>
      </c>
      <c r="O292" s="3">
        <f>Table1[[#This Row],[Beginning Balance]]-Table1[[#This Row],[Principal]]-Table1[[#This Row],[Prepayments]]-Table1[[#This Row],[Defaulted Principal]]</f>
        <v>0</v>
      </c>
      <c r="P292" s="3">
        <f>Table1[[#This Row],[Principal]]+Table1[[#This Row],[Interest]]+Table1[[#This Row],[Prepayments]]+Table1[[#This Row],[RecoveredAmount]]</f>
        <v>0</v>
      </c>
      <c r="Q292" s="3">
        <f ca="1">Table1[[#This Row],[Cash Flow]]/((1+ActualRateToUse)^(IF(ISNUMBER(SEARCH("Actual",$C$7)),Table1[[#This Row],[Running Total]]/365,Table1[[#This Row],[Period]]/12)))</f>
        <v>0</v>
      </c>
      <c r="R292" s="2">
        <f>IF(MONTH(Table1[[#This Row],[Date]])=2,28,DAY(DATE(YEAR(Table1[[#This Row],[Date]]),MONTH(Table1[[#This Row],[Date]])+1,1)-1))</f>
        <v>30</v>
      </c>
      <c r="S292" s="2">
        <f ca="1">SUM(OFFSET(Table1[[#Headers],[Days in month]],1,0):Table1[[#This Row],[Days in month]])</f>
        <v>8395</v>
      </c>
      <c r="T292" s="37">
        <f>InterestRate*AmortizationMultiplier*IF(ISNUMBER(SEARCH("Actual",$C$7)),Table1[[#This Row],[Days in month]]/365,1/12)</f>
        <v>5.8749999999999991E-3</v>
      </c>
    </row>
    <row r="293" spans="2:20" x14ac:dyDescent="0.2">
      <c r="B293" s="1">
        <f t="shared" si="16"/>
        <v>54270</v>
      </c>
      <c r="C293" s="2">
        <f t="shared" si="17"/>
        <v>277</v>
      </c>
      <c r="D293" s="3">
        <f t="shared" si="19"/>
        <v>0</v>
      </c>
      <c r="E293" s="3">
        <f>ROUND(Table1[[#This Row],[Beginning Balance]]*Table1[[#This Row],[Monthly Interest Rate]],2)</f>
        <v>0</v>
      </c>
      <c r="F293" s="3">
        <f t="shared" si="18"/>
        <v>75</v>
      </c>
      <c r="G293" s="23">
        <f>IFERROR(IF($C$13="No","N/A",IF(Table1[[#This Row],[Period]]=1,$C$6,PMT(InterestRate*AmortizationMultiplier/12,Table1[[#This Row],[Am Thru]],-Table1[[#This Row],[Beginning Balance]]))),0)</f>
        <v>0</v>
      </c>
      <c r="H293" s="3">
        <f>MAX(0,IF(C293=$C$4,D293,ROUND(IF($C$3="Fixed Principal",$C$6-Table1[[#This Row],[Interest]],IF($C$3="Interest Only",Table1[[#This Row],[Beginning Balance]]*ROUND(1-(1-IF($C$11="No",$E$8,1))^(1/12),6),MIN(IF($C$13="Yes",Table1[[#This Row],[Payment Amount (Reamortized)]],$C$6)-Table1[[#This Row],[Interest]],Table1[[#This Row],[Beginning Balance]]))),2)))</f>
        <v>0</v>
      </c>
      <c r="I293" s="3">
        <f>_xlfn.SINGLE(IF($C$3="Line of Credit",0,ROUND(MAX(MIN(IF($C$10="No",$E$7,VLOOKUP(Table1[[#This Row],[Period]],Forecast!$H$2:$L$1048576,4,FALSE))*Table1[[#This Row],[Beginning Balance]],Table1[[#This Row],[Beginning Balance]]-Table1[[#This Row],[Principal]]),0),2)))</f>
        <v>0</v>
      </c>
      <c r="J293" s="3">
        <f>ROUND(MIN(Table1[[#This Row],[Beginning Balance]]*IF($C$8="No",$E$3,VLOOKUP(Table1[[#This Row],[Period]],Forecast!$H$2:$L$1048576,2,FALSE)),Table1[[#This Row],[Beginning Balance]]-Table1[[#This Row],[Principal]]-Table1[[#This Row],[Prepayments]]),2)</f>
        <v>0</v>
      </c>
      <c r="K293" s="3">
        <f>ROUND(Table1[[#This Row],[Defaulted Principal]]*IF($C$9="No",$E$4,VLOOKUP(Table1[[#This Row],[Period]],Forecast!$H$2:$L$1048576,3,FALSE)),2)</f>
        <v>0</v>
      </c>
      <c r="L293" s="2">
        <f>Table1[[#This Row],[Period]]+$E$9</f>
        <v>289</v>
      </c>
      <c r="M293" s="3">
        <f>Table1[[#This Row],[Defaulted Principal]]-Table1[[#This Row],[Estimated Loss]]</f>
        <v>0</v>
      </c>
      <c r="N293" s="3">
        <f>IFERROR(VLOOKUP(Table1[[#This Row],[Period]],$L$16:$M$385,2,FALSE),0)</f>
        <v>0</v>
      </c>
      <c r="O293" s="3">
        <f>Table1[[#This Row],[Beginning Balance]]-Table1[[#This Row],[Principal]]-Table1[[#This Row],[Prepayments]]-Table1[[#This Row],[Defaulted Principal]]</f>
        <v>0</v>
      </c>
      <c r="P293" s="3">
        <f>Table1[[#This Row],[Principal]]+Table1[[#This Row],[Interest]]+Table1[[#This Row],[Prepayments]]+Table1[[#This Row],[RecoveredAmount]]</f>
        <v>0</v>
      </c>
      <c r="Q293" s="3">
        <f ca="1">Table1[[#This Row],[Cash Flow]]/((1+ActualRateToUse)^(IF(ISNUMBER(SEARCH("Actual",$C$7)),Table1[[#This Row],[Running Total]]/365,Table1[[#This Row],[Period]]/12)))</f>
        <v>0</v>
      </c>
      <c r="R293" s="2">
        <f>IF(MONTH(Table1[[#This Row],[Date]])=2,28,DAY(DATE(YEAR(Table1[[#This Row],[Date]]),MONTH(Table1[[#This Row],[Date]])+1,1)-1))</f>
        <v>31</v>
      </c>
      <c r="S293" s="2">
        <f ca="1">SUM(OFFSET(Table1[[#Headers],[Days in month]],1,0):Table1[[#This Row],[Days in month]])</f>
        <v>8426</v>
      </c>
      <c r="T293" s="37">
        <f>InterestRate*AmortizationMultiplier*IF(ISNUMBER(SEARCH("Actual",$C$7)),Table1[[#This Row],[Days in month]]/365,1/12)</f>
        <v>6.0708333333333326E-3</v>
      </c>
    </row>
    <row r="294" spans="2:20" x14ac:dyDescent="0.2">
      <c r="B294" s="1">
        <f t="shared" si="16"/>
        <v>54301</v>
      </c>
      <c r="C294" s="2">
        <f t="shared" si="17"/>
        <v>278</v>
      </c>
      <c r="D294" s="3">
        <f t="shared" si="19"/>
        <v>0</v>
      </c>
      <c r="E294" s="3">
        <f>ROUND(Table1[[#This Row],[Beginning Balance]]*Table1[[#This Row],[Monthly Interest Rate]],2)</f>
        <v>0</v>
      </c>
      <c r="F294" s="3">
        <f t="shared" si="18"/>
        <v>74</v>
      </c>
      <c r="G294" s="23">
        <f>IFERROR(IF($C$13="No","N/A",IF(Table1[[#This Row],[Period]]=1,$C$6,PMT(InterestRate*AmortizationMultiplier/12,Table1[[#This Row],[Am Thru]],-Table1[[#This Row],[Beginning Balance]]))),0)</f>
        <v>0</v>
      </c>
      <c r="H294" s="3">
        <f>MAX(0,IF(C294=$C$4,D294,ROUND(IF($C$3="Fixed Principal",$C$6-Table1[[#This Row],[Interest]],IF($C$3="Interest Only",Table1[[#This Row],[Beginning Balance]]*ROUND(1-(1-IF($C$11="No",$E$8,1))^(1/12),6),MIN(IF($C$13="Yes",Table1[[#This Row],[Payment Amount (Reamortized)]],$C$6)-Table1[[#This Row],[Interest]],Table1[[#This Row],[Beginning Balance]]))),2)))</f>
        <v>0</v>
      </c>
      <c r="I294" s="3">
        <f>_xlfn.SINGLE(IF($C$3="Line of Credit",0,ROUND(MAX(MIN(IF($C$10="No",$E$7,VLOOKUP(Table1[[#This Row],[Period]],Forecast!$H$2:$L$1048576,4,FALSE))*Table1[[#This Row],[Beginning Balance]],Table1[[#This Row],[Beginning Balance]]-Table1[[#This Row],[Principal]]),0),2)))</f>
        <v>0</v>
      </c>
      <c r="J294" s="3">
        <f>ROUND(MIN(Table1[[#This Row],[Beginning Balance]]*IF($C$8="No",$E$3,VLOOKUP(Table1[[#This Row],[Period]],Forecast!$H$2:$L$1048576,2,FALSE)),Table1[[#This Row],[Beginning Balance]]-Table1[[#This Row],[Principal]]-Table1[[#This Row],[Prepayments]]),2)</f>
        <v>0</v>
      </c>
      <c r="K294" s="3">
        <f>ROUND(Table1[[#This Row],[Defaulted Principal]]*IF($C$9="No",$E$4,VLOOKUP(Table1[[#This Row],[Period]],Forecast!$H$2:$L$1048576,3,FALSE)),2)</f>
        <v>0</v>
      </c>
      <c r="L294" s="2">
        <f>Table1[[#This Row],[Period]]+$E$9</f>
        <v>290</v>
      </c>
      <c r="M294" s="3">
        <f>Table1[[#This Row],[Defaulted Principal]]-Table1[[#This Row],[Estimated Loss]]</f>
        <v>0</v>
      </c>
      <c r="N294" s="3">
        <f>IFERROR(VLOOKUP(Table1[[#This Row],[Period]],$L$16:$M$385,2,FALSE),0)</f>
        <v>0</v>
      </c>
      <c r="O294" s="3">
        <f>Table1[[#This Row],[Beginning Balance]]-Table1[[#This Row],[Principal]]-Table1[[#This Row],[Prepayments]]-Table1[[#This Row],[Defaulted Principal]]</f>
        <v>0</v>
      </c>
      <c r="P294" s="3">
        <f>Table1[[#This Row],[Principal]]+Table1[[#This Row],[Interest]]+Table1[[#This Row],[Prepayments]]+Table1[[#This Row],[RecoveredAmount]]</f>
        <v>0</v>
      </c>
      <c r="Q294" s="3">
        <f ca="1">Table1[[#This Row],[Cash Flow]]/((1+ActualRateToUse)^(IF(ISNUMBER(SEARCH("Actual",$C$7)),Table1[[#This Row],[Running Total]]/365,Table1[[#This Row],[Period]]/12)))</f>
        <v>0</v>
      </c>
      <c r="R294" s="2">
        <f>IF(MONTH(Table1[[#This Row],[Date]])=2,28,DAY(DATE(YEAR(Table1[[#This Row],[Date]]),MONTH(Table1[[#This Row],[Date]])+1,1)-1))</f>
        <v>31</v>
      </c>
      <c r="S294" s="2">
        <f ca="1">SUM(OFFSET(Table1[[#Headers],[Days in month]],1,0):Table1[[#This Row],[Days in month]])</f>
        <v>8457</v>
      </c>
      <c r="T294" s="37">
        <f>InterestRate*AmortizationMultiplier*IF(ISNUMBER(SEARCH("Actual",$C$7)),Table1[[#This Row],[Days in month]]/365,1/12)</f>
        <v>6.0708333333333326E-3</v>
      </c>
    </row>
    <row r="295" spans="2:20" x14ac:dyDescent="0.2">
      <c r="B295" s="1">
        <f t="shared" si="16"/>
        <v>54331</v>
      </c>
      <c r="C295" s="2">
        <f t="shared" si="17"/>
        <v>279</v>
      </c>
      <c r="D295" s="3">
        <f t="shared" si="19"/>
        <v>0</v>
      </c>
      <c r="E295" s="3">
        <f>ROUND(Table1[[#This Row],[Beginning Balance]]*Table1[[#This Row],[Monthly Interest Rate]],2)</f>
        <v>0</v>
      </c>
      <c r="F295" s="3">
        <f t="shared" si="18"/>
        <v>73</v>
      </c>
      <c r="G295" s="23">
        <f>IFERROR(IF($C$13="No","N/A",IF(Table1[[#This Row],[Period]]=1,$C$6,PMT(InterestRate*AmortizationMultiplier/12,Table1[[#This Row],[Am Thru]],-Table1[[#This Row],[Beginning Balance]]))),0)</f>
        <v>0</v>
      </c>
      <c r="H295" s="3">
        <f>MAX(0,IF(C295=$C$4,D295,ROUND(IF($C$3="Fixed Principal",$C$6-Table1[[#This Row],[Interest]],IF($C$3="Interest Only",Table1[[#This Row],[Beginning Balance]]*ROUND(1-(1-IF($C$11="No",$E$8,1))^(1/12),6),MIN(IF($C$13="Yes",Table1[[#This Row],[Payment Amount (Reamortized)]],$C$6)-Table1[[#This Row],[Interest]],Table1[[#This Row],[Beginning Balance]]))),2)))</f>
        <v>0</v>
      </c>
      <c r="I295" s="3">
        <f>_xlfn.SINGLE(IF($C$3="Line of Credit",0,ROUND(MAX(MIN(IF($C$10="No",$E$7,VLOOKUP(Table1[[#This Row],[Period]],Forecast!$H$2:$L$1048576,4,FALSE))*Table1[[#This Row],[Beginning Balance]],Table1[[#This Row],[Beginning Balance]]-Table1[[#This Row],[Principal]]),0),2)))</f>
        <v>0</v>
      </c>
      <c r="J295" s="3">
        <f>ROUND(MIN(Table1[[#This Row],[Beginning Balance]]*IF($C$8="No",$E$3,VLOOKUP(Table1[[#This Row],[Period]],Forecast!$H$2:$L$1048576,2,FALSE)),Table1[[#This Row],[Beginning Balance]]-Table1[[#This Row],[Principal]]-Table1[[#This Row],[Prepayments]]),2)</f>
        <v>0</v>
      </c>
      <c r="K295" s="3">
        <f>ROUND(Table1[[#This Row],[Defaulted Principal]]*IF($C$9="No",$E$4,VLOOKUP(Table1[[#This Row],[Period]],Forecast!$H$2:$L$1048576,3,FALSE)),2)</f>
        <v>0</v>
      </c>
      <c r="L295" s="2">
        <f>Table1[[#This Row],[Period]]+$E$9</f>
        <v>291</v>
      </c>
      <c r="M295" s="3">
        <f>Table1[[#This Row],[Defaulted Principal]]-Table1[[#This Row],[Estimated Loss]]</f>
        <v>0</v>
      </c>
      <c r="N295" s="3">
        <f>IFERROR(VLOOKUP(Table1[[#This Row],[Period]],$L$16:$M$385,2,FALSE),0)</f>
        <v>0</v>
      </c>
      <c r="O295" s="3">
        <f>Table1[[#This Row],[Beginning Balance]]-Table1[[#This Row],[Principal]]-Table1[[#This Row],[Prepayments]]-Table1[[#This Row],[Defaulted Principal]]</f>
        <v>0</v>
      </c>
      <c r="P295" s="3">
        <f>Table1[[#This Row],[Principal]]+Table1[[#This Row],[Interest]]+Table1[[#This Row],[Prepayments]]+Table1[[#This Row],[RecoveredAmount]]</f>
        <v>0</v>
      </c>
      <c r="Q295" s="3">
        <f ca="1">Table1[[#This Row],[Cash Flow]]/((1+ActualRateToUse)^(IF(ISNUMBER(SEARCH("Actual",$C$7)),Table1[[#This Row],[Running Total]]/365,Table1[[#This Row],[Period]]/12)))</f>
        <v>0</v>
      </c>
      <c r="R295" s="2">
        <f>IF(MONTH(Table1[[#This Row],[Date]])=2,28,DAY(DATE(YEAR(Table1[[#This Row],[Date]]),MONTH(Table1[[#This Row],[Date]])+1,1)-1))</f>
        <v>30</v>
      </c>
      <c r="S295" s="2">
        <f ca="1">SUM(OFFSET(Table1[[#Headers],[Days in month]],1,0):Table1[[#This Row],[Days in month]])</f>
        <v>8487</v>
      </c>
      <c r="T295" s="37">
        <f>InterestRate*AmortizationMultiplier*IF(ISNUMBER(SEARCH("Actual",$C$7)),Table1[[#This Row],[Days in month]]/365,1/12)</f>
        <v>5.8749999999999991E-3</v>
      </c>
    </row>
    <row r="296" spans="2:20" x14ac:dyDescent="0.2">
      <c r="B296" s="1">
        <f t="shared" si="16"/>
        <v>54362</v>
      </c>
      <c r="C296" s="2">
        <f t="shared" si="17"/>
        <v>280</v>
      </c>
      <c r="D296" s="3">
        <f t="shared" si="19"/>
        <v>0</v>
      </c>
      <c r="E296" s="3">
        <f>ROUND(Table1[[#This Row],[Beginning Balance]]*Table1[[#This Row],[Monthly Interest Rate]],2)</f>
        <v>0</v>
      </c>
      <c r="F296" s="3">
        <f t="shared" si="18"/>
        <v>72</v>
      </c>
      <c r="G296" s="23">
        <f>IFERROR(IF($C$13="No","N/A",IF(Table1[[#This Row],[Period]]=1,$C$6,PMT(InterestRate*AmortizationMultiplier/12,Table1[[#This Row],[Am Thru]],-Table1[[#This Row],[Beginning Balance]]))),0)</f>
        <v>0</v>
      </c>
      <c r="H296" s="3">
        <f>MAX(0,IF(C296=$C$4,D296,ROUND(IF($C$3="Fixed Principal",$C$6-Table1[[#This Row],[Interest]],IF($C$3="Interest Only",Table1[[#This Row],[Beginning Balance]]*ROUND(1-(1-IF($C$11="No",$E$8,1))^(1/12),6),MIN(IF($C$13="Yes",Table1[[#This Row],[Payment Amount (Reamortized)]],$C$6)-Table1[[#This Row],[Interest]],Table1[[#This Row],[Beginning Balance]]))),2)))</f>
        <v>0</v>
      </c>
      <c r="I296" s="3">
        <f>_xlfn.SINGLE(IF($C$3="Line of Credit",0,ROUND(MAX(MIN(IF($C$10="No",$E$7,VLOOKUP(Table1[[#This Row],[Period]],Forecast!$H$2:$L$1048576,4,FALSE))*Table1[[#This Row],[Beginning Balance]],Table1[[#This Row],[Beginning Balance]]-Table1[[#This Row],[Principal]]),0),2)))</f>
        <v>0</v>
      </c>
      <c r="J296" s="3">
        <f>ROUND(MIN(Table1[[#This Row],[Beginning Balance]]*IF($C$8="No",$E$3,VLOOKUP(Table1[[#This Row],[Period]],Forecast!$H$2:$L$1048576,2,FALSE)),Table1[[#This Row],[Beginning Balance]]-Table1[[#This Row],[Principal]]-Table1[[#This Row],[Prepayments]]),2)</f>
        <v>0</v>
      </c>
      <c r="K296" s="3">
        <f>ROUND(Table1[[#This Row],[Defaulted Principal]]*IF($C$9="No",$E$4,VLOOKUP(Table1[[#This Row],[Period]],Forecast!$H$2:$L$1048576,3,FALSE)),2)</f>
        <v>0</v>
      </c>
      <c r="L296" s="2">
        <f>Table1[[#This Row],[Period]]+$E$9</f>
        <v>292</v>
      </c>
      <c r="M296" s="3">
        <f>Table1[[#This Row],[Defaulted Principal]]-Table1[[#This Row],[Estimated Loss]]</f>
        <v>0</v>
      </c>
      <c r="N296" s="3">
        <f>IFERROR(VLOOKUP(Table1[[#This Row],[Period]],$L$16:$M$385,2,FALSE),0)</f>
        <v>0</v>
      </c>
      <c r="O296" s="3">
        <f>Table1[[#This Row],[Beginning Balance]]-Table1[[#This Row],[Principal]]-Table1[[#This Row],[Prepayments]]-Table1[[#This Row],[Defaulted Principal]]</f>
        <v>0</v>
      </c>
      <c r="P296" s="3">
        <f>Table1[[#This Row],[Principal]]+Table1[[#This Row],[Interest]]+Table1[[#This Row],[Prepayments]]+Table1[[#This Row],[RecoveredAmount]]</f>
        <v>0</v>
      </c>
      <c r="Q296" s="3">
        <f ca="1">Table1[[#This Row],[Cash Flow]]/((1+ActualRateToUse)^(IF(ISNUMBER(SEARCH("Actual",$C$7)),Table1[[#This Row],[Running Total]]/365,Table1[[#This Row],[Period]]/12)))</f>
        <v>0</v>
      </c>
      <c r="R296" s="2">
        <f>IF(MONTH(Table1[[#This Row],[Date]])=2,28,DAY(DATE(YEAR(Table1[[#This Row],[Date]]),MONTH(Table1[[#This Row],[Date]])+1,1)-1))</f>
        <v>31</v>
      </c>
      <c r="S296" s="2">
        <f ca="1">SUM(OFFSET(Table1[[#Headers],[Days in month]],1,0):Table1[[#This Row],[Days in month]])</f>
        <v>8518</v>
      </c>
      <c r="T296" s="37">
        <f>InterestRate*AmortizationMultiplier*IF(ISNUMBER(SEARCH("Actual",$C$7)),Table1[[#This Row],[Days in month]]/365,1/12)</f>
        <v>6.0708333333333326E-3</v>
      </c>
    </row>
    <row r="297" spans="2:20" x14ac:dyDescent="0.2">
      <c r="B297" s="1">
        <f t="shared" si="16"/>
        <v>54392</v>
      </c>
      <c r="C297" s="2">
        <f t="shared" si="17"/>
        <v>281</v>
      </c>
      <c r="D297" s="3">
        <f t="shared" si="19"/>
        <v>0</v>
      </c>
      <c r="E297" s="3">
        <f>ROUND(Table1[[#This Row],[Beginning Balance]]*Table1[[#This Row],[Monthly Interest Rate]],2)</f>
        <v>0</v>
      </c>
      <c r="F297" s="3">
        <f t="shared" si="18"/>
        <v>71</v>
      </c>
      <c r="G297" s="23">
        <f>IFERROR(IF($C$13="No","N/A",IF(Table1[[#This Row],[Period]]=1,$C$6,PMT(InterestRate*AmortizationMultiplier/12,Table1[[#This Row],[Am Thru]],-Table1[[#This Row],[Beginning Balance]]))),0)</f>
        <v>0</v>
      </c>
      <c r="H297" s="3">
        <f>MAX(0,IF(C297=$C$4,D297,ROUND(IF($C$3="Fixed Principal",$C$6-Table1[[#This Row],[Interest]],IF($C$3="Interest Only",Table1[[#This Row],[Beginning Balance]]*ROUND(1-(1-IF($C$11="No",$E$8,1))^(1/12),6),MIN(IF($C$13="Yes",Table1[[#This Row],[Payment Amount (Reamortized)]],$C$6)-Table1[[#This Row],[Interest]],Table1[[#This Row],[Beginning Balance]]))),2)))</f>
        <v>0</v>
      </c>
      <c r="I297" s="3">
        <f>_xlfn.SINGLE(IF($C$3="Line of Credit",0,ROUND(MAX(MIN(IF($C$10="No",$E$7,VLOOKUP(Table1[[#This Row],[Period]],Forecast!$H$2:$L$1048576,4,FALSE))*Table1[[#This Row],[Beginning Balance]],Table1[[#This Row],[Beginning Balance]]-Table1[[#This Row],[Principal]]),0),2)))</f>
        <v>0</v>
      </c>
      <c r="J297" s="3">
        <f>ROUND(MIN(Table1[[#This Row],[Beginning Balance]]*IF($C$8="No",$E$3,VLOOKUP(Table1[[#This Row],[Period]],Forecast!$H$2:$L$1048576,2,FALSE)),Table1[[#This Row],[Beginning Balance]]-Table1[[#This Row],[Principal]]-Table1[[#This Row],[Prepayments]]),2)</f>
        <v>0</v>
      </c>
      <c r="K297" s="3">
        <f>ROUND(Table1[[#This Row],[Defaulted Principal]]*IF($C$9="No",$E$4,VLOOKUP(Table1[[#This Row],[Period]],Forecast!$H$2:$L$1048576,3,FALSE)),2)</f>
        <v>0</v>
      </c>
      <c r="L297" s="2">
        <f>Table1[[#This Row],[Period]]+$E$9</f>
        <v>293</v>
      </c>
      <c r="M297" s="3">
        <f>Table1[[#This Row],[Defaulted Principal]]-Table1[[#This Row],[Estimated Loss]]</f>
        <v>0</v>
      </c>
      <c r="N297" s="3">
        <f>IFERROR(VLOOKUP(Table1[[#This Row],[Period]],$L$16:$M$385,2,FALSE),0)</f>
        <v>0</v>
      </c>
      <c r="O297" s="3">
        <f>Table1[[#This Row],[Beginning Balance]]-Table1[[#This Row],[Principal]]-Table1[[#This Row],[Prepayments]]-Table1[[#This Row],[Defaulted Principal]]</f>
        <v>0</v>
      </c>
      <c r="P297" s="3">
        <f>Table1[[#This Row],[Principal]]+Table1[[#This Row],[Interest]]+Table1[[#This Row],[Prepayments]]+Table1[[#This Row],[RecoveredAmount]]</f>
        <v>0</v>
      </c>
      <c r="Q297" s="3">
        <f ca="1">Table1[[#This Row],[Cash Flow]]/((1+ActualRateToUse)^(IF(ISNUMBER(SEARCH("Actual",$C$7)),Table1[[#This Row],[Running Total]]/365,Table1[[#This Row],[Period]]/12)))</f>
        <v>0</v>
      </c>
      <c r="R297" s="2">
        <f>IF(MONTH(Table1[[#This Row],[Date]])=2,28,DAY(DATE(YEAR(Table1[[#This Row],[Date]]),MONTH(Table1[[#This Row],[Date]])+1,1)-1))</f>
        <v>30</v>
      </c>
      <c r="S297" s="2">
        <f ca="1">SUM(OFFSET(Table1[[#Headers],[Days in month]],1,0):Table1[[#This Row],[Days in month]])</f>
        <v>8548</v>
      </c>
      <c r="T297" s="37">
        <f>InterestRate*AmortizationMultiplier*IF(ISNUMBER(SEARCH("Actual",$C$7)),Table1[[#This Row],[Days in month]]/365,1/12)</f>
        <v>5.8749999999999991E-3</v>
      </c>
    </row>
    <row r="298" spans="2:20" x14ac:dyDescent="0.2">
      <c r="B298" s="1">
        <f t="shared" si="16"/>
        <v>54423</v>
      </c>
      <c r="C298" s="2">
        <f t="shared" si="17"/>
        <v>282</v>
      </c>
      <c r="D298" s="3">
        <f t="shared" si="19"/>
        <v>0</v>
      </c>
      <c r="E298" s="3">
        <f>ROUND(Table1[[#This Row],[Beginning Balance]]*Table1[[#This Row],[Monthly Interest Rate]],2)</f>
        <v>0</v>
      </c>
      <c r="F298" s="3">
        <f t="shared" si="18"/>
        <v>70</v>
      </c>
      <c r="G298" s="23">
        <f>IFERROR(IF($C$13="No","N/A",IF(Table1[[#This Row],[Period]]=1,$C$6,PMT(InterestRate*AmortizationMultiplier/12,Table1[[#This Row],[Am Thru]],-Table1[[#This Row],[Beginning Balance]]))),0)</f>
        <v>0</v>
      </c>
      <c r="H298" s="3">
        <f>MAX(0,IF(C298=$C$4,D298,ROUND(IF($C$3="Fixed Principal",$C$6-Table1[[#This Row],[Interest]],IF($C$3="Interest Only",Table1[[#This Row],[Beginning Balance]]*ROUND(1-(1-IF($C$11="No",$E$8,1))^(1/12),6),MIN(IF($C$13="Yes",Table1[[#This Row],[Payment Amount (Reamortized)]],$C$6)-Table1[[#This Row],[Interest]],Table1[[#This Row],[Beginning Balance]]))),2)))</f>
        <v>0</v>
      </c>
      <c r="I298" s="3">
        <f>_xlfn.SINGLE(IF($C$3="Line of Credit",0,ROUND(MAX(MIN(IF($C$10="No",$E$7,VLOOKUP(Table1[[#This Row],[Period]],Forecast!$H$2:$L$1048576,4,FALSE))*Table1[[#This Row],[Beginning Balance]],Table1[[#This Row],[Beginning Balance]]-Table1[[#This Row],[Principal]]),0),2)))</f>
        <v>0</v>
      </c>
      <c r="J298" s="3">
        <f>ROUND(MIN(Table1[[#This Row],[Beginning Balance]]*IF($C$8="No",$E$3,VLOOKUP(Table1[[#This Row],[Period]],Forecast!$H$2:$L$1048576,2,FALSE)),Table1[[#This Row],[Beginning Balance]]-Table1[[#This Row],[Principal]]-Table1[[#This Row],[Prepayments]]),2)</f>
        <v>0</v>
      </c>
      <c r="K298" s="3">
        <f>ROUND(Table1[[#This Row],[Defaulted Principal]]*IF($C$9="No",$E$4,VLOOKUP(Table1[[#This Row],[Period]],Forecast!$H$2:$L$1048576,3,FALSE)),2)</f>
        <v>0</v>
      </c>
      <c r="L298" s="2">
        <f>Table1[[#This Row],[Period]]+$E$9</f>
        <v>294</v>
      </c>
      <c r="M298" s="3">
        <f>Table1[[#This Row],[Defaulted Principal]]-Table1[[#This Row],[Estimated Loss]]</f>
        <v>0</v>
      </c>
      <c r="N298" s="3">
        <f>IFERROR(VLOOKUP(Table1[[#This Row],[Period]],$L$16:$M$385,2,FALSE),0)</f>
        <v>0</v>
      </c>
      <c r="O298" s="3">
        <f>Table1[[#This Row],[Beginning Balance]]-Table1[[#This Row],[Principal]]-Table1[[#This Row],[Prepayments]]-Table1[[#This Row],[Defaulted Principal]]</f>
        <v>0</v>
      </c>
      <c r="P298" s="3">
        <f>Table1[[#This Row],[Principal]]+Table1[[#This Row],[Interest]]+Table1[[#This Row],[Prepayments]]+Table1[[#This Row],[RecoveredAmount]]</f>
        <v>0</v>
      </c>
      <c r="Q298" s="3">
        <f ca="1">Table1[[#This Row],[Cash Flow]]/((1+ActualRateToUse)^(IF(ISNUMBER(SEARCH("Actual",$C$7)),Table1[[#This Row],[Running Total]]/365,Table1[[#This Row],[Period]]/12)))</f>
        <v>0</v>
      </c>
      <c r="R298" s="2">
        <f>IF(MONTH(Table1[[#This Row],[Date]])=2,28,DAY(DATE(YEAR(Table1[[#This Row],[Date]]),MONTH(Table1[[#This Row],[Date]])+1,1)-1))</f>
        <v>31</v>
      </c>
      <c r="S298" s="2">
        <f ca="1">SUM(OFFSET(Table1[[#Headers],[Days in month]],1,0):Table1[[#This Row],[Days in month]])</f>
        <v>8579</v>
      </c>
      <c r="T298" s="37">
        <f>InterestRate*AmortizationMultiplier*IF(ISNUMBER(SEARCH("Actual",$C$7)),Table1[[#This Row],[Days in month]]/365,1/12)</f>
        <v>6.0708333333333326E-3</v>
      </c>
    </row>
    <row r="299" spans="2:20" x14ac:dyDescent="0.2">
      <c r="B299" s="1">
        <f t="shared" si="16"/>
        <v>54454</v>
      </c>
      <c r="C299" s="2">
        <f t="shared" si="17"/>
        <v>283</v>
      </c>
      <c r="D299" s="3">
        <f t="shared" si="19"/>
        <v>0</v>
      </c>
      <c r="E299" s="3">
        <f>ROUND(Table1[[#This Row],[Beginning Balance]]*Table1[[#This Row],[Monthly Interest Rate]],2)</f>
        <v>0</v>
      </c>
      <c r="F299" s="3">
        <f t="shared" si="18"/>
        <v>69</v>
      </c>
      <c r="G299" s="23">
        <f>IFERROR(IF($C$13="No","N/A",IF(Table1[[#This Row],[Period]]=1,$C$6,PMT(InterestRate*AmortizationMultiplier/12,Table1[[#This Row],[Am Thru]],-Table1[[#This Row],[Beginning Balance]]))),0)</f>
        <v>0</v>
      </c>
      <c r="H299" s="3">
        <f>MAX(0,IF(C299=$C$4,D299,ROUND(IF($C$3="Fixed Principal",$C$6-Table1[[#This Row],[Interest]],IF($C$3="Interest Only",Table1[[#This Row],[Beginning Balance]]*ROUND(1-(1-IF($C$11="No",$E$8,1))^(1/12),6),MIN(IF($C$13="Yes",Table1[[#This Row],[Payment Amount (Reamortized)]],$C$6)-Table1[[#This Row],[Interest]],Table1[[#This Row],[Beginning Balance]]))),2)))</f>
        <v>0</v>
      </c>
      <c r="I299" s="3">
        <f>_xlfn.SINGLE(IF($C$3="Line of Credit",0,ROUND(MAX(MIN(IF($C$10="No",$E$7,VLOOKUP(Table1[[#This Row],[Period]],Forecast!$H$2:$L$1048576,4,FALSE))*Table1[[#This Row],[Beginning Balance]],Table1[[#This Row],[Beginning Balance]]-Table1[[#This Row],[Principal]]),0),2)))</f>
        <v>0</v>
      </c>
      <c r="J299" s="3">
        <f>ROUND(MIN(Table1[[#This Row],[Beginning Balance]]*IF($C$8="No",$E$3,VLOOKUP(Table1[[#This Row],[Period]],Forecast!$H$2:$L$1048576,2,FALSE)),Table1[[#This Row],[Beginning Balance]]-Table1[[#This Row],[Principal]]-Table1[[#This Row],[Prepayments]]),2)</f>
        <v>0</v>
      </c>
      <c r="K299" s="3">
        <f>ROUND(Table1[[#This Row],[Defaulted Principal]]*IF($C$9="No",$E$4,VLOOKUP(Table1[[#This Row],[Period]],Forecast!$H$2:$L$1048576,3,FALSE)),2)</f>
        <v>0</v>
      </c>
      <c r="L299" s="2">
        <f>Table1[[#This Row],[Period]]+$E$9</f>
        <v>295</v>
      </c>
      <c r="M299" s="3">
        <f>Table1[[#This Row],[Defaulted Principal]]-Table1[[#This Row],[Estimated Loss]]</f>
        <v>0</v>
      </c>
      <c r="N299" s="3">
        <f>IFERROR(VLOOKUP(Table1[[#This Row],[Period]],$L$16:$M$385,2,FALSE),0)</f>
        <v>0</v>
      </c>
      <c r="O299" s="3">
        <f>Table1[[#This Row],[Beginning Balance]]-Table1[[#This Row],[Principal]]-Table1[[#This Row],[Prepayments]]-Table1[[#This Row],[Defaulted Principal]]</f>
        <v>0</v>
      </c>
      <c r="P299" s="3">
        <f>Table1[[#This Row],[Principal]]+Table1[[#This Row],[Interest]]+Table1[[#This Row],[Prepayments]]+Table1[[#This Row],[RecoveredAmount]]</f>
        <v>0</v>
      </c>
      <c r="Q299" s="3">
        <f ca="1">Table1[[#This Row],[Cash Flow]]/((1+ActualRateToUse)^(IF(ISNUMBER(SEARCH("Actual",$C$7)),Table1[[#This Row],[Running Total]]/365,Table1[[#This Row],[Period]]/12)))</f>
        <v>0</v>
      </c>
      <c r="R299" s="2">
        <f>IF(MONTH(Table1[[#This Row],[Date]])=2,28,DAY(DATE(YEAR(Table1[[#This Row],[Date]]),MONTH(Table1[[#This Row],[Date]])+1,1)-1))</f>
        <v>31</v>
      </c>
      <c r="S299" s="2">
        <f ca="1">SUM(OFFSET(Table1[[#Headers],[Days in month]],1,0):Table1[[#This Row],[Days in month]])</f>
        <v>8610</v>
      </c>
      <c r="T299" s="37">
        <f>InterestRate*AmortizationMultiplier*IF(ISNUMBER(SEARCH("Actual",$C$7)),Table1[[#This Row],[Days in month]]/365,1/12)</f>
        <v>6.0708333333333326E-3</v>
      </c>
    </row>
    <row r="300" spans="2:20" x14ac:dyDescent="0.2">
      <c r="B300" s="1">
        <f t="shared" si="16"/>
        <v>54482</v>
      </c>
      <c r="C300" s="2">
        <f t="shared" si="17"/>
        <v>284</v>
      </c>
      <c r="D300" s="3">
        <f t="shared" si="19"/>
        <v>0</v>
      </c>
      <c r="E300" s="3">
        <f>ROUND(Table1[[#This Row],[Beginning Balance]]*Table1[[#This Row],[Monthly Interest Rate]],2)</f>
        <v>0</v>
      </c>
      <c r="F300" s="3">
        <f t="shared" si="18"/>
        <v>68</v>
      </c>
      <c r="G300" s="23">
        <f>IFERROR(IF($C$13="No","N/A",IF(Table1[[#This Row],[Period]]=1,$C$6,PMT(InterestRate*AmortizationMultiplier/12,Table1[[#This Row],[Am Thru]],-Table1[[#This Row],[Beginning Balance]]))),0)</f>
        <v>0</v>
      </c>
      <c r="H300" s="3">
        <f>MAX(0,IF(C300=$C$4,D300,ROUND(IF($C$3="Fixed Principal",$C$6-Table1[[#This Row],[Interest]],IF($C$3="Interest Only",Table1[[#This Row],[Beginning Balance]]*ROUND(1-(1-IF($C$11="No",$E$8,1))^(1/12),6),MIN(IF($C$13="Yes",Table1[[#This Row],[Payment Amount (Reamortized)]],$C$6)-Table1[[#This Row],[Interest]],Table1[[#This Row],[Beginning Balance]]))),2)))</f>
        <v>0</v>
      </c>
      <c r="I300" s="3">
        <f>_xlfn.SINGLE(IF($C$3="Line of Credit",0,ROUND(MAX(MIN(IF($C$10="No",$E$7,VLOOKUP(Table1[[#This Row],[Period]],Forecast!$H$2:$L$1048576,4,FALSE))*Table1[[#This Row],[Beginning Balance]],Table1[[#This Row],[Beginning Balance]]-Table1[[#This Row],[Principal]]),0),2)))</f>
        <v>0</v>
      </c>
      <c r="J300" s="3">
        <f>ROUND(MIN(Table1[[#This Row],[Beginning Balance]]*IF($C$8="No",$E$3,VLOOKUP(Table1[[#This Row],[Period]],Forecast!$H$2:$L$1048576,2,FALSE)),Table1[[#This Row],[Beginning Balance]]-Table1[[#This Row],[Principal]]-Table1[[#This Row],[Prepayments]]),2)</f>
        <v>0</v>
      </c>
      <c r="K300" s="3">
        <f>ROUND(Table1[[#This Row],[Defaulted Principal]]*IF($C$9="No",$E$4,VLOOKUP(Table1[[#This Row],[Period]],Forecast!$H$2:$L$1048576,3,FALSE)),2)</f>
        <v>0</v>
      </c>
      <c r="L300" s="2">
        <f>Table1[[#This Row],[Period]]+$E$9</f>
        <v>296</v>
      </c>
      <c r="M300" s="3">
        <f>Table1[[#This Row],[Defaulted Principal]]-Table1[[#This Row],[Estimated Loss]]</f>
        <v>0</v>
      </c>
      <c r="N300" s="3">
        <f>IFERROR(VLOOKUP(Table1[[#This Row],[Period]],$L$16:$M$385,2,FALSE),0)</f>
        <v>0</v>
      </c>
      <c r="O300" s="3">
        <f>Table1[[#This Row],[Beginning Balance]]-Table1[[#This Row],[Principal]]-Table1[[#This Row],[Prepayments]]-Table1[[#This Row],[Defaulted Principal]]</f>
        <v>0</v>
      </c>
      <c r="P300" s="3">
        <f>Table1[[#This Row],[Principal]]+Table1[[#This Row],[Interest]]+Table1[[#This Row],[Prepayments]]+Table1[[#This Row],[RecoveredAmount]]</f>
        <v>0</v>
      </c>
      <c r="Q300" s="3">
        <f ca="1">Table1[[#This Row],[Cash Flow]]/((1+ActualRateToUse)^(IF(ISNUMBER(SEARCH("Actual",$C$7)),Table1[[#This Row],[Running Total]]/365,Table1[[#This Row],[Period]]/12)))</f>
        <v>0</v>
      </c>
      <c r="R300" s="2">
        <f>IF(MONTH(Table1[[#This Row],[Date]])=2,28,DAY(DATE(YEAR(Table1[[#This Row],[Date]]),MONTH(Table1[[#This Row],[Date]])+1,1)-1))</f>
        <v>28</v>
      </c>
      <c r="S300" s="2">
        <f ca="1">SUM(OFFSET(Table1[[#Headers],[Days in month]],1,0):Table1[[#This Row],[Days in month]])</f>
        <v>8638</v>
      </c>
      <c r="T300" s="37">
        <f>InterestRate*AmortizationMultiplier*IF(ISNUMBER(SEARCH("Actual",$C$7)),Table1[[#This Row],[Days in month]]/365,1/12)</f>
        <v>5.4833333333333331E-3</v>
      </c>
    </row>
    <row r="301" spans="2:20" x14ac:dyDescent="0.2">
      <c r="B301" s="1">
        <f t="shared" si="16"/>
        <v>54513</v>
      </c>
      <c r="C301" s="2">
        <f t="shared" si="17"/>
        <v>285</v>
      </c>
      <c r="D301" s="3">
        <f t="shared" si="19"/>
        <v>0</v>
      </c>
      <c r="E301" s="3">
        <f>ROUND(Table1[[#This Row],[Beginning Balance]]*Table1[[#This Row],[Monthly Interest Rate]],2)</f>
        <v>0</v>
      </c>
      <c r="F301" s="3">
        <f t="shared" si="18"/>
        <v>67</v>
      </c>
      <c r="G301" s="23">
        <f>IFERROR(IF($C$13="No","N/A",IF(Table1[[#This Row],[Period]]=1,$C$6,PMT(InterestRate*AmortizationMultiplier/12,Table1[[#This Row],[Am Thru]],-Table1[[#This Row],[Beginning Balance]]))),0)</f>
        <v>0</v>
      </c>
      <c r="H301" s="3">
        <f>MAX(0,IF(C301=$C$4,D301,ROUND(IF($C$3="Fixed Principal",$C$6-Table1[[#This Row],[Interest]],IF($C$3="Interest Only",Table1[[#This Row],[Beginning Balance]]*ROUND(1-(1-IF($C$11="No",$E$8,1))^(1/12),6),MIN(IF($C$13="Yes",Table1[[#This Row],[Payment Amount (Reamortized)]],$C$6)-Table1[[#This Row],[Interest]],Table1[[#This Row],[Beginning Balance]]))),2)))</f>
        <v>0</v>
      </c>
      <c r="I301" s="3">
        <f>_xlfn.SINGLE(IF($C$3="Line of Credit",0,ROUND(MAX(MIN(IF($C$10="No",$E$7,VLOOKUP(Table1[[#This Row],[Period]],Forecast!$H$2:$L$1048576,4,FALSE))*Table1[[#This Row],[Beginning Balance]],Table1[[#This Row],[Beginning Balance]]-Table1[[#This Row],[Principal]]),0),2)))</f>
        <v>0</v>
      </c>
      <c r="J301" s="3">
        <f>ROUND(MIN(Table1[[#This Row],[Beginning Balance]]*IF($C$8="No",$E$3,VLOOKUP(Table1[[#This Row],[Period]],Forecast!$H$2:$L$1048576,2,FALSE)),Table1[[#This Row],[Beginning Balance]]-Table1[[#This Row],[Principal]]-Table1[[#This Row],[Prepayments]]),2)</f>
        <v>0</v>
      </c>
      <c r="K301" s="3">
        <f>ROUND(Table1[[#This Row],[Defaulted Principal]]*IF($C$9="No",$E$4,VLOOKUP(Table1[[#This Row],[Period]],Forecast!$H$2:$L$1048576,3,FALSE)),2)</f>
        <v>0</v>
      </c>
      <c r="L301" s="2">
        <f>Table1[[#This Row],[Period]]+$E$9</f>
        <v>297</v>
      </c>
      <c r="M301" s="3">
        <f>Table1[[#This Row],[Defaulted Principal]]-Table1[[#This Row],[Estimated Loss]]</f>
        <v>0</v>
      </c>
      <c r="N301" s="3">
        <f>IFERROR(VLOOKUP(Table1[[#This Row],[Period]],$L$16:$M$385,2,FALSE),0)</f>
        <v>0</v>
      </c>
      <c r="O301" s="3">
        <f>Table1[[#This Row],[Beginning Balance]]-Table1[[#This Row],[Principal]]-Table1[[#This Row],[Prepayments]]-Table1[[#This Row],[Defaulted Principal]]</f>
        <v>0</v>
      </c>
      <c r="P301" s="3">
        <f>Table1[[#This Row],[Principal]]+Table1[[#This Row],[Interest]]+Table1[[#This Row],[Prepayments]]+Table1[[#This Row],[RecoveredAmount]]</f>
        <v>0</v>
      </c>
      <c r="Q301" s="3">
        <f ca="1">Table1[[#This Row],[Cash Flow]]/((1+ActualRateToUse)^(IF(ISNUMBER(SEARCH("Actual",$C$7)),Table1[[#This Row],[Running Total]]/365,Table1[[#This Row],[Period]]/12)))</f>
        <v>0</v>
      </c>
      <c r="R301" s="2">
        <f>IF(MONTH(Table1[[#This Row],[Date]])=2,28,DAY(DATE(YEAR(Table1[[#This Row],[Date]]),MONTH(Table1[[#This Row],[Date]])+1,1)-1))</f>
        <v>31</v>
      </c>
      <c r="S301" s="2">
        <f ca="1">SUM(OFFSET(Table1[[#Headers],[Days in month]],1,0):Table1[[#This Row],[Days in month]])</f>
        <v>8669</v>
      </c>
      <c r="T301" s="37">
        <f>InterestRate*AmortizationMultiplier*IF(ISNUMBER(SEARCH("Actual",$C$7)),Table1[[#This Row],[Days in month]]/365,1/12)</f>
        <v>6.0708333333333326E-3</v>
      </c>
    </row>
    <row r="302" spans="2:20" x14ac:dyDescent="0.2">
      <c r="B302" s="1">
        <f t="shared" si="16"/>
        <v>54543</v>
      </c>
      <c r="C302" s="2">
        <f t="shared" si="17"/>
        <v>286</v>
      </c>
      <c r="D302" s="3">
        <f t="shared" si="19"/>
        <v>0</v>
      </c>
      <c r="E302" s="3">
        <f>ROUND(Table1[[#This Row],[Beginning Balance]]*Table1[[#This Row],[Monthly Interest Rate]],2)</f>
        <v>0</v>
      </c>
      <c r="F302" s="3">
        <f t="shared" si="18"/>
        <v>66</v>
      </c>
      <c r="G302" s="23">
        <f>IFERROR(IF($C$13="No","N/A",IF(Table1[[#This Row],[Period]]=1,$C$6,PMT(InterestRate*AmortizationMultiplier/12,Table1[[#This Row],[Am Thru]],-Table1[[#This Row],[Beginning Balance]]))),0)</f>
        <v>0</v>
      </c>
      <c r="H302" s="3">
        <f>MAX(0,IF(C302=$C$4,D302,ROUND(IF($C$3="Fixed Principal",$C$6-Table1[[#This Row],[Interest]],IF($C$3="Interest Only",Table1[[#This Row],[Beginning Balance]]*ROUND(1-(1-IF($C$11="No",$E$8,1))^(1/12),6),MIN(IF($C$13="Yes",Table1[[#This Row],[Payment Amount (Reamortized)]],$C$6)-Table1[[#This Row],[Interest]],Table1[[#This Row],[Beginning Balance]]))),2)))</f>
        <v>0</v>
      </c>
      <c r="I302" s="3">
        <f>_xlfn.SINGLE(IF($C$3="Line of Credit",0,ROUND(MAX(MIN(IF($C$10="No",$E$7,VLOOKUP(Table1[[#This Row],[Period]],Forecast!$H$2:$L$1048576,4,FALSE))*Table1[[#This Row],[Beginning Balance]],Table1[[#This Row],[Beginning Balance]]-Table1[[#This Row],[Principal]]),0),2)))</f>
        <v>0</v>
      </c>
      <c r="J302" s="3">
        <f>ROUND(MIN(Table1[[#This Row],[Beginning Balance]]*IF($C$8="No",$E$3,VLOOKUP(Table1[[#This Row],[Period]],Forecast!$H$2:$L$1048576,2,FALSE)),Table1[[#This Row],[Beginning Balance]]-Table1[[#This Row],[Principal]]-Table1[[#This Row],[Prepayments]]),2)</f>
        <v>0</v>
      </c>
      <c r="K302" s="3">
        <f>ROUND(Table1[[#This Row],[Defaulted Principal]]*IF($C$9="No",$E$4,VLOOKUP(Table1[[#This Row],[Period]],Forecast!$H$2:$L$1048576,3,FALSE)),2)</f>
        <v>0</v>
      </c>
      <c r="L302" s="2">
        <f>Table1[[#This Row],[Period]]+$E$9</f>
        <v>298</v>
      </c>
      <c r="M302" s="3">
        <f>Table1[[#This Row],[Defaulted Principal]]-Table1[[#This Row],[Estimated Loss]]</f>
        <v>0</v>
      </c>
      <c r="N302" s="3">
        <f>IFERROR(VLOOKUP(Table1[[#This Row],[Period]],$L$16:$M$385,2,FALSE),0)</f>
        <v>0</v>
      </c>
      <c r="O302" s="3">
        <f>Table1[[#This Row],[Beginning Balance]]-Table1[[#This Row],[Principal]]-Table1[[#This Row],[Prepayments]]-Table1[[#This Row],[Defaulted Principal]]</f>
        <v>0</v>
      </c>
      <c r="P302" s="3">
        <f>Table1[[#This Row],[Principal]]+Table1[[#This Row],[Interest]]+Table1[[#This Row],[Prepayments]]+Table1[[#This Row],[RecoveredAmount]]</f>
        <v>0</v>
      </c>
      <c r="Q302" s="3">
        <f ca="1">Table1[[#This Row],[Cash Flow]]/((1+ActualRateToUse)^(IF(ISNUMBER(SEARCH("Actual",$C$7)),Table1[[#This Row],[Running Total]]/365,Table1[[#This Row],[Period]]/12)))</f>
        <v>0</v>
      </c>
      <c r="R302" s="2">
        <f>IF(MONTH(Table1[[#This Row],[Date]])=2,28,DAY(DATE(YEAR(Table1[[#This Row],[Date]]),MONTH(Table1[[#This Row],[Date]])+1,1)-1))</f>
        <v>30</v>
      </c>
      <c r="S302" s="2">
        <f ca="1">SUM(OFFSET(Table1[[#Headers],[Days in month]],1,0):Table1[[#This Row],[Days in month]])</f>
        <v>8699</v>
      </c>
      <c r="T302" s="37">
        <f>InterestRate*AmortizationMultiplier*IF(ISNUMBER(SEARCH("Actual",$C$7)),Table1[[#This Row],[Days in month]]/365,1/12)</f>
        <v>5.8749999999999991E-3</v>
      </c>
    </row>
    <row r="303" spans="2:20" x14ac:dyDescent="0.2">
      <c r="B303" s="1">
        <f t="shared" si="16"/>
        <v>54574</v>
      </c>
      <c r="C303" s="2">
        <f t="shared" si="17"/>
        <v>287</v>
      </c>
      <c r="D303" s="3">
        <f t="shared" si="19"/>
        <v>0</v>
      </c>
      <c r="E303" s="3">
        <f>ROUND(Table1[[#This Row],[Beginning Balance]]*Table1[[#This Row],[Monthly Interest Rate]],2)</f>
        <v>0</v>
      </c>
      <c r="F303" s="3">
        <f t="shared" si="18"/>
        <v>65</v>
      </c>
      <c r="G303" s="23">
        <f>IFERROR(IF($C$13="No","N/A",IF(Table1[[#This Row],[Period]]=1,$C$6,PMT(InterestRate*AmortizationMultiplier/12,Table1[[#This Row],[Am Thru]],-Table1[[#This Row],[Beginning Balance]]))),0)</f>
        <v>0</v>
      </c>
      <c r="H303" s="3">
        <f>MAX(0,IF(C303=$C$4,D303,ROUND(IF($C$3="Fixed Principal",$C$6-Table1[[#This Row],[Interest]],IF($C$3="Interest Only",Table1[[#This Row],[Beginning Balance]]*ROUND(1-(1-IF($C$11="No",$E$8,1))^(1/12),6),MIN(IF($C$13="Yes",Table1[[#This Row],[Payment Amount (Reamortized)]],$C$6)-Table1[[#This Row],[Interest]],Table1[[#This Row],[Beginning Balance]]))),2)))</f>
        <v>0</v>
      </c>
      <c r="I303" s="3">
        <f>_xlfn.SINGLE(IF($C$3="Line of Credit",0,ROUND(MAX(MIN(IF($C$10="No",$E$7,VLOOKUP(Table1[[#This Row],[Period]],Forecast!$H$2:$L$1048576,4,FALSE))*Table1[[#This Row],[Beginning Balance]],Table1[[#This Row],[Beginning Balance]]-Table1[[#This Row],[Principal]]),0),2)))</f>
        <v>0</v>
      </c>
      <c r="J303" s="3">
        <f>ROUND(MIN(Table1[[#This Row],[Beginning Balance]]*IF($C$8="No",$E$3,VLOOKUP(Table1[[#This Row],[Period]],Forecast!$H$2:$L$1048576,2,FALSE)),Table1[[#This Row],[Beginning Balance]]-Table1[[#This Row],[Principal]]-Table1[[#This Row],[Prepayments]]),2)</f>
        <v>0</v>
      </c>
      <c r="K303" s="3">
        <f>ROUND(Table1[[#This Row],[Defaulted Principal]]*IF($C$9="No",$E$4,VLOOKUP(Table1[[#This Row],[Period]],Forecast!$H$2:$L$1048576,3,FALSE)),2)</f>
        <v>0</v>
      </c>
      <c r="L303" s="2">
        <f>Table1[[#This Row],[Period]]+$E$9</f>
        <v>299</v>
      </c>
      <c r="M303" s="3">
        <f>Table1[[#This Row],[Defaulted Principal]]-Table1[[#This Row],[Estimated Loss]]</f>
        <v>0</v>
      </c>
      <c r="N303" s="3">
        <f>IFERROR(VLOOKUP(Table1[[#This Row],[Period]],$L$16:$M$385,2,FALSE),0)</f>
        <v>0</v>
      </c>
      <c r="O303" s="3">
        <f>Table1[[#This Row],[Beginning Balance]]-Table1[[#This Row],[Principal]]-Table1[[#This Row],[Prepayments]]-Table1[[#This Row],[Defaulted Principal]]</f>
        <v>0</v>
      </c>
      <c r="P303" s="3">
        <f>Table1[[#This Row],[Principal]]+Table1[[#This Row],[Interest]]+Table1[[#This Row],[Prepayments]]+Table1[[#This Row],[RecoveredAmount]]</f>
        <v>0</v>
      </c>
      <c r="Q303" s="3">
        <f ca="1">Table1[[#This Row],[Cash Flow]]/((1+ActualRateToUse)^(IF(ISNUMBER(SEARCH("Actual",$C$7)),Table1[[#This Row],[Running Total]]/365,Table1[[#This Row],[Period]]/12)))</f>
        <v>0</v>
      </c>
      <c r="R303" s="2">
        <f>IF(MONTH(Table1[[#This Row],[Date]])=2,28,DAY(DATE(YEAR(Table1[[#This Row],[Date]]),MONTH(Table1[[#This Row],[Date]])+1,1)-1))</f>
        <v>31</v>
      </c>
      <c r="S303" s="2">
        <f ca="1">SUM(OFFSET(Table1[[#Headers],[Days in month]],1,0):Table1[[#This Row],[Days in month]])</f>
        <v>8730</v>
      </c>
      <c r="T303" s="37">
        <f>InterestRate*AmortizationMultiplier*IF(ISNUMBER(SEARCH("Actual",$C$7)),Table1[[#This Row],[Days in month]]/365,1/12)</f>
        <v>6.0708333333333326E-3</v>
      </c>
    </row>
    <row r="304" spans="2:20" x14ac:dyDescent="0.2">
      <c r="B304" s="1">
        <f t="shared" si="16"/>
        <v>54604</v>
      </c>
      <c r="C304" s="2">
        <f t="shared" si="17"/>
        <v>288</v>
      </c>
      <c r="D304" s="3">
        <f t="shared" si="19"/>
        <v>0</v>
      </c>
      <c r="E304" s="3">
        <f>ROUND(Table1[[#This Row],[Beginning Balance]]*Table1[[#This Row],[Monthly Interest Rate]],2)</f>
        <v>0</v>
      </c>
      <c r="F304" s="3">
        <f t="shared" si="18"/>
        <v>64</v>
      </c>
      <c r="G304" s="23">
        <f>IFERROR(IF($C$13="No","N/A",IF(Table1[[#This Row],[Period]]=1,$C$6,PMT(InterestRate*AmortizationMultiplier/12,Table1[[#This Row],[Am Thru]],-Table1[[#This Row],[Beginning Balance]]))),0)</f>
        <v>0</v>
      </c>
      <c r="H304" s="3">
        <f>MAX(0,IF(C304=$C$4,D304,ROUND(IF($C$3="Fixed Principal",$C$6-Table1[[#This Row],[Interest]],IF($C$3="Interest Only",Table1[[#This Row],[Beginning Balance]]*ROUND(1-(1-IF($C$11="No",$E$8,1))^(1/12),6),MIN(IF($C$13="Yes",Table1[[#This Row],[Payment Amount (Reamortized)]],$C$6)-Table1[[#This Row],[Interest]],Table1[[#This Row],[Beginning Balance]]))),2)))</f>
        <v>0</v>
      </c>
      <c r="I304" s="3">
        <f>_xlfn.SINGLE(IF($C$3="Line of Credit",0,ROUND(MAX(MIN(IF($C$10="No",$E$7,VLOOKUP(Table1[[#This Row],[Period]],Forecast!$H$2:$L$1048576,4,FALSE))*Table1[[#This Row],[Beginning Balance]],Table1[[#This Row],[Beginning Balance]]-Table1[[#This Row],[Principal]]),0),2)))</f>
        <v>0</v>
      </c>
      <c r="J304" s="3">
        <f>ROUND(MIN(Table1[[#This Row],[Beginning Balance]]*IF($C$8="No",$E$3,VLOOKUP(Table1[[#This Row],[Period]],Forecast!$H$2:$L$1048576,2,FALSE)),Table1[[#This Row],[Beginning Balance]]-Table1[[#This Row],[Principal]]-Table1[[#This Row],[Prepayments]]),2)</f>
        <v>0</v>
      </c>
      <c r="K304" s="3">
        <f>ROUND(Table1[[#This Row],[Defaulted Principal]]*IF($C$9="No",$E$4,VLOOKUP(Table1[[#This Row],[Period]],Forecast!$H$2:$L$1048576,3,FALSE)),2)</f>
        <v>0</v>
      </c>
      <c r="L304" s="2">
        <f>Table1[[#This Row],[Period]]+$E$9</f>
        <v>300</v>
      </c>
      <c r="M304" s="3">
        <f>Table1[[#This Row],[Defaulted Principal]]-Table1[[#This Row],[Estimated Loss]]</f>
        <v>0</v>
      </c>
      <c r="N304" s="3">
        <f>IFERROR(VLOOKUP(Table1[[#This Row],[Period]],$L$16:$M$385,2,FALSE),0)</f>
        <v>0</v>
      </c>
      <c r="O304" s="3">
        <f>Table1[[#This Row],[Beginning Balance]]-Table1[[#This Row],[Principal]]-Table1[[#This Row],[Prepayments]]-Table1[[#This Row],[Defaulted Principal]]</f>
        <v>0</v>
      </c>
      <c r="P304" s="3">
        <f>Table1[[#This Row],[Principal]]+Table1[[#This Row],[Interest]]+Table1[[#This Row],[Prepayments]]+Table1[[#This Row],[RecoveredAmount]]</f>
        <v>0</v>
      </c>
      <c r="Q304" s="3">
        <f ca="1">Table1[[#This Row],[Cash Flow]]/((1+ActualRateToUse)^(IF(ISNUMBER(SEARCH("Actual",$C$7)),Table1[[#This Row],[Running Total]]/365,Table1[[#This Row],[Period]]/12)))</f>
        <v>0</v>
      </c>
      <c r="R304" s="2">
        <f>IF(MONTH(Table1[[#This Row],[Date]])=2,28,DAY(DATE(YEAR(Table1[[#This Row],[Date]]),MONTH(Table1[[#This Row],[Date]])+1,1)-1))</f>
        <v>30</v>
      </c>
      <c r="S304" s="2">
        <f ca="1">SUM(OFFSET(Table1[[#Headers],[Days in month]],1,0):Table1[[#This Row],[Days in month]])</f>
        <v>8760</v>
      </c>
      <c r="T304" s="37">
        <f>InterestRate*AmortizationMultiplier*IF(ISNUMBER(SEARCH("Actual",$C$7)),Table1[[#This Row],[Days in month]]/365,1/12)</f>
        <v>5.8749999999999991E-3</v>
      </c>
    </row>
    <row r="305" spans="2:20" x14ac:dyDescent="0.2">
      <c r="B305" s="1">
        <f t="shared" si="16"/>
        <v>54635</v>
      </c>
      <c r="C305" s="2">
        <f t="shared" si="17"/>
        <v>289</v>
      </c>
      <c r="D305" s="3">
        <f t="shared" si="19"/>
        <v>0</v>
      </c>
      <c r="E305" s="3">
        <f>ROUND(Table1[[#This Row],[Beginning Balance]]*Table1[[#This Row],[Monthly Interest Rate]],2)</f>
        <v>0</v>
      </c>
      <c r="F305" s="3">
        <f t="shared" si="18"/>
        <v>63</v>
      </c>
      <c r="G305" s="23">
        <f>IFERROR(IF($C$13="No","N/A",IF(Table1[[#This Row],[Period]]=1,$C$6,PMT(InterestRate*AmortizationMultiplier/12,Table1[[#This Row],[Am Thru]],-Table1[[#This Row],[Beginning Balance]]))),0)</f>
        <v>0</v>
      </c>
      <c r="H305" s="3">
        <f>MAX(0,IF(C305=$C$4,D305,ROUND(IF($C$3="Fixed Principal",$C$6-Table1[[#This Row],[Interest]],IF($C$3="Interest Only",Table1[[#This Row],[Beginning Balance]]*ROUND(1-(1-IF($C$11="No",$E$8,1))^(1/12),6),MIN(IF($C$13="Yes",Table1[[#This Row],[Payment Amount (Reamortized)]],$C$6)-Table1[[#This Row],[Interest]],Table1[[#This Row],[Beginning Balance]]))),2)))</f>
        <v>0</v>
      </c>
      <c r="I305" s="3">
        <f>_xlfn.SINGLE(IF($C$3="Line of Credit",0,ROUND(MAX(MIN(IF($C$10="No",$E$7,VLOOKUP(Table1[[#This Row],[Period]],Forecast!$H$2:$L$1048576,4,FALSE))*Table1[[#This Row],[Beginning Balance]],Table1[[#This Row],[Beginning Balance]]-Table1[[#This Row],[Principal]]),0),2)))</f>
        <v>0</v>
      </c>
      <c r="J305" s="3">
        <f>ROUND(MIN(Table1[[#This Row],[Beginning Balance]]*IF($C$8="No",$E$3,VLOOKUP(Table1[[#This Row],[Period]],Forecast!$H$2:$L$1048576,2,FALSE)),Table1[[#This Row],[Beginning Balance]]-Table1[[#This Row],[Principal]]-Table1[[#This Row],[Prepayments]]),2)</f>
        <v>0</v>
      </c>
      <c r="K305" s="3">
        <f>ROUND(Table1[[#This Row],[Defaulted Principal]]*IF($C$9="No",$E$4,VLOOKUP(Table1[[#This Row],[Period]],Forecast!$H$2:$L$1048576,3,FALSE)),2)</f>
        <v>0</v>
      </c>
      <c r="L305" s="2">
        <f>Table1[[#This Row],[Period]]+$E$9</f>
        <v>301</v>
      </c>
      <c r="M305" s="3">
        <f>Table1[[#This Row],[Defaulted Principal]]-Table1[[#This Row],[Estimated Loss]]</f>
        <v>0</v>
      </c>
      <c r="N305" s="3">
        <f>IFERROR(VLOOKUP(Table1[[#This Row],[Period]],$L$16:$M$385,2,FALSE),0)</f>
        <v>0</v>
      </c>
      <c r="O305" s="3">
        <f>Table1[[#This Row],[Beginning Balance]]-Table1[[#This Row],[Principal]]-Table1[[#This Row],[Prepayments]]-Table1[[#This Row],[Defaulted Principal]]</f>
        <v>0</v>
      </c>
      <c r="P305" s="3">
        <f>Table1[[#This Row],[Principal]]+Table1[[#This Row],[Interest]]+Table1[[#This Row],[Prepayments]]+Table1[[#This Row],[RecoveredAmount]]</f>
        <v>0</v>
      </c>
      <c r="Q305" s="3">
        <f ca="1">Table1[[#This Row],[Cash Flow]]/((1+ActualRateToUse)^(IF(ISNUMBER(SEARCH("Actual",$C$7)),Table1[[#This Row],[Running Total]]/365,Table1[[#This Row],[Period]]/12)))</f>
        <v>0</v>
      </c>
      <c r="R305" s="2">
        <f>IF(MONTH(Table1[[#This Row],[Date]])=2,28,DAY(DATE(YEAR(Table1[[#This Row],[Date]]),MONTH(Table1[[#This Row],[Date]])+1,1)-1))</f>
        <v>31</v>
      </c>
      <c r="S305" s="2">
        <f ca="1">SUM(OFFSET(Table1[[#Headers],[Days in month]],1,0):Table1[[#This Row],[Days in month]])</f>
        <v>8791</v>
      </c>
      <c r="T305" s="37">
        <f>InterestRate*AmortizationMultiplier*IF(ISNUMBER(SEARCH("Actual",$C$7)),Table1[[#This Row],[Days in month]]/365,1/12)</f>
        <v>6.0708333333333326E-3</v>
      </c>
    </row>
    <row r="306" spans="2:20" x14ac:dyDescent="0.2">
      <c r="B306" s="1">
        <f t="shared" si="16"/>
        <v>54666</v>
      </c>
      <c r="C306" s="2">
        <f t="shared" si="17"/>
        <v>290</v>
      </c>
      <c r="D306" s="3">
        <f t="shared" si="19"/>
        <v>0</v>
      </c>
      <c r="E306" s="3">
        <f>ROUND(Table1[[#This Row],[Beginning Balance]]*Table1[[#This Row],[Monthly Interest Rate]],2)</f>
        <v>0</v>
      </c>
      <c r="F306" s="3">
        <f t="shared" si="18"/>
        <v>62</v>
      </c>
      <c r="G306" s="23">
        <f>IFERROR(IF($C$13="No","N/A",IF(Table1[[#This Row],[Period]]=1,$C$6,PMT(InterestRate*AmortizationMultiplier/12,Table1[[#This Row],[Am Thru]],-Table1[[#This Row],[Beginning Balance]]))),0)</f>
        <v>0</v>
      </c>
      <c r="H306" s="3">
        <f>MAX(0,IF(C306=$C$4,D306,ROUND(IF($C$3="Fixed Principal",$C$6-Table1[[#This Row],[Interest]],IF($C$3="Interest Only",Table1[[#This Row],[Beginning Balance]]*ROUND(1-(1-IF($C$11="No",$E$8,1))^(1/12),6),MIN(IF($C$13="Yes",Table1[[#This Row],[Payment Amount (Reamortized)]],$C$6)-Table1[[#This Row],[Interest]],Table1[[#This Row],[Beginning Balance]]))),2)))</f>
        <v>0</v>
      </c>
      <c r="I306" s="3">
        <f>_xlfn.SINGLE(IF($C$3="Line of Credit",0,ROUND(MAX(MIN(IF($C$10="No",$E$7,VLOOKUP(Table1[[#This Row],[Period]],Forecast!$H$2:$L$1048576,4,FALSE))*Table1[[#This Row],[Beginning Balance]],Table1[[#This Row],[Beginning Balance]]-Table1[[#This Row],[Principal]]),0),2)))</f>
        <v>0</v>
      </c>
      <c r="J306" s="3">
        <f>ROUND(MIN(Table1[[#This Row],[Beginning Balance]]*IF($C$8="No",$E$3,VLOOKUP(Table1[[#This Row],[Period]],Forecast!$H$2:$L$1048576,2,FALSE)),Table1[[#This Row],[Beginning Balance]]-Table1[[#This Row],[Principal]]-Table1[[#This Row],[Prepayments]]),2)</f>
        <v>0</v>
      </c>
      <c r="K306" s="3">
        <f>ROUND(Table1[[#This Row],[Defaulted Principal]]*IF($C$9="No",$E$4,VLOOKUP(Table1[[#This Row],[Period]],Forecast!$H$2:$L$1048576,3,FALSE)),2)</f>
        <v>0</v>
      </c>
      <c r="L306" s="2">
        <f>Table1[[#This Row],[Period]]+$E$9</f>
        <v>302</v>
      </c>
      <c r="M306" s="3">
        <f>Table1[[#This Row],[Defaulted Principal]]-Table1[[#This Row],[Estimated Loss]]</f>
        <v>0</v>
      </c>
      <c r="N306" s="3">
        <f>IFERROR(VLOOKUP(Table1[[#This Row],[Period]],$L$16:$M$385,2,FALSE),0)</f>
        <v>0</v>
      </c>
      <c r="O306" s="3">
        <f>Table1[[#This Row],[Beginning Balance]]-Table1[[#This Row],[Principal]]-Table1[[#This Row],[Prepayments]]-Table1[[#This Row],[Defaulted Principal]]</f>
        <v>0</v>
      </c>
      <c r="P306" s="3">
        <f>Table1[[#This Row],[Principal]]+Table1[[#This Row],[Interest]]+Table1[[#This Row],[Prepayments]]+Table1[[#This Row],[RecoveredAmount]]</f>
        <v>0</v>
      </c>
      <c r="Q306" s="3">
        <f ca="1">Table1[[#This Row],[Cash Flow]]/((1+ActualRateToUse)^(IF(ISNUMBER(SEARCH("Actual",$C$7)),Table1[[#This Row],[Running Total]]/365,Table1[[#This Row],[Period]]/12)))</f>
        <v>0</v>
      </c>
      <c r="R306" s="2">
        <f>IF(MONTH(Table1[[#This Row],[Date]])=2,28,DAY(DATE(YEAR(Table1[[#This Row],[Date]]),MONTH(Table1[[#This Row],[Date]])+1,1)-1))</f>
        <v>31</v>
      </c>
      <c r="S306" s="2">
        <f ca="1">SUM(OFFSET(Table1[[#Headers],[Days in month]],1,0):Table1[[#This Row],[Days in month]])</f>
        <v>8822</v>
      </c>
      <c r="T306" s="37">
        <f>InterestRate*AmortizationMultiplier*IF(ISNUMBER(SEARCH("Actual",$C$7)),Table1[[#This Row],[Days in month]]/365,1/12)</f>
        <v>6.0708333333333326E-3</v>
      </c>
    </row>
    <row r="307" spans="2:20" x14ac:dyDescent="0.2">
      <c r="B307" s="1">
        <f t="shared" si="16"/>
        <v>54696</v>
      </c>
      <c r="C307" s="2">
        <f t="shared" si="17"/>
        <v>291</v>
      </c>
      <c r="D307" s="3">
        <f t="shared" si="19"/>
        <v>0</v>
      </c>
      <c r="E307" s="3">
        <f>ROUND(Table1[[#This Row],[Beginning Balance]]*Table1[[#This Row],[Monthly Interest Rate]],2)</f>
        <v>0</v>
      </c>
      <c r="F307" s="3">
        <f t="shared" si="18"/>
        <v>61</v>
      </c>
      <c r="G307" s="23">
        <f>IFERROR(IF($C$13="No","N/A",IF(Table1[[#This Row],[Period]]=1,$C$6,PMT(InterestRate*AmortizationMultiplier/12,Table1[[#This Row],[Am Thru]],-Table1[[#This Row],[Beginning Balance]]))),0)</f>
        <v>0</v>
      </c>
      <c r="H307" s="3">
        <f>MAX(0,IF(C307=$C$4,D307,ROUND(IF($C$3="Fixed Principal",$C$6-Table1[[#This Row],[Interest]],IF($C$3="Interest Only",Table1[[#This Row],[Beginning Balance]]*ROUND(1-(1-IF($C$11="No",$E$8,1))^(1/12),6),MIN(IF($C$13="Yes",Table1[[#This Row],[Payment Amount (Reamortized)]],$C$6)-Table1[[#This Row],[Interest]],Table1[[#This Row],[Beginning Balance]]))),2)))</f>
        <v>0</v>
      </c>
      <c r="I307" s="3">
        <f>_xlfn.SINGLE(IF($C$3="Line of Credit",0,ROUND(MAX(MIN(IF($C$10="No",$E$7,VLOOKUP(Table1[[#This Row],[Period]],Forecast!$H$2:$L$1048576,4,FALSE))*Table1[[#This Row],[Beginning Balance]],Table1[[#This Row],[Beginning Balance]]-Table1[[#This Row],[Principal]]),0),2)))</f>
        <v>0</v>
      </c>
      <c r="J307" s="3">
        <f>ROUND(MIN(Table1[[#This Row],[Beginning Balance]]*IF($C$8="No",$E$3,VLOOKUP(Table1[[#This Row],[Period]],Forecast!$H$2:$L$1048576,2,FALSE)),Table1[[#This Row],[Beginning Balance]]-Table1[[#This Row],[Principal]]-Table1[[#This Row],[Prepayments]]),2)</f>
        <v>0</v>
      </c>
      <c r="K307" s="3">
        <f>ROUND(Table1[[#This Row],[Defaulted Principal]]*IF($C$9="No",$E$4,VLOOKUP(Table1[[#This Row],[Period]],Forecast!$H$2:$L$1048576,3,FALSE)),2)</f>
        <v>0</v>
      </c>
      <c r="L307" s="2">
        <f>Table1[[#This Row],[Period]]+$E$9</f>
        <v>303</v>
      </c>
      <c r="M307" s="3">
        <f>Table1[[#This Row],[Defaulted Principal]]-Table1[[#This Row],[Estimated Loss]]</f>
        <v>0</v>
      </c>
      <c r="N307" s="3">
        <f>IFERROR(VLOOKUP(Table1[[#This Row],[Period]],$L$16:$M$385,2,FALSE),0)</f>
        <v>0</v>
      </c>
      <c r="O307" s="3">
        <f>Table1[[#This Row],[Beginning Balance]]-Table1[[#This Row],[Principal]]-Table1[[#This Row],[Prepayments]]-Table1[[#This Row],[Defaulted Principal]]</f>
        <v>0</v>
      </c>
      <c r="P307" s="3">
        <f>Table1[[#This Row],[Principal]]+Table1[[#This Row],[Interest]]+Table1[[#This Row],[Prepayments]]+Table1[[#This Row],[RecoveredAmount]]</f>
        <v>0</v>
      </c>
      <c r="Q307" s="3">
        <f ca="1">Table1[[#This Row],[Cash Flow]]/((1+ActualRateToUse)^(IF(ISNUMBER(SEARCH("Actual",$C$7)),Table1[[#This Row],[Running Total]]/365,Table1[[#This Row],[Period]]/12)))</f>
        <v>0</v>
      </c>
      <c r="R307" s="2">
        <f>IF(MONTH(Table1[[#This Row],[Date]])=2,28,DAY(DATE(YEAR(Table1[[#This Row],[Date]]),MONTH(Table1[[#This Row],[Date]])+1,1)-1))</f>
        <v>30</v>
      </c>
      <c r="S307" s="2">
        <f ca="1">SUM(OFFSET(Table1[[#Headers],[Days in month]],1,0):Table1[[#This Row],[Days in month]])</f>
        <v>8852</v>
      </c>
      <c r="T307" s="37">
        <f>InterestRate*AmortizationMultiplier*IF(ISNUMBER(SEARCH("Actual",$C$7)),Table1[[#This Row],[Days in month]]/365,1/12)</f>
        <v>5.8749999999999991E-3</v>
      </c>
    </row>
    <row r="308" spans="2:20" x14ac:dyDescent="0.2">
      <c r="B308" s="1">
        <f t="shared" si="16"/>
        <v>54727</v>
      </c>
      <c r="C308" s="2">
        <f t="shared" si="17"/>
        <v>292</v>
      </c>
      <c r="D308" s="3">
        <f t="shared" si="19"/>
        <v>0</v>
      </c>
      <c r="E308" s="3">
        <f>ROUND(Table1[[#This Row],[Beginning Balance]]*Table1[[#This Row],[Monthly Interest Rate]],2)</f>
        <v>0</v>
      </c>
      <c r="F308" s="3">
        <f t="shared" si="18"/>
        <v>60</v>
      </c>
      <c r="G308" s="23">
        <f>IFERROR(IF($C$13="No","N/A",IF(Table1[[#This Row],[Period]]=1,$C$6,PMT(InterestRate*AmortizationMultiplier/12,Table1[[#This Row],[Am Thru]],-Table1[[#This Row],[Beginning Balance]]))),0)</f>
        <v>0</v>
      </c>
      <c r="H308" s="3">
        <f>MAX(0,IF(C308=$C$4,D308,ROUND(IF($C$3="Fixed Principal",$C$6-Table1[[#This Row],[Interest]],IF($C$3="Interest Only",Table1[[#This Row],[Beginning Balance]]*ROUND(1-(1-IF($C$11="No",$E$8,1))^(1/12),6),MIN(IF($C$13="Yes",Table1[[#This Row],[Payment Amount (Reamortized)]],$C$6)-Table1[[#This Row],[Interest]],Table1[[#This Row],[Beginning Balance]]))),2)))</f>
        <v>0</v>
      </c>
      <c r="I308" s="3">
        <f>_xlfn.SINGLE(IF($C$3="Line of Credit",0,ROUND(MAX(MIN(IF($C$10="No",$E$7,VLOOKUP(Table1[[#This Row],[Period]],Forecast!$H$2:$L$1048576,4,FALSE))*Table1[[#This Row],[Beginning Balance]],Table1[[#This Row],[Beginning Balance]]-Table1[[#This Row],[Principal]]),0),2)))</f>
        <v>0</v>
      </c>
      <c r="J308" s="3">
        <f>ROUND(MIN(Table1[[#This Row],[Beginning Balance]]*IF($C$8="No",$E$3,VLOOKUP(Table1[[#This Row],[Period]],Forecast!$H$2:$L$1048576,2,FALSE)),Table1[[#This Row],[Beginning Balance]]-Table1[[#This Row],[Principal]]-Table1[[#This Row],[Prepayments]]),2)</f>
        <v>0</v>
      </c>
      <c r="K308" s="3">
        <f>ROUND(Table1[[#This Row],[Defaulted Principal]]*IF($C$9="No",$E$4,VLOOKUP(Table1[[#This Row],[Period]],Forecast!$H$2:$L$1048576,3,FALSE)),2)</f>
        <v>0</v>
      </c>
      <c r="L308" s="2">
        <f>Table1[[#This Row],[Period]]+$E$9</f>
        <v>304</v>
      </c>
      <c r="M308" s="3">
        <f>Table1[[#This Row],[Defaulted Principal]]-Table1[[#This Row],[Estimated Loss]]</f>
        <v>0</v>
      </c>
      <c r="N308" s="3">
        <f>IFERROR(VLOOKUP(Table1[[#This Row],[Period]],$L$16:$M$385,2,FALSE),0)</f>
        <v>0</v>
      </c>
      <c r="O308" s="3">
        <f>Table1[[#This Row],[Beginning Balance]]-Table1[[#This Row],[Principal]]-Table1[[#This Row],[Prepayments]]-Table1[[#This Row],[Defaulted Principal]]</f>
        <v>0</v>
      </c>
      <c r="P308" s="3">
        <f>Table1[[#This Row],[Principal]]+Table1[[#This Row],[Interest]]+Table1[[#This Row],[Prepayments]]+Table1[[#This Row],[RecoveredAmount]]</f>
        <v>0</v>
      </c>
      <c r="Q308" s="3">
        <f ca="1">Table1[[#This Row],[Cash Flow]]/((1+ActualRateToUse)^(IF(ISNUMBER(SEARCH("Actual",$C$7)),Table1[[#This Row],[Running Total]]/365,Table1[[#This Row],[Period]]/12)))</f>
        <v>0</v>
      </c>
      <c r="R308" s="2">
        <f>IF(MONTH(Table1[[#This Row],[Date]])=2,28,DAY(DATE(YEAR(Table1[[#This Row],[Date]]),MONTH(Table1[[#This Row],[Date]])+1,1)-1))</f>
        <v>31</v>
      </c>
      <c r="S308" s="2">
        <f ca="1">SUM(OFFSET(Table1[[#Headers],[Days in month]],1,0):Table1[[#This Row],[Days in month]])</f>
        <v>8883</v>
      </c>
      <c r="T308" s="37">
        <f>InterestRate*AmortizationMultiplier*IF(ISNUMBER(SEARCH("Actual",$C$7)),Table1[[#This Row],[Days in month]]/365,1/12)</f>
        <v>6.0708333333333326E-3</v>
      </c>
    </row>
    <row r="309" spans="2:20" x14ac:dyDescent="0.2">
      <c r="B309" s="1">
        <f t="shared" si="16"/>
        <v>54757</v>
      </c>
      <c r="C309" s="2">
        <f t="shared" si="17"/>
        <v>293</v>
      </c>
      <c r="D309" s="3">
        <f t="shared" si="19"/>
        <v>0</v>
      </c>
      <c r="E309" s="3">
        <f>ROUND(Table1[[#This Row],[Beginning Balance]]*Table1[[#This Row],[Monthly Interest Rate]],2)</f>
        <v>0</v>
      </c>
      <c r="F309" s="3">
        <f t="shared" si="18"/>
        <v>59</v>
      </c>
      <c r="G309" s="23">
        <f>IFERROR(IF($C$13="No","N/A",IF(Table1[[#This Row],[Period]]=1,$C$6,PMT(InterestRate*AmortizationMultiplier/12,Table1[[#This Row],[Am Thru]],-Table1[[#This Row],[Beginning Balance]]))),0)</f>
        <v>0</v>
      </c>
      <c r="H309" s="3">
        <f>MAX(0,IF(C309=$C$4,D309,ROUND(IF($C$3="Fixed Principal",$C$6-Table1[[#This Row],[Interest]],IF($C$3="Interest Only",Table1[[#This Row],[Beginning Balance]]*ROUND(1-(1-IF($C$11="No",$E$8,1))^(1/12),6),MIN(IF($C$13="Yes",Table1[[#This Row],[Payment Amount (Reamortized)]],$C$6)-Table1[[#This Row],[Interest]],Table1[[#This Row],[Beginning Balance]]))),2)))</f>
        <v>0</v>
      </c>
      <c r="I309" s="3">
        <f>_xlfn.SINGLE(IF($C$3="Line of Credit",0,ROUND(MAX(MIN(IF($C$10="No",$E$7,VLOOKUP(Table1[[#This Row],[Period]],Forecast!$H$2:$L$1048576,4,FALSE))*Table1[[#This Row],[Beginning Balance]],Table1[[#This Row],[Beginning Balance]]-Table1[[#This Row],[Principal]]),0),2)))</f>
        <v>0</v>
      </c>
      <c r="J309" s="3">
        <f>ROUND(MIN(Table1[[#This Row],[Beginning Balance]]*IF($C$8="No",$E$3,VLOOKUP(Table1[[#This Row],[Period]],Forecast!$H$2:$L$1048576,2,FALSE)),Table1[[#This Row],[Beginning Balance]]-Table1[[#This Row],[Principal]]-Table1[[#This Row],[Prepayments]]),2)</f>
        <v>0</v>
      </c>
      <c r="K309" s="3">
        <f>ROUND(Table1[[#This Row],[Defaulted Principal]]*IF($C$9="No",$E$4,VLOOKUP(Table1[[#This Row],[Period]],Forecast!$H$2:$L$1048576,3,FALSE)),2)</f>
        <v>0</v>
      </c>
      <c r="L309" s="2">
        <f>Table1[[#This Row],[Period]]+$E$9</f>
        <v>305</v>
      </c>
      <c r="M309" s="3">
        <f>Table1[[#This Row],[Defaulted Principal]]-Table1[[#This Row],[Estimated Loss]]</f>
        <v>0</v>
      </c>
      <c r="N309" s="3">
        <f>IFERROR(VLOOKUP(Table1[[#This Row],[Period]],$L$16:$M$385,2,FALSE),0)</f>
        <v>0</v>
      </c>
      <c r="O309" s="3">
        <f>Table1[[#This Row],[Beginning Balance]]-Table1[[#This Row],[Principal]]-Table1[[#This Row],[Prepayments]]-Table1[[#This Row],[Defaulted Principal]]</f>
        <v>0</v>
      </c>
      <c r="P309" s="3">
        <f>Table1[[#This Row],[Principal]]+Table1[[#This Row],[Interest]]+Table1[[#This Row],[Prepayments]]+Table1[[#This Row],[RecoveredAmount]]</f>
        <v>0</v>
      </c>
      <c r="Q309" s="3">
        <f ca="1">Table1[[#This Row],[Cash Flow]]/((1+ActualRateToUse)^(IF(ISNUMBER(SEARCH("Actual",$C$7)),Table1[[#This Row],[Running Total]]/365,Table1[[#This Row],[Period]]/12)))</f>
        <v>0</v>
      </c>
      <c r="R309" s="2">
        <f>IF(MONTH(Table1[[#This Row],[Date]])=2,28,DAY(DATE(YEAR(Table1[[#This Row],[Date]]),MONTH(Table1[[#This Row],[Date]])+1,1)-1))</f>
        <v>30</v>
      </c>
      <c r="S309" s="2">
        <f ca="1">SUM(OFFSET(Table1[[#Headers],[Days in month]],1,0):Table1[[#This Row],[Days in month]])</f>
        <v>8913</v>
      </c>
      <c r="T309" s="37">
        <f>InterestRate*AmortizationMultiplier*IF(ISNUMBER(SEARCH("Actual",$C$7)),Table1[[#This Row],[Days in month]]/365,1/12)</f>
        <v>5.8749999999999991E-3</v>
      </c>
    </row>
    <row r="310" spans="2:20" x14ac:dyDescent="0.2">
      <c r="B310" s="1">
        <f t="shared" si="16"/>
        <v>54788</v>
      </c>
      <c r="C310" s="2">
        <f t="shared" si="17"/>
        <v>294</v>
      </c>
      <c r="D310" s="3">
        <f t="shared" si="19"/>
        <v>0</v>
      </c>
      <c r="E310" s="3">
        <f>ROUND(Table1[[#This Row],[Beginning Balance]]*Table1[[#This Row],[Monthly Interest Rate]],2)</f>
        <v>0</v>
      </c>
      <c r="F310" s="3">
        <f t="shared" si="18"/>
        <v>58</v>
      </c>
      <c r="G310" s="23">
        <f>IFERROR(IF($C$13="No","N/A",IF(Table1[[#This Row],[Period]]=1,$C$6,PMT(InterestRate*AmortizationMultiplier/12,Table1[[#This Row],[Am Thru]],-Table1[[#This Row],[Beginning Balance]]))),0)</f>
        <v>0</v>
      </c>
      <c r="H310" s="3">
        <f>MAX(0,IF(C310=$C$4,D310,ROUND(IF($C$3="Fixed Principal",$C$6-Table1[[#This Row],[Interest]],IF($C$3="Interest Only",Table1[[#This Row],[Beginning Balance]]*ROUND(1-(1-IF($C$11="No",$E$8,1))^(1/12),6),MIN(IF($C$13="Yes",Table1[[#This Row],[Payment Amount (Reamortized)]],$C$6)-Table1[[#This Row],[Interest]],Table1[[#This Row],[Beginning Balance]]))),2)))</f>
        <v>0</v>
      </c>
      <c r="I310" s="3">
        <f>_xlfn.SINGLE(IF($C$3="Line of Credit",0,ROUND(MAX(MIN(IF($C$10="No",$E$7,VLOOKUP(Table1[[#This Row],[Period]],Forecast!$H$2:$L$1048576,4,FALSE))*Table1[[#This Row],[Beginning Balance]],Table1[[#This Row],[Beginning Balance]]-Table1[[#This Row],[Principal]]),0),2)))</f>
        <v>0</v>
      </c>
      <c r="J310" s="3">
        <f>ROUND(MIN(Table1[[#This Row],[Beginning Balance]]*IF($C$8="No",$E$3,VLOOKUP(Table1[[#This Row],[Period]],Forecast!$H$2:$L$1048576,2,FALSE)),Table1[[#This Row],[Beginning Balance]]-Table1[[#This Row],[Principal]]-Table1[[#This Row],[Prepayments]]),2)</f>
        <v>0</v>
      </c>
      <c r="K310" s="3">
        <f>ROUND(Table1[[#This Row],[Defaulted Principal]]*IF($C$9="No",$E$4,VLOOKUP(Table1[[#This Row],[Period]],Forecast!$H$2:$L$1048576,3,FALSE)),2)</f>
        <v>0</v>
      </c>
      <c r="L310" s="2">
        <f>Table1[[#This Row],[Period]]+$E$9</f>
        <v>306</v>
      </c>
      <c r="M310" s="3">
        <f>Table1[[#This Row],[Defaulted Principal]]-Table1[[#This Row],[Estimated Loss]]</f>
        <v>0</v>
      </c>
      <c r="N310" s="3">
        <f>IFERROR(VLOOKUP(Table1[[#This Row],[Period]],$L$16:$M$385,2,FALSE),0)</f>
        <v>0</v>
      </c>
      <c r="O310" s="3">
        <f>Table1[[#This Row],[Beginning Balance]]-Table1[[#This Row],[Principal]]-Table1[[#This Row],[Prepayments]]-Table1[[#This Row],[Defaulted Principal]]</f>
        <v>0</v>
      </c>
      <c r="P310" s="3">
        <f>Table1[[#This Row],[Principal]]+Table1[[#This Row],[Interest]]+Table1[[#This Row],[Prepayments]]+Table1[[#This Row],[RecoveredAmount]]</f>
        <v>0</v>
      </c>
      <c r="Q310" s="3">
        <f ca="1">Table1[[#This Row],[Cash Flow]]/((1+ActualRateToUse)^(IF(ISNUMBER(SEARCH("Actual",$C$7)),Table1[[#This Row],[Running Total]]/365,Table1[[#This Row],[Period]]/12)))</f>
        <v>0</v>
      </c>
      <c r="R310" s="2">
        <f>IF(MONTH(Table1[[#This Row],[Date]])=2,28,DAY(DATE(YEAR(Table1[[#This Row],[Date]]),MONTH(Table1[[#This Row],[Date]])+1,1)-1))</f>
        <v>31</v>
      </c>
      <c r="S310" s="2">
        <f ca="1">SUM(OFFSET(Table1[[#Headers],[Days in month]],1,0):Table1[[#This Row],[Days in month]])</f>
        <v>8944</v>
      </c>
      <c r="T310" s="37">
        <f>InterestRate*AmortizationMultiplier*IF(ISNUMBER(SEARCH("Actual",$C$7)),Table1[[#This Row],[Days in month]]/365,1/12)</f>
        <v>6.0708333333333326E-3</v>
      </c>
    </row>
    <row r="311" spans="2:20" x14ac:dyDescent="0.2">
      <c r="B311" s="1">
        <f t="shared" si="16"/>
        <v>54819</v>
      </c>
      <c r="C311" s="2">
        <f t="shared" si="17"/>
        <v>295</v>
      </c>
      <c r="D311" s="3">
        <f t="shared" si="19"/>
        <v>0</v>
      </c>
      <c r="E311" s="3">
        <f>ROUND(Table1[[#This Row],[Beginning Balance]]*Table1[[#This Row],[Monthly Interest Rate]],2)</f>
        <v>0</v>
      </c>
      <c r="F311" s="3">
        <f t="shared" si="18"/>
        <v>57</v>
      </c>
      <c r="G311" s="23">
        <f>IFERROR(IF($C$13="No","N/A",IF(Table1[[#This Row],[Period]]=1,$C$6,PMT(InterestRate*AmortizationMultiplier/12,Table1[[#This Row],[Am Thru]],-Table1[[#This Row],[Beginning Balance]]))),0)</f>
        <v>0</v>
      </c>
      <c r="H311" s="3">
        <f>MAX(0,IF(C311=$C$4,D311,ROUND(IF($C$3="Fixed Principal",$C$6-Table1[[#This Row],[Interest]],IF($C$3="Interest Only",Table1[[#This Row],[Beginning Balance]]*ROUND(1-(1-IF($C$11="No",$E$8,1))^(1/12),6),MIN(IF($C$13="Yes",Table1[[#This Row],[Payment Amount (Reamortized)]],$C$6)-Table1[[#This Row],[Interest]],Table1[[#This Row],[Beginning Balance]]))),2)))</f>
        <v>0</v>
      </c>
      <c r="I311" s="3">
        <f>_xlfn.SINGLE(IF($C$3="Line of Credit",0,ROUND(MAX(MIN(IF($C$10="No",$E$7,VLOOKUP(Table1[[#This Row],[Period]],Forecast!$H$2:$L$1048576,4,FALSE))*Table1[[#This Row],[Beginning Balance]],Table1[[#This Row],[Beginning Balance]]-Table1[[#This Row],[Principal]]),0),2)))</f>
        <v>0</v>
      </c>
      <c r="J311" s="3">
        <f>ROUND(MIN(Table1[[#This Row],[Beginning Balance]]*IF($C$8="No",$E$3,VLOOKUP(Table1[[#This Row],[Period]],Forecast!$H$2:$L$1048576,2,FALSE)),Table1[[#This Row],[Beginning Balance]]-Table1[[#This Row],[Principal]]-Table1[[#This Row],[Prepayments]]),2)</f>
        <v>0</v>
      </c>
      <c r="K311" s="3">
        <f>ROUND(Table1[[#This Row],[Defaulted Principal]]*IF($C$9="No",$E$4,VLOOKUP(Table1[[#This Row],[Period]],Forecast!$H$2:$L$1048576,3,FALSE)),2)</f>
        <v>0</v>
      </c>
      <c r="L311" s="2">
        <f>Table1[[#This Row],[Period]]+$E$9</f>
        <v>307</v>
      </c>
      <c r="M311" s="3">
        <f>Table1[[#This Row],[Defaulted Principal]]-Table1[[#This Row],[Estimated Loss]]</f>
        <v>0</v>
      </c>
      <c r="N311" s="3">
        <f>IFERROR(VLOOKUP(Table1[[#This Row],[Period]],$L$16:$M$385,2,FALSE),0)</f>
        <v>0</v>
      </c>
      <c r="O311" s="3">
        <f>Table1[[#This Row],[Beginning Balance]]-Table1[[#This Row],[Principal]]-Table1[[#This Row],[Prepayments]]-Table1[[#This Row],[Defaulted Principal]]</f>
        <v>0</v>
      </c>
      <c r="P311" s="3">
        <f>Table1[[#This Row],[Principal]]+Table1[[#This Row],[Interest]]+Table1[[#This Row],[Prepayments]]+Table1[[#This Row],[RecoveredAmount]]</f>
        <v>0</v>
      </c>
      <c r="Q311" s="3">
        <f ca="1">Table1[[#This Row],[Cash Flow]]/((1+ActualRateToUse)^(IF(ISNUMBER(SEARCH("Actual",$C$7)),Table1[[#This Row],[Running Total]]/365,Table1[[#This Row],[Period]]/12)))</f>
        <v>0</v>
      </c>
      <c r="R311" s="2">
        <f>IF(MONTH(Table1[[#This Row],[Date]])=2,28,DAY(DATE(YEAR(Table1[[#This Row],[Date]]),MONTH(Table1[[#This Row],[Date]])+1,1)-1))</f>
        <v>31</v>
      </c>
      <c r="S311" s="2">
        <f ca="1">SUM(OFFSET(Table1[[#Headers],[Days in month]],1,0):Table1[[#This Row],[Days in month]])</f>
        <v>8975</v>
      </c>
      <c r="T311" s="37">
        <f>InterestRate*AmortizationMultiplier*IF(ISNUMBER(SEARCH("Actual",$C$7)),Table1[[#This Row],[Days in month]]/365,1/12)</f>
        <v>6.0708333333333326E-3</v>
      </c>
    </row>
    <row r="312" spans="2:20" x14ac:dyDescent="0.2">
      <c r="B312" s="1">
        <f t="shared" si="16"/>
        <v>54847</v>
      </c>
      <c r="C312" s="2">
        <f t="shared" si="17"/>
        <v>296</v>
      </c>
      <c r="D312" s="3">
        <f t="shared" si="19"/>
        <v>0</v>
      </c>
      <c r="E312" s="3">
        <f>ROUND(Table1[[#This Row],[Beginning Balance]]*Table1[[#This Row],[Monthly Interest Rate]],2)</f>
        <v>0</v>
      </c>
      <c r="F312" s="3">
        <f t="shared" si="18"/>
        <v>56</v>
      </c>
      <c r="G312" s="23">
        <f>IFERROR(IF($C$13="No","N/A",IF(Table1[[#This Row],[Period]]=1,$C$6,PMT(InterestRate*AmortizationMultiplier/12,Table1[[#This Row],[Am Thru]],-Table1[[#This Row],[Beginning Balance]]))),0)</f>
        <v>0</v>
      </c>
      <c r="H312" s="3">
        <f>MAX(0,IF(C312=$C$4,D312,ROUND(IF($C$3="Fixed Principal",$C$6-Table1[[#This Row],[Interest]],IF($C$3="Interest Only",Table1[[#This Row],[Beginning Balance]]*ROUND(1-(1-IF($C$11="No",$E$8,1))^(1/12),6),MIN(IF($C$13="Yes",Table1[[#This Row],[Payment Amount (Reamortized)]],$C$6)-Table1[[#This Row],[Interest]],Table1[[#This Row],[Beginning Balance]]))),2)))</f>
        <v>0</v>
      </c>
      <c r="I312" s="3">
        <f>_xlfn.SINGLE(IF($C$3="Line of Credit",0,ROUND(MAX(MIN(IF($C$10="No",$E$7,VLOOKUP(Table1[[#This Row],[Period]],Forecast!$H$2:$L$1048576,4,FALSE))*Table1[[#This Row],[Beginning Balance]],Table1[[#This Row],[Beginning Balance]]-Table1[[#This Row],[Principal]]),0),2)))</f>
        <v>0</v>
      </c>
      <c r="J312" s="3">
        <f>ROUND(MIN(Table1[[#This Row],[Beginning Balance]]*IF($C$8="No",$E$3,VLOOKUP(Table1[[#This Row],[Period]],Forecast!$H$2:$L$1048576,2,FALSE)),Table1[[#This Row],[Beginning Balance]]-Table1[[#This Row],[Principal]]-Table1[[#This Row],[Prepayments]]),2)</f>
        <v>0</v>
      </c>
      <c r="K312" s="3">
        <f>ROUND(Table1[[#This Row],[Defaulted Principal]]*IF($C$9="No",$E$4,VLOOKUP(Table1[[#This Row],[Period]],Forecast!$H$2:$L$1048576,3,FALSE)),2)</f>
        <v>0</v>
      </c>
      <c r="L312" s="2">
        <f>Table1[[#This Row],[Period]]+$E$9</f>
        <v>308</v>
      </c>
      <c r="M312" s="3">
        <f>Table1[[#This Row],[Defaulted Principal]]-Table1[[#This Row],[Estimated Loss]]</f>
        <v>0</v>
      </c>
      <c r="N312" s="3">
        <f>IFERROR(VLOOKUP(Table1[[#This Row],[Period]],$L$16:$M$385,2,FALSE),0)</f>
        <v>0</v>
      </c>
      <c r="O312" s="3">
        <f>Table1[[#This Row],[Beginning Balance]]-Table1[[#This Row],[Principal]]-Table1[[#This Row],[Prepayments]]-Table1[[#This Row],[Defaulted Principal]]</f>
        <v>0</v>
      </c>
      <c r="P312" s="3">
        <f>Table1[[#This Row],[Principal]]+Table1[[#This Row],[Interest]]+Table1[[#This Row],[Prepayments]]+Table1[[#This Row],[RecoveredAmount]]</f>
        <v>0</v>
      </c>
      <c r="Q312" s="3">
        <f ca="1">Table1[[#This Row],[Cash Flow]]/((1+ActualRateToUse)^(IF(ISNUMBER(SEARCH("Actual",$C$7)),Table1[[#This Row],[Running Total]]/365,Table1[[#This Row],[Period]]/12)))</f>
        <v>0</v>
      </c>
      <c r="R312" s="2">
        <f>IF(MONTH(Table1[[#This Row],[Date]])=2,28,DAY(DATE(YEAR(Table1[[#This Row],[Date]]),MONTH(Table1[[#This Row],[Date]])+1,1)-1))</f>
        <v>28</v>
      </c>
      <c r="S312" s="2">
        <f ca="1">SUM(OFFSET(Table1[[#Headers],[Days in month]],1,0):Table1[[#This Row],[Days in month]])</f>
        <v>9003</v>
      </c>
      <c r="T312" s="37">
        <f>InterestRate*AmortizationMultiplier*IF(ISNUMBER(SEARCH("Actual",$C$7)),Table1[[#This Row],[Days in month]]/365,1/12)</f>
        <v>5.4833333333333331E-3</v>
      </c>
    </row>
    <row r="313" spans="2:20" x14ac:dyDescent="0.2">
      <c r="B313" s="1">
        <f t="shared" si="16"/>
        <v>54878</v>
      </c>
      <c r="C313" s="2">
        <f t="shared" si="17"/>
        <v>297</v>
      </c>
      <c r="D313" s="3">
        <f t="shared" si="19"/>
        <v>0</v>
      </c>
      <c r="E313" s="3">
        <f>ROUND(Table1[[#This Row],[Beginning Balance]]*Table1[[#This Row],[Monthly Interest Rate]],2)</f>
        <v>0</v>
      </c>
      <c r="F313" s="3">
        <f t="shared" si="18"/>
        <v>55</v>
      </c>
      <c r="G313" s="23">
        <f>IFERROR(IF($C$13="No","N/A",IF(Table1[[#This Row],[Period]]=1,$C$6,PMT(InterestRate*AmortizationMultiplier/12,Table1[[#This Row],[Am Thru]],-Table1[[#This Row],[Beginning Balance]]))),0)</f>
        <v>0</v>
      </c>
      <c r="H313" s="3">
        <f>MAX(0,IF(C313=$C$4,D313,ROUND(IF($C$3="Fixed Principal",$C$6-Table1[[#This Row],[Interest]],IF($C$3="Interest Only",Table1[[#This Row],[Beginning Balance]]*ROUND(1-(1-IF($C$11="No",$E$8,1))^(1/12),6),MIN(IF($C$13="Yes",Table1[[#This Row],[Payment Amount (Reamortized)]],$C$6)-Table1[[#This Row],[Interest]],Table1[[#This Row],[Beginning Balance]]))),2)))</f>
        <v>0</v>
      </c>
      <c r="I313" s="3">
        <f>_xlfn.SINGLE(IF($C$3="Line of Credit",0,ROUND(MAX(MIN(IF($C$10="No",$E$7,VLOOKUP(Table1[[#This Row],[Period]],Forecast!$H$2:$L$1048576,4,FALSE))*Table1[[#This Row],[Beginning Balance]],Table1[[#This Row],[Beginning Balance]]-Table1[[#This Row],[Principal]]),0),2)))</f>
        <v>0</v>
      </c>
      <c r="J313" s="3">
        <f>ROUND(MIN(Table1[[#This Row],[Beginning Balance]]*IF($C$8="No",$E$3,VLOOKUP(Table1[[#This Row],[Period]],Forecast!$H$2:$L$1048576,2,FALSE)),Table1[[#This Row],[Beginning Balance]]-Table1[[#This Row],[Principal]]-Table1[[#This Row],[Prepayments]]),2)</f>
        <v>0</v>
      </c>
      <c r="K313" s="3">
        <f>ROUND(Table1[[#This Row],[Defaulted Principal]]*IF($C$9="No",$E$4,VLOOKUP(Table1[[#This Row],[Period]],Forecast!$H$2:$L$1048576,3,FALSE)),2)</f>
        <v>0</v>
      </c>
      <c r="L313" s="2">
        <f>Table1[[#This Row],[Period]]+$E$9</f>
        <v>309</v>
      </c>
      <c r="M313" s="3">
        <f>Table1[[#This Row],[Defaulted Principal]]-Table1[[#This Row],[Estimated Loss]]</f>
        <v>0</v>
      </c>
      <c r="N313" s="3">
        <f>IFERROR(VLOOKUP(Table1[[#This Row],[Period]],$L$16:$M$385,2,FALSE),0)</f>
        <v>0</v>
      </c>
      <c r="O313" s="3">
        <f>Table1[[#This Row],[Beginning Balance]]-Table1[[#This Row],[Principal]]-Table1[[#This Row],[Prepayments]]-Table1[[#This Row],[Defaulted Principal]]</f>
        <v>0</v>
      </c>
      <c r="P313" s="3">
        <f>Table1[[#This Row],[Principal]]+Table1[[#This Row],[Interest]]+Table1[[#This Row],[Prepayments]]+Table1[[#This Row],[RecoveredAmount]]</f>
        <v>0</v>
      </c>
      <c r="Q313" s="3">
        <f ca="1">Table1[[#This Row],[Cash Flow]]/((1+ActualRateToUse)^(IF(ISNUMBER(SEARCH("Actual",$C$7)),Table1[[#This Row],[Running Total]]/365,Table1[[#This Row],[Period]]/12)))</f>
        <v>0</v>
      </c>
      <c r="R313" s="2">
        <f>IF(MONTH(Table1[[#This Row],[Date]])=2,28,DAY(DATE(YEAR(Table1[[#This Row],[Date]]),MONTH(Table1[[#This Row],[Date]])+1,1)-1))</f>
        <v>31</v>
      </c>
      <c r="S313" s="2">
        <f ca="1">SUM(OFFSET(Table1[[#Headers],[Days in month]],1,0):Table1[[#This Row],[Days in month]])</f>
        <v>9034</v>
      </c>
      <c r="T313" s="37">
        <f>InterestRate*AmortizationMultiplier*IF(ISNUMBER(SEARCH("Actual",$C$7)),Table1[[#This Row],[Days in month]]/365,1/12)</f>
        <v>6.0708333333333326E-3</v>
      </c>
    </row>
    <row r="314" spans="2:20" x14ac:dyDescent="0.2">
      <c r="B314" s="1">
        <f t="shared" si="16"/>
        <v>54908</v>
      </c>
      <c r="C314" s="2">
        <f t="shared" si="17"/>
        <v>298</v>
      </c>
      <c r="D314" s="3">
        <f t="shared" si="19"/>
        <v>0</v>
      </c>
      <c r="E314" s="3">
        <f>ROUND(Table1[[#This Row],[Beginning Balance]]*Table1[[#This Row],[Monthly Interest Rate]],2)</f>
        <v>0</v>
      </c>
      <c r="F314" s="3">
        <f t="shared" si="18"/>
        <v>54</v>
      </c>
      <c r="G314" s="23">
        <f>IFERROR(IF($C$13="No","N/A",IF(Table1[[#This Row],[Period]]=1,$C$6,PMT(InterestRate*AmortizationMultiplier/12,Table1[[#This Row],[Am Thru]],-Table1[[#This Row],[Beginning Balance]]))),0)</f>
        <v>0</v>
      </c>
      <c r="H314" s="3">
        <f>MAX(0,IF(C314=$C$4,D314,ROUND(IF($C$3="Fixed Principal",$C$6-Table1[[#This Row],[Interest]],IF($C$3="Interest Only",Table1[[#This Row],[Beginning Balance]]*ROUND(1-(1-IF($C$11="No",$E$8,1))^(1/12),6),MIN(IF($C$13="Yes",Table1[[#This Row],[Payment Amount (Reamortized)]],$C$6)-Table1[[#This Row],[Interest]],Table1[[#This Row],[Beginning Balance]]))),2)))</f>
        <v>0</v>
      </c>
      <c r="I314" s="3">
        <f>_xlfn.SINGLE(IF($C$3="Line of Credit",0,ROUND(MAX(MIN(IF($C$10="No",$E$7,VLOOKUP(Table1[[#This Row],[Period]],Forecast!$H$2:$L$1048576,4,FALSE))*Table1[[#This Row],[Beginning Balance]],Table1[[#This Row],[Beginning Balance]]-Table1[[#This Row],[Principal]]),0),2)))</f>
        <v>0</v>
      </c>
      <c r="J314" s="3">
        <f>ROUND(MIN(Table1[[#This Row],[Beginning Balance]]*IF($C$8="No",$E$3,VLOOKUP(Table1[[#This Row],[Period]],Forecast!$H$2:$L$1048576,2,FALSE)),Table1[[#This Row],[Beginning Balance]]-Table1[[#This Row],[Principal]]-Table1[[#This Row],[Prepayments]]),2)</f>
        <v>0</v>
      </c>
      <c r="K314" s="3">
        <f>ROUND(Table1[[#This Row],[Defaulted Principal]]*IF($C$9="No",$E$4,VLOOKUP(Table1[[#This Row],[Period]],Forecast!$H$2:$L$1048576,3,FALSE)),2)</f>
        <v>0</v>
      </c>
      <c r="L314" s="2">
        <f>Table1[[#This Row],[Period]]+$E$9</f>
        <v>310</v>
      </c>
      <c r="M314" s="3">
        <f>Table1[[#This Row],[Defaulted Principal]]-Table1[[#This Row],[Estimated Loss]]</f>
        <v>0</v>
      </c>
      <c r="N314" s="3">
        <f>IFERROR(VLOOKUP(Table1[[#This Row],[Period]],$L$16:$M$385,2,FALSE),0)</f>
        <v>0</v>
      </c>
      <c r="O314" s="3">
        <f>Table1[[#This Row],[Beginning Balance]]-Table1[[#This Row],[Principal]]-Table1[[#This Row],[Prepayments]]-Table1[[#This Row],[Defaulted Principal]]</f>
        <v>0</v>
      </c>
      <c r="P314" s="3">
        <f>Table1[[#This Row],[Principal]]+Table1[[#This Row],[Interest]]+Table1[[#This Row],[Prepayments]]+Table1[[#This Row],[RecoveredAmount]]</f>
        <v>0</v>
      </c>
      <c r="Q314" s="3">
        <f ca="1">Table1[[#This Row],[Cash Flow]]/((1+ActualRateToUse)^(IF(ISNUMBER(SEARCH("Actual",$C$7)),Table1[[#This Row],[Running Total]]/365,Table1[[#This Row],[Period]]/12)))</f>
        <v>0</v>
      </c>
      <c r="R314" s="2">
        <f>IF(MONTH(Table1[[#This Row],[Date]])=2,28,DAY(DATE(YEAR(Table1[[#This Row],[Date]]),MONTH(Table1[[#This Row],[Date]])+1,1)-1))</f>
        <v>30</v>
      </c>
      <c r="S314" s="2">
        <f ca="1">SUM(OFFSET(Table1[[#Headers],[Days in month]],1,0):Table1[[#This Row],[Days in month]])</f>
        <v>9064</v>
      </c>
      <c r="T314" s="37">
        <f>InterestRate*AmortizationMultiplier*IF(ISNUMBER(SEARCH("Actual",$C$7)),Table1[[#This Row],[Days in month]]/365,1/12)</f>
        <v>5.8749999999999991E-3</v>
      </c>
    </row>
    <row r="315" spans="2:20" x14ac:dyDescent="0.2">
      <c r="B315" s="1">
        <f t="shared" si="16"/>
        <v>54939</v>
      </c>
      <c r="C315" s="2">
        <f t="shared" si="17"/>
        <v>299</v>
      </c>
      <c r="D315" s="3">
        <f t="shared" si="19"/>
        <v>0</v>
      </c>
      <c r="E315" s="3">
        <f>ROUND(Table1[[#This Row],[Beginning Balance]]*Table1[[#This Row],[Monthly Interest Rate]],2)</f>
        <v>0</v>
      </c>
      <c r="F315" s="3">
        <f t="shared" si="18"/>
        <v>53</v>
      </c>
      <c r="G315" s="23">
        <f>IFERROR(IF($C$13="No","N/A",IF(Table1[[#This Row],[Period]]=1,$C$6,PMT(InterestRate*AmortizationMultiplier/12,Table1[[#This Row],[Am Thru]],-Table1[[#This Row],[Beginning Balance]]))),0)</f>
        <v>0</v>
      </c>
      <c r="H315" s="3">
        <f>MAX(0,IF(C315=$C$4,D315,ROUND(IF($C$3="Fixed Principal",$C$6-Table1[[#This Row],[Interest]],IF($C$3="Interest Only",Table1[[#This Row],[Beginning Balance]]*ROUND(1-(1-IF($C$11="No",$E$8,1))^(1/12),6),MIN(IF($C$13="Yes",Table1[[#This Row],[Payment Amount (Reamortized)]],$C$6)-Table1[[#This Row],[Interest]],Table1[[#This Row],[Beginning Balance]]))),2)))</f>
        <v>0</v>
      </c>
      <c r="I315" s="3">
        <f>_xlfn.SINGLE(IF($C$3="Line of Credit",0,ROUND(MAX(MIN(IF($C$10="No",$E$7,VLOOKUP(Table1[[#This Row],[Period]],Forecast!$H$2:$L$1048576,4,FALSE))*Table1[[#This Row],[Beginning Balance]],Table1[[#This Row],[Beginning Balance]]-Table1[[#This Row],[Principal]]),0),2)))</f>
        <v>0</v>
      </c>
      <c r="J315" s="3">
        <f>ROUND(MIN(Table1[[#This Row],[Beginning Balance]]*IF($C$8="No",$E$3,VLOOKUP(Table1[[#This Row],[Period]],Forecast!$H$2:$L$1048576,2,FALSE)),Table1[[#This Row],[Beginning Balance]]-Table1[[#This Row],[Principal]]-Table1[[#This Row],[Prepayments]]),2)</f>
        <v>0</v>
      </c>
      <c r="K315" s="3">
        <f>ROUND(Table1[[#This Row],[Defaulted Principal]]*IF($C$9="No",$E$4,VLOOKUP(Table1[[#This Row],[Period]],Forecast!$H$2:$L$1048576,3,FALSE)),2)</f>
        <v>0</v>
      </c>
      <c r="L315" s="2">
        <f>Table1[[#This Row],[Period]]+$E$9</f>
        <v>311</v>
      </c>
      <c r="M315" s="3">
        <f>Table1[[#This Row],[Defaulted Principal]]-Table1[[#This Row],[Estimated Loss]]</f>
        <v>0</v>
      </c>
      <c r="N315" s="3">
        <f>IFERROR(VLOOKUP(Table1[[#This Row],[Period]],$L$16:$M$385,2,FALSE),0)</f>
        <v>0</v>
      </c>
      <c r="O315" s="3">
        <f>Table1[[#This Row],[Beginning Balance]]-Table1[[#This Row],[Principal]]-Table1[[#This Row],[Prepayments]]-Table1[[#This Row],[Defaulted Principal]]</f>
        <v>0</v>
      </c>
      <c r="P315" s="3">
        <f>Table1[[#This Row],[Principal]]+Table1[[#This Row],[Interest]]+Table1[[#This Row],[Prepayments]]+Table1[[#This Row],[RecoveredAmount]]</f>
        <v>0</v>
      </c>
      <c r="Q315" s="3">
        <f ca="1">Table1[[#This Row],[Cash Flow]]/((1+ActualRateToUse)^(IF(ISNUMBER(SEARCH("Actual",$C$7)),Table1[[#This Row],[Running Total]]/365,Table1[[#This Row],[Period]]/12)))</f>
        <v>0</v>
      </c>
      <c r="R315" s="2">
        <f>IF(MONTH(Table1[[#This Row],[Date]])=2,28,DAY(DATE(YEAR(Table1[[#This Row],[Date]]),MONTH(Table1[[#This Row],[Date]])+1,1)-1))</f>
        <v>31</v>
      </c>
      <c r="S315" s="2">
        <f ca="1">SUM(OFFSET(Table1[[#Headers],[Days in month]],1,0):Table1[[#This Row],[Days in month]])</f>
        <v>9095</v>
      </c>
      <c r="T315" s="37">
        <f>InterestRate*AmortizationMultiplier*IF(ISNUMBER(SEARCH("Actual",$C$7)),Table1[[#This Row],[Days in month]]/365,1/12)</f>
        <v>6.0708333333333326E-3</v>
      </c>
    </row>
    <row r="316" spans="2:20" x14ac:dyDescent="0.2">
      <c r="B316" s="1">
        <f t="shared" si="16"/>
        <v>54969</v>
      </c>
      <c r="C316" s="2">
        <f t="shared" si="17"/>
        <v>300</v>
      </c>
      <c r="D316" s="3">
        <f t="shared" si="19"/>
        <v>0</v>
      </c>
      <c r="E316" s="3">
        <f>ROUND(Table1[[#This Row],[Beginning Balance]]*Table1[[#This Row],[Monthly Interest Rate]],2)</f>
        <v>0</v>
      </c>
      <c r="F316" s="3">
        <f t="shared" si="18"/>
        <v>52</v>
      </c>
      <c r="G316" s="23">
        <f>IFERROR(IF($C$13="No","N/A",IF(Table1[[#This Row],[Period]]=1,$C$6,PMT(InterestRate*AmortizationMultiplier/12,Table1[[#This Row],[Am Thru]],-Table1[[#This Row],[Beginning Balance]]))),0)</f>
        <v>0</v>
      </c>
      <c r="H316" s="3">
        <f>MAX(0,IF(C316=$C$4,D316,ROUND(IF($C$3="Fixed Principal",$C$6-Table1[[#This Row],[Interest]],IF($C$3="Interest Only",Table1[[#This Row],[Beginning Balance]]*ROUND(1-(1-IF($C$11="No",$E$8,1))^(1/12),6),MIN(IF($C$13="Yes",Table1[[#This Row],[Payment Amount (Reamortized)]],$C$6)-Table1[[#This Row],[Interest]],Table1[[#This Row],[Beginning Balance]]))),2)))</f>
        <v>0</v>
      </c>
      <c r="I316" s="3">
        <f>_xlfn.SINGLE(IF($C$3="Line of Credit",0,ROUND(MAX(MIN(IF($C$10="No",$E$7,VLOOKUP(Table1[[#This Row],[Period]],Forecast!$H$2:$L$1048576,4,FALSE))*Table1[[#This Row],[Beginning Balance]],Table1[[#This Row],[Beginning Balance]]-Table1[[#This Row],[Principal]]),0),2)))</f>
        <v>0</v>
      </c>
      <c r="J316" s="3">
        <f>ROUND(MIN(Table1[[#This Row],[Beginning Balance]]*IF($C$8="No",$E$3,VLOOKUP(Table1[[#This Row],[Period]],Forecast!$H$2:$L$1048576,2,FALSE)),Table1[[#This Row],[Beginning Balance]]-Table1[[#This Row],[Principal]]-Table1[[#This Row],[Prepayments]]),2)</f>
        <v>0</v>
      </c>
      <c r="K316" s="3">
        <f>ROUND(Table1[[#This Row],[Defaulted Principal]]*IF($C$9="No",$E$4,VLOOKUP(Table1[[#This Row],[Period]],Forecast!$H$2:$L$1048576,3,FALSE)),2)</f>
        <v>0</v>
      </c>
      <c r="L316" s="2">
        <f>Table1[[#This Row],[Period]]+$E$9</f>
        <v>312</v>
      </c>
      <c r="M316" s="3">
        <f>Table1[[#This Row],[Defaulted Principal]]-Table1[[#This Row],[Estimated Loss]]</f>
        <v>0</v>
      </c>
      <c r="N316" s="3">
        <f>IFERROR(VLOOKUP(Table1[[#This Row],[Period]],$L$16:$M$385,2,FALSE),0)</f>
        <v>0</v>
      </c>
      <c r="O316" s="3">
        <f>Table1[[#This Row],[Beginning Balance]]-Table1[[#This Row],[Principal]]-Table1[[#This Row],[Prepayments]]-Table1[[#This Row],[Defaulted Principal]]</f>
        <v>0</v>
      </c>
      <c r="P316" s="3">
        <f>Table1[[#This Row],[Principal]]+Table1[[#This Row],[Interest]]+Table1[[#This Row],[Prepayments]]+Table1[[#This Row],[RecoveredAmount]]</f>
        <v>0</v>
      </c>
      <c r="Q316" s="3">
        <f ca="1">Table1[[#This Row],[Cash Flow]]/((1+ActualRateToUse)^(IF(ISNUMBER(SEARCH("Actual",$C$7)),Table1[[#This Row],[Running Total]]/365,Table1[[#This Row],[Period]]/12)))</f>
        <v>0</v>
      </c>
      <c r="R316" s="2">
        <f>IF(MONTH(Table1[[#This Row],[Date]])=2,28,DAY(DATE(YEAR(Table1[[#This Row],[Date]]),MONTH(Table1[[#This Row],[Date]])+1,1)-1))</f>
        <v>30</v>
      </c>
      <c r="S316" s="2">
        <f ca="1">SUM(OFFSET(Table1[[#Headers],[Days in month]],1,0):Table1[[#This Row],[Days in month]])</f>
        <v>9125</v>
      </c>
      <c r="T316" s="37">
        <f>InterestRate*AmortizationMultiplier*IF(ISNUMBER(SEARCH("Actual",$C$7)),Table1[[#This Row],[Days in month]]/365,1/12)</f>
        <v>5.8749999999999991E-3</v>
      </c>
    </row>
    <row r="317" spans="2:20" x14ac:dyDescent="0.2">
      <c r="B317" s="1">
        <f t="shared" si="16"/>
        <v>55000</v>
      </c>
      <c r="C317" s="2">
        <f t="shared" si="17"/>
        <v>301</v>
      </c>
      <c r="D317" s="3">
        <f t="shared" si="19"/>
        <v>0</v>
      </c>
      <c r="E317" s="3">
        <f>ROUND(Table1[[#This Row],[Beginning Balance]]*Table1[[#This Row],[Monthly Interest Rate]],2)</f>
        <v>0</v>
      </c>
      <c r="F317" s="3">
        <f t="shared" si="18"/>
        <v>51</v>
      </c>
      <c r="G317" s="23">
        <f>IFERROR(IF($C$13="No","N/A",IF(Table1[[#This Row],[Period]]=1,$C$6,PMT(InterestRate*AmortizationMultiplier/12,Table1[[#This Row],[Am Thru]],-Table1[[#This Row],[Beginning Balance]]))),0)</f>
        <v>0</v>
      </c>
      <c r="H317" s="3">
        <f>MAX(0,IF(C317=$C$4,D317,ROUND(IF($C$3="Fixed Principal",$C$6-Table1[[#This Row],[Interest]],IF($C$3="Interest Only",Table1[[#This Row],[Beginning Balance]]*ROUND(1-(1-IF($C$11="No",$E$8,1))^(1/12),6),MIN(IF($C$13="Yes",Table1[[#This Row],[Payment Amount (Reamortized)]],$C$6)-Table1[[#This Row],[Interest]],Table1[[#This Row],[Beginning Balance]]))),2)))</f>
        <v>0</v>
      </c>
      <c r="I317" s="3">
        <f>_xlfn.SINGLE(IF($C$3="Line of Credit",0,ROUND(MAX(MIN(IF($C$10="No",$E$7,VLOOKUP(Table1[[#This Row],[Period]],Forecast!$H$2:$L$1048576,4,FALSE))*Table1[[#This Row],[Beginning Balance]],Table1[[#This Row],[Beginning Balance]]-Table1[[#This Row],[Principal]]),0),2)))</f>
        <v>0</v>
      </c>
      <c r="J317" s="3">
        <f>ROUND(MIN(Table1[[#This Row],[Beginning Balance]]*IF($C$8="No",$E$3,VLOOKUP(Table1[[#This Row],[Period]],Forecast!$H$2:$L$1048576,2,FALSE)),Table1[[#This Row],[Beginning Balance]]-Table1[[#This Row],[Principal]]-Table1[[#This Row],[Prepayments]]),2)</f>
        <v>0</v>
      </c>
      <c r="K317" s="3">
        <f>ROUND(Table1[[#This Row],[Defaulted Principal]]*IF($C$9="No",$E$4,VLOOKUP(Table1[[#This Row],[Period]],Forecast!$H$2:$L$1048576,3,FALSE)),2)</f>
        <v>0</v>
      </c>
      <c r="L317" s="2">
        <f>Table1[[#This Row],[Period]]+$E$9</f>
        <v>313</v>
      </c>
      <c r="M317" s="3">
        <f>Table1[[#This Row],[Defaulted Principal]]-Table1[[#This Row],[Estimated Loss]]</f>
        <v>0</v>
      </c>
      <c r="N317" s="3">
        <f>IFERROR(VLOOKUP(Table1[[#This Row],[Period]],$L$16:$M$385,2,FALSE),0)</f>
        <v>0</v>
      </c>
      <c r="O317" s="3">
        <f>Table1[[#This Row],[Beginning Balance]]-Table1[[#This Row],[Principal]]-Table1[[#This Row],[Prepayments]]-Table1[[#This Row],[Defaulted Principal]]</f>
        <v>0</v>
      </c>
      <c r="P317" s="3">
        <f>Table1[[#This Row],[Principal]]+Table1[[#This Row],[Interest]]+Table1[[#This Row],[Prepayments]]+Table1[[#This Row],[RecoveredAmount]]</f>
        <v>0</v>
      </c>
      <c r="Q317" s="3">
        <f ca="1">Table1[[#This Row],[Cash Flow]]/((1+ActualRateToUse)^(IF(ISNUMBER(SEARCH("Actual",$C$7)),Table1[[#This Row],[Running Total]]/365,Table1[[#This Row],[Period]]/12)))</f>
        <v>0</v>
      </c>
      <c r="R317" s="2">
        <f>IF(MONTH(Table1[[#This Row],[Date]])=2,28,DAY(DATE(YEAR(Table1[[#This Row],[Date]]),MONTH(Table1[[#This Row],[Date]])+1,1)-1))</f>
        <v>31</v>
      </c>
      <c r="S317" s="2">
        <f ca="1">SUM(OFFSET(Table1[[#Headers],[Days in month]],1,0):Table1[[#This Row],[Days in month]])</f>
        <v>9156</v>
      </c>
      <c r="T317" s="37">
        <f>InterestRate*AmortizationMultiplier*IF(ISNUMBER(SEARCH("Actual",$C$7)),Table1[[#This Row],[Days in month]]/365,1/12)</f>
        <v>6.0708333333333326E-3</v>
      </c>
    </row>
    <row r="318" spans="2:20" x14ac:dyDescent="0.2">
      <c r="B318" s="1">
        <f t="shared" si="16"/>
        <v>55031</v>
      </c>
      <c r="C318" s="2">
        <f t="shared" si="17"/>
        <v>302</v>
      </c>
      <c r="D318" s="3">
        <f t="shared" si="19"/>
        <v>0</v>
      </c>
      <c r="E318" s="3">
        <f>ROUND(Table1[[#This Row],[Beginning Balance]]*Table1[[#This Row],[Monthly Interest Rate]],2)</f>
        <v>0</v>
      </c>
      <c r="F318" s="3">
        <f t="shared" si="18"/>
        <v>50</v>
      </c>
      <c r="G318" s="23">
        <f>IFERROR(IF($C$13="No","N/A",IF(Table1[[#This Row],[Period]]=1,$C$6,PMT(InterestRate*AmortizationMultiplier/12,Table1[[#This Row],[Am Thru]],-Table1[[#This Row],[Beginning Balance]]))),0)</f>
        <v>0</v>
      </c>
      <c r="H318" s="3">
        <f>MAX(0,IF(C318=$C$4,D318,ROUND(IF($C$3="Fixed Principal",$C$6-Table1[[#This Row],[Interest]],IF($C$3="Interest Only",Table1[[#This Row],[Beginning Balance]]*ROUND(1-(1-IF($C$11="No",$E$8,1))^(1/12),6),MIN(IF($C$13="Yes",Table1[[#This Row],[Payment Amount (Reamortized)]],$C$6)-Table1[[#This Row],[Interest]],Table1[[#This Row],[Beginning Balance]]))),2)))</f>
        <v>0</v>
      </c>
      <c r="I318" s="3">
        <f>_xlfn.SINGLE(IF($C$3="Line of Credit",0,ROUND(MAX(MIN(IF($C$10="No",$E$7,VLOOKUP(Table1[[#This Row],[Period]],Forecast!$H$2:$L$1048576,4,FALSE))*Table1[[#This Row],[Beginning Balance]],Table1[[#This Row],[Beginning Balance]]-Table1[[#This Row],[Principal]]),0),2)))</f>
        <v>0</v>
      </c>
      <c r="J318" s="3">
        <f>ROUND(MIN(Table1[[#This Row],[Beginning Balance]]*IF($C$8="No",$E$3,VLOOKUP(Table1[[#This Row],[Period]],Forecast!$H$2:$L$1048576,2,FALSE)),Table1[[#This Row],[Beginning Balance]]-Table1[[#This Row],[Principal]]-Table1[[#This Row],[Prepayments]]),2)</f>
        <v>0</v>
      </c>
      <c r="K318" s="3">
        <f>ROUND(Table1[[#This Row],[Defaulted Principal]]*IF($C$9="No",$E$4,VLOOKUP(Table1[[#This Row],[Period]],Forecast!$H$2:$L$1048576,3,FALSE)),2)</f>
        <v>0</v>
      </c>
      <c r="L318" s="2">
        <f>Table1[[#This Row],[Period]]+$E$9</f>
        <v>314</v>
      </c>
      <c r="M318" s="3">
        <f>Table1[[#This Row],[Defaulted Principal]]-Table1[[#This Row],[Estimated Loss]]</f>
        <v>0</v>
      </c>
      <c r="N318" s="3">
        <f>IFERROR(VLOOKUP(Table1[[#This Row],[Period]],$L$16:$M$385,2,FALSE),0)</f>
        <v>0</v>
      </c>
      <c r="O318" s="3">
        <f>Table1[[#This Row],[Beginning Balance]]-Table1[[#This Row],[Principal]]-Table1[[#This Row],[Prepayments]]-Table1[[#This Row],[Defaulted Principal]]</f>
        <v>0</v>
      </c>
      <c r="P318" s="3">
        <f>Table1[[#This Row],[Principal]]+Table1[[#This Row],[Interest]]+Table1[[#This Row],[Prepayments]]+Table1[[#This Row],[RecoveredAmount]]</f>
        <v>0</v>
      </c>
      <c r="Q318" s="3">
        <f ca="1">Table1[[#This Row],[Cash Flow]]/((1+ActualRateToUse)^(IF(ISNUMBER(SEARCH("Actual",$C$7)),Table1[[#This Row],[Running Total]]/365,Table1[[#This Row],[Period]]/12)))</f>
        <v>0</v>
      </c>
      <c r="R318" s="2">
        <f>IF(MONTH(Table1[[#This Row],[Date]])=2,28,DAY(DATE(YEAR(Table1[[#This Row],[Date]]),MONTH(Table1[[#This Row],[Date]])+1,1)-1))</f>
        <v>31</v>
      </c>
      <c r="S318" s="2">
        <f ca="1">SUM(OFFSET(Table1[[#Headers],[Days in month]],1,0):Table1[[#This Row],[Days in month]])</f>
        <v>9187</v>
      </c>
      <c r="T318" s="37">
        <f>InterestRate*AmortizationMultiplier*IF(ISNUMBER(SEARCH("Actual",$C$7)),Table1[[#This Row],[Days in month]]/365,1/12)</f>
        <v>6.0708333333333326E-3</v>
      </c>
    </row>
    <row r="319" spans="2:20" x14ac:dyDescent="0.2">
      <c r="B319" s="1">
        <f t="shared" si="16"/>
        <v>55061</v>
      </c>
      <c r="C319" s="2">
        <f t="shared" si="17"/>
        <v>303</v>
      </c>
      <c r="D319" s="3">
        <f t="shared" si="19"/>
        <v>0</v>
      </c>
      <c r="E319" s="3">
        <f>ROUND(Table1[[#This Row],[Beginning Balance]]*Table1[[#This Row],[Monthly Interest Rate]],2)</f>
        <v>0</v>
      </c>
      <c r="F319" s="3">
        <f t="shared" si="18"/>
        <v>49</v>
      </c>
      <c r="G319" s="23">
        <f>IFERROR(IF($C$13="No","N/A",IF(Table1[[#This Row],[Period]]=1,$C$6,PMT(InterestRate*AmortizationMultiplier/12,Table1[[#This Row],[Am Thru]],-Table1[[#This Row],[Beginning Balance]]))),0)</f>
        <v>0</v>
      </c>
      <c r="H319" s="3">
        <f>MAX(0,IF(C319=$C$4,D319,ROUND(IF($C$3="Fixed Principal",$C$6-Table1[[#This Row],[Interest]],IF($C$3="Interest Only",Table1[[#This Row],[Beginning Balance]]*ROUND(1-(1-IF($C$11="No",$E$8,1))^(1/12),6),MIN(IF($C$13="Yes",Table1[[#This Row],[Payment Amount (Reamortized)]],$C$6)-Table1[[#This Row],[Interest]],Table1[[#This Row],[Beginning Balance]]))),2)))</f>
        <v>0</v>
      </c>
      <c r="I319" s="3">
        <f>_xlfn.SINGLE(IF($C$3="Line of Credit",0,ROUND(MAX(MIN(IF($C$10="No",$E$7,VLOOKUP(Table1[[#This Row],[Period]],Forecast!$H$2:$L$1048576,4,FALSE))*Table1[[#This Row],[Beginning Balance]],Table1[[#This Row],[Beginning Balance]]-Table1[[#This Row],[Principal]]),0),2)))</f>
        <v>0</v>
      </c>
      <c r="J319" s="3">
        <f>ROUND(MIN(Table1[[#This Row],[Beginning Balance]]*IF($C$8="No",$E$3,VLOOKUP(Table1[[#This Row],[Period]],Forecast!$H$2:$L$1048576,2,FALSE)),Table1[[#This Row],[Beginning Balance]]-Table1[[#This Row],[Principal]]-Table1[[#This Row],[Prepayments]]),2)</f>
        <v>0</v>
      </c>
      <c r="K319" s="3">
        <f>ROUND(Table1[[#This Row],[Defaulted Principal]]*IF($C$9="No",$E$4,VLOOKUP(Table1[[#This Row],[Period]],Forecast!$H$2:$L$1048576,3,FALSE)),2)</f>
        <v>0</v>
      </c>
      <c r="L319" s="2">
        <f>Table1[[#This Row],[Period]]+$E$9</f>
        <v>315</v>
      </c>
      <c r="M319" s="3">
        <f>Table1[[#This Row],[Defaulted Principal]]-Table1[[#This Row],[Estimated Loss]]</f>
        <v>0</v>
      </c>
      <c r="N319" s="3">
        <f>IFERROR(VLOOKUP(Table1[[#This Row],[Period]],$L$16:$M$385,2,FALSE),0)</f>
        <v>0</v>
      </c>
      <c r="O319" s="3">
        <f>Table1[[#This Row],[Beginning Balance]]-Table1[[#This Row],[Principal]]-Table1[[#This Row],[Prepayments]]-Table1[[#This Row],[Defaulted Principal]]</f>
        <v>0</v>
      </c>
      <c r="P319" s="3">
        <f>Table1[[#This Row],[Principal]]+Table1[[#This Row],[Interest]]+Table1[[#This Row],[Prepayments]]+Table1[[#This Row],[RecoveredAmount]]</f>
        <v>0</v>
      </c>
      <c r="Q319" s="3">
        <f ca="1">Table1[[#This Row],[Cash Flow]]/((1+ActualRateToUse)^(IF(ISNUMBER(SEARCH("Actual",$C$7)),Table1[[#This Row],[Running Total]]/365,Table1[[#This Row],[Period]]/12)))</f>
        <v>0</v>
      </c>
      <c r="R319" s="2">
        <f>IF(MONTH(Table1[[#This Row],[Date]])=2,28,DAY(DATE(YEAR(Table1[[#This Row],[Date]]),MONTH(Table1[[#This Row],[Date]])+1,1)-1))</f>
        <v>30</v>
      </c>
      <c r="S319" s="2">
        <f ca="1">SUM(OFFSET(Table1[[#Headers],[Days in month]],1,0):Table1[[#This Row],[Days in month]])</f>
        <v>9217</v>
      </c>
      <c r="T319" s="37">
        <f>InterestRate*AmortizationMultiplier*IF(ISNUMBER(SEARCH("Actual",$C$7)),Table1[[#This Row],[Days in month]]/365,1/12)</f>
        <v>5.8749999999999991E-3</v>
      </c>
    </row>
    <row r="320" spans="2:20" x14ac:dyDescent="0.2">
      <c r="B320" s="1">
        <f t="shared" si="16"/>
        <v>55092</v>
      </c>
      <c r="C320" s="2">
        <f t="shared" si="17"/>
        <v>304</v>
      </c>
      <c r="D320" s="3">
        <f t="shared" si="19"/>
        <v>0</v>
      </c>
      <c r="E320" s="3">
        <f>ROUND(Table1[[#This Row],[Beginning Balance]]*Table1[[#This Row],[Monthly Interest Rate]],2)</f>
        <v>0</v>
      </c>
      <c r="F320" s="3">
        <f t="shared" si="18"/>
        <v>48</v>
      </c>
      <c r="G320" s="23">
        <f>IFERROR(IF($C$13="No","N/A",IF(Table1[[#This Row],[Period]]=1,$C$6,PMT(InterestRate*AmortizationMultiplier/12,Table1[[#This Row],[Am Thru]],-Table1[[#This Row],[Beginning Balance]]))),0)</f>
        <v>0</v>
      </c>
      <c r="H320" s="3">
        <f>MAX(0,IF(C320=$C$4,D320,ROUND(IF($C$3="Fixed Principal",$C$6-Table1[[#This Row],[Interest]],IF($C$3="Interest Only",Table1[[#This Row],[Beginning Balance]]*ROUND(1-(1-IF($C$11="No",$E$8,1))^(1/12),6),MIN(IF($C$13="Yes",Table1[[#This Row],[Payment Amount (Reamortized)]],$C$6)-Table1[[#This Row],[Interest]],Table1[[#This Row],[Beginning Balance]]))),2)))</f>
        <v>0</v>
      </c>
      <c r="I320" s="3">
        <f>_xlfn.SINGLE(IF($C$3="Line of Credit",0,ROUND(MAX(MIN(IF($C$10="No",$E$7,VLOOKUP(Table1[[#This Row],[Period]],Forecast!$H$2:$L$1048576,4,FALSE))*Table1[[#This Row],[Beginning Balance]],Table1[[#This Row],[Beginning Balance]]-Table1[[#This Row],[Principal]]),0),2)))</f>
        <v>0</v>
      </c>
      <c r="J320" s="3">
        <f>ROUND(MIN(Table1[[#This Row],[Beginning Balance]]*IF($C$8="No",$E$3,VLOOKUP(Table1[[#This Row],[Period]],Forecast!$H$2:$L$1048576,2,FALSE)),Table1[[#This Row],[Beginning Balance]]-Table1[[#This Row],[Principal]]-Table1[[#This Row],[Prepayments]]),2)</f>
        <v>0</v>
      </c>
      <c r="K320" s="3">
        <f>ROUND(Table1[[#This Row],[Defaulted Principal]]*IF($C$9="No",$E$4,VLOOKUP(Table1[[#This Row],[Period]],Forecast!$H$2:$L$1048576,3,FALSE)),2)</f>
        <v>0</v>
      </c>
      <c r="L320" s="2">
        <f>Table1[[#This Row],[Period]]+$E$9</f>
        <v>316</v>
      </c>
      <c r="M320" s="3">
        <f>Table1[[#This Row],[Defaulted Principal]]-Table1[[#This Row],[Estimated Loss]]</f>
        <v>0</v>
      </c>
      <c r="N320" s="3">
        <f>IFERROR(VLOOKUP(Table1[[#This Row],[Period]],$L$16:$M$385,2,FALSE),0)</f>
        <v>0</v>
      </c>
      <c r="O320" s="3">
        <f>Table1[[#This Row],[Beginning Balance]]-Table1[[#This Row],[Principal]]-Table1[[#This Row],[Prepayments]]-Table1[[#This Row],[Defaulted Principal]]</f>
        <v>0</v>
      </c>
      <c r="P320" s="3">
        <f>Table1[[#This Row],[Principal]]+Table1[[#This Row],[Interest]]+Table1[[#This Row],[Prepayments]]+Table1[[#This Row],[RecoveredAmount]]</f>
        <v>0</v>
      </c>
      <c r="Q320" s="3">
        <f ca="1">Table1[[#This Row],[Cash Flow]]/((1+ActualRateToUse)^(IF(ISNUMBER(SEARCH("Actual",$C$7)),Table1[[#This Row],[Running Total]]/365,Table1[[#This Row],[Period]]/12)))</f>
        <v>0</v>
      </c>
      <c r="R320" s="2">
        <f>IF(MONTH(Table1[[#This Row],[Date]])=2,28,DAY(DATE(YEAR(Table1[[#This Row],[Date]]),MONTH(Table1[[#This Row],[Date]])+1,1)-1))</f>
        <v>31</v>
      </c>
      <c r="S320" s="2">
        <f ca="1">SUM(OFFSET(Table1[[#Headers],[Days in month]],1,0):Table1[[#This Row],[Days in month]])</f>
        <v>9248</v>
      </c>
      <c r="T320" s="37">
        <f>InterestRate*AmortizationMultiplier*IF(ISNUMBER(SEARCH("Actual",$C$7)),Table1[[#This Row],[Days in month]]/365,1/12)</f>
        <v>6.0708333333333326E-3</v>
      </c>
    </row>
    <row r="321" spans="2:20" x14ac:dyDescent="0.2">
      <c r="B321" s="1">
        <f t="shared" si="16"/>
        <v>55122</v>
      </c>
      <c r="C321" s="2">
        <f t="shared" si="17"/>
        <v>305</v>
      </c>
      <c r="D321" s="3">
        <f t="shared" si="19"/>
        <v>0</v>
      </c>
      <c r="E321" s="3">
        <f>ROUND(Table1[[#This Row],[Beginning Balance]]*Table1[[#This Row],[Monthly Interest Rate]],2)</f>
        <v>0</v>
      </c>
      <c r="F321" s="3">
        <f t="shared" si="18"/>
        <v>47</v>
      </c>
      <c r="G321" s="23">
        <f>IFERROR(IF($C$13="No","N/A",IF(Table1[[#This Row],[Period]]=1,$C$6,PMT(InterestRate*AmortizationMultiplier/12,Table1[[#This Row],[Am Thru]],-Table1[[#This Row],[Beginning Balance]]))),0)</f>
        <v>0</v>
      </c>
      <c r="H321" s="3">
        <f>MAX(0,IF(C321=$C$4,D321,ROUND(IF($C$3="Fixed Principal",$C$6-Table1[[#This Row],[Interest]],IF($C$3="Interest Only",Table1[[#This Row],[Beginning Balance]]*ROUND(1-(1-IF($C$11="No",$E$8,1))^(1/12),6),MIN(IF($C$13="Yes",Table1[[#This Row],[Payment Amount (Reamortized)]],$C$6)-Table1[[#This Row],[Interest]],Table1[[#This Row],[Beginning Balance]]))),2)))</f>
        <v>0</v>
      </c>
      <c r="I321" s="3">
        <f>_xlfn.SINGLE(IF($C$3="Line of Credit",0,ROUND(MAX(MIN(IF($C$10="No",$E$7,VLOOKUP(Table1[[#This Row],[Period]],Forecast!$H$2:$L$1048576,4,FALSE))*Table1[[#This Row],[Beginning Balance]],Table1[[#This Row],[Beginning Balance]]-Table1[[#This Row],[Principal]]),0),2)))</f>
        <v>0</v>
      </c>
      <c r="J321" s="3">
        <f>ROUND(MIN(Table1[[#This Row],[Beginning Balance]]*IF($C$8="No",$E$3,VLOOKUP(Table1[[#This Row],[Period]],Forecast!$H$2:$L$1048576,2,FALSE)),Table1[[#This Row],[Beginning Balance]]-Table1[[#This Row],[Principal]]-Table1[[#This Row],[Prepayments]]),2)</f>
        <v>0</v>
      </c>
      <c r="K321" s="3">
        <f>ROUND(Table1[[#This Row],[Defaulted Principal]]*IF($C$9="No",$E$4,VLOOKUP(Table1[[#This Row],[Period]],Forecast!$H$2:$L$1048576,3,FALSE)),2)</f>
        <v>0</v>
      </c>
      <c r="L321" s="2">
        <f>Table1[[#This Row],[Period]]+$E$9</f>
        <v>317</v>
      </c>
      <c r="M321" s="3">
        <f>Table1[[#This Row],[Defaulted Principal]]-Table1[[#This Row],[Estimated Loss]]</f>
        <v>0</v>
      </c>
      <c r="N321" s="3">
        <f>IFERROR(VLOOKUP(Table1[[#This Row],[Period]],$L$16:$M$385,2,FALSE),0)</f>
        <v>0</v>
      </c>
      <c r="O321" s="3">
        <f>Table1[[#This Row],[Beginning Balance]]-Table1[[#This Row],[Principal]]-Table1[[#This Row],[Prepayments]]-Table1[[#This Row],[Defaulted Principal]]</f>
        <v>0</v>
      </c>
      <c r="P321" s="3">
        <f>Table1[[#This Row],[Principal]]+Table1[[#This Row],[Interest]]+Table1[[#This Row],[Prepayments]]+Table1[[#This Row],[RecoveredAmount]]</f>
        <v>0</v>
      </c>
      <c r="Q321" s="3">
        <f ca="1">Table1[[#This Row],[Cash Flow]]/((1+ActualRateToUse)^(IF(ISNUMBER(SEARCH("Actual",$C$7)),Table1[[#This Row],[Running Total]]/365,Table1[[#This Row],[Period]]/12)))</f>
        <v>0</v>
      </c>
      <c r="R321" s="2">
        <f>IF(MONTH(Table1[[#This Row],[Date]])=2,28,DAY(DATE(YEAR(Table1[[#This Row],[Date]]),MONTH(Table1[[#This Row],[Date]])+1,1)-1))</f>
        <v>30</v>
      </c>
      <c r="S321" s="2">
        <f ca="1">SUM(OFFSET(Table1[[#Headers],[Days in month]],1,0):Table1[[#This Row],[Days in month]])</f>
        <v>9278</v>
      </c>
      <c r="T321" s="37">
        <f>InterestRate*AmortizationMultiplier*IF(ISNUMBER(SEARCH("Actual",$C$7)),Table1[[#This Row],[Days in month]]/365,1/12)</f>
        <v>5.8749999999999991E-3</v>
      </c>
    </row>
    <row r="322" spans="2:20" x14ac:dyDescent="0.2">
      <c r="B322" s="1">
        <f t="shared" si="16"/>
        <v>55153</v>
      </c>
      <c r="C322" s="2">
        <f t="shared" si="17"/>
        <v>306</v>
      </c>
      <c r="D322" s="3">
        <f t="shared" si="19"/>
        <v>0</v>
      </c>
      <c r="E322" s="3">
        <f>ROUND(Table1[[#This Row],[Beginning Balance]]*Table1[[#This Row],[Monthly Interest Rate]],2)</f>
        <v>0</v>
      </c>
      <c r="F322" s="3">
        <f t="shared" si="18"/>
        <v>46</v>
      </c>
      <c r="G322" s="23">
        <f>IFERROR(IF($C$13="No","N/A",IF(Table1[[#This Row],[Period]]=1,$C$6,PMT(InterestRate*AmortizationMultiplier/12,Table1[[#This Row],[Am Thru]],-Table1[[#This Row],[Beginning Balance]]))),0)</f>
        <v>0</v>
      </c>
      <c r="H322" s="3">
        <f>MAX(0,IF(C322=$C$4,D322,ROUND(IF($C$3="Fixed Principal",$C$6-Table1[[#This Row],[Interest]],IF($C$3="Interest Only",Table1[[#This Row],[Beginning Balance]]*ROUND(1-(1-IF($C$11="No",$E$8,1))^(1/12),6),MIN(IF($C$13="Yes",Table1[[#This Row],[Payment Amount (Reamortized)]],$C$6)-Table1[[#This Row],[Interest]],Table1[[#This Row],[Beginning Balance]]))),2)))</f>
        <v>0</v>
      </c>
      <c r="I322" s="3">
        <f>_xlfn.SINGLE(IF($C$3="Line of Credit",0,ROUND(MAX(MIN(IF($C$10="No",$E$7,VLOOKUP(Table1[[#This Row],[Period]],Forecast!$H$2:$L$1048576,4,FALSE))*Table1[[#This Row],[Beginning Balance]],Table1[[#This Row],[Beginning Balance]]-Table1[[#This Row],[Principal]]),0),2)))</f>
        <v>0</v>
      </c>
      <c r="J322" s="3">
        <f>ROUND(MIN(Table1[[#This Row],[Beginning Balance]]*IF($C$8="No",$E$3,VLOOKUP(Table1[[#This Row],[Period]],Forecast!$H$2:$L$1048576,2,FALSE)),Table1[[#This Row],[Beginning Balance]]-Table1[[#This Row],[Principal]]-Table1[[#This Row],[Prepayments]]),2)</f>
        <v>0</v>
      </c>
      <c r="K322" s="3">
        <f>ROUND(Table1[[#This Row],[Defaulted Principal]]*IF($C$9="No",$E$4,VLOOKUP(Table1[[#This Row],[Period]],Forecast!$H$2:$L$1048576,3,FALSE)),2)</f>
        <v>0</v>
      </c>
      <c r="L322" s="2">
        <f>Table1[[#This Row],[Period]]+$E$9</f>
        <v>318</v>
      </c>
      <c r="M322" s="3">
        <f>Table1[[#This Row],[Defaulted Principal]]-Table1[[#This Row],[Estimated Loss]]</f>
        <v>0</v>
      </c>
      <c r="N322" s="3">
        <f>IFERROR(VLOOKUP(Table1[[#This Row],[Period]],$L$16:$M$385,2,FALSE),0)</f>
        <v>0</v>
      </c>
      <c r="O322" s="3">
        <f>Table1[[#This Row],[Beginning Balance]]-Table1[[#This Row],[Principal]]-Table1[[#This Row],[Prepayments]]-Table1[[#This Row],[Defaulted Principal]]</f>
        <v>0</v>
      </c>
      <c r="P322" s="3">
        <f>Table1[[#This Row],[Principal]]+Table1[[#This Row],[Interest]]+Table1[[#This Row],[Prepayments]]+Table1[[#This Row],[RecoveredAmount]]</f>
        <v>0</v>
      </c>
      <c r="Q322" s="3">
        <f ca="1">Table1[[#This Row],[Cash Flow]]/((1+ActualRateToUse)^(IF(ISNUMBER(SEARCH("Actual",$C$7)),Table1[[#This Row],[Running Total]]/365,Table1[[#This Row],[Period]]/12)))</f>
        <v>0</v>
      </c>
      <c r="R322" s="2">
        <f>IF(MONTH(Table1[[#This Row],[Date]])=2,28,DAY(DATE(YEAR(Table1[[#This Row],[Date]]),MONTH(Table1[[#This Row],[Date]])+1,1)-1))</f>
        <v>31</v>
      </c>
      <c r="S322" s="2">
        <f ca="1">SUM(OFFSET(Table1[[#Headers],[Days in month]],1,0):Table1[[#This Row],[Days in month]])</f>
        <v>9309</v>
      </c>
      <c r="T322" s="37">
        <f>InterestRate*AmortizationMultiplier*IF(ISNUMBER(SEARCH("Actual",$C$7)),Table1[[#This Row],[Days in month]]/365,1/12)</f>
        <v>6.0708333333333326E-3</v>
      </c>
    </row>
    <row r="323" spans="2:20" x14ac:dyDescent="0.2">
      <c r="B323" s="1">
        <f t="shared" si="16"/>
        <v>55184</v>
      </c>
      <c r="C323" s="2">
        <f t="shared" si="17"/>
        <v>307</v>
      </c>
      <c r="D323" s="3">
        <f t="shared" si="19"/>
        <v>0</v>
      </c>
      <c r="E323" s="3">
        <f>ROUND(Table1[[#This Row],[Beginning Balance]]*Table1[[#This Row],[Monthly Interest Rate]],2)</f>
        <v>0</v>
      </c>
      <c r="F323" s="3">
        <f t="shared" si="18"/>
        <v>45</v>
      </c>
      <c r="G323" s="23">
        <f>IFERROR(IF($C$13="No","N/A",IF(Table1[[#This Row],[Period]]=1,$C$6,PMT(InterestRate*AmortizationMultiplier/12,Table1[[#This Row],[Am Thru]],-Table1[[#This Row],[Beginning Balance]]))),0)</f>
        <v>0</v>
      </c>
      <c r="H323" s="3">
        <f>MAX(0,IF(C323=$C$4,D323,ROUND(IF($C$3="Fixed Principal",$C$6-Table1[[#This Row],[Interest]],IF($C$3="Interest Only",Table1[[#This Row],[Beginning Balance]]*ROUND(1-(1-IF($C$11="No",$E$8,1))^(1/12),6),MIN(IF($C$13="Yes",Table1[[#This Row],[Payment Amount (Reamortized)]],$C$6)-Table1[[#This Row],[Interest]],Table1[[#This Row],[Beginning Balance]]))),2)))</f>
        <v>0</v>
      </c>
      <c r="I323" s="3">
        <f>_xlfn.SINGLE(IF($C$3="Line of Credit",0,ROUND(MAX(MIN(IF($C$10="No",$E$7,VLOOKUP(Table1[[#This Row],[Period]],Forecast!$H$2:$L$1048576,4,FALSE))*Table1[[#This Row],[Beginning Balance]],Table1[[#This Row],[Beginning Balance]]-Table1[[#This Row],[Principal]]),0),2)))</f>
        <v>0</v>
      </c>
      <c r="J323" s="3">
        <f>ROUND(MIN(Table1[[#This Row],[Beginning Balance]]*IF($C$8="No",$E$3,VLOOKUP(Table1[[#This Row],[Period]],Forecast!$H$2:$L$1048576,2,FALSE)),Table1[[#This Row],[Beginning Balance]]-Table1[[#This Row],[Principal]]-Table1[[#This Row],[Prepayments]]),2)</f>
        <v>0</v>
      </c>
      <c r="K323" s="3">
        <f>ROUND(Table1[[#This Row],[Defaulted Principal]]*IF($C$9="No",$E$4,VLOOKUP(Table1[[#This Row],[Period]],Forecast!$H$2:$L$1048576,3,FALSE)),2)</f>
        <v>0</v>
      </c>
      <c r="L323" s="2">
        <f>Table1[[#This Row],[Period]]+$E$9</f>
        <v>319</v>
      </c>
      <c r="M323" s="3">
        <f>Table1[[#This Row],[Defaulted Principal]]-Table1[[#This Row],[Estimated Loss]]</f>
        <v>0</v>
      </c>
      <c r="N323" s="3">
        <f>IFERROR(VLOOKUP(Table1[[#This Row],[Period]],$L$16:$M$385,2,FALSE),0)</f>
        <v>0</v>
      </c>
      <c r="O323" s="3">
        <f>Table1[[#This Row],[Beginning Balance]]-Table1[[#This Row],[Principal]]-Table1[[#This Row],[Prepayments]]-Table1[[#This Row],[Defaulted Principal]]</f>
        <v>0</v>
      </c>
      <c r="P323" s="3">
        <f>Table1[[#This Row],[Principal]]+Table1[[#This Row],[Interest]]+Table1[[#This Row],[Prepayments]]+Table1[[#This Row],[RecoveredAmount]]</f>
        <v>0</v>
      </c>
      <c r="Q323" s="3">
        <f ca="1">Table1[[#This Row],[Cash Flow]]/((1+ActualRateToUse)^(IF(ISNUMBER(SEARCH("Actual",$C$7)),Table1[[#This Row],[Running Total]]/365,Table1[[#This Row],[Period]]/12)))</f>
        <v>0</v>
      </c>
      <c r="R323" s="2">
        <f>IF(MONTH(Table1[[#This Row],[Date]])=2,28,DAY(DATE(YEAR(Table1[[#This Row],[Date]]),MONTH(Table1[[#This Row],[Date]])+1,1)-1))</f>
        <v>31</v>
      </c>
      <c r="S323" s="2">
        <f ca="1">SUM(OFFSET(Table1[[#Headers],[Days in month]],1,0):Table1[[#This Row],[Days in month]])</f>
        <v>9340</v>
      </c>
      <c r="T323" s="37">
        <f>InterestRate*AmortizationMultiplier*IF(ISNUMBER(SEARCH("Actual",$C$7)),Table1[[#This Row],[Days in month]]/365,1/12)</f>
        <v>6.0708333333333326E-3</v>
      </c>
    </row>
    <row r="324" spans="2:20" x14ac:dyDescent="0.2">
      <c r="B324" s="1">
        <f t="shared" si="16"/>
        <v>55212</v>
      </c>
      <c r="C324" s="2">
        <f t="shared" si="17"/>
        <v>308</v>
      </c>
      <c r="D324" s="3">
        <f t="shared" si="19"/>
        <v>0</v>
      </c>
      <c r="E324" s="3">
        <f>ROUND(Table1[[#This Row],[Beginning Balance]]*Table1[[#This Row],[Monthly Interest Rate]],2)</f>
        <v>0</v>
      </c>
      <c r="F324" s="3">
        <f t="shared" si="18"/>
        <v>44</v>
      </c>
      <c r="G324" s="23">
        <f>IFERROR(IF($C$13="No","N/A",IF(Table1[[#This Row],[Period]]=1,$C$6,PMT(InterestRate*AmortizationMultiplier/12,Table1[[#This Row],[Am Thru]],-Table1[[#This Row],[Beginning Balance]]))),0)</f>
        <v>0</v>
      </c>
      <c r="H324" s="3">
        <f>MAX(0,IF(C324=$C$4,D324,ROUND(IF($C$3="Fixed Principal",$C$6-Table1[[#This Row],[Interest]],IF($C$3="Interest Only",Table1[[#This Row],[Beginning Balance]]*ROUND(1-(1-IF($C$11="No",$E$8,1))^(1/12),6),MIN(IF($C$13="Yes",Table1[[#This Row],[Payment Amount (Reamortized)]],$C$6)-Table1[[#This Row],[Interest]],Table1[[#This Row],[Beginning Balance]]))),2)))</f>
        <v>0</v>
      </c>
      <c r="I324" s="3">
        <f>_xlfn.SINGLE(IF($C$3="Line of Credit",0,ROUND(MAX(MIN(IF($C$10="No",$E$7,VLOOKUP(Table1[[#This Row],[Period]],Forecast!$H$2:$L$1048576,4,FALSE))*Table1[[#This Row],[Beginning Balance]],Table1[[#This Row],[Beginning Balance]]-Table1[[#This Row],[Principal]]),0),2)))</f>
        <v>0</v>
      </c>
      <c r="J324" s="3">
        <f>ROUND(MIN(Table1[[#This Row],[Beginning Balance]]*IF($C$8="No",$E$3,VLOOKUP(Table1[[#This Row],[Period]],Forecast!$H$2:$L$1048576,2,FALSE)),Table1[[#This Row],[Beginning Balance]]-Table1[[#This Row],[Principal]]-Table1[[#This Row],[Prepayments]]),2)</f>
        <v>0</v>
      </c>
      <c r="K324" s="3">
        <f>ROUND(Table1[[#This Row],[Defaulted Principal]]*IF($C$9="No",$E$4,VLOOKUP(Table1[[#This Row],[Period]],Forecast!$H$2:$L$1048576,3,FALSE)),2)</f>
        <v>0</v>
      </c>
      <c r="L324" s="2">
        <f>Table1[[#This Row],[Period]]+$E$9</f>
        <v>320</v>
      </c>
      <c r="M324" s="3">
        <f>Table1[[#This Row],[Defaulted Principal]]-Table1[[#This Row],[Estimated Loss]]</f>
        <v>0</v>
      </c>
      <c r="N324" s="3">
        <f>IFERROR(VLOOKUP(Table1[[#This Row],[Period]],$L$16:$M$385,2,FALSE),0)</f>
        <v>0</v>
      </c>
      <c r="O324" s="3">
        <f>Table1[[#This Row],[Beginning Balance]]-Table1[[#This Row],[Principal]]-Table1[[#This Row],[Prepayments]]-Table1[[#This Row],[Defaulted Principal]]</f>
        <v>0</v>
      </c>
      <c r="P324" s="3">
        <f>Table1[[#This Row],[Principal]]+Table1[[#This Row],[Interest]]+Table1[[#This Row],[Prepayments]]+Table1[[#This Row],[RecoveredAmount]]</f>
        <v>0</v>
      </c>
      <c r="Q324" s="3">
        <f ca="1">Table1[[#This Row],[Cash Flow]]/((1+ActualRateToUse)^(IF(ISNUMBER(SEARCH("Actual",$C$7)),Table1[[#This Row],[Running Total]]/365,Table1[[#This Row],[Period]]/12)))</f>
        <v>0</v>
      </c>
      <c r="R324" s="2">
        <f>IF(MONTH(Table1[[#This Row],[Date]])=2,28,DAY(DATE(YEAR(Table1[[#This Row],[Date]]),MONTH(Table1[[#This Row],[Date]])+1,1)-1))</f>
        <v>28</v>
      </c>
      <c r="S324" s="2">
        <f ca="1">SUM(OFFSET(Table1[[#Headers],[Days in month]],1,0):Table1[[#This Row],[Days in month]])</f>
        <v>9368</v>
      </c>
      <c r="T324" s="37">
        <f>InterestRate*AmortizationMultiplier*IF(ISNUMBER(SEARCH("Actual",$C$7)),Table1[[#This Row],[Days in month]]/365,1/12)</f>
        <v>5.4833333333333331E-3</v>
      </c>
    </row>
    <row r="325" spans="2:20" x14ac:dyDescent="0.2">
      <c r="B325" s="1">
        <f t="shared" si="16"/>
        <v>55243</v>
      </c>
      <c r="C325" s="2">
        <f t="shared" si="17"/>
        <v>309</v>
      </c>
      <c r="D325" s="3">
        <f t="shared" si="19"/>
        <v>0</v>
      </c>
      <c r="E325" s="3">
        <f>ROUND(Table1[[#This Row],[Beginning Balance]]*Table1[[#This Row],[Monthly Interest Rate]],2)</f>
        <v>0</v>
      </c>
      <c r="F325" s="3">
        <f t="shared" si="18"/>
        <v>43</v>
      </c>
      <c r="G325" s="23">
        <f>IFERROR(IF($C$13="No","N/A",IF(Table1[[#This Row],[Period]]=1,$C$6,PMT(InterestRate*AmortizationMultiplier/12,Table1[[#This Row],[Am Thru]],-Table1[[#This Row],[Beginning Balance]]))),0)</f>
        <v>0</v>
      </c>
      <c r="H325" s="3">
        <f>MAX(0,IF(C325=$C$4,D325,ROUND(IF($C$3="Fixed Principal",$C$6-Table1[[#This Row],[Interest]],IF($C$3="Interest Only",Table1[[#This Row],[Beginning Balance]]*ROUND(1-(1-IF($C$11="No",$E$8,1))^(1/12),6),MIN(IF($C$13="Yes",Table1[[#This Row],[Payment Amount (Reamortized)]],$C$6)-Table1[[#This Row],[Interest]],Table1[[#This Row],[Beginning Balance]]))),2)))</f>
        <v>0</v>
      </c>
      <c r="I325" s="3">
        <f>_xlfn.SINGLE(IF($C$3="Line of Credit",0,ROUND(MAX(MIN(IF($C$10="No",$E$7,VLOOKUP(Table1[[#This Row],[Period]],Forecast!$H$2:$L$1048576,4,FALSE))*Table1[[#This Row],[Beginning Balance]],Table1[[#This Row],[Beginning Balance]]-Table1[[#This Row],[Principal]]),0),2)))</f>
        <v>0</v>
      </c>
      <c r="J325" s="3">
        <f>ROUND(MIN(Table1[[#This Row],[Beginning Balance]]*IF($C$8="No",$E$3,VLOOKUP(Table1[[#This Row],[Period]],Forecast!$H$2:$L$1048576,2,FALSE)),Table1[[#This Row],[Beginning Balance]]-Table1[[#This Row],[Principal]]-Table1[[#This Row],[Prepayments]]),2)</f>
        <v>0</v>
      </c>
      <c r="K325" s="3">
        <f>ROUND(Table1[[#This Row],[Defaulted Principal]]*IF($C$9="No",$E$4,VLOOKUP(Table1[[#This Row],[Period]],Forecast!$H$2:$L$1048576,3,FALSE)),2)</f>
        <v>0</v>
      </c>
      <c r="L325" s="2">
        <f>Table1[[#This Row],[Period]]+$E$9</f>
        <v>321</v>
      </c>
      <c r="M325" s="3">
        <f>Table1[[#This Row],[Defaulted Principal]]-Table1[[#This Row],[Estimated Loss]]</f>
        <v>0</v>
      </c>
      <c r="N325" s="3">
        <f>IFERROR(VLOOKUP(Table1[[#This Row],[Period]],$L$16:$M$385,2,FALSE),0)</f>
        <v>0</v>
      </c>
      <c r="O325" s="3">
        <f>Table1[[#This Row],[Beginning Balance]]-Table1[[#This Row],[Principal]]-Table1[[#This Row],[Prepayments]]-Table1[[#This Row],[Defaulted Principal]]</f>
        <v>0</v>
      </c>
      <c r="P325" s="3">
        <f>Table1[[#This Row],[Principal]]+Table1[[#This Row],[Interest]]+Table1[[#This Row],[Prepayments]]+Table1[[#This Row],[RecoveredAmount]]</f>
        <v>0</v>
      </c>
      <c r="Q325" s="3">
        <f ca="1">Table1[[#This Row],[Cash Flow]]/((1+ActualRateToUse)^(IF(ISNUMBER(SEARCH("Actual",$C$7)),Table1[[#This Row],[Running Total]]/365,Table1[[#This Row],[Period]]/12)))</f>
        <v>0</v>
      </c>
      <c r="R325" s="2">
        <f>IF(MONTH(Table1[[#This Row],[Date]])=2,28,DAY(DATE(YEAR(Table1[[#This Row],[Date]]),MONTH(Table1[[#This Row],[Date]])+1,1)-1))</f>
        <v>31</v>
      </c>
      <c r="S325" s="2">
        <f ca="1">SUM(OFFSET(Table1[[#Headers],[Days in month]],1,0):Table1[[#This Row],[Days in month]])</f>
        <v>9399</v>
      </c>
      <c r="T325" s="37">
        <f>InterestRate*AmortizationMultiplier*IF(ISNUMBER(SEARCH("Actual",$C$7)),Table1[[#This Row],[Days in month]]/365,1/12)</f>
        <v>6.0708333333333326E-3</v>
      </c>
    </row>
    <row r="326" spans="2:20" x14ac:dyDescent="0.2">
      <c r="B326" s="1">
        <f t="shared" si="16"/>
        <v>55273</v>
      </c>
      <c r="C326" s="2">
        <f t="shared" si="17"/>
        <v>310</v>
      </c>
      <c r="D326" s="3">
        <f t="shared" si="19"/>
        <v>0</v>
      </c>
      <c r="E326" s="3">
        <f>ROUND(Table1[[#This Row],[Beginning Balance]]*Table1[[#This Row],[Monthly Interest Rate]],2)</f>
        <v>0</v>
      </c>
      <c r="F326" s="3">
        <f t="shared" si="18"/>
        <v>42</v>
      </c>
      <c r="G326" s="23">
        <f>IFERROR(IF($C$13="No","N/A",IF(Table1[[#This Row],[Period]]=1,$C$6,PMT(InterestRate*AmortizationMultiplier/12,Table1[[#This Row],[Am Thru]],-Table1[[#This Row],[Beginning Balance]]))),0)</f>
        <v>0</v>
      </c>
      <c r="H326" s="3">
        <f>MAX(0,IF(C326=$C$4,D326,ROUND(IF($C$3="Fixed Principal",$C$6-Table1[[#This Row],[Interest]],IF($C$3="Interest Only",Table1[[#This Row],[Beginning Balance]]*ROUND(1-(1-IF($C$11="No",$E$8,1))^(1/12),6),MIN(IF($C$13="Yes",Table1[[#This Row],[Payment Amount (Reamortized)]],$C$6)-Table1[[#This Row],[Interest]],Table1[[#This Row],[Beginning Balance]]))),2)))</f>
        <v>0</v>
      </c>
      <c r="I326" s="3">
        <f>_xlfn.SINGLE(IF($C$3="Line of Credit",0,ROUND(MAX(MIN(IF($C$10="No",$E$7,VLOOKUP(Table1[[#This Row],[Period]],Forecast!$H$2:$L$1048576,4,FALSE))*Table1[[#This Row],[Beginning Balance]],Table1[[#This Row],[Beginning Balance]]-Table1[[#This Row],[Principal]]),0),2)))</f>
        <v>0</v>
      </c>
      <c r="J326" s="3">
        <f>ROUND(MIN(Table1[[#This Row],[Beginning Balance]]*IF($C$8="No",$E$3,VLOOKUP(Table1[[#This Row],[Period]],Forecast!$H$2:$L$1048576,2,FALSE)),Table1[[#This Row],[Beginning Balance]]-Table1[[#This Row],[Principal]]-Table1[[#This Row],[Prepayments]]),2)</f>
        <v>0</v>
      </c>
      <c r="K326" s="3">
        <f>ROUND(Table1[[#This Row],[Defaulted Principal]]*IF($C$9="No",$E$4,VLOOKUP(Table1[[#This Row],[Period]],Forecast!$H$2:$L$1048576,3,FALSE)),2)</f>
        <v>0</v>
      </c>
      <c r="L326" s="2">
        <f>Table1[[#This Row],[Period]]+$E$9</f>
        <v>322</v>
      </c>
      <c r="M326" s="3">
        <f>Table1[[#This Row],[Defaulted Principal]]-Table1[[#This Row],[Estimated Loss]]</f>
        <v>0</v>
      </c>
      <c r="N326" s="3">
        <f>IFERROR(VLOOKUP(Table1[[#This Row],[Period]],$L$16:$M$385,2,FALSE),0)</f>
        <v>0</v>
      </c>
      <c r="O326" s="3">
        <f>Table1[[#This Row],[Beginning Balance]]-Table1[[#This Row],[Principal]]-Table1[[#This Row],[Prepayments]]-Table1[[#This Row],[Defaulted Principal]]</f>
        <v>0</v>
      </c>
      <c r="P326" s="3">
        <f>Table1[[#This Row],[Principal]]+Table1[[#This Row],[Interest]]+Table1[[#This Row],[Prepayments]]+Table1[[#This Row],[RecoveredAmount]]</f>
        <v>0</v>
      </c>
      <c r="Q326" s="3">
        <f ca="1">Table1[[#This Row],[Cash Flow]]/((1+ActualRateToUse)^(IF(ISNUMBER(SEARCH("Actual",$C$7)),Table1[[#This Row],[Running Total]]/365,Table1[[#This Row],[Period]]/12)))</f>
        <v>0</v>
      </c>
      <c r="R326" s="2">
        <f>IF(MONTH(Table1[[#This Row],[Date]])=2,28,DAY(DATE(YEAR(Table1[[#This Row],[Date]]),MONTH(Table1[[#This Row],[Date]])+1,1)-1))</f>
        <v>30</v>
      </c>
      <c r="S326" s="2">
        <f ca="1">SUM(OFFSET(Table1[[#Headers],[Days in month]],1,0):Table1[[#This Row],[Days in month]])</f>
        <v>9429</v>
      </c>
      <c r="T326" s="37">
        <f>InterestRate*AmortizationMultiplier*IF(ISNUMBER(SEARCH("Actual",$C$7)),Table1[[#This Row],[Days in month]]/365,1/12)</f>
        <v>5.8749999999999991E-3</v>
      </c>
    </row>
    <row r="327" spans="2:20" x14ac:dyDescent="0.2">
      <c r="B327" s="1">
        <f t="shared" si="16"/>
        <v>55304</v>
      </c>
      <c r="C327" s="2">
        <f t="shared" si="17"/>
        <v>311</v>
      </c>
      <c r="D327" s="3">
        <f t="shared" si="19"/>
        <v>0</v>
      </c>
      <c r="E327" s="3">
        <f>ROUND(Table1[[#This Row],[Beginning Balance]]*Table1[[#This Row],[Monthly Interest Rate]],2)</f>
        <v>0</v>
      </c>
      <c r="F327" s="3">
        <f t="shared" si="18"/>
        <v>41</v>
      </c>
      <c r="G327" s="23">
        <f>IFERROR(IF($C$13="No","N/A",IF(Table1[[#This Row],[Period]]=1,$C$6,PMT(InterestRate*AmortizationMultiplier/12,Table1[[#This Row],[Am Thru]],-Table1[[#This Row],[Beginning Balance]]))),0)</f>
        <v>0</v>
      </c>
      <c r="H327" s="3">
        <f>MAX(0,IF(C327=$C$4,D327,ROUND(IF($C$3="Fixed Principal",$C$6-Table1[[#This Row],[Interest]],IF($C$3="Interest Only",Table1[[#This Row],[Beginning Balance]]*ROUND(1-(1-IF($C$11="No",$E$8,1))^(1/12),6),MIN(IF($C$13="Yes",Table1[[#This Row],[Payment Amount (Reamortized)]],$C$6)-Table1[[#This Row],[Interest]],Table1[[#This Row],[Beginning Balance]]))),2)))</f>
        <v>0</v>
      </c>
      <c r="I327" s="3">
        <f>_xlfn.SINGLE(IF($C$3="Line of Credit",0,ROUND(MAX(MIN(IF($C$10="No",$E$7,VLOOKUP(Table1[[#This Row],[Period]],Forecast!$H$2:$L$1048576,4,FALSE))*Table1[[#This Row],[Beginning Balance]],Table1[[#This Row],[Beginning Balance]]-Table1[[#This Row],[Principal]]),0),2)))</f>
        <v>0</v>
      </c>
      <c r="J327" s="3">
        <f>ROUND(MIN(Table1[[#This Row],[Beginning Balance]]*IF($C$8="No",$E$3,VLOOKUP(Table1[[#This Row],[Period]],Forecast!$H$2:$L$1048576,2,FALSE)),Table1[[#This Row],[Beginning Balance]]-Table1[[#This Row],[Principal]]-Table1[[#This Row],[Prepayments]]),2)</f>
        <v>0</v>
      </c>
      <c r="K327" s="3">
        <f>ROUND(Table1[[#This Row],[Defaulted Principal]]*IF($C$9="No",$E$4,VLOOKUP(Table1[[#This Row],[Period]],Forecast!$H$2:$L$1048576,3,FALSE)),2)</f>
        <v>0</v>
      </c>
      <c r="L327" s="2">
        <f>Table1[[#This Row],[Period]]+$E$9</f>
        <v>323</v>
      </c>
      <c r="M327" s="3">
        <f>Table1[[#This Row],[Defaulted Principal]]-Table1[[#This Row],[Estimated Loss]]</f>
        <v>0</v>
      </c>
      <c r="N327" s="3">
        <f>IFERROR(VLOOKUP(Table1[[#This Row],[Period]],$L$16:$M$385,2,FALSE),0)</f>
        <v>0</v>
      </c>
      <c r="O327" s="3">
        <f>Table1[[#This Row],[Beginning Balance]]-Table1[[#This Row],[Principal]]-Table1[[#This Row],[Prepayments]]-Table1[[#This Row],[Defaulted Principal]]</f>
        <v>0</v>
      </c>
      <c r="P327" s="3">
        <f>Table1[[#This Row],[Principal]]+Table1[[#This Row],[Interest]]+Table1[[#This Row],[Prepayments]]+Table1[[#This Row],[RecoveredAmount]]</f>
        <v>0</v>
      </c>
      <c r="Q327" s="3">
        <f ca="1">Table1[[#This Row],[Cash Flow]]/((1+ActualRateToUse)^(IF(ISNUMBER(SEARCH("Actual",$C$7)),Table1[[#This Row],[Running Total]]/365,Table1[[#This Row],[Period]]/12)))</f>
        <v>0</v>
      </c>
      <c r="R327" s="2">
        <f>IF(MONTH(Table1[[#This Row],[Date]])=2,28,DAY(DATE(YEAR(Table1[[#This Row],[Date]]),MONTH(Table1[[#This Row],[Date]])+1,1)-1))</f>
        <v>31</v>
      </c>
      <c r="S327" s="2">
        <f ca="1">SUM(OFFSET(Table1[[#Headers],[Days in month]],1,0):Table1[[#This Row],[Days in month]])</f>
        <v>9460</v>
      </c>
      <c r="T327" s="37">
        <f>InterestRate*AmortizationMultiplier*IF(ISNUMBER(SEARCH("Actual",$C$7)),Table1[[#This Row],[Days in month]]/365,1/12)</f>
        <v>6.0708333333333326E-3</v>
      </c>
    </row>
    <row r="328" spans="2:20" x14ac:dyDescent="0.2">
      <c r="B328" s="1">
        <f t="shared" si="16"/>
        <v>55334</v>
      </c>
      <c r="C328" s="2">
        <f t="shared" si="17"/>
        <v>312</v>
      </c>
      <c r="D328" s="3">
        <f t="shared" si="19"/>
        <v>0</v>
      </c>
      <c r="E328" s="3">
        <f>ROUND(Table1[[#This Row],[Beginning Balance]]*Table1[[#This Row],[Monthly Interest Rate]],2)</f>
        <v>0</v>
      </c>
      <c r="F328" s="3">
        <f t="shared" si="18"/>
        <v>40</v>
      </c>
      <c r="G328" s="23">
        <f>IFERROR(IF($C$13="No","N/A",IF(Table1[[#This Row],[Period]]=1,$C$6,PMT(InterestRate*AmortizationMultiplier/12,Table1[[#This Row],[Am Thru]],-Table1[[#This Row],[Beginning Balance]]))),0)</f>
        <v>0</v>
      </c>
      <c r="H328" s="3">
        <f>MAX(0,IF(C328=$C$4,D328,ROUND(IF($C$3="Fixed Principal",$C$6-Table1[[#This Row],[Interest]],IF($C$3="Interest Only",Table1[[#This Row],[Beginning Balance]]*ROUND(1-(1-IF($C$11="No",$E$8,1))^(1/12),6),MIN(IF($C$13="Yes",Table1[[#This Row],[Payment Amount (Reamortized)]],$C$6)-Table1[[#This Row],[Interest]],Table1[[#This Row],[Beginning Balance]]))),2)))</f>
        <v>0</v>
      </c>
      <c r="I328" s="3">
        <f>_xlfn.SINGLE(IF($C$3="Line of Credit",0,ROUND(MAX(MIN(IF($C$10="No",$E$7,VLOOKUP(Table1[[#This Row],[Period]],Forecast!$H$2:$L$1048576,4,FALSE))*Table1[[#This Row],[Beginning Balance]],Table1[[#This Row],[Beginning Balance]]-Table1[[#This Row],[Principal]]),0),2)))</f>
        <v>0</v>
      </c>
      <c r="J328" s="3">
        <f>ROUND(MIN(Table1[[#This Row],[Beginning Balance]]*IF($C$8="No",$E$3,VLOOKUP(Table1[[#This Row],[Period]],Forecast!$H$2:$L$1048576,2,FALSE)),Table1[[#This Row],[Beginning Balance]]-Table1[[#This Row],[Principal]]-Table1[[#This Row],[Prepayments]]),2)</f>
        <v>0</v>
      </c>
      <c r="K328" s="3">
        <f>ROUND(Table1[[#This Row],[Defaulted Principal]]*IF($C$9="No",$E$4,VLOOKUP(Table1[[#This Row],[Period]],Forecast!$H$2:$L$1048576,3,FALSE)),2)</f>
        <v>0</v>
      </c>
      <c r="L328" s="2">
        <f>Table1[[#This Row],[Period]]+$E$9</f>
        <v>324</v>
      </c>
      <c r="M328" s="3">
        <f>Table1[[#This Row],[Defaulted Principal]]-Table1[[#This Row],[Estimated Loss]]</f>
        <v>0</v>
      </c>
      <c r="N328" s="3">
        <f>IFERROR(VLOOKUP(Table1[[#This Row],[Period]],$L$16:$M$385,2,FALSE),0)</f>
        <v>0</v>
      </c>
      <c r="O328" s="3">
        <f>Table1[[#This Row],[Beginning Balance]]-Table1[[#This Row],[Principal]]-Table1[[#This Row],[Prepayments]]-Table1[[#This Row],[Defaulted Principal]]</f>
        <v>0</v>
      </c>
      <c r="P328" s="3">
        <f>Table1[[#This Row],[Principal]]+Table1[[#This Row],[Interest]]+Table1[[#This Row],[Prepayments]]+Table1[[#This Row],[RecoveredAmount]]</f>
        <v>0</v>
      </c>
      <c r="Q328" s="3">
        <f ca="1">Table1[[#This Row],[Cash Flow]]/((1+ActualRateToUse)^(IF(ISNUMBER(SEARCH("Actual",$C$7)),Table1[[#This Row],[Running Total]]/365,Table1[[#This Row],[Period]]/12)))</f>
        <v>0</v>
      </c>
      <c r="R328" s="2">
        <f>IF(MONTH(Table1[[#This Row],[Date]])=2,28,DAY(DATE(YEAR(Table1[[#This Row],[Date]]),MONTH(Table1[[#This Row],[Date]])+1,1)-1))</f>
        <v>30</v>
      </c>
      <c r="S328" s="2">
        <f ca="1">SUM(OFFSET(Table1[[#Headers],[Days in month]],1,0):Table1[[#This Row],[Days in month]])</f>
        <v>9490</v>
      </c>
      <c r="T328" s="37">
        <f>InterestRate*AmortizationMultiplier*IF(ISNUMBER(SEARCH("Actual",$C$7)),Table1[[#This Row],[Days in month]]/365,1/12)</f>
        <v>5.8749999999999991E-3</v>
      </c>
    </row>
    <row r="329" spans="2:20" x14ac:dyDescent="0.2">
      <c r="B329" s="1">
        <f t="shared" si="16"/>
        <v>55365</v>
      </c>
      <c r="C329" s="2">
        <f t="shared" si="17"/>
        <v>313</v>
      </c>
      <c r="D329" s="3">
        <f t="shared" si="19"/>
        <v>0</v>
      </c>
      <c r="E329" s="3">
        <f>ROUND(Table1[[#This Row],[Beginning Balance]]*Table1[[#This Row],[Monthly Interest Rate]],2)</f>
        <v>0</v>
      </c>
      <c r="F329" s="3">
        <f t="shared" si="18"/>
        <v>39</v>
      </c>
      <c r="G329" s="23">
        <f>IFERROR(IF($C$13="No","N/A",IF(Table1[[#This Row],[Period]]=1,$C$6,PMT(InterestRate*AmortizationMultiplier/12,Table1[[#This Row],[Am Thru]],-Table1[[#This Row],[Beginning Balance]]))),0)</f>
        <v>0</v>
      </c>
      <c r="H329" s="3">
        <f>MAX(0,IF(C329=$C$4,D329,ROUND(IF($C$3="Fixed Principal",$C$6-Table1[[#This Row],[Interest]],IF($C$3="Interest Only",Table1[[#This Row],[Beginning Balance]]*ROUND(1-(1-IF($C$11="No",$E$8,1))^(1/12),6),MIN(IF($C$13="Yes",Table1[[#This Row],[Payment Amount (Reamortized)]],$C$6)-Table1[[#This Row],[Interest]],Table1[[#This Row],[Beginning Balance]]))),2)))</f>
        <v>0</v>
      </c>
      <c r="I329" s="3">
        <f>_xlfn.SINGLE(IF($C$3="Line of Credit",0,ROUND(MAX(MIN(IF($C$10="No",$E$7,VLOOKUP(Table1[[#This Row],[Period]],Forecast!$H$2:$L$1048576,4,FALSE))*Table1[[#This Row],[Beginning Balance]],Table1[[#This Row],[Beginning Balance]]-Table1[[#This Row],[Principal]]),0),2)))</f>
        <v>0</v>
      </c>
      <c r="J329" s="3">
        <f>ROUND(MIN(Table1[[#This Row],[Beginning Balance]]*IF($C$8="No",$E$3,VLOOKUP(Table1[[#This Row],[Period]],Forecast!$H$2:$L$1048576,2,FALSE)),Table1[[#This Row],[Beginning Balance]]-Table1[[#This Row],[Principal]]-Table1[[#This Row],[Prepayments]]),2)</f>
        <v>0</v>
      </c>
      <c r="K329" s="3">
        <f>ROUND(Table1[[#This Row],[Defaulted Principal]]*IF($C$9="No",$E$4,VLOOKUP(Table1[[#This Row],[Period]],Forecast!$H$2:$L$1048576,3,FALSE)),2)</f>
        <v>0</v>
      </c>
      <c r="L329" s="2">
        <f>Table1[[#This Row],[Period]]+$E$9</f>
        <v>325</v>
      </c>
      <c r="M329" s="3">
        <f>Table1[[#This Row],[Defaulted Principal]]-Table1[[#This Row],[Estimated Loss]]</f>
        <v>0</v>
      </c>
      <c r="N329" s="3">
        <f>IFERROR(VLOOKUP(Table1[[#This Row],[Period]],$L$16:$M$385,2,FALSE),0)</f>
        <v>0</v>
      </c>
      <c r="O329" s="3">
        <f>Table1[[#This Row],[Beginning Balance]]-Table1[[#This Row],[Principal]]-Table1[[#This Row],[Prepayments]]-Table1[[#This Row],[Defaulted Principal]]</f>
        <v>0</v>
      </c>
      <c r="P329" s="3">
        <f>Table1[[#This Row],[Principal]]+Table1[[#This Row],[Interest]]+Table1[[#This Row],[Prepayments]]+Table1[[#This Row],[RecoveredAmount]]</f>
        <v>0</v>
      </c>
      <c r="Q329" s="3">
        <f ca="1">Table1[[#This Row],[Cash Flow]]/((1+ActualRateToUse)^(IF(ISNUMBER(SEARCH("Actual",$C$7)),Table1[[#This Row],[Running Total]]/365,Table1[[#This Row],[Period]]/12)))</f>
        <v>0</v>
      </c>
      <c r="R329" s="2">
        <f>IF(MONTH(Table1[[#This Row],[Date]])=2,28,DAY(DATE(YEAR(Table1[[#This Row],[Date]]),MONTH(Table1[[#This Row],[Date]])+1,1)-1))</f>
        <v>31</v>
      </c>
      <c r="S329" s="2">
        <f ca="1">SUM(OFFSET(Table1[[#Headers],[Days in month]],1,0):Table1[[#This Row],[Days in month]])</f>
        <v>9521</v>
      </c>
      <c r="T329" s="37">
        <f>InterestRate*AmortizationMultiplier*IF(ISNUMBER(SEARCH("Actual",$C$7)),Table1[[#This Row],[Days in month]]/365,1/12)</f>
        <v>6.0708333333333326E-3</v>
      </c>
    </row>
    <row r="330" spans="2:20" x14ac:dyDescent="0.2">
      <c r="B330" s="1">
        <f t="shared" si="16"/>
        <v>55396</v>
      </c>
      <c r="C330" s="2">
        <f t="shared" si="17"/>
        <v>314</v>
      </c>
      <c r="D330" s="3">
        <f t="shared" si="19"/>
        <v>0</v>
      </c>
      <c r="E330" s="3">
        <f>ROUND(Table1[[#This Row],[Beginning Balance]]*Table1[[#This Row],[Monthly Interest Rate]],2)</f>
        <v>0</v>
      </c>
      <c r="F330" s="3">
        <f t="shared" si="18"/>
        <v>38</v>
      </c>
      <c r="G330" s="23">
        <f>IFERROR(IF($C$13="No","N/A",IF(Table1[[#This Row],[Period]]=1,$C$6,PMT(InterestRate*AmortizationMultiplier/12,Table1[[#This Row],[Am Thru]],-Table1[[#This Row],[Beginning Balance]]))),0)</f>
        <v>0</v>
      </c>
      <c r="H330" s="3">
        <f>MAX(0,IF(C330=$C$4,D330,ROUND(IF($C$3="Fixed Principal",$C$6-Table1[[#This Row],[Interest]],IF($C$3="Interest Only",Table1[[#This Row],[Beginning Balance]]*ROUND(1-(1-IF($C$11="No",$E$8,1))^(1/12),6),MIN(IF($C$13="Yes",Table1[[#This Row],[Payment Amount (Reamortized)]],$C$6)-Table1[[#This Row],[Interest]],Table1[[#This Row],[Beginning Balance]]))),2)))</f>
        <v>0</v>
      </c>
      <c r="I330" s="3">
        <f>_xlfn.SINGLE(IF($C$3="Line of Credit",0,ROUND(MAX(MIN(IF($C$10="No",$E$7,VLOOKUP(Table1[[#This Row],[Period]],Forecast!$H$2:$L$1048576,4,FALSE))*Table1[[#This Row],[Beginning Balance]],Table1[[#This Row],[Beginning Balance]]-Table1[[#This Row],[Principal]]),0),2)))</f>
        <v>0</v>
      </c>
      <c r="J330" s="3">
        <f>ROUND(MIN(Table1[[#This Row],[Beginning Balance]]*IF($C$8="No",$E$3,VLOOKUP(Table1[[#This Row],[Period]],Forecast!$H$2:$L$1048576,2,FALSE)),Table1[[#This Row],[Beginning Balance]]-Table1[[#This Row],[Principal]]-Table1[[#This Row],[Prepayments]]),2)</f>
        <v>0</v>
      </c>
      <c r="K330" s="3">
        <f>ROUND(Table1[[#This Row],[Defaulted Principal]]*IF($C$9="No",$E$4,VLOOKUP(Table1[[#This Row],[Period]],Forecast!$H$2:$L$1048576,3,FALSE)),2)</f>
        <v>0</v>
      </c>
      <c r="L330" s="2">
        <f>Table1[[#This Row],[Period]]+$E$9</f>
        <v>326</v>
      </c>
      <c r="M330" s="3">
        <f>Table1[[#This Row],[Defaulted Principal]]-Table1[[#This Row],[Estimated Loss]]</f>
        <v>0</v>
      </c>
      <c r="N330" s="3">
        <f>IFERROR(VLOOKUP(Table1[[#This Row],[Period]],$L$16:$M$385,2,FALSE),0)</f>
        <v>0</v>
      </c>
      <c r="O330" s="3">
        <f>Table1[[#This Row],[Beginning Balance]]-Table1[[#This Row],[Principal]]-Table1[[#This Row],[Prepayments]]-Table1[[#This Row],[Defaulted Principal]]</f>
        <v>0</v>
      </c>
      <c r="P330" s="3">
        <f>Table1[[#This Row],[Principal]]+Table1[[#This Row],[Interest]]+Table1[[#This Row],[Prepayments]]+Table1[[#This Row],[RecoveredAmount]]</f>
        <v>0</v>
      </c>
      <c r="Q330" s="3">
        <f ca="1">Table1[[#This Row],[Cash Flow]]/((1+ActualRateToUse)^(IF(ISNUMBER(SEARCH("Actual",$C$7)),Table1[[#This Row],[Running Total]]/365,Table1[[#This Row],[Period]]/12)))</f>
        <v>0</v>
      </c>
      <c r="R330" s="2">
        <f>IF(MONTH(Table1[[#This Row],[Date]])=2,28,DAY(DATE(YEAR(Table1[[#This Row],[Date]]),MONTH(Table1[[#This Row],[Date]])+1,1)-1))</f>
        <v>31</v>
      </c>
      <c r="S330" s="2">
        <f ca="1">SUM(OFFSET(Table1[[#Headers],[Days in month]],1,0):Table1[[#This Row],[Days in month]])</f>
        <v>9552</v>
      </c>
      <c r="T330" s="37">
        <f>InterestRate*AmortizationMultiplier*IF(ISNUMBER(SEARCH("Actual",$C$7)),Table1[[#This Row],[Days in month]]/365,1/12)</f>
        <v>6.0708333333333326E-3</v>
      </c>
    </row>
    <row r="331" spans="2:20" x14ac:dyDescent="0.2">
      <c r="B331" s="1">
        <f t="shared" si="16"/>
        <v>55426</v>
      </c>
      <c r="C331" s="2">
        <f t="shared" si="17"/>
        <v>315</v>
      </c>
      <c r="D331" s="3">
        <f t="shared" si="19"/>
        <v>0</v>
      </c>
      <c r="E331" s="3">
        <f>ROUND(Table1[[#This Row],[Beginning Balance]]*Table1[[#This Row],[Monthly Interest Rate]],2)</f>
        <v>0</v>
      </c>
      <c r="F331" s="3">
        <f t="shared" si="18"/>
        <v>37</v>
      </c>
      <c r="G331" s="23">
        <f>IFERROR(IF($C$13="No","N/A",IF(Table1[[#This Row],[Period]]=1,$C$6,PMT(InterestRate*AmortizationMultiplier/12,Table1[[#This Row],[Am Thru]],-Table1[[#This Row],[Beginning Balance]]))),0)</f>
        <v>0</v>
      </c>
      <c r="H331" s="3">
        <f>MAX(0,IF(C331=$C$4,D331,ROUND(IF($C$3="Fixed Principal",$C$6-Table1[[#This Row],[Interest]],IF($C$3="Interest Only",Table1[[#This Row],[Beginning Balance]]*ROUND(1-(1-IF($C$11="No",$E$8,1))^(1/12),6),MIN(IF($C$13="Yes",Table1[[#This Row],[Payment Amount (Reamortized)]],$C$6)-Table1[[#This Row],[Interest]],Table1[[#This Row],[Beginning Balance]]))),2)))</f>
        <v>0</v>
      </c>
      <c r="I331" s="3">
        <f>_xlfn.SINGLE(IF($C$3="Line of Credit",0,ROUND(MAX(MIN(IF($C$10="No",$E$7,VLOOKUP(Table1[[#This Row],[Period]],Forecast!$H$2:$L$1048576,4,FALSE))*Table1[[#This Row],[Beginning Balance]],Table1[[#This Row],[Beginning Balance]]-Table1[[#This Row],[Principal]]),0),2)))</f>
        <v>0</v>
      </c>
      <c r="J331" s="3">
        <f>ROUND(MIN(Table1[[#This Row],[Beginning Balance]]*IF($C$8="No",$E$3,VLOOKUP(Table1[[#This Row],[Period]],Forecast!$H$2:$L$1048576,2,FALSE)),Table1[[#This Row],[Beginning Balance]]-Table1[[#This Row],[Principal]]-Table1[[#This Row],[Prepayments]]),2)</f>
        <v>0</v>
      </c>
      <c r="K331" s="3">
        <f>ROUND(Table1[[#This Row],[Defaulted Principal]]*IF($C$9="No",$E$4,VLOOKUP(Table1[[#This Row],[Period]],Forecast!$H$2:$L$1048576,3,FALSE)),2)</f>
        <v>0</v>
      </c>
      <c r="L331" s="2">
        <f>Table1[[#This Row],[Period]]+$E$9</f>
        <v>327</v>
      </c>
      <c r="M331" s="3">
        <f>Table1[[#This Row],[Defaulted Principal]]-Table1[[#This Row],[Estimated Loss]]</f>
        <v>0</v>
      </c>
      <c r="N331" s="3">
        <f>IFERROR(VLOOKUP(Table1[[#This Row],[Period]],$L$16:$M$385,2,FALSE),0)</f>
        <v>0</v>
      </c>
      <c r="O331" s="3">
        <f>Table1[[#This Row],[Beginning Balance]]-Table1[[#This Row],[Principal]]-Table1[[#This Row],[Prepayments]]-Table1[[#This Row],[Defaulted Principal]]</f>
        <v>0</v>
      </c>
      <c r="P331" s="3">
        <f>Table1[[#This Row],[Principal]]+Table1[[#This Row],[Interest]]+Table1[[#This Row],[Prepayments]]+Table1[[#This Row],[RecoveredAmount]]</f>
        <v>0</v>
      </c>
      <c r="Q331" s="3">
        <f ca="1">Table1[[#This Row],[Cash Flow]]/((1+ActualRateToUse)^(IF(ISNUMBER(SEARCH("Actual",$C$7)),Table1[[#This Row],[Running Total]]/365,Table1[[#This Row],[Period]]/12)))</f>
        <v>0</v>
      </c>
      <c r="R331" s="2">
        <f>IF(MONTH(Table1[[#This Row],[Date]])=2,28,DAY(DATE(YEAR(Table1[[#This Row],[Date]]),MONTH(Table1[[#This Row],[Date]])+1,1)-1))</f>
        <v>30</v>
      </c>
      <c r="S331" s="2">
        <f ca="1">SUM(OFFSET(Table1[[#Headers],[Days in month]],1,0):Table1[[#This Row],[Days in month]])</f>
        <v>9582</v>
      </c>
      <c r="T331" s="37">
        <f>InterestRate*AmortizationMultiplier*IF(ISNUMBER(SEARCH("Actual",$C$7)),Table1[[#This Row],[Days in month]]/365,1/12)</f>
        <v>5.8749999999999991E-3</v>
      </c>
    </row>
    <row r="332" spans="2:20" x14ac:dyDescent="0.2">
      <c r="B332" s="1">
        <f t="shared" si="16"/>
        <v>55457</v>
      </c>
      <c r="C332" s="2">
        <f t="shared" si="17"/>
        <v>316</v>
      </c>
      <c r="D332" s="3">
        <f t="shared" si="19"/>
        <v>0</v>
      </c>
      <c r="E332" s="3">
        <f>ROUND(Table1[[#This Row],[Beginning Balance]]*Table1[[#This Row],[Monthly Interest Rate]],2)</f>
        <v>0</v>
      </c>
      <c r="F332" s="3">
        <f t="shared" si="18"/>
        <v>36</v>
      </c>
      <c r="G332" s="23">
        <f>IFERROR(IF($C$13="No","N/A",IF(Table1[[#This Row],[Period]]=1,$C$6,PMT(InterestRate*AmortizationMultiplier/12,Table1[[#This Row],[Am Thru]],-Table1[[#This Row],[Beginning Balance]]))),0)</f>
        <v>0</v>
      </c>
      <c r="H332" s="3">
        <f>MAX(0,IF(C332=$C$4,D332,ROUND(IF($C$3="Fixed Principal",$C$6-Table1[[#This Row],[Interest]],IF($C$3="Interest Only",Table1[[#This Row],[Beginning Balance]]*ROUND(1-(1-IF($C$11="No",$E$8,1))^(1/12),6),MIN(IF($C$13="Yes",Table1[[#This Row],[Payment Amount (Reamortized)]],$C$6)-Table1[[#This Row],[Interest]],Table1[[#This Row],[Beginning Balance]]))),2)))</f>
        <v>0</v>
      </c>
      <c r="I332" s="3">
        <f>_xlfn.SINGLE(IF($C$3="Line of Credit",0,ROUND(MAX(MIN(IF($C$10="No",$E$7,VLOOKUP(Table1[[#This Row],[Period]],Forecast!$H$2:$L$1048576,4,FALSE))*Table1[[#This Row],[Beginning Balance]],Table1[[#This Row],[Beginning Balance]]-Table1[[#This Row],[Principal]]),0),2)))</f>
        <v>0</v>
      </c>
      <c r="J332" s="3">
        <f>ROUND(MIN(Table1[[#This Row],[Beginning Balance]]*IF($C$8="No",$E$3,VLOOKUP(Table1[[#This Row],[Period]],Forecast!$H$2:$L$1048576,2,FALSE)),Table1[[#This Row],[Beginning Balance]]-Table1[[#This Row],[Principal]]-Table1[[#This Row],[Prepayments]]),2)</f>
        <v>0</v>
      </c>
      <c r="K332" s="3">
        <f>ROUND(Table1[[#This Row],[Defaulted Principal]]*IF($C$9="No",$E$4,VLOOKUP(Table1[[#This Row],[Period]],Forecast!$H$2:$L$1048576,3,FALSE)),2)</f>
        <v>0</v>
      </c>
      <c r="L332" s="2">
        <f>Table1[[#This Row],[Period]]+$E$9</f>
        <v>328</v>
      </c>
      <c r="M332" s="3">
        <f>Table1[[#This Row],[Defaulted Principal]]-Table1[[#This Row],[Estimated Loss]]</f>
        <v>0</v>
      </c>
      <c r="N332" s="3">
        <f>IFERROR(VLOOKUP(Table1[[#This Row],[Period]],$L$16:$M$385,2,FALSE),0)</f>
        <v>0</v>
      </c>
      <c r="O332" s="3">
        <f>Table1[[#This Row],[Beginning Balance]]-Table1[[#This Row],[Principal]]-Table1[[#This Row],[Prepayments]]-Table1[[#This Row],[Defaulted Principal]]</f>
        <v>0</v>
      </c>
      <c r="P332" s="3">
        <f>Table1[[#This Row],[Principal]]+Table1[[#This Row],[Interest]]+Table1[[#This Row],[Prepayments]]+Table1[[#This Row],[RecoveredAmount]]</f>
        <v>0</v>
      </c>
      <c r="Q332" s="3">
        <f ca="1">Table1[[#This Row],[Cash Flow]]/((1+ActualRateToUse)^(IF(ISNUMBER(SEARCH("Actual",$C$7)),Table1[[#This Row],[Running Total]]/365,Table1[[#This Row],[Period]]/12)))</f>
        <v>0</v>
      </c>
      <c r="R332" s="2">
        <f>IF(MONTH(Table1[[#This Row],[Date]])=2,28,DAY(DATE(YEAR(Table1[[#This Row],[Date]]),MONTH(Table1[[#This Row],[Date]])+1,1)-1))</f>
        <v>31</v>
      </c>
      <c r="S332" s="2">
        <f ca="1">SUM(OFFSET(Table1[[#Headers],[Days in month]],1,0):Table1[[#This Row],[Days in month]])</f>
        <v>9613</v>
      </c>
      <c r="T332" s="37">
        <f>InterestRate*AmortizationMultiplier*IF(ISNUMBER(SEARCH("Actual",$C$7)),Table1[[#This Row],[Days in month]]/365,1/12)</f>
        <v>6.0708333333333326E-3</v>
      </c>
    </row>
    <row r="333" spans="2:20" x14ac:dyDescent="0.2">
      <c r="B333" s="1">
        <f t="shared" si="16"/>
        <v>55487</v>
      </c>
      <c r="C333" s="2">
        <f t="shared" si="17"/>
        <v>317</v>
      </c>
      <c r="D333" s="3">
        <f t="shared" si="19"/>
        <v>0</v>
      </c>
      <c r="E333" s="3">
        <f>ROUND(Table1[[#This Row],[Beginning Balance]]*Table1[[#This Row],[Monthly Interest Rate]],2)</f>
        <v>0</v>
      </c>
      <c r="F333" s="3">
        <f t="shared" si="18"/>
        <v>35</v>
      </c>
      <c r="G333" s="23">
        <f>IFERROR(IF($C$13="No","N/A",IF(Table1[[#This Row],[Period]]=1,$C$6,PMT(InterestRate*AmortizationMultiplier/12,Table1[[#This Row],[Am Thru]],-Table1[[#This Row],[Beginning Balance]]))),0)</f>
        <v>0</v>
      </c>
      <c r="H333" s="3">
        <f>MAX(0,IF(C333=$C$4,D333,ROUND(IF($C$3="Fixed Principal",$C$6-Table1[[#This Row],[Interest]],IF($C$3="Interest Only",Table1[[#This Row],[Beginning Balance]]*ROUND(1-(1-IF($C$11="No",$E$8,1))^(1/12),6),MIN(IF($C$13="Yes",Table1[[#This Row],[Payment Amount (Reamortized)]],$C$6)-Table1[[#This Row],[Interest]],Table1[[#This Row],[Beginning Balance]]))),2)))</f>
        <v>0</v>
      </c>
      <c r="I333" s="3">
        <f>_xlfn.SINGLE(IF($C$3="Line of Credit",0,ROUND(MAX(MIN(IF($C$10="No",$E$7,VLOOKUP(Table1[[#This Row],[Period]],Forecast!$H$2:$L$1048576,4,FALSE))*Table1[[#This Row],[Beginning Balance]],Table1[[#This Row],[Beginning Balance]]-Table1[[#This Row],[Principal]]),0),2)))</f>
        <v>0</v>
      </c>
      <c r="J333" s="3">
        <f>ROUND(MIN(Table1[[#This Row],[Beginning Balance]]*IF($C$8="No",$E$3,VLOOKUP(Table1[[#This Row],[Period]],Forecast!$H$2:$L$1048576,2,FALSE)),Table1[[#This Row],[Beginning Balance]]-Table1[[#This Row],[Principal]]-Table1[[#This Row],[Prepayments]]),2)</f>
        <v>0</v>
      </c>
      <c r="K333" s="3">
        <f>ROUND(Table1[[#This Row],[Defaulted Principal]]*IF($C$9="No",$E$4,VLOOKUP(Table1[[#This Row],[Period]],Forecast!$H$2:$L$1048576,3,FALSE)),2)</f>
        <v>0</v>
      </c>
      <c r="L333" s="2">
        <f>Table1[[#This Row],[Period]]+$E$9</f>
        <v>329</v>
      </c>
      <c r="M333" s="3">
        <f>Table1[[#This Row],[Defaulted Principal]]-Table1[[#This Row],[Estimated Loss]]</f>
        <v>0</v>
      </c>
      <c r="N333" s="3">
        <f>IFERROR(VLOOKUP(Table1[[#This Row],[Period]],$L$16:$M$385,2,FALSE),0)</f>
        <v>0</v>
      </c>
      <c r="O333" s="3">
        <f>Table1[[#This Row],[Beginning Balance]]-Table1[[#This Row],[Principal]]-Table1[[#This Row],[Prepayments]]-Table1[[#This Row],[Defaulted Principal]]</f>
        <v>0</v>
      </c>
      <c r="P333" s="3">
        <f>Table1[[#This Row],[Principal]]+Table1[[#This Row],[Interest]]+Table1[[#This Row],[Prepayments]]+Table1[[#This Row],[RecoveredAmount]]</f>
        <v>0</v>
      </c>
      <c r="Q333" s="3">
        <f ca="1">Table1[[#This Row],[Cash Flow]]/((1+ActualRateToUse)^(IF(ISNUMBER(SEARCH("Actual",$C$7)),Table1[[#This Row],[Running Total]]/365,Table1[[#This Row],[Period]]/12)))</f>
        <v>0</v>
      </c>
      <c r="R333" s="2">
        <f>IF(MONTH(Table1[[#This Row],[Date]])=2,28,DAY(DATE(YEAR(Table1[[#This Row],[Date]]),MONTH(Table1[[#This Row],[Date]])+1,1)-1))</f>
        <v>30</v>
      </c>
      <c r="S333" s="2">
        <f ca="1">SUM(OFFSET(Table1[[#Headers],[Days in month]],1,0):Table1[[#This Row],[Days in month]])</f>
        <v>9643</v>
      </c>
      <c r="T333" s="37">
        <f>InterestRate*AmortizationMultiplier*IF(ISNUMBER(SEARCH("Actual",$C$7)),Table1[[#This Row],[Days in month]]/365,1/12)</f>
        <v>5.8749999999999991E-3</v>
      </c>
    </row>
    <row r="334" spans="2:20" x14ac:dyDescent="0.2">
      <c r="B334" s="1">
        <f t="shared" si="16"/>
        <v>55518</v>
      </c>
      <c r="C334" s="2">
        <f t="shared" si="17"/>
        <v>318</v>
      </c>
      <c r="D334" s="3">
        <f t="shared" si="19"/>
        <v>0</v>
      </c>
      <c r="E334" s="3">
        <f>ROUND(Table1[[#This Row],[Beginning Balance]]*Table1[[#This Row],[Monthly Interest Rate]],2)</f>
        <v>0</v>
      </c>
      <c r="F334" s="3">
        <f t="shared" si="18"/>
        <v>34</v>
      </c>
      <c r="G334" s="23">
        <f>IFERROR(IF($C$13="No","N/A",IF(Table1[[#This Row],[Period]]=1,$C$6,PMT(InterestRate*AmortizationMultiplier/12,Table1[[#This Row],[Am Thru]],-Table1[[#This Row],[Beginning Balance]]))),0)</f>
        <v>0</v>
      </c>
      <c r="H334" s="3">
        <f>MAX(0,IF(C334=$C$4,D334,ROUND(IF($C$3="Fixed Principal",$C$6-Table1[[#This Row],[Interest]],IF($C$3="Interest Only",Table1[[#This Row],[Beginning Balance]]*ROUND(1-(1-IF($C$11="No",$E$8,1))^(1/12),6),MIN(IF($C$13="Yes",Table1[[#This Row],[Payment Amount (Reamortized)]],$C$6)-Table1[[#This Row],[Interest]],Table1[[#This Row],[Beginning Balance]]))),2)))</f>
        <v>0</v>
      </c>
      <c r="I334" s="3">
        <f>_xlfn.SINGLE(IF($C$3="Line of Credit",0,ROUND(MAX(MIN(IF($C$10="No",$E$7,VLOOKUP(Table1[[#This Row],[Period]],Forecast!$H$2:$L$1048576,4,FALSE))*Table1[[#This Row],[Beginning Balance]],Table1[[#This Row],[Beginning Balance]]-Table1[[#This Row],[Principal]]),0),2)))</f>
        <v>0</v>
      </c>
      <c r="J334" s="3">
        <f>ROUND(MIN(Table1[[#This Row],[Beginning Balance]]*IF($C$8="No",$E$3,VLOOKUP(Table1[[#This Row],[Period]],Forecast!$H$2:$L$1048576,2,FALSE)),Table1[[#This Row],[Beginning Balance]]-Table1[[#This Row],[Principal]]-Table1[[#This Row],[Prepayments]]),2)</f>
        <v>0</v>
      </c>
      <c r="K334" s="3">
        <f>ROUND(Table1[[#This Row],[Defaulted Principal]]*IF($C$9="No",$E$4,VLOOKUP(Table1[[#This Row],[Period]],Forecast!$H$2:$L$1048576,3,FALSE)),2)</f>
        <v>0</v>
      </c>
      <c r="L334" s="2">
        <f>Table1[[#This Row],[Period]]+$E$9</f>
        <v>330</v>
      </c>
      <c r="M334" s="3">
        <f>Table1[[#This Row],[Defaulted Principal]]-Table1[[#This Row],[Estimated Loss]]</f>
        <v>0</v>
      </c>
      <c r="N334" s="3">
        <f>IFERROR(VLOOKUP(Table1[[#This Row],[Period]],$L$16:$M$385,2,FALSE),0)</f>
        <v>0</v>
      </c>
      <c r="O334" s="3">
        <f>Table1[[#This Row],[Beginning Balance]]-Table1[[#This Row],[Principal]]-Table1[[#This Row],[Prepayments]]-Table1[[#This Row],[Defaulted Principal]]</f>
        <v>0</v>
      </c>
      <c r="P334" s="3">
        <f>Table1[[#This Row],[Principal]]+Table1[[#This Row],[Interest]]+Table1[[#This Row],[Prepayments]]+Table1[[#This Row],[RecoveredAmount]]</f>
        <v>0</v>
      </c>
      <c r="Q334" s="3">
        <f ca="1">Table1[[#This Row],[Cash Flow]]/((1+ActualRateToUse)^(IF(ISNUMBER(SEARCH("Actual",$C$7)),Table1[[#This Row],[Running Total]]/365,Table1[[#This Row],[Period]]/12)))</f>
        <v>0</v>
      </c>
      <c r="R334" s="2">
        <f>IF(MONTH(Table1[[#This Row],[Date]])=2,28,DAY(DATE(YEAR(Table1[[#This Row],[Date]]),MONTH(Table1[[#This Row],[Date]])+1,1)-1))</f>
        <v>31</v>
      </c>
      <c r="S334" s="2">
        <f ca="1">SUM(OFFSET(Table1[[#Headers],[Days in month]],1,0):Table1[[#This Row],[Days in month]])</f>
        <v>9674</v>
      </c>
      <c r="T334" s="37">
        <f>InterestRate*AmortizationMultiplier*IF(ISNUMBER(SEARCH("Actual",$C$7)),Table1[[#This Row],[Days in month]]/365,1/12)</f>
        <v>6.0708333333333326E-3</v>
      </c>
    </row>
    <row r="335" spans="2:20" x14ac:dyDescent="0.2">
      <c r="B335" s="1">
        <f t="shared" si="16"/>
        <v>55549</v>
      </c>
      <c r="C335" s="2">
        <f t="shared" si="17"/>
        <v>319</v>
      </c>
      <c r="D335" s="3">
        <f t="shared" si="19"/>
        <v>0</v>
      </c>
      <c r="E335" s="3">
        <f>ROUND(Table1[[#This Row],[Beginning Balance]]*Table1[[#This Row],[Monthly Interest Rate]],2)</f>
        <v>0</v>
      </c>
      <c r="F335" s="3">
        <f t="shared" si="18"/>
        <v>33</v>
      </c>
      <c r="G335" s="23">
        <f>IFERROR(IF($C$13="No","N/A",IF(Table1[[#This Row],[Period]]=1,$C$6,PMT(InterestRate*AmortizationMultiplier/12,Table1[[#This Row],[Am Thru]],-Table1[[#This Row],[Beginning Balance]]))),0)</f>
        <v>0</v>
      </c>
      <c r="H335" s="3">
        <f>MAX(0,IF(C335=$C$4,D335,ROUND(IF($C$3="Fixed Principal",$C$6-Table1[[#This Row],[Interest]],IF($C$3="Interest Only",Table1[[#This Row],[Beginning Balance]]*ROUND(1-(1-IF($C$11="No",$E$8,1))^(1/12),6),MIN(IF($C$13="Yes",Table1[[#This Row],[Payment Amount (Reamortized)]],$C$6)-Table1[[#This Row],[Interest]],Table1[[#This Row],[Beginning Balance]]))),2)))</f>
        <v>0</v>
      </c>
      <c r="I335" s="3">
        <f>_xlfn.SINGLE(IF($C$3="Line of Credit",0,ROUND(MAX(MIN(IF($C$10="No",$E$7,VLOOKUP(Table1[[#This Row],[Period]],Forecast!$H$2:$L$1048576,4,FALSE))*Table1[[#This Row],[Beginning Balance]],Table1[[#This Row],[Beginning Balance]]-Table1[[#This Row],[Principal]]),0),2)))</f>
        <v>0</v>
      </c>
      <c r="J335" s="3">
        <f>ROUND(MIN(Table1[[#This Row],[Beginning Balance]]*IF($C$8="No",$E$3,VLOOKUP(Table1[[#This Row],[Period]],Forecast!$H$2:$L$1048576,2,FALSE)),Table1[[#This Row],[Beginning Balance]]-Table1[[#This Row],[Principal]]-Table1[[#This Row],[Prepayments]]),2)</f>
        <v>0</v>
      </c>
      <c r="K335" s="3">
        <f>ROUND(Table1[[#This Row],[Defaulted Principal]]*IF($C$9="No",$E$4,VLOOKUP(Table1[[#This Row],[Period]],Forecast!$H$2:$L$1048576,3,FALSE)),2)</f>
        <v>0</v>
      </c>
      <c r="L335" s="2">
        <f>Table1[[#This Row],[Period]]+$E$9</f>
        <v>331</v>
      </c>
      <c r="M335" s="3">
        <f>Table1[[#This Row],[Defaulted Principal]]-Table1[[#This Row],[Estimated Loss]]</f>
        <v>0</v>
      </c>
      <c r="N335" s="3">
        <f>IFERROR(VLOOKUP(Table1[[#This Row],[Period]],$L$16:$M$385,2,FALSE),0)</f>
        <v>0</v>
      </c>
      <c r="O335" s="3">
        <f>Table1[[#This Row],[Beginning Balance]]-Table1[[#This Row],[Principal]]-Table1[[#This Row],[Prepayments]]-Table1[[#This Row],[Defaulted Principal]]</f>
        <v>0</v>
      </c>
      <c r="P335" s="3">
        <f>Table1[[#This Row],[Principal]]+Table1[[#This Row],[Interest]]+Table1[[#This Row],[Prepayments]]+Table1[[#This Row],[RecoveredAmount]]</f>
        <v>0</v>
      </c>
      <c r="Q335" s="3">
        <f ca="1">Table1[[#This Row],[Cash Flow]]/((1+ActualRateToUse)^(IF(ISNUMBER(SEARCH("Actual",$C$7)),Table1[[#This Row],[Running Total]]/365,Table1[[#This Row],[Period]]/12)))</f>
        <v>0</v>
      </c>
      <c r="R335" s="2">
        <f>IF(MONTH(Table1[[#This Row],[Date]])=2,28,DAY(DATE(YEAR(Table1[[#This Row],[Date]]),MONTH(Table1[[#This Row],[Date]])+1,1)-1))</f>
        <v>31</v>
      </c>
      <c r="S335" s="2">
        <f ca="1">SUM(OFFSET(Table1[[#Headers],[Days in month]],1,0):Table1[[#This Row],[Days in month]])</f>
        <v>9705</v>
      </c>
      <c r="T335" s="37">
        <f>InterestRate*AmortizationMultiplier*IF(ISNUMBER(SEARCH("Actual",$C$7)),Table1[[#This Row],[Days in month]]/365,1/12)</f>
        <v>6.0708333333333326E-3</v>
      </c>
    </row>
    <row r="336" spans="2:20" x14ac:dyDescent="0.2">
      <c r="B336" s="1">
        <f t="shared" si="16"/>
        <v>55578</v>
      </c>
      <c r="C336" s="2">
        <f t="shared" si="17"/>
        <v>320</v>
      </c>
      <c r="D336" s="3">
        <f t="shared" si="19"/>
        <v>0</v>
      </c>
      <c r="E336" s="3">
        <f>ROUND(Table1[[#This Row],[Beginning Balance]]*Table1[[#This Row],[Monthly Interest Rate]],2)</f>
        <v>0</v>
      </c>
      <c r="F336" s="3">
        <f t="shared" si="18"/>
        <v>32</v>
      </c>
      <c r="G336" s="23">
        <f>IFERROR(IF($C$13="No","N/A",IF(Table1[[#This Row],[Period]]=1,$C$6,PMT(InterestRate*AmortizationMultiplier/12,Table1[[#This Row],[Am Thru]],-Table1[[#This Row],[Beginning Balance]]))),0)</f>
        <v>0</v>
      </c>
      <c r="H336" s="3">
        <f>MAX(0,IF(C336=$C$4,D336,ROUND(IF($C$3="Fixed Principal",$C$6-Table1[[#This Row],[Interest]],IF($C$3="Interest Only",Table1[[#This Row],[Beginning Balance]]*ROUND(1-(1-IF($C$11="No",$E$8,1))^(1/12),6),MIN(IF($C$13="Yes",Table1[[#This Row],[Payment Amount (Reamortized)]],$C$6)-Table1[[#This Row],[Interest]],Table1[[#This Row],[Beginning Balance]]))),2)))</f>
        <v>0</v>
      </c>
      <c r="I336" s="3">
        <f>_xlfn.SINGLE(IF($C$3="Line of Credit",0,ROUND(MAX(MIN(IF($C$10="No",$E$7,VLOOKUP(Table1[[#This Row],[Period]],Forecast!$H$2:$L$1048576,4,FALSE))*Table1[[#This Row],[Beginning Balance]],Table1[[#This Row],[Beginning Balance]]-Table1[[#This Row],[Principal]]),0),2)))</f>
        <v>0</v>
      </c>
      <c r="J336" s="3">
        <f>ROUND(MIN(Table1[[#This Row],[Beginning Balance]]*IF($C$8="No",$E$3,VLOOKUP(Table1[[#This Row],[Period]],Forecast!$H$2:$L$1048576,2,FALSE)),Table1[[#This Row],[Beginning Balance]]-Table1[[#This Row],[Principal]]-Table1[[#This Row],[Prepayments]]),2)</f>
        <v>0</v>
      </c>
      <c r="K336" s="3">
        <f>ROUND(Table1[[#This Row],[Defaulted Principal]]*IF($C$9="No",$E$4,VLOOKUP(Table1[[#This Row],[Period]],Forecast!$H$2:$L$1048576,3,FALSE)),2)</f>
        <v>0</v>
      </c>
      <c r="L336" s="2">
        <f>Table1[[#This Row],[Period]]+$E$9</f>
        <v>332</v>
      </c>
      <c r="M336" s="3">
        <f>Table1[[#This Row],[Defaulted Principal]]-Table1[[#This Row],[Estimated Loss]]</f>
        <v>0</v>
      </c>
      <c r="N336" s="3">
        <f>IFERROR(VLOOKUP(Table1[[#This Row],[Period]],$L$16:$M$385,2,FALSE),0)</f>
        <v>0</v>
      </c>
      <c r="O336" s="3">
        <f>Table1[[#This Row],[Beginning Balance]]-Table1[[#This Row],[Principal]]-Table1[[#This Row],[Prepayments]]-Table1[[#This Row],[Defaulted Principal]]</f>
        <v>0</v>
      </c>
      <c r="P336" s="3">
        <f>Table1[[#This Row],[Principal]]+Table1[[#This Row],[Interest]]+Table1[[#This Row],[Prepayments]]+Table1[[#This Row],[RecoveredAmount]]</f>
        <v>0</v>
      </c>
      <c r="Q336" s="3">
        <f ca="1">Table1[[#This Row],[Cash Flow]]/((1+ActualRateToUse)^(IF(ISNUMBER(SEARCH("Actual",$C$7)),Table1[[#This Row],[Running Total]]/365,Table1[[#This Row],[Period]]/12)))</f>
        <v>0</v>
      </c>
      <c r="R336" s="2">
        <f>IF(MONTH(Table1[[#This Row],[Date]])=2,28,DAY(DATE(YEAR(Table1[[#This Row],[Date]]),MONTH(Table1[[#This Row],[Date]])+1,1)-1))</f>
        <v>28</v>
      </c>
      <c r="S336" s="2">
        <f ca="1">SUM(OFFSET(Table1[[#Headers],[Days in month]],1,0):Table1[[#This Row],[Days in month]])</f>
        <v>9733</v>
      </c>
      <c r="T336" s="37">
        <f>InterestRate*AmortizationMultiplier*IF(ISNUMBER(SEARCH("Actual",$C$7)),Table1[[#This Row],[Days in month]]/365,1/12)</f>
        <v>5.4833333333333331E-3</v>
      </c>
    </row>
    <row r="337" spans="2:20" x14ac:dyDescent="0.2">
      <c r="B337" s="1">
        <f t="shared" si="16"/>
        <v>55609</v>
      </c>
      <c r="C337" s="2">
        <f t="shared" si="17"/>
        <v>321</v>
      </c>
      <c r="D337" s="3">
        <f t="shared" si="19"/>
        <v>0</v>
      </c>
      <c r="E337" s="3">
        <f>ROUND(Table1[[#This Row],[Beginning Balance]]*Table1[[#This Row],[Monthly Interest Rate]],2)</f>
        <v>0</v>
      </c>
      <c r="F337" s="3">
        <f t="shared" si="18"/>
        <v>31</v>
      </c>
      <c r="G337" s="23">
        <f>IFERROR(IF($C$13="No","N/A",IF(Table1[[#This Row],[Period]]=1,$C$6,PMT(InterestRate*AmortizationMultiplier/12,Table1[[#This Row],[Am Thru]],-Table1[[#This Row],[Beginning Balance]]))),0)</f>
        <v>0</v>
      </c>
      <c r="H337" s="3">
        <f>MAX(0,IF(C337=$C$4,D337,ROUND(IF($C$3="Fixed Principal",$C$6-Table1[[#This Row],[Interest]],IF($C$3="Interest Only",Table1[[#This Row],[Beginning Balance]]*ROUND(1-(1-IF($C$11="No",$E$8,1))^(1/12),6),MIN(IF($C$13="Yes",Table1[[#This Row],[Payment Amount (Reamortized)]],$C$6)-Table1[[#This Row],[Interest]],Table1[[#This Row],[Beginning Balance]]))),2)))</f>
        <v>0</v>
      </c>
      <c r="I337" s="3">
        <f>_xlfn.SINGLE(IF($C$3="Line of Credit",0,ROUND(MAX(MIN(IF($C$10="No",$E$7,VLOOKUP(Table1[[#This Row],[Period]],Forecast!$H$2:$L$1048576,4,FALSE))*Table1[[#This Row],[Beginning Balance]],Table1[[#This Row],[Beginning Balance]]-Table1[[#This Row],[Principal]]),0),2)))</f>
        <v>0</v>
      </c>
      <c r="J337" s="3">
        <f>ROUND(MIN(Table1[[#This Row],[Beginning Balance]]*IF($C$8="No",$E$3,VLOOKUP(Table1[[#This Row],[Period]],Forecast!$H$2:$L$1048576,2,FALSE)),Table1[[#This Row],[Beginning Balance]]-Table1[[#This Row],[Principal]]-Table1[[#This Row],[Prepayments]]),2)</f>
        <v>0</v>
      </c>
      <c r="K337" s="3">
        <f>ROUND(Table1[[#This Row],[Defaulted Principal]]*IF($C$9="No",$E$4,VLOOKUP(Table1[[#This Row],[Period]],Forecast!$H$2:$L$1048576,3,FALSE)),2)</f>
        <v>0</v>
      </c>
      <c r="L337" s="2">
        <f>Table1[[#This Row],[Period]]+$E$9</f>
        <v>333</v>
      </c>
      <c r="M337" s="3">
        <f>Table1[[#This Row],[Defaulted Principal]]-Table1[[#This Row],[Estimated Loss]]</f>
        <v>0</v>
      </c>
      <c r="N337" s="3">
        <f>IFERROR(VLOOKUP(Table1[[#This Row],[Period]],$L$16:$M$385,2,FALSE),0)</f>
        <v>0</v>
      </c>
      <c r="O337" s="3">
        <f>Table1[[#This Row],[Beginning Balance]]-Table1[[#This Row],[Principal]]-Table1[[#This Row],[Prepayments]]-Table1[[#This Row],[Defaulted Principal]]</f>
        <v>0</v>
      </c>
      <c r="P337" s="3">
        <f>Table1[[#This Row],[Principal]]+Table1[[#This Row],[Interest]]+Table1[[#This Row],[Prepayments]]+Table1[[#This Row],[RecoveredAmount]]</f>
        <v>0</v>
      </c>
      <c r="Q337" s="3">
        <f ca="1">Table1[[#This Row],[Cash Flow]]/((1+ActualRateToUse)^(IF(ISNUMBER(SEARCH("Actual",$C$7)),Table1[[#This Row],[Running Total]]/365,Table1[[#This Row],[Period]]/12)))</f>
        <v>0</v>
      </c>
      <c r="R337" s="2">
        <f>IF(MONTH(Table1[[#This Row],[Date]])=2,28,DAY(DATE(YEAR(Table1[[#This Row],[Date]]),MONTH(Table1[[#This Row],[Date]])+1,1)-1))</f>
        <v>31</v>
      </c>
      <c r="S337" s="2">
        <f ca="1">SUM(OFFSET(Table1[[#Headers],[Days in month]],1,0):Table1[[#This Row],[Days in month]])</f>
        <v>9764</v>
      </c>
      <c r="T337" s="37">
        <f>InterestRate*AmortizationMultiplier*IF(ISNUMBER(SEARCH("Actual",$C$7)),Table1[[#This Row],[Days in month]]/365,1/12)</f>
        <v>6.0708333333333326E-3</v>
      </c>
    </row>
    <row r="338" spans="2:20" x14ac:dyDescent="0.2">
      <c r="B338" s="1">
        <f t="shared" si="16"/>
        <v>55639</v>
      </c>
      <c r="C338" s="2">
        <f t="shared" si="17"/>
        <v>322</v>
      </c>
      <c r="D338" s="3">
        <f t="shared" si="19"/>
        <v>0</v>
      </c>
      <c r="E338" s="3">
        <f>ROUND(Table1[[#This Row],[Beginning Balance]]*Table1[[#This Row],[Monthly Interest Rate]],2)</f>
        <v>0</v>
      </c>
      <c r="F338" s="3">
        <f t="shared" si="18"/>
        <v>30</v>
      </c>
      <c r="G338" s="23">
        <f>IFERROR(IF($C$13="No","N/A",IF(Table1[[#This Row],[Period]]=1,$C$6,PMT(InterestRate*AmortizationMultiplier/12,Table1[[#This Row],[Am Thru]],-Table1[[#This Row],[Beginning Balance]]))),0)</f>
        <v>0</v>
      </c>
      <c r="H338" s="3">
        <f>MAX(0,IF(C338=$C$4,D338,ROUND(IF($C$3="Fixed Principal",$C$6-Table1[[#This Row],[Interest]],IF($C$3="Interest Only",Table1[[#This Row],[Beginning Balance]]*ROUND(1-(1-IF($C$11="No",$E$8,1))^(1/12),6),MIN(IF($C$13="Yes",Table1[[#This Row],[Payment Amount (Reamortized)]],$C$6)-Table1[[#This Row],[Interest]],Table1[[#This Row],[Beginning Balance]]))),2)))</f>
        <v>0</v>
      </c>
      <c r="I338" s="3">
        <f>_xlfn.SINGLE(IF($C$3="Line of Credit",0,ROUND(MAX(MIN(IF($C$10="No",$E$7,VLOOKUP(Table1[[#This Row],[Period]],Forecast!$H$2:$L$1048576,4,FALSE))*Table1[[#This Row],[Beginning Balance]],Table1[[#This Row],[Beginning Balance]]-Table1[[#This Row],[Principal]]),0),2)))</f>
        <v>0</v>
      </c>
      <c r="J338" s="3">
        <f>ROUND(MIN(Table1[[#This Row],[Beginning Balance]]*IF($C$8="No",$E$3,VLOOKUP(Table1[[#This Row],[Period]],Forecast!$H$2:$L$1048576,2,FALSE)),Table1[[#This Row],[Beginning Balance]]-Table1[[#This Row],[Principal]]-Table1[[#This Row],[Prepayments]]),2)</f>
        <v>0</v>
      </c>
      <c r="K338" s="3">
        <f>ROUND(Table1[[#This Row],[Defaulted Principal]]*IF($C$9="No",$E$4,VLOOKUP(Table1[[#This Row],[Period]],Forecast!$H$2:$L$1048576,3,FALSE)),2)</f>
        <v>0</v>
      </c>
      <c r="L338" s="2">
        <f>Table1[[#This Row],[Period]]+$E$9</f>
        <v>334</v>
      </c>
      <c r="M338" s="3">
        <f>Table1[[#This Row],[Defaulted Principal]]-Table1[[#This Row],[Estimated Loss]]</f>
        <v>0</v>
      </c>
      <c r="N338" s="3">
        <f>IFERROR(VLOOKUP(Table1[[#This Row],[Period]],$L$16:$M$385,2,FALSE),0)</f>
        <v>0</v>
      </c>
      <c r="O338" s="3">
        <f>Table1[[#This Row],[Beginning Balance]]-Table1[[#This Row],[Principal]]-Table1[[#This Row],[Prepayments]]-Table1[[#This Row],[Defaulted Principal]]</f>
        <v>0</v>
      </c>
      <c r="P338" s="3">
        <f>Table1[[#This Row],[Principal]]+Table1[[#This Row],[Interest]]+Table1[[#This Row],[Prepayments]]+Table1[[#This Row],[RecoveredAmount]]</f>
        <v>0</v>
      </c>
      <c r="Q338" s="3">
        <f ca="1">Table1[[#This Row],[Cash Flow]]/((1+ActualRateToUse)^(IF(ISNUMBER(SEARCH("Actual",$C$7)),Table1[[#This Row],[Running Total]]/365,Table1[[#This Row],[Period]]/12)))</f>
        <v>0</v>
      </c>
      <c r="R338" s="2">
        <f>IF(MONTH(Table1[[#This Row],[Date]])=2,28,DAY(DATE(YEAR(Table1[[#This Row],[Date]]),MONTH(Table1[[#This Row],[Date]])+1,1)-1))</f>
        <v>30</v>
      </c>
      <c r="S338" s="2">
        <f ca="1">SUM(OFFSET(Table1[[#Headers],[Days in month]],1,0):Table1[[#This Row],[Days in month]])</f>
        <v>9794</v>
      </c>
      <c r="T338" s="37">
        <f>InterestRate*AmortizationMultiplier*IF(ISNUMBER(SEARCH("Actual",$C$7)),Table1[[#This Row],[Days in month]]/365,1/12)</f>
        <v>5.8749999999999991E-3</v>
      </c>
    </row>
    <row r="339" spans="2:20" x14ac:dyDescent="0.2">
      <c r="B339" s="1">
        <f t="shared" ref="B339:B385" si="20">EOMONTH(B338,1)</f>
        <v>55670</v>
      </c>
      <c r="C339" s="2">
        <f t="shared" ref="C339:C385" si="21">C338+1</f>
        <v>323</v>
      </c>
      <c r="D339" s="3">
        <f t="shared" si="19"/>
        <v>0</v>
      </c>
      <c r="E339" s="3">
        <f>ROUND(Table1[[#This Row],[Beginning Balance]]*Table1[[#This Row],[Monthly Interest Rate]],2)</f>
        <v>0</v>
      </c>
      <c r="F339" s="3">
        <f t="shared" ref="F339:F385" si="22">+F338-1</f>
        <v>29</v>
      </c>
      <c r="G339" s="23">
        <f>IFERROR(IF($C$13="No","N/A",IF(Table1[[#This Row],[Period]]=1,$C$6,PMT(InterestRate*AmortizationMultiplier/12,Table1[[#This Row],[Am Thru]],-Table1[[#This Row],[Beginning Balance]]))),0)</f>
        <v>0</v>
      </c>
      <c r="H339" s="3">
        <f>MAX(0,IF(C339=$C$4,D339,ROUND(IF($C$3="Fixed Principal",$C$6-Table1[[#This Row],[Interest]],IF($C$3="Interest Only",Table1[[#This Row],[Beginning Balance]]*ROUND(1-(1-IF($C$11="No",$E$8,1))^(1/12),6),MIN(IF($C$13="Yes",Table1[[#This Row],[Payment Amount (Reamortized)]],$C$6)-Table1[[#This Row],[Interest]],Table1[[#This Row],[Beginning Balance]]))),2)))</f>
        <v>0</v>
      </c>
      <c r="I339" s="3">
        <f>_xlfn.SINGLE(IF($C$3="Line of Credit",0,ROUND(MAX(MIN(IF($C$10="No",$E$7,VLOOKUP(Table1[[#This Row],[Period]],Forecast!$H$2:$L$1048576,4,FALSE))*Table1[[#This Row],[Beginning Balance]],Table1[[#This Row],[Beginning Balance]]-Table1[[#This Row],[Principal]]),0),2)))</f>
        <v>0</v>
      </c>
      <c r="J339" s="3">
        <f>ROUND(MIN(Table1[[#This Row],[Beginning Balance]]*IF($C$8="No",$E$3,VLOOKUP(Table1[[#This Row],[Period]],Forecast!$H$2:$L$1048576,2,FALSE)),Table1[[#This Row],[Beginning Balance]]-Table1[[#This Row],[Principal]]-Table1[[#This Row],[Prepayments]]),2)</f>
        <v>0</v>
      </c>
      <c r="K339" s="3">
        <f>ROUND(Table1[[#This Row],[Defaulted Principal]]*IF($C$9="No",$E$4,VLOOKUP(Table1[[#This Row],[Period]],Forecast!$H$2:$L$1048576,3,FALSE)),2)</f>
        <v>0</v>
      </c>
      <c r="L339" s="2">
        <f>Table1[[#This Row],[Period]]+$E$9</f>
        <v>335</v>
      </c>
      <c r="M339" s="3">
        <f>Table1[[#This Row],[Defaulted Principal]]-Table1[[#This Row],[Estimated Loss]]</f>
        <v>0</v>
      </c>
      <c r="N339" s="3">
        <f>IFERROR(VLOOKUP(Table1[[#This Row],[Period]],$L$16:$M$385,2,FALSE),0)</f>
        <v>0</v>
      </c>
      <c r="O339" s="3">
        <f>Table1[[#This Row],[Beginning Balance]]-Table1[[#This Row],[Principal]]-Table1[[#This Row],[Prepayments]]-Table1[[#This Row],[Defaulted Principal]]</f>
        <v>0</v>
      </c>
      <c r="P339" s="3">
        <f>Table1[[#This Row],[Principal]]+Table1[[#This Row],[Interest]]+Table1[[#This Row],[Prepayments]]+Table1[[#This Row],[RecoveredAmount]]</f>
        <v>0</v>
      </c>
      <c r="Q339" s="3">
        <f ca="1">Table1[[#This Row],[Cash Flow]]/((1+ActualRateToUse)^(IF(ISNUMBER(SEARCH("Actual",$C$7)),Table1[[#This Row],[Running Total]]/365,Table1[[#This Row],[Period]]/12)))</f>
        <v>0</v>
      </c>
      <c r="R339" s="2">
        <f>IF(MONTH(Table1[[#This Row],[Date]])=2,28,DAY(DATE(YEAR(Table1[[#This Row],[Date]]),MONTH(Table1[[#This Row],[Date]])+1,1)-1))</f>
        <v>31</v>
      </c>
      <c r="S339" s="2">
        <f ca="1">SUM(OFFSET(Table1[[#Headers],[Days in month]],1,0):Table1[[#This Row],[Days in month]])</f>
        <v>9825</v>
      </c>
      <c r="T339" s="37">
        <f>InterestRate*AmortizationMultiplier*IF(ISNUMBER(SEARCH("Actual",$C$7)),Table1[[#This Row],[Days in month]]/365,1/12)</f>
        <v>6.0708333333333326E-3</v>
      </c>
    </row>
    <row r="340" spans="2:20" x14ac:dyDescent="0.2">
      <c r="B340" s="1">
        <f t="shared" si="20"/>
        <v>55700</v>
      </c>
      <c r="C340" s="2">
        <f t="shared" si="21"/>
        <v>324</v>
      </c>
      <c r="D340" s="3">
        <f t="shared" si="19"/>
        <v>0</v>
      </c>
      <c r="E340" s="3">
        <f>ROUND(Table1[[#This Row],[Beginning Balance]]*Table1[[#This Row],[Monthly Interest Rate]],2)</f>
        <v>0</v>
      </c>
      <c r="F340" s="3">
        <f t="shared" si="22"/>
        <v>28</v>
      </c>
      <c r="G340" s="23">
        <f>IFERROR(IF($C$13="No","N/A",IF(Table1[[#This Row],[Period]]=1,$C$6,PMT(InterestRate*AmortizationMultiplier/12,Table1[[#This Row],[Am Thru]],-Table1[[#This Row],[Beginning Balance]]))),0)</f>
        <v>0</v>
      </c>
      <c r="H340" s="3">
        <f>MAX(0,IF(C340=$C$4,D340,ROUND(IF($C$3="Fixed Principal",$C$6-Table1[[#This Row],[Interest]],IF($C$3="Interest Only",Table1[[#This Row],[Beginning Balance]]*ROUND(1-(1-IF($C$11="No",$E$8,1))^(1/12),6),MIN(IF($C$13="Yes",Table1[[#This Row],[Payment Amount (Reamortized)]],$C$6)-Table1[[#This Row],[Interest]],Table1[[#This Row],[Beginning Balance]]))),2)))</f>
        <v>0</v>
      </c>
      <c r="I340" s="3">
        <f>_xlfn.SINGLE(IF($C$3="Line of Credit",0,ROUND(MAX(MIN(IF($C$10="No",$E$7,VLOOKUP(Table1[[#This Row],[Period]],Forecast!$H$2:$L$1048576,4,FALSE))*Table1[[#This Row],[Beginning Balance]],Table1[[#This Row],[Beginning Balance]]-Table1[[#This Row],[Principal]]),0),2)))</f>
        <v>0</v>
      </c>
      <c r="J340" s="3">
        <f>ROUND(MIN(Table1[[#This Row],[Beginning Balance]]*IF($C$8="No",$E$3,VLOOKUP(Table1[[#This Row],[Period]],Forecast!$H$2:$L$1048576,2,FALSE)),Table1[[#This Row],[Beginning Balance]]-Table1[[#This Row],[Principal]]-Table1[[#This Row],[Prepayments]]),2)</f>
        <v>0</v>
      </c>
      <c r="K340" s="3">
        <f>ROUND(Table1[[#This Row],[Defaulted Principal]]*IF($C$9="No",$E$4,VLOOKUP(Table1[[#This Row],[Period]],Forecast!$H$2:$L$1048576,3,FALSE)),2)</f>
        <v>0</v>
      </c>
      <c r="L340" s="2">
        <f>Table1[[#This Row],[Period]]+$E$9</f>
        <v>336</v>
      </c>
      <c r="M340" s="3">
        <f>Table1[[#This Row],[Defaulted Principal]]-Table1[[#This Row],[Estimated Loss]]</f>
        <v>0</v>
      </c>
      <c r="N340" s="3">
        <f>IFERROR(VLOOKUP(Table1[[#This Row],[Period]],$L$16:$M$385,2,FALSE),0)</f>
        <v>0</v>
      </c>
      <c r="O340" s="3">
        <f>Table1[[#This Row],[Beginning Balance]]-Table1[[#This Row],[Principal]]-Table1[[#This Row],[Prepayments]]-Table1[[#This Row],[Defaulted Principal]]</f>
        <v>0</v>
      </c>
      <c r="P340" s="3">
        <f>Table1[[#This Row],[Principal]]+Table1[[#This Row],[Interest]]+Table1[[#This Row],[Prepayments]]+Table1[[#This Row],[RecoveredAmount]]</f>
        <v>0</v>
      </c>
      <c r="Q340" s="3">
        <f ca="1">Table1[[#This Row],[Cash Flow]]/((1+ActualRateToUse)^(IF(ISNUMBER(SEARCH("Actual",$C$7)),Table1[[#This Row],[Running Total]]/365,Table1[[#This Row],[Period]]/12)))</f>
        <v>0</v>
      </c>
      <c r="R340" s="2">
        <f>IF(MONTH(Table1[[#This Row],[Date]])=2,28,DAY(DATE(YEAR(Table1[[#This Row],[Date]]),MONTH(Table1[[#This Row],[Date]])+1,1)-1))</f>
        <v>30</v>
      </c>
      <c r="S340" s="2">
        <f ca="1">SUM(OFFSET(Table1[[#Headers],[Days in month]],1,0):Table1[[#This Row],[Days in month]])</f>
        <v>9855</v>
      </c>
      <c r="T340" s="37">
        <f>InterestRate*AmortizationMultiplier*IF(ISNUMBER(SEARCH("Actual",$C$7)),Table1[[#This Row],[Days in month]]/365,1/12)</f>
        <v>5.8749999999999991E-3</v>
      </c>
    </row>
    <row r="341" spans="2:20" x14ac:dyDescent="0.2">
      <c r="B341" s="1">
        <f t="shared" si="20"/>
        <v>55731</v>
      </c>
      <c r="C341" s="2">
        <f t="shared" si="21"/>
        <v>325</v>
      </c>
      <c r="D341" s="3">
        <f t="shared" si="19"/>
        <v>0</v>
      </c>
      <c r="E341" s="3">
        <f>ROUND(Table1[[#This Row],[Beginning Balance]]*Table1[[#This Row],[Monthly Interest Rate]],2)</f>
        <v>0</v>
      </c>
      <c r="F341" s="3">
        <f t="shared" si="22"/>
        <v>27</v>
      </c>
      <c r="G341" s="23">
        <f>IFERROR(IF($C$13="No","N/A",IF(Table1[[#This Row],[Period]]=1,$C$6,PMT(InterestRate*AmortizationMultiplier/12,Table1[[#This Row],[Am Thru]],-Table1[[#This Row],[Beginning Balance]]))),0)</f>
        <v>0</v>
      </c>
      <c r="H341" s="3">
        <f>MAX(0,IF(C341=$C$4,D341,ROUND(IF($C$3="Fixed Principal",$C$6-Table1[[#This Row],[Interest]],IF($C$3="Interest Only",Table1[[#This Row],[Beginning Balance]]*ROUND(1-(1-IF($C$11="No",$E$8,1))^(1/12),6),MIN(IF($C$13="Yes",Table1[[#This Row],[Payment Amount (Reamortized)]],$C$6)-Table1[[#This Row],[Interest]],Table1[[#This Row],[Beginning Balance]]))),2)))</f>
        <v>0</v>
      </c>
      <c r="I341" s="3">
        <f>_xlfn.SINGLE(IF($C$3="Line of Credit",0,ROUND(MAX(MIN(IF($C$10="No",$E$7,VLOOKUP(Table1[[#This Row],[Period]],Forecast!$H$2:$L$1048576,4,FALSE))*Table1[[#This Row],[Beginning Balance]],Table1[[#This Row],[Beginning Balance]]-Table1[[#This Row],[Principal]]),0),2)))</f>
        <v>0</v>
      </c>
      <c r="J341" s="3">
        <f>ROUND(MIN(Table1[[#This Row],[Beginning Balance]]*IF($C$8="No",$E$3,VLOOKUP(Table1[[#This Row],[Period]],Forecast!$H$2:$L$1048576,2,FALSE)),Table1[[#This Row],[Beginning Balance]]-Table1[[#This Row],[Principal]]-Table1[[#This Row],[Prepayments]]),2)</f>
        <v>0</v>
      </c>
      <c r="K341" s="3">
        <f>ROUND(Table1[[#This Row],[Defaulted Principal]]*IF($C$9="No",$E$4,VLOOKUP(Table1[[#This Row],[Period]],Forecast!$H$2:$L$1048576,3,FALSE)),2)</f>
        <v>0</v>
      </c>
      <c r="L341" s="2">
        <f>Table1[[#This Row],[Period]]+$E$9</f>
        <v>337</v>
      </c>
      <c r="M341" s="3">
        <f>Table1[[#This Row],[Defaulted Principal]]-Table1[[#This Row],[Estimated Loss]]</f>
        <v>0</v>
      </c>
      <c r="N341" s="3">
        <f>IFERROR(VLOOKUP(Table1[[#This Row],[Period]],$L$16:$M$385,2,FALSE),0)</f>
        <v>0</v>
      </c>
      <c r="O341" s="3">
        <f>Table1[[#This Row],[Beginning Balance]]-Table1[[#This Row],[Principal]]-Table1[[#This Row],[Prepayments]]-Table1[[#This Row],[Defaulted Principal]]</f>
        <v>0</v>
      </c>
      <c r="P341" s="3">
        <f>Table1[[#This Row],[Principal]]+Table1[[#This Row],[Interest]]+Table1[[#This Row],[Prepayments]]+Table1[[#This Row],[RecoveredAmount]]</f>
        <v>0</v>
      </c>
      <c r="Q341" s="3">
        <f ca="1">Table1[[#This Row],[Cash Flow]]/((1+ActualRateToUse)^(IF(ISNUMBER(SEARCH("Actual",$C$7)),Table1[[#This Row],[Running Total]]/365,Table1[[#This Row],[Period]]/12)))</f>
        <v>0</v>
      </c>
      <c r="R341" s="2">
        <f>IF(MONTH(Table1[[#This Row],[Date]])=2,28,DAY(DATE(YEAR(Table1[[#This Row],[Date]]),MONTH(Table1[[#This Row],[Date]])+1,1)-1))</f>
        <v>31</v>
      </c>
      <c r="S341" s="2">
        <f ca="1">SUM(OFFSET(Table1[[#Headers],[Days in month]],1,0):Table1[[#This Row],[Days in month]])</f>
        <v>9886</v>
      </c>
      <c r="T341" s="37">
        <f>InterestRate*AmortizationMultiplier*IF(ISNUMBER(SEARCH("Actual",$C$7)),Table1[[#This Row],[Days in month]]/365,1/12)</f>
        <v>6.0708333333333326E-3</v>
      </c>
    </row>
    <row r="342" spans="2:20" x14ac:dyDescent="0.2">
      <c r="B342" s="1">
        <f t="shared" si="20"/>
        <v>55762</v>
      </c>
      <c r="C342" s="2">
        <f t="shared" si="21"/>
        <v>326</v>
      </c>
      <c r="D342" s="3">
        <f t="shared" si="19"/>
        <v>0</v>
      </c>
      <c r="E342" s="3">
        <f>ROUND(Table1[[#This Row],[Beginning Balance]]*Table1[[#This Row],[Monthly Interest Rate]],2)</f>
        <v>0</v>
      </c>
      <c r="F342" s="3">
        <f t="shared" si="22"/>
        <v>26</v>
      </c>
      <c r="G342" s="23">
        <f>IFERROR(IF($C$13="No","N/A",IF(Table1[[#This Row],[Period]]=1,$C$6,PMT(InterestRate*AmortizationMultiplier/12,Table1[[#This Row],[Am Thru]],-Table1[[#This Row],[Beginning Balance]]))),0)</f>
        <v>0</v>
      </c>
      <c r="H342" s="3">
        <f>MAX(0,IF(C342=$C$4,D342,ROUND(IF($C$3="Fixed Principal",$C$6-Table1[[#This Row],[Interest]],IF($C$3="Interest Only",Table1[[#This Row],[Beginning Balance]]*ROUND(1-(1-IF($C$11="No",$E$8,1))^(1/12),6),MIN(IF($C$13="Yes",Table1[[#This Row],[Payment Amount (Reamortized)]],$C$6)-Table1[[#This Row],[Interest]],Table1[[#This Row],[Beginning Balance]]))),2)))</f>
        <v>0</v>
      </c>
      <c r="I342" s="3">
        <f>_xlfn.SINGLE(IF($C$3="Line of Credit",0,ROUND(MAX(MIN(IF($C$10="No",$E$7,VLOOKUP(Table1[[#This Row],[Period]],Forecast!$H$2:$L$1048576,4,FALSE))*Table1[[#This Row],[Beginning Balance]],Table1[[#This Row],[Beginning Balance]]-Table1[[#This Row],[Principal]]),0),2)))</f>
        <v>0</v>
      </c>
      <c r="J342" s="3">
        <f>ROUND(MIN(Table1[[#This Row],[Beginning Balance]]*IF($C$8="No",$E$3,VLOOKUP(Table1[[#This Row],[Period]],Forecast!$H$2:$L$1048576,2,FALSE)),Table1[[#This Row],[Beginning Balance]]-Table1[[#This Row],[Principal]]-Table1[[#This Row],[Prepayments]]),2)</f>
        <v>0</v>
      </c>
      <c r="K342" s="3">
        <f>ROUND(Table1[[#This Row],[Defaulted Principal]]*IF($C$9="No",$E$4,VLOOKUP(Table1[[#This Row],[Period]],Forecast!$H$2:$L$1048576,3,FALSE)),2)</f>
        <v>0</v>
      </c>
      <c r="L342" s="2">
        <f>Table1[[#This Row],[Period]]+$E$9</f>
        <v>338</v>
      </c>
      <c r="M342" s="3">
        <f>Table1[[#This Row],[Defaulted Principal]]-Table1[[#This Row],[Estimated Loss]]</f>
        <v>0</v>
      </c>
      <c r="N342" s="3">
        <f>IFERROR(VLOOKUP(Table1[[#This Row],[Period]],$L$16:$M$385,2,FALSE),0)</f>
        <v>0</v>
      </c>
      <c r="O342" s="3">
        <f>Table1[[#This Row],[Beginning Balance]]-Table1[[#This Row],[Principal]]-Table1[[#This Row],[Prepayments]]-Table1[[#This Row],[Defaulted Principal]]</f>
        <v>0</v>
      </c>
      <c r="P342" s="3">
        <f>Table1[[#This Row],[Principal]]+Table1[[#This Row],[Interest]]+Table1[[#This Row],[Prepayments]]+Table1[[#This Row],[RecoveredAmount]]</f>
        <v>0</v>
      </c>
      <c r="Q342" s="3">
        <f ca="1">Table1[[#This Row],[Cash Flow]]/((1+ActualRateToUse)^(IF(ISNUMBER(SEARCH("Actual",$C$7)),Table1[[#This Row],[Running Total]]/365,Table1[[#This Row],[Period]]/12)))</f>
        <v>0</v>
      </c>
      <c r="R342" s="2">
        <f>IF(MONTH(Table1[[#This Row],[Date]])=2,28,DAY(DATE(YEAR(Table1[[#This Row],[Date]]),MONTH(Table1[[#This Row],[Date]])+1,1)-1))</f>
        <v>31</v>
      </c>
      <c r="S342" s="2">
        <f ca="1">SUM(OFFSET(Table1[[#Headers],[Days in month]],1,0):Table1[[#This Row],[Days in month]])</f>
        <v>9917</v>
      </c>
      <c r="T342" s="37">
        <f>InterestRate*AmortizationMultiplier*IF(ISNUMBER(SEARCH("Actual",$C$7)),Table1[[#This Row],[Days in month]]/365,1/12)</f>
        <v>6.0708333333333326E-3</v>
      </c>
    </row>
    <row r="343" spans="2:20" x14ac:dyDescent="0.2">
      <c r="B343" s="1">
        <f t="shared" si="20"/>
        <v>55792</v>
      </c>
      <c r="C343" s="2">
        <f t="shared" si="21"/>
        <v>327</v>
      </c>
      <c r="D343" s="3">
        <f t="shared" si="19"/>
        <v>0</v>
      </c>
      <c r="E343" s="3">
        <f>ROUND(Table1[[#This Row],[Beginning Balance]]*Table1[[#This Row],[Monthly Interest Rate]],2)</f>
        <v>0</v>
      </c>
      <c r="F343" s="3">
        <f t="shared" si="22"/>
        <v>25</v>
      </c>
      <c r="G343" s="23">
        <f>IFERROR(IF($C$13="No","N/A",IF(Table1[[#This Row],[Period]]=1,$C$6,PMT(InterestRate*AmortizationMultiplier/12,Table1[[#This Row],[Am Thru]],-Table1[[#This Row],[Beginning Balance]]))),0)</f>
        <v>0</v>
      </c>
      <c r="H343" s="3">
        <f>MAX(0,IF(C343=$C$4,D343,ROUND(IF($C$3="Fixed Principal",$C$6-Table1[[#This Row],[Interest]],IF($C$3="Interest Only",Table1[[#This Row],[Beginning Balance]]*ROUND(1-(1-IF($C$11="No",$E$8,1))^(1/12),6),MIN(IF($C$13="Yes",Table1[[#This Row],[Payment Amount (Reamortized)]],$C$6)-Table1[[#This Row],[Interest]],Table1[[#This Row],[Beginning Balance]]))),2)))</f>
        <v>0</v>
      </c>
      <c r="I343" s="3">
        <f>_xlfn.SINGLE(IF($C$3="Line of Credit",0,ROUND(MAX(MIN(IF($C$10="No",$E$7,VLOOKUP(Table1[[#This Row],[Period]],Forecast!$H$2:$L$1048576,4,FALSE))*Table1[[#This Row],[Beginning Balance]],Table1[[#This Row],[Beginning Balance]]-Table1[[#This Row],[Principal]]),0),2)))</f>
        <v>0</v>
      </c>
      <c r="J343" s="3">
        <f>ROUND(MIN(Table1[[#This Row],[Beginning Balance]]*IF($C$8="No",$E$3,VLOOKUP(Table1[[#This Row],[Period]],Forecast!$H$2:$L$1048576,2,FALSE)),Table1[[#This Row],[Beginning Balance]]-Table1[[#This Row],[Principal]]-Table1[[#This Row],[Prepayments]]),2)</f>
        <v>0</v>
      </c>
      <c r="K343" s="3">
        <f>ROUND(Table1[[#This Row],[Defaulted Principal]]*IF($C$9="No",$E$4,VLOOKUP(Table1[[#This Row],[Period]],Forecast!$H$2:$L$1048576,3,FALSE)),2)</f>
        <v>0</v>
      </c>
      <c r="L343" s="2">
        <f>Table1[[#This Row],[Period]]+$E$9</f>
        <v>339</v>
      </c>
      <c r="M343" s="3">
        <f>Table1[[#This Row],[Defaulted Principal]]-Table1[[#This Row],[Estimated Loss]]</f>
        <v>0</v>
      </c>
      <c r="N343" s="3">
        <f>IFERROR(VLOOKUP(Table1[[#This Row],[Period]],$L$16:$M$385,2,FALSE),0)</f>
        <v>0</v>
      </c>
      <c r="O343" s="3">
        <f>Table1[[#This Row],[Beginning Balance]]-Table1[[#This Row],[Principal]]-Table1[[#This Row],[Prepayments]]-Table1[[#This Row],[Defaulted Principal]]</f>
        <v>0</v>
      </c>
      <c r="P343" s="3">
        <f>Table1[[#This Row],[Principal]]+Table1[[#This Row],[Interest]]+Table1[[#This Row],[Prepayments]]+Table1[[#This Row],[RecoveredAmount]]</f>
        <v>0</v>
      </c>
      <c r="Q343" s="3">
        <f ca="1">Table1[[#This Row],[Cash Flow]]/((1+ActualRateToUse)^(IF(ISNUMBER(SEARCH("Actual",$C$7)),Table1[[#This Row],[Running Total]]/365,Table1[[#This Row],[Period]]/12)))</f>
        <v>0</v>
      </c>
      <c r="R343" s="2">
        <f>IF(MONTH(Table1[[#This Row],[Date]])=2,28,DAY(DATE(YEAR(Table1[[#This Row],[Date]]),MONTH(Table1[[#This Row],[Date]])+1,1)-1))</f>
        <v>30</v>
      </c>
      <c r="S343" s="2">
        <f ca="1">SUM(OFFSET(Table1[[#Headers],[Days in month]],1,0):Table1[[#This Row],[Days in month]])</f>
        <v>9947</v>
      </c>
      <c r="T343" s="37">
        <f>InterestRate*AmortizationMultiplier*IF(ISNUMBER(SEARCH("Actual",$C$7)),Table1[[#This Row],[Days in month]]/365,1/12)</f>
        <v>5.8749999999999991E-3</v>
      </c>
    </row>
    <row r="344" spans="2:20" x14ac:dyDescent="0.2">
      <c r="B344" s="1">
        <f t="shared" si="20"/>
        <v>55823</v>
      </c>
      <c r="C344" s="2">
        <f t="shared" si="21"/>
        <v>328</v>
      </c>
      <c r="D344" s="3">
        <f t="shared" si="19"/>
        <v>0</v>
      </c>
      <c r="E344" s="3">
        <f>ROUND(Table1[[#This Row],[Beginning Balance]]*Table1[[#This Row],[Monthly Interest Rate]],2)</f>
        <v>0</v>
      </c>
      <c r="F344" s="3">
        <f t="shared" si="22"/>
        <v>24</v>
      </c>
      <c r="G344" s="23">
        <f>IFERROR(IF($C$13="No","N/A",IF(Table1[[#This Row],[Period]]=1,$C$6,PMT(InterestRate*AmortizationMultiplier/12,Table1[[#This Row],[Am Thru]],-Table1[[#This Row],[Beginning Balance]]))),0)</f>
        <v>0</v>
      </c>
      <c r="H344" s="3">
        <f>MAX(0,IF(C344=$C$4,D344,ROUND(IF($C$3="Fixed Principal",$C$6-Table1[[#This Row],[Interest]],IF($C$3="Interest Only",Table1[[#This Row],[Beginning Balance]]*ROUND(1-(1-IF($C$11="No",$E$8,1))^(1/12),6),MIN(IF($C$13="Yes",Table1[[#This Row],[Payment Amount (Reamortized)]],$C$6)-Table1[[#This Row],[Interest]],Table1[[#This Row],[Beginning Balance]]))),2)))</f>
        <v>0</v>
      </c>
      <c r="I344" s="3">
        <f>_xlfn.SINGLE(IF($C$3="Line of Credit",0,ROUND(MAX(MIN(IF($C$10="No",$E$7,VLOOKUP(Table1[[#This Row],[Period]],Forecast!$H$2:$L$1048576,4,FALSE))*Table1[[#This Row],[Beginning Balance]],Table1[[#This Row],[Beginning Balance]]-Table1[[#This Row],[Principal]]),0),2)))</f>
        <v>0</v>
      </c>
      <c r="J344" s="3">
        <f>ROUND(MIN(Table1[[#This Row],[Beginning Balance]]*IF($C$8="No",$E$3,VLOOKUP(Table1[[#This Row],[Period]],Forecast!$H$2:$L$1048576,2,FALSE)),Table1[[#This Row],[Beginning Balance]]-Table1[[#This Row],[Principal]]-Table1[[#This Row],[Prepayments]]),2)</f>
        <v>0</v>
      </c>
      <c r="K344" s="3">
        <f>ROUND(Table1[[#This Row],[Defaulted Principal]]*IF($C$9="No",$E$4,VLOOKUP(Table1[[#This Row],[Period]],Forecast!$H$2:$L$1048576,3,FALSE)),2)</f>
        <v>0</v>
      </c>
      <c r="L344" s="2">
        <f>Table1[[#This Row],[Period]]+$E$9</f>
        <v>340</v>
      </c>
      <c r="M344" s="3">
        <f>Table1[[#This Row],[Defaulted Principal]]-Table1[[#This Row],[Estimated Loss]]</f>
        <v>0</v>
      </c>
      <c r="N344" s="3">
        <f>IFERROR(VLOOKUP(Table1[[#This Row],[Period]],$L$16:$M$385,2,FALSE),0)</f>
        <v>0</v>
      </c>
      <c r="O344" s="3">
        <f>Table1[[#This Row],[Beginning Balance]]-Table1[[#This Row],[Principal]]-Table1[[#This Row],[Prepayments]]-Table1[[#This Row],[Defaulted Principal]]</f>
        <v>0</v>
      </c>
      <c r="P344" s="3">
        <f>Table1[[#This Row],[Principal]]+Table1[[#This Row],[Interest]]+Table1[[#This Row],[Prepayments]]+Table1[[#This Row],[RecoveredAmount]]</f>
        <v>0</v>
      </c>
      <c r="Q344" s="3">
        <f ca="1">Table1[[#This Row],[Cash Flow]]/((1+ActualRateToUse)^(IF(ISNUMBER(SEARCH("Actual",$C$7)),Table1[[#This Row],[Running Total]]/365,Table1[[#This Row],[Period]]/12)))</f>
        <v>0</v>
      </c>
      <c r="R344" s="2">
        <f>IF(MONTH(Table1[[#This Row],[Date]])=2,28,DAY(DATE(YEAR(Table1[[#This Row],[Date]]),MONTH(Table1[[#This Row],[Date]])+1,1)-1))</f>
        <v>31</v>
      </c>
      <c r="S344" s="2">
        <f ca="1">SUM(OFFSET(Table1[[#Headers],[Days in month]],1,0):Table1[[#This Row],[Days in month]])</f>
        <v>9978</v>
      </c>
      <c r="T344" s="37">
        <f>InterestRate*AmortizationMultiplier*IF(ISNUMBER(SEARCH("Actual",$C$7)),Table1[[#This Row],[Days in month]]/365,1/12)</f>
        <v>6.0708333333333326E-3</v>
      </c>
    </row>
    <row r="345" spans="2:20" x14ac:dyDescent="0.2">
      <c r="B345" s="1">
        <f t="shared" si="20"/>
        <v>55853</v>
      </c>
      <c r="C345" s="2">
        <f t="shared" si="21"/>
        <v>329</v>
      </c>
      <c r="D345" s="3">
        <f t="shared" si="19"/>
        <v>0</v>
      </c>
      <c r="E345" s="3">
        <f>ROUND(Table1[[#This Row],[Beginning Balance]]*Table1[[#This Row],[Monthly Interest Rate]],2)</f>
        <v>0</v>
      </c>
      <c r="F345" s="3">
        <f t="shared" si="22"/>
        <v>23</v>
      </c>
      <c r="G345" s="23">
        <f>IFERROR(IF($C$13="No","N/A",IF(Table1[[#This Row],[Period]]=1,$C$6,PMT(InterestRate*AmortizationMultiplier/12,Table1[[#This Row],[Am Thru]],-Table1[[#This Row],[Beginning Balance]]))),0)</f>
        <v>0</v>
      </c>
      <c r="H345" s="3">
        <f>MAX(0,IF(C345=$C$4,D345,ROUND(IF($C$3="Fixed Principal",$C$6-Table1[[#This Row],[Interest]],IF($C$3="Interest Only",Table1[[#This Row],[Beginning Balance]]*ROUND(1-(1-IF($C$11="No",$E$8,1))^(1/12),6),MIN(IF($C$13="Yes",Table1[[#This Row],[Payment Amount (Reamortized)]],$C$6)-Table1[[#This Row],[Interest]],Table1[[#This Row],[Beginning Balance]]))),2)))</f>
        <v>0</v>
      </c>
      <c r="I345" s="3">
        <f>_xlfn.SINGLE(IF($C$3="Line of Credit",0,ROUND(MAX(MIN(IF($C$10="No",$E$7,VLOOKUP(Table1[[#This Row],[Period]],Forecast!$H$2:$L$1048576,4,FALSE))*Table1[[#This Row],[Beginning Balance]],Table1[[#This Row],[Beginning Balance]]-Table1[[#This Row],[Principal]]),0),2)))</f>
        <v>0</v>
      </c>
      <c r="J345" s="3">
        <f>ROUND(MIN(Table1[[#This Row],[Beginning Balance]]*IF($C$8="No",$E$3,VLOOKUP(Table1[[#This Row],[Period]],Forecast!$H$2:$L$1048576,2,FALSE)),Table1[[#This Row],[Beginning Balance]]-Table1[[#This Row],[Principal]]-Table1[[#This Row],[Prepayments]]),2)</f>
        <v>0</v>
      </c>
      <c r="K345" s="3">
        <f>ROUND(Table1[[#This Row],[Defaulted Principal]]*IF($C$9="No",$E$4,VLOOKUP(Table1[[#This Row],[Period]],Forecast!$H$2:$L$1048576,3,FALSE)),2)</f>
        <v>0</v>
      </c>
      <c r="L345" s="2">
        <f>Table1[[#This Row],[Period]]+$E$9</f>
        <v>341</v>
      </c>
      <c r="M345" s="3">
        <f>Table1[[#This Row],[Defaulted Principal]]-Table1[[#This Row],[Estimated Loss]]</f>
        <v>0</v>
      </c>
      <c r="N345" s="3">
        <f>IFERROR(VLOOKUP(Table1[[#This Row],[Period]],$L$16:$M$385,2,FALSE),0)</f>
        <v>0</v>
      </c>
      <c r="O345" s="3">
        <f>Table1[[#This Row],[Beginning Balance]]-Table1[[#This Row],[Principal]]-Table1[[#This Row],[Prepayments]]-Table1[[#This Row],[Defaulted Principal]]</f>
        <v>0</v>
      </c>
      <c r="P345" s="3">
        <f>Table1[[#This Row],[Principal]]+Table1[[#This Row],[Interest]]+Table1[[#This Row],[Prepayments]]+Table1[[#This Row],[RecoveredAmount]]</f>
        <v>0</v>
      </c>
      <c r="Q345" s="3">
        <f ca="1">Table1[[#This Row],[Cash Flow]]/((1+ActualRateToUse)^(IF(ISNUMBER(SEARCH("Actual",$C$7)),Table1[[#This Row],[Running Total]]/365,Table1[[#This Row],[Period]]/12)))</f>
        <v>0</v>
      </c>
      <c r="R345" s="2">
        <f>IF(MONTH(Table1[[#This Row],[Date]])=2,28,DAY(DATE(YEAR(Table1[[#This Row],[Date]]),MONTH(Table1[[#This Row],[Date]])+1,1)-1))</f>
        <v>30</v>
      </c>
      <c r="S345" s="2">
        <f ca="1">SUM(OFFSET(Table1[[#Headers],[Days in month]],1,0):Table1[[#This Row],[Days in month]])</f>
        <v>10008</v>
      </c>
      <c r="T345" s="37">
        <f>InterestRate*AmortizationMultiplier*IF(ISNUMBER(SEARCH("Actual",$C$7)),Table1[[#This Row],[Days in month]]/365,1/12)</f>
        <v>5.8749999999999991E-3</v>
      </c>
    </row>
    <row r="346" spans="2:20" x14ac:dyDescent="0.2">
      <c r="B346" s="1">
        <f t="shared" si="20"/>
        <v>55884</v>
      </c>
      <c r="C346" s="2">
        <f t="shared" si="21"/>
        <v>330</v>
      </c>
      <c r="D346" s="3">
        <f t="shared" si="19"/>
        <v>0</v>
      </c>
      <c r="E346" s="3">
        <f>ROUND(Table1[[#This Row],[Beginning Balance]]*Table1[[#This Row],[Monthly Interest Rate]],2)</f>
        <v>0</v>
      </c>
      <c r="F346" s="3">
        <f t="shared" si="22"/>
        <v>22</v>
      </c>
      <c r="G346" s="23">
        <f>IFERROR(IF($C$13="No","N/A",IF(Table1[[#This Row],[Period]]=1,$C$6,PMT(InterestRate*AmortizationMultiplier/12,Table1[[#This Row],[Am Thru]],-Table1[[#This Row],[Beginning Balance]]))),0)</f>
        <v>0</v>
      </c>
      <c r="H346" s="3">
        <f>MAX(0,IF(C346=$C$4,D346,ROUND(IF($C$3="Fixed Principal",$C$6-Table1[[#This Row],[Interest]],IF($C$3="Interest Only",Table1[[#This Row],[Beginning Balance]]*ROUND(1-(1-IF($C$11="No",$E$8,1))^(1/12),6),MIN(IF($C$13="Yes",Table1[[#This Row],[Payment Amount (Reamortized)]],$C$6)-Table1[[#This Row],[Interest]],Table1[[#This Row],[Beginning Balance]]))),2)))</f>
        <v>0</v>
      </c>
      <c r="I346" s="3">
        <f>_xlfn.SINGLE(IF($C$3="Line of Credit",0,ROUND(MAX(MIN(IF($C$10="No",$E$7,VLOOKUP(Table1[[#This Row],[Period]],Forecast!$H$2:$L$1048576,4,FALSE))*Table1[[#This Row],[Beginning Balance]],Table1[[#This Row],[Beginning Balance]]-Table1[[#This Row],[Principal]]),0),2)))</f>
        <v>0</v>
      </c>
      <c r="J346" s="3">
        <f>ROUND(MIN(Table1[[#This Row],[Beginning Balance]]*IF($C$8="No",$E$3,VLOOKUP(Table1[[#This Row],[Period]],Forecast!$H$2:$L$1048576,2,FALSE)),Table1[[#This Row],[Beginning Balance]]-Table1[[#This Row],[Principal]]-Table1[[#This Row],[Prepayments]]),2)</f>
        <v>0</v>
      </c>
      <c r="K346" s="3">
        <f>ROUND(Table1[[#This Row],[Defaulted Principal]]*IF($C$9="No",$E$4,VLOOKUP(Table1[[#This Row],[Period]],Forecast!$H$2:$L$1048576,3,FALSE)),2)</f>
        <v>0</v>
      </c>
      <c r="L346" s="2">
        <f>Table1[[#This Row],[Period]]+$E$9</f>
        <v>342</v>
      </c>
      <c r="M346" s="3">
        <f>Table1[[#This Row],[Defaulted Principal]]-Table1[[#This Row],[Estimated Loss]]</f>
        <v>0</v>
      </c>
      <c r="N346" s="3">
        <f>IFERROR(VLOOKUP(Table1[[#This Row],[Period]],$L$16:$M$385,2,FALSE),0)</f>
        <v>0</v>
      </c>
      <c r="O346" s="3">
        <f>Table1[[#This Row],[Beginning Balance]]-Table1[[#This Row],[Principal]]-Table1[[#This Row],[Prepayments]]-Table1[[#This Row],[Defaulted Principal]]</f>
        <v>0</v>
      </c>
      <c r="P346" s="3">
        <f>Table1[[#This Row],[Principal]]+Table1[[#This Row],[Interest]]+Table1[[#This Row],[Prepayments]]+Table1[[#This Row],[RecoveredAmount]]</f>
        <v>0</v>
      </c>
      <c r="Q346" s="3">
        <f ca="1">Table1[[#This Row],[Cash Flow]]/((1+ActualRateToUse)^(IF(ISNUMBER(SEARCH("Actual",$C$7)),Table1[[#This Row],[Running Total]]/365,Table1[[#This Row],[Period]]/12)))</f>
        <v>0</v>
      </c>
      <c r="R346" s="2">
        <f>IF(MONTH(Table1[[#This Row],[Date]])=2,28,DAY(DATE(YEAR(Table1[[#This Row],[Date]]),MONTH(Table1[[#This Row],[Date]])+1,1)-1))</f>
        <v>31</v>
      </c>
      <c r="S346" s="2">
        <f ca="1">SUM(OFFSET(Table1[[#Headers],[Days in month]],1,0):Table1[[#This Row],[Days in month]])</f>
        <v>10039</v>
      </c>
      <c r="T346" s="37">
        <f>InterestRate*AmortizationMultiplier*IF(ISNUMBER(SEARCH("Actual",$C$7)),Table1[[#This Row],[Days in month]]/365,1/12)</f>
        <v>6.0708333333333326E-3</v>
      </c>
    </row>
    <row r="347" spans="2:20" x14ac:dyDescent="0.2">
      <c r="B347" s="1">
        <f t="shared" si="20"/>
        <v>55915</v>
      </c>
      <c r="C347" s="2">
        <f t="shared" si="21"/>
        <v>331</v>
      </c>
      <c r="D347" s="3">
        <f t="shared" si="19"/>
        <v>0</v>
      </c>
      <c r="E347" s="3">
        <f>ROUND(Table1[[#This Row],[Beginning Balance]]*Table1[[#This Row],[Monthly Interest Rate]],2)</f>
        <v>0</v>
      </c>
      <c r="F347" s="3">
        <f t="shared" si="22"/>
        <v>21</v>
      </c>
      <c r="G347" s="23">
        <f>IFERROR(IF($C$13="No","N/A",IF(Table1[[#This Row],[Period]]=1,$C$6,PMT(InterestRate*AmortizationMultiplier/12,Table1[[#This Row],[Am Thru]],-Table1[[#This Row],[Beginning Balance]]))),0)</f>
        <v>0</v>
      </c>
      <c r="H347" s="3">
        <f>MAX(0,IF(C347=$C$4,D347,ROUND(IF($C$3="Fixed Principal",$C$6-Table1[[#This Row],[Interest]],IF($C$3="Interest Only",Table1[[#This Row],[Beginning Balance]]*ROUND(1-(1-IF($C$11="No",$E$8,1))^(1/12),6),MIN(IF($C$13="Yes",Table1[[#This Row],[Payment Amount (Reamortized)]],$C$6)-Table1[[#This Row],[Interest]],Table1[[#This Row],[Beginning Balance]]))),2)))</f>
        <v>0</v>
      </c>
      <c r="I347" s="3">
        <f>_xlfn.SINGLE(IF($C$3="Line of Credit",0,ROUND(MAX(MIN(IF($C$10="No",$E$7,VLOOKUP(Table1[[#This Row],[Period]],Forecast!$H$2:$L$1048576,4,FALSE))*Table1[[#This Row],[Beginning Balance]],Table1[[#This Row],[Beginning Balance]]-Table1[[#This Row],[Principal]]),0),2)))</f>
        <v>0</v>
      </c>
      <c r="J347" s="3">
        <f>ROUND(MIN(Table1[[#This Row],[Beginning Balance]]*IF($C$8="No",$E$3,VLOOKUP(Table1[[#This Row],[Period]],Forecast!$H$2:$L$1048576,2,FALSE)),Table1[[#This Row],[Beginning Balance]]-Table1[[#This Row],[Principal]]-Table1[[#This Row],[Prepayments]]),2)</f>
        <v>0</v>
      </c>
      <c r="K347" s="3">
        <f>ROUND(Table1[[#This Row],[Defaulted Principal]]*IF($C$9="No",$E$4,VLOOKUP(Table1[[#This Row],[Period]],Forecast!$H$2:$L$1048576,3,FALSE)),2)</f>
        <v>0</v>
      </c>
      <c r="L347" s="2">
        <f>Table1[[#This Row],[Period]]+$E$9</f>
        <v>343</v>
      </c>
      <c r="M347" s="3">
        <f>Table1[[#This Row],[Defaulted Principal]]-Table1[[#This Row],[Estimated Loss]]</f>
        <v>0</v>
      </c>
      <c r="N347" s="3">
        <f>IFERROR(VLOOKUP(Table1[[#This Row],[Period]],$L$16:$M$385,2,FALSE),0)</f>
        <v>0</v>
      </c>
      <c r="O347" s="3">
        <f>Table1[[#This Row],[Beginning Balance]]-Table1[[#This Row],[Principal]]-Table1[[#This Row],[Prepayments]]-Table1[[#This Row],[Defaulted Principal]]</f>
        <v>0</v>
      </c>
      <c r="P347" s="3">
        <f>Table1[[#This Row],[Principal]]+Table1[[#This Row],[Interest]]+Table1[[#This Row],[Prepayments]]+Table1[[#This Row],[RecoveredAmount]]</f>
        <v>0</v>
      </c>
      <c r="Q347" s="3">
        <f ca="1">Table1[[#This Row],[Cash Flow]]/((1+ActualRateToUse)^(IF(ISNUMBER(SEARCH("Actual",$C$7)),Table1[[#This Row],[Running Total]]/365,Table1[[#This Row],[Period]]/12)))</f>
        <v>0</v>
      </c>
      <c r="R347" s="2">
        <f>IF(MONTH(Table1[[#This Row],[Date]])=2,28,DAY(DATE(YEAR(Table1[[#This Row],[Date]]),MONTH(Table1[[#This Row],[Date]])+1,1)-1))</f>
        <v>31</v>
      </c>
      <c r="S347" s="2">
        <f ca="1">SUM(OFFSET(Table1[[#Headers],[Days in month]],1,0):Table1[[#This Row],[Days in month]])</f>
        <v>10070</v>
      </c>
      <c r="T347" s="37">
        <f>InterestRate*AmortizationMultiplier*IF(ISNUMBER(SEARCH("Actual",$C$7)),Table1[[#This Row],[Days in month]]/365,1/12)</f>
        <v>6.0708333333333326E-3</v>
      </c>
    </row>
    <row r="348" spans="2:20" x14ac:dyDescent="0.2">
      <c r="B348" s="1">
        <f t="shared" si="20"/>
        <v>55943</v>
      </c>
      <c r="C348" s="2">
        <f t="shared" si="21"/>
        <v>332</v>
      </c>
      <c r="D348" s="3">
        <f t="shared" si="19"/>
        <v>0</v>
      </c>
      <c r="E348" s="3">
        <f>ROUND(Table1[[#This Row],[Beginning Balance]]*Table1[[#This Row],[Monthly Interest Rate]],2)</f>
        <v>0</v>
      </c>
      <c r="F348" s="3">
        <f t="shared" si="22"/>
        <v>20</v>
      </c>
      <c r="G348" s="23">
        <f>IFERROR(IF($C$13="No","N/A",IF(Table1[[#This Row],[Period]]=1,$C$6,PMT(InterestRate*AmortizationMultiplier/12,Table1[[#This Row],[Am Thru]],-Table1[[#This Row],[Beginning Balance]]))),0)</f>
        <v>0</v>
      </c>
      <c r="H348" s="3">
        <f>MAX(0,IF(C348=$C$4,D348,ROUND(IF($C$3="Fixed Principal",$C$6-Table1[[#This Row],[Interest]],IF($C$3="Interest Only",Table1[[#This Row],[Beginning Balance]]*ROUND(1-(1-IF($C$11="No",$E$8,1))^(1/12),6),MIN(IF($C$13="Yes",Table1[[#This Row],[Payment Amount (Reamortized)]],$C$6)-Table1[[#This Row],[Interest]],Table1[[#This Row],[Beginning Balance]]))),2)))</f>
        <v>0</v>
      </c>
      <c r="I348" s="3">
        <f>_xlfn.SINGLE(IF($C$3="Line of Credit",0,ROUND(MAX(MIN(IF($C$10="No",$E$7,VLOOKUP(Table1[[#This Row],[Period]],Forecast!$H$2:$L$1048576,4,FALSE))*Table1[[#This Row],[Beginning Balance]],Table1[[#This Row],[Beginning Balance]]-Table1[[#This Row],[Principal]]),0),2)))</f>
        <v>0</v>
      </c>
      <c r="J348" s="3">
        <f>ROUND(MIN(Table1[[#This Row],[Beginning Balance]]*IF($C$8="No",$E$3,VLOOKUP(Table1[[#This Row],[Period]],Forecast!$H$2:$L$1048576,2,FALSE)),Table1[[#This Row],[Beginning Balance]]-Table1[[#This Row],[Principal]]-Table1[[#This Row],[Prepayments]]),2)</f>
        <v>0</v>
      </c>
      <c r="K348" s="3">
        <f>ROUND(Table1[[#This Row],[Defaulted Principal]]*IF($C$9="No",$E$4,VLOOKUP(Table1[[#This Row],[Period]],Forecast!$H$2:$L$1048576,3,FALSE)),2)</f>
        <v>0</v>
      </c>
      <c r="L348" s="2">
        <f>Table1[[#This Row],[Period]]+$E$9</f>
        <v>344</v>
      </c>
      <c r="M348" s="3">
        <f>Table1[[#This Row],[Defaulted Principal]]-Table1[[#This Row],[Estimated Loss]]</f>
        <v>0</v>
      </c>
      <c r="N348" s="3">
        <f>IFERROR(VLOOKUP(Table1[[#This Row],[Period]],$L$16:$M$385,2,FALSE),0)</f>
        <v>0</v>
      </c>
      <c r="O348" s="3">
        <f>Table1[[#This Row],[Beginning Balance]]-Table1[[#This Row],[Principal]]-Table1[[#This Row],[Prepayments]]-Table1[[#This Row],[Defaulted Principal]]</f>
        <v>0</v>
      </c>
      <c r="P348" s="3">
        <f>Table1[[#This Row],[Principal]]+Table1[[#This Row],[Interest]]+Table1[[#This Row],[Prepayments]]+Table1[[#This Row],[RecoveredAmount]]</f>
        <v>0</v>
      </c>
      <c r="Q348" s="3">
        <f ca="1">Table1[[#This Row],[Cash Flow]]/((1+ActualRateToUse)^(IF(ISNUMBER(SEARCH("Actual",$C$7)),Table1[[#This Row],[Running Total]]/365,Table1[[#This Row],[Period]]/12)))</f>
        <v>0</v>
      </c>
      <c r="R348" s="2">
        <f>IF(MONTH(Table1[[#This Row],[Date]])=2,28,DAY(DATE(YEAR(Table1[[#This Row],[Date]]),MONTH(Table1[[#This Row],[Date]])+1,1)-1))</f>
        <v>28</v>
      </c>
      <c r="S348" s="2">
        <f ca="1">SUM(OFFSET(Table1[[#Headers],[Days in month]],1,0):Table1[[#This Row],[Days in month]])</f>
        <v>10098</v>
      </c>
      <c r="T348" s="37">
        <f>InterestRate*AmortizationMultiplier*IF(ISNUMBER(SEARCH("Actual",$C$7)),Table1[[#This Row],[Days in month]]/365,1/12)</f>
        <v>5.4833333333333331E-3</v>
      </c>
    </row>
    <row r="349" spans="2:20" x14ac:dyDescent="0.2">
      <c r="B349" s="1">
        <f t="shared" si="20"/>
        <v>55974</v>
      </c>
      <c r="C349" s="2">
        <f t="shared" si="21"/>
        <v>333</v>
      </c>
      <c r="D349" s="3">
        <f t="shared" ref="D349:D385" si="23">O348</f>
        <v>0</v>
      </c>
      <c r="E349" s="3">
        <f>ROUND(Table1[[#This Row],[Beginning Balance]]*Table1[[#This Row],[Monthly Interest Rate]],2)</f>
        <v>0</v>
      </c>
      <c r="F349" s="3">
        <f t="shared" si="22"/>
        <v>19</v>
      </c>
      <c r="G349" s="23">
        <f>IFERROR(IF($C$13="No","N/A",IF(Table1[[#This Row],[Period]]=1,$C$6,PMT(InterestRate*AmortizationMultiplier/12,Table1[[#This Row],[Am Thru]],-Table1[[#This Row],[Beginning Balance]]))),0)</f>
        <v>0</v>
      </c>
      <c r="H349" s="3">
        <f>MAX(0,IF(C349=$C$4,D349,ROUND(IF($C$3="Fixed Principal",$C$6-Table1[[#This Row],[Interest]],IF($C$3="Interest Only",Table1[[#This Row],[Beginning Balance]]*ROUND(1-(1-IF($C$11="No",$E$8,1))^(1/12),6),MIN(IF($C$13="Yes",Table1[[#This Row],[Payment Amount (Reamortized)]],$C$6)-Table1[[#This Row],[Interest]],Table1[[#This Row],[Beginning Balance]]))),2)))</f>
        <v>0</v>
      </c>
      <c r="I349" s="3">
        <f>_xlfn.SINGLE(IF($C$3="Line of Credit",0,ROUND(MAX(MIN(IF($C$10="No",$E$7,VLOOKUP(Table1[[#This Row],[Period]],Forecast!$H$2:$L$1048576,4,FALSE))*Table1[[#This Row],[Beginning Balance]],Table1[[#This Row],[Beginning Balance]]-Table1[[#This Row],[Principal]]),0),2)))</f>
        <v>0</v>
      </c>
      <c r="J349" s="3">
        <f>ROUND(MIN(Table1[[#This Row],[Beginning Balance]]*IF($C$8="No",$E$3,VLOOKUP(Table1[[#This Row],[Period]],Forecast!$H$2:$L$1048576,2,FALSE)),Table1[[#This Row],[Beginning Balance]]-Table1[[#This Row],[Principal]]-Table1[[#This Row],[Prepayments]]),2)</f>
        <v>0</v>
      </c>
      <c r="K349" s="3">
        <f>ROUND(Table1[[#This Row],[Defaulted Principal]]*IF($C$9="No",$E$4,VLOOKUP(Table1[[#This Row],[Period]],Forecast!$H$2:$L$1048576,3,FALSE)),2)</f>
        <v>0</v>
      </c>
      <c r="L349" s="2">
        <f>Table1[[#This Row],[Period]]+$E$9</f>
        <v>345</v>
      </c>
      <c r="M349" s="3">
        <f>Table1[[#This Row],[Defaulted Principal]]-Table1[[#This Row],[Estimated Loss]]</f>
        <v>0</v>
      </c>
      <c r="N349" s="3">
        <f>IFERROR(VLOOKUP(Table1[[#This Row],[Period]],$L$16:$M$385,2,FALSE),0)</f>
        <v>0</v>
      </c>
      <c r="O349" s="3">
        <f>Table1[[#This Row],[Beginning Balance]]-Table1[[#This Row],[Principal]]-Table1[[#This Row],[Prepayments]]-Table1[[#This Row],[Defaulted Principal]]</f>
        <v>0</v>
      </c>
      <c r="P349" s="3">
        <f>Table1[[#This Row],[Principal]]+Table1[[#This Row],[Interest]]+Table1[[#This Row],[Prepayments]]+Table1[[#This Row],[RecoveredAmount]]</f>
        <v>0</v>
      </c>
      <c r="Q349" s="3">
        <f ca="1">Table1[[#This Row],[Cash Flow]]/((1+ActualRateToUse)^(IF(ISNUMBER(SEARCH("Actual",$C$7)),Table1[[#This Row],[Running Total]]/365,Table1[[#This Row],[Period]]/12)))</f>
        <v>0</v>
      </c>
      <c r="R349" s="2">
        <f>IF(MONTH(Table1[[#This Row],[Date]])=2,28,DAY(DATE(YEAR(Table1[[#This Row],[Date]]),MONTH(Table1[[#This Row],[Date]])+1,1)-1))</f>
        <v>31</v>
      </c>
      <c r="S349" s="2">
        <f ca="1">SUM(OFFSET(Table1[[#Headers],[Days in month]],1,0):Table1[[#This Row],[Days in month]])</f>
        <v>10129</v>
      </c>
      <c r="T349" s="37">
        <f>InterestRate*AmortizationMultiplier*IF(ISNUMBER(SEARCH("Actual",$C$7)),Table1[[#This Row],[Days in month]]/365,1/12)</f>
        <v>6.0708333333333326E-3</v>
      </c>
    </row>
    <row r="350" spans="2:20" x14ac:dyDescent="0.2">
      <c r="B350" s="1">
        <f t="shared" si="20"/>
        <v>56004</v>
      </c>
      <c r="C350" s="2">
        <f t="shared" si="21"/>
        <v>334</v>
      </c>
      <c r="D350" s="3">
        <f t="shared" si="23"/>
        <v>0</v>
      </c>
      <c r="E350" s="3">
        <f>ROUND(Table1[[#This Row],[Beginning Balance]]*Table1[[#This Row],[Monthly Interest Rate]],2)</f>
        <v>0</v>
      </c>
      <c r="F350" s="3">
        <f t="shared" si="22"/>
        <v>18</v>
      </c>
      <c r="G350" s="23">
        <f>IFERROR(IF($C$13="No","N/A",IF(Table1[[#This Row],[Period]]=1,$C$6,PMT(InterestRate*AmortizationMultiplier/12,Table1[[#This Row],[Am Thru]],-Table1[[#This Row],[Beginning Balance]]))),0)</f>
        <v>0</v>
      </c>
      <c r="H350" s="3">
        <f>MAX(0,IF(C350=$C$4,D350,ROUND(IF($C$3="Fixed Principal",$C$6-Table1[[#This Row],[Interest]],IF($C$3="Interest Only",Table1[[#This Row],[Beginning Balance]]*ROUND(1-(1-IF($C$11="No",$E$8,1))^(1/12),6),MIN(IF($C$13="Yes",Table1[[#This Row],[Payment Amount (Reamortized)]],$C$6)-Table1[[#This Row],[Interest]],Table1[[#This Row],[Beginning Balance]]))),2)))</f>
        <v>0</v>
      </c>
      <c r="I350" s="3">
        <f>_xlfn.SINGLE(IF($C$3="Line of Credit",0,ROUND(MAX(MIN(IF($C$10="No",$E$7,VLOOKUP(Table1[[#This Row],[Period]],Forecast!$H$2:$L$1048576,4,FALSE))*Table1[[#This Row],[Beginning Balance]],Table1[[#This Row],[Beginning Balance]]-Table1[[#This Row],[Principal]]),0),2)))</f>
        <v>0</v>
      </c>
      <c r="J350" s="3">
        <f>ROUND(MIN(Table1[[#This Row],[Beginning Balance]]*IF($C$8="No",$E$3,VLOOKUP(Table1[[#This Row],[Period]],Forecast!$H$2:$L$1048576,2,FALSE)),Table1[[#This Row],[Beginning Balance]]-Table1[[#This Row],[Principal]]-Table1[[#This Row],[Prepayments]]),2)</f>
        <v>0</v>
      </c>
      <c r="K350" s="3">
        <f>ROUND(Table1[[#This Row],[Defaulted Principal]]*IF($C$9="No",$E$4,VLOOKUP(Table1[[#This Row],[Period]],Forecast!$H$2:$L$1048576,3,FALSE)),2)</f>
        <v>0</v>
      </c>
      <c r="L350" s="2">
        <f>Table1[[#This Row],[Period]]+$E$9</f>
        <v>346</v>
      </c>
      <c r="M350" s="3">
        <f>Table1[[#This Row],[Defaulted Principal]]-Table1[[#This Row],[Estimated Loss]]</f>
        <v>0</v>
      </c>
      <c r="N350" s="3">
        <f>IFERROR(VLOOKUP(Table1[[#This Row],[Period]],$L$16:$M$385,2,FALSE),0)</f>
        <v>0</v>
      </c>
      <c r="O350" s="3">
        <f>Table1[[#This Row],[Beginning Balance]]-Table1[[#This Row],[Principal]]-Table1[[#This Row],[Prepayments]]-Table1[[#This Row],[Defaulted Principal]]</f>
        <v>0</v>
      </c>
      <c r="P350" s="3">
        <f>Table1[[#This Row],[Principal]]+Table1[[#This Row],[Interest]]+Table1[[#This Row],[Prepayments]]+Table1[[#This Row],[RecoveredAmount]]</f>
        <v>0</v>
      </c>
      <c r="Q350" s="3">
        <f ca="1">Table1[[#This Row],[Cash Flow]]/((1+ActualRateToUse)^(IF(ISNUMBER(SEARCH("Actual",$C$7)),Table1[[#This Row],[Running Total]]/365,Table1[[#This Row],[Period]]/12)))</f>
        <v>0</v>
      </c>
      <c r="R350" s="2">
        <f>IF(MONTH(Table1[[#This Row],[Date]])=2,28,DAY(DATE(YEAR(Table1[[#This Row],[Date]]),MONTH(Table1[[#This Row],[Date]])+1,1)-1))</f>
        <v>30</v>
      </c>
      <c r="S350" s="2">
        <f ca="1">SUM(OFFSET(Table1[[#Headers],[Days in month]],1,0):Table1[[#This Row],[Days in month]])</f>
        <v>10159</v>
      </c>
      <c r="T350" s="37">
        <f>InterestRate*AmortizationMultiplier*IF(ISNUMBER(SEARCH("Actual",$C$7)),Table1[[#This Row],[Days in month]]/365,1/12)</f>
        <v>5.8749999999999991E-3</v>
      </c>
    </row>
    <row r="351" spans="2:20" x14ac:dyDescent="0.2">
      <c r="B351" s="1">
        <f t="shared" si="20"/>
        <v>56035</v>
      </c>
      <c r="C351" s="2">
        <f t="shared" si="21"/>
        <v>335</v>
      </c>
      <c r="D351" s="3">
        <f t="shared" si="23"/>
        <v>0</v>
      </c>
      <c r="E351" s="3">
        <f>ROUND(Table1[[#This Row],[Beginning Balance]]*Table1[[#This Row],[Monthly Interest Rate]],2)</f>
        <v>0</v>
      </c>
      <c r="F351" s="3">
        <f t="shared" si="22"/>
        <v>17</v>
      </c>
      <c r="G351" s="23">
        <f>IFERROR(IF($C$13="No","N/A",IF(Table1[[#This Row],[Period]]=1,$C$6,PMT(InterestRate*AmortizationMultiplier/12,Table1[[#This Row],[Am Thru]],-Table1[[#This Row],[Beginning Balance]]))),0)</f>
        <v>0</v>
      </c>
      <c r="H351" s="3">
        <f>MAX(0,IF(C351=$C$4,D351,ROUND(IF($C$3="Fixed Principal",$C$6-Table1[[#This Row],[Interest]],IF($C$3="Interest Only",Table1[[#This Row],[Beginning Balance]]*ROUND(1-(1-IF($C$11="No",$E$8,1))^(1/12),6),MIN(IF($C$13="Yes",Table1[[#This Row],[Payment Amount (Reamortized)]],$C$6)-Table1[[#This Row],[Interest]],Table1[[#This Row],[Beginning Balance]]))),2)))</f>
        <v>0</v>
      </c>
      <c r="I351" s="3">
        <f>_xlfn.SINGLE(IF($C$3="Line of Credit",0,ROUND(MAX(MIN(IF($C$10="No",$E$7,VLOOKUP(Table1[[#This Row],[Period]],Forecast!$H$2:$L$1048576,4,FALSE))*Table1[[#This Row],[Beginning Balance]],Table1[[#This Row],[Beginning Balance]]-Table1[[#This Row],[Principal]]),0),2)))</f>
        <v>0</v>
      </c>
      <c r="J351" s="3">
        <f>ROUND(MIN(Table1[[#This Row],[Beginning Balance]]*IF($C$8="No",$E$3,VLOOKUP(Table1[[#This Row],[Period]],Forecast!$H$2:$L$1048576,2,FALSE)),Table1[[#This Row],[Beginning Balance]]-Table1[[#This Row],[Principal]]-Table1[[#This Row],[Prepayments]]),2)</f>
        <v>0</v>
      </c>
      <c r="K351" s="3">
        <f>ROUND(Table1[[#This Row],[Defaulted Principal]]*IF($C$9="No",$E$4,VLOOKUP(Table1[[#This Row],[Period]],Forecast!$H$2:$L$1048576,3,FALSE)),2)</f>
        <v>0</v>
      </c>
      <c r="L351" s="2">
        <f>Table1[[#This Row],[Period]]+$E$9</f>
        <v>347</v>
      </c>
      <c r="M351" s="3">
        <f>Table1[[#This Row],[Defaulted Principal]]-Table1[[#This Row],[Estimated Loss]]</f>
        <v>0</v>
      </c>
      <c r="N351" s="3">
        <f>IFERROR(VLOOKUP(Table1[[#This Row],[Period]],$L$16:$M$385,2,FALSE),0)</f>
        <v>0</v>
      </c>
      <c r="O351" s="3">
        <f>Table1[[#This Row],[Beginning Balance]]-Table1[[#This Row],[Principal]]-Table1[[#This Row],[Prepayments]]-Table1[[#This Row],[Defaulted Principal]]</f>
        <v>0</v>
      </c>
      <c r="P351" s="3">
        <f>Table1[[#This Row],[Principal]]+Table1[[#This Row],[Interest]]+Table1[[#This Row],[Prepayments]]+Table1[[#This Row],[RecoveredAmount]]</f>
        <v>0</v>
      </c>
      <c r="Q351" s="3">
        <f ca="1">Table1[[#This Row],[Cash Flow]]/((1+ActualRateToUse)^(IF(ISNUMBER(SEARCH("Actual",$C$7)),Table1[[#This Row],[Running Total]]/365,Table1[[#This Row],[Period]]/12)))</f>
        <v>0</v>
      </c>
      <c r="R351" s="2">
        <f>IF(MONTH(Table1[[#This Row],[Date]])=2,28,DAY(DATE(YEAR(Table1[[#This Row],[Date]]),MONTH(Table1[[#This Row],[Date]])+1,1)-1))</f>
        <v>31</v>
      </c>
      <c r="S351" s="2">
        <f ca="1">SUM(OFFSET(Table1[[#Headers],[Days in month]],1,0):Table1[[#This Row],[Days in month]])</f>
        <v>10190</v>
      </c>
      <c r="T351" s="37">
        <f>InterestRate*AmortizationMultiplier*IF(ISNUMBER(SEARCH("Actual",$C$7)),Table1[[#This Row],[Days in month]]/365,1/12)</f>
        <v>6.0708333333333326E-3</v>
      </c>
    </row>
    <row r="352" spans="2:20" x14ac:dyDescent="0.2">
      <c r="B352" s="1">
        <f t="shared" si="20"/>
        <v>56065</v>
      </c>
      <c r="C352" s="2">
        <f t="shared" si="21"/>
        <v>336</v>
      </c>
      <c r="D352" s="3">
        <f t="shared" si="23"/>
        <v>0</v>
      </c>
      <c r="E352" s="3">
        <f>ROUND(Table1[[#This Row],[Beginning Balance]]*Table1[[#This Row],[Monthly Interest Rate]],2)</f>
        <v>0</v>
      </c>
      <c r="F352" s="3">
        <f t="shared" si="22"/>
        <v>16</v>
      </c>
      <c r="G352" s="23">
        <f>IFERROR(IF($C$13="No","N/A",IF(Table1[[#This Row],[Period]]=1,$C$6,PMT(InterestRate*AmortizationMultiplier/12,Table1[[#This Row],[Am Thru]],-Table1[[#This Row],[Beginning Balance]]))),0)</f>
        <v>0</v>
      </c>
      <c r="H352" s="3">
        <f>MAX(0,IF(C352=$C$4,D352,ROUND(IF($C$3="Fixed Principal",$C$6-Table1[[#This Row],[Interest]],IF($C$3="Interest Only",Table1[[#This Row],[Beginning Balance]]*ROUND(1-(1-IF($C$11="No",$E$8,1))^(1/12),6),MIN(IF($C$13="Yes",Table1[[#This Row],[Payment Amount (Reamortized)]],$C$6)-Table1[[#This Row],[Interest]],Table1[[#This Row],[Beginning Balance]]))),2)))</f>
        <v>0</v>
      </c>
      <c r="I352" s="3">
        <f>_xlfn.SINGLE(IF($C$3="Line of Credit",0,ROUND(MAX(MIN(IF($C$10="No",$E$7,VLOOKUP(Table1[[#This Row],[Period]],Forecast!$H$2:$L$1048576,4,FALSE))*Table1[[#This Row],[Beginning Balance]],Table1[[#This Row],[Beginning Balance]]-Table1[[#This Row],[Principal]]),0),2)))</f>
        <v>0</v>
      </c>
      <c r="J352" s="3">
        <f>ROUND(MIN(Table1[[#This Row],[Beginning Balance]]*IF($C$8="No",$E$3,VLOOKUP(Table1[[#This Row],[Period]],Forecast!$H$2:$L$1048576,2,FALSE)),Table1[[#This Row],[Beginning Balance]]-Table1[[#This Row],[Principal]]-Table1[[#This Row],[Prepayments]]),2)</f>
        <v>0</v>
      </c>
      <c r="K352" s="3">
        <f>ROUND(Table1[[#This Row],[Defaulted Principal]]*IF($C$9="No",$E$4,VLOOKUP(Table1[[#This Row],[Period]],Forecast!$H$2:$L$1048576,3,FALSE)),2)</f>
        <v>0</v>
      </c>
      <c r="L352" s="2">
        <f>Table1[[#This Row],[Period]]+$E$9</f>
        <v>348</v>
      </c>
      <c r="M352" s="3">
        <f>Table1[[#This Row],[Defaulted Principal]]-Table1[[#This Row],[Estimated Loss]]</f>
        <v>0</v>
      </c>
      <c r="N352" s="3">
        <f>IFERROR(VLOOKUP(Table1[[#This Row],[Period]],$L$16:$M$385,2,FALSE),0)</f>
        <v>0</v>
      </c>
      <c r="O352" s="3">
        <f>Table1[[#This Row],[Beginning Balance]]-Table1[[#This Row],[Principal]]-Table1[[#This Row],[Prepayments]]-Table1[[#This Row],[Defaulted Principal]]</f>
        <v>0</v>
      </c>
      <c r="P352" s="3">
        <f>Table1[[#This Row],[Principal]]+Table1[[#This Row],[Interest]]+Table1[[#This Row],[Prepayments]]+Table1[[#This Row],[RecoveredAmount]]</f>
        <v>0</v>
      </c>
      <c r="Q352" s="3">
        <f ca="1">Table1[[#This Row],[Cash Flow]]/((1+ActualRateToUse)^(IF(ISNUMBER(SEARCH("Actual",$C$7)),Table1[[#This Row],[Running Total]]/365,Table1[[#This Row],[Period]]/12)))</f>
        <v>0</v>
      </c>
      <c r="R352" s="2">
        <f>IF(MONTH(Table1[[#This Row],[Date]])=2,28,DAY(DATE(YEAR(Table1[[#This Row],[Date]]),MONTH(Table1[[#This Row],[Date]])+1,1)-1))</f>
        <v>30</v>
      </c>
      <c r="S352" s="2">
        <f ca="1">SUM(OFFSET(Table1[[#Headers],[Days in month]],1,0):Table1[[#This Row],[Days in month]])</f>
        <v>10220</v>
      </c>
      <c r="T352" s="37">
        <f>InterestRate*AmortizationMultiplier*IF(ISNUMBER(SEARCH("Actual",$C$7)),Table1[[#This Row],[Days in month]]/365,1/12)</f>
        <v>5.8749999999999991E-3</v>
      </c>
    </row>
    <row r="353" spans="2:20" x14ac:dyDescent="0.2">
      <c r="B353" s="1">
        <f t="shared" si="20"/>
        <v>56096</v>
      </c>
      <c r="C353" s="2">
        <f t="shared" si="21"/>
        <v>337</v>
      </c>
      <c r="D353" s="3">
        <f t="shared" si="23"/>
        <v>0</v>
      </c>
      <c r="E353" s="3">
        <f>ROUND(Table1[[#This Row],[Beginning Balance]]*Table1[[#This Row],[Monthly Interest Rate]],2)</f>
        <v>0</v>
      </c>
      <c r="F353" s="3">
        <f t="shared" si="22"/>
        <v>15</v>
      </c>
      <c r="G353" s="23">
        <f>IFERROR(IF($C$13="No","N/A",IF(Table1[[#This Row],[Period]]=1,$C$6,PMT(InterestRate*AmortizationMultiplier/12,Table1[[#This Row],[Am Thru]],-Table1[[#This Row],[Beginning Balance]]))),0)</f>
        <v>0</v>
      </c>
      <c r="H353" s="3">
        <f>MAX(0,IF(C353=$C$4,D353,ROUND(IF($C$3="Fixed Principal",$C$6-Table1[[#This Row],[Interest]],IF($C$3="Interest Only",Table1[[#This Row],[Beginning Balance]]*ROUND(1-(1-IF($C$11="No",$E$8,1))^(1/12),6),MIN(IF($C$13="Yes",Table1[[#This Row],[Payment Amount (Reamortized)]],$C$6)-Table1[[#This Row],[Interest]],Table1[[#This Row],[Beginning Balance]]))),2)))</f>
        <v>0</v>
      </c>
      <c r="I353" s="3">
        <f>_xlfn.SINGLE(IF($C$3="Line of Credit",0,ROUND(MAX(MIN(IF($C$10="No",$E$7,VLOOKUP(Table1[[#This Row],[Period]],Forecast!$H$2:$L$1048576,4,FALSE))*Table1[[#This Row],[Beginning Balance]],Table1[[#This Row],[Beginning Balance]]-Table1[[#This Row],[Principal]]),0),2)))</f>
        <v>0</v>
      </c>
      <c r="J353" s="3">
        <f>ROUND(MIN(Table1[[#This Row],[Beginning Balance]]*IF($C$8="No",$E$3,VLOOKUP(Table1[[#This Row],[Period]],Forecast!$H$2:$L$1048576,2,FALSE)),Table1[[#This Row],[Beginning Balance]]-Table1[[#This Row],[Principal]]-Table1[[#This Row],[Prepayments]]),2)</f>
        <v>0</v>
      </c>
      <c r="K353" s="3">
        <f>ROUND(Table1[[#This Row],[Defaulted Principal]]*IF($C$9="No",$E$4,VLOOKUP(Table1[[#This Row],[Period]],Forecast!$H$2:$L$1048576,3,FALSE)),2)</f>
        <v>0</v>
      </c>
      <c r="L353" s="2">
        <f>Table1[[#This Row],[Period]]+$E$9</f>
        <v>349</v>
      </c>
      <c r="M353" s="3">
        <f>Table1[[#This Row],[Defaulted Principal]]-Table1[[#This Row],[Estimated Loss]]</f>
        <v>0</v>
      </c>
      <c r="N353" s="3">
        <f>IFERROR(VLOOKUP(Table1[[#This Row],[Period]],$L$16:$M$385,2,FALSE),0)</f>
        <v>0</v>
      </c>
      <c r="O353" s="3">
        <f>Table1[[#This Row],[Beginning Balance]]-Table1[[#This Row],[Principal]]-Table1[[#This Row],[Prepayments]]-Table1[[#This Row],[Defaulted Principal]]</f>
        <v>0</v>
      </c>
      <c r="P353" s="3">
        <f>Table1[[#This Row],[Principal]]+Table1[[#This Row],[Interest]]+Table1[[#This Row],[Prepayments]]+Table1[[#This Row],[RecoveredAmount]]</f>
        <v>0</v>
      </c>
      <c r="Q353" s="3">
        <f ca="1">Table1[[#This Row],[Cash Flow]]/((1+ActualRateToUse)^(IF(ISNUMBER(SEARCH("Actual",$C$7)),Table1[[#This Row],[Running Total]]/365,Table1[[#This Row],[Period]]/12)))</f>
        <v>0</v>
      </c>
      <c r="R353" s="2">
        <f>IF(MONTH(Table1[[#This Row],[Date]])=2,28,DAY(DATE(YEAR(Table1[[#This Row],[Date]]),MONTH(Table1[[#This Row],[Date]])+1,1)-1))</f>
        <v>31</v>
      </c>
      <c r="S353" s="2">
        <f ca="1">SUM(OFFSET(Table1[[#Headers],[Days in month]],1,0):Table1[[#This Row],[Days in month]])</f>
        <v>10251</v>
      </c>
      <c r="T353" s="37">
        <f>InterestRate*AmortizationMultiplier*IF(ISNUMBER(SEARCH("Actual",$C$7)),Table1[[#This Row],[Days in month]]/365,1/12)</f>
        <v>6.0708333333333326E-3</v>
      </c>
    </row>
    <row r="354" spans="2:20" x14ac:dyDescent="0.2">
      <c r="B354" s="1">
        <f t="shared" si="20"/>
        <v>56127</v>
      </c>
      <c r="C354" s="2">
        <f t="shared" si="21"/>
        <v>338</v>
      </c>
      <c r="D354" s="3">
        <f t="shared" si="23"/>
        <v>0</v>
      </c>
      <c r="E354" s="3">
        <f>ROUND(Table1[[#This Row],[Beginning Balance]]*Table1[[#This Row],[Monthly Interest Rate]],2)</f>
        <v>0</v>
      </c>
      <c r="F354" s="3">
        <f t="shared" si="22"/>
        <v>14</v>
      </c>
      <c r="G354" s="23">
        <f>IFERROR(IF($C$13="No","N/A",IF(Table1[[#This Row],[Period]]=1,$C$6,PMT(InterestRate*AmortizationMultiplier/12,Table1[[#This Row],[Am Thru]],-Table1[[#This Row],[Beginning Balance]]))),0)</f>
        <v>0</v>
      </c>
      <c r="H354" s="3">
        <f>MAX(0,IF(C354=$C$4,D354,ROUND(IF($C$3="Fixed Principal",$C$6-Table1[[#This Row],[Interest]],IF($C$3="Interest Only",Table1[[#This Row],[Beginning Balance]]*ROUND(1-(1-IF($C$11="No",$E$8,1))^(1/12),6),MIN(IF($C$13="Yes",Table1[[#This Row],[Payment Amount (Reamortized)]],$C$6)-Table1[[#This Row],[Interest]],Table1[[#This Row],[Beginning Balance]]))),2)))</f>
        <v>0</v>
      </c>
      <c r="I354" s="3">
        <f>_xlfn.SINGLE(IF($C$3="Line of Credit",0,ROUND(MAX(MIN(IF($C$10="No",$E$7,VLOOKUP(Table1[[#This Row],[Period]],Forecast!$H$2:$L$1048576,4,FALSE))*Table1[[#This Row],[Beginning Balance]],Table1[[#This Row],[Beginning Balance]]-Table1[[#This Row],[Principal]]),0),2)))</f>
        <v>0</v>
      </c>
      <c r="J354" s="3">
        <f>ROUND(MIN(Table1[[#This Row],[Beginning Balance]]*IF($C$8="No",$E$3,VLOOKUP(Table1[[#This Row],[Period]],Forecast!$H$2:$L$1048576,2,FALSE)),Table1[[#This Row],[Beginning Balance]]-Table1[[#This Row],[Principal]]-Table1[[#This Row],[Prepayments]]),2)</f>
        <v>0</v>
      </c>
      <c r="K354" s="3">
        <f>ROUND(Table1[[#This Row],[Defaulted Principal]]*IF($C$9="No",$E$4,VLOOKUP(Table1[[#This Row],[Period]],Forecast!$H$2:$L$1048576,3,FALSE)),2)</f>
        <v>0</v>
      </c>
      <c r="L354" s="2">
        <f>Table1[[#This Row],[Period]]+$E$9</f>
        <v>350</v>
      </c>
      <c r="M354" s="3">
        <f>Table1[[#This Row],[Defaulted Principal]]-Table1[[#This Row],[Estimated Loss]]</f>
        <v>0</v>
      </c>
      <c r="N354" s="3">
        <f>IFERROR(VLOOKUP(Table1[[#This Row],[Period]],$L$16:$M$385,2,FALSE),0)</f>
        <v>0</v>
      </c>
      <c r="O354" s="3">
        <f>Table1[[#This Row],[Beginning Balance]]-Table1[[#This Row],[Principal]]-Table1[[#This Row],[Prepayments]]-Table1[[#This Row],[Defaulted Principal]]</f>
        <v>0</v>
      </c>
      <c r="P354" s="3">
        <f>Table1[[#This Row],[Principal]]+Table1[[#This Row],[Interest]]+Table1[[#This Row],[Prepayments]]+Table1[[#This Row],[RecoveredAmount]]</f>
        <v>0</v>
      </c>
      <c r="Q354" s="3">
        <f ca="1">Table1[[#This Row],[Cash Flow]]/((1+ActualRateToUse)^(IF(ISNUMBER(SEARCH("Actual",$C$7)),Table1[[#This Row],[Running Total]]/365,Table1[[#This Row],[Period]]/12)))</f>
        <v>0</v>
      </c>
      <c r="R354" s="2">
        <f>IF(MONTH(Table1[[#This Row],[Date]])=2,28,DAY(DATE(YEAR(Table1[[#This Row],[Date]]),MONTH(Table1[[#This Row],[Date]])+1,1)-1))</f>
        <v>31</v>
      </c>
      <c r="S354" s="2">
        <f ca="1">SUM(OFFSET(Table1[[#Headers],[Days in month]],1,0):Table1[[#This Row],[Days in month]])</f>
        <v>10282</v>
      </c>
      <c r="T354" s="37">
        <f>InterestRate*AmortizationMultiplier*IF(ISNUMBER(SEARCH("Actual",$C$7)),Table1[[#This Row],[Days in month]]/365,1/12)</f>
        <v>6.0708333333333326E-3</v>
      </c>
    </row>
    <row r="355" spans="2:20" x14ac:dyDescent="0.2">
      <c r="B355" s="1">
        <f t="shared" si="20"/>
        <v>56157</v>
      </c>
      <c r="C355" s="2">
        <f t="shared" si="21"/>
        <v>339</v>
      </c>
      <c r="D355" s="3">
        <f t="shared" si="23"/>
        <v>0</v>
      </c>
      <c r="E355" s="3">
        <f>ROUND(Table1[[#This Row],[Beginning Balance]]*Table1[[#This Row],[Monthly Interest Rate]],2)</f>
        <v>0</v>
      </c>
      <c r="F355" s="3">
        <f t="shared" si="22"/>
        <v>13</v>
      </c>
      <c r="G355" s="23">
        <f>IFERROR(IF($C$13="No","N/A",IF(Table1[[#This Row],[Period]]=1,$C$6,PMT(InterestRate*AmortizationMultiplier/12,Table1[[#This Row],[Am Thru]],-Table1[[#This Row],[Beginning Balance]]))),0)</f>
        <v>0</v>
      </c>
      <c r="H355" s="3">
        <f>MAX(0,IF(C355=$C$4,D355,ROUND(IF($C$3="Fixed Principal",$C$6-Table1[[#This Row],[Interest]],IF($C$3="Interest Only",Table1[[#This Row],[Beginning Balance]]*ROUND(1-(1-IF($C$11="No",$E$8,1))^(1/12),6),MIN(IF($C$13="Yes",Table1[[#This Row],[Payment Amount (Reamortized)]],$C$6)-Table1[[#This Row],[Interest]],Table1[[#This Row],[Beginning Balance]]))),2)))</f>
        <v>0</v>
      </c>
      <c r="I355" s="3">
        <f>_xlfn.SINGLE(IF($C$3="Line of Credit",0,ROUND(MAX(MIN(IF($C$10="No",$E$7,VLOOKUP(Table1[[#This Row],[Period]],Forecast!$H$2:$L$1048576,4,FALSE))*Table1[[#This Row],[Beginning Balance]],Table1[[#This Row],[Beginning Balance]]-Table1[[#This Row],[Principal]]),0),2)))</f>
        <v>0</v>
      </c>
      <c r="J355" s="3">
        <f>ROUND(MIN(Table1[[#This Row],[Beginning Balance]]*IF($C$8="No",$E$3,VLOOKUP(Table1[[#This Row],[Period]],Forecast!$H$2:$L$1048576,2,FALSE)),Table1[[#This Row],[Beginning Balance]]-Table1[[#This Row],[Principal]]-Table1[[#This Row],[Prepayments]]),2)</f>
        <v>0</v>
      </c>
      <c r="K355" s="3">
        <f>ROUND(Table1[[#This Row],[Defaulted Principal]]*IF($C$9="No",$E$4,VLOOKUP(Table1[[#This Row],[Period]],Forecast!$H$2:$L$1048576,3,FALSE)),2)</f>
        <v>0</v>
      </c>
      <c r="L355" s="2">
        <f>Table1[[#This Row],[Period]]+$E$9</f>
        <v>351</v>
      </c>
      <c r="M355" s="3">
        <f>Table1[[#This Row],[Defaulted Principal]]-Table1[[#This Row],[Estimated Loss]]</f>
        <v>0</v>
      </c>
      <c r="N355" s="3">
        <f>IFERROR(VLOOKUP(Table1[[#This Row],[Period]],$L$16:$M$385,2,FALSE),0)</f>
        <v>0</v>
      </c>
      <c r="O355" s="3">
        <f>Table1[[#This Row],[Beginning Balance]]-Table1[[#This Row],[Principal]]-Table1[[#This Row],[Prepayments]]-Table1[[#This Row],[Defaulted Principal]]</f>
        <v>0</v>
      </c>
      <c r="P355" s="3">
        <f>Table1[[#This Row],[Principal]]+Table1[[#This Row],[Interest]]+Table1[[#This Row],[Prepayments]]+Table1[[#This Row],[RecoveredAmount]]</f>
        <v>0</v>
      </c>
      <c r="Q355" s="3">
        <f ca="1">Table1[[#This Row],[Cash Flow]]/((1+ActualRateToUse)^(IF(ISNUMBER(SEARCH("Actual",$C$7)),Table1[[#This Row],[Running Total]]/365,Table1[[#This Row],[Period]]/12)))</f>
        <v>0</v>
      </c>
      <c r="R355" s="2">
        <f>IF(MONTH(Table1[[#This Row],[Date]])=2,28,DAY(DATE(YEAR(Table1[[#This Row],[Date]]),MONTH(Table1[[#This Row],[Date]])+1,1)-1))</f>
        <v>30</v>
      </c>
      <c r="S355" s="2">
        <f ca="1">SUM(OFFSET(Table1[[#Headers],[Days in month]],1,0):Table1[[#This Row],[Days in month]])</f>
        <v>10312</v>
      </c>
      <c r="T355" s="37">
        <f>InterestRate*AmortizationMultiplier*IF(ISNUMBER(SEARCH("Actual",$C$7)),Table1[[#This Row],[Days in month]]/365,1/12)</f>
        <v>5.8749999999999991E-3</v>
      </c>
    </row>
    <row r="356" spans="2:20" x14ac:dyDescent="0.2">
      <c r="B356" s="1">
        <f t="shared" si="20"/>
        <v>56188</v>
      </c>
      <c r="C356" s="2">
        <f t="shared" si="21"/>
        <v>340</v>
      </c>
      <c r="D356" s="3">
        <f t="shared" si="23"/>
        <v>0</v>
      </c>
      <c r="E356" s="3">
        <f>ROUND(Table1[[#This Row],[Beginning Balance]]*Table1[[#This Row],[Monthly Interest Rate]],2)</f>
        <v>0</v>
      </c>
      <c r="F356" s="3">
        <f t="shared" si="22"/>
        <v>12</v>
      </c>
      <c r="G356" s="23">
        <f>IFERROR(IF($C$13="No","N/A",IF(Table1[[#This Row],[Period]]=1,$C$6,PMT(InterestRate*AmortizationMultiplier/12,Table1[[#This Row],[Am Thru]],-Table1[[#This Row],[Beginning Balance]]))),0)</f>
        <v>0</v>
      </c>
      <c r="H356" s="3">
        <f>MAX(0,IF(C356=$C$4,D356,ROUND(IF($C$3="Fixed Principal",$C$6-Table1[[#This Row],[Interest]],IF($C$3="Interest Only",Table1[[#This Row],[Beginning Balance]]*ROUND(1-(1-IF($C$11="No",$E$8,1))^(1/12),6),MIN(IF($C$13="Yes",Table1[[#This Row],[Payment Amount (Reamortized)]],$C$6)-Table1[[#This Row],[Interest]],Table1[[#This Row],[Beginning Balance]]))),2)))</f>
        <v>0</v>
      </c>
      <c r="I356" s="3">
        <f>_xlfn.SINGLE(IF($C$3="Line of Credit",0,ROUND(MAX(MIN(IF($C$10="No",$E$7,VLOOKUP(Table1[[#This Row],[Period]],Forecast!$H$2:$L$1048576,4,FALSE))*Table1[[#This Row],[Beginning Balance]],Table1[[#This Row],[Beginning Balance]]-Table1[[#This Row],[Principal]]),0),2)))</f>
        <v>0</v>
      </c>
      <c r="J356" s="3">
        <f>ROUND(MIN(Table1[[#This Row],[Beginning Balance]]*IF($C$8="No",$E$3,VLOOKUP(Table1[[#This Row],[Period]],Forecast!$H$2:$L$1048576,2,FALSE)),Table1[[#This Row],[Beginning Balance]]-Table1[[#This Row],[Principal]]-Table1[[#This Row],[Prepayments]]),2)</f>
        <v>0</v>
      </c>
      <c r="K356" s="3">
        <f>ROUND(Table1[[#This Row],[Defaulted Principal]]*IF($C$9="No",$E$4,VLOOKUP(Table1[[#This Row],[Period]],Forecast!$H$2:$L$1048576,3,FALSE)),2)</f>
        <v>0</v>
      </c>
      <c r="L356" s="2">
        <f>Table1[[#This Row],[Period]]+$E$9</f>
        <v>352</v>
      </c>
      <c r="M356" s="3">
        <f>Table1[[#This Row],[Defaulted Principal]]-Table1[[#This Row],[Estimated Loss]]</f>
        <v>0</v>
      </c>
      <c r="N356" s="3">
        <f>IFERROR(VLOOKUP(Table1[[#This Row],[Period]],$L$16:$M$385,2,FALSE),0)</f>
        <v>0</v>
      </c>
      <c r="O356" s="3">
        <f>Table1[[#This Row],[Beginning Balance]]-Table1[[#This Row],[Principal]]-Table1[[#This Row],[Prepayments]]-Table1[[#This Row],[Defaulted Principal]]</f>
        <v>0</v>
      </c>
      <c r="P356" s="3">
        <f>Table1[[#This Row],[Principal]]+Table1[[#This Row],[Interest]]+Table1[[#This Row],[Prepayments]]+Table1[[#This Row],[RecoveredAmount]]</f>
        <v>0</v>
      </c>
      <c r="Q356" s="3">
        <f ca="1">Table1[[#This Row],[Cash Flow]]/((1+ActualRateToUse)^(IF(ISNUMBER(SEARCH("Actual",$C$7)),Table1[[#This Row],[Running Total]]/365,Table1[[#This Row],[Period]]/12)))</f>
        <v>0</v>
      </c>
      <c r="R356" s="2">
        <f>IF(MONTH(Table1[[#This Row],[Date]])=2,28,DAY(DATE(YEAR(Table1[[#This Row],[Date]]),MONTH(Table1[[#This Row],[Date]])+1,1)-1))</f>
        <v>31</v>
      </c>
      <c r="S356" s="2">
        <f ca="1">SUM(OFFSET(Table1[[#Headers],[Days in month]],1,0):Table1[[#This Row],[Days in month]])</f>
        <v>10343</v>
      </c>
      <c r="T356" s="37">
        <f>InterestRate*AmortizationMultiplier*IF(ISNUMBER(SEARCH("Actual",$C$7)),Table1[[#This Row],[Days in month]]/365,1/12)</f>
        <v>6.0708333333333326E-3</v>
      </c>
    </row>
    <row r="357" spans="2:20" x14ac:dyDescent="0.2">
      <c r="B357" s="1">
        <f t="shared" si="20"/>
        <v>56218</v>
      </c>
      <c r="C357" s="2">
        <f t="shared" si="21"/>
        <v>341</v>
      </c>
      <c r="D357" s="3">
        <f t="shared" si="23"/>
        <v>0</v>
      </c>
      <c r="E357" s="3">
        <f>ROUND(Table1[[#This Row],[Beginning Balance]]*Table1[[#This Row],[Monthly Interest Rate]],2)</f>
        <v>0</v>
      </c>
      <c r="F357" s="3">
        <f t="shared" si="22"/>
        <v>11</v>
      </c>
      <c r="G357" s="23">
        <f>IFERROR(IF($C$13="No","N/A",IF(Table1[[#This Row],[Period]]=1,$C$6,PMT(InterestRate*AmortizationMultiplier/12,Table1[[#This Row],[Am Thru]],-Table1[[#This Row],[Beginning Balance]]))),0)</f>
        <v>0</v>
      </c>
      <c r="H357" s="3">
        <f>MAX(0,IF(C357=$C$4,D357,ROUND(IF($C$3="Fixed Principal",$C$6-Table1[[#This Row],[Interest]],IF($C$3="Interest Only",Table1[[#This Row],[Beginning Balance]]*ROUND(1-(1-IF($C$11="No",$E$8,1))^(1/12),6),MIN(IF($C$13="Yes",Table1[[#This Row],[Payment Amount (Reamortized)]],$C$6)-Table1[[#This Row],[Interest]],Table1[[#This Row],[Beginning Balance]]))),2)))</f>
        <v>0</v>
      </c>
      <c r="I357" s="3">
        <f>_xlfn.SINGLE(IF($C$3="Line of Credit",0,ROUND(MAX(MIN(IF($C$10="No",$E$7,VLOOKUP(Table1[[#This Row],[Period]],Forecast!$H$2:$L$1048576,4,FALSE))*Table1[[#This Row],[Beginning Balance]],Table1[[#This Row],[Beginning Balance]]-Table1[[#This Row],[Principal]]),0),2)))</f>
        <v>0</v>
      </c>
      <c r="J357" s="3">
        <f>ROUND(MIN(Table1[[#This Row],[Beginning Balance]]*IF($C$8="No",$E$3,VLOOKUP(Table1[[#This Row],[Period]],Forecast!$H$2:$L$1048576,2,FALSE)),Table1[[#This Row],[Beginning Balance]]-Table1[[#This Row],[Principal]]-Table1[[#This Row],[Prepayments]]),2)</f>
        <v>0</v>
      </c>
      <c r="K357" s="3">
        <f>ROUND(Table1[[#This Row],[Defaulted Principal]]*IF($C$9="No",$E$4,VLOOKUP(Table1[[#This Row],[Period]],Forecast!$H$2:$L$1048576,3,FALSE)),2)</f>
        <v>0</v>
      </c>
      <c r="L357" s="2">
        <f>Table1[[#This Row],[Period]]+$E$9</f>
        <v>353</v>
      </c>
      <c r="M357" s="3">
        <f>Table1[[#This Row],[Defaulted Principal]]-Table1[[#This Row],[Estimated Loss]]</f>
        <v>0</v>
      </c>
      <c r="N357" s="3">
        <f>IFERROR(VLOOKUP(Table1[[#This Row],[Period]],$L$16:$M$385,2,FALSE),0)</f>
        <v>0</v>
      </c>
      <c r="O357" s="3">
        <f>Table1[[#This Row],[Beginning Balance]]-Table1[[#This Row],[Principal]]-Table1[[#This Row],[Prepayments]]-Table1[[#This Row],[Defaulted Principal]]</f>
        <v>0</v>
      </c>
      <c r="P357" s="3">
        <f>Table1[[#This Row],[Principal]]+Table1[[#This Row],[Interest]]+Table1[[#This Row],[Prepayments]]+Table1[[#This Row],[RecoveredAmount]]</f>
        <v>0</v>
      </c>
      <c r="Q357" s="3">
        <f ca="1">Table1[[#This Row],[Cash Flow]]/((1+ActualRateToUse)^(IF(ISNUMBER(SEARCH("Actual",$C$7)),Table1[[#This Row],[Running Total]]/365,Table1[[#This Row],[Period]]/12)))</f>
        <v>0</v>
      </c>
      <c r="R357" s="2">
        <f>IF(MONTH(Table1[[#This Row],[Date]])=2,28,DAY(DATE(YEAR(Table1[[#This Row],[Date]]),MONTH(Table1[[#This Row],[Date]])+1,1)-1))</f>
        <v>30</v>
      </c>
      <c r="S357" s="2">
        <f ca="1">SUM(OFFSET(Table1[[#Headers],[Days in month]],1,0):Table1[[#This Row],[Days in month]])</f>
        <v>10373</v>
      </c>
      <c r="T357" s="37">
        <f>InterestRate*AmortizationMultiplier*IF(ISNUMBER(SEARCH("Actual",$C$7)),Table1[[#This Row],[Days in month]]/365,1/12)</f>
        <v>5.8749999999999991E-3</v>
      </c>
    </row>
    <row r="358" spans="2:20" x14ac:dyDescent="0.2">
      <c r="B358" s="1">
        <f t="shared" si="20"/>
        <v>56249</v>
      </c>
      <c r="C358" s="2">
        <f t="shared" si="21"/>
        <v>342</v>
      </c>
      <c r="D358" s="3">
        <f t="shared" si="23"/>
        <v>0</v>
      </c>
      <c r="E358" s="3">
        <f>ROUND(Table1[[#This Row],[Beginning Balance]]*Table1[[#This Row],[Monthly Interest Rate]],2)</f>
        <v>0</v>
      </c>
      <c r="F358" s="3">
        <f t="shared" si="22"/>
        <v>10</v>
      </c>
      <c r="G358" s="23">
        <f>IFERROR(IF($C$13="No","N/A",IF(Table1[[#This Row],[Period]]=1,$C$6,PMT(InterestRate*AmortizationMultiplier/12,Table1[[#This Row],[Am Thru]],-Table1[[#This Row],[Beginning Balance]]))),0)</f>
        <v>0</v>
      </c>
      <c r="H358" s="3">
        <f>MAX(0,IF(C358=$C$4,D358,ROUND(IF($C$3="Fixed Principal",$C$6-Table1[[#This Row],[Interest]],IF($C$3="Interest Only",Table1[[#This Row],[Beginning Balance]]*ROUND(1-(1-IF($C$11="No",$E$8,1))^(1/12),6),MIN(IF($C$13="Yes",Table1[[#This Row],[Payment Amount (Reamortized)]],$C$6)-Table1[[#This Row],[Interest]],Table1[[#This Row],[Beginning Balance]]))),2)))</f>
        <v>0</v>
      </c>
      <c r="I358" s="3">
        <f>_xlfn.SINGLE(IF($C$3="Line of Credit",0,ROUND(MAX(MIN(IF($C$10="No",$E$7,VLOOKUP(Table1[[#This Row],[Period]],Forecast!$H$2:$L$1048576,4,FALSE))*Table1[[#This Row],[Beginning Balance]],Table1[[#This Row],[Beginning Balance]]-Table1[[#This Row],[Principal]]),0),2)))</f>
        <v>0</v>
      </c>
      <c r="J358" s="3">
        <f>ROUND(MIN(Table1[[#This Row],[Beginning Balance]]*IF($C$8="No",$E$3,VLOOKUP(Table1[[#This Row],[Period]],Forecast!$H$2:$L$1048576,2,FALSE)),Table1[[#This Row],[Beginning Balance]]-Table1[[#This Row],[Principal]]-Table1[[#This Row],[Prepayments]]),2)</f>
        <v>0</v>
      </c>
      <c r="K358" s="3">
        <f>ROUND(Table1[[#This Row],[Defaulted Principal]]*IF($C$9="No",$E$4,VLOOKUP(Table1[[#This Row],[Period]],Forecast!$H$2:$L$1048576,3,FALSE)),2)</f>
        <v>0</v>
      </c>
      <c r="L358" s="2">
        <f>Table1[[#This Row],[Period]]+$E$9</f>
        <v>354</v>
      </c>
      <c r="M358" s="3">
        <f>Table1[[#This Row],[Defaulted Principal]]-Table1[[#This Row],[Estimated Loss]]</f>
        <v>0</v>
      </c>
      <c r="N358" s="3">
        <f>IFERROR(VLOOKUP(Table1[[#This Row],[Period]],$L$16:$M$385,2,FALSE),0)</f>
        <v>0</v>
      </c>
      <c r="O358" s="3">
        <f>Table1[[#This Row],[Beginning Balance]]-Table1[[#This Row],[Principal]]-Table1[[#This Row],[Prepayments]]-Table1[[#This Row],[Defaulted Principal]]</f>
        <v>0</v>
      </c>
      <c r="P358" s="3">
        <f>Table1[[#This Row],[Principal]]+Table1[[#This Row],[Interest]]+Table1[[#This Row],[Prepayments]]+Table1[[#This Row],[RecoveredAmount]]</f>
        <v>0</v>
      </c>
      <c r="Q358" s="3">
        <f ca="1">Table1[[#This Row],[Cash Flow]]/((1+ActualRateToUse)^(IF(ISNUMBER(SEARCH("Actual",$C$7)),Table1[[#This Row],[Running Total]]/365,Table1[[#This Row],[Period]]/12)))</f>
        <v>0</v>
      </c>
      <c r="R358" s="2">
        <f>IF(MONTH(Table1[[#This Row],[Date]])=2,28,DAY(DATE(YEAR(Table1[[#This Row],[Date]]),MONTH(Table1[[#This Row],[Date]])+1,1)-1))</f>
        <v>31</v>
      </c>
      <c r="S358" s="2">
        <f ca="1">SUM(OFFSET(Table1[[#Headers],[Days in month]],1,0):Table1[[#This Row],[Days in month]])</f>
        <v>10404</v>
      </c>
      <c r="T358" s="37">
        <f>InterestRate*AmortizationMultiplier*IF(ISNUMBER(SEARCH("Actual",$C$7)),Table1[[#This Row],[Days in month]]/365,1/12)</f>
        <v>6.0708333333333326E-3</v>
      </c>
    </row>
    <row r="359" spans="2:20" x14ac:dyDescent="0.2">
      <c r="B359" s="1">
        <f t="shared" si="20"/>
        <v>56280</v>
      </c>
      <c r="C359" s="2">
        <f t="shared" si="21"/>
        <v>343</v>
      </c>
      <c r="D359" s="3">
        <f t="shared" si="23"/>
        <v>0</v>
      </c>
      <c r="E359" s="3">
        <f>ROUND(Table1[[#This Row],[Beginning Balance]]*Table1[[#This Row],[Monthly Interest Rate]],2)</f>
        <v>0</v>
      </c>
      <c r="F359" s="3">
        <f t="shared" si="22"/>
        <v>9</v>
      </c>
      <c r="G359" s="23">
        <f>IFERROR(IF($C$13="No","N/A",IF(Table1[[#This Row],[Period]]=1,$C$6,PMT(InterestRate*AmortizationMultiplier/12,Table1[[#This Row],[Am Thru]],-Table1[[#This Row],[Beginning Balance]]))),0)</f>
        <v>0</v>
      </c>
      <c r="H359" s="3">
        <f>MAX(0,IF(C359=$C$4,D359,ROUND(IF($C$3="Fixed Principal",$C$6-Table1[[#This Row],[Interest]],IF($C$3="Interest Only",Table1[[#This Row],[Beginning Balance]]*ROUND(1-(1-IF($C$11="No",$E$8,1))^(1/12),6),MIN(IF($C$13="Yes",Table1[[#This Row],[Payment Amount (Reamortized)]],$C$6)-Table1[[#This Row],[Interest]],Table1[[#This Row],[Beginning Balance]]))),2)))</f>
        <v>0</v>
      </c>
      <c r="I359" s="3">
        <f>_xlfn.SINGLE(IF($C$3="Line of Credit",0,ROUND(MAX(MIN(IF($C$10="No",$E$7,VLOOKUP(Table1[[#This Row],[Period]],Forecast!$H$2:$L$1048576,4,FALSE))*Table1[[#This Row],[Beginning Balance]],Table1[[#This Row],[Beginning Balance]]-Table1[[#This Row],[Principal]]),0),2)))</f>
        <v>0</v>
      </c>
      <c r="J359" s="3">
        <f>ROUND(MIN(Table1[[#This Row],[Beginning Balance]]*IF($C$8="No",$E$3,VLOOKUP(Table1[[#This Row],[Period]],Forecast!$H$2:$L$1048576,2,FALSE)),Table1[[#This Row],[Beginning Balance]]-Table1[[#This Row],[Principal]]-Table1[[#This Row],[Prepayments]]),2)</f>
        <v>0</v>
      </c>
      <c r="K359" s="3">
        <f>ROUND(Table1[[#This Row],[Defaulted Principal]]*IF($C$9="No",$E$4,VLOOKUP(Table1[[#This Row],[Period]],Forecast!$H$2:$L$1048576,3,FALSE)),2)</f>
        <v>0</v>
      </c>
      <c r="L359" s="2">
        <f>Table1[[#This Row],[Period]]+$E$9</f>
        <v>355</v>
      </c>
      <c r="M359" s="3">
        <f>Table1[[#This Row],[Defaulted Principal]]-Table1[[#This Row],[Estimated Loss]]</f>
        <v>0</v>
      </c>
      <c r="N359" s="3">
        <f>IFERROR(VLOOKUP(Table1[[#This Row],[Period]],$L$16:$M$385,2,FALSE),0)</f>
        <v>0</v>
      </c>
      <c r="O359" s="3">
        <f>Table1[[#This Row],[Beginning Balance]]-Table1[[#This Row],[Principal]]-Table1[[#This Row],[Prepayments]]-Table1[[#This Row],[Defaulted Principal]]</f>
        <v>0</v>
      </c>
      <c r="P359" s="3">
        <f>Table1[[#This Row],[Principal]]+Table1[[#This Row],[Interest]]+Table1[[#This Row],[Prepayments]]+Table1[[#This Row],[RecoveredAmount]]</f>
        <v>0</v>
      </c>
      <c r="Q359" s="3">
        <f ca="1">Table1[[#This Row],[Cash Flow]]/((1+ActualRateToUse)^(IF(ISNUMBER(SEARCH("Actual",$C$7)),Table1[[#This Row],[Running Total]]/365,Table1[[#This Row],[Period]]/12)))</f>
        <v>0</v>
      </c>
      <c r="R359" s="2">
        <f>IF(MONTH(Table1[[#This Row],[Date]])=2,28,DAY(DATE(YEAR(Table1[[#This Row],[Date]]),MONTH(Table1[[#This Row],[Date]])+1,1)-1))</f>
        <v>31</v>
      </c>
      <c r="S359" s="2">
        <f ca="1">SUM(OFFSET(Table1[[#Headers],[Days in month]],1,0):Table1[[#This Row],[Days in month]])</f>
        <v>10435</v>
      </c>
      <c r="T359" s="37">
        <f>InterestRate*AmortizationMultiplier*IF(ISNUMBER(SEARCH("Actual",$C$7)),Table1[[#This Row],[Days in month]]/365,1/12)</f>
        <v>6.0708333333333326E-3</v>
      </c>
    </row>
    <row r="360" spans="2:20" x14ac:dyDescent="0.2">
      <c r="B360" s="1">
        <f t="shared" si="20"/>
        <v>56308</v>
      </c>
      <c r="C360" s="2">
        <f t="shared" si="21"/>
        <v>344</v>
      </c>
      <c r="D360" s="3">
        <f t="shared" si="23"/>
        <v>0</v>
      </c>
      <c r="E360" s="3">
        <f>ROUND(Table1[[#This Row],[Beginning Balance]]*Table1[[#This Row],[Monthly Interest Rate]],2)</f>
        <v>0</v>
      </c>
      <c r="F360" s="3">
        <f t="shared" si="22"/>
        <v>8</v>
      </c>
      <c r="G360" s="23">
        <f>IFERROR(IF($C$13="No","N/A",IF(Table1[[#This Row],[Period]]=1,$C$6,PMT(InterestRate*AmortizationMultiplier/12,Table1[[#This Row],[Am Thru]],-Table1[[#This Row],[Beginning Balance]]))),0)</f>
        <v>0</v>
      </c>
      <c r="H360" s="3">
        <f>MAX(0,IF(C360=$C$4,D360,ROUND(IF($C$3="Fixed Principal",$C$6-Table1[[#This Row],[Interest]],IF($C$3="Interest Only",Table1[[#This Row],[Beginning Balance]]*ROUND(1-(1-IF($C$11="No",$E$8,1))^(1/12),6),MIN(IF($C$13="Yes",Table1[[#This Row],[Payment Amount (Reamortized)]],$C$6)-Table1[[#This Row],[Interest]],Table1[[#This Row],[Beginning Balance]]))),2)))</f>
        <v>0</v>
      </c>
      <c r="I360" s="3">
        <f>_xlfn.SINGLE(IF($C$3="Line of Credit",0,ROUND(MAX(MIN(IF($C$10="No",$E$7,VLOOKUP(Table1[[#This Row],[Period]],Forecast!$H$2:$L$1048576,4,FALSE))*Table1[[#This Row],[Beginning Balance]],Table1[[#This Row],[Beginning Balance]]-Table1[[#This Row],[Principal]]),0),2)))</f>
        <v>0</v>
      </c>
      <c r="J360" s="3">
        <f>ROUND(MIN(Table1[[#This Row],[Beginning Balance]]*IF($C$8="No",$E$3,VLOOKUP(Table1[[#This Row],[Period]],Forecast!$H$2:$L$1048576,2,FALSE)),Table1[[#This Row],[Beginning Balance]]-Table1[[#This Row],[Principal]]-Table1[[#This Row],[Prepayments]]),2)</f>
        <v>0</v>
      </c>
      <c r="K360" s="3">
        <f>ROUND(Table1[[#This Row],[Defaulted Principal]]*IF($C$9="No",$E$4,VLOOKUP(Table1[[#This Row],[Period]],Forecast!$H$2:$L$1048576,3,FALSE)),2)</f>
        <v>0</v>
      </c>
      <c r="L360" s="2">
        <f>Table1[[#This Row],[Period]]+$E$9</f>
        <v>356</v>
      </c>
      <c r="M360" s="3">
        <f>Table1[[#This Row],[Defaulted Principal]]-Table1[[#This Row],[Estimated Loss]]</f>
        <v>0</v>
      </c>
      <c r="N360" s="3">
        <f>IFERROR(VLOOKUP(Table1[[#This Row],[Period]],$L$16:$M$385,2,FALSE),0)</f>
        <v>0</v>
      </c>
      <c r="O360" s="3">
        <f>Table1[[#This Row],[Beginning Balance]]-Table1[[#This Row],[Principal]]-Table1[[#This Row],[Prepayments]]-Table1[[#This Row],[Defaulted Principal]]</f>
        <v>0</v>
      </c>
      <c r="P360" s="3">
        <f>Table1[[#This Row],[Principal]]+Table1[[#This Row],[Interest]]+Table1[[#This Row],[Prepayments]]+Table1[[#This Row],[RecoveredAmount]]</f>
        <v>0</v>
      </c>
      <c r="Q360" s="3">
        <f ca="1">Table1[[#This Row],[Cash Flow]]/((1+ActualRateToUse)^(IF(ISNUMBER(SEARCH("Actual",$C$7)),Table1[[#This Row],[Running Total]]/365,Table1[[#This Row],[Period]]/12)))</f>
        <v>0</v>
      </c>
      <c r="R360" s="2">
        <f>IF(MONTH(Table1[[#This Row],[Date]])=2,28,DAY(DATE(YEAR(Table1[[#This Row],[Date]]),MONTH(Table1[[#This Row],[Date]])+1,1)-1))</f>
        <v>28</v>
      </c>
      <c r="S360" s="2">
        <f ca="1">SUM(OFFSET(Table1[[#Headers],[Days in month]],1,0):Table1[[#This Row],[Days in month]])</f>
        <v>10463</v>
      </c>
      <c r="T360" s="37">
        <f>InterestRate*AmortizationMultiplier*IF(ISNUMBER(SEARCH("Actual",$C$7)),Table1[[#This Row],[Days in month]]/365,1/12)</f>
        <v>5.4833333333333331E-3</v>
      </c>
    </row>
    <row r="361" spans="2:20" x14ac:dyDescent="0.2">
      <c r="B361" s="1">
        <f t="shared" si="20"/>
        <v>56339</v>
      </c>
      <c r="C361" s="2">
        <f t="shared" si="21"/>
        <v>345</v>
      </c>
      <c r="D361" s="3">
        <f t="shared" si="23"/>
        <v>0</v>
      </c>
      <c r="E361" s="3">
        <f>ROUND(Table1[[#This Row],[Beginning Balance]]*Table1[[#This Row],[Monthly Interest Rate]],2)</f>
        <v>0</v>
      </c>
      <c r="F361" s="3">
        <f t="shared" si="22"/>
        <v>7</v>
      </c>
      <c r="G361" s="23">
        <f>IFERROR(IF($C$13="No","N/A",IF(Table1[[#This Row],[Period]]=1,$C$6,PMT(InterestRate*AmortizationMultiplier/12,Table1[[#This Row],[Am Thru]],-Table1[[#This Row],[Beginning Balance]]))),0)</f>
        <v>0</v>
      </c>
      <c r="H361" s="3">
        <f>MAX(0,IF(C361=$C$4,D361,ROUND(IF($C$3="Fixed Principal",$C$6-Table1[[#This Row],[Interest]],IF($C$3="Interest Only",Table1[[#This Row],[Beginning Balance]]*ROUND(1-(1-IF($C$11="No",$E$8,1))^(1/12),6),MIN(IF($C$13="Yes",Table1[[#This Row],[Payment Amount (Reamortized)]],$C$6)-Table1[[#This Row],[Interest]],Table1[[#This Row],[Beginning Balance]]))),2)))</f>
        <v>0</v>
      </c>
      <c r="I361" s="3">
        <f>_xlfn.SINGLE(IF($C$3="Line of Credit",0,ROUND(MAX(MIN(IF($C$10="No",$E$7,VLOOKUP(Table1[[#This Row],[Period]],Forecast!$H$2:$L$1048576,4,FALSE))*Table1[[#This Row],[Beginning Balance]],Table1[[#This Row],[Beginning Balance]]-Table1[[#This Row],[Principal]]),0),2)))</f>
        <v>0</v>
      </c>
      <c r="J361" s="3">
        <f>ROUND(MIN(Table1[[#This Row],[Beginning Balance]]*IF($C$8="No",$E$3,VLOOKUP(Table1[[#This Row],[Period]],Forecast!$H$2:$L$1048576,2,FALSE)),Table1[[#This Row],[Beginning Balance]]-Table1[[#This Row],[Principal]]-Table1[[#This Row],[Prepayments]]),2)</f>
        <v>0</v>
      </c>
      <c r="K361" s="3">
        <f>ROUND(Table1[[#This Row],[Defaulted Principal]]*IF($C$9="No",$E$4,VLOOKUP(Table1[[#This Row],[Period]],Forecast!$H$2:$L$1048576,3,FALSE)),2)</f>
        <v>0</v>
      </c>
      <c r="L361" s="2">
        <f>Table1[[#This Row],[Period]]+$E$9</f>
        <v>357</v>
      </c>
      <c r="M361" s="3">
        <f>Table1[[#This Row],[Defaulted Principal]]-Table1[[#This Row],[Estimated Loss]]</f>
        <v>0</v>
      </c>
      <c r="N361" s="3">
        <f>IFERROR(VLOOKUP(Table1[[#This Row],[Period]],$L$16:$M$385,2,FALSE),0)</f>
        <v>0</v>
      </c>
      <c r="O361" s="3">
        <f>Table1[[#This Row],[Beginning Balance]]-Table1[[#This Row],[Principal]]-Table1[[#This Row],[Prepayments]]-Table1[[#This Row],[Defaulted Principal]]</f>
        <v>0</v>
      </c>
      <c r="P361" s="3">
        <f>Table1[[#This Row],[Principal]]+Table1[[#This Row],[Interest]]+Table1[[#This Row],[Prepayments]]+Table1[[#This Row],[RecoveredAmount]]</f>
        <v>0</v>
      </c>
      <c r="Q361" s="3">
        <f ca="1">Table1[[#This Row],[Cash Flow]]/((1+ActualRateToUse)^(IF(ISNUMBER(SEARCH("Actual",$C$7)),Table1[[#This Row],[Running Total]]/365,Table1[[#This Row],[Period]]/12)))</f>
        <v>0</v>
      </c>
      <c r="R361" s="2">
        <f>IF(MONTH(Table1[[#This Row],[Date]])=2,28,DAY(DATE(YEAR(Table1[[#This Row],[Date]]),MONTH(Table1[[#This Row],[Date]])+1,1)-1))</f>
        <v>31</v>
      </c>
      <c r="S361" s="2">
        <f ca="1">SUM(OFFSET(Table1[[#Headers],[Days in month]],1,0):Table1[[#This Row],[Days in month]])</f>
        <v>10494</v>
      </c>
      <c r="T361" s="37">
        <f>InterestRate*AmortizationMultiplier*IF(ISNUMBER(SEARCH("Actual",$C$7)),Table1[[#This Row],[Days in month]]/365,1/12)</f>
        <v>6.0708333333333326E-3</v>
      </c>
    </row>
    <row r="362" spans="2:20" x14ac:dyDescent="0.2">
      <c r="B362" s="1">
        <f t="shared" si="20"/>
        <v>56369</v>
      </c>
      <c r="C362" s="2">
        <f t="shared" si="21"/>
        <v>346</v>
      </c>
      <c r="D362" s="3">
        <f t="shared" si="23"/>
        <v>0</v>
      </c>
      <c r="E362" s="3">
        <f>ROUND(Table1[[#This Row],[Beginning Balance]]*Table1[[#This Row],[Monthly Interest Rate]],2)</f>
        <v>0</v>
      </c>
      <c r="F362" s="3">
        <f t="shared" si="22"/>
        <v>6</v>
      </c>
      <c r="G362" s="23">
        <f>IFERROR(IF($C$13="No","N/A",IF(Table1[[#This Row],[Period]]=1,$C$6,PMT(InterestRate*AmortizationMultiplier/12,Table1[[#This Row],[Am Thru]],-Table1[[#This Row],[Beginning Balance]]))),0)</f>
        <v>0</v>
      </c>
      <c r="H362" s="3">
        <f>MAX(0,IF(C362=$C$4,D362,ROUND(IF($C$3="Fixed Principal",$C$6-Table1[[#This Row],[Interest]],IF($C$3="Interest Only",Table1[[#This Row],[Beginning Balance]]*ROUND(1-(1-IF($C$11="No",$E$8,1))^(1/12),6),MIN(IF($C$13="Yes",Table1[[#This Row],[Payment Amount (Reamortized)]],$C$6)-Table1[[#This Row],[Interest]],Table1[[#This Row],[Beginning Balance]]))),2)))</f>
        <v>0</v>
      </c>
      <c r="I362" s="3">
        <f>_xlfn.SINGLE(IF($C$3="Line of Credit",0,ROUND(MAX(MIN(IF($C$10="No",$E$7,VLOOKUP(Table1[[#This Row],[Period]],Forecast!$H$2:$L$1048576,4,FALSE))*Table1[[#This Row],[Beginning Balance]],Table1[[#This Row],[Beginning Balance]]-Table1[[#This Row],[Principal]]),0),2)))</f>
        <v>0</v>
      </c>
      <c r="J362" s="3">
        <f>ROUND(MIN(Table1[[#This Row],[Beginning Balance]]*IF($C$8="No",$E$3,VLOOKUP(Table1[[#This Row],[Period]],Forecast!$H$2:$L$1048576,2,FALSE)),Table1[[#This Row],[Beginning Balance]]-Table1[[#This Row],[Principal]]-Table1[[#This Row],[Prepayments]]),2)</f>
        <v>0</v>
      </c>
      <c r="K362" s="3">
        <f>ROUND(Table1[[#This Row],[Defaulted Principal]]*IF($C$9="No",$E$4,VLOOKUP(Table1[[#This Row],[Period]],Forecast!$H$2:$L$1048576,3,FALSE)),2)</f>
        <v>0</v>
      </c>
      <c r="L362" s="2">
        <f>Table1[[#This Row],[Period]]+$E$9</f>
        <v>358</v>
      </c>
      <c r="M362" s="3">
        <f>Table1[[#This Row],[Defaulted Principal]]-Table1[[#This Row],[Estimated Loss]]</f>
        <v>0</v>
      </c>
      <c r="N362" s="3">
        <f>IFERROR(VLOOKUP(Table1[[#This Row],[Period]],$L$16:$M$385,2,FALSE),0)</f>
        <v>0</v>
      </c>
      <c r="O362" s="3">
        <f>Table1[[#This Row],[Beginning Balance]]-Table1[[#This Row],[Principal]]-Table1[[#This Row],[Prepayments]]-Table1[[#This Row],[Defaulted Principal]]</f>
        <v>0</v>
      </c>
      <c r="P362" s="3">
        <f>Table1[[#This Row],[Principal]]+Table1[[#This Row],[Interest]]+Table1[[#This Row],[Prepayments]]+Table1[[#This Row],[RecoveredAmount]]</f>
        <v>0</v>
      </c>
      <c r="Q362" s="3">
        <f ca="1">Table1[[#This Row],[Cash Flow]]/((1+ActualRateToUse)^(IF(ISNUMBER(SEARCH("Actual",$C$7)),Table1[[#This Row],[Running Total]]/365,Table1[[#This Row],[Period]]/12)))</f>
        <v>0</v>
      </c>
      <c r="R362" s="2">
        <f>IF(MONTH(Table1[[#This Row],[Date]])=2,28,DAY(DATE(YEAR(Table1[[#This Row],[Date]]),MONTH(Table1[[#This Row],[Date]])+1,1)-1))</f>
        <v>30</v>
      </c>
      <c r="S362" s="2">
        <f ca="1">SUM(OFFSET(Table1[[#Headers],[Days in month]],1,0):Table1[[#This Row],[Days in month]])</f>
        <v>10524</v>
      </c>
      <c r="T362" s="37">
        <f>InterestRate*AmortizationMultiplier*IF(ISNUMBER(SEARCH("Actual",$C$7)),Table1[[#This Row],[Days in month]]/365,1/12)</f>
        <v>5.8749999999999991E-3</v>
      </c>
    </row>
    <row r="363" spans="2:20" x14ac:dyDescent="0.2">
      <c r="B363" s="1">
        <f t="shared" si="20"/>
        <v>56400</v>
      </c>
      <c r="C363" s="2">
        <f t="shared" si="21"/>
        <v>347</v>
      </c>
      <c r="D363" s="3">
        <f t="shared" si="23"/>
        <v>0</v>
      </c>
      <c r="E363" s="3">
        <f>ROUND(Table1[[#This Row],[Beginning Balance]]*Table1[[#This Row],[Monthly Interest Rate]],2)</f>
        <v>0</v>
      </c>
      <c r="F363" s="3">
        <f t="shared" si="22"/>
        <v>5</v>
      </c>
      <c r="G363" s="23">
        <f>IFERROR(IF($C$13="No","N/A",IF(Table1[[#This Row],[Period]]=1,$C$6,PMT(InterestRate*AmortizationMultiplier/12,Table1[[#This Row],[Am Thru]],-Table1[[#This Row],[Beginning Balance]]))),0)</f>
        <v>0</v>
      </c>
      <c r="H363" s="3">
        <f>MAX(0,IF(C363=$C$4,D363,ROUND(IF($C$3="Fixed Principal",$C$6-Table1[[#This Row],[Interest]],IF($C$3="Interest Only",Table1[[#This Row],[Beginning Balance]]*ROUND(1-(1-IF($C$11="No",$E$8,1))^(1/12),6),MIN(IF($C$13="Yes",Table1[[#This Row],[Payment Amount (Reamortized)]],$C$6)-Table1[[#This Row],[Interest]],Table1[[#This Row],[Beginning Balance]]))),2)))</f>
        <v>0</v>
      </c>
      <c r="I363" s="3">
        <f>_xlfn.SINGLE(IF($C$3="Line of Credit",0,ROUND(MAX(MIN(IF($C$10="No",$E$7,VLOOKUP(Table1[[#This Row],[Period]],Forecast!$H$2:$L$1048576,4,FALSE))*Table1[[#This Row],[Beginning Balance]],Table1[[#This Row],[Beginning Balance]]-Table1[[#This Row],[Principal]]),0),2)))</f>
        <v>0</v>
      </c>
      <c r="J363" s="3">
        <f>ROUND(MIN(Table1[[#This Row],[Beginning Balance]]*IF($C$8="No",$E$3,VLOOKUP(Table1[[#This Row],[Period]],Forecast!$H$2:$L$1048576,2,FALSE)),Table1[[#This Row],[Beginning Balance]]-Table1[[#This Row],[Principal]]-Table1[[#This Row],[Prepayments]]),2)</f>
        <v>0</v>
      </c>
      <c r="K363" s="3">
        <f>ROUND(Table1[[#This Row],[Defaulted Principal]]*IF($C$9="No",$E$4,VLOOKUP(Table1[[#This Row],[Period]],Forecast!$H$2:$L$1048576,3,FALSE)),2)</f>
        <v>0</v>
      </c>
      <c r="L363" s="2">
        <f>Table1[[#This Row],[Period]]+$E$9</f>
        <v>359</v>
      </c>
      <c r="M363" s="3">
        <f>Table1[[#This Row],[Defaulted Principal]]-Table1[[#This Row],[Estimated Loss]]</f>
        <v>0</v>
      </c>
      <c r="N363" s="3">
        <f>IFERROR(VLOOKUP(Table1[[#This Row],[Period]],$L$16:$M$385,2,FALSE),0)</f>
        <v>0</v>
      </c>
      <c r="O363" s="3">
        <f>Table1[[#This Row],[Beginning Balance]]-Table1[[#This Row],[Principal]]-Table1[[#This Row],[Prepayments]]-Table1[[#This Row],[Defaulted Principal]]</f>
        <v>0</v>
      </c>
      <c r="P363" s="3">
        <f>Table1[[#This Row],[Principal]]+Table1[[#This Row],[Interest]]+Table1[[#This Row],[Prepayments]]+Table1[[#This Row],[RecoveredAmount]]</f>
        <v>0</v>
      </c>
      <c r="Q363" s="3">
        <f ca="1">Table1[[#This Row],[Cash Flow]]/((1+ActualRateToUse)^(IF(ISNUMBER(SEARCH("Actual",$C$7)),Table1[[#This Row],[Running Total]]/365,Table1[[#This Row],[Period]]/12)))</f>
        <v>0</v>
      </c>
      <c r="R363" s="2">
        <f>IF(MONTH(Table1[[#This Row],[Date]])=2,28,DAY(DATE(YEAR(Table1[[#This Row],[Date]]),MONTH(Table1[[#This Row],[Date]])+1,1)-1))</f>
        <v>31</v>
      </c>
      <c r="S363" s="2">
        <f ca="1">SUM(OFFSET(Table1[[#Headers],[Days in month]],1,0):Table1[[#This Row],[Days in month]])</f>
        <v>10555</v>
      </c>
      <c r="T363" s="37">
        <f>InterestRate*AmortizationMultiplier*IF(ISNUMBER(SEARCH("Actual",$C$7)),Table1[[#This Row],[Days in month]]/365,1/12)</f>
        <v>6.0708333333333326E-3</v>
      </c>
    </row>
    <row r="364" spans="2:20" x14ac:dyDescent="0.2">
      <c r="B364" s="1">
        <f t="shared" si="20"/>
        <v>56430</v>
      </c>
      <c r="C364" s="2">
        <f t="shared" si="21"/>
        <v>348</v>
      </c>
      <c r="D364" s="3">
        <f t="shared" si="23"/>
        <v>0</v>
      </c>
      <c r="E364" s="3">
        <f>ROUND(Table1[[#This Row],[Beginning Balance]]*Table1[[#This Row],[Monthly Interest Rate]],2)</f>
        <v>0</v>
      </c>
      <c r="F364" s="3">
        <f t="shared" si="22"/>
        <v>4</v>
      </c>
      <c r="G364" s="23">
        <f>IFERROR(IF($C$13="No","N/A",IF(Table1[[#This Row],[Period]]=1,$C$6,PMT(InterestRate*AmortizationMultiplier/12,Table1[[#This Row],[Am Thru]],-Table1[[#This Row],[Beginning Balance]]))),0)</f>
        <v>0</v>
      </c>
      <c r="H364" s="3">
        <f>MAX(0,IF(C364=$C$4,D364,ROUND(IF($C$3="Fixed Principal",$C$6-Table1[[#This Row],[Interest]],IF($C$3="Interest Only",Table1[[#This Row],[Beginning Balance]]*ROUND(1-(1-IF($C$11="No",$E$8,1))^(1/12),6),MIN(IF($C$13="Yes",Table1[[#This Row],[Payment Amount (Reamortized)]],$C$6)-Table1[[#This Row],[Interest]],Table1[[#This Row],[Beginning Balance]]))),2)))</f>
        <v>0</v>
      </c>
      <c r="I364" s="3">
        <f>_xlfn.SINGLE(IF($C$3="Line of Credit",0,ROUND(MAX(MIN(IF($C$10="No",$E$7,VLOOKUP(Table1[[#This Row],[Period]],Forecast!$H$2:$L$1048576,4,FALSE))*Table1[[#This Row],[Beginning Balance]],Table1[[#This Row],[Beginning Balance]]-Table1[[#This Row],[Principal]]),0),2)))</f>
        <v>0</v>
      </c>
      <c r="J364" s="3">
        <f>ROUND(MIN(Table1[[#This Row],[Beginning Balance]]*IF($C$8="No",$E$3,VLOOKUP(Table1[[#This Row],[Period]],Forecast!$H$2:$L$1048576,2,FALSE)),Table1[[#This Row],[Beginning Balance]]-Table1[[#This Row],[Principal]]-Table1[[#This Row],[Prepayments]]),2)</f>
        <v>0</v>
      </c>
      <c r="K364" s="3">
        <f>ROUND(Table1[[#This Row],[Defaulted Principal]]*IF($C$9="No",$E$4,VLOOKUP(Table1[[#This Row],[Period]],Forecast!$H$2:$L$1048576,3,FALSE)),2)</f>
        <v>0</v>
      </c>
      <c r="L364" s="2">
        <f>Table1[[#This Row],[Period]]+$E$9</f>
        <v>360</v>
      </c>
      <c r="M364" s="3">
        <f>Table1[[#This Row],[Defaulted Principal]]-Table1[[#This Row],[Estimated Loss]]</f>
        <v>0</v>
      </c>
      <c r="N364" s="3">
        <f>IFERROR(VLOOKUP(Table1[[#This Row],[Period]],$L$16:$M$385,2,FALSE),0)</f>
        <v>0</v>
      </c>
      <c r="O364" s="3">
        <f>Table1[[#This Row],[Beginning Balance]]-Table1[[#This Row],[Principal]]-Table1[[#This Row],[Prepayments]]-Table1[[#This Row],[Defaulted Principal]]</f>
        <v>0</v>
      </c>
      <c r="P364" s="3">
        <f>Table1[[#This Row],[Principal]]+Table1[[#This Row],[Interest]]+Table1[[#This Row],[Prepayments]]+Table1[[#This Row],[RecoveredAmount]]</f>
        <v>0</v>
      </c>
      <c r="Q364" s="3">
        <f ca="1">Table1[[#This Row],[Cash Flow]]/((1+ActualRateToUse)^(IF(ISNUMBER(SEARCH("Actual",$C$7)),Table1[[#This Row],[Running Total]]/365,Table1[[#This Row],[Period]]/12)))</f>
        <v>0</v>
      </c>
      <c r="R364" s="2">
        <f>IF(MONTH(Table1[[#This Row],[Date]])=2,28,DAY(DATE(YEAR(Table1[[#This Row],[Date]]),MONTH(Table1[[#This Row],[Date]])+1,1)-1))</f>
        <v>30</v>
      </c>
      <c r="S364" s="2">
        <f ca="1">SUM(OFFSET(Table1[[#Headers],[Days in month]],1,0):Table1[[#This Row],[Days in month]])</f>
        <v>10585</v>
      </c>
      <c r="T364" s="37">
        <f>InterestRate*AmortizationMultiplier*IF(ISNUMBER(SEARCH("Actual",$C$7)),Table1[[#This Row],[Days in month]]/365,1/12)</f>
        <v>5.8749999999999991E-3</v>
      </c>
    </row>
    <row r="365" spans="2:20" x14ac:dyDescent="0.2">
      <c r="B365" s="1">
        <f t="shared" si="20"/>
        <v>56461</v>
      </c>
      <c r="C365" s="2">
        <f t="shared" si="21"/>
        <v>349</v>
      </c>
      <c r="D365" s="3">
        <f t="shared" si="23"/>
        <v>0</v>
      </c>
      <c r="E365" s="3">
        <f>ROUND(Table1[[#This Row],[Beginning Balance]]*Table1[[#This Row],[Monthly Interest Rate]],2)</f>
        <v>0</v>
      </c>
      <c r="F365" s="3">
        <f t="shared" si="22"/>
        <v>3</v>
      </c>
      <c r="G365" s="23">
        <f>IFERROR(IF($C$13="No","N/A",IF(Table1[[#This Row],[Period]]=1,$C$6,PMT(InterestRate*AmortizationMultiplier/12,Table1[[#This Row],[Am Thru]],-Table1[[#This Row],[Beginning Balance]]))),0)</f>
        <v>0</v>
      </c>
      <c r="H365" s="3">
        <f>MAX(0,IF(C365=$C$4,D365,ROUND(IF($C$3="Fixed Principal",$C$6-Table1[[#This Row],[Interest]],IF($C$3="Interest Only",Table1[[#This Row],[Beginning Balance]]*ROUND(1-(1-IF($C$11="No",$E$8,1))^(1/12),6),MIN(IF($C$13="Yes",Table1[[#This Row],[Payment Amount (Reamortized)]],$C$6)-Table1[[#This Row],[Interest]],Table1[[#This Row],[Beginning Balance]]))),2)))</f>
        <v>0</v>
      </c>
      <c r="I365" s="3">
        <f>_xlfn.SINGLE(IF($C$3="Line of Credit",0,ROUND(MAX(MIN(IF($C$10="No",$E$7,VLOOKUP(Table1[[#This Row],[Period]],Forecast!$H$2:$L$1048576,4,FALSE))*Table1[[#This Row],[Beginning Balance]],Table1[[#This Row],[Beginning Balance]]-Table1[[#This Row],[Principal]]),0),2)))</f>
        <v>0</v>
      </c>
      <c r="J365" s="3">
        <f>ROUND(MIN(Table1[[#This Row],[Beginning Balance]]*IF($C$8="No",$E$3,VLOOKUP(Table1[[#This Row],[Period]],Forecast!$H$2:$L$1048576,2,FALSE)),Table1[[#This Row],[Beginning Balance]]-Table1[[#This Row],[Principal]]-Table1[[#This Row],[Prepayments]]),2)</f>
        <v>0</v>
      </c>
      <c r="K365" s="3">
        <f>ROUND(Table1[[#This Row],[Defaulted Principal]]*IF($C$9="No",$E$4,VLOOKUP(Table1[[#This Row],[Period]],Forecast!$H$2:$L$1048576,3,FALSE)),2)</f>
        <v>0</v>
      </c>
      <c r="L365" s="2">
        <f>Table1[[#This Row],[Period]]+$E$9</f>
        <v>361</v>
      </c>
      <c r="M365" s="3">
        <f>Table1[[#This Row],[Defaulted Principal]]-Table1[[#This Row],[Estimated Loss]]</f>
        <v>0</v>
      </c>
      <c r="N365" s="3">
        <f>IFERROR(VLOOKUP(Table1[[#This Row],[Period]],$L$16:$M$385,2,FALSE),0)</f>
        <v>0</v>
      </c>
      <c r="O365" s="3">
        <f>Table1[[#This Row],[Beginning Balance]]-Table1[[#This Row],[Principal]]-Table1[[#This Row],[Prepayments]]-Table1[[#This Row],[Defaulted Principal]]</f>
        <v>0</v>
      </c>
      <c r="P365" s="3">
        <f>Table1[[#This Row],[Principal]]+Table1[[#This Row],[Interest]]+Table1[[#This Row],[Prepayments]]+Table1[[#This Row],[RecoveredAmount]]</f>
        <v>0</v>
      </c>
      <c r="Q365" s="3">
        <f ca="1">Table1[[#This Row],[Cash Flow]]/((1+ActualRateToUse)^(IF(ISNUMBER(SEARCH("Actual",$C$7)),Table1[[#This Row],[Running Total]]/365,Table1[[#This Row],[Period]]/12)))</f>
        <v>0</v>
      </c>
      <c r="R365" s="2">
        <f>IF(MONTH(Table1[[#This Row],[Date]])=2,28,DAY(DATE(YEAR(Table1[[#This Row],[Date]]),MONTH(Table1[[#This Row],[Date]])+1,1)-1))</f>
        <v>31</v>
      </c>
      <c r="S365" s="2">
        <f ca="1">SUM(OFFSET(Table1[[#Headers],[Days in month]],1,0):Table1[[#This Row],[Days in month]])</f>
        <v>10616</v>
      </c>
      <c r="T365" s="37">
        <f>InterestRate*AmortizationMultiplier*IF(ISNUMBER(SEARCH("Actual",$C$7)),Table1[[#This Row],[Days in month]]/365,1/12)</f>
        <v>6.0708333333333326E-3</v>
      </c>
    </row>
    <row r="366" spans="2:20" x14ac:dyDescent="0.2">
      <c r="B366" s="1">
        <f t="shared" si="20"/>
        <v>56492</v>
      </c>
      <c r="C366" s="2">
        <f t="shared" si="21"/>
        <v>350</v>
      </c>
      <c r="D366" s="3">
        <f t="shared" si="23"/>
        <v>0</v>
      </c>
      <c r="E366" s="3">
        <f>ROUND(Table1[[#This Row],[Beginning Balance]]*Table1[[#This Row],[Monthly Interest Rate]],2)</f>
        <v>0</v>
      </c>
      <c r="F366" s="3">
        <f t="shared" si="22"/>
        <v>2</v>
      </c>
      <c r="G366" s="23">
        <f>IFERROR(IF($C$13="No","N/A",IF(Table1[[#This Row],[Period]]=1,$C$6,PMT(InterestRate*AmortizationMultiplier/12,Table1[[#This Row],[Am Thru]],-Table1[[#This Row],[Beginning Balance]]))),0)</f>
        <v>0</v>
      </c>
      <c r="H366" s="3">
        <f>MAX(0,IF(C366=$C$4,D366,ROUND(IF($C$3="Fixed Principal",$C$6-Table1[[#This Row],[Interest]],IF($C$3="Interest Only",Table1[[#This Row],[Beginning Balance]]*ROUND(1-(1-IF($C$11="No",$E$8,1))^(1/12),6),MIN(IF($C$13="Yes",Table1[[#This Row],[Payment Amount (Reamortized)]],$C$6)-Table1[[#This Row],[Interest]],Table1[[#This Row],[Beginning Balance]]))),2)))</f>
        <v>0</v>
      </c>
      <c r="I366" s="3">
        <f>_xlfn.SINGLE(IF($C$3="Line of Credit",0,ROUND(MAX(MIN(IF($C$10="No",$E$7,VLOOKUP(Table1[[#This Row],[Period]],Forecast!$H$2:$L$1048576,4,FALSE))*Table1[[#This Row],[Beginning Balance]],Table1[[#This Row],[Beginning Balance]]-Table1[[#This Row],[Principal]]),0),2)))</f>
        <v>0</v>
      </c>
      <c r="J366" s="3">
        <f>ROUND(MIN(Table1[[#This Row],[Beginning Balance]]*IF($C$8="No",$E$3,VLOOKUP(Table1[[#This Row],[Period]],Forecast!$H$2:$L$1048576,2,FALSE)),Table1[[#This Row],[Beginning Balance]]-Table1[[#This Row],[Principal]]-Table1[[#This Row],[Prepayments]]),2)</f>
        <v>0</v>
      </c>
      <c r="K366" s="3">
        <f>ROUND(Table1[[#This Row],[Defaulted Principal]]*IF($C$9="No",$E$4,VLOOKUP(Table1[[#This Row],[Period]],Forecast!$H$2:$L$1048576,3,FALSE)),2)</f>
        <v>0</v>
      </c>
      <c r="L366" s="2">
        <f>Table1[[#This Row],[Period]]+$E$9</f>
        <v>362</v>
      </c>
      <c r="M366" s="3">
        <f>Table1[[#This Row],[Defaulted Principal]]-Table1[[#This Row],[Estimated Loss]]</f>
        <v>0</v>
      </c>
      <c r="N366" s="3">
        <f>IFERROR(VLOOKUP(Table1[[#This Row],[Period]],$L$16:$M$385,2,FALSE),0)</f>
        <v>0</v>
      </c>
      <c r="O366" s="3">
        <f>Table1[[#This Row],[Beginning Balance]]-Table1[[#This Row],[Principal]]-Table1[[#This Row],[Prepayments]]-Table1[[#This Row],[Defaulted Principal]]</f>
        <v>0</v>
      </c>
      <c r="P366" s="3">
        <f>Table1[[#This Row],[Principal]]+Table1[[#This Row],[Interest]]+Table1[[#This Row],[Prepayments]]+Table1[[#This Row],[RecoveredAmount]]</f>
        <v>0</v>
      </c>
      <c r="Q366" s="3">
        <f ca="1">Table1[[#This Row],[Cash Flow]]/((1+ActualRateToUse)^(IF(ISNUMBER(SEARCH("Actual",$C$7)),Table1[[#This Row],[Running Total]]/365,Table1[[#This Row],[Period]]/12)))</f>
        <v>0</v>
      </c>
      <c r="R366" s="2">
        <f>IF(MONTH(Table1[[#This Row],[Date]])=2,28,DAY(DATE(YEAR(Table1[[#This Row],[Date]]),MONTH(Table1[[#This Row],[Date]])+1,1)-1))</f>
        <v>31</v>
      </c>
      <c r="S366" s="2">
        <f ca="1">SUM(OFFSET(Table1[[#Headers],[Days in month]],1,0):Table1[[#This Row],[Days in month]])</f>
        <v>10647</v>
      </c>
      <c r="T366" s="37">
        <f>InterestRate*AmortizationMultiplier*IF(ISNUMBER(SEARCH("Actual",$C$7)),Table1[[#This Row],[Days in month]]/365,1/12)</f>
        <v>6.0708333333333326E-3</v>
      </c>
    </row>
    <row r="367" spans="2:20" x14ac:dyDescent="0.2">
      <c r="B367" s="1">
        <f t="shared" si="20"/>
        <v>56522</v>
      </c>
      <c r="C367" s="2">
        <f t="shared" si="21"/>
        <v>351</v>
      </c>
      <c r="D367" s="3">
        <f t="shared" si="23"/>
        <v>0</v>
      </c>
      <c r="E367" s="3">
        <f>ROUND(Table1[[#This Row],[Beginning Balance]]*Table1[[#This Row],[Monthly Interest Rate]],2)</f>
        <v>0</v>
      </c>
      <c r="F367" s="3">
        <f t="shared" si="22"/>
        <v>1</v>
      </c>
      <c r="G367" s="23">
        <f>IFERROR(IF($C$13="No","N/A",IF(Table1[[#This Row],[Period]]=1,$C$6,PMT(InterestRate*AmortizationMultiplier/12,Table1[[#This Row],[Am Thru]],-Table1[[#This Row],[Beginning Balance]]))),0)</f>
        <v>0</v>
      </c>
      <c r="H367" s="3">
        <f>MAX(0,IF(C367=$C$4,D367,ROUND(IF($C$3="Fixed Principal",$C$6-Table1[[#This Row],[Interest]],IF($C$3="Interest Only",Table1[[#This Row],[Beginning Balance]]*ROUND(1-(1-IF($C$11="No",$E$8,1))^(1/12),6),MIN(IF($C$13="Yes",Table1[[#This Row],[Payment Amount (Reamortized)]],$C$6)-Table1[[#This Row],[Interest]],Table1[[#This Row],[Beginning Balance]]))),2)))</f>
        <v>0</v>
      </c>
      <c r="I367" s="3">
        <f>_xlfn.SINGLE(IF($C$3="Line of Credit",0,ROUND(MAX(MIN(IF($C$10="No",$E$7,VLOOKUP(Table1[[#This Row],[Period]],Forecast!$H$2:$L$1048576,4,FALSE))*Table1[[#This Row],[Beginning Balance]],Table1[[#This Row],[Beginning Balance]]-Table1[[#This Row],[Principal]]),0),2)))</f>
        <v>0</v>
      </c>
      <c r="J367" s="3">
        <f>ROUND(MIN(Table1[[#This Row],[Beginning Balance]]*IF($C$8="No",$E$3,VLOOKUP(Table1[[#This Row],[Period]],Forecast!$H$2:$L$1048576,2,FALSE)),Table1[[#This Row],[Beginning Balance]]-Table1[[#This Row],[Principal]]-Table1[[#This Row],[Prepayments]]),2)</f>
        <v>0</v>
      </c>
      <c r="K367" s="3">
        <f>ROUND(Table1[[#This Row],[Defaulted Principal]]*IF($C$9="No",$E$4,VLOOKUP(Table1[[#This Row],[Period]],Forecast!$H$2:$L$1048576,3,FALSE)),2)</f>
        <v>0</v>
      </c>
      <c r="L367" s="2">
        <f>Table1[[#This Row],[Period]]+$E$9</f>
        <v>363</v>
      </c>
      <c r="M367" s="3">
        <f>Table1[[#This Row],[Defaulted Principal]]-Table1[[#This Row],[Estimated Loss]]</f>
        <v>0</v>
      </c>
      <c r="N367" s="3">
        <f>IFERROR(VLOOKUP(Table1[[#This Row],[Period]],$L$16:$M$385,2,FALSE),0)</f>
        <v>0</v>
      </c>
      <c r="O367" s="3">
        <f>Table1[[#This Row],[Beginning Balance]]-Table1[[#This Row],[Principal]]-Table1[[#This Row],[Prepayments]]-Table1[[#This Row],[Defaulted Principal]]</f>
        <v>0</v>
      </c>
      <c r="P367" s="3">
        <f>Table1[[#This Row],[Principal]]+Table1[[#This Row],[Interest]]+Table1[[#This Row],[Prepayments]]+Table1[[#This Row],[RecoveredAmount]]</f>
        <v>0</v>
      </c>
      <c r="Q367" s="3">
        <f ca="1">Table1[[#This Row],[Cash Flow]]/((1+ActualRateToUse)^(IF(ISNUMBER(SEARCH("Actual",$C$7)),Table1[[#This Row],[Running Total]]/365,Table1[[#This Row],[Period]]/12)))</f>
        <v>0</v>
      </c>
      <c r="R367" s="2">
        <f>IF(MONTH(Table1[[#This Row],[Date]])=2,28,DAY(DATE(YEAR(Table1[[#This Row],[Date]]),MONTH(Table1[[#This Row],[Date]])+1,1)-1))</f>
        <v>30</v>
      </c>
      <c r="S367" s="2">
        <f ca="1">SUM(OFFSET(Table1[[#Headers],[Days in month]],1,0):Table1[[#This Row],[Days in month]])</f>
        <v>10677</v>
      </c>
      <c r="T367" s="37">
        <f>InterestRate*AmortizationMultiplier*IF(ISNUMBER(SEARCH("Actual",$C$7)),Table1[[#This Row],[Days in month]]/365,1/12)</f>
        <v>5.8749999999999991E-3</v>
      </c>
    </row>
    <row r="368" spans="2:20" x14ac:dyDescent="0.2">
      <c r="B368" s="1">
        <f t="shared" si="20"/>
        <v>56553</v>
      </c>
      <c r="C368" s="2">
        <f t="shared" si="21"/>
        <v>352</v>
      </c>
      <c r="D368" s="3">
        <f>O367</f>
        <v>0</v>
      </c>
      <c r="E368" s="3">
        <f>ROUND(Table1[[#This Row],[Beginning Balance]]*Table1[[#This Row],[Monthly Interest Rate]],2)</f>
        <v>0</v>
      </c>
      <c r="F368" s="3">
        <f>+F367-1</f>
        <v>0</v>
      </c>
      <c r="G368" s="23">
        <f>IFERROR(IF($C$13="No","N/A",IF(Table1[[#This Row],[Period]]=1,$C$6,PMT(InterestRate*AmortizationMultiplier/12,Table1[[#This Row],[Am Thru]],-Table1[[#This Row],[Beginning Balance]]))),0)</f>
        <v>0</v>
      </c>
      <c r="H368" s="3">
        <f>MAX(0,IF(C368=$C$4,D368,ROUND(IF($C$3="Fixed Principal",$C$6-Table1[[#This Row],[Interest]],IF($C$3="Interest Only",Table1[[#This Row],[Beginning Balance]]*ROUND(1-(1-IF($C$11="No",$E$8,1))^(1/12),6),MIN(IF($C$13="Yes",Table1[[#This Row],[Payment Amount (Reamortized)]],$C$6)-Table1[[#This Row],[Interest]],Table1[[#This Row],[Beginning Balance]]))),2)))</f>
        <v>0</v>
      </c>
      <c r="I368" s="3">
        <f>_xlfn.SINGLE(IF($C$3="Line of Credit",0,ROUND(MAX(MIN(IF($C$10="No",$E$7,VLOOKUP(Table1[[#This Row],[Period]],Forecast!$H$2:$L$1048576,4,FALSE))*Table1[[#This Row],[Beginning Balance]],Table1[[#This Row],[Beginning Balance]]-Table1[[#This Row],[Principal]]),0),2)))</f>
        <v>0</v>
      </c>
      <c r="J368" s="3">
        <f>ROUND(MIN(Table1[[#This Row],[Beginning Balance]]*IF($C$8="No",$E$3,VLOOKUP(Table1[[#This Row],[Period]],Forecast!$H$2:$L$1048576,2,FALSE)),Table1[[#This Row],[Beginning Balance]]-Table1[[#This Row],[Principal]]-Table1[[#This Row],[Prepayments]]),2)</f>
        <v>0</v>
      </c>
      <c r="K368" s="3">
        <f>ROUND(Table1[[#This Row],[Defaulted Principal]]*IF($C$9="No",$E$4,VLOOKUP(Table1[[#This Row],[Period]],Forecast!$H$2:$L$1048576,3,FALSE)),2)</f>
        <v>0</v>
      </c>
      <c r="L368" s="2">
        <f>Table1[[#This Row],[Period]]+$E$9</f>
        <v>364</v>
      </c>
      <c r="M368" s="3">
        <f>Table1[[#This Row],[Defaulted Principal]]-Table1[[#This Row],[Estimated Loss]]</f>
        <v>0</v>
      </c>
      <c r="N368" s="3">
        <f>IFERROR(VLOOKUP(Table1[[#This Row],[Period]],$L$16:$M$385,2,FALSE),0)</f>
        <v>0</v>
      </c>
      <c r="O368" s="3">
        <f>Table1[[#This Row],[Beginning Balance]]-Table1[[#This Row],[Principal]]-Table1[[#This Row],[Prepayments]]-Table1[[#This Row],[Defaulted Principal]]</f>
        <v>0</v>
      </c>
      <c r="P368" s="3">
        <f>Table1[[#This Row],[Principal]]+Table1[[#This Row],[Interest]]+Table1[[#This Row],[Prepayments]]+Table1[[#This Row],[RecoveredAmount]]</f>
        <v>0</v>
      </c>
      <c r="Q368" s="3">
        <f ca="1">Table1[[#This Row],[Cash Flow]]/((1+ActualRateToUse)^(IF(ISNUMBER(SEARCH("Actual",$C$7)),Table1[[#This Row],[Running Total]]/365,Table1[[#This Row],[Period]]/12)))</f>
        <v>0</v>
      </c>
      <c r="R368" s="2">
        <f>IF(MONTH(Table1[[#This Row],[Date]])=2,28,DAY(DATE(YEAR(Table1[[#This Row],[Date]]),MONTH(Table1[[#This Row],[Date]])+1,1)-1))</f>
        <v>31</v>
      </c>
      <c r="S368" s="2">
        <f ca="1">SUM(OFFSET(Table1[[#Headers],[Days in month]],1,0):Table1[[#This Row],[Days in month]])</f>
        <v>10708</v>
      </c>
      <c r="T368" s="37">
        <f>InterestRate*AmortizationMultiplier*IF(ISNUMBER(SEARCH("Actual",$C$7)),Table1[[#This Row],[Days in month]]/365,1/12)</f>
        <v>6.0708333333333326E-3</v>
      </c>
    </row>
    <row r="369" spans="2:20" x14ac:dyDescent="0.2">
      <c r="B369" s="1">
        <f t="shared" si="20"/>
        <v>56583</v>
      </c>
      <c r="C369" s="2">
        <f t="shared" si="21"/>
        <v>353</v>
      </c>
      <c r="D369" s="3">
        <f t="shared" si="23"/>
        <v>0</v>
      </c>
      <c r="E369" s="3">
        <f>ROUND(Table1[[#This Row],[Beginning Balance]]*Table1[[#This Row],[Monthly Interest Rate]],2)</f>
        <v>0</v>
      </c>
      <c r="F369" s="3">
        <f t="shared" si="22"/>
        <v>-1</v>
      </c>
      <c r="G369" s="23">
        <f>IFERROR(IF($C$13="No","N/A",IF(Table1[[#This Row],[Period]]=1,$C$6,PMT(InterestRate*AmortizationMultiplier/12,Table1[[#This Row],[Am Thru]],-Table1[[#This Row],[Beginning Balance]]))),0)</f>
        <v>0</v>
      </c>
      <c r="H369" s="3">
        <f>MAX(0,IF(C369=$C$4,D369,ROUND(IF($C$3="Fixed Principal",$C$6-Table1[[#This Row],[Interest]],IF($C$3="Interest Only",Table1[[#This Row],[Beginning Balance]]*ROUND(1-(1-IF($C$11="No",$E$8,1))^(1/12),6),MIN(IF($C$13="Yes",Table1[[#This Row],[Payment Amount (Reamortized)]],$C$6)-Table1[[#This Row],[Interest]],Table1[[#This Row],[Beginning Balance]]))),2)))</f>
        <v>0</v>
      </c>
      <c r="I369" s="3">
        <f>_xlfn.SINGLE(IF($C$3="Line of Credit",0,ROUND(MAX(MIN(IF($C$10="No",$E$7,VLOOKUP(Table1[[#This Row],[Period]],Forecast!$H$2:$L$1048576,4,FALSE))*Table1[[#This Row],[Beginning Balance]],Table1[[#This Row],[Beginning Balance]]-Table1[[#This Row],[Principal]]),0),2)))</f>
        <v>0</v>
      </c>
      <c r="J369" s="3">
        <f>ROUND(MIN(Table1[[#This Row],[Beginning Balance]]*IF($C$8="No",$E$3,VLOOKUP(Table1[[#This Row],[Period]],Forecast!$H$2:$L$1048576,2,FALSE)),Table1[[#This Row],[Beginning Balance]]-Table1[[#This Row],[Principal]]-Table1[[#This Row],[Prepayments]]),2)</f>
        <v>0</v>
      </c>
      <c r="K369" s="3">
        <f>ROUND(Table1[[#This Row],[Defaulted Principal]]*IF($C$9="No",$E$4,VLOOKUP(Table1[[#This Row],[Period]],Forecast!$H$2:$L$1048576,3,FALSE)),2)</f>
        <v>0</v>
      </c>
      <c r="L369" s="2">
        <f>Table1[[#This Row],[Period]]+$E$9</f>
        <v>365</v>
      </c>
      <c r="M369" s="3">
        <f>Table1[[#This Row],[Defaulted Principal]]-Table1[[#This Row],[Estimated Loss]]</f>
        <v>0</v>
      </c>
      <c r="N369" s="3">
        <f>IFERROR(VLOOKUP(Table1[[#This Row],[Period]],$L$16:$M$385,2,FALSE),0)</f>
        <v>0</v>
      </c>
      <c r="O369" s="3">
        <f>Table1[[#This Row],[Beginning Balance]]-Table1[[#This Row],[Principal]]-Table1[[#This Row],[Prepayments]]-Table1[[#This Row],[Defaulted Principal]]</f>
        <v>0</v>
      </c>
      <c r="P369" s="3">
        <f>Table1[[#This Row],[Principal]]+Table1[[#This Row],[Interest]]+Table1[[#This Row],[Prepayments]]+Table1[[#This Row],[RecoveredAmount]]</f>
        <v>0</v>
      </c>
      <c r="Q369" s="3">
        <f ca="1">Table1[[#This Row],[Cash Flow]]/((1+ActualRateToUse)^(IF(ISNUMBER(SEARCH("Actual",$C$7)),Table1[[#This Row],[Running Total]]/365,Table1[[#This Row],[Period]]/12)))</f>
        <v>0</v>
      </c>
      <c r="R369" s="2">
        <f>IF(MONTH(Table1[[#This Row],[Date]])=2,28,DAY(DATE(YEAR(Table1[[#This Row],[Date]]),MONTH(Table1[[#This Row],[Date]])+1,1)-1))</f>
        <v>30</v>
      </c>
      <c r="S369" s="2">
        <f ca="1">SUM(OFFSET(Table1[[#Headers],[Days in month]],1,0):Table1[[#This Row],[Days in month]])</f>
        <v>10738</v>
      </c>
      <c r="T369" s="37">
        <f>InterestRate*AmortizationMultiplier*IF(ISNUMBER(SEARCH("Actual",$C$7)),Table1[[#This Row],[Days in month]]/365,1/12)</f>
        <v>5.8749999999999991E-3</v>
      </c>
    </row>
    <row r="370" spans="2:20" x14ac:dyDescent="0.2">
      <c r="B370" s="1">
        <f t="shared" si="20"/>
        <v>56614</v>
      </c>
      <c r="C370" s="2">
        <f t="shared" si="21"/>
        <v>354</v>
      </c>
      <c r="D370" s="3">
        <f t="shared" si="23"/>
        <v>0</v>
      </c>
      <c r="E370" s="3">
        <f>ROUND(Table1[[#This Row],[Beginning Balance]]*Table1[[#This Row],[Monthly Interest Rate]],2)</f>
        <v>0</v>
      </c>
      <c r="F370" s="3">
        <f t="shared" si="22"/>
        <v>-2</v>
      </c>
      <c r="G370" s="23">
        <f>IFERROR(IF($C$13="No","N/A",IF(Table1[[#This Row],[Period]]=1,$C$6,PMT(InterestRate*AmortizationMultiplier/12,Table1[[#This Row],[Am Thru]],-Table1[[#This Row],[Beginning Balance]]))),0)</f>
        <v>0</v>
      </c>
      <c r="H370" s="3">
        <f>MAX(0,IF(C370=$C$4,D370,ROUND(IF($C$3="Fixed Principal",$C$6-Table1[[#This Row],[Interest]],IF($C$3="Interest Only",Table1[[#This Row],[Beginning Balance]]*ROUND(1-(1-IF($C$11="No",$E$8,1))^(1/12),6),MIN(IF($C$13="Yes",Table1[[#This Row],[Payment Amount (Reamortized)]],$C$6)-Table1[[#This Row],[Interest]],Table1[[#This Row],[Beginning Balance]]))),2)))</f>
        <v>0</v>
      </c>
      <c r="I370" s="3">
        <f>_xlfn.SINGLE(IF($C$3="Line of Credit",0,ROUND(MAX(MIN(IF($C$10="No",$E$7,VLOOKUP(Table1[[#This Row],[Period]],Forecast!$H$2:$L$1048576,4,FALSE))*Table1[[#This Row],[Beginning Balance]],Table1[[#This Row],[Beginning Balance]]-Table1[[#This Row],[Principal]]),0),2)))</f>
        <v>0</v>
      </c>
      <c r="J370" s="3">
        <f>ROUND(MIN(Table1[[#This Row],[Beginning Balance]]*IF($C$8="No",$E$3,VLOOKUP(Table1[[#This Row],[Period]],Forecast!$H$2:$L$1048576,2,FALSE)),Table1[[#This Row],[Beginning Balance]]-Table1[[#This Row],[Principal]]-Table1[[#This Row],[Prepayments]]),2)</f>
        <v>0</v>
      </c>
      <c r="K370" s="3">
        <f>ROUND(Table1[[#This Row],[Defaulted Principal]]*IF($C$9="No",$E$4,VLOOKUP(Table1[[#This Row],[Period]],Forecast!$H$2:$L$1048576,3,FALSE)),2)</f>
        <v>0</v>
      </c>
      <c r="L370" s="2">
        <f>Table1[[#This Row],[Period]]+$E$9</f>
        <v>366</v>
      </c>
      <c r="M370" s="3">
        <f>Table1[[#This Row],[Defaulted Principal]]-Table1[[#This Row],[Estimated Loss]]</f>
        <v>0</v>
      </c>
      <c r="N370" s="3">
        <f>IFERROR(VLOOKUP(Table1[[#This Row],[Period]],$L$16:$M$385,2,FALSE),0)</f>
        <v>0</v>
      </c>
      <c r="O370" s="3">
        <f>Table1[[#This Row],[Beginning Balance]]-Table1[[#This Row],[Principal]]-Table1[[#This Row],[Prepayments]]-Table1[[#This Row],[Defaulted Principal]]</f>
        <v>0</v>
      </c>
      <c r="P370" s="3">
        <f>Table1[[#This Row],[Principal]]+Table1[[#This Row],[Interest]]+Table1[[#This Row],[Prepayments]]+Table1[[#This Row],[RecoveredAmount]]</f>
        <v>0</v>
      </c>
      <c r="Q370" s="3">
        <f ca="1">Table1[[#This Row],[Cash Flow]]/((1+ActualRateToUse)^(IF(ISNUMBER(SEARCH("Actual",$C$7)),Table1[[#This Row],[Running Total]]/365,Table1[[#This Row],[Period]]/12)))</f>
        <v>0</v>
      </c>
      <c r="R370" s="2">
        <f>IF(MONTH(Table1[[#This Row],[Date]])=2,28,DAY(DATE(YEAR(Table1[[#This Row],[Date]]),MONTH(Table1[[#This Row],[Date]])+1,1)-1))</f>
        <v>31</v>
      </c>
      <c r="S370" s="2">
        <f ca="1">SUM(OFFSET(Table1[[#Headers],[Days in month]],1,0):Table1[[#This Row],[Days in month]])</f>
        <v>10769</v>
      </c>
      <c r="T370" s="37">
        <f>InterestRate*AmortizationMultiplier*IF(ISNUMBER(SEARCH("Actual",$C$7)),Table1[[#This Row],[Days in month]]/365,1/12)</f>
        <v>6.0708333333333326E-3</v>
      </c>
    </row>
    <row r="371" spans="2:20" x14ac:dyDescent="0.2">
      <c r="B371" s="1">
        <f t="shared" si="20"/>
        <v>56645</v>
      </c>
      <c r="C371" s="2">
        <f t="shared" si="21"/>
        <v>355</v>
      </c>
      <c r="D371" s="3">
        <f t="shared" si="23"/>
        <v>0</v>
      </c>
      <c r="E371" s="3">
        <f>ROUND(Table1[[#This Row],[Beginning Balance]]*Table1[[#This Row],[Monthly Interest Rate]],2)</f>
        <v>0</v>
      </c>
      <c r="F371" s="3">
        <f t="shared" si="22"/>
        <v>-3</v>
      </c>
      <c r="G371" s="23">
        <f>IFERROR(IF($C$13="No","N/A",IF(Table1[[#This Row],[Period]]=1,$C$6,PMT(InterestRate*AmortizationMultiplier/12,Table1[[#This Row],[Am Thru]],-Table1[[#This Row],[Beginning Balance]]))),0)</f>
        <v>0</v>
      </c>
      <c r="H371" s="3">
        <f>MAX(0,IF(C371=$C$4,D371,ROUND(IF($C$3="Fixed Principal",$C$6-Table1[[#This Row],[Interest]],IF($C$3="Interest Only",Table1[[#This Row],[Beginning Balance]]*ROUND(1-(1-IF($C$11="No",$E$8,1))^(1/12),6),MIN(IF($C$13="Yes",Table1[[#This Row],[Payment Amount (Reamortized)]],$C$6)-Table1[[#This Row],[Interest]],Table1[[#This Row],[Beginning Balance]]))),2)))</f>
        <v>0</v>
      </c>
      <c r="I371" s="3">
        <f>_xlfn.SINGLE(IF($C$3="Line of Credit",0,ROUND(MAX(MIN(IF($C$10="No",$E$7,VLOOKUP(Table1[[#This Row],[Period]],Forecast!$H$2:$L$1048576,4,FALSE))*Table1[[#This Row],[Beginning Balance]],Table1[[#This Row],[Beginning Balance]]-Table1[[#This Row],[Principal]]),0),2)))</f>
        <v>0</v>
      </c>
      <c r="J371" s="3">
        <f>ROUND(MIN(Table1[[#This Row],[Beginning Balance]]*IF($C$8="No",$E$3,VLOOKUP(Table1[[#This Row],[Period]],Forecast!$H$2:$L$1048576,2,FALSE)),Table1[[#This Row],[Beginning Balance]]-Table1[[#This Row],[Principal]]-Table1[[#This Row],[Prepayments]]),2)</f>
        <v>0</v>
      </c>
      <c r="K371" s="3">
        <f>ROUND(Table1[[#This Row],[Defaulted Principal]]*IF($C$9="No",$E$4,VLOOKUP(Table1[[#This Row],[Period]],Forecast!$H$2:$L$1048576,3,FALSE)),2)</f>
        <v>0</v>
      </c>
      <c r="L371" s="2">
        <f>Table1[[#This Row],[Period]]+$E$9</f>
        <v>367</v>
      </c>
      <c r="M371" s="3">
        <f>Table1[[#This Row],[Defaulted Principal]]-Table1[[#This Row],[Estimated Loss]]</f>
        <v>0</v>
      </c>
      <c r="N371" s="3">
        <f>IFERROR(VLOOKUP(Table1[[#This Row],[Period]],$L$16:$M$385,2,FALSE),0)</f>
        <v>0</v>
      </c>
      <c r="O371" s="3">
        <f>Table1[[#This Row],[Beginning Balance]]-Table1[[#This Row],[Principal]]-Table1[[#This Row],[Prepayments]]-Table1[[#This Row],[Defaulted Principal]]</f>
        <v>0</v>
      </c>
      <c r="P371" s="3">
        <f>Table1[[#This Row],[Principal]]+Table1[[#This Row],[Interest]]+Table1[[#This Row],[Prepayments]]+Table1[[#This Row],[RecoveredAmount]]</f>
        <v>0</v>
      </c>
      <c r="Q371" s="3">
        <f ca="1">Table1[[#This Row],[Cash Flow]]/((1+ActualRateToUse)^(IF(ISNUMBER(SEARCH("Actual",$C$7)),Table1[[#This Row],[Running Total]]/365,Table1[[#This Row],[Period]]/12)))</f>
        <v>0</v>
      </c>
      <c r="R371" s="2">
        <f>IF(MONTH(Table1[[#This Row],[Date]])=2,28,DAY(DATE(YEAR(Table1[[#This Row],[Date]]),MONTH(Table1[[#This Row],[Date]])+1,1)-1))</f>
        <v>31</v>
      </c>
      <c r="S371" s="2">
        <f ca="1">SUM(OFFSET(Table1[[#Headers],[Days in month]],1,0):Table1[[#This Row],[Days in month]])</f>
        <v>10800</v>
      </c>
      <c r="T371" s="37">
        <f>InterestRate*AmortizationMultiplier*IF(ISNUMBER(SEARCH("Actual",$C$7)),Table1[[#This Row],[Days in month]]/365,1/12)</f>
        <v>6.0708333333333326E-3</v>
      </c>
    </row>
    <row r="372" spans="2:20" x14ac:dyDescent="0.2">
      <c r="B372" s="1">
        <f t="shared" si="20"/>
        <v>56673</v>
      </c>
      <c r="C372" s="2">
        <f t="shared" si="21"/>
        <v>356</v>
      </c>
      <c r="D372" s="3">
        <f t="shared" si="23"/>
        <v>0</v>
      </c>
      <c r="E372" s="3">
        <f>ROUND(Table1[[#This Row],[Beginning Balance]]*Table1[[#This Row],[Monthly Interest Rate]],2)</f>
        <v>0</v>
      </c>
      <c r="F372" s="3">
        <f t="shared" si="22"/>
        <v>-4</v>
      </c>
      <c r="G372" s="23">
        <f>IFERROR(IF($C$13="No","N/A",IF(Table1[[#This Row],[Period]]=1,$C$6,PMT(InterestRate*AmortizationMultiplier/12,Table1[[#This Row],[Am Thru]],-Table1[[#This Row],[Beginning Balance]]))),0)</f>
        <v>0</v>
      </c>
      <c r="H372" s="3">
        <f>MAX(0,IF(C372=$C$4,D372,ROUND(IF($C$3="Fixed Principal",$C$6-Table1[[#This Row],[Interest]],IF($C$3="Interest Only",Table1[[#This Row],[Beginning Balance]]*ROUND(1-(1-IF($C$11="No",$E$8,1))^(1/12),6),MIN(IF($C$13="Yes",Table1[[#This Row],[Payment Amount (Reamortized)]],$C$6)-Table1[[#This Row],[Interest]],Table1[[#This Row],[Beginning Balance]]))),2)))</f>
        <v>0</v>
      </c>
      <c r="I372" s="3">
        <f>_xlfn.SINGLE(IF($C$3="Line of Credit",0,ROUND(MAX(MIN(IF($C$10="No",$E$7,VLOOKUP(Table1[[#This Row],[Period]],Forecast!$H$2:$L$1048576,4,FALSE))*Table1[[#This Row],[Beginning Balance]],Table1[[#This Row],[Beginning Balance]]-Table1[[#This Row],[Principal]]),0),2)))</f>
        <v>0</v>
      </c>
      <c r="J372" s="3">
        <f>ROUND(MIN(Table1[[#This Row],[Beginning Balance]]*IF($C$8="No",$E$3,VLOOKUP(Table1[[#This Row],[Period]],Forecast!$H$2:$L$1048576,2,FALSE)),Table1[[#This Row],[Beginning Balance]]-Table1[[#This Row],[Principal]]-Table1[[#This Row],[Prepayments]]),2)</f>
        <v>0</v>
      </c>
      <c r="K372" s="3">
        <f>ROUND(Table1[[#This Row],[Defaulted Principal]]*IF($C$9="No",$E$4,VLOOKUP(Table1[[#This Row],[Period]],Forecast!$H$2:$L$1048576,3,FALSE)),2)</f>
        <v>0</v>
      </c>
      <c r="L372" s="2">
        <f>Table1[[#This Row],[Period]]+$E$9</f>
        <v>368</v>
      </c>
      <c r="M372" s="3">
        <f>Table1[[#This Row],[Defaulted Principal]]-Table1[[#This Row],[Estimated Loss]]</f>
        <v>0</v>
      </c>
      <c r="N372" s="3">
        <f>IFERROR(VLOOKUP(Table1[[#This Row],[Period]],$L$16:$M$385,2,FALSE),0)</f>
        <v>0</v>
      </c>
      <c r="O372" s="3">
        <f>Table1[[#This Row],[Beginning Balance]]-Table1[[#This Row],[Principal]]-Table1[[#This Row],[Prepayments]]-Table1[[#This Row],[Defaulted Principal]]</f>
        <v>0</v>
      </c>
      <c r="P372" s="3">
        <f>Table1[[#This Row],[Principal]]+Table1[[#This Row],[Interest]]+Table1[[#This Row],[Prepayments]]+Table1[[#This Row],[RecoveredAmount]]</f>
        <v>0</v>
      </c>
      <c r="Q372" s="3">
        <f ca="1">Table1[[#This Row],[Cash Flow]]/((1+ActualRateToUse)^(IF(ISNUMBER(SEARCH("Actual",$C$7)),Table1[[#This Row],[Running Total]]/365,Table1[[#This Row],[Period]]/12)))</f>
        <v>0</v>
      </c>
      <c r="R372" s="2">
        <f>IF(MONTH(Table1[[#This Row],[Date]])=2,28,DAY(DATE(YEAR(Table1[[#This Row],[Date]]),MONTH(Table1[[#This Row],[Date]])+1,1)-1))</f>
        <v>28</v>
      </c>
      <c r="S372" s="2">
        <f ca="1">SUM(OFFSET(Table1[[#Headers],[Days in month]],1,0):Table1[[#This Row],[Days in month]])</f>
        <v>10828</v>
      </c>
      <c r="T372" s="37">
        <f>InterestRate*AmortizationMultiplier*IF(ISNUMBER(SEARCH("Actual",$C$7)),Table1[[#This Row],[Days in month]]/365,1/12)</f>
        <v>5.4833333333333331E-3</v>
      </c>
    </row>
    <row r="373" spans="2:20" x14ac:dyDescent="0.2">
      <c r="B373" s="1">
        <f t="shared" si="20"/>
        <v>56704</v>
      </c>
      <c r="C373" s="2">
        <f t="shared" si="21"/>
        <v>357</v>
      </c>
      <c r="D373" s="3">
        <f t="shared" si="23"/>
        <v>0</v>
      </c>
      <c r="E373" s="3">
        <f>ROUND(Table1[[#This Row],[Beginning Balance]]*Table1[[#This Row],[Monthly Interest Rate]],2)</f>
        <v>0</v>
      </c>
      <c r="F373" s="3">
        <f t="shared" si="22"/>
        <v>-5</v>
      </c>
      <c r="G373" s="23">
        <f>IFERROR(IF($C$13="No","N/A",IF(Table1[[#This Row],[Period]]=1,$C$6,PMT(InterestRate*AmortizationMultiplier/12,Table1[[#This Row],[Am Thru]],-Table1[[#This Row],[Beginning Balance]]))),0)</f>
        <v>0</v>
      </c>
      <c r="H373" s="3">
        <f>MAX(0,IF(C373=$C$4,D373,ROUND(IF($C$3="Fixed Principal",$C$6-Table1[[#This Row],[Interest]],IF($C$3="Interest Only",Table1[[#This Row],[Beginning Balance]]*ROUND(1-(1-IF($C$11="No",$E$8,1))^(1/12),6),MIN(IF($C$13="Yes",Table1[[#This Row],[Payment Amount (Reamortized)]],$C$6)-Table1[[#This Row],[Interest]],Table1[[#This Row],[Beginning Balance]]))),2)))</f>
        <v>0</v>
      </c>
      <c r="I373" s="3">
        <f>_xlfn.SINGLE(IF($C$3="Line of Credit",0,ROUND(MAX(MIN(IF($C$10="No",$E$7,VLOOKUP(Table1[[#This Row],[Period]],Forecast!$H$2:$L$1048576,4,FALSE))*Table1[[#This Row],[Beginning Balance]],Table1[[#This Row],[Beginning Balance]]-Table1[[#This Row],[Principal]]),0),2)))</f>
        <v>0</v>
      </c>
      <c r="J373" s="3">
        <f>ROUND(MIN(Table1[[#This Row],[Beginning Balance]]*IF($C$8="No",$E$3,VLOOKUP(Table1[[#This Row],[Period]],Forecast!$H$2:$L$1048576,2,FALSE)),Table1[[#This Row],[Beginning Balance]]-Table1[[#This Row],[Principal]]-Table1[[#This Row],[Prepayments]]),2)</f>
        <v>0</v>
      </c>
      <c r="K373" s="3">
        <f>ROUND(Table1[[#This Row],[Defaulted Principal]]*IF($C$9="No",$E$4,VLOOKUP(Table1[[#This Row],[Period]],Forecast!$H$2:$L$1048576,3,FALSE)),2)</f>
        <v>0</v>
      </c>
      <c r="L373" s="2">
        <f>Table1[[#This Row],[Period]]+$E$9</f>
        <v>369</v>
      </c>
      <c r="M373" s="3">
        <f>Table1[[#This Row],[Defaulted Principal]]-Table1[[#This Row],[Estimated Loss]]</f>
        <v>0</v>
      </c>
      <c r="N373" s="3">
        <f>IFERROR(VLOOKUP(Table1[[#This Row],[Period]],$L$16:$M$385,2,FALSE),0)</f>
        <v>0</v>
      </c>
      <c r="O373" s="3">
        <f>Table1[[#This Row],[Beginning Balance]]-Table1[[#This Row],[Principal]]-Table1[[#This Row],[Prepayments]]-Table1[[#This Row],[Defaulted Principal]]</f>
        <v>0</v>
      </c>
      <c r="P373" s="3">
        <f>Table1[[#This Row],[Principal]]+Table1[[#This Row],[Interest]]+Table1[[#This Row],[Prepayments]]+Table1[[#This Row],[RecoveredAmount]]</f>
        <v>0</v>
      </c>
      <c r="Q373" s="3">
        <f ca="1">Table1[[#This Row],[Cash Flow]]/((1+ActualRateToUse)^(IF(ISNUMBER(SEARCH("Actual",$C$7)),Table1[[#This Row],[Running Total]]/365,Table1[[#This Row],[Period]]/12)))</f>
        <v>0</v>
      </c>
      <c r="R373" s="2">
        <f>IF(MONTH(Table1[[#This Row],[Date]])=2,28,DAY(DATE(YEAR(Table1[[#This Row],[Date]]),MONTH(Table1[[#This Row],[Date]])+1,1)-1))</f>
        <v>31</v>
      </c>
      <c r="S373" s="2">
        <f ca="1">SUM(OFFSET(Table1[[#Headers],[Days in month]],1,0):Table1[[#This Row],[Days in month]])</f>
        <v>10859</v>
      </c>
      <c r="T373" s="37">
        <f>InterestRate*AmortizationMultiplier*IF(ISNUMBER(SEARCH("Actual",$C$7)),Table1[[#This Row],[Days in month]]/365,1/12)</f>
        <v>6.0708333333333326E-3</v>
      </c>
    </row>
    <row r="374" spans="2:20" x14ac:dyDescent="0.2">
      <c r="B374" s="1">
        <f t="shared" si="20"/>
        <v>56734</v>
      </c>
      <c r="C374" s="2">
        <f t="shared" si="21"/>
        <v>358</v>
      </c>
      <c r="D374" s="3">
        <f t="shared" si="23"/>
        <v>0</v>
      </c>
      <c r="E374" s="3">
        <f>ROUND(Table1[[#This Row],[Beginning Balance]]*Table1[[#This Row],[Monthly Interest Rate]],2)</f>
        <v>0</v>
      </c>
      <c r="F374" s="3">
        <f t="shared" si="22"/>
        <v>-6</v>
      </c>
      <c r="G374" s="23">
        <f>IFERROR(IF($C$13="No","N/A",IF(Table1[[#This Row],[Period]]=1,$C$6,PMT(InterestRate*AmortizationMultiplier/12,Table1[[#This Row],[Am Thru]],-Table1[[#This Row],[Beginning Balance]]))),0)</f>
        <v>0</v>
      </c>
      <c r="H374" s="3">
        <f>MAX(0,IF(C374=$C$4,D374,ROUND(IF($C$3="Fixed Principal",$C$6-Table1[[#This Row],[Interest]],IF($C$3="Interest Only",Table1[[#This Row],[Beginning Balance]]*ROUND(1-(1-IF($C$11="No",$E$8,1))^(1/12),6),MIN(IF($C$13="Yes",Table1[[#This Row],[Payment Amount (Reamortized)]],$C$6)-Table1[[#This Row],[Interest]],Table1[[#This Row],[Beginning Balance]]))),2)))</f>
        <v>0</v>
      </c>
      <c r="I374" s="3">
        <f>_xlfn.SINGLE(IF($C$3="Line of Credit",0,ROUND(MAX(MIN(IF($C$10="No",$E$7,VLOOKUP(Table1[[#This Row],[Period]],Forecast!$H$2:$L$1048576,4,FALSE))*Table1[[#This Row],[Beginning Balance]],Table1[[#This Row],[Beginning Balance]]-Table1[[#This Row],[Principal]]),0),2)))</f>
        <v>0</v>
      </c>
      <c r="J374" s="3">
        <f>ROUND(MIN(Table1[[#This Row],[Beginning Balance]]*IF($C$8="No",$E$3,VLOOKUP(Table1[[#This Row],[Period]],Forecast!$H$2:$L$1048576,2,FALSE)),Table1[[#This Row],[Beginning Balance]]-Table1[[#This Row],[Principal]]-Table1[[#This Row],[Prepayments]]),2)</f>
        <v>0</v>
      </c>
      <c r="K374" s="3">
        <f>ROUND(Table1[[#This Row],[Defaulted Principal]]*IF($C$9="No",$E$4,VLOOKUP(Table1[[#This Row],[Period]],Forecast!$H$2:$L$1048576,3,FALSE)),2)</f>
        <v>0</v>
      </c>
      <c r="L374" s="2">
        <f>Table1[[#This Row],[Period]]+$E$9</f>
        <v>370</v>
      </c>
      <c r="M374" s="3">
        <f>Table1[[#This Row],[Defaulted Principal]]-Table1[[#This Row],[Estimated Loss]]</f>
        <v>0</v>
      </c>
      <c r="N374" s="3">
        <f>IFERROR(VLOOKUP(Table1[[#This Row],[Period]],$L$16:$M$385,2,FALSE),0)</f>
        <v>0</v>
      </c>
      <c r="O374" s="3">
        <f>Table1[[#This Row],[Beginning Balance]]-Table1[[#This Row],[Principal]]-Table1[[#This Row],[Prepayments]]-Table1[[#This Row],[Defaulted Principal]]</f>
        <v>0</v>
      </c>
      <c r="P374" s="3">
        <f>Table1[[#This Row],[Principal]]+Table1[[#This Row],[Interest]]+Table1[[#This Row],[Prepayments]]+Table1[[#This Row],[RecoveredAmount]]</f>
        <v>0</v>
      </c>
      <c r="Q374" s="3">
        <f ca="1">Table1[[#This Row],[Cash Flow]]/((1+ActualRateToUse)^(IF(ISNUMBER(SEARCH("Actual",$C$7)),Table1[[#This Row],[Running Total]]/365,Table1[[#This Row],[Period]]/12)))</f>
        <v>0</v>
      </c>
      <c r="R374" s="2">
        <f>IF(MONTH(Table1[[#This Row],[Date]])=2,28,DAY(DATE(YEAR(Table1[[#This Row],[Date]]),MONTH(Table1[[#This Row],[Date]])+1,1)-1))</f>
        <v>30</v>
      </c>
      <c r="S374" s="2">
        <f ca="1">SUM(OFFSET(Table1[[#Headers],[Days in month]],1,0):Table1[[#This Row],[Days in month]])</f>
        <v>10889</v>
      </c>
      <c r="T374" s="37">
        <f>InterestRate*AmortizationMultiplier*IF(ISNUMBER(SEARCH("Actual",$C$7)),Table1[[#This Row],[Days in month]]/365,1/12)</f>
        <v>5.8749999999999991E-3</v>
      </c>
    </row>
    <row r="375" spans="2:20" x14ac:dyDescent="0.2">
      <c r="B375" s="1">
        <f t="shared" si="20"/>
        <v>56765</v>
      </c>
      <c r="C375" s="2">
        <f t="shared" si="21"/>
        <v>359</v>
      </c>
      <c r="D375" s="3">
        <f t="shared" si="23"/>
        <v>0</v>
      </c>
      <c r="E375" s="3">
        <f>ROUND(Table1[[#This Row],[Beginning Balance]]*Table1[[#This Row],[Monthly Interest Rate]],2)</f>
        <v>0</v>
      </c>
      <c r="F375" s="3">
        <f t="shared" si="22"/>
        <v>-7</v>
      </c>
      <c r="G375" s="23">
        <f>IFERROR(IF($C$13="No","N/A",IF(Table1[[#This Row],[Period]]=1,$C$6,PMT(InterestRate*AmortizationMultiplier/12,Table1[[#This Row],[Am Thru]],-Table1[[#This Row],[Beginning Balance]]))),0)</f>
        <v>0</v>
      </c>
      <c r="H375" s="3">
        <f>MAX(0,IF(C375=$C$4,D375,ROUND(IF($C$3="Fixed Principal",$C$6-Table1[[#This Row],[Interest]],IF($C$3="Interest Only",Table1[[#This Row],[Beginning Balance]]*ROUND(1-(1-IF($C$11="No",$E$8,1))^(1/12),6),MIN(IF($C$13="Yes",Table1[[#This Row],[Payment Amount (Reamortized)]],$C$6)-Table1[[#This Row],[Interest]],Table1[[#This Row],[Beginning Balance]]))),2)))</f>
        <v>0</v>
      </c>
      <c r="I375" s="3">
        <f>_xlfn.SINGLE(IF($C$3="Line of Credit",0,ROUND(MAX(MIN(IF($C$10="No",$E$7,VLOOKUP(Table1[[#This Row],[Period]],Forecast!$H$2:$L$1048576,4,FALSE))*Table1[[#This Row],[Beginning Balance]],Table1[[#This Row],[Beginning Balance]]-Table1[[#This Row],[Principal]]),0),2)))</f>
        <v>0</v>
      </c>
      <c r="J375" s="3">
        <f>ROUND(MIN(Table1[[#This Row],[Beginning Balance]]*IF($C$8="No",$E$3,VLOOKUP(Table1[[#This Row],[Period]],Forecast!$H$2:$L$1048576,2,FALSE)),Table1[[#This Row],[Beginning Balance]]-Table1[[#This Row],[Principal]]-Table1[[#This Row],[Prepayments]]),2)</f>
        <v>0</v>
      </c>
      <c r="K375" s="3">
        <f>ROUND(Table1[[#This Row],[Defaulted Principal]]*IF($C$9="No",$E$4,VLOOKUP(Table1[[#This Row],[Period]],Forecast!$H$2:$L$1048576,3,FALSE)),2)</f>
        <v>0</v>
      </c>
      <c r="L375" s="2">
        <f>Table1[[#This Row],[Period]]+$E$9</f>
        <v>371</v>
      </c>
      <c r="M375" s="3">
        <f>Table1[[#This Row],[Defaulted Principal]]-Table1[[#This Row],[Estimated Loss]]</f>
        <v>0</v>
      </c>
      <c r="N375" s="3">
        <f>IFERROR(VLOOKUP(Table1[[#This Row],[Period]],$L$16:$M$385,2,FALSE),0)</f>
        <v>0</v>
      </c>
      <c r="O375" s="3">
        <f>Table1[[#This Row],[Beginning Balance]]-Table1[[#This Row],[Principal]]-Table1[[#This Row],[Prepayments]]-Table1[[#This Row],[Defaulted Principal]]</f>
        <v>0</v>
      </c>
      <c r="P375" s="3">
        <f>Table1[[#This Row],[Principal]]+Table1[[#This Row],[Interest]]+Table1[[#This Row],[Prepayments]]+Table1[[#This Row],[RecoveredAmount]]</f>
        <v>0</v>
      </c>
      <c r="Q375" s="3">
        <f ca="1">Table1[[#This Row],[Cash Flow]]/((1+ActualRateToUse)^(IF(ISNUMBER(SEARCH("Actual",$C$7)),Table1[[#This Row],[Running Total]]/365,Table1[[#This Row],[Period]]/12)))</f>
        <v>0</v>
      </c>
      <c r="R375" s="2">
        <f>IF(MONTH(Table1[[#This Row],[Date]])=2,28,DAY(DATE(YEAR(Table1[[#This Row],[Date]]),MONTH(Table1[[#This Row],[Date]])+1,1)-1))</f>
        <v>31</v>
      </c>
      <c r="S375" s="2">
        <f ca="1">SUM(OFFSET(Table1[[#Headers],[Days in month]],1,0):Table1[[#This Row],[Days in month]])</f>
        <v>10920</v>
      </c>
      <c r="T375" s="37">
        <f>InterestRate*AmortizationMultiplier*IF(ISNUMBER(SEARCH("Actual",$C$7)),Table1[[#This Row],[Days in month]]/365,1/12)</f>
        <v>6.0708333333333326E-3</v>
      </c>
    </row>
    <row r="376" spans="2:20" x14ac:dyDescent="0.2">
      <c r="B376" s="1">
        <f t="shared" si="20"/>
        <v>56795</v>
      </c>
      <c r="C376" s="2">
        <f t="shared" si="21"/>
        <v>360</v>
      </c>
      <c r="D376" s="3">
        <f t="shared" si="23"/>
        <v>0</v>
      </c>
      <c r="E376" s="3">
        <f>ROUND(Table1[[#This Row],[Beginning Balance]]*Table1[[#This Row],[Monthly Interest Rate]],2)</f>
        <v>0</v>
      </c>
      <c r="F376" s="3">
        <f t="shared" si="22"/>
        <v>-8</v>
      </c>
      <c r="G376" s="23">
        <f>IFERROR(IF($C$13="No","N/A",IF(Table1[[#This Row],[Period]]=1,$C$6,PMT(InterestRate*AmortizationMultiplier/12,Table1[[#This Row],[Am Thru]],-Table1[[#This Row],[Beginning Balance]]))),0)</f>
        <v>0</v>
      </c>
      <c r="H376" s="3">
        <f>MAX(0,IF(C376=$C$4,D376,ROUND(IF($C$3="Fixed Principal",$C$6-Table1[[#This Row],[Interest]],IF($C$3="Interest Only",Table1[[#This Row],[Beginning Balance]]*ROUND(1-(1-IF($C$11="No",$E$8,1))^(1/12),6),MIN(IF($C$13="Yes",Table1[[#This Row],[Payment Amount (Reamortized)]],$C$6)-Table1[[#This Row],[Interest]],Table1[[#This Row],[Beginning Balance]]))),2)))</f>
        <v>0</v>
      </c>
      <c r="I376" s="3">
        <f>_xlfn.SINGLE(IF($C$3="Line of Credit",0,ROUND(MAX(MIN(IF($C$10="No",$E$7,VLOOKUP(Table1[[#This Row],[Period]],Forecast!$H$2:$L$1048576,4,FALSE))*Table1[[#This Row],[Beginning Balance]],Table1[[#This Row],[Beginning Balance]]-Table1[[#This Row],[Principal]]),0),2)))</f>
        <v>0</v>
      </c>
      <c r="J376" s="3">
        <f>ROUND(MIN(Table1[[#This Row],[Beginning Balance]]*IF($C$8="No",$E$3,VLOOKUP(Table1[[#This Row],[Period]],Forecast!$H$2:$L$1048576,2,FALSE)),Table1[[#This Row],[Beginning Balance]]-Table1[[#This Row],[Principal]]-Table1[[#This Row],[Prepayments]]),2)</f>
        <v>0</v>
      </c>
      <c r="K376" s="3">
        <f>ROUND(Table1[[#This Row],[Defaulted Principal]]*IF($C$9="No",$E$4,VLOOKUP(Table1[[#This Row],[Period]],Forecast!$H$2:$L$1048576,3,FALSE)),2)</f>
        <v>0</v>
      </c>
      <c r="L376" s="2">
        <f>Table1[[#This Row],[Period]]+$E$9</f>
        <v>372</v>
      </c>
      <c r="M376" s="3">
        <f>Table1[[#This Row],[Defaulted Principal]]-Table1[[#This Row],[Estimated Loss]]</f>
        <v>0</v>
      </c>
      <c r="N376" s="3">
        <f>IFERROR(VLOOKUP(Table1[[#This Row],[Period]],$L$16:$M$385,2,FALSE),0)</f>
        <v>0</v>
      </c>
      <c r="O376" s="3">
        <f>Table1[[#This Row],[Beginning Balance]]-Table1[[#This Row],[Principal]]-Table1[[#This Row],[Prepayments]]-Table1[[#This Row],[Defaulted Principal]]</f>
        <v>0</v>
      </c>
      <c r="P376" s="3">
        <f>Table1[[#This Row],[Principal]]+Table1[[#This Row],[Interest]]+Table1[[#This Row],[Prepayments]]+Table1[[#This Row],[RecoveredAmount]]</f>
        <v>0</v>
      </c>
      <c r="Q376" s="3">
        <f ca="1">Table1[[#This Row],[Cash Flow]]/((1+ActualRateToUse)^(IF(ISNUMBER(SEARCH("Actual",$C$7)),Table1[[#This Row],[Running Total]]/365,Table1[[#This Row],[Period]]/12)))</f>
        <v>0</v>
      </c>
      <c r="R376" s="2">
        <f>IF(MONTH(Table1[[#This Row],[Date]])=2,28,DAY(DATE(YEAR(Table1[[#This Row],[Date]]),MONTH(Table1[[#This Row],[Date]])+1,1)-1))</f>
        <v>30</v>
      </c>
      <c r="S376" s="2">
        <f ca="1">SUM(OFFSET(Table1[[#Headers],[Days in month]],1,0):Table1[[#This Row],[Days in month]])</f>
        <v>10950</v>
      </c>
      <c r="T376" s="37">
        <f>InterestRate*AmortizationMultiplier*IF(ISNUMBER(SEARCH("Actual",$C$7)),Table1[[#This Row],[Days in month]]/365,1/12)</f>
        <v>5.8749999999999991E-3</v>
      </c>
    </row>
    <row r="377" spans="2:20" x14ac:dyDescent="0.2">
      <c r="B377" s="1">
        <f t="shared" si="20"/>
        <v>56826</v>
      </c>
      <c r="C377" s="2">
        <f t="shared" si="21"/>
        <v>361</v>
      </c>
      <c r="D377" s="3">
        <f t="shared" si="23"/>
        <v>0</v>
      </c>
      <c r="E377" s="3">
        <f>ROUND(Table1[[#This Row],[Beginning Balance]]*Table1[[#This Row],[Monthly Interest Rate]],2)</f>
        <v>0</v>
      </c>
      <c r="F377" s="3">
        <f t="shared" si="22"/>
        <v>-9</v>
      </c>
      <c r="G377" s="23">
        <f>IFERROR(IF($C$13="No","N/A",IF(Table1[[#This Row],[Period]]=1,$C$6,PMT(InterestRate*AmortizationMultiplier/12,Table1[[#This Row],[Am Thru]],-Table1[[#This Row],[Beginning Balance]]))),0)</f>
        <v>0</v>
      </c>
      <c r="H377" s="3">
        <f>MAX(0,IF(C377=$C$4,D377,ROUND(IF($C$3="Fixed Principal",$C$6-Table1[[#This Row],[Interest]],IF($C$3="Interest Only",Table1[[#This Row],[Beginning Balance]]*ROUND(1-(1-IF($C$11="No",$E$8,1))^(1/12),6),MIN(IF($C$13="Yes",Table1[[#This Row],[Payment Amount (Reamortized)]],$C$6)-Table1[[#This Row],[Interest]],Table1[[#This Row],[Beginning Balance]]))),2)))</f>
        <v>0</v>
      </c>
      <c r="I377" s="3">
        <f>_xlfn.SINGLE(IF($C$3="Line of Credit",0,ROUND(MAX(MIN(IF($C$10="No",$E$7,VLOOKUP(Table1[[#This Row],[Period]],Forecast!$H$2:$L$1048576,4,FALSE))*Table1[[#This Row],[Beginning Balance]],Table1[[#This Row],[Beginning Balance]]-Table1[[#This Row],[Principal]]),0),2)))</f>
        <v>0</v>
      </c>
      <c r="J377" s="3">
        <f>ROUND(MIN(Table1[[#This Row],[Beginning Balance]]*IF($C$8="No",$E$3,VLOOKUP(Table1[[#This Row],[Period]],Forecast!$H$2:$L$1048576,2,FALSE)),Table1[[#This Row],[Beginning Balance]]-Table1[[#This Row],[Principal]]-Table1[[#This Row],[Prepayments]]),2)</f>
        <v>0</v>
      </c>
      <c r="K377" s="3">
        <f>ROUND(Table1[[#This Row],[Defaulted Principal]]*IF($C$9="No",$E$4,VLOOKUP(Table1[[#This Row],[Period]],Forecast!$H$2:$L$1048576,3,FALSE)),2)</f>
        <v>0</v>
      </c>
      <c r="L377" s="2">
        <f>Table1[[#This Row],[Period]]+$E$9</f>
        <v>373</v>
      </c>
      <c r="M377" s="3">
        <f>Table1[[#This Row],[Defaulted Principal]]-Table1[[#This Row],[Estimated Loss]]</f>
        <v>0</v>
      </c>
      <c r="N377" s="3">
        <f>IFERROR(VLOOKUP(Table1[[#This Row],[Period]],$L$16:$M$385,2,FALSE),0)</f>
        <v>0</v>
      </c>
      <c r="O377" s="3">
        <f>Table1[[#This Row],[Beginning Balance]]-Table1[[#This Row],[Principal]]-Table1[[#This Row],[Prepayments]]-Table1[[#This Row],[Defaulted Principal]]</f>
        <v>0</v>
      </c>
      <c r="P377" s="3">
        <f>Table1[[#This Row],[Principal]]+Table1[[#This Row],[Interest]]+Table1[[#This Row],[Prepayments]]+Table1[[#This Row],[RecoveredAmount]]</f>
        <v>0</v>
      </c>
      <c r="Q377" s="3">
        <f ca="1">Table1[[#This Row],[Cash Flow]]/((1+ActualRateToUse)^(IF(ISNUMBER(SEARCH("Actual",$C$7)),Table1[[#This Row],[Running Total]]/365,Table1[[#This Row],[Period]]/12)))</f>
        <v>0</v>
      </c>
      <c r="R377" s="2">
        <f>IF(MONTH(Table1[[#This Row],[Date]])=2,28,DAY(DATE(YEAR(Table1[[#This Row],[Date]]),MONTH(Table1[[#This Row],[Date]])+1,1)-1))</f>
        <v>31</v>
      </c>
      <c r="S377" s="2">
        <f ca="1">SUM(OFFSET(Table1[[#Headers],[Days in month]],1,0):Table1[[#This Row],[Days in month]])</f>
        <v>10981</v>
      </c>
      <c r="T377" s="37">
        <f>InterestRate*AmortizationMultiplier*IF(ISNUMBER(SEARCH("Actual",$C$7)),Table1[[#This Row],[Days in month]]/365,1/12)</f>
        <v>6.0708333333333326E-3</v>
      </c>
    </row>
    <row r="378" spans="2:20" x14ac:dyDescent="0.2">
      <c r="B378" s="1">
        <f t="shared" si="20"/>
        <v>56857</v>
      </c>
      <c r="C378" s="2">
        <f t="shared" si="21"/>
        <v>362</v>
      </c>
      <c r="D378" s="3">
        <f t="shared" si="23"/>
        <v>0</v>
      </c>
      <c r="E378" s="3">
        <f>ROUND(Table1[[#This Row],[Beginning Balance]]*Table1[[#This Row],[Monthly Interest Rate]],2)</f>
        <v>0</v>
      </c>
      <c r="F378" s="3">
        <f t="shared" si="22"/>
        <v>-10</v>
      </c>
      <c r="G378" s="23">
        <f>IFERROR(IF($C$13="No","N/A",IF(Table1[[#This Row],[Period]]=1,$C$6,PMT(InterestRate*AmortizationMultiplier/12,Table1[[#This Row],[Am Thru]],-Table1[[#This Row],[Beginning Balance]]))),0)</f>
        <v>0</v>
      </c>
      <c r="H378" s="3">
        <f>MAX(0,IF(C378=$C$4,D378,ROUND(IF($C$3="Fixed Principal",$C$6-Table1[[#This Row],[Interest]],IF($C$3="Interest Only",Table1[[#This Row],[Beginning Balance]]*ROUND(1-(1-IF($C$11="No",$E$8,1))^(1/12),6),MIN(IF($C$13="Yes",Table1[[#This Row],[Payment Amount (Reamortized)]],$C$6)-Table1[[#This Row],[Interest]],Table1[[#This Row],[Beginning Balance]]))),2)))</f>
        <v>0</v>
      </c>
      <c r="I378" s="3">
        <f>_xlfn.SINGLE(IF($C$3="Line of Credit",0,ROUND(MAX(MIN(IF($C$10="No",$E$7,VLOOKUP(Table1[[#This Row],[Period]],Forecast!$H$2:$L$1048576,4,FALSE))*Table1[[#This Row],[Beginning Balance]],Table1[[#This Row],[Beginning Balance]]-Table1[[#This Row],[Principal]]),0),2)))</f>
        <v>0</v>
      </c>
      <c r="J378" s="3">
        <f>ROUND(MIN(Table1[[#This Row],[Beginning Balance]]*IF($C$8="No",$E$3,VLOOKUP(Table1[[#This Row],[Period]],Forecast!$H$2:$L$1048576,2,FALSE)),Table1[[#This Row],[Beginning Balance]]-Table1[[#This Row],[Principal]]-Table1[[#This Row],[Prepayments]]),2)</f>
        <v>0</v>
      </c>
      <c r="K378" s="3">
        <f>ROUND(Table1[[#This Row],[Defaulted Principal]]*IF($C$9="No",$E$4,VLOOKUP(Table1[[#This Row],[Period]],Forecast!$H$2:$L$1048576,3,FALSE)),2)</f>
        <v>0</v>
      </c>
      <c r="L378" s="2">
        <f>Table1[[#This Row],[Period]]+$E$9</f>
        <v>374</v>
      </c>
      <c r="M378" s="3">
        <f>Table1[[#This Row],[Defaulted Principal]]-Table1[[#This Row],[Estimated Loss]]</f>
        <v>0</v>
      </c>
      <c r="N378" s="3">
        <f>IFERROR(VLOOKUP(Table1[[#This Row],[Period]],$L$16:$M$385,2,FALSE),0)</f>
        <v>0</v>
      </c>
      <c r="O378" s="3">
        <f>Table1[[#This Row],[Beginning Balance]]-Table1[[#This Row],[Principal]]-Table1[[#This Row],[Prepayments]]-Table1[[#This Row],[Defaulted Principal]]</f>
        <v>0</v>
      </c>
      <c r="P378" s="3">
        <f>Table1[[#This Row],[Principal]]+Table1[[#This Row],[Interest]]+Table1[[#This Row],[Prepayments]]+Table1[[#This Row],[RecoveredAmount]]</f>
        <v>0</v>
      </c>
      <c r="Q378" s="3">
        <f ca="1">Table1[[#This Row],[Cash Flow]]/((1+ActualRateToUse)^(IF(ISNUMBER(SEARCH("Actual",$C$7)),Table1[[#This Row],[Running Total]]/365,Table1[[#This Row],[Period]]/12)))</f>
        <v>0</v>
      </c>
      <c r="R378" s="2">
        <f>IF(MONTH(Table1[[#This Row],[Date]])=2,28,DAY(DATE(YEAR(Table1[[#This Row],[Date]]),MONTH(Table1[[#This Row],[Date]])+1,1)-1))</f>
        <v>31</v>
      </c>
      <c r="S378" s="2">
        <f ca="1">SUM(OFFSET(Table1[[#Headers],[Days in month]],1,0):Table1[[#This Row],[Days in month]])</f>
        <v>11012</v>
      </c>
      <c r="T378" s="37">
        <f>InterestRate*AmortizationMultiplier*IF(ISNUMBER(SEARCH("Actual",$C$7)),Table1[[#This Row],[Days in month]]/365,1/12)</f>
        <v>6.0708333333333326E-3</v>
      </c>
    </row>
    <row r="379" spans="2:20" x14ac:dyDescent="0.2">
      <c r="B379" s="1">
        <f t="shared" si="20"/>
        <v>56887</v>
      </c>
      <c r="C379" s="2">
        <f t="shared" si="21"/>
        <v>363</v>
      </c>
      <c r="D379" s="3">
        <f t="shared" si="23"/>
        <v>0</v>
      </c>
      <c r="E379" s="3">
        <f>ROUND(Table1[[#This Row],[Beginning Balance]]*Table1[[#This Row],[Monthly Interest Rate]],2)</f>
        <v>0</v>
      </c>
      <c r="F379" s="3">
        <f t="shared" si="22"/>
        <v>-11</v>
      </c>
      <c r="G379" s="23">
        <f>IFERROR(IF($C$13="No","N/A",IF(Table1[[#This Row],[Period]]=1,$C$6,PMT(InterestRate*AmortizationMultiplier/12,Table1[[#This Row],[Am Thru]],-Table1[[#This Row],[Beginning Balance]]))),0)</f>
        <v>0</v>
      </c>
      <c r="H379" s="3">
        <f>MAX(0,IF(C379=$C$4,D379,ROUND(IF($C$3="Fixed Principal",$C$6-Table1[[#This Row],[Interest]],IF($C$3="Interest Only",Table1[[#This Row],[Beginning Balance]]*ROUND(1-(1-IF($C$11="No",$E$8,1))^(1/12),6),MIN(IF($C$13="Yes",Table1[[#This Row],[Payment Amount (Reamortized)]],$C$6)-Table1[[#This Row],[Interest]],Table1[[#This Row],[Beginning Balance]]))),2)))</f>
        <v>0</v>
      </c>
      <c r="I379" s="3">
        <f>_xlfn.SINGLE(IF($C$3="Line of Credit",0,ROUND(MAX(MIN(IF($C$10="No",$E$7,VLOOKUP(Table1[[#This Row],[Period]],Forecast!$H$2:$L$1048576,4,FALSE))*Table1[[#This Row],[Beginning Balance]],Table1[[#This Row],[Beginning Balance]]-Table1[[#This Row],[Principal]]),0),2)))</f>
        <v>0</v>
      </c>
      <c r="J379" s="3">
        <f>ROUND(MIN(Table1[[#This Row],[Beginning Balance]]*IF($C$8="No",$E$3,VLOOKUP(Table1[[#This Row],[Period]],Forecast!$H$2:$L$1048576,2,FALSE)),Table1[[#This Row],[Beginning Balance]]-Table1[[#This Row],[Principal]]-Table1[[#This Row],[Prepayments]]),2)</f>
        <v>0</v>
      </c>
      <c r="K379" s="3">
        <f>ROUND(Table1[[#This Row],[Defaulted Principal]]*IF($C$9="No",$E$4,VLOOKUP(Table1[[#This Row],[Period]],Forecast!$H$2:$L$1048576,3,FALSE)),2)</f>
        <v>0</v>
      </c>
      <c r="L379" s="2">
        <f>Table1[[#This Row],[Period]]+$E$9</f>
        <v>375</v>
      </c>
      <c r="M379" s="3">
        <f>Table1[[#This Row],[Defaulted Principal]]-Table1[[#This Row],[Estimated Loss]]</f>
        <v>0</v>
      </c>
      <c r="N379" s="3">
        <f>IFERROR(VLOOKUP(Table1[[#This Row],[Period]],$L$16:$M$385,2,FALSE),0)</f>
        <v>0</v>
      </c>
      <c r="O379" s="3">
        <f>Table1[[#This Row],[Beginning Balance]]-Table1[[#This Row],[Principal]]-Table1[[#This Row],[Prepayments]]-Table1[[#This Row],[Defaulted Principal]]</f>
        <v>0</v>
      </c>
      <c r="P379" s="3">
        <f>Table1[[#This Row],[Principal]]+Table1[[#This Row],[Interest]]+Table1[[#This Row],[Prepayments]]+Table1[[#This Row],[RecoveredAmount]]</f>
        <v>0</v>
      </c>
      <c r="Q379" s="3">
        <f ca="1">Table1[[#This Row],[Cash Flow]]/((1+ActualRateToUse)^(IF(ISNUMBER(SEARCH("Actual",$C$7)),Table1[[#This Row],[Running Total]]/365,Table1[[#This Row],[Period]]/12)))</f>
        <v>0</v>
      </c>
      <c r="R379" s="2">
        <f>IF(MONTH(Table1[[#This Row],[Date]])=2,28,DAY(DATE(YEAR(Table1[[#This Row],[Date]]),MONTH(Table1[[#This Row],[Date]])+1,1)-1))</f>
        <v>30</v>
      </c>
      <c r="S379" s="2">
        <f ca="1">SUM(OFFSET(Table1[[#Headers],[Days in month]],1,0):Table1[[#This Row],[Days in month]])</f>
        <v>11042</v>
      </c>
      <c r="T379" s="37">
        <f>InterestRate*AmortizationMultiplier*IF(ISNUMBER(SEARCH("Actual",$C$7)),Table1[[#This Row],[Days in month]]/365,1/12)</f>
        <v>5.8749999999999991E-3</v>
      </c>
    </row>
    <row r="380" spans="2:20" x14ac:dyDescent="0.2">
      <c r="B380" s="1">
        <f t="shared" si="20"/>
        <v>56918</v>
      </c>
      <c r="C380" s="2">
        <f t="shared" si="21"/>
        <v>364</v>
      </c>
      <c r="D380" s="3">
        <f t="shared" si="23"/>
        <v>0</v>
      </c>
      <c r="E380" s="3">
        <f>ROUND(Table1[[#This Row],[Beginning Balance]]*Table1[[#This Row],[Monthly Interest Rate]],2)</f>
        <v>0</v>
      </c>
      <c r="F380" s="3">
        <f t="shared" si="22"/>
        <v>-12</v>
      </c>
      <c r="G380" s="23">
        <f>IFERROR(IF($C$13="No","N/A",IF(Table1[[#This Row],[Period]]=1,$C$6,PMT(InterestRate*AmortizationMultiplier/12,Table1[[#This Row],[Am Thru]],-Table1[[#This Row],[Beginning Balance]]))),0)</f>
        <v>0</v>
      </c>
      <c r="H380" s="3">
        <f>MAX(0,IF(C380=$C$4,D380,ROUND(IF($C$3="Fixed Principal",$C$6-Table1[[#This Row],[Interest]],IF($C$3="Interest Only",Table1[[#This Row],[Beginning Balance]]*ROUND(1-(1-IF($C$11="No",$E$8,1))^(1/12),6),MIN(IF($C$13="Yes",Table1[[#This Row],[Payment Amount (Reamortized)]],$C$6)-Table1[[#This Row],[Interest]],Table1[[#This Row],[Beginning Balance]]))),2)))</f>
        <v>0</v>
      </c>
      <c r="I380" s="3">
        <f>_xlfn.SINGLE(IF($C$3="Line of Credit",0,ROUND(MAX(MIN(IF($C$10="No",$E$7,VLOOKUP(Table1[[#This Row],[Period]],Forecast!$H$2:$L$1048576,4,FALSE))*Table1[[#This Row],[Beginning Balance]],Table1[[#This Row],[Beginning Balance]]-Table1[[#This Row],[Principal]]),0),2)))</f>
        <v>0</v>
      </c>
      <c r="J380" s="3">
        <f>ROUND(MIN(Table1[[#This Row],[Beginning Balance]]*IF($C$8="No",$E$3,VLOOKUP(Table1[[#This Row],[Period]],Forecast!$H$2:$L$1048576,2,FALSE)),Table1[[#This Row],[Beginning Balance]]-Table1[[#This Row],[Principal]]-Table1[[#This Row],[Prepayments]]),2)</f>
        <v>0</v>
      </c>
      <c r="K380" s="3">
        <f>ROUND(Table1[[#This Row],[Defaulted Principal]]*IF($C$9="No",$E$4,VLOOKUP(Table1[[#This Row],[Period]],Forecast!$H$2:$L$1048576,3,FALSE)),2)</f>
        <v>0</v>
      </c>
      <c r="L380" s="2">
        <f>Table1[[#This Row],[Period]]+$E$9</f>
        <v>376</v>
      </c>
      <c r="M380" s="3">
        <f>Table1[[#This Row],[Defaulted Principal]]-Table1[[#This Row],[Estimated Loss]]</f>
        <v>0</v>
      </c>
      <c r="N380" s="3">
        <f>IFERROR(VLOOKUP(Table1[[#This Row],[Period]],$L$16:$M$385,2,FALSE),0)</f>
        <v>0</v>
      </c>
      <c r="O380" s="3">
        <f>Table1[[#This Row],[Beginning Balance]]-Table1[[#This Row],[Principal]]-Table1[[#This Row],[Prepayments]]-Table1[[#This Row],[Defaulted Principal]]</f>
        <v>0</v>
      </c>
      <c r="P380" s="3">
        <f>Table1[[#This Row],[Principal]]+Table1[[#This Row],[Interest]]+Table1[[#This Row],[Prepayments]]+Table1[[#This Row],[RecoveredAmount]]</f>
        <v>0</v>
      </c>
      <c r="Q380" s="3">
        <f ca="1">Table1[[#This Row],[Cash Flow]]/((1+ActualRateToUse)^(IF(ISNUMBER(SEARCH("Actual",$C$7)),Table1[[#This Row],[Running Total]]/365,Table1[[#This Row],[Period]]/12)))</f>
        <v>0</v>
      </c>
      <c r="R380" s="2">
        <f>IF(MONTH(Table1[[#This Row],[Date]])=2,28,DAY(DATE(YEAR(Table1[[#This Row],[Date]]),MONTH(Table1[[#This Row],[Date]])+1,1)-1))</f>
        <v>31</v>
      </c>
      <c r="S380" s="2">
        <f ca="1">SUM(OFFSET(Table1[[#Headers],[Days in month]],1,0):Table1[[#This Row],[Days in month]])</f>
        <v>11073</v>
      </c>
      <c r="T380" s="37">
        <f>InterestRate*AmortizationMultiplier*IF(ISNUMBER(SEARCH("Actual",$C$7)),Table1[[#This Row],[Days in month]]/365,1/12)</f>
        <v>6.0708333333333326E-3</v>
      </c>
    </row>
    <row r="381" spans="2:20" x14ac:dyDescent="0.2">
      <c r="B381" s="1">
        <f t="shared" si="20"/>
        <v>56948</v>
      </c>
      <c r="C381" s="2">
        <f t="shared" si="21"/>
        <v>365</v>
      </c>
      <c r="D381" s="3">
        <f t="shared" si="23"/>
        <v>0</v>
      </c>
      <c r="E381" s="3">
        <f>ROUND(Table1[[#This Row],[Beginning Balance]]*Table1[[#This Row],[Monthly Interest Rate]],2)</f>
        <v>0</v>
      </c>
      <c r="F381" s="3">
        <f t="shared" si="22"/>
        <v>-13</v>
      </c>
      <c r="G381" s="23">
        <f>IFERROR(IF($C$13="No","N/A",IF(Table1[[#This Row],[Period]]=1,$C$6,PMT(InterestRate*AmortizationMultiplier/12,Table1[[#This Row],[Am Thru]],-Table1[[#This Row],[Beginning Balance]]))),0)</f>
        <v>0</v>
      </c>
      <c r="H381" s="3">
        <f>MAX(0,IF(C381=$C$4,D381,ROUND(IF($C$3="Fixed Principal",$C$6-Table1[[#This Row],[Interest]],IF($C$3="Interest Only",Table1[[#This Row],[Beginning Balance]]*ROUND(1-(1-IF($C$11="No",$E$8,1))^(1/12),6),MIN(IF($C$13="Yes",Table1[[#This Row],[Payment Amount (Reamortized)]],$C$6)-Table1[[#This Row],[Interest]],Table1[[#This Row],[Beginning Balance]]))),2)))</f>
        <v>0</v>
      </c>
      <c r="I381" s="3">
        <f>_xlfn.SINGLE(IF($C$3="Line of Credit",0,ROUND(MAX(MIN(IF($C$10="No",$E$7,VLOOKUP(Table1[[#This Row],[Period]],Forecast!$H$2:$L$1048576,4,FALSE))*Table1[[#This Row],[Beginning Balance]],Table1[[#This Row],[Beginning Balance]]-Table1[[#This Row],[Principal]]),0),2)))</f>
        <v>0</v>
      </c>
      <c r="J381" s="3">
        <f>ROUND(MIN(Table1[[#This Row],[Beginning Balance]]*IF($C$8="No",$E$3,VLOOKUP(Table1[[#This Row],[Period]],Forecast!$H$2:$L$1048576,2,FALSE)),Table1[[#This Row],[Beginning Balance]]-Table1[[#This Row],[Principal]]-Table1[[#This Row],[Prepayments]]),2)</f>
        <v>0</v>
      </c>
      <c r="K381" s="3">
        <f>ROUND(Table1[[#This Row],[Defaulted Principal]]*IF($C$9="No",$E$4,VLOOKUP(Table1[[#This Row],[Period]],Forecast!$H$2:$L$1048576,3,FALSE)),2)</f>
        <v>0</v>
      </c>
      <c r="L381" s="2">
        <f>Table1[[#This Row],[Period]]+$E$9</f>
        <v>377</v>
      </c>
      <c r="M381" s="3">
        <f>Table1[[#This Row],[Defaulted Principal]]-Table1[[#This Row],[Estimated Loss]]</f>
        <v>0</v>
      </c>
      <c r="N381" s="3">
        <f>IFERROR(VLOOKUP(Table1[[#This Row],[Period]],$L$16:$M$385,2,FALSE),0)</f>
        <v>0</v>
      </c>
      <c r="O381" s="3">
        <f>Table1[[#This Row],[Beginning Balance]]-Table1[[#This Row],[Principal]]-Table1[[#This Row],[Prepayments]]-Table1[[#This Row],[Defaulted Principal]]</f>
        <v>0</v>
      </c>
      <c r="P381" s="3">
        <f>Table1[[#This Row],[Principal]]+Table1[[#This Row],[Interest]]+Table1[[#This Row],[Prepayments]]+Table1[[#This Row],[RecoveredAmount]]</f>
        <v>0</v>
      </c>
      <c r="Q381" s="3">
        <f ca="1">Table1[[#This Row],[Cash Flow]]/((1+ActualRateToUse)^(IF(ISNUMBER(SEARCH("Actual",$C$7)),Table1[[#This Row],[Running Total]]/365,Table1[[#This Row],[Period]]/12)))</f>
        <v>0</v>
      </c>
      <c r="R381" s="2">
        <f>IF(MONTH(Table1[[#This Row],[Date]])=2,28,DAY(DATE(YEAR(Table1[[#This Row],[Date]]),MONTH(Table1[[#This Row],[Date]])+1,1)-1))</f>
        <v>30</v>
      </c>
      <c r="S381" s="2">
        <f ca="1">SUM(OFFSET(Table1[[#Headers],[Days in month]],1,0):Table1[[#This Row],[Days in month]])</f>
        <v>11103</v>
      </c>
      <c r="T381" s="37">
        <f>InterestRate*AmortizationMultiplier*IF(ISNUMBER(SEARCH("Actual",$C$7)),Table1[[#This Row],[Days in month]]/365,1/12)</f>
        <v>5.8749999999999991E-3</v>
      </c>
    </row>
    <row r="382" spans="2:20" x14ac:dyDescent="0.2">
      <c r="B382" s="1">
        <f t="shared" si="20"/>
        <v>56979</v>
      </c>
      <c r="C382" s="2">
        <f t="shared" si="21"/>
        <v>366</v>
      </c>
      <c r="D382" s="3">
        <f t="shared" si="23"/>
        <v>0</v>
      </c>
      <c r="E382" s="3">
        <f>ROUND(Table1[[#This Row],[Beginning Balance]]*Table1[[#This Row],[Monthly Interest Rate]],2)</f>
        <v>0</v>
      </c>
      <c r="F382" s="3">
        <f t="shared" si="22"/>
        <v>-14</v>
      </c>
      <c r="G382" s="23">
        <f>IFERROR(IF($C$13="No","N/A",IF(Table1[[#This Row],[Period]]=1,$C$6,PMT(InterestRate*AmortizationMultiplier/12,Table1[[#This Row],[Am Thru]],-Table1[[#This Row],[Beginning Balance]]))),0)</f>
        <v>0</v>
      </c>
      <c r="H382" s="3">
        <f>MAX(0,IF(C382=$C$4,D382,ROUND(IF($C$3="Fixed Principal",$C$6-Table1[[#This Row],[Interest]],IF($C$3="Interest Only",Table1[[#This Row],[Beginning Balance]]*ROUND(1-(1-IF($C$11="No",$E$8,1))^(1/12),6),MIN(IF($C$13="Yes",Table1[[#This Row],[Payment Amount (Reamortized)]],$C$6)-Table1[[#This Row],[Interest]],Table1[[#This Row],[Beginning Balance]]))),2)))</f>
        <v>0</v>
      </c>
      <c r="I382" s="3">
        <f>_xlfn.SINGLE(IF($C$3="Line of Credit",0,ROUND(MAX(MIN(IF($C$10="No",$E$7,VLOOKUP(Table1[[#This Row],[Period]],Forecast!$H$2:$L$1048576,4,FALSE))*Table1[[#This Row],[Beginning Balance]],Table1[[#This Row],[Beginning Balance]]-Table1[[#This Row],[Principal]]),0),2)))</f>
        <v>0</v>
      </c>
      <c r="J382" s="3">
        <f>ROUND(MIN(Table1[[#This Row],[Beginning Balance]]*IF($C$8="No",$E$3,VLOOKUP(Table1[[#This Row],[Period]],Forecast!$H$2:$L$1048576,2,FALSE)),Table1[[#This Row],[Beginning Balance]]-Table1[[#This Row],[Principal]]-Table1[[#This Row],[Prepayments]]),2)</f>
        <v>0</v>
      </c>
      <c r="K382" s="3">
        <f>ROUND(Table1[[#This Row],[Defaulted Principal]]*IF($C$9="No",$E$4,VLOOKUP(Table1[[#This Row],[Period]],Forecast!$H$2:$L$1048576,3,FALSE)),2)</f>
        <v>0</v>
      </c>
      <c r="L382" s="2">
        <f>Table1[[#This Row],[Period]]+$E$9</f>
        <v>378</v>
      </c>
      <c r="M382" s="3">
        <f>Table1[[#This Row],[Defaulted Principal]]-Table1[[#This Row],[Estimated Loss]]</f>
        <v>0</v>
      </c>
      <c r="N382" s="3">
        <f>IFERROR(VLOOKUP(Table1[[#This Row],[Period]],$L$16:$M$385,2,FALSE),0)</f>
        <v>0</v>
      </c>
      <c r="O382" s="3">
        <f>Table1[[#This Row],[Beginning Balance]]-Table1[[#This Row],[Principal]]-Table1[[#This Row],[Prepayments]]-Table1[[#This Row],[Defaulted Principal]]</f>
        <v>0</v>
      </c>
      <c r="P382" s="3">
        <f>Table1[[#This Row],[Principal]]+Table1[[#This Row],[Interest]]+Table1[[#This Row],[Prepayments]]+Table1[[#This Row],[RecoveredAmount]]</f>
        <v>0</v>
      </c>
      <c r="Q382" s="3">
        <f ca="1">Table1[[#This Row],[Cash Flow]]/((1+ActualRateToUse)^(IF(ISNUMBER(SEARCH("Actual",$C$7)),Table1[[#This Row],[Running Total]]/365,Table1[[#This Row],[Period]]/12)))</f>
        <v>0</v>
      </c>
      <c r="R382" s="2">
        <f>IF(MONTH(Table1[[#This Row],[Date]])=2,28,DAY(DATE(YEAR(Table1[[#This Row],[Date]]),MONTH(Table1[[#This Row],[Date]])+1,1)-1))</f>
        <v>31</v>
      </c>
      <c r="S382" s="2">
        <f ca="1">SUM(OFFSET(Table1[[#Headers],[Days in month]],1,0):Table1[[#This Row],[Days in month]])</f>
        <v>11134</v>
      </c>
      <c r="T382" s="37">
        <f>InterestRate*AmortizationMultiplier*IF(ISNUMBER(SEARCH("Actual",$C$7)),Table1[[#This Row],[Days in month]]/365,1/12)</f>
        <v>6.0708333333333326E-3</v>
      </c>
    </row>
    <row r="383" spans="2:20" x14ac:dyDescent="0.2">
      <c r="B383" s="1">
        <f t="shared" si="20"/>
        <v>57010</v>
      </c>
      <c r="C383" s="2">
        <f t="shared" si="21"/>
        <v>367</v>
      </c>
      <c r="D383" s="3">
        <f t="shared" si="23"/>
        <v>0</v>
      </c>
      <c r="E383" s="3">
        <f>ROUND(Table1[[#This Row],[Beginning Balance]]*Table1[[#This Row],[Monthly Interest Rate]],2)</f>
        <v>0</v>
      </c>
      <c r="F383" s="3">
        <f t="shared" si="22"/>
        <v>-15</v>
      </c>
      <c r="G383" s="23">
        <f>IFERROR(IF($C$13="No","N/A",IF(Table1[[#This Row],[Period]]=1,$C$6,PMT(InterestRate*AmortizationMultiplier/12,Table1[[#This Row],[Am Thru]],-Table1[[#This Row],[Beginning Balance]]))),0)</f>
        <v>0</v>
      </c>
      <c r="H383" s="3">
        <f>MAX(0,IF(C383=$C$4,D383,ROUND(IF($C$3="Fixed Principal",$C$6-Table1[[#This Row],[Interest]],IF($C$3="Interest Only",Table1[[#This Row],[Beginning Balance]]*ROUND(1-(1-IF($C$11="No",$E$8,1))^(1/12),6),MIN(IF($C$13="Yes",Table1[[#This Row],[Payment Amount (Reamortized)]],$C$6)-Table1[[#This Row],[Interest]],Table1[[#This Row],[Beginning Balance]]))),2)))</f>
        <v>0</v>
      </c>
      <c r="I383" s="3">
        <f>_xlfn.SINGLE(IF($C$3="Line of Credit",0,ROUND(MAX(MIN(IF($C$10="No",$E$7,VLOOKUP(Table1[[#This Row],[Period]],Forecast!$H$2:$L$1048576,4,FALSE))*Table1[[#This Row],[Beginning Balance]],Table1[[#This Row],[Beginning Balance]]-Table1[[#This Row],[Principal]]),0),2)))</f>
        <v>0</v>
      </c>
      <c r="J383" s="3">
        <f>ROUND(MIN(Table1[[#This Row],[Beginning Balance]]*IF($C$8="No",$E$3,VLOOKUP(Table1[[#This Row],[Period]],Forecast!$H$2:$L$1048576,2,FALSE)),Table1[[#This Row],[Beginning Balance]]-Table1[[#This Row],[Principal]]-Table1[[#This Row],[Prepayments]]),2)</f>
        <v>0</v>
      </c>
      <c r="K383" s="3">
        <f>ROUND(Table1[[#This Row],[Defaulted Principal]]*IF($C$9="No",$E$4,VLOOKUP(Table1[[#This Row],[Period]],Forecast!$H$2:$L$1048576,3,FALSE)),2)</f>
        <v>0</v>
      </c>
      <c r="L383" s="2">
        <f>Table1[[#This Row],[Period]]+$E$9</f>
        <v>379</v>
      </c>
      <c r="M383" s="3">
        <f>Table1[[#This Row],[Defaulted Principal]]-Table1[[#This Row],[Estimated Loss]]</f>
        <v>0</v>
      </c>
      <c r="N383" s="3">
        <f>IFERROR(VLOOKUP(Table1[[#This Row],[Period]],$L$16:$M$385,2,FALSE),0)</f>
        <v>0</v>
      </c>
      <c r="O383" s="3">
        <f>Table1[[#This Row],[Beginning Balance]]-Table1[[#This Row],[Principal]]-Table1[[#This Row],[Prepayments]]-Table1[[#This Row],[Defaulted Principal]]</f>
        <v>0</v>
      </c>
      <c r="P383" s="3">
        <f>Table1[[#This Row],[Principal]]+Table1[[#This Row],[Interest]]+Table1[[#This Row],[Prepayments]]+Table1[[#This Row],[RecoveredAmount]]</f>
        <v>0</v>
      </c>
      <c r="Q383" s="3">
        <f ca="1">Table1[[#This Row],[Cash Flow]]/((1+ActualRateToUse)^(IF(ISNUMBER(SEARCH("Actual",$C$7)),Table1[[#This Row],[Running Total]]/365,Table1[[#This Row],[Period]]/12)))</f>
        <v>0</v>
      </c>
      <c r="R383" s="2">
        <f>IF(MONTH(Table1[[#This Row],[Date]])=2,28,DAY(DATE(YEAR(Table1[[#This Row],[Date]]),MONTH(Table1[[#This Row],[Date]])+1,1)-1))</f>
        <v>31</v>
      </c>
      <c r="S383" s="2">
        <f ca="1">SUM(OFFSET(Table1[[#Headers],[Days in month]],1,0):Table1[[#This Row],[Days in month]])</f>
        <v>11165</v>
      </c>
      <c r="T383" s="37">
        <f>InterestRate*AmortizationMultiplier*IF(ISNUMBER(SEARCH("Actual",$C$7)),Table1[[#This Row],[Days in month]]/365,1/12)</f>
        <v>6.0708333333333326E-3</v>
      </c>
    </row>
    <row r="384" spans="2:20" x14ac:dyDescent="0.2">
      <c r="B384" s="1">
        <f t="shared" si="20"/>
        <v>57039</v>
      </c>
      <c r="C384" s="2">
        <f t="shared" si="21"/>
        <v>368</v>
      </c>
      <c r="D384" s="3">
        <f t="shared" si="23"/>
        <v>0</v>
      </c>
      <c r="E384" s="3">
        <f>ROUND(Table1[[#This Row],[Beginning Balance]]*Table1[[#This Row],[Monthly Interest Rate]],2)</f>
        <v>0</v>
      </c>
      <c r="F384" s="3">
        <f t="shared" si="22"/>
        <v>-16</v>
      </c>
      <c r="G384" s="23">
        <f>IFERROR(IF($C$13="No","N/A",IF(Table1[[#This Row],[Period]]=1,$C$6,PMT(InterestRate*AmortizationMultiplier/12,Table1[[#This Row],[Am Thru]],-Table1[[#This Row],[Beginning Balance]]))),0)</f>
        <v>0</v>
      </c>
      <c r="H384" s="3">
        <f>MAX(0,IF(C384=$C$4,D384,ROUND(IF($C$3="Fixed Principal",$C$6-Table1[[#This Row],[Interest]],IF($C$3="Interest Only",Table1[[#This Row],[Beginning Balance]]*ROUND(1-(1-IF($C$11="No",$E$8,1))^(1/12),6),MIN(IF($C$13="Yes",Table1[[#This Row],[Payment Amount (Reamortized)]],$C$6)-Table1[[#This Row],[Interest]],Table1[[#This Row],[Beginning Balance]]))),2)))</f>
        <v>0</v>
      </c>
      <c r="I384" s="3">
        <f>_xlfn.SINGLE(IF($C$3="Line of Credit",0,ROUND(MAX(MIN(IF($C$10="No",$E$7,VLOOKUP(Table1[[#This Row],[Period]],Forecast!$H$2:$L$1048576,4,FALSE))*Table1[[#This Row],[Beginning Balance]],Table1[[#This Row],[Beginning Balance]]-Table1[[#This Row],[Principal]]),0),2)))</f>
        <v>0</v>
      </c>
      <c r="J384" s="3">
        <f>ROUND(MIN(Table1[[#This Row],[Beginning Balance]]*IF($C$8="No",$E$3,VLOOKUP(Table1[[#This Row],[Period]],Forecast!$H$2:$L$1048576,2,FALSE)),Table1[[#This Row],[Beginning Balance]]-Table1[[#This Row],[Principal]]-Table1[[#This Row],[Prepayments]]),2)</f>
        <v>0</v>
      </c>
      <c r="K384" s="3">
        <f>ROUND(Table1[[#This Row],[Defaulted Principal]]*IF($C$9="No",$E$4,VLOOKUP(Table1[[#This Row],[Period]],Forecast!$H$2:$L$1048576,3,FALSE)),2)</f>
        <v>0</v>
      </c>
      <c r="L384" s="2">
        <f>Table1[[#This Row],[Period]]+$E$9</f>
        <v>380</v>
      </c>
      <c r="M384" s="3">
        <f>Table1[[#This Row],[Defaulted Principal]]-Table1[[#This Row],[Estimated Loss]]</f>
        <v>0</v>
      </c>
      <c r="N384" s="3">
        <f>IFERROR(VLOOKUP(Table1[[#This Row],[Period]],$L$16:$M$385,2,FALSE),0)</f>
        <v>0</v>
      </c>
      <c r="O384" s="3">
        <f>Table1[[#This Row],[Beginning Balance]]-Table1[[#This Row],[Principal]]-Table1[[#This Row],[Prepayments]]-Table1[[#This Row],[Defaulted Principal]]</f>
        <v>0</v>
      </c>
      <c r="P384" s="3">
        <f>Table1[[#This Row],[Principal]]+Table1[[#This Row],[Interest]]+Table1[[#This Row],[Prepayments]]+Table1[[#This Row],[RecoveredAmount]]</f>
        <v>0</v>
      </c>
      <c r="Q384" s="3">
        <f ca="1">Table1[[#This Row],[Cash Flow]]/((1+ActualRateToUse)^(IF(ISNUMBER(SEARCH("Actual",$C$7)),Table1[[#This Row],[Running Total]]/365,Table1[[#This Row],[Period]]/12)))</f>
        <v>0</v>
      </c>
      <c r="R384" s="2">
        <f>IF(MONTH(Table1[[#This Row],[Date]])=2,28,DAY(DATE(YEAR(Table1[[#This Row],[Date]]),MONTH(Table1[[#This Row],[Date]])+1,1)-1))</f>
        <v>28</v>
      </c>
      <c r="S384" s="2">
        <f ca="1">SUM(OFFSET(Table1[[#Headers],[Days in month]],1,0):Table1[[#This Row],[Days in month]])</f>
        <v>11193</v>
      </c>
      <c r="T384" s="37">
        <f>InterestRate*AmortizationMultiplier*IF(ISNUMBER(SEARCH("Actual",$C$7)),Table1[[#This Row],[Days in month]]/365,1/12)</f>
        <v>5.4833333333333331E-3</v>
      </c>
    </row>
    <row r="385" spans="2:20" x14ac:dyDescent="0.2">
      <c r="B385" s="1">
        <f t="shared" si="20"/>
        <v>57070</v>
      </c>
      <c r="C385" s="2">
        <f t="shared" si="21"/>
        <v>369</v>
      </c>
      <c r="D385" s="3">
        <f t="shared" si="23"/>
        <v>0</v>
      </c>
      <c r="E385" s="3">
        <f>ROUND(Table1[[#This Row],[Beginning Balance]]*Table1[[#This Row],[Monthly Interest Rate]],2)</f>
        <v>0</v>
      </c>
      <c r="F385" s="3">
        <f t="shared" si="22"/>
        <v>-17</v>
      </c>
      <c r="G385" s="23">
        <f>IFERROR(IF($C$13="No","N/A",IF(Table1[[#This Row],[Period]]=1,$C$6,PMT(InterestRate*AmortizationMultiplier/12,Table1[[#This Row],[Am Thru]],-Table1[[#This Row],[Beginning Balance]]))),0)</f>
        <v>0</v>
      </c>
      <c r="H385" s="3">
        <f>MAX(0,IF(C385=$C$4,D385,ROUND(IF($C$3="Fixed Principal",$C$6-Table1[[#This Row],[Interest]],IF($C$3="Interest Only",Table1[[#This Row],[Beginning Balance]]*ROUND(1-(1-IF($C$11="No",$E$8,1))^(1/12),6),MIN(IF($C$13="Yes",Table1[[#This Row],[Payment Amount (Reamortized)]],$C$6)-Table1[[#This Row],[Interest]],Table1[[#This Row],[Beginning Balance]]))),2)))</f>
        <v>0</v>
      </c>
      <c r="I385" s="3">
        <f>_xlfn.SINGLE(IF($C$3="Line of Credit",0,ROUND(MAX(MIN(IF($C$10="No",$E$7,VLOOKUP(Table1[[#This Row],[Period]],Forecast!$H$2:$L$1048576,4,FALSE))*Table1[[#This Row],[Beginning Balance]],Table1[[#This Row],[Beginning Balance]]-Table1[[#This Row],[Principal]]),0),2)))</f>
        <v>0</v>
      </c>
      <c r="J385" s="3">
        <f>ROUND(MIN(Table1[[#This Row],[Beginning Balance]]*IF($C$8="No",$E$3,VLOOKUP(Table1[[#This Row],[Period]],Forecast!$H$2:$L$1048576,2,FALSE)),Table1[[#This Row],[Beginning Balance]]-Table1[[#This Row],[Principal]]-Table1[[#This Row],[Prepayments]]),2)</f>
        <v>0</v>
      </c>
      <c r="K385" s="3">
        <f>ROUND(Table1[[#This Row],[Defaulted Principal]]*IF($C$9="No",$E$4,VLOOKUP(Table1[[#This Row],[Period]],Forecast!$H$2:$L$1048576,3,FALSE)),2)</f>
        <v>0</v>
      </c>
      <c r="L385" s="2">
        <f>Table1[[#This Row],[Period]]+$E$9</f>
        <v>381</v>
      </c>
      <c r="M385" s="3">
        <f>Table1[[#This Row],[Defaulted Principal]]-Table1[[#This Row],[Estimated Loss]]</f>
        <v>0</v>
      </c>
      <c r="N385" s="3">
        <f>IFERROR(VLOOKUP(Table1[[#This Row],[Period]],$L$16:$M$385,2,FALSE),0)</f>
        <v>0</v>
      </c>
      <c r="O385" s="3">
        <f>Table1[[#This Row],[Beginning Balance]]-Table1[[#This Row],[Principal]]-Table1[[#This Row],[Prepayments]]-Table1[[#This Row],[Defaulted Principal]]</f>
        <v>0</v>
      </c>
      <c r="P385" s="3">
        <f>Table1[[#This Row],[Principal]]+Table1[[#This Row],[Interest]]+Table1[[#This Row],[Prepayments]]+Table1[[#This Row],[RecoveredAmount]]</f>
        <v>0</v>
      </c>
      <c r="Q385" s="3">
        <f ca="1">Table1[[#This Row],[Cash Flow]]/((1+ActualRateToUse)^(IF(ISNUMBER(SEARCH("Actual",$C$7)),Table1[[#This Row],[Running Total]]/365,Table1[[#This Row],[Period]]/12)))</f>
        <v>0</v>
      </c>
      <c r="R385" s="2">
        <f>IF(MONTH(Table1[[#This Row],[Date]])=2,28,DAY(DATE(YEAR(Table1[[#This Row],[Date]]),MONTH(Table1[[#This Row],[Date]])+1,1)-1))</f>
        <v>31</v>
      </c>
      <c r="S385" s="2">
        <f ca="1">SUM(OFFSET(Table1[[#Headers],[Days in month]],1,0):Table1[[#This Row],[Days in month]])</f>
        <v>11224</v>
      </c>
      <c r="T385" s="37">
        <f>InterestRate*AmortizationMultiplier*IF(ISNUMBER(SEARCH("Actual",$C$7)),Table1[[#This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3000000}">
          <x14:formula1>
            <xm:f>Inputs!$E$2:$E$3</xm:f>
          </x14:formula1>
          <xm:sqref>I8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0DEEB-4FF5-4FFB-A9B5-0E7562B6EF88}">
  <dimension ref="A1:O123"/>
  <sheetViews>
    <sheetView topLeftCell="B1" workbookViewId="0">
      <selection activeCell="N4" sqref="N4"/>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8687693.5099999998</v>
      </c>
      <c r="D2" s="43">
        <v>6386.79</v>
      </c>
      <c r="E2" s="43">
        <v>52741.54</v>
      </c>
      <c r="F2" s="43">
        <v>24785.99</v>
      </c>
      <c r="G2" s="43">
        <v>3952.9</v>
      </c>
      <c r="H2" s="43">
        <v>308.38</v>
      </c>
      <c r="I2" s="43">
        <v>0</v>
      </c>
      <c r="J2" s="43">
        <v>8652567.8300000001</v>
      </c>
      <c r="K2" s="43">
        <v>83914.32</v>
      </c>
      <c r="L2" s="43">
        <v>83405.009999999995</v>
      </c>
      <c r="M2" s="48">
        <f ca="1">'DCF Calc'!Q17</f>
        <v>83405.00746347777</v>
      </c>
      <c r="N2" s="46">
        <f ca="1">Loan_Level_Results[[#This Row],[NPV]]-Loan_Level_Results[[#This Row],[DCF CALC NPV]]</f>
        <v>2.5365222245454788E-3</v>
      </c>
      <c r="O2" s="43">
        <f>Loan_Level_Results[[#This Row],[Principal Payment]]+Loan_Level_Results[[#This Row],[Interest]]</f>
        <v>59128.33</v>
      </c>
    </row>
    <row r="3" spans="1:15" x14ac:dyDescent="0.3">
      <c r="A3" s="45">
        <v>45900</v>
      </c>
      <c r="B3" s="44">
        <v>2</v>
      </c>
      <c r="C3" s="43">
        <v>8652567.8300000001</v>
      </c>
      <c r="D3" s="43">
        <v>6381.28</v>
      </c>
      <c r="E3" s="43">
        <v>52528.3</v>
      </c>
      <c r="F3" s="43">
        <v>24685.78</v>
      </c>
      <c r="G3" s="43">
        <v>3936.92</v>
      </c>
      <c r="H3" s="43">
        <v>307.14</v>
      </c>
      <c r="I3" s="43">
        <v>0</v>
      </c>
      <c r="J3" s="43">
        <v>8617563.8499999996</v>
      </c>
      <c r="K3" s="43">
        <v>83595.360000000001</v>
      </c>
      <c r="L3" s="43">
        <v>82583.69</v>
      </c>
      <c r="M3" s="48">
        <f ca="1">'DCF Calc'!Q18</f>
        <v>82583.686230754553</v>
      </c>
      <c r="N3" s="46">
        <f ca="1">Loan_Level_Results[[#This Row],[NPV]]-Loan_Level_Results[[#This Row],[DCF CALC NPV]]</f>
        <v>3.7692454498028383E-3</v>
      </c>
      <c r="O3" s="43">
        <f>Loan_Level_Results[[#This Row],[Principal Payment]]+Loan_Level_Results[[#This Row],[Interest]]</f>
        <v>58909.58</v>
      </c>
    </row>
    <row r="4" spans="1:15" x14ac:dyDescent="0.3">
      <c r="A4" s="45">
        <v>45930</v>
      </c>
      <c r="B4" s="44">
        <v>3</v>
      </c>
      <c r="C4" s="43">
        <v>8617563.8499999996</v>
      </c>
      <c r="D4" s="43">
        <v>8043.07</v>
      </c>
      <c r="E4" s="43">
        <v>50628.19</v>
      </c>
      <c r="F4" s="43">
        <v>24585.91</v>
      </c>
      <c r="G4" s="43">
        <v>3920.99</v>
      </c>
      <c r="H4" s="43">
        <v>305.89</v>
      </c>
      <c r="I4" s="43">
        <v>0</v>
      </c>
      <c r="J4" s="43">
        <v>8581013.8800000008</v>
      </c>
      <c r="K4" s="43">
        <v>83257.17</v>
      </c>
      <c r="L4" s="43">
        <v>81766.44</v>
      </c>
      <c r="M4" s="48">
        <f ca="1">'DCF Calc'!Q19</f>
        <v>81815.551129991407</v>
      </c>
      <c r="N4" s="46">
        <f ca="1">Loan_Level_Results[[#This Row],[NPV]]-Loan_Level_Results[[#This Row],[DCF CALC NPV]]</f>
        <v>-49.111129991404596</v>
      </c>
      <c r="O4" s="43">
        <f>Loan_Level_Results[[#This Row],[Principal Payment]]+Loan_Level_Results[[#This Row],[Interest]]</f>
        <v>58671.26</v>
      </c>
    </row>
    <row r="5" spans="1:15" x14ac:dyDescent="0.3">
      <c r="A5" s="45">
        <v>45961</v>
      </c>
      <c r="B5" s="44">
        <v>4</v>
      </c>
      <c r="C5" s="43">
        <v>8581013.8800000008</v>
      </c>
      <c r="D5" s="43">
        <v>6328.5099999999902</v>
      </c>
      <c r="E5" s="43">
        <v>52093.91</v>
      </c>
      <c r="F5" s="43">
        <v>24481.63</v>
      </c>
      <c r="G5" s="43">
        <v>4299.09</v>
      </c>
      <c r="H5" s="43">
        <v>343.79</v>
      </c>
      <c r="I5" s="43">
        <v>0</v>
      </c>
      <c r="J5" s="43">
        <v>8545904.6500000004</v>
      </c>
      <c r="K5" s="43">
        <v>82904.05</v>
      </c>
      <c r="L5" s="43">
        <v>80925.47</v>
      </c>
      <c r="M5" s="48">
        <f ca="1">'DCF Calc'!Q20</f>
        <v>81022.59334672078</v>
      </c>
      <c r="N5" s="46">
        <f ca="1">Loan_Level_Results[[#This Row],[NPV]]-Loan_Level_Results[[#This Row],[DCF CALC NPV]]</f>
        <v>-97.1233467207785</v>
      </c>
      <c r="O5" s="43">
        <f>Loan_Level_Results[[#This Row],[Principal Payment]]+Loan_Level_Results[[#This Row],[Interest]]</f>
        <v>58422.419999999991</v>
      </c>
    </row>
    <row r="6" spans="1:15" x14ac:dyDescent="0.3">
      <c r="A6" s="45">
        <v>45991</v>
      </c>
      <c r="B6" s="44">
        <v>5</v>
      </c>
      <c r="C6" s="43">
        <v>8545904.6500000004</v>
      </c>
      <c r="D6" s="43">
        <v>7976.19</v>
      </c>
      <c r="E6" s="43">
        <v>50207.19</v>
      </c>
      <c r="F6" s="43">
        <v>24381.47</v>
      </c>
      <c r="G6" s="43">
        <v>4281.5</v>
      </c>
      <c r="H6" s="43">
        <v>342.38</v>
      </c>
      <c r="I6" s="43">
        <v>0</v>
      </c>
      <c r="J6" s="43">
        <v>8509265.4900000002</v>
      </c>
      <c r="K6" s="43">
        <v>82564.850000000006</v>
      </c>
      <c r="L6" s="43">
        <v>80120.94</v>
      </c>
      <c r="M6" s="48">
        <f ca="1">'DCF Calc'!Q21</f>
        <v>80265.028746756594</v>
      </c>
      <c r="N6" s="46">
        <f ca="1">Loan_Level_Results[[#This Row],[NPV]]-Loan_Level_Results[[#This Row],[DCF CALC NPV]]</f>
        <v>-144.08874675659172</v>
      </c>
      <c r="O6" s="43">
        <f>Loan_Level_Results[[#This Row],[Principal Payment]]+Loan_Level_Results[[#This Row],[Interest]]</f>
        <v>58183.380000000005</v>
      </c>
    </row>
    <row r="7" spans="1:15" x14ac:dyDescent="0.3">
      <c r="A7" s="45">
        <v>46022</v>
      </c>
      <c r="B7" s="44">
        <v>6</v>
      </c>
      <c r="C7" s="43">
        <v>8509265.4900000002</v>
      </c>
      <c r="D7" s="43">
        <v>6275.6</v>
      </c>
      <c r="E7" s="43">
        <v>51658.33</v>
      </c>
      <c r="F7" s="43">
        <v>24276.93</v>
      </c>
      <c r="G7" s="43">
        <v>4263.1400000000003</v>
      </c>
      <c r="H7" s="43">
        <v>340.91</v>
      </c>
      <c r="I7" s="43">
        <v>0</v>
      </c>
      <c r="J7" s="43">
        <v>8474449.8200000003</v>
      </c>
      <c r="K7" s="43">
        <v>82210.86</v>
      </c>
      <c r="L7" s="43">
        <v>79293.22</v>
      </c>
      <c r="M7" s="48">
        <f ca="1">'DCF Calc'!Q22</f>
        <v>79483.168881540856</v>
      </c>
      <c r="N7" s="46">
        <f ca="1">Loan_Level_Results[[#This Row],[NPV]]-Loan_Level_Results[[#This Row],[DCF CALC NPV]]</f>
        <v>-189.94888154085493</v>
      </c>
      <c r="O7" s="43">
        <f>Loan_Level_Results[[#This Row],[Principal Payment]]+Loan_Level_Results[[#This Row],[Interest]]</f>
        <v>57933.93</v>
      </c>
    </row>
    <row r="8" spans="1:15" x14ac:dyDescent="0.3">
      <c r="A8" s="45">
        <v>46053</v>
      </c>
      <c r="B8" s="44">
        <v>7</v>
      </c>
      <c r="C8" s="43">
        <v>8474449.8200000003</v>
      </c>
      <c r="D8" s="43">
        <v>6249.92</v>
      </c>
      <c r="E8" s="43">
        <v>51446.97</v>
      </c>
      <c r="F8" s="43">
        <v>24177.61</v>
      </c>
      <c r="G8" s="43">
        <v>4211.8</v>
      </c>
      <c r="H8" s="43">
        <v>336.01</v>
      </c>
      <c r="I8" s="43">
        <v>0</v>
      </c>
      <c r="J8" s="43">
        <v>8439810.4900000002</v>
      </c>
      <c r="K8" s="43">
        <v>81874.5</v>
      </c>
      <c r="L8" s="43">
        <v>78489.5</v>
      </c>
      <c r="M8" s="48">
        <f ca="1">'DCF Calc'!Q23</f>
        <v>78724.28405968727</v>
      </c>
      <c r="N8" s="46">
        <f ca="1">Loan_Level_Results[[#This Row],[NPV]]-Loan_Level_Results[[#This Row],[DCF CALC NPV]]</f>
        <v>-234.7840596872702</v>
      </c>
      <c r="O8" s="43">
        <f>Loan_Level_Results[[#This Row],[Principal Payment]]+Loan_Level_Results[[#This Row],[Interest]]</f>
        <v>57696.89</v>
      </c>
    </row>
    <row r="9" spans="1:15" x14ac:dyDescent="0.3">
      <c r="A9" s="45">
        <v>46081</v>
      </c>
      <c r="B9" s="44">
        <v>8</v>
      </c>
      <c r="C9" s="43">
        <v>8439810.4900000002</v>
      </c>
      <c r="D9" s="43">
        <v>11182.77</v>
      </c>
      <c r="E9" s="43">
        <v>46278.29</v>
      </c>
      <c r="F9" s="43">
        <v>24078.78</v>
      </c>
      <c r="G9" s="43">
        <v>4194.59</v>
      </c>
      <c r="H9" s="43">
        <v>334.64</v>
      </c>
      <c r="I9" s="43">
        <v>0</v>
      </c>
      <c r="J9" s="43">
        <v>8400354.3499999996</v>
      </c>
      <c r="K9" s="43">
        <v>81539.839999999997</v>
      </c>
      <c r="L9" s="43">
        <v>77740.03</v>
      </c>
      <c r="M9" s="48">
        <f ca="1">'DCF Calc'!Q24</f>
        <v>78018.778215085054</v>
      </c>
      <c r="N9" s="43">
        <f ca="1">Loan_Level_Results[[#This Row],[NPV]]-Loan_Level_Results[[#This Row],[DCF CALC NPV]]</f>
        <v>-278.74821508505556</v>
      </c>
      <c r="O9" s="43">
        <f>Loan_Level_Results[[#This Row],[Principal Payment]]+Loan_Level_Results[[#This Row],[Interest]]</f>
        <v>57461.06</v>
      </c>
    </row>
    <row r="10" spans="1:15" x14ac:dyDescent="0.3">
      <c r="A10" s="45">
        <v>46112</v>
      </c>
      <c r="B10" s="44">
        <v>9</v>
      </c>
      <c r="C10" s="43">
        <v>8400354.3499999996</v>
      </c>
      <c r="D10" s="43">
        <v>6195.27</v>
      </c>
      <c r="E10" s="43">
        <v>50997.15</v>
      </c>
      <c r="F10" s="43">
        <v>23966.21</v>
      </c>
      <c r="G10" s="43">
        <v>4174.9799999999996</v>
      </c>
      <c r="H10" s="43">
        <v>333.07</v>
      </c>
      <c r="I10" s="43">
        <v>0</v>
      </c>
      <c r="J10" s="43">
        <v>8366017.8899999997</v>
      </c>
      <c r="K10" s="43">
        <v>81158.63</v>
      </c>
      <c r="L10" s="43">
        <v>76906.95</v>
      </c>
      <c r="M10" s="48">
        <f ca="1">'DCF Calc'!Q25</f>
        <v>77228.34765973124</v>
      </c>
      <c r="N10" s="43">
        <f ca="1">Loan_Level_Results[[#This Row],[NPV]]-Loan_Level_Results[[#This Row],[DCF CALC NPV]]</f>
        <v>-321.39765973124304</v>
      </c>
      <c r="O10" s="43">
        <f>Loan_Level_Results[[#This Row],[Principal Payment]]+Loan_Level_Results[[#This Row],[Interest]]</f>
        <v>57192.42</v>
      </c>
    </row>
    <row r="11" spans="1:15" x14ac:dyDescent="0.3">
      <c r="A11" s="45">
        <v>46142</v>
      </c>
      <c r="B11" s="44">
        <v>10</v>
      </c>
      <c r="C11" s="43">
        <v>8366017.8899999997</v>
      </c>
      <c r="D11" s="43">
        <v>7808.29</v>
      </c>
      <c r="E11" s="43">
        <v>49150.36</v>
      </c>
      <c r="F11" s="43">
        <v>23868.25</v>
      </c>
      <c r="G11" s="43">
        <v>4116.08</v>
      </c>
      <c r="H11" s="43">
        <v>327.58999999999997</v>
      </c>
      <c r="I11" s="43">
        <v>0</v>
      </c>
      <c r="J11" s="43">
        <v>8330225.2699999996</v>
      </c>
      <c r="K11" s="43">
        <v>80826.899999999994</v>
      </c>
      <c r="L11" s="43">
        <v>76142.679999999993</v>
      </c>
      <c r="M11" s="48">
        <f ca="1">'DCF Calc'!Q26</f>
        <v>76505.934748283034</v>
      </c>
      <c r="N11" s="43">
        <f ca="1">Loan_Level_Results[[#This Row],[NPV]]-Loan_Level_Results[[#This Row],[DCF CALC NPV]]</f>
        <v>-363.25474828304141</v>
      </c>
      <c r="O11" s="43">
        <f>Loan_Level_Results[[#This Row],[Principal Payment]]+Loan_Level_Results[[#This Row],[Interest]]</f>
        <v>56958.65</v>
      </c>
    </row>
    <row r="12" spans="1:15" x14ac:dyDescent="0.3">
      <c r="A12" s="45">
        <v>46173</v>
      </c>
      <c r="B12" s="44">
        <v>11</v>
      </c>
      <c r="C12" s="43">
        <v>8330225.2699999996</v>
      </c>
      <c r="D12" s="43">
        <v>6143.55</v>
      </c>
      <c r="E12" s="43">
        <v>50571.41</v>
      </c>
      <c r="F12" s="43">
        <v>23766.13</v>
      </c>
      <c r="G12" s="43">
        <v>4098.47</v>
      </c>
      <c r="H12" s="43">
        <v>326.19</v>
      </c>
      <c r="I12" s="43">
        <v>0</v>
      </c>
      <c r="J12" s="43">
        <v>8296217.1200000001</v>
      </c>
      <c r="K12" s="43">
        <v>80481.09</v>
      </c>
      <c r="L12" s="43">
        <v>75356.740000000005</v>
      </c>
      <c r="M12" s="48">
        <f ca="1">'DCF Calc'!Q27</f>
        <v>75760.763285794164</v>
      </c>
      <c r="N12" s="43">
        <f ca="1">Loan_Level_Results[[#This Row],[NPV]]-Loan_Level_Results[[#This Row],[DCF CALC NPV]]</f>
        <v>-404.02328579415916</v>
      </c>
      <c r="O12" s="43">
        <f>Loan_Level_Results[[#This Row],[Principal Payment]]+Loan_Level_Results[[#This Row],[Interest]]</f>
        <v>56714.960000000006</v>
      </c>
    </row>
    <row r="13" spans="1:15" x14ac:dyDescent="0.3">
      <c r="A13" s="45">
        <v>46203</v>
      </c>
      <c r="B13" s="44">
        <v>12</v>
      </c>
      <c r="C13" s="43">
        <v>8296217.1200000001</v>
      </c>
      <c r="D13" s="43">
        <v>7743.14</v>
      </c>
      <c r="E13" s="43">
        <v>48740.28</v>
      </c>
      <c r="F13" s="43">
        <v>23669.11</v>
      </c>
      <c r="G13" s="43">
        <v>4081.74</v>
      </c>
      <c r="H13" s="43">
        <v>324.86</v>
      </c>
      <c r="I13" s="43">
        <v>0</v>
      </c>
      <c r="J13" s="43">
        <v>8260723.1299999999</v>
      </c>
      <c r="K13" s="43">
        <v>80152.53</v>
      </c>
      <c r="L13" s="43">
        <v>74608.25</v>
      </c>
      <c r="M13" s="48">
        <f ca="1">'DCF Calc'!Q28</f>
        <v>75052.210158687623</v>
      </c>
      <c r="N13" s="43">
        <f ca="1">Loan_Level_Results[[#This Row],[NPV]]-Loan_Level_Results[[#This Row],[DCF CALC NPV]]</f>
        <v>-443.96015868762333</v>
      </c>
      <c r="O13" s="43">
        <f>Loan_Level_Results[[#This Row],[Principal Payment]]+Loan_Level_Results[[#This Row],[Interest]]</f>
        <v>56483.42</v>
      </c>
    </row>
    <row r="14" spans="1:15" x14ac:dyDescent="0.3">
      <c r="A14" s="45">
        <v>46234</v>
      </c>
      <c r="B14" s="44">
        <v>13</v>
      </c>
      <c r="C14" s="43">
        <v>8260723.1299999999</v>
      </c>
      <c r="D14" s="43">
        <v>6092.3</v>
      </c>
      <c r="E14" s="43">
        <v>50149.47</v>
      </c>
      <c r="F14" s="43">
        <v>23567.84</v>
      </c>
      <c r="G14" s="43">
        <v>4262.53</v>
      </c>
      <c r="H14" s="43">
        <v>343.4</v>
      </c>
      <c r="I14" s="43">
        <v>3644.52</v>
      </c>
      <c r="J14" s="43">
        <v>8226800.46</v>
      </c>
      <c r="K14" s="43">
        <v>83454.13</v>
      </c>
      <c r="L14" s="43">
        <v>77209.990000000005</v>
      </c>
      <c r="M14" s="48">
        <f ca="1">'DCF Calc'!Q29</f>
        <v>77692.768342423311</v>
      </c>
      <c r="N14" s="43">
        <f ca="1">Loan_Level_Results[[#This Row],[NPV]]-Loan_Level_Results[[#This Row],[DCF CALC NPV]]</f>
        <v>-482.77834242330573</v>
      </c>
      <c r="O14" s="43">
        <f>Loan_Level_Results[[#This Row],[Principal Payment]]+Loan_Level_Results[[#This Row],[Interest]]</f>
        <v>56241.770000000004</v>
      </c>
    </row>
    <row r="15" spans="1:15" x14ac:dyDescent="0.3">
      <c r="A15" s="45">
        <v>46265</v>
      </c>
      <c r="B15" s="44">
        <v>14</v>
      </c>
      <c r="C15" s="43">
        <v>8226800.46</v>
      </c>
      <c r="D15" s="43">
        <v>6067.28</v>
      </c>
      <c r="E15" s="43">
        <v>49943.53</v>
      </c>
      <c r="F15" s="43">
        <v>23471.06</v>
      </c>
      <c r="G15" s="43">
        <v>4245.03</v>
      </c>
      <c r="H15" s="43">
        <v>341.99</v>
      </c>
      <c r="I15" s="43">
        <v>3629.78</v>
      </c>
      <c r="J15" s="43">
        <v>8193017.0899999999</v>
      </c>
      <c r="K15" s="43">
        <v>83111.649999999994</v>
      </c>
      <c r="L15" s="43">
        <v>76426.44</v>
      </c>
      <c r="M15" s="48">
        <f ca="1">'DCF Calc'!Q30</f>
        <v>76947.205617012369</v>
      </c>
      <c r="N15" s="43">
        <f ca="1">Loan_Level_Results[[#This Row],[NPV]]-Loan_Level_Results[[#This Row],[DCF CALC NPV]]</f>
        <v>-520.76561701236642</v>
      </c>
      <c r="O15" s="43">
        <f>Loan_Level_Results[[#This Row],[Principal Payment]]+Loan_Level_Results[[#This Row],[Interest]]</f>
        <v>56010.81</v>
      </c>
    </row>
    <row r="16" spans="1:15" x14ac:dyDescent="0.3">
      <c r="A16" s="45">
        <v>46295</v>
      </c>
      <c r="B16" s="44">
        <v>15</v>
      </c>
      <c r="C16" s="43">
        <v>8193017.0899999999</v>
      </c>
      <c r="D16" s="43">
        <v>7646.82</v>
      </c>
      <c r="E16" s="43">
        <v>48133.98</v>
      </c>
      <c r="F16" s="43">
        <v>23374.68</v>
      </c>
      <c r="G16" s="43">
        <v>4227.6000000000004</v>
      </c>
      <c r="H16" s="43">
        <v>340.59</v>
      </c>
      <c r="I16" s="43">
        <v>3615.1</v>
      </c>
      <c r="J16" s="43">
        <v>8157767.9900000002</v>
      </c>
      <c r="K16" s="43">
        <v>82770.58</v>
      </c>
      <c r="L16" s="43">
        <v>75665.7</v>
      </c>
      <c r="M16" s="48">
        <f ca="1">'DCF Calc'!Q31</f>
        <v>76223.612265543416</v>
      </c>
      <c r="N16" s="43">
        <f ca="1">Loan_Level_Results[[#This Row],[NPV]]-Loan_Level_Results[[#This Row],[DCF CALC NPV]]</f>
        <v>-557.91226554341847</v>
      </c>
      <c r="O16" s="43">
        <f>Loan_Level_Results[[#This Row],[Principal Payment]]+Loan_Level_Results[[#This Row],[Interest]]</f>
        <v>55780.800000000003</v>
      </c>
    </row>
    <row r="17" spans="1:15" x14ac:dyDescent="0.3">
      <c r="A17" s="45">
        <v>46326</v>
      </c>
      <c r="B17" s="44">
        <v>16</v>
      </c>
      <c r="C17" s="43">
        <v>8157767.9900000002</v>
      </c>
      <c r="D17" s="43">
        <v>6016.37</v>
      </c>
      <c r="E17" s="43">
        <v>49524.45</v>
      </c>
      <c r="F17" s="43">
        <v>23274.11</v>
      </c>
      <c r="G17" s="43">
        <v>4405.1899999999996</v>
      </c>
      <c r="H17" s="43">
        <v>359.06</v>
      </c>
      <c r="I17" s="43">
        <v>3955.3</v>
      </c>
      <c r="J17" s="43">
        <v>8124072.3200000003</v>
      </c>
      <c r="K17" s="43">
        <v>82770.23</v>
      </c>
      <c r="L17" s="43">
        <v>75206.13</v>
      </c>
      <c r="M17" s="48">
        <f ca="1">'DCF Calc'!Q32</f>
        <v>75800.066522301378</v>
      </c>
      <c r="N17" s="43">
        <f ca="1">Loan_Level_Results[[#This Row],[NPV]]-Loan_Level_Results[[#This Row],[DCF CALC NPV]]</f>
        <v>-593.93652230137377</v>
      </c>
      <c r="O17" s="43">
        <f>Loan_Level_Results[[#This Row],[Principal Payment]]+Loan_Level_Results[[#This Row],[Interest]]</f>
        <v>55540.82</v>
      </c>
    </row>
    <row r="18" spans="1:15" x14ac:dyDescent="0.3">
      <c r="A18" s="45">
        <v>46356</v>
      </c>
      <c r="B18" s="44">
        <v>17</v>
      </c>
      <c r="C18" s="43">
        <v>8124072.3200000003</v>
      </c>
      <c r="D18" s="43">
        <v>7582.48</v>
      </c>
      <c r="E18" s="43">
        <v>47728.92</v>
      </c>
      <c r="F18" s="43">
        <v>23177.98</v>
      </c>
      <c r="G18" s="43">
        <v>4387</v>
      </c>
      <c r="H18" s="43">
        <v>357.58</v>
      </c>
      <c r="I18" s="43">
        <v>3939.12</v>
      </c>
      <c r="J18" s="43">
        <v>8088924.8600000003</v>
      </c>
      <c r="K18" s="43">
        <v>82428.5</v>
      </c>
      <c r="L18" s="43">
        <v>74455.679999999993</v>
      </c>
      <c r="M18" s="48">
        <f ca="1">'DCF Calc'!Q33</f>
        <v>75084.937326152649</v>
      </c>
      <c r="N18" s="43">
        <f ca="1">Loan_Level_Results[[#This Row],[NPV]]-Loan_Level_Results[[#This Row],[DCF CALC NPV]]</f>
        <v>-629.25732615265588</v>
      </c>
      <c r="O18" s="43">
        <f>Loan_Level_Results[[#This Row],[Principal Payment]]+Loan_Level_Results[[#This Row],[Interest]]</f>
        <v>55311.399999999994</v>
      </c>
    </row>
    <row r="19" spans="1:15" x14ac:dyDescent="0.3">
      <c r="A19" s="45">
        <v>46387</v>
      </c>
      <c r="B19" s="44">
        <v>18</v>
      </c>
      <c r="C19" s="43">
        <v>8088924.8600000003</v>
      </c>
      <c r="D19" s="43">
        <v>5965.6</v>
      </c>
      <c r="E19" s="43">
        <v>49106.51</v>
      </c>
      <c r="F19" s="43">
        <v>23077.7</v>
      </c>
      <c r="G19" s="43">
        <v>4368.0200000000004</v>
      </c>
      <c r="H19" s="43">
        <v>356.03</v>
      </c>
      <c r="I19" s="43">
        <v>3922.23</v>
      </c>
      <c r="J19" s="43">
        <v>8055513.54</v>
      </c>
      <c r="K19" s="43">
        <v>82072.039999999994</v>
      </c>
      <c r="L19" s="43">
        <v>73683.75</v>
      </c>
      <c r="M19" s="48">
        <f ca="1">'DCF Calc'!Q34</f>
        <v>74347.181326126229</v>
      </c>
      <c r="N19" s="43">
        <f ca="1">Loan_Level_Results[[#This Row],[NPV]]-Loan_Level_Results[[#This Row],[DCF CALC NPV]]</f>
        <v>-663.43132612622867</v>
      </c>
      <c r="O19" s="43">
        <f>Loan_Level_Results[[#This Row],[Principal Payment]]+Loan_Level_Results[[#This Row],[Interest]]</f>
        <v>55072.11</v>
      </c>
    </row>
    <row r="20" spans="1:15" x14ac:dyDescent="0.3">
      <c r="A20" s="45">
        <v>46418</v>
      </c>
      <c r="B20" s="44">
        <v>19</v>
      </c>
      <c r="C20" s="43">
        <v>8055513.54</v>
      </c>
      <c r="D20" s="43">
        <v>5940.95</v>
      </c>
      <c r="E20" s="43">
        <v>48903.68</v>
      </c>
      <c r="F20" s="43">
        <v>22982.38</v>
      </c>
      <c r="G20" s="43">
        <v>4543.3100000000004</v>
      </c>
      <c r="H20" s="43">
        <v>374.5</v>
      </c>
      <c r="I20" s="43">
        <v>3875.79</v>
      </c>
      <c r="J20" s="43">
        <v>8022046.9000000004</v>
      </c>
      <c r="K20" s="43">
        <v>81702.8</v>
      </c>
      <c r="L20" s="43">
        <v>72907.039999999994</v>
      </c>
      <c r="M20" s="48">
        <f ca="1">'DCF Calc'!Q35</f>
        <v>73603.889463827829</v>
      </c>
      <c r="N20" s="43">
        <f ca="1">Loan_Level_Results[[#This Row],[NPV]]-Loan_Level_Results[[#This Row],[DCF CALC NPV]]</f>
        <v>-696.84946382783528</v>
      </c>
      <c r="O20" s="43">
        <f>Loan_Level_Results[[#This Row],[Principal Payment]]+Loan_Level_Results[[#This Row],[Interest]]</f>
        <v>54844.63</v>
      </c>
    </row>
    <row r="21" spans="1:15" x14ac:dyDescent="0.3">
      <c r="A21" s="45">
        <v>46446</v>
      </c>
      <c r="B21" s="44">
        <v>20</v>
      </c>
      <c r="C21" s="43">
        <v>8022046.9000000004</v>
      </c>
      <c r="D21" s="43">
        <v>10629.22</v>
      </c>
      <c r="E21" s="43">
        <v>43987.56</v>
      </c>
      <c r="F21" s="43">
        <v>22886.9</v>
      </c>
      <c r="G21" s="43">
        <v>4524.43</v>
      </c>
      <c r="H21" s="43">
        <v>372.94</v>
      </c>
      <c r="I21" s="43">
        <v>3859.95</v>
      </c>
      <c r="J21" s="43">
        <v>7984006.3499999996</v>
      </c>
      <c r="K21" s="43">
        <v>81363.63</v>
      </c>
      <c r="L21" s="43">
        <v>72206.25</v>
      </c>
      <c r="M21" s="48">
        <f ca="1">'DCF Calc'!Q36</f>
        <v>72936.05706744807</v>
      </c>
      <c r="N21" s="43">
        <f ca="1">Loan_Level_Results[[#This Row],[NPV]]-Loan_Level_Results[[#This Row],[DCF CALC NPV]]</f>
        <v>-729.80706744806957</v>
      </c>
      <c r="O21" s="43">
        <f>Loan_Level_Results[[#This Row],[Principal Payment]]+Loan_Level_Results[[#This Row],[Interest]]</f>
        <v>54616.78</v>
      </c>
    </row>
    <row r="22" spans="1:15" x14ac:dyDescent="0.3">
      <c r="A22" s="45">
        <v>46477</v>
      </c>
      <c r="B22" s="44">
        <v>21</v>
      </c>
      <c r="C22" s="43">
        <v>7984006.3499999996</v>
      </c>
      <c r="D22" s="43">
        <v>5888.22</v>
      </c>
      <c r="E22" s="43">
        <v>48469.57</v>
      </c>
      <c r="F22" s="43">
        <v>22778.37</v>
      </c>
      <c r="G22" s="43">
        <v>4502.9799999999996</v>
      </c>
      <c r="H22" s="43">
        <v>371.17</v>
      </c>
      <c r="I22" s="43">
        <v>3841.91</v>
      </c>
      <c r="J22" s="43">
        <v>7950836.7800000003</v>
      </c>
      <c r="K22" s="43">
        <v>80978.070000000007</v>
      </c>
      <c r="L22" s="43">
        <v>71427.91</v>
      </c>
      <c r="M22" s="48">
        <f ca="1">'DCF Calc'!Q37</f>
        <v>72188.949405502208</v>
      </c>
      <c r="N22" s="43">
        <f ca="1">Loan_Level_Results[[#This Row],[NPV]]-Loan_Level_Results[[#This Row],[DCF CALC NPV]]</f>
        <v>-761.03940550220432</v>
      </c>
      <c r="O22" s="43">
        <f>Loan_Level_Results[[#This Row],[Principal Payment]]+Loan_Level_Results[[#This Row],[Interest]]</f>
        <v>54357.79</v>
      </c>
    </row>
    <row r="23" spans="1:15" x14ac:dyDescent="0.3">
      <c r="A23" s="45">
        <v>46507</v>
      </c>
      <c r="B23" s="44">
        <v>22</v>
      </c>
      <c r="C23" s="43">
        <v>7950836.7800000003</v>
      </c>
      <c r="D23" s="43">
        <v>7420.79</v>
      </c>
      <c r="E23" s="43">
        <v>46711.17</v>
      </c>
      <c r="F23" s="43">
        <v>22683.74</v>
      </c>
      <c r="G23" s="43">
        <v>4675.09</v>
      </c>
      <c r="H23" s="43">
        <v>389.55</v>
      </c>
      <c r="I23" s="43">
        <v>3788.49</v>
      </c>
      <c r="J23" s="43">
        <v>7916057.1600000001</v>
      </c>
      <c r="K23" s="43">
        <v>80604.19</v>
      </c>
      <c r="L23" s="43">
        <v>70680.47</v>
      </c>
      <c r="M23" s="48">
        <f ca="1">'DCF Calc'!Q38</f>
        <v>71472.51622282411</v>
      </c>
      <c r="N23" s="43">
        <f ca="1">Loan_Level_Results[[#This Row],[NPV]]-Loan_Level_Results[[#This Row],[DCF CALC NPV]]</f>
        <v>-792.04622282410855</v>
      </c>
      <c r="O23" s="43">
        <f>Loan_Level_Results[[#This Row],[Principal Payment]]+Loan_Level_Results[[#This Row],[Interest]]</f>
        <v>54131.96</v>
      </c>
    </row>
    <row r="24" spans="1:15" x14ac:dyDescent="0.3">
      <c r="A24" s="45">
        <v>46538</v>
      </c>
      <c r="B24" s="44">
        <v>23</v>
      </c>
      <c r="C24" s="43">
        <v>7916057.1600000001</v>
      </c>
      <c r="D24" s="43">
        <v>5838.11</v>
      </c>
      <c r="E24" s="43">
        <v>48057.06</v>
      </c>
      <c r="F24" s="43">
        <v>22584.51</v>
      </c>
      <c r="G24" s="43">
        <v>4654.6400000000003</v>
      </c>
      <c r="H24" s="43">
        <v>387.84</v>
      </c>
      <c r="I24" s="43">
        <v>3772.28</v>
      </c>
      <c r="J24" s="43">
        <v>7882979.9000000004</v>
      </c>
      <c r="K24" s="43">
        <v>80251.960000000006</v>
      </c>
      <c r="L24" s="43">
        <v>69944.490000000005</v>
      </c>
      <c r="M24" s="48">
        <f ca="1">'DCF Calc'!Q39</f>
        <v>70766.3730136511</v>
      </c>
      <c r="N24" s="43">
        <f ca="1">Loan_Level_Results[[#This Row],[NPV]]-Loan_Level_Results[[#This Row],[DCF CALC NPV]]</f>
        <v>-821.8830136510951</v>
      </c>
      <c r="O24" s="43">
        <f>Loan_Level_Results[[#This Row],[Principal Payment]]+Loan_Level_Results[[#This Row],[Interest]]</f>
        <v>53895.17</v>
      </c>
    </row>
    <row r="25" spans="1:15" x14ac:dyDescent="0.3">
      <c r="A25" s="45">
        <v>46568</v>
      </c>
      <c r="B25" s="44">
        <v>24</v>
      </c>
      <c r="C25" s="43">
        <v>7882979.9000000004</v>
      </c>
      <c r="D25" s="43">
        <v>7357.46</v>
      </c>
      <c r="E25" s="43">
        <v>46312.51</v>
      </c>
      <c r="F25" s="43">
        <v>22490.14</v>
      </c>
      <c r="G25" s="43">
        <v>4635.1899999999996</v>
      </c>
      <c r="H25" s="43">
        <v>386.22</v>
      </c>
      <c r="I25" s="43">
        <v>3756.88</v>
      </c>
      <c r="J25" s="43">
        <v>7848497.1100000003</v>
      </c>
      <c r="K25" s="43">
        <v>79916.990000000005</v>
      </c>
      <c r="L25" s="43">
        <v>69243.39</v>
      </c>
      <c r="M25" s="48">
        <f ca="1">'DCF Calc'!Q40</f>
        <v>70094.616140468599</v>
      </c>
      <c r="N25" s="43">
        <f ca="1">Loan_Level_Results[[#This Row],[NPV]]-Loan_Level_Results[[#This Row],[DCF CALC NPV]]</f>
        <v>-851.22614046859962</v>
      </c>
      <c r="O25" s="43">
        <f>Loan_Level_Results[[#This Row],[Principal Payment]]+Loan_Level_Results[[#This Row],[Interest]]</f>
        <v>53669.97</v>
      </c>
    </row>
    <row r="26" spans="1:15" x14ac:dyDescent="0.3">
      <c r="A26" s="45">
        <v>46599</v>
      </c>
      <c r="B26" s="44">
        <v>25</v>
      </c>
      <c r="C26" s="43">
        <v>7848497.1100000003</v>
      </c>
      <c r="D26" s="43">
        <v>5788.28</v>
      </c>
      <c r="E26" s="43">
        <v>47646.92</v>
      </c>
      <c r="F26" s="43">
        <v>22391.759999999998</v>
      </c>
      <c r="G26" s="43">
        <v>4795.43</v>
      </c>
      <c r="H26" s="43">
        <v>403.76</v>
      </c>
      <c r="I26" s="43">
        <v>3919.13</v>
      </c>
      <c r="J26" s="43">
        <v>7815521.6399999997</v>
      </c>
      <c r="K26" s="43">
        <v>79746.09</v>
      </c>
      <c r="L26" s="43">
        <v>68675.95</v>
      </c>
      <c r="M26" s="48">
        <f ca="1">'DCF Calc'!Q41</f>
        <v>69555.324465107216</v>
      </c>
      <c r="N26" s="43">
        <f ca="1">Loan_Level_Results[[#This Row],[NPV]]-Loan_Level_Results[[#This Row],[DCF CALC NPV]]</f>
        <v>-879.37446510721929</v>
      </c>
      <c r="O26" s="43">
        <f>Loan_Level_Results[[#This Row],[Principal Payment]]+Loan_Level_Results[[#This Row],[Interest]]</f>
        <v>53435.199999999997</v>
      </c>
    </row>
    <row r="27" spans="1:15" x14ac:dyDescent="0.3">
      <c r="A27" s="45">
        <v>46630</v>
      </c>
      <c r="B27" s="44">
        <v>26</v>
      </c>
      <c r="C27" s="43">
        <v>7815521.6399999997</v>
      </c>
      <c r="D27" s="43">
        <v>5763.96</v>
      </c>
      <c r="E27" s="43">
        <v>47446.73</v>
      </c>
      <c r="F27" s="43">
        <v>22297.68</v>
      </c>
      <c r="G27" s="43">
        <v>4775.28</v>
      </c>
      <c r="H27" s="43">
        <v>402.07</v>
      </c>
      <c r="I27" s="43">
        <v>3903.04</v>
      </c>
      <c r="J27" s="43">
        <v>7782684.7199999997</v>
      </c>
      <c r="K27" s="43">
        <v>79411.41</v>
      </c>
      <c r="L27" s="43">
        <v>67972.649999999994</v>
      </c>
      <c r="M27" s="48">
        <f ca="1">'DCF Calc'!Q42</f>
        <v>68879.577516596808</v>
      </c>
      <c r="N27" s="43">
        <f ca="1">Loan_Level_Results[[#This Row],[NPV]]-Loan_Level_Results[[#This Row],[DCF CALC NPV]]</f>
        <v>-906.9275165968138</v>
      </c>
      <c r="O27" s="43">
        <f>Loan_Level_Results[[#This Row],[Principal Payment]]+Loan_Level_Results[[#This Row],[Interest]]</f>
        <v>53210.69</v>
      </c>
    </row>
    <row r="28" spans="1:15" x14ac:dyDescent="0.3">
      <c r="A28" s="45">
        <v>46660</v>
      </c>
      <c r="B28" s="44">
        <v>27</v>
      </c>
      <c r="C28" s="43">
        <v>7782684.7199999997</v>
      </c>
      <c r="D28" s="43">
        <v>7263.8500000000104</v>
      </c>
      <c r="E28" s="43">
        <v>45723.27</v>
      </c>
      <c r="F28" s="43">
        <v>22204</v>
      </c>
      <c r="G28" s="43">
        <v>4755.22</v>
      </c>
      <c r="H28" s="43">
        <v>400.38</v>
      </c>
      <c r="I28" s="43">
        <v>3887.01</v>
      </c>
      <c r="J28" s="43">
        <v>7748461.6500000004</v>
      </c>
      <c r="K28" s="43">
        <v>79078.13</v>
      </c>
      <c r="L28" s="43">
        <v>67289.77</v>
      </c>
      <c r="M28" s="48">
        <f ca="1">'DCF Calc'!Q43</f>
        <v>68223.659072911512</v>
      </c>
      <c r="N28" s="43">
        <f ca="1">Loan_Level_Results[[#This Row],[NPV]]-Loan_Level_Results[[#This Row],[DCF CALC NPV]]</f>
        <v>-933.88907291150826</v>
      </c>
      <c r="O28" s="43">
        <f>Loan_Level_Results[[#This Row],[Principal Payment]]+Loan_Level_Results[[#This Row],[Interest]]</f>
        <v>52987.12000000001</v>
      </c>
    </row>
    <row r="29" spans="1:15" x14ac:dyDescent="0.3">
      <c r="A29" s="45">
        <v>46691</v>
      </c>
      <c r="B29" s="44">
        <v>28</v>
      </c>
      <c r="C29" s="43">
        <v>7748461.6500000004</v>
      </c>
      <c r="D29" s="43">
        <v>5714.5</v>
      </c>
      <c r="E29" s="43">
        <v>47039.62</v>
      </c>
      <c r="F29" s="43">
        <v>22106.36</v>
      </c>
      <c r="G29" s="43">
        <v>4920.2700000000004</v>
      </c>
      <c r="H29" s="43">
        <v>418.46</v>
      </c>
      <c r="I29" s="43">
        <v>4046.13</v>
      </c>
      <c r="J29" s="43">
        <v>7715720.5199999996</v>
      </c>
      <c r="K29" s="43">
        <v>78906.61</v>
      </c>
      <c r="L29" s="43">
        <v>66736.3</v>
      </c>
      <c r="M29" s="48">
        <f ca="1">'DCF Calc'!Q44</f>
        <v>67695.934829958249</v>
      </c>
      <c r="N29" s="43">
        <f ca="1">Loan_Level_Results[[#This Row],[NPV]]-Loan_Level_Results[[#This Row],[DCF CALC NPV]]</f>
        <v>-959.63482995824597</v>
      </c>
      <c r="O29" s="43">
        <f>Loan_Level_Results[[#This Row],[Principal Payment]]+Loan_Level_Results[[#This Row],[Interest]]</f>
        <v>52754.12</v>
      </c>
    </row>
    <row r="30" spans="1:15" x14ac:dyDescent="0.3">
      <c r="A30" s="45">
        <v>46721</v>
      </c>
      <c r="B30" s="44">
        <v>29</v>
      </c>
      <c r="C30" s="43">
        <v>7715720.5199999996</v>
      </c>
      <c r="D30" s="43">
        <v>7201.35</v>
      </c>
      <c r="E30" s="43">
        <v>45329.86</v>
      </c>
      <c r="F30" s="43">
        <v>22012.95</v>
      </c>
      <c r="G30" s="43">
        <v>4899.4799999999996</v>
      </c>
      <c r="H30" s="43">
        <v>416.7</v>
      </c>
      <c r="I30" s="43">
        <v>4029.42</v>
      </c>
      <c r="J30" s="43">
        <v>7681606.7400000002</v>
      </c>
      <c r="K30" s="43">
        <v>78573.58</v>
      </c>
      <c r="L30" s="43">
        <v>66064.259999999995</v>
      </c>
      <c r="M30" s="48">
        <f ca="1">'DCF Calc'!Q45</f>
        <v>67049.314490243618</v>
      </c>
      <c r="N30" s="43">
        <f ca="1">Loan_Level_Results[[#This Row],[NPV]]-Loan_Level_Results[[#This Row],[DCF CALC NPV]]</f>
        <v>-985.05449024362315</v>
      </c>
      <c r="O30" s="43">
        <f>Loan_Level_Results[[#This Row],[Principal Payment]]+Loan_Level_Results[[#This Row],[Interest]]</f>
        <v>52531.21</v>
      </c>
    </row>
    <row r="31" spans="1:15" x14ac:dyDescent="0.3">
      <c r="A31" s="45">
        <v>46752</v>
      </c>
      <c r="B31" s="44">
        <v>30</v>
      </c>
      <c r="C31" s="43">
        <v>7681606.7400000002</v>
      </c>
      <c r="D31" s="43">
        <v>5665.2</v>
      </c>
      <c r="E31" s="43">
        <v>46633.75</v>
      </c>
      <c r="F31" s="43">
        <v>21915.62</v>
      </c>
      <c r="G31" s="43">
        <v>4877.82</v>
      </c>
      <c r="H31" s="43">
        <v>414.85</v>
      </c>
      <c r="I31" s="43">
        <v>4011.99</v>
      </c>
      <c r="J31" s="43">
        <v>7649148.0999999996</v>
      </c>
      <c r="K31" s="43">
        <v>78226.559999999998</v>
      </c>
      <c r="L31" s="43">
        <v>65373.29</v>
      </c>
      <c r="M31" s="48">
        <f ca="1">'DCF Calc'!Q46</f>
        <v>66382.638443440097</v>
      </c>
      <c r="N31" s="43">
        <f ca="1">Loan_Level_Results[[#This Row],[NPV]]-Loan_Level_Results[[#This Row],[DCF CALC NPV]]</f>
        <v>-1009.3484434400962</v>
      </c>
      <c r="O31" s="43">
        <f>Loan_Level_Results[[#This Row],[Principal Payment]]+Loan_Level_Results[[#This Row],[Interest]]</f>
        <v>52298.95</v>
      </c>
    </row>
    <row r="32" spans="1:15" x14ac:dyDescent="0.3">
      <c r="A32" s="45">
        <v>46783</v>
      </c>
      <c r="B32" s="44">
        <v>31</v>
      </c>
      <c r="C32" s="43">
        <v>7649148.0999999996</v>
      </c>
      <c r="D32" s="43">
        <v>5641.26</v>
      </c>
      <c r="E32" s="43">
        <v>46436.7</v>
      </c>
      <c r="F32" s="43">
        <v>21823.02</v>
      </c>
      <c r="G32" s="43">
        <v>5040.79</v>
      </c>
      <c r="H32" s="43">
        <v>432.91</v>
      </c>
      <c r="I32" s="43">
        <v>4168.8100000000004</v>
      </c>
      <c r="J32" s="43">
        <v>7616643.0300000003</v>
      </c>
      <c r="K32" s="43">
        <v>78069.789999999994</v>
      </c>
      <c r="L32" s="43">
        <v>64846.29</v>
      </c>
      <c r="M32" s="48">
        <f ca="1">'DCF Calc'!Q47</f>
        <v>65879.286515591462</v>
      </c>
      <c r="N32" s="43">
        <f ca="1">Loan_Level_Results[[#This Row],[NPV]]-Loan_Level_Results[[#This Row],[DCF CALC NPV]]</f>
        <v>-1032.9965155914615</v>
      </c>
      <c r="O32" s="43">
        <f>Loan_Level_Results[[#This Row],[Principal Payment]]+Loan_Level_Results[[#This Row],[Interest]]</f>
        <v>52077.96</v>
      </c>
    </row>
    <row r="33" spans="1:15" x14ac:dyDescent="0.3">
      <c r="A33" s="45">
        <v>46812</v>
      </c>
      <c r="B33" s="44">
        <v>32</v>
      </c>
      <c r="C33" s="43">
        <v>7616643.0300000003</v>
      </c>
      <c r="D33" s="43">
        <v>10092.07</v>
      </c>
      <c r="E33" s="43">
        <v>41764.589999999997</v>
      </c>
      <c r="F33" s="43">
        <v>21730.28</v>
      </c>
      <c r="G33" s="43">
        <v>5019.37</v>
      </c>
      <c r="H33" s="43">
        <v>431.07</v>
      </c>
      <c r="I33" s="43">
        <v>4151.49</v>
      </c>
      <c r="J33" s="43">
        <v>7579801.3099999996</v>
      </c>
      <c r="K33" s="43">
        <v>77738.429999999993</v>
      </c>
      <c r="L33" s="43">
        <v>64216.97</v>
      </c>
      <c r="M33" s="48">
        <f ca="1">'DCF Calc'!Q48</f>
        <v>65273.584569142724</v>
      </c>
      <c r="N33" s="43">
        <f ca="1">Loan_Level_Results[[#This Row],[NPV]]-Loan_Level_Results[[#This Row],[DCF CALC NPV]]</f>
        <v>-1056.6145691427228</v>
      </c>
      <c r="O33" s="43">
        <f>Loan_Level_Results[[#This Row],[Principal Payment]]+Loan_Level_Results[[#This Row],[Interest]]</f>
        <v>51856.659999999996</v>
      </c>
    </row>
    <row r="34" spans="1:15" x14ac:dyDescent="0.3">
      <c r="A34" s="45">
        <v>46843</v>
      </c>
      <c r="B34" s="44">
        <v>33</v>
      </c>
      <c r="C34" s="43">
        <v>7579801.3099999996</v>
      </c>
      <c r="D34" s="43">
        <v>5590.11</v>
      </c>
      <c r="E34" s="43">
        <v>46015.71</v>
      </c>
      <c r="F34" s="43">
        <v>21625.17</v>
      </c>
      <c r="G34" s="43">
        <v>4995.09</v>
      </c>
      <c r="H34" s="43">
        <v>428.98</v>
      </c>
      <c r="I34" s="43">
        <v>4131.8100000000004</v>
      </c>
      <c r="J34" s="43">
        <v>7547590.9400000004</v>
      </c>
      <c r="K34" s="43">
        <v>77362.8</v>
      </c>
      <c r="L34" s="43">
        <v>63518.8</v>
      </c>
      <c r="M34" s="48">
        <f ca="1">'DCF Calc'!Q49</f>
        <v>64597.095832570689</v>
      </c>
      <c r="N34" s="43">
        <f ca="1">Loan_Level_Results[[#This Row],[NPV]]-Loan_Level_Results[[#This Row],[DCF CALC NPV]]</f>
        <v>-1078.2958325706859</v>
      </c>
      <c r="O34" s="43">
        <f>Loan_Level_Results[[#This Row],[Principal Payment]]+Loan_Level_Results[[#This Row],[Interest]]</f>
        <v>51605.82</v>
      </c>
    </row>
    <row r="35" spans="1:15" x14ac:dyDescent="0.3">
      <c r="A35" s="45">
        <v>46873</v>
      </c>
      <c r="B35" s="44">
        <v>34</v>
      </c>
      <c r="C35" s="43">
        <v>7547590.9400000004</v>
      </c>
      <c r="D35" s="43">
        <v>7044.43</v>
      </c>
      <c r="E35" s="43">
        <v>44342.1</v>
      </c>
      <c r="F35" s="43">
        <v>21533.279999999999</v>
      </c>
      <c r="G35" s="43">
        <v>5155</v>
      </c>
      <c r="H35" s="43">
        <v>446.91</v>
      </c>
      <c r="I35" s="43">
        <v>4285.54</v>
      </c>
      <c r="J35" s="43">
        <v>7513858.2300000004</v>
      </c>
      <c r="K35" s="43">
        <v>77205.350000000006</v>
      </c>
      <c r="L35" s="43">
        <v>63017.16</v>
      </c>
      <c r="M35" s="48">
        <f ca="1">'DCF Calc'!Q50</f>
        <v>64117.111463229754</v>
      </c>
      <c r="N35" s="43">
        <f ca="1">Loan_Level_Results[[#This Row],[NPV]]-Loan_Level_Results[[#This Row],[DCF CALC NPV]]</f>
        <v>-1099.9514632297505</v>
      </c>
      <c r="O35" s="43">
        <f>Loan_Level_Results[[#This Row],[Principal Payment]]+Loan_Level_Results[[#This Row],[Interest]]</f>
        <v>51386.53</v>
      </c>
    </row>
    <row r="36" spans="1:15" x14ac:dyDescent="0.3">
      <c r="A36" s="45">
        <v>46904</v>
      </c>
      <c r="B36" s="44">
        <v>35</v>
      </c>
      <c r="C36" s="43">
        <v>7513858.2300000004</v>
      </c>
      <c r="D36" s="43">
        <v>5541.48</v>
      </c>
      <c r="E36" s="43">
        <v>45615.38</v>
      </c>
      <c r="F36" s="43">
        <v>21437.040000000001</v>
      </c>
      <c r="G36" s="43">
        <v>5131.97</v>
      </c>
      <c r="H36" s="43">
        <v>444.91</v>
      </c>
      <c r="I36" s="43">
        <v>4266.8</v>
      </c>
      <c r="J36" s="43">
        <v>7481747.7400000002</v>
      </c>
      <c r="K36" s="43">
        <v>76860.7</v>
      </c>
      <c r="L36" s="43">
        <v>62355.08</v>
      </c>
      <c r="M36" s="48">
        <f ca="1">'DCF Calc'!Q51</f>
        <v>63475.707478811215</v>
      </c>
      <c r="N36" s="43">
        <f ca="1">Loan_Level_Results[[#This Row],[NPV]]-Loan_Level_Results[[#This Row],[DCF CALC NPV]]</f>
        <v>-1120.6274788112132</v>
      </c>
      <c r="O36" s="43">
        <f>Loan_Level_Results[[#This Row],[Principal Payment]]+Loan_Level_Results[[#This Row],[Interest]]</f>
        <v>51156.86</v>
      </c>
    </row>
    <row r="37" spans="1:15" x14ac:dyDescent="0.3">
      <c r="A37" s="45">
        <v>46934</v>
      </c>
      <c r="B37" s="44">
        <v>36</v>
      </c>
      <c r="C37" s="43">
        <v>7481747.7400000002</v>
      </c>
      <c r="D37" s="43">
        <v>6982.97</v>
      </c>
      <c r="E37" s="43">
        <v>43955.27</v>
      </c>
      <c r="F37" s="43">
        <v>21345.43</v>
      </c>
      <c r="G37" s="43">
        <v>5110.03</v>
      </c>
      <c r="H37" s="43">
        <v>443.01</v>
      </c>
      <c r="I37" s="43">
        <v>4248.97</v>
      </c>
      <c r="J37" s="43">
        <v>7448309.3099999996</v>
      </c>
      <c r="K37" s="43">
        <v>76532.639999999999</v>
      </c>
      <c r="L37" s="43">
        <v>61724.21</v>
      </c>
      <c r="M37" s="48">
        <f ca="1">'DCF Calc'!Q52</f>
        <v>62865.271982478305</v>
      </c>
      <c r="N37" s="43">
        <f ca="1">Loan_Level_Results[[#This Row],[NPV]]-Loan_Level_Results[[#This Row],[DCF CALC NPV]]</f>
        <v>-1141.0619824783062</v>
      </c>
      <c r="O37" s="43">
        <f>Loan_Level_Results[[#This Row],[Principal Payment]]+Loan_Level_Results[[#This Row],[Interest]]</f>
        <v>50938.239999999998</v>
      </c>
    </row>
    <row r="38" spans="1:15" x14ac:dyDescent="0.3">
      <c r="A38" s="45">
        <v>46965</v>
      </c>
      <c r="B38" s="44">
        <v>37</v>
      </c>
      <c r="C38" s="43">
        <v>7448309.3099999996</v>
      </c>
      <c r="D38" s="43">
        <v>5493.14</v>
      </c>
      <c r="E38" s="43">
        <v>45217.440000000002</v>
      </c>
      <c r="F38" s="43">
        <v>21250.03</v>
      </c>
      <c r="G38" s="43">
        <v>5087.2</v>
      </c>
      <c r="H38" s="43">
        <v>441.03</v>
      </c>
      <c r="I38" s="43">
        <v>4391.67</v>
      </c>
      <c r="J38" s="43">
        <v>7416478.9400000004</v>
      </c>
      <c r="K38" s="43">
        <v>76352.28</v>
      </c>
      <c r="L38" s="43">
        <v>61205</v>
      </c>
      <c r="M38" s="48">
        <f ca="1">'DCF Calc'!Q53</f>
        <v>62365.196795324286</v>
      </c>
      <c r="N38" s="43">
        <f ca="1">Loan_Level_Results[[#This Row],[NPV]]-Loan_Level_Results[[#This Row],[DCF CALC NPV]]</f>
        <v>-1160.1967953242856</v>
      </c>
      <c r="O38" s="43">
        <f>Loan_Level_Results[[#This Row],[Principal Payment]]+Loan_Level_Results[[#This Row],[Interest]]</f>
        <v>50710.58</v>
      </c>
    </row>
    <row r="39" spans="1:15" x14ac:dyDescent="0.3">
      <c r="A39" s="45">
        <v>46996</v>
      </c>
      <c r="B39" s="44">
        <v>38</v>
      </c>
      <c r="C39" s="43">
        <v>7416478.9400000004</v>
      </c>
      <c r="D39" s="43">
        <v>5469.66</v>
      </c>
      <c r="E39" s="43">
        <v>45024.21</v>
      </c>
      <c r="F39" s="43">
        <v>21159.21</v>
      </c>
      <c r="G39" s="43">
        <v>5065.46</v>
      </c>
      <c r="H39" s="43">
        <v>439.15</v>
      </c>
      <c r="I39" s="43">
        <v>4373.21</v>
      </c>
      <c r="J39" s="43">
        <v>7384784.6100000003</v>
      </c>
      <c r="K39" s="43">
        <v>76026.289999999994</v>
      </c>
      <c r="L39" s="43">
        <v>60573.79</v>
      </c>
      <c r="M39" s="48">
        <f ca="1">'DCF Calc'!Q54</f>
        <v>61752.893561622855</v>
      </c>
      <c r="N39" s="43">
        <f ca="1">Loan_Level_Results[[#This Row],[NPV]]-Loan_Level_Results[[#This Row],[DCF CALC NPV]]</f>
        <v>-1179.1035616228546</v>
      </c>
      <c r="O39" s="43">
        <f>Loan_Level_Results[[#This Row],[Principal Payment]]+Loan_Level_Results[[#This Row],[Interest]]</f>
        <v>50493.869999999995</v>
      </c>
    </row>
    <row r="40" spans="1:15" x14ac:dyDescent="0.3">
      <c r="A40" s="45">
        <v>47026</v>
      </c>
      <c r="B40" s="44">
        <v>39</v>
      </c>
      <c r="C40" s="43">
        <v>7384784.6100000003</v>
      </c>
      <c r="D40" s="43">
        <v>6892.48</v>
      </c>
      <c r="E40" s="43">
        <v>43385.61</v>
      </c>
      <c r="F40" s="43">
        <v>21068.79</v>
      </c>
      <c r="G40" s="43">
        <v>5043.8100000000004</v>
      </c>
      <c r="H40" s="43">
        <v>437.27</v>
      </c>
      <c r="I40" s="43">
        <v>4354.84</v>
      </c>
      <c r="J40" s="43">
        <v>7351779.5300000003</v>
      </c>
      <c r="K40" s="43">
        <v>75701.72</v>
      </c>
      <c r="L40" s="43">
        <v>59960.88</v>
      </c>
      <c r="M40" s="48">
        <f ca="1">'DCF Calc'!Q55</f>
        <v>61158.479400154247</v>
      </c>
      <c r="N40" s="43">
        <f ca="1">Loan_Level_Results[[#This Row],[NPV]]-Loan_Level_Results[[#This Row],[DCF CALC NPV]]</f>
        <v>-1197.5994001542495</v>
      </c>
      <c r="O40" s="43">
        <f>Loan_Level_Results[[#This Row],[Principal Payment]]+Loan_Level_Results[[#This Row],[Interest]]</f>
        <v>50278.09</v>
      </c>
    </row>
    <row r="41" spans="1:15" x14ac:dyDescent="0.3">
      <c r="A41" s="45">
        <v>47057</v>
      </c>
      <c r="B41" s="44">
        <v>40</v>
      </c>
      <c r="C41" s="43">
        <v>7351779.5300000003</v>
      </c>
      <c r="D41" s="43">
        <v>5421.95</v>
      </c>
      <c r="E41" s="43">
        <v>44631.43</v>
      </c>
      <c r="F41" s="43">
        <v>20974.63</v>
      </c>
      <c r="G41" s="43">
        <v>5021.2700000000004</v>
      </c>
      <c r="H41" s="43">
        <v>435.31</v>
      </c>
      <c r="I41" s="43">
        <v>4501.8100000000004</v>
      </c>
      <c r="J41" s="43">
        <v>7320361.6799999997</v>
      </c>
      <c r="K41" s="43">
        <v>75529.820000000007</v>
      </c>
      <c r="L41" s="43">
        <v>59461.62</v>
      </c>
      <c r="M41" s="48">
        <f ca="1">'DCF Calc'!Q56</f>
        <v>60676.349157778735</v>
      </c>
      <c r="N41" s="43">
        <f ca="1">Loan_Level_Results[[#This Row],[NPV]]-Loan_Level_Results[[#This Row],[DCF CALC NPV]]</f>
        <v>-1214.7291577787328</v>
      </c>
      <c r="O41" s="43">
        <f>Loan_Level_Results[[#This Row],[Principal Payment]]+Loan_Level_Results[[#This Row],[Interest]]</f>
        <v>50053.38</v>
      </c>
    </row>
    <row r="42" spans="1:15" x14ac:dyDescent="0.3">
      <c r="A42" s="45">
        <v>47087</v>
      </c>
      <c r="B42" s="44">
        <v>41</v>
      </c>
      <c r="C42" s="43">
        <v>7320361.6799999997</v>
      </c>
      <c r="D42" s="43">
        <v>6832.35</v>
      </c>
      <c r="E42" s="43">
        <v>43007.12</v>
      </c>
      <c r="F42" s="43">
        <v>20884.990000000002</v>
      </c>
      <c r="G42" s="43">
        <v>4999.8100000000004</v>
      </c>
      <c r="H42" s="43">
        <v>433.45</v>
      </c>
      <c r="I42" s="43">
        <v>4482.78</v>
      </c>
      <c r="J42" s="43">
        <v>7287644.5300000003</v>
      </c>
      <c r="K42" s="43">
        <v>75207.240000000005</v>
      </c>
      <c r="L42" s="43">
        <v>58859.87</v>
      </c>
      <c r="M42" s="48">
        <f ca="1">'DCF Calc'!Q57</f>
        <v>60091.854933142204</v>
      </c>
      <c r="N42" s="43">
        <f ca="1">Loan_Level_Results[[#This Row],[NPV]]-Loan_Level_Results[[#This Row],[DCF CALC NPV]]</f>
        <v>-1231.984933142201</v>
      </c>
      <c r="O42" s="43">
        <f>Loan_Level_Results[[#This Row],[Principal Payment]]+Loan_Level_Results[[#This Row],[Interest]]</f>
        <v>49839.47</v>
      </c>
    </row>
    <row r="43" spans="1:15" x14ac:dyDescent="0.3">
      <c r="A43" s="45">
        <v>47118</v>
      </c>
      <c r="B43" s="44">
        <v>42</v>
      </c>
      <c r="C43" s="43">
        <v>7287644.5300000003</v>
      </c>
      <c r="D43" s="43">
        <v>5374.64</v>
      </c>
      <c r="E43" s="43">
        <v>44242.080000000002</v>
      </c>
      <c r="F43" s="43">
        <v>20791.650000000001</v>
      </c>
      <c r="G43" s="43">
        <v>4977.46</v>
      </c>
      <c r="H43" s="43">
        <v>431.52</v>
      </c>
      <c r="I43" s="43">
        <v>4462.97</v>
      </c>
      <c r="J43" s="43">
        <v>7256500.7800000003</v>
      </c>
      <c r="K43" s="43">
        <v>74871.34</v>
      </c>
      <c r="L43" s="43">
        <v>58241.33</v>
      </c>
      <c r="M43" s="48">
        <f ca="1">'DCF Calc'!Q58</f>
        <v>59489.464006878057</v>
      </c>
      <c r="N43" s="43">
        <f ca="1">Loan_Level_Results[[#This Row],[NPV]]-Loan_Level_Results[[#This Row],[DCF CALC NPV]]</f>
        <v>-1248.1340068780555</v>
      </c>
      <c r="O43" s="43">
        <f>Loan_Level_Results[[#This Row],[Principal Payment]]+Loan_Level_Results[[#This Row],[Interest]]</f>
        <v>49616.72</v>
      </c>
    </row>
    <row r="44" spans="1:15" x14ac:dyDescent="0.3">
      <c r="A44" s="45">
        <v>47149</v>
      </c>
      <c r="B44" s="44">
        <v>43</v>
      </c>
      <c r="C44" s="43">
        <v>7256500.7800000003</v>
      </c>
      <c r="D44" s="43">
        <v>5351.68</v>
      </c>
      <c r="E44" s="43">
        <v>44053.01</v>
      </c>
      <c r="F44" s="43">
        <v>20702.8</v>
      </c>
      <c r="G44" s="43">
        <v>4956.1899999999996</v>
      </c>
      <c r="H44" s="43">
        <v>429.67</v>
      </c>
      <c r="I44" s="43">
        <v>4607.88</v>
      </c>
      <c r="J44" s="43">
        <v>7225490.1100000003</v>
      </c>
      <c r="K44" s="43">
        <v>74715.37</v>
      </c>
      <c r="L44" s="43">
        <v>57767.25</v>
      </c>
      <c r="M44" s="48">
        <f ca="1">'DCF Calc'!Q59</f>
        <v>59030.877379559744</v>
      </c>
      <c r="N44" s="43">
        <f ca="1">Loan_Level_Results[[#This Row],[NPV]]-Loan_Level_Results[[#This Row],[DCF CALC NPV]]</f>
        <v>-1263.6273795597444</v>
      </c>
      <c r="O44" s="43">
        <f>Loan_Level_Results[[#This Row],[Principal Payment]]+Loan_Level_Results[[#This Row],[Interest]]</f>
        <v>49404.69</v>
      </c>
    </row>
    <row r="45" spans="1:15" x14ac:dyDescent="0.3">
      <c r="A45" s="45">
        <v>47177</v>
      </c>
      <c r="B45" s="44">
        <v>44</v>
      </c>
      <c r="C45" s="43">
        <v>7225490.1100000003</v>
      </c>
      <c r="D45" s="43">
        <v>9573.7900000000009</v>
      </c>
      <c r="E45" s="43">
        <v>39619.769999999997</v>
      </c>
      <c r="F45" s="43">
        <v>20614.32</v>
      </c>
      <c r="G45" s="43">
        <v>4935.01</v>
      </c>
      <c r="H45" s="43">
        <v>427.84</v>
      </c>
      <c r="I45" s="43">
        <v>4588.3</v>
      </c>
      <c r="J45" s="43">
        <v>7190366.9900000002</v>
      </c>
      <c r="K45" s="43">
        <v>74396.179999999993</v>
      </c>
      <c r="L45" s="43">
        <v>57205.04</v>
      </c>
      <c r="M45" s="48">
        <f ca="1">'DCF Calc'!Q60</f>
        <v>58484.636338016382</v>
      </c>
      <c r="N45" s="43">
        <f ca="1">Loan_Level_Results[[#This Row],[NPV]]-Loan_Level_Results[[#This Row],[DCF CALC NPV]]</f>
        <v>-1279.5963380163812</v>
      </c>
      <c r="O45" s="43">
        <f>Loan_Level_Results[[#This Row],[Principal Payment]]+Loan_Level_Results[[#This Row],[Interest]]</f>
        <v>49193.56</v>
      </c>
    </row>
    <row r="46" spans="1:15" x14ac:dyDescent="0.3">
      <c r="A46" s="45">
        <v>47208</v>
      </c>
      <c r="B46" s="44">
        <v>45</v>
      </c>
      <c r="C46" s="43">
        <v>7190366.9900000002</v>
      </c>
      <c r="D46" s="43">
        <v>5302.91</v>
      </c>
      <c r="E46" s="43">
        <v>43651.519999999997</v>
      </c>
      <c r="F46" s="43">
        <v>20514.12</v>
      </c>
      <c r="G46" s="43">
        <v>4911.0200000000004</v>
      </c>
      <c r="H46" s="43">
        <v>425.76</v>
      </c>
      <c r="I46" s="43">
        <v>4566.1099999999997</v>
      </c>
      <c r="J46" s="43">
        <v>7159638.9400000004</v>
      </c>
      <c r="K46" s="43">
        <v>74034.66</v>
      </c>
      <c r="L46" s="43">
        <v>56581.55</v>
      </c>
      <c r="M46" s="48">
        <f ca="1">'DCF Calc'!Q61</f>
        <v>57875.001814632655</v>
      </c>
      <c r="N46" s="43">
        <f ca="1">Loan_Level_Results[[#This Row],[NPV]]-Loan_Level_Results[[#This Row],[DCF CALC NPV]]</f>
        <v>-1293.4518146326518</v>
      </c>
      <c r="O46" s="43">
        <f>Loan_Level_Results[[#This Row],[Principal Payment]]+Loan_Level_Results[[#This Row],[Interest]]</f>
        <v>48954.429999999993</v>
      </c>
    </row>
    <row r="47" spans="1:15" x14ac:dyDescent="0.3">
      <c r="A47" s="45">
        <v>47238</v>
      </c>
      <c r="B47" s="44">
        <v>46</v>
      </c>
      <c r="C47" s="43">
        <v>7159638.9400000004</v>
      </c>
      <c r="D47" s="43">
        <v>6682.34</v>
      </c>
      <c r="E47" s="43">
        <v>42062.879999999997</v>
      </c>
      <c r="F47" s="43">
        <v>20426.45</v>
      </c>
      <c r="G47" s="43">
        <v>4890.03</v>
      </c>
      <c r="H47" s="43">
        <v>423.94</v>
      </c>
      <c r="I47" s="43">
        <v>4708.09</v>
      </c>
      <c r="J47" s="43">
        <v>7127640.1200000001</v>
      </c>
      <c r="K47" s="43">
        <v>73879.759999999995</v>
      </c>
      <c r="L47" s="43">
        <v>56131.49</v>
      </c>
      <c r="M47" s="48">
        <f ca="1">'DCF Calc'!Q62</f>
        <v>57438.912901502066</v>
      </c>
      <c r="N47" s="43">
        <f ca="1">Loan_Level_Results[[#This Row],[NPV]]-Loan_Level_Results[[#This Row],[DCF CALC NPV]]</f>
        <v>-1307.4229015020683</v>
      </c>
      <c r="O47" s="43">
        <f>Loan_Level_Results[[#This Row],[Principal Payment]]+Loan_Level_Results[[#This Row],[Interest]]</f>
        <v>48745.22</v>
      </c>
    </row>
    <row r="48" spans="1:15" x14ac:dyDescent="0.3">
      <c r="A48" s="45">
        <v>47269</v>
      </c>
      <c r="B48" s="44">
        <v>47</v>
      </c>
      <c r="C48" s="43">
        <v>7127640.1200000001</v>
      </c>
      <c r="D48" s="43">
        <v>5256.64</v>
      </c>
      <c r="E48" s="43">
        <v>43270.720000000001</v>
      </c>
      <c r="F48" s="43">
        <v>20335.16</v>
      </c>
      <c r="G48" s="43">
        <v>4868.18</v>
      </c>
      <c r="H48" s="43">
        <v>422.04</v>
      </c>
      <c r="I48" s="43">
        <v>4687.0600000000004</v>
      </c>
      <c r="J48" s="43">
        <v>7097180.1399999997</v>
      </c>
      <c r="K48" s="43">
        <v>73549.58</v>
      </c>
      <c r="L48" s="43">
        <v>55541.46</v>
      </c>
      <c r="M48" s="48">
        <f ca="1">'DCF Calc'!Q63</f>
        <v>56862.113051171931</v>
      </c>
      <c r="N48" s="43">
        <f ca="1">Loan_Level_Results[[#This Row],[NPV]]-Loan_Level_Results[[#This Row],[DCF CALC NPV]]</f>
        <v>-1320.653051171932</v>
      </c>
      <c r="O48" s="43">
        <f>Loan_Level_Results[[#This Row],[Principal Payment]]+Loan_Level_Results[[#This Row],[Interest]]</f>
        <v>48527.360000000001</v>
      </c>
    </row>
    <row r="49" spans="1:15" x14ac:dyDescent="0.3">
      <c r="A49" s="45">
        <v>47299</v>
      </c>
      <c r="B49" s="44">
        <v>48</v>
      </c>
      <c r="C49" s="43">
        <v>7097180.1399999997</v>
      </c>
      <c r="D49" s="43">
        <v>6624.05</v>
      </c>
      <c r="E49" s="43">
        <v>41695.93</v>
      </c>
      <c r="F49" s="43">
        <v>20248.25</v>
      </c>
      <c r="G49" s="43">
        <v>4847.37</v>
      </c>
      <c r="H49" s="43">
        <v>420.24</v>
      </c>
      <c r="I49" s="43">
        <v>4667.0200000000004</v>
      </c>
      <c r="J49" s="43">
        <v>7065460.4699999997</v>
      </c>
      <c r="K49" s="43">
        <v>73235.25</v>
      </c>
      <c r="L49" s="43">
        <v>54979.23</v>
      </c>
      <c r="M49" s="48">
        <f ca="1">'DCF Calc'!Q64</f>
        <v>56313.115972447915</v>
      </c>
      <c r="N49" s="43">
        <f ca="1">Loan_Level_Results[[#This Row],[NPV]]-Loan_Level_Results[[#This Row],[DCF CALC NPV]]</f>
        <v>-1333.8859724479116</v>
      </c>
      <c r="O49" s="43">
        <f>Loan_Level_Results[[#This Row],[Principal Payment]]+Loan_Level_Results[[#This Row],[Interest]]</f>
        <v>48319.98</v>
      </c>
    </row>
    <row r="50" spans="1:15" x14ac:dyDescent="0.3">
      <c r="A50" s="45">
        <v>47330</v>
      </c>
      <c r="B50" s="44">
        <v>49</v>
      </c>
      <c r="C50" s="43">
        <v>7065460.4699999997</v>
      </c>
      <c r="D50" s="43">
        <v>5210.78999999999</v>
      </c>
      <c r="E50" s="43">
        <v>42893.23</v>
      </c>
      <c r="F50" s="43">
        <v>20157.759999999998</v>
      </c>
      <c r="G50" s="43">
        <v>4825.71</v>
      </c>
      <c r="H50" s="43">
        <v>418.36</v>
      </c>
      <c r="I50" s="43">
        <v>4646.17</v>
      </c>
      <c r="J50" s="43">
        <v>7035266.21</v>
      </c>
      <c r="K50" s="43">
        <v>72907.95</v>
      </c>
      <c r="L50" s="43">
        <v>54401.31</v>
      </c>
      <c r="M50" s="48">
        <f ca="1">'DCF Calc'!Q65</f>
        <v>55747.366009400466</v>
      </c>
      <c r="N50" s="43">
        <f ca="1">Loan_Level_Results[[#This Row],[NPV]]-Loan_Level_Results[[#This Row],[DCF CALC NPV]]</f>
        <v>-1346.0560094004686</v>
      </c>
      <c r="O50" s="43">
        <f>Loan_Level_Results[[#This Row],[Principal Payment]]+Loan_Level_Results[[#This Row],[Interest]]</f>
        <v>48104.01999999999</v>
      </c>
    </row>
    <row r="51" spans="1:15" x14ac:dyDescent="0.3">
      <c r="A51" s="45">
        <v>47361</v>
      </c>
      <c r="B51" s="44">
        <v>50</v>
      </c>
      <c r="C51" s="43">
        <v>7035266.21</v>
      </c>
      <c r="D51" s="43">
        <v>5188.5200000000004</v>
      </c>
      <c r="E51" s="43">
        <v>42709.93</v>
      </c>
      <c r="F51" s="43">
        <v>20071.61</v>
      </c>
      <c r="G51" s="43">
        <v>4805.09</v>
      </c>
      <c r="H51" s="43">
        <v>416.57</v>
      </c>
      <c r="I51" s="43">
        <v>4626.3100000000004</v>
      </c>
      <c r="J51" s="43">
        <v>7005200.9900000002</v>
      </c>
      <c r="K51" s="43">
        <v>72596.37</v>
      </c>
      <c r="L51" s="43">
        <v>53840.05</v>
      </c>
      <c r="M51" s="48">
        <f ca="1">'DCF Calc'!Q66</f>
        <v>55198.023155433148</v>
      </c>
      <c r="N51" s="43">
        <f ca="1">Loan_Level_Results[[#This Row],[NPV]]-Loan_Level_Results[[#This Row],[DCF CALC NPV]]</f>
        <v>-1357.9731554331447</v>
      </c>
      <c r="O51" s="43">
        <f>Loan_Level_Results[[#This Row],[Principal Payment]]+Loan_Level_Results[[#This Row],[Interest]]</f>
        <v>47898.45</v>
      </c>
    </row>
    <row r="52" spans="1:15" x14ac:dyDescent="0.3">
      <c r="A52" s="45">
        <v>47391</v>
      </c>
      <c r="B52" s="44">
        <v>51</v>
      </c>
      <c r="C52" s="43">
        <v>7005200.9900000002</v>
      </c>
      <c r="D52" s="43">
        <v>6538.19</v>
      </c>
      <c r="E52" s="43">
        <v>41155.56</v>
      </c>
      <c r="F52" s="43">
        <v>19985.84</v>
      </c>
      <c r="G52" s="43">
        <v>4784.55</v>
      </c>
      <c r="H52" s="43">
        <v>414.79</v>
      </c>
      <c r="I52" s="43">
        <v>4606.54</v>
      </c>
      <c r="J52" s="43">
        <v>6973892.4100000001</v>
      </c>
      <c r="K52" s="43">
        <v>72286.13</v>
      </c>
      <c r="L52" s="43">
        <v>53295.05</v>
      </c>
      <c r="M52" s="48">
        <f ca="1">'DCF Calc'!Q67</f>
        <v>54664.692761298858</v>
      </c>
      <c r="N52" s="43">
        <f ca="1">Loan_Level_Results[[#This Row],[NPV]]-Loan_Level_Results[[#This Row],[DCF CALC NPV]]</f>
        <v>-1369.6427612988555</v>
      </c>
      <c r="O52" s="43">
        <f>Loan_Level_Results[[#This Row],[Principal Payment]]+Loan_Level_Results[[#This Row],[Interest]]</f>
        <v>47693.75</v>
      </c>
    </row>
    <row r="53" spans="1:15" x14ac:dyDescent="0.3">
      <c r="A53" s="45">
        <v>47422</v>
      </c>
      <c r="B53" s="44">
        <v>52</v>
      </c>
      <c r="C53" s="43">
        <v>6973892.4100000001</v>
      </c>
      <c r="D53" s="43">
        <v>5143.25</v>
      </c>
      <c r="E53" s="43">
        <v>42337.34</v>
      </c>
      <c r="F53" s="43">
        <v>19896.52</v>
      </c>
      <c r="G53" s="43">
        <v>4763.17</v>
      </c>
      <c r="H53" s="43">
        <v>412.94</v>
      </c>
      <c r="I53" s="43">
        <v>4585.96</v>
      </c>
      <c r="J53" s="43">
        <v>6944089.4699999997</v>
      </c>
      <c r="K53" s="43">
        <v>71963.070000000007</v>
      </c>
      <c r="L53" s="43">
        <v>52734.84</v>
      </c>
      <c r="M53" s="48">
        <f ca="1">'DCF Calc'!Q68</f>
        <v>54115.097645145142</v>
      </c>
      <c r="N53" s="43">
        <f ca="1">Loan_Level_Results[[#This Row],[NPV]]-Loan_Level_Results[[#This Row],[DCF CALC NPV]]</f>
        <v>-1380.2576451451459</v>
      </c>
      <c r="O53" s="43">
        <f>Loan_Level_Results[[#This Row],[Principal Payment]]+Loan_Level_Results[[#This Row],[Interest]]</f>
        <v>47480.59</v>
      </c>
    </row>
    <row r="54" spans="1:15" x14ac:dyDescent="0.3">
      <c r="A54" s="45">
        <v>47452</v>
      </c>
      <c r="B54" s="44">
        <v>53</v>
      </c>
      <c r="C54" s="43">
        <v>6944089.4699999997</v>
      </c>
      <c r="D54" s="43">
        <v>6481.16</v>
      </c>
      <c r="E54" s="43">
        <v>40796.53</v>
      </c>
      <c r="F54" s="43">
        <v>19811.490000000002</v>
      </c>
      <c r="G54" s="43">
        <v>4742.8100000000004</v>
      </c>
      <c r="H54" s="43">
        <v>411.17</v>
      </c>
      <c r="I54" s="43">
        <v>4566.3599999999997</v>
      </c>
      <c r="J54" s="43">
        <v>6913054.0099999998</v>
      </c>
      <c r="K54" s="43">
        <v>71655.539999999994</v>
      </c>
      <c r="L54" s="43">
        <v>52201.03</v>
      </c>
      <c r="M54" s="48">
        <f ca="1">'DCF Calc'!Q69</f>
        <v>53591.973389716921</v>
      </c>
      <c r="N54" s="43">
        <f ca="1">Loan_Level_Results[[#This Row],[NPV]]-Loan_Level_Results[[#This Row],[DCF CALC NPV]]</f>
        <v>-1390.943389716922</v>
      </c>
      <c r="O54" s="43">
        <f>Loan_Level_Results[[#This Row],[Principal Payment]]+Loan_Level_Results[[#This Row],[Interest]]</f>
        <v>47277.69</v>
      </c>
    </row>
    <row r="55" spans="1:15" x14ac:dyDescent="0.3">
      <c r="A55" s="45">
        <v>47483</v>
      </c>
      <c r="B55" s="44">
        <v>54</v>
      </c>
      <c r="C55" s="43">
        <v>6913054.0099999998</v>
      </c>
      <c r="D55" s="43">
        <v>5098.3900000000003</v>
      </c>
      <c r="E55" s="43">
        <v>41968</v>
      </c>
      <c r="F55" s="43">
        <v>19722.939999999999</v>
      </c>
      <c r="G55" s="43">
        <v>4721.62</v>
      </c>
      <c r="H55" s="43">
        <v>409.34</v>
      </c>
      <c r="I55" s="43">
        <v>4545.9399999999996</v>
      </c>
      <c r="J55" s="43">
        <v>6883511.0599999996</v>
      </c>
      <c r="K55" s="43">
        <v>71335.27</v>
      </c>
      <c r="L55" s="43">
        <v>51652.3</v>
      </c>
      <c r="M55" s="48">
        <f ca="1">'DCF Calc'!Q70</f>
        <v>53052.894723947073</v>
      </c>
      <c r="N55" s="43">
        <f ca="1">Loan_Level_Results[[#This Row],[NPV]]-Loan_Level_Results[[#This Row],[DCF CALC NPV]]</f>
        <v>-1400.5947239470697</v>
      </c>
      <c r="O55" s="43">
        <f>Loan_Level_Results[[#This Row],[Principal Payment]]+Loan_Level_Results[[#This Row],[Interest]]</f>
        <v>47066.39</v>
      </c>
    </row>
    <row r="56" spans="1:15" x14ac:dyDescent="0.3">
      <c r="A56" s="45">
        <v>47514</v>
      </c>
      <c r="B56" s="44">
        <v>55</v>
      </c>
      <c r="C56" s="43">
        <v>6883511.0599999996</v>
      </c>
      <c r="D56" s="43">
        <v>5076.6000000000004</v>
      </c>
      <c r="E56" s="43">
        <v>41788.65</v>
      </c>
      <c r="F56" s="43">
        <v>19638.66</v>
      </c>
      <c r="G56" s="43">
        <v>4701.4399999999996</v>
      </c>
      <c r="H56" s="43">
        <v>407.59</v>
      </c>
      <c r="I56" s="43">
        <v>4526.5200000000004</v>
      </c>
      <c r="J56" s="43">
        <v>6854094.3600000003</v>
      </c>
      <c r="K56" s="43">
        <v>71030.429999999993</v>
      </c>
      <c r="L56" s="43">
        <v>51119.41</v>
      </c>
      <c r="M56" s="48">
        <f ca="1">'DCF Calc'!Q71</f>
        <v>52529.447167211525</v>
      </c>
      <c r="N56" s="43">
        <f ca="1">Loan_Level_Results[[#This Row],[NPV]]-Loan_Level_Results[[#This Row],[DCF CALC NPV]]</f>
        <v>-1410.0371672115216</v>
      </c>
      <c r="O56" s="43">
        <f>Loan_Level_Results[[#This Row],[Principal Payment]]+Loan_Level_Results[[#This Row],[Interest]]</f>
        <v>46865.25</v>
      </c>
    </row>
    <row r="57" spans="1:15" x14ac:dyDescent="0.3">
      <c r="A57" s="45">
        <v>47542</v>
      </c>
      <c r="B57" s="44">
        <v>56</v>
      </c>
      <c r="C57" s="43">
        <v>6854094.3600000003</v>
      </c>
      <c r="D57" s="43">
        <v>9081.69</v>
      </c>
      <c r="E57" s="43">
        <v>37583.279999999999</v>
      </c>
      <c r="F57" s="43">
        <v>19554.73</v>
      </c>
      <c r="G57" s="43">
        <v>4681.3500000000004</v>
      </c>
      <c r="H57" s="43">
        <v>405.85</v>
      </c>
      <c r="I57" s="43">
        <v>4507.17</v>
      </c>
      <c r="J57" s="43">
        <v>6820776.5899999999</v>
      </c>
      <c r="K57" s="43">
        <v>70726.87</v>
      </c>
      <c r="L57" s="43">
        <v>50621.82</v>
      </c>
      <c r="M57" s="48">
        <f ca="1">'DCF Calc'!Q72</f>
        <v>52041.680341610023</v>
      </c>
      <c r="N57" s="43">
        <f ca="1">Loan_Level_Results[[#This Row],[NPV]]-Loan_Level_Results[[#This Row],[DCF CALC NPV]]</f>
        <v>-1419.8603416100232</v>
      </c>
      <c r="O57" s="43">
        <f>Loan_Level_Results[[#This Row],[Principal Payment]]+Loan_Level_Results[[#This Row],[Interest]]</f>
        <v>46664.97</v>
      </c>
    </row>
    <row r="58" spans="1:15" x14ac:dyDescent="0.3">
      <c r="A58" s="45">
        <v>47573</v>
      </c>
      <c r="B58" s="44">
        <v>57</v>
      </c>
      <c r="C58" s="43">
        <v>6820776.5899999999</v>
      </c>
      <c r="D58" s="43">
        <v>5030.3299999999899</v>
      </c>
      <c r="E58" s="43">
        <v>41407.800000000003</v>
      </c>
      <c r="F58" s="43">
        <v>19459.68</v>
      </c>
      <c r="G58" s="43">
        <v>4658.59</v>
      </c>
      <c r="H58" s="43">
        <v>403.87</v>
      </c>
      <c r="I58" s="43">
        <v>4485.26</v>
      </c>
      <c r="J58" s="43">
        <v>6791627.9900000002</v>
      </c>
      <c r="K58" s="43">
        <v>70383.070000000007</v>
      </c>
      <c r="L58" s="43">
        <v>50069.99</v>
      </c>
      <c r="M58" s="48">
        <f ca="1">'DCF Calc'!Q73</f>
        <v>51497.530945545594</v>
      </c>
      <c r="N58" s="43">
        <f ca="1">Loan_Level_Results[[#This Row],[NPV]]-Loan_Level_Results[[#This Row],[DCF CALC NPV]]</f>
        <v>-1427.5409455455956</v>
      </c>
      <c r="O58" s="43">
        <f>Loan_Level_Results[[#This Row],[Principal Payment]]+Loan_Level_Results[[#This Row],[Interest]]</f>
        <v>46438.12999999999</v>
      </c>
    </row>
    <row r="59" spans="1:15" x14ac:dyDescent="0.3">
      <c r="A59" s="45">
        <v>47603</v>
      </c>
      <c r="B59" s="44">
        <v>58</v>
      </c>
      <c r="C59" s="43">
        <v>6791627.9900000002</v>
      </c>
      <c r="D59" s="43">
        <v>6338.87</v>
      </c>
      <c r="E59" s="43">
        <v>39900.81</v>
      </c>
      <c r="F59" s="43">
        <v>19376.509999999998</v>
      </c>
      <c r="G59" s="43">
        <v>4638.68</v>
      </c>
      <c r="H59" s="43">
        <v>402.15</v>
      </c>
      <c r="I59" s="43">
        <v>4466.09</v>
      </c>
      <c r="J59" s="43">
        <v>6761273.9299999997</v>
      </c>
      <c r="K59" s="43">
        <v>70082.28</v>
      </c>
      <c r="L59" s="43">
        <v>49563.15</v>
      </c>
      <c r="M59" s="48">
        <f ca="1">'DCF Calc'!Q74</f>
        <v>50999.054115778898</v>
      </c>
      <c r="N59" s="43">
        <f ca="1">Loan_Level_Results[[#This Row],[NPV]]-Loan_Level_Results[[#This Row],[DCF CALC NPV]]</f>
        <v>-1435.9041157788961</v>
      </c>
      <c r="O59" s="43">
        <f>Loan_Level_Results[[#This Row],[Principal Payment]]+Loan_Level_Results[[#This Row],[Interest]]</f>
        <v>46239.68</v>
      </c>
    </row>
    <row r="60" spans="1:15" x14ac:dyDescent="0.3">
      <c r="A60" s="45">
        <v>47634</v>
      </c>
      <c r="B60" s="44">
        <v>59</v>
      </c>
      <c r="C60" s="43">
        <v>6761273.9299999997</v>
      </c>
      <c r="D60" s="43">
        <v>4986.45</v>
      </c>
      <c r="E60" s="43">
        <v>41046.57</v>
      </c>
      <c r="F60" s="43">
        <v>19289.91</v>
      </c>
      <c r="G60" s="43">
        <v>4617.95</v>
      </c>
      <c r="H60" s="43">
        <v>400.35</v>
      </c>
      <c r="I60" s="43">
        <v>4446.1400000000003</v>
      </c>
      <c r="J60" s="43">
        <v>6732379.6200000001</v>
      </c>
      <c r="K60" s="43">
        <v>69769.070000000007</v>
      </c>
      <c r="L60" s="43">
        <v>49042.17</v>
      </c>
      <c r="M60" s="48">
        <f ca="1">'DCF Calc'!Q75</f>
        <v>50485.411479252725</v>
      </c>
      <c r="N60" s="43">
        <f ca="1">Loan_Level_Results[[#This Row],[NPV]]-Loan_Level_Results[[#This Row],[DCF CALC NPV]]</f>
        <v>-1443.241479252727</v>
      </c>
      <c r="O60" s="43">
        <f>Loan_Level_Results[[#This Row],[Principal Payment]]+Loan_Level_Results[[#This Row],[Interest]]</f>
        <v>46033.02</v>
      </c>
    </row>
    <row r="61" spans="1:15" x14ac:dyDescent="0.3">
      <c r="A61" s="45">
        <v>47664</v>
      </c>
      <c r="B61" s="44">
        <v>60</v>
      </c>
      <c r="C61" s="43">
        <v>6732379.6200000001</v>
      </c>
      <c r="D61" s="43">
        <v>6283.56</v>
      </c>
      <c r="E61" s="43">
        <v>39552.730000000003</v>
      </c>
      <c r="F61" s="43">
        <v>19207.48</v>
      </c>
      <c r="G61" s="43">
        <v>4598.22</v>
      </c>
      <c r="H61" s="43">
        <v>398.64</v>
      </c>
      <c r="I61" s="43">
        <v>4427.13</v>
      </c>
      <c r="J61" s="43">
        <v>6702290.3600000003</v>
      </c>
      <c r="K61" s="43">
        <v>69470.899999999994</v>
      </c>
      <c r="L61" s="43">
        <v>48545.72</v>
      </c>
      <c r="M61" s="48">
        <f ca="1">'DCF Calc'!Q76</f>
        <v>49996.46450065809</v>
      </c>
      <c r="N61" s="43">
        <f ca="1">Loan_Level_Results[[#This Row],[NPV]]-Loan_Level_Results[[#This Row],[DCF CALC NPV]]</f>
        <v>-1450.7445006580892</v>
      </c>
      <c r="O61" s="43">
        <f>Loan_Level_Results[[#This Row],[Principal Payment]]+Loan_Level_Results[[#This Row],[Interest]]</f>
        <v>45836.29</v>
      </c>
    </row>
    <row r="62" spans="1:15" x14ac:dyDescent="0.3">
      <c r="A62" s="45">
        <v>47695</v>
      </c>
      <c r="B62" s="44">
        <v>61</v>
      </c>
      <c r="C62" s="43">
        <v>6702290.3600000003</v>
      </c>
      <c r="D62" s="43">
        <v>4942.95</v>
      </c>
      <c r="E62" s="43">
        <v>40688.49</v>
      </c>
      <c r="F62" s="43">
        <v>19121.63</v>
      </c>
      <c r="G62" s="43">
        <v>4577.66</v>
      </c>
      <c r="H62" s="43">
        <v>396.86</v>
      </c>
      <c r="I62" s="43">
        <v>4407.3500000000004</v>
      </c>
      <c r="J62" s="43">
        <v>6673648.1200000001</v>
      </c>
      <c r="K62" s="43">
        <v>69160.42</v>
      </c>
      <c r="L62" s="43">
        <v>48035.44</v>
      </c>
      <c r="M62" s="48">
        <f ca="1">'DCF Calc'!Q77</f>
        <v>49492.671063512731</v>
      </c>
      <c r="N62" s="43">
        <f ca="1">Loan_Level_Results[[#This Row],[NPV]]-Loan_Level_Results[[#This Row],[DCF CALC NPV]]</f>
        <v>-1457.2310635127287</v>
      </c>
      <c r="O62" s="43">
        <f>Loan_Level_Results[[#This Row],[Principal Payment]]+Loan_Level_Results[[#This Row],[Interest]]</f>
        <v>45631.439999999995</v>
      </c>
    </row>
    <row r="63" spans="1:15" x14ac:dyDescent="0.3">
      <c r="A63" s="45">
        <v>47726</v>
      </c>
      <c r="B63" s="44">
        <v>62</v>
      </c>
      <c r="C63" s="43">
        <v>6673648.1200000001</v>
      </c>
      <c r="D63" s="43">
        <v>4921.82</v>
      </c>
      <c r="E63" s="43">
        <v>40514.61</v>
      </c>
      <c r="F63" s="43">
        <v>19039.919999999998</v>
      </c>
      <c r="G63" s="43">
        <v>4558.1000000000004</v>
      </c>
      <c r="H63" s="43">
        <v>395.16</v>
      </c>
      <c r="I63" s="43">
        <v>4388.5200000000004</v>
      </c>
      <c r="J63" s="43">
        <v>6645128.2800000003</v>
      </c>
      <c r="K63" s="43">
        <v>68864.87</v>
      </c>
      <c r="L63" s="43">
        <v>47539.86</v>
      </c>
      <c r="M63" s="48">
        <f ca="1">'DCF Calc'!Q78</f>
        <v>49003.458040807578</v>
      </c>
      <c r="N63" s="43">
        <f ca="1">Loan_Level_Results[[#This Row],[NPV]]-Loan_Level_Results[[#This Row],[DCF CALC NPV]]</f>
        <v>-1463.5980408075775</v>
      </c>
      <c r="O63" s="43">
        <f>Loan_Level_Results[[#This Row],[Principal Payment]]+Loan_Level_Results[[#This Row],[Interest]]</f>
        <v>45436.43</v>
      </c>
    </row>
    <row r="64" spans="1:15" x14ac:dyDescent="0.3">
      <c r="A64" s="45">
        <v>47756</v>
      </c>
      <c r="B64" s="44">
        <v>63</v>
      </c>
      <c r="C64" s="43">
        <v>6645128.2800000003</v>
      </c>
      <c r="D64" s="43">
        <v>6202.13</v>
      </c>
      <c r="E64" s="43">
        <v>39040.129999999997</v>
      </c>
      <c r="F64" s="43">
        <v>18958.55</v>
      </c>
      <c r="G64" s="43">
        <v>4538.62</v>
      </c>
      <c r="H64" s="43">
        <v>393.47</v>
      </c>
      <c r="I64" s="43">
        <v>4369.76</v>
      </c>
      <c r="J64" s="43">
        <v>6615428.9800000004</v>
      </c>
      <c r="K64" s="43">
        <v>68570.570000000007</v>
      </c>
      <c r="L64" s="43">
        <v>47058.63</v>
      </c>
      <c r="M64" s="48">
        <f ca="1">'DCF Calc'!Q79</f>
        <v>48528.479703950652</v>
      </c>
      <c r="N64" s="43">
        <f ca="1">Loan_Level_Results[[#This Row],[NPV]]-Loan_Level_Results[[#This Row],[DCF CALC NPV]]</f>
        <v>-1469.8497039506547</v>
      </c>
      <c r="O64" s="43">
        <f>Loan_Level_Results[[#This Row],[Principal Payment]]+Loan_Level_Results[[#This Row],[Interest]]</f>
        <v>45242.259999999995</v>
      </c>
    </row>
    <row r="65" spans="1:15" x14ac:dyDescent="0.3">
      <c r="A65" s="45">
        <v>47787</v>
      </c>
      <c r="B65" s="44">
        <v>64</v>
      </c>
      <c r="C65" s="43">
        <v>6615428.9800000004</v>
      </c>
      <c r="D65" s="43">
        <v>4878.8900000000003</v>
      </c>
      <c r="E65" s="43">
        <v>40161.17</v>
      </c>
      <c r="F65" s="43">
        <v>18873.82</v>
      </c>
      <c r="G65" s="43">
        <v>4518.34</v>
      </c>
      <c r="H65" s="43">
        <v>391.71</v>
      </c>
      <c r="I65" s="43">
        <v>4350.2299999999996</v>
      </c>
      <c r="J65" s="43">
        <v>6587157.9299999997</v>
      </c>
      <c r="K65" s="43">
        <v>68264.11</v>
      </c>
      <c r="L65" s="43">
        <v>46563.97</v>
      </c>
      <c r="M65" s="48">
        <f ca="1">'DCF Calc'!Q80</f>
        <v>48039.086382229027</v>
      </c>
      <c r="N65" s="43">
        <f ca="1">Loan_Level_Results[[#This Row],[NPV]]-Loan_Level_Results[[#This Row],[DCF CALC NPV]]</f>
        <v>-1475.1163822290255</v>
      </c>
      <c r="O65" s="43">
        <f>Loan_Level_Results[[#This Row],[Principal Payment]]+Loan_Level_Results[[#This Row],[Interest]]</f>
        <v>45040.06</v>
      </c>
    </row>
    <row r="66" spans="1:15" x14ac:dyDescent="0.3">
      <c r="A66" s="45">
        <v>47817</v>
      </c>
      <c r="B66" s="44">
        <v>65</v>
      </c>
      <c r="C66" s="43">
        <v>6587157.9299999997</v>
      </c>
      <c r="D66" s="43">
        <v>6148.03</v>
      </c>
      <c r="E66" s="43">
        <v>38699.550000000003</v>
      </c>
      <c r="F66" s="43">
        <v>18793.16</v>
      </c>
      <c r="G66" s="43">
        <v>4499.03</v>
      </c>
      <c r="H66" s="43">
        <v>390.04</v>
      </c>
      <c r="I66" s="43">
        <v>4331.6400000000003</v>
      </c>
      <c r="J66" s="43">
        <v>6557717.71</v>
      </c>
      <c r="K66" s="43">
        <v>67972.38</v>
      </c>
      <c r="L66" s="43">
        <v>46092.62</v>
      </c>
      <c r="M66" s="48">
        <f ca="1">'DCF Calc'!Q81</f>
        <v>47573.208250372256</v>
      </c>
      <c r="N66" s="43">
        <f ca="1">Loan_Level_Results[[#This Row],[NPV]]-Loan_Level_Results[[#This Row],[DCF CALC NPV]]</f>
        <v>-1480.5882503722532</v>
      </c>
      <c r="O66" s="43">
        <f>Loan_Level_Results[[#This Row],[Principal Payment]]+Loan_Level_Results[[#This Row],[Interest]]</f>
        <v>44847.58</v>
      </c>
    </row>
    <row r="67" spans="1:15" x14ac:dyDescent="0.3">
      <c r="A67" s="45">
        <v>47848</v>
      </c>
      <c r="B67" s="44">
        <v>66</v>
      </c>
      <c r="C67" s="43">
        <v>6557717.71</v>
      </c>
      <c r="D67" s="43">
        <v>4836.33</v>
      </c>
      <c r="E67" s="43">
        <v>39810.81</v>
      </c>
      <c r="F67" s="43">
        <v>18709.169999999998</v>
      </c>
      <c r="G67" s="43">
        <v>4478.92</v>
      </c>
      <c r="H67" s="43">
        <v>388.3</v>
      </c>
      <c r="I67" s="43">
        <v>4312.28</v>
      </c>
      <c r="J67" s="43">
        <v>6529693.29</v>
      </c>
      <c r="K67" s="43">
        <v>67668.59</v>
      </c>
      <c r="L67" s="43">
        <v>45608.11</v>
      </c>
      <c r="M67" s="48">
        <f ca="1">'DCF Calc'!Q82</f>
        <v>47093.193560738699</v>
      </c>
      <c r="N67" s="43">
        <f ca="1">Loan_Level_Results[[#This Row],[NPV]]-Loan_Level_Results[[#This Row],[DCF CALC NPV]]</f>
        <v>-1485.083560738698</v>
      </c>
      <c r="O67" s="43">
        <f>Loan_Level_Results[[#This Row],[Principal Payment]]+Loan_Level_Results[[#This Row],[Interest]]</f>
        <v>44647.14</v>
      </c>
    </row>
    <row r="68" spans="1:15" x14ac:dyDescent="0.3">
      <c r="A68" s="45">
        <v>47879</v>
      </c>
      <c r="B68" s="44">
        <v>67</v>
      </c>
      <c r="C68" s="43">
        <v>6529693.29</v>
      </c>
      <c r="D68" s="43">
        <v>4815.66</v>
      </c>
      <c r="E68" s="43">
        <v>39640.68</v>
      </c>
      <c r="F68" s="43">
        <v>18629.21</v>
      </c>
      <c r="G68" s="43">
        <v>4459.78</v>
      </c>
      <c r="H68" s="43">
        <v>386.64</v>
      </c>
      <c r="I68" s="43">
        <v>4293.8500000000004</v>
      </c>
      <c r="J68" s="43">
        <v>6501788.6399999997</v>
      </c>
      <c r="K68" s="43">
        <v>67379.399999999994</v>
      </c>
      <c r="L68" s="43">
        <v>45137.56</v>
      </c>
      <c r="M68" s="48">
        <f ca="1">'DCF Calc'!Q83</f>
        <v>46627.067256126706</v>
      </c>
      <c r="N68" s="43">
        <f ca="1">Loan_Level_Results[[#This Row],[NPV]]-Loan_Level_Results[[#This Row],[DCF CALC NPV]]</f>
        <v>-1489.5072561267079</v>
      </c>
      <c r="O68" s="43">
        <f>Loan_Level_Results[[#This Row],[Principal Payment]]+Loan_Level_Results[[#This Row],[Interest]]</f>
        <v>44456.34</v>
      </c>
    </row>
    <row r="69" spans="1:15" x14ac:dyDescent="0.3">
      <c r="A69" s="45">
        <v>47907</v>
      </c>
      <c r="B69" s="44">
        <v>68</v>
      </c>
      <c r="C69" s="43">
        <v>6501788.6399999997</v>
      </c>
      <c r="D69" s="43">
        <v>8614.8799999999992</v>
      </c>
      <c r="E69" s="43">
        <v>35651.47</v>
      </c>
      <c r="F69" s="43">
        <v>18549.599999999999</v>
      </c>
      <c r="G69" s="43">
        <v>4440.72</v>
      </c>
      <c r="H69" s="43">
        <v>384.98</v>
      </c>
      <c r="I69" s="43">
        <v>4275.5</v>
      </c>
      <c r="J69" s="43">
        <v>6470183.4400000004</v>
      </c>
      <c r="K69" s="43">
        <v>67091.45</v>
      </c>
      <c r="L69" s="43">
        <v>44698.2</v>
      </c>
      <c r="M69" s="48">
        <f ca="1">'DCF Calc'!Q84</f>
        <v>46192.630256800541</v>
      </c>
      <c r="N69" s="43">
        <f ca="1">Loan_Level_Results[[#This Row],[NPV]]-Loan_Level_Results[[#This Row],[DCF CALC NPV]]</f>
        <v>-1494.4302568005442</v>
      </c>
      <c r="O69" s="43">
        <f>Loan_Level_Results[[#This Row],[Principal Payment]]+Loan_Level_Results[[#This Row],[Interest]]</f>
        <v>44266.35</v>
      </c>
    </row>
    <row r="70" spans="1:15" x14ac:dyDescent="0.3">
      <c r="A70" s="45">
        <v>47938</v>
      </c>
      <c r="B70" s="44">
        <v>69</v>
      </c>
      <c r="C70" s="43">
        <v>6470183.4400000004</v>
      </c>
      <c r="D70" s="43">
        <v>4771.7599999999902</v>
      </c>
      <c r="E70" s="43">
        <v>39279.410000000003</v>
      </c>
      <c r="F70" s="43">
        <v>18459.43</v>
      </c>
      <c r="G70" s="43">
        <v>4419.1400000000003</v>
      </c>
      <c r="H70" s="43">
        <v>383.11</v>
      </c>
      <c r="I70" s="43">
        <v>4254.72</v>
      </c>
      <c r="J70" s="43">
        <v>6442533.1100000003</v>
      </c>
      <c r="K70" s="43">
        <v>66765.320000000007</v>
      </c>
      <c r="L70" s="43">
        <v>44210.95</v>
      </c>
      <c r="M70" s="48">
        <f ca="1">'DCF Calc'!Q85</f>
        <v>45708.168704186399</v>
      </c>
      <c r="N70" s="43">
        <f ca="1">Loan_Level_Results[[#This Row],[NPV]]-Loan_Level_Results[[#This Row],[DCF CALC NPV]]</f>
        <v>-1497.2187041864017</v>
      </c>
      <c r="O70" s="43">
        <f>Loan_Level_Results[[#This Row],[Principal Payment]]+Loan_Level_Results[[#This Row],[Interest]]</f>
        <v>44051.169999999991</v>
      </c>
    </row>
    <row r="71" spans="1:15" x14ac:dyDescent="0.3">
      <c r="A71" s="45">
        <v>47968</v>
      </c>
      <c r="B71" s="44">
        <v>70</v>
      </c>
      <c r="C71" s="43">
        <v>6442533.1100000003</v>
      </c>
      <c r="D71" s="43">
        <v>6013.04</v>
      </c>
      <c r="E71" s="43">
        <v>37849.879999999997</v>
      </c>
      <c r="F71" s="43">
        <v>18380.55</v>
      </c>
      <c r="G71" s="43">
        <v>4400.25</v>
      </c>
      <c r="H71" s="43">
        <v>381.48</v>
      </c>
      <c r="I71" s="43">
        <v>4236.53</v>
      </c>
      <c r="J71" s="43">
        <v>6413739.2699999996</v>
      </c>
      <c r="K71" s="43">
        <v>66480</v>
      </c>
      <c r="L71" s="43">
        <v>43763.42</v>
      </c>
      <c r="M71" s="48">
        <f ca="1">'DCF Calc'!Q86</f>
        <v>45264.25963136358</v>
      </c>
      <c r="N71" s="43">
        <f ca="1">Loan_Level_Results[[#This Row],[NPV]]-Loan_Level_Results[[#This Row],[DCF CALC NPV]]</f>
        <v>-1500.8396313635822</v>
      </c>
      <c r="O71" s="43">
        <f>Loan_Level_Results[[#This Row],[Principal Payment]]+Loan_Level_Results[[#This Row],[Interest]]</f>
        <v>43862.92</v>
      </c>
    </row>
    <row r="72" spans="1:15" x14ac:dyDescent="0.3">
      <c r="A72" s="45">
        <v>47999</v>
      </c>
      <c r="B72" s="44">
        <v>71</v>
      </c>
      <c r="C72" s="43">
        <v>6413739.2699999996</v>
      </c>
      <c r="D72" s="43">
        <v>4730.1400000000003</v>
      </c>
      <c r="E72" s="43">
        <v>38936.74</v>
      </c>
      <c r="F72" s="43">
        <v>18298.400000000001</v>
      </c>
      <c r="G72" s="43">
        <v>4380.58</v>
      </c>
      <c r="H72" s="43">
        <v>379.77</v>
      </c>
      <c r="I72" s="43">
        <v>4217.6000000000004</v>
      </c>
      <c r="J72" s="43">
        <v>6386330.1500000004</v>
      </c>
      <c r="K72" s="43">
        <v>66182.880000000005</v>
      </c>
      <c r="L72" s="43">
        <v>43303.4</v>
      </c>
      <c r="M72" s="48">
        <f ca="1">'DCF Calc'!Q87</f>
        <v>44806.916348909625</v>
      </c>
      <c r="N72" s="43">
        <f ca="1">Loan_Level_Results[[#This Row],[NPV]]-Loan_Level_Results[[#This Row],[DCF CALC NPV]]</f>
        <v>-1503.516348909623</v>
      </c>
      <c r="O72" s="43">
        <f>Loan_Level_Results[[#This Row],[Principal Payment]]+Loan_Level_Results[[#This Row],[Interest]]</f>
        <v>43666.879999999997</v>
      </c>
    </row>
    <row r="73" spans="1:15" x14ac:dyDescent="0.3">
      <c r="A73" s="45">
        <v>48029</v>
      </c>
      <c r="B73" s="44">
        <v>72</v>
      </c>
      <c r="C73" s="43">
        <v>6386330.1500000004</v>
      </c>
      <c r="D73" s="43">
        <v>5960.5799999999899</v>
      </c>
      <c r="E73" s="43">
        <v>37519.69</v>
      </c>
      <c r="F73" s="43">
        <v>18220.2</v>
      </c>
      <c r="G73" s="43">
        <v>4361.8599999999997</v>
      </c>
      <c r="H73" s="43">
        <v>378.15</v>
      </c>
      <c r="I73" s="43">
        <v>4199.58</v>
      </c>
      <c r="J73" s="43">
        <v>6357787.5099999998</v>
      </c>
      <c r="K73" s="43">
        <v>65900.05</v>
      </c>
      <c r="L73" s="43">
        <v>42865.06</v>
      </c>
      <c r="M73" s="48">
        <f ca="1">'DCF Calc'!Q88</f>
        <v>44371.515493587503</v>
      </c>
      <c r="N73" s="43">
        <f ca="1">Loan_Level_Results[[#This Row],[NPV]]-Loan_Level_Results[[#This Row],[DCF CALC NPV]]</f>
        <v>-1506.4554935875058</v>
      </c>
      <c r="O73" s="43">
        <f>Loan_Level_Results[[#This Row],[Principal Payment]]+Loan_Level_Results[[#This Row],[Interest]]</f>
        <v>43480.26999999999</v>
      </c>
    </row>
    <row r="74" spans="1:15" x14ac:dyDescent="0.3">
      <c r="A74" s="45">
        <v>48060</v>
      </c>
      <c r="B74" s="44">
        <v>73</v>
      </c>
      <c r="C74" s="43">
        <v>6357787.5099999998</v>
      </c>
      <c r="D74" s="43">
        <v>4688.88</v>
      </c>
      <c r="E74" s="43">
        <v>38597.07</v>
      </c>
      <c r="F74" s="43">
        <v>18138.77</v>
      </c>
      <c r="G74" s="43">
        <v>4342.37</v>
      </c>
      <c r="H74" s="43">
        <v>376.46</v>
      </c>
      <c r="I74" s="43">
        <v>4180.8</v>
      </c>
      <c r="J74" s="43">
        <v>6330617.4900000002</v>
      </c>
      <c r="K74" s="43">
        <v>65605.52</v>
      </c>
      <c r="L74" s="43">
        <v>42414.48</v>
      </c>
      <c r="M74" s="48">
        <f ca="1">'DCF Calc'!Q89</f>
        <v>43922.941885211447</v>
      </c>
      <c r="N74" s="43">
        <f ca="1">Loan_Level_Results[[#This Row],[NPV]]-Loan_Level_Results[[#This Row],[DCF CALC NPV]]</f>
        <v>-1508.4618852114436</v>
      </c>
      <c r="O74" s="43">
        <f>Loan_Level_Results[[#This Row],[Principal Payment]]+Loan_Level_Results[[#This Row],[Interest]]</f>
        <v>43285.95</v>
      </c>
    </row>
    <row r="75" spans="1:15" x14ac:dyDescent="0.3">
      <c r="A75" s="45">
        <v>48091</v>
      </c>
      <c r="B75" s="44">
        <v>74</v>
      </c>
      <c r="C75" s="43">
        <v>6330617.4900000002</v>
      </c>
      <c r="D75" s="43">
        <v>4668.84</v>
      </c>
      <c r="E75" s="43">
        <v>38432.120000000003</v>
      </c>
      <c r="F75" s="43">
        <v>18061.25</v>
      </c>
      <c r="G75" s="43">
        <v>4323.8100000000004</v>
      </c>
      <c r="H75" s="43">
        <v>374.85</v>
      </c>
      <c r="I75" s="43">
        <v>4162.9399999999996</v>
      </c>
      <c r="J75" s="43">
        <v>6303563.5899999999</v>
      </c>
      <c r="K75" s="43">
        <v>65325.15</v>
      </c>
      <c r="L75" s="43">
        <v>41976.88</v>
      </c>
      <c r="M75" s="48">
        <f ca="1">'DCF Calc'!Q90</f>
        <v>43487.342133840684</v>
      </c>
      <c r="N75" s="43">
        <f ca="1">Loan_Level_Results[[#This Row],[NPV]]-Loan_Level_Results[[#This Row],[DCF CALC NPV]]</f>
        <v>-1510.4621338406869</v>
      </c>
      <c r="O75" s="43">
        <f>Loan_Level_Results[[#This Row],[Principal Payment]]+Loan_Level_Results[[#This Row],[Interest]]</f>
        <v>43100.960000000006</v>
      </c>
    </row>
    <row r="76" spans="1:15" x14ac:dyDescent="0.3">
      <c r="A76" s="45">
        <v>48121</v>
      </c>
      <c r="B76" s="44">
        <v>75</v>
      </c>
      <c r="C76" s="43">
        <v>6303563.5899999999</v>
      </c>
      <c r="D76" s="43">
        <v>5883.3299999999899</v>
      </c>
      <c r="E76" s="43">
        <v>37033.440000000002</v>
      </c>
      <c r="F76" s="43">
        <v>17984.07</v>
      </c>
      <c r="G76" s="43">
        <v>4305.33</v>
      </c>
      <c r="H76" s="43">
        <v>373.25</v>
      </c>
      <c r="I76" s="43">
        <v>4145.1499999999996</v>
      </c>
      <c r="J76" s="43">
        <v>6275390.8600000003</v>
      </c>
      <c r="K76" s="43">
        <v>65045.99</v>
      </c>
      <c r="L76" s="43">
        <v>41551.97</v>
      </c>
      <c r="M76" s="48">
        <f ca="1">'DCF Calc'!Q91</f>
        <v>43064.392118718853</v>
      </c>
      <c r="N76" s="43">
        <f ca="1">Loan_Level_Results[[#This Row],[NPV]]-Loan_Level_Results[[#This Row],[DCF CALC NPV]]</f>
        <v>-1512.4221187188523</v>
      </c>
      <c r="O76" s="43">
        <f>Loan_Level_Results[[#This Row],[Principal Payment]]+Loan_Level_Results[[#This Row],[Interest]]</f>
        <v>42916.76999999999</v>
      </c>
    </row>
    <row r="77" spans="1:15" x14ac:dyDescent="0.3">
      <c r="A77" s="45">
        <v>48152</v>
      </c>
      <c r="B77" s="44">
        <v>76</v>
      </c>
      <c r="C77" s="43">
        <v>6275390.8600000003</v>
      </c>
      <c r="D77" s="43">
        <v>4628.1099999999997</v>
      </c>
      <c r="E77" s="43">
        <v>38096.85</v>
      </c>
      <c r="F77" s="43">
        <v>17903.689999999999</v>
      </c>
      <c r="G77" s="43">
        <v>4286.09</v>
      </c>
      <c r="H77" s="43">
        <v>371.58</v>
      </c>
      <c r="I77" s="43">
        <v>4126.63</v>
      </c>
      <c r="J77" s="43">
        <v>6248572.9699999997</v>
      </c>
      <c r="K77" s="43">
        <v>64755.28</v>
      </c>
      <c r="L77" s="43">
        <v>41115.19</v>
      </c>
      <c r="M77" s="48">
        <f ca="1">'DCF Calc'!Q92</f>
        <v>42628.65702222212</v>
      </c>
      <c r="N77" s="43">
        <f ca="1">Loan_Level_Results[[#This Row],[NPV]]-Loan_Level_Results[[#This Row],[DCF CALC NPV]]</f>
        <v>-1513.4670222221175</v>
      </c>
      <c r="O77" s="43">
        <f>Loan_Level_Results[[#This Row],[Principal Payment]]+Loan_Level_Results[[#This Row],[Interest]]</f>
        <v>42724.959999999999</v>
      </c>
    </row>
    <row r="78" spans="1:15" x14ac:dyDescent="0.3">
      <c r="A78" s="45">
        <v>48182</v>
      </c>
      <c r="B78" s="44">
        <v>77</v>
      </c>
      <c r="C78" s="43">
        <v>6248572.9699999997</v>
      </c>
      <c r="D78" s="43">
        <v>5832.0099999999902</v>
      </c>
      <c r="E78" s="43">
        <v>36710.370000000003</v>
      </c>
      <c r="F78" s="43">
        <v>17827.18</v>
      </c>
      <c r="G78" s="43">
        <v>4267.78</v>
      </c>
      <c r="H78" s="43">
        <v>369.99</v>
      </c>
      <c r="I78" s="43">
        <v>4108.99</v>
      </c>
      <c r="J78" s="43">
        <v>6220646</v>
      </c>
      <c r="K78" s="43">
        <v>64478.55</v>
      </c>
      <c r="L78" s="43">
        <v>40699</v>
      </c>
      <c r="M78" s="48">
        <f ca="1">'DCF Calc'!Q93</f>
        <v>42213.812385443976</v>
      </c>
      <c r="N78" s="43">
        <f ca="1">Loan_Level_Results[[#This Row],[NPV]]-Loan_Level_Results[[#This Row],[DCF CALC NPV]]</f>
        <v>-1514.8123854439764</v>
      </c>
      <c r="O78" s="43">
        <f>Loan_Level_Results[[#This Row],[Principal Payment]]+Loan_Level_Results[[#This Row],[Interest]]</f>
        <v>42542.37999999999</v>
      </c>
    </row>
    <row r="79" spans="1:15" x14ac:dyDescent="0.3">
      <c r="A79" s="45">
        <v>48213</v>
      </c>
      <c r="B79" s="44">
        <v>78</v>
      </c>
      <c r="C79" s="43">
        <v>6220646</v>
      </c>
      <c r="D79" s="43">
        <v>4587.7299999999996</v>
      </c>
      <c r="E79" s="43">
        <v>37764.51</v>
      </c>
      <c r="F79" s="43">
        <v>17747.5</v>
      </c>
      <c r="G79" s="43">
        <v>4248.7</v>
      </c>
      <c r="H79" s="43">
        <v>368.34</v>
      </c>
      <c r="I79" s="43">
        <v>4090.62</v>
      </c>
      <c r="J79" s="43">
        <v>6194062.0700000003</v>
      </c>
      <c r="K79" s="43">
        <v>64190.36</v>
      </c>
      <c r="L79" s="43">
        <v>40271.18</v>
      </c>
      <c r="M79" s="48">
        <f ca="1">'DCF Calc'!Q94</f>
        <v>41786.432810214472</v>
      </c>
      <c r="N79" s="43">
        <f ca="1">Loan_Level_Results[[#This Row],[NPV]]-Loan_Level_Results[[#This Row],[DCF CALC NPV]]</f>
        <v>-1515.2528102144715</v>
      </c>
      <c r="O79" s="43">
        <f>Loan_Level_Results[[#This Row],[Principal Payment]]+Loan_Level_Results[[#This Row],[Interest]]</f>
        <v>42352.240000000005</v>
      </c>
    </row>
    <row r="80" spans="1:15" x14ac:dyDescent="0.3">
      <c r="A80" s="45">
        <v>48244</v>
      </c>
      <c r="B80" s="44">
        <v>79</v>
      </c>
      <c r="C80" s="43">
        <v>6194062.0700000003</v>
      </c>
      <c r="D80" s="43">
        <v>4568.13</v>
      </c>
      <c r="E80" s="43">
        <v>37603.120000000003</v>
      </c>
      <c r="F80" s="43">
        <v>17671.66</v>
      </c>
      <c r="G80" s="43">
        <v>4230.54</v>
      </c>
      <c r="H80" s="43">
        <v>366.76</v>
      </c>
      <c r="I80" s="43">
        <v>4073.14</v>
      </c>
      <c r="J80" s="43">
        <v>6167591.7400000002</v>
      </c>
      <c r="K80" s="43">
        <v>63916.05</v>
      </c>
      <c r="L80" s="43">
        <v>39855.71</v>
      </c>
      <c r="M80" s="48">
        <f ca="1">'DCF Calc'!Q95</f>
        <v>41371.422183677074</v>
      </c>
      <c r="N80" s="43">
        <f ca="1">Loan_Level_Results[[#This Row],[NPV]]-Loan_Level_Results[[#This Row],[DCF CALC NPV]]</f>
        <v>-1515.7121836770748</v>
      </c>
      <c r="O80" s="43">
        <f>Loan_Level_Results[[#This Row],[Principal Payment]]+Loan_Level_Results[[#This Row],[Interest]]</f>
        <v>42171.25</v>
      </c>
    </row>
    <row r="81" spans="1:15" x14ac:dyDescent="0.3">
      <c r="A81" s="45">
        <v>48273</v>
      </c>
      <c r="B81" s="44">
        <v>80</v>
      </c>
      <c r="C81" s="43">
        <v>6167591.7400000002</v>
      </c>
      <c r="D81" s="43">
        <v>8172.07</v>
      </c>
      <c r="E81" s="43">
        <v>33818.959999999999</v>
      </c>
      <c r="F81" s="43">
        <v>17596.14</v>
      </c>
      <c r="G81" s="43">
        <v>4212.47</v>
      </c>
      <c r="H81" s="43">
        <v>365.2</v>
      </c>
      <c r="I81" s="43">
        <v>4055.74</v>
      </c>
      <c r="J81" s="43">
        <v>6137611.0599999996</v>
      </c>
      <c r="K81" s="43">
        <v>63642.91</v>
      </c>
      <c r="L81" s="43">
        <v>39467.769999999997</v>
      </c>
      <c r="M81" s="48">
        <f ca="1">'DCF Calc'!Q96</f>
        <v>40984.532521760775</v>
      </c>
      <c r="N81" s="43">
        <f ca="1">Loan_Level_Results[[#This Row],[NPV]]-Loan_Level_Results[[#This Row],[DCF CALC NPV]]</f>
        <v>-1516.7625217607783</v>
      </c>
      <c r="O81" s="43">
        <f>Loan_Level_Results[[#This Row],[Principal Payment]]+Loan_Level_Results[[#This Row],[Interest]]</f>
        <v>41991.03</v>
      </c>
    </row>
    <row r="82" spans="1:15" x14ac:dyDescent="0.3">
      <c r="A82" s="45">
        <v>48304</v>
      </c>
      <c r="B82" s="44">
        <v>81</v>
      </c>
      <c r="C82" s="43">
        <v>6137611.0599999996</v>
      </c>
      <c r="D82" s="43">
        <v>4526.5</v>
      </c>
      <c r="E82" s="43">
        <v>37260.410000000003</v>
      </c>
      <c r="F82" s="43">
        <v>17510.599999999999</v>
      </c>
      <c r="G82" s="43">
        <v>4191.99</v>
      </c>
      <c r="H82" s="43">
        <v>363.42</v>
      </c>
      <c r="I82" s="43">
        <v>4036.03</v>
      </c>
      <c r="J82" s="43">
        <v>6111381.9699999997</v>
      </c>
      <c r="K82" s="43">
        <v>63333.54</v>
      </c>
      <c r="L82" s="43">
        <v>39037.53</v>
      </c>
      <c r="M82" s="48">
        <f ca="1">'DCF Calc'!Q97</f>
        <v>40553.275700392063</v>
      </c>
      <c r="N82" s="43">
        <f ca="1">Loan_Level_Results[[#This Row],[NPV]]-Loan_Level_Results[[#This Row],[DCF CALC NPV]]</f>
        <v>-1515.7457003920645</v>
      </c>
      <c r="O82" s="43">
        <f>Loan_Level_Results[[#This Row],[Principal Payment]]+Loan_Level_Results[[#This Row],[Interest]]</f>
        <v>41786.910000000003</v>
      </c>
    </row>
    <row r="83" spans="1:15" x14ac:dyDescent="0.3">
      <c r="A83" s="45">
        <v>48334</v>
      </c>
      <c r="B83" s="44">
        <v>82</v>
      </c>
      <c r="C83" s="43">
        <v>6111381.9699999997</v>
      </c>
      <c r="D83" s="43">
        <v>5703.96</v>
      </c>
      <c r="E83" s="43">
        <v>35904.370000000003</v>
      </c>
      <c r="F83" s="43">
        <v>17435.77</v>
      </c>
      <c r="G83" s="43">
        <v>4174.07</v>
      </c>
      <c r="H83" s="43">
        <v>361.87</v>
      </c>
      <c r="I83" s="43">
        <v>4018.77</v>
      </c>
      <c r="J83" s="43">
        <v>6084068.1699999999</v>
      </c>
      <c r="K83" s="43">
        <v>63062.87</v>
      </c>
      <c r="L83" s="43">
        <v>38642.36</v>
      </c>
      <c r="M83" s="48">
        <f ca="1">'DCF Calc'!Q98</f>
        <v>40158.018852303263</v>
      </c>
      <c r="N83" s="43">
        <f ca="1">Loan_Level_Results[[#This Row],[NPV]]-Loan_Level_Results[[#This Row],[DCF CALC NPV]]</f>
        <v>-1515.6588523032624</v>
      </c>
      <c r="O83" s="43">
        <f>Loan_Level_Results[[#This Row],[Principal Payment]]+Loan_Level_Results[[#This Row],[Interest]]</f>
        <v>41608.33</v>
      </c>
    </row>
    <row r="84" spans="1:15" x14ac:dyDescent="0.3">
      <c r="A84" s="45">
        <v>48365</v>
      </c>
      <c r="B84" s="44">
        <v>83</v>
      </c>
      <c r="C84" s="43">
        <v>6084068.1699999999</v>
      </c>
      <c r="D84" s="43">
        <v>4487.01</v>
      </c>
      <c r="E84" s="43">
        <v>36935.360000000001</v>
      </c>
      <c r="F84" s="43">
        <v>17357.849999999999</v>
      </c>
      <c r="G84" s="43">
        <v>4155.42</v>
      </c>
      <c r="H84" s="43">
        <v>360.25</v>
      </c>
      <c r="I84" s="43">
        <v>4000.81</v>
      </c>
      <c r="J84" s="43">
        <v>6058067.8899999997</v>
      </c>
      <c r="K84" s="43">
        <v>62781.03</v>
      </c>
      <c r="L84" s="43">
        <v>38236.17</v>
      </c>
      <c r="M84" s="48">
        <f ca="1">'DCF Calc'!Q99</f>
        <v>39750.858704018501</v>
      </c>
      <c r="N84" s="43">
        <f ca="1">Loan_Level_Results[[#This Row],[NPV]]-Loan_Level_Results[[#This Row],[DCF CALC NPV]]</f>
        <v>-1514.6887040185029</v>
      </c>
      <c r="O84" s="43">
        <f>Loan_Level_Results[[#This Row],[Principal Payment]]+Loan_Level_Results[[#This Row],[Interest]]</f>
        <v>41422.370000000003</v>
      </c>
    </row>
    <row r="85" spans="1:15" x14ac:dyDescent="0.3">
      <c r="A85" s="45">
        <v>48395</v>
      </c>
      <c r="B85" s="44">
        <v>84</v>
      </c>
      <c r="C85" s="43">
        <v>6058067.8899999997</v>
      </c>
      <c r="D85" s="43">
        <v>5654.2</v>
      </c>
      <c r="E85" s="43">
        <v>35591.15</v>
      </c>
      <c r="F85" s="43">
        <v>17283.669999999998</v>
      </c>
      <c r="G85" s="43">
        <v>4137.66</v>
      </c>
      <c r="H85" s="43">
        <v>358.71</v>
      </c>
      <c r="I85" s="43">
        <v>3983.71</v>
      </c>
      <c r="J85" s="43">
        <v>6030992.3600000003</v>
      </c>
      <c r="K85" s="43">
        <v>62512.73</v>
      </c>
      <c r="L85" s="43">
        <v>37849.120000000003</v>
      </c>
      <c r="M85" s="48">
        <f ca="1">'DCF Calc'!Q100</f>
        <v>39363.190507309584</v>
      </c>
      <c r="N85" s="43">
        <f ca="1">Loan_Level_Results[[#This Row],[NPV]]-Loan_Level_Results[[#This Row],[DCF CALC NPV]]</f>
        <v>-1514.0705073095814</v>
      </c>
      <c r="O85" s="43">
        <f>Loan_Level_Results[[#This Row],[Principal Payment]]+Loan_Level_Results[[#This Row],[Interest]]</f>
        <v>41245.35</v>
      </c>
    </row>
    <row r="86" spans="1:15" x14ac:dyDescent="0.3">
      <c r="A86" s="45">
        <v>48426</v>
      </c>
      <c r="B86" s="44">
        <v>85</v>
      </c>
      <c r="C86" s="43">
        <v>6030992.3600000003</v>
      </c>
      <c r="D86" s="43">
        <v>4447.87</v>
      </c>
      <c r="E86" s="43">
        <v>36613.15</v>
      </c>
      <c r="F86" s="43">
        <v>17206.419999999998</v>
      </c>
      <c r="G86" s="43">
        <v>4119.17</v>
      </c>
      <c r="H86" s="43">
        <v>357.11</v>
      </c>
      <c r="I86" s="43">
        <v>3965.91</v>
      </c>
      <c r="J86" s="43">
        <v>6005218.9000000004</v>
      </c>
      <c r="K86" s="43">
        <v>62233.35</v>
      </c>
      <c r="L86" s="43">
        <v>37451.269999999997</v>
      </c>
      <c r="M86" s="48">
        <f ca="1">'DCF Calc'!Q101</f>
        <v>38963.847677952981</v>
      </c>
      <c r="N86" s="43">
        <f ca="1">Loan_Level_Results[[#This Row],[NPV]]-Loan_Level_Results[[#This Row],[DCF CALC NPV]]</f>
        <v>-1512.5776779529842</v>
      </c>
      <c r="O86" s="43">
        <f>Loan_Level_Results[[#This Row],[Principal Payment]]+Loan_Level_Results[[#This Row],[Interest]]</f>
        <v>41061.020000000004</v>
      </c>
    </row>
    <row r="87" spans="1:15" x14ac:dyDescent="0.3">
      <c r="A87" s="45">
        <v>48457</v>
      </c>
      <c r="B87" s="44">
        <v>86</v>
      </c>
      <c r="C87" s="43">
        <v>6005218.9000000004</v>
      </c>
      <c r="D87" s="43">
        <v>4428.8599999999997</v>
      </c>
      <c r="E87" s="43">
        <v>36456.68</v>
      </c>
      <c r="F87" s="43">
        <v>17132.89</v>
      </c>
      <c r="G87" s="43">
        <v>4101.5600000000004</v>
      </c>
      <c r="H87" s="43">
        <v>355.58</v>
      </c>
      <c r="I87" s="43">
        <v>3948.96</v>
      </c>
      <c r="J87" s="43">
        <v>5979555.5899999999</v>
      </c>
      <c r="K87" s="43">
        <v>61967.39</v>
      </c>
      <c r="L87" s="43">
        <v>37064.879999999997</v>
      </c>
      <c r="M87" s="48">
        <f ca="1">'DCF Calc'!Q102</f>
        <v>38576.036990458699</v>
      </c>
      <c r="N87" s="43">
        <f ca="1">Loan_Level_Results[[#This Row],[NPV]]-Loan_Level_Results[[#This Row],[DCF CALC NPV]]</f>
        <v>-1511.1569904587013</v>
      </c>
      <c r="O87" s="43">
        <f>Loan_Level_Results[[#This Row],[Principal Payment]]+Loan_Level_Results[[#This Row],[Interest]]</f>
        <v>40885.54</v>
      </c>
    </row>
    <row r="88" spans="1:15" x14ac:dyDescent="0.3">
      <c r="A88" s="45">
        <v>48487</v>
      </c>
      <c r="B88" s="44">
        <v>87</v>
      </c>
      <c r="C88" s="43">
        <v>5979555.5899999999</v>
      </c>
      <c r="D88" s="43">
        <v>5580.93</v>
      </c>
      <c r="E88" s="43">
        <v>35129.89</v>
      </c>
      <c r="F88" s="43">
        <v>17059.669999999998</v>
      </c>
      <c r="G88" s="43">
        <v>4084.04</v>
      </c>
      <c r="H88" s="43">
        <v>354.06</v>
      </c>
      <c r="I88" s="43">
        <v>3932.08</v>
      </c>
      <c r="J88" s="43">
        <v>5952830.9500000002</v>
      </c>
      <c r="K88" s="43">
        <v>61702.57</v>
      </c>
      <c r="L88" s="43">
        <v>36689.68</v>
      </c>
      <c r="M88" s="48">
        <f ca="1">'DCF Calc'!Q103</f>
        <v>38199.457359933484</v>
      </c>
      <c r="N88" s="43">
        <f ca="1">Loan_Level_Results[[#This Row],[NPV]]-Loan_Level_Results[[#This Row],[DCF CALC NPV]]</f>
        <v>-1509.7773599334832</v>
      </c>
      <c r="O88" s="43">
        <f>Loan_Level_Results[[#This Row],[Principal Payment]]+Loan_Level_Results[[#This Row],[Interest]]</f>
        <v>40710.82</v>
      </c>
    </row>
    <row r="89" spans="1:15" x14ac:dyDescent="0.3">
      <c r="A89" s="45">
        <v>48518</v>
      </c>
      <c r="B89" s="44">
        <v>88</v>
      </c>
      <c r="C89" s="43">
        <v>5952830.9500000002</v>
      </c>
      <c r="D89" s="43">
        <v>4390.2299999999996</v>
      </c>
      <c r="E89" s="43">
        <v>36138.639999999999</v>
      </c>
      <c r="F89" s="43">
        <v>16983.43</v>
      </c>
      <c r="G89" s="43">
        <v>4065.78</v>
      </c>
      <c r="H89" s="43">
        <v>352.48</v>
      </c>
      <c r="I89" s="43">
        <v>3914.51</v>
      </c>
      <c r="J89" s="43">
        <v>5927391.5099999998</v>
      </c>
      <c r="K89" s="43">
        <v>61426.81</v>
      </c>
      <c r="L89" s="43">
        <v>36304.019999999997</v>
      </c>
      <c r="M89" s="48">
        <f ca="1">'DCF Calc'!Q104</f>
        <v>37811.563259539384</v>
      </c>
      <c r="N89" s="43">
        <f ca="1">Loan_Level_Results[[#This Row],[NPV]]-Loan_Level_Results[[#This Row],[DCF CALC NPV]]</f>
        <v>-1507.5432595393868</v>
      </c>
      <c r="O89" s="43">
        <f>Loan_Level_Results[[#This Row],[Principal Payment]]+Loan_Level_Results[[#This Row],[Interest]]</f>
        <v>40528.869999999995</v>
      </c>
    </row>
    <row r="90" spans="1:15" x14ac:dyDescent="0.3">
      <c r="A90" s="45">
        <v>48548</v>
      </c>
      <c r="B90" s="44">
        <v>89</v>
      </c>
      <c r="C90" s="43">
        <v>5927391.5099999998</v>
      </c>
      <c r="D90" s="43">
        <v>5532.24</v>
      </c>
      <c r="E90" s="43">
        <v>34823.43</v>
      </c>
      <c r="F90" s="43">
        <v>16910.849999999999</v>
      </c>
      <c r="G90" s="43">
        <v>4048.41</v>
      </c>
      <c r="H90" s="43">
        <v>350.97</v>
      </c>
      <c r="I90" s="43">
        <v>3897.79</v>
      </c>
      <c r="J90" s="43">
        <v>5900900.0099999998</v>
      </c>
      <c r="K90" s="43">
        <v>61164.31</v>
      </c>
      <c r="L90" s="43">
        <v>35936.53</v>
      </c>
      <c r="M90" s="48">
        <f ca="1">'DCF Calc'!Q105</f>
        <v>37442.212041614126</v>
      </c>
      <c r="N90" s="43">
        <f ca="1">Loan_Level_Results[[#This Row],[NPV]]-Loan_Level_Results[[#This Row],[DCF CALC NPV]]</f>
        <v>-1505.6820416141272</v>
      </c>
      <c r="O90" s="43">
        <f>Loan_Level_Results[[#This Row],[Principal Payment]]+Loan_Level_Results[[#This Row],[Interest]]</f>
        <v>40355.67</v>
      </c>
    </row>
    <row r="91" spans="1:15" x14ac:dyDescent="0.3">
      <c r="A91" s="45">
        <v>48579</v>
      </c>
      <c r="B91" s="44">
        <v>90</v>
      </c>
      <c r="C91" s="43">
        <v>5900900.0099999998</v>
      </c>
      <c r="D91" s="43">
        <v>4351.9200000000101</v>
      </c>
      <c r="E91" s="43">
        <v>35823.379999999997</v>
      </c>
      <c r="F91" s="43">
        <v>16835.27</v>
      </c>
      <c r="G91" s="43">
        <v>4030.31</v>
      </c>
      <c r="H91" s="43">
        <v>349.4</v>
      </c>
      <c r="I91" s="43">
        <v>3880.36</v>
      </c>
      <c r="J91" s="43">
        <v>5875682.5099999998</v>
      </c>
      <c r="K91" s="43">
        <v>60890.93</v>
      </c>
      <c r="L91" s="43">
        <v>35558.769999999997</v>
      </c>
      <c r="M91" s="48">
        <f ca="1">'DCF Calc'!Q106</f>
        <v>37061.782452816275</v>
      </c>
      <c r="N91" s="43">
        <f ca="1">Loan_Level_Results[[#This Row],[NPV]]-Loan_Level_Results[[#This Row],[DCF CALC NPV]]</f>
        <v>-1503.0124528162778</v>
      </c>
      <c r="O91" s="43">
        <f>Loan_Level_Results[[#This Row],[Principal Payment]]+Loan_Level_Results[[#This Row],[Interest]]</f>
        <v>40175.30000000001</v>
      </c>
    </row>
    <row r="92" spans="1:15" x14ac:dyDescent="0.3">
      <c r="A92" s="45">
        <v>48610</v>
      </c>
      <c r="B92" s="44">
        <v>91</v>
      </c>
      <c r="C92" s="43">
        <v>5875682.5099999998</v>
      </c>
      <c r="D92" s="43">
        <v>4333.32</v>
      </c>
      <c r="E92" s="43">
        <v>35670.29</v>
      </c>
      <c r="F92" s="43">
        <v>16763.32</v>
      </c>
      <c r="G92" s="43">
        <v>4013.09</v>
      </c>
      <c r="H92" s="43">
        <v>347.91</v>
      </c>
      <c r="I92" s="43">
        <v>3863.78</v>
      </c>
      <c r="J92" s="43">
        <v>5850572.7800000003</v>
      </c>
      <c r="K92" s="43">
        <v>60630.71</v>
      </c>
      <c r="L92" s="43">
        <v>35191.910000000003</v>
      </c>
      <c r="M92" s="48">
        <f ca="1">'DCF Calc'!Q107</f>
        <v>36692.311271758976</v>
      </c>
      <c r="N92" s="43">
        <f ca="1">Loan_Level_Results[[#This Row],[NPV]]-Loan_Level_Results[[#This Row],[DCF CALC NPV]]</f>
        <v>-1500.4012717589721</v>
      </c>
      <c r="O92" s="43">
        <f>Loan_Level_Results[[#This Row],[Principal Payment]]+Loan_Level_Results[[#This Row],[Interest]]</f>
        <v>40003.61</v>
      </c>
    </row>
    <row r="93" spans="1:15" x14ac:dyDescent="0.3">
      <c r="A93" s="45">
        <v>48638</v>
      </c>
      <c r="B93" s="44">
        <v>92</v>
      </c>
      <c r="C93" s="43">
        <v>5850572.7800000003</v>
      </c>
      <c r="D93" s="43">
        <v>7752.02</v>
      </c>
      <c r="E93" s="43">
        <v>32080.639999999999</v>
      </c>
      <c r="F93" s="43">
        <v>16691.68</v>
      </c>
      <c r="G93" s="43">
        <v>3995.94</v>
      </c>
      <c r="H93" s="43">
        <v>346.42</v>
      </c>
      <c r="I93" s="43">
        <v>3847.27</v>
      </c>
      <c r="J93" s="43">
        <v>5822133.1399999997</v>
      </c>
      <c r="K93" s="43">
        <v>60371.61</v>
      </c>
      <c r="L93" s="43">
        <v>34849.370000000003</v>
      </c>
      <c r="M93" s="48">
        <f ca="1">'DCF Calc'!Q108</f>
        <v>36347.817928856792</v>
      </c>
      <c r="N93" s="43">
        <f ca="1">Loan_Level_Results[[#This Row],[NPV]]-Loan_Level_Results[[#This Row],[DCF CALC NPV]]</f>
        <v>-1498.4479288567891</v>
      </c>
      <c r="O93" s="43">
        <f>Loan_Level_Results[[#This Row],[Principal Payment]]+Loan_Level_Results[[#This Row],[Interest]]</f>
        <v>39832.660000000003</v>
      </c>
    </row>
    <row r="94" spans="1:15" x14ac:dyDescent="0.3">
      <c r="A94" s="45">
        <v>48669</v>
      </c>
      <c r="B94" s="44">
        <v>93</v>
      </c>
      <c r="C94" s="43">
        <v>5822133.1399999997</v>
      </c>
      <c r="D94" s="43">
        <v>4293.83</v>
      </c>
      <c r="E94" s="43">
        <v>35345.199999999997</v>
      </c>
      <c r="F94" s="43">
        <v>16610.55</v>
      </c>
      <c r="G94" s="43">
        <v>3976.52</v>
      </c>
      <c r="H94" s="43">
        <v>344.74</v>
      </c>
      <c r="I94" s="43">
        <v>3828.57</v>
      </c>
      <c r="J94" s="43">
        <v>5797252.2400000002</v>
      </c>
      <c r="K94" s="43">
        <v>60078.15</v>
      </c>
      <c r="L94" s="43">
        <v>34469.480000000003</v>
      </c>
      <c r="M94" s="48">
        <f ca="1">'DCF Calc'!Q109</f>
        <v>35963.982876639697</v>
      </c>
      <c r="N94" s="43">
        <f ca="1">Loan_Level_Results[[#This Row],[NPV]]-Loan_Level_Results[[#This Row],[DCF CALC NPV]]</f>
        <v>-1494.5028766396936</v>
      </c>
      <c r="O94" s="43">
        <f>Loan_Level_Results[[#This Row],[Principal Payment]]+Loan_Level_Results[[#This Row],[Interest]]</f>
        <v>39639.03</v>
      </c>
    </row>
    <row r="95" spans="1:15" x14ac:dyDescent="0.3">
      <c r="A95" s="45">
        <v>48699</v>
      </c>
      <c r="B95" s="44">
        <v>94</v>
      </c>
      <c r="C95" s="43">
        <v>5797252.2400000002</v>
      </c>
      <c r="D95" s="43">
        <v>5410.77</v>
      </c>
      <c r="E95" s="43">
        <v>34058.86</v>
      </c>
      <c r="F95" s="43">
        <v>16539.560000000001</v>
      </c>
      <c r="G95" s="43">
        <v>3959.52</v>
      </c>
      <c r="H95" s="43">
        <v>343.27</v>
      </c>
      <c r="I95" s="43">
        <v>3812.2</v>
      </c>
      <c r="J95" s="43">
        <v>5771342.3899999997</v>
      </c>
      <c r="K95" s="43">
        <v>59821.39</v>
      </c>
      <c r="L95" s="43">
        <v>34120.550000000003</v>
      </c>
      <c r="M95" s="48">
        <f ca="1">'DCF Calc'!Q110</f>
        <v>35612.09116500344</v>
      </c>
      <c r="N95" s="43">
        <f ca="1">Loan_Level_Results[[#This Row],[NPV]]-Loan_Level_Results[[#This Row],[DCF CALC NPV]]</f>
        <v>-1491.5411650034366</v>
      </c>
      <c r="O95" s="43">
        <f>Loan_Level_Results[[#This Row],[Principal Payment]]+Loan_Level_Results[[#This Row],[Interest]]</f>
        <v>39469.630000000005</v>
      </c>
    </row>
    <row r="96" spans="1:15" x14ac:dyDescent="0.3">
      <c r="A96" s="45">
        <v>48730</v>
      </c>
      <c r="B96" s="44">
        <v>95</v>
      </c>
      <c r="C96" s="43">
        <v>5771342.3899999997</v>
      </c>
      <c r="D96" s="43">
        <v>4256.37</v>
      </c>
      <c r="E96" s="43">
        <v>35036.86</v>
      </c>
      <c r="F96" s="43">
        <v>16465.64</v>
      </c>
      <c r="G96" s="43">
        <v>3941.83</v>
      </c>
      <c r="H96" s="43">
        <v>341.73</v>
      </c>
      <c r="I96" s="43">
        <v>3795.17</v>
      </c>
      <c r="J96" s="43">
        <v>5746678.5499999998</v>
      </c>
      <c r="K96" s="43">
        <v>59554.04</v>
      </c>
      <c r="L96" s="43">
        <v>33761.89</v>
      </c>
      <c r="M96" s="48">
        <f ca="1">'DCF Calc'!Q111</f>
        <v>35249.6713817419</v>
      </c>
      <c r="N96" s="43">
        <f ca="1">Loan_Level_Results[[#This Row],[NPV]]-Loan_Level_Results[[#This Row],[DCF CALC NPV]]</f>
        <v>-1487.781381741901</v>
      </c>
      <c r="O96" s="43">
        <f>Loan_Level_Results[[#This Row],[Principal Payment]]+Loan_Level_Results[[#This Row],[Interest]]</f>
        <v>39293.230000000003</v>
      </c>
    </row>
    <row r="97" spans="1:15" x14ac:dyDescent="0.3">
      <c r="A97" s="45">
        <v>48760</v>
      </c>
      <c r="B97" s="44">
        <v>96</v>
      </c>
      <c r="C97" s="43">
        <v>5746678.5499999998</v>
      </c>
      <c r="D97" s="43">
        <v>5363.57</v>
      </c>
      <c r="E97" s="43">
        <v>33761.74</v>
      </c>
      <c r="F97" s="43">
        <v>16395.27</v>
      </c>
      <c r="G97" s="43">
        <v>3924.98</v>
      </c>
      <c r="H97" s="43">
        <v>340.27</v>
      </c>
      <c r="I97" s="43">
        <v>3778.95</v>
      </c>
      <c r="J97" s="43">
        <v>5720994.7300000004</v>
      </c>
      <c r="K97" s="43">
        <v>59299.53</v>
      </c>
      <c r="L97" s="43">
        <v>33420.129999999997</v>
      </c>
      <c r="M97" s="48">
        <f ca="1">'DCF Calc'!Q112</f>
        <v>34904.546427238558</v>
      </c>
      <c r="N97" s="43">
        <f ca="1">Loan_Level_Results[[#This Row],[NPV]]-Loan_Level_Results[[#This Row],[DCF CALC NPV]]</f>
        <v>-1484.4164272385606</v>
      </c>
      <c r="O97" s="43">
        <f>Loan_Level_Results[[#This Row],[Principal Payment]]+Loan_Level_Results[[#This Row],[Interest]]</f>
        <v>39125.31</v>
      </c>
    </row>
    <row r="98" spans="1:15" x14ac:dyDescent="0.3">
      <c r="A98" s="45">
        <v>48791</v>
      </c>
      <c r="B98" s="44">
        <v>97</v>
      </c>
      <c r="C98" s="43">
        <v>5720994.7300000004</v>
      </c>
      <c r="D98" s="43">
        <v>4219.24</v>
      </c>
      <c r="E98" s="43">
        <v>34731.21</v>
      </c>
      <c r="F98" s="43">
        <v>16322</v>
      </c>
      <c r="G98" s="43">
        <v>3907.44</v>
      </c>
      <c r="H98" s="43">
        <v>338.75</v>
      </c>
      <c r="I98" s="43">
        <v>3762.06</v>
      </c>
      <c r="J98" s="43">
        <v>5696546.0499999998</v>
      </c>
      <c r="K98" s="43">
        <v>59034.51</v>
      </c>
      <c r="L98" s="43">
        <v>33068.839999999997</v>
      </c>
      <c r="M98" s="48">
        <f ca="1">'DCF Calc'!Q113</f>
        <v>34549.092745269038</v>
      </c>
      <c r="N98" s="43">
        <f ca="1">Loan_Level_Results[[#This Row],[NPV]]-Loan_Level_Results[[#This Row],[DCF CALC NPV]]</f>
        <v>-1480.252745269041</v>
      </c>
      <c r="O98" s="43">
        <f>Loan_Level_Results[[#This Row],[Principal Payment]]+Loan_Level_Results[[#This Row],[Interest]]</f>
        <v>38950.449999999997</v>
      </c>
    </row>
    <row r="99" spans="1:15" x14ac:dyDescent="0.3">
      <c r="A99" s="45">
        <v>48822</v>
      </c>
      <c r="B99" s="44">
        <v>98</v>
      </c>
      <c r="C99" s="43">
        <v>5696546.0499999998</v>
      </c>
      <c r="D99" s="43">
        <v>4201.21</v>
      </c>
      <c r="E99" s="43">
        <v>34582.78</v>
      </c>
      <c r="F99" s="43">
        <v>16252.25</v>
      </c>
      <c r="G99" s="43">
        <v>3890.74</v>
      </c>
      <c r="H99" s="43">
        <v>337.3</v>
      </c>
      <c r="I99" s="43">
        <v>3745.98</v>
      </c>
      <c r="J99" s="43">
        <v>5672201.8499999996</v>
      </c>
      <c r="K99" s="43">
        <v>58782.22</v>
      </c>
      <c r="L99" s="43">
        <v>32727.66</v>
      </c>
      <c r="M99" s="48">
        <f ca="1">'DCF Calc'!Q114</f>
        <v>34203.878107116783</v>
      </c>
      <c r="N99" s="43">
        <f ca="1">Loan_Level_Results[[#This Row],[NPV]]-Loan_Level_Results[[#This Row],[DCF CALC NPV]]</f>
        <v>-1476.2181071167834</v>
      </c>
      <c r="O99" s="43">
        <f>Loan_Level_Results[[#This Row],[Principal Payment]]+Loan_Level_Results[[#This Row],[Interest]]</f>
        <v>38783.99</v>
      </c>
    </row>
    <row r="100" spans="1:15" x14ac:dyDescent="0.3">
      <c r="A100" s="45">
        <v>48852</v>
      </c>
      <c r="B100" s="44">
        <v>99</v>
      </c>
      <c r="C100" s="43">
        <v>5672201.8499999996</v>
      </c>
      <c r="D100" s="43">
        <v>5294.06</v>
      </c>
      <c r="E100" s="43">
        <v>33324.19</v>
      </c>
      <c r="F100" s="43">
        <v>16182.79</v>
      </c>
      <c r="G100" s="43">
        <v>3874.11</v>
      </c>
      <c r="H100" s="43">
        <v>335.86</v>
      </c>
      <c r="I100" s="43">
        <v>3729.98</v>
      </c>
      <c r="J100" s="43">
        <v>5646850.8899999997</v>
      </c>
      <c r="K100" s="43">
        <v>58531.02</v>
      </c>
      <c r="L100" s="43">
        <v>32396.38</v>
      </c>
      <c r="M100" s="48">
        <f ca="1">'DCF Calc'!Q115</f>
        <v>33868.641399891654</v>
      </c>
      <c r="N100" s="43">
        <f ca="1">Loan_Level_Results[[#This Row],[NPV]]-Loan_Level_Results[[#This Row],[DCF CALC NPV]]</f>
        <v>-1472.2613998916531</v>
      </c>
      <c r="O100" s="43">
        <f>Loan_Level_Results[[#This Row],[Principal Payment]]+Loan_Level_Results[[#This Row],[Interest]]</f>
        <v>38618.25</v>
      </c>
    </row>
    <row r="101" spans="1:15" x14ac:dyDescent="0.3">
      <c r="A101" s="45">
        <v>48883</v>
      </c>
      <c r="B101" s="44">
        <v>100</v>
      </c>
      <c r="C101" s="43">
        <v>5646850.8899999997</v>
      </c>
      <c r="D101" s="43">
        <v>4164.5600000000004</v>
      </c>
      <c r="E101" s="43">
        <v>34281.089999999997</v>
      </c>
      <c r="F101" s="43">
        <v>16110.47</v>
      </c>
      <c r="G101" s="43">
        <v>3856.8</v>
      </c>
      <c r="H101" s="43">
        <v>334.36</v>
      </c>
      <c r="I101" s="43">
        <v>3713.3</v>
      </c>
      <c r="J101" s="43">
        <v>5622719.0599999996</v>
      </c>
      <c r="K101" s="43">
        <v>58269.42</v>
      </c>
      <c r="L101" s="43">
        <v>32055.83</v>
      </c>
      <c r="M101" s="48">
        <f ca="1">'DCF Calc'!Q116</f>
        <v>33523.394129095846</v>
      </c>
      <c r="N101" s="43">
        <f ca="1">Loan_Level_Results[[#This Row],[NPV]]-Loan_Level_Results[[#This Row],[DCF CALC NPV]]</f>
        <v>-1467.5641290958447</v>
      </c>
      <c r="O101" s="43">
        <f>Loan_Level_Results[[#This Row],[Principal Payment]]+Loan_Level_Results[[#This Row],[Interest]]</f>
        <v>38445.649999999994</v>
      </c>
    </row>
    <row r="102" spans="1:15" x14ac:dyDescent="0.3">
      <c r="A102" s="45">
        <v>48913</v>
      </c>
      <c r="B102" s="44">
        <v>101</v>
      </c>
      <c r="C102" s="43">
        <v>5622719.0599999996</v>
      </c>
      <c r="D102" s="43">
        <v>5247.88</v>
      </c>
      <c r="E102" s="43">
        <v>33033.47</v>
      </c>
      <c r="F102" s="43">
        <v>16041.62</v>
      </c>
      <c r="G102" s="43">
        <v>3840.32</v>
      </c>
      <c r="H102" s="43">
        <v>332.93</v>
      </c>
      <c r="I102" s="43">
        <v>3697.44</v>
      </c>
      <c r="J102" s="43">
        <v>5597589.2400000002</v>
      </c>
      <c r="K102" s="43">
        <v>58020.41</v>
      </c>
      <c r="L102" s="43">
        <v>31731.35</v>
      </c>
      <c r="M102" s="48">
        <f ca="1">'DCF Calc'!Q117</f>
        <v>33194.596391241859</v>
      </c>
      <c r="N102" s="43">
        <f ca="1">Loan_Level_Results[[#This Row],[NPV]]-Loan_Level_Results[[#This Row],[DCF CALC NPV]]</f>
        <v>-1463.2463912418607</v>
      </c>
      <c r="O102" s="43">
        <f>Loan_Level_Results[[#This Row],[Principal Payment]]+Loan_Level_Results[[#This Row],[Interest]]</f>
        <v>38281.35</v>
      </c>
    </row>
    <row r="103" spans="1:15" x14ac:dyDescent="0.3">
      <c r="A103" s="45">
        <v>48944</v>
      </c>
      <c r="B103" s="44">
        <v>102</v>
      </c>
      <c r="C103" s="43">
        <v>5597589.2400000002</v>
      </c>
      <c r="D103" s="43">
        <v>4128.2299999999996</v>
      </c>
      <c r="E103" s="43">
        <v>33982.03</v>
      </c>
      <c r="F103" s="43">
        <v>15969.92</v>
      </c>
      <c r="G103" s="43">
        <v>3823.15</v>
      </c>
      <c r="H103" s="43">
        <v>331.44</v>
      </c>
      <c r="I103" s="43">
        <v>3680.91</v>
      </c>
      <c r="J103" s="43">
        <v>5573667.9400000004</v>
      </c>
      <c r="K103" s="43">
        <v>57761.09</v>
      </c>
      <c r="L103" s="43">
        <v>31397.8</v>
      </c>
      <c r="M103" s="48">
        <f ca="1">'DCF Calc'!Q118</f>
        <v>32855.989583116738</v>
      </c>
      <c r="N103" s="43">
        <f ca="1">Loan_Level_Results[[#This Row],[NPV]]-Loan_Level_Results[[#This Row],[DCF CALC NPV]]</f>
        <v>-1458.1895831167385</v>
      </c>
      <c r="O103" s="43">
        <f>Loan_Level_Results[[#This Row],[Principal Payment]]+Loan_Level_Results[[#This Row],[Interest]]</f>
        <v>38110.259999999995</v>
      </c>
    </row>
    <row r="104" spans="1:15" x14ac:dyDescent="0.3">
      <c r="A104" s="45">
        <v>48975</v>
      </c>
      <c r="B104" s="44">
        <v>103</v>
      </c>
      <c r="C104" s="43">
        <v>5573667.9400000004</v>
      </c>
      <c r="D104" s="43">
        <v>4110.59</v>
      </c>
      <c r="E104" s="43">
        <v>33836.81</v>
      </c>
      <c r="F104" s="43">
        <v>15901.67</v>
      </c>
      <c r="G104" s="43">
        <v>3806.82</v>
      </c>
      <c r="H104" s="43">
        <v>330.03</v>
      </c>
      <c r="I104" s="43">
        <v>3665.18</v>
      </c>
      <c r="J104" s="43">
        <v>5549848.8600000003</v>
      </c>
      <c r="K104" s="43">
        <v>57514.25</v>
      </c>
      <c r="L104" s="43">
        <v>31073.87</v>
      </c>
      <c r="M104" s="48">
        <f ca="1">'DCF Calc'!Q119</f>
        <v>32527.126417762775</v>
      </c>
      <c r="N104" s="43">
        <f ca="1">Loan_Level_Results[[#This Row],[NPV]]-Loan_Level_Results[[#This Row],[DCF CALC NPV]]</f>
        <v>-1453.2564177627755</v>
      </c>
      <c r="O104" s="43">
        <f>Loan_Level_Results[[#This Row],[Principal Payment]]+Loan_Level_Results[[#This Row],[Interest]]</f>
        <v>37947.399999999994</v>
      </c>
    </row>
    <row r="105" spans="1:15" x14ac:dyDescent="0.3">
      <c r="A105" s="45">
        <v>49003</v>
      </c>
      <c r="B105" s="44">
        <v>104</v>
      </c>
      <c r="C105" s="43">
        <v>5549848.8600000003</v>
      </c>
      <c r="D105" s="43">
        <v>7353.56</v>
      </c>
      <c r="E105" s="43">
        <v>30431.67</v>
      </c>
      <c r="F105" s="43">
        <v>15833.72</v>
      </c>
      <c r="G105" s="43">
        <v>3790.55</v>
      </c>
      <c r="H105" s="43">
        <v>328.62</v>
      </c>
      <c r="I105" s="43">
        <v>3649.52</v>
      </c>
      <c r="J105" s="43">
        <v>5522871.0300000003</v>
      </c>
      <c r="K105" s="43">
        <v>57268.47</v>
      </c>
      <c r="L105" s="43">
        <v>30771.4</v>
      </c>
      <c r="M105" s="48">
        <f ca="1">'DCF Calc'!Q120</f>
        <v>32220.414149731783</v>
      </c>
      <c r="N105" s="43">
        <f ca="1">Loan_Level_Results[[#This Row],[NPV]]-Loan_Level_Results[[#This Row],[DCF CALC NPV]]</f>
        <v>-1449.0141497317818</v>
      </c>
      <c r="O105" s="43">
        <f>Loan_Level_Results[[#This Row],[Principal Payment]]+Loan_Level_Results[[#This Row],[Interest]]</f>
        <v>37785.229999999996</v>
      </c>
    </row>
    <row r="106" spans="1:15" x14ac:dyDescent="0.3">
      <c r="A106" s="45">
        <v>49034</v>
      </c>
      <c r="B106" s="44">
        <v>105</v>
      </c>
      <c r="C106" s="43">
        <v>5522871.0300000003</v>
      </c>
      <c r="D106" s="43">
        <v>4073.12</v>
      </c>
      <c r="E106" s="43">
        <v>33528.43</v>
      </c>
      <c r="F106" s="43">
        <v>15756.75</v>
      </c>
      <c r="G106" s="43">
        <v>3772.12</v>
      </c>
      <c r="H106" s="43">
        <v>327.02</v>
      </c>
      <c r="I106" s="43">
        <v>3631.78</v>
      </c>
      <c r="J106" s="43">
        <v>5499269.04</v>
      </c>
      <c r="K106" s="43">
        <v>56990.080000000002</v>
      </c>
      <c r="L106" s="43">
        <v>30435.96</v>
      </c>
      <c r="M106" s="48">
        <f ca="1">'DCF Calc'!Q121</f>
        <v>31878.853984508831</v>
      </c>
      <c r="N106" s="43">
        <f ca="1">Loan_Level_Results[[#This Row],[NPV]]-Loan_Level_Results[[#This Row],[DCF CALC NPV]]</f>
        <v>-1442.8939845088316</v>
      </c>
      <c r="O106" s="43">
        <f>Loan_Level_Results[[#This Row],[Principal Payment]]+Loan_Level_Results[[#This Row],[Interest]]</f>
        <v>37601.550000000003</v>
      </c>
    </row>
    <row r="107" spans="1:15" x14ac:dyDescent="0.3">
      <c r="A107" s="45">
        <v>49064</v>
      </c>
      <c r="B107" s="44">
        <v>106</v>
      </c>
      <c r="C107" s="43">
        <v>5499269.04</v>
      </c>
      <c r="D107" s="43">
        <v>5132.6499999999996</v>
      </c>
      <c r="E107" s="43">
        <v>32308.21</v>
      </c>
      <c r="F107" s="43">
        <v>15689.41</v>
      </c>
      <c r="G107" s="43">
        <v>3756</v>
      </c>
      <c r="H107" s="43">
        <v>325.62</v>
      </c>
      <c r="I107" s="43">
        <v>3616.25</v>
      </c>
      <c r="J107" s="43">
        <v>5474690.9800000004</v>
      </c>
      <c r="K107" s="43">
        <v>56746.52</v>
      </c>
      <c r="L107" s="43">
        <v>30127.86</v>
      </c>
      <c r="M107" s="48">
        <f ca="1">'DCF Calc'!Q122</f>
        <v>31565.629797820864</v>
      </c>
      <c r="N107" s="43">
        <f ca="1">Loan_Level_Results[[#This Row],[NPV]]-Loan_Level_Results[[#This Row],[DCF CALC NPV]]</f>
        <v>-1437.7697978208635</v>
      </c>
      <c r="O107" s="43">
        <f>Loan_Level_Results[[#This Row],[Principal Payment]]+Loan_Level_Results[[#This Row],[Interest]]</f>
        <v>37440.86</v>
      </c>
    </row>
    <row r="108" spans="1:15" x14ac:dyDescent="0.3">
      <c r="A108" s="45">
        <v>49095</v>
      </c>
      <c r="B108" s="44">
        <v>107</v>
      </c>
      <c r="C108" s="43">
        <v>5474690.9800000004</v>
      </c>
      <c r="D108" s="43">
        <v>4037.59</v>
      </c>
      <c r="E108" s="43">
        <v>33235.94</v>
      </c>
      <c r="F108" s="43">
        <v>15619.29</v>
      </c>
      <c r="G108" s="43">
        <v>3739.21</v>
      </c>
      <c r="H108" s="43">
        <v>324.17</v>
      </c>
      <c r="I108" s="43">
        <v>3600.1</v>
      </c>
      <c r="J108" s="43">
        <v>5451294.8899999997</v>
      </c>
      <c r="K108" s="43">
        <v>56492.92</v>
      </c>
      <c r="L108" s="43">
        <v>29811.18</v>
      </c>
      <c r="M108" s="48">
        <f ca="1">'DCF Calc'!Q123</f>
        <v>31243.080348442512</v>
      </c>
      <c r="N108" s="43">
        <f ca="1">Loan_Level_Results[[#This Row],[NPV]]-Loan_Level_Results[[#This Row],[DCF CALC NPV]]</f>
        <v>-1431.900348442512</v>
      </c>
      <c r="O108" s="43">
        <f>Loan_Level_Results[[#This Row],[Principal Payment]]+Loan_Level_Results[[#This Row],[Interest]]</f>
        <v>37273.53</v>
      </c>
    </row>
    <row r="109" spans="1:15" x14ac:dyDescent="0.3">
      <c r="A109" s="45">
        <v>49125</v>
      </c>
      <c r="B109" s="44">
        <v>108</v>
      </c>
      <c r="C109" s="43">
        <v>5451294.8899999997</v>
      </c>
      <c r="D109" s="43">
        <v>5087.88</v>
      </c>
      <c r="E109" s="43">
        <v>32026.36</v>
      </c>
      <c r="F109" s="43">
        <v>15552.54</v>
      </c>
      <c r="G109" s="43">
        <v>3723.23</v>
      </c>
      <c r="H109" s="43">
        <v>322.77999999999997</v>
      </c>
      <c r="I109" s="43">
        <v>3584.71</v>
      </c>
      <c r="J109" s="43">
        <v>5426931.2400000002</v>
      </c>
      <c r="K109" s="43">
        <v>56251.49</v>
      </c>
      <c r="L109" s="43">
        <v>29509.41</v>
      </c>
      <c r="M109" s="48">
        <f ca="1">'DCF Calc'!Q124</f>
        <v>30935.882920623619</v>
      </c>
      <c r="N109" s="43">
        <f ca="1">Loan_Level_Results[[#This Row],[NPV]]-Loan_Level_Results[[#This Row],[DCF CALC NPV]]</f>
        <v>-1426.4729206236188</v>
      </c>
      <c r="O109" s="43">
        <f>Loan_Level_Results[[#This Row],[Principal Payment]]+Loan_Level_Results[[#This Row],[Interest]]</f>
        <v>37114.239999999998</v>
      </c>
    </row>
    <row r="110" spans="1:15" x14ac:dyDescent="0.3">
      <c r="A110" s="45">
        <v>49156</v>
      </c>
      <c r="B110" s="44">
        <v>109</v>
      </c>
      <c r="C110" s="43">
        <v>5426931.2400000002</v>
      </c>
      <c r="D110" s="43">
        <v>4002.36</v>
      </c>
      <c r="E110" s="43">
        <v>32946</v>
      </c>
      <c r="F110" s="43">
        <v>15483.03</v>
      </c>
      <c r="G110" s="43">
        <v>3706.59</v>
      </c>
      <c r="H110" s="43">
        <v>321.33999999999997</v>
      </c>
      <c r="I110" s="43">
        <v>3568.69</v>
      </c>
      <c r="J110" s="43">
        <v>5403739.2599999998</v>
      </c>
      <c r="K110" s="43">
        <v>56000.08</v>
      </c>
      <c r="L110" s="43">
        <v>29199.22</v>
      </c>
      <c r="M110" s="48">
        <f ca="1">'DCF Calc'!Q125</f>
        <v>30619.539031219301</v>
      </c>
      <c r="N110" s="43">
        <f ca="1">Loan_Level_Results[[#This Row],[NPV]]-Loan_Level_Results[[#This Row],[DCF CALC NPV]]</f>
        <v>-1420.3190312193001</v>
      </c>
      <c r="O110" s="43">
        <f>Loan_Level_Results[[#This Row],[Principal Payment]]+Loan_Level_Results[[#This Row],[Interest]]</f>
        <v>36948.36</v>
      </c>
    </row>
    <row r="111" spans="1:15" x14ac:dyDescent="0.3">
      <c r="A111" s="45">
        <v>49187</v>
      </c>
      <c r="B111" s="44">
        <v>110</v>
      </c>
      <c r="C111" s="43">
        <v>5403739.2599999998</v>
      </c>
      <c r="D111" s="43">
        <v>3985.27</v>
      </c>
      <c r="E111" s="43">
        <v>32805.199999999997</v>
      </c>
      <c r="F111" s="43">
        <v>15416.87</v>
      </c>
      <c r="G111" s="43">
        <v>3690.75</v>
      </c>
      <c r="H111" s="43">
        <v>319.97000000000003</v>
      </c>
      <c r="I111" s="43">
        <v>3553.44</v>
      </c>
      <c r="J111" s="43">
        <v>5380646.3700000001</v>
      </c>
      <c r="K111" s="43">
        <v>55760.78</v>
      </c>
      <c r="L111" s="43">
        <v>28897.98</v>
      </c>
      <c r="M111" s="48">
        <f ca="1">'DCF Calc'!Q126</f>
        <v>30312.290771301967</v>
      </c>
      <c r="N111" s="43">
        <f ca="1">Loan_Level_Results[[#This Row],[NPV]]-Loan_Level_Results[[#This Row],[DCF CALC NPV]]</f>
        <v>-1414.3107713019672</v>
      </c>
      <c r="O111" s="43">
        <f>Loan_Level_Results[[#This Row],[Principal Payment]]+Loan_Level_Results[[#This Row],[Interest]]</f>
        <v>36790.469999999994</v>
      </c>
    </row>
    <row r="112" spans="1:15" x14ac:dyDescent="0.3">
      <c r="A112" s="45">
        <v>49217</v>
      </c>
      <c r="B112" s="44">
        <v>111</v>
      </c>
      <c r="C112" s="43">
        <v>5380646.3700000001</v>
      </c>
      <c r="D112" s="43">
        <v>5380646.3700000001</v>
      </c>
      <c r="E112" s="43">
        <v>31611.3</v>
      </c>
      <c r="F112" s="43">
        <v>0</v>
      </c>
      <c r="G112" s="43">
        <v>0</v>
      </c>
      <c r="H112" s="43">
        <v>0</v>
      </c>
      <c r="I112" s="43">
        <v>3538.25</v>
      </c>
      <c r="J112" s="43">
        <v>0</v>
      </c>
      <c r="K112" s="43">
        <v>5415795.9199999999</v>
      </c>
      <c r="L112" s="43">
        <v>2790244.35</v>
      </c>
      <c r="M112" s="48">
        <f ca="1">'DCF Calc'!Q127</f>
        <v>2662784.6995949908</v>
      </c>
      <c r="N112" s="43">
        <f ca="1">Loan_Level_Results[[#This Row],[NPV]]-Loan_Level_Results[[#This Row],[DCF CALC NPV]]</f>
        <v>127459.65040500928</v>
      </c>
      <c r="O112" s="43">
        <f>Loan_Level_Results[[#This Row],[Principal Payment]]+Loan_Level_Results[[#This Row],[Interest]]</f>
        <v>5412257.6699999999</v>
      </c>
    </row>
    <row r="113" spans="1:15" x14ac:dyDescent="0.3">
      <c r="A113" s="45">
        <v>49248</v>
      </c>
      <c r="B113" s="44">
        <v>112</v>
      </c>
      <c r="C113" s="43">
        <v>0</v>
      </c>
      <c r="D113" s="43">
        <v>0</v>
      </c>
      <c r="E113" s="43">
        <v>0</v>
      </c>
      <c r="F113" s="43">
        <v>0</v>
      </c>
      <c r="G113" s="43">
        <v>0</v>
      </c>
      <c r="H113" s="43">
        <v>0</v>
      </c>
      <c r="I113" s="43">
        <v>3522.44</v>
      </c>
      <c r="J113" s="43">
        <v>0</v>
      </c>
      <c r="K113" s="43">
        <v>3522.44</v>
      </c>
      <c r="L113" s="43">
        <v>1804.24</v>
      </c>
      <c r="M113" s="48">
        <f ca="1">'DCF Calc'!Q128</f>
        <v>1739.2248913247768</v>
      </c>
      <c r="N113" s="43">
        <f ca="1">Loan_Level_Results[[#This Row],[NPV]]-Loan_Level_Results[[#This Row],[DCF CALC NPV]]</f>
        <v>65.015108675223246</v>
      </c>
      <c r="O113" s="43">
        <f>Loan_Level_Results[[#This Row],[Principal Payment]]+Loan_Level_Results[[#This Row],[Interest]]</f>
        <v>0</v>
      </c>
    </row>
    <row r="114" spans="1:15" x14ac:dyDescent="0.3">
      <c r="A114" s="45">
        <v>49278</v>
      </c>
      <c r="B114" s="44">
        <v>113</v>
      </c>
      <c r="C114" s="43">
        <v>0</v>
      </c>
      <c r="D114" s="43">
        <v>0</v>
      </c>
      <c r="E114" s="43">
        <v>0</v>
      </c>
      <c r="F114" s="43">
        <v>0</v>
      </c>
      <c r="G114" s="43">
        <v>0</v>
      </c>
      <c r="H114" s="43">
        <v>0</v>
      </c>
      <c r="I114" s="43">
        <v>3507.39</v>
      </c>
      <c r="J114" s="43">
        <v>0</v>
      </c>
      <c r="K114" s="43">
        <v>3507.39</v>
      </c>
      <c r="L114" s="43">
        <v>1785.83</v>
      </c>
      <c r="M114" s="48">
        <f ca="1">'DCF Calc'!Q129</f>
        <v>1720.1250355037976</v>
      </c>
      <c r="N114" s="43">
        <f ca="1">Loan_Level_Results[[#This Row],[NPV]]-Loan_Level_Results[[#This Row],[DCF CALC NPV]]</f>
        <v>65.704964496202365</v>
      </c>
      <c r="O114" s="43">
        <f>Loan_Level_Results[[#This Row],[Principal Payment]]+Loan_Level_Results[[#This Row],[Interest]]</f>
        <v>0</v>
      </c>
    </row>
    <row r="115" spans="1:15" x14ac:dyDescent="0.3">
      <c r="A115" s="45">
        <v>49309</v>
      </c>
      <c r="B115" s="44">
        <v>114</v>
      </c>
      <c r="C115" s="43">
        <v>0</v>
      </c>
      <c r="D115" s="43">
        <v>0</v>
      </c>
      <c r="E115" s="43">
        <v>0</v>
      </c>
      <c r="F115" s="43">
        <v>0</v>
      </c>
      <c r="G115" s="43">
        <v>0</v>
      </c>
      <c r="H115" s="43">
        <v>0</v>
      </c>
      <c r="I115" s="43">
        <v>3491.71</v>
      </c>
      <c r="J115" s="43">
        <v>0</v>
      </c>
      <c r="K115" s="43">
        <v>3491.71</v>
      </c>
      <c r="L115" s="43">
        <v>1767.26</v>
      </c>
      <c r="M115" s="48">
        <f ca="1">'DCF Calc'!Q130</f>
        <v>1700.5367366139769</v>
      </c>
      <c r="N115" s="43">
        <f ca="1">Loan_Level_Results[[#This Row],[NPV]]-Loan_Level_Results[[#This Row],[DCF CALC NPV]]</f>
        <v>66.723263386023064</v>
      </c>
      <c r="O115" s="43">
        <f>Loan_Level_Results[[#This Row],[Principal Payment]]+Loan_Level_Results[[#This Row],[Interest]]</f>
        <v>0</v>
      </c>
    </row>
    <row r="116" spans="1:15" x14ac:dyDescent="0.3">
      <c r="A116" s="45">
        <v>49340</v>
      </c>
      <c r="B116" s="44">
        <v>115</v>
      </c>
      <c r="C116" s="43">
        <v>0</v>
      </c>
      <c r="D116" s="43">
        <v>0</v>
      </c>
      <c r="E116" s="43">
        <v>0</v>
      </c>
      <c r="F116" s="43">
        <v>0</v>
      </c>
      <c r="G116" s="43">
        <v>0</v>
      </c>
      <c r="H116" s="43">
        <v>0</v>
      </c>
      <c r="I116" s="43">
        <v>3476.79</v>
      </c>
      <c r="J116" s="43">
        <v>0</v>
      </c>
      <c r="K116" s="43">
        <v>3476.79</v>
      </c>
      <c r="L116" s="43">
        <v>1749.22</v>
      </c>
      <c r="M116" s="48">
        <f ca="1">'DCF Calc'!Q131</f>
        <v>1681.4849456949778</v>
      </c>
      <c r="N116" s="43">
        <f ca="1">Loan_Level_Results[[#This Row],[NPV]]-Loan_Level_Results[[#This Row],[DCF CALC NPV]]</f>
        <v>67.735054305022231</v>
      </c>
      <c r="O116" s="43">
        <f>Loan_Level_Results[[#This Row],[Principal Payment]]+Loan_Level_Results[[#This Row],[Interest]]</f>
        <v>0</v>
      </c>
    </row>
    <row r="117" spans="1:15" x14ac:dyDescent="0.3">
      <c r="A117" s="45">
        <v>49368</v>
      </c>
      <c r="B117" s="44">
        <v>116</v>
      </c>
      <c r="C117" s="43">
        <v>0</v>
      </c>
      <c r="D117" s="43">
        <v>0</v>
      </c>
      <c r="E117" s="43">
        <v>0</v>
      </c>
      <c r="F117" s="43">
        <v>0</v>
      </c>
      <c r="G117" s="43">
        <v>0</v>
      </c>
      <c r="H117" s="43">
        <v>0</v>
      </c>
      <c r="I117" s="43">
        <v>3461.93</v>
      </c>
      <c r="J117" s="43">
        <v>0</v>
      </c>
      <c r="K117" s="43">
        <v>3461.93</v>
      </c>
      <c r="L117" s="43">
        <v>1731.38</v>
      </c>
      <c r="M117" s="48">
        <f ca="1">'DCF Calc'!Q132</f>
        <v>1663.6016014047691</v>
      </c>
      <c r="N117" s="43">
        <f ca="1">Loan_Level_Results[[#This Row],[NPV]]-Loan_Level_Results[[#This Row],[DCF CALC NPV]]</f>
        <v>67.77839859523101</v>
      </c>
      <c r="O117" s="43">
        <f>Loan_Level_Results[[#This Row],[Principal Payment]]+Loan_Level_Results[[#This Row],[Interest]]</f>
        <v>0</v>
      </c>
    </row>
    <row r="118" spans="1:15" x14ac:dyDescent="0.3">
      <c r="A118" s="45">
        <v>49399</v>
      </c>
      <c r="B118" s="44">
        <v>117</v>
      </c>
      <c r="C118" s="43">
        <v>0</v>
      </c>
      <c r="D118" s="43">
        <v>0</v>
      </c>
      <c r="E118" s="43">
        <v>0</v>
      </c>
      <c r="F118" s="43">
        <v>0</v>
      </c>
      <c r="G118" s="43">
        <v>0</v>
      </c>
      <c r="H118" s="43">
        <v>0</v>
      </c>
      <c r="I118" s="43">
        <v>3445.1</v>
      </c>
      <c r="J118" s="43">
        <v>0</v>
      </c>
      <c r="K118" s="43">
        <v>3445.1</v>
      </c>
      <c r="L118" s="43">
        <v>1712.7</v>
      </c>
      <c r="M118" s="48">
        <f ca="1">'DCF Calc'!Q133</f>
        <v>1643.9449543864971</v>
      </c>
      <c r="N118" s="43">
        <f ca="1">Loan_Level_Results[[#This Row],[NPV]]-Loan_Level_Results[[#This Row],[DCF CALC NPV]]</f>
        <v>68.755045613502944</v>
      </c>
      <c r="O118" s="43">
        <f>Loan_Level_Results[[#This Row],[Principal Payment]]+Loan_Level_Results[[#This Row],[Interest]]</f>
        <v>0</v>
      </c>
    </row>
    <row r="119" spans="1:15" x14ac:dyDescent="0.3">
      <c r="A119" s="45">
        <v>49429</v>
      </c>
      <c r="B119" s="44">
        <v>118</v>
      </c>
      <c r="C119" s="43">
        <v>0</v>
      </c>
      <c r="D119" s="43">
        <v>0</v>
      </c>
      <c r="E119" s="43">
        <v>0</v>
      </c>
      <c r="F119" s="43">
        <v>0</v>
      </c>
      <c r="G119" s="43">
        <v>0</v>
      </c>
      <c r="H119" s="43">
        <v>0</v>
      </c>
      <c r="I119" s="43">
        <v>3430.38</v>
      </c>
      <c r="J119" s="43">
        <v>0</v>
      </c>
      <c r="K119" s="43">
        <v>3430.38</v>
      </c>
      <c r="L119" s="43">
        <v>1695.22</v>
      </c>
      <c r="M119" s="48">
        <f ca="1">'DCF Calc'!Q134</f>
        <v>1625.7780166987102</v>
      </c>
      <c r="N119" s="43">
        <f ca="1">Loan_Level_Results[[#This Row],[NPV]]-Loan_Level_Results[[#This Row],[DCF CALC NPV]]</f>
        <v>69.441983301289838</v>
      </c>
      <c r="O119" s="43">
        <f>Loan_Level_Results[[#This Row],[Principal Payment]]+Loan_Level_Results[[#This Row],[Interest]]</f>
        <v>0</v>
      </c>
    </row>
    <row r="120" spans="1:15" x14ac:dyDescent="0.3">
      <c r="A120" s="45">
        <v>49460</v>
      </c>
      <c r="B120" s="44">
        <v>119</v>
      </c>
      <c r="C120" s="43">
        <v>0</v>
      </c>
      <c r="D120" s="43">
        <v>0</v>
      </c>
      <c r="E120" s="43">
        <v>0</v>
      </c>
      <c r="F120" s="43">
        <v>0</v>
      </c>
      <c r="G120" s="43">
        <v>0</v>
      </c>
      <c r="H120" s="43">
        <v>0</v>
      </c>
      <c r="I120" s="43">
        <v>3415.04</v>
      </c>
      <c r="J120" s="43">
        <v>0</v>
      </c>
      <c r="K120" s="43">
        <v>3415.04</v>
      </c>
      <c r="L120" s="43">
        <v>1677.59</v>
      </c>
      <c r="M120" s="48">
        <f ca="1">'DCF Calc'!Q135</f>
        <v>1607.1573580358202</v>
      </c>
      <c r="N120" s="43">
        <f ca="1">Loan_Level_Results[[#This Row],[NPV]]-Loan_Level_Results[[#This Row],[DCF CALC NPV]]</f>
        <v>70.432641964179766</v>
      </c>
      <c r="O120" s="43">
        <f>Loan_Level_Results[[#This Row],[Principal Payment]]+Loan_Level_Results[[#This Row],[Interest]]</f>
        <v>0</v>
      </c>
    </row>
    <row r="121" spans="1:15" x14ac:dyDescent="0.3">
      <c r="A121" s="45">
        <v>49490</v>
      </c>
      <c r="B121" s="44">
        <v>120</v>
      </c>
      <c r="C121" s="43">
        <v>0</v>
      </c>
      <c r="D121" s="43">
        <v>0</v>
      </c>
      <c r="E121" s="43">
        <v>0</v>
      </c>
      <c r="F121" s="43">
        <v>0</v>
      </c>
      <c r="G121" s="43">
        <v>0</v>
      </c>
      <c r="H121" s="43">
        <v>0</v>
      </c>
      <c r="I121" s="43">
        <v>3400.45</v>
      </c>
      <c r="J121" s="43">
        <v>0</v>
      </c>
      <c r="K121" s="43">
        <v>3400.45</v>
      </c>
      <c r="L121" s="43">
        <v>1660.48</v>
      </c>
      <c r="M121" s="48">
        <f ca="1">'DCF Calc'!Q136</f>
        <v>1589.3469212907096</v>
      </c>
      <c r="N121" s="43">
        <f ca="1">Loan_Level_Results[[#This Row],[NPV]]-Loan_Level_Results[[#This Row],[DCF CALC NPV]]</f>
        <v>71.13307870929043</v>
      </c>
      <c r="O121" s="43">
        <f>Loan_Level_Results[[#This Row],[Principal Payment]]+Loan_Level_Results[[#This Row],[Interest]]</f>
        <v>0</v>
      </c>
    </row>
    <row r="122" spans="1:15" x14ac:dyDescent="0.3">
      <c r="A122" s="45">
        <v>49521</v>
      </c>
      <c r="B122" s="44">
        <v>121</v>
      </c>
      <c r="C122" s="43">
        <v>0</v>
      </c>
      <c r="D122" s="43">
        <v>0</v>
      </c>
      <c r="E122" s="43">
        <v>0</v>
      </c>
      <c r="F122" s="43">
        <v>0</v>
      </c>
      <c r="G122" s="43">
        <v>0</v>
      </c>
      <c r="H122" s="43">
        <v>0</v>
      </c>
      <c r="I122" s="43">
        <v>3385.25</v>
      </c>
      <c r="J122" s="43">
        <v>0</v>
      </c>
      <c r="K122" s="43">
        <v>3385.25</v>
      </c>
      <c r="L122" s="43">
        <v>1643.21</v>
      </c>
      <c r="M122" s="48">
        <f ca="1">'DCF Calc'!Q137</f>
        <v>1571.1049989156122</v>
      </c>
      <c r="N122" s="43">
        <f ca="1">Loan_Level_Results[[#This Row],[NPV]]-Loan_Level_Results[[#This Row],[DCF CALC NPV]]</f>
        <v>72.105001084387823</v>
      </c>
      <c r="O122" s="43">
        <f>Loan_Level_Results[[#This Row],[Principal Payment]]+Loan_Level_Results[[#This Row],[Interest]]</f>
        <v>0</v>
      </c>
    </row>
    <row r="123" spans="1:15" x14ac:dyDescent="0.3">
      <c r="A123" s="45">
        <v>49552</v>
      </c>
      <c r="B123" s="44">
        <v>122</v>
      </c>
      <c r="C123" s="43">
        <v>0</v>
      </c>
      <c r="D123" s="43">
        <v>0</v>
      </c>
      <c r="E123" s="43">
        <v>0</v>
      </c>
      <c r="F123" s="43">
        <v>0</v>
      </c>
      <c r="G123" s="43">
        <v>0</v>
      </c>
      <c r="H123" s="43">
        <v>0</v>
      </c>
      <c r="I123" s="43">
        <v>3370.78</v>
      </c>
      <c r="J123" s="43">
        <v>0</v>
      </c>
      <c r="K123" s="43">
        <v>3370.78</v>
      </c>
      <c r="L123" s="43">
        <v>1626.44</v>
      </c>
      <c r="M123" s="48">
        <f ca="1">'DCF Calc'!Q138</f>
        <v>1553.3443488273342</v>
      </c>
      <c r="N123" s="43">
        <f ca="1">Loan_Level_Results[[#This Row],[NPV]]-Loan_Level_Results[[#This Row],[DCF CALC NPV]]</f>
        <v>73.095651172665839</v>
      </c>
      <c r="O123" s="43">
        <f>Loan_Level_Results[[#This Row],[Principal Payment]]+Loan_Level_Results[[#This Row],[Interest]]</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9B571-5688-40AB-8810-8FD447C03D42}">
  <sheetPr codeName="Sheet5">
    <pageSetUpPr autoPageBreaks="0" fitToPage="1"/>
  </sheetPr>
  <dimension ref="B2:T385"/>
  <sheetViews>
    <sheetView showFormulas="1" workbookViewId="0">
      <selection activeCell="L19" sqref="L19"/>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7816559.5899999999</v>
      </c>
      <c r="D2" s="7" t="s">
        <v>1</v>
      </c>
      <c r="E2" s="24"/>
      <c r="F2" s="24"/>
      <c r="G2" s="24"/>
      <c r="I2" s="58" t="s">
        <v>9</v>
      </c>
      <c r="J2" s="58"/>
      <c r="L2" s="7" t="s">
        <v>10</v>
      </c>
      <c r="M2" s="12">
        <f ca="1">SUM(Table15[Present Value])</f>
        <v>7736974.9399999976</v>
      </c>
    </row>
    <row r="3" spans="2:20" ht="12" x14ac:dyDescent="0.25">
      <c r="B3" s="7" t="s">
        <v>11</v>
      </c>
      <c r="C3" s="13" t="s">
        <v>12</v>
      </c>
      <c r="D3" s="7" t="s">
        <v>13</v>
      </c>
      <c r="E3" s="25"/>
      <c r="F3" s="25"/>
      <c r="G3" s="25"/>
      <c r="H3" s="20"/>
      <c r="I3" s="8" t="s">
        <v>14</v>
      </c>
      <c r="J3" s="11">
        <f>(IF(ISNUMBER(SEARCH("360",C7)),365/360,1))</f>
        <v>1.0138888888888888</v>
      </c>
      <c r="K3" s="8"/>
      <c r="L3" s="7" t="s">
        <v>15</v>
      </c>
      <c r="M3" s="16">
        <v>-34898.480000000003</v>
      </c>
    </row>
    <row r="4" spans="2:20" ht="12" x14ac:dyDescent="0.25">
      <c r="B4" s="7" t="s">
        <v>16</v>
      </c>
      <c r="C4" s="31">
        <f>E10-E9+1</f>
        <v>115</v>
      </c>
      <c r="D4" s="7" t="s">
        <v>2</v>
      </c>
      <c r="E4" s="26"/>
      <c r="F4" s="26"/>
      <c r="G4" s="26"/>
      <c r="H4" s="8"/>
      <c r="I4" s="8" t="s">
        <v>17</v>
      </c>
      <c r="J4" s="9">
        <f>(1+C5*AmortizationMultiplier/12)^(12)-1</f>
        <v>7.0636323328273631E-2</v>
      </c>
      <c r="K4" s="8"/>
      <c r="L4" s="7" t="s">
        <v>18</v>
      </c>
      <c r="M4" s="12">
        <f ca="1">C2+M3-M2</f>
        <v>44686.170000001788</v>
      </c>
    </row>
    <row r="5" spans="2:20" ht="12" x14ac:dyDescent="0.25">
      <c r="B5" s="7" t="s">
        <v>19</v>
      </c>
      <c r="C5" s="14">
        <v>6.7510000000000001E-2</v>
      </c>
      <c r="D5" s="6"/>
      <c r="H5" s="7" t="s">
        <v>20</v>
      </c>
      <c r="I5" s="8" t="s">
        <v>21</v>
      </c>
      <c r="J5" s="9">
        <v>0</v>
      </c>
      <c r="K5" s="10"/>
      <c r="L5" s="7" t="s">
        <v>22</v>
      </c>
      <c r="M5" s="9">
        <f ca="1">M4/C2</f>
        <v>5.7168591226721254E-3</v>
      </c>
    </row>
    <row r="6" spans="2:20" ht="12" x14ac:dyDescent="0.25">
      <c r="B6" s="7" t="s">
        <v>23</v>
      </c>
      <c r="C6" s="16">
        <v>56752.65</v>
      </c>
      <c r="D6" s="7" t="s">
        <v>24</v>
      </c>
      <c r="E6" s="15">
        <v>3.3700000000000001E-2</v>
      </c>
      <c r="F6" s="27"/>
      <c r="G6" s="27"/>
      <c r="H6" s="7" t="s">
        <v>20</v>
      </c>
      <c r="I6" s="8" t="s">
        <v>25</v>
      </c>
      <c r="J6" s="15">
        <v>7.1497000000000005E-2</v>
      </c>
      <c r="K6" s="9">
        <f>(1+J6/12)^(12)-1</f>
        <v>7.3887078732068678E-2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44688.32</v>
      </c>
      <c r="O7" s="21"/>
    </row>
    <row r="8" spans="2:20" ht="12" x14ac:dyDescent="0.25">
      <c r="B8" s="7" t="s">
        <v>30</v>
      </c>
      <c r="C8" s="31" t="s">
        <v>31</v>
      </c>
      <c r="D8" s="7" t="s">
        <v>32</v>
      </c>
      <c r="E8" s="14">
        <v>2.0799999999999999E-2</v>
      </c>
      <c r="F8" s="24"/>
      <c r="G8" s="28"/>
      <c r="H8" s="7" t="s">
        <v>33</v>
      </c>
      <c r="I8" s="13" t="s">
        <v>34</v>
      </c>
      <c r="J8" s="15">
        <f>J6</f>
        <v>7.1497000000000005E-2</v>
      </c>
      <c r="K8" s="8"/>
      <c r="L8" s="7" t="s">
        <v>35</v>
      </c>
      <c r="M8" s="42">
        <f ca="1">M4-M7</f>
        <v>-2.1499999982115696</v>
      </c>
      <c r="O8" s="21"/>
    </row>
    <row r="9" spans="2:20" ht="12" x14ac:dyDescent="0.25">
      <c r="B9" s="7" t="s">
        <v>36</v>
      </c>
      <c r="C9" s="31" t="s">
        <v>31</v>
      </c>
      <c r="D9" s="7" t="s">
        <v>37</v>
      </c>
      <c r="E9" s="51">
        <v>12</v>
      </c>
      <c r="F9" s="8"/>
      <c r="G9" s="8"/>
      <c r="L9" s="7" t="s">
        <v>38</v>
      </c>
      <c r="M9" s="41">
        <f ca="1">M8/M4</f>
        <v>-4.811332003193569E-5</v>
      </c>
      <c r="O9" s="21"/>
    </row>
    <row r="10" spans="2:20" ht="12" x14ac:dyDescent="0.25">
      <c r="B10" s="7" t="s">
        <v>39</v>
      </c>
      <c r="C10" s="31" t="s">
        <v>40</v>
      </c>
      <c r="D10" s="7" t="s">
        <v>41</v>
      </c>
      <c r="E10" s="52">
        <v>126</v>
      </c>
      <c r="G10" s="32"/>
      <c r="J10" s="37"/>
      <c r="K10" s="19"/>
      <c r="L10" s="8"/>
      <c r="M10" s="8"/>
      <c r="O10" s="21"/>
      <c r="Q10" s="3"/>
    </row>
    <row r="11" spans="2:20" ht="13.8" x14ac:dyDescent="0.3">
      <c r="B11" s="7" t="s">
        <v>42</v>
      </c>
      <c r="C11" s="31" t="s">
        <v>40</v>
      </c>
      <c r="D11" s="7" t="s">
        <v>43</v>
      </c>
      <c r="E11" s="47">
        <v>772400892</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271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7816559.5899999999</v>
      </c>
      <c r="E17" s="55">
        <f>ROUND(Table15[[#This Row],[Beginning Balance]]*Table15[[#This Row],[Monthly Interest Rate]],2)</f>
        <v>45440.480000000003</v>
      </c>
      <c r="F17" s="4">
        <f>+C14</f>
        <v>271</v>
      </c>
      <c r="G17" s="4">
        <f>IFERROR(IF($C$13="No","N/A",IF(Table15[[#This Row],[Period]]=1,$C$6,PMT(InterestRate*AmortizationMultiplier/12,Table15[[#This Row],[Am Thru]],-Table15[[#This Row],[Beginning Balance]]))),0)</f>
        <v>56752.65</v>
      </c>
      <c r="H17" s="55">
        <f>MAX(0,IF(C17=$C$4,D17,ROUND(IF($C$3="Fixed Principal",$C$6-Table15[[#This Row],[Interest]],IF($C$3="Interest Only",Table15[[#This Row],[Beginning Balance]]*ROUND(1-(1-IF($C$11="No",$E$8,1))^(1/12),6),MIN(IF($C$13="Yes",Table15[[#This Row],[Payment Amount (Reamortized)]],$C$6)-Table15[[#This Row],[Interest]],Table15[[#This Row],[Beginning Balance]]))),2)))</f>
        <v>11312.17</v>
      </c>
      <c r="I17" s="4">
        <f>IF($C$3="Interest Only",0,ROUND(MAX(MIN(IF($C$10="No",$E$7,VLOOKUP(Table15[[#This Row],[Period]],Forecast!$H$2:$L$1048576,4,FALSE))*Table15[[#This Row],[Beginning Balance]],Table15[[#This Row],[Beginning Balance]]-Table15[[#This Row],[Principal]]),0),2))</f>
        <v>22300.639999999999</v>
      </c>
      <c r="J17" s="4">
        <f>ROUND(MIN(Table15[[#This Row],[Beginning Balance]]*IF($C$8="No",$E$3,VLOOKUP(Table15[[#This Row],[Period]],Forecast!$H$2:$L$1048576,2,FALSE)),Table15[[#This Row],[Beginning Balance]]-Table15[[#This Row],[Principal]]-Table15[[#This Row],[Prepayments]]),2)</f>
        <v>3556.53</v>
      </c>
      <c r="K17" s="4">
        <f>ROUND(Table15[[#This Row],[Defaulted Principal]]*IF($C$9="No",$E$4,VLOOKUP(Table15[[#This Row],[Period]],Forecast!$H$2:$L$1048576,3,FALSE)),2)</f>
        <v>277.45999999999998</v>
      </c>
      <c r="L17" s="2">
        <f>Table15[[#This Row],[Period]]+$E$9</f>
        <v>13</v>
      </c>
      <c r="M17" s="4">
        <f>Table15[[#This Row],[Defaulted Principal]]-Table15[[#This Row],[Estimated Loss]]</f>
        <v>3279.07</v>
      </c>
      <c r="N17" s="3">
        <f>IFERROR(VLOOKUP(Table15[[#This Row],[Period]],$L$16:$M$28,2,FALSE),0)</f>
        <v>0</v>
      </c>
      <c r="O17" s="3">
        <f>Table15[[#This Row],[Beginning Balance]]-Table15[[#This Row],[Principal]]-Table15[[#This Row],[Prepayments]]-Table15[[#This Row],[Defaulted Principal]]</f>
        <v>7779390.25</v>
      </c>
      <c r="P17" s="3">
        <f>Table15[[#This Row],[Principal]]+Table15[[#This Row],[Interest]]+Table15[[#This Row],[Prepayments]]+Table15[[#This Row],[RecoveredAmount]]</f>
        <v>79053.290000000008</v>
      </c>
      <c r="Q17" s="3">
        <f ca="1">ROUND(Table15[[#This Row],[Cash Flow]]/((1+ActualRateToUse)^(IF(ISNUMBER(SEARCH("Actual",$C$7)),Table15[[#This Row],[Running Total]]/365,Table15[[#This Row],[Period]]/12))),2)</f>
        <v>78590.990000000005</v>
      </c>
      <c r="R17" s="2">
        <f>IF(MONTH(Table15[[#This Row],[Date]])=2,28,DAY(DATE(YEAR(Table15[[#This Row],[Date]]),MONTH(Table15[[#This Row],[Date]])+1,1)-1))</f>
        <v>31</v>
      </c>
      <c r="S17" s="2">
        <f ca="1">SUM(OFFSET(Table15[[#Headers],[Days in month]],1,0):Table15[[#This Row],[Days in month]])</f>
        <v>31</v>
      </c>
      <c r="T17" s="37">
        <f>InterestRate*AmortizationMultiplier*IF(ISNUMBER(SEARCH("Actual",$C$7)),Table15[[#This Row],[Days in month]]/365,1/12)</f>
        <v>5.8133611111111103E-3</v>
      </c>
    </row>
    <row r="18" spans="2:20" x14ac:dyDescent="0.2">
      <c r="B18" s="1">
        <v>45900</v>
      </c>
      <c r="C18" s="2">
        <f>C17+1</f>
        <v>2</v>
      </c>
      <c r="D18" s="3">
        <f t="shared" ref="D18:D81" si="0">O17</f>
        <v>7779390.25</v>
      </c>
      <c r="E18" s="4">
        <f>ROUND(Table15[[#This Row],[Beginning Balance]]*Table15[[#This Row],[Monthly Interest Rate]],2)</f>
        <v>45224.4</v>
      </c>
      <c r="F18" s="4">
        <f>+F17-1</f>
        <v>270</v>
      </c>
      <c r="G18" s="4">
        <f>IFERROR(IF($C$13="No","N/A",IF(Table15[[#This Row],[Period]]=1,$C$6,PMT(InterestRate*AmortizationMultiplier/12,Table15[[#This Row],[Am Thru]],-Table15[[#This Row],[Beginning Balance]]))),0)</f>
        <v>56548.658226905602</v>
      </c>
      <c r="H18" s="4">
        <f>MAX(0,IF(C18=$C$4,D18,ROUND(IF($C$3="Fixed Principal",$C$6-Table15[[#This Row],[Interest]],IF($C$3="Interest Only",Table15[[#This Row],[Beginning Balance]]*ROUND(1-(1-IF($C$11="No",$E$8,1))^(1/12),6),MIN(IF($C$13="Yes",Table15[[#This Row],[Payment Amount (Reamortized)]],$C$6)-Table15[[#This Row],[Interest]],Table15[[#This Row],[Beginning Balance]]))),2)))</f>
        <v>11324.26</v>
      </c>
      <c r="I18" s="4">
        <f>_xlfn.SINGLE(IF($C$3="Line of Credit",0,ROUND(MAX(MIN(IF($C$10="No",$E$7,VLOOKUP(Table15[[#This Row],[Period]],Forecast!$H$2:$L$1048576,4,FALSE))*Table15[[#This Row],[Beginning Balance]],Table15[[#This Row],[Beginning Balance]]-Table15[[#This Row],[Principal]]),0),2)))</f>
        <v>22194.6</v>
      </c>
      <c r="J18" s="4">
        <f>ROUND(MIN(Table15[[#This Row],[Beginning Balance]]*IF($C$8="No",$E$3,VLOOKUP(Table15[[#This Row],[Period]],Forecast!$H$2:$L$1048576,2,FALSE)),Table15[[#This Row],[Beginning Balance]]-Table15[[#This Row],[Principal]]-Table15[[#This Row],[Prepayments]]),2)</f>
        <v>3539.62</v>
      </c>
      <c r="K18" s="4">
        <f>ROUND(Table15[[#This Row],[Defaulted Principal]]*IF($C$9="No",$E$4,VLOOKUP(Table15[[#This Row],[Period]],Forecast!$H$2:$L$1048576,3,FALSE)),2)</f>
        <v>276.14</v>
      </c>
      <c r="L18" s="2">
        <f>Table15[[#This Row],[Period]]+$E$9</f>
        <v>14</v>
      </c>
      <c r="M18" s="4">
        <f>Table15[[#This Row],[Defaulted Principal]]-Table15[[#This Row],[Estimated Loss]]</f>
        <v>3263.48</v>
      </c>
      <c r="N18" s="3">
        <f>IFERROR(VLOOKUP(Table15[[#This Row],[Period]],$L$16:$M$385,2,FALSE),0)</f>
        <v>0</v>
      </c>
      <c r="O18" s="4">
        <f>Table15[[#This Row],[Beginning Balance]]-Table15[[#This Row],[Principal]]-Table15[[#This Row],[Prepayments]]-Table15[[#This Row],[Defaulted Principal]]</f>
        <v>7742331.7700000005</v>
      </c>
      <c r="P18" s="3">
        <f>Table15[[#This Row],[Principal]]+Table15[[#This Row],[Interest]]+Table15[[#This Row],[Prepayments]]+Table15[[#This Row],[RecoveredAmount]]</f>
        <v>78743.260000000009</v>
      </c>
      <c r="Q18" s="3">
        <f ca="1">ROUND(Table15[[#This Row],[Cash Flow]]/((1+ActualRateToUse)^(IF(ISNUMBER(SEARCH("Actual",$C$7)),Table15[[#This Row],[Running Total]]/365,Table15[[#This Row],[Period]]/12))),2)</f>
        <v>77824.98</v>
      </c>
      <c r="R18" s="2">
        <f>IF(MONTH(Table15[[#This Row],[Date]])=2,28,DAY(DATE(YEAR(Table15[[#This Row],[Date]]),MONTH(Table15[[#This Row],[Date]])+1,1)-1))</f>
        <v>31</v>
      </c>
      <c r="S18" s="2">
        <f ca="1">SUM(OFFSET(Table15[[#Headers],[Days in month]],1,0):Table15[[#This Row],[Days in month]])</f>
        <v>62</v>
      </c>
      <c r="T18" s="37">
        <f>InterestRate*AmortizationMultiplier*IF(ISNUMBER(SEARCH("Actual",$C$7)),Table15[[#This Row],[Days in month]]/365,1/12)</f>
        <v>5.8133611111111103E-3</v>
      </c>
    </row>
    <row r="19" spans="2:20" x14ac:dyDescent="0.2">
      <c r="B19" s="1">
        <v>45930</v>
      </c>
      <c r="C19" s="2">
        <f t="shared" ref="C19:C82" si="1">C18+1</f>
        <v>3</v>
      </c>
      <c r="D19" s="3">
        <f t="shared" si="0"/>
        <v>7742331.7700000005</v>
      </c>
      <c r="E19" s="4">
        <f>ROUND(Table15[[#This Row],[Beginning Balance]]*Table15[[#This Row],[Monthly Interest Rate]],2)</f>
        <v>43557.07</v>
      </c>
      <c r="F19" s="4">
        <f t="shared" ref="F19:F82" si="2">+F18-1</f>
        <v>269</v>
      </c>
      <c r="G19" s="50">
        <f>IFERROR(IF($C$13="No","N/A",IF(Table15[[#This Row],[Period]]=1,$C$6,PMT(InterestRate*AmortizationMultiplier/12,Table15[[#This Row],[Am Thru]],-Table15[[#This Row],[Beginning Balance]]))),0)</f>
        <v>56367.497637232016</v>
      </c>
      <c r="H19" s="4">
        <f>MAX(0,IF(C19=$C$4,D19,ROUND(IF($C$3="Fixed Principal",$C$6-Table15[[#This Row],[Interest]],IF($C$3="Interest Only",Table15[[#This Row],[Beginning Balance]]*ROUND(1-(1-IF($C$11="No",$E$8,1))^(1/12),6),MIN(IF($C$13="Yes",Table15[[#This Row],[Payment Amount (Reamortized)]],$C$6)-Table15[[#This Row],[Interest]],Table15[[#This Row],[Beginning Balance]]))),2)))</f>
        <v>12810.43</v>
      </c>
      <c r="I19" s="4">
        <f>_xlfn.SINGLE(IF($C$3="Line of Credit",0,ROUND(MAX(MIN(IF($C$10="No",$E$7,VLOOKUP(Table15[[#This Row],[Period]],Forecast!$H$2:$L$1048576,4,FALSE))*Table15[[#This Row],[Beginning Balance]],Table15[[#This Row],[Beginning Balance]]-Table15[[#This Row],[Principal]]),0),2)))</f>
        <v>22088.87</v>
      </c>
      <c r="J19" s="4">
        <f>ROUND(MIN(Table15[[#This Row],[Beginning Balance]]*IF($C$8="No",$E$3,VLOOKUP(Table15[[#This Row],[Period]],Forecast!$H$2:$L$1048576,2,FALSE)),Table15[[#This Row],[Beginning Balance]]-Table15[[#This Row],[Principal]]-Table15[[#This Row],[Prepayments]]),2)</f>
        <v>3522.76</v>
      </c>
      <c r="K19" s="4">
        <f>ROUND(Table15[[#This Row],[Defaulted Principal]]*IF($C$9="No",$E$4,VLOOKUP(Table15[[#This Row],[Period]],Forecast!$H$2:$L$1048576,3,FALSE)),2)</f>
        <v>274.83</v>
      </c>
      <c r="L19" s="2">
        <f>Table15[[#This Row],[Period]]+$E$9</f>
        <v>15</v>
      </c>
      <c r="M19" s="4">
        <f>Table15[[#This Row],[Defaulted Principal]]-Table15[[#This Row],[Estimated Loss]]</f>
        <v>3247.9300000000003</v>
      </c>
      <c r="N19" s="3">
        <f>IFERROR(VLOOKUP(Table15[[#This Row],[Period]],$L$16:$M$28,2,FALSE),0)</f>
        <v>0</v>
      </c>
      <c r="O19" s="3">
        <f>Table15[[#This Row],[Beginning Balance]]-Table15[[#This Row],[Principal]]-Table15[[#This Row],[Prepayments]]-Table15[[#This Row],[Defaulted Principal]]</f>
        <v>7703909.7100000009</v>
      </c>
      <c r="P19" s="3">
        <f>Table15[[#This Row],[Principal]]+Table15[[#This Row],[Interest]]+Table15[[#This Row],[Prepayments]]+Table15[[#This Row],[RecoveredAmount]]</f>
        <v>78456.37</v>
      </c>
      <c r="Q19" s="3">
        <f ca="1">ROUND(Table15[[#This Row],[Cash Flow]]/((1+ActualRateToUse)^(IF(ISNUMBER(SEARCH("Actual",$C$7)),Table15[[#This Row],[Running Total]]/365,Table15[[#This Row],[Period]]/12))),2)</f>
        <v>77102.570000000007</v>
      </c>
      <c r="R19" s="2">
        <f>IF(MONTH(Table15[[#This Row],[Date]])=2,28,DAY(DATE(YEAR(Table15[[#This Row],[Date]]),MONTH(Table15[[#This Row],[Date]])+1,1)-1))</f>
        <v>30</v>
      </c>
      <c r="S19" s="2">
        <f ca="1">SUM(OFFSET(Table15[[#Headers],[Days in month]],1,0):Table15[[#This Row],[Days in month]])</f>
        <v>92</v>
      </c>
      <c r="T19" s="37">
        <f>InterestRate*AmortizationMultiplier*IF(ISNUMBER(SEARCH("Actual",$C$7)),Table15[[#This Row],[Days in month]]/365,1/12)</f>
        <v>5.6258333333333325E-3</v>
      </c>
    </row>
    <row r="20" spans="2:20" x14ac:dyDescent="0.2">
      <c r="B20" s="1">
        <v>45961</v>
      </c>
      <c r="C20" s="2">
        <f t="shared" si="1"/>
        <v>4</v>
      </c>
      <c r="D20" s="3">
        <f t="shared" si="0"/>
        <v>7703909.7100000009</v>
      </c>
      <c r="E20" s="4">
        <f>ROUND(Table15[[#This Row],[Beginning Balance]]*Table15[[#This Row],[Monthly Interest Rate]],2)</f>
        <v>44785.61</v>
      </c>
      <c r="F20" s="4">
        <f>+F19-1</f>
        <v>268</v>
      </c>
      <c r="G20" s="50">
        <f>IFERROR(IF($C$13="No","N/A",IF(Table15[[#This Row],[Period]]=1,$C$6,PMT(InterestRate*AmortizationMultiplier/12,Table15[[#This Row],[Am Thru]],-Table15[[#This Row],[Beginning Balance]]))),0)</f>
        <v>56176.32824285909</v>
      </c>
      <c r="H20" s="4">
        <f>MAX(0,IF(C20=$C$4,D20,ROUND(IF($C$3="Fixed Principal",$C$6-Table15[[#This Row],[Interest]],IF($C$3="Interest Only",Table15[[#This Row],[Beginning Balance]]*ROUND(1-(1-IF($C$11="No",$E$8,1))^(1/12),6),MIN(IF($C$13="Yes",Table15[[#This Row],[Payment Amount (Reamortized)]],$C$6)-Table15[[#This Row],[Interest]],Table15[[#This Row],[Beginning Balance]]))),2)))</f>
        <v>11390.72</v>
      </c>
      <c r="I20" s="4">
        <f>_xlfn.SINGLE(IF($C$3="Line of Credit",0,ROUND(MAX(MIN(IF($C$10="No",$E$7,VLOOKUP(Table15[[#This Row],[Period]],Forecast!$H$2:$L$1048576,4,FALSE))*Table15[[#This Row],[Beginning Balance]],Table15[[#This Row],[Beginning Balance]]-Table15[[#This Row],[Principal]]),0),2)))</f>
        <v>21979.25</v>
      </c>
      <c r="J20" s="4">
        <f>ROUND(MIN(Table15[[#This Row],[Beginning Balance]]*IF($C$8="No",$E$3,VLOOKUP(Table15[[#This Row],[Period]],Forecast!$H$2:$L$1048576,2,FALSE)),Table15[[#This Row],[Beginning Balance]]-Table15[[#This Row],[Principal]]-Table15[[#This Row],[Prepayments]]),2)</f>
        <v>3859.66</v>
      </c>
      <c r="K20" s="4">
        <f>ROUND(Table15[[#This Row],[Defaulted Principal]]*IF($C$9="No",$E$4,VLOOKUP(Table15[[#This Row],[Period]],Forecast!$H$2:$L$1048576,3,FALSE)),2)</f>
        <v>308.64999999999998</v>
      </c>
      <c r="L20" s="2">
        <f>Table15[[#This Row],[Period]]+$E$9</f>
        <v>16</v>
      </c>
      <c r="M20" s="4">
        <f>Table15[[#This Row],[Defaulted Principal]]-Table15[[#This Row],[Estimated Loss]]</f>
        <v>3551.0099999999998</v>
      </c>
      <c r="N20" s="3">
        <f>IFERROR(VLOOKUP(Table15[[#This Row],[Period]],$L$16:$M$28,2,FALSE),0)</f>
        <v>0</v>
      </c>
      <c r="O20" s="3">
        <f>Table15[[#This Row],[Beginning Balance]]-Table15[[#This Row],[Principal]]-Table15[[#This Row],[Prepayments]]-Table15[[#This Row],[Defaulted Principal]]</f>
        <v>7666680.080000001</v>
      </c>
      <c r="P20" s="3">
        <f>Table15[[#This Row],[Principal]]+Table15[[#This Row],[Interest]]+Table15[[#This Row],[Prepayments]]+Table15[[#This Row],[RecoveredAmount]]</f>
        <v>78155.58</v>
      </c>
      <c r="Q20" s="3">
        <f ca="1">ROUND(Table15[[#This Row],[Cash Flow]]/((1+ActualRateToUse)^(IF(ISNUMBER(SEARCH("Actual",$C$7)),Table15[[#This Row],[Running Total]]/365,Table15[[#This Row],[Period]]/12))),2)</f>
        <v>76357.81</v>
      </c>
      <c r="R20" s="2">
        <f>IF(MONTH(Table15[[#This Row],[Date]])=2,28,DAY(DATE(YEAR(Table15[[#This Row],[Date]]),MONTH(Table15[[#This Row],[Date]])+1,1)-1))</f>
        <v>31</v>
      </c>
      <c r="S20" s="2">
        <f ca="1">SUM(OFFSET(Table15[[#Headers],[Days in month]],1,0):Table15[[#This Row],[Days in month]])</f>
        <v>123</v>
      </c>
      <c r="T20" s="37">
        <f>InterestRate*AmortizationMultiplier*IF(ISNUMBER(SEARCH("Actual",$C$7)),Table15[[#This Row],[Days in month]]/365,1/12)</f>
        <v>5.8133611111111103E-3</v>
      </c>
    </row>
    <row r="21" spans="2:20" x14ac:dyDescent="0.2">
      <c r="B21" s="1">
        <v>45991</v>
      </c>
      <c r="C21" s="2">
        <f t="shared" si="1"/>
        <v>5</v>
      </c>
      <c r="D21" s="3">
        <f t="shared" si="0"/>
        <v>7666680.080000001</v>
      </c>
      <c r="E21" s="3">
        <f>ROUND(Table15[[#This Row],[Beginning Balance]]*Table15[[#This Row],[Monthly Interest Rate]],2)</f>
        <v>43131.46</v>
      </c>
      <c r="F21" s="3">
        <f t="shared" si="2"/>
        <v>267</v>
      </c>
      <c r="G21" s="23">
        <f>IFERROR(IF($C$13="No","N/A",IF(Table15[[#This Row],[Period]]=1,$C$6,PMT(InterestRate*AmortizationMultiplier/12,Table15[[#This Row],[Am Thru]],-Table15[[#This Row],[Beginning Balance]]))),0)</f>
        <v>55993.768153721045</v>
      </c>
      <c r="H21" s="3">
        <f>MAX(0,IF(C21=$C$4,D21,ROUND(IF($C$3="Fixed Principal",$C$6-Table15[[#This Row],[Interest]],IF($C$3="Interest Only",Table15[[#This Row],[Beginning Balance]]*ROUND(1-(1-IF($C$11="No",$E$8,1))^(1/12),6),MIN(IF($C$13="Yes",Table15[[#This Row],[Payment Amount (Reamortized)]],$C$6)-Table15[[#This Row],[Interest]],Table15[[#This Row],[Beginning Balance]]))),2)))</f>
        <v>12862.31</v>
      </c>
      <c r="I21" s="3">
        <f>_xlfn.SINGLE(IF($C$3="Line of Credit",0,ROUND(MAX(MIN(IF($C$10="No",$E$7,VLOOKUP(Table15[[#This Row],[Period]],Forecast!$H$2:$L$1048576,4,FALSE))*Table15[[#This Row],[Beginning Balance]],Table15[[#This Row],[Beginning Balance]]-Table15[[#This Row],[Principal]]),0),2)))</f>
        <v>21873.040000000001</v>
      </c>
      <c r="J21" s="3">
        <f>ROUND(MIN(Table15[[#This Row],[Beginning Balance]]*IF($C$8="No",$E$3,VLOOKUP(Table15[[#This Row],[Period]],Forecast!$H$2:$L$1048576,2,FALSE)),Table15[[#This Row],[Beginning Balance]]-Table15[[#This Row],[Principal]]-Table15[[#This Row],[Prepayments]]),2)</f>
        <v>3841.01</v>
      </c>
      <c r="K21" s="3">
        <f>ROUND(Table15[[#This Row],[Defaulted Principal]]*IF($C$9="No",$E$4,VLOOKUP(Table15[[#This Row],[Period]],Forecast!$H$2:$L$1048576,3,FALSE)),2)</f>
        <v>307.14999999999998</v>
      </c>
      <c r="L21" s="2">
        <f>Table15[[#This Row],[Period]]+$E$9</f>
        <v>17</v>
      </c>
      <c r="M21" s="3">
        <f>Table15[[#This Row],[Defaulted Principal]]-Table15[[#This Row],[Estimated Loss]]</f>
        <v>3533.86</v>
      </c>
      <c r="N21" s="3">
        <f>IFERROR(VLOOKUP(Table15[[#This Row],[Period]],$L$16:$M$28,2,FALSE),0)</f>
        <v>0</v>
      </c>
      <c r="O21" s="3">
        <f>Table15[[#This Row],[Beginning Balance]]-Table15[[#This Row],[Principal]]-Table15[[#This Row],[Prepayments]]-Table15[[#This Row],[Defaulted Principal]]</f>
        <v>7628103.7200000016</v>
      </c>
      <c r="P21" s="3">
        <f>Table15[[#This Row],[Principal]]+Table15[[#This Row],[Interest]]+Table15[[#This Row],[Prepayments]]+Table15[[#This Row],[RecoveredAmount]]</f>
        <v>77866.81</v>
      </c>
      <c r="Q21" s="3">
        <f ca="1">ROUND(Table15[[#This Row],[Cash Flow]]/((1+ActualRateToUse)^(IF(ISNUMBER(SEARCH("Actual",$C$7)),Table15[[#This Row],[Running Total]]/365,Table15[[#This Row],[Period]]/12))),2)</f>
        <v>75645.11</v>
      </c>
      <c r="R21" s="2">
        <f>IF(MONTH(Table15[[#This Row],[Date]])=2,28,DAY(DATE(YEAR(Table15[[#This Row],[Date]]),MONTH(Table15[[#This Row],[Date]])+1,1)-1))</f>
        <v>30</v>
      </c>
      <c r="S21" s="2">
        <f ca="1">SUM(OFFSET(Table15[[#Headers],[Days in month]],1,0):Table15[[#This Row],[Days in month]])</f>
        <v>153</v>
      </c>
      <c r="T21" s="37">
        <f>InterestRate*AmortizationMultiplier*IF(ISNUMBER(SEARCH("Actual",$C$7)),Table15[[#This Row],[Days in month]]/365,1/12)</f>
        <v>5.6258333333333325E-3</v>
      </c>
    </row>
    <row r="22" spans="2:20" x14ac:dyDescent="0.2">
      <c r="B22" s="1">
        <v>46022</v>
      </c>
      <c r="C22" s="2">
        <f t="shared" si="1"/>
        <v>6</v>
      </c>
      <c r="D22" s="3">
        <f t="shared" si="0"/>
        <v>7628103.7200000016</v>
      </c>
      <c r="E22" s="3">
        <f>ROUND(Table15[[#This Row],[Beginning Balance]]*Table15[[#This Row],[Monthly Interest Rate]],2)</f>
        <v>44344.92</v>
      </c>
      <c r="F22" s="3">
        <f t="shared" si="2"/>
        <v>266</v>
      </c>
      <c r="G22" s="23">
        <f>IFERROR(IF($C$13="No","N/A",IF(Table15[[#This Row],[Period]]=1,$C$6,PMT(InterestRate*AmortizationMultiplier/12,Table15[[#This Row],[Am Thru]],-Table15[[#This Row],[Beginning Balance]]))),0)</f>
        <v>55801.281920466943</v>
      </c>
      <c r="H22" s="3">
        <f>MAX(0,IF(C22=$C$4,D22,ROUND(IF($C$3="Fixed Principal",$C$6-Table15[[#This Row],[Interest]],IF($C$3="Interest Only",Table15[[#This Row],[Beginning Balance]]*ROUND(1-(1-IF($C$11="No",$E$8,1))^(1/12),6),MIN(IF($C$13="Yes",Table15[[#This Row],[Payment Amount (Reamortized)]],$C$6)-Table15[[#This Row],[Interest]],Table15[[#This Row],[Beginning Balance]]))),2)))</f>
        <v>11456.36</v>
      </c>
      <c r="I22" s="3">
        <f>_xlfn.SINGLE(IF($C$3="Line of Credit",0,ROUND(MAX(MIN(IF($C$10="No",$E$7,VLOOKUP(Table15[[#This Row],[Period]],Forecast!$H$2:$L$1048576,4,FALSE))*Table15[[#This Row],[Beginning Balance]],Table15[[#This Row],[Beginning Balance]]-Table15[[#This Row],[Principal]]),0),2)))</f>
        <v>21762.98</v>
      </c>
      <c r="J22" s="3">
        <f>ROUND(MIN(Table15[[#This Row],[Beginning Balance]]*IF($C$8="No",$E$3,VLOOKUP(Table15[[#This Row],[Period]],Forecast!$H$2:$L$1048576,2,FALSE)),Table15[[#This Row],[Beginning Balance]]-Table15[[#This Row],[Principal]]-Table15[[#This Row],[Prepayments]]),2)</f>
        <v>3821.68</v>
      </c>
      <c r="K22" s="3">
        <f>ROUND(Table15[[#This Row],[Defaulted Principal]]*IF($C$9="No",$E$4,VLOOKUP(Table15[[#This Row],[Period]],Forecast!$H$2:$L$1048576,3,FALSE)),2)</f>
        <v>305.61</v>
      </c>
      <c r="L22" s="2">
        <f>Table15[[#This Row],[Period]]+$E$9</f>
        <v>18</v>
      </c>
      <c r="M22" s="3">
        <f>Table15[[#This Row],[Defaulted Principal]]-Table15[[#This Row],[Estimated Loss]]</f>
        <v>3516.0699999999997</v>
      </c>
      <c r="N22" s="3">
        <f>IFERROR(VLOOKUP(Table15[[#This Row],[Period]],$L$16:$M$28,2,FALSE),0)</f>
        <v>0</v>
      </c>
      <c r="O22" s="3">
        <f>Table15[[#This Row],[Beginning Balance]]-Table15[[#This Row],[Principal]]-Table15[[#This Row],[Prepayments]]-Table15[[#This Row],[Defaulted Principal]]</f>
        <v>7591062.7000000011</v>
      </c>
      <c r="P22" s="3">
        <f>Table15[[#This Row],[Principal]]+Table15[[#This Row],[Interest]]+Table15[[#This Row],[Prepayments]]+Table15[[#This Row],[RecoveredAmount]]</f>
        <v>77564.259999999995</v>
      </c>
      <c r="Q22" s="3">
        <f ca="1">ROUND(Table15[[#This Row],[Cash Flow]]/((1+ActualRateToUse)^(IF(ISNUMBER(SEARCH("Actual",$C$7)),Table15[[#This Row],[Running Total]]/365,Table15[[#This Row],[Period]]/12))),2)</f>
        <v>74910.539999999994</v>
      </c>
      <c r="R22" s="2">
        <f>IF(MONTH(Table15[[#This Row],[Date]])=2,28,DAY(DATE(YEAR(Table15[[#This Row],[Date]]),MONTH(Table15[[#This Row],[Date]])+1,1)-1))</f>
        <v>31</v>
      </c>
      <c r="S22" s="2">
        <f ca="1">SUM(OFFSET(Table15[[#Headers],[Days in month]],1,0):Table15[[#This Row],[Days in month]])</f>
        <v>184</v>
      </c>
      <c r="T22" s="37">
        <f>InterestRate*AmortizationMultiplier*IF(ISNUMBER(SEARCH("Actual",$C$7)),Table15[[#This Row],[Days in month]]/365,1/12)</f>
        <v>5.8133611111111103E-3</v>
      </c>
    </row>
    <row r="23" spans="2:20" x14ac:dyDescent="0.2">
      <c r="B23" s="1">
        <v>46053</v>
      </c>
      <c r="C23" s="2">
        <f t="shared" si="1"/>
        <v>7</v>
      </c>
      <c r="D23" s="3">
        <f t="shared" si="0"/>
        <v>7591062.7000000011</v>
      </c>
      <c r="E23" s="3">
        <f>ROUND(Table15[[#This Row],[Beginning Balance]]*Table15[[#This Row],[Monthly Interest Rate]],2)</f>
        <v>44129.59</v>
      </c>
      <c r="F23" s="3">
        <f t="shared" si="2"/>
        <v>265</v>
      </c>
      <c r="G23" s="23">
        <f>IFERROR(IF($C$13="No","N/A",IF(Table15[[#This Row],[Period]]=1,$C$6,PMT(InterestRate*AmortizationMultiplier/12,Table15[[#This Row],[Am Thru]],-Table15[[#This Row],[Beginning Balance]]))),0)</f>
        <v>55619.936398767706</v>
      </c>
      <c r="H23" s="3">
        <f>MAX(0,IF(C23=$C$4,D23,ROUND(IF($C$3="Fixed Principal",$C$6-Table15[[#This Row],[Interest]],IF($C$3="Interest Only",Table15[[#This Row],[Beginning Balance]]*ROUND(1-(1-IF($C$11="No",$E$8,1))^(1/12),6),MIN(IF($C$13="Yes",Table15[[#This Row],[Payment Amount (Reamortized)]],$C$6)-Table15[[#This Row],[Interest]],Table15[[#This Row],[Beginning Balance]]))),2)))</f>
        <v>11490.35</v>
      </c>
      <c r="I23" s="3">
        <f>_xlfn.SINGLE(IF($C$3="Line of Credit",0,ROUND(MAX(MIN(IF($C$10="No",$E$7,VLOOKUP(Table15[[#This Row],[Period]],Forecast!$H$2:$L$1048576,4,FALSE))*Table15[[#This Row],[Beginning Balance]],Table15[[#This Row],[Beginning Balance]]-Table15[[#This Row],[Principal]]),0),2)))</f>
        <v>21657.3</v>
      </c>
      <c r="J23" s="3">
        <f>ROUND(MIN(Table15[[#This Row],[Beginning Balance]]*IF($C$8="No",$E$3,VLOOKUP(Table15[[#This Row],[Period]],Forecast!$H$2:$L$1048576,2,FALSE)),Table15[[#This Row],[Beginning Balance]]-Table15[[#This Row],[Principal]]-Table15[[#This Row],[Prepayments]]),2)</f>
        <v>3772.76</v>
      </c>
      <c r="K23" s="3">
        <f>ROUND(Table15[[#This Row],[Defaulted Principal]]*IF($C$9="No",$E$4,VLOOKUP(Table15[[#This Row],[Period]],Forecast!$H$2:$L$1048576,3,FALSE)),2)</f>
        <v>300.98</v>
      </c>
      <c r="L23" s="2">
        <f>Table15[[#This Row],[Period]]+$E$9</f>
        <v>19</v>
      </c>
      <c r="M23" s="3">
        <f>Table15[[#This Row],[Defaulted Principal]]-Table15[[#This Row],[Estimated Loss]]</f>
        <v>3471.78</v>
      </c>
      <c r="N23" s="3">
        <f>IFERROR(VLOOKUP(Table15[[#This Row],[Period]],$L$16:$M$28,2,FALSE),0)</f>
        <v>0</v>
      </c>
      <c r="O23" s="3">
        <f>Table15[[#This Row],[Beginning Balance]]-Table15[[#This Row],[Principal]]-Table15[[#This Row],[Prepayments]]-Table15[[#This Row],[Defaulted Principal]]</f>
        <v>7554142.2900000019</v>
      </c>
      <c r="P23" s="3">
        <f>Table15[[#This Row],[Principal]]+Table15[[#This Row],[Interest]]+Table15[[#This Row],[Prepayments]]+Table15[[#This Row],[RecoveredAmount]]</f>
        <v>77277.239999999991</v>
      </c>
      <c r="Q23" s="3">
        <f ca="1">ROUND(Table15[[#This Row],[Cash Flow]]/((1+ActualRateToUse)^(IF(ISNUMBER(SEARCH("Actual",$C$7)),Table15[[#This Row],[Running Total]]/365,Table15[[#This Row],[Period]]/12))),2)</f>
        <v>74196.89</v>
      </c>
      <c r="R23" s="2">
        <f>IF(MONTH(Table15[[#This Row],[Date]])=2,28,DAY(DATE(YEAR(Table15[[#This Row],[Date]]),MONTH(Table15[[#This Row],[Date]])+1,1)-1))</f>
        <v>31</v>
      </c>
      <c r="S23" s="2">
        <f ca="1">SUM(OFFSET(Table15[[#Headers],[Days in month]],1,0):Table15[[#This Row],[Days in month]])</f>
        <v>215</v>
      </c>
      <c r="T23" s="37">
        <f>InterestRate*AmortizationMultiplier*IF(ISNUMBER(SEARCH("Actual",$C$7)),Table15[[#This Row],[Days in month]]/365,1/12)</f>
        <v>5.8133611111111103E-3</v>
      </c>
    </row>
    <row r="24" spans="2:20" x14ac:dyDescent="0.2">
      <c r="B24" s="1">
        <v>46081</v>
      </c>
      <c r="C24" s="2">
        <f t="shared" si="1"/>
        <v>8</v>
      </c>
      <c r="D24" s="3">
        <f t="shared" si="0"/>
        <v>7554142.2900000019</v>
      </c>
      <c r="E24" s="3">
        <f>ROUND(Table15[[#This Row],[Beginning Balance]]*Table15[[#This Row],[Monthly Interest Rate]],2)</f>
        <v>39665.120000000003</v>
      </c>
      <c r="F24" s="3">
        <f t="shared" si="2"/>
        <v>264</v>
      </c>
      <c r="G24" s="23">
        <f>IFERROR(IF($C$13="No","N/A",IF(Table15[[#This Row],[Period]]=1,$C$6,PMT(InterestRate*AmortizationMultiplier/12,Table15[[#This Row],[Am Thru]],-Table15[[#This Row],[Beginning Balance]]))),0)</f>
        <v>55439.400907382813</v>
      </c>
      <c r="H24" s="3">
        <f>MAX(0,IF(C24=$C$4,D24,ROUND(IF($C$3="Fixed Principal",$C$6-Table15[[#This Row],[Interest]],IF($C$3="Interest Only",Table15[[#This Row],[Beginning Balance]]*ROUND(1-(1-IF($C$11="No",$E$8,1))^(1/12),6),MIN(IF($C$13="Yes",Table15[[#This Row],[Payment Amount (Reamortized)]],$C$6)-Table15[[#This Row],[Interest]],Table15[[#This Row],[Beginning Balance]]))),2)))</f>
        <v>15774.28</v>
      </c>
      <c r="I24" s="3">
        <f>_xlfn.SINGLE(IF($C$3="Line of Credit",0,ROUND(MAX(MIN(IF($C$10="No",$E$7,VLOOKUP(Table15[[#This Row],[Period]],Forecast!$H$2:$L$1048576,4,FALSE))*Table15[[#This Row],[Beginning Balance]],Table15[[#This Row],[Beginning Balance]]-Table15[[#This Row],[Principal]]),0),2)))</f>
        <v>21551.97</v>
      </c>
      <c r="J24" s="3">
        <f>ROUND(MIN(Table15[[#This Row],[Beginning Balance]]*IF($C$8="No",$E$3,VLOOKUP(Table15[[#This Row],[Period]],Forecast!$H$2:$L$1048576,2,FALSE)),Table15[[#This Row],[Beginning Balance]]-Table15[[#This Row],[Principal]]-Table15[[#This Row],[Prepayments]]),2)</f>
        <v>3754.41</v>
      </c>
      <c r="K24" s="3">
        <f>ROUND(Table15[[#This Row],[Defaulted Principal]]*IF($C$9="No",$E$4,VLOOKUP(Table15[[#This Row],[Period]],Forecast!$H$2:$L$1048576,3,FALSE)),2)</f>
        <v>299.52</v>
      </c>
      <c r="L24" s="2">
        <f>Table15[[#This Row],[Period]]+$E$9</f>
        <v>20</v>
      </c>
      <c r="M24" s="3">
        <f>Table15[[#This Row],[Defaulted Principal]]-Table15[[#This Row],[Estimated Loss]]</f>
        <v>3454.89</v>
      </c>
      <c r="N24" s="3">
        <f>IFERROR(VLOOKUP(Table15[[#This Row],[Period]],$L$16:$M$28,2,FALSE),0)</f>
        <v>0</v>
      </c>
      <c r="O24" s="3">
        <f>Table15[[#This Row],[Beginning Balance]]-Table15[[#This Row],[Principal]]-Table15[[#This Row],[Prepayments]]-Table15[[#This Row],[Defaulted Principal]]</f>
        <v>7513061.6300000018</v>
      </c>
      <c r="P24" s="3">
        <f>Table15[[#This Row],[Principal]]+Table15[[#This Row],[Interest]]+Table15[[#This Row],[Prepayments]]+Table15[[#This Row],[RecoveredAmount]]</f>
        <v>76991.37</v>
      </c>
      <c r="Q24" s="3">
        <f ca="1">ROUND(Table15[[#This Row],[Cash Flow]]/((1+ActualRateToUse)^(IF(ISNUMBER(SEARCH("Actual",$C$7)),Table15[[#This Row],[Running Total]]/365,Table15[[#This Row],[Period]]/12))),2)</f>
        <v>73531.850000000006</v>
      </c>
      <c r="R24" s="2">
        <f>IF(MONTH(Table15[[#This Row],[Date]])=2,28,DAY(DATE(YEAR(Table15[[#This Row],[Date]]),MONTH(Table15[[#This Row],[Date]])+1,1)-1))</f>
        <v>28</v>
      </c>
      <c r="S24" s="2">
        <f ca="1">SUM(OFFSET(Table15[[#Headers],[Days in month]],1,0):Table15[[#This Row],[Days in month]])</f>
        <v>243</v>
      </c>
      <c r="T24" s="37">
        <f>InterestRate*AmortizationMultiplier*IF(ISNUMBER(SEARCH("Actual",$C$7)),Table15[[#This Row],[Days in month]]/365,1/12)</f>
        <v>5.2507777777777778E-3</v>
      </c>
    </row>
    <row r="25" spans="2:20" x14ac:dyDescent="0.2">
      <c r="B25" s="1">
        <v>46112</v>
      </c>
      <c r="C25" s="2">
        <f t="shared" si="1"/>
        <v>9</v>
      </c>
      <c r="D25" s="3">
        <f t="shared" si="0"/>
        <v>7513061.6300000018</v>
      </c>
      <c r="E25" s="3">
        <f>ROUND(Table15[[#This Row],[Beginning Balance]]*Table15[[#This Row],[Monthly Interest Rate]],2)</f>
        <v>43676.14</v>
      </c>
      <c r="F25" s="3">
        <f t="shared" si="2"/>
        <v>263</v>
      </c>
      <c r="G25" s="23">
        <f>IFERROR(IF($C$13="No","N/A",IF(Table15[[#This Row],[Period]]=1,$C$6,PMT(InterestRate*AmortizationMultiplier/12,Table15[[#This Row],[Am Thru]],-Table15[[#This Row],[Beginning Balance]]))),0)</f>
        <v>55228.208885562301</v>
      </c>
      <c r="H25" s="3">
        <f>MAX(0,IF(C25=$C$4,D25,ROUND(IF($C$3="Fixed Principal",$C$6-Table15[[#This Row],[Interest]],IF($C$3="Interest Only",Table15[[#This Row],[Beginning Balance]]*ROUND(1-(1-IF($C$11="No",$E$8,1))^(1/12),6),MIN(IF($C$13="Yes",Table15[[#This Row],[Payment Amount (Reamortized)]],$C$6)-Table15[[#This Row],[Interest]],Table15[[#This Row],[Beginning Balance]]))),2)))</f>
        <v>11552.07</v>
      </c>
      <c r="I25" s="3">
        <f>_xlfn.SINGLE(IF($C$3="Line of Credit",0,ROUND(MAX(MIN(IF($C$10="No",$E$7,VLOOKUP(Table15[[#This Row],[Period]],Forecast!$H$2:$L$1048576,4,FALSE))*Table15[[#This Row],[Beginning Balance]],Table15[[#This Row],[Beginning Balance]]-Table15[[#This Row],[Principal]]),0),2)))</f>
        <v>21434.76</v>
      </c>
      <c r="J25" s="3">
        <f>ROUND(MIN(Table15[[#This Row],[Beginning Balance]]*IF($C$8="No",$E$3,VLOOKUP(Table15[[#This Row],[Period]],Forecast!$H$2:$L$1048576,2,FALSE)),Table15[[#This Row],[Beginning Balance]]-Table15[[#This Row],[Principal]]-Table15[[#This Row],[Prepayments]]),2)</f>
        <v>3733.99</v>
      </c>
      <c r="K25" s="3">
        <f>ROUND(Table15[[#This Row],[Defaulted Principal]]*IF($C$9="No",$E$4,VLOOKUP(Table15[[#This Row],[Period]],Forecast!$H$2:$L$1048576,3,FALSE)),2)</f>
        <v>297.89</v>
      </c>
      <c r="L25" s="2">
        <f>Table15[[#This Row],[Period]]+$E$9</f>
        <v>21</v>
      </c>
      <c r="M25" s="3">
        <f>Table15[[#This Row],[Defaulted Principal]]-Table15[[#This Row],[Estimated Loss]]</f>
        <v>3436.1</v>
      </c>
      <c r="N25" s="3">
        <f>IFERROR(VLOOKUP(Table15[[#This Row],[Period]],$L$16:$M$28,2,FALSE),0)</f>
        <v>0</v>
      </c>
      <c r="O25" s="3">
        <f>Table15[[#This Row],[Beginning Balance]]-Table15[[#This Row],[Principal]]-Table15[[#This Row],[Prepayments]]-Table15[[#This Row],[Defaulted Principal]]</f>
        <v>7476340.8100000015</v>
      </c>
      <c r="P25" s="3">
        <f>Table15[[#This Row],[Principal]]+Table15[[#This Row],[Interest]]+Table15[[#This Row],[Prepayments]]+Table15[[#This Row],[RecoveredAmount]]</f>
        <v>76662.97</v>
      </c>
      <c r="Q25" s="3">
        <f ca="1">ROUND(Table15[[#This Row],[Cash Flow]]/((1+ActualRateToUse)^(IF(ISNUMBER(SEARCH("Actual",$C$7)),Table15[[#This Row],[Running Total]]/365,Table15[[#This Row],[Period]]/12))),2)</f>
        <v>72790.03</v>
      </c>
      <c r="R25" s="2">
        <f>IF(MONTH(Table15[[#This Row],[Date]])=2,28,DAY(DATE(YEAR(Table15[[#This Row],[Date]]),MONTH(Table15[[#This Row],[Date]])+1,1)-1))</f>
        <v>31</v>
      </c>
      <c r="S25" s="2">
        <f ca="1">SUM(OFFSET(Table15[[#Headers],[Days in month]],1,0):Table15[[#This Row],[Days in month]])</f>
        <v>274</v>
      </c>
      <c r="T25" s="37">
        <f>InterestRate*AmortizationMultiplier*IF(ISNUMBER(SEARCH("Actual",$C$7)),Table15[[#This Row],[Days in month]]/365,1/12)</f>
        <v>5.8133611111111103E-3</v>
      </c>
    </row>
    <row r="26" spans="2:20" x14ac:dyDescent="0.2">
      <c r="B26" s="1">
        <v>46142</v>
      </c>
      <c r="C26" s="2">
        <f t="shared" si="1"/>
        <v>10</v>
      </c>
      <c r="D26" s="3">
        <f t="shared" si="0"/>
        <v>7476340.8100000015</v>
      </c>
      <c r="E26" s="3">
        <f>ROUND(Table15[[#This Row],[Beginning Balance]]*Table15[[#This Row],[Monthly Interest Rate]],2)</f>
        <v>42060.65</v>
      </c>
      <c r="F26" s="3">
        <f t="shared" si="2"/>
        <v>262</v>
      </c>
      <c r="G26" s="23">
        <f>IFERROR(IF($C$13="No","N/A",IF(Table15[[#This Row],[Period]]=1,$C$6,PMT(InterestRate*AmortizationMultiplier/12,Table15[[#This Row],[Am Thru]],-Table15[[#This Row],[Beginning Balance]]))),0)</f>
        <v>55048.940650249882</v>
      </c>
      <c r="H26" s="3">
        <f>MAX(0,IF(C26=$C$4,D26,ROUND(IF($C$3="Fixed Principal",$C$6-Table15[[#This Row],[Interest]],IF($C$3="Interest Only",Table15[[#This Row],[Beginning Balance]]*ROUND(1-(1-IF($C$11="No",$E$8,1))^(1/12),6),MIN(IF($C$13="Yes",Table15[[#This Row],[Payment Amount (Reamortized)]],$C$6)-Table15[[#This Row],[Interest]],Table15[[#This Row],[Beginning Balance]]))),2)))</f>
        <v>12988.29</v>
      </c>
      <c r="I26" s="3">
        <f>_xlfn.SINGLE(IF($C$3="Line of Credit",0,ROUND(MAX(MIN(IF($C$10="No",$E$7,VLOOKUP(Table15[[#This Row],[Period]],Forecast!$H$2:$L$1048576,4,FALSE))*Table15[[#This Row],[Beginning Balance]],Table15[[#This Row],[Beginning Balance]]-Table15[[#This Row],[Principal]]),0),2)))</f>
        <v>21330</v>
      </c>
      <c r="J26" s="3">
        <f>ROUND(MIN(Table15[[#This Row],[Beginning Balance]]*IF($C$8="No",$E$3,VLOOKUP(Table15[[#This Row],[Period]],Forecast!$H$2:$L$1048576,2,FALSE)),Table15[[#This Row],[Beginning Balance]]-Table15[[#This Row],[Principal]]-Table15[[#This Row],[Prepayments]]),2)</f>
        <v>3678.36</v>
      </c>
      <c r="K26" s="3">
        <f>ROUND(Table15[[#This Row],[Defaulted Principal]]*IF($C$9="No",$E$4,VLOOKUP(Table15[[#This Row],[Period]],Forecast!$H$2:$L$1048576,3,FALSE)),2)</f>
        <v>292.75</v>
      </c>
      <c r="L26" s="2">
        <f>Table15[[#This Row],[Period]]+$E$9</f>
        <v>22</v>
      </c>
      <c r="M26" s="3">
        <f>Table15[[#This Row],[Defaulted Principal]]-Table15[[#This Row],[Estimated Loss]]</f>
        <v>3385.61</v>
      </c>
      <c r="N26" s="3">
        <f>IFERROR(VLOOKUP(Table15[[#This Row],[Period]],$L$16:$M$28,2,FALSE),0)</f>
        <v>0</v>
      </c>
      <c r="O26" s="3">
        <f>Table15[[#This Row],[Beginning Balance]]-Table15[[#This Row],[Principal]]-Table15[[#This Row],[Prepayments]]-Table15[[#This Row],[Defaulted Principal]]</f>
        <v>7438344.1600000011</v>
      </c>
      <c r="P26" s="3">
        <f>Table15[[#This Row],[Principal]]+Table15[[#This Row],[Interest]]+Table15[[#This Row],[Prepayments]]+Table15[[#This Row],[RecoveredAmount]]</f>
        <v>76378.94</v>
      </c>
      <c r="Q26" s="3">
        <f ca="1">ROUND(Table15[[#This Row],[Cash Flow]]/((1+ActualRateToUse)^(IF(ISNUMBER(SEARCH("Actual",$C$7)),Table15[[#This Row],[Running Total]]/365,Table15[[#This Row],[Period]]/12))),2)</f>
        <v>72109.89</v>
      </c>
      <c r="R26" s="2">
        <f>IF(MONTH(Table15[[#This Row],[Date]])=2,28,DAY(DATE(YEAR(Table15[[#This Row],[Date]]),MONTH(Table15[[#This Row],[Date]])+1,1)-1))</f>
        <v>30</v>
      </c>
      <c r="S26" s="2">
        <f ca="1">SUM(OFFSET(Table15[[#Headers],[Days in month]],1,0):Table15[[#This Row],[Days in month]])</f>
        <v>304</v>
      </c>
      <c r="T26" s="37">
        <f>InterestRate*AmortizationMultiplier*IF(ISNUMBER(SEARCH("Actual",$C$7)),Table15[[#This Row],[Days in month]]/365,1/12)</f>
        <v>5.6258333333333325E-3</v>
      </c>
    </row>
    <row r="27" spans="2:20" x14ac:dyDescent="0.2">
      <c r="B27" s="1">
        <v>46173</v>
      </c>
      <c r="C27" s="2">
        <f t="shared" si="1"/>
        <v>11</v>
      </c>
      <c r="D27" s="3">
        <f t="shared" si="0"/>
        <v>7438344.1600000011</v>
      </c>
      <c r="E27" s="3">
        <f>ROUND(Table15[[#This Row],[Beginning Balance]]*Table15[[#This Row],[Monthly Interest Rate]],2)</f>
        <v>43241.78</v>
      </c>
      <c r="F27" s="3">
        <f t="shared" si="2"/>
        <v>261</v>
      </c>
      <c r="G27" s="23">
        <f>IFERROR(IF($C$13="No","N/A",IF(Table15[[#This Row],[Period]]=1,$C$6,PMT(InterestRate*AmortizationMultiplier/12,Table15[[#This Row],[Am Thru]],-Table15[[#This Row],[Beginning Balance]]))),0)</f>
        <v>54860.187469139404</v>
      </c>
      <c r="H27" s="3">
        <f>MAX(0,IF(C27=$C$4,D27,ROUND(IF($C$3="Fixed Principal",$C$6-Table15[[#This Row],[Interest]],IF($C$3="Interest Only",Table15[[#This Row],[Beginning Balance]]*ROUND(1-(1-IF($C$11="No",$E$8,1))^(1/12),6),MIN(IF($C$13="Yes",Table15[[#This Row],[Payment Amount (Reamortized)]],$C$6)-Table15[[#This Row],[Interest]],Table15[[#This Row],[Beginning Balance]]))),2)))</f>
        <v>11618.41</v>
      </c>
      <c r="I27" s="3">
        <f>_xlfn.SINGLE(IF($C$3="Line of Credit",0,ROUND(MAX(MIN(IF($C$10="No",$E$7,VLOOKUP(Table15[[#This Row],[Period]],Forecast!$H$2:$L$1048576,4,FALSE))*Table15[[#This Row],[Beginning Balance]],Table15[[#This Row],[Beginning Balance]]-Table15[[#This Row],[Principal]]),0),2)))</f>
        <v>21221.599999999999</v>
      </c>
      <c r="J27" s="3">
        <f>ROUND(MIN(Table15[[#This Row],[Beginning Balance]]*IF($C$8="No",$E$3,VLOOKUP(Table15[[#This Row],[Period]],Forecast!$H$2:$L$1048576,2,FALSE)),Table15[[#This Row],[Beginning Balance]]-Table15[[#This Row],[Principal]]-Table15[[#This Row],[Prepayments]]),2)</f>
        <v>3659.67</v>
      </c>
      <c r="K27" s="3">
        <f>ROUND(Table15[[#This Row],[Defaulted Principal]]*IF($C$9="No",$E$4,VLOOKUP(Table15[[#This Row],[Period]],Forecast!$H$2:$L$1048576,3,FALSE)),2)</f>
        <v>291.27</v>
      </c>
      <c r="L27" s="2">
        <f>Table15[[#This Row],[Period]]+$E$9</f>
        <v>23</v>
      </c>
      <c r="M27" s="3">
        <f>Table15[[#This Row],[Defaulted Principal]]-Table15[[#This Row],[Estimated Loss]]</f>
        <v>3368.4</v>
      </c>
      <c r="N27" s="3">
        <f>IFERROR(VLOOKUP(Table15[[#This Row],[Period]],$L$16:$M$28,2,FALSE),0)</f>
        <v>0</v>
      </c>
      <c r="O27" s="3">
        <f>Table15[[#This Row],[Beginning Balance]]-Table15[[#This Row],[Principal]]-Table15[[#This Row],[Prepayments]]-Table15[[#This Row],[Defaulted Principal]]</f>
        <v>7401844.4800000014</v>
      </c>
      <c r="P27" s="3">
        <f>Table15[[#This Row],[Principal]]+Table15[[#This Row],[Interest]]+Table15[[#This Row],[Prepayments]]+Table15[[#This Row],[RecoveredAmount]]</f>
        <v>76081.790000000008</v>
      </c>
      <c r="Q27" s="3">
        <f ca="1">ROUND(Table15[[#This Row],[Cash Flow]]/((1+ActualRateToUse)^(IF(ISNUMBER(SEARCH("Actual",$C$7)),Table15[[#This Row],[Running Total]]/365,Table15[[#This Row],[Period]]/12))),2)</f>
        <v>71409.3</v>
      </c>
      <c r="R27" s="2">
        <f>IF(MONTH(Table15[[#This Row],[Date]])=2,28,DAY(DATE(YEAR(Table15[[#This Row],[Date]]),MONTH(Table15[[#This Row],[Date]])+1,1)-1))</f>
        <v>31</v>
      </c>
      <c r="S27" s="2">
        <f ca="1">SUM(OFFSET(Table15[[#Headers],[Days in month]],1,0):Table15[[#This Row],[Days in month]])</f>
        <v>335</v>
      </c>
      <c r="T27" s="37">
        <f>InterestRate*AmortizationMultiplier*IF(ISNUMBER(SEARCH("Actual",$C$7)),Table15[[#This Row],[Days in month]]/365,1/12)</f>
        <v>5.8133611111111103E-3</v>
      </c>
    </row>
    <row r="28" spans="2:20" x14ac:dyDescent="0.2">
      <c r="B28" s="1">
        <v>46203</v>
      </c>
      <c r="C28" s="2">
        <f t="shared" si="1"/>
        <v>12</v>
      </c>
      <c r="D28" s="3">
        <f t="shared" si="0"/>
        <v>7401844.4800000014</v>
      </c>
      <c r="E28" s="3">
        <f>ROUND(Table15[[#This Row],[Beginning Balance]]*Table15[[#This Row],[Monthly Interest Rate]],2)</f>
        <v>41641.54</v>
      </c>
      <c r="F28" s="3">
        <f t="shared" si="2"/>
        <v>260</v>
      </c>
      <c r="G28" s="23">
        <f>IFERROR(IF($C$13="No","N/A",IF(Table15[[#This Row],[Period]]=1,$C$6,PMT(InterestRate*AmortizationMultiplier/12,Table15[[#This Row],[Am Thru]],-Table15[[#This Row],[Beginning Balance]]))),0)</f>
        <v>54682.384103467448</v>
      </c>
      <c r="H28" s="3">
        <f>MAX(0,IF(C28=$C$4,D28,ROUND(IF($C$3="Fixed Principal",$C$6-Table15[[#This Row],[Interest]],IF($C$3="Interest Only",Table15[[#This Row],[Beginning Balance]]*ROUND(1-(1-IF($C$11="No",$E$8,1))^(1/12),6),MIN(IF($C$13="Yes",Table15[[#This Row],[Payment Amount (Reamortized)]],$C$6)-Table15[[#This Row],[Interest]],Table15[[#This Row],[Beginning Balance]]))),2)))</f>
        <v>13040.84</v>
      </c>
      <c r="I28" s="3">
        <f>_xlfn.SINGLE(IF($C$3="Line of Credit",0,ROUND(MAX(MIN(IF($C$10="No",$E$7,VLOOKUP(Table15[[#This Row],[Period]],Forecast!$H$2:$L$1048576,4,FALSE))*Table15[[#This Row],[Beginning Balance]],Table15[[#This Row],[Beginning Balance]]-Table15[[#This Row],[Principal]]),0),2)))</f>
        <v>21117.46</v>
      </c>
      <c r="J28" s="3">
        <f>ROUND(MIN(Table15[[#This Row],[Beginning Balance]]*IF($C$8="No",$E$3,VLOOKUP(Table15[[#This Row],[Period]],Forecast!$H$2:$L$1048576,2,FALSE)),Table15[[#This Row],[Beginning Balance]]-Table15[[#This Row],[Principal]]-Table15[[#This Row],[Prepayments]]),2)</f>
        <v>3641.71</v>
      </c>
      <c r="K28" s="3">
        <f>ROUND(Table15[[#This Row],[Defaulted Principal]]*IF($C$9="No",$E$4,VLOOKUP(Table15[[#This Row],[Period]],Forecast!$H$2:$L$1048576,3,FALSE)),2)</f>
        <v>289.83999999999997</v>
      </c>
      <c r="L28" s="2">
        <f>Table15[[#This Row],[Period]]+$E$9</f>
        <v>24</v>
      </c>
      <c r="M28" s="3">
        <f>Table15[[#This Row],[Defaulted Principal]]-Table15[[#This Row],[Estimated Loss]]</f>
        <v>3351.87</v>
      </c>
      <c r="N28" s="3">
        <f>IFERROR(VLOOKUP(Table15[[#This Row],[Period]],$L$16:$M$28,2,FALSE),0)</f>
        <v>0</v>
      </c>
      <c r="O28" s="3">
        <f>Table15[[#This Row],[Beginning Balance]]-Table15[[#This Row],[Principal]]-Table15[[#This Row],[Prepayments]]-Table15[[#This Row],[Defaulted Principal]]</f>
        <v>7364044.4700000016</v>
      </c>
      <c r="P28" s="3">
        <f>Table15[[#This Row],[Principal]]+Table15[[#This Row],[Interest]]+Table15[[#This Row],[Prepayments]]+Table15[[#This Row],[RecoveredAmount]]</f>
        <v>75799.839999999997</v>
      </c>
      <c r="Q28" s="3">
        <f ca="1">ROUND(Table15[[#This Row],[Cash Flow]]/((1+ActualRateToUse)^(IF(ISNUMBER(SEARCH("Actual",$C$7)),Table15[[#This Row],[Running Total]]/365,Table15[[#This Row],[Period]]/12))),2)</f>
        <v>70742</v>
      </c>
      <c r="R28" s="2">
        <f>IF(MONTH(Table15[[#This Row],[Date]])=2,28,DAY(DATE(YEAR(Table15[[#This Row],[Date]]),MONTH(Table15[[#This Row],[Date]])+1,1)-1))</f>
        <v>30</v>
      </c>
      <c r="S28" s="2">
        <f ca="1">SUM(OFFSET(Table15[[#Headers],[Days in month]],1,0):Table15[[#This Row],[Days in month]])</f>
        <v>365</v>
      </c>
      <c r="T28" s="37">
        <f>InterestRate*AmortizationMultiplier*IF(ISNUMBER(SEARCH("Actual",$C$7)),Table15[[#This Row],[Days in month]]/365,1/12)</f>
        <v>5.6258333333333325E-3</v>
      </c>
    </row>
    <row r="29" spans="2:20" x14ac:dyDescent="0.2">
      <c r="B29" s="1">
        <v>46234</v>
      </c>
      <c r="C29" s="2">
        <f t="shared" si="1"/>
        <v>13</v>
      </c>
      <c r="D29" s="3">
        <f t="shared" si="0"/>
        <v>7364044.4700000016</v>
      </c>
      <c r="E29" s="3">
        <f>ROUND(Table15[[#This Row],[Beginning Balance]]*Table15[[#This Row],[Monthly Interest Rate]],2)</f>
        <v>42809.85</v>
      </c>
      <c r="F29" s="3">
        <f t="shared" si="2"/>
        <v>259</v>
      </c>
      <c r="G29" s="23">
        <f>IFERROR(IF($C$13="No","N/A",IF(Table15[[#This Row],[Period]]=1,$C$6,PMT(InterestRate*AmortizationMultiplier/12,Table15[[#This Row],[Am Thru]],-Table15[[#This Row],[Beginning Balance]]))),0)</f>
        <v>54494.883142693528</v>
      </c>
      <c r="H29" s="3">
        <f>MAX(0,IF(C29=$C$4,D29,ROUND(IF($C$3="Fixed Principal",$C$6-Table15[[#This Row],[Interest]],IF($C$3="Interest Only",Table15[[#This Row],[Beginning Balance]]*ROUND(1-(1-IF($C$11="No",$E$8,1))^(1/12),6),MIN(IF($C$13="Yes",Table15[[#This Row],[Payment Amount (Reamortized)]],$C$6)-Table15[[#This Row],[Interest]],Table15[[#This Row],[Beginning Balance]]))),2)))</f>
        <v>11685.03</v>
      </c>
      <c r="I29" s="3">
        <f>_xlfn.SINGLE(IF($C$3="Line of Credit",0,ROUND(MAX(MIN(IF($C$10="No",$E$7,VLOOKUP(Table15[[#This Row],[Period]],Forecast!$H$2:$L$1048576,4,FALSE))*Table15[[#This Row],[Beginning Balance]],Table15[[#This Row],[Beginning Balance]]-Table15[[#This Row],[Principal]]),0),2)))</f>
        <v>21009.62</v>
      </c>
      <c r="J29" s="3">
        <f>ROUND(MIN(Table15[[#This Row],[Beginning Balance]]*IF($C$8="No",$E$3,VLOOKUP(Table15[[#This Row],[Period]],Forecast!$H$2:$L$1048576,2,FALSE)),Table15[[#This Row],[Beginning Balance]]-Table15[[#This Row],[Principal]]-Table15[[#This Row],[Prepayments]]),2)</f>
        <v>3799.85</v>
      </c>
      <c r="K29" s="3">
        <f>ROUND(Table15[[#This Row],[Defaulted Principal]]*IF($C$9="No",$E$4,VLOOKUP(Table15[[#This Row],[Period]],Forecast!$H$2:$L$1048576,3,FALSE)),2)</f>
        <v>306.13</v>
      </c>
      <c r="L29" s="2">
        <f>Table15[[#This Row],[Period]]+$E$9</f>
        <v>25</v>
      </c>
      <c r="M29" s="3">
        <f>Table15[[#This Row],[Defaulted Principal]]-Table15[[#This Row],[Estimated Loss]]</f>
        <v>3493.72</v>
      </c>
      <c r="N29" s="3">
        <f>IFERROR(VLOOKUP(Table15[[#This Row],[Period]],$L$16:$M$385,2,FALSE),0)</f>
        <v>3279.07</v>
      </c>
      <c r="O29" s="3">
        <f>Table15[[#This Row],[Beginning Balance]]-Table15[[#This Row],[Principal]]-Table15[[#This Row],[Prepayments]]-Table15[[#This Row],[Defaulted Principal]]</f>
        <v>7327549.9700000016</v>
      </c>
      <c r="P29" s="3">
        <f>Table15[[#This Row],[Principal]]+Table15[[#This Row],[Interest]]+Table15[[#This Row],[Prepayments]]+Table15[[#This Row],[RecoveredAmount]]</f>
        <v>78783.570000000007</v>
      </c>
      <c r="Q29" s="3">
        <f ca="1">ROUND(Table15[[#This Row],[Cash Flow]]/((1+ActualRateToUse)^(IF(ISNUMBER(SEARCH("Actual",$C$7)),Table15[[#This Row],[Running Total]]/365,Table15[[#This Row],[Period]]/12))),2)</f>
        <v>73096.66</v>
      </c>
      <c r="R29" s="2">
        <f>IF(MONTH(Table15[[#This Row],[Date]])=2,28,DAY(DATE(YEAR(Table15[[#This Row],[Date]]),MONTH(Table15[[#This Row],[Date]])+1,1)-1))</f>
        <v>31</v>
      </c>
      <c r="S29" s="2">
        <f ca="1">SUM(OFFSET(Table15[[#Headers],[Days in month]],1,0):Table15[[#This Row],[Days in month]])</f>
        <v>396</v>
      </c>
      <c r="T29" s="37">
        <f>InterestRate*AmortizationMultiplier*IF(ISNUMBER(SEARCH("Actual",$C$7)),Table15[[#This Row],[Days in month]]/365,1/12)</f>
        <v>5.8133611111111103E-3</v>
      </c>
    </row>
    <row r="30" spans="2:20" x14ac:dyDescent="0.2">
      <c r="B30" s="1">
        <v>46265</v>
      </c>
      <c r="C30" s="2">
        <f t="shared" si="1"/>
        <v>14</v>
      </c>
      <c r="D30" s="3">
        <f t="shared" si="0"/>
        <v>7327549.9700000016</v>
      </c>
      <c r="E30" s="3">
        <f>ROUND(Table15[[#This Row],[Beginning Balance]]*Table15[[#This Row],[Monthly Interest Rate]],2)</f>
        <v>42597.69</v>
      </c>
      <c r="F30" s="3">
        <f t="shared" si="2"/>
        <v>258</v>
      </c>
      <c r="G30" s="23">
        <f>IFERROR(IF($C$13="No","N/A",IF(Table15[[#This Row],[Period]]=1,$C$6,PMT(InterestRate*AmortizationMultiplier/12,Table15[[#This Row],[Am Thru]],-Table15[[#This Row],[Beginning Balance]]))),0)</f>
        <v>54316.949332324904</v>
      </c>
      <c r="H30" s="3">
        <f>MAX(0,IF(C30=$C$4,D30,ROUND(IF($C$3="Fixed Principal",$C$6-Table15[[#This Row],[Interest]],IF($C$3="Interest Only",Table15[[#This Row],[Beginning Balance]]*ROUND(1-(1-IF($C$11="No",$E$8,1))^(1/12),6),MIN(IF($C$13="Yes",Table15[[#This Row],[Payment Amount (Reamortized)]],$C$6)-Table15[[#This Row],[Interest]],Table15[[#This Row],[Beginning Balance]]))),2)))</f>
        <v>11719.26</v>
      </c>
      <c r="I30" s="3">
        <f>_xlfn.SINGLE(IF($C$3="Line of Credit",0,ROUND(MAX(MIN(IF($C$10="No",$E$7,VLOOKUP(Table15[[#This Row],[Period]],Forecast!$H$2:$L$1048576,4,FALSE))*Table15[[#This Row],[Beginning Balance]],Table15[[#This Row],[Beginning Balance]]-Table15[[#This Row],[Principal]]),0),2)))</f>
        <v>20905.5</v>
      </c>
      <c r="J30" s="3">
        <f>ROUND(MIN(Table15[[#This Row],[Beginning Balance]]*IF($C$8="No",$E$3,VLOOKUP(Table15[[#This Row],[Period]],Forecast!$H$2:$L$1048576,2,FALSE)),Table15[[#This Row],[Beginning Balance]]-Table15[[#This Row],[Principal]]-Table15[[#This Row],[Prepayments]]),2)</f>
        <v>3781.02</v>
      </c>
      <c r="K30" s="3">
        <f>ROUND(Table15[[#This Row],[Defaulted Principal]]*IF($C$9="No",$E$4,VLOOKUP(Table15[[#This Row],[Period]],Forecast!$H$2:$L$1048576,3,FALSE)),2)</f>
        <v>304.61</v>
      </c>
      <c r="L30" s="2">
        <f>Table15[[#This Row],[Period]]+$E$9</f>
        <v>26</v>
      </c>
      <c r="M30" s="3">
        <f>Table15[[#This Row],[Defaulted Principal]]-Table15[[#This Row],[Estimated Loss]]</f>
        <v>3476.41</v>
      </c>
      <c r="N30" s="3">
        <f>IFERROR(VLOOKUP(Table15[[#This Row],[Period]],$L$16:$M$385,2,FALSE),0)</f>
        <v>3263.48</v>
      </c>
      <c r="O30" s="3">
        <f>Table15[[#This Row],[Beginning Balance]]-Table15[[#This Row],[Principal]]-Table15[[#This Row],[Prepayments]]-Table15[[#This Row],[Defaulted Principal]]</f>
        <v>7291144.1900000023</v>
      </c>
      <c r="P30" s="3">
        <f>Table15[[#This Row],[Principal]]+Table15[[#This Row],[Interest]]+Table15[[#This Row],[Prepayments]]+Table15[[#This Row],[RecoveredAmount]]</f>
        <v>78485.930000000008</v>
      </c>
      <c r="Q30" s="3">
        <f ca="1">ROUND(Table15[[#This Row],[Cash Flow]]/((1+ActualRateToUse)^(IF(ISNUMBER(SEARCH("Actual",$C$7)),Table15[[#This Row],[Running Total]]/365,Table15[[#This Row],[Period]]/12))),2)</f>
        <v>72394.649999999994</v>
      </c>
      <c r="R30" s="2">
        <f>IF(MONTH(Table15[[#This Row],[Date]])=2,28,DAY(DATE(YEAR(Table15[[#This Row],[Date]]),MONTH(Table15[[#This Row],[Date]])+1,1)-1))</f>
        <v>31</v>
      </c>
      <c r="S30" s="2">
        <f ca="1">SUM(OFFSET(Table15[[#Headers],[Days in month]],1,0):Table15[[#This Row],[Days in month]])</f>
        <v>427</v>
      </c>
      <c r="T30" s="37">
        <f>InterestRate*AmortizationMultiplier*IF(ISNUMBER(SEARCH("Actual",$C$7)),Table15[[#This Row],[Days in month]]/365,1/12)</f>
        <v>5.8133611111111103E-3</v>
      </c>
    </row>
    <row r="31" spans="2:20" x14ac:dyDescent="0.2">
      <c r="B31" s="1">
        <v>46295</v>
      </c>
      <c r="C31" s="2">
        <f t="shared" si="1"/>
        <v>15</v>
      </c>
      <c r="D31" s="3">
        <f t="shared" si="0"/>
        <v>7291144.1900000023</v>
      </c>
      <c r="E31" s="3">
        <f>ROUND(Table15[[#This Row],[Beginning Balance]]*Table15[[#This Row],[Monthly Interest Rate]],2)</f>
        <v>41018.76</v>
      </c>
      <c r="F31" s="3">
        <f t="shared" si="2"/>
        <v>257</v>
      </c>
      <c r="G31" s="23">
        <f>IFERROR(IF($C$13="No","N/A",IF(Table15[[#This Row],[Period]]=1,$C$6,PMT(InterestRate*AmortizationMultiplier/12,Table15[[#This Row],[Am Thru]],-Table15[[#This Row],[Beginning Balance]]))),0)</f>
        <v>54139.594208347233</v>
      </c>
      <c r="H31" s="3">
        <f>MAX(0,IF(C31=$C$4,D31,ROUND(IF($C$3="Fixed Principal",$C$6-Table15[[#This Row],[Interest]],IF($C$3="Interest Only",Table15[[#This Row],[Beginning Balance]]*ROUND(1-(1-IF($C$11="No",$E$8,1))^(1/12),6),MIN(IF($C$13="Yes",Table15[[#This Row],[Payment Amount (Reamortized)]],$C$6)-Table15[[#This Row],[Interest]],Table15[[#This Row],[Beginning Balance]]))),2)))</f>
        <v>13120.83</v>
      </c>
      <c r="I31" s="3">
        <f>_xlfn.SINGLE(IF($C$3="Line of Credit",0,ROUND(MAX(MIN(IF($C$10="No",$E$7,VLOOKUP(Table15[[#This Row],[Period]],Forecast!$H$2:$L$1048576,4,FALSE))*Table15[[#This Row],[Beginning Balance]],Table15[[#This Row],[Beginning Balance]]-Table15[[#This Row],[Principal]]),0),2)))</f>
        <v>20801.63</v>
      </c>
      <c r="J31" s="3">
        <f>ROUND(MIN(Table15[[#This Row],[Beginning Balance]]*IF($C$8="No",$E$3,VLOOKUP(Table15[[#This Row],[Period]],Forecast!$H$2:$L$1048576,2,FALSE)),Table15[[#This Row],[Beginning Balance]]-Table15[[#This Row],[Principal]]-Table15[[#This Row],[Prepayments]]),2)</f>
        <v>3762.23</v>
      </c>
      <c r="K31" s="3">
        <f>ROUND(Table15[[#This Row],[Defaulted Principal]]*IF($C$9="No",$E$4,VLOOKUP(Table15[[#This Row],[Period]],Forecast!$H$2:$L$1048576,3,FALSE)),2)</f>
        <v>303.10000000000002</v>
      </c>
      <c r="L31" s="2">
        <f>Table15[[#This Row],[Period]]+$E$9</f>
        <v>27</v>
      </c>
      <c r="M31" s="3">
        <f>Table15[[#This Row],[Defaulted Principal]]-Table15[[#This Row],[Estimated Loss]]</f>
        <v>3459.13</v>
      </c>
      <c r="N31" s="3">
        <f>IFERROR(VLOOKUP(Table15[[#This Row],[Period]],$L$16:$M$385,2,FALSE),0)</f>
        <v>3247.9300000000003</v>
      </c>
      <c r="O31" s="3">
        <f>Table15[[#This Row],[Beginning Balance]]-Table15[[#This Row],[Principal]]-Table15[[#This Row],[Prepayments]]-Table15[[#This Row],[Defaulted Principal]]</f>
        <v>7253459.5000000019</v>
      </c>
      <c r="P31" s="3">
        <f>Table15[[#This Row],[Principal]]+Table15[[#This Row],[Interest]]+Table15[[#This Row],[Prepayments]]+Table15[[#This Row],[RecoveredAmount]]</f>
        <v>78189.149999999994</v>
      </c>
      <c r="Q31" s="3">
        <f ca="1">ROUND(Table15[[#This Row],[Cash Flow]]/((1+ActualRateToUse)^(IF(ISNUMBER(SEARCH("Actual",$C$7)),Table15[[#This Row],[Running Total]]/365,Table15[[#This Row],[Period]]/12))),2)</f>
        <v>71712.72</v>
      </c>
      <c r="R31" s="2">
        <f>IF(MONTH(Table15[[#This Row],[Date]])=2,28,DAY(DATE(YEAR(Table15[[#This Row],[Date]]),MONTH(Table15[[#This Row],[Date]])+1,1)-1))</f>
        <v>30</v>
      </c>
      <c r="S31" s="2">
        <f ca="1">SUM(OFFSET(Table15[[#Headers],[Days in month]],1,0):Table15[[#This Row],[Days in month]])</f>
        <v>457</v>
      </c>
      <c r="T31" s="37">
        <f>InterestRate*AmortizationMultiplier*IF(ISNUMBER(SEARCH("Actual",$C$7)),Table15[[#This Row],[Days in month]]/365,1/12)</f>
        <v>5.6258333333333325E-3</v>
      </c>
    </row>
    <row r="32" spans="2:20" x14ac:dyDescent="0.2">
      <c r="B32" s="1">
        <v>46326</v>
      </c>
      <c r="C32" s="2">
        <f t="shared" si="1"/>
        <v>16</v>
      </c>
      <c r="D32" s="3">
        <f t="shared" si="0"/>
        <v>7253459.5000000019</v>
      </c>
      <c r="E32" s="3">
        <f>ROUND(Table15[[#This Row],[Beginning Balance]]*Table15[[#This Row],[Monthly Interest Rate]],2)</f>
        <v>42166.98</v>
      </c>
      <c r="F32" s="3">
        <f t="shared" si="2"/>
        <v>256</v>
      </c>
      <c r="G32" s="23">
        <f>IFERROR(IF($C$13="No","N/A",IF(Table15[[#This Row],[Period]]=1,$C$6,PMT(InterestRate*AmortizationMultiplier/12,Table15[[#This Row],[Am Thru]],-Table15[[#This Row],[Beginning Balance]]))),0)</f>
        <v>53952.645867984378</v>
      </c>
      <c r="H32" s="3">
        <f>MAX(0,IF(C32=$C$4,D32,ROUND(IF($C$3="Fixed Principal",$C$6-Table15[[#This Row],[Interest]],IF($C$3="Interest Only",Table15[[#This Row],[Beginning Balance]]*ROUND(1-(1-IF($C$11="No",$E$8,1))^(1/12),6),MIN(IF($C$13="Yes",Table15[[#This Row],[Payment Amount (Reamortized)]],$C$6)-Table15[[#This Row],[Interest]],Table15[[#This Row],[Beginning Balance]]))),2)))</f>
        <v>11785.67</v>
      </c>
      <c r="I32" s="3">
        <f>_xlfn.SINGLE(IF($C$3="Line of Credit",0,ROUND(MAX(MIN(IF($C$10="No",$E$7,VLOOKUP(Table15[[#This Row],[Period]],Forecast!$H$2:$L$1048576,4,FALSE))*Table15[[#This Row],[Beginning Balance]],Table15[[#This Row],[Beginning Balance]]-Table15[[#This Row],[Principal]]),0),2)))</f>
        <v>20694.12</v>
      </c>
      <c r="J32" s="3">
        <f>ROUND(MIN(Table15[[#This Row],[Beginning Balance]]*IF($C$8="No",$E$3,VLOOKUP(Table15[[#This Row],[Period]],Forecast!$H$2:$L$1048576,2,FALSE)),Table15[[#This Row],[Beginning Balance]]-Table15[[#This Row],[Principal]]-Table15[[#This Row],[Prepayments]]),2)</f>
        <v>3916.87</v>
      </c>
      <c r="K32" s="3">
        <f>ROUND(Table15[[#This Row],[Defaulted Principal]]*IF($C$9="No",$E$4,VLOOKUP(Table15[[#This Row],[Period]],Forecast!$H$2:$L$1048576,3,FALSE)),2)</f>
        <v>319.26</v>
      </c>
      <c r="L32" s="2">
        <f>Table15[[#This Row],[Period]]+$E$9</f>
        <v>28</v>
      </c>
      <c r="M32" s="3">
        <f>Table15[[#This Row],[Defaulted Principal]]-Table15[[#This Row],[Estimated Loss]]</f>
        <v>3597.6099999999997</v>
      </c>
      <c r="N32" s="3">
        <f>IFERROR(VLOOKUP(Table15[[#This Row],[Period]],$L$16:$M$385,2,FALSE),0)</f>
        <v>3551.0099999999998</v>
      </c>
      <c r="O32" s="3">
        <f>Table15[[#This Row],[Beginning Balance]]-Table15[[#This Row],[Principal]]-Table15[[#This Row],[Prepayments]]-Table15[[#This Row],[Defaulted Principal]]</f>
        <v>7217062.8400000017</v>
      </c>
      <c r="P32" s="3">
        <f>Table15[[#This Row],[Principal]]+Table15[[#This Row],[Interest]]+Table15[[#This Row],[Prepayments]]+Table15[[#This Row],[RecoveredAmount]]</f>
        <v>78197.78</v>
      </c>
      <c r="Q32" s="3">
        <f ca="1">ROUND(Table15[[#This Row],[Cash Flow]]/((1+ActualRateToUse)^(IF(ISNUMBER(SEARCH("Actual",$C$7)),Table15[[#This Row],[Running Total]]/365,Table15[[#This Row],[Period]]/12))),2)</f>
        <v>71301.210000000006</v>
      </c>
      <c r="R32" s="2">
        <f>IF(MONTH(Table15[[#This Row],[Date]])=2,28,DAY(DATE(YEAR(Table15[[#This Row],[Date]]),MONTH(Table15[[#This Row],[Date]])+1,1)-1))</f>
        <v>31</v>
      </c>
      <c r="S32" s="2">
        <f ca="1">SUM(OFFSET(Table15[[#Headers],[Days in month]],1,0):Table15[[#This Row],[Days in month]])</f>
        <v>488</v>
      </c>
      <c r="T32" s="37">
        <f>InterestRate*AmortizationMultiplier*IF(ISNUMBER(SEARCH("Actual",$C$7)),Table15[[#This Row],[Days in month]]/365,1/12)</f>
        <v>5.8133611111111103E-3</v>
      </c>
    </row>
    <row r="33" spans="2:20" x14ac:dyDescent="0.2">
      <c r="B33" s="1">
        <v>46356</v>
      </c>
      <c r="C33" s="2">
        <f t="shared" si="1"/>
        <v>17</v>
      </c>
      <c r="D33" s="3">
        <f t="shared" si="0"/>
        <v>7217062.8400000017</v>
      </c>
      <c r="E33" s="3">
        <f>ROUND(Table15[[#This Row],[Beginning Balance]]*Table15[[#This Row],[Monthly Interest Rate]],2)</f>
        <v>40601.99</v>
      </c>
      <c r="F33" s="3">
        <f t="shared" si="2"/>
        <v>255</v>
      </c>
      <c r="G33" s="23">
        <f>IFERROR(IF($C$13="No","N/A",IF(Table15[[#This Row],[Period]]=1,$C$6,PMT(InterestRate*AmortizationMultiplier/12,Table15[[#This Row],[Am Thru]],-Table15[[#This Row],[Beginning Balance]]))),0)</f>
        <v>53775.178677015028</v>
      </c>
      <c r="H33" s="3">
        <f>MAX(0,IF(C33=$C$4,D33,ROUND(IF($C$3="Fixed Principal",$C$6-Table15[[#This Row],[Interest]],IF($C$3="Interest Only",Table15[[#This Row],[Beginning Balance]]*ROUND(1-(1-IF($C$11="No",$E$8,1))^(1/12),6),MIN(IF($C$13="Yes",Table15[[#This Row],[Payment Amount (Reamortized)]],$C$6)-Table15[[#This Row],[Interest]],Table15[[#This Row],[Beginning Balance]]))),2)))</f>
        <v>13173.19</v>
      </c>
      <c r="I33" s="3">
        <f>_xlfn.SINGLE(IF($C$3="Line of Credit",0,ROUND(MAX(MIN(IF($C$10="No",$E$7,VLOOKUP(Table15[[#This Row],[Period]],Forecast!$H$2:$L$1048576,4,FALSE))*Table15[[#This Row],[Beginning Balance]],Table15[[#This Row],[Beginning Balance]]-Table15[[#This Row],[Principal]]),0),2)))</f>
        <v>20590.28</v>
      </c>
      <c r="J33" s="3">
        <f>ROUND(MIN(Table15[[#This Row],[Beginning Balance]]*IF($C$8="No",$E$3,VLOOKUP(Table15[[#This Row],[Period]],Forecast!$H$2:$L$1048576,2,FALSE)),Table15[[#This Row],[Beginning Balance]]-Table15[[#This Row],[Principal]]-Table15[[#This Row],[Prepayments]]),2)</f>
        <v>3897.21</v>
      </c>
      <c r="K33" s="3">
        <f>ROUND(Table15[[#This Row],[Defaulted Principal]]*IF($C$9="No",$E$4,VLOOKUP(Table15[[#This Row],[Period]],Forecast!$H$2:$L$1048576,3,FALSE)),2)</f>
        <v>317.66000000000003</v>
      </c>
      <c r="L33" s="2">
        <f>Table15[[#This Row],[Period]]+$E$9</f>
        <v>29</v>
      </c>
      <c r="M33" s="3">
        <f>Table15[[#This Row],[Defaulted Principal]]-Table15[[#This Row],[Estimated Loss]]</f>
        <v>3579.55</v>
      </c>
      <c r="N33" s="3">
        <f>IFERROR(VLOOKUP(Table15[[#This Row],[Period]],$L$16:$M$385,2,FALSE),0)</f>
        <v>3533.86</v>
      </c>
      <c r="O33" s="3">
        <f>Table15[[#This Row],[Beginning Balance]]-Table15[[#This Row],[Principal]]-Table15[[#This Row],[Prepayments]]-Table15[[#This Row],[Defaulted Principal]]</f>
        <v>7179402.1600000011</v>
      </c>
      <c r="P33" s="3">
        <f>Table15[[#This Row],[Principal]]+Table15[[#This Row],[Interest]]+Table15[[#This Row],[Prepayments]]+Table15[[#This Row],[RecoveredAmount]]</f>
        <v>77899.319999999992</v>
      </c>
      <c r="Q33" s="3">
        <f ca="1">ROUND(Table15[[#This Row],[Cash Flow]]/((1+ActualRateToUse)^(IF(ISNUMBER(SEARCH("Actual",$C$7)),Table15[[#This Row],[Running Total]]/365,Table15[[#This Row],[Period]]/12))),2)</f>
        <v>70627.06</v>
      </c>
      <c r="R33" s="2">
        <f>IF(MONTH(Table15[[#This Row],[Date]])=2,28,DAY(DATE(YEAR(Table15[[#This Row],[Date]]),MONTH(Table15[[#This Row],[Date]])+1,1)-1))</f>
        <v>30</v>
      </c>
      <c r="S33" s="2">
        <f ca="1">SUM(OFFSET(Table15[[#Headers],[Days in month]],1,0):Table15[[#This Row],[Days in month]])</f>
        <v>518</v>
      </c>
      <c r="T33" s="37">
        <f>InterestRate*AmortizationMultiplier*IF(ISNUMBER(SEARCH("Actual",$C$7)),Table15[[#This Row],[Days in month]]/365,1/12)</f>
        <v>5.6258333333333325E-3</v>
      </c>
    </row>
    <row r="34" spans="2:20" x14ac:dyDescent="0.2">
      <c r="B34" s="1">
        <v>46387</v>
      </c>
      <c r="C34" s="2">
        <f t="shared" si="1"/>
        <v>18</v>
      </c>
      <c r="D34" s="3">
        <f t="shared" si="0"/>
        <v>7179402.1600000011</v>
      </c>
      <c r="E34" s="3">
        <f>ROUND(Table15[[#This Row],[Beginning Balance]]*Table15[[#This Row],[Monthly Interest Rate]],2)</f>
        <v>41736.46</v>
      </c>
      <c r="F34" s="3">
        <f t="shared" si="2"/>
        <v>254</v>
      </c>
      <c r="G34" s="23">
        <f>IFERROR(IF($C$13="No","N/A",IF(Table15[[#This Row],[Period]]=1,$C$6,PMT(InterestRate*AmortizationMultiplier/12,Table15[[#This Row],[Am Thru]],-Table15[[#This Row],[Beginning Balance]]))),0)</f>
        <v>53588.190994053111</v>
      </c>
      <c r="H34" s="3">
        <f>MAX(0,IF(C34=$C$4,D34,ROUND(IF($C$3="Fixed Principal",$C$6-Table15[[#This Row],[Interest]],IF($C$3="Interest Only",Table15[[#This Row],[Beginning Balance]]*ROUND(1-(1-IF($C$11="No",$E$8,1))^(1/12),6),MIN(IF($C$13="Yes",Table15[[#This Row],[Payment Amount (Reamortized)]],$C$6)-Table15[[#This Row],[Interest]],Table15[[#This Row],[Beginning Balance]]))),2)))</f>
        <v>11851.73</v>
      </c>
      <c r="I34" s="3">
        <f>_xlfn.SINGLE(IF($C$3="Line of Credit",0,ROUND(MAX(MIN(IF($C$10="No",$E$7,VLOOKUP(Table15[[#This Row],[Period]],Forecast!$H$2:$L$1048576,4,FALSE))*Table15[[#This Row],[Beginning Balance]],Table15[[#This Row],[Beginning Balance]]-Table15[[#This Row],[Principal]]),0),2)))</f>
        <v>20482.830000000002</v>
      </c>
      <c r="J34" s="3">
        <f>ROUND(MIN(Table15[[#This Row],[Beginning Balance]]*IF($C$8="No",$E$3,VLOOKUP(Table15[[#This Row],[Period]],Forecast!$H$2:$L$1048576,2,FALSE)),Table15[[#This Row],[Beginning Balance]]-Table15[[#This Row],[Principal]]-Table15[[#This Row],[Prepayments]]),2)</f>
        <v>3876.88</v>
      </c>
      <c r="K34" s="3">
        <f>ROUND(Table15[[#This Row],[Defaulted Principal]]*IF($C$9="No",$E$4,VLOOKUP(Table15[[#This Row],[Period]],Forecast!$H$2:$L$1048576,3,FALSE)),2)</f>
        <v>316</v>
      </c>
      <c r="L34" s="2">
        <f>Table15[[#This Row],[Period]]+$E$9</f>
        <v>30</v>
      </c>
      <c r="M34" s="3">
        <f>Table15[[#This Row],[Defaulted Principal]]-Table15[[#This Row],[Estimated Loss]]</f>
        <v>3560.88</v>
      </c>
      <c r="N34" s="3">
        <f>IFERROR(VLOOKUP(Table15[[#This Row],[Period]],$L$16:$M$385,2,FALSE),0)</f>
        <v>3516.0699999999997</v>
      </c>
      <c r="O34" s="3">
        <f>Table15[[#This Row],[Beginning Balance]]-Table15[[#This Row],[Principal]]-Table15[[#This Row],[Prepayments]]-Table15[[#This Row],[Defaulted Principal]]</f>
        <v>7143190.7200000007</v>
      </c>
      <c r="P34" s="3">
        <f>Table15[[#This Row],[Principal]]+Table15[[#This Row],[Interest]]+Table15[[#This Row],[Prepayments]]+Table15[[#This Row],[RecoveredAmount]]</f>
        <v>77587.09</v>
      </c>
      <c r="Q34" s="3">
        <f ca="1">ROUND(Table15[[#This Row],[Cash Flow]]/((1+ActualRateToUse)^(IF(ISNUMBER(SEARCH("Actual",$C$7)),Table15[[#This Row],[Running Total]]/365,Table15[[#This Row],[Period]]/12))),2)</f>
        <v>69932.62</v>
      </c>
      <c r="R34" s="2">
        <f>IF(MONTH(Table15[[#This Row],[Date]])=2,28,DAY(DATE(YEAR(Table15[[#This Row],[Date]]),MONTH(Table15[[#This Row],[Date]])+1,1)-1))</f>
        <v>31</v>
      </c>
      <c r="S34" s="2">
        <f ca="1">SUM(OFFSET(Table15[[#Headers],[Days in month]],1,0):Table15[[#This Row],[Days in month]])</f>
        <v>549</v>
      </c>
      <c r="T34" s="37">
        <f>InterestRate*AmortizationMultiplier*IF(ISNUMBER(SEARCH("Actual",$C$7)),Table15[[#This Row],[Days in month]]/365,1/12)</f>
        <v>5.8133611111111103E-3</v>
      </c>
    </row>
    <row r="35" spans="2:20" x14ac:dyDescent="0.2">
      <c r="B35" s="1">
        <v>46418</v>
      </c>
      <c r="C35" s="2">
        <f t="shared" si="1"/>
        <v>19</v>
      </c>
      <c r="D35" s="3">
        <f t="shared" si="0"/>
        <v>7143190.7200000007</v>
      </c>
      <c r="E35" s="3">
        <f>ROUND(Table15[[#This Row],[Beginning Balance]]*Table15[[#This Row],[Monthly Interest Rate]],2)</f>
        <v>41525.949999999997</v>
      </c>
      <c r="F35" s="3">
        <f t="shared" si="2"/>
        <v>253</v>
      </c>
      <c r="G35" s="23">
        <f>IFERROR(IF($C$13="No","N/A",IF(Table15[[#This Row],[Period]]=1,$C$6,PMT(InterestRate*AmortizationMultiplier/12,Table15[[#This Row],[Am Thru]],-Table15[[#This Row],[Beginning Balance]]))),0)</f>
        <v>53411.918104162629</v>
      </c>
      <c r="H35" s="3">
        <f>MAX(0,IF(C35=$C$4,D35,ROUND(IF($C$3="Fixed Principal",$C$6-Table15[[#This Row],[Interest]],IF($C$3="Interest Only",Table15[[#This Row],[Beginning Balance]]*ROUND(1-(1-IF($C$11="No",$E$8,1))^(1/12),6),MIN(IF($C$13="Yes",Table15[[#This Row],[Payment Amount (Reamortized)]],$C$6)-Table15[[#This Row],[Interest]],Table15[[#This Row],[Beginning Balance]]))),2)))</f>
        <v>11885.97</v>
      </c>
      <c r="I35" s="3">
        <f>_xlfn.SINGLE(IF($C$3="Line of Credit",0,ROUND(MAX(MIN(IF($C$10="No",$E$7,VLOOKUP(Table15[[#This Row],[Period]],Forecast!$H$2:$L$1048576,4,FALSE))*Table15[[#This Row],[Beginning Balance]],Table15[[#This Row],[Beginning Balance]]-Table15[[#This Row],[Principal]]),0),2)))</f>
        <v>20379.52</v>
      </c>
      <c r="J35" s="3">
        <f>ROUND(MIN(Table15[[#This Row],[Beginning Balance]]*IF($C$8="No",$E$3,VLOOKUP(Table15[[#This Row],[Period]],Forecast!$H$2:$L$1048576,2,FALSE)),Table15[[#This Row],[Beginning Balance]]-Table15[[#This Row],[Principal]]-Table15[[#This Row],[Prepayments]]),2)</f>
        <v>4028.76</v>
      </c>
      <c r="K35" s="3">
        <f>ROUND(Table15[[#This Row],[Defaulted Principal]]*IF($C$9="No",$E$4,VLOOKUP(Table15[[#This Row],[Period]],Forecast!$H$2:$L$1048576,3,FALSE)),2)</f>
        <v>332.09</v>
      </c>
      <c r="L35" s="2">
        <f>Table15[[#This Row],[Period]]+$E$9</f>
        <v>31</v>
      </c>
      <c r="M35" s="3">
        <f>Table15[[#This Row],[Defaulted Principal]]-Table15[[#This Row],[Estimated Loss]]</f>
        <v>3696.67</v>
      </c>
      <c r="N35" s="3">
        <f>IFERROR(VLOOKUP(Table15[[#This Row],[Period]],$L$16:$M$385,2,FALSE),0)</f>
        <v>3471.78</v>
      </c>
      <c r="O35" s="3">
        <f>Table15[[#This Row],[Beginning Balance]]-Table15[[#This Row],[Principal]]-Table15[[#This Row],[Prepayments]]-Table15[[#This Row],[Defaulted Principal]]</f>
        <v>7106896.4700000016</v>
      </c>
      <c r="P35" s="3">
        <f>Table15[[#This Row],[Principal]]+Table15[[#This Row],[Interest]]+Table15[[#This Row],[Prepayments]]+Table15[[#This Row],[RecoveredAmount]]</f>
        <v>77263.22</v>
      </c>
      <c r="Q35" s="3">
        <f ca="1">ROUND(Table15[[#This Row],[Cash Flow]]/((1+ActualRateToUse)^(IF(ISNUMBER(SEARCH("Actual",$C$7)),Table15[[#This Row],[Running Total]]/365,Table15[[#This Row],[Period]]/12))),2)</f>
        <v>69233.440000000002</v>
      </c>
      <c r="R35" s="2">
        <f>IF(MONTH(Table15[[#This Row],[Date]])=2,28,DAY(DATE(YEAR(Table15[[#This Row],[Date]]),MONTH(Table15[[#This Row],[Date]])+1,1)-1))</f>
        <v>31</v>
      </c>
      <c r="S35" s="2">
        <f ca="1">SUM(OFFSET(Table15[[#Headers],[Days in month]],1,0):Table15[[#This Row],[Days in month]])</f>
        <v>580</v>
      </c>
      <c r="T35" s="37">
        <f>InterestRate*AmortizationMultiplier*IF(ISNUMBER(SEARCH("Actual",$C$7)),Table15[[#This Row],[Days in month]]/365,1/12)</f>
        <v>5.8133611111111103E-3</v>
      </c>
    </row>
    <row r="36" spans="2:20" x14ac:dyDescent="0.2">
      <c r="B36" s="1">
        <v>46446</v>
      </c>
      <c r="C36" s="2">
        <f t="shared" si="1"/>
        <v>20</v>
      </c>
      <c r="D36" s="3">
        <f t="shared" si="0"/>
        <v>7106896.4700000016</v>
      </c>
      <c r="E36" s="3">
        <f>ROUND(Table15[[#This Row],[Beginning Balance]]*Table15[[#This Row],[Monthly Interest Rate]],2)</f>
        <v>37316.730000000003</v>
      </c>
      <c r="F36" s="3">
        <f t="shared" si="2"/>
        <v>252</v>
      </c>
      <c r="G36" s="23">
        <f>IFERROR(IF($C$13="No","N/A",IF(Table15[[#This Row],[Period]]=1,$C$6,PMT(InterestRate*AmortizationMultiplier/12,Table15[[#This Row],[Am Thru]],-Table15[[#This Row],[Beginning Balance]]))),0)</f>
        <v>53234.938554749526</v>
      </c>
      <c r="H36" s="3">
        <f>MAX(0,IF(C36=$C$4,D36,ROUND(IF($C$3="Fixed Principal",$C$6-Table15[[#This Row],[Interest]],IF($C$3="Interest Only",Table15[[#This Row],[Beginning Balance]]*ROUND(1-(1-IF($C$11="No",$E$8,1))^(1/12),6),MIN(IF($C$13="Yes",Table15[[#This Row],[Payment Amount (Reamortized)]],$C$6)-Table15[[#This Row],[Interest]],Table15[[#This Row],[Beginning Balance]]))),2)))</f>
        <v>15918.21</v>
      </c>
      <c r="I36" s="3">
        <f>_xlfn.SINGLE(IF($C$3="Line of Credit",0,ROUND(MAX(MIN(IF($C$10="No",$E$7,VLOOKUP(Table15[[#This Row],[Period]],Forecast!$H$2:$L$1048576,4,FALSE))*Table15[[#This Row],[Beginning Balance]],Table15[[#This Row],[Beginning Balance]]-Table15[[#This Row],[Principal]]),0),2)))</f>
        <v>20275.98</v>
      </c>
      <c r="J36" s="3">
        <f>ROUND(MIN(Table15[[#This Row],[Beginning Balance]]*IF($C$8="No",$E$3,VLOOKUP(Table15[[#This Row],[Period]],Forecast!$H$2:$L$1048576,2,FALSE)),Table15[[#This Row],[Beginning Balance]]-Table15[[#This Row],[Principal]]-Table15[[#This Row],[Prepayments]]),2)</f>
        <v>4008.29</v>
      </c>
      <c r="K36" s="3">
        <f>ROUND(Table15[[#This Row],[Defaulted Principal]]*IF($C$9="No",$E$4,VLOOKUP(Table15[[#This Row],[Period]],Forecast!$H$2:$L$1048576,3,FALSE)),2)</f>
        <v>330.4</v>
      </c>
      <c r="L36" s="2">
        <f>Table15[[#This Row],[Period]]+$E$9</f>
        <v>32</v>
      </c>
      <c r="M36" s="3">
        <f>Table15[[#This Row],[Defaulted Principal]]-Table15[[#This Row],[Estimated Loss]]</f>
        <v>3677.89</v>
      </c>
      <c r="N36" s="3">
        <f>IFERROR(VLOOKUP(Table15[[#This Row],[Period]],$L$16:$M$385,2,FALSE),0)</f>
        <v>3454.89</v>
      </c>
      <c r="O36" s="3">
        <f>Table15[[#This Row],[Beginning Balance]]-Table15[[#This Row],[Principal]]-Table15[[#This Row],[Prepayments]]-Table15[[#This Row],[Defaulted Principal]]</f>
        <v>7066693.9900000012</v>
      </c>
      <c r="P36" s="3">
        <f>Table15[[#This Row],[Principal]]+Table15[[#This Row],[Interest]]+Table15[[#This Row],[Prepayments]]+Table15[[#This Row],[RecoveredAmount]]</f>
        <v>76965.81</v>
      </c>
      <c r="Q36" s="3">
        <f ca="1">ROUND(Table15[[#This Row],[Cash Flow]]/((1+ActualRateToUse)^(IF(ISNUMBER(SEARCH("Actual",$C$7)),Table15[[#This Row],[Running Total]]/365,Table15[[#This Row],[Period]]/12))),2)</f>
        <v>68602.559999999998</v>
      </c>
      <c r="R36" s="2">
        <f>IF(MONTH(Table15[[#This Row],[Date]])=2,28,DAY(DATE(YEAR(Table15[[#This Row],[Date]]),MONTH(Table15[[#This Row],[Date]])+1,1)-1))</f>
        <v>28</v>
      </c>
      <c r="S36" s="2">
        <f ca="1">SUM(OFFSET(Table15[[#Headers],[Days in month]],1,0):Table15[[#This Row],[Days in month]])</f>
        <v>608</v>
      </c>
      <c r="T36" s="37">
        <f>InterestRate*AmortizationMultiplier*IF(ISNUMBER(SEARCH("Actual",$C$7)),Table15[[#This Row],[Days in month]]/365,1/12)</f>
        <v>5.2507777777777778E-3</v>
      </c>
    </row>
    <row r="37" spans="2:20" x14ac:dyDescent="0.2">
      <c r="B37" s="1">
        <v>46477</v>
      </c>
      <c r="C37" s="2">
        <f t="shared" si="1"/>
        <v>21</v>
      </c>
      <c r="D37" s="3">
        <f t="shared" si="0"/>
        <v>7066693.9900000012</v>
      </c>
      <c r="E37" s="3">
        <f>ROUND(Table15[[#This Row],[Beginning Balance]]*Table15[[#This Row],[Monthly Interest Rate]],2)</f>
        <v>41081.24</v>
      </c>
      <c r="F37" s="3">
        <f t="shared" si="2"/>
        <v>251</v>
      </c>
      <c r="G37" s="23">
        <f>IFERROR(IF($C$13="No","N/A",IF(Table15[[#This Row],[Period]]=1,$C$6,PMT(InterestRate*AmortizationMultiplier/12,Table15[[#This Row],[Am Thru]],-Table15[[#This Row],[Beginning Balance]]))),0)</f>
        <v>53028.540279727371</v>
      </c>
      <c r="H37" s="3">
        <f>MAX(0,IF(C37=$C$4,D37,ROUND(IF($C$3="Fixed Principal",$C$6-Table15[[#This Row],[Interest]],IF($C$3="Interest Only",Table15[[#This Row],[Beginning Balance]]*ROUND(1-(1-IF($C$11="No",$E$8,1))^(1/12),6),MIN(IF($C$13="Yes",Table15[[#This Row],[Payment Amount (Reamortized)]],$C$6)-Table15[[#This Row],[Interest]],Table15[[#This Row],[Beginning Balance]]))),2)))</f>
        <v>11947.3</v>
      </c>
      <c r="I37" s="3">
        <f>_xlfn.SINGLE(IF($C$3="Line of Credit",0,ROUND(MAX(MIN(IF($C$10="No",$E$7,VLOOKUP(Table15[[#This Row],[Period]],Forecast!$H$2:$L$1048576,4,FALSE))*Table15[[#This Row],[Beginning Balance]],Table15[[#This Row],[Beginning Balance]]-Table15[[#This Row],[Principal]]),0),2)))</f>
        <v>20161.28</v>
      </c>
      <c r="J37" s="3">
        <f>ROUND(MIN(Table15[[#This Row],[Beginning Balance]]*IF($C$8="No",$E$3,VLOOKUP(Table15[[#This Row],[Period]],Forecast!$H$2:$L$1048576,2,FALSE)),Table15[[#This Row],[Beginning Balance]]-Table15[[#This Row],[Principal]]-Table15[[#This Row],[Prepayments]]),2)</f>
        <v>3985.62</v>
      </c>
      <c r="K37" s="3">
        <f>ROUND(Table15[[#This Row],[Defaulted Principal]]*IF($C$9="No",$E$4,VLOOKUP(Table15[[#This Row],[Period]],Forecast!$H$2:$L$1048576,3,FALSE)),2)</f>
        <v>328.53</v>
      </c>
      <c r="L37" s="2">
        <f>Table15[[#This Row],[Period]]+$E$9</f>
        <v>33</v>
      </c>
      <c r="M37" s="3">
        <f>Table15[[#This Row],[Defaulted Principal]]-Table15[[#This Row],[Estimated Loss]]</f>
        <v>3657.09</v>
      </c>
      <c r="N37" s="3">
        <f>IFERROR(VLOOKUP(Table15[[#This Row],[Period]],$L$16:$M$385,2,FALSE),0)</f>
        <v>3436.1</v>
      </c>
      <c r="O37" s="3">
        <f>Table15[[#This Row],[Beginning Balance]]-Table15[[#This Row],[Principal]]-Table15[[#This Row],[Prepayments]]-Table15[[#This Row],[Defaulted Principal]]</f>
        <v>7030599.790000001</v>
      </c>
      <c r="P37" s="3">
        <f>Table15[[#This Row],[Principal]]+Table15[[#This Row],[Interest]]+Table15[[#This Row],[Prepayments]]+Table15[[#This Row],[RecoveredAmount]]</f>
        <v>76625.919999999998</v>
      </c>
      <c r="Q37" s="3">
        <f ca="1">ROUND(Table15[[#This Row],[Cash Flow]]/((1+ActualRateToUse)^(IF(ISNUMBER(SEARCH("Actual",$C$7)),Table15[[#This Row],[Running Total]]/365,Table15[[#This Row],[Period]]/12))),2)</f>
        <v>67900.19</v>
      </c>
      <c r="R37" s="2">
        <f>IF(MONTH(Table15[[#This Row],[Date]])=2,28,DAY(DATE(YEAR(Table15[[#This Row],[Date]]),MONTH(Table15[[#This Row],[Date]])+1,1)-1))</f>
        <v>31</v>
      </c>
      <c r="S37" s="2">
        <f ca="1">SUM(OFFSET(Table15[[#Headers],[Days in month]],1,0):Table15[[#This Row],[Days in month]])</f>
        <v>639</v>
      </c>
      <c r="T37" s="37">
        <f>InterestRate*AmortizationMultiplier*IF(ISNUMBER(SEARCH("Actual",$C$7)),Table15[[#This Row],[Days in month]]/365,1/12)</f>
        <v>5.8133611111111103E-3</v>
      </c>
    </row>
    <row r="38" spans="2:20" x14ac:dyDescent="0.2">
      <c r="B38" s="1">
        <v>46507</v>
      </c>
      <c r="C38" s="2">
        <f t="shared" si="1"/>
        <v>22</v>
      </c>
      <c r="D38" s="3">
        <f t="shared" si="0"/>
        <v>7030599.790000001</v>
      </c>
      <c r="E38" s="3">
        <f>ROUND(Table15[[#This Row],[Beginning Balance]]*Table15[[#This Row],[Monthly Interest Rate]],2)</f>
        <v>39552.980000000003</v>
      </c>
      <c r="F38" s="3">
        <f t="shared" si="2"/>
        <v>250</v>
      </c>
      <c r="G38" s="23">
        <f>IFERROR(IF($C$13="No","N/A",IF(Table15[[#This Row],[Period]]=1,$C$6,PMT(InterestRate*AmortizationMultiplier/12,Table15[[#This Row],[Am Thru]],-Table15[[#This Row],[Beginning Balance]]))),0)</f>
        <v>52852.826243278025</v>
      </c>
      <c r="H38" s="3">
        <f>MAX(0,IF(C38=$C$4,D38,ROUND(IF($C$3="Fixed Principal",$C$6-Table15[[#This Row],[Interest]],IF($C$3="Interest Only",Table15[[#This Row],[Beginning Balance]]*ROUND(1-(1-IF($C$11="No",$E$8,1))^(1/12),6),MIN(IF($C$13="Yes",Table15[[#This Row],[Payment Amount (Reamortized)]],$C$6)-Table15[[#This Row],[Interest]],Table15[[#This Row],[Beginning Balance]]))),2)))</f>
        <v>13299.85</v>
      </c>
      <c r="I38" s="3">
        <f>_xlfn.SINGLE(IF($C$3="Line of Credit",0,ROUND(MAX(MIN(IF($C$10="No",$E$7,VLOOKUP(Table15[[#This Row],[Period]],Forecast!$H$2:$L$1048576,4,FALSE))*Table15[[#This Row],[Beginning Balance]],Table15[[#This Row],[Beginning Balance]]-Table15[[#This Row],[Principal]]),0),2)))</f>
        <v>20058.3</v>
      </c>
      <c r="J38" s="3">
        <f>ROUND(MIN(Table15[[#This Row],[Beginning Balance]]*IF($C$8="No",$E$3,VLOOKUP(Table15[[#This Row],[Period]],Forecast!$H$2:$L$1048576,2,FALSE)),Table15[[#This Row],[Beginning Balance]]-Table15[[#This Row],[Principal]]-Table15[[#This Row],[Prepayments]]),2)</f>
        <v>4133.99</v>
      </c>
      <c r="K38" s="3">
        <f>ROUND(Table15[[#This Row],[Defaulted Principal]]*IF($C$9="No",$E$4,VLOOKUP(Table15[[#This Row],[Period]],Forecast!$H$2:$L$1048576,3,FALSE)),2)</f>
        <v>344.46</v>
      </c>
      <c r="L38" s="2">
        <f>Table15[[#This Row],[Period]]+$E$9</f>
        <v>34</v>
      </c>
      <c r="M38" s="3">
        <f>Table15[[#This Row],[Defaulted Principal]]-Table15[[#This Row],[Estimated Loss]]</f>
        <v>3789.5299999999997</v>
      </c>
      <c r="N38" s="3">
        <f>IFERROR(VLOOKUP(Table15[[#This Row],[Period]],$L$16:$M$385,2,FALSE),0)</f>
        <v>3385.61</v>
      </c>
      <c r="O38" s="3">
        <f>Table15[[#This Row],[Beginning Balance]]-Table15[[#This Row],[Principal]]-Table15[[#This Row],[Prepayments]]-Table15[[#This Row],[Defaulted Principal]]</f>
        <v>6993107.6500000013</v>
      </c>
      <c r="P38" s="3">
        <f>Table15[[#This Row],[Principal]]+Table15[[#This Row],[Interest]]+Table15[[#This Row],[Prepayments]]+Table15[[#This Row],[RecoveredAmount]]</f>
        <v>76296.740000000005</v>
      </c>
      <c r="Q38" s="3">
        <f ca="1">ROUND(Table15[[#This Row],[Cash Flow]]/((1+ActualRateToUse)^(IF(ISNUMBER(SEARCH("Actual",$C$7)),Table15[[#This Row],[Running Total]]/365,Table15[[#This Row],[Period]]/12))),2)</f>
        <v>67225.84</v>
      </c>
      <c r="R38" s="2">
        <f>IF(MONTH(Table15[[#This Row],[Date]])=2,28,DAY(DATE(YEAR(Table15[[#This Row],[Date]]),MONTH(Table15[[#This Row],[Date]])+1,1)-1))</f>
        <v>30</v>
      </c>
      <c r="S38" s="2">
        <f ca="1">SUM(OFFSET(Table15[[#Headers],[Days in month]],1,0):Table15[[#This Row],[Days in month]])</f>
        <v>669</v>
      </c>
      <c r="T38" s="37">
        <f>InterestRate*AmortizationMultiplier*IF(ISNUMBER(SEARCH("Actual",$C$7)),Table15[[#This Row],[Days in month]]/365,1/12)</f>
        <v>5.6258333333333325E-3</v>
      </c>
    </row>
    <row r="39" spans="2:20" x14ac:dyDescent="0.2">
      <c r="B39" s="1">
        <v>46538</v>
      </c>
      <c r="C39" s="2">
        <f t="shared" si="1"/>
        <v>23</v>
      </c>
      <c r="D39" s="3">
        <f t="shared" si="0"/>
        <v>6993107.6500000013</v>
      </c>
      <c r="E39" s="3">
        <f>ROUND(Table15[[#This Row],[Beginning Balance]]*Table15[[#This Row],[Monthly Interest Rate]],2)</f>
        <v>40653.46</v>
      </c>
      <c r="F39" s="3">
        <f t="shared" si="2"/>
        <v>249</v>
      </c>
      <c r="G39" s="23">
        <f>IFERROR(IF($C$13="No","N/A",IF(Table15[[#This Row],[Period]]=1,$C$6,PMT(InterestRate*AmortizationMultiplier/12,Table15[[#This Row],[Am Thru]],-Table15[[#This Row],[Beginning Balance]]))),0)</f>
        <v>52666.491979831866</v>
      </c>
      <c r="H39" s="3">
        <f>MAX(0,IF(C39=$C$4,D39,ROUND(IF($C$3="Fixed Principal",$C$6-Table15[[#This Row],[Interest]],IF($C$3="Interest Only",Table15[[#This Row],[Beginning Balance]]*ROUND(1-(1-IF($C$11="No",$E$8,1))^(1/12),6),MIN(IF($C$13="Yes",Table15[[#This Row],[Payment Amount (Reamortized)]],$C$6)-Table15[[#This Row],[Interest]],Table15[[#This Row],[Beginning Balance]]))),2)))</f>
        <v>12013.03</v>
      </c>
      <c r="I39" s="3">
        <f>_xlfn.SINGLE(IF($C$3="Line of Credit",0,ROUND(MAX(MIN(IF($C$10="No",$E$7,VLOOKUP(Table15[[#This Row],[Period]],Forecast!$H$2:$L$1048576,4,FALSE))*Table15[[#This Row],[Beginning Balance]],Table15[[#This Row],[Beginning Balance]]-Table15[[#This Row],[Principal]]),0),2)))</f>
        <v>19951.34</v>
      </c>
      <c r="J39" s="3">
        <f>ROUND(MIN(Table15[[#This Row],[Beginning Balance]]*IF($C$8="No",$E$3,VLOOKUP(Table15[[#This Row],[Period]],Forecast!$H$2:$L$1048576,2,FALSE)),Table15[[#This Row],[Beginning Balance]]-Table15[[#This Row],[Principal]]-Table15[[#This Row],[Prepayments]]),2)</f>
        <v>4111.95</v>
      </c>
      <c r="K39" s="3">
        <f>ROUND(Table15[[#This Row],[Defaulted Principal]]*IF($C$9="No",$E$4,VLOOKUP(Table15[[#This Row],[Period]],Forecast!$H$2:$L$1048576,3,FALSE)),2)</f>
        <v>342.62</v>
      </c>
      <c r="L39" s="2">
        <f>Table15[[#This Row],[Period]]+$E$9</f>
        <v>35</v>
      </c>
      <c r="M39" s="3">
        <f>Table15[[#This Row],[Defaulted Principal]]-Table15[[#This Row],[Estimated Loss]]</f>
        <v>3769.33</v>
      </c>
      <c r="N39" s="3">
        <f>IFERROR(VLOOKUP(Table15[[#This Row],[Period]],$L$16:$M$385,2,FALSE),0)</f>
        <v>3368.4</v>
      </c>
      <c r="O39" s="3">
        <f>Table15[[#This Row],[Beginning Balance]]-Table15[[#This Row],[Principal]]-Table15[[#This Row],[Prepayments]]-Table15[[#This Row],[Defaulted Principal]]</f>
        <v>6957031.330000001</v>
      </c>
      <c r="P39" s="3">
        <f>Table15[[#This Row],[Principal]]+Table15[[#This Row],[Interest]]+Table15[[#This Row],[Prepayments]]+Table15[[#This Row],[RecoveredAmount]]</f>
        <v>75986.23</v>
      </c>
      <c r="Q39" s="3">
        <f ca="1">ROUND(Table15[[#This Row],[Cash Flow]]/((1+ActualRateToUse)^(IF(ISNUMBER(SEARCH("Actual",$C$7)),Table15[[#This Row],[Running Total]]/365,Table15[[#This Row],[Period]]/12))),2)</f>
        <v>66560.72</v>
      </c>
      <c r="R39" s="2">
        <f>IF(MONTH(Table15[[#This Row],[Date]])=2,28,DAY(DATE(YEAR(Table15[[#This Row],[Date]]),MONTH(Table15[[#This Row],[Date]])+1,1)-1))</f>
        <v>31</v>
      </c>
      <c r="S39" s="2">
        <f ca="1">SUM(OFFSET(Table15[[#Headers],[Days in month]],1,0):Table15[[#This Row],[Days in month]])</f>
        <v>700</v>
      </c>
      <c r="T39" s="37">
        <f>InterestRate*AmortizationMultiplier*IF(ISNUMBER(SEARCH("Actual",$C$7)),Table15[[#This Row],[Days in month]]/365,1/12)</f>
        <v>5.8133611111111103E-3</v>
      </c>
    </row>
    <row r="40" spans="2:20" x14ac:dyDescent="0.2">
      <c r="B40" s="1">
        <v>46568</v>
      </c>
      <c r="C40" s="2">
        <f t="shared" si="1"/>
        <v>24</v>
      </c>
      <c r="D40" s="3">
        <f t="shared" si="0"/>
        <v>6957031.330000001</v>
      </c>
      <c r="E40" s="3">
        <f>ROUND(Table15[[#This Row],[Beginning Balance]]*Table15[[#This Row],[Monthly Interest Rate]],2)</f>
        <v>39139.1</v>
      </c>
      <c r="F40" s="3">
        <f t="shared" si="2"/>
        <v>248</v>
      </c>
      <c r="G40" s="23">
        <f>IFERROR(IF($C$13="No","N/A",IF(Table15[[#This Row],[Period]]=1,$C$6,PMT(InterestRate*AmortizationMultiplier/12,Table15[[#This Row],[Am Thru]],-Table15[[#This Row],[Beginning Balance]]))),0)</f>
        <v>52490.706596491866</v>
      </c>
      <c r="H40" s="3">
        <f>MAX(0,IF(C40=$C$4,D40,ROUND(IF($C$3="Fixed Principal",$C$6-Table15[[#This Row],[Interest]],IF($C$3="Interest Only",Table15[[#This Row],[Beginning Balance]]*ROUND(1-(1-IF($C$11="No",$E$8,1))^(1/12),6),MIN(IF($C$13="Yes",Table15[[#This Row],[Payment Amount (Reamortized)]],$C$6)-Table15[[#This Row],[Interest]],Table15[[#This Row],[Beginning Balance]]))),2)))</f>
        <v>13351.61</v>
      </c>
      <c r="I40" s="3">
        <f>_xlfn.SINGLE(IF($C$3="Line of Credit",0,ROUND(MAX(MIN(IF($C$10="No",$E$7,VLOOKUP(Table15[[#This Row],[Period]],Forecast!$H$2:$L$1048576,4,FALSE))*Table15[[#This Row],[Beginning Balance]],Table15[[#This Row],[Beginning Balance]]-Table15[[#This Row],[Principal]]),0),2)))</f>
        <v>19848.41</v>
      </c>
      <c r="J40" s="3">
        <f>ROUND(MIN(Table15[[#This Row],[Beginning Balance]]*IF($C$8="No",$E$3,VLOOKUP(Table15[[#This Row],[Period]],Forecast!$H$2:$L$1048576,2,FALSE)),Table15[[#This Row],[Beginning Balance]]-Table15[[#This Row],[Principal]]-Table15[[#This Row],[Prepayments]]),2)</f>
        <v>4090.73</v>
      </c>
      <c r="K40" s="3">
        <f>ROUND(Table15[[#This Row],[Defaulted Principal]]*IF($C$9="No",$E$4,VLOOKUP(Table15[[#This Row],[Period]],Forecast!$H$2:$L$1048576,3,FALSE)),2)</f>
        <v>340.86</v>
      </c>
      <c r="L40" s="2">
        <f>Table15[[#This Row],[Period]]+$E$9</f>
        <v>36</v>
      </c>
      <c r="M40" s="3">
        <f>Table15[[#This Row],[Defaulted Principal]]-Table15[[#This Row],[Estimated Loss]]</f>
        <v>3749.87</v>
      </c>
      <c r="N40" s="3">
        <f>IFERROR(VLOOKUP(Table15[[#This Row],[Period]],$L$16:$M$385,2,FALSE),0)</f>
        <v>3351.87</v>
      </c>
      <c r="O40" s="3">
        <f>Table15[[#This Row],[Beginning Balance]]-Table15[[#This Row],[Principal]]-Table15[[#This Row],[Prepayments]]-Table15[[#This Row],[Defaulted Principal]]</f>
        <v>6919740.5800000001</v>
      </c>
      <c r="P40" s="3">
        <f>Table15[[#This Row],[Principal]]+Table15[[#This Row],[Interest]]+Table15[[#This Row],[Prepayments]]+Table15[[#This Row],[RecoveredAmount]]</f>
        <v>75690.989999999991</v>
      </c>
      <c r="Q40" s="3">
        <f ca="1">ROUND(Table15[[#This Row],[Cash Flow]]/((1+ActualRateToUse)^(IF(ISNUMBER(SEARCH("Actual",$C$7)),Table15[[#This Row],[Running Total]]/365,Table15[[#This Row],[Period]]/12))),2)</f>
        <v>65926.84</v>
      </c>
      <c r="R40" s="2">
        <f>IF(MONTH(Table15[[#This Row],[Date]])=2,28,DAY(DATE(YEAR(Table15[[#This Row],[Date]]),MONTH(Table15[[#This Row],[Date]])+1,1)-1))</f>
        <v>30</v>
      </c>
      <c r="S40" s="2">
        <f ca="1">SUM(OFFSET(Table15[[#Headers],[Days in month]],1,0):Table15[[#This Row],[Days in month]])</f>
        <v>730</v>
      </c>
      <c r="T40" s="37">
        <f>InterestRate*AmortizationMultiplier*IF(ISNUMBER(SEARCH("Actual",$C$7)),Table15[[#This Row],[Days in month]]/365,1/12)</f>
        <v>5.6258333333333325E-3</v>
      </c>
    </row>
    <row r="41" spans="2:20" x14ac:dyDescent="0.2">
      <c r="B41" s="1">
        <v>46599</v>
      </c>
      <c r="C41" s="2">
        <f t="shared" si="1"/>
        <v>25</v>
      </c>
      <c r="D41" s="3">
        <f t="shared" si="0"/>
        <v>6919740.5800000001</v>
      </c>
      <c r="E41" s="3">
        <f>ROUND(Table15[[#This Row],[Beginning Balance]]*Table15[[#This Row],[Monthly Interest Rate]],2)</f>
        <v>40226.949999999997</v>
      </c>
      <c r="F41" s="3">
        <f t="shared" si="2"/>
        <v>247</v>
      </c>
      <c r="G41" s="23">
        <f>IFERROR(IF($C$13="No","N/A",IF(Table15[[#This Row],[Period]]=1,$C$6,PMT(InterestRate*AmortizationMultiplier/12,Table15[[#This Row],[Am Thru]],-Table15[[#This Row],[Beginning Balance]]))),0)</f>
        <v>52305.643947686636</v>
      </c>
      <c r="H41" s="3">
        <f>MAX(0,IF(C41=$C$4,D41,ROUND(IF($C$3="Fixed Principal",$C$6-Table15[[#This Row],[Interest]],IF($C$3="Interest Only",Table15[[#This Row],[Beginning Balance]]*ROUND(1-(1-IF($C$11="No",$E$8,1))^(1/12),6),MIN(IF($C$13="Yes",Table15[[#This Row],[Payment Amount (Reamortized)]],$C$6)-Table15[[#This Row],[Interest]],Table15[[#This Row],[Beginning Balance]]))),2)))</f>
        <v>12078.69</v>
      </c>
      <c r="I41" s="3">
        <f>_xlfn.SINGLE(IF($C$3="Line of Credit",0,ROUND(MAX(MIN(IF($C$10="No",$E$7,VLOOKUP(Table15[[#This Row],[Period]],Forecast!$H$2:$L$1048576,4,FALSE))*Table15[[#This Row],[Beginning Balance]],Table15[[#This Row],[Beginning Balance]]-Table15[[#This Row],[Principal]]),0),2)))</f>
        <v>19742.02</v>
      </c>
      <c r="J41" s="3">
        <f>ROUND(MIN(Table15[[#This Row],[Beginning Balance]]*IF($C$8="No",$E$3,VLOOKUP(Table15[[#This Row],[Period]],Forecast!$H$2:$L$1048576,2,FALSE)),Table15[[#This Row],[Beginning Balance]]-Table15[[#This Row],[Principal]]-Table15[[#This Row],[Prepayments]]),2)</f>
        <v>4227.96</v>
      </c>
      <c r="K41" s="3">
        <f>ROUND(Table15[[#This Row],[Defaulted Principal]]*IF($C$9="No",$E$4,VLOOKUP(Table15[[#This Row],[Period]],Forecast!$H$2:$L$1048576,3,FALSE)),2)</f>
        <v>355.98</v>
      </c>
      <c r="L41" s="2">
        <f>Table15[[#This Row],[Period]]+$E$9</f>
        <v>37</v>
      </c>
      <c r="M41" s="3">
        <f>Table15[[#This Row],[Defaulted Principal]]-Table15[[#This Row],[Estimated Loss]]</f>
        <v>3871.98</v>
      </c>
      <c r="N41" s="3">
        <f>IFERROR(VLOOKUP(Table15[[#This Row],[Period]],$L$16:$M$385,2,FALSE),0)</f>
        <v>3493.72</v>
      </c>
      <c r="O41" s="3">
        <f>Table15[[#This Row],[Beginning Balance]]-Table15[[#This Row],[Principal]]-Table15[[#This Row],[Prepayments]]-Table15[[#This Row],[Defaulted Principal]]</f>
        <v>6883691.9100000001</v>
      </c>
      <c r="P41" s="3">
        <f>Table15[[#This Row],[Principal]]+Table15[[#This Row],[Interest]]+Table15[[#This Row],[Prepayments]]+Table15[[#This Row],[RecoveredAmount]]</f>
        <v>75541.38</v>
      </c>
      <c r="Q41" s="3">
        <f ca="1">ROUND(Table15[[#This Row],[Cash Flow]]/((1+ActualRateToUse)^(IF(ISNUMBER(SEARCH("Actual",$C$7)),Table15[[#This Row],[Running Total]]/365,Table15[[#This Row],[Period]]/12))),2)</f>
        <v>65411.76</v>
      </c>
      <c r="R41" s="2">
        <f>IF(MONTH(Table15[[#This Row],[Date]])=2,28,DAY(DATE(YEAR(Table15[[#This Row],[Date]]),MONTH(Table15[[#This Row],[Date]])+1,1)-1))</f>
        <v>31</v>
      </c>
      <c r="S41" s="2">
        <f ca="1">SUM(OFFSET(Table15[[#Headers],[Days in month]],1,0):Table15[[#This Row],[Days in month]])</f>
        <v>761</v>
      </c>
      <c r="T41" s="37">
        <f>InterestRate*AmortizationMultiplier*IF(ISNUMBER(SEARCH("Actual",$C$7)),Table15[[#This Row],[Days in month]]/365,1/12)</f>
        <v>5.8133611111111103E-3</v>
      </c>
    </row>
    <row r="42" spans="2:20" x14ac:dyDescent="0.2">
      <c r="B42" s="1">
        <v>46630</v>
      </c>
      <c r="C42" s="2">
        <f t="shared" si="1"/>
        <v>26</v>
      </c>
      <c r="D42" s="3">
        <f t="shared" si="0"/>
        <v>6883691.9100000001</v>
      </c>
      <c r="E42" s="3">
        <f>ROUND(Table15[[#This Row],[Beginning Balance]]*Table15[[#This Row],[Monthly Interest Rate]],2)</f>
        <v>40017.39</v>
      </c>
      <c r="F42" s="3">
        <f t="shared" si="2"/>
        <v>246</v>
      </c>
      <c r="G42" s="23">
        <f>IFERROR(IF($C$13="No","N/A",IF(Table15[[#This Row],[Period]]=1,$C$6,PMT(InterestRate*AmortizationMultiplier/12,Table15[[#This Row],[Am Thru]],-Table15[[#This Row],[Beginning Balance]]))),0)</f>
        <v>52129.852928165157</v>
      </c>
      <c r="H42" s="3">
        <f>MAX(0,IF(C42=$C$4,D42,ROUND(IF($C$3="Fixed Principal",$C$6-Table15[[#This Row],[Interest]],IF($C$3="Interest Only",Table15[[#This Row],[Beginning Balance]]*ROUND(1-(1-IF($C$11="No",$E$8,1))^(1/12),6),MIN(IF($C$13="Yes",Table15[[#This Row],[Payment Amount (Reamortized)]],$C$6)-Table15[[#This Row],[Interest]],Table15[[#This Row],[Beginning Balance]]))),2)))</f>
        <v>12112.46</v>
      </c>
      <c r="I42" s="3">
        <f>_xlfn.SINGLE(IF($C$3="Line of Credit",0,ROUND(MAX(MIN(IF($C$10="No",$E$7,VLOOKUP(Table15[[#This Row],[Period]],Forecast!$H$2:$L$1048576,4,FALSE))*Table15[[#This Row],[Beginning Balance]],Table15[[#This Row],[Beginning Balance]]-Table15[[#This Row],[Principal]]),0),2)))</f>
        <v>19639.169999999998</v>
      </c>
      <c r="J42" s="3">
        <f>ROUND(MIN(Table15[[#This Row],[Beginning Balance]]*IF($C$8="No",$E$3,VLOOKUP(Table15[[#This Row],[Period]],Forecast!$H$2:$L$1048576,2,FALSE)),Table15[[#This Row],[Beginning Balance]]-Table15[[#This Row],[Principal]]-Table15[[#This Row],[Prepayments]]),2)</f>
        <v>4205.9399999999996</v>
      </c>
      <c r="K42" s="3">
        <f>ROUND(Table15[[#This Row],[Defaulted Principal]]*IF($C$9="No",$E$4,VLOOKUP(Table15[[#This Row],[Period]],Forecast!$H$2:$L$1048576,3,FALSE)),2)</f>
        <v>354.13</v>
      </c>
      <c r="L42" s="2">
        <f>Table15[[#This Row],[Period]]+$E$9</f>
        <v>38</v>
      </c>
      <c r="M42" s="3">
        <f>Table15[[#This Row],[Defaulted Principal]]-Table15[[#This Row],[Estimated Loss]]</f>
        <v>3851.8099999999995</v>
      </c>
      <c r="N42" s="3">
        <f>IFERROR(VLOOKUP(Table15[[#This Row],[Period]],$L$16:$M$385,2,FALSE),0)</f>
        <v>3476.41</v>
      </c>
      <c r="O42" s="3">
        <f>Table15[[#This Row],[Beginning Balance]]-Table15[[#This Row],[Principal]]-Table15[[#This Row],[Prepayments]]-Table15[[#This Row],[Defaulted Principal]]</f>
        <v>6847734.3399999999</v>
      </c>
      <c r="P42" s="3">
        <f>Table15[[#This Row],[Principal]]+Table15[[#This Row],[Interest]]+Table15[[#This Row],[Prepayments]]+Table15[[#This Row],[RecoveredAmount]]</f>
        <v>75245.429999999993</v>
      </c>
      <c r="Q42" s="3">
        <f ca="1">ROUND(Table15[[#This Row],[Cash Flow]]/((1+ActualRateToUse)^(IF(ISNUMBER(SEARCH("Actual",$C$7)),Table15[[#This Row],[Running Total]]/365,Table15[[#This Row],[Period]]/12))),2)</f>
        <v>64774.47</v>
      </c>
      <c r="R42" s="2">
        <f>IF(MONTH(Table15[[#This Row],[Date]])=2,28,DAY(DATE(YEAR(Table15[[#This Row],[Date]]),MONTH(Table15[[#This Row],[Date]])+1,1)-1))</f>
        <v>31</v>
      </c>
      <c r="S42" s="2">
        <f ca="1">SUM(OFFSET(Table15[[#Headers],[Days in month]],1,0):Table15[[#This Row],[Days in month]])</f>
        <v>792</v>
      </c>
      <c r="T42" s="37">
        <f>InterestRate*AmortizationMultiplier*IF(ISNUMBER(SEARCH("Actual",$C$7)),Table15[[#This Row],[Days in month]]/365,1/12)</f>
        <v>5.8133611111111103E-3</v>
      </c>
    </row>
    <row r="43" spans="2:20" x14ac:dyDescent="0.2">
      <c r="B43" s="1">
        <v>46660</v>
      </c>
      <c r="C43" s="2">
        <f t="shared" si="1"/>
        <v>27</v>
      </c>
      <c r="D43" s="3">
        <f t="shared" si="0"/>
        <v>6847734.3399999999</v>
      </c>
      <c r="E43" s="3">
        <f>ROUND(Table15[[#This Row],[Beginning Balance]]*Table15[[#This Row],[Monthly Interest Rate]],2)</f>
        <v>38524.21</v>
      </c>
      <c r="F43" s="3">
        <f t="shared" si="2"/>
        <v>245</v>
      </c>
      <c r="G43" s="23">
        <f>IFERROR(IF($C$13="No","N/A",IF(Table15[[#This Row],[Period]]=1,$C$6,PMT(InterestRate*AmortizationMultiplier/12,Table15[[#This Row],[Am Thru]],-Table15[[#This Row],[Beginning Balance]]))),0)</f>
        <v>51954.650251470259</v>
      </c>
      <c r="H43" s="3">
        <f>MAX(0,IF(C43=$C$4,D43,ROUND(IF($C$3="Fixed Principal",$C$6-Table15[[#This Row],[Interest]],IF($C$3="Interest Only",Table15[[#This Row],[Beginning Balance]]*ROUND(1-(1-IF($C$11="No",$E$8,1))^(1/12),6),MIN(IF($C$13="Yes",Table15[[#This Row],[Payment Amount (Reamortized)]],$C$6)-Table15[[#This Row],[Interest]],Table15[[#This Row],[Beginning Balance]]))),2)))</f>
        <v>13430.44</v>
      </c>
      <c r="I43" s="3">
        <f>_xlfn.SINGLE(IF($C$3="Line of Credit",0,ROUND(MAX(MIN(IF($C$10="No",$E$7,VLOOKUP(Table15[[#This Row],[Period]],Forecast!$H$2:$L$1048576,4,FALSE))*Table15[[#This Row],[Beginning Balance]],Table15[[#This Row],[Beginning Balance]]-Table15[[#This Row],[Principal]]),0),2)))</f>
        <v>19536.59</v>
      </c>
      <c r="J43" s="3">
        <f>ROUND(MIN(Table15[[#This Row],[Beginning Balance]]*IF($C$8="No",$E$3,VLOOKUP(Table15[[#This Row],[Period]],Forecast!$H$2:$L$1048576,2,FALSE)),Table15[[#This Row],[Beginning Balance]]-Table15[[#This Row],[Principal]]-Table15[[#This Row],[Prepayments]]),2)</f>
        <v>4183.97</v>
      </c>
      <c r="K43" s="3">
        <f>ROUND(Table15[[#This Row],[Defaulted Principal]]*IF($C$9="No",$E$4,VLOOKUP(Table15[[#This Row],[Period]],Forecast!$H$2:$L$1048576,3,FALSE)),2)</f>
        <v>352.28</v>
      </c>
      <c r="L43" s="2">
        <f>Table15[[#This Row],[Period]]+$E$9</f>
        <v>39</v>
      </c>
      <c r="M43" s="3">
        <f>Table15[[#This Row],[Defaulted Principal]]-Table15[[#This Row],[Estimated Loss]]</f>
        <v>3831.6900000000005</v>
      </c>
      <c r="N43" s="3">
        <f>IFERROR(VLOOKUP(Table15[[#This Row],[Period]],$L$16:$M$385,2,FALSE),0)</f>
        <v>3459.13</v>
      </c>
      <c r="O43" s="3">
        <f>Table15[[#This Row],[Beginning Balance]]-Table15[[#This Row],[Principal]]-Table15[[#This Row],[Prepayments]]-Table15[[#This Row],[Defaulted Principal]]</f>
        <v>6810583.3399999999</v>
      </c>
      <c r="P43" s="3">
        <f>Table15[[#This Row],[Principal]]+Table15[[#This Row],[Interest]]+Table15[[#This Row],[Prepayments]]+Table15[[#This Row],[RecoveredAmount]]</f>
        <v>74950.37000000001</v>
      </c>
      <c r="Q43" s="3">
        <f ca="1">ROUND(Table15[[#This Row],[Cash Flow]]/((1+ActualRateToUse)^(IF(ISNUMBER(SEARCH("Actual",$C$7)),Table15[[#This Row],[Running Total]]/365,Table15[[#This Row],[Period]]/12))),2)</f>
        <v>64155.29</v>
      </c>
      <c r="R43" s="2">
        <f>IF(MONTH(Table15[[#This Row],[Date]])=2,28,DAY(DATE(YEAR(Table15[[#This Row],[Date]]),MONTH(Table15[[#This Row],[Date]])+1,1)-1))</f>
        <v>30</v>
      </c>
      <c r="S43" s="2">
        <f ca="1">SUM(OFFSET(Table15[[#Headers],[Days in month]],1,0):Table15[[#This Row],[Days in month]])</f>
        <v>822</v>
      </c>
      <c r="T43" s="37">
        <f>InterestRate*AmortizationMultiplier*IF(ISNUMBER(SEARCH("Actual",$C$7)),Table15[[#This Row],[Days in month]]/365,1/12)</f>
        <v>5.6258333333333325E-3</v>
      </c>
    </row>
    <row r="44" spans="2:20" x14ac:dyDescent="0.2">
      <c r="B44" s="1">
        <v>46691</v>
      </c>
      <c r="C44" s="2">
        <f t="shared" si="1"/>
        <v>28</v>
      </c>
      <c r="D44" s="3">
        <f t="shared" si="0"/>
        <v>6810583.3399999999</v>
      </c>
      <c r="E44" s="3">
        <f>ROUND(Table15[[#This Row],[Beginning Balance]]*Table15[[#This Row],[Monthly Interest Rate]],2)</f>
        <v>39592.379999999997</v>
      </c>
      <c r="F44" s="3">
        <f t="shared" si="2"/>
        <v>244</v>
      </c>
      <c r="G44" s="23">
        <f>IFERROR(IF($C$13="No","N/A",IF(Table15[[#This Row],[Period]]=1,$C$6,PMT(InterestRate*AmortizationMultiplier/12,Table15[[#This Row],[Am Thru]],-Table15[[#This Row],[Beginning Balance]]))),0)</f>
        <v>51770.272495149802</v>
      </c>
      <c r="H44" s="3">
        <f>MAX(0,IF(C44=$C$4,D44,ROUND(IF($C$3="Fixed Principal",$C$6-Table15[[#This Row],[Interest]],IF($C$3="Interest Only",Table15[[#This Row],[Beginning Balance]]*ROUND(1-(1-IF($C$11="No",$E$8,1))^(1/12),6),MIN(IF($C$13="Yes",Table15[[#This Row],[Payment Amount (Reamortized)]],$C$6)-Table15[[#This Row],[Interest]],Table15[[#This Row],[Beginning Balance]]))),2)))</f>
        <v>12177.89</v>
      </c>
      <c r="I44" s="3">
        <f>_xlfn.SINGLE(IF($C$3="Line of Credit",0,ROUND(MAX(MIN(IF($C$10="No",$E$7,VLOOKUP(Table15[[#This Row],[Period]],Forecast!$H$2:$L$1048576,4,FALSE))*Table15[[#This Row],[Beginning Balance]],Table15[[#This Row],[Beginning Balance]]-Table15[[#This Row],[Principal]]),0),2)))</f>
        <v>19430.59</v>
      </c>
      <c r="J44" s="3">
        <f>ROUND(MIN(Table15[[#This Row],[Beginning Balance]]*IF($C$8="No",$E$3,VLOOKUP(Table15[[#This Row],[Period]],Forecast!$H$2:$L$1048576,2,FALSE)),Table15[[#This Row],[Beginning Balance]]-Table15[[#This Row],[Principal]]-Table15[[#This Row],[Prepayments]]),2)</f>
        <v>4324.72</v>
      </c>
      <c r="K44" s="3">
        <f>ROUND(Table15[[#This Row],[Defaulted Principal]]*IF($C$9="No",$E$4,VLOOKUP(Table15[[#This Row],[Period]],Forecast!$H$2:$L$1048576,3,FALSE)),2)</f>
        <v>367.81</v>
      </c>
      <c r="L44" s="2">
        <f>Table15[[#This Row],[Period]]+$E$9</f>
        <v>40</v>
      </c>
      <c r="M44" s="3">
        <f>Table15[[#This Row],[Defaulted Principal]]-Table15[[#This Row],[Estimated Loss]]</f>
        <v>3956.9100000000003</v>
      </c>
      <c r="N44" s="3">
        <f>IFERROR(VLOOKUP(Table15[[#This Row],[Period]],$L$16:$M$385,2,FALSE),0)</f>
        <v>3597.6099999999997</v>
      </c>
      <c r="O44" s="3">
        <f>Table15[[#This Row],[Beginning Balance]]-Table15[[#This Row],[Principal]]-Table15[[#This Row],[Prepayments]]-Table15[[#This Row],[Defaulted Principal]]</f>
        <v>6774650.1400000006</v>
      </c>
      <c r="P44" s="3">
        <f>Table15[[#This Row],[Principal]]+Table15[[#This Row],[Interest]]+Table15[[#This Row],[Prepayments]]+Table15[[#This Row],[RecoveredAmount]]</f>
        <v>74798.47</v>
      </c>
      <c r="Q44" s="3">
        <f ca="1">ROUND(Table15[[#This Row],[Cash Flow]]/((1+ActualRateToUse)^(IF(ISNUMBER(SEARCH("Actual",$C$7)),Table15[[#This Row],[Running Total]]/365,Table15[[#This Row],[Period]]/12))),2)</f>
        <v>63650.86</v>
      </c>
      <c r="R44" s="2">
        <f>IF(MONTH(Table15[[#This Row],[Date]])=2,28,DAY(DATE(YEAR(Table15[[#This Row],[Date]]),MONTH(Table15[[#This Row],[Date]])+1,1)-1))</f>
        <v>31</v>
      </c>
      <c r="S44" s="2">
        <f ca="1">SUM(OFFSET(Table15[[#Headers],[Days in month]],1,0):Table15[[#This Row],[Days in month]])</f>
        <v>853</v>
      </c>
      <c r="T44" s="37">
        <f>InterestRate*AmortizationMultiplier*IF(ISNUMBER(SEARCH("Actual",$C$7)),Table15[[#This Row],[Days in month]]/365,1/12)</f>
        <v>5.8133611111111103E-3</v>
      </c>
    </row>
    <row r="45" spans="2:20" x14ac:dyDescent="0.2">
      <c r="B45" s="1">
        <v>46721</v>
      </c>
      <c r="C45" s="2">
        <f t="shared" si="1"/>
        <v>29</v>
      </c>
      <c r="D45" s="3">
        <f t="shared" si="0"/>
        <v>6774650.1400000006</v>
      </c>
      <c r="E45" s="3">
        <f>ROUND(Table15[[#This Row],[Beginning Balance]]*Table15[[#This Row],[Monthly Interest Rate]],2)</f>
        <v>38113.050000000003</v>
      </c>
      <c r="F45" s="3">
        <f t="shared" si="2"/>
        <v>243</v>
      </c>
      <c r="G45" s="23">
        <f>IFERROR(IF($C$13="No","N/A",IF(Table15[[#This Row],[Period]]=1,$C$6,PMT(InterestRate*AmortizationMultiplier/12,Table15[[#This Row],[Am Thru]],-Table15[[#This Row],[Beginning Balance]]))),0)</f>
        <v>51595.028528192372</v>
      </c>
      <c r="H45" s="3">
        <f>MAX(0,IF(C45=$C$4,D45,ROUND(IF($C$3="Fixed Principal",$C$6-Table15[[#This Row],[Interest]],IF($C$3="Interest Only",Table15[[#This Row],[Beginning Balance]]*ROUND(1-(1-IF($C$11="No",$E$8,1))^(1/12),6),MIN(IF($C$13="Yes",Table15[[#This Row],[Payment Amount (Reamortized)]],$C$6)-Table15[[#This Row],[Interest]],Table15[[#This Row],[Beginning Balance]]))),2)))</f>
        <v>13481.98</v>
      </c>
      <c r="I45" s="3">
        <f>_xlfn.SINGLE(IF($C$3="Line of Credit",0,ROUND(MAX(MIN(IF($C$10="No",$E$7,VLOOKUP(Table15[[#This Row],[Period]],Forecast!$H$2:$L$1048576,4,FALSE))*Table15[[#This Row],[Beginning Balance]],Table15[[#This Row],[Beginning Balance]]-Table15[[#This Row],[Principal]]),0),2)))</f>
        <v>19328.080000000002</v>
      </c>
      <c r="J45" s="3">
        <f>ROUND(MIN(Table15[[#This Row],[Beginning Balance]]*IF($C$8="No",$E$3,VLOOKUP(Table15[[#This Row],[Period]],Forecast!$H$2:$L$1048576,2,FALSE)),Table15[[#This Row],[Beginning Balance]]-Table15[[#This Row],[Principal]]-Table15[[#This Row],[Prepayments]]),2)</f>
        <v>4301.8999999999996</v>
      </c>
      <c r="K45" s="3">
        <f>ROUND(Table15[[#This Row],[Defaulted Principal]]*IF($C$9="No",$E$4,VLOOKUP(Table15[[#This Row],[Period]],Forecast!$H$2:$L$1048576,3,FALSE)),2)</f>
        <v>365.87</v>
      </c>
      <c r="L45" s="2">
        <f>Table15[[#This Row],[Period]]+$E$9</f>
        <v>41</v>
      </c>
      <c r="M45" s="3">
        <f>Table15[[#This Row],[Defaulted Principal]]-Table15[[#This Row],[Estimated Loss]]</f>
        <v>3936.0299999999997</v>
      </c>
      <c r="N45" s="3">
        <f>IFERROR(VLOOKUP(Table15[[#This Row],[Period]],$L$16:$M$385,2,FALSE),0)</f>
        <v>3579.55</v>
      </c>
      <c r="O45" s="3">
        <f>Table15[[#This Row],[Beginning Balance]]-Table15[[#This Row],[Principal]]-Table15[[#This Row],[Prepayments]]-Table15[[#This Row],[Defaulted Principal]]</f>
        <v>6737538.1799999997</v>
      </c>
      <c r="P45" s="3">
        <f>Table15[[#This Row],[Principal]]+Table15[[#This Row],[Interest]]+Table15[[#This Row],[Prepayments]]+Table15[[#This Row],[RecoveredAmount]]</f>
        <v>74502.66</v>
      </c>
      <c r="Q45" s="3">
        <f ca="1">ROUND(Table15[[#This Row],[Cash Flow]]/((1+ActualRateToUse)^(IF(ISNUMBER(SEARCH("Actual",$C$7)),Table15[[#This Row],[Running Total]]/365,Table15[[#This Row],[Period]]/12))),2)</f>
        <v>63040.31</v>
      </c>
      <c r="R45" s="2">
        <f>IF(MONTH(Table15[[#This Row],[Date]])=2,28,DAY(DATE(YEAR(Table15[[#This Row],[Date]]),MONTH(Table15[[#This Row],[Date]])+1,1)-1))</f>
        <v>30</v>
      </c>
      <c r="S45" s="2">
        <f ca="1">SUM(OFFSET(Table15[[#Headers],[Days in month]],1,0):Table15[[#This Row],[Days in month]])</f>
        <v>883</v>
      </c>
      <c r="T45" s="37">
        <f>InterestRate*AmortizationMultiplier*IF(ISNUMBER(SEARCH("Actual",$C$7)),Table15[[#This Row],[Days in month]]/365,1/12)</f>
        <v>5.6258333333333325E-3</v>
      </c>
    </row>
    <row r="46" spans="2:20" x14ac:dyDescent="0.2">
      <c r="B46" s="1">
        <v>46752</v>
      </c>
      <c r="C46" s="2">
        <f t="shared" si="1"/>
        <v>30</v>
      </c>
      <c r="D46" s="3">
        <f t="shared" si="0"/>
        <v>6737538.1799999997</v>
      </c>
      <c r="E46" s="3">
        <f>ROUND(Table15[[#This Row],[Beginning Balance]]*Table15[[#This Row],[Monthly Interest Rate]],2)</f>
        <v>39167.74</v>
      </c>
      <c r="F46" s="3">
        <f t="shared" si="2"/>
        <v>242</v>
      </c>
      <c r="G46" s="23">
        <f>IFERROR(IF($C$13="No","N/A",IF(Table15[[#This Row],[Period]]=1,$C$6,PMT(InterestRate*AmortizationMultiplier/12,Table15[[#This Row],[Am Thru]],-Table15[[#This Row],[Beginning Balance]]))),0)</f>
        <v>51410.681118132386</v>
      </c>
      <c r="H46" s="3">
        <f>MAX(0,IF(C46=$C$4,D46,ROUND(IF($C$3="Fixed Principal",$C$6-Table15[[#This Row],[Interest]],IF($C$3="Interest Only",Table15[[#This Row],[Beginning Balance]]*ROUND(1-(1-IF($C$11="No",$E$8,1))^(1/12),6),MIN(IF($C$13="Yes",Table15[[#This Row],[Payment Amount (Reamortized)]],$C$6)-Table15[[#This Row],[Interest]],Table15[[#This Row],[Beginning Balance]]))),2)))</f>
        <v>12242.94</v>
      </c>
      <c r="I46" s="3">
        <f>_xlfn.SINGLE(IF($C$3="Line of Credit",0,ROUND(MAX(MIN(IF($C$10="No",$E$7,VLOOKUP(Table15[[#This Row],[Period]],Forecast!$H$2:$L$1048576,4,FALSE))*Table15[[#This Row],[Beginning Balance]],Table15[[#This Row],[Beginning Balance]]-Table15[[#This Row],[Principal]]),0),2)))</f>
        <v>19222.2</v>
      </c>
      <c r="J46" s="3">
        <f>ROUND(MIN(Table15[[#This Row],[Beginning Balance]]*IF($C$8="No",$E$3,VLOOKUP(Table15[[#This Row],[Period]],Forecast!$H$2:$L$1048576,2,FALSE)),Table15[[#This Row],[Beginning Balance]]-Table15[[#This Row],[Principal]]-Table15[[#This Row],[Prepayments]]),2)</f>
        <v>4278.34</v>
      </c>
      <c r="K46" s="3">
        <f>ROUND(Table15[[#This Row],[Defaulted Principal]]*IF($C$9="No",$E$4,VLOOKUP(Table15[[#This Row],[Period]],Forecast!$H$2:$L$1048576,3,FALSE)),2)</f>
        <v>363.87</v>
      </c>
      <c r="L46" s="2">
        <f>Table15[[#This Row],[Period]]+$E$9</f>
        <v>42</v>
      </c>
      <c r="M46" s="3">
        <f>Table15[[#This Row],[Defaulted Principal]]-Table15[[#This Row],[Estimated Loss]]</f>
        <v>3914.4700000000003</v>
      </c>
      <c r="N46" s="3">
        <f>IFERROR(VLOOKUP(Table15[[#This Row],[Period]],$L$16:$M$385,2,FALSE),0)</f>
        <v>3560.88</v>
      </c>
      <c r="O46" s="3">
        <f>Table15[[#This Row],[Beginning Balance]]-Table15[[#This Row],[Principal]]-Table15[[#This Row],[Prepayments]]-Table15[[#This Row],[Defaulted Principal]]</f>
        <v>6701794.6999999993</v>
      </c>
      <c r="P46" s="3">
        <f>Table15[[#This Row],[Principal]]+Table15[[#This Row],[Interest]]+Table15[[#This Row],[Prepayments]]+Table15[[#This Row],[RecoveredAmount]]</f>
        <v>74193.760000000009</v>
      </c>
      <c r="Q46" s="3">
        <f ca="1">ROUND(Table15[[#This Row],[Cash Flow]]/((1+ActualRateToUse)^(IF(ISNUMBER(SEARCH("Actual",$C$7)),Table15[[#This Row],[Running Total]]/365,Table15[[#This Row],[Period]]/12))),2)</f>
        <v>62411.8</v>
      </c>
      <c r="R46" s="2">
        <f>IF(MONTH(Table15[[#This Row],[Date]])=2,28,DAY(DATE(YEAR(Table15[[#This Row],[Date]]),MONTH(Table15[[#This Row],[Date]])+1,1)-1))</f>
        <v>31</v>
      </c>
      <c r="S46" s="2">
        <f ca="1">SUM(OFFSET(Table15[[#Headers],[Days in month]],1,0):Table15[[#This Row],[Days in month]])</f>
        <v>914</v>
      </c>
      <c r="T46" s="37">
        <f>InterestRate*AmortizationMultiplier*IF(ISNUMBER(SEARCH("Actual",$C$7)),Table15[[#This Row],[Days in month]]/365,1/12)</f>
        <v>5.8133611111111103E-3</v>
      </c>
    </row>
    <row r="47" spans="2:20" x14ac:dyDescent="0.2">
      <c r="B47" s="1">
        <v>46783</v>
      </c>
      <c r="C47" s="2">
        <f t="shared" si="1"/>
        <v>31</v>
      </c>
      <c r="D47" s="3">
        <f t="shared" si="0"/>
        <v>6701794.6999999993</v>
      </c>
      <c r="E47" s="3">
        <f>ROUND(Table15[[#This Row],[Beginning Balance]]*Table15[[#This Row],[Monthly Interest Rate]],2)</f>
        <v>38959.949999999997</v>
      </c>
      <c r="F47" s="3">
        <f t="shared" si="2"/>
        <v>241</v>
      </c>
      <c r="G47" s="23">
        <f>IFERROR(IF($C$13="No","N/A",IF(Table15[[#This Row],[Period]]=1,$C$6,PMT(InterestRate*AmortizationMultiplier/12,Table15[[#This Row],[Am Thru]],-Table15[[#This Row],[Beginning Balance]]))),0)</f>
        <v>51236.64920145346</v>
      </c>
      <c r="H47" s="3">
        <f>MAX(0,IF(C47=$C$4,D47,ROUND(IF($C$3="Fixed Principal",$C$6-Table15[[#This Row],[Interest]],IF($C$3="Interest Only",Table15[[#This Row],[Beginning Balance]]*ROUND(1-(1-IF($C$11="No",$E$8,1))^(1/12),6),MIN(IF($C$13="Yes",Table15[[#This Row],[Payment Amount (Reamortized)]],$C$6)-Table15[[#This Row],[Interest]],Table15[[#This Row],[Beginning Balance]]))),2)))</f>
        <v>12276.7</v>
      </c>
      <c r="I47" s="3">
        <f>_xlfn.SINGLE(IF($C$3="Line of Credit",0,ROUND(MAX(MIN(IF($C$10="No",$E$7,VLOOKUP(Table15[[#This Row],[Period]],Forecast!$H$2:$L$1048576,4,FALSE))*Table15[[#This Row],[Beginning Balance]],Table15[[#This Row],[Beginning Balance]]-Table15[[#This Row],[Principal]]),0),2)))</f>
        <v>19120.22</v>
      </c>
      <c r="J47" s="3">
        <f>ROUND(MIN(Table15[[#This Row],[Beginning Balance]]*IF($C$8="No",$E$3,VLOOKUP(Table15[[#This Row],[Period]],Forecast!$H$2:$L$1048576,2,FALSE)),Table15[[#This Row],[Beginning Balance]]-Table15[[#This Row],[Principal]]-Table15[[#This Row],[Prepayments]]),2)</f>
        <v>4416.4799999999996</v>
      </c>
      <c r="K47" s="3">
        <f>ROUND(Table15[[#This Row],[Defaulted Principal]]*IF($C$9="No",$E$4,VLOOKUP(Table15[[#This Row],[Period]],Forecast!$H$2:$L$1048576,3,FALSE)),2)</f>
        <v>379.29</v>
      </c>
      <c r="L47" s="2">
        <f>Table15[[#This Row],[Period]]+$E$9</f>
        <v>43</v>
      </c>
      <c r="M47" s="3">
        <f>Table15[[#This Row],[Defaulted Principal]]-Table15[[#This Row],[Estimated Loss]]</f>
        <v>4037.1899999999996</v>
      </c>
      <c r="N47" s="3">
        <f>IFERROR(VLOOKUP(Table15[[#This Row],[Period]],$L$16:$M$385,2,FALSE),0)</f>
        <v>3696.67</v>
      </c>
      <c r="O47" s="3">
        <f>Table15[[#This Row],[Beginning Balance]]-Table15[[#This Row],[Principal]]-Table15[[#This Row],[Prepayments]]-Table15[[#This Row],[Defaulted Principal]]</f>
        <v>6665981.2999999989</v>
      </c>
      <c r="P47" s="3">
        <f>Table15[[#This Row],[Principal]]+Table15[[#This Row],[Interest]]+Table15[[#This Row],[Prepayments]]+Table15[[#This Row],[RecoveredAmount]]</f>
        <v>74053.539999999994</v>
      </c>
      <c r="Q47" s="3">
        <f ca="1">ROUND(Table15[[#This Row],[Cash Flow]]/((1+ActualRateToUse)^(IF(ISNUMBER(SEARCH("Actual",$C$7)),Table15[[#This Row],[Running Total]]/365,Table15[[#This Row],[Period]]/12))),2)</f>
        <v>61929.56</v>
      </c>
      <c r="R47" s="2">
        <f>IF(MONTH(Table15[[#This Row],[Date]])=2,28,DAY(DATE(YEAR(Table15[[#This Row],[Date]]),MONTH(Table15[[#This Row],[Date]])+1,1)-1))</f>
        <v>31</v>
      </c>
      <c r="S47" s="2">
        <f ca="1">SUM(OFFSET(Table15[[#Headers],[Days in month]],1,0):Table15[[#This Row],[Days in month]])</f>
        <v>945</v>
      </c>
      <c r="T47" s="37">
        <f>InterestRate*AmortizationMultiplier*IF(ISNUMBER(SEARCH("Actual",$C$7)),Table15[[#This Row],[Days in month]]/365,1/12)</f>
        <v>5.8133611111111103E-3</v>
      </c>
    </row>
    <row r="48" spans="2:20" x14ac:dyDescent="0.2">
      <c r="B48" s="1">
        <v>46812</v>
      </c>
      <c r="C48" s="2">
        <f t="shared" si="1"/>
        <v>32</v>
      </c>
      <c r="D48" s="3">
        <f t="shared" si="0"/>
        <v>6665981.2999999989</v>
      </c>
      <c r="E48" s="3">
        <f>ROUND(Table15[[#This Row],[Beginning Balance]]*Table15[[#This Row],[Monthly Interest Rate]],2)</f>
        <v>35001.589999999997</v>
      </c>
      <c r="F48" s="3">
        <f t="shared" si="2"/>
        <v>240</v>
      </c>
      <c r="G48" s="23">
        <f>IFERROR(IF($C$13="No","N/A",IF(Table15[[#This Row],[Period]]=1,$C$6,PMT(InterestRate*AmortizationMultiplier/12,Table15[[#This Row],[Am Thru]],-Table15[[#This Row],[Beginning Balance]]))),0)</f>
        <v>51061.971833130578</v>
      </c>
      <c r="H48" s="3">
        <f>MAX(0,IF(C48=$C$4,D48,ROUND(IF($C$3="Fixed Principal",$C$6-Table15[[#This Row],[Interest]],IF($C$3="Interest Only",Table15[[#This Row],[Beginning Balance]]*ROUND(1-(1-IF($C$11="No",$E$8,1))^(1/12),6),MIN(IF($C$13="Yes",Table15[[#This Row],[Payment Amount (Reamortized)]],$C$6)-Table15[[#This Row],[Interest]],Table15[[#This Row],[Beginning Balance]]))),2)))</f>
        <v>16060.38</v>
      </c>
      <c r="I48" s="3">
        <f>_xlfn.SINGLE(IF($C$3="Line of Credit",0,ROUND(MAX(MIN(IF($C$10="No",$E$7,VLOOKUP(Table15[[#This Row],[Period]],Forecast!$H$2:$L$1048576,4,FALSE))*Table15[[#This Row],[Beginning Balance]],Table15[[#This Row],[Beginning Balance]]-Table15[[#This Row],[Principal]]),0),2)))</f>
        <v>19018.04</v>
      </c>
      <c r="J48" s="3">
        <f>ROUND(MIN(Table15[[#This Row],[Beginning Balance]]*IF($C$8="No",$E$3,VLOOKUP(Table15[[#This Row],[Period]],Forecast!$H$2:$L$1048576,2,FALSE)),Table15[[#This Row],[Beginning Balance]]-Table15[[#This Row],[Principal]]-Table15[[#This Row],[Prepayments]]),2)</f>
        <v>4392.88</v>
      </c>
      <c r="K48" s="3">
        <f>ROUND(Table15[[#This Row],[Defaulted Principal]]*IF($C$9="No",$E$4,VLOOKUP(Table15[[#This Row],[Period]],Forecast!$H$2:$L$1048576,3,FALSE)),2)</f>
        <v>377.26</v>
      </c>
      <c r="L48" s="2">
        <f>Table15[[#This Row],[Period]]+$E$9</f>
        <v>44</v>
      </c>
      <c r="M48" s="3">
        <f>Table15[[#This Row],[Defaulted Principal]]-Table15[[#This Row],[Estimated Loss]]</f>
        <v>4015.62</v>
      </c>
      <c r="N48" s="3">
        <f>IFERROR(VLOOKUP(Table15[[#This Row],[Period]],$L$16:$M$385,2,FALSE),0)</f>
        <v>3677.89</v>
      </c>
      <c r="O48" s="3">
        <f>Table15[[#This Row],[Beginning Balance]]-Table15[[#This Row],[Principal]]-Table15[[#This Row],[Prepayments]]-Table15[[#This Row],[Defaulted Principal]]</f>
        <v>6626509.9999999991</v>
      </c>
      <c r="P48" s="3">
        <f>Table15[[#This Row],[Principal]]+Table15[[#This Row],[Interest]]+Table15[[#This Row],[Prepayments]]+Table15[[#This Row],[RecoveredAmount]]</f>
        <v>73757.899999999994</v>
      </c>
      <c r="Q48" s="3">
        <f ca="1">ROUND(Table15[[#This Row],[Cash Flow]]/((1+ActualRateToUse)^(IF(ISNUMBER(SEARCH("Actual",$C$7)),Table15[[#This Row],[Running Total]]/365,Table15[[#This Row],[Period]]/12))),2)</f>
        <v>61356.42</v>
      </c>
      <c r="R48" s="2">
        <f>IF(MONTH(Table15[[#This Row],[Date]])=2,28,DAY(DATE(YEAR(Table15[[#This Row],[Date]]),MONTH(Table15[[#This Row],[Date]])+1,1)-1))</f>
        <v>28</v>
      </c>
      <c r="S48" s="2">
        <f ca="1">SUM(OFFSET(Table15[[#Headers],[Days in month]],1,0):Table15[[#This Row],[Days in month]])</f>
        <v>973</v>
      </c>
      <c r="T48" s="37">
        <f>InterestRate*AmortizationMultiplier*IF(ISNUMBER(SEARCH("Actual",$C$7)),Table15[[#This Row],[Days in month]]/365,1/12)</f>
        <v>5.2507777777777778E-3</v>
      </c>
    </row>
    <row r="49" spans="2:20" x14ac:dyDescent="0.2">
      <c r="B49" s="1">
        <v>46843</v>
      </c>
      <c r="C49" s="2">
        <f t="shared" si="1"/>
        <v>33</v>
      </c>
      <c r="D49" s="3">
        <f t="shared" si="0"/>
        <v>6626509.9999999991</v>
      </c>
      <c r="E49" s="3">
        <f>ROUND(Table15[[#This Row],[Beginning Balance]]*Table15[[#This Row],[Monthly Interest Rate]],2)</f>
        <v>38522.300000000003</v>
      </c>
      <c r="F49" s="3">
        <f t="shared" si="2"/>
        <v>239</v>
      </c>
      <c r="G49" s="23">
        <f>IFERROR(IF($C$13="No","N/A",IF(Table15[[#This Row],[Period]]=1,$C$6,PMT(InterestRate*AmortizationMultiplier/12,Table15[[#This Row],[Am Thru]],-Table15[[#This Row],[Beginning Balance]]))),0)</f>
        <v>50859.104562397486</v>
      </c>
      <c r="H49" s="3">
        <f>MAX(0,IF(C49=$C$4,D49,ROUND(IF($C$3="Fixed Principal",$C$6-Table15[[#This Row],[Interest]],IF($C$3="Interest Only",Table15[[#This Row],[Beginning Balance]]*ROUND(1-(1-IF($C$11="No",$E$8,1))^(1/12),6),MIN(IF($C$13="Yes",Table15[[#This Row],[Payment Amount (Reamortized)]],$C$6)-Table15[[#This Row],[Interest]],Table15[[#This Row],[Beginning Balance]]))),2)))</f>
        <v>12336.8</v>
      </c>
      <c r="I49" s="3">
        <f>_xlfn.SINGLE(IF($C$3="Line of Credit",0,ROUND(MAX(MIN(IF($C$10="No",$E$7,VLOOKUP(Table15[[#This Row],[Period]],Forecast!$H$2:$L$1048576,4,FALSE))*Table15[[#This Row],[Beginning Balance]],Table15[[#This Row],[Beginning Balance]]-Table15[[#This Row],[Principal]]),0),2)))</f>
        <v>18905.43</v>
      </c>
      <c r="J49" s="3">
        <f>ROUND(MIN(Table15[[#This Row],[Beginning Balance]]*IF($C$8="No",$E$3,VLOOKUP(Table15[[#This Row],[Period]],Forecast!$H$2:$L$1048576,2,FALSE)),Table15[[#This Row],[Beginning Balance]]-Table15[[#This Row],[Principal]]-Table15[[#This Row],[Prepayments]]),2)</f>
        <v>4366.87</v>
      </c>
      <c r="K49" s="3">
        <f>ROUND(Table15[[#This Row],[Defaulted Principal]]*IF($C$9="No",$E$4,VLOOKUP(Table15[[#This Row],[Period]],Forecast!$H$2:$L$1048576,3,FALSE)),2)</f>
        <v>375.03</v>
      </c>
      <c r="L49" s="2">
        <f>Table15[[#This Row],[Period]]+$E$9</f>
        <v>45</v>
      </c>
      <c r="M49" s="3">
        <f>Table15[[#This Row],[Defaulted Principal]]-Table15[[#This Row],[Estimated Loss]]</f>
        <v>3991.84</v>
      </c>
      <c r="N49" s="3">
        <f>IFERROR(VLOOKUP(Table15[[#This Row],[Period]],$L$16:$M$385,2,FALSE),0)</f>
        <v>3657.09</v>
      </c>
      <c r="O49" s="3">
        <f>Table15[[#This Row],[Beginning Balance]]-Table15[[#This Row],[Principal]]-Table15[[#This Row],[Prepayments]]-Table15[[#This Row],[Defaulted Principal]]</f>
        <v>6590900.8999999994</v>
      </c>
      <c r="P49" s="3">
        <f>Table15[[#This Row],[Principal]]+Table15[[#This Row],[Interest]]+Table15[[#This Row],[Prepayments]]+Table15[[#This Row],[RecoveredAmount]]</f>
        <v>73421.62</v>
      </c>
      <c r="Q49" s="3">
        <f ca="1">ROUND(Table15[[#This Row],[Cash Flow]]/((1+ActualRateToUse)^(IF(ISNUMBER(SEARCH("Actual",$C$7)),Table15[[#This Row],[Running Total]]/365,Table15[[#This Row],[Period]]/12))),2)</f>
        <v>60719.51</v>
      </c>
      <c r="R49" s="2">
        <f>IF(MONTH(Table15[[#This Row],[Date]])=2,28,DAY(DATE(YEAR(Table15[[#This Row],[Date]]),MONTH(Table15[[#This Row],[Date]])+1,1)-1))</f>
        <v>31</v>
      </c>
      <c r="S49" s="2">
        <f ca="1">SUM(OFFSET(Table15[[#Headers],[Days in month]],1,0):Table15[[#This Row],[Days in month]])</f>
        <v>1004</v>
      </c>
      <c r="T49" s="37">
        <f>InterestRate*AmortizationMultiplier*IF(ISNUMBER(SEARCH("Actual",$C$7)),Table15[[#This Row],[Days in month]]/365,1/12)</f>
        <v>5.8133611111111103E-3</v>
      </c>
    </row>
    <row r="50" spans="2:20" x14ac:dyDescent="0.2">
      <c r="B50" s="1">
        <v>46873</v>
      </c>
      <c r="C50" s="2">
        <f t="shared" si="1"/>
        <v>34</v>
      </c>
      <c r="D50" s="3">
        <f t="shared" si="0"/>
        <v>6590900.8999999994</v>
      </c>
      <c r="E50" s="3">
        <f>ROUND(Table15[[#This Row],[Beginning Balance]]*Table15[[#This Row],[Monthly Interest Rate]],2)</f>
        <v>37079.31</v>
      </c>
      <c r="F50" s="3">
        <f t="shared" si="2"/>
        <v>238</v>
      </c>
      <c r="G50" s="23">
        <f>IFERROR(IF($C$13="No","N/A",IF(Table15[[#This Row],[Period]]=1,$C$6,PMT(InterestRate*AmortizationMultiplier/12,Table15[[#This Row],[Am Thru]],-Table15[[#This Row],[Beginning Balance]]))),0)</f>
        <v>50685.709234900103</v>
      </c>
      <c r="H50" s="3">
        <f>MAX(0,IF(C50=$C$4,D50,ROUND(IF($C$3="Fixed Principal",$C$6-Table15[[#This Row],[Interest]],IF($C$3="Interest Only",Table15[[#This Row],[Beginning Balance]]*ROUND(1-(1-IF($C$11="No",$E$8,1))^(1/12),6),MIN(IF($C$13="Yes",Table15[[#This Row],[Payment Amount (Reamortized)]],$C$6)-Table15[[#This Row],[Interest]],Table15[[#This Row],[Beginning Balance]]))),2)))</f>
        <v>13606.4</v>
      </c>
      <c r="I50" s="3">
        <f>_xlfn.SINGLE(IF($C$3="Line of Credit",0,ROUND(MAX(MIN(IF($C$10="No",$E$7,VLOOKUP(Table15[[#This Row],[Period]],Forecast!$H$2:$L$1048576,4,FALSE))*Table15[[#This Row],[Beginning Balance]],Table15[[#This Row],[Beginning Balance]]-Table15[[#This Row],[Principal]]),0),2)))</f>
        <v>18803.84</v>
      </c>
      <c r="J50" s="3">
        <f>ROUND(MIN(Table15[[#This Row],[Beginning Balance]]*IF($C$8="No",$E$3,VLOOKUP(Table15[[#This Row],[Period]],Forecast!$H$2:$L$1048576,2,FALSE)),Table15[[#This Row],[Beginning Balance]]-Table15[[#This Row],[Principal]]-Table15[[#This Row],[Prepayments]]),2)</f>
        <v>4501.59</v>
      </c>
      <c r="K50" s="3">
        <f>ROUND(Table15[[#This Row],[Defaulted Principal]]*IF($C$9="No",$E$4,VLOOKUP(Table15[[#This Row],[Period]],Forecast!$H$2:$L$1048576,3,FALSE)),2)</f>
        <v>390.26</v>
      </c>
      <c r="L50" s="2">
        <f>Table15[[#This Row],[Period]]+$E$9</f>
        <v>46</v>
      </c>
      <c r="M50" s="3">
        <f>Table15[[#This Row],[Defaulted Principal]]-Table15[[#This Row],[Estimated Loss]]</f>
        <v>4111.33</v>
      </c>
      <c r="N50" s="3">
        <f>IFERROR(VLOOKUP(Table15[[#This Row],[Period]],$L$16:$M$385,2,FALSE),0)</f>
        <v>3789.5299999999997</v>
      </c>
      <c r="O50" s="3">
        <f>Table15[[#This Row],[Beginning Balance]]-Table15[[#This Row],[Principal]]-Table15[[#This Row],[Prepayments]]-Table15[[#This Row],[Defaulted Principal]]</f>
        <v>6553989.0699999994</v>
      </c>
      <c r="P50" s="3">
        <f>Table15[[#This Row],[Principal]]+Table15[[#This Row],[Interest]]+Table15[[#This Row],[Prepayments]]+Table15[[#This Row],[RecoveredAmount]]</f>
        <v>73279.08</v>
      </c>
      <c r="Q50" s="3">
        <f ca="1">ROUND(Table15[[#This Row],[Cash Flow]]/((1+ActualRateToUse)^(IF(ISNUMBER(SEARCH("Actual",$C$7)),Table15[[#This Row],[Running Total]]/365,Table15[[#This Row],[Period]]/12))),2)</f>
        <v>60258.64</v>
      </c>
      <c r="R50" s="2">
        <f>IF(MONTH(Table15[[#This Row],[Date]])=2,28,DAY(DATE(YEAR(Table15[[#This Row],[Date]]),MONTH(Table15[[#This Row],[Date]])+1,1)-1))</f>
        <v>30</v>
      </c>
      <c r="S50" s="2">
        <f ca="1">SUM(OFFSET(Table15[[#Headers],[Days in month]],1,0):Table15[[#This Row],[Days in month]])</f>
        <v>1034</v>
      </c>
      <c r="T50" s="37">
        <f>InterestRate*AmortizationMultiplier*IF(ISNUMBER(SEARCH("Actual",$C$7)),Table15[[#This Row],[Days in month]]/365,1/12)</f>
        <v>5.6258333333333325E-3</v>
      </c>
    </row>
    <row r="51" spans="2:20" x14ac:dyDescent="0.2">
      <c r="B51" s="1">
        <v>46904</v>
      </c>
      <c r="C51" s="2">
        <f t="shared" si="1"/>
        <v>35</v>
      </c>
      <c r="D51" s="3">
        <f t="shared" si="0"/>
        <v>6553989.0699999994</v>
      </c>
      <c r="E51" s="3">
        <f>ROUND(Table15[[#This Row],[Beginning Balance]]*Table15[[#This Row],[Monthly Interest Rate]],2)</f>
        <v>38100.71</v>
      </c>
      <c r="F51" s="3">
        <f t="shared" si="2"/>
        <v>237</v>
      </c>
      <c r="G51" s="23">
        <f>IFERROR(IF($C$13="No","N/A",IF(Table15[[#This Row],[Period]]=1,$C$6,PMT(InterestRate*AmortizationMultiplier/12,Table15[[#This Row],[Am Thru]],-Table15[[#This Row],[Beginning Balance]]))),0)</f>
        <v>50502.159537624422</v>
      </c>
      <c r="H51" s="3">
        <f>MAX(0,IF(C51=$C$4,D51,ROUND(IF($C$3="Fixed Principal",$C$6-Table15[[#This Row],[Interest]],IF($C$3="Interest Only",Table15[[#This Row],[Beginning Balance]]*ROUND(1-(1-IF($C$11="No",$E$8,1))^(1/12),6),MIN(IF($C$13="Yes",Table15[[#This Row],[Payment Amount (Reamortized)]],$C$6)-Table15[[#This Row],[Interest]],Table15[[#This Row],[Beginning Balance]]))),2)))</f>
        <v>12401.45</v>
      </c>
      <c r="I51" s="3">
        <f>_xlfn.SINGLE(IF($C$3="Line of Credit",0,ROUND(MAX(MIN(IF($C$10="No",$E$7,VLOOKUP(Table15[[#This Row],[Period]],Forecast!$H$2:$L$1048576,4,FALSE))*Table15[[#This Row],[Beginning Balance]],Table15[[#This Row],[Beginning Balance]]-Table15[[#This Row],[Principal]]),0),2)))</f>
        <v>18698.53</v>
      </c>
      <c r="J51" s="3">
        <f>ROUND(MIN(Table15[[#This Row],[Beginning Balance]]*IF($C$8="No",$E$3,VLOOKUP(Table15[[#This Row],[Period]],Forecast!$H$2:$L$1048576,2,FALSE)),Table15[[#This Row],[Beginning Balance]]-Table15[[#This Row],[Principal]]-Table15[[#This Row],[Prepayments]]),2)</f>
        <v>4476.37</v>
      </c>
      <c r="K51" s="3">
        <f>ROUND(Table15[[#This Row],[Defaulted Principal]]*IF($C$9="No",$E$4,VLOOKUP(Table15[[#This Row],[Period]],Forecast!$H$2:$L$1048576,3,FALSE)),2)</f>
        <v>388.07</v>
      </c>
      <c r="L51" s="2">
        <f>Table15[[#This Row],[Period]]+$E$9</f>
        <v>47</v>
      </c>
      <c r="M51" s="3">
        <f>Table15[[#This Row],[Defaulted Principal]]-Table15[[#This Row],[Estimated Loss]]</f>
        <v>4088.2999999999997</v>
      </c>
      <c r="N51" s="3">
        <f>IFERROR(VLOOKUP(Table15[[#This Row],[Period]],$L$16:$M$385,2,FALSE),0)</f>
        <v>3769.33</v>
      </c>
      <c r="O51" s="3">
        <f>Table15[[#This Row],[Beginning Balance]]-Table15[[#This Row],[Principal]]-Table15[[#This Row],[Prepayments]]-Table15[[#This Row],[Defaulted Principal]]</f>
        <v>6518412.7199999988</v>
      </c>
      <c r="P51" s="3">
        <f>Table15[[#This Row],[Principal]]+Table15[[#This Row],[Interest]]+Table15[[#This Row],[Prepayments]]+Table15[[#This Row],[RecoveredAmount]]</f>
        <v>72970.02</v>
      </c>
      <c r="Q51" s="3">
        <f ca="1">ROUND(Table15[[#This Row],[Cash Flow]]/((1+ActualRateToUse)^(IF(ISNUMBER(SEARCH("Actual",$C$7)),Table15[[#This Row],[Running Total]]/365,Table15[[#This Row],[Period]]/12))),2)</f>
        <v>59653.59</v>
      </c>
      <c r="R51" s="2">
        <f>IF(MONTH(Table15[[#This Row],[Date]])=2,28,DAY(DATE(YEAR(Table15[[#This Row],[Date]]),MONTH(Table15[[#This Row],[Date]])+1,1)-1))</f>
        <v>31</v>
      </c>
      <c r="S51" s="2">
        <f ca="1">SUM(OFFSET(Table15[[#Headers],[Days in month]],1,0):Table15[[#This Row],[Days in month]])</f>
        <v>1065</v>
      </c>
      <c r="T51" s="37">
        <f>InterestRate*AmortizationMultiplier*IF(ISNUMBER(SEARCH("Actual",$C$7)),Table15[[#This Row],[Days in month]]/365,1/12)</f>
        <v>5.8133611111111103E-3</v>
      </c>
    </row>
    <row r="52" spans="2:20" x14ac:dyDescent="0.2">
      <c r="B52" s="1">
        <v>46934</v>
      </c>
      <c r="C52" s="2">
        <f t="shared" si="1"/>
        <v>36</v>
      </c>
      <c r="D52" s="3">
        <f t="shared" si="0"/>
        <v>6518412.7199999988</v>
      </c>
      <c r="E52" s="3">
        <f>ROUND(Table15[[#This Row],[Beginning Balance]]*Table15[[#This Row],[Monthly Interest Rate]],2)</f>
        <v>36671.5</v>
      </c>
      <c r="F52" s="3">
        <f t="shared" si="2"/>
        <v>236</v>
      </c>
      <c r="G52" s="23">
        <f>IFERROR(IF($C$13="No","N/A",IF(Table15[[#This Row],[Period]]=1,$C$6,PMT(InterestRate*AmortizationMultiplier/12,Table15[[#This Row],[Am Thru]],-Table15[[#This Row],[Beginning Balance]]))),0)</f>
        <v>50328.761396223381</v>
      </c>
      <c r="H52" s="3">
        <f>MAX(0,IF(C52=$C$4,D52,ROUND(IF($C$3="Fixed Principal",$C$6-Table15[[#This Row],[Interest]],IF($C$3="Interest Only",Table15[[#This Row],[Beginning Balance]]*ROUND(1-(1-IF($C$11="No",$E$8,1))^(1/12),6),MIN(IF($C$13="Yes",Table15[[#This Row],[Payment Amount (Reamortized)]],$C$6)-Table15[[#This Row],[Interest]],Table15[[#This Row],[Beginning Balance]]))),2)))</f>
        <v>13657.26</v>
      </c>
      <c r="I52" s="3">
        <f>_xlfn.SINGLE(IF($C$3="Line of Credit",0,ROUND(MAX(MIN(IF($C$10="No",$E$7,VLOOKUP(Table15[[#This Row],[Period]],Forecast!$H$2:$L$1048576,4,FALSE))*Table15[[#This Row],[Beginning Balance]],Table15[[#This Row],[Beginning Balance]]-Table15[[#This Row],[Principal]]),0),2)))</f>
        <v>18597.03</v>
      </c>
      <c r="J52" s="3">
        <f>ROUND(MIN(Table15[[#This Row],[Beginning Balance]]*IF($C$8="No",$E$3,VLOOKUP(Table15[[#This Row],[Period]],Forecast!$H$2:$L$1048576,2,FALSE)),Table15[[#This Row],[Beginning Balance]]-Table15[[#This Row],[Principal]]-Table15[[#This Row],[Prepayments]]),2)</f>
        <v>4452.08</v>
      </c>
      <c r="K52" s="3">
        <f>ROUND(Table15[[#This Row],[Defaulted Principal]]*IF($C$9="No",$E$4,VLOOKUP(Table15[[#This Row],[Period]],Forecast!$H$2:$L$1048576,3,FALSE)),2)</f>
        <v>385.97</v>
      </c>
      <c r="L52" s="2">
        <f>Table15[[#This Row],[Period]]+$E$9</f>
        <v>48</v>
      </c>
      <c r="M52" s="3">
        <f>Table15[[#This Row],[Defaulted Principal]]-Table15[[#This Row],[Estimated Loss]]</f>
        <v>4066.1099999999997</v>
      </c>
      <c r="N52" s="3">
        <f>IFERROR(VLOOKUP(Table15[[#This Row],[Period]],$L$16:$M$385,2,FALSE),0)</f>
        <v>3749.87</v>
      </c>
      <c r="O52" s="3">
        <f>Table15[[#This Row],[Beginning Balance]]-Table15[[#This Row],[Principal]]-Table15[[#This Row],[Prepayments]]-Table15[[#This Row],[Defaulted Principal]]</f>
        <v>6481706.3499999987</v>
      </c>
      <c r="P52" s="3">
        <f>Table15[[#This Row],[Principal]]+Table15[[#This Row],[Interest]]+Table15[[#This Row],[Prepayments]]+Table15[[#This Row],[RecoveredAmount]]</f>
        <v>72675.66</v>
      </c>
      <c r="Q52" s="3">
        <f ca="1">ROUND(Table15[[#This Row],[Cash Flow]]/((1+ActualRateToUse)^(IF(ISNUMBER(SEARCH("Actual",$C$7)),Table15[[#This Row],[Running Total]]/365,Table15[[#This Row],[Period]]/12))),2)</f>
        <v>59076.68</v>
      </c>
      <c r="R52" s="2">
        <f>IF(MONTH(Table15[[#This Row],[Date]])=2,28,DAY(DATE(YEAR(Table15[[#This Row],[Date]]),MONTH(Table15[[#This Row],[Date]])+1,1)-1))</f>
        <v>30</v>
      </c>
      <c r="S52" s="2">
        <f ca="1">SUM(OFFSET(Table15[[#Headers],[Days in month]],1,0):Table15[[#This Row],[Days in month]])</f>
        <v>1095</v>
      </c>
      <c r="T52" s="37">
        <f>InterestRate*AmortizationMultiplier*IF(ISNUMBER(SEARCH("Actual",$C$7)),Table15[[#This Row],[Days in month]]/365,1/12)</f>
        <v>5.6258333333333325E-3</v>
      </c>
    </row>
    <row r="53" spans="2:20" x14ac:dyDescent="0.2">
      <c r="B53" s="1">
        <v>46965</v>
      </c>
      <c r="C53" s="2">
        <f t="shared" si="1"/>
        <v>37</v>
      </c>
      <c r="D53" s="3">
        <f t="shared" si="0"/>
        <v>6481706.3499999987</v>
      </c>
      <c r="E53" s="3">
        <f>ROUND(Table15[[#This Row],[Beginning Balance]]*Table15[[#This Row],[Monthly Interest Rate]],2)</f>
        <v>37680.5</v>
      </c>
      <c r="F53" s="3">
        <f t="shared" si="2"/>
        <v>235</v>
      </c>
      <c r="G53" s="23">
        <f>IFERROR(IF($C$13="No","N/A",IF(Table15[[#This Row],[Period]]=1,$C$6,PMT(InterestRate*AmortizationMultiplier/12,Table15[[#This Row],[Am Thru]],-Table15[[#This Row],[Beginning Balance]]))),0)</f>
        <v>50146.49870994794</v>
      </c>
      <c r="H53" s="3">
        <f>MAX(0,IF(C53=$C$4,D53,ROUND(IF($C$3="Fixed Principal",$C$6-Table15[[#This Row],[Interest]],IF($C$3="Interest Only",Table15[[#This Row],[Beginning Balance]]*ROUND(1-(1-IF($C$11="No",$E$8,1))^(1/12),6),MIN(IF($C$13="Yes",Table15[[#This Row],[Payment Amount (Reamortized)]],$C$6)-Table15[[#This Row],[Interest]],Table15[[#This Row],[Beginning Balance]]))),2)))</f>
        <v>12466</v>
      </c>
      <c r="I53" s="3">
        <f>_xlfn.SINGLE(IF($C$3="Line of Credit",0,ROUND(MAX(MIN(IF($C$10="No",$E$7,VLOOKUP(Table15[[#This Row],[Period]],Forecast!$H$2:$L$1048576,4,FALSE))*Table15[[#This Row],[Beginning Balance]],Table15[[#This Row],[Beginning Balance]]-Table15[[#This Row],[Principal]]),0),2)))</f>
        <v>18492.310000000001</v>
      </c>
      <c r="J53" s="3">
        <f>ROUND(MIN(Table15[[#This Row],[Beginning Balance]]*IF($C$8="No",$E$3,VLOOKUP(Table15[[#This Row],[Period]],Forecast!$H$2:$L$1048576,2,FALSE)),Table15[[#This Row],[Beginning Balance]]-Table15[[#This Row],[Principal]]-Table15[[#This Row],[Prepayments]]),2)</f>
        <v>4427.01</v>
      </c>
      <c r="K53" s="3">
        <f>ROUND(Table15[[#This Row],[Defaulted Principal]]*IF($C$9="No",$E$4,VLOOKUP(Table15[[#This Row],[Period]],Forecast!$H$2:$L$1048576,3,FALSE)),2)</f>
        <v>383.8</v>
      </c>
      <c r="L53" s="2">
        <f>Table15[[#This Row],[Period]]+$E$9</f>
        <v>49</v>
      </c>
      <c r="M53" s="3">
        <f>Table15[[#This Row],[Defaulted Principal]]-Table15[[#This Row],[Estimated Loss]]</f>
        <v>4043.21</v>
      </c>
      <c r="N53" s="3">
        <f>IFERROR(VLOOKUP(Table15[[#This Row],[Period]],$L$16:$M$385,2,FALSE),0)</f>
        <v>3871.98</v>
      </c>
      <c r="O53" s="3">
        <f>Table15[[#This Row],[Beginning Balance]]-Table15[[#This Row],[Principal]]-Table15[[#This Row],[Prepayments]]-Table15[[#This Row],[Defaulted Principal]]</f>
        <v>6446321.0299999993</v>
      </c>
      <c r="P53" s="3">
        <f>Table15[[#This Row],[Principal]]+Table15[[#This Row],[Interest]]+Table15[[#This Row],[Prepayments]]+Table15[[#This Row],[RecoveredAmount]]</f>
        <v>72510.789999999994</v>
      </c>
      <c r="Q53" s="3">
        <f ca="1">ROUND(Table15[[#This Row],[Cash Flow]]/((1+ActualRateToUse)^(IF(ISNUMBER(SEARCH("Actual",$C$7)),Table15[[#This Row],[Running Total]]/365,Table15[[#This Row],[Period]]/12))),2)</f>
        <v>58597.97</v>
      </c>
      <c r="R53" s="2">
        <f>IF(MONTH(Table15[[#This Row],[Date]])=2,28,DAY(DATE(YEAR(Table15[[#This Row],[Date]]),MONTH(Table15[[#This Row],[Date]])+1,1)-1))</f>
        <v>31</v>
      </c>
      <c r="S53" s="2">
        <f ca="1">SUM(OFFSET(Table15[[#Headers],[Days in month]],1,0):Table15[[#This Row],[Days in month]])</f>
        <v>1126</v>
      </c>
      <c r="T53" s="37">
        <f>InterestRate*AmortizationMultiplier*IF(ISNUMBER(SEARCH("Actual",$C$7)),Table15[[#This Row],[Days in month]]/365,1/12)</f>
        <v>5.8133611111111103E-3</v>
      </c>
    </row>
    <row r="54" spans="2:20" x14ac:dyDescent="0.2">
      <c r="B54" s="1">
        <v>46996</v>
      </c>
      <c r="C54" s="2">
        <f t="shared" si="1"/>
        <v>38</v>
      </c>
      <c r="D54" s="3">
        <f t="shared" si="0"/>
        <v>6446321.0299999993</v>
      </c>
      <c r="E54" s="3">
        <f>ROUND(Table15[[#This Row],[Beginning Balance]]*Table15[[#This Row],[Monthly Interest Rate]],2)</f>
        <v>37474.79</v>
      </c>
      <c r="F54" s="3">
        <f t="shared" si="2"/>
        <v>234</v>
      </c>
      <c r="G54" s="23">
        <f>IFERROR(IF($C$13="No","N/A",IF(Table15[[#This Row],[Period]]=1,$C$6,PMT(InterestRate*AmortizationMultiplier/12,Table15[[#This Row],[Am Thru]],-Table15[[#This Row],[Beginning Balance]]))),0)</f>
        <v>49974.316233437406</v>
      </c>
      <c r="H54" s="3">
        <f>MAX(0,IF(C54=$C$4,D54,ROUND(IF($C$3="Fixed Principal",$C$6-Table15[[#This Row],[Interest]],IF($C$3="Interest Only",Table15[[#This Row],[Beginning Balance]]*ROUND(1-(1-IF($C$11="No",$E$8,1))^(1/12),6),MIN(IF($C$13="Yes",Table15[[#This Row],[Payment Amount (Reamortized)]],$C$6)-Table15[[#This Row],[Interest]],Table15[[#This Row],[Beginning Balance]]))),2)))</f>
        <v>12499.53</v>
      </c>
      <c r="I54" s="3">
        <f>_xlfn.SINGLE(IF($C$3="Line of Credit",0,ROUND(MAX(MIN(IF($C$10="No",$E$7,VLOOKUP(Table15[[#This Row],[Period]],Forecast!$H$2:$L$1048576,4,FALSE))*Table15[[#This Row],[Beginning Balance]],Table15[[#This Row],[Beginning Balance]]-Table15[[#This Row],[Principal]]),0),2)))</f>
        <v>18391.349999999999</v>
      </c>
      <c r="J54" s="3">
        <f>ROUND(MIN(Table15[[#This Row],[Beginning Balance]]*IF($C$8="No",$E$3,VLOOKUP(Table15[[#This Row],[Period]],Forecast!$H$2:$L$1048576,2,FALSE)),Table15[[#This Row],[Beginning Balance]]-Table15[[#This Row],[Principal]]-Table15[[#This Row],[Prepayments]]),2)</f>
        <v>4402.84</v>
      </c>
      <c r="K54" s="3">
        <f>ROUND(Table15[[#This Row],[Defaulted Principal]]*IF($C$9="No",$E$4,VLOOKUP(Table15[[#This Row],[Period]],Forecast!$H$2:$L$1048576,3,FALSE)),2)</f>
        <v>381.7</v>
      </c>
      <c r="L54" s="2">
        <f>Table15[[#This Row],[Period]]+$E$9</f>
        <v>50</v>
      </c>
      <c r="M54" s="3">
        <f>Table15[[#This Row],[Defaulted Principal]]-Table15[[#This Row],[Estimated Loss]]</f>
        <v>4021.1400000000003</v>
      </c>
      <c r="N54" s="3">
        <f>IFERROR(VLOOKUP(Table15[[#This Row],[Period]],$L$16:$M$385,2,FALSE),0)</f>
        <v>3851.8099999999995</v>
      </c>
      <c r="O54" s="3">
        <f>Table15[[#This Row],[Beginning Balance]]-Table15[[#This Row],[Principal]]-Table15[[#This Row],[Prepayments]]-Table15[[#This Row],[Defaulted Principal]]</f>
        <v>6411027.3099999996</v>
      </c>
      <c r="P54" s="3">
        <f>Table15[[#This Row],[Principal]]+Table15[[#This Row],[Interest]]+Table15[[#This Row],[Prepayments]]+Table15[[#This Row],[RecoveredAmount]]</f>
        <v>72217.48</v>
      </c>
      <c r="Q54" s="3">
        <f ca="1">ROUND(Table15[[#This Row],[Cash Flow]]/((1+ActualRateToUse)^(IF(ISNUMBER(SEARCH("Actual",$C$7)),Table15[[#This Row],[Running Total]]/365,Table15[[#This Row],[Period]]/12))),2)</f>
        <v>58019.65</v>
      </c>
      <c r="R54" s="2">
        <f>IF(MONTH(Table15[[#This Row],[Date]])=2,28,DAY(DATE(YEAR(Table15[[#This Row],[Date]]),MONTH(Table15[[#This Row],[Date]])+1,1)-1))</f>
        <v>31</v>
      </c>
      <c r="S54" s="2">
        <f ca="1">SUM(OFFSET(Table15[[#Headers],[Days in month]],1,0):Table15[[#This Row],[Days in month]])</f>
        <v>1157</v>
      </c>
      <c r="T54" s="37">
        <f>InterestRate*AmortizationMultiplier*IF(ISNUMBER(SEARCH("Actual",$C$7)),Table15[[#This Row],[Days in month]]/365,1/12)</f>
        <v>5.8133611111111103E-3</v>
      </c>
    </row>
    <row r="55" spans="2:20" x14ac:dyDescent="0.2">
      <c r="B55" s="1">
        <v>47026</v>
      </c>
      <c r="C55" s="2">
        <f t="shared" si="1"/>
        <v>39</v>
      </c>
      <c r="D55" s="3">
        <f t="shared" si="0"/>
        <v>6411027.3099999996</v>
      </c>
      <c r="E55" s="3">
        <f>ROUND(Table15[[#This Row],[Beginning Balance]]*Table15[[#This Row],[Monthly Interest Rate]],2)</f>
        <v>36067.370000000003</v>
      </c>
      <c r="F55" s="3">
        <f t="shared" si="2"/>
        <v>233</v>
      </c>
      <c r="G55" s="23">
        <f>IFERROR(IF($C$13="No","N/A",IF(Table15[[#This Row],[Period]]=1,$C$6,PMT(InterestRate*AmortizationMultiplier/12,Table15[[#This Row],[Am Thru]],-Table15[[#This Row],[Beginning Balance]]))),0)</f>
        <v>49802.722271829116</v>
      </c>
      <c r="H55" s="3">
        <f>MAX(0,IF(C55=$C$4,D55,ROUND(IF($C$3="Fixed Principal",$C$6-Table15[[#This Row],[Interest]],IF($C$3="Interest Only",Table15[[#This Row],[Beginning Balance]]*ROUND(1-(1-IF($C$11="No",$E$8,1))^(1/12),6),MIN(IF($C$13="Yes",Table15[[#This Row],[Payment Amount (Reamortized)]],$C$6)-Table15[[#This Row],[Interest]],Table15[[#This Row],[Beginning Balance]]))),2)))</f>
        <v>13735.35</v>
      </c>
      <c r="I55" s="3">
        <f>_xlfn.SINGLE(IF($C$3="Line of Credit",0,ROUND(MAX(MIN(IF($C$10="No",$E$7,VLOOKUP(Table15[[#This Row],[Period]],Forecast!$H$2:$L$1048576,4,FALSE))*Table15[[#This Row],[Beginning Balance]],Table15[[#This Row],[Beginning Balance]]-Table15[[#This Row],[Principal]]),0),2)))</f>
        <v>18290.66</v>
      </c>
      <c r="J55" s="3">
        <f>ROUND(MIN(Table15[[#This Row],[Beginning Balance]]*IF($C$8="No",$E$3,VLOOKUP(Table15[[#This Row],[Period]],Forecast!$H$2:$L$1048576,2,FALSE)),Table15[[#This Row],[Beginning Balance]]-Table15[[#This Row],[Principal]]-Table15[[#This Row],[Prepayments]]),2)</f>
        <v>4378.7299999999996</v>
      </c>
      <c r="K55" s="3">
        <f>ROUND(Table15[[#This Row],[Defaulted Principal]]*IF($C$9="No",$E$4,VLOOKUP(Table15[[#This Row],[Period]],Forecast!$H$2:$L$1048576,3,FALSE)),2)</f>
        <v>379.61</v>
      </c>
      <c r="L55" s="2">
        <f>Table15[[#This Row],[Period]]+$E$9</f>
        <v>51</v>
      </c>
      <c r="M55" s="3">
        <f>Table15[[#This Row],[Defaulted Principal]]-Table15[[#This Row],[Estimated Loss]]</f>
        <v>3999.1199999999994</v>
      </c>
      <c r="N55" s="3">
        <f>IFERROR(VLOOKUP(Table15[[#This Row],[Period]],$L$16:$M$385,2,FALSE),0)</f>
        <v>3831.6900000000005</v>
      </c>
      <c r="O55" s="3">
        <f>Table15[[#This Row],[Beginning Balance]]-Table15[[#This Row],[Principal]]-Table15[[#This Row],[Prepayments]]-Table15[[#This Row],[Defaulted Principal]]</f>
        <v>6374622.5699999994</v>
      </c>
      <c r="P55" s="3">
        <f>Table15[[#This Row],[Principal]]+Table15[[#This Row],[Interest]]+Table15[[#This Row],[Prepayments]]+Table15[[#This Row],[RecoveredAmount]]</f>
        <v>71925.070000000007</v>
      </c>
      <c r="Q55" s="3">
        <f ca="1">ROUND(Table15[[#This Row],[Cash Flow]]/((1+ActualRateToUse)^(IF(ISNUMBER(SEARCH("Actual",$C$7)),Table15[[#This Row],[Running Total]]/365,Table15[[#This Row],[Period]]/12))),2)</f>
        <v>57457.68</v>
      </c>
      <c r="R55" s="2">
        <f>IF(MONTH(Table15[[#This Row],[Date]])=2,28,DAY(DATE(YEAR(Table15[[#This Row],[Date]]),MONTH(Table15[[#This Row],[Date]])+1,1)-1))</f>
        <v>30</v>
      </c>
      <c r="S55" s="2">
        <f ca="1">SUM(OFFSET(Table15[[#Headers],[Days in month]],1,0):Table15[[#This Row],[Days in month]])</f>
        <v>1187</v>
      </c>
      <c r="T55" s="37">
        <f>InterestRate*AmortizationMultiplier*IF(ISNUMBER(SEARCH("Actual",$C$7)),Table15[[#This Row],[Days in month]]/365,1/12)</f>
        <v>5.6258333333333325E-3</v>
      </c>
    </row>
    <row r="56" spans="2:20" x14ac:dyDescent="0.2">
      <c r="B56" s="1">
        <v>47057</v>
      </c>
      <c r="C56" s="2">
        <f t="shared" si="1"/>
        <v>40</v>
      </c>
      <c r="D56" s="3">
        <f t="shared" si="0"/>
        <v>6374622.5699999994</v>
      </c>
      <c r="E56" s="3">
        <f>ROUND(Table15[[#This Row],[Beginning Balance]]*Table15[[#This Row],[Monthly Interest Rate]],2)</f>
        <v>37057.980000000003</v>
      </c>
      <c r="F56" s="3">
        <f t="shared" si="2"/>
        <v>232</v>
      </c>
      <c r="G56" s="23">
        <f>IFERROR(IF($C$13="No","N/A",IF(Table15[[#This Row],[Period]]=1,$C$6,PMT(InterestRate*AmortizationMultiplier/12,Table15[[#This Row],[Am Thru]],-Table15[[#This Row],[Beginning Balance]]))),0)</f>
        <v>49622.356126969637</v>
      </c>
      <c r="H56" s="3">
        <f>MAX(0,IF(C56=$C$4,D56,ROUND(IF($C$3="Fixed Principal",$C$6-Table15[[#This Row],[Interest]],IF($C$3="Interest Only",Table15[[#This Row],[Beginning Balance]]*ROUND(1-(1-IF($C$11="No",$E$8,1))^(1/12),6),MIN(IF($C$13="Yes",Table15[[#This Row],[Payment Amount (Reamortized)]],$C$6)-Table15[[#This Row],[Interest]],Table15[[#This Row],[Beginning Balance]]))),2)))</f>
        <v>12564.38</v>
      </c>
      <c r="I56" s="3">
        <f>_xlfn.SINGLE(IF($C$3="Line of Credit",0,ROUND(MAX(MIN(IF($C$10="No",$E$7,VLOOKUP(Table15[[#This Row],[Period]],Forecast!$H$2:$L$1048576,4,FALSE))*Table15[[#This Row],[Beginning Balance]],Table15[[#This Row],[Beginning Balance]]-Table15[[#This Row],[Principal]]),0),2)))</f>
        <v>18186.8</v>
      </c>
      <c r="J56" s="3">
        <f>ROUND(MIN(Table15[[#This Row],[Beginning Balance]]*IF($C$8="No",$E$3,VLOOKUP(Table15[[#This Row],[Period]],Forecast!$H$2:$L$1048576,2,FALSE)),Table15[[#This Row],[Beginning Balance]]-Table15[[#This Row],[Principal]]-Table15[[#This Row],[Prepayments]]),2)</f>
        <v>4353.87</v>
      </c>
      <c r="K56" s="3">
        <f>ROUND(Table15[[#This Row],[Defaulted Principal]]*IF($C$9="No",$E$4,VLOOKUP(Table15[[#This Row],[Period]],Forecast!$H$2:$L$1048576,3,FALSE)),2)</f>
        <v>377.45</v>
      </c>
      <c r="L56" s="2">
        <f>Table15[[#This Row],[Period]]+$E$9</f>
        <v>52</v>
      </c>
      <c r="M56" s="3">
        <f>Table15[[#This Row],[Defaulted Principal]]-Table15[[#This Row],[Estimated Loss]]</f>
        <v>3976.42</v>
      </c>
      <c r="N56" s="3">
        <f>IFERROR(VLOOKUP(Table15[[#This Row],[Period]],$L$16:$M$385,2,FALSE),0)</f>
        <v>3956.9100000000003</v>
      </c>
      <c r="O56" s="3">
        <f>Table15[[#This Row],[Beginning Balance]]-Table15[[#This Row],[Principal]]-Table15[[#This Row],[Prepayments]]-Table15[[#This Row],[Defaulted Principal]]</f>
        <v>6339517.5199999996</v>
      </c>
      <c r="P56" s="3">
        <f>Table15[[#This Row],[Principal]]+Table15[[#This Row],[Interest]]+Table15[[#This Row],[Prepayments]]+Table15[[#This Row],[RecoveredAmount]]</f>
        <v>71766.070000000007</v>
      </c>
      <c r="Q56" s="3">
        <f ca="1">ROUND(Table15[[#This Row],[Cash Flow]]/((1+ActualRateToUse)^(IF(ISNUMBER(SEARCH("Actual",$C$7)),Table15[[#This Row],[Running Total]]/365,Table15[[#This Row],[Period]]/12))),2)</f>
        <v>56995.39</v>
      </c>
      <c r="R56" s="2">
        <f>IF(MONTH(Table15[[#This Row],[Date]])=2,28,DAY(DATE(YEAR(Table15[[#This Row],[Date]]),MONTH(Table15[[#This Row],[Date]])+1,1)-1))</f>
        <v>31</v>
      </c>
      <c r="S56" s="2">
        <f ca="1">SUM(OFFSET(Table15[[#Headers],[Days in month]],1,0):Table15[[#This Row],[Days in month]])</f>
        <v>1218</v>
      </c>
      <c r="T56" s="37">
        <f>InterestRate*AmortizationMultiplier*IF(ISNUMBER(SEARCH("Actual",$C$7)),Table15[[#This Row],[Days in month]]/365,1/12)</f>
        <v>5.8133611111111103E-3</v>
      </c>
    </row>
    <row r="57" spans="2:20" x14ac:dyDescent="0.2">
      <c r="B57" s="1">
        <v>47087</v>
      </c>
      <c r="C57" s="2">
        <f t="shared" si="1"/>
        <v>41</v>
      </c>
      <c r="D57" s="3">
        <f t="shared" si="0"/>
        <v>6339517.5199999996</v>
      </c>
      <c r="E57" s="3">
        <f>ROUND(Table15[[#This Row],[Beginning Balance]]*Table15[[#This Row],[Monthly Interest Rate]],2)</f>
        <v>35665.07</v>
      </c>
      <c r="F57" s="3">
        <f t="shared" si="2"/>
        <v>231</v>
      </c>
      <c r="G57" s="23">
        <f>IFERROR(IF($C$13="No","N/A",IF(Table15[[#This Row],[Period]]=1,$C$6,PMT(InterestRate*AmortizationMultiplier/12,Table15[[#This Row],[Am Thru]],-Table15[[#This Row],[Beginning Balance]]))),0)</f>
        <v>49451.965156472303</v>
      </c>
      <c r="H57" s="3">
        <f>MAX(0,IF(C57=$C$4,D57,ROUND(IF($C$3="Fixed Principal",$C$6-Table15[[#This Row],[Interest]],IF($C$3="Interest Only",Table15[[#This Row],[Beginning Balance]]*ROUND(1-(1-IF($C$11="No",$E$8,1))^(1/12),6),MIN(IF($C$13="Yes",Table15[[#This Row],[Payment Amount (Reamortized)]],$C$6)-Table15[[#This Row],[Interest]],Table15[[#This Row],[Beginning Balance]]))),2)))</f>
        <v>13786.9</v>
      </c>
      <c r="I57" s="3">
        <f>_xlfn.SINGLE(IF($C$3="Line of Credit",0,ROUND(MAX(MIN(IF($C$10="No",$E$7,VLOOKUP(Table15[[#This Row],[Period]],Forecast!$H$2:$L$1048576,4,FALSE))*Table15[[#This Row],[Beginning Balance]],Table15[[#This Row],[Beginning Balance]]-Table15[[#This Row],[Principal]]),0),2)))</f>
        <v>18086.64</v>
      </c>
      <c r="J57" s="3">
        <f>ROUND(MIN(Table15[[#This Row],[Beginning Balance]]*IF($C$8="No",$E$3,VLOOKUP(Table15[[#This Row],[Period]],Forecast!$H$2:$L$1048576,2,FALSE)),Table15[[#This Row],[Beginning Balance]]-Table15[[#This Row],[Principal]]-Table15[[#This Row],[Prepayments]]),2)</f>
        <v>4329.8900000000003</v>
      </c>
      <c r="K57" s="3">
        <f>ROUND(Table15[[#This Row],[Defaulted Principal]]*IF($C$9="No",$E$4,VLOOKUP(Table15[[#This Row],[Period]],Forecast!$H$2:$L$1048576,3,FALSE)),2)</f>
        <v>375.38</v>
      </c>
      <c r="L57" s="2">
        <f>Table15[[#This Row],[Period]]+$E$9</f>
        <v>53</v>
      </c>
      <c r="M57" s="3">
        <f>Table15[[#This Row],[Defaulted Principal]]-Table15[[#This Row],[Estimated Loss]]</f>
        <v>3954.51</v>
      </c>
      <c r="N57" s="3">
        <f>IFERROR(VLOOKUP(Table15[[#This Row],[Period]],$L$16:$M$385,2,FALSE),0)</f>
        <v>3936.0299999999997</v>
      </c>
      <c r="O57" s="3">
        <f>Table15[[#This Row],[Beginning Balance]]-Table15[[#This Row],[Principal]]-Table15[[#This Row],[Prepayments]]-Table15[[#This Row],[Defaulted Principal]]</f>
        <v>6303314.0899999999</v>
      </c>
      <c r="P57" s="3">
        <f>Table15[[#This Row],[Principal]]+Table15[[#This Row],[Interest]]+Table15[[#This Row],[Prepayments]]+Table15[[#This Row],[RecoveredAmount]]</f>
        <v>71474.64</v>
      </c>
      <c r="Q57" s="3">
        <f ca="1">ROUND(Table15[[#This Row],[Cash Flow]]/((1+ActualRateToUse)^(IF(ISNUMBER(SEARCH("Actual",$C$7)),Table15[[#This Row],[Running Total]]/365,Table15[[#This Row],[Period]]/12))),2)</f>
        <v>56442.67</v>
      </c>
      <c r="R57" s="2">
        <f>IF(MONTH(Table15[[#This Row],[Date]])=2,28,DAY(DATE(YEAR(Table15[[#This Row],[Date]]),MONTH(Table15[[#This Row],[Date]])+1,1)-1))</f>
        <v>30</v>
      </c>
      <c r="S57" s="2">
        <f ca="1">SUM(OFFSET(Table15[[#Headers],[Days in month]],1,0):Table15[[#This Row],[Days in month]])</f>
        <v>1248</v>
      </c>
      <c r="T57" s="37">
        <f>InterestRate*AmortizationMultiplier*IF(ISNUMBER(SEARCH("Actual",$C$7)),Table15[[#This Row],[Days in month]]/365,1/12)</f>
        <v>5.6258333333333325E-3</v>
      </c>
    </row>
    <row r="58" spans="2:20" x14ac:dyDescent="0.2">
      <c r="B58" s="1">
        <v>47118</v>
      </c>
      <c r="C58" s="2">
        <f t="shared" si="1"/>
        <v>42</v>
      </c>
      <c r="D58" s="3">
        <f t="shared" si="0"/>
        <v>6303314.0899999999</v>
      </c>
      <c r="E58" s="3">
        <f>ROUND(Table15[[#This Row],[Beginning Balance]]*Table15[[#This Row],[Monthly Interest Rate]],2)</f>
        <v>36643.440000000002</v>
      </c>
      <c r="F58" s="3">
        <f t="shared" si="2"/>
        <v>230</v>
      </c>
      <c r="G58" s="23">
        <f>IFERROR(IF($C$13="No","N/A",IF(Table15[[#This Row],[Period]]=1,$C$6,PMT(InterestRate*AmortizationMultiplier/12,Table15[[#This Row],[Am Thru]],-Table15[[#This Row],[Beginning Balance]]))),0)</f>
        <v>49272.863493711782</v>
      </c>
      <c r="H58" s="3">
        <f>MAX(0,IF(C58=$C$4,D58,ROUND(IF($C$3="Fixed Principal",$C$6-Table15[[#This Row],[Interest]],IF($C$3="Interest Only",Table15[[#This Row],[Beginning Balance]]*ROUND(1-(1-IF($C$11="No",$E$8,1))^(1/12),6),MIN(IF($C$13="Yes",Table15[[#This Row],[Payment Amount (Reamortized)]],$C$6)-Table15[[#This Row],[Interest]],Table15[[#This Row],[Beginning Balance]]))),2)))</f>
        <v>12629.42</v>
      </c>
      <c r="I58" s="3">
        <f>_xlfn.SINGLE(IF($C$3="Line of Credit",0,ROUND(MAX(MIN(IF($C$10="No",$E$7,VLOOKUP(Table15[[#This Row],[Period]],Forecast!$H$2:$L$1048576,4,FALSE))*Table15[[#This Row],[Beginning Balance]],Table15[[#This Row],[Beginning Balance]]-Table15[[#This Row],[Principal]]),0),2)))</f>
        <v>17983.36</v>
      </c>
      <c r="J58" s="3">
        <f>ROUND(MIN(Table15[[#This Row],[Beginning Balance]]*IF($C$8="No",$E$3,VLOOKUP(Table15[[#This Row],[Period]],Forecast!$H$2:$L$1048576,2,FALSE)),Table15[[#This Row],[Beginning Balance]]-Table15[[#This Row],[Principal]]-Table15[[#This Row],[Prepayments]]),2)</f>
        <v>4305.16</v>
      </c>
      <c r="K58" s="3">
        <f>ROUND(Table15[[#This Row],[Defaulted Principal]]*IF($C$9="No",$E$4,VLOOKUP(Table15[[#This Row],[Period]],Forecast!$H$2:$L$1048576,3,FALSE)),2)</f>
        <v>373.23</v>
      </c>
      <c r="L58" s="2">
        <f>Table15[[#This Row],[Period]]+$E$9</f>
        <v>54</v>
      </c>
      <c r="M58" s="3">
        <f>Table15[[#This Row],[Defaulted Principal]]-Table15[[#This Row],[Estimated Loss]]</f>
        <v>3931.93</v>
      </c>
      <c r="N58" s="3">
        <f>IFERROR(VLOOKUP(Table15[[#This Row],[Period]],$L$16:$M$385,2,FALSE),0)</f>
        <v>3914.4700000000003</v>
      </c>
      <c r="O58" s="3">
        <f>Table15[[#This Row],[Beginning Balance]]-Table15[[#This Row],[Principal]]-Table15[[#This Row],[Prepayments]]-Table15[[#This Row],[Defaulted Principal]]</f>
        <v>6268396.1499999994</v>
      </c>
      <c r="P58" s="3">
        <f>Table15[[#This Row],[Principal]]+Table15[[#This Row],[Interest]]+Table15[[#This Row],[Prepayments]]+Table15[[#This Row],[RecoveredAmount]]</f>
        <v>71170.69</v>
      </c>
      <c r="Q58" s="3">
        <f ca="1">ROUND(Table15[[#This Row],[Cash Flow]]/((1+ActualRateToUse)^(IF(ISNUMBER(SEARCH("Actual",$C$7)),Table15[[#This Row],[Running Total]]/365,Table15[[#This Row],[Period]]/12))),2)</f>
        <v>55873.97</v>
      </c>
      <c r="R58" s="2">
        <f>IF(MONTH(Table15[[#This Row],[Date]])=2,28,DAY(DATE(YEAR(Table15[[#This Row],[Date]]),MONTH(Table15[[#This Row],[Date]])+1,1)-1))</f>
        <v>31</v>
      </c>
      <c r="S58" s="2">
        <f ca="1">SUM(OFFSET(Table15[[#Headers],[Days in month]],1,0):Table15[[#This Row],[Days in month]])</f>
        <v>1279</v>
      </c>
      <c r="T58" s="37">
        <f>InterestRate*AmortizationMultiplier*IF(ISNUMBER(SEARCH("Actual",$C$7)),Table15[[#This Row],[Days in month]]/365,1/12)</f>
        <v>5.8133611111111103E-3</v>
      </c>
    </row>
    <row r="59" spans="2:20" x14ac:dyDescent="0.2">
      <c r="B59" s="1">
        <v>47149</v>
      </c>
      <c r="C59" s="2">
        <f t="shared" si="1"/>
        <v>43</v>
      </c>
      <c r="D59" s="3">
        <f t="shared" si="0"/>
        <v>6268396.1499999994</v>
      </c>
      <c r="E59" s="3">
        <f>ROUND(Table15[[#This Row],[Beginning Balance]]*Table15[[#This Row],[Monthly Interest Rate]],2)</f>
        <v>36440.449999999997</v>
      </c>
      <c r="F59" s="3">
        <f t="shared" si="2"/>
        <v>229</v>
      </c>
      <c r="G59" s="23">
        <f>IFERROR(IF($C$13="No","N/A",IF(Table15[[#This Row],[Period]]=1,$C$6,PMT(InterestRate*AmortizationMultiplier/12,Table15[[#This Row],[Am Thru]],-Table15[[#This Row],[Beginning Balance]]))),0)</f>
        <v>49103.667161844758</v>
      </c>
      <c r="H59" s="3">
        <f>MAX(0,IF(C59=$C$4,D59,ROUND(IF($C$3="Fixed Principal",$C$6-Table15[[#This Row],[Interest]],IF($C$3="Interest Only",Table15[[#This Row],[Beginning Balance]]*ROUND(1-(1-IF($C$11="No",$E$8,1))^(1/12),6),MIN(IF($C$13="Yes",Table15[[#This Row],[Payment Amount (Reamortized)]],$C$6)-Table15[[#This Row],[Interest]],Table15[[#This Row],[Beginning Balance]]))),2)))</f>
        <v>12663.22</v>
      </c>
      <c r="I59" s="3">
        <f>_xlfn.SINGLE(IF($C$3="Line of Credit",0,ROUND(MAX(MIN(IF($C$10="No",$E$7,VLOOKUP(Table15[[#This Row],[Period]],Forecast!$H$2:$L$1048576,4,FALSE))*Table15[[#This Row],[Beginning Balance]],Table15[[#This Row],[Beginning Balance]]-Table15[[#This Row],[Principal]]),0),2)))</f>
        <v>17883.73</v>
      </c>
      <c r="J59" s="3">
        <f>ROUND(MIN(Table15[[#This Row],[Beginning Balance]]*IF($C$8="No",$E$3,VLOOKUP(Table15[[#This Row],[Period]],Forecast!$H$2:$L$1048576,2,FALSE)),Table15[[#This Row],[Beginning Balance]]-Table15[[#This Row],[Principal]]-Table15[[#This Row],[Prepayments]]),2)</f>
        <v>4281.3100000000004</v>
      </c>
      <c r="K59" s="3">
        <f>ROUND(Table15[[#This Row],[Defaulted Principal]]*IF($C$9="No",$E$4,VLOOKUP(Table15[[#This Row],[Period]],Forecast!$H$2:$L$1048576,3,FALSE)),2)</f>
        <v>371.16</v>
      </c>
      <c r="L59" s="2">
        <f>Table15[[#This Row],[Period]]+$E$9</f>
        <v>55</v>
      </c>
      <c r="M59" s="3">
        <f>Table15[[#This Row],[Defaulted Principal]]-Table15[[#This Row],[Estimated Loss]]</f>
        <v>3910.1500000000005</v>
      </c>
      <c r="N59" s="3">
        <f>IFERROR(VLOOKUP(Table15[[#This Row],[Period]],$L$16:$M$385,2,FALSE),0)</f>
        <v>4037.1899999999996</v>
      </c>
      <c r="O59" s="3">
        <f>Table15[[#This Row],[Beginning Balance]]-Table15[[#This Row],[Principal]]-Table15[[#This Row],[Prepayments]]-Table15[[#This Row],[Defaulted Principal]]</f>
        <v>6233567.8899999997</v>
      </c>
      <c r="P59" s="3">
        <f>Table15[[#This Row],[Principal]]+Table15[[#This Row],[Interest]]+Table15[[#This Row],[Prepayments]]+Table15[[#This Row],[RecoveredAmount]]</f>
        <v>71024.59</v>
      </c>
      <c r="Q59" s="3">
        <f ca="1">ROUND(Table15[[#This Row],[Cash Flow]]/((1+ActualRateToUse)^(IF(ISNUMBER(SEARCH("Actual",$C$7)),Table15[[#This Row],[Running Total]]/365,Table15[[#This Row],[Period]]/12))),2)</f>
        <v>55433.2</v>
      </c>
      <c r="R59" s="2">
        <f>IF(MONTH(Table15[[#This Row],[Date]])=2,28,DAY(DATE(YEAR(Table15[[#This Row],[Date]]),MONTH(Table15[[#This Row],[Date]])+1,1)-1))</f>
        <v>31</v>
      </c>
      <c r="S59" s="2">
        <f ca="1">SUM(OFFSET(Table15[[#Headers],[Days in month]],1,0):Table15[[#This Row],[Days in month]])</f>
        <v>1310</v>
      </c>
      <c r="T59" s="37">
        <f>InterestRate*AmortizationMultiplier*IF(ISNUMBER(SEARCH("Actual",$C$7)),Table15[[#This Row],[Days in month]]/365,1/12)</f>
        <v>5.8133611111111103E-3</v>
      </c>
    </row>
    <row r="60" spans="2:20" x14ac:dyDescent="0.2">
      <c r="B60" s="1">
        <v>47177</v>
      </c>
      <c r="C60" s="2">
        <f t="shared" si="1"/>
        <v>44</v>
      </c>
      <c r="D60" s="3">
        <f t="shared" si="0"/>
        <v>6233567.8899999997</v>
      </c>
      <c r="E60" s="3">
        <f>ROUND(Table15[[#This Row],[Beginning Balance]]*Table15[[#This Row],[Monthly Interest Rate]],2)</f>
        <v>32731.08</v>
      </c>
      <c r="F60" s="3">
        <f t="shared" si="2"/>
        <v>228</v>
      </c>
      <c r="G60" s="23">
        <f>IFERROR(IF($C$13="No","N/A",IF(Table15[[#This Row],[Period]]=1,$C$6,PMT(InterestRate*AmortizationMultiplier/12,Table15[[#This Row],[Am Thru]],-Table15[[#This Row],[Beginning Balance]]))),0)</f>
        <v>48935.049065109197</v>
      </c>
      <c r="H60" s="3">
        <f>MAX(0,IF(C60=$C$4,D60,ROUND(IF($C$3="Fixed Principal",$C$6-Table15[[#This Row],[Interest]],IF($C$3="Interest Only",Table15[[#This Row],[Beginning Balance]]*ROUND(1-(1-IF($C$11="No",$E$8,1))^(1/12),6),MIN(IF($C$13="Yes",Table15[[#This Row],[Payment Amount (Reamortized)]],$C$6)-Table15[[#This Row],[Interest]],Table15[[#This Row],[Beginning Balance]]))),2)))</f>
        <v>16203.97</v>
      </c>
      <c r="I60" s="3">
        <f>_xlfn.SINGLE(IF($C$3="Line of Credit",0,ROUND(MAX(MIN(IF($C$10="No",$E$7,VLOOKUP(Table15[[#This Row],[Period]],Forecast!$H$2:$L$1048576,4,FALSE))*Table15[[#This Row],[Beginning Balance]],Table15[[#This Row],[Beginning Balance]]-Table15[[#This Row],[Principal]]),0),2)))</f>
        <v>17784.37</v>
      </c>
      <c r="J60" s="3">
        <f>ROUND(MIN(Table15[[#This Row],[Beginning Balance]]*IF($C$8="No",$E$3,VLOOKUP(Table15[[#This Row],[Period]],Forecast!$H$2:$L$1048576,2,FALSE)),Table15[[#This Row],[Beginning Balance]]-Table15[[#This Row],[Principal]]-Table15[[#This Row],[Prepayments]]),2)</f>
        <v>4257.53</v>
      </c>
      <c r="K60" s="3">
        <f>ROUND(Table15[[#This Row],[Defaulted Principal]]*IF($C$9="No",$E$4,VLOOKUP(Table15[[#This Row],[Period]],Forecast!$H$2:$L$1048576,3,FALSE)),2)</f>
        <v>369.1</v>
      </c>
      <c r="L60" s="2">
        <f>Table15[[#This Row],[Period]]+$E$9</f>
        <v>56</v>
      </c>
      <c r="M60" s="3">
        <f>Table15[[#This Row],[Defaulted Principal]]-Table15[[#This Row],[Estimated Loss]]</f>
        <v>3888.43</v>
      </c>
      <c r="N60" s="3">
        <f>IFERROR(VLOOKUP(Table15[[#This Row],[Period]],$L$16:$M$385,2,FALSE),0)</f>
        <v>4015.62</v>
      </c>
      <c r="O60" s="3">
        <f>Table15[[#This Row],[Beginning Balance]]-Table15[[#This Row],[Principal]]-Table15[[#This Row],[Prepayments]]-Table15[[#This Row],[Defaulted Principal]]</f>
        <v>6195322.0199999996</v>
      </c>
      <c r="P60" s="3">
        <f>Table15[[#This Row],[Principal]]+Table15[[#This Row],[Interest]]+Table15[[#This Row],[Prepayments]]+Table15[[#This Row],[RecoveredAmount]]</f>
        <v>70735.039999999994</v>
      </c>
      <c r="Q60" s="3">
        <f ca="1">ROUND(Table15[[#This Row],[Cash Flow]]/((1+ActualRateToUse)^(IF(ISNUMBER(SEARCH("Actual",$C$7)),Table15[[#This Row],[Running Total]]/365,Table15[[#This Row],[Period]]/12))),2)</f>
        <v>54915.53</v>
      </c>
      <c r="R60" s="2">
        <f>IF(MONTH(Table15[[#This Row],[Date]])=2,28,DAY(DATE(YEAR(Table15[[#This Row],[Date]]),MONTH(Table15[[#This Row],[Date]])+1,1)-1))</f>
        <v>28</v>
      </c>
      <c r="S60" s="2">
        <f ca="1">SUM(OFFSET(Table15[[#Headers],[Days in month]],1,0):Table15[[#This Row],[Days in month]])</f>
        <v>1338</v>
      </c>
      <c r="T60" s="37">
        <f>InterestRate*AmortizationMultiplier*IF(ISNUMBER(SEARCH("Actual",$C$7)),Table15[[#This Row],[Days in month]]/365,1/12)</f>
        <v>5.2507777777777778E-3</v>
      </c>
    </row>
    <row r="61" spans="2:20" x14ac:dyDescent="0.2">
      <c r="B61" s="1">
        <v>47208</v>
      </c>
      <c r="C61" s="2">
        <f t="shared" si="1"/>
        <v>45</v>
      </c>
      <c r="D61" s="3">
        <f t="shared" si="0"/>
        <v>6195322.0199999996</v>
      </c>
      <c r="E61" s="3">
        <f>ROUND(Table15[[#This Row],[Beginning Balance]]*Table15[[#This Row],[Monthly Interest Rate]],2)</f>
        <v>36015.64</v>
      </c>
      <c r="F61" s="3">
        <f t="shared" si="2"/>
        <v>227</v>
      </c>
      <c r="G61" s="23">
        <f>IFERROR(IF($C$13="No","N/A",IF(Table15[[#This Row],[Period]]=1,$C$6,PMT(InterestRate*AmortizationMultiplier/12,Table15[[#This Row],[Am Thru]],-Table15[[#This Row],[Beginning Balance]]))),0)</f>
        <v>48739.417837309426</v>
      </c>
      <c r="H61" s="3">
        <f>MAX(0,IF(C61=$C$4,D61,ROUND(IF($C$3="Fixed Principal",$C$6-Table15[[#This Row],[Interest]],IF($C$3="Interest Only",Table15[[#This Row],[Beginning Balance]]*ROUND(1-(1-IF($C$11="No",$E$8,1))^(1/12),6),MIN(IF($C$13="Yes",Table15[[#This Row],[Payment Amount (Reamortized)]],$C$6)-Table15[[#This Row],[Interest]],Table15[[#This Row],[Beginning Balance]]))),2)))</f>
        <v>12723.78</v>
      </c>
      <c r="I61" s="3">
        <f>_xlfn.SINGLE(IF($C$3="Line of Credit",0,ROUND(MAX(MIN(IF($C$10="No",$E$7,VLOOKUP(Table15[[#This Row],[Period]],Forecast!$H$2:$L$1048576,4,FALSE))*Table15[[#This Row],[Beginning Balance]],Table15[[#This Row],[Beginning Balance]]-Table15[[#This Row],[Principal]]),0),2)))</f>
        <v>17675.25</v>
      </c>
      <c r="J61" s="3">
        <f>ROUND(MIN(Table15[[#This Row],[Beginning Balance]]*IF($C$8="No",$E$3,VLOOKUP(Table15[[#This Row],[Period]],Forecast!$H$2:$L$1048576,2,FALSE)),Table15[[#This Row],[Beginning Balance]]-Table15[[#This Row],[Principal]]-Table15[[#This Row],[Prepayments]]),2)</f>
        <v>4231.3999999999996</v>
      </c>
      <c r="K61" s="3">
        <f>ROUND(Table15[[#This Row],[Defaulted Principal]]*IF($C$9="No",$E$4,VLOOKUP(Table15[[#This Row],[Period]],Forecast!$H$2:$L$1048576,3,FALSE)),2)</f>
        <v>366.84</v>
      </c>
      <c r="L61" s="2">
        <f>Table15[[#This Row],[Period]]+$E$9</f>
        <v>57</v>
      </c>
      <c r="M61" s="3">
        <f>Table15[[#This Row],[Defaulted Principal]]-Table15[[#This Row],[Estimated Loss]]</f>
        <v>3864.5599999999995</v>
      </c>
      <c r="N61" s="3">
        <f>IFERROR(VLOOKUP(Table15[[#This Row],[Period]],$L$16:$M$385,2,FALSE),0)</f>
        <v>3991.84</v>
      </c>
      <c r="O61" s="3">
        <f>Table15[[#This Row],[Beginning Balance]]-Table15[[#This Row],[Principal]]-Table15[[#This Row],[Prepayments]]-Table15[[#This Row],[Defaulted Principal]]</f>
        <v>6160691.5899999989</v>
      </c>
      <c r="P61" s="3">
        <f>Table15[[#This Row],[Principal]]+Table15[[#This Row],[Interest]]+Table15[[#This Row],[Prepayments]]+Table15[[#This Row],[RecoveredAmount]]</f>
        <v>70406.509999999995</v>
      </c>
      <c r="Q61" s="3">
        <f ca="1">ROUND(Table15[[#This Row],[Cash Flow]]/((1+ActualRateToUse)^(IF(ISNUMBER(SEARCH("Actual",$C$7)),Table15[[#This Row],[Running Total]]/365,Table15[[#This Row],[Period]]/12))),2)</f>
        <v>54340.82</v>
      </c>
      <c r="R61" s="2">
        <f>IF(MONTH(Table15[[#This Row],[Date]])=2,28,DAY(DATE(YEAR(Table15[[#This Row],[Date]]),MONTH(Table15[[#This Row],[Date]])+1,1)-1))</f>
        <v>31</v>
      </c>
      <c r="S61" s="2">
        <f ca="1">SUM(OFFSET(Table15[[#Headers],[Days in month]],1,0):Table15[[#This Row],[Days in month]])</f>
        <v>1369</v>
      </c>
      <c r="T61" s="37">
        <f>InterestRate*AmortizationMultiplier*IF(ISNUMBER(SEARCH("Actual",$C$7)),Table15[[#This Row],[Days in month]]/365,1/12)</f>
        <v>5.8133611111111103E-3</v>
      </c>
    </row>
    <row r="62" spans="2:20" x14ac:dyDescent="0.2">
      <c r="B62" s="1">
        <v>47238</v>
      </c>
      <c r="C62" s="2">
        <f t="shared" si="1"/>
        <v>46</v>
      </c>
      <c r="D62" s="3">
        <f t="shared" si="0"/>
        <v>6160691.5899999989</v>
      </c>
      <c r="E62" s="3">
        <f>ROUND(Table15[[#This Row],[Beginning Balance]]*Table15[[#This Row],[Monthly Interest Rate]],2)</f>
        <v>34659.019999999997</v>
      </c>
      <c r="F62" s="3">
        <f t="shared" si="2"/>
        <v>226</v>
      </c>
      <c r="G62" s="23">
        <f>IFERROR(IF($C$13="No","N/A",IF(Table15[[#This Row],[Period]]=1,$C$6,PMT(InterestRate*AmortizationMultiplier/12,Table15[[#This Row],[Am Thru]],-Table15[[#This Row],[Beginning Balance]]))),0)</f>
        <v>48572.044883412549</v>
      </c>
      <c r="H62" s="3">
        <f>MAX(0,IF(C62=$C$4,D62,ROUND(IF($C$3="Fixed Principal",$C$6-Table15[[#This Row],[Interest]],IF($C$3="Interest Only",Table15[[#This Row],[Beginning Balance]]*ROUND(1-(1-IF($C$11="No",$E$8,1))^(1/12),6),MIN(IF($C$13="Yes",Table15[[#This Row],[Payment Amount (Reamortized)]],$C$6)-Table15[[#This Row],[Interest]],Table15[[#This Row],[Beginning Balance]]))),2)))</f>
        <v>13913.02</v>
      </c>
      <c r="I62" s="3">
        <f>_xlfn.SINGLE(IF($C$3="Line of Credit",0,ROUND(MAX(MIN(IF($C$10="No",$E$7,VLOOKUP(Table15[[#This Row],[Period]],Forecast!$H$2:$L$1048576,4,FALSE))*Table15[[#This Row],[Beginning Balance]],Table15[[#This Row],[Beginning Balance]]-Table15[[#This Row],[Principal]]),0),2)))</f>
        <v>17576.45</v>
      </c>
      <c r="J62" s="3">
        <f>ROUND(MIN(Table15[[#This Row],[Beginning Balance]]*IF($C$8="No",$E$3,VLOOKUP(Table15[[#This Row],[Period]],Forecast!$H$2:$L$1048576,2,FALSE)),Table15[[#This Row],[Beginning Balance]]-Table15[[#This Row],[Principal]]-Table15[[#This Row],[Prepayments]]),2)</f>
        <v>4207.75</v>
      </c>
      <c r="K62" s="3">
        <f>ROUND(Table15[[#This Row],[Defaulted Principal]]*IF($C$9="No",$E$4,VLOOKUP(Table15[[#This Row],[Period]],Forecast!$H$2:$L$1048576,3,FALSE)),2)</f>
        <v>364.79</v>
      </c>
      <c r="L62" s="2">
        <f>Table15[[#This Row],[Period]]+$E$9</f>
        <v>58</v>
      </c>
      <c r="M62" s="3">
        <f>Table15[[#This Row],[Defaulted Principal]]-Table15[[#This Row],[Estimated Loss]]</f>
        <v>3842.96</v>
      </c>
      <c r="N62" s="3">
        <f>IFERROR(VLOOKUP(Table15[[#This Row],[Period]],$L$16:$M$385,2,FALSE),0)</f>
        <v>4111.33</v>
      </c>
      <c r="O62" s="3">
        <f>Table15[[#This Row],[Beginning Balance]]-Table15[[#This Row],[Principal]]-Table15[[#This Row],[Prepayments]]-Table15[[#This Row],[Defaulted Principal]]</f>
        <v>6124994.3699999992</v>
      </c>
      <c r="P62" s="3">
        <f>Table15[[#This Row],[Principal]]+Table15[[#This Row],[Interest]]+Table15[[#This Row],[Prepayments]]+Table15[[#This Row],[RecoveredAmount]]</f>
        <v>70259.819999999992</v>
      </c>
      <c r="Q62" s="3">
        <f ca="1">ROUND(Table15[[#This Row],[Cash Flow]]/((1+ActualRateToUse)^(IF(ISNUMBER(SEARCH("Actual",$C$7)),Table15[[#This Row],[Running Total]]/365,Table15[[#This Row],[Period]]/12))),2)</f>
        <v>53920.68</v>
      </c>
      <c r="R62" s="2">
        <f>IF(MONTH(Table15[[#This Row],[Date]])=2,28,DAY(DATE(YEAR(Table15[[#This Row],[Date]]),MONTH(Table15[[#This Row],[Date]])+1,1)-1))</f>
        <v>30</v>
      </c>
      <c r="S62" s="2">
        <f ca="1">SUM(OFFSET(Table15[[#Headers],[Days in month]],1,0):Table15[[#This Row],[Days in month]])</f>
        <v>1399</v>
      </c>
      <c r="T62" s="37">
        <f>InterestRate*AmortizationMultiplier*IF(ISNUMBER(SEARCH("Actual",$C$7)),Table15[[#This Row],[Days in month]]/365,1/12)</f>
        <v>5.6258333333333325E-3</v>
      </c>
    </row>
    <row r="63" spans="2:20" x14ac:dyDescent="0.2">
      <c r="B63" s="1">
        <v>47269</v>
      </c>
      <c r="C63" s="2">
        <f t="shared" si="1"/>
        <v>47</v>
      </c>
      <c r="D63" s="3">
        <f t="shared" si="0"/>
        <v>6124994.3699999992</v>
      </c>
      <c r="E63" s="3">
        <f>ROUND(Table15[[#This Row],[Beginning Balance]]*Table15[[#This Row],[Monthly Interest Rate]],2)</f>
        <v>35606.800000000003</v>
      </c>
      <c r="F63" s="3">
        <f t="shared" si="2"/>
        <v>225</v>
      </c>
      <c r="G63" s="23">
        <f>IFERROR(IF($C$13="No","N/A",IF(Table15[[#This Row],[Period]]=1,$C$6,PMT(InterestRate*AmortizationMultiplier/12,Table15[[#This Row],[Am Thru]],-Table15[[#This Row],[Beginning Balance]]))),0)</f>
        <v>48396.115364182282</v>
      </c>
      <c r="H63" s="3">
        <f>MAX(0,IF(C63=$C$4,D63,ROUND(IF($C$3="Fixed Principal",$C$6-Table15[[#This Row],[Interest]],IF($C$3="Interest Only",Table15[[#This Row],[Beginning Balance]]*ROUND(1-(1-IF($C$11="No",$E$8,1))^(1/12),6),MIN(IF($C$13="Yes",Table15[[#This Row],[Payment Amount (Reamortized)]],$C$6)-Table15[[#This Row],[Interest]],Table15[[#This Row],[Beginning Balance]]))),2)))</f>
        <v>12789.32</v>
      </c>
      <c r="I63" s="3">
        <f>_xlfn.SINGLE(IF($C$3="Line of Credit",0,ROUND(MAX(MIN(IF($C$10="No",$E$7,VLOOKUP(Table15[[#This Row],[Period]],Forecast!$H$2:$L$1048576,4,FALSE))*Table15[[#This Row],[Beginning Balance]],Table15[[#This Row],[Beginning Balance]]-Table15[[#This Row],[Principal]]),0),2)))</f>
        <v>17474.61</v>
      </c>
      <c r="J63" s="3">
        <f>ROUND(MIN(Table15[[#This Row],[Beginning Balance]]*IF($C$8="No",$E$3,VLOOKUP(Table15[[#This Row],[Period]],Forecast!$H$2:$L$1048576,2,FALSE)),Table15[[#This Row],[Beginning Balance]]-Table15[[#This Row],[Principal]]-Table15[[#This Row],[Prepayments]]),2)</f>
        <v>4183.37</v>
      </c>
      <c r="K63" s="3">
        <f>ROUND(Table15[[#This Row],[Defaulted Principal]]*IF($C$9="No",$E$4,VLOOKUP(Table15[[#This Row],[Period]],Forecast!$H$2:$L$1048576,3,FALSE)),2)</f>
        <v>362.67</v>
      </c>
      <c r="L63" s="2">
        <f>Table15[[#This Row],[Period]]+$E$9</f>
        <v>59</v>
      </c>
      <c r="M63" s="3">
        <f>Table15[[#This Row],[Defaulted Principal]]-Table15[[#This Row],[Estimated Loss]]</f>
        <v>3820.7</v>
      </c>
      <c r="N63" s="3">
        <f>IFERROR(VLOOKUP(Table15[[#This Row],[Period]],$L$16:$M$385,2,FALSE),0)</f>
        <v>4088.2999999999997</v>
      </c>
      <c r="O63" s="3">
        <f>Table15[[#This Row],[Beginning Balance]]-Table15[[#This Row],[Principal]]-Table15[[#This Row],[Prepayments]]-Table15[[#This Row],[Defaulted Principal]]</f>
        <v>6090547.0699999984</v>
      </c>
      <c r="P63" s="3">
        <f>Table15[[#This Row],[Principal]]+Table15[[#This Row],[Interest]]+Table15[[#This Row],[Prepayments]]+Table15[[#This Row],[RecoveredAmount]]</f>
        <v>69959.030000000013</v>
      </c>
      <c r="Q63" s="3">
        <f ca="1">ROUND(Table15[[#This Row],[Cash Flow]]/((1+ActualRateToUse)^(IF(ISNUMBER(SEARCH("Actual",$C$7)),Table15[[#This Row],[Running Total]]/365,Table15[[#This Row],[Period]]/12))),2)</f>
        <v>53375.87</v>
      </c>
      <c r="R63" s="2">
        <f>IF(MONTH(Table15[[#This Row],[Date]])=2,28,DAY(DATE(YEAR(Table15[[#This Row],[Date]]),MONTH(Table15[[#This Row],[Date]])+1,1)-1))</f>
        <v>31</v>
      </c>
      <c r="S63" s="2">
        <f ca="1">SUM(OFFSET(Table15[[#Headers],[Days in month]],1,0):Table15[[#This Row],[Days in month]])</f>
        <v>1430</v>
      </c>
      <c r="T63" s="37">
        <f>InterestRate*AmortizationMultiplier*IF(ISNUMBER(SEARCH("Actual",$C$7)),Table15[[#This Row],[Days in month]]/365,1/12)</f>
        <v>5.8133611111111103E-3</v>
      </c>
    </row>
    <row r="64" spans="2:20" x14ac:dyDescent="0.2">
      <c r="B64" s="1">
        <v>47299</v>
      </c>
      <c r="C64" s="2">
        <f t="shared" si="1"/>
        <v>48</v>
      </c>
      <c r="D64" s="3">
        <f t="shared" si="0"/>
        <v>6090547.0699999984</v>
      </c>
      <c r="E64" s="3">
        <f>ROUND(Table15[[#This Row],[Beginning Balance]]*Table15[[#This Row],[Monthly Interest Rate]],2)</f>
        <v>34264.400000000001</v>
      </c>
      <c r="F64" s="3">
        <f t="shared" si="2"/>
        <v>224</v>
      </c>
      <c r="G64" s="23">
        <f>IFERROR(IF($C$13="No","N/A",IF(Table15[[#This Row],[Period]]=1,$C$6,PMT(InterestRate*AmortizationMultiplier/12,Table15[[#This Row],[Am Thru]],-Table15[[#This Row],[Beginning Balance]]))),0)</f>
        <v>48229.91552663318</v>
      </c>
      <c r="H64" s="3">
        <f>MAX(0,IF(C64=$C$4,D64,ROUND(IF($C$3="Fixed Principal",$C$6-Table15[[#This Row],[Interest]],IF($C$3="Interest Only",Table15[[#This Row],[Beginning Balance]]*ROUND(1-(1-IF($C$11="No",$E$8,1))^(1/12),6),MIN(IF($C$13="Yes",Table15[[#This Row],[Payment Amount (Reamortized)]],$C$6)-Table15[[#This Row],[Interest]],Table15[[#This Row],[Beginning Balance]]))),2)))</f>
        <v>13965.52</v>
      </c>
      <c r="I64" s="3">
        <f>_xlfn.SINGLE(IF($C$3="Line of Credit",0,ROUND(MAX(MIN(IF($C$10="No",$E$7,VLOOKUP(Table15[[#This Row],[Period]],Forecast!$H$2:$L$1048576,4,FALSE))*Table15[[#This Row],[Beginning Balance]],Table15[[#This Row],[Beginning Balance]]-Table15[[#This Row],[Principal]]),0),2)))</f>
        <v>17376.330000000002</v>
      </c>
      <c r="J64" s="3">
        <f>ROUND(MIN(Table15[[#This Row],[Beginning Balance]]*IF($C$8="No",$E$3,VLOOKUP(Table15[[#This Row],[Period]],Forecast!$H$2:$L$1048576,2,FALSE)),Table15[[#This Row],[Beginning Balance]]-Table15[[#This Row],[Principal]]-Table15[[#This Row],[Prepayments]]),2)</f>
        <v>4159.84</v>
      </c>
      <c r="K64" s="3">
        <f>ROUND(Table15[[#This Row],[Defaulted Principal]]*IF($C$9="No",$E$4,VLOOKUP(Table15[[#This Row],[Period]],Forecast!$H$2:$L$1048576,3,FALSE)),2)</f>
        <v>360.63</v>
      </c>
      <c r="L64" s="2">
        <f>Table15[[#This Row],[Period]]+$E$9</f>
        <v>60</v>
      </c>
      <c r="M64" s="3">
        <f>Table15[[#This Row],[Defaulted Principal]]-Table15[[#This Row],[Estimated Loss]]</f>
        <v>3799.21</v>
      </c>
      <c r="N64" s="3">
        <f>IFERROR(VLOOKUP(Table15[[#This Row],[Period]],$L$16:$M$385,2,FALSE),0)</f>
        <v>4066.1099999999997</v>
      </c>
      <c r="O64" s="3">
        <f>Table15[[#This Row],[Beginning Balance]]-Table15[[#This Row],[Principal]]-Table15[[#This Row],[Prepayments]]-Table15[[#This Row],[Defaulted Principal]]</f>
        <v>6055045.379999999</v>
      </c>
      <c r="P64" s="3">
        <f>Table15[[#This Row],[Principal]]+Table15[[#This Row],[Interest]]+Table15[[#This Row],[Prepayments]]+Table15[[#This Row],[RecoveredAmount]]</f>
        <v>69672.36</v>
      </c>
      <c r="Q64" s="3">
        <f ca="1">ROUND(Table15[[#This Row],[Cash Flow]]/((1+ActualRateToUse)^(IF(ISNUMBER(SEARCH("Actual",$C$7)),Table15[[#This Row],[Running Total]]/365,Table15[[#This Row],[Period]]/12))),2)</f>
        <v>52856.29</v>
      </c>
      <c r="R64" s="2">
        <f>IF(MONTH(Table15[[#This Row],[Date]])=2,28,DAY(DATE(YEAR(Table15[[#This Row],[Date]]),MONTH(Table15[[#This Row],[Date]])+1,1)-1))</f>
        <v>30</v>
      </c>
      <c r="S64" s="2">
        <f ca="1">SUM(OFFSET(Table15[[#Headers],[Days in month]],1,0):Table15[[#This Row],[Days in month]])</f>
        <v>1460</v>
      </c>
      <c r="T64" s="37">
        <f>InterestRate*AmortizationMultiplier*IF(ISNUMBER(SEARCH("Actual",$C$7)),Table15[[#This Row],[Days in month]]/365,1/12)</f>
        <v>5.6258333333333325E-3</v>
      </c>
    </row>
    <row r="65" spans="2:20" x14ac:dyDescent="0.2">
      <c r="B65" s="1">
        <v>47330</v>
      </c>
      <c r="C65" s="2">
        <f t="shared" si="1"/>
        <v>49</v>
      </c>
      <c r="D65" s="3">
        <f t="shared" si="0"/>
        <v>6055045.379999999</v>
      </c>
      <c r="E65" s="3">
        <f>ROUND(Table15[[#This Row],[Beginning Balance]]*Table15[[#This Row],[Monthly Interest Rate]],2)</f>
        <v>35200.17</v>
      </c>
      <c r="F65" s="3">
        <f t="shared" si="2"/>
        <v>223</v>
      </c>
      <c r="G65" s="23">
        <f>IFERROR(IF($C$13="No","N/A",IF(Table15[[#This Row],[Period]]=1,$C$6,PMT(InterestRate*AmortizationMultiplier/12,Table15[[#This Row],[Am Thru]],-Table15[[#This Row],[Beginning Balance]]))),0)</f>
        <v>48055.219077546099</v>
      </c>
      <c r="H65" s="3">
        <f>MAX(0,IF(C65=$C$4,D65,ROUND(IF($C$3="Fixed Principal",$C$6-Table15[[#This Row],[Interest]],IF($C$3="Interest Only",Table15[[#This Row],[Beginning Balance]]*ROUND(1-(1-IF($C$11="No",$E$8,1))^(1/12),6),MIN(IF($C$13="Yes",Table15[[#This Row],[Payment Amount (Reamortized)]],$C$6)-Table15[[#This Row],[Interest]],Table15[[#This Row],[Beginning Balance]]))),2)))</f>
        <v>12855.05</v>
      </c>
      <c r="I65" s="3">
        <f>_xlfn.SINGLE(IF($C$3="Line of Credit",0,ROUND(MAX(MIN(IF($C$10="No",$E$7,VLOOKUP(Table15[[#This Row],[Period]],Forecast!$H$2:$L$1048576,4,FALSE))*Table15[[#This Row],[Beginning Balance]],Table15[[#This Row],[Beginning Balance]]-Table15[[#This Row],[Principal]]),0),2)))</f>
        <v>17275.04</v>
      </c>
      <c r="J65" s="3">
        <f>ROUND(MIN(Table15[[#This Row],[Beginning Balance]]*IF($C$8="No",$E$3,VLOOKUP(Table15[[#This Row],[Period]],Forecast!$H$2:$L$1048576,2,FALSE)),Table15[[#This Row],[Beginning Balance]]-Table15[[#This Row],[Principal]]-Table15[[#This Row],[Prepayments]]),2)</f>
        <v>4135.6000000000004</v>
      </c>
      <c r="K65" s="3">
        <f>ROUND(Table15[[#This Row],[Defaulted Principal]]*IF($C$9="No",$E$4,VLOOKUP(Table15[[#This Row],[Period]],Forecast!$H$2:$L$1048576,3,FALSE)),2)</f>
        <v>358.53</v>
      </c>
      <c r="L65" s="2">
        <f>Table15[[#This Row],[Period]]+$E$9</f>
        <v>61</v>
      </c>
      <c r="M65" s="3">
        <f>Table15[[#This Row],[Defaulted Principal]]-Table15[[#This Row],[Estimated Loss]]</f>
        <v>3777.0700000000006</v>
      </c>
      <c r="N65" s="3">
        <f>IFERROR(VLOOKUP(Table15[[#This Row],[Period]],$L$16:$M$385,2,FALSE),0)</f>
        <v>4043.21</v>
      </c>
      <c r="O65" s="3">
        <f>Table15[[#This Row],[Beginning Balance]]-Table15[[#This Row],[Principal]]-Table15[[#This Row],[Prepayments]]-Table15[[#This Row],[Defaulted Principal]]</f>
        <v>6020779.6899999995</v>
      </c>
      <c r="P65" s="3">
        <f>Table15[[#This Row],[Principal]]+Table15[[#This Row],[Interest]]+Table15[[#This Row],[Prepayments]]+Table15[[#This Row],[RecoveredAmount]]</f>
        <v>69373.47</v>
      </c>
      <c r="Q65" s="3">
        <f ca="1">ROUND(Table15[[#This Row],[Cash Flow]]/((1+ActualRateToUse)^(IF(ISNUMBER(SEARCH("Actual",$C$7)),Table15[[#This Row],[Running Total]]/365,Table15[[#This Row],[Period]]/12))),2)</f>
        <v>52321.77</v>
      </c>
      <c r="R65" s="2">
        <f>IF(MONTH(Table15[[#This Row],[Date]])=2,28,DAY(DATE(YEAR(Table15[[#This Row],[Date]]),MONTH(Table15[[#This Row],[Date]])+1,1)-1))</f>
        <v>31</v>
      </c>
      <c r="S65" s="2">
        <f ca="1">SUM(OFFSET(Table15[[#Headers],[Days in month]],1,0):Table15[[#This Row],[Days in month]])</f>
        <v>1491</v>
      </c>
      <c r="T65" s="37">
        <f>InterestRate*AmortizationMultiplier*IF(ISNUMBER(SEARCH("Actual",$C$7)),Table15[[#This Row],[Days in month]]/365,1/12)</f>
        <v>5.8133611111111103E-3</v>
      </c>
    </row>
    <row r="66" spans="2:20" x14ac:dyDescent="0.2">
      <c r="B66" s="1">
        <v>47361</v>
      </c>
      <c r="C66" s="2">
        <f t="shared" si="1"/>
        <v>50</v>
      </c>
      <c r="D66" s="3">
        <f t="shared" si="0"/>
        <v>6020779.6899999995</v>
      </c>
      <c r="E66" s="3">
        <f>ROUND(Table15[[#This Row],[Beginning Balance]]*Table15[[#This Row],[Monthly Interest Rate]],2)</f>
        <v>35000.97</v>
      </c>
      <c r="F66" s="3">
        <f t="shared" si="2"/>
        <v>222</v>
      </c>
      <c r="G66" s="23">
        <f>IFERROR(IF($C$13="No","N/A",IF(Table15[[#This Row],[Period]]=1,$C$6,PMT(InterestRate*AmortizationMultiplier/12,Table15[[#This Row],[Am Thru]],-Table15[[#This Row],[Beginning Balance]]))),0)</f>
        <v>47890.184246956589</v>
      </c>
      <c r="H66" s="3">
        <f>MAX(0,IF(C66=$C$4,D66,ROUND(IF($C$3="Fixed Principal",$C$6-Table15[[#This Row],[Interest]],IF($C$3="Interest Only",Table15[[#This Row],[Beginning Balance]]*ROUND(1-(1-IF($C$11="No",$E$8,1))^(1/12),6),MIN(IF($C$13="Yes",Table15[[#This Row],[Payment Amount (Reamortized)]],$C$6)-Table15[[#This Row],[Interest]],Table15[[#This Row],[Beginning Balance]]))),2)))</f>
        <v>12889.21</v>
      </c>
      <c r="I66" s="3">
        <f>_xlfn.SINGLE(IF($C$3="Line of Credit",0,ROUND(MAX(MIN(IF($C$10="No",$E$7,VLOOKUP(Table15[[#This Row],[Period]],Forecast!$H$2:$L$1048576,4,FALSE))*Table15[[#This Row],[Beginning Balance]],Table15[[#This Row],[Beginning Balance]]-Table15[[#This Row],[Principal]]),0),2)))</f>
        <v>17177.28</v>
      </c>
      <c r="J66" s="3">
        <f>ROUND(MIN(Table15[[#This Row],[Beginning Balance]]*IF($C$8="No",$E$3,VLOOKUP(Table15[[#This Row],[Period]],Forecast!$H$2:$L$1048576,2,FALSE)),Table15[[#This Row],[Beginning Balance]]-Table15[[#This Row],[Principal]]-Table15[[#This Row],[Prepayments]]),2)</f>
        <v>4112.1899999999996</v>
      </c>
      <c r="K66" s="3">
        <f>ROUND(Table15[[#This Row],[Defaulted Principal]]*IF($C$9="No",$E$4,VLOOKUP(Table15[[#This Row],[Period]],Forecast!$H$2:$L$1048576,3,FALSE)),2)</f>
        <v>356.5</v>
      </c>
      <c r="L66" s="2">
        <f>Table15[[#This Row],[Period]]+$E$9</f>
        <v>62</v>
      </c>
      <c r="M66" s="3">
        <f>Table15[[#This Row],[Defaulted Principal]]-Table15[[#This Row],[Estimated Loss]]</f>
        <v>3755.6899999999996</v>
      </c>
      <c r="N66" s="3">
        <f>IFERROR(VLOOKUP(Table15[[#This Row],[Period]],$L$16:$M$385,2,FALSE),0)</f>
        <v>4021.1400000000003</v>
      </c>
      <c r="O66" s="3">
        <f>Table15[[#This Row],[Beginning Balance]]-Table15[[#This Row],[Principal]]-Table15[[#This Row],[Prepayments]]-Table15[[#This Row],[Defaulted Principal]]</f>
        <v>5986601.0099999988</v>
      </c>
      <c r="P66" s="3">
        <f>Table15[[#This Row],[Principal]]+Table15[[#This Row],[Interest]]+Table15[[#This Row],[Prepayments]]+Table15[[#This Row],[RecoveredAmount]]</f>
        <v>69088.600000000006</v>
      </c>
      <c r="Q66" s="3">
        <f ca="1">ROUND(Table15[[#This Row],[Cash Flow]]/((1+ActualRateToUse)^(IF(ISNUMBER(SEARCH("Actual",$C$7)),Table15[[#This Row],[Running Total]]/365,Table15[[#This Row],[Period]]/12))),2)</f>
        <v>51802.2</v>
      </c>
      <c r="R66" s="2">
        <f>IF(MONTH(Table15[[#This Row],[Date]])=2,28,DAY(DATE(YEAR(Table15[[#This Row],[Date]]),MONTH(Table15[[#This Row],[Date]])+1,1)-1))</f>
        <v>31</v>
      </c>
      <c r="S66" s="2">
        <f ca="1">SUM(OFFSET(Table15[[#Headers],[Days in month]],1,0):Table15[[#This Row],[Days in month]])</f>
        <v>1522</v>
      </c>
      <c r="T66" s="37">
        <f>InterestRate*AmortizationMultiplier*IF(ISNUMBER(SEARCH("Actual",$C$7)),Table15[[#This Row],[Days in month]]/365,1/12)</f>
        <v>5.8133611111111103E-3</v>
      </c>
    </row>
    <row r="67" spans="2:20" x14ac:dyDescent="0.2">
      <c r="B67" s="1">
        <v>47391</v>
      </c>
      <c r="C67" s="2">
        <f t="shared" si="1"/>
        <v>51</v>
      </c>
      <c r="D67" s="3">
        <f t="shared" si="0"/>
        <v>5986601.0099999988</v>
      </c>
      <c r="E67" s="3">
        <f>ROUND(Table15[[#This Row],[Beginning Balance]]*Table15[[#This Row],[Monthly Interest Rate]],2)</f>
        <v>33679.620000000003</v>
      </c>
      <c r="F67" s="3">
        <f t="shared" si="2"/>
        <v>221</v>
      </c>
      <c r="G67" s="23">
        <f>IFERROR(IF($C$13="No","N/A",IF(Table15[[#This Row],[Period]]=1,$C$6,PMT(InterestRate*AmortizationMultiplier/12,Table15[[#This Row],[Am Thru]],-Table15[[#This Row],[Beginning Balance]]))),0)</f>
        <v>47725.71334833619</v>
      </c>
      <c r="H67" s="3">
        <f>MAX(0,IF(C67=$C$4,D67,ROUND(IF($C$3="Fixed Principal",$C$6-Table15[[#This Row],[Interest]],IF($C$3="Interest Only",Table15[[#This Row],[Beginning Balance]]*ROUND(1-(1-IF($C$11="No",$E$8,1))^(1/12),6),MIN(IF($C$13="Yes",Table15[[#This Row],[Payment Amount (Reamortized)]],$C$6)-Table15[[#This Row],[Interest]],Table15[[#This Row],[Beginning Balance]]))),2)))</f>
        <v>14046.09</v>
      </c>
      <c r="I67" s="3">
        <f>_xlfn.SINGLE(IF($C$3="Line of Credit",0,ROUND(MAX(MIN(IF($C$10="No",$E$7,VLOOKUP(Table15[[#This Row],[Period]],Forecast!$H$2:$L$1048576,4,FALSE))*Table15[[#This Row],[Beginning Balance]],Table15[[#This Row],[Beginning Balance]]-Table15[[#This Row],[Principal]]),0),2)))</f>
        <v>17079.77</v>
      </c>
      <c r="J67" s="3">
        <f>ROUND(MIN(Table15[[#This Row],[Beginning Balance]]*IF($C$8="No",$E$3,VLOOKUP(Table15[[#This Row],[Period]],Forecast!$H$2:$L$1048576,2,FALSE)),Table15[[#This Row],[Beginning Balance]]-Table15[[#This Row],[Principal]]-Table15[[#This Row],[Prepayments]]),2)</f>
        <v>4088.85</v>
      </c>
      <c r="K67" s="3">
        <f>ROUND(Table15[[#This Row],[Defaulted Principal]]*IF($C$9="No",$E$4,VLOOKUP(Table15[[#This Row],[Period]],Forecast!$H$2:$L$1048576,3,FALSE)),2)</f>
        <v>354.48</v>
      </c>
      <c r="L67" s="2">
        <f>Table15[[#This Row],[Period]]+$E$9</f>
        <v>63</v>
      </c>
      <c r="M67" s="3">
        <f>Table15[[#This Row],[Defaulted Principal]]-Table15[[#This Row],[Estimated Loss]]</f>
        <v>3734.37</v>
      </c>
      <c r="N67" s="3">
        <f>IFERROR(VLOOKUP(Table15[[#This Row],[Period]],$L$16:$M$385,2,FALSE),0)</f>
        <v>3999.1199999999994</v>
      </c>
      <c r="O67" s="3">
        <f>Table15[[#This Row],[Beginning Balance]]-Table15[[#This Row],[Principal]]-Table15[[#This Row],[Prepayments]]-Table15[[#This Row],[Defaulted Principal]]</f>
        <v>5951386.2999999998</v>
      </c>
      <c r="P67" s="3">
        <f>Table15[[#This Row],[Principal]]+Table15[[#This Row],[Interest]]+Table15[[#This Row],[Prepayments]]+Table15[[#This Row],[RecoveredAmount]]</f>
        <v>68804.600000000006</v>
      </c>
      <c r="Q67" s="3">
        <f ca="1">ROUND(Table15[[#This Row],[Cash Flow]]/((1+ActualRateToUse)^(IF(ISNUMBER(SEARCH("Actual",$C$7)),Table15[[#This Row],[Running Total]]/365,Table15[[#This Row],[Period]]/12))),2)</f>
        <v>51297.27</v>
      </c>
      <c r="R67" s="2">
        <f>IF(MONTH(Table15[[#This Row],[Date]])=2,28,DAY(DATE(YEAR(Table15[[#This Row],[Date]]),MONTH(Table15[[#This Row],[Date]])+1,1)-1))</f>
        <v>30</v>
      </c>
      <c r="S67" s="2">
        <f ca="1">SUM(OFFSET(Table15[[#Headers],[Days in month]],1,0):Table15[[#This Row],[Days in month]])</f>
        <v>1552</v>
      </c>
      <c r="T67" s="37">
        <f>InterestRate*AmortizationMultiplier*IF(ISNUMBER(SEARCH("Actual",$C$7)),Table15[[#This Row],[Days in month]]/365,1/12)</f>
        <v>5.6258333333333325E-3</v>
      </c>
    </row>
    <row r="68" spans="2:20" x14ac:dyDescent="0.2">
      <c r="B68" s="1">
        <v>47422</v>
      </c>
      <c r="C68" s="2">
        <f t="shared" si="1"/>
        <v>52</v>
      </c>
      <c r="D68" s="3">
        <f t="shared" si="0"/>
        <v>5951386.2999999998</v>
      </c>
      <c r="E68" s="3">
        <f>ROUND(Table15[[#This Row],[Beginning Balance]]*Table15[[#This Row],[Monthly Interest Rate]],2)</f>
        <v>34597.56</v>
      </c>
      <c r="F68" s="3">
        <f t="shared" si="2"/>
        <v>220</v>
      </c>
      <c r="G68" s="23">
        <f>IFERROR(IF($C$13="No","N/A",IF(Table15[[#This Row],[Period]]=1,$C$6,PMT(InterestRate*AmortizationMultiplier/12,Table15[[#This Row],[Am Thru]],-Table15[[#This Row],[Beginning Balance]]))),0)</f>
        <v>47552.834031293278</v>
      </c>
      <c r="H68" s="3">
        <f>MAX(0,IF(C68=$C$4,D68,ROUND(IF($C$3="Fixed Principal",$C$6-Table15[[#This Row],[Interest]],IF($C$3="Interest Only",Table15[[#This Row],[Beginning Balance]]*ROUND(1-(1-IF($C$11="No",$E$8,1))^(1/12),6),MIN(IF($C$13="Yes",Table15[[#This Row],[Payment Amount (Reamortized)]],$C$6)-Table15[[#This Row],[Interest]],Table15[[#This Row],[Beginning Balance]]))),2)))</f>
        <v>12955.27</v>
      </c>
      <c r="I68" s="3">
        <f>_xlfn.SINGLE(IF($C$3="Line of Credit",0,ROUND(MAX(MIN(IF($C$10="No",$E$7,VLOOKUP(Table15[[#This Row],[Period]],Forecast!$H$2:$L$1048576,4,FALSE))*Table15[[#This Row],[Beginning Balance]],Table15[[#This Row],[Beginning Balance]]-Table15[[#This Row],[Principal]]),0),2)))</f>
        <v>16979.310000000001</v>
      </c>
      <c r="J68" s="3">
        <f>ROUND(MIN(Table15[[#This Row],[Beginning Balance]]*IF($C$8="No",$E$3,VLOOKUP(Table15[[#This Row],[Period]],Forecast!$H$2:$L$1048576,2,FALSE)),Table15[[#This Row],[Beginning Balance]]-Table15[[#This Row],[Principal]]-Table15[[#This Row],[Prepayments]]),2)</f>
        <v>4064.8</v>
      </c>
      <c r="K68" s="3">
        <f>ROUND(Table15[[#This Row],[Defaulted Principal]]*IF($C$9="No",$E$4,VLOOKUP(Table15[[#This Row],[Period]],Forecast!$H$2:$L$1048576,3,FALSE)),2)</f>
        <v>352.39</v>
      </c>
      <c r="L68" s="2">
        <f>Table15[[#This Row],[Period]]+$E$9</f>
        <v>64</v>
      </c>
      <c r="M68" s="3">
        <f>Table15[[#This Row],[Defaulted Principal]]-Table15[[#This Row],[Estimated Loss]]</f>
        <v>3712.4100000000003</v>
      </c>
      <c r="N68" s="3">
        <f>IFERROR(VLOOKUP(Table15[[#This Row],[Period]],$L$16:$M$385,2,FALSE),0)</f>
        <v>3976.42</v>
      </c>
      <c r="O68" s="3">
        <f>Table15[[#This Row],[Beginning Balance]]-Table15[[#This Row],[Principal]]-Table15[[#This Row],[Prepayments]]-Table15[[#This Row],[Defaulted Principal]]</f>
        <v>5917386.9200000009</v>
      </c>
      <c r="P68" s="3">
        <f>Table15[[#This Row],[Principal]]+Table15[[#This Row],[Interest]]+Table15[[#This Row],[Prepayments]]+Table15[[#This Row],[RecoveredAmount]]</f>
        <v>68508.56</v>
      </c>
      <c r="Q68" s="3">
        <f ca="1">ROUND(Table15[[#This Row],[Cash Flow]]/((1+ActualRateToUse)^(IF(ISNUMBER(SEARCH("Actual",$C$7)),Table15[[#This Row],[Running Total]]/365,Table15[[#This Row],[Period]]/12))),2)</f>
        <v>50777.87</v>
      </c>
      <c r="R68" s="2">
        <f>IF(MONTH(Table15[[#This Row],[Date]])=2,28,DAY(DATE(YEAR(Table15[[#This Row],[Date]]),MONTH(Table15[[#This Row],[Date]])+1,1)-1))</f>
        <v>31</v>
      </c>
      <c r="S68" s="2">
        <f ca="1">SUM(OFFSET(Table15[[#Headers],[Days in month]],1,0):Table15[[#This Row],[Days in month]])</f>
        <v>1583</v>
      </c>
      <c r="T68" s="37">
        <f>InterestRate*AmortizationMultiplier*IF(ISNUMBER(SEARCH("Actual",$C$7)),Table15[[#This Row],[Days in month]]/365,1/12)</f>
        <v>5.8133611111111103E-3</v>
      </c>
    </row>
    <row r="69" spans="2:20" x14ac:dyDescent="0.2">
      <c r="B69" s="1">
        <v>47452</v>
      </c>
      <c r="C69" s="2">
        <f t="shared" si="1"/>
        <v>53</v>
      </c>
      <c r="D69" s="3">
        <f t="shared" si="0"/>
        <v>5917386.9200000009</v>
      </c>
      <c r="E69" s="3">
        <f>ROUND(Table15[[#This Row],[Beginning Balance]]*Table15[[#This Row],[Monthly Interest Rate]],2)</f>
        <v>33290.230000000003</v>
      </c>
      <c r="F69" s="3">
        <f t="shared" si="2"/>
        <v>219</v>
      </c>
      <c r="G69" s="23">
        <f>IFERROR(IF($C$13="No","N/A",IF(Table15[[#This Row],[Period]]=1,$C$6,PMT(InterestRate*AmortizationMultiplier/12,Table15[[#This Row],[Am Thru]],-Table15[[#This Row],[Beginning Balance]]))),0)</f>
        <v>47389.515673255737</v>
      </c>
      <c r="H69" s="3">
        <f>MAX(0,IF(C69=$C$4,D69,ROUND(IF($C$3="Fixed Principal",$C$6-Table15[[#This Row],[Interest]],IF($C$3="Interest Only",Table15[[#This Row],[Beginning Balance]]*ROUND(1-(1-IF($C$11="No",$E$8,1))^(1/12),6),MIN(IF($C$13="Yes",Table15[[#This Row],[Payment Amount (Reamortized)]],$C$6)-Table15[[#This Row],[Interest]],Table15[[#This Row],[Beginning Balance]]))),2)))</f>
        <v>14099.29</v>
      </c>
      <c r="I69" s="3">
        <f>_xlfn.SINGLE(IF($C$3="Line of Credit",0,ROUND(MAX(MIN(IF($C$10="No",$E$7,VLOOKUP(Table15[[#This Row],[Period]],Forecast!$H$2:$L$1048576,4,FALSE))*Table15[[#This Row],[Beginning Balance]],Table15[[#This Row],[Beginning Balance]]-Table15[[#This Row],[Principal]]),0),2)))</f>
        <v>16882.3</v>
      </c>
      <c r="J69" s="3">
        <f>ROUND(MIN(Table15[[#This Row],[Beginning Balance]]*IF($C$8="No",$E$3,VLOOKUP(Table15[[#This Row],[Period]],Forecast!$H$2:$L$1048576,2,FALSE)),Table15[[#This Row],[Beginning Balance]]-Table15[[#This Row],[Principal]]-Table15[[#This Row],[Prepayments]]),2)</f>
        <v>4041.58</v>
      </c>
      <c r="K69" s="3">
        <f>ROUND(Table15[[#This Row],[Defaulted Principal]]*IF($C$9="No",$E$4,VLOOKUP(Table15[[#This Row],[Period]],Forecast!$H$2:$L$1048576,3,FALSE)),2)</f>
        <v>350.38</v>
      </c>
      <c r="L69" s="2">
        <f>Table15[[#This Row],[Period]]+$E$9</f>
        <v>65</v>
      </c>
      <c r="M69" s="3">
        <f>Table15[[#This Row],[Defaulted Principal]]-Table15[[#This Row],[Estimated Loss]]</f>
        <v>3691.2</v>
      </c>
      <c r="N69" s="3">
        <f>IFERROR(VLOOKUP(Table15[[#This Row],[Period]],$L$16:$M$385,2,FALSE),0)</f>
        <v>3954.51</v>
      </c>
      <c r="O69" s="3">
        <f>Table15[[#This Row],[Beginning Balance]]-Table15[[#This Row],[Principal]]-Table15[[#This Row],[Prepayments]]-Table15[[#This Row],[Defaulted Principal]]</f>
        <v>5882363.7500000009</v>
      </c>
      <c r="P69" s="3">
        <f>Table15[[#This Row],[Principal]]+Table15[[#This Row],[Interest]]+Table15[[#This Row],[Prepayments]]+Table15[[#This Row],[RecoveredAmount]]</f>
        <v>68226.33</v>
      </c>
      <c r="Q69" s="3">
        <f ca="1">ROUND(Table15[[#This Row],[Cash Flow]]/((1+ActualRateToUse)^(IF(ISNUMBER(SEARCH("Actual",$C$7)),Table15[[#This Row],[Running Total]]/365,Table15[[#This Row],[Period]]/12))),2)</f>
        <v>50282.47</v>
      </c>
      <c r="R69" s="2">
        <f>IF(MONTH(Table15[[#This Row],[Date]])=2,28,DAY(DATE(YEAR(Table15[[#This Row],[Date]]),MONTH(Table15[[#This Row],[Date]])+1,1)-1))</f>
        <v>30</v>
      </c>
      <c r="S69" s="2">
        <f ca="1">SUM(OFFSET(Table15[[#Headers],[Days in month]],1,0):Table15[[#This Row],[Days in month]])</f>
        <v>1613</v>
      </c>
      <c r="T69" s="37">
        <f>InterestRate*AmortizationMultiplier*IF(ISNUMBER(SEARCH("Actual",$C$7)),Table15[[#This Row],[Days in month]]/365,1/12)</f>
        <v>5.6258333333333325E-3</v>
      </c>
    </row>
    <row r="70" spans="2:20" x14ac:dyDescent="0.2">
      <c r="B70" s="1">
        <v>47483</v>
      </c>
      <c r="C70" s="2">
        <f t="shared" si="1"/>
        <v>54</v>
      </c>
      <c r="D70" s="3">
        <f t="shared" si="0"/>
        <v>5882363.7500000009</v>
      </c>
      <c r="E70" s="3">
        <f>ROUND(Table15[[#This Row],[Beginning Balance]]*Table15[[#This Row],[Monthly Interest Rate]],2)</f>
        <v>34196.300000000003</v>
      </c>
      <c r="F70" s="3">
        <f t="shared" si="2"/>
        <v>218</v>
      </c>
      <c r="G70" s="23">
        <f>IFERROR(IF($C$13="No","N/A",IF(Table15[[#This Row],[Period]]=1,$C$6,PMT(InterestRate*AmortizationMultiplier/12,Table15[[#This Row],[Am Thru]],-Table15[[#This Row],[Beginning Balance]]))),0)</f>
        <v>47217.847820020412</v>
      </c>
      <c r="H70" s="3">
        <f>MAX(0,IF(C70=$C$4,D70,ROUND(IF($C$3="Fixed Principal",$C$6-Table15[[#This Row],[Interest]],IF($C$3="Interest Only",Table15[[#This Row],[Beginning Balance]]*ROUND(1-(1-IF($C$11="No",$E$8,1))^(1/12),6),MIN(IF($C$13="Yes",Table15[[#This Row],[Payment Amount (Reamortized)]],$C$6)-Table15[[#This Row],[Interest]],Table15[[#This Row],[Beginning Balance]]))),2)))</f>
        <v>13021.55</v>
      </c>
      <c r="I70" s="3">
        <f>_xlfn.SINGLE(IF($C$3="Line of Credit",0,ROUND(MAX(MIN(IF($C$10="No",$E$7,VLOOKUP(Table15[[#This Row],[Period]],Forecast!$H$2:$L$1048576,4,FALSE))*Table15[[#This Row],[Beginning Balance]],Table15[[#This Row],[Beginning Balance]]-Table15[[#This Row],[Principal]]),0),2)))</f>
        <v>16782.38</v>
      </c>
      <c r="J70" s="3">
        <f>ROUND(MIN(Table15[[#This Row],[Beginning Balance]]*IF($C$8="No",$E$3,VLOOKUP(Table15[[#This Row],[Period]],Forecast!$H$2:$L$1048576,2,FALSE)),Table15[[#This Row],[Beginning Balance]]-Table15[[#This Row],[Principal]]-Table15[[#This Row],[Prepayments]]),2)</f>
        <v>4017.65</v>
      </c>
      <c r="K70" s="3">
        <f>ROUND(Table15[[#This Row],[Defaulted Principal]]*IF($C$9="No",$E$4,VLOOKUP(Table15[[#This Row],[Period]],Forecast!$H$2:$L$1048576,3,FALSE)),2)</f>
        <v>348.31</v>
      </c>
      <c r="L70" s="2">
        <f>Table15[[#This Row],[Period]]+$E$9</f>
        <v>66</v>
      </c>
      <c r="M70" s="3">
        <f>Table15[[#This Row],[Defaulted Principal]]-Table15[[#This Row],[Estimated Loss]]</f>
        <v>3669.34</v>
      </c>
      <c r="N70" s="3">
        <f>IFERROR(VLOOKUP(Table15[[#This Row],[Period]],$L$16:$M$385,2,FALSE),0)</f>
        <v>3931.93</v>
      </c>
      <c r="O70" s="3">
        <f>Table15[[#This Row],[Beginning Balance]]-Table15[[#This Row],[Principal]]-Table15[[#This Row],[Prepayments]]-Table15[[#This Row],[Defaulted Principal]]</f>
        <v>5848542.1700000009</v>
      </c>
      <c r="P70" s="3">
        <f>Table15[[#This Row],[Principal]]+Table15[[#This Row],[Interest]]+Table15[[#This Row],[Prepayments]]+Table15[[#This Row],[RecoveredAmount]]</f>
        <v>67932.160000000003</v>
      </c>
      <c r="Q70" s="3">
        <f ca="1">ROUND(Table15[[#This Row],[Cash Flow]]/((1+ActualRateToUse)^(IF(ISNUMBER(SEARCH("Actual",$C$7)),Table15[[#This Row],[Running Total]]/365,Table15[[#This Row],[Period]]/12))),2)</f>
        <v>49772.89</v>
      </c>
      <c r="R70" s="2">
        <f>IF(MONTH(Table15[[#This Row],[Date]])=2,28,DAY(DATE(YEAR(Table15[[#This Row],[Date]]),MONTH(Table15[[#This Row],[Date]])+1,1)-1))</f>
        <v>31</v>
      </c>
      <c r="S70" s="2">
        <f ca="1">SUM(OFFSET(Table15[[#Headers],[Days in month]],1,0):Table15[[#This Row],[Days in month]])</f>
        <v>1644</v>
      </c>
      <c r="T70" s="37">
        <f>InterestRate*AmortizationMultiplier*IF(ISNUMBER(SEARCH("Actual",$C$7)),Table15[[#This Row],[Days in month]]/365,1/12)</f>
        <v>5.8133611111111103E-3</v>
      </c>
    </row>
    <row r="71" spans="2:20" x14ac:dyDescent="0.2">
      <c r="B71" s="1">
        <v>47514</v>
      </c>
      <c r="C71" s="2">
        <f t="shared" si="1"/>
        <v>55</v>
      </c>
      <c r="D71" s="3">
        <f t="shared" si="0"/>
        <v>5848542.1700000009</v>
      </c>
      <c r="E71" s="3">
        <f>ROUND(Table15[[#This Row],[Beginning Balance]]*Table15[[#This Row],[Monthly Interest Rate]],2)</f>
        <v>33999.69</v>
      </c>
      <c r="F71" s="3">
        <f t="shared" si="2"/>
        <v>217</v>
      </c>
      <c r="G71" s="23">
        <f>IFERROR(IF($C$13="No","N/A",IF(Table15[[#This Row],[Period]]=1,$C$6,PMT(InterestRate*AmortizationMultiplier/12,Table15[[#This Row],[Am Thru]],-Table15[[#This Row],[Beginning Balance]]))),0)</f>
        <v>47055.674000564461</v>
      </c>
      <c r="H71" s="3">
        <f>MAX(0,IF(C71=$C$4,D71,ROUND(IF($C$3="Fixed Principal",$C$6-Table15[[#This Row],[Interest]],IF($C$3="Interest Only",Table15[[#This Row],[Beginning Balance]]*ROUND(1-(1-IF($C$11="No",$E$8,1))^(1/12),6),MIN(IF($C$13="Yes",Table15[[#This Row],[Payment Amount (Reamortized)]],$C$6)-Table15[[#This Row],[Interest]],Table15[[#This Row],[Beginning Balance]]))),2)))</f>
        <v>13055.98</v>
      </c>
      <c r="I71" s="3">
        <f>_xlfn.SINGLE(IF($C$3="Line of Credit",0,ROUND(MAX(MIN(IF($C$10="No",$E$7,VLOOKUP(Table15[[#This Row],[Period]],Forecast!$H$2:$L$1048576,4,FALSE))*Table15[[#This Row],[Beginning Balance]],Table15[[#This Row],[Beginning Balance]]-Table15[[#This Row],[Principal]]),0),2)))</f>
        <v>16685.89</v>
      </c>
      <c r="J71" s="3">
        <f>ROUND(MIN(Table15[[#This Row],[Beginning Balance]]*IF($C$8="No",$E$3,VLOOKUP(Table15[[#This Row],[Period]],Forecast!$H$2:$L$1048576,2,FALSE)),Table15[[#This Row],[Beginning Balance]]-Table15[[#This Row],[Principal]]-Table15[[#This Row],[Prepayments]]),2)</f>
        <v>3994.55</v>
      </c>
      <c r="K71" s="3">
        <f>ROUND(Table15[[#This Row],[Defaulted Principal]]*IF($C$9="No",$E$4,VLOOKUP(Table15[[#This Row],[Period]],Forecast!$H$2:$L$1048576,3,FALSE)),2)</f>
        <v>346.3</v>
      </c>
      <c r="L71" s="2">
        <f>Table15[[#This Row],[Period]]+$E$9</f>
        <v>67</v>
      </c>
      <c r="M71" s="3">
        <f>Table15[[#This Row],[Defaulted Principal]]-Table15[[#This Row],[Estimated Loss]]</f>
        <v>3648.25</v>
      </c>
      <c r="N71" s="3">
        <f>IFERROR(VLOOKUP(Table15[[#This Row],[Period]],$L$16:$M$385,2,FALSE),0)</f>
        <v>3910.1500000000005</v>
      </c>
      <c r="O71" s="3">
        <f>Table15[[#This Row],[Beginning Balance]]-Table15[[#This Row],[Principal]]-Table15[[#This Row],[Prepayments]]-Table15[[#This Row],[Defaulted Principal]]</f>
        <v>5814805.7500000009</v>
      </c>
      <c r="P71" s="3">
        <f>Table15[[#This Row],[Principal]]+Table15[[#This Row],[Interest]]+Table15[[#This Row],[Prepayments]]+Table15[[#This Row],[RecoveredAmount]]</f>
        <v>67651.709999999992</v>
      </c>
      <c r="Q71" s="3">
        <f ca="1">ROUND(Table15[[#This Row],[Cash Flow]]/((1+ActualRateToUse)^(IF(ISNUMBER(SEARCH("Actual",$C$7)),Table15[[#This Row],[Running Total]]/365,Table15[[#This Row],[Period]]/12))),2)</f>
        <v>49277.54</v>
      </c>
      <c r="R71" s="2">
        <f>IF(MONTH(Table15[[#This Row],[Date]])=2,28,DAY(DATE(YEAR(Table15[[#This Row],[Date]]),MONTH(Table15[[#This Row],[Date]])+1,1)-1))</f>
        <v>31</v>
      </c>
      <c r="S71" s="2">
        <f ca="1">SUM(OFFSET(Table15[[#Headers],[Days in month]],1,0):Table15[[#This Row],[Days in month]])</f>
        <v>1675</v>
      </c>
      <c r="T71" s="37">
        <f>InterestRate*AmortizationMultiplier*IF(ISNUMBER(SEARCH("Actual",$C$7)),Table15[[#This Row],[Days in month]]/365,1/12)</f>
        <v>5.8133611111111103E-3</v>
      </c>
    </row>
    <row r="72" spans="2:20" x14ac:dyDescent="0.2">
      <c r="B72" s="1">
        <v>47542</v>
      </c>
      <c r="C72" s="2">
        <f t="shared" si="1"/>
        <v>56</v>
      </c>
      <c r="D72" s="3">
        <f t="shared" si="0"/>
        <v>5814805.7500000009</v>
      </c>
      <c r="E72" s="3">
        <f>ROUND(Table15[[#This Row],[Beginning Balance]]*Table15[[#This Row],[Monthly Interest Rate]],2)</f>
        <v>30532.25</v>
      </c>
      <c r="F72" s="3">
        <f t="shared" si="2"/>
        <v>216</v>
      </c>
      <c r="G72" s="23">
        <f>IFERROR(IF($C$13="No","N/A",IF(Table15[[#This Row],[Period]]=1,$C$6,PMT(InterestRate*AmortizationMultiplier/12,Table15[[#This Row],[Am Thru]],-Table15[[#This Row],[Beginning Balance]]))),0)</f>
        <v>46894.054235213567</v>
      </c>
      <c r="H72" s="3">
        <f>MAX(0,IF(C72=$C$4,D72,ROUND(IF($C$3="Fixed Principal",$C$6-Table15[[#This Row],[Interest]],IF($C$3="Interest Only",Table15[[#This Row],[Beginning Balance]]*ROUND(1-(1-IF($C$11="No",$E$8,1))^(1/12),6),MIN(IF($C$13="Yes",Table15[[#This Row],[Payment Amount (Reamortized)]],$C$6)-Table15[[#This Row],[Interest]],Table15[[#This Row],[Beginning Balance]]))),2)))</f>
        <v>16361.8</v>
      </c>
      <c r="I72" s="3">
        <f>_xlfn.SINGLE(IF($C$3="Line of Credit",0,ROUND(MAX(MIN(IF($C$10="No",$E$7,VLOOKUP(Table15[[#This Row],[Period]],Forecast!$H$2:$L$1048576,4,FALSE))*Table15[[#This Row],[Beginning Balance]],Table15[[#This Row],[Beginning Balance]]-Table15[[#This Row],[Principal]]),0),2)))</f>
        <v>16589.64</v>
      </c>
      <c r="J72" s="3">
        <f>ROUND(MIN(Table15[[#This Row],[Beginning Balance]]*IF($C$8="No",$E$3,VLOOKUP(Table15[[#This Row],[Period]],Forecast!$H$2:$L$1048576,2,FALSE)),Table15[[#This Row],[Beginning Balance]]-Table15[[#This Row],[Principal]]-Table15[[#This Row],[Prepayments]]),2)</f>
        <v>3971.51</v>
      </c>
      <c r="K72" s="3">
        <f>ROUND(Table15[[#This Row],[Defaulted Principal]]*IF($C$9="No",$E$4,VLOOKUP(Table15[[#This Row],[Period]],Forecast!$H$2:$L$1048576,3,FALSE)),2)</f>
        <v>344.31</v>
      </c>
      <c r="L72" s="2">
        <f>Table15[[#This Row],[Period]]+$E$9</f>
        <v>68</v>
      </c>
      <c r="M72" s="3">
        <f>Table15[[#This Row],[Defaulted Principal]]-Table15[[#This Row],[Estimated Loss]]</f>
        <v>3627.2000000000003</v>
      </c>
      <c r="N72" s="3">
        <f>IFERROR(VLOOKUP(Table15[[#This Row],[Period]],$L$16:$M$385,2,FALSE),0)</f>
        <v>3888.43</v>
      </c>
      <c r="O72" s="3">
        <f>Table15[[#This Row],[Beginning Balance]]-Table15[[#This Row],[Principal]]-Table15[[#This Row],[Prepayments]]-Table15[[#This Row],[Defaulted Principal]]</f>
        <v>5777882.8000000017</v>
      </c>
      <c r="P72" s="3">
        <f>Table15[[#This Row],[Principal]]+Table15[[#This Row],[Interest]]+Table15[[#This Row],[Prepayments]]+Table15[[#This Row],[RecoveredAmount]]</f>
        <v>67372.12</v>
      </c>
      <c r="Q72" s="3">
        <f ca="1">ROUND(Table15[[#This Row],[Cash Flow]]/((1+ActualRateToUse)^(IF(ISNUMBER(SEARCH("Actual",$C$7)),Table15[[#This Row],[Running Total]]/365,Table15[[#This Row],[Period]]/12))),2)</f>
        <v>48814.61</v>
      </c>
      <c r="R72" s="2">
        <f>IF(MONTH(Table15[[#This Row],[Date]])=2,28,DAY(DATE(YEAR(Table15[[#This Row],[Date]]),MONTH(Table15[[#This Row],[Date]])+1,1)-1))</f>
        <v>28</v>
      </c>
      <c r="S72" s="2">
        <f ca="1">SUM(OFFSET(Table15[[#Headers],[Days in month]],1,0):Table15[[#This Row],[Days in month]])</f>
        <v>1703</v>
      </c>
      <c r="T72" s="37">
        <f>InterestRate*AmortizationMultiplier*IF(ISNUMBER(SEARCH("Actual",$C$7)),Table15[[#This Row],[Days in month]]/365,1/12)</f>
        <v>5.2507777777777778E-3</v>
      </c>
    </row>
    <row r="73" spans="2:20" x14ac:dyDescent="0.2">
      <c r="B73" s="1">
        <v>47573</v>
      </c>
      <c r="C73" s="2">
        <f t="shared" si="1"/>
        <v>57</v>
      </c>
      <c r="D73" s="3">
        <f t="shared" si="0"/>
        <v>5777882.8000000017</v>
      </c>
      <c r="E73" s="3">
        <f>ROUND(Table15[[#This Row],[Beginning Balance]]*Table15[[#This Row],[Monthly Interest Rate]],2)</f>
        <v>33588.92</v>
      </c>
      <c r="F73" s="3">
        <f t="shared" si="2"/>
        <v>215</v>
      </c>
      <c r="G73" s="23">
        <f>IFERROR(IF($C$13="No","N/A",IF(Table15[[#This Row],[Period]]=1,$C$6,PMT(InterestRate*AmortizationMultiplier/12,Table15[[#This Row],[Am Thru]],-Table15[[#This Row],[Beginning Balance]]))),0)</f>
        <v>46706.542234288092</v>
      </c>
      <c r="H73" s="3">
        <f>MAX(0,IF(C73=$C$4,D73,ROUND(IF($C$3="Fixed Principal",$C$6-Table15[[#This Row],[Interest]],IF($C$3="Interest Only",Table15[[#This Row],[Beginning Balance]]*ROUND(1-(1-IF($C$11="No",$E$8,1))^(1/12),6),MIN(IF($C$13="Yes",Table15[[#This Row],[Payment Amount (Reamortized)]],$C$6)-Table15[[#This Row],[Interest]],Table15[[#This Row],[Beginning Balance]]))),2)))</f>
        <v>13117.62</v>
      </c>
      <c r="I73" s="3">
        <f>_xlfn.SINGLE(IF($C$3="Line of Credit",0,ROUND(MAX(MIN(IF($C$10="No",$E$7,VLOOKUP(Table15[[#This Row],[Period]],Forecast!$H$2:$L$1048576,4,FALSE))*Table15[[#This Row],[Beginning Balance]],Table15[[#This Row],[Beginning Balance]]-Table15[[#This Row],[Principal]]),0),2)))</f>
        <v>16484.3</v>
      </c>
      <c r="J73" s="3">
        <f>ROUND(MIN(Table15[[#This Row],[Beginning Balance]]*IF($C$8="No",$E$3,VLOOKUP(Table15[[#This Row],[Period]],Forecast!$H$2:$L$1048576,2,FALSE)),Table15[[#This Row],[Beginning Balance]]-Table15[[#This Row],[Principal]]-Table15[[#This Row],[Prepayments]]),2)</f>
        <v>3946.29</v>
      </c>
      <c r="K73" s="3">
        <f>ROUND(Table15[[#This Row],[Defaulted Principal]]*IF($C$9="No",$E$4,VLOOKUP(Table15[[#This Row],[Period]],Forecast!$H$2:$L$1048576,3,FALSE)),2)</f>
        <v>342.12</v>
      </c>
      <c r="L73" s="2">
        <f>Table15[[#This Row],[Period]]+$E$9</f>
        <v>69</v>
      </c>
      <c r="M73" s="3">
        <f>Table15[[#This Row],[Defaulted Principal]]-Table15[[#This Row],[Estimated Loss]]</f>
        <v>3604.17</v>
      </c>
      <c r="N73" s="3">
        <f>IFERROR(VLOOKUP(Table15[[#This Row],[Period]],$L$16:$M$385,2,FALSE),0)</f>
        <v>3864.5599999999995</v>
      </c>
      <c r="O73" s="3">
        <f>Table15[[#This Row],[Beginning Balance]]-Table15[[#This Row],[Principal]]-Table15[[#This Row],[Prepayments]]-Table15[[#This Row],[Defaulted Principal]]</f>
        <v>5744334.5900000017</v>
      </c>
      <c r="P73" s="3">
        <f>Table15[[#This Row],[Principal]]+Table15[[#This Row],[Interest]]+Table15[[#This Row],[Prepayments]]+Table15[[#This Row],[RecoveredAmount]]</f>
        <v>67055.399999999994</v>
      </c>
      <c r="Q73" s="3">
        <f ca="1">ROUND(Table15[[#This Row],[Cash Flow]]/((1+ActualRateToUse)^(IF(ISNUMBER(SEARCH("Actual",$C$7)),Table15[[#This Row],[Running Total]]/365,Table15[[#This Row],[Period]]/12))),2)</f>
        <v>48301</v>
      </c>
      <c r="R73" s="2">
        <f>IF(MONTH(Table15[[#This Row],[Date]])=2,28,DAY(DATE(YEAR(Table15[[#This Row],[Date]]),MONTH(Table15[[#This Row],[Date]])+1,1)-1))</f>
        <v>31</v>
      </c>
      <c r="S73" s="2">
        <f ca="1">SUM(OFFSET(Table15[[#Headers],[Days in month]],1,0):Table15[[#This Row],[Days in month]])</f>
        <v>1734</v>
      </c>
      <c r="T73" s="37">
        <f>InterestRate*AmortizationMultiplier*IF(ISNUMBER(SEARCH("Actual",$C$7)),Table15[[#This Row],[Days in month]]/365,1/12)</f>
        <v>5.8133611111111103E-3</v>
      </c>
    </row>
    <row r="74" spans="2:20" x14ac:dyDescent="0.2">
      <c r="B74" s="1">
        <v>47603</v>
      </c>
      <c r="C74" s="2">
        <f t="shared" si="1"/>
        <v>58</v>
      </c>
      <c r="D74" s="3">
        <f t="shared" si="0"/>
        <v>5744334.5900000017</v>
      </c>
      <c r="E74" s="3">
        <f>ROUND(Table15[[#This Row],[Beginning Balance]]*Table15[[#This Row],[Monthly Interest Rate]],2)</f>
        <v>32316.67</v>
      </c>
      <c r="F74" s="3">
        <f t="shared" si="2"/>
        <v>214</v>
      </c>
      <c r="G74" s="23">
        <f>IFERROR(IF($C$13="No","N/A",IF(Table15[[#This Row],[Period]]=1,$C$6,PMT(InterestRate*AmortizationMultiplier/12,Table15[[#This Row],[Am Thru]],-Table15[[#This Row],[Beginning Balance]]))),0)</f>
        <v>46546.115470690835</v>
      </c>
      <c r="H74" s="3">
        <f>MAX(0,IF(C74=$C$4,D74,ROUND(IF($C$3="Fixed Principal",$C$6-Table15[[#This Row],[Interest]],IF($C$3="Interest Only",Table15[[#This Row],[Beginning Balance]]*ROUND(1-(1-IF($C$11="No",$E$8,1))^(1/12),6),MIN(IF($C$13="Yes",Table15[[#This Row],[Payment Amount (Reamortized)]],$C$6)-Table15[[#This Row],[Interest]],Table15[[#This Row],[Beginning Balance]]))),2)))</f>
        <v>14229.45</v>
      </c>
      <c r="I74" s="3">
        <f>_xlfn.SINGLE(IF($C$3="Line of Credit",0,ROUND(MAX(MIN(IF($C$10="No",$E$7,VLOOKUP(Table15[[#This Row],[Period]],Forecast!$H$2:$L$1048576,4,FALSE))*Table15[[#This Row],[Beginning Balance]],Table15[[#This Row],[Beginning Balance]]-Table15[[#This Row],[Principal]]),0),2)))</f>
        <v>16388.59</v>
      </c>
      <c r="J74" s="3">
        <f>ROUND(MIN(Table15[[#This Row],[Beginning Balance]]*IF($C$8="No",$E$3,VLOOKUP(Table15[[#This Row],[Period]],Forecast!$H$2:$L$1048576,2,FALSE)),Table15[[#This Row],[Beginning Balance]]-Table15[[#This Row],[Principal]]-Table15[[#This Row],[Prepayments]]),2)</f>
        <v>3923.38</v>
      </c>
      <c r="K74" s="3">
        <f>ROUND(Table15[[#This Row],[Defaulted Principal]]*IF($C$9="No",$E$4,VLOOKUP(Table15[[#This Row],[Period]],Forecast!$H$2:$L$1048576,3,FALSE)),2)</f>
        <v>340.13</v>
      </c>
      <c r="L74" s="2">
        <f>Table15[[#This Row],[Period]]+$E$9</f>
        <v>70</v>
      </c>
      <c r="M74" s="3">
        <f>Table15[[#This Row],[Defaulted Principal]]-Table15[[#This Row],[Estimated Loss]]</f>
        <v>3583.25</v>
      </c>
      <c r="N74" s="3">
        <f>IFERROR(VLOOKUP(Table15[[#This Row],[Period]],$L$16:$M$385,2,FALSE),0)</f>
        <v>3842.96</v>
      </c>
      <c r="O74" s="3">
        <f>Table15[[#This Row],[Beginning Balance]]-Table15[[#This Row],[Principal]]-Table15[[#This Row],[Prepayments]]-Table15[[#This Row],[Defaulted Principal]]</f>
        <v>5709793.1700000018</v>
      </c>
      <c r="P74" s="3">
        <f>Table15[[#This Row],[Principal]]+Table15[[#This Row],[Interest]]+Table15[[#This Row],[Prepayments]]+Table15[[#This Row],[RecoveredAmount]]</f>
        <v>66777.67</v>
      </c>
      <c r="Q74" s="3">
        <f ca="1">ROUND(Table15[[#This Row],[Cash Flow]]/((1+ActualRateToUse)^(IF(ISNUMBER(SEARCH("Actual",$C$7)),Table15[[#This Row],[Running Total]]/365,Table15[[#This Row],[Period]]/12))),2)</f>
        <v>47828.71</v>
      </c>
      <c r="R74" s="2">
        <f>IF(MONTH(Table15[[#This Row],[Date]])=2,28,DAY(DATE(YEAR(Table15[[#This Row],[Date]]),MONTH(Table15[[#This Row],[Date]])+1,1)-1))</f>
        <v>30</v>
      </c>
      <c r="S74" s="2">
        <f ca="1">SUM(OFFSET(Table15[[#Headers],[Days in month]],1,0):Table15[[#This Row],[Days in month]])</f>
        <v>1764</v>
      </c>
      <c r="T74" s="37">
        <f>InterestRate*AmortizationMultiplier*IF(ISNUMBER(SEARCH("Actual",$C$7)),Table15[[#This Row],[Days in month]]/365,1/12)</f>
        <v>5.6258333333333325E-3</v>
      </c>
    </row>
    <row r="75" spans="2:20" x14ac:dyDescent="0.2">
      <c r="B75" s="1">
        <v>47634</v>
      </c>
      <c r="C75" s="2">
        <f t="shared" si="1"/>
        <v>59</v>
      </c>
      <c r="D75" s="3">
        <f t="shared" si="0"/>
        <v>5709793.1700000018</v>
      </c>
      <c r="E75" s="3">
        <f>ROUND(Table15[[#This Row],[Beginning Balance]]*Table15[[#This Row],[Monthly Interest Rate]],2)</f>
        <v>33193.089999999997</v>
      </c>
      <c r="F75" s="3">
        <f t="shared" si="2"/>
        <v>213</v>
      </c>
      <c r="G75" s="23">
        <f>IFERROR(IF($C$13="No","N/A",IF(Table15[[#This Row],[Period]]=1,$C$6,PMT(InterestRate*AmortizationMultiplier/12,Table15[[#This Row],[Am Thru]],-Table15[[#This Row],[Beginning Balance]]))),0)</f>
        <v>46377.486861835787</v>
      </c>
      <c r="H75" s="3">
        <f>MAX(0,IF(C75=$C$4,D75,ROUND(IF($C$3="Fixed Principal",$C$6-Table15[[#This Row],[Interest]],IF($C$3="Interest Only",Table15[[#This Row],[Beginning Balance]]*ROUND(1-(1-IF($C$11="No",$E$8,1))^(1/12),6),MIN(IF($C$13="Yes",Table15[[#This Row],[Payment Amount (Reamortized)]],$C$6)-Table15[[#This Row],[Interest]],Table15[[#This Row],[Beginning Balance]]))),2)))</f>
        <v>13184.4</v>
      </c>
      <c r="I75" s="3">
        <f>_xlfn.SINGLE(IF($C$3="Line of Credit",0,ROUND(MAX(MIN(IF($C$10="No",$E$7,VLOOKUP(Table15[[#This Row],[Period]],Forecast!$H$2:$L$1048576,4,FALSE))*Table15[[#This Row],[Beginning Balance]],Table15[[#This Row],[Beginning Balance]]-Table15[[#This Row],[Principal]]),0),2)))</f>
        <v>16290.04</v>
      </c>
      <c r="J75" s="3">
        <f>ROUND(MIN(Table15[[#This Row],[Beginning Balance]]*IF($C$8="No",$E$3,VLOOKUP(Table15[[#This Row],[Period]],Forecast!$H$2:$L$1048576,2,FALSE)),Table15[[#This Row],[Beginning Balance]]-Table15[[#This Row],[Principal]]-Table15[[#This Row],[Prepayments]]),2)</f>
        <v>3899.79</v>
      </c>
      <c r="K75" s="3">
        <f>ROUND(Table15[[#This Row],[Defaulted Principal]]*IF($C$9="No",$E$4,VLOOKUP(Table15[[#This Row],[Period]],Forecast!$H$2:$L$1048576,3,FALSE)),2)</f>
        <v>338.09</v>
      </c>
      <c r="L75" s="2">
        <f>Table15[[#This Row],[Period]]+$E$9</f>
        <v>71</v>
      </c>
      <c r="M75" s="3">
        <f>Table15[[#This Row],[Defaulted Principal]]-Table15[[#This Row],[Estimated Loss]]</f>
        <v>3561.7</v>
      </c>
      <c r="N75" s="3">
        <f>IFERROR(VLOOKUP(Table15[[#This Row],[Period]],$L$16:$M$385,2,FALSE),0)</f>
        <v>3820.7</v>
      </c>
      <c r="O75" s="3">
        <f>Table15[[#This Row],[Beginning Balance]]-Table15[[#This Row],[Principal]]-Table15[[#This Row],[Prepayments]]-Table15[[#This Row],[Defaulted Principal]]</f>
        <v>5676418.9400000013</v>
      </c>
      <c r="P75" s="3">
        <f>Table15[[#This Row],[Principal]]+Table15[[#This Row],[Interest]]+Table15[[#This Row],[Prepayments]]+Table15[[#This Row],[RecoveredAmount]]</f>
        <v>66488.23</v>
      </c>
      <c r="Q75" s="3">
        <f ca="1">ROUND(Table15[[#This Row],[Cash Flow]]/((1+ActualRateToUse)^(IF(ISNUMBER(SEARCH("Actual",$C$7)),Table15[[#This Row],[Running Total]]/365,Table15[[#This Row],[Period]]/12))),2)</f>
        <v>47342.91</v>
      </c>
      <c r="R75" s="2">
        <f>IF(MONTH(Table15[[#This Row],[Date]])=2,28,DAY(DATE(YEAR(Table15[[#This Row],[Date]]),MONTH(Table15[[#This Row],[Date]])+1,1)-1))</f>
        <v>31</v>
      </c>
      <c r="S75" s="2">
        <f ca="1">SUM(OFFSET(Table15[[#Headers],[Days in month]],1,0):Table15[[#This Row],[Days in month]])</f>
        <v>1795</v>
      </c>
      <c r="T75" s="37">
        <f>InterestRate*AmortizationMultiplier*IF(ISNUMBER(SEARCH("Actual",$C$7)),Table15[[#This Row],[Days in month]]/365,1/12)</f>
        <v>5.8133611111111103E-3</v>
      </c>
    </row>
    <row r="76" spans="2:20" x14ac:dyDescent="0.2">
      <c r="B76" s="1">
        <v>47664</v>
      </c>
      <c r="C76" s="2">
        <f t="shared" si="1"/>
        <v>60</v>
      </c>
      <c r="D76" s="3">
        <f t="shared" si="0"/>
        <v>5676418.9400000013</v>
      </c>
      <c r="E76" s="3">
        <f>ROUND(Table15[[#This Row],[Beginning Balance]]*Table15[[#This Row],[Monthly Interest Rate]],2)</f>
        <v>31934.59</v>
      </c>
      <c r="F76" s="3">
        <f t="shared" si="2"/>
        <v>212</v>
      </c>
      <c r="G76" s="23">
        <f>IFERROR(IF($C$13="No","N/A",IF(Table15[[#This Row],[Period]]=1,$C$6,PMT(InterestRate*AmortizationMultiplier/12,Table15[[#This Row],[Am Thru]],-Table15[[#This Row],[Beginning Balance]]))),0)</f>
        <v>46218.18405442431</v>
      </c>
      <c r="H76" s="3">
        <f>MAX(0,IF(C76=$C$4,D76,ROUND(IF($C$3="Fixed Principal",$C$6-Table15[[#This Row],[Interest]],IF($C$3="Interest Only",Table15[[#This Row],[Beginning Balance]]*ROUND(1-(1-IF($C$11="No",$E$8,1))^(1/12),6),MIN(IF($C$13="Yes",Table15[[#This Row],[Payment Amount (Reamortized)]],$C$6)-Table15[[#This Row],[Interest]],Table15[[#This Row],[Beginning Balance]]))),2)))</f>
        <v>14283.59</v>
      </c>
      <c r="I76" s="3">
        <f>_xlfn.SINGLE(IF($C$3="Line of Credit",0,ROUND(MAX(MIN(IF($C$10="No",$E$7,VLOOKUP(Table15[[#This Row],[Period]],Forecast!$H$2:$L$1048576,4,FALSE))*Table15[[#This Row],[Beginning Balance]],Table15[[#This Row],[Beginning Balance]]-Table15[[#This Row],[Principal]]),0),2)))</f>
        <v>16194.82</v>
      </c>
      <c r="J76" s="3">
        <f>ROUND(MIN(Table15[[#This Row],[Beginning Balance]]*IF($C$8="No",$E$3,VLOOKUP(Table15[[#This Row],[Period]],Forecast!$H$2:$L$1048576,2,FALSE)),Table15[[#This Row],[Beginning Balance]]-Table15[[#This Row],[Principal]]-Table15[[#This Row],[Prepayments]]),2)</f>
        <v>3876.99</v>
      </c>
      <c r="K76" s="3">
        <f>ROUND(Table15[[#This Row],[Defaulted Principal]]*IF($C$9="No",$E$4,VLOOKUP(Table15[[#This Row],[Period]],Forecast!$H$2:$L$1048576,3,FALSE)),2)</f>
        <v>336.11</v>
      </c>
      <c r="L76" s="2">
        <f>Table15[[#This Row],[Period]]+$E$9</f>
        <v>72</v>
      </c>
      <c r="M76" s="3">
        <f>Table15[[#This Row],[Defaulted Principal]]-Table15[[#This Row],[Estimated Loss]]</f>
        <v>3540.8799999999997</v>
      </c>
      <c r="N76" s="3">
        <f>IFERROR(VLOOKUP(Table15[[#This Row],[Period]],$L$16:$M$385,2,FALSE),0)</f>
        <v>3799.21</v>
      </c>
      <c r="O76" s="3">
        <f>Table15[[#This Row],[Beginning Balance]]-Table15[[#This Row],[Principal]]-Table15[[#This Row],[Prepayments]]-Table15[[#This Row],[Defaulted Principal]]</f>
        <v>5642063.540000001</v>
      </c>
      <c r="P76" s="3">
        <f>Table15[[#This Row],[Principal]]+Table15[[#This Row],[Interest]]+Table15[[#This Row],[Prepayments]]+Table15[[#This Row],[RecoveredAmount]]</f>
        <v>66212.210000000006</v>
      </c>
      <c r="Q76" s="3">
        <f ca="1">ROUND(Table15[[#This Row],[Cash Flow]]/((1+ActualRateToUse)^(IF(ISNUMBER(SEARCH("Actual",$C$7)),Table15[[#This Row],[Running Total]]/365,Table15[[#This Row],[Period]]/12))),2)</f>
        <v>46879.53</v>
      </c>
      <c r="R76" s="2">
        <f>IF(MONTH(Table15[[#This Row],[Date]])=2,28,DAY(DATE(YEAR(Table15[[#This Row],[Date]]),MONTH(Table15[[#This Row],[Date]])+1,1)-1))</f>
        <v>30</v>
      </c>
      <c r="S76" s="2">
        <f ca="1">SUM(OFFSET(Table15[[#Headers],[Days in month]],1,0):Table15[[#This Row],[Days in month]])</f>
        <v>1825</v>
      </c>
      <c r="T76" s="37">
        <f>InterestRate*AmortizationMultiplier*IF(ISNUMBER(SEARCH("Actual",$C$7)),Table15[[#This Row],[Days in month]]/365,1/12)</f>
        <v>5.6258333333333325E-3</v>
      </c>
    </row>
    <row r="77" spans="2:20" x14ac:dyDescent="0.2">
      <c r="B77" s="1">
        <v>47695</v>
      </c>
      <c r="C77" s="2">
        <f t="shared" si="1"/>
        <v>61</v>
      </c>
      <c r="D77" s="3">
        <f t="shared" si="0"/>
        <v>5642063.540000001</v>
      </c>
      <c r="E77" s="3">
        <f>ROUND(Table15[[#This Row],[Beginning Balance]]*Table15[[#This Row],[Monthly Interest Rate]],2)</f>
        <v>32799.35</v>
      </c>
      <c r="F77" s="3">
        <f t="shared" si="2"/>
        <v>211</v>
      </c>
      <c r="G77" s="23">
        <f>IFERROR(IF($C$13="No","N/A",IF(Table15[[#This Row],[Period]]=1,$C$6,PMT(InterestRate*AmortizationMultiplier/12,Table15[[#This Row],[Am Thru]],-Table15[[#This Row],[Beginning Balance]]))),0)</f>
        <v>46050.737079626466</v>
      </c>
      <c r="H77" s="3">
        <f>MAX(0,IF(C77=$C$4,D77,ROUND(IF($C$3="Fixed Principal",$C$6-Table15[[#This Row],[Interest]],IF($C$3="Interest Only",Table15[[#This Row],[Beginning Balance]]*ROUND(1-(1-IF($C$11="No",$E$8,1))^(1/12),6),MIN(IF($C$13="Yes",Table15[[#This Row],[Payment Amount (Reamortized)]],$C$6)-Table15[[#This Row],[Interest]],Table15[[#This Row],[Beginning Balance]]))),2)))</f>
        <v>13251.39</v>
      </c>
      <c r="I77" s="3">
        <f>_xlfn.SINGLE(IF($C$3="Line of Credit",0,ROUND(MAX(MIN(IF($C$10="No",$E$7,VLOOKUP(Table15[[#This Row],[Period]],Forecast!$H$2:$L$1048576,4,FALSE))*Table15[[#This Row],[Beginning Balance]],Table15[[#This Row],[Beginning Balance]]-Table15[[#This Row],[Principal]]),0),2)))</f>
        <v>16096.81</v>
      </c>
      <c r="J77" s="3">
        <f>ROUND(MIN(Table15[[#This Row],[Beginning Balance]]*IF($C$8="No",$E$3,VLOOKUP(Table15[[#This Row],[Period]],Forecast!$H$2:$L$1048576,2,FALSE)),Table15[[#This Row],[Beginning Balance]]-Table15[[#This Row],[Principal]]-Table15[[#This Row],[Prepayments]]),2)</f>
        <v>3853.53</v>
      </c>
      <c r="K77" s="3">
        <f>ROUND(Table15[[#This Row],[Defaulted Principal]]*IF($C$9="No",$E$4,VLOOKUP(Table15[[#This Row],[Period]],Forecast!$H$2:$L$1048576,3,FALSE)),2)</f>
        <v>334.08</v>
      </c>
      <c r="L77" s="2">
        <f>Table15[[#This Row],[Period]]+$E$9</f>
        <v>73</v>
      </c>
      <c r="M77" s="3">
        <f>Table15[[#This Row],[Defaulted Principal]]-Table15[[#This Row],[Estimated Loss]]</f>
        <v>3519.4500000000003</v>
      </c>
      <c r="N77" s="3">
        <f>IFERROR(VLOOKUP(Table15[[#This Row],[Period]],$L$16:$M$385,2,FALSE),0)</f>
        <v>3777.0700000000006</v>
      </c>
      <c r="O77" s="3">
        <f>Table15[[#This Row],[Beginning Balance]]-Table15[[#This Row],[Principal]]-Table15[[#This Row],[Prepayments]]-Table15[[#This Row],[Defaulted Principal]]</f>
        <v>5608861.8100000015</v>
      </c>
      <c r="P77" s="3">
        <f>Table15[[#This Row],[Principal]]+Table15[[#This Row],[Interest]]+Table15[[#This Row],[Prepayments]]+Table15[[#This Row],[RecoveredAmount]]</f>
        <v>65924.62</v>
      </c>
      <c r="Q77" s="3">
        <f ca="1">ROUND(Table15[[#This Row],[Cash Flow]]/((1+ActualRateToUse)^(IF(ISNUMBER(SEARCH("Actual",$C$7)),Table15[[#This Row],[Running Total]]/365,Table15[[#This Row],[Period]]/12))),2)</f>
        <v>46402.96</v>
      </c>
      <c r="R77" s="2">
        <f>IF(MONTH(Table15[[#This Row],[Date]])=2,28,DAY(DATE(YEAR(Table15[[#This Row],[Date]]),MONTH(Table15[[#This Row],[Date]])+1,1)-1))</f>
        <v>31</v>
      </c>
      <c r="S77" s="2">
        <f ca="1">SUM(OFFSET(Table15[[#Headers],[Days in month]],1,0):Table15[[#This Row],[Days in month]])</f>
        <v>1856</v>
      </c>
      <c r="T77" s="37">
        <f>InterestRate*AmortizationMultiplier*IF(ISNUMBER(SEARCH("Actual",$C$7)),Table15[[#This Row],[Days in month]]/365,1/12)</f>
        <v>5.8133611111111103E-3</v>
      </c>
    </row>
    <row r="78" spans="2:20" x14ac:dyDescent="0.2">
      <c r="B78" s="1">
        <v>47726</v>
      </c>
      <c r="C78" s="2">
        <f t="shared" si="1"/>
        <v>62</v>
      </c>
      <c r="D78" s="3">
        <f t="shared" si="0"/>
        <v>5608861.8100000015</v>
      </c>
      <c r="E78" s="3">
        <f>ROUND(Table15[[#This Row],[Beginning Balance]]*Table15[[#This Row],[Monthly Interest Rate]],2)</f>
        <v>32606.34</v>
      </c>
      <c r="F78" s="3">
        <f t="shared" si="2"/>
        <v>210</v>
      </c>
      <c r="G78" s="23">
        <f>IFERROR(IF($C$13="No","N/A",IF(Table15[[#This Row],[Period]]=1,$C$6,PMT(InterestRate*AmortizationMultiplier/12,Table15[[#This Row],[Am Thru]],-Table15[[#This Row],[Beginning Balance]]))),0)</f>
        <v>45892.550311461375</v>
      </c>
      <c r="H78" s="3">
        <f>MAX(0,IF(C78=$C$4,D78,ROUND(IF($C$3="Fixed Principal",$C$6-Table15[[#This Row],[Interest]],IF($C$3="Interest Only",Table15[[#This Row],[Beginning Balance]]*ROUND(1-(1-IF($C$11="No",$E$8,1))^(1/12),6),MIN(IF($C$13="Yes",Table15[[#This Row],[Payment Amount (Reamortized)]],$C$6)-Table15[[#This Row],[Interest]],Table15[[#This Row],[Beginning Balance]]))),2)))</f>
        <v>13286.21</v>
      </c>
      <c r="I78" s="3">
        <f>_xlfn.SINGLE(IF($C$3="Line of Credit",0,ROUND(MAX(MIN(IF($C$10="No",$E$7,VLOOKUP(Table15[[#This Row],[Period]],Forecast!$H$2:$L$1048576,4,FALSE))*Table15[[#This Row],[Beginning Balance]],Table15[[#This Row],[Beginning Balance]]-Table15[[#This Row],[Principal]]),0),2)))</f>
        <v>16002.08</v>
      </c>
      <c r="J78" s="3">
        <f>ROUND(MIN(Table15[[#This Row],[Beginning Balance]]*IF($C$8="No",$E$3,VLOOKUP(Table15[[#This Row],[Period]],Forecast!$H$2:$L$1048576,2,FALSE)),Table15[[#This Row],[Beginning Balance]]-Table15[[#This Row],[Principal]]-Table15[[#This Row],[Prepayments]]),2)</f>
        <v>3830.85</v>
      </c>
      <c r="K78" s="3">
        <f>ROUND(Table15[[#This Row],[Defaulted Principal]]*IF($C$9="No",$E$4,VLOOKUP(Table15[[#This Row],[Period]],Forecast!$H$2:$L$1048576,3,FALSE)),2)</f>
        <v>332.11</v>
      </c>
      <c r="L78" s="2">
        <f>Table15[[#This Row],[Period]]+$E$9</f>
        <v>74</v>
      </c>
      <c r="M78" s="3">
        <f>Table15[[#This Row],[Defaulted Principal]]-Table15[[#This Row],[Estimated Loss]]</f>
        <v>3498.74</v>
      </c>
      <c r="N78" s="3">
        <f>IFERROR(VLOOKUP(Table15[[#This Row],[Period]],$L$16:$M$385,2,FALSE),0)</f>
        <v>3755.6899999999996</v>
      </c>
      <c r="O78" s="3">
        <f>Table15[[#This Row],[Beginning Balance]]-Table15[[#This Row],[Principal]]-Table15[[#This Row],[Prepayments]]-Table15[[#This Row],[Defaulted Principal]]</f>
        <v>5575742.6700000018</v>
      </c>
      <c r="P78" s="3">
        <f>Table15[[#This Row],[Principal]]+Table15[[#This Row],[Interest]]+Table15[[#This Row],[Prepayments]]+Table15[[#This Row],[RecoveredAmount]]</f>
        <v>65650.320000000007</v>
      </c>
      <c r="Q78" s="3">
        <f ca="1">ROUND(Table15[[#This Row],[Cash Flow]]/((1+ActualRateToUse)^(IF(ISNUMBER(SEARCH("Actual",$C$7)),Table15[[#This Row],[Running Total]]/365,Table15[[#This Row],[Period]]/12))),2)</f>
        <v>45939.65</v>
      </c>
      <c r="R78" s="2">
        <f>IF(MONTH(Table15[[#This Row],[Date]])=2,28,DAY(DATE(YEAR(Table15[[#This Row],[Date]]),MONTH(Table15[[#This Row],[Date]])+1,1)-1))</f>
        <v>31</v>
      </c>
      <c r="S78" s="2">
        <f ca="1">SUM(OFFSET(Table15[[#Headers],[Days in month]],1,0):Table15[[#This Row],[Days in month]])</f>
        <v>1887</v>
      </c>
      <c r="T78" s="37">
        <f>InterestRate*AmortizationMultiplier*IF(ISNUMBER(SEARCH("Actual",$C$7)),Table15[[#This Row],[Days in month]]/365,1/12)</f>
        <v>5.8133611111111103E-3</v>
      </c>
    </row>
    <row r="79" spans="2:20" x14ac:dyDescent="0.2">
      <c r="B79" s="1">
        <v>47756</v>
      </c>
      <c r="C79" s="2">
        <f t="shared" si="1"/>
        <v>63</v>
      </c>
      <c r="D79" s="3">
        <f t="shared" si="0"/>
        <v>5575742.6700000018</v>
      </c>
      <c r="E79" s="3">
        <f>ROUND(Table15[[#This Row],[Beginning Balance]]*Table15[[#This Row],[Monthly Interest Rate]],2)</f>
        <v>31368.2</v>
      </c>
      <c r="F79" s="3">
        <f t="shared" si="2"/>
        <v>209</v>
      </c>
      <c r="G79" s="23">
        <f>IFERROR(IF($C$13="No","N/A",IF(Table15[[#This Row],[Period]]=1,$C$6,PMT(InterestRate*AmortizationMultiplier/12,Table15[[#This Row],[Am Thru]],-Table15[[#This Row],[Beginning Balance]]))),0)</f>
        <v>45734.903872140458</v>
      </c>
      <c r="H79" s="3">
        <f>MAX(0,IF(C79=$C$4,D79,ROUND(IF($C$3="Fixed Principal",$C$6-Table15[[#This Row],[Interest]],IF($C$3="Interest Only",Table15[[#This Row],[Beginning Balance]]*ROUND(1-(1-IF($C$11="No",$E$8,1))^(1/12),6),MIN(IF($C$13="Yes",Table15[[#This Row],[Payment Amount (Reamortized)]],$C$6)-Table15[[#This Row],[Interest]],Table15[[#This Row],[Beginning Balance]]))),2)))</f>
        <v>14366.7</v>
      </c>
      <c r="I79" s="3">
        <f>_xlfn.SINGLE(IF($C$3="Line of Credit",0,ROUND(MAX(MIN(IF($C$10="No",$E$7,VLOOKUP(Table15[[#This Row],[Period]],Forecast!$H$2:$L$1048576,4,FALSE))*Table15[[#This Row],[Beginning Balance]],Table15[[#This Row],[Beginning Balance]]-Table15[[#This Row],[Principal]]),0),2)))</f>
        <v>15907.59</v>
      </c>
      <c r="J79" s="3">
        <f>ROUND(MIN(Table15[[#This Row],[Beginning Balance]]*IF($C$8="No",$E$3,VLOOKUP(Table15[[#This Row],[Period]],Forecast!$H$2:$L$1048576,2,FALSE)),Table15[[#This Row],[Beginning Balance]]-Table15[[#This Row],[Principal]]-Table15[[#This Row],[Prepayments]]),2)</f>
        <v>3808.23</v>
      </c>
      <c r="K79" s="3">
        <f>ROUND(Table15[[#This Row],[Defaulted Principal]]*IF($C$9="No",$E$4,VLOOKUP(Table15[[#This Row],[Period]],Forecast!$H$2:$L$1048576,3,FALSE)),2)</f>
        <v>330.15</v>
      </c>
      <c r="L79" s="2">
        <f>Table15[[#This Row],[Period]]+$E$9</f>
        <v>75</v>
      </c>
      <c r="M79" s="3">
        <f>Table15[[#This Row],[Defaulted Principal]]-Table15[[#This Row],[Estimated Loss]]</f>
        <v>3478.08</v>
      </c>
      <c r="N79" s="3">
        <f>IFERROR(VLOOKUP(Table15[[#This Row],[Period]],$L$16:$M$385,2,FALSE),0)</f>
        <v>3734.37</v>
      </c>
      <c r="O79" s="3">
        <f>Table15[[#This Row],[Beginning Balance]]-Table15[[#This Row],[Principal]]-Table15[[#This Row],[Prepayments]]-Table15[[#This Row],[Defaulted Principal]]</f>
        <v>5541660.1500000013</v>
      </c>
      <c r="P79" s="3">
        <f>Table15[[#This Row],[Principal]]+Table15[[#This Row],[Interest]]+Table15[[#This Row],[Prepayments]]+Table15[[#This Row],[RecoveredAmount]]</f>
        <v>65376.860000000008</v>
      </c>
      <c r="Q79" s="3">
        <f ca="1">ROUND(Table15[[#This Row],[Cash Flow]]/((1+ActualRateToUse)^(IF(ISNUMBER(SEARCH("Actual",$C$7)),Table15[[#This Row],[Running Total]]/365,Table15[[#This Row],[Period]]/12))),2)</f>
        <v>45489.37</v>
      </c>
      <c r="R79" s="2">
        <f>IF(MONTH(Table15[[#This Row],[Date]])=2,28,DAY(DATE(YEAR(Table15[[#This Row],[Date]]),MONTH(Table15[[#This Row],[Date]])+1,1)-1))</f>
        <v>30</v>
      </c>
      <c r="S79" s="2">
        <f ca="1">SUM(OFFSET(Table15[[#Headers],[Days in month]],1,0):Table15[[#This Row],[Days in month]])</f>
        <v>1917</v>
      </c>
      <c r="T79" s="37">
        <f>InterestRate*AmortizationMultiplier*IF(ISNUMBER(SEARCH("Actual",$C$7)),Table15[[#This Row],[Days in month]]/365,1/12)</f>
        <v>5.6258333333333325E-3</v>
      </c>
    </row>
    <row r="80" spans="2:20" x14ac:dyDescent="0.2">
      <c r="B80" s="1">
        <v>47787</v>
      </c>
      <c r="C80" s="2">
        <f t="shared" si="1"/>
        <v>64</v>
      </c>
      <c r="D80" s="3">
        <f t="shared" si="0"/>
        <v>5541660.1500000013</v>
      </c>
      <c r="E80" s="3">
        <f>ROUND(Table15[[#This Row],[Beginning Balance]]*Table15[[#This Row],[Monthly Interest Rate]],2)</f>
        <v>32215.67</v>
      </c>
      <c r="F80" s="3">
        <f t="shared" si="2"/>
        <v>208</v>
      </c>
      <c r="G80" s="23">
        <f>IFERROR(IF($C$13="No","N/A",IF(Table15[[#This Row],[Period]]=1,$C$6,PMT(InterestRate*AmortizationMultiplier/12,Table15[[#This Row],[Am Thru]],-Table15[[#This Row],[Beginning Balance]]))),0)</f>
        <v>45569.197755433357</v>
      </c>
      <c r="H80" s="3">
        <f>MAX(0,IF(C80=$C$4,D80,ROUND(IF($C$3="Fixed Principal",$C$6-Table15[[#This Row],[Interest]],IF($C$3="Interest Only",Table15[[#This Row],[Beginning Balance]]*ROUND(1-(1-IF($C$11="No",$E$8,1))^(1/12),6),MIN(IF($C$13="Yes",Table15[[#This Row],[Payment Amount (Reamortized)]],$C$6)-Table15[[#This Row],[Interest]],Table15[[#This Row],[Beginning Balance]]))),2)))</f>
        <v>13353.53</v>
      </c>
      <c r="I80" s="3">
        <f>_xlfn.SINGLE(IF($C$3="Line of Credit",0,ROUND(MAX(MIN(IF($C$10="No",$E$7,VLOOKUP(Table15[[#This Row],[Period]],Forecast!$H$2:$L$1048576,4,FALSE))*Table15[[#This Row],[Beginning Balance]],Table15[[#This Row],[Beginning Balance]]-Table15[[#This Row],[Principal]]),0),2)))</f>
        <v>15810.36</v>
      </c>
      <c r="J80" s="3">
        <f>ROUND(MIN(Table15[[#This Row],[Beginning Balance]]*IF($C$8="No",$E$3,VLOOKUP(Table15[[#This Row],[Period]],Forecast!$H$2:$L$1048576,2,FALSE)),Table15[[#This Row],[Beginning Balance]]-Table15[[#This Row],[Principal]]-Table15[[#This Row],[Prepayments]]),2)</f>
        <v>3784.95</v>
      </c>
      <c r="K80" s="3">
        <f>ROUND(Table15[[#This Row],[Defaulted Principal]]*IF($C$9="No",$E$4,VLOOKUP(Table15[[#This Row],[Period]],Forecast!$H$2:$L$1048576,3,FALSE)),2)</f>
        <v>328.13</v>
      </c>
      <c r="L80" s="2">
        <f>Table15[[#This Row],[Period]]+$E$9</f>
        <v>76</v>
      </c>
      <c r="M80" s="3">
        <f>Table15[[#This Row],[Defaulted Principal]]-Table15[[#This Row],[Estimated Loss]]</f>
        <v>3456.8199999999997</v>
      </c>
      <c r="N80" s="3">
        <f>IFERROR(VLOOKUP(Table15[[#This Row],[Period]],$L$16:$M$385,2,FALSE),0)</f>
        <v>3712.4100000000003</v>
      </c>
      <c r="O80" s="3">
        <f>Table15[[#This Row],[Beginning Balance]]-Table15[[#This Row],[Principal]]-Table15[[#This Row],[Prepayments]]-Table15[[#This Row],[Defaulted Principal]]</f>
        <v>5508711.3100000005</v>
      </c>
      <c r="P80" s="3">
        <f>Table15[[#This Row],[Principal]]+Table15[[#This Row],[Interest]]+Table15[[#This Row],[Prepayments]]+Table15[[#This Row],[RecoveredAmount]]</f>
        <v>65091.97</v>
      </c>
      <c r="Q80" s="3">
        <f ca="1">ROUND(Table15[[#This Row],[Cash Flow]]/((1+ActualRateToUse)^(IF(ISNUMBER(SEARCH("Actual",$C$7)),Table15[[#This Row],[Running Total]]/365,Table15[[#This Row],[Period]]/12))),2)</f>
        <v>45026.28</v>
      </c>
      <c r="R80" s="2">
        <f>IF(MONTH(Table15[[#This Row],[Date]])=2,28,DAY(DATE(YEAR(Table15[[#This Row],[Date]]),MONTH(Table15[[#This Row],[Date]])+1,1)-1))</f>
        <v>31</v>
      </c>
      <c r="S80" s="2">
        <f ca="1">SUM(OFFSET(Table15[[#Headers],[Days in month]],1,0):Table15[[#This Row],[Days in month]])</f>
        <v>1948</v>
      </c>
      <c r="T80" s="37">
        <f>InterestRate*AmortizationMultiplier*IF(ISNUMBER(SEARCH("Actual",$C$7)),Table15[[#This Row],[Days in month]]/365,1/12)</f>
        <v>5.8133611111111103E-3</v>
      </c>
    </row>
    <row r="81" spans="2:20" x14ac:dyDescent="0.2">
      <c r="B81" s="1">
        <v>47817</v>
      </c>
      <c r="C81" s="2">
        <f t="shared" si="1"/>
        <v>65</v>
      </c>
      <c r="D81" s="3">
        <f t="shared" si="0"/>
        <v>5508711.3100000005</v>
      </c>
      <c r="E81" s="3">
        <f>ROUND(Table15[[#This Row],[Beginning Balance]]*Table15[[#This Row],[Monthly Interest Rate]],2)</f>
        <v>30991.09</v>
      </c>
      <c r="F81" s="3">
        <f t="shared" si="2"/>
        <v>207</v>
      </c>
      <c r="G81" s="23">
        <f>IFERROR(IF($C$13="No","N/A",IF(Table15[[#This Row],[Period]]=1,$C$6,PMT(InterestRate*AmortizationMultiplier/12,Table15[[#This Row],[Am Thru]],-Table15[[#This Row],[Beginning Balance]]))),0)</f>
        <v>45412.655574246717</v>
      </c>
      <c r="H81" s="3">
        <f>MAX(0,IF(C81=$C$4,D81,ROUND(IF($C$3="Fixed Principal",$C$6-Table15[[#This Row],[Interest]],IF($C$3="Interest Only",Table15[[#This Row],[Beginning Balance]]*ROUND(1-(1-IF($C$11="No",$E$8,1))^(1/12),6),MIN(IF($C$13="Yes",Table15[[#This Row],[Payment Amount (Reamortized)]],$C$6)-Table15[[#This Row],[Interest]],Table15[[#This Row],[Beginning Balance]]))),2)))</f>
        <v>14421.57</v>
      </c>
      <c r="I81" s="3">
        <f>_xlfn.SINGLE(IF($C$3="Line of Credit",0,ROUND(MAX(MIN(IF($C$10="No",$E$7,VLOOKUP(Table15[[#This Row],[Period]],Forecast!$H$2:$L$1048576,4,FALSE))*Table15[[#This Row],[Beginning Balance]],Table15[[#This Row],[Beginning Balance]]-Table15[[#This Row],[Principal]]),0),2)))</f>
        <v>15716.35</v>
      </c>
      <c r="J81" s="3">
        <f>ROUND(MIN(Table15[[#This Row],[Beginning Balance]]*IF($C$8="No",$E$3,VLOOKUP(Table15[[#This Row],[Period]],Forecast!$H$2:$L$1048576,2,FALSE)),Table15[[#This Row],[Beginning Balance]]-Table15[[#This Row],[Principal]]-Table15[[#This Row],[Prepayments]]),2)</f>
        <v>3762.45</v>
      </c>
      <c r="K81" s="3">
        <f>ROUND(Table15[[#This Row],[Defaulted Principal]]*IF($C$9="No",$E$4,VLOOKUP(Table15[[#This Row],[Period]],Forecast!$H$2:$L$1048576,3,FALSE)),2)</f>
        <v>326.18</v>
      </c>
      <c r="L81" s="2">
        <f>Table15[[#This Row],[Period]]+$E$9</f>
        <v>77</v>
      </c>
      <c r="M81" s="3">
        <f>Table15[[#This Row],[Defaulted Principal]]-Table15[[#This Row],[Estimated Loss]]</f>
        <v>3436.27</v>
      </c>
      <c r="N81" s="3">
        <f>IFERROR(VLOOKUP(Table15[[#This Row],[Period]],$L$16:$M$385,2,FALSE),0)</f>
        <v>3691.2</v>
      </c>
      <c r="O81" s="3">
        <f>Table15[[#This Row],[Beginning Balance]]-Table15[[#This Row],[Principal]]-Table15[[#This Row],[Prepayments]]-Table15[[#This Row],[Defaulted Principal]]</f>
        <v>5474810.9400000004</v>
      </c>
      <c r="P81" s="3">
        <f>Table15[[#This Row],[Principal]]+Table15[[#This Row],[Interest]]+Table15[[#This Row],[Prepayments]]+Table15[[#This Row],[RecoveredAmount]]</f>
        <v>64820.21</v>
      </c>
      <c r="Q81" s="3">
        <f ca="1">ROUND(Table15[[#This Row],[Cash Flow]]/((1+ActualRateToUse)^(IF(ISNUMBER(SEARCH("Actual",$C$7)),Table15[[#This Row],[Running Total]]/365,Table15[[#This Row],[Period]]/12))),2)</f>
        <v>44584.52</v>
      </c>
      <c r="R81" s="2">
        <f>IF(MONTH(Table15[[#This Row],[Date]])=2,28,DAY(DATE(YEAR(Table15[[#This Row],[Date]]),MONTH(Table15[[#This Row],[Date]])+1,1)-1))</f>
        <v>30</v>
      </c>
      <c r="S81" s="2">
        <f ca="1">SUM(OFFSET(Table15[[#Headers],[Days in month]],1,0):Table15[[#This Row],[Days in month]])</f>
        <v>1978</v>
      </c>
      <c r="T81" s="37">
        <f>InterestRate*AmortizationMultiplier*IF(ISNUMBER(SEARCH("Actual",$C$7)),Table15[[#This Row],[Days in month]]/365,1/12)</f>
        <v>5.6258333333333325E-3</v>
      </c>
    </row>
    <row r="82" spans="2:20" x14ac:dyDescent="0.2">
      <c r="B82" s="1">
        <v>47848</v>
      </c>
      <c r="C82" s="2">
        <f t="shared" si="1"/>
        <v>66</v>
      </c>
      <c r="D82" s="3">
        <f t="shared" ref="D82:D145" si="3">O81</f>
        <v>5474810.9400000004</v>
      </c>
      <c r="E82" s="3">
        <f>ROUND(Table15[[#This Row],[Beginning Balance]]*Table15[[#This Row],[Monthly Interest Rate]],2)</f>
        <v>31827.05</v>
      </c>
      <c r="F82" s="3">
        <f t="shared" si="2"/>
        <v>206</v>
      </c>
      <c r="G82" s="23">
        <f>IFERROR(IF($C$13="No","N/A",IF(Table15[[#This Row],[Period]]=1,$C$6,PMT(InterestRate*AmortizationMultiplier/12,Table15[[#This Row],[Am Thru]],-Table15[[#This Row],[Beginning Balance]]))),0)</f>
        <v>45248.110094724783</v>
      </c>
      <c r="H82" s="3">
        <f>MAX(0,IF(C82=$C$4,D82,ROUND(IF($C$3="Fixed Principal",$C$6-Table15[[#This Row],[Interest]],IF($C$3="Interest Only",Table15[[#This Row],[Beginning Balance]]*ROUND(1-(1-IF($C$11="No",$E$8,1))^(1/12),6),MIN(IF($C$13="Yes",Table15[[#This Row],[Payment Amount (Reamortized)]],$C$6)-Table15[[#This Row],[Interest]],Table15[[#This Row],[Beginning Balance]]))),2)))</f>
        <v>13421.06</v>
      </c>
      <c r="I82" s="3">
        <f>_xlfn.SINGLE(IF($C$3="Line of Credit",0,ROUND(MAX(MIN(IF($C$10="No",$E$7,VLOOKUP(Table15[[#This Row],[Period]],Forecast!$H$2:$L$1048576,4,FALSE))*Table15[[#This Row],[Beginning Balance]],Table15[[#This Row],[Beginning Balance]]-Table15[[#This Row],[Principal]]),0),2)))</f>
        <v>15619.64</v>
      </c>
      <c r="J82" s="3">
        <f>ROUND(MIN(Table15[[#This Row],[Beginning Balance]]*IF($C$8="No",$E$3,VLOOKUP(Table15[[#This Row],[Period]],Forecast!$H$2:$L$1048576,2,FALSE)),Table15[[#This Row],[Beginning Balance]]-Table15[[#This Row],[Principal]]-Table15[[#This Row],[Prepayments]]),2)</f>
        <v>3739.3</v>
      </c>
      <c r="K82" s="3">
        <f>ROUND(Table15[[#This Row],[Defaulted Principal]]*IF($C$9="No",$E$4,VLOOKUP(Table15[[#This Row],[Period]],Forecast!$H$2:$L$1048576,3,FALSE)),2)</f>
        <v>324.17</v>
      </c>
      <c r="L82" s="2">
        <f>Table15[[#This Row],[Period]]+$E$9</f>
        <v>78</v>
      </c>
      <c r="M82" s="3">
        <f>Table15[[#This Row],[Defaulted Principal]]-Table15[[#This Row],[Estimated Loss]]</f>
        <v>3415.13</v>
      </c>
      <c r="N82" s="3">
        <f>IFERROR(VLOOKUP(Table15[[#This Row],[Period]],$L$16:$M$385,2,FALSE),0)</f>
        <v>3669.34</v>
      </c>
      <c r="O82" s="3">
        <f>Table15[[#This Row],[Beginning Balance]]-Table15[[#This Row],[Principal]]-Table15[[#This Row],[Prepayments]]-Table15[[#This Row],[Defaulted Principal]]</f>
        <v>5442030.9400000013</v>
      </c>
      <c r="P82" s="3">
        <f>Table15[[#This Row],[Principal]]+Table15[[#This Row],[Interest]]+Table15[[#This Row],[Prepayments]]+Table15[[#This Row],[RecoveredAmount]]</f>
        <v>64537.09</v>
      </c>
      <c r="Q82" s="3">
        <f ca="1">ROUND(Table15[[#This Row],[Cash Flow]]/((1+ActualRateToUse)^(IF(ISNUMBER(SEARCH("Actual",$C$7)),Table15[[#This Row],[Running Total]]/365,Table15[[#This Row],[Period]]/12))),2)</f>
        <v>44130.2</v>
      </c>
      <c r="R82" s="2">
        <f>IF(MONTH(Table15[[#This Row],[Date]])=2,28,DAY(DATE(YEAR(Table15[[#This Row],[Date]]),MONTH(Table15[[#This Row],[Date]])+1,1)-1))</f>
        <v>31</v>
      </c>
      <c r="S82" s="2">
        <f ca="1">SUM(OFFSET(Table15[[#Headers],[Days in month]],1,0):Table15[[#This Row],[Days in month]])</f>
        <v>2009</v>
      </c>
      <c r="T82" s="37">
        <f>InterestRate*AmortizationMultiplier*IF(ISNUMBER(SEARCH("Actual",$C$7)),Table15[[#This Row],[Days in month]]/365,1/12)</f>
        <v>5.8133611111111103E-3</v>
      </c>
    </row>
    <row r="83" spans="2:20" x14ac:dyDescent="0.2">
      <c r="B83" s="1">
        <v>47879</v>
      </c>
      <c r="C83" s="2">
        <f t="shared" ref="C83:C146" si="4">C82+1</f>
        <v>67</v>
      </c>
      <c r="D83" s="3">
        <f t="shared" si="3"/>
        <v>5442030.9400000013</v>
      </c>
      <c r="E83" s="3">
        <f>ROUND(Table15[[#This Row],[Beginning Balance]]*Table15[[#This Row],[Monthly Interest Rate]],2)</f>
        <v>31636.49</v>
      </c>
      <c r="F83" s="3">
        <f t="shared" ref="F83:F146" si="5">+F82-1</f>
        <v>205</v>
      </c>
      <c r="G83" s="23">
        <f>IFERROR(IF($C$13="No","N/A",IF(Table15[[#This Row],[Period]]=1,$C$6,PMT(InterestRate*AmortizationMultiplier/12,Table15[[#This Row],[Am Thru]],-Table15[[#This Row],[Beginning Balance]]))),0)</f>
        <v>45092.664361121992</v>
      </c>
      <c r="H83" s="3">
        <f>MAX(0,IF(C83=$C$4,D83,ROUND(IF($C$3="Fixed Principal",$C$6-Table15[[#This Row],[Interest]],IF($C$3="Interest Only",Table15[[#This Row],[Beginning Balance]]*ROUND(1-(1-IF($C$11="No",$E$8,1))^(1/12),6),MIN(IF($C$13="Yes",Table15[[#This Row],[Payment Amount (Reamortized)]],$C$6)-Table15[[#This Row],[Interest]],Table15[[#This Row],[Beginning Balance]]))),2)))</f>
        <v>13456.17</v>
      </c>
      <c r="I83" s="3">
        <f>_xlfn.SINGLE(IF($C$3="Line of Credit",0,ROUND(MAX(MIN(IF($C$10="No",$E$7,VLOOKUP(Table15[[#This Row],[Period]],Forecast!$H$2:$L$1048576,4,FALSE))*Table15[[#This Row],[Beginning Balance]],Table15[[#This Row],[Beginning Balance]]-Table15[[#This Row],[Principal]]),0),2)))</f>
        <v>15526.11</v>
      </c>
      <c r="J83" s="3">
        <f>ROUND(MIN(Table15[[#This Row],[Beginning Balance]]*IF($C$8="No",$E$3,VLOOKUP(Table15[[#This Row],[Period]],Forecast!$H$2:$L$1048576,2,FALSE)),Table15[[#This Row],[Beginning Balance]]-Table15[[#This Row],[Principal]]-Table15[[#This Row],[Prepayments]]),2)</f>
        <v>3716.91</v>
      </c>
      <c r="K83" s="3">
        <f>ROUND(Table15[[#This Row],[Defaulted Principal]]*IF($C$9="No",$E$4,VLOOKUP(Table15[[#This Row],[Period]],Forecast!$H$2:$L$1048576,3,FALSE)),2)</f>
        <v>322.23</v>
      </c>
      <c r="L83" s="2">
        <f>Table15[[#This Row],[Period]]+$E$9</f>
        <v>79</v>
      </c>
      <c r="M83" s="3">
        <f>Table15[[#This Row],[Defaulted Principal]]-Table15[[#This Row],[Estimated Loss]]</f>
        <v>3394.68</v>
      </c>
      <c r="N83" s="3">
        <f>IFERROR(VLOOKUP(Table15[[#This Row],[Period]],$L$16:$M$385,2,FALSE),0)</f>
        <v>3648.25</v>
      </c>
      <c r="O83" s="3">
        <f>Table15[[#This Row],[Beginning Balance]]-Table15[[#This Row],[Principal]]-Table15[[#This Row],[Prepayments]]-Table15[[#This Row],[Defaulted Principal]]</f>
        <v>5409331.7500000009</v>
      </c>
      <c r="P83" s="3">
        <f>Table15[[#This Row],[Principal]]+Table15[[#This Row],[Interest]]+Table15[[#This Row],[Prepayments]]+Table15[[#This Row],[RecoveredAmount]]</f>
        <v>64267.020000000004</v>
      </c>
      <c r="Q83" s="3">
        <f ca="1">ROUND(Table15[[#This Row],[Cash Flow]]/((1+ActualRateToUse)^(IF(ISNUMBER(SEARCH("Actual",$C$7)),Table15[[#This Row],[Running Total]]/365,Table15[[#This Row],[Period]]/12))),2)</f>
        <v>43688.53</v>
      </c>
      <c r="R83" s="2">
        <f>IF(MONTH(Table15[[#This Row],[Date]])=2,28,DAY(DATE(YEAR(Table15[[#This Row],[Date]]),MONTH(Table15[[#This Row],[Date]])+1,1)-1))</f>
        <v>31</v>
      </c>
      <c r="S83" s="2">
        <f ca="1">SUM(OFFSET(Table15[[#Headers],[Days in month]],1,0):Table15[[#This Row],[Days in month]])</f>
        <v>2040</v>
      </c>
      <c r="T83" s="37">
        <f>InterestRate*AmortizationMultiplier*IF(ISNUMBER(SEARCH("Actual",$C$7)),Table15[[#This Row],[Days in month]]/365,1/12)</f>
        <v>5.8133611111111103E-3</v>
      </c>
    </row>
    <row r="84" spans="2:20" x14ac:dyDescent="0.2">
      <c r="B84" s="1">
        <v>47907</v>
      </c>
      <c r="C84" s="2">
        <f t="shared" si="4"/>
        <v>68</v>
      </c>
      <c r="D84" s="3">
        <f t="shared" si="3"/>
        <v>5409331.7500000009</v>
      </c>
      <c r="E84" s="3">
        <f>ROUND(Table15[[#This Row],[Beginning Balance]]*Table15[[#This Row],[Monthly Interest Rate]],2)</f>
        <v>28403.200000000001</v>
      </c>
      <c r="F84" s="3">
        <f t="shared" si="5"/>
        <v>204</v>
      </c>
      <c r="G84" s="23">
        <f>IFERROR(IF($C$13="No","N/A",IF(Table15[[#This Row],[Period]]=1,$C$6,PMT(InterestRate*AmortizationMultiplier/12,Table15[[#This Row],[Am Thru]],-Table15[[#This Row],[Beginning Balance]]))),0)</f>
        <v>44937.749485233326</v>
      </c>
      <c r="H84" s="3">
        <f>MAX(0,IF(C84=$C$4,D84,ROUND(IF($C$3="Fixed Principal",$C$6-Table15[[#This Row],[Interest]],IF($C$3="Interest Only",Table15[[#This Row],[Beginning Balance]]*ROUND(1-(1-IF($C$11="No",$E$8,1))^(1/12),6),MIN(IF($C$13="Yes",Table15[[#This Row],[Payment Amount (Reamortized)]],$C$6)-Table15[[#This Row],[Interest]],Table15[[#This Row],[Beginning Balance]]))),2)))</f>
        <v>16534.55</v>
      </c>
      <c r="I84" s="3">
        <f>_xlfn.SINGLE(IF($C$3="Line of Credit",0,ROUND(MAX(MIN(IF($C$10="No",$E$7,VLOOKUP(Table15[[#This Row],[Period]],Forecast!$H$2:$L$1048576,4,FALSE))*Table15[[#This Row],[Beginning Balance]],Table15[[#This Row],[Beginning Balance]]-Table15[[#This Row],[Principal]]),0),2)))</f>
        <v>15432.82</v>
      </c>
      <c r="J84" s="3">
        <f>ROUND(MIN(Table15[[#This Row],[Beginning Balance]]*IF($C$8="No",$E$3,VLOOKUP(Table15[[#This Row],[Period]],Forecast!$H$2:$L$1048576,2,FALSE)),Table15[[#This Row],[Beginning Balance]]-Table15[[#This Row],[Principal]]-Table15[[#This Row],[Prepayments]]),2)</f>
        <v>3694.57</v>
      </c>
      <c r="K84" s="3">
        <f>ROUND(Table15[[#This Row],[Defaulted Principal]]*IF($C$9="No",$E$4,VLOOKUP(Table15[[#This Row],[Period]],Forecast!$H$2:$L$1048576,3,FALSE)),2)</f>
        <v>320.3</v>
      </c>
      <c r="L84" s="2">
        <f>Table15[[#This Row],[Period]]+$E$9</f>
        <v>80</v>
      </c>
      <c r="M84" s="3">
        <f>Table15[[#This Row],[Defaulted Principal]]-Table15[[#This Row],[Estimated Loss]]</f>
        <v>3374.27</v>
      </c>
      <c r="N84" s="3">
        <f>IFERROR(VLOOKUP(Table15[[#This Row],[Period]],$L$16:$M$385,2,FALSE),0)</f>
        <v>3627.2000000000003</v>
      </c>
      <c r="O84" s="3">
        <f>Table15[[#This Row],[Beginning Balance]]-Table15[[#This Row],[Principal]]-Table15[[#This Row],[Prepayments]]-Table15[[#This Row],[Defaulted Principal]]</f>
        <v>5373669.8100000005</v>
      </c>
      <c r="P84" s="3">
        <f>Table15[[#This Row],[Principal]]+Table15[[#This Row],[Interest]]+Table15[[#This Row],[Prepayments]]+Table15[[#This Row],[RecoveredAmount]]</f>
        <v>63997.77</v>
      </c>
      <c r="Q84" s="3">
        <f ca="1">ROUND(Table15[[#This Row],[Cash Flow]]/((1+ActualRateToUse)^(IF(ISNUMBER(SEARCH("Actual",$C$7)),Table15[[#This Row],[Running Total]]/365,Table15[[#This Row],[Period]]/12))),2)</f>
        <v>43275.64</v>
      </c>
      <c r="R84" s="2">
        <f>IF(MONTH(Table15[[#This Row],[Date]])=2,28,DAY(DATE(YEAR(Table15[[#This Row],[Date]]),MONTH(Table15[[#This Row],[Date]])+1,1)-1))</f>
        <v>28</v>
      </c>
      <c r="S84" s="2">
        <f ca="1">SUM(OFFSET(Table15[[#Headers],[Days in month]],1,0):Table15[[#This Row],[Days in month]])</f>
        <v>2068</v>
      </c>
      <c r="T84" s="37">
        <f>InterestRate*AmortizationMultiplier*IF(ISNUMBER(SEARCH("Actual",$C$7)),Table15[[#This Row],[Days in month]]/365,1/12)</f>
        <v>5.2507777777777778E-3</v>
      </c>
    </row>
    <row r="85" spans="2:20" x14ac:dyDescent="0.2">
      <c r="B85" s="1">
        <v>47938</v>
      </c>
      <c r="C85" s="2">
        <f t="shared" si="4"/>
        <v>69</v>
      </c>
      <c r="D85" s="3">
        <f t="shared" si="3"/>
        <v>5373669.8100000005</v>
      </c>
      <c r="E85" s="3">
        <f>ROUND(Table15[[#This Row],[Beginning Balance]]*Table15[[#This Row],[Monthly Interest Rate]],2)</f>
        <v>31239.08</v>
      </c>
      <c r="F85" s="3">
        <f t="shared" si="5"/>
        <v>203</v>
      </c>
      <c r="G85" s="23">
        <f>IFERROR(IF($C$13="No","N/A",IF(Table15[[#This Row],[Period]]=1,$C$6,PMT(InterestRate*AmortizationMultiplier/12,Table15[[#This Row],[Am Thru]],-Table15[[#This Row],[Beginning Balance]]))),0)</f>
        <v>44758.016300213341</v>
      </c>
      <c r="H85" s="3">
        <f>MAX(0,IF(C85=$C$4,D85,ROUND(IF($C$3="Fixed Principal",$C$6-Table15[[#This Row],[Interest]],IF($C$3="Interest Only",Table15[[#This Row],[Beginning Balance]]*ROUND(1-(1-IF($C$11="No",$E$8,1))^(1/12),6),MIN(IF($C$13="Yes",Table15[[#This Row],[Payment Amount (Reamortized)]],$C$6)-Table15[[#This Row],[Interest]],Table15[[#This Row],[Beginning Balance]]))),2)))</f>
        <v>13518.94</v>
      </c>
      <c r="I85" s="3">
        <f>_xlfn.SINGLE(IF($C$3="Line of Credit",0,ROUND(MAX(MIN(IF($C$10="No",$E$7,VLOOKUP(Table15[[#This Row],[Period]],Forecast!$H$2:$L$1048576,4,FALSE))*Table15[[#This Row],[Beginning Balance]],Table15[[#This Row],[Beginning Balance]]-Table15[[#This Row],[Principal]]),0),2)))</f>
        <v>15331.08</v>
      </c>
      <c r="J85" s="3">
        <f>ROUND(MIN(Table15[[#This Row],[Beginning Balance]]*IF($C$8="No",$E$3,VLOOKUP(Table15[[#This Row],[Period]],Forecast!$H$2:$L$1048576,2,FALSE)),Table15[[#This Row],[Beginning Balance]]-Table15[[#This Row],[Principal]]-Table15[[#This Row],[Prepayments]]),2)</f>
        <v>3670.22</v>
      </c>
      <c r="K85" s="3">
        <f>ROUND(Table15[[#This Row],[Defaulted Principal]]*IF($C$9="No",$E$4,VLOOKUP(Table15[[#This Row],[Period]],Forecast!$H$2:$L$1048576,3,FALSE)),2)</f>
        <v>318.19</v>
      </c>
      <c r="L85" s="2">
        <f>Table15[[#This Row],[Period]]+$E$9</f>
        <v>81</v>
      </c>
      <c r="M85" s="3">
        <f>Table15[[#This Row],[Defaulted Principal]]-Table15[[#This Row],[Estimated Loss]]</f>
        <v>3352.0299999999997</v>
      </c>
      <c r="N85" s="3">
        <f>IFERROR(VLOOKUP(Table15[[#This Row],[Period]],$L$16:$M$385,2,FALSE),0)</f>
        <v>3604.17</v>
      </c>
      <c r="O85" s="3">
        <f>Table15[[#This Row],[Beginning Balance]]-Table15[[#This Row],[Principal]]-Table15[[#This Row],[Prepayments]]-Table15[[#This Row],[Defaulted Principal]]</f>
        <v>5341149.57</v>
      </c>
      <c r="P85" s="3">
        <f>Table15[[#This Row],[Principal]]+Table15[[#This Row],[Interest]]+Table15[[#This Row],[Prepayments]]+Table15[[#This Row],[RecoveredAmount]]</f>
        <v>63693.270000000004</v>
      </c>
      <c r="Q85" s="3">
        <f ca="1">ROUND(Table15[[#This Row],[Cash Flow]]/((1+ActualRateToUse)^(IF(ISNUMBER(SEARCH("Actual",$C$7)),Table15[[#This Row],[Running Total]]/365,Table15[[#This Row],[Period]]/12))),2)</f>
        <v>42817.86</v>
      </c>
      <c r="R85" s="2">
        <f>IF(MONTH(Table15[[#This Row],[Date]])=2,28,DAY(DATE(YEAR(Table15[[#This Row],[Date]]),MONTH(Table15[[#This Row],[Date]])+1,1)-1))</f>
        <v>31</v>
      </c>
      <c r="S85" s="2">
        <f ca="1">SUM(OFFSET(Table15[[#Headers],[Days in month]],1,0):Table15[[#This Row],[Days in month]])</f>
        <v>2099</v>
      </c>
      <c r="T85" s="37">
        <f>InterestRate*AmortizationMultiplier*IF(ISNUMBER(SEARCH("Actual",$C$7)),Table15[[#This Row],[Days in month]]/365,1/12)</f>
        <v>5.8133611111111103E-3</v>
      </c>
    </row>
    <row r="86" spans="2:20" x14ac:dyDescent="0.2">
      <c r="B86" s="1">
        <v>47968</v>
      </c>
      <c r="C86" s="2">
        <f t="shared" si="4"/>
        <v>70</v>
      </c>
      <c r="D86" s="3">
        <f t="shared" si="3"/>
        <v>5341149.57</v>
      </c>
      <c r="E86" s="3">
        <f>ROUND(Table15[[#This Row],[Beginning Balance]]*Table15[[#This Row],[Monthly Interest Rate]],2)</f>
        <v>30048.42</v>
      </c>
      <c r="F86" s="3">
        <f t="shared" si="5"/>
        <v>202</v>
      </c>
      <c r="G86" s="23">
        <f>IFERROR(IF($C$13="No","N/A",IF(Table15[[#This Row],[Period]]=1,$C$6,PMT(InterestRate*AmortizationMultiplier/12,Table15[[#This Row],[Am Thru]],-Table15[[#This Row],[Beginning Balance]]))),0)</f>
        <v>44604.244324977029</v>
      </c>
      <c r="H86" s="3">
        <f>MAX(0,IF(C86=$C$4,D86,ROUND(IF($C$3="Fixed Principal",$C$6-Table15[[#This Row],[Interest]],IF($C$3="Interest Only",Table15[[#This Row],[Beginning Balance]]*ROUND(1-(1-IF($C$11="No",$E$8,1))^(1/12),6),MIN(IF($C$13="Yes",Table15[[#This Row],[Payment Amount (Reamortized)]],$C$6)-Table15[[#This Row],[Interest]],Table15[[#This Row],[Beginning Balance]]))),2)))</f>
        <v>14555.82</v>
      </c>
      <c r="I86" s="3">
        <f>_xlfn.SINGLE(IF($C$3="Line of Credit",0,ROUND(MAX(MIN(IF($C$10="No",$E$7,VLOOKUP(Table15[[#This Row],[Period]],Forecast!$H$2:$L$1048576,4,FALSE))*Table15[[#This Row],[Beginning Balance]],Table15[[#This Row],[Beginning Balance]]-Table15[[#This Row],[Principal]]),0),2)))</f>
        <v>15238.3</v>
      </c>
      <c r="J86" s="3">
        <f>ROUND(MIN(Table15[[#This Row],[Beginning Balance]]*IF($C$8="No",$E$3,VLOOKUP(Table15[[#This Row],[Period]],Forecast!$H$2:$L$1048576,2,FALSE)),Table15[[#This Row],[Beginning Balance]]-Table15[[#This Row],[Principal]]-Table15[[#This Row],[Prepayments]]),2)</f>
        <v>3648.01</v>
      </c>
      <c r="K86" s="3">
        <f>ROUND(Table15[[#This Row],[Defaulted Principal]]*IF($C$9="No",$E$4,VLOOKUP(Table15[[#This Row],[Period]],Forecast!$H$2:$L$1048576,3,FALSE)),2)</f>
        <v>316.26</v>
      </c>
      <c r="L86" s="2">
        <f>Table15[[#This Row],[Period]]+$E$9</f>
        <v>82</v>
      </c>
      <c r="M86" s="3">
        <f>Table15[[#This Row],[Defaulted Principal]]-Table15[[#This Row],[Estimated Loss]]</f>
        <v>3331.75</v>
      </c>
      <c r="N86" s="3">
        <f>IFERROR(VLOOKUP(Table15[[#This Row],[Period]],$L$16:$M$385,2,FALSE),0)</f>
        <v>3583.25</v>
      </c>
      <c r="O86" s="3">
        <f>Table15[[#This Row],[Beginning Balance]]-Table15[[#This Row],[Principal]]-Table15[[#This Row],[Prepayments]]-Table15[[#This Row],[Defaulted Principal]]</f>
        <v>5307707.4400000004</v>
      </c>
      <c r="P86" s="3">
        <f>Table15[[#This Row],[Principal]]+Table15[[#This Row],[Interest]]+Table15[[#This Row],[Prepayments]]+Table15[[#This Row],[RecoveredAmount]]</f>
        <v>63425.789999999994</v>
      </c>
      <c r="Q86" s="3">
        <f ca="1">ROUND(Table15[[#This Row],[Cash Flow]]/((1+ActualRateToUse)^(IF(ISNUMBER(SEARCH("Actual",$C$7)),Table15[[#This Row],[Running Total]]/365,Table15[[#This Row],[Period]]/12))),2)</f>
        <v>42396.73</v>
      </c>
      <c r="R86" s="2">
        <f>IF(MONTH(Table15[[#This Row],[Date]])=2,28,DAY(DATE(YEAR(Table15[[#This Row],[Date]]),MONTH(Table15[[#This Row],[Date]])+1,1)-1))</f>
        <v>30</v>
      </c>
      <c r="S86" s="2">
        <f ca="1">SUM(OFFSET(Table15[[#Headers],[Days in month]],1,0):Table15[[#This Row],[Days in month]])</f>
        <v>2129</v>
      </c>
      <c r="T86" s="37">
        <f>InterestRate*AmortizationMultiplier*IF(ISNUMBER(SEARCH("Actual",$C$7)),Table15[[#This Row],[Days in month]]/365,1/12)</f>
        <v>5.6258333333333325E-3</v>
      </c>
    </row>
    <row r="87" spans="2:20" x14ac:dyDescent="0.2">
      <c r="B87" s="1">
        <v>47999</v>
      </c>
      <c r="C87" s="2">
        <f t="shared" si="4"/>
        <v>71</v>
      </c>
      <c r="D87" s="3">
        <f t="shared" si="3"/>
        <v>5307707.4400000004</v>
      </c>
      <c r="E87" s="3">
        <f>ROUND(Table15[[#This Row],[Beginning Balance]]*Table15[[#This Row],[Monthly Interest Rate]],2)</f>
        <v>30855.62</v>
      </c>
      <c r="F87" s="3">
        <f t="shared" si="5"/>
        <v>201</v>
      </c>
      <c r="G87" s="23">
        <f>IFERROR(IF($C$13="No","N/A",IF(Table15[[#This Row],[Period]]=1,$C$6,PMT(InterestRate*AmortizationMultiplier/12,Table15[[#This Row],[Am Thru]],-Table15[[#This Row],[Beginning Balance]]))),0)</f>
        <v>44442.610651793169</v>
      </c>
      <c r="H87" s="3">
        <f>MAX(0,IF(C87=$C$4,D87,ROUND(IF($C$3="Fixed Principal",$C$6-Table15[[#This Row],[Interest]],IF($C$3="Interest Only",Table15[[#This Row],[Beginning Balance]]*ROUND(1-(1-IF($C$11="No",$E$8,1))^(1/12),6),MIN(IF($C$13="Yes",Table15[[#This Row],[Payment Amount (Reamortized)]],$C$6)-Table15[[#This Row],[Interest]],Table15[[#This Row],[Beginning Balance]]))),2)))</f>
        <v>13586.99</v>
      </c>
      <c r="I87" s="3">
        <f>_xlfn.SINGLE(IF($C$3="Line of Credit",0,ROUND(MAX(MIN(IF($C$10="No",$E$7,VLOOKUP(Table15[[#This Row],[Period]],Forecast!$H$2:$L$1048576,4,FALSE))*Table15[[#This Row],[Beginning Balance]],Table15[[#This Row],[Beginning Balance]]-Table15[[#This Row],[Principal]]),0),2)))</f>
        <v>15142.89</v>
      </c>
      <c r="J87" s="3">
        <f>ROUND(MIN(Table15[[#This Row],[Beginning Balance]]*IF($C$8="No",$E$3,VLOOKUP(Table15[[#This Row],[Period]],Forecast!$H$2:$L$1048576,2,FALSE)),Table15[[#This Row],[Beginning Balance]]-Table15[[#This Row],[Principal]]-Table15[[#This Row],[Prepayments]]),2)</f>
        <v>3625.16</v>
      </c>
      <c r="K87" s="3">
        <f>ROUND(Table15[[#This Row],[Defaulted Principal]]*IF($C$9="No",$E$4,VLOOKUP(Table15[[#This Row],[Period]],Forecast!$H$2:$L$1048576,3,FALSE)),2)</f>
        <v>314.27999999999997</v>
      </c>
      <c r="L87" s="2">
        <f>Table15[[#This Row],[Period]]+$E$9</f>
        <v>83</v>
      </c>
      <c r="M87" s="3">
        <f>Table15[[#This Row],[Defaulted Principal]]-Table15[[#This Row],[Estimated Loss]]</f>
        <v>3310.88</v>
      </c>
      <c r="N87" s="3">
        <f>IFERROR(VLOOKUP(Table15[[#This Row],[Period]],$L$16:$M$385,2,FALSE),0)</f>
        <v>3561.7</v>
      </c>
      <c r="O87" s="3">
        <f>Table15[[#This Row],[Beginning Balance]]-Table15[[#This Row],[Principal]]-Table15[[#This Row],[Prepayments]]-Table15[[#This Row],[Defaulted Principal]]</f>
        <v>5275352.4000000004</v>
      </c>
      <c r="P87" s="3">
        <f>Table15[[#This Row],[Principal]]+Table15[[#This Row],[Interest]]+Table15[[#This Row],[Prepayments]]+Table15[[#This Row],[RecoveredAmount]]</f>
        <v>63147.199999999997</v>
      </c>
      <c r="Q87" s="3">
        <f ca="1">ROUND(Table15[[#This Row],[Cash Flow]]/((1+ActualRateToUse)^(IF(ISNUMBER(SEARCH("Actual",$C$7)),Table15[[#This Row],[Running Total]]/365,Table15[[#This Row],[Period]]/12))),2)</f>
        <v>41963.66</v>
      </c>
      <c r="R87" s="2">
        <f>IF(MONTH(Table15[[#This Row],[Date]])=2,28,DAY(DATE(YEAR(Table15[[#This Row],[Date]]),MONTH(Table15[[#This Row],[Date]])+1,1)-1))</f>
        <v>31</v>
      </c>
      <c r="S87" s="2">
        <f ca="1">SUM(OFFSET(Table15[[#Headers],[Days in month]],1,0):Table15[[#This Row],[Days in month]])</f>
        <v>2160</v>
      </c>
      <c r="T87" s="37">
        <f>InterestRate*AmortizationMultiplier*IF(ISNUMBER(SEARCH("Actual",$C$7)),Table15[[#This Row],[Days in month]]/365,1/12)</f>
        <v>5.8133611111111103E-3</v>
      </c>
    </row>
    <row r="88" spans="2:20" x14ac:dyDescent="0.2">
      <c r="B88" s="1">
        <v>48029</v>
      </c>
      <c r="C88" s="2">
        <f t="shared" si="4"/>
        <v>72</v>
      </c>
      <c r="D88" s="3">
        <f t="shared" si="3"/>
        <v>5275352.4000000004</v>
      </c>
      <c r="E88" s="3">
        <f>ROUND(Table15[[#This Row],[Beginning Balance]]*Table15[[#This Row],[Monthly Interest Rate]],2)</f>
        <v>29678.25</v>
      </c>
      <c r="F88" s="3">
        <f t="shared" si="5"/>
        <v>200</v>
      </c>
      <c r="G88" s="23">
        <f>IFERROR(IF($C$13="No","N/A",IF(Table15[[#This Row],[Period]]=1,$C$6,PMT(InterestRate*AmortizationMultiplier/12,Table15[[#This Row],[Am Thru]],-Table15[[#This Row],[Beginning Balance]]))),0)</f>
        <v>44289.915664503045</v>
      </c>
      <c r="H88" s="3">
        <f>MAX(0,IF(C88=$C$4,D88,ROUND(IF($C$3="Fixed Principal",$C$6-Table15[[#This Row],[Interest]],IF($C$3="Interest Only",Table15[[#This Row],[Beginning Balance]]*ROUND(1-(1-IF($C$11="No",$E$8,1))^(1/12),6),MIN(IF($C$13="Yes",Table15[[#This Row],[Payment Amount (Reamortized)]],$C$6)-Table15[[#This Row],[Interest]],Table15[[#This Row],[Beginning Balance]]))),2)))</f>
        <v>14611.67</v>
      </c>
      <c r="I88" s="3">
        <f>_xlfn.SINGLE(IF($C$3="Line of Credit",0,ROUND(MAX(MIN(IF($C$10="No",$E$7,VLOOKUP(Table15[[#This Row],[Period]],Forecast!$H$2:$L$1048576,4,FALSE))*Table15[[#This Row],[Beginning Balance]],Table15[[#This Row],[Beginning Balance]]-Table15[[#This Row],[Principal]]),0),2)))</f>
        <v>15050.58</v>
      </c>
      <c r="J88" s="3">
        <f>ROUND(MIN(Table15[[#This Row],[Beginning Balance]]*IF($C$8="No",$E$3,VLOOKUP(Table15[[#This Row],[Period]],Forecast!$H$2:$L$1048576,2,FALSE)),Table15[[#This Row],[Beginning Balance]]-Table15[[#This Row],[Principal]]-Table15[[#This Row],[Prepayments]]),2)</f>
        <v>3603.07</v>
      </c>
      <c r="K88" s="3">
        <f>ROUND(Table15[[#This Row],[Defaulted Principal]]*IF($C$9="No",$E$4,VLOOKUP(Table15[[#This Row],[Period]],Forecast!$H$2:$L$1048576,3,FALSE)),2)</f>
        <v>312.36</v>
      </c>
      <c r="L88" s="2">
        <f>Table15[[#This Row],[Period]]+$E$9</f>
        <v>84</v>
      </c>
      <c r="M88" s="3">
        <f>Table15[[#This Row],[Defaulted Principal]]-Table15[[#This Row],[Estimated Loss]]</f>
        <v>3290.71</v>
      </c>
      <c r="N88" s="3">
        <f>IFERROR(VLOOKUP(Table15[[#This Row],[Period]],$L$16:$M$385,2,FALSE),0)</f>
        <v>3540.8799999999997</v>
      </c>
      <c r="O88" s="3">
        <f>Table15[[#This Row],[Beginning Balance]]-Table15[[#This Row],[Principal]]-Table15[[#This Row],[Prepayments]]-Table15[[#This Row],[Defaulted Principal]]</f>
        <v>5242087.08</v>
      </c>
      <c r="P88" s="3">
        <f>Table15[[#This Row],[Principal]]+Table15[[#This Row],[Interest]]+Table15[[#This Row],[Prepayments]]+Table15[[#This Row],[RecoveredAmount]]</f>
        <v>62881.38</v>
      </c>
      <c r="Q88" s="3">
        <f ca="1">ROUND(Table15[[#This Row],[Cash Flow]]/((1+ActualRateToUse)^(IF(ISNUMBER(SEARCH("Actual",$C$7)),Table15[[#This Row],[Running Total]]/365,Table15[[#This Row],[Period]]/12))),2)</f>
        <v>41550.51</v>
      </c>
      <c r="R88" s="2">
        <f>IF(MONTH(Table15[[#This Row],[Date]])=2,28,DAY(DATE(YEAR(Table15[[#This Row],[Date]]),MONTH(Table15[[#This Row],[Date]])+1,1)-1))</f>
        <v>30</v>
      </c>
      <c r="S88" s="2">
        <f ca="1">SUM(OFFSET(Table15[[#Headers],[Days in month]],1,0):Table15[[#This Row],[Days in month]])</f>
        <v>2190</v>
      </c>
      <c r="T88" s="37">
        <f>InterestRate*AmortizationMultiplier*IF(ISNUMBER(SEARCH("Actual",$C$7)),Table15[[#This Row],[Days in month]]/365,1/12)</f>
        <v>5.6258333333333325E-3</v>
      </c>
    </row>
    <row r="89" spans="2:20" x14ac:dyDescent="0.2">
      <c r="B89" s="1">
        <v>48060</v>
      </c>
      <c r="C89" s="2">
        <f t="shared" si="4"/>
        <v>73</v>
      </c>
      <c r="D89" s="3">
        <f t="shared" si="3"/>
        <v>5242087.08</v>
      </c>
      <c r="E89" s="3">
        <f>ROUND(Table15[[#This Row],[Beginning Balance]]*Table15[[#This Row],[Monthly Interest Rate]],2)</f>
        <v>30474.15</v>
      </c>
      <c r="F89" s="3">
        <f t="shared" si="5"/>
        <v>199</v>
      </c>
      <c r="G89" s="23">
        <f>IFERROR(IF($C$13="No","N/A",IF(Table15[[#This Row],[Period]]=1,$C$6,PMT(InterestRate*AmortizationMultiplier/12,Table15[[#This Row],[Am Thru]],-Table15[[#This Row],[Beginning Balance]]))),0)</f>
        <v>44129.413745952363</v>
      </c>
      <c r="H89" s="3">
        <f>MAX(0,IF(C89=$C$4,D89,ROUND(IF($C$3="Fixed Principal",$C$6-Table15[[#This Row],[Interest]],IF($C$3="Interest Only",Table15[[#This Row],[Beginning Balance]]*ROUND(1-(1-IF($C$11="No",$E$8,1))^(1/12),6),MIN(IF($C$13="Yes",Table15[[#This Row],[Payment Amount (Reamortized)]],$C$6)-Table15[[#This Row],[Interest]],Table15[[#This Row],[Beginning Balance]]))),2)))</f>
        <v>13655.26</v>
      </c>
      <c r="I89" s="3">
        <f>_xlfn.SINGLE(IF($C$3="Line of Credit",0,ROUND(MAX(MIN(IF($C$10="No",$E$7,VLOOKUP(Table15[[#This Row],[Period]],Forecast!$H$2:$L$1048576,4,FALSE))*Table15[[#This Row],[Beginning Balance]],Table15[[#This Row],[Beginning Balance]]-Table15[[#This Row],[Principal]]),0),2)))</f>
        <v>14955.67</v>
      </c>
      <c r="J89" s="3">
        <f>ROUND(MIN(Table15[[#This Row],[Beginning Balance]]*IF($C$8="No",$E$3,VLOOKUP(Table15[[#This Row],[Period]],Forecast!$H$2:$L$1048576,2,FALSE)),Table15[[#This Row],[Beginning Balance]]-Table15[[#This Row],[Principal]]-Table15[[#This Row],[Prepayments]]),2)</f>
        <v>3580.35</v>
      </c>
      <c r="K89" s="3">
        <f>ROUND(Table15[[#This Row],[Defaulted Principal]]*IF($C$9="No",$E$4,VLOOKUP(Table15[[#This Row],[Period]],Forecast!$H$2:$L$1048576,3,FALSE)),2)</f>
        <v>310.39</v>
      </c>
      <c r="L89" s="2">
        <f>Table15[[#This Row],[Period]]+$E$9</f>
        <v>85</v>
      </c>
      <c r="M89" s="3">
        <f>Table15[[#This Row],[Defaulted Principal]]-Table15[[#This Row],[Estimated Loss]]</f>
        <v>3269.96</v>
      </c>
      <c r="N89" s="3">
        <f>IFERROR(VLOOKUP(Table15[[#This Row],[Period]],$L$16:$M$385,2,FALSE),0)</f>
        <v>3519.4500000000003</v>
      </c>
      <c r="O89" s="3">
        <f>Table15[[#This Row],[Beginning Balance]]-Table15[[#This Row],[Principal]]-Table15[[#This Row],[Prepayments]]-Table15[[#This Row],[Defaulted Principal]]</f>
        <v>5209895.8000000007</v>
      </c>
      <c r="P89" s="3">
        <f>Table15[[#This Row],[Principal]]+Table15[[#This Row],[Interest]]+Table15[[#This Row],[Prepayments]]+Table15[[#This Row],[RecoveredAmount]]</f>
        <v>62604.53</v>
      </c>
      <c r="Q89" s="3">
        <f ca="1">ROUND(Table15[[#This Row],[Cash Flow]]/((1+ActualRateToUse)^(IF(ISNUMBER(SEARCH("Actual",$C$7)),Table15[[#This Row],[Running Total]]/365,Table15[[#This Row],[Period]]/12))),2)</f>
        <v>41125.65</v>
      </c>
      <c r="R89" s="2">
        <f>IF(MONTH(Table15[[#This Row],[Date]])=2,28,DAY(DATE(YEAR(Table15[[#This Row],[Date]]),MONTH(Table15[[#This Row],[Date]])+1,1)-1))</f>
        <v>31</v>
      </c>
      <c r="S89" s="2">
        <f ca="1">SUM(OFFSET(Table15[[#Headers],[Days in month]],1,0):Table15[[#This Row],[Days in month]])</f>
        <v>2221</v>
      </c>
      <c r="T89" s="37">
        <f>InterestRate*AmortizationMultiplier*IF(ISNUMBER(SEARCH("Actual",$C$7)),Table15[[#This Row],[Days in month]]/365,1/12)</f>
        <v>5.8133611111111103E-3</v>
      </c>
    </row>
    <row r="90" spans="2:20" x14ac:dyDescent="0.2">
      <c r="B90" s="1">
        <v>48091</v>
      </c>
      <c r="C90" s="2">
        <f t="shared" si="4"/>
        <v>74</v>
      </c>
      <c r="D90" s="3">
        <f t="shared" si="3"/>
        <v>5209895.8000000007</v>
      </c>
      <c r="E90" s="3">
        <f>ROUND(Table15[[#This Row],[Beginning Balance]]*Table15[[#This Row],[Monthly Interest Rate]],2)</f>
        <v>30287.01</v>
      </c>
      <c r="F90" s="3">
        <f t="shared" si="5"/>
        <v>198</v>
      </c>
      <c r="G90" s="23">
        <f>IFERROR(IF($C$13="No","N/A",IF(Table15[[#This Row],[Period]]=1,$C$6,PMT(InterestRate*AmortizationMultiplier/12,Table15[[#This Row],[Am Thru]],-Table15[[#This Row],[Beginning Balance]]))),0)</f>
        <v>43977.788019210282</v>
      </c>
      <c r="H90" s="3">
        <f>MAX(0,IF(C90=$C$4,D90,ROUND(IF($C$3="Fixed Principal",$C$6-Table15[[#This Row],[Interest]],IF($C$3="Interest Only",Table15[[#This Row],[Beginning Balance]]*ROUND(1-(1-IF($C$11="No",$E$8,1))^(1/12),6),MIN(IF($C$13="Yes",Table15[[#This Row],[Payment Amount (Reamortized)]],$C$6)-Table15[[#This Row],[Interest]],Table15[[#This Row],[Beginning Balance]]))),2)))</f>
        <v>13690.78</v>
      </c>
      <c r="I90" s="3">
        <f>_xlfn.SINGLE(IF($C$3="Line of Credit",0,ROUND(MAX(MIN(IF($C$10="No",$E$7,VLOOKUP(Table15[[#This Row],[Period]],Forecast!$H$2:$L$1048576,4,FALSE))*Table15[[#This Row],[Beginning Balance]],Table15[[#This Row],[Beginning Balance]]-Table15[[#This Row],[Principal]]),0),2)))</f>
        <v>14863.83</v>
      </c>
      <c r="J90" s="3">
        <f>ROUND(MIN(Table15[[#This Row],[Beginning Balance]]*IF($C$8="No",$E$3,VLOOKUP(Table15[[#This Row],[Period]],Forecast!$H$2:$L$1048576,2,FALSE)),Table15[[#This Row],[Beginning Balance]]-Table15[[#This Row],[Principal]]-Table15[[#This Row],[Prepayments]]),2)</f>
        <v>3558.36</v>
      </c>
      <c r="K90" s="3">
        <f>ROUND(Table15[[#This Row],[Defaulted Principal]]*IF($C$9="No",$E$4,VLOOKUP(Table15[[#This Row],[Period]],Forecast!$H$2:$L$1048576,3,FALSE)),2)</f>
        <v>308.49</v>
      </c>
      <c r="L90" s="2">
        <f>Table15[[#This Row],[Period]]+$E$9</f>
        <v>86</v>
      </c>
      <c r="M90" s="3">
        <f>Table15[[#This Row],[Defaulted Principal]]-Table15[[#This Row],[Estimated Loss]]</f>
        <v>3249.87</v>
      </c>
      <c r="N90" s="3">
        <f>IFERROR(VLOOKUP(Table15[[#This Row],[Period]],$L$16:$M$385,2,FALSE),0)</f>
        <v>3498.74</v>
      </c>
      <c r="O90" s="3">
        <f>Table15[[#This Row],[Beginning Balance]]-Table15[[#This Row],[Principal]]-Table15[[#This Row],[Prepayments]]-Table15[[#This Row],[Defaulted Principal]]</f>
        <v>5177782.83</v>
      </c>
      <c r="P90" s="3">
        <f>Table15[[#This Row],[Principal]]+Table15[[#This Row],[Interest]]+Table15[[#This Row],[Prepayments]]+Table15[[#This Row],[RecoveredAmount]]</f>
        <v>62340.36</v>
      </c>
      <c r="Q90" s="3">
        <f ca="1">ROUND(Table15[[#This Row],[Cash Flow]]/((1+ActualRateToUse)^(IF(ISNUMBER(SEARCH("Actual",$C$7)),Table15[[#This Row],[Running Total]]/365,Table15[[#This Row],[Period]]/12))),2)</f>
        <v>40712.629999999997</v>
      </c>
      <c r="R90" s="2">
        <f>IF(MONTH(Table15[[#This Row],[Date]])=2,28,DAY(DATE(YEAR(Table15[[#This Row],[Date]]),MONTH(Table15[[#This Row],[Date]])+1,1)-1))</f>
        <v>31</v>
      </c>
      <c r="S90" s="2">
        <f ca="1">SUM(OFFSET(Table15[[#Headers],[Days in month]],1,0):Table15[[#This Row],[Days in month]])</f>
        <v>2252</v>
      </c>
      <c r="T90" s="37">
        <f>InterestRate*AmortizationMultiplier*IF(ISNUMBER(SEARCH("Actual",$C$7)),Table15[[#This Row],[Days in month]]/365,1/12)</f>
        <v>5.8133611111111103E-3</v>
      </c>
    </row>
    <row r="91" spans="2:20" x14ac:dyDescent="0.2">
      <c r="B91" s="1">
        <v>48121</v>
      </c>
      <c r="C91" s="2">
        <f t="shared" si="4"/>
        <v>75</v>
      </c>
      <c r="D91" s="3">
        <f t="shared" si="3"/>
        <v>5177782.83</v>
      </c>
      <c r="E91" s="3">
        <f>ROUND(Table15[[#This Row],[Beginning Balance]]*Table15[[#This Row],[Monthly Interest Rate]],2)</f>
        <v>29129.34</v>
      </c>
      <c r="F91" s="3">
        <f t="shared" si="5"/>
        <v>197</v>
      </c>
      <c r="G91" s="23">
        <f>IFERROR(IF($C$13="No","N/A",IF(Table15[[#This Row],[Period]]=1,$C$6,PMT(InterestRate*AmortizationMultiplier/12,Table15[[#This Row],[Am Thru]],-Table15[[#This Row],[Beginning Balance]]))),0)</f>
        <v>43826.679758596889</v>
      </c>
      <c r="H91" s="3">
        <f>MAX(0,IF(C91=$C$4,D91,ROUND(IF($C$3="Fixed Principal",$C$6-Table15[[#This Row],[Interest]],IF($C$3="Interest Only",Table15[[#This Row],[Beginning Balance]]*ROUND(1-(1-IF($C$11="No",$E$8,1))^(1/12),6),MIN(IF($C$13="Yes",Table15[[#This Row],[Payment Amount (Reamortized)]],$C$6)-Table15[[#This Row],[Interest]],Table15[[#This Row],[Beginning Balance]]))),2)))</f>
        <v>14697.34</v>
      </c>
      <c r="I91" s="3">
        <f>_xlfn.SINGLE(IF($C$3="Line of Credit",0,ROUND(MAX(MIN(IF($C$10="No",$E$7,VLOOKUP(Table15[[#This Row],[Period]],Forecast!$H$2:$L$1048576,4,FALSE))*Table15[[#This Row],[Beginning Balance]],Table15[[#This Row],[Beginning Balance]]-Table15[[#This Row],[Principal]]),0),2)))</f>
        <v>14772.21</v>
      </c>
      <c r="J91" s="3">
        <f>ROUND(MIN(Table15[[#This Row],[Beginning Balance]]*IF($C$8="No",$E$3,VLOOKUP(Table15[[#This Row],[Period]],Forecast!$H$2:$L$1048576,2,FALSE)),Table15[[#This Row],[Beginning Balance]]-Table15[[#This Row],[Principal]]-Table15[[#This Row],[Prepayments]]),2)</f>
        <v>3536.43</v>
      </c>
      <c r="K91" s="3">
        <f>ROUND(Table15[[#This Row],[Defaulted Principal]]*IF($C$9="No",$E$4,VLOOKUP(Table15[[#This Row],[Period]],Forecast!$H$2:$L$1048576,3,FALSE)),2)</f>
        <v>306.58999999999997</v>
      </c>
      <c r="L91" s="2">
        <f>Table15[[#This Row],[Period]]+$E$9</f>
        <v>87</v>
      </c>
      <c r="M91" s="3">
        <f>Table15[[#This Row],[Defaulted Principal]]-Table15[[#This Row],[Estimated Loss]]</f>
        <v>3229.8399999999997</v>
      </c>
      <c r="N91" s="3">
        <f>IFERROR(VLOOKUP(Table15[[#This Row],[Period]],$L$16:$M$385,2,FALSE),0)</f>
        <v>3478.08</v>
      </c>
      <c r="O91" s="3">
        <f>Table15[[#This Row],[Beginning Balance]]-Table15[[#This Row],[Principal]]-Table15[[#This Row],[Prepayments]]-Table15[[#This Row],[Defaulted Principal]]</f>
        <v>5144776.8500000006</v>
      </c>
      <c r="P91" s="3">
        <f>Table15[[#This Row],[Principal]]+Table15[[#This Row],[Interest]]+Table15[[#This Row],[Prepayments]]+Table15[[#This Row],[RecoveredAmount]]</f>
        <v>62076.97</v>
      </c>
      <c r="Q91" s="3">
        <f ca="1">ROUND(Table15[[#This Row],[Cash Flow]]/((1+ActualRateToUse)^(IF(ISNUMBER(SEARCH("Actual",$C$7)),Table15[[#This Row],[Running Total]]/365,Table15[[#This Row],[Period]]/12))),2)</f>
        <v>40311.17</v>
      </c>
      <c r="R91" s="2">
        <f>IF(MONTH(Table15[[#This Row],[Date]])=2,28,DAY(DATE(YEAR(Table15[[#This Row],[Date]]),MONTH(Table15[[#This Row],[Date]])+1,1)-1))</f>
        <v>30</v>
      </c>
      <c r="S91" s="2">
        <f ca="1">SUM(OFFSET(Table15[[#Headers],[Days in month]],1,0):Table15[[#This Row],[Days in month]])</f>
        <v>2282</v>
      </c>
      <c r="T91" s="37">
        <f>InterestRate*AmortizationMultiplier*IF(ISNUMBER(SEARCH("Actual",$C$7)),Table15[[#This Row],[Days in month]]/365,1/12)</f>
        <v>5.6258333333333325E-3</v>
      </c>
    </row>
    <row r="92" spans="2:20" x14ac:dyDescent="0.2">
      <c r="B92" s="1">
        <v>48152</v>
      </c>
      <c r="C92" s="2">
        <f t="shared" si="4"/>
        <v>76</v>
      </c>
      <c r="D92" s="3">
        <f t="shared" si="3"/>
        <v>5144776.8500000006</v>
      </c>
      <c r="E92" s="3">
        <f>ROUND(Table15[[#This Row],[Beginning Balance]]*Table15[[#This Row],[Monthly Interest Rate]],2)</f>
        <v>29908.45</v>
      </c>
      <c r="F92" s="3">
        <f t="shared" si="5"/>
        <v>196</v>
      </c>
      <c r="G92" s="23">
        <f>IFERROR(IF($C$13="No","N/A",IF(Table15[[#This Row],[Period]]=1,$C$6,PMT(InterestRate*AmortizationMultiplier/12,Table15[[#This Row],[Am Thru]],-Table15[[#This Row],[Beginning Balance]]))),0)</f>
        <v>43667.845677725898</v>
      </c>
      <c r="H92" s="3">
        <f>MAX(0,IF(C92=$C$4,D92,ROUND(IF($C$3="Fixed Principal",$C$6-Table15[[#This Row],[Interest]],IF($C$3="Interest Only",Table15[[#This Row],[Beginning Balance]]*ROUND(1-(1-IF($C$11="No",$E$8,1))^(1/12),6),MIN(IF($C$13="Yes",Table15[[#This Row],[Payment Amount (Reamortized)]],$C$6)-Table15[[#This Row],[Interest]],Table15[[#This Row],[Beginning Balance]]))),2)))</f>
        <v>13759.4</v>
      </c>
      <c r="I92" s="3">
        <f>_xlfn.SINGLE(IF($C$3="Line of Credit",0,ROUND(MAX(MIN(IF($C$10="No",$E$7,VLOOKUP(Table15[[#This Row],[Period]],Forecast!$H$2:$L$1048576,4,FALSE))*Table15[[#This Row],[Beginning Balance]],Table15[[#This Row],[Beginning Balance]]-Table15[[#This Row],[Principal]]),0),2)))</f>
        <v>14678.05</v>
      </c>
      <c r="J92" s="3">
        <f>ROUND(MIN(Table15[[#This Row],[Beginning Balance]]*IF($C$8="No",$E$3,VLOOKUP(Table15[[#This Row],[Period]],Forecast!$H$2:$L$1048576,2,FALSE)),Table15[[#This Row],[Beginning Balance]]-Table15[[#This Row],[Principal]]-Table15[[#This Row],[Prepayments]]),2)</f>
        <v>3513.88</v>
      </c>
      <c r="K92" s="3">
        <f>ROUND(Table15[[#This Row],[Defaulted Principal]]*IF($C$9="No",$E$4,VLOOKUP(Table15[[#This Row],[Period]],Forecast!$H$2:$L$1048576,3,FALSE)),2)</f>
        <v>304.63</v>
      </c>
      <c r="L92" s="2">
        <f>Table15[[#This Row],[Period]]+$E$9</f>
        <v>88</v>
      </c>
      <c r="M92" s="3">
        <f>Table15[[#This Row],[Defaulted Principal]]-Table15[[#This Row],[Estimated Loss]]</f>
        <v>3209.25</v>
      </c>
      <c r="N92" s="3">
        <f>IFERROR(VLOOKUP(Table15[[#This Row],[Period]],$L$16:$M$385,2,FALSE),0)</f>
        <v>3456.8199999999997</v>
      </c>
      <c r="O92" s="3">
        <f>Table15[[#This Row],[Beginning Balance]]-Table15[[#This Row],[Principal]]-Table15[[#This Row],[Prepayments]]-Table15[[#This Row],[Defaulted Principal]]</f>
        <v>5112825.5200000005</v>
      </c>
      <c r="P92" s="3">
        <f>Table15[[#This Row],[Principal]]+Table15[[#This Row],[Interest]]+Table15[[#This Row],[Prepayments]]+Table15[[#This Row],[RecoveredAmount]]</f>
        <v>61802.719999999994</v>
      </c>
      <c r="Q92" s="3">
        <f ca="1">ROUND(Table15[[#This Row],[Cash Flow]]/((1+ActualRateToUse)^(IF(ISNUMBER(SEARCH("Actual",$C$7)),Table15[[#This Row],[Running Total]]/365,Table15[[#This Row],[Period]]/12))),2)</f>
        <v>39898.379999999997</v>
      </c>
      <c r="R92" s="2">
        <f>IF(MONTH(Table15[[#This Row],[Date]])=2,28,DAY(DATE(YEAR(Table15[[#This Row],[Date]]),MONTH(Table15[[#This Row],[Date]])+1,1)-1))</f>
        <v>31</v>
      </c>
      <c r="S92" s="2">
        <f ca="1">SUM(OFFSET(Table15[[#Headers],[Days in month]],1,0):Table15[[#This Row],[Days in month]])</f>
        <v>2313</v>
      </c>
      <c r="T92" s="37">
        <f>InterestRate*AmortizationMultiplier*IF(ISNUMBER(SEARCH("Actual",$C$7)),Table15[[#This Row],[Days in month]]/365,1/12)</f>
        <v>5.8133611111111103E-3</v>
      </c>
    </row>
    <row r="93" spans="2:20" x14ac:dyDescent="0.2">
      <c r="B93" s="1">
        <v>48182</v>
      </c>
      <c r="C93" s="2">
        <f t="shared" si="4"/>
        <v>77</v>
      </c>
      <c r="D93" s="3">
        <f t="shared" si="3"/>
        <v>5112825.5200000005</v>
      </c>
      <c r="E93" s="3">
        <f>ROUND(Table15[[#This Row],[Beginning Balance]]*Table15[[#This Row],[Monthly Interest Rate]],2)</f>
        <v>28763.9</v>
      </c>
      <c r="F93" s="3">
        <f t="shared" si="5"/>
        <v>195</v>
      </c>
      <c r="G93" s="23">
        <f>IFERROR(IF($C$13="No","N/A",IF(Table15[[#This Row],[Period]]=1,$C$6,PMT(InterestRate*AmortizationMultiplier/12,Table15[[#This Row],[Am Thru]],-Table15[[#This Row],[Beginning Balance]]))),0)</f>
        <v>43517.795346829102</v>
      </c>
      <c r="H93" s="3">
        <f>MAX(0,IF(C93=$C$4,D93,ROUND(IF($C$3="Fixed Principal",$C$6-Table15[[#This Row],[Interest]],IF($C$3="Interest Only",Table15[[#This Row],[Beginning Balance]]*ROUND(1-(1-IF($C$11="No",$E$8,1))^(1/12),6),MIN(IF($C$13="Yes",Table15[[#This Row],[Payment Amount (Reamortized)]],$C$6)-Table15[[#This Row],[Interest]],Table15[[#This Row],[Beginning Balance]]))),2)))</f>
        <v>14753.9</v>
      </c>
      <c r="I93" s="3">
        <f>_xlfn.SINGLE(IF($C$3="Line of Credit",0,ROUND(MAX(MIN(IF($C$10="No",$E$7,VLOOKUP(Table15[[#This Row],[Period]],Forecast!$H$2:$L$1048576,4,FALSE))*Table15[[#This Row],[Beginning Balance]],Table15[[#This Row],[Beginning Balance]]-Table15[[#This Row],[Principal]]),0),2)))</f>
        <v>14586.89</v>
      </c>
      <c r="J93" s="3">
        <f>ROUND(MIN(Table15[[#This Row],[Beginning Balance]]*IF($C$8="No",$E$3,VLOOKUP(Table15[[#This Row],[Period]],Forecast!$H$2:$L$1048576,2,FALSE)),Table15[[#This Row],[Beginning Balance]]-Table15[[#This Row],[Principal]]-Table15[[#This Row],[Prepayments]]),2)</f>
        <v>3492.06</v>
      </c>
      <c r="K93" s="3">
        <f>ROUND(Table15[[#This Row],[Defaulted Principal]]*IF($C$9="No",$E$4,VLOOKUP(Table15[[#This Row],[Period]],Forecast!$H$2:$L$1048576,3,FALSE)),2)</f>
        <v>302.74</v>
      </c>
      <c r="L93" s="2">
        <f>Table15[[#This Row],[Period]]+$E$9</f>
        <v>89</v>
      </c>
      <c r="M93" s="3">
        <f>Table15[[#This Row],[Defaulted Principal]]-Table15[[#This Row],[Estimated Loss]]</f>
        <v>3189.3199999999997</v>
      </c>
      <c r="N93" s="3">
        <f>IFERROR(VLOOKUP(Table15[[#This Row],[Period]],$L$16:$M$385,2,FALSE),0)</f>
        <v>3436.27</v>
      </c>
      <c r="O93" s="3">
        <f>Table15[[#This Row],[Beginning Balance]]-Table15[[#This Row],[Principal]]-Table15[[#This Row],[Prepayments]]-Table15[[#This Row],[Defaulted Principal]]</f>
        <v>5079992.6700000009</v>
      </c>
      <c r="P93" s="3">
        <f>Table15[[#This Row],[Principal]]+Table15[[#This Row],[Interest]]+Table15[[#This Row],[Prepayments]]+Table15[[#This Row],[RecoveredAmount]]</f>
        <v>61540.959999999999</v>
      </c>
      <c r="Q93" s="3">
        <f ca="1">ROUND(Table15[[#This Row],[Cash Flow]]/((1+ActualRateToUse)^(IF(ISNUMBER(SEARCH("Actual",$C$7)),Table15[[#This Row],[Running Total]]/365,Table15[[#This Row],[Period]]/12))),2)</f>
        <v>39504.54</v>
      </c>
      <c r="R93" s="2">
        <f>IF(MONTH(Table15[[#This Row],[Date]])=2,28,DAY(DATE(YEAR(Table15[[#This Row],[Date]]),MONTH(Table15[[#This Row],[Date]])+1,1)-1))</f>
        <v>30</v>
      </c>
      <c r="S93" s="2">
        <f ca="1">SUM(OFFSET(Table15[[#Headers],[Days in month]],1,0):Table15[[#This Row],[Days in month]])</f>
        <v>2343</v>
      </c>
      <c r="T93" s="37">
        <f>InterestRate*AmortizationMultiplier*IF(ISNUMBER(SEARCH("Actual",$C$7)),Table15[[#This Row],[Days in month]]/365,1/12)</f>
        <v>5.6258333333333325E-3</v>
      </c>
    </row>
    <row r="94" spans="2:20" x14ac:dyDescent="0.2">
      <c r="B94" s="1">
        <v>48213</v>
      </c>
      <c r="C94" s="2">
        <f t="shared" si="4"/>
        <v>78</v>
      </c>
      <c r="D94" s="3">
        <f t="shared" si="3"/>
        <v>5079992.6700000009</v>
      </c>
      <c r="E94" s="3">
        <f>ROUND(Table15[[#This Row],[Beginning Balance]]*Table15[[#This Row],[Monthly Interest Rate]],2)</f>
        <v>29531.83</v>
      </c>
      <c r="F94" s="3">
        <f t="shared" si="5"/>
        <v>194</v>
      </c>
      <c r="G94" s="23">
        <f>IFERROR(IF($C$13="No","N/A",IF(Table15[[#This Row],[Period]]=1,$C$6,PMT(InterestRate*AmortizationMultiplier/12,Table15[[#This Row],[Am Thru]],-Table15[[#This Row],[Beginning Balance]]))),0)</f>
        <v>43360.073215164775</v>
      </c>
      <c r="H94" s="3">
        <f>MAX(0,IF(C94=$C$4,D94,ROUND(IF($C$3="Fixed Principal",$C$6-Table15[[#This Row],[Interest]],IF($C$3="Interest Only",Table15[[#This Row],[Beginning Balance]]*ROUND(1-(1-IF($C$11="No",$E$8,1))^(1/12),6),MIN(IF($C$13="Yes",Table15[[#This Row],[Payment Amount (Reamortized)]],$C$6)-Table15[[#This Row],[Interest]],Table15[[#This Row],[Beginning Balance]]))),2)))</f>
        <v>13828.24</v>
      </c>
      <c r="I94" s="3">
        <f>_xlfn.SINGLE(IF($C$3="Line of Credit",0,ROUND(MAX(MIN(IF($C$10="No",$E$7,VLOOKUP(Table15[[#This Row],[Period]],Forecast!$H$2:$L$1048576,4,FALSE))*Table15[[#This Row],[Beginning Balance]],Table15[[#This Row],[Beginning Balance]]-Table15[[#This Row],[Principal]]),0),2)))</f>
        <v>14493.22</v>
      </c>
      <c r="J94" s="3">
        <f>ROUND(MIN(Table15[[#This Row],[Beginning Balance]]*IF($C$8="No",$E$3,VLOOKUP(Table15[[#This Row],[Period]],Forecast!$H$2:$L$1048576,2,FALSE)),Table15[[#This Row],[Beginning Balance]]-Table15[[#This Row],[Principal]]-Table15[[#This Row],[Prepayments]]),2)</f>
        <v>3469.63</v>
      </c>
      <c r="K94" s="3">
        <f>ROUND(Table15[[#This Row],[Defaulted Principal]]*IF($C$9="No",$E$4,VLOOKUP(Table15[[#This Row],[Period]],Forecast!$H$2:$L$1048576,3,FALSE)),2)</f>
        <v>300.8</v>
      </c>
      <c r="L94" s="2">
        <f>Table15[[#This Row],[Period]]+$E$9</f>
        <v>90</v>
      </c>
      <c r="M94" s="3">
        <f>Table15[[#This Row],[Defaulted Principal]]-Table15[[#This Row],[Estimated Loss]]</f>
        <v>3168.83</v>
      </c>
      <c r="N94" s="3">
        <f>IFERROR(VLOOKUP(Table15[[#This Row],[Period]],$L$16:$M$385,2,FALSE),0)</f>
        <v>3415.13</v>
      </c>
      <c r="O94" s="3">
        <f>Table15[[#This Row],[Beginning Balance]]-Table15[[#This Row],[Principal]]-Table15[[#This Row],[Prepayments]]-Table15[[#This Row],[Defaulted Principal]]</f>
        <v>5048201.580000001</v>
      </c>
      <c r="P94" s="3">
        <f>Table15[[#This Row],[Principal]]+Table15[[#This Row],[Interest]]+Table15[[#This Row],[Prepayments]]+Table15[[#This Row],[RecoveredAmount]]</f>
        <v>61268.42</v>
      </c>
      <c r="Q94" s="3">
        <f ca="1">ROUND(Table15[[#This Row],[Cash Flow]]/((1+ActualRateToUse)^(IF(ISNUMBER(SEARCH("Actual",$C$7)),Table15[[#This Row],[Running Total]]/365,Table15[[#This Row],[Period]]/12))),2)</f>
        <v>39099.589999999997</v>
      </c>
      <c r="R94" s="2">
        <f>IF(MONTH(Table15[[#This Row],[Date]])=2,28,DAY(DATE(YEAR(Table15[[#This Row],[Date]]),MONTH(Table15[[#This Row],[Date]])+1,1)-1))</f>
        <v>31</v>
      </c>
      <c r="S94" s="2">
        <f ca="1">SUM(OFFSET(Table15[[#Headers],[Days in month]],1,0):Table15[[#This Row],[Days in month]])</f>
        <v>2374</v>
      </c>
      <c r="T94" s="37">
        <f>InterestRate*AmortizationMultiplier*IF(ISNUMBER(SEARCH("Actual",$C$7)),Table15[[#This Row],[Days in month]]/365,1/12)</f>
        <v>5.8133611111111103E-3</v>
      </c>
    </row>
    <row r="95" spans="2:20" x14ac:dyDescent="0.2">
      <c r="B95" s="1">
        <v>48244</v>
      </c>
      <c r="C95" s="2">
        <f t="shared" si="4"/>
        <v>79</v>
      </c>
      <c r="D95" s="3">
        <f t="shared" si="3"/>
        <v>5048201.580000001</v>
      </c>
      <c r="E95" s="3">
        <f>ROUND(Table15[[#This Row],[Beginning Balance]]*Table15[[#This Row],[Monthly Interest Rate]],2)</f>
        <v>29347.02</v>
      </c>
      <c r="F95" s="3">
        <f t="shared" si="5"/>
        <v>193</v>
      </c>
      <c r="G95" s="23">
        <f>IFERROR(IF($C$13="No","N/A",IF(Table15[[#This Row],[Period]]=1,$C$6,PMT(InterestRate*AmortizationMultiplier/12,Table15[[#This Row],[Am Thru]],-Table15[[#This Row],[Beginning Balance]]))),0)</f>
        <v>43211.073361935189</v>
      </c>
      <c r="H95" s="3">
        <f>MAX(0,IF(C95=$C$4,D95,ROUND(IF($C$3="Fixed Principal",$C$6-Table15[[#This Row],[Interest]],IF($C$3="Interest Only",Table15[[#This Row],[Beginning Balance]]*ROUND(1-(1-IF($C$11="No",$E$8,1))^(1/12),6),MIN(IF($C$13="Yes",Table15[[#This Row],[Payment Amount (Reamortized)]],$C$6)-Table15[[#This Row],[Interest]],Table15[[#This Row],[Beginning Balance]]))),2)))</f>
        <v>13864.05</v>
      </c>
      <c r="I95" s="3">
        <f>_xlfn.SINGLE(IF($C$3="Line of Credit",0,ROUND(MAX(MIN(IF($C$10="No",$E$7,VLOOKUP(Table15[[#This Row],[Period]],Forecast!$H$2:$L$1048576,4,FALSE))*Table15[[#This Row],[Beginning Balance]],Table15[[#This Row],[Beginning Balance]]-Table15[[#This Row],[Principal]]),0),2)))</f>
        <v>14402.52</v>
      </c>
      <c r="J95" s="3">
        <f>ROUND(MIN(Table15[[#This Row],[Beginning Balance]]*IF($C$8="No",$E$3,VLOOKUP(Table15[[#This Row],[Period]],Forecast!$H$2:$L$1048576,2,FALSE)),Table15[[#This Row],[Beginning Balance]]-Table15[[#This Row],[Principal]]-Table15[[#This Row],[Prepayments]]),2)</f>
        <v>3447.92</v>
      </c>
      <c r="K95" s="3">
        <f>ROUND(Table15[[#This Row],[Defaulted Principal]]*IF($C$9="No",$E$4,VLOOKUP(Table15[[#This Row],[Period]],Forecast!$H$2:$L$1048576,3,FALSE)),2)</f>
        <v>298.91000000000003</v>
      </c>
      <c r="L95" s="2">
        <f>Table15[[#This Row],[Period]]+$E$9</f>
        <v>91</v>
      </c>
      <c r="M95" s="3">
        <f>Table15[[#This Row],[Defaulted Principal]]-Table15[[#This Row],[Estimated Loss]]</f>
        <v>3149.01</v>
      </c>
      <c r="N95" s="3">
        <f>IFERROR(VLOOKUP(Table15[[#This Row],[Period]],$L$16:$M$385,2,FALSE),0)</f>
        <v>3394.68</v>
      </c>
      <c r="O95" s="3">
        <f>Table15[[#This Row],[Beginning Balance]]-Table15[[#This Row],[Principal]]-Table15[[#This Row],[Prepayments]]-Table15[[#This Row],[Defaulted Principal]]</f>
        <v>5016487.0900000017</v>
      </c>
      <c r="P95" s="3">
        <f>Table15[[#This Row],[Principal]]+Table15[[#This Row],[Interest]]+Table15[[#This Row],[Prepayments]]+Table15[[#This Row],[RecoveredAmount]]</f>
        <v>61008.27</v>
      </c>
      <c r="Q95" s="3">
        <f ca="1">ROUND(Table15[[#This Row],[Cash Flow]]/((1+ActualRateToUse)^(IF(ISNUMBER(SEARCH("Actual",$C$7)),Table15[[#This Row],[Running Total]]/365,Table15[[#This Row],[Period]]/12))),2)</f>
        <v>38705.89</v>
      </c>
      <c r="R95" s="2">
        <f>IF(MONTH(Table15[[#This Row],[Date]])=2,28,DAY(DATE(YEAR(Table15[[#This Row],[Date]]),MONTH(Table15[[#This Row],[Date]])+1,1)-1))</f>
        <v>31</v>
      </c>
      <c r="S95" s="2">
        <f ca="1">SUM(OFFSET(Table15[[#Headers],[Days in month]],1,0):Table15[[#This Row],[Days in month]])</f>
        <v>2405</v>
      </c>
      <c r="T95" s="37">
        <f>InterestRate*AmortizationMultiplier*IF(ISNUMBER(SEARCH("Actual",$C$7)),Table15[[#This Row],[Days in month]]/365,1/12)</f>
        <v>5.8133611111111103E-3</v>
      </c>
    </row>
    <row r="96" spans="2:20" x14ac:dyDescent="0.2">
      <c r="B96" s="1">
        <v>48273</v>
      </c>
      <c r="C96" s="2">
        <f t="shared" si="4"/>
        <v>80</v>
      </c>
      <c r="D96" s="3">
        <f t="shared" si="3"/>
        <v>5016487.0900000017</v>
      </c>
      <c r="E96" s="3">
        <f>ROUND(Table15[[#This Row],[Beginning Balance]]*Table15[[#This Row],[Monthly Interest Rate]],2)</f>
        <v>26340.46</v>
      </c>
      <c r="F96" s="3">
        <f t="shared" si="5"/>
        <v>192</v>
      </c>
      <c r="G96" s="23">
        <f>IFERROR(IF($C$13="No","N/A",IF(Table15[[#This Row],[Period]]=1,$C$6,PMT(InterestRate*AmortizationMultiplier/12,Table15[[#This Row],[Am Thru]],-Table15[[#This Row],[Beginning Balance]]))),0)</f>
        <v>43062.581913122187</v>
      </c>
      <c r="H96" s="3">
        <f>MAX(0,IF(C96=$C$4,D96,ROUND(IF($C$3="Fixed Principal",$C$6-Table15[[#This Row],[Interest]],IF($C$3="Interest Only",Table15[[#This Row],[Beginning Balance]]*ROUND(1-(1-IF($C$11="No",$E$8,1))^(1/12),6),MIN(IF($C$13="Yes",Table15[[#This Row],[Payment Amount (Reamortized)]],$C$6)-Table15[[#This Row],[Interest]],Table15[[#This Row],[Beginning Balance]]))),2)))</f>
        <v>16722.12</v>
      </c>
      <c r="I96" s="3">
        <f>_xlfn.SINGLE(IF($C$3="Line of Credit",0,ROUND(MAX(MIN(IF($C$10="No",$E$7,VLOOKUP(Table15[[#This Row],[Period]],Forecast!$H$2:$L$1048576,4,FALSE))*Table15[[#This Row],[Beginning Balance]],Table15[[#This Row],[Beginning Balance]]-Table15[[#This Row],[Principal]]),0),2)))</f>
        <v>14312.04</v>
      </c>
      <c r="J96" s="3">
        <f>ROUND(MIN(Table15[[#This Row],[Beginning Balance]]*IF($C$8="No",$E$3,VLOOKUP(Table15[[#This Row],[Period]],Forecast!$H$2:$L$1048576,2,FALSE)),Table15[[#This Row],[Beginning Balance]]-Table15[[#This Row],[Principal]]-Table15[[#This Row],[Prepayments]]),2)</f>
        <v>3426.26</v>
      </c>
      <c r="K96" s="3">
        <f>ROUND(Table15[[#This Row],[Defaulted Principal]]*IF($C$9="No",$E$4,VLOOKUP(Table15[[#This Row],[Period]],Forecast!$H$2:$L$1048576,3,FALSE)),2)</f>
        <v>297.04000000000002</v>
      </c>
      <c r="L96" s="2">
        <f>Table15[[#This Row],[Period]]+$E$9</f>
        <v>92</v>
      </c>
      <c r="M96" s="3">
        <f>Table15[[#This Row],[Defaulted Principal]]-Table15[[#This Row],[Estimated Loss]]</f>
        <v>3129.2200000000003</v>
      </c>
      <c r="N96" s="3">
        <f>IFERROR(VLOOKUP(Table15[[#This Row],[Period]],$L$16:$M$385,2,FALSE),0)</f>
        <v>3374.27</v>
      </c>
      <c r="O96" s="3">
        <f>Table15[[#This Row],[Beginning Balance]]-Table15[[#This Row],[Principal]]-Table15[[#This Row],[Prepayments]]-Table15[[#This Row],[Defaulted Principal]]</f>
        <v>4982026.6700000018</v>
      </c>
      <c r="P96" s="3">
        <f>Table15[[#This Row],[Principal]]+Table15[[#This Row],[Interest]]+Table15[[#This Row],[Prepayments]]+Table15[[#This Row],[RecoveredAmount]]</f>
        <v>60748.89</v>
      </c>
      <c r="Q96" s="3">
        <f ca="1">ROUND(Table15[[#This Row],[Cash Flow]]/((1+ActualRateToUse)^(IF(ISNUMBER(SEARCH("Actual",$C$7)),Table15[[#This Row],[Running Total]]/365,Table15[[#This Row],[Period]]/12))),2)</f>
        <v>38337.699999999997</v>
      </c>
      <c r="R96" s="2">
        <f>IF(MONTH(Table15[[#This Row],[Date]])=2,28,DAY(DATE(YEAR(Table15[[#This Row],[Date]]),MONTH(Table15[[#This Row],[Date]])+1,1)-1))</f>
        <v>28</v>
      </c>
      <c r="S96" s="2">
        <f ca="1">SUM(OFFSET(Table15[[#Headers],[Days in month]],1,0):Table15[[#This Row],[Days in month]])</f>
        <v>2433</v>
      </c>
      <c r="T96" s="37">
        <f>InterestRate*AmortizationMultiplier*IF(ISNUMBER(SEARCH("Actual",$C$7)),Table15[[#This Row],[Days in month]]/365,1/12)</f>
        <v>5.2507777777777778E-3</v>
      </c>
    </row>
    <row r="97" spans="2:20" x14ac:dyDescent="0.2">
      <c r="B97" s="1">
        <v>48304</v>
      </c>
      <c r="C97" s="2">
        <f t="shared" si="4"/>
        <v>81</v>
      </c>
      <c r="D97" s="3">
        <f t="shared" si="3"/>
        <v>4982026.6700000018</v>
      </c>
      <c r="E97" s="3">
        <f>ROUND(Table15[[#This Row],[Beginning Balance]]*Table15[[#This Row],[Monthly Interest Rate]],2)</f>
        <v>28962.32</v>
      </c>
      <c r="F97" s="3">
        <f t="shared" si="5"/>
        <v>191</v>
      </c>
      <c r="G97" s="23">
        <f>IFERROR(IF($C$13="No","N/A",IF(Table15[[#This Row],[Period]]=1,$C$6,PMT(InterestRate*AmortizationMultiplier/12,Table15[[#This Row],[Am Thru]],-Table15[[#This Row],[Beginning Balance]]))),0)</f>
        <v>42890.300800598707</v>
      </c>
      <c r="H97" s="3">
        <f>MAX(0,IF(C97=$C$4,D97,ROUND(IF($C$3="Fixed Principal",$C$6-Table15[[#This Row],[Interest]],IF($C$3="Interest Only",Table15[[#This Row],[Beginning Balance]]*ROUND(1-(1-IF($C$11="No",$E$8,1))^(1/12),6),MIN(IF($C$13="Yes",Table15[[#This Row],[Payment Amount (Reamortized)]],$C$6)-Table15[[#This Row],[Interest]],Table15[[#This Row],[Beginning Balance]]))),2)))</f>
        <v>13927.98</v>
      </c>
      <c r="I97" s="3">
        <f>_xlfn.SINGLE(IF($C$3="Line of Credit",0,ROUND(MAX(MIN(IF($C$10="No",$E$7,VLOOKUP(Table15[[#This Row],[Period]],Forecast!$H$2:$L$1048576,4,FALSE))*Table15[[#This Row],[Beginning Balance]],Table15[[#This Row],[Beginning Balance]]-Table15[[#This Row],[Principal]]),0),2)))</f>
        <v>14213.72</v>
      </c>
      <c r="J97" s="3">
        <f>ROUND(MIN(Table15[[#This Row],[Beginning Balance]]*IF($C$8="No",$E$3,VLOOKUP(Table15[[#This Row],[Period]],Forecast!$H$2:$L$1048576,2,FALSE)),Table15[[#This Row],[Beginning Balance]]-Table15[[#This Row],[Principal]]-Table15[[#This Row],[Prepayments]]),2)</f>
        <v>3402.72</v>
      </c>
      <c r="K97" s="3">
        <f>ROUND(Table15[[#This Row],[Defaulted Principal]]*IF($C$9="No",$E$4,VLOOKUP(Table15[[#This Row],[Period]],Forecast!$H$2:$L$1048576,3,FALSE)),2)</f>
        <v>295</v>
      </c>
      <c r="L97" s="2">
        <f>Table15[[#This Row],[Period]]+$E$9</f>
        <v>93</v>
      </c>
      <c r="M97" s="3">
        <f>Table15[[#This Row],[Defaulted Principal]]-Table15[[#This Row],[Estimated Loss]]</f>
        <v>3107.72</v>
      </c>
      <c r="N97" s="3">
        <f>IFERROR(VLOOKUP(Table15[[#This Row],[Period]],$L$16:$M$385,2,FALSE),0)</f>
        <v>3352.0299999999997</v>
      </c>
      <c r="O97" s="3">
        <f>Table15[[#This Row],[Beginning Balance]]-Table15[[#This Row],[Principal]]-Table15[[#This Row],[Prepayments]]-Table15[[#This Row],[Defaulted Principal]]</f>
        <v>4950482.2500000019</v>
      </c>
      <c r="P97" s="3">
        <f>Table15[[#This Row],[Principal]]+Table15[[#This Row],[Interest]]+Table15[[#This Row],[Prepayments]]+Table15[[#This Row],[RecoveredAmount]]</f>
        <v>60456.05</v>
      </c>
      <c r="Q97" s="3">
        <f ca="1">ROUND(Table15[[#This Row],[Cash Flow]]/((1+ActualRateToUse)^(IF(ISNUMBER(SEARCH("Actual",$C$7)),Table15[[#This Row],[Running Total]]/365,Table15[[#This Row],[Period]]/12))),2)</f>
        <v>37929.769999999997</v>
      </c>
      <c r="R97" s="2">
        <f>IF(MONTH(Table15[[#This Row],[Date]])=2,28,DAY(DATE(YEAR(Table15[[#This Row],[Date]]),MONTH(Table15[[#This Row],[Date]])+1,1)-1))</f>
        <v>31</v>
      </c>
      <c r="S97" s="2">
        <f ca="1">SUM(OFFSET(Table15[[#Headers],[Days in month]],1,0):Table15[[#This Row],[Days in month]])</f>
        <v>2464</v>
      </c>
      <c r="T97" s="37">
        <f>InterestRate*AmortizationMultiplier*IF(ISNUMBER(SEARCH("Actual",$C$7)),Table15[[#This Row],[Days in month]]/365,1/12)</f>
        <v>5.8133611111111103E-3</v>
      </c>
    </row>
    <row r="98" spans="2:20" x14ac:dyDescent="0.2">
      <c r="B98" s="1">
        <v>48334</v>
      </c>
      <c r="C98" s="2">
        <f t="shared" si="4"/>
        <v>82</v>
      </c>
      <c r="D98" s="3">
        <f t="shared" si="3"/>
        <v>4950482.2500000019</v>
      </c>
      <c r="E98" s="3">
        <f>ROUND(Table15[[#This Row],[Beginning Balance]]*Table15[[#This Row],[Monthly Interest Rate]],2)</f>
        <v>27850.59</v>
      </c>
      <c r="F98" s="3">
        <f t="shared" si="5"/>
        <v>190</v>
      </c>
      <c r="G98" s="23">
        <f>IFERROR(IF($C$13="No","N/A",IF(Table15[[#This Row],[Period]]=1,$C$6,PMT(InterestRate*AmortizationMultiplier/12,Table15[[#This Row],[Am Thru]],-Table15[[#This Row],[Beginning Balance]]))),0)</f>
        <v>42742.904386930517</v>
      </c>
      <c r="H98" s="3">
        <f>MAX(0,IF(C98=$C$4,D98,ROUND(IF($C$3="Fixed Principal",$C$6-Table15[[#This Row],[Interest]],IF($C$3="Interest Only",Table15[[#This Row],[Beginning Balance]]*ROUND(1-(1-IF($C$11="No",$E$8,1))^(1/12),6),MIN(IF($C$13="Yes",Table15[[#This Row],[Payment Amount (Reamortized)]],$C$6)-Table15[[#This Row],[Interest]],Table15[[#This Row],[Beginning Balance]]))),2)))</f>
        <v>14892.31</v>
      </c>
      <c r="I98" s="3">
        <f>_xlfn.SINGLE(IF($C$3="Line of Credit",0,ROUND(MAX(MIN(IF($C$10="No",$E$7,VLOOKUP(Table15[[#This Row],[Period]],Forecast!$H$2:$L$1048576,4,FALSE))*Table15[[#This Row],[Beginning Balance]],Table15[[#This Row],[Beginning Balance]]-Table15[[#This Row],[Principal]]),0),2)))</f>
        <v>14123.73</v>
      </c>
      <c r="J98" s="3">
        <f>ROUND(MIN(Table15[[#This Row],[Beginning Balance]]*IF($C$8="No",$E$3,VLOOKUP(Table15[[#This Row],[Period]],Forecast!$H$2:$L$1048576,2,FALSE)),Table15[[#This Row],[Beginning Balance]]-Table15[[#This Row],[Principal]]-Table15[[#This Row],[Prepayments]]),2)</f>
        <v>3381.18</v>
      </c>
      <c r="K98" s="3">
        <f>ROUND(Table15[[#This Row],[Defaulted Principal]]*IF($C$9="No",$E$4,VLOOKUP(Table15[[#This Row],[Period]],Forecast!$H$2:$L$1048576,3,FALSE)),2)</f>
        <v>293.13</v>
      </c>
      <c r="L98" s="2">
        <f>Table15[[#This Row],[Period]]+$E$9</f>
        <v>94</v>
      </c>
      <c r="M98" s="3">
        <f>Table15[[#This Row],[Defaulted Principal]]-Table15[[#This Row],[Estimated Loss]]</f>
        <v>3088.0499999999997</v>
      </c>
      <c r="N98" s="3">
        <f>IFERROR(VLOOKUP(Table15[[#This Row],[Period]],$L$16:$M$385,2,FALSE),0)</f>
        <v>3331.75</v>
      </c>
      <c r="O98" s="3">
        <f>Table15[[#This Row],[Beginning Balance]]-Table15[[#This Row],[Principal]]-Table15[[#This Row],[Prepayments]]-Table15[[#This Row],[Defaulted Principal]]</f>
        <v>4918085.0300000021</v>
      </c>
      <c r="P98" s="3">
        <f>Table15[[#This Row],[Principal]]+Table15[[#This Row],[Interest]]+Table15[[#This Row],[Prepayments]]+Table15[[#This Row],[RecoveredAmount]]</f>
        <v>60198.380000000005</v>
      </c>
      <c r="Q98" s="3">
        <f ca="1">ROUND(Table15[[#This Row],[Cash Flow]]/((1+ActualRateToUse)^(IF(ISNUMBER(SEARCH("Actual",$C$7)),Table15[[#This Row],[Running Total]]/365,Table15[[#This Row],[Period]]/12))),2)</f>
        <v>37554.35</v>
      </c>
      <c r="R98" s="2">
        <f>IF(MONTH(Table15[[#This Row],[Date]])=2,28,DAY(DATE(YEAR(Table15[[#This Row],[Date]]),MONTH(Table15[[#This Row],[Date]])+1,1)-1))</f>
        <v>30</v>
      </c>
      <c r="S98" s="2">
        <f ca="1">SUM(OFFSET(Table15[[#Headers],[Days in month]],1,0):Table15[[#This Row],[Days in month]])</f>
        <v>2494</v>
      </c>
      <c r="T98" s="37">
        <f>InterestRate*AmortizationMultiplier*IF(ISNUMBER(SEARCH("Actual",$C$7)),Table15[[#This Row],[Days in month]]/365,1/12)</f>
        <v>5.6258333333333325E-3</v>
      </c>
    </row>
    <row r="99" spans="2:20" x14ac:dyDescent="0.2">
      <c r="B99" s="1">
        <v>48365</v>
      </c>
      <c r="C99" s="2">
        <f t="shared" si="4"/>
        <v>83</v>
      </c>
      <c r="D99" s="3">
        <f t="shared" si="3"/>
        <v>4918085.0300000021</v>
      </c>
      <c r="E99" s="3">
        <f>ROUND(Table15[[#This Row],[Beginning Balance]]*Table15[[#This Row],[Monthly Interest Rate]],2)</f>
        <v>28590.6</v>
      </c>
      <c r="F99" s="3">
        <f t="shared" si="5"/>
        <v>189</v>
      </c>
      <c r="G99" s="23">
        <f>IFERROR(IF($C$13="No","N/A",IF(Table15[[#This Row],[Period]]=1,$C$6,PMT(InterestRate*AmortizationMultiplier/12,Table15[[#This Row],[Am Thru]],-Table15[[#This Row],[Beginning Balance]]))),0)</f>
        <v>42587.971735292122</v>
      </c>
      <c r="H99" s="3">
        <f>MAX(0,IF(C99=$C$4,D99,ROUND(IF($C$3="Fixed Principal",$C$6-Table15[[#This Row],[Interest]],IF($C$3="Interest Only",Table15[[#This Row],[Beginning Balance]]*ROUND(1-(1-IF($C$11="No",$E$8,1))^(1/12),6),MIN(IF($C$13="Yes",Table15[[#This Row],[Payment Amount (Reamortized)]],$C$6)-Table15[[#This Row],[Interest]],Table15[[#This Row],[Beginning Balance]]))),2)))</f>
        <v>13997.37</v>
      </c>
      <c r="I99" s="3">
        <f>_xlfn.SINGLE(IF($C$3="Line of Credit",0,ROUND(MAX(MIN(IF($C$10="No",$E$7,VLOOKUP(Table15[[#This Row],[Period]],Forecast!$H$2:$L$1048576,4,FALSE))*Table15[[#This Row],[Beginning Balance]],Table15[[#This Row],[Beginning Balance]]-Table15[[#This Row],[Principal]]),0),2)))</f>
        <v>14031.3</v>
      </c>
      <c r="J99" s="3">
        <f>ROUND(MIN(Table15[[#This Row],[Beginning Balance]]*IF($C$8="No",$E$3,VLOOKUP(Table15[[#This Row],[Period]],Forecast!$H$2:$L$1048576,2,FALSE)),Table15[[#This Row],[Beginning Balance]]-Table15[[#This Row],[Principal]]-Table15[[#This Row],[Prepayments]]),2)</f>
        <v>3359.05</v>
      </c>
      <c r="K99" s="3">
        <f>ROUND(Table15[[#This Row],[Defaulted Principal]]*IF($C$9="No",$E$4,VLOOKUP(Table15[[#This Row],[Period]],Forecast!$H$2:$L$1048576,3,FALSE)),2)</f>
        <v>291.20999999999998</v>
      </c>
      <c r="L99" s="2">
        <f>Table15[[#This Row],[Period]]+$E$9</f>
        <v>95</v>
      </c>
      <c r="M99" s="3">
        <f>Table15[[#This Row],[Defaulted Principal]]-Table15[[#This Row],[Estimated Loss]]</f>
        <v>3067.84</v>
      </c>
      <c r="N99" s="3">
        <f>IFERROR(VLOOKUP(Table15[[#This Row],[Period]],$L$16:$M$385,2,FALSE),0)</f>
        <v>3310.88</v>
      </c>
      <c r="O99" s="3">
        <f>Table15[[#This Row],[Beginning Balance]]-Table15[[#This Row],[Principal]]-Table15[[#This Row],[Prepayments]]-Table15[[#This Row],[Defaulted Principal]]</f>
        <v>4886697.3100000024</v>
      </c>
      <c r="P99" s="3">
        <f>Table15[[#This Row],[Principal]]+Table15[[#This Row],[Interest]]+Table15[[#This Row],[Prepayments]]+Table15[[#This Row],[RecoveredAmount]]</f>
        <v>59930.15</v>
      </c>
      <c r="Q99" s="3">
        <f ca="1">ROUND(Table15[[#This Row],[Cash Flow]]/((1+ActualRateToUse)^(IF(ISNUMBER(SEARCH("Actual",$C$7)),Table15[[#This Row],[Running Total]]/365,Table15[[#This Row],[Period]]/12))),2)</f>
        <v>37168.379999999997</v>
      </c>
      <c r="R99" s="2">
        <f>IF(MONTH(Table15[[#This Row],[Date]])=2,28,DAY(DATE(YEAR(Table15[[#This Row],[Date]]),MONTH(Table15[[#This Row],[Date]])+1,1)-1))</f>
        <v>31</v>
      </c>
      <c r="S99" s="2">
        <f ca="1">SUM(OFFSET(Table15[[#Headers],[Days in month]],1,0):Table15[[#This Row],[Days in month]])</f>
        <v>2525</v>
      </c>
      <c r="T99" s="37">
        <f>InterestRate*AmortizationMultiplier*IF(ISNUMBER(SEARCH("Actual",$C$7)),Table15[[#This Row],[Days in month]]/365,1/12)</f>
        <v>5.8133611111111103E-3</v>
      </c>
    </row>
    <row r="100" spans="2:20" x14ac:dyDescent="0.2">
      <c r="B100" s="1">
        <v>48395</v>
      </c>
      <c r="C100" s="2">
        <f t="shared" si="4"/>
        <v>84</v>
      </c>
      <c r="D100" s="3">
        <f t="shared" si="3"/>
        <v>4886697.3100000024</v>
      </c>
      <c r="E100" s="3">
        <f>ROUND(Table15[[#This Row],[Beginning Balance]]*Table15[[#This Row],[Monthly Interest Rate]],2)</f>
        <v>27491.74</v>
      </c>
      <c r="F100" s="3">
        <f t="shared" si="5"/>
        <v>188</v>
      </c>
      <c r="G100" s="23">
        <f>IFERROR(IF($C$13="No","N/A",IF(Table15[[#This Row],[Period]]=1,$C$6,PMT(InterestRate*AmortizationMultiplier/12,Table15[[#This Row],[Am Thru]],-Table15[[#This Row],[Beginning Balance]]))),0)</f>
        <v>42441.606802922099</v>
      </c>
      <c r="H100" s="3">
        <f>MAX(0,IF(C100=$C$4,D100,ROUND(IF($C$3="Fixed Principal",$C$6-Table15[[#This Row],[Interest]],IF($C$3="Interest Only",Table15[[#This Row],[Beginning Balance]]*ROUND(1-(1-IF($C$11="No",$E$8,1))^(1/12),6),MIN(IF($C$13="Yes",Table15[[#This Row],[Payment Amount (Reamortized)]],$C$6)-Table15[[#This Row],[Interest]],Table15[[#This Row],[Beginning Balance]]))),2)))</f>
        <v>14949.87</v>
      </c>
      <c r="I100" s="3">
        <f>_xlfn.SINGLE(IF($C$3="Line of Credit",0,ROUND(MAX(MIN(IF($C$10="No",$E$7,VLOOKUP(Table15[[#This Row],[Period]],Forecast!$H$2:$L$1048576,4,FALSE))*Table15[[#This Row],[Beginning Balance]],Table15[[#This Row],[Beginning Balance]]-Table15[[#This Row],[Principal]]),0),2)))</f>
        <v>13941.75</v>
      </c>
      <c r="J100" s="3">
        <f>ROUND(MIN(Table15[[#This Row],[Beginning Balance]]*IF($C$8="No",$E$3,VLOOKUP(Table15[[#This Row],[Period]],Forecast!$H$2:$L$1048576,2,FALSE)),Table15[[#This Row],[Beginning Balance]]-Table15[[#This Row],[Principal]]-Table15[[#This Row],[Prepayments]]),2)</f>
        <v>3337.61</v>
      </c>
      <c r="K100" s="3">
        <f>ROUND(Table15[[#This Row],[Defaulted Principal]]*IF($C$9="No",$E$4,VLOOKUP(Table15[[#This Row],[Period]],Forecast!$H$2:$L$1048576,3,FALSE)),2)</f>
        <v>289.35000000000002</v>
      </c>
      <c r="L100" s="2">
        <f>Table15[[#This Row],[Period]]+$E$9</f>
        <v>96</v>
      </c>
      <c r="M100" s="3">
        <f>Table15[[#This Row],[Defaulted Principal]]-Table15[[#This Row],[Estimated Loss]]</f>
        <v>3048.26</v>
      </c>
      <c r="N100" s="3">
        <f>IFERROR(VLOOKUP(Table15[[#This Row],[Period]],$L$16:$M$385,2,FALSE),0)</f>
        <v>3290.71</v>
      </c>
      <c r="O100" s="3">
        <f>Table15[[#This Row],[Beginning Balance]]-Table15[[#This Row],[Principal]]-Table15[[#This Row],[Prepayments]]-Table15[[#This Row],[Defaulted Principal]]</f>
        <v>4854468.0800000019</v>
      </c>
      <c r="P100" s="3">
        <f>Table15[[#This Row],[Principal]]+Table15[[#This Row],[Interest]]+Table15[[#This Row],[Prepayments]]+Table15[[#This Row],[RecoveredAmount]]</f>
        <v>59674.07</v>
      </c>
      <c r="Q100" s="3">
        <f ca="1">ROUND(Table15[[#This Row],[Cash Flow]]/((1+ActualRateToUse)^(IF(ISNUMBER(SEARCH("Actual",$C$7)),Table15[[#This Row],[Running Total]]/365,Table15[[#This Row],[Period]]/12))),2)</f>
        <v>36800.1</v>
      </c>
      <c r="R100" s="2">
        <f>IF(MONTH(Table15[[#This Row],[Date]])=2,28,DAY(DATE(YEAR(Table15[[#This Row],[Date]]),MONTH(Table15[[#This Row],[Date]])+1,1)-1))</f>
        <v>30</v>
      </c>
      <c r="S100" s="2">
        <f ca="1">SUM(OFFSET(Table15[[#Headers],[Days in month]],1,0):Table15[[#This Row],[Days in month]])</f>
        <v>2555</v>
      </c>
      <c r="T100" s="37">
        <f>InterestRate*AmortizationMultiplier*IF(ISNUMBER(SEARCH("Actual",$C$7)),Table15[[#This Row],[Days in month]]/365,1/12)</f>
        <v>5.6258333333333325E-3</v>
      </c>
    </row>
    <row r="101" spans="2:20" x14ac:dyDescent="0.2">
      <c r="B101" s="1">
        <v>48426</v>
      </c>
      <c r="C101" s="2">
        <f t="shared" si="4"/>
        <v>85</v>
      </c>
      <c r="D101" s="3">
        <f t="shared" si="3"/>
        <v>4854468.0800000019</v>
      </c>
      <c r="E101" s="3">
        <f>ROUND(Table15[[#This Row],[Beginning Balance]]*Table15[[#This Row],[Monthly Interest Rate]],2)</f>
        <v>28220.78</v>
      </c>
      <c r="F101" s="3">
        <f t="shared" si="5"/>
        <v>187</v>
      </c>
      <c r="G101" s="23">
        <f>IFERROR(IF($C$13="No","N/A",IF(Table15[[#This Row],[Period]]=1,$C$6,PMT(InterestRate*AmortizationMultiplier/12,Table15[[#This Row],[Am Thru]],-Table15[[#This Row],[Beginning Balance]]))),0)</f>
        <v>42287.758339242981</v>
      </c>
      <c r="H101" s="3">
        <f>MAX(0,IF(C101=$C$4,D101,ROUND(IF($C$3="Fixed Principal",$C$6-Table15[[#This Row],[Interest]],IF($C$3="Interest Only",Table15[[#This Row],[Beginning Balance]]*ROUND(1-(1-IF($C$11="No",$E$8,1))^(1/12),6),MIN(IF($C$13="Yes",Table15[[#This Row],[Payment Amount (Reamortized)]],$C$6)-Table15[[#This Row],[Interest]],Table15[[#This Row],[Beginning Balance]]))),2)))</f>
        <v>14066.98</v>
      </c>
      <c r="I101" s="3">
        <f>_xlfn.SINGLE(IF($C$3="Line of Credit",0,ROUND(MAX(MIN(IF($C$10="No",$E$7,VLOOKUP(Table15[[#This Row],[Period]],Forecast!$H$2:$L$1048576,4,FALSE))*Table15[[#This Row],[Beginning Balance]],Table15[[#This Row],[Beginning Balance]]-Table15[[#This Row],[Principal]]),0),2)))</f>
        <v>13849.8</v>
      </c>
      <c r="J101" s="3">
        <f>ROUND(MIN(Table15[[#This Row],[Beginning Balance]]*IF($C$8="No",$E$3,VLOOKUP(Table15[[#This Row],[Period]],Forecast!$H$2:$L$1048576,2,FALSE)),Table15[[#This Row],[Beginning Balance]]-Table15[[#This Row],[Principal]]-Table15[[#This Row],[Prepayments]]),2)</f>
        <v>3315.6</v>
      </c>
      <c r="K101" s="3">
        <f>ROUND(Table15[[#This Row],[Defaulted Principal]]*IF($C$9="No",$E$4,VLOOKUP(Table15[[#This Row],[Period]],Forecast!$H$2:$L$1048576,3,FALSE)),2)</f>
        <v>287.44</v>
      </c>
      <c r="L101" s="2">
        <f>Table15[[#This Row],[Period]]+$E$9</f>
        <v>97</v>
      </c>
      <c r="M101" s="3">
        <f>Table15[[#This Row],[Defaulted Principal]]-Table15[[#This Row],[Estimated Loss]]</f>
        <v>3028.16</v>
      </c>
      <c r="N101" s="3">
        <f>IFERROR(VLOOKUP(Table15[[#This Row],[Period]],$L$16:$M$385,2,FALSE),0)</f>
        <v>3269.96</v>
      </c>
      <c r="O101" s="3">
        <f>Table15[[#This Row],[Beginning Balance]]-Table15[[#This Row],[Principal]]-Table15[[#This Row],[Prepayments]]-Table15[[#This Row],[Defaulted Principal]]</f>
        <v>4823235.700000002</v>
      </c>
      <c r="P101" s="3">
        <f>Table15[[#This Row],[Principal]]+Table15[[#This Row],[Interest]]+Table15[[#This Row],[Prepayments]]+Table15[[#This Row],[RecoveredAmount]]</f>
        <v>59407.519999999997</v>
      </c>
      <c r="Q101" s="3">
        <f ca="1">ROUND(Table15[[#This Row],[Cash Flow]]/((1+ActualRateToUse)^(IF(ISNUMBER(SEARCH("Actual",$C$7)),Table15[[#This Row],[Running Total]]/365,Table15[[#This Row],[Period]]/12))),2)</f>
        <v>36421.47</v>
      </c>
      <c r="R101" s="2">
        <f>IF(MONTH(Table15[[#This Row],[Date]])=2,28,DAY(DATE(YEAR(Table15[[#This Row],[Date]]),MONTH(Table15[[#This Row],[Date]])+1,1)-1))</f>
        <v>31</v>
      </c>
      <c r="S101" s="2">
        <f ca="1">SUM(OFFSET(Table15[[#Headers],[Days in month]],1,0):Table15[[#This Row],[Days in month]])</f>
        <v>2586</v>
      </c>
      <c r="T101" s="37">
        <f>InterestRate*AmortizationMultiplier*IF(ISNUMBER(SEARCH("Actual",$C$7)),Table15[[#This Row],[Days in month]]/365,1/12)</f>
        <v>5.8133611111111103E-3</v>
      </c>
    </row>
    <row r="102" spans="2:20" x14ac:dyDescent="0.2">
      <c r="B102" s="1">
        <v>48457</v>
      </c>
      <c r="C102" s="2">
        <f t="shared" si="4"/>
        <v>86</v>
      </c>
      <c r="D102" s="3">
        <f t="shared" si="3"/>
        <v>4823235.700000002</v>
      </c>
      <c r="E102" s="3">
        <f>ROUND(Table15[[#This Row],[Beginning Balance]]*Table15[[#This Row],[Monthly Interest Rate]],2)</f>
        <v>28039.21</v>
      </c>
      <c r="F102" s="3">
        <f t="shared" si="5"/>
        <v>186</v>
      </c>
      <c r="G102" s="23">
        <f>IFERROR(IF($C$13="No","N/A",IF(Table15[[#This Row],[Period]]=1,$C$6,PMT(InterestRate*AmortizationMultiplier/12,Table15[[#This Row],[Am Thru]],-Table15[[#This Row],[Beginning Balance]]))),0)</f>
        <v>42142.417689486916</v>
      </c>
      <c r="H102" s="3">
        <f>MAX(0,IF(C102=$C$4,D102,ROUND(IF($C$3="Fixed Principal",$C$6-Table15[[#This Row],[Interest]],IF($C$3="Interest Only",Table15[[#This Row],[Beginning Balance]]*ROUND(1-(1-IF($C$11="No",$E$8,1))^(1/12),6),MIN(IF($C$13="Yes",Table15[[#This Row],[Payment Amount (Reamortized)]],$C$6)-Table15[[#This Row],[Interest]],Table15[[#This Row],[Beginning Balance]]))),2)))</f>
        <v>14103.21</v>
      </c>
      <c r="I102" s="3">
        <f>_xlfn.SINGLE(IF($C$3="Line of Credit",0,ROUND(MAX(MIN(IF($C$10="No",$E$7,VLOOKUP(Table15[[#This Row],[Period]],Forecast!$H$2:$L$1048576,4,FALSE))*Table15[[#This Row],[Beginning Balance]],Table15[[#This Row],[Beginning Balance]]-Table15[[#This Row],[Principal]]),0),2)))</f>
        <v>13760.69</v>
      </c>
      <c r="J102" s="3">
        <f>ROUND(MIN(Table15[[#This Row],[Beginning Balance]]*IF($C$8="No",$E$3,VLOOKUP(Table15[[#This Row],[Period]],Forecast!$H$2:$L$1048576,2,FALSE)),Table15[[#This Row],[Beginning Balance]]-Table15[[#This Row],[Principal]]-Table15[[#This Row],[Prepayments]]),2)</f>
        <v>3294.27</v>
      </c>
      <c r="K102" s="3">
        <f>ROUND(Table15[[#This Row],[Defaulted Principal]]*IF($C$9="No",$E$4,VLOOKUP(Table15[[#This Row],[Period]],Forecast!$H$2:$L$1048576,3,FALSE)),2)</f>
        <v>285.58999999999997</v>
      </c>
      <c r="L102" s="2">
        <f>Table15[[#This Row],[Period]]+$E$9</f>
        <v>98</v>
      </c>
      <c r="M102" s="3">
        <f>Table15[[#This Row],[Defaulted Principal]]-Table15[[#This Row],[Estimated Loss]]</f>
        <v>3008.68</v>
      </c>
      <c r="N102" s="3">
        <f>IFERROR(VLOOKUP(Table15[[#This Row],[Period]],$L$16:$M$385,2,FALSE),0)</f>
        <v>3249.87</v>
      </c>
      <c r="O102" s="3">
        <f>Table15[[#This Row],[Beginning Balance]]-Table15[[#This Row],[Principal]]-Table15[[#This Row],[Prepayments]]-Table15[[#This Row],[Defaulted Principal]]</f>
        <v>4792077.5300000021</v>
      </c>
      <c r="P102" s="3">
        <f>Table15[[#This Row],[Principal]]+Table15[[#This Row],[Interest]]+Table15[[#This Row],[Prepayments]]+Table15[[#This Row],[RecoveredAmount]]</f>
        <v>59152.98</v>
      </c>
      <c r="Q102" s="3">
        <f ca="1">ROUND(Table15[[#This Row],[Cash Flow]]/((1+ActualRateToUse)^(IF(ISNUMBER(SEARCH("Actual",$C$7)),Table15[[#This Row],[Running Total]]/365,Table15[[#This Row],[Period]]/12))),2)</f>
        <v>36053.339999999997</v>
      </c>
      <c r="R102" s="2">
        <f>IF(MONTH(Table15[[#This Row],[Date]])=2,28,DAY(DATE(YEAR(Table15[[#This Row],[Date]]),MONTH(Table15[[#This Row],[Date]])+1,1)-1))</f>
        <v>31</v>
      </c>
      <c r="S102" s="2">
        <f ca="1">SUM(OFFSET(Table15[[#Headers],[Days in month]],1,0):Table15[[#This Row],[Days in month]])</f>
        <v>2617</v>
      </c>
      <c r="T102" s="37">
        <f>InterestRate*AmortizationMultiplier*IF(ISNUMBER(SEARCH("Actual",$C$7)),Table15[[#This Row],[Days in month]]/365,1/12)</f>
        <v>5.8133611111111103E-3</v>
      </c>
    </row>
    <row r="103" spans="2:20" x14ac:dyDescent="0.2">
      <c r="B103" s="1">
        <v>48487</v>
      </c>
      <c r="C103" s="2">
        <f t="shared" si="4"/>
        <v>87</v>
      </c>
      <c r="D103" s="3">
        <f t="shared" si="3"/>
        <v>4792077.5300000021</v>
      </c>
      <c r="E103" s="3">
        <f>ROUND(Table15[[#This Row],[Beginning Balance]]*Table15[[#This Row],[Monthly Interest Rate]],2)</f>
        <v>26959.43</v>
      </c>
      <c r="F103" s="3">
        <f t="shared" si="5"/>
        <v>185</v>
      </c>
      <c r="G103" s="23">
        <f>IFERROR(IF($C$13="No","N/A",IF(Table15[[#This Row],[Period]]=1,$C$6,PMT(InterestRate*AmortizationMultiplier/12,Table15[[#This Row],[Am Thru]],-Table15[[#This Row],[Beginning Balance]]))),0)</f>
        <v>41997.57272185442</v>
      </c>
      <c r="H103" s="3">
        <f>MAX(0,IF(C103=$C$4,D103,ROUND(IF($C$3="Fixed Principal",$C$6-Table15[[#This Row],[Interest]],IF($C$3="Interest Only",Table15[[#This Row],[Beginning Balance]]*ROUND(1-(1-IF($C$11="No",$E$8,1))^(1/12),6),MIN(IF($C$13="Yes",Table15[[#This Row],[Payment Amount (Reamortized)]],$C$6)-Table15[[#This Row],[Interest]],Table15[[#This Row],[Beginning Balance]]))),2)))</f>
        <v>15038.14</v>
      </c>
      <c r="I103" s="3">
        <f>_xlfn.SINGLE(IF($C$3="Line of Credit",0,ROUND(MAX(MIN(IF($C$10="No",$E$7,VLOOKUP(Table15[[#This Row],[Period]],Forecast!$H$2:$L$1048576,4,FALSE))*Table15[[#This Row],[Beginning Balance]],Table15[[#This Row],[Beginning Balance]]-Table15[[#This Row],[Principal]]),0),2)))</f>
        <v>13671.8</v>
      </c>
      <c r="J103" s="3">
        <f>ROUND(MIN(Table15[[#This Row],[Beginning Balance]]*IF($C$8="No",$E$3,VLOOKUP(Table15[[#This Row],[Period]],Forecast!$H$2:$L$1048576,2,FALSE)),Table15[[#This Row],[Beginning Balance]]-Table15[[#This Row],[Principal]]-Table15[[#This Row],[Prepayments]]),2)</f>
        <v>3272.99</v>
      </c>
      <c r="K103" s="3">
        <f>ROUND(Table15[[#This Row],[Defaulted Principal]]*IF($C$9="No",$E$4,VLOOKUP(Table15[[#This Row],[Period]],Forecast!$H$2:$L$1048576,3,FALSE)),2)</f>
        <v>283.75</v>
      </c>
      <c r="L103" s="2">
        <f>Table15[[#This Row],[Period]]+$E$9</f>
        <v>99</v>
      </c>
      <c r="M103" s="3">
        <f>Table15[[#This Row],[Defaulted Principal]]-Table15[[#This Row],[Estimated Loss]]</f>
        <v>2989.24</v>
      </c>
      <c r="N103" s="3">
        <f>IFERROR(VLOOKUP(Table15[[#This Row],[Period]],$L$16:$M$385,2,FALSE),0)</f>
        <v>3229.8399999999997</v>
      </c>
      <c r="O103" s="3">
        <f>Table15[[#This Row],[Beginning Balance]]-Table15[[#This Row],[Principal]]-Table15[[#This Row],[Prepayments]]-Table15[[#This Row],[Defaulted Principal]]</f>
        <v>4760094.6000000024</v>
      </c>
      <c r="P103" s="3">
        <f>Table15[[#This Row],[Principal]]+Table15[[#This Row],[Interest]]+Table15[[#This Row],[Prepayments]]+Table15[[#This Row],[RecoveredAmount]]</f>
        <v>58899.209999999992</v>
      </c>
      <c r="Q103" s="3">
        <f ca="1">ROUND(Table15[[#This Row],[Cash Flow]]/((1+ActualRateToUse)^(IF(ISNUMBER(SEARCH("Actual",$C$7)),Table15[[#This Row],[Running Total]]/365,Table15[[#This Row],[Period]]/12))),2)</f>
        <v>35695.49</v>
      </c>
      <c r="R103" s="2">
        <f>IF(MONTH(Table15[[#This Row],[Date]])=2,28,DAY(DATE(YEAR(Table15[[#This Row],[Date]]),MONTH(Table15[[#This Row],[Date]])+1,1)-1))</f>
        <v>30</v>
      </c>
      <c r="S103" s="2">
        <f ca="1">SUM(OFFSET(Table15[[#Headers],[Days in month]],1,0):Table15[[#This Row],[Days in month]])</f>
        <v>2647</v>
      </c>
      <c r="T103" s="37">
        <f>InterestRate*AmortizationMultiplier*IF(ISNUMBER(SEARCH("Actual",$C$7)),Table15[[#This Row],[Days in month]]/365,1/12)</f>
        <v>5.6258333333333325E-3</v>
      </c>
    </row>
    <row r="104" spans="2:20" x14ac:dyDescent="0.2">
      <c r="B104" s="1">
        <v>48518</v>
      </c>
      <c r="C104" s="2">
        <f t="shared" si="4"/>
        <v>88</v>
      </c>
      <c r="D104" s="3">
        <f t="shared" si="3"/>
        <v>4760094.6000000024</v>
      </c>
      <c r="E104" s="3">
        <f>ROUND(Table15[[#This Row],[Beginning Balance]]*Table15[[#This Row],[Monthly Interest Rate]],2)</f>
        <v>27672.15</v>
      </c>
      <c r="F104" s="3">
        <f t="shared" si="5"/>
        <v>184</v>
      </c>
      <c r="G104" s="23">
        <f>IFERROR(IF($C$13="No","N/A",IF(Table15[[#This Row],[Period]]=1,$C$6,PMT(InterestRate*AmortizationMultiplier/12,Table15[[#This Row],[Am Thru]],-Table15[[#This Row],[Beginning Balance]]))),0)</f>
        <v>41845.321866670922</v>
      </c>
      <c r="H104" s="3">
        <f>MAX(0,IF(C104=$C$4,D104,ROUND(IF($C$3="Fixed Principal",$C$6-Table15[[#This Row],[Interest]],IF($C$3="Interest Only",Table15[[#This Row],[Beginning Balance]]*ROUND(1-(1-IF($C$11="No",$E$8,1))^(1/12),6),MIN(IF($C$13="Yes",Table15[[#This Row],[Payment Amount (Reamortized)]],$C$6)-Table15[[#This Row],[Interest]],Table15[[#This Row],[Beginning Balance]]))),2)))</f>
        <v>14173.17</v>
      </c>
      <c r="I104" s="3">
        <f>_xlfn.SINGLE(IF($C$3="Line of Credit",0,ROUND(MAX(MIN(IF($C$10="No",$E$7,VLOOKUP(Table15[[#This Row],[Period]],Forecast!$H$2:$L$1048576,4,FALSE))*Table15[[#This Row],[Beginning Balance]],Table15[[#This Row],[Beginning Balance]]-Table15[[#This Row],[Principal]]),0),2)))</f>
        <v>13580.55</v>
      </c>
      <c r="J104" s="3">
        <f>ROUND(MIN(Table15[[#This Row],[Beginning Balance]]*IF($C$8="No",$E$3,VLOOKUP(Table15[[#This Row],[Period]],Forecast!$H$2:$L$1048576,2,FALSE)),Table15[[#This Row],[Beginning Balance]]-Table15[[#This Row],[Principal]]-Table15[[#This Row],[Prepayments]]),2)</f>
        <v>3251.14</v>
      </c>
      <c r="K104" s="3">
        <f>ROUND(Table15[[#This Row],[Defaulted Principal]]*IF($C$9="No",$E$4,VLOOKUP(Table15[[#This Row],[Period]],Forecast!$H$2:$L$1048576,3,FALSE)),2)</f>
        <v>281.85000000000002</v>
      </c>
      <c r="L104" s="2">
        <f>Table15[[#This Row],[Period]]+$E$9</f>
        <v>100</v>
      </c>
      <c r="M104" s="3">
        <f>Table15[[#This Row],[Defaulted Principal]]-Table15[[#This Row],[Estimated Loss]]</f>
        <v>2969.29</v>
      </c>
      <c r="N104" s="3">
        <f>IFERROR(VLOOKUP(Table15[[#This Row],[Period]],$L$16:$M$385,2,FALSE),0)</f>
        <v>3209.25</v>
      </c>
      <c r="O104" s="3">
        <f>Table15[[#This Row],[Beginning Balance]]-Table15[[#This Row],[Principal]]-Table15[[#This Row],[Prepayments]]-Table15[[#This Row],[Defaulted Principal]]</f>
        <v>4729089.740000003</v>
      </c>
      <c r="P104" s="3">
        <f>Table15[[#This Row],[Principal]]+Table15[[#This Row],[Interest]]+Table15[[#This Row],[Prepayments]]+Table15[[#This Row],[RecoveredAmount]]</f>
        <v>58635.119999999995</v>
      </c>
      <c r="Q104" s="3">
        <f ca="1">ROUND(Table15[[#This Row],[Cash Flow]]/((1+ActualRateToUse)^(IF(ISNUMBER(SEARCH("Actual",$C$7)),Table15[[#This Row],[Running Total]]/365,Table15[[#This Row],[Period]]/12))),2)</f>
        <v>35327.629999999997</v>
      </c>
      <c r="R104" s="2">
        <f>IF(MONTH(Table15[[#This Row],[Date]])=2,28,DAY(DATE(YEAR(Table15[[#This Row],[Date]]),MONTH(Table15[[#This Row],[Date]])+1,1)-1))</f>
        <v>31</v>
      </c>
      <c r="S104" s="2">
        <f ca="1">SUM(OFFSET(Table15[[#Headers],[Days in month]],1,0):Table15[[#This Row],[Days in month]])</f>
        <v>2678</v>
      </c>
      <c r="T104" s="37">
        <f>InterestRate*AmortizationMultiplier*IF(ISNUMBER(SEARCH("Actual",$C$7)),Table15[[#This Row],[Days in month]]/365,1/12)</f>
        <v>5.8133611111111103E-3</v>
      </c>
    </row>
    <row r="105" spans="2:20" x14ac:dyDescent="0.2">
      <c r="B105" s="1">
        <v>48548</v>
      </c>
      <c r="C105" s="2">
        <f t="shared" si="4"/>
        <v>89</v>
      </c>
      <c r="D105" s="3">
        <f t="shared" si="3"/>
        <v>4729089.740000003</v>
      </c>
      <c r="E105" s="3">
        <f>ROUND(Table15[[#This Row],[Beginning Balance]]*Table15[[#This Row],[Monthly Interest Rate]],2)</f>
        <v>26605.07</v>
      </c>
      <c r="F105" s="3">
        <f t="shared" si="5"/>
        <v>183</v>
      </c>
      <c r="G105" s="23">
        <f>IFERROR(IF($C$13="No","N/A",IF(Table15[[#This Row],[Period]]=1,$C$6,PMT(InterestRate*AmortizationMultiplier/12,Table15[[#This Row],[Am Thru]],-Table15[[#This Row],[Beginning Balance]]))),0)</f>
        <v>41701.490393107168</v>
      </c>
      <c r="H105" s="3">
        <f>MAX(0,IF(C105=$C$4,D105,ROUND(IF($C$3="Fixed Principal",$C$6-Table15[[#This Row],[Interest]],IF($C$3="Interest Only",Table15[[#This Row],[Beginning Balance]]*ROUND(1-(1-IF($C$11="No",$E$8,1))^(1/12),6),MIN(IF($C$13="Yes",Table15[[#This Row],[Payment Amount (Reamortized)]],$C$6)-Table15[[#This Row],[Interest]],Table15[[#This Row],[Beginning Balance]]))),2)))</f>
        <v>15096.42</v>
      </c>
      <c r="I105" s="3">
        <f>_xlfn.SINGLE(IF($C$3="Line of Credit",0,ROUND(MAX(MIN(IF($C$10="No",$E$7,VLOOKUP(Table15[[#This Row],[Period]],Forecast!$H$2:$L$1048576,4,FALSE))*Table15[[#This Row],[Beginning Balance]],Table15[[#This Row],[Beginning Balance]]-Table15[[#This Row],[Principal]]),0),2)))</f>
        <v>13492.09</v>
      </c>
      <c r="J105" s="3">
        <f>ROUND(MIN(Table15[[#This Row],[Beginning Balance]]*IF($C$8="No",$E$3,VLOOKUP(Table15[[#This Row],[Period]],Forecast!$H$2:$L$1048576,2,FALSE)),Table15[[#This Row],[Beginning Balance]]-Table15[[#This Row],[Principal]]-Table15[[#This Row],[Prepayments]]),2)</f>
        <v>3229.97</v>
      </c>
      <c r="K105" s="3">
        <f>ROUND(Table15[[#This Row],[Defaulted Principal]]*IF($C$9="No",$E$4,VLOOKUP(Table15[[#This Row],[Period]],Forecast!$H$2:$L$1048576,3,FALSE)),2)</f>
        <v>280.02</v>
      </c>
      <c r="L105" s="2">
        <f>Table15[[#This Row],[Period]]+$E$9</f>
        <v>101</v>
      </c>
      <c r="M105" s="3">
        <f>Table15[[#This Row],[Defaulted Principal]]-Table15[[#This Row],[Estimated Loss]]</f>
        <v>2949.95</v>
      </c>
      <c r="N105" s="3">
        <f>IFERROR(VLOOKUP(Table15[[#This Row],[Period]],$L$16:$M$385,2,FALSE),0)</f>
        <v>3189.3199999999997</v>
      </c>
      <c r="O105" s="3">
        <f>Table15[[#This Row],[Beginning Balance]]-Table15[[#This Row],[Principal]]-Table15[[#This Row],[Prepayments]]-Table15[[#This Row],[Defaulted Principal]]</f>
        <v>4697271.2600000035</v>
      </c>
      <c r="P105" s="3">
        <f>Table15[[#This Row],[Principal]]+Table15[[#This Row],[Interest]]+Table15[[#This Row],[Prepayments]]+Table15[[#This Row],[RecoveredAmount]]</f>
        <v>58382.9</v>
      </c>
      <c r="Q105" s="3">
        <f ca="1">ROUND(Table15[[#This Row],[Cash Flow]]/((1+ActualRateToUse)^(IF(ISNUMBER(SEARCH("Actual",$C$7)),Table15[[#This Row],[Running Total]]/365,Table15[[#This Row],[Period]]/12))),2)</f>
        <v>34976.58</v>
      </c>
      <c r="R105" s="2">
        <f>IF(MONTH(Table15[[#This Row],[Date]])=2,28,DAY(DATE(YEAR(Table15[[#This Row],[Date]]),MONTH(Table15[[#This Row],[Date]])+1,1)-1))</f>
        <v>30</v>
      </c>
      <c r="S105" s="2">
        <f ca="1">SUM(OFFSET(Table15[[#Headers],[Days in month]],1,0):Table15[[#This Row],[Days in month]])</f>
        <v>2708</v>
      </c>
      <c r="T105" s="37">
        <f>InterestRate*AmortizationMultiplier*IF(ISNUMBER(SEARCH("Actual",$C$7)),Table15[[#This Row],[Days in month]]/365,1/12)</f>
        <v>5.6258333333333325E-3</v>
      </c>
    </row>
    <row r="106" spans="2:20" x14ac:dyDescent="0.2">
      <c r="B106" s="1">
        <v>48579</v>
      </c>
      <c r="C106" s="2">
        <f t="shared" si="4"/>
        <v>90</v>
      </c>
      <c r="D106" s="3">
        <f t="shared" si="3"/>
        <v>4697271.2600000035</v>
      </c>
      <c r="E106" s="3">
        <f>ROUND(Table15[[#This Row],[Beginning Balance]]*Table15[[#This Row],[Monthly Interest Rate]],2)</f>
        <v>27306.93</v>
      </c>
      <c r="F106" s="3">
        <f t="shared" si="5"/>
        <v>182</v>
      </c>
      <c r="G106" s="23">
        <f>IFERROR(IF($C$13="No","N/A",IF(Table15[[#This Row],[Period]]=1,$C$6,PMT(InterestRate*AmortizationMultiplier/12,Table15[[#This Row],[Am Thru]],-Table15[[#This Row],[Beginning Balance]]))),0)</f>
        <v>41550.304711645833</v>
      </c>
      <c r="H106" s="3">
        <f>MAX(0,IF(C106=$C$4,D106,ROUND(IF($C$3="Fixed Principal",$C$6-Table15[[#This Row],[Interest]],IF($C$3="Interest Only",Table15[[#This Row],[Beginning Balance]]*ROUND(1-(1-IF($C$11="No",$E$8,1))^(1/12),6),MIN(IF($C$13="Yes",Table15[[#This Row],[Payment Amount (Reamortized)]],$C$6)-Table15[[#This Row],[Interest]],Table15[[#This Row],[Beginning Balance]]))),2)))</f>
        <v>14243.37</v>
      </c>
      <c r="I106" s="3">
        <f>_xlfn.SINGLE(IF($C$3="Line of Credit",0,ROUND(MAX(MIN(IF($C$10="No",$E$7,VLOOKUP(Table15[[#This Row],[Period]],Forecast!$H$2:$L$1048576,4,FALSE))*Table15[[#This Row],[Beginning Balance]],Table15[[#This Row],[Beginning Balance]]-Table15[[#This Row],[Principal]]),0),2)))</f>
        <v>13401.31</v>
      </c>
      <c r="J106" s="3">
        <f>ROUND(MIN(Table15[[#This Row],[Beginning Balance]]*IF($C$8="No",$E$3,VLOOKUP(Table15[[#This Row],[Period]],Forecast!$H$2:$L$1048576,2,FALSE)),Table15[[#This Row],[Beginning Balance]]-Table15[[#This Row],[Principal]]-Table15[[#This Row],[Prepayments]]),2)</f>
        <v>3208.24</v>
      </c>
      <c r="K106" s="3">
        <f>ROUND(Table15[[#This Row],[Defaulted Principal]]*IF($C$9="No",$E$4,VLOOKUP(Table15[[#This Row],[Period]],Forecast!$H$2:$L$1048576,3,FALSE)),2)</f>
        <v>278.14</v>
      </c>
      <c r="L106" s="2">
        <f>Table15[[#This Row],[Period]]+$E$9</f>
        <v>102</v>
      </c>
      <c r="M106" s="3">
        <f>Table15[[#This Row],[Defaulted Principal]]-Table15[[#This Row],[Estimated Loss]]</f>
        <v>2930.1</v>
      </c>
      <c r="N106" s="3">
        <f>IFERROR(VLOOKUP(Table15[[#This Row],[Period]],$L$16:$M$385,2,FALSE),0)</f>
        <v>3168.83</v>
      </c>
      <c r="O106" s="3">
        <f>Table15[[#This Row],[Beginning Balance]]-Table15[[#This Row],[Principal]]-Table15[[#This Row],[Prepayments]]-Table15[[#This Row],[Defaulted Principal]]</f>
        <v>4666418.3400000036</v>
      </c>
      <c r="P106" s="3">
        <f>Table15[[#This Row],[Principal]]+Table15[[#This Row],[Interest]]+Table15[[#This Row],[Prepayments]]+Table15[[#This Row],[RecoveredAmount]]</f>
        <v>58120.44</v>
      </c>
      <c r="Q106" s="3">
        <f ca="1">ROUND(Table15[[#This Row],[Cash Flow]]/((1+ActualRateToUse)^(IF(ISNUMBER(SEARCH("Actual",$C$7)),Table15[[#This Row],[Running Total]]/365,Table15[[#This Row],[Period]]/12))),2)</f>
        <v>34615.730000000003</v>
      </c>
      <c r="R106" s="2">
        <f>IF(MONTH(Table15[[#This Row],[Date]])=2,28,DAY(DATE(YEAR(Table15[[#This Row],[Date]]),MONTH(Table15[[#This Row],[Date]])+1,1)-1))</f>
        <v>31</v>
      </c>
      <c r="S106" s="2">
        <f ca="1">SUM(OFFSET(Table15[[#Headers],[Days in month]],1,0):Table15[[#This Row],[Days in month]])</f>
        <v>2739</v>
      </c>
      <c r="T106" s="37">
        <f>InterestRate*AmortizationMultiplier*IF(ISNUMBER(SEARCH("Actual",$C$7)),Table15[[#This Row],[Days in month]]/365,1/12)</f>
        <v>5.8133611111111103E-3</v>
      </c>
    </row>
    <row r="107" spans="2:20" x14ac:dyDescent="0.2">
      <c r="B107" s="1">
        <v>48610</v>
      </c>
      <c r="C107" s="2">
        <f t="shared" si="4"/>
        <v>91</v>
      </c>
      <c r="D107" s="3">
        <f t="shared" si="3"/>
        <v>4666418.3400000036</v>
      </c>
      <c r="E107" s="3">
        <f>ROUND(Table15[[#This Row],[Beginning Balance]]*Table15[[#This Row],[Monthly Interest Rate]],2)</f>
        <v>27127.57</v>
      </c>
      <c r="F107" s="3">
        <f t="shared" si="5"/>
        <v>181</v>
      </c>
      <c r="G107" s="23">
        <f>IFERROR(IF($C$13="No","N/A",IF(Table15[[#This Row],[Period]]=1,$C$6,PMT(InterestRate*AmortizationMultiplier/12,Table15[[#This Row],[Am Thru]],-Table15[[#This Row],[Beginning Balance]]))),0)</f>
        <v>41407.479380022851</v>
      </c>
      <c r="H107" s="3">
        <f>MAX(0,IF(C107=$C$4,D107,ROUND(IF($C$3="Fixed Principal",$C$6-Table15[[#This Row],[Interest]],IF($C$3="Interest Only",Table15[[#This Row],[Beginning Balance]]*ROUND(1-(1-IF($C$11="No",$E$8,1))^(1/12),6),MIN(IF($C$13="Yes",Table15[[#This Row],[Payment Amount (Reamortized)]],$C$6)-Table15[[#This Row],[Interest]],Table15[[#This Row],[Beginning Balance]]))),2)))</f>
        <v>14279.91</v>
      </c>
      <c r="I107" s="3">
        <f>_xlfn.SINGLE(IF($C$3="Line of Credit",0,ROUND(MAX(MIN(IF($C$10="No",$E$7,VLOOKUP(Table15[[#This Row],[Period]],Forecast!$H$2:$L$1048576,4,FALSE))*Table15[[#This Row],[Beginning Balance]],Table15[[#This Row],[Beginning Balance]]-Table15[[#This Row],[Principal]]),0),2)))</f>
        <v>13313.29</v>
      </c>
      <c r="J107" s="3">
        <f>ROUND(MIN(Table15[[#This Row],[Beginning Balance]]*IF($C$8="No",$E$3,VLOOKUP(Table15[[#This Row],[Period]],Forecast!$H$2:$L$1048576,2,FALSE)),Table15[[#This Row],[Beginning Balance]]-Table15[[#This Row],[Principal]]-Table15[[#This Row],[Prepayments]]),2)</f>
        <v>3187.16</v>
      </c>
      <c r="K107" s="3">
        <f>ROUND(Table15[[#This Row],[Defaulted Principal]]*IF($C$9="No",$E$4,VLOOKUP(Table15[[#This Row],[Period]],Forecast!$H$2:$L$1048576,3,FALSE)),2)</f>
        <v>276.31</v>
      </c>
      <c r="L107" s="2">
        <f>Table15[[#This Row],[Period]]+$E$9</f>
        <v>103</v>
      </c>
      <c r="M107" s="3">
        <f>Table15[[#This Row],[Defaulted Principal]]-Table15[[#This Row],[Estimated Loss]]</f>
        <v>2910.85</v>
      </c>
      <c r="N107" s="3">
        <f>IFERROR(VLOOKUP(Table15[[#This Row],[Period]],$L$16:$M$385,2,FALSE),0)</f>
        <v>3149.01</v>
      </c>
      <c r="O107" s="3">
        <f>Table15[[#This Row],[Beginning Balance]]-Table15[[#This Row],[Principal]]-Table15[[#This Row],[Prepayments]]-Table15[[#This Row],[Defaulted Principal]]</f>
        <v>4635637.9800000032</v>
      </c>
      <c r="P107" s="3">
        <f>Table15[[#This Row],[Principal]]+Table15[[#This Row],[Interest]]+Table15[[#This Row],[Prepayments]]+Table15[[#This Row],[RecoveredAmount]]</f>
        <v>57869.78</v>
      </c>
      <c r="Q107" s="3">
        <f ca="1">ROUND(Table15[[#This Row],[Cash Flow]]/((1+ActualRateToUse)^(IF(ISNUMBER(SEARCH("Actual",$C$7)),Table15[[#This Row],[Running Total]]/365,Table15[[#This Row],[Period]]/12))),2)</f>
        <v>34264.879999999997</v>
      </c>
      <c r="R107" s="2">
        <f>IF(MONTH(Table15[[#This Row],[Date]])=2,28,DAY(DATE(YEAR(Table15[[#This Row],[Date]]),MONTH(Table15[[#This Row],[Date]])+1,1)-1))</f>
        <v>31</v>
      </c>
      <c r="S107" s="2">
        <f ca="1">SUM(OFFSET(Table15[[#Headers],[Days in month]],1,0):Table15[[#This Row],[Days in month]])</f>
        <v>2770</v>
      </c>
      <c r="T107" s="37">
        <f>InterestRate*AmortizationMultiplier*IF(ISNUMBER(SEARCH("Actual",$C$7)),Table15[[#This Row],[Days in month]]/365,1/12)</f>
        <v>5.8133611111111103E-3</v>
      </c>
    </row>
    <row r="108" spans="2:20" x14ac:dyDescent="0.2">
      <c r="B108" s="1">
        <v>48638</v>
      </c>
      <c r="C108" s="2">
        <f t="shared" si="4"/>
        <v>92</v>
      </c>
      <c r="D108" s="3">
        <f t="shared" si="3"/>
        <v>4635637.9800000032</v>
      </c>
      <c r="E108" s="3">
        <f>ROUND(Table15[[#This Row],[Beginning Balance]]*Table15[[#This Row],[Monthly Interest Rate]],2)</f>
        <v>24340.7</v>
      </c>
      <c r="F108" s="3">
        <f t="shared" si="5"/>
        <v>180</v>
      </c>
      <c r="G108" s="23">
        <f>IFERROR(IF($C$13="No","N/A",IF(Table15[[#This Row],[Period]]=1,$C$6,PMT(InterestRate*AmortizationMultiplier/12,Table15[[#This Row],[Am Thru]],-Table15[[#This Row],[Beginning Balance]]))),0)</f>
        <v>41265.140998220842</v>
      </c>
      <c r="H108" s="3">
        <f>MAX(0,IF(C108=$C$4,D108,ROUND(IF($C$3="Fixed Principal",$C$6-Table15[[#This Row],[Interest]],IF($C$3="Interest Only",Table15[[#This Row],[Beginning Balance]]*ROUND(1-(1-IF($C$11="No",$E$8,1))^(1/12),6),MIN(IF($C$13="Yes",Table15[[#This Row],[Payment Amount (Reamortized)]],$C$6)-Table15[[#This Row],[Interest]],Table15[[#This Row],[Beginning Balance]]))),2)))</f>
        <v>16924.439999999999</v>
      </c>
      <c r="I108" s="3">
        <f>_xlfn.SINGLE(IF($C$3="Line of Credit",0,ROUND(MAX(MIN(IF($C$10="No",$E$7,VLOOKUP(Table15[[#This Row],[Period]],Forecast!$H$2:$L$1048576,4,FALSE))*Table15[[#This Row],[Beginning Balance]],Table15[[#This Row],[Beginning Balance]]-Table15[[#This Row],[Principal]]),0),2)))</f>
        <v>13225.48</v>
      </c>
      <c r="J108" s="3">
        <f>ROUND(MIN(Table15[[#This Row],[Beginning Balance]]*IF($C$8="No",$E$3,VLOOKUP(Table15[[#This Row],[Period]],Forecast!$H$2:$L$1048576,2,FALSE)),Table15[[#This Row],[Beginning Balance]]-Table15[[#This Row],[Principal]]-Table15[[#This Row],[Prepayments]]),2)</f>
        <v>3166.14</v>
      </c>
      <c r="K108" s="3">
        <f>ROUND(Table15[[#This Row],[Defaulted Principal]]*IF($C$9="No",$E$4,VLOOKUP(Table15[[#This Row],[Period]],Forecast!$H$2:$L$1048576,3,FALSE)),2)</f>
        <v>274.49</v>
      </c>
      <c r="L108" s="2">
        <f>Table15[[#This Row],[Period]]+$E$9</f>
        <v>104</v>
      </c>
      <c r="M108" s="3">
        <f>Table15[[#This Row],[Defaulted Principal]]-Table15[[#This Row],[Estimated Loss]]</f>
        <v>2891.6499999999996</v>
      </c>
      <c r="N108" s="3">
        <f>IFERROR(VLOOKUP(Table15[[#This Row],[Period]],$L$16:$M$385,2,FALSE),0)</f>
        <v>3129.2200000000003</v>
      </c>
      <c r="O108" s="3">
        <f>Table15[[#This Row],[Beginning Balance]]-Table15[[#This Row],[Principal]]-Table15[[#This Row],[Prepayments]]-Table15[[#This Row],[Defaulted Principal]]</f>
        <v>4602321.9200000027</v>
      </c>
      <c r="P108" s="3">
        <f>Table15[[#This Row],[Principal]]+Table15[[#This Row],[Interest]]+Table15[[#This Row],[Prepayments]]+Table15[[#This Row],[RecoveredAmount]]</f>
        <v>57619.839999999997</v>
      </c>
      <c r="Q108" s="3">
        <f ca="1">ROUND(Table15[[#This Row],[Cash Flow]]/((1+ActualRateToUse)^(IF(ISNUMBER(SEARCH("Actual",$C$7)),Table15[[#This Row],[Running Total]]/365,Table15[[#This Row],[Period]]/12))),2)</f>
        <v>33936.629999999997</v>
      </c>
      <c r="R108" s="2">
        <f>IF(MONTH(Table15[[#This Row],[Date]])=2,28,DAY(DATE(YEAR(Table15[[#This Row],[Date]]),MONTH(Table15[[#This Row],[Date]])+1,1)-1))</f>
        <v>28</v>
      </c>
      <c r="S108" s="2">
        <f ca="1">SUM(OFFSET(Table15[[#Headers],[Days in month]],1,0):Table15[[#This Row],[Days in month]])</f>
        <v>2798</v>
      </c>
      <c r="T108" s="37">
        <f>InterestRate*AmortizationMultiplier*IF(ISNUMBER(SEARCH("Actual",$C$7)),Table15[[#This Row],[Days in month]]/365,1/12)</f>
        <v>5.2507777777777778E-3</v>
      </c>
    </row>
    <row r="109" spans="2:20" x14ac:dyDescent="0.2">
      <c r="B109" s="1">
        <v>48669</v>
      </c>
      <c r="C109" s="2">
        <f t="shared" si="4"/>
        <v>93</v>
      </c>
      <c r="D109" s="3">
        <f t="shared" si="3"/>
        <v>4602321.9200000027</v>
      </c>
      <c r="E109" s="3">
        <f>ROUND(Table15[[#This Row],[Beginning Balance]]*Table15[[#This Row],[Monthly Interest Rate]],2)</f>
        <v>26754.959999999999</v>
      </c>
      <c r="F109" s="3">
        <f t="shared" si="5"/>
        <v>179</v>
      </c>
      <c r="G109" s="23">
        <f>IFERROR(IF($C$13="No","N/A",IF(Table15[[#This Row],[Period]]=1,$C$6,PMT(InterestRate*AmortizationMultiplier/12,Table15[[#This Row],[Am Thru]],-Table15[[#This Row],[Beginning Balance]]))),0)</f>
        <v>41099.998266529292</v>
      </c>
      <c r="H109" s="3">
        <f>MAX(0,IF(C109=$C$4,D109,ROUND(IF($C$3="Fixed Principal",$C$6-Table15[[#This Row],[Interest]],IF($C$3="Interest Only",Table15[[#This Row],[Beginning Balance]]*ROUND(1-(1-IF($C$11="No",$E$8,1))^(1/12),6),MIN(IF($C$13="Yes",Table15[[#This Row],[Payment Amount (Reamortized)]],$C$6)-Table15[[#This Row],[Interest]],Table15[[#This Row],[Beginning Balance]]))),2)))</f>
        <v>14345.04</v>
      </c>
      <c r="I109" s="3">
        <f>_xlfn.SINGLE(IF($C$3="Line of Credit",0,ROUND(MAX(MIN(IF($C$10="No",$E$7,VLOOKUP(Table15[[#This Row],[Period]],Forecast!$H$2:$L$1048576,4,FALSE))*Table15[[#This Row],[Beginning Balance]],Table15[[#This Row],[Beginning Balance]]-Table15[[#This Row],[Principal]]),0),2)))</f>
        <v>13130.42</v>
      </c>
      <c r="J109" s="3">
        <f>ROUND(MIN(Table15[[#This Row],[Beginning Balance]]*IF($C$8="No",$E$3,VLOOKUP(Table15[[#This Row],[Period]],Forecast!$H$2:$L$1048576,2,FALSE)),Table15[[#This Row],[Beginning Balance]]-Table15[[#This Row],[Principal]]-Table15[[#This Row],[Prepayments]]),2)</f>
        <v>3143.39</v>
      </c>
      <c r="K109" s="3">
        <f>ROUND(Table15[[#This Row],[Defaulted Principal]]*IF($C$9="No",$E$4,VLOOKUP(Table15[[#This Row],[Period]],Forecast!$H$2:$L$1048576,3,FALSE)),2)</f>
        <v>272.51</v>
      </c>
      <c r="L109" s="2">
        <f>Table15[[#This Row],[Period]]+$E$9</f>
        <v>105</v>
      </c>
      <c r="M109" s="3">
        <f>Table15[[#This Row],[Defaulted Principal]]-Table15[[#This Row],[Estimated Loss]]</f>
        <v>2870.88</v>
      </c>
      <c r="N109" s="3">
        <f>IFERROR(VLOOKUP(Table15[[#This Row],[Period]],$L$16:$M$385,2,FALSE),0)</f>
        <v>3107.72</v>
      </c>
      <c r="O109" s="3">
        <f>Table15[[#This Row],[Beginning Balance]]-Table15[[#This Row],[Principal]]-Table15[[#This Row],[Prepayments]]-Table15[[#This Row],[Defaulted Principal]]</f>
        <v>4571703.0700000031</v>
      </c>
      <c r="P109" s="3">
        <f>Table15[[#This Row],[Principal]]+Table15[[#This Row],[Interest]]+Table15[[#This Row],[Prepayments]]+Table15[[#This Row],[RecoveredAmount]]</f>
        <v>57338.14</v>
      </c>
      <c r="Q109" s="3">
        <f ca="1">ROUND(Table15[[#This Row],[Cash Flow]]/((1+ActualRateToUse)^(IF(ISNUMBER(SEARCH("Actual",$C$7)),Table15[[#This Row],[Running Total]]/365,Table15[[#This Row],[Period]]/12))),2)</f>
        <v>33573.230000000003</v>
      </c>
      <c r="R109" s="2">
        <f>IF(MONTH(Table15[[#This Row],[Date]])=2,28,DAY(DATE(YEAR(Table15[[#This Row],[Date]]),MONTH(Table15[[#This Row],[Date]])+1,1)-1))</f>
        <v>31</v>
      </c>
      <c r="S109" s="2">
        <f ca="1">SUM(OFFSET(Table15[[#Headers],[Days in month]],1,0):Table15[[#This Row],[Days in month]])</f>
        <v>2829</v>
      </c>
      <c r="T109" s="37">
        <f>InterestRate*AmortizationMultiplier*IF(ISNUMBER(SEARCH("Actual",$C$7)),Table15[[#This Row],[Days in month]]/365,1/12)</f>
        <v>5.8133611111111103E-3</v>
      </c>
    </row>
    <row r="110" spans="2:20" x14ac:dyDescent="0.2">
      <c r="B110" s="1">
        <v>48699</v>
      </c>
      <c r="C110" s="2">
        <f t="shared" si="4"/>
        <v>94</v>
      </c>
      <c r="D110" s="3">
        <f t="shared" si="3"/>
        <v>4571703.0700000031</v>
      </c>
      <c r="E110" s="3">
        <f>ROUND(Table15[[#This Row],[Beginning Balance]]*Table15[[#This Row],[Monthly Interest Rate]],2)</f>
        <v>25719.64</v>
      </c>
      <c r="F110" s="3">
        <f t="shared" si="5"/>
        <v>178</v>
      </c>
      <c r="G110" s="23">
        <f>IFERROR(IF($C$13="No","N/A",IF(Table15[[#This Row],[Period]]=1,$C$6,PMT(InterestRate*AmortizationMultiplier/12,Table15[[#This Row],[Am Thru]],-Table15[[#This Row],[Beginning Balance]]))),0)</f>
        <v>40958.708801881541</v>
      </c>
      <c r="H110" s="3">
        <f>MAX(0,IF(C110=$C$4,D110,ROUND(IF($C$3="Fixed Principal",$C$6-Table15[[#This Row],[Interest]],IF($C$3="Interest Only",Table15[[#This Row],[Beginning Balance]]*ROUND(1-(1-IF($C$11="No",$E$8,1))^(1/12),6),MIN(IF($C$13="Yes",Table15[[#This Row],[Payment Amount (Reamortized)]],$C$6)-Table15[[#This Row],[Interest]],Table15[[#This Row],[Beginning Balance]]))),2)))</f>
        <v>15239.07</v>
      </c>
      <c r="I110" s="3">
        <f>_xlfn.SINGLE(IF($C$3="Line of Credit",0,ROUND(MAX(MIN(IF($C$10="No",$E$7,VLOOKUP(Table15[[#This Row],[Period]],Forecast!$H$2:$L$1048576,4,FALSE))*Table15[[#This Row],[Beginning Balance]],Table15[[#This Row],[Beginning Balance]]-Table15[[#This Row],[Principal]]),0),2)))</f>
        <v>13043.07</v>
      </c>
      <c r="J110" s="3">
        <f>ROUND(MIN(Table15[[#This Row],[Beginning Balance]]*IF($C$8="No",$E$3,VLOOKUP(Table15[[#This Row],[Period]],Forecast!$H$2:$L$1048576,2,FALSE)),Table15[[#This Row],[Beginning Balance]]-Table15[[#This Row],[Principal]]-Table15[[#This Row],[Prepayments]]),2)</f>
        <v>3122.47</v>
      </c>
      <c r="K110" s="3">
        <f>ROUND(Table15[[#This Row],[Defaulted Principal]]*IF($C$9="No",$E$4,VLOOKUP(Table15[[#This Row],[Period]],Forecast!$H$2:$L$1048576,3,FALSE)),2)</f>
        <v>270.7</v>
      </c>
      <c r="L110" s="2">
        <f>Table15[[#This Row],[Period]]+$E$9</f>
        <v>106</v>
      </c>
      <c r="M110" s="3">
        <f>Table15[[#This Row],[Defaulted Principal]]-Table15[[#This Row],[Estimated Loss]]</f>
        <v>2851.77</v>
      </c>
      <c r="N110" s="3">
        <f>IFERROR(VLOOKUP(Table15[[#This Row],[Period]],$L$16:$M$385,2,FALSE),0)</f>
        <v>3088.0499999999997</v>
      </c>
      <c r="O110" s="3">
        <f>Table15[[#This Row],[Beginning Balance]]-Table15[[#This Row],[Principal]]-Table15[[#This Row],[Prepayments]]-Table15[[#This Row],[Defaulted Principal]]</f>
        <v>4540298.4600000028</v>
      </c>
      <c r="P110" s="3">
        <f>Table15[[#This Row],[Principal]]+Table15[[#This Row],[Interest]]+Table15[[#This Row],[Prepayments]]+Table15[[#This Row],[RecoveredAmount]]</f>
        <v>57089.83</v>
      </c>
      <c r="Q110" s="3">
        <f ca="1">ROUND(Table15[[#This Row],[Cash Flow]]/((1+ActualRateToUse)^(IF(ISNUMBER(SEARCH("Actual",$C$7)),Table15[[#This Row],[Running Total]]/365,Table15[[#This Row],[Period]]/12))),2)</f>
        <v>33238.639999999999</v>
      </c>
      <c r="R110" s="2">
        <f>IF(MONTH(Table15[[#This Row],[Date]])=2,28,DAY(DATE(YEAR(Table15[[#This Row],[Date]]),MONTH(Table15[[#This Row],[Date]])+1,1)-1))</f>
        <v>30</v>
      </c>
      <c r="S110" s="2">
        <f ca="1">SUM(OFFSET(Table15[[#Headers],[Days in month]],1,0):Table15[[#This Row],[Days in month]])</f>
        <v>2859</v>
      </c>
      <c r="T110" s="37">
        <f>InterestRate*AmortizationMultiplier*IF(ISNUMBER(SEARCH("Actual",$C$7)),Table15[[#This Row],[Days in month]]/365,1/12)</f>
        <v>5.6258333333333325E-3</v>
      </c>
    </row>
    <row r="111" spans="2:20" x14ac:dyDescent="0.2">
      <c r="B111" s="1">
        <v>48730</v>
      </c>
      <c r="C111" s="2">
        <f t="shared" si="4"/>
        <v>95</v>
      </c>
      <c r="D111" s="3">
        <f t="shared" si="3"/>
        <v>4540298.4600000028</v>
      </c>
      <c r="E111" s="3">
        <f>ROUND(Table15[[#This Row],[Beginning Balance]]*Table15[[#This Row],[Monthly Interest Rate]],2)</f>
        <v>26394.39</v>
      </c>
      <c r="F111" s="3">
        <f t="shared" si="5"/>
        <v>177</v>
      </c>
      <c r="G111" s="23">
        <f>IFERROR(IF($C$13="No","N/A",IF(Table15[[#This Row],[Period]]=1,$C$6,PMT(InterestRate*AmortizationMultiplier/12,Table15[[#This Row],[Am Thru]],-Table15[[#This Row],[Beginning Balance]]))),0)</f>
        <v>40810.19500278843</v>
      </c>
      <c r="H111" s="3">
        <f>MAX(0,IF(C111=$C$4,D111,ROUND(IF($C$3="Fixed Principal",$C$6-Table15[[#This Row],[Interest]],IF($C$3="Interest Only",Table15[[#This Row],[Beginning Balance]]*ROUND(1-(1-IF($C$11="No",$E$8,1))^(1/12),6),MIN(IF($C$13="Yes",Table15[[#This Row],[Payment Amount (Reamortized)]],$C$6)-Table15[[#This Row],[Interest]],Table15[[#This Row],[Beginning Balance]]))),2)))</f>
        <v>14415.81</v>
      </c>
      <c r="I111" s="3">
        <f>_xlfn.SINGLE(IF($C$3="Line of Credit",0,ROUND(MAX(MIN(IF($C$10="No",$E$7,VLOOKUP(Table15[[#This Row],[Period]],Forecast!$H$2:$L$1048576,4,FALSE))*Table15[[#This Row],[Beginning Balance]],Table15[[#This Row],[Beginning Balance]]-Table15[[#This Row],[Principal]]),0),2)))</f>
        <v>12953.47</v>
      </c>
      <c r="J111" s="3">
        <f>ROUND(MIN(Table15[[#This Row],[Beginning Balance]]*IF($C$8="No",$E$3,VLOOKUP(Table15[[#This Row],[Period]],Forecast!$H$2:$L$1048576,2,FALSE)),Table15[[#This Row],[Beginning Balance]]-Table15[[#This Row],[Principal]]-Table15[[#This Row],[Prepayments]]),2)</f>
        <v>3101.02</v>
      </c>
      <c r="K111" s="3">
        <f>ROUND(Table15[[#This Row],[Defaulted Principal]]*IF($C$9="No",$E$4,VLOOKUP(Table15[[#This Row],[Period]],Forecast!$H$2:$L$1048576,3,FALSE)),2)</f>
        <v>268.83999999999997</v>
      </c>
      <c r="L111" s="2">
        <f>Table15[[#This Row],[Period]]+$E$9</f>
        <v>107</v>
      </c>
      <c r="M111" s="3">
        <f>Table15[[#This Row],[Defaulted Principal]]-Table15[[#This Row],[Estimated Loss]]</f>
        <v>2832.18</v>
      </c>
      <c r="N111" s="3">
        <f>IFERROR(VLOOKUP(Table15[[#This Row],[Period]],$L$16:$M$385,2,FALSE),0)</f>
        <v>3067.84</v>
      </c>
      <c r="O111" s="3">
        <f>Table15[[#This Row],[Beginning Balance]]-Table15[[#This Row],[Principal]]-Table15[[#This Row],[Prepayments]]-Table15[[#This Row],[Defaulted Principal]]</f>
        <v>4509828.1600000039</v>
      </c>
      <c r="P111" s="3">
        <f>Table15[[#This Row],[Principal]]+Table15[[#This Row],[Interest]]+Table15[[#This Row],[Prepayments]]+Table15[[#This Row],[RecoveredAmount]]</f>
        <v>56831.509999999995</v>
      </c>
      <c r="Q111" s="3">
        <f ca="1">ROUND(Table15[[#This Row],[Cash Flow]]/((1+ActualRateToUse)^(IF(ISNUMBER(SEARCH("Actual",$C$7)),Table15[[#This Row],[Running Total]]/365,Table15[[#This Row],[Period]]/12))),2)</f>
        <v>32894.75</v>
      </c>
      <c r="R111" s="2">
        <f>IF(MONTH(Table15[[#This Row],[Date]])=2,28,DAY(DATE(YEAR(Table15[[#This Row],[Date]]),MONTH(Table15[[#This Row],[Date]])+1,1)-1))</f>
        <v>31</v>
      </c>
      <c r="S111" s="2">
        <f ca="1">SUM(OFFSET(Table15[[#Headers],[Days in month]],1,0):Table15[[#This Row],[Days in month]])</f>
        <v>2890</v>
      </c>
      <c r="T111" s="37">
        <f>InterestRate*AmortizationMultiplier*IF(ISNUMBER(SEARCH("Actual",$C$7)),Table15[[#This Row],[Days in month]]/365,1/12)</f>
        <v>5.8133611111111103E-3</v>
      </c>
    </row>
    <row r="112" spans="2:20" x14ac:dyDescent="0.2">
      <c r="B112" s="1">
        <v>48760</v>
      </c>
      <c r="C112" s="2">
        <f t="shared" si="4"/>
        <v>96</v>
      </c>
      <c r="D112" s="3">
        <f t="shared" si="3"/>
        <v>4509828.1600000039</v>
      </c>
      <c r="E112" s="3">
        <f>ROUND(Table15[[#This Row],[Beginning Balance]]*Table15[[#This Row],[Monthly Interest Rate]],2)</f>
        <v>25371.54</v>
      </c>
      <c r="F112" s="3">
        <f t="shared" si="5"/>
        <v>176</v>
      </c>
      <c r="G112" s="23">
        <f>IFERROR(IF($C$13="No","N/A",IF(Table15[[#This Row],[Period]]=1,$C$6,PMT(InterestRate*AmortizationMultiplier/12,Table15[[#This Row],[Am Thru]],-Table15[[#This Row],[Beginning Balance]]))),0)</f>
        <v>40669.893576700975</v>
      </c>
      <c r="H112" s="3">
        <f>MAX(0,IF(C112=$C$4,D112,ROUND(IF($C$3="Fixed Principal",$C$6-Table15[[#This Row],[Interest]],IF($C$3="Interest Only",Table15[[#This Row],[Beginning Balance]]*ROUND(1-(1-IF($C$11="No",$E$8,1))^(1/12),6),MIN(IF($C$13="Yes",Table15[[#This Row],[Payment Amount (Reamortized)]],$C$6)-Table15[[#This Row],[Interest]],Table15[[#This Row],[Beginning Balance]]))),2)))</f>
        <v>15298.35</v>
      </c>
      <c r="I112" s="3">
        <f>_xlfn.SINGLE(IF($C$3="Line of Credit",0,ROUND(MAX(MIN(IF($C$10="No",$E$7,VLOOKUP(Table15[[#This Row],[Period]],Forecast!$H$2:$L$1048576,4,FALSE))*Table15[[#This Row],[Beginning Balance]],Table15[[#This Row],[Beginning Balance]]-Table15[[#This Row],[Principal]]),0),2)))</f>
        <v>12866.54</v>
      </c>
      <c r="J112" s="3">
        <f>ROUND(MIN(Table15[[#This Row],[Beginning Balance]]*IF($C$8="No",$E$3,VLOOKUP(Table15[[#This Row],[Period]],Forecast!$H$2:$L$1048576,2,FALSE)),Table15[[#This Row],[Beginning Balance]]-Table15[[#This Row],[Principal]]-Table15[[#This Row],[Prepayments]]),2)</f>
        <v>3080.21</v>
      </c>
      <c r="K112" s="3">
        <f>ROUND(Table15[[#This Row],[Defaulted Principal]]*IF($C$9="No",$E$4,VLOOKUP(Table15[[#This Row],[Period]],Forecast!$H$2:$L$1048576,3,FALSE)),2)</f>
        <v>267.04000000000002</v>
      </c>
      <c r="L112" s="2">
        <f>Table15[[#This Row],[Period]]+$E$9</f>
        <v>108</v>
      </c>
      <c r="M112" s="3">
        <f>Table15[[#This Row],[Defaulted Principal]]-Table15[[#This Row],[Estimated Loss]]</f>
        <v>2813.17</v>
      </c>
      <c r="N112" s="3">
        <f>IFERROR(VLOOKUP(Table15[[#This Row],[Period]],$L$16:$M$385,2,FALSE),0)</f>
        <v>3048.26</v>
      </c>
      <c r="O112" s="3">
        <f>Table15[[#This Row],[Beginning Balance]]-Table15[[#This Row],[Principal]]-Table15[[#This Row],[Prepayments]]-Table15[[#This Row],[Defaulted Principal]]</f>
        <v>4478583.0600000042</v>
      </c>
      <c r="P112" s="3">
        <f>Table15[[#This Row],[Principal]]+Table15[[#This Row],[Interest]]+Table15[[#This Row],[Prepayments]]+Table15[[#This Row],[RecoveredAmount]]</f>
        <v>56584.69</v>
      </c>
      <c r="Q112" s="3">
        <f ca="1">ROUND(Table15[[#This Row],[Cash Flow]]/((1+ActualRateToUse)^(IF(ISNUMBER(SEARCH("Actual",$C$7)),Table15[[#This Row],[Running Total]]/365,Table15[[#This Row],[Period]]/12))),2)</f>
        <v>32566.51</v>
      </c>
      <c r="R112" s="2">
        <f>IF(MONTH(Table15[[#This Row],[Date]])=2,28,DAY(DATE(YEAR(Table15[[#This Row],[Date]]),MONTH(Table15[[#This Row],[Date]])+1,1)-1))</f>
        <v>30</v>
      </c>
      <c r="S112" s="2">
        <f ca="1">SUM(OFFSET(Table15[[#Headers],[Days in month]],1,0):Table15[[#This Row],[Days in month]])</f>
        <v>2920</v>
      </c>
      <c r="T112" s="37">
        <f>InterestRate*AmortizationMultiplier*IF(ISNUMBER(SEARCH("Actual",$C$7)),Table15[[#This Row],[Days in month]]/365,1/12)</f>
        <v>5.6258333333333325E-3</v>
      </c>
    </row>
    <row r="113" spans="2:20" x14ac:dyDescent="0.2">
      <c r="B113" s="1">
        <v>48791</v>
      </c>
      <c r="C113" s="2">
        <f t="shared" si="4"/>
        <v>97</v>
      </c>
      <c r="D113" s="3">
        <f t="shared" si="3"/>
        <v>4478583.0600000042</v>
      </c>
      <c r="E113" s="3">
        <f>ROUND(Table15[[#This Row],[Beginning Balance]]*Table15[[#This Row],[Monthly Interest Rate]],2)</f>
        <v>26035.62</v>
      </c>
      <c r="F113" s="3">
        <f t="shared" si="5"/>
        <v>175</v>
      </c>
      <c r="G113" s="23">
        <f>IFERROR(IF($C$13="No","N/A",IF(Table15[[#This Row],[Period]]=1,$C$6,PMT(InterestRate*AmortizationMultiplier/12,Table15[[#This Row],[Am Thru]],-Table15[[#This Row],[Beginning Balance]]))),0)</f>
        <v>40522.418320137403</v>
      </c>
      <c r="H113" s="3">
        <f>MAX(0,IF(C113=$C$4,D113,ROUND(IF($C$3="Fixed Principal",$C$6-Table15[[#This Row],[Interest]],IF($C$3="Interest Only",Table15[[#This Row],[Beginning Balance]]*ROUND(1-(1-IF($C$11="No",$E$8,1))^(1/12),6),MIN(IF($C$13="Yes",Table15[[#This Row],[Payment Amount (Reamortized)]],$C$6)-Table15[[#This Row],[Interest]],Table15[[#This Row],[Beginning Balance]]))),2)))</f>
        <v>14486.8</v>
      </c>
      <c r="I113" s="3">
        <f>_xlfn.SINGLE(IF($C$3="Line of Credit",0,ROUND(MAX(MIN(IF($C$10="No",$E$7,VLOOKUP(Table15[[#This Row],[Period]],Forecast!$H$2:$L$1048576,4,FALSE))*Table15[[#This Row],[Beginning Balance]],Table15[[#This Row],[Beginning Balance]]-Table15[[#This Row],[Principal]]),0),2)))</f>
        <v>12777.4</v>
      </c>
      <c r="J113" s="3">
        <f>ROUND(MIN(Table15[[#This Row],[Beginning Balance]]*IF($C$8="No",$E$3,VLOOKUP(Table15[[#This Row],[Period]],Forecast!$H$2:$L$1048576,2,FALSE)),Table15[[#This Row],[Beginning Balance]]-Table15[[#This Row],[Principal]]-Table15[[#This Row],[Prepayments]]),2)</f>
        <v>3058.87</v>
      </c>
      <c r="K113" s="3">
        <f>ROUND(Table15[[#This Row],[Defaulted Principal]]*IF($C$9="No",$E$4,VLOOKUP(Table15[[#This Row],[Period]],Forecast!$H$2:$L$1048576,3,FALSE)),2)</f>
        <v>265.19</v>
      </c>
      <c r="L113" s="2">
        <f>Table15[[#This Row],[Period]]+$E$9</f>
        <v>109</v>
      </c>
      <c r="M113" s="3">
        <f>Table15[[#This Row],[Defaulted Principal]]-Table15[[#This Row],[Estimated Loss]]</f>
        <v>2793.68</v>
      </c>
      <c r="N113" s="3">
        <f>IFERROR(VLOOKUP(Table15[[#This Row],[Period]],$L$16:$M$385,2,FALSE),0)</f>
        <v>3028.16</v>
      </c>
      <c r="O113" s="3">
        <f>Table15[[#This Row],[Beginning Balance]]-Table15[[#This Row],[Principal]]-Table15[[#This Row],[Prepayments]]-Table15[[#This Row],[Defaulted Principal]]</f>
        <v>4448259.9900000039</v>
      </c>
      <c r="P113" s="3">
        <f>Table15[[#This Row],[Principal]]+Table15[[#This Row],[Interest]]+Table15[[#This Row],[Prepayments]]+Table15[[#This Row],[RecoveredAmount]]</f>
        <v>56327.979999999996</v>
      </c>
      <c r="Q113" s="3">
        <f ca="1">ROUND(Table15[[#This Row],[Cash Flow]]/((1+ActualRateToUse)^(IF(ISNUMBER(SEARCH("Actual",$C$7)),Table15[[#This Row],[Running Total]]/365,Table15[[#This Row],[Period]]/12))),2)</f>
        <v>32229.19</v>
      </c>
      <c r="R113" s="2">
        <f>IF(MONTH(Table15[[#This Row],[Date]])=2,28,DAY(DATE(YEAR(Table15[[#This Row],[Date]]),MONTH(Table15[[#This Row],[Date]])+1,1)-1))</f>
        <v>31</v>
      </c>
      <c r="S113" s="2">
        <f ca="1">SUM(OFFSET(Table15[[#Headers],[Days in month]],1,0):Table15[[#This Row],[Days in month]])</f>
        <v>2951</v>
      </c>
      <c r="T113" s="37">
        <f>InterestRate*AmortizationMultiplier*IF(ISNUMBER(SEARCH("Actual",$C$7)),Table15[[#This Row],[Days in month]]/365,1/12)</f>
        <v>5.8133611111111103E-3</v>
      </c>
    </row>
    <row r="114" spans="2:20" x14ac:dyDescent="0.2">
      <c r="B114" s="1">
        <v>48822</v>
      </c>
      <c r="C114" s="2">
        <f t="shared" si="4"/>
        <v>98</v>
      </c>
      <c r="D114" s="3">
        <f t="shared" si="3"/>
        <v>4448259.9900000039</v>
      </c>
      <c r="E114" s="3">
        <f>ROUND(Table15[[#This Row],[Beginning Balance]]*Table15[[#This Row],[Monthly Interest Rate]],2)</f>
        <v>25859.34</v>
      </c>
      <c r="F114" s="3">
        <f t="shared" si="5"/>
        <v>174</v>
      </c>
      <c r="G114" s="23">
        <f>IFERROR(IF($C$13="No","N/A",IF(Table15[[#This Row],[Period]]=1,$C$6,PMT(InterestRate*AmortizationMultiplier/12,Table15[[#This Row],[Am Thru]],-Table15[[#This Row],[Beginning Balance]]))),0)</f>
        <v>40383.097924007219</v>
      </c>
      <c r="H114" s="3">
        <f>MAX(0,IF(C114=$C$4,D114,ROUND(IF($C$3="Fixed Principal",$C$6-Table15[[#This Row],[Interest]],IF($C$3="Interest Only",Table15[[#This Row],[Beginning Balance]]*ROUND(1-(1-IF($C$11="No",$E$8,1))^(1/12),6),MIN(IF($C$13="Yes",Table15[[#This Row],[Payment Amount (Reamortized)]],$C$6)-Table15[[#This Row],[Interest]],Table15[[#This Row],[Beginning Balance]]))),2)))</f>
        <v>14523.76</v>
      </c>
      <c r="I114" s="3">
        <f>_xlfn.SINGLE(IF($C$3="Line of Credit",0,ROUND(MAX(MIN(IF($C$10="No",$E$7,VLOOKUP(Table15[[#This Row],[Period]],Forecast!$H$2:$L$1048576,4,FALSE))*Table15[[#This Row],[Beginning Balance]],Table15[[#This Row],[Beginning Balance]]-Table15[[#This Row],[Principal]]),0),2)))</f>
        <v>12690.89</v>
      </c>
      <c r="J114" s="3">
        <f>ROUND(MIN(Table15[[#This Row],[Beginning Balance]]*IF($C$8="No",$E$3,VLOOKUP(Table15[[#This Row],[Period]],Forecast!$H$2:$L$1048576,2,FALSE)),Table15[[#This Row],[Beginning Balance]]-Table15[[#This Row],[Principal]]-Table15[[#This Row],[Prepayments]]),2)</f>
        <v>3038.16</v>
      </c>
      <c r="K114" s="3">
        <f>ROUND(Table15[[#This Row],[Defaulted Principal]]*IF($C$9="No",$E$4,VLOOKUP(Table15[[#This Row],[Period]],Forecast!$H$2:$L$1048576,3,FALSE)),2)</f>
        <v>263.39</v>
      </c>
      <c r="L114" s="2">
        <f>Table15[[#This Row],[Period]]+$E$9</f>
        <v>110</v>
      </c>
      <c r="M114" s="3">
        <f>Table15[[#This Row],[Defaulted Principal]]-Table15[[#This Row],[Estimated Loss]]</f>
        <v>2774.77</v>
      </c>
      <c r="N114" s="3">
        <f>IFERROR(VLOOKUP(Table15[[#This Row],[Period]],$L$16:$M$385,2,FALSE),0)</f>
        <v>3008.68</v>
      </c>
      <c r="O114" s="3">
        <f>Table15[[#This Row],[Beginning Balance]]-Table15[[#This Row],[Principal]]-Table15[[#This Row],[Prepayments]]-Table15[[#This Row],[Defaulted Principal]]</f>
        <v>4418007.1800000044</v>
      </c>
      <c r="P114" s="3">
        <f>Table15[[#This Row],[Principal]]+Table15[[#This Row],[Interest]]+Table15[[#This Row],[Prepayments]]+Table15[[#This Row],[RecoveredAmount]]</f>
        <v>56082.67</v>
      </c>
      <c r="Q114" s="3">
        <f ca="1">ROUND(Table15[[#This Row],[Cash Flow]]/((1+ActualRateToUse)^(IF(ISNUMBER(SEARCH("Actual",$C$7)),Table15[[#This Row],[Running Total]]/365,Table15[[#This Row],[Period]]/12))),2)</f>
        <v>31901.17</v>
      </c>
      <c r="R114" s="2">
        <f>IF(MONTH(Table15[[#This Row],[Date]])=2,28,DAY(DATE(YEAR(Table15[[#This Row],[Date]]),MONTH(Table15[[#This Row],[Date]])+1,1)-1))</f>
        <v>31</v>
      </c>
      <c r="S114" s="2">
        <f ca="1">SUM(OFFSET(Table15[[#Headers],[Days in month]],1,0):Table15[[#This Row],[Days in month]])</f>
        <v>2982</v>
      </c>
      <c r="T114" s="37">
        <f>InterestRate*AmortizationMultiplier*IF(ISNUMBER(SEARCH("Actual",$C$7)),Table15[[#This Row],[Days in month]]/365,1/12)</f>
        <v>5.8133611111111103E-3</v>
      </c>
    </row>
    <row r="115" spans="2:20" x14ac:dyDescent="0.2">
      <c r="B115" s="1">
        <v>48852</v>
      </c>
      <c r="C115" s="2">
        <f t="shared" si="4"/>
        <v>99</v>
      </c>
      <c r="D115" s="3">
        <f t="shared" si="3"/>
        <v>4418007.1800000044</v>
      </c>
      <c r="E115" s="3">
        <f>ROUND(Table15[[#This Row],[Beginning Balance]]*Table15[[#This Row],[Monthly Interest Rate]],2)</f>
        <v>24854.97</v>
      </c>
      <c r="F115" s="3">
        <f t="shared" si="5"/>
        <v>173</v>
      </c>
      <c r="G115" s="23">
        <f>IFERROR(IF($C$13="No","N/A",IF(Table15[[#This Row],[Period]]=1,$C$6,PMT(InterestRate*AmortizationMultiplier/12,Table15[[#This Row],[Am Thru]],-Table15[[#This Row],[Beginning Balance]]))),0)</f>
        <v>40244.252262003676</v>
      </c>
      <c r="H115" s="3">
        <f>MAX(0,IF(C115=$C$4,D115,ROUND(IF($C$3="Fixed Principal",$C$6-Table15[[#This Row],[Interest]],IF($C$3="Interest Only",Table15[[#This Row],[Beginning Balance]]*ROUND(1-(1-IF($C$11="No",$E$8,1))^(1/12),6),MIN(IF($C$13="Yes",Table15[[#This Row],[Payment Amount (Reamortized)]],$C$6)-Table15[[#This Row],[Interest]],Table15[[#This Row],[Beginning Balance]]))),2)))</f>
        <v>15389.28</v>
      </c>
      <c r="I115" s="3">
        <f>_xlfn.SINGLE(IF($C$3="Line of Credit",0,ROUND(MAX(MIN(IF($C$10="No",$E$7,VLOOKUP(Table15[[#This Row],[Period]],Forecast!$H$2:$L$1048576,4,FALSE))*Table15[[#This Row],[Beginning Balance]],Table15[[#This Row],[Beginning Balance]]-Table15[[#This Row],[Principal]]),0),2)))</f>
        <v>12604.57</v>
      </c>
      <c r="J115" s="3">
        <f>ROUND(MIN(Table15[[#This Row],[Beginning Balance]]*IF($C$8="No",$E$3,VLOOKUP(Table15[[#This Row],[Period]],Forecast!$H$2:$L$1048576,2,FALSE)),Table15[[#This Row],[Beginning Balance]]-Table15[[#This Row],[Principal]]-Table15[[#This Row],[Prepayments]]),2)</f>
        <v>3017.5</v>
      </c>
      <c r="K115" s="3">
        <f>ROUND(Table15[[#This Row],[Defaulted Principal]]*IF($C$9="No",$E$4,VLOOKUP(Table15[[#This Row],[Period]],Forecast!$H$2:$L$1048576,3,FALSE)),2)</f>
        <v>261.60000000000002</v>
      </c>
      <c r="L115" s="2">
        <f>Table15[[#This Row],[Period]]+$E$9</f>
        <v>111</v>
      </c>
      <c r="M115" s="3">
        <f>Table15[[#This Row],[Defaulted Principal]]-Table15[[#This Row],[Estimated Loss]]</f>
        <v>2755.9</v>
      </c>
      <c r="N115" s="3">
        <f>IFERROR(VLOOKUP(Table15[[#This Row],[Period]],$L$16:$M$385,2,FALSE),0)</f>
        <v>2989.24</v>
      </c>
      <c r="O115" s="3">
        <f>Table15[[#This Row],[Beginning Balance]]-Table15[[#This Row],[Principal]]-Table15[[#This Row],[Prepayments]]-Table15[[#This Row],[Defaulted Principal]]</f>
        <v>4386995.8300000038</v>
      </c>
      <c r="P115" s="3">
        <f>Table15[[#This Row],[Principal]]+Table15[[#This Row],[Interest]]+Table15[[#This Row],[Prepayments]]+Table15[[#This Row],[RecoveredAmount]]</f>
        <v>55838.06</v>
      </c>
      <c r="Q115" s="3">
        <f ca="1">ROUND(Table15[[#This Row],[Cash Flow]]/((1+ActualRateToUse)^(IF(ISNUMBER(SEARCH("Actual",$C$7)),Table15[[#This Row],[Running Total]]/365,Table15[[#This Row],[Period]]/12))),2)</f>
        <v>31582.27</v>
      </c>
      <c r="R115" s="2">
        <f>IF(MONTH(Table15[[#This Row],[Date]])=2,28,DAY(DATE(YEAR(Table15[[#This Row],[Date]]),MONTH(Table15[[#This Row],[Date]])+1,1)-1))</f>
        <v>30</v>
      </c>
      <c r="S115" s="2">
        <f ca="1">SUM(OFFSET(Table15[[#Headers],[Days in month]],1,0):Table15[[#This Row],[Days in month]])</f>
        <v>3012</v>
      </c>
      <c r="T115" s="37">
        <f>InterestRate*AmortizationMultiplier*IF(ISNUMBER(SEARCH("Actual",$C$7)),Table15[[#This Row],[Days in month]]/365,1/12)</f>
        <v>5.6258333333333325E-3</v>
      </c>
    </row>
    <row r="116" spans="2:20" x14ac:dyDescent="0.2">
      <c r="B116" s="1">
        <v>48883</v>
      </c>
      <c r="C116" s="2">
        <f t="shared" si="4"/>
        <v>100</v>
      </c>
      <c r="D116" s="3">
        <f t="shared" si="3"/>
        <v>4386995.8300000038</v>
      </c>
      <c r="E116" s="3">
        <f>ROUND(Table15[[#This Row],[Beginning Balance]]*Table15[[#This Row],[Monthly Interest Rate]],2)</f>
        <v>25503.19</v>
      </c>
      <c r="F116" s="3">
        <f t="shared" si="5"/>
        <v>172</v>
      </c>
      <c r="G116" s="23">
        <f>IFERROR(IF($C$13="No","N/A",IF(Table15[[#This Row],[Period]]=1,$C$6,PMT(InterestRate*AmortizationMultiplier/12,Table15[[#This Row],[Am Thru]],-Table15[[#This Row],[Beginning Balance]]))),0)</f>
        <v>40098.307102410181</v>
      </c>
      <c r="H116" s="3">
        <f>MAX(0,IF(C116=$C$4,D116,ROUND(IF($C$3="Fixed Principal",$C$6-Table15[[#This Row],[Interest]],IF($C$3="Interest Only",Table15[[#This Row],[Beginning Balance]]*ROUND(1-(1-IF($C$11="No",$E$8,1))^(1/12),6),MIN(IF($C$13="Yes",Table15[[#This Row],[Payment Amount (Reamortized)]],$C$6)-Table15[[#This Row],[Interest]],Table15[[#This Row],[Beginning Balance]]))),2)))</f>
        <v>14595.12</v>
      </c>
      <c r="I116" s="3">
        <f>_xlfn.SINGLE(IF($C$3="Line of Credit",0,ROUND(MAX(MIN(IF($C$10="No",$E$7,VLOOKUP(Table15[[#This Row],[Period]],Forecast!$H$2:$L$1048576,4,FALSE))*Table15[[#This Row],[Beginning Balance]],Table15[[#This Row],[Beginning Balance]]-Table15[[#This Row],[Principal]]),0),2)))</f>
        <v>12516.1</v>
      </c>
      <c r="J116" s="3">
        <f>ROUND(MIN(Table15[[#This Row],[Beginning Balance]]*IF($C$8="No",$E$3,VLOOKUP(Table15[[#This Row],[Period]],Forecast!$H$2:$L$1048576,2,FALSE)),Table15[[#This Row],[Beginning Balance]]-Table15[[#This Row],[Principal]]-Table15[[#This Row],[Prepayments]]),2)</f>
        <v>2996.32</v>
      </c>
      <c r="K116" s="3">
        <f>ROUND(Table15[[#This Row],[Defaulted Principal]]*IF($C$9="No",$E$4,VLOOKUP(Table15[[#This Row],[Period]],Forecast!$H$2:$L$1048576,3,FALSE)),2)</f>
        <v>259.76</v>
      </c>
      <c r="L116" s="2">
        <f>Table15[[#This Row],[Period]]+$E$9</f>
        <v>112</v>
      </c>
      <c r="M116" s="3">
        <f>Table15[[#This Row],[Defaulted Principal]]-Table15[[#This Row],[Estimated Loss]]</f>
        <v>2736.5600000000004</v>
      </c>
      <c r="N116" s="3">
        <f>IFERROR(VLOOKUP(Table15[[#This Row],[Period]],$L$16:$M$385,2,FALSE),0)</f>
        <v>2969.29</v>
      </c>
      <c r="O116" s="3">
        <f>Table15[[#This Row],[Beginning Balance]]-Table15[[#This Row],[Principal]]-Table15[[#This Row],[Prepayments]]-Table15[[#This Row],[Defaulted Principal]]</f>
        <v>4356888.2900000038</v>
      </c>
      <c r="P116" s="3">
        <f>Table15[[#This Row],[Principal]]+Table15[[#This Row],[Interest]]+Table15[[#This Row],[Prepayments]]+Table15[[#This Row],[RecoveredAmount]]</f>
        <v>55583.7</v>
      </c>
      <c r="Q116" s="3">
        <f ca="1">ROUND(Table15[[#This Row],[Cash Flow]]/((1+ActualRateToUse)^(IF(ISNUMBER(SEARCH("Actual",$C$7)),Table15[[#This Row],[Running Total]]/365,Table15[[#This Row],[Period]]/12))),2)</f>
        <v>31254.55</v>
      </c>
      <c r="R116" s="2">
        <f>IF(MONTH(Table15[[#This Row],[Date]])=2,28,DAY(DATE(YEAR(Table15[[#This Row],[Date]]),MONTH(Table15[[#This Row],[Date]])+1,1)-1))</f>
        <v>31</v>
      </c>
      <c r="S116" s="2">
        <f ca="1">SUM(OFFSET(Table15[[#Headers],[Days in month]],1,0):Table15[[#This Row],[Days in month]])</f>
        <v>3043</v>
      </c>
      <c r="T116" s="37">
        <f>InterestRate*AmortizationMultiplier*IF(ISNUMBER(SEARCH("Actual",$C$7)),Table15[[#This Row],[Days in month]]/365,1/12)</f>
        <v>5.8133611111111103E-3</v>
      </c>
    </row>
    <row r="117" spans="2:20" x14ac:dyDescent="0.2">
      <c r="B117" s="1">
        <v>48913</v>
      </c>
      <c r="C117" s="2">
        <f t="shared" si="4"/>
        <v>101</v>
      </c>
      <c r="D117" s="3">
        <f t="shared" si="3"/>
        <v>4356888.2900000038</v>
      </c>
      <c r="E117" s="3">
        <f>ROUND(Table15[[#This Row],[Beginning Balance]]*Table15[[#This Row],[Monthly Interest Rate]],2)</f>
        <v>24511.13</v>
      </c>
      <c r="F117" s="3">
        <f t="shared" si="5"/>
        <v>171</v>
      </c>
      <c r="G117" s="23">
        <f>IFERROR(IF($C$13="No","N/A",IF(Table15[[#This Row],[Period]]=1,$C$6,PMT(InterestRate*AmortizationMultiplier/12,Table15[[#This Row],[Am Thru]],-Table15[[#This Row],[Beginning Balance]]))),0)</f>
        <v>39960.432050845651</v>
      </c>
      <c r="H117" s="3">
        <f>MAX(0,IF(C117=$C$4,D117,ROUND(IF($C$3="Fixed Principal",$C$6-Table15[[#This Row],[Interest]],IF($C$3="Interest Only",Table15[[#This Row],[Beginning Balance]]*ROUND(1-(1-IF($C$11="No",$E$8,1))^(1/12),6),MIN(IF($C$13="Yes",Table15[[#This Row],[Payment Amount (Reamortized)]],$C$6)-Table15[[#This Row],[Interest]],Table15[[#This Row],[Beginning Balance]]))),2)))</f>
        <v>15449.3</v>
      </c>
      <c r="I117" s="3">
        <f>_xlfn.SINGLE(IF($C$3="Line of Credit",0,ROUND(MAX(MIN(IF($C$10="No",$E$7,VLOOKUP(Table15[[#This Row],[Period]],Forecast!$H$2:$L$1048576,4,FALSE))*Table15[[#This Row],[Beginning Balance]],Table15[[#This Row],[Beginning Balance]]-Table15[[#This Row],[Principal]]),0),2)))</f>
        <v>12430.2</v>
      </c>
      <c r="J117" s="3">
        <f>ROUND(MIN(Table15[[#This Row],[Beginning Balance]]*IF($C$8="No",$E$3,VLOOKUP(Table15[[#This Row],[Period]],Forecast!$H$2:$L$1048576,2,FALSE)),Table15[[#This Row],[Beginning Balance]]-Table15[[#This Row],[Principal]]-Table15[[#This Row],[Prepayments]]),2)</f>
        <v>2975.75</v>
      </c>
      <c r="K117" s="3">
        <f>ROUND(Table15[[#This Row],[Defaulted Principal]]*IF($C$9="No",$E$4,VLOOKUP(Table15[[#This Row],[Period]],Forecast!$H$2:$L$1048576,3,FALSE)),2)</f>
        <v>257.98</v>
      </c>
      <c r="L117" s="2">
        <f>Table15[[#This Row],[Period]]+$E$9</f>
        <v>113</v>
      </c>
      <c r="M117" s="3">
        <f>Table15[[#This Row],[Defaulted Principal]]-Table15[[#This Row],[Estimated Loss]]</f>
        <v>2717.77</v>
      </c>
      <c r="N117" s="3">
        <f>IFERROR(VLOOKUP(Table15[[#This Row],[Period]],$L$16:$M$385,2,FALSE),0)</f>
        <v>2949.95</v>
      </c>
      <c r="O117" s="3">
        <f>Table15[[#This Row],[Beginning Balance]]-Table15[[#This Row],[Principal]]-Table15[[#This Row],[Prepayments]]-Table15[[#This Row],[Defaulted Principal]]</f>
        <v>4326033.0400000038</v>
      </c>
      <c r="P117" s="3">
        <f>Table15[[#This Row],[Principal]]+Table15[[#This Row],[Interest]]+Table15[[#This Row],[Prepayments]]+Table15[[#This Row],[RecoveredAmount]]</f>
        <v>55340.58</v>
      </c>
      <c r="Q117" s="3">
        <f ca="1">ROUND(Table15[[#This Row],[Cash Flow]]/((1+ActualRateToUse)^(IF(ISNUMBER(SEARCH("Actual",$C$7)),Table15[[#This Row],[Running Total]]/365,Table15[[#This Row],[Period]]/12))),2)</f>
        <v>30941.72</v>
      </c>
      <c r="R117" s="2">
        <f>IF(MONTH(Table15[[#This Row],[Date]])=2,28,DAY(DATE(YEAR(Table15[[#This Row],[Date]]),MONTH(Table15[[#This Row],[Date]])+1,1)-1))</f>
        <v>30</v>
      </c>
      <c r="S117" s="2">
        <f ca="1">SUM(OFFSET(Table15[[#Headers],[Days in month]],1,0):Table15[[#This Row],[Days in month]])</f>
        <v>3073</v>
      </c>
      <c r="T117" s="37">
        <f>InterestRate*AmortizationMultiplier*IF(ISNUMBER(SEARCH("Actual",$C$7)),Table15[[#This Row],[Days in month]]/365,1/12)</f>
        <v>5.6258333333333325E-3</v>
      </c>
    </row>
    <row r="118" spans="2:20" x14ac:dyDescent="0.2">
      <c r="B118" s="1">
        <v>48944</v>
      </c>
      <c r="C118" s="2">
        <f t="shared" si="4"/>
        <v>102</v>
      </c>
      <c r="D118" s="3">
        <f t="shared" si="3"/>
        <v>4326033.0400000038</v>
      </c>
      <c r="E118" s="3">
        <f>ROUND(Table15[[#This Row],[Beginning Balance]]*Table15[[#This Row],[Monthly Interest Rate]],2)</f>
        <v>25148.79</v>
      </c>
      <c r="F118" s="3">
        <f t="shared" si="5"/>
        <v>170</v>
      </c>
      <c r="G118" s="23">
        <f>IFERROR(IF($C$13="No","N/A",IF(Table15[[#This Row],[Period]]=1,$C$6,PMT(InterestRate*AmortizationMultiplier/12,Table15[[#This Row],[Am Thru]],-Table15[[#This Row],[Beginning Balance]]))),0)</f>
        <v>39815.507126428085</v>
      </c>
      <c r="H118" s="3">
        <f>MAX(0,IF(C118=$C$4,D118,ROUND(IF($C$3="Fixed Principal",$C$6-Table15[[#This Row],[Interest]],IF($C$3="Interest Only",Table15[[#This Row],[Beginning Balance]]*ROUND(1-(1-IF($C$11="No",$E$8,1))^(1/12),6),MIN(IF($C$13="Yes",Table15[[#This Row],[Payment Amount (Reamortized)]],$C$6)-Table15[[#This Row],[Interest]],Table15[[#This Row],[Beginning Balance]]))),2)))</f>
        <v>14666.72</v>
      </c>
      <c r="I118" s="3">
        <f>_xlfn.SINGLE(IF($C$3="Line of Credit",0,ROUND(MAX(MIN(IF($C$10="No",$E$7,VLOOKUP(Table15[[#This Row],[Period]],Forecast!$H$2:$L$1048576,4,FALSE))*Table15[[#This Row],[Beginning Balance]],Table15[[#This Row],[Beginning Balance]]-Table15[[#This Row],[Principal]]),0),2)))</f>
        <v>12342.17</v>
      </c>
      <c r="J118" s="3">
        <f>ROUND(MIN(Table15[[#This Row],[Beginning Balance]]*IF($C$8="No",$E$3,VLOOKUP(Table15[[#This Row],[Period]],Forecast!$H$2:$L$1048576,2,FALSE)),Table15[[#This Row],[Beginning Balance]]-Table15[[#This Row],[Principal]]-Table15[[#This Row],[Prepayments]]),2)</f>
        <v>2954.68</v>
      </c>
      <c r="K118" s="3">
        <f>ROUND(Table15[[#This Row],[Defaulted Principal]]*IF($C$9="No",$E$4,VLOOKUP(Table15[[#This Row],[Period]],Forecast!$H$2:$L$1048576,3,FALSE)),2)</f>
        <v>256.14999999999998</v>
      </c>
      <c r="L118" s="2">
        <f>Table15[[#This Row],[Period]]+$E$9</f>
        <v>114</v>
      </c>
      <c r="M118" s="3">
        <f>Table15[[#This Row],[Defaulted Principal]]-Table15[[#This Row],[Estimated Loss]]</f>
        <v>2698.5299999999997</v>
      </c>
      <c r="N118" s="3">
        <f>IFERROR(VLOOKUP(Table15[[#This Row],[Period]],$L$16:$M$385,2,FALSE),0)</f>
        <v>2930.1</v>
      </c>
      <c r="O118" s="3">
        <f>Table15[[#This Row],[Beginning Balance]]-Table15[[#This Row],[Principal]]-Table15[[#This Row],[Prepayments]]-Table15[[#This Row],[Defaulted Principal]]</f>
        <v>4296069.4700000044</v>
      </c>
      <c r="P118" s="3">
        <f>Table15[[#This Row],[Principal]]+Table15[[#This Row],[Interest]]+Table15[[#This Row],[Prepayments]]+Table15[[#This Row],[RecoveredAmount]]</f>
        <v>55087.78</v>
      </c>
      <c r="Q118" s="3">
        <f ca="1">ROUND(Table15[[#This Row],[Cash Flow]]/((1+ActualRateToUse)^(IF(ISNUMBER(SEARCH("Actual",$C$7)),Table15[[#This Row],[Running Total]]/365,Table15[[#This Row],[Period]]/12))),2)</f>
        <v>30620.26</v>
      </c>
      <c r="R118" s="2">
        <f>IF(MONTH(Table15[[#This Row],[Date]])=2,28,DAY(DATE(YEAR(Table15[[#This Row],[Date]]),MONTH(Table15[[#This Row],[Date]])+1,1)-1))</f>
        <v>31</v>
      </c>
      <c r="S118" s="2">
        <f ca="1">SUM(OFFSET(Table15[[#Headers],[Days in month]],1,0):Table15[[#This Row],[Days in month]])</f>
        <v>3104</v>
      </c>
      <c r="T118" s="37">
        <f>InterestRate*AmortizationMultiplier*IF(ISNUMBER(SEARCH("Actual",$C$7)),Table15[[#This Row],[Days in month]]/365,1/12)</f>
        <v>5.8133611111111103E-3</v>
      </c>
    </row>
    <row r="119" spans="2:20" x14ac:dyDescent="0.2">
      <c r="B119" s="1">
        <v>48975</v>
      </c>
      <c r="C119" s="2">
        <f t="shared" si="4"/>
        <v>103</v>
      </c>
      <c r="D119" s="3">
        <f t="shared" si="3"/>
        <v>4296069.4700000044</v>
      </c>
      <c r="E119" s="3">
        <f>ROUND(Table15[[#This Row],[Beginning Balance]]*Table15[[#This Row],[Monthly Interest Rate]],2)</f>
        <v>24974.6</v>
      </c>
      <c r="F119" s="3">
        <f t="shared" si="5"/>
        <v>169</v>
      </c>
      <c r="G119" s="23">
        <f>IFERROR(IF($C$13="No","N/A",IF(Table15[[#This Row],[Period]]=1,$C$6,PMT(InterestRate*AmortizationMultiplier/12,Table15[[#This Row],[Am Thru]],-Table15[[#This Row],[Beginning Balance]]))),0)</f>
        <v>39678.595785817502</v>
      </c>
      <c r="H119" s="3">
        <f>MAX(0,IF(C119=$C$4,D119,ROUND(IF($C$3="Fixed Principal",$C$6-Table15[[#This Row],[Interest]],IF($C$3="Interest Only",Table15[[#This Row],[Beginning Balance]]*ROUND(1-(1-IF($C$11="No",$E$8,1))^(1/12),6),MIN(IF($C$13="Yes",Table15[[#This Row],[Payment Amount (Reamortized)]],$C$6)-Table15[[#This Row],[Interest]],Table15[[#This Row],[Beginning Balance]]))),2)))</f>
        <v>14704</v>
      </c>
      <c r="I119" s="3">
        <f>_xlfn.SINGLE(IF($C$3="Line of Credit",0,ROUND(MAX(MIN(IF($C$10="No",$E$7,VLOOKUP(Table15[[#This Row],[Period]],Forecast!$H$2:$L$1048576,4,FALSE))*Table15[[#This Row],[Beginning Balance]],Table15[[#This Row],[Beginning Balance]]-Table15[[#This Row],[Principal]]),0),2)))</f>
        <v>12256.69</v>
      </c>
      <c r="J119" s="3">
        <f>ROUND(MIN(Table15[[#This Row],[Beginning Balance]]*IF($C$8="No",$E$3,VLOOKUP(Table15[[#This Row],[Period]],Forecast!$H$2:$L$1048576,2,FALSE)),Table15[[#This Row],[Beginning Balance]]-Table15[[#This Row],[Principal]]-Table15[[#This Row],[Prepayments]]),2)</f>
        <v>2934.22</v>
      </c>
      <c r="K119" s="3">
        <f>ROUND(Table15[[#This Row],[Defaulted Principal]]*IF($C$9="No",$E$4,VLOOKUP(Table15[[#This Row],[Period]],Forecast!$H$2:$L$1048576,3,FALSE)),2)</f>
        <v>254.38</v>
      </c>
      <c r="L119" s="2">
        <f>Table15[[#This Row],[Period]]+$E$9</f>
        <v>115</v>
      </c>
      <c r="M119" s="3">
        <f>Table15[[#This Row],[Defaulted Principal]]-Table15[[#This Row],[Estimated Loss]]</f>
        <v>2679.8399999999997</v>
      </c>
      <c r="N119" s="3">
        <f>IFERROR(VLOOKUP(Table15[[#This Row],[Period]],$L$16:$M$385,2,FALSE),0)</f>
        <v>2910.85</v>
      </c>
      <c r="O119" s="3">
        <f>Table15[[#This Row],[Beginning Balance]]-Table15[[#This Row],[Principal]]-Table15[[#This Row],[Prepayments]]-Table15[[#This Row],[Defaulted Principal]]</f>
        <v>4266174.5600000042</v>
      </c>
      <c r="P119" s="3">
        <f>Table15[[#This Row],[Principal]]+Table15[[#This Row],[Interest]]+Table15[[#This Row],[Prepayments]]+Table15[[#This Row],[RecoveredAmount]]</f>
        <v>54846.14</v>
      </c>
      <c r="Q119" s="3">
        <f ca="1">ROUND(Table15[[#This Row],[Cash Flow]]/((1+ActualRateToUse)^(IF(ISNUMBER(SEARCH("Actual",$C$7)),Table15[[#This Row],[Running Total]]/365,Table15[[#This Row],[Period]]/12))),2)</f>
        <v>30307.67</v>
      </c>
      <c r="R119" s="2">
        <f>IF(MONTH(Table15[[#This Row],[Date]])=2,28,DAY(DATE(YEAR(Table15[[#This Row],[Date]]),MONTH(Table15[[#This Row],[Date]])+1,1)-1))</f>
        <v>31</v>
      </c>
      <c r="S119" s="2">
        <f ca="1">SUM(OFFSET(Table15[[#Headers],[Days in month]],1,0):Table15[[#This Row],[Days in month]])</f>
        <v>3135</v>
      </c>
      <c r="T119" s="37">
        <f>InterestRate*AmortizationMultiplier*IF(ISNUMBER(SEARCH("Actual",$C$7)),Table15[[#This Row],[Days in month]]/365,1/12)</f>
        <v>5.8133611111111103E-3</v>
      </c>
    </row>
    <row r="120" spans="2:20" x14ac:dyDescent="0.2">
      <c r="B120" s="1">
        <v>49003</v>
      </c>
      <c r="C120" s="2">
        <f t="shared" si="4"/>
        <v>104</v>
      </c>
      <c r="D120" s="3">
        <f t="shared" si="3"/>
        <v>4266174.5600000042</v>
      </c>
      <c r="E120" s="3">
        <f>ROUND(Table15[[#This Row],[Beginning Balance]]*Table15[[#This Row],[Monthly Interest Rate]],2)</f>
        <v>22400.73</v>
      </c>
      <c r="F120" s="3">
        <f t="shared" si="5"/>
        <v>168</v>
      </c>
      <c r="G120" s="23">
        <f>IFERROR(IF($C$13="No","N/A",IF(Table15[[#This Row],[Period]]=1,$C$6,PMT(InterestRate*AmortizationMultiplier/12,Table15[[#This Row],[Am Thru]],-Table15[[#This Row],[Beginning Balance]]))),0)</f>
        <v>39542.150683627733</v>
      </c>
      <c r="H120" s="3">
        <f>MAX(0,IF(C120=$C$4,D120,ROUND(IF($C$3="Fixed Principal",$C$6-Table15[[#This Row],[Interest]],IF($C$3="Interest Only",Table15[[#This Row],[Beginning Balance]]*ROUND(1-(1-IF($C$11="No",$E$8,1))^(1/12),6),MIN(IF($C$13="Yes",Table15[[#This Row],[Payment Amount (Reamortized)]],$C$6)-Table15[[#This Row],[Interest]],Table15[[#This Row],[Beginning Balance]]))),2)))</f>
        <v>17141.419999999998</v>
      </c>
      <c r="I120" s="3">
        <f>_xlfn.SINGLE(IF($C$3="Line of Credit",0,ROUND(MAX(MIN(IF($C$10="No",$E$7,VLOOKUP(Table15[[#This Row],[Period]],Forecast!$H$2:$L$1048576,4,FALSE))*Table15[[#This Row],[Beginning Balance]],Table15[[#This Row],[Beginning Balance]]-Table15[[#This Row],[Principal]]),0),2)))</f>
        <v>12171.4</v>
      </c>
      <c r="J120" s="3">
        <f>ROUND(MIN(Table15[[#This Row],[Beginning Balance]]*IF($C$8="No",$E$3,VLOOKUP(Table15[[#This Row],[Period]],Forecast!$H$2:$L$1048576,2,FALSE)),Table15[[#This Row],[Beginning Balance]]-Table15[[#This Row],[Principal]]-Table15[[#This Row],[Prepayments]]),2)</f>
        <v>2913.8</v>
      </c>
      <c r="K120" s="3">
        <f>ROUND(Table15[[#This Row],[Defaulted Principal]]*IF($C$9="No",$E$4,VLOOKUP(Table15[[#This Row],[Period]],Forecast!$H$2:$L$1048576,3,FALSE)),2)</f>
        <v>252.61</v>
      </c>
      <c r="L120" s="2">
        <f>Table15[[#This Row],[Period]]+$E$9</f>
        <v>116</v>
      </c>
      <c r="M120" s="3">
        <f>Table15[[#This Row],[Defaulted Principal]]-Table15[[#This Row],[Estimated Loss]]</f>
        <v>2661.19</v>
      </c>
      <c r="N120" s="3">
        <f>IFERROR(VLOOKUP(Table15[[#This Row],[Period]],$L$16:$M$385,2,FALSE),0)</f>
        <v>2891.6499999999996</v>
      </c>
      <c r="O120" s="3">
        <f>Table15[[#This Row],[Beginning Balance]]-Table15[[#This Row],[Principal]]-Table15[[#This Row],[Prepayments]]-Table15[[#This Row],[Defaulted Principal]]</f>
        <v>4233947.9400000041</v>
      </c>
      <c r="P120" s="3">
        <f>Table15[[#This Row],[Principal]]+Table15[[#This Row],[Interest]]+Table15[[#This Row],[Prepayments]]+Table15[[#This Row],[RecoveredAmount]]</f>
        <v>54605.2</v>
      </c>
      <c r="Q120" s="3">
        <f ca="1">ROUND(Table15[[#This Row],[Cash Flow]]/((1+ActualRateToUse)^(IF(ISNUMBER(SEARCH("Actual",$C$7)),Table15[[#This Row],[Running Total]]/365,Table15[[#This Row],[Period]]/12))),2)</f>
        <v>30015.1</v>
      </c>
      <c r="R120" s="2">
        <f>IF(MONTH(Table15[[#This Row],[Date]])=2,28,DAY(DATE(YEAR(Table15[[#This Row],[Date]]),MONTH(Table15[[#This Row],[Date]])+1,1)-1))</f>
        <v>28</v>
      </c>
      <c r="S120" s="2">
        <f ca="1">SUM(OFFSET(Table15[[#Headers],[Days in month]],1,0):Table15[[#This Row],[Days in month]])</f>
        <v>3163</v>
      </c>
      <c r="T120" s="37">
        <f>InterestRate*AmortizationMultiplier*IF(ISNUMBER(SEARCH("Actual",$C$7)),Table15[[#This Row],[Days in month]]/365,1/12)</f>
        <v>5.2507777777777778E-3</v>
      </c>
    </row>
    <row r="121" spans="2:20" x14ac:dyDescent="0.2">
      <c r="B121" s="1">
        <v>49034</v>
      </c>
      <c r="C121" s="2">
        <f t="shared" si="4"/>
        <v>105</v>
      </c>
      <c r="D121" s="3">
        <f t="shared" si="3"/>
        <v>4233947.9400000041</v>
      </c>
      <c r="E121" s="3">
        <f>ROUND(Table15[[#This Row],[Beginning Balance]]*Table15[[#This Row],[Monthly Interest Rate]],2)</f>
        <v>24613.47</v>
      </c>
      <c r="F121" s="3">
        <f t="shared" si="5"/>
        <v>167</v>
      </c>
      <c r="G121" s="23">
        <f>IFERROR(IF($C$13="No","N/A",IF(Table15[[#This Row],[Period]]=1,$C$6,PMT(InterestRate*AmortizationMultiplier/12,Table15[[#This Row],[Am Thru]],-Table15[[#This Row],[Beginning Balance]]))),0)</f>
        <v>39383.845022089197</v>
      </c>
      <c r="H121" s="3">
        <f>MAX(0,IF(C121=$C$4,D121,ROUND(IF($C$3="Fixed Principal",$C$6-Table15[[#This Row],[Interest]],IF($C$3="Interest Only",Table15[[#This Row],[Beginning Balance]]*ROUND(1-(1-IF($C$11="No",$E$8,1))^(1/12),6),MIN(IF($C$13="Yes",Table15[[#This Row],[Payment Amount (Reamortized)]],$C$6)-Table15[[#This Row],[Interest]],Table15[[#This Row],[Beginning Balance]]))),2)))</f>
        <v>14770.38</v>
      </c>
      <c r="I121" s="3">
        <f>_xlfn.SINGLE(IF($C$3="Line of Credit",0,ROUND(MAX(MIN(IF($C$10="No",$E$7,VLOOKUP(Table15[[#This Row],[Period]],Forecast!$H$2:$L$1048576,4,FALSE))*Table15[[#This Row],[Beginning Balance]],Table15[[#This Row],[Beginning Balance]]-Table15[[#This Row],[Principal]]),0),2)))</f>
        <v>12079.45</v>
      </c>
      <c r="J121" s="3">
        <f>ROUND(MIN(Table15[[#This Row],[Beginning Balance]]*IF($C$8="No",$E$3,VLOOKUP(Table15[[#This Row],[Period]],Forecast!$H$2:$L$1048576,2,FALSE)),Table15[[#This Row],[Beginning Balance]]-Table15[[#This Row],[Principal]]-Table15[[#This Row],[Prepayments]]),2)</f>
        <v>2891.79</v>
      </c>
      <c r="K121" s="3">
        <f>ROUND(Table15[[#This Row],[Defaulted Principal]]*IF($C$9="No",$E$4,VLOOKUP(Table15[[#This Row],[Period]],Forecast!$H$2:$L$1048576,3,FALSE)),2)</f>
        <v>250.7</v>
      </c>
      <c r="L121" s="2">
        <f>Table15[[#This Row],[Period]]+$E$9</f>
        <v>117</v>
      </c>
      <c r="M121" s="3">
        <f>Table15[[#This Row],[Defaulted Principal]]-Table15[[#This Row],[Estimated Loss]]</f>
        <v>2641.09</v>
      </c>
      <c r="N121" s="3">
        <f>IFERROR(VLOOKUP(Table15[[#This Row],[Period]],$L$16:$M$385,2,FALSE),0)</f>
        <v>2870.88</v>
      </c>
      <c r="O121" s="3">
        <f>Table15[[#This Row],[Beginning Balance]]-Table15[[#This Row],[Principal]]-Table15[[#This Row],[Prepayments]]-Table15[[#This Row],[Defaulted Principal]]</f>
        <v>4204206.320000004</v>
      </c>
      <c r="P121" s="3">
        <f>Table15[[#This Row],[Principal]]+Table15[[#This Row],[Interest]]+Table15[[#This Row],[Prepayments]]+Table15[[#This Row],[RecoveredAmount]]</f>
        <v>54334.18</v>
      </c>
      <c r="Q121" s="3">
        <f ca="1">ROUND(Table15[[#This Row],[Cash Flow]]/((1+ActualRateToUse)^(IF(ISNUMBER(SEARCH("Actual",$C$7)),Table15[[#This Row],[Running Total]]/365,Table15[[#This Row],[Period]]/12))),2)</f>
        <v>29691.47</v>
      </c>
      <c r="R121" s="2">
        <f>IF(MONTH(Table15[[#This Row],[Date]])=2,28,DAY(DATE(YEAR(Table15[[#This Row],[Date]]),MONTH(Table15[[#This Row],[Date]])+1,1)-1))</f>
        <v>31</v>
      </c>
      <c r="S121" s="2">
        <f ca="1">SUM(OFFSET(Table15[[#Headers],[Days in month]],1,0):Table15[[#This Row],[Days in month]])</f>
        <v>3194</v>
      </c>
      <c r="T121" s="37">
        <f>InterestRate*AmortizationMultiplier*IF(ISNUMBER(SEARCH("Actual",$C$7)),Table15[[#This Row],[Days in month]]/365,1/12)</f>
        <v>5.8133611111111103E-3</v>
      </c>
    </row>
    <row r="122" spans="2:20" x14ac:dyDescent="0.2">
      <c r="B122" s="1">
        <v>49064</v>
      </c>
      <c r="C122" s="2">
        <f t="shared" si="4"/>
        <v>106</v>
      </c>
      <c r="D122" s="3">
        <f t="shared" si="3"/>
        <v>4204206.320000004</v>
      </c>
      <c r="E122" s="3">
        <f>ROUND(Table15[[#This Row],[Beginning Balance]]*Table15[[#This Row],[Monthly Interest Rate]],2)</f>
        <v>23652.16</v>
      </c>
      <c r="F122" s="3">
        <f t="shared" si="5"/>
        <v>166</v>
      </c>
      <c r="G122" s="23">
        <f>IFERROR(IF($C$13="No","N/A",IF(Table15[[#This Row],[Period]]=1,$C$6,PMT(InterestRate*AmortizationMultiplier/12,Table15[[#This Row],[Am Thru]],-Table15[[#This Row],[Beginning Balance]]))),0)</f>
        <v>39248.404653335478</v>
      </c>
      <c r="H122" s="3">
        <f>MAX(0,IF(C122=$C$4,D122,ROUND(IF($C$3="Fixed Principal",$C$6-Table15[[#This Row],[Interest]],IF($C$3="Interest Only",Table15[[#This Row],[Beginning Balance]]*ROUND(1-(1-IF($C$11="No",$E$8,1))^(1/12),6),MIN(IF($C$13="Yes",Table15[[#This Row],[Payment Amount (Reamortized)]],$C$6)-Table15[[#This Row],[Interest]],Table15[[#This Row],[Beginning Balance]]))),2)))</f>
        <v>15596.24</v>
      </c>
      <c r="I122" s="3">
        <f>_xlfn.SINGLE(IF($C$3="Line of Credit",0,ROUND(MAX(MIN(IF($C$10="No",$E$7,VLOOKUP(Table15[[#This Row],[Period]],Forecast!$H$2:$L$1048576,4,FALSE))*Table15[[#This Row],[Beginning Balance]],Table15[[#This Row],[Beginning Balance]]-Table15[[#This Row],[Principal]]),0),2)))</f>
        <v>11994.6</v>
      </c>
      <c r="J122" s="3">
        <f>ROUND(MIN(Table15[[#This Row],[Beginning Balance]]*IF($C$8="No",$E$3,VLOOKUP(Table15[[#This Row],[Period]],Forecast!$H$2:$L$1048576,2,FALSE)),Table15[[#This Row],[Beginning Balance]]-Table15[[#This Row],[Principal]]-Table15[[#This Row],[Prepayments]]),2)</f>
        <v>2871.47</v>
      </c>
      <c r="K122" s="3">
        <f>ROUND(Table15[[#This Row],[Defaulted Principal]]*IF($C$9="No",$E$4,VLOOKUP(Table15[[#This Row],[Period]],Forecast!$H$2:$L$1048576,3,FALSE)),2)</f>
        <v>248.94</v>
      </c>
      <c r="L122" s="2">
        <f>Table15[[#This Row],[Period]]+$E$9</f>
        <v>118</v>
      </c>
      <c r="M122" s="3">
        <f>Table15[[#This Row],[Defaulted Principal]]-Table15[[#This Row],[Estimated Loss]]</f>
        <v>2622.5299999999997</v>
      </c>
      <c r="N122" s="3">
        <f>IFERROR(VLOOKUP(Table15[[#This Row],[Period]],$L$16:$M$385,2,FALSE),0)</f>
        <v>2851.77</v>
      </c>
      <c r="O122" s="3">
        <f>Table15[[#This Row],[Beginning Balance]]-Table15[[#This Row],[Principal]]-Table15[[#This Row],[Prepayments]]-Table15[[#This Row],[Defaulted Principal]]</f>
        <v>4173744.0100000035</v>
      </c>
      <c r="P122" s="3">
        <f>Table15[[#This Row],[Principal]]+Table15[[#This Row],[Interest]]+Table15[[#This Row],[Prepayments]]+Table15[[#This Row],[RecoveredAmount]]</f>
        <v>54094.77</v>
      </c>
      <c r="Q122" s="3">
        <f ca="1">ROUND(Table15[[#This Row],[Cash Flow]]/((1+ActualRateToUse)^(IF(ISNUMBER(SEARCH("Actual",$C$7)),Table15[[#This Row],[Running Total]]/365,Table15[[#This Row],[Period]]/12))),2)</f>
        <v>29393.33</v>
      </c>
      <c r="R122" s="2">
        <f>IF(MONTH(Table15[[#This Row],[Date]])=2,28,DAY(DATE(YEAR(Table15[[#This Row],[Date]]),MONTH(Table15[[#This Row],[Date]])+1,1)-1))</f>
        <v>30</v>
      </c>
      <c r="S122" s="2">
        <f ca="1">SUM(OFFSET(Table15[[#Headers],[Days in month]],1,0):Table15[[#This Row],[Days in month]])</f>
        <v>3224</v>
      </c>
      <c r="T122" s="37">
        <f>InterestRate*AmortizationMultiplier*IF(ISNUMBER(SEARCH("Actual",$C$7)),Table15[[#This Row],[Days in month]]/365,1/12)</f>
        <v>5.6258333333333325E-3</v>
      </c>
    </row>
    <row r="123" spans="2:20" x14ac:dyDescent="0.2">
      <c r="B123" s="1">
        <v>49095</v>
      </c>
      <c r="C123" s="2">
        <f t="shared" si="4"/>
        <v>107</v>
      </c>
      <c r="D123" s="3">
        <f t="shared" si="3"/>
        <v>4173744.0100000035</v>
      </c>
      <c r="E123" s="3">
        <f>ROUND(Table15[[#This Row],[Beginning Balance]]*Table15[[#This Row],[Monthly Interest Rate]],2)</f>
        <v>24263.48</v>
      </c>
      <c r="F123" s="3">
        <f t="shared" si="5"/>
        <v>165</v>
      </c>
      <c r="G123" s="23">
        <f>IFERROR(IF($C$13="No","N/A",IF(Table15[[#This Row],[Period]]=1,$C$6,PMT(InterestRate*AmortizationMultiplier/12,Table15[[#This Row],[Am Thru]],-Table15[[#This Row],[Beginning Balance]]))),0)</f>
        <v>39106.038589421936</v>
      </c>
      <c r="H123" s="3">
        <f>MAX(0,IF(C123=$C$4,D123,ROUND(IF($C$3="Fixed Principal",$C$6-Table15[[#This Row],[Interest]],IF($C$3="Interest Only",Table15[[#This Row],[Beginning Balance]]*ROUND(1-(1-IF($C$11="No",$E$8,1))^(1/12),6),MIN(IF($C$13="Yes",Table15[[#This Row],[Payment Amount (Reamortized)]],$C$6)-Table15[[#This Row],[Interest]],Table15[[#This Row],[Beginning Balance]]))),2)))</f>
        <v>14842.56</v>
      </c>
      <c r="I123" s="3">
        <f>_xlfn.SINGLE(IF($C$3="Line of Credit",0,ROUND(MAX(MIN(IF($C$10="No",$E$7,VLOOKUP(Table15[[#This Row],[Period]],Forecast!$H$2:$L$1048576,4,FALSE))*Table15[[#This Row],[Beginning Balance]],Table15[[#This Row],[Beginning Balance]]-Table15[[#This Row],[Principal]]),0),2)))</f>
        <v>11907.69</v>
      </c>
      <c r="J123" s="3">
        <f>ROUND(MIN(Table15[[#This Row],[Beginning Balance]]*IF($C$8="No",$E$3,VLOOKUP(Table15[[#This Row],[Period]],Forecast!$H$2:$L$1048576,2,FALSE)),Table15[[#This Row],[Beginning Balance]]-Table15[[#This Row],[Principal]]-Table15[[#This Row],[Prepayments]]),2)</f>
        <v>2850.67</v>
      </c>
      <c r="K123" s="3">
        <f>ROUND(Table15[[#This Row],[Defaulted Principal]]*IF($C$9="No",$E$4,VLOOKUP(Table15[[#This Row],[Period]],Forecast!$H$2:$L$1048576,3,FALSE)),2)</f>
        <v>247.14</v>
      </c>
      <c r="L123" s="2">
        <f>Table15[[#This Row],[Period]]+$E$9</f>
        <v>119</v>
      </c>
      <c r="M123" s="3">
        <f>Table15[[#This Row],[Defaulted Principal]]-Table15[[#This Row],[Estimated Loss]]</f>
        <v>2603.5300000000002</v>
      </c>
      <c r="N123" s="3">
        <f>IFERROR(VLOOKUP(Table15[[#This Row],[Period]],$L$16:$M$385,2,FALSE),0)</f>
        <v>2832.18</v>
      </c>
      <c r="O123" s="3">
        <f>Table15[[#This Row],[Beginning Balance]]-Table15[[#This Row],[Principal]]-Table15[[#This Row],[Prepayments]]-Table15[[#This Row],[Defaulted Principal]]</f>
        <v>4144143.0900000036</v>
      </c>
      <c r="P123" s="3">
        <f>Table15[[#This Row],[Principal]]+Table15[[#This Row],[Interest]]+Table15[[#This Row],[Prepayments]]+Table15[[#This Row],[RecoveredAmount]]</f>
        <v>53845.91</v>
      </c>
      <c r="Q123" s="3">
        <f ca="1">ROUND(Table15[[#This Row],[Cash Flow]]/((1+ActualRateToUse)^(IF(ISNUMBER(SEARCH("Actual",$C$7)),Table15[[#This Row],[Running Total]]/365,Table15[[#This Row],[Period]]/12))),2)</f>
        <v>29087.01</v>
      </c>
      <c r="R123" s="2">
        <f>IF(MONTH(Table15[[#This Row],[Date]])=2,28,DAY(DATE(YEAR(Table15[[#This Row],[Date]]),MONTH(Table15[[#This Row],[Date]])+1,1)-1))</f>
        <v>31</v>
      </c>
      <c r="S123" s="2">
        <f ca="1">SUM(OFFSET(Table15[[#Headers],[Days in month]],1,0):Table15[[#This Row],[Days in month]])</f>
        <v>3255</v>
      </c>
      <c r="T123" s="37">
        <f>InterestRate*AmortizationMultiplier*IF(ISNUMBER(SEARCH("Actual",$C$7)),Table15[[#This Row],[Days in month]]/365,1/12)</f>
        <v>5.8133611111111103E-3</v>
      </c>
    </row>
    <row r="124" spans="2:20" x14ac:dyDescent="0.2">
      <c r="B124" s="1">
        <v>49125</v>
      </c>
      <c r="C124" s="2">
        <f t="shared" si="4"/>
        <v>108</v>
      </c>
      <c r="D124" s="3">
        <f t="shared" si="3"/>
        <v>4144143.0900000036</v>
      </c>
      <c r="E124" s="3">
        <f>ROUND(Table15[[#This Row],[Beginning Balance]]*Table15[[#This Row],[Monthly Interest Rate]],2)</f>
        <v>23314.26</v>
      </c>
      <c r="F124" s="3">
        <f t="shared" si="5"/>
        <v>164</v>
      </c>
      <c r="G124" s="23">
        <f>IFERROR(IF($C$13="No","N/A",IF(Table15[[#This Row],[Period]]=1,$C$6,PMT(InterestRate*AmortizationMultiplier/12,Table15[[#This Row],[Am Thru]],-Table15[[#This Row],[Beginning Balance]]))),0)</f>
        <v>38971.544461958641</v>
      </c>
      <c r="H124" s="3">
        <f>MAX(0,IF(C124=$C$4,D124,ROUND(IF($C$3="Fixed Principal",$C$6-Table15[[#This Row],[Interest]],IF($C$3="Interest Only",Table15[[#This Row],[Beginning Balance]]*ROUND(1-(1-IF($C$11="No",$E$8,1))^(1/12),6),MIN(IF($C$13="Yes",Table15[[#This Row],[Payment Amount (Reamortized)]],$C$6)-Table15[[#This Row],[Interest]],Table15[[#This Row],[Beginning Balance]]))),2)))</f>
        <v>15657.28</v>
      </c>
      <c r="I124" s="3">
        <f>_xlfn.SINGLE(IF($C$3="Line of Credit",0,ROUND(MAX(MIN(IF($C$10="No",$E$7,VLOOKUP(Table15[[#This Row],[Period]],Forecast!$H$2:$L$1048576,4,FALSE))*Table15[[#This Row],[Beginning Balance]],Table15[[#This Row],[Beginning Balance]]-Table15[[#This Row],[Principal]]),0),2)))</f>
        <v>11823.24</v>
      </c>
      <c r="J124" s="3">
        <f>ROUND(MIN(Table15[[#This Row],[Beginning Balance]]*IF($C$8="No",$E$3,VLOOKUP(Table15[[#This Row],[Period]],Forecast!$H$2:$L$1048576,2,FALSE)),Table15[[#This Row],[Beginning Balance]]-Table15[[#This Row],[Principal]]-Table15[[#This Row],[Prepayments]]),2)</f>
        <v>2830.45</v>
      </c>
      <c r="K124" s="3">
        <f>ROUND(Table15[[#This Row],[Defaulted Principal]]*IF($C$9="No",$E$4,VLOOKUP(Table15[[#This Row],[Period]],Forecast!$H$2:$L$1048576,3,FALSE)),2)</f>
        <v>245.38</v>
      </c>
      <c r="L124" s="2">
        <f>Table15[[#This Row],[Period]]+$E$9</f>
        <v>120</v>
      </c>
      <c r="M124" s="3">
        <f>Table15[[#This Row],[Defaulted Principal]]-Table15[[#This Row],[Estimated Loss]]</f>
        <v>2585.0699999999997</v>
      </c>
      <c r="N124" s="3">
        <f>IFERROR(VLOOKUP(Table15[[#This Row],[Period]],$L$16:$M$385,2,FALSE),0)</f>
        <v>2813.17</v>
      </c>
      <c r="O124" s="3">
        <f>Table15[[#This Row],[Beginning Balance]]-Table15[[#This Row],[Principal]]-Table15[[#This Row],[Prepayments]]-Table15[[#This Row],[Defaulted Principal]]</f>
        <v>4113832.1200000034</v>
      </c>
      <c r="P124" s="3">
        <f>Table15[[#This Row],[Principal]]+Table15[[#This Row],[Interest]]+Table15[[#This Row],[Prepayments]]+Table15[[#This Row],[RecoveredAmount]]</f>
        <v>53607.95</v>
      </c>
      <c r="Q124" s="3">
        <f ca="1">ROUND(Table15[[#This Row],[Cash Flow]]/((1+ActualRateToUse)^(IF(ISNUMBER(SEARCH("Actual",$C$7)),Table15[[#This Row],[Running Total]]/365,Table15[[#This Row],[Period]]/12))),2)</f>
        <v>28794.57</v>
      </c>
      <c r="R124" s="2">
        <f>IF(MONTH(Table15[[#This Row],[Date]])=2,28,DAY(DATE(YEAR(Table15[[#This Row],[Date]]),MONTH(Table15[[#This Row],[Date]])+1,1)-1))</f>
        <v>30</v>
      </c>
      <c r="S124" s="2">
        <f ca="1">SUM(OFFSET(Table15[[#Headers],[Days in month]],1,0):Table15[[#This Row],[Days in month]])</f>
        <v>3285</v>
      </c>
      <c r="T124" s="37">
        <f>InterestRate*AmortizationMultiplier*IF(ISNUMBER(SEARCH("Actual",$C$7)),Table15[[#This Row],[Days in month]]/365,1/12)</f>
        <v>5.6258333333333325E-3</v>
      </c>
    </row>
    <row r="125" spans="2:20" x14ac:dyDescent="0.2">
      <c r="B125" s="1">
        <v>49156</v>
      </c>
      <c r="C125" s="2">
        <f t="shared" si="4"/>
        <v>109</v>
      </c>
      <c r="D125" s="3">
        <f t="shared" si="3"/>
        <v>4113832.1200000034</v>
      </c>
      <c r="E125" s="3">
        <f>ROUND(Table15[[#This Row],[Beginning Balance]]*Table15[[#This Row],[Monthly Interest Rate]],2)</f>
        <v>23915.19</v>
      </c>
      <c r="F125" s="3">
        <f t="shared" si="5"/>
        <v>163</v>
      </c>
      <c r="G125" s="23">
        <f>IFERROR(IF($C$13="No","N/A",IF(Table15[[#This Row],[Period]]=1,$C$6,PMT(InterestRate*AmortizationMultiplier/12,Table15[[#This Row],[Am Thru]],-Table15[[#This Row],[Beginning Balance]]))),0)</f>
        <v>38830.172955474547</v>
      </c>
      <c r="H125" s="3">
        <f>MAX(0,IF(C125=$C$4,D125,ROUND(IF($C$3="Fixed Principal",$C$6-Table15[[#This Row],[Interest]],IF($C$3="Interest Only",Table15[[#This Row],[Beginning Balance]]*ROUND(1-(1-IF($C$11="No",$E$8,1))^(1/12),6),MIN(IF($C$13="Yes",Table15[[#This Row],[Payment Amount (Reamortized)]],$C$6)-Table15[[#This Row],[Interest]],Table15[[#This Row],[Beginning Balance]]))),2)))</f>
        <v>14914.98</v>
      </c>
      <c r="I125" s="3">
        <f>_xlfn.SINGLE(IF($C$3="Line of Credit",0,ROUND(MAX(MIN(IF($C$10="No",$E$7,VLOOKUP(Table15[[#This Row],[Period]],Forecast!$H$2:$L$1048576,4,FALSE))*Table15[[#This Row],[Beginning Balance]],Table15[[#This Row],[Beginning Balance]]-Table15[[#This Row],[Principal]]),0),2)))</f>
        <v>11736.76</v>
      </c>
      <c r="J125" s="3">
        <f>ROUND(MIN(Table15[[#This Row],[Beginning Balance]]*IF($C$8="No",$E$3,VLOOKUP(Table15[[#This Row],[Period]],Forecast!$H$2:$L$1048576,2,FALSE)),Table15[[#This Row],[Beginning Balance]]-Table15[[#This Row],[Principal]]-Table15[[#This Row],[Prepayments]]),2)</f>
        <v>2809.75</v>
      </c>
      <c r="K125" s="3">
        <f>ROUND(Table15[[#This Row],[Defaulted Principal]]*IF($C$9="No",$E$4,VLOOKUP(Table15[[#This Row],[Period]],Forecast!$H$2:$L$1048576,3,FALSE)),2)</f>
        <v>243.59</v>
      </c>
      <c r="L125" s="2">
        <f>Table15[[#This Row],[Period]]+$E$9</f>
        <v>121</v>
      </c>
      <c r="M125" s="3">
        <f>Table15[[#This Row],[Defaulted Principal]]-Table15[[#This Row],[Estimated Loss]]</f>
        <v>2566.16</v>
      </c>
      <c r="N125" s="3">
        <f>IFERROR(VLOOKUP(Table15[[#This Row],[Period]],$L$16:$M$385,2,FALSE),0)</f>
        <v>2793.68</v>
      </c>
      <c r="O125" s="3">
        <f>Table15[[#This Row],[Beginning Balance]]-Table15[[#This Row],[Principal]]-Table15[[#This Row],[Prepayments]]-Table15[[#This Row],[Defaulted Principal]]</f>
        <v>4084370.6300000036</v>
      </c>
      <c r="P125" s="3">
        <f>Table15[[#This Row],[Principal]]+Table15[[#This Row],[Interest]]+Table15[[#This Row],[Prepayments]]+Table15[[#This Row],[RecoveredAmount]]</f>
        <v>53360.61</v>
      </c>
      <c r="Q125" s="3">
        <f ca="1">ROUND(Table15[[#This Row],[Cash Flow]]/((1+ActualRateToUse)^(IF(ISNUMBER(SEARCH("Actual",$C$7)),Table15[[#This Row],[Running Total]]/365,Table15[[#This Row],[Period]]/12))),2)</f>
        <v>28494.1</v>
      </c>
      <c r="R125" s="2">
        <f>IF(MONTH(Table15[[#This Row],[Date]])=2,28,DAY(DATE(YEAR(Table15[[#This Row],[Date]]),MONTH(Table15[[#This Row],[Date]])+1,1)-1))</f>
        <v>31</v>
      </c>
      <c r="S125" s="2">
        <f ca="1">SUM(OFFSET(Table15[[#Headers],[Days in month]],1,0):Table15[[#This Row],[Days in month]])</f>
        <v>3316</v>
      </c>
      <c r="T125" s="37">
        <f>InterestRate*AmortizationMultiplier*IF(ISNUMBER(SEARCH("Actual",$C$7)),Table15[[#This Row],[Days in month]]/365,1/12)</f>
        <v>5.8133611111111103E-3</v>
      </c>
    </row>
    <row r="126" spans="2:20" x14ac:dyDescent="0.2">
      <c r="B126" s="1">
        <v>49187</v>
      </c>
      <c r="C126" s="2">
        <f t="shared" si="4"/>
        <v>110</v>
      </c>
      <c r="D126" s="3">
        <f t="shared" si="3"/>
        <v>4084370.6300000036</v>
      </c>
      <c r="E126" s="3">
        <f>ROUND(Table15[[#This Row],[Beginning Balance]]*Table15[[#This Row],[Monthly Interest Rate]],2)</f>
        <v>23743.919999999998</v>
      </c>
      <c r="F126" s="3">
        <f t="shared" si="5"/>
        <v>162</v>
      </c>
      <c r="G126" s="23">
        <f>IFERROR(IF($C$13="No","N/A",IF(Table15[[#This Row],[Period]]=1,$C$6,PMT(InterestRate*AmortizationMultiplier/12,Table15[[#This Row],[Am Thru]],-Table15[[#This Row],[Beginning Balance]]))),0)</f>
        <v>38696.618337853201</v>
      </c>
      <c r="H126" s="3">
        <f>MAX(0,IF(C126=$C$4,D126,ROUND(IF($C$3="Fixed Principal",$C$6-Table15[[#This Row],[Interest]],IF($C$3="Interest Only",Table15[[#This Row],[Beginning Balance]]*ROUND(1-(1-IF($C$11="No",$E$8,1))^(1/12),6),MIN(IF($C$13="Yes",Table15[[#This Row],[Payment Amount (Reamortized)]],$C$6)-Table15[[#This Row],[Interest]],Table15[[#This Row],[Beginning Balance]]))),2)))</f>
        <v>14952.7</v>
      </c>
      <c r="I126" s="3">
        <f>_xlfn.SINGLE(IF($C$3="Line of Credit",0,ROUND(MAX(MIN(IF($C$10="No",$E$7,VLOOKUP(Table15[[#This Row],[Period]],Forecast!$H$2:$L$1048576,4,FALSE))*Table15[[#This Row],[Beginning Balance]],Table15[[#This Row],[Beginning Balance]]-Table15[[#This Row],[Principal]]),0),2)))</f>
        <v>11652.71</v>
      </c>
      <c r="J126" s="3">
        <f>ROUND(MIN(Table15[[#This Row],[Beginning Balance]]*IF($C$8="No",$E$3,VLOOKUP(Table15[[#This Row],[Period]],Forecast!$H$2:$L$1048576,2,FALSE)),Table15[[#This Row],[Beginning Balance]]-Table15[[#This Row],[Principal]]-Table15[[#This Row],[Prepayments]]),2)</f>
        <v>2789.63</v>
      </c>
      <c r="K126" s="3">
        <f>ROUND(Table15[[#This Row],[Defaulted Principal]]*IF($C$9="No",$E$4,VLOOKUP(Table15[[#This Row],[Period]],Forecast!$H$2:$L$1048576,3,FALSE)),2)</f>
        <v>241.84</v>
      </c>
      <c r="L126" s="2">
        <f>Table15[[#This Row],[Period]]+$E$9</f>
        <v>122</v>
      </c>
      <c r="M126" s="3">
        <f>Table15[[#This Row],[Defaulted Principal]]-Table15[[#This Row],[Estimated Loss]]</f>
        <v>2547.79</v>
      </c>
      <c r="N126" s="3">
        <f>IFERROR(VLOOKUP(Table15[[#This Row],[Period]],$L$16:$M$385,2,FALSE),0)</f>
        <v>2774.77</v>
      </c>
      <c r="O126" s="3">
        <f>Table15[[#This Row],[Beginning Balance]]-Table15[[#This Row],[Principal]]-Table15[[#This Row],[Prepayments]]-Table15[[#This Row],[Defaulted Principal]]</f>
        <v>4054975.5900000036</v>
      </c>
      <c r="P126" s="3">
        <f>Table15[[#This Row],[Principal]]+Table15[[#This Row],[Interest]]+Table15[[#This Row],[Prepayments]]+Table15[[#This Row],[RecoveredAmount]]</f>
        <v>53124.099999999991</v>
      </c>
      <c r="Q126" s="3">
        <f ca="1">ROUND(Table15[[#This Row],[Cash Flow]]/((1+ActualRateToUse)^(IF(ISNUMBER(SEARCH("Actual",$C$7)),Table15[[#This Row],[Running Total]]/365,Table15[[#This Row],[Period]]/12))),2)</f>
        <v>28201.91</v>
      </c>
      <c r="R126" s="2">
        <f>IF(MONTH(Table15[[#This Row],[Date]])=2,28,DAY(DATE(YEAR(Table15[[#This Row],[Date]]),MONTH(Table15[[#This Row],[Date]])+1,1)-1))</f>
        <v>31</v>
      </c>
      <c r="S126" s="2">
        <f ca="1">SUM(OFFSET(Table15[[#Headers],[Days in month]],1,0):Table15[[#This Row],[Days in month]])</f>
        <v>3347</v>
      </c>
      <c r="T126" s="37">
        <f>InterestRate*AmortizationMultiplier*IF(ISNUMBER(SEARCH("Actual",$C$7)),Table15[[#This Row],[Days in month]]/365,1/12)</f>
        <v>5.8133611111111103E-3</v>
      </c>
    </row>
    <row r="127" spans="2:20" x14ac:dyDescent="0.2">
      <c r="B127" s="1">
        <v>49217</v>
      </c>
      <c r="C127" s="2">
        <f t="shared" si="4"/>
        <v>111</v>
      </c>
      <c r="D127" s="3">
        <f t="shared" si="3"/>
        <v>4054975.5900000036</v>
      </c>
      <c r="E127" s="3">
        <f>ROUND(Table15[[#This Row],[Beginning Balance]]*Table15[[#This Row],[Monthly Interest Rate]],2)</f>
        <v>22812.62</v>
      </c>
      <c r="F127" s="3">
        <f t="shared" si="5"/>
        <v>161</v>
      </c>
      <c r="G127" s="23">
        <f>IFERROR(IF($C$13="No","N/A",IF(Table15[[#This Row],[Period]]=1,$C$6,PMT(InterestRate*AmortizationMultiplier/12,Table15[[#This Row],[Am Thru]],-Table15[[#This Row],[Beginning Balance]]))),0)</f>
        <v>38563.518251151952</v>
      </c>
      <c r="H127" s="3">
        <f>MAX(0,IF(C127=$C$4,D127,ROUND(IF($C$3="Fixed Principal",$C$6-Table15[[#This Row],[Interest]],IF($C$3="Interest Only",Table15[[#This Row],[Beginning Balance]]*ROUND(1-(1-IF($C$11="No",$E$8,1))^(1/12),6),MIN(IF($C$13="Yes",Table15[[#This Row],[Payment Amount (Reamortized)]],$C$6)-Table15[[#This Row],[Interest]],Table15[[#This Row],[Beginning Balance]]))),2)))</f>
        <v>15750.9</v>
      </c>
      <c r="I127" s="3">
        <f>_xlfn.SINGLE(IF($C$3="Line of Credit",0,ROUND(MAX(MIN(IF($C$10="No",$E$7,VLOOKUP(Table15[[#This Row],[Period]],Forecast!$H$2:$L$1048576,4,FALSE))*Table15[[#This Row],[Beginning Balance]],Table15[[#This Row],[Beginning Balance]]-Table15[[#This Row],[Principal]]),0),2)))</f>
        <v>11568.85</v>
      </c>
      <c r="J127" s="3">
        <f>ROUND(MIN(Table15[[#This Row],[Beginning Balance]]*IF($C$8="No",$E$3,VLOOKUP(Table15[[#This Row],[Period]],Forecast!$H$2:$L$1048576,2,FALSE)),Table15[[#This Row],[Beginning Balance]]-Table15[[#This Row],[Principal]]-Table15[[#This Row],[Prepayments]]),2)</f>
        <v>2769.55</v>
      </c>
      <c r="K127" s="3">
        <f>ROUND(Table15[[#This Row],[Defaulted Principal]]*IF($C$9="No",$E$4,VLOOKUP(Table15[[#This Row],[Period]],Forecast!$H$2:$L$1048576,3,FALSE)),2)</f>
        <v>240.1</v>
      </c>
      <c r="L127" s="2">
        <f>Table15[[#This Row],[Period]]+$E$9</f>
        <v>123</v>
      </c>
      <c r="M127" s="3">
        <f>Table15[[#This Row],[Defaulted Principal]]-Table15[[#This Row],[Estimated Loss]]</f>
        <v>2529.4500000000003</v>
      </c>
      <c r="N127" s="3">
        <f>IFERROR(VLOOKUP(Table15[[#This Row],[Period]],$L$16:$M$385,2,FALSE),0)</f>
        <v>2755.9</v>
      </c>
      <c r="O127" s="3">
        <f>Table15[[#This Row],[Beginning Balance]]-Table15[[#This Row],[Principal]]-Table15[[#This Row],[Prepayments]]-Table15[[#This Row],[Defaulted Principal]]</f>
        <v>4024886.2900000038</v>
      </c>
      <c r="P127" s="3">
        <f>Table15[[#This Row],[Principal]]+Table15[[#This Row],[Interest]]+Table15[[#This Row],[Prepayments]]+Table15[[#This Row],[RecoveredAmount]]</f>
        <v>52888.27</v>
      </c>
      <c r="Q127" s="3">
        <f ca="1">ROUND(Table15[[#This Row],[Cash Flow]]/((1+ActualRateToUse)^(IF(ISNUMBER(SEARCH("Actual",$C$7)),Table15[[#This Row],[Running Total]]/365,Table15[[#This Row],[Period]]/12))),2)</f>
        <v>27917.81</v>
      </c>
      <c r="R127" s="2">
        <f>IF(MONTH(Table15[[#This Row],[Date]])=2,28,DAY(DATE(YEAR(Table15[[#This Row],[Date]]),MONTH(Table15[[#This Row],[Date]])+1,1)-1))</f>
        <v>30</v>
      </c>
      <c r="S127" s="2">
        <f ca="1">SUM(OFFSET(Table15[[#Headers],[Days in month]],1,0):Table15[[#This Row],[Days in month]])</f>
        <v>3377</v>
      </c>
      <c r="T127" s="37">
        <f>InterestRate*AmortizationMultiplier*IF(ISNUMBER(SEARCH("Actual",$C$7)),Table15[[#This Row],[Days in month]]/365,1/12)</f>
        <v>5.6258333333333325E-3</v>
      </c>
    </row>
    <row r="128" spans="2:20" x14ac:dyDescent="0.2">
      <c r="B128" s="1">
        <v>49248</v>
      </c>
      <c r="C128" s="2">
        <f t="shared" si="4"/>
        <v>112</v>
      </c>
      <c r="D128" s="3">
        <f t="shared" si="3"/>
        <v>4024886.2900000038</v>
      </c>
      <c r="E128" s="3">
        <f>ROUND(Table15[[#This Row],[Beginning Balance]]*Table15[[#This Row],[Monthly Interest Rate]],2)</f>
        <v>23398.12</v>
      </c>
      <c r="F128" s="3">
        <f t="shared" si="5"/>
        <v>160</v>
      </c>
      <c r="G128" s="23">
        <f>IFERROR(IF($C$13="No","N/A",IF(Table15[[#This Row],[Period]]=1,$C$6,PMT(InterestRate*AmortizationMultiplier/12,Table15[[#This Row],[Am Thru]],-Table15[[#This Row],[Beginning Balance]]))),0)</f>
        <v>38423.611870730951</v>
      </c>
      <c r="H128" s="3">
        <f>MAX(0,IF(C128=$C$4,D128,ROUND(IF($C$3="Fixed Principal",$C$6-Table15[[#This Row],[Interest]],IF($C$3="Interest Only",Table15[[#This Row],[Beginning Balance]]*ROUND(1-(1-IF($C$11="No",$E$8,1))^(1/12),6),MIN(IF($C$13="Yes",Table15[[#This Row],[Payment Amount (Reamortized)]],$C$6)-Table15[[#This Row],[Interest]],Table15[[#This Row],[Beginning Balance]]))),2)))</f>
        <v>15025.49</v>
      </c>
      <c r="I128" s="3">
        <f>_xlfn.SINGLE(IF($C$3="Line of Credit",0,ROUND(MAX(MIN(IF($C$10="No",$E$7,VLOOKUP(Table15[[#This Row],[Period]],Forecast!$H$2:$L$1048576,4,FALSE))*Table15[[#This Row],[Beginning Balance]],Table15[[#This Row],[Beginning Balance]]-Table15[[#This Row],[Principal]]),0),2)))</f>
        <v>11483</v>
      </c>
      <c r="J128" s="3">
        <f>ROUND(MIN(Table15[[#This Row],[Beginning Balance]]*IF($C$8="No",$E$3,VLOOKUP(Table15[[#This Row],[Period]],Forecast!$H$2:$L$1048576,2,FALSE)),Table15[[#This Row],[Beginning Balance]]-Table15[[#This Row],[Principal]]-Table15[[#This Row],[Prepayments]]),2)</f>
        <v>2749</v>
      </c>
      <c r="K128" s="3">
        <f>ROUND(Table15[[#This Row],[Defaulted Principal]]*IF($C$9="No",$E$4,VLOOKUP(Table15[[#This Row],[Period]],Forecast!$H$2:$L$1048576,3,FALSE)),2)</f>
        <v>238.32</v>
      </c>
      <c r="L128" s="2">
        <f>Table15[[#This Row],[Period]]+$E$9</f>
        <v>124</v>
      </c>
      <c r="M128" s="3">
        <f>Table15[[#This Row],[Defaulted Principal]]-Table15[[#This Row],[Estimated Loss]]</f>
        <v>2510.6799999999998</v>
      </c>
      <c r="N128" s="3">
        <f>IFERROR(VLOOKUP(Table15[[#This Row],[Period]],$L$16:$M$385,2,FALSE),0)</f>
        <v>2736.5600000000004</v>
      </c>
      <c r="O128" s="3">
        <f>Table15[[#This Row],[Beginning Balance]]-Table15[[#This Row],[Principal]]-Table15[[#This Row],[Prepayments]]-Table15[[#This Row],[Defaulted Principal]]</f>
        <v>3995628.8000000035</v>
      </c>
      <c r="P128" s="3">
        <f>Table15[[#This Row],[Principal]]+Table15[[#This Row],[Interest]]+Table15[[#This Row],[Prepayments]]+Table15[[#This Row],[RecoveredAmount]]</f>
        <v>52643.17</v>
      </c>
      <c r="Q128" s="3">
        <f ca="1">ROUND(Table15[[#This Row],[Cash Flow]]/((1+ActualRateToUse)^(IF(ISNUMBER(SEARCH("Actual",$C$7)),Table15[[#This Row],[Running Total]]/365,Table15[[#This Row],[Period]]/12))),2)</f>
        <v>27625.93</v>
      </c>
      <c r="R128" s="2">
        <f>IF(MONTH(Table15[[#This Row],[Date]])=2,28,DAY(DATE(YEAR(Table15[[#This Row],[Date]]),MONTH(Table15[[#This Row],[Date]])+1,1)-1))</f>
        <v>31</v>
      </c>
      <c r="S128" s="2">
        <f ca="1">SUM(OFFSET(Table15[[#Headers],[Days in month]],1,0):Table15[[#This Row],[Days in month]])</f>
        <v>3408</v>
      </c>
      <c r="T128" s="37">
        <f>InterestRate*AmortizationMultiplier*IF(ISNUMBER(SEARCH("Actual",$C$7)),Table15[[#This Row],[Days in month]]/365,1/12)</f>
        <v>5.8133611111111103E-3</v>
      </c>
    </row>
    <row r="129" spans="2:20" x14ac:dyDescent="0.2">
      <c r="B129" s="1">
        <v>49278</v>
      </c>
      <c r="C129" s="2">
        <f t="shared" si="4"/>
        <v>113</v>
      </c>
      <c r="D129" s="3">
        <f t="shared" si="3"/>
        <v>3995628.8000000035</v>
      </c>
      <c r="E129" s="3">
        <f>ROUND(Table15[[#This Row],[Beginning Balance]]*Table15[[#This Row],[Monthly Interest Rate]],2)</f>
        <v>22478.74</v>
      </c>
      <c r="F129" s="3">
        <f t="shared" si="5"/>
        <v>159</v>
      </c>
      <c r="G129" s="23">
        <f>IFERROR(IF($C$13="No","N/A",IF(Table15[[#This Row],[Period]]=1,$C$6,PMT(InterestRate*AmortizationMultiplier/12,Table15[[#This Row],[Am Thru]],-Table15[[#This Row],[Beginning Balance]]))),0)</f>
        <v>38291.441336411015</v>
      </c>
      <c r="H129" s="3">
        <f>MAX(0,IF(C129=$C$4,D129,ROUND(IF($C$3="Fixed Principal",$C$6-Table15[[#This Row],[Interest]],IF($C$3="Interest Only",Table15[[#This Row],[Beginning Balance]]*ROUND(1-(1-IF($C$11="No",$E$8,1))^(1/12),6),MIN(IF($C$13="Yes",Table15[[#This Row],[Payment Amount (Reamortized)]],$C$6)-Table15[[#This Row],[Interest]],Table15[[#This Row],[Beginning Balance]]))),2)))</f>
        <v>15812.7</v>
      </c>
      <c r="I129" s="3">
        <f>_xlfn.SINGLE(IF($C$3="Line of Credit",0,ROUND(MAX(MIN(IF($C$10="No",$E$7,VLOOKUP(Table15[[#This Row],[Period]],Forecast!$H$2:$L$1048576,4,FALSE))*Table15[[#This Row],[Beginning Balance]],Table15[[#This Row],[Beginning Balance]]-Table15[[#This Row],[Principal]]),0),2)))</f>
        <v>11399.53</v>
      </c>
      <c r="J129" s="3">
        <f>ROUND(MIN(Table15[[#This Row],[Beginning Balance]]*IF($C$8="No",$E$3,VLOOKUP(Table15[[#This Row],[Period]],Forecast!$H$2:$L$1048576,2,FALSE)),Table15[[#This Row],[Beginning Balance]]-Table15[[#This Row],[Principal]]-Table15[[#This Row],[Prepayments]]),2)</f>
        <v>2729.01</v>
      </c>
      <c r="K129" s="3">
        <f>ROUND(Table15[[#This Row],[Defaulted Principal]]*IF($C$9="No",$E$4,VLOOKUP(Table15[[#This Row],[Period]],Forecast!$H$2:$L$1048576,3,FALSE)),2)</f>
        <v>236.59</v>
      </c>
      <c r="L129" s="2">
        <f>Table15[[#This Row],[Period]]+$E$9</f>
        <v>125</v>
      </c>
      <c r="M129" s="3">
        <f>Table15[[#This Row],[Defaulted Principal]]-Table15[[#This Row],[Estimated Loss]]</f>
        <v>2492.42</v>
      </c>
      <c r="N129" s="3">
        <f>IFERROR(VLOOKUP(Table15[[#This Row],[Period]],$L$16:$M$385,2,FALSE),0)</f>
        <v>2717.77</v>
      </c>
      <c r="O129" s="3">
        <f>Table15[[#This Row],[Beginning Balance]]-Table15[[#This Row],[Principal]]-Table15[[#This Row],[Prepayments]]-Table15[[#This Row],[Defaulted Principal]]</f>
        <v>3965687.5600000038</v>
      </c>
      <c r="P129" s="3">
        <f>Table15[[#This Row],[Principal]]+Table15[[#This Row],[Interest]]+Table15[[#This Row],[Prepayments]]+Table15[[#This Row],[RecoveredAmount]]</f>
        <v>52408.74</v>
      </c>
      <c r="Q129" s="3">
        <f ca="1">ROUND(Table15[[#This Row],[Cash Flow]]/((1+ActualRateToUse)^(IF(ISNUMBER(SEARCH("Actual",$C$7)),Table15[[#This Row],[Running Total]]/365,Table15[[#This Row],[Period]]/12))),2)</f>
        <v>27347.24</v>
      </c>
      <c r="R129" s="2">
        <f>IF(MONTH(Table15[[#This Row],[Date]])=2,28,DAY(DATE(YEAR(Table15[[#This Row],[Date]]),MONTH(Table15[[#This Row],[Date]])+1,1)-1))</f>
        <v>30</v>
      </c>
      <c r="S129" s="2">
        <f ca="1">SUM(OFFSET(Table15[[#Headers],[Days in month]],1,0):Table15[[#This Row],[Days in month]])</f>
        <v>3438</v>
      </c>
      <c r="T129" s="37">
        <f>InterestRate*AmortizationMultiplier*IF(ISNUMBER(SEARCH("Actual",$C$7)),Table15[[#This Row],[Days in month]]/365,1/12)</f>
        <v>5.6258333333333325E-3</v>
      </c>
    </row>
    <row r="130" spans="2:20" x14ac:dyDescent="0.2">
      <c r="B130" s="1">
        <v>49309</v>
      </c>
      <c r="C130" s="2">
        <f t="shared" si="4"/>
        <v>114</v>
      </c>
      <c r="D130" s="3">
        <f t="shared" si="3"/>
        <v>3965687.5600000038</v>
      </c>
      <c r="E130" s="3">
        <f>ROUND(Table15[[#This Row],[Beginning Balance]]*Table15[[#This Row],[Monthly Interest Rate]],2)</f>
        <v>23053.97</v>
      </c>
      <c r="F130" s="3">
        <f t="shared" si="5"/>
        <v>158</v>
      </c>
      <c r="G130" s="23">
        <f>IFERROR(IF($C$13="No","N/A",IF(Table15[[#This Row],[Period]]=1,$C$6,PMT(InterestRate*AmortizationMultiplier/12,Table15[[#This Row],[Am Thru]],-Table15[[#This Row],[Beginning Balance]]))),0)</f>
        <v>38152.511909653433</v>
      </c>
      <c r="H130" s="3">
        <f>MAX(0,IF(C130=$C$4,D130,ROUND(IF($C$3="Fixed Principal",$C$6-Table15[[#This Row],[Interest]],IF($C$3="Interest Only",Table15[[#This Row],[Beginning Balance]]*ROUND(1-(1-IF($C$11="No",$E$8,1))^(1/12),6),MIN(IF($C$13="Yes",Table15[[#This Row],[Payment Amount (Reamortized)]],$C$6)-Table15[[#This Row],[Interest]],Table15[[#This Row],[Beginning Balance]]))),2)))</f>
        <v>15098.54</v>
      </c>
      <c r="I130" s="3">
        <f>_xlfn.SINGLE(IF($C$3="Line of Credit",0,ROUND(MAX(MIN(IF($C$10="No",$E$7,VLOOKUP(Table15[[#This Row],[Period]],Forecast!$H$2:$L$1048576,4,FALSE))*Table15[[#This Row],[Beginning Balance]],Table15[[#This Row],[Beginning Balance]]-Table15[[#This Row],[Principal]]),0),2)))</f>
        <v>11314.11</v>
      </c>
      <c r="J130" s="3">
        <f>ROUND(MIN(Table15[[#This Row],[Beginning Balance]]*IF($C$8="No",$E$3,VLOOKUP(Table15[[#This Row],[Period]],Forecast!$H$2:$L$1048576,2,FALSE)),Table15[[#This Row],[Beginning Balance]]-Table15[[#This Row],[Principal]]-Table15[[#This Row],[Prepayments]]),2)</f>
        <v>2708.56</v>
      </c>
      <c r="K130" s="3">
        <f>ROUND(Table15[[#This Row],[Defaulted Principal]]*IF($C$9="No",$E$4,VLOOKUP(Table15[[#This Row],[Period]],Forecast!$H$2:$L$1048576,3,FALSE)),2)</f>
        <v>234.82</v>
      </c>
      <c r="L130" s="2">
        <f>Table15[[#This Row],[Period]]+$E$9</f>
        <v>126</v>
      </c>
      <c r="M130" s="3">
        <f>Table15[[#This Row],[Defaulted Principal]]-Table15[[#This Row],[Estimated Loss]]</f>
        <v>2473.7399999999998</v>
      </c>
      <c r="N130" s="3">
        <f>IFERROR(VLOOKUP(Table15[[#This Row],[Period]],$L$16:$M$385,2,FALSE),0)</f>
        <v>2698.5299999999997</v>
      </c>
      <c r="O130" s="3">
        <f>Table15[[#This Row],[Beginning Balance]]-Table15[[#This Row],[Principal]]-Table15[[#This Row],[Prepayments]]-Table15[[#This Row],[Defaulted Principal]]</f>
        <v>3936566.3500000038</v>
      </c>
      <c r="P130" s="3">
        <f>Table15[[#This Row],[Principal]]+Table15[[#This Row],[Interest]]+Table15[[#This Row],[Prepayments]]+Table15[[#This Row],[RecoveredAmount]]</f>
        <v>52165.15</v>
      </c>
      <c r="Q130" s="3">
        <f ca="1">ROUND(Table15[[#This Row],[Cash Flow]]/((1+ActualRateToUse)^(IF(ISNUMBER(SEARCH("Actual",$C$7)),Table15[[#This Row],[Running Total]]/365,Table15[[#This Row],[Period]]/12))),2)</f>
        <v>27060.95</v>
      </c>
      <c r="R130" s="2">
        <f>IF(MONTH(Table15[[#This Row],[Date]])=2,28,DAY(DATE(YEAR(Table15[[#This Row],[Date]]),MONTH(Table15[[#This Row],[Date]])+1,1)-1))</f>
        <v>31</v>
      </c>
      <c r="S130" s="2">
        <f ca="1">SUM(OFFSET(Table15[[#Headers],[Days in month]],1,0):Table15[[#This Row],[Days in month]])</f>
        <v>3469</v>
      </c>
      <c r="T130" s="37">
        <f>InterestRate*AmortizationMultiplier*IF(ISNUMBER(SEARCH("Actual",$C$7)),Table15[[#This Row],[Days in month]]/365,1/12)</f>
        <v>5.8133611111111103E-3</v>
      </c>
    </row>
    <row r="131" spans="2:20" x14ac:dyDescent="0.2">
      <c r="B131" s="1">
        <v>49340</v>
      </c>
      <c r="C131" s="2">
        <f t="shared" si="4"/>
        <v>115</v>
      </c>
      <c r="D131" s="3">
        <f t="shared" si="3"/>
        <v>3936566.3500000038</v>
      </c>
      <c r="E131" s="3">
        <f>ROUND(Table15[[#This Row],[Beginning Balance]]*Table15[[#This Row],[Monthly Interest Rate]],2)</f>
        <v>22884.68</v>
      </c>
      <c r="F131" s="3">
        <f t="shared" si="5"/>
        <v>157</v>
      </c>
      <c r="G131" s="23">
        <f>IFERROR(IF($C$13="No","N/A",IF(Table15[[#This Row],[Period]]=1,$C$6,PMT(InterestRate*AmortizationMultiplier/12,Table15[[#This Row],[Am Thru]],-Table15[[#This Row],[Beginning Balance]]))),0)</f>
        <v>38021.264113544079</v>
      </c>
      <c r="H131" s="3">
        <f>MAX(0,IF(C131=$C$4,D131,ROUND(IF($C$3="Fixed Principal",$C$6-Table15[[#This Row],[Interest]],IF($C$3="Interest Only",Table15[[#This Row],[Beginning Balance]]*ROUND(1-(1-IF($C$11="No",$E$8,1))^(1/12),6),MIN(IF($C$13="Yes",Table15[[#This Row],[Payment Amount (Reamortized)]],$C$6)-Table15[[#This Row],[Interest]],Table15[[#This Row],[Beginning Balance]]))),2)))</f>
        <v>3936566.3500000038</v>
      </c>
      <c r="I131" s="3">
        <f>_xlfn.SINGLE(IF($C$3="Line of Credit",0,ROUND(MAX(MIN(IF($C$10="No",$E$7,VLOOKUP(Table15[[#This Row],[Period]],Forecast!$H$2:$L$1048576,4,FALSE))*Table15[[#This Row],[Beginning Balance]],Table15[[#This Row],[Beginning Balance]]-Table15[[#This Row],[Principal]]),0),2)))</f>
        <v>0</v>
      </c>
      <c r="J131" s="3">
        <f>ROUND(MIN(Table15[[#This Row],[Beginning Balance]]*IF($C$8="No",$E$3,VLOOKUP(Table15[[#This Row],[Period]],Forecast!$H$2:$L$1048576,2,FALSE)),Table15[[#This Row],[Beginning Balance]]-Table15[[#This Row],[Principal]]-Table15[[#This Row],[Prepayments]]),2)</f>
        <v>0</v>
      </c>
      <c r="K131" s="3">
        <f>ROUND(Table15[[#This Row],[Defaulted Principal]]*IF($C$9="No",$E$4,VLOOKUP(Table15[[#This Row],[Period]],Forecast!$H$2:$L$1048576,3,FALSE)),2)</f>
        <v>0</v>
      </c>
      <c r="L131" s="2">
        <f>Table15[[#This Row],[Period]]+$E$9</f>
        <v>127</v>
      </c>
      <c r="M131" s="3">
        <f>Table15[[#This Row],[Defaulted Principal]]-Table15[[#This Row],[Estimated Loss]]</f>
        <v>0</v>
      </c>
      <c r="N131" s="3">
        <f>IFERROR(VLOOKUP(Table15[[#This Row],[Period]],$L$16:$M$385,2,FALSE),0)</f>
        <v>2679.8399999999997</v>
      </c>
      <c r="O131" s="3">
        <f>Table15[[#This Row],[Beginning Balance]]-Table15[[#This Row],[Principal]]-Table15[[#This Row],[Prepayments]]-Table15[[#This Row],[Defaulted Principal]]</f>
        <v>0</v>
      </c>
      <c r="P131" s="3">
        <f>Table15[[#This Row],[Principal]]+Table15[[#This Row],[Interest]]+Table15[[#This Row],[Prepayments]]+Table15[[#This Row],[RecoveredAmount]]</f>
        <v>3962130.8700000038</v>
      </c>
      <c r="Q131" s="3">
        <f ca="1">ROUND(Table15[[#This Row],[Cash Flow]]/((1+ActualRateToUse)^(IF(ISNUMBER(SEARCH("Actual",$C$7)),Table15[[#This Row],[Running Total]]/365,Table15[[#This Row],[Period]]/12))),2)</f>
        <v>2043357.11</v>
      </c>
      <c r="R131" s="2">
        <f>IF(MONTH(Table15[[#This Row],[Date]])=2,28,DAY(DATE(YEAR(Table15[[#This Row],[Date]]),MONTH(Table15[[#This Row],[Date]])+1,1)-1))</f>
        <v>31</v>
      </c>
      <c r="S131" s="2">
        <f ca="1">SUM(OFFSET(Table15[[#Headers],[Days in month]],1,0):Table15[[#This Row],[Days in month]])</f>
        <v>3500</v>
      </c>
      <c r="T131" s="37">
        <f>InterestRate*AmortizationMultiplier*IF(ISNUMBER(SEARCH("Actual",$C$7)),Table15[[#This Row],[Days in month]]/365,1/12)</f>
        <v>5.8133611111111103E-3</v>
      </c>
    </row>
    <row r="132" spans="2:20" x14ac:dyDescent="0.2">
      <c r="B132" s="1">
        <v>49368</v>
      </c>
      <c r="C132" s="2">
        <f t="shared" si="4"/>
        <v>116</v>
      </c>
      <c r="D132" s="3">
        <f t="shared" si="3"/>
        <v>0</v>
      </c>
      <c r="E132" s="3">
        <f>ROUND(Table15[[#This Row],[Beginning Balance]]*Table15[[#This Row],[Monthly Interest Rate]],2)</f>
        <v>0</v>
      </c>
      <c r="F132" s="3">
        <f t="shared" si="5"/>
        <v>156</v>
      </c>
      <c r="G132" s="23">
        <f>IFERROR(IF($C$13="No","N/A",IF(Table15[[#This Row],[Period]]=1,$C$6,PMT(InterestRate*AmortizationMultiplier/12,Table15[[#This Row],[Am Thru]],-Table15[[#This Row],[Beginning Balance]]))),0)</f>
        <v>0</v>
      </c>
      <c r="H132" s="3">
        <f>MAX(0,IF(C132=$C$4,D132,ROUND(IF($C$3="Fixed Principal",$C$6-Table15[[#This Row],[Interest]],IF($C$3="Interest Only",Table15[[#This Row],[Beginning Balance]]*ROUND(1-(1-IF($C$11="No",$E$8,1))^(1/12),6),MIN(IF($C$13="Yes",Table15[[#This Row],[Payment Amount (Reamortized)]],$C$6)-Table15[[#This Row],[Interest]],Table15[[#This Row],[Beginning Balance]]))),2)))</f>
        <v>0</v>
      </c>
      <c r="I132" s="3">
        <f>_xlfn.SINGLE(IF($C$3="Line of Credit",0,ROUND(MAX(MIN(IF($C$10="No",$E$7,VLOOKUP(Table15[[#This Row],[Period]],Forecast!$H$2:$L$1048576,4,FALSE))*Table15[[#This Row],[Beginning Balance]],Table15[[#This Row],[Beginning Balance]]-Table15[[#This Row],[Principal]]),0),2)))</f>
        <v>0</v>
      </c>
      <c r="J132" s="3">
        <f>ROUND(MIN(Table15[[#This Row],[Beginning Balance]]*IF($C$8="No",$E$3,VLOOKUP(Table15[[#This Row],[Period]],Forecast!$H$2:$L$1048576,2,FALSE)),Table15[[#This Row],[Beginning Balance]]-Table15[[#This Row],[Principal]]-Table15[[#This Row],[Prepayments]]),2)</f>
        <v>0</v>
      </c>
      <c r="K132" s="3">
        <f>ROUND(Table15[[#This Row],[Defaulted Principal]]*IF($C$9="No",$E$4,VLOOKUP(Table15[[#This Row],[Period]],Forecast!$H$2:$L$1048576,3,FALSE)),2)</f>
        <v>0</v>
      </c>
      <c r="L132" s="2">
        <f>Table15[[#This Row],[Period]]+$E$9</f>
        <v>128</v>
      </c>
      <c r="M132" s="3">
        <f>Table15[[#This Row],[Defaulted Principal]]-Table15[[#This Row],[Estimated Loss]]</f>
        <v>0</v>
      </c>
      <c r="N132" s="3">
        <f>IFERROR(VLOOKUP(Table15[[#This Row],[Period]],$L$16:$M$385,2,FALSE),0)</f>
        <v>2661.19</v>
      </c>
      <c r="O132" s="3">
        <f>Table15[[#This Row],[Beginning Balance]]-Table15[[#This Row],[Principal]]-Table15[[#This Row],[Prepayments]]-Table15[[#This Row],[Defaulted Principal]]</f>
        <v>0</v>
      </c>
      <c r="P132" s="3">
        <f>Table15[[#This Row],[Principal]]+Table15[[#This Row],[Interest]]+Table15[[#This Row],[Prepayments]]+Table15[[#This Row],[RecoveredAmount]]</f>
        <v>2661.19</v>
      </c>
      <c r="Q132" s="3">
        <f ca="1">ROUND(Table15[[#This Row],[Cash Flow]]/((1+ActualRateToUse)^(IF(ISNUMBER(SEARCH("Actual",$C$7)),Table15[[#This Row],[Running Total]]/365,Table15[[#This Row],[Period]]/12))),2)</f>
        <v>1365.18</v>
      </c>
      <c r="R132" s="2">
        <f>IF(MONTH(Table15[[#This Row],[Date]])=2,28,DAY(DATE(YEAR(Table15[[#This Row],[Date]]),MONTH(Table15[[#This Row],[Date]])+1,1)-1))</f>
        <v>28</v>
      </c>
      <c r="S132" s="2">
        <f ca="1">SUM(OFFSET(Table15[[#Headers],[Days in month]],1,0):Table15[[#This Row],[Days in month]])</f>
        <v>3528</v>
      </c>
      <c r="T132" s="37">
        <f>InterestRate*AmortizationMultiplier*IF(ISNUMBER(SEARCH("Actual",$C$7)),Table15[[#This Row],[Days in month]]/365,1/12)</f>
        <v>5.2507777777777778E-3</v>
      </c>
    </row>
    <row r="133" spans="2:20" x14ac:dyDescent="0.2">
      <c r="B133" s="1">
        <v>49399</v>
      </c>
      <c r="C133" s="2">
        <f t="shared" si="4"/>
        <v>117</v>
      </c>
      <c r="D133" s="3">
        <f t="shared" si="3"/>
        <v>0</v>
      </c>
      <c r="E133" s="3">
        <f>ROUND(Table15[[#This Row],[Beginning Balance]]*Table15[[#This Row],[Monthly Interest Rate]],2)</f>
        <v>0</v>
      </c>
      <c r="F133" s="3">
        <f t="shared" si="5"/>
        <v>155</v>
      </c>
      <c r="G133" s="23">
        <f>IFERROR(IF($C$13="No","N/A",IF(Table15[[#This Row],[Period]]=1,$C$6,PMT(InterestRate*AmortizationMultiplier/12,Table15[[#This Row],[Am Thru]],-Table15[[#This Row],[Beginning Balance]]))),0)</f>
        <v>0</v>
      </c>
      <c r="H133" s="3">
        <f>MAX(0,IF(C133=$C$4,D133,ROUND(IF($C$3="Fixed Principal",$C$6-Table15[[#This Row],[Interest]],IF($C$3="Interest Only",Table15[[#This Row],[Beginning Balance]]*ROUND(1-(1-IF($C$11="No",$E$8,1))^(1/12),6),MIN(IF($C$13="Yes",Table15[[#This Row],[Payment Amount (Reamortized)]],$C$6)-Table15[[#This Row],[Interest]],Table15[[#This Row],[Beginning Balance]]))),2)))</f>
        <v>0</v>
      </c>
      <c r="I133" s="3">
        <f>_xlfn.SINGLE(IF($C$3="Line of Credit",0,ROUND(MAX(MIN(IF($C$10="No",$E$7,VLOOKUP(Table15[[#This Row],[Period]],Forecast!$H$2:$L$1048576,4,FALSE))*Table15[[#This Row],[Beginning Balance]],Table15[[#This Row],[Beginning Balance]]-Table15[[#This Row],[Principal]]),0),2)))</f>
        <v>0</v>
      </c>
      <c r="J133" s="3">
        <f>ROUND(MIN(Table15[[#This Row],[Beginning Balance]]*IF($C$8="No",$E$3,VLOOKUP(Table15[[#This Row],[Period]],Forecast!$H$2:$L$1048576,2,FALSE)),Table15[[#This Row],[Beginning Balance]]-Table15[[#This Row],[Principal]]-Table15[[#This Row],[Prepayments]]),2)</f>
        <v>0</v>
      </c>
      <c r="K133" s="3">
        <f>ROUND(Table15[[#This Row],[Defaulted Principal]]*IF($C$9="No",$E$4,VLOOKUP(Table15[[#This Row],[Period]],Forecast!$H$2:$L$1048576,3,FALSE)),2)</f>
        <v>0</v>
      </c>
      <c r="L133" s="2">
        <f>Table15[[#This Row],[Period]]+$E$9</f>
        <v>129</v>
      </c>
      <c r="M133" s="3">
        <f>Table15[[#This Row],[Defaulted Principal]]-Table15[[#This Row],[Estimated Loss]]</f>
        <v>0</v>
      </c>
      <c r="N133" s="3">
        <f>IFERROR(VLOOKUP(Table15[[#This Row],[Period]],$L$16:$M$385,2,FALSE),0)</f>
        <v>2641.09</v>
      </c>
      <c r="O133" s="3">
        <f>Table15[[#This Row],[Beginning Balance]]-Table15[[#This Row],[Principal]]-Table15[[#This Row],[Prepayments]]-Table15[[#This Row],[Defaulted Principal]]</f>
        <v>0</v>
      </c>
      <c r="P133" s="3">
        <f>Table15[[#This Row],[Principal]]+Table15[[#This Row],[Interest]]+Table15[[#This Row],[Prepayments]]+Table15[[#This Row],[RecoveredAmount]]</f>
        <v>2641.09</v>
      </c>
      <c r="Q133" s="3">
        <f ca="1">ROUND(Table15[[#This Row],[Cash Flow]]/((1+ActualRateToUse)^(IF(ISNUMBER(SEARCH("Actual",$C$7)),Table15[[#This Row],[Running Total]]/365,Table15[[#This Row],[Period]]/12))),2)</f>
        <v>1346.95</v>
      </c>
      <c r="R133" s="2">
        <f>IF(MONTH(Table15[[#This Row],[Date]])=2,28,DAY(DATE(YEAR(Table15[[#This Row],[Date]]),MONTH(Table15[[#This Row],[Date]])+1,1)-1))</f>
        <v>31</v>
      </c>
      <c r="S133" s="2">
        <f ca="1">SUM(OFFSET(Table15[[#Headers],[Days in month]],1,0):Table15[[#This Row],[Days in month]])</f>
        <v>3559</v>
      </c>
      <c r="T133" s="37">
        <f>InterestRate*AmortizationMultiplier*IF(ISNUMBER(SEARCH("Actual",$C$7)),Table15[[#This Row],[Days in month]]/365,1/12)</f>
        <v>5.8133611111111103E-3</v>
      </c>
    </row>
    <row r="134" spans="2:20" x14ac:dyDescent="0.2">
      <c r="B134" s="1">
        <v>49429</v>
      </c>
      <c r="C134" s="2">
        <f t="shared" si="4"/>
        <v>118</v>
      </c>
      <c r="D134" s="3">
        <f t="shared" si="3"/>
        <v>0</v>
      </c>
      <c r="E134" s="3">
        <f>ROUND(Table15[[#This Row],[Beginning Balance]]*Table15[[#This Row],[Monthly Interest Rate]],2)</f>
        <v>0</v>
      </c>
      <c r="F134" s="3">
        <f t="shared" si="5"/>
        <v>154</v>
      </c>
      <c r="G134" s="23">
        <f>IFERROR(IF($C$13="No","N/A",IF(Table15[[#This Row],[Period]]=1,$C$6,PMT(InterestRate*AmortizationMultiplier/12,Table15[[#This Row],[Am Thru]],-Table15[[#This Row],[Beginning Balance]]))),0)</f>
        <v>0</v>
      </c>
      <c r="H134" s="3">
        <f>MAX(0,IF(C134=$C$4,D134,ROUND(IF($C$3="Fixed Principal",$C$6-Table15[[#This Row],[Interest]],IF($C$3="Interest Only",Table15[[#This Row],[Beginning Balance]]*ROUND(1-(1-IF($C$11="No",$E$8,1))^(1/12),6),MIN(IF($C$13="Yes",Table15[[#This Row],[Payment Amount (Reamortized)]],$C$6)-Table15[[#This Row],[Interest]],Table15[[#This Row],[Beginning Balance]]))),2)))</f>
        <v>0</v>
      </c>
      <c r="I134" s="3">
        <f>_xlfn.SINGLE(IF($C$3="Line of Credit",0,ROUND(MAX(MIN(IF($C$10="No",$E$7,VLOOKUP(Table15[[#This Row],[Period]],Forecast!$H$2:$L$1048576,4,FALSE))*Table15[[#This Row],[Beginning Balance]],Table15[[#This Row],[Beginning Balance]]-Table15[[#This Row],[Principal]]),0),2)))</f>
        <v>0</v>
      </c>
      <c r="J134" s="3">
        <f>ROUND(MIN(Table15[[#This Row],[Beginning Balance]]*IF($C$8="No",$E$3,VLOOKUP(Table15[[#This Row],[Period]],Forecast!$H$2:$L$1048576,2,FALSE)),Table15[[#This Row],[Beginning Balance]]-Table15[[#This Row],[Principal]]-Table15[[#This Row],[Prepayments]]),2)</f>
        <v>0</v>
      </c>
      <c r="K134" s="3">
        <f>ROUND(Table15[[#This Row],[Defaulted Principal]]*IF($C$9="No",$E$4,VLOOKUP(Table15[[#This Row],[Period]],Forecast!$H$2:$L$1048576,3,FALSE)),2)</f>
        <v>0</v>
      </c>
      <c r="L134" s="2">
        <f>Table15[[#This Row],[Period]]+$E$9</f>
        <v>130</v>
      </c>
      <c r="M134" s="3">
        <f>Table15[[#This Row],[Defaulted Principal]]-Table15[[#This Row],[Estimated Loss]]</f>
        <v>0</v>
      </c>
      <c r="N134" s="3">
        <f>IFERROR(VLOOKUP(Table15[[#This Row],[Period]],$L$16:$M$385,2,FALSE),0)</f>
        <v>2622.5299999999997</v>
      </c>
      <c r="O134" s="3">
        <f>Table15[[#This Row],[Beginning Balance]]-Table15[[#This Row],[Principal]]-Table15[[#This Row],[Prepayments]]-Table15[[#This Row],[Defaulted Principal]]</f>
        <v>0</v>
      </c>
      <c r="P134" s="3">
        <f>Table15[[#This Row],[Principal]]+Table15[[#This Row],[Interest]]+Table15[[#This Row],[Prepayments]]+Table15[[#This Row],[RecoveredAmount]]</f>
        <v>2622.5299999999997</v>
      </c>
      <c r="Q134" s="3">
        <f ca="1">ROUND(Table15[[#This Row],[Cash Flow]]/((1+ActualRateToUse)^(IF(ISNUMBER(SEARCH("Actual",$C$7)),Table15[[#This Row],[Running Total]]/365,Table15[[#This Row],[Period]]/12))),2)</f>
        <v>1329.91</v>
      </c>
      <c r="R134" s="2">
        <f>IF(MONTH(Table15[[#This Row],[Date]])=2,28,DAY(DATE(YEAR(Table15[[#This Row],[Date]]),MONTH(Table15[[#This Row],[Date]])+1,1)-1))</f>
        <v>30</v>
      </c>
      <c r="S134" s="2">
        <f ca="1">SUM(OFFSET(Table15[[#Headers],[Days in month]],1,0):Table15[[#This Row],[Days in month]])</f>
        <v>3589</v>
      </c>
      <c r="T134" s="37">
        <f>InterestRate*AmortizationMultiplier*IF(ISNUMBER(SEARCH("Actual",$C$7)),Table15[[#This Row],[Days in month]]/365,1/12)</f>
        <v>5.6258333333333325E-3</v>
      </c>
    </row>
    <row r="135" spans="2:20" x14ac:dyDescent="0.2">
      <c r="B135" s="1">
        <v>49460</v>
      </c>
      <c r="C135" s="2">
        <f t="shared" si="4"/>
        <v>119</v>
      </c>
      <c r="D135" s="3">
        <f t="shared" si="3"/>
        <v>0</v>
      </c>
      <c r="E135" s="3">
        <f>ROUND(Table15[[#This Row],[Beginning Balance]]*Table15[[#This Row],[Monthly Interest Rate]],2)</f>
        <v>0</v>
      </c>
      <c r="F135" s="3">
        <f t="shared" si="5"/>
        <v>153</v>
      </c>
      <c r="G135" s="23">
        <f>IFERROR(IF($C$13="No","N/A",IF(Table15[[#This Row],[Period]]=1,$C$6,PMT(InterestRate*AmortizationMultiplier/12,Table15[[#This Row],[Am Thru]],-Table15[[#This Row],[Beginning Balance]]))),0)</f>
        <v>0</v>
      </c>
      <c r="H135" s="3">
        <f>MAX(0,IF(C135=$C$4,D135,ROUND(IF($C$3="Fixed Principal",$C$6-Table15[[#This Row],[Interest]],IF($C$3="Interest Only",Table15[[#This Row],[Beginning Balance]]*ROUND(1-(1-IF($C$11="No",$E$8,1))^(1/12),6),MIN(IF($C$13="Yes",Table15[[#This Row],[Payment Amount (Reamortized)]],$C$6)-Table15[[#This Row],[Interest]],Table15[[#This Row],[Beginning Balance]]))),2)))</f>
        <v>0</v>
      </c>
      <c r="I135" s="3">
        <f>_xlfn.SINGLE(IF($C$3="Line of Credit",0,ROUND(MAX(MIN(IF($C$10="No",$E$7,VLOOKUP(Table15[[#This Row],[Period]],Forecast!$H$2:$L$1048576,4,FALSE))*Table15[[#This Row],[Beginning Balance]],Table15[[#This Row],[Beginning Balance]]-Table15[[#This Row],[Principal]]),0),2)))</f>
        <v>0</v>
      </c>
      <c r="J135" s="3">
        <f>ROUND(MIN(Table15[[#This Row],[Beginning Balance]]*IF($C$8="No",$E$3,VLOOKUP(Table15[[#This Row],[Period]],Forecast!$H$2:$L$1048576,2,FALSE)),Table15[[#This Row],[Beginning Balance]]-Table15[[#This Row],[Principal]]-Table15[[#This Row],[Prepayments]]),2)</f>
        <v>0</v>
      </c>
      <c r="K135" s="3">
        <f>ROUND(Table15[[#This Row],[Defaulted Principal]]*IF($C$9="No",$E$4,VLOOKUP(Table15[[#This Row],[Period]],Forecast!$H$2:$L$1048576,3,FALSE)),2)</f>
        <v>0</v>
      </c>
      <c r="L135" s="2">
        <f>Table15[[#This Row],[Period]]+$E$9</f>
        <v>131</v>
      </c>
      <c r="M135" s="3">
        <f>Table15[[#This Row],[Defaulted Principal]]-Table15[[#This Row],[Estimated Loss]]</f>
        <v>0</v>
      </c>
      <c r="N135" s="3">
        <f>IFERROR(VLOOKUP(Table15[[#This Row],[Period]],$L$16:$M$385,2,FALSE),0)</f>
        <v>2603.5300000000002</v>
      </c>
      <c r="O135" s="3">
        <f>Table15[[#This Row],[Beginning Balance]]-Table15[[#This Row],[Principal]]-Table15[[#This Row],[Prepayments]]-Table15[[#This Row],[Defaulted Principal]]</f>
        <v>0</v>
      </c>
      <c r="P135" s="3">
        <f>Table15[[#This Row],[Principal]]+Table15[[#This Row],[Interest]]+Table15[[#This Row],[Prepayments]]+Table15[[#This Row],[RecoveredAmount]]</f>
        <v>2603.5300000000002</v>
      </c>
      <c r="Q135" s="3">
        <f ca="1">ROUND(Table15[[#This Row],[Cash Flow]]/((1+ActualRateToUse)^(IF(ISNUMBER(SEARCH("Actual",$C$7)),Table15[[#This Row],[Running Total]]/365,Table15[[#This Row],[Period]]/12))),2)</f>
        <v>1312.56</v>
      </c>
      <c r="R135" s="2">
        <f>IF(MONTH(Table15[[#This Row],[Date]])=2,28,DAY(DATE(YEAR(Table15[[#This Row],[Date]]),MONTH(Table15[[#This Row],[Date]])+1,1)-1))</f>
        <v>31</v>
      </c>
      <c r="S135" s="2">
        <f ca="1">SUM(OFFSET(Table15[[#Headers],[Days in month]],1,0):Table15[[#This Row],[Days in month]])</f>
        <v>3620</v>
      </c>
      <c r="T135" s="37">
        <f>InterestRate*AmortizationMultiplier*IF(ISNUMBER(SEARCH("Actual",$C$7)),Table15[[#This Row],[Days in month]]/365,1/12)</f>
        <v>5.8133611111111103E-3</v>
      </c>
    </row>
    <row r="136" spans="2:20" x14ac:dyDescent="0.2">
      <c r="B136" s="1">
        <v>49490</v>
      </c>
      <c r="C136" s="2">
        <f t="shared" si="4"/>
        <v>120</v>
      </c>
      <c r="D136" s="3">
        <f t="shared" si="3"/>
        <v>0</v>
      </c>
      <c r="E136" s="3">
        <f>ROUND(Table15[[#This Row],[Beginning Balance]]*Table15[[#This Row],[Monthly Interest Rate]],2)</f>
        <v>0</v>
      </c>
      <c r="F136" s="3">
        <f t="shared" si="5"/>
        <v>152</v>
      </c>
      <c r="G136" s="23">
        <f>IFERROR(IF($C$13="No","N/A",IF(Table15[[#This Row],[Period]]=1,$C$6,PMT(InterestRate*AmortizationMultiplier/12,Table15[[#This Row],[Am Thru]],-Table15[[#This Row],[Beginning Balance]]))),0)</f>
        <v>0</v>
      </c>
      <c r="H136" s="3">
        <f>MAX(0,IF(C136=$C$4,D136,ROUND(IF($C$3="Fixed Principal",$C$6-Table15[[#This Row],[Interest]],IF($C$3="Interest Only",Table15[[#This Row],[Beginning Balance]]*ROUND(1-(1-IF($C$11="No",$E$8,1))^(1/12),6),MIN(IF($C$13="Yes",Table15[[#This Row],[Payment Amount (Reamortized)]],$C$6)-Table15[[#This Row],[Interest]],Table15[[#This Row],[Beginning Balance]]))),2)))</f>
        <v>0</v>
      </c>
      <c r="I136" s="3">
        <f>_xlfn.SINGLE(IF($C$3="Line of Credit",0,ROUND(MAX(MIN(IF($C$10="No",$E$7,VLOOKUP(Table15[[#This Row],[Period]],Forecast!$H$2:$L$1048576,4,FALSE))*Table15[[#This Row],[Beginning Balance]],Table15[[#This Row],[Beginning Balance]]-Table15[[#This Row],[Principal]]),0),2)))</f>
        <v>0</v>
      </c>
      <c r="J136" s="3">
        <f>ROUND(MIN(Table15[[#This Row],[Beginning Balance]]*IF($C$8="No",$E$3,VLOOKUP(Table15[[#This Row],[Period]],Forecast!$H$2:$L$1048576,2,FALSE)),Table15[[#This Row],[Beginning Balance]]-Table15[[#This Row],[Principal]]-Table15[[#This Row],[Prepayments]]),2)</f>
        <v>0</v>
      </c>
      <c r="K136" s="3">
        <f>ROUND(Table15[[#This Row],[Defaulted Principal]]*IF($C$9="No",$E$4,VLOOKUP(Table15[[#This Row],[Period]],Forecast!$H$2:$L$1048576,3,FALSE)),2)</f>
        <v>0</v>
      </c>
      <c r="L136" s="2">
        <f>Table15[[#This Row],[Period]]+$E$9</f>
        <v>132</v>
      </c>
      <c r="M136" s="3">
        <f>Table15[[#This Row],[Defaulted Principal]]-Table15[[#This Row],[Estimated Loss]]</f>
        <v>0</v>
      </c>
      <c r="N136" s="3">
        <f>IFERROR(VLOOKUP(Table15[[#This Row],[Period]],$L$16:$M$385,2,FALSE),0)</f>
        <v>2585.0699999999997</v>
      </c>
      <c r="O136" s="3">
        <f>Table15[[#This Row],[Beginning Balance]]-Table15[[#This Row],[Principal]]-Table15[[#This Row],[Prepayments]]-Table15[[#This Row],[Defaulted Principal]]</f>
        <v>0</v>
      </c>
      <c r="P136" s="3">
        <f>Table15[[#This Row],[Principal]]+Table15[[#This Row],[Interest]]+Table15[[#This Row],[Prepayments]]+Table15[[#This Row],[RecoveredAmount]]</f>
        <v>2585.0699999999997</v>
      </c>
      <c r="Q136" s="3">
        <f ca="1">ROUND(Table15[[#This Row],[Cash Flow]]/((1+ActualRateToUse)^(IF(ISNUMBER(SEARCH("Actual",$C$7)),Table15[[#This Row],[Running Total]]/365,Table15[[#This Row],[Period]]/12))),2)</f>
        <v>1295.8699999999999</v>
      </c>
      <c r="R136" s="2">
        <f>IF(MONTH(Table15[[#This Row],[Date]])=2,28,DAY(DATE(YEAR(Table15[[#This Row],[Date]]),MONTH(Table15[[#This Row],[Date]])+1,1)-1))</f>
        <v>30</v>
      </c>
      <c r="S136" s="2">
        <f ca="1">SUM(OFFSET(Table15[[#Headers],[Days in month]],1,0):Table15[[#This Row],[Days in month]])</f>
        <v>3650</v>
      </c>
      <c r="T136" s="37">
        <f>InterestRate*AmortizationMultiplier*IF(ISNUMBER(SEARCH("Actual",$C$7)),Table15[[#This Row],[Days in month]]/365,1/12)</f>
        <v>5.6258333333333325E-3</v>
      </c>
    </row>
    <row r="137" spans="2:20" x14ac:dyDescent="0.2">
      <c r="B137" s="1">
        <v>49521</v>
      </c>
      <c r="C137" s="2">
        <f t="shared" si="4"/>
        <v>121</v>
      </c>
      <c r="D137" s="3">
        <f t="shared" si="3"/>
        <v>0</v>
      </c>
      <c r="E137" s="3">
        <f>ROUND(Table15[[#This Row],[Beginning Balance]]*Table15[[#This Row],[Monthly Interest Rate]],2)</f>
        <v>0</v>
      </c>
      <c r="F137" s="3">
        <f t="shared" si="5"/>
        <v>151</v>
      </c>
      <c r="G137" s="23">
        <f>IFERROR(IF($C$13="No","N/A",IF(Table15[[#This Row],[Period]]=1,$C$6,PMT(InterestRate*AmortizationMultiplier/12,Table15[[#This Row],[Am Thru]],-Table15[[#This Row],[Beginning Balance]]))),0)</f>
        <v>0</v>
      </c>
      <c r="H137" s="3">
        <f>MAX(0,IF(C137=$C$4,D137,ROUND(IF($C$3="Fixed Principal",$C$6-Table15[[#This Row],[Interest]],IF($C$3="Interest Only",Table15[[#This Row],[Beginning Balance]]*ROUND(1-(1-IF($C$11="No",$E$8,1))^(1/12),6),MIN(IF($C$13="Yes",Table15[[#This Row],[Payment Amount (Reamortized)]],$C$6)-Table15[[#This Row],[Interest]],Table15[[#This Row],[Beginning Balance]]))),2)))</f>
        <v>0</v>
      </c>
      <c r="I137" s="3">
        <f>_xlfn.SINGLE(IF($C$3="Line of Credit",0,ROUND(MAX(MIN(IF($C$10="No",$E$7,VLOOKUP(Table15[[#This Row],[Period]],Forecast!$H$2:$L$1048576,4,FALSE))*Table15[[#This Row],[Beginning Balance]],Table15[[#This Row],[Beginning Balance]]-Table15[[#This Row],[Principal]]),0),2)))</f>
        <v>0</v>
      </c>
      <c r="J137" s="3">
        <f>ROUND(MIN(Table15[[#This Row],[Beginning Balance]]*IF($C$8="No",$E$3,VLOOKUP(Table15[[#This Row],[Period]],Forecast!$H$2:$L$1048576,2,FALSE)),Table15[[#This Row],[Beginning Balance]]-Table15[[#This Row],[Principal]]-Table15[[#This Row],[Prepayments]]),2)</f>
        <v>0</v>
      </c>
      <c r="K137" s="3">
        <f>ROUND(Table15[[#This Row],[Defaulted Principal]]*IF($C$9="No",$E$4,VLOOKUP(Table15[[#This Row],[Period]],Forecast!$H$2:$L$1048576,3,FALSE)),2)</f>
        <v>0</v>
      </c>
      <c r="L137" s="2">
        <f>Table15[[#This Row],[Period]]+$E$9</f>
        <v>133</v>
      </c>
      <c r="M137" s="3">
        <f>Table15[[#This Row],[Defaulted Principal]]-Table15[[#This Row],[Estimated Loss]]</f>
        <v>0</v>
      </c>
      <c r="N137" s="3">
        <f>IFERROR(VLOOKUP(Table15[[#This Row],[Period]],$L$16:$M$385,2,FALSE),0)</f>
        <v>2566.16</v>
      </c>
      <c r="O137" s="3">
        <f>Table15[[#This Row],[Beginning Balance]]-Table15[[#This Row],[Principal]]-Table15[[#This Row],[Prepayments]]-Table15[[#This Row],[Defaulted Principal]]</f>
        <v>0</v>
      </c>
      <c r="P137" s="3">
        <f>Table15[[#This Row],[Principal]]+Table15[[#This Row],[Interest]]+Table15[[#This Row],[Prepayments]]+Table15[[#This Row],[RecoveredAmount]]</f>
        <v>2566.16</v>
      </c>
      <c r="Q137" s="3">
        <f ca="1">ROUND(Table15[[#This Row],[Cash Flow]]/((1+ActualRateToUse)^(IF(ISNUMBER(SEARCH("Actual",$C$7)),Table15[[#This Row],[Running Total]]/365,Table15[[#This Row],[Period]]/12))),2)</f>
        <v>1278.8699999999999</v>
      </c>
      <c r="R137" s="2">
        <f>IF(MONTH(Table15[[#This Row],[Date]])=2,28,DAY(DATE(YEAR(Table15[[#This Row],[Date]]),MONTH(Table15[[#This Row],[Date]])+1,1)-1))</f>
        <v>31</v>
      </c>
      <c r="S137" s="2">
        <f ca="1">SUM(OFFSET(Table15[[#Headers],[Days in month]],1,0):Table15[[#This Row],[Days in month]])</f>
        <v>3681</v>
      </c>
      <c r="T137" s="37">
        <f>InterestRate*AmortizationMultiplier*IF(ISNUMBER(SEARCH("Actual",$C$7)),Table15[[#This Row],[Days in month]]/365,1/12)</f>
        <v>5.8133611111111103E-3</v>
      </c>
    </row>
    <row r="138" spans="2:20" x14ac:dyDescent="0.2">
      <c r="B138" s="1">
        <v>49552</v>
      </c>
      <c r="C138" s="2">
        <f t="shared" si="4"/>
        <v>122</v>
      </c>
      <c r="D138" s="3">
        <f t="shared" si="3"/>
        <v>0</v>
      </c>
      <c r="E138" s="3">
        <f>ROUND(Table15[[#This Row],[Beginning Balance]]*Table15[[#This Row],[Monthly Interest Rate]],2)</f>
        <v>0</v>
      </c>
      <c r="F138" s="3">
        <f t="shared" si="5"/>
        <v>150</v>
      </c>
      <c r="G138" s="23">
        <f>IFERROR(IF($C$13="No","N/A",IF(Table15[[#This Row],[Period]]=1,$C$6,PMT(InterestRate*AmortizationMultiplier/12,Table15[[#This Row],[Am Thru]],-Table15[[#This Row],[Beginning Balance]]))),0)</f>
        <v>0</v>
      </c>
      <c r="H138" s="3">
        <f>MAX(0,IF(C138=$C$4,D138,ROUND(IF($C$3="Fixed Principal",$C$6-Table15[[#This Row],[Interest]],IF($C$3="Interest Only",Table15[[#This Row],[Beginning Balance]]*ROUND(1-(1-IF($C$11="No",$E$8,1))^(1/12),6),MIN(IF($C$13="Yes",Table15[[#This Row],[Payment Amount (Reamortized)]],$C$6)-Table15[[#This Row],[Interest]],Table15[[#This Row],[Beginning Balance]]))),2)))</f>
        <v>0</v>
      </c>
      <c r="I138" s="3">
        <f>_xlfn.SINGLE(IF($C$3="Line of Credit",0,ROUND(MAX(MIN(IF($C$10="No",$E$7,VLOOKUP(Table15[[#This Row],[Period]],Forecast!$H$2:$L$1048576,4,FALSE))*Table15[[#This Row],[Beginning Balance]],Table15[[#This Row],[Beginning Balance]]-Table15[[#This Row],[Principal]]),0),2)))</f>
        <v>0</v>
      </c>
      <c r="J138" s="3">
        <f>ROUND(MIN(Table15[[#This Row],[Beginning Balance]]*IF($C$8="No",$E$3,VLOOKUP(Table15[[#This Row],[Period]],Forecast!$H$2:$L$1048576,2,FALSE)),Table15[[#This Row],[Beginning Balance]]-Table15[[#This Row],[Principal]]-Table15[[#This Row],[Prepayments]]),2)</f>
        <v>0</v>
      </c>
      <c r="K138" s="3">
        <f>ROUND(Table15[[#This Row],[Defaulted Principal]]*IF($C$9="No",$E$4,VLOOKUP(Table15[[#This Row],[Period]],Forecast!$H$2:$L$1048576,3,FALSE)),2)</f>
        <v>0</v>
      </c>
      <c r="L138" s="2">
        <f>Table15[[#This Row],[Period]]+$E$9</f>
        <v>134</v>
      </c>
      <c r="M138" s="3">
        <f>Table15[[#This Row],[Defaulted Principal]]-Table15[[#This Row],[Estimated Loss]]</f>
        <v>0</v>
      </c>
      <c r="N138" s="3">
        <f>IFERROR(VLOOKUP(Table15[[#This Row],[Period]],$L$16:$M$385,2,FALSE),0)</f>
        <v>2547.79</v>
      </c>
      <c r="O138" s="3">
        <f>Table15[[#This Row],[Beginning Balance]]-Table15[[#This Row],[Principal]]-Table15[[#This Row],[Prepayments]]-Table15[[#This Row],[Defaulted Principal]]</f>
        <v>0</v>
      </c>
      <c r="P138" s="3">
        <f>Table15[[#This Row],[Principal]]+Table15[[#This Row],[Interest]]+Table15[[#This Row],[Prepayments]]+Table15[[#This Row],[RecoveredAmount]]</f>
        <v>2547.79</v>
      </c>
      <c r="Q138" s="3">
        <f ca="1">ROUND(Table15[[#This Row],[Cash Flow]]/((1+ActualRateToUse)^(IF(ISNUMBER(SEARCH("Actual",$C$7)),Table15[[#This Row],[Running Total]]/365,Table15[[#This Row],[Period]]/12))),2)</f>
        <v>1262.29</v>
      </c>
      <c r="R138" s="2">
        <f>IF(MONTH(Table15[[#This Row],[Date]])=2,28,DAY(DATE(YEAR(Table15[[#This Row],[Date]]),MONTH(Table15[[#This Row],[Date]])+1,1)-1))</f>
        <v>31</v>
      </c>
      <c r="S138" s="2">
        <f ca="1">SUM(OFFSET(Table15[[#Headers],[Days in month]],1,0):Table15[[#This Row],[Days in month]])</f>
        <v>3712</v>
      </c>
      <c r="T138" s="37">
        <f>InterestRate*AmortizationMultiplier*IF(ISNUMBER(SEARCH("Actual",$C$7)),Table15[[#This Row],[Days in month]]/365,1/12)</f>
        <v>5.8133611111111103E-3</v>
      </c>
    </row>
    <row r="139" spans="2:20" x14ac:dyDescent="0.2">
      <c r="B139" s="1">
        <f t="shared" ref="B139:B202" si="6">EOMONTH(B138,1)</f>
        <v>49582</v>
      </c>
      <c r="C139" s="2">
        <f t="shared" si="4"/>
        <v>123</v>
      </c>
      <c r="D139" s="3">
        <f t="shared" si="3"/>
        <v>0</v>
      </c>
      <c r="E139" s="3">
        <f>ROUND(Table15[[#This Row],[Beginning Balance]]*Table15[[#This Row],[Monthly Interest Rate]],2)</f>
        <v>0</v>
      </c>
      <c r="F139" s="3">
        <f t="shared" si="5"/>
        <v>149</v>
      </c>
      <c r="G139" s="23">
        <f>IFERROR(IF($C$13="No","N/A",IF(Table15[[#This Row],[Period]]=1,$C$6,PMT(InterestRate*AmortizationMultiplier/12,Table15[[#This Row],[Am Thru]],-Table15[[#This Row],[Beginning Balance]]))),0)</f>
        <v>0</v>
      </c>
      <c r="H139" s="3">
        <f>MAX(0,IF(C139=$C$4,D139,ROUND(IF($C$3="Fixed Principal",$C$6-Table15[[#This Row],[Interest]],IF($C$3="Interest Only",Table15[[#This Row],[Beginning Balance]]*ROUND(1-(1-IF($C$11="No",$E$8,1))^(1/12),6),MIN(IF($C$13="Yes",Table15[[#This Row],[Payment Amount (Reamortized)]],$C$6)-Table15[[#This Row],[Interest]],Table15[[#This Row],[Beginning Balance]]))),2)))</f>
        <v>0</v>
      </c>
      <c r="I139" s="3">
        <f>_xlfn.SINGLE(IF($C$3="Line of Credit",0,ROUND(MAX(MIN(IF($C$10="No",$E$7,VLOOKUP(Table15[[#This Row],[Period]],Forecast!$H$2:$L$1048576,4,FALSE))*Table15[[#This Row],[Beginning Balance]],Table15[[#This Row],[Beginning Balance]]-Table15[[#This Row],[Principal]]),0),2)))</f>
        <v>0</v>
      </c>
      <c r="J139" s="3">
        <f>ROUND(MIN(Table15[[#This Row],[Beginning Balance]]*IF($C$8="No",$E$3,VLOOKUP(Table15[[#This Row],[Period]],Forecast!$H$2:$L$1048576,2,FALSE)),Table15[[#This Row],[Beginning Balance]]-Table15[[#This Row],[Principal]]-Table15[[#This Row],[Prepayments]]),2)</f>
        <v>0</v>
      </c>
      <c r="K139" s="3">
        <f>ROUND(Table15[[#This Row],[Defaulted Principal]]*IF($C$9="No",$E$4,VLOOKUP(Table15[[#This Row],[Period]],Forecast!$H$2:$L$1048576,3,FALSE)),2)</f>
        <v>0</v>
      </c>
      <c r="L139" s="2">
        <f>Table15[[#This Row],[Period]]+$E$9</f>
        <v>135</v>
      </c>
      <c r="M139" s="3">
        <f>Table15[[#This Row],[Defaulted Principal]]-Table15[[#This Row],[Estimated Loss]]</f>
        <v>0</v>
      </c>
      <c r="N139" s="3">
        <f>IFERROR(VLOOKUP(Table15[[#This Row],[Period]],$L$16:$M$385,2,FALSE),0)</f>
        <v>2529.4500000000003</v>
      </c>
      <c r="O139" s="3">
        <f>Table15[[#This Row],[Beginning Balance]]-Table15[[#This Row],[Principal]]-Table15[[#This Row],[Prepayments]]-Table15[[#This Row],[Defaulted Principal]]</f>
        <v>0</v>
      </c>
      <c r="P139" s="3">
        <f>Table15[[#This Row],[Principal]]+Table15[[#This Row],[Interest]]+Table15[[#This Row],[Prepayments]]+Table15[[#This Row],[RecoveredAmount]]</f>
        <v>2529.4500000000003</v>
      </c>
      <c r="Q139" s="3">
        <f ca="1">ROUND(Table15[[#This Row],[Cash Flow]]/((1+ActualRateToUse)^(IF(ISNUMBER(SEARCH("Actual",$C$7)),Table15[[#This Row],[Running Total]]/365,Table15[[#This Row],[Period]]/12))),2)</f>
        <v>1246.1099999999999</v>
      </c>
      <c r="R139" s="2">
        <f>IF(MONTH(Table15[[#This Row],[Date]])=2,28,DAY(DATE(YEAR(Table15[[#This Row],[Date]]),MONTH(Table15[[#This Row],[Date]])+1,1)-1))</f>
        <v>30</v>
      </c>
      <c r="S139" s="2">
        <f ca="1">SUM(OFFSET(Table15[[#Headers],[Days in month]],1,0):Table15[[#This Row],[Days in month]])</f>
        <v>3742</v>
      </c>
      <c r="T139" s="37">
        <f>InterestRate*AmortizationMultiplier*IF(ISNUMBER(SEARCH("Actual",$C$7)),Table15[[#This Row],[Days in month]]/365,1/12)</f>
        <v>5.6258333333333325E-3</v>
      </c>
    </row>
    <row r="140" spans="2:20" x14ac:dyDescent="0.2">
      <c r="B140" s="1">
        <f t="shared" si="6"/>
        <v>49613</v>
      </c>
      <c r="C140" s="2">
        <f t="shared" si="4"/>
        <v>124</v>
      </c>
      <c r="D140" s="3">
        <f t="shared" si="3"/>
        <v>0</v>
      </c>
      <c r="E140" s="3">
        <f>ROUND(Table15[[#This Row],[Beginning Balance]]*Table15[[#This Row],[Monthly Interest Rate]],2)</f>
        <v>0</v>
      </c>
      <c r="F140" s="3">
        <f t="shared" si="5"/>
        <v>148</v>
      </c>
      <c r="G140" s="23">
        <f>IFERROR(IF($C$13="No","N/A",IF(Table15[[#This Row],[Period]]=1,$C$6,PMT(InterestRate*AmortizationMultiplier/12,Table15[[#This Row],[Am Thru]],-Table15[[#This Row],[Beginning Balance]]))),0)</f>
        <v>0</v>
      </c>
      <c r="H140" s="3">
        <f>MAX(0,IF(C140=$C$4,D140,ROUND(IF($C$3="Fixed Principal",$C$6-Table15[[#This Row],[Interest]],IF($C$3="Interest Only",Table15[[#This Row],[Beginning Balance]]*ROUND(1-(1-IF($C$11="No",$E$8,1))^(1/12),6),MIN(IF($C$13="Yes",Table15[[#This Row],[Payment Amount (Reamortized)]],$C$6)-Table15[[#This Row],[Interest]],Table15[[#This Row],[Beginning Balance]]))),2)))</f>
        <v>0</v>
      </c>
      <c r="I140" s="3">
        <f>_xlfn.SINGLE(IF($C$3="Line of Credit",0,ROUND(MAX(MIN(IF($C$10="No",$E$7,VLOOKUP(Table15[[#This Row],[Period]],Forecast!$H$2:$L$1048576,4,FALSE))*Table15[[#This Row],[Beginning Balance]],Table15[[#This Row],[Beginning Balance]]-Table15[[#This Row],[Principal]]),0),2)))</f>
        <v>0</v>
      </c>
      <c r="J140" s="3">
        <f>ROUND(MIN(Table15[[#This Row],[Beginning Balance]]*IF($C$8="No",$E$3,VLOOKUP(Table15[[#This Row],[Period]],Forecast!$H$2:$L$1048576,2,FALSE)),Table15[[#This Row],[Beginning Balance]]-Table15[[#This Row],[Principal]]-Table15[[#This Row],[Prepayments]]),2)</f>
        <v>0</v>
      </c>
      <c r="K140" s="3">
        <f>ROUND(Table15[[#This Row],[Defaulted Principal]]*IF($C$9="No",$E$4,VLOOKUP(Table15[[#This Row],[Period]],Forecast!$H$2:$L$1048576,3,FALSE)),2)</f>
        <v>0</v>
      </c>
      <c r="L140" s="2">
        <f>Table15[[#This Row],[Period]]+$E$9</f>
        <v>136</v>
      </c>
      <c r="M140" s="3">
        <f>Table15[[#This Row],[Defaulted Principal]]-Table15[[#This Row],[Estimated Loss]]</f>
        <v>0</v>
      </c>
      <c r="N140" s="3">
        <f>IFERROR(VLOOKUP(Table15[[#This Row],[Period]],$L$16:$M$385,2,FALSE),0)</f>
        <v>2510.6799999999998</v>
      </c>
      <c r="O140" s="3">
        <f>Table15[[#This Row],[Beginning Balance]]-Table15[[#This Row],[Principal]]-Table15[[#This Row],[Prepayments]]-Table15[[#This Row],[Defaulted Principal]]</f>
        <v>0</v>
      </c>
      <c r="P140" s="3">
        <f>Table15[[#This Row],[Principal]]+Table15[[#This Row],[Interest]]+Table15[[#This Row],[Prepayments]]+Table15[[#This Row],[RecoveredAmount]]</f>
        <v>2510.6799999999998</v>
      </c>
      <c r="Q140" s="3">
        <f ca="1">ROUND(Table15[[#This Row],[Cash Flow]]/((1+ActualRateToUse)^(IF(ISNUMBER(SEARCH("Actual",$C$7)),Table15[[#This Row],[Running Total]]/365,Table15[[#This Row],[Period]]/12))),2)</f>
        <v>1229.6300000000001</v>
      </c>
      <c r="R140" s="2">
        <f>IF(MONTH(Table15[[#This Row],[Date]])=2,28,DAY(DATE(YEAR(Table15[[#This Row],[Date]]),MONTH(Table15[[#This Row],[Date]])+1,1)-1))</f>
        <v>31</v>
      </c>
      <c r="S140" s="2">
        <f ca="1">SUM(OFFSET(Table15[[#Headers],[Days in month]],1,0):Table15[[#This Row],[Days in month]])</f>
        <v>3773</v>
      </c>
      <c r="T140" s="37">
        <f>InterestRate*AmortizationMultiplier*IF(ISNUMBER(SEARCH("Actual",$C$7)),Table15[[#This Row],[Days in month]]/365,1/12)</f>
        <v>5.8133611111111103E-3</v>
      </c>
    </row>
    <row r="141" spans="2:20" x14ac:dyDescent="0.2">
      <c r="B141" s="1">
        <f t="shared" si="6"/>
        <v>49643</v>
      </c>
      <c r="C141" s="2">
        <f t="shared" si="4"/>
        <v>125</v>
      </c>
      <c r="D141" s="3">
        <f t="shared" si="3"/>
        <v>0</v>
      </c>
      <c r="E141" s="3">
        <f>ROUND(Table15[[#This Row],[Beginning Balance]]*Table15[[#This Row],[Monthly Interest Rate]],2)</f>
        <v>0</v>
      </c>
      <c r="F141" s="3">
        <f t="shared" si="5"/>
        <v>147</v>
      </c>
      <c r="G141" s="23">
        <f>IFERROR(IF($C$13="No","N/A",IF(Table15[[#This Row],[Period]]=1,$C$6,PMT(InterestRate*AmortizationMultiplier/12,Table15[[#This Row],[Am Thru]],-Table15[[#This Row],[Beginning Balance]]))),0)</f>
        <v>0</v>
      </c>
      <c r="H141" s="3">
        <f>MAX(0,IF(C141=$C$4,D141,ROUND(IF($C$3="Fixed Principal",$C$6-Table15[[#This Row],[Interest]],IF($C$3="Interest Only",Table15[[#This Row],[Beginning Balance]]*ROUND(1-(1-IF($C$11="No",$E$8,1))^(1/12),6),MIN(IF($C$13="Yes",Table15[[#This Row],[Payment Amount (Reamortized)]],$C$6)-Table15[[#This Row],[Interest]],Table15[[#This Row],[Beginning Balance]]))),2)))</f>
        <v>0</v>
      </c>
      <c r="I141" s="3">
        <f>_xlfn.SINGLE(IF($C$3="Line of Credit",0,ROUND(MAX(MIN(IF($C$10="No",$E$7,VLOOKUP(Table15[[#This Row],[Period]],Forecast!$H$2:$L$1048576,4,FALSE))*Table15[[#This Row],[Beginning Balance]],Table15[[#This Row],[Beginning Balance]]-Table15[[#This Row],[Principal]]),0),2)))</f>
        <v>0</v>
      </c>
      <c r="J141" s="3">
        <f>ROUND(MIN(Table15[[#This Row],[Beginning Balance]]*IF($C$8="No",$E$3,VLOOKUP(Table15[[#This Row],[Period]],Forecast!$H$2:$L$1048576,2,FALSE)),Table15[[#This Row],[Beginning Balance]]-Table15[[#This Row],[Principal]]-Table15[[#This Row],[Prepayments]]),2)</f>
        <v>0</v>
      </c>
      <c r="K141" s="3">
        <f>ROUND(Table15[[#This Row],[Defaulted Principal]]*IF($C$9="No",$E$4,VLOOKUP(Table15[[#This Row],[Period]],Forecast!$H$2:$L$1048576,3,FALSE)),2)</f>
        <v>0</v>
      </c>
      <c r="L141" s="2">
        <f>Table15[[#This Row],[Period]]+$E$9</f>
        <v>137</v>
      </c>
      <c r="M141" s="3">
        <f>Table15[[#This Row],[Defaulted Principal]]-Table15[[#This Row],[Estimated Loss]]</f>
        <v>0</v>
      </c>
      <c r="N141" s="3">
        <f>IFERROR(VLOOKUP(Table15[[#This Row],[Period]],$L$16:$M$385,2,FALSE),0)</f>
        <v>2492.42</v>
      </c>
      <c r="O141" s="3">
        <f>Table15[[#This Row],[Beginning Balance]]-Table15[[#This Row],[Principal]]-Table15[[#This Row],[Prepayments]]-Table15[[#This Row],[Defaulted Principal]]</f>
        <v>0</v>
      </c>
      <c r="P141" s="3">
        <f>Table15[[#This Row],[Principal]]+Table15[[#This Row],[Interest]]+Table15[[#This Row],[Prepayments]]+Table15[[#This Row],[RecoveredAmount]]</f>
        <v>2492.42</v>
      </c>
      <c r="Q141" s="3">
        <f ca="1">ROUND(Table15[[#This Row],[Cash Flow]]/((1+ActualRateToUse)^(IF(ISNUMBER(SEARCH("Actual",$C$7)),Table15[[#This Row],[Running Total]]/365,Table15[[#This Row],[Period]]/12))),2)</f>
        <v>1213.78</v>
      </c>
      <c r="R141" s="2">
        <f>IF(MONTH(Table15[[#This Row],[Date]])=2,28,DAY(DATE(YEAR(Table15[[#This Row],[Date]]),MONTH(Table15[[#This Row],[Date]])+1,1)-1))</f>
        <v>30</v>
      </c>
      <c r="S141" s="2">
        <f ca="1">SUM(OFFSET(Table15[[#Headers],[Days in month]],1,0):Table15[[#This Row],[Days in month]])</f>
        <v>3803</v>
      </c>
      <c r="T141" s="37">
        <f>InterestRate*AmortizationMultiplier*IF(ISNUMBER(SEARCH("Actual",$C$7)),Table15[[#This Row],[Days in month]]/365,1/12)</f>
        <v>5.6258333333333325E-3</v>
      </c>
    </row>
    <row r="142" spans="2:20" x14ac:dyDescent="0.2">
      <c r="B142" s="1">
        <f t="shared" si="6"/>
        <v>49674</v>
      </c>
      <c r="C142" s="2">
        <f t="shared" si="4"/>
        <v>126</v>
      </c>
      <c r="D142" s="3">
        <f t="shared" si="3"/>
        <v>0</v>
      </c>
      <c r="E142" s="3">
        <f>ROUND(Table15[[#This Row],[Beginning Balance]]*Table15[[#This Row],[Monthly Interest Rate]],2)</f>
        <v>0</v>
      </c>
      <c r="F142" s="3">
        <f t="shared" si="5"/>
        <v>146</v>
      </c>
      <c r="G142" s="23">
        <f>IFERROR(IF($C$13="No","N/A",IF(Table15[[#This Row],[Period]]=1,$C$6,PMT(InterestRate*AmortizationMultiplier/12,Table15[[#This Row],[Am Thru]],-Table15[[#This Row],[Beginning Balance]]))),0)</f>
        <v>0</v>
      </c>
      <c r="H142" s="3">
        <f>MAX(0,IF(C142=$C$4,D142,ROUND(IF($C$3="Fixed Principal",$C$6-Table15[[#This Row],[Interest]],IF($C$3="Interest Only",Table15[[#This Row],[Beginning Balance]]*ROUND(1-(1-IF($C$11="No",$E$8,1))^(1/12),6),MIN(IF($C$13="Yes",Table15[[#This Row],[Payment Amount (Reamortized)]],$C$6)-Table15[[#This Row],[Interest]],Table15[[#This Row],[Beginning Balance]]))),2)))</f>
        <v>0</v>
      </c>
      <c r="I142" s="3">
        <f>_xlfn.SINGLE(IF($C$3="Line of Credit",0,ROUND(MAX(MIN(IF($C$10="No",$E$7,VLOOKUP(Table15[[#This Row],[Period]],Forecast!$H$2:$L$1048576,4,FALSE))*Table15[[#This Row],[Beginning Balance]],Table15[[#This Row],[Beginning Balance]]-Table15[[#This Row],[Principal]]),0),2)))</f>
        <v>0</v>
      </c>
      <c r="J142" s="3">
        <f>ROUND(MIN(Table15[[#This Row],[Beginning Balance]]*IF($C$8="No",$E$3,VLOOKUP(Table15[[#This Row],[Period]],Forecast!$H$2:$L$1048576,2,FALSE)),Table15[[#This Row],[Beginning Balance]]-Table15[[#This Row],[Principal]]-Table15[[#This Row],[Prepayments]]),2)</f>
        <v>0</v>
      </c>
      <c r="K142" s="3">
        <f>ROUND(Table15[[#This Row],[Defaulted Principal]]*IF($C$9="No",$E$4,VLOOKUP(Table15[[#This Row],[Period]],Forecast!$H$2:$L$1048576,3,FALSE)),2)</f>
        <v>0</v>
      </c>
      <c r="L142" s="2">
        <f>Table15[[#This Row],[Period]]+$E$9</f>
        <v>138</v>
      </c>
      <c r="M142" s="3">
        <f>Table15[[#This Row],[Defaulted Principal]]-Table15[[#This Row],[Estimated Loss]]</f>
        <v>0</v>
      </c>
      <c r="N142" s="3">
        <f>IFERROR(VLOOKUP(Table15[[#This Row],[Period]],$L$16:$M$385,2,FALSE),0)</f>
        <v>2473.7399999999998</v>
      </c>
      <c r="O142" s="3">
        <f>Table15[[#This Row],[Beginning Balance]]-Table15[[#This Row],[Principal]]-Table15[[#This Row],[Prepayments]]-Table15[[#This Row],[Defaulted Principal]]</f>
        <v>0</v>
      </c>
      <c r="P142" s="3">
        <f>Table15[[#This Row],[Principal]]+Table15[[#This Row],[Interest]]+Table15[[#This Row],[Prepayments]]+Table15[[#This Row],[RecoveredAmount]]</f>
        <v>2473.7399999999998</v>
      </c>
      <c r="Q142" s="3">
        <f ca="1">ROUND(Table15[[#This Row],[Cash Flow]]/((1+ActualRateToUse)^(IF(ISNUMBER(SEARCH("Actual",$C$7)),Table15[[#This Row],[Running Total]]/365,Table15[[#This Row],[Period]]/12))),2)</f>
        <v>1197.6400000000001</v>
      </c>
      <c r="R142" s="2">
        <f>IF(MONTH(Table15[[#This Row],[Date]])=2,28,DAY(DATE(YEAR(Table15[[#This Row],[Date]]),MONTH(Table15[[#This Row],[Date]])+1,1)-1))</f>
        <v>31</v>
      </c>
      <c r="S142" s="2">
        <f ca="1">SUM(OFFSET(Table15[[#Headers],[Days in month]],1,0):Table15[[#This Row],[Days in month]])</f>
        <v>3834</v>
      </c>
      <c r="T142" s="37">
        <f>InterestRate*AmortizationMultiplier*IF(ISNUMBER(SEARCH("Actual",$C$7)),Table15[[#This Row],[Days in month]]/365,1/12)</f>
        <v>5.8133611111111103E-3</v>
      </c>
    </row>
    <row r="143" spans="2:20" x14ac:dyDescent="0.2">
      <c r="B143" s="1">
        <f t="shared" si="6"/>
        <v>49705</v>
      </c>
      <c r="C143" s="2">
        <f t="shared" si="4"/>
        <v>127</v>
      </c>
      <c r="D143" s="3">
        <f t="shared" si="3"/>
        <v>0</v>
      </c>
      <c r="E143" s="3">
        <f>ROUND(Table15[[#This Row],[Beginning Balance]]*Table15[[#This Row],[Monthly Interest Rate]],2)</f>
        <v>0</v>
      </c>
      <c r="F143" s="3">
        <f t="shared" si="5"/>
        <v>145</v>
      </c>
      <c r="G143" s="23">
        <f>IFERROR(IF($C$13="No","N/A",IF(Table15[[#This Row],[Period]]=1,$C$6,PMT(InterestRate*AmortizationMultiplier/12,Table15[[#This Row],[Am Thru]],-Table15[[#This Row],[Beginning Balance]]))),0)</f>
        <v>0</v>
      </c>
      <c r="H143" s="3">
        <f>MAX(0,IF(C143=$C$4,D143,ROUND(IF($C$3="Fixed Principal",$C$6-Table15[[#This Row],[Interest]],IF($C$3="Interest Only",Table15[[#This Row],[Beginning Balance]]*ROUND(1-(1-IF($C$11="No",$E$8,1))^(1/12),6),MIN(IF($C$13="Yes",Table15[[#This Row],[Payment Amount (Reamortized)]],$C$6)-Table15[[#This Row],[Interest]],Table15[[#This Row],[Beginning Balance]]))),2)))</f>
        <v>0</v>
      </c>
      <c r="I143" s="3">
        <f>_xlfn.SINGLE(IF($C$3="Line of Credit",0,ROUND(MAX(MIN(IF($C$10="No",$E$7,VLOOKUP(Table15[[#This Row],[Period]],Forecast!$H$2:$L$1048576,4,FALSE))*Table15[[#This Row],[Beginning Balance]],Table15[[#This Row],[Beginning Balance]]-Table15[[#This Row],[Principal]]),0),2)))</f>
        <v>0</v>
      </c>
      <c r="J143" s="3">
        <f>ROUND(MIN(Table15[[#This Row],[Beginning Balance]]*IF($C$8="No",$E$3,VLOOKUP(Table15[[#This Row],[Period]],Forecast!$H$2:$L$1048576,2,FALSE)),Table15[[#This Row],[Beginning Balance]]-Table15[[#This Row],[Principal]]-Table15[[#This Row],[Prepayments]]),2)</f>
        <v>0</v>
      </c>
      <c r="K143" s="3">
        <f>ROUND(Table15[[#This Row],[Defaulted Principal]]*IF($C$9="No",$E$4,VLOOKUP(Table15[[#This Row],[Period]],Forecast!$H$2:$L$1048576,3,FALSE)),2)</f>
        <v>0</v>
      </c>
      <c r="L143" s="2">
        <f>Table15[[#This Row],[Period]]+$E$9</f>
        <v>139</v>
      </c>
      <c r="M143" s="3">
        <f>Table15[[#This Row],[Defaulted Principal]]-Table15[[#This Row],[Estimated Loss]]</f>
        <v>0</v>
      </c>
      <c r="N143" s="3">
        <f>IFERROR(VLOOKUP(Table15[[#This Row],[Period]],$L$16:$M$385,2,FALSE),0)</f>
        <v>0</v>
      </c>
      <c r="O143" s="3">
        <f>Table15[[#This Row],[Beginning Balance]]-Table15[[#This Row],[Principal]]-Table15[[#This Row],[Prepayments]]-Table15[[#This Row],[Defaulted Principal]]</f>
        <v>0</v>
      </c>
      <c r="P143" s="3">
        <f>Table15[[#This Row],[Principal]]+Table15[[#This Row],[Interest]]+Table15[[#This Row],[Prepayments]]+Table15[[#This Row],[RecoveredAmount]]</f>
        <v>0</v>
      </c>
      <c r="Q143" s="3">
        <f ca="1">ROUND(Table15[[#This Row],[Cash Flow]]/((1+ActualRateToUse)^(IF(ISNUMBER(SEARCH("Actual",$C$7)),Table15[[#This Row],[Running Total]]/365,Table15[[#This Row],[Period]]/12))),2)</f>
        <v>0</v>
      </c>
      <c r="R143" s="2">
        <f>IF(MONTH(Table15[[#This Row],[Date]])=2,28,DAY(DATE(YEAR(Table15[[#This Row],[Date]]),MONTH(Table15[[#This Row],[Date]])+1,1)-1))</f>
        <v>31</v>
      </c>
      <c r="S143" s="2">
        <f ca="1">SUM(OFFSET(Table15[[#Headers],[Days in month]],1,0):Table15[[#This Row],[Days in month]])</f>
        <v>3865</v>
      </c>
      <c r="T143" s="37">
        <f>InterestRate*AmortizationMultiplier*IF(ISNUMBER(SEARCH("Actual",$C$7)),Table15[[#This Row],[Days in month]]/365,1/12)</f>
        <v>5.8133611111111103E-3</v>
      </c>
    </row>
    <row r="144" spans="2:20" x14ac:dyDescent="0.2">
      <c r="B144" s="1">
        <f t="shared" si="6"/>
        <v>49734</v>
      </c>
      <c r="C144" s="2">
        <f t="shared" si="4"/>
        <v>128</v>
      </c>
      <c r="D144" s="3">
        <f t="shared" si="3"/>
        <v>0</v>
      </c>
      <c r="E144" s="3">
        <f>ROUND(Table15[[#This Row],[Beginning Balance]]*Table15[[#This Row],[Monthly Interest Rate]],2)</f>
        <v>0</v>
      </c>
      <c r="F144" s="3">
        <f t="shared" si="5"/>
        <v>144</v>
      </c>
      <c r="G144" s="23">
        <f>IFERROR(IF($C$13="No","N/A",IF(Table15[[#This Row],[Period]]=1,$C$6,PMT(InterestRate*AmortizationMultiplier/12,Table15[[#This Row],[Am Thru]],-Table15[[#This Row],[Beginning Balance]]))),0)</f>
        <v>0</v>
      </c>
      <c r="H144" s="3">
        <f>MAX(0,IF(C144=$C$4,D144,ROUND(IF($C$3="Fixed Principal",$C$6-Table15[[#This Row],[Interest]],IF($C$3="Interest Only",Table15[[#This Row],[Beginning Balance]]*ROUND(1-(1-IF($C$11="No",$E$8,1))^(1/12),6),MIN(IF($C$13="Yes",Table15[[#This Row],[Payment Amount (Reamortized)]],$C$6)-Table15[[#This Row],[Interest]],Table15[[#This Row],[Beginning Balance]]))),2)))</f>
        <v>0</v>
      </c>
      <c r="I144" s="3">
        <f>_xlfn.SINGLE(IF($C$3="Line of Credit",0,ROUND(MAX(MIN(IF($C$10="No",$E$7,VLOOKUP(Table15[[#This Row],[Period]],Forecast!$H$2:$L$1048576,4,FALSE))*Table15[[#This Row],[Beginning Balance]],Table15[[#This Row],[Beginning Balance]]-Table15[[#This Row],[Principal]]),0),2)))</f>
        <v>0</v>
      </c>
      <c r="J144" s="3">
        <f>ROUND(MIN(Table15[[#This Row],[Beginning Balance]]*IF($C$8="No",$E$3,VLOOKUP(Table15[[#This Row],[Period]],Forecast!$H$2:$L$1048576,2,FALSE)),Table15[[#This Row],[Beginning Balance]]-Table15[[#This Row],[Principal]]-Table15[[#This Row],[Prepayments]]),2)</f>
        <v>0</v>
      </c>
      <c r="K144" s="3">
        <f>ROUND(Table15[[#This Row],[Defaulted Principal]]*IF($C$9="No",$E$4,VLOOKUP(Table15[[#This Row],[Period]],Forecast!$H$2:$L$1048576,3,FALSE)),2)</f>
        <v>0</v>
      </c>
      <c r="L144" s="2">
        <f>Table15[[#This Row],[Period]]+$E$9</f>
        <v>140</v>
      </c>
      <c r="M144" s="3">
        <f>Table15[[#This Row],[Defaulted Principal]]-Table15[[#This Row],[Estimated Loss]]</f>
        <v>0</v>
      </c>
      <c r="N144" s="3">
        <f>IFERROR(VLOOKUP(Table15[[#This Row],[Period]],$L$16:$M$385,2,FALSE),0)</f>
        <v>0</v>
      </c>
      <c r="O144" s="3">
        <f>Table15[[#This Row],[Beginning Balance]]-Table15[[#This Row],[Principal]]-Table15[[#This Row],[Prepayments]]-Table15[[#This Row],[Defaulted Principal]]</f>
        <v>0</v>
      </c>
      <c r="P144" s="3">
        <f>Table15[[#This Row],[Principal]]+Table15[[#This Row],[Interest]]+Table15[[#This Row],[Prepayments]]+Table15[[#This Row],[RecoveredAmount]]</f>
        <v>0</v>
      </c>
      <c r="Q144" s="3">
        <f ca="1">ROUND(Table15[[#This Row],[Cash Flow]]/((1+ActualRateToUse)^(IF(ISNUMBER(SEARCH("Actual",$C$7)),Table15[[#This Row],[Running Total]]/365,Table15[[#This Row],[Period]]/12))),2)</f>
        <v>0</v>
      </c>
      <c r="R144" s="2">
        <f>IF(MONTH(Table15[[#This Row],[Date]])=2,28,DAY(DATE(YEAR(Table15[[#This Row],[Date]]),MONTH(Table15[[#This Row],[Date]])+1,1)-1))</f>
        <v>28</v>
      </c>
      <c r="S144" s="2">
        <f ca="1">SUM(OFFSET(Table15[[#Headers],[Days in month]],1,0):Table15[[#This Row],[Days in month]])</f>
        <v>3893</v>
      </c>
      <c r="T144" s="37">
        <f>InterestRate*AmortizationMultiplier*IF(ISNUMBER(SEARCH("Actual",$C$7)),Table15[[#This Row],[Days in month]]/365,1/12)</f>
        <v>5.2507777777777778E-3</v>
      </c>
    </row>
    <row r="145" spans="2:20" x14ac:dyDescent="0.2">
      <c r="B145" s="1">
        <f t="shared" si="6"/>
        <v>49765</v>
      </c>
      <c r="C145" s="2">
        <f t="shared" si="4"/>
        <v>129</v>
      </c>
      <c r="D145" s="3">
        <f t="shared" si="3"/>
        <v>0</v>
      </c>
      <c r="E145" s="3">
        <f>ROUND(Table15[[#This Row],[Beginning Balance]]*Table15[[#This Row],[Monthly Interest Rate]],2)</f>
        <v>0</v>
      </c>
      <c r="F145" s="3">
        <f t="shared" si="5"/>
        <v>143</v>
      </c>
      <c r="G145" s="23">
        <f>IFERROR(IF($C$13="No","N/A",IF(Table15[[#This Row],[Period]]=1,$C$6,PMT(InterestRate*AmortizationMultiplier/12,Table15[[#This Row],[Am Thru]],-Table15[[#This Row],[Beginning Balance]]))),0)</f>
        <v>0</v>
      </c>
      <c r="H145" s="3">
        <f>MAX(0,IF(C145=$C$4,D145,ROUND(IF($C$3="Fixed Principal",$C$6-Table15[[#This Row],[Interest]],IF($C$3="Interest Only",Table15[[#This Row],[Beginning Balance]]*ROUND(1-(1-IF($C$11="No",$E$8,1))^(1/12),6),MIN(IF($C$13="Yes",Table15[[#This Row],[Payment Amount (Reamortized)]],$C$6)-Table15[[#This Row],[Interest]],Table15[[#This Row],[Beginning Balance]]))),2)))</f>
        <v>0</v>
      </c>
      <c r="I145" s="3">
        <f>_xlfn.SINGLE(IF($C$3="Line of Credit",0,ROUND(MAX(MIN(IF($C$10="No",$E$7,VLOOKUP(Table15[[#This Row],[Period]],Forecast!$H$2:$L$1048576,4,FALSE))*Table15[[#This Row],[Beginning Balance]],Table15[[#This Row],[Beginning Balance]]-Table15[[#This Row],[Principal]]),0),2)))</f>
        <v>0</v>
      </c>
      <c r="J145" s="3">
        <f>ROUND(MIN(Table15[[#This Row],[Beginning Balance]]*IF($C$8="No",$E$3,VLOOKUP(Table15[[#This Row],[Period]],Forecast!$H$2:$L$1048576,2,FALSE)),Table15[[#This Row],[Beginning Balance]]-Table15[[#This Row],[Principal]]-Table15[[#This Row],[Prepayments]]),2)</f>
        <v>0</v>
      </c>
      <c r="K145" s="3">
        <f>ROUND(Table15[[#This Row],[Defaulted Principal]]*IF($C$9="No",$E$4,VLOOKUP(Table15[[#This Row],[Period]],Forecast!$H$2:$L$1048576,3,FALSE)),2)</f>
        <v>0</v>
      </c>
      <c r="L145" s="2">
        <f>Table15[[#This Row],[Period]]+$E$9</f>
        <v>141</v>
      </c>
      <c r="M145" s="3">
        <f>Table15[[#This Row],[Defaulted Principal]]-Table15[[#This Row],[Estimated Loss]]</f>
        <v>0</v>
      </c>
      <c r="N145" s="3">
        <f>IFERROR(VLOOKUP(Table15[[#This Row],[Period]],$L$16:$M$385,2,FALSE),0)</f>
        <v>0</v>
      </c>
      <c r="O145" s="3">
        <f>Table15[[#This Row],[Beginning Balance]]-Table15[[#This Row],[Principal]]-Table15[[#This Row],[Prepayments]]-Table15[[#This Row],[Defaulted Principal]]</f>
        <v>0</v>
      </c>
      <c r="P145" s="3">
        <f>Table15[[#This Row],[Principal]]+Table15[[#This Row],[Interest]]+Table15[[#This Row],[Prepayments]]+Table15[[#This Row],[RecoveredAmount]]</f>
        <v>0</v>
      </c>
      <c r="Q145" s="3">
        <f ca="1">ROUND(Table15[[#This Row],[Cash Flow]]/((1+ActualRateToUse)^(IF(ISNUMBER(SEARCH("Actual",$C$7)),Table15[[#This Row],[Running Total]]/365,Table15[[#This Row],[Period]]/12))),2)</f>
        <v>0</v>
      </c>
      <c r="R145" s="2">
        <f>IF(MONTH(Table15[[#This Row],[Date]])=2,28,DAY(DATE(YEAR(Table15[[#This Row],[Date]]),MONTH(Table15[[#This Row],[Date]])+1,1)-1))</f>
        <v>31</v>
      </c>
      <c r="S145" s="2">
        <f ca="1">SUM(OFFSET(Table15[[#Headers],[Days in month]],1,0):Table15[[#This Row],[Days in month]])</f>
        <v>3924</v>
      </c>
      <c r="T145" s="37">
        <f>InterestRate*AmortizationMultiplier*IF(ISNUMBER(SEARCH("Actual",$C$7)),Table15[[#This Row],[Days in month]]/365,1/12)</f>
        <v>5.8133611111111103E-3</v>
      </c>
    </row>
    <row r="146" spans="2:20" x14ac:dyDescent="0.2">
      <c r="B146" s="1">
        <f t="shared" si="6"/>
        <v>49795</v>
      </c>
      <c r="C146" s="2">
        <f t="shared" si="4"/>
        <v>130</v>
      </c>
      <c r="D146" s="3">
        <f t="shared" ref="D146:D209" si="7">O145</f>
        <v>0</v>
      </c>
      <c r="E146" s="3">
        <f>ROUND(Table15[[#This Row],[Beginning Balance]]*Table15[[#This Row],[Monthly Interest Rate]],2)</f>
        <v>0</v>
      </c>
      <c r="F146" s="3">
        <f t="shared" si="5"/>
        <v>142</v>
      </c>
      <c r="G146" s="23">
        <f>IFERROR(IF($C$13="No","N/A",IF(Table15[[#This Row],[Period]]=1,$C$6,PMT(InterestRate*AmortizationMultiplier/12,Table15[[#This Row],[Am Thru]],-Table15[[#This Row],[Beginning Balance]]))),0)</f>
        <v>0</v>
      </c>
      <c r="H146" s="3">
        <f>MAX(0,IF(C146=$C$4,D146,ROUND(IF($C$3="Fixed Principal",$C$6-Table15[[#This Row],[Interest]],IF($C$3="Interest Only",Table15[[#This Row],[Beginning Balance]]*ROUND(1-(1-IF($C$11="No",$E$8,1))^(1/12),6),MIN(IF($C$13="Yes",Table15[[#This Row],[Payment Amount (Reamortized)]],$C$6)-Table15[[#This Row],[Interest]],Table15[[#This Row],[Beginning Balance]]))),2)))</f>
        <v>0</v>
      </c>
      <c r="I146" s="3">
        <f>_xlfn.SINGLE(IF($C$3="Line of Credit",0,ROUND(MAX(MIN(IF($C$10="No",$E$7,VLOOKUP(Table15[[#This Row],[Period]],Forecast!$H$2:$L$1048576,4,FALSE))*Table15[[#This Row],[Beginning Balance]],Table15[[#This Row],[Beginning Balance]]-Table15[[#This Row],[Principal]]),0),2)))</f>
        <v>0</v>
      </c>
      <c r="J146" s="3">
        <f>ROUND(MIN(Table15[[#This Row],[Beginning Balance]]*IF($C$8="No",$E$3,VLOOKUP(Table15[[#This Row],[Period]],Forecast!$H$2:$L$1048576,2,FALSE)),Table15[[#This Row],[Beginning Balance]]-Table15[[#This Row],[Principal]]-Table15[[#This Row],[Prepayments]]),2)</f>
        <v>0</v>
      </c>
      <c r="K146" s="3">
        <f>ROUND(Table15[[#This Row],[Defaulted Principal]]*IF($C$9="No",$E$4,VLOOKUP(Table15[[#This Row],[Period]],Forecast!$H$2:$L$1048576,3,FALSE)),2)</f>
        <v>0</v>
      </c>
      <c r="L146" s="2">
        <f>Table15[[#This Row],[Period]]+$E$9</f>
        <v>142</v>
      </c>
      <c r="M146" s="3">
        <f>Table15[[#This Row],[Defaulted Principal]]-Table15[[#This Row],[Estimated Loss]]</f>
        <v>0</v>
      </c>
      <c r="N146" s="3">
        <f>IFERROR(VLOOKUP(Table15[[#This Row],[Period]],$L$16:$M$385,2,FALSE),0)</f>
        <v>0</v>
      </c>
      <c r="O146" s="3">
        <f>Table15[[#This Row],[Beginning Balance]]-Table15[[#This Row],[Principal]]-Table15[[#This Row],[Prepayments]]-Table15[[#This Row],[Defaulted Principal]]</f>
        <v>0</v>
      </c>
      <c r="P146" s="3">
        <f>Table15[[#This Row],[Principal]]+Table15[[#This Row],[Interest]]+Table15[[#This Row],[Prepayments]]+Table15[[#This Row],[RecoveredAmount]]</f>
        <v>0</v>
      </c>
      <c r="Q146" s="3">
        <f ca="1">ROUND(Table15[[#This Row],[Cash Flow]]/((1+ActualRateToUse)^(IF(ISNUMBER(SEARCH("Actual",$C$7)),Table15[[#This Row],[Running Total]]/365,Table15[[#This Row],[Period]]/12))),2)</f>
        <v>0</v>
      </c>
      <c r="R146" s="2">
        <f>IF(MONTH(Table15[[#This Row],[Date]])=2,28,DAY(DATE(YEAR(Table15[[#This Row],[Date]]),MONTH(Table15[[#This Row],[Date]])+1,1)-1))</f>
        <v>30</v>
      </c>
      <c r="S146" s="2">
        <f ca="1">SUM(OFFSET(Table15[[#Headers],[Days in month]],1,0):Table15[[#This Row],[Days in month]])</f>
        <v>3954</v>
      </c>
      <c r="T146" s="37">
        <f>InterestRate*AmortizationMultiplier*IF(ISNUMBER(SEARCH("Actual",$C$7)),Table15[[#This Row],[Days in month]]/365,1/12)</f>
        <v>5.6258333333333325E-3</v>
      </c>
    </row>
    <row r="147" spans="2:20" x14ac:dyDescent="0.2">
      <c r="B147" s="1">
        <f t="shared" si="6"/>
        <v>49826</v>
      </c>
      <c r="C147" s="2">
        <f t="shared" ref="C147:C210" si="8">C146+1</f>
        <v>131</v>
      </c>
      <c r="D147" s="3">
        <f t="shared" si="7"/>
        <v>0</v>
      </c>
      <c r="E147" s="3">
        <f>ROUND(Table15[[#This Row],[Beginning Balance]]*Table15[[#This Row],[Monthly Interest Rate]],2)</f>
        <v>0</v>
      </c>
      <c r="F147" s="3">
        <f t="shared" ref="F147:F210" si="9">+F146-1</f>
        <v>141</v>
      </c>
      <c r="G147" s="23">
        <f>IFERROR(IF($C$13="No","N/A",IF(Table15[[#This Row],[Period]]=1,$C$6,PMT(InterestRate*AmortizationMultiplier/12,Table15[[#This Row],[Am Thru]],-Table15[[#This Row],[Beginning Balance]]))),0)</f>
        <v>0</v>
      </c>
      <c r="H147" s="3">
        <f>MAX(0,IF(C147=$C$4,D147,ROUND(IF($C$3="Fixed Principal",$C$6-Table15[[#This Row],[Interest]],IF($C$3="Interest Only",Table15[[#This Row],[Beginning Balance]]*ROUND(1-(1-IF($C$11="No",$E$8,1))^(1/12),6),MIN(IF($C$13="Yes",Table15[[#This Row],[Payment Amount (Reamortized)]],$C$6)-Table15[[#This Row],[Interest]],Table15[[#This Row],[Beginning Balance]]))),2)))</f>
        <v>0</v>
      </c>
      <c r="I147" s="3">
        <f>_xlfn.SINGLE(IF($C$3="Line of Credit",0,ROUND(MAX(MIN(IF($C$10="No",$E$7,VLOOKUP(Table15[[#This Row],[Period]],Forecast!$H$2:$L$1048576,4,FALSE))*Table15[[#This Row],[Beginning Balance]],Table15[[#This Row],[Beginning Balance]]-Table15[[#This Row],[Principal]]),0),2)))</f>
        <v>0</v>
      </c>
      <c r="J147" s="3">
        <f>ROUND(MIN(Table15[[#This Row],[Beginning Balance]]*IF($C$8="No",$E$3,VLOOKUP(Table15[[#This Row],[Period]],Forecast!$H$2:$L$1048576,2,FALSE)),Table15[[#This Row],[Beginning Balance]]-Table15[[#This Row],[Principal]]-Table15[[#This Row],[Prepayments]]),2)</f>
        <v>0</v>
      </c>
      <c r="K147" s="3">
        <f>ROUND(Table15[[#This Row],[Defaulted Principal]]*IF($C$9="No",$E$4,VLOOKUP(Table15[[#This Row],[Period]],Forecast!$H$2:$L$1048576,3,FALSE)),2)</f>
        <v>0</v>
      </c>
      <c r="L147" s="2">
        <f>Table15[[#This Row],[Period]]+$E$9</f>
        <v>143</v>
      </c>
      <c r="M147" s="3">
        <f>Table15[[#This Row],[Defaulted Principal]]-Table15[[#This Row],[Estimated Loss]]</f>
        <v>0</v>
      </c>
      <c r="N147" s="3">
        <f>IFERROR(VLOOKUP(Table15[[#This Row],[Period]],$L$16:$M$385,2,FALSE),0)</f>
        <v>0</v>
      </c>
      <c r="O147" s="3">
        <f>Table15[[#This Row],[Beginning Balance]]-Table15[[#This Row],[Principal]]-Table15[[#This Row],[Prepayments]]-Table15[[#This Row],[Defaulted Principal]]</f>
        <v>0</v>
      </c>
      <c r="P147" s="3">
        <f>Table15[[#This Row],[Principal]]+Table15[[#This Row],[Interest]]+Table15[[#This Row],[Prepayments]]+Table15[[#This Row],[RecoveredAmount]]</f>
        <v>0</v>
      </c>
      <c r="Q147" s="3">
        <f ca="1">ROUND(Table15[[#This Row],[Cash Flow]]/((1+ActualRateToUse)^(IF(ISNUMBER(SEARCH("Actual",$C$7)),Table15[[#This Row],[Running Total]]/365,Table15[[#This Row],[Period]]/12))),2)</f>
        <v>0</v>
      </c>
      <c r="R147" s="2">
        <f>IF(MONTH(Table15[[#This Row],[Date]])=2,28,DAY(DATE(YEAR(Table15[[#This Row],[Date]]),MONTH(Table15[[#This Row],[Date]])+1,1)-1))</f>
        <v>31</v>
      </c>
      <c r="S147" s="2">
        <f ca="1">SUM(OFFSET(Table15[[#Headers],[Days in month]],1,0):Table15[[#This Row],[Days in month]])</f>
        <v>3985</v>
      </c>
      <c r="T147" s="37">
        <f>InterestRate*AmortizationMultiplier*IF(ISNUMBER(SEARCH("Actual",$C$7)),Table15[[#This Row],[Days in month]]/365,1/12)</f>
        <v>5.8133611111111103E-3</v>
      </c>
    </row>
    <row r="148" spans="2:20" x14ac:dyDescent="0.2">
      <c r="B148" s="1">
        <f t="shared" si="6"/>
        <v>49856</v>
      </c>
      <c r="C148" s="2">
        <f t="shared" si="8"/>
        <v>132</v>
      </c>
      <c r="D148" s="3">
        <f t="shared" si="7"/>
        <v>0</v>
      </c>
      <c r="E148" s="3">
        <f>ROUND(Table15[[#This Row],[Beginning Balance]]*Table15[[#This Row],[Monthly Interest Rate]],2)</f>
        <v>0</v>
      </c>
      <c r="F148" s="3">
        <f t="shared" si="9"/>
        <v>140</v>
      </c>
      <c r="G148" s="23">
        <f>IFERROR(IF($C$13="No","N/A",IF(Table15[[#This Row],[Period]]=1,$C$6,PMT(InterestRate*AmortizationMultiplier/12,Table15[[#This Row],[Am Thru]],-Table15[[#This Row],[Beginning Balance]]))),0)</f>
        <v>0</v>
      </c>
      <c r="H148" s="3">
        <f>MAX(0,IF(C148=$C$4,D148,ROUND(IF($C$3="Fixed Principal",$C$6-Table15[[#This Row],[Interest]],IF($C$3="Interest Only",Table15[[#This Row],[Beginning Balance]]*ROUND(1-(1-IF($C$11="No",$E$8,1))^(1/12),6),MIN(IF($C$13="Yes",Table15[[#This Row],[Payment Amount (Reamortized)]],$C$6)-Table15[[#This Row],[Interest]],Table15[[#This Row],[Beginning Balance]]))),2)))</f>
        <v>0</v>
      </c>
      <c r="I148" s="3">
        <f>_xlfn.SINGLE(IF($C$3="Line of Credit",0,ROUND(MAX(MIN(IF($C$10="No",$E$7,VLOOKUP(Table15[[#This Row],[Period]],Forecast!$H$2:$L$1048576,4,FALSE))*Table15[[#This Row],[Beginning Balance]],Table15[[#This Row],[Beginning Balance]]-Table15[[#This Row],[Principal]]),0),2)))</f>
        <v>0</v>
      </c>
      <c r="J148" s="3">
        <f>ROUND(MIN(Table15[[#This Row],[Beginning Balance]]*IF($C$8="No",$E$3,VLOOKUP(Table15[[#This Row],[Period]],Forecast!$H$2:$L$1048576,2,FALSE)),Table15[[#This Row],[Beginning Balance]]-Table15[[#This Row],[Principal]]-Table15[[#This Row],[Prepayments]]),2)</f>
        <v>0</v>
      </c>
      <c r="K148" s="3">
        <f>ROUND(Table15[[#This Row],[Defaulted Principal]]*IF($C$9="No",$E$4,VLOOKUP(Table15[[#This Row],[Period]],Forecast!$H$2:$L$1048576,3,FALSE)),2)</f>
        <v>0</v>
      </c>
      <c r="L148" s="2">
        <f>Table15[[#This Row],[Period]]+$E$9</f>
        <v>144</v>
      </c>
      <c r="M148" s="3">
        <f>Table15[[#This Row],[Defaulted Principal]]-Table15[[#This Row],[Estimated Loss]]</f>
        <v>0</v>
      </c>
      <c r="N148" s="3">
        <f>IFERROR(VLOOKUP(Table15[[#This Row],[Period]],$L$16:$M$385,2,FALSE),0)</f>
        <v>0</v>
      </c>
      <c r="O148" s="3">
        <f>Table15[[#This Row],[Beginning Balance]]-Table15[[#This Row],[Principal]]-Table15[[#This Row],[Prepayments]]-Table15[[#This Row],[Defaulted Principal]]</f>
        <v>0</v>
      </c>
      <c r="P148" s="3">
        <f>Table15[[#This Row],[Principal]]+Table15[[#This Row],[Interest]]+Table15[[#This Row],[Prepayments]]+Table15[[#This Row],[RecoveredAmount]]</f>
        <v>0</v>
      </c>
      <c r="Q148" s="3">
        <f ca="1">ROUND(Table15[[#This Row],[Cash Flow]]/((1+ActualRateToUse)^(IF(ISNUMBER(SEARCH("Actual",$C$7)),Table15[[#This Row],[Running Total]]/365,Table15[[#This Row],[Period]]/12))),2)</f>
        <v>0</v>
      </c>
      <c r="R148" s="2">
        <f>IF(MONTH(Table15[[#This Row],[Date]])=2,28,DAY(DATE(YEAR(Table15[[#This Row],[Date]]),MONTH(Table15[[#This Row],[Date]])+1,1)-1))</f>
        <v>30</v>
      </c>
      <c r="S148" s="2">
        <f ca="1">SUM(OFFSET(Table15[[#Headers],[Days in month]],1,0):Table15[[#This Row],[Days in month]])</f>
        <v>4015</v>
      </c>
      <c r="T148" s="37">
        <f>InterestRate*AmortizationMultiplier*IF(ISNUMBER(SEARCH("Actual",$C$7)),Table15[[#This Row],[Days in month]]/365,1/12)</f>
        <v>5.6258333333333325E-3</v>
      </c>
    </row>
    <row r="149" spans="2:20" x14ac:dyDescent="0.2">
      <c r="B149" s="1">
        <f t="shared" si="6"/>
        <v>49887</v>
      </c>
      <c r="C149" s="2">
        <f t="shared" si="8"/>
        <v>133</v>
      </c>
      <c r="D149" s="3">
        <f t="shared" si="7"/>
        <v>0</v>
      </c>
      <c r="E149" s="3">
        <f>ROUND(Table15[[#This Row],[Beginning Balance]]*Table15[[#This Row],[Monthly Interest Rate]],2)</f>
        <v>0</v>
      </c>
      <c r="F149" s="3">
        <f t="shared" si="9"/>
        <v>139</v>
      </c>
      <c r="G149" s="23">
        <f>IFERROR(IF($C$13="No","N/A",IF(Table15[[#This Row],[Period]]=1,$C$6,PMT(InterestRate*AmortizationMultiplier/12,Table15[[#This Row],[Am Thru]],-Table15[[#This Row],[Beginning Balance]]))),0)</f>
        <v>0</v>
      </c>
      <c r="H149" s="3">
        <f>MAX(0,IF(C149=$C$4,D149,ROUND(IF($C$3="Fixed Principal",$C$6-Table15[[#This Row],[Interest]],IF($C$3="Interest Only",Table15[[#This Row],[Beginning Balance]]*ROUND(1-(1-IF($C$11="No",$E$8,1))^(1/12),6),MIN(IF($C$13="Yes",Table15[[#This Row],[Payment Amount (Reamortized)]],$C$6)-Table15[[#This Row],[Interest]],Table15[[#This Row],[Beginning Balance]]))),2)))</f>
        <v>0</v>
      </c>
      <c r="I149" s="3">
        <f>_xlfn.SINGLE(IF($C$3="Line of Credit",0,ROUND(MAX(MIN(IF($C$10="No",$E$7,VLOOKUP(Table15[[#This Row],[Period]],Forecast!$H$2:$L$1048576,4,FALSE))*Table15[[#This Row],[Beginning Balance]],Table15[[#This Row],[Beginning Balance]]-Table15[[#This Row],[Principal]]),0),2)))</f>
        <v>0</v>
      </c>
      <c r="J149" s="3">
        <f>ROUND(MIN(Table15[[#This Row],[Beginning Balance]]*IF($C$8="No",$E$3,VLOOKUP(Table15[[#This Row],[Period]],Forecast!$H$2:$L$1048576,2,FALSE)),Table15[[#This Row],[Beginning Balance]]-Table15[[#This Row],[Principal]]-Table15[[#This Row],[Prepayments]]),2)</f>
        <v>0</v>
      </c>
      <c r="K149" s="3">
        <f>ROUND(Table15[[#This Row],[Defaulted Principal]]*IF($C$9="No",$E$4,VLOOKUP(Table15[[#This Row],[Period]],Forecast!$H$2:$L$1048576,3,FALSE)),2)</f>
        <v>0</v>
      </c>
      <c r="L149" s="2">
        <f>Table15[[#This Row],[Period]]+$E$9</f>
        <v>145</v>
      </c>
      <c r="M149" s="3">
        <f>Table15[[#This Row],[Defaulted Principal]]-Table15[[#This Row],[Estimated Loss]]</f>
        <v>0</v>
      </c>
      <c r="N149" s="3">
        <f>IFERROR(VLOOKUP(Table15[[#This Row],[Period]],$L$16:$M$385,2,FALSE),0)</f>
        <v>0</v>
      </c>
      <c r="O149" s="3">
        <f>Table15[[#This Row],[Beginning Balance]]-Table15[[#This Row],[Principal]]-Table15[[#This Row],[Prepayments]]-Table15[[#This Row],[Defaulted Principal]]</f>
        <v>0</v>
      </c>
      <c r="P149" s="3">
        <f>Table15[[#This Row],[Principal]]+Table15[[#This Row],[Interest]]+Table15[[#This Row],[Prepayments]]+Table15[[#This Row],[RecoveredAmount]]</f>
        <v>0</v>
      </c>
      <c r="Q149" s="3">
        <f ca="1">ROUND(Table15[[#This Row],[Cash Flow]]/((1+ActualRateToUse)^(IF(ISNUMBER(SEARCH("Actual",$C$7)),Table15[[#This Row],[Running Total]]/365,Table15[[#This Row],[Period]]/12))),2)</f>
        <v>0</v>
      </c>
      <c r="R149" s="2">
        <f>IF(MONTH(Table15[[#This Row],[Date]])=2,28,DAY(DATE(YEAR(Table15[[#This Row],[Date]]),MONTH(Table15[[#This Row],[Date]])+1,1)-1))</f>
        <v>31</v>
      </c>
      <c r="S149" s="2">
        <f ca="1">SUM(OFFSET(Table15[[#Headers],[Days in month]],1,0):Table15[[#This Row],[Days in month]])</f>
        <v>4046</v>
      </c>
      <c r="T149" s="37">
        <f>InterestRate*AmortizationMultiplier*IF(ISNUMBER(SEARCH("Actual",$C$7)),Table15[[#This Row],[Days in month]]/365,1/12)</f>
        <v>5.8133611111111103E-3</v>
      </c>
    </row>
    <row r="150" spans="2:20" x14ac:dyDescent="0.2">
      <c r="B150" s="1">
        <f t="shared" si="6"/>
        <v>49918</v>
      </c>
      <c r="C150" s="2">
        <f t="shared" si="8"/>
        <v>134</v>
      </c>
      <c r="D150" s="3">
        <f t="shared" si="7"/>
        <v>0</v>
      </c>
      <c r="E150" s="3">
        <f>ROUND(Table15[[#This Row],[Beginning Balance]]*Table15[[#This Row],[Monthly Interest Rate]],2)</f>
        <v>0</v>
      </c>
      <c r="F150" s="3">
        <f t="shared" si="9"/>
        <v>138</v>
      </c>
      <c r="G150" s="23">
        <f>IFERROR(IF($C$13="No","N/A",IF(Table15[[#This Row],[Period]]=1,$C$6,PMT(InterestRate*AmortizationMultiplier/12,Table15[[#This Row],[Am Thru]],-Table15[[#This Row],[Beginning Balance]]))),0)</f>
        <v>0</v>
      </c>
      <c r="H150" s="3">
        <f>MAX(0,IF(C150=$C$4,D150,ROUND(IF($C$3="Fixed Principal",$C$6-Table15[[#This Row],[Interest]],IF($C$3="Interest Only",Table15[[#This Row],[Beginning Balance]]*ROUND(1-(1-IF($C$11="No",$E$8,1))^(1/12),6),MIN(IF($C$13="Yes",Table15[[#This Row],[Payment Amount (Reamortized)]],$C$6)-Table15[[#This Row],[Interest]],Table15[[#This Row],[Beginning Balance]]))),2)))</f>
        <v>0</v>
      </c>
      <c r="I150" s="3">
        <f>_xlfn.SINGLE(IF($C$3="Line of Credit",0,ROUND(MAX(MIN(IF($C$10="No",$E$7,VLOOKUP(Table15[[#This Row],[Period]],Forecast!$H$2:$L$1048576,4,FALSE))*Table15[[#This Row],[Beginning Balance]],Table15[[#This Row],[Beginning Balance]]-Table15[[#This Row],[Principal]]),0),2)))</f>
        <v>0</v>
      </c>
      <c r="J150" s="3">
        <f>ROUND(MIN(Table15[[#This Row],[Beginning Balance]]*IF($C$8="No",$E$3,VLOOKUP(Table15[[#This Row],[Period]],Forecast!$H$2:$L$1048576,2,FALSE)),Table15[[#This Row],[Beginning Balance]]-Table15[[#This Row],[Principal]]-Table15[[#This Row],[Prepayments]]),2)</f>
        <v>0</v>
      </c>
      <c r="K150" s="3">
        <f>ROUND(Table15[[#This Row],[Defaulted Principal]]*IF($C$9="No",$E$4,VLOOKUP(Table15[[#This Row],[Period]],Forecast!$H$2:$L$1048576,3,FALSE)),2)</f>
        <v>0</v>
      </c>
      <c r="L150" s="2">
        <f>Table15[[#This Row],[Period]]+$E$9</f>
        <v>146</v>
      </c>
      <c r="M150" s="3">
        <f>Table15[[#This Row],[Defaulted Principal]]-Table15[[#This Row],[Estimated Loss]]</f>
        <v>0</v>
      </c>
      <c r="N150" s="3">
        <f>IFERROR(VLOOKUP(Table15[[#This Row],[Period]],$L$16:$M$385,2,FALSE),0)</f>
        <v>0</v>
      </c>
      <c r="O150" s="3">
        <f>Table15[[#This Row],[Beginning Balance]]-Table15[[#This Row],[Principal]]-Table15[[#This Row],[Prepayments]]-Table15[[#This Row],[Defaulted Principal]]</f>
        <v>0</v>
      </c>
      <c r="P150" s="3">
        <f>Table15[[#This Row],[Principal]]+Table15[[#This Row],[Interest]]+Table15[[#This Row],[Prepayments]]+Table15[[#This Row],[RecoveredAmount]]</f>
        <v>0</v>
      </c>
      <c r="Q150" s="3">
        <f ca="1">ROUND(Table15[[#This Row],[Cash Flow]]/((1+ActualRateToUse)^(IF(ISNUMBER(SEARCH("Actual",$C$7)),Table15[[#This Row],[Running Total]]/365,Table15[[#This Row],[Period]]/12))),2)</f>
        <v>0</v>
      </c>
      <c r="R150" s="2">
        <f>IF(MONTH(Table15[[#This Row],[Date]])=2,28,DAY(DATE(YEAR(Table15[[#This Row],[Date]]),MONTH(Table15[[#This Row],[Date]])+1,1)-1))</f>
        <v>31</v>
      </c>
      <c r="S150" s="2">
        <f ca="1">SUM(OFFSET(Table15[[#Headers],[Days in month]],1,0):Table15[[#This Row],[Days in month]])</f>
        <v>4077</v>
      </c>
      <c r="T150" s="37">
        <f>InterestRate*AmortizationMultiplier*IF(ISNUMBER(SEARCH("Actual",$C$7)),Table15[[#This Row],[Days in month]]/365,1/12)</f>
        <v>5.8133611111111103E-3</v>
      </c>
    </row>
    <row r="151" spans="2:20" x14ac:dyDescent="0.2">
      <c r="B151" s="1">
        <f t="shared" si="6"/>
        <v>49948</v>
      </c>
      <c r="C151" s="2">
        <f t="shared" si="8"/>
        <v>135</v>
      </c>
      <c r="D151" s="3">
        <f t="shared" si="7"/>
        <v>0</v>
      </c>
      <c r="E151" s="3">
        <f>ROUND(Table15[[#This Row],[Beginning Balance]]*Table15[[#This Row],[Monthly Interest Rate]],2)</f>
        <v>0</v>
      </c>
      <c r="F151" s="3">
        <f t="shared" si="9"/>
        <v>137</v>
      </c>
      <c r="G151" s="23">
        <f>IFERROR(IF($C$13="No","N/A",IF(Table15[[#This Row],[Period]]=1,$C$6,PMT(InterestRate*AmortizationMultiplier/12,Table15[[#This Row],[Am Thru]],-Table15[[#This Row],[Beginning Balance]]))),0)</f>
        <v>0</v>
      </c>
      <c r="H151" s="3">
        <f>MAX(0,IF(C151=$C$4,D151,ROUND(IF($C$3="Fixed Principal",$C$6-Table15[[#This Row],[Interest]],IF($C$3="Interest Only",Table15[[#This Row],[Beginning Balance]]*ROUND(1-(1-IF($C$11="No",$E$8,1))^(1/12),6),MIN(IF($C$13="Yes",Table15[[#This Row],[Payment Amount (Reamortized)]],$C$6)-Table15[[#This Row],[Interest]],Table15[[#This Row],[Beginning Balance]]))),2)))</f>
        <v>0</v>
      </c>
      <c r="I151" s="3">
        <f>_xlfn.SINGLE(IF($C$3="Line of Credit",0,ROUND(MAX(MIN(IF($C$10="No",$E$7,VLOOKUP(Table15[[#This Row],[Period]],Forecast!$H$2:$L$1048576,4,FALSE))*Table15[[#This Row],[Beginning Balance]],Table15[[#This Row],[Beginning Balance]]-Table15[[#This Row],[Principal]]),0),2)))</f>
        <v>0</v>
      </c>
      <c r="J151" s="3">
        <f>ROUND(MIN(Table15[[#This Row],[Beginning Balance]]*IF($C$8="No",$E$3,VLOOKUP(Table15[[#This Row],[Period]],Forecast!$H$2:$L$1048576,2,FALSE)),Table15[[#This Row],[Beginning Balance]]-Table15[[#This Row],[Principal]]-Table15[[#This Row],[Prepayments]]),2)</f>
        <v>0</v>
      </c>
      <c r="K151" s="3">
        <f>ROUND(Table15[[#This Row],[Defaulted Principal]]*IF($C$9="No",$E$4,VLOOKUP(Table15[[#This Row],[Period]],Forecast!$H$2:$L$1048576,3,FALSE)),2)</f>
        <v>0</v>
      </c>
      <c r="L151" s="2">
        <f>Table15[[#This Row],[Period]]+$E$9</f>
        <v>147</v>
      </c>
      <c r="M151" s="3">
        <f>Table15[[#This Row],[Defaulted Principal]]-Table15[[#This Row],[Estimated Loss]]</f>
        <v>0</v>
      </c>
      <c r="N151" s="3">
        <f>IFERROR(VLOOKUP(Table15[[#This Row],[Period]],$L$16:$M$385,2,FALSE),0)</f>
        <v>0</v>
      </c>
      <c r="O151" s="3">
        <f>Table15[[#This Row],[Beginning Balance]]-Table15[[#This Row],[Principal]]-Table15[[#This Row],[Prepayments]]-Table15[[#This Row],[Defaulted Principal]]</f>
        <v>0</v>
      </c>
      <c r="P151" s="3">
        <f>Table15[[#This Row],[Principal]]+Table15[[#This Row],[Interest]]+Table15[[#This Row],[Prepayments]]+Table15[[#This Row],[RecoveredAmount]]</f>
        <v>0</v>
      </c>
      <c r="Q151" s="3">
        <f ca="1">ROUND(Table15[[#This Row],[Cash Flow]]/((1+ActualRateToUse)^(IF(ISNUMBER(SEARCH("Actual",$C$7)),Table15[[#This Row],[Running Total]]/365,Table15[[#This Row],[Period]]/12))),2)</f>
        <v>0</v>
      </c>
      <c r="R151" s="2">
        <f>IF(MONTH(Table15[[#This Row],[Date]])=2,28,DAY(DATE(YEAR(Table15[[#This Row],[Date]]),MONTH(Table15[[#This Row],[Date]])+1,1)-1))</f>
        <v>30</v>
      </c>
      <c r="S151" s="2">
        <f ca="1">SUM(OFFSET(Table15[[#Headers],[Days in month]],1,0):Table15[[#This Row],[Days in month]])</f>
        <v>4107</v>
      </c>
      <c r="T151" s="37">
        <f>InterestRate*AmortizationMultiplier*IF(ISNUMBER(SEARCH("Actual",$C$7)),Table15[[#This Row],[Days in month]]/365,1/12)</f>
        <v>5.6258333333333325E-3</v>
      </c>
    </row>
    <row r="152" spans="2:20" x14ac:dyDescent="0.2">
      <c r="B152" s="1">
        <f t="shared" si="6"/>
        <v>49979</v>
      </c>
      <c r="C152" s="2">
        <f t="shared" si="8"/>
        <v>136</v>
      </c>
      <c r="D152" s="3">
        <f t="shared" si="7"/>
        <v>0</v>
      </c>
      <c r="E152" s="3">
        <f>ROUND(Table15[[#This Row],[Beginning Balance]]*Table15[[#This Row],[Monthly Interest Rate]],2)</f>
        <v>0</v>
      </c>
      <c r="F152" s="3">
        <f t="shared" si="9"/>
        <v>136</v>
      </c>
      <c r="G152" s="23">
        <f>IFERROR(IF($C$13="No","N/A",IF(Table15[[#This Row],[Period]]=1,$C$6,PMT(InterestRate*AmortizationMultiplier/12,Table15[[#This Row],[Am Thru]],-Table15[[#This Row],[Beginning Balance]]))),0)</f>
        <v>0</v>
      </c>
      <c r="H152" s="3">
        <f>MAX(0,IF(C152=$C$4,D152,ROUND(IF($C$3="Fixed Principal",$C$6-Table15[[#This Row],[Interest]],IF($C$3="Interest Only",Table15[[#This Row],[Beginning Balance]]*ROUND(1-(1-IF($C$11="No",$E$8,1))^(1/12),6),MIN(IF($C$13="Yes",Table15[[#This Row],[Payment Amount (Reamortized)]],$C$6)-Table15[[#This Row],[Interest]],Table15[[#This Row],[Beginning Balance]]))),2)))</f>
        <v>0</v>
      </c>
      <c r="I152" s="3">
        <f>_xlfn.SINGLE(IF($C$3="Line of Credit",0,ROUND(MAX(MIN(IF($C$10="No",$E$7,VLOOKUP(Table15[[#This Row],[Period]],Forecast!$H$2:$L$1048576,4,FALSE))*Table15[[#This Row],[Beginning Balance]],Table15[[#This Row],[Beginning Balance]]-Table15[[#This Row],[Principal]]),0),2)))</f>
        <v>0</v>
      </c>
      <c r="J152" s="3">
        <f>ROUND(MIN(Table15[[#This Row],[Beginning Balance]]*IF($C$8="No",$E$3,VLOOKUP(Table15[[#This Row],[Period]],Forecast!$H$2:$L$1048576,2,FALSE)),Table15[[#This Row],[Beginning Balance]]-Table15[[#This Row],[Principal]]-Table15[[#This Row],[Prepayments]]),2)</f>
        <v>0</v>
      </c>
      <c r="K152" s="3">
        <f>ROUND(Table15[[#This Row],[Defaulted Principal]]*IF($C$9="No",$E$4,VLOOKUP(Table15[[#This Row],[Period]],Forecast!$H$2:$L$1048576,3,FALSE)),2)</f>
        <v>0</v>
      </c>
      <c r="L152" s="2">
        <f>Table15[[#This Row],[Period]]+$E$9</f>
        <v>148</v>
      </c>
      <c r="M152" s="3">
        <f>Table15[[#This Row],[Defaulted Principal]]-Table15[[#This Row],[Estimated Loss]]</f>
        <v>0</v>
      </c>
      <c r="N152" s="3">
        <f>IFERROR(VLOOKUP(Table15[[#This Row],[Period]],$L$16:$M$385,2,FALSE),0)</f>
        <v>0</v>
      </c>
      <c r="O152" s="3">
        <f>Table15[[#This Row],[Beginning Balance]]-Table15[[#This Row],[Principal]]-Table15[[#This Row],[Prepayments]]-Table15[[#This Row],[Defaulted Principal]]</f>
        <v>0</v>
      </c>
      <c r="P152" s="3">
        <f>Table15[[#This Row],[Principal]]+Table15[[#This Row],[Interest]]+Table15[[#This Row],[Prepayments]]+Table15[[#This Row],[RecoveredAmount]]</f>
        <v>0</v>
      </c>
      <c r="Q152" s="3">
        <f ca="1">ROUND(Table15[[#This Row],[Cash Flow]]/((1+ActualRateToUse)^(IF(ISNUMBER(SEARCH("Actual",$C$7)),Table15[[#This Row],[Running Total]]/365,Table15[[#This Row],[Period]]/12))),2)</f>
        <v>0</v>
      </c>
      <c r="R152" s="2">
        <f>IF(MONTH(Table15[[#This Row],[Date]])=2,28,DAY(DATE(YEAR(Table15[[#This Row],[Date]]),MONTH(Table15[[#This Row],[Date]])+1,1)-1))</f>
        <v>31</v>
      </c>
      <c r="S152" s="2">
        <f ca="1">SUM(OFFSET(Table15[[#Headers],[Days in month]],1,0):Table15[[#This Row],[Days in month]])</f>
        <v>4138</v>
      </c>
      <c r="T152" s="37">
        <f>InterestRate*AmortizationMultiplier*IF(ISNUMBER(SEARCH("Actual",$C$7)),Table15[[#This Row],[Days in month]]/365,1/12)</f>
        <v>5.8133611111111103E-3</v>
      </c>
    </row>
    <row r="153" spans="2:20" x14ac:dyDescent="0.2">
      <c r="B153" s="1">
        <f t="shared" si="6"/>
        <v>50009</v>
      </c>
      <c r="C153" s="2">
        <f t="shared" si="8"/>
        <v>137</v>
      </c>
      <c r="D153" s="3">
        <f t="shared" si="7"/>
        <v>0</v>
      </c>
      <c r="E153" s="3">
        <f>ROUND(Table15[[#This Row],[Beginning Balance]]*Table15[[#This Row],[Monthly Interest Rate]],2)</f>
        <v>0</v>
      </c>
      <c r="F153" s="3">
        <f t="shared" si="9"/>
        <v>135</v>
      </c>
      <c r="G153" s="23">
        <f>IFERROR(IF($C$13="No","N/A",IF(Table15[[#This Row],[Period]]=1,$C$6,PMT(InterestRate*AmortizationMultiplier/12,Table15[[#This Row],[Am Thru]],-Table15[[#This Row],[Beginning Balance]]))),0)</f>
        <v>0</v>
      </c>
      <c r="H153" s="3">
        <f>MAX(0,IF(C153=$C$4,D153,ROUND(IF($C$3="Fixed Principal",$C$6-Table15[[#This Row],[Interest]],IF($C$3="Interest Only",Table15[[#This Row],[Beginning Balance]]*ROUND(1-(1-IF($C$11="No",$E$8,1))^(1/12),6),MIN(IF($C$13="Yes",Table15[[#This Row],[Payment Amount (Reamortized)]],$C$6)-Table15[[#This Row],[Interest]],Table15[[#This Row],[Beginning Balance]]))),2)))</f>
        <v>0</v>
      </c>
      <c r="I153" s="3">
        <f>_xlfn.SINGLE(IF($C$3="Line of Credit",0,ROUND(MAX(MIN(IF($C$10="No",$E$7,VLOOKUP(Table15[[#This Row],[Period]],Forecast!$H$2:$L$1048576,4,FALSE))*Table15[[#This Row],[Beginning Balance]],Table15[[#This Row],[Beginning Balance]]-Table15[[#This Row],[Principal]]),0),2)))</f>
        <v>0</v>
      </c>
      <c r="J153" s="3">
        <f>ROUND(MIN(Table15[[#This Row],[Beginning Balance]]*IF($C$8="No",$E$3,VLOOKUP(Table15[[#This Row],[Period]],Forecast!$H$2:$L$1048576,2,FALSE)),Table15[[#This Row],[Beginning Balance]]-Table15[[#This Row],[Principal]]-Table15[[#This Row],[Prepayments]]),2)</f>
        <v>0</v>
      </c>
      <c r="K153" s="3">
        <f>ROUND(Table15[[#This Row],[Defaulted Principal]]*IF($C$9="No",$E$4,VLOOKUP(Table15[[#This Row],[Period]],Forecast!$H$2:$L$1048576,3,FALSE)),2)</f>
        <v>0</v>
      </c>
      <c r="L153" s="2">
        <f>Table15[[#This Row],[Period]]+$E$9</f>
        <v>149</v>
      </c>
      <c r="M153" s="3">
        <f>Table15[[#This Row],[Defaulted Principal]]-Table15[[#This Row],[Estimated Loss]]</f>
        <v>0</v>
      </c>
      <c r="N153" s="3">
        <f>IFERROR(VLOOKUP(Table15[[#This Row],[Period]],$L$16:$M$385,2,FALSE),0)</f>
        <v>0</v>
      </c>
      <c r="O153" s="3">
        <f>Table15[[#This Row],[Beginning Balance]]-Table15[[#This Row],[Principal]]-Table15[[#This Row],[Prepayments]]-Table15[[#This Row],[Defaulted Principal]]</f>
        <v>0</v>
      </c>
      <c r="P153" s="3">
        <f>Table15[[#This Row],[Principal]]+Table15[[#This Row],[Interest]]+Table15[[#This Row],[Prepayments]]+Table15[[#This Row],[RecoveredAmount]]</f>
        <v>0</v>
      </c>
      <c r="Q153" s="3">
        <f ca="1">ROUND(Table15[[#This Row],[Cash Flow]]/((1+ActualRateToUse)^(IF(ISNUMBER(SEARCH("Actual",$C$7)),Table15[[#This Row],[Running Total]]/365,Table15[[#This Row],[Period]]/12))),2)</f>
        <v>0</v>
      </c>
      <c r="R153" s="2">
        <f>IF(MONTH(Table15[[#This Row],[Date]])=2,28,DAY(DATE(YEAR(Table15[[#This Row],[Date]]),MONTH(Table15[[#This Row],[Date]])+1,1)-1))</f>
        <v>30</v>
      </c>
      <c r="S153" s="2">
        <f ca="1">SUM(OFFSET(Table15[[#Headers],[Days in month]],1,0):Table15[[#This Row],[Days in month]])</f>
        <v>4168</v>
      </c>
      <c r="T153" s="37">
        <f>InterestRate*AmortizationMultiplier*IF(ISNUMBER(SEARCH("Actual",$C$7)),Table15[[#This Row],[Days in month]]/365,1/12)</f>
        <v>5.6258333333333325E-3</v>
      </c>
    </row>
    <row r="154" spans="2:20" x14ac:dyDescent="0.2">
      <c r="B154" s="1">
        <f t="shared" si="6"/>
        <v>50040</v>
      </c>
      <c r="C154" s="2">
        <f t="shared" si="8"/>
        <v>138</v>
      </c>
      <c r="D154" s="3">
        <f t="shared" si="7"/>
        <v>0</v>
      </c>
      <c r="E154" s="3">
        <f>ROUND(Table15[[#This Row],[Beginning Balance]]*Table15[[#This Row],[Monthly Interest Rate]],2)</f>
        <v>0</v>
      </c>
      <c r="F154" s="3">
        <f t="shared" si="9"/>
        <v>134</v>
      </c>
      <c r="G154" s="23">
        <f>IFERROR(IF($C$13="No","N/A",IF(Table15[[#This Row],[Period]]=1,$C$6,PMT(InterestRate*AmortizationMultiplier/12,Table15[[#This Row],[Am Thru]],-Table15[[#This Row],[Beginning Balance]]))),0)</f>
        <v>0</v>
      </c>
      <c r="H154" s="3">
        <f>MAX(0,IF(C154=$C$4,D154,ROUND(IF($C$3="Fixed Principal",$C$6-Table15[[#This Row],[Interest]],IF($C$3="Interest Only",Table15[[#This Row],[Beginning Balance]]*ROUND(1-(1-IF($C$11="No",$E$8,1))^(1/12),6),MIN(IF($C$13="Yes",Table15[[#This Row],[Payment Amount (Reamortized)]],$C$6)-Table15[[#This Row],[Interest]],Table15[[#This Row],[Beginning Balance]]))),2)))</f>
        <v>0</v>
      </c>
      <c r="I154" s="3">
        <f>_xlfn.SINGLE(IF($C$3="Line of Credit",0,ROUND(MAX(MIN(IF($C$10="No",$E$7,VLOOKUP(Table15[[#This Row],[Period]],Forecast!$H$2:$L$1048576,4,FALSE))*Table15[[#This Row],[Beginning Balance]],Table15[[#This Row],[Beginning Balance]]-Table15[[#This Row],[Principal]]),0),2)))</f>
        <v>0</v>
      </c>
      <c r="J154" s="3">
        <f>ROUND(MIN(Table15[[#This Row],[Beginning Balance]]*IF($C$8="No",$E$3,VLOOKUP(Table15[[#This Row],[Period]],Forecast!$H$2:$L$1048576,2,FALSE)),Table15[[#This Row],[Beginning Balance]]-Table15[[#This Row],[Principal]]-Table15[[#This Row],[Prepayments]]),2)</f>
        <v>0</v>
      </c>
      <c r="K154" s="3">
        <f>ROUND(Table15[[#This Row],[Defaulted Principal]]*IF($C$9="No",$E$4,VLOOKUP(Table15[[#This Row],[Period]],Forecast!$H$2:$L$1048576,3,FALSE)),2)</f>
        <v>0</v>
      </c>
      <c r="L154" s="2">
        <f>Table15[[#This Row],[Period]]+$E$9</f>
        <v>150</v>
      </c>
      <c r="M154" s="3">
        <f>Table15[[#This Row],[Defaulted Principal]]-Table15[[#This Row],[Estimated Loss]]</f>
        <v>0</v>
      </c>
      <c r="N154" s="3">
        <f>IFERROR(VLOOKUP(Table15[[#This Row],[Period]],$L$16:$M$385,2,FALSE),0)</f>
        <v>0</v>
      </c>
      <c r="O154" s="3">
        <f>Table15[[#This Row],[Beginning Balance]]-Table15[[#This Row],[Principal]]-Table15[[#This Row],[Prepayments]]-Table15[[#This Row],[Defaulted Principal]]</f>
        <v>0</v>
      </c>
      <c r="P154" s="3">
        <f>Table15[[#This Row],[Principal]]+Table15[[#This Row],[Interest]]+Table15[[#This Row],[Prepayments]]+Table15[[#This Row],[RecoveredAmount]]</f>
        <v>0</v>
      </c>
      <c r="Q154" s="3">
        <f ca="1">ROUND(Table15[[#This Row],[Cash Flow]]/((1+ActualRateToUse)^(IF(ISNUMBER(SEARCH("Actual",$C$7)),Table15[[#This Row],[Running Total]]/365,Table15[[#This Row],[Period]]/12))),2)</f>
        <v>0</v>
      </c>
      <c r="R154" s="2">
        <f>IF(MONTH(Table15[[#This Row],[Date]])=2,28,DAY(DATE(YEAR(Table15[[#This Row],[Date]]),MONTH(Table15[[#This Row],[Date]])+1,1)-1))</f>
        <v>31</v>
      </c>
      <c r="S154" s="2">
        <f ca="1">SUM(OFFSET(Table15[[#Headers],[Days in month]],1,0):Table15[[#This Row],[Days in month]])</f>
        <v>4199</v>
      </c>
      <c r="T154" s="37">
        <f>InterestRate*AmortizationMultiplier*IF(ISNUMBER(SEARCH("Actual",$C$7)),Table15[[#This Row],[Days in month]]/365,1/12)</f>
        <v>5.8133611111111103E-3</v>
      </c>
    </row>
    <row r="155" spans="2:20" x14ac:dyDescent="0.2">
      <c r="B155" s="1">
        <f t="shared" si="6"/>
        <v>50071</v>
      </c>
      <c r="C155" s="2">
        <f t="shared" si="8"/>
        <v>139</v>
      </c>
      <c r="D155" s="3">
        <f t="shared" si="7"/>
        <v>0</v>
      </c>
      <c r="E155" s="3">
        <f>ROUND(Table15[[#This Row],[Beginning Balance]]*Table15[[#This Row],[Monthly Interest Rate]],2)</f>
        <v>0</v>
      </c>
      <c r="F155" s="3">
        <f t="shared" si="9"/>
        <v>133</v>
      </c>
      <c r="G155" s="23">
        <f>IFERROR(IF($C$13="No","N/A",IF(Table15[[#This Row],[Period]]=1,$C$6,PMT(InterestRate*AmortizationMultiplier/12,Table15[[#This Row],[Am Thru]],-Table15[[#This Row],[Beginning Balance]]))),0)</f>
        <v>0</v>
      </c>
      <c r="H155" s="3">
        <f>MAX(0,IF(C155=$C$4,D155,ROUND(IF($C$3="Fixed Principal",$C$6-Table15[[#This Row],[Interest]],IF($C$3="Interest Only",Table15[[#This Row],[Beginning Balance]]*ROUND(1-(1-IF($C$11="No",$E$8,1))^(1/12),6),MIN(IF($C$13="Yes",Table15[[#This Row],[Payment Amount (Reamortized)]],$C$6)-Table15[[#This Row],[Interest]],Table15[[#This Row],[Beginning Balance]]))),2)))</f>
        <v>0</v>
      </c>
      <c r="I155" s="3">
        <f>_xlfn.SINGLE(IF($C$3="Line of Credit",0,ROUND(MAX(MIN(IF($C$10="No",$E$7,VLOOKUP(Table15[[#This Row],[Period]],Forecast!$H$2:$L$1048576,4,FALSE))*Table15[[#This Row],[Beginning Balance]],Table15[[#This Row],[Beginning Balance]]-Table15[[#This Row],[Principal]]),0),2)))</f>
        <v>0</v>
      </c>
      <c r="J155" s="3">
        <f>ROUND(MIN(Table15[[#This Row],[Beginning Balance]]*IF($C$8="No",$E$3,VLOOKUP(Table15[[#This Row],[Period]],Forecast!$H$2:$L$1048576,2,FALSE)),Table15[[#This Row],[Beginning Balance]]-Table15[[#This Row],[Principal]]-Table15[[#This Row],[Prepayments]]),2)</f>
        <v>0</v>
      </c>
      <c r="K155" s="3">
        <f>ROUND(Table15[[#This Row],[Defaulted Principal]]*IF($C$9="No",$E$4,VLOOKUP(Table15[[#This Row],[Period]],Forecast!$H$2:$L$1048576,3,FALSE)),2)</f>
        <v>0</v>
      </c>
      <c r="L155" s="2">
        <f>Table15[[#This Row],[Period]]+$E$9</f>
        <v>151</v>
      </c>
      <c r="M155" s="3">
        <f>Table15[[#This Row],[Defaulted Principal]]-Table15[[#This Row],[Estimated Loss]]</f>
        <v>0</v>
      </c>
      <c r="N155" s="3">
        <f>IFERROR(VLOOKUP(Table15[[#This Row],[Period]],$L$16:$M$385,2,FALSE),0)</f>
        <v>0</v>
      </c>
      <c r="O155" s="3">
        <f>Table15[[#This Row],[Beginning Balance]]-Table15[[#This Row],[Principal]]-Table15[[#This Row],[Prepayments]]-Table15[[#This Row],[Defaulted Principal]]</f>
        <v>0</v>
      </c>
      <c r="P155" s="3">
        <f>Table15[[#This Row],[Principal]]+Table15[[#This Row],[Interest]]+Table15[[#This Row],[Prepayments]]+Table15[[#This Row],[RecoveredAmount]]</f>
        <v>0</v>
      </c>
      <c r="Q155" s="3">
        <f ca="1">ROUND(Table15[[#This Row],[Cash Flow]]/((1+ActualRateToUse)^(IF(ISNUMBER(SEARCH("Actual",$C$7)),Table15[[#This Row],[Running Total]]/365,Table15[[#This Row],[Period]]/12))),2)</f>
        <v>0</v>
      </c>
      <c r="R155" s="2">
        <f>IF(MONTH(Table15[[#This Row],[Date]])=2,28,DAY(DATE(YEAR(Table15[[#This Row],[Date]]),MONTH(Table15[[#This Row],[Date]])+1,1)-1))</f>
        <v>31</v>
      </c>
      <c r="S155" s="2">
        <f ca="1">SUM(OFFSET(Table15[[#Headers],[Days in month]],1,0):Table15[[#This Row],[Days in month]])</f>
        <v>4230</v>
      </c>
      <c r="T155" s="37">
        <f>InterestRate*AmortizationMultiplier*IF(ISNUMBER(SEARCH("Actual",$C$7)),Table15[[#This Row],[Days in month]]/365,1/12)</f>
        <v>5.8133611111111103E-3</v>
      </c>
    </row>
    <row r="156" spans="2:20" x14ac:dyDescent="0.2">
      <c r="B156" s="1">
        <f t="shared" si="6"/>
        <v>50099</v>
      </c>
      <c r="C156" s="2">
        <f t="shared" si="8"/>
        <v>140</v>
      </c>
      <c r="D156" s="3">
        <f t="shared" si="7"/>
        <v>0</v>
      </c>
      <c r="E156" s="3">
        <f>ROUND(Table15[[#This Row],[Beginning Balance]]*Table15[[#This Row],[Monthly Interest Rate]],2)</f>
        <v>0</v>
      </c>
      <c r="F156" s="3">
        <f t="shared" si="9"/>
        <v>132</v>
      </c>
      <c r="G156" s="23">
        <f>IFERROR(IF($C$13="No","N/A",IF(Table15[[#This Row],[Period]]=1,$C$6,PMT(InterestRate*AmortizationMultiplier/12,Table15[[#This Row],[Am Thru]],-Table15[[#This Row],[Beginning Balance]]))),0)</f>
        <v>0</v>
      </c>
      <c r="H156" s="3">
        <f>MAX(0,IF(C156=$C$4,D156,ROUND(IF($C$3="Fixed Principal",$C$6-Table15[[#This Row],[Interest]],IF($C$3="Interest Only",Table15[[#This Row],[Beginning Balance]]*ROUND(1-(1-IF($C$11="No",$E$8,1))^(1/12),6),MIN(IF($C$13="Yes",Table15[[#This Row],[Payment Amount (Reamortized)]],$C$6)-Table15[[#This Row],[Interest]],Table15[[#This Row],[Beginning Balance]]))),2)))</f>
        <v>0</v>
      </c>
      <c r="I156" s="3">
        <f>_xlfn.SINGLE(IF($C$3="Line of Credit",0,ROUND(MAX(MIN(IF($C$10="No",$E$7,VLOOKUP(Table15[[#This Row],[Period]],Forecast!$H$2:$L$1048576,4,FALSE))*Table15[[#This Row],[Beginning Balance]],Table15[[#This Row],[Beginning Balance]]-Table15[[#This Row],[Principal]]),0),2)))</f>
        <v>0</v>
      </c>
      <c r="J156" s="3">
        <f>ROUND(MIN(Table15[[#This Row],[Beginning Balance]]*IF($C$8="No",$E$3,VLOOKUP(Table15[[#This Row],[Period]],Forecast!$H$2:$L$1048576,2,FALSE)),Table15[[#This Row],[Beginning Balance]]-Table15[[#This Row],[Principal]]-Table15[[#This Row],[Prepayments]]),2)</f>
        <v>0</v>
      </c>
      <c r="K156" s="3">
        <f>ROUND(Table15[[#This Row],[Defaulted Principal]]*IF($C$9="No",$E$4,VLOOKUP(Table15[[#This Row],[Period]],Forecast!$H$2:$L$1048576,3,FALSE)),2)</f>
        <v>0</v>
      </c>
      <c r="L156" s="2">
        <f>Table15[[#This Row],[Period]]+$E$9</f>
        <v>152</v>
      </c>
      <c r="M156" s="3">
        <f>Table15[[#This Row],[Defaulted Principal]]-Table15[[#This Row],[Estimated Loss]]</f>
        <v>0</v>
      </c>
      <c r="N156" s="3">
        <f>IFERROR(VLOOKUP(Table15[[#This Row],[Period]],$L$16:$M$385,2,FALSE),0)</f>
        <v>0</v>
      </c>
      <c r="O156" s="3">
        <f>Table15[[#This Row],[Beginning Balance]]-Table15[[#This Row],[Principal]]-Table15[[#This Row],[Prepayments]]-Table15[[#This Row],[Defaulted Principal]]</f>
        <v>0</v>
      </c>
      <c r="P156" s="3">
        <f>Table15[[#This Row],[Principal]]+Table15[[#This Row],[Interest]]+Table15[[#This Row],[Prepayments]]+Table15[[#This Row],[RecoveredAmount]]</f>
        <v>0</v>
      </c>
      <c r="Q156" s="3">
        <f ca="1">ROUND(Table15[[#This Row],[Cash Flow]]/((1+ActualRateToUse)^(IF(ISNUMBER(SEARCH("Actual",$C$7)),Table15[[#This Row],[Running Total]]/365,Table15[[#This Row],[Period]]/12))),2)</f>
        <v>0</v>
      </c>
      <c r="R156" s="2">
        <f>IF(MONTH(Table15[[#This Row],[Date]])=2,28,DAY(DATE(YEAR(Table15[[#This Row],[Date]]),MONTH(Table15[[#This Row],[Date]])+1,1)-1))</f>
        <v>28</v>
      </c>
      <c r="S156" s="2">
        <f ca="1">SUM(OFFSET(Table15[[#Headers],[Days in month]],1,0):Table15[[#This Row],[Days in month]])</f>
        <v>4258</v>
      </c>
      <c r="T156" s="37">
        <f>InterestRate*AmortizationMultiplier*IF(ISNUMBER(SEARCH("Actual",$C$7)),Table15[[#This Row],[Days in month]]/365,1/12)</f>
        <v>5.2507777777777778E-3</v>
      </c>
    </row>
    <row r="157" spans="2:20" x14ac:dyDescent="0.2">
      <c r="B157" s="1">
        <f t="shared" si="6"/>
        <v>50130</v>
      </c>
      <c r="C157" s="2">
        <f t="shared" si="8"/>
        <v>141</v>
      </c>
      <c r="D157" s="3">
        <f t="shared" si="7"/>
        <v>0</v>
      </c>
      <c r="E157" s="3">
        <f>ROUND(Table15[[#This Row],[Beginning Balance]]*Table15[[#This Row],[Monthly Interest Rate]],2)</f>
        <v>0</v>
      </c>
      <c r="F157" s="3">
        <f t="shared" si="9"/>
        <v>131</v>
      </c>
      <c r="G157" s="23">
        <f>IFERROR(IF($C$13="No","N/A",IF(Table15[[#This Row],[Period]]=1,$C$6,PMT(InterestRate*AmortizationMultiplier/12,Table15[[#This Row],[Am Thru]],-Table15[[#This Row],[Beginning Balance]]))),0)</f>
        <v>0</v>
      </c>
      <c r="H157" s="3">
        <f>MAX(0,IF(C157=$C$4,D157,ROUND(IF($C$3="Fixed Principal",$C$6-Table15[[#This Row],[Interest]],IF($C$3="Interest Only",Table15[[#This Row],[Beginning Balance]]*ROUND(1-(1-IF($C$11="No",$E$8,1))^(1/12),6),MIN(IF($C$13="Yes",Table15[[#This Row],[Payment Amount (Reamortized)]],$C$6)-Table15[[#This Row],[Interest]],Table15[[#This Row],[Beginning Balance]]))),2)))</f>
        <v>0</v>
      </c>
      <c r="I157" s="3">
        <f>_xlfn.SINGLE(IF($C$3="Line of Credit",0,ROUND(MAX(MIN(IF($C$10="No",$E$7,VLOOKUP(Table15[[#This Row],[Period]],Forecast!$H$2:$L$1048576,4,FALSE))*Table15[[#This Row],[Beginning Balance]],Table15[[#This Row],[Beginning Balance]]-Table15[[#This Row],[Principal]]),0),2)))</f>
        <v>0</v>
      </c>
      <c r="J157" s="3">
        <f>ROUND(MIN(Table15[[#This Row],[Beginning Balance]]*IF($C$8="No",$E$3,VLOOKUP(Table15[[#This Row],[Period]],Forecast!$H$2:$L$1048576,2,FALSE)),Table15[[#This Row],[Beginning Balance]]-Table15[[#This Row],[Principal]]-Table15[[#This Row],[Prepayments]]),2)</f>
        <v>0</v>
      </c>
      <c r="K157" s="3">
        <f>ROUND(Table15[[#This Row],[Defaulted Principal]]*IF($C$9="No",$E$4,VLOOKUP(Table15[[#This Row],[Period]],Forecast!$H$2:$L$1048576,3,FALSE)),2)</f>
        <v>0</v>
      </c>
      <c r="L157" s="2">
        <f>Table15[[#This Row],[Period]]+$E$9</f>
        <v>153</v>
      </c>
      <c r="M157" s="3">
        <f>Table15[[#This Row],[Defaulted Principal]]-Table15[[#This Row],[Estimated Loss]]</f>
        <v>0</v>
      </c>
      <c r="N157" s="3">
        <f>IFERROR(VLOOKUP(Table15[[#This Row],[Period]],$L$16:$M$385,2,FALSE),0)</f>
        <v>0</v>
      </c>
      <c r="O157" s="3">
        <f>Table15[[#This Row],[Beginning Balance]]-Table15[[#This Row],[Principal]]-Table15[[#This Row],[Prepayments]]-Table15[[#This Row],[Defaulted Principal]]</f>
        <v>0</v>
      </c>
      <c r="P157" s="3">
        <f>Table15[[#This Row],[Principal]]+Table15[[#This Row],[Interest]]+Table15[[#This Row],[Prepayments]]+Table15[[#This Row],[RecoveredAmount]]</f>
        <v>0</v>
      </c>
      <c r="Q157" s="3">
        <f ca="1">ROUND(Table15[[#This Row],[Cash Flow]]/((1+ActualRateToUse)^(IF(ISNUMBER(SEARCH("Actual",$C$7)),Table15[[#This Row],[Running Total]]/365,Table15[[#This Row],[Period]]/12))),2)</f>
        <v>0</v>
      </c>
      <c r="R157" s="2">
        <f>IF(MONTH(Table15[[#This Row],[Date]])=2,28,DAY(DATE(YEAR(Table15[[#This Row],[Date]]),MONTH(Table15[[#This Row],[Date]])+1,1)-1))</f>
        <v>31</v>
      </c>
      <c r="S157" s="2">
        <f ca="1">SUM(OFFSET(Table15[[#Headers],[Days in month]],1,0):Table15[[#This Row],[Days in month]])</f>
        <v>4289</v>
      </c>
      <c r="T157" s="37">
        <f>InterestRate*AmortizationMultiplier*IF(ISNUMBER(SEARCH("Actual",$C$7)),Table15[[#This Row],[Days in month]]/365,1/12)</f>
        <v>5.8133611111111103E-3</v>
      </c>
    </row>
    <row r="158" spans="2:20" x14ac:dyDescent="0.2">
      <c r="B158" s="1">
        <f t="shared" si="6"/>
        <v>50160</v>
      </c>
      <c r="C158" s="2">
        <f t="shared" si="8"/>
        <v>142</v>
      </c>
      <c r="D158" s="3">
        <f t="shared" si="7"/>
        <v>0</v>
      </c>
      <c r="E158" s="3">
        <f>ROUND(Table15[[#This Row],[Beginning Balance]]*Table15[[#This Row],[Monthly Interest Rate]],2)</f>
        <v>0</v>
      </c>
      <c r="F158" s="3">
        <f t="shared" si="9"/>
        <v>130</v>
      </c>
      <c r="G158" s="23">
        <f>IFERROR(IF($C$13="No","N/A",IF(Table15[[#This Row],[Period]]=1,$C$6,PMT(InterestRate*AmortizationMultiplier/12,Table15[[#This Row],[Am Thru]],-Table15[[#This Row],[Beginning Balance]]))),0)</f>
        <v>0</v>
      </c>
      <c r="H158" s="3">
        <f>MAX(0,IF(C158=$C$4,D158,ROUND(IF($C$3="Fixed Principal",$C$6-Table15[[#This Row],[Interest]],IF($C$3="Interest Only",Table15[[#This Row],[Beginning Balance]]*ROUND(1-(1-IF($C$11="No",$E$8,1))^(1/12),6),MIN(IF($C$13="Yes",Table15[[#This Row],[Payment Amount (Reamortized)]],$C$6)-Table15[[#This Row],[Interest]],Table15[[#This Row],[Beginning Balance]]))),2)))</f>
        <v>0</v>
      </c>
      <c r="I158" s="3">
        <f>_xlfn.SINGLE(IF($C$3="Line of Credit",0,ROUND(MAX(MIN(IF($C$10="No",$E$7,VLOOKUP(Table15[[#This Row],[Period]],Forecast!$H$2:$L$1048576,4,FALSE))*Table15[[#This Row],[Beginning Balance]],Table15[[#This Row],[Beginning Balance]]-Table15[[#This Row],[Principal]]),0),2)))</f>
        <v>0</v>
      </c>
      <c r="J158" s="3">
        <f>ROUND(MIN(Table15[[#This Row],[Beginning Balance]]*IF($C$8="No",$E$3,VLOOKUP(Table15[[#This Row],[Period]],Forecast!$H$2:$L$1048576,2,FALSE)),Table15[[#This Row],[Beginning Balance]]-Table15[[#This Row],[Principal]]-Table15[[#This Row],[Prepayments]]),2)</f>
        <v>0</v>
      </c>
      <c r="K158" s="3">
        <f>ROUND(Table15[[#This Row],[Defaulted Principal]]*IF($C$9="No",$E$4,VLOOKUP(Table15[[#This Row],[Period]],Forecast!$H$2:$L$1048576,3,FALSE)),2)</f>
        <v>0</v>
      </c>
      <c r="L158" s="2">
        <f>Table15[[#This Row],[Period]]+$E$9</f>
        <v>154</v>
      </c>
      <c r="M158" s="3">
        <f>Table15[[#This Row],[Defaulted Principal]]-Table15[[#This Row],[Estimated Loss]]</f>
        <v>0</v>
      </c>
      <c r="N158" s="3">
        <f>IFERROR(VLOOKUP(Table15[[#This Row],[Period]],$L$16:$M$385,2,FALSE),0)</f>
        <v>0</v>
      </c>
      <c r="O158" s="3">
        <f>Table15[[#This Row],[Beginning Balance]]-Table15[[#This Row],[Principal]]-Table15[[#This Row],[Prepayments]]-Table15[[#This Row],[Defaulted Principal]]</f>
        <v>0</v>
      </c>
      <c r="P158" s="3">
        <f>Table15[[#This Row],[Principal]]+Table15[[#This Row],[Interest]]+Table15[[#This Row],[Prepayments]]+Table15[[#This Row],[RecoveredAmount]]</f>
        <v>0</v>
      </c>
      <c r="Q158" s="3">
        <f ca="1">ROUND(Table15[[#This Row],[Cash Flow]]/((1+ActualRateToUse)^(IF(ISNUMBER(SEARCH("Actual",$C$7)),Table15[[#This Row],[Running Total]]/365,Table15[[#This Row],[Period]]/12))),2)</f>
        <v>0</v>
      </c>
      <c r="R158" s="2">
        <f>IF(MONTH(Table15[[#This Row],[Date]])=2,28,DAY(DATE(YEAR(Table15[[#This Row],[Date]]),MONTH(Table15[[#This Row],[Date]])+1,1)-1))</f>
        <v>30</v>
      </c>
      <c r="S158" s="2">
        <f ca="1">SUM(OFFSET(Table15[[#Headers],[Days in month]],1,0):Table15[[#This Row],[Days in month]])</f>
        <v>4319</v>
      </c>
      <c r="T158" s="37">
        <f>InterestRate*AmortizationMultiplier*IF(ISNUMBER(SEARCH("Actual",$C$7)),Table15[[#This Row],[Days in month]]/365,1/12)</f>
        <v>5.6258333333333325E-3</v>
      </c>
    </row>
    <row r="159" spans="2:20" x14ac:dyDescent="0.2">
      <c r="B159" s="1">
        <f t="shared" si="6"/>
        <v>50191</v>
      </c>
      <c r="C159" s="2">
        <f t="shared" si="8"/>
        <v>143</v>
      </c>
      <c r="D159" s="3">
        <f t="shared" si="7"/>
        <v>0</v>
      </c>
      <c r="E159" s="3">
        <f>ROUND(Table15[[#This Row],[Beginning Balance]]*Table15[[#This Row],[Monthly Interest Rate]],2)</f>
        <v>0</v>
      </c>
      <c r="F159" s="3">
        <f t="shared" si="9"/>
        <v>129</v>
      </c>
      <c r="G159" s="23">
        <f>IFERROR(IF($C$13="No","N/A",IF(Table15[[#This Row],[Period]]=1,$C$6,PMT(InterestRate*AmortizationMultiplier/12,Table15[[#This Row],[Am Thru]],-Table15[[#This Row],[Beginning Balance]]))),0)</f>
        <v>0</v>
      </c>
      <c r="H159" s="3">
        <f>MAX(0,IF(C159=$C$4,D159,ROUND(IF($C$3="Fixed Principal",$C$6-Table15[[#This Row],[Interest]],IF($C$3="Interest Only",Table15[[#This Row],[Beginning Balance]]*ROUND(1-(1-IF($C$11="No",$E$8,1))^(1/12),6),MIN(IF($C$13="Yes",Table15[[#This Row],[Payment Amount (Reamortized)]],$C$6)-Table15[[#This Row],[Interest]],Table15[[#This Row],[Beginning Balance]]))),2)))</f>
        <v>0</v>
      </c>
      <c r="I159" s="3">
        <f>_xlfn.SINGLE(IF($C$3="Line of Credit",0,ROUND(MAX(MIN(IF($C$10="No",$E$7,VLOOKUP(Table15[[#This Row],[Period]],Forecast!$H$2:$L$1048576,4,FALSE))*Table15[[#This Row],[Beginning Balance]],Table15[[#This Row],[Beginning Balance]]-Table15[[#This Row],[Principal]]),0),2)))</f>
        <v>0</v>
      </c>
      <c r="J159" s="3">
        <f>ROUND(MIN(Table15[[#This Row],[Beginning Balance]]*IF($C$8="No",$E$3,VLOOKUP(Table15[[#This Row],[Period]],Forecast!$H$2:$L$1048576,2,FALSE)),Table15[[#This Row],[Beginning Balance]]-Table15[[#This Row],[Principal]]-Table15[[#This Row],[Prepayments]]),2)</f>
        <v>0</v>
      </c>
      <c r="K159" s="3">
        <f>ROUND(Table15[[#This Row],[Defaulted Principal]]*IF($C$9="No",$E$4,VLOOKUP(Table15[[#This Row],[Period]],Forecast!$H$2:$L$1048576,3,FALSE)),2)</f>
        <v>0</v>
      </c>
      <c r="L159" s="2">
        <f>Table15[[#This Row],[Period]]+$E$9</f>
        <v>155</v>
      </c>
      <c r="M159" s="3">
        <f>Table15[[#This Row],[Defaulted Principal]]-Table15[[#This Row],[Estimated Loss]]</f>
        <v>0</v>
      </c>
      <c r="N159" s="3">
        <f>IFERROR(VLOOKUP(Table15[[#This Row],[Period]],$L$16:$M$385,2,FALSE),0)</f>
        <v>0</v>
      </c>
      <c r="O159" s="3">
        <f>Table15[[#This Row],[Beginning Balance]]-Table15[[#This Row],[Principal]]-Table15[[#This Row],[Prepayments]]-Table15[[#This Row],[Defaulted Principal]]</f>
        <v>0</v>
      </c>
      <c r="P159" s="3">
        <f>Table15[[#This Row],[Principal]]+Table15[[#This Row],[Interest]]+Table15[[#This Row],[Prepayments]]+Table15[[#This Row],[RecoveredAmount]]</f>
        <v>0</v>
      </c>
      <c r="Q159" s="3">
        <f ca="1">ROUND(Table15[[#This Row],[Cash Flow]]/((1+ActualRateToUse)^(IF(ISNUMBER(SEARCH("Actual",$C$7)),Table15[[#This Row],[Running Total]]/365,Table15[[#This Row],[Period]]/12))),2)</f>
        <v>0</v>
      </c>
      <c r="R159" s="2">
        <f>IF(MONTH(Table15[[#This Row],[Date]])=2,28,DAY(DATE(YEAR(Table15[[#This Row],[Date]]),MONTH(Table15[[#This Row],[Date]])+1,1)-1))</f>
        <v>31</v>
      </c>
      <c r="S159" s="2">
        <f ca="1">SUM(OFFSET(Table15[[#Headers],[Days in month]],1,0):Table15[[#This Row],[Days in month]])</f>
        <v>4350</v>
      </c>
      <c r="T159" s="37">
        <f>InterestRate*AmortizationMultiplier*IF(ISNUMBER(SEARCH("Actual",$C$7)),Table15[[#This Row],[Days in month]]/365,1/12)</f>
        <v>5.8133611111111103E-3</v>
      </c>
    </row>
    <row r="160" spans="2:20" x14ac:dyDescent="0.2">
      <c r="B160" s="1">
        <f t="shared" si="6"/>
        <v>50221</v>
      </c>
      <c r="C160" s="2">
        <f t="shared" si="8"/>
        <v>144</v>
      </c>
      <c r="D160" s="3">
        <f t="shared" si="7"/>
        <v>0</v>
      </c>
      <c r="E160" s="3">
        <f>ROUND(Table15[[#This Row],[Beginning Balance]]*Table15[[#This Row],[Monthly Interest Rate]],2)</f>
        <v>0</v>
      </c>
      <c r="F160" s="3">
        <f t="shared" si="9"/>
        <v>128</v>
      </c>
      <c r="G160" s="23">
        <f>IFERROR(IF($C$13="No","N/A",IF(Table15[[#This Row],[Period]]=1,$C$6,PMT(InterestRate*AmortizationMultiplier/12,Table15[[#This Row],[Am Thru]],-Table15[[#This Row],[Beginning Balance]]))),0)</f>
        <v>0</v>
      </c>
      <c r="H160" s="3">
        <f>MAX(0,IF(C160=$C$4,D160,ROUND(IF($C$3="Fixed Principal",$C$6-Table15[[#This Row],[Interest]],IF($C$3="Interest Only",Table15[[#This Row],[Beginning Balance]]*ROUND(1-(1-IF($C$11="No",$E$8,1))^(1/12),6),MIN(IF($C$13="Yes",Table15[[#This Row],[Payment Amount (Reamortized)]],$C$6)-Table15[[#This Row],[Interest]],Table15[[#This Row],[Beginning Balance]]))),2)))</f>
        <v>0</v>
      </c>
      <c r="I160" s="3">
        <f>_xlfn.SINGLE(IF($C$3="Line of Credit",0,ROUND(MAX(MIN(IF($C$10="No",$E$7,VLOOKUP(Table15[[#This Row],[Period]],Forecast!$H$2:$L$1048576,4,FALSE))*Table15[[#This Row],[Beginning Balance]],Table15[[#This Row],[Beginning Balance]]-Table15[[#This Row],[Principal]]),0),2)))</f>
        <v>0</v>
      </c>
      <c r="J160" s="3">
        <f>ROUND(MIN(Table15[[#This Row],[Beginning Balance]]*IF($C$8="No",$E$3,VLOOKUP(Table15[[#This Row],[Period]],Forecast!$H$2:$L$1048576,2,FALSE)),Table15[[#This Row],[Beginning Balance]]-Table15[[#This Row],[Principal]]-Table15[[#This Row],[Prepayments]]),2)</f>
        <v>0</v>
      </c>
      <c r="K160" s="3">
        <f>ROUND(Table15[[#This Row],[Defaulted Principal]]*IF($C$9="No",$E$4,VLOOKUP(Table15[[#This Row],[Period]],Forecast!$H$2:$L$1048576,3,FALSE)),2)</f>
        <v>0</v>
      </c>
      <c r="L160" s="2">
        <f>Table15[[#This Row],[Period]]+$E$9</f>
        <v>156</v>
      </c>
      <c r="M160" s="3">
        <f>Table15[[#This Row],[Defaulted Principal]]-Table15[[#This Row],[Estimated Loss]]</f>
        <v>0</v>
      </c>
      <c r="N160" s="3">
        <f>IFERROR(VLOOKUP(Table15[[#This Row],[Period]],$L$16:$M$385,2,FALSE),0)</f>
        <v>0</v>
      </c>
      <c r="O160" s="3">
        <f>Table15[[#This Row],[Beginning Balance]]-Table15[[#This Row],[Principal]]-Table15[[#This Row],[Prepayments]]-Table15[[#This Row],[Defaulted Principal]]</f>
        <v>0</v>
      </c>
      <c r="P160" s="3">
        <f>Table15[[#This Row],[Principal]]+Table15[[#This Row],[Interest]]+Table15[[#This Row],[Prepayments]]+Table15[[#This Row],[RecoveredAmount]]</f>
        <v>0</v>
      </c>
      <c r="Q160" s="3">
        <f ca="1">ROUND(Table15[[#This Row],[Cash Flow]]/((1+ActualRateToUse)^(IF(ISNUMBER(SEARCH("Actual",$C$7)),Table15[[#This Row],[Running Total]]/365,Table15[[#This Row],[Period]]/12))),2)</f>
        <v>0</v>
      </c>
      <c r="R160" s="2">
        <f>IF(MONTH(Table15[[#This Row],[Date]])=2,28,DAY(DATE(YEAR(Table15[[#This Row],[Date]]),MONTH(Table15[[#This Row],[Date]])+1,1)-1))</f>
        <v>30</v>
      </c>
      <c r="S160" s="2">
        <f ca="1">SUM(OFFSET(Table15[[#Headers],[Days in month]],1,0):Table15[[#This Row],[Days in month]])</f>
        <v>4380</v>
      </c>
      <c r="T160" s="37">
        <f>InterestRate*AmortizationMultiplier*IF(ISNUMBER(SEARCH("Actual",$C$7)),Table15[[#This Row],[Days in month]]/365,1/12)</f>
        <v>5.6258333333333325E-3</v>
      </c>
    </row>
    <row r="161" spans="2:20" x14ac:dyDescent="0.2">
      <c r="B161" s="1">
        <f t="shared" si="6"/>
        <v>50252</v>
      </c>
      <c r="C161" s="2">
        <f t="shared" si="8"/>
        <v>145</v>
      </c>
      <c r="D161" s="3">
        <f t="shared" si="7"/>
        <v>0</v>
      </c>
      <c r="E161" s="3">
        <f>ROUND(Table15[[#This Row],[Beginning Balance]]*Table15[[#This Row],[Monthly Interest Rate]],2)</f>
        <v>0</v>
      </c>
      <c r="F161" s="3">
        <f t="shared" si="9"/>
        <v>127</v>
      </c>
      <c r="G161" s="23">
        <f>IFERROR(IF($C$13="No","N/A",IF(Table15[[#This Row],[Period]]=1,$C$6,PMT(InterestRate*AmortizationMultiplier/12,Table15[[#This Row],[Am Thru]],-Table15[[#This Row],[Beginning Balance]]))),0)</f>
        <v>0</v>
      </c>
      <c r="H161" s="3">
        <f>MAX(0,IF(C161=$C$4,D161,ROUND(IF($C$3="Fixed Principal",$C$6-Table15[[#This Row],[Interest]],IF($C$3="Interest Only",Table15[[#This Row],[Beginning Balance]]*ROUND(1-(1-IF($C$11="No",$E$8,1))^(1/12),6),MIN(IF($C$13="Yes",Table15[[#This Row],[Payment Amount (Reamortized)]],$C$6)-Table15[[#This Row],[Interest]],Table15[[#This Row],[Beginning Balance]]))),2)))</f>
        <v>0</v>
      </c>
      <c r="I161" s="3">
        <f>_xlfn.SINGLE(IF($C$3="Line of Credit",0,ROUND(MAX(MIN(IF($C$10="No",$E$7,VLOOKUP(Table15[[#This Row],[Period]],Forecast!$H$2:$L$1048576,4,FALSE))*Table15[[#This Row],[Beginning Balance]],Table15[[#This Row],[Beginning Balance]]-Table15[[#This Row],[Principal]]),0),2)))</f>
        <v>0</v>
      </c>
      <c r="J161" s="3">
        <f>ROUND(MIN(Table15[[#This Row],[Beginning Balance]]*IF($C$8="No",$E$3,VLOOKUP(Table15[[#This Row],[Period]],Forecast!$H$2:$L$1048576,2,FALSE)),Table15[[#This Row],[Beginning Balance]]-Table15[[#This Row],[Principal]]-Table15[[#This Row],[Prepayments]]),2)</f>
        <v>0</v>
      </c>
      <c r="K161" s="3">
        <f>ROUND(Table15[[#This Row],[Defaulted Principal]]*IF($C$9="No",$E$4,VLOOKUP(Table15[[#This Row],[Period]],Forecast!$H$2:$L$1048576,3,FALSE)),2)</f>
        <v>0</v>
      </c>
      <c r="L161" s="2">
        <f>Table15[[#This Row],[Period]]+$E$9</f>
        <v>157</v>
      </c>
      <c r="M161" s="3">
        <f>Table15[[#This Row],[Defaulted Principal]]-Table15[[#This Row],[Estimated Loss]]</f>
        <v>0</v>
      </c>
      <c r="N161" s="3">
        <f>IFERROR(VLOOKUP(Table15[[#This Row],[Period]],$L$16:$M$385,2,FALSE),0)</f>
        <v>0</v>
      </c>
      <c r="O161" s="3">
        <f>Table15[[#This Row],[Beginning Balance]]-Table15[[#This Row],[Principal]]-Table15[[#This Row],[Prepayments]]-Table15[[#This Row],[Defaulted Principal]]</f>
        <v>0</v>
      </c>
      <c r="P161" s="3">
        <f>Table15[[#This Row],[Principal]]+Table15[[#This Row],[Interest]]+Table15[[#This Row],[Prepayments]]+Table15[[#This Row],[RecoveredAmount]]</f>
        <v>0</v>
      </c>
      <c r="Q161" s="3">
        <f ca="1">ROUND(Table15[[#This Row],[Cash Flow]]/((1+ActualRateToUse)^(IF(ISNUMBER(SEARCH("Actual",$C$7)),Table15[[#This Row],[Running Total]]/365,Table15[[#This Row],[Period]]/12))),2)</f>
        <v>0</v>
      </c>
      <c r="R161" s="2">
        <f>IF(MONTH(Table15[[#This Row],[Date]])=2,28,DAY(DATE(YEAR(Table15[[#This Row],[Date]]),MONTH(Table15[[#This Row],[Date]])+1,1)-1))</f>
        <v>31</v>
      </c>
      <c r="S161" s="2">
        <f ca="1">SUM(OFFSET(Table15[[#Headers],[Days in month]],1,0):Table15[[#This Row],[Days in month]])</f>
        <v>4411</v>
      </c>
      <c r="T161" s="37">
        <f>InterestRate*AmortizationMultiplier*IF(ISNUMBER(SEARCH("Actual",$C$7)),Table15[[#This Row],[Days in month]]/365,1/12)</f>
        <v>5.8133611111111103E-3</v>
      </c>
    </row>
    <row r="162" spans="2:20" x14ac:dyDescent="0.2">
      <c r="B162" s="1">
        <f t="shared" si="6"/>
        <v>50283</v>
      </c>
      <c r="C162" s="2">
        <f t="shared" si="8"/>
        <v>146</v>
      </c>
      <c r="D162" s="3">
        <f t="shared" si="7"/>
        <v>0</v>
      </c>
      <c r="E162" s="3">
        <f>ROUND(Table15[[#This Row],[Beginning Balance]]*Table15[[#This Row],[Monthly Interest Rate]],2)</f>
        <v>0</v>
      </c>
      <c r="F162" s="3">
        <f t="shared" si="9"/>
        <v>126</v>
      </c>
      <c r="G162" s="23">
        <f>IFERROR(IF($C$13="No","N/A",IF(Table15[[#This Row],[Period]]=1,$C$6,PMT(InterestRate*AmortizationMultiplier/12,Table15[[#This Row],[Am Thru]],-Table15[[#This Row],[Beginning Balance]]))),0)</f>
        <v>0</v>
      </c>
      <c r="H162" s="3">
        <f>MAX(0,IF(C162=$C$4,D162,ROUND(IF($C$3="Fixed Principal",$C$6-Table15[[#This Row],[Interest]],IF($C$3="Interest Only",Table15[[#This Row],[Beginning Balance]]*ROUND(1-(1-IF($C$11="No",$E$8,1))^(1/12),6),MIN(IF($C$13="Yes",Table15[[#This Row],[Payment Amount (Reamortized)]],$C$6)-Table15[[#This Row],[Interest]],Table15[[#This Row],[Beginning Balance]]))),2)))</f>
        <v>0</v>
      </c>
      <c r="I162" s="3">
        <f>_xlfn.SINGLE(IF($C$3="Line of Credit",0,ROUND(MAX(MIN(IF($C$10="No",$E$7,VLOOKUP(Table15[[#This Row],[Period]],Forecast!$H$2:$L$1048576,4,FALSE))*Table15[[#This Row],[Beginning Balance]],Table15[[#This Row],[Beginning Balance]]-Table15[[#This Row],[Principal]]),0),2)))</f>
        <v>0</v>
      </c>
      <c r="J162" s="3">
        <f>ROUND(MIN(Table15[[#This Row],[Beginning Balance]]*IF($C$8="No",$E$3,VLOOKUP(Table15[[#This Row],[Period]],Forecast!$H$2:$L$1048576,2,FALSE)),Table15[[#This Row],[Beginning Balance]]-Table15[[#This Row],[Principal]]-Table15[[#This Row],[Prepayments]]),2)</f>
        <v>0</v>
      </c>
      <c r="K162" s="3">
        <f>ROUND(Table15[[#This Row],[Defaulted Principal]]*IF($C$9="No",$E$4,VLOOKUP(Table15[[#This Row],[Period]],Forecast!$H$2:$L$1048576,3,FALSE)),2)</f>
        <v>0</v>
      </c>
      <c r="L162" s="2">
        <f>Table15[[#This Row],[Period]]+$E$9</f>
        <v>158</v>
      </c>
      <c r="M162" s="3">
        <f>Table15[[#This Row],[Defaulted Principal]]-Table15[[#This Row],[Estimated Loss]]</f>
        <v>0</v>
      </c>
      <c r="N162" s="3">
        <f>IFERROR(VLOOKUP(Table15[[#This Row],[Period]],$L$16:$M$385,2,FALSE),0)</f>
        <v>0</v>
      </c>
      <c r="O162" s="3">
        <f>Table15[[#This Row],[Beginning Balance]]-Table15[[#This Row],[Principal]]-Table15[[#This Row],[Prepayments]]-Table15[[#This Row],[Defaulted Principal]]</f>
        <v>0</v>
      </c>
      <c r="P162" s="3">
        <f>Table15[[#This Row],[Principal]]+Table15[[#This Row],[Interest]]+Table15[[#This Row],[Prepayments]]+Table15[[#This Row],[RecoveredAmount]]</f>
        <v>0</v>
      </c>
      <c r="Q162" s="3">
        <f ca="1">ROUND(Table15[[#This Row],[Cash Flow]]/((1+ActualRateToUse)^(IF(ISNUMBER(SEARCH("Actual",$C$7)),Table15[[#This Row],[Running Total]]/365,Table15[[#This Row],[Period]]/12))),2)</f>
        <v>0</v>
      </c>
      <c r="R162" s="2">
        <f>IF(MONTH(Table15[[#This Row],[Date]])=2,28,DAY(DATE(YEAR(Table15[[#This Row],[Date]]),MONTH(Table15[[#This Row],[Date]])+1,1)-1))</f>
        <v>31</v>
      </c>
      <c r="S162" s="2">
        <f ca="1">SUM(OFFSET(Table15[[#Headers],[Days in month]],1,0):Table15[[#This Row],[Days in month]])</f>
        <v>4442</v>
      </c>
      <c r="T162" s="37">
        <f>InterestRate*AmortizationMultiplier*IF(ISNUMBER(SEARCH("Actual",$C$7)),Table15[[#This Row],[Days in month]]/365,1/12)</f>
        <v>5.8133611111111103E-3</v>
      </c>
    </row>
    <row r="163" spans="2:20" x14ac:dyDescent="0.2">
      <c r="B163" s="1">
        <f t="shared" si="6"/>
        <v>50313</v>
      </c>
      <c r="C163" s="2">
        <f t="shared" si="8"/>
        <v>147</v>
      </c>
      <c r="D163" s="3">
        <f t="shared" si="7"/>
        <v>0</v>
      </c>
      <c r="E163" s="3">
        <f>ROUND(Table15[[#This Row],[Beginning Balance]]*Table15[[#This Row],[Monthly Interest Rate]],2)</f>
        <v>0</v>
      </c>
      <c r="F163" s="3">
        <f t="shared" si="9"/>
        <v>125</v>
      </c>
      <c r="G163" s="23">
        <f>IFERROR(IF($C$13="No","N/A",IF(Table15[[#This Row],[Period]]=1,$C$6,PMT(InterestRate*AmortizationMultiplier/12,Table15[[#This Row],[Am Thru]],-Table15[[#This Row],[Beginning Balance]]))),0)</f>
        <v>0</v>
      </c>
      <c r="H163" s="3">
        <f>MAX(0,IF(C163=$C$4,D163,ROUND(IF($C$3="Fixed Principal",$C$6-Table15[[#This Row],[Interest]],IF($C$3="Interest Only",Table15[[#This Row],[Beginning Balance]]*ROUND(1-(1-IF($C$11="No",$E$8,1))^(1/12),6),MIN(IF($C$13="Yes",Table15[[#This Row],[Payment Amount (Reamortized)]],$C$6)-Table15[[#This Row],[Interest]],Table15[[#This Row],[Beginning Balance]]))),2)))</f>
        <v>0</v>
      </c>
      <c r="I163" s="3">
        <f>_xlfn.SINGLE(IF($C$3="Line of Credit",0,ROUND(MAX(MIN(IF($C$10="No",$E$7,VLOOKUP(Table15[[#This Row],[Period]],Forecast!$H$2:$L$1048576,4,FALSE))*Table15[[#This Row],[Beginning Balance]],Table15[[#This Row],[Beginning Balance]]-Table15[[#This Row],[Principal]]),0),2)))</f>
        <v>0</v>
      </c>
      <c r="J163" s="3">
        <f>ROUND(MIN(Table15[[#This Row],[Beginning Balance]]*IF($C$8="No",$E$3,VLOOKUP(Table15[[#This Row],[Period]],Forecast!$H$2:$L$1048576,2,FALSE)),Table15[[#This Row],[Beginning Balance]]-Table15[[#This Row],[Principal]]-Table15[[#This Row],[Prepayments]]),2)</f>
        <v>0</v>
      </c>
      <c r="K163" s="3">
        <f>ROUND(Table15[[#This Row],[Defaulted Principal]]*IF($C$9="No",$E$4,VLOOKUP(Table15[[#This Row],[Period]],Forecast!$H$2:$L$1048576,3,FALSE)),2)</f>
        <v>0</v>
      </c>
      <c r="L163" s="2">
        <f>Table15[[#This Row],[Period]]+$E$9</f>
        <v>159</v>
      </c>
      <c r="M163" s="3">
        <f>Table15[[#This Row],[Defaulted Principal]]-Table15[[#This Row],[Estimated Loss]]</f>
        <v>0</v>
      </c>
      <c r="N163" s="3">
        <f>IFERROR(VLOOKUP(Table15[[#This Row],[Period]],$L$16:$M$385,2,FALSE),0)</f>
        <v>0</v>
      </c>
      <c r="O163" s="3">
        <f>Table15[[#This Row],[Beginning Balance]]-Table15[[#This Row],[Principal]]-Table15[[#This Row],[Prepayments]]-Table15[[#This Row],[Defaulted Principal]]</f>
        <v>0</v>
      </c>
      <c r="P163" s="3">
        <f>Table15[[#This Row],[Principal]]+Table15[[#This Row],[Interest]]+Table15[[#This Row],[Prepayments]]+Table15[[#This Row],[RecoveredAmount]]</f>
        <v>0</v>
      </c>
      <c r="Q163" s="3">
        <f ca="1">ROUND(Table15[[#This Row],[Cash Flow]]/((1+ActualRateToUse)^(IF(ISNUMBER(SEARCH("Actual",$C$7)),Table15[[#This Row],[Running Total]]/365,Table15[[#This Row],[Period]]/12))),2)</f>
        <v>0</v>
      </c>
      <c r="R163" s="2">
        <f>IF(MONTH(Table15[[#This Row],[Date]])=2,28,DAY(DATE(YEAR(Table15[[#This Row],[Date]]),MONTH(Table15[[#This Row],[Date]])+1,1)-1))</f>
        <v>30</v>
      </c>
      <c r="S163" s="2">
        <f ca="1">SUM(OFFSET(Table15[[#Headers],[Days in month]],1,0):Table15[[#This Row],[Days in month]])</f>
        <v>4472</v>
      </c>
      <c r="T163" s="37">
        <f>InterestRate*AmortizationMultiplier*IF(ISNUMBER(SEARCH("Actual",$C$7)),Table15[[#This Row],[Days in month]]/365,1/12)</f>
        <v>5.6258333333333325E-3</v>
      </c>
    </row>
    <row r="164" spans="2:20" x14ac:dyDescent="0.2">
      <c r="B164" s="1">
        <f t="shared" si="6"/>
        <v>50344</v>
      </c>
      <c r="C164" s="2">
        <f t="shared" si="8"/>
        <v>148</v>
      </c>
      <c r="D164" s="3">
        <f t="shared" si="7"/>
        <v>0</v>
      </c>
      <c r="E164" s="3">
        <f>ROUND(Table15[[#This Row],[Beginning Balance]]*Table15[[#This Row],[Monthly Interest Rate]],2)</f>
        <v>0</v>
      </c>
      <c r="F164" s="3">
        <f t="shared" si="9"/>
        <v>124</v>
      </c>
      <c r="G164" s="23">
        <f>IFERROR(IF($C$13="No","N/A",IF(Table15[[#This Row],[Period]]=1,$C$6,PMT(InterestRate*AmortizationMultiplier/12,Table15[[#This Row],[Am Thru]],-Table15[[#This Row],[Beginning Balance]]))),0)</f>
        <v>0</v>
      </c>
      <c r="H164" s="3">
        <f>MAX(0,IF(C164=$C$4,D164,ROUND(IF($C$3="Fixed Principal",$C$6-Table15[[#This Row],[Interest]],IF($C$3="Interest Only",Table15[[#This Row],[Beginning Balance]]*ROUND(1-(1-IF($C$11="No",$E$8,1))^(1/12),6),MIN(IF($C$13="Yes",Table15[[#This Row],[Payment Amount (Reamortized)]],$C$6)-Table15[[#This Row],[Interest]],Table15[[#This Row],[Beginning Balance]]))),2)))</f>
        <v>0</v>
      </c>
      <c r="I164" s="3">
        <f>_xlfn.SINGLE(IF($C$3="Line of Credit",0,ROUND(MAX(MIN(IF($C$10="No",$E$7,VLOOKUP(Table15[[#This Row],[Period]],Forecast!$H$2:$L$1048576,4,FALSE))*Table15[[#This Row],[Beginning Balance]],Table15[[#This Row],[Beginning Balance]]-Table15[[#This Row],[Principal]]),0),2)))</f>
        <v>0</v>
      </c>
      <c r="J164" s="3">
        <f>ROUND(MIN(Table15[[#This Row],[Beginning Balance]]*IF($C$8="No",$E$3,VLOOKUP(Table15[[#This Row],[Period]],Forecast!$H$2:$L$1048576,2,FALSE)),Table15[[#This Row],[Beginning Balance]]-Table15[[#This Row],[Principal]]-Table15[[#This Row],[Prepayments]]),2)</f>
        <v>0</v>
      </c>
      <c r="K164" s="3">
        <f>ROUND(Table15[[#This Row],[Defaulted Principal]]*IF($C$9="No",$E$4,VLOOKUP(Table15[[#This Row],[Period]],Forecast!$H$2:$L$1048576,3,FALSE)),2)</f>
        <v>0</v>
      </c>
      <c r="L164" s="2">
        <f>Table15[[#This Row],[Period]]+$E$9</f>
        <v>160</v>
      </c>
      <c r="M164" s="3">
        <f>Table15[[#This Row],[Defaulted Principal]]-Table15[[#This Row],[Estimated Loss]]</f>
        <v>0</v>
      </c>
      <c r="N164" s="3">
        <f>IFERROR(VLOOKUP(Table15[[#This Row],[Period]],$L$16:$M$385,2,FALSE),0)</f>
        <v>0</v>
      </c>
      <c r="O164" s="3">
        <f>Table15[[#This Row],[Beginning Balance]]-Table15[[#This Row],[Principal]]-Table15[[#This Row],[Prepayments]]-Table15[[#This Row],[Defaulted Principal]]</f>
        <v>0</v>
      </c>
      <c r="P164" s="3">
        <f>Table15[[#This Row],[Principal]]+Table15[[#This Row],[Interest]]+Table15[[#This Row],[Prepayments]]+Table15[[#This Row],[RecoveredAmount]]</f>
        <v>0</v>
      </c>
      <c r="Q164" s="3">
        <f ca="1">ROUND(Table15[[#This Row],[Cash Flow]]/((1+ActualRateToUse)^(IF(ISNUMBER(SEARCH("Actual",$C$7)),Table15[[#This Row],[Running Total]]/365,Table15[[#This Row],[Period]]/12))),2)</f>
        <v>0</v>
      </c>
      <c r="R164" s="2">
        <f>IF(MONTH(Table15[[#This Row],[Date]])=2,28,DAY(DATE(YEAR(Table15[[#This Row],[Date]]),MONTH(Table15[[#This Row],[Date]])+1,1)-1))</f>
        <v>31</v>
      </c>
      <c r="S164" s="2">
        <f ca="1">SUM(OFFSET(Table15[[#Headers],[Days in month]],1,0):Table15[[#This Row],[Days in month]])</f>
        <v>4503</v>
      </c>
      <c r="T164" s="37">
        <f>InterestRate*AmortizationMultiplier*IF(ISNUMBER(SEARCH("Actual",$C$7)),Table15[[#This Row],[Days in month]]/365,1/12)</f>
        <v>5.8133611111111103E-3</v>
      </c>
    </row>
    <row r="165" spans="2:20" x14ac:dyDescent="0.2">
      <c r="B165" s="1">
        <f t="shared" si="6"/>
        <v>50374</v>
      </c>
      <c r="C165" s="2">
        <f t="shared" si="8"/>
        <v>149</v>
      </c>
      <c r="D165" s="3">
        <f t="shared" si="7"/>
        <v>0</v>
      </c>
      <c r="E165" s="3">
        <f>ROUND(Table15[[#This Row],[Beginning Balance]]*Table15[[#This Row],[Monthly Interest Rate]],2)</f>
        <v>0</v>
      </c>
      <c r="F165" s="3">
        <f t="shared" si="9"/>
        <v>123</v>
      </c>
      <c r="G165" s="23">
        <f>IFERROR(IF($C$13="No","N/A",IF(Table15[[#This Row],[Period]]=1,$C$6,PMT(InterestRate*AmortizationMultiplier/12,Table15[[#This Row],[Am Thru]],-Table15[[#This Row],[Beginning Balance]]))),0)</f>
        <v>0</v>
      </c>
      <c r="H165" s="3">
        <f>MAX(0,IF(C165=$C$4,D165,ROUND(IF($C$3="Fixed Principal",$C$6-Table15[[#This Row],[Interest]],IF($C$3="Interest Only",Table15[[#This Row],[Beginning Balance]]*ROUND(1-(1-IF($C$11="No",$E$8,1))^(1/12),6),MIN(IF($C$13="Yes",Table15[[#This Row],[Payment Amount (Reamortized)]],$C$6)-Table15[[#This Row],[Interest]],Table15[[#This Row],[Beginning Balance]]))),2)))</f>
        <v>0</v>
      </c>
      <c r="I165" s="3">
        <f>_xlfn.SINGLE(IF($C$3="Line of Credit",0,ROUND(MAX(MIN(IF($C$10="No",$E$7,VLOOKUP(Table15[[#This Row],[Period]],Forecast!$H$2:$L$1048576,4,FALSE))*Table15[[#This Row],[Beginning Balance]],Table15[[#This Row],[Beginning Balance]]-Table15[[#This Row],[Principal]]),0),2)))</f>
        <v>0</v>
      </c>
      <c r="J165" s="3">
        <f>ROUND(MIN(Table15[[#This Row],[Beginning Balance]]*IF($C$8="No",$E$3,VLOOKUP(Table15[[#This Row],[Period]],Forecast!$H$2:$L$1048576,2,FALSE)),Table15[[#This Row],[Beginning Balance]]-Table15[[#This Row],[Principal]]-Table15[[#This Row],[Prepayments]]),2)</f>
        <v>0</v>
      </c>
      <c r="K165" s="3">
        <f>ROUND(Table15[[#This Row],[Defaulted Principal]]*IF($C$9="No",$E$4,VLOOKUP(Table15[[#This Row],[Period]],Forecast!$H$2:$L$1048576,3,FALSE)),2)</f>
        <v>0</v>
      </c>
      <c r="L165" s="2">
        <f>Table15[[#This Row],[Period]]+$E$9</f>
        <v>161</v>
      </c>
      <c r="M165" s="3">
        <f>Table15[[#This Row],[Defaulted Principal]]-Table15[[#This Row],[Estimated Loss]]</f>
        <v>0</v>
      </c>
      <c r="N165" s="3">
        <f>IFERROR(VLOOKUP(Table15[[#This Row],[Period]],$L$16:$M$385,2,FALSE),0)</f>
        <v>0</v>
      </c>
      <c r="O165" s="3">
        <f>Table15[[#This Row],[Beginning Balance]]-Table15[[#This Row],[Principal]]-Table15[[#This Row],[Prepayments]]-Table15[[#This Row],[Defaulted Principal]]</f>
        <v>0</v>
      </c>
      <c r="P165" s="3">
        <f>Table15[[#This Row],[Principal]]+Table15[[#This Row],[Interest]]+Table15[[#This Row],[Prepayments]]+Table15[[#This Row],[RecoveredAmount]]</f>
        <v>0</v>
      </c>
      <c r="Q165" s="3">
        <f ca="1">ROUND(Table15[[#This Row],[Cash Flow]]/((1+ActualRateToUse)^(IF(ISNUMBER(SEARCH("Actual",$C$7)),Table15[[#This Row],[Running Total]]/365,Table15[[#This Row],[Period]]/12))),2)</f>
        <v>0</v>
      </c>
      <c r="R165" s="2">
        <f>IF(MONTH(Table15[[#This Row],[Date]])=2,28,DAY(DATE(YEAR(Table15[[#This Row],[Date]]),MONTH(Table15[[#This Row],[Date]])+1,1)-1))</f>
        <v>30</v>
      </c>
      <c r="S165" s="2">
        <f ca="1">SUM(OFFSET(Table15[[#Headers],[Days in month]],1,0):Table15[[#This Row],[Days in month]])</f>
        <v>4533</v>
      </c>
      <c r="T165" s="37">
        <f>InterestRate*AmortizationMultiplier*IF(ISNUMBER(SEARCH("Actual",$C$7)),Table15[[#This Row],[Days in month]]/365,1/12)</f>
        <v>5.6258333333333325E-3</v>
      </c>
    </row>
    <row r="166" spans="2:20" x14ac:dyDescent="0.2">
      <c r="B166" s="1">
        <f t="shared" si="6"/>
        <v>50405</v>
      </c>
      <c r="C166" s="2">
        <f t="shared" si="8"/>
        <v>150</v>
      </c>
      <c r="D166" s="3">
        <f t="shared" si="7"/>
        <v>0</v>
      </c>
      <c r="E166" s="3">
        <f>ROUND(Table15[[#This Row],[Beginning Balance]]*Table15[[#This Row],[Monthly Interest Rate]],2)</f>
        <v>0</v>
      </c>
      <c r="F166" s="3">
        <f t="shared" si="9"/>
        <v>122</v>
      </c>
      <c r="G166" s="23">
        <f>IFERROR(IF($C$13="No","N/A",IF(Table15[[#This Row],[Period]]=1,$C$6,PMT(InterestRate*AmortizationMultiplier/12,Table15[[#This Row],[Am Thru]],-Table15[[#This Row],[Beginning Balance]]))),0)</f>
        <v>0</v>
      </c>
      <c r="H166" s="3">
        <f>MAX(0,IF(C166=$C$4,D166,ROUND(IF($C$3="Fixed Principal",$C$6-Table15[[#This Row],[Interest]],IF($C$3="Interest Only",Table15[[#This Row],[Beginning Balance]]*ROUND(1-(1-IF($C$11="No",$E$8,1))^(1/12),6),MIN(IF($C$13="Yes",Table15[[#This Row],[Payment Amount (Reamortized)]],$C$6)-Table15[[#This Row],[Interest]],Table15[[#This Row],[Beginning Balance]]))),2)))</f>
        <v>0</v>
      </c>
      <c r="I166" s="3">
        <f>_xlfn.SINGLE(IF($C$3="Line of Credit",0,ROUND(MAX(MIN(IF($C$10="No",$E$7,VLOOKUP(Table15[[#This Row],[Period]],Forecast!$H$2:$L$1048576,4,FALSE))*Table15[[#This Row],[Beginning Balance]],Table15[[#This Row],[Beginning Balance]]-Table15[[#This Row],[Principal]]),0),2)))</f>
        <v>0</v>
      </c>
      <c r="J166" s="3">
        <f>ROUND(MIN(Table15[[#This Row],[Beginning Balance]]*IF($C$8="No",$E$3,VLOOKUP(Table15[[#This Row],[Period]],Forecast!$H$2:$L$1048576,2,FALSE)),Table15[[#This Row],[Beginning Balance]]-Table15[[#This Row],[Principal]]-Table15[[#This Row],[Prepayments]]),2)</f>
        <v>0</v>
      </c>
      <c r="K166" s="3">
        <f>ROUND(Table15[[#This Row],[Defaulted Principal]]*IF($C$9="No",$E$4,VLOOKUP(Table15[[#This Row],[Period]],Forecast!$H$2:$L$1048576,3,FALSE)),2)</f>
        <v>0</v>
      </c>
      <c r="L166" s="2">
        <f>Table15[[#This Row],[Period]]+$E$9</f>
        <v>162</v>
      </c>
      <c r="M166" s="3">
        <f>Table15[[#This Row],[Defaulted Principal]]-Table15[[#This Row],[Estimated Loss]]</f>
        <v>0</v>
      </c>
      <c r="N166" s="3">
        <f>IFERROR(VLOOKUP(Table15[[#This Row],[Period]],$L$16:$M$385,2,FALSE),0)</f>
        <v>0</v>
      </c>
      <c r="O166" s="3">
        <f>Table15[[#This Row],[Beginning Balance]]-Table15[[#This Row],[Principal]]-Table15[[#This Row],[Prepayments]]-Table15[[#This Row],[Defaulted Principal]]</f>
        <v>0</v>
      </c>
      <c r="P166" s="3">
        <f>Table15[[#This Row],[Principal]]+Table15[[#This Row],[Interest]]+Table15[[#This Row],[Prepayments]]+Table15[[#This Row],[RecoveredAmount]]</f>
        <v>0</v>
      </c>
      <c r="Q166" s="3">
        <f ca="1">ROUND(Table15[[#This Row],[Cash Flow]]/((1+ActualRateToUse)^(IF(ISNUMBER(SEARCH("Actual",$C$7)),Table15[[#This Row],[Running Total]]/365,Table15[[#This Row],[Period]]/12))),2)</f>
        <v>0</v>
      </c>
      <c r="R166" s="2">
        <f>IF(MONTH(Table15[[#This Row],[Date]])=2,28,DAY(DATE(YEAR(Table15[[#This Row],[Date]]),MONTH(Table15[[#This Row],[Date]])+1,1)-1))</f>
        <v>31</v>
      </c>
      <c r="S166" s="2">
        <f ca="1">SUM(OFFSET(Table15[[#Headers],[Days in month]],1,0):Table15[[#This Row],[Days in month]])</f>
        <v>4564</v>
      </c>
      <c r="T166" s="37">
        <f>InterestRate*AmortizationMultiplier*IF(ISNUMBER(SEARCH("Actual",$C$7)),Table15[[#This Row],[Days in month]]/365,1/12)</f>
        <v>5.8133611111111103E-3</v>
      </c>
    </row>
    <row r="167" spans="2:20" x14ac:dyDescent="0.2">
      <c r="B167" s="1">
        <f t="shared" si="6"/>
        <v>50436</v>
      </c>
      <c r="C167" s="2">
        <f t="shared" si="8"/>
        <v>151</v>
      </c>
      <c r="D167" s="3">
        <f t="shared" si="7"/>
        <v>0</v>
      </c>
      <c r="E167" s="3">
        <f>ROUND(Table15[[#This Row],[Beginning Balance]]*Table15[[#This Row],[Monthly Interest Rate]],2)</f>
        <v>0</v>
      </c>
      <c r="F167" s="3">
        <f t="shared" si="9"/>
        <v>121</v>
      </c>
      <c r="G167" s="23">
        <f>IFERROR(IF($C$13="No","N/A",IF(Table15[[#This Row],[Period]]=1,$C$6,PMT(InterestRate*AmortizationMultiplier/12,Table15[[#This Row],[Am Thru]],-Table15[[#This Row],[Beginning Balance]]))),0)</f>
        <v>0</v>
      </c>
      <c r="H167" s="3">
        <f>MAX(0,IF(C167=$C$4,D167,ROUND(IF($C$3="Fixed Principal",$C$6-Table15[[#This Row],[Interest]],IF($C$3="Interest Only",Table15[[#This Row],[Beginning Balance]]*ROUND(1-(1-IF($C$11="No",$E$8,1))^(1/12),6),MIN(IF($C$13="Yes",Table15[[#This Row],[Payment Amount (Reamortized)]],$C$6)-Table15[[#This Row],[Interest]],Table15[[#This Row],[Beginning Balance]]))),2)))</f>
        <v>0</v>
      </c>
      <c r="I167" s="3">
        <f>_xlfn.SINGLE(IF($C$3="Line of Credit",0,ROUND(MAX(MIN(IF($C$10="No",$E$7,VLOOKUP(Table15[[#This Row],[Period]],Forecast!$H$2:$L$1048576,4,FALSE))*Table15[[#This Row],[Beginning Balance]],Table15[[#This Row],[Beginning Balance]]-Table15[[#This Row],[Principal]]),0),2)))</f>
        <v>0</v>
      </c>
      <c r="J167" s="3">
        <f>ROUND(MIN(Table15[[#This Row],[Beginning Balance]]*IF($C$8="No",$E$3,VLOOKUP(Table15[[#This Row],[Period]],Forecast!$H$2:$L$1048576,2,FALSE)),Table15[[#This Row],[Beginning Balance]]-Table15[[#This Row],[Principal]]-Table15[[#This Row],[Prepayments]]),2)</f>
        <v>0</v>
      </c>
      <c r="K167" s="3">
        <f>ROUND(Table15[[#This Row],[Defaulted Principal]]*IF($C$9="No",$E$4,VLOOKUP(Table15[[#This Row],[Period]],Forecast!$H$2:$L$1048576,3,FALSE)),2)</f>
        <v>0</v>
      </c>
      <c r="L167" s="2">
        <f>Table15[[#This Row],[Period]]+$E$9</f>
        <v>163</v>
      </c>
      <c r="M167" s="3">
        <f>Table15[[#This Row],[Defaulted Principal]]-Table15[[#This Row],[Estimated Loss]]</f>
        <v>0</v>
      </c>
      <c r="N167" s="3">
        <f>IFERROR(VLOOKUP(Table15[[#This Row],[Period]],$L$16:$M$385,2,FALSE),0)</f>
        <v>0</v>
      </c>
      <c r="O167" s="3">
        <f>Table15[[#This Row],[Beginning Balance]]-Table15[[#This Row],[Principal]]-Table15[[#This Row],[Prepayments]]-Table15[[#This Row],[Defaulted Principal]]</f>
        <v>0</v>
      </c>
      <c r="P167" s="3">
        <f>Table15[[#This Row],[Principal]]+Table15[[#This Row],[Interest]]+Table15[[#This Row],[Prepayments]]+Table15[[#This Row],[RecoveredAmount]]</f>
        <v>0</v>
      </c>
      <c r="Q167" s="3">
        <f ca="1">ROUND(Table15[[#This Row],[Cash Flow]]/((1+ActualRateToUse)^(IF(ISNUMBER(SEARCH("Actual",$C$7)),Table15[[#This Row],[Running Total]]/365,Table15[[#This Row],[Period]]/12))),2)</f>
        <v>0</v>
      </c>
      <c r="R167" s="2">
        <f>IF(MONTH(Table15[[#This Row],[Date]])=2,28,DAY(DATE(YEAR(Table15[[#This Row],[Date]]),MONTH(Table15[[#This Row],[Date]])+1,1)-1))</f>
        <v>31</v>
      </c>
      <c r="S167" s="2">
        <f ca="1">SUM(OFFSET(Table15[[#Headers],[Days in month]],1,0):Table15[[#This Row],[Days in month]])</f>
        <v>4595</v>
      </c>
      <c r="T167" s="37">
        <f>InterestRate*AmortizationMultiplier*IF(ISNUMBER(SEARCH("Actual",$C$7)),Table15[[#This Row],[Days in month]]/365,1/12)</f>
        <v>5.8133611111111103E-3</v>
      </c>
    </row>
    <row r="168" spans="2:20" x14ac:dyDescent="0.2">
      <c r="B168" s="1">
        <f t="shared" si="6"/>
        <v>50464</v>
      </c>
      <c r="C168" s="2">
        <f t="shared" si="8"/>
        <v>152</v>
      </c>
      <c r="D168" s="3">
        <f t="shared" si="7"/>
        <v>0</v>
      </c>
      <c r="E168" s="3">
        <f>ROUND(Table15[[#This Row],[Beginning Balance]]*Table15[[#This Row],[Monthly Interest Rate]],2)</f>
        <v>0</v>
      </c>
      <c r="F168" s="3">
        <f t="shared" si="9"/>
        <v>120</v>
      </c>
      <c r="G168" s="23">
        <f>IFERROR(IF($C$13="No","N/A",IF(Table15[[#This Row],[Period]]=1,$C$6,PMT(InterestRate*AmortizationMultiplier/12,Table15[[#This Row],[Am Thru]],-Table15[[#This Row],[Beginning Balance]]))),0)</f>
        <v>0</v>
      </c>
      <c r="H168" s="3">
        <f>MAX(0,IF(C168=$C$4,D168,ROUND(IF($C$3="Fixed Principal",$C$6-Table15[[#This Row],[Interest]],IF($C$3="Interest Only",Table15[[#This Row],[Beginning Balance]]*ROUND(1-(1-IF($C$11="No",$E$8,1))^(1/12),6),MIN(IF($C$13="Yes",Table15[[#This Row],[Payment Amount (Reamortized)]],$C$6)-Table15[[#This Row],[Interest]],Table15[[#This Row],[Beginning Balance]]))),2)))</f>
        <v>0</v>
      </c>
      <c r="I168" s="3">
        <f>_xlfn.SINGLE(IF($C$3="Line of Credit",0,ROUND(MAX(MIN(IF($C$10="No",$E$7,VLOOKUP(Table15[[#This Row],[Period]],Forecast!$H$2:$L$1048576,4,FALSE))*Table15[[#This Row],[Beginning Balance]],Table15[[#This Row],[Beginning Balance]]-Table15[[#This Row],[Principal]]),0),2)))</f>
        <v>0</v>
      </c>
      <c r="J168" s="3">
        <f>ROUND(MIN(Table15[[#This Row],[Beginning Balance]]*IF($C$8="No",$E$3,VLOOKUP(Table15[[#This Row],[Period]],Forecast!$H$2:$L$1048576,2,FALSE)),Table15[[#This Row],[Beginning Balance]]-Table15[[#This Row],[Principal]]-Table15[[#This Row],[Prepayments]]),2)</f>
        <v>0</v>
      </c>
      <c r="K168" s="3">
        <f>ROUND(Table15[[#This Row],[Defaulted Principal]]*IF($C$9="No",$E$4,VLOOKUP(Table15[[#This Row],[Period]],Forecast!$H$2:$L$1048576,3,FALSE)),2)</f>
        <v>0</v>
      </c>
      <c r="L168" s="2">
        <f>Table15[[#This Row],[Period]]+$E$9</f>
        <v>164</v>
      </c>
      <c r="M168" s="3">
        <f>Table15[[#This Row],[Defaulted Principal]]-Table15[[#This Row],[Estimated Loss]]</f>
        <v>0</v>
      </c>
      <c r="N168" s="3">
        <f>IFERROR(VLOOKUP(Table15[[#This Row],[Period]],$L$16:$M$385,2,FALSE),0)</f>
        <v>0</v>
      </c>
      <c r="O168" s="3">
        <f>Table15[[#This Row],[Beginning Balance]]-Table15[[#This Row],[Principal]]-Table15[[#This Row],[Prepayments]]-Table15[[#This Row],[Defaulted Principal]]</f>
        <v>0</v>
      </c>
      <c r="P168" s="3">
        <f>Table15[[#This Row],[Principal]]+Table15[[#This Row],[Interest]]+Table15[[#This Row],[Prepayments]]+Table15[[#This Row],[RecoveredAmount]]</f>
        <v>0</v>
      </c>
      <c r="Q168" s="3">
        <f ca="1">ROUND(Table15[[#This Row],[Cash Flow]]/((1+ActualRateToUse)^(IF(ISNUMBER(SEARCH("Actual",$C$7)),Table15[[#This Row],[Running Total]]/365,Table15[[#This Row],[Period]]/12))),2)</f>
        <v>0</v>
      </c>
      <c r="R168" s="2">
        <f>IF(MONTH(Table15[[#This Row],[Date]])=2,28,DAY(DATE(YEAR(Table15[[#This Row],[Date]]),MONTH(Table15[[#This Row],[Date]])+1,1)-1))</f>
        <v>28</v>
      </c>
      <c r="S168" s="2">
        <f ca="1">SUM(OFFSET(Table15[[#Headers],[Days in month]],1,0):Table15[[#This Row],[Days in month]])</f>
        <v>4623</v>
      </c>
      <c r="T168" s="37">
        <f>InterestRate*AmortizationMultiplier*IF(ISNUMBER(SEARCH("Actual",$C$7)),Table15[[#This Row],[Days in month]]/365,1/12)</f>
        <v>5.2507777777777778E-3</v>
      </c>
    </row>
    <row r="169" spans="2:20" x14ac:dyDescent="0.2">
      <c r="B169" s="1">
        <f t="shared" si="6"/>
        <v>50495</v>
      </c>
      <c r="C169" s="2">
        <f t="shared" si="8"/>
        <v>153</v>
      </c>
      <c r="D169" s="3">
        <f t="shared" si="7"/>
        <v>0</v>
      </c>
      <c r="E169" s="3">
        <f>ROUND(Table15[[#This Row],[Beginning Balance]]*Table15[[#This Row],[Monthly Interest Rate]],2)</f>
        <v>0</v>
      </c>
      <c r="F169" s="3">
        <f t="shared" si="9"/>
        <v>119</v>
      </c>
      <c r="G169" s="23">
        <f>IFERROR(IF($C$13="No","N/A",IF(Table15[[#This Row],[Period]]=1,$C$6,PMT(InterestRate*AmortizationMultiplier/12,Table15[[#This Row],[Am Thru]],-Table15[[#This Row],[Beginning Balance]]))),0)</f>
        <v>0</v>
      </c>
      <c r="H169" s="3">
        <f>MAX(0,IF(C169=$C$4,D169,ROUND(IF($C$3="Fixed Principal",$C$6-Table15[[#This Row],[Interest]],IF($C$3="Interest Only",Table15[[#This Row],[Beginning Balance]]*ROUND(1-(1-IF($C$11="No",$E$8,1))^(1/12),6),MIN(IF($C$13="Yes",Table15[[#This Row],[Payment Amount (Reamortized)]],$C$6)-Table15[[#This Row],[Interest]],Table15[[#This Row],[Beginning Balance]]))),2)))</f>
        <v>0</v>
      </c>
      <c r="I169" s="3">
        <f>_xlfn.SINGLE(IF($C$3="Line of Credit",0,ROUND(MAX(MIN(IF($C$10="No",$E$7,VLOOKUP(Table15[[#This Row],[Period]],Forecast!$H$2:$L$1048576,4,FALSE))*Table15[[#This Row],[Beginning Balance]],Table15[[#This Row],[Beginning Balance]]-Table15[[#This Row],[Principal]]),0),2)))</f>
        <v>0</v>
      </c>
      <c r="J169" s="3">
        <f>ROUND(MIN(Table15[[#This Row],[Beginning Balance]]*IF($C$8="No",$E$3,VLOOKUP(Table15[[#This Row],[Period]],Forecast!$H$2:$L$1048576,2,FALSE)),Table15[[#This Row],[Beginning Balance]]-Table15[[#This Row],[Principal]]-Table15[[#This Row],[Prepayments]]),2)</f>
        <v>0</v>
      </c>
      <c r="K169" s="3">
        <f>ROUND(Table15[[#This Row],[Defaulted Principal]]*IF($C$9="No",$E$4,VLOOKUP(Table15[[#This Row],[Period]],Forecast!$H$2:$L$1048576,3,FALSE)),2)</f>
        <v>0</v>
      </c>
      <c r="L169" s="2">
        <f>Table15[[#This Row],[Period]]+$E$9</f>
        <v>165</v>
      </c>
      <c r="M169" s="3">
        <f>Table15[[#This Row],[Defaulted Principal]]-Table15[[#This Row],[Estimated Loss]]</f>
        <v>0</v>
      </c>
      <c r="N169" s="3">
        <f>IFERROR(VLOOKUP(Table15[[#This Row],[Period]],$L$16:$M$385,2,FALSE),0)</f>
        <v>0</v>
      </c>
      <c r="O169" s="3">
        <f>Table15[[#This Row],[Beginning Balance]]-Table15[[#This Row],[Principal]]-Table15[[#This Row],[Prepayments]]-Table15[[#This Row],[Defaulted Principal]]</f>
        <v>0</v>
      </c>
      <c r="P169" s="3">
        <f>Table15[[#This Row],[Principal]]+Table15[[#This Row],[Interest]]+Table15[[#This Row],[Prepayments]]+Table15[[#This Row],[RecoveredAmount]]</f>
        <v>0</v>
      </c>
      <c r="Q169" s="3">
        <f ca="1">ROUND(Table15[[#This Row],[Cash Flow]]/((1+ActualRateToUse)^(IF(ISNUMBER(SEARCH("Actual",$C$7)),Table15[[#This Row],[Running Total]]/365,Table15[[#This Row],[Period]]/12))),2)</f>
        <v>0</v>
      </c>
      <c r="R169" s="2">
        <f>IF(MONTH(Table15[[#This Row],[Date]])=2,28,DAY(DATE(YEAR(Table15[[#This Row],[Date]]),MONTH(Table15[[#This Row],[Date]])+1,1)-1))</f>
        <v>31</v>
      </c>
      <c r="S169" s="2">
        <f ca="1">SUM(OFFSET(Table15[[#Headers],[Days in month]],1,0):Table15[[#This Row],[Days in month]])</f>
        <v>4654</v>
      </c>
      <c r="T169" s="37">
        <f>InterestRate*AmortizationMultiplier*IF(ISNUMBER(SEARCH("Actual",$C$7)),Table15[[#This Row],[Days in month]]/365,1/12)</f>
        <v>5.8133611111111103E-3</v>
      </c>
    </row>
    <row r="170" spans="2:20" x14ac:dyDescent="0.2">
      <c r="B170" s="1">
        <f t="shared" si="6"/>
        <v>50525</v>
      </c>
      <c r="C170" s="2">
        <f t="shared" si="8"/>
        <v>154</v>
      </c>
      <c r="D170" s="3">
        <f t="shared" si="7"/>
        <v>0</v>
      </c>
      <c r="E170" s="3">
        <f>ROUND(Table15[[#This Row],[Beginning Balance]]*Table15[[#This Row],[Monthly Interest Rate]],2)</f>
        <v>0</v>
      </c>
      <c r="F170" s="3">
        <f t="shared" si="9"/>
        <v>118</v>
      </c>
      <c r="G170" s="23">
        <f>IFERROR(IF($C$13="No","N/A",IF(Table15[[#This Row],[Period]]=1,$C$6,PMT(InterestRate*AmortizationMultiplier/12,Table15[[#This Row],[Am Thru]],-Table15[[#This Row],[Beginning Balance]]))),0)</f>
        <v>0</v>
      </c>
      <c r="H170" s="3">
        <f>MAX(0,IF(C170=$C$4,D170,ROUND(IF($C$3="Fixed Principal",$C$6-Table15[[#This Row],[Interest]],IF($C$3="Interest Only",Table15[[#This Row],[Beginning Balance]]*ROUND(1-(1-IF($C$11="No",$E$8,1))^(1/12),6),MIN(IF($C$13="Yes",Table15[[#This Row],[Payment Amount (Reamortized)]],$C$6)-Table15[[#This Row],[Interest]],Table15[[#This Row],[Beginning Balance]]))),2)))</f>
        <v>0</v>
      </c>
      <c r="I170" s="3">
        <f>_xlfn.SINGLE(IF($C$3="Line of Credit",0,ROUND(MAX(MIN(IF($C$10="No",$E$7,VLOOKUP(Table15[[#This Row],[Period]],Forecast!$H$2:$L$1048576,4,FALSE))*Table15[[#This Row],[Beginning Balance]],Table15[[#This Row],[Beginning Balance]]-Table15[[#This Row],[Principal]]),0),2)))</f>
        <v>0</v>
      </c>
      <c r="J170" s="3">
        <f>ROUND(MIN(Table15[[#This Row],[Beginning Balance]]*IF($C$8="No",$E$3,VLOOKUP(Table15[[#This Row],[Period]],Forecast!$H$2:$L$1048576,2,FALSE)),Table15[[#This Row],[Beginning Balance]]-Table15[[#This Row],[Principal]]-Table15[[#This Row],[Prepayments]]),2)</f>
        <v>0</v>
      </c>
      <c r="K170" s="3">
        <f>ROUND(Table15[[#This Row],[Defaulted Principal]]*IF($C$9="No",$E$4,VLOOKUP(Table15[[#This Row],[Period]],Forecast!$H$2:$L$1048576,3,FALSE)),2)</f>
        <v>0</v>
      </c>
      <c r="L170" s="2">
        <f>Table15[[#This Row],[Period]]+$E$9</f>
        <v>166</v>
      </c>
      <c r="M170" s="3">
        <f>Table15[[#This Row],[Defaulted Principal]]-Table15[[#This Row],[Estimated Loss]]</f>
        <v>0</v>
      </c>
      <c r="N170" s="3">
        <f>IFERROR(VLOOKUP(Table15[[#This Row],[Period]],$L$16:$M$385,2,FALSE),0)</f>
        <v>0</v>
      </c>
      <c r="O170" s="3">
        <f>Table15[[#This Row],[Beginning Balance]]-Table15[[#This Row],[Principal]]-Table15[[#This Row],[Prepayments]]-Table15[[#This Row],[Defaulted Principal]]</f>
        <v>0</v>
      </c>
      <c r="P170" s="3">
        <f>Table15[[#This Row],[Principal]]+Table15[[#This Row],[Interest]]+Table15[[#This Row],[Prepayments]]+Table15[[#This Row],[RecoveredAmount]]</f>
        <v>0</v>
      </c>
      <c r="Q170" s="3">
        <f ca="1">ROUND(Table15[[#This Row],[Cash Flow]]/((1+ActualRateToUse)^(IF(ISNUMBER(SEARCH("Actual",$C$7)),Table15[[#This Row],[Running Total]]/365,Table15[[#This Row],[Period]]/12))),2)</f>
        <v>0</v>
      </c>
      <c r="R170" s="2">
        <f>IF(MONTH(Table15[[#This Row],[Date]])=2,28,DAY(DATE(YEAR(Table15[[#This Row],[Date]]),MONTH(Table15[[#This Row],[Date]])+1,1)-1))</f>
        <v>30</v>
      </c>
      <c r="S170" s="2">
        <f ca="1">SUM(OFFSET(Table15[[#Headers],[Days in month]],1,0):Table15[[#This Row],[Days in month]])</f>
        <v>4684</v>
      </c>
      <c r="T170" s="37">
        <f>InterestRate*AmortizationMultiplier*IF(ISNUMBER(SEARCH("Actual",$C$7)),Table15[[#This Row],[Days in month]]/365,1/12)</f>
        <v>5.6258333333333325E-3</v>
      </c>
    </row>
    <row r="171" spans="2:20" x14ac:dyDescent="0.2">
      <c r="B171" s="1">
        <f t="shared" si="6"/>
        <v>50556</v>
      </c>
      <c r="C171" s="2">
        <f t="shared" si="8"/>
        <v>155</v>
      </c>
      <c r="D171" s="3">
        <f t="shared" si="7"/>
        <v>0</v>
      </c>
      <c r="E171" s="3">
        <f>ROUND(Table15[[#This Row],[Beginning Balance]]*Table15[[#This Row],[Monthly Interest Rate]],2)</f>
        <v>0</v>
      </c>
      <c r="F171" s="3">
        <f t="shared" si="9"/>
        <v>117</v>
      </c>
      <c r="G171" s="23">
        <f>IFERROR(IF($C$13="No","N/A",IF(Table15[[#This Row],[Period]]=1,$C$6,PMT(InterestRate*AmortizationMultiplier/12,Table15[[#This Row],[Am Thru]],-Table15[[#This Row],[Beginning Balance]]))),0)</f>
        <v>0</v>
      </c>
      <c r="H171" s="3">
        <f>MAX(0,IF(C171=$C$4,D171,ROUND(IF($C$3="Fixed Principal",$C$6-Table15[[#This Row],[Interest]],IF($C$3="Interest Only",Table15[[#This Row],[Beginning Balance]]*ROUND(1-(1-IF($C$11="No",$E$8,1))^(1/12),6),MIN(IF($C$13="Yes",Table15[[#This Row],[Payment Amount (Reamortized)]],$C$6)-Table15[[#This Row],[Interest]],Table15[[#This Row],[Beginning Balance]]))),2)))</f>
        <v>0</v>
      </c>
      <c r="I171" s="3">
        <f>_xlfn.SINGLE(IF($C$3="Line of Credit",0,ROUND(MAX(MIN(IF($C$10="No",$E$7,VLOOKUP(Table15[[#This Row],[Period]],Forecast!$H$2:$L$1048576,4,FALSE))*Table15[[#This Row],[Beginning Balance]],Table15[[#This Row],[Beginning Balance]]-Table15[[#This Row],[Principal]]),0),2)))</f>
        <v>0</v>
      </c>
      <c r="J171" s="3">
        <f>ROUND(MIN(Table15[[#This Row],[Beginning Balance]]*IF($C$8="No",$E$3,VLOOKUP(Table15[[#This Row],[Period]],Forecast!$H$2:$L$1048576,2,FALSE)),Table15[[#This Row],[Beginning Balance]]-Table15[[#This Row],[Principal]]-Table15[[#This Row],[Prepayments]]),2)</f>
        <v>0</v>
      </c>
      <c r="K171" s="3">
        <f>ROUND(Table15[[#This Row],[Defaulted Principal]]*IF($C$9="No",$E$4,VLOOKUP(Table15[[#This Row],[Period]],Forecast!$H$2:$L$1048576,3,FALSE)),2)</f>
        <v>0</v>
      </c>
      <c r="L171" s="2">
        <f>Table15[[#This Row],[Period]]+$E$9</f>
        <v>167</v>
      </c>
      <c r="M171" s="3">
        <f>Table15[[#This Row],[Defaulted Principal]]-Table15[[#This Row],[Estimated Loss]]</f>
        <v>0</v>
      </c>
      <c r="N171" s="3">
        <f>IFERROR(VLOOKUP(Table15[[#This Row],[Period]],$L$16:$M$385,2,FALSE),0)</f>
        <v>0</v>
      </c>
      <c r="O171" s="3">
        <f>Table15[[#This Row],[Beginning Balance]]-Table15[[#This Row],[Principal]]-Table15[[#This Row],[Prepayments]]-Table15[[#This Row],[Defaulted Principal]]</f>
        <v>0</v>
      </c>
      <c r="P171" s="3">
        <f>Table15[[#This Row],[Principal]]+Table15[[#This Row],[Interest]]+Table15[[#This Row],[Prepayments]]+Table15[[#This Row],[RecoveredAmount]]</f>
        <v>0</v>
      </c>
      <c r="Q171" s="3">
        <f ca="1">ROUND(Table15[[#This Row],[Cash Flow]]/((1+ActualRateToUse)^(IF(ISNUMBER(SEARCH("Actual",$C$7)),Table15[[#This Row],[Running Total]]/365,Table15[[#This Row],[Period]]/12))),2)</f>
        <v>0</v>
      </c>
      <c r="R171" s="2">
        <f>IF(MONTH(Table15[[#This Row],[Date]])=2,28,DAY(DATE(YEAR(Table15[[#This Row],[Date]]),MONTH(Table15[[#This Row],[Date]])+1,1)-1))</f>
        <v>31</v>
      </c>
      <c r="S171" s="2">
        <f ca="1">SUM(OFFSET(Table15[[#Headers],[Days in month]],1,0):Table15[[#This Row],[Days in month]])</f>
        <v>4715</v>
      </c>
      <c r="T171" s="37">
        <f>InterestRate*AmortizationMultiplier*IF(ISNUMBER(SEARCH("Actual",$C$7)),Table15[[#This Row],[Days in month]]/365,1/12)</f>
        <v>5.8133611111111103E-3</v>
      </c>
    </row>
    <row r="172" spans="2:20" x14ac:dyDescent="0.2">
      <c r="B172" s="1">
        <f t="shared" si="6"/>
        <v>50586</v>
      </c>
      <c r="C172" s="2">
        <f t="shared" si="8"/>
        <v>156</v>
      </c>
      <c r="D172" s="3">
        <f t="shared" si="7"/>
        <v>0</v>
      </c>
      <c r="E172" s="3">
        <f>ROUND(Table15[[#This Row],[Beginning Balance]]*Table15[[#This Row],[Monthly Interest Rate]],2)</f>
        <v>0</v>
      </c>
      <c r="F172" s="3">
        <f t="shared" si="9"/>
        <v>116</v>
      </c>
      <c r="G172" s="23">
        <f>IFERROR(IF($C$13="No","N/A",IF(Table15[[#This Row],[Period]]=1,$C$6,PMT(InterestRate*AmortizationMultiplier/12,Table15[[#This Row],[Am Thru]],-Table15[[#This Row],[Beginning Balance]]))),0)</f>
        <v>0</v>
      </c>
      <c r="H172" s="3">
        <f>MAX(0,IF(C172=$C$4,D172,ROUND(IF($C$3="Fixed Principal",$C$6-Table15[[#This Row],[Interest]],IF($C$3="Interest Only",Table15[[#This Row],[Beginning Balance]]*ROUND(1-(1-IF($C$11="No",$E$8,1))^(1/12),6),MIN(IF($C$13="Yes",Table15[[#This Row],[Payment Amount (Reamortized)]],$C$6)-Table15[[#This Row],[Interest]],Table15[[#This Row],[Beginning Balance]]))),2)))</f>
        <v>0</v>
      </c>
      <c r="I172" s="3">
        <f>_xlfn.SINGLE(IF($C$3="Line of Credit",0,ROUND(MAX(MIN(IF($C$10="No",$E$7,VLOOKUP(Table15[[#This Row],[Period]],Forecast!$H$2:$L$1048576,4,FALSE))*Table15[[#This Row],[Beginning Balance]],Table15[[#This Row],[Beginning Balance]]-Table15[[#This Row],[Principal]]),0),2)))</f>
        <v>0</v>
      </c>
      <c r="J172" s="3">
        <f>ROUND(MIN(Table15[[#This Row],[Beginning Balance]]*IF($C$8="No",$E$3,VLOOKUP(Table15[[#This Row],[Period]],Forecast!$H$2:$L$1048576,2,FALSE)),Table15[[#This Row],[Beginning Balance]]-Table15[[#This Row],[Principal]]-Table15[[#This Row],[Prepayments]]),2)</f>
        <v>0</v>
      </c>
      <c r="K172" s="3">
        <f>ROUND(Table15[[#This Row],[Defaulted Principal]]*IF($C$9="No",$E$4,VLOOKUP(Table15[[#This Row],[Period]],Forecast!$H$2:$L$1048576,3,FALSE)),2)</f>
        <v>0</v>
      </c>
      <c r="L172" s="2">
        <f>Table15[[#This Row],[Period]]+$E$9</f>
        <v>168</v>
      </c>
      <c r="M172" s="3">
        <f>Table15[[#This Row],[Defaulted Principal]]-Table15[[#This Row],[Estimated Loss]]</f>
        <v>0</v>
      </c>
      <c r="N172" s="3">
        <f>IFERROR(VLOOKUP(Table15[[#This Row],[Period]],$L$16:$M$385,2,FALSE),0)</f>
        <v>0</v>
      </c>
      <c r="O172" s="3">
        <f>Table15[[#This Row],[Beginning Balance]]-Table15[[#This Row],[Principal]]-Table15[[#This Row],[Prepayments]]-Table15[[#This Row],[Defaulted Principal]]</f>
        <v>0</v>
      </c>
      <c r="P172" s="3">
        <f>Table15[[#This Row],[Principal]]+Table15[[#This Row],[Interest]]+Table15[[#This Row],[Prepayments]]+Table15[[#This Row],[RecoveredAmount]]</f>
        <v>0</v>
      </c>
      <c r="Q172" s="3">
        <f ca="1">ROUND(Table15[[#This Row],[Cash Flow]]/((1+ActualRateToUse)^(IF(ISNUMBER(SEARCH("Actual",$C$7)),Table15[[#This Row],[Running Total]]/365,Table15[[#This Row],[Period]]/12))),2)</f>
        <v>0</v>
      </c>
      <c r="R172" s="2">
        <f>IF(MONTH(Table15[[#This Row],[Date]])=2,28,DAY(DATE(YEAR(Table15[[#This Row],[Date]]),MONTH(Table15[[#This Row],[Date]])+1,1)-1))</f>
        <v>30</v>
      </c>
      <c r="S172" s="2">
        <f ca="1">SUM(OFFSET(Table15[[#Headers],[Days in month]],1,0):Table15[[#This Row],[Days in month]])</f>
        <v>4745</v>
      </c>
      <c r="T172" s="37">
        <f>InterestRate*AmortizationMultiplier*IF(ISNUMBER(SEARCH("Actual",$C$7)),Table15[[#This Row],[Days in month]]/365,1/12)</f>
        <v>5.6258333333333325E-3</v>
      </c>
    </row>
    <row r="173" spans="2:20" x14ac:dyDescent="0.2">
      <c r="B173" s="1">
        <f t="shared" si="6"/>
        <v>50617</v>
      </c>
      <c r="C173" s="2">
        <f t="shared" si="8"/>
        <v>157</v>
      </c>
      <c r="D173" s="3">
        <f t="shared" si="7"/>
        <v>0</v>
      </c>
      <c r="E173" s="3">
        <f>ROUND(Table15[[#This Row],[Beginning Balance]]*Table15[[#This Row],[Monthly Interest Rate]],2)</f>
        <v>0</v>
      </c>
      <c r="F173" s="3">
        <f t="shared" si="9"/>
        <v>115</v>
      </c>
      <c r="G173" s="23">
        <f>IFERROR(IF($C$13="No","N/A",IF(Table15[[#This Row],[Period]]=1,$C$6,PMT(InterestRate*AmortizationMultiplier/12,Table15[[#This Row],[Am Thru]],-Table15[[#This Row],[Beginning Balance]]))),0)</f>
        <v>0</v>
      </c>
      <c r="H173" s="3">
        <f>MAX(0,IF(C173=$C$4,D173,ROUND(IF($C$3="Fixed Principal",$C$6-Table15[[#This Row],[Interest]],IF($C$3="Interest Only",Table15[[#This Row],[Beginning Balance]]*ROUND(1-(1-IF($C$11="No",$E$8,1))^(1/12),6),MIN(IF($C$13="Yes",Table15[[#This Row],[Payment Amount (Reamortized)]],$C$6)-Table15[[#This Row],[Interest]],Table15[[#This Row],[Beginning Balance]]))),2)))</f>
        <v>0</v>
      </c>
      <c r="I173" s="3">
        <f>_xlfn.SINGLE(IF($C$3="Line of Credit",0,ROUND(MAX(MIN(IF($C$10="No",$E$7,VLOOKUP(Table15[[#This Row],[Period]],Forecast!$H$2:$L$1048576,4,FALSE))*Table15[[#This Row],[Beginning Balance]],Table15[[#This Row],[Beginning Balance]]-Table15[[#This Row],[Principal]]),0),2)))</f>
        <v>0</v>
      </c>
      <c r="J173" s="3">
        <f>ROUND(MIN(Table15[[#This Row],[Beginning Balance]]*IF($C$8="No",$E$3,VLOOKUP(Table15[[#This Row],[Period]],Forecast!$H$2:$L$1048576,2,FALSE)),Table15[[#This Row],[Beginning Balance]]-Table15[[#This Row],[Principal]]-Table15[[#This Row],[Prepayments]]),2)</f>
        <v>0</v>
      </c>
      <c r="K173" s="3">
        <f>ROUND(Table15[[#This Row],[Defaulted Principal]]*IF($C$9="No",$E$4,VLOOKUP(Table15[[#This Row],[Period]],Forecast!$H$2:$L$1048576,3,FALSE)),2)</f>
        <v>0</v>
      </c>
      <c r="L173" s="2">
        <f>Table15[[#This Row],[Period]]+$E$9</f>
        <v>169</v>
      </c>
      <c r="M173" s="3">
        <f>Table15[[#This Row],[Defaulted Principal]]-Table15[[#This Row],[Estimated Loss]]</f>
        <v>0</v>
      </c>
      <c r="N173" s="3">
        <f>IFERROR(VLOOKUP(Table15[[#This Row],[Period]],$L$16:$M$385,2,FALSE),0)</f>
        <v>0</v>
      </c>
      <c r="O173" s="3">
        <f>Table15[[#This Row],[Beginning Balance]]-Table15[[#This Row],[Principal]]-Table15[[#This Row],[Prepayments]]-Table15[[#This Row],[Defaulted Principal]]</f>
        <v>0</v>
      </c>
      <c r="P173" s="3">
        <f>Table15[[#This Row],[Principal]]+Table15[[#This Row],[Interest]]+Table15[[#This Row],[Prepayments]]+Table15[[#This Row],[RecoveredAmount]]</f>
        <v>0</v>
      </c>
      <c r="Q173" s="3">
        <f ca="1">ROUND(Table15[[#This Row],[Cash Flow]]/((1+ActualRateToUse)^(IF(ISNUMBER(SEARCH("Actual",$C$7)),Table15[[#This Row],[Running Total]]/365,Table15[[#This Row],[Period]]/12))),2)</f>
        <v>0</v>
      </c>
      <c r="R173" s="2">
        <f>IF(MONTH(Table15[[#This Row],[Date]])=2,28,DAY(DATE(YEAR(Table15[[#This Row],[Date]]),MONTH(Table15[[#This Row],[Date]])+1,1)-1))</f>
        <v>31</v>
      </c>
      <c r="S173" s="2">
        <f ca="1">SUM(OFFSET(Table15[[#Headers],[Days in month]],1,0):Table15[[#This Row],[Days in month]])</f>
        <v>4776</v>
      </c>
      <c r="T173" s="37">
        <f>InterestRate*AmortizationMultiplier*IF(ISNUMBER(SEARCH("Actual",$C$7)),Table15[[#This Row],[Days in month]]/365,1/12)</f>
        <v>5.8133611111111103E-3</v>
      </c>
    </row>
    <row r="174" spans="2:20" x14ac:dyDescent="0.2">
      <c r="B174" s="1">
        <f t="shared" si="6"/>
        <v>50648</v>
      </c>
      <c r="C174" s="2">
        <f t="shared" si="8"/>
        <v>158</v>
      </c>
      <c r="D174" s="3">
        <f t="shared" si="7"/>
        <v>0</v>
      </c>
      <c r="E174" s="3">
        <f>ROUND(Table15[[#This Row],[Beginning Balance]]*Table15[[#This Row],[Monthly Interest Rate]],2)</f>
        <v>0</v>
      </c>
      <c r="F174" s="3">
        <f t="shared" si="9"/>
        <v>114</v>
      </c>
      <c r="G174" s="23">
        <f>IFERROR(IF($C$13="No","N/A",IF(Table15[[#This Row],[Period]]=1,$C$6,PMT(InterestRate*AmortizationMultiplier/12,Table15[[#This Row],[Am Thru]],-Table15[[#This Row],[Beginning Balance]]))),0)</f>
        <v>0</v>
      </c>
      <c r="H174" s="3">
        <f>MAX(0,IF(C174=$C$4,D174,ROUND(IF($C$3="Fixed Principal",$C$6-Table15[[#This Row],[Interest]],IF($C$3="Interest Only",Table15[[#This Row],[Beginning Balance]]*ROUND(1-(1-IF($C$11="No",$E$8,1))^(1/12),6),MIN(IF($C$13="Yes",Table15[[#This Row],[Payment Amount (Reamortized)]],$C$6)-Table15[[#This Row],[Interest]],Table15[[#This Row],[Beginning Balance]]))),2)))</f>
        <v>0</v>
      </c>
      <c r="I174" s="3">
        <f>_xlfn.SINGLE(IF($C$3="Line of Credit",0,ROUND(MAX(MIN(IF($C$10="No",$E$7,VLOOKUP(Table15[[#This Row],[Period]],Forecast!$H$2:$L$1048576,4,FALSE))*Table15[[#This Row],[Beginning Balance]],Table15[[#This Row],[Beginning Balance]]-Table15[[#This Row],[Principal]]),0),2)))</f>
        <v>0</v>
      </c>
      <c r="J174" s="3">
        <f>ROUND(MIN(Table15[[#This Row],[Beginning Balance]]*IF($C$8="No",$E$3,VLOOKUP(Table15[[#This Row],[Period]],Forecast!$H$2:$L$1048576,2,FALSE)),Table15[[#This Row],[Beginning Balance]]-Table15[[#This Row],[Principal]]-Table15[[#This Row],[Prepayments]]),2)</f>
        <v>0</v>
      </c>
      <c r="K174" s="3">
        <f>ROUND(Table15[[#This Row],[Defaulted Principal]]*IF($C$9="No",$E$4,VLOOKUP(Table15[[#This Row],[Period]],Forecast!$H$2:$L$1048576,3,FALSE)),2)</f>
        <v>0</v>
      </c>
      <c r="L174" s="2">
        <f>Table15[[#This Row],[Period]]+$E$9</f>
        <v>170</v>
      </c>
      <c r="M174" s="3">
        <f>Table15[[#This Row],[Defaulted Principal]]-Table15[[#This Row],[Estimated Loss]]</f>
        <v>0</v>
      </c>
      <c r="N174" s="3">
        <f>IFERROR(VLOOKUP(Table15[[#This Row],[Period]],$L$16:$M$385,2,FALSE),0)</f>
        <v>0</v>
      </c>
      <c r="O174" s="3">
        <f>Table15[[#This Row],[Beginning Balance]]-Table15[[#This Row],[Principal]]-Table15[[#This Row],[Prepayments]]-Table15[[#This Row],[Defaulted Principal]]</f>
        <v>0</v>
      </c>
      <c r="P174" s="3">
        <f>Table15[[#This Row],[Principal]]+Table15[[#This Row],[Interest]]+Table15[[#This Row],[Prepayments]]+Table15[[#This Row],[RecoveredAmount]]</f>
        <v>0</v>
      </c>
      <c r="Q174" s="3">
        <f ca="1">ROUND(Table15[[#This Row],[Cash Flow]]/((1+ActualRateToUse)^(IF(ISNUMBER(SEARCH("Actual",$C$7)),Table15[[#This Row],[Running Total]]/365,Table15[[#This Row],[Period]]/12))),2)</f>
        <v>0</v>
      </c>
      <c r="R174" s="2">
        <f>IF(MONTH(Table15[[#This Row],[Date]])=2,28,DAY(DATE(YEAR(Table15[[#This Row],[Date]]),MONTH(Table15[[#This Row],[Date]])+1,1)-1))</f>
        <v>31</v>
      </c>
      <c r="S174" s="2">
        <f ca="1">SUM(OFFSET(Table15[[#Headers],[Days in month]],1,0):Table15[[#This Row],[Days in month]])</f>
        <v>4807</v>
      </c>
      <c r="T174" s="37">
        <f>InterestRate*AmortizationMultiplier*IF(ISNUMBER(SEARCH("Actual",$C$7)),Table15[[#This Row],[Days in month]]/365,1/12)</f>
        <v>5.8133611111111103E-3</v>
      </c>
    </row>
    <row r="175" spans="2:20" x14ac:dyDescent="0.2">
      <c r="B175" s="1">
        <f t="shared" si="6"/>
        <v>50678</v>
      </c>
      <c r="C175" s="2">
        <f t="shared" si="8"/>
        <v>159</v>
      </c>
      <c r="D175" s="3">
        <f t="shared" si="7"/>
        <v>0</v>
      </c>
      <c r="E175" s="3">
        <f>ROUND(Table15[[#This Row],[Beginning Balance]]*Table15[[#This Row],[Monthly Interest Rate]],2)</f>
        <v>0</v>
      </c>
      <c r="F175" s="3">
        <f t="shared" si="9"/>
        <v>113</v>
      </c>
      <c r="G175" s="23">
        <f>IFERROR(IF($C$13="No","N/A",IF(Table15[[#This Row],[Period]]=1,$C$6,PMT(InterestRate*AmortizationMultiplier/12,Table15[[#This Row],[Am Thru]],-Table15[[#This Row],[Beginning Balance]]))),0)</f>
        <v>0</v>
      </c>
      <c r="H175" s="3">
        <f>MAX(0,IF(C175=$C$4,D175,ROUND(IF($C$3="Fixed Principal",$C$6-Table15[[#This Row],[Interest]],IF($C$3="Interest Only",Table15[[#This Row],[Beginning Balance]]*ROUND(1-(1-IF($C$11="No",$E$8,1))^(1/12),6),MIN(IF($C$13="Yes",Table15[[#This Row],[Payment Amount (Reamortized)]],$C$6)-Table15[[#This Row],[Interest]],Table15[[#This Row],[Beginning Balance]]))),2)))</f>
        <v>0</v>
      </c>
      <c r="I175" s="3">
        <f>_xlfn.SINGLE(IF($C$3="Line of Credit",0,ROUND(MAX(MIN(IF($C$10="No",$E$7,VLOOKUP(Table15[[#This Row],[Period]],Forecast!$H$2:$L$1048576,4,FALSE))*Table15[[#This Row],[Beginning Balance]],Table15[[#This Row],[Beginning Balance]]-Table15[[#This Row],[Principal]]),0),2)))</f>
        <v>0</v>
      </c>
      <c r="J175" s="3">
        <f>ROUND(MIN(Table15[[#This Row],[Beginning Balance]]*IF($C$8="No",$E$3,VLOOKUP(Table15[[#This Row],[Period]],Forecast!$H$2:$L$1048576,2,FALSE)),Table15[[#This Row],[Beginning Balance]]-Table15[[#This Row],[Principal]]-Table15[[#This Row],[Prepayments]]),2)</f>
        <v>0</v>
      </c>
      <c r="K175" s="3">
        <f>ROUND(Table15[[#This Row],[Defaulted Principal]]*IF($C$9="No",$E$4,VLOOKUP(Table15[[#This Row],[Period]],Forecast!$H$2:$L$1048576,3,FALSE)),2)</f>
        <v>0</v>
      </c>
      <c r="L175" s="2">
        <f>Table15[[#This Row],[Period]]+$E$9</f>
        <v>171</v>
      </c>
      <c r="M175" s="3">
        <f>Table15[[#This Row],[Defaulted Principal]]-Table15[[#This Row],[Estimated Loss]]</f>
        <v>0</v>
      </c>
      <c r="N175" s="3">
        <f>IFERROR(VLOOKUP(Table15[[#This Row],[Period]],$L$16:$M$385,2,FALSE),0)</f>
        <v>0</v>
      </c>
      <c r="O175" s="3">
        <f>Table15[[#This Row],[Beginning Balance]]-Table15[[#This Row],[Principal]]-Table15[[#This Row],[Prepayments]]-Table15[[#This Row],[Defaulted Principal]]</f>
        <v>0</v>
      </c>
      <c r="P175" s="3">
        <f>Table15[[#This Row],[Principal]]+Table15[[#This Row],[Interest]]+Table15[[#This Row],[Prepayments]]+Table15[[#This Row],[RecoveredAmount]]</f>
        <v>0</v>
      </c>
      <c r="Q175" s="3">
        <f ca="1">ROUND(Table15[[#This Row],[Cash Flow]]/((1+ActualRateToUse)^(IF(ISNUMBER(SEARCH("Actual",$C$7)),Table15[[#This Row],[Running Total]]/365,Table15[[#This Row],[Period]]/12))),2)</f>
        <v>0</v>
      </c>
      <c r="R175" s="2">
        <f>IF(MONTH(Table15[[#This Row],[Date]])=2,28,DAY(DATE(YEAR(Table15[[#This Row],[Date]]),MONTH(Table15[[#This Row],[Date]])+1,1)-1))</f>
        <v>30</v>
      </c>
      <c r="S175" s="2">
        <f ca="1">SUM(OFFSET(Table15[[#Headers],[Days in month]],1,0):Table15[[#This Row],[Days in month]])</f>
        <v>4837</v>
      </c>
      <c r="T175" s="37">
        <f>InterestRate*AmortizationMultiplier*IF(ISNUMBER(SEARCH("Actual",$C$7)),Table15[[#This Row],[Days in month]]/365,1/12)</f>
        <v>5.6258333333333325E-3</v>
      </c>
    </row>
    <row r="176" spans="2:20" x14ac:dyDescent="0.2">
      <c r="B176" s="1">
        <f t="shared" si="6"/>
        <v>50709</v>
      </c>
      <c r="C176" s="2">
        <f t="shared" si="8"/>
        <v>160</v>
      </c>
      <c r="D176" s="3">
        <f t="shared" si="7"/>
        <v>0</v>
      </c>
      <c r="E176" s="3">
        <f>ROUND(Table15[[#This Row],[Beginning Balance]]*Table15[[#This Row],[Monthly Interest Rate]],2)</f>
        <v>0</v>
      </c>
      <c r="F176" s="3">
        <f t="shared" si="9"/>
        <v>112</v>
      </c>
      <c r="G176" s="23">
        <f>IFERROR(IF($C$13="No","N/A",IF(Table15[[#This Row],[Period]]=1,$C$6,PMT(InterestRate*AmortizationMultiplier/12,Table15[[#This Row],[Am Thru]],-Table15[[#This Row],[Beginning Balance]]))),0)</f>
        <v>0</v>
      </c>
      <c r="H176" s="3">
        <f>MAX(0,IF(C176=$C$4,D176,ROUND(IF($C$3="Fixed Principal",$C$6-Table15[[#This Row],[Interest]],IF($C$3="Interest Only",Table15[[#This Row],[Beginning Balance]]*ROUND(1-(1-IF($C$11="No",$E$8,1))^(1/12),6),MIN(IF($C$13="Yes",Table15[[#This Row],[Payment Amount (Reamortized)]],$C$6)-Table15[[#This Row],[Interest]],Table15[[#This Row],[Beginning Balance]]))),2)))</f>
        <v>0</v>
      </c>
      <c r="I176" s="3">
        <f>_xlfn.SINGLE(IF($C$3="Line of Credit",0,ROUND(MAX(MIN(IF($C$10="No",$E$7,VLOOKUP(Table15[[#This Row],[Period]],Forecast!$H$2:$L$1048576,4,FALSE))*Table15[[#This Row],[Beginning Balance]],Table15[[#This Row],[Beginning Balance]]-Table15[[#This Row],[Principal]]),0),2)))</f>
        <v>0</v>
      </c>
      <c r="J176" s="3">
        <f>ROUND(MIN(Table15[[#This Row],[Beginning Balance]]*IF($C$8="No",$E$3,VLOOKUP(Table15[[#This Row],[Period]],Forecast!$H$2:$L$1048576,2,FALSE)),Table15[[#This Row],[Beginning Balance]]-Table15[[#This Row],[Principal]]-Table15[[#This Row],[Prepayments]]),2)</f>
        <v>0</v>
      </c>
      <c r="K176" s="3">
        <f>ROUND(Table15[[#This Row],[Defaulted Principal]]*IF($C$9="No",$E$4,VLOOKUP(Table15[[#This Row],[Period]],Forecast!$H$2:$L$1048576,3,FALSE)),2)</f>
        <v>0</v>
      </c>
      <c r="L176" s="2">
        <f>Table15[[#This Row],[Period]]+$E$9</f>
        <v>172</v>
      </c>
      <c r="M176" s="3">
        <f>Table15[[#This Row],[Defaulted Principal]]-Table15[[#This Row],[Estimated Loss]]</f>
        <v>0</v>
      </c>
      <c r="N176" s="3">
        <f>IFERROR(VLOOKUP(Table15[[#This Row],[Period]],$L$16:$M$385,2,FALSE),0)</f>
        <v>0</v>
      </c>
      <c r="O176" s="3">
        <f>Table15[[#This Row],[Beginning Balance]]-Table15[[#This Row],[Principal]]-Table15[[#This Row],[Prepayments]]-Table15[[#This Row],[Defaulted Principal]]</f>
        <v>0</v>
      </c>
      <c r="P176" s="3">
        <f>Table15[[#This Row],[Principal]]+Table15[[#This Row],[Interest]]+Table15[[#This Row],[Prepayments]]+Table15[[#This Row],[RecoveredAmount]]</f>
        <v>0</v>
      </c>
      <c r="Q176" s="3">
        <f ca="1">ROUND(Table15[[#This Row],[Cash Flow]]/((1+ActualRateToUse)^(IF(ISNUMBER(SEARCH("Actual",$C$7)),Table15[[#This Row],[Running Total]]/365,Table15[[#This Row],[Period]]/12))),2)</f>
        <v>0</v>
      </c>
      <c r="R176" s="2">
        <f>IF(MONTH(Table15[[#This Row],[Date]])=2,28,DAY(DATE(YEAR(Table15[[#This Row],[Date]]),MONTH(Table15[[#This Row],[Date]])+1,1)-1))</f>
        <v>31</v>
      </c>
      <c r="S176" s="2">
        <f ca="1">SUM(OFFSET(Table15[[#Headers],[Days in month]],1,0):Table15[[#This Row],[Days in month]])</f>
        <v>4868</v>
      </c>
      <c r="T176" s="37">
        <f>InterestRate*AmortizationMultiplier*IF(ISNUMBER(SEARCH("Actual",$C$7)),Table15[[#This Row],[Days in month]]/365,1/12)</f>
        <v>5.8133611111111103E-3</v>
      </c>
    </row>
    <row r="177" spans="2:20" x14ac:dyDescent="0.2">
      <c r="B177" s="1">
        <f t="shared" si="6"/>
        <v>50739</v>
      </c>
      <c r="C177" s="2">
        <f t="shared" si="8"/>
        <v>161</v>
      </c>
      <c r="D177" s="3">
        <f t="shared" si="7"/>
        <v>0</v>
      </c>
      <c r="E177" s="3">
        <f>ROUND(Table15[[#This Row],[Beginning Balance]]*Table15[[#This Row],[Monthly Interest Rate]],2)</f>
        <v>0</v>
      </c>
      <c r="F177" s="3">
        <f t="shared" si="9"/>
        <v>111</v>
      </c>
      <c r="G177" s="23">
        <f>IFERROR(IF($C$13="No","N/A",IF(Table15[[#This Row],[Period]]=1,$C$6,PMT(InterestRate*AmortizationMultiplier/12,Table15[[#This Row],[Am Thru]],-Table15[[#This Row],[Beginning Balance]]))),0)</f>
        <v>0</v>
      </c>
      <c r="H177" s="3">
        <f>MAX(0,IF(C177=$C$4,D177,ROUND(IF($C$3="Fixed Principal",$C$6-Table15[[#This Row],[Interest]],IF($C$3="Interest Only",Table15[[#This Row],[Beginning Balance]]*ROUND(1-(1-IF($C$11="No",$E$8,1))^(1/12),6),MIN(IF($C$13="Yes",Table15[[#This Row],[Payment Amount (Reamortized)]],$C$6)-Table15[[#This Row],[Interest]],Table15[[#This Row],[Beginning Balance]]))),2)))</f>
        <v>0</v>
      </c>
      <c r="I177" s="3">
        <f>_xlfn.SINGLE(IF($C$3="Line of Credit",0,ROUND(MAX(MIN(IF($C$10="No",$E$7,VLOOKUP(Table15[[#This Row],[Period]],Forecast!$H$2:$L$1048576,4,FALSE))*Table15[[#This Row],[Beginning Balance]],Table15[[#This Row],[Beginning Balance]]-Table15[[#This Row],[Principal]]),0),2)))</f>
        <v>0</v>
      </c>
      <c r="J177" s="3">
        <f>ROUND(MIN(Table15[[#This Row],[Beginning Balance]]*IF($C$8="No",$E$3,VLOOKUP(Table15[[#This Row],[Period]],Forecast!$H$2:$L$1048576,2,FALSE)),Table15[[#This Row],[Beginning Balance]]-Table15[[#This Row],[Principal]]-Table15[[#This Row],[Prepayments]]),2)</f>
        <v>0</v>
      </c>
      <c r="K177" s="3">
        <f>ROUND(Table15[[#This Row],[Defaulted Principal]]*IF($C$9="No",$E$4,VLOOKUP(Table15[[#This Row],[Period]],Forecast!$H$2:$L$1048576,3,FALSE)),2)</f>
        <v>0</v>
      </c>
      <c r="L177" s="2">
        <f>Table15[[#This Row],[Period]]+$E$9</f>
        <v>173</v>
      </c>
      <c r="M177" s="3">
        <f>Table15[[#This Row],[Defaulted Principal]]-Table15[[#This Row],[Estimated Loss]]</f>
        <v>0</v>
      </c>
      <c r="N177" s="3">
        <f>IFERROR(VLOOKUP(Table15[[#This Row],[Period]],$L$16:$M$385,2,FALSE),0)</f>
        <v>0</v>
      </c>
      <c r="O177" s="3">
        <f>Table15[[#This Row],[Beginning Balance]]-Table15[[#This Row],[Principal]]-Table15[[#This Row],[Prepayments]]-Table15[[#This Row],[Defaulted Principal]]</f>
        <v>0</v>
      </c>
      <c r="P177" s="3">
        <f>Table15[[#This Row],[Principal]]+Table15[[#This Row],[Interest]]+Table15[[#This Row],[Prepayments]]+Table15[[#This Row],[RecoveredAmount]]</f>
        <v>0</v>
      </c>
      <c r="Q177" s="3">
        <f ca="1">ROUND(Table15[[#This Row],[Cash Flow]]/((1+ActualRateToUse)^(IF(ISNUMBER(SEARCH("Actual",$C$7)),Table15[[#This Row],[Running Total]]/365,Table15[[#This Row],[Period]]/12))),2)</f>
        <v>0</v>
      </c>
      <c r="R177" s="2">
        <f>IF(MONTH(Table15[[#This Row],[Date]])=2,28,DAY(DATE(YEAR(Table15[[#This Row],[Date]]),MONTH(Table15[[#This Row],[Date]])+1,1)-1))</f>
        <v>30</v>
      </c>
      <c r="S177" s="2">
        <f ca="1">SUM(OFFSET(Table15[[#Headers],[Days in month]],1,0):Table15[[#This Row],[Days in month]])</f>
        <v>4898</v>
      </c>
      <c r="T177" s="37">
        <f>InterestRate*AmortizationMultiplier*IF(ISNUMBER(SEARCH("Actual",$C$7)),Table15[[#This Row],[Days in month]]/365,1/12)</f>
        <v>5.6258333333333325E-3</v>
      </c>
    </row>
    <row r="178" spans="2:20" x14ac:dyDescent="0.2">
      <c r="B178" s="1">
        <f t="shared" si="6"/>
        <v>50770</v>
      </c>
      <c r="C178" s="2">
        <f t="shared" si="8"/>
        <v>162</v>
      </c>
      <c r="D178" s="3">
        <f t="shared" si="7"/>
        <v>0</v>
      </c>
      <c r="E178" s="3">
        <f>ROUND(Table15[[#This Row],[Beginning Balance]]*Table15[[#This Row],[Monthly Interest Rate]],2)</f>
        <v>0</v>
      </c>
      <c r="F178" s="3">
        <f t="shared" si="9"/>
        <v>110</v>
      </c>
      <c r="G178" s="23">
        <f>IFERROR(IF($C$13="No","N/A",IF(Table15[[#This Row],[Period]]=1,$C$6,PMT(InterestRate*AmortizationMultiplier/12,Table15[[#This Row],[Am Thru]],-Table15[[#This Row],[Beginning Balance]]))),0)</f>
        <v>0</v>
      </c>
      <c r="H178" s="3">
        <f>MAX(0,IF(C178=$C$4,D178,ROUND(IF($C$3="Fixed Principal",$C$6-Table15[[#This Row],[Interest]],IF($C$3="Interest Only",Table15[[#This Row],[Beginning Balance]]*ROUND(1-(1-IF($C$11="No",$E$8,1))^(1/12),6),MIN(IF($C$13="Yes",Table15[[#This Row],[Payment Amount (Reamortized)]],$C$6)-Table15[[#This Row],[Interest]],Table15[[#This Row],[Beginning Balance]]))),2)))</f>
        <v>0</v>
      </c>
      <c r="I178" s="3">
        <f>_xlfn.SINGLE(IF($C$3="Line of Credit",0,ROUND(MAX(MIN(IF($C$10="No",$E$7,VLOOKUP(Table15[[#This Row],[Period]],Forecast!$H$2:$L$1048576,4,FALSE))*Table15[[#This Row],[Beginning Balance]],Table15[[#This Row],[Beginning Balance]]-Table15[[#This Row],[Principal]]),0),2)))</f>
        <v>0</v>
      </c>
      <c r="J178" s="3">
        <f>ROUND(MIN(Table15[[#This Row],[Beginning Balance]]*IF($C$8="No",$E$3,VLOOKUP(Table15[[#This Row],[Period]],Forecast!$H$2:$L$1048576,2,FALSE)),Table15[[#This Row],[Beginning Balance]]-Table15[[#This Row],[Principal]]-Table15[[#This Row],[Prepayments]]),2)</f>
        <v>0</v>
      </c>
      <c r="K178" s="3">
        <f>ROUND(Table15[[#This Row],[Defaulted Principal]]*IF($C$9="No",$E$4,VLOOKUP(Table15[[#This Row],[Period]],Forecast!$H$2:$L$1048576,3,FALSE)),2)</f>
        <v>0</v>
      </c>
      <c r="L178" s="2">
        <f>Table15[[#This Row],[Period]]+$E$9</f>
        <v>174</v>
      </c>
      <c r="M178" s="3">
        <f>Table15[[#This Row],[Defaulted Principal]]-Table15[[#This Row],[Estimated Loss]]</f>
        <v>0</v>
      </c>
      <c r="N178" s="3">
        <f>IFERROR(VLOOKUP(Table15[[#This Row],[Period]],$L$16:$M$385,2,FALSE),0)</f>
        <v>0</v>
      </c>
      <c r="O178" s="3">
        <f>Table15[[#This Row],[Beginning Balance]]-Table15[[#This Row],[Principal]]-Table15[[#This Row],[Prepayments]]-Table15[[#This Row],[Defaulted Principal]]</f>
        <v>0</v>
      </c>
      <c r="P178" s="3">
        <f>Table15[[#This Row],[Principal]]+Table15[[#This Row],[Interest]]+Table15[[#This Row],[Prepayments]]+Table15[[#This Row],[RecoveredAmount]]</f>
        <v>0</v>
      </c>
      <c r="Q178" s="3">
        <f ca="1">ROUND(Table15[[#This Row],[Cash Flow]]/((1+ActualRateToUse)^(IF(ISNUMBER(SEARCH("Actual",$C$7)),Table15[[#This Row],[Running Total]]/365,Table15[[#This Row],[Period]]/12))),2)</f>
        <v>0</v>
      </c>
      <c r="R178" s="2">
        <f>IF(MONTH(Table15[[#This Row],[Date]])=2,28,DAY(DATE(YEAR(Table15[[#This Row],[Date]]),MONTH(Table15[[#This Row],[Date]])+1,1)-1))</f>
        <v>31</v>
      </c>
      <c r="S178" s="2">
        <f ca="1">SUM(OFFSET(Table15[[#Headers],[Days in month]],1,0):Table15[[#This Row],[Days in month]])</f>
        <v>4929</v>
      </c>
      <c r="T178" s="37">
        <f>InterestRate*AmortizationMultiplier*IF(ISNUMBER(SEARCH("Actual",$C$7)),Table15[[#This Row],[Days in month]]/365,1/12)</f>
        <v>5.8133611111111103E-3</v>
      </c>
    </row>
    <row r="179" spans="2:20" x14ac:dyDescent="0.2">
      <c r="B179" s="1">
        <f t="shared" si="6"/>
        <v>50801</v>
      </c>
      <c r="C179" s="2">
        <f t="shared" si="8"/>
        <v>163</v>
      </c>
      <c r="D179" s="3">
        <f t="shared" si="7"/>
        <v>0</v>
      </c>
      <c r="E179" s="3">
        <f>ROUND(Table15[[#This Row],[Beginning Balance]]*Table15[[#This Row],[Monthly Interest Rate]],2)</f>
        <v>0</v>
      </c>
      <c r="F179" s="3">
        <f t="shared" si="9"/>
        <v>109</v>
      </c>
      <c r="G179" s="23">
        <f>IFERROR(IF($C$13="No","N/A",IF(Table15[[#This Row],[Period]]=1,$C$6,PMT(InterestRate*AmortizationMultiplier/12,Table15[[#This Row],[Am Thru]],-Table15[[#This Row],[Beginning Balance]]))),0)</f>
        <v>0</v>
      </c>
      <c r="H179" s="3">
        <f>MAX(0,IF(C179=$C$4,D179,ROUND(IF($C$3="Fixed Principal",$C$6-Table15[[#This Row],[Interest]],IF($C$3="Interest Only",Table15[[#This Row],[Beginning Balance]]*ROUND(1-(1-IF($C$11="No",$E$8,1))^(1/12),6),MIN(IF($C$13="Yes",Table15[[#This Row],[Payment Amount (Reamortized)]],$C$6)-Table15[[#This Row],[Interest]],Table15[[#This Row],[Beginning Balance]]))),2)))</f>
        <v>0</v>
      </c>
      <c r="I179" s="3">
        <f>_xlfn.SINGLE(IF($C$3="Line of Credit",0,ROUND(MAX(MIN(IF($C$10="No",$E$7,VLOOKUP(Table15[[#This Row],[Period]],Forecast!$H$2:$L$1048576,4,FALSE))*Table15[[#This Row],[Beginning Balance]],Table15[[#This Row],[Beginning Balance]]-Table15[[#This Row],[Principal]]),0),2)))</f>
        <v>0</v>
      </c>
      <c r="J179" s="3">
        <f>ROUND(MIN(Table15[[#This Row],[Beginning Balance]]*IF($C$8="No",$E$3,VLOOKUP(Table15[[#This Row],[Period]],Forecast!$H$2:$L$1048576,2,FALSE)),Table15[[#This Row],[Beginning Balance]]-Table15[[#This Row],[Principal]]-Table15[[#This Row],[Prepayments]]),2)</f>
        <v>0</v>
      </c>
      <c r="K179" s="3">
        <f>ROUND(Table15[[#This Row],[Defaulted Principal]]*IF($C$9="No",$E$4,VLOOKUP(Table15[[#This Row],[Period]],Forecast!$H$2:$L$1048576,3,FALSE)),2)</f>
        <v>0</v>
      </c>
      <c r="L179" s="2">
        <f>Table15[[#This Row],[Period]]+$E$9</f>
        <v>175</v>
      </c>
      <c r="M179" s="3">
        <f>Table15[[#This Row],[Defaulted Principal]]-Table15[[#This Row],[Estimated Loss]]</f>
        <v>0</v>
      </c>
      <c r="N179" s="3">
        <f>IFERROR(VLOOKUP(Table15[[#This Row],[Period]],$L$16:$M$385,2,FALSE),0)</f>
        <v>0</v>
      </c>
      <c r="O179" s="3">
        <f>Table15[[#This Row],[Beginning Balance]]-Table15[[#This Row],[Principal]]-Table15[[#This Row],[Prepayments]]-Table15[[#This Row],[Defaulted Principal]]</f>
        <v>0</v>
      </c>
      <c r="P179" s="3">
        <f>Table15[[#This Row],[Principal]]+Table15[[#This Row],[Interest]]+Table15[[#This Row],[Prepayments]]+Table15[[#This Row],[RecoveredAmount]]</f>
        <v>0</v>
      </c>
      <c r="Q179" s="3">
        <f ca="1">ROUND(Table15[[#This Row],[Cash Flow]]/((1+ActualRateToUse)^(IF(ISNUMBER(SEARCH("Actual",$C$7)),Table15[[#This Row],[Running Total]]/365,Table15[[#This Row],[Period]]/12))),2)</f>
        <v>0</v>
      </c>
      <c r="R179" s="2">
        <f>IF(MONTH(Table15[[#This Row],[Date]])=2,28,DAY(DATE(YEAR(Table15[[#This Row],[Date]]),MONTH(Table15[[#This Row],[Date]])+1,1)-1))</f>
        <v>31</v>
      </c>
      <c r="S179" s="2">
        <f ca="1">SUM(OFFSET(Table15[[#Headers],[Days in month]],1,0):Table15[[#This Row],[Days in month]])</f>
        <v>4960</v>
      </c>
      <c r="T179" s="37">
        <f>InterestRate*AmortizationMultiplier*IF(ISNUMBER(SEARCH("Actual",$C$7)),Table15[[#This Row],[Days in month]]/365,1/12)</f>
        <v>5.8133611111111103E-3</v>
      </c>
    </row>
    <row r="180" spans="2:20" x14ac:dyDescent="0.2">
      <c r="B180" s="1">
        <f t="shared" si="6"/>
        <v>50829</v>
      </c>
      <c r="C180" s="2">
        <f t="shared" si="8"/>
        <v>164</v>
      </c>
      <c r="D180" s="3">
        <f t="shared" si="7"/>
        <v>0</v>
      </c>
      <c r="E180" s="3">
        <f>ROUND(Table15[[#This Row],[Beginning Balance]]*Table15[[#This Row],[Monthly Interest Rate]],2)</f>
        <v>0</v>
      </c>
      <c r="F180" s="3">
        <f t="shared" si="9"/>
        <v>108</v>
      </c>
      <c r="G180" s="23">
        <f>IFERROR(IF($C$13="No","N/A",IF(Table15[[#This Row],[Period]]=1,$C$6,PMT(InterestRate*AmortizationMultiplier/12,Table15[[#This Row],[Am Thru]],-Table15[[#This Row],[Beginning Balance]]))),0)</f>
        <v>0</v>
      </c>
      <c r="H180" s="3">
        <f>MAX(0,IF(C180=$C$4,D180,ROUND(IF($C$3="Fixed Principal",$C$6-Table15[[#This Row],[Interest]],IF($C$3="Interest Only",Table15[[#This Row],[Beginning Balance]]*ROUND(1-(1-IF($C$11="No",$E$8,1))^(1/12),6),MIN(IF($C$13="Yes",Table15[[#This Row],[Payment Amount (Reamortized)]],$C$6)-Table15[[#This Row],[Interest]],Table15[[#This Row],[Beginning Balance]]))),2)))</f>
        <v>0</v>
      </c>
      <c r="I180" s="3">
        <f>_xlfn.SINGLE(IF($C$3="Line of Credit",0,ROUND(MAX(MIN(IF($C$10="No",$E$7,VLOOKUP(Table15[[#This Row],[Period]],Forecast!$H$2:$L$1048576,4,FALSE))*Table15[[#This Row],[Beginning Balance]],Table15[[#This Row],[Beginning Balance]]-Table15[[#This Row],[Principal]]),0),2)))</f>
        <v>0</v>
      </c>
      <c r="J180" s="3">
        <f>ROUND(MIN(Table15[[#This Row],[Beginning Balance]]*IF($C$8="No",$E$3,VLOOKUP(Table15[[#This Row],[Period]],Forecast!$H$2:$L$1048576,2,FALSE)),Table15[[#This Row],[Beginning Balance]]-Table15[[#This Row],[Principal]]-Table15[[#This Row],[Prepayments]]),2)</f>
        <v>0</v>
      </c>
      <c r="K180" s="3">
        <f>ROUND(Table15[[#This Row],[Defaulted Principal]]*IF($C$9="No",$E$4,VLOOKUP(Table15[[#This Row],[Period]],Forecast!$H$2:$L$1048576,3,FALSE)),2)</f>
        <v>0</v>
      </c>
      <c r="L180" s="2">
        <f>Table15[[#This Row],[Period]]+$E$9</f>
        <v>176</v>
      </c>
      <c r="M180" s="3">
        <f>Table15[[#This Row],[Defaulted Principal]]-Table15[[#This Row],[Estimated Loss]]</f>
        <v>0</v>
      </c>
      <c r="N180" s="3">
        <f>IFERROR(VLOOKUP(Table15[[#This Row],[Period]],$L$16:$M$385,2,FALSE),0)</f>
        <v>0</v>
      </c>
      <c r="O180" s="3">
        <f>Table15[[#This Row],[Beginning Balance]]-Table15[[#This Row],[Principal]]-Table15[[#This Row],[Prepayments]]-Table15[[#This Row],[Defaulted Principal]]</f>
        <v>0</v>
      </c>
      <c r="P180" s="3">
        <f>Table15[[#This Row],[Principal]]+Table15[[#This Row],[Interest]]+Table15[[#This Row],[Prepayments]]+Table15[[#This Row],[RecoveredAmount]]</f>
        <v>0</v>
      </c>
      <c r="Q180" s="3">
        <f ca="1">ROUND(Table15[[#This Row],[Cash Flow]]/((1+ActualRateToUse)^(IF(ISNUMBER(SEARCH("Actual",$C$7)),Table15[[#This Row],[Running Total]]/365,Table15[[#This Row],[Period]]/12))),2)</f>
        <v>0</v>
      </c>
      <c r="R180" s="2">
        <f>IF(MONTH(Table15[[#This Row],[Date]])=2,28,DAY(DATE(YEAR(Table15[[#This Row],[Date]]),MONTH(Table15[[#This Row],[Date]])+1,1)-1))</f>
        <v>28</v>
      </c>
      <c r="S180" s="2">
        <f ca="1">SUM(OFFSET(Table15[[#Headers],[Days in month]],1,0):Table15[[#This Row],[Days in month]])</f>
        <v>4988</v>
      </c>
      <c r="T180" s="37">
        <f>InterestRate*AmortizationMultiplier*IF(ISNUMBER(SEARCH("Actual",$C$7)),Table15[[#This Row],[Days in month]]/365,1/12)</f>
        <v>5.2507777777777778E-3</v>
      </c>
    </row>
    <row r="181" spans="2:20" x14ac:dyDescent="0.2">
      <c r="B181" s="1">
        <f t="shared" si="6"/>
        <v>50860</v>
      </c>
      <c r="C181" s="2">
        <f t="shared" si="8"/>
        <v>165</v>
      </c>
      <c r="D181" s="3">
        <f t="shared" si="7"/>
        <v>0</v>
      </c>
      <c r="E181" s="3">
        <f>ROUND(Table15[[#This Row],[Beginning Balance]]*Table15[[#This Row],[Monthly Interest Rate]],2)</f>
        <v>0</v>
      </c>
      <c r="F181" s="3">
        <f t="shared" si="9"/>
        <v>107</v>
      </c>
      <c r="G181" s="23">
        <f>IFERROR(IF($C$13="No","N/A",IF(Table15[[#This Row],[Period]]=1,$C$6,PMT(InterestRate*AmortizationMultiplier/12,Table15[[#This Row],[Am Thru]],-Table15[[#This Row],[Beginning Balance]]))),0)</f>
        <v>0</v>
      </c>
      <c r="H181" s="3">
        <f>MAX(0,IF(C181=$C$4,D181,ROUND(IF($C$3="Fixed Principal",$C$6-Table15[[#This Row],[Interest]],IF($C$3="Interest Only",Table15[[#This Row],[Beginning Balance]]*ROUND(1-(1-IF($C$11="No",$E$8,1))^(1/12),6),MIN(IF($C$13="Yes",Table15[[#This Row],[Payment Amount (Reamortized)]],$C$6)-Table15[[#This Row],[Interest]],Table15[[#This Row],[Beginning Balance]]))),2)))</f>
        <v>0</v>
      </c>
      <c r="I181" s="3">
        <f>_xlfn.SINGLE(IF($C$3="Line of Credit",0,ROUND(MAX(MIN(IF($C$10="No",$E$7,VLOOKUP(Table15[[#This Row],[Period]],Forecast!$H$2:$L$1048576,4,FALSE))*Table15[[#This Row],[Beginning Balance]],Table15[[#This Row],[Beginning Balance]]-Table15[[#This Row],[Principal]]),0),2)))</f>
        <v>0</v>
      </c>
      <c r="J181" s="3">
        <f>ROUND(MIN(Table15[[#This Row],[Beginning Balance]]*IF($C$8="No",$E$3,VLOOKUP(Table15[[#This Row],[Period]],Forecast!$H$2:$L$1048576,2,FALSE)),Table15[[#This Row],[Beginning Balance]]-Table15[[#This Row],[Principal]]-Table15[[#This Row],[Prepayments]]),2)</f>
        <v>0</v>
      </c>
      <c r="K181" s="3">
        <f>ROUND(Table15[[#This Row],[Defaulted Principal]]*IF($C$9="No",$E$4,VLOOKUP(Table15[[#This Row],[Period]],Forecast!$H$2:$L$1048576,3,FALSE)),2)</f>
        <v>0</v>
      </c>
      <c r="L181" s="2">
        <f>Table15[[#This Row],[Period]]+$E$9</f>
        <v>177</v>
      </c>
      <c r="M181" s="3">
        <f>Table15[[#This Row],[Defaulted Principal]]-Table15[[#This Row],[Estimated Loss]]</f>
        <v>0</v>
      </c>
      <c r="N181" s="3">
        <f>IFERROR(VLOOKUP(Table15[[#This Row],[Period]],$L$16:$M$385,2,FALSE),0)</f>
        <v>0</v>
      </c>
      <c r="O181" s="3">
        <f>Table15[[#This Row],[Beginning Balance]]-Table15[[#This Row],[Principal]]-Table15[[#This Row],[Prepayments]]-Table15[[#This Row],[Defaulted Principal]]</f>
        <v>0</v>
      </c>
      <c r="P181" s="3">
        <f>Table15[[#This Row],[Principal]]+Table15[[#This Row],[Interest]]+Table15[[#This Row],[Prepayments]]+Table15[[#This Row],[RecoveredAmount]]</f>
        <v>0</v>
      </c>
      <c r="Q181" s="3">
        <f ca="1">ROUND(Table15[[#This Row],[Cash Flow]]/((1+ActualRateToUse)^(IF(ISNUMBER(SEARCH("Actual",$C$7)),Table15[[#This Row],[Running Total]]/365,Table15[[#This Row],[Period]]/12))),2)</f>
        <v>0</v>
      </c>
      <c r="R181" s="2">
        <f>IF(MONTH(Table15[[#This Row],[Date]])=2,28,DAY(DATE(YEAR(Table15[[#This Row],[Date]]),MONTH(Table15[[#This Row],[Date]])+1,1)-1))</f>
        <v>31</v>
      </c>
      <c r="S181" s="2">
        <f ca="1">SUM(OFFSET(Table15[[#Headers],[Days in month]],1,0):Table15[[#This Row],[Days in month]])</f>
        <v>5019</v>
      </c>
      <c r="T181" s="37">
        <f>InterestRate*AmortizationMultiplier*IF(ISNUMBER(SEARCH("Actual",$C$7)),Table15[[#This Row],[Days in month]]/365,1/12)</f>
        <v>5.8133611111111103E-3</v>
      </c>
    </row>
    <row r="182" spans="2:20" x14ac:dyDescent="0.2">
      <c r="B182" s="1">
        <f t="shared" si="6"/>
        <v>50890</v>
      </c>
      <c r="C182" s="2">
        <f t="shared" si="8"/>
        <v>166</v>
      </c>
      <c r="D182" s="3">
        <f t="shared" si="7"/>
        <v>0</v>
      </c>
      <c r="E182" s="3">
        <f>ROUND(Table15[[#This Row],[Beginning Balance]]*Table15[[#This Row],[Monthly Interest Rate]],2)</f>
        <v>0</v>
      </c>
      <c r="F182" s="3">
        <f t="shared" si="9"/>
        <v>106</v>
      </c>
      <c r="G182" s="23">
        <f>IFERROR(IF($C$13="No","N/A",IF(Table15[[#This Row],[Period]]=1,$C$6,PMT(InterestRate*AmortizationMultiplier/12,Table15[[#This Row],[Am Thru]],-Table15[[#This Row],[Beginning Balance]]))),0)</f>
        <v>0</v>
      </c>
      <c r="H182" s="3">
        <f>MAX(0,IF(C182=$C$4,D182,ROUND(IF($C$3="Fixed Principal",$C$6-Table15[[#This Row],[Interest]],IF($C$3="Interest Only",Table15[[#This Row],[Beginning Balance]]*ROUND(1-(1-IF($C$11="No",$E$8,1))^(1/12),6),MIN(IF($C$13="Yes",Table15[[#This Row],[Payment Amount (Reamortized)]],$C$6)-Table15[[#This Row],[Interest]],Table15[[#This Row],[Beginning Balance]]))),2)))</f>
        <v>0</v>
      </c>
      <c r="I182" s="3">
        <f>_xlfn.SINGLE(IF($C$3="Line of Credit",0,ROUND(MAX(MIN(IF($C$10="No",$E$7,VLOOKUP(Table15[[#This Row],[Period]],Forecast!$H$2:$L$1048576,4,FALSE))*Table15[[#This Row],[Beginning Balance]],Table15[[#This Row],[Beginning Balance]]-Table15[[#This Row],[Principal]]),0),2)))</f>
        <v>0</v>
      </c>
      <c r="J182" s="3">
        <f>ROUND(MIN(Table15[[#This Row],[Beginning Balance]]*IF($C$8="No",$E$3,VLOOKUP(Table15[[#This Row],[Period]],Forecast!$H$2:$L$1048576,2,FALSE)),Table15[[#This Row],[Beginning Balance]]-Table15[[#This Row],[Principal]]-Table15[[#This Row],[Prepayments]]),2)</f>
        <v>0</v>
      </c>
      <c r="K182" s="3">
        <f>ROUND(Table15[[#This Row],[Defaulted Principal]]*IF($C$9="No",$E$4,VLOOKUP(Table15[[#This Row],[Period]],Forecast!$H$2:$L$1048576,3,FALSE)),2)</f>
        <v>0</v>
      </c>
      <c r="L182" s="2">
        <f>Table15[[#This Row],[Period]]+$E$9</f>
        <v>178</v>
      </c>
      <c r="M182" s="3">
        <f>Table15[[#This Row],[Defaulted Principal]]-Table15[[#This Row],[Estimated Loss]]</f>
        <v>0</v>
      </c>
      <c r="N182" s="3">
        <f>IFERROR(VLOOKUP(Table15[[#This Row],[Period]],$L$16:$M$385,2,FALSE),0)</f>
        <v>0</v>
      </c>
      <c r="O182" s="3">
        <f>Table15[[#This Row],[Beginning Balance]]-Table15[[#This Row],[Principal]]-Table15[[#This Row],[Prepayments]]-Table15[[#This Row],[Defaulted Principal]]</f>
        <v>0</v>
      </c>
      <c r="P182" s="3">
        <f>Table15[[#This Row],[Principal]]+Table15[[#This Row],[Interest]]+Table15[[#This Row],[Prepayments]]+Table15[[#This Row],[RecoveredAmount]]</f>
        <v>0</v>
      </c>
      <c r="Q182" s="3">
        <f ca="1">ROUND(Table15[[#This Row],[Cash Flow]]/((1+ActualRateToUse)^(IF(ISNUMBER(SEARCH("Actual",$C$7)),Table15[[#This Row],[Running Total]]/365,Table15[[#This Row],[Period]]/12))),2)</f>
        <v>0</v>
      </c>
      <c r="R182" s="2">
        <f>IF(MONTH(Table15[[#This Row],[Date]])=2,28,DAY(DATE(YEAR(Table15[[#This Row],[Date]]),MONTH(Table15[[#This Row],[Date]])+1,1)-1))</f>
        <v>30</v>
      </c>
      <c r="S182" s="2">
        <f ca="1">SUM(OFFSET(Table15[[#Headers],[Days in month]],1,0):Table15[[#This Row],[Days in month]])</f>
        <v>5049</v>
      </c>
      <c r="T182" s="37">
        <f>InterestRate*AmortizationMultiplier*IF(ISNUMBER(SEARCH("Actual",$C$7)),Table15[[#This Row],[Days in month]]/365,1/12)</f>
        <v>5.6258333333333325E-3</v>
      </c>
    </row>
    <row r="183" spans="2:20" x14ac:dyDescent="0.2">
      <c r="B183" s="1">
        <f t="shared" si="6"/>
        <v>50921</v>
      </c>
      <c r="C183" s="2">
        <f t="shared" si="8"/>
        <v>167</v>
      </c>
      <c r="D183" s="3">
        <f t="shared" si="7"/>
        <v>0</v>
      </c>
      <c r="E183" s="3">
        <f>ROUND(Table15[[#This Row],[Beginning Balance]]*Table15[[#This Row],[Monthly Interest Rate]],2)</f>
        <v>0</v>
      </c>
      <c r="F183" s="3">
        <f t="shared" si="9"/>
        <v>105</v>
      </c>
      <c r="G183" s="23">
        <f>IFERROR(IF($C$13="No","N/A",IF(Table15[[#This Row],[Period]]=1,$C$6,PMT(InterestRate*AmortizationMultiplier/12,Table15[[#This Row],[Am Thru]],-Table15[[#This Row],[Beginning Balance]]))),0)</f>
        <v>0</v>
      </c>
      <c r="H183" s="3">
        <f>MAX(0,IF(C183=$C$4,D183,ROUND(IF($C$3="Fixed Principal",$C$6-Table15[[#This Row],[Interest]],IF($C$3="Interest Only",Table15[[#This Row],[Beginning Balance]]*ROUND(1-(1-IF($C$11="No",$E$8,1))^(1/12),6),MIN(IF($C$13="Yes",Table15[[#This Row],[Payment Amount (Reamortized)]],$C$6)-Table15[[#This Row],[Interest]],Table15[[#This Row],[Beginning Balance]]))),2)))</f>
        <v>0</v>
      </c>
      <c r="I183" s="3">
        <f>_xlfn.SINGLE(IF($C$3="Line of Credit",0,ROUND(MAX(MIN(IF($C$10="No",$E$7,VLOOKUP(Table15[[#This Row],[Period]],Forecast!$H$2:$L$1048576,4,FALSE))*Table15[[#This Row],[Beginning Balance]],Table15[[#This Row],[Beginning Balance]]-Table15[[#This Row],[Principal]]),0),2)))</f>
        <v>0</v>
      </c>
      <c r="J183" s="3">
        <f>ROUND(MIN(Table15[[#This Row],[Beginning Balance]]*IF($C$8="No",$E$3,VLOOKUP(Table15[[#This Row],[Period]],Forecast!$H$2:$L$1048576,2,FALSE)),Table15[[#This Row],[Beginning Balance]]-Table15[[#This Row],[Principal]]-Table15[[#This Row],[Prepayments]]),2)</f>
        <v>0</v>
      </c>
      <c r="K183" s="3">
        <f>ROUND(Table15[[#This Row],[Defaulted Principal]]*IF($C$9="No",$E$4,VLOOKUP(Table15[[#This Row],[Period]],Forecast!$H$2:$L$1048576,3,FALSE)),2)</f>
        <v>0</v>
      </c>
      <c r="L183" s="2">
        <f>Table15[[#This Row],[Period]]+$E$9</f>
        <v>179</v>
      </c>
      <c r="M183" s="3">
        <f>Table15[[#This Row],[Defaulted Principal]]-Table15[[#This Row],[Estimated Loss]]</f>
        <v>0</v>
      </c>
      <c r="N183" s="3">
        <f>IFERROR(VLOOKUP(Table15[[#This Row],[Period]],$L$16:$M$385,2,FALSE),0)</f>
        <v>0</v>
      </c>
      <c r="O183" s="3">
        <f>Table15[[#This Row],[Beginning Balance]]-Table15[[#This Row],[Principal]]-Table15[[#This Row],[Prepayments]]-Table15[[#This Row],[Defaulted Principal]]</f>
        <v>0</v>
      </c>
      <c r="P183" s="3">
        <f>Table15[[#This Row],[Principal]]+Table15[[#This Row],[Interest]]+Table15[[#This Row],[Prepayments]]+Table15[[#This Row],[RecoveredAmount]]</f>
        <v>0</v>
      </c>
      <c r="Q183" s="3">
        <f ca="1">ROUND(Table15[[#This Row],[Cash Flow]]/((1+ActualRateToUse)^(IF(ISNUMBER(SEARCH("Actual",$C$7)),Table15[[#This Row],[Running Total]]/365,Table15[[#This Row],[Period]]/12))),2)</f>
        <v>0</v>
      </c>
      <c r="R183" s="2">
        <f>IF(MONTH(Table15[[#This Row],[Date]])=2,28,DAY(DATE(YEAR(Table15[[#This Row],[Date]]),MONTH(Table15[[#This Row],[Date]])+1,1)-1))</f>
        <v>31</v>
      </c>
      <c r="S183" s="2">
        <f ca="1">SUM(OFFSET(Table15[[#Headers],[Days in month]],1,0):Table15[[#This Row],[Days in month]])</f>
        <v>5080</v>
      </c>
      <c r="T183" s="37">
        <f>InterestRate*AmortizationMultiplier*IF(ISNUMBER(SEARCH("Actual",$C$7)),Table15[[#This Row],[Days in month]]/365,1/12)</f>
        <v>5.8133611111111103E-3</v>
      </c>
    </row>
    <row r="184" spans="2:20" x14ac:dyDescent="0.2">
      <c r="B184" s="1">
        <f t="shared" si="6"/>
        <v>50951</v>
      </c>
      <c r="C184" s="2">
        <f t="shared" si="8"/>
        <v>168</v>
      </c>
      <c r="D184" s="3">
        <f t="shared" si="7"/>
        <v>0</v>
      </c>
      <c r="E184" s="3">
        <f>ROUND(Table15[[#This Row],[Beginning Balance]]*Table15[[#This Row],[Monthly Interest Rate]],2)</f>
        <v>0</v>
      </c>
      <c r="F184" s="3">
        <f t="shared" si="9"/>
        <v>104</v>
      </c>
      <c r="G184" s="23">
        <f>IFERROR(IF($C$13="No","N/A",IF(Table15[[#This Row],[Period]]=1,$C$6,PMT(InterestRate*AmortizationMultiplier/12,Table15[[#This Row],[Am Thru]],-Table15[[#This Row],[Beginning Balance]]))),0)</f>
        <v>0</v>
      </c>
      <c r="H184" s="3">
        <f>MAX(0,IF(C184=$C$4,D184,ROUND(IF($C$3="Fixed Principal",$C$6-Table15[[#This Row],[Interest]],IF($C$3="Interest Only",Table15[[#This Row],[Beginning Balance]]*ROUND(1-(1-IF($C$11="No",$E$8,1))^(1/12),6),MIN(IF($C$13="Yes",Table15[[#This Row],[Payment Amount (Reamortized)]],$C$6)-Table15[[#This Row],[Interest]],Table15[[#This Row],[Beginning Balance]]))),2)))</f>
        <v>0</v>
      </c>
      <c r="I184" s="3">
        <f>_xlfn.SINGLE(IF($C$3="Line of Credit",0,ROUND(MAX(MIN(IF($C$10="No",$E$7,VLOOKUP(Table15[[#This Row],[Period]],Forecast!$H$2:$L$1048576,4,FALSE))*Table15[[#This Row],[Beginning Balance]],Table15[[#This Row],[Beginning Balance]]-Table15[[#This Row],[Principal]]),0),2)))</f>
        <v>0</v>
      </c>
      <c r="J184" s="3">
        <f>ROUND(MIN(Table15[[#This Row],[Beginning Balance]]*IF($C$8="No",$E$3,VLOOKUP(Table15[[#This Row],[Period]],Forecast!$H$2:$L$1048576,2,FALSE)),Table15[[#This Row],[Beginning Balance]]-Table15[[#This Row],[Principal]]-Table15[[#This Row],[Prepayments]]),2)</f>
        <v>0</v>
      </c>
      <c r="K184" s="3">
        <f>ROUND(Table15[[#This Row],[Defaulted Principal]]*IF($C$9="No",$E$4,VLOOKUP(Table15[[#This Row],[Period]],Forecast!$H$2:$L$1048576,3,FALSE)),2)</f>
        <v>0</v>
      </c>
      <c r="L184" s="2">
        <f>Table15[[#This Row],[Period]]+$E$9</f>
        <v>180</v>
      </c>
      <c r="M184" s="3">
        <f>Table15[[#This Row],[Defaulted Principal]]-Table15[[#This Row],[Estimated Loss]]</f>
        <v>0</v>
      </c>
      <c r="N184" s="3">
        <f>IFERROR(VLOOKUP(Table15[[#This Row],[Period]],$L$16:$M$385,2,FALSE),0)</f>
        <v>0</v>
      </c>
      <c r="O184" s="3">
        <f>Table15[[#This Row],[Beginning Balance]]-Table15[[#This Row],[Principal]]-Table15[[#This Row],[Prepayments]]-Table15[[#This Row],[Defaulted Principal]]</f>
        <v>0</v>
      </c>
      <c r="P184" s="3">
        <f>Table15[[#This Row],[Principal]]+Table15[[#This Row],[Interest]]+Table15[[#This Row],[Prepayments]]+Table15[[#This Row],[RecoveredAmount]]</f>
        <v>0</v>
      </c>
      <c r="Q184" s="3">
        <f ca="1">ROUND(Table15[[#This Row],[Cash Flow]]/((1+ActualRateToUse)^(IF(ISNUMBER(SEARCH("Actual",$C$7)),Table15[[#This Row],[Running Total]]/365,Table15[[#This Row],[Period]]/12))),2)</f>
        <v>0</v>
      </c>
      <c r="R184" s="2">
        <f>IF(MONTH(Table15[[#This Row],[Date]])=2,28,DAY(DATE(YEAR(Table15[[#This Row],[Date]]),MONTH(Table15[[#This Row],[Date]])+1,1)-1))</f>
        <v>30</v>
      </c>
      <c r="S184" s="2">
        <f ca="1">SUM(OFFSET(Table15[[#Headers],[Days in month]],1,0):Table15[[#This Row],[Days in month]])</f>
        <v>5110</v>
      </c>
      <c r="T184" s="37">
        <f>InterestRate*AmortizationMultiplier*IF(ISNUMBER(SEARCH("Actual",$C$7)),Table15[[#This Row],[Days in month]]/365,1/12)</f>
        <v>5.6258333333333325E-3</v>
      </c>
    </row>
    <row r="185" spans="2:20" x14ac:dyDescent="0.2">
      <c r="B185" s="1">
        <f t="shared" si="6"/>
        <v>50982</v>
      </c>
      <c r="C185" s="2">
        <f t="shared" si="8"/>
        <v>169</v>
      </c>
      <c r="D185" s="3">
        <f t="shared" si="7"/>
        <v>0</v>
      </c>
      <c r="E185" s="3">
        <f>ROUND(Table15[[#This Row],[Beginning Balance]]*Table15[[#This Row],[Monthly Interest Rate]],2)</f>
        <v>0</v>
      </c>
      <c r="F185" s="3">
        <f t="shared" si="9"/>
        <v>103</v>
      </c>
      <c r="G185" s="23">
        <f>IFERROR(IF($C$13="No","N/A",IF(Table15[[#This Row],[Period]]=1,$C$6,PMT(InterestRate*AmortizationMultiplier/12,Table15[[#This Row],[Am Thru]],-Table15[[#This Row],[Beginning Balance]]))),0)</f>
        <v>0</v>
      </c>
      <c r="H185" s="3">
        <f>MAX(0,IF(C185=$C$4,D185,ROUND(IF($C$3="Fixed Principal",$C$6-Table15[[#This Row],[Interest]],IF($C$3="Interest Only",Table15[[#This Row],[Beginning Balance]]*ROUND(1-(1-IF($C$11="No",$E$8,1))^(1/12),6),MIN(IF($C$13="Yes",Table15[[#This Row],[Payment Amount (Reamortized)]],$C$6)-Table15[[#This Row],[Interest]],Table15[[#This Row],[Beginning Balance]]))),2)))</f>
        <v>0</v>
      </c>
      <c r="I185" s="3">
        <f>_xlfn.SINGLE(IF($C$3="Line of Credit",0,ROUND(MAX(MIN(IF($C$10="No",$E$7,VLOOKUP(Table15[[#This Row],[Period]],Forecast!$H$2:$L$1048576,4,FALSE))*Table15[[#This Row],[Beginning Balance]],Table15[[#This Row],[Beginning Balance]]-Table15[[#This Row],[Principal]]),0),2)))</f>
        <v>0</v>
      </c>
      <c r="J185" s="3">
        <f>ROUND(MIN(Table15[[#This Row],[Beginning Balance]]*IF($C$8="No",$E$3,VLOOKUP(Table15[[#This Row],[Period]],Forecast!$H$2:$L$1048576,2,FALSE)),Table15[[#This Row],[Beginning Balance]]-Table15[[#This Row],[Principal]]-Table15[[#This Row],[Prepayments]]),2)</f>
        <v>0</v>
      </c>
      <c r="K185" s="3">
        <f>ROUND(Table15[[#This Row],[Defaulted Principal]]*IF($C$9="No",$E$4,VLOOKUP(Table15[[#This Row],[Period]],Forecast!$H$2:$L$1048576,3,FALSE)),2)</f>
        <v>0</v>
      </c>
      <c r="L185" s="2">
        <f>Table15[[#This Row],[Period]]+$E$9</f>
        <v>181</v>
      </c>
      <c r="M185" s="3">
        <f>Table15[[#This Row],[Defaulted Principal]]-Table15[[#This Row],[Estimated Loss]]</f>
        <v>0</v>
      </c>
      <c r="N185" s="3">
        <f>IFERROR(VLOOKUP(Table15[[#This Row],[Period]],$L$16:$M$385,2,FALSE),0)</f>
        <v>0</v>
      </c>
      <c r="O185" s="3">
        <f>Table15[[#This Row],[Beginning Balance]]-Table15[[#This Row],[Principal]]-Table15[[#This Row],[Prepayments]]-Table15[[#This Row],[Defaulted Principal]]</f>
        <v>0</v>
      </c>
      <c r="P185" s="3">
        <f>Table15[[#This Row],[Principal]]+Table15[[#This Row],[Interest]]+Table15[[#This Row],[Prepayments]]+Table15[[#This Row],[RecoveredAmount]]</f>
        <v>0</v>
      </c>
      <c r="Q185" s="3">
        <f ca="1">ROUND(Table15[[#This Row],[Cash Flow]]/((1+ActualRateToUse)^(IF(ISNUMBER(SEARCH("Actual",$C$7)),Table15[[#This Row],[Running Total]]/365,Table15[[#This Row],[Period]]/12))),2)</f>
        <v>0</v>
      </c>
      <c r="R185" s="2">
        <f>IF(MONTH(Table15[[#This Row],[Date]])=2,28,DAY(DATE(YEAR(Table15[[#This Row],[Date]]),MONTH(Table15[[#This Row],[Date]])+1,1)-1))</f>
        <v>31</v>
      </c>
      <c r="S185" s="2">
        <f ca="1">SUM(OFFSET(Table15[[#Headers],[Days in month]],1,0):Table15[[#This Row],[Days in month]])</f>
        <v>5141</v>
      </c>
      <c r="T185" s="37">
        <f>InterestRate*AmortizationMultiplier*IF(ISNUMBER(SEARCH("Actual",$C$7)),Table15[[#This Row],[Days in month]]/365,1/12)</f>
        <v>5.8133611111111103E-3</v>
      </c>
    </row>
    <row r="186" spans="2:20" x14ac:dyDescent="0.2">
      <c r="B186" s="1">
        <f t="shared" si="6"/>
        <v>51013</v>
      </c>
      <c r="C186" s="2">
        <f t="shared" si="8"/>
        <v>170</v>
      </c>
      <c r="D186" s="3">
        <f t="shared" si="7"/>
        <v>0</v>
      </c>
      <c r="E186" s="3">
        <f>ROUND(Table15[[#This Row],[Beginning Balance]]*Table15[[#This Row],[Monthly Interest Rate]],2)</f>
        <v>0</v>
      </c>
      <c r="F186" s="3">
        <f t="shared" si="9"/>
        <v>102</v>
      </c>
      <c r="G186" s="23">
        <f>IFERROR(IF($C$13="No","N/A",IF(Table15[[#This Row],[Period]]=1,$C$6,PMT(InterestRate*AmortizationMultiplier/12,Table15[[#This Row],[Am Thru]],-Table15[[#This Row],[Beginning Balance]]))),0)</f>
        <v>0</v>
      </c>
      <c r="H186" s="3">
        <f>MAX(0,IF(C186=$C$4,D186,ROUND(IF($C$3="Fixed Principal",$C$6-Table15[[#This Row],[Interest]],IF($C$3="Interest Only",Table15[[#This Row],[Beginning Balance]]*ROUND(1-(1-IF($C$11="No",$E$8,1))^(1/12),6),MIN(IF($C$13="Yes",Table15[[#This Row],[Payment Amount (Reamortized)]],$C$6)-Table15[[#This Row],[Interest]],Table15[[#This Row],[Beginning Balance]]))),2)))</f>
        <v>0</v>
      </c>
      <c r="I186" s="3">
        <f>_xlfn.SINGLE(IF($C$3="Line of Credit",0,ROUND(MAX(MIN(IF($C$10="No",$E$7,VLOOKUP(Table15[[#This Row],[Period]],Forecast!$H$2:$L$1048576,4,FALSE))*Table15[[#This Row],[Beginning Balance]],Table15[[#This Row],[Beginning Balance]]-Table15[[#This Row],[Principal]]),0),2)))</f>
        <v>0</v>
      </c>
      <c r="J186" s="3">
        <f>ROUND(MIN(Table15[[#This Row],[Beginning Balance]]*IF($C$8="No",$E$3,VLOOKUP(Table15[[#This Row],[Period]],Forecast!$H$2:$L$1048576,2,FALSE)),Table15[[#This Row],[Beginning Balance]]-Table15[[#This Row],[Principal]]-Table15[[#This Row],[Prepayments]]),2)</f>
        <v>0</v>
      </c>
      <c r="K186" s="3">
        <f>ROUND(Table15[[#This Row],[Defaulted Principal]]*IF($C$9="No",$E$4,VLOOKUP(Table15[[#This Row],[Period]],Forecast!$H$2:$L$1048576,3,FALSE)),2)</f>
        <v>0</v>
      </c>
      <c r="L186" s="2">
        <f>Table15[[#This Row],[Period]]+$E$9</f>
        <v>182</v>
      </c>
      <c r="M186" s="3">
        <f>Table15[[#This Row],[Defaulted Principal]]-Table15[[#This Row],[Estimated Loss]]</f>
        <v>0</v>
      </c>
      <c r="N186" s="3">
        <f>IFERROR(VLOOKUP(Table15[[#This Row],[Period]],$L$16:$M$385,2,FALSE),0)</f>
        <v>0</v>
      </c>
      <c r="O186" s="3">
        <f>Table15[[#This Row],[Beginning Balance]]-Table15[[#This Row],[Principal]]-Table15[[#This Row],[Prepayments]]-Table15[[#This Row],[Defaulted Principal]]</f>
        <v>0</v>
      </c>
      <c r="P186" s="3">
        <f>Table15[[#This Row],[Principal]]+Table15[[#This Row],[Interest]]+Table15[[#This Row],[Prepayments]]+Table15[[#This Row],[RecoveredAmount]]</f>
        <v>0</v>
      </c>
      <c r="Q186" s="3">
        <f ca="1">ROUND(Table15[[#This Row],[Cash Flow]]/((1+ActualRateToUse)^(IF(ISNUMBER(SEARCH("Actual",$C$7)),Table15[[#This Row],[Running Total]]/365,Table15[[#This Row],[Period]]/12))),2)</f>
        <v>0</v>
      </c>
      <c r="R186" s="2">
        <f>IF(MONTH(Table15[[#This Row],[Date]])=2,28,DAY(DATE(YEAR(Table15[[#This Row],[Date]]),MONTH(Table15[[#This Row],[Date]])+1,1)-1))</f>
        <v>31</v>
      </c>
      <c r="S186" s="2">
        <f ca="1">SUM(OFFSET(Table15[[#Headers],[Days in month]],1,0):Table15[[#This Row],[Days in month]])</f>
        <v>5172</v>
      </c>
      <c r="T186" s="37">
        <f>InterestRate*AmortizationMultiplier*IF(ISNUMBER(SEARCH("Actual",$C$7)),Table15[[#This Row],[Days in month]]/365,1/12)</f>
        <v>5.8133611111111103E-3</v>
      </c>
    </row>
    <row r="187" spans="2:20" x14ac:dyDescent="0.2">
      <c r="B187" s="1">
        <f t="shared" si="6"/>
        <v>51043</v>
      </c>
      <c r="C187" s="2">
        <f t="shared" si="8"/>
        <v>171</v>
      </c>
      <c r="D187" s="3">
        <f t="shared" si="7"/>
        <v>0</v>
      </c>
      <c r="E187" s="3">
        <f>ROUND(Table15[[#This Row],[Beginning Balance]]*Table15[[#This Row],[Monthly Interest Rate]],2)</f>
        <v>0</v>
      </c>
      <c r="F187" s="3">
        <f t="shared" si="9"/>
        <v>101</v>
      </c>
      <c r="G187" s="23">
        <f>IFERROR(IF($C$13="No","N/A",IF(Table15[[#This Row],[Period]]=1,$C$6,PMT(InterestRate*AmortizationMultiplier/12,Table15[[#This Row],[Am Thru]],-Table15[[#This Row],[Beginning Balance]]))),0)</f>
        <v>0</v>
      </c>
      <c r="H187" s="3">
        <f>MAX(0,IF(C187=$C$4,D187,ROUND(IF($C$3="Fixed Principal",$C$6-Table15[[#This Row],[Interest]],IF($C$3="Interest Only",Table15[[#This Row],[Beginning Balance]]*ROUND(1-(1-IF($C$11="No",$E$8,1))^(1/12),6),MIN(IF($C$13="Yes",Table15[[#This Row],[Payment Amount (Reamortized)]],$C$6)-Table15[[#This Row],[Interest]],Table15[[#This Row],[Beginning Balance]]))),2)))</f>
        <v>0</v>
      </c>
      <c r="I187" s="3">
        <f>_xlfn.SINGLE(IF($C$3="Line of Credit",0,ROUND(MAX(MIN(IF($C$10="No",$E$7,VLOOKUP(Table15[[#This Row],[Period]],Forecast!$H$2:$L$1048576,4,FALSE))*Table15[[#This Row],[Beginning Balance]],Table15[[#This Row],[Beginning Balance]]-Table15[[#This Row],[Principal]]),0),2)))</f>
        <v>0</v>
      </c>
      <c r="J187" s="3">
        <f>ROUND(MIN(Table15[[#This Row],[Beginning Balance]]*IF($C$8="No",$E$3,VLOOKUP(Table15[[#This Row],[Period]],Forecast!$H$2:$L$1048576,2,FALSE)),Table15[[#This Row],[Beginning Balance]]-Table15[[#This Row],[Principal]]-Table15[[#This Row],[Prepayments]]),2)</f>
        <v>0</v>
      </c>
      <c r="K187" s="3">
        <f>ROUND(Table15[[#This Row],[Defaulted Principal]]*IF($C$9="No",$E$4,VLOOKUP(Table15[[#This Row],[Period]],Forecast!$H$2:$L$1048576,3,FALSE)),2)</f>
        <v>0</v>
      </c>
      <c r="L187" s="2">
        <f>Table15[[#This Row],[Period]]+$E$9</f>
        <v>183</v>
      </c>
      <c r="M187" s="3">
        <f>Table15[[#This Row],[Defaulted Principal]]-Table15[[#This Row],[Estimated Loss]]</f>
        <v>0</v>
      </c>
      <c r="N187" s="3">
        <f>IFERROR(VLOOKUP(Table15[[#This Row],[Period]],$L$16:$M$385,2,FALSE),0)</f>
        <v>0</v>
      </c>
      <c r="O187" s="3">
        <f>Table15[[#This Row],[Beginning Balance]]-Table15[[#This Row],[Principal]]-Table15[[#This Row],[Prepayments]]-Table15[[#This Row],[Defaulted Principal]]</f>
        <v>0</v>
      </c>
      <c r="P187" s="3">
        <f>Table15[[#This Row],[Principal]]+Table15[[#This Row],[Interest]]+Table15[[#This Row],[Prepayments]]+Table15[[#This Row],[RecoveredAmount]]</f>
        <v>0</v>
      </c>
      <c r="Q187" s="3">
        <f ca="1">ROUND(Table15[[#This Row],[Cash Flow]]/((1+ActualRateToUse)^(IF(ISNUMBER(SEARCH("Actual",$C$7)),Table15[[#This Row],[Running Total]]/365,Table15[[#This Row],[Period]]/12))),2)</f>
        <v>0</v>
      </c>
      <c r="R187" s="2">
        <f>IF(MONTH(Table15[[#This Row],[Date]])=2,28,DAY(DATE(YEAR(Table15[[#This Row],[Date]]),MONTH(Table15[[#This Row],[Date]])+1,1)-1))</f>
        <v>30</v>
      </c>
      <c r="S187" s="2">
        <f ca="1">SUM(OFFSET(Table15[[#Headers],[Days in month]],1,0):Table15[[#This Row],[Days in month]])</f>
        <v>5202</v>
      </c>
      <c r="T187" s="37">
        <f>InterestRate*AmortizationMultiplier*IF(ISNUMBER(SEARCH("Actual",$C$7)),Table15[[#This Row],[Days in month]]/365,1/12)</f>
        <v>5.6258333333333325E-3</v>
      </c>
    </row>
    <row r="188" spans="2:20" x14ac:dyDescent="0.2">
      <c r="B188" s="1">
        <f t="shared" si="6"/>
        <v>51074</v>
      </c>
      <c r="C188" s="2">
        <f t="shared" si="8"/>
        <v>172</v>
      </c>
      <c r="D188" s="3">
        <f t="shared" si="7"/>
        <v>0</v>
      </c>
      <c r="E188" s="3">
        <f>ROUND(Table15[[#This Row],[Beginning Balance]]*Table15[[#This Row],[Monthly Interest Rate]],2)</f>
        <v>0</v>
      </c>
      <c r="F188" s="3">
        <f t="shared" si="9"/>
        <v>100</v>
      </c>
      <c r="G188" s="23">
        <f>IFERROR(IF($C$13="No","N/A",IF(Table15[[#This Row],[Period]]=1,$C$6,PMT(InterestRate*AmortizationMultiplier/12,Table15[[#This Row],[Am Thru]],-Table15[[#This Row],[Beginning Balance]]))),0)</f>
        <v>0</v>
      </c>
      <c r="H188" s="3">
        <f>MAX(0,IF(C188=$C$4,D188,ROUND(IF($C$3="Fixed Principal",$C$6-Table15[[#This Row],[Interest]],IF($C$3="Interest Only",Table15[[#This Row],[Beginning Balance]]*ROUND(1-(1-IF($C$11="No",$E$8,1))^(1/12),6),MIN(IF($C$13="Yes",Table15[[#This Row],[Payment Amount (Reamortized)]],$C$6)-Table15[[#This Row],[Interest]],Table15[[#This Row],[Beginning Balance]]))),2)))</f>
        <v>0</v>
      </c>
      <c r="I188" s="3">
        <f>_xlfn.SINGLE(IF($C$3="Line of Credit",0,ROUND(MAX(MIN(IF($C$10="No",$E$7,VLOOKUP(Table15[[#This Row],[Period]],Forecast!$H$2:$L$1048576,4,FALSE))*Table15[[#This Row],[Beginning Balance]],Table15[[#This Row],[Beginning Balance]]-Table15[[#This Row],[Principal]]),0),2)))</f>
        <v>0</v>
      </c>
      <c r="J188" s="3">
        <f>ROUND(MIN(Table15[[#This Row],[Beginning Balance]]*IF($C$8="No",$E$3,VLOOKUP(Table15[[#This Row],[Period]],Forecast!$H$2:$L$1048576,2,FALSE)),Table15[[#This Row],[Beginning Balance]]-Table15[[#This Row],[Principal]]-Table15[[#This Row],[Prepayments]]),2)</f>
        <v>0</v>
      </c>
      <c r="K188" s="3">
        <f>ROUND(Table15[[#This Row],[Defaulted Principal]]*IF($C$9="No",$E$4,VLOOKUP(Table15[[#This Row],[Period]],Forecast!$H$2:$L$1048576,3,FALSE)),2)</f>
        <v>0</v>
      </c>
      <c r="L188" s="2">
        <f>Table15[[#This Row],[Period]]+$E$9</f>
        <v>184</v>
      </c>
      <c r="M188" s="3">
        <f>Table15[[#This Row],[Defaulted Principal]]-Table15[[#This Row],[Estimated Loss]]</f>
        <v>0</v>
      </c>
      <c r="N188" s="3">
        <f>IFERROR(VLOOKUP(Table15[[#This Row],[Period]],$L$16:$M$385,2,FALSE),0)</f>
        <v>0</v>
      </c>
      <c r="O188" s="3">
        <f>Table15[[#This Row],[Beginning Balance]]-Table15[[#This Row],[Principal]]-Table15[[#This Row],[Prepayments]]-Table15[[#This Row],[Defaulted Principal]]</f>
        <v>0</v>
      </c>
      <c r="P188" s="3">
        <f>Table15[[#This Row],[Principal]]+Table15[[#This Row],[Interest]]+Table15[[#This Row],[Prepayments]]+Table15[[#This Row],[RecoveredAmount]]</f>
        <v>0</v>
      </c>
      <c r="Q188" s="3">
        <f ca="1">ROUND(Table15[[#This Row],[Cash Flow]]/((1+ActualRateToUse)^(IF(ISNUMBER(SEARCH("Actual",$C$7)),Table15[[#This Row],[Running Total]]/365,Table15[[#This Row],[Period]]/12))),2)</f>
        <v>0</v>
      </c>
      <c r="R188" s="2">
        <f>IF(MONTH(Table15[[#This Row],[Date]])=2,28,DAY(DATE(YEAR(Table15[[#This Row],[Date]]),MONTH(Table15[[#This Row],[Date]])+1,1)-1))</f>
        <v>31</v>
      </c>
      <c r="S188" s="2">
        <f ca="1">SUM(OFFSET(Table15[[#Headers],[Days in month]],1,0):Table15[[#This Row],[Days in month]])</f>
        <v>5233</v>
      </c>
      <c r="T188" s="37">
        <f>InterestRate*AmortizationMultiplier*IF(ISNUMBER(SEARCH("Actual",$C$7)),Table15[[#This Row],[Days in month]]/365,1/12)</f>
        <v>5.8133611111111103E-3</v>
      </c>
    </row>
    <row r="189" spans="2:20" x14ac:dyDescent="0.2">
      <c r="B189" s="1">
        <f t="shared" si="6"/>
        <v>51104</v>
      </c>
      <c r="C189" s="2">
        <f t="shared" si="8"/>
        <v>173</v>
      </c>
      <c r="D189" s="3">
        <f t="shared" si="7"/>
        <v>0</v>
      </c>
      <c r="E189" s="3">
        <f>ROUND(Table15[[#This Row],[Beginning Balance]]*Table15[[#This Row],[Monthly Interest Rate]],2)</f>
        <v>0</v>
      </c>
      <c r="F189" s="3">
        <f t="shared" si="9"/>
        <v>99</v>
      </c>
      <c r="G189" s="23">
        <f>IFERROR(IF($C$13="No","N/A",IF(Table15[[#This Row],[Period]]=1,$C$6,PMT(InterestRate*AmortizationMultiplier/12,Table15[[#This Row],[Am Thru]],-Table15[[#This Row],[Beginning Balance]]))),0)</f>
        <v>0</v>
      </c>
      <c r="H189" s="3">
        <f>MAX(0,IF(C189=$C$4,D189,ROUND(IF($C$3="Fixed Principal",$C$6-Table15[[#This Row],[Interest]],IF($C$3="Interest Only",Table15[[#This Row],[Beginning Balance]]*ROUND(1-(1-IF($C$11="No",$E$8,1))^(1/12),6),MIN(IF($C$13="Yes",Table15[[#This Row],[Payment Amount (Reamortized)]],$C$6)-Table15[[#This Row],[Interest]],Table15[[#This Row],[Beginning Balance]]))),2)))</f>
        <v>0</v>
      </c>
      <c r="I189" s="3">
        <f>_xlfn.SINGLE(IF($C$3="Line of Credit",0,ROUND(MAX(MIN(IF($C$10="No",$E$7,VLOOKUP(Table15[[#This Row],[Period]],Forecast!$H$2:$L$1048576,4,FALSE))*Table15[[#This Row],[Beginning Balance]],Table15[[#This Row],[Beginning Balance]]-Table15[[#This Row],[Principal]]),0),2)))</f>
        <v>0</v>
      </c>
      <c r="J189" s="3">
        <f>ROUND(MIN(Table15[[#This Row],[Beginning Balance]]*IF($C$8="No",$E$3,VLOOKUP(Table15[[#This Row],[Period]],Forecast!$H$2:$L$1048576,2,FALSE)),Table15[[#This Row],[Beginning Balance]]-Table15[[#This Row],[Principal]]-Table15[[#This Row],[Prepayments]]),2)</f>
        <v>0</v>
      </c>
      <c r="K189" s="3">
        <f>ROUND(Table15[[#This Row],[Defaulted Principal]]*IF($C$9="No",$E$4,VLOOKUP(Table15[[#This Row],[Period]],Forecast!$H$2:$L$1048576,3,FALSE)),2)</f>
        <v>0</v>
      </c>
      <c r="L189" s="2">
        <f>Table15[[#This Row],[Period]]+$E$9</f>
        <v>185</v>
      </c>
      <c r="M189" s="3">
        <f>Table15[[#This Row],[Defaulted Principal]]-Table15[[#This Row],[Estimated Loss]]</f>
        <v>0</v>
      </c>
      <c r="N189" s="3">
        <f>IFERROR(VLOOKUP(Table15[[#This Row],[Period]],$L$16:$M$385,2,FALSE),0)</f>
        <v>0</v>
      </c>
      <c r="O189" s="3">
        <f>Table15[[#This Row],[Beginning Balance]]-Table15[[#This Row],[Principal]]-Table15[[#This Row],[Prepayments]]-Table15[[#This Row],[Defaulted Principal]]</f>
        <v>0</v>
      </c>
      <c r="P189" s="3">
        <f>Table15[[#This Row],[Principal]]+Table15[[#This Row],[Interest]]+Table15[[#This Row],[Prepayments]]+Table15[[#This Row],[RecoveredAmount]]</f>
        <v>0</v>
      </c>
      <c r="Q189" s="3">
        <f ca="1">ROUND(Table15[[#This Row],[Cash Flow]]/((1+ActualRateToUse)^(IF(ISNUMBER(SEARCH("Actual",$C$7)),Table15[[#This Row],[Running Total]]/365,Table15[[#This Row],[Period]]/12))),2)</f>
        <v>0</v>
      </c>
      <c r="R189" s="2">
        <f>IF(MONTH(Table15[[#This Row],[Date]])=2,28,DAY(DATE(YEAR(Table15[[#This Row],[Date]]),MONTH(Table15[[#This Row],[Date]])+1,1)-1))</f>
        <v>30</v>
      </c>
      <c r="S189" s="2">
        <f ca="1">SUM(OFFSET(Table15[[#Headers],[Days in month]],1,0):Table15[[#This Row],[Days in month]])</f>
        <v>5263</v>
      </c>
      <c r="T189" s="37">
        <f>InterestRate*AmortizationMultiplier*IF(ISNUMBER(SEARCH("Actual",$C$7)),Table15[[#This Row],[Days in month]]/365,1/12)</f>
        <v>5.6258333333333325E-3</v>
      </c>
    </row>
    <row r="190" spans="2:20" x14ac:dyDescent="0.2">
      <c r="B190" s="1">
        <f t="shared" si="6"/>
        <v>51135</v>
      </c>
      <c r="C190" s="2">
        <f t="shared" si="8"/>
        <v>174</v>
      </c>
      <c r="D190" s="3">
        <f t="shared" si="7"/>
        <v>0</v>
      </c>
      <c r="E190" s="3">
        <f>ROUND(Table15[[#This Row],[Beginning Balance]]*Table15[[#This Row],[Monthly Interest Rate]],2)</f>
        <v>0</v>
      </c>
      <c r="F190" s="3">
        <f t="shared" si="9"/>
        <v>98</v>
      </c>
      <c r="G190" s="23">
        <f>IFERROR(IF($C$13="No","N/A",IF(Table15[[#This Row],[Period]]=1,$C$6,PMT(InterestRate*AmortizationMultiplier/12,Table15[[#This Row],[Am Thru]],-Table15[[#This Row],[Beginning Balance]]))),0)</f>
        <v>0</v>
      </c>
      <c r="H190" s="3">
        <f>MAX(0,IF(C190=$C$4,D190,ROUND(IF($C$3="Fixed Principal",$C$6-Table15[[#This Row],[Interest]],IF($C$3="Interest Only",Table15[[#This Row],[Beginning Balance]]*ROUND(1-(1-IF($C$11="No",$E$8,1))^(1/12),6),MIN(IF($C$13="Yes",Table15[[#This Row],[Payment Amount (Reamortized)]],$C$6)-Table15[[#This Row],[Interest]],Table15[[#This Row],[Beginning Balance]]))),2)))</f>
        <v>0</v>
      </c>
      <c r="I190" s="3">
        <f>_xlfn.SINGLE(IF($C$3="Line of Credit",0,ROUND(MAX(MIN(IF($C$10="No",$E$7,VLOOKUP(Table15[[#This Row],[Period]],Forecast!$H$2:$L$1048576,4,FALSE))*Table15[[#This Row],[Beginning Balance]],Table15[[#This Row],[Beginning Balance]]-Table15[[#This Row],[Principal]]),0),2)))</f>
        <v>0</v>
      </c>
      <c r="J190" s="3">
        <f>ROUND(MIN(Table15[[#This Row],[Beginning Balance]]*IF($C$8="No",$E$3,VLOOKUP(Table15[[#This Row],[Period]],Forecast!$H$2:$L$1048576,2,FALSE)),Table15[[#This Row],[Beginning Balance]]-Table15[[#This Row],[Principal]]-Table15[[#This Row],[Prepayments]]),2)</f>
        <v>0</v>
      </c>
      <c r="K190" s="3">
        <f>ROUND(Table15[[#This Row],[Defaulted Principal]]*IF($C$9="No",$E$4,VLOOKUP(Table15[[#This Row],[Period]],Forecast!$H$2:$L$1048576,3,FALSE)),2)</f>
        <v>0</v>
      </c>
      <c r="L190" s="2">
        <f>Table15[[#This Row],[Period]]+$E$9</f>
        <v>186</v>
      </c>
      <c r="M190" s="3">
        <f>Table15[[#This Row],[Defaulted Principal]]-Table15[[#This Row],[Estimated Loss]]</f>
        <v>0</v>
      </c>
      <c r="N190" s="3">
        <f>IFERROR(VLOOKUP(Table15[[#This Row],[Period]],$L$16:$M$385,2,FALSE),0)</f>
        <v>0</v>
      </c>
      <c r="O190" s="3">
        <f>Table15[[#This Row],[Beginning Balance]]-Table15[[#This Row],[Principal]]-Table15[[#This Row],[Prepayments]]-Table15[[#This Row],[Defaulted Principal]]</f>
        <v>0</v>
      </c>
      <c r="P190" s="3">
        <f>Table15[[#This Row],[Principal]]+Table15[[#This Row],[Interest]]+Table15[[#This Row],[Prepayments]]+Table15[[#This Row],[RecoveredAmount]]</f>
        <v>0</v>
      </c>
      <c r="Q190" s="3">
        <f ca="1">ROUND(Table15[[#This Row],[Cash Flow]]/((1+ActualRateToUse)^(IF(ISNUMBER(SEARCH("Actual",$C$7)),Table15[[#This Row],[Running Total]]/365,Table15[[#This Row],[Period]]/12))),2)</f>
        <v>0</v>
      </c>
      <c r="R190" s="2">
        <f>IF(MONTH(Table15[[#This Row],[Date]])=2,28,DAY(DATE(YEAR(Table15[[#This Row],[Date]]),MONTH(Table15[[#This Row],[Date]])+1,1)-1))</f>
        <v>31</v>
      </c>
      <c r="S190" s="2">
        <f ca="1">SUM(OFFSET(Table15[[#Headers],[Days in month]],1,0):Table15[[#This Row],[Days in month]])</f>
        <v>5294</v>
      </c>
      <c r="T190" s="37">
        <f>InterestRate*AmortizationMultiplier*IF(ISNUMBER(SEARCH("Actual",$C$7)),Table15[[#This Row],[Days in month]]/365,1/12)</f>
        <v>5.8133611111111103E-3</v>
      </c>
    </row>
    <row r="191" spans="2:20" x14ac:dyDescent="0.2">
      <c r="B191" s="1">
        <f t="shared" si="6"/>
        <v>51166</v>
      </c>
      <c r="C191" s="2">
        <f t="shared" si="8"/>
        <v>175</v>
      </c>
      <c r="D191" s="3">
        <f t="shared" si="7"/>
        <v>0</v>
      </c>
      <c r="E191" s="3">
        <f>ROUND(Table15[[#This Row],[Beginning Balance]]*Table15[[#This Row],[Monthly Interest Rate]],2)</f>
        <v>0</v>
      </c>
      <c r="F191" s="3">
        <f t="shared" si="9"/>
        <v>97</v>
      </c>
      <c r="G191" s="23">
        <f>IFERROR(IF($C$13="No","N/A",IF(Table15[[#This Row],[Period]]=1,$C$6,PMT(InterestRate*AmortizationMultiplier/12,Table15[[#This Row],[Am Thru]],-Table15[[#This Row],[Beginning Balance]]))),0)</f>
        <v>0</v>
      </c>
      <c r="H191" s="3">
        <f>MAX(0,IF(C191=$C$4,D191,ROUND(IF($C$3="Fixed Principal",$C$6-Table15[[#This Row],[Interest]],IF($C$3="Interest Only",Table15[[#This Row],[Beginning Balance]]*ROUND(1-(1-IF($C$11="No",$E$8,1))^(1/12),6),MIN(IF($C$13="Yes",Table15[[#This Row],[Payment Amount (Reamortized)]],$C$6)-Table15[[#This Row],[Interest]],Table15[[#This Row],[Beginning Balance]]))),2)))</f>
        <v>0</v>
      </c>
      <c r="I191" s="3">
        <f>_xlfn.SINGLE(IF($C$3="Line of Credit",0,ROUND(MAX(MIN(IF($C$10="No",$E$7,VLOOKUP(Table15[[#This Row],[Period]],Forecast!$H$2:$L$1048576,4,FALSE))*Table15[[#This Row],[Beginning Balance]],Table15[[#This Row],[Beginning Balance]]-Table15[[#This Row],[Principal]]),0),2)))</f>
        <v>0</v>
      </c>
      <c r="J191" s="3">
        <f>ROUND(MIN(Table15[[#This Row],[Beginning Balance]]*IF($C$8="No",$E$3,VLOOKUP(Table15[[#This Row],[Period]],Forecast!$H$2:$L$1048576,2,FALSE)),Table15[[#This Row],[Beginning Balance]]-Table15[[#This Row],[Principal]]-Table15[[#This Row],[Prepayments]]),2)</f>
        <v>0</v>
      </c>
      <c r="K191" s="3">
        <f>ROUND(Table15[[#This Row],[Defaulted Principal]]*IF($C$9="No",$E$4,VLOOKUP(Table15[[#This Row],[Period]],Forecast!$H$2:$L$1048576,3,FALSE)),2)</f>
        <v>0</v>
      </c>
      <c r="L191" s="2">
        <f>Table15[[#This Row],[Period]]+$E$9</f>
        <v>187</v>
      </c>
      <c r="M191" s="3">
        <f>Table15[[#This Row],[Defaulted Principal]]-Table15[[#This Row],[Estimated Loss]]</f>
        <v>0</v>
      </c>
      <c r="N191" s="3">
        <f>IFERROR(VLOOKUP(Table15[[#This Row],[Period]],$L$16:$M$385,2,FALSE),0)</f>
        <v>0</v>
      </c>
      <c r="O191" s="3">
        <f>Table15[[#This Row],[Beginning Balance]]-Table15[[#This Row],[Principal]]-Table15[[#This Row],[Prepayments]]-Table15[[#This Row],[Defaulted Principal]]</f>
        <v>0</v>
      </c>
      <c r="P191" s="3">
        <f>Table15[[#This Row],[Principal]]+Table15[[#This Row],[Interest]]+Table15[[#This Row],[Prepayments]]+Table15[[#This Row],[RecoveredAmount]]</f>
        <v>0</v>
      </c>
      <c r="Q191" s="3">
        <f ca="1">ROUND(Table15[[#This Row],[Cash Flow]]/((1+ActualRateToUse)^(IF(ISNUMBER(SEARCH("Actual",$C$7)),Table15[[#This Row],[Running Total]]/365,Table15[[#This Row],[Period]]/12))),2)</f>
        <v>0</v>
      </c>
      <c r="R191" s="2">
        <f>IF(MONTH(Table15[[#This Row],[Date]])=2,28,DAY(DATE(YEAR(Table15[[#This Row],[Date]]),MONTH(Table15[[#This Row],[Date]])+1,1)-1))</f>
        <v>31</v>
      </c>
      <c r="S191" s="2">
        <f ca="1">SUM(OFFSET(Table15[[#Headers],[Days in month]],1,0):Table15[[#This Row],[Days in month]])</f>
        <v>5325</v>
      </c>
      <c r="T191" s="37">
        <f>InterestRate*AmortizationMultiplier*IF(ISNUMBER(SEARCH("Actual",$C$7)),Table15[[#This Row],[Days in month]]/365,1/12)</f>
        <v>5.8133611111111103E-3</v>
      </c>
    </row>
    <row r="192" spans="2:20" x14ac:dyDescent="0.2">
      <c r="B192" s="1">
        <f t="shared" si="6"/>
        <v>51195</v>
      </c>
      <c r="C192" s="2">
        <f t="shared" si="8"/>
        <v>176</v>
      </c>
      <c r="D192" s="3">
        <f t="shared" si="7"/>
        <v>0</v>
      </c>
      <c r="E192" s="3">
        <f>ROUND(Table15[[#This Row],[Beginning Balance]]*Table15[[#This Row],[Monthly Interest Rate]],2)</f>
        <v>0</v>
      </c>
      <c r="F192" s="3">
        <f t="shared" si="9"/>
        <v>96</v>
      </c>
      <c r="G192" s="23">
        <f>IFERROR(IF($C$13="No","N/A",IF(Table15[[#This Row],[Period]]=1,$C$6,PMT(InterestRate*AmortizationMultiplier/12,Table15[[#This Row],[Am Thru]],-Table15[[#This Row],[Beginning Balance]]))),0)</f>
        <v>0</v>
      </c>
      <c r="H192" s="3">
        <f>MAX(0,IF(C192=$C$4,D192,ROUND(IF($C$3="Fixed Principal",$C$6-Table15[[#This Row],[Interest]],IF($C$3="Interest Only",Table15[[#This Row],[Beginning Balance]]*ROUND(1-(1-IF($C$11="No",$E$8,1))^(1/12),6),MIN(IF($C$13="Yes",Table15[[#This Row],[Payment Amount (Reamortized)]],$C$6)-Table15[[#This Row],[Interest]],Table15[[#This Row],[Beginning Balance]]))),2)))</f>
        <v>0</v>
      </c>
      <c r="I192" s="3">
        <f>_xlfn.SINGLE(IF($C$3="Line of Credit",0,ROUND(MAX(MIN(IF($C$10="No",$E$7,VLOOKUP(Table15[[#This Row],[Period]],Forecast!$H$2:$L$1048576,4,FALSE))*Table15[[#This Row],[Beginning Balance]],Table15[[#This Row],[Beginning Balance]]-Table15[[#This Row],[Principal]]),0),2)))</f>
        <v>0</v>
      </c>
      <c r="J192" s="3">
        <f>ROUND(MIN(Table15[[#This Row],[Beginning Balance]]*IF($C$8="No",$E$3,VLOOKUP(Table15[[#This Row],[Period]],Forecast!$H$2:$L$1048576,2,FALSE)),Table15[[#This Row],[Beginning Balance]]-Table15[[#This Row],[Principal]]-Table15[[#This Row],[Prepayments]]),2)</f>
        <v>0</v>
      </c>
      <c r="K192" s="3">
        <f>ROUND(Table15[[#This Row],[Defaulted Principal]]*IF($C$9="No",$E$4,VLOOKUP(Table15[[#This Row],[Period]],Forecast!$H$2:$L$1048576,3,FALSE)),2)</f>
        <v>0</v>
      </c>
      <c r="L192" s="2">
        <f>Table15[[#This Row],[Period]]+$E$9</f>
        <v>188</v>
      </c>
      <c r="M192" s="3">
        <f>Table15[[#This Row],[Defaulted Principal]]-Table15[[#This Row],[Estimated Loss]]</f>
        <v>0</v>
      </c>
      <c r="N192" s="3">
        <f>IFERROR(VLOOKUP(Table15[[#This Row],[Period]],$L$16:$M$385,2,FALSE),0)</f>
        <v>0</v>
      </c>
      <c r="O192" s="3">
        <f>Table15[[#This Row],[Beginning Balance]]-Table15[[#This Row],[Principal]]-Table15[[#This Row],[Prepayments]]-Table15[[#This Row],[Defaulted Principal]]</f>
        <v>0</v>
      </c>
      <c r="P192" s="3">
        <f>Table15[[#This Row],[Principal]]+Table15[[#This Row],[Interest]]+Table15[[#This Row],[Prepayments]]+Table15[[#This Row],[RecoveredAmount]]</f>
        <v>0</v>
      </c>
      <c r="Q192" s="3">
        <f ca="1">ROUND(Table15[[#This Row],[Cash Flow]]/((1+ActualRateToUse)^(IF(ISNUMBER(SEARCH("Actual",$C$7)),Table15[[#This Row],[Running Total]]/365,Table15[[#This Row],[Period]]/12))),2)</f>
        <v>0</v>
      </c>
      <c r="R192" s="2">
        <f>IF(MONTH(Table15[[#This Row],[Date]])=2,28,DAY(DATE(YEAR(Table15[[#This Row],[Date]]),MONTH(Table15[[#This Row],[Date]])+1,1)-1))</f>
        <v>28</v>
      </c>
      <c r="S192" s="2">
        <f ca="1">SUM(OFFSET(Table15[[#Headers],[Days in month]],1,0):Table15[[#This Row],[Days in month]])</f>
        <v>5353</v>
      </c>
      <c r="T192" s="37">
        <f>InterestRate*AmortizationMultiplier*IF(ISNUMBER(SEARCH("Actual",$C$7)),Table15[[#This Row],[Days in month]]/365,1/12)</f>
        <v>5.2507777777777778E-3</v>
      </c>
    </row>
    <row r="193" spans="2:20" x14ac:dyDescent="0.2">
      <c r="B193" s="1">
        <f t="shared" si="6"/>
        <v>51226</v>
      </c>
      <c r="C193" s="2">
        <f t="shared" si="8"/>
        <v>177</v>
      </c>
      <c r="D193" s="3">
        <f t="shared" si="7"/>
        <v>0</v>
      </c>
      <c r="E193" s="3">
        <f>ROUND(Table15[[#This Row],[Beginning Balance]]*Table15[[#This Row],[Monthly Interest Rate]],2)</f>
        <v>0</v>
      </c>
      <c r="F193" s="3">
        <f t="shared" si="9"/>
        <v>95</v>
      </c>
      <c r="G193" s="23">
        <f>IFERROR(IF($C$13="No","N/A",IF(Table15[[#This Row],[Period]]=1,$C$6,PMT(InterestRate*AmortizationMultiplier/12,Table15[[#This Row],[Am Thru]],-Table15[[#This Row],[Beginning Balance]]))),0)</f>
        <v>0</v>
      </c>
      <c r="H193" s="3">
        <f>MAX(0,IF(C193=$C$4,D193,ROUND(IF($C$3="Fixed Principal",$C$6-Table15[[#This Row],[Interest]],IF($C$3="Interest Only",Table15[[#This Row],[Beginning Balance]]*ROUND(1-(1-IF($C$11="No",$E$8,1))^(1/12),6),MIN(IF($C$13="Yes",Table15[[#This Row],[Payment Amount (Reamortized)]],$C$6)-Table15[[#This Row],[Interest]],Table15[[#This Row],[Beginning Balance]]))),2)))</f>
        <v>0</v>
      </c>
      <c r="I193" s="3">
        <f>_xlfn.SINGLE(IF($C$3="Line of Credit",0,ROUND(MAX(MIN(IF($C$10="No",$E$7,VLOOKUP(Table15[[#This Row],[Period]],Forecast!$H$2:$L$1048576,4,FALSE))*Table15[[#This Row],[Beginning Balance]],Table15[[#This Row],[Beginning Balance]]-Table15[[#This Row],[Principal]]),0),2)))</f>
        <v>0</v>
      </c>
      <c r="J193" s="3">
        <f>ROUND(MIN(Table15[[#This Row],[Beginning Balance]]*IF($C$8="No",$E$3,VLOOKUP(Table15[[#This Row],[Period]],Forecast!$H$2:$L$1048576,2,FALSE)),Table15[[#This Row],[Beginning Balance]]-Table15[[#This Row],[Principal]]-Table15[[#This Row],[Prepayments]]),2)</f>
        <v>0</v>
      </c>
      <c r="K193" s="3">
        <f>ROUND(Table15[[#This Row],[Defaulted Principal]]*IF($C$9="No",$E$4,VLOOKUP(Table15[[#This Row],[Period]],Forecast!$H$2:$L$1048576,3,FALSE)),2)</f>
        <v>0</v>
      </c>
      <c r="L193" s="2">
        <f>Table15[[#This Row],[Period]]+$E$9</f>
        <v>189</v>
      </c>
      <c r="M193" s="3">
        <f>Table15[[#This Row],[Defaulted Principal]]-Table15[[#This Row],[Estimated Loss]]</f>
        <v>0</v>
      </c>
      <c r="N193" s="3">
        <f>IFERROR(VLOOKUP(Table15[[#This Row],[Period]],$L$16:$M$385,2,FALSE),0)</f>
        <v>0</v>
      </c>
      <c r="O193" s="3">
        <f>Table15[[#This Row],[Beginning Balance]]-Table15[[#This Row],[Principal]]-Table15[[#This Row],[Prepayments]]-Table15[[#This Row],[Defaulted Principal]]</f>
        <v>0</v>
      </c>
      <c r="P193" s="3">
        <f>Table15[[#This Row],[Principal]]+Table15[[#This Row],[Interest]]+Table15[[#This Row],[Prepayments]]+Table15[[#This Row],[RecoveredAmount]]</f>
        <v>0</v>
      </c>
      <c r="Q193" s="3">
        <f ca="1">ROUND(Table15[[#This Row],[Cash Flow]]/((1+ActualRateToUse)^(IF(ISNUMBER(SEARCH("Actual",$C$7)),Table15[[#This Row],[Running Total]]/365,Table15[[#This Row],[Period]]/12))),2)</f>
        <v>0</v>
      </c>
      <c r="R193" s="2">
        <f>IF(MONTH(Table15[[#This Row],[Date]])=2,28,DAY(DATE(YEAR(Table15[[#This Row],[Date]]),MONTH(Table15[[#This Row],[Date]])+1,1)-1))</f>
        <v>31</v>
      </c>
      <c r="S193" s="2">
        <f ca="1">SUM(OFFSET(Table15[[#Headers],[Days in month]],1,0):Table15[[#This Row],[Days in month]])</f>
        <v>5384</v>
      </c>
      <c r="T193" s="37">
        <f>InterestRate*AmortizationMultiplier*IF(ISNUMBER(SEARCH("Actual",$C$7)),Table15[[#This Row],[Days in month]]/365,1/12)</f>
        <v>5.8133611111111103E-3</v>
      </c>
    </row>
    <row r="194" spans="2:20" x14ac:dyDescent="0.2">
      <c r="B194" s="1">
        <f t="shared" si="6"/>
        <v>51256</v>
      </c>
      <c r="C194" s="2">
        <f t="shared" si="8"/>
        <v>178</v>
      </c>
      <c r="D194" s="3">
        <f t="shared" si="7"/>
        <v>0</v>
      </c>
      <c r="E194" s="3">
        <f>ROUND(Table15[[#This Row],[Beginning Balance]]*Table15[[#This Row],[Monthly Interest Rate]],2)</f>
        <v>0</v>
      </c>
      <c r="F194" s="3">
        <f t="shared" si="9"/>
        <v>94</v>
      </c>
      <c r="G194" s="23">
        <f>IFERROR(IF($C$13="No","N/A",IF(Table15[[#This Row],[Period]]=1,$C$6,PMT(InterestRate*AmortizationMultiplier/12,Table15[[#This Row],[Am Thru]],-Table15[[#This Row],[Beginning Balance]]))),0)</f>
        <v>0</v>
      </c>
      <c r="H194" s="3">
        <f>MAX(0,IF(C194=$C$4,D194,ROUND(IF($C$3="Fixed Principal",$C$6-Table15[[#This Row],[Interest]],IF($C$3="Interest Only",Table15[[#This Row],[Beginning Balance]]*ROUND(1-(1-IF($C$11="No",$E$8,1))^(1/12),6),MIN(IF($C$13="Yes",Table15[[#This Row],[Payment Amount (Reamortized)]],$C$6)-Table15[[#This Row],[Interest]],Table15[[#This Row],[Beginning Balance]]))),2)))</f>
        <v>0</v>
      </c>
      <c r="I194" s="3">
        <f>_xlfn.SINGLE(IF($C$3="Line of Credit",0,ROUND(MAX(MIN(IF($C$10="No",$E$7,VLOOKUP(Table15[[#This Row],[Period]],Forecast!$H$2:$L$1048576,4,FALSE))*Table15[[#This Row],[Beginning Balance]],Table15[[#This Row],[Beginning Balance]]-Table15[[#This Row],[Principal]]),0),2)))</f>
        <v>0</v>
      </c>
      <c r="J194" s="3">
        <f>ROUND(MIN(Table15[[#This Row],[Beginning Balance]]*IF($C$8="No",$E$3,VLOOKUP(Table15[[#This Row],[Period]],Forecast!$H$2:$L$1048576,2,FALSE)),Table15[[#This Row],[Beginning Balance]]-Table15[[#This Row],[Principal]]-Table15[[#This Row],[Prepayments]]),2)</f>
        <v>0</v>
      </c>
      <c r="K194" s="3">
        <f>ROUND(Table15[[#This Row],[Defaulted Principal]]*IF($C$9="No",$E$4,VLOOKUP(Table15[[#This Row],[Period]],Forecast!$H$2:$L$1048576,3,FALSE)),2)</f>
        <v>0</v>
      </c>
      <c r="L194" s="2">
        <f>Table15[[#This Row],[Period]]+$E$9</f>
        <v>190</v>
      </c>
      <c r="M194" s="3">
        <f>Table15[[#This Row],[Defaulted Principal]]-Table15[[#This Row],[Estimated Loss]]</f>
        <v>0</v>
      </c>
      <c r="N194" s="3">
        <f>IFERROR(VLOOKUP(Table15[[#This Row],[Period]],$L$16:$M$385,2,FALSE),0)</f>
        <v>0</v>
      </c>
      <c r="O194" s="3">
        <f>Table15[[#This Row],[Beginning Balance]]-Table15[[#This Row],[Principal]]-Table15[[#This Row],[Prepayments]]-Table15[[#This Row],[Defaulted Principal]]</f>
        <v>0</v>
      </c>
      <c r="P194" s="3">
        <f>Table15[[#This Row],[Principal]]+Table15[[#This Row],[Interest]]+Table15[[#This Row],[Prepayments]]+Table15[[#This Row],[RecoveredAmount]]</f>
        <v>0</v>
      </c>
      <c r="Q194" s="3">
        <f ca="1">ROUND(Table15[[#This Row],[Cash Flow]]/((1+ActualRateToUse)^(IF(ISNUMBER(SEARCH("Actual",$C$7)),Table15[[#This Row],[Running Total]]/365,Table15[[#This Row],[Period]]/12))),2)</f>
        <v>0</v>
      </c>
      <c r="R194" s="2">
        <f>IF(MONTH(Table15[[#This Row],[Date]])=2,28,DAY(DATE(YEAR(Table15[[#This Row],[Date]]),MONTH(Table15[[#This Row],[Date]])+1,1)-1))</f>
        <v>30</v>
      </c>
      <c r="S194" s="2">
        <f ca="1">SUM(OFFSET(Table15[[#Headers],[Days in month]],1,0):Table15[[#This Row],[Days in month]])</f>
        <v>5414</v>
      </c>
      <c r="T194" s="37">
        <f>InterestRate*AmortizationMultiplier*IF(ISNUMBER(SEARCH("Actual",$C$7)),Table15[[#This Row],[Days in month]]/365,1/12)</f>
        <v>5.6258333333333325E-3</v>
      </c>
    </row>
    <row r="195" spans="2:20" x14ac:dyDescent="0.2">
      <c r="B195" s="1">
        <f t="shared" si="6"/>
        <v>51287</v>
      </c>
      <c r="C195" s="2">
        <f t="shared" si="8"/>
        <v>179</v>
      </c>
      <c r="D195" s="3">
        <f t="shared" si="7"/>
        <v>0</v>
      </c>
      <c r="E195" s="3">
        <f>ROUND(Table15[[#This Row],[Beginning Balance]]*Table15[[#This Row],[Monthly Interest Rate]],2)</f>
        <v>0</v>
      </c>
      <c r="F195" s="3">
        <f t="shared" si="9"/>
        <v>93</v>
      </c>
      <c r="G195" s="23">
        <f>IFERROR(IF($C$13="No","N/A",IF(Table15[[#This Row],[Period]]=1,$C$6,PMT(InterestRate*AmortizationMultiplier/12,Table15[[#This Row],[Am Thru]],-Table15[[#This Row],[Beginning Balance]]))),0)</f>
        <v>0</v>
      </c>
      <c r="H195" s="3">
        <f>MAX(0,IF(C195=$C$4,D195,ROUND(IF($C$3="Fixed Principal",$C$6-Table15[[#This Row],[Interest]],IF($C$3="Interest Only",Table15[[#This Row],[Beginning Balance]]*ROUND(1-(1-IF($C$11="No",$E$8,1))^(1/12),6),MIN(IF($C$13="Yes",Table15[[#This Row],[Payment Amount (Reamortized)]],$C$6)-Table15[[#This Row],[Interest]],Table15[[#This Row],[Beginning Balance]]))),2)))</f>
        <v>0</v>
      </c>
      <c r="I195" s="3">
        <f>_xlfn.SINGLE(IF($C$3="Line of Credit",0,ROUND(MAX(MIN(IF($C$10="No",$E$7,VLOOKUP(Table15[[#This Row],[Period]],Forecast!$H$2:$L$1048576,4,FALSE))*Table15[[#This Row],[Beginning Balance]],Table15[[#This Row],[Beginning Balance]]-Table15[[#This Row],[Principal]]),0),2)))</f>
        <v>0</v>
      </c>
      <c r="J195" s="3">
        <f>ROUND(MIN(Table15[[#This Row],[Beginning Balance]]*IF($C$8="No",$E$3,VLOOKUP(Table15[[#This Row],[Period]],Forecast!$H$2:$L$1048576,2,FALSE)),Table15[[#This Row],[Beginning Balance]]-Table15[[#This Row],[Principal]]-Table15[[#This Row],[Prepayments]]),2)</f>
        <v>0</v>
      </c>
      <c r="K195" s="3">
        <f>ROUND(Table15[[#This Row],[Defaulted Principal]]*IF($C$9="No",$E$4,VLOOKUP(Table15[[#This Row],[Period]],Forecast!$H$2:$L$1048576,3,FALSE)),2)</f>
        <v>0</v>
      </c>
      <c r="L195" s="2">
        <f>Table15[[#This Row],[Period]]+$E$9</f>
        <v>191</v>
      </c>
      <c r="M195" s="3">
        <f>Table15[[#This Row],[Defaulted Principal]]-Table15[[#This Row],[Estimated Loss]]</f>
        <v>0</v>
      </c>
      <c r="N195" s="3">
        <f>IFERROR(VLOOKUP(Table15[[#This Row],[Period]],$L$16:$M$385,2,FALSE),0)</f>
        <v>0</v>
      </c>
      <c r="O195" s="3">
        <f>Table15[[#This Row],[Beginning Balance]]-Table15[[#This Row],[Principal]]-Table15[[#This Row],[Prepayments]]-Table15[[#This Row],[Defaulted Principal]]</f>
        <v>0</v>
      </c>
      <c r="P195" s="3">
        <f>Table15[[#This Row],[Principal]]+Table15[[#This Row],[Interest]]+Table15[[#This Row],[Prepayments]]+Table15[[#This Row],[RecoveredAmount]]</f>
        <v>0</v>
      </c>
      <c r="Q195" s="3">
        <f ca="1">ROUND(Table15[[#This Row],[Cash Flow]]/((1+ActualRateToUse)^(IF(ISNUMBER(SEARCH("Actual",$C$7)),Table15[[#This Row],[Running Total]]/365,Table15[[#This Row],[Period]]/12))),2)</f>
        <v>0</v>
      </c>
      <c r="R195" s="2">
        <f>IF(MONTH(Table15[[#This Row],[Date]])=2,28,DAY(DATE(YEAR(Table15[[#This Row],[Date]]),MONTH(Table15[[#This Row],[Date]])+1,1)-1))</f>
        <v>31</v>
      </c>
      <c r="S195" s="2">
        <f ca="1">SUM(OFFSET(Table15[[#Headers],[Days in month]],1,0):Table15[[#This Row],[Days in month]])</f>
        <v>5445</v>
      </c>
      <c r="T195" s="37">
        <f>InterestRate*AmortizationMultiplier*IF(ISNUMBER(SEARCH("Actual",$C$7)),Table15[[#This Row],[Days in month]]/365,1/12)</f>
        <v>5.8133611111111103E-3</v>
      </c>
    </row>
    <row r="196" spans="2:20" x14ac:dyDescent="0.2">
      <c r="B196" s="1">
        <f t="shared" si="6"/>
        <v>51317</v>
      </c>
      <c r="C196" s="2">
        <f t="shared" si="8"/>
        <v>180</v>
      </c>
      <c r="D196" s="3">
        <f t="shared" si="7"/>
        <v>0</v>
      </c>
      <c r="E196" s="3">
        <f>ROUND(Table15[[#This Row],[Beginning Balance]]*Table15[[#This Row],[Monthly Interest Rate]],2)</f>
        <v>0</v>
      </c>
      <c r="F196" s="3">
        <f t="shared" si="9"/>
        <v>92</v>
      </c>
      <c r="G196" s="23">
        <f>IFERROR(IF($C$13="No","N/A",IF(Table15[[#This Row],[Period]]=1,$C$6,PMT(InterestRate*AmortizationMultiplier/12,Table15[[#This Row],[Am Thru]],-Table15[[#This Row],[Beginning Balance]]))),0)</f>
        <v>0</v>
      </c>
      <c r="H196" s="3">
        <f>MAX(0,IF(C196=$C$4,D196,ROUND(IF($C$3="Fixed Principal",$C$6-Table15[[#This Row],[Interest]],IF($C$3="Interest Only",Table15[[#This Row],[Beginning Balance]]*ROUND(1-(1-IF($C$11="No",$E$8,1))^(1/12),6),MIN(IF($C$13="Yes",Table15[[#This Row],[Payment Amount (Reamortized)]],$C$6)-Table15[[#This Row],[Interest]],Table15[[#This Row],[Beginning Balance]]))),2)))</f>
        <v>0</v>
      </c>
      <c r="I196" s="3">
        <f>_xlfn.SINGLE(IF($C$3="Line of Credit",0,ROUND(MAX(MIN(IF($C$10="No",$E$7,VLOOKUP(Table15[[#This Row],[Period]],Forecast!$H$2:$L$1048576,4,FALSE))*Table15[[#This Row],[Beginning Balance]],Table15[[#This Row],[Beginning Balance]]-Table15[[#This Row],[Principal]]),0),2)))</f>
        <v>0</v>
      </c>
      <c r="J196" s="3">
        <f>ROUND(MIN(Table15[[#This Row],[Beginning Balance]]*IF($C$8="No",$E$3,VLOOKUP(Table15[[#This Row],[Period]],Forecast!$H$2:$L$1048576,2,FALSE)),Table15[[#This Row],[Beginning Balance]]-Table15[[#This Row],[Principal]]-Table15[[#This Row],[Prepayments]]),2)</f>
        <v>0</v>
      </c>
      <c r="K196" s="3">
        <f>ROUND(Table15[[#This Row],[Defaulted Principal]]*IF($C$9="No",$E$4,VLOOKUP(Table15[[#This Row],[Period]],Forecast!$H$2:$L$1048576,3,FALSE)),2)</f>
        <v>0</v>
      </c>
      <c r="L196" s="2">
        <f>Table15[[#This Row],[Period]]+$E$9</f>
        <v>192</v>
      </c>
      <c r="M196" s="3">
        <f>Table15[[#This Row],[Defaulted Principal]]-Table15[[#This Row],[Estimated Loss]]</f>
        <v>0</v>
      </c>
      <c r="N196" s="3">
        <f>IFERROR(VLOOKUP(Table15[[#This Row],[Period]],$L$16:$M$385,2,FALSE),0)</f>
        <v>0</v>
      </c>
      <c r="O196" s="3">
        <f>Table15[[#This Row],[Beginning Balance]]-Table15[[#This Row],[Principal]]-Table15[[#This Row],[Prepayments]]-Table15[[#This Row],[Defaulted Principal]]</f>
        <v>0</v>
      </c>
      <c r="P196" s="3">
        <f>Table15[[#This Row],[Principal]]+Table15[[#This Row],[Interest]]+Table15[[#This Row],[Prepayments]]+Table15[[#This Row],[RecoveredAmount]]</f>
        <v>0</v>
      </c>
      <c r="Q196" s="3">
        <f ca="1">ROUND(Table15[[#This Row],[Cash Flow]]/((1+ActualRateToUse)^(IF(ISNUMBER(SEARCH("Actual",$C$7)),Table15[[#This Row],[Running Total]]/365,Table15[[#This Row],[Period]]/12))),2)</f>
        <v>0</v>
      </c>
      <c r="R196" s="2">
        <f>IF(MONTH(Table15[[#This Row],[Date]])=2,28,DAY(DATE(YEAR(Table15[[#This Row],[Date]]),MONTH(Table15[[#This Row],[Date]])+1,1)-1))</f>
        <v>30</v>
      </c>
      <c r="S196" s="2">
        <f ca="1">SUM(OFFSET(Table15[[#Headers],[Days in month]],1,0):Table15[[#This Row],[Days in month]])</f>
        <v>5475</v>
      </c>
      <c r="T196" s="37">
        <f>InterestRate*AmortizationMultiplier*IF(ISNUMBER(SEARCH("Actual",$C$7)),Table15[[#This Row],[Days in month]]/365,1/12)</f>
        <v>5.6258333333333325E-3</v>
      </c>
    </row>
    <row r="197" spans="2:20" x14ac:dyDescent="0.2">
      <c r="B197" s="1">
        <f t="shared" si="6"/>
        <v>51348</v>
      </c>
      <c r="C197" s="2">
        <f t="shared" si="8"/>
        <v>181</v>
      </c>
      <c r="D197" s="3">
        <f t="shared" si="7"/>
        <v>0</v>
      </c>
      <c r="E197" s="3">
        <f>ROUND(Table15[[#This Row],[Beginning Balance]]*Table15[[#This Row],[Monthly Interest Rate]],2)</f>
        <v>0</v>
      </c>
      <c r="F197" s="3">
        <f t="shared" si="9"/>
        <v>91</v>
      </c>
      <c r="G197" s="23">
        <f>IFERROR(IF($C$13="No","N/A",IF(Table15[[#This Row],[Period]]=1,$C$6,PMT(InterestRate*AmortizationMultiplier/12,Table15[[#This Row],[Am Thru]],-Table15[[#This Row],[Beginning Balance]]))),0)</f>
        <v>0</v>
      </c>
      <c r="H197" s="3">
        <f>MAX(0,IF(C197=$C$4,D197,ROUND(IF($C$3="Fixed Principal",$C$6-Table15[[#This Row],[Interest]],IF($C$3="Interest Only",Table15[[#This Row],[Beginning Balance]]*ROUND(1-(1-IF($C$11="No",$E$8,1))^(1/12),6),MIN(IF($C$13="Yes",Table15[[#This Row],[Payment Amount (Reamortized)]],$C$6)-Table15[[#This Row],[Interest]],Table15[[#This Row],[Beginning Balance]]))),2)))</f>
        <v>0</v>
      </c>
      <c r="I197" s="3">
        <f>_xlfn.SINGLE(IF($C$3="Line of Credit",0,ROUND(MAX(MIN(IF($C$10="No",$E$7,VLOOKUP(Table15[[#This Row],[Period]],Forecast!$H$2:$L$1048576,4,FALSE))*Table15[[#This Row],[Beginning Balance]],Table15[[#This Row],[Beginning Balance]]-Table15[[#This Row],[Principal]]),0),2)))</f>
        <v>0</v>
      </c>
      <c r="J197" s="3">
        <f>ROUND(MIN(Table15[[#This Row],[Beginning Balance]]*IF($C$8="No",$E$3,VLOOKUP(Table15[[#This Row],[Period]],Forecast!$H$2:$L$1048576,2,FALSE)),Table15[[#This Row],[Beginning Balance]]-Table15[[#This Row],[Principal]]-Table15[[#This Row],[Prepayments]]),2)</f>
        <v>0</v>
      </c>
      <c r="K197" s="3">
        <f>ROUND(Table15[[#This Row],[Defaulted Principal]]*IF($C$9="No",$E$4,VLOOKUP(Table15[[#This Row],[Period]],Forecast!$H$2:$L$1048576,3,FALSE)),2)</f>
        <v>0</v>
      </c>
      <c r="L197" s="2">
        <f>Table15[[#This Row],[Period]]+$E$9</f>
        <v>193</v>
      </c>
      <c r="M197" s="3">
        <f>Table15[[#This Row],[Defaulted Principal]]-Table15[[#This Row],[Estimated Loss]]</f>
        <v>0</v>
      </c>
      <c r="N197" s="3">
        <f>IFERROR(VLOOKUP(Table15[[#This Row],[Period]],$L$16:$M$385,2,FALSE),0)</f>
        <v>0</v>
      </c>
      <c r="O197" s="3">
        <f>Table15[[#This Row],[Beginning Balance]]-Table15[[#This Row],[Principal]]-Table15[[#This Row],[Prepayments]]-Table15[[#This Row],[Defaulted Principal]]</f>
        <v>0</v>
      </c>
      <c r="P197" s="3">
        <f>Table15[[#This Row],[Principal]]+Table15[[#This Row],[Interest]]+Table15[[#This Row],[Prepayments]]+Table15[[#This Row],[RecoveredAmount]]</f>
        <v>0</v>
      </c>
      <c r="Q197" s="3">
        <f ca="1">ROUND(Table15[[#This Row],[Cash Flow]]/((1+ActualRateToUse)^(IF(ISNUMBER(SEARCH("Actual",$C$7)),Table15[[#This Row],[Running Total]]/365,Table15[[#This Row],[Period]]/12))),2)</f>
        <v>0</v>
      </c>
      <c r="R197" s="2">
        <f>IF(MONTH(Table15[[#This Row],[Date]])=2,28,DAY(DATE(YEAR(Table15[[#This Row],[Date]]),MONTH(Table15[[#This Row],[Date]])+1,1)-1))</f>
        <v>31</v>
      </c>
      <c r="S197" s="2">
        <f ca="1">SUM(OFFSET(Table15[[#Headers],[Days in month]],1,0):Table15[[#This Row],[Days in month]])</f>
        <v>5506</v>
      </c>
      <c r="T197" s="37">
        <f>InterestRate*AmortizationMultiplier*IF(ISNUMBER(SEARCH("Actual",$C$7)),Table15[[#This Row],[Days in month]]/365,1/12)</f>
        <v>5.8133611111111103E-3</v>
      </c>
    </row>
    <row r="198" spans="2:20" x14ac:dyDescent="0.2">
      <c r="B198" s="1">
        <f t="shared" si="6"/>
        <v>51379</v>
      </c>
      <c r="C198" s="2">
        <f t="shared" si="8"/>
        <v>182</v>
      </c>
      <c r="D198" s="3">
        <f t="shared" si="7"/>
        <v>0</v>
      </c>
      <c r="E198" s="3">
        <f>ROUND(Table15[[#This Row],[Beginning Balance]]*Table15[[#This Row],[Monthly Interest Rate]],2)</f>
        <v>0</v>
      </c>
      <c r="F198" s="3">
        <f t="shared" si="9"/>
        <v>90</v>
      </c>
      <c r="G198" s="23">
        <f>IFERROR(IF($C$13="No","N/A",IF(Table15[[#This Row],[Period]]=1,$C$6,PMT(InterestRate*AmortizationMultiplier/12,Table15[[#This Row],[Am Thru]],-Table15[[#This Row],[Beginning Balance]]))),0)</f>
        <v>0</v>
      </c>
      <c r="H198" s="3">
        <f>MAX(0,IF(C198=$C$4,D198,ROUND(IF($C$3="Fixed Principal",$C$6-Table15[[#This Row],[Interest]],IF($C$3="Interest Only",Table15[[#This Row],[Beginning Balance]]*ROUND(1-(1-IF($C$11="No",$E$8,1))^(1/12),6),MIN(IF($C$13="Yes",Table15[[#This Row],[Payment Amount (Reamortized)]],$C$6)-Table15[[#This Row],[Interest]],Table15[[#This Row],[Beginning Balance]]))),2)))</f>
        <v>0</v>
      </c>
      <c r="I198" s="3">
        <f>_xlfn.SINGLE(IF($C$3="Line of Credit",0,ROUND(MAX(MIN(IF($C$10="No",$E$7,VLOOKUP(Table15[[#This Row],[Period]],Forecast!$H$2:$L$1048576,4,FALSE))*Table15[[#This Row],[Beginning Balance]],Table15[[#This Row],[Beginning Balance]]-Table15[[#This Row],[Principal]]),0),2)))</f>
        <v>0</v>
      </c>
      <c r="J198" s="3">
        <f>ROUND(MIN(Table15[[#This Row],[Beginning Balance]]*IF($C$8="No",$E$3,VLOOKUP(Table15[[#This Row],[Period]],Forecast!$H$2:$L$1048576,2,FALSE)),Table15[[#This Row],[Beginning Balance]]-Table15[[#This Row],[Principal]]-Table15[[#This Row],[Prepayments]]),2)</f>
        <v>0</v>
      </c>
      <c r="K198" s="3">
        <f>ROUND(Table15[[#This Row],[Defaulted Principal]]*IF($C$9="No",$E$4,VLOOKUP(Table15[[#This Row],[Period]],Forecast!$H$2:$L$1048576,3,FALSE)),2)</f>
        <v>0</v>
      </c>
      <c r="L198" s="2">
        <f>Table15[[#This Row],[Period]]+$E$9</f>
        <v>194</v>
      </c>
      <c r="M198" s="3">
        <f>Table15[[#This Row],[Defaulted Principal]]-Table15[[#This Row],[Estimated Loss]]</f>
        <v>0</v>
      </c>
      <c r="N198" s="3">
        <f>IFERROR(VLOOKUP(Table15[[#This Row],[Period]],$L$16:$M$385,2,FALSE),0)</f>
        <v>0</v>
      </c>
      <c r="O198" s="3">
        <f>Table15[[#This Row],[Beginning Balance]]-Table15[[#This Row],[Principal]]-Table15[[#This Row],[Prepayments]]-Table15[[#This Row],[Defaulted Principal]]</f>
        <v>0</v>
      </c>
      <c r="P198" s="3">
        <f>Table15[[#This Row],[Principal]]+Table15[[#This Row],[Interest]]+Table15[[#This Row],[Prepayments]]+Table15[[#This Row],[RecoveredAmount]]</f>
        <v>0</v>
      </c>
      <c r="Q198" s="3">
        <f ca="1">ROUND(Table15[[#This Row],[Cash Flow]]/((1+ActualRateToUse)^(IF(ISNUMBER(SEARCH("Actual",$C$7)),Table15[[#This Row],[Running Total]]/365,Table15[[#This Row],[Period]]/12))),2)</f>
        <v>0</v>
      </c>
      <c r="R198" s="2">
        <f>IF(MONTH(Table15[[#This Row],[Date]])=2,28,DAY(DATE(YEAR(Table15[[#This Row],[Date]]),MONTH(Table15[[#This Row],[Date]])+1,1)-1))</f>
        <v>31</v>
      </c>
      <c r="S198" s="2">
        <f ca="1">SUM(OFFSET(Table15[[#Headers],[Days in month]],1,0):Table15[[#This Row],[Days in month]])</f>
        <v>5537</v>
      </c>
      <c r="T198" s="37">
        <f>InterestRate*AmortizationMultiplier*IF(ISNUMBER(SEARCH("Actual",$C$7)),Table15[[#This Row],[Days in month]]/365,1/12)</f>
        <v>5.8133611111111103E-3</v>
      </c>
    </row>
    <row r="199" spans="2:20" x14ac:dyDescent="0.2">
      <c r="B199" s="1">
        <f t="shared" si="6"/>
        <v>51409</v>
      </c>
      <c r="C199" s="2">
        <f t="shared" si="8"/>
        <v>183</v>
      </c>
      <c r="D199" s="3">
        <f t="shared" si="7"/>
        <v>0</v>
      </c>
      <c r="E199" s="3">
        <f>ROUND(Table15[[#This Row],[Beginning Balance]]*Table15[[#This Row],[Monthly Interest Rate]],2)</f>
        <v>0</v>
      </c>
      <c r="F199" s="3">
        <f t="shared" si="9"/>
        <v>89</v>
      </c>
      <c r="G199" s="23">
        <f>IFERROR(IF($C$13="No","N/A",IF(Table15[[#This Row],[Period]]=1,$C$6,PMT(InterestRate*AmortizationMultiplier/12,Table15[[#This Row],[Am Thru]],-Table15[[#This Row],[Beginning Balance]]))),0)</f>
        <v>0</v>
      </c>
      <c r="H199" s="3">
        <f>MAX(0,IF(C199=$C$4,D199,ROUND(IF($C$3="Fixed Principal",$C$6-Table15[[#This Row],[Interest]],IF($C$3="Interest Only",Table15[[#This Row],[Beginning Balance]]*ROUND(1-(1-IF($C$11="No",$E$8,1))^(1/12),6),MIN(IF($C$13="Yes",Table15[[#This Row],[Payment Amount (Reamortized)]],$C$6)-Table15[[#This Row],[Interest]],Table15[[#This Row],[Beginning Balance]]))),2)))</f>
        <v>0</v>
      </c>
      <c r="I199" s="3">
        <f>_xlfn.SINGLE(IF($C$3="Line of Credit",0,ROUND(MAX(MIN(IF($C$10="No",$E$7,VLOOKUP(Table15[[#This Row],[Period]],Forecast!$H$2:$L$1048576,4,FALSE))*Table15[[#This Row],[Beginning Balance]],Table15[[#This Row],[Beginning Balance]]-Table15[[#This Row],[Principal]]),0),2)))</f>
        <v>0</v>
      </c>
      <c r="J199" s="3">
        <f>ROUND(MIN(Table15[[#This Row],[Beginning Balance]]*IF($C$8="No",$E$3,VLOOKUP(Table15[[#This Row],[Period]],Forecast!$H$2:$L$1048576,2,FALSE)),Table15[[#This Row],[Beginning Balance]]-Table15[[#This Row],[Principal]]-Table15[[#This Row],[Prepayments]]),2)</f>
        <v>0</v>
      </c>
      <c r="K199" s="3">
        <f>ROUND(Table15[[#This Row],[Defaulted Principal]]*IF($C$9="No",$E$4,VLOOKUP(Table15[[#This Row],[Period]],Forecast!$H$2:$L$1048576,3,FALSE)),2)</f>
        <v>0</v>
      </c>
      <c r="L199" s="2">
        <f>Table15[[#This Row],[Period]]+$E$9</f>
        <v>195</v>
      </c>
      <c r="M199" s="3">
        <f>Table15[[#This Row],[Defaulted Principal]]-Table15[[#This Row],[Estimated Loss]]</f>
        <v>0</v>
      </c>
      <c r="N199" s="3">
        <f>IFERROR(VLOOKUP(Table15[[#This Row],[Period]],$L$16:$M$385,2,FALSE),0)</f>
        <v>0</v>
      </c>
      <c r="O199" s="3">
        <f>Table15[[#This Row],[Beginning Balance]]-Table15[[#This Row],[Principal]]-Table15[[#This Row],[Prepayments]]-Table15[[#This Row],[Defaulted Principal]]</f>
        <v>0</v>
      </c>
      <c r="P199" s="3">
        <f>Table15[[#This Row],[Principal]]+Table15[[#This Row],[Interest]]+Table15[[#This Row],[Prepayments]]+Table15[[#This Row],[RecoveredAmount]]</f>
        <v>0</v>
      </c>
      <c r="Q199" s="3">
        <f ca="1">ROUND(Table15[[#This Row],[Cash Flow]]/((1+ActualRateToUse)^(IF(ISNUMBER(SEARCH("Actual",$C$7)),Table15[[#This Row],[Running Total]]/365,Table15[[#This Row],[Period]]/12))),2)</f>
        <v>0</v>
      </c>
      <c r="R199" s="2">
        <f>IF(MONTH(Table15[[#This Row],[Date]])=2,28,DAY(DATE(YEAR(Table15[[#This Row],[Date]]),MONTH(Table15[[#This Row],[Date]])+1,1)-1))</f>
        <v>30</v>
      </c>
      <c r="S199" s="2">
        <f ca="1">SUM(OFFSET(Table15[[#Headers],[Days in month]],1,0):Table15[[#This Row],[Days in month]])</f>
        <v>5567</v>
      </c>
      <c r="T199" s="37">
        <f>InterestRate*AmortizationMultiplier*IF(ISNUMBER(SEARCH("Actual",$C$7)),Table15[[#This Row],[Days in month]]/365,1/12)</f>
        <v>5.6258333333333325E-3</v>
      </c>
    </row>
    <row r="200" spans="2:20" x14ac:dyDescent="0.2">
      <c r="B200" s="1">
        <f t="shared" si="6"/>
        <v>51440</v>
      </c>
      <c r="C200" s="2">
        <f t="shared" si="8"/>
        <v>184</v>
      </c>
      <c r="D200" s="3">
        <f t="shared" si="7"/>
        <v>0</v>
      </c>
      <c r="E200" s="3">
        <f>ROUND(Table15[[#This Row],[Beginning Balance]]*Table15[[#This Row],[Monthly Interest Rate]],2)</f>
        <v>0</v>
      </c>
      <c r="F200" s="3">
        <f t="shared" si="9"/>
        <v>88</v>
      </c>
      <c r="G200" s="23">
        <f>IFERROR(IF($C$13="No","N/A",IF(Table15[[#This Row],[Period]]=1,$C$6,PMT(InterestRate*AmortizationMultiplier/12,Table15[[#This Row],[Am Thru]],-Table15[[#This Row],[Beginning Balance]]))),0)</f>
        <v>0</v>
      </c>
      <c r="H200" s="3">
        <f>MAX(0,IF(C200=$C$4,D200,ROUND(IF($C$3="Fixed Principal",$C$6-Table15[[#This Row],[Interest]],IF($C$3="Interest Only",Table15[[#This Row],[Beginning Balance]]*ROUND(1-(1-IF($C$11="No",$E$8,1))^(1/12),6),MIN(IF($C$13="Yes",Table15[[#This Row],[Payment Amount (Reamortized)]],$C$6)-Table15[[#This Row],[Interest]],Table15[[#This Row],[Beginning Balance]]))),2)))</f>
        <v>0</v>
      </c>
      <c r="I200" s="3">
        <f>_xlfn.SINGLE(IF($C$3="Line of Credit",0,ROUND(MAX(MIN(IF($C$10="No",$E$7,VLOOKUP(Table15[[#This Row],[Period]],Forecast!$H$2:$L$1048576,4,FALSE))*Table15[[#This Row],[Beginning Balance]],Table15[[#This Row],[Beginning Balance]]-Table15[[#This Row],[Principal]]),0),2)))</f>
        <v>0</v>
      </c>
      <c r="J200" s="3">
        <f>ROUND(MIN(Table15[[#This Row],[Beginning Balance]]*IF($C$8="No",$E$3,VLOOKUP(Table15[[#This Row],[Period]],Forecast!$H$2:$L$1048576,2,FALSE)),Table15[[#This Row],[Beginning Balance]]-Table15[[#This Row],[Principal]]-Table15[[#This Row],[Prepayments]]),2)</f>
        <v>0</v>
      </c>
      <c r="K200" s="3">
        <f>ROUND(Table15[[#This Row],[Defaulted Principal]]*IF($C$9="No",$E$4,VLOOKUP(Table15[[#This Row],[Period]],Forecast!$H$2:$L$1048576,3,FALSE)),2)</f>
        <v>0</v>
      </c>
      <c r="L200" s="2">
        <f>Table15[[#This Row],[Period]]+$E$9</f>
        <v>196</v>
      </c>
      <c r="M200" s="3">
        <f>Table15[[#This Row],[Defaulted Principal]]-Table15[[#This Row],[Estimated Loss]]</f>
        <v>0</v>
      </c>
      <c r="N200" s="3">
        <f>IFERROR(VLOOKUP(Table15[[#This Row],[Period]],$L$16:$M$385,2,FALSE),0)</f>
        <v>0</v>
      </c>
      <c r="O200" s="3">
        <f>Table15[[#This Row],[Beginning Balance]]-Table15[[#This Row],[Principal]]-Table15[[#This Row],[Prepayments]]-Table15[[#This Row],[Defaulted Principal]]</f>
        <v>0</v>
      </c>
      <c r="P200" s="3">
        <f>Table15[[#This Row],[Principal]]+Table15[[#This Row],[Interest]]+Table15[[#This Row],[Prepayments]]+Table15[[#This Row],[RecoveredAmount]]</f>
        <v>0</v>
      </c>
      <c r="Q200" s="3">
        <f ca="1">ROUND(Table15[[#This Row],[Cash Flow]]/((1+ActualRateToUse)^(IF(ISNUMBER(SEARCH("Actual",$C$7)),Table15[[#This Row],[Running Total]]/365,Table15[[#This Row],[Period]]/12))),2)</f>
        <v>0</v>
      </c>
      <c r="R200" s="2">
        <f>IF(MONTH(Table15[[#This Row],[Date]])=2,28,DAY(DATE(YEAR(Table15[[#This Row],[Date]]),MONTH(Table15[[#This Row],[Date]])+1,1)-1))</f>
        <v>31</v>
      </c>
      <c r="S200" s="2">
        <f ca="1">SUM(OFFSET(Table15[[#Headers],[Days in month]],1,0):Table15[[#This Row],[Days in month]])</f>
        <v>5598</v>
      </c>
      <c r="T200" s="37">
        <f>InterestRate*AmortizationMultiplier*IF(ISNUMBER(SEARCH("Actual",$C$7)),Table15[[#This Row],[Days in month]]/365,1/12)</f>
        <v>5.8133611111111103E-3</v>
      </c>
    </row>
    <row r="201" spans="2:20" x14ac:dyDescent="0.2">
      <c r="B201" s="1">
        <f t="shared" si="6"/>
        <v>51470</v>
      </c>
      <c r="C201" s="2">
        <f t="shared" si="8"/>
        <v>185</v>
      </c>
      <c r="D201" s="3">
        <f t="shared" si="7"/>
        <v>0</v>
      </c>
      <c r="E201" s="3">
        <f>ROUND(Table15[[#This Row],[Beginning Balance]]*Table15[[#This Row],[Monthly Interest Rate]],2)</f>
        <v>0</v>
      </c>
      <c r="F201" s="3">
        <f t="shared" si="9"/>
        <v>87</v>
      </c>
      <c r="G201" s="23">
        <f>IFERROR(IF($C$13="No","N/A",IF(Table15[[#This Row],[Period]]=1,$C$6,PMT(InterestRate*AmortizationMultiplier/12,Table15[[#This Row],[Am Thru]],-Table15[[#This Row],[Beginning Balance]]))),0)</f>
        <v>0</v>
      </c>
      <c r="H201" s="3">
        <f>MAX(0,IF(C201=$C$4,D201,ROUND(IF($C$3="Fixed Principal",$C$6-Table15[[#This Row],[Interest]],IF($C$3="Interest Only",Table15[[#This Row],[Beginning Balance]]*ROUND(1-(1-IF($C$11="No",$E$8,1))^(1/12),6),MIN(IF($C$13="Yes",Table15[[#This Row],[Payment Amount (Reamortized)]],$C$6)-Table15[[#This Row],[Interest]],Table15[[#This Row],[Beginning Balance]]))),2)))</f>
        <v>0</v>
      </c>
      <c r="I201" s="3">
        <f>_xlfn.SINGLE(IF($C$3="Line of Credit",0,ROUND(MAX(MIN(IF($C$10="No",$E$7,VLOOKUP(Table15[[#This Row],[Period]],Forecast!$H$2:$L$1048576,4,FALSE))*Table15[[#This Row],[Beginning Balance]],Table15[[#This Row],[Beginning Balance]]-Table15[[#This Row],[Principal]]),0),2)))</f>
        <v>0</v>
      </c>
      <c r="J201" s="3">
        <f>ROUND(MIN(Table15[[#This Row],[Beginning Balance]]*IF($C$8="No",$E$3,VLOOKUP(Table15[[#This Row],[Period]],Forecast!$H$2:$L$1048576,2,FALSE)),Table15[[#This Row],[Beginning Balance]]-Table15[[#This Row],[Principal]]-Table15[[#This Row],[Prepayments]]),2)</f>
        <v>0</v>
      </c>
      <c r="K201" s="3">
        <f>ROUND(Table15[[#This Row],[Defaulted Principal]]*IF($C$9="No",$E$4,VLOOKUP(Table15[[#This Row],[Period]],Forecast!$H$2:$L$1048576,3,FALSE)),2)</f>
        <v>0</v>
      </c>
      <c r="L201" s="2">
        <f>Table15[[#This Row],[Period]]+$E$9</f>
        <v>197</v>
      </c>
      <c r="M201" s="3">
        <f>Table15[[#This Row],[Defaulted Principal]]-Table15[[#This Row],[Estimated Loss]]</f>
        <v>0</v>
      </c>
      <c r="N201" s="3">
        <f>IFERROR(VLOOKUP(Table15[[#This Row],[Period]],$L$16:$M$385,2,FALSE),0)</f>
        <v>0</v>
      </c>
      <c r="O201" s="3">
        <f>Table15[[#This Row],[Beginning Balance]]-Table15[[#This Row],[Principal]]-Table15[[#This Row],[Prepayments]]-Table15[[#This Row],[Defaulted Principal]]</f>
        <v>0</v>
      </c>
      <c r="P201" s="3">
        <f>Table15[[#This Row],[Principal]]+Table15[[#This Row],[Interest]]+Table15[[#This Row],[Prepayments]]+Table15[[#This Row],[RecoveredAmount]]</f>
        <v>0</v>
      </c>
      <c r="Q201" s="3">
        <f ca="1">ROUND(Table15[[#This Row],[Cash Flow]]/((1+ActualRateToUse)^(IF(ISNUMBER(SEARCH("Actual",$C$7)),Table15[[#This Row],[Running Total]]/365,Table15[[#This Row],[Period]]/12))),2)</f>
        <v>0</v>
      </c>
      <c r="R201" s="2">
        <f>IF(MONTH(Table15[[#This Row],[Date]])=2,28,DAY(DATE(YEAR(Table15[[#This Row],[Date]]),MONTH(Table15[[#This Row],[Date]])+1,1)-1))</f>
        <v>30</v>
      </c>
      <c r="S201" s="2">
        <f ca="1">SUM(OFFSET(Table15[[#Headers],[Days in month]],1,0):Table15[[#This Row],[Days in month]])</f>
        <v>5628</v>
      </c>
      <c r="T201" s="37">
        <f>InterestRate*AmortizationMultiplier*IF(ISNUMBER(SEARCH("Actual",$C$7)),Table15[[#This Row],[Days in month]]/365,1/12)</f>
        <v>5.6258333333333325E-3</v>
      </c>
    </row>
    <row r="202" spans="2:20" x14ac:dyDescent="0.2">
      <c r="B202" s="1">
        <f t="shared" si="6"/>
        <v>51501</v>
      </c>
      <c r="C202" s="2">
        <f t="shared" si="8"/>
        <v>186</v>
      </c>
      <c r="D202" s="3">
        <f t="shared" si="7"/>
        <v>0</v>
      </c>
      <c r="E202" s="3">
        <f>ROUND(Table15[[#This Row],[Beginning Balance]]*Table15[[#This Row],[Monthly Interest Rate]],2)</f>
        <v>0</v>
      </c>
      <c r="F202" s="3">
        <f t="shared" si="9"/>
        <v>86</v>
      </c>
      <c r="G202" s="23">
        <f>IFERROR(IF($C$13="No","N/A",IF(Table15[[#This Row],[Period]]=1,$C$6,PMT(InterestRate*AmortizationMultiplier/12,Table15[[#This Row],[Am Thru]],-Table15[[#This Row],[Beginning Balance]]))),0)</f>
        <v>0</v>
      </c>
      <c r="H202" s="3">
        <f>MAX(0,IF(C202=$C$4,D202,ROUND(IF($C$3="Fixed Principal",$C$6-Table15[[#This Row],[Interest]],IF($C$3="Interest Only",Table15[[#This Row],[Beginning Balance]]*ROUND(1-(1-IF($C$11="No",$E$8,1))^(1/12),6),MIN(IF($C$13="Yes",Table15[[#This Row],[Payment Amount (Reamortized)]],$C$6)-Table15[[#This Row],[Interest]],Table15[[#This Row],[Beginning Balance]]))),2)))</f>
        <v>0</v>
      </c>
      <c r="I202" s="3">
        <f>_xlfn.SINGLE(IF($C$3="Line of Credit",0,ROUND(MAX(MIN(IF($C$10="No",$E$7,VLOOKUP(Table15[[#This Row],[Period]],Forecast!$H$2:$L$1048576,4,FALSE))*Table15[[#This Row],[Beginning Balance]],Table15[[#This Row],[Beginning Balance]]-Table15[[#This Row],[Principal]]),0),2)))</f>
        <v>0</v>
      </c>
      <c r="J202" s="3">
        <f>ROUND(MIN(Table15[[#This Row],[Beginning Balance]]*IF($C$8="No",$E$3,VLOOKUP(Table15[[#This Row],[Period]],Forecast!$H$2:$L$1048576,2,FALSE)),Table15[[#This Row],[Beginning Balance]]-Table15[[#This Row],[Principal]]-Table15[[#This Row],[Prepayments]]),2)</f>
        <v>0</v>
      </c>
      <c r="K202" s="3">
        <f>ROUND(Table15[[#This Row],[Defaulted Principal]]*IF($C$9="No",$E$4,VLOOKUP(Table15[[#This Row],[Period]],Forecast!$H$2:$L$1048576,3,FALSE)),2)</f>
        <v>0</v>
      </c>
      <c r="L202" s="2">
        <f>Table15[[#This Row],[Period]]+$E$9</f>
        <v>198</v>
      </c>
      <c r="M202" s="3">
        <f>Table15[[#This Row],[Defaulted Principal]]-Table15[[#This Row],[Estimated Loss]]</f>
        <v>0</v>
      </c>
      <c r="N202" s="3">
        <f>IFERROR(VLOOKUP(Table15[[#This Row],[Period]],$L$16:$M$385,2,FALSE),0)</f>
        <v>0</v>
      </c>
      <c r="O202" s="3">
        <f>Table15[[#This Row],[Beginning Balance]]-Table15[[#This Row],[Principal]]-Table15[[#This Row],[Prepayments]]-Table15[[#This Row],[Defaulted Principal]]</f>
        <v>0</v>
      </c>
      <c r="P202" s="3">
        <f>Table15[[#This Row],[Principal]]+Table15[[#This Row],[Interest]]+Table15[[#This Row],[Prepayments]]+Table15[[#This Row],[RecoveredAmount]]</f>
        <v>0</v>
      </c>
      <c r="Q202" s="3">
        <f ca="1">ROUND(Table15[[#This Row],[Cash Flow]]/((1+ActualRateToUse)^(IF(ISNUMBER(SEARCH("Actual",$C$7)),Table15[[#This Row],[Running Total]]/365,Table15[[#This Row],[Period]]/12))),2)</f>
        <v>0</v>
      </c>
      <c r="R202" s="2">
        <f>IF(MONTH(Table15[[#This Row],[Date]])=2,28,DAY(DATE(YEAR(Table15[[#This Row],[Date]]),MONTH(Table15[[#This Row],[Date]])+1,1)-1))</f>
        <v>31</v>
      </c>
      <c r="S202" s="2">
        <f ca="1">SUM(OFFSET(Table15[[#Headers],[Days in month]],1,0):Table15[[#This Row],[Days in month]])</f>
        <v>5659</v>
      </c>
      <c r="T202" s="37">
        <f>InterestRate*AmortizationMultiplier*IF(ISNUMBER(SEARCH("Actual",$C$7)),Table15[[#This Row],[Days in month]]/365,1/12)</f>
        <v>5.8133611111111103E-3</v>
      </c>
    </row>
    <row r="203" spans="2:20" x14ac:dyDescent="0.2">
      <c r="B203" s="1">
        <f t="shared" ref="B203:B266" si="10">EOMONTH(B202,1)</f>
        <v>51532</v>
      </c>
      <c r="C203" s="2">
        <f t="shared" si="8"/>
        <v>187</v>
      </c>
      <c r="D203" s="3">
        <f t="shared" si="7"/>
        <v>0</v>
      </c>
      <c r="E203" s="3">
        <f>ROUND(Table15[[#This Row],[Beginning Balance]]*Table15[[#This Row],[Monthly Interest Rate]],2)</f>
        <v>0</v>
      </c>
      <c r="F203" s="3">
        <f t="shared" si="9"/>
        <v>85</v>
      </c>
      <c r="G203" s="23">
        <f>IFERROR(IF($C$13="No","N/A",IF(Table15[[#This Row],[Period]]=1,$C$6,PMT(InterestRate*AmortizationMultiplier/12,Table15[[#This Row],[Am Thru]],-Table15[[#This Row],[Beginning Balance]]))),0)</f>
        <v>0</v>
      </c>
      <c r="H203" s="3">
        <f>MAX(0,IF(C203=$C$4,D203,ROUND(IF($C$3="Fixed Principal",$C$6-Table15[[#This Row],[Interest]],IF($C$3="Interest Only",Table15[[#This Row],[Beginning Balance]]*ROUND(1-(1-IF($C$11="No",$E$8,1))^(1/12),6),MIN(IF($C$13="Yes",Table15[[#This Row],[Payment Amount (Reamortized)]],$C$6)-Table15[[#This Row],[Interest]],Table15[[#This Row],[Beginning Balance]]))),2)))</f>
        <v>0</v>
      </c>
      <c r="I203" s="3">
        <f>_xlfn.SINGLE(IF($C$3="Line of Credit",0,ROUND(MAX(MIN(IF($C$10="No",$E$7,VLOOKUP(Table15[[#This Row],[Period]],Forecast!$H$2:$L$1048576,4,FALSE))*Table15[[#This Row],[Beginning Balance]],Table15[[#This Row],[Beginning Balance]]-Table15[[#This Row],[Principal]]),0),2)))</f>
        <v>0</v>
      </c>
      <c r="J203" s="3">
        <f>ROUND(MIN(Table15[[#This Row],[Beginning Balance]]*IF($C$8="No",$E$3,VLOOKUP(Table15[[#This Row],[Period]],Forecast!$H$2:$L$1048576,2,FALSE)),Table15[[#This Row],[Beginning Balance]]-Table15[[#This Row],[Principal]]-Table15[[#This Row],[Prepayments]]),2)</f>
        <v>0</v>
      </c>
      <c r="K203" s="3">
        <f>ROUND(Table15[[#This Row],[Defaulted Principal]]*IF($C$9="No",$E$4,VLOOKUP(Table15[[#This Row],[Period]],Forecast!$H$2:$L$1048576,3,FALSE)),2)</f>
        <v>0</v>
      </c>
      <c r="L203" s="2">
        <f>Table15[[#This Row],[Period]]+$E$9</f>
        <v>199</v>
      </c>
      <c r="M203" s="3">
        <f>Table15[[#This Row],[Defaulted Principal]]-Table15[[#This Row],[Estimated Loss]]</f>
        <v>0</v>
      </c>
      <c r="N203" s="3">
        <f>IFERROR(VLOOKUP(Table15[[#This Row],[Period]],$L$16:$M$385,2,FALSE),0)</f>
        <v>0</v>
      </c>
      <c r="O203" s="3">
        <f>Table15[[#This Row],[Beginning Balance]]-Table15[[#This Row],[Principal]]-Table15[[#This Row],[Prepayments]]-Table15[[#This Row],[Defaulted Principal]]</f>
        <v>0</v>
      </c>
      <c r="P203" s="3">
        <f>Table15[[#This Row],[Principal]]+Table15[[#This Row],[Interest]]+Table15[[#This Row],[Prepayments]]+Table15[[#This Row],[RecoveredAmount]]</f>
        <v>0</v>
      </c>
      <c r="Q203" s="3">
        <f ca="1">ROUND(Table15[[#This Row],[Cash Flow]]/((1+ActualRateToUse)^(IF(ISNUMBER(SEARCH("Actual",$C$7)),Table15[[#This Row],[Running Total]]/365,Table15[[#This Row],[Period]]/12))),2)</f>
        <v>0</v>
      </c>
      <c r="R203" s="2">
        <f>IF(MONTH(Table15[[#This Row],[Date]])=2,28,DAY(DATE(YEAR(Table15[[#This Row],[Date]]),MONTH(Table15[[#This Row],[Date]])+1,1)-1))</f>
        <v>31</v>
      </c>
      <c r="S203" s="2">
        <f ca="1">SUM(OFFSET(Table15[[#Headers],[Days in month]],1,0):Table15[[#This Row],[Days in month]])</f>
        <v>5690</v>
      </c>
      <c r="T203" s="37">
        <f>InterestRate*AmortizationMultiplier*IF(ISNUMBER(SEARCH("Actual",$C$7)),Table15[[#This Row],[Days in month]]/365,1/12)</f>
        <v>5.8133611111111103E-3</v>
      </c>
    </row>
    <row r="204" spans="2:20" x14ac:dyDescent="0.2">
      <c r="B204" s="1">
        <f t="shared" si="10"/>
        <v>51560</v>
      </c>
      <c r="C204" s="2">
        <f t="shared" si="8"/>
        <v>188</v>
      </c>
      <c r="D204" s="3">
        <f t="shared" si="7"/>
        <v>0</v>
      </c>
      <c r="E204" s="3">
        <f>ROUND(Table15[[#This Row],[Beginning Balance]]*Table15[[#This Row],[Monthly Interest Rate]],2)</f>
        <v>0</v>
      </c>
      <c r="F204" s="3">
        <f t="shared" si="9"/>
        <v>84</v>
      </c>
      <c r="G204" s="23">
        <f>IFERROR(IF($C$13="No","N/A",IF(Table15[[#This Row],[Period]]=1,$C$6,PMT(InterestRate*AmortizationMultiplier/12,Table15[[#This Row],[Am Thru]],-Table15[[#This Row],[Beginning Balance]]))),0)</f>
        <v>0</v>
      </c>
      <c r="H204" s="3">
        <f>MAX(0,IF(C204=$C$4,D204,ROUND(IF($C$3="Fixed Principal",$C$6-Table15[[#This Row],[Interest]],IF($C$3="Interest Only",Table15[[#This Row],[Beginning Balance]]*ROUND(1-(1-IF($C$11="No",$E$8,1))^(1/12),6),MIN(IF($C$13="Yes",Table15[[#This Row],[Payment Amount (Reamortized)]],$C$6)-Table15[[#This Row],[Interest]],Table15[[#This Row],[Beginning Balance]]))),2)))</f>
        <v>0</v>
      </c>
      <c r="I204" s="3">
        <f>_xlfn.SINGLE(IF($C$3="Line of Credit",0,ROUND(MAX(MIN(IF($C$10="No",$E$7,VLOOKUP(Table15[[#This Row],[Period]],Forecast!$H$2:$L$1048576,4,FALSE))*Table15[[#This Row],[Beginning Balance]],Table15[[#This Row],[Beginning Balance]]-Table15[[#This Row],[Principal]]),0),2)))</f>
        <v>0</v>
      </c>
      <c r="J204" s="3">
        <f>ROUND(MIN(Table15[[#This Row],[Beginning Balance]]*IF($C$8="No",$E$3,VLOOKUP(Table15[[#This Row],[Period]],Forecast!$H$2:$L$1048576,2,FALSE)),Table15[[#This Row],[Beginning Balance]]-Table15[[#This Row],[Principal]]-Table15[[#This Row],[Prepayments]]),2)</f>
        <v>0</v>
      </c>
      <c r="K204" s="3">
        <f>ROUND(Table15[[#This Row],[Defaulted Principal]]*IF($C$9="No",$E$4,VLOOKUP(Table15[[#This Row],[Period]],Forecast!$H$2:$L$1048576,3,FALSE)),2)</f>
        <v>0</v>
      </c>
      <c r="L204" s="2">
        <f>Table15[[#This Row],[Period]]+$E$9</f>
        <v>200</v>
      </c>
      <c r="M204" s="3">
        <f>Table15[[#This Row],[Defaulted Principal]]-Table15[[#This Row],[Estimated Loss]]</f>
        <v>0</v>
      </c>
      <c r="N204" s="3">
        <f>IFERROR(VLOOKUP(Table15[[#This Row],[Period]],$L$16:$M$385,2,FALSE),0)</f>
        <v>0</v>
      </c>
      <c r="O204" s="3">
        <f>Table15[[#This Row],[Beginning Balance]]-Table15[[#This Row],[Principal]]-Table15[[#This Row],[Prepayments]]-Table15[[#This Row],[Defaulted Principal]]</f>
        <v>0</v>
      </c>
      <c r="P204" s="3">
        <f>Table15[[#This Row],[Principal]]+Table15[[#This Row],[Interest]]+Table15[[#This Row],[Prepayments]]+Table15[[#This Row],[RecoveredAmount]]</f>
        <v>0</v>
      </c>
      <c r="Q204" s="3">
        <f ca="1">ROUND(Table15[[#This Row],[Cash Flow]]/((1+ActualRateToUse)^(IF(ISNUMBER(SEARCH("Actual",$C$7)),Table15[[#This Row],[Running Total]]/365,Table15[[#This Row],[Period]]/12))),2)</f>
        <v>0</v>
      </c>
      <c r="R204" s="2">
        <f>IF(MONTH(Table15[[#This Row],[Date]])=2,28,DAY(DATE(YEAR(Table15[[#This Row],[Date]]),MONTH(Table15[[#This Row],[Date]])+1,1)-1))</f>
        <v>28</v>
      </c>
      <c r="S204" s="2">
        <f ca="1">SUM(OFFSET(Table15[[#Headers],[Days in month]],1,0):Table15[[#This Row],[Days in month]])</f>
        <v>5718</v>
      </c>
      <c r="T204" s="37">
        <f>InterestRate*AmortizationMultiplier*IF(ISNUMBER(SEARCH("Actual",$C$7)),Table15[[#This Row],[Days in month]]/365,1/12)</f>
        <v>5.2507777777777778E-3</v>
      </c>
    </row>
    <row r="205" spans="2:20" x14ac:dyDescent="0.2">
      <c r="B205" s="1">
        <f t="shared" si="10"/>
        <v>51591</v>
      </c>
      <c r="C205" s="2">
        <f t="shared" si="8"/>
        <v>189</v>
      </c>
      <c r="D205" s="3">
        <f t="shared" si="7"/>
        <v>0</v>
      </c>
      <c r="E205" s="3">
        <f>ROUND(Table15[[#This Row],[Beginning Balance]]*Table15[[#This Row],[Monthly Interest Rate]],2)</f>
        <v>0</v>
      </c>
      <c r="F205" s="3">
        <f t="shared" si="9"/>
        <v>83</v>
      </c>
      <c r="G205" s="23">
        <f>IFERROR(IF($C$13="No","N/A",IF(Table15[[#This Row],[Period]]=1,$C$6,PMT(InterestRate*AmortizationMultiplier/12,Table15[[#This Row],[Am Thru]],-Table15[[#This Row],[Beginning Balance]]))),0)</f>
        <v>0</v>
      </c>
      <c r="H205" s="3">
        <f>MAX(0,IF(C205=$C$4,D205,ROUND(IF($C$3="Fixed Principal",$C$6-Table15[[#This Row],[Interest]],IF($C$3="Interest Only",Table15[[#This Row],[Beginning Balance]]*ROUND(1-(1-IF($C$11="No",$E$8,1))^(1/12),6),MIN(IF($C$13="Yes",Table15[[#This Row],[Payment Amount (Reamortized)]],$C$6)-Table15[[#This Row],[Interest]],Table15[[#This Row],[Beginning Balance]]))),2)))</f>
        <v>0</v>
      </c>
      <c r="I205" s="3">
        <f>_xlfn.SINGLE(IF($C$3="Line of Credit",0,ROUND(MAX(MIN(IF($C$10="No",$E$7,VLOOKUP(Table15[[#This Row],[Period]],Forecast!$H$2:$L$1048576,4,FALSE))*Table15[[#This Row],[Beginning Balance]],Table15[[#This Row],[Beginning Balance]]-Table15[[#This Row],[Principal]]),0),2)))</f>
        <v>0</v>
      </c>
      <c r="J205" s="3">
        <f>ROUND(MIN(Table15[[#This Row],[Beginning Balance]]*IF($C$8="No",$E$3,VLOOKUP(Table15[[#This Row],[Period]],Forecast!$H$2:$L$1048576,2,FALSE)),Table15[[#This Row],[Beginning Balance]]-Table15[[#This Row],[Principal]]-Table15[[#This Row],[Prepayments]]),2)</f>
        <v>0</v>
      </c>
      <c r="K205" s="3">
        <f>ROUND(Table15[[#This Row],[Defaulted Principal]]*IF($C$9="No",$E$4,VLOOKUP(Table15[[#This Row],[Period]],Forecast!$H$2:$L$1048576,3,FALSE)),2)</f>
        <v>0</v>
      </c>
      <c r="L205" s="2">
        <f>Table15[[#This Row],[Period]]+$E$9</f>
        <v>201</v>
      </c>
      <c r="M205" s="3">
        <f>Table15[[#This Row],[Defaulted Principal]]-Table15[[#This Row],[Estimated Loss]]</f>
        <v>0</v>
      </c>
      <c r="N205" s="3">
        <f>IFERROR(VLOOKUP(Table15[[#This Row],[Period]],$L$16:$M$385,2,FALSE),0)</f>
        <v>0</v>
      </c>
      <c r="O205" s="3">
        <f>Table15[[#This Row],[Beginning Balance]]-Table15[[#This Row],[Principal]]-Table15[[#This Row],[Prepayments]]-Table15[[#This Row],[Defaulted Principal]]</f>
        <v>0</v>
      </c>
      <c r="P205" s="3">
        <f>Table15[[#This Row],[Principal]]+Table15[[#This Row],[Interest]]+Table15[[#This Row],[Prepayments]]+Table15[[#This Row],[RecoveredAmount]]</f>
        <v>0</v>
      </c>
      <c r="Q205" s="3">
        <f ca="1">ROUND(Table15[[#This Row],[Cash Flow]]/((1+ActualRateToUse)^(IF(ISNUMBER(SEARCH("Actual",$C$7)),Table15[[#This Row],[Running Total]]/365,Table15[[#This Row],[Period]]/12))),2)</f>
        <v>0</v>
      </c>
      <c r="R205" s="2">
        <f>IF(MONTH(Table15[[#This Row],[Date]])=2,28,DAY(DATE(YEAR(Table15[[#This Row],[Date]]),MONTH(Table15[[#This Row],[Date]])+1,1)-1))</f>
        <v>31</v>
      </c>
      <c r="S205" s="2">
        <f ca="1">SUM(OFFSET(Table15[[#Headers],[Days in month]],1,0):Table15[[#This Row],[Days in month]])</f>
        <v>5749</v>
      </c>
      <c r="T205" s="37">
        <f>InterestRate*AmortizationMultiplier*IF(ISNUMBER(SEARCH("Actual",$C$7)),Table15[[#This Row],[Days in month]]/365,1/12)</f>
        <v>5.8133611111111103E-3</v>
      </c>
    </row>
    <row r="206" spans="2:20" x14ac:dyDescent="0.2">
      <c r="B206" s="1">
        <f t="shared" si="10"/>
        <v>51621</v>
      </c>
      <c r="C206" s="2">
        <f t="shared" si="8"/>
        <v>190</v>
      </c>
      <c r="D206" s="3">
        <f t="shared" si="7"/>
        <v>0</v>
      </c>
      <c r="E206" s="3">
        <f>ROUND(Table15[[#This Row],[Beginning Balance]]*Table15[[#This Row],[Monthly Interest Rate]],2)</f>
        <v>0</v>
      </c>
      <c r="F206" s="3">
        <f t="shared" si="9"/>
        <v>82</v>
      </c>
      <c r="G206" s="23">
        <f>IFERROR(IF($C$13="No","N/A",IF(Table15[[#This Row],[Period]]=1,$C$6,PMT(InterestRate*AmortizationMultiplier/12,Table15[[#This Row],[Am Thru]],-Table15[[#This Row],[Beginning Balance]]))),0)</f>
        <v>0</v>
      </c>
      <c r="H206" s="3">
        <f>MAX(0,IF(C206=$C$4,D206,ROUND(IF($C$3="Fixed Principal",$C$6-Table15[[#This Row],[Interest]],IF($C$3="Interest Only",Table15[[#This Row],[Beginning Balance]]*ROUND(1-(1-IF($C$11="No",$E$8,1))^(1/12),6),MIN(IF($C$13="Yes",Table15[[#This Row],[Payment Amount (Reamortized)]],$C$6)-Table15[[#This Row],[Interest]],Table15[[#This Row],[Beginning Balance]]))),2)))</f>
        <v>0</v>
      </c>
      <c r="I206" s="3">
        <f>_xlfn.SINGLE(IF($C$3="Line of Credit",0,ROUND(MAX(MIN(IF($C$10="No",$E$7,VLOOKUP(Table15[[#This Row],[Period]],Forecast!$H$2:$L$1048576,4,FALSE))*Table15[[#This Row],[Beginning Balance]],Table15[[#This Row],[Beginning Balance]]-Table15[[#This Row],[Principal]]),0),2)))</f>
        <v>0</v>
      </c>
      <c r="J206" s="3">
        <f>ROUND(MIN(Table15[[#This Row],[Beginning Balance]]*IF($C$8="No",$E$3,VLOOKUP(Table15[[#This Row],[Period]],Forecast!$H$2:$L$1048576,2,FALSE)),Table15[[#This Row],[Beginning Balance]]-Table15[[#This Row],[Principal]]-Table15[[#This Row],[Prepayments]]),2)</f>
        <v>0</v>
      </c>
      <c r="K206" s="3">
        <f>ROUND(Table15[[#This Row],[Defaulted Principal]]*IF($C$9="No",$E$4,VLOOKUP(Table15[[#This Row],[Period]],Forecast!$H$2:$L$1048576,3,FALSE)),2)</f>
        <v>0</v>
      </c>
      <c r="L206" s="2">
        <f>Table15[[#This Row],[Period]]+$E$9</f>
        <v>202</v>
      </c>
      <c r="M206" s="3">
        <f>Table15[[#This Row],[Defaulted Principal]]-Table15[[#This Row],[Estimated Loss]]</f>
        <v>0</v>
      </c>
      <c r="N206" s="3">
        <f>IFERROR(VLOOKUP(Table15[[#This Row],[Period]],$L$16:$M$385,2,FALSE),0)</f>
        <v>0</v>
      </c>
      <c r="O206" s="3">
        <f>Table15[[#This Row],[Beginning Balance]]-Table15[[#This Row],[Principal]]-Table15[[#This Row],[Prepayments]]-Table15[[#This Row],[Defaulted Principal]]</f>
        <v>0</v>
      </c>
      <c r="P206" s="3">
        <f>Table15[[#This Row],[Principal]]+Table15[[#This Row],[Interest]]+Table15[[#This Row],[Prepayments]]+Table15[[#This Row],[RecoveredAmount]]</f>
        <v>0</v>
      </c>
      <c r="Q206" s="3">
        <f ca="1">ROUND(Table15[[#This Row],[Cash Flow]]/((1+ActualRateToUse)^(IF(ISNUMBER(SEARCH("Actual",$C$7)),Table15[[#This Row],[Running Total]]/365,Table15[[#This Row],[Period]]/12))),2)</f>
        <v>0</v>
      </c>
      <c r="R206" s="2">
        <f>IF(MONTH(Table15[[#This Row],[Date]])=2,28,DAY(DATE(YEAR(Table15[[#This Row],[Date]]),MONTH(Table15[[#This Row],[Date]])+1,1)-1))</f>
        <v>30</v>
      </c>
      <c r="S206" s="2">
        <f ca="1">SUM(OFFSET(Table15[[#Headers],[Days in month]],1,0):Table15[[#This Row],[Days in month]])</f>
        <v>5779</v>
      </c>
      <c r="T206" s="37">
        <f>InterestRate*AmortizationMultiplier*IF(ISNUMBER(SEARCH("Actual",$C$7)),Table15[[#This Row],[Days in month]]/365,1/12)</f>
        <v>5.6258333333333325E-3</v>
      </c>
    </row>
    <row r="207" spans="2:20" x14ac:dyDescent="0.2">
      <c r="B207" s="1">
        <f t="shared" si="10"/>
        <v>51652</v>
      </c>
      <c r="C207" s="2">
        <f t="shared" si="8"/>
        <v>191</v>
      </c>
      <c r="D207" s="3">
        <f t="shared" si="7"/>
        <v>0</v>
      </c>
      <c r="E207" s="3">
        <f>ROUND(Table15[[#This Row],[Beginning Balance]]*Table15[[#This Row],[Monthly Interest Rate]],2)</f>
        <v>0</v>
      </c>
      <c r="F207" s="3">
        <f t="shared" si="9"/>
        <v>81</v>
      </c>
      <c r="G207" s="23">
        <f>IFERROR(IF($C$13="No","N/A",IF(Table15[[#This Row],[Period]]=1,$C$6,PMT(InterestRate*AmortizationMultiplier/12,Table15[[#This Row],[Am Thru]],-Table15[[#This Row],[Beginning Balance]]))),0)</f>
        <v>0</v>
      </c>
      <c r="H207" s="3">
        <f>MAX(0,IF(C207=$C$4,D207,ROUND(IF($C$3="Fixed Principal",$C$6-Table15[[#This Row],[Interest]],IF($C$3="Interest Only",Table15[[#This Row],[Beginning Balance]]*ROUND(1-(1-IF($C$11="No",$E$8,1))^(1/12),6),MIN(IF($C$13="Yes",Table15[[#This Row],[Payment Amount (Reamortized)]],$C$6)-Table15[[#This Row],[Interest]],Table15[[#This Row],[Beginning Balance]]))),2)))</f>
        <v>0</v>
      </c>
      <c r="I207" s="3">
        <f>_xlfn.SINGLE(IF($C$3="Line of Credit",0,ROUND(MAX(MIN(IF($C$10="No",$E$7,VLOOKUP(Table15[[#This Row],[Period]],Forecast!$H$2:$L$1048576,4,FALSE))*Table15[[#This Row],[Beginning Balance]],Table15[[#This Row],[Beginning Balance]]-Table15[[#This Row],[Principal]]),0),2)))</f>
        <v>0</v>
      </c>
      <c r="J207" s="3">
        <f>ROUND(MIN(Table15[[#This Row],[Beginning Balance]]*IF($C$8="No",$E$3,VLOOKUP(Table15[[#This Row],[Period]],Forecast!$H$2:$L$1048576,2,FALSE)),Table15[[#This Row],[Beginning Balance]]-Table15[[#This Row],[Principal]]-Table15[[#This Row],[Prepayments]]),2)</f>
        <v>0</v>
      </c>
      <c r="K207" s="3">
        <f>ROUND(Table15[[#This Row],[Defaulted Principal]]*IF($C$9="No",$E$4,VLOOKUP(Table15[[#This Row],[Period]],Forecast!$H$2:$L$1048576,3,FALSE)),2)</f>
        <v>0</v>
      </c>
      <c r="L207" s="2">
        <f>Table15[[#This Row],[Period]]+$E$9</f>
        <v>203</v>
      </c>
      <c r="M207" s="3">
        <f>Table15[[#This Row],[Defaulted Principal]]-Table15[[#This Row],[Estimated Loss]]</f>
        <v>0</v>
      </c>
      <c r="N207" s="3">
        <f>IFERROR(VLOOKUP(Table15[[#This Row],[Period]],$L$16:$M$385,2,FALSE),0)</f>
        <v>0</v>
      </c>
      <c r="O207" s="3">
        <f>Table15[[#This Row],[Beginning Balance]]-Table15[[#This Row],[Principal]]-Table15[[#This Row],[Prepayments]]-Table15[[#This Row],[Defaulted Principal]]</f>
        <v>0</v>
      </c>
      <c r="P207" s="3">
        <f>Table15[[#This Row],[Principal]]+Table15[[#This Row],[Interest]]+Table15[[#This Row],[Prepayments]]+Table15[[#This Row],[RecoveredAmount]]</f>
        <v>0</v>
      </c>
      <c r="Q207" s="3">
        <f ca="1">ROUND(Table15[[#This Row],[Cash Flow]]/((1+ActualRateToUse)^(IF(ISNUMBER(SEARCH("Actual",$C$7)),Table15[[#This Row],[Running Total]]/365,Table15[[#This Row],[Period]]/12))),2)</f>
        <v>0</v>
      </c>
      <c r="R207" s="2">
        <f>IF(MONTH(Table15[[#This Row],[Date]])=2,28,DAY(DATE(YEAR(Table15[[#This Row],[Date]]),MONTH(Table15[[#This Row],[Date]])+1,1)-1))</f>
        <v>31</v>
      </c>
      <c r="S207" s="2">
        <f ca="1">SUM(OFFSET(Table15[[#Headers],[Days in month]],1,0):Table15[[#This Row],[Days in month]])</f>
        <v>5810</v>
      </c>
      <c r="T207" s="37">
        <f>InterestRate*AmortizationMultiplier*IF(ISNUMBER(SEARCH("Actual",$C$7)),Table15[[#This Row],[Days in month]]/365,1/12)</f>
        <v>5.8133611111111103E-3</v>
      </c>
    </row>
    <row r="208" spans="2:20" x14ac:dyDescent="0.2">
      <c r="B208" s="1">
        <f t="shared" si="10"/>
        <v>51682</v>
      </c>
      <c r="C208" s="2">
        <f t="shared" si="8"/>
        <v>192</v>
      </c>
      <c r="D208" s="3">
        <f t="shared" si="7"/>
        <v>0</v>
      </c>
      <c r="E208" s="3">
        <f>ROUND(Table15[[#This Row],[Beginning Balance]]*Table15[[#This Row],[Monthly Interest Rate]],2)</f>
        <v>0</v>
      </c>
      <c r="F208" s="3">
        <f t="shared" si="9"/>
        <v>80</v>
      </c>
      <c r="G208" s="23">
        <f>IFERROR(IF($C$13="No","N/A",IF(Table15[[#This Row],[Period]]=1,$C$6,PMT(InterestRate*AmortizationMultiplier/12,Table15[[#This Row],[Am Thru]],-Table15[[#This Row],[Beginning Balance]]))),0)</f>
        <v>0</v>
      </c>
      <c r="H208" s="3">
        <f>MAX(0,IF(C208=$C$4,D208,ROUND(IF($C$3="Fixed Principal",$C$6-Table15[[#This Row],[Interest]],IF($C$3="Interest Only",Table15[[#This Row],[Beginning Balance]]*ROUND(1-(1-IF($C$11="No",$E$8,1))^(1/12),6),MIN(IF($C$13="Yes",Table15[[#This Row],[Payment Amount (Reamortized)]],$C$6)-Table15[[#This Row],[Interest]],Table15[[#This Row],[Beginning Balance]]))),2)))</f>
        <v>0</v>
      </c>
      <c r="I208" s="3">
        <f>_xlfn.SINGLE(IF($C$3="Line of Credit",0,ROUND(MAX(MIN(IF($C$10="No",$E$7,VLOOKUP(Table15[[#This Row],[Period]],Forecast!$H$2:$L$1048576,4,FALSE))*Table15[[#This Row],[Beginning Balance]],Table15[[#This Row],[Beginning Balance]]-Table15[[#This Row],[Principal]]),0),2)))</f>
        <v>0</v>
      </c>
      <c r="J208" s="3">
        <f>ROUND(MIN(Table15[[#This Row],[Beginning Balance]]*IF($C$8="No",$E$3,VLOOKUP(Table15[[#This Row],[Period]],Forecast!$H$2:$L$1048576,2,FALSE)),Table15[[#This Row],[Beginning Balance]]-Table15[[#This Row],[Principal]]-Table15[[#This Row],[Prepayments]]),2)</f>
        <v>0</v>
      </c>
      <c r="K208" s="3">
        <f>ROUND(Table15[[#This Row],[Defaulted Principal]]*IF($C$9="No",$E$4,VLOOKUP(Table15[[#This Row],[Period]],Forecast!$H$2:$L$1048576,3,FALSE)),2)</f>
        <v>0</v>
      </c>
      <c r="L208" s="2">
        <f>Table15[[#This Row],[Period]]+$E$9</f>
        <v>204</v>
      </c>
      <c r="M208" s="3">
        <f>Table15[[#This Row],[Defaulted Principal]]-Table15[[#This Row],[Estimated Loss]]</f>
        <v>0</v>
      </c>
      <c r="N208" s="3">
        <f>IFERROR(VLOOKUP(Table15[[#This Row],[Period]],$L$16:$M$385,2,FALSE),0)</f>
        <v>0</v>
      </c>
      <c r="O208" s="3">
        <f>Table15[[#This Row],[Beginning Balance]]-Table15[[#This Row],[Principal]]-Table15[[#This Row],[Prepayments]]-Table15[[#This Row],[Defaulted Principal]]</f>
        <v>0</v>
      </c>
      <c r="P208" s="3">
        <f>Table15[[#This Row],[Principal]]+Table15[[#This Row],[Interest]]+Table15[[#This Row],[Prepayments]]+Table15[[#This Row],[RecoveredAmount]]</f>
        <v>0</v>
      </c>
      <c r="Q208" s="3">
        <f ca="1">ROUND(Table15[[#This Row],[Cash Flow]]/((1+ActualRateToUse)^(IF(ISNUMBER(SEARCH("Actual",$C$7)),Table15[[#This Row],[Running Total]]/365,Table15[[#This Row],[Period]]/12))),2)</f>
        <v>0</v>
      </c>
      <c r="R208" s="2">
        <f>IF(MONTH(Table15[[#This Row],[Date]])=2,28,DAY(DATE(YEAR(Table15[[#This Row],[Date]]),MONTH(Table15[[#This Row],[Date]])+1,1)-1))</f>
        <v>30</v>
      </c>
      <c r="S208" s="2">
        <f ca="1">SUM(OFFSET(Table15[[#Headers],[Days in month]],1,0):Table15[[#This Row],[Days in month]])</f>
        <v>5840</v>
      </c>
      <c r="T208" s="37">
        <f>InterestRate*AmortizationMultiplier*IF(ISNUMBER(SEARCH("Actual",$C$7)),Table15[[#This Row],[Days in month]]/365,1/12)</f>
        <v>5.6258333333333325E-3</v>
      </c>
    </row>
    <row r="209" spans="2:20" x14ac:dyDescent="0.2">
      <c r="B209" s="1">
        <f t="shared" si="10"/>
        <v>51713</v>
      </c>
      <c r="C209" s="2">
        <f t="shared" si="8"/>
        <v>193</v>
      </c>
      <c r="D209" s="3">
        <f t="shared" si="7"/>
        <v>0</v>
      </c>
      <c r="E209" s="3">
        <f>ROUND(Table15[[#This Row],[Beginning Balance]]*Table15[[#This Row],[Monthly Interest Rate]],2)</f>
        <v>0</v>
      </c>
      <c r="F209" s="3">
        <f t="shared" si="9"/>
        <v>79</v>
      </c>
      <c r="G209" s="23">
        <f>IFERROR(IF($C$13="No","N/A",IF(Table15[[#This Row],[Period]]=1,$C$6,PMT(InterestRate*AmortizationMultiplier/12,Table15[[#This Row],[Am Thru]],-Table15[[#This Row],[Beginning Balance]]))),0)</f>
        <v>0</v>
      </c>
      <c r="H209" s="3">
        <f>MAX(0,IF(C209=$C$4,D209,ROUND(IF($C$3="Fixed Principal",$C$6-Table15[[#This Row],[Interest]],IF($C$3="Interest Only",Table15[[#This Row],[Beginning Balance]]*ROUND(1-(1-IF($C$11="No",$E$8,1))^(1/12),6),MIN(IF($C$13="Yes",Table15[[#This Row],[Payment Amount (Reamortized)]],$C$6)-Table15[[#This Row],[Interest]],Table15[[#This Row],[Beginning Balance]]))),2)))</f>
        <v>0</v>
      </c>
      <c r="I209" s="3">
        <f>_xlfn.SINGLE(IF($C$3="Line of Credit",0,ROUND(MAX(MIN(IF($C$10="No",$E$7,VLOOKUP(Table15[[#This Row],[Period]],Forecast!$H$2:$L$1048576,4,FALSE))*Table15[[#This Row],[Beginning Balance]],Table15[[#This Row],[Beginning Balance]]-Table15[[#This Row],[Principal]]),0),2)))</f>
        <v>0</v>
      </c>
      <c r="J209" s="3">
        <f>ROUND(MIN(Table15[[#This Row],[Beginning Balance]]*IF($C$8="No",$E$3,VLOOKUP(Table15[[#This Row],[Period]],Forecast!$H$2:$L$1048576,2,FALSE)),Table15[[#This Row],[Beginning Balance]]-Table15[[#This Row],[Principal]]-Table15[[#This Row],[Prepayments]]),2)</f>
        <v>0</v>
      </c>
      <c r="K209" s="3">
        <f>ROUND(Table15[[#This Row],[Defaulted Principal]]*IF($C$9="No",$E$4,VLOOKUP(Table15[[#This Row],[Period]],Forecast!$H$2:$L$1048576,3,FALSE)),2)</f>
        <v>0</v>
      </c>
      <c r="L209" s="2">
        <f>Table15[[#This Row],[Period]]+$E$9</f>
        <v>205</v>
      </c>
      <c r="M209" s="3">
        <f>Table15[[#This Row],[Defaulted Principal]]-Table15[[#This Row],[Estimated Loss]]</f>
        <v>0</v>
      </c>
      <c r="N209" s="3">
        <f>IFERROR(VLOOKUP(Table15[[#This Row],[Period]],$L$16:$M$385,2,FALSE),0)</f>
        <v>0</v>
      </c>
      <c r="O209" s="3">
        <f>Table15[[#This Row],[Beginning Balance]]-Table15[[#This Row],[Principal]]-Table15[[#This Row],[Prepayments]]-Table15[[#This Row],[Defaulted Principal]]</f>
        <v>0</v>
      </c>
      <c r="P209" s="3">
        <f>Table15[[#This Row],[Principal]]+Table15[[#This Row],[Interest]]+Table15[[#This Row],[Prepayments]]+Table15[[#This Row],[RecoveredAmount]]</f>
        <v>0</v>
      </c>
      <c r="Q209" s="3">
        <f ca="1">ROUND(Table15[[#This Row],[Cash Flow]]/((1+ActualRateToUse)^(IF(ISNUMBER(SEARCH("Actual",$C$7)),Table15[[#This Row],[Running Total]]/365,Table15[[#This Row],[Period]]/12))),2)</f>
        <v>0</v>
      </c>
      <c r="R209" s="2">
        <f>IF(MONTH(Table15[[#This Row],[Date]])=2,28,DAY(DATE(YEAR(Table15[[#This Row],[Date]]),MONTH(Table15[[#This Row],[Date]])+1,1)-1))</f>
        <v>31</v>
      </c>
      <c r="S209" s="2">
        <f ca="1">SUM(OFFSET(Table15[[#Headers],[Days in month]],1,0):Table15[[#This Row],[Days in month]])</f>
        <v>5871</v>
      </c>
      <c r="T209" s="37">
        <f>InterestRate*AmortizationMultiplier*IF(ISNUMBER(SEARCH("Actual",$C$7)),Table15[[#This Row],[Days in month]]/365,1/12)</f>
        <v>5.8133611111111103E-3</v>
      </c>
    </row>
    <row r="210" spans="2:20" x14ac:dyDescent="0.2">
      <c r="B210" s="1">
        <f t="shared" si="10"/>
        <v>51744</v>
      </c>
      <c r="C210" s="2">
        <f t="shared" si="8"/>
        <v>194</v>
      </c>
      <c r="D210" s="3">
        <f t="shared" ref="D210:D273" si="11">O209</f>
        <v>0</v>
      </c>
      <c r="E210" s="3">
        <f>ROUND(Table15[[#This Row],[Beginning Balance]]*Table15[[#This Row],[Monthly Interest Rate]],2)</f>
        <v>0</v>
      </c>
      <c r="F210" s="3">
        <f t="shared" si="9"/>
        <v>78</v>
      </c>
      <c r="G210" s="23">
        <f>IFERROR(IF($C$13="No","N/A",IF(Table15[[#This Row],[Period]]=1,$C$6,PMT(InterestRate*AmortizationMultiplier/12,Table15[[#This Row],[Am Thru]],-Table15[[#This Row],[Beginning Balance]]))),0)</f>
        <v>0</v>
      </c>
      <c r="H210" s="3">
        <f>MAX(0,IF(C210=$C$4,D210,ROUND(IF($C$3="Fixed Principal",$C$6-Table15[[#This Row],[Interest]],IF($C$3="Interest Only",Table15[[#This Row],[Beginning Balance]]*ROUND(1-(1-IF($C$11="No",$E$8,1))^(1/12),6),MIN(IF($C$13="Yes",Table15[[#This Row],[Payment Amount (Reamortized)]],$C$6)-Table15[[#This Row],[Interest]],Table15[[#This Row],[Beginning Balance]]))),2)))</f>
        <v>0</v>
      </c>
      <c r="I210" s="3">
        <f>_xlfn.SINGLE(IF($C$3="Line of Credit",0,ROUND(MAX(MIN(IF($C$10="No",$E$7,VLOOKUP(Table15[[#This Row],[Period]],Forecast!$H$2:$L$1048576,4,FALSE))*Table15[[#This Row],[Beginning Balance]],Table15[[#This Row],[Beginning Balance]]-Table15[[#This Row],[Principal]]),0),2)))</f>
        <v>0</v>
      </c>
      <c r="J210" s="3">
        <f>ROUND(MIN(Table15[[#This Row],[Beginning Balance]]*IF($C$8="No",$E$3,VLOOKUP(Table15[[#This Row],[Period]],Forecast!$H$2:$L$1048576,2,FALSE)),Table15[[#This Row],[Beginning Balance]]-Table15[[#This Row],[Principal]]-Table15[[#This Row],[Prepayments]]),2)</f>
        <v>0</v>
      </c>
      <c r="K210" s="3">
        <f>ROUND(Table15[[#This Row],[Defaulted Principal]]*IF($C$9="No",$E$4,VLOOKUP(Table15[[#This Row],[Period]],Forecast!$H$2:$L$1048576,3,FALSE)),2)</f>
        <v>0</v>
      </c>
      <c r="L210" s="2">
        <f>Table15[[#This Row],[Period]]+$E$9</f>
        <v>206</v>
      </c>
      <c r="M210" s="3">
        <f>Table15[[#This Row],[Defaulted Principal]]-Table15[[#This Row],[Estimated Loss]]</f>
        <v>0</v>
      </c>
      <c r="N210" s="3">
        <f>IFERROR(VLOOKUP(Table15[[#This Row],[Period]],$L$16:$M$385,2,FALSE),0)</f>
        <v>0</v>
      </c>
      <c r="O210" s="3">
        <f>Table15[[#This Row],[Beginning Balance]]-Table15[[#This Row],[Principal]]-Table15[[#This Row],[Prepayments]]-Table15[[#This Row],[Defaulted Principal]]</f>
        <v>0</v>
      </c>
      <c r="P210" s="3">
        <f>Table15[[#This Row],[Principal]]+Table15[[#This Row],[Interest]]+Table15[[#This Row],[Prepayments]]+Table15[[#This Row],[RecoveredAmount]]</f>
        <v>0</v>
      </c>
      <c r="Q210" s="3">
        <f ca="1">ROUND(Table15[[#This Row],[Cash Flow]]/((1+ActualRateToUse)^(IF(ISNUMBER(SEARCH("Actual",$C$7)),Table15[[#This Row],[Running Total]]/365,Table15[[#This Row],[Period]]/12))),2)</f>
        <v>0</v>
      </c>
      <c r="R210" s="2">
        <f>IF(MONTH(Table15[[#This Row],[Date]])=2,28,DAY(DATE(YEAR(Table15[[#This Row],[Date]]),MONTH(Table15[[#This Row],[Date]])+1,1)-1))</f>
        <v>31</v>
      </c>
      <c r="S210" s="2">
        <f ca="1">SUM(OFFSET(Table15[[#Headers],[Days in month]],1,0):Table15[[#This Row],[Days in month]])</f>
        <v>5902</v>
      </c>
      <c r="T210" s="37">
        <f>InterestRate*AmortizationMultiplier*IF(ISNUMBER(SEARCH("Actual",$C$7)),Table15[[#This Row],[Days in month]]/365,1/12)</f>
        <v>5.8133611111111103E-3</v>
      </c>
    </row>
    <row r="211" spans="2:20" x14ac:dyDescent="0.2">
      <c r="B211" s="1">
        <f t="shared" si="10"/>
        <v>51774</v>
      </c>
      <c r="C211" s="2">
        <f t="shared" ref="C211:C274" si="12">C210+1</f>
        <v>195</v>
      </c>
      <c r="D211" s="3">
        <f t="shared" si="11"/>
        <v>0</v>
      </c>
      <c r="E211" s="3">
        <f>ROUND(Table15[[#This Row],[Beginning Balance]]*Table15[[#This Row],[Monthly Interest Rate]],2)</f>
        <v>0</v>
      </c>
      <c r="F211" s="3">
        <f t="shared" ref="F211:F274" si="13">+F210-1</f>
        <v>77</v>
      </c>
      <c r="G211" s="23">
        <f>IFERROR(IF($C$13="No","N/A",IF(Table15[[#This Row],[Period]]=1,$C$6,PMT(InterestRate*AmortizationMultiplier/12,Table15[[#This Row],[Am Thru]],-Table15[[#This Row],[Beginning Balance]]))),0)</f>
        <v>0</v>
      </c>
      <c r="H211" s="3">
        <f>MAX(0,IF(C211=$C$4,D211,ROUND(IF($C$3="Fixed Principal",$C$6-Table15[[#This Row],[Interest]],IF($C$3="Interest Only",Table15[[#This Row],[Beginning Balance]]*ROUND(1-(1-IF($C$11="No",$E$8,1))^(1/12),6),MIN(IF($C$13="Yes",Table15[[#This Row],[Payment Amount (Reamortized)]],$C$6)-Table15[[#This Row],[Interest]],Table15[[#This Row],[Beginning Balance]]))),2)))</f>
        <v>0</v>
      </c>
      <c r="I211" s="3">
        <f>_xlfn.SINGLE(IF($C$3="Line of Credit",0,ROUND(MAX(MIN(IF($C$10="No",$E$7,VLOOKUP(Table15[[#This Row],[Period]],Forecast!$H$2:$L$1048576,4,FALSE))*Table15[[#This Row],[Beginning Balance]],Table15[[#This Row],[Beginning Balance]]-Table15[[#This Row],[Principal]]),0),2)))</f>
        <v>0</v>
      </c>
      <c r="J211" s="3">
        <f>ROUND(MIN(Table15[[#This Row],[Beginning Balance]]*IF($C$8="No",$E$3,VLOOKUP(Table15[[#This Row],[Period]],Forecast!$H$2:$L$1048576,2,FALSE)),Table15[[#This Row],[Beginning Balance]]-Table15[[#This Row],[Principal]]-Table15[[#This Row],[Prepayments]]),2)</f>
        <v>0</v>
      </c>
      <c r="K211" s="3">
        <f>ROUND(Table15[[#This Row],[Defaulted Principal]]*IF($C$9="No",$E$4,VLOOKUP(Table15[[#This Row],[Period]],Forecast!$H$2:$L$1048576,3,FALSE)),2)</f>
        <v>0</v>
      </c>
      <c r="L211" s="2">
        <f>Table15[[#This Row],[Period]]+$E$9</f>
        <v>207</v>
      </c>
      <c r="M211" s="3">
        <f>Table15[[#This Row],[Defaulted Principal]]-Table15[[#This Row],[Estimated Loss]]</f>
        <v>0</v>
      </c>
      <c r="N211" s="3">
        <f>IFERROR(VLOOKUP(Table15[[#This Row],[Period]],$L$16:$M$385,2,FALSE),0)</f>
        <v>0</v>
      </c>
      <c r="O211" s="3">
        <f>Table15[[#This Row],[Beginning Balance]]-Table15[[#This Row],[Principal]]-Table15[[#This Row],[Prepayments]]-Table15[[#This Row],[Defaulted Principal]]</f>
        <v>0</v>
      </c>
      <c r="P211" s="3">
        <f>Table15[[#This Row],[Principal]]+Table15[[#This Row],[Interest]]+Table15[[#This Row],[Prepayments]]+Table15[[#This Row],[RecoveredAmount]]</f>
        <v>0</v>
      </c>
      <c r="Q211" s="3">
        <f ca="1">ROUND(Table15[[#This Row],[Cash Flow]]/((1+ActualRateToUse)^(IF(ISNUMBER(SEARCH("Actual",$C$7)),Table15[[#This Row],[Running Total]]/365,Table15[[#This Row],[Period]]/12))),2)</f>
        <v>0</v>
      </c>
      <c r="R211" s="2">
        <f>IF(MONTH(Table15[[#This Row],[Date]])=2,28,DAY(DATE(YEAR(Table15[[#This Row],[Date]]),MONTH(Table15[[#This Row],[Date]])+1,1)-1))</f>
        <v>30</v>
      </c>
      <c r="S211" s="2">
        <f ca="1">SUM(OFFSET(Table15[[#Headers],[Days in month]],1,0):Table15[[#This Row],[Days in month]])</f>
        <v>5932</v>
      </c>
      <c r="T211" s="37">
        <f>InterestRate*AmortizationMultiplier*IF(ISNUMBER(SEARCH("Actual",$C$7)),Table15[[#This Row],[Days in month]]/365,1/12)</f>
        <v>5.6258333333333325E-3</v>
      </c>
    </row>
    <row r="212" spans="2:20" x14ac:dyDescent="0.2">
      <c r="B212" s="1">
        <f t="shared" si="10"/>
        <v>51805</v>
      </c>
      <c r="C212" s="2">
        <f t="shared" si="12"/>
        <v>196</v>
      </c>
      <c r="D212" s="3">
        <f t="shared" si="11"/>
        <v>0</v>
      </c>
      <c r="E212" s="3">
        <f>ROUND(Table15[[#This Row],[Beginning Balance]]*Table15[[#This Row],[Monthly Interest Rate]],2)</f>
        <v>0</v>
      </c>
      <c r="F212" s="3">
        <f t="shared" si="13"/>
        <v>76</v>
      </c>
      <c r="G212" s="23">
        <f>IFERROR(IF($C$13="No","N/A",IF(Table15[[#This Row],[Period]]=1,$C$6,PMT(InterestRate*AmortizationMultiplier/12,Table15[[#This Row],[Am Thru]],-Table15[[#This Row],[Beginning Balance]]))),0)</f>
        <v>0</v>
      </c>
      <c r="H212" s="3">
        <f>MAX(0,IF(C212=$C$4,D212,ROUND(IF($C$3="Fixed Principal",$C$6-Table15[[#This Row],[Interest]],IF($C$3="Interest Only",Table15[[#This Row],[Beginning Balance]]*ROUND(1-(1-IF($C$11="No",$E$8,1))^(1/12),6),MIN(IF($C$13="Yes",Table15[[#This Row],[Payment Amount (Reamortized)]],$C$6)-Table15[[#This Row],[Interest]],Table15[[#This Row],[Beginning Balance]]))),2)))</f>
        <v>0</v>
      </c>
      <c r="I212" s="3">
        <f>_xlfn.SINGLE(IF($C$3="Line of Credit",0,ROUND(MAX(MIN(IF($C$10="No",$E$7,VLOOKUP(Table15[[#This Row],[Period]],Forecast!$H$2:$L$1048576,4,FALSE))*Table15[[#This Row],[Beginning Balance]],Table15[[#This Row],[Beginning Balance]]-Table15[[#This Row],[Principal]]),0),2)))</f>
        <v>0</v>
      </c>
      <c r="J212" s="3">
        <f>ROUND(MIN(Table15[[#This Row],[Beginning Balance]]*IF($C$8="No",$E$3,VLOOKUP(Table15[[#This Row],[Period]],Forecast!$H$2:$L$1048576,2,FALSE)),Table15[[#This Row],[Beginning Balance]]-Table15[[#This Row],[Principal]]-Table15[[#This Row],[Prepayments]]),2)</f>
        <v>0</v>
      </c>
      <c r="K212" s="3">
        <f>ROUND(Table15[[#This Row],[Defaulted Principal]]*IF($C$9="No",$E$4,VLOOKUP(Table15[[#This Row],[Period]],Forecast!$H$2:$L$1048576,3,FALSE)),2)</f>
        <v>0</v>
      </c>
      <c r="L212" s="2">
        <f>Table15[[#This Row],[Period]]+$E$9</f>
        <v>208</v>
      </c>
      <c r="M212" s="3">
        <f>Table15[[#This Row],[Defaulted Principal]]-Table15[[#This Row],[Estimated Loss]]</f>
        <v>0</v>
      </c>
      <c r="N212" s="3">
        <f>IFERROR(VLOOKUP(Table15[[#This Row],[Period]],$L$16:$M$385,2,FALSE),0)</f>
        <v>0</v>
      </c>
      <c r="O212" s="3">
        <f>Table15[[#This Row],[Beginning Balance]]-Table15[[#This Row],[Principal]]-Table15[[#This Row],[Prepayments]]-Table15[[#This Row],[Defaulted Principal]]</f>
        <v>0</v>
      </c>
      <c r="P212" s="3">
        <f>Table15[[#This Row],[Principal]]+Table15[[#This Row],[Interest]]+Table15[[#This Row],[Prepayments]]+Table15[[#This Row],[RecoveredAmount]]</f>
        <v>0</v>
      </c>
      <c r="Q212" s="3">
        <f ca="1">ROUND(Table15[[#This Row],[Cash Flow]]/((1+ActualRateToUse)^(IF(ISNUMBER(SEARCH("Actual",$C$7)),Table15[[#This Row],[Running Total]]/365,Table15[[#This Row],[Period]]/12))),2)</f>
        <v>0</v>
      </c>
      <c r="R212" s="2">
        <f>IF(MONTH(Table15[[#This Row],[Date]])=2,28,DAY(DATE(YEAR(Table15[[#This Row],[Date]]),MONTH(Table15[[#This Row],[Date]])+1,1)-1))</f>
        <v>31</v>
      </c>
      <c r="S212" s="2">
        <f ca="1">SUM(OFFSET(Table15[[#Headers],[Days in month]],1,0):Table15[[#This Row],[Days in month]])</f>
        <v>5963</v>
      </c>
      <c r="T212" s="37">
        <f>InterestRate*AmortizationMultiplier*IF(ISNUMBER(SEARCH("Actual",$C$7)),Table15[[#This Row],[Days in month]]/365,1/12)</f>
        <v>5.8133611111111103E-3</v>
      </c>
    </row>
    <row r="213" spans="2:20" x14ac:dyDescent="0.2">
      <c r="B213" s="1">
        <f t="shared" si="10"/>
        <v>51835</v>
      </c>
      <c r="C213" s="2">
        <f t="shared" si="12"/>
        <v>197</v>
      </c>
      <c r="D213" s="3">
        <f t="shared" si="11"/>
        <v>0</v>
      </c>
      <c r="E213" s="3">
        <f>ROUND(Table15[[#This Row],[Beginning Balance]]*Table15[[#This Row],[Monthly Interest Rate]],2)</f>
        <v>0</v>
      </c>
      <c r="F213" s="3">
        <f t="shared" si="13"/>
        <v>75</v>
      </c>
      <c r="G213" s="23">
        <f>IFERROR(IF($C$13="No","N/A",IF(Table15[[#This Row],[Period]]=1,$C$6,PMT(InterestRate*AmortizationMultiplier/12,Table15[[#This Row],[Am Thru]],-Table15[[#This Row],[Beginning Balance]]))),0)</f>
        <v>0</v>
      </c>
      <c r="H213" s="3">
        <f>MAX(0,IF(C213=$C$4,D213,ROUND(IF($C$3="Fixed Principal",$C$6-Table15[[#This Row],[Interest]],IF($C$3="Interest Only",Table15[[#This Row],[Beginning Balance]]*ROUND(1-(1-IF($C$11="No",$E$8,1))^(1/12),6),MIN(IF($C$13="Yes",Table15[[#This Row],[Payment Amount (Reamortized)]],$C$6)-Table15[[#This Row],[Interest]],Table15[[#This Row],[Beginning Balance]]))),2)))</f>
        <v>0</v>
      </c>
      <c r="I213" s="3">
        <f>_xlfn.SINGLE(IF($C$3="Line of Credit",0,ROUND(MAX(MIN(IF($C$10="No",$E$7,VLOOKUP(Table15[[#This Row],[Period]],Forecast!$H$2:$L$1048576,4,FALSE))*Table15[[#This Row],[Beginning Balance]],Table15[[#This Row],[Beginning Balance]]-Table15[[#This Row],[Principal]]),0),2)))</f>
        <v>0</v>
      </c>
      <c r="J213" s="3">
        <f>ROUND(MIN(Table15[[#This Row],[Beginning Balance]]*IF($C$8="No",$E$3,VLOOKUP(Table15[[#This Row],[Period]],Forecast!$H$2:$L$1048576,2,FALSE)),Table15[[#This Row],[Beginning Balance]]-Table15[[#This Row],[Principal]]-Table15[[#This Row],[Prepayments]]),2)</f>
        <v>0</v>
      </c>
      <c r="K213" s="3">
        <f>ROUND(Table15[[#This Row],[Defaulted Principal]]*IF($C$9="No",$E$4,VLOOKUP(Table15[[#This Row],[Period]],Forecast!$H$2:$L$1048576,3,FALSE)),2)</f>
        <v>0</v>
      </c>
      <c r="L213" s="2">
        <f>Table15[[#This Row],[Period]]+$E$9</f>
        <v>209</v>
      </c>
      <c r="M213" s="3">
        <f>Table15[[#This Row],[Defaulted Principal]]-Table15[[#This Row],[Estimated Loss]]</f>
        <v>0</v>
      </c>
      <c r="N213" s="3">
        <f>IFERROR(VLOOKUP(Table15[[#This Row],[Period]],$L$16:$M$385,2,FALSE),0)</f>
        <v>0</v>
      </c>
      <c r="O213" s="3">
        <f>Table15[[#This Row],[Beginning Balance]]-Table15[[#This Row],[Principal]]-Table15[[#This Row],[Prepayments]]-Table15[[#This Row],[Defaulted Principal]]</f>
        <v>0</v>
      </c>
      <c r="P213" s="3">
        <f>Table15[[#This Row],[Principal]]+Table15[[#This Row],[Interest]]+Table15[[#This Row],[Prepayments]]+Table15[[#This Row],[RecoveredAmount]]</f>
        <v>0</v>
      </c>
      <c r="Q213" s="3">
        <f ca="1">ROUND(Table15[[#This Row],[Cash Flow]]/((1+ActualRateToUse)^(IF(ISNUMBER(SEARCH("Actual",$C$7)),Table15[[#This Row],[Running Total]]/365,Table15[[#This Row],[Period]]/12))),2)</f>
        <v>0</v>
      </c>
      <c r="R213" s="2">
        <f>IF(MONTH(Table15[[#This Row],[Date]])=2,28,DAY(DATE(YEAR(Table15[[#This Row],[Date]]),MONTH(Table15[[#This Row],[Date]])+1,1)-1))</f>
        <v>30</v>
      </c>
      <c r="S213" s="2">
        <f ca="1">SUM(OFFSET(Table15[[#Headers],[Days in month]],1,0):Table15[[#This Row],[Days in month]])</f>
        <v>5993</v>
      </c>
      <c r="T213" s="37">
        <f>InterestRate*AmortizationMultiplier*IF(ISNUMBER(SEARCH("Actual",$C$7)),Table15[[#This Row],[Days in month]]/365,1/12)</f>
        <v>5.6258333333333325E-3</v>
      </c>
    </row>
    <row r="214" spans="2:20" x14ac:dyDescent="0.2">
      <c r="B214" s="1">
        <f t="shared" si="10"/>
        <v>51866</v>
      </c>
      <c r="C214" s="2">
        <f t="shared" si="12"/>
        <v>198</v>
      </c>
      <c r="D214" s="3">
        <f t="shared" si="11"/>
        <v>0</v>
      </c>
      <c r="E214" s="3">
        <f>ROUND(Table15[[#This Row],[Beginning Balance]]*Table15[[#This Row],[Monthly Interest Rate]],2)</f>
        <v>0</v>
      </c>
      <c r="F214" s="3">
        <f t="shared" si="13"/>
        <v>74</v>
      </c>
      <c r="G214" s="23">
        <f>IFERROR(IF($C$13="No","N/A",IF(Table15[[#This Row],[Period]]=1,$C$6,PMT(InterestRate*AmortizationMultiplier/12,Table15[[#This Row],[Am Thru]],-Table15[[#This Row],[Beginning Balance]]))),0)</f>
        <v>0</v>
      </c>
      <c r="H214" s="3">
        <f>MAX(0,IF(C214=$C$4,D214,ROUND(IF($C$3="Fixed Principal",$C$6-Table15[[#This Row],[Interest]],IF($C$3="Interest Only",Table15[[#This Row],[Beginning Balance]]*ROUND(1-(1-IF($C$11="No",$E$8,1))^(1/12),6),MIN(IF($C$13="Yes",Table15[[#This Row],[Payment Amount (Reamortized)]],$C$6)-Table15[[#This Row],[Interest]],Table15[[#This Row],[Beginning Balance]]))),2)))</f>
        <v>0</v>
      </c>
      <c r="I214" s="3">
        <f>_xlfn.SINGLE(IF($C$3="Line of Credit",0,ROUND(MAX(MIN(IF($C$10="No",$E$7,VLOOKUP(Table15[[#This Row],[Period]],Forecast!$H$2:$L$1048576,4,FALSE))*Table15[[#This Row],[Beginning Balance]],Table15[[#This Row],[Beginning Balance]]-Table15[[#This Row],[Principal]]),0),2)))</f>
        <v>0</v>
      </c>
      <c r="J214" s="3">
        <f>ROUND(MIN(Table15[[#This Row],[Beginning Balance]]*IF($C$8="No",$E$3,VLOOKUP(Table15[[#This Row],[Period]],Forecast!$H$2:$L$1048576,2,FALSE)),Table15[[#This Row],[Beginning Balance]]-Table15[[#This Row],[Principal]]-Table15[[#This Row],[Prepayments]]),2)</f>
        <v>0</v>
      </c>
      <c r="K214" s="3">
        <f>ROUND(Table15[[#This Row],[Defaulted Principal]]*IF($C$9="No",$E$4,VLOOKUP(Table15[[#This Row],[Period]],Forecast!$H$2:$L$1048576,3,FALSE)),2)</f>
        <v>0</v>
      </c>
      <c r="L214" s="2">
        <f>Table15[[#This Row],[Period]]+$E$9</f>
        <v>210</v>
      </c>
      <c r="M214" s="3">
        <f>Table15[[#This Row],[Defaulted Principal]]-Table15[[#This Row],[Estimated Loss]]</f>
        <v>0</v>
      </c>
      <c r="N214" s="3">
        <f>IFERROR(VLOOKUP(Table15[[#This Row],[Period]],$L$16:$M$385,2,FALSE),0)</f>
        <v>0</v>
      </c>
      <c r="O214" s="3">
        <f>Table15[[#This Row],[Beginning Balance]]-Table15[[#This Row],[Principal]]-Table15[[#This Row],[Prepayments]]-Table15[[#This Row],[Defaulted Principal]]</f>
        <v>0</v>
      </c>
      <c r="P214" s="3">
        <f>Table15[[#This Row],[Principal]]+Table15[[#This Row],[Interest]]+Table15[[#This Row],[Prepayments]]+Table15[[#This Row],[RecoveredAmount]]</f>
        <v>0</v>
      </c>
      <c r="Q214" s="3">
        <f ca="1">ROUND(Table15[[#This Row],[Cash Flow]]/((1+ActualRateToUse)^(IF(ISNUMBER(SEARCH("Actual",$C$7)),Table15[[#This Row],[Running Total]]/365,Table15[[#This Row],[Period]]/12))),2)</f>
        <v>0</v>
      </c>
      <c r="R214" s="2">
        <f>IF(MONTH(Table15[[#This Row],[Date]])=2,28,DAY(DATE(YEAR(Table15[[#This Row],[Date]]),MONTH(Table15[[#This Row],[Date]])+1,1)-1))</f>
        <v>31</v>
      </c>
      <c r="S214" s="2">
        <f ca="1">SUM(OFFSET(Table15[[#Headers],[Days in month]],1,0):Table15[[#This Row],[Days in month]])</f>
        <v>6024</v>
      </c>
      <c r="T214" s="37">
        <f>InterestRate*AmortizationMultiplier*IF(ISNUMBER(SEARCH("Actual",$C$7)),Table15[[#This Row],[Days in month]]/365,1/12)</f>
        <v>5.8133611111111103E-3</v>
      </c>
    </row>
    <row r="215" spans="2:20" x14ac:dyDescent="0.2">
      <c r="B215" s="1">
        <f t="shared" si="10"/>
        <v>51897</v>
      </c>
      <c r="C215" s="2">
        <f t="shared" si="12"/>
        <v>199</v>
      </c>
      <c r="D215" s="3">
        <f t="shared" si="11"/>
        <v>0</v>
      </c>
      <c r="E215" s="3">
        <f>ROUND(Table15[[#This Row],[Beginning Balance]]*Table15[[#This Row],[Monthly Interest Rate]],2)</f>
        <v>0</v>
      </c>
      <c r="F215" s="3">
        <f t="shared" si="13"/>
        <v>73</v>
      </c>
      <c r="G215" s="23">
        <f>IFERROR(IF($C$13="No","N/A",IF(Table15[[#This Row],[Period]]=1,$C$6,PMT(InterestRate*AmortizationMultiplier/12,Table15[[#This Row],[Am Thru]],-Table15[[#This Row],[Beginning Balance]]))),0)</f>
        <v>0</v>
      </c>
      <c r="H215" s="3">
        <f>MAX(0,IF(C215=$C$4,D215,ROUND(IF($C$3="Fixed Principal",$C$6-Table15[[#This Row],[Interest]],IF($C$3="Interest Only",Table15[[#This Row],[Beginning Balance]]*ROUND(1-(1-IF($C$11="No",$E$8,1))^(1/12),6),MIN(IF($C$13="Yes",Table15[[#This Row],[Payment Amount (Reamortized)]],$C$6)-Table15[[#This Row],[Interest]],Table15[[#This Row],[Beginning Balance]]))),2)))</f>
        <v>0</v>
      </c>
      <c r="I215" s="3">
        <f>_xlfn.SINGLE(IF($C$3="Line of Credit",0,ROUND(MAX(MIN(IF($C$10="No",$E$7,VLOOKUP(Table15[[#This Row],[Period]],Forecast!$H$2:$L$1048576,4,FALSE))*Table15[[#This Row],[Beginning Balance]],Table15[[#This Row],[Beginning Balance]]-Table15[[#This Row],[Principal]]),0),2)))</f>
        <v>0</v>
      </c>
      <c r="J215" s="3">
        <f>ROUND(MIN(Table15[[#This Row],[Beginning Balance]]*IF($C$8="No",$E$3,VLOOKUP(Table15[[#This Row],[Period]],Forecast!$H$2:$L$1048576,2,FALSE)),Table15[[#This Row],[Beginning Balance]]-Table15[[#This Row],[Principal]]-Table15[[#This Row],[Prepayments]]),2)</f>
        <v>0</v>
      </c>
      <c r="K215" s="3">
        <f>ROUND(Table15[[#This Row],[Defaulted Principal]]*IF($C$9="No",$E$4,VLOOKUP(Table15[[#This Row],[Period]],Forecast!$H$2:$L$1048576,3,FALSE)),2)</f>
        <v>0</v>
      </c>
      <c r="L215" s="2">
        <f>Table15[[#This Row],[Period]]+$E$9</f>
        <v>211</v>
      </c>
      <c r="M215" s="3">
        <f>Table15[[#This Row],[Defaulted Principal]]-Table15[[#This Row],[Estimated Loss]]</f>
        <v>0</v>
      </c>
      <c r="N215" s="3">
        <f>IFERROR(VLOOKUP(Table15[[#This Row],[Period]],$L$16:$M$385,2,FALSE),0)</f>
        <v>0</v>
      </c>
      <c r="O215" s="3">
        <f>Table15[[#This Row],[Beginning Balance]]-Table15[[#This Row],[Principal]]-Table15[[#This Row],[Prepayments]]-Table15[[#This Row],[Defaulted Principal]]</f>
        <v>0</v>
      </c>
      <c r="P215" s="3">
        <f>Table15[[#This Row],[Principal]]+Table15[[#This Row],[Interest]]+Table15[[#This Row],[Prepayments]]+Table15[[#This Row],[RecoveredAmount]]</f>
        <v>0</v>
      </c>
      <c r="Q215" s="3">
        <f ca="1">ROUND(Table15[[#This Row],[Cash Flow]]/((1+ActualRateToUse)^(IF(ISNUMBER(SEARCH("Actual",$C$7)),Table15[[#This Row],[Running Total]]/365,Table15[[#This Row],[Period]]/12))),2)</f>
        <v>0</v>
      </c>
      <c r="R215" s="2">
        <f>IF(MONTH(Table15[[#This Row],[Date]])=2,28,DAY(DATE(YEAR(Table15[[#This Row],[Date]]),MONTH(Table15[[#This Row],[Date]])+1,1)-1))</f>
        <v>31</v>
      </c>
      <c r="S215" s="2">
        <f ca="1">SUM(OFFSET(Table15[[#Headers],[Days in month]],1,0):Table15[[#This Row],[Days in month]])</f>
        <v>6055</v>
      </c>
      <c r="T215" s="37">
        <f>InterestRate*AmortizationMultiplier*IF(ISNUMBER(SEARCH("Actual",$C$7)),Table15[[#This Row],[Days in month]]/365,1/12)</f>
        <v>5.8133611111111103E-3</v>
      </c>
    </row>
    <row r="216" spans="2:20" x14ac:dyDescent="0.2">
      <c r="B216" s="1">
        <f t="shared" si="10"/>
        <v>51925</v>
      </c>
      <c r="C216" s="2">
        <f t="shared" si="12"/>
        <v>200</v>
      </c>
      <c r="D216" s="3">
        <f t="shared" si="11"/>
        <v>0</v>
      </c>
      <c r="E216" s="3">
        <f>ROUND(Table15[[#This Row],[Beginning Balance]]*Table15[[#This Row],[Monthly Interest Rate]],2)</f>
        <v>0</v>
      </c>
      <c r="F216" s="3">
        <f t="shared" si="13"/>
        <v>72</v>
      </c>
      <c r="G216" s="23">
        <f>IFERROR(IF($C$13="No","N/A",IF(Table15[[#This Row],[Period]]=1,$C$6,PMT(InterestRate*AmortizationMultiplier/12,Table15[[#This Row],[Am Thru]],-Table15[[#This Row],[Beginning Balance]]))),0)</f>
        <v>0</v>
      </c>
      <c r="H216" s="3">
        <f>MAX(0,IF(C216=$C$4,D216,ROUND(IF($C$3="Fixed Principal",$C$6-Table15[[#This Row],[Interest]],IF($C$3="Interest Only",Table15[[#This Row],[Beginning Balance]]*ROUND(1-(1-IF($C$11="No",$E$8,1))^(1/12),6),MIN(IF($C$13="Yes",Table15[[#This Row],[Payment Amount (Reamortized)]],$C$6)-Table15[[#This Row],[Interest]],Table15[[#This Row],[Beginning Balance]]))),2)))</f>
        <v>0</v>
      </c>
      <c r="I216" s="3">
        <f>_xlfn.SINGLE(IF($C$3="Line of Credit",0,ROUND(MAX(MIN(IF($C$10="No",$E$7,VLOOKUP(Table15[[#This Row],[Period]],Forecast!$H$2:$L$1048576,4,FALSE))*Table15[[#This Row],[Beginning Balance]],Table15[[#This Row],[Beginning Balance]]-Table15[[#This Row],[Principal]]),0),2)))</f>
        <v>0</v>
      </c>
      <c r="J216" s="3">
        <f>ROUND(MIN(Table15[[#This Row],[Beginning Balance]]*IF($C$8="No",$E$3,VLOOKUP(Table15[[#This Row],[Period]],Forecast!$H$2:$L$1048576,2,FALSE)),Table15[[#This Row],[Beginning Balance]]-Table15[[#This Row],[Principal]]-Table15[[#This Row],[Prepayments]]),2)</f>
        <v>0</v>
      </c>
      <c r="K216" s="3">
        <f>ROUND(Table15[[#This Row],[Defaulted Principal]]*IF($C$9="No",$E$4,VLOOKUP(Table15[[#This Row],[Period]],Forecast!$H$2:$L$1048576,3,FALSE)),2)</f>
        <v>0</v>
      </c>
      <c r="L216" s="2">
        <f>Table15[[#This Row],[Period]]+$E$9</f>
        <v>212</v>
      </c>
      <c r="M216" s="3">
        <f>Table15[[#This Row],[Defaulted Principal]]-Table15[[#This Row],[Estimated Loss]]</f>
        <v>0</v>
      </c>
      <c r="N216" s="3">
        <f>IFERROR(VLOOKUP(Table15[[#This Row],[Period]],$L$16:$M$385,2,FALSE),0)</f>
        <v>0</v>
      </c>
      <c r="O216" s="3">
        <f>Table15[[#This Row],[Beginning Balance]]-Table15[[#This Row],[Principal]]-Table15[[#This Row],[Prepayments]]-Table15[[#This Row],[Defaulted Principal]]</f>
        <v>0</v>
      </c>
      <c r="P216" s="3">
        <f>Table15[[#This Row],[Principal]]+Table15[[#This Row],[Interest]]+Table15[[#This Row],[Prepayments]]+Table15[[#This Row],[RecoveredAmount]]</f>
        <v>0</v>
      </c>
      <c r="Q216" s="3">
        <f ca="1">ROUND(Table15[[#This Row],[Cash Flow]]/((1+ActualRateToUse)^(IF(ISNUMBER(SEARCH("Actual",$C$7)),Table15[[#This Row],[Running Total]]/365,Table15[[#This Row],[Period]]/12))),2)</f>
        <v>0</v>
      </c>
      <c r="R216" s="2">
        <f>IF(MONTH(Table15[[#This Row],[Date]])=2,28,DAY(DATE(YEAR(Table15[[#This Row],[Date]]),MONTH(Table15[[#This Row],[Date]])+1,1)-1))</f>
        <v>28</v>
      </c>
      <c r="S216" s="2">
        <f ca="1">SUM(OFFSET(Table15[[#Headers],[Days in month]],1,0):Table15[[#This Row],[Days in month]])</f>
        <v>6083</v>
      </c>
      <c r="T216" s="37">
        <f>InterestRate*AmortizationMultiplier*IF(ISNUMBER(SEARCH("Actual",$C$7)),Table15[[#This Row],[Days in month]]/365,1/12)</f>
        <v>5.2507777777777778E-3</v>
      </c>
    </row>
    <row r="217" spans="2:20" x14ac:dyDescent="0.2">
      <c r="B217" s="1">
        <f t="shared" si="10"/>
        <v>51956</v>
      </c>
      <c r="C217" s="2">
        <f t="shared" si="12"/>
        <v>201</v>
      </c>
      <c r="D217" s="3">
        <f t="shared" si="11"/>
        <v>0</v>
      </c>
      <c r="E217" s="3">
        <f>ROUND(Table15[[#This Row],[Beginning Balance]]*Table15[[#This Row],[Monthly Interest Rate]],2)</f>
        <v>0</v>
      </c>
      <c r="F217" s="3">
        <f t="shared" si="13"/>
        <v>71</v>
      </c>
      <c r="G217" s="23">
        <f>IFERROR(IF($C$13="No","N/A",IF(Table15[[#This Row],[Period]]=1,$C$6,PMT(InterestRate*AmortizationMultiplier/12,Table15[[#This Row],[Am Thru]],-Table15[[#This Row],[Beginning Balance]]))),0)</f>
        <v>0</v>
      </c>
      <c r="H217" s="3">
        <f>MAX(0,IF(C217=$C$4,D217,ROUND(IF($C$3="Fixed Principal",$C$6-Table15[[#This Row],[Interest]],IF($C$3="Interest Only",Table15[[#This Row],[Beginning Balance]]*ROUND(1-(1-IF($C$11="No",$E$8,1))^(1/12),6),MIN(IF($C$13="Yes",Table15[[#This Row],[Payment Amount (Reamortized)]],$C$6)-Table15[[#This Row],[Interest]],Table15[[#This Row],[Beginning Balance]]))),2)))</f>
        <v>0</v>
      </c>
      <c r="I217" s="3">
        <f>_xlfn.SINGLE(IF($C$3="Line of Credit",0,ROUND(MAX(MIN(IF($C$10="No",$E$7,VLOOKUP(Table15[[#This Row],[Period]],Forecast!$H$2:$L$1048576,4,FALSE))*Table15[[#This Row],[Beginning Balance]],Table15[[#This Row],[Beginning Balance]]-Table15[[#This Row],[Principal]]),0),2)))</f>
        <v>0</v>
      </c>
      <c r="J217" s="3">
        <f>ROUND(MIN(Table15[[#This Row],[Beginning Balance]]*IF($C$8="No",$E$3,VLOOKUP(Table15[[#This Row],[Period]],Forecast!$H$2:$L$1048576,2,FALSE)),Table15[[#This Row],[Beginning Balance]]-Table15[[#This Row],[Principal]]-Table15[[#This Row],[Prepayments]]),2)</f>
        <v>0</v>
      </c>
      <c r="K217" s="3">
        <f>ROUND(Table15[[#This Row],[Defaulted Principal]]*IF($C$9="No",$E$4,VLOOKUP(Table15[[#This Row],[Period]],Forecast!$H$2:$L$1048576,3,FALSE)),2)</f>
        <v>0</v>
      </c>
      <c r="L217" s="2">
        <f>Table15[[#This Row],[Period]]+$E$9</f>
        <v>213</v>
      </c>
      <c r="M217" s="3">
        <f>Table15[[#This Row],[Defaulted Principal]]-Table15[[#This Row],[Estimated Loss]]</f>
        <v>0</v>
      </c>
      <c r="N217" s="3">
        <f>IFERROR(VLOOKUP(Table15[[#This Row],[Period]],$L$16:$M$385,2,FALSE),0)</f>
        <v>0</v>
      </c>
      <c r="O217" s="3">
        <f>Table15[[#This Row],[Beginning Balance]]-Table15[[#This Row],[Principal]]-Table15[[#This Row],[Prepayments]]-Table15[[#This Row],[Defaulted Principal]]</f>
        <v>0</v>
      </c>
      <c r="P217" s="3">
        <f>Table15[[#This Row],[Principal]]+Table15[[#This Row],[Interest]]+Table15[[#This Row],[Prepayments]]+Table15[[#This Row],[RecoveredAmount]]</f>
        <v>0</v>
      </c>
      <c r="Q217" s="3">
        <f ca="1">ROUND(Table15[[#This Row],[Cash Flow]]/((1+ActualRateToUse)^(IF(ISNUMBER(SEARCH("Actual",$C$7)),Table15[[#This Row],[Running Total]]/365,Table15[[#This Row],[Period]]/12))),2)</f>
        <v>0</v>
      </c>
      <c r="R217" s="2">
        <f>IF(MONTH(Table15[[#This Row],[Date]])=2,28,DAY(DATE(YEAR(Table15[[#This Row],[Date]]),MONTH(Table15[[#This Row],[Date]])+1,1)-1))</f>
        <v>31</v>
      </c>
      <c r="S217" s="2">
        <f ca="1">SUM(OFFSET(Table15[[#Headers],[Days in month]],1,0):Table15[[#This Row],[Days in month]])</f>
        <v>6114</v>
      </c>
      <c r="T217" s="37">
        <f>InterestRate*AmortizationMultiplier*IF(ISNUMBER(SEARCH("Actual",$C$7)),Table15[[#This Row],[Days in month]]/365,1/12)</f>
        <v>5.8133611111111103E-3</v>
      </c>
    </row>
    <row r="218" spans="2:20" x14ac:dyDescent="0.2">
      <c r="B218" s="1">
        <f t="shared" si="10"/>
        <v>51986</v>
      </c>
      <c r="C218" s="2">
        <f t="shared" si="12"/>
        <v>202</v>
      </c>
      <c r="D218" s="3">
        <f t="shared" si="11"/>
        <v>0</v>
      </c>
      <c r="E218" s="3">
        <f>ROUND(Table15[[#This Row],[Beginning Balance]]*Table15[[#This Row],[Monthly Interest Rate]],2)</f>
        <v>0</v>
      </c>
      <c r="F218" s="3">
        <f t="shared" si="13"/>
        <v>70</v>
      </c>
      <c r="G218" s="23">
        <f>IFERROR(IF($C$13="No","N/A",IF(Table15[[#This Row],[Period]]=1,$C$6,PMT(InterestRate*AmortizationMultiplier/12,Table15[[#This Row],[Am Thru]],-Table15[[#This Row],[Beginning Balance]]))),0)</f>
        <v>0</v>
      </c>
      <c r="H218" s="3">
        <f>MAX(0,IF(C218=$C$4,D218,ROUND(IF($C$3="Fixed Principal",$C$6-Table15[[#This Row],[Interest]],IF($C$3="Interest Only",Table15[[#This Row],[Beginning Balance]]*ROUND(1-(1-IF($C$11="No",$E$8,1))^(1/12),6),MIN(IF($C$13="Yes",Table15[[#This Row],[Payment Amount (Reamortized)]],$C$6)-Table15[[#This Row],[Interest]],Table15[[#This Row],[Beginning Balance]]))),2)))</f>
        <v>0</v>
      </c>
      <c r="I218" s="3">
        <f>_xlfn.SINGLE(IF($C$3="Line of Credit",0,ROUND(MAX(MIN(IF($C$10="No",$E$7,VLOOKUP(Table15[[#This Row],[Period]],Forecast!$H$2:$L$1048576,4,FALSE))*Table15[[#This Row],[Beginning Balance]],Table15[[#This Row],[Beginning Balance]]-Table15[[#This Row],[Principal]]),0),2)))</f>
        <v>0</v>
      </c>
      <c r="J218" s="3">
        <f>ROUND(MIN(Table15[[#This Row],[Beginning Balance]]*IF($C$8="No",$E$3,VLOOKUP(Table15[[#This Row],[Period]],Forecast!$H$2:$L$1048576,2,FALSE)),Table15[[#This Row],[Beginning Balance]]-Table15[[#This Row],[Principal]]-Table15[[#This Row],[Prepayments]]),2)</f>
        <v>0</v>
      </c>
      <c r="K218" s="3">
        <f>ROUND(Table15[[#This Row],[Defaulted Principal]]*IF($C$9="No",$E$4,VLOOKUP(Table15[[#This Row],[Period]],Forecast!$H$2:$L$1048576,3,FALSE)),2)</f>
        <v>0</v>
      </c>
      <c r="L218" s="2">
        <f>Table15[[#This Row],[Period]]+$E$9</f>
        <v>214</v>
      </c>
      <c r="M218" s="3">
        <f>Table15[[#This Row],[Defaulted Principal]]-Table15[[#This Row],[Estimated Loss]]</f>
        <v>0</v>
      </c>
      <c r="N218" s="3">
        <f>IFERROR(VLOOKUP(Table15[[#This Row],[Period]],$L$16:$M$385,2,FALSE),0)</f>
        <v>0</v>
      </c>
      <c r="O218" s="3">
        <f>Table15[[#This Row],[Beginning Balance]]-Table15[[#This Row],[Principal]]-Table15[[#This Row],[Prepayments]]-Table15[[#This Row],[Defaulted Principal]]</f>
        <v>0</v>
      </c>
      <c r="P218" s="3">
        <f>Table15[[#This Row],[Principal]]+Table15[[#This Row],[Interest]]+Table15[[#This Row],[Prepayments]]+Table15[[#This Row],[RecoveredAmount]]</f>
        <v>0</v>
      </c>
      <c r="Q218" s="3">
        <f ca="1">ROUND(Table15[[#This Row],[Cash Flow]]/((1+ActualRateToUse)^(IF(ISNUMBER(SEARCH("Actual",$C$7)),Table15[[#This Row],[Running Total]]/365,Table15[[#This Row],[Period]]/12))),2)</f>
        <v>0</v>
      </c>
      <c r="R218" s="2">
        <f>IF(MONTH(Table15[[#This Row],[Date]])=2,28,DAY(DATE(YEAR(Table15[[#This Row],[Date]]),MONTH(Table15[[#This Row],[Date]])+1,1)-1))</f>
        <v>30</v>
      </c>
      <c r="S218" s="2">
        <f ca="1">SUM(OFFSET(Table15[[#Headers],[Days in month]],1,0):Table15[[#This Row],[Days in month]])</f>
        <v>6144</v>
      </c>
      <c r="T218" s="37">
        <f>InterestRate*AmortizationMultiplier*IF(ISNUMBER(SEARCH("Actual",$C$7)),Table15[[#This Row],[Days in month]]/365,1/12)</f>
        <v>5.6258333333333325E-3</v>
      </c>
    </row>
    <row r="219" spans="2:20" x14ac:dyDescent="0.2">
      <c r="B219" s="1">
        <f t="shared" si="10"/>
        <v>52017</v>
      </c>
      <c r="C219" s="2">
        <f t="shared" si="12"/>
        <v>203</v>
      </c>
      <c r="D219" s="3">
        <f t="shared" si="11"/>
        <v>0</v>
      </c>
      <c r="E219" s="3">
        <f>ROUND(Table15[[#This Row],[Beginning Balance]]*Table15[[#This Row],[Monthly Interest Rate]],2)</f>
        <v>0</v>
      </c>
      <c r="F219" s="3">
        <f t="shared" si="13"/>
        <v>69</v>
      </c>
      <c r="G219" s="23">
        <f>IFERROR(IF($C$13="No","N/A",IF(Table15[[#This Row],[Period]]=1,$C$6,PMT(InterestRate*AmortizationMultiplier/12,Table15[[#This Row],[Am Thru]],-Table15[[#This Row],[Beginning Balance]]))),0)</f>
        <v>0</v>
      </c>
      <c r="H219" s="3">
        <f>MAX(0,IF(C219=$C$4,D219,ROUND(IF($C$3="Fixed Principal",$C$6-Table15[[#This Row],[Interest]],IF($C$3="Interest Only",Table15[[#This Row],[Beginning Balance]]*ROUND(1-(1-IF($C$11="No",$E$8,1))^(1/12),6),MIN(IF($C$13="Yes",Table15[[#This Row],[Payment Amount (Reamortized)]],$C$6)-Table15[[#This Row],[Interest]],Table15[[#This Row],[Beginning Balance]]))),2)))</f>
        <v>0</v>
      </c>
      <c r="I219" s="3">
        <f>_xlfn.SINGLE(IF($C$3="Line of Credit",0,ROUND(MAX(MIN(IF($C$10="No",$E$7,VLOOKUP(Table15[[#This Row],[Period]],Forecast!$H$2:$L$1048576,4,FALSE))*Table15[[#This Row],[Beginning Balance]],Table15[[#This Row],[Beginning Balance]]-Table15[[#This Row],[Principal]]),0),2)))</f>
        <v>0</v>
      </c>
      <c r="J219" s="3">
        <f>ROUND(MIN(Table15[[#This Row],[Beginning Balance]]*IF($C$8="No",$E$3,VLOOKUP(Table15[[#This Row],[Period]],Forecast!$H$2:$L$1048576,2,FALSE)),Table15[[#This Row],[Beginning Balance]]-Table15[[#This Row],[Principal]]-Table15[[#This Row],[Prepayments]]),2)</f>
        <v>0</v>
      </c>
      <c r="K219" s="3">
        <f>ROUND(Table15[[#This Row],[Defaulted Principal]]*IF($C$9="No",$E$4,VLOOKUP(Table15[[#This Row],[Period]],Forecast!$H$2:$L$1048576,3,FALSE)),2)</f>
        <v>0</v>
      </c>
      <c r="L219" s="2">
        <f>Table15[[#This Row],[Period]]+$E$9</f>
        <v>215</v>
      </c>
      <c r="M219" s="3">
        <f>Table15[[#This Row],[Defaulted Principal]]-Table15[[#This Row],[Estimated Loss]]</f>
        <v>0</v>
      </c>
      <c r="N219" s="3">
        <f>IFERROR(VLOOKUP(Table15[[#This Row],[Period]],$L$16:$M$385,2,FALSE),0)</f>
        <v>0</v>
      </c>
      <c r="O219" s="3">
        <f>Table15[[#This Row],[Beginning Balance]]-Table15[[#This Row],[Principal]]-Table15[[#This Row],[Prepayments]]-Table15[[#This Row],[Defaulted Principal]]</f>
        <v>0</v>
      </c>
      <c r="P219" s="3">
        <f>Table15[[#This Row],[Principal]]+Table15[[#This Row],[Interest]]+Table15[[#This Row],[Prepayments]]+Table15[[#This Row],[RecoveredAmount]]</f>
        <v>0</v>
      </c>
      <c r="Q219" s="3">
        <f ca="1">ROUND(Table15[[#This Row],[Cash Flow]]/((1+ActualRateToUse)^(IF(ISNUMBER(SEARCH("Actual",$C$7)),Table15[[#This Row],[Running Total]]/365,Table15[[#This Row],[Period]]/12))),2)</f>
        <v>0</v>
      </c>
      <c r="R219" s="2">
        <f>IF(MONTH(Table15[[#This Row],[Date]])=2,28,DAY(DATE(YEAR(Table15[[#This Row],[Date]]),MONTH(Table15[[#This Row],[Date]])+1,1)-1))</f>
        <v>31</v>
      </c>
      <c r="S219" s="2">
        <f ca="1">SUM(OFFSET(Table15[[#Headers],[Days in month]],1,0):Table15[[#This Row],[Days in month]])</f>
        <v>6175</v>
      </c>
      <c r="T219" s="37">
        <f>InterestRate*AmortizationMultiplier*IF(ISNUMBER(SEARCH("Actual",$C$7)),Table15[[#This Row],[Days in month]]/365,1/12)</f>
        <v>5.8133611111111103E-3</v>
      </c>
    </row>
    <row r="220" spans="2:20" x14ac:dyDescent="0.2">
      <c r="B220" s="1">
        <f t="shared" si="10"/>
        <v>52047</v>
      </c>
      <c r="C220" s="2">
        <f t="shared" si="12"/>
        <v>204</v>
      </c>
      <c r="D220" s="3">
        <f t="shared" si="11"/>
        <v>0</v>
      </c>
      <c r="E220" s="3">
        <f>ROUND(Table15[[#This Row],[Beginning Balance]]*Table15[[#This Row],[Monthly Interest Rate]],2)</f>
        <v>0</v>
      </c>
      <c r="F220" s="3">
        <f t="shared" si="13"/>
        <v>68</v>
      </c>
      <c r="G220" s="23">
        <f>IFERROR(IF($C$13="No","N/A",IF(Table15[[#This Row],[Period]]=1,$C$6,PMT(InterestRate*AmortizationMultiplier/12,Table15[[#This Row],[Am Thru]],-Table15[[#This Row],[Beginning Balance]]))),0)</f>
        <v>0</v>
      </c>
      <c r="H220" s="3">
        <f>MAX(0,IF(C220=$C$4,D220,ROUND(IF($C$3="Fixed Principal",$C$6-Table15[[#This Row],[Interest]],IF($C$3="Interest Only",Table15[[#This Row],[Beginning Balance]]*ROUND(1-(1-IF($C$11="No",$E$8,1))^(1/12),6),MIN(IF($C$13="Yes",Table15[[#This Row],[Payment Amount (Reamortized)]],$C$6)-Table15[[#This Row],[Interest]],Table15[[#This Row],[Beginning Balance]]))),2)))</f>
        <v>0</v>
      </c>
      <c r="I220" s="3">
        <f>_xlfn.SINGLE(IF($C$3="Line of Credit",0,ROUND(MAX(MIN(IF($C$10="No",$E$7,VLOOKUP(Table15[[#This Row],[Period]],Forecast!$H$2:$L$1048576,4,FALSE))*Table15[[#This Row],[Beginning Balance]],Table15[[#This Row],[Beginning Balance]]-Table15[[#This Row],[Principal]]),0),2)))</f>
        <v>0</v>
      </c>
      <c r="J220" s="3">
        <f>ROUND(MIN(Table15[[#This Row],[Beginning Balance]]*IF($C$8="No",$E$3,VLOOKUP(Table15[[#This Row],[Period]],Forecast!$H$2:$L$1048576,2,FALSE)),Table15[[#This Row],[Beginning Balance]]-Table15[[#This Row],[Principal]]-Table15[[#This Row],[Prepayments]]),2)</f>
        <v>0</v>
      </c>
      <c r="K220" s="3">
        <f>ROUND(Table15[[#This Row],[Defaulted Principal]]*IF($C$9="No",$E$4,VLOOKUP(Table15[[#This Row],[Period]],Forecast!$H$2:$L$1048576,3,FALSE)),2)</f>
        <v>0</v>
      </c>
      <c r="L220" s="2">
        <f>Table15[[#This Row],[Period]]+$E$9</f>
        <v>216</v>
      </c>
      <c r="M220" s="3">
        <f>Table15[[#This Row],[Defaulted Principal]]-Table15[[#This Row],[Estimated Loss]]</f>
        <v>0</v>
      </c>
      <c r="N220" s="3">
        <f>IFERROR(VLOOKUP(Table15[[#This Row],[Period]],$L$16:$M$385,2,FALSE),0)</f>
        <v>0</v>
      </c>
      <c r="O220" s="3">
        <f>Table15[[#This Row],[Beginning Balance]]-Table15[[#This Row],[Principal]]-Table15[[#This Row],[Prepayments]]-Table15[[#This Row],[Defaulted Principal]]</f>
        <v>0</v>
      </c>
      <c r="P220" s="3">
        <f>Table15[[#This Row],[Principal]]+Table15[[#This Row],[Interest]]+Table15[[#This Row],[Prepayments]]+Table15[[#This Row],[RecoveredAmount]]</f>
        <v>0</v>
      </c>
      <c r="Q220" s="3">
        <f ca="1">ROUND(Table15[[#This Row],[Cash Flow]]/((1+ActualRateToUse)^(IF(ISNUMBER(SEARCH("Actual",$C$7)),Table15[[#This Row],[Running Total]]/365,Table15[[#This Row],[Period]]/12))),2)</f>
        <v>0</v>
      </c>
      <c r="R220" s="2">
        <f>IF(MONTH(Table15[[#This Row],[Date]])=2,28,DAY(DATE(YEAR(Table15[[#This Row],[Date]]),MONTH(Table15[[#This Row],[Date]])+1,1)-1))</f>
        <v>30</v>
      </c>
      <c r="S220" s="2">
        <f ca="1">SUM(OFFSET(Table15[[#Headers],[Days in month]],1,0):Table15[[#This Row],[Days in month]])</f>
        <v>6205</v>
      </c>
      <c r="T220" s="37">
        <f>InterestRate*AmortizationMultiplier*IF(ISNUMBER(SEARCH("Actual",$C$7)),Table15[[#This Row],[Days in month]]/365,1/12)</f>
        <v>5.6258333333333325E-3</v>
      </c>
    </row>
    <row r="221" spans="2:20" x14ac:dyDescent="0.2">
      <c r="B221" s="1">
        <f t="shared" si="10"/>
        <v>52078</v>
      </c>
      <c r="C221" s="2">
        <f t="shared" si="12"/>
        <v>205</v>
      </c>
      <c r="D221" s="3">
        <f t="shared" si="11"/>
        <v>0</v>
      </c>
      <c r="E221" s="3">
        <f>ROUND(Table15[[#This Row],[Beginning Balance]]*Table15[[#This Row],[Monthly Interest Rate]],2)</f>
        <v>0</v>
      </c>
      <c r="F221" s="3">
        <f t="shared" si="13"/>
        <v>67</v>
      </c>
      <c r="G221" s="23">
        <f>IFERROR(IF($C$13="No","N/A",IF(Table15[[#This Row],[Period]]=1,$C$6,PMT(InterestRate*AmortizationMultiplier/12,Table15[[#This Row],[Am Thru]],-Table15[[#This Row],[Beginning Balance]]))),0)</f>
        <v>0</v>
      </c>
      <c r="H221" s="3">
        <f>MAX(0,IF(C221=$C$4,D221,ROUND(IF($C$3="Fixed Principal",$C$6-Table15[[#This Row],[Interest]],IF($C$3="Interest Only",Table15[[#This Row],[Beginning Balance]]*ROUND(1-(1-IF($C$11="No",$E$8,1))^(1/12),6),MIN(IF($C$13="Yes",Table15[[#This Row],[Payment Amount (Reamortized)]],$C$6)-Table15[[#This Row],[Interest]],Table15[[#This Row],[Beginning Balance]]))),2)))</f>
        <v>0</v>
      </c>
      <c r="I221" s="3">
        <f>_xlfn.SINGLE(IF($C$3="Line of Credit",0,ROUND(MAX(MIN(IF($C$10="No",$E$7,VLOOKUP(Table15[[#This Row],[Period]],Forecast!$H$2:$L$1048576,4,FALSE))*Table15[[#This Row],[Beginning Balance]],Table15[[#This Row],[Beginning Balance]]-Table15[[#This Row],[Principal]]),0),2)))</f>
        <v>0</v>
      </c>
      <c r="J221" s="3">
        <f>ROUND(MIN(Table15[[#This Row],[Beginning Balance]]*IF($C$8="No",$E$3,VLOOKUP(Table15[[#This Row],[Period]],Forecast!$H$2:$L$1048576,2,FALSE)),Table15[[#This Row],[Beginning Balance]]-Table15[[#This Row],[Principal]]-Table15[[#This Row],[Prepayments]]),2)</f>
        <v>0</v>
      </c>
      <c r="K221" s="3">
        <f>ROUND(Table15[[#This Row],[Defaulted Principal]]*IF($C$9="No",$E$4,VLOOKUP(Table15[[#This Row],[Period]],Forecast!$H$2:$L$1048576,3,FALSE)),2)</f>
        <v>0</v>
      </c>
      <c r="L221" s="2">
        <f>Table15[[#This Row],[Period]]+$E$9</f>
        <v>217</v>
      </c>
      <c r="M221" s="3">
        <f>Table15[[#This Row],[Defaulted Principal]]-Table15[[#This Row],[Estimated Loss]]</f>
        <v>0</v>
      </c>
      <c r="N221" s="3">
        <f>IFERROR(VLOOKUP(Table15[[#This Row],[Period]],$L$16:$M$385,2,FALSE),0)</f>
        <v>0</v>
      </c>
      <c r="O221" s="3">
        <f>Table15[[#This Row],[Beginning Balance]]-Table15[[#This Row],[Principal]]-Table15[[#This Row],[Prepayments]]-Table15[[#This Row],[Defaulted Principal]]</f>
        <v>0</v>
      </c>
      <c r="P221" s="3">
        <f>Table15[[#This Row],[Principal]]+Table15[[#This Row],[Interest]]+Table15[[#This Row],[Prepayments]]+Table15[[#This Row],[RecoveredAmount]]</f>
        <v>0</v>
      </c>
      <c r="Q221" s="3">
        <f ca="1">ROUND(Table15[[#This Row],[Cash Flow]]/((1+ActualRateToUse)^(IF(ISNUMBER(SEARCH("Actual",$C$7)),Table15[[#This Row],[Running Total]]/365,Table15[[#This Row],[Period]]/12))),2)</f>
        <v>0</v>
      </c>
      <c r="R221" s="2">
        <f>IF(MONTH(Table15[[#This Row],[Date]])=2,28,DAY(DATE(YEAR(Table15[[#This Row],[Date]]),MONTH(Table15[[#This Row],[Date]])+1,1)-1))</f>
        <v>31</v>
      </c>
      <c r="S221" s="2">
        <f ca="1">SUM(OFFSET(Table15[[#Headers],[Days in month]],1,0):Table15[[#This Row],[Days in month]])</f>
        <v>6236</v>
      </c>
      <c r="T221" s="37">
        <f>InterestRate*AmortizationMultiplier*IF(ISNUMBER(SEARCH("Actual",$C$7)),Table15[[#This Row],[Days in month]]/365,1/12)</f>
        <v>5.8133611111111103E-3</v>
      </c>
    </row>
    <row r="222" spans="2:20" x14ac:dyDescent="0.2">
      <c r="B222" s="1">
        <f t="shared" si="10"/>
        <v>52109</v>
      </c>
      <c r="C222" s="2">
        <f t="shared" si="12"/>
        <v>206</v>
      </c>
      <c r="D222" s="3">
        <f t="shared" si="11"/>
        <v>0</v>
      </c>
      <c r="E222" s="3">
        <f>ROUND(Table15[[#This Row],[Beginning Balance]]*Table15[[#This Row],[Monthly Interest Rate]],2)</f>
        <v>0</v>
      </c>
      <c r="F222" s="3">
        <f t="shared" si="13"/>
        <v>66</v>
      </c>
      <c r="G222" s="23">
        <f>IFERROR(IF($C$13="No","N/A",IF(Table15[[#This Row],[Period]]=1,$C$6,PMT(InterestRate*AmortizationMultiplier/12,Table15[[#This Row],[Am Thru]],-Table15[[#This Row],[Beginning Balance]]))),0)</f>
        <v>0</v>
      </c>
      <c r="H222" s="3">
        <f>MAX(0,IF(C222=$C$4,D222,ROUND(IF($C$3="Fixed Principal",$C$6-Table15[[#This Row],[Interest]],IF($C$3="Interest Only",Table15[[#This Row],[Beginning Balance]]*ROUND(1-(1-IF($C$11="No",$E$8,1))^(1/12),6),MIN(IF($C$13="Yes",Table15[[#This Row],[Payment Amount (Reamortized)]],$C$6)-Table15[[#This Row],[Interest]],Table15[[#This Row],[Beginning Balance]]))),2)))</f>
        <v>0</v>
      </c>
      <c r="I222" s="3">
        <f>_xlfn.SINGLE(IF($C$3="Line of Credit",0,ROUND(MAX(MIN(IF($C$10="No",$E$7,VLOOKUP(Table15[[#This Row],[Period]],Forecast!$H$2:$L$1048576,4,FALSE))*Table15[[#This Row],[Beginning Balance]],Table15[[#This Row],[Beginning Balance]]-Table15[[#This Row],[Principal]]),0),2)))</f>
        <v>0</v>
      </c>
      <c r="J222" s="3">
        <f>ROUND(MIN(Table15[[#This Row],[Beginning Balance]]*IF($C$8="No",$E$3,VLOOKUP(Table15[[#This Row],[Period]],Forecast!$H$2:$L$1048576,2,FALSE)),Table15[[#This Row],[Beginning Balance]]-Table15[[#This Row],[Principal]]-Table15[[#This Row],[Prepayments]]),2)</f>
        <v>0</v>
      </c>
      <c r="K222" s="3">
        <f>ROUND(Table15[[#This Row],[Defaulted Principal]]*IF($C$9="No",$E$4,VLOOKUP(Table15[[#This Row],[Period]],Forecast!$H$2:$L$1048576,3,FALSE)),2)</f>
        <v>0</v>
      </c>
      <c r="L222" s="2">
        <f>Table15[[#This Row],[Period]]+$E$9</f>
        <v>218</v>
      </c>
      <c r="M222" s="3">
        <f>Table15[[#This Row],[Defaulted Principal]]-Table15[[#This Row],[Estimated Loss]]</f>
        <v>0</v>
      </c>
      <c r="N222" s="3">
        <f>IFERROR(VLOOKUP(Table15[[#This Row],[Period]],$L$16:$M$385,2,FALSE),0)</f>
        <v>0</v>
      </c>
      <c r="O222" s="3">
        <f>Table15[[#This Row],[Beginning Balance]]-Table15[[#This Row],[Principal]]-Table15[[#This Row],[Prepayments]]-Table15[[#This Row],[Defaulted Principal]]</f>
        <v>0</v>
      </c>
      <c r="P222" s="3">
        <f>Table15[[#This Row],[Principal]]+Table15[[#This Row],[Interest]]+Table15[[#This Row],[Prepayments]]+Table15[[#This Row],[RecoveredAmount]]</f>
        <v>0</v>
      </c>
      <c r="Q222" s="3">
        <f ca="1">ROUND(Table15[[#This Row],[Cash Flow]]/((1+ActualRateToUse)^(IF(ISNUMBER(SEARCH("Actual",$C$7)),Table15[[#This Row],[Running Total]]/365,Table15[[#This Row],[Period]]/12))),2)</f>
        <v>0</v>
      </c>
      <c r="R222" s="2">
        <f>IF(MONTH(Table15[[#This Row],[Date]])=2,28,DAY(DATE(YEAR(Table15[[#This Row],[Date]]),MONTH(Table15[[#This Row],[Date]])+1,1)-1))</f>
        <v>31</v>
      </c>
      <c r="S222" s="2">
        <f ca="1">SUM(OFFSET(Table15[[#Headers],[Days in month]],1,0):Table15[[#This Row],[Days in month]])</f>
        <v>6267</v>
      </c>
      <c r="T222" s="37">
        <f>InterestRate*AmortizationMultiplier*IF(ISNUMBER(SEARCH("Actual",$C$7)),Table15[[#This Row],[Days in month]]/365,1/12)</f>
        <v>5.8133611111111103E-3</v>
      </c>
    </row>
    <row r="223" spans="2:20" x14ac:dyDescent="0.2">
      <c r="B223" s="1">
        <f t="shared" si="10"/>
        <v>52139</v>
      </c>
      <c r="C223" s="2">
        <f t="shared" si="12"/>
        <v>207</v>
      </c>
      <c r="D223" s="3">
        <f t="shared" si="11"/>
        <v>0</v>
      </c>
      <c r="E223" s="3">
        <f>ROUND(Table15[[#This Row],[Beginning Balance]]*Table15[[#This Row],[Monthly Interest Rate]],2)</f>
        <v>0</v>
      </c>
      <c r="F223" s="3">
        <f t="shared" si="13"/>
        <v>65</v>
      </c>
      <c r="G223" s="23">
        <f>IFERROR(IF($C$13="No","N/A",IF(Table15[[#This Row],[Period]]=1,$C$6,PMT(InterestRate*AmortizationMultiplier/12,Table15[[#This Row],[Am Thru]],-Table15[[#This Row],[Beginning Balance]]))),0)</f>
        <v>0</v>
      </c>
      <c r="H223" s="3">
        <f>MAX(0,IF(C223=$C$4,D223,ROUND(IF($C$3="Fixed Principal",$C$6-Table15[[#This Row],[Interest]],IF($C$3="Interest Only",Table15[[#This Row],[Beginning Balance]]*ROUND(1-(1-IF($C$11="No",$E$8,1))^(1/12),6),MIN(IF($C$13="Yes",Table15[[#This Row],[Payment Amount (Reamortized)]],$C$6)-Table15[[#This Row],[Interest]],Table15[[#This Row],[Beginning Balance]]))),2)))</f>
        <v>0</v>
      </c>
      <c r="I223" s="3">
        <f>_xlfn.SINGLE(IF($C$3="Line of Credit",0,ROUND(MAX(MIN(IF($C$10="No",$E$7,VLOOKUP(Table15[[#This Row],[Period]],Forecast!$H$2:$L$1048576,4,FALSE))*Table15[[#This Row],[Beginning Balance]],Table15[[#This Row],[Beginning Balance]]-Table15[[#This Row],[Principal]]),0),2)))</f>
        <v>0</v>
      </c>
      <c r="J223" s="3">
        <f>ROUND(MIN(Table15[[#This Row],[Beginning Balance]]*IF($C$8="No",$E$3,VLOOKUP(Table15[[#This Row],[Period]],Forecast!$H$2:$L$1048576,2,FALSE)),Table15[[#This Row],[Beginning Balance]]-Table15[[#This Row],[Principal]]-Table15[[#This Row],[Prepayments]]),2)</f>
        <v>0</v>
      </c>
      <c r="K223" s="3">
        <f>ROUND(Table15[[#This Row],[Defaulted Principal]]*IF($C$9="No",$E$4,VLOOKUP(Table15[[#This Row],[Period]],Forecast!$H$2:$L$1048576,3,FALSE)),2)</f>
        <v>0</v>
      </c>
      <c r="L223" s="2">
        <f>Table15[[#This Row],[Period]]+$E$9</f>
        <v>219</v>
      </c>
      <c r="M223" s="3">
        <f>Table15[[#This Row],[Defaulted Principal]]-Table15[[#This Row],[Estimated Loss]]</f>
        <v>0</v>
      </c>
      <c r="N223" s="3">
        <f>IFERROR(VLOOKUP(Table15[[#This Row],[Period]],$L$16:$M$385,2,FALSE),0)</f>
        <v>0</v>
      </c>
      <c r="O223" s="3">
        <f>Table15[[#This Row],[Beginning Balance]]-Table15[[#This Row],[Principal]]-Table15[[#This Row],[Prepayments]]-Table15[[#This Row],[Defaulted Principal]]</f>
        <v>0</v>
      </c>
      <c r="P223" s="3">
        <f>Table15[[#This Row],[Principal]]+Table15[[#This Row],[Interest]]+Table15[[#This Row],[Prepayments]]+Table15[[#This Row],[RecoveredAmount]]</f>
        <v>0</v>
      </c>
      <c r="Q223" s="3">
        <f ca="1">ROUND(Table15[[#This Row],[Cash Flow]]/((1+ActualRateToUse)^(IF(ISNUMBER(SEARCH("Actual",$C$7)),Table15[[#This Row],[Running Total]]/365,Table15[[#This Row],[Period]]/12))),2)</f>
        <v>0</v>
      </c>
      <c r="R223" s="2">
        <f>IF(MONTH(Table15[[#This Row],[Date]])=2,28,DAY(DATE(YEAR(Table15[[#This Row],[Date]]),MONTH(Table15[[#This Row],[Date]])+1,1)-1))</f>
        <v>30</v>
      </c>
      <c r="S223" s="2">
        <f ca="1">SUM(OFFSET(Table15[[#Headers],[Days in month]],1,0):Table15[[#This Row],[Days in month]])</f>
        <v>6297</v>
      </c>
      <c r="T223" s="37">
        <f>InterestRate*AmortizationMultiplier*IF(ISNUMBER(SEARCH("Actual",$C$7)),Table15[[#This Row],[Days in month]]/365,1/12)</f>
        <v>5.6258333333333325E-3</v>
      </c>
    </row>
    <row r="224" spans="2:20" x14ac:dyDescent="0.2">
      <c r="B224" s="1">
        <f t="shared" si="10"/>
        <v>52170</v>
      </c>
      <c r="C224" s="2">
        <f t="shared" si="12"/>
        <v>208</v>
      </c>
      <c r="D224" s="3">
        <f t="shared" si="11"/>
        <v>0</v>
      </c>
      <c r="E224" s="3">
        <f>ROUND(Table15[[#This Row],[Beginning Balance]]*Table15[[#This Row],[Monthly Interest Rate]],2)</f>
        <v>0</v>
      </c>
      <c r="F224" s="3">
        <f t="shared" si="13"/>
        <v>64</v>
      </c>
      <c r="G224" s="23">
        <f>IFERROR(IF($C$13="No","N/A",IF(Table15[[#This Row],[Period]]=1,$C$6,PMT(InterestRate*AmortizationMultiplier/12,Table15[[#This Row],[Am Thru]],-Table15[[#This Row],[Beginning Balance]]))),0)</f>
        <v>0</v>
      </c>
      <c r="H224" s="3">
        <f>MAX(0,IF(C224=$C$4,D224,ROUND(IF($C$3="Fixed Principal",$C$6-Table15[[#This Row],[Interest]],IF($C$3="Interest Only",Table15[[#This Row],[Beginning Balance]]*ROUND(1-(1-IF($C$11="No",$E$8,1))^(1/12),6),MIN(IF($C$13="Yes",Table15[[#This Row],[Payment Amount (Reamortized)]],$C$6)-Table15[[#This Row],[Interest]],Table15[[#This Row],[Beginning Balance]]))),2)))</f>
        <v>0</v>
      </c>
      <c r="I224" s="3">
        <f>_xlfn.SINGLE(IF($C$3="Line of Credit",0,ROUND(MAX(MIN(IF($C$10="No",$E$7,VLOOKUP(Table15[[#This Row],[Period]],Forecast!$H$2:$L$1048576,4,FALSE))*Table15[[#This Row],[Beginning Balance]],Table15[[#This Row],[Beginning Balance]]-Table15[[#This Row],[Principal]]),0),2)))</f>
        <v>0</v>
      </c>
      <c r="J224" s="3">
        <f>ROUND(MIN(Table15[[#This Row],[Beginning Balance]]*IF($C$8="No",$E$3,VLOOKUP(Table15[[#This Row],[Period]],Forecast!$H$2:$L$1048576,2,FALSE)),Table15[[#This Row],[Beginning Balance]]-Table15[[#This Row],[Principal]]-Table15[[#This Row],[Prepayments]]),2)</f>
        <v>0</v>
      </c>
      <c r="K224" s="3">
        <f>ROUND(Table15[[#This Row],[Defaulted Principal]]*IF($C$9="No",$E$4,VLOOKUP(Table15[[#This Row],[Period]],Forecast!$H$2:$L$1048576,3,FALSE)),2)</f>
        <v>0</v>
      </c>
      <c r="L224" s="2">
        <f>Table15[[#This Row],[Period]]+$E$9</f>
        <v>220</v>
      </c>
      <c r="M224" s="3">
        <f>Table15[[#This Row],[Defaulted Principal]]-Table15[[#This Row],[Estimated Loss]]</f>
        <v>0</v>
      </c>
      <c r="N224" s="3">
        <f>IFERROR(VLOOKUP(Table15[[#This Row],[Period]],$L$16:$M$385,2,FALSE),0)</f>
        <v>0</v>
      </c>
      <c r="O224" s="3">
        <f>Table15[[#This Row],[Beginning Balance]]-Table15[[#This Row],[Principal]]-Table15[[#This Row],[Prepayments]]-Table15[[#This Row],[Defaulted Principal]]</f>
        <v>0</v>
      </c>
      <c r="P224" s="3">
        <f>Table15[[#This Row],[Principal]]+Table15[[#This Row],[Interest]]+Table15[[#This Row],[Prepayments]]+Table15[[#This Row],[RecoveredAmount]]</f>
        <v>0</v>
      </c>
      <c r="Q224" s="3">
        <f ca="1">ROUND(Table15[[#This Row],[Cash Flow]]/((1+ActualRateToUse)^(IF(ISNUMBER(SEARCH("Actual",$C$7)),Table15[[#This Row],[Running Total]]/365,Table15[[#This Row],[Period]]/12))),2)</f>
        <v>0</v>
      </c>
      <c r="R224" s="2">
        <f>IF(MONTH(Table15[[#This Row],[Date]])=2,28,DAY(DATE(YEAR(Table15[[#This Row],[Date]]),MONTH(Table15[[#This Row],[Date]])+1,1)-1))</f>
        <v>31</v>
      </c>
      <c r="S224" s="2">
        <f ca="1">SUM(OFFSET(Table15[[#Headers],[Days in month]],1,0):Table15[[#This Row],[Days in month]])</f>
        <v>6328</v>
      </c>
      <c r="T224" s="37">
        <f>InterestRate*AmortizationMultiplier*IF(ISNUMBER(SEARCH("Actual",$C$7)),Table15[[#This Row],[Days in month]]/365,1/12)</f>
        <v>5.8133611111111103E-3</v>
      </c>
    </row>
    <row r="225" spans="2:20" x14ac:dyDescent="0.2">
      <c r="B225" s="1">
        <f t="shared" si="10"/>
        <v>52200</v>
      </c>
      <c r="C225" s="2">
        <f t="shared" si="12"/>
        <v>209</v>
      </c>
      <c r="D225" s="3">
        <f t="shared" si="11"/>
        <v>0</v>
      </c>
      <c r="E225" s="3">
        <f>ROUND(Table15[[#This Row],[Beginning Balance]]*Table15[[#This Row],[Monthly Interest Rate]],2)</f>
        <v>0</v>
      </c>
      <c r="F225" s="3">
        <f t="shared" si="13"/>
        <v>63</v>
      </c>
      <c r="G225" s="23">
        <f>IFERROR(IF($C$13="No","N/A",IF(Table15[[#This Row],[Period]]=1,$C$6,PMT(InterestRate*AmortizationMultiplier/12,Table15[[#This Row],[Am Thru]],-Table15[[#This Row],[Beginning Balance]]))),0)</f>
        <v>0</v>
      </c>
      <c r="H225" s="3">
        <f>MAX(0,IF(C225=$C$4,D225,ROUND(IF($C$3="Fixed Principal",$C$6-Table15[[#This Row],[Interest]],IF($C$3="Interest Only",Table15[[#This Row],[Beginning Balance]]*ROUND(1-(1-IF($C$11="No",$E$8,1))^(1/12),6),MIN(IF($C$13="Yes",Table15[[#This Row],[Payment Amount (Reamortized)]],$C$6)-Table15[[#This Row],[Interest]],Table15[[#This Row],[Beginning Balance]]))),2)))</f>
        <v>0</v>
      </c>
      <c r="I225" s="3">
        <f>_xlfn.SINGLE(IF($C$3="Line of Credit",0,ROUND(MAX(MIN(IF($C$10="No",$E$7,VLOOKUP(Table15[[#This Row],[Period]],Forecast!$H$2:$L$1048576,4,FALSE))*Table15[[#This Row],[Beginning Balance]],Table15[[#This Row],[Beginning Balance]]-Table15[[#This Row],[Principal]]),0),2)))</f>
        <v>0</v>
      </c>
      <c r="J225" s="3">
        <f>ROUND(MIN(Table15[[#This Row],[Beginning Balance]]*IF($C$8="No",$E$3,VLOOKUP(Table15[[#This Row],[Period]],Forecast!$H$2:$L$1048576,2,FALSE)),Table15[[#This Row],[Beginning Balance]]-Table15[[#This Row],[Principal]]-Table15[[#This Row],[Prepayments]]),2)</f>
        <v>0</v>
      </c>
      <c r="K225" s="3">
        <f>ROUND(Table15[[#This Row],[Defaulted Principal]]*IF($C$9="No",$E$4,VLOOKUP(Table15[[#This Row],[Period]],Forecast!$H$2:$L$1048576,3,FALSE)),2)</f>
        <v>0</v>
      </c>
      <c r="L225" s="2">
        <f>Table15[[#This Row],[Period]]+$E$9</f>
        <v>221</v>
      </c>
      <c r="M225" s="3">
        <f>Table15[[#This Row],[Defaulted Principal]]-Table15[[#This Row],[Estimated Loss]]</f>
        <v>0</v>
      </c>
      <c r="N225" s="3">
        <f>IFERROR(VLOOKUP(Table15[[#This Row],[Period]],$L$16:$M$385,2,FALSE),0)</f>
        <v>0</v>
      </c>
      <c r="O225" s="3">
        <f>Table15[[#This Row],[Beginning Balance]]-Table15[[#This Row],[Principal]]-Table15[[#This Row],[Prepayments]]-Table15[[#This Row],[Defaulted Principal]]</f>
        <v>0</v>
      </c>
      <c r="P225" s="3">
        <f>Table15[[#This Row],[Principal]]+Table15[[#This Row],[Interest]]+Table15[[#This Row],[Prepayments]]+Table15[[#This Row],[RecoveredAmount]]</f>
        <v>0</v>
      </c>
      <c r="Q225" s="3">
        <f ca="1">ROUND(Table15[[#This Row],[Cash Flow]]/((1+ActualRateToUse)^(IF(ISNUMBER(SEARCH("Actual",$C$7)),Table15[[#This Row],[Running Total]]/365,Table15[[#This Row],[Period]]/12))),2)</f>
        <v>0</v>
      </c>
      <c r="R225" s="2">
        <f>IF(MONTH(Table15[[#This Row],[Date]])=2,28,DAY(DATE(YEAR(Table15[[#This Row],[Date]]),MONTH(Table15[[#This Row],[Date]])+1,1)-1))</f>
        <v>30</v>
      </c>
      <c r="S225" s="2">
        <f ca="1">SUM(OFFSET(Table15[[#Headers],[Days in month]],1,0):Table15[[#This Row],[Days in month]])</f>
        <v>6358</v>
      </c>
      <c r="T225" s="37">
        <f>InterestRate*AmortizationMultiplier*IF(ISNUMBER(SEARCH("Actual",$C$7)),Table15[[#This Row],[Days in month]]/365,1/12)</f>
        <v>5.6258333333333325E-3</v>
      </c>
    </row>
    <row r="226" spans="2:20" x14ac:dyDescent="0.2">
      <c r="B226" s="1">
        <f t="shared" si="10"/>
        <v>52231</v>
      </c>
      <c r="C226" s="2">
        <f t="shared" si="12"/>
        <v>210</v>
      </c>
      <c r="D226" s="3">
        <f t="shared" si="11"/>
        <v>0</v>
      </c>
      <c r="E226" s="3">
        <f>ROUND(Table15[[#This Row],[Beginning Balance]]*Table15[[#This Row],[Monthly Interest Rate]],2)</f>
        <v>0</v>
      </c>
      <c r="F226" s="3">
        <f t="shared" si="13"/>
        <v>62</v>
      </c>
      <c r="G226" s="23">
        <f>IFERROR(IF($C$13="No","N/A",IF(Table15[[#This Row],[Period]]=1,$C$6,PMT(InterestRate*AmortizationMultiplier/12,Table15[[#This Row],[Am Thru]],-Table15[[#This Row],[Beginning Balance]]))),0)</f>
        <v>0</v>
      </c>
      <c r="H226" s="3">
        <f>MAX(0,IF(C226=$C$4,D226,ROUND(IF($C$3="Fixed Principal",$C$6-Table15[[#This Row],[Interest]],IF($C$3="Interest Only",Table15[[#This Row],[Beginning Balance]]*ROUND(1-(1-IF($C$11="No",$E$8,1))^(1/12),6),MIN(IF($C$13="Yes",Table15[[#This Row],[Payment Amount (Reamortized)]],$C$6)-Table15[[#This Row],[Interest]],Table15[[#This Row],[Beginning Balance]]))),2)))</f>
        <v>0</v>
      </c>
      <c r="I226" s="3">
        <f>_xlfn.SINGLE(IF($C$3="Line of Credit",0,ROUND(MAX(MIN(IF($C$10="No",$E$7,VLOOKUP(Table15[[#This Row],[Period]],Forecast!$H$2:$L$1048576,4,FALSE))*Table15[[#This Row],[Beginning Balance]],Table15[[#This Row],[Beginning Balance]]-Table15[[#This Row],[Principal]]),0),2)))</f>
        <v>0</v>
      </c>
      <c r="J226" s="3">
        <f>ROUND(MIN(Table15[[#This Row],[Beginning Balance]]*IF($C$8="No",$E$3,VLOOKUP(Table15[[#This Row],[Period]],Forecast!$H$2:$L$1048576,2,FALSE)),Table15[[#This Row],[Beginning Balance]]-Table15[[#This Row],[Principal]]-Table15[[#This Row],[Prepayments]]),2)</f>
        <v>0</v>
      </c>
      <c r="K226" s="3">
        <f>ROUND(Table15[[#This Row],[Defaulted Principal]]*IF($C$9="No",$E$4,VLOOKUP(Table15[[#This Row],[Period]],Forecast!$H$2:$L$1048576,3,FALSE)),2)</f>
        <v>0</v>
      </c>
      <c r="L226" s="2">
        <f>Table15[[#This Row],[Period]]+$E$9</f>
        <v>222</v>
      </c>
      <c r="M226" s="3">
        <f>Table15[[#This Row],[Defaulted Principal]]-Table15[[#This Row],[Estimated Loss]]</f>
        <v>0</v>
      </c>
      <c r="N226" s="3">
        <f>IFERROR(VLOOKUP(Table15[[#This Row],[Period]],$L$16:$M$385,2,FALSE),0)</f>
        <v>0</v>
      </c>
      <c r="O226" s="3">
        <f>Table15[[#This Row],[Beginning Balance]]-Table15[[#This Row],[Principal]]-Table15[[#This Row],[Prepayments]]-Table15[[#This Row],[Defaulted Principal]]</f>
        <v>0</v>
      </c>
      <c r="P226" s="3">
        <f>Table15[[#This Row],[Principal]]+Table15[[#This Row],[Interest]]+Table15[[#This Row],[Prepayments]]+Table15[[#This Row],[RecoveredAmount]]</f>
        <v>0</v>
      </c>
      <c r="Q226" s="3">
        <f ca="1">ROUND(Table15[[#This Row],[Cash Flow]]/((1+ActualRateToUse)^(IF(ISNUMBER(SEARCH("Actual",$C$7)),Table15[[#This Row],[Running Total]]/365,Table15[[#This Row],[Period]]/12))),2)</f>
        <v>0</v>
      </c>
      <c r="R226" s="2">
        <f>IF(MONTH(Table15[[#This Row],[Date]])=2,28,DAY(DATE(YEAR(Table15[[#This Row],[Date]]),MONTH(Table15[[#This Row],[Date]])+1,1)-1))</f>
        <v>31</v>
      </c>
      <c r="S226" s="2">
        <f ca="1">SUM(OFFSET(Table15[[#Headers],[Days in month]],1,0):Table15[[#This Row],[Days in month]])</f>
        <v>6389</v>
      </c>
      <c r="T226" s="37">
        <f>InterestRate*AmortizationMultiplier*IF(ISNUMBER(SEARCH("Actual",$C$7)),Table15[[#This Row],[Days in month]]/365,1/12)</f>
        <v>5.8133611111111103E-3</v>
      </c>
    </row>
    <row r="227" spans="2:20" x14ac:dyDescent="0.2">
      <c r="B227" s="1">
        <f t="shared" si="10"/>
        <v>52262</v>
      </c>
      <c r="C227" s="2">
        <f t="shared" si="12"/>
        <v>211</v>
      </c>
      <c r="D227" s="3">
        <f t="shared" si="11"/>
        <v>0</v>
      </c>
      <c r="E227" s="3">
        <f>ROUND(Table15[[#This Row],[Beginning Balance]]*Table15[[#This Row],[Monthly Interest Rate]],2)</f>
        <v>0</v>
      </c>
      <c r="F227" s="3">
        <f t="shared" si="13"/>
        <v>61</v>
      </c>
      <c r="G227" s="23">
        <f>IFERROR(IF($C$13="No","N/A",IF(Table15[[#This Row],[Period]]=1,$C$6,PMT(InterestRate*AmortizationMultiplier/12,Table15[[#This Row],[Am Thru]],-Table15[[#This Row],[Beginning Balance]]))),0)</f>
        <v>0</v>
      </c>
      <c r="H227" s="3">
        <f>MAX(0,IF(C227=$C$4,D227,ROUND(IF($C$3="Fixed Principal",$C$6-Table15[[#This Row],[Interest]],IF($C$3="Interest Only",Table15[[#This Row],[Beginning Balance]]*ROUND(1-(1-IF($C$11="No",$E$8,1))^(1/12),6),MIN(IF($C$13="Yes",Table15[[#This Row],[Payment Amount (Reamortized)]],$C$6)-Table15[[#This Row],[Interest]],Table15[[#This Row],[Beginning Balance]]))),2)))</f>
        <v>0</v>
      </c>
      <c r="I227" s="3">
        <f>_xlfn.SINGLE(IF($C$3="Line of Credit",0,ROUND(MAX(MIN(IF($C$10="No",$E$7,VLOOKUP(Table15[[#This Row],[Period]],Forecast!$H$2:$L$1048576,4,FALSE))*Table15[[#This Row],[Beginning Balance]],Table15[[#This Row],[Beginning Balance]]-Table15[[#This Row],[Principal]]),0),2)))</f>
        <v>0</v>
      </c>
      <c r="J227" s="3">
        <f>ROUND(MIN(Table15[[#This Row],[Beginning Balance]]*IF($C$8="No",$E$3,VLOOKUP(Table15[[#This Row],[Period]],Forecast!$H$2:$L$1048576,2,FALSE)),Table15[[#This Row],[Beginning Balance]]-Table15[[#This Row],[Principal]]-Table15[[#This Row],[Prepayments]]),2)</f>
        <v>0</v>
      </c>
      <c r="K227" s="3">
        <f>ROUND(Table15[[#This Row],[Defaulted Principal]]*IF($C$9="No",$E$4,VLOOKUP(Table15[[#This Row],[Period]],Forecast!$H$2:$L$1048576,3,FALSE)),2)</f>
        <v>0</v>
      </c>
      <c r="L227" s="2">
        <f>Table15[[#This Row],[Period]]+$E$9</f>
        <v>223</v>
      </c>
      <c r="M227" s="3">
        <f>Table15[[#This Row],[Defaulted Principal]]-Table15[[#This Row],[Estimated Loss]]</f>
        <v>0</v>
      </c>
      <c r="N227" s="3">
        <f>IFERROR(VLOOKUP(Table15[[#This Row],[Period]],$L$16:$M$385,2,FALSE),0)</f>
        <v>0</v>
      </c>
      <c r="O227" s="3">
        <f>Table15[[#This Row],[Beginning Balance]]-Table15[[#This Row],[Principal]]-Table15[[#This Row],[Prepayments]]-Table15[[#This Row],[Defaulted Principal]]</f>
        <v>0</v>
      </c>
      <c r="P227" s="3">
        <f>Table15[[#This Row],[Principal]]+Table15[[#This Row],[Interest]]+Table15[[#This Row],[Prepayments]]+Table15[[#This Row],[RecoveredAmount]]</f>
        <v>0</v>
      </c>
      <c r="Q227" s="3">
        <f ca="1">ROUND(Table15[[#This Row],[Cash Flow]]/((1+ActualRateToUse)^(IF(ISNUMBER(SEARCH("Actual",$C$7)),Table15[[#This Row],[Running Total]]/365,Table15[[#This Row],[Period]]/12))),2)</f>
        <v>0</v>
      </c>
      <c r="R227" s="2">
        <f>IF(MONTH(Table15[[#This Row],[Date]])=2,28,DAY(DATE(YEAR(Table15[[#This Row],[Date]]),MONTH(Table15[[#This Row],[Date]])+1,1)-1))</f>
        <v>31</v>
      </c>
      <c r="S227" s="2">
        <f ca="1">SUM(OFFSET(Table15[[#Headers],[Days in month]],1,0):Table15[[#This Row],[Days in month]])</f>
        <v>6420</v>
      </c>
      <c r="T227" s="37">
        <f>InterestRate*AmortizationMultiplier*IF(ISNUMBER(SEARCH("Actual",$C$7)),Table15[[#This Row],[Days in month]]/365,1/12)</f>
        <v>5.8133611111111103E-3</v>
      </c>
    </row>
    <row r="228" spans="2:20" x14ac:dyDescent="0.2">
      <c r="B228" s="1">
        <f t="shared" si="10"/>
        <v>52290</v>
      </c>
      <c r="C228" s="2">
        <f t="shared" si="12"/>
        <v>212</v>
      </c>
      <c r="D228" s="3">
        <f t="shared" si="11"/>
        <v>0</v>
      </c>
      <c r="E228" s="3">
        <f>ROUND(Table15[[#This Row],[Beginning Balance]]*Table15[[#This Row],[Monthly Interest Rate]],2)</f>
        <v>0</v>
      </c>
      <c r="F228" s="3">
        <f t="shared" si="13"/>
        <v>60</v>
      </c>
      <c r="G228" s="23">
        <f>IFERROR(IF($C$13="No","N/A",IF(Table15[[#This Row],[Period]]=1,$C$6,PMT(InterestRate*AmortizationMultiplier/12,Table15[[#This Row],[Am Thru]],-Table15[[#This Row],[Beginning Balance]]))),0)</f>
        <v>0</v>
      </c>
      <c r="H228" s="3">
        <f>MAX(0,IF(C228=$C$4,D228,ROUND(IF($C$3="Fixed Principal",$C$6-Table15[[#This Row],[Interest]],IF($C$3="Interest Only",Table15[[#This Row],[Beginning Balance]]*ROUND(1-(1-IF($C$11="No",$E$8,1))^(1/12),6),MIN(IF($C$13="Yes",Table15[[#This Row],[Payment Amount (Reamortized)]],$C$6)-Table15[[#This Row],[Interest]],Table15[[#This Row],[Beginning Balance]]))),2)))</f>
        <v>0</v>
      </c>
      <c r="I228" s="3">
        <f>_xlfn.SINGLE(IF($C$3="Line of Credit",0,ROUND(MAX(MIN(IF($C$10="No",$E$7,VLOOKUP(Table15[[#This Row],[Period]],Forecast!$H$2:$L$1048576,4,FALSE))*Table15[[#This Row],[Beginning Balance]],Table15[[#This Row],[Beginning Balance]]-Table15[[#This Row],[Principal]]),0),2)))</f>
        <v>0</v>
      </c>
      <c r="J228" s="3">
        <f>ROUND(MIN(Table15[[#This Row],[Beginning Balance]]*IF($C$8="No",$E$3,VLOOKUP(Table15[[#This Row],[Period]],Forecast!$H$2:$L$1048576,2,FALSE)),Table15[[#This Row],[Beginning Balance]]-Table15[[#This Row],[Principal]]-Table15[[#This Row],[Prepayments]]),2)</f>
        <v>0</v>
      </c>
      <c r="K228" s="3">
        <f>ROUND(Table15[[#This Row],[Defaulted Principal]]*IF($C$9="No",$E$4,VLOOKUP(Table15[[#This Row],[Period]],Forecast!$H$2:$L$1048576,3,FALSE)),2)</f>
        <v>0</v>
      </c>
      <c r="L228" s="2">
        <f>Table15[[#This Row],[Period]]+$E$9</f>
        <v>224</v>
      </c>
      <c r="M228" s="3">
        <f>Table15[[#This Row],[Defaulted Principal]]-Table15[[#This Row],[Estimated Loss]]</f>
        <v>0</v>
      </c>
      <c r="N228" s="3">
        <f>IFERROR(VLOOKUP(Table15[[#This Row],[Period]],$L$16:$M$385,2,FALSE),0)</f>
        <v>0</v>
      </c>
      <c r="O228" s="3">
        <f>Table15[[#This Row],[Beginning Balance]]-Table15[[#This Row],[Principal]]-Table15[[#This Row],[Prepayments]]-Table15[[#This Row],[Defaulted Principal]]</f>
        <v>0</v>
      </c>
      <c r="P228" s="3">
        <f>Table15[[#This Row],[Principal]]+Table15[[#This Row],[Interest]]+Table15[[#This Row],[Prepayments]]+Table15[[#This Row],[RecoveredAmount]]</f>
        <v>0</v>
      </c>
      <c r="Q228" s="3">
        <f ca="1">ROUND(Table15[[#This Row],[Cash Flow]]/((1+ActualRateToUse)^(IF(ISNUMBER(SEARCH("Actual",$C$7)),Table15[[#This Row],[Running Total]]/365,Table15[[#This Row],[Period]]/12))),2)</f>
        <v>0</v>
      </c>
      <c r="R228" s="2">
        <f>IF(MONTH(Table15[[#This Row],[Date]])=2,28,DAY(DATE(YEAR(Table15[[#This Row],[Date]]),MONTH(Table15[[#This Row],[Date]])+1,1)-1))</f>
        <v>28</v>
      </c>
      <c r="S228" s="2">
        <f ca="1">SUM(OFFSET(Table15[[#Headers],[Days in month]],1,0):Table15[[#This Row],[Days in month]])</f>
        <v>6448</v>
      </c>
      <c r="T228" s="37">
        <f>InterestRate*AmortizationMultiplier*IF(ISNUMBER(SEARCH("Actual",$C$7)),Table15[[#This Row],[Days in month]]/365,1/12)</f>
        <v>5.2507777777777778E-3</v>
      </c>
    </row>
    <row r="229" spans="2:20" x14ac:dyDescent="0.2">
      <c r="B229" s="1">
        <f t="shared" si="10"/>
        <v>52321</v>
      </c>
      <c r="C229" s="2">
        <f t="shared" si="12"/>
        <v>213</v>
      </c>
      <c r="D229" s="3">
        <f t="shared" si="11"/>
        <v>0</v>
      </c>
      <c r="E229" s="3">
        <f>ROUND(Table15[[#This Row],[Beginning Balance]]*Table15[[#This Row],[Monthly Interest Rate]],2)</f>
        <v>0</v>
      </c>
      <c r="F229" s="3">
        <f t="shared" si="13"/>
        <v>59</v>
      </c>
      <c r="G229" s="23">
        <f>IFERROR(IF($C$13="No","N/A",IF(Table15[[#This Row],[Period]]=1,$C$6,PMT(InterestRate*AmortizationMultiplier/12,Table15[[#This Row],[Am Thru]],-Table15[[#This Row],[Beginning Balance]]))),0)</f>
        <v>0</v>
      </c>
      <c r="H229" s="3">
        <f>MAX(0,IF(C229=$C$4,D229,ROUND(IF($C$3="Fixed Principal",$C$6-Table15[[#This Row],[Interest]],IF($C$3="Interest Only",Table15[[#This Row],[Beginning Balance]]*ROUND(1-(1-IF($C$11="No",$E$8,1))^(1/12),6),MIN(IF($C$13="Yes",Table15[[#This Row],[Payment Amount (Reamortized)]],$C$6)-Table15[[#This Row],[Interest]],Table15[[#This Row],[Beginning Balance]]))),2)))</f>
        <v>0</v>
      </c>
      <c r="I229" s="3">
        <f>_xlfn.SINGLE(IF($C$3="Line of Credit",0,ROUND(MAX(MIN(IF($C$10="No",$E$7,VLOOKUP(Table15[[#This Row],[Period]],Forecast!$H$2:$L$1048576,4,FALSE))*Table15[[#This Row],[Beginning Balance]],Table15[[#This Row],[Beginning Balance]]-Table15[[#This Row],[Principal]]),0),2)))</f>
        <v>0</v>
      </c>
      <c r="J229" s="3">
        <f>ROUND(MIN(Table15[[#This Row],[Beginning Balance]]*IF($C$8="No",$E$3,VLOOKUP(Table15[[#This Row],[Period]],Forecast!$H$2:$L$1048576,2,FALSE)),Table15[[#This Row],[Beginning Balance]]-Table15[[#This Row],[Principal]]-Table15[[#This Row],[Prepayments]]),2)</f>
        <v>0</v>
      </c>
      <c r="K229" s="3">
        <f>ROUND(Table15[[#This Row],[Defaulted Principal]]*IF($C$9="No",$E$4,VLOOKUP(Table15[[#This Row],[Period]],Forecast!$H$2:$L$1048576,3,FALSE)),2)</f>
        <v>0</v>
      </c>
      <c r="L229" s="2">
        <f>Table15[[#This Row],[Period]]+$E$9</f>
        <v>225</v>
      </c>
      <c r="M229" s="3">
        <f>Table15[[#This Row],[Defaulted Principal]]-Table15[[#This Row],[Estimated Loss]]</f>
        <v>0</v>
      </c>
      <c r="N229" s="3">
        <f>IFERROR(VLOOKUP(Table15[[#This Row],[Period]],$L$16:$M$385,2,FALSE),0)</f>
        <v>0</v>
      </c>
      <c r="O229" s="3">
        <f>Table15[[#This Row],[Beginning Balance]]-Table15[[#This Row],[Principal]]-Table15[[#This Row],[Prepayments]]-Table15[[#This Row],[Defaulted Principal]]</f>
        <v>0</v>
      </c>
      <c r="P229" s="3">
        <f>Table15[[#This Row],[Principal]]+Table15[[#This Row],[Interest]]+Table15[[#This Row],[Prepayments]]+Table15[[#This Row],[RecoveredAmount]]</f>
        <v>0</v>
      </c>
      <c r="Q229" s="3">
        <f ca="1">ROUND(Table15[[#This Row],[Cash Flow]]/((1+ActualRateToUse)^(IF(ISNUMBER(SEARCH("Actual",$C$7)),Table15[[#This Row],[Running Total]]/365,Table15[[#This Row],[Period]]/12))),2)</f>
        <v>0</v>
      </c>
      <c r="R229" s="2">
        <f>IF(MONTH(Table15[[#This Row],[Date]])=2,28,DAY(DATE(YEAR(Table15[[#This Row],[Date]]),MONTH(Table15[[#This Row],[Date]])+1,1)-1))</f>
        <v>31</v>
      </c>
      <c r="S229" s="2">
        <f ca="1">SUM(OFFSET(Table15[[#Headers],[Days in month]],1,0):Table15[[#This Row],[Days in month]])</f>
        <v>6479</v>
      </c>
      <c r="T229" s="37">
        <f>InterestRate*AmortizationMultiplier*IF(ISNUMBER(SEARCH("Actual",$C$7)),Table15[[#This Row],[Days in month]]/365,1/12)</f>
        <v>5.8133611111111103E-3</v>
      </c>
    </row>
    <row r="230" spans="2:20" x14ac:dyDescent="0.2">
      <c r="B230" s="1">
        <f t="shared" si="10"/>
        <v>52351</v>
      </c>
      <c r="C230" s="2">
        <f t="shared" si="12"/>
        <v>214</v>
      </c>
      <c r="D230" s="3">
        <f t="shared" si="11"/>
        <v>0</v>
      </c>
      <c r="E230" s="3">
        <f>ROUND(Table15[[#This Row],[Beginning Balance]]*Table15[[#This Row],[Monthly Interest Rate]],2)</f>
        <v>0</v>
      </c>
      <c r="F230" s="3">
        <f t="shared" si="13"/>
        <v>58</v>
      </c>
      <c r="G230" s="23">
        <f>IFERROR(IF($C$13="No","N/A",IF(Table15[[#This Row],[Period]]=1,$C$6,PMT(InterestRate*AmortizationMultiplier/12,Table15[[#This Row],[Am Thru]],-Table15[[#This Row],[Beginning Balance]]))),0)</f>
        <v>0</v>
      </c>
      <c r="H230" s="3">
        <f>MAX(0,IF(C230=$C$4,D230,ROUND(IF($C$3="Fixed Principal",$C$6-Table15[[#This Row],[Interest]],IF($C$3="Interest Only",Table15[[#This Row],[Beginning Balance]]*ROUND(1-(1-IF($C$11="No",$E$8,1))^(1/12),6),MIN(IF($C$13="Yes",Table15[[#This Row],[Payment Amount (Reamortized)]],$C$6)-Table15[[#This Row],[Interest]],Table15[[#This Row],[Beginning Balance]]))),2)))</f>
        <v>0</v>
      </c>
      <c r="I230" s="3">
        <f>_xlfn.SINGLE(IF($C$3="Line of Credit",0,ROUND(MAX(MIN(IF($C$10="No",$E$7,VLOOKUP(Table15[[#This Row],[Period]],Forecast!$H$2:$L$1048576,4,FALSE))*Table15[[#This Row],[Beginning Balance]],Table15[[#This Row],[Beginning Balance]]-Table15[[#This Row],[Principal]]),0),2)))</f>
        <v>0</v>
      </c>
      <c r="J230" s="3">
        <f>ROUND(MIN(Table15[[#This Row],[Beginning Balance]]*IF($C$8="No",$E$3,VLOOKUP(Table15[[#This Row],[Period]],Forecast!$H$2:$L$1048576,2,FALSE)),Table15[[#This Row],[Beginning Balance]]-Table15[[#This Row],[Principal]]-Table15[[#This Row],[Prepayments]]),2)</f>
        <v>0</v>
      </c>
      <c r="K230" s="3">
        <f>ROUND(Table15[[#This Row],[Defaulted Principal]]*IF($C$9="No",$E$4,VLOOKUP(Table15[[#This Row],[Period]],Forecast!$H$2:$L$1048576,3,FALSE)),2)</f>
        <v>0</v>
      </c>
      <c r="L230" s="2">
        <f>Table15[[#This Row],[Period]]+$E$9</f>
        <v>226</v>
      </c>
      <c r="M230" s="3">
        <f>Table15[[#This Row],[Defaulted Principal]]-Table15[[#This Row],[Estimated Loss]]</f>
        <v>0</v>
      </c>
      <c r="N230" s="3">
        <f>IFERROR(VLOOKUP(Table15[[#This Row],[Period]],$L$16:$M$385,2,FALSE),0)</f>
        <v>0</v>
      </c>
      <c r="O230" s="3">
        <f>Table15[[#This Row],[Beginning Balance]]-Table15[[#This Row],[Principal]]-Table15[[#This Row],[Prepayments]]-Table15[[#This Row],[Defaulted Principal]]</f>
        <v>0</v>
      </c>
      <c r="P230" s="3">
        <f>Table15[[#This Row],[Principal]]+Table15[[#This Row],[Interest]]+Table15[[#This Row],[Prepayments]]+Table15[[#This Row],[RecoveredAmount]]</f>
        <v>0</v>
      </c>
      <c r="Q230" s="3">
        <f ca="1">ROUND(Table15[[#This Row],[Cash Flow]]/((1+ActualRateToUse)^(IF(ISNUMBER(SEARCH("Actual",$C$7)),Table15[[#This Row],[Running Total]]/365,Table15[[#This Row],[Period]]/12))),2)</f>
        <v>0</v>
      </c>
      <c r="R230" s="2">
        <f>IF(MONTH(Table15[[#This Row],[Date]])=2,28,DAY(DATE(YEAR(Table15[[#This Row],[Date]]),MONTH(Table15[[#This Row],[Date]])+1,1)-1))</f>
        <v>30</v>
      </c>
      <c r="S230" s="2">
        <f ca="1">SUM(OFFSET(Table15[[#Headers],[Days in month]],1,0):Table15[[#This Row],[Days in month]])</f>
        <v>6509</v>
      </c>
      <c r="T230" s="37">
        <f>InterestRate*AmortizationMultiplier*IF(ISNUMBER(SEARCH("Actual",$C$7)),Table15[[#This Row],[Days in month]]/365,1/12)</f>
        <v>5.6258333333333325E-3</v>
      </c>
    </row>
    <row r="231" spans="2:20" x14ac:dyDescent="0.2">
      <c r="B231" s="1">
        <f t="shared" si="10"/>
        <v>52382</v>
      </c>
      <c r="C231" s="2">
        <f t="shared" si="12"/>
        <v>215</v>
      </c>
      <c r="D231" s="3">
        <f t="shared" si="11"/>
        <v>0</v>
      </c>
      <c r="E231" s="3">
        <f>ROUND(Table15[[#This Row],[Beginning Balance]]*Table15[[#This Row],[Monthly Interest Rate]],2)</f>
        <v>0</v>
      </c>
      <c r="F231" s="3">
        <f t="shared" si="13"/>
        <v>57</v>
      </c>
      <c r="G231" s="23">
        <f>IFERROR(IF($C$13="No","N/A",IF(Table15[[#This Row],[Period]]=1,$C$6,PMT(InterestRate*AmortizationMultiplier/12,Table15[[#This Row],[Am Thru]],-Table15[[#This Row],[Beginning Balance]]))),0)</f>
        <v>0</v>
      </c>
      <c r="H231" s="3">
        <f>MAX(0,IF(C231=$C$4,D231,ROUND(IF($C$3="Fixed Principal",$C$6-Table15[[#This Row],[Interest]],IF($C$3="Interest Only",Table15[[#This Row],[Beginning Balance]]*ROUND(1-(1-IF($C$11="No",$E$8,1))^(1/12),6),MIN(IF($C$13="Yes",Table15[[#This Row],[Payment Amount (Reamortized)]],$C$6)-Table15[[#This Row],[Interest]],Table15[[#This Row],[Beginning Balance]]))),2)))</f>
        <v>0</v>
      </c>
      <c r="I231" s="3">
        <f>_xlfn.SINGLE(IF($C$3="Line of Credit",0,ROUND(MAX(MIN(IF($C$10="No",$E$7,VLOOKUP(Table15[[#This Row],[Period]],Forecast!$H$2:$L$1048576,4,FALSE))*Table15[[#This Row],[Beginning Balance]],Table15[[#This Row],[Beginning Balance]]-Table15[[#This Row],[Principal]]),0),2)))</f>
        <v>0</v>
      </c>
      <c r="J231" s="3">
        <f>ROUND(MIN(Table15[[#This Row],[Beginning Balance]]*IF($C$8="No",$E$3,VLOOKUP(Table15[[#This Row],[Period]],Forecast!$H$2:$L$1048576,2,FALSE)),Table15[[#This Row],[Beginning Balance]]-Table15[[#This Row],[Principal]]-Table15[[#This Row],[Prepayments]]),2)</f>
        <v>0</v>
      </c>
      <c r="K231" s="3">
        <f>ROUND(Table15[[#This Row],[Defaulted Principal]]*IF($C$9="No",$E$4,VLOOKUP(Table15[[#This Row],[Period]],Forecast!$H$2:$L$1048576,3,FALSE)),2)</f>
        <v>0</v>
      </c>
      <c r="L231" s="2">
        <f>Table15[[#This Row],[Period]]+$E$9</f>
        <v>227</v>
      </c>
      <c r="M231" s="3">
        <f>Table15[[#This Row],[Defaulted Principal]]-Table15[[#This Row],[Estimated Loss]]</f>
        <v>0</v>
      </c>
      <c r="N231" s="3">
        <f>IFERROR(VLOOKUP(Table15[[#This Row],[Period]],$L$16:$M$385,2,FALSE),0)</f>
        <v>0</v>
      </c>
      <c r="O231" s="3">
        <f>Table15[[#This Row],[Beginning Balance]]-Table15[[#This Row],[Principal]]-Table15[[#This Row],[Prepayments]]-Table15[[#This Row],[Defaulted Principal]]</f>
        <v>0</v>
      </c>
      <c r="P231" s="3">
        <f>Table15[[#This Row],[Principal]]+Table15[[#This Row],[Interest]]+Table15[[#This Row],[Prepayments]]+Table15[[#This Row],[RecoveredAmount]]</f>
        <v>0</v>
      </c>
      <c r="Q231" s="3">
        <f ca="1">ROUND(Table15[[#This Row],[Cash Flow]]/((1+ActualRateToUse)^(IF(ISNUMBER(SEARCH("Actual",$C$7)),Table15[[#This Row],[Running Total]]/365,Table15[[#This Row],[Period]]/12))),2)</f>
        <v>0</v>
      </c>
      <c r="R231" s="2">
        <f>IF(MONTH(Table15[[#This Row],[Date]])=2,28,DAY(DATE(YEAR(Table15[[#This Row],[Date]]),MONTH(Table15[[#This Row],[Date]])+1,1)-1))</f>
        <v>31</v>
      </c>
      <c r="S231" s="2">
        <f ca="1">SUM(OFFSET(Table15[[#Headers],[Days in month]],1,0):Table15[[#This Row],[Days in month]])</f>
        <v>6540</v>
      </c>
      <c r="T231" s="37">
        <f>InterestRate*AmortizationMultiplier*IF(ISNUMBER(SEARCH("Actual",$C$7)),Table15[[#This Row],[Days in month]]/365,1/12)</f>
        <v>5.8133611111111103E-3</v>
      </c>
    </row>
    <row r="232" spans="2:20" x14ac:dyDescent="0.2">
      <c r="B232" s="1">
        <f t="shared" si="10"/>
        <v>52412</v>
      </c>
      <c r="C232" s="2">
        <f t="shared" si="12"/>
        <v>216</v>
      </c>
      <c r="D232" s="3">
        <f t="shared" si="11"/>
        <v>0</v>
      </c>
      <c r="E232" s="3">
        <f>ROUND(Table15[[#This Row],[Beginning Balance]]*Table15[[#This Row],[Monthly Interest Rate]],2)</f>
        <v>0</v>
      </c>
      <c r="F232" s="3">
        <f t="shared" si="13"/>
        <v>56</v>
      </c>
      <c r="G232" s="23">
        <f>IFERROR(IF($C$13="No","N/A",IF(Table15[[#This Row],[Period]]=1,$C$6,PMT(InterestRate*AmortizationMultiplier/12,Table15[[#This Row],[Am Thru]],-Table15[[#This Row],[Beginning Balance]]))),0)</f>
        <v>0</v>
      </c>
      <c r="H232" s="3">
        <f>MAX(0,IF(C232=$C$4,D232,ROUND(IF($C$3="Fixed Principal",$C$6-Table15[[#This Row],[Interest]],IF($C$3="Interest Only",Table15[[#This Row],[Beginning Balance]]*ROUND(1-(1-IF($C$11="No",$E$8,1))^(1/12),6),MIN(IF($C$13="Yes",Table15[[#This Row],[Payment Amount (Reamortized)]],$C$6)-Table15[[#This Row],[Interest]],Table15[[#This Row],[Beginning Balance]]))),2)))</f>
        <v>0</v>
      </c>
      <c r="I232" s="3">
        <f>_xlfn.SINGLE(IF($C$3="Line of Credit",0,ROUND(MAX(MIN(IF($C$10="No",$E$7,VLOOKUP(Table15[[#This Row],[Period]],Forecast!$H$2:$L$1048576,4,FALSE))*Table15[[#This Row],[Beginning Balance]],Table15[[#This Row],[Beginning Balance]]-Table15[[#This Row],[Principal]]),0),2)))</f>
        <v>0</v>
      </c>
      <c r="J232" s="3">
        <f>ROUND(MIN(Table15[[#This Row],[Beginning Balance]]*IF($C$8="No",$E$3,VLOOKUP(Table15[[#This Row],[Period]],Forecast!$H$2:$L$1048576,2,FALSE)),Table15[[#This Row],[Beginning Balance]]-Table15[[#This Row],[Principal]]-Table15[[#This Row],[Prepayments]]),2)</f>
        <v>0</v>
      </c>
      <c r="K232" s="3">
        <f>ROUND(Table15[[#This Row],[Defaulted Principal]]*IF($C$9="No",$E$4,VLOOKUP(Table15[[#This Row],[Period]],Forecast!$H$2:$L$1048576,3,FALSE)),2)</f>
        <v>0</v>
      </c>
      <c r="L232" s="2">
        <f>Table15[[#This Row],[Period]]+$E$9</f>
        <v>228</v>
      </c>
      <c r="M232" s="3">
        <f>Table15[[#This Row],[Defaulted Principal]]-Table15[[#This Row],[Estimated Loss]]</f>
        <v>0</v>
      </c>
      <c r="N232" s="3">
        <f>IFERROR(VLOOKUP(Table15[[#This Row],[Period]],$L$16:$M$385,2,FALSE),0)</f>
        <v>0</v>
      </c>
      <c r="O232" s="3">
        <f>Table15[[#This Row],[Beginning Balance]]-Table15[[#This Row],[Principal]]-Table15[[#This Row],[Prepayments]]-Table15[[#This Row],[Defaulted Principal]]</f>
        <v>0</v>
      </c>
      <c r="P232" s="3">
        <f>Table15[[#This Row],[Principal]]+Table15[[#This Row],[Interest]]+Table15[[#This Row],[Prepayments]]+Table15[[#This Row],[RecoveredAmount]]</f>
        <v>0</v>
      </c>
      <c r="Q232" s="3">
        <f ca="1">ROUND(Table15[[#This Row],[Cash Flow]]/((1+ActualRateToUse)^(IF(ISNUMBER(SEARCH("Actual",$C$7)),Table15[[#This Row],[Running Total]]/365,Table15[[#This Row],[Period]]/12))),2)</f>
        <v>0</v>
      </c>
      <c r="R232" s="2">
        <f>IF(MONTH(Table15[[#This Row],[Date]])=2,28,DAY(DATE(YEAR(Table15[[#This Row],[Date]]),MONTH(Table15[[#This Row],[Date]])+1,1)-1))</f>
        <v>30</v>
      </c>
      <c r="S232" s="2">
        <f ca="1">SUM(OFFSET(Table15[[#Headers],[Days in month]],1,0):Table15[[#This Row],[Days in month]])</f>
        <v>6570</v>
      </c>
      <c r="T232" s="37">
        <f>InterestRate*AmortizationMultiplier*IF(ISNUMBER(SEARCH("Actual",$C$7)),Table15[[#This Row],[Days in month]]/365,1/12)</f>
        <v>5.6258333333333325E-3</v>
      </c>
    </row>
    <row r="233" spans="2:20" x14ac:dyDescent="0.2">
      <c r="B233" s="1">
        <f t="shared" si="10"/>
        <v>52443</v>
      </c>
      <c r="C233" s="2">
        <f t="shared" si="12"/>
        <v>217</v>
      </c>
      <c r="D233" s="3">
        <f t="shared" si="11"/>
        <v>0</v>
      </c>
      <c r="E233" s="3">
        <f>ROUND(Table15[[#This Row],[Beginning Balance]]*Table15[[#This Row],[Monthly Interest Rate]],2)</f>
        <v>0</v>
      </c>
      <c r="F233" s="3">
        <f t="shared" si="13"/>
        <v>55</v>
      </c>
      <c r="G233" s="23">
        <f>IFERROR(IF($C$13="No","N/A",IF(Table15[[#This Row],[Period]]=1,$C$6,PMT(InterestRate*AmortizationMultiplier/12,Table15[[#This Row],[Am Thru]],-Table15[[#This Row],[Beginning Balance]]))),0)</f>
        <v>0</v>
      </c>
      <c r="H233" s="3">
        <f>MAX(0,IF(C233=$C$4,D233,ROUND(IF($C$3="Fixed Principal",$C$6-Table15[[#This Row],[Interest]],IF($C$3="Interest Only",Table15[[#This Row],[Beginning Balance]]*ROUND(1-(1-IF($C$11="No",$E$8,1))^(1/12),6),MIN(IF($C$13="Yes",Table15[[#This Row],[Payment Amount (Reamortized)]],$C$6)-Table15[[#This Row],[Interest]],Table15[[#This Row],[Beginning Balance]]))),2)))</f>
        <v>0</v>
      </c>
      <c r="I233" s="3">
        <f>_xlfn.SINGLE(IF($C$3="Line of Credit",0,ROUND(MAX(MIN(IF($C$10="No",$E$7,VLOOKUP(Table15[[#This Row],[Period]],Forecast!$H$2:$L$1048576,4,FALSE))*Table15[[#This Row],[Beginning Balance]],Table15[[#This Row],[Beginning Balance]]-Table15[[#This Row],[Principal]]),0),2)))</f>
        <v>0</v>
      </c>
      <c r="J233" s="3">
        <f>ROUND(MIN(Table15[[#This Row],[Beginning Balance]]*IF($C$8="No",$E$3,VLOOKUP(Table15[[#This Row],[Period]],Forecast!$H$2:$L$1048576,2,FALSE)),Table15[[#This Row],[Beginning Balance]]-Table15[[#This Row],[Principal]]-Table15[[#This Row],[Prepayments]]),2)</f>
        <v>0</v>
      </c>
      <c r="K233" s="3">
        <f>ROUND(Table15[[#This Row],[Defaulted Principal]]*IF($C$9="No",$E$4,VLOOKUP(Table15[[#This Row],[Period]],Forecast!$H$2:$L$1048576,3,FALSE)),2)</f>
        <v>0</v>
      </c>
      <c r="L233" s="2">
        <f>Table15[[#This Row],[Period]]+$E$9</f>
        <v>229</v>
      </c>
      <c r="M233" s="3">
        <f>Table15[[#This Row],[Defaulted Principal]]-Table15[[#This Row],[Estimated Loss]]</f>
        <v>0</v>
      </c>
      <c r="N233" s="3">
        <f>IFERROR(VLOOKUP(Table15[[#This Row],[Period]],$L$16:$M$385,2,FALSE),0)</f>
        <v>0</v>
      </c>
      <c r="O233" s="3">
        <f>Table15[[#This Row],[Beginning Balance]]-Table15[[#This Row],[Principal]]-Table15[[#This Row],[Prepayments]]-Table15[[#This Row],[Defaulted Principal]]</f>
        <v>0</v>
      </c>
      <c r="P233" s="3">
        <f>Table15[[#This Row],[Principal]]+Table15[[#This Row],[Interest]]+Table15[[#This Row],[Prepayments]]+Table15[[#This Row],[RecoveredAmount]]</f>
        <v>0</v>
      </c>
      <c r="Q233" s="3">
        <f ca="1">ROUND(Table15[[#This Row],[Cash Flow]]/((1+ActualRateToUse)^(IF(ISNUMBER(SEARCH("Actual",$C$7)),Table15[[#This Row],[Running Total]]/365,Table15[[#This Row],[Period]]/12))),2)</f>
        <v>0</v>
      </c>
      <c r="R233" s="2">
        <f>IF(MONTH(Table15[[#This Row],[Date]])=2,28,DAY(DATE(YEAR(Table15[[#This Row],[Date]]),MONTH(Table15[[#This Row],[Date]])+1,1)-1))</f>
        <v>31</v>
      </c>
      <c r="S233" s="2">
        <f ca="1">SUM(OFFSET(Table15[[#Headers],[Days in month]],1,0):Table15[[#This Row],[Days in month]])</f>
        <v>6601</v>
      </c>
      <c r="T233" s="37">
        <f>InterestRate*AmortizationMultiplier*IF(ISNUMBER(SEARCH("Actual",$C$7)),Table15[[#This Row],[Days in month]]/365,1/12)</f>
        <v>5.8133611111111103E-3</v>
      </c>
    </row>
    <row r="234" spans="2:20" x14ac:dyDescent="0.2">
      <c r="B234" s="1">
        <f t="shared" si="10"/>
        <v>52474</v>
      </c>
      <c r="C234" s="2">
        <f t="shared" si="12"/>
        <v>218</v>
      </c>
      <c r="D234" s="3">
        <f t="shared" si="11"/>
        <v>0</v>
      </c>
      <c r="E234" s="3">
        <f>ROUND(Table15[[#This Row],[Beginning Balance]]*Table15[[#This Row],[Monthly Interest Rate]],2)</f>
        <v>0</v>
      </c>
      <c r="F234" s="3">
        <f t="shared" si="13"/>
        <v>54</v>
      </c>
      <c r="G234" s="23">
        <f>IFERROR(IF($C$13="No","N/A",IF(Table15[[#This Row],[Period]]=1,$C$6,PMT(InterestRate*AmortizationMultiplier/12,Table15[[#This Row],[Am Thru]],-Table15[[#This Row],[Beginning Balance]]))),0)</f>
        <v>0</v>
      </c>
      <c r="H234" s="3">
        <f>MAX(0,IF(C234=$C$4,D234,ROUND(IF($C$3="Fixed Principal",$C$6-Table15[[#This Row],[Interest]],IF($C$3="Interest Only",Table15[[#This Row],[Beginning Balance]]*ROUND(1-(1-IF($C$11="No",$E$8,1))^(1/12),6),MIN(IF($C$13="Yes",Table15[[#This Row],[Payment Amount (Reamortized)]],$C$6)-Table15[[#This Row],[Interest]],Table15[[#This Row],[Beginning Balance]]))),2)))</f>
        <v>0</v>
      </c>
      <c r="I234" s="3">
        <f>_xlfn.SINGLE(IF($C$3="Line of Credit",0,ROUND(MAX(MIN(IF($C$10="No",$E$7,VLOOKUP(Table15[[#This Row],[Period]],Forecast!$H$2:$L$1048576,4,FALSE))*Table15[[#This Row],[Beginning Balance]],Table15[[#This Row],[Beginning Balance]]-Table15[[#This Row],[Principal]]),0),2)))</f>
        <v>0</v>
      </c>
      <c r="J234" s="3">
        <f>ROUND(MIN(Table15[[#This Row],[Beginning Balance]]*IF($C$8="No",$E$3,VLOOKUP(Table15[[#This Row],[Period]],Forecast!$H$2:$L$1048576,2,FALSE)),Table15[[#This Row],[Beginning Balance]]-Table15[[#This Row],[Principal]]-Table15[[#This Row],[Prepayments]]),2)</f>
        <v>0</v>
      </c>
      <c r="K234" s="3">
        <f>ROUND(Table15[[#This Row],[Defaulted Principal]]*IF($C$9="No",$E$4,VLOOKUP(Table15[[#This Row],[Period]],Forecast!$H$2:$L$1048576,3,FALSE)),2)</f>
        <v>0</v>
      </c>
      <c r="L234" s="2">
        <f>Table15[[#This Row],[Period]]+$E$9</f>
        <v>230</v>
      </c>
      <c r="M234" s="3">
        <f>Table15[[#This Row],[Defaulted Principal]]-Table15[[#This Row],[Estimated Loss]]</f>
        <v>0</v>
      </c>
      <c r="N234" s="3">
        <f>IFERROR(VLOOKUP(Table15[[#This Row],[Period]],$L$16:$M$385,2,FALSE),0)</f>
        <v>0</v>
      </c>
      <c r="O234" s="3">
        <f>Table15[[#This Row],[Beginning Balance]]-Table15[[#This Row],[Principal]]-Table15[[#This Row],[Prepayments]]-Table15[[#This Row],[Defaulted Principal]]</f>
        <v>0</v>
      </c>
      <c r="P234" s="3">
        <f>Table15[[#This Row],[Principal]]+Table15[[#This Row],[Interest]]+Table15[[#This Row],[Prepayments]]+Table15[[#This Row],[RecoveredAmount]]</f>
        <v>0</v>
      </c>
      <c r="Q234" s="3">
        <f ca="1">ROUND(Table15[[#This Row],[Cash Flow]]/((1+ActualRateToUse)^(IF(ISNUMBER(SEARCH("Actual",$C$7)),Table15[[#This Row],[Running Total]]/365,Table15[[#This Row],[Period]]/12))),2)</f>
        <v>0</v>
      </c>
      <c r="R234" s="2">
        <f>IF(MONTH(Table15[[#This Row],[Date]])=2,28,DAY(DATE(YEAR(Table15[[#This Row],[Date]]),MONTH(Table15[[#This Row],[Date]])+1,1)-1))</f>
        <v>31</v>
      </c>
      <c r="S234" s="2">
        <f ca="1">SUM(OFFSET(Table15[[#Headers],[Days in month]],1,0):Table15[[#This Row],[Days in month]])</f>
        <v>6632</v>
      </c>
      <c r="T234" s="37">
        <f>InterestRate*AmortizationMultiplier*IF(ISNUMBER(SEARCH("Actual",$C$7)),Table15[[#This Row],[Days in month]]/365,1/12)</f>
        <v>5.8133611111111103E-3</v>
      </c>
    </row>
    <row r="235" spans="2:20" x14ac:dyDescent="0.2">
      <c r="B235" s="1">
        <f t="shared" si="10"/>
        <v>52504</v>
      </c>
      <c r="C235" s="2">
        <f t="shared" si="12"/>
        <v>219</v>
      </c>
      <c r="D235" s="3">
        <f t="shared" si="11"/>
        <v>0</v>
      </c>
      <c r="E235" s="3">
        <f>ROUND(Table15[[#This Row],[Beginning Balance]]*Table15[[#This Row],[Monthly Interest Rate]],2)</f>
        <v>0</v>
      </c>
      <c r="F235" s="3">
        <f t="shared" si="13"/>
        <v>53</v>
      </c>
      <c r="G235" s="23">
        <f>IFERROR(IF($C$13="No","N/A",IF(Table15[[#This Row],[Period]]=1,$C$6,PMT(InterestRate*AmortizationMultiplier/12,Table15[[#This Row],[Am Thru]],-Table15[[#This Row],[Beginning Balance]]))),0)</f>
        <v>0</v>
      </c>
      <c r="H235" s="3">
        <f>MAX(0,IF(C235=$C$4,D235,ROUND(IF($C$3="Fixed Principal",$C$6-Table15[[#This Row],[Interest]],IF($C$3="Interest Only",Table15[[#This Row],[Beginning Balance]]*ROUND(1-(1-IF($C$11="No",$E$8,1))^(1/12),6),MIN(IF($C$13="Yes",Table15[[#This Row],[Payment Amount (Reamortized)]],$C$6)-Table15[[#This Row],[Interest]],Table15[[#This Row],[Beginning Balance]]))),2)))</f>
        <v>0</v>
      </c>
      <c r="I235" s="3">
        <f>_xlfn.SINGLE(IF($C$3="Line of Credit",0,ROUND(MAX(MIN(IF($C$10="No",$E$7,VLOOKUP(Table15[[#This Row],[Period]],Forecast!$H$2:$L$1048576,4,FALSE))*Table15[[#This Row],[Beginning Balance]],Table15[[#This Row],[Beginning Balance]]-Table15[[#This Row],[Principal]]),0),2)))</f>
        <v>0</v>
      </c>
      <c r="J235" s="3">
        <f>ROUND(MIN(Table15[[#This Row],[Beginning Balance]]*IF($C$8="No",$E$3,VLOOKUP(Table15[[#This Row],[Period]],Forecast!$H$2:$L$1048576,2,FALSE)),Table15[[#This Row],[Beginning Balance]]-Table15[[#This Row],[Principal]]-Table15[[#This Row],[Prepayments]]),2)</f>
        <v>0</v>
      </c>
      <c r="K235" s="3">
        <f>ROUND(Table15[[#This Row],[Defaulted Principal]]*IF($C$9="No",$E$4,VLOOKUP(Table15[[#This Row],[Period]],Forecast!$H$2:$L$1048576,3,FALSE)),2)</f>
        <v>0</v>
      </c>
      <c r="L235" s="2">
        <f>Table15[[#This Row],[Period]]+$E$9</f>
        <v>231</v>
      </c>
      <c r="M235" s="3">
        <f>Table15[[#This Row],[Defaulted Principal]]-Table15[[#This Row],[Estimated Loss]]</f>
        <v>0</v>
      </c>
      <c r="N235" s="3">
        <f>IFERROR(VLOOKUP(Table15[[#This Row],[Period]],$L$16:$M$385,2,FALSE),0)</f>
        <v>0</v>
      </c>
      <c r="O235" s="3">
        <f>Table15[[#This Row],[Beginning Balance]]-Table15[[#This Row],[Principal]]-Table15[[#This Row],[Prepayments]]-Table15[[#This Row],[Defaulted Principal]]</f>
        <v>0</v>
      </c>
      <c r="P235" s="3">
        <f>Table15[[#This Row],[Principal]]+Table15[[#This Row],[Interest]]+Table15[[#This Row],[Prepayments]]+Table15[[#This Row],[RecoveredAmount]]</f>
        <v>0</v>
      </c>
      <c r="Q235" s="3">
        <f ca="1">ROUND(Table15[[#This Row],[Cash Flow]]/((1+ActualRateToUse)^(IF(ISNUMBER(SEARCH("Actual",$C$7)),Table15[[#This Row],[Running Total]]/365,Table15[[#This Row],[Period]]/12))),2)</f>
        <v>0</v>
      </c>
      <c r="R235" s="2">
        <f>IF(MONTH(Table15[[#This Row],[Date]])=2,28,DAY(DATE(YEAR(Table15[[#This Row],[Date]]),MONTH(Table15[[#This Row],[Date]])+1,1)-1))</f>
        <v>30</v>
      </c>
      <c r="S235" s="2">
        <f ca="1">SUM(OFFSET(Table15[[#Headers],[Days in month]],1,0):Table15[[#This Row],[Days in month]])</f>
        <v>6662</v>
      </c>
      <c r="T235" s="37">
        <f>InterestRate*AmortizationMultiplier*IF(ISNUMBER(SEARCH("Actual",$C$7)),Table15[[#This Row],[Days in month]]/365,1/12)</f>
        <v>5.6258333333333325E-3</v>
      </c>
    </row>
    <row r="236" spans="2:20" x14ac:dyDescent="0.2">
      <c r="B236" s="1">
        <f t="shared" si="10"/>
        <v>52535</v>
      </c>
      <c r="C236" s="2">
        <f t="shared" si="12"/>
        <v>220</v>
      </c>
      <c r="D236" s="3">
        <f t="shared" si="11"/>
        <v>0</v>
      </c>
      <c r="E236" s="3">
        <f>ROUND(Table15[[#This Row],[Beginning Balance]]*Table15[[#This Row],[Monthly Interest Rate]],2)</f>
        <v>0</v>
      </c>
      <c r="F236" s="3">
        <f t="shared" si="13"/>
        <v>52</v>
      </c>
      <c r="G236" s="23">
        <f>IFERROR(IF($C$13="No","N/A",IF(Table15[[#This Row],[Period]]=1,$C$6,PMT(InterestRate*AmortizationMultiplier/12,Table15[[#This Row],[Am Thru]],-Table15[[#This Row],[Beginning Balance]]))),0)</f>
        <v>0</v>
      </c>
      <c r="H236" s="3">
        <f>MAX(0,IF(C236=$C$4,D236,ROUND(IF($C$3="Fixed Principal",$C$6-Table15[[#This Row],[Interest]],IF($C$3="Interest Only",Table15[[#This Row],[Beginning Balance]]*ROUND(1-(1-IF($C$11="No",$E$8,1))^(1/12),6),MIN(IF($C$13="Yes",Table15[[#This Row],[Payment Amount (Reamortized)]],$C$6)-Table15[[#This Row],[Interest]],Table15[[#This Row],[Beginning Balance]]))),2)))</f>
        <v>0</v>
      </c>
      <c r="I236" s="3">
        <f>_xlfn.SINGLE(IF($C$3="Line of Credit",0,ROUND(MAX(MIN(IF($C$10="No",$E$7,VLOOKUP(Table15[[#This Row],[Period]],Forecast!$H$2:$L$1048576,4,FALSE))*Table15[[#This Row],[Beginning Balance]],Table15[[#This Row],[Beginning Balance]]-Table15[[#This Row],[Principal]]),0),2)))</f>
        <v>0</v>
      </c>
      <c r="J236" s="3">
        <f>ROUND(MIN(Table15[[#This Row],[Beginning Balance]]*IF($C$8="No",$E$3,VLOOKUP(Table15[[#This Row],[Period]],Forecast!$H$2:$L$1048576,2,FALSE)),Table15[[#This Row],[Beginning Balance]]-Table15[[#This Row],[Principal]]-Table15[[#This Row],[Prepayments]]),2)</f>
        <v>0</v>
      </c>
      <c r="K236" s="3">
        <f>ROUND(Table15[[#This Row],[Defaulted Principal]]*IF($C$9="No",$E$4,VLOOKUP(Table15[[#This Row],[Period]],Forecast!$H$2:$L$1048576,3,FALSE)),2)</f>
        <v>0</v>
      </c>
      <c r="L236" s="2">
        <f>Table15[[#This Row],[Period]]+$E$9</f>
        <v>232</v>
      </c>
      <c r="M236" s="3">
        <f>Table15[[#This Row],[Defaulted Principal]]-Table15[[#This Row],[Estimated Loss]]</f>
        <v>0</v>
      </c>
      <c r="N236" s="3">
        <f>IFERROR(VLOOKUP(Table15[[#This Row],[Period]],$L$16:$M$385,2,FALSE),0)</f>
        <v>0</v>
      </c>
      <c r="O236" s="3">
        <f>Table15[[#This Row],[Beginning Balance]]-Table15[[#This Row],[Principal]]-Table15[[#This Row],[Prepayments]]-Table15[[#This Row],[Defaulted Principal]]</f>
        <v>0</v>
      </c>
      <c r="P236" s="3">
        <f>Table15[[#This Row],[Principal]]+Table15[[#This Row],[Interest]]+Table15[[#This Row],[Prepayments]]+Table15[[#This Row],[RecoveredAmount]]</f>
        <v>0</v>
      </c>
      <c r="Q236" s="3">
        <f ca="1">ROUND(Table15[[#This Row],[Cash Flow]]/((1+ActualRateToUse)^(IF(ISNUMBER(SEARCH("Actual",$C$7)),Table15[[#This Row],[Running Total]]/365,Table15[[#This Row],[Period]]/12))),2)</f>
        <v>0</v>
      </c>
      <c r="R236" s="2">
        <f>IF(MONTH(Table15[[#This Row],[Date]])=2,28,DAY(DATE(YEAR(Table15[[#This Row],[Date]]),MONTH(Table15[[#This Row],[Date]])+1,1)-1))</f>
        <v>31</v>
      </c>
      <c r="S236" s="2">
        <f ca="1">SUM(OFFSET(Table15[[#Headers],[Days in month]],1,0):Table15[[#This Row],[Days in month]])</f>
        <v>6693</v>
      </c>
      <c r="T236" s="37">
        <f>InterestRate*AmortizationMultiplier*IF(ISNUMBER(SEARCH("Actual",$C$7)),Table15[[#This Row],[Days in month]]/365,1/12)</f>
        <v>5.8133611111111103E-3</v>
      </c>
    </row>
    <row r="237" spans="2:20" x14ac:dyDescent="0.2">
      <c r="B237" s="1">
        <f t="shared" si="10"/>
        <v>52565</v>
      </c>
      <c r="C237" s="2">
        <f t="shared" si="12"/>
        <v>221</v>
      </c>
      <c r="D237" s="3">
        <f t="shared" si="11"/>
        <v>0</v>
      </c>
      <c r="E237" s="3">
        <f>ROUND(Table15[[#This Row],[Beginning Balance]]*Table15[[#This Row],[Monthly Interest Rate]],2)</f>
        <v>0</v>
      </c>
      <c r="F237" s="3">
        <f t="shared" si="13"/>
        <v>51</v>
      </c>
      <c r="G237" s="23">
        <f>IFERROR(IF($C$13="No","N/A",IF(Table15[[#This Row],[Period]]=1,$C$6,PMT(InterestRate*AmortizationMultiplier/12,Table15[[#This Row],[Am Thru]],-Table15[[#This Row],[Beginning Balance]]))),0)</f>
        <v>0</v>
      </c>
      <c r="H237" s="3">
        <f>MAX(0,IF(C237=$C$4,D237,ROUND(IF($C$3="Fixed Principal",$C$6-Table15[[#This Row],[Interest]],IF($C$3="Interest Only",Table15[[#This Row],[Beginning Balance]]*ROUND(1-(1-IF($C$11="No",$E$8,1))^(1/12),6),MIN(IF($C$13="Yes",Table15[[#This Row],[Payment Amount (Reamortized)]],$C$6)-Table15[[#This Row],[Interest]],Table15[[#This Row],[Beginning Balance]]))),2)))</f>
        <v>0</v>
      </c>
      <c r="I237" s="3">
        <f>_xlfn.SINGLE(IF($C$3="Line of Credit",0,ROUND(MAX(MIN(IF($C$10="No",$E$7,VLOOKUP(Table15[[#This Row],[Period]],Forecast!$H$2:$L$1048576,4,FALSE))*Table15[[#This Row],[Beginning Balance]],Table15[[#This Row],[Beginning Balance]]-Table15[[#This Row],[Principal]]),0),2)))</f>
        <v>0</v>
      </c>
      <c r="J237" s="3">
        <f>ROUND(MIN(Table15[[#This Row],[Beginning Balance]]*IF($C$8="No",$E$3,VLOOKUP(Table15[[#This Row],[Period]],Forecast!$H$2:$L$1048576,2,FALSE)),Table15[[#This Row],[Beginning Balance]]-Table15[[#This Row],[Principal]]-Table15[[#This Row],[Prepayments]]),2)</f>
        <v>0</v>
      </c>
      <c r="K237" s="3">
        <f>ROUND(Table15[[#This Row],[Defaulted Principal]]*IF($C$9="No",$E$4,VLOOKUP(Table15[[#This Row],[Period]],Forecast!$H$2:$L$1048576,3,FALSE)),2)</f>
        <v>0</v>
      </c>
      <c r="L237" s="2">
        <f>Table15[[#This Row],[Period]]+$E$9</f>
        <v>233</v>
      </c>
      <c r="M237" s="3">
        <f>Table15[[#This Row],[Defaulted Principal]]-Table15[[#This Row],[Estimated Loss]]</f>
        <v>0</v>
      </c>
      <c r="N237" s="3">
        <f>IFERROR(VLOOKUP(Table15[[#This Row],[Period]],$L$16:$M$385,2,FALSE),0)</f>
        <v>0</v>
      </c>
      <c r="O237" s="3">
        <f>Table15[[#This Row],[Beginning Balance]]-Table15[[#This Row],[Principal]]-Table15[[#This Row],[Prepayments]]-Table15[[#This Row],[Defaulted Principal]]</f>
        <v>0</v>
      </c>
      <c r="P237" s="3">
        <f>Table15[[#This Row],[Principal]]+Table15[[#This Row],[Interest]]+Table15[[#This Row],[Prepayments]]+Table15[[#This Row],[RecoveredAmount]]</f>
        <v>0</v>
      </c>
      <c r="Q237" s="3">
        <f ca="1">ROUND(Table15[[#This Row],[Cash Flow]]/((1+ActualRateToUse)^(IF(ISNUMBER(SEARCH("Actual",$C$7)),Table15[[#This Row],[Running Total]]/365,Table15[[#This Row],[Period]]/12))),2)</f>
        <v>0</v>
      </c>
      <c r="R237" s="2">
        <f>IF(MONTH(Table15[[#This Row],[Date]])=2,28,DAY(DATE(YEAR(Table15[[#This Row],[Date]]),MONTH(Table15[[#This Row],[Date]])+1,1)-1))</f>
        <v>30</v>
      </c>
      <c r="S237" s="2">
        <f ca="1">SUM(OFFSET(Table15[[#Headers],[Days in month]],1,0):Table15[[#This Row],[Days in month]])</f>
        <v>6723</v>
      </c>
      <c r="T237" s="37">
        <f>InterestRate*AmortizationMultiplier*IF(ISNUMBER(SEARCH("Actual",$C$7)),Table15[[#This Row],[Days in month]]/365,1/12)</f>
        <v>5.6258333333333325E-3</v>
      </c>
    </row>
    <row r="238" spans="2:20" x14ac:dyDescent="0.2">
      <c r="B238" s="1">
        <f t="shared" si="10"/>
        <v>52596</v>
      </c>
      <c r="C238" s="2">
        <f t="shared" si="12"/>
        <v>222</v>
      </c>
      <c r="D238" s="3">
        <f t="shared" si="11"/>
        <v>0</v>
      </c>
      <c r="E238" s="3">
        <f>ROUND(Table15[[#This Row],[Beginning Balance]]*Table15[[#This Row],[Monthly Interest Rate]],2)</f>
        <v>0</v>
      </c>
      <c r="F238" s="3">
        <f t="shared" si="13"/>
        <v>50</v>
      </c>
      <c r="G238" s="23">
        <f>IFERROR(IF($C$13="No","N/A",IF(Table15[[#This Row],[Period]]=1,$C$6,PMT(InterestRate*AmortizationMultiplier/12,Table15[[#This Row],[Am Thru]],-Table15[[#This Row],[Beginning Balance]]))),0)</f>
        <v>0</v>
      </c>
      <c r="H238" s="3">
        <f>MAX(0,IF(C238=$C$4,D238,ROUND(IF($C$3="Fixed Principal",$C$6-Table15[[#This Row],[Interest]],IF($C$3="Interest Only",Table15[[#This Row],[Beginning Balance]]*ROUND(1-(1-IF($C$11="No",$E$8,1))^(1/12),6),MIN(IF($C$13="Yes",Table15[[#This Row],[Payment Amount (Reamortized)]],$C$6)-Table15[[#This Row],[Interest]],Table15[[#This Row],[Beginning Balance]]))),2)))</f>
        <v>0</v>
      </c>
      <c r="I238" s="3">
        <f>_xlfn.SINGLE(IF($C$3="Line of Credit",0,ROUND(MAX(MIN(IF($C$10="No",$E$7,VLOOKUP(Table15[[#This Row],[Period]],Forecast!$H$2:$L$1048576,4,FALSE))*Table15[[#This Row],[Beginning Balance]],Table15[[#This Row],[Beginning Balance]]-Table15[[#This Row],[Principal]]),0),2)))</f>
        <v>0</v>
      </c>
      <c r="J238" s="3">
        <f>ROUND(MIN(Table15[[#This Row],[Beginning Balance]]*IF($C$8="No",$E$3,VLOOKUP(Table15[[#This Row],[Period]],Forecast!$H$2:$L$1048576,2,FALSE)),Table15[[#This Row],[Beginning Balance]]-Table15[[#This Row],[Principal]]-Table15[[#This Row],[Prepayments]]),2)</f>
        <v>0</v>
      </c>
      <c r="K238" s="3">
        <f>ROUND(Table15[[#This Row],[Defaulted Principal]]*IF($C$9="No",$E$4,VLOOKUP(Table15[[#This Row],[Period]],Forecast!$H$2:$L$1048576,3,FALSE)),2)</f>
        <v>0</v>
      </c>
      <c r="L238" s="2">
        <f>Table15[[#This Row],[Period]]+$E$9</f>
        <v>234</v>
      </c>
      <c r="M238" s="3">
        <f>Table15[[#This Row],[Defaulted Principal]]-Table15[[#This Row],[Estimated Loss]]</f>
        <v>0</v>
      </c>
      <c r="N238" s="3">
        <f>IFERROR(VLOOKUP(Table15[[#This Row],[Period]],$L$16:$M$385,2,FALSE),0)</f>
        <v>0</v>
      </c>
      <c r="O238" s="3">
        <f>Table15[[#This Row],[Beginning Balance]]-Table15[[#This Row],[Principal]]-Table15[[#This Row],[Prepayments]]-Table15[[#This Row],[Defaulted Principal]]</f>
        <v>0</v>
      </c>
      <c r="P238" s="3">
        <f>Table15[[#This Row],[Principal]]+Table15[[#This Row],[Interest]]+Table15[[#This Row],[Prepayments]]+Table15[[#This Row],[RecoveredAmount]]</f>
        <v>0</v>
      </c>
      <c r="Q238" s="3">
        <f ca="1">ROUND(Table15[[#This Row],[Cash Flow]]/((1+ActualRateToUse)^(IF(ISNUMBER(SEARCH("Actual",$C$7)),Table15[[#This Row],[Running Total]]/365,Table15[[#This Row],[Period]]/12))),2)</f>
        <v>0</v>
      </c>
      <c r="R238" s="2">
        <f>IF(MONTH(Table15[[#This Row],[Date]])=2,28,DAY(DATE(YEAR(Table15[[#This Row],[Date]]),MONTH(Table15[[#This Row],[Date]])+1,1)-1))</f>
        <v>31</v>
      </c>
      <c r="S238" s="2">
        <f ca="1">SUM(OFFSET(Table15[[#Headers],[Days in month]],1,0):Table15[[#This Row],[Days in month]])</f>
        <v>6754</v>
      </c>
      <c r="T238" s="37">
        <f>InterestRate*AmortizationMultiplier*IF(ISNUMBER(SEARCH("Actual",$C$7)),Table15[[#This Row],[Days in month]]/365,1/12)</f>
        <v>5.8133611111111103E-3</v>
      </c>
    </row>
    <row r="239" spans="2:20" x14ac:dyDescent="0.2">
      <c r="B239" s="1">
        <f t="shared" si="10"/>
        <v>52627</v>
      </c>
      <c r="C239" s="2">
        <f t="shared" si="12"/>
        <v>223</v>
      </c>
      <c r="D239" s="3">
        <f t="shared" si="11"/>
        <v>0</v>
      </c>
      <c r="E239" s="3">
        <f>ROUND(Table15[[#This Row],[Beginning Balance]]*Table15[[#This Row],[Monthly Interest Rate]],2)</f>
        <v>0</v>
      </c>
      <c r="F239" s="3">
        <f t="shared" si="13"/>
        <v>49</v>
      </c>
      <c r="G239" s="23">
        <f>IFERROR(IF($C$13="No","N/A",IF(Table15[[#This Row],[Period]]=1,$C$6,PMT(InterestRate*AmortizationMultiplier/12,Table15[[#This Row],[Am Thru]],-Table15[[#This Row],[Beginning Balance]]))),0)</f>
        <v>0</v>
      </c>
      <c r="H239" s="3">
        <f>MAX(0,IF(C239=$C$4,D239,ROUND(IF($C$3="Fixed Principal",$C$6-Table15[[#This Row],[Interest]],IF($C$3="Interest Only",Table15[[#This Row],[Beginning Balance]]*ROUND(1-(1-IF($C$11="No",$E$8,1))^(1/12),6),MIN(IF($C$13="Yes",Table15[[#This Row],[Payment Amount (Reamortized)]],$C$6)-Table15[[#This Row],[Interest]],Table15[[#This Row],[Beginning Balance]]))),2)))</f>
        <v>0</v>
      </c>
      <c r="I239" s="3">
        <f>_xlfn.SINGLE(IF($C$3="Line of Credit",0,ROUND(MAX(MIN(IF($C$10="No",$E$7,VLOOKUP(Table15[[#This Row],[Period]],Forecast!$H$2:$L$1048576,4,FALSE))*Table15[[#This Row],[Beginning Balance]],Table15[[#This Row],[Beginning Balance]]-Table15[[#This Row],[Principal]]),0),2)))</f>
        <v>0</v>
      </c>
      <c r="J239" s="3">
        <f>ROUND(MIN(Table15[[#This Row],[Beginning Balance]]*IF($C$8="No",$E$3,VLOOKUP(Table15[[#This Row],[Period]],Forecast!$H$2:$L$1048576,2,FALSE)),Table15[[#This Row],[Beginning Balance]]-Table15[[#This Row],[Principal]]-Table15[[#This Row],[Prepayments]]),2)</f>
        <v>0</v>
      </c>
      <c r="K239" s="3">
        <f>ROUND(Table15[[#This Row],[Defaulted Principal]]*IF($C$9="No",$E$4,VLOOKUP(Table15[[#This Row],[Period]],Forecast!$H$2:$L$1048576,3,FALSE)),2)</f>
        <v>0</v>
      </c>
      <c r="L239" s="2">
        <f>Table15[[#This Row],[Period]]+$E$9</f>
        <v>235</v>
      </c>
      <c r="M239" s="3">
        <f>Table15[[#This Row],[Defaulted Principal]]-Table15[[#This Row],[Estimated Loss]]</f>
        <v>0</v>
      </c>
      <c r="N239" s="3">
        <f>IFERROR(VLOOKUP(Table15[[#This Row],[Period]],$L$16:$M$385,2,FALSE),0)</f>
        <v>0</v>
      </c>
      <c r="O239" s="3">
        <f>Table15[[#This Row],[Beginning Balance]]-Table15[[#This Row],[Principal]]-Table15[[#This Row],[Prepayments]]-Table15[[#This Row],[Defaulted Principal]]</f>
        <v>0</v>
      </c>
      <c r="P239" s="3">
        <f>Table15[[#This Row],[Principal]]+Table15[[#This Row],[Interest]]+Table15[[#This Row],[Prepayments]]+Table15[[#This Row],[RecoveredAmount]]</f>
        <v>0</v>
      </c>
      <c r="Q239" s="3">
        <f ca="1">ROUND(Table15[[#This Row],[Cash Flow]]/((1+ActualRateToUse)^(IF(ISNUMBER(SEARCH("Actual",$C$7)),Table15[[#This Row],[Running Total]]/365,Table15[[#This Row],[Period]]/12))),2)</f>
        <v>0</v>
      </c>
      <c r="R239" s="2">
        <f>IF(MONTH(Table15[[#This Row],[Date]])=2,28,DAY(DATE(YEAR(Table15[[#This Row],[Date]]),MONTH(Table15[[#This Row],[Date]])+1,1)-1))</f>
        <v>31</v>
      </c>
      <c r="S239" s="2">
        <f ca="1">SUM(OFFSET(Table15[[#Headers],[Days in month]],1,0):Table15[[#This Row],[Days in month]])</f>
        <v>6785</v>
      </c>
      <c r="T239" s="37">
        <f>InterestRate*AmortizationMultiplier*IF(ISNUMBER(SEARCH("Actual",$C$7)),Table15[[#This Row],[Days in month]]/365,1/12)</f>
        <v>5.8133611111111103E-3</v>
      </c>
    </row>
    <row r="240" spans="2:20" x14ac:dyDescent="0.2">
      <c r="B240" s="1">
        <f t="shared" si="10"/>
        <v>52656</v>
      </c>
      <c r="C240" s="2">
        <f t="shared" si="12"/>
        <v>224</v>
      </c>
      <c r="D240" s="3">
        <f t="shared" si="11"/>
        <v>0</v>
      </c>
      <c r="E240" s="3">
        <f>ROUND(Table15[[#This Row],[Beginning Balance]]*Table15[[#This Row],[Monthly Interest Rate]],2)</f>
        <v>0</v>
      </c>
      <c r="F240" s="3">
        <f t="shared" si="13"/>
        <v>48</v>
      </c>
      <c r="G240" s="23">
        <f>IFERROR(IF($C$13="No","N/A",IF(Table15[[#This Row],[Period]]=1,$C$6,PMT(InterestRate*AmortizationMultiplier/12,Table15[[#This Row],[Am Thru]],-Table15[[#This Row],[Beginning Balance]]))),0)</f>
        <v>0</v>
      </c>
      <c r="H240" s="3">
        <f>MAX(0,IF(C240=$C$4,D240,ROUND(IF($C$3="Fixed Principal",$C$6-Table15[[#This Row],[Interest]],IF($C$3="Interest Only",Table15[[#This Row],[Beginning Balance]]*ROUND(1-(1-IF($C$11="No",$E$8,1))^(1/12),6),MIN(IF($C$13="Yes",Table15[[#This Row],[Payment Amount (Reamortized)]],$C$6)-Table15[[#This Row],[Interest]],Table15[[#This Row],[Beginning Balance]]))),2)))</f>
        <v>0</v>
      </c>
      <c r="I240" s="3">
        <f>_xlfn.SINGLE(IF($C$3="Line of Credit",0,ROUND(MAX(MIN(IF($C$10="No",$E$7,VLOOKUP(Table15[[#This Row],[Period]],Forecast!$H$2:$L$1048576,4,FALSE))*Table15[[#This Row],[Beginning Balance]],Table15[[#This Row],[Beginning Balance]]-Table15[[#This Row],[Principal]]),0),2)))</f>
        <v>0</v>
      </c>
      <c r="J240" s="3">
        <f>ROUND(MIN(Table15[[#This Row],[Beginning Balance]]*IF($C$8="No",$E$3,VLOOKUP(Table15[[#This Row],[Period]],Forecast!$H$2:$L$1048576,2,FALSE)),Table15[[#This Row],[Beginning Balance]]-Table15[[#This Row],[Principal]]-Table15[[#This Row],[Prepayments]]),2)</f>
        <v>0</v>
      </c>
      <c r="K240" s="3">
        <f>ROUND(Table15[[#This Row],[Defaulted Principal]]*IF($C$9="No",$E$4,VLOOKUP(Table15[[#This Row],[Period]],Forecast!$H$2:$L$1048576,3,FALSE)),2)</f>
        <v>0</v>
      </c>
      <c r="L240" s="2">
        <f>Table15[[#This Row],[Period]]+$E$9</f>
        <v>236</v>
      </c>
      <c r="M240" s="3">
        <f>Table15[[#This Row],[Defaulted Principal]]-Table15[[#This Row],[Estimated Loss]]</f>
        <v>0</v>
      </c>
      <c r="N240" s="3">
        <f>IFERROR(VLOOKUP(Table15[[#This Row],[Period]],$L$16:$M$385,2,FALSE),0)</f>
        <v>0</v>
      </c>
      <c r="O240" s="3">
        <f>Table15[[#This Row],[Beginning Balance]]-Table15[[#This Row],[Principal]]-Table15[[#This Row],[Prepayments]]-Table15[[#This Row],[Defaulted Principal]]</f>
        <v>0</v>
      </c>
      <c r="P240" s="3">
        <f>Table15[[#This Row],[Principal]]+Table15[[#This Row],[Interest]]+Table15[[#This Row],[Prepayments]]+Table15[[#This Row],[RecoveredAmount]]</f>
        <v>0</v>
      </c>
      <c r="Q240" s="3">
        <f ca="1">ROUND(Table15[[#This Row],[Cash Flow]]/((1+ActualRateToUse)^(IF(ISNUMBER(SEARCH("Actual",$C$7)),Table15[[#This Row],[Running Total]]/365,Table15[[#This Row],[Period]]/12))),2)</f>
        <v>0</v>
      </c>
      <c r="R240" s="2">
        <f>IF(MONTH(Table15[[#This Row],[Date]])=2,28,DAY(DATE(YEAR(Table15[[#This Row],[Date]]),MONTH(Table15[[#This Row],[Date]])+1,1)-1))</f>
        <v>28</v>
      </c>
      <c r="S240" s="2">
        <f ca="1">SUM(OFFSET(Table15[[#Headers],[Days in month]],1,0):Table15[[#This Row],[Days in month]])</f>
        <v>6813</v>
      </c>
      <c r="T240" s="37">
        <f>InterestRate*AmortizationMultiplier*IF(ISNUMBER(SEARCH("Actual",$C$7)),Table15[[#This Row],[Days in month]]/365,1/12)</f>
        <v>5.2507777777777778E-3</v>
      </c>
    </row>
    <row r="241" spans="2:20" x14ac:dyDescent="0.2">
      <c r="B241" s="1">
        <f t="shared" si="10"/>
        <v>52687</v>
      </c>
      <c r="C241" s="2">
        <f t="shared" si="12"/>
        <v>225</v>
      </c>
      <c r="D241" s="3">
        <f t="shared" si="11"/>
        <v>0</v>
      </c>
      <c r="E241" s="3">
        <f>ROUND(Table15[[#This Row],[Beginning Balance]]*Table15[[#This Row],[Monthly Interest Rate]],2)</f>
        <v>0</v>
      </c>
      <c r="F241" s="3">
        <f t="shared" si="13"/>
        <v>47</v>
      </c>
      <c r="G241" s="23">
        <f>IFERROR(IF($C$13="No","N/A",IF(Table15[[#This Row],[Period]]=1,$C$6,PMT(InterestRate*AmortizationMultiplier/12,Table15[[#This Row],[Am Thru]],-Table15[[#This Row],[Beginning Balance]]))),0)</f>
        <v>0</v>
      </c>
      <c r="H241" s="3">
        <f>MAX(0,IF(C241=$C$4,D241,ROUND(IF($C$3="Fixed Principal",$C$6-Table15[[#This Row],[Interest]],IF($C$3="Interest Only",Table15[[#This Row],[Beginning Balance]]*ROUND(1-(1-IF($C$11="No",$E$8,1))^(1/12),6),MIN(IF($C$13="Yes",Table15[[#This Row],[Payment Amount (Reamortized)]],$C$6)-Table15[[#This Row],[Interest]],Table15[[#This Row],[Beginning Balance]]))),2)))</f>
        <v>0</v>
      </c>
      <c r="I241" s="3">
        <f>_xlfn.SINGLE(IF($C$3="Line of Credit",0,ROUND(MAX(MIN(IF($C$10="No",$E$7,VLOOKUP(Table15[[#This Row],[Period]],Forecast!$H$2:$L$1048576,4,FALSE))*Table15[[#This Row],[Beginning Balance]],Table15[[#This Row],[Beginning Balance]]-Table15[[#This Row],[Principal]]),0),2)))</f>
        <v>0</v>
      </c>
      <c r="J241" s="3">
        <f>ROUND(MIN(Table15[[#This Row],[Beginning Balance]]*IF($C$8="No",$E$3,VLOOKUP(Table15[[#This Row],[Period]],Forecast!$H$2:$L$1048576,2,FALSE)),Table15[[#This Row],[Beginning Balance]]-Table15[[#This Row],[Principal]]-Table15[[#This Row],[Prepayments]]),2)</f>
        <v>0</v>
      </c>
      <c r="K241" s="3">
        <f>ROUND(Table15[[#This Row],[Defaulted Principal]]*IF($C$9="No",$E$4,VLOOKUP(Table15[[#This Row],[Period]],Forecast!$H$2:$L$1048576,3,FALSE)),2)</f>
        <v>0</v>
      </c>
      <c r="L241" s="2">
        <f>Table15[[#This Row],[Period]]+$E$9</f>
        <v>237</v>
      </c>
      <c r="M241" s="3">
        <f>Table15[[#This Row],[Defaulted Principal]]-Table15[[#This Row],[Estimated Loss]]</f>
        <v>0</v>
      </c>
      <c r="N241" s="3">
        <f>IFERROR(VLOOKUP(Table15[[#This Row],[Period]],$L$16:$M$385,2,FALSE),0)</f>
        <v>0</v>
      </c>
      <c r="O241" s="3">
        <f>Table15[[#This Row],[Beginning Balance]]-Table15[[#This Row],[Principal]]-Table15[[#This Row],[Prepayments]]-Table15[[#This Row],[Defaulted Principal]]</f>
        <v>0</v>
      </c>
      <c r="P241" s="3">
        <f>Table15[[#This Row],[Principal]]+Table15[[#This Row],[Interest]]+Table15[[#This Row],[Prepayments]]+Table15[[#This Row],[RecoveredAmount]]</f>
        <v>0</v>
      </c>
      <c r="Q241" s="3">
        <f ca="1">ROUND(Table15[[#This Row],[Cash Flow]]/((1+ActualRateToUse)^(IF(ISNUMBER(SEARCH("Actual",$C$7)),Table15[[#This Row],[Running Total]]/365,Table15[[#This Row],[Period]]/12))),2)</f>
        <v>0</v>
      </c>
      <c r="R241" s="2">
        <f>IF(MONTH(Table15[[#This Row],[Date]])=2,28,DAY(DATE(YEAR(Table15[[#This Row],[Date]]),MONTH(Table15[[#This Row],[Date]])+1,1)-1))</f>
        <v>31</v>
      </c>
      <c r="S241" s="2">
        <f ca="1">SUM(OFFSET(Table15[[#Headers],[Days in month]],1,0):Table15[[#This Row],[Days in month]])</f>
        <v>6844</v>
      </c>
      <c r="T241" s="37">
        <f>InterestRate*AmortizationMultiplier*IF(ISNUMBER(SEARCH("Actual",$C$7)),Table15[[#This Row],[Days in month]]/365,1/12)</f>
        <v>5.8133611111111103E-3</v>
      </c>
    </row>
    <row r="242" spans="2:20" x14ac:dyDescent="0.2">
      <c r="B242" s="1">
        <f t="shared" si="10"/>
        <v>52717</v>
      </c>
      <c r="C242" s="2">
        <f t="shared" si="12"/>
        <v>226</v>
      </c>
      <c r="D242" s="3">
        <f t="shared" si="11"/>
        <v>0</v>
      </c>
      <c r="E242" s="3">
        <f>ROUND(Table15[[#This Row],[Beginning Balance]]*Table15[[#This Row],[Monthly Interest Rate]],2)</f>
        <v>0</v>
      </c>
      <c r="F242" s="3">
        <f t="shared" si="13"/>
        <v>46</v>
      </c>
      <c r="G242" s="23">
        <f>IFERROR(IF($C$13="No","N/A",IF(Table15[[#This Row],[Period]]=1,$C$6,PMT(InterestRate*AmortizationMultiplier/12,Table15[[#This Row],[Am Thru]],-Table15[[#This Row],[Beginning Balance]]))),0)</f>
        <v>0</v>
      </c>
      <c r="H242" s="3">
        <f>MAX(0,IF(C242=$C$4,D242,ROUND(IF($C$3="Fixed Principal",$C$6-Table15[[#This Row],[Interest]],IF($C$3="Interest Only",Table15[[#This Row],[Beginning Balance]]*ROUND(1-(1-IF($C$11="No",$E$8,1))^(1/12),6),MIN(IF($C$13="Yes",Table15[[#This Row],[Payment Amount (Reamortized)]],$C$6)-Table15[[#This Row],[Interest]],Table15[[#This Row],[Beginning Balance]]))),2)))</f>
        <v>0</v>
      </c>
      <c r="I242" s="3">
        <f>_xlfn.SINGLE(IF($C$3="Line of Credit",0,ROUND(MAX(MIN(IF($C$10="No",$E$7,VLOOKUP(Table15[[#This Row],[Period]],Forecast!$H$2:$L$1048576,4,FALSE))*Table15[[#This Row],[Beginning Balance]],Table15[[#This Row],[Beginning Balance]]-Table15[[#This Row],[Principal]]),0),2)))</f>
        <v>0</v>
      </c>
      <c r="J242" s="3">
        <f>ROUND(MIN(Table15[[#This Row],[Beginning Balance]]*IF($C$8="No",$E$3,VLOOKUP(Table15[[#This Row],[Period]],Forecast!$H$2:$L$1048576,2,FALSE)),Table15[[#This Row],[Beginning Balance]]-Table15[[#This Row],[Principal]]-Table15[[#This Row],[Prepayments]]),2)</f>
        <v>0</v>
      </c>
      <c r="K242" s="3">
        <f>ROUND(Table15[[#This Row],[Defaulted Principal]]*IF($C$9="No",$E$4,VLOOKUP(Table15[[#This Row],[Period]],Forecast!$H$2:$L$1048576,3,FALSE)),2)</f>
        <v>0</v>
      </c>
      <c r="L242" s="2">
        <f>Table15[[#This Row],[Period]]+$E$9</f>
        <v>238</v>
      </c>
      <c r="M242" s="3">
        <f>Table15[[#This Row],[Defaulted Principal]]-Table15[[#This Row],[Estimated Loss]]</f>
        <v>0</v>
      </c>
      <c r="N242" s="3">
        <f>IFERROR(VLOOKUP(Table15[[#This Row],[Period]],$L$16:$M$385,2,FALSE),0)</f>
        <v>0</v>
      </c>
      <c r="O242" s="3">
        <f>Table15[[#This Row],[Beginning Balance]]-Table15[[#This Row],[Principal]]-Table15[[#This Row],[Prepayments]]-Table15[[#This Row],[Defaulted Principal]]</f>
        <v>0</v>
      </c>
      <c r="P242" s="3">
        <f>Table15[[#This Row],[Principal]]+Table15[[#This Row],[Interest]]+Table15[[#This Row],[Prepayments]]+Table15[[#This Row],[RecoveredAmount]]</f>
        <v>0</v>
      </c>
      <c r="Q242" s="3">
        <f ca="1">ROUND(Table15[[#This Row],[Cash Flow]]/((1+ActualRateToUse)^(IF(ISNUMBER(SEARCH("Actual",$C$7)),Table15[[#This Row],[Running Total]]/365,Table15[[#This Row],[Period]]/12))),2)</f>
        <v>0</v>
      </c>
      <c r="R242" s="2">
        <f>IF(MONTH(Table15[[#This Row],[Date]])=2,28,DAY(DATE(YEAR(Table15[[#This Row],[Date]]),MONTH(Table15[[#This Row],[Date]])+1,1)-1))</f>
        <v>30</v>
      </c>
      <c r="S242" s="2">
        <f ca="1">SUM(OFFSET(Table15[[#Headers],[Days in month]],1,0):Table15[[#This Row],[Days in month]])</f>
        <v>6874</v>
      </c>
      <c r="T242" s="37">
        <f>InterestRate*AmortizationMultiplier*IF(ISNUMBER(SEARCH("Actual",$C$7)),Table15[[#This Row],[Days in month]]/365,1/12)</f>
        <v>5.6258333333333325E-3</v>
      </c>
    </row>
    <row r="243" spans="2:20" x14ac:dyDescent="0.2">
      <c r="B243" s="1">
        <f t="shared" si="10"/>
        <v>52748</v>
      </c>
      <c r="C243" s="2">
        <f t="shared" si="12"/>
        <v>227</v>
      </c>
      <c r="D243" s="3">
        <f t="shared" si="11"/>
        <v>0</v>
      </c>
      <c r="E243" s="3">
        <f>ROUND(Table15[[#This Row],[Beginning Balance]]*Table15[[#This Row],[Monthly Interest Rate]],2)</f>
        <v>0</v>
      </c>
      <c r="F243" s="3">
        <f t="shared" si="13"/>
        <v>45</v>
      </c>
      <c r="G243" s="23">
        <f>IFERROR(IF($C$13="No","N/A",IF(Table15[[#This Row],[Period]]=1,$C$6,PMT(InterestRate*AmortizationMultiplier/12,Table15[[#This Row],[Am Thru]],-Table15[[#This Row],[Beginning Balance]]))),0)</f>
        <v>0</v>
      </c>
      <c r="H243" s="3">
        <f>MAX(0,IF(C243=$C$4,D243,ROUND(IF($C$3="Fixed Principal",$C$6-Table15[[#This Row],[Interest]],IF($C$3="Interest Only",Table15[[#This Row],[Beginning Balance]]*ROUND(1-(1-IF($C$11="No",$E$8,1))^(1/12),6),MIN(IF($C$13="Yes",Table15[[#This Row],[Payment Amount (Reamortized)]],$C$6)-Table15[[#This Row],[Interest]],Table15[[#This Row],[Beginning Balance]]))),2)))</f>
        <v>0</v>
      </c>
      <c r="I243" s="3">
        <f>_xlfn.SINGLE(IF($C$3="Line of Credit",0,ROUND(MAX(MIN(IF($C$10="No",$E$7,VLOOKUP(Table15[[#This Row],[Period]],Forecast!$H$2:$L$1048576,4,FALSE))*Table15[[#This Row],[Beginning Balance]],Table15[[#This Row],[Beginning Balance]]-Table15[[#This Row],[Principal]]),0),2)))</f>
        <v>0</v>
      </c>
      <c r="J243" s="3">
        <f>ROUND(MIN(Table15[[#This Row],[Beginning Balance]]*IF($C$8="No",$E$3,VLOOKUP(Table15[[#This Row],[Period]],Forecast!$H$2:$L$1048576,2,FALSE)),Table15[[#This Row],[Beginning Balance]]-Table15[[#This Row],[Principal]]-Table15[[#This Row],[Prepayments]]),2)</f>
        <v>0</v>
      </c>
      <c r="K243" s="3">
        <f>ROUND(Table15[[#This Row],[Defaulted Principal]]*IF($C$9="No",$E$4,VLOOKUP(Table15[[#This Row],[Period]],Forecast!$H$2:$L$1048576,3,FALSE)),2)</f>
        <v>0</v>
      </c>
      <c r="L243" s="2">
        <f>Table15[[#This Row],[Period]]+$E$9</f>
        <v>239</v>
      </c>
      <c r="M243" s="3">
        <f>Table15[[#This Row],[Defaulted Principal]]-Table15[[#This Row],[Estimated Loss]]</f>
        <v>0</v>
      </c>
      <c r="N243" s="3">
        <f>IFERROR(VLOOKUP(Table15[[#This Row],[Period]],$L$16:$M$385,2,FALSE),0)</f>
        <v>0</v>
      </c>
      <c r="O243" s="3">
        <f>Table15[[#This Row],[Beginning Balance]]-Table15[[#This Row],[Principal]]-Table15[[#This Row],[Prepayments]]-Table15[[#This Row],[Defaulted Principal]]</f>
        <v>0</v>
      </c>
      <c r="P243" s="3">
        <f>Table15[[#This Row],[Principal]]+Table15[[#This Row],[Interest]]+Table15[[#This Row],[Prepayments]]+Table15[[#This Row],[RecoveredAmount]]</f>
        <v>0</v>
      </c>
      <c r="Q243" s="3">
        <f ca="1">ROUND(Table15[[#This Row],[Cash Flow]]/((1+ActualRateToUse)^(IF(ISNUMBER(SEARCH("Actual",$C$7)),Table15[[#This Row],[Running Total]]/365,Table15[[#This Row],[Period]]/12))),2)</f>
        <v>0</v>
      </c>
      <c r="R243" s="2">
        <f>IF(MONTH(Table15[[#This Row],[Date]])=2,28,DAY(DATE(YEAR(Table15[[#This Row],[Date]]),MONTH(Table15[[#This Row],[Date]])+1,1)-1))</f>
        <v>31</v>
      </c>
      <c r="S243" s="2">
        <f ca="1">SUM(OFFSET(Table15[[#Headers],[Days in month]],1,0):Table15[[#This Row],[Days in month]])</f>
        <v>6905</v>
      </c>
      <c r="T243" s="37">
        <f>InterestRate*AmortizationMultiplier*IF(ISNUMBER(SEARCH("Actual",$C$7)),Table15[[#This Row],[Days in month]]/365,1/12)</f>
        <v>5.8133611111111103E-3</v>
      </c>
    </row>
    <row r="244" spans="2:20" x14ac:dyDescent="0.2">
      <c r="B244" s="1">
        <f t="shared" si="10"/>
        <v>52778</v>
      </c>
      <c r="C244" s="2">
        <f t="shared" si="12"/>
        <v>228</v>
      </c>
      <c r="D244" s="3">
        <f t="shared" si="11"/>
        <v>0</v>
      </c>
      <c r="E244" s="3">
        <f>ROUND(Table15[[#This Row],[Beginning Balance]]*Table15[[#This Row],[Monthly Interest Rate]],2)</f>
        <v>0</v>
      </c>
      <c r="F244" s="3">
        <f t="shared" si="13"/>
        <v>44</v>
      </c>
      <c r="G244" s="23">
        <f>IFERROR(IF($C$13="No","N/A",IF(Table15[[#This Row],[Period]]=1,$C$6,PMT(InterestRate*AmortizationMultiplier/12,Table15[[#This Row],[Am Thru]],-Table15[[#This Row],[Beginning Balance]]))),0)</f>
        <v>0</v>
      </c>
      <c r="H244" s="3">
        <f>MAX(0,IF(C244=$C$4,D244,ROUND(IF($C$3="Fixed Principal",$C$6-Table15[[#This Row],[Interest]],IF($C$3="Interest Only",Table15[[#This Row],[Beginning Balance]]*ROUND(1-(1-IF($C$11="No",$E$8,1))^(1/12),6),MIN(IF($C$13="Yes",Table15[[#This Row],[Payment Amount (Reamortized)]],$C$6)-Table15[[#This Row],[Interest]],Table15[[#This Row],[Beginning Balance]]))),2)))</f>
        <v>0</v>
      </c>
      <c r="I244" s="3">
        <f>_xlfn.SINGLE(IF($C$3="Line of Credit",0,ROUND(MAX(MIN(IF($C$10="No",$E$7,VLOOKUP(Table15[[#This Row],[Period]],Forecast!$H$2:$L$1048576,4,FALSE))*Table15[[#This Row],[Beginning Balance]],Table15[[#This Row],[Beginning Balance]]-Table15[[#This Row],[Principal]]),0),2)))</f>
        <v>0</v>
      </c>
      <c r="J244" s="3">
        <f>ROUND(MIN(Table15[[#This Row],[Beginning Balance]]*IF($C$8="No",$E$3,VLOOKUP(Table15[[#This Row],[Period]],Forecast!$H$2:$L$1048576,2,FALSE)),Table15[[#This Row],[Beginning Balance]]-Table15[[#This Row],[Principal]]-Table15[[#This Row],[Prepayments]]),2)</f>
        <v>0</v>
      </c>
      <c r="K244" s="3">
        <f>ROUND(Table15[[#This Row],[Defaulted Principal]]*IF($C$9="No",$E$4,VLOOKUP(Table15[[#This Row],[Period]],Forecast!$H$2:$L$1048576,3,FALSE)),2)</f>
        <v>0</v>
      </c>
      <c r="L244" s="2">
        <f>Table15[[#This Row],[Period]]+$E$9</f>
        <v>240</v>
      </c>
      <c r="M244" s="3">
        <f>Table15[[#This Row],[Defaulted Principal]]-Table15[[#This Row],[Estimated Loss]]</f>
        <v>0</v>
      </c>
      <c r="N244" s="3">
        <f>IFERROR(VLOOKUP(Table15[[#This Row],[Period]],$L$16:$M$385,2,FALSE),0)</f>
        <v>0</v>
      </c>
      <c r="O244" s="3">
        <f>Table15[[#This Row],[Beginning Balance]]-Table15[[#This Row],[Principal]]-Table15[[#This Row],[Prepayments]]-Table15[[#This Row],[Defaulted Principal]]</f>
        <v>0</v>
      </c>
      <c r="P244" s="3">
        <f>Table15[[#This Row],[Principal]]+Table15[[#This Row],[Interest]]+Table15[[#This Row],[Prepayments]]+Table15[[#This Row],[RecoveredAmount]]</f>
        <v>0</v>
      </c>
      <c r="Q244" s="3">
        <f ca="1">ROUND(Table15[[#This Row],[Cash Flow]]/((1+ActualRateToUse)^(IF(ISNUMBER(SEARCH("Actual",$C$7)),Table15[[#This Row],[Running Total]]/365,Table15[[#This Row],[Period]]/12))),2)</f>
        <v>0</v>
      </c>
      <c r="R244" s="2">
        <f>IF(MONTH(Table15[[#This Row],[Date]])=2,28,DAY(DATE(YEAR(Table15[[#This Row],[Date]]),MONTH(Table15[[#This Row],[Date]])+1,1)-1))</f>
        <v>30</v>
      </c>
      <c r="S244" s="2">
        <f ca="1">SUM(OFFSET(Table15[[#Headers],[Days in month]],1,0):Table15[[#This Row],[Days in month]])</f>
        <v>6935</v>
      </c>
      <c r="T244" s="37">
        <f>InterestRate*AmortizationMultiplier*IF(ISNUMBER(SEARCH("Actual",$C$7)),Table15[[#This Row],[Days in month]]/365,1/12)</f>
        <v>5.6258333333333325E-3</v>
      </c>
    </row>
    <row r="245" spans="2:20" x14ac:dyDescent="0.2">
      <c r="B245" s="1">
        <f t="shared" si="10"/>
        <v>52809</v>
      </c>
      <c r="C245" s="2">
        <f t="shared" si="12"/>
        <v>229</v>
      </c>
      <c r="D245" s="3">
        <f t="shared" si="11"/>
        <v>0</v>
      </c>
      <c r="E245" s="3">
        <f>ROUND(Table15[[#This Row],[Beginning Balance]]*Table15[[#This Row],[Monthly Interest Rate]],2)</f>
        <v>0</v>
      </c>
      <c r="F245" s="3">
        <f t="shared" si="13"/>
        <v>43</v>
      </c>
      <c r="G245" s="23">
        <f>IFERROR(IF($C$13="No","N/A",IF(Table15[[#This Row],[Period]]=1,$C$6,PMT(InterestRate*AmortizationMultiplier/12,Table15[[#This Row],[Am Thru]],-Table15[[#This Row],[Beginning Balance]]))),0)</f>
        <v>0</v>
      </c>
      <c r="H245" s="3">
        <f>MAX(0,IF(C245=$C$4,D245,ROUND(IF($C$3="Fixed Principal",$C$6-Table15[[#This Row],[Interest]],IF($C$3="Interest Only",Table15[[#This Row],[Beginning Balance]]*ROUND(1-(1-IF($C$11="No",$E$8,1))^(1/12),6),MIN(IF($C$13="Yes",Table15[[#This Row],[Payment Amount (Reamortized)]],$C$6)-Table15[[#This Row],[Interest]],Table15[[#This Row],[Beginning Balance]]))),2)))</f>
        <v>0</v>
      </c>
      <c r="I245" s="3">
        <f>_xlfn.SINGLE(IF($C$3="Line of Credit",0,ROUND(MAX(MIN(IF($C$10="No",$E$7,VLOOKUP(Table15[[#This Row],[Period]],Forecast!$H$2:$L$1048576,4,FALSE))*Table15[[#This Row],[Beginning Balance]],Table15[[#This Row],[Beginning Balance]]-Table15[[#This Row],[Principal]]),0),2)))</f>
        <v>0</v>
      </c>
      <c r="J245" s="3">
        <f>ROUND(MIN(Table15[[#This Row],[Beginning Balance]]*IF($C$8="No",$E$3,VLOOKUP(Table15[[#This Row],[Period]],Forecast!$H$2:$L$1048576,2,FALSE)),Table15[[#This Row],[Beginning Balance]]-Table15[[#This Row],[Principal]]-Table15[[#This Row],[Prepayments]]),2)</f>
        <v>0</v>
      </c>
      <c r="K245" s="3">
        <f>ROUND(Table15[[#This Row],[Defaulted Principal]]*IF($C$9="No",$E$4,VLOOKUP(Table15[[#This Row],[Period]],Forecast!$H$2:$L$1048576,3,FALSE)),2)</f>
        <v>0</v>
      </c>
      <c r="L245" s="2">
        <f>Table15[[#This Row],[Period]]+$E$9</f>
        <v>241</v>
      </c>
      <c r="M245" s="3">
        <f>Table15[[#This Row],[Defaulted Principal]]-Table15[[#This Row],[Estimated Loss]]</f>
        <v>0</v>
      </c>
      <c r="N245" s="3">
        <f>IFERROR(VLOOKUP(Table15[[#This Row],[Period]],$L$16:$M$385,2,FALSE),0)</f>
        <v>0</v>
      </c>
      <c r="O245" s="3">
        <f>Table15[[#This Row],[Beginning Balance]]-Table15[[#This Row],[Principal]]-Table15[[#This Row],[Prepayments]]-Table15[[#This Row],[Defaulted Principal]]</f>
        <v>0</v>
      </c>
      <c r="P245" s="3">
        <f>Table15[[#This Row],[Principal]]+Table15[[#This Row],[Interest]]+Table15[[#This Row],[Prepayments]]+Table15[[#This Row],[RecoveredAmount]]</f>
        <v>0</v>
      </c>
      <c r="Q245" s="3">
        <f ca="1">ROUND(Table15[[#This Row],[Cash Flow]]/((1+ActualRateToUse)^(IF(ISNUMBER(SEARCH("Actual",$C$7)),Table15[[#This Row],[Running Total]]/365,Table15[[#This Row],[Period]]/12))),2)</f>
        <v>0</v>
      </c>
      <c r="R245" s="2">
        <f>IF(MONTH(Table15[[#This Row],[Date]])=2,28,DAY(DATE(YEAR(Table15[[#This Row],[Date]]),MONTH(Table15[[#This Row],[Date]])+1,1)-1))</f>
        <v>31</v>
      </c>
      <c r="S245" s="2">
        <f ca="1">SUM(OFFSET(Table15[[#Headers],[Days in month]],1,0):Table15[[#This Row],[Days in month]])</f>
        <v>6966</v>
      </c>
      <c r="T245" s="37">
        <f>InterestRate*AmortizationMultiplier*IF(ISNUMBER(SEARCH("Actual",$C$7)),Table15[[#This Row],[Days in month]]/365,1/12)</f>
        <v>5.8133611111111103E-3</v>
      </c>
    </row>
    <row r="246" spans="2:20" x14ac:dyDescent="0.2">
      <c r="B246" s="1">
        <f t="shared" si="10"/>
        <v>52840</v>
      </c>
      <c r="C246" s="2">
        <f t="shared" si="12"/>
        <v>230</v>
      </c>
      <c r="D246" s="3">
        <f t="shared" si="11"/>
        <v>0</v>
      </c>
      <c r="E246" s="3">
        <f>ROUND(Table15[[#This Row],[Beginning Balance]]*Table15[[#This Row],[Monthly Interest Rate]],2)</f>
        <v>0</v>
      </c>
      <c r="F246" s="3">
        <f t="shared" si="13"/>
        <v>42</v>
      </c>
      <c r="G246" s="23">
        <f>IFERROR(IF($C$13="No","N/A",IF(Table15[[#This Row],[Period]]=1,$C$6,PMT(InterestRate*AmortizationMultiplier/12,Table15[[#This Row],[Am Thru]],-Table15[[#This Row],[Beginning Balance]]))),0)</f>
        <v>0</v>
      </c>
      <c r="H246" s="3">
        <f>MAX(0,IF(C246=$C$4,D246,ROUND(IF($C$3="Fixed Principal",$C$6-Table15[[#This Row],[Interest]],IF($C$3="Interest Only",Table15[[#This Row],[Beginning Balance]]*ROUND(1-(1-IF($C$11="No",$E$8,1))^(1/12),6),MIN(IF($C$13="Yes",Table15[[#This Row],[Payment Amount (Reamortized)]],$C$6)-Table15[[#This Row],[Interest]],Table15[[#This Row],[Beginning Balance]]))),2)))</f>
        <v>0</v>
      </c>
      <c r="I246" s="3">
        <f>_xlfn.SINGLE(IF($C$3="Line of Credit",0,ROUND(MAX(MIN(IF($C$10="No",$E$7,VLOOKUP(Table15[[#This Row],[Period]],Forecast!$H$2:$L$1048576,4,FALSE))*Table15[[#This Row],[Beginning Balance]],Table15[[#This Row],[Beginning Balance]]-Table15[[#This Row],[Principal]]),0),2)))</f>
        <v>0</v>
      </c>
      <c r="J246" s="3">
        <f>ROUND(MIN(Table15[[#This Row],[Beginning Balance]]*IF($C$8="No",$E$3,VLOOKUP(Table15[[#This Row],[Period]],Forecast!$H$2:$L$1048576,2,FALSE)),Table15[[#This Row],[Beginning Balance]]-Table15[[#This Row],[Principal]]-Table15[[#This Row],[Prepayments]]),2)</f>
        <v>0</v>
      </c>
      <c r="K246" s="3">
        <f>ROUND(Table15[[#This Row],[Defaulted Principal]]*IF($C$9="No",$E$4,VLOOKUP(Table15[[#This Row],[Period]],Forecast!$H$2:$L$1048576,3,FALSE)),2)</f>
        <v>0</v>
      </c>
      <c r="L246" s="2">
        <f>Table15[[#This Row],[Period]]+$E$9</f>
        <v>242</v>
      </c>
      <c r="M246" s="3">
        <f>Table15[[#This Row],[Defaulted Principal]]-Table15[[#This Row],[Estimated Loss]]</f>
        <v>0</v>
      </c>
      <c r="N246" s="3">
        <f>IFERROR(VLOOKUP(Table15[[#This Row],[Period]],$L$16:$M$385,2,FALSE),0)</f>
        <v>0</v>
      </c>
      <c r="O246" s="3">
        <f>Table15[[#This Row],[Beginning Balance]]-Table15[[#This Row],[Principal]]-Table15[[#This Row],[Prepayments]]-Table15[[#This Row],[Defaulted Principal]]</f>
        <v>0</v>
      </c>
      <c r="P246" s="3">
        <f>Table15[[#This Row],[Principal]]+Table15[[#This Row],[Interest]]+Table15[[#This Row],[Prepayments]]+Table15[[#This Row],[RecoveredAmount]]</f>
        <v>0</v>
      </c>
      <c r="Q246" s="3">
        <f ca="1">ROUND(Table15[[#This Row],[Cash Flow]]/((1+ActualRateToUse)^(IF(ISNUMBER(SEARCH("Actual",$C$7)),Table15[[#This Row],[Running Total]]/365,Table15[[#This Row],[Period]]/12))),2)</f>
        <v>0</v>
      </c>
      <c r="R246" s="2">
        <f>IF(MONTH(Table15[[#This Row],[Date]])=2,28,DAY(DATE(YEAR(Table15[[#This Row],[Date]]),MONTH(Table15[[#This Row],[Date]])+1,1)-1))</f>
        <v>31</v>
      </c>
      <c r="S246" s="2">
        <f ca="1">SUM(OFFSET(Table15[[#Headers],[Days in month]],1,0):Table15[[#This Row],[Days in month]])</f>
        <v>6997</v>
      </c>
      <c r="T246" s="37">
        <f>InterestRate*AmortizationMultiplier*IF(ISNUMBER(SEARCH("Actual",$C$7)),Table15[[#This Row],[Days in month]]/365,1/12)</f>
        <v>5.8133611111111103E-3</v>
      </c>
    </row>
    <row r="247" spans="2:20" x14ac:dyDescent="0.2">
      <c r="B247" s="1">
        <f t="shared" si="10"/>
        <v>52870</v>
      </c>
      <c r="C247" s="2">
        <f t="shared" si="12"/>
        <v>231</v>
      </c>
      <c r="D247" s="3">
        <f t="shared" si="11"/>
        <v>0</v>
      </c>
      <c r="E247" s="3">
        <f>ROUND(Table15[[#This Row],[Beginning Balance]]*Table15[[#This Row],[Monthly Interest Rate]],2)</f>
        <v>0</v>
      </c>
      <c r="F247" s="3">
        <f t="shared" si="13"/>
        <v>41</v>
      </c>
      <c r="G247" s="23">
        <f>IFERROR(IF($C$13="No","N/A",IF(Table15[[#This Row],[Period]]=1,$C$6,PMT(InterestRate*AmortizationMultiplier/12,Table15[[#This Row],[Am Thru]],-Table15[[#This Row],[Beginning Balance]]))),0)</f>
        <v>0</v>
      </c>
      <c r="H247" s="3">
        <f>MAX(0,IF(C247=$C$4,D247,ROUND(IF($C$3="Fixed Principal",$C$6-Table15[[#This Row],[Interest]],IF($C$3="Interest Only",Table15[[#This Row],[Beginning Balance]]*ROUND(1-(1-IF($C$11="No",$E$8,1))^(1/12),6),MIN(IF($C$13="Yes",Table15[[#This Row],[Payment Amount (Reamortized)]],$C$6)-Table15[[#This Row],[Interest]],Table15[[#This Row],[Beginning Balance]]))),2)))</f>
        <v>0</v>
      </c>
      <c r="I247" s="3">
        <f>_xlfn.SINGLE(IF($C$3="Line of Credit",0,ROUND(MAX(MIN(IF($C$10="No",$E$7,VLOOKUP(Table15[[#This Row],[Period]],Forecast!$H$2:$L$1048576,4,FALSE))*Table15[[#This Row],[Beginning Balance]],Table15[[#This Row],[Beginning Balance]]-Table15[[#This Row],[Principal]]),0),2)))</f>
        <v>0</v>
      </c>
      <c r="J247" s="3">
        <f>ROUND(MIN(Table15[[#This Row],[Beginning Balance]]*IF($C$8="No",$E$3,VLOOKUP(Table15[[#This Row],[Period]],Forecast!$H$2:$L$1048576,2,FALSE)),Table15[[#This Row],[Beginning Balance]]-Table15[[#This Row],[Principal]]-Table15[[#This Row],[Prepayments]]),2)</f>
        <v>0</v>
      </c>
      <c r="K247" s="3">
        <f>ROUND(Table15[[#This Row],[Defaulted Principal]]*IF($C$9="No",$E$4,VLOOKUP(Table15[[#This Row],[Period]],Forecast!$H$2:$L$1048576,3,FALSE)),2)</f>
        <v>0</v>
      </c>
      <c r="L247" s="2">
        <f>Table15[[#This Row],[Period]]+$E$9</f>
        <v>243</v>
      </c>
      <c r="M247" s="3">
        <f>Table15[[#This Row],[Defaulted Principal]]-Table15[[#This Row],[Estimated Loss]]</f>
        <v>0</v>
      </c>
      <c r="N247" s="3">
        <f>IFERROR(VLOOKUP(Table15[[#This Row],[Period]],$L$16:$M$385,2,FALSE),0)</f>
        <v>0</v>
      </c>
      <c r="O247" s="3">
        <f>Table15[[#This Row],[Beginning Balance]]-Table15[[#This Row],[Principal]]-Table15[[#This Row],[Prepayments]]-Table15[[#This Row],[Defaulted Principal]]</f>
        <v>0</v>
      </c>
      <c r="P247" s="3">
        <f>Table15[[#This Row],[Principal]]+Table15[[#This Row],[Interest]]+Table15[[#This Row],[Prepayments]]+Table15[[#This Row],[RecoveredAmount]]</f>
        <v>0</v>
      </c>
      <c r="Q247" s="3">
        <f ca="1">ROUND(Table15[[#This Row],[Cash Flow]]/((1+ActualRateToUse)^(IF(ISNUMBER(SEARCH("Actual",$C$7)),Table15[[#This Row],[Running Total]]/365,Table15[[#This Row],[Period]]/12))),2)</f>
        <v>0</v>
      </c>
      <c r="R247" s="2">
        <f>IF(MONTH(Table15[[#This Row],[Date]])=2,28,DAY(DATE(YEAR(Table15[[#This Row],[Date]]),MONTH(Table15[[#This Row],[Date]])+1,1)-1))</f>
        <v>30</v>
      </c>
      <c r="S247" s="2">
        <f ca="1">SUM(OFFSET(Table15[[#Headers],[Days in month]],1,0):Table15[[#This Row],[Days in month]])</f>
        <v>7027</v>
      </c>
      <c r="T247" s="37">
        <f>InterestRate*AmortizationMultiplier*IF(ISNUMBER(SEARCH("Actual",$C$7)),Table15[[#This Row],[Days in month]]/365,1/12)</f>
        <v>5.6258333333333325E-3</v>
      </c>
    </row>
    <row r="248" spans="2:20" x14ac:dyDescent="0.2">
      <c r="B248" s="1">
        <f t="shared" si="10"/>
        <v>52901</v>
      </c>
      <c r="C248" s="2">
        <f t="shared" si="12"/>
        <v>232</v>
      </c>
      <c r="D248" s="3">
        <f t="shared" si="11"/>
        <v>0</v>
      </c>
      <c r="E248" s="3">
        <f>ROUND(Table15[[#This Row],[Beginning Balance]]*Table15[[#This Row],[Monthly Interest Rate]],2)</f>
        <v>0</v>
      </c>
      <c r="F248" s="3">
        <f t="shared" si="13"/>
        <v>40</v>
      </c>
      <c r="G248" s="23">
        <f>IFERROR(IF($C$13="No","N/A",IF(Table15[[#This Row],[Period]]=1,$C$6,PMT(InterestRate*AmortizationMultiplier/12,Table15[[#This Row],[Am Thru]],-Table15[[#This Row],[Beginning Balance]]))),0)</f>
        <v>0</v>
      </c>
      <c r="H248" s="3">
        <f>MAX(0,IF(C248=$C$4,D248,ROUND(IF($C$3="Fixed Principal",$C$6-Table15[[#This Row],[Interest]],IF($C$3="Interest Only",Table15[[#This Row],[Beginning Balance]]*ROUND(1-(1-IF($C$11="No",$E$8,1))^(1/12),6),MIN(IF($C$13="Yes",Table15[[#This Row],[Payment Amount (Reamortized)]],$C$6)-Table15[[#This Row],[Interest]],Table15[[#This Row],[Beginning Balance]]))),2)))</f>
        <v>0</v>
      </c>
      <c r="I248" s="3">
        <f>_xlfn.SINGLE(IF($C$3="Line of Credit",0,ROUND(MAX(MIN(IF($C$10="No",$E$7,VLOOKUP(Table15[[#This Row],[Period]],Forecast!$H$2:$L$1048576,4,FALSE))*Table15[[#This Row],[Beginning Balance]],Table15[[#This Row],[Beginning Balance]]-Table15[[#This Row],[Principal]]),0),2)))</f>
        <v>0</v>
      </c>
      <c r="J248" s="3">
        <f>ROUND(MIN(Table15[[#This Row],[Beginning Balance]]*IF($C$8="No",$E$3,VLOOKUP(Table15[[#This Row],[Period]],Forecast!$H$2:$L$1048576,2,FALSE)),Table15[[#This Row],[Beginning Balance]]-Table15[[#This Row],[Principal]]-Table15[[#This Row],[Prepayments]]),2)</f>
        <v>0</v>
      </c>
      <c r="K248" s="3">
        <f>ROUND(Table15[[#This Row],[Defaulted Principal]]*IF($C$9="No",$E$4,VLOOKUP(Table15[[#This Row],[Period]],Forecast!$H$2:$L$1048576,3,FALSE)),2)</f>
        <v>0</v>
      </c>
      <c r="L248" s="2">
        <f>Table15[[#This Row],[Period]]+$E$9</f>
        <v>244</v>
      </c>
      <c r="M248" s="3">
        <f>Table15[[#This Row],[Defaulted Principal]]-Table15[[#This Row],[Estimated Loss]]</f>
        <v>0</v>
      </c>
      <c r="N248" s="3">
        <f>IFERROR(VLOOKUP(Table15[[#This Row],[Period]],$L$16:$M$385,2,FALSE),0)</f>
        <v>0</v>
      </c>
      <c r="O248" s="3">
        <f>Table15[[#This Row],[Beginning Balance]]-Table15[[#This Row],[Principal]]-Table15[[#This Row],[Prepayments]]-Table15[[#This Row],[Defaulted Principal]]</f>
        <v>0</v>
      </c>
      <c r="P248" s="3">
        <f>Table15[[#This Row],[Principal]]+Table15[[#This Row],[Interest]]+Table15[[#This Row],[Prepayments]]+Table15[[#This Row],[RecoveredAmount]]</f>
        <v>0</v>
      </c>
      <c r="Q248" s="3">
        <f ca="1">ROUND(Table15[[#This Row],[Cash Flow]]/((1+ActualRateToUse)^(IF(ISNUMBER(SEARCH("Actual",$C$7)),Table15[[#This Row],[Running Total]]/365,Table15[[#This Row],[Period]]/12))),2)</f>
        <v>0</v>
      </c>
      <c r="R248" s="2">
        <f>IF(MONTH(Table15[[#This Row],[Date]])=2,28,DAY(DATE(YEAR(Table15[[#This Row],[Date]]),MONTH(Table15[[#This Row],[Date]])+1,1)-1))</f>
        <v>31</v>
      </c>
      <c r="S248" s="2">
        <f ca="1">SUM(OFFSET(Table15[[#Headers],[Days in month]],1,0):Table15[[#This Row],[Days in month]])</f>
        <v>7058</v>
      </c>
      <c r="T248" s="37">
        <f>InterestRate*AmortizationMultiplier*IF(ISNUMBER(SEARCH("Actual",$C$7)),Table15[[#This Row],[Days in month]]/365,1/12)</f>
        <v>5.8133611111111103E-3</v>
      </c>
    </row>
    <row r="249" spans="2:20" x14ac:dyDescent="0.2">
      <c r="B249" s="1">
        <f t="shared" si="10"/>
        <v>52931</v>
      </c>
      <c r="C249" s="2">
        <f t="shared" si="12"/>
        <v>233</v>
      </c>
      <c r="D249" s="3">
        <f t="shared" si="11"/>
        <v>0</v>
      </c>
      <c r="E249" s="3">
        <f>ROUND(Table15[[#This Row],[Beginning Balance]]*Table15[[#This Row],[Monthly Interest Rate]],2)</f>
        <v>0</v>
      </c>
      <c r="F249" s="3">
        <f t="shared" si="13"/>
        <v>39</v>
      </c>
      <c r="G249" s="23">
        <f>IFERROR(IF($C$13="No","N/A",IF(Table15[[#This Row],[Period]]=1,$C$6,PMT(InterestRate*AmortizationMultiplier/12,Table15[[#This Row],[Am Thru]],-Table15[[#This Row],[Beginning Balance]]))),0)</f>
        <v>0</v>
      </c>
      <c r="H249" s="3">
        <f>MAX(0,IF(C249=$C$4,D249,ROUND(IF($C$3="Fixed Principal",$C$6-Table15[[#This Row],[Interest]],IF($C$3="Interest Only",Table15[[#This Row],[Beginning Balance]]*ROUND(1-(1-IF($C$11="No",$E$8,1))^(1/12),6),MIN(IF($C$13="Yes",Table15[[#This Row],[Payment Amount (Reamortized)]],$C$6)-Table15[[#This Row],[Interest]],Table15[[#This Row],[Beginning Balance]]))),2)))</f>
        <v>0</v>
      </c>
      <c r="I249" s="3">
        <f>_xlfn.SINGLE(IF($C$3="Line of Credit",0,ROUND(MAX(MIN(IF($C$10="No",$E$7,VLOOKUP(Table15[[#This Row],[Period]],Forecast!$H$2:$L$1048576,4,FALSE))*Table15[[#This Row],[Beginning Balance]],Table15[[#This Row],[Beginning Balance]]-Table15[[#This Row],[Principal]]),0),2)))</f>
        <v>0</v>
      </c>
      <c r="J249" s="3">
        <f>ROUND(MIN(Table15[[#This Row],[Beginning Balance]]*IF($C$8="No",$E$3,VLOOKUP(Table15[[#This Row],[Period]],Forecast!$H$2:$L$1048576,2,FALSE)),Table15[[#This Row],[Beginning Balance]]-Table15[[#This Row],[Principal]]-Table15[[#This Row],[Prepayments]]),2)</f>
        <v>0</v>
      </c>
      <c r="K249" s="3">
        <f>ROUND(Table15[[#This Row],[Defaulted Principal]]*IF($C$9="No",$E$4,VLOOKUP(Table15[[#This Row],[Period]],Forecast!$H$2:$L$1048576,3,FALSE)),2)</f>
        <v>0</v>
      </c>
      <c r="L249" s="2">
        <f>Table15[[#This Row],[Period]]+$E$9</f>
        <v>245</v>
      </c>
      <c r="M249" s="3">
        <f>Table15[[#This Row],[Defaulted Principal]]-Table15[[#This Row],[Estimated Loss]]</f>
        <v>0</v>
      </c>
      <c r="N249" s="3">
        <f>IFERROR(VLOOKUP(Table15[[#This Row],[Period]],$L$16:$M$385,2,FALSE),0)</f>
        <v>0</v>
      </c>
      <c r="O249" s="3">
        <f>Table15[[#This Row],[Beginning Balance]]-Table15[[#This Row],[Principal]]-Table15[[#This Row],[Prepayments]]-Table15[[#This Row],[Defaulted Principal]]</f>
        <v>0</v>
      </c>
      <c r="P249" s="3">
        <f>Table15[[#This Row],[Principal]]+Table15[[#This Row],[Interest]]+Table15[[#This Row],[Prepayments]]+Table15[[#This Row],[RecoveredAmount]]</f>
        <v>0</v>
      </c>
      <c r="Q249" s="3">
        <f ca="1">ROUND(Table15[[#This Row],[Cash Flow]]/((1+ActualRateToUse)^(IF(ISNUMBER(SEARCH("Actual",$C$7)),Table15[[#This Row],[Running Total]]/365,Table15[[#This Row],[Period]]/12))),2)</f>
        <v>0</v>
      </c>
      <c r="R249" s="2">
        <f>IF(MONTH(Table15[[#This Row],[Date]])=2,28,DAY(DATE(YEAR(Table15[[#This Row],[Date]]),MONTH(Table15[[#This Row],[Date]])+1,1)-1))</f>
        <v>30</v>
      </c>
      <c r="S249" s="2">
        <f ca="1">SUM(OFFSET(Table15[[#Headers],[Days in month]],1,0):Table15[[#This Row],[Days in month]])</f>
        <v>7088</v>
      </c>
      <c r="T249" s="37">
        <f>InterestRate*AmortizationMultiplier*IF(ISNUMBER(SEARCH("Actual",$C$7)),Table15[[#This Row],[Days in month]]/365,1/12)</f>
        <v>5.6258333333333325E-3</v>
      </c>
    </row>
    <row r="250" spans="2:20" x14ac:dyDescent="0.2">
      <c r="B250" s="1">
        <f t="shared" si="10"/>
        <v>52962</v>
      </c>
      <c r="C250" s="2">
        <f t="shared" si="12"/>
        <v>234</v>
      </c>
      <c r="D250" s="3">
        <f t="shared" si="11"/>
        <v>0</v>
      </c>
      <c r="E250" s="3">
        <f>ROUND(Table15[[#This Row],[Beginning Balance]]*Table15[[#This Row],[Monthly Interest Rate]],2)</f>
        <v>0</v>
      </c>
      <c r="F250" s="3">
        <f t="shared" si="13"/>
        <v>38</v>
      </c>
      <c r="G250" s="23">
        <f>IFERROR(IF($C$13="No","N/A",IF(Table15[[#This Row],[Period]]=1,$C$6,PMT(InterestRate*AmortizationMultiplier/12,Table15[[#This Row],[Am Thru]],-Table15[[#This Row],[Beginning Balance]]))),0)</f>
        <v>0</v>
      </c>
      <c r="H250" s="3">
        <f>MAX(0,IF(C250=$C$4,D250,ROUND(IF($C$3="Fixed Principal",$C$6-Table15[[#This Row],[Interest]],IF($C$3="Interest Only",Table15[[#This Row],[Beginning Balance]]*ROUND(1-(1-IF($C$11="No",$E$8,1))^(1/12),6),MIN(IF($C$13="Yes",Table15[[#This Row],[Payment Amount (Reamortized)]],$C$6)-Table15[[#This Row],[Interest]],Table15[[#This Row],[Beginning Balance]]))),2)))</f>
        <v>0</v>
      </c>
      <c r="I250" s="3">
        <f>_xlfn.SINGLE(IF($C$3="Line of Credit",0,ROUND(MAX(MIN(IF($C$10="No",$E$7,VLOOKUP(Table15[[#This Row],[Period]],Forecast!$H$2:$L$1048576,4,FALSE))*Table15[[#This Row],[Beginning Balance]],Table15[[#This Row],[Beginning Balance]]-Table15[[#This Row],[Principal]]),0),2)))</f>
        <v>0</v>
      </c>
      <c r="J250" s="3">
        <f>ROUND(MIN(Table15[[#This Row],[Beginning Balance]]*IF($C$8="No",$E$3,VLOOKUP(Table15[[#This Row],[Period]],Forecast!$H$2:$L$1048576,2,FALSE)),Table15[[#This Row],[Beginning Balance]]-Table15[[#This Row],[Principal]]-Table15[[#This Row],[Prepayments]]),2)</f>
        <v>0</v>
      </c>
      <c r="K250" s="3">
        <f>ROUND(Table15[[#This Row],[Defaulted Principal]]*IF($C$9="No",$E$4,VLOOKUP(Table15[[#This Row],[Period]],Forecast!$H$2:$L$1048576,3,FALSE)),2)</f>
        <v>0</v>
      </c>
      <c r="L250" s="2">
        <f>Table15[[#This Row],[Period]]+$E$9</f>
        <v>246</v>
      </c>
      <c r="M250" s="3">
        <f>Table15[[#This Row],[Defaulted Principal]]-Table15[[#This Row],[Estimated Loss]]</f>
        <v>0</v>
      </c>
      <c r="N250" s="3">
        <f>IFERROR(VLOOKUP(Table15[[#This Row],[Period]],$L$16:$M$385,2,FALSE),0)</f>
        <v>0</v>
      </c>
      <c r="O250" s="3">
        <f>Table15[[#This Row],[Beginning Balance]]-Table15[[#This Row],[Principal]]-Table15[[#This Row],[Prepayments]]-Table15[[#This Row],[Defaulted Principal]]</f>
        <v>0</v>
      </c>
      <c r="P250" s="3">
        <f>Table15[[#This Row],[Principal]]+Table15[[#This Row],[Interest]]+Table15[[#This Row],[Prepayments]]+Table15[[#This Row],[RecoveredAmount]]</f>
        <v>0</v>
      </c>
      <c r="Q250" s="3">
        <f ca="1">ROUND(Table15[[#This Row],[Cash Flow]]/((1+ActualRateToUse)^(IF(ISNUMBER(SEARCH("Actual",$C$7)),Table15[[#This Row],[Running Total]]/365,Table15[[#This Row],[Period]]/12))),2)</f>
        <v>0</v>
      </c>
      <c r="R250" s="2">
        <f>IF(MONTH(Table15[[#This Row],[Date]])=2,28,DAY(DATE(YEAR(Table15[[#This Row],[Date]]),MONTH(Table15[[#This Row],[Date]])+1,1)-1))</f>
        <v>31</v>
      </c>
      <c r="S250" s="2">
        <f ca="1">SUM(OFFSET(Table15[[#Headers],[Days in month]],1,0):Table15[[#This Row],[Days in month]])</f>
        <v>7119</v>
      </c>
      <c r="T250" s="37">
        <f>InterestRate*AmortizationMultiplier*IF(ISNUMBER(SEARCH("Actual",$C$7)),Table15[[#This Row],[Days in month]]/365,1/12)</f>
        <v>5.8133611111111103E-3</v>
      </c>
    </row>
    <row r="251" spans="2:20" x14ac:dyDescent="0.2">
      <c r="B251" s="1">
        <f t="shared" si="10"/>
        <v>52993</v>
      </c>
      <c r="C251" s="2">
        <f t="shared" si="12"/>
        <v>235</v>
      </c>
      <c r="D251" s="3">
        <f t="shared" si="11"/>
        <v>0</v>
      </c>
      <c r="E251" s="3">
        <f>ROUND(Table15[[#This Row],[Beginning Balance]]*Table15[[#This Row],[Monthly Interest Rate]],2)</f>
        <v>0</v>
      </c>
      <c r="F251" s="3">
        <f t="shared" si="13"/>
        <v>37</v>
      </c>
      <c r="G251" s="23">
        <f>IFERROR(IF($C$13="No","N/A",IF(Table15[[#This Row],[Period]]=1,$C$6,PMT(InterestRate*AmortizationMultiplier/12,Table15[[#This Row],[Am Thru]],-Table15[[#This Row],[Beginning Balance]]))),0)</f>
        <v>0</v>
      </c>
      <c r="H251" s="3">
        <f>MAX(0,IF(C251=$C$4,D251,ROUND(IF($C$3="Fixed Principal",$C$6-Table15[[#This Row],[Interest]],IF($C$3="Interest Only",Table15[[#This Row],[Beginning Balance]]*ROUND(1-(1-IF($C$11="No",$E$8,1))^(1/12),6),MIN(IF($C$13="Yes",Table15[[#This Row],[Payment Amount (Reamortized)]],$C$6)-Table15[[#This Row],[Interest]],Table15[[#This Row],[Beginning Balance]]))),2)))</f>
        <v>0</v>
      </c>
      <c r="I251" s="3">
        <f>_xlfn.SINGLE(IF($C$3="Line of Credit",0,ROUND(MAX(MIN(IF($C$10="No",$E$7,VLOOKUP(Table15[[#This Row],[Period]],Forecast!$H$2:$L$1048576,4,FALSE))*Table15[[#This Row],[Beginning Balance]],Table15[[#This Row],[Beginning Balance]]-Table15[[#This Row],[Principal]]),0),2)))</f>
        <v>0</v>
      </c>
      <c r="J251" s="3">
        <f>ROUND(MIN(Table15[[#This Row],[Beginning Balance]]*IF($C$8="No",$E$3,VLOOKUP(Table15[[#This Row],[Period]],Forecast!$H$2:$L$1048576,2,FALSE)),Table15[[#This Row],[Beginning Balance]]-Table15[[#This Row],[Principal]]-Table15[[#This Row],[Prepayments]]),2)</f>
        <v>0</v>
      </c>
      <c r="K251" s="3">
        <f>ROUND(Table15[[#This Row],[Defaulted Principal]]*IF($C$9="No",$E$4,VLOOKUP(Table15[[#This Row],[Period]],Forecast!$H$2:$L$1048576,3,FALSE)),2)</f>
        <v>0</v>
      </c>
      <c r="L251" s="2">
        <f>Table15[[#This Row],[Period]]+$E$9</f>
        <v>247</v>
      </c>
      <c r="M251" s="3">
        <f>Table15[[#This Row],[Defaulted Principal]]-Table15[[#This Row],[Estimated Loss]]</f>
        <v>0</v>
      </c>
      <c r="N251" s="3">
        <f>IFERROR(VLOOKUP(Table15[[#This Row],[Period]],$L$16:$M$385,2,FALSE),0)</f>
        <v>0</v>
      </c>
      <c r="O251" s="3">
        <f>Table15[[#This Row],[Beginning Balance]]-Table15[[#This Row],[Principal]]-Table15[[#This Row],[Prepayments]]-Table15[[#This Row],[Defaulted Principal]]</f>
        <v>0</v>
      </c>
      <c r="P251" s="3">
        <f>Table15[[#This Row],[Principal]]+Table15[[#This Row],[Interest]]+Table15[[#This Row],[Prepayments]]+Table15[[#This Row],[RecoveredAmount]]</f>
        <v>0</v>
      </c>
      <c r="Q251" s="3">
        <f ca="1">ROUND(Table15[[#This Row],[Cash Flow]]/((1+ActualRateToUse)^(IF(ISNUMBER(SEARCH("Actual",$C$7)),Table15[[#This Row],[Running Total]]/365,Table15[[#This Row],[Period]]/12))),2)</f>
        <v>0</v>
      </c>
      <c r="R251" s="2">
        <f>IF(MONTH(Table15[[#This Row],[Date]])=2,28,DAY(DATE(YEAR(Table15[[#This Row],[Date]]),MONTH(Table15[[#This Row],[Date]])+1,1)-1))</f>
        <v>31</v>
      </c>
      <c r="S251" s="2">
        <f ca="1">SUM(OFFSET(Table15[[#Headers],[Days in month]],1,0):Table15[[#This Row],[Days in month]])</f>
        <v>7150</v>
      </c>
      <c r="T251" s="37">
        <f>InterestRate*AmortizationMultiplier*IF(ISNUMBER(SEARCH("Actual",$C$7)),Table15[[#This Row],[Days in month]]/365,1/12)</f>
        <v>5.8133611111111103E-3</v>
      </c>
    </row>
    <row r="252" spans="2:20" x14ac:dyDescent="0.2">
      <c r="B252" s="1">
        <f t="shared" si="10"/>
        <v>53021</v>
      </c>
      <c r="C252" s="2">
        <f t="shared" si="12"/>
        <v>236</v>
      </c>
      <c r="D252" s="3">
        <f t="shared" si="11"/>
        <v>0</v>
      </c>
      <c r="E252" s="3">
        <f>ROUND(Table15[[#This Row],[Beginning Balance]]*Table15[[#This Row],[Monthly Interest Rate]],2)</f>
        <v>0</v>
      </c>
      <c r="F252" s="3">
        <f t="shared" si="13"/>
        <v>36</v>
      </c>
      <c r="G252" s="23">
        <f>IFERROR(IF($C$13="No","N/A",IF(Table15[[#This Row],[Period]]=1,$C$6,PMT(InterestRate*AmortizationMultiplier/12,Table15[[#This Row],[Am Thru]],-Table15[[#This Row],[Beginning Balance]]))),0)</f>
        <v>0</v>
      </c>
      <c r="H252" s="3">
        <f>MAX(0,IF(C252=$C$4,D252,ROUND(IF($C$3="Fixed Principal",$C$6-Table15[[#This Row],[Interest]],IF($C$3="Interest Only",Table15[[#This Row],[Beginning Balance]]*ROUND(1-(1-IF($C$11="No",$E$8,1))^(1/12),6),MIN(IF($C$13="Yes",Table15[[#This Row],[Payment Amount (Reamortized)]],$C$6)-Table15[[#This Row],[Interest]],Table15[[#This Row],[Beginning Balance]]))),2)))</f>
        <v>0</v>
      </c>
      <c r="I252" s="3">
        <f>_xlfn.SINGLE(IF($C$3="Line of Credit",0,ROUND(MAX(MIN(IF($C$10="No",$E$7,VLOOKUP(Table15[[#This Row],[Period]],Forecast!$H$2:$L$1048576,4,FALSE))*Table15[[#This Row],[Beginning Balance]],Table15[[#This Row],[Beginning Balance]]-Table15[[#This Row],[Principal]]),0),2)))</f>
        <v>0</v>
      </c>
      <c r="J252" s="3">
        <f>ROUND(MIN(Table15[[#This Row],[Beginning Balance]]*IF($C$8="No",$E$3,VLOOKUP(Table15[[#This Row],[Period]],Forecast!$H$2:$L$1048576,2,FALSE)),Table15[[#This Row],[Beginning Balance]]-Table15[[#This Row],[Principal]]-Table15[[#This Row],[Prepayments]]),2)</f>
        <v>0</v>
      </c>
      <c r="K252" s="3">
        <f>ROUND(Table15[[#This Row],[Defaulted Principal]]*IF($C$9="No",$E$4,VLOOKUP(Table15[[#This Row],[Period]],Forecast!$H$2:$L$1048576,3,FALSE)),2)</f>
        <v>0</v>
      </c>
      <c r="L252" s="2">
        <f>Table15[[#This Row],[Period]]+$E$9</f>
        <v>248</v>
      </c>
      <c r="M252" s="3">
        <f>Table15[[#This Row],[Defaulted Principal]]-Table15[[#This Row],[Estimated Loss]]</f>
        <v>0</v>
      </c>
      <c r="N252" s="3">
        <f>IFERROR(VLOOKUP(Table15[[#This Row],[Period]],$L$16:$M$385,2,FALSE),0)</f>
        <v>0</v>
      </c>
      <c r="O252" s="3">
        <f>Table15[[#This Row],[Beginning Balance]]-Table15[[#This Row],[Principal]]-Table15[[#This Row],[Prepayments]]-Table15[[#This Row],[Defaulted Principal]]</f>
        <v>0</v>
      </c>
      <c r="P252" s="3">
        <f>Table15[[#This Row],[Principal]]+Table15[[#This Row],[Interest]]+Table15[[#This Row],[Prepayments]]+Table15[[#This Row],[RecoveredAmount]]</f>
        <v>0</v>
      </c>
      <c r="Q252" s="3">
        <f ca="1">ROUND(Table15[[#This Row],[Cash Flow]]/((1+ActualRateToUse)^(IF(ISNUMBER(SEARCH("Actual",$C$7)),Table15[[#This Row],[Running Total]]/365,Table15[[#This Row],[Period]]/12))),2)</f>
        <v>0</v>
      </c>
      <c r="R252" s="2">
        <f>IF(MONTH(Table15[[#This Row],[Date]])=2,28,DAY(DATE(YEAR(Table15[[#This Row],[Date]]),MONTH(Table15[[#This Row],[Date]])+1,1)-1))</f>
        <v>28</v>
      </c>
      <c r="S252" s="2">
        <f ca="1">SUM(OFFSET(Table15[[#Headers],[Days in month]],1,0):Table15[[#This Row],[Days in month]])</f>
        <v>7178</v>
      </c>
      <c r="T252" s="37">
        <f>InterestRate*AmortizationMultiplier*IF(ISNUMBER(SEARCH("Actual",$C$7)),Table15[[#This Row],[Days in month]]/365,1/12)</f>
        <v>5.2507777777777778E-3</v>
      </c>
    </row>
    <row r="253" spans="2:20" x14ac:dyDescent="0.2">
      <c r="B253" s="1">
        <f t="shared" si="10"/>
        <v>53052</v>
      </c>
      <c r="C253" s="2">
        <f t="shared" si="12"/>
        <v>237</v>
      </c>
      <c r="D253" s="3">
        <f t="shared" si="11"/>
        <v>0</v>
      </c>
      <c r="E253" s="3">
        <f>ROUND(Table15[[#This Row],[Beginning Balance]]*Table15[[#This Row],[Monthly Interest Rate]],2)</f>
        <v>0</v>
      </c>
      <c r="F253" s="3">
        <f t="shared" si="13"/>
        <v>35</v>
      </c>
      <c r="G253" s="23">
        <f>IFERROR(IF($C$13="No","N/A",IF(Table15[[#This Row],[Period]]=1,$C$6,PMT(InterestRate*AmortizationMultiplier/12,Table15[[#This Row],[Am Thru]],-Table15[[#This Row],[Beginning Balance]]))),0)</f>
        <v>0</v>
      </c>
      <c r="H253" s="3">
        <f>MAX(0,IF(C253=$C$4,D253,ROUND(IF($C$3="Fixed Principal",$C$6-Table15[[#This Row],[Interest]],IF($C$3="Interest Only",Table15[[#This Row],[Beginning Balance]]*ROUND(1-(1-IF($C$11="No",$E$8,1))^(1/12),6),MIN(IF($C$13="Yes",Table15[[#This Row],[Payment Amount (Reamortized)]],$C$6)-Table15[[#This Row],[Interest]],Table15[[#This Row],[Beginning Balance]]))),2)))</f>
        <v>0</v>
      </c>
      <c r="I253" s="3">
        <f>_xlfn.SINGLE(IF($C$3="Line of Credit",0,ROUND(MAX(MIN(IF($C$10="No",$E$7,VLOOKUP(Table15[[#This Row],[Period]],Forecast!$H$2:$L$1048576,4,FALSE))*Table15[[#This Row],[Beginning Balance]],Table15[[#This Row],[Beginning Balance]]-Table15[[#This Row],[Principal]]),0),2)))</f>
        <v>0</v>
      </c>
      <c r="J253" s="3">
        <f>ROUND(MIN(Table15[[#This Row],[Beginning Balance]]*IF($C$8="No",$E$3,VLOOKUP(Table15[[#This Row],[Period]],Forecast!$H$2:$L$1048576,2,FALSE)),Table15[[#This Row],[Beginning Balance]]-Table15[[#This Row],[Principal]]-Table15[[#This Row],[Prepayments]]),2)</f>
        <v>0</v>
      </c>
      <c r="K253" s="3">
        <f>ROUND(Table15[[#This Row],[Defaulted Principal]]*IF($C$9="No",$E$4,VLOOKUP(Table15[[#This Row],[Period]],Forecast!$H$2:$L$1048576,3,FALSE)),2)</f>
        <v>0</v>
      </c>
      <c r="L253" s="2">
        <f>Table15[[#This Row],[Period]]+$E$9</f>
        <v>249</v>
      </c>
      <c r="M253" s="3">
        <f>Table15[[#This Row],[Defaulted Principal]]-Table15[[#This Row],[Estimated Loss]]</f>
        <v>0</v>
      </c>
      <c r="N253" s="3">
        <f>IFERROR(VLOOKUP(Table15[[#This Row],[Period]],$L$16:$M$385,2,FALSE),0)</f>
        <v>0</v>
      </c>
      <c r="O253" s="3">
        <f>Table15[[#This Row],[Beginning Balance]]-Table15[[#This Row],[Principal]]-Table15[[#This Row],[Prepayments]]-Table15[[#This Row],[Defaulted Principal]]</f>
        <v>0</v>
      </c>
      <c r="P253" s="3">
        <f>Table15[[#This Row],[Principal]]+Table15[[#This Row],[Interest]]+Table15[[#This Row],[Prepayments]]+Table15[[#This Row],[RecoveredAmount]]</f>
        <v>0</v>
      </c>
      <c r="Q253" s="3">
        <f ca="1">ROUND(Table15[[#This Row],[Cash Flow]]/((1+ActualRateToUse)^(IF(ISNUMBER(SEARCH("Actual",$C$7)),Table15[[#This Row],[Running Total]]/365,Table15[[#This Row],[Period]]/12))),2)</f>
        <v>0</v>
      </c>
      <c r="R253" s="2">
        <f>IF(MONTH(Table15[[#This Row],[Date]])=2,28,DAY(DATE(YEAR(Table15[[#This Row],[Date]]),MONTH(Table15[[#This Row],[Date]])+1,1)-1))</f>
        <v>31</v>
      </c>
      <c r="S253" s="2">
        <f ca="1">SUM(OFFSET(Table15[[#Headers],[Days in month]],1,0):Table15[[#This Row],[Days in month]])</f>
        <v>7209</v>
      </c>
      <c r="T253" s="37">
        <f>InterestRate*AmortizationMultiplier*IF(ISNUMBER(SEARCH("Actual",$C$7)),Table15[[#This Row],[Days in month]]/365,1/12)</f>
        <v>5.8133611111111103E-3</v>
      </c>
    </row>
    <row r="254" spans="2:20" x14ac:dyDescent="0.2">
      <c r="B254" s="1">
        <f t="shared" si="10"/>
        <v>53082</v>
      </c>
      <c r="C254" s="2">
        <f t="shared" si="12"/>
        <v>238</v>
      </c>
      <c r="D254" s="3">
        <f t="shared" si="11"/>
        <v>0</v>
      </c>
      <c r="E254" s="3">
        <f>ROUND(Table15[[#This Row],[Beginning Balance]]*Table15[[#This Row],[Monthly Interest Rate]],2)</f>
        <v>0</v>
      </c>
      <c r="F254" s="3">
        <f t="shared" si="13"/>
        <v>34</v>
      </c>
      <c r="G254" s="23">
        <f>IFERROR(IF($C$13="No","N/A",IF(Table15[[#This Row],[Period]]=1,$C$6,PMT(InterestRate*AmortizationMultiplier/12,Table15[[#This Row],[Am Thru]],-Table15[[#This Row],[Beginning Balance]]))),0)</f>
        <v>0</v>
      </c>
      <c r="H254" s="3">
        <f>MAX(0,IF(C254=$C$4,D254,ROUND(IF($C$3="Fixed Principal",$C$6-Table15[[#This Row],[Interest]],IF($C$3="Interest Only",Table15[[#This Row],[Beginning Balance]]*ROUND(1-(1-IF($C$11="No",$E$8,1))^(1/12),6),MIN(IF($C$13="Yes",Table15[[#This Row],[Payment Amount (Reamortized)]],$C$6)-Table15[[#This Row],[Interest]],Table15[[#This Row],[Beginning Balance]]))),2)))</f>
        <v>0</v>
      </c>
      <c r="I254" s="3">
        <f>_xlfn.SINGLE(IF($C$3="Line of Credit",0,ROUND(MAX(MIN(IF($C$10="No",$E$7,VLOOKUP(Table15[[#This Row],[Period]],Forecast!$H$2:$L$1048576,4,FALSE))*Table15[[#This Row],[Beginning Balance]],Table15[[#This Row],[Beginning Balance]]-Table15[[#This Row],[Principal]]),0),2)))</f>
        <v>0</v>
      </c>
      <c r="J254" s="3">
        <f>ROUND(MIN(Table15[[#This Row],[Beginning Balance]]*IF($C$8="No",$E$3,VLOOKUP(Table15[[#This Row],[Period]],Forecast!$H$2:$L$1048576,2,FALSE)),Table15[[#This Row],[Beginning Balance]]-Table15[[#This Row],[Principal]]-Table15[[#This Row],[Prepayments]]),2)</f>
        <v>0</v>
      </c>
      <c r="K254" s="3">
        <f>ROUND(Table15[[#This Row],[Defaulted Principal]]*IF($C$9="No",$E$4,VLOOKUP(Table15[[#This Row],[Period]],Forecast!$H$2:$L$1048576,3,FALSE)),2)</f>
        <v>0</v>
      </c>
      <c r="L254" s="2">
        <f>Table15[[#This Row],[Period]]+$E$9</f>
        <v>250</v>
      </c>
      <c r="M254" s="3">
        <f>Table15[[#This Row],[Defaulted Principal]]-Table15[[#This Row],[Estimated Loss]]</f>
        <v>0</v>
      </c>
      <c r="N254" s="3">
        <f>IFERROR(VLOOKUP(Table15[[#This Row],[Period]],$L$16:$M$385,2,FALSE),0)</f>
        <v>0</v>
      </c>
      <c r="O254" s="3">
        <f>Table15[[#This Row],[Beginning Balance]]-Table15[[#This Row],[Principal]]-Table15[[#This Row],[Prepayments]]-Table15[[#This Row],[Defaulted Principal]]</f>
        <v>0</v>
      </c>
      <c r="P254" s="3">
        <f>Table15[[#This Row],[Principal]]+Table15[[#This Row],[Interest]]+Table15[[#This Row],[Prepayments]]+Table15[[#This Row],[RecoveredAmount]]</f>
        <v>0</v>
      </c>
      <c r="Q254" s="3">
        <f ca="1">ROUND(Table15[[#This Row],[Cash Flow]]/((1+ActualRateToUse)^(IF(ISNUMBER(SEARCH("Actual",$C$7)),Table15[[#This Row],[Running Total]]/365,Table15[[#This Row],[Period]]/12))),2)</f>
        <v>0</v>
      </c>
      <c r="R254" s="2">
        <f>IF(MONTH(Table15[[#This Row],[Date]])=2,28,DAY(DATE(YEAR(Table15[[#This Row],[Date]]),MONTH(Table15[[#This Row],[Date]])+1,1)-1))</f>
        <v>30</v>
      </c>
      <c r="S254" s="2">
        <f ca="1">SUM(OFFSET(Table15[[#Headers],[Days in month]],1,0):Table15[[#This Row],[Days in month]])</f>
        <v>7239</v>
      </c>
      <c r="T254" s="37">
        <f>InterestRate*AmortizationMultiplier*IF(ISNUMBER(SEARCH("Actual",$C$7)),Table15[[#This Row],[Days in month]]/365,1/12)</f>
        <v>5.6258333333333325E-3</v>
      </c>
    </row>
    <row r="255" spans="2:20" x14ac:dyDescent="0.2">
      <c r="B255" s="1">
        <f t="shared" si="10"/>
        <v>53113</v>
      </c>
      <c r="C255" s="2">
        <f t="shared" si="12"/>
        <v>239</v>
      </c>
      <c r="D255" s="3">
        <f t="shared" si="11"/>
        <v>0</v>
      </c>
      <c r="E255" s="3">
        <f>ROUND(Table15[[#This Row],[Beginning Balance]]*Table15[[#This Row],[Monthly Interest Rate]],2)</f>
        <v>0</v>
      </c>
      <c r="F255" s="3">
        <f t="shared" si="13"/>
        <v>33</v>
      </c>
      <c r="G255" s="23">
        <f>IFERROR(IF($C$13="No","N/A",IF(Table15[[#This Row],[Period]]=1,$C$6,PMT(InterestRate*AmortizationMultiplier/12,Table15[[#This Row],[Am Thru]],-Table15[[#This Row],[Beginning Balance]]))),0)</f>
        <v>0</v>
      </c>
      <c r="H255" s="3">
        <f>MAX(0,IF(C255=$C$4,D255,ROUND(IF($C$3="Fixed Principal",$C$6-Table15[[#This Row],[Interest]],IF($C$3="Interest Only",Table15[[#This Row],[Beginning Balance]]*ROUND(1-(1-IF($C$11="No",$E$8,1))^(1/12),6),MIN(IF($C$13="Yes",Table15[[#This Row],[Payment Amount (Reamortized)]],$C$6)-Table15[[#This Row],[Interest]],Table15[[#This Row],[Beginning Balance]]))),2)))</f>
        <v>0</v>
      </c>
      <c r="I255" s="3">
        <f>_xlfn.SINGLE(IF($C$3="Line of Credit",0,ROUND(MAX(MIN(IF($C$10="No",$E$7,VLOOKUP(Table15[[#This Row],[Period]],Forecast!$H$2:$L$1048576,4,FALSE))*Table15[[#This Row],[Beginning Balance]],Table15[[#This Row],[Beginning Balance]]-Table15[[#This Row],[Principal]]),0),2)))</f>
        <v>0</v>
      </c>
      <c r="J255" s="3">
        <f>ROUND(MIN(Table15[[#This Row],[Beginning Balance]]*IF($C$8="No",$E$3,VLOOKUP(Table15[[#This Row],[Period]],Forecast!$H$2:$L$1048576,2,FALSE)),Table15[[#This Row],[Beginning Balance]]-Table15[[#This Row],[Principal]]-Table15[[#This Row],[Prepayments]]),2)</f>
        <v>0</v>
      </c>
      <c r="K255" s="3">
        <f>ROUND(Table15[[#This Row],[Defaulted Principal]]*IF($C$9="No",$E$4,VLOOKUP(Table15[[#This Row],[Period]],Forecast!$H$2:$L$1048576,3,FALSE)),2)</f>
        <v>0</v>
      </c>
      <c r="L255" s="2">
        <f>Table15[[#This Row],[Period]]+$E$9</f>
        <v>251</v>
      </c>
      <c r="M255" s="3">
        <f>Table15[[#This Row],[Defaulted Principal]]-Table15[[#This Row],[Estimated Loss]]</f>
        <v>0</v>
      </c>
      <c r="N255" s="3">
        <f>IFERROR(VLOOKUP(Table15[[#This Row],[Period]],$L$16:$M$385,2,FALSE),0)</f>
        <v>0</v>
      </c>
      <c r="O255" s="3">
        <f>Table15[[#This Row],[Beginning Balance]]-Table15[[#This Row],[Principal]]-Table15[[#This Row],[Prepayments]]-Table15[[#This Row],[Defaulted Principal]]</f>
        <v>0</v>
      </c>
      <c r="P255" s="3">
        <f>Table15[[#This Row],[Principal]]+Table15[[#This Row],[Interest]]+Table15[[#This Row],[Prepayments]]+Table15[[#This Row],[RecoveredAmount]]</f>
        <v>0</v>
      </c>
      <c r="Q255" s="3">
        <f ca="1">ROUND(Table15[[#This Row],[Cash Flow]]/((1+ActualRateToUse)^(IF(ISNUMBER(SEARCH("Actual",$C$7)),Table15[[#This Row],[Running Total]]/365,Table15[[#This Row],[Period]]/12))),2)</f>
        <v>0</v>
      </c>
      <c r="R255" s="2">
        <f>IF(MONTH(Table15[[#This Row],[Date]])=2,28,DAY(DATE(YEAR(Table15[[#This Row],[Date]]),MONTH(Table15[[#This Row],[Date]])+1,1)-1))</f>
        <v>31</v>
      </c>
      <c r="S255" s="2">
        <f ca="1">SUM(OFFSET(Table15[[#Headers],[Days in month]],1,0):Table15[[#This Row],[Days in month]])</f>
        <v>7270</v>
      </c>
      <c r="T255" s="37">
        <f>InterestRate*AmortizationMultiplier*IF(ISNUMBER(SEARCH("Actual",$C$7)),Table15[[#This Row],[Days in month]]/365,1/12)</f>
        <v>5.8133611111111103E-3</v>
      </c>
    </row>
    <row r="256" spans="2:20" x14ac:dyDescent="0.2">
      <c r="B256" s="1">
        <f t="shared" si="10"/>
        <v>53143</v>
      </c>
      <c r="C256" s="2">
        <f t="shared" si="12"/>
        <v>240</v>
      </c>
      <c r="D256" s="3">
        <f t="shared" si="11"/>
        <v>0</v>
      </c>
      <c r="E256" s="3">
        <f>ROUND(Table15[[#This Row],[Beginning Balance]]*Table15[[#This Row],[Monthly Interest Rate]],2)</f>
        <v>0</v>
      </c>
      <c r="F256" s="3">
        <f t="shared" si="13"/>
        <v>32</v>
      </c>
      <c r="G256" s="23">
        <f>IFERROR(IF($C$13="No","N/A",IF(Table15[[#This Row],[Period]]=1,$C$6,PMT(InterestRate*AmortizationMultiplier/12,Table15[[#This Row],[Am Thru]],-Table15[[#This Row],[Beginning Balance]]))),0)</f>
        <v>0</v>
      </c>
      <c r="H256" s="3">
        <f>MAX(0,IF(C256=$C$4,D256,ROUND(IF($C$3="Fixed Principal",$C$6-Table15[[#This Row],[Interest]],IF($C$3="Interest Only",Table15[[#This Row],[Beginning Balance]]*ROUND(1-(1-IF($C$11="No",$E$8,1))^(1/12),6),MIN(IF($C$13="Yes",Table15[[#This Row],[Payment Amount (Reamortized)]],$C$6)-Table15[[#This Row],[Interest]],Table15[[#This Row],[Beginning Balance]]))),2)))</f>
        <v>0</v>
      </c>
      <c r="I256" s="3">
        <f>_xlfn.SINGLE(IF($C$3="Line of Credit",0,ROUND(MAX(MIN(IF($C$10="No",$E$7,VLOOKUP(Table15[[#This Row],[Period]],Forecast!$H$2:$L$1048576,4,FALSE))*Table15[[#This Row],[Beginning Balance]],Table15[[#This Row],[Beginning Balance]]-Table15[[#This Row],[Principal]]),0),2)))</f>
        <v>0</v>
      </c>
      <c r="J256" s="3">
        <f>ROUND(MIN(Table15[[#This Row],[Beginning Balance]]*IF($C$8="No",$E$3,VLOOKUP(Table15[[#This Row],[Period]],Forecast!$H$2:$L$1048576,2,FALSE)),Table15[[#This Row],[Beginning Balance]]-Table15[[#This Row],[Principal]]-Table15[[#This Row],[Prepayments]]),2)</f>
        <v>0</v>
      </c>
      <c r="K256" s="3">
        <f>ROUND(Table15[[#This Row],[Defaulted Principal]]*IF($C$9="No",$E$4,VLOOKUP(Table15[[#This Row],[Period]],Forecast!$H$2:$L$1048576,3,FALSE)),2)</f>
        <v>0</v>
      </c>
      <c r="L256" s="2">
        <f>Table15[[#This Row],[Period]]+$E$9</f>
        <v>252</v>
      </c>
      <c r="M256" s="3">
        <f>Table15[[#This Row],[Defaulted Principal]]-Table15[[#This Row],[Estimated Loss]]</f>
        <v>0</v>
      </c>
      <c r="N256" s="3">
        <f>IFERROR(VLOOKUP(Table15[[#This Row],[Period]],$L$16:$M$385,2,FALSE),0)</f>
        <v>0</v>
      </c>
      <c r="O256" s="3">
        <f>Table15[[#This Row],[Beginning Balance]]-Table15[[#This Row],[Principal]]-Table15[[#This Row],[Prepayments]]-Table15[[#This Row],[Defaulted Principal]]</f>
        <v>0</v>
      </c>
      <c r="P256" s="3">
        <f>Table15[[#This Row],[Principal]]+Table15[[#This Row],[Interest]]+Table15[[#This Row],[Prepayments]]+Table15[[#This Row],[RecoveredAmount]]</f>
        <v>0</v>
      </c>
      <c r="Q256" s="3">
        <f ca="1">ROUND(Table15[[#This Row],[Cash Flow]]/((1+ActualRateToUse)^(IF(ISNUMBER(SEARCH("Actual",$C$7)),Table15[[#This Row],[Running Total]]/365,Table15[[#This Row],[Period]]/12))),2)</f>
        <v>0</v>
      </c>
      <c r="R256" s="2">
        <f>IF(MONTH(Table15[[#This Row],[Date]])=2,28,DAY(DATE(YEAR(Table15[[#This Row],[Date]]),MONTH(Table15[[#This Row],[Date]])+1,1)-1))</f>
        <v>30</v>
      </c>
      <c r="S256" s="2">
        <f ca="1">SUM(OFFSET(Table15[[#Headers],[Days in month]],1,0):Table15[[#This Row],[Days in month]])</f>
        <v>7300</v>
      </c>
      <c r="T256" s="37">
        <f>InterestRate*AmortizationMultiplier*IF(ISNUMBER(SEARCH("Actual",$C$7)),Table15[[#This Row],[Days in month]]/365,1/12)</f>
        <v>5.6258333333333325E-3</v>
      </c>
    </row>
    <row r="257" spans="2:20" x14ac:dyDescent="0.2">
      <c r="B257" s="1">
        <f t="shared" si="10"/>
        <v>53174</v>
      </c>
      <c r="C257" s="2">
        <f t="shared" si="12"/>
        <v>241</v>
      </c>
      <c r="D257" s="3">
        <f t="shared" si="11"/>
        <v>0</v>
      </c>
      <c r="E257" s="3">
        <f>ROUND(Table15[[#This Row],[Beginning Balance]]*Table15[[#This Row],[Monthly Interest Rate]],2)</f>
        <v>0</v>
      </c>
      <c r="F257" s="3">
        <f t="shared" si="13"/>
        <v>31</v>
      </c>
      <c r="G257" s="23">
        <f>IFERROR(IF($C$13="No","N/A",IF(Table15[[#This Row],[Period]]=1,$C$6,PMT(InterestRate*AmortizationMultiplier/12,Table15[[#This Row],[Am Thru]],-Table15[[#This Row],[Beginning Balance]]))),0)</f>
        <v>0</v>
      </c>
      <c r="H257" s="3">
        <f>MAX(0,IF(C257=$C$4,D257,ROUND(IF($C$3="Fixed Principal",$C$6-Table15[[#This Row],[Interest]],IF($C$3="Interest Only",Table15[[#This Row],[Beginning Balance]]*ROUND(1-(1-IF($C$11="No",$E$8,1))^(1/12),6),MIN(IF($C$13="Yes",Table15[[#This Row],[Payment Amount (Reamortized)]],$C$6)-Table15[[#This Row],[Interest]],Table15[[#This Row],[Beginning Balance]]))),2)))</f>
        <v>0</v>
      </c>
      <c r="I257" s="3">
        <f>_xlfn.SINGLE(IF($C$3="Line of Credit",0,ROUND(MAX(MIN(IF($C$10="No",$E$7,VLOOKUP(Table15[[#This Row],[Period]],Forecast!$H$2:$L$1048576,4,FALSE))*Table15[[#This Row],[Beginning Balance]],Table15[[#This Row],[Beginning Balance]]-Table15[[#This Row],[Principal]]),0),2)))</f>
        <v>0</v>
      </c>
      <c r="J257" s="3">
        <f>ROUND(MIN(Table15[[#This Row],[Beginning Balance]]*IF($C$8="No",$E$3,VLOOKUP(Table15[[#This Row],[Period]],Forecast!$H$2:$L$1048576,2,FALSE)),Table15[[#This Row],[Beginning Balance]]-Table15[[#This Row],[Principal]]-Table15[[#This Row],[Prepayments]]),2)</f>
        <v>0</v>
      </c>
      <c r="K257" s="3">
        <f>ROUND(Table15[[#This Row],[Defaulted Principal]]*IF($C$9="No",$E$4,VLOOKUP(Table15[[#This Row],[Period]],Forecast!$H$2:$L$1048576,3,FALSE)),2)</f>
        <v>0</v>
      </c>
      <c r="L257" s="2">
        <f>Table15[[#This Row],[Period]]+$E$9</f>
        <v>253</v>
      </c>
      <c r="M257" s="3">
        <f>Table15[[#This Row],[Defaulted Principal]]-Table15[[#This Row],[Estimated Loss]]</f>
        <v>0</v>
      </c>
      <c r="N257" s="3">
        <f>IFERROR(VLOOKUP(Table15[[#This Row],[Period]],$L$16:$M$385,2,FALSE),0)</f>
        <v>0</v>
      </c>
      <c r="O257" s="3">
        <f>Table15[[#This Row],[Beginning Balance]]-Table15[[#This Row],[Principal]]-Table15[[#This Row],[Prepayments]]-Table15[[#This Row],[Defaulted Principal]]</f>
        <v>0</v>
      </c>
      <c r="P257" s="3">
        <f>Table15[[#This Row],[Principal]]+Table15[[#This Row],[Interest]]+Table15[[#This Row],[Prepayments]]+Table15[[#This Row],[RecoveredAmount]]</f>
        <v>0</v>
      </c>
      <c r="Q257" s="3">
        <f ca="1">ROUND(Table15[[#This Row],[Cash Flow]]/((1+ActualRateToUse)^(IF(ISNUMBER(SEARCH("Actual",$C$7)),Table15[[#This Row],[Running Total]]/365,Table15[[#This Row],[Period]]/12))),2)</f>
        <v>0</v>
      </c>
      <c r="R257" s="2">
        <f>IF(MONTH(Table15[[#This Row],[Date]])=2,28,DAY(DATE(YEAR(Table15[[#This Row],[Date]]),MONTH(Table15[[#This Row],[Date]])+1,1)-1))</f>
        <v>31</v>
      </c>
      <c r="S257" s="2">
        <f ca="1">SUM(OFFSET(Table15[[#Headers],[Days in month]],1,0):Table15[[#This Row],[Days in month]])</f>
        <v>7331</v>
      </c>
      <c r="T257" s="37">
        <f>InterestRate*AmortizationMultiplier*IF(ISNUMBER(SEARCH("Actual",$C$7)),Table15[[#This Row],[Days in month]]/365,1/12)</f>
        <v>5.8133611111111103E-3</v>
      </c>
    </row>
    <row r="258" spans="2:20" x14ac:dyDescent="0.2">
      <c r="B258" s="1">
        <f t="shared" si="10"/>
        <v>53205</v>
      </c>
      <c r="C258" s="2">
        <f t="shared" si="12"/>
        <v>242</v>
      </c>
      <c r="D258" s="3">
        <f t="shared" si="11"/>
        <v>0</v>
      </c>
      <c r="E258" s="3">
        <f>ROUND(Table15[[#This Row],[Beginning Balance]]*Table15[[#This Row],[Monthly Interest Rate]],2)</f>
        <v>0</v>
      </c>
      <c r="F258" s="3">
        <f t="shared" si="13"/>
        <v>30</v>
      </c>
      <c r="G258" s="23">
        <f>IFERROR(IF($C$13="No","N/A",IF(Table15[[#This Row],[Period]]=1,$C$6,PMT(InterestRate*AmortizationMultiplier/12,Table15[[#This Row],[Am Thru]],-Table15[[#This Row],[Beginning Balance]]))),0)</f>
        <v>0</v>
      </c>
      <c r="H258" s="3">
        <f>MAX(0,IF(C258=$C$4,D258,ROUND(IF($C$3="Fixed Principal",$C$6-Table15[[#This Row],[Interest]],IF($C$3="Interest Only",Table15[[#This Row],[Beginning Balance]]*ROUND(1-(1-IF($C$11="No",$E$8,1))^(1/12),6),MIN(IF($C$13="Yes",Table15[[#This Row],[Payment Amount (Reamortized)]],$C$6)-Table15[[#This Row],[Interest]],Table15[[#This Row],[Beginning Balance]]))),2)))</f>
        <v>0</v>
      </c>
      <c r="I258" s="3">
        <f>_xlfn.SINGLE(IF($C$3="Line of Credit",0,ROUND(MAX(MIN(IF($C$10="No",$E$7,VLOOKUP(Table15[[#This Row],[Period]],Forecast!$H$2:$L$1048576,4,FALSE))*Table15[[#This Row],[Beginning Balance]],Table15[[#This Row],[Beginning Balance]]-Table15[[#This Row],[Principal]]),0),2)))</f>
        <v>0</v>
      </c>
      <c r="J258" s="3">
        <f>ROUND(MIN(Table15[[#This Row],[Beginning Balance]]*IF($C$8="No",$E$3,VLOOKUP(Table15[[#This Row],[Period]],Forecast!$H$2:$L$1048576,2,FALSE)),Table15[[#This Row],[Beginning Balance]]-Table15[[#This Row],[Principal]]-Table15[[#This Row],[Prepayments]]),2)</f>
        <v>0</v>
      </c>
      <c r="K258" s="3">
        <f>ROUND(Table15[[#This Row],[Defaulted Principal]]*IF($C$9="No",$E$4,VLOOKUP(Table15[[#This Row],[Period]],Forecast!$H$2:$L$1048576,3,FALSE)),2)</f>
        <v>0</v>
      </c>
      <c r="L258" s="2">
        <f>Table15[[#This Row],[Period]]+$E$9</f>
        <v>254</v>
      </c>
      <c r="M258" s="3">
        <f>Table15[[#This Row],[Defaulted Principal]]-Table15[[#This Row],[Estimated Loss]]</f>
        <v>0</v>
      </c>
      <c r="N258" s="3">
        <f>IFERROR(VLOOKUP(Table15[[#This Row],[Period]],$L$16:$M$385,2,FALSE),0)</f>
        <v>0</v>
      </c>
      <c r="O258" s="3">
        <f>Table15[[#This Row],[Beginning Balance]]-Table15[[#This Row],[Principal]]-Table15[[#This Row],[Prepayments]]-Table15[[#This Row],[Defaulted Principal]]</f>
        <v>0</v>
      </c>
      <c r="P258" s="3">
        <f>Table15[[#This Row],[Principal]]+Table15[[#This Row],[Interest]]+Table15[[#This Row],[Prepayments]]+Table15[[#This Row],[RecoveredAmount]]</f>
        <v>0</v>
      </c>
      <c r="Q258" s="3">
        <f ca="1">ROUND(Table15[[#This Row],[Cash Flow]]/((1+ActualRateToUse)^(IF(ISNUMBER(SEARCH("Actual",$C$7)),Table15[[#This Row],[Running Total]]/365,Table15[[#This Row],[Period]]/12))),2)</f>
        <v>0</v>
      </c>
      <c r="R258" s="2">
        <f>IF(MONTH(Table15[[#This Row],[Date]])=2,28,DAY(DATE(YEAR(Table15[[#This Row],[Date]]),MONTH(Table15[[#This Row],[Date]])+1,1)-1))</f>
        <v>31</v>
      </c>
      <c r="S258" s="2">
        <f ca="1">SUM(OFFSET(Table15[[#Headers],[Days in month]],1,0):Table15[[#This Row],[Days in month]])</f>
        <v>7362</v>
      </c>
      <c r="T258" s="37">
        <f>InterestRate*AmortizationMultiplier*IF(ISNUMBER(SEARCH("Actual",$C$7)),Table15[[#This Row],[Days in month]]/365,1/12)</f>
        <v>5.8133611111111103E-3</v>
      </c>
    </row>
    <row r="259" spans="2:20" x14ac:dyDescent="0.2">
      <c r="B259" s="1">
        <f t="shared" si="10"/>
        <v>53235</v>
      </c>
      <c r="C259" s="2">
        <f t="shared" si="12"/>
        <v>243</v>
      </c>
      <c r="D259" s="3">
        <f t="shared" si="11"/>
        <v>0</v>
      </c>
      <c r="E259" s="3">
        <f>ROUND(Table15[[#This Row],[Beginning Balance]]*Table15[[#This Row],[Monthly Interest Rate]],2)</f>
        <v>0</v>
      </c>
      <c r="F259" s="3">
        <f t="shared" si="13"/>
        <v>29</v>
      </c>
      <c r="G259" s="23">
        <f>IFERROR(IF($C$13="No","N/A",IF(Table15[[#This Row],[Period]]=1,$C$6,PMT(InterestRate*AmortizationMultiplier/12,Table15[[#This Row],[Am Thru]],-Table15[[#This Row],[Beginning Balance]]))),0)</f>
        <v>0</v>
      </c>
      <c r="H259" s="3">
        <f>MAX(0,IF(C259=$C$4,D259,ROUND(IF($C$3="Fixed Principal",$C$6-Table15[[#This Row],[Interest]],IF($C$3="Interest Only",Table15[[#This Row],[Beginning Balance]]*ROUND(1-(1-IF($C$11="No",$E$8,1))^(1/12),6),MIN(IF($C$13="Yes",Table15[[#This Row],[Payment Amount (Reamortized)]],$C$6)-Table15[[#This Row],[Interest]],Table15[[#This Row],[Beginning Balance]]))),2)))</f>
        <v>0</v>
      </c>
      <c r="I259" s="3">
        <f>_xlfn.SINGLE(IF($C$3="Line of Credit",0,ROUND(MAX(MIN(IF($C$10="No",$E$7,VLOOKUP(Table15[[#This Row],[Period]],Forecast!$H$2:$L$1048576,4,FALSE))*Table15[[#This Row],[Beginning Balance]],Table15[[#This Row],[Beginning Balance]]-Table15[[#This Row],[Principal]]),0),2)))</f>
        <v>0</v>
      </c>
      <c r="J259" s="3">
        <f>ROUND(MIN(Table15[[#This Row],[Beginning Balance]]*IF($C$8="No",$E$3,VLOOKUP(Table15[[#This Row],[Period]],Forecast!$H$2:$L$1048576,2,FALSE)),Table15[[#This Row],[Beginning Balance]]-Table15[[#This Row],[Principal]]-Table15[[#This Row],[Prepayments]]),2)</f>
        <v>0</v>
      </c>
      <c r="K259" s="3">
        <f>ROUND(Table15[[#This Row],[Defaulted Principal]]*IF($C$9="No",$E$4,VLOOKUP(Table15[[#This Row],[Period]],Forecast!$H$2:$L$1048576,3,FALSE)),2)</f>
        <v>0</v>
      </c>
      <c r="L259" s="2">
        <f>Table15[[#This Row],[Period]]+$E$9</f>
        <v>255</v>
      </c>
      <c r="M259" s="3">
        <f>Table15[[#This Row],[Defaulted Principal]]-Table15[[#This Row],[Estimated Loss]]</f>
        <v>0</v>
      </c>
      <c r="N259" s="3">
        <f>IFERROR(VLOOKUP(Table15[[#This Row],[Period]],$L$16:$M$385,2,FALSE),0)</f>
        <v>0</v>
      </c>
      <c r="O259" s="3">
        <f>Table15[[#This Row],[Beginning Balance]]-Table15[[#This Row],[Principal]]-Table15[[#This Row],[Prepayments]]-Table15[[#This Row],[Defaulted Principal]]</f>
        <v>0</v>
      </c>
      <c r="P259" s="3">
        <f>Table15[[#This Row],[Principal]]+Table15[[#This Row],[Interest]]+Table15[[#This Row],[Prepayments]]+Table15[[#This Row],[RecoveredAmount]]</f>
        <v>0</v>
      </c>
      <c r="Q259" s="3">
        <f ca="1">ROUND(Table15[[#This Row],[Cash Flow]]/((1+ActualRateToUse)^(IF(ISNUMBER(SEARCH("Actual",$C$7)),Table15[[#This Row],[Running Total]]/365,Table15[[#This Row],[Period]]/12))),2)</f>
        <v>0</v>
      </c>
      <c r="R259" s="2">
        <f>IF(MONTH(Table15[[#This Row],[Date]])=2,28,DAY(DATE(YEAR(Table15[[#This Row],[Date]]),MONTH(Table15[[#This Row],[Date]])+1,1)-1))</f>
        <v>30</v>
      </c>
      <c r="S259" s="2">
        <f ca="1">SUM(OFFSET(Table15[[#Headers],[Days in month]],1,0):Table15[[#This Row],[Days in month]])</f>
        <v>7392</v>
      </c>
      <c r="T259" s="37">
        <f>InterestRate*AmortizationMultiplier*IF(ISNUMBER(SEARCH("Actual",$C$7)),Table15[[#This Row],[Days in month]]/365,1/12)</f>
        <v>5.6258333333333325E-3</v>
      </c>
    </row>
    <row r="260" spans="2:20" x14ac:dyDescent="0.2">
      <c r="B260" s="1">
        <f t="shared" si="10"/>
        <v>53266</v>
      </c>
      <c r="C260" s="2">
        <f t="shared" si="12"/>
        <v>244</v>
      </c>
      <c r="D260" s="3">
        <f t="shared" si="11"/>
        <v>0</v>
      </c>
      <c r="E260" s="3">
        <f>ROUND(Table15[[#This Row],[Beginning Balance]]*Table15[[#This Row],[Monthly Interest Rate]],2)</f>
        <v>0</v>
      </c>
      <c r="F260" s="3">
        <f t="shared" si="13"/>
        <v>28</v>
      </c>
      <c r="G260" s="23">
        <f>IFERROR(IF($C$13="No","N/A",IF(Table15[[#This Row],[Period]]=1,$C$6,PMT(InterestRate*AmortizationMultiplier/12,Table15[[#This Row],[Am Thru]],-Table15[[#This Row],[Beginning Balance]]))),0)</f>
        <v>0</v>
      </c>
      <c r="H260" s="3">
        <f>MAX(0,IF(C260=$C$4,D260,ROUND(IF($C$3="Fixed Principal",$C$6-Table15[[#This Row],[Interest]],IF($C$3="Interest Only",Table15[[#This Row],[Beginning Balance]]*ROUND(1-(1-IF($C$11="No",$E$8,1))^(1/12),6),MIN(IF($C$13="Yes",Table15[[#This Row],[Payment Amount (Reamortized)]],$C$6)-Table15[[#This Row],[Interest]],Table15[[#This Row],[Beginning Balance]]))),2)))</f>
        <v>0</v>
      </c>
      <c r="I260" s="3">
        <f>_xlfn.SINGLE(IF($C$3="Line of Credit",0,ROUND(MAX(MIN(IF($C$10="No",$E$7,VLOOKUP(Table15[[#This Row],[Period]],Forecast!$H$2:$L$1048576,4,FALSE))*Table15[[#This Row],[Beginning Balance]],Table15[[#This Row],[Beginning Balance]]-Table15[[#This Row],[Principal]]),0),2)))</f>
        <v>0</v>
      </c>
      <c r="J260" s="3">
        <f>ROUND(MIN(Table15[[#This Row],[Beginning Balance]]*IF($C$8="No",$E$3,VLOOKUP(Table15[[#This Row],[Period]],Forecast!$H$2:$L$1048576,2,FALSE)),Table15[[#This Row],[Beginning Balance]]-Table15[[#This Row],[Principal]]-Table15[[#This Row],[Prepayments]]),2)</f>
        <v>0</v>
      </c>
      <c r="K260" s="3">
        <f>ROUND(Table15[[#This Row],[Defaulted Principal]]*IF($C$9="No",$E$4,VLOOKUP(Table15[[#This Row],[Period]],Forecast!$H$2:$L$1048576,3,FALSE)),2)</f>
        <v>0</v>
      </c>
      <c r="L260" s="2">
        <f>Table15[[#This Row],[Period]]+$E$9</f>
        <v>256</v>
      </c>
      <c r="M260" s="3">
        <f>Table15[[#This Row],[Defaulted Principal]]-Table15[[#This Row],[Estimated Loss]]</f>
        <v>0</v>
      </c>
      <c r="N260" s="3">
        <f>IFERROR(VLOOKUP(Table15[[#This Row],[Period]],$L$16:$M$385,2,FALSE),0)</f>
        <v>0</v>
      </c>
      <c r="O260" s="3">
        <f>Table15[[#This Row],[Beginning Balance]]-Table15[[#This Row],[Principal]]-Table15[[#This Row],[Prepayments]]-Table15[[#This Row],[Defaulted Principal]]</f>
        <v>0</v>
      </c>
      <c r="P260" s="3">
        <f>Table15[[#This Row],[Principal]]+Table15[[#This Row],[Interest]]+Table15[[#This Row],[Prepayments]]+Table15[[#This Row],[RecoveredAmount]]</f>
        <v>0</v>
      </c>
      <c r="Q260" s="3">
        <f ca="1">ROUND(Table15[[#This Row],[Cash Flow]]/((1+ActualRateToUse)^(IF(ISNUMBER(SEARCH("Actual",$C$7)),Table15[[#This Row],[Running Total]]/365,Table15[[#This Row],[Period]]/12))),2)</f>
        <v>0</v>
      </c>
      <c r="R260" s="2">
        <f>IF(MONTH(Table15[[#This Row],[Date]])=2,28,DAY(DATE(YEAR(Table15[[#This Row],[Date]]),MONTH(Table15[[#This Row],[Date]])+1,1)-1))</f>
        <v>31</v>
      </c>
      <c r="S260" s="2">
        <f ca="1">SUM(OFFSET(Table15[[#Headers],[Days in month]],1,0):Table15[[#This Row],[Days in month]])</f>
        <v>7423</v>
      </c>
      <c r="T260" s="37">
        <f>InterestRate*AmortizationMultiplier*IF(ISNUMBER(SEARCH("Actual",$C$7)),Table15[[#This Row],[Days in month]]/365,1/12)</f>
        <v>5.8133611111111103E-3</v>
      </c>
    </row>
    <row r="261" spans="2:20" x14ac:dyDescent="0.2">
      <c r="B261" s="1">
        <f t="shared" si="10"/>
        <v>53296</v>
      </c>
      <c r="C261" s="2">
        <f t="shared" si="12"/>
        <v>245</v>
      </c>
      <c r="D261" s="3">
        <f t="shared" si="11"/>
        <v>0</v>
      </c>
      <c r="E261" s="3">
        <f>ROUND(Table15[[#This Row],[Beginning Balance]]*Table15[[#This Row],[Monthly Interest Rate]],2)</f>
        <v>0</v>
      </c>
      <c r="F261" s="3">
        <f t="shared" si="13"/>
        <v>27</v>
      </c>
      <c r="G261" s="23">
        <f>IFERROR(IF($C$13="No","N/A",IF(Table15[[#This Row],[Period]]=1,$C$6,PMT(InterestRate*AmortizationMultiplier/12,Table15[[#This Row],[Am Thru]],-Table15[[#This Row],[Beginning Balance]]))),0)</f>
        <v>0</v>
      </c>
      <c r="H261" s="3">
        <f>MAX(0,IF(C261=$C$4,D261,ROUND(IF($C$3="Fixed Principal",$C$6-Table15[[#This Row],[Interest]],IF($C$3="Interest Only",Table15[[#This Row],[Beginning Balance]]*ROUND(1-(1-IF($C$11="No",$E$8,1))^(1/12),6),MIN(IF($C$13="Yes",Table15[[#This Row],[Payment Amount (Reamortized)]],$C$6)-Table15[[#This Row],[Interest]],Table15[[#This Row],[Beginning Balance]]))),2)))</f>
        <v>0</v>
      </c>
      <c r="I261" s="3">
        <f>_xlfn.SINGLE(IF($C$3="Line of Credit",0,ROUND(MAX(MIN(IF($C$10="No",$E$7,VLOOKUP(Table15[[#This Row],[Period]],Forecast!$H$2:$L$1048576,4,FALSE))*Table15[[#This Row],[Beginning Balance]],Table15[[#This Row],[Beginning Balance]]-Table15[[#This Row],[Principal]]),0),2)))</f>
        <v>0</v>
      </c>
      <c r="J261" s="3">
        <f>ROUND(MIN(Table15[[#This Row],[Beginning Balance]]*IF($C$8="No",$E$3,VLOOKUP(Table15[[#This Row],[Period]],Forecast!$H$2:$L$1048576,2,FALSE)),Table15[[#This Row],[Beginning Balance]]-Table15[[#This Row],[Principal]]-Table15[[#This Row],[Prepayments]]),2)</f>
        <v>0</v>
      </c>
      <c r="K261" s="3">
        <f>ROUND(Table15[[#This Row],[Defaulted Principal]]*IF($C$9="No",$E$4,VLOOKUP(Table15[[#This Row],[Period]],Forecast!$H$2:$L$1048576,3,FALSE)),2)</f>
        <v>0</v>
      </c>
      <c r="L261" s="2">
        <f>Table15[[#This Row],[Period]]+$E$9</f>
        <v>257</v>
      </c>
      <c r="M261" s="3">
        <f>Table15[[#This Row],[Defaulted Principal]]-Table15[[#This Row],[Estimated Loss]]</f>
        <v>0</v>
      </c>
      <c r="N261" s="3">
        <f>IFERROR(VLOOKUP(Table15[[#This Row],[Period]],$L$16:$M$385,2,FALSE),0)</f>
        <v>0</v>
      </c>
      <c r="O261" s="3">
        <f>Table15[[#This Row],[Beginning Balance]]-Table15[[#This Row],[Principal]]-Table15[[#This Row],[Prepayments]]-Table15[[#This Row],[Defaulted Principal]]</f>
        <v>0</v>
      </c>
      <c r="P261" s="3">
        <f>Table15[[#This Row],[Principal]]+Table15[[#This Row],[Interest]]+Table15[[#This Row],[Prepayments]]+Table15[[#This Row],[RecoveredAmount]]</f>
        <v>0</v>
      </c>
      <c r="Q261" s="3">
        <f ca="1">ROUND(Table15[[#This Row],[Cash Flow]]/((1+ActualRateToUse)^(IF(ISNUMBER(SEARCH("Actual",$C$7)),Table15[[#This Row],[Running Total]]/365,Table15[[#This Row],[Period]]/12))),2)</f>
        <v>0</v>
      </c>
      <c r="R261" s="2">
        <f>IF(MONTH(Table15[[#This Row],[Date]])=2,28,DAY(DATE(YEAR(Table15[[#This Row],[Date]]),MONTH(Table15[[#This Row],[Date]])+1,1)-1))</f>
        <v>30</v>
      </c>
      <c r="S261" s="2">
        <f ca="1">SUM(OFFSET(Table15[[#Headers],[Days in month]],1,0):Table15[[#This Row],[Days in month]])</f>
        <v>7453</v>
      </c>
      <c r="T261" s="37">
        <f>InterestRate*AmortizationMultiplier*IF(ISNUMBER(SEARCH("Actual",$C$7)),Table15[[#This Row],[Days in month]]/365,1/12)</f>
        <v>5.6258333333333325E-3</v>
      </c>
    </row>
    <row r="262" spans="2:20" x14ac:dyDescent="0.2">
      <c r="B262" s="1">
        <f t="shared" si="10"/>
        <v>53327</v>
      </c>
      <c r="C262" s="2">
        <f t="shared" si="12"/>
        <v>246</v>
      </c>
      <c r="D262" s="3">
        <f t="shared" si="11"/>
        <v>0</v>
      </c>
      <c r="E262" s="3">
        <f>ROUND(Table15[[#This Row],[Beginning Balance]]*Table15[[#This Row],[Monthly Interest Rate]],2)</f>
        <v>0</v>
      </c>
      <c r="F262" s="3">
        <f t="shared" si="13"/>
        <v>26</v>
      </c>
      <c r="G262" s="23">
        <f>IFERROR(IF($C$13="No","N/A",IF(Table15[[#This Row],[Period]]=1,$C$6,PMT(InterestRate*AmortizationMultiplier/12,Table15[[#This Row],[Am Thru]],-Table15[[#This Row],[Beginning Balance]]))),0)</f>
        <v>0</v>
      </c>
      <c r="H262" s="3">
        <f>MAX(0,IF(C262=$C$4,D262,ROUND(IF($C$3="Fixed Principal",$C$6-Table15[[#This Row],[Interest]],IF($C$3="Interest Only",Table15[[#This Row],[Beginning Balance]]*ROUND(1-(1-IF($C$11="No",$E$8,1))^(1/12),6),MIN(IF($C$13="Yes",Table15[[#This Row],[Payment Amount (Reamortized)]],$C$6)-Table15[[#This Row],[Interest]],Table15[[#This Row],[Beginning Balance]]))),2)))</f>
        <v>0</v>
      </c>
      <c r="I262" s="3">
        <f>_xlfn.SINGLE(IF($C$3="Line of Credit",0,ROUND(MAX(MIN(IF($C$10="No",$E$7,VLOOKUP(Table15[[#This Row],[Period]],Forecast!$H$2:$L$1048576,4,FALSE))*Table15[[#This Row],[Beginning Balance]],Table15[[#This Row],[Beginning Balance]]-Table15[[#This Row],[Principal]]),0),2)))</f>
        <v>0</v>
      </c>
      <c r="J262" s="3">
        <f>ROUND(MIN(Table15[[#This Row],[Beginning Balance]]*IF($C$8="No",$E$3,VLOOKUP(Table15[[#This Row],[Period]],Forecast!$H$2:$L$1048576,2,FALSE)),Table15[[#This Row],[Beginning Balance]]-Table15[[#This Row],[Principal]]-Table15[[#This Row],[Prepayments]]),2)</f>
        <v>0</v>
      </c>
      <c r="K262" s="3">
        <f>ROUND(Table15[[#This Row],[Defaulted Principal]]*IF($C$9="No",$E$4,VLOOKUP(Table15[[#This Row],[Period]],Forecast!$H$2:$L$1048576,3,FALSE)),2)</f>
        <v>0</v>
      </c>
      <c r="L262" s="2">
        <f>Table15[[#This Row],[Period]]+$E$9</f>
        <v>258</v>
      </c>
      <c r="M262" s="3">
        <f>Table15[[#This Row],[Defaulted Principal]]-Table15[[#This Row],[Estimated Loss]]</f>
        <v>0</v>
      </c>
      <c r="N262" s="3">
        <f>IFERROR(VLOOKUP(Table15[[#This Row],[Period]],$L$16:$M$385,2,FALSE),0)</f>
        <v>0</v>
      </c>
      <c r="O262" s="3">
        <f>Table15[[#This Row],[Beginning Balance]]-Table15[[#This Row],[Principal]]-Table15[[#This Row],[Prepayments]]-Table15[[#This Row],[Defaulted Principal]]</f>
        <v>0</v>
      </c>
      <c r="P262" s="3">
        <f>Table15[[#This Row],[Principal]]+Table15[[#This Row],[Interest]]+Table15[[#This Row],[Prepayments]]+Table15[[#This Row],[RecoveredAmount]]</f>
        <v>0</v>
      </c>
      <c r="Q262" s="3">
        <f ca="1">ROUND(Table15[[#This Row],[Cash Flow]]/((1+ActualRateToUse)^(IF(ISNUMBER(SEARCH("Actual",$C$7)),Table15[[#This Row],[Running Total]]/365,Table15[[#This Row],[Period]]/12))),2)</f>
        <v>0</v>
      </c>
      <c r="R262" s="2">
        <f>IF(MONTH(Table15[[#This Row],[Date]])=2,28,DAY(DATE(YEAR(Table15[[#This Row],[Date]]),MONTH(Table15[[#This Row],[Date]])+1,1)-1))</f>
        <v>31</v>
      </c>
      <c r="S262" s="2">
        <f ca="1">SUM(OFFSET(Table15[[#Headers],[Days in month]],1,0):Table15[[#This Row],[Days in month]])</f>
        <v>7484</v>
      </c>
      <c r="T262" s="37">
        <f>InterestRate*AmortizationMultiplier*IF(ISNUMBER(SEARCH("Actual",$C$7)),Table15[[#This Row],[Days in month]]/365,1/12)</f>
        <v>5.8133611111111103E-3</v>
      </c>
    </row>
    <row r="263" spans="2:20" x14ac:dyDescent="0.2">
      <c r="B263" s="1">
        <f t="shared" si="10"/>
        <v>53358</v>
      </c>
      <c r="C263" s="2">
        <f t="shared" si="12"/>
        <v>247</v>
      </c>
      <c r="D263" s="3">
        <f t="shared" si="11"/>
        <v>0</v>
      </c>
      <c r="E263" s="3">
        <f>ROUND(Table15[[#This Row],[Beginning Balance]]*Table15[[#This Row],[Monthly Interest Rate]],2)</f>
        <v>0</v>
      </c>
      <c r="F263" s="3">
        <f t="shared" si="13"/>
        <v>25</v>
      </c>
      <c r="G263" s="23">
        <f>IFERROR(IF($C$13="No","N/A",IF(Table15[[#This Row],[Period]]=1,$C$6,PMT(InterestRate*AmortizationMultiplier/12,Table15[[#This Row],[Am Thru]],-Table15[[#This Row],[Beginning Balance]]))),0)</f>
        <v>0</v>
      </c>
      <c r="H263" s="3">
        <f>MAX(0,IF(C263=$C$4,D263,ROUND(IF($C$3="Fixed Principal",$C$6-Table15[[#This Row],[Interest]],IF($C$3="Interest Only",Table15[[#This Row],[Beginning Balance]]*ROUND(1-(1-IF($C$11="No",$E$8,1))^(1/12),6),MIN(IF($C$13="Yes",Table15[[#This Row],[Payment Amount (Reamortized)]],$C$6)-Table15[[#This Row],[Interest]],Table15[[#This Row],[Beginning Balance]]))),2)))</f>
        <v>0</v>
      </c>
      <c r="I263" s="3">
        <f>_xlfn.SINGLE(IF($C$3="Line of Credit",0,ROUND(MAX(MIN(IF($C$10="No",$E$7,VLOOKUP(Table15[[#This Row],[Period]],Forecast!$H$2:$L$1048576,4,FALSE))*Table15[[#This Row],[Beginning Balance]],Table15[[#This Row],[Beginning Balance]]-Table15[[#This Row],[Principal]]),0),2)))</f>
        <v>0</v>
      </c>
      <c r="J263" s="3">
        <f>ROUND(MIN(Table15[[#This Row],[Beginning Balance]]*IF($C$8="No",$E$3,VLOOKUP(Table15[[#This Row],[Period]],Forecast!$H$2:$L$1048576,2,FALSE)),Table15[[#This Row],[Beginning Balance]]-Table15[[#This Row],[Principal]]-Table15[[#This Row],[Prepayments]]),2)</f>
        <v>0</v>
      </c>
      <c r="K263" s="3">
        <f>ROUND(Table15[[#This Row],[Defaulted Principal]]*IF($C$9="No",$E$4,VLOOKUP(Table15[[#This Row],[Period]],Forecast!$H$2:$L$1048576,3,FALSE)),2)</f>
        <v>0</v>
      </c>
      <c r="L263" s="2">
        <f>Table15[[#This Row],[Period]]+$E$9</f>
        <v>259</v>
      </c>
      <c r="M263" s="3">
        <f>Table15[[#This Row],[Defaulted Principal]]-Table15[[#This Row],[Estimated Loss]]</f>
        <v>0</v>
      </c>
      <c r="N263" s="3">
        <f>IFERROR(VLOOKUP(Table15[[#This Row],[Period]],$L$16:$M$385,2,FALSE),0)</f>
        <v>0</v>
      </c>
      <c r="O263" s="3">
        <f>Table15[[#This Row],[Beginning Balance]]-Table15[[#This Row],[Principal]]-Table15[[#This Row],[Prepayments]]-Table15[[#This Row],[Defaulted Principal]]</f>
        <v>0</v>
      </c>
      <c r="P263" s="3">
        <f>Table15[[#This Row],[Principal]]+Table15[[#This Row],[Interest]]+Table15[[#This Row],[Prepayments]]+Table15[[#This Row],[RecoveredAmount]]</f>
        <v>0</v>
      </c>
      <c r="Q263" s="3">
        <f ca="1">ROUND(Table15[[#This Row],[Cash Flow]]/((1+ActualRateToUse)^(IF(ISNUMBER(SEARCH("Actual",$C$7)),Table15[[#This Row],[Running Total]]/365,Table15[[#This Row],[Period]]/12))),2)</f>
        <v>0</v>
      </c>
      <c r="R263" s="2">
        <f>IF(MONTH(Table15[[#This Row],[Date]])=2,28,DAY(DATE(YEAR(Table15[[#This Row],[Date]]),MONTH(Table15[[#This Row],[Date]])+1,1)-1))</f>
        <v>31</v>
      </c>
      <c r="S263" s="2">
        <f ca="1">SUM(OFFSET(Table15[[#Headers],[Days in month]],1,0):Table15[[#This Row],[Days in month]])</f>
        <v>7515</v>
      </c>
      <c r="T263" s="37">
        <f>InterestRate*AmortizationMultiplier*IF(ISNUMBER(SEARCH("Actual",$C$7)),Table15[[#This Row],[Days in month]]/365,1/12)</f>
        <v>5.8133611111111103E-3</v>
      </c>
    </row>
    <row r="264" spans="2:20" x14ac:dyDescent="0.2">
      <c r="B264" s="1">
        <f t="shared" si="10"/>
        <v>53386</v>
      </c>
      <c r="C264" s="2">
        <f t="shared" si="12"/>
        <v>248</v>
      </c>
      <c r="D264" s="3">
        <f t="shared" si="11"/>
        <v>0</v>
      </c>
      <c r="E264" s="3">
        <f>ROUND(Table15[[#This Row],[Beginning Balance]]*Table15[[#This Row],[Monthly Interest Rate]],2)</f>
        <v>0</v>
      </c>
      <c r="F264" s="3">
        <f t="shared" si="13"/>
        <v>24</v>
      </c>
      <c r="G264" s="23">
        <f>IFERROR(IF($C$13="No","N/A",IF(Table15[[#This Row],[Period]]=1,$C$6,PMT(InterestRate*AmortizationMultiplier/12,Table15[[#This Row],[Am Thru]],-Table15[[#This Row],[Beginning Balance]]))),0)</f>
        <v>0</v>
      </c>
      <c r="H264" s="3">
        <f>MAX(0,IF(C264=$C$4,D264,ROUND(IF($C$3="Fixed Principal",$C$6-Table15[[#This Row],[Interest]],IF($C$3="Interest Only",Table15[[#This Row],[Beginning Balance]]*ROUND(1-(1-IF($C$11="No",$E$8,1))^(1/12),6),MIN(IF($C$13="Yes",Table15[[#This Row],[Payment Amount (Reamortized)]],$C$6)-Table15[[#This Row],[Interest]],Table15[[#This Row],[Beginning Balance]]))),2)))</f>
        <v>0</v>
      </c>
      <c r="I264" s="3">
        <f>_xlfn.SINGLE(IF($C$3="Line of Credit",0,ROUND(MAX(MIN(IF($C$10="No",$E$7,VLOOKUP(Table15[[#This Row],[Period]],Forecast!$H$2:$L$1048576,4,FALSE))*Table15[[#This Row],[Beginning Balance]],Table15[[#This Row],[Beginning Balance]]-Table15[[#This Row],[Principal]]),0),2)))</f>
        <v>0</v>
      </c>
      <c r="J264" s="3">
        <f>ROUND(MIN(Table15[[#This Row],[Beginning Balance]]*IF($C$8="No",$E$3,VLOOKUP(Table15[[#This Row],[Period]],Forecast!$H$2:$L$1048576,2,FALSE)),Table15[[#This Row],[Beginning Balance]]-Table15[[#This Row],[Principal]]-Table15[[#This Row],[Prepayments]]),2)</f>
        <v>0</v>
      </c>
      <c r="K264" s="3">
        <f>ROUND(Table15[[#This Row],[Defaulted Principal]]*IF($C$9="No",$E$4,VLOOKUP(Table15[[#This Row],[Period]],Forecast!$H$2:$L$1048576,3,FALSE)),2)</f>
        <v>0</v>
      </c>
      <c r="L264" s="2">
        <f>Table15[[#This Row],[Period]]+$E$9</f>
        <v>260</v>
      </c>
      <c r="M264" s="3">
        <f>Table15[[#This Row],[Defaulted Principal]]-Table15[[#This Row],[Estimated Loss]]</f>
        <v>0</v>
      </c>
      <c r="N264" s="3">
        <f>IFERROR(VLOOKUP(Table15[[#This Row],[Period]],$L$16:$M$385,2,FALSE),0)</f>
        <v>0</v>
      </c>
      <c r="O264" s="3">
        <f>Table15[[#This Row],[Beginning Balance]]-Table15[[#This Row],[Principal]]-Table15[[#This Row],[Prepayments]]-Table15[[#This Row],[Defaulted Principal]]</f>
        <v>0</v>
      </c>
      <c r="P264" s="3">
        <f>Table15[[#This Row],[Principal]]+Table15[[#This Row],[Interest]]+Table15[[#This Row],[Prepayments]]+Table15[[#This Row],[RecoveredAmount]]</f>
        <v>0</v>
      </c>
      <c r="Q264" s="3">
        <f ca="1">ROUND(Table15[[#This Row],[Cash Flow]]/((1+ActualRateToUse)^(IF(ISNUMBER(SEARCH("Actual",$C$7)),Table15[[#This Row],[Running Total]]/365,Table15[[#This Row],[Period]]/12))),2)</f>
        <v>0</v>
      </c>
      <c r="R264" s="2">
        <f>IF(MONTH(Table15[[#This Row],[Date]])=2,28,DAY(DATE(YEAR(Table15[[#This Row],[Date]]),MONTH(Table15[[#This Row],[Date]])+1,1)-1))</f>
        <v>28</v>
      </c>
      <c r="S264" s="2">
        <f ca="1">SUM(OFFSET(Table15[[#Headers],[Days in month]],1,0):Table15[[#This Row],[Days in month]])</f>
        <v>7543</v>
      </c>
      <c r="T264" s="37">
        <f>InterestRate*AmortizationMultiplier*IF(ISNUMBER(SEARCH("Actual",$C$7)),Table15[[#This Row],[Days in month]]/365,1/12)</f>
        <v>5.2507777777777778E-3</v>
      </c>
    </row>
    <row r="265" spans="2:20" x14ac:dyDescent="0.2">
      <c r="B265" s="1">
        <f t="shared" si="10"/>
        <v>53417</v>
      </c>
      <c r="C265" s="2">
        <f t="shared" si="12"/>
        <v>249</v>
      </c>
      <c r="D265" s="3">
        <f t="shared" si="11"/>
        <v>0</v>
      </c>
      <c r="E265" s="3">
        <f>ROUND(Table15[[#This Row],[Beginning Balance]]*Table15[[#This Row],[Monthly Interest Rate]],2)</f>
        <v>0</v>
      </c>
      <c r="F265" s="3">
        <f t="shared" si="13"/>
        <v>23</v>
      </c>
      <c r="G265" s="23">
        <f>IFERROR(IF($C$13="No","N/A",IF(Table15[[#This Row],[Period]]=1,$C$6,PMT(InterestRate*AmortizationMultiplier/12,Table15[[#This Row],[Am Thru]],-Table15[[#This Row],[Beginning Balance]]))),0)</f>
        <v>0</v>
      </c>
      <c r="H265" s="3">
        <f>MAX(0,IF(C265=$C$4,D265,ROUND(IF($C$3="Fixed Principal",$C$6-Table15[[#This Row],[Interest]],IF($C$3="Interest Only",Table15[[#This Row],[Beginning Balance]]*ROUND(1-(1-IF($C$11="No",$E$8,1))^(1/12),6),MIN(IF($C$13="Yes",Table15[[#This Row],[Payment Amount (Reamortized)]],$C$6)-Table15[[#This Row],[Interest]],Table15[[#This Row],[Beginning Balance]]))),2)))</f>
        <v>0</v>
      </c>
      <c r="I265" s="3">
        <f>_xlfn.SINGLE(IF($C$3="Line of Credit",0,ROUND(MAX(MIN(IF($C$10="No",$E$7,VLOOKUP(Table15[[#This Row],[Period]],Forecast!$H$2:$L$1048576,4,FALSE))*Table15[[#This Row],[Beginning Balance]],Table15[[#This Row],[Beginning Balance]]-Table15[[#This Row],[Principal]]),0),2)))</f>
        <v>0</v>
      </c>
      <c r="J265" s="3">
        <f>ROUND(MIN(Table15[[#This Row],[Beginning Balance]]*IF($C$8="No",$E$3,VLOOKUP(Table15[[#This Row],[Period]],Forecast!$H$2:$L$1048576,2,FALSE)),Table15[[#This Row],[Beginning Balance]]-Table15[[#This Row],[Principal]]-Table15[[#This Row],[Prepayments]]),2)</f>
        <v>0</v>
      </c>
      <c r="K265" s="3">
        <f>ROUND(Table15[[#This Row],[Defaulted Principal]]*IF($C$9="No",$E$4,VLOOKUP(Table15[[#This Row],[Period]],Forecast!$H$2:$L$1048576,3,FALSE)),2)</f>
        <v>0</v>
      </c>
      <c r="L265" s="2">
        <f>Table15[[#This Row],[Period]]+$E$9</f>
        <v>261</v>
      </c>
      <c r="M265" s="3">
        <f>Table15[[#This Row],[Defaulted Principal]]-Table15[[#This Row],[Estimated Loss]]</f>
        <v>0</v>
      </c>
      <c r="N265" s="3">
        <f>IFERROR(VLOOKUP(Table15[[#This Row],[Period]],$L$16:$M$385,2,FALSE),0)</f>
        <v>0</v>
      </c>
      <c r="O265" s="3">
        <f>Table15[[#This Row],[Beginning Balance]]-Table15[[#This Row],[Principal]]-Table15[[#This Row],[Prepayments]]-Table15[[#This Row],[Defaulted Principal]]</f>
        <v>0</v>
      </c>
      <c r="P265" s="3">
        <f>Table15[[#This Row],[Principal]]+Table15[[#This Row],[Interest]]+Table15[[#This Row],[Prepayments]]+Table15[[#This Row],[RecoveredAmount]]</f>
        <v>0</v>
      </c>
      <c r="Q265" s="3">
        <f ca="1">ROUND(Table15[[#This Row],[Cash Flow]]/((1+ActualRateToUse)^(IF(ISNUMBER(SEARCH("Actual",$C$7)),Table15[[#This Row],[Running Total]]/365,Table15[[#This Row],[Period]]/12))),2)</f>
        <v>0</v>
      </c>
      <c r="R265" s="2">
        <f>IF(MONTH(Table15[[#This Row],[Date]])=2,28,DAY(DATE(YEAR(Table15[[#This Row],[Date]]),MONTH(Table15[[#This Row],[Date]])+1,1)-1))</f>
        <v>31</v>
      </c>
      <c r="S265" s="2">
        <f ca="1">SUM(OFFSET(Table15[[#Headers],[Days in month]],1,0):Table15[[#This Row],[Days in month]])</f>
        <v>7574</v>
      </c>
      <c r="T265" s="37">
        <f>InterestRate*AmortizationMultiplier*IF(ISNUMBER(SEARCH("Actual",$C$7)),Table15[[#This Row],[Days in month]]/365,1/12)</f>
        <v>5.8133611111111103E-3</v>
      </c>
    </row>
    <row r="266" spans="2:20" x14ac:dyDescent="0.2">
      <c r="B266" s="1">
        <f t="shared" si="10"/>
        <v>53447</v>
      </c>
      <c r="C266" s="2">
        <f t="shared" si="12"/>
        <v>250</v>
      </c>
      <c r="D266" s="3">
        <f t="shared" si="11"/>
        <v>0</v>
      </c>
      <c r="E266" s="3">
        <f>ROUND(Table15[[#This Row],[Beginning Balance]]*Table15[[#This Row],[Monthly Interest Rate]],2)</f>
        <v>0</v>
      </c>
      <c r="F266" s="3">
        <f t="shared" si="13"/>
        <v>22</v>
      </c>
      <c r="G266" s="23">
        <f>IFERROR(IF($C$13="No","N/A",IF(Table15[[#This Row],[Period]]=1,$C$6,PMT(InterestRate*AmortizationMultiplier/12,Table15[[#This Row],[Am Thru]],-Table15[[#This Row],[Beginning Balance]]))),0)</f>
        <v>0</v>
      </c>
      <c r="H266" s="3">
        <f>MAX(0,IF(C266=$C$4,D266,ROUND(IF($C$3="Fixed Principal",$C$6-Table15[[#This Row],[Interest]],IF($C$3="Interest Only",Table15[[#This Row],[Beginning Balance]]*ROUND(1-(1-IF($C$11="No",$E$8,1))^(1/12),6),MIN(IF($C$13="Yes",Table15[[#This Row],[Payment Amount (Reamortized)]],$C$6)-Table15[[#This Row],[Interest]],Table15[[#This Row],[Beginning Balance]]))),2)))</f>
        <v>0</v>
      </c>
      <c r="I266" s="3">
        <f>_xlfn.SINGLE(IF($C$3="Line of Credit",0,ROUND(MAX(MIN(IF($C$10="No",$E$7,VLOOKUP(Table15[[#This Row],[Period]],Forecast!$H$2:$L$1048576,4,FALSE))*Table15[[#This Row],[Beginning Balance]],Table15[[#This Row],[Beginning Balance]]-Table15[[#This Row],[Principal]]),0),2)))</f>
        <v>0</v>
      </c>
      <c r="J266" s="3">
        <f>ROUND(MIN(Table15[[#This Row],[Beginning Balance]]*IF($C$8="No",$E$3,VLOOKUP(Table15[[#This Row],[Period]],Forecast!$H$2:$L$1048576,2,FALSE)),Table15[[#This Row],[Beginning Balance]]-Table15[[#This Row],[Principal]]-Table15[[#This Row],[Prepayments]]),2)</f>
        <v>0</v>
      </c>
      <c r="K266" s="3">
        <f>ROUND(Table15[[#This Row],[Defaulted Principal]]*IF($C$9="No",$E$4,VLOOKUP(Table15[[#This Row],[Period]],Forecast!$H$2:$L$1048576,3,FALSE)),2)</f>
        <v>0</v>
      </c>
      <c r="L266" s="2">
        <f>Table15[[#This Row],[Period]]+$E$9</f>
        <v>262</v>
      </c>
      <c r="M266" s="3">
        <f>Table15[[#This Row],[Defaulted Principal]]-Table15[[#This Row],[Estimated Loss]]</f>
        <v>0</v>
      </c>
      <c r="N266" s="3">
        <f>IFERROR(VLOOKUP(Table15[[#This Row],[Period]],$L$16:$M$385,2,FALSE),0)</f>
        <v>0</v>
      </c>
      <c r="O266" s="3">
        <f>Table15[[#This Row],[Beginning Balance]]-Table15[[#This Row],[Principal]]-Table15[[#This Row],[Prepayments]]-Table15[[#This Row],[Defaulted Principal]]</f>
        <v>0</v>
      </c>
      <c r="P266" s="3">
        <f>Table15[[#This Row],[Principal]]+Table15[[#This Row],[Interest]]+Table15[[#This Row],[Prepayments]]+Table15[[#This Row],[RecoveredAmount]]</f>
        <v>0</v>
      </c>
      <c r="Q266" s="3">
        <f ca="1">ROUND(Table15[[#This Row],[Cash Flow]]/((1+ActualRateToUse)^(IF(ISNUMBER(SEARCH("Actual",$C$7)),Table15[[#This Row],[Running Total]]/365,Table15[[#This Row],[Period]]/12))),2)</f>
        <v>0</v>
      </c>
      <c r="R266" s="2">
        <f>IF(MONTH(Table15[[#This Row],[Date]])=2,28,DAY(DATE(YEAR(Table15[[#This Row],[Date]]),MONTH(Table15[[#This Row],[Date]])+1,1)-1))</f>
        <v>30</v>
      </c>
      <c r="S266" s="2">
        <f ca="1">SUM(OFFSET(Table15[[#Headers],[Days in month]],1,0):Table15[[#This Row],[Days in month]])</f>
        <v>7604</v>
      </c>
      <c r="T266" s="37">
        <f>InterestRate*AmortizationMultiplier*IF(ISNUMBER(SEARCH("Actual",$C$7)),Table15[[#This Row],[Days in month]]/365,1/12)</f>
        <v>5.6258333333333325E-3</v>
      </c>
    </row>
    <row r="267" spans="2:20" x14ac:dyDescent="0.2">
      <c r="B267" s="1">
        <f t="shared" ref="B267:B330" si="14">EOMONTH(B266,1)</f>
        <v>53478</v>
      </c>
      <c r="C267" s="2">
        <f t="shared" si="12"/>
        <v>251</v>
      </c>
      <c r="D267" s="3">
        <f t="shared" si="11"/>
        <v>0</v>
      </c>
      <c r="E267" s="3">
        <f>ROUND(Table15[[#This Row],[Beginning Balance]]*Table15[[#This Row],[Monthly Interest Rate]],2)</f>
        <v>0</v>
      </c>
      <c r="F267" s="3">
        <f t="shared" si="13"/>
        <v>21</v>
      </c>
      <c r="G267" s="23">
        <f>IFERROR(IF($C$13="No","N/A",IF(Table15[[#This Row],[Period]]=1,$C$6,PMT(InterestRate*AmortizationMultiplier/12,Table15[[#This Row],[Am Thru]],-Table15[[#This Row],[Beginning Balance]]))),0)</f>
        <v>0</v>
      </c>
      <c r="H267" s="3">
        <f>MAX(0,IF(C267=$C$4,D267,ROUND(IF($C$3="Fixed Principal",$C$6-Table15[[#This Row],[Interest]],IF($C$3="Interest Only",Table15[[#This Row],[Beginning Balance]]*ROUND(1-(1-IF($C$11="No",$E$8,1))^(1/12),6),MIN(IF($C$13="Yes",Table15[[#This Row],[Payment Amount (Reamortized)]],$C$6)-Table15[[#This Row],[Interest]],Table15[[#This Row],[Beginning Balance]]))),2)))</f>
        <v>0</v>
      </c>
      <c r="I267" s="3">
        <f>_xlfn.SINGLE(IF($C$3="Line of Credit",0,ROUND(MAX(MIN(IF($C$10="No",$E$7,VLOOKUP(Table15[[#This Row],[Period]],Forecast!$H$2:$L$1048576,4,FALSE))*Table15[[#This Row],[Beginning Balance]],Table15[[#This Row],[Beginning Balance]]-Table15[[#This Row],[Principal]]),0),2)))</f>
        <v>0</v>
      </c>
      <c r="J267" s="3">
        <f>ROUND(MIN(Table15[[#This Row],[Beginning Balance]]*IF($C$8="No",$E$3,VLOOKUP(Table15[[#This Row],[Period]],Forecast!$H$2:$L$1048576,2,FALSE)),Table15[[#This Row],[Beginning Balance]]-Table15[[#This Row],[Principal]]-Table15[[#This Row],[Prepayments]]),2)</f>
        <v>0</v>
      </c>
      <c r="K267" s="3">
        <f>ROUND(Table15[[#This Row],[Defaulted Principal]]*IF($C$9="No",$E$4,VLOOKUP(Table15[[#This Row],[Period]],Forecast!$H$2:$L$1048576,3,FALSE)),2)</f>
        <v>0</v>
      </c>
      <c r="L267" s="2">
        <f>Table15[[#This Row],[Period]]+$E$9</f>
        <v>263</v>
      </c>
      <c r="M267" s="3">
        <f>Table15[[#This Row],[Defaulted Principal]]-Table15[[#This Row],[Estimated Loss]]</f>
        <v>0</v>
      </c>
      <c r="N267" s="3">
        <f>IFERROR(VLOOKUP(Table15[[#This Row],[Period]],$L$16:$M$385,2,FALSE),0)</f>
        <v>0</v>
      </c>
      <c r="O267" s="3">
        <f>Table15[[#This Row],[Beginning Balance]]-Table15[[#This Row],[Principal]]-Table15[[#This Row],[Prepayments]]-Table15[[#This Row],[Defaulted Principal]]</f>
        <v>0</v>
      </c>
      <c r="P267" s="3">
        <f>Table15[[#This Row],[Principal]]+Table15[[#This Row],[Interest]]+Table15[[#This Row],[Prepayments]]+Table15[[#This Row],[RecoveredAmount]]</f>
        <v>0</v>
      </c>
      <c r="Q267" s="3">
        <f ca="1">ROUND(Table15[[#This Row],[Cash Flow]]/((1+ActualRateToUse)^(IF(ISNUMBER(SEARCH("Actual",$C$7)),Table15[[#This Row],[Running Total]]/365,Table15[[#This Row],[Period]]/12))),2)</f>
        <v>0</v>
      </c>
      <c r="R267" s="2">
        <f>IF(MONTH(Table15[[#This Row],[Date]])=2,28,DAY(DATE(YEAR(Table15[[#This Row],[Date]]),MONTH(Table15[[#This Row],[Date]])+1,1)-1))</f>
        <v>31</v>
      </c>
      <c r="S267" s="2">
        <f ca="1">SUM(OFFSET(Table15[[#Headers],[Days in month]],1,0):Table15[[#This Row],[Days in month]])</f>
        <v>7635</v>
      </c>
      <c r="T267" s="37">
        <f>InterestRate*AmortizationMultiplier*IF(ISNUMBER(SEARCH("Actual",$C$7)),Table15[[#This Row],[Days in month]]/365,1/12)</f>
        <v>5.8133611111111103E-3</v>
      </c>
    </row>
    <row r="268" spans="2:20" x14ac:dyDescent="0.2">
      <c r="B268" s="1">
        <f t="shared" si="14"/>
        <v>53508</v>
      </c>
      <c r="C268" s="2">
        <f t="shared" si="12"/>
        <v>252</v>
      </c>
      <c r="D268" s="3">
        <f t="shared" si="11"/>
        <v>0</v>
      </c>
      <c r="E268" s="3">
        <f>ROUND(Table15[[#This Row],[Beginning Balance]]*Table15[[#This Row],[Monthly Interest Rate]],2)</f>
        <v>0</v>
      </c>
      <c r="F268" s="3">
        <f t="shared" si="13"/>
        <v>20</v>
      </c>
      <c r="G268" s="23">
        <f>IFERROR(IF($C$13="No","N/A",IF(Table15[[#This Row],[Period]]=1,$C$6,PMT(InterestRate*AmortizationMultiplier/12,Table15[[#This Row],[Am Thru]],-Table15[[#This Row],[Beginning Balance]]))),0)</f>
        <v>0</v>
      </c>
      <c r="H268" s="3">
        <f>MAX(0,IF(C268=$C$4,D268,ROUND(IF($C$3="Fixed Principal",$C$6-Table15[[#This Row],[Interest]],IF($C$3="Interest Only",Table15[[#This Row],[Beginning Balance]]*ROUND(1-(1-IF($C$11="No",$E$8,1))^(1/12),6),MIN(IF($C$13="Yes",Table15[[#This Row],[Payment Amount (Reamortized)]],$C$6)-Table15[[#This Row],[Interest]],Table15[[#This Row],[Beginning Balance]]))),2)))</f>
        <v>0</v>
      </c>
      <c r="I268" s="3">
        <f>_xlfn.SINGLE(IF($C$3="Line of Credit",0,ROUND(MAX(MIN(IF($C$10="No",$E$7,VLOOKUP(Table15[[#This Row],[Period]],Forecast!$H$2:$L$1048576,4,FALSE))*Table15[[#This Row],[Beginning Balance]],Table15[[#This Row],[Beginning Balance]]-Table15[[#This Row],[Principal]]),0),2)))</f>
        <v>0</v>
      </c>
      <c r="J268" s="3">
        <f>ROUND(MIN(Table15[[#This Row],[Beginning Balance]]*IF($C$8="No",$E$3,VLOOKUP(Table15[[#This Row],[Period]],Forecast!$H$2:$L$1048576,2,FALSE)),Table15[[#This Row],[Beginning Balance]]-Table15[[#This Row],[Principal]]-Table15[[#This Row],[Prepayments]]),2)</f>
        <v>0</v>
      </c>
      <c r="K268" s="3">
        <f>ROUND(Table15[[#This Row],[Defaulted Principal]]*IF($C$9="No",$E$4,VLOOKUP(Table15[[#This Row],[Period]],Forecast!$H$2:$L$1048576,3,FALSE)),2)</f>
        <v>0</v>
      </c>
      <c r="L268" s="2">
        <f>Table15[[#This Row],[Period]]+$E$9</f>
        <v>264</v>
      </c>
      <c r="M268" s="3">
        <f>Table15[[#This Row],[Defaulted Principal]]-Table15[[#This Row],[Estimated Loss]]</f>
        <v>0</v>
      </c>
      <c r="N268" s="3">
        <f>IFERROR(VLOOKUP(Table15[[#This Row],[Period]],$L$16:$M$385,2,FALSE),0)</f>
        <v>0</v>
      </c>
      <c r="O268" s="3">
        <f>Table15[[#This Row],[Beginning Balance]]-Table15[[#This Row],[Principal]]-Table15[[#This Row],[Prepayments]]-Table15[[#This Row],[Defaulted Principal]]</f>
        <v>0</v>
      </c>
      <c r="P268" s="3">
        <f>Table15[[#This Row],[Principal]]+Table15[[#This Row],[Interest]]+Table15[[#This Row],[Prepayments]]+Table15[[#This Row],[RecoveredAmount]]</f>
        <v>0</v>
      </c>
      <c r="Q268" s="3">
        <f ca="1">ROUND(Table15[[#This Row],[Cash Flow]]/((1+ActualRateToUse)^(IF(ISNUMBER(SEARCH("Actual",$C$7)),Table15[[#This Row],[Running Total]]/365,Table15[[#This Row],[Period]]/12))),2)</f>
        <v>0</v>
      </c>
      <c r="R268" s="2">
        <f>IF(MONTH(Table15[[#This Row],[Date]])=2,28,DAY(DATE(YEAR(Table15[[#This Row],[Date]]),MONTH(Table15[[#This Row],[Date]])+1,1)-1))</f>
        <v>30</v>
      </c>
      <c r="S268" s="2">
        <f ca="1">SUM(OFFSET(Table15[[#Headers],[Days in month]],1,0):Table15[[#This Row],[Days in month]])</f>
        <v>7665</v>
      </c>
      <c r="T268" s="37">
        <f>InterestRate*AmortizationMultiplier*IF(ISNUMBER(SEARCH("Actual",$C$7)),Table15[[#This Row],[Days in month]]/365,1/12)</f>
        <v>5.6258333333333325E-3</v>
      </c>
    </row>
    <row r="269" spans="2:20" x14ac:dyDescent="0.2">
      <c r="B269" s="1">
        <f t="shared" si="14"/>
        <v>53539</v>
      </c>
      <c r="C269" s="2">
        <f t="shared" si="12"/>
        <v>253</v>
      </c>
      <c r="D269" s="3">
        <f t="shared" si="11"/>
        <v>0</v>
      </c>
      <c r="E269" s="3">
        <f>ROUND(Table15[[#This Row],[Beginning Balance]]*Table15[[#This Row],[Monthly Interest Rate]],2)</f>
        <v>0</v>
      </c>
      <c r="F269" s="3">
        <f t="shared" si="13"/>
        <v>19</v>
      </c>
      <c r="G269" s="23">
        <f>IFERROR(IF($C$13="No","N/A",IF(Table15[[#This Row],[Period]]=1,$C$6,PMT(InterestRate*AmortizationMultiplier/12,Table15[[#This Row],[Am Thru]],-Table15[[#This Row],[Beginning Balance]]))),0)</f>
        <v>0</v>
      </c>
      <c r="H269" s="3">
        <f>MAX(0,IF(C269=$C$4,D269,ROUND(IF($C$3="Fixed Principal",$C$6-Table15[[#This Row],[Interest]],IF($C$3="Interest Only",Table15[[#This Row],[Beginning Balance]]*ROUND(1-(1-IF($C$11="No",$E$8,1))^(1/12),6),MIN(IF($C$13="Yes",Table15[[#This Row],[Payment Amount (Reamortized)]],$C$6)-Table15[[#This Row],[Interest]],Table15[[#This Row],[Beginning Balance]]))),2)))</f>
        <v>0</v>
      </c>
      <c r="I269" s="3">
        <f>_xlfn.SINGLE(IF($C$3="Line of Credit",0,ROUND(MAX(MIN(IF($C$10="No",$E$7,VLOOKUP(Table15[[#This Row],[Period]],Forecast!$H$2:$L$1048576,4,FALSE))*Table15[[#This Row],[Beginning Balance]],Table15[[#This Row],[Beginning Balance]]-Table15[[#This Row],[Principal]]),0),2)))</f>
        <v>0</v>
      </c>
      <c r="J269" s="3">
        <f>ROUND(MIN(Table15[[#This Row],[Beginning Balance]]*IF($C$8="No",$E$3,VLOOKUP(Table15[[#This Row],[Period]],Forecast!$H$2:$L$1048576,2,FALSE)),Table15[[#This Row],[Beginning Balance]]-Table15[[#This Row],[Principal]]-Table15[[#This Row],[Prepayments]]),2)</f>
        <v>0</v>
      </c>
      <c r="K269" s="3">
        <f>ROUND(Table15[[#This Row],[Defaulted Principal]]*IF($C$9="No",$E$4,VLOOKUP(Table15[[#This Row],[Period]],Forecast!$H$2:$L$1048576,3,FALSE)),2)</f>
        <v>0</v>
      </c>
      <c r="L269" s="2">
        <f>Table15[[#This Row],[Period]]+$E$9</f>
        <v>265</v>
      </c>
      <c r="M269" s="3">
        <f>Table15[[#This Row],[Defaulted Principal]]-Table15[[#This Row],[Estimated Loss]]</f>
        <v>0</v>
      </c>
      <c r="N269" s="3">
        <f>IFERROR(VLOOKUP(Table15[[#This Row],[Period]],$L$16:$M$385,2,FALSE),0)</f>
        <v>0</v>
      </c>
      <c r="O269" s="3">
        <f>Table15[[#This Row],[Beginning Balance]]-Table15[[#This Row],[Principal]]-Table15[[#This Row],[Prepayments]]-Table15[[#This Row],[Defaulted Principal]]</f>
        <v>0</v>
      </c>
      <c r="P269" s="3">
        <f>Table15[[#This Row],[Principal]]+Table15[[#This Row],[Interest]]+Table15[[#This Row],[Prepayments]]+Table15[[#This Row],[RecoveredAmount]]</f>
        <v>0</v>
      </c>
      <c r="Q269" s="3">
        <f ca="1">ROUND(Table15[[#This Row],[Cash Flow]]/((1+ActualRateToUse)^(IF(ISNUMBER(SEARCH("Actual",$C$7)),Table15[[#This Row],[Running Total]]/365,Table15[[#This Row],[Period]]/12))),2)</f>
        <v>0</v>
      </c>
      <c r="R269" s="2">
        <f>IF(MONTH(Table15[[#This Row],[Date]])=2,28,DAY(DATE(YEAR(Table15[[#This Row],[Date]]),MONTH(Table15[[#This Row],[Date]])+1,1)-1))</f>
        <v>31</v>
      </c>
      <c r="S269" s="2">
        <f ca="1">SUM(OFFSET(Table15[[#Headers],[Days in month]],1,0):Table15[[#This Row],[Days in month]])</f>
        <v>7696</v>
      </c>
      <c r="T269" s="37">
        <f>InterestRate*AmortizationMultiplier*IF(ISNUMBER(SEARCH("Actual",$C$7)),Table15[[#This Row],[Days in month]]/365,1/12)</f>
        <v>5.8133611111111103E-3</v>
      </c>
    </row>
    <row r="270" spans="2:20" x14ac:dyDescent="0.2">
      <c r="B270" s="1">
        <f t="shared" si="14"/>
        <v>53570</v>
      </c>
      <c r="C270" s="2">
        <f t="shared" si="12"/>
        <v>254</v>
      </c>
      <c r="D270" s="3">
        <f t="shared" si="11"/>
        <v>0</v>
      </c>
      <c r="E270" s="3">
        <f>ROUND(Table15[[#This Row],[Beginning Balance]]*Table15[[#This Row],[Monthly Interest Rate]],2)</f>
        <v>0</v>
      </c>
      <c r="F270" s="3">
        <f t="shared" si="13"/>
        <v>18</v>
      </c>
      <c r="G270" s="23">
        <f>IFERROR(IF($C$13="No","N/A",IF(Table15[[#This Row],[Period]]=1,$C$6,PMT(InterestRate*AmortizationMultiplier/12,Table15[[#This Row],[Am Thru]],-Table15[[#This Row],[Beginning Balance]]))),0)</f>
        <v>0</v>
      </c>
      <c r="H270" s="3">
        <f>MAX(0,IF(C270=$C$4,D270,ROUND(IF($C$3="Fixed Principal",$C$6-Table15[[#This Row],[Interest]],IF($C$3="Interest Only",Table15[[#This Row],[Beginning Balance]]*ROUND(1-(1-IF($C$11="No",$E$8,1))^(1/12),6),MIN(IF($C$13="Yes",Table15[[#This Row],[Payment Amount (Reamortized)]],$C$6)-Table15[[#This Row],[Interest]],Table15[[#This Row],[Beginning Balance]]))),2)))</f>
        <v>0</v>
      </c>
      <c r="I270" s="3">
        <f>_xlfn.SINGLE(IF($C$3="Line of Credit",0,ROUND(MAX(MIN(IF($C$10="No",$E$7,VLOOKUP(Table15[[#This Row],[Period]],Forecast!$H$2:$L$1048576,4,FALSE))*Table15[[#This Row],[Beginning Balance]],Table15[[#This Row],[Beginning Balance]]-Table15[[#This Row],[Principal]]),0),2)))</f>
        <v>0</v>
      </c>
      <c r="J270" s="3">
        <f>ROUND(MIN(Table15[[#This Row],[Beginning Balance]]*IF($C$8="No",$E$3,VLOOKUP(Table15[[#This Row],[Period]],Forecast!$H$2:$L$1048576,2,FALSE)),Table15[[#This Row],[Beginning Balance]]-Table15[[#This Row],[Principal]]-Table15[[#This Row],[Prepayments]]),2)</f>
        <v>0</v>
      </c>
      <c r="K270" s="3">
        <f>ROUND(Table15[[#This Row],[Defaulted Principal]]*IF($C$9="No",$E$4,VLOOKUP(Table15[[#This Row],[Period]],Forecast!$H$2:$L$1048576,3,FALSE)),2)</f>
        <v>0</v>
      </c>
      <c r="L270" s="2">
        <f>Table15[[#This Row],[Period]]+$E$9</f>
        <v>266</v>
      </c>
      <c r="M270" s="3">
        <f>Table15[[#This Row],[Defaulted Principal]]-Table15[[#This Row],[Estimated Loss]]</f>
        <v>0</v>
      </c>
      <c r="N270" s="3">
        <f>IFERROR(VLOOKUP(Table15[[#This Row],[Period]],$L$16:$M$385,2,FALSE),0)</f>
        <v>0</v>
      </c>
      <c r="O270" s="3">
        <f>Table15[[#This Row],[Beginning Balance]]-Table15[[#This Row],[Principal]]-Table15[[#This Row],[Prepayments]]-Table15[[#This Row],[Defaulted Principal]]</f>
        <v>0</v>
      </c>
      <c r="P270" s="3">
        <f>Table15[[#This Row],[Principal]]+Table15[[#This Row],[Interest]]+Table15[[#This Row],[Prepayments]]+Table15[[#This Row],[RecoveredAmount]]</f>
        <v>0</v>
      </c>
      <c r="Q270" s="3">
        <f ca="1">ROUND(Table15[[#This Row],[Cash Flow]]/((1+ActualRateToUse)^(IF(ISNUMBER(SEARCH("Actual",$C$7)),Table15[[#This Row],[Running Total]]/365,Table15[[#This Row],[Period]]/12))),2)</f>
        <v>0</v>
      </c>
      <c r="R270" s="2">
        <f>IF(MONTH(Table15[[#This Row],[Date]])=2,28,DAY(DATE(YEAR(Table15[[#This Row],[Date]]),MONTH(Table15[[#This Row],[Date]])+1,1)-1))</f>
        <v>31</v>
      </c>
      <c r="S270" s="2">
        <f ca="1">SUM(OFFSET(Table15[[#Headers],[Days in month]],1,0):Table15[[#This Row],[Days in month]])</f>
        <v>7727</v>
      </c>
      <c r="T270" s="37">
        <f>InterestRate*AmortizationMultiplier*IF(ISNUMBER(SEARCH("Actual",$C$7)),Table15[[#This Row],[Days in month]]/365,1/12)</f>
        <v>5.8133611111111103E-3</v>
      </c>
    </row>
    <row r="271" spans="2:20" x14ac:dyDescent="0.2">
      <c r="B271" s="1">
        <f t="shared" si="14"/>
        <v>53600</v>
      </c>
      <c r="C271" s="2">
        <f t="shared" si="12"/>
        <v>255</v>
      </c>
      <c r="D271" s="3">
        <f t="shared" si="11"/>
        <v>0</v>
      </c>
      <c r="E271" s="3">
        <f>ROUND(Table15[[#This Row],[Beginning Balance]]*Table15[[#This Row],[Monthly Interest Rate]],2)</f>
        <v>0</v>
      </c>
      <c r="F271" s="3">
        <f t="shared" si="13"/>
        <v>17</v>
      </c>
      <c r="G271" s="23">
        <f>IFERROR(IF($C$13="No","N/A",IF(Table15[[#This Row],[Period]]=1,$C$6,PMT(InterestRate*AmortizationMultiplier/12,Table15[[#This Row],[Am Thru]],-Table15[[#This Row],[Beginning Balance]]))),0)</f>
        <v>0</v>
      </c>
      <c r="H271" s="3">
        <f>MAX(0,IF(C271=$C$4,D271,ROUND(IF($C$3="Fixed Principal",$C$6-Table15[[#This Row],[Interest]],IF($C$3="Interest Only",Table15[[#This Row],[Beginning Balance]]*ROUND(1-(1-IF($C$11="No",$E$8,1))^(1/12),6),MIN(IF($C$13="Yes",Table15[[#This Row],[Payment Amount (Reamortized)]],$C$6)-Table15[[#This Row],[Interest]],Table15[[#This Row],[Beginning Balance]]))),2)))</f>
        <v>0</v>
      </c>
      <c r="I271" s="3">
        <f>_xlfn.SINGLE(IF($C$3="Line of Credit",0,ROUND(MAX(MIN(IF($C$10="No",$E$7,VLOOKUP(Table15[[#This Row],[Period]],Forecast!$H$2:$L$1048576,4,FALSE))*Table15[[#This Row],[Beginning Balance]],Table15[[#This Row],[Beginning Balance]]-Table15[[#This Row],[Principal]]),0),2)))</f>
        <v>0</v>
      </c>
      <c r="J271" s="3">
        <f>ROUND(MIN(Table15[[#This Row],[Beginning Balance]]*IF($C$8="No",$E$3,VLOOKUP(Table15[[#This Row],[Period]],Forecast!$H$2:$L$1048576,2,FALSE)),Table15[[#This Row],[Beginning Balance]]-Table15[[#This Row],[Principal]]-Table15[[#This Row],[Prepayments]]),2)</f>
        <v>0</v>
      </c>
      <c r="K271" s="3">
        <f>ROUND(Table15[[#This Row],[Defaulted Principal]]*IF($C$9="No",$E$4,VLOOKUP(Table15[[#This Row],[Period]],Forecast!$H$2:$L$1048576,3,FALSE)),2)</f>
        <v>0</v>
      </c>
      <c r="L271" s="2">
        <f>Table15[[#This Row],[Period]]+$E$9</f>
        <v>267</v>
      </c>
      <c r="M271" s="3">
        <f>Table15[[#This Row],[Defaulted Principal]]-Table15[[#This Row],[Estimated Loss]]</f>
        <v>0</v>
      </c>
      <c r="N271" s="3">
        <f>IFERROR(VLOOKUP(Table15[[#This Row],[Period]],$L$16:$M$385,2,FALSE),0)</f>
        <v>0</v>
      </c>
      <c r="O271" s="3">
        <f>Table15[[#This Row],[Beginning Balance]]-Table15[[#This Row],[Principal]]-Table15[[#This Row],[Prepayments]]-Table15[[#This Row],[Defaulted Principal]]</f>
        <v>0</v>
      </c>
      <c r="P271" s="3">
        <f>Table15[[#This Row],[Principal]]+Table15[[#This Row],[Interest]]+Table15[[#This Row],[Prepayments]]+Table15[[#This Row],[RecoveredAmount]]</f>
        <v>0</v>
      </c>
      <c r="Q271" s="3">
        <f ca="1">ROUND(Table15[[#This Row],[Cash Flow]]/((1+ActualRateToUse)^(IF(ISNUMBER(SEARCH("Actual",$C$7)),Table15[[#This Row],[Running Total]]/365,Table15[[#This Row],[Period]]/12))),2)</f>
        <v>0</v>
      </c>
      <c r="R271" s="2">
        <f>IF(MONTH(Table15[[#This Row],[Date]])=2,28,DAY(DATE(YEAR(Table15[[#This Row],[Date]]),MONTH(Table15[[#This Row],[Date]])+1,1)-1))</f>
        <v>30</v>
      </c>
      <c r="S271" s="2">
        <f ca="1">SUM(OFFSET(Table15[[#Headers],[Days in month]],1,0):Table15[[#This Row],[Days in month]])</f>
        <v>7757</v>
      </c>
      <c r="T271" s="37">
        <f>InterestRate*AmortizationMultiplier*IF(ISNUMBER(SEARCH("Actual",$C$7)),Table15[[#This Row],[Days in month]]/365,1/12)</f>
        <v>5.6258333333333325E-3</v>
      </c>
    </row>
    <row r="272" spans="2:20" x14ac:dyDescent="0.2">
      <c r="B272" s="1">
        <f t="shared" si="14"/>
        <v>53631</v>
      </c>
      <c r="C272" s="2">
        <f t="shared" si="12"/>
        <v>256</v>
      </c>
      <c r="D272" s="3">
        <f t="shared" si="11"/>
        <v>0</v>
      </c>
      <c r="E272" s="3">
        <f>ROUND(Table15[[#This Row],[Beginning Balance]]*Table15[[#This Row],[Monthly Interest Rate]],2)</f>
        <v>0</v>
      </c>
      <c r="F272" s="3">
        <f t="shared" si="13"/>
        <v>16</v>
      </c>
      <c r="G272" s="23">
        <f>IFERROR(IF($C$13="No","N/A",IF(Table15[[#This Row],[Period]]=1,$C$6,PMT(InterestRate*AmortizationMultiplier/12,Table15[[#This Row],[Am Thru]],-Table15[[#This Row],[Beginning Balance]]))),0)</f>
        <v>0</v>
      </c>
      <c r="H272" s="3">
        <f>MAX(0,IF(C272=$C$4,D272,ROUND(IF($C$3="Fixed Principal",$C$6-Table15[[#This Row],[Interest]],IF($C$3="Interest Only",Table15[[#This Row],[Beginning Balance]]*ROUND(1-(1-IF($C$11="No",$E$8,1))^(1/12),6),MIN(IF($C$13="Yes",Table15[[#This Row],[Payment Amount (Reamortized)]],$C$6)-Table15[[#This Row],[Interest]],Table15[[#This Row],[Beginning Balance]]))),2)))</f>
        <v>0</v>
      </c>
      <c r="I272" s="3">
        <f>_xlfn.SINGLE(IF($C$3="Line of Credit",0,ROUND(MAX(MIN(IF($C$10="No",$E$7,VLOOKUP(Table15[[#This Row],[Period]],Forecast!$H$2:$L$1048576,4,FALSE))*Table15[[#This Row],[Beginning Balance]],Table15[[#This Row],[Beginning Balance]]-Table15[[#This Row],[Principal]]),0),2)))</f>
        <v>0</v>
      </c>
      <c r="J272" s="3">
        <f>ROUND(MIN(Table15[[#This Row],[Beginning Balance]]*IF($C$8="No",$E$3,VLOOKUP(Table15[[#This Row],[Period]],Forecast!$H$2:$L$1048576,2,FALSE)),Table15[[#This Row],[Beginning Balance]]-Table15[[#This Row],[Principal]]-Table15[[#This Row],[Prepayments]]),2)</f>
        <v>0</v>
      </c>
      <c r="K272" s="3">
        <f>ROUND(Table15[[#This Row],[Defaulted Principal]]*IF($C$9="No",$E$4,VLOOKUP(Table15[[#This Row],[Period]],Forecast!$H$2:$L$1048576,3,FALSE)),2)</f>
        <v>0</v>
      </c>
      <c r="L272" s="2">
        <f>Table15[[#This Row],[Period]]+$E$9</f>
        <v>268</v>
      </c>
      <c r="M272" s="3">
        <f>Table15[[#This Row],[Defaulted Principal]]-Table15[[#This Row],[Estimated Loss]]</f>
        <v>0</v>
      </c>
      <c r="N272" s="3">
        <f>IFERROR(VLOOKUP(Table15[[#This Row],[Period]],$L$16:$M$385,2,FALSE),0)</f>
        <v>0</v>
      </c>
      <c r="O272" s="3">
        <f>Table15[[#This Row],[Beginning Balance]]-Table15[[#This Row],[Principal]]-Table15[[#This Row],[Prepayments]]-Table15[[#This Row],[Defaulted Principal]]</f>
        <v>0</v>
      </c>
      <c r="P272" s="3">
        <f>Table15[[#This Row],[Principal]]+Table15[[#This Row],[Interest]]+Table15[[#This Row],[Prepayments]]+Table15[[#This Row],[RecoveredAmount]]</f>
        <v>0</v>
      </c>
      <c r="Q272" s="3">
        <f ca="1">ROUND(Table15[[#This Row],[Cash Flow]]/((1+ActualRateToUse)^(IF(ISNUMBER(SEARCH("Actual",$C$7)),Table15[[#This Row],[Running Total]]/365,Table15[[#This Row],[Period]]/12))),2)</f>
        <v>0</v>
      </c>
      <c r="R272" s="2">
        <f>IF(MONTH(Table15[[#This Row],[Date]])=2,28,DAY(DATE(YEAR(Table15[[#This Row],[Date]]),MONTH(Table15[[#This Row],[Date]])+1,1)-1))</f>
        <v>31</v>
      </c>
      <c r="S272" s="2">
        <f ca="1">SUM(OFFSET(Table15[[#Headers],[Days in month]],1,0):Table15[[#This Row],[Days in month]])</f>
        <v>7788</v>
      </c>
      <c r="T272" s="37">
        <f>InterestRate*AmortizationMultiplier*IF(ISNUMBER(SEARCH("Actual",$C$7)),Table15[[#This Row],[Days in month]]/365,1/12)</f>
        <v>5.8133611111111103E-3</v>
      </c>
    </row>
    <row r="273" spans="2:20" x14ac:dyDescent="0.2">
      <c r="B273" s="1">
        <f t="shared" si="14"/>
        <v>53661</v>
      </c>
      <c r="C273" s="2">
        <f t="shared" si="12"/>
        <v>257</v>
      </c>
      <c r="D273" s="3">
        <f t="shared" si="11"/>
        <v>0</v>
      </c>
      <c r="E273" s="3">
        <f>ROUND(Table15[[#This Row],[Beginning Balance]]*Table15[[#This Row],[Monthly Interest Rate]],2)</f>
        <v>0</v>
      </c>
      <c r="F273" s="3">
        <f t="shared" si="13"/>
        <v>15</v>
      </c>
      <c r="G273" s="23">
        <f>IFERROR(IF($C$13="No","N/A",IF(Table15[[#This Row],[Period]]=1,$C$6,PMT(InterestRate*AmortizationMultiplier/12,Table15[[#This Row],[Am Thru]],-Table15[[#This Row],[Beginning Balance]]))),0)</f>
        <v>0</v>
      </c>
      <c r="H273" s="3">
        <f>MAX(0,IF(C273=$C$4,D273,ROUND(IF($C$3="Fixed Principal",$C$6-Table15[[#This Row],[Interest]],IF($C$3="Interest Only",Table15[[#This Row],[Beginning Balance]]*ROUND(1-(1-IF($C$11="No",$E$8,1))^(1/12),6),MIN(IF($C$13="Yes",Table15[[#This Row],[Payment Amount (Reamortized)]],$C$6)-Table15[[#This Row],[Interest]],Table15[[#This Row],[Beginning Balance]]))),2)))</f>
        <v>0</v>
      </c>
      <c r="I273" s="3">
        <f>_xlfn.SINGLE(IF($C$3="Line of Credit",0,ROUND(MAX(MIN(IF($C$10="No",$E$7,VLOOKUP(Table15[[#This Row],[Period]],Forecast!$H$2:$L$1048576,4,FALSE))*Table15[[#This Row],[Beginning Balance]],Table15[[#This Row],[Beginning Balance]]-Table15[[#This Row],[Principal]]),0),2)))</f>
        <v>0</v>
      </c>
      <c r="J273" s="3">
        <f>ROUND(MIN(Table15[[#This Row],[Beginning Balance]]*IF($C$8="No",$E$3,VLOOKUP(Table15[[#This Row],[Period]],Forecast!$H$2:$L$1048576,2,FALSE)),Table15[[#This Row],[Beginning Balance]]-Table15[[#This Row],[Principal]]-Table15[[#This Row],[Prepayments]]),2)</f>
        <v>0</v>
      </c>
      <c r="K273" s="3">
        <f>ROUND(Table15[[#This Row],[Defaulted Principal]]*IF($C$9="No",$E$4,VLOOKUP(Table15[[#This Row],[Period]],Forecast!$H$2:$L$1048576,3,FALSE)),2)</f>
        <v>0</v>
      </c>
      <c r="L273" s="2">
        <f>Table15[[#This Row],[Period]]+$E$9</f>
        <v>269</v>
      </c>
      <c r="M273" s="3">
        <f>Table15[[#This Row],[Defaulted Principal]]-Table15[[#This Row],[Estimated Loss]]</f>
        <v>0</v>
      </c>
      <c r="N273" s="3">
        <f>IFERROR(VLOOKUP(Table15[[#This Row],[Period]],$L$16:$M$385,2,FALSE),0)</f>
        <v>0</v>
      </c>
      <c r="O273" s="3">
        <f>Table15[[#This Row],[Beginning Balance]]-Table15[[#This Row],[Principal]]-Table15[[#This Row],[Prepayments]]-Table15[[#This Row],[Defaulted Principal]]</f>
        <v>0</v>
      </c>
      <c r="P273" s="3">
        <f>Table15[[#This Row],[Principal]]+Table15[[#This Row],[Interest]]+Table15[[#This Row],[Prepayments]]+Table15[[#This Row],[RecoveredAmount]]</f>
        <v>0</v>
      </c>
      <c r="Q273" s="3">
        <f ca="1">ROUND(Table15[[#This Row],[Cash Flow]]/((1+ActualRateToUse)^(IF(ISNUMBER(SEARCH("Actual",$C$7)),Table15[[#This Row],[Running Total]]/365,Table15[[#This Row],[Period]]/12))),2)</f>
        <v>0</v>
      </c>
      <c r="R273" s="2">
        <f>IF(MONTH(Table15[[#This Row],[Date]])=2,28,DAY(DATE(YEAR(Table15[[#This Row],[Date]]),MONTH(Table15[[#This Row],[Date]])+1,1)-1))</f>
        <v>30</v>
      </c>
      <c r="S273" s="2">
        <f ca="1">SUM(OFFSET(Table15[[#Headers],[Days in month]],1,0):Table15[[#This Row],[Days in month]])</f>
        <v>7818</v>
      </c>
      <c r="T273" s="37">
        <f>InterestRate*AmortizationMultiplier*IF(ISNUMBER(SEARCH("Actual",$C$7)),Table15[[#This Row],[Days in month]]/365,1/12)</f>
        <v>5.6258333333333325E-3</v>
      </c>
    </row>
    <row r="274" spans="2:20" x14ac:dyDescent="0.2">
      <c r="B274" s="1">
        <f t="shared" si="14"/>
        <v>53692</v>
      </c>
      <c r="C274" s="2">
        <f t="shared" si="12"/>
        <v>258</v>
      </c>
      <c r="D274" s="3">
        <f t="shared" ref="D274:D337" si="15">O273</f>
        <v>0</v>
      </c>
      <c r="E274" s="3">
        <f>ROUND(Table15[[#This Row],[Beginning Balance]]*Table15[[#This Row],[Monthly Interest Rate]],2)</f>
        <v>0</v>
      </c>
      <c r="F274" s="3">
        <f t="shared" si="13"/>
        <v>14</v>
      </c>
      <c r="G274" s="23">
        <f>IFERROR(IF($C$13="No","N/A",IF(Table15[[#This Row],[Period]]=1,$C$6,PMT(InterestRate*AmortizationMultiplier/12,Table15[[#This Row],[Am Thru]],-Table15[[#This Row],[Beginning Balance]]))),0)</f>
        <v>0</v>
      </c>
      <c r="H274" s="3">
        <f>MAX(0,IF(C274=$C$4,D274,ROUND(IF($C$3="Fixed Principal",$C$6-Table15[[#This Row],[Interest]],IF($C$3="Interest Only",Table15[[#This Row],[Beginning Balance]]*ROUND(1-(1-IF($C$11="No",$E$8,1))^(1/12),6),MIN(IF($C$13="Yes",Table15[[#This Row],[Payment Amount (Reamortized)]],$C$6)-Table15[[#This Row],[Interest]],Table15[[#This Row],[Beginning Balance]]))),2)))</f>
        <v>0</v>
      </c>
      <c r="I274" s="3">
        <f>_xlfn.SINGLE(IF($C$3="Line of Credit",0,ROUND(MAX(MIN(IF($C$10="No",$E$7,VLOOKUP(Table15[[#This Row],[Period]],Forecast!$H$2:$L$1048576,4,FALSE))*Table15[[#This Row],[Beginning Balance]],Table15[[#This Row],[Beginning Balance]]-Table15[[#This Row],[Principal]]),0),2)))</f>
        <v>0</v>
      </c>
      <c r="J274" s="3">
        <f>ROUND(MIN(Table15[[#This Row],[Beginning Balance]]*IF($C$8="No",$E$3,VLOOKUP(Table15[[#This Row],[Period]],Forecast!$H$2:$L$1048576,2,FALSE)),Table15[[#This Row],[Beginning Balance]]-Table15[[#This Row],[Principal]]-Table15[[#This Row],[Prepayments]]),2)</f>
        <v>0</v>
      </c>
      <c r="K274" s="3">
        <f>ROUND(Table15[[#This Row],[Defaulted Principal]]*IF($C$9="No",$E$4,VLOOKUP(Table15[[#This Row],[Period]],Forecast!$H$2:$L$1048576,3,FALSE)),2)</f>
        <v>0</v>
      </c>
      <c r="L274" s="2">
        <f>Table15[[#This Row],[Period]]+$E$9</f>
        <v>270</v>
      </c>
      <c r="M274" s="3">
        <f>Table15[[#This Row],[Defaulted Principal]]-Table15[[#This Row],[Estimated Loss]]</f>
        <v>0</v>
      </c>
      <c r="N274" s="3">
        <f>IFERROR(VLOOKUP(Table15[[#This Row],[Period]],$L$16:$M$385,2,FALSE),0)</f>
        <v>0</v>
      </c>
      <c r="O274" s="3">
        <f>Table15[[#This Row],[Beginning Balance]]-Table15[[#This Row],[Principal]]-Table15[[#This Row],[Prepayments]]-Table15[[#This Row],[Defaulted Principal]]</f>
        <v>0</v>
      </c>
      <c r="P274" s="3">
        <f>Table15[[#This Row],[Principal]]+Table15[[#This Row],[Interest]]+Table15[[#This Row],[Prepayments]]+Table15[[#This Row],[RecoveredAmount]]</f>
        <v>0</v>
      </c>
      <c r="Q274" s="3">
        <f ca="1">ROUND(Table15[[#This Row],[Cash Flow]]/((1+ActualRateToUse)^(IF(ISNUMBER(SEARCH("Actual",$C$7)),Table15[[#This Row],[Running Total]]/365,Table15[[#This Row],[Period]]/12))),2)</f>
        <v>0</v>
      </c>
      <c r="R274" s="2">
        <f>IF(MONTH(Table15[[#This Row],[Date]])=2,28,DAY(DATE(YEAR(Table15[[#This Row],[Date]]),MONTH(Table15[[#This Row],[Date]])+1,1)-1))</f>
        <v>31</v>
      </c>
      <c r="S274" s="2">
        <f ca="1">SUM(OFFSET(Table15[[#Headers],[Days in month]],1,0):Table15[[#This Row],[Days in month]])</f>
        <v>7849</v>
      </c>
      <c r="T274" s="37">
        <f>InterestRate*AmortizationMultiplier*IF(ISNUMBER(SEARCH("Actual",$C$7)),Table15[[#This Row],[Days in month]]/365,1/12)</f>
        <v>5.8133611111111103E-3</v>
      </c>
    </row>
    <row r="275" spans="2:20" x14ac:dyDescent="0.2">
      <c r="B275" s="1">
        <f t="shared" si="14"/>
        <v>53723</v>
      </c>
      <c r="C275" s="2">
        <f t="shared" ref="C275:C338" si="16">C274+1</f>
        <v>259</v>
      </c>
      <c r="D275" s="3">
        <f t="shared" si="15"/>
        <v>0</v>
      </c>
      <c r="E275" s="3">
        <f>ROUND(Table15[[#This Row],[Beginning Balance]]*Table15[[#This Row],[Monthly Interest Rate]],2)</f>
        <v>0</v>
      </c>
      <c r="F275" s="3">
        <f t="shared" ref="F275:F338" si="17">+F274-1</f>
        <v>13</v>
      </c>
      <c r="G275" s="23">
        <f>IFERROR(IF($C$13="No","N/A",IF(Table15[[#This Row],[Period]]=1,$C$6,PMT(InterestRate*AmortizationMultiplier/12,Table15[[#This Row],[Am Thru]],-Table15[[#This Row],[Beginning Balance]]))),0)</f>
        <v>0</v>
      </c>
      <c r="H275" s="3">
        <f>MAX(0,IF(C275=$C$4,D275,ROUND(IF($C$3="Fixed Principal",$C$6-Table15[[#This Row],[Interest]],IF($C$3="Interest Only",Table15[[#This Row],[Beginning Balance]]*ROUND(1-(1-IF($C$11="No",$E$8,1))^(1/12),6),MIN(IF($C$13="Yes",Table15[[#This Row],[Payment Amount (Reamortized)]],$C$6)-Table15[[#This Row],[Interest]],Table15[[#This Row],[Beginning Balance]]))),2)))</f>
        <v>0</v>
      </c>
      <c r="I275" s="3">
        <f>_xlfn.SINGLE(IF($C$3="Line of Credit",0,ROUND(MAX(MIN(IF($C$10="No",$E$7,VLOOKUP(Table15[[#This Row],[Period]],Forecast!$H$2:$L$1048576,4,FALSE))*Table15[[#This Row],[Beginning Balance]],Table15[[#This Row],[Beginning Balance]]-Table15[[#This Row],[Principal]]),0),2)))</f>
        <v>0</v>
      </c>
      <c r="J275" s="3">
        <f>ROUND(MIN(Table15[[#This Row],[Beginning Balance]]*IF($C$8="No",$E$3,VLOOKUP(Table15[[#This Row],[Period]],Forecast!$H$2:$L$1048576,2,FALSE)),Table15[[#This Row],[Beginning Balance]]-Table15[[#This Row],[Principal]]-Table15[[#This Row],[Prepayments]]),2)</f>
        <v>0</v>
      </c>
      <c r="K275" s="3">
        <f>ROUND(Table15[[#This Row],[Defaulted Principal]]*IF($C$9="No",$E$4,VLOOKUP(Table15[[#This Row],[Period]],Forecast!$H$2:$L$1048576,3,FALSE)),2)</f>
        <v>0</v>
      </c>
      <c r="L275" s="2">
        <f>Table15[[#This Row],[Period]]+$E$9</f>
        <v>271</v>
      </c>
      <c r="M275" s="3">
        <f>Table15[[#This Row],[Defaulted Principal]]-Table15[[#This Row],[Estimated Loss]]</f>
        <v>0</v>
      </c>
      <c r="N275" s="3">
        <f>IFERROR(VLOOKUP(Table15[[#This Row],[Period]],$L$16:$M$385,2,FALSE),0)</f>
        <v>0</v>
      </c>
      <c r="O275" s="3">
        <f>Table15[[#This Row],[Beginning Balance]]-Table15[[#This Row],[Principal]]-Table15[[#This Row],[Prepayments]]-Table15[[#This Row],[Defaulted Principal]]</f>
        <v>0</v>
      </c>
      <c r="P275" s="3">
        <f>Table15[[#This Row],[Principal]]+Table15[[#This Row],[Interest]]+Table15[[#This Row],[Prepayments]]+Table15[[#This Row],[RecoveredAmount]]</f>
        <v>0</v>
      </c>
      <c r="Q275" s="3">
        <f ca="1">ROUND(Table15[[#This Row],[Cash Flow]]/((1+ActualRateToUse)^(IF(ISNUMBER(SEARCH("Actual",$C$7)),Table15[[#This Row],[Running Total]]/365,Table15[[#This Row],[Period]]/12))),2)</f>
        <v>0</v>
      </c>
      <c r="R275" s="2">
        <f>IF(MONTH(Table15[[#This Row],[Date]])=2,28,DAY(DATE(YEAR(Table15[[#This Row],[Date]]),MONTH(Table15[[#This Row],[Date]])+1,1)-1))</f>
        <v>31</v>
      </c>
      <c r="S275" s="2">
        <f ca="1">SUM(OFFSET(Table15[[#Headers],[Days in month]],1,0):Table15[[#This Row],[Days in month]])</f>
        <v>7880</v>
      </c>
      <c r="T275" s="37">
        <f>InterestRate*AmortizationMultiplier*IF(ISNUMBER(SEARCH("Actual",$C$7)),Table15[[#This Row],[Days in month]]/365,1/12)</f>
        <v>5.8133611111111103E-3</v>
      </c>
    </row>
    <row r="276" spans="2:20" x14ac:dyDescent="0.2">
      <c r="B276" s="1">
        <f t="shared" si="14"/>
        <v>53751</v>
      </c>
      <c r="C276" s="2">
        <f t="shared" si="16"/>
        <v>260</v>
      </c>
      <c r="D276" s="3">
        <f t="shared" si="15"/>
        <v>0</v>
      </c>
      <c r="E276" s="3">
        <f>ROUND(Table15[[#This Row],[Beginning Balance]]*Table15[[#This Row],[Monthly Interest Rate]],2)</f>
        <v>0</v>
      </c>
      <c r="F276" s="3">
        <f t="shared" si="17"/>
        <v>12</v>
      </c>
      <c r="G276" s="23">
        <f>IFERROR(IF($C$13="No","N/A",IF(Table15[[#This Row],[Period]]=1,$C$6,PMT(InterestRate*AmortizationMultiplier/12,Table15[[#This Row],[Am Thru]],-Table15[[#This Row],[Beginning Balance]]))),0)</f>
        <v>0</v>
      </c>
      <c r="H276" s="3">
        <f>MAX(0,IF(C276=$C$4,D276,ROUND(IF($C$3="Fixed Principal",$C$6-Table15[[#This Row],[Interest]],IF($C$3="Interest Only",Table15[[#This Row],[Beginning Balance]]*ROUND(1-(1-IF($C$11="No",$E$8,1))^(1/12),6),MIN(IF($C$13="Yes",Table15[[#This Row],[Payment Amount (Reamortized)]],$C$6)-Table15[[#This Row],[Interest]],Table15[[#This Row],[Beginning Balance]]))),2)))</f>
        <v>0</v>
      </c>
      <c r="I276" s="3">
        <f>_xlfn.SINGLE(IF($C$3="Line of Credit",0,ROUND(MAX(MIN(IF($C$10="No",$E$7,VLOOKUP(Table15[[#This Row],[Period]],Forecast!$H$2:$L$1048576,4,FALSE))*Table15[[#This Row],[Beginning Balance]],Table15[[#This Row],[Beginning Balance]]-Table15[[#This Row],[Principal]]),0),2)))</f>
        <v>0</v>
      </c>
      <c r="J276" s="3">
        <f>ROUND(MIN(Table15[[#This Row],[Beginning Balance]]*IF($C$8="No",$E$3,VLOOKUP(Table15[[#This Row],[Period]],Forecast!$H$2:$L$1048576,2,FALSE)),Table15[[#This Row],[Beginning Balance]]-Table15[[#This Row],[Principal]]-Table15[[#This Row],[Prepayments]]),2)</f>
        <v>0</v>
      </c>
      <c r="K276" s="3">
        <f>ROUND(Table15[[#This Row],[Defaulted Principal]]*IF($C$9="No",$E$4,VLOOKUP(Table15[[#This Row],[Period]],Forecast!$H$2:$L$1048576,3,FALSE)),2)</f>
        <v>0</v>
      </c>
      <c r="L276" s="2">
        <f>Table15[[#This Row],[Period]]+$E$9</f>
        <v>272</v>
      </c>
      <c r="M276" s="3">
        <f>Table15[[#This Row],[Defaulted Principal]]-Table15[[#This Row],[Estimated Loss]]</f>
        <v>0</v>
      </c>
      <c r="N276" s="3">
        <f>IFERROR(VLOOKUP(Table15[[#This Row],[Period]],$L$16:$M$385,2,FALSE),0)</f>
        <v>0</v>
      </c>
      <c r="O276" s="3">
        <f>Table15[[#This Row],[Beginning Balance]]-Table15[[#This Row],[Principal]]-Table15[[#This Row],[Prepayments]]-Table15[[#This Row],[Defaulted Principal]]</f>
        <v>0</v>
      </c>
      <c r="P276" s="3">
        <f>Table15[[#This Row],[Principal]]+Table15[[#This Row],[Interest]]+Table15[[#This Row],[Prepayments]]+Table15[[#This Row],[RecoveredAmount]]</f>
        <v>0</v>
      </c>
      <c r="Q276" s="3">
        <f ca="1">ROUND(Table15[[#This Row],[Cash Flow]]/((1+ActualRateToUse)^(IF(ISNUMBER(SEARCH("Actual",$C$7)),Table15[[#This Row],[Running Total]]/365,Table15[[#This Row],[Period]]/12))),2)</f>
        <v>0</v>
      </c>
      <c r="R276" s="2">
        <f>IF(MONTH(Table15[[#This Row],[Date]])=2,28,DAY(DATE(YEAR(Table15[[#This Row],[Date]]),MONTH(Table15[[#This Row],[Date]])+1,1)-1))</f>
        <v>28</v>
      </c>
      <c r="S276" s="2">
        <f ca="1">SUM(OFFSET(Table15[[#Headers],[Days in month]],1,0):Table15[[#This Row],[Days in month]])</f>
        <v>7908</v>
      </c>
      <c r="T276" s="37">
        <f>InterestRate*AmortizationMultiplier*IF(ISNUMBER(SEARCH("Actual",$C$7)),Table15[[#This Row],[Days in month]]/365,1/12)</f>
        <v>5.2507777777777778E-3</v>
      </c>
    </row>
    <row r="277" spans="2:20" x14ac:dyDescent="0.2">
      <c r="B277" s="1">
        <f t="shared" si="14"/>
        <v>53782</v>
      </c>
      <c r="C277" s="2">
        <f t="shared" si="16"/>
        <v>261</v>
      </c>
      <c r="D277" s="3">
        <f t="shared" si="15"/>
        <v>0</v>
      </c>
      <c r="E277" s="3">
        <f>ROUND(Table15[[#This Row],[Beginning Balance]]*Table15[[#This Row],[Monthly Interest Rate]],2)</f>
        <v>0</v>
      </c>
      <c r="F277" s="3">
        <f t="shared" si="17"/>
        <v>11</v>
      </c>
      <c r="G277" s="23">
        <f>IFERROR(IF($C$13="No","N/A",IF(Table15[[#This Row],[Period]]=1,$C$6,PMT(InterestRate*AmortizationMultiplier/12,Table15[[#This Row],[Am Thru]],-Table15[[#This Row],[Beginning Balance]]))),0)</f>
        <v>0</v>
      </c>
      <c r="H277" s="3">
        <f>MAX(0,IF(C277=$C$4,D277,ROUND(IF($C$3="Fixed Principal",$C$6-Table15[[#This Row],[Interest]],IF($C$3="Interest Only",Table15[[#This Row],[Beginning Balance]]*ROUND(1-(1-IF($C$11="No",$E$8,1))^(1/12),6),MIN(IF($C$13="Yes",Table15[[#This Row],[Payment Amount (Reamortized)]],$C$6)-Table15[[#This Row],[Interest]],Table15[[#This Row],[Beginning Balance]]))),2)))</f>
        <v>0</v>
      </c>
      <c r="I277" s="3">
        <f>_xlfn.SINGLE(IF($C$3="Line of Credit",0,ROUND(MAX(MIN(IF($C$10="No",$E$7,VLOOKUP(Table15[[#This Row],[Period]],Forecast!$H$2:$L$1048576,4,FALSE))*Table15[[#This Row],[Beginning Balance]],Table15[[#This Row],[Beginning Balance]]-Table15[[#This Row],[Principal]]),0),2)))</f>
        <v>0</v>
      </c>
      <c r="J277" s="3">
        <f>ROUND(MIN(Table15[[#This Row],[Beginning Balance]]*IF($C$8="No",$E$3,VLOOKUP(Table15[[#This Row],[Period]],Forecast!$H$2:$L$1048576,2,FALSE)),Table15[[#This Row],[Beginning Balance]]-Table15[[#This Row],[Principal]]-Table15[[#This Row],[Prepayments]]),2)</f>
        <v>0</v>
      </c>
      <c r="K277" s="3">
        <f>ROUND(Table15[[#This Row],[Defaulted Principal]]*IF($C$9="No",$E$4,VLOOKUP(Table15[[#This Row],[Period]],Forecast!$H$2:$L$1048576,3,FALSE)),2)</f>
        <v>0</v>
      </c>
      <c r="L277" s="2">
        <f>Table15[[#This Row],[Period]]+$E$9</f>
        <v>273</v>
      </c>
      <c r="M277" s="3">
        <f>Table15[[#This Row],[Defaulted Principal]]-Table15[[#This Row],[Estimated Loss]]</f>
        <v>0</v>
      </c>
      <c r="N277" s="3">
        <f>IFERROR(VLOOKUP(Table15[[#This Row],[Period]],$L$16:$M$385,2,FALSE),0)</f>
        <v>0</v>
      </c>
      <c r="O277" s="3">
        <f>Table15[[#This Row],[Beginning Balance]]-Table15[[#This Row],[Principal]]-Table15[[#This Row],[Prepayments]]-Table15[[#This Row],[Defaulted Principal]]</f>
        <v>0</v>
      </c>
      <c r="P277" s="3">
        <f>Table15[[#This Row],[Principal]]+Table15[[#This Row],[Interest]]+Table15[[#This Row],[Prepayments]]+Table15[[#This Row],[RecoveredAmount]]</f>
        <v>0</v>
      </c>
      <c r="Q277" s="3">
        <f ca="1">ROUND(Table15[[#This Row],[Cash Flow]]/((1+ActualRateToUse)^(IF(ISNUMBER(SEARCH("Actual",$C$7)),Table15[[#This Row],[Running Total]]/365,Table15[[#This Row],[Period]]/12))),2)</f>
        <v>0</v>
      </c>
      <c r="R277" s="2">
        <f>IF(MONTH(Table15[[#This Row],[Date]])=2,28,DAY(DATE(YEAR(Table15[[#This Row],[Date]]),MONTH(Table15[[#This Row],[Date]])+1,1)-1))</f>
        <v>31</v>
      </c>
      <c r="S277" s="2">
        <f ca="1">SUM(OFFSET(Table15[[#Headers],[Days in month]],1,0):Table15[[#This Row],[Days in month]])</f>
        <v>7939</v>
      </c>
      <c r="T277" s="37">
        <f>InterestRate*AmortizationMultiplier*IF(ISNUMBER(SEARCH("Actual",$C$7)),Table15[[#This Row],[Days in month]]/365,1/12)</f>
        <v>5.8133611111111103E-3</v>
      </c>
    </row>
    <row r="278" spans="2:20" x14ac:dyDescent="0.2">
      <c r="B278" s="1">
        <f t="shared" si="14"/>
        <v>53812</v>
      </c>
      <c r="C278" s="2">
        <f t="shared" si="16"/>
        <v>262</v>
      </c>
      <c r="D278" s="3">
        <f t="shared" si="15"/>
        <v>0</v>
      </c>
      <c r="E278" s="3">
        <f>ROUND(Table15[[#This Row],[Beginning Balance]]*Table15[[#This Row],[Monthly Interest Rate]],2)</f>
        <v>0</v>
      </c>
      <c r="F278" s="3">
        <f t="shared" si="17"/>
        <v>10</v>
      </c>
      <c r="G278" s="23">
        <f>IFERROR(IF($C$13="No","N/A",IF(Table15[[#This Row],[Period]]=1,$C$6,PMT(InterestRate*AmortizationMultiplier/12,Table15[[#This Row],[Am Thru]],-Table15[[#This Row],[Beginning Balance]]))),0)</f>
        <v>0</v>
      </c>
      <c r="H278" s="3">
        <f>MAX(0,IF(C278=$C$4,D278,ROUND(IF($C$3="Fixed Principal",$C$6-Table15[[#This Row],[Interest]],IF($C$3="Interest Only",Table15[[#This Row],[Beginning Balance]]*ROUND(1-(1-IF($C$11="No",$E$8,1))^(1/12),6),MIN(IF($C$13="Yes",Table15[[#This Row],[Payment Amount (Reamortized)]],$C$6)-Table15[[#This Row],[Interest]],Table15[[#This Row],[Beginning Balance]]))),2)))</f>
        <v>0</v>
      </c>
      <c r="I278" s="3">
        <f>_xlfn.SINGLE(IF($C$3="Line of Credit",0,ROUND(MAX(MIN(IF($C$10="No",$E$7,VLOOKUP(Table15[[#This Row],[Period]],Forecast!$H$2:$L$1048576,4,FALSE))*Table15[[#This Row],[Beginning Balance]],Table15[[#This Row],[Beginning Balance]]-Table15[[#This Row],[Principal]]),0),2)))</f>
        <v>0</v>
      </c>
      <c r="J278" s="3">
        <f>ROUND(MIN(Table15[[#This Row],[Beginning Balance]]*IF($C$8="No",$E$3,VLOOKUP(Table15[[#This Row],[Period]],Forecast!$H$2:$L$1048576,2,FALSE)),Table15[[#This Row],[Beginning Balance]]-Table15[[#This Row],[Principal]]-Table15[[#This Row],[Prepayments]]),2)</f>
        <v>0</v>
      </c>
      <c r="K278" s="3">
        <f>ROUND(Table15[[#This Row],[Defaulted Principal]]*IF($C$9="No",$E$4,VLOOKUP(Table15[[#This Row],[Period]],Forecast!$H$2:$L$1048576,3,FALSE)),2)</f>
        <v>0</v>
      </c>
      <c r="L278" s="2">
        <f>Table15[[#This Row],[Period]]+$E$9</f>
        <v>274</v>
      </c>
      <c r="M278" s="3">
        <f>Table15[[#This Row],[Defaulted Principal]]-Table15[[#This Row],[Estimated Loss]]</f>
        <v>0</v>
      </c>
      <c r="N278" s="3">
        <f>IFERROR(VLOOKUP(Table15[[#This Row],[Period]],$L$16:$M$385,2,FALSE),0)</f>
        <v>0</v>
      </c>
      <c r="O278" s="3">
        <f>Table15[[#This Row],[Beginning Balance]]-Table15[[#This Row],[Principal]]-Table15[[#This Row],[Prepayments]]-Table15[[#This Row],[Defaulted Principal]]</f>
        <v>0</v>
      </c>
      <c r="P278" s="3">
        <f>Table15[[#This Row],[Principal]]+Table15[[#This Row],[Interest]]+Table15[[#This Row],[Prepayments]]+Table15[[#This Row],[RecoveredAmount]]</f>
        <v>0</v>
      </c>
      <c r="Q278" s="3">
        <f ca="1">ROUND(Table15[[#This Row],[Cash Flow]]/((1+ActualRateToUse)^(IF(ISNUMBER(SEARCH("Actual",$C$7)),Table15[[#This Row],[Running Total]]/365,Table15[[#This Row],[Period]]/12))),2)</f>
        <v>0</v>
      </c>
      <c r="R278" s="2">
        <f>IF(MONTH(Table15[[#This Row],[Date]])=2,28,DAY(DATE(YEAR(Table15[[#This Row],[Date]]),MONTH(Table15[[#This Row],[Date]])+1,1)-1))</f>
        <v>30</v>
      </c>
      <c r="S278" s="2">
        <f ca="1">SUM(OFFSET(Table15[[#Headers],[Days in month]],1,0):Table15[[#This Row],[Days in month]])</f>
        <v>7969</v>
      </c>
      <c r="T278" s="37">
        <f>InterestRate*AmortizationMultiplier*IF(ISNUMBER(SEARCH("Actual",$C$7)),Table15[[#This Row],[Days in month]]/365,1/12)</f>
        <v>5.6258333333333325E-3</v>
      </c>
    </row>
    <row r="279" spans="2:20" x14ac:dyDescent="0.2">
      <c r="B279" s="1">
        <f t="shared" si="14"/>
        <v>53843</v>
      </c>
      <c r="C279" s="2">
        <f t="shared" si="16"/>
        <v>263</v>
      </c>
      <c r="D279" s="3">
        <f t="shared" si="15"/>
        <v>0</v>
      </c>
      <c r="E279" s="3">
        <f>ROUND(Table15[[#This Row],[Beginning Balance]]*Table15[[#This Row],[Monthly Interest Rate]],2)</f>
        <v>0</v>
      </c>
      <c r="F279" s="3">
        <f t="shared" si="17"/>
        <v>9</v>
      </c>
      <c r="G279" s="23">
        <f>IFERROR(IF($C$13="No","N/A",IF(Table15[[#This Row],[Period]]=1,$C$6,PMT(InterestRate*AmortizationMultiplier/12,Table15[[#This Row],[Am Thru]],-Table15[[#This Row],[Beginning Balance]]))),0)</f>
        <v>0</v>
      </c>
      <c r="H279" s="3">
        <f>MAX(0,IF(C279=$C$4,D279,ROUND(IF($C$3="Fixed Principal",$C$6-Table15[[#This Row],[Interest]],IF($C$3="Interest Only",Table15[[#This Row],[Beginning Balance]]*ROUND(1-(1-IF($C$11="No",$E$8,1))^(1/12),6),MIN(IF($C$13="Yes",Table15[[#This Row],[Payment Amount (Reamortized)]],$C$6)-Table15[[#This Row],[Interest]],Table15[[#This Row],[Beginning Balance]]))),2)))</f>
        <v>0</v>
      </c>
      <c r="I279" s="3">
        <f>_xlfn.SINGLE(IF($C$3="Line of Credit",0,ROUND(MAX(MIN(IF($C$10="No",$E$7,VLOOKUP(Table15[[#This Row],[Period]],Forecast!$H$2:$L$1048576,4,FALSE))*Table15[[#This Row],[Beginning Balance]],Table15[[#This Row],[Beginning Balance]]-Table15[[#This Row],[Principal]]),0),2)))</f>
        <v>0</v>
      </c>
      <c r="J279" s="3">
        <f>ROUND(MIN(Table15[[#This Row],[Beginning Balance]]*IF($C$8="No",$E$3,VLOOKUP(Table15[[#This Row],[Period]],Forecast!$H$2:$L$1048576,2,FALSE)),Table15[[#This Row],[Beginning Balance]]-Table15[[#This Row],[Principal]]-Table15[[#This Row],[Prepayments]]),2)</f>
        <v>0</v>
      </c>
      <c r="K279" s="3">
        <f>ROUND(Table15[[#This Row],[Defaulted Principal]]*IF($C$9="No",$E$4,VLOOKUP(Table15[[#This Row],[Period]],Forecast!$H$2:$L$1048576,3,FALSE)),2)</f>
        <v>0</v>
      </c>
      <c r="L279" s="2">
        <f>Table15[[#This Row],[Period]]+$E$9</f>
        <v>275</v>
      </c>
      <c r="M279" s="3">
        <f>Table15[[#This Row],[Defaulted Principal]]-Table15[[#This Row],[Estimated Loss]]</f>
        <v>0</v>
      </c>
      <c r="N279" s="3">
        <f>IFERROR(VLOOKUP(Table15[[#This Row],[Period]],$L$16:$M$385,2,FALSE),0)</f>
        <v>0</v>
      </c>
      <c r="O279" s="3">
        <f>Table15[[#This Row],[Beginning Balance]]-Table15[[#This Row],[Principal]]-Table15[[#This Row],[Prepayments]]-Table15[[#This Row],[Defaulted Principal]]</f>
        <v>0</v>
      </c>
      <c r="P279" s="3">
        <f>Table15[[#This Row],[Principal]]+Table15[[#This Row],[Interest]]+Table15[[#This Row],[Prepayments]]+Table15[[#This Row],[RecoveredAmount]]</f>
        <v>0</v>
      </c>
      <c r="Q279" s="3">
        <f ca="1">ROUND(Table15[[#This Row],[Cash Flow]]/((1+ActualRateToUse)^(IF(ISNUMBER(SEARCH("Actual",$C$7)),Table15[[#This Row],[Running Total]]/365,Table15[[#This Row],[Period]]/12))),2)</f>
        <v>0</v>
      </c>
      <c r="R279" s="2">
        <f>IF(MONTH(Table15[[#This Row],[Date]])=2,28,DAY(DATE(YEAR(Table15[[#This Row],[Date]]),MONTH(Table15[[#This Row],[Date]])+1,1)-1))</f>
        <v>31</v>
      </c>
      <c r="S279" s="2">
        <f ca="1">SUM(OFFSET(Table15[[#Headers],[Days in month]],1,0):Table15[[#This Row],[Days in month]])</f>
        <v>8000</v>
      </c>
      <c r="T279" s="37">
        <f>InterestRate*AmortizationMultiplier*IF(ISNUMBER(SEARCH("Actual",$C$7)),Table15[[#This Row],[Days in month]]/365,1/12)</f>
        <v>5.8133611111111103E-3</v>
      </c>
    </row>
    <row r="280" spans="2:20" x14ac:dyDescent="0.2">
      <c r="B280" s="1">
        <f t="shared" si="14"/>
        <v>53873</v>
      </c>
      <c r="C280" s="2">
        <f t="shared" si="16"/>
        <v>264</v>
      </c>
      <c r="D280" s="3">
        <f t="shared" si="15"/>
        <v>0</v>
      </c>
      <c r="E280" s="3">
        <f>ROUND(Table15[[#This Row],[Beginning Balance]]*Table15[[#This Row],[Monthly Interest Rate]],2)</f>
        <v>0</v>
      </c>
      <c r="F280" s="3">
        <f t="shared" si="17"/>
        <v>8</v>
      </c>
      <c r="G280" s="23">
        <f>IFERROR(IF($C$13="No","N/A",IF(Table15[[#This Row],[Period]]=1,$C$6,PMT(InterestRate*AmortizationMultiplier/12,Table15[[#This Row],[Am Thru]],-Table15[[#This Row],[Beginning Balance]]))),0)</f>
        <v>0</v>
      </c>
      <c r="H280" s="3">
        <f>MAX(0,IF(C280=$C$4,D280,ROUND(IF($C$3="Fixed Principal",$C$6-Table15[[#This Row],[Interest]],IF($C$3="Interest Only",Table15[[#This Row],[Beginning Balance]]*ROUND(1-(1-IF($C$11="No",$E$8,1))^(1/12),6),MIN(IF($C$13="Yes",Table15[[#This Row],[Payment Amount (Reamortized)]],$C$6)-Table15[[#This Row],[Interest]],Table15[[#This Row],[Beginning Balance]]))),2)))</f>
        <v>0</v>
      </c>
      <c r="I280" s="3">
        <f>_xlfn.SINGLE(IF($C$3="Line of Credit",0,ROUND(MAX(MIN(IF($C$10="No",$E$7,VLOOKUP(Table15[[#This Row],[Period]],Forecast!$H$2:$L$1048576,4,FALSE))*Table15[[#This Row],[Beginning Balance]],Table15[[#This Row],[Beginning Balance]]-Table15[[#This Row],[Principal]]),0),2)))</f>
        <v>0</v>
      </c>
      <c r="J280" s="3">
        <f>ROUND(MIN(Table15[[#This Row],[Beginning Balance]]*IF($C$8="No",$E$3,VLOOKUP(Table15[[#This Row],[Period]],Forecast!$H$2:$L$1048576,2,FALSE)),Table15[[#This Row],[Beginning Balance]]-Table15[[#This Row],[Principal]]-Table15[[#This Row],[Prepayments]]),2)</f>
        <v>0</v>
      </c>
      <c r="K280" s="3">
        <f>ROUND(Table15[[#This Row],[Defaulted Principal]]*IF($C$9="No",$E$4,VLOOKUP(Table15[[#This Row],[Period]],Forecast!$H$2:$L$1048576,3,FALSE)),2)</f>
        <v>0</v>
      </c>
      <c r="L280" s="2">
        <f>Table15[[#This Row],[Period]]+$E$9</f>
        <v>276</v>
      </c>
      <c r="M280" s="3">
        <f>Table15[[#This Row],[Defaulted Principal]]-Table15[[#This Row],[Estimated Loss]]</f>
        <v>0</v>
      </c>
      <c r="N280" s="3">
        <f>IFERROR(VLOOKUP(Table15[[#This Row],[Period]],$L$16:$M$385,2,FALSE),0)</f>
        <v>0</v>
      </c>
      <c r="O280" s="3">
        <f>Table15[[#This Row],[Beginning Balance]]-Table15[[#This Row],[Principal]]-Table15[[#This Row],[Prepayments]]-Table15[[#This Row],[Defaulted Principal]]</f>
        <v>0</v>
      </c>
      <c r="P280" s="3">
        <f>Table15[[#This Row],[Principal]]+Table15[[#This Row],[Interest]]+Table15[[#This Row],[Prepayments]]+Table15[[#This Row],[RecoveredAmount]]</f>
        <v>0</v>
      </c>
      <c r="Q280" s="3">
        <f ca="1">ROUND(Table15[[#This Row],[Cash Flow]]/((1+ActualRateToUse)^(IF(ISNUMBER(SEARCH("Actual",$C$7)),Table15[[#This Row],[Running Total]]/365,Table15[[#This Row],[Period]]/12))),2)</f>
        <v>0</v>
      </c>
      <c r="R280" s="2">
        <f>IF(MONTH(Table15[[#This Row],[Date]])=2,28,DAY(DATE(YEAR(Table15[[#This Row],[Date]]),MONTH(Table15[[#This Row],[Date]])+1,1)-1))</f>
        <v>30</v>
      </c>
      <c r="S280" s="2">
        <f ca="1">SUM(OFFSET(Table15[[#Headers],[Days in month]],1,0):Table15[[#This Row],[Days in month]])</f>
        <v>8030</v>
      </c>
      <c r="T280" s="37">
        <f>InterestRate*AmortizationMultiplier*IF(ISNUMBER(SEARCH("Actual",$C$7)),Table15[[#This Row],[Days in month]]/365,1/12)</f>
        <v>5.6258333333333325E-3</v>
      </c>
    </row>
    <row r="281" spans="2:20" x14ac:dyDescent="0.2">
      <c r="B281" s="1">
        <f t="shared" si="14"/>
        <v>53904</v>
      </c>
      <c r="C281" s="2">
        <f t="shared" si="16"/>
        <v>265</v>
      </c>
      <c r="D281" s="3">
        <f t="shared" si="15"/>
        <v>0</v>
      </c>
      <c r="E281" s="3">
        <f>ROUND(Table15[[#This Row],[Beginning Balance]]*Table15[[#This Row],[Monthly Interest Rate]],2)</f>
        <v>0</v>
      </c>
      <c r="F281" s="3">
        <f t="shared" si="17"/>
        <v>7</v>
      </c>
      <c r="G281" s="23">
        <f>IFERROR(IF($C$13="No","N/A",IF(Table15[[#This Row],[Period]]=1,$C$6,PMT(InterestRate*AmortizationMultiplier/12,Table15[[#This Row],[Am Thru]],-Table15[[#This Row],[Beginning Balance]]))),0)</f>
        <v>0</v>
      </c>
      <c r="H281" s="3">
        <f>MAX(0,IF(C281=$C$4,D281,ROUND(IF($C$3="Fixed Principal",$C$6-Table15[[#This Row],[Interest]],IF($C$3="Interest Only",Table15[[#This Row],[Beginning Balance]]*ROUND(1-(1-IF($C$11="No",$E$8,1))^(1/12),6),MIN(IF($C$13="Yes",Table15[[#This Row],[Payment Amount (Reamortized)]],$C$6)-Table15[[#This Row],[Interest]],Table15[[#This Row],[Beginning Balance]]))),2)))</f>
        <v>0</v>
      </c>
      <c r="I281" s="3">
        <f>_xlfn.SINGLE(IF($C$3="Line of Credit",0,ROUND(MAX(MIN(IF($C$10="No",$E$7,VLOOKUP(Table15[[#This Row],[Period]],Forecast!$H$2:$L$1048576,4,FALSE))*Table15[[#This Row],[Beginning Balance]],Table15[[#This Row],[Beginning Balance]]-Table15[[#This Row],[Principal]]),0),2)))</f>
        <v>0</v>
      </c>
      <c r="J281" s="3">
        <f>ROUND(MIN(Table15[[#This Row],[Beginning Balance]]*IF($C$8="No",$E$3,VLOOKUP(Table15[[#This Row],[Period]],Forecast!$H$2:$L$1048576,2,FALSE)),Table15[[#This Row],[Beginning Balance]]-Table15[[#This Row],[Principal]]-Table15[[#This Row],[Prepayments]]),2)</f>
        <v>0</v>
      </c>
      <c r="K281" s="3">
        <f>ROUND(Table15[[#This Row],[Defaulted Principal]]*IF($C$9="No",$E$4,VLOOKUP(Table15[[#This Row],[Period]],Forecast!$H$2:$L$1048576,3,FALSE)),2)</f>
        <v>0</v>
      </c>
      <c r="L281" s="2">
        <f>Table15[[#This Row],[Period]]+$E$9</f>
        <v>277</v>
      </c>
      <c r="M281" s="3">
        <f>Table15[[#This Row],[Defaulted Principal]]-Table15[[#This Row],[Estimated Loss]]</f>
        <v>0</v>
      </c>
      <c r="N281" s="3">
        <f>IFERROR(VLOOKUP(Table15[[#This Row],[Period]],$L$16:$M$385,2,FALSE),0)</f>
        <v>0</v>
      </c>
      <c r="O281" s="3">
        <f>Table15[[#This Row],[Beginning Balance]]-Table15[[#This Row],[Principal]]-Table15[[#This Row],[Prepayments]]-Table15[[#This Row],[Defaulted Principal]]</f>
        <v>0</v>
      </c>
      <c r="P281" s="3">
        <f>Table15[[#This Row],[Principal]]+Table15[[#This Row],[Interest]]+Table15[[#This Row],[Prepayments]]+Table15[[#This Row],[RecoveredAmount]]</f>
        <v>0</v>
      </c>
      <c r="Q281" s="3">
        <f ca="1">ROUND(Table15[[#This Row],[Cash Flow]]/((1+ActualRateToUse)^(IF(ISNUMBER(SEARCH("Actual",$C$7)),Table15[[#This Row],[Running Total]]/365,Table15[[#This Row],[Period]]/12))),2)</f>
        <v>0</v>
      </c>
      <c r="R281" s="2">
        <f>IF(MONTH(Table15[[#This Row],[Date]])=2,28,DAY(DATE(YEAR(Table15[[#This Row],[Date]]),MONTH(Table15[[#This Row],[Date]])+1,1)-1))</f>
        <v>31</v>
      </c>
      <c r="S281" s="2">
        <f ca="1">SUM(OFFSET(Table15[[#Headers],[Days in month]],1,0):Table15[[#This Row],[Days in month]])</f>
        <v>8061</v>
      </c>
      <c r="T281" s="37">
        <f>InterestRate*AmortizationMultiplier*IF(ISNUMBER(SEARCH("Actual",$C$7)),Table15[[#This Row],[Days in month]]/365,1/12)</f>
        <v>5.8133611111111103E-3</v>
      </c>
    </row>
    <row r="282" spans="2:20" x14ac:dyDescent="0.2">
      <c r="B282" s="1">
        <f t="shared" si="14"/>
        <v>53935</v>
      </c>
      <c r="C282" s="2">
        <f t="shared" si="16"/>
        <v>266</v>
      </c>
      <c r="D282" s="3">
        <f t="shared" si="15"/>
        <v>0</v>
      </c>
      <c r="E282" s="3">
        <f>ROUND(Table15[[#This Row],[Beginning Balance]]*Table15[[#This Row],[Monthly Interest Rate]],2)</f>
        <v>0</v>
      </c>
      <c r="F282" s="3">
        <f t="shared" si="17"/>
        <v>6</v>
      </c>
      <c r="G282" s="23">
        <f>IFERROR(IF($C$13="No","N/A",IF(Table15[[#This Row],[Period]]=1,$C$6,PMT(InterestRate*AmortizationMultiplier/12,Table15[[#This Row],[Am Thru]],-Table15[[#This Row],[Beginning Balance]]))),0)</f>
        <v>0</v>
      </c>
      <c r="H282" s="3">
        <f>MAX(0,IF(C282=$C$4,D282,ROUND(IF($C$3="Fixed Principal",$C$6-Table15[[#This Row],[Interest]],IF($C$3="Interest Only",Table15[[#This Row],[Beginning Balance]]*ROUND(1-(1-IF($C$11="No",$E$8,1))^(1/12),6),MIN(IF($C$13="Yes",Table15[[#This Row],[Payment Amount (Reamortized)]],$C$6)-Table15[[#This Row],[Interest]],Table15[[#This Row],[Beginning Balance]]))),2)))</f>
        <v>0</v>
      </c>
      <c r="I282" s="3">
        <f>_xlfn.SINGLE(IF($C$3="Line of Credit",0,ROUND(MAX(MIN(IF($C$10="No",$E$7,VLOOKUP(Table15[[#This Row],[Period]],Forecast!$H$2:$L$1048576,4,FALSE))*Table15[[#This Row],[Beginning Balance]],Table15[[#This Row],[Beginning Balance]]-Table15[[#This Row],[Principal]]),0),2)))</f>
        <v>0</v>
      </c>
      <c r="J282" s="3">
        <f>ROUND(MIN(Table15[[#This Row],[Beginning Balance]]*IF($C$8="No",$E$3,VLOOKUP(Table15[[#This Row],[Period]],Forecast!$H$2:$L$1048576,2,FALSE)),Table15[[#This Row],[Beginning Balance]]-Table15[[#This Row],[Principal]]-Table15[[#This Row],[Prepayments]]),2)</f>
        <v>0</v>
      </c>
      <c r="K282" s="3">
        <f>ROUND(Table15[[#This Row],[Defaulted Principal]]*IF($C$9="No",$E$4,VLOOKUP(Table15[[#This Row],[Period]],Forecast!$H$2:$L$1048576,3,FALSE)),2)</f>
        <v>0</v>
      </c>
      <c r="L282" s="2">
        <f>Table15[[#This Row],[Period]]+$E$9</f>
        <v>278</v>
      </c>
      <c r="M282" s="3">
        <f>Table15[[#This Row],[Defaulted Principal]]-Table15[[#This Row],[Estimated Loss]]</f>
        <v>0</v>
      </c>
      <c r="N282" s="3">
        <f>IFERROR(VLOOKUP(Table15[[#This Row],[Period]],$L$16:$M$385,2,FALSE),0)</f>
        <v>0</v>
      </c>
      <c r="O282" s="3">
        <f>Table15[[#This Row],[Beginning Balance]]-Table15[[#This Row],[Principal]]-Table15[[#This Row],[Prepayments]]-Table15[[#This Row],[Defaulted Principal]]</f>
        <v>0</v>
      </c>
      <c r="P282" s="3">
        <f>Table15[[#This Row],[Principal]]+Table15[[#This Row],[Interest]]+Table15[[#This Row],[Prepayments]]+Table15[[#This Row],[RecoveredAmount]]</f>
        <v>0</v>
      </c>
      <c r="Q282" s="3">
        <f ca="1">ROUND(Table15[[#This Row],[Cash Flow]]/((1+ActualRateToUse)^(IF(ISNUMBER(SEARCH("Actual",$C$7)),Table15[[#This Row],[Running Total]]/365,Table15[[#This Row],[Period]]/12))),2)</f>
        <v>0</v>
      </c>
      <c r="R282" s="2">
        <f>IF(MONTH(Table15[[#This Row],[Date]])=2,28,DAY(DATE(YEAR(Table15[[#This Row],[Date]]),MONTH(Table15[[#This Row],[Date]])+1,1)-1))</f>
        <v>31</v>
      </c>
      <c r="S282" s="2">
        <f ca="1">SUM(OFFSET(Table15[[#Headers],[Days in month]],1,0):Table15[[#This Row],[Days in month]])</f>
        <v>8092</v>
      </c>
      <c r="T282" s="37">
        <f>InterestRate*AmortizationMultiplier*IF(ISNUMBER(SEARCH("Actual",$C$7)),Table15[[#This Row],[Days in month]]/365,1/12)</f>
        <v>5.8133611111111103E-3</v>
      </c>
    </row>
    <row r="283" spans="2:20" x14ac:dyDescent="0.2">
      <c r="B283" s="1">
        <f t="shared" si="14"/>
        <v>53965</v>
      </c>
      <c r="C283" s="2">
        <f t="shared" si="16"/>
        <v>267</v>
      </c>
      <c r="D283" s="3">
        <f t="shared" si="15"/>
        <v>0</v>
      </c>
      <c r="E283" s="3">
        <f>ROUND(Table15[[#This Row],[Beginning Balance]]*Table15[[#This Row],[Monthly Interest Rate]],2)</f>
        <v>0</v>
      </c>
      <c r="F283" s="3">
        <f t="shared" si="17"/>
        <v>5</v>
      </c>
      <c r="G283" s="23">
        <f>IFERROR(IF($C$13="No","N/A",IF(Table15[[#This Row],[Period]]=1,$C$6,PMT(InterestRate*AmortizationMultiplier/12,Table15[[#This Row],[Am Thru]],-Table15[[#This Row],[Beginning Balance]]))),0)</f>
        <v>0</v>
      </c>
      <c r="H283" s="3">
        <f>MAX(0,IF(C283=$C$4,D283,ROUND(IF($C$3="Fixed Principal",$C$6-Table15[[#This Row],[Interest]],IF($C$3="Interest Only",Table15[[#This Row],[Beginning Balance]]*ROUND(1-(1-IF($C$11="No",$E$8,1))^(1/12),6),MIN(IF($C$13="Yes",Table15[[#This Row],[Payment Amount (Reamortized)]],$C$6)-Table15[[#This Row],[Interest]],Table15[[#This Row],[Beginning Balance]]))),2)))</f>
        <v>0</v>
      </c>
      <c r="I283" s="3">
        <f>_xlfn.SINGLE(IF($C$3="Line of Credit",0,ROUND(MAX(MIN(IF($C$10="No",$E$7,VLOOKUP(Table15[[#This Row],[Period]],Forecast!$H$2:$L$1048576,4,FALSE))*Table15[[#This Row],[Beginning Balance]],Table15[[#This Row],[Beginning Balance]]-Table15[[#This Row],[Principal]]),0),2)))</f>
        <v>0</v>
      </c>
      <c r="J283" s="3">
        <f>ROUND(MIN(Table15[[#This Row],[Beginning Balance]]*IF($C$8="No",$E$3,VLOOKUP(Table15[[#This Row],[Period]],Forecast!$H$2:$L$1048576,2,FALSE)),Table15[[#This Row],[Beginning Balance]]-Table15[[#This Row],[Principal]]-Table15[[#This Row],[Prepayments]]),2)</f>
        <v>0</v>
      </c>
      <c r="K283" s="3">
        <f>ROUND(Table15[[#This Row],[Defaulted Principal]]*IF($C$9="No",$E$4,VLOOKUP(Table15[[#This Row],[Period]],Forecast!$H$2:$L$1048576,3,FALSE)),2)</f>
        <v>0</v>
      </c>
      <c r="L283" s="2">
        <f>Table15[[#This Row],[Period]]+$E$9</f>
        <v>279</v>
      </c>
      <c r="M283" s="3">
        <f>Table15[[#This Row],[Defaulted Principal]]-Table15[[#This Row],[Estimated Loss]]</f>
        <v>0</v>
      </c>
      <c r="N283" s="3">
        <f>IFERROR(VLOOKUP(Table15[[#This Row],[Period]],$L$16:$M$385,2,FALSE),0)</f>
        <v>0</v>
      </c>
      <c r="O283" s="3">
        <f>Table15[[#This Row],[Beginning Balance]]-Table15[[#This Row],[Principal]]-Table15[[#This Row],[Prepayments]]-Table15[[#This Row],[Defaulted Principal]]</f>
        <v>0</v>
      </c>
      <c r="P283" s="3">
        <f>Table15[[#This Row],[Principal]]+Table15[[#This Row],[Interest]]+Table15[[#This Row],[Prepayments]]+Table15[[#This Row],[RecoveredAmount]]</f>
        <v>0</v>
      </c>
      <c r="Q283" s="3">
        <f ca="1">ROUND(Table15[[#This Row],[Cash Flow]]/((1+ActualRateToUse)^(IF(ISNUMBER(SEARCH("Actual",$C$7)),Table15[[#This Row],[Running Total]]/365,Table15[[#This Row],[Period]]/12))),2)</f>
        <v>0</v>
      </c>
      <c r="R283" s="2">
        <f>IF(MONTH(Table15[[#This Row],[Date]])=2,28,DAY(DATE(YEAR(Table15[[#This Row],[Date]]),MONTH(Table15[[#This Row],[Date]])+1,1)-1))</f>
        <v>30</v>
      </c>
      <c r="S283" s="2">
        <f ca="1">SUM(OFFSET(Table15[[#Headers],[Days in month]],1,0):Table15[[#This Row],[Days in month]])</f>
        <v>8122</v>
      </c>
      <c r="T283" s="37">
        <f>InterestRate*AmortizationMultiplier*IF(ISNUMBER(SEARCH("Actual",$C$7)),Table15[[#This Row],[Days in month]]/365,1/12)</f>
        <v>5.6258333333333325E-3</v>
      </c>
    </row>
    <row r="284" spans="2:20" x14ac:dyDescent="0.2">
      <c r="B284" s="1">
        <f t="shared" si="14"/>
        <v>53996</v>
      </c>
      <c r="C284" s="2">
        <f t="shared" si="16"/>
        <v>268</v>
      </c>
      <c r="D284" s="3">
        <f t="shared" si="15"/>
        <v>0</v>
      </c>
      <c r="E284" s="3">
        <f>ROUND(Table15[[#This Row],[Beginning Balance]]*Table15[[#This Row],[Monthly Interest Rate]],2)</f>
        <v>0</v>
      </c>
      <c r="F284" s="3">
        <f t="shared" si="17"/>
        <v>4</v>
      </c>
      <c r="G284" s="23">
        <f>IFERROR(IF($C$13="No","N/A",IF(Table15[[#This Row],[Period]]=1,$C$6,PMT(InterestRate*AmortizationMultiplier/12,Table15[[#This Row],[Am Thru]],-Table15[[#This Row],[Beginning Balance]]))),0)</f>
        <v>0</v>
      </c>
      <c r="H284" s="3">
        <f>MAX(0,IF(C284=$C$4,D284,ROUND(IF($C$3="Fixed Principal",$C$6-Table15[[#This Row],[Interest]],IF($C$3="Interest Only",Table15[[#This Row],[Beginning Balance]]*ROUND(1-(1-IF($C$11="No",$E$8,1))^(1/12),6),MIN(IF($C$13="Yes",Table15[[#This Row],[Payment Amount (Reamortized)]],$C$6)-Table15[[#This Row],[Interest]],Table15[[#This Row],[Beginning Balance]]))),2)))</f>
        <v>0</v>
      </c>
      <c r="I284" s="3">
        <f>_xlfn.SINGLE(IF($C$3="Line of Credit",0,ROUND(MAX(MIN(IF($C$10="No",$E$7,VLOOKUP(Table15[[#This Row],[Period]],Forecast!$H$2:$L$1048576,4,FALSE))*Table15[[#This Row],[Beginning Balance]],Table15[[#This Row],[Beginning Balance]]-Table15[[#This Row],[Principal]]),0),2)))</f>
        <v>0</v>
      </c>
      <c r="J284" s="3">
        <f>ROUND(MIN(Table15[[#This Row],[Beginning Balance]]*IF($C$8="No",$E$3,VLOOKUP(Table15[[#This Row],[Period]],Forecast!$H$2:$L$1048576,2,FALSE)),Table15[[#This Row],[Beginning Balance]]-Table15[[#This Row],[Principal]]-Table15[[#This Row],[Prepayments]]),2)</f>
        <v>0</v>
      </c>
      <c r="K284" s="3">
        <f>ROUND(Table15[[#This Row],[Defaulted Principal]]*IF($C$9="No",$E$4,VLOOKUP(Table15[[#This Row],[Period]],Forecast!$H$2:$L$1048576,3,FALSE)),2)</f>
        <v>0</v>
      </c>
      <c r="L284" s="2">
        <f>Table15[[#This Row],[Period]]+$E$9</f>
        <v>280</v>
      </c>
      <c r="M284" s="3">
        <f>Table15[[#This Row],[Defaulted Principal]]-Table15[[#This Row],[Estimated Loss]]</f>
        <v>0</v>
      </c>
      <c r="N284" s="3">
        <f>IFERROR(VLOOKUP(Table15[[#This Row],[Period]],$L$16:$M$385,2,FALSE),0)</f>
        <v>0</v>
      </c>
      <c r="O284" s="3">
        <f>Table15[[#This Row],[Beginning Balance]]-Table15[[#This Row],[Principal]]-Table15[[#This Row],[Prepayments]]-Table15[[#This Row],[Defaulted Principal]]</f>
        <v>0</v>
      </c>
      <c r="P284" s="3">
        <f>Table15[[#This Row],[Principal]]+Table15[[#This Row],[Interest]]+Table15[[#This Row],[Prepayments]]+Table15[[#This Row],[RecoveredAmount]]</f>
        <v>0</v>
      </c>
      <c r="Q284" s="3">
        <f ca="1">ROUND(Table15[[#This Row],[Cash Flow]]/((1+ActualRateToUse)^(IF(ISNUMBER(SEARCH("Actual",$C$7)),Table15[[#This Row],[Running Total]]/365,Table15[[#This Row],[Period]]/12))),2)</f>
        <v>0</v>
      </c>
      <c r="R284" s="2">
        <f>IF(MONTH(Table15[[#This Row],[Date]])=2,28,DAY(DATE(YEAR(Table15[[#This Row],[Date]]),MONTH(Table15[[#This Row],[Date]])+1,1)-1))</f>
        <v>31</v>
      </c>
      <c r="S284" s="2">
        <f ca="1">SUM(OFFSET(Table15[[#Headers],[Days in month]],1,0):Table15[[#This Row],[Days in month]])</f>
        <v>8153</v>
      </c>
      <c r="T284" s="37">
        <f>InterestRate*AmortizationMultiplier*IF(ISNUMBER(SEARCH("Actual",$C$7)),Table15[[#This Row],[Days in month]]/365,1/12)</f>
        <v>5.8133611111111103E-3</v>
      </c>
    </row>
    <row r="285" spans="2:20" x14ac:dyDescent="0.2">
      <c r="B285" s="1">
        <f t="shared" si="14"/>
        <v>54026</v>
      </c>
      <c r="C285" s="2">
        <f t="shared" si="16"/>
        <v>269</v>
      </c>
      <c r="D285" s="3">
        <f t="shared" si="15"/>
        <v>0</v>
      </c>
      <c r="E285" s="3">
        <f>ROUND(Table15[[#This Row],[Beginning Balance]]*Table15[[#This Row],[Monthly Interest Rate]],2)</f>
        <v>0</v>
      </c>
      <c r="F285" s="3">
        <f t="shared" si="17"/>
        <v>3</v>
      </c>
      <c r="G285" s="23">
        <f>IFERROR(IF($C$13="No","N/A",IF(Table15[[#This Row],[Period]]=1,$C$6,PMT(InterestRate*AmortizationMultiplier/12,Table15[[#This Row],[Am Thru]],-Table15[[#This Row],[Beginning Balance]]))),0)</f>
        <v>0</v>
      </c>
      <c r="H285" s="3">
        <f>MAX(0,IF(C285=$C$4,D285,ROUND(IF($C$3="Fixed Principal",$C$6-Table15[[#This Row],[Interest]],IF($C$3="Interest Only",Table15[[#This Row],[Beginning Balance]]*ROUND(1-(1-IF($C$11="No",$E$8,1))^(1/12),6),MIN(IF($C$13="Yes",Table15[[#This Row],[Payment Amount (Reamortized)]],$C$6)-Table15[[#This Row],[Interest]],Table15[[#This Row],[Beginning Balance]]))),2)))</f>
        <v>0</v>
      </c>
      <c r="I285" s="3">
        <f>_xlfn.SINGLE(IF($C$3="Line of Credit",0,ROUND(MAX(MIN(IF($C$10="No",$E$7,VLOOKUP(Table15[[#This Row],[Period]],Forecast!$H$2:$L$1048576,4,FALSE))*Table15[[#This Row],[Beginning Balance]],Table15[[#This Row],[Beginning Balance]]-Table15[[#This Row],[Principal]]),0),2)))</f>
        <v>0</v>
      </c>
      <c r="J285" s="3">
        <f>ROUND(MIN(Table15[[#This Row],[Beginning Balance]]*IF($C$8="No",$E$3,VLOOKUP(Table15[[#This Row],[Period]],Forecast!$H$2:$L$1048576,2,FALSE)),Table15[[#This Row],[Beginning Balance]]-Table15[[#This Row],[Principal]]-Table15[[#This Row],[Prepayments]]),2)</f>
        <v>0</v>
      </c>
      <c r="K285" s="3">
        <f>ROUND(Table15[[#This Row],[Defaulted Principal]]*IF($C$9="No",$E$4,VLOOKUP(Table15[[#This Row],[Period]],Forecast!$H$2:$L$1048576,3,FALSE)),2)</f>
        <v>0</v>
      </c>
      <c r="L285" s="2">
        <f>Table15[[#This Row],[Period]]+$E$9</f>
        <v>281</v>
      </c>
      <c r="M285" s="3">
        <f>Table15[[#This Row],[Defaulted Principal]]-Table15[[#This Row],[Estimated Loss]]</f>
        <v>0</v>
      </c>
      <c r="N285" s="3">
        <f>IFERROR(VLOOKUP(Table15[[#This Row],[Period]],$L$16:$M$385,2,FALSE),0)</f>
        <v>0</v>
      </c>
      <c r="O285" s="3">
        <f>Table15[[#This Row],[Beginning Balance]]-Table15[[#This Row],[Principal]]-Table15[[#This Row],[Prepayments]]-Table15[[#This Row],[Defaulted Principal]]</f>
        <v>0</v>
      </c>
      <c r="P285" s="3">
        <f>Table15[[#This Row],[Principal]]+Table15[[#This Row],[Interest]]+Table15[[#This Row],[Prepayments]]+Table15[[#This Row],[RecoveredAmount]]</f>
        <v>0</v>
      </c>
      <c r="Q285" s="3">
        <f ca="1">ROUND(Table15[[#This Row],[Cash Flow]]/((1+ActualRateToUse)^(IF(ISNUMBER(SEARCH("Actual",$C$7)),Table15[[#This Row],[Running Total]]/365,Table15[[#This Row],[Period]]/12))),2)</f>
        <v>0</v>
      </c>
      <c r="R285" s="2">
        <f>IF(MONTH(Table15[[#This Row],[Date]])=2,28,DAY(DATE(YEAR(Table15[[#This Row],[Date]]),MONTH(Table15[[#This Row],[Date]])+1,1)-1))</f>
        <v>30</v>
      </c>
      <c r="S285" s="2">
        <f ca="1">SUM(OFFSET(Table15[[#Headers],[Days in month]],1,0):Table15[[#This Row],[Days in month]])</f>
        <v>8183</v>
      </c>
      <c r="T285" s="37">
        <f>InterestRate*AmortizationMultiplier*IF(ISNUMBER(SEARCH("Actual",$C$7)),Table15[[#This Row],[Days in month]]/365,1/12)</f>
        <v>5.6258333333333325E-3</v>
      </c>
    </row>
    <row r="286" spans="2:20" x14ac:dyDescent="0.2">
      <c r="B286" s="1">
        <f t="shared" si="14"/>
        <v>54057</v>
      </c>
      <c r="C286" s="2">
        <f t="shared" si="16"/>
        <v>270</v>
      </c>
      <c r="D286" s="3">
        <f t="shared" si="15"/>
        <v>0</v>
      </c>
      <c r="E286" s="3">
        <f>ROUND(Table15[[#This Row],[Beginning Balance]]*Table15[[#This Row],[Monthly Interest Rate]],2)</f>
        <v>0</v>
      </c>
      <c r="F286" s="3">
        <f t="shared" si="17"/>
        <v>2</v>
      </c>
      <c r="G286" s="23">
        <f>IFERROR(IF($C$13="No","N/A",IF(Table15[[#This Row],[Period]]=1,$C$6,PMT(InterestRate*AmortizationMultiplier/12,Table15[[#This Row],[Am Thru]],-Table15[[#This Row],[Beginning Balance]]))),0)</f>
        <v>0</v>
      </c>
      <c r="H286" s="3">
        <f>MAX(0,IF(C286=$C$4,D286,ROUND(IF($C$3="Fixed Principal",$C$6-Table15[[#This Row],[Interest]],IF($C$3="Interest Only",Table15[[#This Row],[Beginning Balance]]*ROUND(1-(1-IF($C$11="No",$E$8,1))^(1/12),6),MIN(IF($C$13="Yes",Table15[[#This Row],[Payment Amount (Reamortized)]],$C$6)-Table15[[#This Row],[Interest]],Table15[[#This Row],[Beginning Balance]]))),2)))</f>
        <v>0</v>
      </c>
      <c r="I286" s="3">
        <f>_xlfn.SINGLE(IF($C$3="Line of Credit",0,ROUND(MAX(MIN(IF($C$10="No",$E$7,VLOOKUP(Table15[[#This Row],[Period]],Forecast!$H$2:$L$1048576,4,FALSE))*Table15[[#This Row],[Beginning Balance]],Table15[[#This Row],[Beginning Balance]]-Table15[[#This Row],[Principal]]),0),2)))</f>
        <v>0</v>
      </c>
      <c r="J286" s="3">
        <f>ROUND(MIN(Table15[[#This Row],[Beginning Balance]]*IF($C$8="No",$E$3,VLOOKUP(Table15[[#This Row],[Period]],Forecast!$H$2:$L$1048576,2,FALSE)),Table15[[#This Row],[Beginning Balance]]-Table15[[#This Row],[Principal]]-Table15[[#This Row],[Prepayments]]),2)</f>
        <v>0</v>
      </c>
      <c r="K286" s="3">
        <f>ROUND(Table15[[#This Row],[Defaulted Principal]]*IF($C$9="No",$E$4,VLOOKUP(Table15[[#This Row],[Period]],Forecast!$H$2:$L$1048576,3,FALSE)),2)</f>
        <v>0</v>
      </c>
      <c r="L286" s="2">
        <f>Table15[[#This Row],[Period]]+$E$9</f>
        <v>282</v>
      </c>
      <c r="M286" s="3">
        <f>Table15[[#This Row],[Defaulted Principal]]-Table15[[#This Row],[Estimated Loss]]</f>
        <v>0</v>
      </c>
      <c r="N286" s="3">
        <f>IFERROR(VLOOKUP(Table15[[#This Row],[Period]],$L$16:$M$385,2,FALSE),0)</f>
        <v>0</v>
      </c>
      <c r="O286" s="3">
        <f>Table15[[#This Row],[Beginning Balance]]-Table15[[#This Row],[Principal]]-Table15[[#This Row],[Prepayments]]-Table15[[#This Row],[Defaulted Principal]]</f>
        <v>0</v>
      </c>
      <c r="P286" s="3">
        <f>Table15[[#This Row],[Principal]]+Table15[[#This Row],[Interest]]+Table15[[#This Row],[Prepayments]]+Table15[[#This Row],[RecoveredAmount]]</f>
        <v>0</v>
      </c>
      <c r="Q286" s="3">
        <f ca="1">ROUND(Table15[[#This Row],[Cash Flow]]/((1+ActualRateToUse)^(IF(ISNUMBER(SEARCH("Actual",$C$7)),Table15[[#This Row],[Running Total]]/365,Table15[[#This Row],[Period]]/12))),2)</f>
        <v>0</v>
      </c>
      <c r="R286" s="2">
        <f>IF(MONTH(Table15[[#This Row],[Date]])=2,28,DAY(DATE(YEAR(Table15[[#This Row],[Date]]),MONTH(Table15[[#This Row],[Date]])+1,1)-1))</f>
        <v>31</v>
      </c>
      <c r="S286" s="2">
        <f ca="1">SUM(OFFSET(Table15[[#Headers],[Days in month]],1,0):Table15[[#This Row],[Days in month]])</f>
        <v>8214</v>
      </c>
      <c r="T286" s="37">
        <f>InterestRate*AmortizationMultiplier*IF(ISNUMBER(SEARCH("Actual",$C$7)),Table15[[#This Row],[Days in month]]/365,1/12)</f>
        <v>5.8133611111111103E-3</v>
      </c>
    </row>
    <row r="287" spans="2:20" x14ac:dyDescent="0.2">
      <c r="B287" s="1">
        <f t="shared" si="14"/>
        <v>54088</v>
      </c>
      <c r="C287" s="2">
        <f t="shared" si="16"/>
        <v>271</v>
      </c>
      <c r="D287" s="3">
        <f t="shared" si="15"/>
        <v>0</v>
      </c>
      <c r="E287" s="3">
        <f>ROUND(Table15[[#This Row],[Beginning Balance]]*Table15[[#This Row],[Monthly Interest Rate]],2)</f>
        <v>0</v>
      </c>
      <c r="F287" s="3">
        <f t="shared" si="17"/>
        <v>1</v>
      </c>
      <c r="G287" s="23">
        <f>IFERROR(IF($C$13="No","N/A",IF(Table15[[#This Row],[Period]]=1,$C$6,PMT(InterestRate*AmortizationMultiplier/12,Table15[[#This Row],[Am Thru]],-Table15[[#This Row],[Beginning Balance]]))),0)</f>
        <v>0</v>
      </c>
      <c r="H287" s="3">
        <f>MAX(0,IF(C287=$C$4,D287,ROUND(IF($C$3="Fixed Principal",$C$6-Table15[[#This Row],[Interest]],IF($C$3="Interest Only",Table15[[#This Row],[Beginning Balance]]*ROUND(1-(1-IF($C$11="No",$E$8,1))^(1/12),6),MIN(IF($C$13="Yes",Table15[[#This Row],[Payment Amount (Reamortized)]],$C$6)-Table15[[#This Row],[Interest]],Table15[[#This Row],[Beginning Balance]]))),2)))</f>
        <v>0</v>
      </c>
      <c r="I287" s="3">
        <f>_xlfn.SINGLE(IF($C$3="Line of Credit",0,ROUND(MAX(MIN(IF($C$10="No",$E$7,VLOOKUP(Table15[[#This Row],[Period]],Forecast!$H$2:$L$1048576,4,FALSE))*Table15[[#This Row],[Beginning Balance]],Table15[[#This Row],[Beginning Balance]]-Table15[[#This Row],[Principal]]),0),2)))</f>
        <v>0</v>
      </c>
      <c r="J287" s="3">
        <f>ROUND(MIN(Table15[[#This Row],[Beginning Balance]]*IF($C$8="No",$E$3,VLOOKUP(Table15[[#This Row],[Period]],Forecast!$H$2:$L$1048576,2,FALSE)),Table15[[#This Row],[Beginning Balance]]-Table15[[#This Row],[Principal]]-Table15[[#This Row],[Prepayments]]),2)</f>
        <v>0</v>
      </c>
      <c r="K287" s="3">
        <f>ROUND(Table15[[#This Row],[Defaulted Principal]]*IF($C$9="No",$E$4,VLOOKUP(Table15[[#This Row],[Period]],Forecast!$H$2:$L$1048576,3,FALSE)),2)</f>
        <v>0</v>
      </c>
      <c r="L287" s="2">
        <f>Table15[[#This Row],[Period]]+$E$9</f>
        <v>283</v>
      </c>
      <c r="M287" s="3">
        <f>Table15[[#This Row],[Defaulted Principal]]-Table15[[#This Row],[Estimated Loss]]</f>
        <v>0</v>
      </c>
      <c r="N287" s="3">
        <f>IFERROR(VLOOKUP(Table15[[#This Row],[Period]],$L$16:$M$385,2,FALSE),0)</f>
        <v>0</v>
      </c>
      <c r="O287" s="3">
        <f>Table15[[#This Row],[Beginning Balance]]-Table15[[#This Row],[Principal]]-Table15[[#This Row],[Prepayments]]-Table15[[#This Row],[Defaulted Principal]]</f>
        <v>0</v>
      </c>
      <c r="P287" s="3">
        <f>Table15[[#This Row],[Principal]]+Table15[[#This Row],[Interest]]+Table15[[#This Row],[Prepayments]]+Table15[[#This Row],[RecoveredAmount]]</f>
        <v>0</v>
      </c>
      <c r="Q287" s="3">
        <f ca="1">ROUND(Table15[[#This Row],[Cash Flow]]/((1+ActualRateToUse)^(IF(ISNUMBER(SEARCH("Actual",$C$7)),Table15[[#This Row],[Running Total]]/365,Table15[[#This Row],[Period]]/12))),2)</f>
        <v>0</v>
      </c>
      <c r="R287" s="2">
        <f>IF(MONTH(Table15[[#This Row],[Date]])=2,28,DAY(DATE(YEAR(Table15[[#This Row],[Date]]),MONTH(Table15[[#This Row],[Date]])+1,1)-1))</f>
        <v>31</v>
      </c>
      <c r="S287" s="2">
        <f ca="1">SUM(OFFSET(Table15[[#Headers],[Days in month]],1,0):Table15[[#This Row],[Days in month]])</f>
        <v>8245</v>
      </c>
      <c r="T287" s="37">
        <f>InterestRate*AmortizationMultiplier*IF(ISNUMBER(SEARCH("Actual",$C$7)),Table15[[#This Row],[Days in month]]/365,1/12)</f>
        <v>5.8133611111111103E-3</v>
      </c>
    </row>
    <row r="288" spans="2:20" x14ac:dyDescent="0.2">
      <c r="B288" s="1">
        <f t="shared" si="14"/>
        <v>54117</v>
      </c>
      <c r="C288" s="2">
        <f t="shared" si="16"/>
        <v>272</v>
      </c>
      <c r="D288" s="3">
        <f t="shared" si="15"/>
        <v>0</v>
      </c>
      <c r="E288" s="3">
        <f>ROUND(Table15[[#This Row],[Beginning Balance]]*Table15[[#This Row],[Monthly Interest Rate]],2)</f>
        <v>0</v>
      </c>
      <c r="F288" s="3">
        <f t="shared" si="17"/>
        <v>0</v>
      </c>
      <c r="G288" s="23">
        <f>IFERROR(IF($C$13="No","N/A",IF(Table15[[#This Row],[Period]]=1,$C$6,PMT(InterestRate*AmortizationMultiplier/12,Table15[[#This Row],[Am Thru]],-Table15[[#This Row],[Beginning Balance]]))),0)</f>
        <v>0</v>
      </c>
      <c r="H288" s="3">
        <f>MAX(0,IF(C288=$C$4,D288,ROUND(IF($C$3="Fixed Principal",$C$6-Table15[[#This Row],[Interest]],IF($C$3="Interest Only",Table15[[#This Row],[Beginning Balance]]*ROUND(1-(1-IF($C$11="No",$E$8,1))^(1/12),6),MIN(IF($C$13="Yes",Table15[[#This Row],[Payment Amount (Reamortized)]],$C$6)-Table15[[#This Row],[Interest]],Table15[[#This Row],[Beginning Balance]]))),2)))</f>
        <v>0</v>
      </c>
      <c r="I288" s="3">
        <f>_xlfn.SINGLE(IF($C$3="Line of Credit",0,ROUND(MAX(MIN(IF($C$10="No",$E$7,VLOOKUP(Table15[[#This Row],[Period]],Forecast!$H$2:$L$1048576,4,FALSE))*Table15[[#This Row],[Beginning Balance]],Table15[[#This Row],[Beginning Balance]]-Table15[[#This Row],[Principal]]),0),2)))</f>
        <v>0</v>
      </c>
      <c r="J288" s="3">
        <f>ROUND(MIN(Table15[[#This Row],[Beginning Balance]]*IF($C$8="No",$E$3,VLOOKUP(Table15[[#This Row],[Period]],Forecast!$H$2:$L$1048576,2,FALSE)),Table15[[#This Row],[Beginning Balance]]-Table15[[#This Row],[Principal]]-Table15[[#This Row],[Prepayments]]),2)</f>
        <v>0</v>
      </c>
      <c r="K288" s="3">
        <f>ROUND(Table15[[#This Row],[Defaulted Principal]]*IF($C$9="No",$E$4,VLOOKUP(Table15[[#This Row],[Period]],Forecast!$H$2:$L$1048576,3,FALSE)),2)</f>
        <v>0</v>
      </c>
      <c r="L288" s="2">
        <f>Table15[[#This Row],[Period]]+$E$9</f>
        <v>284</v>
      </c>
      <c r="M288" s="3">
        <f>Table15[[#This Row],[Defaulted Principal]]-Table15[[#This Row],[Estimated Loss]]</f>
        <v>0</v>
      </c>
      <c r="N288" s="3">
        <f>IFERROR(VLOOKUP(Table15[[#This Row],[Period]],$L$16:$M$385,2,FALSE),0)</f>
        <v>0</v>
      </c>
      <c r="O288" s="3">
        <f>Table15[[#This Row],[Beginning Balance]]-Table15[[#This Row],[Principal]]-Table15[[#This Row],[Prepayments]]-Table15[[#This Row],[Defaulted Principal]]</f>
        <v>0</v>
      </c>
      <c r="P288" s="3">
        <f>Table15[[#This Row],[Principal]]+Table15[[#This Row],[Interest]]+Table15[[#This Row],[Prepayments]]+Table15[[#This Row],[RecoveredAmount]]</f>
        <v>0</v>
      </c>
      <c r="Q288" s="3">
        <f ca="1">ROUND(Table15[[#This Row],[Cash Flow]]/((1+ActualRateToUse)^(IF(ISNUMBER(SEARCH("Actual",$C$7)),Table15[[#This Row],[Running Total]]/365,Table15[[#This Row],[Period]]/12))),2)</f>
        <v>0</v>
      </c>
      <c r="R288" s="2">
        <f>IF(MONTH(Table15[[#This Row],[Date]])=2,28,DAY(DATE(YEAR(Table15[[#This Row],[Date]]),MONTH(Table15[[#This Row],[Date]])+1,1)-1))</f>
        <v>28</v>
      </c>
      <c r="S288" s="2">
        <f ca="1">SUM(OFFSET(Table15[[#Headers],[Days in month]],1,0):Table15[[#This Row],[Days in month]])</f>
        <v>8273</v>
      </c>
      <c r="T288" s="37">
        <f>InterestRate*AmortizationMultiplier*IF(ISNUMBER(SEARCH("Actual",$C$7)),Table15[[#This Row],[Days in month]]/365,1/12)</f>
        <v>5.2507777777777778E-3</v>
      </c>
    </row>
    <row r="289" spans="2:20" x14ac:dyDescent="0.2">
      <c r="B289" s="1">
        <f t="shared" si="14"/>
        <v>54148</v>
      </c>
      <c r="C289" s="2">
        <f t="shared" si="16"/>
        <v>273</v>
      </c>
      <c r="D289" s="3">
        <f t="shared" si="15"/>
        <v>0</v>
      </c>
      <c r="E289" s="3">
        <f>ROUND(Table15[[#This Row],[Beginning Balance]]*Table15[[#This Row],[Monthly Interest Rate]],2)</f>
        <v>0</v>
      </c>
      <c r="F289" s="3">
        <f t="shared" si="17"/>
        <v>-1</v>
      </c>
      <c r="G289" s="23">
        <f>IFERROR(IF($C$13="No","N/A",IF(Table15[[#This Row],[Period]]=1,$C$6,PMT(InterestRate*AmortizationMultiplier/12,Table15[[#This Row],[Am Thru]],-Table15[[#This Row],[Beginning Balance]]))),0)</f>
        <v>0</v>
      </c>
      <c r="H289" s="3">
        <f>MAX(0,IF(C289=$C$4,D289,ROUND(IF($C$3="Fixed Principal",$C$6-Table15[[#This Row],[Interest]],IF($C$3="Interest Only",Table15[[#This Row],[Beginning Balance]]*ROUND(1-(1-IF($C$11="No",$E$8,1))^(1/12),6),MIN(IF($C$13="Yes",Table15[[#This Row],[Payment Amount (Reamortized)]],$C$6)-Table15[[#This Row],[Interest]],Table15[[#This Row],[Beginning Balance]]))),2)))</f>
        <v>0</v>
      </c>
      <c r="I289" s="3">
        <f>_xlfn.SINGLE(IF($C$3="Line of Credit",0,ROUND(MAX(MIN(IF($C$10="No",$E$7,VLOOKUP(Table15[[#This Row],[Period]],Forecast!$H$2:$L$1048576,4,FALSE))*Table15[[#This Row],[Beginning Balance]],Table15[[#This Row],[Beginning Balance]]-Table15[[#This Row],[Principal]]),0),2)))</f>
        <v>0</v>
      </c>
      <c r="J289" s="3">
        <f>ROUND(MIN(Table15[[#This Row],[Beginning Balance]]*IF($C$8="No",$E$3,VLOOKUP(Table15[[#This Row],[Period]],Forecast!$H$2:$L$1048576,2,FALSE)),Table15[[#This Row],[Beginning Balance]]-Table15[[#This Row],[Principal]]-Table15[[#This Row],[Prepayments]]),2)</f>
        <v>0</v>
      </c>
      <c r="K289" s="3">
        <f>ROUND(Table15[[#This Row],[Defaulted Principal]]*IF($C$9="No",$E$4,VLOOKUP(Table15[[#This Row],[Period]],Forecast!$H$2:$L$1048576,3,FALSE)),2)</f>
        <v>0</v>
      </c>
      <c r="L289" s="2">
        <f>Table15[[#This Row],[Period]]+$E$9</f>
        <v>285</v>
      </c>
      <c r="M289" s="3">
        <f>Table15[[#This Row],[Defaulted Principal]]-Table15[[#This Row],[Estimated Loss]]</f>
        <v>0</v>
      </c>
      <c r="N289" s="3">
        <f>IFERROR(VLOOKUP(Table15[[#This Row],[Period]],$L$16:$M$385,2,FALSE),0)</f>
        <v>0</v>
      </c>
      <c r="O289" s="3">
        <f>Table15[[#This Row],[Beginning Balance]]-Table15[[#This Row],[Principal]]-Table15[[#This Row],[Prepayments]]-Table15[[#This Row],[Defaulted Principal]]</f>
        <v>0</v>
      </c>
      <c r="P289" s="3">
        <f>Table15[[#This Row],[Principal]]+Table15[[#This Row],[Interest]]+Table15[[#This Row],[Prepayments]]+Table15[[#This Row],[RecoveredAmount]]</f>
        <v>0</v>
      </c>
      <c r="Q289" s="3">
        <f ca="1">ROUND(Table15[[#This Row],[Cash Flow]]/((1+ActualRateToUse)^(IF(ISNUMBER(SEARCH("Actual",$C$7)),Table15[[#This Row],[Running Total]]/365,Table15[[#This Row],[Period]]/12))),2)</f>
        <v>0</v>
      </c>
      <c r="R289" s="2">
        <f>IF(MONTH(Table15[[#This Row],[Date]])=2,28,DAY(DATE(YEAR(Table15[[#This Row],[Date]]),MONTH(Table15[[#This Row],[Date]])+1,1)-1))</f>
        <v>31</v>
      </c>
      <c r="S289" s="2">
        <f ca="1">SUM(OFFSET(Table15[[#Headers],[Days in month]],1,0):Table15[[#This Row],[Days in month]])</f>
        <v>8304</v>
      </c>
      <c r="T289" s="37">
        <f>InterestRate*AmortizationMultiplier*IF(ISNUMBER(SEARCH("Actual",$C$7)),Table15[[#This Row],[Days in month]]/365,1/12)</f>
        <v>5.8133611111111103E-3</v>
      </c>
    </row>
    <row r="290" spans="2:20" x14ac:dyDescent="0.2">
      <c r="B290" s="1">
        <f t="shared" si="14"/>
        <v>54178</v>
      </c>
      <c r="C290" s="2">
        <f t="shared" si="16"/>
        <v>274</v>
      </c>
      <c r="D290" s="3">
        <f t="shared" si="15"/>
        <v>0</v>
      </c>
      <c r="E290" s="3">
        <f>ROUND(Table15[[#This Row],[Beginning Balance]]*Table15[[#This Row],[Monthly Interest Rate]],2)</f>
        <v>0</v>
      </c>
      <c r="F290" s="3">
        <f t="shared" si="17"/>
        <v>-2</v>
      </c>
      <c r="G290" s="23">
        <f>IFERROR(IF($C$13="No","N/A",IF(Table15[[#This Row],[Period]]=1,$C$6,PMT(InterestRate*AmortizationMultiplier/12,Table15[[#This Row],[Am Thru]],-Table15[[#This Row],[Beginning Balance]]))),0)</f>
        <v>0</v>
      </c>
      <c r="H290" s="3">
        <f>MAX(0,IF(C290=$C$4,D290,ROUND(IF($C$3="Fixed Principal",$C$6-Table15[[#This Row],[Interest]],IF($C$3="Interest Only",Table15[[#This Row],[Beginning Balance]]*ROUND(1-(1-IF($C$11="No",$E$8,1))^(1/12),6),MIN(IF($C$13="Yes",Table15[[#This Row],[Payment Amount (Reamortized)]],$C$6)-Table15[[#This Row],[Interest]],Table15[[#This Row],[Beginning Balance]]))),2)))</f>
        <v>0</v>
      </c>
      <c r="I290" s="3">
        <f>_xlfn.SINGLE(IF($C$3="Line of Credit",0,ROUND(MAX(MIN(IF($C$10="No",$E$7,VLOOKUP(Table15[[#This Row],[Period]],Forecast!$H$2:$L$1048576,4,FALSE))*Table15[[#This Row],[Beginning Balance]],Table15[[#This Row],[Beginning Balance]]-Table15[[#This Row],[Principal]]),0),2)))</f>
        <v>0</v>
      </c>
      <c r="J290" s="3">
        <f>ROUND(MIN(Table15[[#This Row],[Beginning Balance]]*IF($C$8="No",$E$3,VLOOKUP(Table15[[#This Row],[Period]],Forecast!$H$2:$L$1048576,2,FALSE)),Table15[[#This Row],[Beginning Balance]]-Table15[[#This Row],[Principal]]-Table15[[#This Row],[Prepayments]]),2)</f>
        <v>0</v>
      </c>
      <c r="K290" s="3">
        <f>ROUND(Table15[[#This Row],[Defaulted Principal]]*IF($C$9="No",$E$4,VLOOKUP(Table15[[#This Row],[Period]],Forecast!$H$2:$L$1048576,3,FALSE)),2)</f>
        <v>0</v>
      </c>
      <c r="L290" s="2">
        <f>Table15[[#This Row],[Period]]+$E$9</f>
        <v>286</v>
      </c>
      <c r="M290" s="3">
        <f>Table15[[#This Row],[Defaulted Principal]]-Table15[[#This Row],[Estimated Loss]]</f>
        <v>0</v>
      </c>
      <c r="N290" s="3">
        <f>IFERROR(VLOOKUP(Table15[[#This Row],[Period]],$L$16:$M$385,2,FALSE),0)</f>
        <v>0</v>
      </c>
      <c r="O290" s="3">
        <f>Table15[[#This Row],[Beginning Balance]]-Table15[[#This Row],[Principal]]-Table15[[#This Row],[Prepayments]]-Table15[[#This Row],[Defaulted Principal]]</f>
        <v>0</v>
      </c>
      <c r="P290" s="3">
        <f>Table15[[#This Row],[Principal]]+Table15[[#This Row],[Interest]]+Table15[[#This Row],[Prepayments]]+Table15[[#This Row],[RecoveredAmount]]</f>
        <v>0</v>
      </c>
      <c r="Q290" s="3">
        <f ca="1">ROUND(Table15[[#This Row],[Cash Flow]]/((1+ActualRateToUse)^(IF(ISNUMBER(SEARCH("Actual",$C$7)),Table15[[#This Row],[Running Total]]/365,Table15[[#This Row],[Period]]/12))),2)</f>
        <v>0</v>
      </c>
      <c r="R290" s="2">
        <f>IF(MONTH(Table15[[#This Row],[Date]])=2,28,DAY(DATE(YEAR(Table15[[#This Row],[Date]]),MONTH(Table15[[#This Row],[Date]])+1,1)-1))</f>
        <v>30</v>
      </c>
      <c r="S290" s="2">
        <f ca="1">SUM(OFFSET(Table15[[#Headers],[Days in month]],1,0):Table15[[#This Row],[Days in month]])</f>
        <v>8334</v>
      </c>
      <c r="T290" s="37">
        <f>InterestRate*AmortizationMultiplier*IF(ISNUMBER(SEARCH("Actual",$C$7)),Table15[[#This Row],[Days in month]]/365,1/12)</f>
        <v>5.6258333333333325E-3</v>
      </c>
    </row>
    <row r="291" spans="2:20" x14ac:dyDescent="0.2">
      <c r="B291" s="1">
        <f t="shared" si="14"/>
        <v>54209</v>
      </c>
      <c r="C291" s="2">
        <f t="shared" si="16"/>
        <v>275</v>
      </c>
      <c r="D291" s="3">
        <f t="shared" si="15"/>
        <v>0</v>
      </c>
      <c r="E291" s="3">
        <f>ROUND(Table15[[#This Row],[Beginning Balance]]*Table15[[#This Row],[Monthly Interest Rate]],2)</f>
        <v>0</v>
      </c>
      <c r="F291" s="3">
        <f t="shared" si="17"/>
        <v>-3</v>
      </c>
      <c r="G291" s="23">
        <f>IFERROR(IF($C$13="No","N/A",IF(Table15[[#This Row],[Period]]=1,$C$6,PMT(InterestRate*AmortizationMultiplier/12,Table15[[#This Row],[Am Thru]],-Table15[[#This Row],[Beginning Balance]]))),0)</f>
        <v>0</v>
      </c>
      <c r="H291" s="3">
        <f>MAX(0,IF(C291=$C$4,D291,ROUND(IF($C$3="Fixed Principal",$C$6-Table15[[#This Row],[Interest]],IF($C$3="Interest Only",Table15[[#This Row],[Beginning Balance]]*ROUND(1-(1-IF($C$11="No",$E$8,1))^(1/12),6),MIN(IF($C$13="Yes",Table15[[#This Row],[Payment Amount (Reamortized)]],$C$6)-Table15[[#This Row],[Interest]],Table15[[#This Row],[Beginning Balance]]))),2)))</f>
        <v>0</v>
      </c>
      <c r="I291" s="3">
        <f>_xlfn.SINGLE(IF($C$3="Line of Credit",0,ROUND(MAX(MIN(IF($C$10="No",$E$7,VLOOKUP(Table15[[#This Row],[Period]],Forecast!$H$2:$L$1048576,4,FALSE))*Table15[[#This Row],[Beginning Balance]],Table15[[#This Row],[Beginning Balance]]-Table15[[#This Row],[Principal]]),0),2)))</f>
        <v>0</v>
      </c>
      <c r="J291" s="3">
        <f>ROUND(MIN(Table15[[#This Row],[Beginning Balance]]*IF($C$8="No",$E$3,VLOOKUP(Table15[[#This Row],[Period]],Forecast!$H$2:$L$1048576,2,FALSE)),Table15[[#This Row],[Beginning Balance]]-Table15[[#This Row],[Principal]]-Table15[[#This Row],[Prepayments]]),2)</f>
        <v>0</v>
      </c>
      <c r="K291" s="3">
        <f>ROUND(Table15[[#This Row],[Defaulted Principal]]*IF($C$9="No",$E$4,VLOOKUP(Table15[[#This Row],[Period]],Forecast!$H$2:$L$1048576,3,FALSE)),2)</f>
        <v>0</v>
      </c>
      <c r="L291" s="2">
        <f>Table15[[#This Row],[Period]]+$E$9</f>
        <v>287</v>
      </c>
      <c r="M291" s="3">
        <f>Table15[[#This Row],[Defaulted Principal]]-Table15[[#This Row],[Estimated Loss]]</f>
        <v>0</v>
      </c>
      <c r="N291" s="3">
        <f>IFERROR(VLOOKUP(Table15[[#This Row],[Period]],$L$16:$M$385,2,FALSE),0)</f>
        <v>0</v>
      </c>
      <c r="O291" s="3">
        <f>Table15[[#This Row],[Beginning Balance]]-Table15[[#This Row],[Principal]]-Table15[[#This Row],[Prepayments]]-Table15[[#This Row],[Defaulted Principal]]</f>
        <v>0</v>
      </c>
      <c r="P291" s="3">
        <f>Table15[[#This Row],[Principal]]+Table15[[#This Row],[Interest]]+Table15[[#This Row],[Prepayments]]+Table15[[#This Row],[RecoveredAmount]]</f>
        <v>0</v>
      </c>
      <c r="Q291" s="3">
        <f ca="1">ROUND(Table15[[#This Row],[Cash Flow]]/((1+ActualRateToUse)^(IF(ISNUMBER(SEARCH("Actual",$C$7)),Table15[[#This Row],[Running Total]]/365,Table15[[#This Row],[Period]]/12))),2)</f>
        <v>0</v>
      </c>
      <c r="R291" s="2">
        <f>IF(MONTH(Table15[[#This Row],[Date]])=2,28,DAY(DATE(YEAR(Table15[[#This Row],[Date]]),MONTH(Table15[[#This Row],[Date]])+1,1)-1))</f>
        <v>31</v>
      </c>
      <c r="S291" s="2">
        <f ca="1">SUM(OFFSET(Table15[[#Headers],[Days in month]],1,0):Table15[[#This Row],[Days in month]])</f>
        <v>8365</v>
      </c>
      <c r="T291" s="37">
        <f>InterestRate*AmortizationMultiplier*IF(ISNUMBER(SEARCH("Actual",$C$7)),Table15[[#This Row],[Days in month]]/365,1/12)</f>
        <v>5.8133611111111103E-3</v>
      </c>
    </row>
    <row r="292" spans="2:20" x14ac:dyDescent="0.2">
      <c r="B292" s="1">
        <f t="shared" si="14"/>
        <v>54239</v>
      </c>
      <c r="C292" s="2">
        <f t="shared" si="16"/>
        <v>276</v>
      </c>
      <c r="D292" s="3">
        <f t="shared" si="15"/>
        <v>0</v>
      </c>
      <c r="E292" s="3">
        <f>ROUND(Table15[[#This Row],[Beginning Balance]]*Table15[[#This Row],[Monthly Interest Rate]],2)</f>
        <v>0</v>
      </c>
      <c r="F292" s="3">
        <f t="shared" si="17"/>
        <v>-4</v>
      </c>
      <c r="G292" s="23">
        <f>IFERROR(IF($C$13="No","N/A",IF(Table15[[#This Row],[Period]]=1,$C$6,PMT(InterestRate*AmortizationMultiplier/12,Table15[[#This Row],[Am Thru]],-Table15[[#This Row],[Beginning Balance]]))),0)</f>
        <v>0</v>
      </c>
      <c r="H292" s="3">
        <f>MAX(0,IF(C292=$C$4,D292,ROUND(IF($C$3="Fixed Principal",$C$6-Table15[[#This Row],[Interest]],IF($C$3="Interest Only",Table15[[#This Row],[Beginning Balance]]*ROUND(1-(1-IF($C$11="No",$E$8,1))^(1/12),6),MIN(IF($C$13="Yes",Table15[[#This Row],[Payment Amount (Reamortized)]],$C$6)-Table15[[#This Row],[Interest]],Table15[[#This Row],[Beginning Balance]]))),2)))</f>
        <v>0</v>
      </c>
      <c r="I292" s="3">
        <f>_xlfn.SINGLE(IF($C$3="Line of Credit",0,ROUND(MAX(MIN(IF($C$10="No",$E$7,VLOOKUP(Table15[[#This Row],[Period]],Forecast!$H$2:$L$1048576,4,FALSE))*Table15[[#This Row],[Beginning Balance]],Table15[[#This Row],[Beginning Balance]]-Table15[[#This Row],[Principal]]),0),2)))</f>
        <v>0</v>
      </c>
      <c r="J292" s="3">
        <f>ROUND(MIN(Table15[[#This Row],[Beginning Balance]]*IF($C$8="No",$E$3,VLOOKUP(Table15[[#This Row],[Period]],Forecast!$H$2:$L$1048576,2,FALSE)),Table15[[#This Row],[Beginning Balance]]-Table15[[#This Row],[Principal]]-Table15[[#This Row],[Prepayments]]),2)</f>
        <v>0</v>
      </c>
      <c r="K292" s="3">
        <f>ROUND(Table15[[#This Row],[Defaulted Principal]]*IF($C$9="No",$E$4,VLOOKUP(Table15[[#This Row],[Period]],Forecast!$H$2:$L$1048576,3,FALSE)),2)</f>
        <v>0</v>
      </c>
      <c r="L292" s="2">
        <f>Table15[[#This Row],[Period]]+$E$9</f>
        <v>288</v>
      </c>
      <c r="M292" s="3">
        <f>Table15[[#This Row],[Defaulted Principal]]-Table15[[#This Row],[Estimated Loss]]</f>
        <v>0</v>
      </c>
      <c r="N292" s="3">
        <f>IFERROR(VLOOKUP(Table15[[#This Row],[Period]],$L$16:$M$385,2,FALSE),0)</f>
        <v>0</v>
      </c>
      <c r="O292" s="3">
        <f>Table15[[#This Row],[Beginning Balance]]-Table15[[#This Row],[Principal]]-Table15[[#This Row],[Prepayments]]-Table15[[#This Row],[Defaulted Principal]]</f>
        <v>0</v>
      </c>
      <c r="P292" s="3">
        <f>Table15[[#This Row],[Principal]]+Table15[[#This Row],[Interest]]+Table15[[#This Row],[Prepayments]]+Table15[[#This Row],[RecoveredAmount]]</f>
        <v>0</v>
      </c>
      <c r="Q292" s="3">
        <f ca="1">ROUND(Table15[[#This Row],[Cash Flow]]/((1+ActualRateToUse)^(IF(ISNUMBER(SEARCH("Actual",$C$7)),Table15[[#This Row],[Running Total]]/365,Table15[[#This Row],[Period]]/12))),2)</f>
        <v>0</v>
      </c>
      <c r="R292" s="2">
        <f>IF(MONTH(Table15[[#This Row],[Date]])=2,28,DAY(DATE(YEAR(Table15[[#This Row],[Date]]),MONTH(Table15[[#This Row],[Date]])+1,1)-1))</f>
        <v>30</v>
      </c>
      <c r="S292" s="2">
        <f ca="1">SUM(OFFSET(Table15[[#Headers],[Days in month]],1,0):Table15[[#This Row],[Days in month]])</f>
        <v>8395</v>
      </c>
      <c r="T292" s="37">
        <f>InterestRate*AmortizationMultiplier*IF(ISNUMBER(SEARCH("Actual",$C$7)),Table15[[#This Row],[Days in month]]/365,1/12)</f>
        <v>5.6258333333333325E-3</v>
      </c>
    </row>
    <row r="293" spans="2:20" x14ac:dyDescent="0.2">
      <c r="B293" s="1">
        <f t="shared" si="14"/>
        <v>54270</v>
      </c>
      <c r="C293" s="2">
        <f t="shared" si="16"/>
        <v>277</v>
      </c>
      <c r="D293" s="3">
        <f t="shared" si="15"/>
        <v>0</v>
      </c>
      <c r="E293" s="3">
        <f>ROUND(Table15[[#This Row],[Beginning Balance]]*Table15[[#This Row],[Monthly Interest Rate]],2)</f>
        <v>0</v>
      </c>
      <c r="F293" s="3">
        <f t="shared" si="17"/>
        <v>-5</v>
      </c>
      <c r="G293" s="23">
        <f>IFERROR(IF($C$13="No","N/A",IF(Table15[[#This Row],[Period]]=1,$C$6,PMT(InterestRate*AmortizationMultiplier/12,Table15[[#This Row],[Am Thru]],-Table15[[#This Row],[Beginning Balance]]))),0)</f>
        <v>0</v>
      </c>
      <c r="H293" s="3">
        <f>MAX(0,IF(C293=$C$4,D293,ROUND(IF($C$3="Fixed Principal",$C$6-Table15[[#This Row],[Interest]],IF($C$3="Interest Only",Table15[[#This Row],[Beginning Balance]]*ROUND(1-(1-IF($C$11="No",$E$8,1))^(1/12),6),MIN(IF($C$13="Yes",Table15[[#This Row],[Payment Amount (Reamortized)]],$C$6)-Table15[[#This Row],[Interest]],Table15[[#This Row],[Beginning Balance]]))),2)))</f>
        <v>0</v>
      </c>
      <c r="I293" s="3">
        <f>_xlfn.SINGLE(IF($C$3="Line of Credit",0,ROUND(MAX(MIN(IF($C$10="No",$E$7,VLOOKUP(Table15[[#This Row],[Period]],Forecast!$H$2:$L$1048576,4,FALSE))*Table15[[#This Row],[Beginning Balance]],Table15[[#This Row],[Beginning Balance]]-Table15[[#This Row],[Principal]]),0),2)))</f>
        <v>0</v>
      </c>
      <c r="J293" s="3">
        <f>ROUND(MIN(Table15[[#This Row],[Beginning Balance]]*IF($C$8="No",$E$3,VLOOKUP(Table15[[#This Row],[Period]],Forecast!$H$2:$L$1048576,2,FALSE)),Table15[[#This Row],[Beginning Balance]]-Table15[[#This Row],[Principal]]-Table15[[#This Row],[Prepayments]]),2)</f>
        <v>0</v>
      </c>
      <c r="K293" s="3">
        <f>ROUND(Table15[[#This Row],[Defaulted Principal]]*IF($C$9="No",$E$4,VLOOKUP(Table15[[#This Row],[Period]],Forecast!$H$2:$L$1048576,3,FALSE)),2)</f>
        <v>0</v>
      </c>
      <c r="L293" s="2">
        <f>Table15[[#This Row],[Period]]+$E$9</f>
        <v>289</v>
      </c>
      <c r="M293" s="3">
        <f>Table15[[#This Row],[Defaulted Principal]]-Table15[[#This Row],[Estimated Loss]]</f>
        <v>0</v>
      </c>
      <c r="N293" s="3">
        <f>IFERROR(VLOOKUP(Table15[[#This Row],[Period]],$L$16:$M$385,2,FALSE),0)</f>
        <v>0</v>
      </c>
      <c r="O293" s="3">
        <f>Table15[[#This Row],[Beginning Balance]]-Table15[[#This Row],[Principal]]-Table15[[#This Row],[Prepayments]]-Table15[[#This Row],[Defaulted Principal]]</f>
        <v>0</v>
      </c>
      <c r="P293" s="3">
        <f>Table15[[#This Row],[Principal]]+Table15[[#This Row],[Interest]]+Table15[[#This Row],[Prepayments]]+Table15[[#This Row],[RecoveredAmount]]</f>
        <v>0</v>
      </c>
      <c r="Q293" s="3">
        <f ca="1">ROUND(Table15[[#This Row],[Cash Flow]]/((1+ActualRateToUse)^(IF(ISNUMBER(SEARCH("Actual",$C$7)),Table15[[#This Row],[Running Total]]/365,Table15[[#This Row],[Period]]/12))),2)</f>
        <v>0</v>
      </c>
      <c r="R293" s="2">
        <f>IF(MONTH(Table15[[#This Row],[Date]])=2,28,DAY(DATE(YEAR(Table15[[#This Row],[Date]]),MONTH(Table15[[#This Row],[Date]])+1,1)-1))</f>
        <v>31</v>
      </c>
      <c r="S293" s="2">
        <f ca="1">SUM(OFFSET(Table15[[#Headers],[Days in month]],1,0):Table15[[#This Row],[Days in month]])</f>
        <v>8426</v>
      </c>
      <c r="T293" s="37">
        <f>InterestRate*AmortizationMultiplier*IF(ISNUMBER(SEARCH("Actual",$C$7)),Table15[[#This Row],[Days in month]]/365,1/12)</f>
        <v>5.8133611111111103E-3</v>
      </c>
    </row>
    <row r="294" spans="2:20" x14ac:dyDescent="0.2">
      <c r="B294" s="1">
        <f t="shared" si="14"/>
        <v>54301</v>
      </c>
      <c r="C294" s="2">
        <f t="shared" si="16"/>
        <v>278</v>
      </c>
      <c r="D294" s="3">
        <f t="shared" si="15"/>
        <v>0</v>
      </c>
      <c r="E294" s="3">
        <f>ROUND(Table15[[#This Row],[Beginning Balance]]*Table15[[#This Row],[Monthly Interest Rate]],2)</f>
        <v>0</v>
      </c>
      <c r="F294" s="3">
        <f t="shared" si="17"/>
        <v>-6</v>
      </c>
      <c r="G294" s="23">
        <f>IFERROR(IF($C$13="No","N/A",IF(Table15[[#This Row],[Period]]=1,$C$6,PMT(InterestRate*AmortizationMultiplier/12,Table15[[#This Row],[Am Thru]],-Table15[[#This Row],[Beginning Balance]]))),0)</f>
        <v>0</v>
      </c>
      <c r="H294" s="3">
        <f>MAX(0,IF(C294=$C$4,D294,ROUND(IF($C$3="Fixed Principal",$C$6-Table15[[#This Row],[Interest]],IF($C$3="Interest Only",Table15[[#This Row],[Beginning Balance]]*ROUND(1-(1-IF($C$11="No",$E$8,1))^(1/12),6),MIN(IF($C$13="Yes",Table15[[#This Row],[Payment Amount (Reamortized)]],$C$6)-Table15[[#This Row],[Interest]],Table15[[#This Row],[Beginning Balance]]))),2)))</f>
        <v>0</v>
      </c>
      <c r="I294" s="3">
        <f>_xlfn.SINGLE(IF($C$3="Line of Credit",0,ROUND(MAX(MIN(IF($C$10="No",$E$7,VLOOKUP(Table15[[#This Row],[Period]],Forecast!$H$2:$L$1048576,4,FALSE))*Table15[[#This Row],[Beginning Balance]],Table15[[#This Row],[Beginning Balance]]-Table15[[#This Row],[Principal]]),0),2)))</f>
        <v>0</v>
      </c>
      <c r="J294" s="3">
        <f>ROUND(MIN(Table15[[#This Row],[Beginning Balance]]*IF($C$8="No",$E$3,VLOOKUP(Table15[[#This Row],[Period]],Forecast!$H$2:$L$1048576,2,FALSE)),Table15[[#This Row],[Beginning Balance]]-Table15[[#This Row],[Principal]]-Table15[[#This Row],[Prepayments]]),2)</f>
        <v>0</v>
      </c>
      <c r="K294" s="3">
        <f>ROUND(Table15[[#This Row],[Defaulted Principal]]*IF($C$9="No",$E$4,VLOOKUP(Table15[[#This Row],[Period]],Forecast!$H$2:$L$1048576,3,FALSE)),2)</f>
        <v>0</v>
      </c>
      <c r="L294" s="2">
        <f>Table15[[#This Row],[Period]]+$E$9</f>
        <v>290</v>
      </c>
      <c r="M294" s="3">
        <f>Table15[[#This Row],[Defaulted Principal]]-Table15[[#This Row],[Estimated Loss]]</f>
        <v>0</v>
      </c>
      <c r="N294" s="3">
        <f>IFERROR(VLOOKUP(Table15[[#This Row],[Period]],$L$16:$M$385,2,FALSE),0)</f>
        <v>0</v>
      </c>
      <c r="O294" s="3">
        <f>Table15[[#This Row],[Beginning Balance]]-Table15[[#This Row],[Principal]]-Table15[[#This Row],[Prepayments]]-Table15[[#This Row],[Defaulted Principal]]</f>
        <v>0</v>
      </c>
      <c r="P294" s="3">
        <f>Table15[[#This Row],[Principal]]+Table15[[#This Row],[Interest]]+Table15[[#This Row],[Prepayments]]+Table15[[#This Row],[RecoveredAmount]]</f>
        <v>0</v>
      </c>
      <c r="Q294" s="3">
        <f ca="1">ROUND(Table15[[#This Row],[Cash Flow]]/((1+ActualRateToUse)^(IF(ISNUMBER(SEARCH("Actual",$C$7)),Table15[[#This Row],[Running Total]]/365,Table15[[#This Row],[Period]]/12))),2)</f>
        <v>0</v>
      </c>
      <c r="R294" s="2">
        <f>IF(MONTH(Table15[[#This Row],[Date]])=2,28,DAY(DATE(YEAR(Table15[[#This Row],[Date]]),MONTH(Table15[[#This Row],[Date]])+1,1)-1))</f>
        <v>31</v>
      </c>
      <c r="S294" s="2">
        <f ca="1">SUM(OFFSET(Table15[[#Headers],[Days in month]],1,0):Table15[[#This Row],[Days in month]])</f>
        <v>8457</v>
      </c>
      <c r="T294" s="37">
        <f>InterestRate*AmortizationMultiplier*IF(ISNUMBER(SEARCH("Actual",$C$7)),Table15[[#This Row],[Days in month]]/365,1/12)</f>
        <v>5.8133611111111103E-3</v>
      </c>
    </row>
    <row r="295" spans="2:20" x14ac:dyDescent="0.2">
      <c r="B295" s="1">
        <f t="shared" si="14"/>
        <v>54331</v>
      </c>
      <c r="C295" s="2">
        <f t="shared" si="16"/>
        <v>279</v>
      </c>
      <c r="D295" s="3">
        <f t="shared" si="15"/>
        <v>0</v>
      </c>
      <c r="E295" s="3">
        <f>ROUND(Table15[[#This Row],[Beginning Balance]]*Table15[[#This Row],[Monthly Interest Rate]],2)</f>
        <v>0</v>
      </c>
      <c r="F295" s="3">
        <f t="shared" si="17"/>
        <v>-7</v>
      </c>
      <c r="G295" s="23">
        <f>IFERROR(IF($C$13="No","N/A",IF(Table15[[#This Row],[Period]]=1,$C$6,PMT(InterestRate*AmortizationMultiplier/12,Table15[[#This Row],[Am Thru]],-Table15[[#This Row],[Beginning Balance]]))),0)</f>
        <v>0</v>
      </c>
      <c r="H295" s="3">
        <f>MAX(0,IF(C295=$C$4,D295,ROUND(IF($C$3="Fixed Principal",$C$6-Table15[[#This Row],[Interest]],IF($C$3="Interest Only",Table15[[#This Row],[Beginning Balance]]*ROUND(1-(1-IF($C$11="No",$E$8,1))^(1/12),6),MIN(IF($C$13="Yes",Table15[[#This Row],[Payment Amount (Reamortized)]],$C$6)-Table15[[#This Row],[Interest]],Table15[[#This Row],[Beginning Balance]]))),2)))</f>
        <v>0</v>
      </c>
      <c r="I295" s="3">
        <f>_xlfn.SINGLE(IF($C$3="Line of Credit",0,ROUND(MAX(MIN(IF($C$10="No",$E$7,VLOOKUP(Table15[[#This Row],[Period]],Forecast!$H$2:$L$1048576,4,FALSE))*Table15[[#This Row],[Beginning Balance]],Table15[[#This Row],[Beginning Balance]]-Table15[[#This Row],[Principal]]),0),2)))</f>
        <v>0</v>
      </c>
      <c r="J295" s="3">
        <f>ROUND(MIN(Table15[[#This Row],[Beginning Balance]]*IF($C$8="No",$E$3,VLOOKUP(Table15[[#This Row],[Period]],Forecast!$H$2:$L$1048576,2,FALSE)),Table15[[#This Row],[Beginning Balance]]-Table15[[#This Row],[Principal]]-Table15[[#This Row],[Prepayments]]),2)</f>
        <v>0</v>
      </c>
      <c r="K295" s="3">
        <f>ROUND(Table15[[#This Row],[Defaulted Principal]]*IF($C$9="No",$E$4,VLOOKUP(Table15[[#This Row],[Period]],Forecast!$H$2:$L$1048576,3,FALSE)),2)</f>
        <v>0</v>
      </c>
      <c r="L295" s="2">
        <f>Table15[[#This Row],[Period]]+$E$9</f>
        <v>291</v>
      </c>
      <c r="M295" s="3">
        <f>Table15[[#This Row],[Defaulted Principal]]-Table15[[#This Row],[Estimated Loss]]</f>
        <v>0</v>
      </c>
      <c r="N295" s="3">
        <f>IFERROR(VLOOKUP(Table15[[#This Row],[Period]],$L$16:$M$385,2,FALSE),0)</f>
        <v>0</v>
      </c>
      <c r="O295" s="3">
        <f>Table15[[#This Row],[Beginning Balance]]-Table15[[#This Row],[Principal]]-Table15[[#This Row],[Prepayments]]-Table15[[#This Row],[Defaulted Principal]]</f>
        <v>0</v>
      </c>
      <c r="P295" s="3">
        <f>Table15[[#This Row],[Principal]]+Table15[[#This Row],[Interest]]+Table15[[#This Row],[Prepayments]]+Table15[[#This Row],[RecoveredAmount]]</f>
        <v>0</v>
      </c>
      <c r="Q295" s="3">
        <f ca="1">ROUND(Table15[[#This Row],[Cash Flow]]/((1+ActualRateToUse)^(IF(ISNUMBER(SEARCH("Actual",$C$7)),Table15[[#This Row],[Running Total]]/365,Table15[[#This Row],[Period]]/12))),2)</f>
        <v>0</v>
      </c>
      <c r="R295" s="2">
        <f>IF(MONTH(Table15[[#This Row],[Date]])=2,28,DAY(DATE(YEAR(Table15[[#This Row],[Date]]),MONTH(Table15[[#This Row],[Date]])+1,1)-1))</f>
        <v>30</v>
      </c>
      <c r="S295" s="2">
        <f ca="1">SUM(OFFSET(Table15[[#Headers],[Days in month]],1,0):Table15[[#This Row],[Days in month]])</f>
        <v>8487</v>
      </c>
      <c r="T295" s="37">
        <f>InterestRate*AmortizationMultiplier*IF(ISNUMBER(SEARCH("Actual",$C$7)),Table15[[#This Row],[Days in month]]/365,1/12)</f>
        <v>5.6258333333333325E-3</v>
      </c>
    </row>
    <row r="296" spans="2:20" x14ac:dyDescent="0.2">
      <c r="B296" s="1">
        <f t="shared" si="14"/>
        <v>54362</v>
      </c>
      <c r="C296" s="2">
        <f t="shared" si="16"/>
        <v>280</v>
      </c>
      <c r="D296" s="3">
        <f t="shared" si="15"/>
        <v>0</v>
      </c>
      <c r="E296" s="3">
        <f>ROUND(Table15[[#This Row],[Beginning Balance]]*Table15[[#This Row],[Monthly Interest Rate]],2)</f>
        <v>0</v>
      </c>
      <c r="F296" s="3">
        <f t="shared" si="17"/>
        <v>-8</v>
      </c>
      <c r="G296" s="23">
        <f>IFERROR(IF($C$13="No","N/A",IF(Table15[[#This Row],[Period]]=1,$C$6,PMT(InterestRate*AmortizationMultiplier/12,Table15[[#This Row],[Am Thru]],-Table15[[#This Row],[Beginning Balance]]))),0)</f>
        <v>0</v>
      </c>
      <c r="H296" s="3">
        <f>MAX(0,IF(C296=$C$4,D296,ROUND(IF($C$3="Fixed Principal",$C$6-Table15[[#This Row],[Interest]],IF($C$3="Interest Only",Table15[[#This Row],[Beginning Balance]]*ROUND(1-(1-IF($C$11="No",$E$8,1))^(1/12),6),MIN(IF($C$13="Yes",Table15[[#This Row],[Payment Amount (Reamortized)]],$C$6)-Table15[[#This Row],[Interest]],Table15[[#This Row],[Beginning Balance]]))),2)))</f>
        <v>0</v>
      </c>
      <c r="I296" s="3">
        <f>_xlfn.SINGLE(IF($C$3="Line of Credit",0,ROUND(MAX(MIN(IF($C$10="No",$E$7,VLOOKUP(Table15[[#This Row],[Period]],Forecast!$H$2:$L$1048576,4,FALSE))*Table15[[#This Row],[Beginning Balance]],Table15[[#This Row],[Beginning Balance]]-Table15[[#This Row],[Principal]]),0),2)))</f>
        <v>0</v>
      </c>
      <c r="J296" s="3">
        <f>ROUND(MIN(Table15[[#This Row],[Beginning Balance]]*IF($C$8="No",$E$3,VLOOKUP(Table15[[#This Row],[Period]],Forecast!$H$2:$L$1048576,2,FALSE)),Table15[[#This Row],[Beginning Balance]]-Table15[[#This Row],[Principal]]-Table15[[#This Row],[Prepayments]]),2)</f>
        <v>0</v>
      </c>
      <c r="K296" s="3">
        <f>ROUND(Table15[[#This Row],[Defaulted Principal]]*IF($C$9="No",$E$4,VLOOKUP(Table15[[#This Row],[Period]],Forecast!$H$2:$L$1048576,3,FALSE)),2)</f>
        <v>0</v>
      </c>
      <c r="L296" s="2">
        <f>Table15[[#This Row],[Period]]+$E$9</f>
        <v>292</v>
      </c>
      <c r="M296" s="3">
        <f>Table15[[#This Row],[Defaulted Principal]]-Table15[[#This Row],[Estimated Loss]]</f>
        <v>0</v>
      </c>
      <c r="N296" s="3">
        <f>IFERROR(VLOOKUP(Table15[[#This Row],[Period]],$L$16:$M$385,2,FALSE),0)</f>
        <v>0</v>
      </c>
      <c r="O296" s="3">
        <f>Table15[[#This Row],[Beginning Balance]]-Table15[[#This Row],[Principal]]-Table15[[#This Row],[Prepayments]]-Table15[[#This Row],[Defaulted Principal]]</f>
        <v>0</v>
      </c>
      <c r="P296" s="3">
        <f>Table15[[#This Row],[Principal]]+Table15[[#This Row],[Interest]]+Table15[[#This Row],[Prepayments]]+Table15[[#This Row],[RecoveredAmount]]</f>
        <v>0</v>
      </c>
      <c r="Q296" s="3">
        <f ca="1">ROUND(Table15[[#This Row],[Cash Flow]]/((1+ActualRateToUse)^(IF(ISNUMBER(SEARCH("Actual",$C$7)),Table15[[#This Row],[Running Total]]/365,Table15[[#This Row],[Period]]/12))),2)</f>
        <v>0</v>
      </c>
      <c r="R296" s="2">
        <f>IF(MONTH(Table15[[#This Row],[Date]])=2,28,DAY(DATE(YEAR(Table15[[#This Row],[Date]]),MONTH(Table15[[#This Row],[Date]])+1,1)-1))</f>
        <v>31</v>
      </c>
      <c r="S296" s="2">
        <f ca="1">SUM(OFFSET(Table15[[#Headers],[Days in month]],1,0):Table15[[#This Row],[Days in month]])</f>
        <v>8518</v>
      </c>
      <c r="T296" s="37">
        <f>InterestRate*AmortizationMultiplier*IF(ISNUMBER(SEARCH("Actual",$C$7)),Table15[[#This Row],[Days in month]]/365,1/12)</f>
        <v>5.8133611111111103E-3</v>
      </c>
    </row>
    <row r="297" spans="2:20" x14ac:dyDescent="0.2">
      <c r="B297" s="1">
        <f t="shared" si="14"/>
        <v>54392</v>
      </c>
      <c r="C297" s="2">
        <f t="shared" si="16"/>
        <v>281</v>
      </c>
      <c r="D297" s="3">
        <f t="shared" si="15"/>
        <v>0</v>
      </c>
      <c r="E297" s="3">
        <f>ROUND(Table15[[#This Row],[Beginning Balance]]*Table15[[#This Row],[Monthly Interest Rate]],2)</f>
        <v>0</v>
      </c>
      <c r="F297" s="3">
        <f t="shared" si="17"/>
        <v>-9</v>
      </c>
      <c r="G297" s="23">
        <f>IFERROR(IF($C$13="No","N/A",IF(Table15[[#This Row],[Period]]=1,$C$6,PMT(InterestRate*AmortizationMultiplier/12,Table15[[#This Row],[Am Thru]],-Table15[[#This Row],[Beginning Balance]]))),0)</f>
        <v>0</v>
      </c>
      <c r="H297" s="3">
        <f>MAX(0,IF(C297=$C$4,D297,ROUND(IF($C$3="Fixed Principal",$C$6-Table15[[#This Row],[Interest]],IF($C$3="Interest Only",Table15[[#This Row],[Beginning Balance]]*ROUND(1-(1-IF($C$11="No",$E$8,1))^(1/12),6),MIN(IF($C$13="Yes",Table15[[#This Row],[Payment Amount (Reamortized)]],$C$6)-Table15[[#This Row],[Interest]],Table15[[#This Row],[Beginning Balance]]))),2)))</f>
        <v>0</v>
      </c>
      <c r="I297" s="3">
        <f>_xlfn.SINGLE(IF($C$3="Line of Credit",0,ROUND(MAX(MIN(IF($C$10="No",$E$7,VLOOKUP(Table15[[#This Row],[Period]],Forecast!$H$2:$L$1048576,4,FALSE))*Table15[[#This Row],[Beginning Balance]],Table15[[#This Row],[Beginning Balance]]-Table15[[#This Row],[Principal]]),0),2)))</f>
        <v>0</v>
      </c>
      <c r="J297" s="3">
        <f>ROUND(MIN(Table15[[#This Row],[Beginning Balance]]*IF($C$8="No",$E$3,VLOOKUP(Table15[[#This Row],[Period]],Forecast!$H$2:$L$1048576,2,FALSE)),Table15[[#This Row],[Beginning Balance]]-Table15[[#This Row],[Principal]]-Table15[[#This Row],[Prepayments]]),2)</f>
        <v>0</v>
      </c>
      <c r="K297" s="3">
        <f>ROUND(Table15[[#This Row],[Defaulted Principal]]*IF($C$9="No",$E$4,VLOOKUP(Table15[[#This Row],[Period]],Forecast!$H$2:$L$1048576,3,FALSE)),2)</f>
        <v>0</v>
      </c>
      <c r="L297" s="2">
        <f>Table15[[#This Row],[Period]]+$E$9</f>
        <v>293</v>
      </c>
      <c r="M297" s="3">
        <f>Table15[[#This Row],[Defaulted Principal]]-Table15[[#This Row],[Estimated Loss]]</f>
        <v>0</v>
      </c>
      <c r="N297" s="3">
        <f>IFERROR(VLOOKUP(Table15[[#This Row],[Period]],$L$16:$M$385,2,FALSE),0)</f>
        <v>0</v>
      </c>
      <c r="O297" s="3">
        <f>Table15[[#This Row],[Beginning Balance]]-Table15[[#This Row],[Principal]]-Table15[[#This Row],[Prepayments]]-Table15[[#This Row],[Defaulted Principal]]</f>
        <v>0</v>
      </c>
      <c r="P297" s="3">
        <f>Table15[[#This Row],[Principal]]+Table15[[#This Row],[Interest]]+Table15[[#This Row],[Prepayments]]+Table15[[#This Row],[RecoveredAmount]]</f>
        <v>0</v>
      </c>
      <c r="Q297" s="3">
        <f ca="1">ROUND(Table15[[#This Row],[Cash Flow]]/((1+ActualRateToUse)^(IF(ISNUMBER(SEARCH("Actual",$C$7)),Table15[[#This Row],[Running Total]]/365,Table15[[#This Row],[Period]]/12))),2)</f>
        <v>0</v>
      </c>
      <c r="R297" s="2">
        <f>IF(MONTH(Table15[[#This Row],[Date]])=2,28,DAY(DATE(YEAR(Table15[[#This Row],[Date]]),MONTH(Table15[[#This Row],[Date]])+1,1)-1))</f>
        <v>30</v>
      </c>
      <c r="S297" s="2">
        <f ca="1">SUM(OFFSET(Table15[[#Headers],[Days in month]],1,0):Table15[[#This Row],[Days in month]])</f>
        <v>8548</v>
      </c>
      <c r="T297" s="37">
        <f>InterestRate*AmortizationMultiplier*IF(ISNUMBER(SEARCH("Actual",$C$7)),Table15[[#This Row],[Days in month]]/365,1/12)</f>
        <v>5.6258333333333325E-3</v>
      </c>
    </row>
    <row r="298" spans="2:20" x14ac:dyDescent="0.2">
      <c r="B298" s="1">
        <f t="shared" si="14"/>
        <v>54423</v>
      </c>
      <c r="C298" s="2">
        <f t="shared" si="16"/>
        <v>282</v>
      </c>
      <c r="D298" s="3">
        <f t="shared" si="15"/>
        <v>0</v>
      </c>
      <c r="E298" s="3">
        <f>ROUND(Table15[[#This Row],[Beginning Balance]]*Table15[[#This Row],[Monthly Interest Rate]],2)</f>
        <v>0</v>
      </c>
      <c r="F298" s="3">
        <f t="shared" si="17"/>
        <v>-10</v>
      </c>
      <c r="G298" s="23">
        <f>IFERROR(IF($C$13="No","N/A",IF(Table15[[#This Row],[Period]]=1,$C$6,PMT(InterestRate*AmortizationMultiplier/12,Table15[[#This Row],[Am Thru]],-Table15[[#This Row],[Beginning Balance]]))),0)</f>
        <v>0</v>
      </c>
      <c r="H298" s="3">
        <f>MAX(0,IF(C298=$C$4,D298,ROUND(IF($C$3="Fixed Principal",$C$6-Table15[[#This Row],[Interest]],IF($C$3="Interest Only",Table15[[#This Row],[Beginning Balance]]*ROUND(1-(1-IF($C$11="No",$E$8,1))^(1/12),6),MIN(IF($C$13="Yes",Table15[[#This Row],[Payment Amount (Reamortized)]],$C$6)-Table15[[#This Row],[Interest]],Table15[[#This Row],[Beginning Balance]]))),2)))</f>
        <v>0</v>
      </c>
      <c r="I298" s="3">
        <f>_xlfn.SINGLE(IF($C$3="Line of Credit",0,ROUND(MAX(MIN(IF($C$10="No",$E$7,VLOOKUP(Table15[[#This Row],[Period]],Forecast!$H$2:$L$1048576,4,FALSE))*Table15[[#This Row],[Beginning Balance]],Table15[[#This Row],[Beginning Balance]]-Table15[[#This Row],[Principal]]),0),2)))</f>
        <v>0</v>
      </c>
      <c r="J298" s="3">
        <f>ROUND(MIN(Table15[[#This Row],[Beginning Balance]]*IF($C$8="No",$E$3,VLOOKUP(Table15[[#This Row],[Period]],Forecast!$H$2:$L$1048576,2,FALSE)),Table15[[#This Row],[Beginning Balance]]-Table15[[#This Row],[Principal]]-Table15[[#This Row],[Prepayments]]),2)</f>
        <v>0</v>
      </c>
      <c r="K298" s="3">
        <f>ROUND(Table15[[#This Row],[Defaulted Principal]]*IF($C$9="No",$E$4,VLOOKUP(Table15[[#This Row],[Period]],Forecast!$H$2:$L$1048576,3,FALSE)),2)</f>
        <v>0</v>
      </c>
      <c r="L298" s="2">
        <f>Table15[[#This Row],[Period]]+$E$9</f>
        <v>294</v>
      </c>
      <c r="M298" s="3">
        <f>Table15[[#This Row],[Defaulted Principal]]-Table15[[#This Row],[Estimated Loss]]</f>
        <v>0</v>
      </c>
      <c r="N298" s="3">
        <f>IFERROR(VLOOKUP(Table15[[#This Row],[Period]],$L$16:$M$385,2,FALSE),0)</f>
        <v>0</v>
      </c>
      <c r="O298" s="3">
        <f>Table15[[#This Row],[Beginning Balance]]-Table15[[#This Row],[Principal]]-Table15[[#This Row],[Prepayments]]-Table15[[#This Row],[Defaulted Principal]]</f>
        <v>0</v>
      </c>
      <c r="P298" s="3">
        <f>Table15[[#This Row],[Principal]]+Table15[[#This Row],[Interest]]+Table15[[#This Row],[Prepayments]]+Table15[[#This Row],[RecoveredAmount]]</f>
        <v>0</v>
      </c>
      <c r="Q298" s="3">
        <f ca="1">ROUND(Table15[[#This Row],[Cash Flow]]/((1+ActualRateToUse)^(IF(ISNUMBER(SEARCH("Actual",$C$7)),Table15[[#This Row],[Running Total]]/365,Table15[[#This Row],[Period]]/12))),2)</f>
        <v>0</v>
      </c>
      <c r="R298" s="2">
        <f>IF(MONTH(Table15[[#This Row],[Date]])=2,28,DAY(DATE(YEAR(Table15[[#This Row],[Date]]),MONTH(Table15[[#This Row],[Date]])+1,1)-1))</f>
        <v>31</v>
      </c>
      <c r="S298" s="2">
        <f ca="1">SUM(OFFSET(Table15[[#Headers],[Days in month]],1,0):Table15[[#This Row],[Days in month]])</f>
        <v>8579</v>
      </c>
      <c r="T298" s="37">
        <f>InterestRate*AmortizationMultiplier*IF(ISNUMBER(SEARCH("Actual",$C$7)),Table15[[#This Row],[Days in month]]/365,1/12)</f>
        <v>5.8133611111111103E-3</v>
      </c>
    </row>
    <row r="299" spans="2:20" x14ac:dyDescent="0.2">
      <c r="B299" s="1">
        <f t="shared" si="14"/>
        <v>54454</v>
      </c>
      <c r="C299" s="2">
        <f t="shared" si="16"/>
        <v>283</v>
      </c>
      <c r="D299" s="3">
        <f t="shared" si="15"/>
        <v>0</v>
      </c>
      <c r="E299" s="3">
        <f>ROUND(Table15[[#This Row],[Beginning Balance]]*Table15[[#This Row],[Monthly Interest Rate]],2)</f>
        <v>0</v>
      </c>
      <c r="F299" s="3">
        <f t="shared" si="17"/>
        <v>-11</v>
      </c>
      <c r="G299" s="23">
        <f>IFERROR(IF($C$13="No","N/A",IF(Table15[[#This Row],[Period]]=1,$C$6,PMT(InterestRate*AmortizationMultiplier/12,Table15[[#This Row],[Am Thru]],-Table15[[#This Row],[Beginning Balance]]))),0)</f>
        <v>0</v>
      </c>
      <c r="H299" s="3">
        <f>MAX(0,IF(C299=$C$4,D299,ROUND(IF($C$3="Fixed Principal",$C$6-Table15[[#This Row],[Interest]],IF($C$3="Interest Only",Table15[[#This Row],[Beginning Balance]]*ROUND(1-(1-IF($C$11="No",$E$8,1))^(1/12),6),MIN(IF($C$13="Yes",Table15[[#This Row],[Payment Amount (Reamortized)]],$C$6)-Table15[[#This Row],[Interest]],Table15[[#This Row],[Beginning Balance]]))),2)))</f>
        <v>0</v>
      </c>
      <c r="I299" s="3">
        <f>_xlfn.SINGLE(IF($C$3="Line of Credit",0,ROUND(MAX(MIN(IF($C$10="No",$E$7,VLOOKUP(Table15[[#This Row],[Period]],Forecast!$H$2:$L$1048576,4,FALSE))*Table15[[#This Row],[Beginning Balance]],Table15[[#This Row],[Beginning Balance]]-Table15[[#This Row],[Principal]]),0),2)))</f>
        <v>0</v>
      </c>
      <c r="J299" s="3">
        <f>ROUND(MIN(Table15[[#This Row],[Beginning Balance]]*IF($C$8="No",$E$3,VLOOKUP(Table15[[#This Row],[Period]],Forecast!$H$2:$L$1048576,2,FALSE)),Table15[[#This Row],[Beginning Balance]]-Table15[[#This Row],[Principal]]-Table15[[#This Row],[Prepayments]]),2)</f>
        <v>0</v>
      </c>
      <c r="K299" s="3">
        <f>ROUND(Table15[[#This Row],[Defaulted Principal]]*IF($C$9="No",$E$4,VLOOKUP(Table15[[#This Row],[Period]],Forecast!$H$2:$L$1048576,3,FALSE)),2)</f>
        <v>0</v>
      </c>
      <c r="L299" s="2">
        <f>Table15[[#This Row],[Period]]+$E$9</f>
        <v>295</v>
      </c>
      <c r="M299" s="3">
        <f>Table15[[#This Row],[Defaulted Principal]]-Table15[[#This Row],[Estimated Loss]]</f>
        <v>0</v>
      </c>
      <c r="N299" s="3">
        <f>IFERROR(VLOOKUP(Table15[[#This Row],[Period]],$L$16:$M$385,2,FALSE),0)</f>
        <v>0</v>
      </c>
      <c r="O299" s="3">
        <f>Table15[[#This Row],[Beginning Balance]]-Table15[[#This Row],[Principal]]-Table15[[#This Row],[Prepayments]]-Table15[[#This Row],[Defaulted Principal]]</f>
        <v>0</v>
      </c>
      <c r="P299" s="3">
        <f>Table15[[#This Row],[Principal]]+Table15[[#This Row],[Interest]]+Table15[[#This Row],[Prepayments]]+Table15[[#This Row],[RecoveredAmount]]</f>
        <v>0</v>
      </c>
      <c r="Q299" s="3">
        <f ca="1">ROUND(Table15[[#This Row],[Cash Flow]]/((1+ActualRateToUse)^(IF(ISNUMBER(SEARCH("Actual",$C$7)),Table15[[#This Row],[Running Total]]/365,Table15[[#This Row],[Period]]/12))),2)</f>
        <v>0</v>
      </c>
      <c r="R299" s="2">
        <f>IF(MONTH(Table15[[#This Row],[Date]])=2,28,DAY(DATE(YEAR(Table15[[#This Row],[Date]]),MONTH(Table15[[#This Row],[Date]])+1,1)-1))</f>
        <v>31</v>
      </c>
      <c r="S299" s="2">
        <f ca="1">SUM(OFFSET(Table15[[#Headers],[Days in month]],1,0):Table15[[#This Row],[Days in month]])</f>
        <v>8610</v>
      </c>
      <c r="T299" s="37">
        <f>InterestRate*AmortizationMultiplier*IF(ISNUMBER(SEARCH("Actual",$C$7)),Table15[[#This Row],[Days in month]]/365,1/12)</f>
        <v>5.8133611111111103E-3</v>
      </c>
    </row>
    <row r="300" spans="2:20" x14ac:dyDescent="0.2">
      <c r="B300" s="1">
        <f t="shared" si="14"/>
        <v>54482</v>
      </c>
      <c r="C300" s="2">
        <f t="shared" si="16"/>
        <v>284</v>
      </c>
      <c r="D300" s="3">
        <f t="shared" si="15"/>
        <v>0</v>
      </c>
      <c r="E300" s="3">
        <f>ROUND(Table15[[#This Row],[Beginning Balance]]*Table15[[#This Row],[Monthly Interest Rate]],2)</f>
        <v>0</v>
      </c>
      <c r="F300" s="3">
        <f t="shared" si="17"/>
        <v>-12</v>
      </c>
      <c r="G300" s="23">
        <f>IFERROR(IF($C$13="No","N/A",IF(Table15[[#This Row],[Period]]=1,$C$6,PMT(InterestRate*AmortizationMultiplier/12,Table15[[#This Row],[Am Thru]],-Table15[[#This Row],[Beginning Balance]]))),0)</f>
        <v>0</v>
      </c>
      <c r="H300" s="3">
        <f>MAX(0,IF(C300=$C$4,D300,ROUND(IF($C$3="Fixed Principal",$C$6-Table15[[#This Row],[Interest]],IF($C$3="Interest Only",Table15[[#This Row],[Beginning Balance]]*ROUND(1-(1-IF($C$11="No",$E$8,1))^(1/12),6),MIN(IF($C$13="Yes",Table15[[#This Row],[Payment Amount (Reamortized)]],$C$6)-Table15[[#This Row],[Interest]],Table15[[#This Row],[Beginning Balance]]))),2)))</f>
        <v>0</v>
      </c>
      <c r="I300" s="3">
        <f>_xlfn.SINGLE(IF($C$3="Line of Credit",0,ROUND(MAX(MIN(IF($C$10="No",$E$7,VLOOKUP(Table15[[#This Row],[Period]],Forecast!$H$2:$L$1048576,4,FALSE))*Table15[[#This Row],[Beginning Balance]],Table15[[#This Row],[Beginning Balance]]-Table15[[#This Row],[Principal]]),0),2)))</f>
        <v>0</v>
      </c>
      <c r="J300" s="3">
        <f>ROUND(MIN(Table15[[#This Row],[Beginning Balance]]*IF($C$8="No",$E$3,VLOOKUP(Table15[[#This Row],[Period]],Forecast!$H$2:$L$1048576,2,FALSE)),Table15[[#This Row],[Beginning Balance]]-Table15[[#This Row],[Principal]]-Table15[[#This Row],[Prepayments]]),2)</f>
        <v>0</v>
      </c>
      <c r="K300" s="3">
        <f>ROUND(Table15[[#This Row],[Defaulted Principal]]*IF($C$9="No",$E$4,VLOOKUP(Table15[[#This Row],[Period]],Forecast!$H$2:$L$1048576,3,FALSE)),2)</f>
        <v>0</v>
      </c>
      <c r="L300" s="2">
        <f>Table15[[#This Row],[Period]]+$E$9</f>
        <v>296</v>
      </c>
      <c r="M300" s="3">
        <f>Table15[[#This Row],[Defaulted Principal]]-Table15[[#This Row],[Estimated Loss]]</f>
        <v>0</v>
      </c>
      <c r="N300" s="3">
        <f>IFERROR(VLOOKUP(Table15[[#This Row],[Period]],$L$16:$M$385,2,FALSE),0)</f>
        <v>0</v>
      </c>
      <c r="O300" s="3">
        <f>Table15[[#This Row],[Beginning Balance]]-Table15[[#This Row],[Principal]]-Table15[[#This Row],[Prepayments]]-Table15[[#This Row],[Defaulted Principal]]</f>
        <v>0</v>
      </c>
      <c r="P300" s="3">
        <f>Table15[[#This Row],[Principal]]+Table15[[#This Row],[Interest]]+Table15[[#This Row],[Prepayments]]+Table15[[#This Row],[RecoveredAmount]]</f>
        <v>0</v>
      </c>
      <c r="Q300" s="3">
        <f ca="1">ROUND(Table15[[#This Row],[Cash Flow]]/((1+ActualRateToUse)^(IF(ISNUMBER(SEARCH("Actual",$C$7)),Table15[[#This Row],[Running Total]]/365,Table15[[#This Row],[Period]]/12))),2)</f>
        <v>0</v>
      </c>
      <c r="R300" s="2">
        <f>IF(MONTH(Table15[[#This Row],[Date]])=2,28,DAY(DATE(YEAR(Table15[[#This Row],[Date]]),MONTH(Table15[[#This Row],[Date]])+1,1)-1))</f>
        <v>28</v>
      </c>
      <c r="S300" s="2">
        <f ca="1">SUM(OFFSET(Table15[[#Headers],[Days in month]],1,0):Table15[[#This Row],[Days in month]])</f>
        <v>8638</v>
      </c>
      <c r="T300" s="37">
        <f>InterestRate*AmortizationMultiplier*IF(ISNUMBER(SEARCH("Actual",$C$7)),Table15[[#This Row],[Days in month]]/365,1/12)</f>
        <v>5.2507777777777778E-3</v>
      </c>
    </row>
    <row r="301" spans="2:20" x14ac:dyDescent="0.2">
      <c r="B301" s="1">
        <f t="shared" si="14"/>
        <v>54513</v>
      </c>
      <c r="C301" s="2">
        <f t="shared" si="16"/>
        <v>285</v>
      </c>
      <c r="D301" s="3">
        <f t="shared" si="15"/>
        <v>0</v>
      </c>
      <c r="E301" s="3">
        <f>ROUND(Table15[[#This Row],[Beginning Balance]]*Table15[[#This Row],[Monthly Interest Rate]],2)</f>
        <v>0</v>
      </c>
      <c r="F301" s="3">
        <f t="shared" si="17"/>
        <v>-13</v>
      </c>
      <c r="G301" s="23">
        <f>IFERROR(IF($C$13="No","N/A",IF(Table15[[#This Row],[Period]]=1,$C$6,PMT(InterestRate*AmortizationMultiplier/12,Table15[[#This Row],[Am Thru]],-Table15[[#This Row],[Beginning Balance]]))),0)</f>
        <v>0</v>
      </c>
      <c r="H301" s="3">
        <f>MAX(0,IF(C301=$C$4,D301,ROUND(IF($C$3="Fixed Principal",$C$6-Table15[[#This Row],[Interest]],IF($C$3="Interest Only",Table15[[#This Row],[Beginning Balance]]*ROUND(1-(1-IF($C$11="No",$E$8,1))^(1/12),6),MIN(IF($C$13="Yes",Table15[[#This Row],[Payment Amount (Reamortized)]],$C$6)-Table15[[#This Row],[Interest]],Table15[[#This Row],[Beginning Balance]]))),2)))</f>
        <v>0</v>
      </c>
      <c r="I301" s="3">
        <f>_xlfn.SINGLE(IF($C$3="Line of Credit",0,ROUND(MAX(MIN(IF($C$10="No",$E$7,VLOOKUP(Table15[[#This Row],[Period]],Forecast!$H$2:$L$1048576,4,FALSE))*Table15[[#This Row],[Beginning Balance]],Table15[[#This Row],[Beginning Balance]]-Table15[[#This Row],[Principal]]),0),2)))</f>
        <v>0</v>
      </c>
      <c r="J301" s="3">
        <f>ROUND(MIN(Table15[[#This Row],[Beginning Balance]]*IF($C$8="No",$E$3,VLOOKUP(Table15[[#This Row],[Period]],Forecast!$H$2:$L$1048576,2,FALSE)),Table15[[#This Row],[Beginning Balance]]-Table15[[#This Row],[Principal]]-Table15[[#This Row],[Prepayments]]),2)</f>
        <v>0</v>
      </c>
      <c r="K301" s="3">
        <f>ROUND(Table15[[#This Row],[Defaulted Principal]]*IF($C$9="No",$E$4,VLOOKUP(Table15[[#This Row],[Period]],Forecast!$H$2:$L$1048576,3,FALSE)),2)</f>
        <v>0</v>
      </c>
      <c r="L301" s="2">
        <f>Table15[[#This Row],[Period]]+$E$9</f>
        <v>297</v>
      </c>
      <c r="M301" s="3">
        <f>Table15[[#This Row],[Defaulted Principal]]-Table15[[#This Row],[Estimated Loss]]</f>
        <v>0</v>
      </c>
      <c r="N301" s="3">
        <f>IFERROR(VLOOKUP(Table15[[#This Row],[Period]],$L$16:$M$385,2,FALSE),0)</f>
        <v>0</v>
      </c>
      <c r="O301" s="3">
        <f>Table15[[#This Row],[Beginning Balance]]-Table15[[#This Row],[Principal]]-Table15[[#This Row],[Prepayments]]-Table15[[#This Row],[Defaulted Principal]]</f>
        <v>0</v>
      </c>
      <c r="P301" s="3">
        <f>Table15[[#This Row],[Principal]]+Table15[[#This Row],[Interest]]+Table15[[#This Row],[Prepayments]]+Table15[[#This Row],[RecoveredAmount]]</f>
        <v>0</v>
      </c>
      <c r="Q301" s="3">
        <f ca="1">ROUND(Table15[[#This Row],[Cash Flow]]/((1+ActualRateToUse)^(IF(ISNUMBER(SEARCH("Actual",$C$7)),Table15[[#This Row],[Running Total]]/365,Table15[[#This Row],[Period]]/12))),2)</f>
        <v>0</v>
      </c>
      <c r="R301" s="2">
        <f>IF(MONTH(Table15[[#This Row],[Date]])=2,28,DAY(DATE(YEAR(Table15[[#This Row],[Date]]),MONTH(Table15[[#This Row],[Date]])+1,1)-1))</f>
        <v>31</v>
      </c>
      <c r="S301" s="2">
        <f ca="1">SUM(OFFSET(Table15[[#Headers],[Days in month]],1,0):Table15[[#This Row],[Days in month]])</f>
        <v>8669</v>
      </c>
      <c r="T301" s="37">
        <f>InterestRate*AmortizationMultiplier*IF(ISNUMBER(SEARCH("Actual",$C$7)),Table15[[#This Row],[Days in month]]/365,1/12)</f>
        <v>5.8133611111111103E-3</v>
      </c>
    </row>
    <row r="302" spans="2:20" x14ac:dyDescent="0.2">
      <c r="B302" s="1">
        <f t="shared" si="14"/>
        <v>54543</v>
      </c>
      <c r="C302" s="2">
        <f t="shared" si="16"/>
        <v>286</v>
      </c>
      <c r="D302" s="3">
        <f t="shared" si="15"/>
        <v>0</v>
      </c>
      <c r="E302" s="3">
        <f>ROUND(Table15[[#This Row],[Beginning Balance]]*Table15[[#This Row],[Monthly Interest Rate]],2)</f>
        <v>0</v>
      </c>
      <c r="F302" s="3">
        <f t="shared" si="17"/>
        <v>-14</v>
      </c>
      <c r="G302" s="23">
        <f>IFERROR(IF($C$13="No","N/A",IF(Table15[[#This Row],[Period]]=1,$C$6,PMT(InterestRate*AmortizationMultiplier/12,Table15[[#This Row],[Am Thru]],-Table15[[#This Row],[Beginning Balance]]))),0)</f>
        <v>0</v>
      </c>
      <c r="H302" s="3">
        <f>MAX(0,IF(C302=$C$4,D302,ROUND(IF($C$3="Fixed Principal",$C$6-Table15[[#This Row],[Interest]],IF($C$3="Interest Only",Table15[[#This Row],[Beginning Balance]]*ROUND(1-(1-IF($C$11="No",$E$8,1))^(1/12),6),MIN(IF($C$13="Yes",Table15[[#This Row],[Payment Amount (Reamortized)]],$C$6)-Table15[[#This Row],[Interest]],Table15[[#This Row],[Beginning Balance]]))),2)))</f>
        <v>0</v>
      </c>
      <c r="I302" s="3">
        <f>_xlfn.SINGLE(IF($C$3="Line of Credit",0,ROUND(MAX(MIN(IF($C$10="No",$E$7,VLOOKUP(Table15[[#This Row],[Period]],Forecast!$H$2:$L$1048576,4,FALSE))*Table15[[#This Row],[Beginning Balance]],Table15[[#This Row],[Beginning Balance]]-Table15[[#This Row],[Principal]]),0),2)))</f>
        <v>0</v>
      </c>
      <c r="J302" s="3">
        <f>ROUND(MIN(Table15[[#This Row],[Beginning Balance]]*IF($C$8="No",$E$3,VLOOKUP(Table15[[#This Row],[Period]],Forecast!$H$2:$L$1048576,2,FALSE)),Table15[[#This Row],[Beginning Balance]]-Table15[[#This Row],[Principal]]-Table15[[#This Row],[Prepayments]]),2)</f>
        <v>0</v>
      </c>
      <c r="K302" s="3">
        <f>ROUND(Table15[[#This Row],[Defaulted Principal]]*IF($C$9="No",$E$4,VLOOKUP(Table15[[#This Row],[Period]],Forecast!$H$2:$L$1048576,3,FALSE)),2)</f>
        <v>0</v>
      </c>
      <c r="L302" s="2">
        <f>Table15[[#This Row],[Period]]+$E$9</f>
        <v>298</v>
      </c>
      <c r="M302" s="3">
        <f>Table15[[#This Row],[Defaulted Principal]]-Table15[[#This Row],[Estimated Loss]]</f>
        <v>0</v>
      </c>
      <c r="N302" s="3">
        <f>IFERROR(VLOOKUP(Table15[[#This Row],[Period]],$L$16:$M$385,2,FALSE),0)</f>
        <v>0</v>
      </c>
      <c r="O302" s="3">
        <f>Table15[[#This Row],[Beginning Balance]]-Table15[[#This Row],[Principal]]-Table15[[#This Row],[Prepayments]]-Table15[[#This Row],[Defaulted Principal]]</f>
        <v>0</v>
      </c>
      <c r="P302" s="3">
        <f>Table15[[#This Row],[Principal]]+Table15[[#This Row],[Interest]]+Table15[[#This Row],[Prepayments]]+Table15[[#This Row],[RecoveredAmount]]</f>
        <v>0</v>
      </c>
      <c r="Q302" s="3">
        <f ca="1">ROUND(Table15[[#This Row],[Cash Flow]]/((1+ActualRateToUse)^(IF(ISNUMBER(SEARCH("Actual",$C$7)),Table15[[#This Row],[Running Total]]/365,Table15[[#This Row],[Period]]/12))),2)</f>
        <v>0</v>
      </c>
      <c r="R302" s="2">
        <f>IF(MONTH(Table15[[#This Row],[Date]])=2,28,DAY(DATE(YEAR(Table15[[#This Row],[Date]]),MONTH(Table15[[#This Row],[Date]])+1,1)-1))</f>
        <v>30</v>
      </c>
      <c r="S302" s="2">
        <f ca="1">SUM(OFFSET(Table15[[#Headers],[Days in month]],1,0):Table15[[#This Row],[Days in month]])</f>
        <v>8699</v>
      </c>
      <c r="T302" s="37">
        <f>InterestRate*AmortizationMultiplier*IF(ISNUMBER(SEARCH("Actual",$C$7)),Table15[[#This Row],[Days in month]]/365,1/12)</f>
        <v>5.6258333333333325E-3</v>
      </c>
    </row>
    <row r="303" spans="2:20" x14ac:dyDescent="0.2">
      <c r="B303" s="1">
        <f t="shared" si="14"/>
        <v>54574</v>
      </c>
      <c r="C303" s="2">
        <f t="shared" si="16"/>
        <v>287</v>
      </c>
      <c r="D303" s="3">
        <f t="shared" si="15"/>
        <v>0</v>
      </c>
      <c r="E303" s="3">
        <f>ROUND(Table15[[#This Row],[Beginning Balance]]*Table15[[#This Row],[Monthly Interest Rate]],2)</f>
        <v>0</v>
      </c>
      <c r="F303" s="3">
        <f t="shared" si="17"/>
        <v>-15</v>
      </c>
      <c r="G303" s="23">
        <f>IFERROR(IF($C$13="No","N/A",IF(Table15[[#This Row],[Period]]=1,$C$6,PMT(InterestRate*AmortizationMultiplier/12,Table15[[#This Row],[Am Thru]],-Table15[[#This Row],[Beginning Balance]]))),0)</f>
        <v>0</v>
      </c>
      <c r="H303" s="3">
        <f>MAX(0,IF(C303=$C$4,D303,ROUND(IF($C$3="Fixed Principal",$C$6-Table15[[#This Row],[Interest]],IF($C$3="Interest Only",Table15[[#This Row],[Beginning Balance]]*ROUND(1-(1-IF($C$11="No",$E$8,1))^(1/12),6),MIN(IF($C$13="Yes",Table15[[#This Row],[Payment Amount (Reamortized)]],$C$6)-Table15[[#This Row],[Interest]],Table15[[#This Row],[Beginning Balance]]))),2)))</f>
        <v>0</v>
      </c>
      <c r="I303" s="3">
        <f>_xlfn.SINGLE(IF($C$3="Line of Credit",0,ROUND(MAX(MIN(IF($C$10="No",$E$7,VLOOKUP(Table15[[#This Row],[Period]],Forecast!$H$2:$L$1048576,4,FALSE))*Table15[[#This Row],[Beginning Balance]],Table15[[#This Row],[Beginning Balance]]-Table15[[#This Row],[Principal]]),0),2)))</f>
        <v>0</v>
      </c>
      <c r="J303" s="3">
        <f>ROUND(MIN(Table15[[#This Row],[Beginning Balance]]*IF($C$8="No",$E$3,VLOOKUP(Table15[[#This Row],[Period]],Forecast!$H$2:$L$1048576,2,FALSE)),Table15[[#This Row],[Beginning Balance]]-Table15[[#This Row],[Principal]]-Table15[[#This Row],[Prepayments]]),2)</f>
        <v>0</v>
      </c>
      <c r="K303" s="3">
        <f>ROUND(Table15[[#This Row],[Defaulted Principal]]*IF($C$9="No",$E$4,VLOOKUP(Table15[[#This Row],[Period]],Forecast!$H$2:$L$1048576,3,FALSE)),2)</f>
        <v>0</v>
      </c>
      <c r="L303" s="2">
        <f>Table15[[#This Row],[Period]]+$E$9</f>
        <v>299</v>
      </c>
      <c r="M303" s="3">
        <f>Table15[[#This Row],[Defaulted Principal]]-Table15[[#This Row],[Estimated Loss]]</f>
        <v>0</v>
      </c>
      <c r="N303" s="3">
        <f>IFERROR(VLOOKUP(Table15[[#This Row],[Period]],$L$16:$M$385,2,FALSE),0)</f>
        <v>0</v>
      </c>
      <c r="O303" s="3">
        <f>Table15[[#This Row],[Beginning Balance]]-Table15[[#This Row],[Principal]]-Table15[[#This Row],[Prepayments]]-Table15[[#This Row],[Defaulted Principal]]</f>
        <v>0</v>
      </c>
      <c r="P303" s="3">
        <f>Table15[[#This Row],[Principal]]+Table15[[#This Row],[Interest]]+Table15[[#This Row],[Prepayments]]+Table15[[#This Row],[RecoveredAmount]]</f>
        <v>0</v>
      </c>
      <c r="Q303" s="3">
        <f ca="1">ROUND(Table15[[#This Row],[Cash Flow]]/((1+ActualRateToUse)^(IF(ISNUMBER(SEARCH("Actual",$C$7)),Table15[[#This Row],[Running Total]]/365,Table15[[#This Row],[Period]]/12))),2)</f>
        <v>0</v>
      </c>
      <c r="R303" s="2">
        <f>IF(MONTH(Table15[[#This Row],[Date]])=2,28,DAY(DATE(YEAR(Table15[[#This Row],[Date]]),MONTH(Table15[[#This Row],[Date]])+1,1)-1))</f>
        <v>31</v>
      </c>
      <c r="S303" s="2">
        <f ca="1">SUM(OFFSET(Table15[[#Headers],[Days in month]],1,0):Table15[[#This Row],[Days in month]])</f>
        <v>8730</v>
      </c>
      <c r="T303" s="37">
        <f>InterestRate*AmortizationMultiplier*IF(ISNUMBER(SEARCH("Actual",$C$7)),Table15[[#This Row],[Days in month]]/365,1/12)</f>
        <v>5.8133611111111103E-3</v>
      </c>
    </row>
    <row r="304" spans="2:20" x14ac:dyDescent="0.2">
      <c r="B304" s="1">
        <f t="shared" si="14"/>
        <v>54604</v>
      </c>
      <c r="C304" s="2">
        <f t="shared" si="16"/>
        <v>288</v>
      </c>
      <c r="D304" s="3">
        <f t="shared" si="15"/>
        <v>0</v>
      </c>
      <c r="E304" s="3">
        <f>ROUND(Table15[[#This Row],[Beginning Balance]]*Table15[[#This Row],[Monthly Interest Rate]],2)</f>
        <v>0</v>
      </c>
      <c r="F304" s="3">
        <f t="shared" si="17"/>
        <v>-16</v>
      </c>
      <c r="G304" s="23">
        <f>IFERROR(IF($C$13="No","N/A",IF(Table15[[#This Row],[Period]]=1,$C$6,PMT(InterestRate*AmortizationMultiplier/12,Table15[[#This Row],[Am Thru]],-Table15[[#This Row],[Beginning Balance]]))),0)</f>
        <v>0</v>
      </c>
      <c r="H304" s="3">
        <f>MAX(0,IF(C304=$C$4,D304,ROUND(IF($C$3="Fixed Principal",$C$6-Table15[[#This Row],[Interest]],IF($C$3="Interest Only",Table15[[#This Row],[Beginning Balance]]*ROUND(1-(1-IF($C$11="No",$E$8,1))^(1/12),6),MIN(IF($C$13="Yes",Table15[[#This Row],[Payment Amount (Reamortized)]],$C$6)-Table15[[#This Row],[Interest]],Table15[[#This Row],[Beginning Balance]]))),2)))</f>
        <v>0</v>
      </c>
      <c r="I304" s="3">
        <f>_xlfn.SINGLE(IF($C$3="Line of Credit",0,ROUND(MAX(MIN(IF($C$10="No",$E$7,VLOOKUP(Table15[[#This Row],[Period]],Forecast!$H$2:$L$1048576,4,FALSE))*Table15[[#This Row],[Beginning Balance]],Table15[[#This Row],[Beginning Balance]]-Table15[[#This Row],[Principal]]),0),2)))</f>
        <v>0</v>
      </c>
      <c r="J304" s="3">
        <f>ROUND(MIN(Table15[[#This Row],[Beginning Balance]]*IF($C$8="No",$E$3,VLOOKUP(Table15[[#This Row],[Period]],Forecast!$H$2:$L$1048576,2,FALSE)),Table15[[#This Row],[Beginning Balance]]-Table15[[#This Row],[Principal]]-Table15[[#This Row],[Prepayments]]),2)</f>
        <v>0</v>
      </c>
      <c r="K304" s="3">
        <f>ROUND(Table15[[#This Row],[Defaulted Principal]]*IF($C$9="No",$E$4,VLOOKUP(Table15[[#This Row],[Period]],Forecast!$H$2:$L$1048576,3,FALSE)),2)</f>
        <v>0</v>
      </c>
      <c r="L304" s="2">
        <f>Table15[[#This Row],[Period]]+$E$9</f>
        <v>300</v>
      </c>
      <c r="M304" s="3">
        <f>Table15[[#This Row],[Defaulted Principal]]-Table15[[#This Row],[Estimated Loss]]</f>
        <v>0</v>
      </c>
      <c r="N304" s="3">
        <f>IFERROR(VLOOKUP(Table15[[#This Row],[Period]],$L$16:$M$385,2,FALSE),0)</f>
        <v>0</v>
      </c>
      <c r="O304" s="3">
        <f>Table15[[#This Row],[Beginning Balance]]-Table15[[#This Row],[Principal]]-Table15[[#This Row],[Prepayments]]-Table15[[#This Row],[Defaulted Principal]]</f>
        <v>0</v>
      </c>
      <c r="P304" s="3">
        <f>Table15[[#This Row],[Principal]]+Table15[[#This Row],[Interest]]+Table15[[#This Row],[Prepayments]]+Table15[[#This Row],[RecoveredAmount]]</f>
        <v>0</v>
      </c>
      <c r="Q304" s="3">
        <f ca="1">ROUND(Table15[[#This Row],[Cash Flow]]/((1+ActualRateToUse)^(IF(ISNUMBER(SEARCH("Actual",$C$7)),Table15[[#This Row],[Running Total]]/365,Table15[[#This Row],[Period]]/12))),2)</f>
        <v>0</v>
      </c>
      <c r="R304" s="2">
        <f>IF(MONTH(Table15[[#This Row],[Date]])=2,28,DAY(DATE(YEAR(Table15[[#This Row],[Date]]),MONTH(Table15[[#This Row],[Date]])+1,1)-1))</f>
        <v>30</v>
      </c>
      <c r="S304" s="2">
        <f ca="1">SUM(OFFSET(Table15[[#Headers],[Days in month]],1,0):Table15[[#This Row],[Days in month]])</f>
        <v>8760</v>
      </c>
      <c r="T304" s="37">
        <f>InterestRate*AmortizationMultiplier*IF(ISNUMBER(SEARCH("Actual",$C$7)),Table15[[#This Row],[Days in month]]/365,1/12)</f>
        <v>5.6258333333333325E-3</v>
      </c>
    </row>
    <row r="305" spans="2:20" x14ac:dyDescent="0.2">
      <c r="B305" s="1">
        <f t="shared" si="14"/>
        <v>54635</v>
      </c>
      <c r="C305" s="2">
        <f t="shared" si="16"/>
        <v>289</v>
      </c>
      <c r="D305" s="3">
        <f t="shared" si="15"/>
        <v>0</v>
      </c>
      <c r="E305" s="3">
        <f>ROUND(Table15[[#This Row],[Beginning Balance]]*Table15[[#This Row],[Monthly Interest Rate]],2)</f>
        <v>0</v>
      </c>
      <c r="F305" s="3">
        <f t="shared" si="17"/>
        <v>-17</v>
      </c>
      <c r="G305" s="23">
        <f>IFERROR(IF($C$13="No","N/A",IF(Table15[[#This Row],[Period]]=1,$C$6,PMT(InterestRate*AmortizationMultiplier/12,Table15[[#This Row],[Am Thru]],-Table15[[#This Row],[Beginning Balance]]))),0)</f>
        <v>0</v>
      </c>
      <c r="H305" s="3">
        <f>MAX(0,IF(C305=$C$4,D305,ROUND(IF($C$3="Fixed Principal",$C$6-Table15[[#This Row],[Interest]],IF($C$3="Interest Only",Table15[[#This Row],[Beginning Balance]]*ROUND(1-(1-IF($C$11="No",$E$8,1))^(1/12),6),MIN(IF($C$13="Yes",Table15[[#This Row],[Payment Amount (Reamortized)]],$C$6)-Table15[[#This Row],[Interest]],Table15[[#This Row],[Beginning Balance]]))),2)))</f>
        <v>0</v>
      </c>
      <c r="I305" s="3">
        <f>_xlfn.SINGLE(IF($C$3="Line of Credit",0,ROUND(MAX(MIN(IF($C$10="No",$E$7,VLOOKUP(Table15[[#This Row],[Period]],Forecast!$H$2:$L$1048576,4,FALSE))*Table15[[#This Row],[Beginning Balance]],Table15[[#This Row],[Beginning Balance]]-Table15[[#This Row],[Principal]]),0),2)))</f>
        <v>0</v>
      </c>
      <c r="J305" s="3">
        <f>ROUND(MIN(Table15[[#This Row],[Beginning Balance]]*IF($C$8="No",$E$3,VLOOKUP(Table15[[#This Row],[Period]],Forecast!$H$2:$L$1048576,2,FALSE)),Table15[[#This Row],[Beginning Balance]]-Table15[[#This Row],[Principal]]-Table15[[#This Row],[Prepayments]]),2)</f>
        <v>0</v>
      </c>
      <c r="K305" s="3">
        <f>ROUND(Table15[[#This Row],[Defaulted Principal]]*IF($C$9="No",$E$4,VLOOKUP(Table15[[#This Row],[Period]],Forecast!$H$2:$L$1048576,3,FALSE)),2)</f>
        <v>0</v>
      </c>
      <c r="L305" s="2">
        <f>Table15[[#This Row],[Period]]+$E$9</f>
        <v>301</v>
      </c>
      <c r="M305" s="3">
        <f>Table15[[#This Row],[Defaulted Principal]]-Table15[[#This Row],[Estimated Loss]]</f>
        <v>0</v>
      </c>
      <c r="N305" s="3">
        <f>IFERROR(VLOOKUP(Table15[[#This Row],[Period]],$L$16:$M$385,2,FALSE),0)</f>
        <v>0</v>
      </c>
      <c r="O305" s="3">
        <f>Table15[[#This Row],[Beginning Balance]]-Table15[[#This Row],[Principal]]-Table15[[#This Row],[Prepayments]]-Table15[[#This Row],[Defaulted Principal]]</f>
        <v>0</v>
      </c>
      <c r="P305" s="3">
        <f>Table15[[#This Row],[Principal]]+Table15[[#This Row],[Interest]]+Table15[[#This Row],[Prepayments]]+Table15[[#This Row],[RecoveredAmount]]</f>
        <v>0</v>
      </c>
      <c r="Q305" s="3">
        <f ca="1">ROUND(Table15[[#This Row],[Cash Flow]]/((1+ActualRateToUse)^(IF(ISNUMBER(SEARCH("Actual",$C$7)),Table15[[#This Row],[Running Total]]/365,Table15[[#This Row],[Period]]/12))),2)</f>
        <v>0</v>
      </c>
      <c r="R305" s="2">
        <f>IF(MONTH(Table15[[#This Row],[Date]])=2,28,DAY(DATE(YEAR(Table15[[#This Row],[Date]]),MONTH(Table15[[#This Row],[Date]])+1,1)-1))</f>
        <v>31</v>
      </c>
      <c r="S305" s="2">
        <f ca="1">SUM(OFFSET(Table15[[#Headers],[Days in month]],1,0):Table15[[#This Row],[Days in month]])</f>
        <v>8791</v>
      </c>
      <c r="T305" s="37">
        <f>InterestRate*AmortizationMultiplier*IF(ISNUMBER(SEARCH("Actual",$C$7)),Table15[[#This Row],[Days in month]]/365,1/12)</f>
        <v>5.8133611111111103E-3</v>
      </c>
    </row>
    <row r="306" spans="2:20" x14ac:dyDescent="0.2">
      <c r="B306" s="1">
        <f t="shared" si="14"/>
        <v>54666</v>
      </c>
      <c r="C306" s="2">
        <f t="shared" si="16"/>
        <v>290</v>
      </c>
      <c r="D306" s="3">
        <f t="shared" si="15"/>
        <v>0</v>
      </c>
      <c r="E306" s="3">
        <f>ROUND(Table15[[#This Row],[Beginning Balance]]*Table15[[#This Row],[Monthly Interest Rate]],2)</f>
        <v>0</v>
      </c>
      <c r="F306" s="3">
        <f t="shared" si="17"/>
        <v>-18</v>
      </c>
      <c r="G306" s="23">
        <f>IFERROR(IF($C$13="No","N/A",IF(Table15[[#This Row],[Period]]=1,$C$6,PMT(InterestRate*AmortizationMultiplier/12,Table15[[#This Row],[Am Thru]],-Table15[[#This Row],[Beginning Balance]]))),0)</f>
        <v>0</v>
      </c>
      <c r="H306" s="3">
        <f>MAX(0,IF(C306=$C$4,D306,ROUND(IF($C$3="Fixed Principal",$C$6-Table15[[#This Row],[Interest]],IF($C$3="Interest Only",Table15[[#This Row],[Beginning Balance]]*ROUND(1-(1-IF($C$11="No",$E$8,1))^(1/12),6),MIN(IF($C$13="Yes",Table15[[#This Row],[Payment Amount (Reamortized)]],$C$6)-Table15[[#This Row],[Interest]],Table15[[#This Row],[Beginning Balance]]))),2)))</f>
        <v>0</v>
      </c>
      <c r="I306" s="3">
        <f>_xlfn.SINGLE(IF($C$3="Line of Credit",0,ROUND(MAX(MIN(IF($C$10="No",$E$7,VLOOKUP(Table15[[#This Row],[Period]],Forecast!$H$2:$L$1048576,4,FALSE))*Table15[[#This Row],[Beginning Balance]],Table15[[#This Row],[Beginning Balance]]-Table15[[#This Row],[Principal]]),0),2)))</f>
        <v>0</v>
      </c>
      <c r="J306" s="3">
        <f>ROUND(MIN(Table15[[#This Row],[Beginning Balance]]*IF($C$8="No",$E$3,VLOOKUP(Table15[[#This Row],[Period]],Forecast!$H$2:$L$1048576,2,FALSE)),Table15[[#This Row],[Beginning Balance]]-Table15[[#This Row],[Principal]]-Table15[[#This Row],[Prepayments]]),2)</f>
        <v>0</v>
      </c>
      <c r="K306" s="3">
        <f>ROUND(Table15[[#This Row],[Defaulted Principal]]*IF($C$9="No",$E$4,VLOOKUP(Table15[[#This Row],[Period]],Forecast!$H$2:$L$1048576,3,FALSE)),2)</f>
        <v>0</v>
      </c>
      <c r="L306" s="2">
        <f>Table15[[#This Row],[Period]]+$E$9</f>
        <v>302</v>
      </c>
      <c r="M306" s="3">
        <f>Table15[[#This Row],[Defaulted Principal]]-Table15[[#This Row],[Estimated Loss]]</f>
        <v>0</v>
      </c>
      <c r="N306" s="3">
        <f>IFERROR(VLOOKUP(Table15[[#This Row],[Period]],$L$16:$M$385,2,FALSE),0)</f>
        <v>0</v>
      </c>
      <c r="O306" s="3">
        <f>Table15[[#This Row],[Beginning Balance]]-Table15[[#This Row],[Principal]]-Table15[[#This Row],[Prepayments]]-Table15[[#This Row],[Defaulted Principal]]</f>
        <v>0</v>
      </c>
      <c r="P306" s="3">
        <f>Table15[[#This Row],[Principal]]+Table15[[#This Row],[Interest]]+Table15[[#This Row],[Prepayments]]+Table15[[#This Row],[RecoveredAmount]]</f>
        <v>0</v>
      </c>
      <c r="Q306" s="3">
        <f ca="1">ROUND(Table15[[#This Row],[Cash Flow]]/((1+ActualRateToUse)^(IF(ISNUMBER(SEARCH("Actual",$C$7)),Table15[[#This Row],[Running Total]]/365,Table15[[#This Row],[Period]]/12))),2)</f>
        <v>0</v>
      </c>
      <c r="R306" s="2">
        <f>IF(MONTH(Table15[[#This Row],[Date]])=2,28,DAY(DATE(YEAR(Table15[[#This Row],[Date]]),MONTH(Table15[[#This Row],[Date]])+1,1)-1))</f>
        <v>31</v>
      </c>
      <c r="S306" s="2">
        <f ca="1">SUM(OFFSET(Table15[[#Headers],[Days in month]],1,0):Table15[[#This Row],[Days in month]])</f>
        <v>8822</v>
      </c>
      <c r="T306" s="37">
        <f>InterestRate*AmortizationMultiplier*IF(ISNUMBER(SEARCH("Actual",$C$7)),Table15[[#This Row],[Days in month]]/365,1/12)</f>
        <v>5.8133611111111103E-3</v>
      </c>
    </row>
    <row r="307" spans="2:20" x14ac:dyDescent="0.2">
      <c r="B307" s="1">
        <f t="shared" si="14"/>
        <v>54696</v>
      </c>
      <c r="C307" s="2">
        <f t="shared" si="16"/>
        <v>291</v>
      </c>
      <c r="D307" s="3">
        <f t="shared" si="15"/>
        <v>0</v>
      </c>
      <c r="E307" s="3">
        <f>ROUND(Table15[[#This Row],[Beginning Balance]]*Table15[[#This Row],[Monthly Interest Rate]],2)</f>
        <v>0</v>
      </c>
      <c r="F307" s="3">
        <f t="shared" si="17"/>
        <v>-19</v>
      </c>
      <c r="G307" s="23">
        <f>IFERROR(IF($C$13="No","N/A",IF(Table15[[#This Row],[Period]]=1,$C$6,PMT(InterestRate*AmortizationMultiplier/12,Table15[[#This Row],[Am Thru]],-Table15[[#This Row],[Beginning Balance]]))),0)</f>
        <v>0</v>
      </c>
      <c r="H307" s="3">
        <f>MAX(0,IF(C307=$C$4,D307,ROUND(IF($C$3="Fixed Principal",$C$6-Table15[[#This Row],[Interest]],IF($C$3="Interest Only",Table15[[#This Row],[Beginning Balance]]*ROUND(1-(1-IF($C$11="No",$E$8,1))^(1/12),6),MIN(IF($C$13="Yes",Table15[[#This Row],[Payment Amount (Reamortized)]],$C$6)-Table15[[#This Row],[Interest]],Table15[[#This Row],[Beginning Balance]]))),2)))</f>
        <v>0</v>
      </c>
      <c r="I307" s="3">
        <f>_xlfn.SINGLE(IF($C$3="Line of Credit",0,ROUND(MAX(MIN(IF($C$10="No",$E$7,VLOOKUP(Table15[[#This Row],[Period]],Forecast!$H$2:$L$1048576,4,FALSE))*Table15[[#This Row],[Beginning Balance]],Table15[[#This Row],[Beginning Balance]]-Table15[[#This Row],[Principal]]),0),2)))</f>
        <v>0</v>
      </c>
      <c r="J307" s="3">
        <f>ROUND(MIN(Table15[[#This Row],[Beginning Balance]]*IF($C$8="No",$E$3,VLOOKUP(Table15[[#This Row],[Period]],Forecast!$H$2:$L$1048576,2,FALSE)),Table15[[#This Row],[Beginning Balance]]-Table15[[#This Row],[Principal]]-Table15[[#This Row],[Prepayments]]),2)</f>
        <v>0</v>
      </c>
      <c r="K307" s="3">
        <f>ROUND(Table15[[#This Row],[Defaulted Principal]]*IF($C$9="No",$E$4,VLOOKUP(Table15[[#This Row],[Period]],Forecast!$H$2:$L$1048576,3,FALSE)),2)</f>
        <v>0</v>
      </c>
      <c r="L307" s="2">
        <f>Table15[[#This Row],[Period]]+$E$9</f>
        <v>303</v>
      </c>
      <c r="M307" s="3">
        <f>Table15[[#This Row],[Defaulted Principal]]-Table15[[#This Row],[Estimated Loss]]</f>
        <v>0</v>
      </c>
      <c r="N307" s="3">
        <f>IFERROR(VLOOKUP(Table15[[#This Row],[Period]],$L$16:$M$385,2,FALSE),0)</f>
        <v>0</v>
      </c>
      <c r="O307" s="3">
        <f>Table15[[#This Row],[Beginning Balance]]-Table15[[#This Row],[Principal]]-Table15[[#This Row],[Prepayments]]-Table15[[#This Row],[Defaulted Principal]]</f>
        <v>0</v>
      </c>
      <c r="P307" s="3">
        <f>Table15[[#This Row],[Principal]]+Table15[[#This Row],[Interest]]+Table15[[#This Row],[Prepayments]]+Table15[[#This Row],[RecoveredAmount]]</f>
        <v>0</v>
      </c>
      <c r="Q307" s="3">
        <f ca="1">ROUND(Table15[[#This Row],[Cash Flow]]/((1+ActualRateToUse)^(IF(ISNUMBER(SEARCH("Actual",$C$7)),Table15[[#This Row],[Running Total]]/365,Table15[[#This Row],[Period]]/12))),2)</f>
        <v>0</v>
      </c>
      <c r="R307" s="2">
        <f>IF(MONTH(Table15[[#This Row],[Date]])=2,28,DAY(DATE(YEAR(Table15[[#This Row],[Date]]),MONTH(Table15[[#This Row],[Date]])+1,1)-1))</f>
        <v>30</v>
      </c>
      <c r="S307" s="2">
        <f ca="1">SUM(OFFSET(Table15[[#Headers],[Days in month]],1,0):Table15[[#This Row],[Days in month]])</f>
        <v>8852</v>
      </c>
      <c r="T307" s="37">
        <f>InterestRate*AmortizationMultiplier*IF(ISNUMBER(SEARCH("Actual",$C$7)),Table15[[#This Row],[Days in month]]/365,1/12)</f>
        <v>5.6258333333333325E-3</v>
      </c>
    </row>
    <row r="308" spans="2:20" x14ac:dyDescent="0.2">
      <c r="B308" s="1">
        <f t="shared" si="14"/>
        <v>54727</v>
      </c>
      <c r="C308" s="2">
        <f t="shared" si="16"/>
        <v>292</v>
      </c>
      <c r="D308" s="3">
        <f t="shared" si="15"/>
        <v>0</v>
      </c>
      <c r="E308" s="3">
        <f>ROUND(Table15[[#This Row],[Beginning Balance]]*Table15[[#This Row],[Monthly Interest Rate]],2)</f>
        <v>0</v>
      </c>
      <c r="F308" s="3">
        <f t="shared" si="17"/>
        <v>-20</v>
      </c>
      <c r="G308" s="23">
        <f>IFERROR(IF($C$13="No","N/A",IF(Table15[[#This Row],[Period]]=1,$C$6,PMT(InterestRate*AmortizationMultiplier/12,Table15[[#This Row],[Am Thru]],-Table15[[#This Row],[Beginning Balance]]))),0)</f>
        <v>0</v>
      </c>
      <c r="H308" s="3">
        <f>MAX(0,IF(C308=$C$4,D308,ROUND(IF($C$3="Fixed Principal",$C$6-Table15[[#This Row],[Interest]],IF($C$3="Interest Only",Table15[[#This Row],[Beginning Balance]]*ROUND(1-(1-IF($C$11="No",$E$8,1))^(1/12),6),MIN(IF($C$13="Yes",Table15[[#This Row],[Payment Amount (Reamortized)]],$C$6)-Table15[[#This Row],[Interest]],Table15[[#This Row],[Beginning Balance]]))),2)))</f>
        <v>0</v>
      </c>
      <c r="I308" s="3">
        <f>_xlfn.SINGLE(IF($C$3="Line of Credit",0,ROUND(MAX(MIN(IF($C$10="No",$E$7,VLOOKUP(Table15[[#This Row],[Period]],Forecast!$H$2:$L$1048576,4,FALSE))*Table15[[#This Row],[Beginning Balance]],Table15[[#This Row],[Beginning Balance]]-Table15[[#This Row],[Principal]]),0),2)))</f>
        <v>0</v>
      </c>
      <c r="J308" s="3">
        <f>ROUND(MIN(Table15[[#This Row],[Beginning Balance]]*IF($C$8="No",$E$3,VLOOKUP(Table15[[#This Row],[Period]],Forecast!$H$2:$L$1048576,2,FALSE)),Table15[[#This Row],[Beginning Balance]]-Table15[[#This Row],[Principal]]-Table15[[#This Row],[Prepayments]]),2)</f>
        <v>0</v>
      </c>
      <c r="K308" s="3">
        <f>ROUND(Table15[[#This Row],[Defaulted Principal]]*IF($C$9="No",$E$4,VLOOKUP(Table15[[#This Row],[Period]],Forecast!$H$2:$L$1048576,3,FALSE)),2)</f>
        <v>0</v>
      </c>
      <c r="L308" s="2">
        <f>Table15[[#This Row],[Period]]+$E$9</f>
        <v>304</v>
      </c>
      <c r="M308" s="3">
        <f>Table15[[#This Row],[Defaulted Principal]]-Table15[[#This Row],[Estimated Loss]]</f>
        <v>0</v>
      </c>
      <c r="N308" s="3">
        <f>IFERROR(VLOOKUP(Table15[[#This Row],[Period]],$L$16:$M$385,2,FALSE),0)</f>
        <v>0</v>
      </c>
      <c r="O308" s="3">
        <f>Table15[[#This Row],[Beginning Balance]]-Table15[[#This Row],[Principal]]-Table15[[#This Row],[Prepayments]]-Table15[[#This Row],[Defaulted Principal]]</f>
        <v>0</v>
      </c>
      <c r="P308" s="3">
        <f>Table15[[#This Row],[Principal]]+Table15[[#This Row],[Interest]]+Table15[[#This Row],[Prepayments]]+Table15[[#This Row],[RecoveredAmount]]</f>
        <v>0</v>
      </c>
      <c r="Q308" s="3">
        <f ca="1">ROUND(Table15[[#This Row],[Cash Flow]]/((1+ActualRateToUse)^(IF(ISNUMBER(SEARCH("Actual",$C$7)),Table15[[#This Row],[Running Total]]/365,Table15[[#This Row],[Period]]/12))),2)</f>
        <v>0</v>
      </c>
      <c r="R308" s="2">
        <f>IF(MONTH(Table15[[#This Row],[Date]])=2,28,DAY(DATE(YEAR(Table15[[#This Row],[Date]]),MONTH(Table15[[#This Row],[Date]])+1,1)-1))</f>
        <v>31</v>
      </c>
      <c r="S308" s="2">
        <f ca="1">SUM(OFFSET(Table15[[#Headers],[Days in month]],1,0):Table15[[#This Row],[Days in month]])</f>
        <v>8883</v>
      </c>
      <c r="T308" s="37">
        <f>InterestRate*AmortizationMultiplier*IF(ISNUMBER(SEARCH("Actual",$C$7)),Table15[[#This Row],[Days in month]]/365,1/12)</f>
        <v>5.8133611111111103E-3</v>
      </c>
    </row>
    <row r="309" spans="2:20" x14ac:dyDescent="0.2">
      <c r="B309" s="1">
        <f t="shared" si="14"/>
        <v>54757</v>
      </c>
      <c r="C309" s="2">
        <f t="shared" si="16"/>
        <v>293</v>
      </c>
      <c r="D309" s="3">
        <f t="shared" si="15"/>
        <v>0</v>
      </c>
      <c r="E309" s="3">
        <f>ROUND(Table15[[#This Row],[Beginning Balance]]*Table15[[#This Row],[Monthly Interest Rate]],2)</f>
        <v>0</v>
      </c>
      <c r="F309" s="3">
        <f t="shared" si="17"/>
        <v>-21</v>
      </c>
      <c r="G309" s="23">
        <f>IFERROR(IF($C$13="No","N/A",IF(Table15[[#This Row],[Period]]=1,$C$6,PMT(InterestRate*AmortizationMultiplier/12,Table15[[#This Row],[Am Thru]],-Table15[[#This Row],[Beginning Balance]]))),0)</f>
        <v>0</v>
      </c>
      <c r="H309" s="3">
        <f>MAX(0,IF(C309=$C$4,D309,ROUND(IF($C$3="Fixed Principal",$C$6-Table15[[#This Row],[Interest]],IF($C$3="Interest Only",Table15[[#This Row],[Beginning Balance]]*ROUND(1-(1-IF($C$11="No",$E$8,1))^(1/12),6),MIN(IF($C$13="Yes",Table15[[#This Row],[Payment Amount (Reamortized)]],$C$6)-Table15[[#This Row],[Interest]],Table15[[#This Row],[Beginning Balance]]))),2)))</f>
        <v>0</v>
      </c>
      <c r="I309" s="3">
        <f>_xlfn.SINGLE(IF($C$3="Line of Credit",0,ROUND(MAX(MIN(IF($C$10="No",$E$7,VLOOKUP(Table15[[#This Row],[Period]],Forecast!$H$2:$L$1048576,4,FALSE))*Table15[[#This Row],[Beginning Balance]],Table15[[#This Row],[Beginning Balance]]-Table15[[#This Row],[Principal]]),0),2)))</f>
        <v>0</v>
      </c>
      <c r="J309" s="3">
        <f>ROUND(MIN(Table15[[#This Row],[Beginning Balance]]*IF($C$8="No",$E$3,VLOOKUP(Table15[[#This Row],[Period]],Forecast!$H$2:$L$1048576,2,FALSE)),Table15[[#This Row],[Beginning Balance]]-Table15[[#This Row],[Principal]]-Table15[[#This Row],[Prepayments]]),2)</f>
        <v>0</v>
      </c>
      <c r="K309" s="3">
        <f>ROUND(Table15[[#This Row],[Defaulted Principal]]*IF($C$9="No",$E$4,VLOOKUP(Table15[[#This Row],[Period]],Forecast!$H$2:$L$1048576,3,FALSE)),2)</f>
        <v>0</v>
      </c>
      <c r="L309" s="2">
        <f>Table15[[#This Row],[Period]]+$E$9</f>
        <v>305</v>
      </c>
      <c r="M309" s="3">
        <f>Table15[[#This Row],[Defaulted Principal]]-Table15[[#This Row],[Estimated Loss]]</f>
        <v>0</v>
      </c>
      <c r="N309" s="3">
        <f>IFERROR(VLOOKUP(Table15[[#This Row],[Period]],$L$16:$M$385,2,FALSE),0)</f>
        <v>0</v>
      </c>
      <c r="O309" s="3">
        <f>Table15[[#This Row],[Beginning Balance]]-Table15[[#This Row],[Principal]]-Table15[[#This Row],[Prepayments]]-Table15[[#This Row],[Defaulted Principal]]</f>
        <v>0</v>
      </c>
      <c r="P309" s="3">
        <f>Table15[[#This Row],[Principal]]+Table15[[#This Row],[Interest]]+Table15[[#This Row],[Prepayments]]+Table15[[#This Row],[RecoveredAmount]]</f>
        <v>0</v>
      </c>
      <c r="Q309" s="3">
        <f ca="1">ROUND(Table15[[#This Row],[Cash Flow]]/((1+ActualRateToUse)^(IF(ISNUMBER(SEARCH("Actual",$C$7)),Table15[[#This Row],[Running Total]]/365,Table15[[#This Row],[Period]]/12))),2)</f>
        <v>0</v>
      </c>
      <c r="R309" s="2">
        <f>IF(MONTH(Table15[[#This Row],[Date]])=2,28,DAY(DATE(YEAR(Table15[[#This Row],[Date]]),MONTH(Table15[[#This Row],[Date]])+1,1)-1))</f>
        <v>30</v>
      </c>
      <c r="S309" s="2">
        <f ca="1">SUM(OFFSET(Table15[[#Headers],[Days in month]],1,0):Table15[[#This Row],[Days in month]])</f>
        <v>8913</v>
      </c>
      <c r="T309" s="37">
        <f>InterestRate*AmortizationMultiplier*IF(ISNUMBER(SEARCH("Actual",$C$7)),Table15[[#This Row],[Days in month]]/365,1/12)</f>
        <v>5.6258333333333325E-3</v>
      </c>
    </row>
    <row r="310" spans="2:20" x14ac:dyDescent="0.2">
      <c r="B310" s="1">
        <f t="shared" si="14"/>
        <v>54788</v>
      </c>
      <c r="C310" s="2">
        <f t="shared" si="16"/>
        <v>294</v>
      </c>
      <c r="D310" s="3">
        <f t="shared" si="15"/>
        <v>0</v>
      </c>
      <c r="E310" s="3">
        <f>ROUND(Table15[[#This Row],[Beginning Balance]]*Table15[[#This Row],[Monthly Interest Rate]],2)</f>
        <v>0</v>
      </c>
      <c r="F310" s="3">
        <f t="shared" si="17"/>
        <v>-22</v>
      </c>
      <c r="G310" s="23">
        <f>IFERROR(IF($C$13="No","N/A",IF(Table15[[#This Row],[Period]]=1,$C$6,PMT(InterestRate*AmortizationMultiplier/12,Table15[[#This Row],[Am Thru]],-Table15[[#This Row],[Beginning Balance]]))),0)</f>
        <v>0</v>
      </c>
      <c r="H310" s="3">
        <f>MAX(0,IF(C310=$C$4,D310,ROUND(IF($C$3="Fixed Principal",$C$6-Table15[[#This Row],[Interest]],IF($C$3="Interest Only",Table15[[#This Row],[Beginning Balance]]*ROUND(1-(1-IF($C$11="No",$E$8,1))^(1/12),6),MIN(IF($C$13="Yes",Table15[[#This Row],[Payment Amount (Reamortized)]],$C$6)-Table15[[#This Row],[Interest]],Table15[[#This Row],[Beginning Balance]]))),2)))</f>
        <v>0</v>
      </c>
      <c r="I310" s="3">
        <f>_xlfn.SINGLE(IF($C$3="Line of Credit",0,ROUND(MAX(MIN(IF($C$10="No",$E$7,VLOOKUP(Table15[[#This Row],[Period]],Forecast!$H$2:$L$1048576,4,FALSE))*Table15[[#This Row],[Beginning Balance]],Table15[[#This Row],[Beginning Balance]]-Table15[[#This Row],[Principal]]),0),2)))</f>
        <v>0</v>
      </c>
      <c r="J310" s="3">
        <f>ROUND(MIN(Table15[[#This Row],[Beginning Balance]]*IF($C$8="No",$E$3,VLOOKUP(Table15[[#This Row],[Period]],Forecast!$H$2:$L$1048576,2,FALSE)),Table15[[#This Row],[Beginning Balance]]-Table15[[#This Row],[Principal]]-Table15[[#This Row],[Prepayments]]),2)</f>
        <v>0</v>
      </c>
      <c r="K310" s="3">
        <f>ROUND(Table15[[#This Row],[Defaulted Principal]]*IF($C$9="No",$E$4,VLOOKUP(Table15[[#This Row],[Period]],Forecast!$H$2:$L$1048576,3,FALSE)),2)</f>
        <v>0</v>
      </c>
      <c r="L310" s="2">
        <f>Table15[[#This Row],[Period]]+$E$9</f>
        <v>306</v>
      </c>
      <c r="M310" s="3">
        <f>Table15[[#This Row],[Defaulted Principal]]-Table15[[#This Row],[Estimated Loss]]</f>
        <v>0</v>
      </c>
      <c r="N310" s="3">
        <f>IFERROR(VLOOKUP(Table15[[#This Row],[Period]],$L$16:$M$385,2,FALSE),0)</f>
        <v>0</v>
      </c>
      <c r="O310" s="3">
        <f>Table15[[#This Row],[Beginning Balance]]-Table15[[#This Row],[Principal]]-Table15[[#This Row],[Prepayments]]-Table15[[#This Row],[Defaulted Principal]]</f>
        <v>0</v>
      </c>
      <c r="P310" s="3">
        <f>Table15[[#This Row],[Principal]]+Table15[[#This Row],[Interest]]+Table15[[#This Row],[Prepayments]]+Table15[[#This Row],[RecoveredAmount]]</f>
        <v>0</v>
      </c>
      <c r="Q310" s="3">
        <f ca="1">ROUND(Table15[[#This Row],[Cash Flow]]/((1+ActualRateToUse)^(IF(ISNUMBER(SEARCH("Actual",$C$7)),Table15[[#This Row],[Running Total]]/365,Table15[[#This Row],[Period]]/12))),2)</f>
        <v>0</v>
      </c>
      <c r="R310" s="2">
        <f>IF(MONTH(Table15[[#This Row],[Date]])=2,28,DAY(DATE(YEAR(Table15[[#This Row],[Date]]),MONTH(Table15[[#This Row],[Date]])+1,1)-1))</f>
        <v>31</v>
      </c>
      <c r="S310" s="2">
        <f ca="1">SUM(OFFSET(Table15[[#Headers],[Days in month]],1,0):Table15[[#This Row],[Days in month]])</f>
        <v>8944</v>
      </c>
      <c r="T310" s="37">
        <f>InterestRate*AmortizationMultiplier*IF(ISNUMBER(SEARCH("Actual",$C$7)),Table15[[#This Row],[Days in month]]/365,1/12)</f>
        <v>5.8133611111111103E-3</v>
      </c>
    </row>
    <row r="311" spans="2:20" x14ac:dyDescent="0.2">
      <c r="B311" s="1">
        <f t="shared" si="14"/>
        <v>54819</v>
      </c>
      <c r="C311" s="2">
        <f t="shared" si="16"/>
        <v>295</v>
      </c>
      <c r="D311" s="3">
        <f t="shared" si="15"/>
        <v>0</v>
      </c>
      <c r="E311" s="3">
        <f>ROUND(Table15[[#This Row],[Beginning Balance]]*Table15[[#This Row],[Monthly Interest Rate]],2)</f>
        <v>0</v>
      </c>
      <c r="F311" s="3">
        <f t="shared" si="17"/>
        <v>-23</v>
      </c>
      <c r="G311" s="23">
        <f>IFERROR(IF($C$13="No","N/A",IF(Table15[[#This Row],[Period]]=1,$C$6,PMT(InterestRate*AmortizationMultiplier/12,Table15[[#This Row],[Am Thru]],-Table15[[#This Row],[Beginning Balance]]))),0)</f>
        <v>0</v>
      </c>
      <c r="H311" s="3">
        <f>MAX(0,IF(C311=$C$4,D311,ROUND(IF($C$3="Fixed Principal",$C$6-Table15[[#This Row],[Interest]],IF($C$3="Interest Only",Table15[[#This Row],[Beginning Balance]]*ROUND(1-(1-IF($C$11="No",$E$8,1))^(1/12),6),MIN(IF($C$13="Yes",Table15[[#This Row],[Payment Amount (Reamortized)]],$C$6)-Table15[[#This Row],[Interest]],Table15[[#This Row],[Beginning Balance]]))),2)))</f>
        <v>0</v>
      </c>
      <c r="I311" s="3">
        <f>_xlfn.SINGLE(IF($C$3="Line of Credit",0,ROUND(MAX(MIN(IF($C$10="No",$E$7,VLOOKUP(Table15[[#This Row],[Period]],Forecast!$H$2:$L$1048576,4,FALSE))*Table15[[#This Row],[Beginning Balance]],Table15[[#This Row],[Beginning Balance]]-Table15[[#This Row],[Principal]]),0),2)))</f>
        <v>0</v>
      </c>
      <c r="J311" s="3">
        <f>ROUND(MIN(Table15[[#This Row],[Beginning Balance]]*IF($C$8="No",$E$3,VLOOKUP(Table15[[#This Row],[Period]],Forecast!$H$2:$L$1048576,2,FALSE)),Table15[[#This Row],[Beginning Balance]]-Table15[[#This Row],[Principal]]-Table15[[#This Row],[Prepayments]]),2)</f>
        <v>0</v>
      </c>
      <c r="K311" s="3">
        <f>ROUND(Table15[[#This Row],[Defaulted Principal]]*IF($C$9="No",$E$4,VLOOKUP(Table15[[#This Row],[Period]],Forecast!$H$2:$L$1048576,3,FALSE)),2)</f>
        <v>0</v>
      </c>
      <c r="L311" s="2">
        <f>Table15[[#This Row],[Period]]+$E$9</f>
        <v>307</v>
      </c>
      <c r="M311" s="3">
        <f>Table15[[#This Row],[Defaulted Principal]]-Table15[[#This Row],[Estimated Loss]]</f>
        <v>0</v>
      </c>
      <c r="N311" s="3">
        <f>IFERROR(VLOOKUP(Table15[[#This Row],[Period]],$L$16:$M$385,2,FALSE),0)</f>
        <v>0</v>
      </c>
      <c r="O311" s="3">
        <f>Table15[[#This Row],[Beginning Balance]]-Table15[[#This Row],[Principal]]-Table15[[#This Row],[Prepayments]]-Table15[[#This Row],[Defaulted Principal]]</f>
        <v>0</v>
      </c>
      <c r="P311" s="3">
        <f>Table15[[#This Row],[Principal]]+Table15[[#This Row],[Interest]]+Table15[[#This Row],[Prepayments]]+Table15[[#This Row],[RecoveredAmount]]</f>
        <v>0</v>
      </c>
      <c r="Q311" s="3">
        <f ca="1">ROUND(Table15[[#This Row],[Cash Flow]]/((1+ActualRateToUse)^(IF(ISNUMBER(SEARCH("Actual",$C$7)),Table15[[#This Row],[Running Total]]/365,Table15[[#This Row],[Period]]/12))),2)</f>
        <v>0</v>
      </c>
      <c r="R311" s="2">
        <f>IF(MONTH(Table15[[#This Row],[Date]])=2,28,DAY(DATE(YEAR(Table15[[#This Row],[Date]]),MONTH(Table15[[#This Row],[Date]])+1,1)-1))</f>
        <v>31</v>
      </c>
      <c r="S311" s="2">
        <f ca="1">SUM(OFFSET(Table15[[#Headers],[Days in month]],1,0):Table15[[#This Row],[Days in month]])</f>
        <v>8975</v>
      </c>
      <c r="T311" s="37">
        <f>InterestRate*AmortizationMultiplier*IF(ISNUMBER(SEARCH("Actual",$C$7)),Table15[[#This Row],[Days in month]]/365,1/12)</f>
        <v>5.8133611111111103E-3</v>
      </c>
    </row>
    <row r="312" spans="2:20" x14ac:dyDescent="0.2">
      <c r="B312" s="1">
        <f t="shared" si="14"/>
        <v>54847</v>
      </c>
      <c r="C312" s="2">
        <f t="shared" si="16"/>
        <v>296</v>
      </c>
      <c r="D312" s="3">
        <f t="shared" si="15"/>
        <v>0</v>
      </c>
      <c r="E312" s="3">
        <f>ROUND(Table15[[#This Row],[Beginning Balance]]*Table15[[#This Row],[Monthly Interest Rate]],2)</f>
        <v>0</v>
      </c>
      <c r="F312" s="3">
        <f t="shared" si="17"/>
        <v>-24</v>
      </c>
      <c r="G312" s="23">
        <f>IFERROR(IF($C$13="No","N/A",IF(Table15[[#This Row],[Period]]=1,$C$6,PMT(InterestRate*AmortizationMultiplier/12,Table15[[#This Row],[Am Thru]],-Table15[[#This Row],[Beginning Balance]]))),0)</f>
        <v>0</v>
      </c>
      <c r="H312" s="3">
        <f>MAX(0,IF(C312=$C$4,D312,ROUND(IF($C$3="Fixed Principal",$C$6-Table15[[#This Row],[Interest]],IF($C$3="Interest Only",Table15[[#This Row],[Beginning Balance]]*ROUND(1-(1-IF($C$11="No",$E$8,1))^(1/12),6),MIN(IF($C$13="Yes",Table15[[#This Row],[Payment Amount (Reamortized)]],$C$6)-Table15[[#This Row],[Interest]],Table15[[#This Row],[Beginning Balance]]))),2)))</f>
        <v>0</v>
      </c>
      <c r="I312" s="3">
        <f>_xlfn.SINGLE(IF($C$3="Line of Credit",0,ROUND(MAX(MIN(IF($C$10="No",$E$7,VLOOKUP(Table15[[#This Row],[Period]],Forecast!$H$2:$L$1048576,4,FALSE))*Table15[[#This Row],[Beginning Balance]],Table15[[#This Row],[Beginning Balance]]-Table15[[#This Row],[Principal]]),0),2)))</f>
        <v>0</v>
      </c>
      <c r="J312" s="3">
        <f>ROUND(MIN(Table15[[#This Row],[Beginning Balance]]*IF($C$8="No",$E$3,VLOOKUP(Table15[[#This Row],[Period]],Forecast!$H$2:$L$1048576,2,FALSE)),Table15[[#This Row],[Beginning Balance]]-Table15[[#This Row],[Principal]]-Table15[[#This Row],[Prepayments]]),2)</f>
        <v>0</v>
      </c>
      <c r="K312" s="3">
        <f>ROUND(Table15[[#This Row],[Defaulted Principal]]*IF($C$9="No",$E$4,VLOOKUP(Table15[[#This Row],[Period]],Forecast!$H$2:$L$1048576,3,FALSE)),2)</f>
        <v>0</v>
      </c>
      <c r="L312" s="2">
        <f>Table15[[#This Row],[Period]]+$E$9</f>
        <v>308</v>
      </c>
      <c r="M312" s="3">
        <f>Table15[[#This Row],[Defaulted Principal]]-Table15[[#This Row],[Estimated Loss]]</f>
        <v>0</v>
      </c>
      <c r="N312" s="3">
        <f>IFERROR(VLOOKUP(Table15[[#This Row],[Period]],$L$16:$M$385,2,FALSE),0)</f>
        <v>0</v>
      </c>
      <c r="O312" s="3">
        <f>Table15[[#This Row],[Beginning Balance]]-Table15[[#This Row],[Principal]]-Table15[[#This Row],[Prepayments]]-Table15[[#This Row],[Defaulted Principal]]</f>
        <v>0</v>
      </c>
      <c r="P312" s="3">
        <f>Table15[[#This Row],[Principal]]+Table15[[#This Row],[Interest]]+Table15[[#This Row],[Prepayments]]+Table15[[#This Row],[RecoveredAmount]]</f>
        <v>0</v>
      </c>
      <c r="Q312" s="3">
        <f ca="1">ROUND(Table15[[#This Row],[Cash Flow]]/((1+ActualRateToUse)^(IF(ISNUMBER(SEARCH("Actual",$C$7)),Table15[[#This Row],[Running Total]]/365,Table15[[#This Row],[Period]]/12))),2)</f>
        <v>0</v>
      </c>
      <c r="R312" s="2">
        <f>IF(MONTH(Table15[[#This Row],[Date]])=2,28,DAY(DATE(YEAR(Table15[[#This Row],[Date]]),MONTH(Table15[[#This Row],[Date]])+1,1)-1))</f>
        <v>28</v>
      </c>
      <c r="S312" s="2">
        <f ca="1">SUM(OFFSET(Table15[[#Headers],[Days in month]],1,0):Table15[[#This Row],[Days in month]])</f>
        <v>9003</v>
      </c>
      <c r="T312" s="37">
        <f>InterestRate*AmortizationMultiplier*IF(ISNUMBER(SEARCH("Actual",$C$7)),Table15[[#This Row],[Days in month]]/365,1/12)</f>
        <v>5.2507777777777778E-3</v>
      </c>
    </row>
    <row r="313" spans="2:20" x14ac:dyDescent="0.2">
      <c r="B313" s="1">
        <f t="shared" si="14"/>
        <v>54878</v>
      </c>
      <c r="C313" s="2">
        <f t="shared" si="16"/>
        <v>297</v>
      </c>
      <c r="D313" s="3">
        <f t="shared" si="15"/>
        <v>0</v>
      </c>
      <c r="E313" s="3">
        <f>ROUND(Table15[[#This Row],[Beginning Balance]]*Table15[[#This Row],[Monthly Interest Rate]],2)</f>
        <v>0</v>
      </c>
      <c r="F313" s="3">
        <f t="shared" si="17"/>
        <v>-25</v>
      </c>
      <c r="G313" s="23">
        <f>IFERROR(IF($C$13="No","N/A",IF(Table15[[#This Row],[Period]]=1,$C$6,PMT(InterestRate*AmortizationMultiplier/12,Table15[[#This Row],[Am Thru]],-Table15[[#This Row],[Beginning Balance]]))),0)</f>
        <v>0</v>
      </c>
      <c r="H313" s="3">
        <f>MAX(0,IF(C313=$C$4,D313,ROUND(IF($C$3="Fixed Principal",$C$6-Table15[[#This Row],[Interest]],IF($C$3="Interest Only",Table15[[#This Row],[Beginning Balance]]*ROUND(1-(1-IF($C$11="No",$E$8,1))^(1/12),6),MIN(IF($C$13="Yes",Table15[[#This Row],[Payment Amount (Reamortized)]],$C$6)-Table15[[#This Row],[Interest]],Table15[[#This Row],[Beginning Balance]]))),2)))</f>
        <v>0</v>
      </c>
      <c r="I313" s="3">
        <f>_xlfn.SINGLE(IF($C$3="Line of Credit",0,ROUND(MAX(MIN(IF($C$10="No",$E$7,VLOOKUP(Table15[[#This Row],[Period]],Forecast!$H$2:$L$1048576,4,FALSE))*Table15[[#This Row],[Beginning Balance]],Table15[[#This Row],[Beginning Balance]]-Table15[[#This Row],[Principal]]),0),2)))</f>
        <v>0</v>
      </c>
      <c r="J313" s="3">
        <f>ROUND(MIN(Table15[[#This Row],[Beginning Balance]]*IF($C$8="No",$E$3,VLOOKUP(Table15[[#This Row],[Period]],Forecast!$H$2:$L$1048576,2,FALSE)),Table15[[#This Row],[Beginning Balance]]-Table15[[#This Row],[Principal]]-Table15[[#This Row],[Prepayments]]),2)</f>
        <v>0</v>
      </c>
      <c r="K313" s="3">
        <f>ROUND(Table15[[#This Row],[Defaulted Principal]]*IF($C$9="No",$E$4,VLOOKUP(Table15[[#This Row],[Period]],Forecast!$H$2:$L$1048576,3,FALSE)),2)</f>
        <v>0</v>
      </c>
      <c r="L313" s="2">
        <f>Table15[[#This Row],[Period]]+$E$9</f>
        <v>309</v>
      </c>
      <c r="M313" s="3">
        <f>Table15[[#This Row],[Defaulted Principal]]-Table15[[#This Row],[Estimated Loss]]</f>
        <v>0</v>
      </c>
      <c r="N313" s="3">
        <f>IFERROR(VLOOKUP(Table15[[#This Row],[Period]],$L$16:$M$385,2,FALSE),0)</f>
        <v>0</v>
      </c>
      <c r="O313" s="3">
        <f>Table15[[#This Row],[Beginning Balance]]-Table15[[#This Row],[Principal]]-Table15[[#This Row],[Prepayments]]-Table15[[#This Row],[Defaulted Principal]]</f>
        <v>0</v>
      </c>
      <c r="P313" s="3">
        <f>Table15[[#This Row],[Principal]]+Table15[[#This Row],[Interest]]+Table15[[#This Row],[Prepayments]]+Table15[[#This Row],[RecoveredAmount]]</f>
        <v>0</v>
      </c>
      <c r="Q313" s="3">
        <f ca="1">ROUND(Table15[[#This Row],[Cash Flow]]/((1+ActualRateToUse)^(IF(ISNUMBER(SEARCH("Actual",$C$7)),Table15[[#This Row],[Running Total]]/365,Table15[[#This Row],[Period]]/12))),2)</f>
        <v>0</v>
      </c>
      <c r="R313" s="2">
        <f>IF(MONTH(Table15[[#This Row],[Date]])=2,28,DAY(DATE(YEAR(Table15[[#This Row],[Date]]),MONTH(Table15[[#This Row],[Date]])+1,1)-1))</f>
        <v>31</v>
      </c>
      <c r="S313" s="2">
        <f ca="1">SUM(OFFSET(Table15[[#Headers],[Days in month]],1,0):Table15[[#This Row],[Days in month]])</f>
        <v>9034</v>
      </c>
      <c r="T313" s="37">
        <f>InterestRate*AmortizationMultiplier*IF(ISNUMBER(SEARCH("Actual",$C$7)),Table15[[#This Row],[Days in month]]/365,1/12)</f>
        <v>5.8133611111111103E-3</v>
      </c>
    </row>
    <row r="314" spans="2:20" x14ac:dyDescent="0.2">
      <c r="B314" s="1">
        <f t="shared" si="14"/>
        <v>54908</v>
      </c>
      <c r="C314" s="2">
        <f t="shared" si="16"/>
        <v>298</v>
      </c>
      <c r="D314" s="3">
        <f t="shared" si="15"/>
        <v>0</v>
      </c>
      <c r="E314" s="3">
        <f>ROUND(Table15[[#This Row],[Beginning Balance]]*Table15[[#This Row],[Monthly Interest Rate]],2)</f>
        <v>0</v>
      </c>
      <c r="F314" s="3">
        <f t="shared" si="17"/>
        <v>-26</v>
      </c>
      <c r="G314" s="23">
        <f>IFERROR(IF($C$13="No","N/A",IF(Table15[[#This Row],[Period]]=1,$C$6,PMT(InterestRate*AmortizationMultiplier/12,Table15[[#This Row],[Am Thru]],-Table15[[#This Row],[Beginning Balance]]))),0)</f>
        <v>0</v>
      </c>
      <c r="H314" s="3">
        <f>MAX(0,IF(C314=$C$4,D314,ROUND(IF($C$3="Fixed Principal",$C$6-Table15[[#This Row],[Interest]],IF($C$3="Interest Only",Table15[[#This Row],[Beginning Balance]]*ROUND(1-(1-IF($C$11="No",$E$8,1))^(1/12),6),MIN(IF($C$13="Yes",Table15[[#This Row],[Payment Amount (Reamortized)]],$C$6)-Table15[[#This Row],[Interest]],Table15[[#This Row],[Beginning Balance]]))),2)))</f>
        <v>0</v>
      </c>
      <c r="I314" s="3">
        <f>_xlfn.SINGLE(IF($C$3="Line of Credit",0,ROUND(MAX(MIN(IF($C$10="No",$E$7,VLOOKUP(Table15[[#This Row],[Period]],Forecast!$H$2:$L$1048576,4,FALSE))*Table15[[#This Row],[Beginning Balance]],Table15[[#This Row],[Beginning Balance]]-Table15[[#This Row],[Principal]]),0),2)))</f>
        <v>0</v>
      </c>
      <c r="J314" s="3">
        <f>ROUND(MIN(Table15[[#This Row],[Beginning Balance]]*IF($C$8="No",$E$3,VLOOKUP(Table15[[#This Row],[Period]],Forecast!$H$2:$L$1048576,2,FALSE)),Table15[[#This Row],[Beginning Balance]]-Table15[[#This Row],[Principal]]-Table15[[#This Row],[Prepayments]]),2)</f>
        <v>0</v>
      </c>
      <c r="K314" s="3">
        <f>ROUND(Table15[[#This Row],[Defaulted Principal]]*IF($C$9="No",$E$4,VLOOKUP(Table15[[#This Row],[Period]],Forecast!$H$2:$L$1048576,3,FALSE)),2)</f>
        <v>0</v>
      </c>
      <c r="L314" s="2">
        <f>Table15[[#This Row],[Period]]+$E$9</f>
        <v>310</v>
      </c>
      <c r="M314" s="3">
        <f>Table15[[#This Row],[Defaulted Principal]]-Table15[[#This Row],[Estimated Loss]]</f>
        <v>0</v>
      </c>
      <c r="N314" s="3">
        <f>IFERROR(VLOOKUP(Table15[[#This Row],[Period]],$L$16:$M$385,2,FALSE),0)</f>
        <v>0</v>
      </c>
      <c r="O314" s="3">
        <f>Table15[[#This Row],[Beginning Balance]]-Table15[[#This Row],[Principal]]-Table15[[#This Row],[Prepayments]]-Table15[[#This Row],[Defaulted Principal]]</f>
        <v>0</v>
      </c>
      <c r="P314" s="3">
        <f>Table15[[#This Row],[Principal]]+Table15[[#This Row],[Interest]]+Table15[[#This Row],[Prepayments]]+Table15[[#This Row],[RecoveredAmount]]</f>
        <v>0</v>
      </c>
      <c r="Q314" s="3">
        <f ca="1">ROUND(Table15[[#This Row],[Cash Flow]]/((1+ActualRateToUse)^(IF(ISNUMBER(SEARCH("Actual",$C$7)),Table15[[#This Row],[Running Total]]/365,Table15[[#This Row],[Period]]/12))),2)</f>
        <v>0</v>
      </c>
      <c r="R314" s="2">
        <f>IF(MONTH(Table15[[#This Row],[Date]])=2,28,DAY(DATE(YEAR(Table15[[#This Row],[Date]]),MONTH(Table15[[#This Row],[Date]])+1,1)-1))</f>
        <v>30</v>
      </c>
      <c r="S314" s="2">
        <f ca="1">SUM(OFFSET(Table15[[#Headers],[Days in month]],1,0):Table15[[#This Row],[Days in month]])</f>
        <v>9064</v>
      </c>
      <c r="T314" s="37">
        <f>InterestRate*AmortizationMultiplier*IF(ISNUMBER(SEARCH("Actual",$C$7)),Table15[[#This Row],[Days in month]]/365,1/12)</f>
        <v>5.6258333333333325E-3</v>
      </c>
    </row>
    <row r="315" spans="2:20" x14ac:dyDescent="0.2">
      <c r="B315" s="1">
        <f t="shared" si="14"/>
        <v>54939</v>
      </c>
      <c r="C315" s="2">
        <f t="shared" si="16"/>
        <v>299</v>
      </c>
      <c r="D315" s="3">
        <f t="shared" si="15"/>
        <v>0</v>
      </c>
      <c r="E315" s="3">
        <f>ROUND(Table15[[#This Row],[Beginning Balance]]*Table15[[#This Row],[Monthly Interest Rate]],2)</f>
        <v>0</v>
      </c>
      <c r="F315" s="3">
        <f t="shared" si="17"/>
        <v>-27</v>
      </c>
      <c r="G315" s="23">
        <f>IFERROR(IF($C$13="No","N/A",IF(Table15[[#This Row],[Period]]=1,$C$6,PMT(InterestRate*AmortizationMultiplier/12,Table15[[#This Row],[Am Thru]],-Table15[[#This Row],[Beginning Balance]]))),0)</f>
        <v>0</v>
      </c>
      <c r="H315" s="3">
        <f>MAX(0,IF(C315=$C$4,D315,ROUND(IF($C$3="Fixed Principal",$C$6-Table15[[#This Row],[Interest]],IF($C$3="Interest Only",Table15[[#This Row],[Beginning Balance]]*ROUND(1-(1-IF($C$11="No",$E$8,1))^(1/12),6),MIN(IF($C$13="Yes",Table15[[#This Row],[Payment Amount (Reamortized)]],$C$6)-Table15[[#This Row],[Interest]],Table15[[#This Row],[Beginning Balance]]))),2)))</f>
        <v>0</v>
      </c>
      <c r="I315" s="3">
        <f>_xlfn.SINGLE(IF($C$3="Line of Credit",0,ROUND(MAX(MIN(IF($C$10="No",$E$7,VLOOKUP(Table15[[#This Row],[Period]],Forecast!$H$2:$L$1048576,4,FALSE))*Table15[[#This Row],[Beginning Balance]],Table15[[#This Row],[Beginning Balance]]-Table15[[#This Row],[Principal]]),0),2)))</f>
        <v>0</v>
      </c>
      <c r="J315" s="3">
        <f>ROUND(MIN(Table15[[#This Row],[Beginning Balance]]*IF($C$8="No",$E$3,VLOOKUP(Table15[[#This Row],[Period]],Forecast!$H$2:$L$1048576,2,FALSE)),Table15[[#This Row],[Beginning Balance]]-Table15[[#This Row],[Principal]]-Table15[[#This Row],[Prepayments]]),2)</f>
        <v>0</v>
      </c>
      <c r="K315" s="3">
        <f>ROUND(Table15[[#This Row],[Defaulted Principal]]*IF($C$9="No",$E$4,VLOOKUP(Table15[[#This Row],[Period]],Forecast!$H$2:$L$1048576,3,FALSE)),2)</f>
        <v>0</v>
      </c>
      <c r="L315" s="2">
        <f>Table15[[#This Row],[Period]]+$E$9</f>
        <v>311</v>
      </c>
      <c r="M315" s="3">
        <f>Table15[[#This Row],[Defaulted Principal]]-Table15[[#This Row],[Estimated Loss]]</f>
        <v>0</v>
      </c>
      <c r="N315" s="3">
        <f>IFERROR(VLOOKUP(Table15[[#This Row],[Period]],$L$16:$M$385,2,FALSE),0)</f>
        <v>0</v>
      </c>
      <c r="O315" s="3">
        <f>Table15[[#This Row],[Beginning Balance]]-Table15[[#This Row],[Principal]]-Table15[[#This Row],[Prepayments]]-Table15[[#This Row],[Defaulted Principal]]</f>
        <v>0</v>
      </c>
      <c r="P315" s="3">
        <f>Table15[[#This Row],[Principal]]+Table15[[#This Row],[Interest]]+Table15[[#This Row],[Prepayments]]+Table15[[#This Row],[RecoveredAmount]]</f>
        <v>0</v>
      </c>
      <c r="Q315" s="3">
        <f ca="1">ROUND(Table15[[#This Row],[Cash Flow]]/((1+ActualRateToUse)^(IF(ISNUMBER(SEARCH("Actual",$C$7)),Table15[[#This Row],[Running Total]]/365,Table15[[#This Row],[Period]]/12))),2)</f>
        <v>0</v>
      </c>
      <c r="R315" s="2">
        <f>IF(MONTH(Table15[[#This Row],[Date]])=2,28,DAY(DATE(YEAR(Table15[[#This Row],[Date]]),MONTH(Table15[[#This Row],[Date]])+1,1)-1))</f>
        <v>31</v>
      </c>
      <c r="S315" s="2">
        <f ca="1">SUM(OFFSET(Table15[[#Headers],[Days in month]],1,0):Table15[[#This Row],[Days in month]])</f>
        <v>9095</v>
      </c>
      <c r="T315" s="37">
        <f>InterestRate*AmortizationMultiplier*IF(ISNUMBER(SEARCH("Actual",$C$7)),Table15[[#This Row],[Days in month]]/365,1/12)</f>
        <v>5.8133611111111103E-3</v>
      </c>
    </row>
    <row r="316" spans="2:20" x14ac:dyDescent="0.2">
      <c r="B316" s="1">
        <f t="shared" si="14"/>
        <v>54969</v>
      </c>
      <c r="C316" s="2">
        <f t="shared" si="16"/>
        <v>300</v>
      </c>
      <c r="D316" s="3">
        <f t="shared" si="15"/>
        <v>0</v>
      </c>
      <c r="E316" s="3">
        <f>ROUND(Table15[[#This Row],[Beginning Balance]]*Table15[[#This Row],[Monthly Interest Rate]],2)</f>
        <v>0</v>
      </c>
      <c r="F316" s="3">
        <f t="shared" si="17"/>
        <v>-28</v>
      </c>
      <c r="G316" s="23">
        <f>IFERROR(IF($C$13="No","N/A",IF(Table15[[#This Row],[Period]]=1,$C$6,PMT(InterestRate*AmortizationMultiplier/12,Table15[[#This Row],[Am Thru]],-Table15[[#This Row],[Beginning Balance]]))),0)</f>
        <v>0</v>
      </c>
      <c r="H316" s="3">
        <f>MAX(0,IF(C316=$C$4,D316,ROUND(IF($C$3="Fixed Principal",$C$6-Table15[[#This Row],[Interest]],IF($C$3="Interest Only",Table15[[#This Row],[Beginning Balance]]*ROUND(1-(1-IF($C$11="No",$E$8,1))^(1/12),6),MIN(IF($C$13="Yes",Table15[[#This Row],[Payment Amount (Reamortized)]],$C$6)-Table15[[#This Row],[Interest]],Table15[[#This Row],[Beginning Balance]]))),2)))</f>
        <v>0</v>
      </c>
      <c r="I316" s="3">
        <f>_xlfn.SINGLE(IF($C$3="Line of Credit",0,ROUND(MAX(MIN(IF($C$10="No",$E$7,VLOOKUP(Table15[[#This Row],[Period]],Forecast!$H$2:$L$1048576,4,FALSE))*Table15[[#This Row],[Beginning Balance]],Table15[[#This Row],[Beginning Balance]]-Table15[[#This Row],[Principal]]),0),2)))</f>
        <v>0</v>
      </c>
      <c r="J316" s="3">
        <f>ROUND(MIN(Table15[[#This Row],[Beginning Balance]]*IF($C$8="No",$E$3,VLOOKUP(Table15[[#This Row],[Period]],Forecast!$H$2:$L$1048576,2,FALSE)),Table15[[#This Row],[Beginning Balance]]-Table15[[#This Row],[Principal]]-Table15[[#This Row],[Prepayments]]),2)</f>
        <v>0</v>
      </c>
      <c r="K316" s="3">
        <f>ROUND(Table15[[#This Row],[Defaulted Principal]]*IF($C$9="No",$E$4,VLOOKUP(Table15[[#This Row],[Period]],Forecast!$H$2:$L$1048576,3,FALSE)),2)</f>
        <v>0</v>
      </c>
      <c r="L316" s="2">
        <f>Table15[[#This Row],[Period]]+$E$9</f>
        <v>312</v>
      </c>
      <c r="M316" s="3">
        <f>Table15[[#This Row],[Defaulted Principal]]-Table15[[#This Row],[Estimated Loss]]</f>
        <v>0</v>
      </c>
      <c r="N316" s="3">
        <f>IFERROR(VLOOKUP(Table15[[#This Row],[Period]],$L$16:$M$385,2,FALSE),0)</f>
        <v>0</v>
      </c>
      <c r="O316" s="3">
        <f>Table15[[#This Row],[Beginning Balance]]-Table15[[#This Row],[Principal]]-Table15[[#This Row],[Prepayments]]-Table15[[#This Row],[Defaulted Principal]]</f>
        <v>0</v>
      </c>
      <c r="P316" s="3">
        <f>Table15[[#This Row],[Principal]]+Table15[[#This Row],[Interest]]+Table15[[#This Row],[Prepayments]]+Table15[[#This Row],[RecoveredAmount]]</f>
        <v>0</v>
      </c>
      <c r="Q316" s="3">
        <f ca="1">ROUND(Table15[[#This Row],[Cash Flow]]/((1+ActualRateToUse)^(IF(ISNUMBER(SEARCH("Actual",$C$7)),Table15[[#This Row],[Running Total]]/365,Table15[[#This Row],[Period]]/12))),2)</f>
        <v>0</v>
      </c>
      <c r="R316" s="2">
        <f>IF(MONTH(Table15[[#This Row],[Date]])=2,28,DAY(DATE(YEAR(Table15[[#This Row],[Date]]),MONTH(Table15[[#This Row],[Date]])+1,1)-1))</f>
        <v>30</v>
      </c>
      <c r="S316" s="2">
        <f ca="1">SUM(OFFSET(Table15[[#Headers],[Days in month]],1,0):Table15[[#This Row],[Days in month]])</f>
        <v>9125</v>
      </c>
      <c r="T316" s="37">
        <f>InterestRate*AmortizationMultiplier*IF(ISNUMBER(SEARCH("Actual",$C$7)),Table15[[#This Row],[Days in month]]/365,1/12)</f>
        <v>5.6258333333333325E-3</v>
      </c>
    </row>
    <row r="317" spans="2:20" x14ac:dyDescent="0.2">
      <c r="B317" s="1">
        <f t="shared" si="14"/>
        <v>55000</v>
      </c>
      <c r="C317" s="2">
        <f t="shared" si="16"/>
        <v>301</v>
      </c>
      <c r="D317" s="3">
        <f t="shared" si="15"/>
        <v>0</v>
      </c>
      <c r="E317" s="3">
        <f>ROUND(Table15[[#This Row],[Beginning Balance]]*Table15[[#This Row],[Monthly Interest Rate]],2)</f>
        <v>0</v>
      </c>
      <c r="F317" s="3">
        <f t="shared" si="17"/>
        <v>-29</v>
      </c>
      <c r="G317" s="23">
        <f>IFERROR(IF($C$13="No","N/A",IF(Table15[[#This Row],[Period]]=1,$C$6,PMT(InterestRate*AmortizationMultiplier/12,Table15[[#This Row],[Am Thru]],-Table15[[#This Row],[Beginning Balance]]))),0)</f>
        <v>0</v>
      </c>
      <c r="H317" s="3">
        <f>MAX(0,IF(C317=$C$4,D317,ROUND(IF($C$3="Fixed Principal",$C$6-Table15[[#This Row],[Interest]],IF($C$3="Interest Only",Table15[[#This Row],[Beginning Balance]]*ROUND(1-(1-IF($C$11="No",$E$8,1))^(1/12),6),MIN(IF($C$13="Yes",Table15[[#This Row],[Payment Amount (Reamortized)]],$C$6)-Table15[[#This Row],[Interest]],Table15[[#This Row],[Beginning Balance]]))),2)))</f>
        <v>0</v>
      </c>
      <c r="I317" s="3">
        <f>_xlfn.SINGLE(IF($C$3="Line of Credit",0,ROUND(MAX(MIN(IF($C$10="No",$E$7,VLOOKUP(Table15[[#This Row],[Period]],Forecast!$H$2:$L$1048576,4,FALSE))*Table15[[#This Row],[Beginning Balance]],Table15[[#This Row],[Beginning Balance]]-Table15[[#This Row],[Principal]]),0),2)))</f>
        <v>0</v>
      </c>
      <c r="J317" s="3">
        <f>ROUND(MIN(Table15[[#This Row],[Beginning Balance]]*IF($C$8="No",$E$3,VLOOKUP(Table15[[#This Row],[Period]],Forecast!$H$2:$L$1048576,2,FALSE)),Table15[[#This Row],[Beginning Balance]]-Table15[[#This Row],[Principal]]-Table15[[#This Row],[Prepayments]]),2)</f>
        <v>0</v>
      </c>
      <c r="K317" s="3">
        <f>ROUND(Table15[[#This Row],[Defaulted Principal]]*IF($C$9="No",$E$4,VLOOKUP(Table15[[#This Row],[Period]],Forecast!$H$2:$L$1048576,3,FALSE)),2)</f>
        <v>0</v>
      </c>
      <c r="L317" s="2">
        <f>Table15[[#This Row],[Period]]+$E$9</f>
        <v>313</v>
      </c>
      <c r="M317" s="3">
        <f>Table15[[#This Row],[Defaulted Principal]]-Table15[[#This Row],[Estimated Loss]]</f>
        <v>0</v>
      </c>
      <c r="N317" s="3">
        <f>IFERROR(VLOOKUP(Table15[[#This Row],[Period]],$L$16:$M$385,2,FALSE),0)</f>
        <v>0</v>
      </c>
      <c r="O317" s="3">
        <f>Table15[[#This Row],[Beginning Balance]]-Table15[[#This Row],[Principal]]-Table15[[#This Row],[Prepayments]]-Table15[[#This Row],[Defaulted Principal]]</f>
        <v>0</v>
      </c>
      <c r="P317" s="3">
        <f>Table15[[#This Row],[Principal]]+Table15[[#This Row],[Interest]]+Table15[[#This Row],[Prepayments]]+Table15[[#This Row],[RecoveredAmount]]</f>
        <v>0</v>
      </c>
      <c r="Q317" s="3">
        <f ca="1">ROUND(Table15[[#This Row],[Cash Flow]]/((1+ActualRateToUse)^(IF(ISNUMBER(SEARCH("Actual",$C$7)),Table15[[#This Row],[Running Total]]/365,Table15[[#This Row],[Period]]/12))),2)</f>
        <v>0</v>
      </c>
      <c r="R317" s="2">
        <f>IF(MONTH(Table15[[#This Row],[Date]])=2,28,DAY(DATE(YEAR(Table15[[#This Row],[Date]]),MONTH(Table15[[#This Row],[Date]])+1,1)-1))</f>
        <v>31</v>
      </c>
      <c r="S317" s="2">
        <f ca="1">SUM(OFFSET(Table15[[#Headers],[Days in month]],1,0):Table15[[#This Row],[Days in month]])</f>
        <v>9156</v>
      </c>
      <c r="T317" s="37">
        <f>InterestRate*AmortizationMultiplier*IF(ISNUMBER(SEARCH("Actual",$C$7)),Table15[[#This Row],[Days in month]]/365,1/12)</f>
        <v>5.8133611111111103E-3</v>
      </c>
    </row>
    <row r="318" spans="2:20" x14ac:dyDescent="0.2">
      <c r="B318" s="1">
        <f t="shared" si="14"/>
        <v>55031</v>
      </c>
      <c r="C318" s="2">
        <f t="shared" si="16"/>
        <v>302</v>
      </c>
      <c r="D318" s="3">
        <f t="shared" si="15"/>
        <v>0</v>
      </c>
      <c r="E318" s="3">
        <f>ROUND(Table15[[#This Row],[Beginning Balance]]*Table15[[#This Row],[Monthly Interest Rate]],2)</f>
        <v>0</v>
      </c>
      <c r="F318" s="3">
        <f t="shared" si="17"/>
        <v>-30</v>
      </c>
      <c r="G318" s="23">
        <f>IFERROR(IF($C$13="No","N/A",IF(Table15[[#This Row],[Period]]=1,$C$6,PMT(InterestRate*AmortizationMultiplier/12,Table15[[#This Row],[Am Thru]],-Table15[[#This Row],[Beginning Balance]]))),0)</f>
        <v>0</v>
      </c>
      <c r="H318" s="3">
        <f>MAX(0,IF(C318=$C$4,D318,ROUND(IF($C$3="Fixed Principal",$C$6-Table15[[#This Row],[Interest]],IF($C$3="Interest Only",Table15[[#This Row],[Beginning Balance]]*ROUND(1-(1-IF($C$11="No",$E$8,1))^(1/12),6),MIN(IF($C$13="Yes",Table15[[#This Row],[Payment Amount (Reamortized)]],$C$6)-Table15[[#This Row],[Interest]],Table15[[#This Row],[Beginning Balance]]))),2)))</f>
        <v>0</v>
      </c>
      <c r="I318" s="3">
        <f>_xlfn.SINGLE(IF($C$3="Line of Credit",0,ROUND(MAX(MIN(IF($C$10="No",$E$7,VLOOKUP(Table15[[#This Row],[Period]],Forecast!$H$2:$L$1048576,4,FALSE))*Table15[[#This Row],[Beginning Balance]],Table15[[#This Row],[Beginning Balance]]-Table15[[#This Row],[Principal]]),0),2)))</f>
        <v>0</v>
      </c>
      <c r="J318" s="3">
        <f>ROUND(MIN(Table15[[#This Row],[Beginning Balance]]*IF($C$8="No",$E$3,VLOOKUP(Table15[[#This Row],[Period]],Forecast!$H$2:$L$1048576,2,FALSE)),Table15[[#This Row],[Beginning Balance]]-Table15[[#This Row],[Principal]]-Table15[[#This Row],[Prepayments]]),2)</f>
        <v>0</v>
      </c>
      <c r="K318" s="3">
        <f>ROUND(Table15[[#This Row],[Defaulted Principal]]*IF($C$9="No",$E$4,VLOOKUP(Table15[[#This Row],[Period]],Forecast!$H$2:$L$1048576,3,FALSE)),2)</f>
        <v>0</v>
      </c>
      <c r="L318" s="2">
        <f>Table15[[#This Row],[Period]]+$E$9</f>
        <v>314</v>
      </c>
      <c r="M318" s="3">
        <f>Table15[[#This Row],[Defaulted Principal]]-Table15[[#This Row],[Estimated Loss]]</f>
        <v>0</v>
      </c>
      <c r="N318" s="3">
        <f>IFERROR(VLOOKUP(Table15[[#This Row],[Period]],$L$16:$M$385,2,FALSE),0)</f>
        <v>0</v>
      </c>
      <c r="O318" s="3">
        <f>Table15[[#This Row],[Beginning Balance]]-Table15[[#This Row],[Principal]]-Table15[[#This Row],[Prepayments]]-Table15[[#This Row],[Defaulted Principal]]</f>
        <v>0</v>
      </c>
      <c r="P318" s="3">
        <f>Table15[[#This Row],[Principal]]+Table15[[#This Row],[Interest]]+Table15[[#This Row],[Prepayments]]+Table15[[#This Row],[RecoveredAmount]]</f>
        <v>0</v>
      </c>
      <c r="Q318" s="3">
        <f ca="1">ROUND(Table15[[#This Row],[Cash Flow]]/((1+ActualRateToUse)^(IF(ISNUMBER(SEARCH("Actual",$C$7)),Table15[[#This Row],[Running Total]]/365,Table15[[#This Row],[Period]]/12))),2)</f>
        <v>0</v>
      </c>
      <c r="R318" s="2">
        <f>IF(MONTH(Table15[[#This Row],[Date]])=2,28,DAY(DATE(YEAR(Table15[[#This Row],[Date]]),MONTH(Table15[[#This Row],[Date]])+1,1)-1))</f>
        <v>31</v>
      </c>
      <c r="S318" s="2">
        <f ca="1">SUM(OFFSET(Table15[[#Headers],[Days in month]],1,0):Table15[[#This Row],[Days in month]])</f>
        <v>9187</v>
      </c>
      <c r="T318" s="37">
        <f>InterestRate*AmortizationMultiplier*IF(ISNUMBER(SEARCH("Actual",$C$7)),Table15[[#This Row],[Days in month]]/365,1/12)</f>
        <v>5.8133611111111103E-3</v>
      </c>
    </row>
    <row r="319" spans="2:20" x14ac:dyDescent="0.2">
      <c r="B319" s="1">
        <f t="shared" si="14"/>
        <v>55061</v>
      </c>
      <c r="C319" s="2">
        <f t="shared" si="16"/>
        <v>303</v>
      </c>
      <c r="D319" s="3">
        <f t="shared" si="15"/>
        <v>0</v>
      </c>
      <c r="E319" s="3">
        <f>ROUND(Table15[[#This Row],[Beginning Balance]]*Table15[[#This Row],[Monthly Interest Rate]],2)</f>
        <v>0</v>
      </c>
      <c r="F319" s="3">
        <f t="shared" si="17"/>
        <v>-31</v>
      </c>
      <c r="G319" s="23">
        <f>IFERROR(IF($C$13="No","N/A",IF(Table15[[#This Row],[Period]]=1,$C$6,PMT(InterestRate*AmortizationMultiplier/12,Table15[[#This Row],[Am Thru]],-Table15[[#This Row],[Beginning Balance]]))),0)</f>
        <v>0</v>
      </c>
      <c r="H319" s="3">
        <f>MAX(0,IF(C319=$C$4,D319,ROUND(IF($C$3="Fixed Principal",$C$6-Table15[[#This Row],[Interest]],IF($C$3="Interest Only",Table15[[#This Row],[Beginning Balance]]*ROUND(1-(1-IF($C$11="No",$E$8,1))^(1/12),6),MIN(IF($C$13="Yes",Table15[[#This Row],[Payment Amount (Reamortized)]],$C$6)-Table15[[#This Row],[Interest]],Table15[[#This Row],[Beginning Balance]]))),2)))</f>
        <v>0</v>
      </c>
      <c r="I319" s="3">
        <f>_xlfn.SINGLE(IF($C$3="Line of Credit",0,ROUND(MAX(MIN(IF($C$10="No",$E$7,VLOOKUP(Table15[[#This Row],[Period]],Forecast!$H$2:$L$1048576,4,FALSE))*Table15[[#This Row],[Beginning Balance]],Table15[[#This Row],[Beginning Balance]]-Table15[[#This Row],[Principal]]),0),2)))</f>
        <v>0</v>
      </c>
      <c r="J319" s="3">
        <f>ROUND(MIN(Table15[[#This Row],[Beginning Balance]]*IF($C$8="No",$E$3,VLOOKUP(Table15[[#This Row],[Period]],Forecast!$H$2:$L$1048576,2,FALSE)),Table15[[#This Row],[Beginning Balance]]-Table15[[#This Row],[Principal]]-Table15[[#This Row],[Prepayments]]),2)</f>
        <v>0</v>
      </c>
      <c r="K319" s="3">
        <f>ROUND(Table15[[#This Row],[Defaulted Principal]]*IF($C$9="No",$E$4,VLOOKUP(Table15[[#This Row],[Period]],Forecast!$H$2:$L$1048576,3,FALSE)),2)</f>
        <v>0</v>
      </c>
      <c r="L319" s="2">
        <f>Table15[[#This Row],[Period]]+$E$9</f>
        <v>315</v>
      </c>
      <c r="M319" s="3">
        <f>Table15[[#This Row],[Defaulted Principal]]-Table15[[#This Row],[Estimated Loss]]</f>
        <v>0</v>
      </c>
      <c r="N319" s="3">
        <f>IFERROR(VLOOKUP(Table15[[#This Row],[Period]],$L$16:$M$385,2,FALSE),0)</f>
        <v>0</v>
      </c>
      <c r="O319" s="3">
        <f>Table15[[#This Row],[Beginning Balance]]-Table15[[#This Row],[Principal]]-Table15[[#This Row],[Prepayments]]-Table15[[#This Row],[Defaulted Principal]]</f>
        <v>0</v>
      </c>
      <c r="P319" s="3">
        <f>Table15[[#This Row],[Principal]]+Table15[[#This Row],[Interest]]+Table15[[#This Row],[Prepayments]]+Table15[[#This Row],[RecoveredAmount]]</f>
        <v>0</v>
      </c>
      <c r="Q319" s="3">
        <f ca="1">ROUND(Table15[[#This Row],[Cash Flow]]/((1+ActualRateToUse)^(IF(ISNUMBER(SEARCH("Actual",$C$7)),Table15[[#This Row],[Running Total]]/365,Table15[[#This Row],[Period]]/12))),2)</f>
        <v>0</v>
      </c>
      <c r="R319" s="2">
        <f>IF(MONTH(Table15[[#This Row],[Date]])=2,28,DAY(DATE(YEAR(Table15[[#This Row],[Date]]),MONTH(Table15[[#This Row],[Date]])+1,1)-1))</f>
        <v>30</v>
      </c>
      <c r="S319" s="2">
        <f ca="1">SUM(OFFSET(Table15[[#Headers],[Days in month]],1,0):Table15[[#This Row],[Days in month]])</f>
        <v>9217</v>
      </c>
      <c r="T319" s="37">
        <f>InterestRate*AmortizationMultiplier*IF(ISNUMBER(SEARCH("Actual",$C$7)),Table15[[#This Row],[Days in month]]/365,1/12)</f>
        <v>5.6258333333333325E-3</v>
      </c>
    </row>
    <row r="320" spans="2:20" x14ac:dyDescent="0.2">
      <c r="B320" s="1">
        <f t="shared" si="14"/>
        <v>55092</v>
      </c>
      <c r="C320" s="2">
        <f t="shared" si="16"/>
        <v>304</v>
      </c>
      <c r="D320" s="3">
        <f t="shared" si="15"/>
        <v>0</v>
      </c>
      <c r="E320" s="3">
        <f>ROUND(Table15[[#This Row],[Beginning Balance]]*Table15[[#This Row],[Monthly Interest Rate]],2)</f>
        <v>0</v>
      </c>
      <c r="F320" s="3">
        <f t="shared" si="17"/>
        <v>-32</v>
      </c>
      <c r="G320" s="23">
        <f>IFERROR(IF($C$13="No","N/A",IF(Table15[[#This Row],[Period]]=1,$C$6,PMT(InterestRate*AmortizationMultiplier/12,Table15[[#This Row],[Am Thru]],-Table15[[#This Row],[Beginning Balance]]))),0)</f>
        <v>0</v>
      </c>
      <c r="H320" s="3">
        <f>MAX(0,IF(C320=$C$4,D320,ROUND(IF($C$3="Fixed Principal",$C$6-Table15[[#This Row],[Interest]],IF($C$3="Interest Only",Table15[[#This Row],[Beginning Balance]]*ROUND(1-(1-IF($C$11="No",$E$8,1))^(1/12),6),MIN(IF($C$13="Yes",Table15[[#This Row],[Payment Amount (Reamortized)]],$C$6)-Table15[[#This Row],[Interest]],Table15[[#This Row],[Beginning Balance]]))),2)))</f>
        <v>0</v>
      </c>
      <c r="I320" s="3">
        <f>_xlfn.SINGLE(IF($C$3="Line of Credit",0,ROUND(MAX(MIN(IF($C$10="No",$E$7,VLOOKUP(Table15[[#This Row],[Period]],Forecast!$H$2:$L$1048576,4,FALSE))*Table15[[#This Row],[Beginning Balance]],Table15[[#This Row],[Beginning Balance]]-Table15[[#This Row],[Principal]]),0),2)))</f>
        <v>0</v>
      </c>
      <c r="J320" s="3">
        <f>ROUND(MIN(Table15[[#This Row],[Beginning Balance]]*IF($C$8="No",$E$3,VLOOKUP(Table15[[#This Row],[Period]],Forecast!$H$2:$L$1048576,2,FALSE)),Table15[[#This Row],[Beginning Balance]]-Table15[[#This Row],[Principal]]-Table15[[#This Row],[Prepayments]]),2)</f>
        <v>0</v>
      </c>
      <c r="K320" s="3">
        <f>ROUND(Table15[[#This Row],[Defaulted Principal]]*IF($C$9="No",$E$4,VLOOKUP(Table15[[#This Row],[Period]],Forecast!$H$2:$L$1048576,3,FALSE)),2)</f>
        <v>0</v>
      </c>
      <c r="L320" s="2">
        <f>Table15[[#This Row],[Period]]+$E$9</f>
        <v>316</v>
      </c>
      <c r="M320" s="3">
        <f>Table15[[#This Row],[Defaulted Principal]]-Table15[[#This Row],[Estimated Loss]]</f>
        <v>0</v>
      </c>
      <c r="N320" s="3">
        <f>IFERROR(VLOOKUP(Table15[[#This Row],[Period]],$L$16:$M$385,2,FALSE),0)</f>
        <v>0</v>
      </c>
      <c r="O320" s="3">
        <f>Table15[[#This Row],[Beginning Balance]]-Table15[[#This Row],[Principal]]-Table15[[#This Row],[Prepayments]]-Table15[[#This Row],[Defaulted Principal]]</f>
        <v>0</v>
      </c>
      <c r="P320" s="3">
        <f>Table15[[#This Row],[Principal]]+Table15[[#This Row],[Interest]]+Table15[[#This Row],[Prepayments]]+Table15[[#This Row],[RecoveredAmount]]</f>
        <v>0</v>
      </c>
      <c r="Q320" s="3">
        <f ca="1">ROUND(Table15[[#This Row],[Cash Flow]]/((1+ActualRateToUse)^(IF(ISNUMBER(SEARCH("Actual",$C$7)),Table15[[#This Row],[Running Total]]/365,Table15[[#This Row],[Period]]/12))),2)</f>
        <v>0</v>
      </c>
      <c r="R320" s="2">
        <f>IF(MONTH(Table15[[#This Row],[Date]])=2,28,DAY(DATE(YEAR(Table15[[#This Row],[Date]]),MONTH(Table15[[#This Row],[Date]])+1,1)-1))</f>
        <v>31</v>
      </c>
      <c r="S320" s="2">
        <f ca="1">SUM(OFFSET(Table15[[#Headers],[Days in month]],1,0):Table15[[#This Row],[Days in month]])</f>
        <v>9248</v>
      </c>
      <c r="T320" s="37">
        <f>InterestRate*AmortizationMultiplier*IF(ISNUMBER(SEARCH("Actual",$C$7)),Table15[[#This Row],[Days in month]]/365,1/12)</f>
        <v>5.8133611111111103E-3</v>
      </c>
    </row>
    <row r="321" spans="2:20" x14ac:dyDescent="0.2">
      <c r="B321" s="1">
        <f t="shared" si="14"/>
        <v>55122</v>
      </c>
      <c r="C321" s="2">
        <f t="shared" si="16"/>
        <v>305</v>
      </c>
      <c r="D321" s="3">
        <f t="shared" si="15"/>
        <v>0</v>
      </c>
      <c r="E321" s="3">
        <f>ROUND(Table15[[#This Row],[Beginning Balance]]*Table15[[#This Row],[Monthly Interest Rate]],2)</f>
        <v>0</v>
      </c>
      <c r="F321" s="3">
        <f t="shared" si="17"/>
        <v>-33</v>
      </c>
      <c r="G321" s="23">
        <f>IFERROR(IF($C$13="No","N/A",IF(Table15[[#This Row],[Period]]=1,$C$6,PMT(InterestRate*AmortizationMultiplier/12,Table15[[#This Row],[Am Thru]],-Table15[[#This Row],[Beginning Balance]]))),0)</f>
        <v>0</v>
      </c>
      <c r="H321" s="3">
        <f>MAX(0,IF(C321=$C$4,D321,ROUND(IF($C$3="Fixed Principal",$C$6-Table15[[#This Row],[Interest]],IF($C$3="Interest Only",Table15[[#This Row],[Beginning Balance]]*ROUND(1-(1-IF($C$11="No",$E$8,1))^(1/12),6),MIN(IF($C$13="Yes",Table15[[#This Row],[Payment Amount (Reamortized)]],$C$6)-Table15[[#This Row],[Interest]],Table15[[#This Row],[Beginning Balance]]))),2)))</f>
        <v>0</v>
      </c>
      <c r="I321" s="3">
        <f>_xlfn.SINGLE(IF($C$3="Line of Credit",0,ROUND(MAX(MIN(IF($C$10="No",$E$7,VLOOKUP(Table15[[#This Row],[Period]],Forecast!$H$2:$L$1048576,4,FALSE))*Table15[[#This Row],[Beginning Balance]],Table15[[#This Row],[Beginning Balance]]-Table15[[#This Row],[Principal]]),0),2)))</f>
        <v>0</v>
      </c>
      <c r="J321" s="3">
        <f>ROUND(MIN(Table15[[#This Row],[Beginning Balance]]*IF($C$8="No",$E$3,VLOOKUP(Table15[[#This Row],[Period]],Forecast!$H$2:$L$1048576,2,FALSE)),Table15[[#This Row],[Beginning Balance]]-Table15[[#This Row],[Principal]]-Table15[[#This Row],[Prepayments]]),2)</f>
        <v>0</v>
      </c>
      <c r="K321" s="3">
        <f>ROUND(Table15[[#This Row],[Defaulted Principal]]*IF($C$9="No",$E$4,VLOOKUP(Table15[[#This Row],[Period]],Forecast!$H$2:$L$1048576,3,FALSE)),2)</f>
        <v>0</v>
      </c>
      <c r="L321" s="2">
        <f>Table15[[#This Row],[Period]]+$E$9</f>
        <v>317</v>
      </c>
      <c r="M321" s="3">
        <f>Table15[[#This Row],[Defaulted Principal]]-Table15[[#This Row],[Estimated Loss]]</f>
        <v>0</v>
      </c>
      <c r="N321" s="3">
        <f>IFERROR(VLOOKUP(Table15[[#This Row],[Period]],$L$16:$M$385,2,FALSE),0)</f>
        <v>0</v>
      </c>
      <c r="O321" s="3">
        <f>Table15[[#This Row],[Beginning Balance]]-Table15[[#This Row],[Principal]]-Table15[[#This Row],[Prepayments]]-Table15[[#This Row],[Defaulted Principal]]</f>
        <v>0</v>
      </c>
      <c r="P321" s="3">
        <f>Table15[[#This Row],[Principal]]+Table15[[#This Row],[Interest]]+Table15[[#This Row],[Prepayments]]+Table15[[#This Row],[RecoveredAmount]]</f>
        <v>0</v>
      </c>
      <c r="Q321" s="3">
        <f ca="1">ROUND(Table15[[#This Row],[Cash Flow]]/((1+ActualRateToUse)^(IF(ISNUMBER(SEARCH("Actual",$C$7)),Table15[[#This Row],[Running Total]]/365,Table15[[#This Row],[Period]]/12))),2)</f>
        <v>0</v>
      </c>
      <c r="R321" s="2">
        <f>IF(MONTH(Table15[[#This Row],[Date]])=2,28,DAY(DATE(YEAR(Table15[[#This Row],[Date]]),MONTH(Table15[[#This Row],[Date]])+1,1)-1))</f>
        <v>30</v>
      </c>
      <c r="S321" s="2">
        <f ca="1">SUM(OFFSET(Table15[[#Headers],[Days in month]],1,0):Table15[[#This Row],[Days in month]])</f>
        <v>9278</v>
      </c>
      <c r="T321" s="37">
        <f>InterestRate*AmortizationMultiplier*IF(ISNUMBER(SEARCH("Actual",$C$7)),Table15[[#This Row],[Days in month]]/365,1/12)</f>
        <v>5.6258333333333325E-3</v>
      </c>
    </row>
    <row r="322" spans="2:20" x14ac:dyDescent="0.2">
      <c r="B322" s="1">
        <f t="shared" si="14"/>
        <v>55153</v>
      </c>
      <c r="C322" s="2">
        <f t="shared" si="16"/>
        <v>306</v>
      </c>
      <c r="D322" s="3">
        <f t="shared" si="15"/>
        <v>0</v>
      </c>
      <c r="E322" s="3">
        <f>ROUND(Table15[[#This Row],[Beginning Balance]]*Table15[[#This Row],[Monthly Interest Rate]],2)</f>
        <v>0</v>
      </c>
      <c r="F322" s="3">
        <f t="shared" si="17"/>
        <v>-34</v>
      </c>
      <c r="G322" s="23">
        <f>IFERROR(IF($C$13="No","N/A",IF(Table15[[#This Row],[Period]]=1,$C$6,PMT(InterestRate*AmortizationMultiplier/12,Table15[[#This Row],[Am Thru]],-Table15[[#This Row],[Beginning Balance]]))),0)</f>
        <v>0</v>
      </c>
      <c r="H322" s="3">
        <f>MAX(0,IF(C322=$C$4,D322,ROUND(IF($C$3="Fixed Principal",$C$6-Table15[[#This Row],[Interest]],IF($C$3="Interest Only",Table15[[#This Row],[Beginning Balance]]*ROUND(1-(1-IF($C$11="No",$E$8,1))^(1/12),6),MIN(IF($C$13="Yes",Table15[[#This Row],[Payment Amount (Reamortized)]],$C$6)-Table15[[#This Row],[Interest]],Table15[[#This Row],[Beginning Balance]]))),2)))</f>
        <v>0</v>
      </c>
      <c r="I322" s="3">
        <f>_xlfn.SINGLE(IF($C$3="Line of Credit",0,ROUND(MAX(MIN(IF($C$10="No",$E$7,VLOOKUP(Table15[[#This Row],[Period]],Forecast!$H$2:$L$1048576,4,FALSE))*Table15[[#This Row],[Beginning Balance]],Table15[[#This Row],[Beginning Balance]]-Table15[[#This Row],[Principal]]),0),2)))</f>
        <v>0</v>
      </c>
      <c r="J322" s="3">
        <f>ROUND(MIN(Table15[[#This Row],[Beginning Balance]]*IF($C$8="No",$E$3,VLOOKUP(Table15[[#This Row],[Period]],Forecast!$H$2:$L$1048576,2,FALSE)),Table15[[#This Row],[Beginning Balance]]-Table15[[#This Row],[Principal]]-Table15[[#This Row],[Prepayments]]),2)</f>
        <v>0</v>
      </c>
      <c r="K322" s="3">
        <f>ROUND(Table15[[#This Row],[Defaulted Principal]]*IF($C$9="No",$E$4,VLOOKUP(Table15[[#This Row],[Period]],Forecast!$H$2:$L$1048576,3,FALSE)),2)</f>
        <v>0</v>
      </c>
      <c r="L322" s="2">
        <f>Table15[[#This Row],[Period]]+$E$9</f>
        <v>318</v>
      </c>
      <c r="M322" s="3">
        <f>Table15[[#This Row],[Defaulted Principal]]-Table15[[#This Row],[Estimated Loss]]</f>
        <v>0</v>
      </c>
      <c r="N322" s="3">
        <f>IFERROR(VLOOKUP(Table15[[#This Row],[Period]],$L$16:$M$385,2,FALSE),0)</f>
        <v>0</v>
      </c>
      <c r="O322" s="3">
        <f>Table15[[#This Row],[Beginning Balance]]-Table15[[#This Row],[Principal]]-Table15[[#This Row],[Prepayments]]-Table15[[#This Row],[Defaulted Principal]]</f>
        <v>0</v>
      </c>
      <c r="P322" s="3">
        <f>Table15[[#This Row],[Principal]]+Table15[[#This Row],[Interest]]+Table15[[#This Row],[Prepayments]]+Table15[[#This Row],[RecoveredAmount]]</f>
        <v>0</v>
      </c>
      <c r="Q322" s="3">
        <f ca="1">ROUND(Table15[[#This Row],[Cash Flow]]/((1+ActualRateToUse)^(IF(ISNUMBER(SEARCH("Actual",$C$7)),Table15[[#This Row],[Running Total]]/365,Table15[[#This Row],[Period]]/12))),2)</f>
        <v>0</v>
      </c>
      <c r="R322" s="2">
        <f>IF(MONTH(Table15[[#This Row],[Date]])=2,28,DAY(DATE(YEAR(Table15[[#This Row],[Date]]),MONTH(Table15[[#This Row],[Date]])+1,1)-1))</f>
        <v>31</v>
      </c>
      <c r="S322" s="2">
        <f ca="1">SUM(OFFSET(Table15[[#Headers],[Days in month]],1,0):Table15[[#This Row],[Days in month]])</f>
        <v>9309</v>
      </c>
      <c r="T322" s="37">
        <f>InterestRate*AmortizationMultiplier*IF(ISNUMBER(SEARCH("Actual",$C$7)),Table15[[#This Row],[Days in month]]/365,1/12)</f>
        <v>5.8133611111111103E-3</v>
      </c>
    </row>
    <row r="323" spans="2:20" x14ac:dyDescent="0.2">
      <c r="B323" s="1">
        <f t="shared" si="14"/>
        <v>55184</v>
      </c>
      <c r="C323" s="2">
        <f t="shared" si="16"/>
        <v>307</v>
      </c>
      <c r="D323" s="3">
        <f t="shared" si="15"/>
        <v>0</v>
      </c>
      <c r="E323" s="3">
        <f>ROUND(Table15[[#This Row],[Beginning Balance]]*Table15[[#This Row],[Monthly Interest Rate]],2)</f>
        <v>0</v>
      </c>
      <c r="F323" s="3">
        <f t="shared" si="17"/>
        <v>-35</v>
      </c>
      <c r="G323" s="23">
        <f>IFERROR(IF($C$13="No","N/A",IF(Table15[[#This Row],[Period]]=1,$C$6,PMT(InterestRate*AmortizationMultiplier/12,Table15[[#This Row],[Am Thru]],-Table15[[#This Row],[Beginning Balance]]))),0)</f>
        <v>0</v>
      </c>
      <c r="H323" s="3">
        <f>MAX(0,IF(C323=$C$4,D323,ROUND(IF($C$3="Fixed Principal",$C$6-Table15[[#This Row],[Interest]],IF($C$3="Interest Only",Table15[[#This Row],[Beginning Balance]]*ROUND(1-(1-IF($C$11="No",$E$8,1))^(1/12),6),MIN(IF($C$13="Yes",Table15[[#This Row],[Payment Amount (Reamortized)]],$C$6)-Table15[[#This Row],[Interest]],Table15[[#This Row],[Beginning Balance]]))),2)))</f>
        <v>0</v>
      </c>
      <c r="I323" s="3">
        <f>_xlfn.SINGLE(IF($C$3="Line of Credit",0,ROUND(MAX(MIN(IF($C$10="No",$E$7,VLOOKUP(Table15[[#This Row],[Period]],Forecast!$H$2:$L$1048576,4,FALSE))*Table15[[#This Row],[Beginning Balance]],Table15[[#This Row],[Beginning Balance]]-Table15[[#This Row],[Principal]]),0),2)))</f>
        <v>0</v>
      </c>
      <c r="J323" s="3">
        <f>ROUND(MIN(Table15[[#This Row],[Beginning Balance]]*IF($C$8="No",$E$3,VLOOKUP(Table15[[#This Row],[Period]],Forecast!$H$2:$L$1048576,2,FALSE)),Table15[[#This Row],[Beginning Balance]]-Table15[[#This Row],[Principal]]-Table15[[#This Row],[Prepayments]]),2)</f>
        <v>0</v>
      </c>
      <c r="K323" s="3">
        <f>ROUND(Table15[[#This Row],[Defaulted Principal]]*IF($C$9="No",$E$4,VLOOKUP(Table15[[#This Row],[Period]],Forecast!$H$2:$L$1048576,3,FALSE)),2)</f>
        <v>0</v>
      </c>
      <c r="L323" s="2">
        <f>Table15[[#This Row],[Period]]+$E$9</f>
        <v>319</v>
      </c>
      <c r="M323" s="3">
        <f>Table15[[#This Row],[Defaulted Principal]]-Table15[[#This Row],[Estimated Loss]]</f>
        <v>0</v>
      </c>
      <c r="N323" s="3">
        <f>IFERROR(VLOOKUP(Table15[[#This Row],[Period]],$L$16:$M$385,2,FALSE),0)</f>
        <v>0</v>
      </c>
      <c r="O323" s="3">
        <f>Table15[[#This Row],[Beginning Balance]]-Table15[[#This Row],[Principal]]-Table15[[#This Row],[Prepayments]]-Table15[[#This Row],[Defaulted Principal]]</f>
        <v>0</v>
      </c>
      <c r="P323" s="3">
        <f>Table15[[#This Row],[Principal]]+Table15[[#This Row],[Interest]]+Table15[[#This Row],[Prepayments]]+Table15[[#This Row],[RecoveredAmount]]</f>
        <v>0</v>
      </c>
      <c r="Q323" s="3">
        <f ca="1">ROUND(Table15[[#This Row],[Cash Flow]]/((1+ActualRateToUse)^(IF(ISNUMBER(SEARCH("Actual",$C$7)),Table15[[#This Row],[Running Total]]/365,Table15[[#This Row],[Period]]/12))),2)</f>
        <v>0</v>
      </c>
      <c r="R323" s="2">
        <f>IF(MONTH(Table15[[#This Row],[Date]])=2,28,DAY(DATE(YEAR(Table15[[#This Row],[Date]]),MONTH(Table15[[#This Row],[Date]])+1,1)-1))</f>
        <v>31</v>
      </c>
      <c r="S323" s="2">
        <f ca="1">SUM(OFFSET(Table15[[#Headers],[Days in month]],1,0):Table15[[#This Row],[Days in month]])</f>
        <v>9340</v>
      </c>
      <c r="T323" s="37">
        <f>InterestRate*AmortizationMultiplier*IF(ISNUMBER(SEARCH("Actual",$C$7)),Table15[[#This Row],[Days in month]]/365,1/12)</f>
        <v>5.8133611111111103E-3</v>
      </c>
    </row>
    <row r="324" spans="2:20" x14ac:dyDescent="0.2">
      <c r="B324" s="1">
        <f t="shared" si="14"/>
        <v>55212</v>
      </c>
      <c r="C324" s="2">
        <f t="shared" si="16"/>
        <v>308</v>
      </c>
      <c r="D324" s="3">
        <f t="shared" si="15"/>
        <v>0</v>
      </c>
      <c r="E324" s="3">
        <f>ROUND(Table15[[#This Row],[Beginning Balance]]*Table15[[#This Row],[Monthly Interest Rate]],2)</f>
        <v>0</v>
      </c>
      <c r="F324" s="3">
        <f t="shared" si="17"/>
        <v>-36</v>
      </c>
      <c r="G324" s="23">
        <f>IFERROR(IF($C$13="No","N/A",IF(Table15[[#This Row],[Period]]=1,$C$6,PMT(InterestRate*AmortizationMultiplier/12,Table15[[#This Row],[Am Thru]],-Table15[[#This Row],[Beginning Balance]]))),0)</f>
        <v>0</v>
      </c>
      <c r="H324" s="3">
        <f>MAX(0,IF(C324=$C$4,D324,ROUND(IF($C$3="Fixed Principal",$C$6-Table15[[#This Row],[Interest]],IF($C$3="Interest Only",Table15[[#This Row],[Beginning Balance]]*ROUND(1-(1-IF($C$11="No",$E$8,1))^(1/12),6),MIN(IF($C$13="Yes",Table15[[#This Row],[Payment Amount (Reamortized)]],$C$6)-Table15[[#This Row],[Interest]],Table15[[#This Row],[Beginning Balance]]))),2)))</f>
        <v>0</v>
      </c>
      <c r="I324" s="3">
        <f>_xlfn.SINGLE(IF($C$3="Line of Credit",0,ROUND(MAX(MIN(IF($C$10="No",$E$7,VLOOKUP(Table15[[#This Row],[Period]],Forecast!$H$2:$L$1048576,4,FALSE))*Table15[[#This Row],[Beginning Balance]],Table15[[#This Row],[Beginning Balance]]-Table15[[#This Row],[Principal]]),0),2)))</f>
        <v>0</v>
      </c>
      <c r="J324" s="3">
        <f>ROUND(MIN(Table15[[#This Row],[Beginning Balance]]*IF($C$8="No",$E$3,VLOOKUP(Table15[[#This Row],[Period]],Forecast!$H$2:$L$1048576,2,FALSE)),Table15[[#This Row],[Beginning Balance]]-Table15[[#This Row],[Principal]]-Table15[[#This Row],[Prepayments]]),2)</f>
        <v>0</v>
      </c>
      <c r="K324" s="3">
        <f>ROUND(Table15[[#This Row],[Defaulted Principal]]*IF($C$9="No",$E$4,VLOOKUP(Table15[[#This Row],[Period]],Forecast!$H$2:$L$1048576,3,FALSE)),2)</f>
        <v>0</v>
      </c>
      <c r="L324" s="2">
        <f>Table15[[#This Row],[Period]]+$E$9</f>
        <v>320</v>
      </c>
      <c r="M324" s="3">
        <f>Table15[[#This Row],[Defaulted Principal]]-Table15[[#This Row],[Estimated Loss]]</f>
        <v>0</v>
      </c>
      <c r="N324" s="3">
        <f>IFERROR(VLOOKUP(Table15[[#This Row],[Period]],$L$16:$M$385,2,FALSE),0)</f>
        <v>0</v>
      </c>
      <c r="O324" s="3">
        <f>Table15[[#This Row],[Beginning Balance]]-Table15[[#This Row],[Principal]]-Table15[[#This Row],[Prepayments]]-Table15[[#This Row],[Defaulted Principal]]</f>
        <v>0</v>
      </c>
      <c r="P324" s="3">
        <f>Table15[[#This Row],[Principal]]+Table15[[#This Row],[Interest]]+Table15[[#This Row],[Prepayments]]+Table15[[#This Row],[RecoveredAmount]]</f>
        <v>0</v>
      </c>
      <c r="Q324" s="3">
        <f ca="1">ROUND(Table15[[#This Row],[Cash Flow]]/((1+ActualRateToUse)^(IF(ISNUMBER(SEARCH("Actual",$C$7)),Table15[[#This Row],[Running Total]]/365,Table15[[#This Row],[Period]]/12))),2)</f>
        <v>0</v>
      </c>
      <c r="R324" s="2">
        <f>IF(MONTH(Table15[[#This Row],[Date]])=2,28,DAY(DATE(YEAR(Table15[[#This Row],[Date]]),MONTH(Table15[[#This Row],[Date]])+1,1)-1))</f>
        <v>28</v>
      </c>
      <c r="S324" s="2">
        <f ca="1">SUM(OFFSET(Table15[[#Headers],[Days in month]],1,0):Table15[[#This Row],[Days in month]])</f>
        <v>9368</v>
      </c>
      <c r="T324" s="37">
        <f>InterestRate*AmortizationMultiplier*IF(ISNUMBER(SEARCH("Actual",$C$7)),Table15[[#This Row],[Days in month]]/365,1/12)</f>
        <v>5.2507777777777778E-3</v>
      </c>
    </row>
    <row r="325" spans="2:20" x14ac:dyDescent="0.2">
      <c r="B325" s="1">
        <f t="shared" si="14"/>
        <v>55243</v>
      </c>
      <c r="C325" s="2">
        <f t="shared" si="16"/>
        <v>309</v>
      </c>
      <c r="D325" s="3">
        <f t="shared" si="15"/>
        <v>0</v>
      </c>
      <c r="E325" s="3">
        <f>ROUND(Table15[[#This Row],[Beginning Balance]]*Table15[[#This Row],[Monthly Interest Rate]],2)</f>
        <v>0</v>
      </c>
      <c r="F325" s="3">
        <f t="shared" si="17"/>
        <v>-37</v>
      </c>
      <c r="G325" s="23">
        <f>IFERROR(IF($C$13="No","N/A",IF(Table15[[#This Row],[Period]]=1,$C$6,PMT(InterestRate*AmortizationMultiplier/12,Table15[[#This Row],[Am Thru]],-Table15[[#This Row],[Beginning Balance]]))),0)</f>
        <v>0</v>
      </c>
      <c r="H325" s="3">
        <f>MAX(0,IF(C325=$C$4,D325,ROUND(IF($C$3="Fixed Principal",$C$6-Table15[[#This Row],[Interest]],IF($C$3="Interest Only",Table15[[#This Row],[Beginning Balance]]*ROUND(1-(1-IF($C$11="No",$E$8,1))^(1/12),6),MIN(IF($C$13="Yes",Table15[[#This Row],[Payment Amount (Reamortized)]],$C$6)-Table15[[#This Row],[Interest]],Table15[[#This Row],[Beginning Balance]]))),2)))</f>
        <v>0</v>
      </c>
      <c r="I325" s="3">
        <f>_xlfn.SINGLE(IF($C$3="Line of Credit",0,ROUND(MAX(MIN(IF($C$10="No",$E$7,VLOOKUP(Table15[[#This Row],[Period]],Forecast!$H$2:$L$1048576,4,FALSE))*Table15[[#This Row],[Beginning Balance]],Table15[[#This Row],[Beginning Balance]]-Table15[[#This Row],[Principal]]),0),2)))</f>
        <v>0</v>
      </c>
      <c r="J325" s="3">
        <f>ROUND(MIN(Table15[[#This Row],[Beginning Balance]]*IF($C$8="No",$E$3,VLOOKUP(Table15[[#This Row],[Period]],Forecast!$H$2:$L$1048576,2,FALSE)),Table15[[#This Row],[Beginning Balance]]-Table15[[#This Row],[Principal]]-Table15[[#This Row],[Prepayments]]),2)</f>
        <v>0</v>
      </c>
      <c r="K325" s="3">
        <f>ROUND(Table15[[#This Row],[Defaulted Principal]]*IF($C$9="No",$E$4,VLOOKUP(Table15[[#This Row],[Period]],Forecast!$H$2:$L$1048576,3,FALSE)),2)</f>
        <v>0</v>
      </c>
      <c r="L325" s="2">
        <f>Table15[[#This Row],[Period]]+$E$9</f>
        <v>321</v>
      </c>
      <c r="M325" s="3">
        <f>Table15[[#This Row],[Defaulted Principal]]-Table15[[#This Row],[Estimated Loss]]</f>
        <v>0</v>
      </c>
      <c r="N325" s="3">
        <f>IFERROR(VLOOKUP(Table15[[#This Row],[Period]],$L$16:$M$385,2,FALSE),0)</f>
        <v>0</v>
      </c>
      <c r="O325" s="3">
        <f>Table15[[#This Row],[Beginning Balance]]-Table15[[#This Row],[Principal]]-Table15[[#This Row],[Prepayments]]-Table15[[#This Row],[Defaulted Principal]]</f>
        <v>0</v>
      </c>
      <c r="P325" s="3">
        <f>Table15[[#This Row],[Principal]]+Table15[[#This Row],[Interest]]+Table15[[#This Row],[Prepayments]]+Table15[[#This Row],[RecoveredAmount]]</f>
        <v>0</v>
      </c>
      <c r="Q325" s="3">
        <f ca="1">ROUND(Table15[[#This Row],[Cash Flow]]/((1+ActualRateToUse)^(IF(ISNUMBER(SEARCH("Actual",$C$7)),Table15[[#This Row],[Running Total]]/365,Table15[[#This Row],[Period]]/12))),2)</f>
        <v>0</v>
      </c>
      <c r="R325" s="2">
        <f>IF(MONTH(Table15[[#This Row],[Date]])=2,28,DAY(DATE(YEAR(Table15[[#This Row],[Date]]),MONTH(Table15[[#This Row],[Date]])+1,1)-1))</f>
        <v>31</v>
      </c>
      <c r="S325" s="2">
        <f ca="1">SUM(OFFSET(Table15[[#Headers],[Days in month]],1,0):Table15[[#This Row],[Days in month]])</f>
        <v>9399</v>
      </c>
      <c r="T325" s="37">
        <f>InterestRate*AmortizationMultiplier*IF(ISNUMBER(SEARCH("Actual",$C$7)),Table15[[#This Row],[Days in month]]/365,1/12)</f>
        <v>5.8133611111111103E-3</v>
      </c>
    </row>
    <row r="326" spans="2:20" x14ac:dyDescent="0.2">
      <c r="B326" s="1">
        <f t="shared" si="14"/>
        <v>55273</v>
      </c>
      <c r="C326" s="2">
        <f t="shared" si="16"/>
        <v>310</v>
      </c>
      <c r="D326" s="3">
        <f t="shared" si="15"/>
        <v>0</v>
      </c>
      <c r="E326" s="3">
        <f>ROUND(Table15[[#This Row],[Beginning Balance]]*Table15[[#This Row],[Monthly Interest Rate]],2)</f>
        <v>0</v>
      </c>
      <c r="F326" s="3">
        <f t="shared" si="17"/>
        <v>-38</v>
      </c>
      <c r="G326" s="23">
        <f>IFERROR(IF($C$13="No","N/A",IF(Table15[[#This Row],[Period]]=1,$C$6,PMT(InterestRate*AmortizationMultiplier/12,Table15[[#This Row],[Am Thru]],-Table15[[#This Row],[Beginning Balance]]))),0)</f>
        <v>0</v>
      </c>
      <c r="H326" s="3">
        <f>MAX(0,IF(C326=$C$4,D326,ROUND(IF($C$3="Fixed Principal",$C$6-Table15[[#This Row],[Interest]],IF($C$3="Interest Only",Table15[[#This Row],[Beginning Balance]]*ROUND(1-(1-IF($C$11="No",$E$8,1))^(1/12),6),MIN(IF($C$13="Yes",Table15[[#This Row],[Payment Amount (Reamortized)]],$C$6)-Table15[[#This Row],[Interest]],Table15[[#This Row],[Beginning Balance]]))),2)))</f>
        <v>0</v>
      </c>
      <c r="I326" s="3">
        <f>_xlfn.SINGLE(IF($C$3="Line of Credit",0,ROUND(MAX(MIN(IF($C$10="No",$E$7,VLOOKUP(Table15[[#This Row],[Period]],Forecast!$H$2:$L$1048576,4,FALSE))*Table15[[#This Row],[Beginning Balance]],Table15[[#This Row],[Beginning Balance]]-Table15[[#This Row],[Principal]]),0),2)))</f>
        <v>0</v>
      </c>
      <c r="J326" s="3">
        <f>ROUND(MIN(Table15[[#This Row],[Beginning Balance]]*IF($C$8="No",$E$3,VLOOKUP(Table15[[#This Row],[Period]],Forecast!$H$2:$L$1048576,2,FALSE)),Table15[[#This Row],[Beginning Balance]]-Table15[[#This Row],[Principal]]-Table15[[#This Row],[Prepayments]]),2)</f>
        <v>0</v>
      </c>
      <c r="K326" s="3">
        <f>ROUND(Table15[[#This Row],[Defaulted Principal]]*IF($C$9="No",$E$4,VLOOKUP(Table15[[#This Row],[Period]],Forecast!$H$2:$L$1048576,3,FALSE)),2)</f>
        <v>0</v>
      </c>
      <c r="L326" s="2">
        <f>Table15[[#This Row],[Period]]+$E$9</f>
        <v>322</v>
      </c>
      <c r="M326" s="3">
        <f>Table15[[#This Row],[Defaulted Principal]]-Table15[[#This Row],[Estimated Loss]]</f>
        <v>0</v>
      </c>
      <c r="N326" s="3">
        <f>IFERROR(VLOOKUP(Table15[[#This Row],[Period]],$L$16:$M$385,2,FALSE),0)</f>
        <v>0</v>
      </c>
      <c r="O326" s="3">
        <f>Table15[[#This Row],[Beginning Balance]]-Table15[[#This Row],[Principal]]-Table15[[#This Row],[Prepayments]]-Table15[[#This Row],[Defaulted Principal]]</f>
        <v>0</v>
      </c>
      <c r="P326" s="3">
        <f>Table15[[#This Row],[Principal]]+Table15[[#This Row],[Interest]]+Table15[[#This Row],[Prepayments]]+Table15[[#This Row],[RecoveredAmount]]</f>
        <v>0</v>
      </c>
      <c r="Q326" s="3">
        <f ca="1">ROUND(Table15[[#This Row],[Cash Flow]]/((1+ActualRateToUse)^(IF(ISNUMBER(SEARCH("Actual",$C$7)),Table15[[#This Row],[Running Total]]/365,Table15[[#This Row],[Period]]/12))),2)</f>
        <v>0</v>
      </c>
      <c r="R326" s="2">
        <f>IF(MONTH(Table15[[#This Row],[Date]])=2,28,DAY(DATE(YEAR(Table15[[#This Row],[Date]]),MONTH(Table15[[#This Row],[Date]])+1,1)-1))</f>
        <v>30</v>
      </c>
      <c r="S326" s="2">
        <f ca="1">SUM(OFFSET(Table15[[#Headers],[Days in month]],1,0):Table15[[#This Row],[Days in month]])</f>
        <v>9429</v>
      </c>
      <c r="T326" s="37">
        <f>InterestRate*AmortizationMultiplier*IF(ISNUMBER(SEARCH("Actual",$C$7)),Table15[[#This Row],[Days in month]]/365,1/12)</f>
        <v>5.6258333333333325E-3</v>
      </c>
    </row>
    <row r="327" spans="2:20" x14ac:dyDescent="0.2">
      <c r="B327" s="1">
        <f t="shared" si="14"/>
        <v>55304</v>
      </c>
      <c r="C327" s="2">
        <f t="shared" si="16"/>
        <v>311</v>
      </c>
      <c r="D327" s="3">
        <f t="shared" si="15"/>
        <v>0</v>
      </c>
      <c r="E327" s="3">
        <f>ROUND(Table15[[#This Row],[Beginning Balance]]*Table15[[#This Row],[Monthly Interest Rate]],2)</f>
        <v>0</v>
      </c>
      <c r="F327" s="3">
        <f t="shared" si="17"/>
        <v>-39</v>
      </c>
      <c r="G327" s="23">
        <f>IFERROR(IF($C$13="No","N/A",IF(Table15[[#This Row],[Period]]=1,$C$6,PMT(InterestRate*AmortizationMultiplier/12,Table15[[#This Row],[Am Thru]],-Table15[[#This Row],[Beginning Balance]]))),0)</f>
        <v>0</v>
      </c>
      <c r="H327" s="3">
        <f>MAX(0,IF(C327=$C$4,D327,ROUND(IF($C$3="Fixed Principal",$C$6-Table15[[#This Row],[Interest]],IF($C$3="Interest Only",Table15[[#This Row],[Beginning Balance]]*ROUND(1-(1-IF($C$11="No",$E$8,1))^(1/12),6),MIN(IF($C$13="Yes",Table15[[#This Row],[Payment Amount (Reamortized)]],$C$6)-Table15[[#This Row],[Interest]],Table15[[#This Row],[Beginning Balance]]))),2)))</f>
        <v>0</v>
      </c>
      <c r="I327" s="3">
        <f>_xlfn.SINGLE(IF($C$3="Line of Credit",0,ROUND(MAX(MIN(IF($C$10="No",$E$7,VLOOKUP(Table15[[#This Row],[Period]],Forecast!$H$2:$L$1048576,4,FALSE))*Table15[[#This Row],[Beginning Balance]],Table15[[#This Row],[Beginning Balance]]-Table15[[#This Row],[Principal]]),0),2)))</f>
        <v>0</v>
      </c>
      <c r="J327" s="3">
        <f>ROUND(MIN(Table15[[#This Row],[Beginning Balance]]*IF($C$8="No",$E$3,VLOOKUP(Table15[[#This Row],[Period]],Forecast!$H$2:$L$1048576,2,FALSE)),Table15[[#This Row],[Beginning Balance]]-Table15[[#This Row],[Principal]]-Table15[[#This Row],[Prepayments]]),2)</f>
        <v>0</v>
      </c>
      <c r="K327" s="3">
        <f>ROUND(Table15[[#This Row],[Defaulted Principal]]*IF($C$9="No",$E$4,VLOOKUP(Table15[[#This Row],[Period]],Forecast!$H$2:$L$1048576,3,FALSE)),2)</f>
        <v>0</v>
      </c>
      <c r="L327" s="2">
        <f>Table15[[#This Row],[Period]]+$E$9</f>
        <v>323</v>
      </c>
      <c r="M327" s="3">
        <f>Table15[[#This Row],[Defaulted Principal]]-Table15[[#This Row],[Estimated Loss]]</f>
        <v>0</v>
      </c>
      <c r="N327" s="3">
        <f>IFERROR(VLOOKUP(Table15[[#This Row],[Period]],$L$16:$M$385,2,FALSE),0)</f>
        <v>0</v>
      </c>
      <c r="O327" s="3">
        <f>Table15[[#This Row],[Beginning Balance]]-Table15[[#This Row],[Principal]]-Table15[[#This Row],[Prepayments]]-Table15[[#This Row],[Defaulted Principal]]</f>
        <v>0</v>
      </c>
      <c r="P327" s="3">
        <f>Table15[[#This Row],[Principal]]+Table15[[#This Row],[Interest]]+Table15[[#This Row],[Prepayments]]+Table15[[#This Row],[RecoveredAmount]]</f>
        <v>0</v>
      </c>
      <c r="Q327" s="3">
        <f ca="1">ROUND(Table15[[#This Row],[Cash Flow]]/((1+ActualRateToUse)^(IF(ISNUMBER(SEARCH("Actual",$C$7)),Table15[[#This Row],[Running Total]]/365,Table15[[#This Row],[Period]]/12))),2)</f>
        <v>0</v>
      </c>
      <c r="R327" s="2">
        <f>IF(MONTH(Table15[[#This Row],[Date]])=2,28,DAY(DATE(YEAR(Table15[[#This Row],[Date]]),MONTH(Table15[[#This Row],[Date]])+1,1)-1))</f>
        <v>31</v>
      </c>
      <c r="S327" s="2">
        <f ca="1">SUM(OFFSET(Table15[[#Headers],[Days in month]],1,0):Table15[[#This Row],[Days in month]])</f>
        <v>9460</v>
      </c>
      <c r="T327" s="37">
        <f>InterestRate*AmortizationMultiplier*IF(ISNUMBER(SEARCH("Actual",$C$7)),Table15[[#This Row],[Days in month]]/365,1/12)</f>
        <v>5.8133611111111103E-3</v>
      </c>
    </row>
    <row r="328" spans="2:20" x14ac:dyDescent="0.2">
      <c r="B328" s="1">
        <f t="shared" si="14"/>
        <v>55334</v>
      </c>
      <c r="C328" s="2">
        <f t="shared" si="16"/>
        <v>312</v>
      </c>
      <c r="D328" s="3">
        <f t="shared" si="15"/>
        <v>0</v>
      </c>
      <c r="E328" s="3">
        <f>ROUND(Table15[[#This Row],[Beginning Balance]]*Table15[[#This Row],[Monthly Interest Rate]],2)</f>
        <v>0</v>
      </c>
      <c r="F328" s="3">
        <f t="shared" si="17"/>
        <v>-40</v>
      </c>
      <c r="G328" s="23">
        <f>IFERROR(IF($C$13="No","N/A",IF(Table15[[#This Row],[Period]]=1,$C$6,PMT(InterestRate*AmortizationMultiplier/12,Table15[[#This Row],[Am Thru]],-Table15[[#This Row],[Beginning Balance]]))),0)</f>
        <v>0</v>
      </c>
      <c r="H328" s="3">
        <f>MAX(0,IF(C328=$C$4,D328,ROUND(IF($C$3="Fixed Principal",$C$6-Table15[[#This Row],[Interest]],IF($C$3="Interest Only",Table15[[#This Row],[Beginning Balance]]*ROUND(1-(1-IF($C$11="No",$E$8,1))^(1/12),6),MIN(IF($C$13="Yes",Table15[[#This Row],[Payment Amount (Reamortized)]],$C$6)-Table15[[#This Row],[Interest]],Table15[[#This Row],[Beginning Balance]]))),2)))</f>
        <v>0</v>
      </c>
      <c r="I328" s="3">
        <f>_xlfn.SINGLE(IF($C$3="Line of Credit",0,ROUND(MAX(MIN(IF($C$10="No",$E$7,VLOOKUP(Table15[[#This Row],[Period]],Forecast!$H$2:$L$1048576,4,FALSE))*Table15[[#This Row],[Beginning Balance]],Table15[[#This Row],[Beginning Balance]]-Table15[[#This Row],[Principal]]),0),2)))</f>
        <v>0</v>
      </c>
      <c r="J328" s="3">
        <f>ROUND(MIN(Table15[[#This Row],[Beginning Balance]]*IF($C$8="No",$E$3,VLOOKUP(Table15[[#This Row],[Period]],Forecast!$H$2:$L$1048576,2,FALSE)),Table15[[#This Row],[Beginning Balance]]-Table15[[#This Row],[Principal]]-Table15[[#This Row],[Prepayments]]),2)</f>
        <v>0</v>
      </c>
      <c r="K328" s="3">
        <f>ROUND(Table15[[#This Row],[Defaulted Principal]]*IF($C$9="No",$E$4,VLOOKUP(Table15[[#This Row],[Period]],Forecast!$H$2:$L$1048576,3,FALSE)),2)</f>
        <v>0</v>
      </c>
      <c r="L328" s="2">
        <f>Table15[[#This Row],[Period]]+$E$9</f>
        <v>324</v>
      </c>
      <c r="M328" s="3">
        <f>Table15[[#This Row],[Defaulted Principal]]-Table15[[#This Row],[Estimated Loss]]</f>
        <v>0</v>
      </c>
      <c r="N328" s="3">
        <f>IFERROR(VLOOKUP(Table15[[#This Row],[Period]],$L$16:$M$385,2,FALSE),0)</f>
        <v>0</v>
      </c>
      <c r="O328" s="3">
        <f>Table15[[#This Row],[Beginning Balance]]-Table15[[#This Row],[Principal]]-Table15[[#This Row],[Prepayments]]-Table15[[#This Row],[Defaulted Principal]]</f>
        <v>0</v>
      </c>
      <c r="P328" s="3">
        <f>Table15[[#This Row],[Principal]]+Table15[[#This Row],[Interest]]+Table15[[#This Row],[Prepayments]]+Table15[[#This Row],[RecoveredAmount]]</f>
        <v>0</v>
      </c>
      <c r="Q328" s="3">
        <f ca="1">ROUND(Table15[[#This Row],[Cash Flow]]/((1+ActualRateToUse)^(IF(ISNUMBER(SEARCH("Actual",$C$7)),Table15[[#This Row],[Running Total]]/365,Table15[[#This Row],[Period]]/12))),2)</f>
        <v>0</v>
      </c>
      <c r="R328" s="2">
        <f>IF(MONTH(Table15[[#This Row],[Date]])=2,28,DAY(DATE(YEAR(Table15[[#This Row],[Date]]),MONTH(Table15[[#This Row],[Date]])+1,1)-1))</f>
        <v>30</v>
      </c>
      <c r="S328" s="2">
        <f ca="1">SUM(OFFSET(Table15[[#Headers],[Days in month]],1,0):Table15[[#This Row],[Days in month]])</f>
        <v>9490</v>
      </c>
      <c r="T328" s="37">
        <f>InterestRate*AmortizationMultiplier*IF(ISNUMBER(SEARCH("Actual",$C$7)),Table15[[#This Row],[Days in month]]/365,1/12)</f>
        <v>5.6258333333333325E-3</v>
      </c>
    </row>
    <row r="329" spans="2:20" x14ac:dyDescent="0.2">
      <c r="B329" s="1">
        <f t="shared" si="14"/>
        <v>55365</v>
      </c>
      <c r="C329" s="2">
        <f t="shared" si="16"/>
        <v>313</v>
      </c>
      <c r="D329" s="3">
        <f t="shared" si="15"/>
        <v>0</v>
      </c>
      <c r="E329" s="3">
        <f>ROUND(Table15[[#This Row],[Beginning Balance]]*Table15[[#This Row],[Monthly Interest Rate]],2)</f>
        <v>0</v>
      </c>
      <c r="F329" s="3">
        <f t="shared" si="17"/>
        <v>-41</v>
      </c>
      <c r="G329" s="23">
        <f>IFERROR(IF($C$13="No","N/A",IF(Table15[[#This Row],[Period]]=1,$C$6,PMT(InterestRate*AmortizationMultiplier/12,Table15[[#This Row],[Am Thru]],-Table15[[#This Row],[Beginning Balance]]))),0)</f>
        <v>0</v>
      </c>
      <c r="H329" s="3">
        <f>MAX(0,IF(C329=$C$4,D329,ROUND(IF($C$3="Fixed Principal",$C$6-Table15[[#This Row],[Interest]],IF($C$3="Interest Only",Table15[[#This Row],[Beginning Balance]]*ROUND(1-(1-IF($C$11="No",$E$8,1))^(1/12),6),MIN(IF($C$13="Yes",Table15[[#This Row],[Payment Amount (Reamortized)]],$C$6)-Table15[[#This Row],[Interest]],Table15[[#This Row],[Beginning Balance]]))),2)))</f>
        <v>0</v>
      </c>
      <c r="I329" s="3">
        <f>_xlfn.SINGLE(IF($C$3="Line of Credit",0,ROUND(MAX(MIN(IF($C$10="No",$E$7,VLOOKUP(Table15[[#This Row],[Period]],Forecast!$H$2:$L$1048576,4,FALSE))*Table15[[#This Row],[Beginning Balance]],Table15[[#This Row],[Beginning Balance]]-Table15[[#This Row],[Principal]]),0),2)))</f>
        <v>0</v>
      </c>
      <c r="J329" s="3">
        <f>ROUND(MIN(Table15[[#This Row],[Beginning Balance]]*IF($C$8="No",$E$3,VLOOKUP(Table15[[#This Row],[Period]],Forecast!$H$2:$L$1048576,2,FALSE)),Table15[[#This Row],[Beginning Balance]]-Table15[[#This Row],[Principal]]-Table15[[#This Row],[Prepayments]]),2)</f>
        <v>0</v>
      </c>
      <c r="K329" s="3">
        <f>ROUND(Table15[[#This Row],[Defaulted Principal]]*IF($C$9="No",$E$4,VLOOKUP(Table15[[#This Row],[Period]],Forecast!$H$2:$L$1048576,3,FALSE)),2)</f>
        <v>0</v>
      </c>
      <c r="L329" s="2">
        <f>Table15[[#This Row],[Period]]+$E$9</f>
        <v>325</v>
      </c>
      <c r="M329" s="3">
        <f>Table15[[#This Row],[Defaulted Principal]]-Table15[[#This Row],[Estimated Loss]]</f>
        <v>0</v>
      </c>
      <c r="N329" s="3">
        <f>IFERROR(VLOOKUP(Table15[[#This Row],[Period]],$L$16:$M$385,2,FALSE),0)</f>
        <v>0</v>
      </c>
      <c r="O329" s="3">
        <f>Table15[[#This Row],[Beginning Balance]]-Table15[[#This Row],[Principal]]-Table15[[#This Row],[Prepayments]]-Table15[[#This Row],[Defaulted Principal]]</f>
        <v>0</v>
      </c>
      <c r="P329" s="3">
        <f>Table15[[#This Row],[Principal]]+Table15[[#This Row],[Interest]]+Table15[[#This Row],[Prepayments]]+Table15[[#This Row],[RecoveredAmount]]</f>
        <v>0</v>
      </c>
      <c r="Q329" s="3">
        <f ca="1">ROUND(Table15[[#This Row],[Cash Flow]]/((1+ActualRateToUse)^(IF(ISNUMBER(SEARCH("Actual",$C$7)),Table15[[#This Row],[Running Total]]/365,Table15[[#This Row],[Period]]/12))),2)</f>
        <v>0</v>
      </c>
      <c r="R329" s="2">
        <f>IF(MONTH(Table15[[#This Row],[Date]])=2,28,DAY(DATE(YEAR(Table15[[#This Row],[Date]]),MONTH(Table15[[#This Row],[Date]])+1,1)-1))</f>
        <v>31</v>
      </c>
      <c r="S329" s="2">
        <f ca="1">SUM(OFFSET(Table15[[#Headers],[Days in month]],1,0):Table15[[#This Row],[Days in month]])</f>
        <v>9521</v>
      </c>
      <c r="T329" s="37">
        <f>InterestRate*AmortizationMultiplier*IF(ISNUMBER(SEARCH("Actual",$C$7)),Table15[[#This Row],[Days in month]]/365,1/12)</f>
        <v>5.8133611111111103E-3</v>
      </c>
    </row>
    <row r="330" spans="2:20" x14ac:dyDescent="0.2">
      <c r="B330" s="1">
        <f t="shared" si="14"/>
        <v>55396</v>
      </c>
      <c r="C330" s="2">
        <f t="shared" si="16"/>
        <v>314</v>
      </c>
      <c r="D330" s="3">
        <f t="shared" si="15"/>
        <v>0</v>
      </c>
      <c r="E330" s="3">
        <f>ROUND(Table15[[#This Row],[Beginning Balance]]*Table15[[#This Row],[Monthly Interest Rate]],2)</f>
        <v>0</v>
      </c>
      <c r="F330" s="3">
        <f t="shared" si="17"/>
        <v>-42</v>
      </c>
      <c r="G330" s="23">
        <f>IFERROR(IF($C$13="No","N/A",IF(Table15[[#This Row],[Period]]=1,$C$6,PMT(InterestRate*AmortizationMultiplier/12,Table15[[#This Row],[Am Thru]],-Table15[[#This Row],[Beginning Balance]]))),0)</f>
        <v>0</v>
      </c>
      <c r="H330" s="3">
        <f>MAX(0,IF(C330=$C$4,D330,ROUND(IF($C$3="Fixed Principal",$C$6-Table15[[#This Row],[Interest]],IF($C$3="Interest Only",Table15[[#This Row],[Beginning Balance]]*ROUND(1-(1-IF($C$11="No",$E$8,1))^(1/12),6),MIN(IF($C$13="Yes",Table15[[#This Row],[Payment Amount (Reamortized)]],$C$6)-Table15[[#This Row],[Interest]],Table15[[#This Row],[Beginning Balance]]))),2)))</f>
        <v>0</v>
      </c>
      <c r="I330" s="3">
        <f>_xlfn.SINGLE(IF($C$3="Line of Credit",0,ROUND(MAX(MIN(IF($C$10="No",$E$7,VLOOKUP(Table15[[#This Row],[Period]],Forecast!$H$2:$L$1048576,4,FALSE))*Table15[[#This Row],[Beginning Balance]],Table15[[#This Row],[Beginning Balance]]-Table15[[#This Row],[Principal]]),0),2)))</f>
        <v>0</v>
      </c>
      <c r="J330" s="3">
        <f>ROUND(MIN(Table15[[#This Row],[Beginning Balance]]*IF($C$8="No",$E$3,VLOOKUP(Table15[[#This Row],[Period]],Forecast!$H$2:$L$1048576,2,FALSE)),Table15[[#This Row],[Beginning Balance]]-Table15[[#This Row],[Principal]]-Table15[[#This Row],[Prepayments]]),2)</f>
        <v>0</v>
      </c>
      <c r="K330" s="3">
        <f>ROUND(Table15[[#This Row],[Defaulted Principal]]*IF($C$9="No",$E$4,VLOOKUP(Table15[[#This Row],[Period]],Forecast!$H$2:$L$1048576,3,FALSE)),2)</f>
        <v>0</v>
      </c>
      <c r="L330" s="2">
        <f>Table15[[#This Row],[Period]]+$E$9</f>
        <v>326</v>
      </c>
      <c r="M330" s="3">
        <f>Table15[[#This Row],[Defaulted Principal]]-Table15[[#This Row],[Estimated Loss]]</f>
        <v>0</v>
      </c>
      <c r="N330" s="3">
        <f>IFERROR(VLOOKUP(Table15[[#This Row],[Period]],$L$16:$M$385,2,FALSE),0)</f>
        <v>0</v>
      </c>
      <c r="O330" s="3">
        <f>Table15[[#This Row],[Beginning Balance]]-Table15[[#This Row],[Principal]]-Table15[[#This Row],[Prepayments]]-Table15[[#This Row],[Defaulted Principal]]</f>
        <v>0</v>
      </c>
      <c r="P330" s="3">
        <f>Table15[[#This Row],[Principal]]+Table15[[#This Row],[Interest]]+Table15[[#This Row],[Prepayments]]+Table15[[#This Row],[RecoveredAmount]]</f>
        <v>0</v>
      </c>
      <c r="Q330" s="3">
        <f ca="1">ROUND(Table15[[#This Row],[Cash Flow]]/((1+ActualRateToUse)^(IF(ISNUMBER(SEARCH("Actual",$C$7)),Table15[[#This Row],[Running Total]]/365,Table15[[#This Row],[Period]]/12))),2)</f>
        <v>0</v>
      </c>
      <c r="R330" s="2">
        <f>IF(MONTH(Table15[[#This Row],[Date]])=2,28,DAY(DATE(YEAR(Table15[[#This Row],[Date]]),MONTH(Table15[[#This Row],[Date]])+1,1)-1))</f>
        <v>31</v>
      </c>
      <c r="S330" s="2">
        <f ca="1">SUM(OFFSET(Table15[[#Headers],[Days in month]],1,0):Table15[[#This Row],[Days in month]])</f>
        <v>9552</v>
      </c>
      <c r="T330" s="37">
        <f>InterestRate*AmortizationMultiplier*IF(ISNUMBER(SEARCH("Actual",$C$7)),Table15[[#This Row],[Days in month]]/365,1/12)</f>
        <v>5.8133611111111103E-3</v>
      </c>
    </row>
    <row r="331" spans="2:20" x14ac:dyDescent="0.2">
      <c r="B331" s="1">
        <f t="shared" ref="B331:B385" si="18">EOMONTH(B330,1)</f>
        <v>55426</v>
      </c>
      <c r="C331" s="2">
        <f t="shared" si="16"/>
        <v>315</v>
      </c>
      <c r="D331" s="3">
        <f t="shared" si="15"/>
        <v>0</v>
      </c>
      <c r="E331" s="3">
        <f>ROUND(Table15[[#This Row],[Beginning Balance]]*Table15[[#This Row],[Monthly Interest Rate]],2)</f>
        <v>0</v>
      </c>
      <c r="F331" s="3">
        <f t="shared" si="17"/>
        <v>-43</v>
      </c>
      <c r="G331" s="23">
        <f>IFERROR(IF($C$13="No","N/A",IF(Table15[[#This Row],[Period]]=1,$C$6,PMT(InterestRate*AmortizationMultiplier/12,Table15[[#This Row],[Am Thru]],-Table15[[#This Row],[Beginning Balance]]))),0)</f>
        <v>0</v>
      </c>
      <c r="H331" s="3">
        <f>MAX(0,IF(C331=$C$4,D331,ROUND(IF($C$3="Fixed Principal",$C$6-Table15[[#This Row],[Interest]],IF($C$3="Interest Only",Table15[[#This Row],[Beginning Balance]]*ROUND(1-(1-IF($C$11="No",$E$8,1))^(1/12),6),MIN(IF($C$13="Yes",Table15[[#This Row],[Payment Amount (Reamortized)]],$C$6)-Table15[[#This Row],[Interest]],Table15[[#This Row],[Beginning Balance]]))),2)))</f>
        <v>0</v>
      </c>
      <c r="I331" s="3">
        <f>_xlfn.SINGLE(IF($C$3="Line of Credit",0,ROUND(MAX(MIN(IF($C$10="No",$E$7,VLOOKUP(Table15[[#This Row],[Period]],Forecast!$H$2:$L$1048576,4,FALSE))*Table15[[#This Row],[Beginning Balance]],Table15[[#This Row],[Beginning Balance]]-Table15[[#This Row],[Principal]]),0),2)))</f>
        <v>0</v>
      </c>
      <c r="J331" s="3">
        <f>ROUND(MIN(Table15[[#This Row],[Beginning Balance]]*IF($C$8="No",$E$3,VLOOKUP(Table15[[#This Row],[Period]],Forecast!$H$2:$L$1048576,2,FALSE)),Table15[[#This Row],[Beginning Balance]]-Table15[[#This Row],[Principal]]-Table15[[#This Row],[Prepayments]]),2)</f>
        <v>0</v>
      </c>
      <c r="K331" s="3">
        <f>ROUND(Table15[[#This Row],[Defaulted Principal]]*IF($C$9="No",$E$4,VLOOKUP(Table15[[#This Row],[Period]],Forecast!$H$2:$L$1048576,3,FALSE)),2)</f>
        <v>0</v>
      </c>
      <c r="L331" s="2">
        <f>Table15[[#This Row],[Period]]+$E$9</f>
        <v>327</v>
      </c>
      <c r="M331" s="3">
        <f>Table15[[#This Row],[Defaulted Principal]]-Table15[[#This Row],[Estimated Loss]]</f>
        <v>0</v>
      </c>
      <c r="N331" s="3">
        <f>IFERROR(VLOOKUP(Table15[[#This Row],[Period]],$L$16:$M$385,2,FALSE),0)</f>
        <v>0</v>
      </c>
      <c r="O331" s="3">
        <f>Table15[[#This Row],[Beginning Balance]]-Table15[[#This Row],[Principal]]-Table15[[#This Row],[Prepayments]]-Table15[[#This Row],[Defaulted Principal]]</f>
        <v>0</v>
      </c>
      <c r="P331" s="3">
        <f>Table15[[#This Row],[Principal]]+Table15[[#This Row],[Interest]]+Table15[[#This Row],[Prepayments]]+Table15[[#This Row],[RecoveredAmount]]</f>
        <v>0</v>
      </c>
      <c r="Q331" s="3">
        <f ca="1">ROUND(Table15[[#This Row],[Cash Flow]]/((1+ActualRateToUse)^(IF(ISNUMBER(SEARCH("Actual",$C$7)),Table15[[#This Row],[Running Total]]/365,Table15[[#This Row],[Period]]/12))),2)</f>
        <v>0</v>
      </c>
      <c r="R331" s="2">
        <f>IF(MONTH(Table15[[#This Row],[Date]])=2,28,DAY(DATE(YEAR(Table15[[#This Row],[Date]]),MONTH(Table15[[#This Row],[Date]])+1,1)-1))</f>
        <v>30</v>
      </c>
      <c r="S331" s="2">
        <f ca="1">SUM(OFFSET(Table15[[#Headers],[Days in month]],1,0):Table15[[#This Row],[Days in month]])</f>
        <v>9582</v>
      </c>
      <c r="T331" s="37">
        <f>InterestRate*AmortizationMultiplier*IF(ISNUMBER(SEARCH("Actual",$C$7)),Table15[[#This Row],[Days in month]]/365,1/12)</f>
        <v>5.6258333333333325E-3</v>
      </c>
    </row>
    <row r="332" spans="2:20" x14ac:dyDescent="0.2">
      <c r="B332" s="1">
        <f t="shared" si="18"/>
        <v>55457</v>
      </c>
      <c r="C332" s="2">
        <f t="shared" si="16"/>
        <v>316</v>
      </c>
      <c r="D332" s="3">
        <f t="shared" si="15"/>
        <v>0</v>
      </c>
      <c r="E332" s="3">
        <f>ROUND(Table15[[#This Row],[Beginning Balance]]*Table15[[#This Row],[Monthly Interest Rate]],2)</f>
        <v>0</v>
      </c>
      <c r="F332" s="3">
        <f t="shared" si="17"/>
        <v>-44</v>
      </c>
      <c r="G332" s="23">
        <f>IFERROR(IF($C$13="No","N/A",IF(Table15[[#This Row],[Period]]=1,$C$6,PMT(InterestRate*AmortizationMultiplier/12,Table15[[#This Row],[Am Thru]],-Table15[[#This Row],[Beginning Balance]]))),0)</f>
        <v>0</v>
      </c>
      <c r="H332" s="3">
        <f>MAX(0,IF(C332=$C$4,D332,ROUND(IF($C$3="Fixed Principal",$C$6-Table15[[#This Row],[Interest]],IF($C$3="Interest Only",Table15[[#This Row],[Beginning Balance]]*ROUND(1-(1-IF($C$11="No",$E$8,1))^(1/12),6),MIN(IF($C$13="Yes",Table15[[#This Row],[Payment Amount (Reamortized)]],$C$6)-Table15[[#This Row],[Interest]],Table15[[#This Row],[Beginning Balance]]))),2)))</f>
        <v>0</v>
      </c>
      <c r="I332" s="3">
        <f>_xlfn.SINGLE(IF($C$3="Line of Credit",0,ROUND(MAX(MIN(IF($C$10="No",$E$7,VLOOKUP(Table15[[#This Row],[Period]],Forecast!$H$2:$L$1048576,4,FALSE))*Table15[[#This Row],[Beginning Balance]],Table15[[#This Row],[Beginning Balance]]-Table15[[#This Row],[Principal]]),0),2)))</f>
        <v>0</v>
      </c>
      <c r="J332" s="3">
        <f>ROUND(MIN(Table15[[#This Row],[Beginning Balance]]*IF($C$8="No",$E$3,VLOOKUP(Table15[[#This Row],[Period]],Forecast!$H$2:$L$1048576,2,FALSE)),Table15[[#This Row],[Beginning Balance]]-Table15[[#This Row],[Principal]]-Table15[[#This Row],[Prepayments]]),2)</f>
        <v>0</v>
      </c>
      <c r="K332" s="3">
        <f>ROUND(Table15[[#This Row],[Defaulted Principal]]*IF($C$9="No",$E$4,VLOOKUP(Table15[[#This Row],[Period]],Forecast!$H$2:$L$1048576,3,FALSE)),2)</f>
        <v>0</v>
      </c>
      <c r="L332" s="2">
        <f>Table15[[#This Row],[Period]]+$E$9</f>
        <v>328</v>
      </c>
      <c r="M332" s="3">
        <f>Table15[[#This Row],[Defaulted Principal]]-Table15[[#This Row],[Estimated Loss]]</f>
        <v>0</v>
      </c>
      <c r="N332" s="3">
        <f>IFERROR(VLOOKUP(Table15[[#This Row],[Period]],$L$16:$M$385,2,FALSE),0)</f>
        <v>0</v>
      </c>
      <c r="O332" s="3">
        <f>Table15[[#This Row],[Beginning Balance]]-Table15[[#This Row],[Principal]]-Table15[[#This Row],[Prepayments]]-Table15[[#This Row],[Defaulted Principal]]</f>
        <v>0</v>
      </c>
      <c r="P332" s="3">
        <f>Table15[[#This Row],[Principal]]+Table15[[#This Row],[Interest]]+Table15[[#This Row],[Prepayments]]+Table15[[#This Row],[RecoveredAmount]]</f>
        <v>0</v>
      </c>
      <c r="Q332" s="3">
        <f ca="1">ROUND(Table15[[#This Row],[Cash Flow]]/((1+ActualRateToUse)^(IF(ISNUMBER(SEARCH("Actual",$C$7)),Table15[[#This Row],[Running Total]]/365,Table15[[#This Row],[Period]]/12))),2)</f>
        <v>0</v>
      </c>
      <c r="R332" s="2">
        <f>IF(MONTH(Table15[[#This Row],[Date]])=2,28,DAY(DATE(YEAR(Table15[[#This Row],[Date]]),MONTH(Table15[[#This Row],[Date]])+1,1)-1))</f>
        <v>31</v>
      </c>
      <c r="S332" s="2">
        <f ca="1">SUM(OFFSET(Table15[[#Headers],[Days in month]],1,0):Table15[[#This Row],[Days in month]])</f>
        <v>9613</v>
      </c>
      <c r="T332" s="37">
        <f>InterestRate*AmortizationMultiplier*IF(ISNUMBER(SEARCH("Actual",$C$7)),Table15[[#This Row],[Days in month]]/365,1/12)</f>
        <v>5.8133611111111103E-3</v>
      </c>
    </row>
    <row r="333" spans="2:20" x14ac:dyDescent="0.2">
      <c r="B333" s="1">
        <f t="shared" si="18"/>
        <v>55487</v>
      </c>
      <c r="C333" s="2">
        <f t="shared" si="16"/>
        <v>317</v>
      </c>
      <c r="D333" s="3">
        <f t="shared" si="15"/>
        <v>0</v>
      </c>
      <c r="E333" s="3">
        <f>ROUND(Table15[[#This Row],[Beginning Balance]]*Table15[[#This Row],[Monthly Interest Rate]],2)</f>
        <v>0</v>
      </c>
      <c r="F333" s="3">
        <f t="shared" si="17"/>
        <v>-45</v>
      </c>
      <c r="G333" s="23">
        <f>IFERROR(IF($C$13="No","N/A",IF(Table15[[#This Row],[Period]]=1,$C$6,PMT(InterestRate*AmortizationMultiplier/12,Table15[[#This Row],[Am Thru]],-Table15[[#This Row],[Beginning Balance]]))),0)</f>
        <v>0</v>
      </c>
      <c r="H333" s="3">
        <f>MAX(0,IF(C333=$C$4,D333,ROUND(IF($C$3="Fixed Principal",$C$6-Table15[[#This Row],[Interest]],IF($C$3="Interest Only",Table15[[#This Row],[Beginning Balance]]*ROUND(1-(1-IF($C$11="No",$E$8,1))^(1/12),6),MIN(IF($C$13="Yes",Table15[[#This Row],[Payment Amount (Reamortized)]],$C$6)-Table15[[#This Row],[Interest]],Table15[[#This Row],[Beginning Balance]]))),2)))</f>
        <v>0</v>
      </c>
      <c r="I333" s="3">
        <f>_xlfn.SINGLE(IF($C$3="Line of Credit",0,ROUND(MAX(MIN(IF($C$10="No",$E$7,VLOOKUP(Table15[[#This Row],[Period]],Forecast!$H$2:$L$1048576,4,FALSE))*Table15[[#This Row],[Beginning Balance]],Table15[[#This Row],[Beginning Balance]]-Table15[[#This Row],[Principal]]),0),2)))</f>
        <v>0</v>
      </c>
      <c r="J333" s="3">
        <f>ROUND(MIN(Table15[[#This Row],[Beginning Balance]]*IF($C$8="No",$E$3,VLOOKUP(Table15[[#This Row],[Period]],Forecast!$H$2:$L$1048576,2,FALSE)),Table15[[#This Row],[Beginning Balance]]-Table15[[#This Row],[Principal]]-Table15[[#This Row],[Prepayments]]),2)</f>
        <v>0</v>
      </c>
      <c r="K333" s="3">
        <f>ROUND(Table15[[#This Row],[Defaulted Principal]]*IF($C$9="No",$E$4,VLOOKUP(Table15[[#This Row],[Period]],Forecast!$H$2:$L$1048576,3,FALSE)),2)</f>
        <v>0</v>
      </c>
      <c r="L333" s="2">
        <f>Table15[[#This Row],[Period]]+$E$9</f>
        <v>329</v>
      </c>
      <c r="M333" s="3">
        <f>Table15[[#This Row],[Defaulted Principal]]-Table15[[#This Row],[Estimated Loss]]</f>
        <v>0</v>
      </c>
      <c r="N333" s="3">
        <f>IFERROR(VLOOKUP(Table15[[#This Row],[Period]],$L$16:$M$385,2,FALSE),0)</f>
        <v>0</v>
      </c>
      <c r="O333" s="3">
        <f>Table15[[#This Row],[Beginning Balance]]-Table15[[#This Row],[Principal]]-Table15[[#This Row],[Prepayments]]-Table15[[#This Row],[Defaulted Principal]]</f>
        <v>0</v>
      </c>
      <c r="P333" s="3">
        <f>Table15[[#This Row],[Principal]]+Table15[[#This Row],[Interest]]+Table15[[#This Row],[Prepayments]]+Table15[[#This Row],[RecoveredAmount]]</f>
        <v>0</v>
      </c>
      <c r="Q333" s="3">
        <f ca="1">ROUND(Table15[[#This Row],[Cash Flow]]/((1+ActualRateToUse)^(IF(ISNUMBER(SEARCH("Actual",$C$7)),Table15[[#This Row],[Running Total]]/365,Table15[[#This Row],[Period]]/12))),2)</f>
        <v>0</v>
      </c>
      <c r="R333" s="2">
        <f>IF(MONTH(Table15[[#This Row],[Date]])=2,28,DAY(DATE(YEAR(Table15[[#This Row],[Date]]),MONTH(Table15[[#This Row],[Date]])+1,1)-1))</f>
        <v>30</v>
      </c>
      <c r="S333" s="2">
        <f ca="1">SUM(OFFSET(Table15[[#Headers],[Days in month]],1,0):Table15[[#This Row],[Days in month]])</f>
        <v>9643</v>
      </c>
      <c r="T333" s="37">
        <f>InterestRate*AmortizationMultiplier*IF(ISNUMBER(SEARCH("Actual",$C$7)),Table15[[#This Row],[Days in month]]/365,1/12)</f>
        <v>5.6258333333333325E-3</v>
      </c>
    </row>
    <row r="334" spans="2:20" x14ac:dyDescent="0.2">
      <c r="B334" s="1">
        <f t="shared" si="18"/>
        <v>55518</v>
      </c>
      <c r="C334" s="2">
        <f t="shared" si="16"/>
        <v>318</v>
      </c>
      <c r="D334" s="3">
        <f t="shared" si="15"/>
        <v>0</v>
      </c>
      <c r="E334" s="3">
        <f>ROUND(Table15[[#This Row],[Beginning Balance]]*Table15[[#This Row],[Monthly Interest Rate]],2)</f>
        <v>0</v>
      </c>
      <c r="F334" s="3">
        <f t="shared" si="17"/>
        <v>-46</v>
      </c>
      <c r="G334" s="23">
        <f>IFERROR(IF($C$13="No","N/A",IF(Table15[[#This Row],[Period]]=1,$C$6,PMT(InterestRate*AmortizationMultiplier/12,Table15[[#This Row],[Am Thru]],-Table15[[#This Row],[Beginning Balance]]))),0)</f>
        <v>0</v>
      </c>
      <c r="H334" s="3">
        <f>MAX(0,IF(C334=$C$4,D334,ROUND(IF($C$3="Fixed Principal",$C$6-Table15[[#This Row],[Interest]],IF($C$3="Interest Only",Table15[[#This Row],[Beginning Balance]]*ROUND(1-(1-IF($C$11="No",$E$8,1))^(1/12),6),MIN(IF($C$13="Yes",Table15[[#This Row],[Payment Amount (Reamortized)]],$C$6)-Table15[[#This Row],[Interest]],Table15[[#This Row],[Beginning Balance]]))),2)))</f>
        <v>0</v>
      </c>
      <c r="I334" s="3">
        <f>_xlfn.SINGLE(IF($C$3="Line of Credit",0,ROUND(MAX(MIN(IF($C$10="No",$E$7,VLOOKUP(Table15[[#This Row],[Period]],Forecast!$H$2:$L$1048576,4,FALSE))*Table15[[#This Row],[Beginning Balance]],Table15[[#This Row],[Beginning Balance]]-Table15[[#This Row],[Principal]]),0),2)))</f>
        <v>0</v>
      </c>
      <c r="J334" s="3">
        <f>ROUND(MIN(Table15[[#This Row],[Beginning Balance]]*IF($C$8="No",$E$3,VLOOKUP(Table15[[#This Row],[Period]],Forecast!$H$2:$L$1048576,2,FALSE)),Table15[[#This Row],[Beginning Balance]]-Table15[[#This Row],[Principal]]-Table15[[#This Row],[Prepayments]]),2)</f>
        <v>0</v>
      </c>
      <c r="K334" s="3">
        <f>ROUND(Table15[[#This Row],[Defaulted Principal]]*IF($C$9="No",$E$4,VLOOKUP(Table15[[#This Row],[Period]],Forecast!$H$2:$L$1048576,3,FALSE)),2)</f>
        <v>0</v>
      </c>
      <c r="L334" s="2">
        <f>Table15[[#This Row],[Period]]+$E$9</f>
        <v>330</v>
      </c>
      <c r="M334" s="3">
        <f>Table15[[#This Row],[Defaulted Principal]]-Table15[[#This Row],[Estimated Loss]]</f>
        <v>0</v>
      </c>
      <c r="N334" s="3">
        <f>IFERROR(VLOOKUP(Table15[[#This Row],[Period]],$L$16:$M$385,2,FALSE),0)</f>
        <v>0</v>
      </c>
      <c r="O334" s="3">
        <f>Table15[[#This Row],[Beginning Balance]]-Table15[[#This Row],[Principal]]-Table15[[#This Row],[Prepayments]]-Table15[[#This Row],[Defaulted Principal]]</f>
        <v>0</v>
      </c>
      <c r="P334" s="3">
        <f>Table15[[#This Row],[Principal]]+Table15[[#This Row],[Interest]]+Table15[[#This Row],[Prepayments]]+Table15[[#This Row],[RecoveredAmount]]</f>
        <v>0</v>
      </c>
      <c r="Q334" s="3">
        <f ca="1">ROUND(Table15[[#This Row],[Cash Flow]]/((1+ActualRateToUse)^(IF(ISNUMBER(SEARCH("Actual",$C$7)),Table15[[#This Row],[Running Total]]/365,Table15[[#This Row],[Period]]/12))),2)</f>
        <v>0</v>
      </c>
      <c r="R334" s="2">
        <f>IF(MONTH(Table15[[#This Row],[Date]])=2,28,DAY(DATE(YEAR(Table15[[#This Row],[Date]]),MONTH(Table15[[#This Row],[Date]])+1,1)-1))</f>
        <v>31</v>
      </c>
      <c r="S334" s="2">
        <f ca="1">SUM(OFFSET(Table15[[#Headers],[Days in month]],1,0):Table15[[#This Row],[Days in month]])</f>
        <v>9674</v>
      </c>
      <c r="T334" s="37">
        <f>InterestRate*AmortizationMultiplier*IF(ISNUMBER(SEARCH("Actual",$C$7)),Table15[[#This Row],[Days in month]]/365,1/12)</f>
        <v>5.8133611111111103E-3</v>
      </c>
    </row>
    <row r="335" spans="2:20" x14ac:dyDescent="0.2">
      <c r="B335" s="1">
        <f t="shared" si="18"/>
        <v>55549</v>
      </c>
      <c r="C335" s="2">
        <f t="shared" si="16"/>
        <v>319</v>
      </c>
      <c r="D335" s="3">
        <f t="shared" si="15"/>
        <v>0</v>
      </c>
      <c r="E335" s="3">
        <f>ROUND(Table15[[#This Row],[Beginning Balance]]*Table15[[#This Row],[Monthly Interest Rate]],2)</f>
        <v>0</v>
      </c>
      <c r="F335" s="3">
        <f t="shared" si="17"/>
        <v>-47</v>
      </c>
      <c r="G335" s="23">
        <f>IFERROR(IF($C$13="No","N/A",IF(Table15[[#This Row],[Period]]=1,$C$6,PMT(InterestRate*AmortizationMultiplier/12,Table15[[#This Row],[Am Thru]],-Table15[[#This Row],[Beginning Balance]]))),0)</f>
        <v>0</v>
      </c>
      <c r="H335" s="3">
        <f>MAX(0,IF(C335=$C$4,D335,ROUND(IF($C$3="Fixed Principal",$C$6-Table15[[#This Row],[Interest]],IF($C$3="Interest Only",Table15[[#This Row],[Beginning Balance]]*ROUND(1-(1-IF($C$11="No",$E$8,1))^(1/12),6),MIN(IF($C$13="Yes",Table15[[#This Row],[Payment Amount (Reamortized)]],$C$6)-Table15[[#This Row],[Interest]],Table15[[#This Row],[Beginning Balance]]))),2)))</f>
        <v>0</v>
      </c>
      <c r="I335" s="3">
        <f>_xlfn.SINGLE(IF($C$3="Line of Credit",0,ROUND(MAX(MIN(IF($C$10="No",$E$7,VLOOKUP(Table15[[#This Row],[Period]],Forecast!$H$2:$L$1048576,4,FALSE))*Table15[[#This Row],[Beginning Balance]],Table15[[#This Row],[Beginning Balance]]-Table15[[#This Row],[Principal]]),0),2)))</f>
        <v>0</v>
      </c>
      <c r="J335" s="3">
        <f>ROUND(MIN(Table15[[#This Row],[Beginning Balance]]*IF($C$8="No",$E$3,VLOOKUP(Table15[[#This Row],[Period]],Forecast!$H$2:$L$1048576,2,FALSE)),Table15[[#This Row],[Beginning Balance]]-Table15[[#This Row],[Principal]]-Table15[[#This Row],[Prepayments]]),2)</f>
        <v>0</v>
      </c>
      <c r="K335" s="3">
        <f>ROUND(Table15[[#This Row],[Defaulted Principal]]*IF($C$9="No",$E$4,VLOOKUP(Table15[[#This Row],[Period]],Forecast!$H$2:$L$1048576,3,FALSE)),2)</f>
        <v>0</v>
      </c>
      <c r="L335" s="2">
        <f>Table15[[#This Row],[Period]]+$E$9</f>
        <v>331</v>
      </c>
      <c r="M335" s="3">
        <f>Table15[[#This Row],[Defaulted Principal]]-Table15[[#This Row],[Estimated Loss]]</f>
        <v>0</v>
      </c>
      <c r="N335" s="3">
        <f>IFERROR(VLOOKUP(Table15[[#This Row],[Period]],$L$16:$M$385,2,FALSE),0)</f>
        <v>0</v>
      </c>
      <c r="O335" s="3">
        <f>Table15[[#This Row],[Beginning Balance]]-Table15[[#This Row],[Principal]]-Table15[[#This Row],[Prepayments]]-Table15[[#This Row],[Defaulted Principal]]</f>
        <v>0</v>
      </c>
      <c r="P335" s="3">
        <f>Table15[[#This Row],[Principal]]+Table15[[#This Row],[Interest]]+Table15[[#This Row],[Prepayments]]+Table15[[#This Row],[RecoveredAmount]]</f>
        <v>0</v>
      </c>
      <c r="Q335" s="3">
        <f ca="1">ROUND(Table15[[#This Row],[Cash Flow]]/((1+ActualRateToUse)^(IF(ISNUMBER(SEARCH("Actual",$C$7)),Table15[[#This Row],[Running Total]]/365,Table15[[#This Row],[Period]]/12))),2)</f>
        <v>0</v>
      </c>
      <c r="R335" s="2">
        <f>IF(MONTH(Table15[[#This Row],[Date]])=2,28,DAY(DATE(YEAR(Table15[[#This Row],[Date]]),MONTH(Table15[[#This Row],[Date]])+1,1)-1))</f>
        <v>31</v>
      </c>
      <c r="S335" s="2">
        <f ca="1">SUM(OFFSET(Table15[[#Headers],[Days in month]],1,0):Table15[[#This Row],[Days in month]])</f>
        <v>9705</v>
      </c>
      <c r="T335" s="37">
        <f>InterestRate*AmortizationMultiplier*IF(ISNUMBER(SEARCH("Actual",$C$7)),Table15[[#This Row],[Days in month]]/365,1/12)</f>
        <v>5.8133611111111103E-3</v>
      </c>
    </row>
    <row r="336" spans="2:20" x14ac:dyDescent="0.2">
      <c r="B336" s="1">
        <f t="shared" si="18"/>
        <v>55578</v>
      </c>
      <c r="C336" s="2">
        <f t="shared" si="16"/>
        <v>320</v>
      </c>
      <c r="D336" s="3">
        <f t="shared" si="15"/>
        <v>0</v>
      </c>
      <c r="E336" s="3">
        <f>ROUND(Table15[[#This Row],[Beginning Balance]]*Table15[[#This Row],[Monthly Interest Rate]],2)</f>
        <v>0</v>
      </c>
      <c r="F336" s="3">
        <f t="shared" si="17"/>
        <v>-48</v>
      </c>
      <c r="G336" s="23">
        <f>IFERROR(IF($C$13="No","N/A",IF(Table15[[#This Row],[Period]]=1,$C$6,PMT(InterestRate*AmortizationMultiplier/12,Table15[[#This Row],[Am Thru]],-Table15[[#This Row],[Beginning Balance]]))),0)</f>
        <v>0</v>
      </c>
      <c r="H336" s="3">
        <f>MAX(0,IF(C336=$C$4,D336,ROUND(IF($C$3="Fixed Principal",$C$6-Table15[[#This Row],[Interest]],IF($C$3="Interest Only",Table15[[#This Row],[Beginning Balance]]*ROUND(1-(1-IF($C$11="No",$E$8,1))^(1/12),6),MIN(IF($C$13="Yes",Table15[[#This Row],[Payment Amount (Reamortized)]],$C$6)-Table15[[#This Row],[Interest]],Table15[[#This Row],[Beginning Balance]]))),2)))</f>
        <v>0</v>
      </c>
      <c r="I336" s="3">
        <f>_xlfn.SINGLE(IF($C$3="Line of Credit",0,ROUND(MAX(MIN(IF($C$10="No",$E$7,VLOOKUP(Table15[[#This Row],[Period]],Forecast!$H$2:$L$1048576,4,FALSE))*Table15[[#This Row],[Beginning Balance]],Table15[[#This Row],[Beginning Balance]]-Table15[[#This Row],[Principal]]),0),2)))</f>
        <v>0</v>
      </c>
      <c r="J336" s="3">
        <f>ROUND(MIN(Table15[[#This Row],[Beginning Balance]]*IF($C$8="No",$E$3,VLOOKUP(Table15[[#This Row],[Period]],Forecast!$H$2:$L$1048576,2,FALSE)),Table15[[#This Row],[Beginning Balance]]-Table15[[#This Row],[Principal]]-Table15[[#This Row],[Prepayments]]),2)</f>
        <v>0</v>
      </c>
      <c r="K336" s="3">
        <f>ROUND(Table15[[#This Row],[Defaulted Principal]]*IF($C$9="No",$E$4,VLOOKUP(Table15[[#This Row],[Period]],Forecast!$H$2:$L$1048576,3,FALSE)),2)</f>
        <v>0</v>
      </c>
      <c r="L336" s="2">
        <f>Table15[[#This Row],[Period]]+$E$9</f>
        <v>332</v>
      </c>
      <c r="M336" s="3">
        <f>Table15[[#This Row],[Defaulted Principal]]-Table15[[#This Row],[Estimated Loss]]</f>
        <v>0</v>
      </c>
      <c r="N336" s="3">
        <f>IFERROR(VLOOKUP(Table15[[#This Row],[Period]],$L$16:$M$385,2,FALSE),0)</f>
        <v>0</v>
      </c>
      <c r="O336" s="3">
        <f>Table15[[#This Row],[Beginning Balance]]-Table15[[#This Row],[Principal]]-Table15[[#This Row],[Prepayments]]-Table15[[#This Row],[Defaulted Principal]]</f>
        <v>0</v>
      </c>
      <c r="P336" s="3">
        <f>Table15[[#This Row],[Principal]]+Table15[[#This Row],[Interest]]+Table15[[#This Row],[Prepayments]]+Table15[[#This Row],[RecoveredAmount]]</f>
        <v>0</v>
      </c>
      <c r="Q336" s="3">
        <f ca="1">ROUND(Table15[[#This Row],[Cash Flow]]/((1+ActualRateToUse)^(IF(ISNUMBER(SEARCH("Actual",$C$7)),Table15[[#This Row],[Running Total]]/365,Table15[[#This Row],[Period]]/12))),2)</f>
        <v>0</v>
      </c>
      <c r="R336" s="2">
        <f>IF(MONTH(Table15[[#This Row],[Date]])=2,28,DAY(DATE(YEAR(Table15[[#This Row],[Date]]),MONTH(Table15[[#This Row],[Date]])+1,1)-1))</f>
        <v>28</v>
      </c>
      <c r="S336" s="2">
        <f ca="1">SUM(OFFSET(Table15[[#Headers],[Days in month]],1,0):Table15[[#This Row],[Days in month]])</f>
        <v>9733</v>
      </c>
      <c r="T336" s="37">
        <f>InterestRate*AmortizationMultiplier*IF(ISNUMBER(SEARCH("Actual",$C$7)),Table15[[#This Row],[Days in month]]/365,1/12)</f>
        <v>5.2507777777777778E-3</v>
      </c>
    </row>
    <row r="337" spans="2:20" x14ac:dyDescent="0.2">
      <c r="B337" s="1">
        <f t="shared" si="18"/>
        <v>55609</v>
      </c>
      <c r="C337" s="2">
        <f t="shared" si="16"/>
        <v>321</v>
      </c>
      <c r="D337" s="3">
        <f t="shared" si="15"/>
        <v>0</v>
      </c>
      <c r="E337" s="3">
        <f>ROUND(Table15[[#This Row],[Beginning Balance]]*Table15[[#This Row],[Monthly Interest Rate]],2)</f>
        <v>0</v>
      </c>
      <c r="F337" s="3">
        <f t="shared" si="17"/>
        <v>-49</v>
      </c>
      <c r="G337" s="23">
        <f>IFERROR(IF($C$13="No","N/A",IF(Table15[[#This Row],[Period]]=1,$C$6,PMT(InterestRate*AmortizationMultiplier/12,Table15[[#This Row],[Am Thru]],-Table15[[#This Row],[Beginning Balance]]))),0)</f>
        <v>0</v>
      </c>
      <c r="H337" s="3">
        <f>MAX(0,IF(C337=$C$4,D337,ROUND(IF($C$3="Fixed Principal",$C$6-Table15[[#This Row],[Interest]],IF($C$3="Interest Only",Table15[[#This Row],[Beginning Balance]]*ROUND(1-(1-IF($C$11="No",$E$8,1))^(1/12),6),MIN(IF($C$13="Yes",Table15[[#This Row],[Payment Amount (Reamortized)]],$C$6)-Table15[[#This Row],[Interest]],Table15[[#This Row],[Beginning Balance]]))),2)))</f>
        <v>0</v>
      </c>
      <c r="I337" s="3">
        <f>_xlfn.SINGLE(IF($C$3="Line of Credit",0,ROUND(MAX(MIN(IF($C$10="No",$E$7,VLOOKUP(Table15[[#This Row],[Period]],Forecast!$H$2:$L$1048576,4,FALSE))*Table15[[#This Row],[Beginning Balance]],Table15[[#This Row],[Beginning Balance]]-Table15[[#This Row],[Principal]]),0),2)))</f>
        <v>0</v>
      </c>
      <c r="J337" s="3">
        <f>ROUND(MIN(Table15[[#This Row],[Beginning Balance]]*IF($C$8="No",$E$3,VLOOKUP(Table15[[#This Row],[Period]],Forecast!$H$2:$L$1048576,2,FALSE)),Table15[[#This Row],[Beginning Balance]]-Table15[[#This Row],[Principal]]-Table15[[#This Row],[Prepayments]]),2)</f>
        <v>0</v>
      </c>
      <c r="K337" s="3">
        <f>ROUND(Table15[[#This Row],[Defaulted Principal]]*IF($C$9="No",$E$4,VLOOKUP(Table15[[#This Row],[Period]],Forecast!$H$2:$L$1048576,3,FALSE)),2)</f>
        <v>0</v>
      </c>
      <c r="L337" s="2">
        <f>Table15[[#This Row],[Period]]+$E$9</f>
        <v>333</v>
      </c>
      <c r="M337" s="3">
        <f>Table15[[#This Row],[Defaulted Principal]]-Table15[[#This Row],[Estimated Loss]]</f>
        <v>0</v>
      </c>
      <c r="N337" s="3">
        <f>IFERROR(VLOOKUP(Table15[[#This Row],[Period]],$L$16:$M$385,2,FALSE),0)</f>
        <v>0</v>
      </c>
      <c r="O337" s="3">
        <f>Table15[[#This Row],[Beginning Balance]]-Table15[[#This Row],[Principal]]-Table15[[#This Row],[Prepayments]]-Table15[[#This Row],[Defaulted Principal]]</f>
        <v>0</v>
      </c>
      <c r="P337" s="3">
        <f>Table15[[#This Row],[Principal]]+Table15[[#This Row],[Interest]]+Table15[[#This Row],[Prepayments]]+Table15[[#This Row],[RecoveredAmount]]</f>
        <v>0</v>
      </c>
      <c r="Q337" s="3">
        <f ca="1">ROUND(Table15[[#This Row],[Cash Flow]]/((1+ActualRateToUse)^(IF(ISNUMBER(SEARCH("Actual",$C$7)),Table15[[#This Row],[Running Total]]/365,Table15[[#This Row],[Period]]/12))),2)</f>
        <v>0</v>
      </c>
      <c r="R337" s="2">
        <f>IF(MONTH(Table15[[#This Row],[Date]])=2,28,DAY(DATE(YEAR(Table15[[#This Row],[Date]]),MONTH(Table15[[#This Row],[Date]])+1,1)-1))</f>
        <v>31</v>
      </c>
      <c r="S337" s="2">
        <f ca="1">SUM(OFFSET(Table15[[#Headers],[Days in month]],1,0):Table15[[#This Row],[Days in month]])</f>
        <v>9764</v>
      </c>
      <c r="T337" s="37">
        <f>InterestRate*AmortizationMultiplier*IF(ISNUMBER(SEARCH("Actual",$C$7)),Table15[[#This Row],[Days in month]]/365,1/12)</f>
        <v>5.8133611111111103E-3</v>
      </c>
    </row>
    <row r="338" spans="2:20" x14ac:dyDescent="0.2">
      <c r="B338" s="1">
        <f t="shared" si="18"/>
        <v>55639</v>
      </c>
      <c r="C338" s="2">
        <f t="shared" si="16"/>
        <v>322</v>
      </c>
      <c r="D338" s="3">
        <f t="shared" ref="D338:D385" si="19">O337</f>
        <v>0</v>
      </c>
      <c r="E338" s="3">
        <f>ROUND(Table15[[#This Row],[Beginning Balance]]*Table15[[#This Row],[Monthly Interest Rate]],2)</f>
        <v>0</v>
      </c>
      <c r="F338" s="3">
        <f t="shared" si="17"/>
        <v>-50</v>
      </c>
      <c r="G338" s="23">
        <f>IFERROR(IF($C$13="No","N/A",IF(Table15[[#This Row],[Period]]=1,$C$6,PMT(InterestRate*AmortizationMultiplier/12,Table15[[#This Row],[Am Thru]],-Table15[[#This Row],[Beginning Balance]]))),0)</f>
        <v>0</v>
      </c>
      <c r="H338" s="3">
        <f>MAX(0,IF(C338=$C$4,D338,ROUND(IF($C$3="Fixed Principal",$C$6-Table15[[#This Row],[Interest]],IF($C$3="Interest Only",Table15[[#This Row],[Beginning Balance]]*ROUND(1-(1-IF($C$11="No",$E$8,1))^(1/12),6),MIN(IF($C$13="Yes",Table15[[#This Row],[Payment Amount (Reamortized)]],$C$6)-Table15[[#This Row],[Interest]],Table15[[#This Row],[Beginning Balance]]))),2)))</f>
        <v>0</v>
      </c>
      <c r="I338" s="3">
        <f>_xlfn.SINGLE(IF($C$3="Line of Credit",0,ROUND(MAX(MIN(IF($C$10="No",$E$7,VLOOKUP(Table15[[#This Row],[Period]],Forecast!$H$2:$L$1048576,4,FALSE))*Table15[[#This Row],[Beginning Balance]],Table15[[#This Row],[Beginning Balance]]-Table15[[#This Row],[Principal]]),0),2)))</f>
        <v>0</v>
      </c>
      <c r="J338" s="3">
        <f>ROUND(MIN(Table15[[#This Row],[Beginning Balance]]*IF($C$8="No",$E$3,VLOOKUP(Table15[[#This Row],[Period]],Forecast!$H$2:$L$1048576,2,FALSE)),Table15[[#This Row],[Beginning Balance]]-Table15[[#This Row],[Principal]]-Table15[[#This Row],[Prepayments]]),2)</f>
        <v>0</v>
      </c>
      <c r="K338" s="3">
        <f>ROUND(Table15[[#This Row],[Defaulted Principal]]*IF($C$9="No",$E$4,VLOOKUP(Table15[[#This Row],[Period]],Forecast!$H$2:$L$1048576,3,FALSE)),2)</f>
        <v>0</v>
      </c>
      <c r="L338" s="2">
        <f>Table15[[#This Row],[Period]]+$E$9</f>
        <v>334</v>
      </c>
      <c r="M338" s="3">
        <f>Table15[[#This Row],[Defaulted Principal]]-Table15[[#This Row],[Estimated Loss]]</f>
        <v>0</v>
      </c>
      <c r="N338" s="3">
        <f>IFERROR(VLOOKUP(Table15[[#This Row],[Period]],$L$16:$M$385,2,FALSE),0)</f>
        <v>0</v>
      </c>
      <c r="O338" s="3">
        <f>Table15[[#This Row],[Beginning Balance]]-Table15[[#This Row],[Principal]]-Table15[[#This Row],[Prepayments]]-Table15[[#This Row],[Defaulted Principal]]</f>
        <v>0</v>
      </c>
      <c r="P338" s="3">
        <f>Table15[[#This Row],[Principal]]+Table15[[#This Row],[Interest]]+Table15[[#This Row],[Prepayments]]+Table15[[#This Row],[RecoveredAmount]]</f>
        <v>0</v>
      </c>
      <c r="Q338" s="3">
        <f ca="1">ROUND(Table15[[#This Row],[Cash Flow]]/((1+ActualRateToUse)^(IF(ISNUMBER(SEARCH("Actual",$C$7)),Table15[[#This Row],[Running Total]]/365,Table15[[#This Row],[Period]]/12))),2)</f>
        <v>0</v>
      </c>
      <c r="R338" s="2">
        <f>IF(MONTH(Table15[[#This Row],[Date]])=2,28,DAY(DATE(YEAR(Table15[[#This Row],[Date]]),MONTH(Table15[[#This Row],[Date]])+1,1)-1))</f>
        <v>30</v>
      </c>
      <c r="S338" s="2">
        <f ca="1">SUM(OFFSET(Table15[[#Headers],[Days in month]],1,0):Table15[[#This Row],[Days in month]])</f>
        <v>9794</v>
      </c>
      <c r="T338" s="37">
        <f>InterestRate*AmortizationMultiplier*IF(ISNUMBER(SEARCH("Actual",$C$7)),Table15[[#This Row],[Days in month]]/365,1/12)</f>
        <v>5.6258333333333325E-3</v>
      </c>
    </row>
    <row r="339" spans="2:20" x14ac:dyDescent="0.2">
      <c r="B339" s="1">
        <f t="shared" si="18"/>
        <v>55670</v>
      </c>
      <c r="C339" s="2">
        <f t="shared" ref="C339:C385" si="20">C338+1</f>
        <v>323</v>
      </c>
      <c r="D339" s="3">
        <f t="shared" si="19"/>
        <v>0</v>
      </c>
      <c r="E339" s="3">
        <f>ROUND(Table15[[#This Row],[Beginning Balance]]*Table15[[#This Row],[Monthly Interest Rate]],2)</f>
        <v>0</v>
      </c>
      <c r="F339" s="3">
        <f t="shared" ref="F339:F385" si="21">+F338-1</f>
        <v>-51</v>
      </c>
      <c r="G339" s="23">
        <f>IFERROR(IF($C$13="No","N/A",IF(Table15[[#This Row],[Period]]=1,$C$6,PMT(InterestRate*AmortizationMultiplier/12,Table15[[#This Row],[Am Thru]],-Table15[[#This Row],[Beginning Balance]]))),0)</f>
        <v>0</v>
      </c>
      <c r="H339" s="3">
        <f>MAX(0,IF(C339=$C$4,D339,ROUND(IF($C$3="Fixed Principal",$C$6-Table15[[#This Row],[Interest]],IF($C$3="Interest Only",Table15[[#This Row],[Beginning Balance]]*ROUND(1-(1-IF($C$11="No",$E$8,1))^(1/12),6),MIN(IF($C$13="Yes",Table15[[#This Row],[Payment Amount (Reamortized)]],$C$6)-Table15[[#This Row],[Interest]],Table15[[#This Row],[Beginning Balance]]))),2)))</f>
        <v>0</v>
      </c>
      <c r="I339" s="3">
        <f>_xlfn.SINGLE(IF($C$3="Line of Credit",0,ROUND(MAX(MIN(IF($C$10="No",$E$7,VLOOKUP(Table15[[#This Row],[Period]],Forecast!$H$2:$L$1048576,4,FALSE))*Table15[[#This Row],[Beginning Balance]],Table15[[#This Row],[Beginning Balance]]-Table15[[#This Row],[Principal]]),0),2)))</f>
        <v>0</v>
      </c>
      <c r="J339" s="3">
        <f>ROUND(MIN(Table15[[#This Row],[Beginning Balance]]*IF($C$8="No",$E$3,VLOOKUP(Table15[[#This Row],[Period]],Forecast!$H$2:$L$1048576,2,FALSE)),Table15[[#This Row],[Beginning Balance]]-Table15[[#This Row],[Principal]]-Table15[[#This Row],[Prepayments]]),2)</f>
        <v>0</v>
      </c>
      <c r="K339" s="3">
        <f>ROUND(Table15[[#This Row],[Defaulted Principal]]*IF($C$9="No",$E$4,VLOOKUP(Table15[[#This Row],[Period]],Forecast!$H$2:$L$1048576,3,FALSE)),2)</f>
        <v>0</v>
      </c>
      <c r="L339" s="2">
        <f>Table15[[#This Row],[Period]]+$E$9</f>
        <v>335</v>
      </c>
      <c r="M339" s="3">
        <f>Table15[[#This Row],[Defaulted Principal]]-Table15[[#This Row],[Estimated Loss]]</f>
        <v>0</v>
      </c>
      <c r="N339" s="3">
        <f>IFERROR(VLOOKUP(Table15[[#This Row],[Period]],$L$16:$M$385,2,FALSE),0)</f>
        <v>0</v>
      </c>
      <c r="O339" s="3">
        <f>Table15[[#This Row],[Beginning Balance]]-Table15[[#This Row],[Principal]]-Table15[[#This Row],[Prepayments]]-Table15[[#This Row],[Defaulted Principal]]</f>
        <v>0</v>
      </c>
      <c r="P339" s="3">
        <f>Table15[[#This Row],[Principal]]+Table15[[#This Row],[Interest]]+Table15[[#This Row],[Prepayments]]+Table15[[#This Row],[RecoveredAmount]]</f>
        <v>0</v>
      </c>
      <c r="Q339" s="3">
        <f ca="1">ROUND(Table15[[#This Row],[Cash Flow]]/((1+ActualRateToUse)^(IF(ISNUMBER(SEARCH("Actual",$C$7)),Table15[[#This Row],[Running Total]]/365,Table15[[#This Row],[Period]]/12))),2)</f>
        <v>0</v>
      </c>
      <c r="R339" s="2">
        <f>IF(MONTH(Table15[[#This Row],[Date]])=2,28,DAY(DATE(YEAR(Table15[[#This Row],[Date]]),MONTH(Table15[[#This Row],[Date]])+1,1)-1))</f>
        <v>31</v>
      </c>
      <c r="S339" s="2">
        <f ca="1">SUM(OFFSET(Table15[[#Headers],[Days in month]],1,0):Table15[[#This Row],[Days in month]])</f>
        <v>9825</v>
      </c>
      <c r="T339" s="37">
        <f>InterestRate*AmortizationMultiplier*IF(ISNUMBER(SEARCH("Actual",$C$7)),Table15[[#This Row],[Days in month]]/365,1/12)</f>
        <v>5.8133611111111103E-3</v>
      </c>
    </row>
    <row r="340" spans="2:20" x14ac:dyDescent="0.2">
      <c r="B340" s="1">
        <f t="shared" si="18"/>
        <v>55700</v>
      </c>
      <c r="C340" s="2">
        <f t="shared" si="20"/>
        <v>324</v>
      </c>
      <c r="D340" s="3">
        <f t="shared" si="19"/>
        <v>0</v>
      </c>
      <c r="E340" s="3">
        <f>ROUND(Table15[[#This Row],[Beginning Balance]]*Table15[[#This Row],[Monthly Interest Rate]],2)</f>
        <v>0</v>
      </c>
      <c r="F340" s="3">
        <f t="shared" si="21"/>
        <v>-52</v>
      </c>
      <c r="G340" s="23">
        <f>IFERROR(IF($C$13="No","N/A",IF(Table15[[#This Row],[Period]]=1,$C$6,PMT(InterestRate*AmortizationMultiplier/12,Table15[[#This Row],[Am Thru]],-Table15[[#This Row],[Beginning Balance]]))),0)</f>
        <v>0</v>
      </c>
      <c r="H340" s="3">
        <f>MAX(0,IF(C340=$C$4,D340,ROUND(IF($C$3="Fixed Principal",$C$6-Table15[[#This Row],[Interest]],IF($C$3="Interest Only",Table15[[#This Row],[Beginning Balance]]*ROUND(1-(1-IF($C$11="No",$E$8,1))^(1/12),6),MIN(IF($C$13="Yes",Table15[[#This Row],[Payment Amount (Reamortized)]],$C$6)-Table15[[#This Row],[Interest]],Table15[[#This Row],[Beginning Balance]]))),2)))</f>
        <v>0</v>
      </c>
      <c r="I340" s="3">
        <f>_xlfn.SINGLE(IF($C$3="Line of Credit",0,ROUND(MAX(MIN(IF($C$10="No",$E$7,VLOOKUP(Table15[[#This Row],[Period]],Forecast!$H$2:$L$1048576,4,FALSE))*Table15[[#This Row],[Beginning Balance]],Table15[[#This Row],[Beginning Balance]]-Table15[[#This Row],[Principal]]),0),2)))</f>
        <v>0</v>
      </c>
      <c r="J340" s="3">
        <f>ROUND(MIN(Table15[[#This Row],[Beginning Balance]]*IF($C$8="No",$E$3,VLOOKUP(Table15[[#This Row],[Period]],Forecast!$H$2:$L$1048576,2,FALSE)),Table15[[#This Row],[Beginning Balance]]-Table15[[#This Row],[Principal]]-Table15[[#This Row],[Prepayments]]),2)</f>
        <v>0</v>
      </c>
      <c r="K340" s="3">
        <f>ROUND(Table15[[#This Row],[Defaulted Principal]]*IF($C$9="No",$E$4,VLOOKUP(Table15[[#This Row],[Period]],Forecast!$H$2:$L$1048576,3,FALSE)),2)</f>
        <v>0</v>
      </c>
      <c r="L340" s="2">
        <f>Table15[[#This Row],[Period]]+$E$9</f>
        <v>336</v>
      </c>
      <c r="M340" s="3">
        <f>Table15[[#This Row],[Defaulted Principal]]-Table15[[#This Row],[Estimated Loss]]</f>
        <v>0</v>
      </c>
      <c r="N340" s="3">
        <f>IFERROR(VLOOKUP(Table15[[#This Row],[Period]],$L$16:$M$385,2,FALSE),0)</f>
        <v>0</v>
      </c>
      <c r="O340" s="3">
        <f>Table15[[#This Row],[Beginning Balance]]-Table15[[#This Row],[Principal]]-Table15[[#This Row],[Prepayments]]-Table15[[#This Row],[Defaulted Principal]]</f>
        <v>0</v>
      </c>
      <c r="P340" s="3">
        <f>Table15[[#This Row],[Principal]]+Table15[[#This Row],[Interest]]+Table15[[#This Row],[Prepayments]]+Table15[[#This Row],[RecoveredAmount]]</f>
        <v>0</v>
      </c>
      <c r="Q340" s="3">
        <f ca="1">ROUND(Table15[[#This Row],[Cash Flow]]/((1+ActualRateToUse)^(IF(ISNUMBER(SEARCH("Actual",$C$7)),Table15[[#This Row],[Running Total]]/365,Table15[[#This Row],[Period]]/12))),2)</f>
        <v>0</v>
      </c>
      <c r="R340" s="2">
        <f>IF(MONTH(Table15[[#This Row],[Date]])=2,28,DAY(DATE(YEAR(Table15[[#This Row],[Date]]),MONTH(Table15[[#This Row],[Date]])+1,1)-1))</f>
        <v>30</v>
      </c>
      <c r="S340" s="2">
        <f ca="1">SUM(OFFSET(Table15[[#Headers],[Days in month]],1,0):Table15[[#This Row],[Days in month]])</f>
        <v>9855</v>
      </c>
      <c r="T340" s="37">
        <f>InterestRate*AmortizationMultiplier*IF(ISNUMBER(SEARCH("Actual",$C$7)),Table15[[#This Row],[Days in month]]/365,1/12)</f>
        <v>5.6258333333333325E-3</v>
      </c>
    </row>
    <row r="341" spans="2:20" x14ac:dyDescent="0.2">
      <c r="B341" s="1">
        <f t="shared" si="18"/>
        <v>55731</v>
      </c>
      <c r="C341" s="2">
        <f t="shared" si="20"/>
        <v>325</v>
      </c>
      <c r="D341" s="3">
        <f t="shared" si="19"/>
        <v>0</v>
      </c>
      <c r="E341" s="3">
        <f>ROUND(Table15[[#This Row],[Beginning Balance]]*Table15[[#This Row],[Monthly Interest Rate]],2)</f>
        <v>0</v>
      </c>
      <c r="F341" s="3">
        <f t="shared" si="21"/>
        <v>-53</v>
      </c>
      <c r="G341" s="23">
        <f>IFERROR(IF($C$13="No","N/A",IF(Table15[[#This Row],[Period]]=1,$C$6,PMT(InterestRate*AmortizationMultiplier/12,Table15[[#This Row],[Am Thru]],-Table15[[#This Row],[Beginning Balance]]))),0)</f>
        <v>0</v>
      </c>
      <c r="H341" s="3">
        <f>MAX(0,IF(C341=$C$4,D341,ROUND(IF($C$3="Fixed Principal",$C$6-Table15[[#This Row],[Interest]],IF($C$3="Interest Only",Table15[[#This Row],[Beginning Balance]]*ROUND(1-(1-IF($C$11="No",$E$8,1))^(1/12),6),MIN(IF($C$13="Yes",Table15[[#This Row],[Payment Amount (Reamortized)]],$C$6)-Table15[[#This Row],[Interest]],Table15[[#This Row],[Beginning Balance]]))),2)))</f>
        <v>0</v>
      </c>
      <c r="I341" s="3">
        <f>_xlfn.SINGLE(IF($C$3="Line of Credit",0,ROUND(MAX(MIN(IF($C$10="No",$E$7,VLOOKUP(Table15[[#This Row],[Period]],Forecast!$H$2:$L$1048576,4,FALSE))*Table15[[#This Row],[Beginning Balance]],Table15[[#This Row],[Beginning Balance]]-Table15[[#This Row],[Principal]]),0),2)))</f>
        <v>0</v>
      </c>
      <c r="J341" s="3">
        <f>ROUND(MIN(Table15[[#This Row],[Beginning Balance]]*IF($C$8="No",$E$3,VLOOKUP(Table15[[#This Row],[Period]],Forecast!$H$2:$L$1048576,2,FALSE)),Table15[[#This Row],[Beginning Balance]]-Table15[[#This Row],[Principal]]-Table15[[#This Row],[Prepayments]]),2)</f>
        <v>0</v>
      </c>
      <c r="K341" s="3">
        <f>ROUND(Table15[[#This Row],[Defaulted Principal]]*IF($C$9="No",$E$4,VLOOKUP(Table15[[#This Row],[Period]],Forecast!$H$2:$L$1048576,3,FALSE)),2)</f>
        <v>0</v>
      </c>
      <c r="L341" s="2">
        <f>Table15[[#This Row],[Period]]+$E$9</f>
        <v>337</v>
      </c>
      <c r="M341" s="3">
        <f>Table15[[#This Row],[Defaulted Principal]]-Table15[[#This Row],[Estimated Loss]]</f>
        <v>0</v>
      </c>
      <c r="N341" s="3">
        <f>IFERROR(VLOOKUP(Table15[[#This Row],[Period]],$L$16:$M$385,2,FALSE),0)</f>
        <v>0</v>
      </c>
      <c r="O341" s="3">
        <f>Table15[[#This Row],[Beginning Balance]]-Table15[[#This Row],[Principal]]-Table15[[#This Row],[Prepayments]]-Table15[[#This Row],[Defaulted Principal]]</f>
        <v>0</v>
      </c>
      <c r="P341" s="3">
        <f>Table15[[#This Row],[Principal]]+Table15[[#This Row],[Interest]]+Table15[[#This Row],[Prepayments]]+Table15[[#This Row],[RecoveredAmount]]</f>
        <v>0</v>
      </c>
      <c r="Q341" s="3">
        <f ca="1">ROUND(Table15[[#This Row],[Cash Flow]]/((1+ActualRateToUse)^(IF(ISNUMBER(SEARCH("Actual",$C$7)),Table15[[#This Row],[Running Total]]/365,Table15[[#This Row],[Period]]/12))),2)</f>
        <v>0</v>
      </c>
      <c r="R341" s="2">
        <f>IF(MONTH(Table15[[#This Row],[Date]])=2,28,DAY(DATE(YEAR(Table15[[#This Row],[Date]]),MONTH(Table15[[#This Row],[Date]])+1,1)-1))</f>
        <v>31</v>
      </c>
      <c r="S341" s="2">
        <f ca="1">SUM(OFFSET(Table15[[#Headers],[Days in month]],1,0):Table15[[#This Row],[Days in month]])</f>
        <v>9886</v>
      </c>
      <c r="T341" s="37">
        <f>InterestRate*AmortizationMultiplier*IF(ISNUMBER(SEARCH("Actual",$C$7)),Table15[[#This Row],[Days in month]]/365,1/12)</f>
        <v>5.8133611111111103E-3</v>
      </c>
    </row>
    <row r="342" spans="2:20" x14ac:dyDescent="0.2">
      <c r="B342" s="1">
        <f t="shared" si="18"/>
        <v>55762</v>
      </c>
      <c r="C342" s="2">
        <f t="shared" si="20"/>
        <v>326</v>
      </c>
      <c r="D342" s="3">
        <f t="shared" si="19"/>
        <v>0</v>
      </c>
      <c r="E342" s="3">
        <f>ROUND(Table15[[#This Row],[Beginning Balance]]*Table15[[#This Row],[Monthly Interest Rate]],2)</f>
        <v>0</v>
      </c>
      <c r="F342" s="3">
        <f t="shared" si="21"/>
        <v>-54</v>
      </c>
      <c r="G342" s="23">
        <f>IFERROR(IF($C$13="No","N/A",IF(Table15[[#This Row],[Period]]=1,$C$6,PMT(InterestRate*AmortizationMultiplier/12,Table15[[#This Row],[Am Thru]],-Table15[[#This Row],[Beginning Balance]]))),0)</f>
        <v>0</v>
      </c>
      <c r="H342" s="3">
        <f>MAX(0,IF(C342=$C$4,D342,ROUND(IF($C$3="Fixed Principal",$C$6-Table15[[#This Row],[Interest]],IF($C$3="Interest Only",Table15[[#This Row],[Beginning Balance]]*ROUND(1-(1-IF($C$11="No",$E$8,1))^(1/12),6),MIN(IF($C$13="Yes",Table15[[#This Row],[Payment Amount (Reamortized)]],$C$6)-Table15[[#This Row],[Interest]],Table15[[#This Row],[Beginning Balance]]))),2)))</f>
        <v>0</v>
      </c>
      <c r="I342" s="3">
        <f>_xlfn.SINGLE(IF($C$3="Line of Credit",0,ROUND(MAX(MIN(IF($C$10="No",$E$7,VLOOKUP(Table15[[#This Row],[Period]],Forecast!$H$2:$L$1048576,4,FALSE))*Table15[[#This Row],[Beginning Balance]],Table15[[#This Row],[Beginning Balance]]-Table15[[#This Row],[Principal]]),0),2)))</f>
        <v>0</v>
      </c>
      <c r="J342" s="3">
        <f>ROUND(MIN(Table15[[#This Row],[Beginning Balance]]*IF($C$8="No",$E$3,VLOOKUP(Table15[[#This Row],[Period]],Forecast!$H$2:$L$1048576,2,FALSE)),Table15[[#This Row],[Beginning Balance]]-Table15[[#This Row],[Principal]]-Table15[[#This Row],[Prepayments]]),2)</f>
        <v>0</v>
      </c>
      <c r="K342" s="3">
        <f>ROUND(Table15[[#This Row],[Defaulted Principal]]*IF($C$9="No",$E$4,VLOOKUP(Table15[[#This Row],[Period]],Forecast!$H$2:$L$1048576,3,FALSE)),2)</f>
        <v>0</v>
      </c>
      <c r="L342" s="2">
        <f>Table15[[#This Row],[Period]]+$E$9</f>
        <v>338</v>
      </c>
      <c r="M342" s="3">
        <f>Table15[[#This Row],[Defaulted Principal]]-Table15[[#This Row],[Estimated Loss]]</f>
        <v>0</v>
      </c>
      <c r="N342" s="3">
        <f>IFERROR(VLOOKUP(Table15[[#This Row],[Period]],$L$16:$M$385,2,FALSE),0)</f>
        <v>0</v>
      </c>
      <c r="O342" s="3">
        <f>Table15[[#This Row],[Beginning Balance]]-Table15[[#This Row],[Principal]]-Table15[[#This Row],[Prepayments]]-Table15[[#This Row],[Defaulted Principal]]</f>
        <v>0</v>
      </c>
      <c r="P342" s="3">
        <f>Table15[[#This Row],[Principal]]+Table15[[#This Row],[Interest]]+Table15[[#This Row],[Prepayments]]+Table15[[#This Row],[RecoveredAmount]]</f>
        <v>0</v>
      </c>
      <c r="Q342" s="3">
        <f ca="1">ROUND(Table15[[#This Row],[Cash Flow]]/((1+ActualRateToUse)^(IF(ISNUMBER(SEARCH("Actual",$C$7)),Table15[[#This Row],[Running Total]]/365,Table15[[#This Row],[Period]]/12))),2)</f>
        <v>0</v>
      </c>
      <c r="R342" s="2">
        <f>IF(MONTH(Table15[[#This Row],[Date]])=2,28,DAY(DATE(YEAR(Table15[[#This Row],[Date]]),MONTH(Table15[[#This Row],[Date]])+1,1)-1))</f>
        <v>31</v>
      </c>
      <c r="S342" s="2">
        <f ca="1">SUM(OFFSET(Table15[[#Headers],[Days in month]],1,0):Table15[[#This Row],[Days in month]])</f>
        <v>9917</v>
      </c>
      <c r="T342" s="37">
        <f>InterestRate*AmortizationMultiplier*IF(ISNUMBER(SEARCH("Actual",$C$7)),Table15[[#This Row],[Days in month]]/365,1/12)</f>
        <v>5.8133611111111103E-3</v>
      </c>
    </row>
    <row r="343" spans="2:20" x14ac:dyDescent="0.2">
      <c r="B343" s="1">
        <f t="shared" si="18"/>
        <v>55792</v>
      </c>
      <c r="C343" s="2">
        <f t="shared" si="20"/>
        <v>327</v>
      </c>
      <c r="D343" s="3">
        <f t="shared" si="19"/>
        <v>0</v>
      </c>
      <c r="E343" s="3">
        <f>ROUND(Table15[[#This Row],[Beginning Balance]]*Table15[[#This Row],[Monthly Interest Rate]],2)</f>
        <v>0</v>
      </c>
      <c r="F343" s="3">
        <f t="shared" si="21"/>
        <v>-55</v>
      </c>
      <c r="G343" s="23">
        <f>IFERROR(IF($C$13="No","N/A",IF(Table15[[#This Row],[Period]]=1,$C$6,PMT(InterestRate*AmortizationMultiplier/12,Table15[[#This Row],[Am Thru]],-Table15[[#This Row],[Beginning Balance]]))),0)</f>
        <v>0</v>
      </c>
      <c r="H343" s="3">
        <f>MAX(0,IF(C343=$C$4,D343,ROUND(IF($C$3="Fixed Principal",$C$6-Table15[[#This Row],[Interest]],IF($C$3="Interest Only",Table15[[#This Row],[Beginning Balance]]*ROUND(1-(1-IF($C$11="No",$E$8,1))^(1/12),6),MIN(IF($C$13="Yes",Table15[[#This Row],[Payment Amount (Reamortized)]],$C$6)-Table15[[#This Row],[Interest]],Table15[[#This Row],[Beginning Balance]]))),2)))</f>
        <v>0</v>
      </c>
      <c r="I343" s="3">
        <f>_xlfn.SINGLE(IF($C$3="Line of Credit",0,ROUND(MAX(MIN(IF($C$10="No",$E$7,VLOOKUP(Table15[[#This Row],[Period]],Forecast!$H$2:$L$1048576,4,FALSE))*Table15[[#This Row],[Beginning Balance]],Table15[[#This Row],[Beginning Balance]]-Table15[[#This Row],[Principal]]),0),2)))</f>
        <v>0</v>
      </c>
      <c r="J343" s="3">
        <f>ROUND(MIN(Table15[[#This Row],[Beginning Balance]]*IF($C$8="No",$E$3,VLOOKUP(Table15[[#This Row],[Period]],Forecast!$H$2:$L$1048576,2,FALSE)),Table15[[#This Row],[Beginning Balance]]-Table15[[#This Row],[Principal]]-Table15[[#This Row],[Prepayments]]),2)</f>
        <v>0</v>
      </c>
      <c r="K343" s="3">
        <f>ROUND(Table15[[#This Row],[Defaulted Principal]]*IF($C$9="No",$E$4,VLOOKUP(Table15[[#This Row],[Period]],Forecast!$H$2:$L$1048576,3,FALSE)),2)</f>
        <v>0</v>
      </c>
      <c r="L343" s="2">
        <f>Table15[[#This Row],[Period]]+$E$9</f>
        <v>339</v>
      </c>
      <c r="M343" s="3">
        <f>Table15[[#This Row],[Defaulted Principal]]-Table15[[#This Row],[Estimated Loss]]</f>
        <v>0</v>
      </c>
      <c r="N343" s="3">
        <f>IFERROR(VLOOKUP(Table15[[#This Row],[Period]],$L$16:$M$385,2,FALSE),0)</f>
        <v>0</v>
      </c>
      <c r="O343" s="3">
        <f>Table15[[#This Row],[Beginning Balance]]-Table15[[#This Row],[Principal]]-Table15[[#This Row],[Prepayments]]-Table15[[#This Row],[Defaulted Principal]]</f>
        <v>0</v>
      </c>
      <c r="P343" s="3">
        <f>Table15[[#This Row],[Principal]]+Table15[[#This Row],[Interest]]+Table15[[#This Row],[Prepayments]]+Table15[[#This Row],[RecoveredAmount]]</f>
        <v>0</v>
      </c>
      <c r="Q343" s="3">
        <f ca="1">ROUND(Table15[[#This Row],[Cash Flow]]/((1+ActualRateToUse)^(IF(ISNUMBER(SEARCH("Actual",$C$7)),Table15[[#This Row],[Running Total]]/365,Table15[[#This Row],[Period]]/12))),2)</f>
        <v>0</v>
      </c>
      <c r="R343" s="2">
        <f>IF(MONTH(Table15[[#This Row],[Date]])=2,28,DAY(DATE(YEAR(Table15[[#This Row],[Date]]),MONTH(Table15[[#This Row],[Date]])+1,1)-1))</f>
        <v>30</v>
      </c>
      <c r="S343" s="2">
        <f ca="1">SUM(OFFSET(Table15[[#Headers],[Days in month]],1,0):Table15[[#This Row],[Days in month]])</f>
        <v>9947</v>
      </c>
      <c r="T343" s="37">
        <f>InterestRate*AmortizationMultiplier*IF(ISNUMBER(SEARCH("Actual",$C$7)),Table15[[#This Row],[Days in month]]/365,1/12)</f>
        <v>5.6258333333333325E-3</v>
      </c>
    </row>
    <row r="344" spans="2:20" x14ac:dyDescent="0.2">
      <c r="B344" s="1">
        <f t="shared" si="18"/>
        <v>55823</v>
      </c>
      <c r="C344" s="2">
        <f t="shared" si="20"/>
        <v>328</v>
      </c>
      <c r="D344" s="3">
        <f t="shared" si="19"/>
        <v>0</v>
      </c>
      <c r="E344" s="3">
        <f>ROUND(Table15[[#This Row],[Beginning Balance]]*Table15[[#This Row],[Monthly Interest Rate]],2)</f>
        <v>0</v>
      </c>
      <c r="F344" s="3">
        <f t="shared" si="21"/>
        <v>-56</v>
      </c>
      <c r="G344" s="23">
        <f>IFERROR(IF($C$13="No","N/A",IF(Table15[[#This Row],[Period]]=1,$C$6,PMT(InterestRate*AmortizationMultiplier/12,Table15[[#This Row],[Am Thru]],-Table15[[#This Row],[Beginning Balance]]))),0)</f>
        <v>0</v>
      </c>
      <c r="H344" s="3">
        <f>MAX(0,IF(C344=$C$4,D344,ROUND(IF($C$3="Fixed Principal",$C$6-Table15[[#This Row],[Interest]],IF($C$3="Interest Only",Table15[[#This Row],[Beginning Balance]]*ROUND(1-(1-IF($C$11="No",$E$8,1))^(1/12),6),MIN(IF($C$13="Yes",Table15[[#This Row],[Payment Amount (Reamortized)]],$C$6)-Table15[[#This Row],[Interest]],Table15[[#This Row],[Beginning Balance]]))),2)))</f>
        <v>0</v>
      </c>
      <c r="I344" s="3">
        <f>_xlfn.SINGLE(IF($C$3="Line of Credit",0,ROUND(MAX(MIN(IF($C$10="No",$E$7,VLOOKUP(Table15[[#This Row],[Period]],Forecast!$H$2:$L$1048576,4,FALSE))*Table15[[#This Row],[Beginning Balance]],Table15[[#This Row],[Beginning Balance]]-Table15[[#This Row],[Principal]]),0),2)))</f>
        <v>0</v>
      </c>
      <c r="J344" s="3">
        <f>ROUND(MIN(Table15[[#This Row],[Beginning Balance]]*IF($C$8="No",$E$3,VLOOKUP(Table15[[#This Row],[Period]],Forecast!$H$2:$L$1048576,2,FALSE)),Table15[[#This Row],[Beginning Balance]]-Table15[[#This Row],[Principal]]-Table15[[#This Row],[Prepayments]]),2)</f>
        <v>0</v>
      </c>
      <c r="K344" s="3">
        <f>ROUND(Table15[[#This Row],[Defaulted Principal]]*IF($C$9="No",$E$4,VLOOKUP(Table15[[#This Row],[Period]],Forecast!$H$2:$L$1048576,3,FALSE)),2)</f>
        <v>0</v>
      </c>
      <c r="L344" s="2">
        <f>Table15[[#This Row],[Period]]+$E$9</f>
        <v>340</v>
      </c>
      <c r="M344" s="3">
        <f>Table15[[#This Row],[Defaulted Principal]]-Table15[[#This Row],[Estimated Loss]]</f>
        <v>0</v>
      </c>
      <c r="N344" s="3">
        <f>IFERROR(VLOOKUP(Table15[[#This Row],[Period]],$L$16:$M$385,2,FALSE),0)</f>
        <v>0</v>
      </c>
      <c r="O344" s="3">
        <f>Table15[[#This Row],[Beginning Balance]]-Table15[[#This Row],[Principal]]-Table15[[#This Row],[Prepayments]]-Table15[[#This Row],[Defaulted Principal]]</f>
        <v>0</v>
      </c>
      <c r="P344" s="3">
        <f>Table15[[#This Row],[Principal]]+Table15[[#This Row],[Interest]]+Table15[[#This Row],[Prepayments]]+Table15[[#This Row],[RecoveredAmount]]</f>
        <v>0</v>
      </c>
      <c r="Q344" s="3">
        <f ca="1">ROUND(Table15[[#This Row],[Cash Flow]]/((1+ActualRateToUse)^(IF(ISNUMBER(SEARCH("Actual",$C$7)),Table15[[#This Row],[Running Total]]/365,Table15[[#This Row],[Period]]/12))),2)</f>
        <v>0</v>
      </c>
      <c r="R344" s="2">
        <f>IF(MONTH(Table15[[#This Row],[Date]])=2,28,DAY(DATE(YEAR(Table15[[#This Row],[Date]]),MONTH(Table15[[#This Row],[Date]])+1,1)-1))</f>
        <v>31</v>
      </c>
      <c r="S344" s="2">
        <f ca="1">SUM(OFFSET(Table15[[#Headers],[Days in month]],1,0):Table15[[#This Row],[Days in month]])</f>
        <v>9978</v>
      </c>
      <c r="T344" s="37">
        <f>InterestRate*AmortizationMultiplier*IF(ISNUMBER(SEARCH("Actual",$C$7)),Table15[[#This Row],[Days in month]]/365,1/12)</f>
        <v>5.8133611111111103E-3</v>
      </c>
    </row>
    <row r="345" spans="2:20" x14ac:dyDescent="0.2">
      <c r="B345" s="1">
        <f t="shared" si="18"/>
        <v>55853</v>
      </c>
      <c r="C345" s="2">
        <f t="shared" si="20"/>
        <v>329</v>
      </c>
      <c r="D345" s="3">
        <f t="shared" si="19"/>
        <v>0</v>
      </c>
      <c r="E345" s="3">
        <f>ROUND(Table15[[#This Row],[Beginning Balance]]*Table15[[#This Row],[Monthly Interest Rate]],2)</f>
        <v>0</v>
      </c>
      <c r="F345" s="3">
        <f t="shared" si="21"/>
        <v>-57</v>
      </c>
      <c r="G345" s="23">
        <f>IFERROR(IF($C$13="No","N/A",IF(Table15[[#This Row],[Period]]=1,$C$6,PMT(InterestRate*AmortizationMultiplier/12,Table15[[#This Row],[Am Thru]],-Table15[[#This Row],[Beginning Balance]]))),0)</f>
        <v>0</v>
      </c>
      <c r="H345" s="3">
        <f>MAX(0,IF(C345=$C$4,D345,ROUND(IF($C$3="Fixed Principal",$C$6-Table15[[#This Row],[Interest]],IF($C$3="Interest Only",Table15[[#This Row],[Beginning Balance]]*ROUND(1-(1-IF($C$11="No",$E$8,1))^(1/12),6),MIN(IF($C$13="Yes",Table15[[#This Row],[Payment Amount (Reamortized)]],$C$6)-Table15[[#This Row],[Interest]],Table15[[#This Row],[Beginning Balance]]))),2)))</f>
        <v>0</v>
      </c>
      <c r="I345" s="3">
        <f>_xlfn.SINGLE(IF($C$3="Line of Credit",0,ROUND(MAX(MIN(IF($C$10="No",$E$7,VLOOKUP(Table15[[#This Row],[Period]],Forecast!$H$2:$L$1048576,4,FALSE))*Table15[[#This Row],[Beginning Balance]],Table15[[#This Row],[Beginning Balance]]-Table15[[#This Row],[Principal]]),0),2)))</f>
        <v>0</v>
      </c>
      <c r="J345" s="3">
        <f>ROUND(MIN(Table15[[#This Row],[Beginning Balance]]*IF($C$8="No",$E$3,VLOOKUP(Table15[[#This Row],[Period]],Forecast!$H$2:$L$1048576,2,FALSE)),Table15[[#This Row],[Beginning Balance]]-Table15[[#This Row],[Principal]]-Table15[[#This Row],[Prepayments]]),2)</f>
        <v>0</v>
      </c>
      <c r="K345" s="3">
        <f>ROUND(Table15[[#This Row],[Defaulted Principal]]*IF($C$9="No",$E$4,VLOOKUP(Table15[[#This Row],[Period]],Forecast!$H$2:$L$1048576,3,FALSE)),2)</f>
        <v>0</v>
      </c>
      <c r="L345" s="2">
        <f>Table15[[#This Row],[Period]]+$E$9</f>
        <v>341</v>
      </c>
      <c r="M345" s="3">
        <f>Table15[[#This Row],[Defaulted Principal]]-Table15[[#This Row],[Estimated Loss]]</f>
        <v>0</v>
      </c>
      <c r="N345" s="3">
        <f>IFERROR(VLOOKUP(Table15[[#This Row],[Period]],$L$16:$M$385,2,FALSE),0)</f>
        <v>0</v>
      </c>
      <c r="O345" s="3">
        <f>Table15[[#This Row],[Beginning Balance]]-Table15[[#This Row],[Principal]]-Table15[[#This Row],[Prepayments]]-Table15[[#This Row],[Defaulted Principal]]</f>
        <v>0</v>
      </c>
      <c r="P345" s="3">
        <f>Table15[[#This Row],[Principal]]+Table15[[#This Row],[Interest]]+Table15[[#This Row],[Prepayments]]+Table15[[#This Row],[RecoveredAmount]]</f>
        <v>0</v>
      </c>
      <c r="Q345" s="3">
        <f ca="1">ROUND(Table15[[#This Row],[Cash Flow]]/((1+ActualRateToUse)^(IF(ISNUMBER(SEARCH("Actual",$C$7)),Table15[[#This Row],[Running Total]]/365,Table15[[#This Row],[Period]]/12))),2)</f>
        <v>0</v>
      </c>
      <c r="R345" s="2">
        <f>IF(MONTH(Table15[[#This Row],[Date]])=2,28,DAY(DATE(YEAR(Table15[[#This Row],[Date]]),MONTH(Table15[[#This Row],[Date]])+1,1)-1))</f>
        <v>30</v>
      </c>
      <c r="S345" s="2">
        <f ca="1">SUM(OFFSET(Table15[[#Headers],[Days in month]],1,0):Table15[[#This Row],[Days in month]])</f>
        <v>10008</v>
      </c>
      <c r="T345" s="37">
        <f>InterestRate*AmortizationMultiplier*IF(ISNUMBER(SEARCH("Actual",$C$7)),Table15[[#This Row],[Days in month]]/365,1/12)</f>
        <v>5.6258333333333325E-3</v>
      </c>
    </row>
    <row r="346" spans="2:20" x14ac:dyDescent="0.2">
      <c r="B346" s="1">
        <f t="shared" si="18"/>
        <v>55884</v>
      </c>
      <c r="C346" s="2">
        <f t="shared" si="20"/>
        <v>330</v>
      </c>
      <c r="D346" s="3">
        <f t="shared" si="19"/>
        <v>0</v>
      </c>
      <c r="E346" s="3">
        <f>ROUND(Table15[[#This Row],[Beginning Balance]]*Table15[[#This Row],[Monthly Interest Rate]],2)</f>
        <v>0</v>
      </c>
      <c r="F346" s="3">
        <f t="shared" si="21"/>
        <v>-58</v>
      </c>
      <c r="G346" s="23">
        <f>IFERROR(IF($C$13="No","N/A",IF(Table15[[#This Row],[Period]]=1,$C$6,PMT(InterestRate*AmortizationMultiplier/12,Table15[[#This Row],[Am Thru]],-Table15[[#This Row],[Beginning Balance]]))),0)</f>
        <v>0</v>
      </c>
      <c r="H346" s="3">
        <f>MAX(0,IF(C346=$C$4,D346,ROUND(IF($C$3="Fixed Principal",$C$6-Table15[[#This Row],[Interest]],IF($C$3="Interest Only",Table15[[#This Row],[Beginning Balance]]*ROUND(1-(1-IF($C$11="No",$E$8,1))^(1/12),6),MIN(IF($C$13="Yes",Table15[[#This Row],[Payment Amount (Reamortized)]],$C$6)-Table15[[#This Row],[Interest]],Table15[[#This Row],[Beginning Balance]]))),2)))</f>
        <v>0</v>
      </c>
      <c r="I346" s="3">
        <f>_xlfn.SINGLE(IF($C$3="Line of Credit",0,ROUND(MAX(MIN(IF($C$10="No",$E$7,VLOOKUP(Table15[[#This Row],[Period]],Forecast!$H$2:$L$1048576,4,FALSE))*Table15[[#This Row],[Beginning Balance]],Table15[[#This Row],[Beginning Balance]]-Table15[[#This Row],[Principal]]),0),2)))</f>
        <v>0</v>
      </c>
      <c r="J346" s="3">
        <f>ROUND(MIN(Table15[[#This Row],[Beginning Balance]]*IF($C$8="No",$E$3,VLOOKUP(Table15[[#This Row],[Period]],Forecast!$H$2:$L$1048576,2,FALSE)),Table15[[#This Row],[Beginning Balance]]-Table15[[#This Row],[Principal]]-Table15[[#This Row],[Prepayments]]),2)</f>
        <v>0</v>
      </c>
      <c r="K346" s="3">
        <f>ROUND(Table15[[#This Row],[Defaulted Principal]]*IF($C$9="No",$E$4,VLOOKUP(Table15[[#This Row],[Period]],Forecast!$H$2:$L$1048576,3,FALSE)),2)</f>
        <v>0</v>
      </c>
      <c r="L346" s="2">
        <f>Table15[[#This Row],[Period]]+$E$9</f>
        <v>342</v>
      </c>
      <c r="M346" s="3">
        <f>Table15[[#This Row],[Defaulted Principal]]-Table15[[#This Row],[Estimated Loss]]</f>
        <v>0</v>
      </c>
      <c r="N346" s="3">
        <f>IFERROR(VLOOKUP(Table15[[#This Row],[Period]],$L$16:$M$385,2,FALSE),0)</f>
        <v>0</v>
      </c>
      <c r="O346" s="3">
        <f>Table15[[#This Row],[Beginning Balance]]-Table15[[#This Row],[Principal]]-Table15[[#This Row],[Prepayments]]-Table15[[#This Row],[Defaulted Principal]]</f>
        <v>0</v>
      </c>
      <c r="P346" s="3">
        <f>Table15[[#This Row],[Principal]]+Table15[[#This Row],[Interest]]+Table15[[#This Row],[Prepayments]]+Table15[[#This Row],[RecoveredAmount]]</f>
        <v>0</v>
      </c>
      <c r="Q346" s="3">
        <f ca="1">ROUND(Table15[[#This Row],[Cash Flow]]/((1+ActualRateToUse)^(IF(ISNUMBER(SEARCH("Actual",$C$7)),Table15[[#This Row],[Running Total]]/365,Table15[[#This Row],[Period]]/12))),2)</f>
        <v>0</v>
      </c>
      <c r="R346" s="2">
        <f>IF(MONTH(Table15[[#This Row],[Date]])=2,28,DAY(DATE(YEAR(Table15[[#This Row],[Date]]),MONTH(Table15[[#This Row],[Date]])+1,1)-1))</f>
        <v>31</v>
      </c>
      <c r="S346" s="2">
        <f ca="1">SUM(OFFSET(Table15[[#Headers],[Days in month]],1,0):Table15[[#This Row],[Days in month]])</f>
        <v>10039</v>
      </c>
      <c r="T346" s="37">
        <f>InterestRate*AmortizationMultiplier*IF(ISNUMBER(SEARCH("Actual",$C$7)),Table15[[#This Row],[Days in month]]/365,1/12)</f>
        <v>5.8133611111111103E-3</v>
      </c>
    </row>
    <row r="347" spans="2:20" x14ac:dyDescent="0.2">
      <c r="B347" s="1">
        <f t="shared" si="18"/>
        <v>55915</v>
      </c>
      <c r="C347" s="2">
        <f t="shared" si="20"/>
        <v>331</v>
      </c>
      <c r="D347" s="3">
        <f t="shared" si="19"/>
        <v>0</v>
      </c>
      <c r="E347" s="3">
        <f>ROUND(Table15[[#This Row],[Beginning Balance]]*Table15[[#This Row],[Monthly Interest Rate]],2)</f>
        <v>0</v>
      </c>
      <c r="F347" s="3">
        <f t="shared" si="21"/>
        <v>-59</v>
      </c>
      <c r="G347" s="23">
        <f>IFERROR(IF($C$13="No","N/A",IF(Table15[[#This Row],[Period]]=1,$C$6,PMT(InterestRate*AmortizationMultiplier/12,Table15[[#This Row],[Am Thru]],-Table15[[#This Row],[Beginning Balance]]))),0)</f>
        <v>0</v>
      </c>
      <c r="H347" s="3">
        <f>MAX(0,IF(C347=$C$4,D347,ROUND(IF($C$3="Fixed Principal",$C$6-Table15[[#This Row],[Interest]],IF($C$3="Interest Only",Table15[[#This Row],[Beginning Balance]]*ROUND(1-(1-IF($C$11="No",$E$8,1))^(1/12),6),MIN(IF($C$13="Yes",Table15[[#This Row],[Payment Amount (Reamortized)]],$C$6)-Table15[[#This Row],[Interest]],Table15[[#This Row],[Beginning Balance]]))),2)))</f>
        <v>0</v>
      </c>
      <c r="I347" s="3">
        <f>_xlfn.SINGLE(IF($C$3="Line of Credit",0,ROUND(MAX(MIN(IF($C$10="No",$E$7,VLOOKUP(Table15[[#This Row],[Period]],Forecast!$H$2:$L$1048576,4,FALSE))*Table15[[#This Row],[Beginning Balance]],Table15[[#This Row],[Beginning Balance]]-Table15[[#This Row],[Principal]]),0),2)))</f>
        <v>0</v>
      </c>
      <c r="J347" s="3">
        <f>ROUND(MIN(Table15[[#This Row],[Beginning Balance]]*IF($C$8="No",$E$3,VLOOKUP(Table15[[#This Row],[Period]],Forecast!$H$2:$L$1048576,2,FALSE)),Table15[[#This Row],[Beginning Balance]]-Table15[[#This Row],[Principal]]-Table15[[#This Row],[Prepayments]]),2)</f>
        <v>0</v>
      </c>
      <c r="K347" s="3">
        <f>ROUND(Table15[[#This Row],[Defaulted Principal]]*IF($C$9="No",$E$4,VLOOKUP(Table15[[#This Row],[Period]],Forecast!$H$2:$L$1048576,3,FALSE)),2)</f>
        <v>0</v>
      </c>
      <c r="L347" s="2">
        <f>Table15[[#This Row],[Period]]+$E$9</f>
        <v>343</v>
      </c>
      <c r="M347" s="3">
        <f>Table15[[#This Row],[Defaulted Principal]]-Table15[[#This Row],[Estimated Loss]]</f>
        <v>0</v>
      </c>
      <c r="N347" s="3">
        <f>IFERROR(VLOOKUP(Table15[[#This Row],[Period]],$L$16:$M$385,2,FALSE),0)</f>
        <v>0</v>
      </c>
      <c r="O347" s="3">
        <f>Table15[[#This Row],[Beginning Balance]]-Table15[[#This Row],[Principal]]-Table15[[#This Row],[Prepayments]]-Table15[[#This Row],[Defaulted Principal]]</f>
        <v>0</v>
      </c>
      <c r="P347" s="3">
        <f>Table15[[#This Row],[Principal]]+Table15[[#This Row],[Interest]]+Table15[[#This Row],[Prepayments]]+Table15[[#This Row],[RecoveredAmount]]</f>
        <v>0</v>
      </c>
      <c r="Q347" s="3">
        <f ca="1">ROUND(Table15[[#This Row],[Cash Flow]]/((1+ActualRateToUse)^(IF(ISNUMBER(SEARCH("Actual",$C$7)),Table15[[#This Row],[Running Total]]/365,Table15[[#This Row],[Period]]/12))),2)</f>
        <v>0</v>
      </c>
      <c r="R347" s="2">
        <f>IF(MONTH(Table15[[#This Row],[Date]])=2,28,DAY(DATE(YEAR(Table15[[#This Row],[Date]]),MONTH(Table15[[#This Row],[Date]])+1,1)-1))</f>
        <v>31</v>
      </c>
      <c r="S347" s="2">
        <f ca="1">SUM(OFFSET(Table15[[#Headers],[Days in month]],1,0):Table15[[#This Row],[Days in month]])</f>
        <v>10070</v>
      </c>
      <c r="T347" s="37">
        <f>InterestRate*AmortizationMultiplier*IF(ISNUMBER(SEARCH("Actual",$C$7)),Table15[[#This Row],[Days in month]]/365,1/12)</f>
        <v>5.8133611111111103E-3</v>
      </c>
    </row>
    <row r="348" spans="2:20" x14ac:dyDescent="0.2">
      <c r="B348" s="1">
        <f t="shared" si="18"/>
        <v>55943</v>
      </c>
      <c r="C348" s="2">
        <f t="shared" si="20"/>
        <v>332</v>
      </c>
      <c r="D348" s="3">
        <f t="shared" si="19"/>
        <v>0</v>
      </c>
      <c r="E348" s="3">
        <f>ROUND(Table15[[#This Row],[Beginning Balance]]*Table15[[#This Row],[Monthly Interest Rate]],2)</f>
        <v>0</v>
      </c>
      <c r="F348" s="3">
        <f t="shared" si="21"/>
        <v>-60</v>
      </c>
      <c r="G348" s="23">
        <f>IFERROR(IF($C$13="No","N/A",IF(Table15[[#This Row],[Period]]=1,$C$6,PMT(InterestRate*AmortizationMultiplier/12,Table15[[#This Row],[Am Thru]],-Table15[[#This Row],[Beginning Balance]]))),0)</f>
        <v>0</v>
      </c>
      <c r="H348" s="3">
        <f>MAX(0,IF(C348=$C$4,D348,ROUND(IF($C$3="Fixed Principal",$C$6-Table15[[#This Row],[Interest]],IF($C$3="Interest Only",Table15[[#This Row],[Beginning Balance]]*ROUND(1-(1-IF($C$11="No",$E$8,1))^(1/12),6),MIN(IF($C$13="Yes",Table15[[#This Row],[Payment Amount (Reamortized)]],$C$6)-Table15[[#This Row],[Interest]],Table15[[#This Row],[Beginning Balance]]))),2)))</f>
        <v>0</v>
      </c>
      <c r="I348" s="3">
        <f>_xlfn.SINGLE(IF($C$3="Line of Credit",0,ROUND(MAX(MIN(IF($C$10="No",$E$7,VLOOKUP(Table15[[#This Row],[Period]],Forecast!$H$2:$L$1048576,4,FALSE))*Table15[[#This Row],[Beginning Balance]],Table15[[#This Row],[Beginning Balance]]-Table15[[#This Row],[Principal]]),0),2)))</f>
        <v>0</v>
      </c>
      <c r="J348" s="3">
        <f>ROUND(MIN(Table15[[#This Row],[Beginning Balance]]*IF($C$8="No",$E$3,VLOOKUP(Table15[[#This Row],[Period]],Forecast!$H$2:$L$1048576,2,FALSE)),Table15[[#This Row],[Beginning Balance]]-Table15[[#This Row],[Principal]]-Table15[[#This Row],[Prepayments]]),2)</f>
        <v>0</v>
      </c>
      <c r="K348" s="3">
        <f>ROUND(Table15[[#This Row],[Defaulted Principal]]*IF($C$9="No",$E$4,VLOOKUP(Table15[[#This Row],[Period]],Forecast!$H$2:$L$1048576,3,FALSE)),2)</f>
        <v>0</v>
      </c>
      <c r="L348" s="2">
        <f>Table15[[#This Row],[Period]]+$E$9</f>
        <v>344</v>
      </c>
      <c r="M348" s="3">
        <f>Table15[[#This Row],[Defaulted Principal]]-Table15[[#This Row],[Estimated Loss]]</f>
        <v>0</v>
      </c>
      <c r="N348" s="3">
        <f>IFERROR(VLOOKUP(Table15[[#This Row],[Period]],$L$16:$M$385,2,FALSE),0)</f>
        <v>0</v>
      </c>
      <c r="O348" s="3">
        <f>Table15[[#This Row],[Beginning Balance]]-Table15[[#This Row],[Principal]]-Table15[[#This Row],[Prepayments]]-Table15[[#This Row],[Defaulted Principal]]</f>
        <v>0</v>
      </c>
      <c r="P348" s="3">
        <f>Table15[[#This Row],[Principal]]+Table15[[#This Row],[Interest]]+Table15[[#This Row],[Prepayments]]+Table15[[#This Row],[RecoveredAmount]]</f>
        <v>0</v>
      </c>
      <c r="Q348" s="3">
        <f ca="1">ROUND(Table15[[#This Row],[Cash Flow]]/((1+ActualRateToUse)^(IF(ISNUMBER(SEARCH("Actual",$C$7)),Table15[[#This Row],[Running Total]]/365,Table15[[#This Row],[Period]]/12))),2)</f>
        <v>0</v>
      </c>
      <c r="R348" s="2">
        <f>IF(MONTH(Table15[[#This Row],[Date]])=2,28,DAY(DATE(YEAR(Table15[[#This Row],[Date]]),MONTH(Table15[[#This Row],[Date]])+1,1)-1))</f>
        <v>28</v>
      </c>
      <c r="S348" s="2">
        <f ca="1">SUM(OFFSET(Table15[[#Headers],[Days in month]],1,0):Table15[[#This Row],[Days in month]])</f>
        <v>10098</v>
      </c>
      <c r="T348" s="37">
        <f>InterestRate*AmortizationMultiplier*IF(ISNUMBER(SEARCH("Actual",$C$7)),Table15[[#This Row],[Days in month]]/365,1/12)</f>
        <v>5.2507777777777778E-3</v>
      </c>
    </row>
    <row r="349" spans="2:20" x14ac:dyDescent="0.2">
      <c r="B349" s="1">
        <f t="shared" si="18"/>
        <v>55974</v>
      </c>
      <c r="C349" s="2">
        <f t="shared" si="20"/>
        <v>333</v>
      </c>
      <c r="D349" s="3">
        <f t="shared" si="19"/>
        <v>0</v>
      </c>
      <c r="E349" s="3">
        <f>ROUND(Table15[[#This Row],[Beginning Balance]]*Table15[[#This Row],[Monthly Interest Rate]],2)</f>
        <v>0</v>
      </c>
      <c r="F349" s="3">
        <f t="shared" si="21"/>
        <v>-61</v>
      </c>
      <c r="G349" s="23">
        <f>IFERROR(IF($C$13="No","N/A",IF(Table15[[#This Row],[Period]]=1,$C$6,PMT(InterestRate*AmortizationMultiplier/12,Table15[[#This Row],[Am Thru]],-Table15[[#This Row],[Beginning Balance]]))),0)</f>
        <v>0</v>
      </c>
      <c r="H349" s="3">
        <f>MAX(0,IF(C349=$C$4,D349,ROUND(IF($C$3="Fixed Principal",$C$6-Table15[[#This Row],[Interest]],IF($C$3="Interest Only",Table15[[#This Row],[Beginning Balance]]*ROUND(1-(1-IF($C$11="No",$E$8,1))^(1/12),6),MIN(IF($C$13="Yes",Table15[[#This Row],[Payment Amount (Reamortized)]],$C$6)-Table15[[#This Row],[Interest]],Table15[[#This Row],[Beginning Balance]]))),2)))</f>
        <v>0</v>
      </c>
      <c r="I349" s="3">
        <f>_xlfn.SINGLE(IF($C$3="Line of Credit",0,ROUND(MAX(MIN(IF($C$10="No",$E$7,VLOOKUP(Table15[[#This Row],[Period]],Forecast!$H$2:$L$1048576,4,FALSE))*Table15[[#This Row],[Beginning Balance]],Table15[[#This Row],[Beginning Balance]]-Table15[[#This Row],[Principal]]),0),2)))</f>
        <v>0</v>
      </c>
      <c r="J349" s="3">
        <f>ROUND(MIN(Table15[[#This Row],[Beginning Balance]]*IF($C$8="No",$E$3,VLOOKUP(Table15[[#This Row],[Period]],Forecast!$H$2:$L$1048576,2,FALSE)),Table15[[#This Row],[Beginning Balance]]-Table15[[#This Row],[Principal]]-Table15[[#This Row],[Prepayments]]),2)</f>
        <v>0</v>
      </c>
      <c r="K349" s="3">
        <f>ROUND(Table15[[#This Row],[Defaulted Principal]]*IF($C$9="No",$E$4,VLOOKUP(Table15[[#This Row],[Period]],Forecast!$H$2:$L$1048576,3,FALSE)),2)</f>
        <v>0</v>
      </c>
      <c r="L349" s="2">
        <f>Table15[[#This Row],[Period]]+$E$9</f>
        <v>345</v>
      </c>
      <c r="M349" s="3">
        <f>Table15[[#This Row],[Defaulted Principal]]-Table15[[#This Row],[Estimated Loss]]</f>
        <v>0</v>
      </c>
      <c r="N349" s="3">
        <f>IFERROR(VLOOKUP(Table15[[#This Row],[Period]],$L$16:$M$385,2,FALSE),0)</f>
        <v>0</v>
      </c>
      <c r="O349" s="3">
        <f>Table15[[#This Row],[Beginning Balance]]-Table15[[#This Row],[Principal]]-Table15[[#This Row],[Prepayments]]-Table15[[#This Row],[Defaulted Principal]]</f>
        <v>0</v>
      </c>
      <c r="P349" s="3">
        <f>Table15[[#This Row],[Principal]]+Table15[[#This Row],[Interest]]+Table15[[#This Row],[Prepayments]]+Table15[[#This Row],[RecoveredAmount]]</f>
        <v>0</v>
      </c>
      <c r="Q349" s="3">
        <f ca="1">ROUND(Table15[[#This Row],[Cash Flow]]/((1+ActualRateToUse)^(IF(ISNUMBER(SEARCH("Actual",$C$7)),Table15[[#This Row],[Running Total]]/365,Table15[[#This Row],[Period]]/12))),2)</f>
        <v>0</v>
      </c>
      <c r="R349" s="2">
        <f>IF(MONTH(Table15[[#This Row],[Date]])=2,28,DAY(DATE(YEAR(Table15[[#This Row],[Date]]),MONTH(Table15[[#This Row],[Date]])+1,1)-1))</f>
        <v>31</v>
      </c>
      <c r="S349" s="2">
        <f ca="1">SUM(OFFSET(Table15[[#Headers],[Days in month]],1,0):Table15[[#This Row],[Days in month]])</f>
        <v>10129</v>
      </c>
      <c r="T349" s="37">
        <f>InterestRate*AmortizationMultiplier*IF(ISNUMBER(SEARCH("Actual",$C$7)),Table15[[#This Row],[Days in month]]/365,1/12)</f>
        <v>5.8133611111111103E-3</v>
      </c>
    </row>
    <row r="350" spans="2:20" x14ac:dyDescent="0.2">
      <c r="B350" s="1">
        <f t="shared" si="18"/>
        <v>56004</v>
      </c>
      <c r="C350" s="2">
        <f t="shared" si="20"/>
        <v>334</v>
      </c>
      <c r="D350" s="3">
        <f t="shared" si="19"/>
        <v>0</v>
      </c>
      <c r="E350" s="3">
        <f>ROUND(Table15[[#This Row],[Beginning Balance]]*Table15[[#This Row],[Monthly Interest Rate]],2)</f>
        <v>0</v>
      </c>
      <c r="F350" s="3">
        <f t="shared" si="21"/>
        <v>-62</v>
      </c>
      <c r="G350" s="23">
        <f>IFERROR(IF($C$13="No","N/A",IF(Table15[[#This Row],[Period]]=1,$C$6,PMT(InterestRate*AmortizationMultiplier/12,Table15[[#This Row],[Am Thru]],-Table15[[#This Row],[Beginning Balance]]))),0)</f>
        <v>0</v>
      </c>
      <c r="H350" s="3">
        <f>MAX(0,IF(C350=$C$4,D350,ROUND(IF($C$3="Fixed Principal",$C$6-Table15[[#This Row],[Interest]],IF($C$3="Interest Only",Table15[[#This Row],[Beginning Balance]]*ROUND(1-(1-IF($C$11="No",$E$8,1))^(1/12),6),MIN(IF($C$13="Yes",Table15[[#This Row],[Payment Amount (Reamortized)]],$C$6)-Table15[[#This Row],[Interest]],Table15[[#This Row],[Beginning Balance]]))),2)))</f>
        <v>0</v>
      </c>
      <c r="I350" s="3">
        <f>_xlfn.SINGLE(IF($C$3="Line of Credit",0,ROUND(MAX(MIN(IF($C$10="No",$E$7,VLOOKUP(Table15[[#This Row],[Period]],Forecast!$H$2:$L$1048576,4,FALSE))*Table15[[#This Row],[Beginning Balance]],Table15[[#This Row],[Beginning Balance]]-Table15[[#This Row],[Principal]]),0),2)))</f>
        <v>0</v>
      </c>
      <c r="J350" s="3">
        <f>ROUND(MIN(Table15[[#This Row],[Beginning Balance]]*IF($C$8="No",$E$3,VLOOKUP(Table15[[#This Row],[Period]],Forecast!$H$2:$L$1048576,2,FALSE)),Table15[[#This Row],[Beginning Balance]]-Table15[[#This Row],[Principal]]-Table15[[#This Row],[Prepayments]]),2)</f>
        <v>0</v>
      </c>
      <c r="K350" s="3">
        <f>ROUND(Table15[[#This Row],[Defaulted Principal]]*IF($C$9="No",$E$4,VLOOKUP(Table15[[#This Row],[Period]],Forecast!$H$2:$L$1048576,3,FALSE)),2)</f>
        <v>0</v>
      </c>
      <c r="L350" s="2">
        <f>Table15[[#This Row],[Period]]+$E$9</f>
        <v>346</v>
      </c>
      <c r="M350" s="3">
        <f>Table15[[#This Row],[Defaulted Principal]]-Table15[[#This Row],[Estimated Loss]]</f>
        <v>0</v>
      </c>
      <c r="N350" s="3">
        <f>IFERROR(VLOOKUP(Table15[[#This Row],[Period]],$L$16:$M$385,2,FALSE),0)</f>
        <v>0</v>
      </c>
      <c r="O350" s="3">
        <f>Table15[[#This Row],[Beginning Balance]]-Table15[[#This Row],[Principal]]-Table15[[#This Row],[Prepayments]]-Table15[[#This Row],[Defaulted Principal]]</f>
        <v>0</v>
      </c>
      <c r="P350" s="3">
        <f>Table15[[#This Row],[Principal]]+Table15[[#This Row],[Interest]]+Table15[[#This Row],[Prepayments]]+Table15[[#This Row],[RecoveredAmount]]</f>
        <v>0</v>
      </c>
      <c r="Q350" s="3">
        <f ca="1">ROUND(Table15[[#This Row],[Cash Flow]]/((1+ActualRateToUse)^(IF(ISNUMBER(SEARCH("Actual",$C$7)),Table15[[#This Row],[Running Total]]/365,Table15[[#This Row],[Period]]/12))),2)</f>
        <v>0</v>
      </c>
      <c r="R350" s="2">
        <f>IF(MONTH(Table15[[#This Row],[Date]])=2,28,DAY(DATE(YEAR(Table15[[#This Row],[Date]]),MONTH(Table15[[#This Row],[Date]])+1,1)-1))</f>
        <v>30</v>
      </c>
      <c r="S350" s="2">
        <f ca="1">SUM(OFFSET(Table15[[#Headers],[Days in month]],1,0):Table15[[#This Row],[Days in month]])</f>
        <v>10159</v>
      </c>
      <c r="T350" s="37">
        <f>InterestRate*AmortizationMultiplier*IF(ISNUMBER(SEARCH("Actual",$C$7)),Table15[[#This Row],[Days in month]]/365,1/12)</f>
        <v>5.6258333333333325E-3</v>
      </c>
    </row>
    <row r="351" spans="2:20" x14ac:dyDescent="0.2">
      <c r="B351" s="1">
        <f t="shared" si="18"/>
        <v>56035</v>
      </c>
      <c r="C351" s="2">
        <f t="shared" si="20"/>
        <v>335</v>
      </c>
      <c r="D351" s="3">
        <f t="shared" si="19"/>
        <v>0</v>
      </c>
      <c r="E351" s="3">
        <f>ROUND(Table15[[#This Row],[Beginning Balance]]*Table15[[#This Row],[Monthly Interest Rate]],2)</f>
        <v>0</v>
      </c>
      <c r="F351" s="3">
        <f t="shared" si="21"/>
        <v>-63</v>
      </c>
      <c r="G351" s="23">
        <f>IFERROR(IF($C$13="No","N/A",IF(Table15[[#This Row],[Period]]=1,$C$6,PMT(InterestRate*AmortizationMultiplier/12,Table15[[#This Row],[Am Thru]],-Table15[[#This Row],[Beginning Balance]]))),0)</f>
        <v>0</v>
      </c>
      <c r="H351" s="3">
        <f>MAX(0,IF(C351=$C$4,D351,ROUND(IF($C$3="Fixed Principal",$C$6-Table15[[#This Row],[Interest]],IF($C$3="Interest Only",Table15[[#This Row],[Beginning Balance]]*ROUND(1-(1-IF($C$11="No",$E$8,1))^(1/12),6),MIN(IF($C$13="Yes",Table15[[#This Row],[Payment Amount (Reamortized)]],$C$6)-Table15[[#This Row],[Interest]],Table15[[#This Row],[Beginning Balance]]))),2)))</f>
        <v>0</v>
      </c>
      <c r="I351" s="3">
        <f>_xlfn.SINGLE(IF($C$3="Line of Credit",0,ROUND(MAX(MIN(IF($C$10="No",$E$7,VLOOKUP(Table15[[#This Row],[Period]],Forecast!$H$2:$L$1048576,4,FALSE))*Table15[[#This Row],[Beginning Balance]],Table15[[#This Row],[Beginning Balance]]-Table15[[#This Row],[Principal]]),0),2)))</f>
        <v>0</v>
      </c>
      <c r="J351" s="3">
        <f>ROUND(MIN(Table15[[#This Row],[Beginning Balance]]*IF($C$8="No",$E$3,VLOOKUP(Table15[[#This Row],[Period]],Forecast!$H$2:$L$1048576,2,FALSE)),Table15[[#This Row],[Beginning Balance]]-Table15[[#This Row],[Principal]]-Table15[[#This Row],[Prepayments]]),2)</f>
        <v>0</v>
      </c>
      <c r="K351" s="3">
        <f>ROUND(Table15[[#This Row],[Defaulted Principal]]*IF($C$9="No",$E$4,VLOOKUP(Table15[[#This Row],[Period]],Forecast!$H$2:$L$1048576,3,FALSE)),2)</f>
        <v>0</v>
      </c>
      <c r="L351" s="2">
        <f>Table15[[#This Row],[Period]]+$E$9</f>
        <v>347</v>
      </c>
      <c r="M351" s="3">
        <f>Table15[[#This Row],[Defaulted Principal]]-Table15[[#This Row],[Estimated Loss]]</f>
        <v>0</v>
      </c>
      <c r="N351" s="3">
        <f>IFERROR(VLOOKUP(Table15[[#This Row],[Period]],$L$16:$M$385,2,FALSE),0)</f>
        <v>0</v>
      </c>
      <c r="O351" s="3">
        <f>Table15[[#This Row],[Beginning Balance]]-Table15[[#This Row],[Principal]]-Table15[[#This Row],[Prepayments]]-Table15[[#This Row],[Defaulted Principal]]</f>
        <v>0</v>
      </c>
      <c r="P351" s="3">
        <f>Table15[[#This Row],[Principal]]+Table15[[#This Row],[Interest]]+Table15[[#This Row],[Prepayments]]+Table15[[#This Row],[RecoveredAmount]]</f>
        <v>0</v>
      </c>
      <c r="Q351" s="3">
        <f ca="1">ROUND(Table15[[#This Row],[Cash Flow]]/((1+ActualRateToUse)^(IF(ISNUMBER(SEARCH("Actual",$C$7)),Table15[[#This Row],[Running Total]]/365,Table15[[#This Row],[Period]]/12))),2)</f>
        <v>0</v>
      </c>
      <c r="R351" s="2">
        <f>IF(MONTH(Table15[[#This Row],[Date]])=2,28,DAY(DATE(YEAR(Table15[[#This Row],[Date]]),MONTH(Table15[[#This Row],[Date]])+1,1)-1))</f>
        <v>31</v>
      </c>
      <c r="S351" s="2">
        <f ca="1">SUM(OFFSET(Table15[[#Headers],[Days in month]],1,0):Table15[[#This Row],[Days in month]])</f>
        <v>10190</v>
      </c>
      <c r="T351" s="37">
        <f>InterestRate*AmortizationMultiplier*IF(ISNUMBER(SEARCH("Actual",$C$7)),Table15[[#This Row],[Days in month]]/365,1/12)</f>
        <v>5.8133611111111103E-3</v>
      </c>
    </row>
    <row r="352" spans="2:20" x14ac:dyDescent="0.2">
      <c r="B352" s="1">
        <f t="shared" si="18"/>
        <v>56065</v>
      </c>
      <c r="C352" s="2">
        <f t="shared" si="20"/>
        <v>336</v>
      </c>
      <c r="D352" s="3">
        <f t="shared" si="19"/>
        <v>0</v>
      </c>
      <c r="E352" s="3">
        <f>ROUND(Table15[[#This Row],[Beginning Balance]]*Table15[[#This Row],[Monthly Interest Rate]],2)</f>
        <v>0</v>
      </c>
      <c r="F352" s="3">
        <f t="shared" si="21"/>
        <v>-64</v>
      </c>
      <c r="G352" s="23">
        <f>IFERROR(IF($C$13="No","N/A",IF(Table15[[#This Row],[Period]]=1,$C$6,PMT(InterestRate*AmortizationMultiplier/12,Table15[[#This Row],[Am Thru]],-Table15[[#This Row],[Beginning Balance]]))),0)</f>
        <v>0</v>
      </c>
      <c r="H352" s="3">
        <f>MAX(0,IF(C352=$C$4,D352,ROUND(IF($C$3="Fixed Principal",$C$6-Table15[[#This Row],[Interest]],IF($C$3="Interest Only",Table15[[#This Row],[Beginning Balance]]*ROUND(1-(1-IF($C$11="No",$E$8,1))^(1/12),6),MIN(IF($C$13="Yes",Table15[[#This Row],[Payment Amount (Reamortized)]],$C$6)-Table15[[#This Row],[Interest]],Table15[[#This Row],[Beginning Balance]]))),2)))</f>
        <v>0</v>
      </c>
      <c r="I352" s="3">
        <f>_xlfn.SINGLE(IF($C$3="Line of Credit",0,ROUND(MAX(MIN(IF($C$10="No",$E$7,VLOOKUP(Table15[[#This Row],[Period]],Forecast!$H$2:$L$1048576,4,FALSE))*Table15[[#This Row],[Beginning Balance]],Table15[[#This Row],[Beginning Balance]]-Table15[[#This Row],[Principal]]),0),2)))</f>
        <v>0</v>
      </c>
      <c r="J352" s="3">
        <f>ROUND(MIN(Table15[[#This Row],[Beginning Balance]]*IF($C$8="No",$E$3,VLOOKUP(Table15[[#This Row],[Period]],Forecast!$H$2:$L$1048576,2,FALSE)),Table15[[#This Row],[Beginning Balance]]-Table15[[#This Row],[Principal]]-Table15[[#This Row],[Prepayments]]),2)</f>
        <v>0</v>
      </c>
      <c r="K352" s="3">
        <f>ROUND(Table15[[#This Row],[Defaulted Principal]]*IF($C$9="No",$E$4,VLOOKUP(Table15[[#This Row],[Period]],Forecast!$H$2:$L$1048576,3,FALSE)),2)</f>
        <v>0</v>
      </c>
      <c r="L352" s="2">
        <f>Table15[[#This Row],[Period]]+$E$9</f>
        <v>348</v>
      </c>
      <c r="M352" s="3">
        <f>Table15[[#This Row],[Defaulted Principal]]-Table15[[#This Row],[Estimated Loss]]</f>
        <v>0</v>
      </c>
      <c r="N352" s="3">
        <f>IFERROR(VLOOKUP(Table15[[#This Row],[Period]],$L$16:$M$385,2,FALSE),0)</f>
        <v>0</v>
      </c>
      <c r="O352" s="3">
        <f>Table15[[#This Row],[Beginning Balance]]-Table15[[#This Row],[Principal]]-Table15[[#This Row],[Prepayments]]-Table15[[#This Row],[Defaulted Principal]]</f>
        <v>0</v>
      </c>
      <c r="P352" s="3">
        <f>Table15[[#This Row],[Principal]]+Table15[[#This Row],[Interest]]+Table15[[#This Row],[Prepayments]]+Table15[[#This Row],[RecoveredAmount]]</f>
        <v>0</v>
      </c>
      <c r="Q352" s="3">
        <f ca="1">ROUND(Table15[[#This Row],[Cash Flow]]/((1+ActualRateToUse)^(IF(ISNUMBER(SEARCH("Actual",$C$7)),Table15[[#This Row],[Running Total]]/365,Table15[[#This Row],[Period]]/12))),2)</f>
        <v>0</v>
      </c>
      <c r="R352" s="2">
        <f>IF(MONTH(Table15[[#This Row],[Date]])=2,28,DAY(DATE(YEAR(Table15[[#This Row],[Date]]),MONTH(Table15[[#This Row],[Date]])+1,1)-1))</f>
        <v>30</v>
      </c>
      <c r="S352" s="2">
        <f ca="1">SUM(OFFSET(Table15[[#Headers],[Days in month]],1,0):Table15[[#This Row],[Days in month]])</f>
        <v>10220</v>
      </c>
      <c r="T352" s="37">
        <f>InterestRate*AmortizationMultiplier*IF(ISNUMBER(SEARCH("Actual",$C$7)),Table15[[#This Row],[Days in month]]/365,1/12)</f>
        <v>5.6258333333333325E-3</v>
      </c>
    </row>
    <row r="353" spans="2:20" x14ac:dyDescent="0.2">
      <c r="B353" s="1">
        <f t="shared" si="18"/>
        <v>56096</v>
      </c>
      <c r="C353" s="2">
        <f t="shared" si="20"/>
        <v>337</v>
      </c>
      <c r="D353" s="3">
        <f t="shared" si="19"/>
        <v>0</v>
      </c>
      <c r="E353" s="3">
        <f>ROUND(Table15[[#This Row],[Beginning Balance]]*Table15[[#This Row],[Monthly Interest Rate]],2)</f>
        <v>0</v>
      </c>
      <c r="F353" s="3">
        <f t="shared" si="21"/>
        <v>-65</v>
      </c>
      <c r="G353" s="23">
        <f>IFERROR(IF($C$13="No","N/A",IF(Table15[[#This Row],[Period]]=1,$C$6,PMT(InterestRate*AmortizationMultiplier/12,Table15[[#This Row],[Am Thru]],-Table15[[#This Row],[Beginning Balance]]))),0)</f>
        <v>0</v>
      </c>
      <c r="H353" s="3">
        <f>MAX(0,IF(C353=$C$4,D353,ROUND(IF($C$3="Fixed Principal",$C$6-Table15[[#This Row],[Interest]],IF($C$3="Interest Only",Table15[[#This Row],[Beginning Balance]]*ROUND(1-(1-IF($C$11="No",$E$8,1))^(1/12),6),MIN(IF($C$13="Yes",Table15[[#This Row],[Payment Amount (Reamortized)]],$C$6)-Table15[[#This Row],[Interest]],Table15[[#This Row],[Beginning Balance]]))),2)))</f>
        <v>0</v>
      </c>
      <c r="I353" s="3">
        <f>_xlfn.SINGLE(IF($C$3="Line of Credit",0,ROUND(MAX(MIN(IF($C$10="No",$E$7,VLOOKUP(Table15[[#This Row],[Period]],Forecast!$H$2:$L$1048576,4,FALSE))*Table15[[#This Row],[Beginning Balance]],Table15[[#This Row],[Beginning Balance]]-Table15[[#This Row],[Principal]]),0),2)))</f>
        <v>0</v>
      </c>
      <c r="J353" s="3">
        <f>ROUND(MIN(Table15[[#This Row],[Beginning Balance]]*IF($C$8="No",$E$3,VLOOKUP(Table15[[#This Row],[Period]],Forecast!$H$2:$L$1048576,2,FALSE)),Table15[[#This Row],[Beginning Balance]]-Table15[[#This Row],[Principal]]-Table15[[#This Row],[Prepayments]]),2)</f>
        <v>0</v>
      </c>
      <c r="K353" s="3">
        <f>ROUND(Table15[[#This Row],[Defaulted Principal]]*IF($C$9="No",$E$4,VLOOKUP(Table15[[#This Row],[Period]],Forecast!$H$2:$L$1048576,3,FALSE)),2)</f>
        <v>0</v>
      </c>
      <c r="L353" s="2">
        <f>Table15[[#This Row],[Period]]+$E$9</f>
        <v>349</v>
      </c>
      <c r="M353" s="3">
        <f>Table15[[#This Row],[Defaulted Principal]]-Table15[[#This Row],[Estimated Loss]]</f>
        <v>0</v>
      </c>
      <c r="N353" s="3">
        <f>IFERROR(VLOOKUP(Table15[[#This Row],[Period]],$L$16:$M$385,2,FALSE),0)</f>
        <v>0</v>
      </c>
      <c r="O353" s="3">
        <f>Table15[[#This Row],[Beginning Balance]]-Table15[[#This Row],[Principal]]-Table15[[#This Row],[Prepayments]]-Table15[[#This Row],[Defaulted Principal]]</f>
        <v>0</v>
      </c>
      <c r="P353" s="3">
        <f>Table15[[#This Row],[Principal]]+Table15[[#This Row],[Interest]]+Table15[[#This Row],[Prepayments]]+Table15[[#This Row],[RecoveredAmount]]</f>
        <v>0</v>
      </c>
      <c r="Q353" s="3">
        <f ca="1">ROUND(Table15[[#This Row],[Cash Flow]]/((1+ActualRateToUse)^(IF(ISNUMBER(SEARCH("Actual",$C$7)),Table15[[#This Row],[Running Total]]/365,Table15[[#This Row],[Period]]/12))),2)</f>
        <v>0</v>
      </c>
      <c r="R353" s="2">
        <f>IF(MONTH(Table15[[#This Row],[Date]])=2,28,DAY(DATE(YEAR(Table15[[#This Row],[Date]]),MONTH(Table15[[#This Row],[Date]])+1,1)-1))</f>
        <v>31</v>
      </c>
      <c r="S353" s="2">
        <f ca="1">SUM(OFFSET(Table15[[#Headers],[Days in month]],1,0):Table15[[#This Row],[Days in month]])</f>
        <v>10251</v>
      </c>
      <c r="T353" s="37">
        <f>InterestRate*AmortizationMultiplier*IF(ISNUMBER(SEARCH("Actual",$C$7)),Table15[[#This Row],[Days in month]]/365,1/12)</f>
        <v>5.8133611111111103E-3</v>
      </c>
    </row>
    <row r="354" spans="2:20" x14ac:dyDescent="0.2">
      <c r="B354" s="1">
        <f t="shared" si="18"/>
        <v>56127</v>
      </c>
      <c r="C354" s="2">
        <f t="shared" si="20"/>
        <v>338</v>
      </c>
      <c r="D354" s="3">
        <f t="shared" si="19"/>
        <v>0</v>
      </c>
      <c r="E354" s="3">
        <f>ROUND(Table15[[#This Row],[Beginning Balance]]*Table15[[#This Row],[Monthly Interest Rate]],2)</f>
        <v>0</v>
      </c>
      <c r="F354" s="3">
        <f t="shared" si="21"/>
        <v>-66</v>
      </c>
      <c r="G354" s="23">
        <f>IFERROR(IF($C$13="No","N/A",IF(Table15[[#This Row],[Period]]=1,$C$6,PMT(InterestRate*AmortizationMultiplier/12,Table15[[#This Row],[Am Thru]],-Table15[[#This Row],[Beginning Balance]]))),0)</f>
        <v>0</v>
      </c>
      <c r="H354" s="3">
        <f>MAX(0,IF(C354=$C$4,D354,ROUND(IF($C$3="Fixed Principal",$C$6-Table15[[#This Row],[Interest]],IF($C$3="Interest Only",Table15[[#This Row],[Beginning Balance]]*ROUND(1-(1-IF($C$11="No",$E$8,1))^(1/12),6),MIN(IF($C$13="Yes",Table15[[#This Row],[Payment Amount (Reamortized)]],$C$6)-Table15[[#This Row],[Interest]],Table15[[#This Row],[Beginning Balance]]))),2)))</f>
        <v>0</v>
      </c>
      <c r="I354" s="3">
        <f>_xlfn.SINGLE(IF($C$3="Line of Credit",0,ROUND(MAX(MIN(IF($C$10="No",$E$7,VLOOKUP(Table15[[#This Row],[Period]],Forecast!$H$2:$L$1048576,4,FALSE))*Table15[[#This Row],[Beginning Balance]],Table15[[#This Row],[Beginning Balance]]-Table15[[#This Row],[Principal]]),0),2)))</f>
        <v>0</v>
      </c>
      <c r="J354" s="3">
        <f>ROUND(MIN(Table15[[#This Row],[Beginning Balance]]*IF($C$8="No",$E$3,VLOOKUP(Table15[[#This Row],[Period]],Forecast!$H$2:$L$1048576,2,FALSE)),Table15[[#This Row],[Beginning Balance]]-Table15[[#This Row],[Principal]]-Table15[[#This Row],[Prepayments]]),2)</f>
        <v>0</v>
      </c>
      <c r="K354" s="3">
        <f>ROUND(Table15[[#This Row],[Defaulted Principal]]*IF($C$9="No",$E$4,VLOOKUP(Table15[[#This Row],[Period]],Forecast!$H$2:$L$1048576,3,FALSE)),2)</f>
        <v>0</v>
      </c>
      <c r="L354" s="2">
        <f>Table15[[#This Row],[Period]]+$E$9</f>
        <v>350</v>
      </c>
      <c r="M354" s="3">
        <f>Table15[[#This Row],[Defaulted Principal]]-Table15[[#This Row],[Estimated Loss]]</f>
        <v>0</v>
      </c>
      <c r="N354" s="3">
        <f>IFERROR(VLOOKUP(Table15[[#This Row],[Period]],$L$16:$M$385,2,FALSE),0)</f>
        <v>0</v>
      </c>
      <c r="O354" s="3">
        <f>Table15[[#This Row],[Beginning Balance]]-Table15[[#This Row],[Principal]]-Table15[[#This Row],[Prepayments]]-Table15[[#This Row],[Defaulted Principal]]</f>
        <v>0</v>
      </c>
      <c r="P354" s="3">
        <f>Table15[[#This Row],[Principal]]+Table15[[#This Row],[Interest]]+Table15[[#This Row],[Prepayments]]+Table15[[#This Row],[RecoveredAmount]]</f>
        <v>0</v>
      </c>
      <c r="Q354" s="3">
        <f ca="1">ROUND(Table15[[#This Row],[Cash Flow]]/((1+ActualRateToUse)^(IF(ISNUMBER(SEARCH("Actual",$C$7)),Table15[[#This Row],[Running Total]]/365,Table15[[#This Row],[Period]]/12))),2)</f>
        <v>0</v>
      </c>
      <c r="R354" s="2">
        <f>IF(MONTH(Table15[[#This Row],[Date]])=2,28,DAY(DATE(YEAR(Table15[[#This Row],[Date]]),MONTH(Table15[[#This Row],[Date]])+1,1)-1))</f>
        <v>31</v>
      </c>
      <c r="S354" s="2">
        <f ca="1">SUM(OFFSET(Table15[[#Headers],[Days in month]],1,0):Table15[[#This Row],[Days in month]])</f>
        <v>10282</v>
      </c>
      <c r="T354" s="37">
        <f>InterestRate*AmortizationMultiplier*IF(ISNUMBER(SEARCH("Actual",$C$7)),Table15[[#This Row],[Days in month]]/365,1/12)</f>
        <v>5.8133611111111103E-3</v>
      </c>
    </row>
    <row r="355" spans="2:20" x14ac:dyDescent="0.2">
      <c r="B355" s="1">
        <f t="shared" si="18"/>
        <v>56157</v>
      </c>
      <c r="C355" s="2">
        <f t="shared" si="20"/>
        <v>339</v>
      </c>
      <c r="D355" s="3">
        <f t="shared" si="19"/>
        <v>0</v>
      </c>
      <c r="E355" s="3">
        <f>ROUND(Table15[[#This Row],[Beginning Balance]]*Table15[[#This Row],[Monthly Interest Rate]],2)</f>
        <v>0</v>
      </c>
      <c r="F355" s="3">
        <f t="shared" si="21"/>
        <v>-67</v>
      </c>
      <c r="G355" s="23">
        <f>IFERROR(IF($C$13="No","N/A",IF(Table15[[#This Row],[Period]]=1,$C$6,PMT(InterestRate*AmortizationMultiplier/12,Table15[[#This Row],[Am Thru]],-Table15[[#This Row],[Beginning Balance]]))),0)</f>
        <v>0</v>
      </c>
      <c r="H355" s="3">
        <f>MAX(0,IF(C355=$C$4,D355,ROUND(IF($C$3="Fixed Principal",$C$6-Table15[[#This Row],[Interest]],IF($C$3="Interest Only",Table15[[#This Row],[Beginning Balance]]*ROUND(1-(1-IF($C$11="No",$E$8,1))^(1/12),6),MIN(IF($C$13="Yes",Table15[[#This Row],[Payment Amount (Reamortized)]],$C$6)-Table15[[#This Row],[Interest]],Table15[[#This Row],[Beginning Balance]]))),2)))</f>
        <v>0</v>
      </c>
      <c r="I355" s="3">
        <f>_xlfn.SINGLE(IF($C$3="Line of Credit",0,ROUND(MAX(MIN(IF($C$10="No",$E$7,VLOOKUP(Table15[[#This Row],[Period]],Forecast!$H$2:$L$1048576,4,FALSE))*Table15[[#This Row],[Beginning Balance]],Table15[[#This Row],[Beginning Balance]]-Table15[[#This Row],[Principal]]),0),2)))</f>
        <v>0</v>
      </c>
      <c r="J355" s="3">
        <f>ROUND(MIN(Table15[[#This Row],[Beginning Balance]]*IF($C$8="No",$E$3,VLOOKUP(Table15[[#This Row],[Period]],Forecast!$H$2:$L$1048576,2,FALSE)),Table15[[#This Row],[Beginning Balance]]-Table15[[#This Row],[Principal]]-Table15[[#This Row],[Prepayments]]),2)</f>
        <v>0</v>
      </c>
      <c r="K355" s="3">
        <f>ROUND(Table15[[#This Row],[Defaulted Principal]]*IF($C$9="No",$E$4,VLOOKUP(Table15[[#This Row],[Period]],Forecast!$H$2:$L$1048576,3,FALSE)),2)</f>
        <v>0</v>
      </c>
      <c r="L355" s="2">
        <f>Table15[[#This Row],[Period]]+$E$9</f>
        <v>351</v>
      </c>
      <c r="M355" s="3">
        <f>Table15[[#This Row],[Defaulted Principal]]-Table15[[#This Row],[Estimated Loss]]</f>
        <v>0</v>
      </c>
      <c r="N355" s="3">
        <f>IFERROR(VLOOKUP(Table15[[#This Row],[Period]],$L$16:$M$385,2,FALSE),0)</f>
        <v>0</v>
      </c>
      <c r="O355" s="3">
        <f>Table15[[#This Row],[Beginning Balance]]-Table15[[#This Row],[Principal]]-Table15[[#This Row],[Prepayments]]-Table15[[#This Row],[Defaulted Principal]]</f>
        <v>0</v>
      </c>
      <c r="P355" s="3">
        <f>Table15[[#This Row],[Principal]]+Table15[[#This Row],[Interest]]+Table15[[#This Row],[Prepayments]]+Table15[[#This Row],[RecoveredAmount]]</f>
        <v>0</v>
      </c>
      <c r="Q355" s="3">
        <f ca="1">ROUND(Table15[[#This Row],[Cash Flow]]/((1+ActualRateToUse)^(IF(ISNUMBER(SEARCH("Actual",$C$7)),Table15[[#This Row],[Running Total]]/365,Table15[[#This Row],[Period]]/12))),2)</f>
        <v>0</v>
      </c>
      <c r="R355" s="2">
        <f>IF(MONTH(Table15[[#This Row],[Date]])=2,28,DAY(DATE(YEAR(Table15[[#This Row],[Date]]),MONTH(Table15[[#This Row],[Date]])+1,1)-1))</f>
        <v>30</v>
      </c>
      <c r="S355" s="2">
        <f ca="1">SUM(OFFSET(Table15[[#Headers],[Days in month]],1,0):Table15[[#This Row],[Days in month]])</f>
        <v>10312</v>
      </c>
      <c r="T355" s="37">
        <f>InterestRate*AmortizationMultiplier*IF(ISNUMBER(SEARCH("Actual",$C$7)),Table15[[#This Row],[Days in month]]/365,1/12)</f>
        <v>5.6258333333333325E-3</v>
      </c>
    </row>
    <row r="356" spans="2:20" x14ac:dyDescent="0.2">
      <c r="B356" s="1">
        <f t="shared" si="18"/>
        <v>56188</v>
      </c>
      <c r="C356" s="2">
        <f t="shared" si="20"/>
        <v>340</v>
      </c>
      <c r="D356" s="3">
        <f t="shared" si="19"/>
        <v>0</v>
      </c>
      <c r="E356" s="3">
        <f>ROUND(Table15[[#This Row],[Beginning Balance]]*Table15[[#This Row],[Monthly Interest Rate]],2)</f>
        <v>0</v>
      </c>
      <c r="F356" s="3">
        <f t="shared" si="21"/>
        <v>-68</v>
      </c>
      <c r="G356" s="23">
        <f>IFERROR(IF($C$13="No","N/A",IF(Table15[[#This Row],[Period]]=1,$C$6,PMT(InterestRate*AmortizationMultiplier/12,Table15[[#This Row],[Am Thru]],-Table15[[#This Row],[Beginning Balance]]))),0)</f>
        <v>0</v>
      </c>
      <c r="H356" s="3">
        <f>MAX(0,IF(C356=$C$4,D356,ROUND(IF($C$3="Fixed Principal",$C$6-Table15[[#This Row],[Interest]],IF($C$3="Interest Only",Table15[[#This Row],[Beginning Balance]]*ROUND(1-(1-IF($C$11="No",$E$8,1))^(1/12),6),MIN(IF($C$13="Yes",Table15[[#This Row],[Payment Amount (Reamortized)]],$C$6)-Table15[[#This Row],[Interest]],Table15[[#This Row],[Beginning Balance]]))),2)))</f>
        <v>0</v>
      </c>
      <c r="I356" s="3">
        <f>_xlfn.SINGLE(IF($C$3="Line of Credit",0,ROUND(MAX(MIN(IF($C$10="No",$E$7,VLOOKUP(Table15[[#This Row],[Period]],Forecast!$H$2:$L$1048576,4,FALSE))*Table15[[#This Row],[Beginning Balance]],Table15[[#This Row],[Beginning Balance]]-Table15[[#This Row],[Principal]]),0),2)))</f>
        <v>0</v>
      </c>
      <c r="J356" s="3">
        <f>ROUND(MIN(Table15[[#This Row],[Beginning Balance]]*IF($C$8="No",$E$3,VLOOKUP(Table15[[#This Row],[Period]],Forecast!$H$2:$L$1048576,2,FALSE)),Table15[[#This Row],[Beginning Balance]]-Table15[[#This Row],[Principal]]-Table15[[#This Row],[Prepayments]]),2)</f>
        <v>0</v>
      </c>
      <c r="K356" s="3">
        <f>ROUND(Table15[[#This Row],[Defaulted Principal]]*IF($C$9="No",$E$4,VLOOKUP(Table15[[#This Row],[Period]],Forecast!$H$2:$L$1048576,3,FALSE)),2)</f>
        <v>0</v>
      </c>
      <c r="L356" s="2">
        <f>Table15[[#This Row],[Period]]+$E$9</f>
        <v>352</v>
      </c>
      <c r="M356" s="3">
        <f>Table15[[#This Row],[Defaulted Principal]]-Table15[[#This Row],[Estimated Loss]]</f>
        <v>0</v>
      </c>
      <c r="N356" s="3">
        <f>IFERROR(VLOOKUP(Table15[[#This Row],[Period]],$L$16:$M$385,2,FALSE),0)</f>
        <v>0</v>
      </c>
      <c r="O356" s="3">
        <f>Table15[[#This Row],[Beginning Balance]]-Table15[[#This Row],[Principal]]-Table15[[#This Row],[Prepayments]]-Table15[[#This Row],[Defaulted Principal]]</f>
        <v>0</v>
      </c>
      <c r="P356" s="3">
        <f>Table15[[#This Row],[Principal]]+Table15[[#This Row],[Interest]]+Table15[[#This Row],[Prepayments]]+Table15[[#This Row],[RecoveredAmount]]</f>
        <v>0</v>
      </c>
      <c r="Q356" s="3">
        <f ca="1">ROUND(Table15[[#This Row],[Cash Flow]]/((1+ActualRateToUse)^(IF(ISNUMBER(SEARCH("Actual",$C$7)),Table15[[#This Row],[Running Total]]/365,Table15[[#This Row],[Period]]/12))),2)</f>
        <v>0</v>
      </c>
      <c r="R356" s="2">
        <f>IF(MONTH(Table15[[#This Row],[Date]])=2,28,DAY(DATE(YEAR(Table15[[#This Row],[Date]]),MONTH(Table15[[#This Row],[Date]])+1,1)-1))</f>
        <v>31</v>
      </c>
      <c r="S356" s="2">
        <f ca="1">SUM(OFFSET(Table15[[#Headers],[Days in month]],1,0):Table15[[#This Row],[Days in month]])</f>
        <v>10343</v>
      </c>
      <c r="T356" s="37">
        <f>InterestRate*AmortizationMultiplier*IF(ISNUMBER(SEARCH("Actual",$C$7)),Table15[[#This Row],[Days in month]]/365,1/12)</f>
        <v>5.8133611111111103E-3</v>
      </c>
    </row>
    <row r="357" spans="2:20" x14ac:dyDescent="0.2">
      <c r="B357" s="1">
        <f t="shared" si="18"/>
        <v>56218</v>
      </c>
      <c r="C357" s="2">
        <f t="shared" si="20"/>
        <v>341</v>
      </c>
      <c r="D357" s="3">
        <f t="shared" si="19"/>
        <v>0</v>
      </c>
      <c r="E357" s="3">
        <f>ROUND(Table15[[#This Row],[Beginning Balance]]*Table15[[#This Row],[Monthly Interest Rate]],2)</f>
        <v>0</v>
      </c>
      <c r="F357" s="3">
        <f t="shared" si="21"/>
        <v>-69</v>
      </c>
      <c r="G357" s="23">
        <f>IFERROR(IF($C$13="No","N/A",IF(Table15[[#This Row],[Period]]=1,$C$6,PMT(InterestRate*AmortizationMultiplier/12,Table15[[#This Row],[Am Thru]],-Table15[[#This Row],[Beginning Balance]]))),0)</f>
        <v>0</v>
      </c>
      <c r="H357" s="3">
        <f>MAX(0,IF(C357=$C$4,D357,ROUND(IF($C$3="Fixed Principal",$C$6-Table15[[#This Row],[Interest]],IF($C$3="Interest Only",Table15[[#This Row],[Beginning Balance]]*ROUND(1-(1-IF($C$11="No",$E$8,1))^(1/12),6),MIN(IF($C$13="Yes",Table15[[#This Row],[Payment Amount (Reamortized)]],$C$6)-Table15[[#This Row],[Interest]],Table15[[#This Row],[Beginning Balance]]))),2)))</f>
        <v>0</v>
      </c>
      <c r="I357" s="3">
        <f>_xlfn.SINGLE(IF($C$3="Line of Credit",0,ROUND(MAX(MIN(IF($C$10="No",$E$7,VLOOKUP(Table15[[#This Row],[Period]],Forecast!$H$2:$L$1048576,4,FALSE))*Table15[[#This Row],[Beginning Balance]],Table15[[#This Row],[Beginning Balance]]-Table15[[#This Row],[Principal]]),0),2)))</f>
        <v>0</v>
      </c>
      <c r="J357" s="3">
        <f>ROUND(MIN(Table15[[#This Row],[Beginning Balance]]*IF($C$8="No",$E$3,VLOOKUP(Table15[[#This Row],[Period]],Forecast!$H$2:$L$1048576,2,FALSE)),Table15[[#This Row],[Beginning Balance]]-Table15[[#This Row],[Principal]]-Table15[[#This Row],[Prepayments]]),2)</f>
        <v>0</v>
      </c>
      <c r="K357" s="3">
        <f>ROUND(Table15[[#This Row],[Defaulted Principal]]*IF($C$9="No",$E$4,VLOOKUP(Table15[[#This Row],[Period]],Forecast!$H$2:$L$1048576,3,FALSE)),2)</f>
        <v>0</v>
      </c>
      <c r="L357" s="2">
        <f>Table15[[#This Row],[Period]]+$E$9</f>
        <v>353</v>
      </c>
      <c r="M357" s="3">
        <f>Table15[[#This Row],[Defaulted Principal]]-Table15[[#This Row],[Estimated Loss]]</f>
        <v>0</v>
      </c>
      <c r="N357" s="3">
        <f>IFERROR(VLOOKUP(Table15[[#This Row],[Period]],$L$16:$M$385,2,FALSE),0)</f>
        <v>0</v>
      </c>
      <c r="O357" s="3">
        <f>Table15[[#This Row],[Beginning Balance]]-Table15[[#This Row],[Principal]]-Table15[[#This Row],[Prepayments]]-Table15[[#This Row],[Defaulted Principal]]</f>
        <v>0</v>
      </c>
      <c r="P357" s="3">
        <f>Table15[[#This Row],[Principal]]+Table15[[#This Row],[Interest]]+Table15[[#This Row],[Prepayments]]+Table15[[#This Row],[RecoveredAmount]]</f>
        <v>0</v>
      </c>
      <c r="Q357" s="3">
        <f ca="1">ROUND(Table15[[#This Row],[Cash Flow]]/((1+ActualRateToUse)^(IF(ISNUMBER(SEARCH("Actual",$C$7)),Table15[[#This Row],[Running Total]]/365,Table15[[#This Row],[Period]]/12))),2)</f>
        <v>0</v>
      </c>
      <c r="R357" s="2">
        <f>IF(MONTH(Table15[[#This Row],[Date]])=2,28,DAY(DATE(YEAR(Table15[[#This Row],[Date]]),MONTH(Table15[[#This Row],[Date]])+1,1)-1))</f>
        <v>30</v>
      </c>
      <c r="S357" s="2">
        <f ca="1">SUM(OFFSET(Table15[[#Headers],[Days in month]],1,0):Table15[[#This Row],[Days in month]])</f>
        <v>10373</v>
      </c>
      <c r="T357" s="37">
        <f>InterestRate*AmortizationMultiplier*IF(ISNUMBER(SEARCH("Actual",$C$7)),Table15[[#This Row],[Days in month]]/365,1/12)</f>
        <v>5.6258333333333325E-3</v>
      </c>
    </row>
    <row r="358" spans="2:20" x14ac:dyDescent="0.2">
      <c r="B358" s="1">
        <f t="shared" si="18"/>
        <v>56249</v>
      </c>
      <c r="C358" s="2">
        <f t="shared" si="20"/>
        <v>342</v>
      </c>
      <c r="D358" s="3">
        <f t="shared" si="19"/>
        <v>0</v>
      </c>
      <c r="E358" s="3">
        <f>ROUND(Table15[[#This Row],[Beginning Balance]]*Table15[[#This Row],[Monthly Interest Rate]],2)</f>
        <v>0</v>
      </c>
      <c r="F358" s="3">
        <f t="shared" si="21"/>
        <v>-70</v>
      </c>
      <c r="G358" s="23">
        <f>IFERROR(IF($C$13="No","N/A",IF(Table15[[#This Row],[Period]]=1,$C$6,PMT(InterestRate*AmortizationMultiplier/12,Table15[[#This Row],[Am Thru]],-Table15[[#This Row],[Beginning Balance]]))),0)</f>
        <v>0</v>
      </c>
      <c r="H358" s="3">
        <f>MAX(0,IF(C358=$C$4,D358,ROUND(IF($C$3="Fixed Principal",$C$6-Table15[[#This Row],[Interest]],IF($C$3="Interest Only",Table15[[#This Row],[Beginning Balance]]*ROUND(1-(1-IF($C$11="No",$E$8,1))^(1/12),6),MIN(IF($C$13="Yes",Table15[[#This Row],[Payment Amount (Reamortized)]],$C$6)-Table15[[#This Row],[Interest]],Table15[[#This Row],[Beginning Balance]]))),2)))</f>
        <v>0</v>
      </c>
      <c r="I358" s="3">
        <f>_xlfn.SINGLE(IF($C$3="Line of Credit",0,ROUND(MAX(MIN(IF($C$10="No",$E$7,VLOOKUP(Table15[[#This Row],[Period]],Forecast!$H$2:$L$1048576,4,FALSE))*Table15[[#This Row],[Beginning Balance]],Table15[[#This Row],[Beginning Balance]]-Table15[[#This Row],[Principal]]),0),2)))</f>
        <v>0</v>
      </c>
      <c r="J358" s="3">
        <f>ROUND(MIN(Table15[[#This Row],[Beginning Balance]]*IF($C$8="No",$E$3,VLOOKUP(Table15[[#This Row],[Period]],Forecast!$H$2:$L$1048576,2,FALSE)),Table15[[#This Row],[Beginning Balance]]-Table15[[#This Row],[Principal]]-Table15[[#This Row],[Prepayments]]),2)</f>
        <v>0</v>
      </c>
      <c r="K358" s="3">
        <f>ROUND(Table15[[#This Row],[Defaulted Principal]]*IF($C$9="No",$E$4,VLOOKUP(Table15[[#This Row],[Period]],Forecast!$H$2:$L$1048576,3,FALSE)),2)</f>
        <v>0</v>
      </c>
      <c r="L358" s="2">
        <f>Table15[[#This Row],[Period]]+$E$9</f>
        <v>354</v>
      </c>
      <c r="M358" s="3">
        <f>Table15[[#This Row],[Defaulted Principal]]-Table15[[#This Row],[Estimated Loss]]</f>
        <v>0</v>
      </c>
      <c r="N358" s="3">
        <f>IFERROR(VLOOKUP(Table15[[#This Row],[Period]],$L$16:$M$385,2,FALSE),0)</f>
        <v>0</v>
      </c>
      <c r="O358" s="3">
        <f>Table15[[#This Row],[Beginning Balance]]-Table15[[#This Row],[Principal]]-Table15[[#This Row],[Prepayments]]-Table15[[#This Row],[Defaulted Principal]]</f>
        <v>0</v>
      </c>
      <c r="P358" s="3">
        <f>Table15[[#This Row],[Principal]]+Table15[[#This Row],[Interest]]+Table15[[#This Row],[Prepayments]]+Table15[[#This Row],[RecoveredAmount]]</f>
        <v>0</v>
      </c>
      <c r="Q358" s="3">
        <f ca="1">ROUND(Table15[[#This Row],[Cash Flow]]/((1+ActualRateToUse)^(IF(ISNUMBER(SEARCH("Actual",$C$7)),Table15[[#This Row],[Running Total]]/365,Table15[[#This Row],[Period]]/12))),2)</f>
        <v>0</v>
      </c>
      <c r="R358" s="2">
        <f>IF(MONTH(Table15[[#This Row],[Date]])=2,28,DAY(DATE(YEAR(Table15[[#This Row],[Date]]),MONTH(Table15[[#This Row],[Date]])+1,1)-1))</f>
        <v>31</v>
      </c>
      <c r="S358" s="2">
        <f ca="1">SUM(OFFSET(Table15[[#Headers],[Days in month]],1,0):Table15[[#This Row],[Days in month]])</f>
        <v>10404</v>
      </c>
      <c r="T358" s="37">
        <f>InterestRate*AmortizationMultiplier*IF(ISNUMBER(SEARCH("Actual",$C$7)),Table15[[#This Row],[Days in month]]/365,1/12)</f>
        <v>5.8133611111111103E-3</v>
      </c>
    </row>
    <row r="359" spans="2:20" x14ac:dyDescent="0.2">
      <c r="B359" s="1">
        <f t="shared" si="18"/>
        <v>56280</v>
      </c>
      <c r="C359" s="2">
        <f t="shared" si="20"/>
        <v>343</v>
      </c>
      <c r="D359" s="3">
        <f t="shared" si="19"/>
        <v>0</v>
      </c>
      <c r="E359" s="3">
        <f>ROUND(Table15[[#This Row],[Beginning Balance]]*Table15[[#This Row],[Monthly Interest Rate]],2)</f>
        <v>0</v>
      </c>
      <c r="F359" s="3">
        <f t="shared" si="21"/>
        <v>-71</v>
      </c>
      <c r="G359" s="23">
        <f>IFERROR(IF($C$13="No","N/A",IF(Table15[[#This Row],[Period]]=1,$C$6,PMT(InterestRate*AmortizationMultiplier/12,Table15[[#This Row],[Am Thru]],-Table15[[#This Row],[Beginning Balance]]))),0)</f>
        <v>0</v>
      </c>
      <c r="H359" s="3">
        <f>MAX(0,IF(C359=$C$4,D359,ROUND(IF($C$3="Fixed Principal",$C$6-Table15[[#This Row],[Interest]],IF($C$3="Interest Only",Table15[[#This Row],[Beginning Balance]]*ROUND(1-(1-IF($C$11="No",$E$8,1))^(1/12),6),MIN(IF($C$13="Yes",Table15[[#This Row],[Payment Amount (Reamortized)]],$C$6)-Table15[[#This Row],[Interest]],Table15[[#This Row],[Beginning Balance]]))),2)))</f>
        <v>0</v>
      </c>
      <c r="I359" s="3">
        <f>_xlfn.SINGLE(IF($C$3="Line of Credit",0,ROUND(MAX(MIN(IF($C$10="No",$E$7,VLOOKUP(Table15[[#This Row],[Period]],Forecast!$H$2:$L$1048576,4,FALSE))*Table15[[#This Row],[Beginning Balance]],Table15[[#This Row],[Beginning Balance]]-Table15[[#This Row],[Principal]]),0),2)))</f>
        <v>0</v>
      </c>
      <c r="J359" s="3">
        <f>ROUND(MIN(Table15[[#This Row],[Beginning Balance]]*IF($C$8="No",$E$3,VLOOKUP(Table15[[#This Row],[Period]],Forecast!$H$2:$L$1048576,2,FALSE)),Table15[[#This Row],[Beginning Balance]]-Table15[[#This Row],[Principal]]-Table15[[#This Row],[Prepayments]]),2)</f>
        <v>0</v>
      </c>
      <c r="K359" s="3">
        <f>ROUND(Table15[[#This Row],[Defaulted Principal]]*IF($C$9="No",$E$4,VLOOKUP(Table15[[#This Row],[Period]],Forecast!$H$2:$L$1048576,3,FALSE)),2)</f>
        <v>0</v>
      </c>
      <c r="L359" s="2">
        <f>Table15[[#This Row],[Period]]+$E$9</f>
        <v>355</v>
      </c>
      <c r="M359" s="3">
        <f>Table15[[#This Row],[Defaulted Principal]]-Table15[[#This Row],[Estimated Loss]]</f>
        <v>0</v>
      </c>
      <c r="N359" s="3">
        <f>IFERROR(VLOOKUP(Table15[[#This Row],[Period]],$L$16:$M$385,2,FALSE),0)</f>
        <v>0</v>
      </c>
      <c r="O359" s="3">
        <f>Table15[[#This Row],[Beginning Balance]]-Table15[[#This Row],[Principal]]-Table15[[#This Row],[Prepayments]]-Table15[[#This Row],[Defaulted Principal]]</f>
        <v>0</v>
      </c>
      <c r="P359" s="3">
        <f>Table15[[#This Row],[Principal]]+Table15[[#This Row],[Interest]]+Table15[[#This Row],[Prepayments]]+Table15[[#This Row],[RecoveredAmount]]</f>
        <v>0</v>
      </c>
      <c r="Q359" s="3">
        <f ca="1">ROUND(Table15[[#This Row],[Cash Flow]]/((1+ActualRateToUse)^(IF(ISNUMBER(SEARCH("Actual",$C$7)),Table15[[#This Row],[Running Total]]/365,Table15[[#This Row],[Period]]/12))),2)</f>
        <v>0</v>
      </c>
      <c r="R359" s="2">
        <f>IF(MONTH(Table15[[#This Row],[Date]])=2,28,DAY(DATE(YEAR(Table15[[#This Row],[Date]]),MONTH(Table15[[#This Row],[Date]])+1,1)-1))</f>
        <v>31</v>
      </c>
      <c r="S359" s="2">
        <f ca="1">SUM(OFFSET(Table15[[#Headers],[Days in month]],1,0):Table15[[#This Row],[Days in month]])</f>
        <v>10435</v>
      </c>
      <c r="T359" s="37">
        <f>InterestRate*AmortizationMultiplier*IF(ISNUMBER(SEARCH("Actual",$C$7)),Table15[[#This Row],[Days in month]]/365,1/12)</f>
        <v>5.8133611111111103E-3</v>
      </c>
    </row>
    <row r="360" spans="2:20" x14ac:dyDescent="0.2">
      <c r="B360" s="1">
        <f t="shared" si="18"/>
        <v>56308</v>
      </c>
      <c r="C360" s="2">
        <f t="shared" si="20"/>
        <v>344</v>
      </c>
      <c r="D360" s="3">
        <f t="shared" si="19"/>
        <v>0</v>
      </c>
      <c r="E360" s="3">
        <f>ROUND(Table15[[#This Row],[Beginning Balance]]*Table15[[#This Row],[Monthly Interest Rate]],2)</f>
        <v>0</v>
      </c>
      <c r="F360" s="3">
        <f t="shared" si="21"/>
        <v>-72</v>
      </c>
      <c r="G360" s="23">
        <f>IFERROR(IF($C$13="No","N/A",IF(Table15[[#This Row],[Period]]=1,$C$6,PMT(InterestRate*AmortizationMultiplier/12,Table15[[#This Row],[Am Thru]],-Table15[[#This Row],[Beginning Balance]]))),0)</f>
        <v>0</v>
      </c>
      <c r="H360" s="3">
        <f>MAX(0,IF(C360=$C$4,D360,ROUND(IF($C$3="Fixed Principal",$C$6-Table15[[#This Row],[Interest]],IF($C$3="Interest Only",Table15[[#This Row],[Beginning Balance]]*ROUND(1-(1-IF($C$11="No",$E$8,1))^(1/12),6),MIN(IF($C$13="Yes",Table15[[#This Row],[Payment Amount (Reamortized)]],$C$6)-Table15[[#This Row],[Interest]],Table15[[#This Row],[Beginning Balance]]))),2)))</f>
        <v>0</v>
      </c>
      <c r="I360" s="3">
        <f>_xlfn.SINGLE(IF($C$3="Line of Credit",0,ROUND(MAX(MIN(IF($C$10="No",$E$7,VLOOKUP(Table15[[#This Row],[Period]],Forecast!$H$2:$L$1048576,4,FALSE))*Table15[[#This Row],[Beginning Balance]],Table15[[#This Row],[Beginning Balance]]-Table15[[#This Row],[Principal]]),0),2)))</f>
        <v>0</v>
      </c>
      <c r="J360" s="3">
        <f>ROUND(MIN(Table15[[#This Row],[Beginning Balance]]*IF($C$8="No",$E$3,VLOOKUP(Table15[[#This Row],[Period]],Forecast!$H$2:$L$1048576,2,FALSE)),Table15[[#This Row],[Beginning Balance]]-Table15[[#This Row],[Principal]]-Table15[[#This Row],[Prepayments]]),2)</f>
        <v>0</v>
      </c>
      <c r="K360" s="3">
        <f>ROUND(Table15[[#This Row],[Defaulted Principal]]*IF($C$9="No",$E$4,VLOOKUP(Table15[[#This Row],[Period]],Forecast!$H$2:$L$1048576,3,FALSE)),2)</f>
        <v>0</v>
      </c>
      <c r="L360" s="2">
        <f>Table15[[#This Row],[Period]]+$E$9</f>
        <v>356</v>
      </c>
      <c r="M360" s="3">
        <f>Table15[[#This Row],[Defaulted Principal]]-Table15[[#This Row],[Estimated Loss]]</f>
        <v>0</v>
      </c>
      <c r="N360" s="3">
        <f>IFERROR(VLOOKUP(Table15[[#This Row],[Period]],$L$16:$M$385,2,FALSE),0)</f>
        <v>0</v>
      </c>
      <c r="O360" s="3">
        <f>Table15[[#This Row],[Beginning Balance]]-Table15[[#This Row],[Principal]]-Table15[[#This Row],[Prepayments]]-Table15[[#This Row],[Defaulted Principal]]</f>
        <v>0</v>
      </c>
      <c r="P360" s="3">
        <f>Table15[[#This Row],[Principal]]+Table15[[#This Row],[Interest]]+Table15[[#This Row],[Prepayments]]+Table15[[#This Row],[RecoveredAmount]]</f>
        <v>0</v>
      </c>
      <c r="Q360" s="3">
        <f ca="1">ROUND(Table15[[#This Row],[Cash Flow]]/((1+ActualRateToUse)^(IF(ISNUMBER(SEARCH("Actual",$C$7)),Table15[[#This Row],[Running Total]]/365,Table15[[#This Row],[Period]]/12))),2)</f>
        <v>0</v>
      </c>
      <c r="R360" s="2">
        <f>IF(MONTH(Table15[[#This Row],[Date]])=2,28,DAY(DATE(YEAR(Table15[[#This Row],[Date]]),MONTH(Table15[[#This Row],[Date]])+1,1)-1))</f>
        <v>28</v>
      </c>
      <c r="S360" s="2">
        <f ca="1">SUM(OFFSET(Table15[[#Headers],[Days in month]],1,0):Table15[[#This Row],[Days in month]])</f>
        <v>10463</v>
      </c>
      <c r="T360" s="37">
        <f>InterestRate*AmortizationMultiplier*IF(ISNUMBER(SEARCH("Actual",$C$7)),Table15[[#This Row],[Days in month]]/365,1/12)</f>
        <v>5.2507777777777778E-3</v>
      </c>
    </row>
    <row r="361" spans="2:20" x14ac:dyDescent="0.2">
      <c r="B361" s="1">
        <f t="shared" si="18"/>
        <v>56339</v>
      </c>
      <c r="C361" s="2">
        <f t="shared" si="20"/>
        <v>345</v>
      </c>
      <c r="D361" s="3">
        <f t="shared" si="19"/>
        <v>0</v>
      </c>
      <c r="E361" s="3">
        <f>ROUND(Table15[[#This Row],[Beginning Balance]]*Table15[[#This Row],[Monthly Interest Rate]],2)</f>
        <v>0</v>
      </c>
      <c r="F361" s="3">
        <f t="shared" si="21"/>
        <v>-73</v>
      </c>
      <c r="G361" s="23">
        <f>IFERROR(IF($C$13="No","N/A",IF(Table15[[#This Row],[Period]]=1,$C$6,PMT(InterestRate*AmortizationMultiplier/12,Table15[[#This Row],[Am Thru]],-Table15[[#This Row],[Beginning Balance]]))),0)</f>
        <v>0</v>
      </c>
      <c r="H361" s="3">
        <f>MAX(0,IF(C361=$C$4,D361,ROUND(IF($C$3="Fixed Principal",$C$6-Table15[[#This Row],[Interest]],IF($C$3="Interest Only",Table15[[#This Row],[Beginning Balance]]*ROUND(1-(1-IF($C$11="No",$E$8,1))^(1/12),6),MIN(IF($C$13="Yes",Table15[[#This Row],[Payment Amount (Reamortized)]],$C$6)-Table15[[#This Row],[Interest]],Table15[[#This Row],[Beginning Balance]]))),2)))</f>
        <v>0</v>
      </c>
      <c r="I361" s="3">
        <f>_xlfn.SINGLE(IF($C$3="Line of Credit",0,ROUND(MAX(MIN(IF($C$10="No",$E$7,VLOOKUP(Table15[[#This Row],[Period]],Forecast!$H$2:$L$1048576,4,FALSE))*Table15[[#This Row],[Beginning Balance]],Table15[[#This Row],[Beginning Balance]]-Table15[[#This Row],[Principal]]),0),2)))</f>
        <v>0</v>
      </c>
      <c r="J361" s="3">
        <f>ROUND(MIN(Table15[[#This Row],[Beginning Balance]]*IF($C$8="No",$E$3,VLOOKUP(Table15[[#This Row],[Period]],Forecast!$H$2:$L$1048576,2,FALSE)),Table15[[#This Row],[Beginning Balance]]-Table15[[#This Row],[Principal]]-Table15[[#This Row],[Prepayments]]),2)</f>
        <v>0</v>
      </c>
      <c r="K361" s="3">
        <f>ROUND(Table15[[#This Row],[Defaulted Principal]]*IF($C$9="No",$E$4,VLOOKUP(Table15[[#This Row],[Period]],Forecast!$H$2:$L$1048576,3,FALSE)),2)</f>
        <v>0</v>
      </c>
      <c r="L361" s="2">
        <f>Table15[[#This Row],[Period]]+$E$9</f>
        <v>357</v>
      </c>
      <c r="M361" s="3">
        <f>Table15[[#This Row],[Defaulted Principal]]-Table15[[#This Row],[Estimated Loss]]</f>
        <v>0</v>
      </c>
      <c r="N361" s="3">
        <f>IFERROR(VLOOKUP(Table15[[#This Row],[Period]],$L$16:$M$385,2,FALSE),0)</f>
        <v>0</v>
      </c>
      <c r="O361" s="3">
        <f>Table15[[#This Row],[Beginning Balance]]-Table15[[#This Row],[Principal]]-Table15[[#This Row],[Prepayments]]-Table15[[#This Row],[Defaulted Principal]]</f>
        <v>0</v>
      </c>
      <c r="P361" s="3">
        <f>Table15[[#This Row],[Principal]]+Table15[[#This Row],[Interest]]+Table15[[#This Row],[Prepayments]]+Table15[[#This Row],[RecoveredAmount]]</f>
        <v>0</v>
      </c>
      <c r="Q361" s="3">
        <f ca="1">ROUND(Table15[[#This Row],[Cash Flow]]/((1+ActualRateToUse)^(IF(ISNUMBER(SEARCH("Actual",$C$7)),Table15[[#This Row],[Running Total]]/365,Table15[[#This Row],[Period]]/12))),2)</f>
        <v>0</v>
      </c>
      <c r="R361" s="2">
        <f>IF(MONTH(Table15[[#This Row],[Date]])=2,28,DAY(DATE(YEAR(Table15[[#This Row],[Date]]),MONTH(Table15[[#This Row],[Date]])+1,1)-1))</f>
        <v>31</v>
      </c>
      <c r="S361" s="2">
        <f ca="1">SUM(OFFSET(Table15[[#Headers],[Days in month]],1,0):Table15[[#This Row],[Days in month]])</f>
        <v>10494</v>
      </c>
      <c r="T361" s="37">
        <f>InterestRate*AmortizationMultiplier*IF(ISNUMBER(SEARCH("Actual",$C$7)),Table15[[#This Row],[Days in month]]/365,1/12)</f>
        <v>5.8133611111111103E-3</v>
      </c>
    </row>
    <row r="362" spans="2:20" x14ac:dyDescent="0.2">
      <c r="B362" s="1">
        <f t="shared" si="18"/>
        <v>56369</v>
      </c>
      <c r="C362" s="2">
        <f t="shared" si="20"/>
        <v>346</v>
      </c>
      <c r="D362" s="3">
        <f t="shared" si="19"/>
        <v>0</v>
      </c>
      <c r="E362" s="3">
        <f>ROUND(Table15[[#This Row],[Beginning Balance]]*Table15[[#This Row],[Monthly Interest Rate]],2)</f>
        <v>0</v>
      </c>
      <c r="F362" s="3">
        <f t="shared" si="21"/>
        <v>-74</v>
      </c>
      <c r="G362" s="23">
        <f>IFERROR(IF($C$13="No","N/A",IF(Table15[[#This Row],[Period]]=1,$C$6,PMT(InterestRate*AmortizationMultiplier/12,Table15[[#This Row],[Am Thru]],-Table15[[#This Row],[Beginning Balance]]))),0)</f>
        <v>0</v>
      </c>
      <c r="H362" s="3">
        <f>MAX(0,IF(C362=$C$4,D362,ROUND(IF($C$3="Fixed Principal",$C$6-Table15[[#This Row],[Interest]],IF($C$3="Interest Only",Table15[[#This Row],[Beginning Balance]]*ROUND(1-(1-IF($C$11="No",$E$8,1))^(1/12),6),MIN(IF($C$13="Yes",Table15[[#This Row],[Payment Amount (Reamortized)]],$C$6)-Table15[[#This Row],[Interest]],Table15[[#This Row],[Beginning Balance]]))),2)))</f>
        <v>0</v>
      </c>
      <c r="I362" s="3">
        <f>_xlfn.SINGLE(IF($C$3="Line of Credit",0,ROUND(MAX(MIN(IF($C$10="No",$E$7,VLOOKUP(Table15[[#This Row],[Period]],Forecast!$H$2:$L$1048576,4,FALSE))*Table15[[#This Row],[Beginning Balance]],Table15[[#This Row],[Beginning Balance]]-Table15[[#This Row],[Principal]]),0),2)))</f>
        <v>0</v>
      </c>
      <c r="J362" s="3">
        <f>ROUND(MIN(Table15[[#This Row],[Beginning Balance]]*IF($C$8="No",$E$3,VLOOKUP(Table15[[#This Row],[Period]],Forecast!$H$2:$L$1048576,2,FALSE)),Table15[[#This Row],[Beginning Balance]]-Table15[[#This Row],[Principal]]-Table15[[#This Row],[Prepayments]]),2)</f>
        <v>0</v>
      </c>
      <c r="K362" s="3">
        <f>ROUND(Table15[[#This Row],[Defaulted Principal]]*IF($C$9="No",$E$4,VLOOKUP(Table15[[#This Row],[Period]],Forecast!$H$2:$L$1048576,3,FALSE)),2)</f>
        <v>0</v>
      </c>
      <c r="L362" s="2">
        <f>Table15[[#This Row],[Period]]+$E$9</f>
        <v>358</v>
      </c>
      <c r="M362" s="3">
        <f>Table15[[#This Row],[Defaulted Principal]]-Table15[[#This Row],[Estimated Loss]]</f>
        <v>0</v>
      </c>
      <c r="N362" s="3">
        <f>IFERROR(VLOOKUP(Table15[[#This Row],[Period]],$L$16:$M$385,2,FALSE),0)</f>
        <v>0</v>
      </c>
      <c r="O362" s="3">
        <f>Table15[[#This Row],[Beginning Balance]]-Table15[[#This Row],[Principal]]-Table15[[#This Row],[Prepayments]]-Table15[[#This Row],[Defaulted Principal]]</f>
        <v>0</v>
      </c>
      <c r="P362" s="3">
        <f>Table15[[#This Row],[Principal]]+Table15[[#This Row],[Interest]]+Table15[[#This Row],[Prepayments]]+Table15[[#This Row],[RecoveredAmount]]</f>
        <v>0</v>
      </c>
      <c r="Q362" s="3">
        <f ca="1">ROUND(Table15[[#This Row],[Cash Flow]]/((1+ActualRateToUse)^(IF(ISNUMBER(SEARCH("Actual",$C$7)),Table15[[#This Row],[Running Total]]/365,Table15[[#This Row],[Period]]/12))),2)</f>
        <v>0</v>
      </c>
      <c r="R362" s="2">
        <f>IF(MONTH(Table15[[#This Row],[Date]])=2,28,DAY(DATE(YEAR(Table15[[#This Row],[Date]]),MONTH(Table15[[#This Row],[Date]])+1,1)-1))</f>
        <v>30</v>
      </c>
      <c r="S362" s="2">
        <f ca="1">SUM(OFFSET(Table15[[#Headers],[Days in month]],1,0):Table15[[#This Row],[Days in month]])</f>
        <v>10524</v>
      </c>
      <c r="T362" s="37">
        <f>InterestRate*AmortizationMultiplier*IF(ISNUMBER(SEARCH("Actual",$C$7)),Table15[[#This Row],[Days in month]]/365,1/12)</f>
        <v>5.6258333333333325E-3</v>
      </c>
    </row>
    <row r="363" spans="2:20" x14ac:dyDescent="0.2">
      <c r="B363" s="1">
        <f t="shared" si="18"/>
        <v>56400</v>
      </c>
      <c r="C363" s="2">
        <f t="shared" si="20"/>
        <v>347</v>
      </c>
      <c r="D363" s="3">
        <f t="shared" si="19"/>
        <v>0</v>
      </c>
      <c r="E363" s="3">
        <f>ROUND(Table15[[#This Row],[Beginning Balance]]*Table15[[#This Row],[Monthly Interest Rate]],2)</f>
        <v>0</v>
      </c>
      <c r="F363" s="3">
        <f t="shared" si="21"/>
        <v>-75</v>
      </c>
      <c r="G363" s="23">
        <f>IFERROR(IF($C$13="No","N/A",IF(Table15[[#This Row],[Period]]=1,$C$6,PMT(InterestRate*AmortizationMultiplier/12,Table15[[#This Row],[Am Thru]],-Table15[[#This Row],[Beginning Balance]]))),0)</f>
        <v>0</v>
      </c>
      <c r="H363" s="3">
        <f>MAX(0,IF(C363=$C$4,D363,ROUND(IF($C$3="Fixed Principal",$C$6-Table15[[#This Row],[Interest]],IF($C$3="Interest Only",Table15[[#This Row],[Beginning Balance]]*ROUND(1-(1-IF($C$11="No",$E$8,1))^(1/12),6),MIN(IF($C$13="Yes",Table15[[#This Row],[Payment Amount (Reamortized)]],$C$6)-Table15[[#This Row],[Interest]],Table15[[#This Row],[Beginning Balance]]))),2)))</f>
        <v>0</v>
      </c>
      <c r="I363" s="3">
        <f>_xlfn.SINGLE(IF($C$3="Line of Credit",0,ROUND(MAX(MIN(IF($C$10="No",$E$7,VLOOKUP(Table15[[#This Row],[Period]],Forecast!$H$2:$L$1048576,4,FALSE))*Table15[[#This Row],[Beginning Balance]],Table15[[#This Row],[Beginning Balance]]-Table15[[#This Row],[Principal]]),0),2)))</f>
        <v>0</v>
      </c>
      <c r="J363" s="3">
        <f>ROUND(MIN(Table15[[#This Row],[Beginning Balance]]*IF($C$8="No",$E$3,VLOOKUP(Table15[[#This Row],[Period]],Forecast!$H$2:$L$1048576,2,FALSE)),Table15[[#This Row],[Beginning Balance]]-Table15[[#This Row],[Principal]]-Table15[[#This Row],[Prepayments]]),2)</f>
        <v>0</v>
      </c>
      <c r="K363" s="3">
        <f>ROUND(Table15[[#This Row],[Defaulted Principal]]*IF($C$9="No",$E$4,VLOOKUP(Table15[[#This Row],[Period]],Forecast!$H$2:$L$1048576,3,FALSE)),2)</f>
        <v>0</v>
      </c>
      <c r="L363" s="2">
        <f>Table15[[#This Row],[Period]]+$E$9</f>
        <v>359</v>
      </c>
      <c r="M363" s="3">
        <f>Table15[[#This Row],[Defaulted Principal]]-Table15[[#This Row],[Estimated Loss]]</f>
        <v>0</v>
      </c>
      <c r="N363" s="3">
        <f>IFERROR(VLOOKUP(Table15[[#This Row],[Period]],$L$16:$M$385,2,FALSE),0)</f>
        <v>0</v>
      </c>
      <c r="O363" s="3">
        <f>Table15[[#This Row],[Beginning Balance]]-Table15[[#This Row],[Principal]]-Table15[[#This Row],[Prepayments]]-Table15[[#This Row],[Defaulted Principal]]</f>
        <v>0</v>
      </c>
      <c r="P363" s="3">
        <f>Table15[[#This Row],[Principal]]+Table15[[#This Row],[Interest]]+Table15[[#This Row],[Prepayments]]+Table15[[#This Row],[RecoveredAmount]]</f>
        <v>0</v>
      </c>
      <c r="Q363" s="3">
        <f ca="1">ROUND(Table15[[#This Row],[Cash Flow]]/((1+ActualRateToUse)^(IF(ISNUMBER(SEARCH("Actual",$C$7)),Table15[[#This Row],[Running Total]]/365,Table15[[#This Row],[Period]]/12))),2)</f>
        <v>0</v>
      </c>
      <c r="R363" s="2">
        <f>IF(MONTH(Table15[[#This Row],[Date]])=2,28,DAY(DATE(YEAR(Table15[[#This Row],[Date]]),MONTH(Table15[[#This Row],[Date]])+1,1)-1))</f>
        <v>31</v>
      </c>
      <c r="S363" s="2">
        <f ca="1">SUM(OFFSET(Table15[[#Headers],[Days in month]],1,0):Table15[[#This Row],[Days in month]])</f>
        <v>10555</v>
      </c>
      <c r="T363" s="37">
        <f>InterestRate*AmortizationMultiplier*IF(ISNUMBER(SEARCH("Actual",$C$7)),Table15[[#This Row],[Days in month]]/365,1/12)</f>
        <v>5.8133611111111103E-3</v>
      </c>
    </row>
    <row r="364" spans="2:20" x14ac:dyDescent="0.2">
      <c r="B364" s="1">
        <f t="shared" si="18"/>
        <v>56430</v>
      </c>
      <c r="C364" s="2">
        <f t="shared" si="20"/>
        <v>348</v>
      </c>
      <c r="D364" s="3">
        <f t="shared" si="19"/>
        <v>0</v>
      </c>
      <c r="E364" s="3">
        <f>ROUND(Table15[[#This Row],[Beginning Balance]]*Table15[[#This Row],[Monthly Interest Rate]],2)</f>
        <v>0</v>
      </c>
      <c r="F364" s="3">
        <f t="shared" si="21"/>
        <v>-76</v>
      </c>
      <c r="G364" s="23">
        <f>IFERROR(IF($C$13="No","N/A",IF(Table15[[#This Row],[Period]]=1,$C$6,PMT(InterestRate*AmortizationMultiplier/12,Table15[[#This Row],[Am Thru]],-Table15[[#This Row],[Beginning Balance]]))),0)</f>
        <v>0</v>
      </c>
      <c r="H364" s="3">
        <f>MAX(0,IF(C364=$C$4,D364,ROUND(IF($C$3="Fixed Principal",$C$6-Table15[[#This Row],[Interest]],IF($C$3="Interest Only",Table15[[#This Row],[Beginning Balance]]*ROUND(1-(1-IF($C$11="No",$E$8,1))^(1/12),6),MIN(IF($C$13="Yes",Table15[[#This Row],[Payment Amount (Reamortized)]],$C$6)-Table15[[#This Row],[Interest]],Table15[[#This Row],[Beginning Balance]]))),2)))</f>
        <v>0</v>
      </c>
      <c r="I364" s="3">
        <f>_xlfn.SINGLE(IF($C$3="Line of Credit",0,ROUND(MAX(MIN(IF($C$10="No",$E$7,VLOOKUP(Table15[[#This Row],[Period]],Forecast!$H$2:$L$1048576,4,FALSE))*Table15[[#This Row],[Beginning Balance]],Table15[[#This Row],[Beginning Balance]]-Table15[[#This Row],[Principal]]),0),2)))</f>
        <v>0</v>
      </c>
      <c r="J364" s="3">
        <f>ROUND(MIN(Table15[[#This Row],[Beginning Balance]]*IF($C$8="No",$E$3,VLOOKUP(Table15[[#This Row],[Period]],Forecast!$H$2:$L$1048576,2,FALSE)),Table15[[#This Row],[Beginning Balance]]-Table15[[#This Row],[Principal]]-Table15[[#This Row],[Prepayments]]),2)</f>
        <v>0</v>
      </c>
      <c r="K364" s="3">
        <f>ROUND(Table15[[#This Row],[Defaulted Principal]]*IF($C$9="No",$E$4,VLOOKUP(Table15[[#This Row],[Period]],Forecast!$H$2:$L$1048576,3,FALSE)),2)</f>
        <v>0</v>
      </c>
      <c r="L364" s="2">
        <f>Table15[[#This Row],[Period]]+$E$9</f>
        <v>360</v>
      </c>
      <c r="M364" s="3">
        <f>Table15[[#This Row],[Defaulted Principal]]-Table15[[#This Row],[Estimated Loss]]</f>
        <v>0</v>
      </c>
      <c r="N364" s="3">
        <f>IFERROR(VLOOKUP(Table15[[#This Row],[Period]],$L$16:$M$385,2,FALSE),0)</f>
        <v>0</v>
      </c>
      <c r="O364" s="3">
        <f>Table15[[#This Row],[Beginning Balance]]-Table15[[#This Row],[Principal]]-Table15[[#This Row],[Prepayments]]-Table15[[#This Row],[Defaulted Principal]]</f>
        <v>0</v>
      </c>
      <c r="P364" s="3">
        <f>Table15[[#This Row],[Principal]]+Table15[[#This Row],[Interest]]+Table15[[#This Row],[Prepayments]]+Table15[[#This Row],[RecoveredAmount]]</f>
        <v>0</v>
      </c>
      <c r="Q364" s="3">
        <f ca="1">ROUND(Table15[[#This Row],[Cash Flow]]/((1+ActualRateToUse)^(IF(ISNUMBER(SEARCH("Actual",$C$7)),Table15[[#This Row],[Running Total]]/365,Table15[[#This Row],[Period]]/12))),2)</f>
        <v>0</v>
      </c>
      <c r="R364" s="2">
        <f>IF(MONTH(Table15[[#This Row],[Date]])=2,28,DAY(DATE(YEAR(Table15[[#This Row],[Date]]),MONTH(Table15[[#This Row],[Date]])+1,1)-1))</f>
        <v>30</v>
      </c>
      <c r="S364" s="2">
        <f ca="1">SUM(OFFSET(Table15[[#Headers],[Days in month]],1,0):Table15[[#This Row],[Days in month]])</f>
        <v>10585</v>
      </c>
      <c r="T364" s="37">
        <f>InterestRate*AmortizationMultiplier*IF(ISNUMBER(SEARCH("Actual",$C$7)),Table15[[#This Row],[Days in month]]/365,1/12)</f>
        <v>5.6258333333333325E-3</v>
      </c>
    </row>
    <row r="365" spans="2:20" x14ac:dyDescent="0.2">
      <c r="B365" s="1">
        <f t="shared" si="18"/>
        <v>56461</v>
      </c>
      <c r="C365" s="2">
        <f t="shared" si="20"/>
        <v>349</v>
      </c>
      <c r="D365" s="3">
        <f t="shared" si="19"/>
        <v>0</v>
      </c>
      <c r="E365" s="3">
        <f>ROUND(Table15[[#This Row],[Beginning Balance]]*Table15[[#This Row],[Monthly Interest Rate]],2)</f>
        <v>0</v>
      </c>
      <c r="F365" s="3">
        <f t="shared" si="21"/>
        <v>-77</v>
      </c>
      <c r="G365" s="23">
        <f>IFERROR(IF($C$13="No","N/A",IF(Table15[[#This Row],[Period]]=1,$C$6,PMT(InterestRate*AmortizationMultiplier/12,Table15[[#This Row],[Am Thru]],-Table15[[#This Row],[Beginning Balance]]))),0)</f>
        <v>0</v>
      </c>
      <c r="H365" s="3">
        <f>MAX(0,IF(C365=$C$4,D365,ROUND(IF($C$3="Fixed Principal",$C$6-Table15[[#This Row],[Interest]],IF($C$3="Interest Only",Table15[[#This Row],[Beginning Balance]]*ROUND(1-(1-IF($C$11="No",$E$8,1))^(1/12),6),MIN(IF($C$13="Yes",Table15[[#This Row],[Payment Amount (Reamortized)]],$C$6)-Table15[[#This Row],[Interest]],Table15[[#This Row],[Beginning Balance]]))),2)))</f>
        <v>0</v>
      </c>
      <c r="I365" s="3">
        <f>_xlfn.SINGLE(IF($C$3="Line of Credit",0,ROUND(MAX(MIN(IF($C$10="No",$E$7,VLOOKUP(Table15[[#This Row],[Period]],Forecast!$H$2:$L$1048576,4,FALSE))*Table15[[#This Row],[Beginning Balance]],Table15[[#This Row],[Beginning Balance]]-Table15[[#This Row],[Principal]]),0),2)))</f>
        <v>0</v>
      </c>
      <c r="J365" s="3">
        <f>ROUND(MIN(Table15[[#This Row],[Beginning Balance]]*IF($C$8="No",$E$3,VLOOKUP(Table15[[#This Row],[Period]],Forecast!$H$2:$L$1048576,2,FALSE)),Table15[[#This Row],[Beginning Balance]]-Table15[[#This Row],[Principal]]-Table15[[#This Row],[Prepayments]]),2)</f>
        <v>0</v>
      </c>
      <c r="K365" s="3">
        <f>ROUND(Table15[[#This Row],[Defaulted Principal]]*IF($C$9="No",$E$4,VLOOKUP(Table15[[#This Row],[Period]],Forecast!$H$2:$L$1048576,3,FALSE)),2)</f>
        <v>0</v>
      </c>
      <c r="L365" s="2">
        <f>Table15[[#This Row],[Period]]+$E$9</f>
        <v>361</v>
      </c>
      <c r="M365" s="3">
        <f>Table15[[#This Row],[Defaulted Principal]]-Table15[[#This Row],[Estimated Loss]]</f>
        <v>0</v>
      </c>
      <c r="N365" s="3">
        <f>IFERROR(VLOOKUP(Table15[[#This Row],[Period]],$L$16:$M$385,2,FALSE),0)</f>
        <v>0</v>
      </c>
      <c r="O365" s="3">
        <f>Table15[[#This Row],[Beginning Balance]]-Table15[[#This Row],[Principal]]-Table15[[#This Row],[Prepayments]]-Table15[[#This Row],[Defaulted Principal]]</f>
        <v>0</v>
      </c>
      <c r="P365" s="3">
        <f>Table15[[#This Row],[Principal]]+Table15[[#This Row],[Interest]]+Table15[[#This Row],[Prepayments]]+Table15[[#This Row],[RecoveredAmount]]</f>
        <v>0</v>
      </c>
      <c r="Q365" s="3">
        <f ca="1">ROUND(Table15[[#This Row],[Cash Flow]]/((1+ActualRateToUse)^(IF(ISNUMBER(SEARCH("Actual",$C$7)),Table15[[#This Row],[Running Total]]/365,Table15[[#This Row],[Period]]/12))),2)</f>
        <v>0</v>
      </c>
      <c r="R365" s="2">
        <f>IF(MONTH(Table15[[#This Row],[Date]])=2,28,DAY(DATE(YEAR(Table15[[#This Row],[Date]]),MONTH(Table15[[#This Row],[Date]])+1,1)-1))</f>
        <v>31</v>
      </c>
      <c r="S365" s="2">
        <f ca="1">SUM(OFFSET(Table15[[#Headers],[Days in month]],1,0):Table15[[#This Row],[Days in month]])</f>
        <v>10616</v>
      </c>
      <c r="T365" s="37">
        <f>InterestRate*AmortizationMultiplier*IF(ISNUMBER(SEARCH("Actual",$C$7)),Table15[[#This Row],[Days in month]]/365,1/12)</f>
        <v>5.8133611111111103E-3</v>
      </c>
    </row>
    <row r="366" spans="2:20" x14ac:dyDescent="0.2">
      <c r="B366" s="1">
        <f t="shared" si="18"/>
        <v>56492</v>
      </c>
      <c r="C366" s="2">
        <f t="shared" si="20"/>
        <v>350</v>
      </c>
      <c r="D366" s="3">
        <f t="shared" si="19"/>
        <v>0</v>
      </c>
      <c r="E366" s="3">
        <f>ROUND(Table15[[#This Row],[Beginning Balance]]*Table15[[#This Row],[Monthly Interest Rate]],2)</f>
        <v>0</v>
      </c>
      <c r="F366" s="3">
        <f t="shared" si="21"/>
        <v>-78</v>
      </c>
      <c r="G366" s="23">
        <f>IFERROR(IF($C$13="No","N/A",IF(Table15[[#This Row],[Period]]=1,$C$6,PMT(InterestRate*AmortizationMultiplier/12,Table15[[#This Row],[Am Thru]],-Table15[[#This Row],[Beginning Balance]]))),0)</f>
        <v>0</v>
      </c>
      <c r="H366" s="3">
        <f>MAX(0,IF(C366=$C$4,D366,ROUND(IF($C$3="Fixed Principal",$C$6-Table15[[#This Row],[Interest]],IF($C$3="Interest Only",Table15[[#This Row],[Beginning Balance]]*ROUND(1-(1-IF($C$11="No",$E$8,1))^(1/12),6),MIN(IF($C$13="Yes",Table15[[#This Row],[Payment Amount (Reamortized)]],$C$6)-Table15[[#This Row],[Interest]],Table15[[#This Row],[Beginning Balance]]))),2)))</f>
        <v>0</v>
      </c>
      <c r="I366" s="3">
        <f>_xlfn.SINGLE(IF($C$3="Line of Credit",0,ROUND(MAX(MIN(IF($C$10="No",$E$7,VLOOKUP(Table15[[#This Row],[Period]],Forecast!$H$2:$L$1048576,4,FALSE))*Table15[[#This Row],[Beginning Balance]],Table15[[#This Row],[Beginning Balance]]-Table15[[#This Row],[Principal]]),0),2)))</f>
        <v>0</v>
      </c>
      <c r="J366" s="3">
        <f>ROUND(MIN(Table15[[#This Row],[Beginning Balance]]*IF($C$8="No",$E$3,VLOOKUP(Table15[[#This Row],[Period]],Forecast!$H$2:$L$1048576,2,FALSE)),Table15[[#This Row],[Beginning Balance]]-Table15[[#This Row],[Principal]]-Table15[[#This Row],[Prepayments]]),2)</f>
        <v>0</v>
      </c>
      <c r="K366" s="3">
        <f>ROUND(Table15[[#This Row],[Defaulted Principal]]*IF($C$9="No",$E$4,VLOOKUP(Table15[[#This Row],[Period]],Forecast!$H$2:$L$1048576,3,FALSE)),2)</f>
        <v>0</v>
      </c>
      <c r="L366" s="2">
        <f>Table15[[#This Row],[Period]]+$E$9</f>
        <v>362</v>
      </c>
      <c r="M366" s="3">
        <f>Table15[[#This Row],[Defaulted Principal]]-Table15[[#This Row],[Estimated Loss]]</f>
        <v>0</v>
      </c>
      <c r="N366" s="3">
        <f>IFERROR(VLOOKUP(Table15[[#This Row],[Period]],$L$16:$M$385,2,FALSE),0)</f>
        <v>0</v>
      </c>
      <c r="O366" s="3">
        <f>Table15[[#This Row],[Beginning Balance]]-Table15[[#This Row],[Principal]]-Table15[[#This Row],[Prepayments]]-Table15[[#This Row],[Defaulted Principal]]</f>
        <v>0</v>
      </c>
      <c r="P366" s="3">
        <f>Table15[[#This Row],[Principal]]+Table15[[#This Row],[Interest]]+Table15[[#This Row],[Prepayments]]+Table15[[#This Row],[RecoveredAmount]]</f>
        <v>0</v>
      </c>
      <c r="Q366" s="3">
        <f ca="1">ROUND(Table15[[#This Row],[Cash Flow]]/((1+ActualRateToUse)^(IF(ISNUMBER(SEARCH("Actual",$C$7)),Table15[[#This Row],[Running Total]]/365,Table15[[#This Row],[Period]]/12))),2)</f>
        <v>0</v>
      </c>
      <c r="R366" s="2">
        <f>IF(MONTH(Table15[[#This Row],[Date]])=2,28,DAY(DATE(YEAR(Table15[[#This Row],[Date]]),MONTH(Table15[[#This Row],[Date]])+1,1)-1))</f>
        <v>31</v>
      </c>
      <c r="S366" s="2">
        <f ca="1">SUM(OFFSET(Table15[[#Headers],[Days in month]],1,0):Table15[[#This Row],[Days in month]])</f>
        <v>10647</v>
      </c>
      <c r="T366" s="37">
        <f>InterestRate*AmortizationMultiplier*IF(ISNUMBER(SEARCH("Actual",$C$7)),Table15[[#This Row],[Days in month]]/365,1/12)</f>
        <v>5.8133611111111103E-3</v>
      </c>
    </row>
    <row r="367" spans="2:20" x14ac:dyDescent="0.2">
      <c r="B367" s="1">
        <f t="shared" si="18"/>
        <v>56522</v>
      </c>
      <c r="C367" s="2">
        <f t="shared" si="20"/>
        <v>351</v>
      </c>
      <c r="D367" s="3">
        <f t="shared" si="19"/>
        <v>0</v>
      </c>
      <c r="E367" s="3">
        <f>ROUND(Table15[[#This Row],[Beginning Balance]]*Table15[[#This Row],[Monthly Interest Rate]],2)</f>
        <v>0</v>
      </c>
      <c r="F367" s="3">
        <f t="shared" si="21"/>
        <v>-79</v>
      </c>
      <c r="G367" s="23">
        <f>IFERROR(IF($C$13="No","N/A",IF(Table15[[#This Row],[Period]]=1,$C$6,PMT(InterestRate*AmortizationMultiplier/12,Table15[[#This Row],[Am Thru]],-Table15[[#This Row],[Beginning Balance]]))),0)</f>
        <v>0</v>
      </c>
      <c r="H367" s="3">
        <f>MAX(0,IF(C367=$C$4,D367,ROUND(IF($C$3="Fixed Principal",$C$6-Table15[[#This Row],[Interest]],IF($C$3="Interest Only",Table15[[#This Row],[Beginning Balance]]*ROUND(1-(1-IF($C$11="No",$E$8,1))^(1/12),6),MIN(IF($C$13="Yes",Table15[[#This Row],[Payment Amount (Reamortized)]],$C$6)-Table15[[#This Row],[Interest]],Table15[[#This Row],[Beginning Balance]]))),2)))</f>
        <v>0</v>
      </c>
      <c r="I367" s="3">
        <f>_xlfn.SINGLE(IF($C$3="Line of Credit",0,ROUND(MAX(MIN(IF($C$10="No",$E$7,VLOOKUP(Table15[[#This Row],[Period]],Forecast!$H$2:$L$1048576,4,FALSE))*Table15[[#This Row],[Beginning Balance]],Table15[[#This Row],[Beginning Balance]]-Table15[[#This Row],[Principal]]),0),2)))</f>
        <v>0</v>
      </c>
      <c r="J367" s="3">
        <f>ROUND(MIN(Table15[[#This Row],[Beginning Balance]]*IF($C$8="No",$E$3,VLOOKUP(Table15[[#This Row],[Period]],Forecast!$H$2:$L$1048576,2,FALSE)),Table15[[#This Row],[Beginning Balance]]-Table15[[#This Row],[Principal]]-Table15[[#This Row],[Prepayments]]),2)</f>
        <v>0</v>
      </c>
      <c r="K367" s="3">
        <f>ROUND(Table15[[#This Row],[Defaulted Principal]]*IF($C$9="No",$E$4,VLOOKUP(Table15[[#This Row],[Period]],Forecast!$H$2:$L$1048576,3,FALSE)),2)</f>
        <v>0</v>
      </c>
      <c r="L367" s="2">
        <f>Table15[[#This Row],[Period]]+$E$9</f>
        <v>363</v>
      </c>
      <c r="M367" s="3">
        <f>Table15[[#This Row],[Defaulted Principal]]-Table15[[#This Row],[Estimated Loss]]</f>
        <v>0</v>
      </c>
      <c r="N367" s="3">
        <f>IFERROR(VLOOKUP(Table15[[#This Row],[Period]],$L$16:$M$385,2,FALSE),0)</f>
        <v>0</v>
      </c>
      <c r="O367" s="3">
        <f>Table15[[#This Row],[Beginning Balance]]-Table15[[#This Row],[Principal]]-Table15[[#This Row],[Prepayments]]-Table15[[#This Row],[Defaulted Principal]]</f>
        <v>0</v>
      </c>
      <c r="P367" s="3">
        <f>Table15[[#This Row],[Principal]]+Table15[[#This Row],[Interest]]+Table15[[#This Row],[Prepayments]]+Table15[[#This Row],[RecoveredAmount]]</f>
        <v>0</v>
      </c>
      <c r="Q367" s="3">
        <f ca="1">ROUND(Table15[[#This Row],[Cash Flow]]/((1+ActualRateToUse)^(IF(ISNUMBER(SEARCH("Actual",$C$7)),Table15[[#This Row],[Running Total]]/365,Table15[[#This Row],[Period]]/12))),2)</f>
        <v>0</v>
      </c>
      <c r="R367" s="2">
        <f>IF(MONTH(Table15[[#This Row],[Date]])=2,28,DAY(DATE(YEAR(Table15[[#This Row],[Date]]),MONTH(Table15[[#This Row],[Date]])+1,1)-1))</f>
        <v>30</v>
      </c>
      <c r="S367" s="2">
        <f ca="1">SUM(OFFSET(Table15[[#Headers],[Days in month]],1,0):Table15[[#This Row],[Days in month]])</f>
        <v>10677</v>
      </c>
      <c r="T367" s="37">
        <f>InterestRate*AmortizationMultiplier*IF(ISNUMBER(SEARCH("Actual",$C$7)),Table15[[#This Row],[Days in month]]/365,1/12)</f>
        <v>5.6258333333333325E-3</v>
      </c>
    </row>
    <row r="368" spans="2:20" x14ac:dyDescent="0.2">
      <c r="B368" s="1">
        <f t="shared" si="18"/>
        <v>56553</v>
      </c>
      <c r="C368" s="2">
        <f t="shared" si="20"/>
        <v>352</v>
      </c>
      <c r="D368" s="3">
        <f>O367</f>
        <v>0</v>
      </c>
      <c r="E368" s="3">
        <f>ROUND(Table15[[#This Row],[Beginning Balance]]*Table15[[#This Row],[Monthly Interest Rate]],2)</f>
        <v>0</v>
      </c>
      <c r="F368" s="3">
        <f>+F367-1</f>
        <v>-80</v>
      </c>
      <c r="G368" s="23">
        <f>IFERROR(IF($C$13="No","N/A",IF(Table15[[#This Row],[Period]]=1,$C$6,PMT(InterestRate*AmortizationMultiplier/12,Table15[[#This Row],[Am Thru]],-Table15[[#This Row],[Beginning Balance]]))),0)</f>
        <v>0</v>
      </c>
      <c r="H368" s="3">
        <f>MAX(0,IF(C368=$C$4,D368,ROUND(IF($C$3="Fixed Principal",$C$6-Table15[[#This Row],[Interest]],IF($C$3="Interest Only",Table15[[#This Row],[Beginning Balance]]*ROUND(1-(1-IF($C$11="No",$E$8,1))^(1/12),6),MIN(IF($C$13="Yes",Table15[[#This Row],[Payment Amount (Reamortized)]],$C$6)-Table15[[#This Row],[Interest]],Table15[[#This Row],[Beginning Balance]]))),2)))</f>
        <v>0</v>
      </c>
      <c r="I368" s="3">
        <f>_xlfn.SINGLE(IF($C$3="Line of Credit",0,ROUND(MAX(MIN(IF($C$10="No",$E$7,VLOOKUP(Table15[[#This Row],[Period]],Forecast!$H$2:$L$1048576,4,FALSE))*Table15[[#This Row],[Beginning Balance]],Table15[[#This Row],[Beginning Balance]]-Table15[[#This Row],[Principal]]),0),2)))</f>
        <v>0</v>
      </c>
      <c r="J368" s="3">
        <f>ROUND(MIN(Table15[[#This Row],[Beginning Balance]]*IF($C$8="No",$E$3,VLOOKUP(Table15[[#This Row],[Period]],Forecast!$H$2:$L$1048576,2,FALSE)),Table15[[#This Row],[Beginning Balance]]-Table15[[#This Row],[Principal]]-Table15[[#This Row],[Prepayments]]),2)</f>
        <v>0</v>
      </c>
      <c r="K368" s="3">
        <f>ROUND(Table15[[#This Row],[Defaulted Principal]]*IF($C$9="No",$E$4,VLOOKUP(Table15[[#This Row],[Period]],Forecast!$H$2:$L$1048576,3,FALSE)),2)</f>
        <v>0</v>
      </c>
      <c r="L368" s="2">
        <f>Table15[[#This Row],[Period]]+$E$9</f>
        <v>364</v>
      </c>
      <c r="M368" s="3">
        <f>Table15[[#This Row],[Defaulted Principal]]-Table15[[#This Row],[Estimated Loss]]</f>
        <v>0</v>
      </c>
      <c r="N368" s="3">
        <f>IFERROR(VLOOKUP(Table15[[#This Row],[Period]],$L$16:$M$385,2,FALSE),0)</f>
        <v>0</v>
      </c>
      <c r="O368" s="3">
        <f>Table15[[#This Row],[Beginning Balance]]-Table15[[#This Row],[Principal]]-Table15[[#This Row],[Prepayments]]-Table15[[#This Row],[Defaulted Principal]]</f>
        <v>0</v>
      </c>
      <c r="P368" s="3">
        <f>Table15[[#This Row],[Principal]]+Table15[[#This Row],[Interest]]+Table15[[#This Row],[Prepayments]]+Table15[[#This Row],[RecoveredAmount]]</f>
        <v>0</v>
      </c>
      <c r="Q368" s="3">
        <f ca="1">ROUND(Table15[[#This Row],[Cash Flow]]/((1+ActualRateToUse)^(IF(ISNUMBER(SEARCH("Actual",$C$7)),Table15[[#This Row],[Running Total]]/365,Table15[[#This Row],[Period]]/12))),2)</f>
        <v>0</v>
      </c>
      <c r="R368" s="2">
        <f>IF(MONTH(Table15[[#This Row],[Date]])=2,28,DAY(DATE(YEAR(Table15[[#This Row],[Date]]),MONTH(Table15[[#This Row],[Date]])+1,1)-1))</f>
        <v>31</v>
      </c>
      <c r="S368" s="2">
        <f ca="1">SUM(OFFSET(Table15[[#Headers],[Days in month]],1,0):Table15[[#This Row],[Days in month]])</f>
        <v>10708</v>
      </c>
      <c r="T368" s="37">
        <f>InterestRate*AmortizationMultiplier*IF(ISNUMBER(SEARCH("Actual",$C$7)),Table15[[#This Row],[Days in month]]/365,1/12)</f>
        <v>5.8133611111111103E-3</v>
      </c>
    </row>
    <row r="369" spans="2:20" x14ac:dyDescent="0.2">
      <c r="B369" s="1">
        <f t="shared" si="18"/>
        <v>56583</v>
      </c>
      <c r="C369" s="2">
        <f t="shared" si="20"/>
        <v>353</v>
      </c>
      <c r="D369" s="3">
        <f t="shared" si="19"/>
        <v>0</v>
      </c>
      <c r="E369" s="3">
        <f>ROUND(Table15[[#This Row],[Beginning Balance]]*Table15[[#This Row],[Monthly Interest Rate]],2)</f>
        <v>0</v>
      </c>
      <c r="F369" s="3">
        <f t="shared" si="21"/>
        <v>-81</v>
      </c>
      <c r="G369" s="23">
        <f>IFERROR(IF($C$13="No","N/A",IF(Table15[[#This Row],[Period]]=1,$C$6,PMT(InterestRate*AmortizationMultiplier/12,Table15[[#This Row],[Am Thru]],-Table15[[#This Row],[Beginning Balance]]))),0)</f>
        <v>0</v>
      </c>
      <c r="H369" s="3">
        <f>MAX(0,IF(C369=$C$4,D369,ROUND(IF($C$3="Fixed Principal",$C$6-Table15[[#This Row],[Interest]],IF($C$3="Interest Only",Table15[[#This Row],[Beginning Balance]]*ROUND(1-(1-IF($C$11="No",$E$8,1))^(1/12),6),MIN(IF($C$13="Yes",Table15[[#This Row],[Payment Amount (Reamortized)]],$C$6)-Table15[[#This Row],[Interest]],Table15[[#This Row],[Beginning Balance]]))),2)))</f>
        <v>0</v>
      </c>
      <c r="I369" s="3">
        <f>_xlfn.SINGLE(IF($C$3="Line of Credit",0,ROUND(MAX(MIN(IF($C$10="No",$E$7,VLOOKUP(Table15[[#This Row],[Period]],Forecast!$H$2:$L$1048576,4,FALSE))*Table15[[#This Row],[Beginning Balance]],Table15[[#This Row],[Beginning Balance]]-Table15[[#This Row],[Principal]]),0),2)))</f>
        <v>0</v>
      </c>
      <c r="J369" s="3">
        <f>ROUND(MIN(Table15[[#This Row],[Beginning Balance]]*IF($C$8="No",$E$3,VLOOKUP(Table15[[#This Row],[Period]],Forecast!$H$2:$L$1048576,2,FALSE)),Table15[[#This Row],[Beginning Balance]]-Table15[[#This Row],[Principal]]-Table15[[#This Row],[Prepayments]]),2)</f>
        <v>0</v>
      </c>
      <c r="K369" s="3">
        <f>ROUND(Table15[[#This Row],[Defaulted Principal]]*IF($C$9="No",$E$4,VLOOKUP(Table15[[#This Row],[Period]],Forecast!$H$2:$L$1048576,3,FALSE)),2)</f>
        <v>0</v>
      </c>
      <c r="L369" s="2">
        <f>Table15[[#This Row],[Period]]+$E$9</f>
        <v>365</v>
      </c>
      <c r="M369" s="3">
        <f>Table15[[#This Row],[Defaulted Principal]]-Table15[[#This Row],[Estimated Loss]]</f>
        <v>0</v>
      </c>
      <c r="N369" s="3">
        <f>IFERROR(VLOOKUP(Table15[[#This Row],[Period]],$L$16:$M$385,2,FALSE),0)</f>
        <v>0</v>
      </c>
      <c r="O369" s="3">
        <f>Table15[[#This Row],[Beginning Balance]]-Table15[[#This Row],[Principal]]-Table15[[#This Row],[Prepayments]]-Table15[[#This Row],[Defaulted Principal]]</f>
        <v>0</v>
      </c>
      <c r="P369" s="3">
        <f>Table15[[#This Row],[Principal]]+Table15[[#This Row],[Interest]]+Table15[[#This Row],[Prepayments]]+Table15[[#This Row],[RecoveredAmount]]</f>
        <v>0</v>
      </c>
      <c r="Q369" s="3">
        <f ca="1">ROUND(Table15[[#This Row],[Cash Flow]]/((1+ActualRateToUse)^(IF(ISNUMBER(SEARCH("Actual",$C$7)),Table15[[#This Row],[Running Total]]/365,Table15[[#This Row],[Period]]/12))),2)</f>
        <v>0</v>
      </c>
      <c r="R369" s="2">
        <f>IF(MONTH(Table15[[#This Row],[Date]])=2,28,DAY(DATE(YEAR(Table15[[#This Row],[Date]]),MONTH(Table15[[#This Row],[Date]])+1,1)-1))</f>
        <v>30</v>
      </c>
      <c r="S369" s="2">
        <f ca="1">SUM(OFFSET(Table15[[#Headers],[Days in month]],1,0):Table15[[#This Row],[Days in month]])</f>
        <v>10738</v>
      </c>
      <c r="T369" s="37">
        <f>InterestRate*AmortizationMultiplier*IF(ISNUMBER(SEARCH("Actual",$C$7)),Table15[[#This Row],[Days in month]]/365,1/12)</f>
        <v>5.6258333333333325E-3</v>
      </c>
    </row>
    <row r="370" spans="2:20" x14ac:dyDescent="0.2">
      <c r="B370" s="1">
        <f t="shared" si="18"/>
        <v>56614</v>
      </c>
      <c r="C370" s="2">
        <f t="shared" si="20"/>
        <v>354</v>
      </c>
      <c r="D370" s="3">
        <f t="shared" si="19"/>
        <v>0</v>
      </c>
      <c r="E370" s="3">
        <f>ROUND(Table15[[#This Row],[Beginning Balance]]*Table15[[#This Row],[Monthly Interest Rate]],2)</f>
        <v>0</v>
      </c>
      <c r="F370" s="3">
        <f t="shared" si="21"/>
        <v>-82</v>
      </c>
      <c r="G370" s="23">
        <f>IFERROR(IF($C$13="No","N/A",IF(Table15[[#This Row],[Period]]=1,$C$6,PMT(InterestRate*AmortizationMultiplier/12,Table15[[#This Row],[Am Thru]],-Table15[[#This Row],[Beginning Balance]]))),0)</f>
        <v>0</v>
      </c>
      <c r="H370" s="3">
        <f>MAX(0,IF(C370=$C$4,D370,ROUND(IF($C$3="Fixed Principal",$C$6-Table15[[#This Row],[Interest]],IF($C$3="Interest Only",Table15[[#This Row],[Beginning Balance]]*ROUND(1-(1-IF($C$11="No",$E$8,1))^(1/12),6),MIN(IF($C$13="Yes",Table15[[#This Row],[Payment Amount (Reamortized)]],$C$6)-Table15[[#This Row],[Interest]],Table15[[#This Row],[Beginning Balance]]))),2)))</f>
        <v>0</v>
      </c>
      <c r="I370" s="3">
        <f>_xlfn.SINGLE(IF($C$3="Line of Credit",0,ROUND(MAX(MIN(IF($C$10="No",$E$7,VLOOKUP(Table15[[#This Row],[Period]],Forecast!$H$2:$L$1048576,4,FALSE))*Table15[[#This Row],[Beginning Balance]],Table15[[#This Row],[Beginning Balance]]-Table15[[#This Row],[Principal]]),0),2)))</f>
        <v>0</v>
      </c>
      <c r="J370" s="3">
        <f>ROUND(MIN(Table15[[#This Row],[Beginning Balance]]*IF($C$8="No",$E$3,VLOOKUP(Table15[[#This Row],[Period]],Forecast!$H$2:$L$1048576,2,FALSE)),Table15[[#This Row],[Beginning Balance]]-Table15[[#This Row],[Principal]]-Table15[[#This Row],[Prepayments]]),2)</f>
        <v>0</v>
      </c>
      <c r="K370" s="3">
        <f>ROUND(Table15[[#This Row],[Defaulted Principal]]*IF($C$9="No",$E$4,VLOOKUP(Table15[[#This Row],[Period]],Forecast!$H$2:$L$1048576,3,FALSE)),2)</f>
        <v>0</v>
      </c>
      <c r="L370" s="2">
        <f>Table15[[#This Row],[Period]]+$E$9</f>
        <v>366</v>
      </c>
      <c r="M370" s="3">
        <f>Table15[[#This Row],[Defaulted Principal]]-Table15[[#This Row],[Estimated Loss]]</f>
        <v>0</v>
      </c>
      <c r="N370" s="3">
        <f>IFERROR(VLOOKUP(Table15[[#This Row],[Period]],$L$16:$M$385,2,FALSE),0)</f>
        <v>0</v>
      </c>
      <c r="O370" s="3">
        <f>Table15[[#This Row],[Beginning Balance]]-Table15[[#This Row],[Principal]]-Table15[[#This Row],[Prepayments]]-Table15[[#This Row],[Defaulted Principal]]</f>
        <v>0</v>
      </c>
      <c r="P370" s="3">
        <f>Table15[[#This Row],[Principal]]+Table15[[#This Row],[Interest]]+Table15[[#This Row],[Prepayments]]+Table15[[#This Row],[RecoveredAmount]]</f>
        <v>0</v>
      </c>
      <c r="Q370" s="3">
        <f ca="1">ROUND(Table15[[#This Row],[Cash Flow]]/((1+ActualRateToUse)^(IF(ISNUMBER(SEARCH("Actual",$C$7)),Table15[[#This Row],[Running Total]]/365,Table15[[#This Row],[Period]]/12))),2)</f>
        <v>0</v>
      </c>
      <c r="R370" s="2">
        <f>IF(MONTH(Table15[[#This Row],[Date]])=2,28,DAY(DATE(YEAR(Table15[[#This Row],[Date]]),MONTH(Table15[[#This Row],[Date]])+1,1)-1))</f>
        <v>31</v>
      </c>
      <c r="S370" s="2">
        <f ca="1">SUM(OFFSET(Table15[[#Headers],[Days in month]],1,0):Table15[[#This Row],[Days in month]])</f>
        <v>10769</v>
      </c>
      <c r="T370" s="37">
        <f>InterestRate*AmortizationMultiplier*IF(ISNUMBER(SEARCH("Actual",$C$7)),Table15[[#This Row],[Days in month]]/365,1/12)</f>
        <v>5.8133611111111103E-3</v>
      </c>
    </row>
    <row r="371" spans="2:20" x14ac:dyDescent="0.2">
      <c r="B371" s="1">
        <f t="shared" si="18"/>
        <v>56645</v>
      </c>
      <c r="C371" s="2">
        <f t="shared" si="20"/>
        <v>355</v>
      </c>
      <c r="D371" s="3">
        <f t="shared" si="19"/>
        <v>0</v>
      </c>
      <c r="E371" s="3">
        <f>ROUND(Table15[[#This Row],[Beginning Balance]]*Table15[[#This Row],[Monthly Interest Rate]],2)</f>
        <v>0</v>
      </c>
      <c r="F371" s="3">
        <f t="shared" si="21"/>
        <v>-83</v>
      </c>
      <c r="G371" s="23">
        <f>IFERROR(IF($C$13="No","N/A",IF(Table15[[#This Row],[Period]]=1,$C$6,PMT(InterestRate*AmortizationMultiplier/12,Table15[[#This Row],[Am Thru]],-Table15[[#This Row],[Beginning Balance]]))),0)</f>
        <v>0</v>
      </c>
      <c r="H371" s="3">
        <f>MAX(0,IF(C371=$C$4,D371,ROUND(IF($C$3="Fixed Principal",$C$6-Table15[[#This Row],[Interest]],IF($C$3="Interest Only",Table15[[#This Row],[Beginning Balance]]*ROUND(1-(1-IF($C$11="No",$E$8,1))^(1/12),6),MIN(IF($C$13="Yes",Table15[[#This Row],[Payment Amount (Reamortized)]],$C$6)-Table15[[#This Row],[Interest]],Table15[[#This Row],[Beginning Balance]]))),2)))</f>
        <v>0</v>
      </c>
      <c r="I371" s="3">
        <f>_xlfn.SINGLE(IF($C$3="Line of Credit",0,ROUND(MAX(MIN(IF($C$10="No",$E$7,VLOOKUP(Table15[[#This Row],[Period]],Forecast!$H$2:$L$1048576,4,FALSE))*Table15[[#This Row],[Beginning Balance]],Table15[[#This Row],[Beginning Balance]]-Table15[[#This Row],[Principal]]),0),2)))</f>
        <v>0</v>
      </c>
      <c r="J371" s="3">
        <f>ROUND(MIN(Table15[[#This Row],[Beginning Balance]]*IF($C$8="No",$E$3,VLOOKUP(Table15[[#This Row],[Period]],Forecast!$H$2:$L$1048576,2,FALSE)),Table15[[#This Row],[Beginning Balance]]-Table15[[#This Row],[Principal]]-Table15[[#This Row],[Prepayments]]),2)</f>
        <v>0</v>
      </c>
      <c r="K371" s="3">
        <f>ROUND(Table15[[#This Row],[Defaulted Principal]]*IF($C$9="No",$E$4,VLOOKUP(Table15[[#This Row],[Period]],Forecast!$H$2:$L$1048576,3,FALSE)),2)</f>
        <v>0</v>
      </c>
      <c r="L371" s="2">
        <f>Table15[[#This Row],[Period]]+$E$9</f>
        <v>367</v>
      </c>
      <c r="M371" s="3">
        <f>Table15[[#This Row],[Defaulted Principal]]-Table15[[#This Row],[Estimated Loss]]</f>
        <v>0</v>
      </c>
      <c r="N371" s="3">
        <f>IFERROR(VLOOKUP(Table15[[#This Row],[Period]],$L$16:$M$385,2,FALSE),0)</f>
        <v>0</v>
      </c>
      <c r="O371" s="3">
        <f>Table15[[#This Row],[Beginning Balance]]-Table15[[#This Row],[Principal]]-Table15[[#This Row],[Prepayments]]-Table15[[#This Row],[Defaulted Principal]]</f>
        <v>0</v>
      </c>
      <c r="P371" s="3">
        <f>Table15[[#This Row],[Principal]]+Table15[[#This Row],[Interest]]+Table15[[#This Row],[Prepayments]]+Table15[[#This Row],[RecoveredAmount]]</f>
        <v>0</v>
      </c>
      <c r="Q371" s="3">
        <f ca="1">ROUND(Table15[[#This Row],[Cash Flow]]/((1+ActualRateToUse)^(IF(ISNUMBER(SEARCH("Actual",$C$7)),Table15[[#This Row],[Running Total]]/365,Table15[[#This Row],[Period]]/12))),2)</f>
        <v>0</v>
      </c>
      <c r="R371" s="2">
        <f>IF(MONTH(Table15[[#This Row],[Date]])=2,28,DAY(DATE(YEAR(Table15[[#This Row],[Date]]),MONTH(Table15[[#This Row],[Date]])+1,1)-1))</f>
        <v>31</v>
      </c>
      <c r="S371" s="2">
        <f ca="1">SUM(OFFSET(Table15[[#Headers],[Days in month]],1,0):Table15[[#This Row],[Days in month]])</f>
        <v>10800</v>
      </c>
      <c r="T371" s="37">
        <f>InterestRate*AmortizationMultiplier*IF(ISNUMBER(SEARCH("Actual",$C$7)),Table15[[#This Row],[Days in month]]/365,1/12)</f>
        <v>5.8133611111111103E-3</v>
      </c>
    </row>
    <row r="372" spans="2:20" x14ac:dyDescent="0.2">
      <c r="B372" s="1">
        <f t="shared" si="18"/>
        <v>56673</v>
      </c>
      <c r="C372" s="2">
        <f t="shared" si="20"/>
        <v>356</v>
      </c>
      <c r="D372" s="3">
        <f t="shared" si="19"/>
        <v>0</v>
      </c>
      <c r="E372" s="3">
        <f>ROUND(Table15[[#This Row],[Beginning Balance]]*Table15[[#This Row],[Monthly Interest Rate]],2)</f>
        <v>0</v>
      </c>
      <c r="F372" s="3">
        <f t="shared" si="21"/>
        <v>-84</v>
      </c>
      <c r="G372" s="23">
        <f>IFERROR(IF($C$13="No","N/A",IF(Table15[[#This Row],[Period]]=1,$C$6,PMT(InterestRate*AmortizationMultiplier/12,Table15[[#This Row],[Am Thru]],-Table15[[#This Row],[Beginning Balance]]))),0)</f>
        <v>0</v>
      </c>
      <c r="H372" s="3">
        <f>MAX(0,IF(C372=$C$4,D372,ROUND(IF($C$3="Fixed Principal",$C$6-Table15[[#This Row],[Interest]],IF($C$3="Interest Only",Table15[[#This Row],[Beginning Balance]]*ROUND(1-(1-IF($C$11="No",$E$8,1))^(1/12),6),MIN(IF($C$13="Yes",Table15[[#This Row],[Payment Amount (Reamortized)]],$C$6)-Table15[[#This Row],[Interest]],Table15[[#This Row],[Beginning Balance]]))),2)))</f>
        <v>0</v>
      </c>
      <c r="I372" s="3">
        <f>_xlfn.SINGLE(IF($C$3="Line of Credit",0,ROUND(MAX(MIN(IF($C$10="No",$E$7,VLOOKUP(Table15[[#This Row],[Period]],Forecast!$H$2:$L$1048576,4,FALSE))*Table15[[#This Row],[Beginning Balance]],Table15[[#This Row],[Beginning Balance]]-Table15[[#This Row],[Principal]]),0),2)))</f>
        <v>0</v>
      </c>
      <c r="J372" s="3">
        <f>ROUND(MIN(Table15[[#This Row],[Beginning Balance]]*IF($C$8="No",$E$3,VLOOKUP(Table15[[#This Row],[Period]],Forecast!$H$2:$L$1048576,2,FALSE)),Table15[[#This Row],[Beginning Balance]]-Table15[[#This Row],[Principal]]-Table15[[#This Row],[Prepayments]]),2)</f>
        <v>0</v>
      </c>
      <c r="K372" s="3">
        <f>ROUND(Table15[[#This Row],[Defaulted Principal]]*IF($C$9="No",$E$4,VLOOKUP(Table15[[#This Row],[Period]],Forecast!$H$2:$L$1048576,3,FALSE)),2)</f>
        <v>0</v>
      </c>
      <c r="L372" s="2">
        <f>Table15[[#This Row],[Period]]+$E$9</f>
        <v>368</v>
      </c>
      <c r="M372" s="3">
        <f>Table15[[#This Row],[Defaulted Principal]]-Table15[[#This Row],[Estimated Loss]]</f>
        <v>0</v>
      </c>
      <c r="N372" s="3">
        <f>IFERROR(VLOOKUP(Table15[[#This Row],[Period]],$L$16:$M$385,2,FALSE),0)</f>
        <v>0</v>
      </c>
      <c r="O372" s="3">
        <f>Table15[[#This Row],[Beginning Balance]]-Table15[[#This Row],[Principal]]-Table15[[#This Row],[Prepayments]]-Table15[[#This Row],[Defaulted Principal]]</f>
        <v>0</v>
      </c>
      <c r="P372" s="3">
        <f>Table15[[#This Row],[Principal]]+Table15[[#This Row],[Interest]]+Table15[[#This Row],[Prepayments]]+Table15[[#This Row],[RecoveredAmount]]</f>
        <v>0</v>
      </c>
      <c r="Q372" s="3">
        <f ca="1">ROUND(Table15[[#This Row],[Cash Flow]]/((1+ActualRateToUse)^(IF(ISNUMBER(SEARCH("Actual",$C$7)),Table15[[#This Row],[Running Total]]/365,Table15[[#This Row],[Period]]/12))),2)</f>
        <v>0</v>
      </c>
      <c r="R372" s="2">
        <f>IF(MONTH(Table15[[#This Row],[Date]])=2,28,DAY(DATE(YEAR(Table15[[#This Row],[Date]]),MONTH(Table15[[#This Row],[Date]])+1,1)-1))</f>
        <v>28</v>
      </c>
      <c r="S372" s="2">
        <f ca="1">SUM(OFFSET(Table15[[#Headers],[Days in month]],1,0):Table15[[#This Row],[Days in month]])</f>
        <v>10828</v>
      </c>
      <c r="T372" s="37">
        <f>InterestRate*AmortizationMultiplier*IF(ISNUMBER(SEARCH("Actual",$C$7)),Table15[[#This Row],[Days in month]]/365,1/12)</f>
        <v>5.2507777777777778E-3</v>
      </c>
    </row>
    <row r="373" spans="2:20" x14ac:dyDescent="0.2">
      <c r="B373" s="1">
        <f t="shared" si="18"/>
        <v>56704</v>
      </c>
      <c r="C373" s="2">
        <f t="shared" si="20"/>
        <v>357</v>
      </c>
      <c r="D373" s="3">
        <f t="shared" si="19"/>
        <v>0</v>
      </c>
      <c r="E373" s="3">
        <f>ROUND(Table15[[#This Row],[Beginning Balance]]*Table15[[#This Row],[Monthly Interest Rate]],2)</f>
        <v>0</v>
      </c>
      <c r="F373" s="3">
        <f t="shared" si="21"/>
        <v>-85</v>
      </c>
      <c r="G373" s="23">
        <f>IFERROR(IF($C$13="No","N/A",IF(Table15[[#This Row],[Period]]=1,$C$6,PMT(InterestRate*AmortizationMultiplier/12,Table15[[#This Row],[Am Thru]],-Table15[[#This Row],[Beginning Balance]]))),0)</f>
        <v>0</v>
      </c>
      <c r="H373" s="3">
        <f>MAX(0,IF(C373=$C$4,D373,ROUND(IF($C$3="Fixed Principal",$C$6-Table15[[#This Row],[Interest]],IF($C$3="Interest Only",Table15[[#This Row],[Beginning Balance]]*ROUND(1-(1-IF($C$11="No",$E$8,1))^(1/12),6),MIN(IF($C$13="Yes",Table15[[#This Row],[Payment Amount (Reamortized)]],$C$6)-Table15[[#This Row],[Interest]],Table15[[#This Row],[Beginning Balance]]))),2)))</f>
        <v>0</v>
      </c>
      <c r="I373" s="3">
        <f>_xlfn.SINGLE(IF($C$3="Line of Credit",0,ROUND(MAX(MIN(IF($C$10="No",$E$7,VLOOKUP(Table15[[#This Row],[Period]],Forecast!$H$2:$L$1048576,4,FALSE))*Table15[[#This Row],[Beginning Balance]],Table15[[#This Row],[Beginning Balance]]-Table15[[#This Row],[Principal]]),0),2)))</f>
        <v>0</v>
      </c>
      <c r="J373" s="3">
        <f>ROUND(MIN(Table15[[#This Row],[Beginning Balance]]*IF($C$8="No",$E$3,VLOOKUP(Table15[[#This Row],[Period]],Forecast!$H$2:$L$1048576,2,FALSE)),Table15[[#This Row],[Beginning Balance]]-Table15[[#This Row],[Principal]]-Table15[[#This Row],[Prepayments]]),2)</f>
        <v>0</v>
      </c>
      <c r="K373" s="3">
        <f>ROUND(Table15[[#This Row],[Defaulted Principal]]*IF($C$9="No",$E$4,VLOOKUP(Table15[[#This Row],[Period]],Forecast!$H$2:$L$1048576,3,FALSE)),2)</f>
        <v>0</v>
      </c>
      <c r="L373" s="2">
        <f>Table15[[#This Row],[Period]]+$E$9</f>
        <v>369</v>
      </c>
      <c r="M373" s="3">
        <f>Table15[[#This Row],[Defaulted Principal]]-Table15[[#This Row],[Estimated Loss]]</f>
        <v>0</v>
      </c>
      <c r="N373" s="3">
        <f>IFERROR(VLOOKUP(Table15[[#This Row],[Period]],$L$16:$M$385,2,FALSE),0)</f>
        <v>0</v>
      </c>
      <c r="O373" s="3">
        <f>Table15[[#This Row],[Beginning Balance]]-Table15[[#This Row],[Principal]]-Table15[[#This Row],[Prepayments]]-Table15[[#This Row],[Defaulted Principal]]</f>
        <v>0</v>
      </c>
      <c r="P373" s="3">
        <f>Table15[[#This Row],[Principal]]+Table15[[#This Row],[Interest]]+Table15[[#This Row],[Prepayments]]+Table15[[#This Row],[RecoveredAmount]]</f>
        <v>0</v>
      </c>
      <c r="Q373" s="3">
        <f ca="1">ROUND(Table15[[#This Row],[Cash Flow]]/((1+ActualRateToUse)^(IF(ISNUMBER(SEARCH("Actual",$C$7)),Table15[[#This Row],[Running Total]]/365,Table15[[#This Row],[Period]]/12))),2)</f>
        <v>0</v>
      </c>
      <c r="R373" s="2">
        <f>IF(MONTH(Table15[[#This Row],[Date]])=2,28,DAY(DATE(YEAR(Table15[[#This Row],[Date]]),MONTH(Table15[[#This Row],[Date]])+1,1)-1))</f>
        <v>31</v>
      </c>
      <c r="S373" s="2">
        <f ca="1">SUM(OFFSET(Table15[[#Headers],[Days in month]],1,0):Table15[[#This Row],[Days in month]])</f>
        <v>10859</v>
      </c>
      <c r="T373" s="37">
        <f>InterestRate*AmortizationMultiplier*IF(ISNUMBER(SEARCH("Actual",$C$7)),Table15[[#This Row],[Days in month]]/365,1/12)</f>
        <v>5.8133611111111103E-3</v>
      </c>
    </row>
    <row r="374" spans="2:20" x14ac:dyDescent="0.2">
      <c r="B374" s="1">
        <f t="shared" si="18"/>
        <v>56734</v>
      </c>
      <c r="C374" s="2">
        <f t="shared" si="20"/>
        <v>358</v>
      </c>
      <c r="D374" s="3">
        <f t="shared" si="19"/>
        <v>0</v>
      </c>
      <c r="E374" s="3">
        <f>ROUND(Table15[[#This Row],[Beginning Balance]]*Table15[[#This Row],[Monthly Interest Rate]],2)</f>
        <v>0</v>
      </c>
      <c r="F374" s="3">
        <f t="shared" si="21"/>
        <v>-86</v>
      </c>
      <c r="G374" s="23">
        <f>IFERROR(IF($C$13="No","N/A",IF(Table15[[#This Row],[Period]]=1,$C$6,PMT(InterestRate*AmortizationMultiplier/12,Table15[[#This Row],[Am Thru]],-Table15[[#This Row],[Beginning Balance]]))),0)</f>
        <v>0</v>
      </c>
      <c r="H374" s="3">
        <f>MAX(0,IF(C374=$C$4,D374,ROUND(IF($C$3="Fixed Principal",$C$6-Table15[[#This Row],[Interest]],IF($C$3="Interest Only",Table15[[#This Row],[Beginning Balance]]*ROUND(1-(1-IF($C$11="No",$E$8,1))^(1/12),6),MIN(IF($C$13="Yes",Table15[[#This Row],[Payment Amount (Reamortized)]],$C$6)-Table15[[#This Row],[Interest]],Table15[[#This Row],[Beginning Balance]]))),2)))</f>
        <v>0</v>
      </c>
      <c r="I374" s="3">
        <f>_xlfn.SINGLE(IF($C$3="Line of Credit",0,ROUND(MAX(MIN(IF($C$10="No",$E$7,VLOOKUP(Table15[[#This Row],[Period]],Forecast!$H$2:$L$1048576,4,FALSE))*Table15[[#This Row],[Beginning Balance]],Table15[[#This Row],[Beginning Balance]]-Table15[[#This Row],[Principal]]),0),2)))</f>
        <v>0</v>
      </c>
      <c r="J374" s="3">
        <f>ROUND(MIN(Table15[[#This Row],[Beginning Balance]]*IF($C$8="No",$E$3,VLOOKUP(Table15[[#This Row],[Period]],Forecast!$H$2:$L$1048576,2,FALSE)),Table15[[#This Row],[Beginning Balance]]-Table15[[#This Row],[Principal]]-Table15[[#This Row],[Prepayments]]),2)</f>
        <v>0</v>
      </c>
      <c r="K374" s="3">
        <f>ROUND(Table15[[#This Row],[Defaulted Principal]]*IF($C$9="No",$E$4,VLOOKUP(Table15[[#This Row],[Period]],Forecast!$H$2:$L$1048576,3,FALSE)),2)</f>
        <v>0</v>
      </c>
      <c r="L374" s="2">
        <f>Table15[[#This Row],[Period]]+$E$9</f>
        <v>370</v>
      </c>
      <c r="M374" s="3">
        <f>Table15[[#This Row],[Defaulted Principal]]-Table15[[#This Row],[Estimated Loss]]</f>
        <v>0</v>
      </c>
      <c r="N374" s="3">
        <f>IFERROR(VLOOKUP(Table15[[#This Row],[Period]],$L$16:$M$385,2,FALSE),0)</f>
        <v>0</v>
      </c>
      <c r="O374" s="3">
        <f>Table15[[#This Row],[Beginning Balance]]-Table15[[#This Row],[Principal]]-Table15[[#This Row],[Prepayments]]-Table15[[#This Row],[Defaulted Principal]]</f>
        <v>0</v>
      </c>
      <c r="P374" s="3">
        <f>Table15[[#This Row],[Principal]]+Table15[[#This Row],[Interest]]+Table15[[#This Row],[Prepayments]]+Table15[[#This Row],[RecoveredAmount]]</f>
        <v>0</v>
      </c>
      <c r="Q374" s="3">
        <f ca="1">ROUND(Table15[[#This Row],[Cash Flow]]/((1+ActualRateToUse)^(IF(ISNUMBER(SEARCH("Actual",$C$7)),Table15[[#This Row],[Running Total]]/365,Table15[[#This Row],[Period]]/12))),2)</f>
        <v>0</v>
      </c>
      <c r="R374" s="2">
        <f>IF(MONTH(Table15[[#This Row],[Date]])=2,28,DAY(DATE(YEAR(Table15[[#This Row],[Date]]),MONTH(Table15[[#This Row],[Date]])+1,1)-1))</f>
        <v>30</v>
      </c>
      <c r="S374" s="2">
        <f ca="1">SUM(OFFSET(Table15[[#Headers],[Days in month]],1,0):Table15[[#This Row],[Days in month]])</f>
        <v>10889</v>
      </c>
      <c r="T374" s="37">
        <f>InterestRate*AmortizationMultiplier*IF(ISNUMBER(SEARCH("Actual",$C$7)),Table15[[#This Row],[Days in month]]/365,1/12)</f>
        <v>5.6258333333333325E-3</v>
      </c>
    </row>
    <row r="375" spans="2:20" x14ac:dyDescent="0.2">
      <c r="B375" s="1">
        <f t="shared" si="18"/>
        <v>56765</v>
      </c>
      <c r="C375" s="2">
        <f t="shared" si="20"/>
        <v>359</v>
      </c>
      <c r="D375" s="3">
        <f t="shared" si="19"/>
        <v>0</v>
      </c>
      <c r="E375" s="3">
        <f>ROUND(Table15[[#This Row],[Beginning Balance]]*Table15[[#This Row],[Monthly Interest Rate]],2)</f>
        <v>0</v>
      </c>
      <c r="F375" s="3">
        <f t="shared" si="21"/>
        <v>-87</v>
      </c>
      <c r="G375" s="23">
        <f>IFERROR(IF($C$13="No","N/A",IF(Table15[[#This Row],[Period]]=1,$C$6,PMT(InterestRate*AmortizationMultiplier/12,Table15[[#This Row],[Am Thru]],-Table15[[#This Row],[Beginning Balance]]))),0)</f>
        <v>0</v>
      </c>
      <c r="H375" s="3">
        <f>MAX(0,IF(C375=$C$4,D375,ROUND(IF($C$3="Fixed Principal",$C$6-Table15[[#This Row],[Interest]],IF($C$3="Interest Only",Table15[[#This Row],[Beginning Balance]]*ROUND(1-(1-IF($C$11="No",$E$8,1))^(1/12),6),MIN(IF($C$13="Yes",Table15[[#This Row],[Payment Amount (Reamortized)]],$C$6)-Table15[[#This Row],[Interest]],Table15[[#This Row],[Beginning Balance]]))),2)))</f>
        <v>0</v>
      </c>
      <c r="I375" s="3">
        <f>_xlfn.SINGLE(IF($C$3="Line of Credit",0,ROUND(MAX(MIN(IF($C$10="No",$E$7,VLOOKUP(Table15[[#This Row],[Period]],Forecast!$H$2:$L$1048576,4,FALSE))*Table15[[#This Row],[Beginning Balance]],Table15[[#This Row],[Beginning Balance]]-Table15[[#This Row],[Principal]]),0),2)))</f>
        <v>0</v>
      </c>
      <c r="J375" s="3">
        <f>ROUND(MIN(Table15[[#This Row],[Beginning Balance]]*IF($C$8="No",$E$3,VLOOKUP(Table15[[#This Row],[Period]],Forecast!$H$2:$L$1048576,2,FALSE)),Table15[[#This Row],[Beginning Balance]]-Table15[[#This Row],[Principal]]-Table15[[#This Row],[Prepayments]]),2)</f>
        <v>0</v>
      </c>
      <c r="K375" s="3">
        <f>ROUND(Table15[[#This Row],[Defaulted Principal]]*IF($C$9="No",$E$4,VLOOKUP(Table15[[#This Row],[Period]],Forecast!$H$2:$L$1048576,3,FALSE)),2)</f>
        <v>0</v>
      </c>
      <c r="L375" s="2">
        <f>Table15[[#This Row],[Period]]+$E$9</f>
        <v>371</v>
      </c>
      <c r="M375" s="3">
        <f>Table15[[#This Row],[Defaulted Principal]]-Table15[[#This Row],[Estimated Loss]]</f>
        <v>0</v>
      </c>
      <c r="N375" s="3">
        <f>IFERROR(VLOOKUP(Table15[[#This Row],[Period]],$L$16:$M$385,2,FALSE),0)</f>
        <v>0</v>
      </c>
      <c r="O375" s="3">
        <f>Table15[[#This Row],[Beginning Balance]]-Table15[[#This Row],[Principal]]-Table15[[#This Row],[Prepayments]]-Table15[[#This Row],[Defaulted Principal]]</f>
        <v>0</v>
      </c>
      <c r="P375" s="3">
        <f>Table15[[#This Row],[Principal]]+Table15[[#This Row],[Interest]]+Table15[[#This Row],[Prepayments]]+Table15[[#This Row],[RecoveredAmount]]</f>
        <v>0</v>
      </c>
      <c r="Q375" s="3">
        <f ca="1">ROUND(Table15[[#This Row],[Cash Flow]]/((1+ActualRateToUse)^(IF(ISNUMBER(SEARCH("Actual",$C$7)),Table15[[#This Row],[Running Total]]/365,Table15[[#This Row],[Period]]/12))),2)</f>
        <v>0</v>
      </c>
      <c r="R375" s="2">
        <f>IF(MONTH(Table15[[#This Row],[Date]])=2,28,DAY(DATE(YEAR(Table15[[#This Row],[Date]]),MONTH(Table15[[#This Row],[Date]])+1,1)-1))</f>
        <v>31</v>
      </c>
      <c r="S375" s="2">
        <f ca="1">SUM(OFFSET(Table15[[#Headers],[Days in month]],1,0):Table15[[#This Row],[Days in month]])</f>
        <v>10920</v>
      </c>
      <c r="T375" s="37">
        <f>InterestRate*AmortizationMultiplier*IF(ISNUMBER(SEARCH("Actual",$C$7)),Table15[[#This Row],[Days in month]]/365,1/12)</f>
        <v>5.8133611111111103E-3</v>
      </c>
    </row>
    <row r="376" spans="2:20" x14ac:dyDescent="0.2">
      <c r="B376" s="1">
        <f t="shared" si="18"/>
        <v>56795</v>
      </c>
      <c r="C376" s="2">
        <f t="shared" si="20"/>
        <v>360</v>
      </c>
      <c r="D376" s="3">
        <f t="shared" si="19"/>
        <v>0</v>
      </c>
      <c r="E376" s="3">
        <f>ROUND(Table15[[#This Row],[Beginning Balance]]*Table15[[#This Row],[Monthly Interest Rate]],2)</f>
        <v>0</v>
      </c>
      <c r="F376" s="3">
        <f t="shared" si="21"/>
        <v>-88</v>
      </c>
      <c r="G376" s="23">
        <f>IFERROR(IF($C$13="No","N/A",IF(Table15[[#This Row],[Period]]=1,$C$6,PMT(InterestRate*AmortizationMultiplier/12,Table15[[#This Row],[Am Thru]],-Table15[[#This Row],[Beginning Balance]]))),0)</f>
        <v>0</v>
      </c>
      <c r="H376" s="3">
        <f>MAX(0,IF(C376=$C$4,D376,ROUND(IF($C$3="Fixed Principal",$C$6-Table15[[#This Row],[Interest]],IF($C$3="Interest Only",Table15[[#This Row],[Beginning Balance]]*ROUND(1-(1-IF($C$11="No",$E$8,1))^(1/12),6),MIN(IF($C$13="Yes",Table15[[#This Row],[Payment Amount (Reamortized)]],$C$6)-Table15[[#This Row],[Interest]],Table15[[#This Row],[Beginning Balance]]))),2)))</f>
        <v>0</v>
      </c>
      <c r="I376" s="3">
        <f>_xlfn.SINGLE(IF($C$3="Line of Credit",0,ROUND(MAX(MIN(IF($C$10="No",$E$7,VLOOKUP(Table15[[#This Row],[Period]],Forecast!$H$2:$L$1048576,4,FALSE))*Table15[[#This Row],[Beginning Balance]],Table15[[#This Row],[Beginning Balance]]-Table15[[#This Row],[Principal]]),0),2)))</f>
        <v>0</v>
      </c>
      <c r="J376" s="3">
        <f>ROUND(MIN(Table15[[#This Row],[Beginning Balance]]*IF($C$8="No",$E$3,VLOOKUP(Table15[[#This Row],[Period]],Forecast!$H$2:$L$1048576,2,FALSE)),Table15[[#This Row],[Beginning Balance]]-Table15[[#This Row],[Principal]]-Table15[[#This Row],[Prepayments]]),2)</f>
        <v>0</v>
      </c>
      <c r="K376" s="3">
        <f>ROUND(Table15[[#This Row],[Defaulted Principal]]*IF($C$9="No",$E$4,VLOOKUP(Table15[[#This Row],[Period]],Forecast!$H$2:$L$1048576,3,FALSE)),2)</f>
        <v>0</v>
      </c>
      <c r="L376" s="2">
        <f>Table15[[#This Row],[Period]]+$E$9</f>
        <v>372</v>
      </c>
      <c r="M376" s="3">
        <f>Table15[[#This Row],[Defaulted Principal]]-Table15[[#This Row],[Estimated Loss]]</f>
        <v>0</v>
      </c>
      <c r="N376" s="3">
        <f>IFERROR(VLOOKUP(Table15[[#This Row],[Period]],$L$16:$M$385,2,FALSE),0)</f>
        <v>0</v>
      </c>
      <c r="O376" s="3">
        <f>Table15[[#This Row],[Beginning Balance]]-Table15[[#This Row],[Principal]]-Table15[[#This Row],[Prepayments]]-Table15[[#This Row],[Defaulted Principal]]</f>
        <v>0</v>
      </c>
      <c r="P376" s="3">
        <f>Table15[[#This Row],[Principal]]+Table15[[#This Row],[Interest]]+Table15[[#This Row],[Prepayments]]+Table15[[#This Row],[RecoveredAmount]]</f>
        <v>0</v>
      </c>
      <c r="Q376" s="3">
        <f ca="1">ROUND(Table15[[#This Row],[Cash Flow]]/((1+ActualRateToUse)^(IF(ISNUMBER(SEARCH("Actual",$C$7)),Table15[[#This Row],[Running Total]]/365,Table15[[#This Row],[Period]]/12))),2)</f>
        <v>0</v>
      </c>
      <c r="R376" s="2">
        <f>IF(MONTH(Table15[[#This Row],[Date]])=2,28,DAY(DATE(YEAR(Table15[[#This Row],[Date]]),MONTH(Table15[[#This Row],[Date]])+1,1)-1))</f>
        <v>30</v>
      </c>
      <c r="S376" s="2">
        <f ca="1">SUM(OFFSET(Table15[[#Headers],[Days in month]],1,0):Table15[[#This Row],[Days in month]])</f>
        <v>10950</v>
      </c>
      <c r="T376" s="37">
        <f>InterestRate*AmortizationMultiplier*IF(ISNUMBER(SEARCH("Actual",$C$7)),Table15[[#This Row],[Days in month]]/365,1/12)</f>
        <v>5.6258333333333325E-3</v>
      </c>
    </row>
    <row r="377" spans="2:20" x14ac:dyDescent="0.2">
      <c r="B377" s="1">
        <f t="shared" si="18"/>
        <v>56826</v>
      </c>
      <c r="C377" s="2">
        <f t="shared" si="20"/>
        <v>361</v>
      </c>
      <c r="D377" s="3">
        <f t="shared" si="19"/>
        <v>0</v>
      </c>
      <c r="E377" s="3">
        <f>ROUND(Table15[[#This Row],[Beginning Balance]]*Table15[[#This Row],[Monthly Interest Rate]],2)</f>
        <v>0</v>
      </c>
      <c r="F377" s="3">
        <f t="shared" si="21"/>
        <v>-89</v>
      </c>
      <c r="G377" s="23">
        <f>IFERROR(IF($C$13="No","N/A",IF(Table15[[#This Row],[Period]]=1,$C$6,PMT(InterestRate*AmortizationMultiplier/12,Table15[[#This Row],[Am Thru]],-Table15[[#This Row],[Beginning Balance]]))),0)</f>
        <v>0</v>
      </c>
      <c r="H377" s="3">
        <f>MAX(0,IF(C377=$C$4,D377,ROUND(IF($C$3="Fixed Principal",$C$6-Table15[[#This Row],[Interest]],IF($C$3="Interest Only",Table15[[#This Row],[Beginning Balance]]*ROUND(1-(1-IF($C$11="No",$E$8,1))^(1/12),6),MIN(IF($C$13="Yes",Table15[[#This Row],[Payment Amount (Reamortized)]],$C$6)-Table15[[#This Row],[Interest]],Table15[[#This Row],[Beginning Balance]]))),2)))</f>
        <v>0</v>
      </c>
      <c r="I377" s="3">
        <f>_xlfn.SINGLE(IF($C$3="Line of Credit",0,ROUND(MAX(MIN(IF($C$10="No",$E$7,VLOOKUP(Table15[[#This Row],[Period]],Forecast!$H$2:$L$1048576,4,FALSE))*Table15[[#This Row],[Beginning Balance]],Table15[[#This Row],[Beginning Balance]]-Table15[[#This Row],[Principal]]),0),2)))</f>
        <v>0</v>
      </c>
      <c r="J377" s="3">
        <f>ROUND(MIN(Table15[[#This Row],[Beginning Balance]]*IF($C$8="No",$E$3,VLOOKUP(Table15[[#This Row],[Period]],Forecast!$H$2:$L$1048576,2,FALSE)),Table15[[#This Row],[Beginning Balance]]-Table15[[#This Row],[Principal]]-Table15[[#This Row],[Prepayments]]),2)</f>
        <v>0</v>
      </c>
      <c r="K377" s="3">
        <f>ROUND(Table15[[#This Row],[Defaulted Principal]]*IF($C$9="No",$E$4,VLOOKUP(Table15[[#This Row],[Period]],Forecast!$H$2:$L$1048576,3,FALSE)),2)</f>
        <v>0</v>
      </c>
      <c r="L377" s="2">
        <f>Table15[[#This Row],[Period]]+$E$9</f>
        <v>373</v>
      </c>
      <c r="M377" s="3">
        <f>Table15[[#This Row],[Defaulted Principal]]-Table15[[#This Row],[Estimated Loss]]</f>
        <v>0</v>
      </c>
      <c r="N377" s="3">
        <f>IFERROR(VLOOKUP(Table15[[#This Row],[Period]],$L$16:$M$385,2,FALSE),0)</f>
        <v>0</v>
      </c>
      <c r="O377" s="3">
        <f>Table15[[#This Row],[Beginning Balance]]-Table15[[#This Row],[Principal]]-Table15[[#This Row],[Prepayments]]-Table15[[#This Row],[Defaulted Principal]]</f>
        <v>0</v>
      </c>
      <c r="P377" s="3">
        <f>Table15[[#This Row],[Principal]]+Table15[[#This Row],[Interest]]+Table15[[#This Row],[Prepayments]]+Table15[[#This Row],[RecoveredAmount]]</f>
        <v>0</v>
      </c>
      <c r="Q377" s="3">
        <f ca="1">ROUND(Table15[[#This Row],[Cash Flow]]/((1+ActualRateToUse)^(IF(ISNUMBER(SEARCH("Actual",$C$7)),Table15[[#This Row],[Running Total]]/365,Table15[[#This Row],[Period]]/12))),2)</f>
        <v>0</v>
      </c>
      <c r="R377" s="2">
        <f>IF(MONTH(Table15[[#This Row],[Date]])=2,28,DAY(DATE(YEAR(Table15[[#This Row],[Date]]),MONTH(Table15[[#This Row],[Date]])+1,1)-1))</f>
        <v>31</v>
      </c>
      <c r="S377" s="2">
        <f ca="1">SUM(OFFSET(Table15[[#Headers],[Days in month]],1,0):Table15[[#This Row],[Days in month]])</f>
        <v>10981</v>
      </c>
      <c r="T377" s="37">
        <f>InterestRate*AmortizationMultiplier*IF(ISNUMBER(SEARCH("Actual",$C$7)),Table15[[#This Row],[Days in month]]/365,1/12)</f>
        <v>5.8133611111111103E-3</v>
      </c>
    </row>
    <row r="378" spans="2:20" x14ac:dyDescent="0.2">
      <c r="B378" s="1">
        <f t="shared" si="18"/>
        <v>56857</v>
      </c>
      <c r="C378" s="2">
        <f t="shared" si="20"/>
        <v>362</v>
      </c>
      <c r="D378" s="3">
        <f t="shared" si="19"/>
        <v>0</v>
      </c>
      <c r="E378" s="3">
        <f>ROUND(Table15[[#This Row],[Beginning Balance]]*Table15[[#This Row],[Monthly Interest Rate]],2)</f>
        <v>0</v>
      </c>
      <c r="F378" s="3">
        <f t="shared" si="21"/>
        <v>-90</v>
      </c>
      <c r="G378" s="23">
        <f>IFERROR(IF($C$13="No","N/A",IF(Table15[[#This Row],[Period]]=1,$C$6,PMT(InterestRate*AmortizationMultiplier/12,Table15[[#This Row],[Am Thru]],-Table15[[#This Row],[Beginning Balance]]))),0)</f>
        <v>0</v>
      </c>
      <c r="H378" s="3">
        <f>MAX(0,IF(C378=$C$4,D378,ROUND(IF($C$3="Fixed Principal",$C$6-Table15[[#This Row],[Interest]],IF($C$3="Interest Only",Table15[[#This Row],[Beginning Balance]]*ROUND(1-(1-IF($C$11="No",$E$8,1))^(1/12),6),MIN(IF($C$13="Yes",Table15[[#This Row],[Payment Amount (Reamortized)]],$C$6)-Table15[[#This Row],[Interest]],Table15[[#This Row],[Beginning Balance]]))),2)))</f>
        <v>0</v>
      </c>
      <c r="I378" s="3">
        <f>_xlfn.SINGLE(IF($C$3="Line of Credit",0,ROUND(MAX(MIN(IF($C$10="No",$E$7,VLOOKUP(Table15[[#This Row],[Period]],Forecast!$H$2:$L$1048576,4,FALSE))*Table15[[#This Row],[Beginning Balance]],Table15[[#This Row],[Beginning Balance]]-Table15[[#This Row],[Principal]]),0),2)))</f>
        <v>0</v>
      </c>
      <c r="J378" s="3">
        <f>ROUND(MIN(Table15[[#This Row],[Beginning Balance]]*IF($C$8="No",$E$3,VLOOKUP(Table15[[#This Row],[Period]],Forecast!$H$2:$L$1048576,2,FALSE)),Table15[[#This Row],[Beginning Balance]]-Table15[[#This Row],[Principal]]-Table15[[#This Row],[Prepayments]]),2)</f>
        <v>0</v>
      </c>
      <c r="K378" s="3">
        <f>ROUND(Table15[[#This Row],[Defaulted Principal]]*IF($C$9="No",$E$4,VLOOKUP(Table15[[#This Row],[Period]],Forecast!$H$2:$L$1048576,3,FALSE)),2)</f>
        <v>0</v>
      </c>
      <c r="L378" s="2">
        <f>Table15[[#This Row],[Period]]+$E$9</f>
        <v>374</v>
      </c>
      <c r="M378" s="3">
        <f>Table15[[#This Row],[Defaulted Principal]]-Table15[[#This Row],[Estimated Loss]]</f>
        <v>0</v>
      </c>
      <c r="N378" s="3">
        <f>IFERROR(VLOOKUP(Table15[[#This Row],[Period]],$L$16:$M$385,2,FALSE),0)</f>
        <v>0</v>
      </c>
      <c r="O378" s="3">
        <f>Table15[[#This Row],[Beginning Balance]]-Table15[[#This Row],[Principal]]-Table15[[#This Row],[Prepayments]]-Table15[[#This Row],[Defaulted Principal]]</f>
        <v>0</v>
      </c>
      <c r="P378" s="3">
        <f>Table15[[#This Row],[Principal]]+Table15[[#This Row],[Interest]]+Table15[[#This Row],[Prepayments]]+Table15[[#This Row],[RecoveredAmount]]</f>
        <v>0</v>
      </c>
      <c r="Q378" s="3">
        <f ca="1">ROUND(Table15[[#This Row],[Cash Flow]]/((1+ActualRateToUse)^(IF(ISNUMBER(SEARCH("Actual",$C$7)),Table15[[#This Row],[Running Total]]/365,Table15[[#This Row],[Period]]/12))),2)</f>
        <v>0</v>
      </c>
      <c r="R378" s="2">
        <f>IF(MONTH(Table15[[#This Row],[Date]])=2,28,DAY(DATE(YEAR(Table15[[#This Row],[Date]]),MONTH(Table15[[#This Row],[Date]])+1,1)-1))</f>
        <v>31</v>
      </c>
      <c r="S378" s="2">
        <f ca="1">SUM(OFFSET(Table15[[#Headers],[Days in month]],1,0):Table15[[#This Row],[Days in month]])</f>
        <v>11012</v>
      </c>
      <c r="T378" s="37">
        <f>InterestRate*AmortizationMultiplier*IF(ISNUMBER(SEARCH("Actual",$C$7)),Table15[[#This Row],[Days in month]]/365,1/12)</f>
        <v>5.8133611111111103E-3</v>
      </c>
    </row>
    <row r="379" spans="2:20" x14ac:dyDescent="0.2">
      <c r="B379" s="1">
        <f t="shared" si="18"/>
        <v>56887</v>
      </c>
      <c r="C379" s="2">
        <f t="shared" si="20"/>
        <v>363</v>
      </c>
      <c r="D379" s="3">
        <f t="shared" si="19"/>
        <v>0</v>
      </c>
      <c r="E379" s="3">
        <f>ROUND(Table15[[#This Row],[Beginning Balance]]*Table15[[#This Row],[Monthly Interest Rate]],2)</f>
        <v>0</v>
      </c>
      <c r="F379" s="3">
        <f t="shared" si="21"/>
        <v>-91</v>
      </c>
      <c r="G379" s="23">
        <f>IFERROR(IF($C$13="No","N/A",IF(Table15[[#This Row],[Period]]=1,$C$6,PMT(InterestRate*AmortizationMultiplier/12,Table15[[#This Row],[Am Thru]],-Table15[[#This Row],[Beginning Balance]]))),0)</f>
        <v>0</v>
      </c>
      <c r="H379" s="3">
        <f>MAX(0,IF(C379=$C$4,D379,ROUND(IF($C$3="Fixed Principal",$C$6-Table15[[#This Row],[Interest]],IF($C$3="Interest Only",Table15[[#This Row],[Beginning Balance]]*ROUND(1-(1-IF($C$11="No",$E$8,1))^(1/12),6),MIN(IF($C$13="Yes",Table15[[#This Row],[Payment Amount (Reamortized)]],$C$6)-Table15[[#This Row],[Interest]],Table15[[#This Row],[Beginning Balance]]))),2)))</f>
        <v>0</v>
      </c>
      <c r="I379" s="3">
        <f>_xlfn.SINGLE(IF($C$3="Line of Credit",0,ROUND(MAX(MIN(IF($C$10="No",$E$7,VLOOKUP(Table15[[#This Row],[Period]],Forecast!$H$2:$L$1048576,4,FALSE))*Table15[[#This Row],[Beginning Balance]],Table15[[#This Row],[Beginning Balance]]-Table15[[#This Row],[Principal]]),0),2)))</f>
        <v>0</v>
      </c>
      <c r="J379" s="3">
        <f>ROUND(MIN(Table15[[#This Row],[Beginning Balance]]*IF($C$8="No",$E$3,VLOOKUP(Table15[[#This Row],[Period]],Forecast!$H$2:$L$1048576,2,FALSE)),Table15[[#This Row],[Beginning Balance]]-Table15[[#This Row],[Principal]]-Table15[[#This Row],[Prepayments]]),2)</f>
        <v>0</v>
      </c>
      <c r="K379" s="3">
        <f>ROUND(Table15[[#This Row],[Defaulted Principal]]*IF($C$9="No",$E$4,VLOOKUP(Table15[[#This Row],[Period]],Forecast!$H$2:$L$1048576,3,FALSE)),2)</f>
        <v>0</v>
      </c>
      <c r="L379" s="2">
        <f>Table15[[#This Row],[Period]]+$E$9</f>
        <v>375</v>
      </c>
      <c r="M379" s="3">
        <f>Table15[[#This Row],[Defaulted Principal]]-Table15[[#This Row],[Estimated Loss]]</f>
        <v>0</v>
      </c>
      <c r="N379" s="3">
        <f>IFERROR(VLOOKUP(Table15[[#This Row],[Period]],$L$16:$M$385,2,FALSE),0)</f>
        <v>0</v>
      </c>
      <c r="O379" s="3">
        <f>Table15[[#This Row],[Beginning Balance]]-Table15[[#This Row],[Principal]]-Table15[[#This Row],[Prepayments]]-Table15[[#This Row],[Defaulted Principal]]</f>
        <v>0</v>
      </c>
      <c r="P379" s="3">
        <f>Table15[[#This Row],[Principal]]+Table15[[#This Row],[Interest]]+Table15[[#This Row],[Prepayments]]+Table15[[#This Row],[RecoveredAmount]]</f>
        <v>0</v>
      </c>
      <c r="Q379" s="3">
        <f ca="1">ROUND(Table15[[#This Row],[Cash Flow]]/((1+ActualRateToUse)^(IF(ISNUMBER(SEARCH("Actual",$C$7)),Table15[[#This Row],[Running Total]]/365,Table15[[#This Row],[Period]]/12))),2)</f>
        <v>0</v>
      </c>
      <c r="R379" s="2">
        <f>IF(MONTH(Table15[[#This Row],[Date]])=2,28,DAY(DATE(YEAR(Table15[[#This Row],[Date]]),MONTH(Table15[[#This Row],[Date]])+1,1)-1))</f>
        <v>30</v>
      </c>
      <c r="S379" s="2">
        <f ca="1">SUM(OFFSET(Table15[[#Headers],[Days in month]],1,0):Table15[[#This Row],[Days in month]])</f>
        <v>11042</v>
      </c>
      <c r="T379" s="37">
        <f>InterestRate*AmortizationMultiplier*IF(ISNUMBER(SEARCH("Actual",$C$7)),Table15[[#This Row],[Days in month]]/365,1/12)</f>
        <v>5.6258333333333325E-3</v>
      </c>
    </row>
    <row r="380" spans="2:20" x14ac:dyDescent="0.2">
      <c r="B380" s="1">
        <f t="shared" si="18"/>
        <v>56918</v>
      </c>
      <c r="C380" s="2">
        <f t="shared" si="20"/>
        <v>364</v>
      </c>
      <c r="D380" s="3">
        <f t="shared" si="19"/>
        <v>0</v>
      </c>
      <c r="E380" s="3">
        <f>ROUND(Table15[[#This Row],[Beginning Balance]]*Table15[[#This Row],[Monthly Interest Rate]],2)</f>
        <v>0</v>
      </c>
      <c r="F380" s="3">
        <f t="shared" si="21"/>
        <v>-92</v>
      </c>
      <c r="G380" s="23">
        <f>IFERROR(IF($C$13="No","N/A",IF(Table15[[#This Row],[Period]]=1,$C$6,PMT(InterestRate*AmortizationMultiplier/12,Table15[[#This Row],[Am Thru]],-Table15[[#This Row],[Beginning Balance]]))),0)</f>
        <v>0</v>
      </c>
      <c r="H380" s="3">
        <f>MAX(0,IF(C380=$C$4,D380,ROUND(IF($C$3="Fixed Principal",$C$6-Table15[[#This Row],[Interest]],IF($C$3="Interest Only",Table15[[#This Row],[Beginning Balance]]*ROUND(1-(1-IF($C$11="No",$E$8,1))^(1/12),6),MIN(IF($C$13="Yes",Table15[[#This Row],[Payment Amount (Reamortized)]],$C$6)-Table15[[#This Row],[Interest]],Table15[[#This Row],[Beginning Balance]]))),2)))</f>
        <v>0</v>
      </c>
      <c r="I380" s="3">
        <f>_xlfn.SINGLE(IF($C$3="Line of Credit",0,ROUND(MAX(MIN(IF($C$10="No",$E$7,VLOOKUP(Table15[[#This Row],[Period]],Forecast!$H$2:$L$1048576,4,FALSE))*Table15[[#This Row],[Beginning Balance]],Table15[[#This Row],[Beginning Balance]]-Table15[[#This Row],[Principal]]),0),2)))</f>
        <v>0</v>
      </c>
      <c r="J380" s="3">
        <f>ROUND(MIN(Table15[[#This Row],[Beginning Balance]]*IF($C$8="No",$E$3,VLOOKUP(Table15[[#This Row],[Period]],Forecast!$H$2:$L$1048576,2,FALSE)),Table15[[#This Row],[Beginning Balance]]-Table15[[#This Row],[Principal]]-Table15[[#This Row],[Prepayments]]),2)</f>
        <v>0</v>
      </c>
      <c r="K380" s="3">
        <f>ROUND(Table15[[#This Row],[Defaulted Principal]]*IF($C$9="No",$E$4,VLOOKUP(Table15[[#This Row],[Period]],Forecast!$H$2:$L$1048576,3,FALSE)),2)</f>
        <v>0</v>
      </c>
      <c r="L380" s="2">
        <f>Table15[[#This Row],[Period]]+$E$9</f>
        <v>376</v>
      </c>
      <c r="M380" s="3">
        <f>Table15[[#This Row],[Defaulted Principal]]-Table15[[#This Row],[Estimated Loss]]</f>
        <v>0</v>
      </c>
      <c r="N380" s="3">
        <f>IFERROR(VLOOKUP(Table15[[#This Row],[Period]],$L$16:$M$385,2,FALSE),0)</f>
        <v>0</v>
      </c>
      <c r="O380" s="3">
        <f>Table15[[#This Row],[Beginning Balance]]-Table15[[#This Row],[Principal]]-Table15[[#This Row],[Prepayments]]-Table15[[#This Row],[Defaulted Principal]]</f>
        <v>0</v>
      </c>
      <c r="P380" s="3">
        <f>Table15[[#This Row],[Principal]]+Table15[[#This Row],[Interest]]+Table15[[#This Row],[Prepayments]]+Table15[[#This Row],[RecoveredAmount]]</f>
        <v>0</v>
      </c>
      <c r="Q380" s="3">
        <f ca="1">ROUND(Table15[[#This Row],[Cash Flow]]/((1+ActualRateToUse)^(IF(ISNUMBER(SEARCH("Actual",$C$7)),Table15[[#This Row],[Running Total]]/365,Table15[[#This Row],[Period]]/12))),2)</f>
        <v>0</v>
      </c>
      <c r="R380" s="2">
        <f>IF(MONTH(Table15[[#This Row],[Date]])=2,28,DAY(DATE(YEAR(Table15[[#This Row],[Date]]),MONTH(Table15[[#This Row],[Date]])+1,1)-1))</f>
        <v>31</v>
      </c>
      <c r="S380" s="2">
        <f ca="1">SUM(OFFSET(Table15[[#Headers],[Days in month]],1,0):Table15[[#This Row],[Days in month]])</f>
        <v>11073</v>
      </c>
      <c r="T380" s="37">
        <f>InterestRate*AmortizationMultiplier*IF(ISNUMBER(SEARCH("Actual",$C$7)),Table15[[#This Row],[Days in month]]/365,1/12)</f>
        <v>5.8133611111111103E-3</v>
      </c>
    </row>
    <row r="381" spans="2:20" x14ac:dyDescent="0.2">
      <c r="B381" s="1">
        <f t="shared" si="18"/>
        <v>56948</v>
      </c>
      <c r="C381" s="2">
        <f t="shared" si="20"/>
        <v>365</v>
      </c>
      <c r="D381" s="3">
        <f t="shared" si="19"/>
        <v>0</v>
      </c>
      <c r="E381" s="3">
        <f>ROUND(Table15[[#This Row],[Beginning Balance]]*Table15[[#This Row],[Monthly Interest Rate]],2)</f>
        <v>0</v>
      </c>
      <c r="F381" s="3">
        <f t="shared" si="21"/>
        <v>-93</v>
      </c>
      <c r="G381" s="23">
        <f>IFERROR(IF($C$13="No","N/A",IF(Table15[[#This Row],[Period]]=1,$C$6,PMT(InterestRate*AmortizationMultiplier/12,Table15[[#This Row],[Am Thru]],-Table15[[#This Row],[Beginning Balance]]))),0)</f>
        <v>0</v>
      </c>
      <c r="H381" s="3">
        <f>MAX(0,IF(C381=$C$4,D381,ROUND(IF($C$3="Fixed Principal",$C$6-Table15[[#This Row],[Interest]],IF($C$3="Interest Only",Table15[[#This Row],[Beginning Balance]]*ROUND(1-(1-IF($C$11="No",$E$8,1))^(1/12),6),MIN(IF($C$13="Yes",Table15[[#This Row],[Payment Amount (Reamortized)]],$C$6)-Table15[[#This Row],[Interest]],Table15[[#This Row],[Beginning Balance]]))),2)))</f>
        <v>0</v>
      </c>
      <c r="I381" s="3">
        <f>_xlfn.SINGLE(IF($C$3="Line of Credit",0,ROUND(MAX(MIN(IF($C$10="No",$E$7,VLOOKUP(Table15[[#This Row],[Period]],Forecast!$H$2:$L$1048576,4,FALSE))*Table15[[#This Row],[Beginning Balance]],Table15[[#This Row],[Beginning Balance]]-Table15[[#This Row],[Principal]]),0),2)))</f>
        <v>0</v>
      </c>
      <c r="J381" s="3">
        <f>ROUND(MIN(Table15[[#This Row],[Beginning Balance]]*IF($C$8="No",$E$3,VLOOKUP(Table15[[#This Row],[Period]],Forecast!$H$2:$L$1048576,2,FALSE)),Table15[[#This Row],[Beginning Balance]]-Table15[[#This Row],[Principal]]-Table15[[#This Row],[Prepayments]]),2)</f>
        <v>0</v>
      </c>
      <c r="K381" s="3">
        <f>ROUND(Table15[[#This Row],[Defaulted Principal]]*IF($C$9="No",$E$4,VLOOKUP(Table15[[#This Row],[Period]],Forecast!$H$2:$L$1048576,3,FALSE)),2)</f>
        <v>0</v>
      </c>
      <c r="L381" s="2">
        <f>Table15[[#This Row],[Period]]+$E$9</f>
        <v>377</v>
      </c>
      <c r="M381" s="3">
        <f>Table15[[#This Row],[Defaulted Principal]]-Table15[[#This Row],[Estimated Loss]]</f>
        <v>0</v>
      </c>
      <c r="N381" s="3">
        <f>IFERROR(VLOOKUP(Table15[[#This Row],[Period]],$L$16:$M$385,2,FALSE),0)</f>
        <v>0</v>
      </c>
      <c r="O381" s="3">
        <f>Table15[[#This Row],[Beginning Balance]]-Table15[[#This Row],[Principal]]-Table15[[#This Row],[Prepayments]]-Table15[[#This Row],[Defaulted Principal]]</f>
        <v>0</v>
      </c>
      <c r="P381" s="3">
        <f>Table15[[#This Row],[Principal]]+Table15[[#This Row],[Interest]]+Table15[[#This Row],[Prepayments]]+Table15[[#This Row],[RecoveredAmount]]</f>
        <v>0</v>
      </c>
      <c r="Q381" s="3">
        <f ca="1">ROUND(Table15[[#This Row],[Cash Flow]]/((1+ActualRateToUse)^(IF(ISNUMBER(SEARCH("Actual",$C$7)),Table15[[#This Row],[Running Total]]/365,Table15[[#This Row],[Period]]/12))),2)</f>
        <v>0</v>
      </c>
      <c r="R381" s="2">
        <f>IF(MONTH(Table15[[#This Row],[Date]])=2,28,DAY(DATE(YEAR(Table15[[#This Row],[Date]]),MONTH(Table15[[#This Row],[Date]])+1,1)-1))</f>
        <v>30</v>
      </c>
      <c r="S381" s="2">
        <f ca="1">SUM(OFFSET(Table15[[#Headers],[Days in month]],1,0):Table15[[#This Row],[Days in month]])</f>
        <v>11103</v>
      </c>
      <c r="T381" s="37">
        <f>InterestRate*AmortizationMultiplier*IF(ISNUMBER(SEARCH("Actual",$C$7)),Table15[[#This Row],[Days in month]]/365,1/12)</f>
        <v>5.6258333333333325E-3</v>
      </c>
    </row>
    <row r="382" spans="2:20" x14ac:dyDescent="0.2">
      <c r="B382" s="1">
        <f t="shared" si="18"/>
        <v>56979</v>
      </c>
      <c r="C382" s="2">
        <f t="shared" si="20"/>
        <v>366</v>
      </c>
      <c r="D382" s="3">
        <f t="shared" si="19"/>
        <v>0</v>
      </c>
      <c r="E382" s="3">
        <f>ROUND(Table15[[#This Row],[Beginning Balance]]*Table15[[#This Row],[Monthly Interest Rate]],2)</f>
        <v>0</v>
      </c>
      <c r="F382" s="3">
        <f t="shared" si="21"/>
        <v>-94</v>
      </c>
      <c r="G382" s="23">
        <f>IFERROR(IF($C$13="No","N/A",IF(Table15[[#This Row],[Period]]=1,$C$6,PMT(InterestRate*AmortizationMultiplier/12,Table15[[#This Row],[Am Thru]],-Table15[[#This Row],[Beginning Balance]]))),0)</f>
        <v>0</v>
      </c>
      <c r="H382" s="3">
        <f>MAX(0,IF(C382=$C$4,D382,ROUND(IF($C$3="Fixed Principal",$C$6-Table15[[#This Row],[Interest]],IF($C$3="Interest Only",Table15[[#This Row],[Beginning Balance]]*ROUND(1-(1-IF($C$11="No",$E$8,1))^(1/12),6),MIN(IF($C$13="Yes",Table15[[#This Row],[Payment Amount (Reamortized)]],$C$6)-Table15[[#This Row],[Interest]],Table15[[#This Row],[Beginning Balance]]))),2)))</f>
        <v>0</v>
      </c>
      <c r="I382" s="3">
        <f>_xlfn.SINGLE(IF($C$3="Line of Credit",0,ROUND(MAX(MIN(IF($C$10="No",$E$7,VLOOKUP(Table15[[#This Row],[Period]],Forecast!$H$2:$L$1048576,4,FALSE))*Table15[[#This Row],[Beginning Balance]],Table15[[#This Row],[Beginning Balance]]-Table15[[#This Row],[Principal]]),0),2)))</f>
        <v>0</v>
      </c>
      <c r="J382" s="3">
        <f>ROUND(MIN(Table15[[#This Row],[Beginning Balance]]*IF($C$8="No",$E$3,VLOOKUP(Table15[[#This Row],[Period]],Forecast!$H$2:$L$1048576,2,FALSE)),Table15[[#This Row],[Beginning Balance]]-Table15[[#This Row],[Principal]]-Table15[[#This Row],[Prepayments]]),2)</f>
        <v>0</v>
      </c>
      <c r="K382" s="3">
        <f>ROUND(Table15[[#This Row],[Defaulted Principal]]*IF($C$9="No",$E$4,VLOOKUP(Table15[[#This Row],[Period]],Forecast!$H$2:$L$1048576,3,FALSE)),2)</f>
        <v>0</v>
      </c>
      <c r="L382" s="2">
        <f>Table15[[#This Row],[Period]]+$E$9</f>
        <v>378</v>
      </c>
      <c r="M382" s="3">
        <f>Table15[[#This Row],[Defaulted Principal]]-Table15[[#This Row],[Estimated Loss]]</f>
        <v>0</v>
      </c>
      <c r="N382" s="3">
        <f>IFERROR(VLOOKUP(Table15[[#This Row],[Period]],$L$16:$M$385,2,FALSE),0)</f>
        <v>0</v>
      </c>
      <c r="O382" s="3">
        <f>Table15[[#This Row],[Beginning Balance]]-Table15[[#This Row],[Principal]]-Table15[[#This Row],[Prepayments]]-Table15[[#This Row],[Defaulted Principal]]</f>
        <v>0</v>
      </c>
      <c r="P382" s="3">
        <f>Table15[[#This Row],[Principal]]+Table15[[#This Row],[Interest]]+Table15[[#This Row],[Prepayments]]+Table15[[#This Row],[RecoveredAmount]]</f>
        <v>0</v>
      </c>
      <c r="Q382" s="3">
        <f ca="1">ROUND(Table15[[#This Row],[Cash Flow]]/((1+ActualRateToUse)^(IF(ISNUMBER(SEARCH("Actual",$C$7)),Table15[[#This Row],[Running Total]]/365,Table15[[#This Row],[Period]]/12))),2)</f>
        <v>0</v>
      </c>
      <c r="R382" s="2">
        <f>IF(MONTH(Table15[[#This Row],[Date]])=2,28,DAY(DATE(YEAR(Table15[[#This Row],[Date]]),MONTH(Table15[[#This Row],[Date]])+1,1)-1))</f>
        <v>31</v>
      </c>
      <c r="S382" s="2">
        <f ca="1">SUM(OFFSET(Table15[[#Headers],[Days in month]],1,0):Table15[[#This Row],[Days in month]])</f>
        <v>11134</v>
      </c>
      <c r="T382" s="37">
        <f>InterestRate*AmortizationMultiplier*IF(ISNUMBER(SEARCH("Actual",$C$7)),Table15[[#This Row],[Days in month]]/365,1/12)</f>
        <v>5.8133611111111103E-3</v>
      </c>
    </row>
    <row r="383" spans="2:20" x14ac:dyDescent="0.2">
      <c r="B383" s="1">
        <f t="shared" si="18"/>
        <v>57010</v>
      </c>
      <c r="C383" s="2">
        <f t="shared" si="20"/>
        <v>367</v>
      </c>
      <c r="D383" s="3">
        <f t="shared" si="19"/>
        <v>0</v>
      </c>
      <c r="E383" s="3">
        <f>ROUND(Table15[[#This Row],[Beginning Balance]]*Table15[[#This Row],[Monthly Interest Rate]],2)</f>
        <v>0</v>
      </c>
      <c r="F383" s="3">
        <f t="shared" si="21"/>
        <v>-95</v>
      </c>
      <c r="G383" s="23">
        <f>IFERROR(IF($C$13="No","N/A",IF(Table15[[#This Row],[Period]]=1,$C$6,PMT(InterestRate*AmortizationMultiplier/12,Table15[[#This Row],[Am Thru]],-Table15[[#This Row],[Beginning Balance]]))),0)</f>
        <v>0</v>
      </c>
      <c r="H383" s="3">
        <f>MAX(0,IF(C383=$C$4,D383,ROUND(IF($C$3="Fixed Principal",$C$6-Table15[[#This Row],[Interest]],IF($C$3="Interest Only",Table15[[#This Row],[Beginning Balance]]*ROUND(1-(1-IF($C$11="No",$E$8,1))^(1/12),6),MIN(IF($C$13="Yes",Table15[[#This Row],[Payment Amount (Reamortized)]],$C$6)-Table15[[#This Row],[Interest]],Table15[[#This Row],[Beginning Balance]]))),2)))</f>
        <v>0</v>
      </c>
      <c r="I383" s="3">
        <f>_xlfn.SINGLE(IF($C$3="Line of Credit",0,ROUND(MAX(MIN(IF($C$10="No",$E$7,VLOOKUP(Table15[[#This Row],[Period]],Forecast!$H$2:$L$1048576,4,FALSE))*Table15[[#This Row],[Beginning Balance]],Table15[[#This Row],[Beginning Balance]]-Table15[[#This Row],[Principal]]),0),2)))</f>
        <v>0</v>
      </c>
      <c r="J383" s="3">
        <f>ROUND(MIN(Table15[[#This Row],[Beginning Balance]]*IF($C$8="No",$E$3,VLOOKUP(Table15[[#This Row],[Period]],Forecast!$H$2:$L$1048576,2,FALSE)),Table15[[#This Row],[Beginning Balance]]-Table15[[#This Row],[Principal]]-Table15[[#This Row],[Prepayments]]),2)</f>
        <v>0</v>
      </c>
      <c r="K383" s="3">
        <f>ROUND(Table15[[#This Row],[Defaulted Principal]]*IF($C$9="No",$E$4,VLOOKUP(Table15[[#This Row],[Period]],Forecast!$H$2:$L$1048576,3,FALSE)),2)</f>
        <v>0</v>
      </c>
      <c r="L383" s="2">
        <f>Table15[[#This Row],[Period]]+$E$9</f>
        <v>379</v>
      </c>
      <c r="M383" s="3">
        <f>Table15[[#This Row],[Defaulted Principal]]-Table15[[#This Row],[Estimated Loss]]</f>
        <v>0</v>
      </c>
      <c r="N383" s="3">
        <f>IFERROR(VLOOKUP(Table15[[#This Row],[Period]],$L$16:$M$385,2,FALSE),0)</f>
        <v>0</v>
      </c>
      <c r="O383" s="3">
        <f>Table15[[#This Row],[Beginning Balance]]-Table15[[#This Row],[Principal]]-Table15[[#This Row],[Prepayments]]-Table15[[#This Row],[Defaulted Principal]]</f>
        <v>0</v>
      </c>
      <c r="P383" s="3">
        <f>Table15[[#This Row],[Principal]]+Table15[[#This Row],[Interest]]+Table15[[#This Row],[Prepayments]]+Table15[[#This Row],[RecoveredAmount]]</f>
        <v>0</v>
      </c>
      <c r="Q383" s="3">
        <f ca="1">ROUND(Table15[[#This Row],[Cash Flow]]/((1+ActualRateToUse)^(IF(ISNUMBER(SEARCH("Actual",$C$7)),Table15[[#This Row],[Running Total]]/365,Table15[[#This Row],[Period]]/12))),2)</f>
        <v>0</v>
      </c>
      <c r="R383" s="2">
        <f>IF(MONTH(Table15[[#This Row],[Date]])=2,28,DAY(DATE(YEAR(Table15[[#This Row],[Date]]),MONTH(Table15[[#This Row],[Date]])+1,1)-1))</f>
        <v>31</v>
      </c>
      <c r="S383" s="2">
        <f ca="1">SUM(OFFSET(Table15[[#Headers],[Days in month]],1,0):Table15[[#This Row],[Days in month]])</f>
        <v>11165</v>
      </c>
      <c r="T383" s="37">
        <f>InterestRate*AmortizationMultiplier*IF(ISNUMBER(SEARCH("Actual",$C$7)),Table15[[#This Row],[Days in month]]/365,1/12)</f>
        <v>5.8133611111111103E-3</v>
      </c>
    </row>
    <row r="384" spans="2:20" x14ac:dyDescent="0.2">
      <c r="B384" s="1">
        <f t="shared" si="18"/>
        <v>57039</v>
      </c>
      <c r="C384" s="2">
        <f t="shared" si="20"/>
        <v>368</v>
      </c>
      <c r="D384" s="3">
        <f t="shared" si="19"/>
        <v>0</v>
      </c>
      <c r="E384" s="3">
        <f>ROUND(Table15[[#This Row],[Beginning Balance]]*Table15[[#This Row],[Monthly Interest Rate]],2)</f>
        <v>0</v>
      </c>
      <c r="F384" s="3">
        <f t="shared" si="21"/>
        <v>-96</v>
      </c>
      <c r="G384" s="23">
        <f>IFERROR(IF($C$13="No","N/A",IF(Table15[[#This Row],[Period]]=1,$C$6,PMT(InterestRate*AmortizationMultiplier/12,Table15[[#This Row],[Am Thru]],-Table15[[#This Row],[Beginning Balance]]))),0)</f>
        <v>0</v>
      </c>
      <c r="H384" s="3">
        <f>MAX(0,IF(C384=$C$4,D384,ROUND(IF($C$3="Fixed Principal",$C$6-Table15[[#This Row],[Interest]],IF($C$3="Interest Only",Table15[[#This Row],[Beginning Balance]]*ROUND(1-(1-IF($C$11="No",$E$8,1))^(1/12),6),MIN(IF($C$13="Yes",Table15[[#This Row],[Payment Amount (Reamortized)]],$C$6)-Table15[[#This Row],[Interest]],Table15[[#This Row],[Beginning Balance]]))),2)))</f>
        <v>0</v>
      </c>
      <c r="I384" s="3">
        <f>_xlfn.SINGLE(IF($C$3="Line of Credit",0,ROUND(MAX(MIN(IF($C$10="No",$E$7,VLOOKUP(Table15[[#This Row],[Period]],Forecast!$H$2:$L$1048576,4,FALSE))*Table15[[#This Row],[Beginning Balance]],Table15[[#This Row],[Beginning Balance]]-Table15[[#This Row],[Principal]]),0),2)))</f>
        <v>0</v>
      </c>
      <c r="J384" s="3">
        <f>ROUND(MIN(Table15[[#This Row],[Beginning Balance]]*IF($C$8="No",$E$3,VLOOKUP(Table15[[#This Row],[Period]],Forecast!$H$2:$L$1048576,2,FALSE)),Table15[[#This Row],[Beginning Balance]]-Table15[[#This Row],[Principal]]-Table15[[#This Row],[Prepayments]]),2)</f>
        <v>0</v>
      </c>
      <c r="K384" s="3">
        <f>ROUND(Table15[[#This Row],[Defaulted Principal]]*IF($C$9="No",$E$4,VLOOKUP(Table15[[#This Row],[Period]],Forecast!$H$2:$L$1048576,3,FALSE)),2)</f>
        <v>0</v>
      </c>
      <c r="L384" s="2">
        <f>Table15[[#This Row],[Period]]+$E$9</f>
        <v>380</v>
      </c>
      <c r="M384" s="3">
        <f>Table15[[#This Row],[Defaulted Principal]]-Table15[[#This Row],[Estimated Loss]]</f>
        <v>0</v>
      </c>
      <c r="N384" s="3">
        <f>IFERROR(VLOOKUP(Table15[[#This Row],[Period]],$L$16:$M$385,2,FALSE),0)</f>
        <v>0</v>
      </c>
      <c r="O384" s="3">
        <f>Table15[[#This Row],[Beginning Balance]]-Table15[[#This Row],[Principal]]-Table15[[#This Row],[Prepayments]]-Table15[[#This Row],[Defaulted Principal]]</f>
        <v>0</v>
      </c>
      <c r="P384" s="3">
        <f>Table15[[#This Row],[Principal]]+Table15[[#This Row],[Interest]]+Table15[[#This Row],[Prepayments]]+Table15[[#This Row],[RecoveredAmount]]</f>
        <v>0</v>
      </c>
      <c r="Q384" s="3">
        <f ca="1">ROUND(Table15[[#This Row],[Cash Flow]]/((1+ActualRateToUse)^(IF(ISNUMBER(SEARCH("Actual",$C$7)),Table15[[#This Row],[Running Total]]/365,Table15[[#This Row],[Period]]/12))),2)</f>
        <v>0</v>
      </c>
      <c r="R384" s="2">
        <f>IF(MONTH(Table15[[#This Row],[Date]])=2,28,DAY(DATE(YEAR(Table15[[#This Row],[Date]]),MONTH(Table15[[#This Row],[Date]])+1,1)-1))</f>
        <v>28</v>
      </c>
      <c r="S384" s="2">
        <f ca="1">SUM(OFFSET(Table15[[#Headers],[Days in month]],1,0):Table15[[#This Row],[Days in month]])</f>
        <v>11193</v>
      </c>
      <c r="T384" s="37">
        <f>InterestRate*AmortizationMultiplier*IF(ISNUMBER(SEARCH("Actual",$C$7)),Table15[[#This Row],[Days in month]]/365,1/12)</f>
        <v>5.2507777777777778E-3</v>
      </c>
    </row>
    <row r="385" spans="2:20" x14ac:dyDescent="0.2">
      <c r="B385" s="1">
        <f t="shared" si="18"/>
        <v>57070</v>
      </c>
      <c r="C385" s="2">
        <f t="shared" si="20"/>
        <v>369</v>
      </c>
      <c r="D385" s="3">
        <f t="shared" si="19"/>
        <v>0</v>
      </c>
      <c r="E385" s="3">
        <f>ROUND(Table15[[#This Row],[Beginning Balance]]*Table15[[#This Row],[Monthly Interest Rate]],2)</f>
        <v>0</v>
      </c>
      <c r="F385" s="3">
        <f t="shared" si="21"/>
        <v>-97</v>
      </c>
      <c r="G385" s="23">
        <f>IFERROR(IF($C$13="No","N/A",IF(Table15[[#This Row],[Period]]=1,$C$6,PMT(InterestRate*AmortizationMultiplier/12,Table15[[#This Row],[Am Thru]],-Table15[[#This Row],[Beginning Balance]]))),0)</f>
        <v>0</v>
      </c>
      <c r="H385" s="3">
        <f>MAX(0,IF(C385=$C$4,D385,ROUND(IF($C$3="Fixed Principal",$C$6-Table15[[#This Row],[Interest]],IF($C$3="Interest Only",Table15[[#This Row],[Beginning Balance]]*ROUND(1-(1-IF($C$11="No",$E$8,1))^(1/12),6),MIN(IF($C$13="Yes",Table15[[#This Row],[Payment Amount (Reamortized)]],$C$6)-Table15[[#This Row],[Interest]],Table15[[#This Row],[Beginning Balance]]))),2)))</f>
        <v>0</v>
      </c>
      <c r="I385" s="3">
        <f>_xlfn.SINGLE(IF($C$3="Line of Credit",0,ROUND(MAX(MIN(IF($C$10="No",$E$7,VLOOKUP(Table15[[#This Row],[Period]],Forecast!$H$2:$L$1048576,4,FALSE))*Table15[[#This Row],[Beginning Balance]],Table15[[#This Row],[Beginning Balance]]-Table15[[#This Row],[Principal]]),0),2)))</f>
        <v>0</v>
      </c>
      <c r="J385" s="3">
        <f>ROUND(MIN(Table15[[#This Row],[Beginning Balance]]*IF($C$8="No",$E$3,VLOOKUP(Table15[[#This Row],[Period]],Forecast!$H$2:$L$1048576,2,FALSE)),Table15[[#This Row],[Beginning Balance]]-Table15[[#This Row],[Principal]]-Table15[[#This Row],[Prepayments]]),2)</f>
        <v>0</v>
      </c>
      <c r="K385" s="3">
        <f>ROUND(Table15[[#This Row],[Defaulted Principal]]*IF($C$9="No",$E$4,VLOOKUP(Table15[[#This Row],[Period]],Forecast!$H$2:$L$1048576,3,FALSE)),2)</f>
        <v>0</v>
      </c>
      <c r="L385" s="2">
        <f>Table15[[#This Row],[Period]]+$E$9</f>
        <v>381</v>
      </c>
      <c r="M385" s="3">
        <f>Table15[[#This Row],[Defaulted Principal]]-Table15[[#This Row],[Estimated Loss]]</f>
        <v>0</v>
      </c>
      <c r="N385" s="3">
        <f>IFERROR(VLOOKUP(Table15[[#This Row],[Period]],$L$16:$M$385,2,FALSE),0)</f>
        <v>0</v>
      </c>
      <c r="O385" s="3">
        <f>Table15[[#This Row],[Beginning Balance]]-Table15[[#This Row],[Principal]]-Table15[[#This Row],[Prepayments]]-Table15[[#This Row],[Defaulted Principal]]</f>
        <v>0</v>
      </c>
      <c r="P385" s="3">
        <f>Table15[[#This Row],[Principal]]+Table15[[#This Row],[Interest]]+Table15[[#This Row],[Prepayments]]+Table15[[#This Row],[RecoveredAmount]]</f>
        <v>0</v>
      </c>
      <c r="Q385" s="3">
        <f ca="1">ROUND(Table15[[#This Row],[Cash Flow]]/((1+ActualRateToUse)^(IF(ISNUMBER(SEARCH("Actual",$C$7)),Table15[[#This Row],[Running Total]]/365,Table15[[#This Row],[Period]]/12))),2)</f>
        <v>0</v>
      </c>
      <c r="R385" s="2">
        <f>IF(MONTH(Table15[[#This Row],[Date]])=2,28,DAY(DATE(YEAR(Table15[[#This Row],[Date]]),MONTH(Table15[[#This Row],[Date]])+1,1)-1))</f>
        <v>31</v>
      </c>
      <c r="S385" s="2">
        <f ca="1">SUM(OFFSET(Table15[[#Headers],[Days in month]],1,0):Table15[[#This Row],[Days in month]])</f>
        <v>11224</v>
      </c>
      <c r="T385" s="37">
        <f>InterestRate*AmortizationMultiplier*IF(ISNUMBER(SEARCH("Actual",$C$7)),Table15[[#This Row],[Days in month]]/365,1/12)</f>
        <v>5.8133611111111103E-3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53DD6B0-DDE6-4269-9CBA-6102C3E62A75}">
          <x14:formula1>
            <xm:f>Inputs!$E$2:$E$3</xm:f>
          </x14:formula1>
          <xm:sqref>I8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2E974-28DD-4AC2-B4F2-74F0EAEADE83}">
  <dimension ref="A1:O127"/>
  <sheetViews>
    <sheetView workbookViewId="0">
      <selection activeCell="M6" sqref="M6"/>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7816559.5899999999</v>
      </c>
      <c r="D2" s="43">
        <v>11312.17</v>
      </c>
      <c r="E2" s="43">
        <v>45440.480000000003</v>
      </c>
      <c r="F2" s="43">
        <v>22300.639999999999</v>
      </c>
      <c r="G2" s="43">
        <v>3556.53</v>
      </c>
      <c r="H2" s="43">
        <v>277.45999999999998</v>
      </c>
      <c r="I2" s="43">
        <v>0</v>
      </c>
      <c r="J2" s="43">
        <v>7779390.25</v>
      </c>
      <c r="K2" s="43">
        <v>79053.289999999994</v>
      </c>
      <c r="L2" s="43">
        <v>78590.990000000005</v>
      </c>
      <c r="M2" s="48">
        <f ca="1">'DCF Calc 2'!Q17</f>
        <v>78590.990000000005</v>
      </c>
      <c r="N2" s="46">
        <f ca="1">Loan_Level_Results4[[#This Row],[NPV]]-Loan_Level_Results4[[#This Row],[DCF CALC NPV]]</f>
        <v>0</v>
      </c>
      <c r="O2" s="43">
        <f>Loan_Level_Results4[[#This Row],[Principal Payment]]+Loan_Level_Results4[[#This Row],[Interest]]</f>
        <v>56752.65</v>
      </c>
    </row>
    <row r="3" spans="1:15" x14ac:dyDescent="0.3">
      <c r="A3" s="45">
        <v>45900</v>
      </c>
      <c r="B3" s="44">
        <v>2</v>
      </c>
      <c r="C3" s="43">
        <v>7779390.25</v>
      </c>
      <c r="D3" s="43">
        <v>11324.26</v>
      </c>
      <c r="E3" s="43">
        <v>45224.4</v>
      </c>
      <c r="F3" s="43">
        <v>22194.6</v>
      </c>
      <c r="G3" s="43">
        <v>3539.62</v>
      </c>
      <c r="H3" s="43">
        <v>276.14</v>
      </c>
      <c r="I3" s="43">
        <v>0</v>
      </c>
      <c r="J3" s="43">
        <v>7742331.7699999996</v>
      </c>
      <c r="K3" s="43">
        <v>78743.259999999995</v>
      </c>
      <c r="L3" s="43">
        <v>77824.98</v>
      </c>
      <c r="M3" s="48">
        <f ca="1">'DCF Calc 2'!Q18</f>
        <v>77824.98</v>
      </c>
      <c r="N3" s="46">
        <f ca="1">Loan_Level_Results4[[#This Row],[NPV]]-Loan_Level_Results4[[#This Row],[DCF CALC NPV]]</f>
        <v>0</v>
      </c>
      <c r="O3" s="43">
        <f>Loan_Level_Results4[[#This Row],[Principal Payment]]+Loan_Level_Results4[[#This Row],[Interest]]</f>
        <v>56548.66</v>
      </c>
    </row>
    <row r="4" spans="1:15" x14ac:dyDescent="0.3">
      <c r="A4" s="45">
        <v>45930</v>
      </c>
      <c r="B4" s="44">
        <v>3</v>
      </c>
      <c r="C4" s="43">
        <v>7742331.7699999996</v>
      </c>
      <c r="D4" s="43">
        <v>12810.43</v>
      </c>
      <c r="E4" s="43">
        <v>43557.07</v>
      </c>
      <c r="F4" s="43">
        <v>22088.87</v>
      </c>
      <c r="G4" s="43">
        <v>3522.76</v>
      </c>
      <c r="H4" s="43">
        <v>274.83</v>
      </c>
      <c r="I4" s="43">
        <v>0</v>
      </c>
      <c r="J4" s="43">
        <v>7703909.71</v>
      </c>
      <c r="K4" s="43">
        <v>78456.37</v>
      </c>
      <c r="L4" s="43">
        <v>77102.570000000007</v>
      </c>
      <c r="M4" s="48">
        <f ca="1">'DCF Calc 2'!Q19</f>
        <v>77102.570000000007</v>
      </c>
      <c r="N4" s="46">
        <f ca="1">Loan_Level_Results4[[#This Row],[NPV]]-Loan_Level_Results4[[#This Row],[DCF CALC NPV]]</f>
        <v>0</v>
      </c>
      <c r="O4" s="43">
        <f>Loan_Level_Results4[[#This Row],[Principal Payment]]+Loan_Level_Results4[[#This Row],[Interest]]</f>
        <v>56367.5</v>
      </c>
    </row>
    <row r="5" spans="1:15" x14ac:dyDescent="0.3">
      <c r="A5" s="45">
        <v>45961</v>
      </c>
      <c r="B5" s="44">
        <v>4</v>
      </c>
      <c r="C5" s="43">
        <v>7703909.71</v>
      </c>
      <c r="D5" s="43">
        <v>11390.72</v>
      </c>
      <c r="E5" s="43">
        <v>44785.61</v>
      </c>
      <c r="F5" s="43">
        <v>21979.25</v>
      </c>
      <c r="G5" s="43">
        <v>3859.66</v>
      </c>
      <c r="H5" s="43">
        <v>308.64999999999998</v>
      </c>
      <c r="I5" s="43">
        <v>0</v>
      </c>
      <c r="J5" s="43">
        <v>7666680.0800000001</v>
      </c>
      <c r="K5" s="43">
        <v>78155.58</v>
      </c>
      <c r="L5" s="43">
        <v>76357.8</v>
      </c>
      <c r="M5" s="48">
        <f ca="1">'DCF Calc 2'!Q20</f>
        <v>76357.81</v>
      </c>
      <c r="N5" s="46">
        <f ca="1">Loan_Level_Results4[[#This Row],[NPV]]-Loan_Level_Results4[[#This Row],[DCF CALC NPV]]</f>
        <v>-9.9999999947613105E-3</v>
      </c>
      <c r="O5" s="43">
        <f>Loan_Level_Results4[[#This Row],[Principal Payment]]+Loan_Level_Results4[[#This Row],[Interest]]</f>
        <v>56176.33</v>
      </c>
    </row>
    <row r="6" spans="1:15" x14ac:dyDescent="0.3">
      <c r="A6" s="45">
        <v>45991</v>
      </c>
      <c r="B6" s="44">
        <v>5</v>
      </c>
      <c r="C6" s="43">
        <v>7666680.0800000001</v>
      </c>
      <c r="D6" s="43">
        <v>12862.31</v>
      </c>
      <c r="E6" s="43">
        <v>43131.46</v>
      </c>
      <c r="F6" s="43">
        <v>21873.040000000001</v>
      </c>
      <c r="G6" s="43">
        <v>3841.01</v>
      </c>
      <c r="H6" s="43">
        <v>307.16000000000003</v>
      </c>
      <c r="I6" s="43">
        <v>0</v>
      </c>
      <c r="J6" s="43">
        <v>7628103.7199999997</v>
      </c>
      <c r="K6" s="43">
        <v>77866.81</v>
      </c>
      <c r="L6" s="43">
        <v>75645.100000000006</v>
      </c>
      <c r="M6" s="48">
        <f ca="1">'DCF Calc 2'!Q21</f>
        <v>75645.11</v>
      </c>
      <c r="N6" s="46">
        <f ca="1">Loan_Level_Results4[[#This Row],[NPV]]-Loan_Level_Results4[[#This Row],[DCF CALC NPV]]</f>
        <v>-9.9999999947613105E-3</v>
      </c>
      <c r="O6" s="43">
        <f>Loan_Level_Results4[[#This Row],[Principal Payment]]+Loan_Level_Results4[[#This Row],[Interest]]</f>
        <v>55993.77</v>
      </c>
    </row>
    <row r="7" spans="1:15" x14ac:dyDescent="0.3">
      <c r="A7" s="45">
        <v>46022</v>
      </c>
      <c r="B7" s="44">
        <v>6</v>
      </c>
      <c r="C7" s="43">
        <v>7628103.7199999997</v>
      </c>
      <c r="D7" s="43">
        <v>11456.36</v>
      </c>
      <c r="E7" s="43">
        <v>44344.92</v>
      </c>
      <c r="F7" s="43">
        <v>21762.98</v>
      </c>
      <c r="G7" s="43">
        <v>3821.68</v>
      </c>
      <c r="H7" s="43">
        <v>305.61</v>
      </c>
      <c r="I7" s="43">
        <v>0</v>
      </c>
      <c r="J7" s="43">
        <v>7591062.7000000002</v>
      </c>
      <c r="K7" s="43">
        <v>77564.259999999995</v>
      </c>
      <c r="L7" s="43">
        <v>74910.539999999994</v>
      </c>
      <c r="M7" s="48">
        <f ca="1">'DCF Calc 2'!Q22</f>
        <v>74910.539999999994</v>
      </c>
      <c r="N7" s="46">
        <f ca="1">Loan_Level_Results4[[#This Row],[NPV]]-Loan_Level_Results4[[#This Row],[DCF CALC NPV]]</f>
        <v>0</v>
      </c>
      <c r="O7" s="43">
        <f>Loan_Level_Results4[[#This Row],[Principal Payment]]+Loan_Level_Results4[[#This Row],[Interest]]</f>
        <v>55801.279999999999</v>
      </c>
    </row>
    <row r="8" spans="1:15" x14ac:dyDescent="0.3">
      <c r="A8" s="45">
        <v>46053</v>
      </c>
      <c r="B8" s="44">
        <v>7</v>
      </c>
      <c r="C8" s="43">
        <v>7591062.7000000002</v>
      </c>
      <c r="D8" s="43">
        <v>11490.35</v>
      </c>
      <c r="E8" s="43">
        <v>44129.59</v>
      </c>
      <c r="F8" s="43">
        <v>21657.3</v>
      </c>
      <c r="G8" s="43">
        <v>3772.76</v>
      </c>
      <c r="H8" s="43">
        <v>300.98</v>
      </c>
      <c r="I8" s="43">
        <v>0</v>
      </c>
      <c r="J8" s="43">
        <v>7554142.29</v>
      </c>
      <c r="K8" s="43">
        <v>77277.240000000005</v>
      </c>
      <c r="L8" s="43">
        <v>74196.89</v>
      </c>
      <c r="M8" s="48">
        <f ca="1">'DCF Calc 2'!Q23</f>
        <v>74196.89</v>
      </c>
      <c r="N8" s="46">
        <f ca="1">Loan_Level_Results4[[#This Row],[NPV]]-Loan_Level_Results4[[#This Row],[DCF CALC NPV]]</f>
        <v>0</v>
      </c>
      <c r="O8" s="43">
        <f>Loan_Level_Results4[[#This Row],[Principal Payment]]+Loan_Level_Results4[[#This Row],[Interest]]</f>
        <v>55619.939999999995</v>
      </c>
    </row>
    <row r="9" spans="1:15" x14ac:dyDescent="0.3">
      <c r="A9" s="45">
        <v>46081</v>
      </c>
      <c r="B9" s="44">
        <v>8</v>
      </c>
      <c r="C9" s="43">
        <v>7554142.29</v>
      </c>
      <c r="D9" s="43">
        <v>15774.28</v>
      </c>
      <c r="E9" s="43">
        <v>39665.120000000003</v>
      </c>
      <c r="F9" s="43">
        <v>21551.97</v>
      </c>
      <c r="G9" s="43">
        <v>3754.41</v>
      </c>
      <c r="H9" s="43">
        <v>299.52</v>
      </c>
      <c r="I9" s="43">
        <v>0</v>
      </c>
      <c r="J9" s="43">
        <v>7513061.6299999999</v>
      </c>
      <c r="K9" s="43">
        <v>76991.37</v>
      </c>
      <c r="L9" s="43">
        <v>73531.839999999997</v>
      </c>
      <c r="M9" s="48">
        <f ca="1">'DCF Calc 2'!Q24</f>
        <v>73531.850000000006</v>
      </c>
      <c r="N9" s="43">
        <f ca="1">Loan_Level_Results4[[#This Row],[NPV]]-Loan_Level_Results4[[#This Row],[DCF CALC NPV]]</f>
        <v>-1.0000000009313226E-2</v>
      </c>
      <c r="O9" s="43">
        <f>Loan_Level_Results4[[#This Row],[Principal Payment]]+Loan_Level_Results4[[#This Row],[Interest]]</f>
        <v>55439.4</v>
      </c>
    </row>
    <row r="10" spans="1:15" x14ac:dyDescent="0.3">
      <c r="A10" s="45">
        <v>46112</v>
      </c>
      <c r="B10" s="44">
        <v>9</v>
      </c>
      <c r="C10" s="43">
        <v>7513061.6299999999</v>
      </c>
      <c r="D10" s="43">
        <v>11552.07</v>
      </c>
      <c r="E10" s="43">
        <v>43676.14</v>
      </c>
      <c r="F10" s="43">
        <v>21434.76</v>
      </c>
      <c r="G10" s="43">
        <v>3733.99</v>
      </c>
      <c r="H10" s="43">
        <v>297.89</v>
      </c>
      <c r="I10" s="43">
        <v>0</v>
      </c>
      <c r="J10" s="43">
        <v>7476340.8099999996</v>
      </c>
      <c r="K10" s="43">
        <v>76662.97</v>
      </c>
      <c r="L10" s="43">
        <v>72790.02</v>
      </c>
      <c r="M10" s="48">
        <f ca="1">'DCF Calc 2'!Q25</f>
        <v>72790.03</v>
      </c>
      <c r="N10" s="43">
        <f ca="1">Loan_Level_Results4[[#This Row],[NPV]]-Loan_Level_Results4[[#This Row],[DCF CALC NPV]]</f>
        <v>-9.9999999947613105E-3</v>
      </c>
      <c r="O10" s="43">
        <f>Loan_Level_Results4[[#This Row],[Principal Payment]]+Loan_Level_Results4[[#This Row],[Interest]]</f>
        <v>55228.21</v>
      </c>
    </row>
    <row r="11" spans="1:15" x14ac:dyDescent="0.3">
      <c r="A11" s="45">
        <v>46142</v>
      </c>
      <c r="B11" s="44">
        <v>10</v>
      </c>
      <c r="C11" s="43">
        <v>7476340.8099999996</v>
      </c>
      <c r="D11" s="43">
        <v>12988.29</v>
      </c>
      <c r="E11" s="43">
        <v>42060.65</v>
      </c>
      <c r="F11" s="43">
        <v>21330</v>
      </c>
      <c r="G11" s="43">
        <v>3678.36</v>
      </c>
      <c r="H11" s="43">
        <v>292.75</v>
      </c>
      <c r="I11" s="43">
        <v>0</v>
      </c>
      <c r="J11" s="43">
        <v>7438344.1600000001</v>
      </c>
      <c r="K11" s="43">
        <v>76378.94</v>
      </c>
      <c r="L11" s="43">
        <v>72109.89</v>
      </c>
      <c r="M11" s="48">
        <f ca="1">'DCF Calc 2'!Q26</f>
        <v>72109.89</v>
      </c>
      <c r="N11" s="43">
        <f ca="1">Loan_Level_Results4[[#This Row],[NPV]]-Loan_Level_Results4[[#This Row],[DCF CALC NPV]]</f>
        <v>0</v>
      </c>
      <c r="O11" s="43">
        <f>Loan_Level_Results4[[#This Row],[Principal Payment]]+Loan_Level_Results4[[#This Row],[Interest]]</f>
        <v>55048.94</v>
      </c>
    </row>
    <row r="12" spans="1:15" x14ac:dyDescent="0.3">
      <c r="A12" s="45">
        <v>46173</v>
      </c>
      <c r="B12" s="44">
        <v>11</v>
      </c>
      <c r="C12" s="43">
        <v>7438344.1600000001</v>
      </c>
      <c r="D12" s="43">
        <v>11618.41</v>
      </c>
      <c r="E12" s="43">
        <v>43241.78</v>
      </c>
      <c r="F12" s="43">
        <v>21221.599999999999</v>
      </c>
      <c r="G12" s="43">
        <v>3659.67</v>
      </c>
      <c r="H12" s="43">
        <v>291.27</v>
      </c>
      <c r="I12" s="43">
        <v>0</v>
      </c>
      <c r="J12" s="43">
        <v>7401844.4800000004</v>
      </c>
      <c r="K12" s="43">
        <v>76081.789999999994</v>
      </c>
      <c r="L12" s="43">
        <v>71409.289999999994</v>
      </c>
      <c r="M12" s="48">
        <f ca="1">'DCF Calc 2'!Q27</f>
        <v>71409.3</v>
      </c>
      <c r="N12" s="43">
        <f ca="1">Loan_Level_Results4[[#This Row],[NPV]]-Loan_Level_Results4[[#This Row],[DCF CALC NPV]]</f>
        <v>-1.0000000009313226E-2</v>
      </c>
      <c r="O12" s="43">
        <f>Loan_Level_Results4[[#This Row],[Principal Payment]]+Loan_Level_Results4[[#This Row],[Interest]]</f>
        <v>54860.19</v>
      </c>
    </row>
    <row r="13" spans="1:15" x14ac:dyDescent="0.3">
      <c r="A13" s="45">
        <v>46203</v>
      </c>
      <c r="B13" s="44">
        <v>12</v>
      </c>
      <c r="C13" s="43">
        <v>7401844.4800000004</v>
      </c>
      <c r="D13" s="43">
        <v>13040.84</v>
      </c>
      <c r="E13" s="43">
        <v>41641.54</v>
      </c>
      <c r="F13" s="43">
        <v>21117.46</v>
      </c>
      <c r="G13" s="43">
        <v>3641.71</v>
      </c>
      <c r="H13" s="43">
        <v>289.83999999999997</v>
      </c>
      <c r="I13" s="43">
        <v>0</v>
      </c>
      <c r="J13" s="43">
        <v>7364044.4699999997</v>
      </c>
      <c r="K13" s="43">
        <v>75799.839999999997</v>
      </c>
      <c r="L13" s="43">
        <v>70741.990000000005</v>
      </c>
      <c r="M13" s="48">
        <f ca="1">'DCF Calc 2'!Q28</f>
        <v>70742</v>
      </c>
      <c r="N13" s="43">
        <f ca="1">Loan_Level_Results4[[#This Row],[NPV]]-Loan_Level_Results4[[#This Row],[DCF CALC NPV]]</f>
        <v>-9.9999999947613105E-3</v>
      </c>
      <c r="O13" s="43">
        <f>Loan_Level_Results4[[#This Row],[Principal Payment]]+Loan_Level_Results4[[#This Row],[Interest]]</f>
        <v>54682.380000000005</v>
      </c>
    </row>
    <row r="14" spans="1:15" x14ac:dyDescent="0.3">
      <c r="A14" s="45">
        <v>46234</v>
      </c>
      <c r="B14" s="44">
        <v>13</v>
      </c>
      <c r="C14" s="43">
        <v>7364044.4699999997</v>
      </c>
      <c r="D14" s="43">
        <v>11685.03</v>
      </c>
      <c r="E14" s="43">
        <v>42809.85</v>
      </c>
      <c r="F14" s="43">
        <v>21009.62</v>
      </c>
      <c r="G14" s="43">
        <v>3799.85</v>
      </c>
      <c r="H14" s="43">
        <v>306.13</v>
      </c>
      <c r="I14" s="43">
        <v>3279.07</v>
      </c>
      <c r="J14" s="43">
        <v>7327549.9699999997</v>
      </c>
      <c r="K14" s="43">
        <v>78783.570000000007</v>
      </c>
      <c r="L14" s="43">
        <v>73096.649999999994</v>
      </c>
      <c r="M14" s="48">
        <f ca="1">'DCF Calc 2'!Q29</f>
        <v>73096.66</v>
      </c>
      <c r="N14" s="43">
        <f ca="1">Loan_Level_Results4[[#This Row],[NPV]]-Loan_Level_Results4[[#This Row],[DCF CALC NPV]]</f>
        <v>-1.0000000009313226E-2</v>
      </c>
      <c r="O14" s="43">
        <f>Loan_Level_Results4[[#This Row],[Principal Payment]]+Loan_Level_Results4[[#This Row],[Interest]]</f>
        <v>54494.879999999997</v>
      </c>
    </row>
    <row r="15" spans="1:15" x14ac:dyDescent="0.3">
      <c r="A15" s="45">
        <v>46265</v>
      </c>
      <c r="B15" s="44">
        <v>14</v>
      </c>
      <c r="C15" s="43">
        <v>7327549.9699999997</v>
      </c>
      <c r="D15" s="43">
        <v>11719.26</v>
      </c>
      <c r="E15" s="43">
        <v>42597.69</v>
      </c>
      <c r="F15" s="43">
        <v>20905.5</v>
      </c>
      <c r="G15" s="43">
        <v>3781.02</v>
      </c>
      <c r="H15" s="43">
        <v>304.61</v>
      </c>
      <c r="I15" s="43">
        <v>3263.48</v>
      </c>
      <c r="J15" s="43">
        <v>7291144.1900000004</v>
      </c>
      <c r="K15" s="43">
        <v>78485.929999999993</v>
      </c>
      <c r="L15" s="43">
        <v>72394.649999999994</v>
      </c>
      <c r="M15" s="48">
        <f ca="1">'DCF Calc 2'!Q30</f>
        <v>72394.649999999994</v>
      </c>
      <c r="N15" s="43">
        <f ca="1">Loan_Level_Results4[[#This Row],[NPV]]-Loan_Level_Results4[[#This Row],[DCF CALC NPV]]</f>
        <v>0</v>
      </c>
      <c r="O15" s="43">
        <f>Loan_Level_Results4[[#This Row],[Principal Payment]]+Loan_Level_Results4[[#This Row],[Interest]]</f>
        <v>54316.950000000004</v>
      </c>
    </row>
    <row r="16" spans="1:15" x14ac:dyDescent="0.3">
      <c r="A16" s="45">
        <v>46295</v>
      </c>
      <c r="B16" s="44">
        <v>15</v>
      </c>
      <c r="C16" s="43">
        <v>7291144.1900000004</v>
      </c>
      <c r="D16" s="43">
        <v>13120.83</v>
      </c>
      <c r="E16" s="43">
        <v>41018.76</v>
      </c>
      <c r="F16" s="43">
        <v>20801.63</v>
      </c>
      <c r="G16" s="43">
        <v>3762.23</v>
      </c>
      <c r="H16" s="43">
        <v>303.10000000000002</v>
      </c>
      <c r="I16" s="43">
        <v>3247.93</v>
      </c>
      <c r="J16" s="43">
        <v>7253459.5</v>
      </c>
      <c r="K16" s="43">
        <v>78189.149999999994</v>
      </c>
      <c r="L16" s="43">
        <v>71712.710000000006</v>
      </c>
      <c r="M16" s="48">
        <f ca="1">'DCF Calc 2'!Q31</f>
        <v>71712.72</v>
      </c>
      <c r="N16" s="43">
        <f ca="1">Loan_Level_Results4[[#This Row],[NPV]]-Loan_Level_Results4[[#This Row],[DCF CALC NPV]]</f>
        <v>-9.9999999947613105E-3</v>
      </c>
      <c r="O16" s="43">
        <f>Loan_Level_Results4[[#This Row],[Principal Payment]]+Loan_Level_Results4[[#This Row],[Interest]]</f>
        <v>54139.590000000004</v>
      </c>
    </row>
    <row r="17" spans="1:15" x14ac:dyDescent="0.3">
      <c r="A17" s="45">
        <v>46326</v>
      </c>
      <c r="B17" s="44">
        <v>16</v>
      </c>
      <c r="C17" s="43">
        <v>7253459.5</v>
      </c>
      <c r="D17" s="43">
        <v>11785.67</v>
      </c>
      <c r="E17" s="43">
        <v>42166.98</v>
      </c>
      <c r="F17" s="43">
        <v>20694.12</v>
      </c>
      <c r="G17" s="43">
        <v>3916.87</v>
      </c>
      <c r="H17" s="43">
        <v>319.26</v>
      </c>
      <c r="I17" s="43">
        <v>3551.01</v>
      </c>
      <c r="J17" s="43">
        <v>7217062.8399999999</v>
      </c>
      <c r="K17" s="43">
        <v>78197.78</v>
      </c>
      <c r="L17" s="43">
        <v>71301.210000000006</v>
      </c>
      <c r="M17" s="48">
        <f ca="1">'DCF Calc 2'!Q32</f>
        <v>71301.210000000006</v>
      </c>
      <c r="N17" s="43">
        <f ca="1">Loan_Level_Results4[[#This Row],[NPV]]-Loan_Level_Results4[[#This Row],[DCF CALC NPV]]</f>
        <v>0</v>
      </c>
      <c r="O17" s="43">
        <f>Loan_Level_Results4[[#This Row],[Principal Payment]]+Loan_Level_Results4[[#This Row],[Interest]]</f>
        <v>53952.65</v>
      </c>
    </row>
    <row r="18" spans="1:15" x14ac:dyDescent="0.3">
      <c r="A18" s="45">
        <v>46356</v>
      </c>
      <c r="B18" s="44">
        <v>17</v>
      </c>
      <c r="C18" s="43">
        <v>7217062.8399999999</v>
      </c>
      <c r="D18" s="43">
        <v>13173.19</v>
      </c>
      <c r="E18" s="43">
        <v>40601.99</v>
      </c>
      <c r="F18" s="43">
        <v>20590.28</v>
      </c>
      <c r="G18" s="43">
        <v>3897.21</v>
      </c>
      <c r="H18" s="43">
        <v>317.66000000000003</v>
      </c>
      <c r="I18" s="43">
        <v>3533.85</v>
      </c>
      <c r="J18" s="43">
        <v>7179402.1600000001</v>
      </c>
      <c r="K18" s="43">
        <v>77899.31</v>
      </c>
      <c r="L18" s="43">
        <v>70627.05</v>
      </c>
      <c r="M18" s="48">
        <f ca="1">'DCF Calc 2'!Q33</f>
        <v>70627.06</v>
      </c>
      <c r="N18" s="43">
        <f ca="1">Loan_Level_Results4[[#This Row],[NPV]]-Loan_Level_Results4[[#This Row],[DCF CALC NPV]]</f>
        <v>-9.9999999947613105E-3</v>
      </c>
      <c r="O18" s="43">
        <f>Loan_Level_Results4[[#This Row],[Principal Payment]]+Loan_Level_Results4[[#This Row],[Interest]]</f>
        <v>53775.18</v>
      </c>
    </row>
    <row r="19" spans="1:15" x14ac:dyDescent="0.3">
      <c r="A19" s="45">
        <v>46387</v>
      </c>
      <c r="B19" s="44">
        <v>18</v>
      </c>
      <c r="C19" s="43">
        <v>7179402.1600000001</v>
      </c>
      <c r="D19" s="43">
        <v>11851.73</v>
      </c>
      <c r="E19" s="43">
        <v>41736.46</v>
      </c>
      <c r="F19" s="43">
        <v>20482.830000000002</v>
      </c>
      <c r="G19" s="43">
        <v>3876.88</v>
      </c>
      <c r="H19" s="43">
        <v>316</v>
      </c>
      <c r="I19" s="43">
        <v>3516.07</v>
      </c>
      <c r="J19" s="43">
        <v>7143190.7199999997</v>
      </c>
      <c r="K19" s="43">
        <v>77587.09</v>
      </c>
      <c r="L19" s="43">
        <v>69932.61</v>
      </c>
      <c r="M19" s="48">
        <f ca="1">'DCF Calc 2'!Q34</f>
        <v>69932.62</v>
      </c>
      <c r="N19" s="43">
        <f ca="1">Loan_Level_Results4[[#This Row],[NPV]]-Loan_Level_Results4[[#This Row],[DCF CALC NPV]]</f>
        <v>-9.9999999947613105E-3</v>
      </c>
      <c r="O19" s="43">
        <f>Loan_Level_Results4[[#This Row],[Principal Payment]]+Loan_Level_Results4[[#This Row],[Interest]]</f>
        <v>53588.19</v>
      </c>
    </row>
    <row r="20" spans="1:15" x14ac:dyDescent="0.3">
      <c r="A20" s="45">
        <v>46418</v>
      </c>
      <c r="B20" s="44">
        <v>19</v>
      </c>
      <c r="C20" s="43">
        <v>7143190.7199999997</v>
      </c>
      <c r="D20" s="43">
        <v>11885.97</v>
      </c>
      <c r="E20" s="43">
        <v>41525.949999999997</v>
      </c>
      <c r="F20" s="43">
        <v>20379.52</v>
      </c>
      <c r="G20" s="43">
        <v>4028.76</v>
      </c>
      <c r="H20" s="43">
        <v>332.09</v>
      </c>
      <c r="I20" s="43">
        <v>3471.78</v>
      </c>
      <c r="J20" s="43">
        <v>7106896.4699999997</v>
      </c>
      <c r="K20" s="43">
        <v>77263.22</v>
      </c>
      <c r="L20" s="43">
        <v>69233.429999999993</v>
      </c>
      <c r="M20" s="48">
        <f ca="1">'DCF Calc 2'!Q35</f>
        <v>69233.440000000002</v>
      </c>
      <c r="N20" s="43">
        <f ca="1">Loan_Level_Results4[[#This Row],[NPV]]-Loan_Level_Results4[[#This Row],[DCF CALC NPV]]</f>
        <v>-1.0000000009313226E-2</v>
      </c>
      <c r="O20" s="43">
        <f>Loan_Level_Results4[[#This Row],[Principal Payment]]+Loan_Level_Results4[[#This Row],[Interest]]</f>
        <v>53411.92</v>
      </c>
    </row>
    <row r="21" spans="1:15" x14ac:dyDescent="0.3">
      <c r="A21" s="45">
        <v>46446</v>
      </c>
      <c r="B21" s="44">
        <v>20</v>
      </c>
      <c r="C21" s="43">
        <v>7106896.4699999997</v>
      </c>
      <c r="D21" s="43">
        <v>15918.21</v>
      </c>
      <c r="E21" s="43">
        <v>37316.730000000003</v>
      </c>
      <c r="F21" s="43">
        <v>20275.98</v>
      </c>
      <c r="G21" s="43">
        <v>4008.29</v>
      </c>
      <c r="H21" s="43">
        <v>330.4</v>
      </c>
      <c r="I21" s="43">
        <v>3454.89</v>
      </c>
      <c r="J21" s="43">
        <v>7066693.9900000002</v>
      </c>
      <c r="K21" s="43">
        <v>76965.81</v>
      </c>
      <c r="L21" s="43">
        <v>68602.55</v>
      </c>
      <c r="M21" s="48">
        <f ca="1">'DCF Calc 2'!Q36</f>
        <v>68602.559999999998</v>
      </c>
      <c r="N21" s="43">
        <f ca="1">Loan_Level_Results4[[#This Row],[NPV]]-Loan_Level_Results4[[#This Row],[DCF CALC NPV]]</f>
        <v>-9.9999999947613105E-3</v>
      </c>
      <c r="O21" s="43">
        <f>Loan_Level_Results4[[#This Row],[Principal Payment]]+Loan_Level_Results4[[#This Row],[Interest]]</f>
        <v>53234.94</v>
      </c>
    </row>
    <row r="22" spans="1:15" x14ac:dyDescent="0.3">
      <c r="A22" s="45">
        <v>46477</v>
      </c>
      <c r="B22" s="44">
        <v>21</v>
      </c>
      <c r="C22" s="43">
        <v>7066693.9900000002</v>
      </c>
      <c r="D22" s="43">
        <v>11947.3</v>
      </c>
      <c r="E22" s="43">
        <v>41081.24</v>
      </c>
      <c r="F22" s="43">
        <v>20161.28</v>
      </c>
      <c r="G22" s="43">
        <v>3985.62</v>
      </c>
      <c r="H22" s="43">
        <v>328.53</v>
      </c>
      <c r="I22" s="43">
        <v>3436.1</v>
      </c>
      <c r="J22" s="43">
        <v>7030599.79</v>
      </c>
      <c r="K22" s="43">
        <v>76625.919999999998</v>
      </c>
      <c r="L22" s="43">
        <v>67900.179999999993</v>
      </c>
      <c r="M22" s="48">
        <f ca="1">'DCF Calc 2'!Q37</f>
        <v>67900.19</v>
      </c>
      <c r="N22" s="43">
        <f ca="1">Loan_Level_Results4[[#This Row],[NPV]]-Loan_Level_Results4[[#This Row],[DCF CALC NPV]]</f>
        <v>-1.0000000009313226E-2</v>
      </c>
      <c r="O22" s="43">
        <f>Loan_Level_Results4[[#This Row],[Principal Payment]]+Loan_Level_Results4[[#This Row],[Interest]]</f>
        <v>53028.539999999994</v>
      </c>
    </row>
    <row r="23" spans="1:15" x14ac:dyDescent="0.3">
      <c r="A23" s="45">
        <v>46507</v>
      </c>
      <c r="B23" s="44">
        <v>22</v>
      </c>
      <c r="C23" s="43">
        <v>7030599.79</v>
      </c>
      <c r="D23" s="43">
        <v>13299.85</v>
      </c>
      <c r="E23" s="43">
        <v>39552.980000000003</v>
      </c>
      <c r="F23" s="43">
        <v>20058.3</v>
      </c>
      <c r="G23" s="43">
        <v>4133.99</v>
      </c>
      <c r="H23" s="43">
        <v>344.46</v>
      </c>
      <c r="I23" s="43">
        <v>3385.61</v>
      </c>
      <c r="J23" s="43">
        <v>6993107.6500000004</v>
      </c>
      <c r="K23" s="43">
        <v>76296.740000000005</v>
      </c>
      <c r="L23" s="43">
        <v>67225.83</v>
      </c>
      <c r="M23" s="48">
        <f ca="1">'DCF Calc 2'!Q38</f>
        <v>67225.84</v>
      </c>
      <c r="N23" s="43">
        <f ca="1">Loan_Level_Results4[[#This Row],[NPV]]-Loan_Level_Results4[[#This Row],[DCF CALC NPV]]</f>
        <v>-9.9999999947613105E-3</v>
      </c>
      <c r="O23" s="43">
        <f>Loan_Level_Results4[[#This Row],[Principal Payment]]+Loan_Level_Results4[[#This Row],[Interest]]</f>
        <v>52852.83</v>
      </c>
    </row>
    <row r="24" spans="1:15" x14ac:dyDescent="0.3">
      <c r="A24" s="45">
        <v>46538</v>
      </c>
      <c r="B24" s="44">
        <v>23</v>
      </c>
      <c r="C24" s="43">
        <v>6993107.6500000004</v>
      </c>
      <c r="D24" s="43">
        <v>12013.03</v>
      </c>
      <c r="E24" s="43">
        <v>40653.46</v>
      </c>
      <c r="F24" s="43">
        <v>19951.34</v>
      </c>
      <c r="G24" s="43">
        <v>4111.95</v>
      </c>
      <c r="H24" s="43">
        <v>342.63</v>
      </c>
      <c r="I24" s="43">
        <v>3368.4</v>
      </c>
      <c r="J24" s="43">
        <v>6957031.3300000001</v>
      </c>
      <c r="K24" s="43">
        <v>75986.23</v>
      </c>
      <c r="L24" s="43">
        <v>66560.710000000006</v>
      </c>
      <c r="M24" s="48">
        <f ca="1">'DCF Calc 2'!Q39</f>
        <v>66560.72</v>
      </c>
      <c r="N24" s="43">
        <f ca="1">Loan_Level_Results4[[#This Row],[NPV]]-Loan_Level_Results4[[#This Row],[DCF CALC NPV]]</f>
        <v>-9.9999999947613105E-3</v>
      </c>
      <c r="O24" s="43">
        <f>Loan_Level_Results4[[#This Row],[Principal Payment]]+Loan_Level_Results4[[#This Row],[Interest]]</f>
        <v>52666.49</v>
      </c>
    </row>
    <row r="25" spans="1:15" x14ac:dyDescent="0.3">
      <c r="A25" s="45">
        <v>46568</v>
      </c>
      <c r="B25" s="44">
        <v>24</v>
      </c>
      <c r="C25" s="43">
        <v>6957031.3300000001</v>
      </c>
      <c r="D25" s="43">
        <v>13351.61</v>
      </c>
      <c r="E25" s="43">
        <v>39139.1</v>
      </c>
      <c r="F25" s="43">
        <v>19848.41</v>
      </c>
      <c r="G25" s="43">
        <v>4090.73</v>
      </c>
      <c r="H25" s="43">
        <v>340.86</v>
      </c>
      <c r="I25" s="43">
        <v>3351.87</v>
      </c>
      <c r="J25" s="43">
        <v>6919740.5800000001</v>
      </c>
      <c r="K25" s="43">
        <v>75690.990000000005</v>
      </c>
      <c r="L25" s="43">
        <v>65926.83</v>
      </c>
      <c r="M25" s="48">
        <f ca="1">'DCF Calc 2'!Q40</f>
        <v>65926.84</v>
      </c>
      <c r="N25" s="43">
        <f ca="1">Loan_Level_Results4[[#This Row],[NPV]]-Loan_Level_Results4[[#This Row],[DCF CALC NPV]]</f>
        <v>-9.9999999947613105E-3</v>
      </c>
      <c r="O25" s="43">
        <f>Loan_Level_Results4[[#This Row],[Principal Payment]]+Loan_Level_Results4[[#This Row],[Interest]]</f>
        <v>52490.71</v>
      </c>
    </row>
    <row r="26" spans="1:15" x14ac:dyDescent="0.3">
      <c r="A26" s="45">
        <v>46599</v>
      </c>
      <c r="B26" s="44">
        <v>25</v>
      </c>
      <c r="C26" s="43">
        <v>6919740.5800000001</v>
      </c>
      <c r="D26" s="43">
        <v>12078.69</v>
      </c>
      <c r="E26" s="43">
        <v>40226.949999999997</v>
      </c>
      <c r="F26" s="43">
        <v>19742.02</v>
      </c>
      <c r="G26" s="43">
        <v>4227.96</v>
      </c>
      <c r="H26" s="43">
        <v>355.98</v>
      </c>
      <c r="I26" s="43">
        <v>3493.72</v>
      </c>
      <c r="J26" s="43">
        <v>6883691.9100000001</v>
      </c>
      <c r="K26" s="43">
        <v>75541.38</v>
      </c>
      <c r="L26" s="43">
        <v>65411.75</v>
      </c>
      <c r="M26" s="48">
        <f ca="1">'DCF Calc 2'!Q41</f>
        <v>65411.76</v>
      </c>
      <c r="N26" s="43">
        <f ca="1">Loan_Level_Results4[[#This Row],[NPV]]-Loan_Level_Results4[[#This Row],[DCF CALC NPV]]</f>
        <v>-1.0000000002037268E-2</v>
      </c>
      <c r="O26" s="43">
        <f>Loan_Level_Results4[[#This Row],[Principal Payment]]+Loan_Level_Results4[[#This Row],[Interest]]</f>
        <v>52305.64</v>
      </c>
    </row>
    <row r="27" spans="1:15" x14ac:dyDescent="0.3">
      <c r="A27" s="45">
        <v>46630</v>
      </c>
      <c r="B27" s="44">
        <v>26</v>
      </c>
      <c r="C27" s="43">
        <v>6883691.9100000001</v>
      </c>
      <c r="D27" s="43">
        <v>12112.46</v>
      </c>
      <c r="E27" s="43">
        <v>40017.39</v>
      </c>
      <c r="F27" s="43">
        <v>19639.169999999998</v>
      </c>
      <c r="G27" s="43">
        <v>4205.9399999999996</v>
      </c>
      <c r="H27" s="43">
        <v>354.13</v>
      </c>
      <c r="I27" s="43">
        <v>3476.41</v>
      </c>
      <c r="J27" s="43">
        <v>6847734.3399999999</v>
      </c>
      <c r="K27" s="43">
        <v>75245.429999999993</v>
      </c>
      <c r="L27" s="43">
        <v>64774.46</v>
      </c>
      <c r="M27" s="48">
        <f ca="1">'DCF Calc 2'!Q42</f>
        <v>64774.47</v>
      </c>
      <c r="N27" s="43">
        <f ca="1">Loan_Level_Results4[[#This Row],[NPV]]-Loan_Level_Results4[[#This Row],[DCF CALC NPV]]</f>
        <v>-1.0000000002037268E-2</v>
      </c>
      <c r="O27" s="43">
        <f>Loan_Level_Results4[[#This Row],[Principal Payment]]+Loan_Level_Results4[[#This Row],[Interest]]</f>
        <v>52129.85</v>
      </c>
    </row>
    <row r="28" spans="1:15" x14ac:dyDescent="0.3">
      <c r="A28" s="45">
        <v>46660</v>
      </c>
      <c r="B28" s="44">
        <v>27</v>
      </c>
      <c r="C28" s="43">
        <v>6847734.3399999999</v>
      </c>
      <c r="D28" s="43">
        <v>13430.44</v>
      </c>
      <c r="E28" s="43">
        <v>38524.21</v>
      </c>
      <c r="F28" s="43">
        <v>19536.59</v>
      </c>
      <c r="G28" s="43">
        <v>4183.97</v>
      </c>
      <c r="H28" s="43">
        <v>352.28</v>
      </c>
      <c r="I28" s="43">
        <v>3459.13</v>
      </c>
      <c r="J28" s="43">
        <v>6810583.3399999999</v>
      </c>
      <c r="K28" s="43">
        <v>74950.37</v>
      </c>
      <c r="L28" s="43">
        <v>64155.28</v>
      </c>
      <c r="M28" s="48">
        <f ca="1">'DCF Calc 2'!Q43</f>
        <v>64155.29</v>
      </c>
      <c r="N28" s="43">
        <f ca="1">Loan_Level_Results4[[#This Row],[NPV]]-Loan_Level_Results4[[#This Row],[DCF CALC NPV]]</f>
        <v>-1.0000000002037268E-2</v>
      </c>
      <c r="O28" s="43">
        <f>Loan_Level_Results4[[#This Row],[Principal Payment]]+Loan_Level_Results4[[#This Row],[Interest]]</f>
        <v>51954.65</v>
      </c>
    </row>
    <row r="29" spans="1:15" x14ac:dyDescent="0.3">
      <c r="A29" s="45">
        <v>46691</v>
      </c>
      <c r="B29" s="44">
        <v>28</v>
      </c>
      <c r="C29" s="43">
        <v>6810583.3399999999</v>
      </c>
      <c r="D29" s="43">
        <v>12177.89</v>
      </c>
      <c r="E29" s="43">
        <v>39592.379999999997</v>
      </c>
      <c r="F29" s="43">
        <v>19430.59</v>
      </c>
      <c r="G29" s="43">
        <v>4324.72</v>
      </c>
      <c r="H29" s="43">
        <v>367.81</v>
      </c>
      <c r="I29" s="43">
        <v>3597.61</v>
      </c>
      <c r="J29" s="43">
        <v>6774650.1399999997</v>
      </c>
      <c r="K29" s="43">
        <v>74798.47</v>
      </c>
      <c r="L29" s="43">
        <v>63650.84</v>
      </c>
      <c r="M29" s="48">
        <f ca="1">'DCF Calc 2'!Q44</f>
        <v>63650.86</v>
      </c>
      <c r="N29" s="43">
        <f ca="1">Loan_Level_Results4[[#This Row],[NPV]]-Loan_Level_Results4[[#This Row],[DCF CALC NPV]]</f>
        <v>-2.0000000004074536E-2</v>
      </c>
      <c r="O29" s="43">
        <f>Loan_Level_Results4[[#This Row],[Principal Payment]]+Loan_Level_Results4[[#This Row],[Interest]]</f>
        <v>51770.27</v>
      </c>
    </row>
    <row r="30" spans="1:15" x14ac:dyDescent="0.3">
      <c r="A30" s="45">
        <v>46721</v>
      </c>
      <c r="B30" s="44">
        <v>29</v>
      </c>
      <c r="C30" s="43">
        <v>6774650.1399999997</v>
      </c>
      <c r="D30" s="43">
        <v>13481.98</v>
      </c>
      <c r="E30" s="43">
        <v>38113.050000000003</v>
      </c>
      <c r="F30" s="43">
        <v>19328.080000000002</v>
      </c>
      <c r="G30" s="43">
        <v>4301.8999999999996</v>
      </c>
      <c r="H30" s="43">
        <v>365.87</v>
      </c>
      <c r="I30" s="43">
        <v>3579.55</v>
      </c>
      <c r="J30" s="43">
        <v>6737538.1799999997</v>
      </c>
      <c r="K30" s="43">
        <v>74502.66</v>
      </c>
      <c r="L30" s="43">
        <v>63040.29</v>
      </c>
      <c r="M30" s="48">
        <f ca="1">'DCF Calc 2'!Q45</f>
        <v>63040.31</v>
      </c>
      <c r="N30" s="43">
        <f ca="1">Loan_Level_Results4[[#This Row],[NPV]]-Loan_Level_Results4[[#This Row],[DCF CALC NPV]]</f>
        <v>-1.9999999996798579E-2</v>
      </c>
      <c r="O30" s="43">
        <f>Loan_Level_Results4[[#This Row],[Principal Payment]]+Loan_Level_Results4[[#This Row],[Interest]]</f>
        <v>51595.03</v>
      </c>
    </row>
    <row r="31" spans="1:15" x14ac:dyDescent="0.3">
      <c r="A31" s="45">
        <v>46752</v>
      </c>
      <c r="B31" s="44">
        <v>30</v>
      </c>
      <c r="C31" s="43">
        <v>6737538.1799999997</v>
      </c>
      <c r="D31" s="43">
        <v>12242.94</v>
      </c>
      <c r="E31" s="43">
        <v>39167.74</v>
      </c>
      <c r="F31" s="43">
        <v>19222.2</v>
      </c>
      <c r="G31" s="43">
        <v>4278.34</v>
      </c>
      <c r="H31" s="43">
        <v>363.87</v>
      </c>
      <c r="I31" s="43">
        <v>3560.88</v>
      </c>
      <c r="J31" s="43">
        <v>6701794.7000000002</v>
      </c>
      <c r="K31" s="43">
        <v>74193.759999999995</v>
      </c>
      <c r="L31" s="43">
        <v>62411.79</v>
      </c>
      <c r="M31" s="48">
        <f ca="1">'DCF Calc 2'!Q46</f>
        <v>62411.8</v>
      </c>
      <c r="N31" s="43">
        <f ca="1">Loan_Level_Results4[[#This Row],[NPV]]-Loan_Level_Results4[[#This Row],[DCF CALC NPV]]</f>
        <v>-1.0000000002037268E-2</v>
      </c>
      <c r="O31" s="43">
        <f>Loan_Level_Results4[[#This Row],[Principal Payment]]+Loan_Level_Results4[[#This Row],[Interest]]</f>
        <v>51410.68</v>
      </c>
    </row>
    <row r="32" spans="1:15" x14ac:dyDescent="0.3">
      <c r="A32" s="45">
        <v>46783</v>
      </c>
      <c r="B32" s="44">
        <v>31</v>
      </c>
      <c r="C32" s="43">
        <v>6701794.7000000002</v>
      </c>
      <c r="D32" s="43">
        <v>12276.7</v>
      </c>
      <c r="E32" s="43">
        <v>38959.949999999997</v>
      </c>
      <c r="F32" s="43">
        <v>19120.22</v>
      </c>
      <c r="G32" s="43">
        <v>4416.4799999999996</v>
      </c>
      <c r="H32" s="43">
        <v>379.29</v>
      </c>
      <c r="I32" s="43">
        <v>3696.67</v>
      </c>
      <c r="J32" s="43">
        <v>6665981.2999999998</v>
      </c>
      <c r="K32" s="43">
        <v>74053.539999999994</v>
      </c>
      <c r="L32" s="43">
        <v>61929.55</v>
      </c>
      <c r="M32" s="48">
        <f ca="1">'DCF Calc 2'!Q47</f>
        <v>61929.56</v>
      </c>
      <c r="N32" s="43">
        <f ca="1">Loan_Level_Results4[[#This Row],[NPV]]-Loan_Level_Results4[[#This Row],[DCF CALC NPV]]</f>
        <v>-9.9999999947613105E-3</v>
      </c>
      <c r="O32" s="43">
        <f>Loan_Level_Results4[[#This Row],[Principal Payment]]+Loan_Level_Results4[[#This Row],[Interest]]</f>
        <v>51236.649999999994</v>
      </c>
    </row>
    <row r="33" spans="1:15" x14ac:dyDescent="0.3">
      <c r="A33" s="45">
        <v>46812</v>
      </c>
      <c r="B33" s="44">
        <v>32</v>
      </c>
      <c r="C33" s="43">
        <v>6665981.2999999998</v>
      </c>
      <c r="D33" s="43">
        <v>16060.38</v>
      </c>
      <c r="E33" s="43">
        <v>35001.589999999997</v>
      </c>
      <c r="F33" s="43">
        <v>19018.04</v>
      </c>
      <c r="G33" s="43">
        <v>4392.88</v>
      </c>
      <c r="H33" s="43">
        <v>377.26</v>
      </c>
      <c r="I33" s="43">
        <v>3677.89</v>
      </c>
      <c r="J33" s="43">
        <v>6626510</v>
      </c>
      <c r="K33" s="43">
        <v>73757.899999999994</v>
      </c>
      <c r="L33" s="43">
        <v>61356.41</v>
      </c>
      <c r="M33" s="48">
        <f ca="1">'DCF Calc 2'!Q48</f>
        <v>61356.42</v>
      </c>
      <c r="N33" s="43">
        <f ca="1">Loan_Level_Results4[[#This Row],[NPV]]-Loan_Level_Results4[[#This Row],[DCF CALC NPV]]</f>
        <v>-9.9999999947613105E-3</v>
      </c>
      <c r="O33" s="43">
        <f>Loan_Level_Results4[[#This Row],[Principal Payment]]+Loan_Level_Results4[[#This Row],[Interest]]</f>
        <v>51061.969999999994</v>
      </c>
    </row>
    <row r="34" spans="1:15" x14ac:dyDescent="0.3">
      <c r="A34" s="45">
        <v>46843</v>
      </c>
      <c r="B34" s="44">
        <v>33</v>
      </c>
      <c r="C34" s="43">
        <v>6626510</v>
      </c>
      <c r="D34" s="43">
        <v>12336.8</v>
      </c>
      <c r="E34" s="43">
        <v>38522.300000000003</v>
      </c>
      <c r="F34" s="43">
        <v>18905.43</v>
      </c>
      <c r="G34" s="43">
        <v>4366.87</v>
      </c>
      <c r="H34" s="43">
        <v>375.03</v>
      </c>
      <c r="I34" s="43">
        <v>3657.09</v>
      </c>
      <c r="J34" s="43">
        <v>6590900.9000000004</v>
      </c>
      <c r="K34" s="43">
        <v>73421.62</v>
      </c>
      <c r="L34" s="43">
        <v>60719.5</v>
      </c>
      <c r="M34" s="48">
        <f ca="1">'DCF Calc 2'!Q49</f>
        <v>60719.51</v>
      </c>
      <c r="N34" s="43">
        <f ca="1">Loan_Level_Results4[[#This Row],[NPV]]-Loan_Level_Results4[[#This Row],[DCF CALC NPV]]</f>
        <v>-1.0000000002037268E-2</v>
      </c>
      <c r="O34" s="43">
        <f>Loan_Level_Results4[[#This Row],[Principal Payment]]+Loan_Level_Results4[[#This Row],[Interest]]</f>
        <v>50859.100000000006</v>
      </c>
    </row>
    <row r="35" spans="1:15" x14ac:dyDescent="0.3">
      <c r="A35" s="45">
        <v>46873</v>
      </c>
      <c r="B35" s="44">
        <v>34</v>
      </c>
      <c r="C35" s="43">
        <v>6590900.9000000004</v>
      </c>
      <c r="D35" s="43">
        <v>13606.4</v>
      </c>
      <c r="E35" s="43">
        <v>37079.31</v>
      </c>
      <c r="F35" s="43">
        <v>18803.84</v>
      </c>
      <c r="G35" s="43">
        <v>4501.59</v>
      </c>
      <c r="H35" s="43">
        <v>390.26</v>
      </c>
      <c r="I35" s="43">
        <v>3789.53</v>
      </c>
      <c r="J35" s="43">
        <v>6553989.0700000003</v>
      </c>
      <c r="K35" s="43">
        <v>73279.08</v>
      </c>
      <c r="L35" s="43">
        <v>60258.62</v>
      </c>
      <c r="M35" s="48">
        <f ca="1">'DCF Calc 2'!Q50</f>
        <v>60258.64</v>
      </c>
      <c r="N35" s="43">
        <f ca="1">Loan_Level_Results4[[#This Row],[NPV]]-Loan_Level_Results4[[#This Row],[DCF CALC NPV]]</f>
        <v>-1.9999999996798579E-2</v>
      </c>
      <c r="O35" s="43">
        <f>Loan_Level_Results4[[#This Row],[Principal Payment]]+Loan_Level_Results4[[#This Row],[Interest]]</f>
        <v>50685.71</v>
      </c>
    </row>
    <row r="36" spans="1:15" x14ac:dyDescent="0.3">
      <c r="A36" s="45">
        <v>46904</v>
      </c>
      <c r="B36" s="44">
        <v>35</v>
      </c>
      <c r="C36" s="43">
        <v>6553989.0700000003</v>
      </c>
      <c r="D36" s="43">
        <v>12401.45</v>
      </c>
      <c r="E36" s="43">
        <v>38100.71</v>
      </c>
      <c r="F36" s="43">
        <v>18698.53</v>
      </c>
      <c r="G36" s="43">
        <v>4476.37</v>
      </c>
      <c r="H36" s="43">
        <v>388.07</v>
      </c>
      <c r="I36" s="43">
        <v>3769.32</v>
      </c>
      <c r="J36" s="43">
        <v>6518412.7199999997</v>
      </c>
      <c r="K36" s="43">
        <v>72970.009999999995</v>
      </c>
      <c r="L36" s="43">
        <v>59653.57</v>
      </c>
      <c r="M36" s="48">
        <f ca="1">'DCF Calc 2'!Q51</f>
        <v>59653.59</v>
      </c>
      <c r="N36" s="43">
        <f ca="1">Loan_Level_Results4[[#This Row],[NPV]]-Loan_Level_Results4[[#This Row],[DCF CALC NPV]]</f>
        <v>-1.9999999996798579E-2</v>
      </c>
      <c r="O36" s="43">
        <f>Loan_Level_Results4[[#This Row],[Principal Payment]]+Loan_Level_Results4[[#This Row],[Interest]]</f>
        <v>50502.16</v>
      </c>
    </row>
    <row r="37" spans="1:15" x14ac:dyDescent="0.3">
      <c r="A37" s="45">
        <v>46934</v>
      </c>
      <c r="B37" s="44">
        <v>36</v>
      </c>
      <c r="C37" s="43">
        <v>6518412.7199999997</v>
      </c>
      <c r="D37" s="43">
        <v>13657.26</v>
      </c>
      <c r="E37" s="43">
        <v>36671.5</v>
      </c>
      <c r="F37" s="43">
        <v>18597.03</v>
      </c>
      <c r="G37" s="43">
        <v>4452.08</v>
      </c>
      <c r="H37" s="43">
        <v>385.97</v>
      </c>
      <c r="I37" s="43">
        <v>3749.87</v>
      </c>
      <c r="J37" s="43">
        <v>6481706.3499999996</v>
      </c>
      <c r="K37" s="43">
        <v>72675.66</v>
      </c>
      <c r="L37" s="43">
        <v>59076.67</v>
      </c>
      <c r="M37" s="48">
        <f ca="1">'DCF Calc 2'!Q52</f>
        <v>59076.68</v>
      </c>
      <c r="N37" s="43">
        <f ca="1">Loan_Level_Results4[[#This Row],[NPV]]-Loan_Level_Results4[[#This Row],[DCF CALC NPV]]</f>
        <v>-1.0000000002037268E-2</v>
      </c>
      <c r="O37" s="43">
        <f>Loan_Level_Results4[[#This Row],[Principal Payment]]+Loan_Level_Results4[[#This Row],[Interest]]</f>
        <v>50328.76</v>
      </c>
    </row>
    <row r="38" spans="1:15" x14ac:dyDescent="0.3">
      <c r="A38" s="45">
        <v>46965</v>
      </c>
      <c r="B38" s="44">
        <v>37</v>
      </c>
      <c r="C38" s="43">
        <v>6481706.3499999996</v>
      </c>
      <c r="D38" s="43">
        <v>12466</v>
      </c>
      <c r="E38" s="43">
        <v>37680.5</v>
      </c>
      <c r="F38" s="43">
        <v>18492.310000000001</v>
      </c>
      <c r="G38" s="43">
        <v>4427.01</v>
      </c>
      <c r="H38" s="43">
        <v>383.8</v>
      </c>
      <c r="I38" s="43">
        <v>3871.98</v>
      </c>
      <c r="J38" s="43">
        <v>6446321.0300000003</v>
      </c>
      <c r="K38" s="43">
        <v>72510.789999999994</v>
      </c>
      <c r="L38" s="43">
        <v>58597.96</v>
      </c>
      <c r="M38" s="48">
        <f ca="1">'DCF Calc 2'!Q53</f>
        <v>58597.97</v>
      </c>
      <c r="N38" s="43">
        <f ca="1">Loan_Level_Results4[[#This Row],[NPV]]-Loan_Level_Results4[[#This Row],[DCF CALC NPV]]</f>
        <v>-1.0000000002037268E-2</v>
      </c>
      <c r="O38" s="43">
        <f>Loan_Level_Results4[[#This Row],[Principal Payment]]+Loan_Level_Results4[[#This Row],[Interest]]</f>
        <v>50146.5</v>
      </c>
    </row>
    <row r="39" spans="1:15" x14ac:dyDescent="0.3">
      <c r="A39" s="45">
        <v>46996</v>
      </c>
      <c r="B39" s="44">
        <v>38</v>
      </c>
      <c r="C39" s="43">
        <v>6446321.0300000003</v>
      </c>
      <c r="D39" s="43">
        <v>12499.53</v>
      </c>
      <c r="E39" s="43">
        <v>37474.79</v>
      </c>
      <c r="F39" s="43">
        <v>18391.349999999999</v>
      </c>
      <c r="G39" s="43">
        <v>4402.84</v>
      </c>
      <c r="H39" s="43">
        <v>381.7</v>
      </c>
      <c r="I39" s="43">
        <v>3851.81</v>
      </c>
      <c r="J39" s="43">
        <v>6411027.3099999996</v>
      </c>
      <c r="K39" s="43">
        <v>72217.48</v>
      </c>
      <c r="L39" s="43">
        <v>58019.63</v>
      </c>
      <c r="M39" s="48">
        <f ca="1">'DCF Calc 2'!Q54</f>
        <v>58019.65</v>
      </c>
      <c r="N39" s="43">
        <f ca="1">Loan_Level_Results4[[#This Row],[NPV]]-Loan_Level_Results4[[#This Row],[DCF CALC NPV]]</f>
        <v>-2.0000000004074536E-2</v>
      </c>
      <c r="O39" s="43">
        <f>Loan_Level_Results4[[#This Row],[Principal Payment]]+Loan_Level_Results4[[#This Row],[Interest]]</f>
        <v>49974.32</v>
      </c>
    </row>
    <row r="40" spans="1:15" x14ac:dyDescent="0.3">
      <c r="A40" s="45">
        <v>47026</v>
      </c>
      <c r="B40" s="44">
        <v>39</v>
      </c>
      <c r="C40" s="43">
        <v>6411027.3099999996</v>
      </c>
      <c r="D40" s="43">
        <v>13735.35</v>
      </c>
      <c r="E40" s="43">
        <v>36067.370000000003</v>
      </c>
      <c r="F40" s="43">
        <v>18290.66</v>
      </c>
      <c r="G40" s="43">
        <v>4378.7299999999996</v>
      </c>
      <c r="H40" s="43">
        <v>379.61</v>
      </c>
      <c r="I40" s="43">
        <v>3831.69</v>
      </c>
      <c r="J40" s="43">
        <v>6374622.5700000003</v>
      </c>
      <c r="K40" s="43">
        <v>71925.070000000007</v>
      </c>
      <c r="L40" s="43">
        <v>57457.66</v>
      </c>
      <c r="M40" s="48">
        <f ca="1">'DCF Calc 2'!Q55</f>
        <v>57457.68</v>
      </c>
      <c r="N40" s="43">
        <f ca="1">Loan_Level_Results4[[#This Row],[NPV]]-Loan_Level_Results4[[#This Row],[DCF CALC NPV]]</f>
        <v>-1.9999999996798579E-2</v>
      </c>
      <c r="O40" s="43">
        <f>Loan_Level_Results4[[#This Row],[Principal Payment]]+Loan_Level_Results4[[#This Row],[Interest]]</f>
        <v>49802.720000000001</v>
      </c>
    </row>
    <row r="41" spans="1:15" x14ac:dyDescent="0.3">
      <c r="A41" s="45">
        <v>47057</v>
      </c>
      <c r="B41" s="44">
        <v>40</v>
      </c>
      <c r="C41" s="43">
        <v>6374622.5700000003</v>
      </c>
      <c r="D41" s="43">
        <v>12564.38</v>
      </c>
      <c r="E41" s="43">
        <v>37057.980000000003</v>
      </c>
      <c r="F41" s="43">
        <v>18186.8</v>
      </c>
      <c r="G41" s="43">
        <v>4353.87</v>
      </c>
      <c r="H41" s="43">
        <v>377.45</v>
      </c>
      <c r="I41" s="43">
        <v>3956.91</v>
      </c>
      <c r="J41" s="43">
        <v>6339517.5199999996</v>
      </c>
      <c r="K41" s="43">
        <v>71766.070000000007</v>
      </c>
      <c r="L41" s="43">
        <v>56995.38</v>
      </c>
      <c r="M41" s="48">
        <f ca="1">'DCF Calc 2'!Q56</f>
        <v>56995.39</v>
      </c>
      <c r="N41" s="43">
        <f ca="1">Loan_Level_Results4[[#This Row],[NPV]]-Loan_Level_Results4[[#This Row],[DCF CALC NPV]]</f>
        <v>-1.0000000002037268E-2</v>
      </c>
      <c r="O41" s="43">
        <f>Loan_Level_Results4[[#This Row],[Principal Payment]]+Loan_Level_Results4[[#This Row],[Interest]]</f>
        <v>49622.36</v>
      </c>
    </row>
    <row r="42" spans="1:15" x14ac:dyDescent="0.3">
      <c r="A42" s="45">
        <v>47087</v>
      </c>
      <c r="B42" s="44">
        <v>41</v>
      </c>
      <c r="C42" s="43">
        <v>6339517.5199999996</v>
      </c>
      <c r="D42" s="43">
        <v>13786.9</v>
      </c>
      <c r="E42" s="43">
        <v>35665.07</v>
      </c>
      <c r="F42" s="43">
        <v>18086.64</v>
      </c>
      <c r="G42" s="43">
        <v>4329.8900000000003</v>
      </c>
      <c r="H42" s="43">
        <v>375.38</v>
      </c>
      <c r="I42" s="43">
        <v>3936.03</v>
      </c>
      <c r="J42" s="43">
        <v>6303314.0899999999</v>
      </c>
      <c r="K42" s="43">
        <v>71474.64</v>
      </c>
      <c r="L42" s="43">
        <v>56442.65</v>
      </c>
      <c r="M42" s="48">
        <f ca="1">'DCF Calc 2'!Q57</f>
        <v>56442.67</v>
      </c>
      <c r="N42" s="43">
        <f ca="1">Loan_Level_Results4[[#This Row],[NPV]]-Loan_Level_Results4[[#This Row],[DCF CALC NPV]]</f>
        <v>-1.9999999996798579E-2</v>
      </c>
      <c r="O42" s="43">
        <f>Loan_Level_Results4[[#This Row],[Principal Payment]]+Loan_Level_Results4[[#This Row],[Interest]]</f>
        <v>49451.97</v>
      </c>
    </row>
    <row r="43" spans="1:15" x14ac:dyDescent="0.3">
      <c r="A43" s="45">
        <v>47118</v>
      </c>
      <c r="B43" s="44">
        <v>42</v>
      </c>
      <c r="C43" s="43">
        <v>6303314.0899999999</v>
      </c>
      <c r="D43" s="43">
        <v>12629.42</v>
      </c>
      <c r="E43" s="43">
        <v>36643.440000000002</v>
      </c>
      <c r="F43" s="43">
        <v>17983.36</v>
      </c>
      <c r="G43" s="43">
        <v>4305.16</v>
      </c>
      <c r="H43" s="43">
        <v>373.23</v>
      </c>
      <c r="I43" s="43">
        <v>3914.47</v>
      </c>
      <c r="J43" s="43">
        <v>6268396.1500000004</v>
      </c>
      <c r="K43" s="43">
        <v>71170.69</v>
      </c>
      <c r="L43" s="43">
        <v>55873.96</v>
      </c>
      <c r="M43" s="48">
        <f ca="1">'DCF Calc 2'!Q58</f>
        <v>55873.97</v>
      </c>
      <c r="N43" s="43">
        <f ca="1">Loan_Level_Results4[[#This Row],[NPV]]-Loan_Level_Results4[[#This Row],[DCF CALC NPV]]</f>
        <v>-1.0000000002037268E-2</v>
      </c>
      <c r="O43" s="43">
        <f>Loan_Level_Results4[[#This Row],[Principal Payment]]+Loan_Level_Results4[[#This Row],[Interest]]</f>
        <v>49272.86</v>
      </c>
    </row>
    <row r="44" spans="1:15" x14ac:dyDescent="0.3">
      <c r="A44" s="45">
        <v>47149</v>
      </c>
      <c r="B44" s="44">
        <v>43</v>
      </c>
      <c r="C44" s="43">
        <v>6268396.1500000004</v>
      </c>
      <c r="D44" s="43">
        <v>12663.22</v>
      </c>
      <c r="E44" s="43">
        <v>36440.449999999997</v>
      </c>
      <c r="F44" s="43">
        <v>17883.73</v>
      </c>
      <c r="G44" s="43">
        <v>4281.3100000000004</v>
      </c>
      <c r="H44" s="43">
        <v>371.16</v>
      </c>
      <c r="I44" s="43">
        <v>4037.19</v>
      </c>
      <c r="J44" s="43">
        <v>6233567.8899999997</v>
      </c>
      <c r="K44" s="43">
        <v>71024.59</v>
      </c>
      <c r="L44" s="43">
        <v>55433.18</v>
      </c>
      <c r="M44" s="48">
        <f ca="1">'DCF Calc 2'!Q59</f>
        <v>55433.2</v>
      </c>
      <c r="N44" s="43">
        <f ca="1">Loan_Level_Results4[[#This Row],[NPV]]-Loan_Level_Results4[[#This Row],[DCF CALC NPV]]</f>
        <v>-1.9999999996798579E-2</v>
      </c>
      <c r="O44" s="43">
        <f>Loan_Level_Results4[[#This Row],[Principal Payment]]+Loan_Level_Results4[[#This Row],[Interest]]</f>
        <v>49103.67</v>
      </c>
    </row>
    <row r="45" spans="1:15" x14ac:dyDescent="0.3">
      <c r="A45" s="45">
        <v>47177</v>
      </c>
      <c r="B45" s="44">
        <v>44</v>
      </c>
      <c r="C45" s="43">
        <v>6233567.8899999997</v>
      </c>
      <c r="D45" s="43">
        <v>16203.97</v>
      </c>
      <c r="E45" s="43">
        <v>32731.08</v>
      </c>
      <c r="F45" s="43">
        <v>17784.37</v>
      </c>
      <c r="G45" s="43">
        <v>4257.53</v>
      </c>
      <c r="H45" s="43">
        <v>369.1</v>
      </c>
      <c r="I45" s="43">
        <v>4015.62</v>
      </c>
      <c r="J45" s="43">
        <v>6195322.0199999996</v>
      </c>
      <c r="K45" s="43">
        <v>70735.039999999994</v>
      </c>
      <c r="L45" s="43">
        <v>54915.51</v>
      </c>
      <c r="M45" s="48">
        <f ca="1">'DCF Calc 2'!Q60</f>
        <v>54915.53</v>
      </c>
      <c r="N45" s="43">
        <f ca="1">Loan_Level_Results4[[#This Row],[NPV]]-Loan_Level_Results4[[#This Row],[DCF CALC NPV]]</f>
        <v>-1.9999999996798579E-2</v>
      </c>
      <c r="O45" s="43">
        <f>Loan_Level_Results4[[#This Row],[Principal Payment]]+Loan_Level_Results4[[#This Row],[Interest]]</f>
        <v>48935.05</v>
      </c>
    </row>
    <row r="46" spans="1:15" x14ac:dyDescent="0.3">
      <c r="A46" s="45">
        <v>47208</v>
      </c>
      <c r="B46" s="44">
        <v>45</v>
      </c>
      <c r="C46" s="43">
        <v>6195322.0199999996</v>
      </c>
      <c r="D46" s="43">
        <v>12723.78</v>
      </c>
      <c r="E46" s="43">
        <v>36015.64</v>
      </c>
      <c r="F46" s="43">
        <v>17675.25</v>
      </c>
      <c r="G46" s="43">
        <v>4231.3999999999996</v>
      </c>
      <c r="H46" s="43">
        <v>366.84</v>
      </c>
      <c r="I46" s="43">
        <v>3991.84</v>
      </c>
      <c r="J46" s="43">
        <v>6160691.5899999999</v>
      </c>
      <c r="K46" s="43">
        <v>70406.509999999995</v>
      </c>
      <c r="L46" s="43">
        <v>54340.800000000003</v>
      </c>
      <c r="M46" s="48">
        <f ca="1">'DCF Calc 2'!Q61</f>
        <v>54340.82</v>
      </c>
      <c r="N46" s="43">
        <f ca="1">Loan_Level_Results4[[#This Row],[NPV]]-Loan_Level_Results4[[#This Row],[DCF CALC NPV]]</f>
        <v>-1.9999999996798579E-2</v>
      </c>
      <c r="O46" s="43">
        <f>Loan_Level_Results4[[#This Row],[Principal Payment]]+Loan_Level_Results4[[#This Row],[Interest]]</f>
        <v>48739.42</v>
      </c>
    </row>
    <row r="47" spans="1:15" x14ac:dyDescent="0.3">
      <c r="A47" s="45">
        <v>47238</v>
      </c>
      <c r="B47" s="44">
        <v>46</v>
      </c>
      <c r="C47" s="43">
        <v>6160691.5899999999</v>
      </c>
      <c r="D47" s="43">
        <v>13913.02</v>
      </c>
      <c r="E47" s="43">
        <v>34659.019999999997</v>
      </c>
      <c r="F47" s="43">
        <v>17576.45</v>
      </c>
      <c r="G47" s="43">
        <v>4207.75</v>
      </c>
      <c r="H47" s="43">
        <v>364.79</v>
      </c>
      <c r="I47" s="43">
        <v>4111.33</v>
      </c>
      <c r="J47" s="43">
        <v>6124994.3700000001</v>
      </c>
      <c r="K47" s="43">
        <v>70259.820000000007</v>
      </c>
      <c r="L47" s="43">
        <v>53920.67</v>
      </c>
      <c r="M47" s="48">
        <f ca="1">'DCF Calc 2'!Q62</f>
        <v>53920.68</v>
      </c>
      <c r="N47" s="43">
        <f ca="1">Loan_Level_Results4[[#This Row],[NPV]]-Loan_Level_Results4[[#This Row],[DCF CALC NPV]]</f>
        <v>-1.0000000002037268E-2</v>
      </c>
      <c r="O47" s="43">
        <f>Loan_Level_Results4[[#This Row],[Principal Payment]]+Loan_Level_Results4[[#This Row],[Interest]]</f>
        <v>48572.039999999994</v>
      </c>
    </row>
    <row r="48" spans="1:15" x14ac:dyDescent="0.3">
      <c r="A48" s="45">
        <v>47269</v>
      </c>
      <c r="B48" s="44">
        <v>47</v>
      </c>
      <c r="C48" s="43">
        <v>6124994.3700000001</v>
      </c>
      <c r="D48" s="43">
        <v>12789.32</v>
      </c>
      <c r="E48" s="43">
        <v>35606.800000000003</v>
      </c>
      <c r="F48" s="43">
        <v>17474.61</v>
      </c>
      <c r="G48" s="43">
        <v>4183.37</v>
      </c>
      <c r="H48" s="43">
        <v>362.67</v>
      </c>
      <c r="I48" s="43">
        <v>4088.3</v>
      </c>
      <c r="J48" s="43">
        <v>6090547.0700000003</v>
      </c>
      <c r="K48" s="43">
        <v>69959.03</v>
      </c>
      <c r="L48" s="43">
        <v>53375.85</v>
      </c>
      <c r="M48" s="48">
        <f ca="1">'DCF Calc 2'!Q63</f>
        <v>53375.87</v>
      </c>
      <c r="N48" s="43">
        <f ca="1">Loan_Level_Results4[[#This Row],[NPV]]-Loan_Level_Results4[[#This Row],[DCF CALC NPV]]</f>
        <v>-2.0000000004074536E-2</v>
      </c>
      <c r="O48" s="43">
        <f>Loan_Level_Results4[[#This Row],[Principal Payment]]+Loan_Level_Results4[[#This Row],[Interest]]</f>
        <v>48396.12</v>
      </c>
    </row>
    <row r="49" spans="1:15" x14ac:dyDescent="0.3">
      <c r="A49" s="45">
        <v>47299</v>
      </c>
      <c r="B49" s="44">
        <v>48</v>
      </c>
      <c r="C49" s="43">
        <v>6090547.0700000003</v>
      </c>
      <c r="D49" s="43">
        <v>13965.52</v>
      </c>
      <c r="E49" s="43">
        <v>34264.400000000001</v>
      </c>
      <c r="F49" s="43">
        <v>17376.330000000002</v>
      </c>
      <c r="G49" s="43">
        <v>4159.84</v>
      </c>
      <c r="H49" s="43">
        <v>360.63</v>
      </c>
      <c r="I49" s="43">
        <v>4066.11</v>
      </c>
      <c r="J49" s="43">
        <v>6055045.3799999999</v>
      </c>
      <c r="K49" s="43">
        <v>69672.36</v>
      </c>
      <c r="L49" s="43">
        <v>52856.27</v>
      </c>
      <c r="M49" s="48">
        <f ca="1">'DCF Calc 2'!Q64</f>
        <v>52856.29</v>
      </c>
      <c r="N49" s="43">
        <f ca="1">Loan_Level_Results4[[#This Row],[NPV]]-Loan_Level_Results4[[#This Row],[DCF CALC NPV]]</f>
        <v>-2.0000000004074536E-2</v>
      </c>
      <c r="O49" s="43">
        <f>Loan_Level_Results4[[#This Row],[Principal Payment]]+Loan_Level_Results4[[#This Row],[Interest]]</f>
        <v>48229.919999999998</v>
      </c>
    </row>
    <row r="50" spans="1:15" x14ac:dyDescent="0.3">
      <c r="A50" s="45">
        <v>47330</v>
      </c>
      <c r="B50" s="44">
        <v>49</v>
      </c>
      <c r="C50" s="43">
        <v>6055045.3799999999</v>
      </c>
      <c r="D50" s="43">
        <v>12855.05</v>
      </c>
      <c r="E50" s="43">
        <v>35200.17</v>
      </c>
      <c r="F50" s="43">
        <v>17275.04</v>
      </c>
      <c r="G50" s="43">
        <v>4135.6000000000004</v>
      </c>
      <c r="H50" s="43">
        <v>358.53</v>
      </c>
      <c r="I50" s="43">
        <v>4043.21</v>
      </c>
      <c r="J50" s="43">
        <v>6020779.6900000004</v>
      </c>
      <c r="K50" s="43">
        <v>69373.47</v>
      </c>
      <c r="L50" s="43">
        <v>52321.75</v>
      </c>
      <c r="M50" s="48">
        <f ca="1">'DCF Calc 2'!Q65</f>
        <v>52321.77</v>
      </c>
      <c r="N50" s="43">
        <f ca="1">Loan_Level_Results4[[#This Row],[NPV]]-Loan_Level_Results4[[#This Row],[DCF CALC NPV]]</f>
        <v>-1.9999999996798579E-2</v>
      </c>
      <c r="O50" s="43">
        <f>Loan_Level_Results4[[#This Row],[Principal Payment]]+Loan_Level_Results4[[#This Row],[Interest]]</f>
        <v>48055.22</v>
      </c>
    </row>
    <row r="51" spans="1:15" x14ac:dyDescent="0.3">
      <c r="A51" s="45">
        <v>47361</v>
      </c>
      <c r="B51" s="44">
        <v>50</v>
      </c>
      <c r="C51" s="43">
        <v>6020779.6900000004</v>
      </c>
      <c r="D51" s="43">
        <v>12889.21</v>
      </c>
      <c r="E51" s="43">
        <v>35000.97</v>
      </c>
      <c r="F51" s="43">
        <v>17177.28</v>
      </c>
      <c r="G51" s="43">
        <v>4112.1899999999996</v>
      </c>
      <c r="H51" s="43">
        <v>356.5</v>
      </c>
      <c r="I51" s="43">
        <v>4021.14</v>
      </c>
      <c r="J51" s="43">
        <v>5986601.0099999998</v>
      </c>
      <c r="K51" s="43">
        <v>69088.600000000006</v>
      </c>
      <c r="L51" s="43">
        <v>51802.18</v>
      </c>
      <c r="M51" s="48">
        <f ca="1">'DCF Calc 2'!Q66</f>
        <v>51802.2</v>
      </c>
      <c r="N51" s="43">
        <f ca="1">Loan_Level_Results4[[#This Row],[NPV]]-Loan_Level_Results4[[#This Row],[DCF CALC NPV]]</f>
        <v>-1.9999999996798579E-2</v>
      </c>
      <c r="O51" s="43">
        <f>Loan_Level_Results4[[#This Row],[Principal Payment]]+Loan_Level_Results4[[#This Row],[Interest]]</f>
        <v>47890.18</v>
      </c>
    </row>
    <row r="52" spans="1:15" x14ac:dyDescent="0.3">
      <c r="A52" s="45">
        <v>47391</v>
      </c>
      <c r="B52" s="44">
        <v>51</v>
      </c>
      <c r="C52" s="43">
        <v>5986601.0099999998</v>
      </c>
      <c r="D52" s="43">
        <v>14046.09</v>
      </c>
      <c r="E52" s="43">
        <v>33679.620000000003</v>
      </c>
      <c r="F52" s="43">
        <v>17079.77</v>
      </c>
      <c r="G52" s="43">
        <v>4088.85</v>
      </c>
      <c r="H52" s="43">
        <v>354.48</v>
      </c>
      <c r="I52" s="43">
        <v>3999.12</v>
      </c>
      <c r="J52" s="43">
        <v>5951386.2999999998</v>
      </c>
      <c r="K52" s="43">
        <v>68804.600000000006</v>
      </c>
      <c r="L52" s="43">
        <v>51297.25</v>
      </c>
      <c r="M52" s="48">
        <f ca="1">'DCF Calc 2'!Q67</f>
        <v>51297.27</v>
      </c>
      <c r="N52" s="43">
        <f ca="1">Loan_Level_Results4[[#This Row],[NPV]]-Loan_Level_Results4[[#This Row],[DCF CALC NPV]]</f>
        <v>-1.9999999996798579E-2</v>
      </c>
      <c r="O52" s="43">
        <f>Loan_Level_Results4[[#This Row],[Principal Payment]]+Loan_Level_Results4[[#This Row],[Interest]]</f>
        <v>47725.710000000006</v>
      </c>
    </row>
    <row r="53" spans="1:15" x14ac:dyDescent="0.3">
      <c r="A53" s="45">
        <v>47422</v>
      </c>
      <c r="B53" s="44">
        <v>52</v>
      </c>
      <c r="C53" s="43">
        <v>5951386.2999999998</v>
      </c>
      <c r="D53" s="43">
        <v>12955.27</v>
      </c>
      <c r="E53" s="43">
        <v>34597.56</v>
      </c>
      <c r="F53" s="43">
        <v>16979.310000000001</v>
      </c>
      <c r="G53" s="43">
        <v>4064.8</v>
      </c>
      <c r="H53" s="43">
        <v>352.39</v>
      </c>
      <c r="I53" s="43">
        <v>3976.42</v>
      </c>
      <c r="J53" s="43">
        <v>5917386.9199999999</v>
      </c>
      <c r="K53" s="43">
        <v>68508.56</v>
      </c>
      <c r="L53" s="43">
        <v>50777.85</v>
      </c>
      <c r="M53" s="48">
        <f ca="1">'DCF Calc 2'!Q68</f>
        <v>50777.87</v>
      </c>
      <c r="N53" s="43">
        <f ca="1">Loan_Level_Results4[[#This Row],[NPV]]-Loan_Level_Results4[[#This Row],[DCF CALC NPV]]</f>
        <v>-2.0000000004074536E-2</v>
      </c>
      <c r="O53" s="43">
        <f>Loan_Level_Results4[[#This Row],[Principal Payment]]+Loan_Level_Results4[[#This Row],[Interest]]</f>
        <v>47552.83</v>
      </c>
    </row>
    <row r="54" spans="1:15" x14ac:dyDescent="0.3">
      <c r="A54" s="45">
        <v>47452</v>
      </c>
      <c r="B54" s="44">
        <v>53</v>
      </c>
      <c r="C54" s="43">
        <v>5917386.9199999999</v>
      </c>
      <c r="D54" s="43">
        <v>14099.29</v>
      </c>
      <c r="E54" s="43">
        <v>33290.230000000003</v>
      </c>
      <c r="F54" s="43">
        <v>16882.3</v>
      </c>
      <c r="G54" s="43">
        <v>4041.58</v>
      </c>
      <c r="H54" s="43">
        <v>350.38</v>
      </c>
      <c r="I54" s="43">
        <v>3954.51</v>
      </c>
      <c r="J54" s="43">
        <v>5882363.75</v>
      </c>
      <c r="K54" s="43">
        <v>68226.33</v>
      </c>
      <c r="L54" s="43">
        <v>50282.45</v>
      </c>
      <c r="M54" s="48">
        <f ca="1">'DCF Calc 2'!Q69</f>
        <v>50282.47</v>
      </c>
      <c r="N54" s="43">
        <f ca="1">Loan_Level_Results4[[#This Row],[NPV]]-Loan_Level_Results4[[#This Row],[DCF CALC NPV]]</f>
        <v>-2.0000000004074536E-2</v>
      </c>
      <c r="O54" s="43">
        <f>Loan_Level_Results4[[#This Row],[Principal Payment]]+Loan_Level_Results4[[#This Row],[Interest]]</f>
        <v>47389.520000000004</v>
      </c>
    </row>
    <row r="55" spans="1:15" x14ac:dyDescent="0.3">
      <c r="A55" s="45">
        <v>47483</v>
      </c>
      <c r="B55" s="44">
        <v>54</v>
      </c>
      <c r="C55" s="43">
        <v>5882363.75</v>
      </c>
      <c r="D55" s="43">
        <v>13021.55</v>
      </c>
      <c r="E55" s="43">
        <v>34196.300000000003</v>
      </c>
      <c r="F55" s="43">
        <v>16782.38</v>
      </c>
      <c r="G55" s="43">
        <v>4017.65</v>
      </c>
      <c r="H55" s="43">
        <v>348.31</v>
      </c>
      <c r="I55" s="43">
        <v>3931.93</v>
      </c>
      <c r="J55" s="43">
        <v>5848542.1699999999</v>
      </c>
      <c r="K55" s="43">
        <v>67932.160000000003</v>
      </c>
      <c r="L55" s="43">
        <v>49772.87</v>
      </c>
      <c r="M55" s="48">
        <f ca="1">'DCF Calc 2'!Q70</f>
        <v>49772.89</v>
      </c>
      <c r="N55" s="43">
        <f ca="1">Loan_Level_Results4[[#This Row],[NPV]]-Loan_Level_Results4[[#This Row],[DCF CALC NPV]]</f>
        <v>-1.9999999996798579E-2</v>
      </c>
      <c r="O55" s="43">
        <f>Loan_Level_Results4[[#This Row],[Principal Payment]]+Loan_Level_Results4[[#This Row],[Interest]]</f>
        <v>47217.850000000006</v>
      </c>
    </row>
    <row r="56" spans="1:15" x14ac:dyDescent="0.3">
      <c r="A56" s="45">
        <v>47514</v>
      </c>
      <c r="B56" s="44">
        <v>55</v>
      </c>
      <c r="C56" s="43">
        <v>5848542.1699999999</v>
      </c>
      <c r="D56" s="43">
        <v>13055.98</v>
      </c>
      <c r="E56" s="43">
        <v>33999.69</v>
      </c>
      <c r="F56" s="43">
        <v>16685.89</v>
      </c>
      <c r="G56" s="43">
        <v>3994.55</v>
      </c>
      <c r="H56" s="43">
        <v>346.3</v>
      </c>
      <c r="I56" s="43">
        <v>3910.15</v>
      </c>
      <c r="J56" s="43">
        <v>5814805.75</v>
      </c>
      <c r="K56" s="43">
        <v>67651.710000000006</v>
      </c>
      <c r="L56" s="43">
        <v>49277.52</v>
      </c>
      <c r="M56" s="48">
        <f ca="1">'DCF Calc 2'!Q71</f>
        <v>49277.54</v>
      </c>
      <c r="N56" s="43">
        <f ca="1">Loan_Level_Results4[[#This Row],[NPV]]-Loan_Level_Results4[[#This Row],[DCF CALC NPV]]</f>
        <v>-2.0000000004074536E-2</v>
      </c>
      <c r="O56" s="43">
        <f>Loan_Level_Results4[[#This Row],[Principal Payment]]+Loan_Level_Results4[[#This Row],[Interest]]</f>
        <v>47055.67</v>
      </c>
    </row>
    <row r="57" spans="1:15" x14ac:dyDescent="0.3">
      <c r="A57" s="45">
        <v>47542</v>
      </c>
      <c r="B57" s="44">
        <v>56</v>
      </c>
      <c r="C57" s="43">
        <v>5814805.75</v>
      </c>
      <c r="D57" s="43">
        <v>16361.8</v>
      </c>
      <c r="E57" s="43">
        <v>30532.25</v>
      </c>
      <c r="F57" s="43">
        <v>16589.64</v>
      </c>
      <c r="G57" s="43">
        <v>3971.51</v>
      </c>
      <c r="H57" s="43">
        <v>344.31</v>
      </c>
      <c r="I57" s="43">
        <v>3888.43</v>
      </c>
      <c r="J57" s="43">
        <v>5777882.7999999998</v>
      </c>
      <c r="K57" s="43">
        <v>67372.12</v>
      </c>
      <c r="L57" s="43">
        <v>48814.59</v>
      </c>
      <c r="M57" s="48">
        <f ca="1">'DCF Calc 2'!Q72</f>
        <v>48814.61</v>
      </c>
      <c r="N57" s="43">
        <f ca="1">Loan_Level_Results4[[#This Row],[NPV]]-Loan_Level_Results4[[#This Row],[DCF CALC NPV]]</f>
        <v>-2.0000000004074536E-2</v>
      </c>
      <c r="O57" s="43">
        <f>Loan_Level_Results4[[#This Row],[Principal Payment]]+Loan_Level_Results4[[#This Row],[Interest]]</f>
        <v>46894.05</v>
      </c>
    </row>
    <row r="58" spans="1:15" x14ac:dyDescent="0.3">
      <c r="A58" s="45">
        <v>47573</v>
      </c>
      <c r="B58" s="44">
        <v>57</v>
      </c>
      <c r="C58" s="43">
        <v>5777882.7999999998</v>
      </c>
      <c r="D58" s="43">
        <v>13117.62</v>
      </c>
      <c r="E58" s="43">
        <v>33588.92</v>
      </c>
      <c r="F58" s="43">
        <v>16484.3</v>
      </c>
      <c r="G58" s="43">
        <v>3946.29</v>
      </c>
      <c r="H58" s="43">
        <v>342.12</v>
      </c>
      <c r="I58" s="43">
        <v>3864.56</v>
      </c>
      <c r="J58" s="43">
        <v>5744334.5899999999</v>
      </c>
      <c r="K58" s="43">
        <v>67055.399999999994</v>
      </c>
      <c r="L58" s="43">
        <v>48300.98</v>
      </c>
      <c r="M58" s="48">
        <f ca="1">'DCF Calc 2'!Q73</f>
        <v>48301</v>
      </c>
      <c r="N58" s="43">
        <f ca="1">Loan_Level_Results4[[#This Row],[NPV]]-Loan_Level_Results4[[#This Row],[DCF CALC NPV]]</f>
        <v>-1.9999999996798579E-2</v>
      </c>
      <c r="O58" s="43">
        <f>Loan_Level_Results4[[#This Row],[Principal Payment]]+Loan_Level_Results4[[#This Row],[Interest]]</f>
        <v>46706.54</v>
      </c>
    </row>
    <row r="59" spans="1:15" x14ac:dyDescent="0.3">
      <c r="A59" s="45">
        <v>47603</v>
      </c>
      <c r="B59" s="44">
        <v>58</v>
      </c>
      <c r="C59" s="43">
        <v>5744334.5899999999</v>
      </c>
      <c r="D59" s="43">
        <v>14229.45</v>
      </c>
      <c r="E59" s="43">
        <v>32316.67</v>
      </c>
      <c r="F59" s="43">
        <v>16388.59</v>
      </c>
      <c r="G59" s="43">
        <v>3923.38</v>
      </c>
      <c r="H59" s="43">
        <v>340.13</v>
      </c>
      <c r="I59" s="43">
        <v>3842.96</v>
      </c>
      <c r="J59" s="43">
        <v>5709793.1699999999</v>
      </c>
      <c r="K59" s="43">
        <v>66777.67</v>
      </c>
      <c r="L59" s="43">
        <v>47828.69</v>
      </c>
      <c r="M59" s="48">
        <f ca="1">'DCF Calc 2'!Q74</f>
        <v>47828.71</v>
      </c>
      <c r="N59" s="43">
        <f ca="1">Loan_Level_Results4[[#This Row],[NPV]]-Loan_Level_Results4[[#This Row],[DCF CALC NPV]]</f>
        <v>-1.9999999996798579E-2</v>
      </c>
      <c r="O59" s="43">
        <f>Loan_Level_Results4[[#This Row],[Principal Payment]]+Loan_Level_Results4[[#This Row],[Interest]]</f>
        <v>46546.119999999995</v>
      </c>
    </row>
    <row r="60" spans="1:15" x14ac:dyDescent="0.3">
      <c r="A60" s="45">
        <v>47634</v>
      </c>
      <c r="B60" s="44">
        <v>59</v>
      </c>
      <c r="C60" s="43">
        <v>5709793.1699999999</v>
      </c>
      <c r="D60" s="43">
        <v>13184.4</v>
      </c>
      <c r="E60" s="43">
        <v>33193.089999999997</v>
      </c>
      <c r="F60" s="43">
        <v>16290.04</v>
      </c>
      <c r="G60" s="43">
        <v>3899.79</v>
      </c>
      <c r="H60" s="43">
        <v>338.09</v>
      </c>
      <c r="I60" s="43">
        <v>3820.7</v>
      </c>
      <c r="J60" s="43">
        <v>5676418.9400000004</v>
      </c>
      <c r="K60" s="43">
        <v>66488.23</v>
      </c>
      <c r="L60" s="43">
        <v>47342.89</v>
      </c>
      <c r="M60" s="48">
        <f ca="1">'DCF Calc 2'!Q75</f>
        <v>47342.91</v>
      </c>
      <c r="N60" s="43">
        <f ca="1">Loan_Level_Results4[[#This Row],[NPV]]-Loan_Level_Results4[[#This Row],[DCF CALC NPV]]</f>
        <v>-2.0000000004074536E-2</v>
      </c>
      <c r="O60" s="43">
        <f>Loan_Level_Results4[[#This Row],[Principal Payment]]+Loan_Level_Results4[[#This Row],[Interest]]</f>
        <v>46377.49</v>
      </c>
    </row>
    <row r="61" spans="1:15" x14ac:dyDescent="0.3">
      <c r="A61" s="45">
        <v>47664</v>
      </c>
      <c r="B61" s="44">
        <v>60</v>
      </c>
      <c r="C61" s="43">
        <v>5676418.9400000004</v>
      </c>
      <c r="D61" s="43">
        <v>14283.59</v>
      </c>
      <c r="E61" s="43">
        <v>31934.59</v>
      </c>
      <c r="F61" s="43">
        <v>16194.82</v>
      </c>
      <c r="G61" s="43">
        <v>3876.99</v>
      </c>
      <c r="H61" s="43">
        <v>336.11</v>
      </c>
      <c r="I61" s="43">
        <v>3799.21</v>
      </c>
      <c r="J61" s="43">
        <v>5642063.54</v>
      </c>
      <c r="K61" s="43">
        <v>66212.210000000006</v>
      </c>
      <c r="L61" s="43">
        <v>46879.51</v>
      </c>
      <c r="M61" s="48">
        <f ca="1">'DCF Calc 2'!Q76</f>
        <v>46879.53</v>
      </c>
      <c r="N61" s="43">
        <f ca="1">Loan_Level_Results4[[#This Row],[NPV]]-Loan_Level_Results4[[#This Row],[DCF CALC NPV]]</f>
        <v>-1.9999999996798579E-2</v>
      </c>
      <c r="O61" s="43">
        <f>Loan_Level_Results4[[#This Row],[Principal Payment]]+Loan_Level_Results4[[#This Row],[Interest]]</f>
        <v>46218.18</v>
      </c>
    </row>
    <row r="62" spans="1:15" x14ac:dyDescent="0.3">
      <c r="A62" s="45">
        <v>47695</v>
      </c>
      <c r="B62" s="44">
        <v>61</v>
      </c>
      <c r="C62" s="43">
        <v>5642063.54</v>
      </c>
      <c r="D62" s="43">
        <v>13251.39</v>
      </c>
      <c r="E62" s="43">
        <v>32799.35</v>
      </c>
      <c r="F62" s="43">
        <v>16096.81</v>
      </c>
      <c r="G62" s="43">
        <v>3853.53</v>
      </c>
      <c r="H62" s="43">
        <v>334.08</v>
      </c>
      <c r="I62" s="43">
        <v>3777.07</v>
      </c>
      <c r="J62" s="43">
        <v>5608861.8099999996</v>
      </c>
      <c r="K62" s="43">
        <v>65924.62</v>
      </c>
      <c r="L62" s="43">
        <v>46402.94</v>
      </c>
      <c r="M62" s="48">
        <f ca="1">'DCF Calc 2'!Q77</f>
        <v>46402.96</v>
      </c>
      <c r="N62" s="43">
        <f ca="1">Loan_Level_Results4[[#This Row],[NPV]]-Loan_Level_Results4[[#This Row],[DCF CALC NPV]]</f>
        <v>-1.9999999996798579E-2</v>
      </c>
      <c r="O62" s="43">
        <f>Loan_Level_Results4[[#This Row],[Principal Payment]]+Loan_Level_Results4[[#This Row],[Interest]]</f>
        <v>46050.74</v>
      </c>
    </row>
    <row r="63" spans="1:15" x14ac:dyDescent="0.3">
      <c r="A63" s="45">
        <v>47726</v>
      </c>
      <c r="B63" s="44">
        <v>62</v>
      </c>
      <c r="C63" s="43">
        <v>5608861.8099999996</v>
      </c>
      <c r="D63" s="43">
        <v>13286.21</v>
      </c>
      <c r="E63" s="43">
        <v>32606.34</v>
      </c>
      <c r="F63" s="43">
        <v>16002.08</v>
      </c>
      <c r="G63" s="43">
        <v>3830.85</v>
      </c>
      <c r="H63" s="43">
        <v>332.11</v>
      </c>
      <c r="I63" s="43">
        <v>3755.69</v>
      </c>
      <c r="J63" s="43">
        <v>5575742.6699999999</v>
      </c>
      <c r="K63" s="43">
        <v>65650.320000000007</v>
      </c>
      <c r="L63" s="43">
        <v>45939.63</v>
      </c>
      <c r="M63" s="48">
        <f ca="1">'DCF Calc 2'!Q78</f>
        <v>45939.65</v>
      </c>
      <c r="N63" s="43">
        <f ca="1">Loan_Level_Results4[[#This Row],[NPV]]-Loan_Level_Results4[[#This Row],[DCF CALC NPV]]</f>
        <v>-2.0000000004074536E-2</v>
      </c>
      <c r="O63" s="43">
        <f>Loan_Level_Results4[[#This Row],[Principal Payment]]+Loan_Level_Results4[[#This Row],[Interest]]</f>
        <v>45892.55</v>
      </c>
    </row>
    <row r="64" spans="1:15" x14ac:dyDescent="0.3">
      <c r="A64" s="45">
        <v>47756</v>
      </c>
      <c r="B64" s="44">
        <v>63</v>
      </c>
      <c r="C64" s="43">
        <v>5575742.6699999999</v>
      </c>
      <c r="D64" s="43">
        <v>14366.7</v>
      </c>
      <c r="E64" s="43">
        <v>31368.2</v>
      </c>
      <c r="F64" s="43">
        <v>15907.59</v>
      </c>
      <c r="G64" s="43">
        <v>3808.23</v>
      </c>
      <c r="H64" s="43">
        <v>330.15</v>
      </c>
      <c r="I64" s="43">
        <v>3734.37</v>
      </c>
      <c r="J64" s="43">
        <v>5541660.1500000004</v>
      </c>
      <c r="K64" s="43">
        <v>65376.86</v>
      </c>
      <c r="L64" s="43">
        <v>45489.35</v>
      </c>
      <c r="M64" s="48">
        <f ca="1">'DCF Calc 2'!Q79</f>
        <v>45489.37</v>
      </c>
      <c r="N64" s="43">
        <f ca="1">Loan_Level_Results4[[#This Row],[NPV]]-Loan_Level_Results4[[#This Row],[DCF CALC NPV]]</f>
        <v>-2.0000000004074536E-2</v>
      </c>
      <c r="O64" s="43">
        <f>Loan_Level_Results4[[#This Row],[Principal Payment]]+Loan_Level_Results4[[#This Row],[Interest]]</f>
        <v>45734.9</v>
      </c>
    </row>
    <row r="65" spans="1:15" x14ac:dyDescent="0.3">
      <c r="A65" s="45">
        <v>47787</v>
      </c>
      <c r="B65" s="44">
        <v>64</v>
      </c>
      <c r="C65" s="43">
        <v>5541660.1500000004</v>
      </c>
      <c r="D65" s="43">
        <v>13353.53</v>
      </c>
      <c r="E65" s="43">
        <v>32215.67</v>
      </c>
      <c r="F65" s="43">
        <v>15810.36</v>
      </c>
      <c r="G65" s="43">
        <v>3784.95</v>
      </c>
      <c r="H65" s="43">
        <v>328.13</v>
      </c>
      <c r="I65" s="43">
        <v>3712.41</v>
      </c>
      <c r="J65" s="43">
        <v>5508711.3099999996</v>
      </c>
      <c r="K65" s="43">
        <v>65091.97</v>
      </c>
      <c r="L65" s="43">
        <v>45026.26</v>
      </c>
      <c r="M65" s="48">
        <f ca="1">'DCF Calc 2'!Q80</f>
        <v>45026.28</v>
      </c>
      <c r="N65" s="43">
        <f ca="1">Loan_Level_Results4[[#This Row],[NPV]]-Loan_Level_Results4[[#This Row],[DCF CALC NPV]]</f>
        <v>-1.9999999996798579E-2</v>
      </c>
      <c r="O65" s="43">
        <f>Loan_Level_Results4[[#This Row],[Principal Payment]]+Loan_Level_Results4[[#This Row],[Interest]]</f>
        <v>45569.2</v>
      </c>
    </row>
    <row r="66" spans="1:15" x14ac:dyDescent="0.3">
      <c r="A66" s="45">
        <v>47817</v>
      </c>
      <c r="B66" s="44">
        <v>65</v>
      </c>
      <c r="C66" s="43">
        <v>5508711.3099999996</v>
      </c>
      <c r="D66" s="43">
        <v>14421.57</v>
      </c>
      <c r="E66" s="43">
        <v>30991.09</v>
      </c>
      <c r="F66" s="43">
        <v>15716.35</v>
      </c>
      <c r="G66" s="43">
        <v>3762.45</v>
      </c>
      <c r="H66" s="43">
        <v>326.18</v>
      </c>
      <c r="I66" s="43">
        <v>3691.2</v>
      </c>
      <c r="J66" s="43">
        <v>5474810.9400000004</v>
      </c>
      <c r="K66" s="43">
        <v>64820.21</v>
      </c>
      <c r="L66" s="43">
        <v>44584.5</v>
      </c>
      <c r="M66" s="48">
        <f ca="1">'DCF Calc 2'!Q81</f>
        <v>44584.52</v>
      </c>
      <c r="N66" s="43">
        <f ca="1">Loan_Level_Results4[[#This Row],[NPV]]-Loan_Level_Results4[[#This Row],[DCF CALC NPV]]</f>
        <v>-1.9999999996798579E-2</v>
      </c>
      <c r="O66" s="43">
        <f>Loan_Level_Results4[[#This Row],[Principal Payment]]+Loan_Level_Results4[[#This Row],[Interest]]</f>
        <v>45412.66</v>
      </c>
    </row>
    <row r="67" spans="1:15" x14ac:dyDescent="0.3">
      <c r="A67" s="45">
        <v>47848</v>
      </c>
      <c r="B67" s="44">
        <v>66</v>
      </c>
      <c r="C67" s="43">
        <v>5474810.9400000004</v>
      </c>
      <c r="D67" s="43">
        <v>13421.06</v>
      </c>
      <c r="E67" s="43">
        <v>31827.05</v>
      </c>
      <c r="F67" s="43">
        <v>15619.64</v>
      </c>
      <c r="G67" s="43">
        <v>3739.3</v>
      </c>
      <c r="H67" s="43">
        <v>324.18</v>
      </c>
      <c r="I67" s="43">
        <v>3669.34</v>
      </c>
      <c r="J67" s="43">
        <v>5442030.9400000004</v>
      </c>
      <c r="K67" s="43">
        <v>64537.09</v>
      </c>
      <c r="L67" s="43">
        <v>44130.17</v>
      </c>
      <c r="M67" s="48">
        <f ca="1">'DCF Calc 2'!Q82</f>
        <v>44130.2</v>
      </c>
      <c r="N67" s="43">
        <f ca="1">Loan_Level_Results4[[#This Row],[NPV]]-Loan_Level_Results4[[#This Row],[DCF CALC NPV]]</f>
        <v>-2.9999999998835847E-2</v>
      </c>
      <c r="O67" s="43">
        <f>Loan_Level_Results4[[#This Row],[Principal Payment]]+Loan_Level_Results4[[#This Row],[Interest]]</f>
        <v>45248.11</v>
      </c>
    </row>
    <row r="68" spans="1:15" x14ac:dyDescent="0.3">
      <c r="A68" s="45">
        <v>47879</v>
      </c>
      <c r="B68" s="44">
        <v>67</v>
      </c>
      <c r="C68" s="43">
        <v>5442030.9400000004</v>
      </c>
      <c r="D68" s="43">
        <v>13456.17</v>
      </c>
      <c r="E68" s="43">
        <v>31636.49</v>
      </c>
      <c r="F68" s="43">
        <v>15526.11</v>
      </c>
      <c r="G68" s="43">
        <v>3716.91</v>
      </c>
      <c r="H68" s="43">
        <v>322.23</v>
      </c>
      <c r="I68" s="43">
        <v>3648.25</v>
      </c>
      <c r="J68" s="43">
        <v>5409331.75</v>
      </c>
      <c r="K68" s="43">
        <v>64267.02</v>
      </c>
      <c r="L68" s="43">
        <v>43688.51</v>
      </c>
      <c r="M68" s="48">
        <f ca="1">'DCF Calc 2'!Q83</f>
        <v>43688.53</v>
      </c>
      <c r="N68" s="43">
        <f ca="1">Loan_Level_Results4[[#This Row],[NPV]]-Loan_Level_Results4[[#This Row],[DCF CALC NPV]]</f>
        <v>-1.9999999996798579E-2</v>
      </c>
      <c r="O68" s="43">
        <f>Loan_Level_Results4[[#This Row],[Principal Payment]]+Loan_Level_Results4[[#This Row],[Interest]]</f>
        <v>45092.66</v>
      </c>
    </row>
    <row r="69" spans="1:15" x14ac:dyDescent="0.3">
      <c r="A69" s="45">
        <v>47907</v>
      </c>
      <c r="B69" s="44">
        <v>68</v>
      </c>
      <c r="C69" s="43">
        <v>5409331.75</v>
      </c>
      <c r="D69" s="43">
        <v>16534.55</v>
      </c>
      <c r="E69" s="43">
        <v>28403.200000000001</v>
      </c>
      <c r="F69" s="43">
        <v>15432.82</v>
      </c>
      <c r="G69" s="43">
        <v>3694.57</v>
      </c>
      <c r="H69" s="43">
        <v>320.3</v>
      </c>
      <c r="I69" s="43">
        <v>3627.2</v>
      </c>
      <c r="J69" s="43">
        <v>5373669.8099999996</v>
      </c>
      <c r="K69" s="43">
        <v>63997.77</v>
      </c>
      <c r="L69" s="43">
        <v>43275.62</v>
      </c>
      <c r="M69" s="48">
        <f ca="1">'DCF Calc 2'!Q84</f>
        <v>43275.64</v>
      </c>
      <c r="N69" s="43">
        <f ca="1">Loan_Level_Results4[[#This Row],[NPV]]-Loan_Level_Results4[[#This Row],[DCF CALC NPV]]</f>
        <v>-1.9999999996798579E-2</v>
      </c>
      <c r="O69" s="43">
        <f>Loan_Level_Results4[[#This Row],[Principal Payment]]+Loan_Level_Results4[[#This Row],[Interest]]</f>
        <v>44937.75</v>
      </c>
    </row>
    <row r="70" spans="1:15" x14ac:dyDescent="0.3">
      <c r="A70" s="45">
        <v>47938</v>
      </c>
      <c r="B70" s="44">
        <v>69</v>
      </c>
      <c r="C70" s="43">
        <v>5373669.8099999996</v>
      </c>
      <c r="D70" s="43">
        <v>13518.94</v>
      </c>
      <c r="E70" s="43">
        <v>31239.08</v>
      </c>
      <c r="F70" s="43">
        <v>15331.08</v>
      </c>
      <c r="G70" s="43">
        <v>3670.22</v>
      </c>
      <c r="H70" s="43">
        <v>318.19</v>
      </c>
      <c r="I70" s="43">
        <v>3604.17</v>
      </c>
      <c r="J70" s="43">
        <v>5341149.57</v>
      </c>
      <c r="K70" s="43">
        <v>63693.27</v>
      </c>
      <c r="L70" s="43">
        <v>42817.84</v>
      </c>
      <c r="M70" s="48">
        <f ca="1">'DCF Calc 2'!Q85</f>
        <v>42817.86</v>
      </c>
      <c r="N70" s="43">
        <f ca="1">Loan_Level_Results4[[#This Row],[NPV]]-Loan_Level_Results4[[#This Row],[DCF CALC NPV]]</f>
        <v>-2.0000000004074536E-2</v>
      </c>
      <c r="O70" s="43">
        <f>Loan_Level_Results4[[#This Row],[Principal Payment]]+Loan_Level_Results4[[#This Row],[Interest]]</f>
        <v>44758.020000000004</v>
      </c>
    </row>
    <row r="71" spans="1:15" x14ac:dyDescent="0.3">
      <c r="A71" s="45">
        <v>47968</v>
      </c>
      <c r="B71" s="44">
        <v>70</v>
      </c>
      <c r="C71" s="43">
        <v>5341149.57</v>
      </c>
      <c r="D71" s="43">
        <v>14555.82</v>
      </c>
      <c r="E71" s="43">
        <v>30048.42</v>
      </c>
      <c r="F71" s="43">
        <v>15238.3</v>
      </c>
      <c r="G71" s="43">
        <v>3648.01</v>
      </c>
      <c r="H71" s="43">
        <v>316.26</v>
      </c>
      <c r="I71" s="43">
        <v>3583.25</v>
      </c>
      <c r="J71" s="43">
        <v>5307707.4400000004</v>
      </c>
      <c r="K71" s="43">
        <v>63425.79</v>
      </c>
      <c r="L71" s="43">
        <v>42396.7</v>
      </c>
      <c r="M71" s="48">
        <f ca="1">'DCF Calc 2'!Q86</f>
        <v>42396.73</v>
      </c>
      <c r="N71" s="43">
        <f ca="1">Loan_Level_Results4[[#This Row],[NPV]]-Loan_Level_Results4[[#This Row],[DCF CALC NPV]]</f>
        <v>-3.0000000006111804E-2</v>
      </c>
      <c r="O71" s="43">
        <f>Loan_Level_Results4[[#This Row],[Principal Payment]]+Loan_Level_Results4[[#This Row],[Interest]]</f>
        <v>44604.24</v>
      </c>
    </row>
    <row r="72" spans="1:15" x14ac:dyDescent="0.3">
      <c r="A72" s="45">
        <v>47999</v>
      </c>
      <c r="B72" s="44">
        <v>71</v>
      </c>
      <c r="C72" s="43">
        <v>5307707.4400000004</v>
      </c>
      <c r="D72" s="43">
        <v>13586.99</v>
      </c>
      <c r="E72" s="43">
        <v>30855.62</v>
      </c>
      <c r="F72" s="43">
        <v>15142.89</v>
      </c>
      <c r="G72" s="43">
        <v>3625.16</v>
      </c>
      <c r="H72" s="43">
        <v>314.27999999999997</v>
      </c>
      <c r="I72" s="43">
        <v>3561.7</v>
      </c>
      <c r="J72" s="43">
        <v>5275352.4000000004</v>
      </c>
      <c r="K72" s="43">
        <v>63147.199999999997</v>
      </c>
      <c r="L72" s="43">
        <v>41963.64</v>
      </c>
      <c r="M72" s="48">
        <f ca="1">'DCF Calc 2'!Q87</f>
        <v>41963.66</v>
      </c>
      <c r="N72" s="43">
        <f ca="1">Loan_Level_Results4[[#This Row],[NPV]]-Loan_Level_Results4[[#This Row],[DCF CALC NPV]]</f>
        <v>-2.0000000004074536E-2</v>
      </c>
      <c r="O72" s="43">
        <f>Loan_Level_Results4[[#This Row],[Principal Payment]]+Loan_Level_Results4[[#This Row],[Interest]]</f>
        <v>44442.61</v>
      </c>
    </row>
    <row r="73" spans="1:15" x14ac:dyDescent="0.3">
      <c r="A73" s="45">
        <v>48029</v>
      </c>
      <c r="B73" s="44">
        <v>72</v>
      </c>
      <c r="C73" s="43">
        <v>5275352.4000000004</v>
      </c>
      <c r="D73" s="43">
        <v>14611.67</v>
      </c>
      <c r="E73" s="43">
        <v>29678.25</v>
      </c>
      <c r="F73" s="43">
        <v>15050.58</v>
      </c>
      <c r="G73" s="43">
        <v>3603.07</v>
      </c>
      <c r="H73" s="43">
        <v>312.36</v>
      </c>
      <c r="I73" s="43">
        <v>3540.88</v>
      </c>
      <c r="J73" s="43">
        <v>5242087.08</v>
      </c>
      <c r="K73" s="43">
        <v>62881.38</v>
      </c>
      <c r="L73" s="43">
        <v>41550.480000000003</v>
      </c>
      <c r="M73" s="48">
        <f ca="1">'DCF Calc 2'!Q88</f>
        <v>41550.51</v>
      </c>
      <c r="N73" s="43">
        <f ca="1">Loan_Level_Results4[[#This Row],[NPV]]-Loan_Level_Results4[[#This Row],[DCF CALC NPV]]</f>
        <v>-2.9999999998835847E-2</v>
      </c>
      <c r="O73" s="43">
        <f>Loan_Level_Results4[[#This Row],[Principal Payment]]+Loan_Level_Results4[[#This Row],[Interest]]</f>
        <v>44289.919999999998</v>
      </c>
    </row>
    <row r="74" spans="1:15" x14ac:dyDescent="0.3">
      <c r="A74" s="45">
        <v>48060</v>
      </c>
      <c r="B74" s="44">
        <v>73</v>
      </c>
      <c r="C74" s="43">
        <v>5242087.08</v>
      </c>
      <c r="D74" s="43">
        <v>13655.26</v>
      </c>
      <c r="E74" s="43">
        <v>30474.15</v>
      </c>
      <c r="F74" s="43">
        <v>14955.67</v>
      </c>
      <c r="G74" s="43">
        <v>3580.35</v>
      </c>
      <c r="H74" s="43">
        <v>310.39</v>
      </c>
      <c r="I74" s="43">
        <v>3519.45</v>
      </c>
      <c r="J74" s="43">
        <v>5209895.8</v>
      </c>
      <c r="K74" s="43">
        <v>62604.53</v>
      </c>
      <c r="L74" s="43">
        <v>41125.629999999997</v>
      </c>
      <c r="M74" s="48">
        <f ca="1">'DCF Calc 2'!Q89</f>
        <v>41125.65</v>
      </c>
      <c r="N74" s="43">
        <f ca="1">Loan_Level_Results4[[#This Row],[NPV]]-Loan_Level_Results4[[#This Row],[DCF CALC NPV]]</f>
        <v>-2.0000000004074536E-2</v>
      </c>
      <c r="O74" s="43">
        <f>Loan_Level_Results4[[#This Row],[Principal Payment]]+Loan_Level_Results4[[#This Row],[Interest]]</f>
        <v>44129.41</v>
      </c>
    </row>
    <row r="75" spans="1:15" x14ac:dyDescent="0.3">
      <c r="A75" s="45">
        <v>48091</v>
      </c>
      <c r="B75" s="44">
        <v>74</v>
      </c>
      <c r="C75" s="43">
        <v>5209895.8</v>
      </c>
      <c r="D75" s="43">
        <v>13690.78</v>
      </c>
      <c r="E75" s="43">
        <v>30287.01</v>
      </c>
      <c r="F75" s="43">
        <v>14863.83</v>
      </c>
      <c r="G75" s="43">
        <v>3558.36</v>
      </c>
      <c r="H75" s="43">
        <v>308.49</v>
      </c>
      <c r="I75" s="43">
        <v>3498.74</v>
      </c>
      <c r="J75" s="43">
        <v>5177782.83</v>
      </c>
      <c r="K75" s="43">
        <v>62340.36</v>
      </c>
      <c r="L75" s="43">
        <v>40712.61</v>
      </c>
      <c r="M75" s="48">
        <f ca="1">'DCF Calc 2'!Q90</f>
        <v>40712.629999999997</v>
      </c>
      <c r="N75" s="43">
        <f ca="1">Loan_Level_Results4[[#This Row],[NPV]]-Loan_Level_Results4[[#This Row],[DCF CALC NPV]]</f>
        <v>-1.9999999996798579E-2</v>
      </c>
      <c r="O75" s="43">
        <f>Loan_Level_Results4[[#This Row],[Principal Payment]]+Loan_Level_Results4[[#This Row],[Interest]]</f>
        <v>43977.79</v>
      </c>
    </row>
    <row r="76" spans="1:15" x14ac:dyDescent="0.3">
      <c r="A76" s="45">
        <v>48121</v>
      </c>
      <c r="B76" s="44">
        <v>75</v>
      </c>
      <c r="C76" s="43">
        <v>5177782.83</v>
      </c>
      <c r="D76" s="43">
        <v>14697.34</v>
      </c>
      <c r="E76" s="43">
        <v>29129.34</v>
      </c>
      <c r="F76" s="43">
        <v>14772.21</v>
      </c>
      <c r="G76" s="43">
        <v>3536.43</v>
      </c>
      <c r="H76" s="43">
        <v>306.58999999999997</v>
      </c>
      <c r="I76" s="43">
        <v>3478.08</v>
      </c>
      <c r="J76" s="43">
        <v>5144776.8499999996</v>
      </c>
      <c r="K76" s="43">
        <v>62076.97</v>
      </c>
      <c r="L76" s="43">
        <v>40311.15</v>
      </c>
      <c r="M76" s="48">
        <f ca="1">'DCF Calc 2'!Q91</f>
        <v>40311.17</v>
      </c>
      <c r="N76" s="43">
        <f ca="1">Loan_Level_Results4[[#This Row],[NPV]]-Loan_Level_Results4[[#This Row],[DCF CALC NPV]]</f>
        <v>-1.9999999996798579E-2</v>
      </c>
      <c r="O76" s="43">
        <f>Loan_Level_Results4[[#This Row],[Principal Payment]]+Loan_Level_Results4[[#This Row],[Interest]]</f>
        <v>43826.68</v>
      </c>
    </row>
    <row r="77" spans="1:15" x14ac:dyDescent="0.3">
      <c r="A77" s="45">
        <v>48152</v>
      </c>
      <c r="B77" s="44">
        <v>76</v>
      </c>
      <c r="C77" s="43">
        <v>5144776.8499999996</v>
      </c>
      <c r="D77" s="43">
        <v>13759.4</v>
      </c>
      <c r="E77" s="43">
        <v>29908.45</v>
      </c>
      <c r="F77" s="43">
        <v>14678.05</v>
      </c>
      <c r="G77" s="43">
        <v>3513.88</v>
      </c>
      <c r="H77" s="43">
        <v>304.63</v>
      </c>
      <c r="I77" s="43">
        <v>3456.82</v>
      </c>
      <c r="J77" s="43">
        <v>5112825.5199999996</v>
      </c>
      <c r="K77" s="43">
        <v>61802.720000000001</v>
      </c>
      <c r="L77" s="43">
        <v>39898.36</v>
      </c>
      <c r="M77" s="48">
        <f ca="1">'DCF Calc 2'!Q92</f>
        <v>39898.379999999997</v>
      </c>
      <c r="N77" s="43">
        <f ca="1">Loan_Level_Results4[[#This Row],[NPV]]-Loan_Level_Results4[[#This Row],[DCF CALC NPV]]</f>
        <v>-1.9999999996798579E-2</v>
      </c>
      <c r="O77" s="43">
        <f>Loan_Level_Results4[[#This Row],[Principal Payment]]+Loan_Level_Results4[[#This Row],[Interest]]</f>
        <v>43667.85</v>
      </c>
    </row>
    <row r="78" spans="1:15" x14ac:dyDescent="0.3">
      <c r="A78" s="45">
        <v>48182</v>
      </c>
      <c r="B78" s="44">
        <v>77</v>
      </c>
      <c r="C78" s="43">
        <v>5112825.5199999996</v>
      </c>
      <c r="D78" s="43">
        <v>14753.9</v>
      </c>
      <c r="E78" s="43">
        <v>28763.9</v>
      </c>
      <c r="F78" s="43">
        <v>14586.89</v>
      </c>
      <c r="G78" s="43">
        <v>3492.06</v>
      </c>
      <c r="H78" s="43">
        <v>302.74</v>
      </c>
      <c r="I78" s="43">
        <v>3436.27</v>
      </c>
      <c r="J78" s="43">
        <v>5079992.67</v>
      </c>
      <c r="K78" s="43">
        <v>61540.959999999999</v>
      </c>
      <c r="L78" s="43">
        <v>39504.51</v>
      </c>
      <c r="M78" s="48">
        <f ca="1">'DCF Calc 2'!Q93</f>
        <v>39504.54</v>
      </c>
      <c r="N78" s="43">
        <f ca="1">Loan_Level_Results4[[#This Row],[NPV]]-Loan_Level_Results4[[#This Row],[DCF CALC NPV]]</f>
        <v>-2.9999999998835847E-2</v>
      </c>
      <c r="O78" s="43">
        <f>Loan_Level_Results4[[#This Row],[Principal Payment]]+Loan_Level_Results4[[#This Row],[Interest]]</f>
        <v>43517.8</v>
      </c>
    </row>
    <row r="79" spans="1:15" x14ac:dyDescent="0.3">
      <c r="A79" s="45">
        <v>48213</v>
      </c>
      <c r="B79" s="44">
        <v>78</v>
      </c>
      <c r="C79" s="43">
        <v>5079992.67</v>
      </c>
      <c r="D79" s="43">
        <v>13828.24</v>
      </c>
      <c r="E79" s="43">
        <v>29531.83</v>
      </c>
      <c r="F79" s="43">
        <v>14493.22</v>
      </c>
      <c r="G79" s="43">
        <v>3469.63</v>
      </c>
      <c r="H79" s="43">
        <v>300.8</v>
      </c>
      <c r="I79" s="43">
        <v>3415.12</v>
      </c>
      <c r="J79" s="43">
        <v>5048201.58</v>
      </c>
      <c r="K79" s="43">
        <v>61268.41</v>
      </c>
      <c r="L79" s="43">
        <v>39099.56</v>
      </c>
      <c r="M79" s="48">
        <f ca="1">'DCF Calc 2'!Q94</f>
        <v>39099.589999999997</v>
      </c>
      <c r="N79" s="43">
        <f ca="1">Loan_Level_Results4[[#This Row],[NPV]]-Loan_Level_Results4[[#This Row],[DCF CALC NPV]]</f>
        <v>-2.9999999998835847E-2</v>
      </c>
      <c r="O79" s="43">
        <f>Loan_Level_Results4[[#This Row],[Principal Payment]]+Loan_Level_Results4[[#This Row],[Interest]]</f>
        <v>43360.07</v>
      </c>
    </row>
    <row r="80" spans="1:15" x14ac:dyDescent="0.3">
      <c r="A80" s="45">
        <v>48244</v>
      </c>
      <c r="B80" s="44">
        <v>79</v>
      </c>
      <c r="C80" s="43">
        <v>5048201.58</v>
      </c>
      <c r="D80" s="43">
        <v>13864.05</v>
      </c>
      <c r="E80" s="43">
        <v>29347.02</v>
      </c>
      <c r="F80" s="43">
        <v>14402.52</v>
      </c>
      <c r="G80" s="43">
        <v>3447.92</v>
      </c>
      <c r="H80" s="43">
        <v>298.91000000000003</v>
      </c>
      <c r="I80" s="43">
        <v>3394.68</v>
      </c>
      <c r="J80" s="43">
        <v>5016487.09</v>
      </c>
      <c r="K80" s="43">
        <v>61008.27</v>
      </c>
      <c r="L80" s="43">
        <v>38705.870000000003</v>
      </c>
      <c r="M80" s="48">
        <f ca="1">'DCF Calc 2'!Q95</f>
        <v>38705.89</v>
      </c>
      <c r="N80" s="43">
        <f ca="1">Loan_Level_Results4[[#This Row],[NPV]]-Loan_Level_Results4[[#This Row],[DCF CALC NPV]]</f>
        <v>-1.9999999996798579E-2</v>
      </c>
      <c r="O80" s="43">
        <f>Loan_Level_Results4[[#This Row],[Principal Payment]]+Loan_Level_Results4[[#This Row],[Interest]]</f>
        <v>43211.07</v>
      </c>
    </row>
    <row r="81" spans="1:15" x14ac:dyDescent="0.3">
      <c r="A81" s="45">
        <v>48273</v>
      </c>
      <c r="B81" s="44">
        <v>80</v>
      </c>
      <c r="C81" s="43">
        <v>5016487.09</v>
      </c>
      <c r="D81" s="43">
        <v>16722.12</v>
      </c>
      <c r="E81" s="43">
        <v>26340.46</v>
      </c>
      <c r="F81" s="43">
        <v>14312.04</v>
      </c>
      <c r="G81" s="43">
        <v>3426.26</v>
      </c>
      <c r="H81" s="43">
        <v>297.04000000000002</v>
      </c>
      <c r="I81" s="43">
        <v>3374.27</v>
      </c>
      <c r="J81" s="43">
        <v>4982026.67</v>
      </c>
      <c r="K81" s="43">
        <v>60748.89</v>
      </c>
      <c r="L81" s="43">
        <v>38337.67</v>
      </c>
      <c r="M81" s="48">
        <f ca="1">'DCF Calc 2'!Q96</f>
        <v>38337.699999999997</v>
      </c>
      <c r="N81" s="43">
        <f ca="1">Loan_Level_Results4[[#This Row],[NPV]]-Loan_Level_Results4[[#This Row],[DCF CALC NPV]]</f>
        <v>-2.9999999998835847E-2</v>
      </c>
      <c r="O81" s="43">
        <f>Loan_Level_Results4[[#This Row],[Principal Payment]]+Loan_Level_Results4[[#This Row],[Interest]]</f>
        <v>43062.58</v>
      </c>
    </row>
    <row r="82" spans="1:15" x14ac:dyDescent="0.3">
      <c r="A82" s="45">
        <v>48304</v>
      </c>
      <c r="B82" s="44">
        <v>81</v>
      </c>
      <c r="C82" s="43">
        <v>4982026.67</v>
      </c>
      <c r="D82" s="43">
        <v>13927.98</v>
      </c>
      <c r="E82" s="43">
        <v>28962.32</v>
      </c>
      <c r="F82" s="43">
        <v>14213.72</v>
      </c>
      <c r="G82" s="43">
        <v>3402.72</v>
      </c>
      <c r="H82" s="43">
        <v>295</v>
      </c>
      <c r="I82" s="43">
        <v>3352.03</v>
      </c>
      <c r="J82" s="43">
        <v>4950482.25</v>
      </c>
      <c r="K82" s="43">
        <v>60456.05</v>
      </c>
      <c r="L82" s="43">
        <v>37929.75</v>
      </c>
      <c r="M82" s="48">
        <f ca="1">'DCF Calc 2'!Q97</f>
        <v>37929.769999999997</v>
      </c>
      <c r="N82" s="43">
        <f ca="1">Loan_Level_Results4[[#This Row],[NPV]]-Loan_Level_Results4[[#This Row],[DCF CALC NPV]]</f>
        <v>-1.9999999996798579E-2</v>
      </c>
      <c r="O82" s="43">
        <f>Loan_Level_Results4[[#This Row],[Principal Payment]]+Loan_Level_Results4[[#This Row],[Interest]]</f>
        <v>42890.3</v>
      </c>
    </row>
    <row r="83" spans="1:15" x14ac:dyDescent="0.3">
      <c r="A83" s="45">
        <v>48334</v>
      </c>
      <c r="B83" s="44">
        <v>82</v>
      </c>
      <c r="C83" s="43">
        <v>4950482.25</v>
      </c>
      <c r="D83" s="43">
        <v>14892.31</v>
      </c>
      <c r="E83" s="43">
        <v>27850.59</v>
      </c>
      <c r="F83" s="43">
        <v>14123.73</v>
      </c>
      <c r="G83" s="43">
        <v>3381.18</v>
      </c>
      <c r="H83" s="43">
        <v>293.13</v>
      </c>
      <c r="I83" s="43">
        <v>3331.75</v>
      </c>
      <c r="J83" s="43">
        <v>4918085.03</v>
      </c>
      <c r="K83" s="43">
        <v>60198.38</v>
      </c>
      <c r="L83" s="43">
        <v>37554.33</v>
      </c>
      <c r="M83" s="48">
        <f ca="1">'DCF Calc 2'!Q98</f>
        <v>37554.35</v>
      </c>
      <c r="N83" s="43">
        <f ca="1">Loan_Level_Results4[[#This Row],[NPV]]-Loan_Level_Results4[[#This Row],[DCF CALC NPV]]</f>
        <v>-1.9999999996798579E-2</v>
      </c>
      <c r="O83" s="43">
        <f>Loan_Level_Results4[[#This Row],[Principal Payment]]+Loan_Level_Results4[[#This Row],[Interest]]</f>
        <v>42742.9</v>
      </c>
    </row>
    <row r="84" spans="1:15" x14ac:dyDescent="0.3">
      <c r="A84" s="45">
        <v>48365</v>
      </c>
      <c r="B84" s="44">
        <v>83</v>
      </c>
      <c r="C84" s="43">
        <v>4918085.03</v>
      </c>
      <c r="D84" s="43">
        <v>13997.37</v>
      </c>
      <c r="E84" s="43">
        <v>28590.6</v>
      </c>
      <c r="F84" s="43">
        <v>14031.3</v>
      </c>
      <c r="G84" s="43">
        <v>3359.05</v>
      </c>
      <c r="H84" s="43">
        <v>291.20999999999998</v>
      </c>
      <c r="I84" s="43">
        <v>3310.88</v>
      </c>
      <c r="J84" s="43">
        <v>4886697.3099999996</v>
      </c>
      <c r="K84" s="43">
        <v>59930.15</v>
      </c>
      <c r="L84" s="43">
        <v>37168.36</v>
      </c>
      <c r="M84" s="48">
        <f ca="1">'DCF Calc 2'!Q99</f>
        <v>37168.379999999997</v>
      </c>
      <c r="N84" s="43">
        <f ca="1">Loan_Level_Results4[[#This Row],[NPV]]-Loan_Level_Results4[[#This Row],[DCF CALC NPV]]</f>
        <v>-1.9999999996798579E-2</v>
      </c>
      <c r="O84" s="43">
        <f>Loan_Level_Results4[[#This Row],[Principal Payment]]+Loan_Level_Results4[[#This Row],[Interest]]</f>
        <v>42587.97</v>
      </c>
    </row>
    <row r="85" spans="1:15" x14ac:dyDescent="0.3">
      <c r="A85" s="45">
        <v>48395</v>
      </c>
      <c r="B85" s="44">
        <v>84</v>
      </c>
      <c r="C85" s="43">
        <v>4886697.3099999996</v>
      </c>
      <c r="D85" s="43">
        <v>14949.87</v>
      </c>
      <c r="E85" s="43">
        <v>27491.74</v>
      </c>
      <c r="F85" s="43">
        <v>13941.75</v>
      </c>
      <c r="G85" s="43">
        <v>3337.61</v>
      </c>
      <c r="H85" s="43">
        <v>289.35000000000002</v>
      </c>
      <c r="I85" s="43">
        <v>3290.71</v>
      </c>
      <c r="J85" s="43">
        <v>4854468.08</v>
      </c>
      <c r="K85" s="43">
        <v>59674.07</v>
      </c>
      <c r="L85" s="43">
        <v>36800.07</v>
      </c>
      <c r="M85" s="48">
        <f ca="1">'DCF Calc 2'!Q100</f>
        <v>36800.1</v>
      </c>
      <c r="N85" s="43">
        <f ca="1">Loan_Level_Results4[[#This Row],[NPV]]-Loan_Level_Results4[[#This Row],[DCF CALC NPV]]</f>
        <v>-2.9999999998835847E-2</v>
      </c>
      <c r="O85" s="43">
        <f>Loan_Level_Results4[[#This Row],[Principal Payment]]+Loan_Level_Results4[[#This Row],[Interest]]</f>
        <v>42441.61</v>
      </c>
    </row>
    <row r="86" spans="1:15" x14ac:dyDescent="0.3">
      <c r="A86" s="45">
        <v>48426</v>
      </c>
      <c r="B86" s="44">
        <v>85</v>
      </c>
      <c r="C86" s="43">
        <v>4854468.08</v>
      </c>
      <c r="D86" s="43">
        <v>14066.98</v>
      </c>
      <c r="E86" s="43">
        <v>28220.78</v>
      </c>
      <c r="F86" s="43">
        <v>13849.8</v>
      </c>
      <c r="G86" s="43">
        <v>3315.6</v>
      </c>
      <c r="H86" s="43">
        <v>287.44</v>
      </c>
      <c r="I86" s="43">
        <v>3269.96</v>
      </c>
      <c r="J86" s="43">
        <v>4823235.7</v>
      </c>
      <c r="K86" s="43">
        <v>59407.519999999997</v>
      </c>
      <c r="L86" s="43">
        <v>36421.449999999997</v>
      </c>
      <c r="M86" s="48">
        <f ca="1">'DCF Calc 2'!Q101</f>
        <v>36421.47</v>
      </c>
      <c r="N86" s="43">
        <f ca="1">Loan_Level_Results4[[#This Row],[NPV]]-Loan_Level_Results4[[#This Row],[DCF CALC NPV]]</f>
        <v>-2.0000000004074536E-2</v>
      </c>
      <c r="O86" s="43">
        <f>Loan_Level_Results4[[#This Row],[Principal Payment]]+Loan_Level_Results4[[#This Row],[Interest]]</f>
        <v>42287.759999999995</v>
      </c>
    </row>
    <row r="87" spans="1:15" x14ac:dyDescent="0.3">
      <c r="A87" s="45">
        <v>48457</v>
      </c>
      <c r="B87" s="44">
        <v>86</v>
      </c>
      <c r="C87" s="43">
        <v>4823235.7</v>
      </c>
      <c r="D87" s="43">
        <v>14103.21</v>
      </c>
      <c r="E87" s="43">
        <v>28039.21</v>
      </c>
      <c r="F87" s="43">
        <v>13760.69</v>
      </c>
      <c r="G87" s="43">
        <v>3294.27</v>
      </c>
      <c r="H87" s="43">
        <v>285.58999999999997</v>
      </c>
      <c r="I87" s="43">
        <v>3249.87</v>
      </c>
      <c r="J87" s="43">
        <v>4792077.53</v>
      </c>
      <c r="K87" s="43">
        <v>59152.98</v>
      </c>
      <c r="L87" s="43">
        <v>36053.32</v>
      </c>
      <c r="M87" s="48">
        <f ca="1">'DCF Calc 2'!Q102</f>
        <v>36053.339999999997</v>
      </c>
      <c r="N87" s="43">
        <f ca="1">Loan_Level_Results4[[#This Row],[NPV]]-Loan_Level_Results4[[#This Row],[DCF CALC NPV]]</f>
        <v>-1.9999999996798579E-2</v>
      </c>
      <c r="O87" s="43">
        <f>Loan_Level_Results4[[#This Row],[Principal Payment]]+Loan_Level_Results4[[#This Row],[Interest]]</f>
        <v>42142.42</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2'!Q103</f>
        <v>35695.49</v>
      </c>
      <c r="N88" s="43">
        <f ca="1">Loan_Level_Results4[[#This Row],[NPV]]-Loan_Level_Results4[[#This Row],[DCF CALC NPV]]</f>
        <v>-1.9999999996798579E-2</v>
      </c>
      <c r="O88" s="43">
        <f>Loan_Level_Results4[[#This Row],[Principal Payment]]+Loan_Level_Results4[[#This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2'!Q104</f>
        <v>35327.629999999997</v>
      </c>
      <c r="N89" s="43">
        <f ca="1">Loan_Level_Results4[[#This Row],[NPV]]-Loan_Level_Results4[[#This Row],[DCF CALC NPV]]</f>
        <v>-1.9999999996798579E-2</v>
      </c>
      <c r="O89" s="43">
        <f>Loan_Level_Results4[[#This Row],[Principal Payment]]+Loan_Level_Results4[[#This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2'!Q105</f>
        <v>34976.58</v>
      </c>
      <c r="N90" s="43">
        <f ca="1">Loan_Level_Results4[[#This Row],[NPV]]-Loan_Level_Results4[[#This Row],[DCF CALC NPV]]</f>
        <v>-2.0000000004074536E-2</v>
      </c>
      <c r="O90" s="43">
        <f>Loan_Level_Results4[[#This Row],[Principal Payment]]+Loan_Level_Results4[[#This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2'!Q106</f>
        <v>34615.730000000003</v>
      </c>
      <c r="N91" s="43">
        <f ca="1">Loan_Level_Results4[[#This Row],[NPV]]-Loan_Level_Results4[[#This Row],[DCF CALC NPV]]</f>
        <v>-3.0000000006111804E-2</v>
      </c>
      <c r="O91" s="43">
        <f>Loan_Level_Results4[[#This Row],[Principal Payment]]+Loan_Level_Results4[[#This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2'!Q107</f>
        <v>34264.879999999997</v>
      </c>
      <c r="N92" s="43">
        <f ca="1">Loan_Level_Results4[[#This Row],[NPV]]-Loan_Level_Results4[[#This Row],[DCF CALC NPV]]</f>
        <v>-1.9999999996798579E-2</v>
      </c>
      <c r="O92" s="43">
        <f>Loan_Level_Results4[[#This Row],[Principal Payment]]+Loan_Level_Results4[[#This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2'!Q108</f>
        <v>33936.629999999997</v>
      </c>
      <c r="N93" s="43">
        <f ca="1">Loan_Level_Results4[[#This Row],[NPV]]-Loan_Level_Results4[[#This Row],[DCF CALC NPV]]</f>
        <v>-1.9999999996798579E-2</v>
      </c>
      <c r="O93" s="43">
        <f>Loan_Level_Results4[[#This Row],[Principal Payment]]+Loan_Level_Results4[[#This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2'!Q109</f>
        <v>33573.230000000003</v>
      </c>
      <c r="N94" s="43">
        <f ca="1">Loan_Level_Results4[[#This Row],[NPV]]-Loan_Level_Results4[[#This Row],[DCF CALC NPV]]</f>
        <v>-2.0000000004074536E-2</v>
      </c>
      <c r="O94" s="43">
        <f>Loan_Level_Results4[[#This Row],[Principal Payment]]+Loan_Level_Results4[[#This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2'!Q110</f>
        <v>33238.639999999999</v>
      </c>
      <c r="N95" s="43">
        <f ca="1">Loan_Level_Results4[[#This Row],[NPV]]-Loan_Level_Results4[[#This Row],[DCF CALC NPV]]</f>
        <v>-1.9999999996798579E-2</v>
      </c>
      <c r="O95" s="43">
        <f>Loan_Level_Results4[[#This Row],[Principal Payment]]+Loan_Level_Results4[[#This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2'!Q111</f>
        <v>32894.75</v>
      </c>
      <c r="N96" s="43">
        <f ca="1">Loan_Level_Results4[[#This Row],[NPV]]-Loan_Level_Results4[[#This Row],[DCF CALC NPV]]</f>
        <v>-2.9999999998835847E-2</v>
      </c>
      <c r="O96" s="43">
        <f>Loan_Level_Results4[[#This Row],[Principal Payment]]+Loan_Level_Results4[[#This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2'!Q112</f>
        <v>32566.51</v>
      </c>
      <c r="N97" s="43">
        <f ca="1">Loan_Level_Results4[[#This Row],[NPV]]-Loan_Level_Results4[[#This Row],[DCF CALC NPV]]</f>
        <v>-1.9999999996798579E-2</v>
      </c>
      <c r="O97" s="43">
        <f>Loan_Level_Results4[[#This Row],[Principal Payment]]+Loan_Level_Results4[[#This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2'!Q113</f>
        <v>32229.19</v>
      </c>
      <c r="N98" s="43">
        <f ca="1">Loan_Level_Results4[[#This Row],[NPV]]-Loan_Level_Results4[[#This Row],[DCF CALC NPV]]</f>
        <v>-2.9999999998835847E-2</v>
      </c>
      <c r="O98" s="43">
        <f>Loan_Level_Results4[[#This Row],[Principal Payment]]+Loan_Level_Results4[[#This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2'!Q114</f>
        <v>31901.17</v>
      </c>
      <c r="N99" s="43">
        <f ca="1">Loan_Level_Results4[[#This Row],[NPV]]-Loan_Level_Results4[[#This Row],[DCF CALC NPV]]</f>
        <v>-1.9999999996798579E-2</v>
      </c>
      <c r="O99" s="43">
        <f>Loan_Level_Results4[[#This Row],[Principal Payment]]+Loan_Level_Results4[[#This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2'!Q115</f>
        <v>31582.27</v>
      </c>
      <c r="N100" s="43">
        <f ca="1">Loan_Level_Results4[[#This Row],[NPV]]-Loan_Level_Results4[[#This Row],[DCF CALC NPV]]</f>
        <v>-2.9999999998835847E-2</v>
      </c>
      <c r="O100" s="43">
        <f>Loan_Level_Results4[[#This Row],[Principal Payment]]+Loan_Level_Results4[[#This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2'!Q116</f>
        <v>31254.55</v>
      </c>
      <c r="N101" s="43">
        <f ca="1">Loan_Level_Results4[[#This Row],[NPV]]-Loan_Level_Results4[[#This Row],[DCF CALC NPV]]</f>
        <v>-2.0000000000436557E-2</v>
      </c>
      <c r="O101" s="43">
        <f>Loan_Level_Results4[[#This Row],[Principal Payment]]+Loan_Level_Results4[[#This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2'!Q117</f>
        <v>30941.72</v>
      </c>
      <c r="N102" s="43">
        <f ca="1">Loan_Level_Results4[[#This Row],[NPV]]-Loan_Level_Results4[[#This Row],[DCF CALC NPV]]</f>
        <v>-2.0000000000436557E-2</v>
      </c>
      <c r="O102" s="43">
        <f>Loan_Level_Results4[[#This Row],[Principal Payment]]+Loan_Level_Results4[[#This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2'!Q118</f>
        <v>30620.26</v>
      </c>
      <c r="N103" s="43">
        <f ca="1">Loan_Level_Results4[[#This Row],[NPV]]-Loan_Level_Results4[[#This Row],[DCF CALC NPV]]</f>
        <v>-1.9999999996798579E-2</v>
      </c>
      <c r="O103" s="43">
        <f>Loan_Level_Results4[[#This Row],[Principal Payment]]+Loan_Level_Results4[[#This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2'!Q119</f>
        <v>30307.67</v>
      </c>
      <c r="N104" s="43">
        <f ca="1">Loan_Level_Results4[[#This Row],[NPV]]-Loan_Level_Results4[[#This Row],[DCF CALC NPV]]</f>
        <v>-2.9999999998835847E-2</v>
      </c>
      <c r="O104" s="43">
        <f>Loan_Level_Results4[[#This Row],[Principal Payment]]+Loan_Level_Results4[[#This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2'!Q120</f>
        <v>30015.1</v>
      </c>
      <c r="N105" s="43">
        <f ca="1">Loan_Level_Results4[[#This Row],[NPV]]-Loan_Level_Results4[[#This Row],[DCF CALC NPV]]</f>
        <v>-2.9999999998835847E-2</v>
      </c>
      <c r="O105" s="43">
        <f>Loan_Level_Results4[[#This Row],[Principal Payment]]+Loan_Level_Results4[[#This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2'!Q121</f>
        <v>29691.47</v>
      </c>
      <c r="N106" s="43">
        <f ca="1">Loan_Level_Results4[[#This Row],[NPV]]-Loan_Level_Results4[[#This Row],[DCF CALC NPV]]</f>
        <v>-2.0000000000436557E-2</v>
      </c>
      <c r="O106" s="43">
        <f>Loan_Level_Results4[[#This Row],[Principal Payment]]+Loan_Level_Results4[[#This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2'!Q122</f>
        <v>29393.33</v>
      </c>
      <c r="N107" s="43">
        <f ca="1">Loan_Level_Results4[[#This Row],[NPV]]-Loan_Level_Results4[[#This Row],[DCF CALC NPV]]</f>
        <v>-2.0000000000436557E-2</v>
      </c>
      <c r="O107" s="43">
        <f>Loan_Level_Results4[[#This Row],[Principal Payment]]+Loan_Level_Results4[[#This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2'!Q123</f>
        <v>29087.01</v>
      </c>
      <c r="N108" s="43">
        <f ca="1">Loan_Level_Results4[[#This Row],[NPV]]-Loan_Level_Results4[[#This Row],[DCF CALC NPV]]</f>
        <v>-1.9999999996798579E-2</v>
      </c>
      <c r="O108" s="43">
        <f>Loan_Level_Results4[[#This Row],[Principal Payment]]+Loan_Level_Results4[[#This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2'!Q124</f>
        <v>28794.57</v>
      </c>
      <c r="N109" s="43">
        <f ca="1">Loan_Level_Results4[[#This Row],[NPV]]-Loan_Level_Results4[[#This Row],[DCF CALC NPV]]</f>
        <v>-2.0000000000436557E-2</v>
      </c>
      <c r="O109" s="43">
        <f>Loan_Level_Results4[[#This Row],[Principal Payment]]+Loan_Level_Results4[[#This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2'!Q125</f>
        <v>28494.1</v>
      </c>
      <c r="N110" s="43">
        <f ca="1">Loan_Level_Results4[[#This Row],[NPV]]-Loan_Level_Results4[[#This Row],[DCF CALC NPV]]</f>
        <v>-1.9999999996798579E-2</v>
      </c>
      <c r="O110" s="43">
        <f>Loan_Level_Results4[[#This Row],[Principal Payment]]+Loan_Level_Results4[[#This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2'!Q126</f>
        <v>28201.91</v>
      </c>
      <c r="N111" s="43">
        <f ca="1">Loan_Level_Results4[[#This Row],[NPV]]-Loan_Level_Results4[[#This Row],[DCF CALC NPV]]</f>
        <v>-2.0000000000436557E-2</v>
      </c>
      <c r="O111" s="43">
        <f>Loan_Level_Results4[[#This Row],[Principal Payment]]+Loan_Level_Results4[[#This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2'!Q127</f>
        <v>27917.81</v>
      </c>
      <c r="N112" s="43">
        <f ca="1">Loan_Level_Results4[[#This Row],[NPV]]-Loan_Level_Results4[[#This Row],[DCF CALC NPV]]</f>
        <v>-2.0000000000436557E-2</v>
      </c>
      <c r="O112" s="43">
        <f>Loan_Level_Results4[[#This Row],[Principal Payment]]+Loan_Level_Results4[[#This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2'!Q128</f>
        <v>27625.93</v>
      </c>
      <c r="N113" s="43">
        <f ca="1">Loan_Level_Results4[[#This Row],[NPV]]-Loan_Level_Results4[[#This Row],[DCF CALC NPV]]</f>
        <v>-2.9999999998835847E-2</v>
      </c>
      <c r="O113" s="43">
        <f>Loan_Level_Results4[[#This Row],[Principal Payment]]+Loan_Level_Results4[[#This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2'!Q129</f>
        <v>27347.24</v>
      </c>
      <c r="N114" s="43">
        <f ca="1">Loan_Level_Results4[[#This Row],[NPV]]-Loan_Level_Results4[[#This Row],[DCF CALC NPV]]</f>
        <v>-2.0000000000436557E-2</v>
      </c>
      <c r="O114" s="43">
        <f>Loan_Level_Results4[[#This Row],[Principal Payment]]+Loan_Level_Results4[[#This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2'!Q130</f>
        <v>27060.95</v>
      </c>
      <c r="N115" s="43">
        <f ca="1">Loan_Level_Results4[[#This Row],[NPV]]-Loan_Level_Results4[[#This Row],[DCF CALC NPV]]</f>
        <v>-2.0000000000436557E-2</v>
      </c>
      <c r="O115" s="43">
        <f>Loan_Level_Results4[[#This Row],[Principal Payment]]+Loan_Level_Results4[[#This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2'!Q131</f>
        <v>2043357.11</v>
      </c>
      <c r="N116" s="43">
        <f ca="1">Loan_Level_Results4[[#This Row],[NPV]]-Loan_Level_Results4[[#This Row],[DCF CALC NPV]]</f>
        <v>-1.6700000001583248</v>
      </c>
      <c r="O116" s="43">
        <f>Loan_Level_Results4[[#This Row],[Principal Payment]]+Loan_Level_Results4[[#This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2'!Q132</f>
        <v>1365.18</v>
      </c>
      <c r="N117" s="43">
        <f ca="1">Loan_Level_Results4[[#This Row],[NPV]]-Loan_Level_Results4[[#This Row],[DCF CALC NPV]]</f>
        <v>-8.0000000000154614E-2</v>
      </c>
      <c r="O117" s="43">
        <f>Loan_Level_Results4[[#This Row],[Principal Payment]]+Loan_Level_Results4[[#This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2'!Q133</f>
        <v>1346.95</v>
      </c>
      <c r="N118" s="43">
        <f ca="1">Loan_Level_Results4[[#This Row],[NPV]]-Loan_Level_Results4[[#This Row],[DCF CALC NPV]]</f>
        <v>5.999999999994543E-2</v>
      </c>
      <c r="O118" s="43">
        <f>Loan_Level_Results4[[#This Row],[Principal Payment]]+Loan_Level_Results4[[#This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2'!Q134</f>
        <v>1329.91</v>
      </c>
      <c r="N119" s="43">
        <f ca="1">Loan_Level_Results4[[#This Row],[NPV]]-Loan_Level_Results4[[#This Row],[DCF CALC NPV]]</f>
        <v>-4.0000000000190994E-2</v>
      </c>
      <c r="O119" s="43">
        <f>Loan_Level_Results4[[#This Row],[Principal Payment]]+Loan_Level_Results4[[#This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2'!Q135</f>
        <v>1312.56</v>
      </c>
      <c r="N120" s="43">
        <f ca="1">Loan_Level_Results4[[#This Row],[NPV]]-Loan_Level_Results4[[#This Row],[DCF CALC NPV]]</f>
        <v>0.10000000000013642</v>
      </c>
      <c r="O120" s="43">
        <f>Loan_Level_Results4[[#This Row],[Principal Payment]]+Loan_Level_Results4[[#This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2'!Q136</f>
        <v>1295.8699999999999</v>
      </c>
      <c r="N121" s="43">
        <f ca="1">Loan_Level_Results4[[#This Row],[NPV]]-Loan_Level_Results4[[#This Row],[DCF CALC NPV]]</f>
        <v>0</v>
      </c>
      <c r="O121" s="43">
        <f>Loan_Level_Results4[[#This Row],[Principal Payment]]+Loan_Level_Results4[[#This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2'!Q137</f>
        <v>1278.8699999999999</v>
      </c>
      <c r="N122" s="43">
        <f ca="1">Loan_Level_Results4[[#This Row],[NPV]]-Loan_Level_Results4[[#This Row],[DCF CALC NPV]]</f>
        <v>0.14000000000010004</v>
      </c>
      <c r="O122" s="43">
        <f>Loan_Level_Results4[[#This Row],[Principal Payment]]+Loan_Level_Results4[[#This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2'!Q138</f>
        <v>1262.29</v>
      </c>
      <c r="N123" s="43">
        <f ca="1">Loan_Level_Results4[[#This Row],[NPV]]-Loan_Level_Results4[[#This Row],[DCF CALC NPV]]</f>
        <v>0.27999999999997272</v>
      </c>
      <c r="O123" s="43">
        <f>Loan_Level_Results4[[#This Row],[Principal Payment]]+Loan_Level_Results4[[#This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2'!Q139</f>
        <v>1246.1099999999999</v>
      </c>
      <c r="N124" s="43">
        <f ca="1">Loan_Level_Results4[[#This Row],[NPV]]-Loan_Level_Results4[[#This Row],[DCF CALC NPV]]</f>
        <v>0.18000000000006366</v>
      </c>
      <c r="O124" s="43">
        <f>Loan_Level_Results4[[#This Row],[Principal Payment]]+Loan_Level_Results4[[#This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2'!Q140</f>
        <v>1229.6300000000001</v>
      </c>
      <c r="N125" s="43">
        <f ca="1">Loan_Level_Results4[[#This Row],[NPV]]-Loan_Level_Results4[[#This Row],[DCF CALC NPV]]</f>
        <v>0.30999999999994543</v>
      </c>
      <c r="O125" s="43">
        <f>Loan_Level_Results4[[#This Row],[Principal Payment]]+Loan_Level_Results4[[#This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2'!Q141</f>
        <v>1213.78</v>
      </c>
      <c r="N126" s="43">
        <f ca="1">Loan_Level_Results4[[#This Row],[NPV]]-Loan_Level_Results4[[#This Row],[DCF CALC NPV]]</f>
        <v>0.21000000000003638</v>
      </c>
      <c r="O126" s="43">
        <f>Loan_Level_Results4[[#This Row],[Principal Payment]]+Loan_Level_Results4[[#This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2'!Q142</f>
        <v>1197.6400000000001</v>
      </c>
      <c r="N127" s="43">
        <f ca="1">Loan_Level_Results4[[#This Row],[NPV]]-Loan_Level_Results4[[#This Row],[DCF CALC NPV]]</f>
        <v>0.33999999999991815</v>
      </c>
      <c r="O127" s="43">
        <f>Loan_Level_Results4[[#This Row],[Principal Payment]]+Loan_Level_Results4[[#This Row],[Interest]]</f>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CC8CD-FA2D-4BDA-8BBE-C7C28A5F9120}">
  <sheetPr codeName="Sheet6">
    <pageSetUpPr autoPageBreaks="0" fitToPage="1"/>
  </sheetPr>
  <dimension ref="B2:T385"/>
  <sheetViews>
    <sheetView tabSelected="1" zoomScaleNormal="100" workbookViewId="0">
      <selection activeCell="C8" sqref="C8"/>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7412919.25</v>
      </c>
      <c r="D2" s="7" t="s">
        <v>1</v>
      </c>
      <c r="E2" s="24"/>
      <c r="F2" s="24"/>
      <c r="G2" s="24"/>
      <c r="I2" s="58" t="s">
        <v>9</v>
      </c>
      <c r="J2" s="58"/>
      <c r="L2" s="7" t="s">
        <v>10</v>
      </c>
      <c r="M2" s="12">
        <f ca="1">SUM(Table157[Present Value])</f>
        <v>7373329.5399999991</v>
      </c>
    </row>
    <row r="3" spans="2:20" ht="12" x14ac:dyDescent="0.25">
      <c r="B3" s="7" t="s">
        <v>11</v>
      </c>
      <c r="C3" s="13" t="s">
        <v>12</v>
      </c>
      <c r="D3" s="7" t="s">
        <v>13</v>
      </c>
      <c r="E3" s="25"/>
      <c r="F3" s="25"/>
      <c r="G3" s="25"/>
      <c r="H3" s="20"/>
      <c r="I3" s="8" t="s">
        <v>14</v>
      </c>
      <c r="J3" s="11">
        <f>(IF(ISNUMBER(SEARCH("360",C7)),365/360,1))</f>
        <v>1.0138888888888888</v>
      </c>
      <c r="K3" s="8"/>
      <c r="L3" s="7" t="s">
        <v>15</v>
      </c>
      <c r="M3" s="16">
        <v>-11822.35</v>
      </c>
    </row>
    <row r="4" spans="2:20" ht="12" x14ac:dyDescent="0.25">
      <c r="B4" s="7" t="s">
        <v>16</v>
      </c>
      <c r="C4" s="31">
        <f>E10-E9+1</f>
        <v>75</v>
      </c>
      <c r="D4" s="7" t="s">
        <v>2</v>
      </c>
      <c r="E4" s="26"/>
      <c r="F4" s="26"/>
      <c r="G4" s="26"/>
      <c r="H4" s="8"/>
      <c r="I4" s="8" t="s">
        <v>17</v>
      </c>
      <c r="J4" s="9">
        <f>(1+C5*AmortizationMultiplier/12)^(12)-1</f>
        <v>3.5545441581335879E-2</v>
      </c>
      <c r="K4" s="8"/>
      <c r="L4" s="7" t="s">
        <v>18</v>
      </c>
      <c r="M4" s="12">
        <f ca="1">C2+M3-M2</f>
        <v>27767.360000001267</v>
      </c>
    </row>
    <row r="5" spans="2:20" ht="12" x14ac:dyDescent="0.25">
      <c r="B5" s="7" t="s">
        <v>19</v>
      </c>
      <c r="C5" s="14">
        <v>3.4500000000000003E-2</v>
      </c>
      <c r="D5" s="6"/>
      <c r="H5" s="7" t="s">
        <v>20</v>
      </c>
      <c r="I5" s="8" t="s">
        <v>21</v>
      </c>
      <c r="J5" s="9">
        <v>0</v>
      </c>
      <c r="K5" s="10"/>
      <c r="L5" s="7" t="s">
        <v>22</v>
      </c>
      <c r="M5" s="9">
        <f ca="1">M4/C2</f>
        <v>3.7458063501772621E-3</v>
      </c>
    </row>
    <row r="6" spans="2:20" ht="12" x14ac:dyDescent="0.25">
      <c r="B6" s="7" t="s">
        <v>23</v>
      </c>
      <c r="C6" s="16">
        <v>41265.5</v>
      </c>
      <c r="D6" s="7" t="s">
        <v>24</v>
      </c>
      <c r="E6" s="15">
        <v>3.3700000000000001E-2</v>
      </c>
      <c r="F6" s="27"/>
      <c r="G6" s="27"/>
      <c r="H6" s="7" t="s">
        <v>20</v>
      </c>
      <c r="I6" s="8" t="s">
        <v>25</v>
      </c>
      <c r="J6" s="15">
        <v>3.5904999999999999E-2</v>
      </c>
      <c r="K6" s="9">
        <f>(1+J6/12)^(12)-1</f>
        <v>3.6501802099483838E-2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27775.96</v>
      </c>
      <c r="O7" s="21"/>
    </row>
    <row r="8" spans="2:20" ht="12" x14ac:dyDescent="0.25">
      <c r="B8" s="7" t="s">
        <v>30</v>
      </c>
      <c r="C8" s="31" t="s">
        <v>31</v>
      </c>
      <c r="D8" s="7" t="s">
        <v>32</v>
      </c>
      <c r="E8" s="14">
        <v>2.0799999999999999E-2</v>
      </c>
      <c r="F8" s="24"/>
      <c r="G8" s="28"/>
      <c r="H8" s="7" t="s">
        <v>33</v>
      </c>
      <c r="I8" s="13" t="s">
        <v>34</v>
      </c>
      <c r="J8" s="15">
        <f>J6</f>
        <v>3.5904999999999999E-2</v>
      </c>
      <c r="K8" s="8"/>
      <c r="L8" s="7" t="s">
        <v>35</v>
      </c>
      <c r="M8" s="42">
        <f ca="1">M4-M7</f>
        <v>-8.5999999987325282</v>
      </c>
      <c r="O8" s="21"/>
    </row>
    <row r="9" spans="2:20" ht="12" x14ac:dyDescent="0.25">
      <c r="B9" s="7" t="s">
        <v>36</v>
      </c>
      <c r="C9" s="31" t="s">
        <v>31</v>
      </c>
      <c r="D9" s="7" t="s">
        <v>37</v>
      </c>
      <c r="E9" s="51">
        <v>12</v>
      </c>
      <c r="F9" s="8"/>
      <c r="G9" s="8"/>
      <c r="L9" s="7" t="s">
        <v>38</v>
      </c>
      <c r="M9" s="41">
        <f ca="1">M8/M4</f>
        <v>-3.0971615590146619E-4</v>
      </c>
      <c r="O9" s="21"/>
    </row>
    <row r="10" spans="2:20" ht="12" x14ac:dyDescent="0.25">
      <c r="B10" s="7" t="s">
        <v>39</v>
      </c>
      <c r="C10" s="31" t="s">
        <v>40</v>
      </c>
      <c r="D10" s="7" t="s">
        <v>41</v>
      </c>
      <c r="E10" s="52">
        <v>86</v>
      </c>
      <c r="G10" s="32"/>
      <c r="J10" s="37"/>
      <c r="K10" s="19"/>
      <c r="L10" s="8"/>
      <c r="M10" s="8"/>
      <c r="O10" s="21"/>
      <c r="Q10" s="3"/>
    </row>
    <row r="11" spans="2:20" ht="13.8" x14ac:dyDescent="0.3">
      <c r="B11" s="7" t="s">
        <v>42</v>
      </c>
      <c r="C11" s="31" t="s">
        <v>40</v>
      </c>
      <c r="D11" s="7" t="s">
        <v>43</v>
      </c>
      <c r="E11" s="47">
        <v>772102217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255</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7412919.25</v>
      </c>
      <c r="E17" s="55">
        <f>ROUND(Table157[[#This Row],[Beginning Balance]]*Table157[[#This Row],[Monthly Interest Rate]],2)</f>
        <v>22022.55</v>
      </c>
      <c r="F17" s="4">
        <f>+C14</f>
        <v>255</v>
      </c>
      <c r="G17" s="4">
        <f>IFERROR(IF($C$13="No","N/A",IF(Table157[[#This Row],[Period]]=1,$C$6,PMT(InterestRate*AmortizationMultiplier/12,Table157[[#This Row],[Am Thru]],-Table157[[#This Row],[Beginning Balance]]))),0)</f>
        <v>41265.5</v>
      </c>
      <c r="H17" s="55">
        <f>MAX(0,IF(C17=$C$4,D17,ROUND(IF($C$3="Fixed Principal",$C$6-Table157[[#This Row],[Interest]],IF($C$3="Interest Only",Table157[[#This Row],[Beginning Balance]]*ROUND(1-(1-IF($C$11="No",$E$8,1))^(1/12),6),MIN(IF($C$13="Yes",Table157[[#This Row],[Payment Amount (Reamortized)]],$C$6)-Table157[[#This Row],[Interest]],Table157[[#This Row],[Beginning Balance]]))),2)))</f>
        <v>19242.95</v>
      </c>
      <c r="I17" s="4">
        <f>IF($C$3="Interest Only",0,ROUND(MAX(MIN(IF($C$10="No",$E$7,VLOOKUP(Table157[[#This Row],[Period]],Forecast!$H$2:$L$1048576,4,FALSE))*Table157[[#This Row],[Beginning Balance]],Table157[[#This Row],[Beginning Balance]]-Table157[[#This Row],[Principal]]),0),2))</f>
        <v>21149.06</v>
      </c>
      <c r="J17" s="4">
        <f>ROUND(MIN(Table157[[#This Row],[Beginning Balance]]*IF($C$8="No",$E$3,VLOOKUP(Table157[[#This Row],[Period]],Forecast!$H$2:$L$1048576,2,FALSE)),Table157[[#This Row],[Beginning Balance]]-Table157[[#This Row],[Principal]]-Table157[[#This Row],[Prepayments]]),2)</f>
        <v>3372.88</v>
      </c>
      <c r="K17" s="4">
        <f>ROUND(Table157[[#This Row],[Defaulted Principal]]*IF($C$9="No",$E$4,VLOOKUP(Table157[[#This Row],[Period]],Forecast!$H$2:$L$1048576,3,FALSE)),2)</f>
        <v>263.14</v>
      </c>
      <c r="L17" s="2">
        <f>Table157[[#This Row],[Period]]+$E$9</f>
        <v>13</v>
      </c>
      <c r="M17" s="4">
        <f>Table157[[#This Row],[Defaulted Principal]]-Table157[[#This Row],[Estimated Loss]]</f>
        <v>3109.7400000000002</v>
      </c>
      <c r="N17" s="3">
        <f>IFERROR(VLOOKUP(Table157[[#This Row],[Period]],$L$16:$M$28,2,FALSE),0)</f>
        <v>0</v>
      </c>
      <c r="O17" s="3">
        <f>Table157[[#This Row],[Beginning Balance]]-Table157[[#This Row],[Principal]]-Table157[[#This Row],[Prepayments]]-Table157[[#This Row],[Defaulted Principal]]</f>
        <v>7369154.3600000003</v>
      </c>
      <c r="P17" s="3">
        <f>Table157[[#This Row],[Principal]]+Table157[[#This Row],[Interest]]+Table157[[#This Row],[Prepayments]]+Table157[[#This Row],[RecoveredAmount]]</f>
        <v>62414.559999999998</v>
      </c>
      <c r="Q17" s="3">
        <f ca="1">ROUND(Table157[[#This Row],[Cash Flow]]/((1+ActualRateToUse)^(IF(ISNUMBER(SEARCH("Actual",$C$7)),Table157[[#This Row],[Running Total]]/365,Table157[[#This Row],[Period]]/12))),2)</f>
        <v>62227.85</v>
      </c>
      <c r="R17" s="2">
        <f>IF(MONTH(Table157[[#This Row],[Date]])=2,28,DAY(DATE(YEAR(Table157[[#This Row],[Date]]),MONTH(Table157[[#This Row],[Date]])+1,1)-1))</f>
        <v>31</v>
      </c>
      <c r="S17" s="2">
        <f ca="1">SUM(OFFSET(Table157[[#Headers],[Days in month]],1,0):Table157[[#This Row],[Days in month]])</f>
        <v>31</v>
      </c>
      <c r="T17" s="37">
        <f>InterestRate*AmortizationMultiplier*IF(ISNUMBER(SEARCH("Actual",$C$7)),Table157[[#This Row],[Days in month]]/365,1/12)</f>
        <v>2.9708333333333331E-3</v>
      </c>
    </row>
    <row r="18" spans="2:20" x14ac:dyDescent="0.2">
      <c r="B18" s="1">
        <v>45900</v>
      </c>
      <c r="C18" s="2">
        <f>C17+1</f>
        <v>2</v>
      </c>
      <c r="D18" s="3">
        <f t="shared" ref="D18:D81" si="0">O17</f>
        <v>7369154.3600000003</v>
      </c>
      <c r="E18" s="4">
        <f>ROUND(Table157[[#This Row],[Beginning Balance]]*Table157[[#This Row],[Monthly Interest Rate]],2)</f>
        <v>21892.53</v>
      </c>
      <c r="F18" s="4">
        <f>+F17-1</f>
        <v>254</v>
      </c>
      <c r="G18" s="4">
        <f>IFERROR(IF($C$13="No","N/A",IF(Table157[[#This Row],[Period]]=1,$C$6,PMT(InterestRate*AmortizationMultiplier/12,Table157[[#This Row],[Am Thru]],-Table157[[#This Row],[Beginning Balance]]))),0)</f>
        <v>41106.478032202991</v>
      </c>
      <c r="H18" s="4">
        <f>MAX(0,IF(C18=$C$4,D18,ROUND(IF($C$3="Fixed Principal",$C$6-Table157[[#This Row],[Interest]],IF($C$3="Interest Only",Table157[[#This Row],[Beginning Balance]]*ROUND(1-(1-IF($C$11="No",$E$8,1))^(1/12),6),MIN(IF($C$13="Yes",Table157[[#This Row],[Payment Amount (Reamortized)]],$C$6)-Table157[[#This Row],[Interest]],Table157[[#This Row],[Beginning Balance]]))),2)))</f>
        <v>19213.95</v>
      </c>
      <c r="I18" s="4">
        <f>_xlfn.SINGLE(IF($C$3="Line of Credit",0,ROUND(MAX(MIN(IF($C$10="No",$E$7,VLOOKUP(Table157[[#This Row],[Period]],Forecast!$H$2:$L$1048576,4,FALSE))*Table157[[#This Row],[Beginning Balance]],Table157[[#This Row],[Beginning Balance]]-Table157[[#This Row],[Principal]]),0),2)))</f>
        <v>21024.2</v>
      </c>
      <c r="J18" s="4">
        <f>ROUND(MIN(Table157[[#This Row],[Beginning Balance]]*IF($C$8="No",$E$3,VLOOKUP(Table157[[#This Row],[Period]],Forecast!$H$2:$L$1048576,2,FALSE)),Table157[[#This Row],[Beginning Balance]]-Table157[[#This Row],[Principal]]-Table157[[#This Row],[Prepayments]]),2)</f>
        <v>3352.97</v>
      </c>
      <c r="K18" s="4">
        <f>ROUND(Table157[[#This Row],[Defaulted Principal]]*IF($C$9="No",$E$4,VLOOKUP(Table157[[#This Row],[Period]],Forecast!$H$2:$L$1048576,3,FALSE)),2)</f>
        <v>261.58</v>
      </c>
      <c r="L18" s="2">
        <f>Table157[[#This Row],[Period]]+$E$9</f>
        <v>14</v>
      </c>
      <c r="M18" s="4">
        <f>Table157[[#This Row],[Defaulted Principal]]-Table157[[#This Row],[Estimated Loss]]</f>
        <v>3091.39</v>
      </c>
      <c r="N18" s="3">
        <f>IFERROR(VLOOKUP(Table157[[#This Row],[Period]],$L$16:$M$385,2,FALSE),0)</f>
        <v>0</v>
      </c>
      <c r="O18" s="4">
        <f>Table157[[#This Row],[Beginning Balance]]-Table157[[#This Row],[Principal]]-Table157[[#This Row],[Prepayments]]-Table157[[#This Row],[Defaulted Principal]]</f>
        <v>7325563.2400000002</v>
      </c>
      <c r="P18" s="3">
        <f>Table157[[#This Row],[Principal]]+Table157[[#This Row],[Interest]]+Table157[[#This Row],[Prepayments]]+Table157[[#This Row],[RecoveredAmount]]</f>
        <v>62130.679999999993</v>
      </c>
      <c r="Q18" s="3">
        <f ca="1">ROUND(Table157[[#This Row],[Cash Flow]]/((1+ActualRateToUse)^(IF(ISNUMBER(SEARCH("Actual",$C$7)),Table157[[#This Row],[Running Total]]/365,Table157[[#This Row],[Period]]/12))),2)</f>
        <v>61759.51</v>
      </c>
      <c r="R18" s="2">
        <f>IF(MONTH(Table157[[#This Row],[Date]])=2,28,DAY(DATE(YEAR(Table157[[#This Row],[Date]]),MONTH(Table157[[#This Row],[Date]])+1,1)-1))</f>
        <v>31</v>
      </c>
      <c r="S18" s="2">
        <f ca="1">SUM(OFFSET(Table157[[#Headers],[Days in month]],1,0):Table157[[#This Row],[Days in month]])</f>
        <v>62</v>
      </c>
      <c r="T18" s="37">
        <f>InterestRate*AmortizationMultiplier*IF(ISNUMBER(SEARCH("Actual",$C$7)),Table157[[#This Row],[Days in month]]/365,1/12)</f>
        <v>2.9708333333333331E-3</v>
      </c>
    </row>
    <row r="19" spans="2:20" x14ac:dyDescent="0.2">
      <c r="B19" s="1">
        <v>45930</v>
      </c>
      <c r="C19" s="2">
        <f t="shared" ref="C19:C82" si="1">C18+1</f>
        <v>3</v>
      </c>
      <c r="D19" s="3">
        <f t="shared" si="0"/>
        <v>7325563.2400000002</v>
      </c>
      <c r="E19" s="4">
        <f>ROUND(Table157[[#This Row],[Beginning Balance]]*Table157[[#This Row],[Monthly Interest Rate]],2)</f>
        <v>21060.99</v>
      </c>
      <c r="F19" s="4">
        <f t="shared" ref="F19:F82" si="2">+F18-1</f>
        <v>253</v>
      </c>
      <c r="G19" s="50">
        <f>IFERROR(IF($C$13="No","N/A",IF(Table157[[#This Row],[Period]]=1,$C$6,PMT(InterestRate*AmortizationMultiplier/12,Table157[[#This Row],[Am Thru]],-Table157[[#This Row],[Beginning Balance]]))),0)</f>
        <v>40972.438740110134</v>
      </c>
      <c r="H19" s="4">
        <f>MAX(0,IF(C19=$C$4,D19,ROUND(IF($C$3="Fixed Principal",$C$6-Table157[[#This Row],[Interest]],IF($C$3="Interest Only",Table157[[#This Row],[Beginning Balance]]*ROUND(1-(1-IF($C$11="No",$E$8,1))^(1/12),6),MIN(IF($C$13="Yes",Table157[[#This Row],[Payment Amount (Reamortized)]],$C$6)-Table157[[#This Row],[Interest]],Table157[[#This Row],[Beginning Balance]]))),2)))</f>
        <v>19911.45</v>
      </c>
      <c r="I19" s="4">
        <f>_xlfn.SINGLE(IF($C$3="Line of Credit",0,ROUND(MAX(MIN(IF($C$10="No",$E$7,VLOOKUP(Table157[[#This Row],[Period]],Forecast!$H$2:$L$1048576,4,FALSE))*Table157[[#This Row],[Beginning Balance]],Table157[[#This Row],[Beginning Balance]]-Table157[[#This Row],[Principal]]),0),2)))</f>
        <v>20899.830000000002</v>
      </c>
      <c r="J19" s="4">
        <f>ROUND(MIN(Table157[[#This Row],[Beginning Balance]]*IF($C$8="No",$E$3,VLOOKUP(Table157[[#This Row],[Period]],Forecast!$H$2:$L$1048576,2,FALSE)),Table157[[#This Row],[Beginning Balance]]-Table157[[#This Row],[Principal]]-Table157[[#This Row],[Prepayments]]),2)</f>
        <v>3333.13</v>
      </c>
      <c r="K19" s="4">
        <f>ROUND(Table157[[#This Row],[Defaulted Principal]]*IF($C$9="No",$E$4,VLOOKUP(Table157[[#This Row],[Period]],Forecast!$H$2:$L$1048576,3,FALSE)),2)</f>
        <v>260.02999999999997</v>
      </c>
      <c r="L19" s="2">
        <f>Table157[[#This Row],[Period]]+$E$9</f>
        <v>15</v>
      </c>
      <c r="M19" s="4">
        <f>Table157[[#This Row],[Defaulted Principal]]-Table157[[#This Row],[Estimated Loss]]</f>
        <v>3073.1000000000004</v>
      </c>
      <c r="N19" s="3">
        <f>IFERROR(VLOOKUP(Table157[[#This Row],[Period]],$L$16:$M$28,2,FALSE),0)</f>
        <v>0</v>
      </c>
      <c r="O19" s="3">
        <f>Table157[[#This Row],[Beginning Balance]]-Table157[[#This Row],[Principal]]-Table157[[#This Row],[Prepayments]]-Table157[[#This Row],[Defaulted Principal]]</f>
        <v>7281418.8300000001</v>
      </c>
      <c r="P19" s="3">
        <f>Table157[[#This Row],[Principal]]+Table157[[#This Row],[Interest]]+Table157[[#This Row],[Prepayments]]+Table157[[#This Row],[RecoveredAmount]]</f>
        <v>61872.270000000004</v>
      </c>
      <c r="Q19" s="3">
        <f ca="1">ROUND(Table157[[#This Row],[Cash Flow]]/((1+ActualRateToUse)^(IF(ISNUMBER(SEARCH("Actual",$C$7)),Table157[[#This Row],[Running Total]]/365,Table157[[#This Row],[Period]]/12))),2)</f>
        <v>61324.58</v>
      </c>
      <c r="R19" s="2">
        <f>IF(MONTH(Table157[[#This Row],[Date]])=2,28,DAY(DATE(YEAR(Table157[[#This Row],[Date]]),MONTH(Table157[[#This Row],[Date]])+1,1)-1))</f>
        <v>30</v>
      </c>
      <c r="S19" s="2">
        <f ca="1">SUM(OFFSET(Table157[[#Headers],[Days in month]],1,0):Table157[[#This Row],[Days in month]])</f>
        <v>92</v>
      </c>
      <c r="T19" s="37">
        <f>InterestRate*AmortizationMultiplier*IF(ISNUMBER(SEARCH("Actual",$C$7)),Table157[[#This Row],[Days in month]]/365,1/12)</f>
        <v>2.8749999999999995E-3</v>
      </c>
    </row>
    <row r="20" spans="2:20" x14ac:dyDescent="0.2">
      <c r="B20" s="1">
        <v>45961</v>
      </c>
      <c r="C20" s="2">
        <f t="shared" si="1"/>
        <v>4</v>
      </c>
      <c r="D20" s="3">
        <f t="shared" si="0"/>
        <v>7281418.8300000001</v>
      </c>
      <c r="E20" s="4">
        <f>ROUND(Table157[[#This Row],[Beginning Balance]]*Table157[[#This Row],[Monthly Interest Rate]],2)</f>
        <v>21631.88</v>
      </c>
      <c r="F20" s="4">
        <f>+F19-1</f>
        <v>252</v>
      </c>
      <c r="G20" s="50">
        <f>IFERROR(IF($C$13="No","N/A",IF(Table157[[#This Row],[Period]]=1,$C$6,PMT(InterestRate*AmortizationMultiplier/12,Table157[[#This Row],[Am Thru]],-Table157[[#This Row],[Beginning Balance]]))),0)</f>
        <v>40834.897491626267</v>
      </c>
      <c r="H20" s="4">
        <f>MAX(0,IF(C20=$C$4,D20,ROUND(IF($C$3="Fixed Principal",$C$6-Table157[[#This Row],[Interest]],IF($C$3="Interest Only",Table157[[#This Row],[Beginning Balance]]*ROUND(1-(1-IF($C$11="No",$E$8,1))^(1/12),6),MIN(IF($C$13="Yes",Table157[[#This Row],[Payment Amount (Reamortized)]],$C$6)-Table157[[#This Row],[Interest]],Table157[[#This Row],[Beginning Balance]]))),2)))</f>
        <v>19203.02</v>
      </c>
      <c r="I20" s="4">
        <f>_xlfn.SINGLE(IF($C$3="Line of Credit",0,ROUND(MAX(MIN(IF($C$10="No",$E$7,VLOOKUP(Table157[[#This Row],[Period]],Forecast!$H$2:$L$1048576,4,FALSE))*Table157[[#This Row],[Beginning Balance]],Table157[[#This Row],[Beginning Balance]]-Table157[[#This Row],[Principal]]),0),2)))</f>
        <v>20773.89</v>
      </c>
      <c r="J20" s="4">
        <f>ROUND(MIN(Table157[[#This Row],[Beginning Balance]]*IF($C$8="No",$E$3,VLOOKUP(Table157[[#This Row],[Period]],Forecast!$H$2:$L$1048576,2,FALSE)),Table157[[#This Row],[Beginning Balance]]-Table157[[#This Row],[Principal]]-Table157[[#This Row],[Prepayments]]),2)</f>
        <v>3647.99</v>
      </c>
      <c r="K20" s="4">
        <f>ROUND(Table157[[#This Row],[Defaulted Principal]]*IF($C$9="No",$E$4,VLOOKUP(Table157[[#This Row],[Period]],Forecast!$H$2:$L$1048576,3,FALSE)),2)</f>
        <v>291.72000000000003</v>
      </c>
      <c r="L20" s="2">
        <f>Table157[[#This Row],[Period]]+$E$9</f>
        <v>16</v>
      </c>
      <c r="M20" s="4">
        <f>Table157[[#This Row],[Defaulted Principal]]-Table157[[#This Row],[Estimated Loss]]</f>
        <v>3356.2699999999995</v>
      </c>
      <c r="N20" s="3">
        <f>IFERROR(VLOOKUP(Table157[[#This Row],[Period]],$L$16:$M$28,2,FALSE),0)</f>
        <v>0</v>
      </c>
      <c r="O20" s="3">
        <f>Table157[[#This Row],[Beginning Balance]]-Table157[[#This Row],[Principal]]-Table157[[#This Row],[Prepayments]]-Table157[[#This Row],[Defaulted Principal]]</f>
        <v>7237793.9300000006</v>
      </c>
      <c r="P20" s="3">
        <f>Table157[[#This Row],[Principal]]+Table157[[#This Row],[Interest]]+Table157[[#This Row],[Prepayments]]+Table157[[#This Row],[RecoveredAmount]]</f>
        <v>61608.79</v>
      </c>
      <c r="Q20" s="3">
        <f ca="1">ROUND(Table157[[#This Row],[Cash Flow]]/((1+ActualRateToUse)^(IF(ISNUMBER(SEARCH("Actual",$C$7)),Table157[[#This Row],[Running Total]]/365,Table157[[#This Row],[Period]]/12))),2)</f>
        <v>60880.76</v>
      </c>
      <c r="R20" s="2">
        <f>IF(MONTH(Table157[[#This Row],[Date]])=2,28,DAY(DATE(YEAR(Table157[[#This Row],[Date]]),MONTH(Table157[[#This Row],[Date]])+1,1)-1))</f>
        <v>31</v>
      </c>
      <c r="S20" s="2">
        <f ca="1">SUM(OFFSET(Table157[[#Headers],[Days in month]],1,0):Table157[[#This Row],[Days in month]])</f>
        <v>123</v>
      </c>
      <c r="T20" s="37">
        <f>InterestRate*AmortizationMultiplier*IF(ISNUMBER(SEARCH("Actual",$C$7)),Table157[[#This Row],[Days in month]]/365,1/12)</f>
        <v>2.9708333333333331E-3</v>
      </c>
    </row>
    <row r="21" spans="2:20" x14ac:dyDescent="0.2">
      <c r="B21" s="1">
        <v>45991</v>
      </c>
      <c r="C21" s="2">
        <f t="shared" si="1"/>
        <v>5</v>
      </c>
      <c r="D21" s="3">
        <f t="shared" si="0"/>
        <v>7237793.9300000006</v>
      </c>
      <c r="E21" s="3">
        <f>ROUND(Table157[[#This Row],[Beginning Balance]]*Table157[[#This Row],[Monthly Interest Rate]],2)</f>
        <v>20808.66</v>
      </c>
      <c r="F21" s="3">
        <f t="shared" si="2"/>
        <v>251</v>
      </c>
      <c r="G21" s="23">
        <f>IFERROR(IF($C$13="No","N/A",IF(Table157[[#This Row],[Period]]=1,$C$6,PMT(InterestRate*AmortizationMultiplier/12,Table157[[#This Row],[Am Thru]],-Table157[[#This Row],[Beginning Balance]]))),0)</f>
        <v>40699.856310371229</v>
      </c>
      <c r="H21" s="3">
        <f>MAX(0,IF(C21=$C$4,D21,ROUND(IF($C$3="Fixed Principal",$C$6-Table157[[#This Row],[Interest]],IF($C$3="Interest Only",Table157[[#This Row],[Beginning Balance]]*ROUND(1-(1-IF($C$11="No",$E$8,1))^(1/12),6),MIN(IF($C$13="Yes",Table157[[#This Row],[Payment Amount (Reamortized)]],$C$6)-Table157[[#This Row],[Interest]],Table157[[#This Row],[Beginning Balance]]))),2)))</f>
        <v>19891.2</v>
      </c>
      <c r="I21" s="3">
        <f>_xlfn.SINGLE(IF($C$3="Line of Credit",0,ROUND(MAX(MIN(IF($C$10="No",$E$7,VLOOKUP(Table157[[#This Row],[Period]],Forecast!$H$2:$L$1048576,4,FALSE))*Table157[[#This Row],[Beginning Balance]],Table157[[#This Row],[Beginning Balance]]-Table157[[#This Row],[Principal]]),0),2)))</f>
        <v>20649.43</v>
      </c>
      <c r="J21" s="3">
        <f>ROUND(MIN(Table157[[#This Row],[Beginning Balance]]*IF($C$8="No",$E$3,VLOOKUP(Table157[[#This Row],[Period]],Forecast!$H$2:$L$1048576,2,FALSE)),Table157[[#This Row],[Beginning Balance]]-Table157[[#This Row],[Principal]]-Table157[[#This Row],[Prepayments]]),2)</f>
        <v>3626.13</v>
      </c>
      <c r="K21" s="3">
        <f>ROUND(Table157[[#This Row],[Defaulted Principal]]*IF($C$9="No",$E$4,VLOOKUP(Table157[[#This Row],[Period]],Forecast!$H$2:$L$1048576,3,FALSE)),2)</f>
        <v>289.97000000000003</v>
      </c>
      <c r="L21" s="2">
        <f>Table157[[#This Row],[Period]]+$E$9</f>
        <v>17</v>
      </c>
      <c r="M21" s="3">
        <f>Table157[[#This Row],[Defaulted Principal]]-Table157[[#This Row],[Estimated Loss]]</f>
        <v>3336.16</v>
      </c>
      <c r="N21" s="3">
        <f>IFERROR(VLOOKUP(Table157[[#This Row],[Period]],$L$16:$M$28,2,FALSE),0)</f>
        <v>0</v>
      </c>
      <c r="O21" s="3">
        <f>Table157[[#This Row],[Beginning Balance]]-Table157[[#This Row],[Principal]]-Table157[[#This Row],[Prepayments]]-Table157[[#This Row],[Defaulted Principal]]</f>
        <v>7193627.1700000009</v>
      </c>
      <c r="P21" s="3">
        <f>Table157[[#This Row],[Principal]]+Table157[[#This Row],[Interest]]+Table157[[#This Row],[Prepayments]]+Table157[[#This Row],[RecoveredAmount]]</f>
        <v>61349.29</v>
      </c>
      <c r="Q21" s="3">
        <f ca="1">ROUND(Table157[[#This Row],[Cash Flow]]/((1+ActualRateToUse)^(IF(ISNUMBER(SEARCH("Actual",$C$7)),Table157[[#This Row],[Running Total]]/365,Table157[[#This Row],[Period]]/12))),2)</f>
        <v>60448.81</v>
      </c>
      <c r="R21" s="2">
        <f>IF(MONTH(Table157[[#This Row],[Date]])=2,28,DAY(DATE(YEAR(Table157[[#This Row],[Date]]),MONTH(Table157[[#This Row],[Date]])+1,1)-1))</f>
        <v>30</v>
      </c>
      <c r="S21" s="2">
        <f ca="1">SUM(OFFSET(Table157[[#Headers],[Days in month]],1,0):Table157[[#This Row],[Days in month]])</f>
        <v>153</v>
      </c>
      <c r="T21" s="37">
        <f>InterestRate*AmortizationMultiplier*IF(ISNUMBER(SEARCH("Actual",$C$7)),Table157[[#This Row],[Days in month]]/365,1/12)</f>
        <v>2.8749999999999995E-3</v>
      </c>
    </row>
    <row r="22" spans="2:20" x14ac:dyDescent="0.2">
      <c r="B22" s="1">
        <v>46022</v>
      </c>
      <c r="C22" s="2">
        <f t="shared" si="1"/>
        <v>6</v>
      </c>
      <c r="D22" s="3">
        <f t="shared" si="0"/>
        <v>7193627.1700000009</v>
      </c>
      <c r="E22" s="3">
        <f>ROUND(Table157[[#This Row],[Beginning Balance]]*Table157[[#This Row],[Monthly Interest Rate]],2)</f>
        <v>21371.07</v>
      </c>
      <c r="F22" s="3">
        <f t="shared" si="2"/>
        <v>250</v>
      </c>
      <c r="G22" s="23">
        <f>IFERROR(IF($C$13="No","N/A",IF(Table157[[#This Row],[Period]]=1,$C$6,PMT(InterestRate*AmortizationMultiplier/12,Table157[[#This Row],[Am Thru]],-Table157[[#This Row],[Beginning Balance]]))),0)</f>
        <v>40561.348700655901</v>
      </c>
      <c r="H22" s="3">
        <f>MAX(0,IF(C22=$C$4,D22,ROUND(IF($C$3="Fixed Principal",$C$6-Table157[[#This Row],[Interest]],IF($C$3="Interest Only",Table157[[#This Row],[Beginning Balance]]*ROUND(1-(1-IF($C$11="No",$E$8,1))^(1/12),6),MIN(IF($C$13="Yes",Table157[[#This Row],[Payment Amount (Reamortized)]],$C$6)-Table157[[#This Row],[Interest]],Table157[[#This Row],[Beginning Balance]]))),2)))</f>
        <v>19190.28</v>
      </c>
      <c r="I22" s="3">
        <f>_xlfn.SINGLE(IF($C$3="Line of Credit",0,ROUND(MAX(MIN(IF($C$10="No",$E$7,VLOOKUP(Table157[[#This Row],[Period]],Forecast!$H$2:$L$1048576,4,FALSE))*Table157[[#This Row],[Beginning Balance]],Table157[[#This Row],[Beginning Balance]]-Table157[[#This Row],[Principal]]),0),2)))</f>
        <v>20523.419999999998</v>
      </c>
      <c r="J22" s="3">
        <f>ROUND(MIN(Table157[[#This Row],[Beginning Balance]]*IF($C$8="No",$E$3,VLOOKUP(Table157[[#This Row],[Period]],Forecast!$H$2:$L$1048576,2,FALSE)),Table157[[#This Row],[Beginning Balance]]-Table157[[#This Row],[Principal]]-Table157[[#This Row],[Prepayments]]),2)</f>
        <v>3604.01</v>
      </c>
      <c r="K22" s="3">
        <f>ROUND(Table157[[#This Row],[Defaulted Principal]]*IF($C$9="No",$E$4,VLOOKUP(Table157[[#This Row],[Period]],Forecast!$H$2:$L$1048576,3,FALSE)),2)</f>
        <v>288.2</v>
      </c>
      <c r="L22" s="2">
        <f>Table157[[#This Row],[Period]]+$E$9</f>
        <v>18</v>
      </c>
      <c r="M22" s="3">
        <f>Table157[[#This Row],[Defaulted Principal]]-Table157[[#This Row],[Estimated Loss]]</f>
        <v>3315.8100000000004</v>
      </c>
      <c r="N22" s="3">
        <f>IFERROR(VLOOKUP(Table157[[#This Row],[Period]],$L$16:$M$28,2,FALSE),0)</f>
        <v>0</v>
      </c>
      <c r="O22" s="3">
        <f>Table157[[#This Row],[Beginning Balance]]-Table157[[#This Row],[Principal]]-Table157[[#This Row],[Prepayments]]-Table157[[#This Row],[Defaulted Principal]]</f>
        <v>7150309.4600000009</v>
      </c>
      <c r="P22" s="3">
        <f>Table157[[#This Row],[Principal]]+Table157[[#This Row],[Interest]]+Table157[[#This Row],[Prepayments]]+Table157[[#This Row],[RecoveredAmount]]</f>
        <v>61084.77</v>
      </c>
      <c r="Q22" s="3">
        <f ca="1">ROUND(Table157[[#This Row],[Cash Flow]]/((1+ActualRateToUse)^(IF(ISNUMBER(SEARCH("Actual",$C$7)),Table157[[#This Row],[Running Total]]/365,Table157[[#This Row],[Period]]/12))),2)</f>
        <v>60008.12</v>
      </c>
      <c r="R22" s="2">
        <f>IF(MONTH(Table157[[#This Row],[Date]])=2,28,DAY(DATE(YEAR(Table157[[#This Row],[Date]]),MONTH(Table157[[#This Row],[Date]])+1,1)-1))</f>
        <v>31</v>
      </c>
      <c r="S22" s="2">
        <f ca="1">SUM(OFFSET(Table157[[#Headers],[Days in month]],1,0):Table157[[#This Row],[Days in month]])</f>
        <v>184</v>
      </c>
      <c r="T22" s="37">
        <f>InterestRate*AmortizationMultiplier*IF(ISNUMBER(SEARCH("Actual",$C$7)),Table157[[#This Row],[Days in month]]/365,1/12)</f>
        <v>2.9708333333333331E-3</v>
      </c>
    </row>
    <row r="23" spans="2:20" x14ac:dyDescent="0.2">
      <c r="B23" s="1">
        <v>46053</v>
      </c>
      <c r="C23" s="2">
        <f t="shared" si="1"/>
        <v>7</v>
      </c>
      <c r="D23" s="3">
        <f t="shared" si="0"/>
        <v>7150309.4600000009</v>
      </c>
      <c r="E23" s="3">
        <f>ROUND(Table157[[#This Row],[Beginning Balance]]*Table157[[#This Row],[Monthly Interest Rate]],2)</f>
        <v>21242.38</v>
      </c>
      <c r="F23" s="3">
        <f t="shared" si="2"/>
        <v>249</v>
      </c>
      <c r="G23" s="23">
        <f>IFERROR(IF($C$13="No","N/A",IF(Table157[[#This Row],[Period]]=1,$C$6,PMT(InterestRate*AmortizationMultiplier/12,Table157[[#This Row],[Am Thru]],-Table157[[#This Row],[Beginning Balance]]))),0)</f>
        <v>40427.208068530919</v>
      </c>
      <c r="H23" s="3">
        <f>MAX(0,IF(C23=$C$4,D23,ROUND(IF($C$3="Fixed Principal",$C$6-Table157[[#This Row],[Interest]],IF($C$3="Interest Only",Table157[[#This Row],[Beginning Balance]]*ROUND(1-(1-IF($C$11="No",$E$8,1))^(1/12),6),MIN(IF($C$13="Yes",Table157[[#This Row],[Payment Amount (Reamortized)]],$C$6)-Table157[[#This Row],[Interest]],Table157[[#This Row],[Beginning Balance]]))),2)))</f>
        <v>19184.830000000002</v>
      </c>
      <c r="I23" s="3">
        <f>_xlfn.SINGLE(IF($C$3="Line of Credit",0,ROUND(MAX(MIN(IF($C$10="No",$E$7,VLOOKUP(Table157[[#This Row],[Period]],Forecast!$H$2:$L$1048576,4,FALSE))*Table157[[#This Row],[Beginning Balance]],Table157[[#This Row],[Beginning Balance]]-Table157[[#This Row],[Principal]]),0),2)))</f>
        <v>20399.830000000002</v>
      </c>
      <c r="J23" s="3">
        <f>ROUND(MIN(Table157[[#This Row],[Beginning Balance]]*IF($C$8="No",$E$3,VLOOKUP(Table157[[#This Row],[Period]],Forecast!$H$2:$L$1048576,2,FALSE)),Table157[[#This Row],[Beginning Balance]]-Table157[[#This Row],[Principal]]-Table157[[#This Row],[Prepayments]]),2)</f>
        <v>3553.7</v>
      </c>
      <c r="K23" s="3">
        <f>ROUND(Table157[[#This Row],[Defaulted Principal]]*IF($C$9="No",$E$4,VLOOKUP(Table157[[#This Row],[Period]],Forecast!$H$2:$L$1048576,3,FALSE)),2)</f>
        <v>283.51</v>
      </c>
      <c r="L23" s="2">
        <f>Table157[[#This Row],[Period]]+$E$9</f>
        <v>19</v>
      </c>
      <c r="M23" s="3">
        <f>Table157[[#This Row],[Defaulted Principal]]-Table157[[#This Row],[Estimated Loss]]</f>
        <v>3270.1899999999996</v>
      </c>
      <c r="N23" s="3">
        <f>IFERROR(VLOOKUP(Table157[[#This Row],[Period]],$L$16:$M$28,2,FALSE),0)</f>
        <v>0</v>
      </c>
      <c r="O23" s="3">
        <f>Table157[[#This Row],[Beginning Balance]]-Table157[[#This Row],[Principal]]-Table157[[#This Row],[Prepayments]]-Table157[[#This Row],[Defaulted Principal]]</f>
        <v>7107171.1000000006</v>
      </c>
      <c r="P23" s="3">
        <f>Table157[[#This Row],[Principal]]+Table157[[#This Row],[Interest]]+Table157[[#This Row],[Prepayments]]+Table157[[#This Row],[RecoveredAmount]]</f>
        <v>60827.040000000008</v>
      </c>
      <c r="Q23" s="3">
        <f ca="1">ROUND(Table157[[#This Row],[Cash Flow]]/((1+ActualRateToUse)^(IF(ISNUMBER(SEARCH("Actual",$C$7)),Table157[[#This Row],[Running Total]]/365,Table157[[#This Row],[Period]]/12))),2)</f>
        <v>59576.17</v>
      </c>
      <c r="R23" s="2">
        <f>IF(MONTH(Table157[[#This Row],[Date]])=2,28,DAY(DATE(YEAR(Table157[[#This Row],[Date]]),MONTH(Table157[[#This Row],[Date]])+1,1)-1))</f>
        <v>31</v>
      </c>
      <c r="S23" s="2">
        <f ca="1">SUM(OFFSET(Table157[[#Headers],[Days in month]],1,0):Table157[[#This Row],[Days in month]])</f>
        <v>215</v>
      </c>
      <c r="T23" s="37">
        <f>InterestRate*AmortizationMultiplier*IF(ISNUMBER(SEARCH("Actual",$C$7)),Table157[[#This Row],[Days in month]]/365,1/12)</f>
        <v>2.9708333333333331E-3</v>
      </c>
    </row>
    <row r="24" spans="2:20" x14ac:dyDescent="0.2">
      <c r="B24" s="1">
        <v>46081</v>
      </c>
      <c r="C24" s="2">
        <f t="shared" si="1"/>
        <v>8</v>
      </c>
      <c r="D24" s="3">
        <f t="shared" si="0"/>
        <v>7107171.1000000006</v>
      </c>
      <c r="E24" s="3">
        <f>ROUND(Table157[[#This Row],[Beginning Balance]]*Table157[[#This Row],[Monthly Interest Rate]],2)</f>
        <v>19070.91</v>
      </c>
      <c r="F24" s="3">
        <f t="shared" si="2"/>
        <v>248</v>
      </c>
      <c r="G24" s="23">
        <f>IFERROR(IF($C$13="No","N/A",IF(Table157[[#This Row],[Period]]=1,$C$6,PMT(InterestRate*AmortizationMultiplier/12,Table157[[#This Row],[Am Thru]],-Table157[[#This Row],[Beginning Balance]]))),0)</f>
        <v>40293.671199941469</v>
      </c>
      <c r="H24" s="3">
        <f>MAX(0,IF(C24=$C$4,D24,ROUND(IF($C$3="Fixed Principal",$C$6-Table157[[#This Row],[Interest]],IF($C$3="Interest Only",Table157[[#This Row],[Beginning Balance]]*ROUND(1-(1-IF($C$11="No",$E$8,1))^(1/12),6),MIN(IF($C$13="Yes",Table157[[#This Row],[Payment Amount (Reamortized)]],$C$6)-Table157[[#This Row],[Interest]],Table157[[#This Row],[Beginning Balance]]))),2)))</f>
        <v>21222.76</v>
      </c>
      <c r="I24" s="3">
        <f>_xlfn.SINGLE(IF($C$3="Line of Credit",0,ROUND(MAX(MIN(IF($C$10="No",$E$7,VLOOKUP(Table157[[#This Row],[Period]],Forecast!$H$2:$L$1048576,4,FALSE))*Table157[[#This Row],[Beginning Balance]],Table157[[#This Row],[Beginning Balance]]-Table157[[#This Row],[Principal]]),0),2)))</f>
        <v>20276.759999999998</v>
      </c>
      <c r="J24" s="3">
        <f>ROUND(MIN(Table157[[#This Row],[Beginning Balance]]*IF($C$8="No",$E$3,VLOOKUP(Table157[[#This Row],[Period]],Forecast!$H$2:$L$1048576,2,FALSE)),Table157[[#This Row],[Beginning Balance]]-Table157[[#This Row],[Principal]]-Table157[[#This Row],[Prepayments]]),2)</f>
        <v>3532.26</v>
      </c>
      <c r="K24" s="3">
        <f>ROUND(Table157[[#This Row],[Defaulted Principal]]*IF($C$9="No",$E$4,VLOOKUP(Table157[[#This Row],[Period]],Forecast!$H$2:$L$1048576,3,FALSE)),2)</f>
        <v>281.8</v>
      </c>
      <c r="L24" s="2">
        <f>Table157[[#This Row],[Period]]+$E$9</f>
        <v>20</v>
      </c>
      <c r="M24" s="3">
        <f>Table157[[#This Row],[Defaulted Principal]]-Table157[[#This Row],[Estimated Loss]]</f>
        <v>3250.46</v>
      </c>
      <c r="N24" s="3">
        <f>IFERROR(VLOOKUP(Table157[[#This Row],[Period]],$L$16:$M$28,2,FALSE),0)</f>
        <v>0</v>
      </c>
      <c r="O24" s="3">
        <f>Table157[[#This Row],[Beginning Balance]]-Table157[[#This Row],[Principal]]-Table157[[#This Row],[Prepayments]]-Table157[[#This Row],[Defaulted Principal]]</f>
        <v>7062139.3200000012</v>
      </c>
      <c r="P24" s="3">
        <f>Table157[[#This Row],[Principal]]+Table157[[#This Row],[Interest]]+Table157[[#This Row],[Prepayments]]+Table157[[#This Row],[RecoveredAmount]]</f>
        <v>60570.429999999993</v>
      </c>
      <c r="Q24" s="3">
        <f ca="1">ROUND(Table157[[#This Row],[Cash Flow]]/((1+ActualRateToUse)^(IF(ISNUMBER(SEARCH("Actual",$C$7)),Table157[[#This Row],[Running Total]]/365,Table157[[#This Row],[Period]]/12))),2)</f>
        <v>59164.52</v>
      </c>
      <c r="R24" s="2">
        <f>IF(MONTH(Table157[[#This Row],[Date]])=2,28,DAY(DATE(YEAR(Table157[[#This Row],[Date]]),MONTH(Table157[[#This Row],[Date]])+1,1)-1))</f>
        <v>28</v>
      </c>
      <c r="S24" s="2">
        <f ca="1">SUM(OFFSET(Table157[[#Headers],[Days in month]],1,0):Table157[[#This Row],[Days in month]])</f>
        <v>243</v>
      </c>
      <c r="T24" s="37">
        <f>InterestRate*AmortizationMultiplier*IF(ISNUMBER(SEARCH("Actual",$C$7)),Table157[[#This Row],[Days in month]]/365,1/12)</f>
        <v>2.6833333333333336E-3</v>
      </c>
    </row>
    <row r="25" spans="2:20" x14ac:dyDescent="0.2">
      <c r="B25" s="1">
        <v>46112</v>
      </c>
      <c r="C25" s="2">
        <f t="shared" si="1"/>
        <v>9</v>
      </c>
      <c r="D25" s="3">
        <f t="shared" si="0"/>
        <v>7062139.3200000012</v>
      </c>
      <c r="E25" s="3">
        <f>ROUND(Table157[[#This Row],[Beginning Balance]]*Table157[[#This Row],[Monthly Interest Rate]],2)</f>
        <v>20980.44</v>
      </c>
      <c r="F25" s="3">
        <f t="shared" si="2"/>
        <v>247</v>
      </c>
      <c r="G25" s="23">
        <f>IFERROR(IF($C$13="No","N/A",IF(Table157[[#This Row],[Period]]=1,$C$6,PMT(InterestRate*AmortizationMultiplier/12,Table157[[#This Row],[Am Thru]],-Table157[[#This Row],[Beginning Balance]]))),0)</f>
        <v>40148.95691226684</v>
      </c>
      <c r="H25" s="3">
        <f>MAX(0,IF(C25=$C$4,D25,ROUND(IF($C$3="Fixed Principal",$C$6-Table157[[#This Row],[Interest]],IF($C$3="Interest Only",Table157[[#This Row],[Beginning Balance]]*ROUND(1-(1-IF($C$11="No",$E$8,1))^(1/12),6),MIN(IF($C$13="Yes",Table157[[#This Row],[Payment Amount (Reamortized)]],$C$6)-Table157[[#This Row],[Interest]],Table157[[#This Row],[Beginning Balance]]))),2)))</f>
        <v>19168.52</v>
      </c>
      <c r="I25" s="3">
        <f>_xlfn.SINGLE(IF($C$3="Line of Credit",0,ROUND(MAX(MIN(IF($C$10="No",$E$7,VLOOKUP(Table157[[#This Row],[Period]],Forecast!$H$2:$L$1048576,4,FALSE))*Table157[[#This Row],[Beginning Balance]],Table157[[#This Row],[Beginning Balance]]-Table157[[#This Row],[Principal]]),0),2)))</f>
        <v>20148.28</v>
      </c>
      <c r="J25" s="3">
        <f>ROUND(MIN(Table157[[#This Row],[Beginning Balance]]*IF($C$8="No",$E$3,VLOOKUP(Table157[[#This Row],[Period]],Forecast!$H$2:$L$1048576,2,FALSE)),Table157[[#This Row],[Beginning Balance]]-Table157[[#This Row],[Principal]]-Table157[[#This Row],[Prepayments]]),2)</f>
        <v>3509.88</v>
      </c>
      <c r="K25" s="3">
        <f>ROUND(Table157[[#This Row],[Defaulted Principal]]*IF($C$9="No",$E$4,VLOOKUP(Table157[[#This Row],[Period]],Forecast!$H$2:$L$1048576,3,FALSE)),2)</f>
        <v>280.01</v>
      </c>
      <c r="L25" s="2">
        <f>Table157[[#This Row],[Period]]+$E$9</f>
        <v>21</v>
      </c>
      <c r="M25" s="3">
        <f>Table157[[#This Row],[Defaulted Principal]]-Table157[[#This Row],[Estimated Loss]]</f>
        <v>3229.87</v>
      </c>
      <c r="N25" s="3">
        <f>IFERROR(VLOOKUP(Table157[[#This Row],[Period]],$L$16:$M$28,2,FALSE),0)</f>
        <v>0</v>
      </c>
      <c r="O25" s="3">
        <f>Table157[[#This Row],[Beginning Balance]]-Table157[[#This Row],[Principal]]-Table157[[#This Row],[Prepayments]]-Table157[[#This Row],[Defaulted Principal]]</f>
        <v>7019312.6400000015</v>
      </c>
      <c r="P25" s="3">
        <f>Table157[[#This Row],[Principal]]+Table157[[#This Row],[Interest]]+Table157[[#This Row],[Prepayments]]+Table157[[#This Row],[RecoveredAmount]]</f>
        <v>60297.24</v>
      </c>
      <c r="Q25" s="3">
        <f ca="1">ROUND(Table157[[#This Row],[Cash Flow]]/((1+ActualRateToUse)^(IF(ISNUMBER(SEARCH("Actual",$C$7)),Table157[[#This Row],[Running Total]]/365,Table157[[#This Row],[Period]]/12))),2)</f>
        <v>58721.48</v>
      </c>
      <c r="R25" s="2">
        <f>IF(MONTH(Table157[[#This Row],[Date]])=2,28,DAY(DATE(YEAR(Table157[[#This Row],[Date]]),MONTH(Table157[[#This Row],[Date]])+1,1)-1))</f>
        <v>31</v>
      </c>
      <c r="S25" s="2">
        <f ca="1">SUM(OFFSET(Table157[[#Headers],[Days in month]],1,0):Table157[[#This Row],[Days in month]])</f>
        <v>274</v>
      </c>
      <c r="T25" s="37">
        <f>InterestRate*AmortizationMultiplier*IF(ISNUMBER(SEARCH("Actual",$C$7)),Table157[[#This Row],[Days in month]]/365,1/12)</f>
        <v>2.9708333333333331E-3</v>
      </c>
    </row>
    <row r="26" spans="2:20" x14ac:dyDescent="0.2">
      <c r="B26" s="1">
        <v>46142</v>
      </c>
      <c r="C26" s="2">
        <f t="shared" si="1"/>
        <v>10</v>
      </c>
      <c r="D26" s="3">
        <f t="shared" si="0"/>
        <v>7019312.6400000015</v>
      </c>
      <c r="E26" s="3">
        <f>ROUND(Table157[[#This Row],[Beginning Balance]]*Table157[[#This Row],[Monthly Interest Rate]],2)</f>
        <v>20180.52</v>
      </c>
      <c r="F26" s="3">
        <f t="shared" si="2"/>
        <v>246</v>
      </c>
      <c r="G26" s="23">
        <f>IFERROR(IF($C$13="No","N/A",IF(Table157[[#This Row],[Period]]=1,$C$6,PMT(InterestRate*AmortizationMultiplier/12,Table157[[#This Row],[Am Thru]],-Table157[[#This Row],[Beginning Balance]]))),0)</f>
        <v>40016.334986768888</v>
      </c>
      <c r="H26" s="3">
        <f>MAX(0,IF(C26=$C$4,D26,ROUND(IF($C$3="Fixed Principal",$C$6-Table157[[#This Row],[Interest]],IF($C$3="Interest Only",Table157[[#This Row],[Beginning Balance]]*ROUND(1-(1-IF($C$11="No",$E$8,1))^(1/12),6),MIN(IF($C$13="Yes",Table157[[#This Row],[Payment Amount (Reamortized)]],$C$6)-Table157[[#This Row],[Interest]],Table157[[#This Row],[Beginning Balance]]))),2)))</f>
        <v>19835.810000000001</v>
      </c>
      <c r="I26" s="3">
        <f>_xlfn.SINGLE(IF($C$3="Line of Credit",0,ROUND(MAX(MIN(IF($C$10="No",$E$7,VLOOKUP(Table157[[#This Row],[Period]],Forecast!$H$2:$L$1048576,4,FALSE))*Table157[[#This Row],[Beginning Balance]],Table157[[#This Row],[Beginning Balance]]-Table157[[#This Row],[Principal]]),0),2)))</f>
        <v>20026.099999999999</v>
      </c>
      <c r="J26" s="3">
        <f>ROUND(MIN(Table157[[#This Row],[Beginning Balance]]*IF($C$8="No",$E$3,VLOOKUP(Table157[[#This Row],[Period]],Forecast!$H$2:$L$1048576,2,FALSE)),Table157[[#This Row],[Beginning Balance]]-Table157[[#This Row],[Principal]]-Table157[[#This Row],[Prepayments]]),2)</f>
        <v>3453.5</v>
      </c>
      <c r="K26" s="3">
        <f>ROUND(Table157[[#This Row],[Defaulted Principal]]*IF($C$9="No",$E$4,VLOOKUP(Table157[[#This Row],[Period]],Forecast!$H$2:$L$1048576,3,FALSE)),2)</f>
        <v>274.86</v>
      </c>
      <c r="L26" s="2">
        <f>Table157[[#This Row],[Period]]+$E$9</f>
        <v>22</v>
      </c>
      <c r="M26" s="3">
        <f>Table157[[#This Row],[Defaulted Principal]]-Table157[[#This Row],[Estimated Loss]]</f>
        <v>3178.64</v>
      </c>
      <c r="N26" s="3">
        <f>IFERROR(VLOOKUP(Table157[[#This Row],[Period]],$L$16:$M$28,2,FALSE),0)</f>
        <v>0</v>
      </c>
      <c r="O26" s="3">
        <f>Table157[[#This Row],[Beginning Balance]]-Table157[[#This Row],[Principal]]-Table157[[#This Row],[Prepayments]]-Table157[[#This Row],[Defaulted Principal]]</f>
        <v>6975997.2300000023</v>
      </c>
      <c r="P26" s="3">
        <f>Table157[[#This Row],[Principal]]+Table157[[#This Row],[Interest]]+Table157[[#This Row],[Prepayments]]+Table157[[#This Row],[RecoveredAmount]]</f>
        <v>60042.43</v>
      </c>
      <c r="Q26" s="3">
        <f ca="1">ROUND(Table157[[#This Row],[Cash Flow]]/((1+ActualRateToUse)^(IF(ISNUMBER(SEARCH("Actual",$C$7)),Table157[[#This Row],[Running Total]]/365,Table157[[#This Row],[Period]]/12))),2)</f>
        <v>58304.04</v>
      </c>
      <c r="R26" s="2">
        <f>IF(MONTH(Table157[[#This Row],[Date]])=2,28,DAY(DATE(YEAR(Table157[[#This Row],[Date]]),MONTH(Table157[[#This Row],[Date]])+1,1)-1))</f>
        <v>30</v>
      </c>
      <c r="S26" s="2">
        <f ca="1">SUM(OFFSET(Table157[[#Headers],[Days in month]],1,0):Table157[[#This Row],[Days in month]])</f>
        <v>304</v>
      </c>
      <c r="T26" s="37">
        <f>InterestRate*AmortizationMultiplier*IF(ISNUMBER(SEARCH("Actual",$C$7)),Table157[[#This Row],[Days in month]]/365,1/12)</f>
        <v>2.8749999999999995E-3</v>
      </c>
    </row>
    <row r="27" spans="2:20" x14ac:dyDescent="0.2">
      <c r="B27" s="1">
        <v>46173</v>
      </c>
      <c r="C27" s="2">
        <f t="shared" si="1"/>
        <v>11</v>
      </c>
      <c r="D27" s="3">
        <f t="shared" si="0"/>
        <v>6975997.2300000023</v>
      </c>
      <c r="E27" s="3">
        <f>ROUND(Table157[[#This Row],[Beginning Balance]]*Table157[[#This Row],[Monthly Interest Rate]],2)</f>
        <v>20724.53</v>
      </c>
      <c r="F27" s="3">
        <f t="shared" si="2"/>
        <v>245</v>
      </c>
      <c r="G27" s="23">
        <f>IFERROR(IF($C$13="No","N/A",IF(Table157[[#This Row],[Period]]=1,$C$6,PMT(InterestRate*AmortizationMultiplier/12,Table157[[#This Row],[Am Thru]],-Table157[[#This Row],[Beginning Balance]]))),0)</f>
        <v>39880.504063184009</v>
      </c>
      <c r="H27" s="3">
        <f>MAX(0,IF(C27=$C$4,D27,ROUND(IF($C$3="Fixed Principal",$C$6-Table157[[#This Row],[Interest]],IF($C$3="Interest Only",Table157[[#This Row],[Beginning Balance]]*ROUND(1-(1-IF($C$11="No",$E$8,1))^(1/12),6),MIN(IF($C$13="Yes",Table157[[#This Row],[Payment Amount (Reamortized)]],$C$6)-Table157[[#This Row],[Interest]],Table157[[#This Row],[Beginning Balance]]))),2)))</f>
        <v>19155.97</v>
      </c>
      <c r="I27" s="3">
        <f>_xlfn.SINGLE(IF($C$3="Line of Credit",0,ROUND(MAX(MIN(IF($C$10="No",$E$7,VLOOKUP(Table157[[#This Row],[Period]],Forecast!$H$2:$L$1048576,4,FALSE))*Table157[[#This Row],[Beginning Balance]],Table157[[#This Row],[Beginning Balance]]-Table157[[#This Row],[Principal]]),0),2)))</f>
        <v>19902.52</v>
      </c>
      <c r="J27" s="3">
        <f>ROUND(MIN(Table157[[#This Row],[Beginning Balance]]*IF($C$8="No",$E$3,VLOOKUP(Table157[[#This Row],[Period]],Forecast!$H$2:$L$1048576,2,FALSE)),Table157[[#This Row],[Beginning Balance]]-Table157[[#This Row],[Principal]]-Table157[[#This Row],[Prepayments]]),2)</f>
        <v>3432.19</v>
      </c>
      <c r="K27" s="3">
        <f>ROUND(Table157[[#This Row],[Defaulted Principal]]*IF($C$9="No",$E$4,VLOOKUP(Table157[[#This Row],[Period]],Forecast!$H$2:$L$1048576,3,FALSE)),2)</f>
        <v>273.16000000000003</v>
      </c>
      <c r="L27" s="2">
        <f>Table157[[#This Row],[Period]]+$E$9</f>
        <v>23</v>
      </c>
      <c r="M27" s="3">
        <f>Table157[[#This Row],[Defaulted Principal]]-Table157[[#This Row],[Estimated Loss]]</f>
        <v>3159.03</v>
      </c>
      <c r="N27" s="3">
        <f>IFERROR(VLOOKUP(Table157[[#This Row],[Period]],$L$16:$M$28,2,FALSE),0)</f>
        <v>0</v>
      </c>
      <c r="O27" s="3">
        <f>Table157[[#This Row],[Beginning Balance]]-Table157[[#This Row],[Principal]]-Table157[[#This Row],[Prepayments]]-Table157[[#This Row],[Defaulted Principal]]</f>
        <v>6933506.5500000026</v>
      </c>
      <c r="P27" s="3">
        <f>Table157[[#This Row],[Principal]]+Table157[[#This Row],[Interest]]+Table157[[#This Row],[Prepayments]]+Table157[[#This Row],[RecoveredAmount]]</f>
        <v>59783.020000000004</v>
      </c>
      <c r="Q27" s="3">
        <f ca="1">ROUND(Table157[[#This Row],[Cash Flow]]/((1+ActualRateToUse)^(IF(ISNUMBER(SEARCH("Actual",$C$7)),Table157[[#This Row],[Running Total]]/365,Table157[[#This Row],[Period]]/12))),2)</f>
        <v>57878.48</v>
      </c>
      <c r="R27" s="2">
        <f>IF(MONTH(Table157[[#This Row],[Date]])=2,28,DAY(DATE(YEAR(Table157[[#This Row],[Date]]),MONTH(Table157[[#This Row],[Date]])+1,1)-1))</f>
        <v>31</v>
      </c>
      <c r="S27" s="2">
        <f ca="1">SUM(OFFSET(Table157[[#Headers],[Days in month]],1,0):Table157[[#This Row],[Days in month]])</f>
        <v>335</v>
      </c>
      <c r="T27" s="37">
        <f>InterestRate*AmortizationMultiplier*IF(ISNUMBER(SEARCH("Actual",$C$7)),Table157[[#This Row],[Days in month]]/365,1/12)</f>
        <v>2.9708333333333331E-3</v>
      </c>
    </row>
    <row r="28" spans="2:20" x14ac:dyDescent="0.2">
      <c r="B28" s="1">
        <v>46203</v>
      </c>
      <c r="C28" s="2">
        <f t="shared" si="1"/>
        <v>12</v>
      </c>
      <c r="D28" s="3">
        <f t="shared" si="0"/>
        <v>6933506.5500000026</v>
      </c>
      <c r="E28" s="3">
        <f>ROUND(Table157[[#This Row],[Beginning Balance]]*Table157[[#This Row],[Monthly Interest Rate]],2)</f>
        <v>19933.830000000002</v>
      </c>
      <c r="F28" s="3">
        <f t="shared" si="2"/>
        <v>244</v>
      </c>
      <c r="G28" s="23">
        <f>IFERROR(IF($C$13="No","N/A",IF(Table157[[#This Row],[Period]]=1,$C$6,PMT(InterestRate*AmortizationMultiplier/12,Table157[[#This Row],[Am Thru]],-Table157[[#This Row],[Beginning Balance]]))),0)</f>
        <v>39748.964705034938</v>
      </c>
      <c r="H28" s="3">
        <f>MAX(0,IF(C28=$C$4,D28,ROUND(IF($C$3="Fixed Principal",$C$6-Table157[[#This Row],[Interest]],IF($C$3="Interest Only",Table157[[#This Row],[Beginning Balance]]*ROUND(1-(1-IF($C$11="No",$E$8,1))^(1/12),6),MIN(IF($C$13="Yes",Table157[[#This Row],[Payment Amount (Reamortized)]],$C$6)-Table157[[#This Row],[Interest]],Table157[[#This Row],[Beginning Balance]]))),2)))</f>
        <v>19815.13</v>
      </c>
      <c r="I28" s="3">
        <f>_xlfn.SINGLE(IF($C$3="Line of Credit",0,ROUND(MAX(MIN(IF($C$10="No",$E$7,VLOOKUP(Table157[[#This Row],[Period]],Forecast!$H$2:$L$1048576,4,FALSE))*Table157[[#This Row],[Beginning Balance]],Table157[[#This Row],[Beginning Balance]]-Table157[[#This Row],[Principal]]),0),2)))</f>
        <v>19781.29</v>
      </c>
      <c r="J28" s="3">
        <f>ROUND(MIN(Table157[[#This Row],[Beginning Balance]]*IF($C$8="No",$E$3,VLOOKUP(Table157[[#This Row],[Period]],Forecast!$H$2:$L$1048576,2,FALSE)),Table157[[#This Row],[Beginning Balance]]-Table157[[#This Row],[Principal]]-Table157[[#This Row],[Prepayments]]),2)</f>
        <v>3411.29</v>
      </c>
      <c r="K28" s="3">
        <f>ROUND(Table157[[#This Row],[Defaulted Principal]]*IF($C$9="No",$E$4,VLOOKUP(Table157[[#This Row],[Period]],Forecast!$H$2:$L$1048576,3,FALSE)),2)</f>
        <v>271.5</v>
      </c>
      <c r="L28" s="2">
        <f>Table157[[#This Row],[Period]]+$E$9</f>
        <v>24</v>
      </c>
      <c r="M28" s="3">
        <f>Table157[[#This Row],[Defaulted Principal]]-Table157[[#This Row],[Estimated Loss]]</f>
        <v>3139.79</v>
      </c>
      <c r="N28" s="3">
        <f>IFERROR(VLOOKUP(Table157[[#This Row],[Period]],$L$16:$M$28,2,FALSE),0)</f>
        <v>0</v>
      </c>
      <c r="O28" s="3">
        <f>Table157[[#This Row],[Beginning Balance]]-Table157[[#This Row],[Principal]]-Table157[[#This Row],[Prepayments]]-Table157[[#This Row],[Defaulted Principal]]</f>
        <v>6890498.8400000026</v>
      </c>
      <c r="P28" s="3">
        <f>Table157[[#This Row],[Principal]]+Table157[[#This Row],[Interest]]+Table157[[#This Row],[Prepayments]]+Table157[[#This Row],[RecoveredAmount]]</f>
        <v>59530.250000000007</v>
      </c>
      <c r="Q28" s="3">
        <f ca="1">ROUND(Table157[[#This Row],[Cash Flow]]/((1+ActualRateToUse)^(IF(ISNUMBER(SEARCH("Actual",$C$7)),Table157[[#This Row],[Running Total]]/365,Table157[[#This Row],[Period]]/12))),2)</f>
        <v>57466.9</v>
      </c>
      <c r="R28" s="2">
        <f>IF(MONTH(Table157[[#This Row],[Date]])=2,28,DAY(DATE(YEAR(Table157[[#This Row],[Date]]),MONTH(Table157[[#This Row],[Date]])+1,1)-1))</f>
        <v>30</v>
      </c>
      <c r="S28" s="2">
        <f ca="1">SUM(OFFSET(Table157[[#Headers],[Days in month]],1,0):Table157[[#This Row],[Days in month]])</f>
        <v>365</v>
      </c>
      <c r="T28" s="37">
        <f>InterestRate*AmortizationMultiplier*IF(ISNUMBER(SEARCH("Actual",$C$7)),Table157[[#This Row],[Days in month]]/365,1/12)</f>
        <v>2.8749999999999995E-3</v>
      </c>
    </row>
    <row r="29" spans="2:20" x14ac:dyDescent="0.2">
      <c r="B29" s="1">
        <v>46234</v>
      </c>
      <c r="C29" s="2">
        <f t="shared" si="1"/>
        <v>13</v>
      </c>
      <c r="D29" s="3">
        <f t="shared" si="0"/>
        <v>6890498.8400000026</v>
      </c>
      <c r="E29" s="3">
        <f>ROUND(Table157[[#This Row],[Beginning Balance]]*Table157[[#This Row],[Monthly Interest Rate]],2)</f>
        <v>20470.52</v>
      </c>
      <c r="F29" s="3">
        <f t="shared" si="2"/>
        <v>243</v>
      </c>
      <c r="G29" s="23">
        <f>IFERROR(IF($C$13="No","N/A",IF(Table157[[#This Row],[Period]]=1,$C$6,PMT(InterestRate*AmortizationMultiplier/12,Table157[[#This Row],[Am Thru]],-Table157[[#This Row],[Beginning Balance]]))),0)</f>
        <v>39614.037016333903</v>
      </c>
      <c r="H29" s="3">
        <f>MAX(0,IF(C29=$C$4,D29,ROUND(IF($C$3="Fixed Principal",$C$6-Table157[[#This Row],[Interest]],IF($C$3="Interest Only",Table157[[#This Row],[Beginning Balance]]*ROUND(1-(1-IF($C$11="No",$E$8,1))^(1/12),6),MIN(IF($C$13="Yes",Table157[[#This Row],[Payment Amount (Reamortized)]],$C$6)-Table157[[#This Row],[Interest]],Table157[[#This Row],[Beginning Balance]]))),2)))</f>
        <v>19143.52</v>
      </c>
      <c r="I29" s="3">
        <f>_xlfn.SINGLE(IF($C$3="Line of Credit",0,ROUND(MAX(MIN(IF($C$10="No",$E$7,VLOOKUP(Table157[[#This Row],[Period]],Forecast!$H$2:$L$1048576,4,FALSE))*Table157[[#This Row],[Beginning Balance]],Table157[[#This Row],[Beginning Balance]]-Table157[[#This Row],[Principal]]),0),2)))</f>
        <v>19658.59</v>
      </c>
      <c r="J29" s="3">
        <f>ROUND(MIN(Table157[[#This Row],[Beginning Balance]]*IF($C$8="No",$E$3,VLOOKUP(Table157[[#This Row],[Period]],Forecast!$H$2:$L$1048576,2,FALSE)),Table157[[#This Row],[Beginning Balance]]-Table157[[#This Row],[Principal]]-Table157[[#This Row],[Prepayments]]),2)</f>
        <v>3555.5</v>
      </c>
      <c r="K29" s="3">
        <f>ROUND(Table157[[#This Row],[Defaulted Principal]]*IF($C$9="No",$E$4,VLOOKUP(Table157[[#This Row],[Period]],Forecast!$H$2:$L$1048576,3,FALSE)),2)</f>
        <v>286.44</v>
      </c>
      <c r="L29" s="2">
        <f>Table157[[#This Row],[Period]]+$E$9</f>
        <v>25</v>
      </c>
      <c r="M29" s="3">
        <f>Table157[[#This Row],[Defaulted Principal]]-Table157[[#This Row],[Estimated Loss]]</f>
        <v>3269.06</v>
      </c>
      <c r="N29" s="3">
        <f>IFERROR(VLOOKUP(Table157[[#This Row],[Period]],$L$16:$M$385,2,FALSE),0)</f>
        <v>3109.7400000000002</v>
      </c>
      <c r="O29" s="3">
        <f>Table157[[#This Row],[Beginning Balance]]-Table157[[#This Row],[Principal]]-Table157[[#This Row],[Prepayments]]-Table157[[#This Row],[Defaulted Principal]]</f>
        <v>6848141.2300000032</v>
      </c>
      <c r="P29" s="3">
        <f>Table157[[#This Row],[Principal]]+Table157[[#This Row],[Interest]]+Table157[[#This Row],[Prepayments]]+Table157[[#This Row],[RecoveredAmount]]</f>
        <v>62382.37</v>
      </c>
      <c r="Q29" s="3">
        <f ca="1">ROUND(Table157[[#This Row],[Cash Flow]]/((1+ActualRateToUse)^(IF(ISNUMBER(SEARCH("Actual",$C$7)),Table157[[#This Row],[Running Total]]/365,Table157[[#This Row],[Period]]/12))),2)</f>
        <v>60040.02</v>
      </c>
      <c r="R29" s="2">
        <f>IF(MONTH(Table157[[#This Row],[Date]])=2,28,DAY(DATE(YEAR(Table157[[#This Row],[Date]]),MONTH(Table157[[#This Row],[Date]])+1,1)-1))</f>
        <v>31</v>
      </c>
      <c r="S29" s="2">
        <f ca="1">SUM(OFFSET(Table157[[#Headers],[Days in month]],1,0):Table157[[#This Row],[Days in month]])</f>
        <v>396</v>
      </c>
      <c r="T29" s="37">
        <f>InterestRate*AmortizationMultiplier*IF(ISNUMBER(SEARCH("Actual",$C$7)),Table157[[#This Row],[Days in month]]/365,1/12)</f>
        <v>2.9708333333333331E-3</v>
      </c>
    </row>
    <row r="30" spans="2:20" x14ac:dyDescent="0.2">
      <c r="B30" s="1">
        <v>46265</v>
      </c>
      <c r="C30" s="2">
        <f t="shared" si="1"/>
        <v>14</v>
      </c>
      <c r="D30" s="3">
        <f t="shared" si="0"/>
        <v>6848141.2300000032</v>
      </c>
      <c r="E30" s="3">
        <f>ROUND(Table157[[#This Row],[Beginning Balance]]*Table157[[#This Row],[Monthly Interest Rate]],2)</f>
        <v>20344.689999999999</v>
      </c>
      <c r="F30" s="3">
        <f t="shared" si="2"/>
        <v>242</v>
      </c>
      <c r="G30" s="23">
        <f>IFERROR(IF($C$13="No","N/A",IF(Table157[[#This Row],[Period]]=1,$C$6,PMT(InterestRate*AmortizationMultiplier/12,Table157[[#This Row],[Am Thru]],-Table157[[#This Row],[Beginning Balance]]))),0)</f>
        <v>39482.41879982665</v>
      </c>
      <c r="H30" s="3">
        <f>MAX(0,IF(C30=$C$4,D30,ROUND(IF($C$3="Fixed Principal",$C$6-Table157[[#This Row],[Interest]],IF($C$3="Interest Only",Table157[[#This Row],[Beginning Balance]]*ROUND(1-(1-IF($C$11="No",$E$8,1))^(1/12),6),MIN(IF($C$13="Yes",Table157[[#This Row],[Payment Amount (Reamortized)]],$C$6)-Table157[[#This Row],[Interest]],Table157[[#This Row],[Beginning Balance]]))),2)))</f>
        <v>19137.73</v>
      </c>
      <c r="I30" s="3">
        <f>_xlfn.SINGLE(IF($C$3="Line of Credit",0,ROUND(MAX(MIN(IF($C$10="No",$E$7,VLOOKUP(Table157[[#This Row],[Period]],Forecast!$H$2:$L$1048576,4,FALSE))*Table157[[#This Row],[Beginning Balance]],Table157[[#This Row],[Beginning Balance]]-Table157[[#This Row],[Principal]]),0),2)))</f>
        <v>19537.75</v>
      </c>
      <c r="J30" s="3">
        <f>ROUND(MIN(Table157[[#This Row],[Beginning Balance]]*IF($C$8="No",$E$3,VLOOKUP(Table157[[#This Row],[Period]],Forecast!$H$2:$L$1048576,2,FALSE)),Table157[[#This Row],[Beginning Balance]]-Table157[[#This Row],[Principal]]-Table157[[#This Row],[Prepayments]]),2)</f>
        <v>3533.64</v>
      </c>
      <c r="K30" s="3">
        <f>ROUND(Table157[[#This Row],[Defaulted Principal]]*IF($C$9="No",$E$4,VLOOKUP(Table157[[#This Row],[Period]],Forecast!$H$2:$L$1048576,3,FALSE)),2)</f>
        <v>284.68</v>
      </c>
      <c r="L30" s="2">
        <f>Table157[[#This Row],[Period]]+$E$9</f>
        <v>26</v>
      </c>
      <c r="M30" s="3">
        <f>Table157[[#This Row],[Defaulted Principal]]-Table157[[#This Row],[Estimated Loss]]</f>
        <v>3248.96</v>
      </c>
      <c r="N30" s="3">
        <f>IFERROR(VLOOKUP(Table157[[#This Row],[Period]],$L$16:$M$385,2,FALSE),0)</f>
        <v>3091.39</v>
      </c>
      <c r="O30" s="3">
        <f>Table157[[#This Row],[Beginning Balance]]-Table157[[#This Row],[Principal]]-Table157[[#This Row],[Prepayments]]-Table157[[#This Row],[Defaulted Principal]]</f>
        <v>6805932.1100000031</v>
      </c>
      <c r="P30" s="3">
        <f>Table157[[#This Row],[Principal]]+Table157[[#This Row],[Interest]]+Table157[[#This Row],[Prepayments]]+Table157[[#This Row],[RecoveredAmount]]</f>
        <v>62111.56</v>
      </c>
      <c r="Q30" s="3">
        <f ca="1">ROUND(Table157[[#This Row],[Cash Flow]]/((1+ActualRateToUse)^(IF(ISNUMBER(SEARCH("Actual",$C$7)),Table157[[#This Row],[Running Total]]/365,Table157[[#This Row],[Period]]/12))),2)</f>
        <v>59600.54</v>
      </c>
      <c r="R30" s="2">
        <f>IF(MONTH(Table157[[#This Row],[Date]])=2,28,DAY(DATE(YEAR(Table157[[#This Row],[Date]]),MONTH(Table157[[#This Row],[Date]])+1,1)-1))</f>
        <v>31</v>
      </c>
      <c r="S30" s="2">
        <f ca="1">SUM(OFFSET(Table157[[#Headers],[Days in month]],1,0):Table157[[#This Row],[Days in month]])</f>
        <v>427</v>
      </c>
      <c r="T30" s="37">
        <f>InterestRate*AmortizationMultiplier*IF(ISNUMBER(SEARCH("Actual",$C$7)),Table157[[#This Row],[Days in month]]/365,1/12)</f>
        <v>2.9708333333333331E-3</v>
      </c>
    </row>
    <row r="31" spans="2:20" x14ac:dyDescent="0.2">
      <c r="B31" s="1">
        <v>46295</v>
      </c>
      <c r="C31" s="2">
        <f t="shared" si="1"/>
        <v>15</v>
      </c>
      <c r="D31" s="3">
        <f t="shared" si="0"/>
        <v>6805932.1100000031</v>
      </c>
      <c r="E31" s="3">
        <f>ROUND(Table157[[#This Row],[Beginning Balance]]*Table157[[#This Row],[Monthly Interest Rate]],2)</f>
        <v>19567.05</v>
      </c>
      <c r="F31" s="3">
        <f t="shared" si="2"/>
        <v>241</v>
      </c>
      <c r="G31" s="23">
        <f>IFERROR(IF($C$13="No","N/A",IF(Table157[[#This Row],[Period]]=1,$C$6,PMT(InterestRate*AmortizationMultiplier/12,Table157[[#This Row],[Am Thru]],-Table157[[#This Row],[Beginning Balance]]))),0)</f>
        <v>39351.235773894434</v>
      </c>
      <c r="H31" s="3">
        <f>MAX(0,IF(C31=$C$4,D31,ROUND(IF($C$3="Fixed Principal",$C$6-Table157[[#This Row],[Interest]],IF($C$3="Interest Only",Table157[[#This Row],[Beginning Balance]]*ROUND(1-(1-IF($C$11="No",$E$8,1))^(1/12),6),MIN(IF($C$13="Yes",Table157[[#This Row],[Payment Amount (Reamortized)]],$C$6)-Table157[[#This Row],[Interest]],Table157[[#This Row],[Beginning Balance]]))),2)))</f>
        <v>19784.189999999999</v>
      </c>
      <c r="I31" s="3">
        <f>_xlfn.SINGLE(IF($C$3="Line of Credit",0,ROUND(MAX(MIN(IF($C$10="No",$E$7,VLOOKUP(Table157[[#This Row],[Period]],Forecast!$H$2:$L$1048576,4,FALSE))*Table157[[#This Row],[Beginning Balance]],Table157[[#This Row],[Beginning Balance]]-Table157[[#This Row],[Principal]]),0),2)))</f>
        <v>19417.32</v>
      </c>
      <c r="J31" s="3">
        <f>ROUND(MIN(Table157[[#This Row],[Beginning Balance]]*IF($C$8="No",$E$3,VLOOKUP(Table157[[#This Row],[Period]],Forecast!$H$2:$L$1048576,2,FALSE)),Table157[[#This Row],[Beginning Balance]]-Table157[[#This Row],[Principal]]-Table157[[#This Row],[Prepayments]]),2)</f>
        <v>3511.86</v>
      </c>
      <c r="K31" s="3">
        <f>ROUND(Table157[[#This Row],[Defaulted Principal]]*IF($C$9="No",$E$4,VLOOKUP(Table157[[#This Row],[Period]],Forecast!$H$2:$L$1048576,3,FALSE)),2)</f>
        <v>282.93</v>
      </c>
      <c r="L31" s="2">
        <f>Table157[[#This Row],[Period]]+$E$9</f>
        <v>27</v>
      </c>
      <c r="M31" s="3">
        <f>Table157[[#This Row],[Defaulted Principal]]-Table157[[#This Row],[Estimated Loss]]</f>
        <v>3228.9300000000003</v>
      </c>
      <c r="N31" s="3">
        <f>IFERROR(VLOOKUP(Table157[[#This Row],[Period]],$L$16:$M$385,2,FALSE),0)</f>
        <v>3073.1000000000004</v>
      </c>
      <c r="O31" s="3">
        <f>Table157[[#This Row],[Beginning Balance]]-Table157[[#This Row],[Principal]]-Table157[[#This Row],[Prepayments]]-Table157[[#This Row],[Defaulted Principal]]</f>
        <v>6763218.7400000021</v>
      </c>
      <c r="P31" s="3">
        <f>Table157[[#This Row],[Principal]]+Table157[[#This Row],[Interest]]+Table157[[#This Row],[Prepayments]]+Table157[[#This Row],[RecoveredAmount]]</f>
        <v>61841.659999999996</v>
      </c>
      <c r="Q31" s="3">
        <f ca="1">ROUND(Table157[[#This Row],[Cash Flow]]/((1+ActualRateToUse)^(IF(ISNUMBER(SEARCH("Actual",$C$7)),Table157[[#This Row],[Running Total]]/365,Table157[[#This Row],[Period]]/12))),2)</f>
        <v>59169.75</v>
      </c>
      <c r="R31" s="2">
        <f>IF(MONTH(Table157[[#This Row],[Date]])=2,28,DAY(DATE(YEAR(Table157[[#This Row],[Date]]),MONTH(Table157[[#This Row],[Date]])+1,1)-1))</f>
        <v>30</v>
      </c>
      <c r="S31" s="2">
        <f ca="1">SUM(OFFSET(Table157[[#Headers],[Days in month]],1,0):Table157[[#This Row],[Days in month]])</f>
        <v>457</v>
      </c>
      <c r="T31" s="37">
        <f>InterestRate*AmortizationMultiplier*IF(ISNUMBER(SEARCH("Actual",$C$7)),Table157[[#This Row],[Days in month]]/365,1/12)</f>
        <v>2.8749999999999995E-3</v>
      </c>
    </row>
    <row r="32" spans="2:20" x14ac:dyDescent="0.2">
      <c r="B32" s="1">
        <v>46326</v>
      </c>
      <c r="C32" s="2">
        <f t="shared" si="1"/>
        <v>16</v>
      </c>
      <c r="D32" s="3">
        <f t="shared" si="0"/>
        <v>6763218.7400000021</v>
      </c>
      <c r="E32" s="3">
        <f>ROUND(Table157[[#This Row],[Beginning Balance]]*Table157[[#This Row],[Monthly Interest Rate]],2)</f>
        <v>20092.400000000001</v>
      </c>
      <c r="F32" s="3">
        <f t="shared" si="2"/>
        <v>240</v>
      </c>
      <c r="G32" s="23">
        <f>IFERROR(IF($C$13="No","N/A",IF(Table157[[#This Row],[Period]]=1,$C$6,PMT(InterestRate*AmortizationMultiplier/12,Table157[[#This Row],[Am Thru]],-Table157[[#This Row],[Beginning Balance]]))),0)</f>
        <v>39216.704424501972</v>
      </c>
      <c r="H32" s="3">
        <f>MAX(0,IF(C32=$C$4,D32,ROUND(IF($C$3="Fixed Principal",$C$6-Table157[[#This Row],[Interest]],IF($C$3="Interest Only",Table157[[#This Row],[Beginning Balance]]*ROUND(1-(1-IF($C$11="No",$E$8,1))^(1/12),6),MIN(IF($C$13="Yes",Table157[[#This Row],[Payment Amount (Reamortized)]],$C$6)-Table157[[#This Row],[Interest]],Table157[[#This Row],[Beginning Balance]]))),2)))</f>
        <v>19124.3</v>
      </c>
      <c r="I32" s="3">
        <f>_xlfn.SINGLE(IF($C$3="Line of Credit",0,ROUND(MAX(MIN(IF($C$10="No",$E$7,VLOOKUP(Table157[[#This Row],[Period]],Forecast!$H$2:$L$1048576,4,FALSE))*Table157[[#This Row],[Beginning Balance]],Table157[[#This Row],[Beginning Balance]]-Table157[[#This Row],[Principal]]),0),2)))</f>
        <v>19295.46</v>
      </c>
      <c r="J32" s="3">
        <f>ROUND(MIN(Table157[[#This Row],[Beginning Balance]]*IF($C$8="No",$E$3,VLOOKUP(Table157[[#This Row],[Period]],Forecast!$H$2:$L$1048576,2,FALSE)),Table157[[#This Row],[Beginning Balance]]-Table157[[#This Row],[Principal]]-Table157[[#This Row],[Prepayments]]),2)</f>
        <v>3652.14</v>
      </c>
      <c r="K32" s="3">
        <f>ROUND(Table157[[#This Row],[Defaulted Principal]]*IF($C$9="No",$E$4,VLOOKUP(Table157[[#This Row],[Period]],Forecast!$H$2:$L$1048576,3,FALSE)),2)</f>
        <v>297.68</v>
      </c>
      <c r="L32" s="2">
        <f>Table157[[#This Row],[Period]]+$E$9</f>
        <v>28</v>
      </c>
      <c r="M32" s="3">
        <f>Table157[[#This Row],[Defaulted Principal]]-Table157[[#This Row],[Estimated Loss]]</f>
        <v>3354.46</v>
      </c>
      <c r="N32" s="3">
        <f>IFERROR(VLOOKUP(Table157[[#This Row],[Period]],$L$16:$M$385,2,FALSE),0)</f>
        <v>3356.2699999999995</v>
      </c>
      <c r="O32" s="3">
        <f>Table157[[#This Row],[Beginning Balance]]-Table157[[#This Row],[Principal]]-Table157[[#This Row],[Prepayments]]-Table157[[#This Row],[Defaulted Principal]]</f>
        <v>6721146.8400000026</v>
      </c>
      <c r="P32" s="3">
        <f>Table157[[#This Row],[Principal]]+Table157[[#This Row],[Interest]]+Table157[[#This Row],[Prepayments]]+Table157[[#This Row],[RecoveredAmount]]</f>
        <v>61868.429999999993</v>
      </c>
      <c r="Q32" s="3">
        <f ca="1">ROUND(Table157[[#This Row],[Cash Flow]]/((1+ActualRateToUse)^(IF(ISNUMBER(SEARCH("Actual",$C$7)),Table157[[#This Row],[Running Total]]/365,Table157[[#This Row],[Period]]/12))),2)</f>
        <v>59018.28</v>
      </c>
      <c r="R32" s="2">
        <f>IF(MONTH(Table157[[#This Row],[Date]])=2,28,DAY(DATE(YEAR(Table157[[#This Row],[Date]]),MONTH(Table157[[#This Row],[Date]])+1,1)-1))</f>
        <v>31</v>
      </c>
      <c r="S32" s="2">
        <f ca="1">SUM(OFFSET(Table157[[#Headers],[Days in month]],1,0):Table157[[#This Row],[Days in month]])</f>
        <v>488</v>
      </c>
      <c r="T32" s="37">
        <f>InterestRate*AmortizationMultiplier*IF(ISNUMBER(SEARCH("Actual",$C$7)),Table157[[#This Row],[Days in month]]/365,1/12)</f>
        <v>2.9708333333333331E-3</v>
      </c>
    </row>
    <row r="33" spans="2:20" x14ac:dyDescent="0.2">
      <c r="B33" s="1">
        <v>46356</v>
      </c>
      <c r="C33" s="2">
        <f t="shared" si="1"/>
        <v>17</v>
      </c>
      <c r="D33" s="3">
        <f t="shared" si="0"/>
        <v>6721146.8400000026</v>
      </c>
      <c r="E33" s="3">
        <f>ROUND(Table157[[#This Row],[Beginning Balance]]*Table157[[#This Row],[Monthly Interest Rate]],2)</f>
        <v>19323.3</v>
      </c>
      <c r="F33" s="3">
        <f t="shared" si="2"/>
        <v>239</v>
      </c>
      <c r="G33" s="23">
        <f>IFERROR(IF($C$13="No","N/A",IF(Table157[[#This Row],[Period]]=1,$C$6,PMT(InterestRate*AmortizationMultiplier/12,Table157[[#This Row],[Am Thru]],-Table157[[#This Row],[Beginning Balance]]))),0)</f>
        <v>39085.456059436736</v>
      </c>
      <c r="H33" s="3">
        <f>MAX(0,IF(C33=$C$4,D33,ROUND(IF($C$3="Fixed Principal",$C$6-Table157[[#This Row],[Interest]],IF($C$3="Interest Only",Table157[[#This Row],[Beginning Balance]]*ROUND(1-(1-IF($C$11="No",$E$8,1))^(1/12),6),MIN(IF($C$13="Yes",Table157[[#This Row],[Payment Amount (Reamortized)]],$C$6)-Table157[[#This Row],[Interest]],Table157[[#This Row],[Beginning Balance]]))),2)))</f>
        <v>19762.16</v>
      </c>
      <c r="I33" s="3">
        <f>_xlfn.SINGLE(IF($C$3="Line of Credit",0,ROUND(MAX(MIN(IF($C$10="No",$E$7,VLOOKUP(Table157[[#This Row],[Period]],Forecast!$H$2:$L$1048576,4,FALSE))*Table157[[#This Row],[Beginning Balance]],Table157[[#This Row],[Beginning Balance]]-Table157[[#This Row],[Principal]]),0),2)))</f>
        <v>19175.43</v>
      </c>
      <c r="J33" s="3">
        <f>ROUND(MIN(Table157[[#This Row],[Beginning Balance]]*IF($C$8="No",$E$3,VLOOKUP(Table157[[#This Row],[Period]],Forecast!$H$2:$L$1048576,2,FALSE)),Table157[[#This Row],[Beginning Balance]]-Table157[[#This Row],[Principal]]-Table157[[#This Row],[Prepayments]]),2)</f>
        <v>3629.42</v>
      </c>
      <c r="K33" s="3">
        <f>ROUND(Table157[[#This Row],[Defaulted Principal]]*IF($C$9="No",$E$4,VLOOKUP(Table157[[#This Row],[Period]],Forecast!$H$2:$L$1048576,3,FALSE)),2)</f>
        <v>295.83</v>
      </c>
      <c r="L33" s="2">
        <f>Table157[[#This Row],[Period]]+$E$9</f>
        <v>29</v>
      </c>
      <c r="M33" s="3">
        <f>Table157[[#This Row],[Defaulted Principal]]-Table157[[#This Row],[Estimated Loss]]</f>
        <v>3333.59</v>
      </c>
      <c r="N33" s="3">
        <f>IFERROR(VLOOKUP(Table157[[#This Row],[Period]],$L$16:$M$385,2,FALSE),0)</f>
        <v>3336.16</v>
      </c>
      <c r="O33" s="3">
        <f>Table157[[#This Row],[Beginning Balance]]-Table157[[#This Row],[Principal]]-Table157[[#This Row],[Prepayments]]-Table157[[#This Row],[Defaulted Principal]]</f>
        <v>6678579.8300000029</v>
      </c>
      <c r="P33" s="3">
        <f>Table157[[#This Row],[Principal]]+Table157[[#This Row],[Interest]]+Table157[[#This Row],[Prepayments]]+Table157[[#This Row],[RecoveredAmount]]</f>
        <v>61597.05</v>
      </c>
      <c r="Q33" s="3">
        <f ca="1">ROUND(Table157[[#This Row],[Cash Flow]]/((1+ActualRateToUse)^(IF(ISNUMBER(SEARCH("Actual",$C$7)),Table157[[#This Row],[Running Total]]/365,Table157[[#This Row],[Period]]/12))),2)</f>
        <v>58589.29</v>
      </c>
      <c r="R33" s="2">
        <f>IF(MONTH(Table157[[#This Row],[Date]])=2,28,DAY(DATE(YEAR(Table157[[#This Row],[Date]]),MONTH(Table157[[#This Row],[Date]])+1,1)-1))</f>
        <v>30</v>
      </c>
      <c r="S33" s="2">
        <f ca="1">SUM(OFFSET(Table157[[#Headers],[Days in month]],1,0):Table157[[#This Row],[Days in month]])</f>
        <v>518</v>
      </c>
      <c r="T33" s="37">
        <f>InterestRate*AmortizationMultiplier*IF(ISNUMBER(SEARCH("Actual",$C$7)),Table157[[#This Row],[Days in month]]/365,1/12)</f>
        <v>2.8749999999999995E-3</v>
      </c>
    </row>
    <row r="34" spans="2:20" x14ac:dyDescent="0.2">
      <c r="B34" s="1">
        <v>46387</v>
      </c>
      <c r="C34" s="2">
        <f t="shared" si="1"/>
        <v>18</v>
      </c>
      <c r="D34" s="3">
        <f t="shared" si="0"/>
        <v>6678579.8300000029</v>
      </c>
      <c r="E34" s="3">
        <f>ROUND(Table157[[#This Row],[Beginning Balance]]*Table157[[#This Row],[Monthly Interest Rate]],2)</f>
        <v>19840.95</v>
      </c>
      <c r="F34" s="3">
        <f t="shared" si="2"/>
        <v>238</v>
      </c>
      <c r="G34" s="23">
        <f>IFERROR(IF($C$13="No","N/A",IF(Table157[[#This Row],[Period]]=1,$C$6,PMT(InterestRate*AmortizationMultiplier/12,Table157[[#This Row],[Am Thru]],-Table157[[#This Row],[Beginning Balance]]))),0)</f>
        <v>38950.888107573206</v>
      </c>
      <c r="H34" s="3">
        <f>MAX(0,IF(C34=$C$4,D34,ROUND(IF($C$3="Fixed Principal",$C$6-Table157[[#This Row],[Interest]],IF($C$3="Interest Only",Table157[[#This Row],[Beginning Balance]]*ROUND(1-(1-IF($C$11="No",$E$8,1))^(1/12),6),MIN(IF($C$13="Yes",Table157[[#This Row],[Payment Amount (Reamortized)]],$C$6)-Table157[[#This Row],[Interest]],Table157[[#This Row],[Beginning Balance]]))),2)))</f>
        <v>19109.939999999999</v>
      </c>
      <c r="I34" s="3">
        <f>_xlfn.SINGLE(IF($C$3="Line of Credit",0,ROUND(MAX(MIN(IF($C$10="No",$E$7,VLOOKUP(Table157[[#This Row],[Period]],Forecast!$H$2:$L$1048576,4,FALSE))*Table157[[#This Row],[Beginning Balance]],Table157[[#This Row],[Beginning Balance]]-Table157[[#This Row],[Principal]]),0),2)))</f>
        <v>19053.990000000002</v>
      </c>
      <c r="J34" s="3">
        <f>ROUND(MIN(Table157[[#This Row],[Beginning Balance]]*IF($C$8="No",$E$3,VLOOKUP(Table157[[#This Row],[Period]],Forecast!$H$2:$L$1048576,2,FALSE)),Table157[[#This Row],[Beginning Balance]]-Table157[[#This Row],[Principal]]-Table157[[#This Row],[Prepayments]]),2)</f>
        <v>3606.43</v>
      </c>
      <c r="K34" s="3">
        <f>ROUND(Table157[[#This Row],[Defaulted Principal]]*IF($C$9="No",$E$4,VLOOKUP(Table157[[#This Row],[Period]],Forecast!$H$2:$L$1048576,3,FALSE)),2)</f>
        <v>293.95999999999998</v>
      </c>
      <c r="L34" s="2">
        <f>Table157[[#This Row],[Period]]+$E$9</f>
        <v>30</v>
      </c>
      <c r="M34" s="3">
        <f>Table157[[#This Row],[Defaulted Principal]]-Table157[[#This Row],[Estimated Loss]]</f>
        <v>3312.47</v>
      </c>
      <c r="N34" s="3">
        <f>IFERROR(VLOOKUP(Table157[[#This Row],[Period]],$L$16:$M$385,2,FALSE),0)</f>
        <v>3315.8100000000004</v>
      </c>
      <c r="O34" s="3">
        <f>Table157[[#This Row],[Beginning Balance]]-Table157[[#This Row],[Principal]]-Table157[[#This Row],[Prepayments]]-Table157[[#This Row],[Defaulted Principal]]</f>
        <v>6636809.4700000025</v>
      </c>
      <c r="P34" s="3">
        <f>Table157[[#This Row],[Principal]]+Table157[[#This Row],[Interest]]+Table157[[#This Row],[Prepayments]]+Table157[[#This Row],[RecoveredAmount]]</f>
        <v>61320.69</v>
      </c>
      <c r="Q34" s="3">
        <f ca="1">ROUND(Table157[[#This Row],[Cash Flow]]/((1+ActualRateToUse)^(IF(ISNUMBER(SEARCH("Actual",$C$7)),Table157[[#This Row],[Running Total]]/365,Table157[[#This Row],[Period]]/12))),2)</f>
        <v>58151.94</v>
      </c>
      <c r="R34" s="2">
        <f>IF(MONTH(Table157[[#This Row],[Date]])=2,28,DAY(DATE(YEAR(Table157[[#This Row],[Date]]),MONTH(Table157[[#This Row],[Date]])+1,1)-1))</f>
        <v>31</v>
      </c>
      <c r="S34" s="2">
        <f ca="1">SUM(OFFSET(Table157[[#Headers],[Days in month]],1,0):Table157[[#This Row],[Days in month]])</f>
        <v>549</v>
      </c>
      <c r="T34" s="37">
        <f>InterestRate*AmortizationMultiplier*IF(ISNUMBER(SEARCH("Actual",$C$7)),Table157[[#This Row],[Days in month]]/365,1/12)</f>
        <v>2.9708333333333331E-3</v>
      </c>
    </row>
    <row r="35" spans="2:20" x14ac:dyDescent="0.2">
      <c r="B35" s="1">
        <v>46418</v>
      </c>
      <c r="C35" s="2">
        <f t="shared" si="1"/>
        <v>19</v>
      </c>
      <c r="D35" s="3">
        <f t="shared" si="0"/>
        <v>6636809.4700000025</v>
      </c>
      <c r="E35" s="3">
        <f>ROUND(Table157[[#This Row],[Beginning Balance]]*Table157[[#This Row],[Monthly Interest Rate]],2)</f>
        <v>19716.849999999999</v>
      </c>
      <c r="F35" s="3">
        <f t="shared" si="2"/>
        <v>237</v>
      </c>
      <c r="G35" s="23">
        <f>IFERROR(IF($C$13="No","N/A",IF(Table157[[#This Row],[Period]]=1,$C$6,PMT(InterestRate*AmortizationMultiplier/12,Table157[[#This Row],[Am Thru]],-Table157[[#This Row],[Beginning Balance]]))),0)</f>
        <v>38820.524912076209</v>
      </c>
      <c r="H35" s="3">
        <f>MAX(0,IF(C35=$C$4,D35,ROUND(IF($C$3="Fixed Principal",$C$6-Table157[[#This Row],[Interest]],IF($C$3="Interest Only",Table157[[#This Row],[Beginning Balance]]*ROUND(1-(1-IF($C$11="No",$E$8,1))^(1/12),6),MIN(IF($C$13="Yes",Table157[[#This Row],[Payment Amount (Reamortized)]],$C$6)-Table157[[#This Row],[Interest]],Table157[[#This Row],[Beginning Balance]]))),2)))</f>
        <v>19103.669999999998</v>
      </c>
      <c r="I35" s="3">
        <f>_xlfn.SINGLE(IF($C$3="Line of Credit",0,ROUND(MAX(MIN(IF($C$10="No",$E$7,VLOOKUP(Table157[[#This Row],[Period]],Forecast!$H$2:$L$1048576,4,FALSE))*Table157[[#This Row],[Beginning Balance]],Table157[[#This Row],[Beginning Balance]]-Table157[[#This Row],[Principal]]),0),2)))</f>
        <v>18934.82</v>
      </c>
      <c r="J35" s="3">
        <f>ROUND(MIN(Table157[[#This Row],[Beginning Balance]]*IF($C$8="No",$E$3,VLOOKUP(Table157[[#This Row],[Period]],Forecast!$H$2:$L$1048576,2,FALSE)),Table157[[#This Row],[Beginning Balance]]-Table157[[#This Row],[Principal]]-Table157[[#This Row],[Prepayments]]),2)</f>
        <v>3743.16</v>
      </c>
      <c r="K35" s="3">
        <f>ROUND(Table157[[#This Row],[Defaulted Principal]]*IF($C$9="No",$E$4,VLOOKUP(Table157[[#This Row],[Period]],Forecast!$H$2:$L$1048576,3,FALSE)),2)</f>
        <v>308.54000000000002</v>
      </c>
      <c r="L35" s="2">
        <f>Table157[[#This Row],[Period]]+$E$9</f>
        <v>31</v>
      </c>
      <c r="M35" s="3">
        <f>Table157[[#This Row],[Defaulted Principal]]-Table157[[#This Row],[Estimated Loss]]</f>
        <v>3434.62</v>
      </c>
      <c r="N35" s="3">
        <f>IFERROR(VLOOKUP(Table157[[#This Row],[Period]],$L$16:$M$385,2,FALSE),0)</f>
        <v>3270.1899999999996</v>
      </c>
      <c r="O35" s="3">
        <f>Table157[[#This Row],[Beginning Balance]]-Table157[[#This Row],[Principal]]-Table157[[#This Row],[Prepayments]]-Table157[[#This Row],[Defaulted Principal]]</f>
        <v>6595027.8200000022</v>
      </c>
      <c r="P35" s="3">
        <f>Table157[[#This Row],[Principal]]+Table157[[#This Row],[Interest]]+Table157[[#This Row],[Prepayments]]+Table157[[#This Row],[RecoveredAmount]]</f>
        <v>61025.53</v>
      </c>
      <c r="Q35" s="3">
        <f ca="1">ROUND(Table157[[#This Row],[Cash Flow]]/((1+ActualRateToUse)^(IF(ISNUMBER(SEARCH("Actual",$C$7)),Table157[[#This Row],[Running Total]]/365,Table157[[#This Row],[Period]]/12))),2)</f>
        <v>57698.9</v>
      </c>
      <c r="R35" s="2">
        <f>IF(MONTH(Table157[[#This Row],[Date]])=2,28,DAY(DATE(YEAR(Table157[[#This Row],[Date]]),MONTH(Table157[[#This Row],[Date]])+1,1)-1))</f>
        <v>31</v>
      </c>
      <c r="S35" s="2">
        <f ca="1">SUM(OFFSET(Table157[[#Headers],[Days in month]],1,0):Table157[[#This Row],[Days in month]])</f>
        <v>580</v>
      </c>
      <c r="T35" s="37">
        <f>InterestRate*AmortizationMultiplier*IF(ISNUMBER(SEARCH("Actual",$C$7)),Table157[[#This Row],[Days in month]]/365,1/12)</f>
        <v>2.9708333333333331E-3</v>
      </c>
    </row>
    <row r="36" spans="2:20" x14ac:dyDescent="0.2">
      <c r="B36" s="1">
        <v>46446</v>
      </c>
      <c r="C36" s="2">
        <f t="shared" si="1"/>
        <v>20</v>
      </c>
      <c r="D36" s="3">
        <f t="shared" si="0"/>
        <v>6595027.8200000022</v>
      </c>
      <c r="E36" s="3">
        <f>ROUND(Table157[[#This Row],[Beginning Balance]]*Table157[[#This Row],[Monthly Interest Rate]],2)</f>
        <v>17696.66</v>
      </c>
      <c r="F36" s="3">
        <f t="shared" si="2"/>
        <v>236</v>
      </c>
      <c r="G36" s="23">
        <f>IFERROR(IF($C$13="No","N/A",IF(Table157[[#This Row],[Period]]=1,$C$6,PMT(InterestRate*AmortizationMultiplier/12,Table157[[#This Row],[Am Thru]],-Table157[[#This Row],[Beginning Balance]]))),0)</f>
        <v>38689.661343534492</v>
      </c>
      <c r="H36" s="3">
        <f>MAX(0,IF(C36=$C$4,D36,ROUND(IF($C$3="Fixed Principal",$C$6-Table157[[#This Row],[Interest]],IF($C$3="Interest Only",Table157[[#This Row],[Beginning Balance]]*ROUND(1-(1-IF($C$11="No",$E$8,1))^(1/12),6),MIN(IF($C$13="Yes",Table157[[#This Row],[Payment Amount (Reamortized)]],$C$6)-Table157[[#This Row],[Interest]],Table157[[#This Row],[Beginning Balance]]))),2)))</f>
        <v>20993</v>
      </c>
      <c r="I36" s="3">
        <f>_xlfn.SINGLE(IF($C$3="Line of Credit",0,ROUND(MAX(MIN(IF($C$10="No",$E$7,VLOOKUP(Table157[[#This Row],[Period]],Forecast!$H$2:$L$1048576,4,FALSE))*Table157[[#This Row],[Beginning Balance]],Table157[[#This Row],[Beginning Balance]]-Table157[[#This Row],[Principal]]),0),2)))</f>
        <v>18815.61</v>
      </c>
      <c r="J36" s="3">
        <f>ROUND(MIN(Table157[[#This Row],[Beginning Balance]]*IF($C$8="No",$E$3,VLOOKUP(Table157[[#This Row],[Period]],Forecast!$H$2:$L$1048576,2,FALSE)),Table157[[#This Row],[Beginning Balance]]-Table157[[#This Row],[Principal]]-Table157[[#This Row],[Prepayments]]),2)</f>
        <v>3719.6</v>
      </c>
      <c r="K36" s="3">
        <f>ROUND(Table157[[#This Row],[Defaulted Principal]]*IF($C$9="No",$E$4,VLOOKUP(Table157[[#This Row],[Period]],Forecast!$H$2:$L$1048576,3,FALSE)),2)</f>
        <v>306.60000000000002</v>
      </c>
      <c r="L36" s="2">
        <f>Table157[[#This Row],[Period]]+$E$9</f>
        <v>32</v>
      </c>
      <c r="M36" s="3">
        <f>Table157[[#This Row],[Defaulted Principal]]-Table157[[#This Row],[Estimated Loss]]</f>
        <v>3413</v>
      </c>
      <c r="N36" s="3">
        <f>IFERROR(VLOOKUP(Table157[[#This Row],[Period]],$L$16:$M$385,2,FALSE),0)</f>
        <v>3250.46</v>
      </c>
      <c r="O36" s="3">
        <f>Table157[[#This Row],[Beginning Balance]]-Table157[[#This Row],[Principal]]-Table157[[#This Row],[Prepayments]]-Table157[[#This Row],[Defaulted Principal]]</f>
        <v>6551499.6100000022</v>
      </c>
      <c r="P36" s="3">
        <f>Table157[[#This Row],[Principal]]+Table157[[#This Row],[Interest]]+Table157[[#This Row],[Prepayments]]+Table157[[#This Row],[RecoveredAmount]]</f>
        <v>60755.73</v>
      </c>
      <c r="Q36" s="3">
        <f ca="1">ROUND(Table157[[#This Row],[Cash Flow]]/((1+ActualRateToUse)^(IF(ISNUMBER(SEARCH("Actual",$C$7)),Table157[[#This Row],[Running Total]]/365,Table157[[#This Row],[Period]]/12))),2)</f>
        <v>57288.57</v>
      </c>
      <c r="R36" s="2">
        <f>IF(MONTH(Table157[[#This Row],[Date]])=2,28,DAY(DATE(YEAR(Table157[[#This Row],[Date]]),MONTH(Table157[[#This Row],[Date]])+1,1)-1))</f>
        <v>28</v>
      </c>
      <c r="S36" s="2">
        <f ca="1">SUM(OFFSET(Table157[[#Headers],[Days in month]],1,0):Table157[[#This Row],[Days in month]])</f>
        <v>608</v>
      </c>
      <c r="T36" s="37">
        <f>InterestRate*AmortizationMultiplier*IF(ISNUMBER(SEARCH("Actual",$C$7)),Table157[[#This Row],[Days in month]]/365,1/12)</f>
        <v>2.6833333333333336E-3</v>
      </c>
    </row>
    <row r="37" spans="2:20" x14ac:dyDescent="0.2">
      <c r="B37" s="1">
        <v>46477</v>
      </c>
      <c r="C37" s="2">
        <f t="shared" si="1"/>
        <v>21</v>
      </c>
      <c r="D37" s="3">
        <f t="shared" si="0"/>
        <v>6551499.6100000022</v>
      </c>
      <c r="E37" s="3">
        <f>ROUND(Table157[[#This Row],[Beginning Balance]]*Table157[[#This Row],[Monthly Interest Rate]],2)</f>
        <v>19463.41</v>
      </c>
      <c r="F37" s="3">
        <f t="shared" si="2"/>
        <v>235</v>
      </c>
      <c r="G37" s="23">
        <f>IFERROR(IF($C$13="No","N/A",IF(Table157[[#This Row],[Period]]=1,$C$6,PMT(InterestRate*AmortizationMultiplier/12,Table157[[#This Row],[Am Thru]],-Table157[[#This Row],[Beginning Balance]]))),0)</f>
        <v>38548.080488459193</v>
      </c>
      <c r="H37" s="3">
        <f>MAX(0,IF(C37=$C$4,D37,ROUND(IF($C$3="Fixed Principal",$C$6-Table157[[#This Row],[Interest]],IF($C$3="Interest Only",Table157[[#This Row],[Beginning Balance]]*ROUND(1-(1-IF($C$11="No",$E$8,1))^(1/12),6),MIN(IF($C$13="Yes",Table157[[#This Row],[Payment Amount (Reamortized)]],$C$6)-Table157[[#This Row],[Interest]],Table157[[#This Row],[Beginning Balance]]))),2)))</f>
        <v>19084.669999999998</v>
      </c>
      <c r="I37" s="3">
        <f>_xlfn.SINGLE(IF($C$3="Line of Credit",0,ROUND(MAX(MIN(IF($C$10="No",$E$7,VLOOKUP(Table157[[#This Row],[Period]],Forecast!$H$2:$L$1048576,4,FALSE))*Table157[[#This Row],[Beginning Balance]],Table157[[#This Row],[Beginning Balance]]-Table157[[#This Row],[Principal]]),0),2)))</f>
        <v>18691.43</v>
      </c>
      <c r="J37" s="3">
        <f>ROUND(MIN(Table157[[#This Row],[Beginning Balance]]*IF($C$8="No",$E$3,VLOOKUP(Table157[[#This Row],[Period]],Forecast!$H$2:$L$1048576,2,FALSE)),Table157[[#This Row],[Beginning Balance]]-Table157[[#This Row],[Principal]]-Table157[[#This Row],[Prepayments]]),2)</f>
        <v>3695.05</v>
      </c>
      <c r="K37" s="3">
        <f>ROUND(Table157[[#This Row],[Defaulted Principal]]*IF($C$9="No",$E$4,VLOOKUP(Table157[[#This Row],[Period]],Forecast!$H$2:$L$1048576,3,FALSE)),2)</f>
        <v>304.58</v>
      </c>
      <c r="L37" s="2">
        <f>Table157[[#This Row],[Period]]+$E$9</f>
        <v>33</v>
      </c>
      <c r="M37" s="3">
        <f>Table157[[#This Row],[Defaulted Principal]]-Table157[[#This Row],[Estimated Loss]]</f>
        <v>3390.4700000000003</v>
      </c>
      <c r="N37" s="3">
        <f>IFERROR(VLOOKUP(Table157[[#This Row],[Period]],$L$16:$M$385,2,FALSE),0)</f>
        <v>3229.87</v>
      </c>
      <c r="O37" s="3">
        <f>Table157[[#This Row],[Beginning Balance]]-Table157[[#This Row],[Principal]]-Table157[[#This Row],[Prepayments]]-Table157[[#This Row],[Defaulted Principal]]</f>
        <v>6510028.4600000028</v>
      </c>
      <c r="P37" s="3">
        <f>Table157[[#This Row],[Principal]]+Table157[[#This Row],[Interest]]+Table157[[#This Row],[Prepayments]]+Table157[[#This Row],[RecoveredAmount]]</f>
        <v>60469.380000000005</v>
      </c>
      <c r="Q37" s="3">
        <f ca="1">ROUND(Table157[[#This Row],[Cash Flow]]/((1+ActualRateToUse)^(IF(ISNUMBER(SEARCH("Actual",$C$7)),Table157[[#This Row],[Running Total]]/365,Table157[[#This Row],[Period]]/12))),2)</f>
        <v>56847.99</v>
      </c>
      <c r="R37" s="2">
        <f>IF(MONTH(Table157[[#This Row],[Date]])=2,28,DAY(DATE(YEAR(Table157[[#This Row],[Date]]),MONTH(Table157[[#This Row],[Date]])+1,1)-1))</f>
        <v>31</v>
      </c>
      <c r="S37" s="2">
        <f ca="1">SUM(OFFSET(Table157[[#Headers],[Days in month]],1,0):Table157[[#This Row],[Days in month]])</f>
        <v>639</v>
      </c>
      <c r="T37" s="37">
        <f>InterestRate*AmortizationMultiplier*IF(ISNUMBER(SEARCH("Actual",$C$7)),Table157[[#This Row],[Days in month]]/365,1/12)</f>
        <v>2.9708333333333331E-3</v>
      </c>
    </row>
    <row r="38" spans="2:20" x14ac:dyDescent="0.2">
      <c r="B38" s="1">
        <v>46507</v>
      </c>
      <c r="C38" s="2">
        <f t="shared" si="1"/>
        <v>22</v>
      </c>
      <c r="D38" s="3">
        <f t="shared" si="0"/>
        <v>6510028.4600000028</v>
      </c>
      <c r="E38" s="3">
        <f>ROUND(Table157[[#This Row],[Beginning Balance]]*Table157[[#This Row],[Monthly Interest Rate]],2)</f>
        <v>18716.330000000002</v>
      </c>
      <c r="F38" s="3">
        <f t="shared" si="2"/>
        <v>234</v>
      </c>
      <c r="G38" s="23">
        <f>IFERROR(IF($C$13="No","N/A",IF(Table157[[#This Row],[Period]]=1,$C$6,PMT(InterestRate*AmortizationMultiplier/12,Table157[[#This Row],[Am Thru]],-Table157[[#This Row],[Beginning Balance]]))),0)</f>
        <v>38418.130779611565</v>
      </c>
      <c r="H38" s="3">
        <f>MAX(0,IF(C38=$C$4,D38,ROUND(IF($C$3="Fixed Principal",$C$6-Table157[[#This Row],[Interest]],IF($C$3="Interest Only",Table157[[#This Row],[Beginning Balance]]*ROUND(1-(1-IF($C$11="No",$E$8,1))^(1/12),6),MIN(IF($C$13="Yes",Table157[[#This Row],[Payment Amount (Reamortized)]],$C$6)-Table157[[#This Row],[Interest]],Table157[[#This Row],[Beginning Balance]]))),2)))</f>
        <v>19701.8</v>
      </c>
      <c r="I38" s="3">
        <f>_xlfn.SINGLE(IF($C$3="Line of Credit",0,ROUND(MAX(MIN(IF($C$10="No",$E$7,VLOOKUP(Table157[[#This Row],[Period]],Forecast!$H$2:$L$1048576,4,FALSE))*Table157[[#This Row],[Beginning Balance]],Table157[[#This Row],[Beginning Balance]]-Table157[[#This Row],[Principal]]),0),2)))</f>
        <v>18573.11</v>
      </c>
      <c r="J38" s="3">
        <f>ROUND(MIN(Table157[[#This Row],[Beginning Balance]]*IF($C$8="No",$E$3,VLOOKUP(Table157[[#This Row],[Period]],Forecast!$H$2:$L$1048576,2,FALSE)),Table157[[#This Row],[Beginning Balance]]-Table157[[#This Row],[Principal]]-Table157[[#This Row],[Prepayments]]),2)</f>
        <v>3827.9</v>
      </c>
      <c r="K38" s="3">
        <f>ROUND(Table157[[#This Row],[Defaulted Principal]]*IF($C$9="No",$E$4,VLOOKUP(Table157[[#This Row],[Period]],Forecast!$H$2:$L$1048576,3,FALSE)),2)</f>
        <v>318.95999999999998</v>
      </c>
      <c r="L38" s="2">
        <f>Table157[[#This Row],[Period]]+$E$9</f>
        <v>34</v>
      </c>
      <c r="M38" s="3">
        <f>Table157[[#This Row],[Defaulted Principal]]-Table157[[#This Row],[Estimated Loss]]</f>
        <v>3508.94</v>
      </c>
      <c r="N38" s="3">
        <f>IFERROR(VLOOKUP(Table157[[#This Row],[Period]],$L$16:$M$385,2,FALSE),0)</f>
        <v>3178.64</v>
      </c>
      <c r="O38" s="3">
        <f>Table157[[#This Row],[Beginning Balance]]-Table157[[#This Row],[Principal]]-Table157[[#This Row],[Prepayments]]-Table157[[#This Row],[Defaulted Principal]]</f>
        <v>6467925.6500000022</v>
      </c>
      <c r="P38" s="3">
        <f>Table157[[#This Row],[Principal]]+Table157[[#This Row],[Interest]]+Table157[[#This Row],[Prepayments]]+Table157[[#This Row],[RecoveredAmount]]</f>
        <v>60169.880000000005</v>
      </c>
      <c r="Q38" s="3">
        <f ca="1">ROUND(Table157[[#This Row],[Cash Flow]]/((1+ActualRateToUse)^(IF(ISNUMBER(SEARCH("Actual",$C$7)),Table157[[#This Row],[Running Total]]/365,Table157[[#This Row],[Period]]/12))),2)</f>
        <v>56402.66</v>
      </c>
      <c r="R38" s="2">
        <f>IF(MONTH(Table157[[#This Row],[Date]])=2,28,DAY(DATE(YEAR(Table157[[#This Row],[Date]]),MONTH(Table157[[#This Row],[Date]])+1,1)-1))</f>
        <v>30</v>
      </c>
      <c r="S38" s="2">
        <f ca="1">SUM(OFFSET(Table157[[#Headers],[Days in month]],1,0):Table157[[#This Row],[Days in month]])</f>
        <v>669</v>
      </c>
      <c r="T38" s="37">
        <f>InterestRate*AmortizationMultiplier*IF(ISNUMBER(SEARCH("Actual",$C$7)),Table157[[#This Row],[Days in month]]/365,1/12)</f>
        <v>2.8749999999999995E-3</v>
      </c>
    </row>
    <row r="39" spans="2:20" x14ac:dyDescent="0.2">
      <c r="B39" s="1">
        <v>46538</v>
      </c>
      <c r="C39" s="2">
        <f t="shared" si="1"/>
        <v>23</v>
      </c>
      <c r="D39" s="3">
        <f t="shared" si="0"/>
        <v>6467925.6500000022</v>
      </c>
      <c r="E39" s="3">
        <f>ROUND(Table157[[#This Row],[Beginning Balance]]*Table157[[#This Row],[Monthly Interest Rate]],2)</f>
        <v>19215.13</v>
      </c>
      <c r="F39" s="3">
        <f t="shared" si="2"/>
        <v>233</v>
      </c>
      <c r="G39" s="23">
        <f>IFERROR(IF($C$13="No","N/A",IF(Table157[[#This Row],[Period]]=1,$C$6,PMT(InterestRate*AmortizationMultiplier/12,Table157[[#This Row],[Am Thru]],-Table157[[#This Row],[Beginning Balance]]))),0)</f>
        <v>38283.999339595852</v>
      </c>
      <c r="H39" s="3">
        <f>MAX(0,IF(C39=$C$4,D39,ROUND(IF($C$3="Fixed Principal",$C$6-Table157[[#This Row],[Interest]],IF($C$3="Interest Only",Table157[[#This Row],[Beginning Balance]]*ROUND(1-(1-IF($C$11="No",$E$8,1))^(1/12),6),MIN(IF($C$13="Yes",Table157[[#This Row],[Payment Amount (Reamortized)]],$C$6)-Table157[[#This Row],[Interest]],Table157[[#This Row],[Beginning Balance]]))),2)))</f>
        <v>19068.87</v>
      </c>
      <c r="I39" s="3">
        <f>_xlfn.SINGLE(IF($C$3="Line of Credit",0,ROUND(MAX(MIN(IF($C$10="No",$E$7,VLOOKUP(Table157[[#This Row],[Period]],Forecast!$H$2:$L$1048576,4,FALSE))*Table157[[#This Row],[Beginning Balance]],Table157[[#This Row],[Beginning Balance]]-Table157[[#This Row],[Principal]]),0),2)))</f>
        <v>18452.990000000002</v>
      </c>
      <c r="J39" s="3">
        <f>ROUND(MIN(Table157[[#This Row],[Beginning Balance]]*IF($C$8="No",$E$3,VLOOKUP(Table157[[#This Row],[Period]],Forecast!$H$2:$L$1048576,2,FALSE)),Table157[[#This Row],[Beginning Balance]]-Table157[[#This Row],[Principal]]-Table157[[#This Row],[Prepayments]]),2)</f>
        <v>3803.14</v>
      </c>
      <c r="K39" s="3">
        <f>ROUND(Table157[[#This Row],[Defaulted Principal]]*IF($C$9="No",$E$4,VLOOKUP(Table157[[#This Row],[Period]],Forecast!$H$2:$L$1048576,3,FALSE)),2)</f>
        <v>316.89</v>
      </c>
      <c r="L39" s="2">
        <f>Table157[[#This Row],[Period]]+$E$9</f>
        <v>35</v>
      </c>
      <c r="M39" s="3">
        <f>Table157[[#This Row],[Defaulted Principal]]-Table157[[#This Row],[Estimated Loss]]</f>
        <v>3486.25</v>
      </c>
      <c r="N39" s="3">
        <f>IFERROR(VLOOKUP(Table157[[#This Row],[Period]],$L$16:$M$385,2,FALSE),0)</f>
        <v>3159.03</v>
      </c>
      <c r="O39" s="3">
        <f>Table157[[#This Row],[Beginning Balance]]-Table157[[#This Row],[Principal]]-Table157[[#This Row],[Prepayments]]-Table157[[#This Row],[Defaulted Principal]]</f>
        <v>6426600.6500000022</v>
      </c>
      <c r="P39" s="3">
        <f>Table157[[#This Row],[Principal]]+Table157[[#This Row],[Interest]]+Table157[[#This Row],[Prepayments]]+Table157[[#This Row],[RecoveredAmount]]</f>
        <v>59896.020000000004</v>
      </c>
      <c r="Q39" s="3">
        <f ca="1">ROUND(Table157[[#This Row],[Cash Flow]]/((1+ActualRateToUse)^(IF(ISNUMBER(SEARCH("Actual",$C$7)),Table157[[#This Row],[Running Total]]/365,Table157[[#This Row],[Period]]/12))),2)</f>
        <v>55977.99</v>
      </c>
      <c r="R39" s="2">
        <f>IF(MONTH(Table157[[#This Row],[Date]])=2,28,DAY(DATE(YEAR(Table157[[#This Row],[Date]]),MONTH(Table157[[#This Row],[Date]])+1,1)-1))</f>
        <v>31</v>
      </c>
      <c r="S39" s="2">
        <f ca="1">SUM(OFFSET(Table157[[#Headers],[Days in month]],1,0):Table157[[#This Row],[Days in month]])</f>
        <v>700</v>
      </c>
      <c r="T39" s="37">
        <f>InterestRate*AmortizationMultiplier*IF(ISNUMBER(SEARCH("Actual",$C$7)),Table157[[#This Row],[Days in month]]/365,1/12)</f>
        <v>2.9708333333333331E-3</v>
      </c>
    </row>
    <row r="40" spans="2:20" x14ac:dyDescent="0.2">
      <c r="B40" s="1">
        <v>46568</v>
      </c>
      <c r="C40" s="2">
        <f t="shared" si="1"/>
        <v>24</v>
      </c>
      <c r="D40" s="3">
        <f t="shared" si="0"/>
        <v>6426600.6500000022</v>
      </c>
      <c r="E40" s="3">
        <f>ROUND(Table157[[#This Row],[Beginning Balance]]*Table157[[#This Row],[Monthly Interest Rate]],2)</f>
        <v>18476.48</v>
      </c>
      <c r="F40" s="3">
        <f t="shared" si="2"/>
        <v>232</v>
      </c>
      <c r="G40" s="23">
        <f>IFERROR(IF($C$13="No","N/A",IF(Table157[[#This Row],[Period]]=1,$C$6,PMT(InterestRate*AmortizationMultiplier/12,Table157[[#This Row],[Am Thru]],-Table157[[#This Row],[Beginning Balance]]))),0)</f>
        <v>38154.013801313376</v>
      </c>
      <c r="H40" s="3">
        <f>MAX(0,IF(C40=$C$4,D40,ROUND(IF($C$3="Fixed Principal",$C$6-Table157[[#This Row],[Interest]],IF($C$3="Interest Only",Table157[[#This Row],[Beginning Balance]]*ROUND(1-(1-IF($C$11="No",$E$8,1))^(1/12),6),MIN(IF($C$13="Yes",Table157[[#This Row],[Payment Amount (Reamortized)]],$C$6)-Table157[[#This Row],[Interest]],Table157[[#This Row],[Beginning Balance]]))),2)))</f>
        <v>19677.53</v>
      </c>
      <c r="I40" s="3">
        <f>_xlfn.SINGLE(IF($C$3="Line of Credit",0,ROUND(MAX(MIN(IF($C$10="No",$E$7,VLOOKUP(Table157[[#This Row],[Period]],Forecast!$H$2:$L$1048576,4,FALSE))*Table157[[#This Row],[Beginning Balance]],Table157[[#This Row],[Beginning Balance]]-Table157[[#This Row],[Principal]]),0),2)))</f>
        <v>18335.09</v>
      </c>
      <c r="J40" s="3">
        <f>ROUND(MIN(Table157[[#This Row],[Beginning Balance]]*IF($C$8="No",$E$3,VLOOKUP(Table157[[#This Row],[Period]],Forecast!$H$2:$L$1048576,2,FALSE)),Table157[[#This Row],[Beginning Balance]]-Table157[[#This Row],[Principal]]-Table157[[#This Row],[Prepayments]]),2)</f>
        <v>3778.84</v>
      </c>
      <c r="K40" s="3">
        <f>ROUND(Table157[[#This Row],[Defaulted Principal]]*IF($C$9="No",$E$4,VLOOKUP(Table157[[#This Row],[Period]],Forecast!$H$2:$L$1048576,3,FALSE)),2)</f>
        <v>314.87</v>
      </c>
      <c r="L40" s="2">
        <f>Table157[[#This Row],[Period]]+$E$9</f>
        <v>36</v>
      </c>
      <c r="M40" s="3">
        <f>Table157[[#This Row],[Defaulted Principal]]-Table157[[#This Row],[Estimated Loss]]</f>
        <v>3463.9700000000003</v>
      </c>
      <c r="N40" s="3">
        <f>IFERROR(VLOOKUP(Table157[[#This Row],[Period]],$L$16:$M$385,2,FALSE),0)</f>
        <v>3139.79</v>
      </c>
      <c r="O40" s="3">
        <f>Table157[[#This Row],[Beginning Balance]]-Table157[[#This Row],[Principal]]-Table157[[#This Row],[Prepayments]]-Table157[[#This Row],[Defaulted Principal]]</f>
        <v>6384809.1900000023</v>
      </c>
      <c r="P40" s="3">
        <f>Table157[[#This Row],[Principal]]+Table157[[#This Row],[Interest]]+Table157[[#This Row],[Prepayments]]+Table157[[#This Row],[RecoveredAmount]]</f>
        <v>59628.889999999992</v>
      </c>
      <c r="Q40" s="3">
        <f ca="1">ROUND(Table157[[#This Row],[Cash Flow]]/((1+ActualRateToUse)^(IF(ISNUMBER(SEARCH("Actual",$C$7)),Table157[[#This Row],[Running Total]]/365,Table157[[#This Row],[Period]]/12))),2)</f>
        <v>55566.99</v>
      </c>
      <c r="R40" s="2">
        <f>IF(MONTH(Table157[[#This Row],[Date]])=2,28,DAY(DATE(YEAR(Table157[[#This Row],[Date]]),MONTH(Table157[[#This Row],[Date]])+1,1)-1))</f>
        <v>30</v>
      </c>
      <c r="S40" s="2">
        <f ca="1">SUM(OFFSET(Table157[[#Headers],[Days in month]],1,0):Table157[[#This Row],[Days in month]])</f>
        <v>730</v>
      </c>
      <c r="T40" s="37">
        <f>InterestRate*AmortizationMultiplier*IF(ISNUMBER(SEARCH("Actual",$C$7)),Table157[[#This Row],[Days in month]]/365,1/12)</f>
        <v>2.8749999999999995E-3</v>
      </c>
    </row>
    <row r="41" spans="2:20" x14ac:dyDescent="0.2">
      <c r="B41" s="1">
        <v>46599</v>
      </c>
      <c r="C41" s="2">
        <f t="shared" si="1"/>
        <v>25</v>
      </c>
      <c r="D41" s="3">
        <f t="shared" si="0"/>
        <v>6384809.1900000023</v>
      </c>
      <c r="E41" s="3">
        <f>ROUND(Table157[[#This Row],[Beginning Balance]]*Table157[[#This Row],[Monthly Interest Rate]],2)</f>
        <v>18968.2</v>
      </c>
      <c r="F41" s="3">
        <f t="shared" si="2"/>
        <v>231</v>
      </c>
      <c r="G41" s="23">
        <f>IFERROR(IF($C$13="No","N/A",IF(Table157[[#This Row],[Period]]=1,$C$6,PMT(InterestRate*AmortizationMultiplier/12,Table157[[#This Row],[Am Thru]],-Table157[[#This Row],[Beginning Balance]]))),0)</f>
        <v>38020.799819756314</v>
      </c>
      <c r="H41" s="3">
        <f>MAX(0,IF(C41=$C$4,D41,ROUND(IF($C$3="Fixed Principal",$C$6-Table157[[#This Row],[Interest]],IF($C$3="Interest Only",Table157[[#This Row],[Beginning Balance]]*ROUND(1-(1-IF($C$11="No",$E$8,1))^(1/12),6),MIN(IF($C$13="Yes",Table157[[#This Row],[Payment Amount (Reamortized)]],$C$6)-Table157[[#This Row],[Interest]],Table157[[#This Row],[Beginning Balance]]))),2)))</f>
        <v>19052.599999999999</v>
      </c>
      <c r="I41" s="3">
        <f>_xlfn.SINGLE(IF($C$3="Line of Credit",0,ROUND(MAX(MIN(IF($C$10="No",$E$7,VLOOKUP(Table157[[#This Row],[Period]],Forecast!$H$2:$L$1048576,4,FALSE))*Table157[[#This Row],[Beginning Balance]],Table157[[#This Row],[Beginning Balance]]-Table157[[#This Row],[Principal]]),0),2)))</f>
        <v>18215.86</v>
      </c>
      <c r="J41" s="3">
        <f>ROUND(MIN(Table157[[#This Row],[Beginning Balance]]*IF($C$8="No",$E$3,VLOOKUP(Table157[[#This Row],[Period]],Forecast!$H$2:$L$1048576,2,FALSE)),Table157[[#This Row],[Beginning Balance]]-Table157[[#This Row],[Principal]]-Table157[[#This Row],[Prepayments]]),2)</f>
        <v>3901.12</v>
      </c>
      <c r="K41" s="3">
        <f>ROUND(Table157[[#This Row],[Defaulted Principal]]*IF($C$9="No",$E$4,VLOOKUP(Table157[[#This Row],[Period]],Forecast!$H$2:$L$1048576,3,FALSE)),2)</f>
        <v>328.46</v>
      </c>
      <c r="L41" s="2">
        <f>Table157[[#This Row],[Period]]+$E$9</f>
        <v>37</v>
      </c>
      <c r="M41" s="3">
        <f>Table157[[#This Row],[Defaulted Principal]]-Table157[[#This Row],[Estimated Loss]]</f>
        <v>3572.66</v>
      </c>
      <c r="N41" s="3">
        <f>IFERROR(VLOOKUP(Table157[[#This Row],[Period]],$L$16:$M$385,2,FALSE),0)</f>
        <v>3269.06</v>
      </c>
      <c r="O41" s="3">
        <f>Table157[[#This Row],[Beginning Balance]]-Table157[[#This Row],[Principal]]-Table157[[#This Row],[Prepayments]]-Table157[[#This Row],[Defaulted Principal]]</f>
        <v>6343639.6100000022</v>
      </c>
      <c r="P41" s="3">
        <f>Table157[[#This Row],[Principal]]+Table157[[#This Row],[Interest]]+Table157[[#This Row],[Prepayments]]+Table157[[#This Row],[RecoveredAmount]]</f>
        <v>59505.72</v>
      </c>
      <c r="Q41" s="3">
        <f ca="1">ROUND(Table157[[#This Row],[Cash Flow]]/((1+ActualRateToUse)^(IF(ISNUMBER(SEARCH("Actual",$C$7)),Table157[[#This Row],[Running Total]]/365,Table157[[#This Row],[Period]]/12))),2)</f>
        <v>55286.32</v>
      </c>
      <c r="R41" s="2">
        <f>IF(MONTH(Table157[[#This Row],[Date]])=2,28,DAY(DATE(YEAR(Table157[[#This Row],[Date]]),MONTH(Table157[[#This Row],[Date]])+1,1)-1))</f>
        <v>31</v>
      </c>
      <c r="S41" s="2">
        <f ca="1">SUM(OFFSET(Table157[[#Headers],[Days in month]],1,0):Table157[[#This Row],[Days in month]])</f>
        <v>761</v>
      </c>
      <c r="T41" s="37">
        <f>InterestRate*AmortizationMultiplier*IF(ISNUMBER(SEARCH("Actual",$C$7)),Table157[[#This Row],[Days in month]]/365,1/12)</f>
        <v>2.9708333333333331E-3</v>
      </c>
    </row>
    <row r="42" spans="2:20" x14ac:dyDescent="0.2">
      <c r="B42" s="1">
        <v>46630</v>
      </c>
      <c r="C42" s="2">
        <f t="shared" si="1"/>
        <v>26</v>
      </c>
      <c r="D42" s="3">
        <f t="shared" si="0"/>
        <v>6343639.6100000022</v>
      </c>
      <c r="E42" s="3">
        <f>ROUND(Table157[[#This Row],[Beginning Balance]]*Table157[[#This Row],[Monthly Interest Rate]],2)</f>
        <v>18845.900000000001</v>
      </c>
      <c r="F42" s="3">
        <f t="shared" si="2"/>
        <v>230</v>
      </c>
      <c r="G42" s="23">
        <f>IFERROR(IF($C$13="No","N/A",IF(Table157[[#This Row],[Period]]=1,$C$6,PMT(InterestRate*AmortizationMultiplier/12,Table157[[#This Row],[Am Thru]],-Table157[[#This Row],[Beginning Balance]]))),0)</f>
        <v>37890.826092932657</v>
      </c>
      <c r="H42" s="3">
        <f>MAX(0,IF(C42=$C$4,D42,ROUND(IF($C$3="Fixed Principal",$C$6-Table157[[#This Row],[Interest]],IF($C$3="Interest Only",Table157[[#This Row],[Beginning Balance]]*ROUND(1-(1-IF($C$11="No",$E$8,1))^(1/12),6),MIN(IF($C$13="Yes",Table157[[#This Row],[Payment Amount (Reamortized)]],$C$6)-Table157[[#This Row],[Interest]],Table157[[#This Row],[Beginning Balance]]))),2)))</f>
        <v>19044.93</v>
      </c>
      <c r="I42" s="3">
        <f>_xlfn.SINGLE(IF($C$3="Line of Credit",0,ROUND(MAX(MIN(IF($C$10="No",$E$7,VLOOKUP(Table157[[#This Row],[Period]],Forecast!$H$2:$L$1048576,4,FALSE))*Table157[[#This Row],[Beginning Balance]],Table157[[#This Row],[Beginning Balance]]-Table157[[#This Row],[Principal]]),0),2)))</f>
        <v>18098.400000000001</v>
      </c>
      <c r="J42" s="3">
        <f>ROUND(MIN(Table157[[#This Row],[Beginning Balance]]*IF($C$8="No",$E$3,VLOOKUP(Table157[[#This Row],[Period]],Forecast!$H$2:$L$1048576,2,FALSE)),Table157[[#This Row],[Beginning Balance]]-Table157[[#This Row],[Principal]]-Table157[[#This Row],[Prepayments]]),2)</f>
        <v>3875.96</v>
      </c>
      <c r="K42" s="3">
        <f>ROUND(Table157[[#This Row],[Defaulted Principal]]*IF($C$9="No",$E$4,VLOOKUP(Table157[[#This Row],[Period]],Forecast!$H$2:$L$1048576,3,FALSE)),2)</f>
        <v>326.33999999999997</v>
      </c>
      <c r="L42" s="2">
        <f>Table157[[#This Row],[Period]]+$E$9</f>
        <v>38</v>
      </c>
      <c r="M42" s="3">
        <f>Table157[[#This Row],[Defaulted Principal]]-Table157[[#This Row],[Estimated Loss]]</f>
        <v>3549.62</v>
      </c>
      <c r="N42" s="3">
        <f>IFERROR(VLOOKUP(Table157[[#This Row],[Period]],$L$16:$M$385,2,FALSE),0)</f>
        <v>3248.96</v>
      </c>
      <c r="O42" s="3">
        <f>Table157[[#This Row],[Beginning Balance]]-Table157[[#This Row],[Principal]]-Table157[[#This Row],[Prepayments]]-Table157[[#This Row],[Defaulted Principal]]</f>
        <v>6302620.3200000022</v>
      </c>
      <c r="P42" s="3">
        <f>Table157[[#This Row],[Principal]]+Table157[[#This Row],[Interest]]+Table157[[#This Row],[Prepayments]]+Table157[[#This Row],[RecoveredAmount]]</f>
        <v>59238.19</v>
      </c>
      <c r="Q42" s="3">
        <f ca="1">ROUND(Table157[[#This Row],[Cash Flow]]/((1+ActualRateToUse)^(IF(ISNUMBER(SEARCH("Actual",$C$7)),Table157[[#This Row],[Running Total]]/365,Table157[[#This Row],[Period]]/12))),2)</f>
        <v>54873.120000000003</v>
      </c>
      <c r="R42" s="2">
        <f>IF(MONTH(Table157[[#This Row],[Date]])=2,28,DAY(DATE(YEAR(Table157[[#This Row],[Date]]),MONTH(Table157[[#This Row],[Date]])+1,1)-1))</f>
        <v>31</v>
      </c>
      <c r="S42" s="2">
        <f ca="1">SUM(OFFSET(Table157[[#Headers],[Days in month]],1,0):Table157[[#This Row],[Days in month]])</f>
        <v>792</v>
      </c>
      <c r="T42" s="37">
        <f>InterestRate*AmortizationMultiplier*IF(ISNUMBER(SEARCH("Actual",$C$7)),Table157[[#This Row],[Days in month]]/365,1/12)</f>
        <v>2.9708333333333331E-3</v>
      </c>
    </row>
    <row r="43" spans="2:20" x14ac:dyDescent="0.2">
      <c r="B43" s="1">
        <v>46660</v>
      </c>
      <c r="C43" s="2">
        <f t="shared" si="1"/>
        <v>27</v>
      </c>
      <c r="D43" s="3">
        <f t="shared" si="0"/>
        <v>6302620.3200000022</v>
      </c>
      <c r="E43" s="3">
        <f>ROUND(Table157[[#This Row],[Beginning Balance]]*Table157[[#This Row],[Monthly Interest Rate]],2)</f>
        <v>18120.03</v>
      </c>
      <c r="F43" s="3">
        <f t="shared" si="2"/>
        <v>229</v>
      </c>
      <c r="G43" s="23">
        <f>IFERROR(IF($C$13="No","N/A",IF(Table157[[#This Row],[Period]]=1,$C$6,PMT(InterestRate*AmortizationMultiplier/12,Table157[[#This Row],[Am Thru]],-Table157[[#This Row],[Beginning Balance]]))),0)</f>
        <v>37761.294397367659</v>
      </c>
      <c r="H43" s="3">
        <f>MAX(0,IF(C43=$C$4,D43,ROUND(IF($C$3="Fixed Principal",$C$6-Table157[[#This Row],[Interest]],IF($C$3="Interest Only",Table157[[#This Row],[Beginning Balance]]*ROUND(1-(1-IF($C$11="No",$E$8,1))^(1/12),6),MIN(IF($C$13="Yes",Table157[[#This Row],[Payment Amount (Reamortized)]],$C$6)-Table157[[#This Row],[Interest]],Table157[[#This Row],[Beginning Balance]]))),2)))</f>
        <v>19641.259999999998</v>
      </c>
      <c r="I43" s="3">
        <f>_xlfn.SINGLE(IF($C$3="Line of Credit",0,ROUND(MAX(MIN(IF($C$10="No",$E$7,VLOOKUP(Table157[[#This Row],[Period]],Forecast!$H$2:$L$1048576,4,FALSE))*Table157[[#This Row],[Beginning Balance]],Table157[[#This Row],[Beginning Balance]]-Table157[[#This Row],[Principal]]),0),2)))</f>
        <v>17981.38</v>
      </c>
      <c r="J43" s="3">
        <f>ROUND(MIN(Table157[[#This Row],[Beginning Balance]]*IF($C$8="No",$E$3,VLOOKUP(Table157[[#This Row],[Period]],Forecast!$H$2:$L$1048576,2,FALSE)),Table157[[#This Row],[Beginning Balance]]-Table157[[#This Row],[Principal]]-Table157[[#This Row],[Prepayments]]),2)</f>
        <v>3850.9</v>
      </c>
      <c r="K43" s="3">
        <f>ROUND(Table157[[#This Row],[Defaulted Principal]]*IF($C$9="No",$E$4,VLOOKUP(Table157[[#This Row],[Period]],Forecast!$H$2:$L$1048576,3,FALSE)),2)</f>
        <v>324.23</v>
      </c>
      <c r="L43" s="2">
        <f>Table157[[#This Row],[Period]]+$E$9</f>
        <v>39</v>
      </c>
      <c r="M43" s="3">
        <f>Table157[[#This Row],[Defaulted Principal]]-Table157[[#This Row],[Estimated Loss]]</f>
        <v>3526.67</v>
      </c>
      <c r="N43" s="3">
        <f>IFERROR(VLOOKUP(Table157[[#This Row],[Period]],$L$16:$M$385,2,FALSE),0)</f>
        <v>3228.9300000000003</v>
      </c>
      <c r="O43" s="3">
        <f>Table157[[#This Row],[Beginning Balance]]-Table157[[#This Row],[Principal]]-Table157[[#This Row],[Prepayments]]-Table157[[#This Row],[Defaulted Principal]]</f>
        <v>6261146.7800000021</v>
      </c>
      <c r="P43" s="3">
        <f>Table157[[#This Row],[Principal]]+Table157[[#This Row],[Interest]]+Table157[[#This Row],[Prepayments]]+Table157[[#This Row],[RecoveredAmount]]</f>
        <v>58971.6</v>
      </c>
      <c r="Q43" s="3">
        <f ca="1">ROUND(Table157[[#This Row],[Cash Flow]]/((1+ActualRateToUse)^(IF(ISNUMBER(SEARCH("Actual",$C$7)),Table157[[#This Row],[Running Total]]/365,Table157[[#This Row],[Period]]/12))),2)</f>
        <v>54468.02</v>
      </c>
      <c r="R43" s="2">
        <f>IF(MONTH(Table157[[#This Row],[Date]])=2,28,DAY(DATE(YEAR(Table157[[#This Row],[Date]]),MONTH(Table157[[#This Row],[Date]])+1,1)-1))</f>
        <v>30</v>
      </c>
      <c r="S43" s="2">
        <f ca="1">SUM(OFFSET(Table157[[#Headers],[Days in month]],1,0):Table157[[#This Row],[Days in month]])</f>
        <v>822</v>
      </c>
      <c r="T43" s="37">
        <f>InterestRate*AmortizationMultiplier*IF(ISNUMBER(SEARCH("Actual",$C$7)),Table157[[#This Row],[Days in month]]/365,1/12)</f>
        <v>2.8749999999999995E-3</v>
      </c>
    </row>
    <row r="44" spans="2:20" x14ac:dyDescent="0.2">
      <c r="B44" s="1">
        <v>46691</v>
      </c>
      <c r="C44" s="2">
        <f t="shared" si="1"/>
        <v>28</v>
      </c>
      <c r="D44" s="3">
        <f t="shared" si="0"/>
        <v>6261146.7800000021</v>
      </c>
      <c r="E44" s="3">
        <f>ROUND(Table157[[#This Row],[Beginning Balance]]*Table157[[#This Row],[Monthly Interest Rate]],2)</f>
        <v>18600.82</v>
      </c>
      <c r="F44" s="3">
        <f t="shared" si="2"/>
        <v>228</v>
      </c>
      <c r="G44" s="23">
        <f>IFERROR(IF($C$13="No","N/A",IF(Table157[[#This Row],[Period]]=1,$C$6,PMT(InterestRate*AmortizationMultiplier/12,Table157[[#This Row],[Am Thru]],-Table157[[#This Row],[Beginning Balance]]))),0)</f>
        <v>37628.573122516893</v>
      </c>
      <c r="H44" s="3">
        <f>MAX(0,IF(C44=$C$4,D44,ROUND(IF($C$3="Fixed Principal",$C$6-Table157[[#This Row],[Interest]],IF($C$3="Interest Only",Table157[[#This Row],[Beginning Balance]]*ROUND(1-(1-IF($C$11="No",$E$8,1))^(1/12),6),MIN(IF($C$13="Yes",Table157[[#This Row],[Payment Amount (Reamortized)]],$C$6)-Table157[[#This Row],[Interest]],Table157[[#This Row],[Beginning Balance]]))),2)))</f>
        <v>19027.75</v>
      </c>
      <c r="I44" s="3">
        <f>_xlfn.SINGLE(IF($C$3="Line of Credit",0,ROUND(MAX(MIN(IF($C$10="No",$E$7,VLOOKUP(Table157[[#This Row],[Period]],Forecast!$H$2:$L$1048576,4,FALSE))*Table157[[#This Row],[Beginning Balance]],Table157[[#This Row],[Beginning Balance]]-Table157[[#This Row],[Principal]]),0),2)))</f>
        <v>17863.05</v>
      </c>
      <c r="J44" s="3">
        <f>ROUND(MIN(Table157[[#This Row],[Beginning Balance]]*IF($C$8="No",$E$3,VLOOKUP(Table157[[#This Row],[Period]],Forecast!$H$2:$L$1048576,2,FALSE)),Table157[[#This Row],[Beginning Balance]]-Table157[[#This Row],[Principal]]-Table157[[#This Row],[Prepayments]]),2)</f>
        <v>3975.83</v>
      </c>
      <c r="K44" s="3">
        <f>ROUND(Table157[[#This Row],[Defaulted Principal]]*IF($C$9="No",$E$4,VLOOKUP(Table157[[#This Row],[Period]],Forecast!$H$2:$L$1048576,3,FALSE)),2)</f>
        <v>338.14</v>
      </c>
      <c r="L44" s="2">
        <f>Table157[[#This Row],[Period]]+$E$9</f>
        <v>40</v>
      </c>
      <c r="M44" s="3">
        <f>Table157[[#This Row],[Defaulted Principal]]-Table157[[#This Row],[Estimated Loss]]</f>
        <v>3637.69</v>
      </c>
      <c r="N44" s="3">
        <f>IFERROR(VLOOKUP(Table157[[#This Row],[Period]],$L$16:$M$385,2,FALSE),0)</f>
        <v>3354.46</v>
      </c>
      <c r="O44" s="3">
        <f>Table157[[#This Row],[Beginning Balance]]-Table157[[#This Row],[Principal]]-Table157[[#This Row],[Prepayments]]-Table157[[#This Row],[Defaulted Principal]]</f>
        <v>6220280.1500000022</v>
      </c>
      <c r="P44" s="3">
        <f>Table157[[#This Row],[Principal]]+Table157[[#This Row],[Interest]]+Table157[[#This Row],[Prepayments]]+Table157[[#This Row],[RecoveredAmount]]</f>
        <v>58846.079999999994</v>
      </c>
      <c r="Q44" s="3">
        <f ca="1">ROUND(Table157[[#This Row],[Cash Flow]]/((1+ActualRateToUse)^(IF(ISNUMBER(SEARCH("Actual",$C$7)),Table157[[#This Row],[Running Total]]/365,Table157[[#This Row],[Period]]/12))),2)</f>
        <v>54189.49</v>
      </c>
      <c r="R44" s="2">
        <f>IF(MONTH(Table157[[#This Row],[Date]])=2,28,DAY(DATE(YEAR(Table157[[#This Row],[Date]]),MONTH(Table157[[#This Row],[Date]])+1,1)-1))</f>
        <v>31</v>
      </c>
      <c r="S44" s="2">
        <f ca="1">SUM(OFFSET(Table157[[#Headers],[Days in month]],1,0):Table157[[#This Row],[Days in month]])</f>
        <v>853</v>
      </c>
      <c r="T44" s="37">
        <f>InterestRate*AmortizationMultiplier*IF(ISNUMBER(SEARCH("Actual",$C$7)),Table157[[#This Row],[Days in month]]/365,1/12)</f>
        <v>2.9708333333333331E-3</v>
      </c>
    </row>
    <row r="45" spans="2:20" x14ac:dyDescent="0.2">
      <c r="B45" s="1">
        <v>46721</v>
      </c>
      <c r="C45" s="2">
        <f t="shared" si="1"/>
        <v>29</v>
      </c>
      <c r="D45" s="3">
        <f t="shared" si="0"/>
        <v>6220280.1500000022</v>
      </c>
      <c r="E45" s="3">
        <f>ROUND(Table157[[#This Row],[Beginning Balance]]*Table157[[#This Row],[Monthly Interest Rate]],2)</f>
        <v>17883.310000000001</v>
      </c>
      <c r="F45" s="3">
        <f t="shared" si="2"/>
        <v>227</v>
      </c>
      <c r="G45" s="23">
        <f>IFERROR(IF($C$13="No","N/A",IF(Table157[[#This Row],[Period]]=1,$C$6,PMT(InterestRate*AmortizationMultiplier/12,Table157[[#This Row],[Am Thru]],-Table157[[#This Row],[Beginning Balance]]))),0)</f>
        <v>37499.027264002434</v>
      </c>
      <c r="H45" s="3">
        <f>MAX(0,IF(C45=$C$4,D45,ROUND(IF($C$3="Fixed Principal",$C$6-Table157[[#This Row],[Interest]],IF($C$3="Interest Only",Table157[[#This Row],[Beginning Balance]]*ROUND(1-(1-IF($C$11="No",$E$8,1))^(1/12),6),MIN(IF($C$13="Yes",Table157[[#This Row],[Payment Amount (Reamortized)]],$C$6)-Table157[[#This Row],[Interest]],Table157[[#This Row],[Beginning Balance]]))),2)))</f>
        <v>19615.72</v>
      </c>
      <c r="I45" s="3">
        <f>_xlfn.SINGLE(IF($C$3="Line of Credit",0,ROUND(MAX(MIN(IF($C$10="No",$E$7,VLOOKUP(Table157[[#This Row],[Period]],Forecast!$H$2:$L$1048576,4,FALSE))*Table157[[#This Row],[Beginning Balance]],Table157[[#This Row],[Beginning Balance]]-Table157[[#This Row],[Principal]]),0),2)))</f>
        <v>17746.46</v>
      </c>
      <c r="J45" s="3">
        <f>ROUND(MIN(Table157[[#This Row],[Beginning Balance]]*IF($C$8="No",$E$3,VLOOKUP(Table157[[#This Row],[Period]],Forecast!$H$2:$L$1048576,2,FALSE)),Table157[[#This Row],[Beginning Balance]]-Table157[[#This Row],[Principal]]-Table157[[#This Row],[Prepayments]]),2)</f>
        <v>3949.88</v>
      </c>
      <c r="K45" s="3">
        <f>ROUND(Table157[[#This Row],[Defaulted Principal]]*IF($C$9="No",$E$4,VLOOKUP(Table157[[#This Row],[Period]],Forecast!$H$2:$L$1048576,3,FALSE)),2)</f>
        <v>335.93</v>
      </c>
      <c r="L45" s="2">
        <f>Table157[[#This Row],[Period]]+$E$9</f>
        <v>41</v>
      </c>
      <c r="M45" s="3">
        <f>Table157[[#This Row],[Defaulted Principal]]-Table157[[#This Row],[Estimated Loss]]</f>
        <v>3613.9500000000003</v>
      </c>
      <c r="N45" s="3">
        <f>IFERROR(VLOOKUP(Table157[[#This Row],[Period]],$L$16:$M$385,2,FALSE),0)</f>
        <v>3333.59</v>
      </c>
      <c r="O45" s="3">
        <f>Table157[[#This Row],[Beginning Balance]]-Table157[[#This Row],[Principal]]-Table157[[#This Row],[Prepayments]]-Table157[[#This Row],[Defaulted Principal]]</f>
        <v>6178968.0900000026</v>
      </c>
      <c r="P45" s="3">
        <f>Table157[[#This Row],[Principal]]+Table157[[#This Row],[Interest]]+Table157[[#This Row],[Prepayments]]+Table157[[#This Row],[RecoveredAmount]]</f>
        <v>58579.08</v>
      </c>
      <c r="Q45" s="3">
        <f ca="1">ROUND(Table157[[#This Row],[Cash Flow]]/((1+ActualRateToUse)^(IF(ISNUMBER(SEARCH("Actual",$C$7)),Table157[[#This Row],[Running Total]]/365,Table157[[#This Row],[Period]]/12))),2)</f>
        <v>53787.44</v>
      </c>
      <c r="R45" s="2">
        <f>IF(MONTH(Table157[[#This Row],[Date]])=2,28,DAY(DATE(YEAR(Table157[[#This Row],[Date]]),MONTH(Table157[[#This Row],[Date]])+1,1)-1))</f>
        <v>30</v>
      </c>
      <c r="S45" s="2">
        <f ca="1">SUM(OFFSET(Table157[[#Headers],[Days in month]],1,0):Table157[[#This Row],[Days in month]])</f>
        <v>883</v>
      </c>
      <c r="T45" s="37">
        <f>InterestRate*AmortizationMultiplier*IF(ISNUMBER(SEARCH("Actual",$C$7)),Table157[[#This Row],[Days in month]]/365,1/12)</f>
        <v>2.8749999999999995E-3</v>
      </c>
    </row>
    <row r="46" spans="2:20" x14ac:dyDescent="0.2">
      <c r="B46" s="1">
        <v>46752</v>
      </c>
      <c r="C46" s="2">
        <f t="shared" si="1"/>
        <v>30</v>
      </c>
      <c r="D46" s="3">
        <f t="shared" si="0"/>
        <v>6178968.0900000026</v>
      </c>
      <c r="E46" s="3">
        <f>ROUND(Table157[[#This Row],[Beginning Balance]]*Table157[[#This Row],[Monthly Interest Rate]],2)</f>
        <v>18356.68</v>
      </c>
      <c r="F46" s="3">
        <f t="shared" si="2"/>
        <v>226</v>
      </c>
      <c r="G46" s="23">
        <f>IFERROR(IF($C$13="No","N/A",IF(Table157[[#This Row],[Period]]=1,$C$6,PMT(InterestRate*AmortizationMultiplier/12,Table157[[#This Row],[Am Thru]],-Table157[[#This Row],[Beginning Balance]]))),0)</f>
        <v>37366.320099429722</v>
      </c>
      <c r="H46" s="3">
        <f>MAX(0,IF(C46=$C$4,D46,ROUND(IF($C$3="Fixed Principal",$C$6-Table157[[#This Row],[Interest]],IF($C$3="Interest Only",Table157[[#This Row],[Beginning Balance]]*ROUND(1-(1-IF($C$11="No",$E$8,1))^(1/12),6),MIN(IF($C$13="Yes",Table157[[#This Row],[Payment Amount (Reamortized)]],$C$6)-Table157[[#This Row],[Interest]],Table157[[#This Row],[Beginning Balance]]))),2)))</f>
        <v>19009.64</v>
      </c>
      <c r="I46" s="3">
        <f>_xlfn.SINGLE(IF($C$3="Line of Credit",0,ROUND(MAX(MIN(IF($C$10="No",$E$7,VLOOKUP(Table157[[#This Row],[Period]],Forecast!$H$2:$L$1048576,4,FALSE))*Table157[[#This Row],[Beginning Balance]],Table157[[#This Row],[Beginning Balance]]-Table157[[#This Row],[Principal]]),0),2)))</f>
        <v>17628.599999999999</v>
      </c>
      <c r="J46" s="3">
        <f>ROUND(MIN(Table157[[#This Row],[Beginning Balance]]*IF($C$8="No",$E$3,VLOOKUP(Table157[[#This Row],[Period]],Forecast!$H$2:$L$1048576,2,FALSE)),Table157[[#This Row],[Beginning Balance]]-Table157[[#This Row],[Principal]]-Table157[[#This Row],[Prepayments]]),2)</f>
        <v>3923.64</v>
      </c>
      <c r="K46" s="3">
        <f>ROUND(Table157[[#This Row],[Defaulted Principal]]*IF($C$9="No",$E$4,VLOOKUP(Table157[[#This Row],[Period]],Forecast!$H$2:$L$1048576,3,FALSE)),2)</f>
        <v>333.7</v>
      </c>
      <c r="L46" s="2">
        <f>Table157[[#This Row],[Period]]+$E$9</f>
        <v>42</v>
      </c>
      <c r="M46" s="3">
        <f>Table157[[#This Row],[Defaulted Principal]]-Table157[[#This Row],[Estimated Loss]]</f>
        <v>3589.94</v>
      </c>
      <c r="N46" s="3">
        <f>IFERROR(VLOOKUP(Table157[[#This Row],[Period]],$L$16:$M$385,2,FALSE),0)</f>
        <v>3312.47</v>
      </c>
      <c r="O46" s="3">
        <f>Table157[[#This Row],[Beginning Balance]]-Table157[[#This Row],[Principal]]-Table157[[#This Row],[Prepayments]]-Table157[[#This Row],[Defaulted Principal]]</f>
        <v>6138406.2100000037</v>
      </c>
      <c r="P46" s="3">
        <f>Table157[[#This Row],[Principal]]+Table157[[#This Row],[Interest]]+Table157[[#This Row],[Prepayments]]+Table157[[#This Row],[RecoveredAmount]]</f>
        <v>58307.39</v>
      </c>
      <c r="Q46" s="3">
        <f ca="1">ROUND(Table157[[#This Row],[Cash Flow]]/((1+ActualRateToUse)^(IF(ISNUMBER(SEARCH("Actual",$C$7)),Table157[[#This Row],[Running Total]]/365,Table157[[#This Row],[Period]]/12))),2)</f>
        <v>53377.82</v>
      </c>
      <c r="R46" s="2">
        <f>IF(MONTH(Table157[[#This Row],[Date]])=2,28,DAY(DATE(YEAR(Table157[[#This Row],[Date]]),MONTH(Table157[[#This Row],[Date]])+1,1)-1))</f>
        <v>31</v>
      </c>
      <c r="S46" s="2">
        <f ca="1">SUM(OFFSET(Table157[[#Headers],[Days in month]],1,0):Table157[[#This Row],[Days in month]])</f>
        <v>914</v>
      </c>
      <c r="T46" s="37">
        <f>InterestRate*AmortizationMultiplier*IF(ISNUMBER(SEARCH("Actual",$C$7)),Table157[[#This Row],[Days in month]]/365,1/12)</f>
        <v>2.9708333333333331E-3</v>
      </c>
    </row>
    <row r="47" spans="2:20" x14ac:dyDescent="0.2">
      <c r="B47" s="1">
        <v>46783</v>
      </c>
      <c r="C47" s="2">
        <f t="shared" si="1"/>
        <v>31</v>
      </c>
      <c r="D47" s="3">
        <f t="shared" si="0"/>
        <v>6138406.2100000037</v>
      </c>
      <c r="E47" s="3">
        <f>ROUND(Table157[[#This Row],[Beginning Balance]]*Table157[[#This Row],[Monthly Interest Rate]],2)</f>
        <v>18236.18</v>
      </c>
      <c r="F47" s="3">
        <f t="shared" si="2"/>
        <v>225</v>
      </c>
      <c r="G47" s="23">
        <f>IFERROR(IF($C$13="No","N/A",IF(Table157[[#This Row],[Period]]=1,$C$6,PMT(InterestRate*AmortizationMultiplier/12,Table157[[#This Row],[Am Thru]],-Table157[[#This Row],[Beginning Balance]]))),0)</f>
        <v>37237.672256721591</v>
      </c>
      <c r="H47" s="3">
        <f>MAX(0,IF(C47=$C$4,D47,ROUND(IF($C$3="Fixed Principal",$C$6-Table157[[#This Row],[Interest]],IF($C$3="Interest Only",Table157[[#This Row],[Beginning Balance]]*ROUND(1-(1-IF($C$11="No",$E$8,1))^(1/12),6),MIN(IF($C$13="Yes",Table157[[#This Row],[Payment Amount (Reamortized)]],$C$6)-Table157[[#This Row],[Interest]],Table157[[#This Row],[Beginning Balance]]))),2)))</f>
        <v>19001.490000000002</v>
      </c>
      <c r="I47" s="3">
        <f>_xlfn.SINGLE(IF($C$3="Line of Credit",0,ROUND(MAX(MIN(IF($C$10="No",$E$7,VLOOKUP(Table157[[#This Row],[Period]],Forecast!$H$2:$L$1048576,4,FALSE))*Table157[[#This Row],[Beginning Balance]],Table157[[#This Row],[Beginning Balance]]-Table157[[#This Row],[Principal]]),0),2)))</f>
        <v>17512.87</v>
      </c>
      <c r="J47" s="3">
        <f>ROUND(MIN(Table157[[#This Row],[Beginning Balance]]*IF($C$8="No",$E$3,VLOOKUP(Table157[[#This Row],[Period]],Forecast!$H$2:$L$1048576,2,FALSE)),Table157[[#This Row],[Beginning Balance]]-Table157[[#This Row],[Principal]]-Table157[[#This Row],[Prepayments]]),2)</f>
        <v>4045.21</v>
      </c>
      <c r="K47" s="3">
        <f>ROUND(Table157[[#This Row],[Defaulted Principal]]*IF($C$9="No",$E$4,VLOOKUP(Table157[[#This Row],[Period]],Forecast!$H$2:$L$1048576,3,FALSE)),2)</f>
        <v>347.41</v>
      </c>
      <c r="L47" s="2">
        <f>Table157[[#This Row],[Period]]+$E$9</f>
        <v>43</v>
      </c>
      <c r="M47" s="3">
        <f>Table157[[#This Row],[Defaulted Principal]]-Table157[[#This Row],[Estimated Loss]]</f>
        <v>3697.8</v>
      </c>
      <c r="N47" s="3">
        <f>IFERROR(VLOOKUP(Table157[[#This Row],[Period]],$L$16:$M$385,2,FALSE),0)</f>
        <v>3434.62</v>
      </c>
      <c r="O47" s="3">
        <f>Table157[[#This Row],[Beginning Balance]]-Table157[[#This Row],[Principal]]-Table157[[#This Row],[Prepayments]]-Table157[[#This Row],[Defaulted Principal]]</f>
        <v>6097846.6400000034</v>
      </c>
      <c r="P47" s="3">
        <f>Table157[[#This Row],[Principal]]+Table157[[#This Row],[Interest]]+Table157[[#This Row],[Prepayments]]+Table157[[#This Row],[RecoveredAmount]]</f>
        <v>58185.159999999996</v>
      </c>
      <c r="Q47" s="3">
        <f ca="1">ROUND(Table157[[#This Row],[Cash Flow]]/((1+ActualRateToUse)^(IF(ISNUMBER(SEARCH("Actual",$C$7)),Table157[[#This Row],[Running Total]]/365,Table157[[#This Row],[Period]]/12))),2)</f>
        <v>53106.58</v>
      </c>
      <c r="R47" s="2">
        <f>IF(MONTH(Table157[[#This Row],[Date]])=2,28,DAY(DATE(YEAR(Table157[[#This Row],[Date]]),MONTH(Table157[[#This Row],[Date]])+1,1)-1))</f>
        <v>31</v>
      </c>
      <c r="S47" s="2">
        <f ca="1">SUM(OFFSET(Table157[[#Headers],[Days in month]],1,0):Table157[[#This Row],[Days in month]])</f>
        <v>945</v>
      </c>
      <c r="T47" s="37">
        <f>InterestRate*AmortizationMultiplier*IF(ISNUMBER(SEARCH("Actual",$C$7)),Table157[[#This Row],[Days in month]]/365,1/12)</f>
        <v>2.9708333333333331E-3</v>
      </c>
    </row>
    <row r="48" spans="2:20" x14ac:dyDescent="0.2">
      <c r="B48" s="1">
        <v>46812</v>
      </c>
      <c r="C48" s="2">
        <f t="shared" si="1"/>
        <v>32</v>
      </c>
      <c r="D48" s="3">
        <f t="shared" si="0"/>
        <v>6097846.6400000034</v>
      </c>
      <c r="E48" s="3">
        <f>ROUND(Table157[[#This Row],[Beginning Balance]]*Table157[[#This Row],[Monthly Interest Rate]],2)</f>
        <v>16362.56</v>
      </c>
      <c r="F48" s="3">
        <f t="shared" si="2"/>
        <v>224</v>
      </c>
      <c r="G48" s="23">
        <f>IFERROR(IF($C$13="No","N/A",IF(Table157[[#This Row],[Period]]=1,$C$6,PMT(InterestRate*AmortizationMultiplier/12,Table157[[#This Row],[Am Thru]],-Table157[[#This Row],[Beginning Balance]]))),0)</f>
        <v>37108.56840039364</v>
      </c>
      <c r="H48" s="3">
        <f>MAX(0,IF(C48=$C$4,D48,ROUND(IF($C$3="Fixed Principal",$C$6-Table157[[#This Row],[Interest]],IF($C$3="Interest Only",Table157[[#This Row],[Beginning Balance]]*ROUND(1-(1-IF($C$11="No",$E$8,1))^(1/12),6),MIN(IF($C$13="Yes",Table157[[#This Row],[Payment Amount (Reamortized)]],$C$6)-Table157[[#This Row],[Interest]],Table157[[#This Row],[Beginning Balance]]))),2)))</f>
        <v>20746.009999999998</v>
      </c>
      <c r="I48" s="3">
        <f>_xlfn.SINGLE(IF($C$3="Line of Credit",0,ROUND(MAX(MIN(IF($C$10="No",$E$7,VLOOKUP(Table157[[#This Row],[Period]],Forecast!$H$2:$L$1048576,4,FALSE))*Table157[[#This Row],[Beginning Balance]],Table157[[#This Row],[Beginning Balance]]-Table157[[#This Row],[Principal]]),0),2)))</f>
        <v>17397.16</v>
      </c>
      <c r="J48" s="3">
        <f>ROUND(MIN(Table157[[#This Row],[Beginning Balance]]*IF($C$8="No",$E$3,VLOOKUP(Table157[[#This Row],[Period]],Forecast!$H$2:$L$1048576,2,FALSE)),Table157[[#This Row],[Beginning Balance]]-Table157[[#This Row],[Principal]]-Table157[[#This Row],[Prepayments]]),2)</f>
        <v>4018.48</v>
      </c>
      <c r="K48" s="3">
        <f>ROUND(Table157[[#This Row],[Defaulted Principal]]*IF($C$9="No",$E$4,VLOOKUP(Table157[[#This Row],[Period]],Forecast!$H$2:$L$1048576,3,FALSE)),2)</f>
        <v>345.11</v>
      </c>
      <c r="L48" s="2">
        <f>Table157[[#This Row],[Period]]+$E$9</f>
        <v>44</v>
      </c>
      <c r="M48" s="3">
        <f>Table157[[#This Row],[Defaulted Principal]]-Table157[[#This Row],[Estimated Loss]]</f>
        <v>3673.37</v>
      </c>
      <c r="N48" s="3">
        <f>IFERROR(VLOOKUP(Table157[[#This Row],[Period]],$L$16:$M$385,2,FALSE),0)</f>
        <v>3413</v>
      </c>
      <c r="O48" s="3">
        <f>Table157[[#This Row],[Beginning Balance]]-Table157[[#This Row],[Principal]]-Table157[[#This Row],[Prepayments]]-Table157[[#This Row],[Defaulted Principal]]</f>
        <v>6055684.990000003</v>
      </c>
      <c r="P48" s="3">
        <f>Table157[[#This Row],[Principal]]+Table157[[#This Row],[Interest]]+Table157[[#This Row],[Prepayments]]+Table157[[#This Row],[RecoveredAmount]]</f>
        <v>57918.729999999996</v>
      </c>
      <c r="Q48" s="3">
        <f ca="1">ROUND(Table157[[#This Row],[Cash Flow]]/((1+ActualRateToUse)^(IF(ISNUMBER(SEARCH("Actual",$C$7)),Table157[[#This Row],[Running Total]]/365,Table157[[#This Row],[Period]]/12))),2)</f>
        <v>52720.54</v>
      </c>
      <c r="R48" s="2">
        <f>IF(MONTH(Table157[[#This Row],[Date]])=2,28,DAY(DATE(YEAR(Table157[[#This Row],[Date]]),MONTH(Table157[[#This Row],[Date]])+1,1)-1))</f>
        <v>28</v>
      </c>
      <c r="S48" s="2">
        <f ca="1">SUM(OFFSET(Table157[[#Headers],[Days in month]],1,0):Table157[[#This Row],[Days in month]])</f>
        <v>973</v>
      </c>
      <c r="T48" s="37">
        <f>InterestRate*AmortizationMultiplier*IF(ISNUMBER(SEARCH("Actual",$C$7)),Table157[[#This Row],[Days in month]]/365,1/12)</f>
        <v>2.6833333333333336E-3</v>
      </c>
    </row>
    <row r="49" spans="2:20" x14ac:dyDescent="0.2">
      <c r="B49" s="1">
        <v>46843</v>
      </c>
      <c r="C49" s="2">
        <f t="shared" si="1"/>
        <v>33</v>
      </c>
      <c r="D49" s="3">
        <f t="shared" si="0"/>
        <v>6055684.990000003</v>
      </c>
      <c r="E49" s="3">
        <f>ROUND(Table157[[#This Row],[Beginning Balance]]*Table157[[#This Row],[Monthly Interest Rate]],2)</f>
        <v>17990.43</v>
      </c>
      <c r="F49" s="3">
        <f t="shared" si="2"/>
        <v>223</v>
      </c>
      <c r="G49" s="23">
        <f>IFERROR(IF($C$13="No","N/A",IF(Table157[[#This Row],[Period]]=1,$C$6,PMT(InterestRate*AmortizationMultiplier/12,Table157[[#This Row],[Am Thru]],-Table157[[#This Row],[Beginning Balance]]))),0)</f>
        <v>36969.207013001069</v>
      </c>
      <c r="H49" s="3">
        <f>MAX(0,IF(C49=$C$4,D49,ROUND(IF($C$3="Fixed Principal",$C$6-Table157[[#This Row],[Interest]],IF($C$3="Interest Only",Table157[[#This Row],[Beginning Balance]]*ROUND(1-(1-IF($C$11="No",$E$8,1))^(1/12),6),MIN(IF($C$13="Yes",Table157[[#This Row],[Payment Amount (Reamortized)]],$C$6)-Table157[[#This Row],[Interest]],Table157[[#This Row],[Beginning Balance]]))),2)))</f>
        <v>18978.78</v>
      </c>
      <c r="I49" s="3">
        <f>_xlfn.SINGLE(IF($C$3="Line of Credit",0,ROUND(MAX(MIN(IF($C$10="No",$E$7,VLOOKUP(Table157[[#This Row],[Period]],Forecast!$H$2:$L$1048576,4,FALSE))*Table157[[#This Row],[Beginning Balance]],Table157[[#This Row],[Beginning Balance]]-Table157[[#This Row],[Principal]]),0),2)))</f>
        <v>17276.87</v>
      </c>
      <c r="J49" s="3">
        <f>ROUND(MIN(Table157[[#This Row],[Beginning Balance]]*IF($C$8="No",$E$3,VLOOKUP(Table157[[#This Row],[Period]],Forecast!$H$2:$L$1048576,2,FALSE)),Table157[[#This Row],[Beginning Balance]]-Table157[[#This Row],[Principal]]-Table157[[#This Row],[Prepayments]]),2)</f>
        <v>3990.7</v>
      </c>
      <c r="K49" s="3">
        <f>ROUND(Table157[[#This Row],[Defaulted Principal]]*IF($C$9="No",$E$4,VLOOKUP(Table157[[#This Row],[Period]],Forecast!$H$2:$L$1048576,3,FALSE)),2)</f>
        <v>342.73</v>
      </c>
      <c r="L49" s="2">
        <f>Table157[[#This Row],[Period]]+$E$9</f>
        <v>45</v>
      </c>
      <c r="M49" s="3">
        <f>Table157[[#This Row],[Defaulted Principal]]-Table157[[#This Row],[Estimated Loss]]</f>
        <v>3647.97</v>
      </c>
      <c r="N49" s="3">
        <f>IFERROR(VLOOKUP(Table157[[#This Row],[Period]],$L$16:$M$385,2,FALSE),0)</f>
        <v>3390.4700000000003</v>
      </c>
      <c r="O49" s="3">
        <f>Table157[[#This Row],[Beginning Balance]]-Table157[[#This Row],[Principal]]-Table157[[#This Row],[Prepayments]]-Table157[[#This Row],[Defaulted Principal]]</f>
        <v>6015438.6400000025</v>
      </c>
      <c r="P49" s="3">
        <f>Table157[[#This Row],[Principal]]+Table157[[#This Row],[Interest]]+Table157[[#This Row],[Prepayments]]+Table157[[#This Row],[RecoveredAmount]]</f>
        <v>57636.55</v>
      </c>
      <c r="Q49" s="3">
        <f ca="1">ROUND(Table157[[#This Row],[Cash Flow]]/((1+ActualRateToUse)^(IF(ISNUMBER(SEARCH("Actual",$C$7)),Table157[[#This Row],[Running Total]]/365,Table157[[#This Row],[Period]]/12))),2)</f>
        <v>52306.74</v>
      </c>
      <c r="R49" s="2">
        <f>IF(MONTH(Table157[[#This Row],[Date]])=2,28,DAY(DATE(YEAR(Table157[[#This Row],[Date]]),MONTH(Table157[[#This Row],[Date]])+1,1)-1))</f>
        <v>31</v>
      </c>
      <c r="S49" s="2">
        <f ca="1">SUM(OFFSET(Table157[[#Headers],[Days in month]],1,0):Table157[[#This Row],[Days in month]])</f>
        <v>1004</v>
      </c>
      <c r="T49" s="37">
        <f>InterestRate*AmortizationMultiplier*IF(ISNUMBER(SEARCH("Actual",$C$7)),Table157[[#This Row],[Days in month]]/365,1/12)</f>
        <v>2.9708333333333331E-3</v>
      </c>
    </row>
    <row r="50" spans="2:20" x14ac:dyDescent="0.2">
      <c r="B50" s="1">
        <v>46873</v>
      </c>
      <c r="C50" s="2">
        <f t="shared" si="1"/>
        <v>34</v>
      </c>
      <c r="D50" s="3">
        <f t="shared" si="0"/>
        <v>6015438.6400000025</v>
      </c>
      <c r="E50" s="3">
        <f>ROUND(Table157[[#This Row],[Beginning Balance]]*Table157[[#This Row],[Monthly Interest Rate]],2)</f>
        <v>17294.39</v>
      </c>
      <c r="F50" s="3">
        <f t="shared" si="2"/>
        <v>222</v>
      </c>
      <c r="G50" s="23">
        <f>IFERROR(IF($C$13="No","N/A",IF(Table157[[#This Row],[Period]]=1,$C$6,PMT(InterestRate*AmortizationMultiplier/12,Table157[[#This Row],[Am Thru]],-Table157[[#This Row],[Beginning Balance]]))),0)</f>
        <v>36841.028908541222</v>
      </c>
      <c r="H50" s="3">
        <f>MAX(0,IF(C50=$C$4,D50,ROUND(IF($C$3="Fixed Principal",$C$6-Table157[[#This Row],[Interest]],IF($C$3="Interest Only",Table157[[#This Row],[Beginning Balance]]*ROUND(1-(1-IF($C$11="No",$E$8,1))^(1/12),6),MIN(IF($C$13="Yes",Table157[[#This Row],[Payment Amount (Reamortized)]],$C$6)-Table157[[#This Row],[Interest]],Table157[[#This Row],[Beginning Balance]]))),2)))</f>
        <v>19546.64</v>
      </c>
      <c r="I50" s="3">
        <f>_xlfn.SINGLE(IF($C$3="Line of Credit",0,ROUND(MAX(MIN(IF($C$10="No",$E$7,VLOOKUP(Table157[[#This Row],[Period]],Forecast!$H$2:$L$1048576,4,FALSE))*Table157[[#This Row],[Beginning Balance]],Table157[[#This Row],[Beginning Balance]]-Table157[[#This Row],[Principal]]),0),2)))</f>
        <v>17162.05</v>
      </c>
      <c r="J50" s="3">
        <f>ROUND(MIN(Table157[[#This Row],[Beginning Balance]]*IF($C$8="No",$E$3,VLOOKUP(Table157[[#This Row],[Period]],Forecast!$H$2:$L$1048576,2,FALSE)),Table157[[#This Row],[Beginning Balance]]-Table157[[#This Row],[Principal]]-Table157[[#This Row],[Prepayments]]),2)</f>
        <v>4108.54</v>
      </c>
      <c r="K50" s="3">
        <f>ROUND(Table157[[#This Row],[Defaulted Principal]]*IF($C$9="No",$E$4,VLOOKUP(Table157[[#This Row],[Period]],Forecast!$H$2:$L$1048576,3,FALSE)),2)</f>
        <v>356.19</v>
      </c>
      <c r="L50" s="2">
        <f>Table157[[#This Row],[Period]]+$E$9</f>
        <v>46</v>
      </c>
      <c r="M50" s="3">
        <f>Table157[[#This Row],[Defaulted Principal]]-Table157[[#This Row],[Estimated Loss]]</f>
        <v>3752.35</v>
      </c>
      <c r="N50" s="3">
        <f>IFERROR(VLOOKUP(Table157[[#This Row],[Period]],$L$16:$M$385,2,FALSE),0)</f>
        <v>3508.94</v>
      </c>
      <c r="O50" s="3">
        <f>Table157[[#This Row],[Beginning Balance]]-Table157[[#This Row],[Principal]]-Table157[[#This Row],[Prepayments]]-Table157[[#This Row],[Defaulted Principal]]</f>
        <v>5974621.4100000029</v>
      </c>
      <c r="P50" s="3">
        <f>Table157[[#This Row],[Principal]]+Table157[[#This Row],[Interest]]+Table157[[#This Row],[Prepayments]]+Table157[[#This Row],[RecoveredAmount]]</f>
        <v>57512.020000000004</v>
      </c>
      <c r="Q50" s="3">
        <f ca="1">ROUND(Table157[[#This Row],[Cash Flow]]/((1+ActualRateToUse)^(IF(ISNUMBER(SEARCH("Actual",$C$7)),Table157[[#This Row],[Running Total]]/365,Table157[[#This Row],[Period]]/12))),2)</f>
        <v>52042.62</v>
      </c>
      <c r="R50" s="2">
        <f>IF(MONTH(Table157[[#This Row],[Date]])=2,28,DAY(DATE(YEAR(Table157[[#This Row],[Date]]),MONTH(Table157[[#This Row],[Date]])+1,1)-1))</f>
        <v>30</v>
      </c>
      <c r="S50" s="2">
        <f ca="1">SUM(OFFSET(Table157[[#Headers],[Days in month]],1,0):Table157[[#This Row],[Days in month]])</f>
        <v>1034</v>
      </c>
      <c r="T50" s="37">
        <f>InterestRate*AmortizationMultiplier*IF(ISNUMBER(SEARCH("Actual",$C$7)),Table157[[#This Row],[Days in month]]/365,1/12)</f>
        <v>2.8749999999999995E-3</v>
      </c>
    </row>
    <row r="51" spans="2:20" x14ac:dyDescent="0.2">
      <c r="B51" s="1">
        <v>46904</v>
      </c>
      <c r="C51" s="2">
        <f t="shared" si="1"/>
        <v>35</v>
      </c>
      <c r="D51" s="3">
        <f t="shared" si="0"/>
        <v>5974621.4100000029</v>
      </c>
      <c r="E51" s="3">
        <f>ROUND(Table157[[#This Row],[Beginning Balance]]*Table157[[#This Row],[Monthly Interest Rate]],2)</f>
        <v>17749.599999999999</v>
      </c>
      <c r="F51" s="3">
        <f t="shared" si="2"/>
        <v>221</v>
      </c>
      <c r="G51" s="23">
        <f>IFERROR(IF($C$13="No","N/A",IF(Table157[[#This Row],[Period]]=1,$C$6,PMT(InterestRate*AmortizationMultiplier/12,Table157[[#This Row],[Am Thru]],-Table157[[#This Row],[Beginning Balance]]))),0)</f>
        <v>36708.863789553667</v>
      </c>
      <c r="H51" s="3">
        <f>MAX(0,IF(C51=$C$4,D51,ROUND(IF($C$3="Fixed Principal",$C$6-Table157[[#This Row],[Interest]],IF($C$3="Interest Only",Table157[[#This Row],[Beginning Balance]]*ROUND(1-(1-IF($C$11="No",$E$8,1))^(1/12),6),MIN(IF($C$13="Yes",Table157[[#This Row],[Payment Amount (Reamortized)]],$C$6)-Table157[[#This Row],[Interest]],Table157[[#This Row],[Beginning Balance]]))),2)))</f>
        <v>18959.259999999998</v>
      </c>
      <c r="I51" s="3">
        <f>_xlfn.SINGLE(IF($C$3="Line of Credit",0,ROUND(MAX(MIN(IF($C$10="No",$E$7,VLOOKUP(Table157[[#This Row],[Period]],Forecast!$H$2:$L$1048576,4,FALSE))*Table157[[#This Row],[Beginning Balance]],Table157[[#This Row],[Beginning Balance]]-Table157[[#This Row],[Principal]]),0),2)))</f>
        <v>17045.59</v>
      </c>
      <c r="J51" s="3">
        <f>ROUND(MIN(Table157[[#This Row],[Beginning Balance]]*IF($C$8="No",$E$3,VLOOKUP(Table157[[#This Row],[Period]],Forecast!$H$2:$L$1048576,2,FALSE)),Table157[[#This Row],[Beginning Balance]]-Table157[[#This Row],[Principal]]-Table157[[#This Row],[Prepayments]]),2)</f>
        <v>4080.67</v>
      </c>
      <c r="K51" s="3">
        <f>ROUND(Table157[[#This Row],[Defaulted Principal]]*IF($C$9="No",$E$4,VLOOKUP(Table157[[#This Row],[Period]],Forecast!$H$2:$L$1048576,3,FALSE)),2)</f>
        <v>353.77</v>
      </c>
      <c r="L51" s="2">
        <f>Table157[[#This Row],[Period]]+$E$9</f>
        <v>47</v>
      </c>
      <c r="M51" s="3">
        <f>Table157[[#This Row],[Defaulted Principal]]-Table157[[#This Row],[Estimated Loss]]</f>
        <v>3726.9</v>
      </c>
      <c r="N51" s="3">
        <f>IFERROR(VLOOKUP(Table157[[#This Row],[Period]],$L$16:$M$385,2,FALSE),0)</f>
        <v>3486.25</v>
      </c>
      <c r="O51" s="3">
        <f>Table157[[#This Row],[Beginning Balance]]-Table157[[#This Row],[Principal]]-Table157[[#This Row],[Prepayments]]-Table157[[#This Row],[Defaulted Principal]]</f>
        <v>5934535.8900000034</v>
      </c>
      <c r="P51" s="3">
        <f>Table157[[#This Row],[Principal]]+Table157[[#This Row],[Interest]]+Table157[[#This Row],[Prepayments]]+Table157[[#This Row],[RecoveredAmount]]</f>
        <v>57240.7</v>
      </c>
      <c r="Q51" s="3">
        <f ca="1">ROUND(Table157[[#This Row],[Cash Flow]]/((1+ActualRateToUse)^(IF(ISNUMBER(SEARCH("Actual",$C$7)),Table157[[#This Row],[Running Total]]/365,Table157[[#This Row],[Period]]/12))),2)</f>
        <v>51642.15</v>
      </c>
      <c r="R51" s="2">
        <f>IF(MONTH(Table157[[#This Row],[Date]])=2,28,DAY(DATE(YEAR(Table157[[#This Row],[Date]]),MONTH(Table157[[#This Row],[Date]])+1,1)-1))</f>
        <v>31</v>
      </c>
      <c r="S51" s="2">
        <f ca="1">SUM(OFFSET(Table157[[#Headers],[Days in month]],1,0):Table157[[#This Row],[Days in month]])</f>
        <v>1065</v>
      </c>
      <c r="T51" s="37">
        <f>InterestRate*AmortizationMultiplier*IF(ISNUMBER(SEARCH("Actual",$C$7)),Table157[[#This Row],[Days in month]]/365,1/12)</f>
        <v>2.9708333333333331E-3</v>
      </c>
    </row>
    <row r="52" spans="2:20" x14ac:dyDescent="0.2">
      <c r="B52" s="1">
        <v>46934</v>
      </c>
      <c r="C52" s="2">
        <f t="shared" si="1"/>
        <v>36</v>
      </c>
      <c r="D52" s="3">
        <f t="shared" si="0"/>
        <v>5934535.8900000034</v>
      </c>
      <c r="E52" s="3">
        <f>ROUND(Table157[[#This Row],[Beginning Balance]]*Table157[[#This Row],[Monthly Interest Rate]],2)</f>
        <v>17061.79</v>
      </c>
      <c r="F52" s="3">
        <f t="shared" si="2"/>
        <v>220</v>
      </c>
      <c r="G52" s="23">
        <f>IFERROR(IF($C$13="No","N/A",IF(Table157[[#This Row],[Period]]=1,$C$6,PMT(InterestRate*AmortizationMultiplier/12,Table157[[#This Row],[Am Thru]],-Table157[[#This Row],[Beginning Balance]]))),0)</f>
        <v>36580.699510380859</v>
      </c>
      <c r="H52" s="3">
        <f>MAX(0,IF(C52=$C$4,D52,ROUND(IF($C$3="Fixed Principal",$C$6-Table157[[#This Row],[Interest]],IF($C$3="Interest Only",Table157[[#This Row],[Beginning Balance]]*ROUND(1-(1-IF($C$11="No",$E$8,1))^(1/12),6),MIN(IF($C$13="Yes",Table157[[#This Row],[Payment Amount (Reamortized)]],$C$6)-Table157[[#This Row],[Interest]],Table157[[#This Row],[Beginning Balance]]))),2)))</f>
        <v>19518.91</v>
      </c>
      <c r="I52" s="3">
        <f>_xlfn.SINGLE(IF($C$3="Line of Credit",0,ROUND(MAX(MIN(IF($C$10="No",$E$7,VLOOKUP(Table157[[#This Row],[Period]],Forecast!$H$2:$L$1048576,4,FALSE))*Table157[[#This Row],[Beginning Balance]],Table157[[#This Row],[Beginning Balance]]-Table157[[#This Row],[Principal]]),0),2)))</f>
        <v>16931.23</v>
      </c>
      <c r="J52" s="3">
        <f>ROUND(MIN(Table157[[#This Row],[Beginning Balance]]*IF($C$8="No",$E$3,VLOOKUP(Table157[[#This Row],[Period]],Forecast!$H$2:$L$1048576,2,FALSE)),Table157[[#This Row],[Beginning Balance]]-Table157[[#This Row],[Principal]]-Table157[[#This Row],[Prepayments]]),2)</f>
        <v>4053.29</v>
      </c>
      <c r="K52" s="3">
        <f>ROUND(Table157[[#This Row],[Defaulted Principal]]*IF($C$9="No",$E$4,VLOOKUP(Table157[[#This Row],[Period]],Forecast!$H$2:$L$1048576,3,FALSE)),2)</f>
        <v>351.4</v>
      </c>
      <c r="L52" s="2">
        <f>Table157[[#This Row],[Period]]+$E$9</f>
        <v>48</v>
      </c>
      <c r="M52" s="3">
        <f>Table157[[#This Row],[Defaulted Principal]]-Table157[[#This Row],[Estimated Loss]]</f>
        <v>3701.89</v>
      </c>
      <c r="N52" s="3">
        <f>IFERROR(VLOOKUP(Table157[[#This Row],[Period]],$L$16:$M$385,2,FALSE),0)</f>
        <v>3463.9700000000003</v>
      </c>
      <c r="O52" s="3">
        <f>Table157[[#This Row],[Beginning Balance]]-Table157[[#This Row],[Principal]]-Table157[[#This Row],[Prepayments]]-Table157[[#This Row],[Defaulted Principal]]</f>
        <v>5894032.4600000028</v>
      </c>
      <c r="P52" s="3">
        <f>Table157[[#This Row],[Principal]]+Table157[[#This Row],[Interest]]+Table157[[#This Row],[Prepayments]]+Table157[[#This Row],[RecoveredAmount]]</f>
        <v>56975.899999999994</v>
      </c>
      <c r="Q52" s="3">
        <f ca="1">ROUND(Table157[[#This Row],[Cash Flow]]/((1+ActualRateToUse)^(IF(ISNUMBER(SEARCH("Actual",$C$7)),Table157[[#This Row],[Running Total]]/365,Table157[[#This Row],[Period]]/12))),2)</f>
        <v>51254.43</v>
      </c>
      <c r="R52" s="2">
        <f>IF(MONTH(Table157[[#This Row],[Date]])=2,28,DAY(DATE(YEAR(Table157[[#This Row],[Date]]),MONTH(Table157[[#This Row],[Date]])+1,1)-1))</f>
        <v>30</v>
      </c>
      <c r="S52" s="2">
        <f ca="1">SUM(OFFSET(Table157[[#Headers],[Days in month]],1,0):Table157[[#This Row],[Days in month]])</f>
        <v>1095</v>
      </c>
      <c r="T52" s="37">
        <f>InterestRate*AmortizationMultiplier*IF(ISNUMBER(SEARCH("Actual",$C$7)),Table157[[#This Row],[Days in month]]/365,1/12)</f>
        <v>2.8749999999999995E-3</v>
      </c>
    </row>
    <row r="53" spans="2:20" x14ac:dyDescent="0.2">
      <c r="B53" s="1">
        <v>46965</v>
      </c>
      <c r="C53" s="2">
        <f t="shared" si="1"/>
        <v>37</v>
      </c>
      <c r="D53" s="3">
        <f t="shared" si="0"/>
        <v>5894032.4600000028</v>
      </c>
      <c r="E53" s="3">
        <f>ROUND(Table157[[#This Row],[Beginning Balance]]*Table157[[#This Row],[Monthly Interest Rate]],2)</f>
        <v>17510.189999999999</v>
      </c>
      <c r="F53" s="3">
        <f t="shared" si="2"/>
        <v>219</v>
      </c>
      <c r="G53" s="23">
        <f>IFERROR(IF($C$13="No","N/A",IF(Table157[[#This Row],[Period]]=1,$C$6,PMT(InterestRate*AmortizationMultiplier/12,Table157[[#This Row],[Am Thru]],-Table157[[#This Row],[Beginning Balance]]))),0)</f>
        <v>36449.46305405673</v>
      </c>
      <c r="H53" s="3">
        <f>MAX(0,IF(C53=$C$4,D53,ROUND(IF($C$3="Fixed Principal",$C$6-Table157[[#This Row],[Interest]],IF($C$3="Interest Only",Table157[[#This Row],[Beginning Balance]]*ROUND(1-(1-IF($C$11="No",$E$8,1))^(1/12),6),MIN(IF($C$13="Yes",Table157[[#This Row],[Payment Amount (Reamortized)]],$C$6)-Table157[[#This Row],[Interest]],Table157[[#This Row],[Beginning Balance]]))),2)))</f>
        <v>18939.27</v>
      </c>
      <c r="I53" s="3">
        <f>_xlfn.SINGLE(IF($C$3="Line of Credit",0,ROUND(MAX(MIN(IF($C$10="No",$E$7,VLOOKUP(Table157[[#This Row],[Period]],Forecast!$H$2:$L$1048576,4,FALSE))*Table157[[#This Row],[Beginning Balance]],Table157[[#This Row],[Beginning Balance]]-Table157[[#This Row],[Principal]]),0),2)))</f>
        <v>16815.669999999998</v>
      </c>
      <c r="J53" s="3">
        <f>ROUND(MIN(Table157[[#This Row],[Beginning Balance]]*IF($C$8="No",$E$3,VLOOKUP(Table157[[#This Row],[Period]],Forecast!$H$2:$L$1048576,2,FALSE)),Table157[[#This Row],[Beginning Balance]]-Table157[[#This Row],[Principal]]-Table157[[#This Row],[Prepayments]]),2)</f>
        <v>4025.62</v>
      </c>
      <c r="K53" s="3">
        <f>ROUND(Table157[[#This Row],[Defaulted Principal]]*IF($C$9="No",$E$4,VLOOKUP(Table157[[#This Row],[Period]],Forecast!$H$2:$L$1048576,3,FALSE)),2)</f>
        <v>349</v>
      </c>
      <c r="L53" s="2">
        <f>Table157[[#This Row],[Period]]+$E$9</f>
        <v>49</v>
      </c>
      <c r="M53" s="3">
        <f>Table157[[#This Row],[Defaulted Principal]]-Table157[[#This Row],[Estimated Loss]]</f>
        <v>3676.62</v>
      </c>
      <c r="N53" s="3">
        <f>IFERROR(VLOOKUP(Table157[[#This Row],[Period]],$L$16:$M$385,2,FALSE),0)</f>
        <v>3572.66</v>
      </c>
      <c r="O53" s="3">
        <f>Table157[[#This Row],[Beginning Balance]]-Table157[[#This Row],[Principal]]-Table157[[#This Row],[Prepayments]]-Table157[[#This Row],[Defaulted Principal]]</f>
        <v>5854251.9000000032</v>
      </c>
      <c r="P53" s="3">
        <f>Table157[[#This Row],[Principal]]+Table157[[#This Row],[Interest]]+Table157[[#This Row],[Prepayments]]+Table157[[#This Row],[RecoveredAmount]]</f>
        <v>56837.789999999994</v>
      </c>
      <c r="Q53" s="3">
        <f ca="1">ROUND(Table157[[#This Row],[Cash Flow]]/((1+ActualRateToUse)^(IF(ISNUMBER(SEARCH("Actual",$C$7)),Table157[[#This Row],[Running Total]]/365,Table157[[#This Row],[Period]]/12))),2)</f>
        <v>50977.23</v>
      </c>
      <c r="R53" s="2">
        <f>IF(MONTH(Table157[[#This Row],[Date]])=2,28,DAY(DATE(YEAR(Table157[[#This Row],[Date]]),MONTH(Table157[[#This Row],[Date]])+1,1)-1))</f>
        <v>31</v>
      </c>
      <c r="S53" s="2">
        <f ca="1">SUM(OFFSET(Table157[[#Headers],[Days in month]],1,0):Table157[[#This Row],[Days in month]])</f>
        <v>1126</v>
      </c>
      <c r="T53" s="37">
        <f>InterestRate*AmortizationMultiplier*IF(ISNUMBER(SEARCH("Actual",$C$7)),Table157[[#This Row],[Days in month]]/365,1/12)</f>
        <v>2.9708333333333331E-3</v>
      </c>
    </row>
    <row r="54" spans="2:20" x14ac:dyDescent="0.2">
      <c r="B54" s="1">
        <v>46996</v>
      </c>
      <c r="C54" s="2">
        <f t="shared" si="1"/>
        <v>38</v>
      </c>
      <c r="D54" s="3">
        <f t="shared" si="0"/>
        <v>5854251.9000000032</v>
      </c>
      <c r="E54" s="3">
        <f>ROUND(Table157[[#This Row],[Beginning Balance]]*Table157[[#This Row],[Monthly Interest Rate]],2)</f>
        <v>17392.009999999998</v>
      </c>
      <c r="F54" s="3">
        <f t="shared" si="2"/>
        <v>218</v>
      </c>
      <c r="G54" s="23">
        <f>IFERROR(IF($C$13="No","N/A",IF(Table157[[#This Row],[Period]]=1,$C$6,PMT(InterestRate*AmortizationMultiplier/12,Table157[[#This Row],[Am Thru]],-Table157[[#This Row],[Beginning Balance]]))),0)</f>
        <v>36322.199413630944</v>
      </c>
      <c r="H54" s="3">
        <f>MAX(0,IF(C54=$C$4,D54,ROUND(IF($C$3="Fixed Principal",$C$6-Table157[[#This Row],[Interest]],IF($C$3="Interest Only",Table157[[#This Row],[Beginning Balance]]*ROUND(1-(1-IF($C$11="No",$E$8,1))^(1/12),6),MIN(IF($C$13="Yes",Table157[[#This Row],[Payment Amount (Reamortized)]],$C$6)-Table157[[#This Row],[Interest]],Table157[[#This Row],[Beginning Balance]]))),2)))</f>
        <v>18930.189999999999</v>
      </c>
      <c r="I54" s="3">
        <f>_xlfn.SINGLE(IF($C$3="Line of Credit",0,ROUND(MAX(MIN(IF($C$10="No",$E$7,VLOOKUP(Table157[[#This Row],[Period]],Forecast!$H$2:$L$1048576,4,FALSE))*Table157[[#This Row],[Beginning Balance]],Table157[[#This Row],[Beginning Balance]]-Table157[[#This Row],[Principal]]),0),2)))</f>
        <v>16702.18</v>
      </c>
      <c r="J54" s="3">
        <f>ROUND(MIN(Table157[[#This Row],[Beginning Balance]]*IF($C$8="No",$E$3,VLOOKUP(Table157[[#This Row],[Period]],Forecast!$H$2:$L$1048576,2,FALSE)),Table157[[#This Row],[Beginning Balance]]-Table157[[#This Row],[Principal]]-Table157[[#This Row],[Prepayments]]),2)</f>
        <v>3998.45</v>
      </c>
      <c r="K54" s="3">
        <f>ROUND(Table157[[#This Row],[Defaulted Principal]]*IF($C$9="No",$E$4,VLOOKUP(Table157[[#This Row],[Period]],Forecast!$H$2:$L$1048576,3,FALSE)),2)</f>
        <v>346.64</v>
      </c>
      <c r="L54" s="2">
        <f>Table157[[#This Row],[Period]]+$E$9</f>
        <v>50</v>
      </c>
      <c r="M54" s="3">
        <f>Table157[[#This Row],[Defaulted Principal]]-Table157[[#This Row],[Estimated Loss]]</f>
        <v>3651.81</v>
      </c>
      <c r="N54" s="3">
        <f>IFERROR(VLOOKUP(Table157[[#This Row],[Period]],$L$16:$M$385,2,FALSE),0)</f>
        <v>3549.62</v>
      </c>
      <c r="O54" s="3">
        <f>Table157[[#This Row],[Beginning Balance]]-Table157[[#This Row],[Principal]]-Table157[[#This Row],[Prepayments]]-Table157[[#This Row],[Defaulted Principal]]</f>
        <v>5814621.0800000029</v>
      </c>
      <c r="P54" s="3">
        <f>Table157[[#This Row],[Principal]]+Table157[[#This Row],[Interest]]+Table157[[#This Row],[Prepayments]]+Table157[[#This Row],[RecoveredAmount]]</f>
        <v>56574</v>
      </c>
      <c r="Q54" s="3">
        <f ca="1">ROUND(Table157[[#This Row],[Cash Flow]]/((1+ActualRateToUse)^(IF(ISNUMBER(SEARCH("Actual",$C$7)),Table157[[#This Row],[Running Total]]/365,Table157[[#This Row],[Period]]/12))),2)</f>
        <v>50588.85</v>
      </c>
      <c r="R54" s="2">
        <f>IF(MONTH(Table157[[#This Row],[Date]])=2,28,DAY(DATE(YEAR(Table157[[#This Row],[Date]]),MONTH(Table157[[#This Row],[Date]])+1,1)-1))</f>
        <v>31</v>
      </c>
      <c r="S54" s="2">
        <f ca="1">SUM(OFFSET(Table157[[#Headers],[Days in month]],1,0):Table157[[#This Row],[Days in month]])</f>
        <v>1157</v>
      </c>
      <c r="T54" s="37">
        <f>InterestRate*AmortizationMultiplier*IF(ISNUMBER(SEARCH("Actual",$C$7)),Table157[[#This Row],[Days in month]]/365,1/12)</f>
        <v>2.9708333333333331E-3</v>
      </c>
    </row>
    <row r="55" spans="2:20" x14ac:dyDescent="0.2">
      <c r="B55" s="1">
        <v>47026</v>
      </c>
      <c r="C55" s="2">
        <f t="shared" si="1"/>
        <v>39</v>
      </c>
      <c r="D55" s="3">
        <f t="shared" si="0"/>
        <v>5814621.0800000029</v>
      </c>
      <c r="E55" s="3">
        <f>ROUND(Table157[[#This Row],[Beginning Balance]]*Table157[[#This Row],[Monthly Interest Rate]],2)</f>
        <v>16717.04</v>
      </c>
      <c r="F55" s="3">
        <f t="shared" si="2"/>
        <v>217</v>
      </c>
      <c r="G55" s="23">
        <f>IFERROR(IF($C$13="No","N/A",IF(Table157[[#This Row],[Period]]=1,$C$6,PMT(InterestRate*AmortizationMultiplier/12,Table157[[#This Row],[Am Thru]],-Table157[[#This Row],[Beginning Balance]]))),0)</f>
        <v>36195.377496010587</v>
      </c>
      <c r="H55" s="3">
        <f>MAX(0,IF(C55=$C$4,D55,ROUND(IF($C$3="Fixed Principal",$C$6-Table157[[#This Row],[Interest]],IF($C$3="Interest Only",Table157[[#This Row],[Beginning Balance]]*ROUND(1-(1-IF($C$11="No",$E$8,1))^(1/12),6),MIN(IF($C$13="Yes",Table157[[#This Row],[Payment Amount (Reamortized)]],$C$6)-Table157[[#This Row],[Interest]],Table157[[#This Row],[Beginning Balance]]))),2)))</f>
        <v>19478.34</v>
      </c>
      <c r="I55" s="3">
        <f>_xlfn.SINGLE(IF($C$3="Line of Credit",0,ROUND(MAX(MIN(IF($C$10="No",$E$7,VLOOKUP(Table157[[#This Row],[Period]],Forecast!$H$2:$L$1048576,4,FALSE))*Table157[[#This Row],[Beginning Balance]],Table157[[#This Row],[Beginning Balance]]-Table157[[#This Row],[Principal]]),0),2)))</f>
        <v>16589.11</v>
      </c>
      <c r="J55" s="3">
        <f>ROUND(MIN(Table157[[#This Row],[Beginning Balance]]*IF($C$8="No",$E$3,VLOOKUP(Table157[[#This Row],[Period]],Forecast!$H$2:$L$1048576,2,FALSE)),Table157[[#This Row],[Beginning Balance]]-Table157[[#This Row],[Principal]]-Table157[[#This Row],[Prepayments]]),2)</f>
        <v>3971.39</v>
      </c>
      <c r="K55" s="3">
        <f>ROUND(Table157[[#This Row],[Defaulted Principal]]*IF($C$9="No",$E$4,VLOOKUP(Table157[[#This Row],[Period]],Forecast!$H$2:$L$1048576,3,FALSE)),2)</f>
        <v>344.3</v>
      </c>
      <c r="L55" s="2">
        <f>Table157[[#This Row],[Period]]+$E$9</f>
        <v>51</v>
      </c>
      <c r="M55" s="3">
        <f>Table157[[#This Row],[Defaulted Principal]]-Table157[[#This Row],[Estimated Loss]]</f>
        <v>3627.0899999999997</v>
      </c>
      <c r="N55" s="3">
        <f>IFERROR(VLOOKUP(Table157[[#This Row],[Period]],$L$16:$M$385,2,FALSE),0)</f>
        <v>3526.67</v>
      </c>
      <c r="O55" s="3">
        <f>Table157[[#This Row],[Beginning Balance]]-Table157[[#This Row],[Principal]]-Table157[[#This Row],[Prepayments]]-Table157[[#This Row],[Defaulted Principal]]</f>
        <v>5774582.240000003</v>
      </c>
      <c r="P55" s="3">
        <f>Table157[[#This Row],[Principal]]+Table157[[#This Row],[Interest]]+Table157[[#This Row],[Prepayments]]+Table157[[#This Row],[RecoveredAmount]]</f>
        <v>56311.16</v>
      </c>
      <c r="Q55" s="3">
        <f ca="1">ROUND(Table157[[#This Row],[Cash Flow]]/((1+ActualRateToUse)^(IF(ISNUMBER(SEARCH("Actual",$C$7)),Table157[[#This Row],[Running Total]]/365,Table157[[#This Row],[Period]]/12))),2)</f>
        <v>50208.03</v>
      </c>
      <c r="R55" s="2">
        <f>IF(MONTH(Table157[[#This Row],[Date]])=2,28,DAY(DATE(YEAR(Table157[[#This Row],[Date]]),MONTH(Table157[[#This Row],[Date]])+1,1)-1))</f>
        <v>30</v>
      </c>
      <c r="S55" s="2">
        <f ca="1">SUM(OFFSET(Table157[[#Headers],[Days in month]],1,0):Table157[[#This Row],[Days in month]])</f>
        <v>1187</v>
      </c>
      <c r="T55" s="37">
        <f>InterestRate*AmortizationMultiplier*IF(ISNUMBER(SEARCH("Actual",$C$7)),Table157[[#This Row],[Days in month]]/365,1/12)</f>
        <v>2.8749999999999995E-3</v>
      </c>
    </row>
    <row r="56" spans="2:20" x14ac:dyDescent="0.2">
      <c r="B56" s="1">
        <v>47057</v>
      </c>
      <c r="C56" s="2">
        <f t="shared" si="1"/>
        <v>40</v>
      </c>
      <c r="D56" s="3">
        <f t="shared" si="0"/>
        <v>5774582.240000003</v>
      </c>
      <c r="E56" s="3">
        <f>ROUND(Table157[[#This Row],[Beginning Balance]]*Table157[[#This Row],[Monthly Interest Rate]],2)</f>
        <v>17155.32</v>
      </c>
      <c r="F56" s="3">
        <f t="shared" si="2"/>
        <v>216</v>
      </c>
      <c r="G56" s="23">
        <f>IFERROR(IF($C$13="No","N/A",IF(Table157[[#This Row],[Period]]=1,$C$6,PMT(InterestRate*AmortizationMultiplier/12,Table157[[#This Row],[Am Thru]],-Table157[[#This Row],[Beginning Balance]]))),0)</f>
        <v>36065.515514376319</v>
      </c>
      <c r="H56" s="3">
        <f>MAX(0,IF(C56=$C$4,D56,ROUND(IF($C$3="Fixed Principal",$C$6-Table157[[#This Row],[Interest]],IF($C$3="Interest Only",Table157[[#This Row],[Beginning Balance]]*ROUND(1-(1-IF($C$11="No",$E$8,1))^(1/12),6),MIN(IF($C$13="Yes",Table157[[#This Row],[Payment Amount (Reamortized)]],$C$6)-Table157[[#This Row],[Interest]],Table157[[#This Row],[Beginning Balance]]))),2)))</f>
        <v>18910.2</v>
      </c>
      <c r="I56" s="3">
        <f>_xlfn.SINGLE(IF($C$3="Line of Credit",0,ROUND(MAX(MIN(IF($C$10="No",$E$7,VLOOKUP(Table157[[#This Row],[Period]],Forecast!$H$2:$L$1048576,4,FALSE))*Table157[[#This Row],[Beginning Balance]],Table157[[#This Row],[Beginning Balance]]-Table157[[#This Row],[Principal]]),0),2)))</f>
        <v>16474.88</v>
      </c>
      <c r="J56" s="3">
        <f>ROUND(MIN(Table157[[#This Row],[Beginning Balance]]*IF($C$8="No",$E$3,VLOOKUP(Table157[[#This Row],[Period]],Forecast!$H$2:$L$1048576,2,FALSE)),Table157[[#This Row],[Beginning Balance]]-Table157[[#This Row],[Principal]]-Table157[[#This Row],[Prepayments]]),2)</f>
        <v>3944.04</v>
      </c>
      <c r="K56" s="3">
        <f>ROUND(Table157[[#This Row],[Defaulted Principal]]*IF($C$9="No",$E$4,VLOOKUP(Table157[[#This Row],[Period]],Forecast!$H$2:$L$1048576,3,FALSE)),2)</f>
        <v>341.92</v>
      </c>
      <c r="L56" s="2">
        <f>Table157[[#This Row],[Period]]+$E$9</f>
        <v>52</v>
      </c>
      <c r="M56" s="3">
        <f>Table157[[#This Row],[Defaulted Principal]]-Table157[[#This Row],[Estimated Loss]]</f>
        <v>3602.12</v>
      </c>
      <c r="N56" s="3">
        <f>IFERROR(VLOOKUP(Table157[[#This Row],[Period]],$L$16:$M$385,2,FALSE),0)</f>
        <v>3637.69</v>
      </c>
      <c r="O56" s="3">
        <f>Table157[[#This Row],[Beginning Balance]]-Table157[[#This Row],[Principal]]-Table157[[#This Row],[Prepayments]]-Table157[[#This Row],[Defaulted Principal]]</f>
        <v>5735253.1200000029</v>
      </c>
      <c r="P56" s="3">
        <f>Table157[[#This Row],[Principal]]+Table157[[#This Row],[Interest]]+Table157[[#This Row],[Prepayments]]+Table157[[#This Row],[RecoveredAmount]]</f>
        <v>56178.090000000011</v>
      </c>
      <c r="Q56" s="3">
        <f ca="1">ROUND(Table157[[#This Row],[Cash Flow]]/((1+ActualRateToUse)^(IF(ISNUMBER(SEARCH("Actual",$C$7)),Table157[[#This Row],[Running Total]]/365,Table157[[#This Row],[Period]]/12))),2)</f>
        <v>49939.54</v>
      </c>
      <c r="R56" s="2">
        <f>IF(MONTH(Table157[[#This Row],[Date]])=2,28,DAY(DATE(YEAR(Table157[[#This Row],[Date]]),MONTH(Table157[[#This Row],[Date]])+1,1)-1))</f>
        <v>31</v>
      </c>
      <c r="S56" s="2">
        <f ca="1">SUM(OFFSET(Table157[[#Headers],[Days in month]],1,0):Table157[[#This Row],[Days in month]])</f>
        <v>1218</v>
      </c>
      <c r="T56" s="37">
        <f>InterestRate*AmortizationMultiplier*IF(ISNUMBER(SEARCH("Actual",$C$7)),Table157[[#This Row],[Days in month]]/365,1/12)</f>
        <v>2.9708333333333331E-3</v>
      </c>
    </row>
    <row r="57" spans="2:20" x14ac:dyDescent="0.2">
      <c r="B57" s="1">
        <v>47087</v>
      </c>
      <c r="C57" s="2">
        <f t="shared" si="1"/>
        <v>41</v>
      </c>
      <c r="D57" s="3">
        <f t="shared" si="0"/>
        <v>5735253.1200000029</v>
      </c>
      <c r="E57" s="3">
        <f>ROUND(Table157[[#This Row],[Beginning Balance]]*Table157[[#This Row],[Monthly Interest Rate]],2)</f>
        <v>16488.849999999999</v>
      </c>
      <c r="F57" s="3">
        <f t="shared" si="2"/>
        <v>215</v>
      </c>
      <c r="G57" s="23">
        <f>IFERROR(IF($C$13="No","N/A",IF(Table157[[#This Row],[Period]]=1,$C$6,PMT(InterestRate*AmortizationMultiplier/12,Table157[[#This Row],[Am Thru]],-Table157[[#This Row],[Beginning Balance]]))),0)</f>
        <v>35939.584565050834</v>
      </c>
      <c r="H57" s="3">
        <f>MAX(0,IF(C57=$C$4,D57,ROUND(IF($C$3="Fixed Principal",$C$6-Table157[[#This Row],[Interest]],IF($C$3="Interest Only",Table157[[#This Row],[Beginning Balance]]*ROUND(1-(1-IF($C$11="No",$E$8,1))^(1/12),6),MIN(IF($C$13="Yes",Table157[[#This Row],[Payment Amount (Reamortized)]],$C$6)-Table157[[#This Row],[Interest]],Table157[[#This Row],[Beginning Balance]]))),2)))</f>
        <v>19450.73</v>
      </c>
      <c r="I57" s="3">
        <f>_xlfn.SINGLE(IF($C$3="Line of Credit",0,ROUND(MAX(MIN(IF($C$10="No",$E$7,VLOOKUP(Table157[[#This Row],[Period]],Forecast!$H$2:$L$1048576,4,FALSE))*Table157[[#This Row],[Beginning Balance]],Table157[[#This Row],[Beginning Balance]]-Table157[[#This Row],[Principal]]),0),2)))</f>
        <v>16362.68</v>
      </c>
      <c r="J57" s="3">
        <f>ROUND(MIN(Table157[[#This Row],[Beginning Balance]]*IF($C$8="No",$E$3,VLOOKUP(Table157[[#This Row],[Period]],Forecast!$H$2:$L$1048576,2,FALSE)),Table157[[#This Row],[Beginning Balance]]-Table157[[#This Row],[Principal]]-Table157[[#This Row],[Prepayments]]),2)</f>
        <v>3917.18</v>
      </c>
      <c r="K57" s="3">
        <f>ROUND(Table157[[#This Row],[Defaulted Principal]]*IF($C$9="No",$E$4,VLOOKUP(Table157[[#This Row],[Period]],Forecast!$H$2:$L$1048576,3,FALSE)),2)</f>
        <v>339.6</v>
      </c>
      <c r="L57" s="2">
        <f>Table157[[#This Row],[Period]]+$E$9</f>
        <v>53</v>
      </c>
      <c r="M57" s="3">
        <f>Table157[[#This Row],[Defaulted Principal]]-Table157[[#This Row],[Estimated Loss]]</f>
        <v>3577.58</v>
      </c>
      <c r="N57" s="3">
        <f>IFERROR(VLOOKUP(Table157[[#This Row],[Period]],$L$16:$M$385,2,FALSE),0)</f>
        <v>3613.9500000000003</v>
      </c>
      <c r="O57" s="3">
        <f>Table157[[#This Row],[Beginning Balance]]-Table157[[#This Row],[Principal]]-Table157[[#This Row],[Prepayments]]-Table157[[#This Row],[Defaulted Principal]]</f>
        <v>5695522.5300000031</v>
      </c>
      <c r="P57" s="3">
        <f>Table157[[#This Row],[Principal]]+Table157[[#This Row],[Interest]]+Table157[[#This Row],[Prepayments]]+Table157[[#This Row],[RecoveredAmount]]</f>
        <v>55916.21</v>
      </c>
      <c r="Q57" s="3">
        <f ca="1">ROUND(Table157[[#This Row],[Cash Flow]]/((1+ActualRateToUse)^(IF(ISNUMBER(SEARCH("Actual",$C$7)),Table157[[#This Row],[Running Total]]/365,Table157[[#This Row],[Period]]/12))),2)</f>
        <v>49562.84</v>
      </c>
      <c r="R57" s="2">
        <f>IF(MONTH(Table157[[#This Row],[Date]])=2,28,DAY(DATE(YEAR(Table157[[#This Row],[Date]]),MONTH(Table157[[#This Row],[Date]])+1,1)-1))</f>
        <v>30</v>
      </c>
      <c r="S57" s="2">
        <f ca="1">SUM(OFFSET(Table157[[#Headers],[Days in month]],1,0):Table157[[#This Row],[Days in month]])</f>
        <v>1248</v>
      </c>
      <c r="T57" s="37">
        <f>InterestRate*AmortizationMultiplier*IF(ISNUMBER(SEARCH("Actual",$C$7)),Table157[[#This Row],[Days in month]]/365,1/12)</f>
        <v>2.8749999999999995E-3</v>
      </c>
    </row>
    <row r="58" spans="2:20" x14ac:dyDescent="0.2">
      <c r="B58" s="1">
        <v>47118</v>
      </c>
      <c r="C58" s="2">
        <f t="shared" si="1"/>
        <v>42</v>
      </c>
      <c r="D58" s="3">
        <f t="shared" si="0"/>
        <v>5695522.5300000031</v>
      </c>
      <c r="E58" s="3">
        <f>ROUND(Table157[[#This Row],[Beginning Balance]]*Table157[[#This Row],[Monthly Interest Rate]],2)</f>
        <v>16920.45</v>
      </c>
      <c r="F58" s="3">
        <f t="shared" si="2"/>
        <v>214</v>
      </c>
      <c r="G58" s="23">
        <f>IFERROR(IF($C$13="No","N/A",IF(Table157[[#This Row],[Period]]=1,$C$6,PMT(InterestRate*AmortizationMultiplier/12,Table157[[#This Row],[Am Thru]],-Table157[[#This Row],[Beginning Balance]]))),0)</f>
        <v>35810.634911688685</v>
      </c>
      <c r="H58" s="3">
        <f>MAX(0,IF(C58=$C$4,D58,ROUND(IF($C$3="Fixed Principal",$C$6-Table157[[#This Row],[Interest]],IF($C$3="Interest Only",Table157[[#This Row],[Beginning Balance]]*ROUND(1-(1-IF($C$11="No",$E$8,1))^(1/12),6),MIN(IF($C$13="Yes",Table157[[#This Row],[Payment Amount (Reamortized)]],$C$6)-Table157[[#This Row],[Interest]],Table157[[#This Row],[Beginning Balance]]))),2)))</f>
        <v>18890.18</v>
      </c>
      <c r="I58" s="3">
        <f>_xlfn.SINGLE(IF($C$3="Line of Credit",0,ROUND(MAX(MIN(IF($C$10="No",$E$7,VLOOKUP(Table157[[#This Row],[Period]],Forecast!$H$2:$L$1048576,4,FALSE))*Table157[[#This Row],[Beginning Balance]],Table157[[#This Row],[Beginning Balance]]-Table157[[#This Row],[Principal]]),0),2)))</f>
        <v>16249.33</v>
      </c>
      <c r="J58" s="3">
        <f>ROUND(MIN(Table157[[#This Row],[Beginning Balance]]*IF($C$8="No",$E$3,VLOOKUP(Table157[[#This Row],[Period]],Forecast!$H$2:$L$1048576,2,FALSE)),Table157[[#This Row],[Beginning Balance]]-Table157[[#This Row],[Principal]]-Table157[[#This Row],[Prepayments]]),2)</f>
        <v>3890.04</v>
      </c>
      <c r="K58" s="3">
        <f>ROUND(Table157[[#This Row],[Defaulted Principal]]*IF($C$9="No",$E$4,VLOOKUP(Table157[[#This Row],[Period]],Forecast!$H$2:$L$1048576,3,FALSE)),2)</f>
        <v>337.24</v>
      </c>
      <c r="L58" s="2">
        <f>Table157[[#This Row],[Period]]+$E$9</f>
        <v>54</v>
      </c>
      <c r="M58" s="3">
        <f>Table157[[#This Row],[Defaulted Principal]]-Table157[[#This Row],[Estimated Loss]]</f>
        <v>3552.8</v>
      </c>
      <c r="N58" s="3">
        <f>IFERROR(VLOOKUP(Table157[[#This Row],[Period]],$L$16:$M$385,2,FALSE),0)</f>
        <v>3589.94</v>
      </c>
      <c r="O58" s="3">
        <f>Table157[[#This Row],[Beginning Balance]]-Table157[[#This Row],[Principal]]-Table157[[#This Row],[Prepayments]]-Table157[[#This Row],[Defaulted Principal]]</f>
        <v>5656492.9800000032</v>
      </c>
      <c r="P58" s="3">
        <f>Table157[[#This Row],[Principal]]+Table157[[#This Row],[Interest]]+Table157[[#This Row],[Prepayments]]+Table157[[#This Row],[RecoveredAmount]]</f>
        <v>55649.900000000009</v>
      </c>
      <c r="Q58" s="3">
        <f ca="1">ROUND(Table157[[#This Row],[Cash Flow]]/((1+ActualRateToUse)^(IF(ISNUMBER(SEARCH("Actual",$C$7)),Table157[[#This Row],[Running Total]]/365,Table157[[#This Row],[Period]]/12))),2)</f>
        <v>49179.22</v>
      </c>
      <c r="R58" s="2">
        <f>IF(MONTH(Table157[[#This Row],[Date]])=2,28,DAY(DATE(YEAR(Table157[[#This Row],[Date]]),MONTH(Table157[[#This Row],[Date]])+1,1)-1))</f>
        <v>31</v>
      </c>
      <c r="S58" s="2">
        <f ca="1">SUM(OFFSET(Table157[[#Headers],[Days in month]],1,0):Table157[[#This Row],[Days in month]])</f>
        <v>1279</v>
      </c>
      <c r="T58" s="37">
        <f>InterestRate*AmortizationMultiplier*IF(ISNUMBER(SEARCH("Actual",$C$7)),Table157[[#This Row],[Days in month]]/365,1/12)</f>
        <v>2.9708333333333331E-3</v>
      </c>
    </row>
    <row r="59" spans="2:20" x14ac:dyDescent="0.2">
      <c r="B59" s="1">
        <v>47149</v>
      </c>
      <c r="C59" s="2">
        <f t="shared" si="1"/>
        <v>43</v>
      </c>
      <c r="D59" s="3">
        <f t="shared" si="0"/>
        <v>5656492.9800000032</v>
      </c>
      <c r="E59" s="3">
        <f>ROUND(Table157[[#This Row],[Beginning Balance]]*Table157[[#This Row],[Monthly Interest Rate]],2)</f>
        <v>16804.5</v>
      </c>
      <c r="F59" s="3">
        <f t="shared" si="2"/>
        <v>213</v>
      </c>
      <c r="G59" s="23">
        <f>IFERROR(IF($C$13="No","N/A",IF(Table157[[#This Row],[Period]]=1,$C$6,PMT(InterestRate*AmortizationMultiplier/12,Table157[[#This Row],[Am Thru]],-Table157[[#This Row],[Beginning Balance]]))),0)</f>
        <v>35685.588720463325</v>
      </c>
      <c r="H59" s="3">
        <f>MAX(0,IF(C59=$C$4,D59,ROUND(IF($C$3="Fixed Principal",$C$6-Table157[[#This Row],[Interest]],IF($C$3="Interest Only",Table157[[#This Row],[Beginning Balance]]*ROUND(1-(1-IF($C$11="No",$E$8,1))^(1/12),6),MIN(IF($C$13="Yes",Table157[[#This Row],[Payment Amount (Reamortized)]],$C$6)-Table157[[#This Row],[Interest]],Table157[[#This Row],[Beginning Balance]]))),2)))</f>
        <v>18881.09</v>
      </c>
      <c r="I59" s="3">
        <f>_xlfn.SINGLE(IF($C$3="Line of Credit",0,ROUND(MAX(MIN(IF($C$10="No",$E$7,VLOOKUP(Table157[[#This Row],[Period]],Forecast!$H$2:$L$1048576,4,FALSE))*Table157[[#This Row],[Beginning Balance]],Table157[[#This Row],[Beginning Balance]]-Table157[[#This Row],[Principal]]),0),2)))</f>
        <v>16137.97</v>
      </c>
      <c r="J59" s="3">
        <f>ROUND(MIN(Table157[[#This Row],[Beginning Balance]]*IF($C$8="No",$E$3,VLOOKUP(Table157[[#This Row],[Period]],Forecast!$H$2:$L$1048576,2,FALSE)),Table157[[#This Row],[Beginning Balance]]-Table157[[#This Row],[Principal]]-Table157[[#This Row],[Prepayments]]),2)</f>
        <v>3863.38</v>
      </c>
      <c r="K59" s="3">
        <f>ROUND(Table157[[#This Row],[Defaulted Principal]]*IF($C$9="No",$E$4,VLOOKUP(Table157[[#This Row],[Period]],Forecast!$H$2:$L$1048576,3,FALSE)),2)</f>
        <v>334.93</v>
      </c>
      <c r="L59" s="2">
        <f>Table157[[#This Row],[Period]]+$E$9</f>
        <v>55</v>
      </c>
      <c r="M59" s="3">
        <f>Table157[[#This Row],[Defaulted Principal]]-Table157[[#This Row],[Estimated Loss]]</f>
        <v>3528.4500000000003</v>
      </c>
      <c r="N59" s="3">
        <f>IFERROR(VLOOKUP(Table157[[#This Row],[Period]],$L$16:$M$385,2,FALSE),0)</f>
        <v>3697.8</v>
      </c>
      <c r="O59" s="3">
        <f>Table157[[#This Row],[Beginning Balance]]-Table157[[#This Row],[Principal]]-Table157[[#This Row],[Prepayments]]-Table157[[#This Row],[Defaulted Principal]]</f>
        <v>5617610.5400000038</v>
      </c>
      <c r="P59" s="3">
        <f>Table157[[#This Row],[Principal]]+Table157[[#This Row],[Interest]]+Table157[[#This Row],[Prepayments]]+Table157[[#This Row],[RecoveredAmount]]</f>
        <v>55521.36</v>
      </c>
      <c r="Q59" s="3">
        <f ca="1">ROUND(Table157[[#This Row],[Cash Flow]]/((1+ActualRateToUse)^(IF(ISNUMBER(SEARCH("Actual",$C$7)),Table157[[#This Row],[Running Total]]/365,Table157[[#This Row],[Period]]/12))),2)</f>
        <v>48918.85</v>
      </c>
      <c r="R59" s="2">
        <f>IF(MONTH(Table157[[#This Row],[Date]])=2,28,DAY(DATE(YEAR(Table157[[#This Row],[Date]]),MONTH(Table157[[#This Row],[Date]])+1,1)-1))</f>
        <v>31</v>
      </c>
      <c r="S59" s="2">
        <f ca="1">SUM(OFFSET(Table157[[#Headers],[Days in month]],1,0):Table157[[#This Row],[Days in month]])</f>
        <v>1310</v>
      </c>
      <c r="T59" s="37">
        <f>InterestRate*AmortizationMultiplier*IF(ISNUMBER(SEARCH("Actual",$C$7)),Table157[[#This Row],[Days in month]]/365,1/12)</f>
        <v>2.9708333333333331E-3</v>
      </c>
    </row>
    <row r="60" spans="2:20" x14ac:dyDescent="0.2">
      <c r="B60" s="1">
        <v>47177</v>
      </c>
      <c r="C60" s="2">
        <f t="shared" si="1"/>
        <v>44</v>
      </c>
      <c r="D60" s="3">
        <f t="shared" si="0"/>
        <v>5617610.5400000038</v>
      </c>
      <c r="E60" s="3">
        <f>ROUND(Table157[[#This Row],[Beginning Balance]]*Table157[[#This Row],[Monthly Interest Rate]],2)</f>
        <v>15073.92</v>
      </c>
      <c r="F60" s="3">
        <f t="shared" si="2"/>
        <v>212</v>
      </c>
      <c r="G60" s="23">
        <f>IFERROR(IF($C$13="No","N/A",IF(Table157[[#This Row],[Period]]=1,$C$6,PMT(InterestRate*AmortizationMultiplier/12,Table157[[#This Row],[Am Thru]],-Table157[[#This Row],[Beginning Balance]]))),0)</f>
        <v>35560.976550027983</v>
      </c>
      <c r="H60" s="3">
        <f>MAX(0,IF(C60=$C$4,D60,ROUND(IF($C$3="Fixed Principal",$C$6-Table157[[#This Row],[Interest]],IF($C$3="Interest Only",Table157[[#This Row],[Beginning Balance]]*ROUND(1-(1-IF($C$11="No",$E$8,1))^(1/12),6),MIN(IF($C$13="Yes",Table157[[#This Row],[Payment Amount (Reamortized)]],$C$6)-Table157[[#This Row],[Interest]],Table157[[#This Row],[Beginning Balance]]))),2)))</f>
        <v>20487.060000000001</v>
      </c>
      <c r="I60" s="3">
        <f>_xlfn.SINGLE(IF($C$3="Line of Credit",0,ROUND(MAX(MIN(IF($C$10="No",$E$7,VLOOKUP(Table157[[#This Row],[Period]],Forecast!$H$2:$L$1048576,4,FALSE))*Table157[[#This Row],[Beginning Balance]],Table157[[#This Row],[Beginning Balance]]-Table157[[#This Row],[Principal]]),0),2)))</f>
        <v>16027.04</v>
      </c>
      <c r="J60" s="3">
        <f>ROUND(MIN(Table157[[#This Row],[Beginning Balance]]*IF($C$8="No",$E$3,VLOOKUP(Table157[[#This Row],[Period]],Forecast!$H$2:$L$1048576,2,FALSE)),Table157[[#This Row],[Beginning Balance]]-Table157[[#This Row],[Principal]]-Table157[[#This Row],[Prepayments]]),2)</f>
        <v>3836.83</v>
      </c>
      <c r="K60" s="3">
        <f>ROUND(Table157[[#This Row],[Defaulted Principal]]*IF($C$9="No",$E$4,VLOOKUP(Table157[[#This Row],[Period]],Forecast!$H$2:$L$1048576,3,FALSE)),2)</f>
        <v>332.63</v>
      </c>
      <c r="L60" s="2">
        <f>Table157[[#This Row],[Period]]+$E$9</f>
        <v>56</v>
      </c>
      <c r="M60" s="3">
        <f>Table157[[#This Row],[Defaulted Principal]]-Table157[[#This Row],[Estimated Loss]]</f>
        <v>3504.2</v>
      </c>
      <c r="N60" s="3">
        <f>IFERROR(VLOOKUP(Table157[[#This Row],[Period]],$L$16:$M$385,2,FALSE),0)</f>
        <v>3673.37</v>
      </c>
      <c r="O60" s="3">
        <f>Table157[[#This Row],[Beginning Balance]]-Table157[[#This Row],[Principal]]-Table157[[#This Row],[Prepayments]]-Table157[[#This Row],[Defaulted Principal]]</f>
        <v>5577259.6100000041</v>
      </c>
      <c r="P60" s="3">
        <f>Table157[[#This Row],[Principal]]+Table157[[#This Row],[Interest]]+Table157[[#This Row],[Prepayments]]+Table157[[#This Row],[RecoveredAmount]]</f>
        <v>55261.390000000007</v>
      </c>
      <c r="Q60" s="3">
        <f ca="1">ROUND(Table157[[#This Row],[Cash Flow]]/((1+ActualRateToUse)^(IF(ISNUMBER(SEARCH("Actual",$C$7)),Table157[[#This Row],[Running Total]]/365,Table157[[#This Row],[Period]]/12))),2)</f>
        <v>48558.22</v>
      </c>
      <c r="R60" s="2">
        <f>IF(MONTH(Table157[[#This Row],[Date]])=2,28,DAY(DATE(YEAR(Table157[[#This Row],[Date]]),MONTH(Table157[[#This Row],[Date]])+1,1)-1))</f>
        <v>28</v>
      </c>
      <c r="S60" s="2">
        <f ca="1">SUM(OFFSET(Table157[[#Headers],[Days in month]],1,0):Table157[[#This Row],[Days in month]])</f>
        <v>1338</v>
      </c>
      <c r="T60" s="37">
        <f>InterestRate*AmortizationMultiplier*IF(ISNUMBER(SEARCH("Actual",$C$7)),Table157[[#This Row],[Days in month]]/365,1/12)</f>
        <v>2.6833333333333336E-3</v>
      </c>
    </row>
    <row r="61" spans="2:20" x14ac:dyDescent="0.2">
      <c r="B61" s="1">
        <v>47208</v>
      </c>
      <c r="C61" s="2">
        <f t="shared" si="1"/>
        <v>45</v>
      </c>
      <c r="D61" s="3">
        <f t="shared" si="0"/>
        <v>5577259.6100000041</v>
      </c>
      <c r="E61" s="3">
        <f>ROUND(Table157[[#This Row],[Beginning Balance]]*Table157[[#This Row],[Monthly Interest Rate]],2)</f>
        <v>16569.11</v>
      </c>
      <c r="F61" s="3">
        <f t="shared" si="2"/>
        <v>211</v>
      </c>
      <c r="G61" s="23">
        <f>IFERROR(IF($C$13="No","N/A",IF(Table157[[#This Row],[Period]]=1,$C$6,PMT(InterestRate*AmortizationMultiplier/12,Table157[[#This Row],[Am Thru]],-Table157[[#This Row],[Beginning Balance]]))),0)</f>
        <v>35426.53793384396</v>
      </c>
      <c r="H61" s="3">
        <f>MAX(0,IF(C61=$C$4,D61,ROUND(IF($C$3="Fixed Principal",$C$6-Table157[[#This Row],[Interest]],IF($C$3="Interest Only",Table157[[#This Row],[Beginning Balance]]*ROUND(1-(1-IF($C$11="No",$E$8,1))^(1/12),6),MIN(IF($C$13="Yes",Table157[[#This Row],[Payment Amount (Reamortized)]],$C$6)-Table157[[#This Row],[Interest]],Table157[[#This Row],[Beginning Balance]]))),2)))</f>
        <v>18857.43</v>
      </c>
      <c r="I61" s="3">
        <f>_xlfn.SINGLE(IF($C$3="Line of Credit",0,ROUND(MAX(MIN(IF($C$10="No",$E$7,VLOOKUP(Table157[[#This Row],[Period]],Forecast!$H$2:$L$1048576,4,FALSE))*Table157[[#This Row],[Beginning Balance]],Table157[[#This Row],[Beginning Balance]]-Table157[[#This Row],[Principal]]),0),2)))</f>
        <v>15911.92</v>
      </c>
      <c r="J61" s="3">
        <f>ROUND(MIN(Table157[[#This Row],[Beginning Balance]]*IF($C$8="No",$E$3,VLOOKUP(Table157[[#This Row],[Period]],Forecast!$H$2:$L$1048576,2,FALSE)),Table157[[#This Row],[Beginning Balance]]-Table157[[#This Row],[Principal]]-Table157[[#This Row],[Prepayments]]),2)</f>
        <v>3809.27</v>
      </c>
      <c r="K61" s="3">
        <f>ROUND(Table157[[#This Row],[Defaulted Principal]]*IF($C$9="No",$E$4,VLOOKUP(Table157[[#This Row],[Period]],Forecast!$H$2:$L$1048576,3,FALSE)),2)</f>
        <v>330.24</v>
      </c>
      <c r="L61" s="2">
        <f>Table157[[#This Row],[Period]]+$E$9</f>
        <v>57</v>
      </c>
      <c r="M61" s="3">
        <f>Table157[[#This Row],[Defaulted Principal]]-Table157[[#This Row],[Estimated Loss]]</f>
        <v>3479.0299999999997</v>
      </c>
      <c r="N61" s="3">
        <f>IFERROR(VLOOKUP(Table157[[#This Row],[Period]],$L$16:$M$385,2,FALSE),0)</f>
        <v>3647.97</v>
      </c>
      <c r="O61" s="3">
        <f>Table157[[#This Row],[Beginning Balance]]-Table157[[#This Row],[Principal]]-Table157[[#This Row],[Prepayments]]-Table157[[#This Row],[Defaulted Principal]]</f>
        <v>5538680.9900000049</v>
      </c>
      <c r="P61" s="3">
        <f>Table157[[#This Row],[Principal]]+Table157[[#This Row],[Interest]]+Table157[[#This Row],[Prepayments]]+Table157[[#This Row],[RecoveredAmount]]</f>
        <v>54986.43</v>
      </c>
      <c r="Q61" s="3">
        <f ca="1">ROUND(Table157[[#This Row],[Cash Flow]]/((1+ActualRateToUse)^(IF(ISNUMBER(SEARCH("Actual",$C$7)),Table157[[#This Row],[Running Total]]/365,Table157[[#This Row],[Period]]/12))),2)</f>
        <v>48172.07</v>
      </c>
      <c r="R61" s="2">
        <f>IF(MONTH(Table157[[#This Row],[Date]])=2,28,DAY(DATE(YEAR(Table157[[#This Row],[Date]]),MONTH(Table157[[#This Row],[Date]])+1,1)-1))</f>
        <v>31</v>
      </c>
      <c r="S61" s="2">
        <f ca="1">SUM(OFFSET(Table157[[#Headers],[Days in month]],1,0):Table157[[#This Row],[Days in month]])</f>
        <v>1369</v>
      </c>
      <c r="T61" s="37">
        <f>InterestRate*AmortizationMultiplier*IF(ISNUMBER(SEARCH("Actual",$C$7)),Table157[[#This Row],[Days in month]]/365,1/12)</f>
        <v>2.9708333333333331E-3</v>
      </c>
    </row>
    <row r="62" spans="2:20" x14ac:dyDescent="0.2">
      <c r="B62" s="1">
        <v>47238</v>
      </c>
      <c r="C62" s="2">
        <f t="shared" si="1"/>
        <v>46</v>
      </c>
      <c r="D62" s="3">
        <f t="shared" si="0"/>
        <v>5538680.9900000049</v>
      </c>
      <c r="E62" s="3">
        <f>ROUND(Table157[[#This Row],[Beginning Balance]]*Table157[[#This Row],[Monthly Interest Rate]],2)</f>
        <v>15923.71</v>
      </c>
      <c r="F62" s="3">
        <f t="shared" si="2"/>
        <v>210</v>
      </c>
      <c r="G62" s="23">
        <f>IFERROR(IF($C$13="No","N/A",IF(Table157[[#This Row],[Period]]=1,$C$6,PMT(InterestRate*AmortizationMultiplier/12,Table157[[#This Row],[Am Thru]],-Table157[[#This Row],[Beginning Balance]]))),0)</f>
        <v>35302.82492680633</v>
      </c>
      <c r="H62" s="3">
        <f>MAX(0,IF(C62=$C$4,D62,ROUND(IF($C$3="Fixed Principal",$C$6-Table157[[#This Row],[Interest]],IF($C$3="Interest Only",Table157[[#This Row],[Beginning Balance]]*ROUND(1-(1-IF($C$11="No",$E$8,1))^(1/12),6),MIN(IF($C$13="Yes",Table157[[#This Row],[Payment Amount (Reamortized)]],$C$6)-Table157[[#This Row],[Interest]],Table157[[#This Row],[Beginning Balance]]))),2)))</f>
        <v>19379.11</v>
      </c>
      <c r="I62" s="3">
        <f>_xlfn.SINGLE(IF($C$3="Line of Credit",0,ROUND(MAX(MIN(IF($C$10="No",$E$7,VLOOKUP(Table157[[#This Row],[Period]],Forecast!$H$2:$L$1048576,4,FALSE))*Table157[[#This Row],[Beginning Balance]],Table157[[#This Row],[Beginning Balance]]-Table157[[#This Row],[Principal]]),0),2)))</f>
        <v>15801.86</v>
      </c>
      <c r="J62" s="3">
        <f>ROUND(MIN(Table157[[#This Row],[Beginning Balance]]*IF($C$8="No",$E$3,VLOOKUP(Table157[[#This Row],[Period]],Forecast!$H$2:$L$1048576,2,FALSE)),Table157[[#This Row],[Beginning Balance]]-Table157[[#This Row],[Principal]]-Table157[[#This Row],[Prepayments]]),2)</f>
        <v>3782.92</v>
      </c>
      <c r="K62" s="3">
        <f>ROUND(Table157[[#This Row],[Defaulted Principal]]*IF($C$9="No",$E$4,VLOOKUP(Table157[[#This Row],[Period]],Forecast!$H$2:$L$1048576,3,FALSE)),2)</f>
        <v>327.96</v>
      </c>
      <c r="L62" s="2">
        <f>Table157[[#This Row],[Period]]+$E$9</f>
        <v>58</v>
      </c>
      <c r="M62" s="3">
        <f>Table157[[#This Row],[Defaulted Principal]]-Table157[[#This Row],[Estimated Loss]]</f>
        <v>3454.96</v>
      </c>
      <c r="N62" s="3">
        <f>IFERROR(VLOOKUP(Table157[[#This Row],[Period]],$L$16:$M$385,2,FALSE),0)</f>
        <v>3752.35</v>
      </c>
      <c r="O62" s="3">
        <f>Table157[[#This Row],[Beginning Balance]]-Table157[[#This Row],[Principal]]-Table157[[#This Row],[Prepayments]]-Table157[[#This Row],[Defaulted Principal]]</f>
        <v>5499717.1000000043</v>
      </c>
      <c r="P62" s="3">
        <f>Table157[[#This Row],[Principal]]+Table157[[#This Row],[Interest]]+Table157[[#This Row],[Prepayments]]+Table157[[#This Row],[RecoveredAmount]]</f>
        <v>54857.03</v>
      </c>
      <c r="Q62" s="3">
        <f ca="1">ROUND(Table157[[#This Row],[Cash Flow]]/((1+ActualRateToUse)^(IF(ISNUMBER(SEARCH("Actual",$C$7)),Table157[[#This Row],[Running Total]]/365,Table157[[#This Row],[Period]]/12))),2)</f>
        <v>47919.57</v>
      </c>
      <c r="R62" s="2">
        <f>IF(MONTH(Table157[[#This Row],[Date]])=2,28,DAY(DATE(YEAR(Table157[[#This Row],[Date]]),MONTH(Table157[[#This Row],[Date]])+1,1)-1))</f>
        <v>30</v>
      </c>
      <c r="S62" s="2">
        <f ca="1">SUM(OFFSET(Table157[[#Headers],[Days in month]],1,0):Table157[[#This Row],[Days in month]])</f>
        <v>1399</v>
      </c>
      <c r="T62" s="37">
        <f>InterestRate*AmortizationMultiplier*IF(ISNUMBER(SEARCH("Actual",$C$7)),Table157[[#This Row],[Days in month]]/365,1/12)</f>
        <v>2.8749999999999995E-3</v>
      </c>
    </row>
    <row r="63" spans="2:20" x14ac:dyDescent="0.2">
      <c r="B63" s="1">
        <v>47269</v>
      </c>
      <c r="C63" s="2">
        <f t="shared" si="1"/>
        <v>47</v>
      </c>
      <c r="D63" s="3">
        <f t="shared" si="0"/>
        <v>5499717.1000000043</v>
      </c>
      <c r="E63" s="3">
        <f>ROUND(Table157[[#This Row],[Beginning Balance]]*Table157[[#This Row],[Monthly Interest Rate]],2)</f>
        <v>16338.74</v>
      </c>
      <c r="F63" s="3">
        <f t="shared" si="2"/>
        <v>209</v>
      </c>
      <c r="G63" s="23">
        <f>IFERROR(IF($C$13="No","N/A",IF(Table157[[#This Row],[Period]]=1,$C$6,PMT(InterestRate*AmortizationMultiplier/12,Table157[[#This Row],[Am Thru]],-Table157[[#This Row],[Beginning Balance]]))),0)</f>
        <v>35176.146322519198</v>
      </c>
      <c r="H63" s="3">
        <f>MAX(0,IF(C63=$C$4,D63,ROUND(IF($C$3="Fixed Principal",$C$6-Table157[[#This Row],[Interest]],IF($C$3="Interest Only",Table157[[#This Row],[Beginning Balance]]*ROUND(1-(1-IF($C$11="No",$E$8,1))^(1/12),6),MIN(IF($C$13="Yes",Table157[[#This Row],[Payment Amount (Reamortized)]],$C$6)-Table157[[#This Row],[Interest]],Table157[[#This Row],[Beginning Balance]]))),2)))</f>
        <v>18837.41</v>
      </c>
      <c r="I63" s="3">
        <f>_xlfn.SINGLE(IF($C$3="Line of Credit",0,ROUND(MAX(MIN(IF($C$10="No",$E$7,VLOOKUP(Table157[[#This Row],[Period]],Forecast!$H$2:$L$1048576,4,FALSE))*Table157[[#This Row],[Beginning Balance]],Table157[[#This Row],[Beginning Balance]]-Table157[[#This Row],[Principal]]),0),2)))</f>
        <v>15690.69</v>
      </c>
      <c r="J63" s="3">
        <f>ROUND(MIN(Table157[[#This Row],[Beginning Balance]]*IF($C$8="No",$E$3,VLOOKUP(Table157[[#This Row],[Period]],Forecast!$H$2:$L$1048576,2,FALSE)),Table157[[#This Row],[Beginning Balance]]-Table157[[#This Row],[Principal]]-Table157[[#This Row],[Prepayments]]),2)</f>
        <v>3756.31</v>
      </c>
      <c r="K63" s="3">
        <f>ROUND(Table157[[#This Row],[Defaulted Principal]]*IF($C$9="No",$E$4,VLOOKUP(Table157[[#This Row],[Period]],Forecast!$H$2:$L$1048576,3,FALSE)),2)</f>
        <v>325.64999999999998</v>
      </c>
      <c r="L63" s="2">
        <f>Table157[[#This Row],[Period]]+$E$9</f>
        <v>59</v>
      </c>
      <c r="M63" s="3">
        <f>Table157[[#This Row],[Defaulted Principal]]-Table157[[#This Row],[Estimated Loss]]</f>
        <v>3430.66</v>
      </c>
      <c r="N63" s="3">
        <f>IFERROR(VLOOKUP(Table157[[#This Row],[Period]],$L$16:$M$385,2,FALSE),0)</f>
        <v>3726.9</v>
      </c>
      <c r="O63" s="3">
        <f>Table157[[#This Row],[Beginning Balance]]-Table157[[#This Row],[Principal]]-Table157[[#This Row],[Prepayments]]-Table157[[#This Row],[Defaulted Principal]]</f>
        <v>5461432.6900000041</v>
      </c>
      <c r="P63" s="3">
        <f>Table157[[#This Row],[Principal]]+Table157[[#This Row],[Interest]]+Table157[[#This Row],[Prepayments]]+Table157[[#This Row],[RecoveredAmount]]</f>
        <v>54593.740000000005</v>
      </c>
      <c r="Q63" s="3">
        <f ca="1">ROUND(Table157[[#This Row],[Cash Flow]]/((1+ActualRateToUse)^(IF(ISNUMBER(SEARCH("Actual",$C$7)),Table157[[#This Row],[Running Total]]/365,Table157[[#This Row],[Period]]/12))),2)</f>
        <v>47546.91</v>
      </c>
      <c r="R63" s="2">
        <f>IF(MONTH(Table157[[#This Row],[Date]])=2,28,DAY(DATE(YEAR(Table157[[#This Row],[Date]]),MONTH(Table157[[#This Row],[Date]])+1,1)-1))</f>
        <v>31</v>
      </c>
      <c r="S63" s="2">
        <f ca="1">SUM(OFFSET(Table157[[#Headers],[Days in month]],1,0):Table157[[#This Row],[Days in month]])</f>
        <v>1430</v>
      </c>
      <c r="T63" s="37">
        <f>InterestRate*AmortizationMultiplier*IF(ISNUMBER(SEARCH("Actual",$C$7)),Table157[[#This Row],[Days in month]]/365,1/12)</f>
        <v>2.9708333333333331E-3</v>
      </c>
    </row>
    <row r="64" spans="2:20" x14ac:dyDescent="0.2">
      <c r="B64" s="1">
        <v>47299</v>
      </c>
      <c r="C64" s="2">
        <f t="shared" si="1"/>
        <v>48</v>
      </c>
      <c r="D64" s="3">
        <f t="shared" si="0"/>
        <v>5461432.6900000041</v>
      </c>
      <c r="E64" s="3">
        <f>ROUND(Table157[[#This Row],[Beginning Balance]]*Table157[[#This Row],[Monthly Interest Rate]],2)</f>
        <v>15701.62</v>
      </c>
      <c r="F64" s="3">
        <f t="shared" si="2"/>
        <v>208</v>
      </c>
      <c r="G64" s="23">
        <f>IFERROR(IF($C$13="No","N/A",IF(Table157[[#This Row],[Period]]=1,$C$6,PMT(InterestRate*AmortizationMultiplier/12,Table157[[#This Row],[Am Thru]],-Table157[[#This Row],[Beginning Balance]]))),0)</f>
        <v>35053.30224151555</v>
      </c>
      <c r="H64" s="3">
        <f>MAX(0,IF(C64=$C$4,D64,ROUND(IF($C$3="Fixed Principal",$C$6-Table157[[#This Row],[Interest]],IF($C$3="Interest Only",Table157[[#This Row],[Beginning Balance]]*ROUND(1-(1-IF($C$11="No",$E$8,1))^(1/12),6),MIN(IF($C$13="Yes",Table157[[#This Row],[Payment Amount (Reamortized)]],$C$6)-Table157[[#This Row],[Interest]],Table157[[#This Row],[Beginning Balance]]))),2)))</f>
        <v>19351.68</v>
      </c>
      <c r="I64" s="3">
        <f>_xlfn.SINGLE(IF($C$3="Line of Credit",0,ROUND(MAX(MIN(IF($C$10="No",$E$7,VLOOKUP(Table157[[#This Row],[Period]],Forecast!$H$2:$L$1048576,4,FALSE))*Table157[[#This Row],[Beginning Balance]],Table157[[#This Row],[Beginning Balance]]-Table157[[#This Row],[Principal]]),0),2)))</f>
        <v>15581.47</v>
      </c>
      <c r="J64" s="3">
        <f>ROUND(MIN(Table157[[#This Row],[Beginning Balance]]*IF($C$8="No",$E$3,VLOOKUP(Table157[[#This Row],[Period]],Forecast!$H$2:$L$1048576,2,FALSE)),Table157[[#This Row],[Beginning Balance]]-Table157[[#This Row],[Principal]]-Table157[[#This Row],[Prepayments]]),2)</f>
        <v>3730.16</v>
      </c>
      <c r="K64" s="3">
        <f>ROUND(Table157[[#This Row],[Defaulted Principal]]*IF($C$9="No",$E$4,VLOOKUP(Table157[[#This Row],[Period]],Forecast!$H$2:$L$1048576,3,FALSE)),2)</f>
        <v>323.38</v>
      </c>
      <c r="L64" s="2">
        <f>Table157[[#This Row],[Period]]+$E$9</f>
        <v>60</v>
      </c>
      <c r="M64" s="3">
        <f>Table157[[#This Row],[Defaulted Principal]]-Table157[[#This Row],[Estimated Loss]]</f>
        <v>3406.7799999999997</v>
      </c>
      <c r="N64" s="3">
        <f>IFERROR(VLOOKUP(Table157[[#This Row],[Period]],$L$16:$M$385,2,FALSE),0)</f>
        <v>3701.89</v>
      </c>
      <c r="O64" s="3">
        <f>Table157[[#This Row],[Beginning Balance]]-Table157[[#This Row],[Principal]]-Table157[[#This Row],[Prepayments]]-Table157[[#This Row],[Defaulted Principal]]</f>
        <v>5422769.3800000045</v>
      </c>
      <c r="P64" s="3">
        <f>Table157[[#This Row],[Principal]]+Table157[[#This Row],[Interest]]+Table157[[#This Row],[Prepayments]]+Table157[[#This Row],[RecoveredAmount]]</f>
        <v>54336.66</v>
      </c>
      <c r="Q64" s="3">
        <f ca="1">ROUND(Table157[[#This Row],[Cash Flow]]/((1+ActualRateToUse)^(IF(ISNUMBER(SEARCH("Actual",$C$7)),Table157[[#This Row],[Running Total]]/365,Table157[[#This Row],[Period]]/12))),2)</f>
        <v>47186.01</v>
      </c>
      <c r="R64" s="2">
        <f>IF(MONTH(Table157[[#This Row],[Date]])=2,28,DAY(DATE(YEAR(Table157[[#This Row],[Date]]),MONTH(Table157[[#This Row],[Date]])+1,1)-1))</f>
        <v>30</v>
      </c>
      <c r="S64" s="2">
        <f ca="1">SUM(OFFSET(Table157[[#Headers],[Days in month]],1,0):Table157[[#This Row],[Days in month]])</f>
        <v>1460</v>
      </c>
      <c r="T64" s="37">
        <f>InterestRate*AmortizationMultiplier*IF(ISNUMBER(SEARCH("Actual",$C$7)),Table157[[#This Row],[Days in month]]/365,1/12)</f>
        <v>2.8749999999999995E-3</v>
      </c>
    </row>
    <row r="65" spans="2:20" x14ac:dyDescent="0.2">
      <c r="B65" s="1">
        <v>47330</v>
      </c>
      <c r="C65" s="2">
        <f t="shared" si="1"/>
        <v>49</v>
      </c>
      <c r="D65" s="3">
        <f t="shared" si="0"/>
        <v>5422769.3800000045</v>
      </c>
      <c r="E65" s="3">
        <f>ROUND(Table157[[#This Row],[Beginning Balance]]*Table157[[#This Row],[Monthly Interest Rate]],2)</f>
        <v>16110.14</v>
      </c>
      <c r="F65" s="3">
        <f t="shared" si="2"/>
        <v>207</v>
      </c>
      <c r="G65" s="23">
        <f>IFERROR(IF($C$13="No","N/A",IF(Table157[[#This Row],[Period]]=1,$C$6,PMT(InterestRate*AmortizationMultiplier/12,Table157[[#This Row],[Am Thru]],-Table157[[#This Row],[Beginning Balance]]))),0)</f>
        <v>34927.513372913338</v>
      </c>
      <c r="H65" s="3">
        <f>MAX(0,IF(C65=$C$4,D65,ROUND(IF($C$3="Fixed Principal",$C$6-Table157[[#This Row],[Interest]],IF($C$3="Interest Only",Table157[[#This Row],[Beginning Balance]]*ROUND(1-(1-IF($C$11="No",$E$8,1))^(1/12),6),MIN(IF($C$13="Yes",Table157[[#This Row],[Payment Amount (Reamortized)]],$C$6)-Table157[[#This Row],[Interest]],Table157[[#This Row],[Beginning Balance]]))),2)))</f>
        <v>18817.37</v>
      </c>
      <c r="I65" s="3">
        <f>_xlfn.SINGLE(IF($C$3="Line of Credit",0,ROUND(MAX(MIN(IF($C$10="No",$E$7,VLOOKUP(Table157[[#This Row],[Period]],Forecast!$H$2:$L$1048576,4,FALSE))*Table157[[#This Row],[Beginning Balance]],Table157[[#This Row],[Beginning Balance]]-Table157[[#This Row],[Principal]]),0),2)))</f>
        <v>15471.16</v>
      </c>
      <c r="J65" s="3">
        <f>ROUND(MIN(Table157[[#This Row],[Beginning Balance]]*IF($C$8="No",$E$3,VLOOKUP(Table157[[#This Row],[Period]],Forecast!$H$2:$L$1048576,2,FALSE)),Table157[[#This Row],[Beginning Balance]]-Table157[[#This Row],[Principal]]-Table157[[#This Row],[Prepayments]]),2)</f>
        <v>3703.75</v>
      </c>
      <c r="K65" s="3">
        <f>ROUND(Table157[[#This Row],[Defaulted Principal]]*IF($C$9="No",$E$4,VLOOKUP(Table157[[#This Row],[Period]],Forecast!$H$2:$L$1048576,3,FALSE)),2)</f>
        <v>321.08999999999997</v>
      </c>
      <c r="L65" s="2">
        <f>Table157[[#This Row],[Period]]+$E$9</f>
        <v>61</v>
      </c>
      <c r="M65" s="3">
        <f>Table157[[#This Row],[Defaulted Principal]]-Table157[[#This Row],[Estimated Loss]]</f>
        <v>3382.66</v>
      </c>
      <c r="N65" s="3">
        <f>IFERROR(VLOOKUP(Table157[[#This Row],[Period]],$L$16:$M$385,2,FALSE),0)</f>
        <v>3676.62</v>
      </c>
      <c r="O65" s="3">
        <f>Table157[[#This Row],[Beginning Balance]]-Table157[[#This Row],[Principal]]-Table157[[#This Row],[Prepayments]]-Table157[[#This Row],[Defaulted Principal]]</f>
        <v>5384777.1000000043</v>
      </c>
      <c r="P65" s="3">
        <f>Table157[[#This Row],[Principal]]+Table157[[#This Row],[Interest]]+Table157[[#This Row],[Prepayments]]+Table157[[#This Row],[RecoveredAmount]]</f>
        <v>54075.29</v>
      </c>
      <c r="Q65" s="3">
        <f ca="1">ROUND(Table157[[#This Row],[Cash Flow]]/((1+ActualRateToUse)^(IF(ISNUMBER(SEARCH("Actual",$C$7)),Table157[[#This Row],[Running Total]]/365,Table157[[#This Row],[Period]]/12))),2)</f>
        <v>46818.55</v>
      </c>
      <c r="R65" s="2">
        <f>IF(MONTH(Table157[[#This Row],[Date]])=2,28,DAY(DATE(YEAR(Table157[[#This Row],[Date]]),MONTH(Table157[[#This Row],[Date]])+1,1)-1))</f>
        <v>31</v>
      </c>
      <c r="S65" s="2">
        <f ca="1">SUM(OFFSET(Table157[[#Headers],[Days in month]],1,0):Table157[[#This Row],[Days in month]])</f>
        <v>1491</v>
      </c>
      <c r="T65" s="37">
        <f>InterestRate*AmortizationMultiplier*IF(ISNUMBER(SEARCH("Actual",$C$7)),Table157[[#This Row],[Days in month]]/365,1/12)</f>
        <v>2.9708333333333331E-3</v>
      </c>
    </row>
    <row r="66" spans="2:20" x14ac:dyDescent="0.2">
      <c r="B66" s="1">
        <v>47361</v>
      </c>
      <c r="C66" s="2">
        <f t="shared" si="1"/>
        <v>50</v>
      </c>
      <c r="D66" s="3">
        <f t="shared" si="0"/>
        <v>5384777.1000000043</v>
      </c>
      <c r="E66" s="3">
        <f>ROUND(Table157[[#This Row],[Beginning Balance]]*Table157[[#This Row],[Monthly Interest Rate]],2)</f>
        <v>15997.28</v>
      </c>
      <c r="F66" s="3">
        <f t="shared" si="2"/>
        <v>206</v>
      </c>
      <c r="G66" s="23">
        <f>IFERROR(IF($C$13="No","N/A",IF(Table157[[#This Row],[Period]]=1,$C$6,PMT(InterestRate*AmortizationMultiplier/12,Table157[[#This Row],[Am Thru]],-Table157[[#This Row],[Beginning Balance]]))),0)</f>
        <v>34805.532140619063</v>
      </c>
      <c r="H66" s="3">
        <f>MAX(0,IF(C66=$C$4,D66,ROUND(IF($C$3="Fixed Principal",$C$6-Table157[[#This Row],[Interest]],IF($C$3="Interest Only",Table157[[#This Row],[Beginning Balance]]*ROUND(1-(1-IF($C$11="No",$E$8,1))^(1/12),6),MIN(IF($C$13="Yes",Table157[[#This Row],[Payment Amount (Reamortized)]],$C$6)-Table157[[#This Row],[Interest]],Table157[[#This Row],[Beginning Balance]]))),2)))</f>
        <v>18808.25</v>
      </c>
      <c r="I66" s="3">
        <f>_xlfn.SINGLE(IF($C$3="Line of Credit",0,ROUND(MAX(MIN(IF($C$10="No",$E$7,VLOOKUP(Table157[[#This Row],[Period]],Forecast!$H$2:$L$1048576,4,FALSE))*Table157[[#This Row],[Beginning Balance]],Table157[[#This Row],[Beginning Balance]]-Table157[[#This Row],[Principal]]),0),2)))</f>
        <v>15362.77</v>
      </c>
      <c r="J66" s="3">
        <f>ROUND(MIN(Table157[[#This Row],[Beginning Balance]]*IF($C$8="No",$E$3,VLOOKUP(Table157[[#This Row],[Period]],Forecast!$H$2:$L$1048576,2,FALSE)),Table157[[#This Row],[Beginning Balance]]-Table157[[#This Row],[Principal]]-Table157[[#This Row],[Prepayments]]),2)</f>
        <v>3677.8</v>
      </c>
      <c r="K66" s="3">
        <f>ROUND(Table157[[#This Row],[Defaulted Principal]]*IF($C$9="No",$E$4,VLOOKUP(Table157[[#This Row],[Period]],Forecast!$H$2:$L$1048576,3,FALSE)),2)</f>
        <v>318.83999999999997</v>
      </c>
      <c r="L66" s="2">
        <f>Table157[[#This Row],[Period]]+$E$9</f>
        <v>62</v>
      </c>
      <c r="M66" s="3">
        <f>Table157[[#This Row],[Defaulted Principal]]-Table157[[#This Row],[Estimated Loss]]</f>
        <v>3358.96</v>
      </c>
      <c r="N66" s="3">
        <f>IFERROR(VLOOKUP(Table157[[#This Row],[Period]],$L$16:$M$385,2,FALSE),0)</f>
        <v>3651.81</v>
      </c>
      <c r="O66" s="3">
        <f>Table157[[#This Row],[Beginning Balance]]-Table157[[#This Row],[Principal]]-Table157[[#This Row],[Prepayments]]-Table157[[#This Row],[Defaulted Principal]]</f>
        <v>5346928.2800000049</v>
      </c>
      <c r="P66" s="3">
        <f>Table157[[#This Row],[Principal]]+Table157[[#This Row],[Interest]]+Table157[[#This Row],[Prepayments]]+Table157[[#This Row],[RecoveredAmount]]</f>
        <v>53820.11</v>
      </c>
      <c r="Q66" s="3">
        <f ca="1">ROUND(Table157[[#This Row],[Cash Flow]]/((1+ActualRateToUse)^(IF(ISNUMBER(SEARCH("Actual",$C$7)),Table157[[#This Row],[Running Total]]/365,Table157[[#This Row],[Period]]/12))),2)</f>
        <v>46458.22</v>
      </c>
      <c r="R66" s="2">
        <f>IF(MONTH(Table157[[#This Row],[Date]])=2,28,DAY(DATE(YEAR(Table157[[#This Row],[Date]]),MONTH(Table157[[#This Row],[Date]])+1,1)-1))</f>
        <v>31</v>
      </c>
      <c r="S66" s="2">
        <f ca="1">SUM(OFFSET(Table157[[#Headers],[Days in month]],1,0):Table157[[#This Row],[Days in month]])</f>
        <v>1522</v>
      </c>
      <c r="T66" s="37">
        <f>InterestRate*AmortizationMultiplier*IF(ISNUMBER(SEARCH("Actual",$C$7)),Table157[[#This Row],[Days in month]]/365,1/12)</f>
        <v>2.9708333333333331E-3</v>
      </c>
    </row>
    <row r="67" spans="2:20" x14ac:dyDescent="0.2">
      <c r="B67" s="1">
        <v>47391</v>
      </c>
      <c r="C67" s="2">
        <f t="shared" si="1"/>
        <v>51</v>
      </c>
      <c r="D67" s="3">
        <f t="shared" si="0"/>
        <v>5346928.2800000049</v>
      </c>
      <c r="E67" s="3">
        <f>ROUND(Table157[[#This Row],[Beginning Balance]]*Table157[[#This Row],[Monthly Interest Rate]],2)</f>
        <v>15372.42</v>
      </c>
      <c r="F67" s="3">
        <f t="shared" si="2"/>
        <v>205</v>
      </c>
      <c r="G67" s="23">
        <f>IFERROR(IF($C$13="No","N/A",IF(Table157[[#This Row],[Period]]=1,$C$6,PMT(InterestRate*AmortizationMultiplier/12,Table157[[#This Row],[Am Thru]],-Table157[[#This Row],[Beginning Balance]]))),0)</f>
        <v>34683.974180897872</v>
      </c>
      <c r="H67" s="3">
        <f>MAX(0,IF(C67=$C$4,D67,ROUND(IF($C$3="Fixed Principal",$C$6-Table157[[#This Row],[Interest]],IF($C$3="Interest Only",Table157[[#This Row],[Beginning Balance]]*ROUND(1-(1-IF($C$11="No",$E$8,1))^(1/12),6),MIN(IF($C$13="Yes",Table157[[#This Row],[Payment Amount (Reamortized)]],$C$6)-Table157[[#This Row],[Interest]],Table157[[#This Row],[Beginning Balance]]))),2)))</f>
        <v>19311.55</v>
      </c>
      <c r="I67" s="3">
        <f>_xlfn.SINGLE(IF($C$3="Line of Credit",0,ROUND(MAX(MIN(IF($C$10="No",$E$7,VLOOKUP(Table157[[#This Row],[Period]],Forecast!$H$2:$L$1048576,4,FALSE))*Table157[[#This Row],[Beginning Balance]],Table157[[#This Row],[Beginning Balance]]-Table157[[#This Row],[Principal]]),0),2)))</f>
        <v>15254.79</v>
      </c>
      <c r="J67" s="3">
        <f>ROUND(MIN(Table157[[#This Row],[Beginning Balance]]*IF($C$8="No",$E$3,VLOOKUP(Table157[[#This Row],[Period]],Forecast!$H$2:$L$1048576,2,FALSE)),Table157[[#This Row],[Beginning Balance]]-Table157[[#This Row],[Principal]]-Table157[[#This Row],[Prepayments]]),2)</f>
        <v>3651.95</v>
      </c>
      <c r="K67" s="3">
        <f>ROUND(Table157[[#This Row],[Defaulted Principal]]*IF($C$9="No",$E$4,VLOOKUP(Table157[[#This Row],[Period]],Forecast!$H$2:$L$1048576,3,FALSE)),2)</f>
        <v>316.60000000000002</v>
      </c>
      <c r="L67" s="2">
        <f>Table157[[#This Row],[Period]]+$E$9</f>
        <v>63</v>
      </c>
      <c r="M67" s="3">
        <f>Table157[[#This Row],[Defaulted Principal]]-Table157[[#This Row],[Estimated Loss]]</f>
        <v>3335.35</v>
      </c>
      <c r="N67" s="3">
        <f>IFERROR(VLOOKUP(Table157[[#This Row],[Period]],$L$16:$M$385,2,FALSE),0)</f>
        <v>3627.0899999999997</v>
      </c>
      <c r="O67" s="3">
        <f>Table157[[#This Row],[Beginning Balance]]-Table157[[#This Row],[Principal]]-Table157[[#This Row],[Prepayments]]-Table157[[#This Row],[Defaulted Principal]]</f>
        <v>5308709.9900000049</v>
      </c>
      <c r="P67" s="3">
        <f>Table157[[#This Row],[Principal]]+Table157[[#This Row],[Interest]]+Table157[[#This Row],[Prepayments]]+Table157[[#This Row],[RecoveredAmount]]</f>
        <v>53565.85</v>
      </c>
      <c r="Q67" s="3">
        <f ca="1">ROUND(Table157[[#This Row],[Cash Flow]]/((1+ActualRateToUse)^(IF(ISNUMBER(SEARCH("Actual",$C$7)),Table157[[#This Row],[Running Total]]/365,Table157[[#This Row],[Period]]/12))),2)</f>
        <v>46104.87</v>
      </c>
      <c r="R67" s="2">
        <f>IF(MONTH(Table157[[#This Row],[Date]])=2,28,DAY(DATE(YEAR(Table157[[#This Row],[Date]]),MONTH(Table157[[#This Row],[Date]])+1,1)-1))</f>
        <v>30</v>
      </c>
      <c r="S67" s="2">
        <f ca="1">SUM(OFFSET(Table157[[#Headers],[Days in month]],1,0):Table157[[#This Row],[Days in month]])</f>
        <v>1552</v>
      </c>
      <c r="T67" s="37">
        <f>InterestRate*AmortizationMultiplier*IF(ISNUMBER(SEARCH("Actual",$C$7)),Table157[[#This Row],[Days in month]]/365,1/12)</f>
        <v>2.8749999999999995E-3</v>
      </c>
    </row>
    <row r="68" spans="2:20" x14ac:dyDescent="0.2">
      <c r="B68" s="1">
        <v>47422</v>
      </c>
      <c r="C68" s="2">
        <f t="shared" si="1"/>
        <v>52</v>
      </c>
      <c r="D68" s="3">
        <f t="shared" si="0"/>
        <v>5308709.9900000049</v>
      </c>
      <c r="E68" s="3">
        <f>ROUND(Table157[[#This Row],[Beginning Balance]]*Table157[[#This Row],[Monthly Interest Rate]],2)</f>
        <v>15771.29</v>
      </c>
      <c r="F68" s="3">
        <f t="shared" si="2"/>
        <v>204</v>
      </c>
      <c r="G68" s="23">
        <f>IFERROR(IF($C$13="No","N/A",IF(Table157[[#This Row],[Period]]=1,$C$6,PMT(InterestRate*AmortizationMultiplier/12,Table157[[#This Row],[Am Thru]],-Table157[[#This Row],[Beginning Balance]]))),0)</f>
        <v>34559.502135600036</v>
      </c>
      <c r="H68" s="3">
        <f>MAX(0,IF(C68=$C$4,D68,ROUND(IF($C$3="Fixed Principal",$C$6-Table157[[#This Row],[Interest]],IF($C$3="Interest Only",Table157[[#This Row],[Beginning Balance]]*ROUND(1-(1-IF($C$11="No",$E$8,1))^(1/12),6),MIN(IF($C$13="Yes",Table157[[#This Row],[Payment Amount (Reamortized)]],$C$6)-Table157[[#This Row],[Interest]],Table157[[#This Row],[Beginning Balance]]))),2)))</f>
        <v>18788.21</v>
      </c>
      <c r="I68" s="3">
        <f>_xlfn.SINGLE(IF($C$3="Line of Credit",0,ROUND(MAX(MIN(IF($C$10="No",$E$7,VLOOKUP(Table157[[#This Row],[Period]],Forecast!$H$2:$L$1048576,4,FALSE))*Table157[[#This Row],[Beginning Balance]],Table157[[#This Row],[Beginning Balance]]-Table157[[#This Row],[Principal]]),0),2)))</f>
        <v>15145.75</v>
      </c>
      <c r="J68" s="3">
        <f>ROUND(MIN(Table157[[#This Row],[Beginning Balance]]*IF($C$8="No",$E$3,VLOOKUP(Table157[[#This Row],[Period]],Forecast!$H$2:$L$1048576,2,FALSE)),Table157[[#This Row],[Beginning Balance]]-Table157[[#This Row],[Principal]]-Table157[[#This Row],[Prepayments]]),2)</f>
        <v>3625.85</v>
      </c>
      <c r="K68" s="3">
        <f>ROUND(Table157[[#This Row],[Defaulted Principal]]*IF($C$9="No",$E$4,VLOOKUP(Table157[[#This Row],[Period]],Forecast!$H$2:$L$1048576,3,FALSE)),2)</f>
        <v>314.33999999999997</v>
      </c>
      <c r="L68" s="2">
        <f>Table157[[#This Row],[Period]]+$E$9</f>
        <v>64</v>
      </c>
      <c r="M68" s="3">
        <f>Table157[[#This Row],[Defaulted Principal]]-Table157[[#This Row],[Estimated Loss]]</f>
        <v>3311.5099999999998</v>
      </c>
      <c r="N68" s="3">
        <f>IFERROR(VLOOKUP(Table157[[#This Row],[Period]],$L$16:$M$385,2,FALSE),0)</f>
        <v>3602.12</v>
      </c>
      <c r="O68" s="3">
        <f>Table157[[#This Row],[Beginning Balance]]-Table157[[#This Row],[Principal]]-Table157[[#This Row],[Prepayments]]-Table157[[#This Row],[Defaulted Principal]]</f>
        <v>5271150.1800000053</v>
      </c>
      <c r="P68" s="3">
        <f>Table157[[#This Row],[Principal]]+Table157[[#This Row],[Interest]]+Table157[[#This Row],[Prepayments]]+Table157[[#This Row],[RecoveredAmount]]</f>
        <v>53307.37</v>
      </c>
      <c r="Q68" s="3">
        <f ca="1">ROUND(Table157[[#This Row],[Cash Flow]]/((1+ActualRateToUse)^(IF(ISNUMBER(SEARCH("Actual",$C$7)),Table157[[#This Row],[Running Total]]/365,Table157[[#This Row],[Period]]/12))),2)</f>
        <v>45745.14</v>
      </c>
      <c r="R68" s="2">
        <f>IF(MONTH(Table157[[#This Row],[Date]])=2,28,DAY(DATE(YEAR(Table157[[#This Row],[Date]]),MONTH(Table157[[#This Row],[Date]])+1,1)-1))</f>
        <v>31</v>
      </c>
      <c r="S68" s="2">
        <f ca="1">SUM(OFFSET(Table157[[#Headers],[Days in month]],1,0):Table157[[#This Row],[Days in month]])</f>
        <v>1583</v>
      </c>
      <c r="T68" s="37">
        <f>InterestRate*AmortizationMultiplier*IF(ISNUMBER(SEARCH("Actual",$C$7)),Table157[[#This Row],[Days in month]]/365,1/12)</f>
        <v>2.9708333333333331E-3</v>
      </c>
    </row>
    <row r="69" spans="2:20" x14ac:dyDescent="0.2">
      <c r="B69" s="1">
        <v>47452</v>
      </c>
      <c r="C69" s="2">
        <f t="shared" si="1"/>
        <v>53</v>
      </c>
      <c r="D69" s="3">
        <f t="shared" si="0"/>
        <v>5271150.1800000053</v>
      </c>
      <c r="E69" s="3">
        <f>ROUND(Table157[[#This Row],[Beginning Balance]]*Table157[[#This Row],[Monthly Interest Rate]],2)</f>
        <v>15154.56</v>
      </c>
      <c r="F69" s="3">
        <f t="shared" si="2"/>
        <v>203</v>
      </c>
      <c r="G69" s="23">
        <f>IFERROR(IF($C$13="No","N/A",IF(Table157[[#This Row],[Period]]=1,$C$6,PMT(InterestRate*AmortizationMultiplier/12,Table157[[#This Row],[Am Thru]],-Table157[[#This Row],[Beginning Balance]]))),0)</f>
        <v>34438.797759550413</v>
      </c>
      <c r="H69" s="3">
        <f>MAX(0,IF(C69=$C$4,D69,ROUND(IF($C$3="Fixed Principal",$C$6-Table157[[#This Row],[Interest]],IF($C$3="Interest Only",Table157[[#This Row],[Beginning Balance]]*ROUND(1-(1-IF($C$11="No",$E$8,1))^(1/12),6),MIN(IF($C$13="Yes",Table157[[#This Row],[Payment Amount (Reamortized)]],$C$6)-Table157[[#This Row],[Interest]],Table157[[#This Row],[Beginning Balance]]))),2)))</f>
        <v>19284.240000000002</v>
      </c>
      <c r="I69" s="3">
        <f>_xlfn.SINGLE(IF($C$3="Line of Credit",0,ROUND(MAX(MIN(IF($C$10="No",$E$7,VLOOKUP(Table157[[#This Row],[Period]],Forecast!$H$2:$L$1048576,4,FALSE))*Table157[[#This Row],[Beginning Balance]],Table157[[#This Row],[Beginning Balance]]-Table157[[#This Row],[Principal]]),0),2)))</f>
        <v>15038.59</v>
      </c>
      <c r="J69" s="3">
        <f>ROUND(MIN(Table157[[#This Row],[Beginning Balance]]*IF($C$8="No",$E$3,VLOOKUP(Table157[[#This Row],[Period]],Forecast!$H$2:$L$1048576,2,FALSE)),Table157[[#This Row],[Beginning Balance]]-Table157[[#This Row],[Principal]]-Table157[[#This Row],[Prepayments]]),2)</f>
        <v>3600.2</v>
      </c>
      <c r="K69" s="3">
        <f>ROUND(Table157[[#This Row],[Defaulted Principal]]*IF($C$9="No",$E$4,VLOOKUP(Table157[[#This Row],[Period]],Forecast!$H$2:$L$1048576,3,FALSE)),2)</f>
        <v>312.12</v>
      </c>
      <c r="L69" s="2">
        <f>Table157[[#This Row],[Period]]+$E$9</f>
        <v>65</v>
      </c>
      <c r="M69" s="3">
        <f>Table157[[#This Row],[Defaulted Principal]]-Table157[[#This Row],[Estimated Loss]]</f>
        <v>3288.08</v>
      </c>
      <c r="N69" s="3">
        <f>IFERROR(VLOOKUP(Table157[[#This Row],[Period]],$L$16:$M$385,2,FALSE),0)</f>
        <v>3577.58</v>
      </c>
      <c r="O69" s="3">
        <f>Table157[[#This Row],[Beginning Balance]]-Table157[[#This Row],[Principal]]-Table157[[#This Row],[Prepayments]]-Table157[[#This Row],[Defaulted Principal]]</f>
        <v>5233227.150000005</v>
      </c>
      <c r="P69" s="3">
        <f>Table157[[#This Row],[Principal]]+Table157[[#This Row],[Interest]]+Table157[[#This Row],[Prepayments]]+Table157[[#This Row],[RecoveredAmount]]</f>
        <v>53054.97</v>
      </c>
      <c r="Q69" s="3">
        <f ca="1">ROUND(Table157[[#This Row],[Cash Flow]]/((1+ActualRateToUse)^(IF(ISNUMBER(SEARCH("Actual",$C$7)),Table157[[#This Row],[Running Total]]/365,Table157[[#This Row],[Period]]/12))),2)</f>
        <v>45396.73</v>
      </c>
      <c r="R69" s="2">
        <f>IF(MONTH(Table157[[#This Row],[Date]])=2,28,DAY(DATE(YEAR(Table157[[#This Row],[Date]]),MONTH(Table157[[#This Row],[Date]])+1,1)-1))</f>
        <v>30</v>
      </c>
      <c r="S69" s="2">
        <f ca="1">SUM(OFFSET(Table157[[#Headers],[Days in month]],1,0):Table157[[#This Row],[Days in month]])</f>
        <v>1613</v>
      </c>
      <c r="T69" s="37">
        <f>InterestRate*AmortizationMultiplier*IF(ISNUMBER(SEARCH("Actual",$C$7)),Table157[[#This Row],[Days in month]]/365,1/12)</f>
        <v>2.8749999999999995E-3</v>
      </c>
    </row>
    <row r="70" spans="2:20" x14ac:dyDescent="0.2">
      <c r="B70" s="1">
        <v>47483</v>
      </c>
      <c r="C70" s="2">
        <f t="shared" si="1"/>
        <v>54</v>
      </c>
      <c r="D70" s="3">
        <f t="shared" si="0"/>
        <v>5233227.150000005</v>
      </c>
      <c r="E70" s="3">
        <f>ROUND(Table157[[#This Row],[Beginning Balance]]*Table157[[#This Row],[Monthly Interest Rate]],2)</f>
        <v>15547.05</v>
      </c>
      <c r="F70" s="3">
        <f t="shared" si="2"/>
        <v>202</v>
      </c>
      <c r="G70" s="23">
        <f>IFERROR(IF($C$13="No","N/A",IF(Table157[[#This Row],[Period]]=1,$C$6,PMT(InterestRate*AmortizationMultiplier/12,Table157[[#This Row],[Am Thru]],-Table157[[#This Row],[Beginning Balance]]))),0)</f>
        <v>34315.19975564663</v>
      </c>
      <c r="H70" s="3">
        <f>MAX(0,IF(C70=$C$4,D70,ROUND(IF($C$3="Fixed Principal",$C$6-Table157[[#This Row],[Interest]],IF($C$3="Interest Only",Table157[[#This Row],[Beginning Balance]]*ROUND(1-(1-IF($C$11="No",$E$8,1))^(1/12),6),MIN(IF($C$13="Yes",Table157[[#This Row],[Payment Amount (Reamortized)]],$C$6)-Table157[[#This Row],[Interest]],Table157[[#This Row],[Beginning Balance]]))),2)))</f>
        <v>18768.150000000001</v>
      </c>
      <c r="I70" s="3">
        <f>_xlfn.SINGLE(IF($C$3="Line of Credit",0,ROUND(MAX(MIN(IF($C$10="No",$E$7,VLOOKUP(Table157[[#This Row],[Period]],Forecast!$H$2:$L$1048576,4,FALSE))*Table157[[#This Row],[Beginning Balance]],Table157[[#This Row],[Beginning Balance]]-Table157[[#This Row],[Principal]]),0),2)))</f>
        <v>14930.4</v>
      </c>
      <c r="J70" s="3">
        <f>ROUND(MIN(Table157[[#This Row],[Beginning Balance]]*IF($C$8="No",$E$3,VLOOKUP(Table157[[#This Row],[Period]],Forecast!$H$2:$L$1048576,2,FALSE)),Table157[[#This Row],[Beginning Balance]]-Table157[[#This Row],[Principal]]-Table157[[#This Row],[Prepayments]]),2)</f>
        <v>3574.29</v>
      </c>
      <c r="K70" s="3">
        <f>ROUND(Table157[[#This Row],[Defaulted Principal]]*IF($C$9="No",$E$4,VLOOKUP(Table157[[#This Row],[Period]],Forecast!$H$2:$L$1048576,3,FALSE)),2)</f>
        <v>309.87</v>
      </c>
      <c r="L70" s="2">
        <f>Table157[[#This Row],[Period]]+$E$9</f>
        <v>66</v>
      </c>
      <c r="M70" s="3">
        <f>Table157[[#This Row],[Defaulted Principal]]-Table157[[#This Row],[Estimated Loss]]</f>
        <v>3264.42</v>
      </c>
      <c r="N70" s="3">
        <f>IFERROR(VLOOKUP(Table157[[#This Row],[Period]],$L$16:$M$385,2,FALSE),0)</f>
        <v>3552.8</v>
      </c>
      <c r="O70" s="3">
        <f>Table157[[#This Row],[Beginning Balance]]-Table157[[#This Row],[Principal]]-Table157[[#This Row],[Prepayments]]-Table157[[#This Row],[Defaulted Principal]]</f>
        <v>5195954.3100000042</v>
      </c>
      <c r="P70" s="3">
        <f>Table157[[#This Row],[Principal]]+Table157[[#This Row],[Interest]]+Table157[[#This Row],[Prepayments]]+Table157[[#This Row],[RecoveredAmount]]</f>
        <v>52798.400000000001</v>
      </c>
      <c r="Q70" s="3">
        <f ca="1">ROUND(Table157[[#This Row],[Cash Flow]]/((1+ActualRateToUse)^(IF(ISNUMBER(SEARCH("Actual",$C$7)),Table157[[#This Row],[Running Total]]/365,Table157[[#This Row],[Period]]/12))),2)</f>
        <v>45042.05</v>
      </c>
      <c r="R70" s="2">
        <f>IF(MONTH(Table157[[#This Row],[Date]])=2,28,DAY(DATE(YEAR(Table157[[#This Row],[Date]]),MONTH(Table157[[#This Row],[Date]])+1,1)-1))</f>
        <v>31</v>
      </c>
      <c r="S70" s="2">
        <f ca="1">SUM(OFFSET(Table157[[#Headers],[Days in month]],1,0):Table157[[#This Row],[Days in month]])</f>
        <v>1644</v>
      </c>
      <c r="T70" s="37">
        <f>InterestRate*AmortizationMultiplier*IF(ISNUMBER(SEARCH("Actual",$C$7)),Table157[[#This Row],[Days in month]]/365,1/12)</f>
        <v>2.9708333333333331E-3</v>
      </c>
    </row>
    <row r="71" spans="2:20" x14ac:dyDescent="0.2">
      <c r="B71" s="1">
        <v>47514</v>
      </c>
      <c r="C71" s="2">
        <f t="shared" si="1"/>
        <v>55</v>
      </c>
      <c r="D71" s="3">
        <f t="shared" si="0"/>
        <v>5195954.3100000042</v>
      </c>
      <c r="E71" s="3">
        <f>ROUND(Table157[[#This Row],[Beginning Balance]]*Table157[[#This Row],[Monthly Interest Rate]],2)</f>
        <v>15436.31</v>
      </c>
      <c r="F71" s="3">
        <f t="shared" si="2"/>
        <v>201</v>
      </c>
      <c r="G71" s="23">
        <f>IFERROR(IF($C$13="No","N/A",IF(Table157[[#This Row],[Period]]=1,$C$6,PMT(InterestRate*AmortizationMultiplier/12,Table157[[#This Row],[Am Thru]],-Table157[[#This Row],[Beginning Balance]]))),0)</f>
        <v>34195.343011178236</v>
      </c>
      <c r="H71" s="3">
        <f>MAX(0,IF(C71=$C$4,D71,ROUND(IF($C$3="Fixed Principal",$C$6-Table157[[#This Row],[Interest]],IF($C$3="Interest Only",Table157[[#This Row],[Beginning Balance]]*ROUND(1-(1-IF($C$11="No",$E$8,1))^(1/12),6),MIN(IF($C$13="Yes",Table157[[#This Row],[Payment Amount (Reamortized)]],$C$6)-Table157[[#This Row],[Interest]],Table157[[#This Row],[Beginning Balance]]))),2)))</f>
        <v>18759.03</v>
      </c>
      <c r="I71" s="3">
        <f>_xlfn.SINGLE(IF($C$3="Line of Credit",0,ROUND(MAX(MIN(IF($C$10="No",$E$7,VLOOKUP(Table157[[#This Row],[Period]],Forecast!$H$2:$L$1048576,4,FALSE))*Table157[[#This Row],[Beginning Balance]],Table157[[#This Row],[Beginning Balance]]-Table157[[#This Row],[Principal]]),0),2)))</f>
        <v>14824.06</v>
      </c>
      <c r="J71" s="3">
        <f>ROUND(MIN(Table157[[#This Row],[Beginning Balance]]*IF($C$8="No",$E$3,VLOOKUP(Table157[[#This Row],[Period]],Forecast!$H$2:$L$1048576,2,FALSE)),Table157[[#This Row],[Beginning Balance]]-Table157[[#This Row],[Principal]]-Table157[[#This Row],[Prepayments]]),2)</f>
        <v>3548.84</v>
      </c>
      <c r="K71" s="3">
        <f>ROUND(Table157[[#This Row],[Defaulted Principal]]*IF($C$9="No",$E$4,VLOOKUP(Table157[[#This Row],[Period]],Forecast!$H$2:$L$1048576,3,FALSE)),2)</f>
        <v>307.66000000000003</v>
      </c>
      <c r="L71" s="2">
        <f>Table157[[#This Row],[Period]]+$E$9</f>
        <v>67</v>
      </c>
      <c r="M71" s="3">
        <f>Table157[[#This Row],[Defaulted Principal]]-Table157[[#This Row],[Estimated Loss]]</f>
        <v>3241.1800000000003</v>
      </c>
      <c r="N71" s="3">
        <f>IFERROR(VLOOKUP(Table157[[#This Row],[Period]],$L$16:$M$385,2,FALSE),0)</f>
        <v>3528.4500000000003</v>
      </c>
      <c r="O71" s="3">
        <f>Table157[[#This Row],[Beginning Balance]]-Table157[[#This Row],[Principal]]-Table157[[#This Row],[Prepayments]]-Table157[[#This Row],[Defaulted Principal]]</f>
        <v>5158822.3800000045</v>
      </c>
      <c r="P71" s="3">
        <f>Table157[[#This Row],[Principal]]+Table157[[#This Row],[Interest]]+Table157[[#This Row],[Prepayments]]+Table157[[#This Row],[RecoveredAmount]]</f>
        <v>52547.849999999991</v>
      </c>
      <c r="Q71" s="3">
        <f ca="1">ROUND(Table157[[#This Row],[Cash Flow]]/((1+ActualRateToUse)^(IF(ISNUMBER(SEARCH("Actual",$C$7)),Table157[[#This Row],[Running Total]]/365,Table157[[#This Row],[Period]]/12))),2)</f>
        <v>44694.2</v>
      </c>
      <c r="R71" s="2">
        <f>IF(MONTH(Table157[[#This Row],[Date]])=2,28,DAY(DATE(YEAR(Table157[[#This Row],[Date]]),MONTH(Table157[[#This Row],[Date]])+1,1)-1))</f>
        <v>31</v>
      </c>
      <c r="S71" s="2">
        <f ca="1">SUM(OFFSET(Table157[[#Headers],[Days in month]],1,0):Table157[[#This Row],[Days in month]])</f>
        <v>1675</v>
      </c>
      <c r="T71" s="37">
        <f>InterestRate*AmortizationMultiplier*IF(ISNUMBER(SEARCH("Actual",$C$7)),Table157[[#This Row],[Days in month]]/365,1/12)</f>
        <v>2.9708333333333331E-3</v>
      </c>
    </row>
    <row r="72" spans="2:20" x14ac:dyDescent="0.2">
      <c r="B72" s="1">
        <v>47542</v>
      </c>
      <c r="C72" s="2">
        <f t="shared" si="1"/>
        <v>56</v>
      </c>
      <c r="D72" s="3">
        <f t="shared" si="0"/>
        <v>5158822.3800000045</v>
      </c>
      <c r="E72" s="3">
        <f>ROUND(Table157[[#This Row],[Beginning Balance]]*Table157[[#This Row],[Monthly Interest Rate]],2)</f>
        <v>13842.84</v>
      </c>
      <c r="F72" s="3">
        <f t="shared" si="2"/>
        <v>200</v>
      </c>
      <c r="G72" s="23">
        <f>IFERROR(IF($C$13="No","N/A",IF(Table157[[#This Row],[Period]]=1,$C$6,PMT(InterestRate*AmortizationMultiplier/12,Table157[[#This Row],[Am Thru]],-Table157[[#This Row],[Beginning Balance]]))),0)</f>
        <v>34075.901951258529</v>
      </c>
      <c r="H72" s="3">
        <f>MAX(0,IF(C72=$C$4,D72,ROUND(IF($C$3="Fixed Principal",$C$6-Table157[[#This Row],[Interest]],IF($C$3="Interest Only",Table157[[#This Row],[Beginning Balance]]*ROUND(1-(1-IF($C$11="No",$E$8,1))^(1/12),6),MIN(IF($C$13="Yes",Table157[[#This Row],[Payment Amount (Reamortized)]],$C$6)-Table157[[#This Row],[Interest]],Table157[[#This Row],[Beginning Balance]]))),2)))</f>
        <v>20233.060000000001</v>
      </c>
      <c r="I72" s="3">
        <f>_xlfn.SINGLE(IF($C$3="Line of Credit",0,ROUND(MAX(MIN(IF($C$10="No",$E$7,VLOOKUP(Table157[[#This Row],[Period]],Forecast!$H$2:$L$1048576,4,FALSE))*Table157[[#This Row],[Beginning Balance]],Table157[[#This Row],[Beginning Balance]]-Table157[[#This Row],[Principal]]),0),2)))</f>
        <v>14718.12</v>
      </c>
      <c r="J72" s="3">
        <f>ROUND(MIN(Table157[[#This Row],[Beginning Balance]]*IF($C$8="No",$E$3,VLOOKUP(Table157[[#This Row],[Period]],Forecast!$H$2:$L$1048576,2,FALSE)),Table157[[#This Row],[Beginning Balance]]-Table157[[#This Row],[Principal]]-Table157[[#This Row],[Prepayments]]),2)</f>
        <v>3523.48</v>
      </c>
      <c r="K72" s="3">
        <f>ROUND(Table157[[#This Row],[Defaulted Principal]]*IF($C$9="No",$E$4,VLOOKUP(Table157[[#This Row],[Period]],Forecast!$H$2:$L$1048576,3,FALSE)),2)</f>
        <v>305.45999999999998</v>
      </c>
      <c r="L72" s="2">
        <f>Table157[[#This Row],[Period]]+$E$9</f>
        <v>68</v>
      </c>
      <c r="M72" s="3">
        <f>Table157[[#This Row],[Defaulted Principal]]-Table157[[#This Row],[Estimated Loss]]</f>
        <v>3218.02</v>
      </c>
      <c r="N72" s="3">
        <f>IFERROR(VLOOKUP(Table157[[#This Row],[Period]],$L$16:$M$385,2,FALSE),0)</f>
        <v>3504.2</v>
      </c>
      <c r="O72" s="3">
        <f>Table157[[#This Row],[Beginning Balance]]-Table157[[#This Row],[Principal]]-Table157[[#This Row],[Prepayments]]-Table157[[#This Row],[Defaulted Principal]]</f>
        <v>5120347.7200000044</v>
      </c>
      <c r="P72" s="3">
        <f>Table157[[#This Row],[Principal]]+Table157[[#This Row],[Interest]]+Table157[[#This Row],[Prepayments]]+Table157[[#This Row],[RecoveredAmount]]</f>
        <v>52298.22</v>
      </c>
      <c r="Q72" s="3">
        <f ca="1">ROUND(Table157[[#This Row],[Cash Flow]]/((1+ActualRateToUse)^(IF(ISNUMBER(SEARCH("Actual",$C$7)),Table157[[#This Row],[Running Total]]/365,Table157[[#This Row],[Period]]/12))),2)</f>
        <v>44361.67</v>
      </c>
      <c r="R72" s="2">
        <f>IF(MONTH(Table157[[#This Row],[Date]])=2,28,DAY(DATE(YEAR(Table157[[#This Row],[Date]]),MONTH(Table157[[#This Row],[Date]])+1,1)-1))</f>
        <v>28</v>
      </c>
      <c r="S72" s="2">
        <f ca="1">SUM(OFFSET(Table157[[#Headers],[Days in month]],1,0):Table157[[#This Row],[Days in month]])</f>
        <v>1703</v>
      </c>
      <c r="T72" s="37">
        <f>InterestRate*AmortizationMultiplier*IF(ISNUMBER(SEARCH("Actual",$C$7)),Table157[[#This Row],[Days in month]]/365,1/12)</f>
        <v>2.6833333333333336E-3</v>
      </c>
    </row>
    <row r="73" spans="2:20" x14ac:dyDescent="0.2">
      <c r="B73" s="1">
        <v>47573</v>
      </c>
      <c r="C73" s="2">
        <f t="shared" si="1"/>
        <v>57</v>
      </c>
      <c r="D73" s="3">
        <f t="shared" si="0"/>
        <v>5120347.7200000044</v>
      </c>
      <c r="E73" s="3">
        <f>ROUND(Table157[[#This Row],[Beginning Balance]]*Table157[[#This Row],[Monthly Interest Rate]],2)</f>
        <v>15211.7</v>
      </c>
      <c r="F73" s="3">
        <f t="shared" si="2"/>
        <v>199</v>
      </c>
      <c r="G73" s="23">
        <f>IFERROR(IF($C$13="No","N/A",IF(Table157[[#This Row],[Period]]=1,$C$6,PMT(InterestRate*AmortizationMultiplier/12,Table157[[#This Row],[Am Thru]],-Table157[[#This Row],[Beginning Balance]]))),0)</f>
        <v>33947.04211470623</v>
      </c>
      <c r="H73" s="3">
        <f>MAX(0,IF(C73=$C$4,D73,ROUND(IF($C$3="Fixed Principal",$C$6-Table157[[#This Row],[Interest]],IF($C$3="Interest Only",Table157[[#This Row],[Beginning Balance]]*ROUND(1-(1-IF($C$11="No",$E$8,1))^(1/12),6),MIN(IF($C$13="Yes",Table157[[#This Row],[Payment Amount (Reamortized)]],$C$6)-Table157[[#This Row],[Interest]],Table157[[#This Row],[Beginning Balance]]))),2)))</f>
        <v>18735.34</v>
      </c>
      <c r="I73" s="3">
        <f>_xlfn.SINGLE(IF($C$3="Line of Credit",0,ROUND(MAX(MIN(IF($C$10="No",$E$7,VLOOKUP(Table157[[#This Row],[Period]],Forecast!$H$2:$L$1048576,4,FALSE))*Table157[[#This Row],[Beginning Balance]],Table157[[#This Row],[Beginning Balance]]-Table157[[#This Row],[Principal]]),0),2)))</f>
        <v>14608.35</v>
      </c>
      <c r="J73" s="3">
        <f>ROUND(MIN(Table157[[#This Row],[Beginning Balance]]*IF($C$8="No",$E$3,VLOOKUP(Table157[[#This Row],[Period]],Forecast!$H$2:$L$1048576,2,FALSE)),Table157[[#This Row],[Beginning Balance]]-Table157[[#This Row],[Principal]]-Table157[[#This Row],[Prepayments]]),2)</f>
        <v>3497.2</v>
      </c>
      <c r="K73" s="3">
        <f>ROUND(Table157[[#This Row],[Defaulted Principal]]*IF($C$9="No",$E$4,VLOOKUP(Table157[[#This Row],[Period]],Forecast!$H$2:$L$1048576,3,FALSE)),2)</f>
        <v>303.19</v>
      </c>
      <c r="L73" s="2">
        <f>Table157[[#This Row],[Period]]+$E$9</f>
        <v>69</v>
      </c>
      <c r="M73" s="3">
        <f>Table157[[#This Row],[Defaulted Principal]]-Table157[[#This Row],[Estimated Loss]]</f>
        <v>3194.0099999999998</v>
      </c>
      <c r="N73" s="3">
        <f>IFERROR(VLOOKUP(Table157[[#This Row],[Period]],$L$16:$M$385,2,FALSE),0)</f>
        <v>3479.0299999999997</v>
      </c>
      <c r="O73" s="3">
        <f>Table157[[#This Row],[Beginning Balance]]-Table157[[#This Row],[Principal]]-Table157[[#This Row],[Prepayments]]-Table157[[#This Row],[Defaulted Principal]]</f>
        <v>5083506.8300000047</v>
      </c>
      <c r="P73" s="3">
        <f>Table157[[#This Row],[Principal]]+Table157[[#This Row],[Interest]]+Table157[[#This Row],[Prepayments]]+Table157[[#This Row],[RecoveredAmount]]</f>
        <v>52034.42</v>
      </c>
      <c r="Q73" s="3">
        <f ca="1">ROUND(Table157[[#This Row],[Cash Flow]]/((1+ActualRateToUse)^(IF(ISNUMBER(SEARCH("Actual",$C$7)),Table157[[#This Row],[Running Total]]/365,Table157[[#This Row],[Period]]/12))),2)</f>
        <v>44005.86</v>
      </c>
      <c r="R73" s="2">
        <f>IF(MONTH(Table157[[#This Row],[Date]])=2,28,DAY(DATE(YEAR(Table157[[#This Row],[Date]]),MONTH(Table157[[#This Row],[Date]])+1,1)-1))</f>
        <v>31</v>
      </c>
      <c r="S73" s="2">
        <f ca="1">SUM(OFFSET(Table157[[#Headers],[Days in month]],1,0):Table157[[#This Row],[Days in month]])</f>
        <v>1734</v>
      </c>
      <c r="T73" s="37">
        <f>InterestRate*AmortizationMultiplier*IF(ISNUMBER(SEARCH("Actual",$C$7)),Table157[[#This Row],[Days in month]]/365,1/12)</f>
        <v>2.9708333333333331E-3</v>
      </c>
    </row>
    <row r="74" spans="2:20" x14ac:dyDescent="0.2">
      <c r="B74" s="1">
        <v>47603</v>
      </c>
      <c r="C74" s="2">
        <f t="shared" si="1"/>
        <v>58</v>
      </c>
      <c r="D74" s="3">
        <f t="shared" si="0"/>
        <v>5083506.8300000047</v>
      </c>
      <c r="E74" s="3">
        <f>ROUND(Table157[[#This Row],[Beginning Balance]]*Table157[[#This Row],[Monthly Interest Rate]],2)</f>
        <v>14615.08</v>
      </c>
      <c r="F74" s="3">
        <f t="shared" si="2"/>
        <v>198</v>
      </c>
      <c r="G74" s="23">
        <f>IFERROR(IF($C$13="No","N/A",IF(Table157[[#This Row],[Period]]=1,$C$6,PMT(InterestRate*AmortizationMultiplier/12,Table157[[#This Row],[Am Thru]],-Table157[[#This Row],[Beginning Balance]]))),0)</f>
        <v>33828.462609682458</v>
      </c>
      <c r="H74" s="3">
        <f>MAX(0,IF(C74=$C$4,D74,ROUND(IF($C$3="Fixed Principal",$C$6-Table157[[#This Row],[Interest]],IF($C$3="Interest Only",Table157[[#This Row],[Beginning Balance]]*ROUND(1-(1-IF($C$11="No",$E$8,1))^(1/12),6),MIN(IF($C$13="Yes",Table157[[#This Row],[Payment Amount (Reamortized)]],$C$6)-Table157[[#This Row],[Interest]],Table157[[#This Row],[Beginning Balance]]))),2)))</f>
        <v>19213.38</v>
      </c>
      <c r="I74" s="3">
        <f>_xlfn.SINGLE(IF($C$3="Line of Credit",0,ROUND(MAX(MIN(IF($C$10="No",$E$7,VLOOKUP(Table157[[#This Row],[Period]],Forecast!$H$2:$L$1048576,4,FALSE))*Table157[[#This Row],[Beginning Balance]],Table157[[#This Row],[Beginning Balance]]-Table157[[#This Row],[Principal]]),0),2)))</f>
        <v>14503.24</v>
      </c>
      <c r="J74" s="3">
        <f>ROUND(MIN(Table157[[#This Row],[Beginning Balance]]*IF($C$8="No",$E$3,VLOOKUP(Table157[[#This Row],[Period]],Forecast!$H$2:$L$1048576,2,FALSE)),Table157[[#This Row],[Beginning Balance]]-Table157[[#This Row],[Principal]]-Table157[[#This Row],[Prepayments]]),2)</f>
        <v>3472.04</v>
      </c>
      <c r="K74" s="3">
        <f>ROUND(Table157[[#This Row],[Defaulted Principal]]*IF($C$9="No",$E$4,VLOOKUP(Table157[[#This Row],[Period]],Forecast!$H$2:$L$1048576,3,FALSE)),2)</f>
        <v>301.01</v>
      </c>
      <c r="L74" s="2">
        <f>Table157[[#This Row],[Period]]+$E$9</f>
        <v>70</v>
      </c>
      <c r="M74" s="3">
        <f>Table157[[#This Row],[Defaulted Principal]]-Table157[[#This Row],[Estimated Loss]]</f>
        <v>3171.0299999999997</v>
      </c>
      <c r="N74" s="3">
        <f>IFERROR(VLOOKUP(Table157[[#This Row],[Period]],$L$16:$M$385,2,FALSE),0)</f>
        <v>3454.96</v>
      </c>
      <c r="O74" s="3">
        <f>Table157[[#This Row],[Beginning Balance]]-Table157[[#This Row],[Principal]]-Table157[[#This Row],[Prepayments]]-Table157[[#This Row],[Defaulted Principal]]</f>
        <v>5046318.1700000046</v>
      </c>
      <c r="P74" s="3">
        <f>Table157[[#This Row],[Principal]]+Table157[[#This Row],[Interest]]+Table157[[#This Row],[Prepayments]]+Table157[[#This Row],[RecoveredAmount]]</f>
        <v>51786.659999999996</v>
      </c>
      <c r="Q74" s="3">
        <f ca="1">ROUND(Table157[[#This Row],[Cash Flow]]/((1+ActualRateToUse)^(IF(ISNUMBER(SEARCH("Actual",$C$7)),Table157[[#This Row],[Running Total]]/365,Table157[[#This Row],[Period]]/12))),2)</f>
        <v>43669.54</v>
      </c>
      <c r="R74" s="2">
        <f>IF(MONTH(Table157[[#This Row],[Date]])=2,28,DAY(DATE(YEAR(Table157[[#This Row],[Date]]),MONTH(Table157[[#This Row],[Date]])+1,1)-1))</f>
        <v>30</v>
      </c>
      <c r="S74" s="2">
        <f ca="1">SUM(OFFSET(Table157[[#Headers],[Days in month]],1,0):Table157[[#This Row],[Days in month]])</f>
        <v>1764</v>
      </c>
      <c r="T74" s="37">
        <f>InterestRate*AmortizationMultiplier*IF(ISNUMBER(SEARCH("Actual",$C$7)),Table157[[#This Row],[Days in month]]/365,1/12)</f>
        <v>2.8749999999999995E-3</v>
      </c>
    </row>
    <row r="75" spans="2:20" x14ac:dyDescent="0.2">
      <c r="B75" s="1">
        <v>47634</v>
      </c>
      <c r="C75" s="2">
        <f t="shared" si="1"/>
        <v>59</v>
      </c>
      <c r="D75" s="3">
        <f t="shared" si="0"/>
        <v>5046318.1700000046</v>
      </c>
      <c r="E75" s="3">
        <f>ROUND(Table157[[#This Row],[Beginning Balance]]*Table157[[#This Row],[Monthly Interest Rate]],2)</f>
        <v>14991.77</v>
      </c>
      <c r="F75" s="3">
        <f t="shared" si="2"/>
        <v>197</v>
      </c>
      <c r="G75" s="23">
        <f>IFERROR(IF($C$13="No","N/A",IF(Table157[[#This Row],[Period]]=1,$C$6,PMT(InterestRate*AmortizationMultiplier/12,Table157[[#This Row],[Am Thru]],-Table157[[#This Row],[Beginning Balance]]))),0)</f>
        <v>33707.040307248164</v>
      </c>
      <c r="H75" s="3">
        <f>MAX(0,IF(C75=$C$4,D75,ROUND(IF($C$3="Fixed Principal",$C$6-Table157[[#This Row],[Interest]],IF($C$3="Interest Only",Table157[[#This Row],[Beginning Balance]]*ROUND(1-(1-IF($C$11="No",$E$8,1))^(1/12),6),MIN(IF($C$13="Yes",Table157[[#This Row],[Payment Amount (Reamortized)]],$C$6)-Table157[[#This Row],[Interest]],Table157[[#This Row],[Beginning Balance]]))),2)))</f>
        <v>18715.27</v>
      </c>
      <c r="I75" s="3">
        <f>_xlfn.SINGLE(IF($C$3="Line of Credit",0,ROUND(MAX(MIN(IF($C$10="No",$E$7,VLOOKUP(Table157[[#This Row],[Period]],Forecast!$H$2:$L$1048576,4,FALSE))*Table157[[#This Row],[Beginning Balance]],Table157[[#This Row],[Beginning Balance]]-Table157[[#This Row],[Principal]]),0),2)))</f>
        <v>14397.15</v>
      </c>
      <c r="J75" s="3">
        <f>ROUND(MIN(Table157[[#This Row],[Beginning Balance]]*IF($C$8="No",$E$3,VLOOKUP(Table157[[#This Row],[Period]],Forecast!$H$2:$L$1048576,2,FALSE)),Table157[[#This Row],[Beginning Balance]]-Table157[[#This Row],[Principal]]-Table157[[#This Row],[Prepayments]]),2)</f>
        <v>3446.64</v>
      </c>
      <c r="K75" s="3">
        <f>ROUND(Table157[[#This Row],[Defaulted Principal]]*IF($C$9="No",$E$4,VLOOKUP(Table157[[#This Row],[Period]],Forecast!$H$2:$L$1048576,3,FALSE)),2)</f>
        <v>298.8</v>
      </c>
      <c r="L75" s="2">
        <f>Table157[[#This Row],[Period]]+$E$9</f>
        <v>71</v>
      </c>
      <c r="M75" s="3">
        <f>Table157[[#This Row],[Defaulted Principal]]-Table157[[#This Row],[Estimated Loss]]</f>
        <v>3147.8399999999997</v>
      </c>
      <c r="N75" s="3">
        <f>IFERROR(VLOOKUP(Table157[[#This Row],[Period]],$L$16:$M$385,2,FALSE),0)</f>
        <v>3430.66</v>
      </c>
      <c r="O75" s="3">
        <f>Table157[[#This Row],[Beginning Balance]]-Table157[[#This Row],[Principal]]-Table157[[#This Row],[Prepayments]]-Table157[[#This Row],[Defaulted Principal]]</f>
        <v>5009759.110000005</v>
      </c>
      <c r="P75" s="3">
        <f>Table157[[#This Row],[Principal]]+Table157[[#This Row],[Interest]]+Table157[[#This Row],[Prepayments]]+Table157[[#This Row],[RecoveredAmount]]</f>
        <v>51534.850000000006</v>
      </c>
      <c r="Q75" s="3">
        <f ca="1">ROUND(Table157[[#This Row],[Cash Flow]]/((1+ActualRateToUse)^(IF(ISNUMBER(SEARCH("Actual",$C$7)),Table157[[#This Row],[Running Total]]/365,Table157[[#This Row],[Period]]/12))),2)</f>
        <v>43327.19</v>
      </c>
      <c r="R75" s="2">
        <f>IF(MONTH(Table157[[#This Row],[Date]])=2,28,DAY(DATE(YEAR(Table157[[#This Row],[Date]]),MONTH(Table157[[#This Row],[Date]])+1,1)-1))</f>
        <v>31</v>
      </c>
      <c r="S75" s="2">
        <f ca="1">SUM(OFFSET(Table157[[#Headers],[Days in month]],1,0):Table157[[#This Row],[Days in month]])</f>
        <v>1795</v>
      </c>
      <c r="T75" s="37">
        <f>InterestRate*AmortizationMultiplier*IF(ISNUMBER(SEARCH("Actual",$C$7)),Table157[[#This Row],[Days in month]]/365,1/12)</f>
        <v>2.9708333333333331E-3</v>
      </c>
    </row>
    <row r="76" spans="2:20" x14ac:dyDescent="0.2">
      <c r="B76" s="1">
        <v>47664</v>
      </c>
      <c r="C76" s="2">
        <f t="shared" si="1"/>
        <v>60</v>
      </c>
      <c r="D76" s="3">
        <f t="shared" si="0"/>
        <v>5009759.110000005</v>
      </c>
      <c r="E76" s="3">
        <f>ROUND(Table157[[#This Row],[Beginning Balance]]*Table157[[#This Row],[Monthly Interest Rate]],2)</f>
        <v>14403.06</v>
      </c>
      <c r="F76" s="3">
        <f t="shared" si="2"/>
        <v>196</v>
      </c>
      <c r="G76" s="23">
        <f>IFERROR(IF($C$13="No","N/A",IF(Table157[[#This Row],[Period]]=1,$C$6,PMT(InterestRate*AmortizationMultiplier/12,Table157[[#This Row],[Am Thru]],-Table157[[#This Row],[Beginning Balance]]))),0)</f>
        <v>33589.293199781881</v>
      </c>
      <c r="H76" s="3">
        <f>MAX(0,IF(C76=$C$4,D76,ROUND(IF($C$3="Fixed Principal",$C$6-Table157[[#This Row],[Interest]],IF($C$3="Interest Only",Table157[[#This Row],[Beginning Balance]]*ROUND(1-(1-IF($C$11="No",$E$8,1))^(1/12),6),MIN(IF($C$13="Yes",Table157[[#This Row],[Payment Amount (Reamortized)]],$C$6)-Table157[[#This Row],[Interest]],Table157[[#This Row],[Beginning Balance]]))),2)))</f>
        <v>19186.23</v>
      </c>
      <c r="I76" s="3">
        <f>_xlfn.SINGLE(IF($C$3="Line of Credit",0,ROUND(MAX(MIN(IF($C$10="No",$E$7,VLOOKUP(Table157[[#This Row],[Period]],Forecast!$H$2:$L$1048576,4,FALSE))*Table157[[#This Row],[Beginning Balance]],Table157[[#This Row],[Beginning Balance]]-Table157[[#This Row],[Principal]]),0),2)))</f>
        <v>14292.84</v>
      </c>
      <c r="J76" s="3">
        <f>ROUND(MIN(Table157[[#This Row],[Beginning Balance]]*IF($C$8="No",$E$3,VLOOKUP(Table157[[#This Row],[Period]],Forecast!$H$2:$L$1048576,2,FALSE)),Table157[[#This Row],[Beginning Balance]]-Table157[[#This Row],[Principal]]-Table157[[#This Row],[Prepayments]]),2)</f>
        <v>3421.67</v>
      </c>
      <c r="K76" s="3">
        <f>ROUND(Table157[[#This Row],[Defaulted Principal]]*IF($C$9="No",$E$4,VLOOKUP(Table157[[#This Row],[Period]],Forecast!$H$2:$L$1048576,3,FALSE)),2)</f>
        <v>296.64</v>
      </c>
      <c r="L76" s="2">
        <f>Table157[[#This Row],[Period]]+$E$9</f>
        <v>72</v>
      </c>
      <c r="M76" s="3">
        <f>Table157[[#This Row],[Defaulted Principal]]-Table157[[#This Row],[Estimated Loss]]</f>
        <v>3125.03</v>
      </c>
      <c r="N76" s="3">
        <f>IFERROR(VLOOKUP(Table157[[#This Row],[Period]],$L$16:$M$385,2,FALSE),0)</f>
        <v>3406.7799999999997</v>
      </c>
      <c r="O76" s="3">
        <f>Table157[[#This Row],[Beginning Balance]]-Table157[[#This Row],[Principal]]-Table157[[#This Row],[Prepayments]]-Table157[[#This Row],[Defaulted Principal]]</f>
        <v>4972858.3700000048</v>
      </c>
      <c r="P76" s="3">
        <f>Table157[[#This Row],[Principal]]+Table157[[#This Row],[Interest]]+Table157[[#This Row],[Prepayments]]+Table157[[#This Row],[RecoveredAmount]]</f>
        <v>51288.91</v>
      </c>
      <c r="Q76" s="3">
        <f ca="1">ROUND(Table157[[#This Row],[Cash Flow]]/((1+ActualRateToUse)^(IF(ISNUMBER(SEARCH("Actual",$C$7)),Table157[[#This Row],[Running Total]]/365,Table157[[#This Row],[Period]]/12))),2)</f>
        <v>42995.58</v>
      </c>
      <c r="R76" s="2">
        <f>IF(MONTH(Table157[[#This Row],[Date]])=2,28,DAY(DATE(YEAR(Table157[[#This Row],[Date]]),MONTH(Table157[[#This Row],[Date]])+1,1)-1))</f>
        <v>30</v>
      </c>
      <c r="S76" s="2">
        <f ca="1">SUM(OFFSET(Table157[[#Headers],[Days in month]],1,0):Table157[[#This Row],[Days in month]])</f>
        <v>1825</v>
      </c>
      <c r="T76" s="37">
        <f>InterestRate*AmortizationMultiplier*IF(ISNUMBER(SEARCH("Actual",$C$7)),Table157[[#This Row],[Days in month]]/365,1/12)</f>
        <v>2.8749999999999995E-3</v>
      </c>
    </row>
    <row r="77" spans="2:20" x14ac:dyDescent="0.2">
      <c r="B77" s="1">
        <v>47695</v>
      </c>
      <c r="C77" s="2">
        <f t="shared" si="1"/>
        <v>61</v>
      </c>
      <c r="D77" s="3">
        <f t="shared" si="0"/>
        <v>4972858.3700000048</v>
      </c>
      <c r="E77" s="3">
        <f>ROUND(Table157[[#This Row],[Beginning Balance]]*Table157[[#This Row],[Monthly Interest Rate]],2)</f>
        <v>14773.53</v>
      </c>
      <c r="F77" s="3">
        <f t="shared" si="2"/>
        <v>195</v>
      </c>
      <c r="G77" s="23">
        <f>IFERROR(IF($C$13="No","N/A",IF(Table157[[#This Row],[Period]]=1,$C$6,PMT(InterestRate*AmortizationMultiplier/12,Table157[[#This Row],[Am Thru]],-Table157[[#This Row],[Beginning Balance]]))),0)</f>
        <v>33468.723305721498</v>
      </c>
      <c r="H77" s="3">
        <f>MAX(0,IF(C77=$C$4,D77,ROUND(IF($C$3="Fixed Principal",$C$6-Table157[[#This Row],[Interest]],IF($C$3="Interest Only",Table157[[#This Row],[Beginning Balance]]*ROUND(1-(1-IF($C$11="No",$E$8,1))^(1/12),6),MIN(IF($C$13="Yes",Table157[[#This Row],[Payment Amount (Reamortized)]],$C$6)-Table157[[#This Row],[Interest]],Table157[[#This Row],[Beginning Balance]]))),2)))</f>
        <v>18695.189999999999</v>
      </c>
      <c r="I77" s="3">
        <f>_xlfn.SINGLE(IF($C$3="Line of Credit",0,ROUND(MAX(MIN(IF($C$10="No",$E$7,VLOOKUP(Table157[[#This Row],[Period]],Forecast!$H$2:$L$1048576,4,FALSE))*Table157[[#This Row],[Beginning Balance]],Table157[[#This Row],[Beginning Balance]]-Table157[[#This Row],[Principal]]),0),2)))</f>
        <v>14187.56</v>
      </c>
      <c r="J77" s="3">
        <f>ROUND(MIN(Table157[[#This Row],[Beginning Balance]]*IF($C$8="No",$E$3,VLOOKUP(Table157[[#This Row],[Period]],Forecast!$H$2:$L$1048576,2,FALSE)),Table157[[#This Row],[Beginning Balance]]-Table157[[#This Row],[Principal]]-Table157[[#This Row],[Prepayments]]),2)</f>
        <v>3396.46</v>
      </c>
      <c r="K77" s="3">
        <f>ROUND(Table157[[#This Row],[Defaulted Principal]]*IF($C$9="No",$E$4,VLOOKUP(Table157[[#This Row],[Period]],Forecast!$H$2:$L$1048576,3,FALSE)),2)</f>
        <v>294.45</v>
      </c>
      <c r="L77" s="2">
        <f>Table157[[#This Row],[Period]]+$E$9</f>
        <v>73</v>
      </c>
      <c r="M77" s="3">
        <f>Table157[[#This Row],[Defaulted Principal]]-Table157[[#This Row],[Estimated Loss]]</f>
        <v>3102.01</v>
      </c>
      <c r="N77" s="3">
        <f>IFERROR(VLOOKUP(Table157[[#This Row],[Period]],$L$16:$M$385,2,FALSE),0)</f>
        <v>3382.66</v>
      </c>
      <c r="O77" s="3">
        <f>Table157[[#This Row],[Beginning Balance]]-Table157[[#This Row],[Principal]]-Table157[[#This Row],[Prepayments]]-Table157[[#This Row],[Defaulted Principal]]</f>
        <v>4936579.1600000048</v>
      </c>
      <c r="P77" s="3">
        <f>Table157[[#This Row],[Principal]]+Table157[[#This Row],[Interest]]+Table157[[#This Row],[Prepayments]]+Table157[[#This Row],[RecoveredAmount]]</f>
        <v>51038.94</v>
      </c>
      <c r="Q77" s="3">
        <f ca="1">ROUND(Table157[[#This Row],[Cash Flow]]/((1+ActualRateToUse)^(IF(ISNUMBER(SEARCH("Actual",$C$7)),Table157[[#This Row],[Running Total]]/365,Table157[[#This Row],[Period]]/12))),2)</f>
        <v>42658.04</v>
      </c>
      <c r="R77" s="2">
        <f>IF(MONTH(Table157[[#This Row],[Date]])=2,28,DAY(DATE(YEAR(Table157[[#This Row],[Date]]),MONTH(Table157[[#This Row],[Date]])+1,1)-1))</f>
        <v>31</v>
      </c>
      <c r="S77" s="2">
        <f ca="1">SUM(OFFSET(Table157[[#Headers],[Days in month]],1,0):Table157[[#This Row],[Days in month]])</f>
        <v>1856</v>
      </c>
      <c r="T77" s="37">
        <f>InterestRate*AmortizationMultiplier*IF(ISNUMBER(SEARCH("Actual",$C$7)),Table157[[#This Row],[Days in month]]/365,1/12)</f>
        <v>2.9708333333333331E-3</v>
      </c>
    </row>
    <row r="78" spans="2:20" x14ac:dyDescent="0.2">
      <c r="B78" s="1">
        <v>47726</v>
      </c>
      <c r="C78" s="2">
        <f t="shared" si="1"/>
        <v>62</v>
      </c>
      <c r="D78" s="3">
        <f t="shared" si="0"/>
        <v>4936579.1600000048</v>
      </c>
      <c r="E78" s="3">
        <f>ROUND(Table157[[#This Row],[Beginning Balance]]*Table157[[#This Row],[Monthly Interest Rate]],2)</f>
        <v>14665.75</v>
      </c>
      <c r="F78" s="3">
        <f t="shared" si="2"/>
        <v>194</v>
      </c>
      <c r="G78" s="23">
        <f>IFERROR(IF($C$13="No","N/A",IF(Table157[[#This Row],[Period]]=1,$C$6,PMT(InterestRate*AmortizationMultiplier/12,Table157[[#This Row],[Am Thru]],-Table157[[#This Row],[Beginning Balance]]))),0)</f>
        <v>33351.802850206201</v>
      </c>
      <c r="H78" s="3">
        <f>MAX(0,IF(C78=$C$4,D78,ROUND(IF($C$3="Fixed Principal",$C$6-Table157[[#This Row],[Interest]],IF($C$3="Interest Only",Table157[[#This Row],[Beginning Balance]]*ROUND(1-(1-IF($C$11="No",$E$8,1))^(1/12),6),MIN(IF($C$13="Yes",Table157[[#This Row],[Payment Amount (Reamortized)]],$C$6)-Table157[[#This Row],[Interest]],Table157[[#This Row],[Beginning Balance]]))),2)))</f>
        <v>18686.05</v>
      </c>
      <c r="I78" s="3">
        <f>_xlfn.SINGLE(IF($C$3="Line of Credit",0,ROUND(MAX(MIN(IF($C$10="No",$E$7,VLOOKUP(Table157[[#This Row],[Period]],Forecast!$H$2:$L$1048576,4,FALSE))*Table157[[#This Row],[Beginning Balance]],Table157[[#This Row],[Beginning Balance]]-Table157[[#This Row],[Principal]]),0),2)))</f>
        <v>14084.06</v>
      </c>
      <c r="J78" s="3">
        <f>ROUND(MIN(Table157[[#This Row],[Beginning Balance]]*IF($C$8="No",$E$3,VLOOKUP(Table157[[#This Row],[Period]],Forecast!$H$2:$L$1048576,2,FALSE)),Table157[[#This Row],[Beginning Balance]]-Table157[[#This Row],[Principal]]-Table157[[#This Row],[Prepayments]]),2)</f>
        <v>3371.68</v>
      </c>
      <c r="K78" s="3">
        <f>ROUND(Table157[[#This Row],[Defaulted Principal]]*IF($C$9="No",$E$4,VLOOKUP(Table157[[#This Row],[Period]],Forecast!$H$2:$L$1048576,3,FALSE)),2)</f>
        <v>292.3</v>
      </c>
      <c r="L78" s="2">
        <f>Table157[[#This Row],[Period]]+$E$9</f>
        <v>74</v>
      </c>
      <c r="M78" s="3">
        <f>Table157[[#This Row],[Defaulted Principal]]-Table157[[#This Row],[Estimated Loss]]</f>
        <v>3079.3799999999997</v>
      </c>
      <c r="N78" s="3">
        <f>IFERROR(VLOOKUP(Table157[[#This Row],[Period]],$L$16:$M$385,2,FALSE),0)</f>
        <v>3358.96</v>
      </c>
      <c r="O78" s="3">
        <f>Table157[[#This Row],[Beginning Balance]]-Table157[[#This Row],[Principal]]-Table157[[#This Row],[Prepayments]]-Table157[[#This Row],[Defaulted Principal]]</f>
        <v>4900437.3700000057</v>
      </c>
      <c r="P78" s="3">
        <f>Table157[[#This Row],[Principal]]+Table157[[#This Row],[Interest]]+Table157[[#This Row],[Prepayments]]+Table157[[#This Row],[RecoveredAmount]]</f>
        <v>50794.82</v>
      </c>
      <c r="Q78" s="3">
        <f ca="1">ROUND(Table157[[#This Row],[Cash Flow]]/((1+ActualRateToUse)^(IF(ISNUMBER(SEARCH("Actual",$C$7)),Table157[[#This Row],[Running Total]]/365,Table157[[#This Row],[Period]]/12))),2)</f>
        <v>42327</v>
      </c>
      <c r="R78" s="2">
        <f>IF(MONTH(Table157[[#This Row],[Date]])=2,28,DAY(DATE(YEAR(Table157[[#This Row],[Date]]),MONTH(Table157[[#This Row],[Date]])+1,1)-1))</f>
        <v>31</v>
      </c>
      <c r="S78" s="2">
        <f ca="1">SUM(OFFSET(Table157[[#Headers],[Days in month]],1,0):Table157[[#This Row],[Days in month]])</f>
        <v>1887</v>
      </c>
      <c r="T78" s="37">
        <f>InterestRate*AmortizationMultiplier*IF(ISNUMBER(SEARCH("Actual",$C$7)),Table157[[#This Row],[Days in month]]/365,1/12)</f>
        <v>2.9708333333333331E-3</v>
      </c>
    </row>
    <row r="79" spans="2:20" x14ac:dyDescent="0.2">
      <c r="B79" s="1">
        <v>47756</v>
      </c>
      <c r="C79" s="2">
        <f t="shared" si="1"/>
        <v>63</v>
      </c>
      <c r="D79" s="3">
        <f t="shared" si="0"/>
        <v>4900437.3700000057</v>
      </c>
      <c r="E79" s="3">
        <f>ROUND(Table157[[#This Row],[Beginning Balance]]*Table157[[#This Row],[Monthly Interest Rate]],2)</f>
        <v>14088.76</v>
      </c>
      <c r="F79" s="3">
        <f t="shared" si="2"/>
        <v>193</v>
      </c>
      <c r="G79" s="23">
        <f>IFERROR(IF($C$13="No","N/A",IF(Table157[[#This Row],[Period]]=1,$C$6,PMT(InterestRate*AmortizationMultiplier/12,Table157[[#This Row],[Am Thru]],-Table157[[#This Row],[Beginning Balance]]))),0)</f>
        <v>33235.287804078565</v>
      </c>
      <c r="H79" s="3">
        <f>MAX(0,IF(C79=$C$4,D79,ROUND(IF($C$3="Fixed Principal",$C$6-Table157[[#This Row],[Interest]],IF($C$3="Interest Only",Table157[[#This Row],[Beginning Balance]]*ROUND(1-(1-IF($C$11="No",$E$8,1))^(1/12),6),MIN(IF($C$13="Yes",Table157[[#This Row],[Payment Amount (Reamortized)]],$C$6)-Table157[[#This Row],[Interest]],Table157[[#This Row],[Beginning Balance]]))),2)))</f>
        <v>19146.53</v>
      </c>
      <c r="I79" s="3">
        <f>_xlfn.SINGLE(IF($C$3="Line of Credit",0,ROUND(MAX(MIN(IF($C$10="No",$E$7,VLOOKUP(Table157[[#This Row],[Period]],Forecast!$H$2:$L$1048576,4,FALSE))*Table157[[#This Row],[Beginning Balance]],Table157[[#This Row],[Beginning Balance]]-Table157[[#This Row],[Principal]]),0),2)))</f>
        <v>13980.95</v>
      </c>
      <c r="J79" s="3">
        <f>ROUND(MIN(Table157[[#This Row],[Beginning Balance]]*IF($C$8="No",$E$3,VLOOKUP(Table157[[#This Row],[Period]],Forecast!$H$2:$L$1048576,2,FALSE)),Table157[[#This Row],[Beginning Balance]]-Table157[[#This Row],[Principal]]-Table157[[#This Row],[Prepayments]]),2)</f>
        <v>3347</v>
      </c>
      <c r="K79" s="3">
        <f>ROUND(Table157[[#This Row],[Defaulted Principal]]*IF($C$9="No",$E$4,VLOOKUP(Table157[[#This Row],[Period]],Forecast!$H$2:$L$1048576,3,FALSE)),2)</f>
        <v>290.16000000000003</v>
      </c>
      <c r="L79" s="2">
        <f>Table157[[#This Row],[Period]]+$E$9</f>
        <v>75</v>
      </c>
      <c r="M79" s="3">
        <f>Table157[[#This Row],[Defaulted Principal]]-Table157[[#This Row],[Estimated Loss]]</f>
        <v>3056.84</v>
      </c>
      <c r="N79" s="3">
        <f>IFERROR(VLOOKUP(Table157[[#This Row],[Period]],$L$16:$M$385,2,FALSE),0)</f>
        <v>3335.35</v>
      </c>
      <c r="O79" s="3">
        <f>Table157[[#This Row],[Beginning Balance]]-Table157[[#This Row],[Principal]]-Table157[[#This Row],[Prepayments]]-Table157[[#This Row],[Defaulted Principal]]</f>
        <v>4863962.8900000053</v>
      </c>
      <c r="P79" s="3">
        <f>Table157[[#This Row],[Principal]]+Table157[[#This Row],[Interest]]+Table157[[#This Row],[Prepayments]]+Table157[[#This Row],[RecoveredAmount]]</f>
        <v>50551.590000000004</v>
      </c>
      <c r="Q79" s="3">
        <f ca="1">ROUND(Table157[[#This Row],[Cash Flow]]/((1+ActualRateToUse)^(IF(ISNUMBER(SEARCH("Actual",$C$7)),Table157[[#This Row],[Running Total]]/365,Table157[[#This Row],[Period]]/12))),2)</f>
        <v>42002.36</v>
      </c>
      <c r="R79" s="2">
        <f>IF(MONTH(Table157[[#This Row],[Date]])=2,28,DAY(DATE(YEAR(Table157[[#This Row],[Date]]),MONTH(Table157[[#This Row],[Date]])+1,1)-1))</f>
        <v>30</v>
      </c>
      <c r="S79" s="2">
        <f ca="1">SUM(OFFSET(Table157[[#Headers],[Days in month]],1,0):Table157[[#This Row],[Days in month]])</f>
        <v>1917</v>
      </c>
      <c r="T79" s="37">
        <f>InterestRate*AmortizationMultiplier*IF(ISNUMBER(SEARCH("Actual",$C$7)),Table157[[#This Row],[Days in month]]/365,1/12)</f>
        <v>2.8749999999999995E-3</v>
      </c>
    </row>
    <row r="80" spans="2:20" x14ac:dyDescent="0.2">
      <c r="B80" s="1">
        <v>47787</v>
      </c>
      <c r="C80" s="2">
        <f t="shared" si="1"/>
        <v>64</v>
      </c>
      <c r="D80" s="3">
        <f t="shared" si="0"/>
        <v>4863962.8900000053</v>
      </c>
      <c r="E80" s="3">
        <f>ROUND(Table157[[#This Row],[Beginning Balance]]*Table157[[#This Row],[Monthly Interest Rate]],2)</f>
        <v>14450.02</v>
      </c>
      <c r="F80" s="3">
        <f t="shared" si="2"/>
        <v>192</v>
      </c>
      <c r="G80" s="23">
        <f>IFERROR(IF($C$13="No","N/A",IF(Table157[[#This Row],[Period]]=1,$C$6,PMT(InterestRate*AmortizationMultiplier/12,Table157[[#This Row],[Am Thru]],-Table157[[#This Row],[Beginning Balance]]))),0)</f>
        <v>33115.979315000302</v>
      </c>
      <c r="H80" s="3">
        <f>MAX(0,IF(C80=$C$4,D80,ROUND(IF($C$3="Fixed Principal",$C$6-Table157[[#This Row],[Interest]],IF($C$3="Interest Only",Table157[[#This Row],[Beginning Balance]]*ROUND(1-(1-IF($C$11="No",$E$8,1))^(1/12),6),MIN(IF($C$13="Yes",Table157[[#This Row],[Payment Amount (Reamortized)]],$C$6)-Table157[[#This Row],[Interest]],Table157[[#This Row],[Beginning Balance]]))),2)))</f>
        <v>18665.96</v>
      </c>
      <c r="I80" s="3">
        <f>_xlfn.SINGLE(IF($C$3="Line of Credit",0,ROUND(MAX(MIN(IF($C$10="No",$E$7,VLOOKUP(Table157[[#This Row],[Period]],Forecast!$H$2:$L$1048576,4,FALSE))*Table157[[#This Row],[Beginning Balance]],Table157[[#This Row],[Beginning Balance]]-Table157[[#This Row],[Principal]]),0),2)))</f>
        <v>13876.89</v>
      </c>
      <c r="J80" s="3">
        <f>ROUND(MIN(Table157[[#This Row],[Beginning Balance]]*IF($C$8="No",$E$3,VLOOKUP(Table157[[#This Row],[Period]],Forecast!$H$2:$L$1048576,2,FALSE)),Table157[[#This Row],[Beginning Balance]]-Table157[[#This Row],[Principal]]-Table157[[#This Row],[Prepayments]]),2)</f>
        <v>3322.09</v>
      </c>
      <c r="K80" s="3">
        <f>ROUND(Table157[[#This Row],[Defaulted Principal]]*IF($C$9="No",$E$4,VLOOKUP(Table157[[#This Row],[Period]],Forecast!$H$2:$L$1048576,3,FALSE)),2)</f>
        <v>288.01</v>
      </c>
      <c r="L80" s="2">
        <f>Table157[[#This Row],[Period]]+$E$9</f>
        <v>76</v>
      </c>
      <c r="M80" s="3">
        <f>Table157[[#This Row],[Defaulted Principal]]-Table157[[#This Row],[Estimated Loss]]</f>
        <v>3034.08</v>
      </c>
      <c r="N80" s="3">
        <f>IFERROR(VLOOKUP(Table157[[#This Row],[Period]],$L$16:$M$385,2,FALSE),0)</f>
        <v>3311.5099999999998</v>
      </c>
      <c r="O80" s="3">
        <f>Table157[[#This Row],[Beginning Balance]]-Table157[[#This Row],[Principal]]-Table157[[#This Row],[Prepayments]]-Table157[[#This Row],[Defaulted Principal]]</f>
        <v>4828097.9500000058</v>
      </c>
      <c r="P80" s="3">
        <f>Table157[[#This Row],[Principal]]+Table157[[#This Row],[Interest]]+Table157[[#This Row],[Prepayments]]+Table157[[#This Row],[RecoveredAmount]]</f>
        <v>50304.38</v>
      </c>
      <c r="Q80" s="3">
        <f ca="1">ROUND(Table157[[#This Row],[Cash Flow]]/((1+ActualRateToUse)^(IF(ISNUMBER(SEARCH("Actual",$C$7)),Table157[[#This Row],[Running Total]]/365,Table157[[#This Row],[Period]]/12))),2)</f>
        <v>41671.919999999998</v>
      </c>
      <c r="R80" s="2">
        <f>IF(MONTH(Table157[[#This Row],[Date]])=2,28,DAY(DATE(YEAR(Table157[[#This Row],[Date]]),MONTH(Table157[[#This Row],[Date]])+1,1)-1))</f>
        <v>31</v>
      </c>
      <c r="S80" s="2">
        <f ca="1">SUM(OFFSET(Table157[[#Headers],[Days in month]],1,0):Table157[[#This Row],[Days in month]])</f>
        <v>1948</v>
      </c>
      <c r="T80" s="37">
        <f>InterestRate*AmortizationMultiplier*IF(ISNUMBER(SEARCH("Actual",$C$7)),Table157[[#This Row],[Days in month]]/365,1/12)</f>
        <v>2.9708333333333331E-3</v>
      </c>
    </row>
    <row r="81" spans="2:20" x14ac:dyDescent="0.2">
      <c r="B81" s="1">
        <v>47817</v>
      </c>
      <c r="C81" s="2">
        <f t="shared" si="1"/>
        <v>65</v>
      </c>
      <c r="D81" s="3">
        <f t="shared" si="0"/>
        <v>4828097.9500000058</v>
      </c>
      <c r="E81" s="3">
        <f>ROUND(Table157[[#This Row],[Beginning Balance]]*Table157[[#This Row],[Monthly Interest Rate]],2)</f>
        <v>13880.78</v>
      </c>
      <c r="F81" s="3">
        <f t="shared" si="2"/>
        <v>191</v>
      </c>
      <c r="G81" s="23">
        <f>IFERROR(IF($C$13="No","N/A",IF(Table157[[#This Row],[Period]]=1,$C$6,PMT(InterestRate*AmortizationMultiplier/12,Table157[[#This Row],[Am Thru]],-Table157[[#This Row],[Beginning Balance]]))),0)</f>
        <v>33000.281944213188</v>
      </c>
      <c r="H81" s="3">
        <f>MAX(0,IF(C81=$C$4,D81,ROUND(IF($C$3="Fixed Principal",$C$6-Table157[[#This Row],[Interest]],IF($C$3="Interest Only",Table157[[#This Row],[Beginning Balance]]*ROUND(1-(1-IF($C$11="No",$E$8,1))^(1/12),6),MIN(IF($C$13="Yes",Table157[[#This Row],[Payment Amount (Reamortized)]],$C$6)-Table157[[#This Row],[Interest]],Table157[[#This Row],[Beginning Balance]]))),2)))</f>
        <v>19119.5</v>
      </c>
      <c r="I81" s="3">
        <f>_xlfn.SINGLE(IF($C$3="Line of Credit",0,ROUND(MAX(MIN(IF($C$10="No",$E$7,VLOOKUP(Table157[[#This Row],[Period]],Forecast!$H$2:$L$1048576,4,FALSE))*Table157[[#This Row],[Beginning Balance]],Table157[[#This Row],[Beginning Balance]]-Table157[[#This Row],[Principal]]),0),2)))</f>
        <v>13774.56</v>
      </c>
      <c r="J81" s="3">
        <f>ROUND(MIN(Table157[[#This Row],[Beginning Balance]]*IF($C$8="No",$E$3,VLOOKUP(Table157[[#This Row],[Period]],Forecast!$H$2:$L$1048576,2,FALSE)),Table157[[#This Row],[Beginning Balance]]-Table157[[#This Row],[Principal]]-Table157[[#This Row],[Prepayments]]),2)</f>
        <v>3297.59</v>
      </c>
      <c r="K81" s="3">
        <f>ROUND(Table157[[#This Row],[Defaulted Principal]]*IF($C$9="No",$E$4,VLOOKUP(Table157[[#This Row],[Period]],Forecast!$H$2:$L$1048576,3,FALSE)),2)</f>
        <v>285.88</v>
      </c>
      <c r="L81" s="2">
        <f>Table157[[#This Row],[Period]]+$E$9</f>
        <v>77</v>
      </c>
      <c r="M81" s="3">
        <f>Table157[[#This Row],[Defaulted Principal]]-Table157[[#This Row],[Estimated Loss]]</f>
        <v>3011.71</v>
      </c>
      <c r="N81" s="3">
        <f>IFERROR(VLOOKUP(Table157[[#This Row],[Period]],$L$16:$M$385,2,FALSE),0)</f>
        <v>3288.08</v>
      </c>
      <c r="O81" s="3">
        <f>Table157[[#This Row],[Beginning Balance]]-Table157[[#This Row],[Principal]]-Table157[[#This Row],[Prepayments]]-Table157[[#This Row],[Defaulted Principal]]</f>
        <v>4791906.3000000063</v>
      </c>
      <c r="P81" s="3">
        <f>Table157[[#This Row],[Principal]]+Table157[[#This Row],[Interest]]+Table157[[#This Row],[Prepayments]]+Table157[[#This Row],[RecoveredAmount]]</f>
        <v>50062.92</v>
      </c>
      <c r="Q81" s="3">
        <f ca="1">ROUND(Table157[[#This Row],[Cash Flow]]/((1+ActualRateToUse)^(IF(ISNUMBER(SEARCH("Actual",$C$7)),Table157[[#This Row],[Running Total]]/365,Table157[[#This Row],[Period]]/12))),2)</f>
        <v>41351.83</v>
      </c>
      <c r="R81" s="2">
        <f>IF(MONTH(Table157[[#This Row],[Date]])=2,28,DAY(DATE(YEAR(Table157[[#This Row],[Date]]),MONTH(Table157[[#This Row],[Date]])+1,1)-1))</f>
        <v>30</v>
      </c>
      <c r="S81" s="2">
        <f ca="1">SUM(OFFSET(Table157[[#Headers],[Days in month]],1,0):Table157[[#This Row],[Days in month]])</f>
        <v>1978</v>
      </c>
      <c r="T81" s="37">
        <f>InterestRate*AmortizationMultiplier*IF(ISNUMBER(SEARCH("Actual",$C$7)),Table157[[#This Row],[Days in month]]/365,1/12)</f>
        <v>2.8749999999999995E-3</v>
      </c>
    </row>
    <row r="82" spans="2:20" x14ac:dyDescent="0.2">
      <c r="B82" s="1">
        <v>47848</v>
      </c>
      <c r="C82" s="2">
        <f t="shared" si="1"/>
        <v>66</v>
      </c>
      <c r="D82" s="3">
        <f t="shared" ref="D82:D145" si="3">O81</f>
        <v>4791906.3000000063</v>
      </c>
      <c r="E82" s="3">
        <f>ROUND(Table157[[#This Row],[Beginning Balance]]*Table157[[#This Row],[Monthly Interest Rate]],2)</f>
        <v>14235.95</v>
      </c>
      <c r="F82" s="3">
        <f t="shared" si="2"/>
        <v>190</v>
      </c>
      <c r="G82" s="23">
        <f>IFERROR(IF($C$13="No","N/A",IF(Table157[[#This Row],[Period]]=1,$C$6,PMT(InterestRate*AmortizationMultiplier/12,Table157[[#This Row],[Am Thru]],-Table157[[#This Row],[Beginning Balance]]))),0)</f>
        <v>32881.81083905424</v>
      </c>
      <c r="H82" s="3">
        <f>MAX(0,IF(C82=$C$4,D82,ROUND(IF($C$3="Fixed Principal",$C$6-Table157[[#This Row],[Interest]],IF($C$3="Interest Only",Table157[[#This Row],[Beginning Balance]]*ROUND(1-(1-IF($C$11="No",$E$8,1))^(1/12),6),MIN(IF($C$13="Yes",Table157[[#This Row],[Payment Amount (Reamortized)]],$C$6)-Table157[[#This Row],[Interest]],Table157[[#This Row],[Beginning Balance]]))),2)))</f>
        <v>18645.86</v>
      </c>
      <c r="I82" s="3">
        <f>_xlfn.SINGLE(IF($C$3="Line of Credit",0,ROUND(MAX(MIN(IF($C$10="No",$E$7,VLOOKUP(Table157[[#This Row],[Period]],Forecast!$H$2:$L$1048576,4,FALSE))*Table157[[#This Row],[Beginning Balance]],Table157[[#This Row],[Beginning Balance]]-Table157[[#This Row],[Principal]]),0),2)))</f>
        <v>13671.31</v>
      </c>
      <c r="J82" s="3">
        <f>ROUND(MIN(Table157[[#This Row],[Beginning Balance]]*IF($C$8="No",$E$3,VLOOKUP(Table157[[#This Row],[Period]],Forecast!$H$2:$L$1048576,2,FALSE)),Table157[[#This Row],[Beginning Balance]]-Table157[[#This Row],[Principal]]-Table157[[#This Row],[Prepayments]]),2)</f>
        <v>3272.87</v>
      </c>
      <c r="K82" s="3">
        <f>ROUND(Table157[[#This Row],[Defaulted Principal]]*IF($C$9="No",$E$4,VLOOKUP(Table157[[#This Row],[Period]],Forecast!$H$2:$L$1048576,3,FALSE)),2)</f>
        <v>283.74</v>
      </c>
      <c r="L82" s="2">
        <f>Table157[[#This Row],[Period]]+$E$9</f>
        <v>78</v>
      </c>
      <c r="M82" s="3">
        <f>Table157[[#This Row],[Defaulted Principal]]-Table157[[#This Row],[Estimated Loss]]</f>
        <v>2989.13</v>
      </c>
      <c r="N82" s="3">
        <f>IFERROR(VLOOKUP(Table157[[#This Row],[Period]],$L$16:$M$385,2,FALSE),0)</f>
        <v>3264.42</v>
      </c>
      <c r="O82" s="3">
        <f>Table157[[#This Row],[Beginning Balance]]-Table157[[#This Row],[Principal]]-Table157[[#This Row],[Prepayments]]-Table157[[#This Row],[Defaulted Principal]]</f>
        <v>4756316.2600000063</v>
      </c>
      <c r="P82" s="3">
        <f>Table157[[#This Row],[Principal]]+Table157[[#This Row],[Interest]]+Table157[[#This Row],[Prepayments]]+Table157[[#This Row],[RecoveredAmount]]</f>
        <v>49817.539999999994</v>
      </c>
      <c r="Q82" s="3">
        <f ca="1">ROUND(Table157[[#This Row],[Cash Flow]]/((1+ActualRateToUse)^(IF(ISNUMBER(SEARCH("Actual",$C$7)),Table157[[#This Row],[Running Total]]/365,Table157[[#This Row],[Period]]/12))),2)</f>
        <v>41026.050000000003</v>
      </c>
      <c r="R82" s="2">
        <f>IF(MONTH(Table157[[#This Row],[Date]])=2,28,DAY(DATE(YEAR(Table157[[#This Row],[Date]]),MONTH(Table157[[#This Row],[Date]])+1,1)-1))</f>
        <v>31</v>
      </c>
      <c r="S82" s="2">
        <f ca="1">SUM(OFFSET(Table157[[#Headers],[Days in month]],1,0):Table157[[#This Row],[Days in month]])</f>
        <v>2009</v>
      </c>
      <c r="T82" s="37">
        <f>InterestRate*AmortizationMultiplier*IF(ISNUMBER(SEARCH("Actual",$C$7)),Table157[[#This Row],[Days in month]]/365,1/12)</f>
        <v>2.9708333333333331E-3</v>
      </c>
    </row>
    <row r="83" spans="2:20" x14ac:dyDescent="0.2">
      <c r="B83" s="1">
        <v>47879</v>
      </c>
      <c r="C83" s="2">
        <f t="shared" ref="C83:C146" si="4">C82+1</f>
        <v>67</v>
      </c>
      <c r="D83" s="3">
        <f t="shared" si="3"/>
        <v>4756316.2600000063</v>
      </c>
      <c r="E83" s="3">
        <f>ROUND(Table157[[#This Row],[Beginning Balance]]*Table157[[#This Row],[Monthly Interest Rate]],2)</f>
        <v>14130.22</v>
      </c>
      <c r="F83" s="3">
        <f t="shared" ref="F83:F146" si="5">+F82-1</f>
        <v>189</v>
      </c>
      <c r="G83" s="23">
        <f>IFERROR(IF($C$13="No","N/A",IF(Table157[[#This Row],[Period]]=1,$C$6,PMT(InterestRate*AmortizationMultiplier/12,Table157[[#This Row],[Am Thru]],-Table157[[#This Row],[Beginning Balance]]))),0)</f>
        <v>32766.925462253097</v>
      </c>
      <c r="H83" s="3">
        <f>MAX(0,IF(C83=$C$4,D83,ROUND(IF($C$3="Fixed Principal",$C$6-Table157[[#This Row],[Interest]],IF($C$3="Interest Only",Table157[[#This Row],[Beginning Balance]]*ROUND(1-(1-IF($C$11="No",$E$8,1))^(1/12),6),MIN(IF($C$13="Yes",Table157[[#This Row],[Payment Amount (Reamortized)]],$C$6)-Table157[[#This Row],[Interest]],Table157[[#This Row],[Beginning Balance]]))),2)))</f>
        <v>18636.71</v>
      </c>
      <c r="I83" s="3">
        <f>_xlfn.SINGLE(IF($C$3="Line of Credit",0,ROUND(MAX(MIN(IF($C$10="No",$E$7,VLOOKUP(Table157[[#This Row],[Period]],Forecast!$H$2:$L$1048576,4,FALSE))*Table157[[#This Row],[Beginning Balance]],Table157[[#This Row],[Beginning Balance]]-Table157[[#This Row],[Principal]]),0),2)))</f>
        <v>13569.77</v>
      </c>
      <c r="J83" s="3">
        <f>ROUND(MIN(Table157[[#This Row],[Beginning Balance]]*IF($C$8="No",$E$3,VLOOKUP(Table157[[#This Row],[Period]],Forecast!$H$2:$L$1048576,2,FALSE)),Table157[[#This Row],[Beginning Balance]]-Table157[[#This Row],[Principal]]-Table157[[#This Row],[Prepayments]]),2)</f>
        <v>3248.56</v>
      </c>
      <c r="K83" s="3">
        <f>ROUND(Table157[[#This Row],[Defaulted Principal]]*IF($C$9="No",$E$4,VLOOKUP(Table157[[#This Row],[Period]],Forecast!$H$2:$L$1048576,3,FALSE)),2)</f>
        <v>281.63</v>
      </c>
      <c r="L83" s="2">
        <f>Table157[[#This Row],[Period]]+$E$9</f>
        <v>79</v>
      </c>
      <c r="M83" s="3">
        <f>Table157[[#This Row],[Defaulted Principal]]-Table157[[#This Row],[Estimated Loss]]</f>
        <v>2966.93</v>
      </c>
      <c r="N83" s="3">
        <f>IFERROR(VLOOKUP(Table157[[#This Row],[Period]],$L$16:$M$385,2,FALSE),0)</f>
        <v>3241.1800000000003</v>
      </c>
      <c r="O83" s="3">
        <f>Table157[[#This Row],[Beginning Balance]]-Table157[[#This Row],[Principal]]-Table157[[#This Row],[Prepayments]]-Table157[[#This Row],[Defaulted Principal]]</f>
        <v>4720861.2200000072</v>
      </c>
      <c r="P83" s="3">
        <f>Table157[[#This Row],[Principal]]+Table157[[#This Row],[Interest]]+Table157[[#This Row],[Prepayments]]+Table157[[#This Row],[RecoveredAmount]]</f>
        <v>49577.88</v>
      </c>
      <c r="Q83" s="3">
        <f ca="1">ROUND(Table157[[#This Row],[Cash Flow]]/((1+ActualRateToUse)^(IF(ISNUMBER(SEARCH("Actual",$C$7)),Table157[[#This Row],[Running Total]]/365,Table157[[#This Row],[Period]]/12))),2)</f>
        <v>40706.54</v>
      </c>
      <c r="R83" s="2">
        <f>IF(MONTH(Table157[[#This Row],[Date]])=2,28,DAY(DATE(YEAR(Table157[[#This Row],[Date]]),MONTH(Table157[[#This Row],[Date]])+1,1)-1))</f>
        <v>31</v>
      </c>
      <c r="S83" s="2">
        <f ca="1">SUM(OFFSET(Table157[[#Headers],[Days in month]],1,0):Table157[[#This Row],[Days in month]])</f>
        <v>2040</v>
      </c>
      <c r="T83" s="37">
        <f>InterestRate*AmortizationMultiplier*IF(ISNUMBER(SEARCH("Actual",$C$7)),Table157[[#This Row],[Days in month]]/365,1/12)</f>
        <v>2.9708333333333331E-3</v>
      </c>
    </row>
    <row r="84" spans="2:20" x14ac:dyDescent="0.2">
      <c r="B84" s="1">
        <v>47907</v>
      </c>
      <c r="C84" s="2">
        <f t="shared" si="4"/>
        <v>68</v>
      </c>
      <c r="D84" s="3">
        <f t="shared" si="3"/>
        <v>4720861.2200000072</v>
      </c>
      <c r="E84" s="3">
        <f>ROUND(Table157[[#This Row],[Beginning Balance]]*Table157[[#This Row],[Monthly Interest Rate]],2)</f>
        <v>12667.64</v>
      </c>
      <c r="F84" s="3">
        <f t="shared" si="5"/>
        <v>188</v>
      </c>
      <c r="G84" s="23">
        <f>IFERROR(IF($C$13="No","N/A",IF(Table157[[#This Row],[Period]]=1,$C$6,PMT(InterestRate*AmortizationMultiplier/12,Table157[[#This Row],[Am Thru]],-Table157[[#This Row],[Beginning Balance]]))),0)</f>
        <v>32652.438358745505</v>
      </c>
      <c r="H84" s="3">
        <f>MAX(0,IF(C84=$C$4,D84,ROUND(IF($C$3="Fixed Principal",$C$6-Table157[[#This Row],[Interest]],IF($C$3="Interest Only",Table157[[#This Row],[Beginning Balance]]*ROUND(1-(1-IF($C$11="No",$E$8,1))^(1/12),6),MIN(IF($C$13="Yes",Table157[[#This Row],[Payment Amount (Reamortized)]],$C$6)-Table157[[#This Row],[Interest]],Table157[[#This Row],[Beginning Balance]]))),2)))</f>
        <v>19984.8</v>
      </c>
      <c r="I84" s="3">
        <f>_xlfn.SINGLE(IF($C$3="Line of Credit",0,ROUND(MAX(MIN(IF($C$10="No",$E$7,VLOOKUP(Table157[[#This Row],[Period]],Forecast!$H$2:$L$1048576,4,FALSE))*Table157[[#This Row],[Beginning Balance]],Table157[[#This Row],[Beginning Balance]]-Table157[[#This Row],[Principal]]),0),2)))</f>
        <v>13468.62</v>
      </c>
      <c r="J84" s="3">
        <f>ROUND(MIN(Table157[[#This Row],[Beginning Balance]]*IF($C$8="No",$E$3,VLOOKUP(Table157[[#This Row],[Period]],Forecast!$H$2:$L$1048576,2,FALSE)),Table157[[#This Row],[Beginning Balance]]-Table157[[#This Row],[Principal]]-Table157[[#This Row],[Prepayments]]),2)</f>
        <v>3224.35</v>
      </c>
      <c r="K84" s="3">
        <f>ROUND(Table157[[#This Row],[Defaulted Principal]]*IF($C$9="No",$E$4,VLOOKUP(Table157[[#This Row],[Period]],Forecast!$H$2:$L$1048576,3,FALSE)),2)</f>
        <v>279.52999999999997</v>
      </c>
      <c r="L84" s="2">
        <f>Table157[[#This Row],[Period]]+$E$9</f>
        <v>80</v>
      </c>
      <c r="M84" s="3">
        <f>Table157[[#This Row],[Defaulted Principal]]-Table157[[#This Row],[Estimated Loss]]</f>
        <v>2944.8199999999997</v>
      </c>
      <c r="N84" s="3">
        <f>IFERROR(VLOOKUP(Table157[[#This Row],[Period]],$L$16:$M$385,2,FALSE),0)</f>
        <v>3218.02</v>
      </c>
      <c r="O84" s="3">
        <f>Table157[[#This Row],[Beginning Balance]]-Table157[[#This Row],[Principal]]-Table157[[#This Row],[Prepayments]]-Table157[[#This Row],[Defaulted Principal]]</f>
        <v>4684183.4500000076</v>
      </c>
      <c r="P84" s="3">
        <f>Table157[[#This Row],[Principal]]+Table157[[#This Row],[Interest]]+Table157[[#This Row],[Prepayments]]+Table157[[#This Row],[RecoveredAmount]]</f>
        <v>49339.079999999994</v>
      </c>
      <c r="Q84" s="3">
        <f ca="1">ROUND(Table157[[#This Row],[Cash Flow]]/((1+ActualRateToUse)^(IF(ISNUMBER(SEARCH("Actual",$C$7)),Table157[[#This Row],[Running Total]]/365,Table157[[#This Row],[Period]]/12))),2)</f>
        <v>40401</v>
      </c>
      <c r="R84" s="2">
        <f>IF(MONTH(Table157[[#This Row],[Date]])=2,28,DAY(DATE(YEAR(Table157[[#This Row],[Date]]),MONTH(Table157[[#This Row],[Date]])+1,1)-1))</f>
        <v>28</v>
      </c>
      <c r="S84" s="2">
        <f ca="1">SUM(OFFSET(Table157[[#Headers],[Days in month]],1,0):Table157[[#This Row],[Days in month]])</f>
        <v>2068</v>
      </c>
      <c r="T84" s="37">
        <f>InterestRate*AmortizationMultiplier*IF(ISNUMBER(SEARCH("Actual",$C$7)),Table157[[#This Row],[Days in month]]/365,1/12)</f>
        <v>2.6833333333333336E-3</v>
      </c>
    </row>
    <row r="85" spans="2:20" x14ac:dyDescent="0.2">
      <c r="B85" s="1">
        <v>47938</v>
      </c>
      <c r="C85" s="2">
        <f t="shared" si="4"/>
        <v>69</v>
      </c>
      <c r="D85" s="3">
        <f t="shared" si="3"/>
        <v>4684183.4500000076</v>
      </c>
      <c r="E85" s="3">
        <f>ROUND(Table157[[#This Row],[Beginning Balance]]*Table157[[#This Row],[Monthly Interest Rate]],2)</f>
        <v>13915.93</v>
      </c>
      <c r="F85" s="3">
        <f t="shared" si="5"/>
        <v>187</v>
      </c>
      <c r="G85" s="23">
        <f>IFERROR(IF($C$13="No","N/A",IF(Table157[[#This Row],[Period]]=1,$C$6,PMT(InterestRate*AmortizationMultiplier/12,Table157[[#This Row],[Am Thru]],-Table157[[#This Row],[Beginning Balance]]))),0)</f>
        <v>32528.922777165764</v>
      </c>
      <c r="H85" s="3">
        <f>MAX(0,IF(C85=$C$4,D85,ROUND(IF($C$3="Fixed Principal",$C$6-Table157[[#This Row],[Interest]],IF($C$3="Interest Only",Table157[[#This Row],[Beginning Balance]]*ROUND(1-(1-IF($C$11="No",$E$8,1))^(1/12),6),MIN(IF($C$13="Yes",Table157[[#This Row],[Payment Amount (Reamortized)]],$C$6)-Table157[[#This Row],[Interest]],Table157[[#This Row],[Beginning Balance]]))),2)))</f>
        <v>18612.990000000002</v>
      </c>
      <c r="I85" s="3">
        <f>_xlfn.SINGLE(IF($C$3="Line of Credit",0,ROUND(MAX(MIN(IF($C$10="No",$E$7,VLOOKUP(Table157[[#This Row],[Period]],Forecast!$H$2:$L$1048576,4,FALSE))*Table157[[#This Row],[Beginning Balance]],Table157[[#This Row],[Beginning Balance]]-Table157[[#This Row],[Principal]]),0),2)))</f>
        <v>13363.98</v>
      </c>
      <c r="J85" s="3">
        <f>ROUND(MIN(Table157[[#This Row],[Beginning Balance]]*IF($C$8="No",$E$3,VLOOKUP(Table157[[#This Row],[Period]],Forecast!$H$2:$L$1048576,2,FALSE)),Table157[[#This Row],[Beginning Balance]]-Table157[[#This Row],[Principal]]-Table157[[#This Row],[Prepayments]]),2)</f>
        <v>3199.3</v>
      </c>
      <c r="K85" s="3">
        <f>ROUND(Table157[[#This Row],[Defaulted Principal]]*IF($C$9="No",$E$4,VLOOKUP(Table157[[#This Row],[Period]],Forecast!$H$2:$L$1048576,3,FALSE)),2)</f>
        <v>277.36</v>
      </c>
      <c r="L85" s="2">
        <f>Table157[[#This Row],[Period]]+$E$9</f>
        <v>81</v>
      </c>
      <c r="M85" s="3">
        <f>Table157[[#This Row],[Defaulted Principal]]-Table157[[#This Row],[Estimated Loss]]</f>
        <v>2921.94</v>
      </c>
      <c r="N85" s="3">
        <f>IFERROR(VLOOKUP(Table157[[#This Row],[Period]],$L$16:$M$385,2,FALSE),0)</f>
        <v>3194.0099999999998</v>
      </c>
      <c r="O85" s="3">
        <f>Table157[[#This Row],[Beginning Balance]]-Table157[[#This Row],[Principal]]-Table157[[#This Row],[Prepayments]]-Table157[[#This Row],[Defaulted Principal]]</f>
        <v>4649007.1800000072</v>
      </c>
      <c r="P85" s="3">
        <f>Table157[[#This Row],[Principal]]+Table157[[#This Row],[Interest]]+Table157[[#This Row],[Prepayments]]+Table157[[#This Row],[RecoveredAmount]]</f>
        <v>49086.91</v>
      </c>
      <c r="Q85" s="3">
        <f ca="1">ROUND(Table157[[#This Row],[Cash Flow]]/((1+ActualRateToUse)^(IF(ISNUMBER(SEARCH("Actual",$C$7)),Table157[[#This Row],[Running Total]]/365,Table157[[#This Row],[Period]]/12))),2)</f>
        <v>40074.269999999997</v>
      </c>
      <c r="R85" s="2">
        <f>IF(MONTH(Table157[[#This Row],[Date]])=2,28,DAY(DATE(YEAR(Table157[[#This Row],[Date]]),MONTH(Table157[[#This Row],[Date]])+1,1)-1))</f>
        <v>31</v>
      </c>
      <c r="S85" s="2">
        <f ca="1">SUM(OFFSET(Table157[[#Headers],[Days in month]],1,0):Table157[[#This Row],[Days in month]])</f>
        <v>2099</v>
      </c>
      <c r="T85" s="37">
        <f>InterestRate*AmortizationMultiplier*IF(ISNUMBER(SEARCH("Actual",$C$7)),Table157[[#This Row],[Days in month]]/365,1/12)</f>
        <v>2.9708333333333331E-3</v>
      </c>
    </row>
    <row r="86" spans="2:20" x14ac:dyDescent="0.2">
      <c r="B86" s="1">
        <v>47968</v>
      </c>
      <c r="C86" s="2">
        <f t="shared" si="4"/>
        <v>70</v>
      </c>
      <c r="D86" s="3">
        <f t="shared" si="3"/>
        <v>4649007.1800000072</v>
      </c>
      <c r="E86" s="3">
        <f>ROUND(Table157[[#This Row],[Beginning Balance]]*Table157[[#This Row],[Monthly Interest Rate]],2)</f>
        <v>13365.9</v>
      </c>
      <c r="F86" s="3">
        <f t="shared" si="5"/>
        <v>186</v>
      </c>
      <c r="G86" s="23">
        <f>IFERROR(IF($C$13="No","N/A",IF(Table157[[#This Row],[Period]]=1,$C$6,PMT(InterestRate*AmortizationMultiplier/12,Table157[[#This Row],[Am Thru]],-Table157[[#This Row],[Beginning Balance]]))),0)</f>
        <v>32415.260944588736</v>
      </c>
      <c r="H86" s="3">
        <f>MAX(0,IF(C86=$C$4,D86,ROUND(IF($C$3="Fixed Principal",$C$6-Table157[[#This Row],[Interest]],IF($C$3="Interest Only",Table157[[#This Row],[Beginning Balance]]*ROUND(1-(1-IF($C$11="No",$E$8,1))^(1/12),6),MIN(IF($C$13="Yes",Table157[[#This Row],[Payment Amount (Reamortized)]],$C$6)-Table157[[#This Row],[Interest]],Table157[[#This Row],[Beginning Balance]]))),2)))</f>
        <v>19049.36</v>
      </c>
      <c r="I86" s="3">
        <f>_xlfn.SINGLE(IF($C$3="Line of Credit",0,ROUND(MAX(MIN(IF($C$10="No",$E$7,VLOOKUP(Table157[[#This Row],[Period]],Forecast!$H$2:$L$1048576,4,FALSE))*Table157[[#This Row],[Beginning Balance]],Table157[[#This Row],[Beginning Balance]]-Table157[[#This Row],[Principal]]),0),2)))</f>
        <v>13263.62</v>
      </c>
      <c r="J86" s="3">
        <f>ROUND(MIN(Table157[[#This Row],[Beginning Balance]]*IF($C$8="No",$E$3,VLOOKUP(Table157[[#This Row],[Period]],Forecast!$H$2:$L$1048576,2,FALSE)),Table157[[#This Row],[Beginning Balance]]-Table157[[#This Row],[Principal]]-Table157[[#This Row],[Prepayments]]),2)</f>
        <v>3175.27</v>
      </c>
      <c r="K86" s="3">
        <f>ROUND(Table157[[#This Row],[Defaulted Principal]]*IF($C$9="No",$E$4,VLOOKUP(Table157[[#This Row],[Period]],Forecast!$H$2:$L$1048576,3,FALSE)),2)</f>
        <v>275.27999999999997</v>
      </c>
      <c r="L86" s="2">
        <f>Table157[[#This Row],[Period]]+$E$9</f>
        <v>82</v>
      </c>
      <c r="M86" s="3">
        <f>Table157[[#This Row],[Defaulted Principal]]-Table157[[#This Row],[Estimated Loss]]</f>
        <v>2899.99</v>
      </c>
      <c r="N86" s="3">
        <f>IFERROR(VLOOKUP(Table157[[#This Row],[Period]],$L$16:$M$385,2,FALSE),0)</f>
        <v>3171.0299999999997</v>
      </c>
      <c r="O86" s="3">
        <f>Table157[[#This Row],[Beginning Balance]]-Table157[[#This Row],[Principal]]-Table157[[#This Row],[Prepayments]]-Table157[[#This Row],[Defaulted Principal]]</f>
        <v>4613518.9300000072</v>
      </c>
      <c r="P86" s="3">
        <f>Table157[[#This Row],[Principal]]+Table157[[#This Row],[Interest]]+Table157[[#This Row],[Prepayments]]+Table157[[#This Row],[RecoveredAmount]]</f>
        <v>48849.91</v>
      </c>
      <c r="Q86" s="3">
        <f ca="1">ROUND(Table157[[#This Row],[Cash Flow]]/((1+ActualRateToUse)^(IF(ISNUMBER(SEARCH("Actual",$C$7)),Table157[[#This Row],[Running Total]]/365,Table157[[#This Row],[Period]]/12))),2)</f>
        <v>39765.32</v>
      </c>
      <c r="R86" s="2">
        <f>IF(MONTH(Table157[[#This Row],[Date]])=2,28,DAY(DATE(YEAR(Table157[[#This Row],[Date]]),MONTH(Table157[[#This Row],[Date]])+1,1)-1))</f>
        <v>30</v>
      </c>
      <c r="S86" s="2">
        <f ca="1">SUM(OFFSET(Table157[[#Headers],[Days in month]],1,0):Table157[[#This Row],[Days in month]])</f>
        <v>2129</v>
      </c>
      <c r="T86" s="37">
        <f>InterestRate*AmortizationMultiplier*IF(ISNUMBER(SEARCH("Actual",$C$7)),Table157[[#This Row],[Days in month]]/365,1/12)</f>
        <v>2.8749999999999995E-3</v>
      </c>
    </row>
    <row r="87" spans="2:20" x14ac:dyDescent="0.2">
      <c r="B87" s="1">
        <v>47999</v>
      </c>
      <c r="C87" s="2">
        <f t="shared" si="4"/>
        <v>71</v>
      </c>
      <c r="D87" s="3">
        <f t="shared" si="3"/>
        <v>4613518.9300000072</v>
      </c>
      <c r="E87" s="3">
        <f>ROUND(Table157[[#This Row],[Beginning Balance]]*Table157[[#This Row],[Monthly Interest Rate]],2)</f>
        <v>13706</v>
      </c>
      <c r="F87" s="3">
        <f t="shared" si="5"/>
        <v>185</v>
      </c>
      <c r="G87" s="23">
        <f>IFERROR(IF($C$13="No","N/A",IF(Table157[[#This Row],[Period]]=1,$C$6,PMT(InterestRate*AmortizationMultiplier/12,Table157[[#This Row],[Am Thru]],-Table157[[#This Row],[Beginning Balance]]))),0)</f>
        <v>32298.874005667039</v>
      </c>
      <c r="H87" s="3">
        <f>MAX(0,IF(C87=$C$4,D87,ROUND(IF($C$3="Fixed Principal",$C$6-Table157[[#This Row],[Interest]],IF($C$3="Interest Only",Table157[[#This Row],[Beginning Balance]]*ROUND(1-(1-IF($C$11="No",$E$8,1))^(1/12),6),MIN(IF($C$13="Yes",Table157[[#This Row],[Payment Amount (Reamortized)]],$C$6)-Table157[[#This Row],[Interest]],Table157[[#This Row],[Beginning Balance]]))),2)))</f>
        <v>18592.87</v>
      </c>
      <c r="I87" s="3">
        <f>_xlfn.SINGLE(IF($C$3="Line of Credit",0,ROUND(MAX(MIN(IF($C$10="No",$E$7,VLOOKUP(Table157[[#This Row],[Period]],Forecast!$H$2:$L$1048576,4,FALSE))*Table157[[#This Row],[Beginning Balance]],Table157[[#This Row],[Beginning Balance]]-Table157[[#This Row],[Principal]]),0),2)))</f>
        <v>13162.37</v>
      </c>
      <c r="J87" s="3">
        <f>ROUND(MIN(Table157[[#This Row],[Beginning Balance]]*IF($C$8="No",$E$3,VLOOKUP(Table157[[#This Row],[Period]],Forecast!$H$2:$L$1048576,2,FALSE)),Table157[[#This Row],[Beginning Balance]]-Table157[[#This Row],[Principal]]-Table157[[#This Row],[Prepayments]]),2)</f>
        <v>3151.03</v>
      </c>
      <c r="K87" s="3">
        <f>ROUND(Table157[[#This Row],[Defaulted Principal]]*IF($C$9="No",$E$4,VLOOKUP(Table157[[#This Row],[Period]],Forecast!$H$2:$L$1048576,3,FALSE)),2)</f>
        <v>273.18</v>
      </c>
      <c r="L87" s="2">
        <f>Table157[[#This Row],[Period]]+$E$9</f>
        <v>83</v>
      </c>
      <c r="M87" s="3">
        <f>Table157[[#This Row],[Defaulted Principal]]-Table157[[#This Row],[Estimated Loss]]</f>
        <v>2877.8500000000004</v>
      </c>
      <c r="N87" s="3">
        <f>IFERROR(VLOOKUP(Table157[[#This Row],[Period]],$L$16:$M$385,2,FALSE),0)</f>
        <v>3147.8399999999997</v>
      </c>
      <c r="O87" s="3">
        <f>Table157[[#This Row],[Beginning Balance]]-Table157[[#This Row],[Principal]]-Table157[[#This Row],[Prepayments]]-Table157[[#This Row],[Defaulted Principal]]</f>
        <v>4578612.6600000067</v>
      </c>
      <c r="P87" s="3">
        <f>Table157[[#This Row],[Principal]]+Table157[[#This Row],[Interest]]+Table157[[#This Row],[Prepayments]]+Table157[[#This Row],[RecoveredAmount]]</f>
        <v>48609.079999999994</v>
      </c>
      <c r="Q87" s="3">
        <f ca="1">ROUND(Table157[[#This Row],[Cash Flow]]/((1+ActualRateToUse)^(IF(ISNUMBER(SEARCH("Actual",$C$7)),Table157[[#This Row],[Running Total]]/365,Table157[[#This Row],[Period]]/12))),2)</f>
        <v>39450.910000000003</v>
      </c>
      <c r="R87" s="2">
        <f>IF(MONTH(Table157[[#This Row],[Date]])=2,28,DAY(DATE(YEAR(Table157[[#This Row],[Date]]),MONTH(Table157[[#This Row],[Date]])+1,1)-1))</f>
        <v>31</v>
      </c>
      <c r="S87" s="2">
        <f ca="1">SUM(OFFSET(Table157[[#Headers],[Days in month]],1,0):Table157[[#This Row],[Days in month]])</f>
        <v>2160</v>
      </c>
      <c r="T87" s="37">
        <f>InterestRate*AmortizationMultiplier*IF(ISNUMBER(SEARCH("Actual",$C$7)),Table157[[#This Row],[Days in month]]/365,1/12)</f>
        <v>2.9708333333333331E-3</v>
      </c>
    </row>
    <row r="88" spans="2:20" x14ac:dyDescent="0.2">
      <c r="B88" s="1">
        <v>48029</v>
      </c>
      <c r="C88" s="2">
        <f t="shared" si="4"/>
        <v>72</v>
      </c>
      <c r="D88" s="3">
        <f t="shared" si="3"/>
        <v>4578612.6600000067</v>
      </c>
      <c r="E88" s="3">
        <f>ROUND(Table157[[#This Row],[Beginning Balance]]*Table157[[#This Row],[Monthly Interest Rate]],2)</f>
        <v>13163.51</v>
      </c>
      <c r="F88" s="3">
        <f t="shared" si="5"/>
        <v>184</v>
      </c>
      <c r="G88" s="23">
        <f>IFERROR(IF($C$13="No","N/A",IF(Table157[[#This Row],[Period]]=1,$C$6,PMT(InterestRate*AmortizationMultiplier/12,Table157[[#This Row],[Am Thru]],-Table157[[#This Row],[Beginning Balance]]))),0)</f>
        <v>32186.009699524209</v>
      </c>
      <c r="H88" s="3">
        <f>MAX(0,IF(C88=$C$4,D88,ROUND(IF($C$3="Fixed Principal",$C$6-Table157[[#This Row],[Interest]],IF($C$3="Interest Only",Table157[[#This Row],[Beginning Balance]]*ROUND(1-(1-IF($C$11="No",$E$8,1))^(1/12),6),MIN(IF($C$13="Yes",Table157[[#This Row],[Payment Amount (Reamortized)]],$C$6)-Table157[[#This Row],[Interest]],Table157[[#This Row],[Beginning Balance]]))),2)))</f>
        <v>19022.5</v>
      </c>
      <c r="I88" s="3">
        <f>_xlfn.SINGLE(IF($C$3="Line of Credit",0,ROUND(MAX(MIN(IF($C$10="No",$E$7,VLOOKUP(Table157[[#This Row],[Period]],Forecast!$H$2:$L$1048576,4,FALSE))*Table157[[#This Row],[Beginning Balance]],Table157[[#This Row],[Beginning Balance]]-Table157[[#This Row],[Principal]]),0),2)))</f>
        <v>13062.78</v>
      </c>
      <c r="J88" s="3">
        <f>ROUND(MIN(Table157[[#This Row],[Beginning Balance]]*IF($C$8="No",$E$3,VLOOKUP(Table157[[#This Row],[Period]],Forecast!$H$2:$L$1048576,2,FALSE)),Table157[[#This Row],[Beginning Balance]]-Table157[[#This Row],[Principal]]-Table157[[#This Row],[Prepayments]]),2)</f>
        <v>3127.19</v>
      </c>
      <c r="K88" s="3">
        <f>ROUND(Table157[[#This Row],[Defaulted Principal]]*IF($C$9="No",$E$4,VLOOKUP(Table157[[#This Row],[Period]],Forecast!$H$2:$L$1048576,3,FALSE)),2)</f>
        <v>271.11</v>
      </c>
      <c r="L88" s="2">
        <f>Table157[[#This Row],[Period]]+$E$9</f>
        <v>84</v>
      </c>
      <c r="M88" s="3">
        <f>Table157[[#This Row],[Defaulted Principal]]-Table157[[#This Row],[Estimated Loss]]</f>
        <v>2856.08</v>
      </c>
      <c r="N88" s="3">
        <f>IFERROR(VLOOKUP(Table157[[#This Row],[Period]],$L$16:$M$385,2,FALSE),0)</f>
        <v>3125.03</v>
      </c>
      <c r="O88" s="3">
        <f>Table157[[#This Row],[Beginning Balance]]-Table157[[#This Row],[Principal]]-Table157[[#This Row],[Prepayments]]-Table157[[#This Row],[Defaulted Principal]]</f>
        <v>4543400.190000006</v>
      </c>
      <c r="P88" s="3">
        <f>Table157[[#This Row],[Principal]]+Table157[[#This Row],[Interest]]+Table157[[#This Row],[Prepayments]]+Table157[[#This Row],[RecoveredAmount]]</f>
        <v>48373.82</v>
      </c>
      <c r="Q88" s="3">
        <f ca="1">ROUND(Table157[[#This Row],[Cash Flow]]/((1+ActualRateToUse)^(IF(ISNUMBER(SEARCH("Actual",$C$7)),Table157[[#This Row],[Running Total]]/365,Table157[[#This Row],[Period]]/12))),2)</f>
        <v>39146.31</v>
      </c>
      <c r="R88" s="2">
        <f>IF(MONTH(Table157[[#This Row],[Date]])=2,28,DAY(DATE(YEAR(Table157[[#This Row],[Date]]),MONTH(Table157[[#This Row],[Date]])+1,1)-1))</f>
        <v>30</v>
      </c>
      <c r="S88" s="2">
        <f ca="1">SUM(OFFSET(Table157[[#Headers],[Days in month]],1,0):Table157[[#This Row],[Days in month]])</f>
        <v>2190</v>
      </c>
      <c r="T88" s="37">
        <f>InterestRate*AmortizationMultiplier*IF(ISNUMBER(SEARCH("Actual",$C$7)),Table157[[#This Row],[Days in month]]/365,1/12)</f>
        <v>2.8749999999999995E-3</v>
      </c>
    </row>
    <row r="89" spans="2:20" x14ac:dyDescent="0.2">
      <c r="B89" s="1">
        <v>48060</v>
      </c>
      <c r="C89" s="2">
        <f t="shared" si="4"/>
        <v>73</v>
      </c>
      <c r="D89" s="3">
        <f t="shared" si="3"/>
        <v>4543400.190000006</v>
      </c>
      <c r="E89" s="3">
        <f>ROUND(Table157[[#This Row],[Beginning Balance]]*Table157[[#This Row],[Monthly Interest Rate]],2)</f>
        <v>13497.68</v>
      </c>
      <c r="F89" s="3">
        <f t="shared" si="5"/>
        <v>183</v>
      </c>
      <c r="G89" s="23">
        <f>IFERROR(IF($C$13="No","N/A",IF(Table157[[#This Row],[Period]]=1,$C$6,PMT(InterestRate*AmortizationMultiplier/12,Table157[[#This Row],[Am Thru]],-Table157[[#This Row],[Beginning Balance]]))),0)</f>
        <v>32070.439243607718</v>
      </c>
      <c r="H89" s="3">
        <f>MAX(0,IF(C89=$C$4,D89,ROUND(IF($C$3="Fixed Principal",$C$6-Table157[[#This Row],[Interest]],IF($C$3="Interest Only",Table157[[#This Row],[Beginning Balance]]*ROUND(1-(1-IF($C$11="No",$E$8,1))^(1/12),6),MIN(IF($C$13="Yes",Table157[[#This Row],[Payment Amount (Reamortized)]],$C$6)-Table157[[#This Row],[Interest]],Table157[[#This Row],[Beginning Balance]]))),2)))</f>
        <v>18572.759999999998</v>
      </c>
      <c r="I89" s="3">
        <f>_xlfn.SINGLE(IF($C$3="Line of Credit",0,ROUND(MAX(MIN(IF($C$10="No",$E$7,VLOOKUP(Table157[[#This Row],[Period]],Forecast!$H$2:$L$1048576,4,FALSE))*Table157[[#This Row],[Beginning Balance]],Table157[[#This Row],[Beginning Balance]]-Table157[[#This Row],[Principal]]),0),2)))</f>
        <v>12962.32</v>
      </c>
      <c r="J89" s="3">
        <f>ROUND(MIN(Table157[[#This Row],[Beginning Balance]]*IF($C$8="No",$E$3,VLOOKUP(Table157[[#This Row],[Period]],Forecast!$H$2:$L$1048576,2,FALSE)),Table157[[#This Row],[Beginning Balance]]-Table157[[#This Row],[Principal]]-Table157[[#This Row],[Prepayments]]),2)</f>
        <v>3103.14</v>
      </c>
      <c r="K89" s="3">
        <f>ROUND(Table157[[#This Row],[Defaulted Principal]]*IF($C$9="No",$E$4,VLOOKUP(Table157[[#This Row],[Period]],Forecast!$H$2:$L$1048576,3,FALSE)),2)</f>
        <v>269.02</v>
      </c>
      <c r="L89" s="2">
        <f>Table157[[#This Row],[Period]]+$E$9</f>
        <v>85</v>
      </c>
      <c r="M89" s="3">
        <f>Table157[[#This Row],[Defaulted Principal]]-Table157[[#This Row],[Estimated Loss]]</f>
        <v>2834.12</v>
      </c>
      <c r="N89" s="3">
        <f>IFERROR(VLOOKUP(Table157[[#This Row],[Period]],$L$16:$M$385,2,FALSE),0)</f>
        <v>3102.01</v>
      </c>
      <c r="O89" s="3">
        <f>Table157[[#This Row],[Beginning Balance]]-Table157[[#This Row],[Principal]]-Table157[[#This Row],[Prepayments]]-Table157[[#This Row],[Defaulted Principal]]</f>
        <v>4508761.9700000063</v>
      </c>
      <c r="P89" s="3">
        <f>Table157[[#This Row],[Principal]]+Table157[[#This Row],[Interest]]+Table157[[#This Row],[Prepayments]]+Table157[[#This Row],[RecoveredAmount]]</f>
        <v>48134.77</v>
      </c>
      <c r="Q89" s="3">
        <f ca="1">ROUND(Table157[[#This Row],[Cash Flow]]/((1+ActualRateToUse)^(IF(ISNUMBER(SEARCH("Actual",$C$7)),Table157[[#This Row],[Running Total]]/365,Table157[[#This Row],[Period]]/12))),2)</f>
        <v>38836.33</v>
      </c>
      <c r="R89" s="2">
        <f>IF(MONTH(Table157[[#This Row],[Date]])=2,28,DAY(DATE(YEAR(Table157[[#This Row],[Date]]),MONTH(Table157[[#This Row],[Date]])+1,1)-1))</f>
        <v>31</v>
      </c>
      <c r="S89" s="2">
        <f ca="1">SUM(OFFSET(Table157[[#Headers],[Days in month]],1,0):Table157[[#This Row],[Days in month]])</f>
        <v>2221</v>
      </c>
      <c r="T89" s="37">
        <f>InterestRate*AmortizationMultiplier*IF(ISNUMBER(SEARCH("Actual",$C$7)),Table157[[#This Row],[Days in month]]/365,1/12)</f>
        <v>2.9708333333333331E-3</v>
      </c>
    </row>
    <row r="90" spans="2:20" x14ac:dyDescent="0.2">
      <c r="B90" s="1">
        <v>48091</v>
      </c>
      <c r="C90" s="2">
        <f t="shared" si="4"/>
        <v>74</v>
      </c>
      <c r="D90" s="3">
        <f t="shared" si="3"/>
        <v>4508761.9700000063</v>
      </c>
      <c r="E90" s="3">
        <f>ROUND(Table157[[#This Row],[Beginning Balance]]*Table157[[#This Row],[Monthly Interest Rate]],2)</f>
        <v>13394.78</v>
      </c>
      <c r="F90" s="3">
        <f t="shared" si="5"/>
        <v>182</v>
      </c>
      <c r="G90" s="23">
        <f>IFERROR(IF($C$13="No","N/A",IF(Table157[[#This Row],[Period]]=1,$C$6,PMT(InterestRate*AmortizationMultiplier/12,Table157[[#This Row],[Am Thru]],-Table157[[#This Row],[Beginning Balance]]))),0)</f>
        <v>31958.366578214744</v>
      </c>
      <c r="H90" s="3">
        <f>MAX(0,IF(C90=$C$4,D90,ROUND(IF($C$3="Fixed Principal",$C$6-Table157[[#This Row],[Interest]],IF($C$3="Interest Only",Table157[[#This Row],[Beginning Balance]]*ROUND(1-(1-IF($C$11="No",$E$8,1))^(1/12),6),MIN(IF($C$13="Yes",Table157[[#This Row],[Payment Amount (Reamortized)]],$C$6)-Table157[[#This Row],[Interest]],Table157[[#This Row],[Beginning Balance]]))),2)))</f>
        <v>18563.59</v>
      </c>
      <c r="I90" s="3">
        <f>_xlfn.SINGLE(IF($C$3="Line of Credit",0,ROUND(MAX(MIN(IF($C$10="No",$E$7,VLOOKUP(Table157[[#This Row],[Period]],Forecast!$H$2:$L$1048576,4,FALSE))*Table157[[#This Row],[Beginning Balance]],Table157[[#This Row],[Beginning Balance]]-Table157[[#This Row],[Principal]]),0),2)))</f>
        <v>12863.5</v>
      </c>
      <c r="J90" s="3">
        <f>ROUND(MIN(Table157[[#This Row],[Beginning Balance]]*IF($C$8="No",$E$3,VLOOKUP(Table157[[#This Row],[Period]],Forecast!$H$2:$L$1048576,2,FALSE)),Table157[[#This Row],[Beginning Balance]]-Table157[[#This Row],[Principal]]-Table157[[#This Row],[Prepayments]]),2)</f>
        <v>3079.48</v>
      </c>
      <c r="K90" s="3">
        <f>ROUND(Table157[[#This Row],[Defaulted Principal]]*IF($C$9="No",$E$4,VLOOKUP(Table157[[#This Row],[Period]],Forecast!$H$2:$L$1048576,3,FALSE)),2)</f>
        <v>266.97000000000003</v>
      </c>
      <c r="L90" s="2">
        <f>Table157[[#This Row],[Period]]+$E$9</f>
        <v>86</v>
      </c>
      <c r="M90" s="3">
        <f>Table157[[#This Row],[Defaulted Principal]]-Table157[[#This Row],[Estimated Loss]]</f>
        <v>2812.51</v>
      </c>
      <c r="N90" s="3">
        <f>IFERROR(VLOOKUP(Table157[[#This Row],[Period]],$L$16:$M$385,2,FALSE),0)</f>
        <v>3079.3799999999997</v>
      </c>
      <c r="O90" s="3">
        <f>Table157[[#This Row],[Beginning Balance]]-Table157[[#This Row],[Principal]]-Table157[[#This Row],[Prepayments]]-Table157[[#This Row],[Defaulted Principal]]</f>
        <v>4474255.400000006</v>
      </c>
      <c r="P90" s="3">
        <f>Table157[[#This Row],[Principal]]+Table157[[#This Row],[Interest]]+Table157[[#This Row],[Prepayments]]+Table157[[#This Row],[RecoveredAmount]]</f>
        <v>47901.25</v>
      </c>
      <c r="Q90" s="3">
        <f ca="1">ROUND(Table157[[#This Row],[Cash Flow]]/((1+ActualRateToUse)^(IF(ISNUMBER(SEARCH("Actual",$C$7)),Table157[[#This Row],[Running Total]]/365,Table157[[#This Row],[Period]]/12))),2)</f>
        <v>38532.300000000003</v>
      </c>
      <c r="R90" s="2">
        <f>IF(MONTH(Table157[[#This Row],[Date]])=2,28,DAY(DATE(YEAR(Table157[[#This Row],[Date]]),MONTH(Table157[[#This Row],[Date]])+1,1)-1))</f>
        <v>31</v>
      </c>
      <c r="S90" s="2">
        <f ca="1">SUM(OFFSET(Table157[[#Headers],[Days in month]],1,0):Table157[[#This Row],[Days in month]])</f>
        <v>2252</v>
      </c>
      <c r="T90" s="37">
        <f>InterestRate*AmortizationMultiplier*IF(ISNUMBER(SEARCH("Actual",$C$7)),Table157[[#This Row],[Days in month]]/365,1/12)</f>
        <v>2.9708333333333331E-3</v>
      </c>
    </row>
    <row r="91" spans="2:20" x14ac:dyDescent="0.2">
      <c r="B91" s="1">
        <v>48121</v>
      </c>
      <c r="C91" s="2">
        <f t="shared" si="4"/>
        <v>75</v>
      </c>
      <c r="D91" s="3">
        <f t="shared" si="3"/>
        <v>4474255.400000006</v>
      </c>
      <c r="E91" s="3">
        <f>ROUND(Table157[[#This Row],[Beginning Balance]]*Table157[[#This Row],[Monthly Interest Rate]],2)</f>
        <v>12863.48</v>
      </c>
      <c r="F91" s="3">
        <f t="shared" si="5"/>
        <v>181</v>
      </c>
      <c r="G91" s="23">
        <f>IFERROR(IF($C$13="No","N/A",IF(Table157[[#This Row],[Period]]=1,$C$6,PMT(InterestRate*AmortizationMultiplier/12,Table157[[#This Row],[Am Thru]],-Table157[[#This Row],[Beginning Balance]]))),0)</f>
        <v>31846.682272345195</v>
      </c>
      <c r="H91" s="3">
        <f>MAX(0,IF(C91=$C$4,D91,ROUND(IF($C$3="Fixed Principal",$C$6-Table157[[#This Row],[Interest]],IF($C$3="Interest Only",Table157[[#This Row],[Beginning Balance]]*ROUND(1-(1-IF($C$11="No",$E$8,1))^(1/12),6),MIN(IF($C$13="Yes",Table157[[#This Row],[Payment Amount (Reamortized)]],$C$6)-Table157[[#This Row],[Interest]],Table157[[#This Row],[Beginning Balance]]))),2)))</f>
        <v>4474255.400000006</v>
      </c>
      <c r="I91" s="3">
        <f>_xlfn.SINGLE(IF($C$3="Line of Credit",0,ROUND(MAX(MIN(IF($C$10="No",$E$7,VLOOKUP(Table157[[#This Row],[Period]],Forecast!$H$2:$L$1048576,4,FALSE))*Table157[[#This Row],[Beginning Balance]],Table157[[#This Row],[Beginning Balance]]-Table157[[#This Row],[Principal]]),0),2)))</f>
        <v>0</v>
      </c>
      <c r="J91" s="3">
        <f>ROUND(MIN(Table157[[#This Row],[Beginning Balance]]*IF($C$8="No",$E$3,VLOOKUP(Table157[[#This Row],[Period]],Forecast!$H$2:$L$1048576,2,FALSE)),Table157[[#This Row],[Beginning Balance]]-Table157[[#This Row],[Principal]]-Table157[[#This Row],[Prepayments]]),2)</f>
        <v>0</v>
      </c>
      <c r="K91" s="3">
        <f>ROUND(Table157[[#This Row],[Defaulted Principal]]*IF($C$9="No",$E$4,VLOOKUP(Table157[[#This Row],[Period]],Forecast!$H$2:$L$1048576,3,FALSE)),2)</f>
        <v>0</v>
      </c>
      <c r="L91" s="2">
        <f>Table157[[#This Row],[Period]]+$E$9</f>
        <v>87</v>
      </c>
      <c r="M91" s="3">
        <f>Table157[[#This Row],[Defaulted Principal]]-Table157[[#This Row],[Estimated Loss]]</f>
        <v>0</v>
      </c>
      <c r="N91" s="3">
        <f>IFERROR(VLOOKUP(Table157[[#This Row],[Period]],$L$16:$M$385,2,FALSE),0)</f>
        <v>3056.84</v>
      </c>
      <c r="O91" s="3">
        <f>Table157[[#This Row],[Beginning Balance]]-Table157[[#This Row],[Principal]]-Table157[[#This Row],[Prepayments]]-Table157[[#This Row],[Defaulted Principal]]</f>
        <v>0</v>
      </c>
      <c r="P91" s="3">
        <f>Table157[[#This Row],[Principal]]+Table157[[#This Row],[Interest]]+Table157[[#This Row],[Prepayments]]+Table157[[#This Row],[RecoveredAmount]]</f>
        <v>4490175.7200000063</v>
      </c>
      <c r="Q91" s="3">
        <f ca="1">ROUND(Table157[[#This Row],[Cash Flow]]/((1+ActualRateToUse)^(IF(ISNUMBER(SEARCH("Actual",$C$7)),Table157[[#This Row],[Running Total]]/365,Table157[[#This Row],[Period]]/12))),2)</f>
        <v>3601490.72</v>
      </c>
      <c r="R91" s="2">
        <f>IF(MONTH(Table157[[#This Row],[Date]])=2,28,DAY(DATE(YEAR(Table157[[#This Row],[Date]]),MONTH(Table157[[#This Row],[Date]])+1,1)-1))</f>
        <v>30</v>
      </c>
      <c r="S91" s="2">
        <f ca="1">SUM(OFFSET(Table157[[#Headers],[Days in month]],1,0):Table157[[#This Row],[Days in month]])</f>
        <v>2282</v>
      </c>
      <c r="T91" s="37">
        <f>InterestRate*AmortizationMultiplier*IF(ISNUMBER(SEARCH("Actual",$C$7)),Table157[[#This Row],[Days in month]]/365,1/12)</f>
        <v>2.8749999999999995E-3</v>
      </c>
    </row>
    <row r="92" spans="2:20" x14ac:dyDescent="0.2">
      <c r="B92" s="1">
        <v>48152</v>
      </c>
      <c r="C92" s="2">
        <f t="shared" si="4"/>
        <v>76</v>
      </c>
      <c r="D92" s="3">
        <f t="shared" si="3"/>
        <v>0</v>
      </c>
      <c r="E92" s="3">
        <f>ROUND(Table157[[#This Row],[Beginning Balance]]*Table157[[#This Row],[Monthly Interest Rate]],2)</f>
        <v>0</v>
      </c>
      <c r="F92" s="3">
        <f t="shared" si="5"/>
        <v>180</v>
      </c>
      <c r="G92" s="23">
        <f>IFERROR(IF($C$13="No","N/A",IF(Table157[[#This Row],[Period]]=1,$C$6,PMT(InterestRate*AmortizationMultiplier/12,Table157[[#This Row],[Am Thru]],-Table157[[#This Row],[Beginning Balance]]))),0)</f>
        <v>0</v>
      </c>
      <c r="H92" s="3">
        <f>MAX(0,IF(C92=$C$4,D92,ROUND(IF($C$3="Fixed Principal",$C$6-Table157[[#This Row],[Interest]],IF($C$3="Interest Only",Table157[[#This Row],[Beginning Balance]]*ROUND(1-(1-IF($C$11="No",$E$8,1))^(1/12),6),MIN(IF($C$13="Yes",Table157[[#This Row],[Payment Amount (Reamortized)]],$C$6)-Table157[[#This Row],[Interest]],Table157[[#This Row],[Beginning Balance]]))),2)))</f>
        <v>0</v>
      </c>
      <c r="I92" s="3">
        <f>_xlfn.SINGLE(IF($C$3="Line of Credit",0,ROUND(MAX(MIN(IF($C$10="No",$E$7,VLOOKUP(Table157[[#This Row],[Period]],Forecast!$H$2:$L$1048576,4,FALSE))*Table157[[#This Row],[Beginning Balance]],Table157[[#This Row],[Beginning Balance]]-Table157[[#This Row],[Principal]]),0),2)))</f>
        <v>0</v>
      </c>
      <c r="J92" s="3">
        <f>ROUND(MIN(Table157[[#This Row],[Beginning Balance]]*IF($C$8="No",$E$3,VLOOKUP(Table157[[#This Row],[Period]],Forecast!$H$2:$L$1048576,2,FALSE)),Table157[[#This Row],[Beginning Balance]]-Table157[[#This Row],[Principal]]-Table157[[#This Row],[Prepayments]]),2)</f>
        <v>0</v>
      </c>
      <c r="K92" s="3">
        <f>ROUND(Table157[[#This Row],[Defaulted Principal]]*IF($C$9="No",$E$4,VLOOKUP(Table157[[#This Row],[Period]],Forecast!$H$2:$L$1048576,3,FALSE)),2)</f>
        <v>0</v>
      </c>
      <c r="L92" s="2">
        <f>Table157[[#This Row],[Period]]+$E$9</f>
        <v>88</v>
      </c>
      <c r="M92" s="3">
        <f>Table157[[#This Row],[Defaulted Principal]]-Table157[[#This Row],[Estimated Loss]]</f>
        <v>0</v>
      </c>
      <c r="N92" s="3">
        <f>IFERROR(VLOOKUP(Table157[[#This Row],[Period]],$L$16:$M$385,2,FALSE),0)</f>
        <v>3034.08</v>
      </c>
      <c r="O92" s="3">
        <f>Table157[[#This Row],[Beginning Balance]]-Table157[[#This Row],[Principal]]-Table157[[#This Row],[Prepayments]]-Table157[[#This Row],[Defaulted Principal]]</f>
        <v>0</v>
      </c>
      <c r="P92" s="3">
        <f>Table157[[#This Row],[Principal]]+Table157[[#This Row],[Interest]]+Table157[[#This Row],[Prepayments]]+Table157[[#This Row],[RecoveredAmount]]</f>
        <v>3034.08</v>
      </c>
      <c r="Q92" s="3">
        <f ca="1">ROUND(Table157[[#This Row],[Cash Flow]]/((1+ActualRateToUse)^(IF(ISNUMBER(SEARCH("Actual",$C$7)),Table157[[#This Row],[Running Total]]/365,Table157[[#This Row],[Period]]/12))),2)</f>
        <v>2426.3000000000002</v>
      </c>
      <c r="R92" s="2">
        <f>IF(MONTH(Table157[[#This Row],[Date]])=2,28,DAY(DATE(YEAR(Table157[[#This Row],[Date]]),MONTH(Table157[[#This Row],[Date]])+1,1)-1))</f>
        <v>31</v>
      </c>
      <c r="S92" s="2">
        <f ca="1">SUM(OFFSET(Table157[[#Headers],[Days in month]],1,0):Table157[[#This Row],[Days in month]])</f>
        <v>2313</v>
      </c>
      <c r="T92" s="37">
        <f>InterestRate*AmortizationMultiplier*IF(ISNUMBER(SEARCH("Actual",$C$7)),Table157[[#This Row],[Days in month]]/365,1/12)</f>
        <v>2.9708333333333331E-3</v>
      </c>
    </row>
    <row r="93" spans="2:20" x14ac:dyDescent="0.2">
      <c r="B93" s="1">
        <v>48182</v>
      </c>
      <c r="C93" s="2">
        <f t="shared" si="4"/>
        <v>77</v>
      </c>
      <c r="D93" s="3">
        <f t="shared" si="3"/>
        <v>0</v>
      </c>
      <c r="E93" s="3">
        <f>ROUND(Table157[[#This Row],[Beginning Balance]]*Table157[[#This Row],[Monthly Interest Rate]],2)</f>
        <v>0</v>
      </c>
      <c r="F93" s="3">
        <f t="shared" si="5"/>
        <v>179</v>
      </c>
      <c r="G93" s="23">
        <f>IFERROR(IF($C$13="No","N/A",IF(Table157[[#This Row],[Period]]=1,$C$6,PMT(InterestRate*AmortizationMultiplier/12,Table157[[#This Row],[Am Thru]],-Table157[[#This Row],[Beginning Balance]]))),0)</f>
        <v>0</v>
      </c>
      <c r="H93" s="3">
        <f>MAX(0,IF(C93=$C$4,D93,ROUND(IF($C$3="Fixed Principal",$C$6-Table157[[#This Row],[Interest]],IF($C$3="Interest Only",Table157[[#This Row],[Beginning Balance]]*ROUND(1-(1-IF($C$11="No",$E$8,1))^(1/12),6),MIN(IF($C$13="Yes",Table157[[#This Row],[Payment Amount (Reamortized)]],$C$6)-Table157[[#This Row],[Interest]],Table157[[#This Row],[Beginning Balance]]))),2)))</f>
        <v>0</v>
      </c>
      <c r="I93" s="3">
        <f>_xlfn.SINGLE(IF($C$3="Line of Credit",0,ROUND(MAX(MIN(IF($C$10="No",$E$7,VLOOKUP(Table157[[#This Row],[Period]],Forecast!$H$2:$L$1048576,4,FALSE))*Table157[[#This Row],[Beginning Balance]],Table157[[#This Row],[Beginning Balance]]-Table157[[#This Row],[Principal]]),0),2)))</f>
        <v>0</v>
      </c>
      <c r="J93" s="3">
        <f>ROUND(MIN(Table157[[#This Row],[Beginning Balance]]*IF($C$8="No",$E$3,VLOOKUP(Table157[[#This Row],[Period]],Forecast!$H$2:$L$1048576,2,FALSE)),Table157[[#This Row],[Beginning Balance]]-Table157[[#This Row],[Principal]]-Table157[[#This Row],[Prepayments]]),2)</f>
        <v>0</v>
      </c>
      <c r="K93" s="3">
        <f>ROUND(Table157[[#This Row],[Defaulted Principal]]*IF($C$9="No",$E$4,VLOOKUP(Table157[[#This Row],[Period]],Forecast!$H$2:$L$1048576,3,FALSE)),2)</f>
        <v>0</v>
      </c>
      <c r="L93" s="2">
        <f>Table157[[#This Row],[Period]]+$E$9</f>
        <v>89</v>
      </c>
      <c r="M93" s="3">
        <f>Table157[[#This Row],[Defaulted Principal]]-Table157[[#This Row],[Estimated Loss]]</f>
        <v>0</v>
      </c>
      <c r="N93" s="3">
        <f>IFERROR(VLOOKUP(Table157[[#This Row],[Period]],$L$16:$M$385,2,FALSE),0)</f>
        <v>3011.71</v>
      </c>
      <c r="O93" s="3">
        <f>Table157[[#This Row],[Beginning Balance]]-Table157[[#This Row],[Principal]]-Table157[[#This Row],[Prepayments]]-Table157[[#This Row],[Defaulted Principal]]</f>
        <v>0</v>
      </c>
      <c r="P93" s="3">
        <f>Table157[[#This Row],[Principal]]+Table157[[#This Row],[Interest]]+Table157[[#This Row],[Prepayments]]+Table157[[#This Row],[RecoveredAmount]]</f>
        <v>3011.71</v>
      </c>
      <c r="Q93" s="3">
        <f ca="1">ROUND(Table157[[#This Row],[Cash Flow]]/((1+ActualRateToUse)^(IF(ISNUMBER(SEARCH("Actual",$C$7)),Table157[[#This Row],[Running Total]]/365,Table157[[#This Row],[Period]]/12))),2)</f>
        <v>2401.44</v>
      </c>
      <c r="R93" s="2">
        <f>IF(MONTH(Table157[[#This Row],[Date]])=2,28,DAY(DATE(YEAR(Table157[[#This Row],[Date]]),MONTH(Table157[[#This Row],[Date]])+1,1)-1))</f>
        <v>30</v>
      </c>
      <c r="S93" s="2">
        <f ca="1">SUM(OFFSET(Table157[[#Headers],[Days in month]],1,0):Table157[[#This Row],[Days in month]])</f>
        <v>2343</v>
      </c>
      <c r="T93" s="37">
        <f>InterestRate*AmortizationMultiplier*IF(ISNUMBER(SEARCH("Actual",$C$7)),Table157[[#This Row],[Days in month]]/365,1/12)</f>
        <v>2.8749999999999995E-3</v>
      </c>
    </row>
    <row r="94" spans="2:20" x14ac:dyDescent="0.2">
      <c r="B94" s="1">
        <v>48213</v>
      </c>
      <c r="C94" s="2">
        <f t="shared" si="4"/>
        <v>78</v>
      </c>
      <c r="D94" s="3">
        <f t="shared" si="3"/>
        <v>0</v>
      </c>
      <c r="E94" s="3">
        <f>ROUND(Table157[[#This Row],[Beginning Balance]]*Table157[[#This Row],[Monthly Interest Rate]],2)</f>
        <v>0</v>
      </c>
      <c r="F94" s="3">
        <f t="shared" si="5"/>
        <v>178</v>
      </c>
      <c r="G94" s="23">
        <f>IFERROR(IF($C$13="No","N/A",IF(Table157[[#This Row],[Period]]=1,$C$6,PMT(InterestRate*AmortizationMultiplier/12,Table157[[#This Row],[Am Thru]],-Table157[[#This Row],[Beginning Balance]]))),0)</f>
        <v>0</v>
      </c>
      <c r="H94" s="3">
        <f>MAX(0,IF(C94=$C$4,D94,ROUND(IF($C$3="Fixed Principal",$C$6-Table157[[#This Row],[Interest]],IF($C$3="Interest Only",Table157[[#This Row],[Beginning Balance]]*ROUND(1-(1-IF($C$11="No",$E$8,1))^(1/12),6),MIN(IF($C$13="Yes",Table157[[#This Row],[Payment Amount (Reamortized)]],$C$6)-Table157[[#This Row],[Interest]],Table157[[#This Row],[Beginning Balance]]))),2)))</f>
        <v>0</v>
      </c>
      <c r="I94" s="3">
        <f>_xlfn.SINGLE(IF($C$3="Line of Credit",0,ROUND(MAX(MIN(IF($C$10="No",$E$7,VLOOKUP(Table157[[#This Row],[Period]],Forecast!$H$2:$L$1048576,4,FALSE))*Table157[[#This Row],[Beginning Balance]],Table157[[#This Row],[Beginning Balance]]-Table157[[#This Row],[Principal]]),0),2)))</f>
        <v>0</v>
      </c>
      <c r="J94" s="3">
        <f>ROUND(MIN(Table157[[#This Row],[Beginning Balance]]*IF($C$8="No",$E$3,VLOOKUP(Table157[[#This Row],[Period]],Forecast!$H$2:$L$1048576,2,FALSE)),Table157[[#This Row],[Beginning Balance]]-Table157[[#This Row],[Principal]]-Table157[[#This Row],[Prepayments]]),2)</f>
        <v>0</v>
      </c>
      <c r="K94" s="3">
        <f>ROUND(Table157[[#This Row],[Defaulted Principal]]*IF($C$9="No",$E$4,VLOOKUP(Table157[[#This Row],[Period]],Forecast!$H$2:$L$1048576,3,FALSE)),2)</f>
        <v>0</v>
      </c>
      <c r="L94" s="2">
        <f>Table157[[#This Row],[Period]]+$E$9</f>
        <v>90</v>
      </c>
      <c r="M94" s="3">
        <f>Table157[[#This Row],[Defaulted Principal]]-Table157[[#This Row],[Estimated Loss]]</f>
        <v>0</v>
      </c>
      <c r="N94" s="3">
        <f>IFERROR(VLOOKUP(Table157[[#This Row],[Period]],$L$16:$M$385,2,FALSE),0)</f>
        <v>2989.13</v>
      </c>
      <c r="O94" s="3">
        <f>Table157[[#This Row],[Beginning Balance]]-Table157[[#This Row],[Principal]]-Table157[[#This Row],[Prepayments]]-Table157[[#This Row],[Defaulted Principal]]</f>
        <v>0</v>
      </c>
      <c r="P94" s="3">
        <f>Table157[[#This Row],[Principal]]+Table157[[#This Row],[Interest]]+Table157[[#This Row],[Prepayments]]+Table157[[#This Row],[RecoveredAmount]]</f>
        <v>2989.13</v>
      </c>
      <c r="Q94" s="3">
        <f ca="1">ROUND(Table157[[#This Row],[Cash Flow]]/((1+ActualRateToUse)^(IF(ISNUMBER(SEARCH("Actual",$C$7)),Table157[[#This Row],[Running Total]]/365,Table157[[#This Row],[Period]]/12))),2)</f>
        <v>2376.31</v>
      </c>
      <c r="R94" s="2">
        <f>IF(MONTH(Table157[[#This Row],[Date]])=2,28,DAY(DATE(YEAR(Table157[[#This Row],[Date]]),MONTH(Table157[[#This Row],[Date]])+1,1)-1))</f>
        <v>31</v>
      </c>
      <c r="S94" s="2">
        <f ca="1">SUM(OFFSET(Table157[[#Headers],[Days in month]],1,0):Table157[[#This Row],[Days in month]])</f>
        <v>2374</v>
      </c>
      <c r="T94" s="37">
        <f>InterestRate*AmortizationMultiplier*IF(ISNUMBER(SEARCH("Actual",$C$7)),Table157[[#This Row],[Days in month]]/365,1/12)</f>
        <v>2.9708333333333331E-3</v>
      </c>
    </row>
    <row r="95" spans="2:20" x14ac:dyDescent="0.2">
      <c r="B95" s="1">
        <v>48244</v>
      </c>
      <c r="C95" s="2">
        <f t="shared" si="4"/>
        <v>79</v>
      </c>
      <c r="D95" s="3">
        <f t="shared" si="3"/>
        <v>0</v>
      </c>
      <c r="E95" s="3">
        <f>ROUND(Table157[[#This Row],[Beginning Balance]]*Table157[[#This Row],[Monthly Interest Rate]],2)</f>
        <v>0</v>
      </c>
      <c r="F95" s="3">
        <f t="shared" si="5"/>
        <v>177</v>
      </c>
      <c r="G95" s="23">
        <f>IFERROR(IF($C$13="No","N/A",IF(Table157[[#This Row],[Period]]=1,$C$6,PMT(InterestRate*AmortizationMultiplier/12,Table157[[#This Row],[Am Thru]],-Table157[[#This Row],[Beginning Balance]]))),0)</f>
        <v>0</v>
      </c>
      <c r="H95" s="3">
        <f>MAX(0,IF(C95=$C$4,D95,ROUND(IF($C$3="Fixed Principal",$C$6-Table157[[#This Row],[Interest]],IF($C$3="Interest Only",Table157[[#This Row],[Beginning Balance]]*ROUND(1-(1-IF($C$11="No",$E$8,1))^(1/12),6),MIN(IF($C$13="Yes",Table157[[#This Row],[Payment Amount (Reamortized)]],$C$6)-Table157[[#This Row],[Interest]],Table157[[#This Row],[Beginning Balance]]))),2)))</f>
        <v>0</v>
      </c>
      <c r="I95" s="3">
        <f>_xlfn.SINGLE(IF($C$3="Line of Credit",0,ROUND(MAX(MIN(IF($C$10="No",$E$7,VLOOKUP(Table157[[#This Row],[Period]],Forecast!$H$2:$L$1048576,4,FALSE))*Table157[[#This Row],[Beginning Balance]],Table157[[#This Row],[Beginning Balance]]-Table157[[#This Row],[Principal]]),0),2)))</f>
        <v>0</v>
      </c>
      <c r="J95" s="3">
        <f>ROUND(MIN(Table157[[#This Row],[Beginning Balance]]*IF($C$8="No",$E$3,VLOOKUP(Table157[[#This Row],[Period]],Forecast!$H$2:$L$1048576,2,FALSE)),Table157[[#This Row],[Beginning Balance]]-Table157[[#This Row],[Principal]]-Table157[[#This Row],[Prepayments]]),2)</f>
        <v>0</v>
      </c>
      <c r="K95" s="3">
        <f>ROUND(Table157[[#This Row],[Defaulted Principal]]*IF($C$9="No",$E$4,VLOOKUP(Table157[[#This Row],[Period]],Forecast!$H$2:$L$1048576,3,FALSE)),2)</f>
        <v>0</v>
      </c>
      <c r="L95" s="2">
        <f>Table157[[#This Row],[Period]]+$E$9</f>
        <v>91</v>
      </c>
      <c r="M95" s="3">
        <f>Table157[[#This Row],[Defaulted Principal]]-Table157[[#This Row],[Estimated Loss]]</f>
        <v>0</v>
      </c>
      <c r="N95" s="3">
        <f>IFERROR(VLOOKUP(Table157[[#This Row],[Period]],$L$16:$M$385,2,FALSE),0)</f>
        <v>2966.93</v>
      </c>
      <c r="O95" s="3">
        <f>Table157[[#This Row],[Beginning Balance]]-Table157[[#This Row],[Principal]]-Table157[[#This Row],[Prepayments]]-Table157[[#This Row],[Defaulted Principal]]</f>
        <v>0</v>
      </c>
      <c r="P95" s="3">
        <f>Table157[[#This Row],[Principal]]+Table157[[#This Row],[Interest]]+Table157[[#This Row],[Prepayments]]+Table157[[#This Row],[RecoveredAmount]]</f>
        <v>2966.93</v>
      </c>
      <c r="Q95" s="3">
        <f ca="1">ROUND(Table157[[#This Row],[Cash Flow]]/((1+ActualRateToUse)^(IF(ISNUMBER(SEARCH("Actual",$C$7)),Table157[[#This Row],[Running Total]]/365,Table157[[#This Row],[Period]]/12))),2)</f>
        <v>2351.6</v>
      </c>
      <c r="R95" s="2">
        <f>IF(MONTH(Table157[[#This Row],[Date]])=2,28,DAY(DATE(YEAR(Table157[[#This Row],[Date]]),MONTH(Table157[[#This Row],[Date]])+1,1)-1))</f>
        <v>31</v>
      </c>
      <c r="S95" s="2">
        <f ca="1">SUM(OFFSET(Table157[[#Headers],[Days in month]],1,0):Table157[[#This Row],[Days in month]])</f>
        <v>2405</v>
      </c>
      <c r="T95" s="37">
        <f>InterestRate*AmortizationMultiplier*IF(ISNUMBER(SEARCH("Actual",$C$7)),Table157[[#This Row],[Days in month]]/365,1/12)</f>
        <v>2.9708333333333331E-3</v>
      </c>
    </row>
    <row r="96" spans="2:20" x14ac:dyDescent="0.2">
      <c r="B96" s="1">
        <v>48273</v>
      </c>
      <c r="C96" s="2">
        <f t="shared" si="4"/>
        <v>80</v>
      </c>
      <c r="D96" s="3">
        <f t="shared" si="3"/>
        <v>0</v>
      </c>
      <c r="E96" s="3">
        <f>ROUND(Table157[[#This Row],[Beginning Balance]]*Table157[[#This Row],[Monthly Interest Rate]],2)</f>
        <v>0</v>
      </c>
      <c r="F96" s="3">
        <f t="shared" si="5"/>
        <v>176</v>
      </c>
      <c r="G96" s="23">
        <f>IFERROR(IF($C$13="No","N/A",IF(Table157[[#This Row],[Period]]=1,$C$6,PMT(InterestRate*AmortizationMultiplier/12,Table157[[#This Row],[Am Thru]],-Table157[[#This Row],[Beginning Balance]]))),0)</f>
        <v>0</v>
      </c>
      <c r="H96" s="3">
        <f>MAX(0,IF(C96=$C$4,D96,ROUND(IF($C$3="Fixed Principal",$C$6-Table157[[#This Row],[Interest]],IF($C$3="Interest Only",Table157[[#This Row],[Beginning Balance]]*ROUND(1-(1-IF($C$11="No",$E$8,1))^(1/12),6),MIN(IF($C$13="Yes",Table157[[#This Row],[Payment Amount (Reamortized)]],$C$6)-Table157[[#This Row],[Interest]],Table157[[#This Row],[Beginning Balance]]))),2)))</f>
        <v>0</v>
      </c>
      <c r="I96" s="3">
        <f>_xlfn.SINGLE(IF($C$3="Line of Credit",0,ROUND(MAX(MIN(IF($C$10="No",$E$7,VLOOKUP(Table157[[#This Row],[Period]],Forecast!$H$2:$L$1048576,4,FALSE))*Table157[[#This Row],[Beginning Balance]],Table157[[#This Row],[Beginning Balance]]-Table157[[#This Row],[Principal]]),0),2)))</f>
        <v>0</v>
      </c>
      <c r="J96" s="3">
        <f>ROUND(MIN(Table157[[#This Row],[Beginning Balance]]*IF($C$8="No",$E$3,VLOOKUP(Table157[[#This Row],[Period]],Forecast!$H$2:$L$1048576,2,FALSE)),Table157[[#This Row],[Beginning Balance]]-Table157[[#This Row],[Principal]]-Table157[[#This Row],[Prepayments]]),2)</f>
        <v>0</v>
      </c>
      <c r="K96" s="3">
        <f>ROUND(Table157[[#This Row],[Defaulted Principal]]*IF($C$9="No",$E$4,VLOOKUP(Table157[[#This Row],[Period]],Forecast!$H$2:$L$1048576,3,FALSE)),2)</f>
        <v>0</v>
      </c>
      <c r="L96" s="2">
        <f>Table157[[#This Row],[Period]]+$E$9</f>
        <v>92</v>
      </c>
      <c r="M96" s="3">
        <f>Table157[[#This Row],[Defaulted Principal]]-Table157[[#This Row],[Estimated Loss]]</f>
        <v>0</v>
      </c>
      <c r="N96" s="3">
        <f>IFERROR(VLOOKUP(Table157[[#This Row],[Period]],$L$16:$M$385,2,FALSE),0)</f>
        <v>2944.8199999999997</v>
      </c>
      <c r="O96" s="3">
        <f>Table157[[#This Row],[Beginning Balance]]-Table157[[#This Row],[Principal]]-Table157[[#This Row],[Prepayments]]-Table157[[#This Row],[Defaulted Principal]]</f>
        <v>0</v>
      </c>
      <c r="P96" s="3">
        <f>Table157[[#This Row],[Principal]]+Table157[[#This Row],[Interest]]+Table157[[#This Row],[Prepayments]]+Table157[[#This Row],[RecoveredAmount]]</f>
        <v>2944.8199999999997</v>
      </c>
      <c r="Q96" s="3">
        <f ca="1">ROUND(Table157[[#This Row],[Cash Flow]]/((1+ActualRateToUse)^(IF(ISNUMBER(SEARCH("Actual",$C$7)),Table157[[#This Row],[Running Total]]/365,Table157[[#This Row],[Period]]/12))),2)</f>
        <v>2327.77</v>
      </c>
      <c r="R96" s="2">
        <f>IF(MONTH(Table157[[#This Row],[Date]])=2,28,DAY(DATE(YEAR(Table157[[#This Row],[Date]]),MONTH(Table157[[#This Row],[Date]])+1,1)-1))</f>
        <v>28</v>
      </c>
      <c r="S96" s="2">
        <f ca="1">SUM(OFFSET(Table157[[#Headers],[Days in month]],1,0):Table157[[#This Row],[Days in month]])</f>
        <v>2433</v>
      </c>
      <c r="T96" s="37">
        <f>InterestRate*AmortizationMultiplier*IF(ISNUMBER(SEARCH("Actual",$C$7)),Table157[[#This Row],[Days in month]]/365,1/12)</f>
        <v>2.6833333333333336E-3</v>
      </c>
    </row>
    <row r="97" spans="2:20" x14ac:dyDescent="0.2">
      <c r="B97" s="1">
        <v>48304</v>
      </c>
      <c r="C97" s="2">
        <f t="shared" si="4"/>
        <v>81</v>
      </c>
      <c r="D97" s="3">
        <f t="shared" si="3"/>
        <v>0</v>
      </c>
      <c r="E97" s="3">
        <f>ROUND(Table157[[#This Row],[Beginning Balance]]*Table157[[#This Row],[Monthly Interest Rate]],2)</f>
        <v>0</v>
      </c>
      <c r="F97" s="3">
        <f t="shared" si="5"/>
        <v>175</v>
      </c>
      <c r="G97" s="23">
        <f>IFERROR(IF($C$13="No","N/A",IF(Table157[[#This Row],[Period]]=1,$C$6,PMT(InterestRate*AmortizationMultiplier/12,Table157[[#This Row],[Am Thru]],-Table157[[#This Row],[Beginning Balance]]))),0)</f>
        <v>0</v>
      </c>
      <c r="H97" s="3">
        <f>MAX(0,IF(C97=$C$4,D97,ROUND(IF($C$3="Fixed Principal",$C$6-Table157[[#This Row],[Interest]],IF($C$3="Interest Only",Table157[[#This Row],[Beginning Balance]]*ROUND(1-(1-IF($C$11="No",$E$8,1))^(1/12),6),MIN(IF($C$13="Yes",Table157[[#This Row],[Payment Amount (Reamortized)]],$C$6)-Table157[[#This Row],[Interest]],Table157[[#This Row],[Beginning Balance]]))),2)))</f>
        <v>0</v>
      </c>
      <c r="I97" s="3">
        <f>_xlfn.SINGLE(IF($C$3="Line of Credit",0,ROUND(MAX(MIN(IF($C$10="No",$E$7,VLOOKUP(Table157[[#This Row],[Period]],Forecast!$H$2:$L$1048576,4,FALSE))*Table157[[#This Row],[Beginning Balance]],Table157[[#This Row],[Beginning Balance]]-Table157[[#This Row],[Principal]]),0),2)))</f>
        <v>0</v>
      </c>
      <c r="J97" s="3">
        <f>ROUND(MIN(Table157[[#This Row],[Beginning Balance]]*IF($C$8="No",$E$3,VLOOKUP(Table157[[#This Row],[Period]],Forecast!$H$2:$L$1048576,2,FALSE)),Table157[[#This Row],[Beginning Balance]]-Table157[[#This Row],[Principal]]-Table157[[#This Row],[Prepayments]]),2)</f>
        <v>0</v>
      </c>
      <c r="K97" s="3">
        <f>ROUND(Table157[[#This Row],[Defaulted Principal]]*IF($C$9="No",$E$4,VLOOKUP(Table157[[#This Row],[Period]],Forecast!$H$2:$L$1048576,3,FALSE)),2)</f>
        <v>0</v>
      </c>
      <c r="L97" s="2">
        <f>Table157[[#This Row],[Period]]+$E$9</f>
        <v>93</v>
      </c>
      <c r="M97" s="3">
        <f>Table157[[#This Row],[Defaulted Principal]]-Table157[[#This Row],[Estimated Loss]]</f>
        <v>0</v>
      </c>
      <c r="N97" s="3">
        <f>IFERROR(VLOOKUP(Table157[[#This Row],[Period]],$L$16:$M$385,2,FALSE),0)</f>
        <v>2921.94</v>
      </c>
      <c r="O97" s="3">
        <f>Table157[[#This Row],[Beginning Balance]]-Table157[[#This Row],[Principal]]-Table157[[#This Row],[Prepayments]]-Table157[[#This Row],[Defaulted Principal]]</f>
        <v>0</v>
      </c>
      <c r="P97" s="3">
        <f>Table157[[#This Row],[Principal]]+Table157[[#This Row],[Interest]]+Table157[[#This Row],[Prepayments]]+Table157[[#This Row],[RecoveredAmount]]</f>
        <v>2921.94</v>
      </c>
      <c r="Q97" s="3">
        <f ca="1">ROUND(Table157[[#This Row],[Cash Flow]]/((1+ActualRateToUse)^(IF(ISNUMBER(SEARCH("Actual",$C$7)),Table157[[#This Row],[Running Total]]/365,Table157[[#This Row],[Period]]/12))),2)</f>
        <v>2302.77</v>
      </c>
      <c r="R97" s="2">
        <f>IF(MONTH(Table157[[#This Row],[Date]])=2,28,DAY(DATE(YEAR(Table157[[#This Row],[Date]]),MONTH(Table157[[#This Row],[Date]])+1,1)-1))</f>
        <v>31</v>
      </c>
      <c r="S97" s="2">
        <f ca="1">SUM(OFFSET(Table157[[#Headers],[Days in month]],1,0):Table157[[#This Row],[Days in month]])</f>
        <v>2464</v>
      </c>
      <c r="T97" s="37">
        <f>InterestRate*AmortizationMultiplier*IF(ISNUMBER(SEARCH("Actual",$C$7)),Table157[[#This Row],[Days in month]]/365,1/12)</f>
        <v>2.9708333333333331E-3</v>
      </c>
    </row>
    <row r="98" spans="2:20" x14ac:dyDescent="0.2">
      <c r="B98" s="1">
        <v>48334</v>
      </c>
      <c r="C98" s="2">
        <f t="shared" si="4"/>
        <v>82</v>
      </c>
      <c r="D98" s="3">
        <f t="shared" si="3"/>
        <v>0</v>
      </c>
      <c r="E98" s="3">
        <f>ROUND(Table157[[#This Row],[Beginning Balance]]*Table157[[#This Row],[Monthly Interest Rate]],2)</f>
        <v>0</v>
      </c>
      <c r="F98" s="3">
        <f t="shared" si="5"/>
        <v>174</v>
      </c>
      <c r="G98" s="23">
        <f>IFERROR(IF($C$13="No","N/A",IF(Table157[[#This Row],[Period]]=1,$C$6,PMT(InterestRate*AmortizationMultiplier/12,Table157[[#This Row],[Am Thru]],-Table157[[#This Row],[Beginning Balance]]))),0)</f>
        <v>0</v>
      </c>
      <c r="H98" s="3">
        <f>MAX(0,IF(C98=$C$4,D98,ROUND(IF($C$3="Fixed Principal",$C$6-Table157[[#This Row],[Interest]],IF($C$3="Interest Only",Table157[[#This Row],[Beginning Balance]]*ROUND(1-(1-IF($C$11="No",$E$8,1))^(1/12),6),MIN(IF($C$13="Yes",Table157[[#This Row],[Payment Amount (Reamortized)]],$C$6)-Table157[[#This Row],[Interest]],Table157[[#This Row],[Beginning Balance]]))),2)))</f>
        <v>0</v>
      </c>
      <c r="I98" s="3">
        <f>_xlfn.SINGLE(IF($C$3="Line of Credit",0,ROUND(MAX(MIN(IF($C$10="No",$E$7,VLOOKUP(Table157[[#This Row],[Period]],Forecast!$H$2:$L$1048576,4,FALSE))*Table157[[#This Row],[Beginning Balance]],Table157[[#This Row],[Beginning Balance]]-Table157[[#This Row],[Principal]]),0),2)))</f>
        <v>0</v>
      </c>
      <c r="J98" s="3">
        <f>ROUND(MIN(Table157[[#This Row],[Beginning Balance]]*IF($C$8="No",$E$3,VLOOKUP(Table157[[#This Row],[Period]],Forecast!$H$2:$L$1048576,2,FALSE)),Table157[[#This Row],[Beginning Balance]]-Table157[[#This Row],[Principal]]-Table157[[#This Row],[Prepayments]]),2)</f>
        <v>0</v>
      </c>
      <c r="K98" s="3">
        <f>ROUND(Table157[[#This Row],[Defaulted Principal]]*IF($C$9="No",$E$4,VLOOKUP(Table157[[#This Row],[Period]],Forecast!$H$2:$L$1048576,3,FALSE)),2)</f>
        <v>0</v>
      </c>
      <c r="L98" s="2">
        <f>Table157[[#This Row],[Period]]+$E$9</f>
        <v>94</v>
      </c>
      <c r="M98" s="3">
        <f>Table157[[#This Row],[Defaulted Principal]]-Table157[[#This Row],[Estimated Loss]]</f>
        <v>0</v>
      </c>
      <c r="N98" s="3">
        <f>IFERROR(VLOOKUP(Table157[[#This Row],[Period]],$L$16:$M$385,2,FALSE),0)</f>
        <v>2899.99</v>
      </c>
      <c r="O98" s="3">
        <f>Table157[[#This Row],[Beginning Balance]]-Table157[[#This Row],[Principal]]-Table157[[#This Row],[Prepayments]]-Table157[[#This Row],[Defaulted Principal]]</f>
        <v>0</v>
      </c>
      <c r="P98" s="3">
        <f>Table157[[#This Row],[Principal]]+Table157[[#This Row],[Interest]]+Table157[[#This Row],[Prepayments]]+Table157[[#This Row],[RecoveredAmount]]</f>
        <v>2899.99</v>
      </c>
      <c r="Q98" s="3">
        <f ca="1">ROUND(Table157[[#This Row],[Cash Flow]]/((1+ActualRateToUse)^(IF(ISNUMBER(SEARCH("Actual",$C$7)),Table157[[#This Row],[Running Total]]/365,Table157[[#This Row],[Period]]/12))),2)</f>
        <v>2278.86</v>
      </c>
      <c r="R98" s="2">
        <f>IF(MONTH(Table157[[#This Row],[Date]])=2,28,DAY(DATE(YEAR(Table157[[#This Row],[Date]]),MONTH(Table157[[#This Row],[Date]])+1,1)-1))</f>
        <v>30</v>
      </c>
      <c r="S98" s="2">
        <f ca="1">SUM(OFFSET(Table157[[#Headers],[Days in month]],1,0):Table157[[#This Row],[Days in month]])</f>
        <v>2494</v>
      </c>
      <c r="T98" s="37">
        <f>InterestRate*AmortizationMultiplier*IF(ISNUMBER(SEARCH("Actual",$C$7)),Table157[[#This Row],[Days in month]]/365,1/12)</f>
        <v>2.8749999999999995E-3</v>
      </c>
    </row>
    <row r="99" spans="2:20" x14ac:dyDescent="0.2">
      <c r="B99" s="1">
        <v>48365</v>
      </c>
      <c r="C99" s="2">
        <f t="shared" si="4"/>
        <v>83</v>
      </c>
      <c r="D99" s="3">
        <f t="shared" si="3"/>
        <v>0</v>
      </c>
      <c r="E99" s="3">
        <f>ROUND(Table157[[#This Row],[Beginning Balance]]*Table157[[#This Row],[Monthly Interest Rate]],2)</f>
        <v>0</v>
      </c>
      <c r="F99" s="3">
        <f t="shared" si="5"/>
        <v>173</v>
      </c>
      <c r="G99" s="23">
        <f>IFERROR(IF($C$13="No","N/A",IF(Table157[[#This Row],[Period]]=1,$C$6,PMT(InterestRate*AmortizationMultiplier/12,Table157[[#This Row],[Am Thru]],-Table157[[#This Row],[Beginning Balance]]))),0)</f>
        <v>0</v>
      </c>
      <c r="H99" s="3">
        <f>MAX(0,IF(C99=$C$4,D99,ROUND(IF($C$3="Fixed Principal",$C$6-Table157[[#This Row],[Interest]],IF($C$3="Interest Only",Table157[[#This Row],[Beginning Balance]]*ROUND(1-(1-IF($C$11="No",$E$8,1))^(1/12),6),MIN(IF($C$13="Yes",Table157[[#This Row],[Payment Amount (Reamortized)]],$C$6)-Table157[[#This Row],[Interest]],Table157[[#This Row],[Beginning Balance]]))),2)))</f>
        <v>0</v>
      </c>
      <c r="I99" s="3">
        <f>_xlfn.SINGLE(IF($C$3="Line of Credit",0,ROUND(MAX(MIN(IF($C$10="No",$E$7,VLOOKUP(Table157[[#This Row],[Period]],Forecast!$H$2:$L$1048576,4,FALSE))*Table157[[#This Row],[Beginning Balance]],Table157[[#This Row],[Beginning Balance]]-Table157[[#This Row],[Principal]]),0),2)))</f>
        <v>0</v>
      </c>
      <c r="J99" s="3">
        <f>ROUND(MIN(Table157[[#This Row],[Beginning Balance]]*IF($C$8="No",$E$3,VLOOKUP(Table157[[#This Row],[Period]],Forecast!$H$2:$L$1048576,2,FALSE)),Table157[[#This Row],[Beginning Balance]]-Table157[[#This Row],[Principal]]-Table157[[#This Row],[Prepayments]]),2)</f>
        <v>0</v>
      </c>
      <c r="K99" s="3">
        <f>ROUND(Table157[[#This Row],[Defaulted Principal]]*IF($C$9="No",$E$4,VLOOKUP(Table157[[#This Row],[Period]],Forecast!$H$2:$L$1048576,3,FALSE)),2)</f>
        <v>0</v>
      </c>
      <c r="L99" s="2">
        <f>Table157[[#This Row],[Period]]+$E$9</f>
        <v>95</v>
      </c>
      <c r="M99" s="3">
        <f>Table157[[#This Row],[Defaulted Principal]]-Table157[[#This Row],[Estimated Loss]]</f>
        <v>0</v>
      </c>
      <c r="N99" s="3">
        <f>IFERROR(VLOOKUP(Table157[[#This Row],[Period]],$L$16:$M$385,2,FALSE),0)</f>
        <v>2877.8500000000004</v>
      </c>
      <c r="O99" s="3">
        <f>Table157[[#This Row],[Beginning Balance]]-Table157[[#This Row],[Principal]]-Table157[[#This Row],[Prepayments]]-Table157[[#This Row],[Defaulted Principal]]</f>
        <v>0</v>
      </c>
      <c r="P99" s="3">
        <f>Table157[[#This Row],[Principal]]+Table157[[#This Row],[Interest]]+Table157[[#This Row],[Prepayments]]+Table157[[#This Row],[RecoveredAmount]]</f>
        <v>2877.8500000000004</v>
      </c>
      <c r="Q99" s="3">
        <f ca="1">ROUND(Table157[[#This Row],[Cash Flow]]/((1+ActualRateToUse)^(IF(ISNUMBER(SEARCH("Actual",$C$7)),Table157[[#This Row],[Running Total]]/365,Table157[[#This Row],[Period]]/12))),2)</f>
        <v>2254.6999999999998</v>
      </c>
      <c r="R99" s="2">
        <f>IF(MONTH(Table157[[#This Row],[Date]])=2,28,DAY(DATE(YEAR(Table157[[#This Row],[Date]]),MONTH(Table157[[#This Row],[Date]])+1,1)-1))</f>
        <v>31</v>
      </c>
      <c r="S99" s="2">
        <f ca="1">SUM(OFFSET(Table157[[#Headers],[Days in month]],1,0):Table157[[#This Row],[Days in month]])</f>
        <v>2525</v>
      </c>
      <c r="T99" s="37">
        <f>InterestRate*AmortizationMultiplier*IF(ISNUMBER(SEARCH("Actual",$C$7)),Table157[[#This Row],[Days in month]]/365,1/12)</f>
        <v>2.9708333333333331E-3</v>
      </c>
    </row>
    <row r="100" spans="2:20" x14ac:dyDescent="0.2">
      <c r="B100" s="1">
        <v>48395</v>
      </c>
      <c r="C100" s="2">
        <f t="shared" si="4"/>
        <v>84</v>
      </c>
      <c r="D100" s="3">
        <f t="shared" si="3"/>
        <v>0</v>
      </c>
      <c r="E100" s="3">
        <f>ROUND(Table157[[#This Row],[Beginning Balance]]*Table157[[#This Row],[Monthly Interest Rate]],2)</f>
        <v>0</v>
      </c>
      <c r="F100" s="3">
        <f t="shared" si="5"/>
        <v>172</v>
      </c>
      <c r="G100" s="23">
        <f>IFERROR(IF($C$13="No","N/A",IF(Table157[[#This Row],[Period]]=1,$C$6,PMT(InterestRate*AmortizationMultiplier/12,Table157[[#This Row],[Am Thru]],-Table157[[#This Row],[Beginning Balance]]))),0)</f>
        <v>0</v>
      </c>
      <c r="H100" s="3">
        <f>MAX(0,IF(C100=$C$4,D100,ROUND(IF($C$3="Fixed Principal",$C$6-Table157[[#This Row],[Interest]],IF($C$3="Interest Only",Table157[[#This Row],[Beginning Balance]]*ROUND(1-(1-IF($C$11="No",$E$8,1))^(1/12),6),MIN(IF($C$13="Yes",Table157[[#This Row],[Payment Amount (Reamortized)]],$C$6)-Table157[[#This Row],[Interest]],Table157[[#This Row],[Beginning Balance]]))),2)))</f>
        <v>0</v>
      </c>
      <c r="I100" s="3">
        <f>_xlfn.SINGLE(IF($C$3="Line of Credit",0,ROUND(MAX(MIN(IF($C$10="No",$E$7,VLOOKUP(Table157[[#This Row],[Period]],Forecast!$H$2:$L$1048576,4,FALSE))*Table157[[#This Row],[Beginning Balance]],Table157[[#This Row],[Beginning Balance]]-Table157[[#This Row],[Principal]]),0),2)))</f>
        <v>0</v>
      </c>
      <c r="J100" s="3">
        <f>ROUND(MIN(Table157[[#This Row],[Beginning Balance]]*IF($C$8="No",$E$3,VLOOKUP(Table157[[#This Row],[Period]],Forecast!$H$2:$L$1048576,2,FALSE)),Table157[[#This Row],[Beginning Balance]]-Table157[[#This Row],[Principal]]-Table157[[#This Row],[Prepayments]]),2)</f>
        <v>0</v>
      </c>
      <c r="K100" s="3">
        <f>ROUND(Table157[[#This Row],[Defaulted Principal]]*IF($C$9="No",$E$4,VLOOKUP(Table157[[#This Row],[Period]],Forecast!$H$2:$L$1048576,3,FALSE)),2)</f>
        <v>0</v>
      </c>
      <c r="L100" s="2">
        <f>Table157[[#This Row],[Period]]+$E$9</f>
        <v>96</v>
      </c>
      <c r="M100" s="3">
        <f>Table157[[#This Row],[Defaulted Principal]]-Table157[[#This Row],[Estimated Loss]]</f>
        <v>0</v>
      </c>
      <c r="N100" s="3">
        <f>IFERROR(VLOOKUP(Table157[[#This Row],[Period]],$L$16:$M$385,2,FALSE),0)</f>
        <v>2856.08</v>
      </c>
      <c r="O100" s="3">
        <f>Table157[[#This Row],[Beginning Balance]]-Table157[[#This Row],[Principal]]-Table157[[#This Row],[Prepayments]]-Table157[[#This Row],[Defaulted Principal]]</f>
        <v>0</v>
      </c>
      <c r="P100" s="3">
        <f>Table157[[#This Row],[Principal]]+Table157[[#This Row],[Interest]]+Table157[[#This Row],[Prepayments]]+Table157[[#This Row],[RecoveredAmount]]</f>
        <v>2856.08</v>
      </c>
      <c r="Q100" s="3">
        <f ca="1">ROUND(Table157[[#This Row],[Cash Flow]]/((1+ActualRateToUse)^(IF(ISNUMBER(SEARCH("Actual",$C$7)),Table157[[#This Row],[Running Total]]/365,Table157[[#This Row],[Period]]/12))),2)</f>
        <v>2231.16</v>
      </c>
      <c r="R100" s="2">
        <f>IF(MONTH(Table157[[#This Row],[Date]])=2,28,DAY(DATE(YEAR(Table157[[#This Row],[Date]]),MONTH(Table157[[#This Row],[Date]])+1,1)-1))</f>
        <v>30</v>
      </c>
      <c r="S100" s="2">
        <f ca="1">SUM(OFFSET(Table157[[#Headers],[Days in month]],1,0):Table157[[#This Row],[Days in month]])</f>
        <v>2555</v>
      </c>
      <c r="T100" s="37">
        <f>InterestRate*AmortizationMultiplier*IF(ISNUMBER(SEARCH("Actual",$C$7)),Table157[[#This Row],[Days in month]]/365,1/12)</f>
        <v>2.8749999999999995E-3</v>
      </c>
    </row>
    <row r="101" spans="2:20" x14ac:dyDescent="0.2">
      <c r="B101" s="1">
        <v>48426</v>
      </c>
      <c r="C101" s="2">
        <f t="shared" si="4"/>
        <v>85</v>
      </c>
      <c r="D101" s="3">
        <f t="shared" si="3"/>
        <v>0</v>
      </c>
      <c r="E101" s="3">
        <f>ROUND(Table157[[#This Row],[Beginning Balance]]*Table157[[#This Row],[Monthly Interest Rate]],2)</f>
        <v>0</v>
      </c>
      <c r="F101" s="3">
        <f t="shared" si="5"/>
        <v>171</v>
      </c>
      <c r="G101" s="23">
        <f>IFERROR(IF($C$13="No","N/A",IF(Table157[[#This Row],[Period]]=1,$C$6,PMT(InterestRate*AmortizationMultiplier/12,Table157[[#This Row],[Am Thru]],-Table157[[#This Row],[Beginning Balance]]))),0)</f>
        <v>0</v>
      </c>
      <c r="H101" s="3">
        <f>MAX(0,IF(C101=$C$4,D101,ROUND(IF($C$3="Fixed Principal",$C$6-Table157[[#This Row],[Interest]],IF($C$3="Interest Only",Table157[[#This Row],[Beginning Balance]]*ROUND(1-(1-IF($C$11="No",$E$8,1))^(1/12),6),MIN(IF($C$13="Yes",Table157[[#This Row],[Payment Amount (Reamortized)]],$C$6)-Table157[[#This Row],[Interest]],Table157[[#This Row],[Beginning Balance]]))),2)))</f>
        <v>0</v>
      </c>
      <c r="I101" s="3">
        <f>_xlfn.SINGLE(IF($C$3="Line of Credit",0,ROUND(MAX(MIN(IF($C$10="No",$E$7,VLOOKUP(Table157[[#This Row],[Period]],Forecast!$H$2:$L$1048576,4,FALSE))*Table157[[#This Row],[Beginning Balance]],Table157[[#This Row],[Beginning Balance]]-Table157[[#This Row],[Principal]]),0),2)))</f>
        <v>0</v>
      </c>
      <c r="J101" s="3">
        <f>ROUND(MIN(Table157[[#This Row],[Beginning Balance]]*IF($C$8="No",$E$3,VLOOKUP(Table157[[#This Row],[Period]],Forecast!$H$2:$L$1048576,2,FALSE)),Table157[[#This Row],[Beginning Balance]]-Table157[[#This Row],[Principal]]-Table157[[#This Row],[Prepayments]]),2)</f>
        <v>0</v>
      </c>
      <c r="K101" s="3">
        <f>ROUND(Table157[[#This Row],[Defaulted Principal]]*IF($C$9="No",$E$4,VLOOKUP(Table157[[#This Row],[Period]],Forecast!$H$2:$L$1048576,3,FALSE)),2)</f>
        <v>0</v>
      </c>
      <c r="L101" s="2">
        <f>Table157[[#This Row],[Period]]+$E$9</f>
        <v>97</v>
      </c>
      <c r="M101" s="3">
        <f>Table157[[#This Row],[Defaulted Principal]]-Table157[[#This Row],[Estimated Loss]]</f>
        <v>0</v>
      </c>
      <c r="N101" s="3">
        <f>IFERROR(VLOOKUP(Table157[[#This Row],[Period]],$L$16:$M$385,2,FALSE),0)</f>
        <v>2834.12</v>
      </c>
      <c r="O101" s="3">
        <f>Table157[[#This Row],[Beginning Balance]]-Table157[[#This Row],[Principal]]-Table157[[#This Row],[Prepayments]]-Table157[[#This Row],[Defaulted Principal]]</f>
        <v>0</v>
      </c>
      <c r="P101" s="3">
        <f>Table157[[#This Row],[Principal]]+Table157[[#This Row],[Interest]]+Table157[[#This Row],[Prepayments]]+Table157[[#This Row],[RecoveredAmount]]</f>
        <v>2834.12</v>
      </c>
      <c r="Q101" s="3">
        <f ca="1">ROUND(Table157[[#This Row],[Cash Flow]]/((1+ActualRateToUse)^(IF(ISNUMBER(SEARCH("Actual",$C$7)),Table157[[#This Row],[Running Total]]/365,Table157[[#This Row],[Period]]/12))),2)</f>
        <v>2207.38</v>
      </c>
      <c r="R101" s="2">
        <f>IF(MONTH(Table157[[#This Row],[Date]])=2,28,DAY(DATE(YEAR(Table157[[#This Row],[Date]]),MONTH(Table157[[#This Row],[Date]])+1,1)-1))</f>
        <v>31</v>
      </c>
      <c r="S101" s="2">
        <f ca="1">SUM(OFFSET(Table157[[#Headers],[Days in month]],1,0):Table157[[#This Row],[Days in month]])</f>
        <v>2586</v>
      </c>
      <c r="T101" s="37">
        <f>InterestRate*AmortizationMultiplier*IF(ISNUMBER(SEARCH("Actual",$C$7)),Table157[[#This Row],[Days in month]]/365,1/12)</f>
        <v>2.9708333333333331E-3</v>
      </c>
    </row>
    <row r="102" spans="2:20" x14ac:dyDescent="0.2">
      <c r="B102" s="1">
        <v>48457</v>
      </c>
      <c r="C102" s="2">
        <f t="shared" si="4"/>
        <v>86</v>
      </c>
      <c r="D102" s="3">
        <f t="shared" si="3"/>
        <v>0</v>
      </c>
      <c r="E102" s="3">
        <f>ROUND(Table157[[#This Row],[Beginning Balance]]*Table157[[#This Row],[Monthly Interest Rate]],2)</f>
        <v>0</v>
      </c>
      <c r="F102" s="3">
        <f t="shared" si="5"/>
        <v>170</v>
      </c>
      <c r="G102" s="23">
        <f>IFERROR(IF($C$13="No","N/A",IF(Table157[[#This Row],[Period]]=1,$C$6,PMT(InterestRate*AmortizationMultiplier/12,Table157[[#This Row],[Am Thru]],-Table157[[#This Row],[Beginning Balance]]))),0)</f>
        <v>0</v>
      </c>
      <c r="H102" s="3">
        <f>MAX(0,IF(C102=$C$4,D102,ROUND(IF($C$3="Fixed Principal",$C$6-Table157[[#This Row],[Interest]],IF($C$3="Interest Only",Table157[[#This Row],[Beginning Balance]]*ROUND(1-(1-IF($C$11="No",$E$8,1))^(1/12),6),MIN(IF($C$13="Yes",Table157[[#This Row],[Payment Amount (Reamortized)]],$C$6)-Table157[[#This Row],[Interest]],Table157[[#This Row],[Beginning Balance]]))),2)))</f>
        <v>0</v>
      </c>
      <c r="I102" s="3">
        <f>_xlfn.SINGLE(IF($C$3="Line of Credit",0,ROUND(MAX(MIN(IF($C$10="No",$E$7,VLOOKUP(Table157[[#This Row],[Period]],Forecast!$H$2:$L$1048576,4,FALSE))*Table157[[#This Row],[Beginning Balance]],Table157[[#This Row],[Beginning Balance]]-Table157[[#This Row],[Principal]]),0),2)))</f>
        <v>0</v>
      </c>
      <c r="J102" s="3">
        <f>ROUND(MIN(Table157[[#This Row],[Beginning Balance]]*IF($C$8="No",$E$3,VLOOKUP(Table157[[#This Row],[Period]],Forecast!$H$2:$L$1048576,2,FALSE)),Table157[[#This Row],[Beginning Balance]]-Table157[[#This Row],[Principal]]-Table157[[#This Row],[Prepayments]]),2)</f>
        <v>0</v>
      </c>
      <c r="K102" s="3">
        <f>ROUND(Table157[[#This Row],[Defaulted Principal]]*IF($C$9="No",$E$4,VLOOKUP(Table157[[#This Row],[Period]],Forecast!$H$2:$L$1048576,3,FALSE)),2)</f>
        <v>0</v>
      </c>
      <c r="L102" s="2">
        <f>Table157[[#This Row],[Period]]+$E$9</f>
        <v>98</v>
      </c>
      <c r="M102" s="3">
        <f>Table157[[#This Row],[Defaulted Principal]]-Table157[[#This Row],[Estimated Loss]]</f>
        <v>0</v>
      </c>
      <c r="N102" s="3">
        <f>IFERROR(VLOOKUP(Table157[[#This Row],[Period]],$L$16:$M$385,2,FALSE),0)</f>
        <v>2812.51</v>
      </c>
      <c r="O102" s="3">
        <f>Table157[[#This Row],[Beginning Balance]]-Table157[[#This Row],[Principal]]-Table157[[#This Row],[Prepayments]]-Table157[[#This Row],[Defaulted Principal]]</f>
        <v>0</v>
      </c>
      <c r="P102" s="3">
        <f>Table157[[#This Row],[Principal]]+Table157[[#This Row],[Interest]]+Table157[[#This Row],[Prepayments]]+Table157[[#This Row],[RecoveredAmount]]</f>
        <v>2812.51</v>
      </c>
      <c r="Q102" s="3">
        <f ca="1">ROUND(Table157[[#This Row],[Cash Flow]]/((1+ActualRateToUse)^(IF(ISNUMBER(SEARCH("Actual",$C$7)),Table157[[#This Row],[Running Total]]/365,Table157[[#This Row],[Period]]/12))),2)</f>
        <v>2184</v>
      </c>
      <c r="R102" s="2">
        <f>IF(MONTH(Table157[[#This Row],[Date]])=2,28,DAY(DATE(YEAR(Table157[[#This Row],[Date]]),MONTH(Table157[[#This Row],[Date]])+1,1)-1))</f>
        <v>31</v>
      </c>
      <c r="S102" s="2">
        <f ca="1">SUM(OFFSET(Table157[[#Headers],[Days in month]],1,0):Table157[[#This Row],[Days in month]])</f>
        <v>2617</v>
      </c>
      <c r="T102" s="37">
        <f>InterestRate*AmortizationMultiplier*IF(ISNUMBER(SEARCH("Actual",$C$7)),Table157[[#This Row],[Days in month]]/365,1/12)</f>
        <v>2.9708333333333331E-3</v>
      </c>
    </row>
    <row r="103" spans="2:20" x14ac:dyDescent="0.2">
      <c r="B103" s="1">
        <v>48487</v>
      </c>
      <c r="C103" s="2">
        <f t="shared" si="4"/>
        <v>87</v>
      </c>
      <c r="D103" s="3">
        <f t="shared" si="3"/>
        <v>0</v>
      </c>
      <c r="E103" s="3">
        <f>ROUND(Table157[[#This Row],[Beginning Balance]]*Table157[[#This Row],[Monthly Interest Rate]],2)</f>
        <v>0</v>
      </c>
      <c r="F103" s="3">
        <f t="shared" si="5"/>
        <v>169</v>
      </c>
      <c r="G103" s="23">
        <f>IFERROR(IF($C$13="No","N/A",IF(Table157[[#This Row],[Period]]=1,$C$6,PMT(InterestRate*AmortizationMultiplier/12,Table157[[#This Row],[Am Thru]],-Table157[[#This Row],[Beginning Balance]]))),0)</f>
        <v>0</v>
      </c>
      <c r="H103" s="3">
        <f>MAX(0,IF(C103=$C$4,D103,ROUND(IF($C$3="Fixed Principal",$C$6-Table157[[#This Row],[Interest]],IF($C$3="Interest Only",Table157[[#This Row],[Beginning Balance]]*ROUND(1-(1-IF($C$11="No",$E$8,1))^(1/12),6),MIN(IF($C$13="Yes",Table157[[#This Row],[Payment Amount (Reamortized)]],$C$6)-Table157[[#This Row],[Interest]],Table157[[#This Row],[Beginning Balance]]))),2)))</f>
        <v>0</v>
      </c>
      <c r="I103" s="3">
        <f>_xlfn.SINGLE(IF($C$3="Line of Credit",0,ROUND(MAX(MIN(IF($C$10="No",$E$7,VLOOKUP(Table157[[#This Row],[Period]],Forecast!$H$2:$L$1048576,4,FALSE))*Table157[[#This Row],[Beginning Balance]],Table157[[#This Row],[Beginning Balance]]-Table157[[#This Row],[Principal]]),0),2)))</f>
        <v>0</v>
      </c>
      <c r="J103" s="3">
        <f>ROUND(MIN(Table157[[#This Row],[Beginning Balance]]*IF($C$8="No",$E$3,VLOOKUP(Table157[[#This Row],[Period]],Forecast!$H$2:$L$1048576,2,FALSE)),Table157[[#This Row],[Beginning Balance]]-Table157[[#This Row],[Principal]]-Table157[[#This Row],[Prepayments]]),2)</f>
        <v>0</v>
      </c>
      <c r="K103" s="3">
        <f>ROUND(Table157[[#This Row],[Defaulted Principal]]*IF($C$9="No",$E$4,VLOOKUP(Table157[[#This Row],[Period]],Forecast!$H$2:$L$1048576,3,FALSE)),2)</f>
        <v>0</v>
      </c>
      <c r="L103" s="2">
        <f>Table157[[#This Row],[Period]]+$E$9</f>
        <v>99</v>
      </c>
      <c r="M103" s="3">
        <f>Table157[[#This Row],[Defaulted Principal]]-Table157[[#This Row],[Estimated Loss]]</f>
        <v>0</v>
      </c>
      <c r="N103" s="3">
        <f>IFERROR(VLOOKUP(Table157[[#This Row],[Period]],$L$16:$M$385,2,FALSE),0)</f>
        <v>0</v>
      </c>
      <c r="O103" s="3">
        <f>Table157[[#This Row],[Beginning Balance]]-Table157[[#This Row],[Principal]]-Table157[[#This Row],[Prepayments]]-Table157[[#This Row],[Defaulted Principal]]</f>
        <v>0</v>
      </c>
      <c r="P103" s="3">
        <f>Table157[[#This Row],[Principal]]+Table157[[#This Row],[Interest]]+Table157[[#This Row],[Prepayments]]+Table157[[#This Row],[RecoveredAmount]]</f>
        <v>0</v>
      </c>
      <c r="Q103" s="3">
        <f ca="1">ROUND(Table157[[#This Row],[Cash Flow]]/((1+ActualRateToUse)^(IF(ISNUMBER(SEARCH("Actual",$C$7)),Table157[[#This Row],[Running Total]]/365,Table157[[#This Row],[Period]]/12))),2)</f>
        <v>0</v>
      </c>
      <c r="R103" s="2">
        <f>IF(MONTH(Table157[[#This Row],[Date]])=2,28,DAY(DATE(YEAR(Table157[[#This Row],[Date]]),MONTH(Table157[[#This Row],[Date]])+1,1)-1))</f>
        <v>30</v>
      </c>
      <c r="S103" s="2">
        <f ca="1">SUM(OFFSET(Table157[[#Headers],[Days in month]],1,0):Table157[[#This Row],[Days in month]])</f>
        <v>2647</v>
      </c>
      <c r="T103" s="37">
        <f>InterestRate*AmortizationMultiplier*IF(ISNUMBER(SEARCH("Actual",$C$7)),Table157[[#This Row],[Days in month]]/365,1/12)</f>
        <v>2.8749999999999995E-3</v>
      </c>
    </row>
    <row r="104" spans="2:20" x14ac:dyDescent="0.2">
      <c r="B104" s="1">
        <v>48518</v>
      </c>
      <c r="C104" s="2">
        <f t="shared" si="4"/>
        <v>88</v>
      </c>
      <c r="D104" s="3">
        <f t="shared" si="3"/>
        <v>0</v>
      </c>
      <c r="E104" s="3">
        <f>ROUND(Table157[[#This Row],[Beginning Balance]]*Table157[[#This Row],[Monthly Interest Rate]],2)</f>
        <v>0</v>
      </c>
      <c r="F104" s="3">
        <f t="shared" si="5"/>
        <v>168</v>
      </c>
      <c r="G104" s="23">
        <f>IFERROR(IF($C$13="No","N/A",IF(Table157[[#This Row],[Period]]=1,$C$6,PMT(InterestRate*AmortizationMultiplier/12,Table157[[#This Row],[Am Thru]],-Table157[[#This Row],[Beginning Balance]]))),0)</f>
        <v>0</v>
      </c>
      <c r="H104" s="3">
        <f>MAX(0,IF(C104=$C$4,D104,ROUND(IF($C$3="Fixed Principal",$C$6-Table157[[#This Row],[Interest]],IF($C$3="Interest Only",Table157[[#This Row],[Beginning Balance]]*ROUND(1-(1-IF($C$11="No",$E$8,1))^(1/12),6),MIN(IF($C$13="Yes",Table157[[#This Row],[Payment Amount (Reamortized)]],$C$6)-Table157[[#This Row],[Interest]],Table157[[#This Row],[Beginning Balance]]))),2)))</f>
        <v>0</v>
      </c>
      <c r="I104" s="3">
        <f>_xlfn.SINGLE(IF($C$3="Line of Credit",0,ROUND(MAX(MIN(IF($C$10="No",$E$7,VLOOKUP(Table157[[#This Row],[Period]],Forecast!$H$2:$L$1048576,4,FALSE))*Table157[[#This Row],[Beginning Balance]],Table157[[#This Row],[Beginning Balance]]-Table157[[#This Row],[Principal]]),0),2)))</f>
        <v>0</v>
      </c>
      <c r="J104" s="3">
        <f>ROUND(MIN(Table157[[#This Row],[Beginning Balance]]*IF($C$8="No",$E$3,VLOOKUP(Table157[[#This Row],[Period]],Forecast!$H$2:$L$1048576,2,FALSE)),Table157[[#This Row],[Beginning Balance]]-Table157[[#This Row],[Principal]]-Table157[[#This Row],[Prepayments]]),2)</f>
        <v>0</v>
      </c>
      <c r="K104" s="3">
        <f>ROUND(Table157[[#This Row],[Defaulted Principal]]*IF($C$9="No",$E$4,VLOOKUP(Table157[[#This Row],[Period]],Forecast!$H$2:$L$1048576,3,FALSE)),2)</f>
        <v>0</v>
      </c>
      <c r="L104" s="2">
        <f>Table157[[#This Row],[Period]]+$E$9</f>
        <v>100</v>
      </c>
      <c r="M104" s="3">
        <f>Table157[[#This Row],[Defaulted Principal]]-Table157[[#This Row],[Estimated Loss]]</f>
        <v>0</v>
      </c>
      <c r="N104" s="3">
        <f>IFERROR(VLOOKUP(Table157[[#This Row],[Period]],$L$16:$M$385,2,FALSE),0)</f>
        <v>0</v>
      </c>
      <c r="O104" s="3">
        <f>Table157[[#This Row],[Beginning Balance]]-Table157[[#This Row],[Principal]]-Table157[[#This Row],[Prepayments]]-Table157[[#This Row],[Defaulted Principal]]</f>
        <v>0</v>
      </c>
      <c r="P104" s="3">
        <f>Table157[[#This Row],[Principal]]+Table157[[#This Row],[Interest]]+Table157[[#This Row],[Prepayments]]+Table157[[#This Row],[RecoveredAmount]]</f>
        <v>0</v>
      </c>
      <c r="Q104" s="3">
        <f ca="1">ROUND(Table157[[#This Row],[Cash Flow]]/((1+ActualRateToUse)^(IF(ISNUMBER(SEARCH("Actual",$C$7)),Table157[[#This Row],[Running Total]]/365,Table157[[#This Row],[Period]]/12))),2)</f>
        <v>0</v>
      </c>
      <c r="R104" s="2">
        <f>IF(MONTH(Table157[[#This Row],[Date]])=2,28,DAY(DATE(YEAR(Table157[[#This Row],[Date]]),MONTH(Table157[[#This Row],[Date]])+1,1)-1))</f>
        <v>31</v>
      </c>
      <c r="S104" s="2">
        <f ca="1">SUM(OFFSET(Table157[[#Headers],[Days in month]],1,0):Table157[[#This Row],[Days in month]])</f>
        <v>2678</v>
      </c>
      <c r="T104" s="37">
        <f>InterestRate*AmortizationMultiplier*IF(ISNUMBER(SEARCH("Actual",$C$7)),Table157[[#This Row],[Days in month]]/365,1/12)</f>
        <v>2.9708333333333331E-3</v>
      </c>
    </row>
    <row r="105" spans="2:20" x14ac:dyDescent="0.2">
      <c r="B105" s="1">
        <v>48548</v>
      </c>
      <c r="C105" s="2">
        <f t="shared" si="4"/>
        <v>89</v>
      </c>
      <c r="D105" s="3">
        <f t="shared" si="3"/>
        <v>0</v>
      </c>
      <c r="E105" s="3">
        <f>ROUND(Table157[[#This Row],[Beginning Balance]]*Table157[[#This Row],[Monthly Interest Rate]],2)</f>
        <v>0</v>
      </c>
      <c r="F105" s="3">
        <f t="shared" si="5"/>
        <v>167</v>
      </c>
      <c r="G105" s="23">
        <f>IFERROR(IF($C$13="No","N/A",IF(Table157[[#This Row],[Period]]=1,$C$6,PMT(InterestRate*AmortizationMultiplier/12,Table157[[#This Row],[Am Thru]],-Table157[[#This Row],[Beginning Balance]]))),0)</f>
        <v>0</v>
      </c>
      <c r="H105" s="3">
        <f>MAX(0,IF(C105=$C$4,D105,ROUND(IF($C$3="Fixed Principal",$C$6-Table157[[#This Row],[Interest]],IF($C$3="Interest Only",Table157[[#This Row],[Beginning Balance]]*ROUND(1-(1-IF($C$11="No",$E$8,1))^(1/12),6),MIN(IF($C$13="Yes",Table157[[#This Row],[Payment Amount (Reamortized)]],$C$6)-Table157[[#This Row],[Interest]],Table157[[#This Row],[Beginning Balance]]))),2)))</f>
        <v>0</v>
      </c>
      <c r="I105" s="3">
        <f>_xlfn.SINGLE(IF($C$3="Line of Credit",0,ROUND(MAX(MIN(IF($C$10="No",$E$7,VLOOKUP(Table157[[#This Row],[Period]],Forecast!$H$2:$L$1048576,4,FALSE))*Table157[[#This Row],[Beginning Balance]],Table157[[#This Row],[Beginning Balance]]-Table157[[#This Row],[Principal]]),0),2)))</f>
        <v>0</v>
      </c>
      <c r="J105" s="3">
        <f>ROUND(MIN(Table157[[#This Row],[Beginning Balance]]*IF($C$8="No",$E$3,VLOOKUP(Table157[[#This Row],[Period]],Forecast!$H$2:$L$1048576,2,FALSE)),Table157[[#This Row],[Beginning Balance]]-Table157[[#This Row],[Principal]]-Table157[[#This Row],[Prepayments]]),2)</f>
        <v>0</v>
      </c>
      <c r="K105" s="3">
        <f>ROUND(Table157[[#This Row],[Defaulted Principal]]*IF($C$9="No",$E$4,VLOOKUP(Table157[[#This Row],[Period]],Forecast!$H$2:$L$1048576,3,FALSE)),2)</f>
        <v>0</v>
      </c>
      <c r="L105" s="2">
        <f>Table157[[#This Row],[Period]]+$E$9</f>
        <v>101</v>
      </c>
      <c r="M105" s="3">
        <f>Table157[[#This Row],[Defaulted Principal]]-Table157[[#This Row],[Estimated Loss]]</f>
        <v>0</v>
      </c>
      <c r="N105" s="3">
        <f>IFERROR(VLOOKUP(Table157[[#This Row],[Period]],$L$16:$M$385,2,FALSE),0)</f>
        <v>0</v>
      </c>
      <c r="O105" s="3">
        <f>Table157[[#This Row],[Beginning Balance]]-Table157[[#This Row],[Principal]]-Table157[[#This Row],[Prepayments]]-Table157[[#This Row],[Defaulted Principal]]</f>
        <v>0</v>
      </c>
      <c r="P105" s="3">
        <f>Table157[[#This Row],[Principal]]+Table157[[#This Row],[Interest]]+Table157[[#This Row],[Prepayments]]+Table157[[#This Row],[RecoveredAmount]]</f>
        <v>0</v>
      </c>
      <c r="Q105" s="3">
        <f ca="1">ROUND(Table157[[#This Row],[Cash Flow]]/((1+ActualRateToUse)^(IF(ISNUMBER(SEARCH("Actual",$C$7)),Table157[[#This Row],[Running Total]]/365,Table157[[#This Row],[Period]]/12))),2)</f>
        <v>0</v>
      </c>
      <c r="R105" s="2">
        <f>IF(MONTH(Table157[[#This Row],[Date]])=2,28,DAY(DATE(YEAR(Table157[[#This Row],[Date]]),MONTH(Table157[[#This Row],[Date]])+1,1)-1))</f>
        <v>30</v>
      </c>
      <c r="S105" s="2">
        <f ca="1">SUM(OFFSET(Table157[[#Headers],[Days in month]],1,0):Table157[[#This Row],[Days in month]])</f>
        <v>2708</v>
      </c>
      <c r="T105" s="37">
        <f>InterestRate*AmortizationMultiplier*IF(ISNUMBER(SEARCH("Actual",$C$7)),Table157[[#This Row],[Days in month]]/365,1/12)</f>
        <v>2.8749999999999995E-3</v>
      </c>
    </row>
    <row r="106" spans="2:20" x14ac:dyDescent="0.2">
      <c r="B106" s="1">
        <v>48579</v>
      </c>
      <c r="C106" s="2">
        <f t="shared" si="4"/>
        <v>90</v>
      </c>
      <c r="D106" s="3">
        <f t="shared" si="3"/>
        <v>0</v>
      </c>
      <c r="E106" s="3">
        <f>ROUND(Table157[[#This Row],[Beginning Balance]]*Table157[[#This Row],[Monthly Interest Rate]],2)</f>
        <v>0</v>
      </c>
      <c r="F106" s="3">
        <f t="shared" si="5"/>
        <v>166</v>
      </c>
      <c r="G106" s="23">
        <f>IFERROR(IF($C$13="No","N/A",IF(Table157[[#This Row],[Period]]=1,$C$6,PMT(InterestRate*AmortizationMultiplier/12,Table157[[#This Row],[Am Thru]],-Table157[[#This Row],[Beginning Balance]]))),0)</f>
        <v>0</v>
      </c>
      <c r="H106" s="3">
        <f>MAX(0,IF(C106=$C$4,D106,ROUND(IF($C$3="Fixed Principal",$C$6-Table157[[#This Row],[Interest]],IF($C$3="Interest Only",Table157[[#This Row],[Beginning Balance]]*ROUND(1-(1-IF($C$11="No",$E$8,1))^(1/12),6),MIN(IF($C$13="Yes",Table157[[#This Row],[Payment Amount (Reamortized)]],$C$6)-Table157[[#This Row],[Interest]],Table157[[#This Row],[Beginning Balance]]))),2)))</f>
        <v>0</v>
      </c>
      <c r="I106" s="3">
        <f>_xlfn.SINGLE(IF($C$3="Line of Credit",0,ROUND(MAX(MIN(IF($C$10="No",$E$7,VLOOKUP(Table157[[#This Row],[Period]],Forecast!$H$2:$L$1048576,4,FALSE))*Table157[[#This Row],[Beginning Balance]],Table157[[#This Row],[Beginning Balance]]-Table157[[#This Row],[Principal]]),0),2)))</f>
        <v>0</v>
      </c>
      <c r="J106" s="3">
        <f>ROUND(MIN(Table157[[#This Row],[Beginning Balance]]*IF($C$8="No",$E$3,VLOOKUP(Table157[[#This Row],[Period]],Forecast!$H$2:$L$1048576,2,FALSE)),Table157[[#This Row],[Beginning Balance]]-Table157[[#This Row],[Principal]]-Table157[[#This Row],[Prepayments]]),2)</f>
        <v>0</v>
      </c>
      <c r="K106" s="3">
        <f>ROUND(Table157[[#This Row],[Defaulted Principal]]*IF($C$9="No",$E$4,VLOOKUP(Table157[[#This Row],[Period]],Forecast!$H$2:$L$1048576,3,FALSE)),2)</f>
        <v>0</v>
      </c>
      <c r="L106" s="2">
        <f>Table157[[#This Row],[Period]]+$E$9</f>
        <v>102</v>
      </c>
      <c r="M106" s="3">
        <f>Table157[[#This Row],[Defaulted Principal]]-Table157[[#This Row],[Estimated Loss]]</f>
        <v>0</v>
      </c>
      <c r="N106" s="3">
        <f>IFERROR(VLOOKUP(Table157[[#This Row],[Period]],$L$16:$M$385,2,FALSE),0)</f>
        <v>0</v>
      </c>
      <c r="O106" s="3">
        <f>Table157[[#This Row],[Beginning Balance]]-Table157[[#This Row],[Principal]]-Table157[[#This Row],[Prepayments]]-Table157[[#This Row],[Defaulted Principal]]</f>
        <v>0</v>
      </c>
      <c r="P106" s="3">
        <f>Table157[[#This Row],[Principal]]+Table157[[#This Row],[Interest]]+Table157[[#This Row],[Prepayments]]+Table157[[#This Row],[RecoveredAmount]]</f>
        <v>0</v>
      </c>
      <c r="Q106" s="3">
        <f ca="1">ROUND(Table157[[#This Row],[Cash Flow]]/((1+ActualRateToUse)^(IF(ISNUMBER(SEARCH("Actual",$C$7)),Table157[[#This Row],[Running Total]]/365,Table157[[#This Row],[Period]]/12))),2)</f>
        <v>0</v>
      </c>
      <c r="R106" s="2">
        <f>IF(MONTH(Table157[[#This Row],[Date]])=2,28,DAY(DATE(YEAR(Table157[[#This Row],[Date]]),MONTH(Table157[[#This Row],[Date]])+1,1)-1))</f>
        <v>31</v>
      </c>
      <c r="S106" s="2">
        <f ca="1">SUM(OFFSET(Table157[[#Headers],[Days in month]],1,0):Table157[[#This Row],[Days in month]])</f>
        <v>2739</v>
      </c>
      <c r="T106" s="37">
        <f>InterestRate*AmortizationMultiplier*IF(ISNUMBER(SEARCH("Actual",$C$7)),Table157[[#This Row],[Days in month]]/365,1/12)</f>
        <v>2.9708333333333331E-3</v>
      </c>
    </row>
    <row r="107" spans="2:20" x14ac:dyDescent="0.2">
      <c r="B107" s="1">
        <v>48610</v>
      </c>
      <c r="C107" s="2">
        <f t="shared" si="4"/>
        <v>91</v>
      </c>
      <c r="D107" s="3">
        <f t="shared" si="3"/>
        <v>0</v>
      </c>
      <c r="E107" s="3">
        <f>ROUND(Table157[[#This Row],[Beginning Balance]]*Table157[[#This Row],[Monthly Interest Rate]],2)</f>
        <v>0</v>
      </c>
      <c r="F107" s="3">
        <f t="shared" si="5"/>
        <v>165</v>
      </c>
      <c r="G107" s="23">
        <f>IFERROR(IF($C$13="No","N/A",IF(Table157[[#This Row],[Period]]=1,$C$6,PMT(InterestRate*AmortizationMultiplier/12,Table157[[#This Row],[Am Thru]],-Table157[[#This Row],[Beginning Balance]]))),0)</f>
        <v>0</v>
      </c>
      <c r="H107" s="3">
        <f>MAX(0,IF(C107=$C$4,D107,ROUND(IF($C$3="Fixed Principal",$C$6-Table157[[#This Row],[Interest]],IF($C$3="Interest Only",Table157[[#This Row],[Beginning Balance]]*ROUND(1-(1-IF($C$11="No",$E$8,1))^(1/12),6),MIN(IF($C$13="Yes",Table157[[#This Row],[Payment Amount (Reamortized)]],$C$6)-Table157[[#This Row],[Interest]],Table157[[#This Row],[Beginning Balance]]))),2)))</f>
        <v>0</v>
      </c>
      <c r="I107" s="3">
        <f>_xlfn.SINGLE(IF($C$3="Line of Credit",0,ROUND(MAX(MIN(IF($C$10="No",$E$7,VLOOKUP(Table157[[#This Row],[Period]],Forecast!$H$2:$L$1048576,4,FALSE))*Table157[[#This Row],[Beginning Balance]],Table157[[#This Row],[Beginning Balance]]-Table157[[#This Row],[Principal]]),0),2)))</f>
        <v>0</v>
      </c>
      <c r="J107" s="3">
        <f>ROUND(MIN(Table157[[#This Row],[Beginning Balance]]*IF($C$8="No",$E$3,VLOOKUP(Table157[[#This Row],[Period]],Forecast!$H$2:$L$1048576,2,FALSE)),Table157[[#This Row],[Beginning Balance]]-Table157[[#This Row],[Principal]]-Table157[[#This Row],[Prepayments]]),2)</f>
        <v>0</v>
      </c>
      <c r="K107" s="3">
        <f>ROUND(Table157[[#This Row],[Defaulted Principal]]*IF($C$9="No",$E$4,VLOOKUP(Table157[[#This Row],[Period]],Forecast!$H$2:$L$1048576,3,FALSE)),2)</f>
        <v>0</v>
      </c>
      <c r="L107" s="2">
        <f>Table157[[#This Row],[Period]]+$E$9</f>
        <v>103</v>
      </c>
      <c r="M107" s="3">
        <f>Table157[[#This Row],[Defaulted Principal]]-Table157[[#This Row],[Estimated Loss]]</f>
        <v>0</v>
      </c>
      <c r="N107" s="3">
        <f>IFERROR(VLOOKUP(Table157[[#This Row],[Period]],$L$16:$M$385,2,FALSE),0)</f>
        <v>0</v>
      </c>
      <c r="O107" s="3">
        <f>Table157[[#This Row],[Beginning Balance]]-Table157[[#This Row],[Principal]]-Table157[[#This Row],[Prepayments]]-Table157[[#This Row],[Defaulted Principal]]</f>
        <v>0</v>
      </c>
      <c r="P107" s="3">
        <f>Table157[[#This Row],[Principal]]+Table157[[#This Row],[Interest]]+Table157[[#This Row],[Prepayments]]+Table157[[#This Row],[RecoveredAmount]]</f>
        <v>0</v>
      </c>
      <c r="Q107" s="3">
        <f ca="1">ROUND(Table157[[#This Row],[Cash Flow]]/((1+ActualRateToUse)^(IF(ISNUMBER(SEARCH("Actual",$C$7)),Table157[[#This Row],[Running Total]]/365,Table157[[#This Row],[Period]]/12))),2)</f>
        <v>0</v>
      </c>
      <c r="R107" s="2">
        <f>IF(MONTH(Table157[[#This Row],[Date]])=2,28,DAY(DATE(YEAR(Table157[[#This Row],[Date]]),MONTH(Table157[[#This Row],[Date]])+1,1)-1))</f>
        <v>31</v>
      </c>
      <c r="S107" s="2">
        <f ca="1">SUM(OFFSET(Table157[[#Headers],[Days in month]],1,0):Table157[[#This Row],[Days in month]])</f>
        <v>2770</v>
      </c>
      <c r="T107" s="37">
        <f>InterestRate*AmortizationMultiplier*IF(ISNUMBER(SEARCH("Actual",$C$7)),Table157[[#This Row],[Days in month]]/365,1/12)</f>
        <v>2.9708333333333331E-3</v>
      </c>
    </row>
    <row r="108" spans="2:20" x14ac:dyDescent="0.2">
      <c r="B108" s="1">
        <v>48638</v>
      </c>
      <c r="C108" s="2">
        <f t="shared" si="4"/>
        <v>92</v>
      </c>
      <c r="D108" s="3">
        <f t="shared" si="3"/>
        <v>0</v>
      </c>
      <c r="E108" s="3">
        <f>ROUND(Table157[[#This Row],[Beginning Balance]]*Table157[[#This Row],[Monthly Interest Rate]],2)</f>
        <v>0</v>
      </c>
      <c r="F108" s="3">
        <f t="shared" si="5"/>
        <v>164</v>
      </c>
      <c r="G108" s="23">
        <f>IFERROR(IF($C$13="No","N/A",IF(Table157[[#This Row],[Period]]=1,$C$6,PMT(InterestRate*AmortizationMultiplier/12,Table157[[#This Row],[Am Thru]],-Table157[[#This Row],[Beginning Balance]]))),0)</f>
        <v>0</v>
      </c>
      <c r="H108" s="3">
        <f>MAX(0,IF(C108=$C$4,D108,ROUND(IF($C$3="Fixed Principal",$C$6-Table157[[#This Row],[Interest]],IF($C$3="Interest Only",Table157[[#This Row],[Beginning Balance]]*ROUND(1-(1-IF($C$11="No",$E$8,1))^(1/12),6),MIN(IF($C$13="Yes",Table157[[#This Row],[Payment Amount (Reamortized)]],$C$6)-Table157[[#This Row],[Interest]],Table157[[#This Row],[Beginning Balance]]))),2)))</f>
        <v>0</v>
      </c>
      <c r="I108" s="3">
        <f>_xlfn.SINGLE(IF($C$3="Line of Credit",0,ROUND(MAX(MIN(IF($C$10="No",$E$7,VLOOKUP(Table157[[#This Row],[Period]],Forecast!$H$2:$L$1048576,4,FALSE))*Table157[[#This Row],[Beginning Balance]],Table157[[#This Row],[Beginning Balance]]-Table157[[#This Row],[Principal]]),0),2)))</f>
        <v>0</v>
      </c>
      <c r="J108" s="3">
        <f>ROUND(MIN(Table157[[#This Row],[Beginning Balance]]*IF($C$8="No",$E$3,VLOOKUP(Table157[[#This Row],[Period]],Forecast!$H$2:$L$1048576,2,FALSE)),Table157[[#This Row],[Beginning Balance]]-Table157[[#This Row],[Principal]]-Table157[[#This Row],[Prepayments]]),2)</f>
        <v>0</v>
      </c>
      <c r="K108" s="3">
        <f>ROUND(Table157[[#This Row],[Defaulted Principal]]*IF($C$9="No",$E$4,VLOOKUP(Table157[[#This Row],[Period]],Forecast!$H$2:$L$1048576,3,FALSE)),2)</f>
        <v>0</v>
      </c>
      <c r="L108" s="2">
        <f>Table157[[#This Row],[Period]]+$E$9</f>
        <v>104</v>
      </c>
      <c r="M108" s="3">
        <f>Table157[[#This Row],[Defaulted Principal]]-Table157[[#This Row],[Estimated Loss]]</f>
        <v>0</v>
      </c>
      <c r="N108" s="3">
        <f>IFERROR(VLOOKUP(Table157[[#This Row],[Period]],$L$16:$M$385,2,FALSE),0)</f>
        <v>0</v>
      </c>
      <c r="O108" s="3">
        <f>Table157[[#This Row],[Beginning Balance]]-Table157[[#This Row],[Principal]]-Table157[[#This Row],[Prepayments]]-Table157[[#This Row],[Defaulted Principal]]</f>
        <v>0</v>
      </c>
      <c r="P108" s="3">
        <f>Table157[[#This Row],[Principal]]+Table157[[#This Row],[Interest]]+Table157[[#This Row],[Prepayments]]+Table157[[#This Row],[RecoveredAmount]]</f>
        <v>0</v>
      </c>
      <c r="Q108" s="3">
        <f ca="1">ROUND(Table157[[#This Row],[Cash Flow]]/((1+ActualRateToUse)^(IF(ISNUMBER(SEARCH("Actual",$C$7)),Table157[[#This Row],[Running Total]]/365,Table157[[#This Row],[Period]]/12))),2)</f>
        <v>0</v>
      </c>
      <c r="R108" s="2">
        <f>IF(MONTH(Table157[[#This Row],[Date]])=2,28,DAY(DATE(YEAR(Table157[[#This Row],[Date]]),MONTH(Table157[[#This Row],[Date]])+1,1)-1))</f>
        <v>28</v>
      </c>
      <c r="S108" s="2">
        <f ca="1">SUM(OFFSET(Table157[[#Headers],[Days in month]],1,0):Table157[[#This Row],[Days in month]])</f>
        <v>2798</v>
      </c>
      <c r="T108" s="37">
        <f>InterestRate*AmortizationMultiplier*IF(ISNUMBER(SEARCH("Actual",$C$7)),Table157[[#This Row],[Days in month]]/365,1/12)</f>
        <v>2.6833333333333336E-3</v>
      </c>
    </row>
    <row r="109" spans="2:20" x14ac:dyDescent="0.2">
      <c r="B109" s="1">
        <v>48669</v>
      </c>
      <c r="C109" s="2">
        <f t="shared" si="4"/>
        <v>93</v>
      </c>
      <c r="D109" s="3">
        <f t="shared" si="3"/>
        <v>0</v>
      </c>
      <c r="E109" s="3">
        <f>ROUND(Table157[[#This Row],[Beginning Balance]]*Table157[[#This Row],[Monthly Interest Rate]],2)</f>
        <v>0</v>
      </c>
      <c r="F109" s="3">
        <f t="shared" si="5"/>
        <v>163</v>
      </c>
      <c r="G109" s="23">
        <f>IFERROR(IF($C$13="No","N/A",IF(Table157[[#This Row],[Period]]=1,$C$6,PMT(InterestRate*AmortizationMultiplier/12,Table157[[#This Row],[Am Thru]],-Table157[[#This Row],[Beginning Balance]]))),0)</f>
        <v>0</v>
      </c>
      <c r="H109" s="3">
        <f>MAX(0,IF(C109=$C$4,D109,ROUND(IF($C$3="Fixed Principal",$C$6-Table157[[#This Row],[Interest]],IF($C$3="Interest Only",Table157[[#This Row],[Beginning Balance]]*ROUND(1-(1-IF($C$11="No",$E$8,1))^(1/12),6),MIN(IF($C$13="Yes",Table157[[#This Row],[Payment Amount (Reamortized)]],$C$6)-Table157[[#This Row],[Interest]],Table157[[#This Row],[Beginning Balance]]))),2)))</f>
        <v>0</v>
      </c>
      <c r="I109" s="3">
        <f>_xlfn.SINGLE(IF($C$3="Line of Credit",0,ROUND(MAX(MIN(IF($C$10="No",$E$7,VLOOKUP(Table157[[#This Row],[Period]],Forecast!$H$2:$L$1048576,4,FALSE))*Table157[[#This Row],[Beginning Balance]],Table157[[#This Row],[Beginning Balance]]-Table157[[#This Row],[Principal]]),0),2)))</f>
        <v>0</v>
      </c>
      <c r="J109" s="3">
        <f>ROUND(MIN(Table157[[#This Row],[Beginning Balance]]*IF($C$8="No",$E$3,VLOOKUP(Table157[[#This Row],[Period]],Forecast!$H$2:$L$1048576,2,FALSE)),Table157[[#This Row],[Beginning Balance]]-Table157[[#This Row],[Principal]]-Table157[[#This Row],[Prepayments]]),2)</f>
        <v>0</v>
      </c>
      <c r="K109" s="3">
        <f>ROUND(Table157[[#This Row],[Defaulted Principal]]*IF($C$9="No",$E$4,VLOOKUP(Table157[[#This Row],[Period]],Forecast!$H$2:$L$1048576,3,FALSE)),2)</f>
        <v>0</v>
      </c>
      <c r="L109" s="2">
        <f>Table157[[#This Row],[Period]]+$E$9</f>
        <v>105</v>
      </c>
      <c r="M109" s="3">
        <f>Table157[[#This Row],[Defaulted Principal]]-Table157[[#This Row],[Estimated Loss]]</f>
        <v>0</v>
      </c>
      <c r="N109" s="3">
        <f>IFERROR(VLOOKUP(Table157[[#This Row],[Period]],$L$16:$M$385,2,FALSE),0)</f>
        <v>0</v>
      </c>
      <c r="O109" s="3">
        <f>Table157[[#This Row],[Beginning Balance]]-Table157[[#This Row],[Principal]]-Table157[[#This Row],[Prepayments]]-Table157[[#This Row],[Defaulted Principal]]</f>
        <v>0</v>
      </c>
      <c r="P109" s="3">
        <f>Table157[[#This Row],[Principal]]+Table157[[#This Row],[Interest]]+Table157[[#This Row],[Prepayments]]+Table157[[#This Row],[RecoveredAmount]]</f>
        <v>0</v>
      </c>
      <c r="Q109" s="3">
        <f ca="1">ROUND(Table157[[#This Row],[Cash Flow]]/((1+ActualRateToUse)^(IF(ISNUMBER(SEARCH("Actual",$C$7)),Table157[[#This Row],[Running Total]]/365,Table157[[#This Row],[Period]]/12))),2)</f>
        <v>0</v>
      </c>
      <c r="R109" s="2">
        <f>IF(MONTH(Table157[[#This Row],[Date]])=2,28,DAY(DATE(YEAR(Table157[[#This Row],[Date]]),MONTH(Table157[[#This Row],[Date]])+1,1)-1))</f>
        <v>31</v>
      </c>
      <c r="S109" s="2">
        <f ca="1">SUM(OFFSET(Table157[[#Headers],[Days in month]],1,0):Table157[[#This Row],[Days in month]])</f>
        <v>2829</v>
      </c>
      <c r="T109" s="37">
        <f>InterestRate*AmortizationMultiplier*IF(ISNUMBER(SEARCH("Actual",$C$7)),Table157[[#This Row],[Days in month]]/365,1/12)</f>
        <v>2.9708333333333331E-3</v>
      </c>
    </row>
    <row r="110" spans="2:20" x14ac:dyDescent="0.2">
      <c r="B110" s="1">
        <v>48699</v>
      </c>
      <c r="C110" s="2">
        <f t="shared" si="4"/>
        <v>94</v>
      </c>
      <c r="D110" s="3">
        <f t="shared" si="3"/>
        <v>0</v>
      </c>
      <c r="E110" s="3">
        <f>ROUND(Table157[[#This Row],[Beginning Balance]]*Table157[[#This Row],[Monthly Interest Rate]],2)</f>
        <v>0</v>
      </c>
      <c r="F110" s="3">
        <f t="shared" si="5"/>
        <v>162</v>
      </c>
      <c r="G110" s="23">
        <f>IFERROR(IF($C$13="No","N/A",IF(Table157[[#This Row],[Period]]=1,$C$6,PMT(InterestRate*AmortizationMultiplier/12,Table157[[#This Row],[Am Thru]],-Table157[[#This Row],[Beginning Balance]]))),0)</f>
        <v>0</v>
      </c>
      <c r="H110" s="3">
        <f>MAX(0,IF(C110=$C$4,D110,ROUND(IF($C$3="Fixed Principal",$C$6-Table157[[#This Row],[Interest]],IF($C$3="Interest Only",Table157[[#This Row],[Beginning Balance]]*ROUND(1-(1-IF($C$11="No",$E$8,1))^(1/12),6),MIN(IF($C$13="Yes",Table157[[#This Row],[Payment Amount (Reamortized)]],$C$6)-Table157[[#This Row],[Interest]],Table157[[#This Row],[Beginning Balance]]))),2)))</f>
        <v>0</v>
      </c>
      <c r="I110" s="3">
        <f>_xlfn.SINGLE(IF($C$3="Line of Credit",0,ROUND(MAX(MIN(IF($C$10="No",$E$7,VLOOKUP(Table157[[#This Row],[Period]],Forecast!$H$2:$L$1048576,4,FALSE))*Table157[[#This Row],[Beginning Balance]],Table157[[#This Row],[Beginning Balance]]-Table157[[#This Row],[Principal]]),0),2)))</f>
        <v>0</v>
      </c>
      <c r="J110" s="3">
        <f>ROUND(MIN(Table157[[#This Row],[Beginning Balance]]*IF($C$8="No",$E$3,VLOOKUP(Table157[[#This Row],[Period]],Forecast!$H$2:$L$1048576,2,FALSE)),Table157[[#This Row],[Beginning Balance]]-Table157[[#This Row],[Principal]]-Table157[[#This Row],[Prepayments]]),2)</f>
        <v>0</v>
      </c>
      <c r="K110" s="3">
        <f>ROUND(Table157[[#This Row],[Defaulted Principal]]*IF($C$9="No",$E$4,VLOOKUP(Table157[[#This Row],[Period]],Forecast!$H$2:$L$1048576,3,FALSE)),2)</f>
        <v>0</v>
      </c>
      <c r="L110" s="2">
        <f>Table157[[#This Row],[Period]]+$E$9</f>
        <v>106</v>
      </c>
      <c r="M110" s="3">
        <f>Table157[[#This Row],[Defaulted Principal]]-Table157[[#This Row],[Estimated Loss]]</f>
        <v>0</v>
      </c>
      <c r="N110" s="3">
        <f>IFERROR(VLOOKUP(Table157[[#This Row],[Period]],$L$16:$M$385,2,FALSE),0)</f>
        <v>0</v>
      </c>
      <c r="O110" s="3">
        <f>Table157[[#This Row],[Beginning Balance]]-Table157[[#This Row],[Principal]]-Table157[[#This Row],[Prepayments]]-Table157[[#This Row],[Defaulted Principal]]</f>
        <v>0</v>
      </c>
      <c r="P110" s="3">
        <f>Table157[[#This Row],[Principal]]+Table157[[#This Row],[Interest]]+Table157[[#This Row],[Prepayments]]+Table157[[#This Row],[RecoveredAmount]]</f>
        <v>0</v>
      </c>
      <c r="Q110" s="3">
        <f ca="1">ROUND(Table157[[#This Row],[Cash Flow]]/((1+ActualRateToUse)^(IF(ISNUMBER(SEARCH("Actual",$C$7)),Table157[[#This Row],[Running Total]]/365,Table157[[#This Row],[Period]]/12))),2)</f>
        <v>0</v>
      </c>
      <c r="R110" s="2">
        <f>IF(MONTH(Table157[[#This Row],[Date]])=2,28,DAY(DATE(YEAR(Table157[[#This Row],[Date]]),MONTH(Table157[[#This Row],[Date]])+1,1)-1))</f>
        <v>30</v>
      </c>
      <c r="S110" s="2">
        <f ca="1">SUM(OFFSET(Table157[[#Headers],[Days in month]],1,0):Table157[[#This Row],[Days in month]])</f>
        <v>2859</v>
      </c>
      <c r="T110" s="37">
        <f>InterestRate*AmortizationMultiplier*IF(ISNUMBER(SEARCH("Actual",$C$7)),Table157[[#This Row],[Days in month]]/365,1/12)</f>
        <v>2.8749999999999995E-3</v>
      </c>
    </row>
    <row r="111" spans="2:20" x14ac:dyDescent="0.2">
      <c r="B111" s="1">
        <v>48730</v>
      </c>
      <c r="C111" s="2">
        <f t="shared" si="4"/>
        <v>95</v>
      </c>
      <c r="D111" s="3">
        <f t="shared" si="3"/>
        <v>0</v>
      </c>
      <c r="E111" s="3">
        <f>ROUND(Table157[[#This Row],[Beginning Balance]]*Table157[[#This Row],[Monthly Interest Rate]],2)</f>
        <v>0</v>
      </c>
      <c r="F111" s="3">
        <f t="shared" si="5"/>
        <v>161</v>
      </c>
      <c r="G111" s="23">
        <f>IFERROR(IF($C$13="No","N/A",IF(Table157[[#This Row],[Period]]=1,$C$6,PMT(InterestRate*AmortizationMultiplier/12,Table157[[#This Row],[Am Thru]],-Table157[[#This Row],[Beginning Balance]]))),0)</f>
        <v>0</v>
      </c>
      <c r="H111" s="3">
        <f>MAX(0,IF(C111=$C$4,D111,ROUND(IF($C$3="Fixed Principal",$C$6-Table157[[#This Row],[Interest]],IF($C$3="Interest Only",Table157[[#This Row],[Beginning Balance]]*ROUND(1-(1-IF($C$11="No",$E$8,1))^(1/12),6),MIN(IF($C$13="Yes",Table157[[#This Row],[Payment Amount (Reamortized)]],$C$6)-Table157[[#This Row],[Interest]],Table157[[#This Row],[Beginning Balance]]))),2)))</f>
        <v>0</v>
      </c>
      <c r="I111" s="3">
        <f>_xlfn.SINGLE(IF($C$3="Line of Credit",0,ROUND(MAX(MIN(IF($C$10="No",$E$7,VLOOKUP(Table157[[#This Row],[Period]],Forecast!$H$2:$L$1048576,4,FALSE))*Table157[[#This Row],[Beginning Balance]],Table157[[#This Row],[Beginning Balance]]-Table157[[#This Row],[Principal]]),0),2)))</f>
        <v>0</v>
      </c>
      <c r="J111" s="3">
        <f>ROUND(MIN(Table157[[#This Row],[Beginning Balance]]*IF($C$8="No",$E$3,VLOOKUP(Table157[[#This Row],[Period]],Forecast!$H$2:$L$1048576,2,FALSE)),Table157[[#This Row],[Beginning Balance]]-Table157[[#This Row],[Principal]]-Table157[[#This Row],[Prepayments]]),2)</f>
        <v>0</v>
      </c>
      <c r="K111" s="3">
        <f>ROUND(Table157[[#This Row],[Defaulted Principal]]*IF($C$9="No",$E$4,VLOOKUP(Table157[[#This Row],[Period]],Forecast!$H$2:$L$1048576,3,FALSE)),2)</f>
        <v>0</v>
      </c>
      <c r="L111" s="2">
        <f>Table157[[#This Row],[Period]]+$E$9</f>
        <v>107</v>
      </c>
      <c r="M111" s="3">
        <f>Table157[[#This Row],[Defaulted Principal]]-Table157[[#This Row],[Estimated Loss]]</f>
        <v>0</v>
      </c>
      <c r="N111" s="3">
        <f>IFERROR(VLOOKUP(Table157[[#This Row],[Period]],$L$16:$M$385,2,FALSE),0)</f>
        <v>0</v>
      </c>
      <c r="O111" s="3">
        <f>Table157[[#This Row],[Beginning Balance]]-Table157[[#This Row],[Principal]]-Table157[[#This Row],[Prepayments]]-Table157[[#This Row],[Defaulted Principal]]</f>
        <v>0</v>
      </c>
      <c r="P111" s="3">
        <f>Table157[[#This Row],[Principal]]+Table157[[#This Row],[Interest]]+Table157[[#This Row],[Prepayments]]+Table157[[#This Row],[RecoveredAmount]]</f>
        <v>0</v>
      </c>
      <c r="Q111" s="3">
        <f ca="1">ROUND(Table157[[#This Row],[Cash Flow]]/((1+ActualRateToUse)^(IF(ISNUMBER(SEARCH("Actual",$C$7)),Table157[[#This Row],[Running Total]]/365,Table157[[#This Row],[Period]]/12))),2)</f>
        <v>0</v>
      </c>
      <c r="R111" s="2">
        <f>IF(MONTH(Table157[[#This Row],[Date]])=2,28,DAY(DATE(YEAR(Table157[[#This Row],[Date]]),MONTH(Table157[[#This Row],[Date]])+1,1)-1))</f>
        <v>31</v>
      </c>
      <c r="S111" s="2">
        <f ca="1">SUM(OFFSET(Table157[[#Headers],[Days in month]],1,0):Table157[[#This Row],[Days in month]])</f>
        <v>2890</v>
      </c>
      <c r="T111" s="37">
        <f>InterestRate*AmortizationMultiplier*IF(ISNUMBER(SEARCH("Actual",$C$7)),Table157[[#This Row],[Days in month]]/365,1/12)</f>
        <v>2.9708333333333331E-3</v>
      </c>
    </row>
    <row r="112" spans="2:20" x14ac:dyDescent="0.2">
      <c r="B112" s="1">
        <v>48760</v>
      </c>
      <c r="C112" s="2">
        <f t="shared" si="4"/>
        <v>96</v>
      </c>
      <c r="D112" s="3">
        <f t="shared" si="3"/>
        <v>0</v>
      </c>
      <c r="E112" s="3">
        <f>ROUND(Table157[[#This Row],[Beginning Balance]]*Table157[[#This Row],[Monthly Interest Rate]],2)</f>
        <v>0</v>
      </c>
      <c r="F112" s="3">
        <f t="shared" si="5"/>
        <v>160</v>
      </c>
      <c r="G112" s="23">
        <f>IFERROR(IF($C$13="No","N/A",IF(Table157[[#This Row],[Period]]=1,$C$6,PMT(InterestRate*AmortizationMultiplier/12,Table157[[#This Row],[Am Thru]],-Table157[[#This Row],[Beginning Balance]]))),0)</f>
        <v>0</v>
      </c>
      <c r="H112" s="3">
        <f>MAX(0,IF(C112=$C$4,D112,ROUND(IF($C$3="Fixed Principal",$C$6-Table157[[#This Row],[Interest]],IF($C$3="Interest Only",Table157[[#This Row],[Beginning Balance]]*ROUND(1-(1-IF($C$11="No",$E$8,1))^(1/12),6),MIN(IF($C$13="Yes",Table157[[#This Row],[Payment Amount (Reamortized)]],$C$6)-Table157[[#This Row],[Interest]],Table157[[#This Row],[Beginning Balance]]))),2)))</f>
        <v>0</v>
      </c>
      <c r="I112" s="3">
        <f>_xlfn.SINGLE(IF($C$3="Line of Credit",0,ROUND(MAX(MIN(IF($C$10="No",$E$7,VLOOKUP(Table157[[#This Row],[Period]],Forecast!$H$2:$L$1048576,4,FALSE))*Table157[[#This Row],[Beginning Balance]],Table157[[#This Row],[Beginning Balance]]-Table157[[#This Row],[Principal]]),0),2)))</f>
        <v>0</v>
      </c>
      <c r="J112" s="3">
        <f>ROUND(MIN(Table157[[#This Row],[Beginning Balance]]*IF($C$8="No",$E$3,VLOOKUP(Table157[[#This Row],[Period]],Forecast!$H$2:$L$1048576,2,FALSE)),Table157[[#This Row],[Beginning Balance]]-Table157[[#This Row],[Principal]]-Table157[[#This Row],[Prepayments]]),2)</f>
        <v>0</v>
      </c>
      <c r="K112" s="3">
        <f>ROUND(Table157[[#This Row],[Defaulted Principal]]*IF($C$9="No",$E$4,VLOOKUP(Table157[[#This Row],[Period]],Forecast!$H$2:$L$1048576,3,FALSE)),2)</f>
        <v>0</v>
      </c>
      <c r="L112" s="2">
        <f>Table157[[#This Row],[Period]]+$E$9</f>
        <v>108</v>
      </c>
      <c r="M112" s="3">
        <f>Table157[[#This Row],[Defaulted Principal]]-Table157[[#This Row],[Estimated Loss]]</f>
        <v>0</v>
      </c>
      <c r="N112" s="3">
        <f>IFERROR(VLOOKUP(Table157[[#This Row],[Period]],$L$16:$M$385,2,FALSE),0)</f>
        <v>0</v>
      </c>
      <c r="O112" s="3">
        <f>Table157[[#This Row],[Beginning Balance]]-Table157[[#This Row],[Principal]]-Table157[[#This Row],[Prepayments]]-Table157[[#This Row],[Defaulted Principal]]</f>
        <v>0</v>
      </c>
      <c r="P112" s="3">
        <f>Table157[[#This Row],[Principal]]+Table157[[#This Row],[Interest]]+Table157[[#This Row],[Prepayments]]+Table157[[#This Row],[RecoveredAmount]]</f>
        <v>0</v>
      </c>
      <c r="Q112" s="3">
        <f ca="1">ROUND(Table157[[#This Row],[Cash Flow]]/((1+ActualRateToUse)^(IF(ISNUMBER(SEARCH("Actual",$C$7)),Table157[[#This Row],[Running Total]]/365,Table157[[#This Row],[Period]]/12))),2)</f>
        <v>0</v>
      </c>
      <c r="R112" s="2">
        <f>IF(MONTH(Table157[[#This Row],[Date]])=2,28,DAY(DATE(YEAR(Table157[[#This Row],[Date]]),MONTH(Table157[[#This Row],[Date]])+1,1)-1))</f>
        <v>30</v>
      </c>
      <c r="S112" s="2">
        <f ca="1">SUM(OFFSET(Table157[[#Headers],[Days in month]],1,0):Table157[[#This Row],[Days in month]])</f>
        <v>2920</v>
      </c>
      <c r="T112" s="37">
        <f>InterestRate*AmortizationMultiplier*IF(ISNUMBER(SEARCH("Actual",$C$7)),Table157[[#This Row],[Days in month]]/365,1/12)</f>
        <v>2.8749999999999995E-3</v>
      </c>
    </row>
    <row r="113" spans="2:20" x14ac:dyDescent="0.2">
      <c r="B113" s="1">
        <v>48791</v>
      </c>
      <c r="C113" s="2">
        <f t="shared" si="4"/>
        <v>97</v>
      </c>
      <c r="D113" s="3">
        <f t="shared" si="3"/>
        <v>0</v>
      </c>
      <c r="E113" s="3">
        <f>ROUND(Table157[[#This Row],[Beginning Balance]]*Table157[[#This Row],[Monthly Interest Rate]],2)</f>
        <v>0</v>
      </c>
      <c r="F113" s="3">
        <f t="shared" si="5"/>
        <v>159</v>
      </c>
      <c r="G113" s="23">
        <f>IFERROR(IF($C$13="No","N/A",IF(Table157[[#This Row],[Period]]=1,$C$6,PMT(InterestRate*AmortizationMultiplier/12,Table157[[#This Row],[Am Thru]],-Table157[[#This Row],[Beginning Balance]]))),0)</f>
        <v>0</v>
      </c>
      <c r="H113" s="3">
        <f>MAX(0,IF(C113=$C$4,D113,ROUND(IF($C$3="Fixed Principal",$C$6-Table157[[#This Row],[Interest]],IF($C$3="Interest Only",Table157[[#This Row],[Beginning Balance]]*ROUND(1-(1-IF($C$11="No",$E$8,1))^(1/12),6),MIN(IF($C$13="Yes",Table157[[#This Row],[Payment Amount (Reamortized)]],$C$6)-Table157[[#This Row],[Interest]],Table157[[#This Row],[Beginning Balance]]))),2)))</f>
        <v>0</v>
      </c>
      <c r="I113" s="3">
        <f>_xlfn.SINGLE(IF($C$3="Line of Credit",0,ROUND(MAX(MIN(IF($C$10="No",$E$7,VLOOKUP(Table157[[#This Row],[Period]],Forecast!$H$2:$L$1048576,4,FALSE))*Table157[[#This Row],[Beginning Balance]],Table157[[#This Row],[Beginning Balance]]-Table157[[#This Row],[Principal]]),0),2)))</f>
        <v>0</v>
      </c>
      <c r="J113" s="3">
        <f>ROUND(MIN(Table157[[#This Row],[Beginning Balance]]*IF($C$8="No",$E$3,VLOOKUP(Table157[[#This Row],[Period]],Forecast!$H$2:$L$1048576,2,FALSE)),Table157[[#This Row],[Beginning Balance]]-Table157[[#This Row],[Principal]]-Table157[[#This Row],[Prepayments]]),2)</f>
        <v>0</v>
      </c>
      <c r="K113" s="3">
        <f>ROUND(Table157[[#This Row],[Defaulted Principal]]*IF($C$9="No",$E$4,VLOOKUP(Table157[[#This Row],[Period]],Forecast!$H$2:$L$1048576,3,FALSE)),2)</f>
        <v>0</v>
      </c>
      <c r="L113" s="2">
        <f>Table157[[#This Row],[Period]]+$E$9</f>
        <v>109</v>
      </c>
      <c r="M113" s="3">
        <f>Table157[[#This Row],[Defaulted Principal]]-Table157[[#This Row],[Estimated Loss]]</f>
        <v>0</v>
      </c>
      <c r="N113" s="3">
        <f>IFERROR(VLOOKUP(Table157[[#This Row],[Period]],$L$16:$M$385,2,FALSE),0)</f>
        <v>0</v>
      </c>
      <c r="O113" s="3">
        <f>Table157[[#This Row],[Beginning Balance]]-Table157[[#This Row],[Principal]]-Table157[[#This Row],[Prepayments]]-Table157[[#This Row],[Defaulted Principal]]</f>
        <v>0</v>
      </c>
      <c r="P113" s="3">
        <f>Table157[[#This Row],[Principal]]+Table157[[#This Row],[Interest]]+Table157[[#This Row],[Prepayments]]+Table157[[#This Row],[RecoveredAmount]]</f>
        <v>0</v>
      </c>
      <c r="Q113" s="3">
        <f ca="1">ROUND(Table157[[#This Row],[Cash Flow]]/((1+ActualRateToUse)^(IF(ISNUMBER(SEARCH("Actual",$C$7)),Table157[[#This Row],[Running Total]]/365,Table157[[#This Row],[Period]]/12))),2)</f>
        <v>0</v>
      </c>
      <c r="R113" s="2">
        <f>IF(MONTH(Table157[[#This Row],[Date]])=2,28,DAY(DATE(YEAR(Table157[[#This Row],[Date]]),MONTH(Table157[[#This Row],[Date]])+1,1)-1))</f>
        <v>31</v>
      </c>
      <c r="S113" s="2">
        <f ca="1">SUM(OFFSET(Table157[[#Headers],[Days in month]],1,0):Table157[[#This Row],[Days in month]])</f>
        <v>2951</v>
      </c>
      <c r="T113" s="37">
        <f>InterestRate*AmortizationMultiplier*IF(ISNUMBER(SEARCH("Actual",$C$7)),Table157[[#This Row],[Days in month]]/365,1/12)</f>
        <v>2.9708333333333331E-3</v>
      </c>
    </row>
    <row r="114" spans="2:20" x14ac:dyDescent="0.2">
      <c r="B114" s="1">
        <v>48822</v>
      </c>
      <c r="C114" s="2">
        <f t="shared" si="4"/>
        <v>98</v>
      </c>
      <c r="D114" s="3">
        <f t="shared" si="3"/>
        <v>0</v>
      </c>
      <c r="E114" s="3">
        <f>ROUND(Table157[[#This Row],[Beginning Balance]]*Table157[[#This Row],[Monthly Interest Rate]],2)</f>
        <v>0</v>
      </c>
      <c r="F114" s="3">
        <f t="shared" si="5"/>
        <v>158</v>
      </c>
      <c r="G114" s="23">
        <f>IFERROR(IF($C$13="No","N/A",IF(Table157[[#This Row],[Period]]=1,$C$6,PMT(InterestRate*AmortizationMultiplier/12,Table157[[#This Row],[Am Thru]],-Table157[[#This Row],[Beginning Balance]]))),0)</f>
        <v>0</v>
      </c>
      <c r="H114" s="3">
        <f>MAX(0,IF(C114=$C$4,D114,ROUND(IF($C$3="Fixed Principal",$C$6-Table157[[#This Row],[Interest]],IF($C$3="Interest Only",Table157[[#This Row],[Beginning Balance]]*ROUND(1-(1-IF($C$11="No",$E$8,1))^(1/12),6),MIN(IF($C$13="Yes",Table157[[#This Row],[Payment Amount (Reamortized)]],$C$6)-Table157[[#This Row],[Interest]],Table157[[#This Row],[Beginning Balance]]))),2)))</f>
        <v>0</v>
      </c>
      <c r="I114" s="3">
        <f>_xlfn.SINGLE(IF($C$3="Line of Credit",0,ROUND(MAX(MIN(IF($C$10="No",$E$7,VLOOKUP(Table157[[#This Row],[Period]],Forecast!$H$2:$L$1048576,4,FALSE))*Table157[[#This Row],[Beginning Balance]],Table157[[#This Row],[Beginning Balance]]-Table157[[#This Row],[Principal]]),0),2)))</f>
        <v>0</v>
      </c>
      <c r="J114" s="3">
        <f>ROUND(MIN(Table157[[#This Row],[Beginning Balance]]*IF($C$8="No",$E$3,VLOOKUP(Table157[[#This Row],[Period]],Forecast!$H$2:$L$1048576,2,FALSE)),Table157[[#This Row],[Beginning Balance]]-Table157[[#This Row],[Principal]]-Table157[[#This Row],[Prepayments]]),2)</f>
        <v>0</v>
      </c>
      <c r="K114" s="3">
        <f>ROUND(Table157[[#This Row],[Defaulted Principal]]*IF($C$9="No",$E$4,VLOOKUP(Table157[[#This Row],[Period]],Forecast!$H$2:$L$1048576,3,FALSE)),2)</f>
        <v>0</v>
      </c>
      <c r="L114" s="2">
        <f>Table157[[#This Row],[Period]]+$E$9</f>
        <v>110</v>
      </c>
      <c r="M114" s="3">
        <f>Table157[[#This Row],[Defaulted Principal]]-Table157[[#This Row],[Estimated Loss]]</f>
        <v>0</v>
      </c>
      <c r="N114" s="3">
        <f>IFERROR(VLOOKUP(Table157[[#This Row],[Period]],$L$16:$M$385,2,FALSE),0)</f>
        <v>0</v>
      </c>
      <c r="O114" s="3">
        <f>Table157[[#This Row],[Beginning Balance]]-Table157[[#This Row],[Principal]]-Table157[[#This Row],[Prepayments]]-Table157[[#This Row],[Defaulted Principal]]</f>
        <v>0</v>
      </c>
      <c r="P114" s="3">
        <f>Table157[[#This Row],[Principal]]+Table157[[#This Row],[Interest]]+Table157[[#This Row],[Prepayments]]+Table157[[#This Row],[RecoveredAmount]]</f>
        <v>0</v>
      </c>
      <c r="Q114" s="3">
        <f ca="1">ROUND(Table157[[#This Row],[Cash Flow]]/((1+ActualRateToUse)^(IF(ISNUMBER(SEARCH("Actual",$C$7)),Table157[[#This Row],[Running Total]]/365,Table157[[#This Row],[Period]]/12))),2)</f>
        <v>0</v>
      </c>
      <c r="R114" s="2">
        <f>IF(MONTH(Table157[[#This Row],[Date]])=2,28,DAY(DATE(YEAR(Table157[[#This Row],[Date]]),MONTH(Table157[[#This Row],[Date]])+1,1)-1))</f>
        <v>31</v>
      </c>
      <c r="S114" s="2">
        <f ca="1">SUM(OFFSET(Table157[[#Headers],[Days in month]],1,0):Table157[[#This Row],[Days in month]])</f>
        <v>2982</v>
      </c>
      <c r="T114" s="37">
        <f>InterestRate*AmortizationMultiplier*IF(ISNUMBER(SEARCH("Actual",$C$7)),Table157[[#This Row],[Days in month]]/365,1/12)</f>
        <v>2.9708333333333331E-3</v>
      </c>
    </row>
    <row r="115" spans="2:20" x14ac:dyDescent="0.2">
      <c r="B115" s="1">
        <v>48852</v>
      </c>
      <c r="C115" s="2">
        <f t="shared" si="4"/>
        <v>99</v>
      </c>
      <c r="D115" s="3">
        <f t="shared" si="3"/>
        <v>0</v>
      </c>
      <c r="E115" s="3">
        <f>ROUND(Table157[[#This Row],[Beginning Balance]]*Table157[[#This Row],[Monthly Interest Rate]],2)</f>
        <v>0</v>
      </c>
      <c r="F115" s="3">
        <f t="shared" si="5"/>
        <v>157</v>
      </c>
      <c r="G115" s="23">
        <f>IFERROR(IF($C$13="No","N/A",IF(Table157[[#This Row],[Period]]=1,$C$6,PMT(InterestRate*AmortizationMultiplier/12,Table157[[#This Row],[Am Thru]],-Table157[[#This Row],[Beginning Balance]]))),0)</f>
        <v>0</v>
      </c>
      <c r="H115" s="3">
        <f>MAX(0,IF(C115=$C$4,D115,ROUND(IF($C$3="Fixed Principal",$C$6-Table157[[#This Row],[Interest]],IF($C$3="Interest Only",Table157[[#This Row],[Beginning Balance]]*ROUND(1-(1-IF($C$11="No",$E$8,1))^(1/12),6),MIN(IF($C$13="Yes",Table157[[#This Row],[Payment Amount (Reamortized)]],$C$6)-Table157[[#This Row],[Interest]],Table157[[#This Row],[Beginning Balance]]))),2)))</f>
        <v>0</v>
      </c>
      <c r="I115" s="3">
        <f>_xlfn.SINGLE(IF($C$3="Line of Credit",0,ROUND(MAX(MIN(IF($C$10="No",$E$7,VLOOKUP(Table157[[#This Row],[Period]],Forecast!$H$2:$L$1048576,4,FALSE))*Table157[[#This Row],[Beginning Balance]],Table157[[#This Row],[Beginning Balance]]-Table157[[#This Row],[Principal]]),0),2)))</f>
        <v>0</v>
      </c>
      <c r="J115" s="3">
        <f>ROUND(MIN(Table157[[#This Row],[Beginning Balance]]*IF($C$8="No",$E$3,VLOOKUP(Table157[[#This Row],[Period]],Forecast!$H$2:$L$1048576,2,FALSE)),Table157[[#This Row],[Beginning Balance]]-Table157[[#This Row],[Principal]]-Table157[[#This Row],[Prepayments]]),2)</f>
        <v>0</v>
      </c>
      <c r="K115" s="3">
        <f>ROUND(Table157[[#This Row],[Defaulted Principal]]*IF($C$9="No",$E$4,VLOOKUP(Table157[[#This Row],[Period]],Forecast!$H$2:$L$1048576,3,FALSE)),2)</f>
        <v>0</v>
      </c>
      <c r="L115" s="2">
        <f>Table157[[#This Row],[Period]]+$E$9</f>
        <v>111</v>
      </c>
      <c r="M115" s="3">
        <f>Table157[[#This Row],[Defaulted Principal]]-Table157[[#This Row],[Estimated Loss]]</f>
        <v>0</v>
      </c>
      <c r="N115" s="3">
        <f>IFERROR(VLOOKUP(Table157[[#This Row],[Period]],$L$16:$M$385,2,FALSE),0)</f>
        <v>0</v>
      </c>
      <c r="O115" s="3">
        <f>Table157[[#This Row],[Beginning Balance]]-Table157[[#This Row],[Principal]]-Table157[[#This Row],[Prepayments]]-Table157[[#This Row],[Defaulted Principal]]</f>
        <v>0</v>
      </c>
      <c r="P115" s="3">
        <f>Table157[[#This Row],[Principal]]+Table157[[#This Row],[Interest]]+Table157[[#This Row],[Prepayments]]+Table157[[#This Row],[RecoveredAmount]]</f>
        <v>0</v>
      </c>
      <c r="Q115" s="3">
        <f ca="1">ROUND(Table157[[#This Row],[Cash Flow]]/((1+ActualRateToUse)^(IF(ISNUMBER(SEARCH("Actual",$C$7)),Table157[[#This Row],[Running Total]]/365,Table157[[#This Row],[Period]]/12))),2)</f>
        <v>0</v>
      </c>
      <c r="R115" s="2">
        <f>IF(MONTH(Table157[[#This Row],[Date]])=2,28,DAY(DATE(YEAR(Table157[[#This Row],[Date]]),MONTH(Table157[[#This Row],[Date]])+1,1)-1))</f>
        <v>30</v>
      </c>
      <c r="S115" s="2">
        <f ca="1">SUM(OFFSET(Table157[[#Headers],[Days in month]],1,0):Table157[[#This Row],[Days in month]])</f>
        <v>3012</v>
      </c>
      <c r="T115" s="37">
        <f>InterestRate*AmortizationMultiplier*IF(ISNUMBER(SEARCH("Actual",$C$7)),Table157[[#This Row],[Days in month]]/365,1/12)</f>
        <v>2.8749999999999995E-3</v>
      </c>
    </row>
    <row r="116" spans="2:20" x14ac:dyDescent="0.2">
      <c r="B116" s="1">
        <v>48883</v>
      </c>
      <c r="C116" s="2">
        <f t="shared" si="4"/>
        <v>100</v>
      </c>
      <c r="D116" s="3">
        <f t="shared" si="3"/>
        <v>0</v>
      </c>
      <c r="E116" s="3">
        <f>ROUND(Table157[[#This Row],[Beginning Balance]]*Table157[[#This Row],[Monthly Interest Rate]],2)</f>
        <v>0</v>
      </c>
      <c r="F116" s="3">
        <f t="shared" si="5"/>
        <v>156</v>
      </c>
      <c r="G116" s="23">
        <f>IFERROR(IF($C$13="No","N/A",IF(Table157[[#This Row],[Period]]=1,$C$6,PMT(InterestRate*AmortizationMultiplier/12,Table157[[#This Row],[Am Thru]],-Table157[[#This Row],[Beginning Balance]]))),0)</f>
        <v>0</v>
      </c>
      <c r="H116" s="3">
        <f>MAX(0,IF(C116=$C$4,D116,ROUND(IF($C$3="Fixed Principal",$C$6-Table157[[#This Row],[Interest]],IF($C$3="Interest Only",Table157[[#This Row],[Beginning Balance]]*ROUND(1-(1-IF($C$11="No",$E$8,1))^(1/12),6),MIN(IF($C$13="Yes",Table157[[#This Row],[Payment Amount (Reamortized)]],$C$6)-Table157[[#This Row],[Interest]],Table157[[#This Row],[Beginning Balance]]))),2)))</f>
        <v>0</v>
      </c>
      <c r="I116" s="3">
        <f>_xlfn.SINGLE(IF($C$3="Line of Credit",0,ROUND(MAX(MIN(IF($C$10="No",$E$7,VLOOKUP(Table157[[#This Row],[Period]],Forecast!$H$2:$L$1048576,4,FALSE))*Table157[[#This Row],[Beginning Balance]],Table157[[#This Row],[Beginning Balance]]-Table157[[#This Row],[Principal]]),0),2)))</f>
        <v>0</v>
      </c>
      <c r="J116" s="3">
        <f>ROUND(MIN(Table157[[#This Row],[Beginning Balance]]*IF($C$8="No",$E$3,VLOOKUP(Table157[[#This Row],[Period]],Forecast!$H$2:$L$1048576,2,FALSE)),Table157[[#This Row],[Beginning Balance]]-Table157[[#This Row],[Principal]]-Table157[[#This Row],[Prepayments]]),2)</f>
        <v>0</v>
      </c>
      <c r="K116" s="3">
        <f>ROUND(Table157[[#This Row],[Defaulted Principal]]*IF($C$9="No",$E$4,VLOOKUP(Table157[[#This Row],[Period]],Forecast!$H$2:$L$1048576,3,FALSE)),2)</f>
        <v>0</v>
      </c>
      <c r="L116" s="2">
        <f>Table157[[#This Row],[Period]]+$E$9</f>
        <v>112</v>
      </c>
      <c r="M116" s="3">
        <f>Table157[[#This Row],[Defaulted Principal]]-Table157[[#This Row],[Estimated Loss]]</f>
        <v>0</v>
      </c>
      <c r="N116" s="3">
        <f>IFERROR(VLOOKUP(Table157[[#This Row],[Period]],$L$16:$M$385,2,FALSE),0)</f>
        <v>0</v>
      </c>
      <c r="O116" s="3">
        <f>Table157[[#This Row],[Beginning Balance]]-Table157[[#This Row],[Principal]]-Table157[[#This Row],[Prepayments]]-Table157[[#This Row],[Defaulted Principal]]</f>
        <v>0</v>
      </c>
      <c r="P116" s="3">
        <f>Table157[[#This Row],[Principal]]+Table157[[#This Row],[Interest]]+Table157[[#This Row],[Prepayments]]+Table157[[#This Row],[RecoveredAmount]]</f>
        <v>0</v>
      </c>
      <c r="Q116" s="3">
        <f ca="1">ROUND(Table157[[#This Row],[Cash Flow]]/((1+ActualRateToUse)^(IF(ISNUMBER(SEARCH("Actual",$C$7)),Table157[[#This Row],[Running Total]]/365,Table157[[#This Row],[Period]]/12))),2)</f>
        <v>0</v>
      </c>
      <c r="R116" s="2">
        <f>IF(MONTH(Table157[[#This Row],[Date]])=2,28,DAY(DATE(YEAR(Table157[[#This Row],[Date]]),MONTH(Table157[[#This Row],[Date]])+1,1)-1))</f>
        <v>31</v>
      </c>
      <c r="S116" s="2">
        <f ca="1">SUM(OFFSET(Table157[[#Headers],[Days in month]],1,0):Table157[[#This Row],[Days in month]])</f>
        <v>3043</v>
      </c>
      <c r="T116" s="37">
        <f>InterestRate*AmortizationMultiplier*IF(ISNUMBER(SEARCH("Actual",$C$7)),Table157[[#This Row],[Days in month]]/365,1/12)</f>
        <v>2.9708333333333331E-3</v>
      </c>
    </row>
    <row r="117" spans="2:20" x14ac:dyDescent="0.2">
      <c r="B117" s="1">
        <v>48913</v>
      </c>
      <c r="C117" s="2">
        <f t="shared" si="4"/>
        <v>101</v>
      </c>
      <c r="D117" s="3">
        <f t="shared" si="3"/>
        <v>0</v>
      </c>
      <c r="E117" s="3">
        <f>ROUND(Table157[[#This Row],[Beginning Balance]]*Table157[[#This Row],[Monthly Interest Rate]],2)</f>
        <v>0</v>
      </c>
      <c r="F117" s="3">
        <f t="shared" si="5"/>
        <v>155</v>
      </c>
      <c r="G117" s="23">
        <f>IFERROR(IF($C$13="No","N/A",IF(Table157[[#This Row],[Period]]=1,$C$6,PMT(InterestRate*AmortizationMultiplier/12,Table157[[#This Row],[Am Thru]],-Table157[[#This Row],[Beginning Balance]]))),0)</f>
        <v>0</v>
      </c>
      <c r="H117" s="3">
        <f>MAX(0,IF(C117=$C$4,D117,ROUND(IF($C$3="Fixed Principal",$C$6-Table157[[#This Row],[Interest]],IF($C$3="Interest Only",Table157[[#This Row],[Beginning Balance]]*ROUND(1-(1-IF($C$11="No",$E$8,1))^(1/12),6),MIN(IF($C$13="Yes",Table157[[#This Row],[Payment Amount (Reamortized)]],$C$6)-Table157[[#This Row],[Interest]],Table157[[#This Row],[Beginning Balance]]))),2)))</f>
        <v>0</v>
      </c>
      <c r="I117" s="3">
        <f>_xlfn.SINGLE(IF($C$3="Line of Credit",0,ROUND(MAX(MIN(IF($C$10="No",$E$7,VLOOKUP(Table157[[#This Row],[Period]],Forecast!$H$2:$L$1048576,4,FALSE))*Table157[[#This Row],[Beginning Balance]],Table157[[#This Row],[Beginning Balance]]-Table157[[#This Row],[Principal]]),0),2)))</f>
        <v>0</v>
      </c>
      <c r="J117" s="3">
        <f>ROUND(MIN(Table157[[#This Row],[Beginning Balance]]*IF($C$8="No",$E$3,VLOOKUP(Table157[[#This Row],[Period]],Forecast!$H$2:$L$1048576,2,FALSE)),Table157[[#This Row],[Beginning Balance]]-Table157[[#This Row],[Principal]]-Table157[[#This Row],[Prepayments]]),2)</f>
        <v>0</v>
      </c>
      <c r="K117" s="3">
        <f>ROUND(Table157[[#This Row],[Defaulted Principal]]*IF($C$9="No",$E$4,VLOOKUP(Table157[[#This Row],[Period]],Forecast!$H$2:$L$1048576,3,FALSE)),2)</f>
        <v>0</v>
      </c>
      <c r="L117" s="2">
        <f>Table157[[#This Row],[Period]]+$E$9</f>
        <v>113</v>
      </c>
      <c r="M117" s="3">
        <f>Table157[[#This Row],[Defaulted Principal]]-Table157[[#This Row],[Estimated Loss]]</f>
        <v>0</v>
      </c>
      <c r="N117" s="3">
        <f>IFERROR(VLOOKUP(Table157[[#This Row],[Period]],$L$16:$M$385,2,FALSE),0)</f>
        <v>0</v>
      </c>
      <c r="O117" s="3">
        <f>Table157[[#This Row],[Beginning Balance]]-Table157[[#This Row],[Principal]]-Table157[[#This Row],[Prepayments]]-Table157[[#This Row],[Defaulted Principal]]</f>
        <v>0</v>
      </c>
      <c r="P117" s="3">
        <f>Table157[[#This Row],[Principal]]+Table157[[#This Row],[Interest]]+Table157[[#This Row],[Prepayments]]+Table157[[#This Row],[RecoveredAmount]]</f>
        <v>0</v>
      </c>
      <c r="Q117" s="3">
        <f ca="1">ROUND(Table157[[#This Row],[Cash Flow]]/((1+ActualRateToUse)^(IF(ISNUMBER(SEARCH("Actual",$C$7)),Table157[[#This Row],[Running Total]]/365,Table157[[#This Row],[Period]]/12))),2)</f>
        <v>0</v>
      </c>
      <c r="R117" s="2">
        <f>IF(MONTH(Table157[[#This Row],[Date]])=2,28,DAY(DATE(YEAR(Table157[[#This Row],[Date]]),MONTH(Table157[[#This Row],[Date]])+1,1)-1))</f>
        <v>30</v>
      </c>
      <c r="S117" s="2">
        <f ca="1">SUM(OFFSET(Table157[[#Headers],[Days in month]],1,0):Table157[[#This Row],[Days in month]])</f>
        <v>3073</v>
      </c>
      <c r="T117" s="37">
        <f>InterestRate*AmortizationMultiplier*IF(ISNUMBER(SEARCH("Actual",$C$7)),Table157[[#This Row],[Days in month]]/365,1/12)</f>
        <v>2.8749999999999995E-3</v>
      </c>
    </row>
    <row r="118" spans="2:20" x14ac:dyDescent="0.2">
      <c r="B118" s="1">
        <v>48944</v>
      </c>
      <c r="C118" s="2">
        <f t="shared" si="4"/>
        <v>102</v>
      </c>
      <c r="D118" s="3">
        <f t="shared" si="3"/>
        <v>0</v>
      </c>
      <c r="E118" s="3">
        <f>ROUND(Table157[[#This Row],[Beginning Balance]]*Table157[[#This Row],[Monthly Interest Rate]],2)</f>
        <v>0</v>
      </c>
      <c r="F118" s="3">
        <f t="shared" si="5"/>
        <v>154</v>
      </c>
      <c r="G118" s="23">
        <f>IFERROR(IF($C$13="No","N/A",IF(Table157[[#This Row],[Period]]=1,$C$6,PMT(InterestRate*AmortizationMultiplier/12,Table157[[#This Row],[Am Thru]],-Table157[[#This Row],[Beginning Balance]]))),0)</f>
        <v>0</v>
      </c>
      <c r="H118" s="3">
        <f>MAX(0,IF(C118=$C$4,D118,ROUND(IF($C$3="Fixed Principal",$C$6-Table157[[#This Row],[Interest]],IF($C$3="Interest Only",Table157[[#This Row],[Beginning Balance]]*ROUND(1-(1-IF($C$11="No",$E$8,1))^(1/12),6),MIN(IF($C$13="Yes",Table157[[#This Row],[Payment Amount (Reamortized)]],$C$6)-Table157[[#This Row],[Interest]],Table157[[#This Row],[Beginning Balance]]))),2)))</f>
        <v>0</v>
      </c>
      <c r="I118" s="3">
        <f>_xlfn.SINGLE(IF($C$3="Line of Credit",0,ROUND(MAX(MIN(IF($C$10="No",$E$7,VLOOKUP(Table157[[#This Row],[Period]],Forecast!$H$2:$L$1048576,4,FALSE))*Table157[[#This Row],[Beginning Balance]],Table157[[#This Row],[Beginning Balance]]-Table157[[#This Row],[Principal]]),0),2)))</f>
        <v>0</v>
      </c>
      <c r="J118" s="3">
        <f>ROUND(MIN(Table157[[#This Row],[Beginning Balance]]*IF($C$8="No",$E$3,VLOOKUP(Table157[[#This Row],[Period]],Forecast!$H$2:$L$1048576,2,FALSE)),Table157[[#This Row],[Beginning Balance]]-Table157[[#This Row],[Principal]]-Table157[[#This Row],[Prepayments]]),2)</f>
        <v>0</v>
      </c>
      <c r="K118" s="3">
        <f>ROUND(Table157[[#This Row],[Defaulted Principal]]*IF($C$9="No",$E$4,VLOOKUP(Table157[[#This Row],[Period]],Forecast!$H$2:$L$1048576,3,FALSE)),2)</f>
        <v>0</v>
      </c>
      <c r="L118" s="2">
        <f>Table157[[#This Row],[Period]]+$E$9</f>
        <v>114</v>
      </c>
      <c r="M118" s="3">
        <f>Table157[[#This Row],[Defaulted Principal]]-Table157[[#This Row],[Estimated Loss]]</f>
        <v>0</v>
      </c>
      <c r="N118" s="3">
        <f>IFERROR(VLOOKUP(Table157[[#This Row],[Period]],$L$16:$M$385,2,FALSE),0)</f>
        <v>0</v>
      </c>
      <c r="O118" s="3">
        <f>Table157[[#This Row],[Beginning Balance]]-Table157[[#This Row],[Principal]]-Table157[[#This Row],[Prepayments]]-Table157[[#This Row],[Defaulted Principal]]</f>
        <v>0</v>
      </c>
      <c r="P118" s="3">
        <f>Table157[[#This Row],[Principal]]+Table157[[#This Row],[Interest]]+Table157[[#This Row],[Prepayments]]+Table157[[#This Row],[RecoveredAmount]]</f>
        <v>0</v>
      </c>
      <c r="Q118" s="3">
        <f ca="1">ROUND(Table157[[#This Row],[Cash Flow]]/((1+ActualRateToUse)^(IF(ISNUMBER(SEARCH("Actual",$C$7)),Table157[[#This Row],[Running Total]]/365,Table157[[#This Row],[Period]]/12))),2)</f>
        <v>0</v>
      </c>
      <c r="R118" s="2">
        <f>IF(MONTH(Table157[[#This Row],[Date]])=2,28,DAY(DATE(YEAR(Table157[[#This Row],[Date]]),MONTH(Table157[[#This Row],[Date]])+1,1)-1))</f>
        <v>31</v>
      </c>
      <c r="S118" s="2">
        <f ca="1">SUM(OFFSET(Table157[[#Headers],[Days in month]],1,0):Table157[[#This Row],[Days in month]])</f>
        <v>3104</v>
      </c>
      <c r="T118" s="37">
        <f>InterestRate*AmortizationMultiplier*IF(ISNUMBER(SEARCH("Actual",$C$7)),Table157[[#This Row],[Days in month]]/365,1/12)</f>
        <v>2.9708333333333331E-3</v>
      </c>
    </row>
    <row r="119" spans="2:20" x14ac:dyDescent="0.2">
      <c r="B119" s="1">
        <v>48975</v>
      </c>
      <c r="C119" s="2">
        <f t="shared" si="4"/>
        <v>103</v>
      </c>
      <c r="D119" s="3">
        <f t="shared" si="3"/>
        <v>0</v>
      </c>
      <c r="E119" s="3">
        <f>ROUND(Table157[[#This Row],[Beginning Balance]]*Table157[[#This Row],[Monthly Interest Rate]],2)</f>
        <v>0</v>
      </c>
      <c r="F119" s="3">
        <f t="shared" si="5"/>
        <v>153</v>
      </c>
      <c r="G119" s="23">
        <f>IFERROR(IF($C$13="No","N/A",IF(Table157[[#This Row],[Period]]=1,$C$6,PMT(InterestRate*AmortizationMultiplier/12,Table157[[#This Row],[Am Thru]],-Table157[[#This Row],[Beginning Balance]]))),0)</f>
        <v>0</v>
      </c>
      <c r="H119" s="3">
        <f>MAX(0,IF(C119=$C$4,D119,ROUND(IF($C$3="Fixed Principal",$C$6-Table157[[#This Row],[Interest]],IF($C$3="Interest Only",Table157[[#This Row],[Beginning Balance]]*ROUND(1-(1-IF($C$11="No",$E$8,1))^(1/12),6),MIN(IF($C$13="Yes",Table157[[#This Row],[Payment Amount (Reamortized)]],$C$6)-Table157[[#This Row],[Interest]],Table157[[#This Row],[Beginning Balance]]))),2)))</f>
        <v>0</v>
      </c>
      <c r="I119" s="3">
        <f>_xlfn.SINGLE(IF($C$3="Line of Credit",0,ROUND(MAX(MIN(IF($C$10="No",$E$7,VLOOKUP(Table157[[#This Row],[Period]],Forecast!$H$2:$L$1048576,4,FALSE))*Table157[[#This Row],[Beginning Balance]],Table157[[#This Row],[Beginning Balance]]-Table157[[#This Row],[Principal]]),0),2)))</f>
        <v>0</v>
      </c>
      <c r="J119" s="3">
        <f>ROUND(MIN(Table157[[#This Row],[Beginning Balance]]*IF($C$8="No",$E$3,VLOOKUP(Table157[[#This Row],[Period]],Forecast!$H$2:$L$1048576,2,FALSE)),Table157[[#This Row],[Beginning Balance]]-Table157[[#This Row],[Principal]]-Table157[[#This Row],[Prepayments]]),2)</f>
        <v>0</v>
      </c>
      <c r="K119" s="3">
        <f>ROUND(Table157[[#This Row],[Defaulted Principal]]*IF($C$9="No",$E$4,VLOOKUP(Table157[[#This Row],[Period]],Forecast!$H$2:$L$1048576,3,FALSE)),2)</f>
        <v>0</v>
      </c>
      <c r="L119" s="2">
        <f>Table157[[#This Row],[Period]]+$E$9</f>
        <v>115</v>
      </c>
      <c r="M119" s="3">
        <f>Table157[[#This Row],[Defaulted Principal]]-Table157[[#This Row],[Estimated Loss]]</f>
        <v>0</v>
      </c>
      <c r="N119" s="3">
        <f>IFERROR(VLOOKUP(Table157[[#This Row],[Period]],$L$16:$M$385,2,FALSE),0)</f>
        <v>0</v>
      </c>
      <c r="O119" s="3">
        <f>Table157[[#This Row],[Beginning Balance]]-Table157[[#This Row],[Principal]]-Table157[[#This Row],[Prepayments]]-Table157[[#This Row],[Defaulted Principal]]</f>
        <v>0</v>
      </c>
      <c r="P119" s="3">
        <f>Table157[[#This Row],[Principal]]+Table157[[#This Row],[Interest]]+Table157[[#This Row],[Prepayments]]+Table157[[#This Row],[RecoveredAmount]]</f>
        <v>0</v>
      </c>
      <c r="Q119" s="3">
        <f ca="1">ROUND(Table157[[#This Row],[Cash Flow]]/((1+ActualRateToUse)^(IF(ISNUMBER(SEARCH("Actual",$C$7)),Table157[[#This Row],[Running Total]]/365,Table157[[#This Row],[Period]]/12))),2)</f>
        <v>0</v>
      </c>
      <c r="R119" s="2">
        <f>IF(MONTH(Table157[[#This Row],[Date]])=2,28,DAY(DATE(YEAR(Table157[[#This Row],[Date]]),MONTH(Table157[[#This Row],[Date]])+1,1)-1))</f>
        <v>31</v>
      </c>
      <c r="S119" s="2">
        <f ca="1">SUM(OFFSET(Table157[[#Headers],[Days in month]],1,0):Table157[[#This Row],[Days in month]])</f>
        <v>3135</v>
      </c>
      <c r="T119" s="37">
        <f>InterestRate*AmortizationMultiplier*IF(ISNUMBER(SEARCH("Actual",$C$7)),Table157[[#This Row],[Days in month]]/365,1/12)</f>
        <v>2.9708333333333331E-3</v>
      </c>
    </row>
    <row r="120" spans="2:20" x14ac:dyDescent="0.2">
      <c r="B120" s="1">
        <v>49003</v>
      </c>
      <c r="C120" s="2">
        <f t="shared" si="4"/>
        <v>104</v>
      </c>
      <c r="D120" s="3">
        <f t="shared" si="3"/>
        <v>0</v>
      </c>
      <c r="E120" s="3">
        <f>ROUND(Table157[[#This Row],[Beginning Balance]]*Table157[[#This Row],[Monthly Interest Rate]],2)</f>
        <v>0</v>
      </c>
      <c r="F120" s="3">
        <f t="shared" si="5"/>
        <v>152</v>
      </c>
      <c r="G120" s="23">
        <f>IFERROR(IF($C$13="No","N/A",IF(Table157[[#This Row],[Period]]=1,$C$6,PMT(InterestRate*AmortizationMultiplier/12,Table157[[#This Row],[Am Thru]],-Table157[[#This Row],[Beginning Balance]]))),0)</f>
        <v>0</v>
      </c>
      <c r="H120" s="3">
        <f>MAX(0,IF(C120=$C$4,D120,ROUND(IF($C$3="Fixed Principal",$C$6-Table157[[#This Row],[Interest]],IF($C$3="Interest Only",Table157[[#This Row],[Beginning Balance]]*ROUND(1-(1-IF($C$11="No",$E$8,1))^(1/12),6),MIN(IF($C$13="Yes",Table157[[#This Row],[Payment Amount (Reamortized)]],$C$6)-Table157[[#This Row],[Interest]],Table157[[#This Row],[Beginning Balance]]))),2)))</f>
        <v>0</v>
      </c>
      <c r="I120" s="3">
        <f>_xlfn.SINGLE(IF($C$3="Line of Credit",0,ROUND(MAX(MIN(IF($C$10="No",$E$7,VLOOKUP(Table157[[#This Row],[Period]],Forecast!$H$2:$L$1048576,4,FALSE))*Table157[[#This Row],[Beginning Balance]],Table157[[#This Row],[Beginning Balance]]-Table157[[#This Row],[Principal]]),0),2)))</f>
        <v>0</v>
      </c>
      <c r="J120" s="3">
        <f>ROUND(MIN(Table157[[#This Row],[Beginning Balance]]*IF($C$8="No",$E$3,VLOOKUP(Table157[[#This Row],[Period]],Forecast!$H$2:$L$1048576,2,FALSE)),Table157[[#This Row],[Beginning Balance]]-Table157[[#This Row],[Principal]]-Table157[[#This Row],[Prepayments]]),2)</f>
        <v>0</v>
      </c>
      <c r="K120" s="3">
        <f>ROUND(Table157[[#This Row],[Defaulted Principal]]*IF($C$9="No",$E$4,VLOOKUP(Table157[[#This Row],[Period]],Forecast!$H$2:$L$1048576,3,FALSE)),2)</f>
        <v>0</v>
      </c>
      <c r="L120" s="2">
        <f>Table157[[#This Row],[Period]]+$E$9</f>
        <v>116</v>
      </c>
      <c r="M120" s="3">
        <f>Table157[[#This Row],[Defaulted Principal]]-Table157[[#This Row],[Estimated Loss]]</f>
        <v>0</v>
      </c>
      <c r="N120" s="3">
        <f>IFERROR(VLOOKUP(Table157[[#This Row],[Period]],$L$16:$M$385,2,FALSE),0)</f>
        <v>0</v>
      </c>
      <c r="O120" s="3">
        <f>Table157[[#This Row],[Beginning Balance]]-Table157[[#This Row],[Principal]]-Table157[[#This Row],[Prepayments]]-Table157[[#This Row],[Defaulted Principal]]</f>
        <v>0</v>
      </c>
      <c r="P120" s="3">
        <f>Table157[[#This Row],[Principal]]+Table157[[#This Row],[Interest]]+Table157[[#This Row],[Prepayments]]+Table157[[#This Row],[RecoveredAmount]]</f>
        <v>0</v>
      </c>
      <c r="Q120" s="3">
        <f ca="1">ROUND(Table157[[#This Row],[Cash Flow]]/((1+ActualRateToUse)^(IF(ISNUMBER(SEARCH("Actual",$C$7)),Table157[[#This Row],[Running Total]]/365,Table157[[#This Row],[Period]]/12))),2)</f>
        <v>0</v>
      </c>
      <c r="R120" s="2">
        <f>IF(MONTH(Table157[[#This Row],[Date]])=2,28,DAY(DATE(YEAR(Table157[[#This Row],[Date]]),MONTH(Table157[[#This Row],[Date]])+1,1)-1))</f>
        <v>28</v>
      </c>
      <c r="S120" s="2">
        <f ca="1">SUM(OFFSET(Table157[[#Headers],[Days in month]],1,0):Table157[[#This Row],[Days in month]])</f>
        <v>3163</v>
      </c>
      <c r="T120" s="37">
        <f>InterestRate*AmortizationMultiplier*IF(ISNUMBER(SEARCH("Actual",$C$7)),Table157[[#This Row],[Days in month]]/365,1/12)</f>
        <v>2.6833333333333336E-3</v>
      </c>
    </row>
    <row r="121" spans="2:20" x14ac:dyDescent="0.2">
      <c r="B121" s="1">
        <v>49034</v>
      </c>
      <c r="C121" s="2">
        <f t="shared" si="4"/>
        <v>105</v>
      </c>
      <c r="D121" s="3">
        <f t="shared" si="3"/>
        <v>0</v>
      </c>
      <c r="E121" s="3">
        <f>ROUND(Table157[[#This Row],[Beginning Balance]]*Table157[[#This Row],[Monthly Interest Rate]],2)</f>
        <v>0</v>
      </c>
      <c r="F121" s="3">
        <f t="shared" si="5"/>
        <v>151</v>
      </c>
      <c r="G121" s="23">
        <f>IFERROR(IF($C$13="No","N/A",IF(Table157[[#This Row],[Period]]=1,$C$6,PMT(InterestRate*AmortizationMultiplier/12,Table157[[#This Row],[Am Thru]],-Table157[[#This Row],[Beginning Balance]]))),0)</f>
        <v>0</v>
      </c>
      <c r="H121" s="3">
        <f>MAX(0,IF(C121=$C$4,D121,ROUND(IF($C$3="Fixed Principal",$C$6-Table157[[#This Row],[Interest]],IF($C$3="Interest Only",Table157[[#This Row],[Beginning Balance]]*ROUND(1-(1-IF($C$11="No",$E$8,1))^(1/12),6),MIN(IF($C$13="Yes",Table157[[#This Row],[Payment Amount (Reamortized)]],$C$6)-Table157[[#This Row],[Interest]],Table157[[#This Row],[Beginning Balance]]))),2)))</f>
        <v>0</v>
      </c>
      <c r="I121" s="3">
        <f>_xlfn.SINGLE(IF($C$3="Line of Credit",0,ROUND(MAX(MIN(IF($C$10="No",$E$7,VLOOKUP(Table157[[#This Row],[Period]],Forecast!$H$2:$L$1048576,4,FALSE))*Table157[[#This Row],[Beginning Balance]],Table157[[#This Row],[Beginning Balance]]-Table157[[#This Row],[Principal]]),0),2)))</f>
        <v>0</v>
      </c>
      <c r="J121" s="3">
        <f>ROUND(MIN(Table157[[#This Row],[Beginning Balance]]*IF($C$8="No",$E$3,VLOOKUP(Table157[[#This Row],[Period]],Forecast!$H$2:$L$1048576,2,FALSE)),Table157[[#This Row],[Beginning Balance]]-Table157[[#This Row],[Principal]]-Table157[[#This Row],[Prepayments]]),2)</f>
        <v>0</v>
      </c>
      <c r="K121" s="3">
        <f>ROUND(Table157[[#This Row],[Defaulted Principal]]*IF($C$9="No",$E$4,VLOOKUP(Table157[[#This Row],[Period]],Forecast!$H$2:$L$1048576,3,FALSE)),2)</f>
        <v>0</v>
      </c>
      <c r="L121" s="2">
        <f>Table157[[#This Row],[Period]]+$E$9</f>
        <v>117</v>
      </c>
      <c r="M121" s="3">
        <f>Table157[[#This Row],[Defaulted Principal]]-Table157[[#This Row],[Estimated Loss]]</f>
        <v>0</v>
      </c>
      <c r="N121" s="3">
        <f>IFERROR(VLOOKUP(Table157[[#This Row],[Period]],$L$16:$M$385,2,FALSE),0)</f>
        <v>0</v>
      </c>
      <c r="O121" s="3">
        <f>Table157[[#This Row],[Beginning Balance]]-Table157[[#This Row],[Principal]]-Table157[[#This Row],[Prepayments]]-Table157[[#This Row],[Defaulted Principal]]</f>
        <v>0</v>
      </c>
      <c r="P121" s="3">
        <f>Table157[[#This Row],[Principal]]+Table157[[#This Row],[Interest]]+Table157[[#This Row],[Prepayments]]+Table157[[#This Row],[RecoveredAmount]]</f>
        <v>0</v>
      </c>
      <c r="Q121" s="3">
        <f ca="1">ROUND(Table157[[#This Row],[Cash Flow]]/((1+ActualRateToUse)^(IF(ISNUMBER(SEARCH("Actual",$C$7)),Table157[[#This Row],[Running Total]]/365,Table157[[#This Row],[Period]]/12))),2)</f>
        <v>0</v>
      </c>
      <c r="R121" s="2">
        <f>IF(MONTH(Table157[[#This Row],[Date]])=2,28,DAY(DATE(YEAR(Table157[[#This Row],[Date]]),MONTH(Table157[[#This Row],[Date]])+1,1)-1))</f>
        <v>31</v>
      </c>
      <c r="S121" s="2">
        <f ca="1">SUM(OFFSET(Table157[[#Headers],[Days in month]],1,0):Table157[[#This Row],[Days in month]])</f>
        <v>3194</v>
      </c>
      <c r="T121" s="37">
        <f>InterestRate*AmortizationMultiplier*IF(ISNUMBER(SEARCH("Actual",$C$7)),Table157[[#This Row],[Days in month]]/365,1/12)</f>
        <v>2.9708333333333331E-3</v>
      </c>
    </row>
    <row r="122" spans="2:20" x14ac:dyDescent="0.2">
      <c r="B122" s="1">
        <v>49064</v>
      </c>
      <c r="C122" s="2">
        <f t="shared" si="4"/>
        <v>106</v>
      </c>
      <c r="D122" s="3">
        <f t="shared" si="3"/>
        <v>0</v>
      </c>
      <c r="E122" s="3">
        <f>ROUND(Table157[[#This Row],[Beginning Balance]]*Table157[[#This Row],[Monthly Interest Rate]],2)</f>
        <v>0</v>
      </c>
      <c r="F122" s="3">
        <f t="shared" si="5"/>
        <v>150</v>
      </c>
      <c r="G122" s="23">
        <f>IFERROR(IF($C$13="No","N/A",IF(Table157[[#This Row],[Period]]=1,$C$6,PMT(InterestRate*AmortizationMultiplier/12,Table157[[#This Row],[Am Thru]],-Table157[[#This Row],[Beginning Balance]]))),0)</f>
        <v>0</v>
      </c>
      <c r="H122" s="3">
        <f>MAX(0,IF(C122=$C$4,D122,ROUND(IF($C$3="Fixed Principal",$C$6-Table157[[#This Row],[Interest]],IF($C$3="Interest Only",Table157[[#This Row],[Beginning Balance]]*ROUND(1-(1-IF($C$11="No",$E$8,1))^(1/12),6),MIN(IF($C$13="Yes",Table157[[#This Row],[Payment Amount (Reamortized)]],$C$6)-Table157[[#This Row],[Interest]],Table157[[#This Row],[Beginning Balance]]))),2)))</f>
        <v>0</v>
      </c>
      <c r="I122" s="3">
        <f>_xlfn.SINGLE(IF($C$3="Line of Credit",0,ROUND(MAX(MIN(IF($C$10="No",$E$7,VLOOKUP(Table157[[#This Row],[Period]],Forecast!$H$2:$L$1048576,4,FALSE))*Table157[[#This Row],[Beginning Balance]],Table157[[#This Row],[Beginning Balance]]-Table157[[#This Row],[Principal]]),0),2)))</f>
        <v>0</v>
      </c>
      <c r="J122" s="3">
        <f>ROUND(MIN(Table157[[#This Row],[Beginning Balance]]*IF($C$8="No",$E$3,VLOOKUP(Table157[[#This Row],[Period]],Forecast!$H$2:$L$1048576,2,FALSE)),Table157[[#This Row],[Beginning Balance]]-Table157[[#This Row],[Principal]]-Table157[[#This Row],[Prepayments]]),2)</f>
        <v>0</v>
      </c>
      <c r="K122" s="3">
        <f>ROUND(Table157[[#This Row],[Defaulted Principal]]*IF($C$9="No",$E$4,VLOOKUP(Table157[[#This Row],[Period]],Forecast!$H$2:$L$1048576,3,FALSE)),2)</f>
        <v>0</v>
      </c>
      <c r="L122" s="2">
        <f>Table157[[#This Row],[Period]]+$E$9</f>
        <v>118</v>
      </c>
      <c r="M122" s="3">
        <f>Table157[[#This Row],[Defaulted Principal]]-Table157[[#This Row],[Estimated Loss]]</f>
        <v>0</v>
      </c>
      <c r="N122" s="3">
        <f>IFERROR(VLOOKUP(Table157[[#This Row],[Period]],$L$16:$M$385,2,FALSE),0)</f>
        <v>0</v>
      </c>
      <c r="O122" s="3">
        <f>Table157[[#This Row],[Beginning Balance]]-Table157[[#This Row],[Principal]]-Table157[[#This Row],[Prepayments]]-Table157[[#This Row],[Defaulted Principal]]</f>
        <v>0</v>
      </c>
      <c r="P122" s="3">
        <f>Table157[[#This Row],[Principal]]+Table157[[#This Row],[Interest]]+Table157[[#This Row],[Prepayments]]+Table157[[#This Row],[RecoveredAmount]]</f>
        <v>0</v>
      </c>
      <c r="Q122" s="3">
        <f ca="1">ROUND(Table157[[#This Row],[Cash Flow]]/((1+ActualRateToUse)^(IF(ISNUMBER(SEARCH("Actual",$C$7)),Table157[[#This Row],[Running Total]]/365,Table157[[#This Row],[Period]]/12))),2)</f>
        <v>0</v>
      </c>
      <c r="R122" s="2">
        <f>IF(MONTH(Table157[[#This Row],[Date]])=2,28,DAY(DATE(YEAR(Table157[[#This Row],[Date]]),MONTH(Table157[[#This Row],[Date]])+1,1)-1))</f>
        <v>30</v>
      </c>
      <c r="S122" s="2">
        <f ca="1">SUM(OFFSET(Table157[[#Headers],[Days in month]],1,0):Table157[[#This Row],[Days in month]])</f>
        <v>3224</v>
      </c>
      <c r="T122" s="37">
        <f>InterestRate*AmortizationMultiplier*IF(ISNUMBER(SEARCH("Actual",$C$7)),Table157[[#This Row],[Days in month]]/365,1/12)</f>
        <v>2.8749999999999995E-3</v>
      </c>
    </row>
    <row r="123" spans="2:20" x14ac:dyDescent="0.2">
      <c r="B123" s="1">
        <v>49095</v>
      </c>
      <c r="C123" s="2">
        <f t="shared" si="4"/>
        <v>107</v>
      </c>
      <c r="D123" s="3">
        <f t="shared" si="3"/>
        <v>0</v>
      </c>
      <c r="E123" s="3">
        <f>ROUND(Table157[[#This Row],[Beginning Balance]]*Table157[[#This Row],[Monthly Interest Rate]],2)</f>
        <v>0</v>
      </c>
      <c r="F123" s="3">
        <f t="shared" si="5"/>
        <v>149</v>
      </c>
      <c r="G123" s="23">
        <f>IFERROR(IF($C$13="No","N/A",IF(Table157[[#This Row],[Period]]=1,$C$6,PMT(InterestRate*AmortizationMultiplier/12,Table157[[#This Row],[Am Thru]],-Table157[[#This Row],[Beginning Balance]]))),0)</f>
        <v>0</v>
      </c>
      <c r="H123" s="3">
        <f>MAX(0,IF(C123=$C$4,D123,ROUND(IF($C$3="Fixed Principal",$C$6-Table157[[#This Row],[Interest]],IF($C$3="Interest Only",Table157[[#This Row],[Beginning Balance]]*ROUND(1-(1-IF($C$11="No",$E$8,1))^(1/12),6),MIN(IF($C$13="Yes",Table157[[#This Row],[Payment Amount (Reamortized)]],$C$6)-Table157[[#This Row],[Interest]],Table157[[#This Row],[Beginning Balance]]))),2)))</f>
        <v>0</v>
      </c>
      <c r="I123" s="3">
        <f>_xlfn.SINGLE(IF($C$3="Line of Credit",0,ROUND(MAX(MIN(IF($C$10="No",$E$7,VLOOKUP(Table157[[#This Row],[Period]],Forecast!$H$2:$L$1048576,4,FALSE))*Table157[[#This Row],[Beginning Balance]],Table157[[#This Row],[Beginning Balance]]-Table157[[#This Row],[Principal]]),0),2)))</f>
        <v>0</v>
      </c>
      <c r="J123" s="3">
        <f>ROUND(MIN(Table157[[#This Row],[Beginning Balance]]*IF($C$8="No",$E$3,VLOOKUP(Table157[[#This Row],[Period]],Forecast!$H$2:$L$1048576,2,FALSE)),Table157[[#This Row],[Beginning Balance]]-Table157[[#This Row],[Principal]]-Table157[[#This Row],[Prepayments]]),2)</f>
        <v>0</v>
      </c>
      <c r="K123" s="3">
        <f>ROUND(Table157[[#This Row],[Defaulted Principal]]*IF($C$9="No",$E$4,VLOOKUP(Table157[[#This Row],[Period]],Forecast!$H$2:$L$1048576,3,FALSE)),2)</f>
        <v>0</v>
      </c>
      <c r="L123" s="2">
        <f>Table157[[#This Row],[Period]]+$E$9</f>
        <v>119</v>
      </c>
      <c r="M123" s="3">
        <f>Table157[[#This Row],[Defaulted Principal]]-Table157[[#This Row],[Estimated Loss]]</f>
        <v>0</v>
      </c>
      <c r="N123" s="3">
        <f>IFERROR(VLOOKUP(Table157[[#This Row],[Period]],$L$16:$M$385,2,FALSE),0)</f>
        <v>0</v>
      </c>
      <c r="O123" s="3">
        <f>Table157[[#This Row],[Beginning Balance]]-Table157[[#This Row],[Principal]]-Table157[[#This Row],[Prepayments]]-Table157[[#This Row],[Defaulted Principal]]</f>
        <v>0</v>
      </c>
      <c r="P123" s="3">
        <f>Table157[[#This Row],[Principal]]+Table157[[#This Row],[Interest]]+Table157[[#This Row],[Prepayments]]+Table157[[#This Row],[RecoveredAmount]]</f>
        <v>0</v>
      </c>
      <c r="Q123" s="3">
        <f ca="1">ROUND(Table157[[#This Row],[Cash Flow]]/((1+ActualRateToUse)^(IF(ISNUMBER(SEARCH("Actual",$C$7)),Table157[[#This Row],[Running Total]]/365,Table157[[#This Row],[Period]]/12))),2)</f>
        <v>0</v>
      </c>
      <c r="R123" s="2">
        <f>IF(MONTH(Table157[[#This Row],[Date]])=2,28,DAY(DATE(YEAR(Table157[[#This Row],[Date]]),MONTH(Table157[[#This Row],[Date]])+1,1)-1))</f>
        <v>31</v>
      </c>
      <c r="S123" s="2">
        <f ca="1">SUM(OFFSET(Table157[[#Headers],[Days in month]],1,0):Table157[[#This Row],[Days in month]])</f>
        <v>3255</v>
      </c>
      <c r="T123" s="37">
        <f>InterestRate*AmortizationMultiplier*IF(ISNUMBER(SEARCH("Actual",$C$7)),Table157[[#This Row],[Days in month]]/365,1/12)</f>
        <v>2.9708333333333331E-3</v>
      </c>
    </row>
    <row r="124" spans="2:20" x14ac:dyDescent="0.2">
      <c r="B124" s="1">
        <v>49125</v>
      </c>
      <c r="C124" s="2">
        <f t="shared" si="4"/>
        <v>108</v>
      </c>
      <c r="D124" s="3">
        <f t="shared" si="3"/>
        <v>0</v>
      </c>
      <c r="E124" s="3">
        <f>ROUND(Table157[[#This Row],[Beginning Balance]]*Table157[[#This Row],[Monthly Interest Rate]],2)</f>
        <v>0</v>
      </c>
      <c r="F124" s="3">
        <f t="shared" si="5"/>
        <v>148</v>
      </c>
      <c r="G124" s="23">
        <f>IFERROR(IF($C$13="No","N/A",IF(Table157[[#This Row],[Period]]=1,$C$6,PMT(InterestRate*AmortizationMultiplier/12,Table157[[#This Row],[Am Thru]],-Table157[[#This Row],[Beginning Balance]]))),0)</f>
        <v>0</v>
      </c>
      <c r="H124" s="3">
        <f>MAX(0,IF(C124=$C$4,D124,ROUND(IF($C$3="Fixed Principal",$C$6-Table157[[#This Row],[Interest]],IF($C$3="Interest Only",Table157[[#This Row],[Beginning Balance]]*ROUND(1-(1-IF($C$11="No",$E$8,1))^(1/12),6),MIN(IF($C$13="Yes",Table157[[#This Row],[Payment Amount (Reamortized)]],$C$6)-Table157[[#This Row],[Interest]],Table157[[#This Row],[Beginning Balance]]))),2)))</f>
        <v>0</v>
      </c>
      <c r="I124" s="3">
        <f>_xlfn.SINGLE(IF($C$3="Line of Credit",0,ROUND(MAX(MIN(IF($C$10="No",$E$7,VLOOKUP(Table157[[#This Row],[Period]],Forecast!$H$2:$L$1048576,4,FALSE))*Table157[[#This Row],[Beginning Balance]],Table157[[#This Row],[Beginning Balance]]-Table157[[#This Row],[Principal]]),0),2)))</f>
        <v>0</v>
      </c>
      <c r="J124" s="3">
        <f>ROUND(MIN(Table157[[#This Row],[Beginning Balance]]*IF($C$8="No",$E$3,VLOOKUP(Table157[[#This Row],[Period]],Forecast!$H$2:$L$1048576,2,FALSE)),Table157[[#This Row],[Beginning Balance]]-Table157[[#This Row],[Principal]]-Table157[[#This Row],[Prepayments]]),2)</f>
        <v>0</v>
      </c>
      <c r="K124" s="3">
        <f>ROUND(Table157[[#This Row],[Defaulted Principal]]*IF($C$9="No",$E$4,VLOOKUP(Table157[[#This Row],[Period]],Forecast!$H$2:$L$1048576,3,FALSE)),2)</f>
        <v>0</v>
      </c>
      <c r="L124" s="2">
        <f>Table157[[#This Row],[Period]]+$E$9</f>
        <v>120</v>
      </c>
      <c r="M124" s="3">
        <f>Table157[[#This Row],[Defaulted Principal]]-Table157[[#This Row],[Estimated Loss]]</f>
        <v>0</v>
      </c>
      <c r="N124" s="3">
        <f>IFERROR(VLOOKUP(Table157[[#This Row],[Period]],$L$16:$M$385,2,FALSE),0)</f>
        <v>0</v>
      </c>
      <c r="O124" s="3">
        <f>Table157[[#This Row],[Beginning Balance]]-Table157[[#This Row],[Principal]]-Table157[[#This Row],[Prepayments]]-Table157[[#This Row],[Defaulted Principal]]</f>
        <v>0</v>
      </c>
      <c r="P124" s="3">
        <f>Table157[[#This Row],[Principal]]+Table157[[#This Row],[Interest]]+Table157[[#This Row],[Prepayments]]+Table157[[#This Row],[RecoveredAmount]]</f>
        <v>0</v>
      </c>
      <c r="Q124" s="3">
        <f ca="1">ROUND(Table157[[#This Row],[Cash Flow]]/((1+ActualRateToUse)^(IF(ISNUMBER(SEARCH("Actual",$C$7)),Table157[[#This Row],[Running Total]]/365,Table157[[#This Row],[Period]]/12))),2)</f>
        <v>0</v>
      </c>
      <c r="R124" s="2">
        <f>IF(MONTH(Table157[[#This Row],[Date]])=2,28,DAY(DATE(YEAR(Table157[[#This Row],[Date]]),MONTH(Table157[[#This Row],[Date]])+1,1)-1))</f>
        <v>30</v>
      </c>
      <c r="S124" s="2">
        <f ca="1">SUM(OFFSET(Table157[[#Headers],[Days in month]],1,0):Table157[[#This Row],[Days in month]])</f>
        <v>3285</v>
      </c>
      <c r="T124" s="37">
        <f>InterestRate*AmortizationMultiplier*IF(ISNUMBER(SEARCH("Actual",$C$7)),Table157[[#This Row],[Days in month]]/365,1/12)</f>
        <v>2.8749999999999995E-3</v>
      </c>
    </row>
    <row r="125" spans="2:20" x14ac:dyDescent="0.2">
      <c r="B125" s="1">
        <v>49156</v>
      </c>
      <c r="C125" s="2">
        <f t="shared" si="4"/>
        <v>109</v>
      </c>
      <c r="D125" s="3">
        <f t="shared" si="3"/>
        <v>0</v>
      </c>
      <c r="E125" s="3">
        <f>ROUND(Table157[[#This Row],[Beginning Balance]]*Table157[[#This Row],[Monthly Interest Rate]],2)</f>
        <v>0</v>
      </c>
      <c r="F125" s="3">
        <f t="shared" si="5"/>
        <v>147</v>
      </c>
      <c r="G125" s="23">
        <f>IFERROR(IF($C$13="No","N/A",IF(Table157[[#This Row],[Period]]=1,$C$6,PMT(InterestRate*AmortizationMultiplier/12,Table157[[#This Row],[Am Thru]],-Table157[[#This Row],[Beginning Balance]]))),0)</f>
        <v>0</v>
      </c>
      <c r="H125" s="3">
        <f>MAX(0,IF(C125=$C$4,D125,ROUND(IF($C$3="Fixed Principal",$C$6-Table157[[#This Row],[Interest]],IF($C$3="Interest Only",Table157[[#This Row],[Beginning Balance]]*ROUND(1-(1-IF($C$11="No",$E$8,1))^(1/12),6),MIN(IF($C$13="Yes",Table157[[#This Row],[Payment Amount (Reamortized)]],$C$6)-Table157[[#This Row],[Interest]],Table157[[#This Row],[Beginning Balance]]))),2)))</f>
        <v>0</v>
      </c>
      <c r="I125" s="3">
        <f>_xlfn.SINGLE(IF($C$3="Line of Credit",0,ROUND(MAX(MIN(IF($C$10="No",$E$7,VLOOKUP(Table157[[#This Row],[Period]],Forecast!$H$2:$L$1048576,4,FALSE))*Table157[[#This Row],[Beginning Balance]],Table157[[#This Row],[Beginning Balance]]-Table157[[#This Row],[Principal]]),0),2)))</f>
        <v>0</v>
      </c>
      <c r="J125" s="3">
        <f>ROUND(MIN(Table157[[#This Row],[Beginning Balance]]*IF($C$8="No",$E$3,VLOOKUP(Table157[[#This Row],[Period]],Forecast!$H$2:$L$1048576,2,FALSE)),Table157[[#This Row],[Beginning Balance]]-Table157[[#This Row],[Principal]]-Table157[[#This Row],[Prepayments]]),2)</f>
        <v>0</v>
      </c>
      <c r="K125" s="3">
        <f>ROUND(Table157[[#This Row],[Defaulted Principal]]*IF($C$9="No",$E$4,VLOOKUP(Table157[[#This Row],[Period]],Forecast!$H$2:$L$1048576,3,FALSE)),2)</f>
        <v>0</v>
      </c>
      <c r="L125" s="2">
        <f>Table157[[#This Row],[Period]]+$E$9</f>
        <v>121</v>
      </c>
      <c r="M125" s="3">
        <f>Table157[[#This Row],[Defaulted Principal]]-Table157[[#This Row],[Estimated Loss]]</f>
        <v>0</v>
      </c>
      <c r="N125" s="3">
        <f>IFERROR(VLOOKUP(Table157[[#This Row],[Period]],$L$16:$M$385,2,FALSE),0)</f>
        <v>0</v>
      </c>
      <c r="O125" s="3">
        <f>Table157[[#This Row],[Beginning Balance]]-Table157[[#This Row],[Principal]]-Table157[[#This Row],[Prepayments]]-Table157[[#This Row],[Defaulted Principal]]</f>
        <v>0</v>
      </c>
      <c r="P125" s="3">
        <f>Table157[[#This Row],[Principal]]+Table157[[#This Row],[Interest]]+Table157[[#This Row],[Prepayments]]+Table157[[#This Row],[RecoveredAmount]]</f>
        <v>0</v>
      </c>
      <c r="Q125" s="3">
        <f ca="1">ROUND(Table157[[#This Row],[Cash Flow]]/((1+ActualRateToUse)^(IF(ISNUMBER(SEARCH("Actual",$C$7)),Table157[[#This Row],[Running Total]]/365,Table157[[#This Row],[Period]]/12))),2)</f>
        <v>0</v>
      </c>
      <c r="R125" s="2">
        <f>IF(MONTH(Table157[[#This Row],[Date]])=2,28,DAY(DATE(YEAR(Table157[[#This Row],[Date]]),MONTH(Table157[[#This Row],[Date]])+1,1)-1))</f>
        <v>31</v>
      </c>
      <c r="S125" s="2">
        <f ca="1">SUM(OFFSET(Table157[[#Headers],[Days in month]],1,0):Table157[[#This Row],[Days in month]])</f>
        <v>3316</v>
      </c>
      <c r="T125" s="37">
        <f>InterestRate*AmortizationMultiplier*IF(ISNUMBER(SEARCH("Actual",$C$7)),Table157[[#This Row],[Days in month]]/365,1/12)</f>
        <v>2.9708333333333331E-3</v>
      </c>
    </row>
    <row r="126" spans="2:20" x14ac:dyDescent="0.2">
      <c r="B126" s="1">
        <v>49187</v>
      </c>
      <c r="C126" s="2">
        <f t="shared" si="4"/>
        <v>110</v>
      </c>
      <c r="D126" s="3">
        <f t="shared" si="3"/>
        <v>0</v>
      </c>
      <c r="E126" s="3">
        <f>ROUND(Table157[[#This Row],[Beginning Balance]]*Table157[[#This Row],[Monthly Interest Rate]],2)</f>
        <v>0</v>
      </c>
      <c r="F126" s="3">
        <f t="shared" si="5"/>
        <v>146</v>
      </c>
      <c r="G126" s="23">
        <f>IFERROR(IF($C$13="No","N/A",IF(Table157[[#This Row],[Period]]=1,$C$6,PMT(InterestRate*AmortizationMultiplier/12,Table157[[#This Row],[Am Thru]],-Table157[[#This Row],[Beginning Balance]]))),0)</f>
        <v>0</v>
      </c>
      <c r="H126" s="3">
        <f>MAX(0,IF(C126=$C$4,D126,ROUND(IF($C$3="Fixed Principal",$C$6-Table157[[#This Row],[Interest]],IF($C$3="Interest Only",Table157[[#This Row],[Beginning Balance]]*ROUND(1-(1-IF($C$11="No",$E$8,1))^(1/12),6),MIN(IF($C$13="Yes",Table157[[#This Row],[Payment Amount (Reamortized)]],$C$6)-Table157[[#This Row],[Interest]],Table157[[#This Row],[Beginning Balance]]))),2)))</f>
        <v>0</v>
      </c>
      <c r="I126" s="3">
        <f>_xlfn.SINGLE(IF($C$3="Line of Credit",0,ROUND(MAX(MIN(IF($C$10="No",$E$7,VLOOKUP(Table157[[#This Row],[Period]],Forecast!$H$2:$L$1048576,4,FALSE))*Table157[[#This Row],[Beginning Balance]],Table157[[#This Row],[Beginning Balance]]-Table157[[#This Row],[Principal]]),0),2)))</f>
        <v>0</v>
      </c>
      <c r="J126" s="3">
        <f>ROUND(MIN(Table157[[#This Row],[Beginning Balance]]*IF($C$8="No",$E$3,VLOOKUP(Table157[[#This Row],[Period]],Forecast!$H$2:$L$1048576,2,FALSE)),Table157[[#This Row],[Beginning Balance]]-Table157[[#This Row],[Principal]]-Table157[[#This Row],[Prepayments]]),2)</f>
        <v>0</v>
      </c>
      <c r="K126" s="3">
        <f>ROUND(Table157[[#This Row],[Defaulted Principal]]*IF($C$9="No",$E$4,VLOOKUP(Table157[[#This Row],[Period]],Forecast!$H$2:$L$1048576,3,FALSE)),2)</f>
        <v>0</v>
      </c>
      <c r="L126" s="2">
        <f>Table157[[#This Row],[Period]]+$E$9</f>
        <v>122</v>
      </c>
      <c r="M126" s="3">
        <f>Table157[[#This Row],[Defaulted Principal]]-Table157[[#This Row],[Estimated Loss]]</f>
        <v>0</v>
      </c>
      <c r="N126" s="3">
        <f>IFERROR(VLOOKUP(Table157[[#This Row],[Period]],$L$16:$M$385,2,FALSE),0)</f>
        <v>0</v>
      </c>
      <c r="O126" s="3">
        <f>Table157[[#This Row],[Beginning Balance]]-Table157[[#This Row],[Principal]]-Table157[[#This Row],[Prepayments]]-Table157[[#This Row],[Defaulted Principal]]</f>
        <v>0</v>
      </c>
      <c r="P126" s="3">
        <f>Table157[[#This Row],[Principal]]+Table157[[#This Row],[Interest]]+Table157[[#This Row],[Prepayments]]+Table157[[#This Row],[RecoveredAmount]]</f>
        <v>0</v>
      </c>
      <c r="Q126" s="3">
        <f ca="1">ROUND(Table157[[#This Row],[Cash Flow]]/((1+ActualRateToUse)^(IF(ISNUMBER(SEARCH("Actual",$C$7)),Table157[[#This Row],[Running Total]]/365,Table157[[#This Row],[Period]]/12))),2)</f>
        <v>0</v>
      </c>
      <c r="R126" s="2">
        <f>IF(MONTH(Table157[[#This Row],[Date]])=2,28,DAY(DATE(YEAR(Table157[[#This Row],[Date]]),MONTH(Table157[[#This Row],[Date]])+1,1)-1))</f>
        <v>31</v>
      </c>
      <c r="S126" s="2">
        <f ca="1">SUM(OFFSET(Table157[[#Headers],[Days in month]],1,0):Table157[[#This Row],[Days in month]])</f>
        <v>3347</v>
      </c>
      <c r="T126" s="37">
        <f>InterestRate*AmortizationMultiplier*IF(ISNUMBER(SEARCH("Actual",$C$7)),Table157[[#This Row],[Days in month]]/365,1/12)</f>
        <v>2.9708333333333331E-3</v>
      </c>
    </row>
    <row r="127" spans="2:20" x14ac:dyDescent="0.2">
      <c r="B127" s="1">
        <v>49217</v>
      </c>
      <c r="C127" s="2">
        <f t="shared" si="4"/>
        <v>111</v>
      </c>
      <c r="D127" s="3">
        <f t="shared" si="3"/>
        <v>0</v>
      </c>
      <c r="E127" s="3">
        <f>ROUND(Table157[[#This Row],[Beginning Balance]]*Table157[[#This Row],[Monthly Interest Rate]],2)</f>
        <v>0</v>
      </c>
      <c r="F127" s="3">
        <f t="shared" si="5"/>
        <v>145</v>
      </c>
      <c r="G127" s="23">
        <f>IFERROR(IF($C$13="No","N/A",IF(Table157[[#This Row],[Period]]=1,$C$6,PMT(InterestRate*AmortizationMultiplier/12,Table157[[#This Row],[Am Thru]],-Table157[[#This Row],[Beginning Balance]]))),0)</f>
        <v>0</v>
      </c>
      <c r="H127" s="3">
        <f>MAX(0,IF(C127=$C$4,D127,ROUND(IF($C$3="Fixed Principal",$C$6-Table157[[#This Row],[Interest]],IF($C$3="Interest Only",Table157[[#This Row],[Beginning Balance]]*ROUND(1-(1-IF($C$11="No",$E$8,1))^(1/12),6),MIN(IF($C$13="Yes",Table157[[#This Row],[Payment Amount (Reamortized)]],$C$6)-Table157[[#This Row],[Interest]],Table157[[#This Row],[Beginning Balance]]))),2)))</f>
        <v>0</v>
      </c>
      <c r="I127" s="3">
        <f>_xlfn.SINGLE(IF($C$3="Line of Credit",0,ROUND(MAX(MIN(IF($C$10="No",$E$7,VLOOKUP(Table157[[#This Row],[Period]],Forecast!$H$2:$L$1048576,4,FALSE))*Table157[[#This Row],[Beginning Balance]],Table157[[#This Row],[Beginning Balance]]-Table157[[#This Row],[Principal]]),0),2)))</f>
        <v>0</v>
      </c>
      <c r="J127" s="3">
        <f>ROUND(MIN(Table157[[#This Row],[Beginning Balance]]*IF($C$8="No",$E$3,VLOOKUP(Table157[[#This Row],[Period]],Forecast!$H$2:$L$1048576,2,FALSE)),Table157[[#This Row],[Beginning Balance]]-Table157[[#This Row],[Principal]]-Table157[[#This Row],[Prepayments]]),2)</f>
        <v>0</v>
      </c>
      <c r="K127" s="3">
        <f>ROUND(Table157[[#This Row],[Defaulted Principal]]*IF($C$9="No",$E$4,VLOOKUP(Table157[[#This Row],[Period]],Forecast!$H$2:$L$1048576,3,FALSE)),2)</f>
        <v>0</v>
      </c>
      <c r="L127" s="2">
        <f>Table157[[#This Row],[Period]]+$E$9</f>
        <v>123</v>
      </c>
      <c r="M127" s="3">
        <f>Table157[[#This Row],[Defaulted Principal]]-Table157[[#This Row],[Estimated Loss]]</f>
        <v>0</v>
      </c>
      <c r="N127" s="3">
        <f>IFERROR(VLOOKUP(Table157[[#This Row],[Period]],$L$16:$M$385,2,FALSE),0)</f>
        <v>0</v>
      </c>
      <c r="O127" s="3">
        <f>Table157[[#This Row],[Beginning Balance]]-Table157[[#This Row],[Principal]]-Table157[[#This Row],[Prepayments]]-Table157[[#This Row],[Defaulted Principal]]</f>
        <v>0</v>
      </c>
      <c r="P127" s="3">
        <f>Table157[[#This Row],[Principal]]+Table157[[#This Row],[Interest]]+Table157[[#This Row],[Prepayments]]+Table157[[#This Row],[RecoveredAmount]]</f>
        <v>0</v>
      </c>
      <c r="Q127" s="3">
        <f ca="1">ROUND(Table157[[#This Row],[Cash Flow]]/((1+ActualRateToUse)^(IF(ISNUMBER(SEARCH("Actual",$C$7)),Table157[[#This Row],[Running Total]]/365,Table157[[#This Row],[Period]]/12))),2)</f>
        <v>0</v>
      </c>
      <c r="R127" s="2">
        <f>IF(MONTH(Table157[[#This Row],[Date]])=2,28,DAY(DATE(YEAR(Table157[[#This Row],[Date]]),MONTH(Table157[[#This Row],[Date]])+1,1)-1))</f>
        <v>30</v>
      </c>
      <c r="S127" s="2">
        <f ca="1">SUM(OFFSET(Table157[[#Headers],[Days in month]],1,0):Table157[[#This Row],[Days in month]])</f>
        <v>3377</v>
      </c>
      <c r="T127" s="37">
        <f>InterestRate*AmortizationMultiplier*IF(ISNUMBER(SEARCH("Actual",$C$7)),Table157[[#This Row],[Days in month]]/365,1/12)</f>
        <v>2.8749999999999995E-3</v>
      </c>
    </row>
    <row r="128" spans="2:20" x14ac:dyDescent="0.2">
      <c r="B128" s="1">
        <v>49248</v>
      </c>
      <c r="C128" s="2">
        <f t="shared" si="4"/>
        <v>112</v>
      </c>
      <c r="D128" s="3">
        <f t="shared" si="3"/>
        <v>0</v>
      </c>
      <c r="E128" s="3">
        <f>ROUND(Table157[[#This Row],[Beginning Balance]]*Table157[[#This Row],[Monthly Interest Rate]],2)</f>
        <v>0</v>
      </c>
      <c r="F128" s="3">
        <f t="shared" si="5"/>
        <v>144</v>
      </c>
      <c r="G128" s="23">
        <f>IFERROR(IF($C$13="No","N/A",IF(Table157[[#This Row],[Period]]=1,$C$6,PMT(InterestRate*AmortizationMultiplier/12,Table157[[#This Row],[Am Thru]],-Table157[[#This Row],[Beginning Balance]]))),0)</f>
        <v>0</v>
      </c>
      <c r="H128" s="3">
        <f>MAX(0,IF(C128=$C$4,D128,ROUND(IF($C$3="Fixed Principal",$C$6-Table157[[#This Row],[Interest]],IF($C$3="Interest Only",Table157[[#This Row],[Beginning Balance]]*ROUND(1-(1-IF($C$11="No",$E$8,1))^(1/12),6),MIN(IF($C$13="Yes",Table157[[#This Row],[Payment Amount (Reamortized)]],$C$6)-Table157[[#This Row],[Interest]],Table157[[#This Row],[Beginning Balance]]))),2)))</f>
        <v>0</v>
      </c>
      <c r="I128" s="3">
        <f>_xlfn.SINGLE(IF($C$3="Line of Credit",0,ROUND(MAX(MIN(IF($C$10="No",$E$7,VLOOKUP(Table157[[#This Row],[Period]],Forecast!$H$2:$L$1048576,4,FALSE))*Table157[[#This Row],[Beginning Balance]],Table157[[#This Row],[Beginning Balance]]-Table157[[#This Row],[Principal]]),0),2)))</f>
        <v>0</v>
      </c>
      <c r="J128" s="3">
        <f>ROUND(MIN(Table157[[#This Row],[Beginning Balance]]*IF($C$8="No",$E$3,VLOOKUP(Table157[[#This Row],[Period]],Forecast!$H$2:$L$1048576,2,FALSE)),Table157[[#This Row],[Beginning Balance]]-Table157[[#This Row],[Principal]]-Table157[[#This Row],[Prepayments]]),2)</f>
        <v>0</v>
      </c>
      <c r="K128" s="3">
        <f>ROUND(Table157[[#This Row],[Defaulted Principal]]*IF($C$9="No",$E$4,VLOOKUP(Table157[[#This Row],[Period]],Forecast!$H$2:$L$1048576,3,FALSE)),2)</f>
        <v>0</v>
      </c>
      <c r="L128" s="2">
        <f>Table157[[#This Row],[Period]]+$E$9</f>
        <v>124</v>
      </c>
      <c r="M128" s="3">
        <f>Table157[[#This Row],[Defaulted Principal]]-Table157[[#This Row],[Estimated Loss]]</f>
        <v>0</v>
      </c>
      <c r="N128" s="3">
        <f>IFERROR(VLOOKUP(Table157[[#This Row],[Period]],$L$16:$M$385,2,FALSE),0)</f>
        <v>0</v>
      </c>
      <c r="O128" s="3">
        <f>Table157[[#This Row],[Beginning Balance]]-Table157[[#This Row],[Principal]]-Table157[[#This Row],[Prepayments]]-Table157[[#This Row],[Defaulted Principal]]</f>
        <v>0</v>
      </c>
      <c r="P128" s="3">
        <f>Table157[[#This Row],[Principal]]+Table157[[#This Row],[Interest]]+Table157[[#This Row],[Prepayments]]+Table157[[#This Row],[RecoveredAmount]]</f>
        <v>0</v>
      </c>
      <c r="Q128" s="3">
        <f ca="1">ROUND(Table157[[#This Row],[Cash Flow]]/((1+ActualRateToUse)^(IF(ISNUMBER(SEARCH("Actual",$C$7)),Table157[[#This Row],[Running Total]]/365,Table157[[#This Row],[Period]]/12))),2)</f>
        <v>0</v>
      </c>
      <c r="R128" s="2">
        <f>IF(MONTH(Table157[[#This Row],[Date]])=2,28,DAY(DATE(YEAR(Table157[[#This Row],[Date]]),MONTH(Table157[[#This Row],[Date]])+1,1)-1))</f>
        <v>31</v>
      </c>
      <c r="S128" s="2">
        <f ca="1">SUM(OFFSET(Table157[[#Headers],[Days in month]],1,0):Table157[[#This Row],[Days in month]])</f>
        <v>3408</v>
      </c>
      <c r="T128" s="37">
        <f>InterestRate*AmortizationMultiplier*IF(ISNUMBER(SEARCH("Actual",$C$7)),Table157[[#This Row],[Days in month]]/365,1/12)</f>
        <v>2.9708333333333331E-3</v>
      </c>
    </row>
    <row r="129" spans="2:20" x14ac:dyDescent="0.2">
      <c r="B129" s="1">
        <v>49278</v>
      </c>
      <c r="C129" s="2">
        <f t="shared" si="4"/>
        <v>113</v>
      </c>
      <c r="D129" s="3">
        <f t="shared" si="3"/>
        <v>0</v>
      </c>
      <c r="E129" s="3">
        <f>ROUND(Table157[[#This Row],[Beginning Balance]]*Table157[[#This Row],[Monthly Interest Rate]],2)</f>
        <v>0</v>
      </c>
      <c r="F129" s="3">
        <f t="shared" si="5"/>
        <v>143</v>
      </c>
      <c r="G129" s="23">
        <f>IFERROR(IF($C$13="No","N/A",IF(Table157[[#This Row],[Period]]=1,$C$6,PMT(InterestRate*AmortizationMultiplier/12,Table157[[#This Row],[Am Thru]],-Table157[[#This Row],[Beginning Balance]]))),0)</f>
        <v>0</v>
      </c>
      <c r="H129" s="3">
        <f>MAX(0,IF(C129=$C$4,D129,ROUND(IF($C$3="Fixed Principal",$C$6-Table157[[#This Row],[Interest]],IF($C$3="Interest Only",Table157[[#This Row],[Beginning Balance]]*ROUND(1-(1-IF($C$11="No",$E$8,1))^(1/12),6),MIN(IF($C$13="Yes",Table157[[#This Row],[Payment Amount (Reamortized)]],$C$6)-Table157[[#This Row],[Interest]],Table157[[#This Row],[Beginning Balance]]))),2)))</f>
        <v>0</v>
      </c>
      <c r="I129" s="3">
        <f>_xlfn.SINGLE(IF($C$3="Line of Credit",0,ROUND(MAX(MIN(IF($C$10="No",$E$7,VLOOKUP(Table157[[#This Row],[Period]],Forecast!$H$2:$L$1048576,4,FALSE))*Table157[[#This Row],[Beginning Balance]],Table157[[#This Row],[Beginning Balance]]-Table157[[#This Row],[Principal]]),0),2)))</f>
        <v>0</v>
      </c>
      <c r="J129" s="3">
        <f>ROUND(MIN(Table157[[#This Row],[Beginning Balance]]*IF($C$8="No",$E$3,VLOOKUP(Table157[[#This Row],[Period]],Forecast!$H$2:$L$1048576,2,FALSE)),Table157[[#This Row],[Beginning Balance]]-Table157[[#This Row],[Principal]]-Table157[[#This Row],[Prepayments]]),2)</f>
        <v>0</v>
      </c>
      <c r="K129" s="3">
        <f>ROUND(Table157[[#This Row],[Defaulted Principal]]*IF($C$9="No",$E$4,VLOOKUP(Table157[[#This Row],[Period]],Forecast!$H$2:$L$1048576,3,FALSE)),2)</f>
        <v>0</v>
      </c>
      <c r="L129" s="2">
        <f>Table157[[#This Row],[Period]]+$E$9</f>
        <v>125</v>
      </c>
      <c r="M129" s="3">
        <f>Table157[[#This Row],[Defaulted Principal]]-Table157[[#This Row],[Estimated Loss]]</f>
        <v>0</v>
      </c>
      <c r="N129" s="3">
        <f>IFERROR(VLOOKUP(Table157[[#This Row],[Period]],$L$16:$M$385,2,FALSE),0)</f>
        <v>0</v>
      </c>
      <c r="O129" s="3">
        <f>Table157[[#This Row],[Beginning Balance]]-Table157[[#This Row],[Principal]]-Table157[[#This Row],[Prepayments]]-Table157[[#This Row],[Defaulted Principal]]</f>
        <v>0</v>
      </c>
      <c r="P129" s="3">
        <f>Table157[[#This Row],[Principal]]+Table157[[#This Row],[Interest]]+Table157[[#This Row],[Prepayments]]+Table157[[#This Row],[RecoveredAmount]]</f>
        <v>0</v>
      </c>
      <c r="Q129" s="3">
        <f ca="1">ROUND(Table157[[#This Row],[Cash Flow]]/((1+ActualRateToUse)^(IF(ISNUMBER(SEARCH("Actual",$C$7)),Table157[[#This Row],[Running Total]]/365,Table157[[#This Row],[Period]]/12))),2)</f>
        <v>0</v>
      </c>
      <c r="R129" s="2">
        <f>IF(MONTH(Table157[[#This Row],[Date]])=2,28,DAY(DATE(YEAR(Table157[[#This Row],[Date]]),MONTH(Table157[[#This Row],[Date]])+1,1)-1))</f>
        <v>30</v>
      </c>
      <c r="S129" s="2">
        <f ca="1">SUM(OFFSET(Table157[[#Headers],[Days in month]],1,0):Table157[[#This Row],[Days in month]])</f>
        <v>3438</v>
      </c>
      <c r="T129" s="37">
        <f>InterestRate*AmortizationMultiplier*IF(ISNUMBER(SEARCH("Actual",$C$7)),Table157[[#This Row],[Days in month]]/365,1/12)</f>
        <v>2.8749999999999995E-3</v>
      </c>
    </row>
    <row r="130" spans="2:20" x14ac:dyDescent="0.2">
      <c r="B130" s="1">
        <v>49309</v>
      </c>
      <c r="C130" s="2">
        <f t="shared" si="4"/>
        <v>114</v>
      </c>
      <c r="D130" s="3">
        <f t="shared" si="3"/>
        <v>0</v>
      </c>
      <c r="E130" s="3">
        <f>ROUND(Table157[[#This Row],[Beginning Balance]]*Table157[[#This Row],[Monthly Interest Rate]],2)</f>
        <v>0</v>
      </c>
      <c r="F130" s="3">
        <f t="shared" si="5"/>
        <v>142</v>
      </c>
      <c r="G130" s="23">
        <f>IFERROR(IF($C$13="No","N/A",IF(Table157[[#This Row],[Period]]=1,$C$6,PMT(InterestRate*AmortizationMultiplier/12,Table157[[#This Row],[Am Thru]],-Table157[[#This Row],[Beginning Balance]]))),0)</f>
        <v>0</v>
      </c>
      <c r="H130" s="3">
        <f>MAX(0,IF(C130=$C$4,D130,ROUND(IF($C$3="Fixed Principal",$C$6-Table157[[#This Row],[Interest]],IF($C$3="Interest Only",Table157[[#This Row],[Beginning Balance]]*ROUND(1-(1-IF($C$11="No",$E$8,1))^(1/12),6),MIN(IF($C$13="Yes",Table157[[#This Row],[Payment Amount (Reamortized)]],$C$6)-Table157[[#This Row],[Interest]],Table157[[#This Row],[Beginning Balance]]))),2)))</f>
        <v>0</v>
      </c>
      <c r="I130" s="3">
        <f>_xlfn.SINGLE(IF($C$3="Line of Credit",0,ROUND(MAX(MIN(IF($C$10="No",$E$7,VLOOKUP(Table157[[#This Row],[Period]],Forecast!$H$2:$L$1048576,4,FALSE))*Table157[[#This Row],[Beginning Balance]],Table157[[#This Row],[Beginning Balance]]-Table157[[#This Row],[Principal]]),0),2)))</f>
        <v>0</v>
      </c>
      <c r="J130" s="3">
        <f>ROUND(MIN(Table157[[#This Row],[Beginning Balance]]*IF($C$8="No",$E$3,VLOOKUP(Table157[[#This Row],[Period]],Forecast!$H$2:$L$1048576,2,FALSE)),Table157[[#This Row],[Beginning Balance]]-Table157[[#This Row],[Principal]]-Table157[[#This Row],[Prepayments]]),2)</f>
        <v>0</v>
      </c>
      <c r="K130" s="3">
        <f>ROUND(Table157[[#This Row],[Defaulted Principal]]*IF($C$9="No",$E$4,VLOOKUP(Table157[[#This Row],[Period]],Forecast!$H$2:$L$1048576,3,FALSE)),2)</f>
        <v>0</v>
      </c>
      <c r="L130" s="2">
        <f>Table157[[#This Row],[Period]]+$E$9</f>
        <v>126</v>
      </c>
      <c r="M130" s="3">
        <f>Table157[[#This Row],[Defaulted Principal]]-Table157[[#This Row],[Estimated Loss]]</f>
        <v>0</v>
      </c>
      <c r="N130" s="3">
        <f>IFERROR(VLOOKUP(Table157[[#This Row],[Period]],$L$16:$M$385,2,FALSE),0)</f>
        <v>0</v>
      </c>
      <c r="O130" s="3">
        <f>Table157[[#This Row],[Beginning Balance]]-Table157[[#This Row],[Principal]]-Table157[[#This Row],[Prepayments]]-Table157[[#This Row],[Defaulted Principal]]</f>
        <v>0</v>
      </c>
      <c r="P130" s="3">
        <f>Table157[[#This Row],[Principal]]+Table157[[#This Row],[Interest]]+Table157[[#This Row],[Prepayments]]+Table157[[#This Row],[RecoveredAmount]]</f>
        <v>0</v>
      </c>
      <c r="Q130" s="3">
        <f ca="1">ROUND(Table157[[#This Row],[Cash Flow]]/((1+ActualRateToUse)^(IF(ISNUMBER(SEARCH("Actual",$C$7)),Table157[[#This Row],[Running Total]]/365,Table157[[#This Row],[Period]]/12))),2)</f>
        <v>0</v>
      </c>
      <c r="R130" s="2">
        <f>IF(MONTH(Table157[[#This Row],[Date]])=2,28,DAY(DATE(YEAR(Table157[[#This Row],[Date]]),MONTH(Table157[[#This Row],[Date]])+1,1)-1))</f>
        <v>31</v>
      </c>
      <c r="S130" s="2">
        <f ca="1">SUM(OFFSET(Table157[[#Headers],[Days in month]],1,0):Table157[[#This Row],[Days in month]])</f>
        <v>3469</v>
      </c>
      <c r="T130" s="37">
        <f>InterestRate*AmortizationMultiplier*IF(ISNUMBER(SEARCH("Actual",$C$7)),Table157[[#This Row],[Days in month]]/365,1/12)</f>
        <v>2.9708333333333331E-3</v>
      </c>
    </row>
    <row r="131" spans="2:20" x14ac:dyDescent="0.2">
      <c r="B131" s="1">
        <v>49340</v>
      </c>
      <c r="C131" s="2">
        <f t="shared" si="4"/>
        <v>115</v>
      </c>
      <c r="D131" s="3">
        <f t="shared" si="3"/>
        <v>0</v>
      </c>
      <c r="E131" s="3">
        <f>ROUND(Table157[[#This Row],[Beginning Balance]]*Table157[[#This Row],[Monthly Interest Rate]],2)</f>
        <v>0</v>
      </c>
      <c r="F131" s="3">
        <f t="shared" si="5"/>
        <v>141</v>
      </c>
      <c r="G131" s="23">
        <f>IFERROR(IF($C$13="No","N/A",IF(Table157[[#This Row],[Period]]=1,$C$6,PMT(InterestRate*AmortizationMultiplier/12,Table157[[#This Row],[Am Thru]],-Table157[[#This Row],[Beginning Balance]]))),0)</f>
        <v>0</v>
      </c>
      <c r="H131" s="3">
        <f>MAX(0,IF(C131=$C$4,D131,ROUND(IF($C$3="Fixed Principal",$C$6-Table157[[#This Row],[Interest]],IF($C$3="Interest Only",Table157[[#This Row],[Beginning Balance]]*ROUND(1-(1-IF($C$11="No",$E$8,1))^(1/12),6),MIN(IF($C$13="Yes",Table157[[#This Row],[Payment Amount (Reamortized)]],$C$6)-Table157[[#This Row],[Interest]],Table157[[#This Row],[Beginning Balance]]))),2)))</f>
        <v>0</v>
      </c>
      <c r="I131" s="3">
        <f>_xlfn.SINGLE(IF($C$3="Line of Credit",0,ROUND(MAX(MIN(IF($C$10="No",$E$7,VLOOKUP(Table157[[#This Row],[Period]],Forecast!$H$2:$L$1048576,4,FALSE))*Table157[[#This Row],[Beginning Balance]],Table157[[#This Row],[Beginning Balance]]-Table157[[#This Row],[Principal]]),0),2)))</f>
        <v>0</v>
      </c>
      <c r="J131" s="3">
        <f>ROUND(MIN(Table157[[#This Row],[Beginning Balance]]*IF($C$8="No",$E$3,VLOOKUP(Table157[[#This Row],[Period]],Forecast!$H$2:$L$1048576,2,FALSE)),Table157[[#This Row],[Beginning Balance]]-Table157[[#This Row],[Principal]]-Table157[[#This Row],[Prepayments]]),2)</f>
        <v>0</v>
      </c>
      <c r="K131" s="3">
        <f>ROUND(Table157[[#This Row],[Defaulted Principal]]*IF($C$9="No",$E$4,VLOOKUP(Table157[[#This Row],[Period]],Forecast!$H$2:$L$1048576,3,FALSE)),2)</f>
        <v>0</v>
      </c>
      <c r="L131" s="2">
        <f>Table157[[#This Row],[Period]]+$E$9</f>
        <v>127</v>
      </c>
      <c r="M131" s="3">
        <f>Table157[[#This Row],[Defaulted Principal]]-Table157[[#This Row],[Estimated Loss]]</f>
        <v>0</v>
      </c>
      <c r="N131" s="3">
        <f>IFERROR(VLOOKUP(Table157[[#This Row],[Period]],$L$16:$M$385,2,FALSE),0)</f>
        <v>0</v>
      </c>
      <c r="O131" s="3">
        <f>Table157[[#This Row],[Beginning Balance]]-Table157[[#This Row],[Principal]]-Table157[[#This Row],[Prepayments]]-Table157[[#This Row],[Defaulted Principal]]</f>
        <v>0</v>
      </c>
      <c r="P131" s="3">
        <f>Table157[[#This Row],[Principal]]+Table157[[#This Row],[Interest]]+Table157[[#This Row],[Prepayments]]+Table157[[#This Row],[RecoveredAmount]]</f>
        <v>0</v>
      </c>
      <c r="Q131" s="3">
        <f ca="1">ROUND(Table157[[#This Row],[Cash Flow]]/((1+ActualRateToUse)^(IF(ISNUMBER(SEARCH("Actual",$C$7)),Table157[[#This Row],[Running Total]]/365,Table157[[#This Row],[Period]]/12))),2)</f>
        <v>0</v>
      </c>
      <c r="R131" s="2">
        <f>IF(MONTH(Table157[[#This Row],[Date]])=2,28,DAY(DATE(YEAR(Table157[[#This Row],[Date]]),MONTH(Table157[[#This Row],[Date]])+1,1)-1))</f>
        <v>31</v>
      </c>
      <c r="S131" s="2">
        <f ca="1">SUM(OFFSET(Table157[[#Headers],[Days in month]],1,0):Table157[[#This Row],[Days in month]])</f>
        <v>3500</v>
      </c>
      <c r="T131" s="37">
        <f>InterestRate*AmortizationMultiplier*IF(ISNUMBER(SEARCH("Actual",$C$7)),Table157[[#This Row],[Days in month]]/365,1/12)</f>
        <v>2.9708333333333331E-3</v>
      </c>
    </row>
    <row r="132" spans="2:20" x14ac:dyDescent="0.2">
      <c r="B132" s="1">
        <v>49368</v>
      </c>
      <c r="C132" s="2">
        <f t="shared" si="4"/>
        <v>116</v>
      </c>
      <c r="D132" s="3">
        <f t="shared" si="3"/>
        <v>0</v>
      </c>
      <c r="E132" s="3">
        <f>ROUND(Table157[[#This Row],[Beginning Balance]]*Table157[[#This Row],[Monthly Interest Rate]],2)</f>
        <v>0</v>
      </c>
      <c r="F132" s="3">
        <f t="shared" si="5"/>
        <v>140</v>
      </c>
      <c r="G132" s="23">
        <f>IFERROR(IF($C$13="No","N/A",IF(Table157[[#This Row],[Period]]=1,$C$6,PMT(InterestRate*AmortizationMultiplier/12,Table157[[#This Row],[Am Thru]],-Table157[[#This Row],[Beginning Balance]]))),0)</f>
        <v>0</v>
      </c>
      <c r="H132" s="3">
        <f>MAX(0,IF(C132=$C$4,D132,ROUND(IF($C$3="Fixed Principal",$C$6-Table157[[#This Row],[Interest]],IF($C$3="Interest Only",Table157[[#This Row],[Beginning Balance]]*ROUND(1-(1-IF($C$11="No",$E$8,1))^(1/12),6),MIN(IF($C$13="Yes",Table157[[#This Row],[Payment Amount (Reamortized)]],$C$6)-Table157[[#This Row],[Interest]],Table157[[#This Row],[Beginning Balance]]))),2)))</f>
        <v>0</v>
      </c>
      <c r="I132" s="3">
        <f>_xlfn.SINGLE(IF($C$3="Line of Credit",0,ROUND(MAX(MIN(IF($C$10="No",$E$7,VLOOKUP(Table157[[#This Row],[Period]],Forecast!$H$2:$L$1048576,4,FALSE))*Table157[[#This Row],[Beginning Balance]],Table157[[#This Row],[Beginning Balance]]-Table157[[#This Row],[Principal]]),0),2)))</f>
        <v>0</v>
      </c>
      <c r="J132" s="3">
        <f>ROUND(MIN(Table157[[#This Row],[Beginning Balance]]*IF($C$8="No",$E$3,VLOOKUP(Table157[[#This Row],[Period]],Forecast!$H$2:$L$1048576,2,FALSE)),Table157[[#This Row],[Beginning Balance]]-Table157[[#This Row],[Principal]]-Table157[[#This Row],[Prepayments]]),2)</f>
        <v>0</v>
      </c>
      <c r="K132" s="3">
        <f>ROUND(Table157[[#This Row],[Defaulted Principal]]*IF($C$9="No",$E$4,VLOOKUP(Table157[[#This Row],[Period]],Forecast!$H$2:$L$1048576,3,FALSE)),2)</f>
        <v>0</v>
      </c>
      <c r="L132" s="2">
        <f>Table157[[#This Row],[Period]]+$E$9</f>
        <v>128</v>
      </c>
      <c r="M132" s="3">
        <f>Table157[[#This Row],[Defaulted Principal]]-Table157[[#This Row],[Estimated Loss]]</f>
        <v>0</v>
      </c>
      <c r="N132" s="3">
        <f>IFERROR(VLOOKUP(Table157[[#This Row],[Period]],$L$16:$M$385,2,FALSE),0)</f>
        <v>0</v>
      </c>
      <c r="O132" s="3">
        <f>Table157[[#This Row],[Beginning Balance]]-Table157[[#This Row],[Principal]]-Table157[[#This Row],[Prepayments]]-Table157[[#This Row],[Defaulted Principal]]</f>
        <v>0</v>
      </c>
      <c r="P132" s="3">
        <f>Table157[[#This Row],[Principal]]+Table157[[#This Row],[Interest]]+Table157[[#This Row],[Prepayments]]+Table157[[#This Row],[RecoveredAmount]]</f>
        <v>0</v>
      </c>
      <c r="Q132" s="3">
        <f ca="1">ROUND(Table157[[#This Row],[Cash Flow]]/((1+ActualRateToUse)^(IF(ISNUMBER(SEARCH("Actual",$C$7)),Table157[[#This Row],[Running Total]]/365,Table157[[#This Row],[Period]]/12))),2)</f>
        <v>0</v>
      </c>
      <c r="R132" s="2">
        <f>IF(MONTH(Table157[[#This Row],[Date]])=2,28,DAY(DATE(YEAR(Table157[[#This Row],[Date]]),MONTH(Table157[[#This Row],[Date]])+1,1)-1))</f>
        <v>28</v>
      </c>
      <c r="S132" s="2">
        <f ca="1">SUM(OFFSET(Table157[[#Headers],[Days in month]],1,0):Table157[[#This Row],[Days in month]])</f>
        <v>3528</v>
      </c>
      <c r="T132" s="37">
        <f>InterestRate*AmortizationMultiplier*IF(ISNUMBER(SEARCH("Actual",$C$7)),Table157[[#This Row],[Days in month]]/365,1/12)</f>
        <v>2.6833333333333336E-3</v>
      </c>
    </row>
    <row r="133" spans="2:20" x14ac:dyDescent="0.2">
      <c r="B133" s="1">
        <v>49399</v>
      </c>
      <c r="C133" s="2">
        <f t="shared" si="4"/>
        <v>117</v>
      </c>
      <c r="D133" s="3">
        <f t="shared" si="3"/>
        <v>0</v>
      </c>
      <c r="E133" s="3">
        <f>ROUND(Table157[[#This Row],[Beginning Balance]]*Table157[[#This Row],[Monthly Interest Rate]],2)</f>
        <v>0</v>
      </c>
      <c r="F133" s="3">
        <f t="shared" si="5"/>
        <v>139</v>
      </c>
      <c r="G133" s="23">
        <f>IFERROR(IF($C$13="No","N/A",IF(Table157[[#This Row],[Period]]=1,$C$6,PMT(InterestRate*AmortizationMultiplier/12,Table157[[#This Row],[Am Thru]],-Table157[[#This Row],[Beginning Balance]]))),0)</f>
        <v>0</v>
      </c>
      <c r="H133" s="3">
        <f>MAX(0,IF(C133=$C$4,D133,ROUND(IF($C$3="Fixed Principal",$C$6-Table157[[#This Row],[Interest]],IF($C$3="Interest Only",Table157[[#This Row],[Beginning Balance]]*ROUND(1-(1-IF($C$11="No",$E$8,1))^(1/12),6),MIN(IF($C$13="Yes",Table157[[#This Row],[Payment Amount (Reamortized)]],$C$6)-Table157[[#This Row],[Interest]],Table157[[#This Row],[Beginning Balance]]))),2)))</f>
        <v>0</v>
      </c>
      <c r="I133" s="3">
        <f>_xlfn.SINGLE(IF($C$3="Line of Credit",0,ROUND(MAX(MIN(IF($C$10="No",$E$7,VLOOKUP(Table157[[#This Row],[Period]],Forecast!$H$2:$L$1048576,4,FALSE))*Table157[[#This Row],[Beginning Balance]],Table157[[#This Row],[Beginning Balance]]-Table157[[#This Row],[Principal]]),0),2)))</f>
        <v>0</v>
      </c>
      <c r="J133" s="3">
        <f>ROUND(MIN(Table157[[#This Row],[Beginning Balance]]*IF($C$8="No",$E$3,VLOOKUP(Table157[[#This Row],[Period]],Forecast!$H$2:$L$1048576,2,FALSE)),Table157[[#This Row],[Beginning Balance]]-Table157[[#This Row],[Principal]]-Table157[[#This Row],[Prepayments]]),2)</f>
        <v>0</v>
      </c>
      <c r="K133" s="3">
        <f>ROUND(Table157[[#This Row],[Defaulted Principal]]*IF($C$9="No",$E$4,VLOOKUP(Table157[[#This Row],[Period]],Forecast!$H$2:$L$1048576,3,FALSE)),2)</f>
        <v>0</v>
      </c>
      <c r="L133" s="2">
        <f>Table157[[#This Row],[Period]]+$E$9</f>
        <v>129</v>
      </c>
      <c r="M133" s="3">
        <f>Table157[[#This Row],[Defaulted Principal]]-Table157[[#This Row],[Estimated Loss]]</f>
        <v>0</v>
      </c>
      <c r="N133" s="3">
        <f>IFERROR(VLOOKUP(Table157[[#This Row],[Period]],$L$16:$M$385,2,FALSE),0)</f>
        <v>0</v>
      </c>
      <c r="O133" s="3">
        <f>Table157[[#This Row],[Beginning Balance]]-Table157[[#This Row],[Principal]]-Table157[[#This Row],[Prepayments]]-Table157[[#This Row],[Defaulted Principal]]</f>
        <v>0</v>
      </c>
      <c r="P133" s="3">
        <f>Table157[[#This Row],[Principal]]+Table157[[#This Row],[Interest]]+Table157[[#This Row],[Prepayments]]+Table157[[#This Row],[RecoveredAmount]]</f>
        <v>0</v>
      </c>
      <c r="Q133" s="3">
        <f ca="1">ROUND(Table157[[#This Row],[Cash Flow]]/((1+ActualRateToUse)^(IF(ISNUMBER(SEARCH("Actual",$C$7)),Table157[[#This Row],[Running Total]]/365,Table157[[#This Row],[Period]]/12))),2)</f>
        <v>0</v>
      </c>
      <c r="R133" s="2">
        <f>IF(MONTH(Table157[[#This Row],[Date]])=2,28,DAY(DATE(YEAR(Table157[[#This Row],[Date]]),MONTH(Table157[[#This Row],[Date]])+1,1)-1))</f>
        <v>31</v>
      </c>
      <c r="S133" s="2">
        <f ca="1">SUM(OFFSET(Table157[[#Headers],[Days in month]],1,0):Table157[[#This Row],[Days in month]])</f>
        <v>3559</v>
      </c>
      <c r="T133" s="37">
        <f>InterestRate*AmortizationMultiplier*IF(ISNUMBER(SEARCH("Actual",$C$7)),Table157[[#This Row],[Days in month]]/365,1/12)</f>
        <v>2.9708333333333331E-3</v>
      </c>
    </row>
    <row r="134" spans="2:20" x14ac:dyDescent="0.2">
      <c r="B134" s="1">
        <v>49429</v>
      </c>
      <c r="C134" s="2">
        <f t="shared" si="4"/>
        <v>118</v>
      </c>
      <c r="D134" s="3">
        <f t="shared" si="3"/>
        <v>0</v>
      </c>
      <c r="E134" s="3">
        <f>ROUND(Table157[[#This Row],[Beginning Balance]]*Table157[[#This Row],[Monthly Interest Rate]],2)</f>
        <v>0</v>
      </c>
      <c r="F134" s="3">
        <f t="shared" si="5"/>
        <v>138</v>
      </c>
      <c r="G134" s="23">
        <f>IFERROR(IF($C$13="No","N/A",IF(Table157[[#This Row],[Period]]=1,$C$6,PMT(InterestRate*AmortizationMultiplier/12,Table157[[#This Row],[Am Thru]],-Table157[[#This Row],[Beginning Balance]]))),0)</f>
        <v>0</v>
      </c>
      <c r="H134" s="3">
        <f>MAX(0,IF(C134=$C$4,D134,ROUND(IF($C$3="Fixed Principal",$C$6-Table157[[#This Row],[Interest]],IF($C$3="Interest Only",Table157[[#This Row],[Beginning Balance]]*ROUND(1-(1-IF($C$11="No",$E$8,1))^(1/12),6),MIN(IF($C$13="Yes",Table157[[#This Row],[Payment Amount (Reamortized)]],$C$6)-Table157[[#This Row],[Interest]],Table157[[#This Row],[Beginning Balance]]))),2)))</f>
        <v>0</v>
      </c>
      <c r="I134" s="3">
        <f>_xlfn.SINGLE(IF($C$3="Line of Credit",0,ROUND(MAX(MIN(IF($C$10="No",$E$7,VLOOKUP(Table157[[#This Row],[Period]],Forecast!$H$2:$L$1048576,4,FALSE))*Table157[[#This Row],[Beginning Balance]],Table157[[#This Row],[Beginning Balance]]-Table157[[#This Row],[Principal]]),0),2)))</f>
        <v>0</v>
      </c>
      <c r="J134" s="3">
        <f>ROUND(MIN(Table157[[#This Row],[Beginning Balance]]*IF($C$8="No",$E$3,VLOOKUP(Table157[[#This Row],[Period]],Forecast!$H$2:$L$1048576,2,FALSE)),Table157[[#This Row],[Beginning Balance]]-Table157[[#This Row],[Principal]]-Table157[[#This Row],[Prepayments]]),2)</f>
        <v>0</v>
      </c>
      <c r="K134" s="3">
        <f>ROUND(Table157[[#This Row],[Defaulted Principal]]*IF($C$9="No",$E$4,VLOOKUP(Table157[[#This Row],[Period]],Forecast!$H$2:$L$1048576,3,FALSE)),2)</f>
        <v>0</v>
      </c>
      <c r="L134" s="2">
        <f>Table157[[#This Row],[Period]]+$E$9</f>
        <v>130</v>
      </c>
      <c r="M134" s="3">
        <f>Table157[[#This Row],[Defaulted Principal]]-Table157[[#This Row],[Estimated Loss]]</f>
        <v>0</v>
      </c>
      <c r="N134" s="3">
        <f>IFERROR(VLOOKUP(Table157[[#This Row],[Period]],$L$16:$M$385,2,FALSE),0)</f>
        <v>0</v>
      </c>
      <c r="O134" s="3">
        <f>Table157[[#This Row],[Beginning Balance]]-Table157[[#This Row],[Principal]]-Table157[[#This Row],[Prepayments]]-Table157[[#This Row],[Defaulted Principal]]</f>
        <v>0</v>
      </c>
      <c r="P134" s="3">
        <f>Table157[[#This Row],[Principal]]+Table157[[#This Row],[Interest]]+Table157[[#This Row],[Prepayments]]+Table157[[#This Row],[RecoveredAmount]]</f>
        <v>0</v>
      </c>
      <c r="Q134" s="3">
        <f ca="1">ROUND(Table157[[#This Row],[Cash Flow]]/((1+ActualRateToUse)^(IF(ISNUMBER(SEARCH("Actual",$C$7)),Table157[[#This Row],[Running Total]]/365,Table157[[#This Row],[Period]]/12))),2)</f>
        <v>0</v>
      </c>
      <c r="R134" s="2">
        <f>IF(MONTH(Table157[[#This Row],[Date]])=2,28,DAY(DATE(YEAR(Table157[[#This Row],[Date]]),MONTH(Table157[[#This Row],[Date]])+1,1)-1))</f>
        <v>30</v>
      </c>
      <c r="S134" s="2">
        <f ca="1">SUM(OFFSET(Table157[[#Headers],[Days in month]],1,0):Table157[[#This Row],[Days in month]])</f>
        <v>3589</v>
      </c>
      <c r="T134" s="37">
        <f>InterestRate*AmortizationMultiplier*IF(ISNUMBER(SEARCH("Actual",$C$7)),Table157[[#This Row],[Days in month]]/365,1/12)</f>
        <v>2.8749999999999995E-3</v>
      </c>
    </row>
    <row r="135" spans="2:20" x14ac:dyDescent="0.2">
      <c r="B135" s="1">
        <v>49460</v>
      </c>
      <c r="C135" s="2">
        <f t="shared" si="4"/>
        <v>119</v>
      </c>
      <c r="D135" s="3">
        <f t="shared" si="3"/>
        <v>0</v>
      </c>
      <c r="E135" s="3">
        <f>ROUND(Table157[[#This Row],[Beginning Balance]]*Table157[[#This Row],[Monthly Interest Rate]],2)</f>
        <v>0</v>
      </c>
      <c r="F135" s="3">
        <f t="shared" si="5"/>
        <v>137</v>
      </c>
      <c r="G135" s="23">
        <f>IFERROR(IF($C$13="No","N/A",IF(Table157[[#This Row],[Period]]=1,$C$6,PMT(InterestRate*AmortizationMultiplier/12,Table157[[#This Row],[Am Thru]],-Table157[[#This Row],[Beginning Balance]]))),0)</f>
        <v>0</v>
      </c>
      <c r="H135" s="3">
        <f>MAX(0,IF(C135=$C$4,D135,ROUND(IF($C$3="Fixed Principal",$C$6-Table157[[#This Row],[Interest]],IF($C$3="Interest Only",Table157[[#This Row],[Beginning Balance]]*ROUND(1-(1-IF($C$11="No",$E$8,1))^(1/12),6),MIN(IF($C$13="Yes",Table157[[#This Row],[Payment Amount (Reamortized)]],$C$6)-Table157[[#This Row],[Interest]],Table157[[#This Row],[Beginning Balance]]))),2)))</f>
        <v>0</v>
      </c>
      <c r="I135" s="3">
        <f>_xlfn.SINGLE(IF($C$3="Line of Credit",0,ROUND(MAX(MIN(IF($C$10="No",$E$7,VLOOKUP(Table157[[#This Row],[Period]],Forecast!$H$2:$L$1048576,4,FALSE))*Table157[[#This Row],[Beginning Balance]],Table157[[#This Row],[Beginning Balance]]-Table157[[#This Row],[Principal]]),0),2)))</f>
        <v>0</v>
      </c>
      <c r="J135" s="3">
        <f>ROUND(MIN(Table157[[#This Row],[Beginning Balance]]*IF($C$8="No",$E$3,VLOOKUP(Table157[[#This Row],[Period]],Forecast!$H$2:$L$1048576,2,FALSE)),Table157[[#This Row],[Beginning Balance]]-Table157[[#This Row],[Principal]]-Table157[[#This Row],[Prepayments]]),2)</f>
        <v>0</v>
      </c>
      <c r="K135" s="3">
        <f>ROUND(Table157[[#This Row],[Defaulted Principal]]*IF($C$9="No",$E$4,VLOOKUP(Table157[[#This Row],[Period]],Forecast!$H$2:$L$1048576,3,FALSE)),2)</f>
        <v>0</v>
      </c>
      <c r="L135" s="2">
        <f>Table157[[#This Row],[Period]]+$E$9</f>
        <v>131</v>
      </c>
      <c r="M135" s="3">
        <f>Table157[[#This Row],[Defaulted Principal]]-Table157[[#This Row],[Estimated Loss]]</f>
        <v>0</v>
      </c>
      <c r="N135" s="3">
        <f>IFERROR(VLOOKUP(Table157[[#This Row],[Period]],$L$16:$M$385,2,FALSE),0)</f>
        <v>0</v>
      </c>
      <c r="O135" s="3">
        <f>Table157[[#This Row],[Beginning Balance]]-Table157[[#This Row],[Principal]]-Table157[[#This Row],[Prepayments]]-Table157[[#This Row],[Defaulted Principal]]</f>
        <v>0</v>
      </c>
      <c r="P135" s="3">
        <f>Table157[[#This Row],[Principal]]+Table157[[#This Row],[Interest]]+Table157[[#This Row],[Prepayments]]+Table157[[#This Row],[RecoveredAmount]]</f>
        <v>0</v>
      </c>
      <c r="Q135" s="3">
        <f ca="1">ROUND(Table157[[#This Row],[Cash Flow]]/((1+ActualRateToUse)^(IF(ISNUMBER(SEARCH("Actual",$C$7)),Table157[[#This Row],[Running Total]]/365,Table157[[#This Row],[Period]]/12))),2)</f>
        <v>0</v>
      </c>
      <c r="R135" s="2">
        <f>IF(MONTH(Table157[[#This Row],[Date]])=2,28,DAY(DATE(YEAR(Table157[[#This Row],[Date]]),MONTH(Table157[[#This Row],[Date]])+1,1)-1))</f>
        <v>31</v>
      </c>
      <c r="S135" s="2">
        <f ca="1">SUM(OFFSET(Table157[[#Headers],[Days in month]],1,0):Table157[[#This Row],[Days in month]])</f>
        <v>3620</v>
      </c>
      <c r="T135" s="37">
        <f>InterestRate*AmortizationMultiplier*IF(ISNUMBER(SEARCH("Actual",$C$7)),Table157[[#This Row],[Days in month]]/365,1/12)</f>
        <v>2.9708333333333331E-3</v>
      </c>
    </row>
    <row r="136" spans="2:20" x14ac:dyDescent="0.2">
      <c r="B136" s="1">
        <v>49490</v>
      </c>
      <c r="C136" s="2">
        <f t="shared" si="4"/>
        <v>120</v>
      </c>
      <c r="D136" s="3">
        <f t="shared" si="3"/>
        <v>0</v>
      </c>
      <c r="E136" s="3">
        <f>ROUND(Table157[[#This Row],[Beginning Balance]]*Table157[[#This Row],[Monthly Interest Rate]],2)</f>
        <v>0</v>
      </c>
      <c r="F136" s="3">
        <f t="shared" si="5"/>
        <v>136</v>
      </c>
      <c r="G136" s="23">
        <f>IFERROR(IF($C$13="No","N/A",IF(Table157[[#This Row],[Period]]=1,$C$6,PMT(InterestRate*AmortizationMultiplier/12,Table157[[#This Row],[Am Thru]],-Table157[[#This Row],[Beginning Balance]]))),0)</f>
        <v>0</v>
      </c>
      <c r="H136" s="3">
        <f>MAX(0,IF(C136=$C$4,D136,ROUND(IF($C$3="Fixed Principal",$C$6-Table157[[#This Row],[Interest]],IF($C$3="Interest Only",Table157[[#This Row],[Beginning Balance]]*ROUND(1-(1-IF($C$11="No",$E$8,1))^(1/12),6),MIN(IF($C$13="Yes",Table157[[#This Row],[Payment Amount (Reamortized)]],$C$6)-Table157[[#This Row],[Interest]],Table157[[#This Row],[Beginning Balance]]))),2)))</f>
        <v>0</v>
      </c>
      <c r="I136" s="3">
        <f>_xlfn.SINGLE(IF($C$3="Line of Credit",0,ROUND(MAX(MIN(IF($C$10="No",$E$7,VLOOKUP(Table157[[#This Row],[Period]],Forecast!$H$2:$L$1048576,4,FALSE))*Table157[[#This Row],[Beginning Balance]],Table157[[#This Row],[Beginning Balance]]-Table157[[#This Row],[Principal]]),0),2)))</f>
        <v>0</v>
      </c>
      <c r="J136" s="3">
        <f>ROUND(MIN(Table157[[#This Row],[Beginning Balance]]*IF($C$8="No",$E$3,VLOOKUP(Table157[[#This Row],[Period]],Forecast!$H$2:$L$1048576,2,FALSE)),Table157[[#This Row],[Beginning Balance]]-Table157[[#This Row],[Principal]]-Table157[[#This Row],[Prepayments]]),2)</f>
        <v>0</v>
      </c>
      <c r="K136" s="3">
        <f>ROUND(Table157[[#This Row],[Defaulted Principal]]*IF($C$9="No",$E$4,VLOOKUP(Table157[[#This Row],[Period]],Forecast!$H$2:$L$1048576,3,FALSE)),2)</f>
        <v>0</v>
      </c>
      <c r="L136" s="2">
        <f>Table157[[#This Row],[Period]]+$E$9</f>
        <v>132</v>
      </c>
      <c r="M136" s="3">
        <f>Table157[[#This Row],[Defaulted Principal]]-Table157[[#This Row],[Estimated Loss]]</f>
        <v>0</v>
      </c>
      <c r="N136" s="3">
        <f>IFERROR(VLOOKUP(Table157[[#This Row],[Period]],$L$16:$M$385,2,FALSE),0)</f>
        <v>0</v>
      </c>
      <c r="O136" s="3">
        <f>Table157[[#This Row],[Beginning Balance]]-Table157[[#This Row],[Principal]]-Table157[[#This Row],[Prepayments]]-Table157[[#This Row],[Defaulted Principal]]</f>
        <v>0</v>
      </c>
      <c r="P136" s="3">
        <f>Table157[[#This Row],[Principal]]+Table157[[#This Row],[Interest]]+Table157[[#This Row],[Prepayments]]+Table157[[#This Row],[RecoveredAmount]]</f>
        <v>0</v>
      </c>
      <c r="Q136" s="3">
        <f ca="1">ROUND(Table157[[#This Row],[Cash Flow]]/((1+ActualRateToUse)^(IF(ISNUMBER(SEARCH("Actual",$C$7)),Table157[[#This Row],[Running Total]]/365,Table157[[#This Row],[Period]]/12))),2)</f>
        <v>0</v>
      </c>
      <c r="R136" s="2">
        <f>IF(MONTH(Table157[[#This Row],[Date]])=2,28,DAY(DATE(YEAR(Table157[[#This Row],[Date]]),MONTH(Table157[[#This Row],[Date]])+1,1)-1))</f>
        <v>30</v>
      </c>
      <c r="S136" s="2">
        <f ca="1">SUM(OFFSET(Table157[[#Headers],[Days in month]],1,0):Table157[[#This Row],[Days in month]])</f>
        <v>3650</v>
      </c>
      <c r="T136" s="37">
        <f>InterestRate*AmortizationMultiplier*IF(ISNUMBER(SEARCH("Actual",$C$7)),Table157[[#This Row],[Days in month]]/365,1/12)</f>
        <v>2.8749999999999995E-3</v>
      </c>
    </row>
    <row r="137" spans="2:20" x14ac:dyDescent="0.2">
      <c r="B137" s="1">
        <v>49521</v>
      </c>
      <c r="C137" s="2">
        <f t="shared" si="4"/>
        <v>121</v>
      </c>
      <c r="D137" s="3">
        <f t="shared" si="3"/>
        <v>0</v>
      </c>
      <c r="E137" s="3">
        <f>ROUND(Table157[[#This Row],[Beginning Balance]]*Table157[[#This Row],[Monthly Interest Rate]],2)</f>
        <v>0</v>
      </c>
      <c r="F137" s="3">
        <f t="shared" si="5"/>
        <v>135</v>
      </c>
      <c r="G137" s="23">
        <f>IFERROR(IF($C$13="No","N/A",IF(Table157[[#This Row],[Period]]=1,$C$6,PMT(InterestRate*AmortizationMultiplier/12,Table157[[#This Row],[Am Thru]],-Table157[[#This Row],[Beginning Balance]]))),0)</f>
        <v>0</v>
      </c>
      <c r="H137" s="3">
        <f>MAX(0,IF(C137=$C$4,D137,ROUND(IF($C$3="Fixed Principal",$C$6-Table157[[#This Row],[Interest]],IF($C$3="Interest Only",Table157[[#This Row],[Beginning Balance]]*ROUND(1-(1-IF($C$11="No",$E$8,1))^(1/12),6),MIN(IF($C$13="Yes",Table157[[#This Row],[Payment Amount (Reamortized)]],$C$6)-Table157[[#This Row],[Interest]],Table157[[#This Row],[Beginning Balance]]))),2)))</f>
        <v>0</v>
      </c>
      <c r="I137" s="3">
        <f>_xlfn.SINGLE(IF($C$3="Line of Credit",0,ROUND(MAX(MIN(IF($C$10="No",$E$7,VLOOKUP(Table157[[#This Row],[Period]],Forecast!$H$2:$L$1048576,4,FALSE))*Table157[[#This Row],[Beginning Balance]],Table157[[#This Row],[Beginning Balance]]-Table157[[#This Row],[Principal]]),0),2)))</f>
        <v>0</v>
      </c>
      <c r="J137" s="3">
        <f>ROUND(MIN(Table157[[#This Row],[Beginning Balance]]*IF($C$8="No",$E$3,VLOOKUP(Table157[[#This Row],[Period]],Forecast!$H$2:$L$1048576,2,FALSE)),Table157[[#This Row],[Beginning Balance]]-Table157[[#This Row],[Principal]]-Table157[[#This Row],[Prepayments]]),2)</f>
        <v>0</v>
      </c>
      <c r="K137" s="3">
        <f>ROUND(Table157[[#This Row],[Defaulted Principal]]*IF($C$9="No",$E$4,VLOOKUP(Table157[[#This Row],[Period]],Forecast!$H$2:$L$1048576,3,FALSE)),2)</f>
        <v>0</v>
      </c>
      <c r="L137" s="2">
        <f>Table157[[#This Row],[Period]]+$E$9</f>
        <v>133</v>
      </c>
      <c r="M137" s="3">
        <f>Table157[[#This Row],[Defaulted Principal]]-Table157[[#This Row],[Estimated Loss]]</f>
        <v>0</v>
      </c>
      <c r="N137" s="3">
        <f>IFERROR(VLOOKUP(Table157[[#This Row],[Period]],$L$16:$M$385,2,FALSE),0)</f>
        <v>0</v>
      </c>
      <c r="O137" s="3">
        <f>Table157[[#This Row],[Beginning Balance]]-Table157[[#This Row],[Principal]]-Table157[[#This Row],[Prepayments]]-Table157[[#This Row],[Defaulted Principal]]</f>
        <v>0</v>
      </c>
      <c r="P137" s="3">
        <f>Table157[[#This Row],[Principal]]+Table157[[#This Row],[Interest]]+Table157[[#This Row],[Prepayments]]+Table157[[#This Row],[RecoveredAmount]]</f>
        <v>0</v>
      </c>
      <c r="Q137" s="3">
        <f ca="1">ROUND(Table157[[#This Row],[Cash Flow]]/((1+ActualRateToUse)^(IF(ISNUMBER(SEARCH("Actual",$C$7)),Table157[[#This Row],[Running Total]]/365,Table157[[#This Row],[Period]]/12))),2)</f>
        <v>0</v>
      </c>
      <c r="R137" s="2">
        <f>IF(MONTH(Table157[[#This Row],[Date]])=2,28,DAY(DATE(YEAR(Table157[[#This Row],[Date]]),MONTH(Table157[[#This Row],[Date]])+1,1)-1))</f>
        <v>31</v>
      </c>
      <c r="S137" s="2">
        <f ca="1">SUM(OFFSET(Table157[[#Headers],[Days in month]],1,0):Table157[[#This Row],[Days in month]])</f>
        <v>3681</v>
      </c>
      <c r="T137" s="37">
        <f>InterestRate*AmortizationMultiplier*IF(ISNUMBER(SEARCH("Actual",$C$7)),Table157[[#This Row],[Days in month]]/365,1/12)</f>
        <v>2.9708333333333331E-3</v>
      </c>
    </row>
    <row r="138" spans="2:20" x14ac:dyDescent="0.2">
      <c r="B138" s="1">
        <v>49552</v>
      </c>
      <c r="C138" s="2">
        <f t="shared" si="4"/>
        <v>122</v>
      </c>
      <c r="D138" s="3">
        <f t="shared" si="3"/>
        <v>0</v>
      </c>
      <c r="E138" s="3">
        <f>ROUND(Table157[[#This Row],[Beginning Balance]]*Table157[[#This Row],[Monthly Interest Rate]],2)</f>
        <v>0</v>
      </c>
      <c r="F138" s="3">
        <f t="shared" si="5"/>
        <v>134</v>
      </c>
      <c r="G138" s="23">
        <f>IFERROR(IF($C$13="No","N/A",IF(Table157[[#This Row],[Period]]=1,$C$6,PMT(InterestRate*AmortizationMultiplier/12,Table157[[#This Row],[Am Thru]],-Table157[[#This Row],[Beginning Balance]]))),0)</f>
        <v>0</v>
      </c>
      <c r="H138" s="3">
        <f>MAX(0,IF(C138=$C$4,D138,ROUND(IF($C$3="Fixed Principal",$C$6-Table157[[#This Row],[Interest]],IF($C$3="Interest Only",Table157[[#This Row],[Beginning Balance]]*ROUND(1-(1-IF($C$11="No",$E$8,1))^(1/12),6),MIN(IF($C$13="Yes",Table157[[#This Row],[Payment Amount (Reamortized)]],$C$6)-Table157[[#This Row],[Interest]],Table157[[#This Row],[Beginning Balance]]))),2)))</f>
        <v>0</v>
      </c>
      <c r="I138" s="3">
        <f>_xlfn.SINGLE(IF($C$3="Line of Credit",0,ROUND(MAX(MIN(IF($C$10="No",$E$7,VLOOKUP(Table157[[#This Row],[Period]],Forecast!$H$2:$L$1048576,4,FALSE))*Table157[[#This Row],[Beginning Balance]],Table157[[#This Row],[Beginning Balance]]-Table157[[#This Row],[Principal]]),0),2)))</f>
        <v>0</v>
      </c>
      <c r="J138" s="3">
        <f>ROUND(MIN(Table157[[#This Row],[Beginning Balance]]*IF($C$8="No",$E$3,VLOOKUP(Table157[[#This Row],[Period]],Forecast!$H$2:$L$1048576,2,FALSE)),Table157[[#This Row],[Beginning Balance]]-Table157[[#This Row],[Principal]]-Table157[[#This Row],[Prepayments]]),2)</f>
        <v>0</v>
      </c>
      <c r="K138" s="3">
        <f>ROUND(Table157[[#This Row],[Defaulted Principal]]*IF($C$9="No",$E$4,VLOOKUP(Table157[[#This Row],[Period]],Forecast!$H$2:$L$1048576,3,FALSE)),2)</f>
        <v>0</v>
      </c>
      <c r="L138" s="2">
        <f>Table157[[#This Row],[Period]]+$E$9</f>
        <v>134</v>
      </c>
      <c r="M138" s="3">
        <f>Table157[[#This Row],[Defaulted Principal]]-Table157[[#This Row],[Estimated Loss]]</f>
        <v>0</v>
      </c>
      <c r="N138" s="3">
        <f>IFERROR(VLOOKUP(Table157[[#This Row],[Period]],$L$16:$M$385,2,FALSE),0)</f>
        <v>0</v>
      </c>
      <c r="O138" s="3">
        <f>Table157[[#This Row],[Beginning Balance]]-Table157[[#This Row],[Principal]]-Table157[[#This Row],[Prepayments]]-Table157[[#This Row],[Defaulted Principal]]</f>
        <v>0</v>
      </c>
      <c r="P138" s="3">
        <f>Table157[[#This Row],[Principal]]+Table157[[#This Row],[Interest]]+Table157[[#This Row],[Prepayments]]+Table157[[#This Row],[RecoveredAmount]]</f>
        <v>0</v>
      </c>
      <c r="Q138" s="3">
        <f ca="1">ROUND(Table157[[#This Row],[Cash Flow]]/((1+ActualRateToUse)^(IF(ISNUMBER(SEARCH("Actual",$C$7)),Table157[[#This Row],[Running Total]]/365,Table157[[#This Row],[Period]]/12))),2)</f>
        <v>0</v>
      </c>
      <c r="R138" s="2">
        <f>IF(MONTH(Table157[[#This Row],[Date]])=2,28,DAY(DATE(YEAR(Table157[[#This Row],[Date]]),MONTH(Table157[[#This Row],[Date]])+1,1)-1))</f>
        <v>31</v>
      </c>
      <c r="S138" s="2">
        <f ca="1">SUM(OFFSET(Table157[[#Headers],[Days in month]],1,0):Table157[[#This Row],[Days in month]])</f>
        <v>3712</v>
      </c>
      <c r="T138" s="37">
        <f>InterestRate*AmortizationMultiplier*IF(ISNUMBER(SEARCH("Actual",$C$7)),Table157[[#This Row],[Days in month]]/365,1/12)</f>
        <v>2.9708333333333331E-3</v>
      </c>
    </row>
    <row r="139" spans="2:20" x14ac:dyDescent="0.2">
      <c r="B139" s="1">
        <f t="shared" ref="B139:B202" si="6">EOMONTH(B138,1)</f>
        <v>49582</v>
      </c>
      <c r="C139" s="2">
        <f t="shared" si="4"/>
        <v>123</v>
      </c>
      <c r="D139" s="3">
        <f t="shared" si="3"/>
        <v>0</v>
      </c>
      <c r="E139" s="3">
        <f>ROUND(Table157[[#This Row],[Beginning Balance]]*Table157[[#This Row],[Monthly Interest Rate]],2)</f>
        <v>0</v>
      </c>
      <c r="F139" s="3">
        <f t="shared" si="5"/>
        <v>133</v>
      </c>
      <c r="G139" s="23">
        <f>IFERROR(IF($C$13="No","N/A",IF(Table157[[#This Row],[Period]]=1,$C$6,PMT(InterestRate*AmortizationMultiplier/12,Table157[[#This Row],[Am Thru]],-Table157[[#This Row],[Beginning Balance]]))),0)</f>
        <v>0</v>
      </c>
      <c r="H139" s="3">
        <f>MAX(0,IF(C139=$C$4,D139,ROUND(IF($C$3="Fixed Principal",$C$6-Table157[[#This Row],[Interest]],IF($C$3="Interest Only",Table157[[#This Row],[Beginning Balance]]*ROUND(1-(1-IF($C$11="No",$E$8,1))^(1/12),6),MIN(IF($C$13="Yes",Table157[[#This Row],[Payment Amount (Reamortized)]],$C$6)-Table157[[#This Row],[Interest]],Table157[[#This Row],[Beginning Balance]]))),2)))</f>
        <v>0</v>
      </c>
      <c r="I139" s="3">
        <f>_xlfn.SINGLE(IF($C$3="Line of Credit",0,ROUND(MAX(MIN(IF($C$10="No",$E$7,VLOOKUP(Table157[[#This Row],[Period]],Forecast!$H$2:$L$1048576,4,FALSE))*Table157[[#This Row],[Beginning Balance]],Table157[[#This Row],[Beginning Balance]]-Table157[[#This Row],[Principal]]),0),2)))</f>
        <v>0</v>
      </c>
      <c r="J139" s="3">
        <f>ROUND(MIN(Table157[[#This Row],[Beginning Balance]]*IF($C$8="No",$E$3,VLOOKUP(Table157[[#This Row],[Period]],Forecast!$H$2:$L$1048576,2,FALSE)),Table157[[#This Row],[Beginning Balance]]-Table157[[#This Row],[Principal]]-Table157[[#This Row],[Prepayments]]),2)</f>
        <v>0</v>
      </c>
      <c r="K139" s="3">
        <f>ROUND(Table157[[#This Row],[Defaulted Principal]]*IF($C$9="No",$E$4,VLOOKUP(Table157[[#This Row],[Period]],Forecast!$H$2:$L$1048576,3,FALSE)),2)</f>
        <v>0</v>
      </c>
      <c r="L139" s="2">
        <f>Table157[[#This Row],[Period]]+$E$9</f>
        <v>135</v>
      </c>
      <c r="M139" s="3">
        <f>Table157[[#This Row],[Defaulted Principal]]-Table157[[#This Row],[Estimated Loss]]</f>
        <v>0</v>
      </c>
      <c r="N139" s="3">
        <f>IFERROR(VLOOKUP(Table157[[#This Row],[Period]],$L$16:$M$385,2,FALSE),0)</f>
        <v>0</v>
      </c>
      <c r="O139" s="3">
        <f>Table157[[#This Row],[Beginning Balance]]-Table157[[#This Row],[Principal]]-Table157[[#This Row],[Prepayments]]-Table157[[#This Row],[Defaulted Principal]]</f>
        <v>0</v>
      </c>
      <c r="P139" s="3">
        <f>Table157[[#This Row],[Principal]]+Table157[[#This Row],[Interest]]+Table157[[#This Row],[Prepayments]]+Table157[[#This Row],[RecoveredAmount]]</f>
        <v>0</v>
      </c>
      <c r="Q139" s="3">
        <f ca="1">ROUND(Table157[[#This Row],[Cash Flow]]/((1+ActualRateToUse)^(IF(ISNUMBER(SEARCH("Actual",$C$7)),Table157[[#This Row],[Running Total]]/365,Table157[[#This Row],[Period]]/12))),2)</f>
        <v>0</v>
      </c>
      <c r="R139" s="2">
        <f>IF(MONTH(Table157[[#This Row],[Date]])=2,28,DAY(DATE(YEAR(Table157[[#This Row],[Date]]),MONTH(Table157[[#This Row],[Date]])+1,1)-1))</f>
        <v>30</v>
      </c>
      <c r="S139" s="2">
        <f ca="1">SUM(OFFSET(Table157[[#Headers],[Days in month]],1,0):Table157[[#This Row],[Days in month]])</f>
        <v>3742</v>
      </c>
      <c r="T139" s="37">
        <f>InterestRate*AmortizationMultiplier*IF(ISNUMBER(SEARCH("Actual",$C$7)),Table157[[#This Row],[Days in month]]/365,1/12)</f>
        <v>2.8749999999999995E-3</v>
      </c>
    </row>
    <row r="140" spans="2:20" x14ac:dyDescent="0.2">
      <c r="B140" s="1">
        <f t="shared" si="6"/>
        <v>49613</v>
      </c>
      <c r="C140" s="2">
        <f t="shared" si="4"/>
        <v>124</v>
      </c>
      <c r="D140" s="3">
        <f t="shared" si="3"/>
        <v>0</v>
      </c>
      <c r="E140" s="3">
        <f>ROUND(Table157[[#This Row],[Beginning Balance]]*Table157[[#This Row],[Monthly Interest Rate]],2)</f>
        <v>0</v>
      </c>
      <c r="F140" s="3">
        <f t="shared" si="5"/>
        <v>132</v>
      </c>
      <c r="G140" s="23">
        <f>IFERROR(IF($C$13="No","N/A",IF(Table157[[#This Row],[Period]]=1,$C$6,PMT(InterestRate*AmortizationMultiplier/12,Table157[[#This Row],[Am Thru]],-Table157[[#This Row],[Beginning Balance]]))),0)</f>
        <v>0</v>
      </c>
      <c r="H140" s="3">
        <f>MAX(0,IF(C140=$C$4,D140,ROUND(IF($C$3="Fixed Principal",$C$6-Table157[[#This Row],[Interest]],IF($C$3="Interest Only",Table157[[#This Row],[Beginning Balance]]*ROUND(1-(1-IF($C$11="No",$E$8,1))^(1/12),6),MIN(IF($C$13="Yes",Table157[[#This Row],[Payment Amount (Reamortized)]],$C$6)-Table157[[#This Row],[Interest]],Table157[[#This Row],[Beginning Balance]]))),2)))</f>
        <v>0</v>
      </c>
      <c r="I140" s="3">
        <f>_xlfn.SINGLE(IF($C$3="Line of Credit",0,ROUND(MAX(MIN(IF($C$10="No",$E$7,VLOOKUP(Table157[[#This Row],[Period]],Forecast!$H$2:$L$1048576,4,FALSE))*Table157[[#This Row],[Beginning Balance]],Table157[[#This Row],[Beginning Balance]]-Table157[[#This Row],[Principal]]),0),2)))</f>
        <v>0</v>
      </c>
      <c r="J140" s="3">
        <f>ROUND(MIN(Table157[[#This Row],[Beginning Balance]]*IF($C$8="No",$E$3,VLOOKUP(Table157[[#This Row],[Period]],Forecast!$H$2:$L$1048576,2,FALSE)),Table157[[#This Row],[Beginning Balance]]-Table157[[#This Row],[Principal]]-Table157[[#This Row],[Prepayments]]),2)</f>
        <v>0</v>
      </c>
      <c r="K140" s="3">
        <f>ROUND(Table157[[#This Row],[Defaulted Principal]]*IF($C$9="No",$E$4,VLOOKUP(Table157[[#This Row],[Period]],Forecast!$H$2:$L$1048576,3,FALSE)),2)</f>
        <v>0</v>
      </c>
      <c r="L140" s="2">
        <f>Table157[[#This Row],[Period]]+$E$9</f>
        <v>136</v>
      </c>
      <c r="M140" s="3">
        <f>Table157[[#This Row],[Defaulted Principal]]-Table157[[#This Row],[Estimated Loss]]</f>
        <v>0</v>
      </c>
      <c r="N140" s="3">
        <f>IFERROR(VLOOKUP(Table157[[#This Row],[Period]],$L$16:$M$385,2,FALSE),0)</f>
        <v>0</v>
      </c>
      <c r="O140" s="3">
        <f>Table157[[#This Row],[Beginning Balance]]-Table157[[#This Row],[Principal]]-Table157[[#This Row],[Prepayments]]-Table157[[#This Row],[Defaulted Principal]]</f>
        <v>0</v>
      </c>
      <c r="P140" s="3">
        <f>Table157[[#This Row],[Principal]]+Table157[[#This Row],[Interest]]+Table157[[#This Row],[Prepayments]]+Table157[[#This Row],[RecoveredAmount]]</f>
        <v>0</v>
      </c>
      <c r="Q140" s="3">
        <f ca="1">ROUND(Table157[[#This Row],[Cash Flow]]/((1+ActualRateToUse)^(IF(ISNUMBER(SEARCH("Actual",$C$7)),Table157[[#This Row],[Running Total]]/365,Table157[[#This Row],[Period]]/12))),2)</f>
        <v>0</v>
      </c>
      <c r="R140" s="2">
        <f>IF(MONTH(Table157[[#This Row],[Date]])=2,28,DAY(DATE(YEAR(Table157[[#This Row],[Date]]),MONTH(Table157[[#This Row],[Date]])+1,1)-1))</f>
        <v>31</v>
      </c>
      <c r="S140" s="2">
        <f ca="1">SUM(OFFSET(Table157[[#Headers],[Days in month]],1,0):Table157[[#This Row],[Days in month]])</f>
        <v>3773</v>
      </c>
      <c r="T140" s="37">
        <f>InterestRate*AmortizationMultiplier*IF(ISNUMBER(SEARCH("Actual",$C$7)),Table157[[#This Row],[Days in month]]/365,1/12)</f>
        <v>2.9708333333333331E-3</v>
      </c>
    </row>
    <row r="141" spans="2:20" x14ac:dyDescent="0.2">
      <c r="B141" s="1">
        <f t="shared" si="6"/>
        <v>49643</v>
      </c>
      <c r="C141" s="2">
        <f t="shared" si="4"/>
        <v>125</v>
      </c>
      <c r="D141" s="3">
        <f t="shared" si="3"/>
        <v>0</v>
      </c>
      <c r="E141" s="3">
        <f>ROUND(Table157[[#This Row],[Beginning Balance]]*Table157[[#This Row],[Monthly Interest Rate]],2)</f>
        <v>0</v>
      </c>
      <c r="F141" s="3">
        <f t="shared" si="5"/>
        <v>131</v>
      </c>
      <c r="G141" s="23">
        <f>IFERROR(IF($C$13="No","N/A",IF(Table157[[#This Row],[Period]]=1,$C$6,PMT(InterestRate*AmortizationMultiplier/12,Table157[[#This Row],[Am Thru]],-Table157[[#This Row],[Beginning Balance]]))),0)</f>
        <v>0</v>
      </c>
      <c r="H141" s="3">
        <f>MAX(0,IF(C141=$C$4,D141,ROUND(IF($C$3="Fixed Principal",$C$6-Table157[[#This Row],[Interest]],IF($C$3="Interest Only",Table157[[#This Row],[Beginning Balance]]*ROUND(1-(1-IF($C$11="No",$E$8,1))^(1/12),6),MIN(IF($C$13="Yes",Table157[[#This Row],[Payment Amount (Reamortized)]],$C$6)-Table157[[#This Row],[Interest]],Table157[[#This Row],[Beginning Balance]]))),2)))</f>
        <v>0</v>
      </c>
      <c r="I141" s="3">
        <f>_xlfn.SINGLE(IF($C$3="Line of Credit",0,ROUND(MAX(MIN(IF($C$10="No",$E$7,VLOOKUP(Table157[[#This Row],[Period]],Forecast!$H$2:$L$1048576,4,FALSE))*Table157[[#This Row],[Beginning Balance]],Table157[[#This Row],[Beginning Balance]]-Table157[[#This Row],[Principal]]),0),2)))</f>
        <v>0</v>
      </c>
      <c r="J141" s="3">
        <f>ROUND(MIN(Table157[[#This Row],[Beginning Balance]]*IF($C$8="No",$E$3,VLOOKUP(Table157[[#This Row],[Period]],Forecast!$H$2:$L$1048576,2,FALSE)),Table157[[#This Row],[Beginning Balance]]-Table157[[#This Row],[Principal]]-Table157[[#This Row],[Prepayments]]),2)</f>
        <v>0</v>
      </c>
      <c r="K141" s="3">
        <f>ROUND(Table157[[#This Row],[Defaulted Principal]]*IF($C$9="No",$E$4,VLOOKUP(Table157[[#This Row],[Period]],Forecast!$H$2:$L$1048576,3,FALSE)),2)</f>
        <v>0</v>
      </c>
      <c r="L141" s="2">
        <f>Table157[[#This Row],[Period]]+$E$9</f>
        <v>137</v>
      </c>
      <c r="M141" s="3">
        <f>Table157[[#This Row],[Defaulted Principal]]-Table157[[#This Row],[Estimated Loss]]</f>
        <v>0</v>
      </c>
      <c r="N141" s="3">
        <f>IFERROR(VLOOKUP(Table157[[#This Row],[Period]],$L$16:$M$385,2,FALSE),0)</f>
        <v>0</v>
      </c>
      <c r="O141" s="3">
        <f>Table157[[#This Row],[Beginning Balance]]-Table157[[#This Row],[Principal]]-Table157[[#This Row],[Prepayments]]-Table157[[#This Row],[Defaulted Principal]]</f>
        <v>0</v>
      </c>
      <c r="P141" s="3">
        <f>Table157[[#This Row],[Principal]]+Table157[[#This Row],[Interest]]+Table157[[#This Row],[Prepayments]]+Table157[[#This Row],[RecoveredAmount]]</f>
        <v>0</v>
      </c>
      <c r="Q141" s="3">
        <f ca="1">ROUND(Table157[[#This Row],[Cash Flow]]/((1+ActualRateToUse)^(IF(ISNUMBER(SEARCH("Actual",$C$7)),Table157[[#This Row],[Running Total]]/365,Table157[[#This Row],[Period]]/12))),2)</f>
        <v>0</v>
      </c>
      <c r="R141" s="2">
        <f>IF(MONTH(Table157[[#This Row],[Date]])=2,28,DAY(DATE(YEAR(Table157[[#This Row],[Date]]),MONTH(Table157[[#This Row],[Date]])+1,1)-1))</f>
        <v>30</v>
      </c>
      <c r="S141" s="2">
        <f ca="1">SUM(OFFSET(Table157[[#Headers],[Days in month]],1,0):Table157[[#This Row],[Days in month]])</f>
        <v>3803</v>
      </c>
      <c r="T141" s="37">
        <f>InterestRate*AmortizationMultiplier*IF(ISNUMBER(SEARCH("Actual",$C$7)),Table157[[#This Row],[Days in month]]/365,1/12)</f>
        <v>2.8749999999999995E-3</v>
      </c>
    </row>
    <row r="142" spans="2:20" x14ac:dyDescent="0.2">
      <c r="B142" s="1">
        <f t="shared" si="6"/>
        <v>49674</v>
      </c>
      <c r="C142" s="2">
        <f t="shared" si="4"/>
        <v>126</v>
      </c>
      <c r="D142" s="3">
        <f t="shared" si="3"/>
        <v>0</v>
      </c>
      <c r="E142" s="3">
        <f>ROUND(Table157[[#This Row],[Beginning Balance]]*Table157[[#This Row],[Monthly Interest Rate]],2)</f>
        <v>0</v>
      </c>
      <c r="F142" s="3">
        <f t="shared" si="5"/>
        <v>130</v>
      </c>
      <c r="G142" s="23">
        <f>IFERROR(IF($C$13="No","N/A",IF(Table157[[#This Row],[Period]]=1,$C$6,PMT(InterestRate*AmortizationMultiplier/12,Table157[[#This Row],[Am Thru]],-Table157[[#This Row],[Beginning Balance]]))),0)</f>
        <v>0</v>
      </c>
      <c r="H142" s="3">
        <f>MAX(0,IF(C142=$C$4,D142,ROUND(IF($C$3="Fixed Principal",$C$6-Table157[[#This Row],[Interest]],IF($C$3="Interest Only",Table157[[#This Row],[Beginning Balance]]*ROUND(1-(1-IF($C$11="No",$E$8,1))^(1/12),6),MIN(IF($C$13="Yes",Table157[[#This Row],[Payment Amount (Reamortized)]],$C$6)-Table157[[#This Row],[Interest]],Table157[[#This Row],[Beginning Balance]]))),2)))</f>
        <v>0</v>
      </c>
      <c r="I142" s="3">
        <f>_xlfn.SINGLE(IF($C$3="Line of Credit",0,ROUND(MAX(MIN(IF($C$10="No",$E$7,VLOOKUP(Table157[[#This Row],[Period]],Forecast!$H$2:$L$1048576,4,FALSE))*Table157[[#This Row],[Beginning Balance]],Table157[[#This Row],[Beginning Balance]]-Table157[[#This Row],[Principal]]),0),2)))</f>
        <v>0</v>
      </c>
      <c r="J142" s="3">
        <f>ROUND(MIN(Table157[[#This Row],[Beginning Balance]]*IF($C$8="No",$E$3,VLOOKUP(Table157[[#This Row],[Period]],Forecast!$H$2:$L$1048576,2,FALSE)),Table157[[#This Row],[Beginning Balance]]-Table157[[#This Row],[Principal]]-Table157[[#This Row],[Prepayments]]),2)</f>
        <v>0</v>
      </c>
      <c r="K142" s="3">
        <f>ROUND(Table157[[#This Row],[Defaulted Principal]]*IF($C$9="No",$E$4,VLOOKUP(Table157[[#This Row],[Period]],Forecast!$H$2:$L$1048576,3,FALSE)),2)</f>
        <v>0</v>
      </c>
      <c r="L142" s="2">
        <f>Table157[[#This Row],[Period]]+$E$9</f>
        <v>138</v>
      </c>
      <c r="M142" s="3">
        <f>Table157[[#This Row],[Defaulted Principal]]-Table157[[#This Row],[Estimated Loss]]</f>
        <v>0</v>
      </c>
      <c r="N142" s="3">
        <f>IFERROR(VLOOKUP(Table157[[#This Row],[Period]],$L$16:$M$385,2,FALSE),0)</f>
        <v>0</v>
      </c>
      <c r="O142" s="3">
        <f>Table157[[#This Row],[Beginning Balance]]-Table157[[#This Row],[Principal]]-Table157[[#This Row],[Prepayments]]-Table157[[#This Row],[Defaulted Principal]]</f>
        <v>0</v>
      </c>
      <c r="P142" s="3">
        <f>Table157[[#This Row],[Principal]]+Table157[[#This Row],[Interest]]+Table157[[#This Row],[Prepayments]]+Table157[[#This Row],[RecoveredAmount]]</f>
        <v>0</v>
      </c>
      <c r="Q142" s="3">
        <f ca="1">ROUND(Table157[[#This Row],[Cash Flow]]/((1+ActualRateToUse)^(IF(ISNUMBER(SEARCH("Actual",$C$7)),Table157[[#This Row],[Running Total]]/365,Table157[[#This Row],[Period]]/12))),2)</f>
        <v>0</v>
      </c>
      <c r="R142" s="2">
        <f>IF(MONTH(Table157[[#This Row],[Date]])=2,28,DAY(DATE(YEAR(Table157[[#This Row],[Date]]),MONTH(Table157[[#This Row],[Date]])+1,1)-1))</f>
        <v>31</v>
      </c>
      <c r="S142" s="2">
        <f ca="1">SUM(OFFSET(Table157[[#Headers],[Days in month]],1,0):Table157[[#This Row],[Days in month]])</f>
        <v>3834</v>
      </c>
      <c r="T142" s="37">
        <f>InterestRate*AmortizationMultiplier*IF(ISNUMBER(SEARCH("Actual",$C$7)),Table157[[#This Row],[Days in month]]/365,1/12)</f>
        <v>2.9708333333333331E-3</v>
      </c>
    </row>
    <row r="143" spans="2:20" x14ac:dyDescent="0.2">
      <c r="B143" s="1">
        <f t="shared" si="6"/>
        <v>49705</v>
      </c>
      <c r="C143" s="2">
        <f t="shared" si="4"/>
        <v>127</v>
      </c>
      <c r="D143" s="3">
        <f t="shared" si="3"/>
        <v>0</v>
      </c>
      <c r="E143" s="3">
        <f>ROUND(Table157[[#This Row],[Beginning Balance]]*Table157[[#This Row],[Monthly Interest Rate]],2)</f>
        <v>0</v>
      </c>
      <c r="F143" s="3">
        <f t="shared" si="5"/>
        <v>129</v>
      </c>
      <c r="G143" s="23">
        <f>IFERROR(IF($C$13="No","N/A",IF(Table157[[#This Row],[Period]]=1,$C$6,PMT(InterestRate*AmortizationMultiplier/12,Table157[[#This Row],[Am Thru]],-Table157[[#This Row],[Beginning Balance]]))),0)</f>
        <v>0</v>
      </c>
      <c r="H143" s="3">
        <f>MAX(0,IF(C143=$C$4,D143,ROUND(IF($C$3="Fixed Principal",$C$6-Table157[[#This Row],[Interest]],IF($C$3="Interest Only",Table157[[#This Row],[Beginning Balance]]*ROUND(1-(1-IF($C$11="No",$E$8,1))^(1/12),6),MIN(IF($C$13="Yes",Table157[[#This Row],[Payment Amount (Reamortized)]],$C$6)-Table157[[#This Row],[Interest]],Table157[[#This Row],[Beginning Balance]]))),2)))</f>
        <v>0</v>
      </c>
      <c r="I143" s="3">
        <f>_xlfn.SINGLE(IF($C$3="Line of Credit",0,ROUND(MAX(MIN(IF($C$10="No",$E$7,VLOOKUP(Table157[[#This Row],[Period]],Forecast!$H$2:$L$1048576,4,FALSE))*Table157[[#This Row],[Beginning Balance]],Table157[[#This Row],[Beginning Balance]]-Table157[[#This Row],[Principal]]),0),2)))</f>
        <v>0</v>
      </c>
      <c r="J143" s="3">
        <f>ROUND(MIN(Table157[[#This Row],[Beginning Balance]]*IF($C$8="No",$E$3,VLOOKUP(Table157[[#This Row],[Period]],Forecast!$H$2:$L$1048576,2,FALSE)),Table157[[#This Row],[Beginning Balance]]-Table157[[#This Row],[Principal]]-Table157[[#This Row],[Prepayments]]),2)</f>
        <v>0</v>
      </c>
      <c r="K143" s="3">
        <f>ROUND(Table157[[#This Row],[Defaulted Principal]]*IF($C$9="No",$E$4,VLOOKUP(Table157[[#This Row],[Period]],Forecast!$H$2:$L$1048576,3,FALSE)),2)</f>
        <v>0</v>
      </c>
      <c r="L143" s="2">
        <f>Table157[[#This Row],[Period]]+$E$9</f>
        <v>139</v>
      </c>
      <c r="M143" s="3">
        <f>Table157[[#This Row],[Defaulted Principal]]-Table157[[#This Row],[Estimated Loss]]</f>
        <v>0</v>
      </c>
      <c r="N143" s="3">
        <f>IFERROR(VLOOKUP(Table157[[#This Row],[Period]],$L$16:$M$385,2,FALSE),0)</f>
        <v>0</v>
      </c>
      <c r="O143" s="3">
        <f>Table157[[#This Row],[Beginning Balance]]-Table157[[#This Row],[Principal]]-Table157[[#This Row],[Prepayments]]-Table157[[#This Row],[Defaulted Principal]]</f>
        <v>0</v>
      </c>
      <c r="P143" s="3">
        <f>Table157[[#This Row],[Principal]]+Table157[[#This Row],[Interest]]+Table157[[#This Row],[Prepayments]]+Table157[[#This Row],[RecoveredAmount]]</f>
        <v>0</v>
      </c>
      <c r="Q143" s="3">
        <f ca="1">ROUND(Table157[[#This Row],[Cash Flow]]/((1+ActualRateToUse)^(IF(ISNUMBER(SEARCH("Actual",$C$7)),Table157[[#This Row],[Running Total]]/365,Table157[[#This Row],[Period]]/12))),2)</f>
        <v>0</v>
      </c>
      <c r="R143" s="2">
        <f>IF(MONTH(Table157[[#This Row],[Date]])=2,28,DAY(DATE(YEAR(Table157[[#This Row],[Date]]),MONTH(Table157[[#This Row],[Date]])+1,1)-1))</f>
        <v>31</v>
      </c>
      <c r="S143" s="2">
        <f ca="1">SUM(OFFSET(Table157[[#Headers],[Days in month]],1,0):Table157[[#This Row],[Days in month]])</f>
        <v>3865</v>
      </c>
      <c r="T143" s="37">
        <f>InterestRate*AmortizationMultiplier*IF(ISNUMBER(SEARCH("Actual",$C$7)),Table157[[#This Row],[Days in month]]/365,1/12)</f>
        <v>2.9708333333333331E-3</v>
      </c>
    </row>
    <row r="144" spans="2:20" x14ac:dyDescent="0.2">
      <c r="B144" s="1">
        <f t="shared" si="6"/>
        <v>49734</v>
      </c>
      <c r="C144" s="2">
        <f t="shared" si="4"/>
        <v>128</v>
      </c>
      <c r="D144" s="3">
        <f t="shared" si="3"/>
        <v>0</v>
      </c>
      <c r="E144" s="3">
        <f>ROUND(Table157[[#This Row],[Beginning Balance]]*Table157[[#This Row],[Monthly Interest Rate]],2)</f>
        <v>0</v>
      </c>
      <c r="F144" s="3">
        <f t="shared" si="5"/>
        <v>128</v>
      </c>
      <c r="G144" s="23">
        <f>IFERROR(IF($C$13="No","N/A",IF(Table157[[#This Row],[Period]]=1,$C$6,PMT(InterestRate*AmortizationMultiplier/12,Table157[[#This Row],[Am Thru]],-Table157[[#This Row],[Beginning Balance]]))),0)</f>
        <v>0</v>
      </c>
      <c r="H144" s="3">
        <f>MAX(0,IF(C144=$C$4,D144,ROUND(IF($C$3="Fixed Principal",$C$6-Table157[[#This Row],[Interest]],IF($C$3="Interest Only",Table157[[#This Row],[Beginning Balance]]*ROUND(1-(1-IF($C$11="No",$E$8,1))^(1/12),6),MIN(IF($C$13="Yes",Table157[[#This Row],[Payment Amount (Reamortized)]],$C$6)-Table157[[#This Row],[Interest]],Table157[[#This Row],[Beginning Balance]]))),2)))</f>
        <v>0</v>
      </c>
      <c r="I144" s="3">
        <f>_xlfn.SINGLE(IF($C$3="Line of Credit",0,ROUND(MAX(MIN(IF($C$10="No",$E$7,VLOOKUP(Table157[[#This Row],[Period]],Forecast!$H$2:$L$1048576,4,FALSE))*Table157[[#This Row],[Beginning Balance]],Table157[[#This Row],[Beginning Balance]]-Table157[[#This Row],[Principal]]),0),2)))</f>
        <v>0</v>
      </c>
      <c r="J144" s="3">
        <f>ROUND(MIN(Table157[[#This Row],[Beginning Balance]]*IF($C$8="No",$E$3,VLOOKUP(Table157[[#This Row],[Period]],Forecast!$H$2:$L$1048576,2,FALSE)),Table157[[#This Row],[Beginning Balance]]-Table157[[#This Row],[Principal]]-Table157[[#This Row],[Prepayments]]),2)</f>
        <v>0</v>
      </c>
      <c r="K144" s="3">
        <f>ROUND(Table157[[#This Row],[Defaulted Principal]]*IF($C$9="No",$E$4,VLOOKUP(Table157[[#This Row],[Period]],Forecast!$H$2:$L$1048576,3,FALSE)),2)</f>
        <v>0</v>
      </c>
      <c r="L144" s="2">
        <f>Table157[[#This Row],[Period]]+$E$9</f>
        <v>140</v>
      </c>
      <c r="M144" s="3">
        <f>Table157[[#This Row],[Defaulted Principal]]-Table157[[#This Row],[Estimated Loss]]</f>
        <v>0</v>
      </c>
      <c r="N144" s="3">
        <f>IFERROR(VLOOKUP(Table157[[#This Row],[Period]],$L$16:$M$385,2,FALSE),0)</f>
        <v>0</v>
      </c>
      <c r="O144" s="3">
        <f>Table157[[#This Row],[Beginning Balance]]-Table157[[#This Row],[Principal]]-Table157[[#This Row],[Prepayments]]-Table157[[#This Row],[Defaulted Principal]]</f>
        <v>0</v>
      </c>
      <c r="P144" s="3">
        <f>Table157[[#This Row],[Principal]]+Table157[[#This Row],[Interest]]+Table157[[#This Row],[Prepayments]]+Table157[[#This Row],[RecoveredAmount]]</f>
        <v>0</v>
      </c>
      <c r="Q144" s="3">
        <f ca="1">ROUND(Table157[[#This Row],[Cash Flow]]/((1+ActualRateToUse)^(IF(ISNUMBER(SEARCH("Actual",$C$7)),Table157[[#This Row],[Running Total]]/365,Table157[[#This Row],[Period]]/12))),2)</f>
        <v>0</v>
      </c>
      <c r="R144" s="2">
        <f>IF(MONTH(Table157[[#This Row],[Date]])=2,28,DAY(DATE(YEAR(Table157[[#This Row],[Date]]),MONTH(Table157[[#This Row],[Date]])+1,1)-1))</f>
        <v>28</v>
      </c>
      <c r="S144" s="2">
        <f ca="1">SUM(OFFSET(Table157[[#Headers],[Days in month]],1,0):Table157[[#This Row],[Days in month]])</f>
        <v>3893</v>
      </c>
      <c r="T144" s="37">
        <f>InterestRate*AmortizationMultiplier*IF(ISNUMBER(SEARCH("Actual",$C$7)),Table157[[#This Row],[Days in month]]/365,1/12)</f>
        <v>2.6833333333333336E-3</v>
      </c>
    </row>
    <row r="145" spans="2:20" x14ac:dyDescent="0.2">
      <c r="B145" s="1">
        <f t="shared" si="6"/>
        <v>49765</v>
      </c>
      <c r="C145" s="2">
        <f t="shared" si="4"/>
        <v>129</v>
      </c>
      <c r="D145" s="3">
        <f t="shared" si="3"/>
        <v>0</v>
      </c>
      <c r="E145" s="3">
        <f>ROUND(Table157[[#This Row],[Beginning Balance]]*Table157[[#This Row],[Monthly Interest Rate]],2)</f>
        <v>0</v>
      </c>
      <c r="F145" s="3">
        <f t="shared" si="5"/>
        <v>127</v>
      </c>
      <c r="G145" s="23">
        <f>IFERROR(IF($C$13="No","N/A",IF(Table157[[#This Row],[Period]]=1,$C$6,PMT(InterestRate*AmortizationMultiplier/12,Table157[[#This Row],[Am Thru]],-Table157[[#This Row],[Beginning Balance]]))),0)</f>
        <v>0</v>
      </c>
      <c r="H145" s="3">
        <f>MAX(0,IF(C145=$C$4,D145,ROUND(IF($C$3="Fixed Principal",$C$6-Table157[[#This Row],[Interest]],IF($C$3="Interest Only",Table157[[#This Row],[Beginning Balance]]*ROUND(1-(1-IF($C$11="No",$E$8,1))^(1/12),6),MIN(IF($C$13="Yes",Table157[[#This Row],[Payment Amount (Reamortized)]],$C$6)-Table157[[#This Row],[Interest]],Table157[[#This Row],[Beginning Balance]]))),2)))</f>
        <v>0</v>
      </c>
      <c r="I145" s="3">
        <f>_xlfn.SINGLE(IF($C$3="Line of Credit",0,ROUND(MAX(MIN(IF($C$10="No",$E$7,VLOOKUP(Table157[[#This Row],[Period]],Forecast!$H$2:$L$1048576,4,FALSE))*Table157[[#This Row],[Beginning Balance]],Table157[[#This Row],[Beginning Balance]]-Table157[[#This Row],[Principal]]),0),2)))</f>
        <v>0</v>
      </c>
      <c r="J145" s="3">
        <f>ROUND(MIN(Table157[[#This Row],[Beginning Balance]]*IF($C$8="No",$E$3,VLOOKUP(Table157[[#This Row],[Period]],Forecast!$H$2:$L$1048576,2,FALSE)),Table157[[#This Row],[Beginning Balance]]-Table157[[#This Row],[Principal]]-Table157[[#This Row],[Prepayments]]),2)</f>
        <v>0</v>
      </c>
      <c r="K145" s="3">
        <f>ROUND(Table157[[#This Row],[Defaulted Principal]]*IF($C$9="No",$E$4,VLOOKUP(Table157[[#This Row],[Period]],Forecast!$H$2:$L$1048576,3,FALSE)),2)</f>
        <v>0</v>
      </c>
      <c r="L145" s="2">
        <f>Table157[[#This Row],[Period]]+$E$9</f>
        <v>141</v>
      </c>
      <c r="M145" s="3">
        <f>Table157[[#This Row],[Defaulted Principal]]-Table157[[#This Row],[Estimated Loss]]</f>
        <v>0</v>
      </c>
      <c r="N145" s="3">
        <f>IFERROR(VLOOKUP(Table157[[#This Row],[Period]],$L$16:$M$385,2,FALSE),0)</f>
        <v>0</v>
      </c>
      <c r="O145" s="3">
        <f>Table157[[#This Row],[Beginning Balance]]-Table157[[#This Row],[Principal]]-Table157[[#This Row],[Prepayments]]-Table157[[#This Row],[Defaulted Principal]]</f>
        <v>0</v>
      </c>
      <c r="P145" s="3">
        <f>Table157[[#This Row],[Principal]]+Table157[[#This Row],[Interest]]+Table157[[#This Row],[Prepayments]]+Table157[[#This Row],[RecoveredAmount]]</f>
        <v>0</v>
      </c>
      <c r="Q145" s="3">
        <f ca="1">ROUND(Table157[[#This Row],[Cash Flow]]/((1+ActualRateToUse)^(IF(ISNUMBER(SEARCH("Actual",$C$7)),Table157[[#This Row],[Running Total]]/365,Table157[[#This Row],[Period]]/12))),2)</f>
        <v>0</v>
      </c>
      <c r="R145" s="2">
        <f>IF(MONTH(Table157[[#This Row],[Date]])=2,28,DAY(DATE(YEAR(Table157[[#This Row],[Date]]),MONTH(Table157[[#This Row],[Date]])+1,1)-1))</f>
        <v>31</v>
      </c>
      <c r="S145" s="2">
        <f ca="1">SUM(OFFSET(Table157[[#Headers],[Days in month]],1,0):Table157[[#This Row],[Days in month]])</f>
        <v>3924</v>
      </c>
      <c r="T145" s="37">
        <f>InterestRate*AmortizationMultiplier*IF(ISNUMBER(SEARCH("Actual",$C$7)),Table157[[#This Row],[Days in month]]/365,1/12)</f>
        <v>2.9708333333333331E-3</v>
      </c>
    </row>
    <row r="146" spans="2:20" x14ac:dyDescent="0.2">
      <c r="B146" s="1">
        <f t="shared" si="6"/>
        <v>49795</v>
      </c>
      <c r="C146" s="2">
        <f t="shared" si="4"/>
        <v>130</v>
      </c>
      <c r="D146" s="3">
        <f t="shared" ref="D146:D209" si="7">O145</f>
        <v>0</v>
      </c>
      <c r="E146" s="3">
        <f>ROUND(Table157[[#This Row],[Beginning Balance]]*Table157[[#This Row],[Monthly Interest Rate]],2)</f>
        <v>0</v>
      </c>
      <c r="F146" s="3">
        <f t="shared" si="5"/>
        <v>126</v>
      </c>
      <c r="G146" s="23">
        <f>IFERROR(IF($C$13="No","N/A",IF(Table157[[#This Row],[Period]]=1,$C$6,PMT(InterestRate*AmortizationMultiplier/12,Table157[[#This Row],[Am Thru]],-Table157[[#This Row],[Beginning Balance]]))),0)</f>
        <v>0</v>
      </c>
      <c r="H146" s="3">
        <f>MAX(0,IF(C146=$C$4,D146,ROUND(IF($C$3="Fixed Principal",$C$6-Table157[[#This Row],[Interest]],IF($C$3="Interest Only",Table157[[#This Row],[Beginning Balance]]*ROUND(1-(1-IF($C$11="No",$E$8,1))^(1/12),6),MIN(IF($C$13="Yes",Table157[[#This Row],[Payment Amount (Reamortized)]],$C$6)-Table157[[#This Row],[Interest]],Table157[[#This Row],[Beginning Balance]]))),2)))</f>
        <v>0</v>
      </c>
      <c r="I146" s="3">
        <f>_xlfn.SINGLE(IF($C$3="Line of Credit",0,ROUND(MAX(MIN(IF($C$10="No",$E$7,VLOOKUP(Table157[[#This Row],[Period]],Forecast!$H$2:$L$1048576,4,FALSE))*Table157[[#This Row],[Beginning Balance]],Table157[[#This Row],[Beginning Balance]]-Table157[[#This Row],[Principal]]),0),2)))</f>
        <v>0</v>
      </c>
      <c r="J146" s="3">
        <f>ROUND(MIN(Table157[[#This Row],[Beginning Balance]]*IF($C$8="No",$E$3,VLOOKUP(Table157[[#This Row],[Period]],Forecast!$H$2:$L$1048576,2,FALSE)),Table157[[#This Row],[Beginning Balance]]-Table157[[#This Row],[Principal]]-Table157[[#This Row],[Prepayments]]),2)</f>
        <v>0</v>
      </c>
      <c r="K146" s="3">
        <f>ROUND(Table157[[#This Row],[Defaulted Principal]]*IF($C$9="No",$E$4,VLOOKUP(Table157[[#This Row],[Period]],Forecast!$H$2:$L$1048576,3,FALSE)),2)</f>
        <v>0</v>
      </c>
      <c r="L146" s="2">
        <f>Table157[[#This Row],[Period]]+$E$9</f>
        <v>142</v>
      </c>
      <c r="M146" s="3">
        <f>Table157[[#This Row],[Defaulted Principal]]-Table157[[#This Row],[Estimated Loss]]</f>
        <v>0</v>
      </c>
      <c r="N146" s="3">
        <f>IFERROR(VLOOKUP(Table157[[#This Row],[Period]],$L$16:$M$385,2,FALSE),0)</f>
        <v>0</v>
      </c>
      <c r="O146" s="3">
        <f>Table157[[#This Row],[Beginning Balance]]-Table157[[#This Row],[Principal]]-Table157[[#This Row],[Prepayments]]-Table157[[#This Row],[Defaulted Principal]]</f>
        <v>0</v>
      </c>
      <c r="P146" s="3">
        <f>Table157[[#This Row],[Principal]]+Table157[[#This Row],[Interest]]+Table157[[#This Row],[Prepayments]]+Table157[[#This Row],[RecoveredAmount]]</f>
        <v>0</v>
      </c>
      <c r="Q146" s="3">
        <f ca="1">ROUND(Table157[[#This Row],[Cash Flow]]/((1+ActualRateToUse)^(IF(ISNUMBER(SEARCH("Actual",$C$7)),Table157[[#This Row],[Running Total]]/365,Table157[[#This Row],[Period]]/12))),2)</f>
        <v>0</v>
      </c>
      <c r="R146" s="2">
        <f>IF(MONTH(Table157[[#This Row],[Date]])=2,28,DAY(DATE(YEAR(Table157[[#This Row],[Date]]),MONTH(Table157[[#This Row],[Date]])+1,1)-1))</f>
        <v>30</v>
      </c>
      <c r="S146" s="2">
        <f ca="1">SUM(OFFSET(Table157[[#Headers],[Days in month]],1,0):Table157[[#This Row],[Days in month]])</f>
        <v>3954</v>
      </c>
      <c r="T146" s="37">
        <f>InterestRate*AmortizationMultiplier*IF(ISNUMBER(SEARCH("Actual",$C$7)),Table157[[#This Row],[Days in month]]/365,1/12)</f>
        <v>2.8749999999999995E-3</v>
      </c>
    </row>
    <row r="147" spans="2:20" x14ac:dyDescent="0.2">
      <c r="B147" s="1">
        <f t="shared" si="6"/>
        <v>49826</v>
      </c>
      <c r="C147" s="2">
        <f t="shared" ref="C147:C210" si="8">C146+1</f>
        <v>131</v>
      </c>
      <c r="D147" s="3">
        <f t="shared" si="7"/>
        <v>0</v>
      </c>
      <c r="E147" s="3">
        <f>ROUND(Table157[[#This Row],[Beginning Balance]]*Table157[[#This Row],[Monthly Interest Rate]],2)</f>
        <v>0</v>
      </c>
      <c r="F147" s="3">
        <f t="shared" ref="F147:F210" si="9">+F146-1</f>
        <v>125</v>
      </c>
      <c r="G147" s="23">
        <f>IFERROR(IF($C$13="No","N/A",IF(Table157[[#This Row],[Period]]=1,$C$6,PMT(InterestRate*AmortizationMultiplier/12,Table157[[#This Row],[Am Thru]],-Table157[[#This Row],[Beginning Balance]]))),0)</f>
        <v>0</v>
      </c>
      <c r="H147" s="3">
        <f>MAX(0,IF(C147=$C$4,D147,ROUND(IF($C$3="Fixed Principal",$C$6-Table157[[#This Row],[Interest]],IF($C$3="Interest Only",Table157[[#This Row],[Beginning Balance]]*ROUND(1-(1-IF($C$11="No",$E$8,1))^(1/12),6),MIN(IF($C$13="Yes",Table157[[#This Row],[Payment Amount (Reamortized)]],$C$6)-Table157[[#This Row],[Interest]],Table157[[#This Row],[Beginning Balance]]))),2)))</f>
        <v>0</v>
      </c>
      <c r="I147" s="3">
        <f>_xlfn.SINGLE(IF($C$3="Line of Credit",0,ROUND(MAX(MIN(IF($C$10="No",$E$7,VLOOKUP(Table157[[#This Row],[Period]],Forecast!$H$2:$L$1048576,4,FALSE))*Table157[[#This Row],[Beginning Balance]],Table157[[#This Row],[Beginning Balance]]-Table157[[#This Row],[Principal]]),0),2)))</f>
        <v>0</v>
      </c>
      <c r="J147" s="3">
        <f>ROUND(MIN(Table157[[#This Row],[Beginning Balance]]*IF($C$8="No",$E$3,VLOOKUP(Table157[[#This Row],[Period]],Forecast!$H$2:$L$1048576,2,FALSE)),Table157[[#This Row],[Beginning Balance]]-Table157[[#This Row],[Principal]]-Table157[[#This Row],[Prepayments]]),2)</f>
        <v>0</v>
      </c>
      <c r="K147" s="3">
        <f>ROUND(Table157[[#This Row],[Defaulted Principal]]*IF($C$9="No",$E$4,VLOOKUP(Table157[[#This Row],[Period]],Forecast!$H$2:$L$1048576,3,FALSE)),2)</f>
        <v>0</v>
      </c>
      <c r="L147" s="2">
        <f>Table157[[#This Row],[Period]]+$E$9</f>
        <v>143</v>
      </c>
      <c r="M147" s="3">
        <f>Table157[[#This Row],[Defaulted Principal]]-Table157[[#This Row],[Estimated Loss]]</f>
        <v>0</v>
      </c>
      <c r="N147" s="3">
        <f>IFERROR(VLOOKUP(Table157[[#This Row],[Period]],$L$16:$M$385,2,FALSE),0)</f>
        <v>0</v>
      </c>
      <c r="O147" s="3">
        <f>Table157[[#This Row],[Beginning Balance]]-Table157[[#This Row],[Principal]]-Table157[[#This Row],[Prepayments]]-Table157[[#This Row],[Defaulted Principal]]</f>
        <v>0</v>
      </c>
      <c r="P147" s="3">
        <f>Table157[[#This Row],[Principal]]+Table157[[#This Row],[Interest]]+Table157[[#This Row],[Prepayments]]+Table157[[#This Row],[RecoveredAmount]]</f>
        <v>0</v>
      </c>
      <c r="Q147" s="3">
        <f ca="1">ROUND(Table157[[#This Row],[Cash Flow]]/((1+ActualRateToUse)^(IF(ISNUMBER(SEARCH("Actual",$C$7)),Table157[[#This Row],[Running Total]]/365,Table157[[#This Row],[Period]]/12))),2)</f>
        <v>0</v>
      </c>
      <c r="R147" s="2">
        <f>IF(MONTH(Table157[[#This Row],[Date]])=2,28,DAY(DATE(YEAR(Table157[[#This Row],[Date]]),MONTH(Table157[[#This Row],[Date]])+1,1)-1))</f>
        <v>31</v>
      </c>
      <c r="S147" s="2">
        <f ca="1">SUM(OFFSET(Table157[[#Headers],[Days in month]],1,0):Table157[[#This Row],[Days in month]])</f>
        <v>3985</v>
      </c>
      <c r="T147" s="37">
        <f>InterestRate*AmortizationMultiplier*IF(ISNUMBER(SEARCH("Actual",$C$7)),Table157[[#This Row],[Days in month]]/365,1/12)</f>
        <v>2.9708333333333331E-3</v>
      </c>
    </row>
    <row r="148" spans="2:20" x14ac:dyDescent="0.2">
      <c r="B148" s="1">
        <f t="shared" si="6"/>
        <v>49856</v>
      </c>
      <c r="C148" s="2">
        <f t="shared" si="8"/>
        <v>132</v>
      </c>
      <c r="D148" s="3">
        <f t="shared" si="7"/>
        <v>0</v>
      </c>
      <c r="E148" s="3">
        <f>ROUND(Table157[[#This Row],[Beginning Balance]]*Table157[[#This Row],[Monthly Interest Rate]],2)</f>
        <v>0</v>
      </c>
      <c r="F148" s="3">
        <f t="shared" si="9"/>
        <v>124</v>
      </c>
      <c r="G148" s="23">
        <f>IFERROR(IF($C$13="No","N/A",IF(Table157[[#This Row],[Period]]=1,$C$6,PMT(InterestRate*AmortizationMultiplier/12,Table157[[#This Row],[Am Thru]],-Table157[[#This Row],[Beginning Balance]]))),0)</f>
        <v>0</v>
      </c>
      <c r="H148" s="3">
        <f>MAX(0,IF(C148=$C$4,D148,ROUND(IF($C$3="Fixed Principal",$C$6-Table157[[#This Row],[Interest]],IF($C$3="Interest Only",Table157[[#This Row],[Beginning Balance]]*ROUND(1-(1-IF($C$11="No",$E$8,1))^(1/12),6),MIN(IF($C$13="Yes",Table157[[#This Row],[Payment Amount (Reamortized)]],$C$6)-Table157[[#This Row],[Interest]],Table157[[#This Row],[Beginning Balance]]))),2)))</f>
        <v>0</v>
      </c>
      <c r="I148" s="3">
        <f>_xlfn.SINGLE(IF($C$3="Line of Credit",0,ROUND(MAX(MIN(IF($C$10="No",$E$7,VLOOKUP(Table157[[#This Row],[Period]],Forecast!$H$2:$L$1048576,4,FALSE))*Table157[[#This Row],[Beginning Balance]],Table157[[#This Row],[Beginning Balance]]-Table157[[#This Row],[Principal]]),0),2)))</f>
        <v>0</v>
      </c>
      <c r="J148" s="3">
        <f>ROUND(MIN(Table157[[#This Row],[Beginning Balance]]*IF($C$8="No",$E$3,VLOOKUP(Table157[[#This Row],[Period]],Forecast!$H$2:$L$1048576,2,FALSE)),Table157[[#This Row],[Beginning Balance]]-Table157[[#This Row],[Principal]]-Table157[[#This Row],[Prepayments]]),2)</f>
        <v>0</v>
      </c>
      <c r="K148" s="3">
        <f>ROUND(Table157[[#This Row],[Defaulted Principal]]*IF($C$9="No",$E$4,VLOOKUP(Table157[[#This Row],[Period]],Forecast!$H$2:$L$1048576,3,FALSE)),2)</f>
        <v>0</v>
      </c>
      <c r="L148" s="2">
        <f>Table157[[#This Row],[Period]]+$E$9</f>
        <v>144</v>
      </c>
      <c r="M148" s="3">
        <f>Table157[[#This Row],[Defaulted Principal]]-Table157[[#This Row],[Estimated Loss]]</f>
        <v>0</v>
      </c>
      <c r="N148" s="3">
        <f>IFERROR(VLOOKUP(Table157[[#This Row],[Period]],$L$16:$M$385,2,FALSE),0)</f>
        <v>0</v>
      </c>
      <c r="O148" s="3">
        <f>Table157[[#This Row],[Beginning Balance]]-Table157[[#This Row],[Principal]]-Table157[[#This Row],[Prepayments]]-Table157[[#This Row],[Defaulted Principal]]</f>
        <v>0</v>
      </c>
      <c r="P148" s="3">
        <f>Table157[[#This Row],[Principal]]+Table157[[#This Row],[Interest]]+Table157[[#This Row],[Prepayments]]+Table157[[#This Row],[RecoveredAmount]]</f>
        <v>0</v>
      </c>
      <c r="Q148" s="3">
        <f ca="1">ROUND(Table157[[#This Row],[Cash Flow]]/((1+ActualRateToUse)^(IF(ISNUMBER(SEARCH("Actual",$C$7)),Table157[[#This Row],[Running Total]]/365,Table157[[#This Row],[Period]]/12))),2)</f>
        <v>0</v>
      </c>
      <c r="R148" s="2">
        <f>IF(MONTH(Table157[[#This Row],[Date]])=2,28,DAY(DATE(YEAR(Table157[[#This Row],[Date]]),MONTH(Table157[[#This Row],[Date]])+1,1)-1))</f>
        <v>30</v>
      </c>
      <c r="S148" s="2">
        <f ca="1">SUM(OFFSET(Table157[[#Headers],[Days in month]],1,0):Table157[[#This Row],[Days in month]])</f>
        <v>4015</v>
      </c>
      <c r="T148" s="37">
        <f>InterestRate*AmortizationMultiplier*IF(ISNUMBER(SEARCH("Actual",$C$7)),Table157[[#This Row],[Days in month]]/365,1/12)</f>
        <v>2.8749999999999995E-3</v>
      </c>
    </row>
    <row r="149" spans="2:20" x14ac:dyDescent="0.2">
      <c r="B149" s="1">
        <f t="shared" si="6"/>
        <v>49887</v>
      </c>
      <c r="C149" s="2">
        <f t="shared" si="8"/>
        <v>133</v>
      </c>
      <c r="D149" s="3">
        <f t="shared" si="7"/>
        <v>0</v>
      </c>
      <c r="E149" s="3">
        <f>ROUND(Table157[[#This Row],[Beginning Balance]]*Table157[[#This Row],[Monthly Interest Rate]],2)</f>
        <v>0</v>
      </c>
      <c r="F149" s="3">
        <f t="shared" si="9"/>
        <v>123</v>
      </c>
      <c r="G149" s="23">
        <f>IFERROR(IF($C$13="No","N/A",IF(Table157[[#This Row],[Period]]=1,$C$6,PMT(InterestRate*AmortizationMultiplier/12,Table157[[#This Row],[Am Thru]],-Table157[[#This Row],[Beginning Balance]]))),0)</f>
        <v>0</v>
      </c>
      <c r="H149" s="3">
        <f>MAX(0,IF(C149=$C$4,D149,ROUND(IF($C$3="Fixed Principal",$C$6-Table157[[#This Row],[Interest]],IF($C$3="Interest Only",Table157[[#This Row],[Beginning Balance]]*ROUND(1-(1-IF($C$11="No",$E$8,1))^(1/12),6),MIN(IF($C$13="Yes",Table157[[#This Row],[Payment Amount (Reamortized)]],$C$6)-Table157[[#This Row],[Interest]],Table157[[#This Row],[Beginning Balance]]))),2)))</f>
        <v>0</v>
      </c>
      <c r="I149" s="3">
        <f>_xlfn.SINGLE(IF($C$3="Line of Credit",0,ROUND(MAX(MIN(IF($C$10="No",$E$7,VLOOKUP(Table157[[#This Row],[Period]],Forecast!$H$2:$L$1048576,4,FALSE))*Table157[[#This Row],[Beginning Balance]],Table157[[#This Row],[Beginning Balance]]-Table157[[#This Row],[Principal]]),0),2)))</f>
        <v>0</v>
      </c>
      <c r="J149" s="3">
        <f>ROUND(MIN(Table157[[#This Row],[Beginning Balance]]*IF($C$8="No",$E$3,VLOOKUP(Table157[[#This Row],[Period]],Forecast!$H$2:$L$1048576,2,FALSE)),Table157[[#This Row],[Beginning Balance]]-Table157[[#This Row],[Principal]]-Table157[[#This Row],[Prepayments]]),2)</f>
        <v>0</v>
      </c>
      <c r="K149" s="3">
        <f>ROUND(Table157[[#This Row],[Defaulted Principal]]*IF($C$9="No",$E$4,VLOOKUP(Table157[[#This Row],[Period]],Forecast!$H$2:$L$1048576,3,FALSE)),2)</f>
        <v>0</v>
      </c>
      <c r="L149" s="2">
        <f>Table157[[#This Row],[Period]]+$E$9</f>
        <v>145</v>
      </c>
      <c r="M149" s="3">
        <f>Table157[[#This Row],[Defaulted Principal]]-Table157[[#This Row],[Estimated Loss]]</f>
        <v>0</v>
      </c>
      <c r="N149" s="3">
        <f>IFERROR(VLOOKUP(Table157[[#This Row],[Period]],$L$16:$M$385,2,FALSE),0)</f>
        <v>0</v>
      </c>
      <c r="O149" s="3">
        <f>Table157[[#This Row],[Beginning Balance]]-Table157[[#This Row],[Principal]]-Table157[[#This Row],[Prepayments]]-Table157[[#This Row],[Defaulted Principal]]</f>
        <v>0</v>
      </c>
      <c r="P149" s="3">
        <f>Table157[[#This Row],[Principal]]+Table157[[#This Row],[Interest]]+Table157[[#This Row],[Prepayments]]+Table157[[#This Row],[RecoveredAmount]]</f>
        <v>0</v>
      </c>
      <c r="Q149" s="3">
        <f ca="1">ROUND(Table157[[#This Row],[Cash Flow]]/((1+ActualRateToUse)^(IF(ISNUMBER(SEARCH("Actual",$C$7)),Table157[[#This Row],[Running Total]]/365,Table157[[#This Row],[Period]]/12))),2)</f>
        <v>0</v>
      </c>
      <c r="R149" s="2">
        <f>IF(MONTH(Table157[[#This Row],[Date]])=2,28,DAY(DATE(YEAR(Table157[[#This Row],[Date]]),MONTH(Table157[[#This Row],[Date]])+1,1)-1))</f>
        <v>31</v>
      </c>
      <c r="S149" s="2">
        <f ca="1">SUM(OFFSET(Table157[[#Headers],[Days in month]],1,0):Table157[[#This Row],[Days in month]])</f>
        <v>4046</v>
      </c>
      <c r="T149" s="37">
        <f>InterestRate*AmortizationMultiplier*IF(ISNUMBER(SEARCH("Actual",$C$7)),Table157[[#This Row],[Days in month]]/365,1/12)</f>
        <v>2.9708333333333331E-3</v>
      </c>
    </row>
    <row r="150" spans="2:20" x14ac:dyDescent="0.2">
      <c r="B150" s="1">
        <f t="shared" si="6"/>
        <v>49918</v>
      </c>
      <c r="C150" s="2">
        <f t="shared" si="8"/>
        <v>134</v>
      </c>
      <c r="D150" s="3">
        <f t="shared" si="7"/>
        <v>0</v>
      </c>
      <c r="E150" s="3">
        <f>ROUND(Table157[[#This Row],[Beginning Balance]]*Table157[[#This Row],[Monthly Interest Rate]],2)</f>
        <v>0</v>
      </c>
      <c r="F150" s="3">
        <f t="shared" si="9"/>
        <v>122</v>
      </c>
      <c r="G150" s="23">
        <f>IFERROR(IF($C$13="No","N/A",IF(Table157[[#This Row],[Period]]=1,$C$6,PMT(InterestRate*AmortizationMultiplier/12,Table157[[#This Row],[Am Thru]],-Table157[[#This Row],[Beginning Balance]]))),0)</f>
        <v>0</v>
      </c>
      <c r="H150" s="3">
        <f>MAX(0,IF(C150=$C$4,D150,ROUND(IF($C$3="Fixed Principal",$C$6-Table157[[#This Row],[Interest]],IF($C$3="Interest Only",Table157[[#This Row],[Beginning Balance]]*ROUND(1-(1-IF($C$11="No",$E$8,1))^(1/12),6),MIN(IF($C$13="Yes",Table157[[#This Row],[Payment Amount (Reamortized)]],$C$6)-Table157[[#This Row],[Interest]],Table157[[#This Row],[Beginning Balance]]))),2)))</f>
        <v>0</v>
      </c>
      <c r="I150" s="3">
        <f>_xlfn.SINGLE(IF($C$3="Line of Credit",0,ROUND(MAX(MIN(IF($C$10="No",$E$7,VLOOKUP(Table157[[#This Row],[Period]],Forecast!$H$2:$L$1048576,4,FALSE))*Table157[[#This Row],[Beginning Balance]],Table157[[#This Row],[Beginning Balance]]-Table157[[#This Row],[Principal]]),0),2)))</f>
        <v>0</v>
      </c>
      <c r="J150" s="3">
        <f>ROUND(MIN(Table157[[#This Row],[Beginning Balance]]*IF($C$8="No",$E$3,VLOOKUP(Table157[[#This Row],[Period]],Forecast!$H$2:$L$1048576,2,FALSE)),Table157[[#This Row],[Beginning Balance]]-Table157[[#This Row],[Principal]]-Table157[[#This Row],[Prepayments]]),2)</f>
        <v>0</v>
      </c>
      <c r="K150" s="3">
        <f>ROUND(Table157[[#This Row],[Defaulted Principal]]*IF($C$9="No",$E$4,VLOOKUP(Table157[[#This Row],[Period]],Forecast!$H$2:$L$1048576,3,FALSE)),2)</f>
        <v>0</v>
      </c>
      <c r="L150" s="2">
        <f>Table157[[#This Row],[Period]]+$E$9</f>
        <v>146</v>
      </c>
      <c r="M150" s="3">
        <f>Table157[[#This Row],[Defaulted Principal]]-Table157[[#This Row],[Estimated Loss]]</f>
        <v>0</v>
      </c>
      <c r="N150" s="3">
        <f>IFERROR(VLOOKUP(Table157[[#This Row],[Period]],$L$16:$M$385,2,FALSE),0)</f>
        <v>0</v>
      </c>
      <c r="O150" s="3">
        <f>Table157[[#This Row],[Beginning Balance]]-Table157[[#This Row],[Principal]]-Table157[[#This Row],[Prepayments]]-Table157[[#This Row],[Defaulted Principal]]</f>
        <v>0</v>
      </c>
      <c r="P150" s="3">
        <f>Table157[[#This Row],[Principal]]+Table157[[#This Row],[Interest]]+Table157[[#This Row],[Prepayments]]+Table157[[#This Row],[RecoveredAmount]]</f>
        <v>0</v>
      </c>
      <c r="Q150" s="3">
        <f ca="1">ROUND(Table157[[#This Row],[Cash Flow]]/((1+ActualRateToUse)^(IF(ISNUMBER(SEARCH("Actual",$C$7)),Table157[[#This Row],[Running Total]]/365,Table157[[#This Row],[Period]]/12))),2)</f>
        <v>0</v>
      </c>
      <c r="R150" s="2">
        <f>IF(MONTH(Table157[[#This Row],[Date]])=2,28,DAY(DATE(YEAR(Table157[[#This Row],[Date]]),MONTH(Table157[[#This Row],[Date]])+1,1)-1))</f>
        <v>31</v>
      </c>
      <c r="S150" s="2">
        <f ca="1">SUM(OFFSET(Table157[[#Headers],[Days in month]],1,0):Table157[[#This Row],[Days in month]])</f>
        <v>4077</v>
      </c>
      <c r="T150" s="37">
        <f>InterestRate*AmortizationMultiplier*IF(ISNUMBER(SEARCH("Actual",$C$7)),Table157[[#This Row],[Days in month]]/365,1/12)</f>
        <v>2.9708333333333331E-3</v>
      </c>
    </row>
    <row r="151" spans="2:20" x14ac:dyDescent="0.2">
      <c r="B151" s="1">
        <f t="shared" si="6"/>
        <v>49948</v>
      </c>
      <c r="C151" s="2">
        <f t="shared" si="8"/>
        <v>135</v>
      </c>
      <c r="D151" s="3">
        <f t="shared" si="7"/>
        <v>0</v>
      </c>
      <c r="E151" s="3">
        <f>ROUND(Table157[[#This Row],[Beginning Balance]]*Table157[[#This Row],[Monthly Interest Rate]],2)</f>
        <v>0</v>
      </c>
      <c r="F151" s="3">
        <f t="shared" si="9"/>
        <v>121</v>
      </c>
      <c r="G151" s="23">
        <f>IFERROR(IF($C$13="No","N/A",IF(Table157[[#This Row],[Period]]=1,$C$6,PMT(InterestRate*AmortizationMultiplier/12,Table157[[#This Row],[Am Thru]],-Table157[[#This Row],[Beginning Balance]]))),0)</f>
        <v>0</v>
      </c>
      <c r="H151" s="3">
        <f>MAX(0,IF(C151=$C$4,D151,ROUND(IF($C$3="Fixed Principal",$C$6-Table157[[#This Row],[Interest]],IF($C$3="Interest Only",Table157[[#This Row],[Beginning Balance]]*ROUND(1-(1-IF($C$11="No",$E$8,1))^(1/12),6),MIN(IF($C$13="Yes",Table157[[#This Row],[Payment Amount (Reamortized)]],$C$6)-Table157[[#This Row],[Interest]],Table157[[#This Row],[Beginning Balance]]))),2)))</f>
        <v>0</v>
      </c>
      <c r="I151" s="3">
        <f>_xlfn.SINGLE(IF($C$3="Line of Credit",0,ROUND(MAX(MIN(IF($C$10="No",$E$7,VLOOKUP(Table157[[#This Row],[Period]],Forecast!$H$2:$L$1048576,4,FALSE))*Table157[[#This Row],[Beginning Balance]],Table157[[#This Row],[Beginning Balance]]-Table157[[#This Row],[Principal]]),0),2)))</f>
        <v>0</v>
      </c>
      <c r="J151" s="3">
        <f>ROUND(MIN(Table157[[#This Row],[Beginning Balance]]*IF($C$8="No",$E$3,VLOOKUP(Table157[[#This Row],[Period]],Forecast!$H$2:$L$1048576,2,FALSE)),Table157[[#This Row],[Beginning Balance]]-Table157[[#This Row],[Principal]]-Table157[[#This Row],[Prepayments]]),2)</f>
        <v>0</v>
      </c>
      <c r="K151" s="3">
        <f>ROUND(Table157[[#This Row],[Defaulted Principal]]*IF($C$9="No",$E$4,VLOOKUP(Table157[[#This Row],[Period]],Forecast!$H$2:$L$1048576,3,FALSE)),2)</f>
        <v>0</v>
      </c>
      <c r="L151" s="2">
        <f>Table157[[#This Row],[Period]]+$E$9</f>
        <v>147</v>
      </c>
      <c r="M151" s="3">
        <f>Table157[[#This Row],[Defaulted Principal]]-Table157[[#This Row],[Estimated Loss]]</f>
        <v>0</v>
      </c>
      <c r="N151" s="3">
        <f>IFERROR(VLOOKUP(Table157[[#This Row],[Period]],$L$16:$M$385,2,FALSE),0)</f>
        <v>0</v>
      </c>
      <c r="O151" s="3">
        <f>Table157[[#This Row],[Beginning Balance]]-Table157[[#This Row],[Principal]]-Table157[[#This Row],[Prepayments]]-Table157[[#This Row],[Defaulted Principal]]</f>
        <v>0</v>
      </c>
      <c r="P151" s="3">
        <f>Table157[[#This Row],[Principal]]+Table157[[#This Row],[Interest]]+Table157[[#This Row],[Prepayments]]+Table157[[#This Row],[RecoveredAmount]]</f>
        <v>0</v>
      </c>
      <c r="Q151" s="3">
        <f ca="1">ROUND(Table157[[#This Row],[Cash Flow]]/((1+ActualRateToUse)^(IF(ISNUMBER(SEARCH("Actual",$C$7)),Table157[[#This Row],[Running Total]]/365,Table157[[#This Row],[Period]]/12))),2)</f>
        <v>0</v>
      </c>
      <c r="R151" s="2">
        <f>IF(MONTH(Table157[[#This Row],[Date]])=2,28,DAY(DATE(YEAR(Table157[[#This Row],[Date]]),MONTH(Table157[[#This Row],[Date]])+1,1)-1))</f>
        <v>30</v>
      </c>
      <c r="S151" s="2">
        <f ca="1">SUM(OFFSET(Table157[[#Headers],[Days in month]],1,0):Table157[[#This Row],[Days in month]])</f>
        <v>4107</v>
      </c>
      <c r="T151" s="37">
        <f>InterestRate*AmortizationMultiplier*IF(ISNUMBER(SEARCH("Actual",$C$7)),Table157[[#This Row],[Days in month]]/365,1/12)</f>
        <v>2.8749999999999995E-3</v>
      </c>
    </row>
    <row r="152" spans="2:20" x14ac:dyDescent="0.2">
      <c r="B152" s="1">
        <f t="shared" si="6"/>
        <v>49979</v>
      </c>
      <c r="C152" s="2">
        <f t="shared" si="8"/>
        <v>136</v>
      </c>
      <c r="D152" s="3">
        <f t="shared" si="7"/>
        <v>0</v>
      </c>
      <c r="E152" s="3">
        <f>ROUND(Table157[[#This Row],[Beginning Balance]]*Table157[[#This Row],[Monthly Interest Rate]],2)</f>
        <v>0</v>
      </c>
      <c r="F152" s="3">
        <f t="shared" si="9"/>
        <v>120</v>
      </c>
      <c r="G152" s="23">
        <f>IFERROR(IF($C$13="No","N/A",IF(Table157[[#This Row],[Period]]=1,$C$6,PMT(InterestRate*AmortizationMultiplier/12,Table157[[#This Row],[Am Thru]],-Table157[[#This Row],[Beginning Balance]]))),0)</f>
        <v>0</v>
      </c>
      <c r="H152" s="3">
        <f>MAX(0,IF(C152=$C$4,D152,ROUND(IF($C$3="Fixed Principal",$C$6-Table157[[#This Row],[Interest]],IF($C$3="Interest Only",Table157[[#This Row],[Beginning Balance]]*ROUND(1-(1-IF($C$11="No",$E$8,1))^(1/12),6),MIN(IF($C$13="Yes",Table157[[#This Row],[Payment Amount (Reamortized)]],$C$6)-Table157[[#This Row],[Interest]],Table157[[#This Row],[Beginning Balance]]))),2)))</f>
        <v>0</v>
      </c>
      <c r="I152" s="3">
        <f>_xlfn.SINGLE(IF($C$3="Line of Credit",0,ROUND(MAX(MIN(IF($C$10="No",$E$7,VLOOKUP(Table157[[#This Row],[Period]],Forecast!$H$2:$L$1048576,4,FALSE))*Table157[[#This Row],[Beginning Balance]],Table157[[#This Row],[Beginning Balance]]-Table157[[#This Row],[Principal]]),0),2)))</f>
        <v>0</v>
      </c>
      <c r="J152" s="3">
        <f>ROUND(MIN(Table157[[#This Row],[Beginning Balance]]*IF($C$8="No",$E$3,VLOOKUP(Table157[[#This Row],[Period]],Forecast!$H$2:$L$1048576,2,FALSE)),Table157[[#This Row],[Beginning Balance]]-Table157[[#This Row],[Principal]]-Table157[[#This Row],[Prepayments]]),2)</f>
        <v>0</v>
      </c>
      <c r="K152" s="3">
        <f>ROUND(Table157[[#This Row],[Defaulted Principal]]*IF($C$9="No",$E$4,VLOOKUP(Table157[[#This Row],[Period]],Forecast!$H$2:$L$1048576,3,FALSE)),2)</f>
        <v>0</v>
      </c>
      <c r="L152" s="2">
        <f>Table157[[#This Row],[Period]]+$E$9</f>
        <v>148</v>
      </c>
      <c r="M152" s="3">
        <f>Table157[[#This Row],[Defaulted Principal]]-Table157[[#This Row],[Estimated Loss]]</f>
        <v>0</v>
      </c>
      <c r="N152" s="3">
        <f>IFERROR(VLOOKUP(Table157[[#This Row],[Period]],$L$16:$M$385,2,FALSE),0)</f>
        <v>0</v>
      </c>
      <c r="O152" s="3">
        <f>Table157[[#This Row],[Beginning Balance]]-Table157[[#This Row],[Principal]]-Table157[[#This Row],[Prepayments]]-Table157[[#This Row],[Defaulted Principal]]</f>
        <v>0</v>
      </c>
      <c r="P152" s="3">
        <f>Table157[[#This Row],[Principal]]+Table157[[#This Row],[Interest]]+Table157[[#This Row],[Prepayments]]+Table157[[#This Row],[RecoveredAmount]]</f>
        <v>0</v>
      </c>
      <c r="Q152" s="3">
        <f ca="1">ROUND(Table157[[#This Row],[Cash Flow]]/((1+ActualRateToUse)^(IF(ISNUMBER(SEARCH("Actual",$C$7)),Table157[[#This Row],[Running Total]]/365,Table157[[#This Row],[Period]]/12))),2)</f>
        <v>0</v>
      </c>
      <c r="R152" s="2">
        <f>IF(MONTH(Table157[[#This Row],[Date]])=2,28,DAY(DATE(YEAR(Table157[[#This Row],[Date]]),MONTH(Table157[[#This Row],[Date]])+1,1)-1))</f>
        <v>31</v>
      </c>
      <c r="S152" s="2">
        <f ca="1">SUM(OFFSET(Table157[[#Headers],[Days in month]],1,0):Table157[[#This Row],[Days in month]])</f>
        <v>4138</v>
      </c>
      <c r="T152" s="37">
        <f>InterestRate*AmortizationMultiplier*IF(ISNUMBER(SEARCH("Actual",$C$7)),Table157[[#This Row],[Days in month]]/365,1/12)</f>
        <v>2.9708333333333331E-3</v>
      </c>
    </row>
    <row r="153" spans="2:20" x14ac:dyDescent="0.2">
      <c r="B153" s="1">
        <f t="shared" si="6"/>
        <v>50009</v>
      </c>
      <c r="C153" s="2">
        <f t="shared" si="8"/>
        <v>137</v>
      </c>
      <c r="D153" s="3">
        <f t="shared" si="7"/>
        <v>0</v>
      </c>
      <c r="E153" s="3">
        <f>ROUND(Table157[[#This Row],[Beginning Balance]]*Table157[[#This Row],[Monthly Interest Rate]],2)</f>
        <v>0</v>
      </c>
      <c r="F153" s="3">
        <f t="shared" si="9"/>
        <v>119</v>
      </c>
      <c r="G153" s="23">
        <f>IFERROR(IF($C$13="No","N/A",IF(Table157[[#This Row],[Period]]=1,$C$6,PMT(InterestRate*AmortizationMultiplier/12,Table157[[#This Row],[Am Thru]],-Table157[[#This Row],[Beginning Balance]]))),0)</f>
        <v>0</v>
      </c>
      <c r="H153" s="3">
        <f>MAX(0,IF(C153=$C$4,D153,ROUND(IF($C$3="Fixed Principal",$C$6-Table157[[#This Row],[Interest]],IF($C$3="Interest Only",Table157[[#This Row],[Beginning Balance]]*ROUND(1-(1-IF($C$11="No",$E$8,1))^(1/12),6),MIN(IF($C$13="Yes",Table157[[#This Row],[Payment Amount (Reamortized)]],$C$6)-Table157[[#This Row],[Interest]],Table157[[#This Row],[Beginning Balance]]))),2)))</f>
        <v>0</v>
      </c>
      <c r="I153" s="3">
        <f>_xlfn.SINGLE(IF($C$3="Line of Credit",0,ROUND(MAX(MIN(IF($C$10="No",$E$7,VLOOKUP(Table157[[#This Row],[Period]],Forecast!$H$2:$L$1048576,4,FALSE))*Table157[[#This Row],[Beginning Balance]],Table157[[#This Row],[Beginning Balance]]-Table157[[#This Row],[Principal]]),0),2)))</f>
        <v>0</v>
      </c>
      <c r="J153" s="3">
        <f>ROUND(MIN(Table157[[#This Row],[Beginning Balance]]*IF($C$8="No",$E$3,VLOOKUP(Table157[[#This Row],[Period]],Forecast!$H$2:$L$1048576,2,FALSE)),Table157[[#This Row],[Beginning Balance]]-Table157[[#This Row],[Principal]]-Table157[[#This Row],[Prepayments]]),2)</f>
        <v>0</v>
      </c>
      <c r="K153" s="3">
        <f>ROUND(Table157[[#This Row],[Defaulted Principal]]*IF($C$9="No",$E$4,VLOOKUP(Table157[[#This Row],[Period]],Forecast!$H$2:$L$1048576,3,FALSE)),2)</f>
        <v>0</v>
      </c>
      <c r="L153" s="2">
        <f>Table157[[#This Row],[Period]]+$E$9</f>
        <v>149</v>
      </c>
      <c r="M153" s="3">
        <f>Table157[[#This Row],[Defaulted Principal]]-Table157[[#This Row],[Estimated Loss]]</f>
        <v>0</v>
      </c>
      <c r="N153" s="3">
        <f>IFERROR(VLOOKUP(Table157[[#This Row],[Period]],$L$16:$M$385,2,FALSE),0)</f>
        <v>0</v>
      </c>
      <c r="O153" s="3">
        <f>Table157[[#This Row],[Beginning Balance]]-Table157[[#This Row],[Principal]]-Table157[[#This Row],[Prepayments]]-Table157[[#This Row],[Defaulted Principal]]</f>
        <v>0</v>
      </c>
      <c r="P153" s="3">
        <f>Table157[[#This Row],[Principal]]+Table157[[#This Row],[Interest]]+Table157[[#This Row],[Prepayments]]+Table157[[#This Row],[RecoveredAmount]]</f>
        <v>0</v>
      </c>
      <c r="Q153" s="3">
        <f ca="1">ROUND(Table157[[#This Row],[Cash Flow]]/((1+ActualRateToUse)^(IF(ISNUMBER(SEARCH("Actual",$C$7)),Table157[[#This Row],[Running Total]]/365,Table157[[#This Row],[Period]]/12))),2)</f>
        <v>0</v>
      </c>
      <c r="R153" s="2">
        <f>IF(MONTH(Table157[[#This Row],[Date]])=2,28,DAY(DATE(YEAR(Table157[[#This Row],[Date]]),MONTH(Table157[[#This Row],[Date]])+1,1)-1))</f>
        <v>30</v>
      </c>
      <c r="S153" s="2">
        <f ca="1">SUM(OFFSET(Table157[[#Headers],[Days in month]],1,0):Table157[[#This Row],[Days in month]])</f>
        <v>4168</v>
      </c>
      <c r="T153" s="37">
        <f>InterestRate*AmortizationMultiplier*IF(ISNUMBER(SEARCH("Actual",$C$7)),Table157[[#This Row],[Days in month]]/365,1/12)</f>
        <v>2.8749999999999995E-3</v>
      </c>
    </row>
    <row r="154" spans="2:20" x14ac:dyDescent="0.2">
      <c r="B154" s="1">
        <f t="shared" si="6"/>
        <v>50040</v>
      </c>
      <c r="C154" s="2">
        <f t="shared" si="8"/>
        <v>138</v>
      </c>
      <c r="D154" s="3">
        <f t="shared" si="7"/>
        <v>0</v>
      </c>
      <c r="E154" s="3">
        <f>ROUND(Table157[[#This Row],[Beginning Balance]]*Table157[[#This Row],[Monthly Interest Rate]],2)</f>
        <v>0</v>
      </c>
      <c r="F154" s="3">
        <f t="shared" si="9"/>
        <v>118</v>
      </c>
      <c r="G154" s="23">
        <f>IFERROR(IF($C$13="No","N/A",IF(Table157[[#This Row],[Period]]=1,$C$6,PMT(InterestRate*AmortizationMultiplier/12,Table157[[#This Row],[Am Thru]],-Table157[[#This Row],[Beginning Balance]]))),0)</f>
        <v>0</v>
      </c>
      <c r="H154" s="3">
        <f>MAX(0,IF(C154=$C$4,D154,ROUND(IF($C$3="Fixed Principal",$C$6-Table157[[#This Row],[Interest]],IF($C$3="Interest Only",Table157[[#This Row],[Beginning Balance]]*ROUND(1-(1-IF($C$11="No",$E$8,1))^(1/12),6),MIN(IF($C$13="Yes",Table157[[#This Row],[Payment Amount (Reamortized)]],$C$6)-Table157[[#This Row],[Interest]],Table157[[#This Row],[Beginning Balance]]))),2)))</f>
        <v>0</v>
      </c>
      <c r="I154" s="3">
        <f>_xlfn.SINGLE(IF($C$3="Line of Credit",0,ROUND(MAX(MIN(IF($C$10="No",$E$7,VLOOKUP(Table157[[#This Row],[Period]],Forecast!$H$2:$L$1048576,4,FALSE))*Table157[[#This Row],[Beginning Balance]],Table157[[#This Row],[Beginning Balance]]-Table157[[#This Row],[Principal]]),0),2)))</f>
        <v>0</v>
      </c>
      <c r="J154" s="3">
        <f>ROUND(MIN(Table157[[#This Row],[Beginning Balance]]*IF($C$8="No",$E$3,VLOOKUP(Table157[[#This Row],[Period]],Forecast!$H$2:$L$1048576,2,FALSE)),Table157[[#This Row],[Beginning Balance]]-Table157[[#This Row],[Principal]]-Table157[[#This Row],[Prepayments]]),2)</f>
        <v>0</v>
      </c>
      <c r="K154" s="3">
        <f>ROUND(Table157[[#This Row],[Defaulted Principal]]*IF($C$9="No",$E$4,VLOOKUP(Table157[[#This Row],[Period]],Forecast!$H$2:$L$1048576,3,FALSE)),2)</f>
        <v>0</v>
      </c>
      <c r="L154" s="2">
        <f>Table157[[#This Row],[Period]]+$E$9</f>
        <v>150</v>
      </c>
      <c r="M154" s="3">
        <f>Table157[[#This Row],[Defaulted Principal]]-Table157[[#This Row],[Estimated Loss]]</f>
        <v>0</v>
      </c>
      <c r="N154" s="3">
        <f>IFERROR(VLOOKUP(Table157[[#This Row],[Period]],$L$16:$M$385,2,FALSE),0)</f>
        <v>0</v>
      </c>
      <c r="O154" s="3">
        <f>Table157[[#This Row],[Beginning Balance]]-Table157[[#This Row],[Principal]]-Table157[[#This Row],[Prepayments]]-Table157[[#This Row],[Defaulted Principal]]</f>
        <v>0</v>
      </c>
      <c r="P154" s="3">
        <f>Table157[[#This Row],[Principal]]+Table157[[#This Row],[Interest]]+Table157[[#This Row],[Prepayments]]+Table157[[#This Row],[RecoveredAmount]]</f>
        <v>0</v>
      </c>
      <c r="Q154" s="3">
        <f ca="1">ROUND(Table157[[#This Row],[Cash Flow]]/((1+ActualRateToUse)^(IF(ISNUMBER(SEARCH("Actual",$C$7)),Table157[[#This Row],[Running Total]]/365,Table157[[#This Row],[Period]]/12))),2)</f>
        <v>0</v>
      </c>
      <c r="R154" s="2">
        <f>IF(MONTH(Table157[[#This Row],[Date]])=2,28,DAY(DATE(YEAR(Table157[[#This Row],[Date]]),MONTH(Table157[[#This Row],[Date]])+1,1)-1))</f>
        <v>31</v>
      </c>
      <c r="S154" s="2">
        <f ca="1">SUM(OFFSET(Table157[[#Headers],[Days in month]],1,0):Table157[[#This Row],[Days in month]])</f>
        <v>4199</v>
      </c>
      <c r="T154" s="37">
        <f>InterestRate*AmortizationMultiplier*IF(ISNUMBER(SEARCH("Actual",$C$7)),Table157[[#This Row],[Days in month]]/365,1/12)</f>
        <v>2.9708333333333331E-3</v>
      </c>
    </row>
    <row r="155" spans="2:20" x14ac:dyDescent="0.2">
      <c r="B155" s="1">
        <f t="shared" si="6"/>
        <v>50071</v>
      </c>
      <c r="C155" s="2">
        <f t="shared" si="8"/>
        <v>139</v>
      </c>
      <c r="D155" s="3">
        <f t="shared" si="7"/>
        <v>0</v>
      </c>
      <c r="E155" s="3">
        <f>ROUND(Table157[[#This Row],[Beginning Balance]]*Table157[[#This Row],[Monthly Interest Rate]],2)</f>
        <v>0</v>
      </c>
      <c r="F155" s="3">
        <f t="shared" si="9"/>
        <v>117</v>
      </c>
      <c r="G155" s="23">
        <f>IFERROR(IF($C$13="No","N/A",IF(Table157[[#This Row],[Period]]=1,$C$6,PMT(InterestRate*AmortizationMultiplier/12,Table157[[#This Row],[Am Thru]],-Table157[[#This Row],[Beginning Balance]]))),0)</f>
        <v>0</v>
      </c>
      <c r="H155" s="3">
        <f>MAX(0,IF(C155=$C$4,D155,ROUND(IF($C$3="Fixed Principal",$C$6-Table157[[#This Row],[Interest]],IF($C$3="Interest Only",Table157[[#This Row],[Beginning Balance]]*ROUND(1-(1-IF($C$11="No",$E$8,1))^(1/12),6),MIN(IF($C$13="Yes",Table157[[#This Row],[Payment Amount (Reamortized)]],$C$6)-Table157[[#This Row],[Interest]],Table157[[#This Row],[Beginning Balance]]))),2)))</f>
        <v>0</v>
      </c>
      <c r="I155" s="3">
        <f>_xlfn.SINGLE(IF($C$3="Line of Credit",0,ROUND(MAX(MIN(IF($C$10="No",$E$7,VLOOKUP(Table157[[#This Row],[Period]],Forecast!$H$2:$L$1048576,4,FALSE))*Table157[[#This Row],[Beginning Balance]],Table157[[#This Row],[Beginning Balance]]-Table157[[#This Row],[Principal]]),0),2)))</f>
        <v>0</v>
      </c>
      <c r="J155" s="3">
        <f>ROUND(MIN(Table157[[#This Row],[Beginning Balance]]*IF($C$8="No",$E$3,VLOOKUP(Table157[[#This Row],[Period]],Forecast!$H$2:$L$1048576,2,FALSE)),Table157[[#This Row],[Beginning Balance]]-Table157[[#This Row],[Principal]]-Table157[[#This Row],[Prepayments]]),2)</f>
        <v>0</v>
      </c>
      <c r="K155" s="3">
        <f>ROUND(Table157[[#This Row],[Defaulted Principal]]*IF($C$9="No",$E$4,VLOOKUP(Table157[[#This Row],[Period]],Forecast!$H$2:$L$1048576,3,FALSE)),2)</f>
        <v>0</v>
      </c>
      <c r="L155" s="2">
        <f>Table157[[#This Row],[Period]]+$E$9</f>
        <v>151</v>
      </c>
      <c r="M155" s="3">
        <f>Table157[[#This Row],[Defaulted Principal]]-Table157[[#This Row],[Estimated Loss]]</f>
        <v>0</v>
      </c>
      <c r="N155" s="3">
        <f>IFERROR(VLOOKUP(Table157[[#This Row],[Period]],$L$16:$M$385,2,FALSE),0)</f>
        <v>0</v>
      </c>
      <c r="O155" s="3">
        <f>Table157[[#This Row],[Beginning Balance]]-Table157[[#This Row],[Principal]]-Table157[[#This Row],[Prepayments]]-Table157[[#This Row],[Defaulted Principal]]</f>
        <v>0</v>
      </c>
      <c r="P155" s="3">
        <f>Table157[[#This Row],[Principal]]+Table157[[#This Row],[Interest]]+Table157[[#This Row],[Prepayments]]+Table157[[#This Row],[RecoveredAmount]]</f>
        <v>0</v>
      </c>
      <c r="Q155" s="3">
        <f ca="1">ROUND(Table157[[#This Row],[Cash Flow]]/((1+ActualRateToUse)^(IF(ISNUMBER(SEARCH("Actual",$C$7)),Table157[[#This Row],[Running Total]]/365,Table157[[#This Row],[Period]]/12))),2)</f>
        <v>0</v>
      </c>
      <c r="R155" s="2">
        <f>IF(MONTH(Table157[[#This Row],[Date]])=2,28,DAY(DATE(YEAR(Table157[[#This Row],[Date]]),MONTH(Table157[[#This Row],[Date]])+1,1)-1))</f>
        <v>31</v>
      </c>
      <c r="S155" s="2">
        <f ca="1">SUM(OFFSET(Table157[[#Headers],[Days in month]],1,0):Table157[[#This Row],[Days in month]])</f>
        <v>4230</v>
      </c>
      <c r="T155" s="37">
        <f>InterestRate*AmortizationMultiplier*IF(ISNUMBER(SEARCH("Actual",$C$7)),Table157[[#This Row],[Days in month]]/365,1/12)</f>
        <v>2.9708333333333331E-3</v>
      </c>
    </row>
    <row r="156" spans="2:20" x14ac:dyDescent="0.2">
      <c r="B156" s="1">
        <f t="shared" si="6"/>
        <v>50099</v>
      </c>
      <c r="C156" s="2">
        <f t="shared" si="8"/>
        <v>140</v>
      </c>
      <c r="D156" s="3">
        <f t="shared" si="7"/>
        <v>0</v>
      </c>
      <c r="E156" s="3">
        <f>ROUND(Table157[[#This Row],[Beginning Balance]]*Table157[[#This Row],[Monthly Interest Rate]],2)</f>
        <v>0</v>
      </c>
      <c r="F156" s="3">
        <f t="shared" si="9"/>
        <v>116</v>
      </c>
      <c r="G156" s="23">
        <f>IFERROR(IF($C$13="No","N/A",IF(Table157[[#This Row],[Period]]=1,$C$6,PMT(InterestRate*AmortizationMultiplier/12,Table157[[#This Row],[Am Thru]],-Table157[[#This Row],[Beginning Balance]]))),0)</f>
        <v>0</v>
      </c>
      <c r="H156" s="3">
        <f>MAX(0,IF(C156=$C$4,D156,ROUND(IF($C$3="Fixed Principal",$C$6-Table157[[#This Row],[Interest]],IF($C$3="Interest Only",Table157[[#This Row],[Beginning Balance]]*ROUND(1-(1-IF($C$11="No",$E$8,1))^(1/12),6),MIN(IF($C$13="Yes",Table157[[#This Row],[Payment Amount (Reamortized)]],$C$6)-Table157[[#This Row],[Interest]],Table157[[#This Row],[Beginning Balance]]))),2)))</f>
        <v>0</v>
      </c>
      <c r="I156" s="3">
        <f>_xlfn.SINGLE(IF($C$3="Line of Credit",0,ROUND(MAX(MIN(IF($C$10="No",$E$7,VLOOKUP(Table157[[#This Row],[Period]],Forecast!$H$2:$L$1048576,4,FALSE))*Table157[[#This Row],[Beginning Balance]],Table157[[#This Row],[Beginning Balance]]-Table157[[#This Row],[Principal]]),0),2)))</f>
        <v>0</v>
      </c>
      <c r="J156" s="3">
        <f>ROUND(MIN(Table157[[#This Row],[Beginning Balance]]*IF($C$8="No",$E$3,VLOOKUP(Table157[[#This Row],[Period]],Forecast!$H$2:$L$1048576,2,FALSE)),Table157[[#This Row],[Beginning Balance]]-Table157[[#This Row],[Principal]]-Table157[[#This Row],[Prepayments]]),2)</f>
        <v>0</v>
      </c>
      <c r="K156" s="3">
        <f>ROUND(Table157[[#This Row],[Defaulted Principal]]*IF($C$9="No",$E$4,VLOOKUP(Table157[[#This Row],[Period]],Forecast!$H$2:$L$1048576,3,FALSE)),2)</f>
        <v>0</v>
      </c>
      <c r="L156" s="2">
        <f>Table157[[#This Row],[Period]]+$E$9</f>
        <v>152</v>
      </c>
      <c r="M156" s="3">
        <f>Table157[[#This Row],[Defaulted Principal]]-Table157[[#This Row],[Estimated Loss]]</f>
        <v>0</v>
      </c>
      <c r="N156" s="3">
        <f>IFERROR(VLOOKUP(Table157[[#This Row],[Period]],$L$16:$M$385,2,FALSE),0)</f>
        <v>0</v>
      </c>
      <c r="O156" s="3">
        <f>Table157[[#This Row],[Beginning Balance]]-Table157[[#This Row],[Principal]]-Table157[[#This Row],[Prepayments]]-Table157[[#This Row],[Defaulted Principal]]</f>
        <v>0</v>
      </c>
      <c r="P156" s="3">
        <f>Table157[[#This Row],[Principal]]+Table157[[#This Row],[Interest]]+Table157[[#This Row],[Prepayments]]+Table157[[#This Row],[RecoveredAmount]]</f>
        <v>0</v>
      </c>
      <c r="Q156" s="3">
        <f ca="1">ROUND(Table157[[#This Row],[Cash Flow]]/((1+ActualRateToUse)^(IF(ISNUMBER(SEARCH("Actual",$C$7)),Table157[[#This Row],[Running Total]]/365,Table157[[#This Row],[Period]]/12))),2)</f>
        <v>0</v>
      </c>
      <c r="R156" s="2">
        <f>IF(MONTH(Table157[[#This Row],[Date]])=2,28,DAY(DATE(YEAR(Table157[[#This Row],[Date]]),MONTH(Table157[[#This Row],[Date]])+1,1)-1))</f>
        <v>28</v>
      </c>
      <c r="S156" s="2">
        <f ca="1">SUM(OFFSET(Table157[[#Headers],[Days in month]],1,0):Table157[[#This Row],[Days in month]])</f>
        <v>4258</v>
      </c>
      <c r="T156" s="37">
        <f>InterestRate*AmortizationMultiplier*IF(ISNUMBER(SEARCH("Actual",$C$7)),Table157[[#This Row],[Days in month]]/365,1/12)</f>
        <v>2.6833333333333336E-3</v>
      </c>
    </row>
    <row r="157" spans="2:20" x14ac:dyDescent="0.2">
      <c r="B157" s="1">
        <f t="shared" si="6"/>
        <v>50130</v>
      </c>
      <c r="C157" s="2">
        <f t="shared" si="8"/>
        <v>141</v>
      </c>
      <c r="D157" s="3">
        <f t="shared" si="7"/>
        <v>0</v>
      </c>
      <c r="E157" s="3">
        <f>ROUND(Table157[[#This Row],[Beginning Balance]]*Table157[[#This Row],[Monthly Interest Rate]],2)</f>
        <v>0</v>
      </c>
      <c r="F157" s="3">
        <f t="shared" si="9"/>
        <v>115</v>
      </c>
      <c r="G157" s="23">
        <f>IFERROR(IF($C$13="No","N/A",IF(Table157[[#This Row],[Period]]=1,$C$6,PMT(InterestRate*AmortizationMultiplier/12,Table157[[#This Row],[Am Thru]],-Table157[[#This Row],[Beginning Balance]]))),0)</f>
        <v>0</v>
      </c>
      <c r="H157" s="3">
        <f>MAX(0,IF(C157=$C$4,D157,ROUND(IF($C$3="Fixed Principal",$C$6-Table157[[#This Row],[Interest]],IF($C$3="Interest Only",Table157[[#This Row],[Beginning Balance]]*ROUND(1-(1-IF($C$11="No",$E$8,1))^(1/12),6),MIN(IF($C$13="Yes",Table157[[#This Row],[Payment Amount (Reamortized)]],$C$6)-Table157[[#This Row],[Interest]],Table157[[#This Row],[Beginning Balance]]))),2)))</f>
        <v>0</v>
      </c>
      <c r="I157" s="3">
        <f>_xlfn.SINGLE(IF($C$3="Line of Credit",0,ROUND(MAX(MIN(IF($C$10="No",$E$7,VLOOKUP(Table157[[#This Row],[Period]],Forecast!$H$2:$L$1048576,4,FALSE))*Table157[[#This Row],[Beginning Balance]],Table157[[#This Row],[Beginning Balance]]-Table157[[#This Row],[Principal]]),0),2)))</f>
        <v>0</v>
      </c>
      <c r="J157" s="3">
        <f>ROUND(MIN(Table157[[#This Row],[Beginning Balance]]*IF($C$8="No",$E$3,VLOOKUP(Table157[[#This Row],[Period]],Forecast!$H$2:$L$1048576,2,FALSE)),Table157[[#This Row],[Beginning Balance]]-Table157[[#This Row],[Principal]]-Table157[[#This Row],[Prepayments]]),2)</f>
        <v>0</v>
      </c>
      <c r="K157" s="3">
        <f>ROUND(Table157[[#This Row],[Defaulted Principal]]*IF($C$9="No",$E$4,VLOOKUP(Table157[[#This Row],[Period]],Forecast!$H$2:$L$1048576,3,FALSE)),2)</f>
        <v>0</v>
      </c>
      <c r="L157" s="2">
        <f>Table157[[#This Row],[Period]]+$E$9</f>
        <v>153</v>
      </c>
      <c r="M157" s="3">
        <f>Table157[[#This Row],[Defaulted Principal]]-Table157[[#This Row],[Estimated Loss]]</f>
        <v>0</v>
      </c>
      <c r="N157" s="3">
        <f>IFERROR(VLOOKUP(Table157[[#This Row],[Period]],$L$16:$M$385,2,FALSE),0)</f>
        <v>0</v>
      </c>
      <c r="O157" s="3">
        <f>Table157[[#This Row],[Beginning Balance]]-Table157[[#This Row],[Principal]]-Table157[[#This Row],[Prepayments]]-Table157[[#This Row],[Defaulted Principal]]</f>
        <v>0</v>
      </c>
      <c r="P157" s="3">
        <f>Table157[[#This Row],[Principal]]+Table157[[#This Row],[Interest]]+Table157[[#This Row],[Prepayments]]+Table157[[#This Row],[RecoveredAmount]]</f>
        <v>0</v>
      </c>
      <c r="Q157" s="3">
        <f ca="1">ROUND(Table157[[#This Row],[Cash Flow]]/((1+ActualRateToUse)^(IF(ISNUMBER(SEARCH("Actual",$C$7)),Table157[[#This Row],[Running Total]]/365,Table157[[#This Row],[Period]]/12))),2)</f>
        <v>0</v>
      </c>
      <c r="R157" s="2">
        <f>IF(MONTH(Table157[[#This Row],[Date]])=2,28,DAY(DATE(YEAR(Table157[[#This Row],[Date]]),MONTH(Table157[[#This Row],[Date]])+1,1)-1))</f>
        <v>31</v>
      </c>
      <c r="S157" s="2">
        <f ca="1">SUM(OFFSET(Table157[[#Headers],[Days in month]],1,0):Table157[[#This Row],[Days in month]])</f>
        <v>4289</v>
      </c>
      <c r="T157" s="37">
        <f>InterestRate*AmortizationMultiplier*IF(ISNUMBER(SEARCH("Actual",$C$7)),Table157[[#This Row],[Days in month]]/365,1/12)</f>
        <v>2.9708333333333331E-3</v>
      </c>
    </row>
    <row r="158" spans="2:20" x14ac:dyDescent="0.2">
      <c r="B158" s="1">
        <f t="shared" si="6"/>
        <v>50160</v>
      </c>
      <c r="C158" s="2">
        <f t="shared" si="8"/>
        <v>142</v>
      </c>
      <c r="D158" s="3">
        <f t="shared" si="7"/>
        <v>0</v>
      </c>
      <c r="E158" s="3">
        <f>ROUND(Table157[[#This Row],[Beginning Balance]]*Table157[[#This Row],[Monthly Interest Rate]],2)</f>
        <v>0</v>
      </c>
      <c r="F158" s="3">
        <f t="shared" si="9"/>
        <v>114</v>
      </c>
      <c r="G158" s="23">
        <f>IFERROR(IF($C$13="No","N/A",IF(Table157[[#This Row],[Period]]=1,$C$6,PMT(InterestRate*AmortizationMultiplier/12,Table157[[#This Row],[Am Thru]],-Table157[[#This Row],[Beginning Balance]]))),0)</f>
        <v>0</v>
      </c>
      <c r="H158" s="3">
        <f>MAX(0,IF(C158=$C$4,D158,ROUND(IF($C$3="Fixed Principal",$C$6-Table157[[#This Row],[Interest]],IF($C$3="Interest Only",Table157[[#This Row],[Beginning Balance]]*ROUND(1-(1-IF($C$11="No",$E$8,1))^(1/12),6),MIN(IF($C$13="Yes",Table157[[#This Row],[Payment Amount (Reamortized)]],$C$6)-Table157[[#This Row],[Interest]],Table157[[#This Row],[Beginning Balance]]))),2)))</f>
        <v>0</v>
      </c>
      <c r="I158" s="3">
        <f>_xlfn.SINGLE(IF($C$3="Line of Credit",0,ROUND(MAX(MIN(IF($C$10="No",$E$7,VLOOKUP(Table157[[#This Row],[Period]],Forecast!$H$2:$L$1048576,4,FALSE))*Table157[[#This Row],[Beginning Balance]],Table157[[#This Row],[Beginning Balance]]-Table157[[#This Row],[Principal]]),0),2)))</f>
        <v>0</v>
      </c>
      <c r="J158" s="3">
        <f>ROUND(MIN(Table157[[#This Row],[Beginning Balance]]*IF($C$8="No",$E$3,VLOOKUP(Table157[[#This Row],[Period]],Forecast!$H$2:$L$1048576,2,FALSE)),Table157[[#This Row],[Beginning Balance]]-Table157[[#This Row],[Principal]]-Table157[[#This Row],[Prepayments]]),2)</f>
        <v>0</v>
      </c>
      <c r="K158" s="3">
        <f>ROUND(Table157[[#This Row],[Defaulted Principal]]*IF($C$9="No",$E$4,VLOOKUP(Table157[[#This Row],[Period]],Forecast!$H$2:$L$1048576,3,FALSE)),2)</f>
        <v>0</v>
      </c>
      <c r="L158" s="2">
        <f>Table157[[#This Row],[Period]]+$E$9</f>
        <v>154</v>
      </c>
      <c r="M158" s="3">
        <f>Table157[[#This Row],[Defaulted Principal]]-Table157[[#This Row],[Estimated Loss]]</f>
        <v>0</v>
      </c>
      <c r="N158" s="3">
        <f>IFERROR(VLOOKUP(Table157[[#This Row],[Period]],$L$16:$M$385,2,FALSE),0)</f>
        <v>0</v>
      </c>
      <c r="O158" s="3">
        <f>Table157[[#This Row],[Beginning Balance]]-Table157[[#This Row],[Principal]]-Table157[[#This Row],[Prepayments]]-Table157[[#This Row],[Defaulted Principal]]</f>
        <v>0</v>
      </c>
      <c r="P158" s="3">
        <f>Table157[[#This Row],[Principal]]+Table157[[#This Row],[Interest]]+Table157[[#This Row],[Prepayments]]+Table157[[#This Row],[RecoveredAmount]]</f>
        <v>0</v>
      </c>
      <c r="Q158" s="3">
        <f ca="1">ROUND(Table157[[#This Row],[Cash Flow]]/((1+ActualRateToUse)^(IF(ISNUMBER(SEARCH("Actual",$C$7)),Table157[[#This Row],[Running Total]]/365,Table157[[#This Row],[Period]]/12))),2)</f>
        <v>0</v>
      </c>
      <c r="R158" s="2">
        <f>IF(MONTH(Table157[[#This Row],[Date]])=2,28,DAY(DATE(YEAR(Table157[[#This Row],[Date]]),MONTH(Table157[[#This Row],[Date]])+1,1)-1))</f>
        <v>30</v>
      </c>
      <c r="S158" s="2">
        <f ca="1">SUM(OFFSET(Table157[[#Headers],[Days in month]],1,0):Table157[[#This Row],[Days in month]])</f>
        <v>4319</v>
      </c>
      <c r="T158" s="37">
        <f>InterestRate*AmortizationMultiplier*IF(ISNUMBER(SEARCH("Actual",$C$7)),Table157[[#This Row],[Days in month]]/365,1/12)</f>
        <v>2.8749999999999995E-3</v>
      </c>
    </row>
    <row r="159" spans="2:20" x14ac:dyDescent="0.2">
      <c r="B159" s="1">
        <f t="shared" si="6"/>
        <v>50191</v>
      </c>
      <c r="C159" s="2">
        <f t="shared" si="8"/>
        <v>143</v>
      </c>
      <c r="D159" s="3">
        <f t="shared" si="7"/>
        <v>0</v>
      </c>
      <c r="E159" s="3">
        <f>ROUND(Table157[[#This Row],[Beginning Balance]]*Table157[[#This Row],[Monthly Interest Rate]],2)</f>
        <v>0</v>
      </c>
      <c r="F159" s="3">
        <f t="shared" si="9"/>
        <v>113</v>
      </c>
      <c r="G159" s="23">
        <f>IFERROR(IF($C$13="No","N/A",IF(Table157[[#This Row],[Period]]=1,$C$6,PMT(InterestRate*AmortizationMultiplier/12,Table157[[#This Row],[Am Thru]],-Table157[[#This Row],[Beginning Balance]]))),0)</f>
        <v>0</v>
      </c>
      <c r="H159" s="3">
        <f>MAX(0,IF(C159=$C$4,D159,ROUND(IF($C$3="Fixed Principal",$C$6-Table157[[#This Row],[Interest]],IF($C$3="Interest Only",Table157[[#This Row],[Beginning Balance]]*ROUND(1-(1-IF($C$11="No",$E$8,1))^(1/12),6),MIN(IF($C$13="Yes",Table157[[#This Row],[Payment Amount (Reamortized)]],$C$6)-Table157[[#This Row],[Interest]],Table157[[#This Row],[Beginning Balance]]))),2)))</f>
        <v>0</v>
      </c>
      <c r="I159" s="3">
        <f>_xlfn.SINGLE(IF($C$3="Line of Credit",0,ROUND(MAX(MIN(IF($C$10="No",$E$7,VLOOKUP(Table157[[#This Row],[Period]],Forecast!$H$2:$L$1048576,4,FALSE))*Table157[[#This Row],[Beginning Balance]],Table157[[#This Row],[Beginning Balance]]-Table157[[#This Row],[Principal]]),0),2)))</f>
        <v>0</v>
      </c>
      <c r="J159" s="3">
        <f>ROUND(MIN(Table157[[#This Row],[Beginning Balance]]*IF($C$8="No",$E$3,VLOOKUP(Table157[[#This Row],[Period]],Forecast!$H$2:$L$1048576,2,FALSE)),Table157[[#This Row],[Beginning Balance]]-Table157[[#This Row],[Principal]]-Table157[[#This Row],[Prepayments]]),2)</f>
        <v>0</v>
      </c>
      <c r="K159" s="3">
        <f>ROUND(Table157[[#This Row],[Defaulted Principal]]*IF($C$9="No",$E$4,VLOOKUP(Table157[[#This Row],[Period]],Forecast!$H$2:$L$1048576,3,FALSE)),2)</f>
        <v>0</v>
      </c>
      <c r="L159" s="2">
        <f>Table157[[#This Row],[Period]]+$E$9</f>
        <v>155</v>
      </c>
      <c r="M159" s="3">
        <f>Table157[[#This Row],[Defaulted Principal]]-Table157[[#This Row],[Estimated Loss]]</f>
        <v>0</v>
      </c>
      <c r="N159" s="3">
        <f>IFERROR(VLOOKUP(Table157[[#This Row],[Period]],$L$16:$M$385,2,FALSE),0)</f>
        <v>0</v>
      </c>
      <c r="O159" s="3">
        <f>Table157[[#This Row],[Beginning Balance]]-Table157[[#This Row],[Principal]]-Table157[[#This Row],[Prepayments]]-Table157[[#This Row],[Defaulted Principal]]</f>
        <v>0</v>
      </c>
      <c r="P159" s="3">
        <f>Table157[[#This Row],[Principal]]+Table157[[#This Row],[Interest]]+Table157[[#This Row],[Prepayments]]+Table157[[#This Row],[RecoveredAmount]]</f>
        <v>0</v>
      </c>
      <c r="Q159" s="3">
        <f ca="1">ROUND(Table157[[#This Row],[Cash Flow]]/((1+ActualRateToUse)^(IF(ISNUMBER(SEARCH("Actual",$C$7)),Table157[[#This Row],[Running Total]]/365,Table157[[#This Row],[Period]]/12))),2)</f>
        <v>0</v>
      </c>
      <c r="R159" s="2">
        <f>IF(MONTH(Table157[[#This Row],[Date]])=2,28,DAY(DATE(YEAR(Table157[[#This Row],[Date]]),MONTH(Table157[[#This Row],[Date]])+1,1)-1))</f>
        <v>31</v>
      </c>
      <c r="S159" s="2">
        <f ca="1">SUM(OFFSET(Table157[[#Headers],[Days in month]],1,0):Table157[[#This Row],[Days in month]])</f>
        <v>4350</v>
      </c>
      <c r="T159" s="37">
        <f>InterestRate*AmortizationMultiplier*IF(ISNUMBER(SEARCH("Actual",$C$7)),Table157[[#This Row],[Days in month]]/365,1/12)</f>
        <v>2.9708333333333331E-3</v>
      </c>
    </row>
    <row r="160" spans="2:20" x14ac:dyDescent="0.2">
      <c r="B160" s="1">
        <f t="shared" si="6"/>
        <v>50221</v>
      </c>
      <c r="C160" s="2">
        <f t="shared" si="8"/>
        <v>144</v>
      </c>
      <c r="D160" s="3">
        <f t="shared" si="7"/>
        <v>0</v>
      </c>
      <c r="E160" s="3">
        <f>ROUND(Table157[[#This Row],[Beginning Balance]]*Table157[[#This Row],[Monthly Interest Rate]],2)</f>
        <v>0</v>
      </c>
      <c r="F160" s="3">
        <f t="shared" si="9"/>
        <v>112</v>
      </c>
      <c r="G160" s="23">
        <f>IFERROR(IF($C$13="No","N/A",IF(Table157[[#This Row],[Period]]=1,$C$6,PMT(InterestRate*AmortizationMultiplier/12,Table157[[#This Row],[Am Thru]],-Table157[[#This Row],[Beginning Balance]]))),0)</f>
        <v>0</v>
      </c>
      <c r="H160" s="3">
        <f>MAX(0,IF(C160=$C$4,D160,ROUND(IF($C$3="Fixed Principal",$C$6-Table157[[#This Row],[Interest]],IF($C$3="Interest Only",Table157[[#This Row],[Beginning Balance]]*ROUND(1-(1-IF($C$11="No",$E$8,1))^(1/12),6),MIN(IF($C$13="Yes",Table157[[#This Row],[Payment Amount (Reamortized)]],$C$6)-Table157[[#This Row],[Interest]],Table157[[#This Row],[Beginning Balance]]))),2)))</f>
        <v>0</v>
      </c>
      <c r="I160" s="3">
        <f>_xlfn.SINGLE(IF($C$3="Line of Credit",0,ROUND(MAX(MIN(IF($C$10="No",$E$7,VLOOKUP(Table157[[#This Row],[Period]],Forecast!$H$2:$L$1048576,4,FALSE))*Table157[[#This Row],[Beginning Balance]],Table157[[#This Row],[Beginning Balance]]-Table157[[#This Row],[Principal]]),0),2)))</f>
        <v>0</v>
      </c>
      <c r="J160" s="3">
        <f>ROUND(MIN(Table157[[#This Row],[Beginning Balance]]*IF($C$8="No",$E$3,VLOOKUP(Table157[[#This Row],[Period]],Forecast!$H$2:$L$1048576,2,FALSE)),Table157[[#This Row],[Beginning Balance]]-Table157[[#This Row],[Principal]]-Table157[[#This Row],[Prepayments]]),2)</f>
        <v>0</v>
      </c>
      <c r="K160" s="3">
        <f>ROUND(Table157[[#This Row],[Defaulted Principal]]*IF($C$9="No",$E$4,VLOOKUP(Table157[[#This Row],[Period]],Forecast!$H$2:$L$1048576,3,FALSE)),2)</f>
        <v>0</v>
      </c>
      <c r="L160" s="2">
        <f>Table157[[#This Row],[Period]]+$E$9</f>
        <v>156</v>
      </c>
      <c r="M160" s="3">
        <f>Table157[[#This Row],[Defaulted Principal]]-Table157[[#This Row],[Estimated Loss]]</f>
        <v>0</v>
      </c>
      <c r="N160" s="3">
        <f>IFERROR(VLOOKUP(Table157[[#This Row],[Period]],$L$16:$M$385,2,FALSE),0)</f>
        <v>0</v>
      </c>
      <c r="O160" s="3">
        <f>Table157[[#This Row],[Beginning Balance]]-Table157[[#This Row],[Principal]]-Table157[[#This Row],[Prepayments]]-Table157[[#This Row],[Defaulted Principal]]</f>
        <v>0</v>
      </c>
      <c r="P160" s="3">
        <f>Table157[[#This Row],[Principal]]+Table157[[#This Row],[Interest]]+Table157[[#This Row],[Prepayments]]+Table157[[#This Row],[RecoveredAmount]]</f>
        <v>0</v>
      </c>
      <c r="Q160" s="3">
        <f ca="1">ROUND(Table157[[#This Row],[Cash Flow]]/((1+ActualRateToUse)^(IF(ISNUMBER(SEARCH("Actual",$C$7)),Table157[[#This Row],[Running Total]]/365,Table157[[#This Row],[Period]]/12))),2)</f>
        <v>0</v>
      </c>
      <c r="R160" s="2">
        <f>IF(MONTH(Table157[[#This Row],[Date]])=2,28,DAY(DATE(YEAR(Table157[[#This Row],[Date]]),MONTH(Table157[[#This Row],[Date]])+1,1)-1))</f>
        <v>30</v>
      </c>
      <c r="S160" s="2">
        <f ca="1">SUM(OFFSET(Table157[[#Headers],[Days in month]],1,0):Table157[[#This Row],[Days in month]])</f>
        <v>4380</v>
      </c>
      <c r="T160" s="37">
        <f>InterestRate*AmortizationMultiplier*IF(ISNUMBER(SEARCH("Actual",$C$7)),Table157[[#This Row],[Days in month]]/365,1/12)</f>
        <v>2.8749999999999995E-3</v>
      </c>
    </row>
    <row r="161" spans="2:20" x14ac:dyDescent="0.2">
      <c r="B161" s="1">
        <f t="shared" si="6"/>
        <v>50252</v>
      </c>
      <c r="C161" s="2">
        <f t="shared" si="8"/>
        <v>145</v>
      </c>
      <c r="D161" s="3">
        <f t="shared" si="7"/>
        <v>0</v>
      </c>
      <c r="E161" s="3">
        <f>ROUND(Table157[[#This Row],[Beginning Balance]]*Table157[[#This Row],[Monthly Interest Rate]],2)</f>
        <v>0</v>
      </c>
      <c r="F161" s="3">
        <f t="shared" si="9"/>
        <v>111</v>
      </c>
      <c r="G161" s="23">
        <f>IFERROR(IF($C$13="No","N/A",IF(Table157[[#This Row],[Period]]=1,$C$6,PMT(InterestRate*AmortizationMultiplier/12,Table157[[#This Row],[Am Thru]],-Table157[[#This Row],[Beginning Balance]]))),0)</f>
        <v>0</v>
      </c>
      <c r="H161" s="3">
        <f>MAX(0,IF(C161=$C$4,D161,ROUND(IF($C$3="Fixed Principal",$C$6-Table157[[#This Row],[Interest]],IF($C$3="Interest Only",Table157[[#This Row],[Beginning Balance]]*ROUND(1-(1-IF($C$11="No",$E$8,1))^(1/12),6),MIN(IF($C$13="Yes",Table157[[#This Row],[Payment Amount (Reamortized)]],$C$6)-Table157[[#This Row],[Interest]],Table157[[#This Row],[Beginning Balance]]))),2)))</f>
        <v>0</v>
      </c>
      <c r="I161" s="3">
        <f>_xlfn.SINGLE(IF($C$3="Line of Credit",0,ROUND(MAX(MIN(IF($C$10="No",$E$7,VLOOKUP(Table157[[#This Row],[Period]],Forecast!$H$2:$L$1048576,4,FALSE))*Table157[[#This Row],[Beginning Balance]],Table157[[#This Row],[Beginning Balance]]-Table157[[#This Row],[Principal]]),0),2)))</f>
        <v>0</v>
      </c>
      <c r="J161" s="3">
        <f>ROUND(MIN(Table157[[#This Row],[Beginning Balance]]*IF($C$8="No",$E$3,VLOOKUP(Table157[[#This Row],[Period]],Forecast!$H$2:$L$1048576,2,FALSE)),Table157[[#This Row],[Beginning Balance]]-Table157[[#This Row],[Principal]]-Table157[[#This Row],[Prepayments]]),2)</f>
        <v>0</v>
      </c>
      <c r="K161" s="3">
        <f>ROUND(Table157[[#This Row],[Defaulted Principal]]*IF($C$9="No",$E$4,VLOOKUP(Table157[[#This Row],[Period]],Forecast!$H$2:$L$1048576,3,FALSE)),2)</f>
        <v>0</v>
      </c>
      <c r="L161" s="2">
        <f>Table157[[#This Row],[Period]]+$E$9</f>
        <v>157</v>
      </c>
      <c r="M161" s="3">
        <f>Table157[[#This Row],[Defaulted Principal]]-Table157[[#This Row],[Estimated Loss]]</f>
        <v>0</v>
      </c>
      <c r="N161" s="3">
        <f>IFERROR(VLOOKUP(Table157[[#This Row],[Period]],$L$16:$M$385,2,FALSE),0)</f>
        <v>0</v>
      </c>
      <c r="O161" s="3">
        <f>Table157[[#This Row],[Beginning Balance]]-Table157[[#This Row],[Principal]]-Table157[[#This Row],[Prepayments]]-Table157[[#This Row],[Defaulted Principal]]</f>
        <v>0</v>
      </c>
      <c r="P161" s="3">
        <f>Table157[[#This Row],[Principal]]+Table157[[#This Row],[Interest]]+Table157[[#This Row],[Prepayments]]+Table157[[#This Row],[RecoveredAmount]]</f>
        <v>0</v>
      </c>
      <c r="Q161" s="3">
        <f ca="1">ROUND(Table157[[#This Row],[Cash Flow]]/((1+ActualRateToUse)^(IF(ISNUMBER(SEARCH("Actual",$C$7)),Table157[[#This Row],[Running Total]]/365,Table157[[#This Row],[Period]]/12))),2)</f>
        <v>0</v>
      </c>
      <c r="R161" s="2">
        <f>IF(MONTH(Table157[[#This Row],[Date]])=2,28,DAY(DATE(YEAR(Table157[[#This Row],[Date]]),MONTH(Table157[[#This Row],[Date]])+1,1)-1))</f>
        <v>31</v>
      </c>
      <c r="S161" s="2">
        <f ca="1">SUM(OFFSET(Table157[[#Headers],[Days in month]],1,0):Table157[[#This Row],[Days in month]])</f>
        <v>4411</v>
      </c>
      <c r="T161" s="37">
        <f>InterestRate*AmortizationMultiplier*IF(ISNUMBER(SEARCH("Actual",$C$7)),Table157[[#This Row],[Days in month]]/365,1/12)</f>
        <v>2.9708333333333331E-3</v>
      </c>
    </row>
    <row r="162" spans="2:20" x14ac:dyDescent="0.2">
      <c r="B162" s="1">
        <f t="shared" si="6"/>
        <v>50283</v>
      </c>
      <c r="C162" s="2">
        <f t="shared" si="8"/>
        <v>146</v>
      </c>
      <c r="D162" s="3">
        <f t="shared" si="7"/>
        <v>0</v>
      </c>
      <c r="E162" s="3">
        <f>ROUND(Table157[[#This Row],[Beginning Balance]]*Table157[[#This Row],[Monthly Interest Rate]],2)</f>
        <v>0</v>
      </c>
      <c r="F162" s="3">
        <f t="shared" si="9"/>
        <v>110</v>
      </c>
      <c r="G162" s="23">
        <f>IFERROR(IF($C$13="No","N/A",IF(Table157[[#This Row],[Period]]=1,$C$6,PMT(InterestRate*AmortizationMultiplier/12,Table157[[#This Row],[Am Thru]],-Table157[[#This Row],[Beginning Balance]]))),0)</f>
        <v>0</v>
      </c>
      <c r="H162" s="3">
        <f>MAX(0,IF(C162=$C$4,D162,ROUND(IF($C$3="Fixed Principal",$C$6-Table157[[#This Row],[Interest]],IF($C$3="Interest Only",Table157[[#This Row],[Beginning Balance]]*ROUND(1-(1-IF($C$11="No",$E$8,1))^(1/12),6),MIN(IF($C$13="Yes",Table157[[#This Row],[Payment Amount (Reamortized)]],$C$6)-Table157[[#This Row],[Interest]],Table157[[#This Row],[Beginning Balance]]))),2)))</f>
        <v>0</v>
      </c>
      <c r="I162" s="3">
        <f>_xlfn.SINGLE(IF($C$3="Line of Credit",0,ROUND(MAX(MIN(IF($C$10="No",$E$7,VLOOKUP(Table157[[#This Row],[Period]],Forecast!$H$2:$L$1048576,4,FALSE))*Table157[[#This Row],[Beginning Balance]],Table157[[#This Row],[Beginning Balance]]-Table157[[#This Row],[Principal]]),0),2)))</f>
        <v>0</v>
      </c>
      <c r="J162" s="3">
        <f>ROUND(MIN(Table157[[#This Row],[Beginning Balance]]*IF($C$8="No",$E$3,VLOOKUP(Table157[[#This Row],[Period]],Forecast!$H$2:$L$1048576,2,FALSE)),Table157[[#This Row],[Beginning Balance]]-Table157[[#This Row],[Principal]]-Table157[[#This Row],[Prepayments]]),2)</f>
        <v>0</v>
      </c>
      <c r="K162" s="3">
        <f>ROUND(Table157[[#This Row],[Defaulted Principal]]*IF($C$9="No",$E$4,VLOOKUP(Table157[[#This Row],[Period]],Forecast!$H$2:$L$1048576,3,FALSE)),2)</f>
        <v>0</v>
      </c>
      <c r="L162" s="2">
        <f>Table157[[#This Row],[Period]]+$E$9</f>
        <v>158</v>
      </c>
      <c r="M162" s="3">
        <f>Table157[[#This Row],[Defaulted Principal]]-Table157[[#This Row],[Estimated Loss]]</f>
        <v>0</v>
      </c>
      <c r="N162" s="3">
        <f>IFERROR(VLOOKUP(Table157[[#This Row],[Period]],$L$16:$M$385,2,FALSE),0)</f>
        <v>0</v>
      </c>
      <c r="O162" s="3">
        <f>Table157[[#This Row],[Beginning Balance]]-Table157[[#This Row],[Principal]]-Table157[[#This Row],[Prepayments]]-Table157[[#This Row],[Defaulted Principal]]</f>
        <v>0</v>
      </c>
      <c r="P162" s="3">
        <f>Table157[[#This Row],[Principal]]+Table157[[#This Row],[Interest]]+Table157[[#This Row],[Prepayments]]+Table157[[#This Row],[RecoveredAmount]]</f>
        <v>0</v>
      </c>
      <c r="Q162" s="3">
        <f ca="1">ROUND(Table157[[#This Row],[Cash Flow]]/((1+ActualRateToUse)^(IF(ISNUMBER(SEARCH("Actual",$C$7)),Table157[[#This Row],[Running Total]]/365,Table157[[#This Row],[Period]]/12))),2)</f>
        <v>0</v>
      </c>
      <c r="R162" s="2">
        <f>IF(MONTH(Table157[[#This Row],[Date]])=2,28,DAY(DATE(YEAR(Table157[[#This Row],[Date]]),MONTH(Table157[[#This Row],[Date]])+1,1)-1))</f>
        <v>31</v>
      </c>
      <c r="S162" s="2">
        <f ca="1">SUM(OFFSET(Table157[[#Headers],[Days in month]],1,0):Table157[[#This Row],[Days in month]])</f>
        <v>4442</v>
      </c>
      <c r="T162" s="37">
        <f>InterestRate*AmortizationMultiplier*IF(ISNUMBER(SEARCH("Actual",$C$7)),Table157[[#This Row],[Days in month]]/365,1/12)</f>
        <v>2.9708333333333331E-3</v>
      </c>
    </row>
    <row r="163" spans="2:20" x14ac:dyDescent="0.2">
      <c r="B163" s="1">
        <f t="shared" si="6"/>
        <v>50313</v>
      </c>
      <c r="C163" s="2">
        <f t="shared" si="8"/>
        <v>147</v>
      </c>
      <c r="D163" s="3">
        <f t="shared" si="7"/>
        <v>0</v>
      </c>
      <c r="E163" s="3">
        <f>ROUND(Table157[[#This Row],[Beginning Balance]]*Table157[[#This Row],[Monthly Interest Rate]],2)</f>
        <v>0</v>
      </c>
      <c r="F163" s="3">
        <f t="shared" si="9"/>
        <v>109</v>
      </c>
      <c r="G163" s="23">
        <f>IFERROR(IF($C$13="No","N/A",IF(Table157[[#This Row],[Period]]=1,$C$6,PMT(InterestRate*AmortizationMultiplier/12,Table157[[#This Row],[Am Thru]],-Table157[[#This Row],[Beginning Balance]]))),0)</f>
        <v>0</v>
      </c>
      <c r="H163" s="3">
        <f>MAX(0,IF(C163=$C$4,D163,ROUND(IF($C$3="Fixed Principal",$C$6-Table157[[#This Row],[Interest]],IF($C$3="Interest Only",Table157[[#This Row],[Beginning Balance]]*ROUND(1-(1-IF($C$11="No",$E$8,1))^(1/12),6),MIN(IF($C$13="Yes",Table157[[#This Row],[Payment Amount (Reamortized)]],$C$6)-Table157[[#This Row],[Interest]],Table157[[#This Row],[Beginning Balance]]))),2)))</f>
        <v>0</v>
      </c>
      <c r="I163" s="3">
        <f>_xlfn.SINGLE(IF($C$3="Line of Credit",0,ROUND(MAX(MIN(IF($C$10="No",$E$7,VLOOKUP(Table157[[#This Row],[Period]],Forecast!$H$2:$L$1048576,4,FALSE))*Table157[[#This Row],[Beginning Balance]],Table157[[#This Row],[Beginning Balance]]-Table157[[#This Row],[Principal]]),0),2)))</f>
        <v>0</v>
      </c>
      <c r="J163" s="3">
        <f>ROUND(MIN(Table157[[#This Row],[Beginning Balance]]*IF($C$8="No",$E$3,VLOOKUP(Table157[[#This Row],[Period]],Forecast!$H$2:$L$1048576,2,FALSE)),Table157[[#This Row],[Beginning Balance]]-Table157[[#This Row],[Principal]]-Table157[[#This Row],[Prepayments]]),2)</f>
        <v>0</v>
      </c>
      <c r="K163" s="3">
        <f>ROUND(Table157[[#This Row],[Defaulted Principal]]*IF($C$9="No",$E$4,VLOOKUP(Table157[[#This Row],[Period]],Forecast!$H$2:$L$1048576,3,FALSE)),2)</f>
        <v>0</v>
      </c>
      <c r="L163" s="2">
        <f>Table157[[#This Row],[Period]]+$E$9</f>
        <v>159</v>
      </c>
      <c r="M163" s="3">
        <f>Table157[[#This Row],[Defaulted Principal]]-Table157[[#This Row],[Estimated Loss]]</f>
        <v>0</v>
      </c>
      <c r="N163" s="3">
        <f>IFERROR(VLOOKUP(Table157[[#This Row],[Period]],$L$16:$M$385,2,FALSE),0)</f>
        <v>0</v>
      </c>
      <c r="O163" s="3">
        <f>Table157[[#This Row],[Beginning Balance]]-Table157[[#This Row],[Principal]]-Table157[[#This Row],[Prepayments]]-Table157[[#This Row],[Defaulted Principal]]</f>
        <v>0</v>
      </c>
      <c r="P163" s="3">
        <f>Table157[[#This Row],[Principal]]+Table157[[#This Row],[Interest]]+Table157[[#This Row],[Prepayments]]+Table157[[#This Row],[RecoveredAmount]]</f>
        <v>0</v>
      </c>
      <c r="Q163" s="3">
        <f ca="1">ROUND(Table157[[#This Row],[Cash Flow]]/((1+ActualRateToUse)^(IF(ISNUMBER(SEARCH("Actual",$C$7)),Table157[[#This Row],[Running Total]]/365,Table157[[#This Row],[Period]]/12))),2)</f>
        <v>0</v>
      </c>
      <c r="R163" s="2">
        <f>IF(MONTH(Table157[[#This Row],[Date]])=2,28,DAY(DATE(YEAR(Table157[[#This Row],[Date]]),MONTH(Table157[[#This Row],[Date]])+1,1)-1))</f>
        <v>30</v>
      </c>
      <c r="S163" s="2">
        <f ca="1">SUM(OFFSET(Table157[[#Headers],[Days in month]],1,0):Table157[[#This Row],[Days in month]])</f>
        <v>4472</v>
      </c>
      <c r="T163" s="37">
        <f>InterestRate*AmortizationMultiplier*IF(ISNUMBER(SEARCH("Actual",$C$7)),Table157[[#This Row],[Days in month]]/365,1/12)</f>
        <v>2.8749999999999995E-3</v>
      </c>
    </row>
    <row r="164" spans="2:20" x14ac:dyDescent="0.2">
      <c r="B164" s="1">
        <f t="shared" si="6"/>
        <v>50344</v>
      </c>
      <c r="C164" s="2">
        <f t="shared" si="8"/>
        <v>148</v>
      </c>
      <c r="D164" s="3">
        <f t="shared" si="7"/>
        <v>0</v>
      </c>
      <c r="E164" s="3">
        <f>ROUND(Table157[[#This Row],[Beginning Balance]]*Table157[[#This Row],[Monthly Interest Rate]],2)</f>
        <v>0</v>
      </c>
      <c r="F164" s="3">
        <f t="shared" si="9"/>
        <v>108</v>
      </c>
      <c r="G164" s="23">
        <f>IFERROR(IF($C$13="No","N/A",IF(Table157[[#This Row],[Period]]=1,$C$6,PMT(InterestRate*AmortizationMultiplier/12,Table157[[#This Row],[Am Thru]],-Table157[[#This Row],[Beginning Balance]]))),0)</f>
        <v>0</v>
      </c>
      <c r="H164" s="3">
        <f>MAX(0,IF(C164=$C$4,D164,ROUND(IF($C$3="Fixed Principal",$C$6-Table157[[#This Row],[Interest]],IF($C$3="Interest Only",Table157[[#This Row],[Beginning Balance]]*ROUND(1-(1-IF($C$11="No",$E$8,1))^(1/12),6),MIN(IF($C$13="Yes",Table157[[#This Row],[Payment Amount (Reamortized)]],$C$6)-Table157[[#This Row],[Interest]],Table157[[#This Row],[Beginning Balance]]))),2)))</f>
        <v>0</v>
      </c>
      <c r="I164" s="3">
        <f>_xlfn.SINGLE(IF($C$3="Line of Credit",0,ROUND(MAX(MIN(IF($C$10="No",$E$7,VLOOKUP(Table157[[#This Row],[Period]],Forecast!$H$2:$L$1048576,4,FALSE))*Table157[[#This Row],[Beginning Balance]],Table157[[#This Row],[Beginning Balance]]-Table157[[#This Row],[Principal]]),0),2)))</f>
        <v>0</v>
      </c>
      <c r="J164" s="3">
        <f>ROUND(MIN(Table157[[#This Row],[Beginning Balance]]*IF($C$8="No",$E$3,VLOOKUP(Table157[[#This Row],[Period]],Forecast!$H$2:$L$1048576,2,FALSE)),Table157[[#This Row],[Beginning Balance]]-Table157[[#This Row],[Principal]]-Table157[[#This Row],[Prepayments]]),2)</f>
        <v>0</v>
      </c>
      <c r="K164" s="3">
        <f>ROUND(Table157[[#This Row],[Defaulted Principal]]*IF($C$9="No",$E$4,VLOOKUP(Table157[[#This Row],[Period]],Forecast!$H$2:$L$1048576,3,FALSE)),2)</f>
        <v>0</v>
      </c>
      <c r="L164" s="2">
        <f>Table157[[#This Row],[Period]]+$E$9</f>
        <v>160</v>
      </c>
      <c r="M164" s="3">
        <f>Table157[[#This Row],[Defaulted Principal]]-Table157[[#This Row],[Estimated Loss]]</f>
        <v>0</v>
      </c>
      <c r="N164" s="3">
        <f>IFERROR(VLOOKUP(Table157[[#This Row],[Period]],$L$16:$M$385,2,FALSE),0)</f>
        <v>0</v>
      </c>
      <c r="O164" s="3">
        <f>Table157[[#This Row],[Beginning Balance]]-Table157[[#This Row],[Principal]]-Table157[[#This Row],[Prepayments]]-Table157[[#This Row],[Defaulted Principal]]</f>
        <v>0</v>
      </c>
      <c r="P164" s="3">
        <f>Table157[[#This Row],[Principal]]+Table157[[#This Row],[Interest]]+Table157[[#This Row],[Prepayments]]+Table157[[#This Row],[RecoveredAmount]]</f>
        <v>0</v>
      </c>
      <c r="Q164" s="3">
        <f ca="1">ROUND(Table157[[#This Row],[Cash Flow]]/((1+ActualRateToUse)^(IF(ISNUMBER(SEARCH("Actual",$C$7)),Table157[[#This Row],[Running Total]]/365,Table157[[#This Row],[Period]]/12))),2)</f>
        <v>0</v>
      </c>
      <c r="R164" s="2">
        <f>IF(MONTH(Table157[[#This Row],[Date]])=2,28,DAY(DATE(YEAR(Table157[[#This Row],[Date]]),MONTH(Table157[[#This Row],[Date]])+1,1)-1))</f>
        <v>31</v>
      </c>
      <c r="S164" s="2">
        <f ca="1">SUM(OFFSET(Table157[[#Headers],[Days in month]],1,0):Table157[[#This Row],[Days in month]])</f>
        <v>4503</v>
      </c>
      <c r="T164" s="37">
        <f>InterestRate*AmortizationMultiplier*IF(ISNUMBER(SEARCH("Actual",$C$7)),Table157[[#This Row],[Days in month]]/365,1/12)</f>
        <v>2.9708333333333331E-3</v>
      </c>
    </row>
    <row r="165" spans="2:20" x14ac:dyDescent="0.2">
      <c r="B165" s="1">
        <f t="shared" si="6"/>
        <v>50374</v>
      </c>
      <c r="C165" s="2">
        <f t="shared" si="8"/>
        <v>149</v>
      </c>
      <c r="D165" s="3">
        <f t="shared" si="7"/>
        <v>0</v>
      </c>
      <c r="E165" s="3">
        <f>ROUND(Table157[[#This Row],[Beginning Balance]]*Table157[[#This Row],[Monthly Interest Rate]],2)</f>
        <v>0</v>
      </c>
      <c r="F165" s="3">
        <f t="shared" si="9"/>
        <v>107</v>
      </c>
      <c r="G165" s="23">
        <f>IFERROR(IF($C$13="No","N/A",IF(Table157[[#This Row],[Period]]=1,$C$6,PMT(InterestRate*AmortizationMultiplier/12,Table157[[#This Row],[Am Thru]],-Table157[[#This Row],[Beginning Balance]]))),0)</f>
        <v>0</v>
      </c>
      <c r="H165" s="3">
        <f>MAX(0,IF(C165=$C$4,D165,ROUND(IF($C$3="Fixed Principal",$C$6-Table157[[#This Row],[Interest]],IF($C$3="Interest Only",Table157[[#This Row],[Beginning Balance]]*ROUND(1-(1-IF($C$11="No",$E$8,1))^(1/12),6),MIN(IF($C$13="Yes",Table157[[#This Row],[Payment Amount (Reamortized)]],$C$6)-Table157[[#This Row],[Interest]],Table157[[#This Row],[Beginning Balance]]))),2)))</f>
        <v>0</v>
      </c>
      <c r="I165" s="3">
        <f>_xlfn.SINGLE(IF($C$3="Line of Credit",0,ROUND(MAX(MIN(IF($C$10="No",$E$7,VLOOKUP(Table157[[#This Row],[Period]],Forecast!$H$2:$L$1048576,4,FALSE))*Table157[[#This Row],[Beginning Balance]],Table157[[#This Row],[Beginning Balance]]-Table157[[#This Row],[Principal]]),0),2)))</f>
        <v>0</v>
      </c>
      <c r="J165" s="3">
        <f>ROUND(MIN(Table157[[#This Row],[Beginning Balance]]*IF($C$8="No",$E$3,VLOOKUP(Table157[[#This Row],[Period]],Forecast!$H$2:$L$1048576,2,FALSE)),Table157[[#This Row],[Beginning Balance]]-Table157[[#This Row],[Principal]]-Table157[[#This Row],[Prepayments]]),2)</f>
        <v>0</v>
      </c>
      <c r="K165" s="3">
        <f>ROUND(Table157[[#This Row],[Defaulted Principal]]*IF($C$9="No",$E$4,VLOOKUP(Table157[[#This Row],[Period]],Forecast!$H$2:$L$1048576,3,FALSE)),2)</f>
        <v>0</v>
      </c>
      <c r="L165" s="2">
        <f>Table157[[#This Row],[Period]]+$E$9</f>
        <v>161</v>
      </c>
      <c r="M165" s="3">
        <f>Table157[[#This Row],[Defaulted Principal]]-Table157[[#This Row],[Estimated Loss]]</f>
        <v>0</v>
      </c>
      <c r="N165" s="3">
        <f>IFERROR(VLOOKUP(Table157[[#This Row],[Period]],$L$16:$M$385,2,FALSE),0)</f>
        <v>0</v>
      </c>
      <c r="O165" s="3">
        <f>Table157[[#This Row],[Beginning Balance]]-Table157[[#This Row],[Principal]]-Table157[[#This Row],[Prepayments]]-Table157[[#This Row],[Defaulted Principal]]</f>
        <v>0</v>
      </c>
      <c r="P165" s="3">
        <f>Table157[[#This Row],[Principal]]+Table157[[#This Row],[Interest]]+Table157[[#This Row],[Prepayments]]+Table157[[#This Row],[RecoveredAmount]]</f>
        <v>0</v>
      </c>
      <c r="Q165" s="3">
        <f ca="1">ROUND(Table157[[#This Row],[Cash Flow]]/((1+ActualRateToUse)^(IF(ISNUMBER(SEARCH("Actual",$C$7)),Table157[[#This Row],[Running Total]]/365,Table157[[#This Row],[Period]]/12))),2)</f>
        <v>0</v>
      </c>
      <c r="R165" s="2">
        <f>IF(MONTH(Table157[[#This Row],[Date]])=2,28,DAY(DATE(YEAR(Table157[[#This Row],[Date]]),MONTH(Table157[[#This Row],[Date]])+1,1)-1))</f>
        <v>30</v>
      </c>
      <c r="S165" s="2">
        <f ca="1">SUM(OFFSET(Table157[[#Headers],[Days in month]],1,0):Table157[[#This Row],[Days in month]])</f>
        <v>4533</v>
      </c>
      <c r="T165" s="37">
        <f>InterestRate*AmortizationMultiplier*IF(ISNUMBER(SEARCH("Actual",$C$7)),Table157[[#This Row],[Days in month]]/365,1/12)</f>
        <v>2.8749999999999995E-3</v>
      </c>
    </row>
    <row r="166" spans="2:20" x14ac:dyDescent="0.2">
      <c r="B166" s="1">
        <f t="shared" si="6"/>
        <v>50405</v>
      </c>
      <c r="C166" s="2">
        <f t="shared" si="8"/>
        <v>150</v>
      </c>
      <c r="D166" s="3">
        <f t="shared" si="7"/>
        <v>0</v>
      </c>
      <c r="E166" s="3">
        <f>ROUND(Table157[[#This Row],[Beginning Balance]]*Table157[[#This Row],[Monthly Interest Rate]],2)</f>
        <v>0</v>
      </c>
      <c r="F166" s="3">
        <f t="shared" si="9"/>
        <v>106</v>
      </c>
      <c r="G166" s="23">
        <f>IFERROR(IF($C$13="No","N/A",IF(Table157[[#This Row],[Period]]=1,$C$6,PMT(InterestRate*AmortizationMultiplier/12,Table157[[#This Row],[Am Thru]],-Table157[[#This Row],[Beginning Balance]]))),0)</f>
        <v>0</v>
      </c>
      <c r="H166" s="3">
        <f>MAX(0,IF(C166=$C$4,D166,ROUND(IF($C$3="Fixed Principal",$C$6-Table157[[#This Row],[Interest]],IF($C$3="Interest Only",Table157[[#This Row],[Beginning Balance]]*ROUND(1-(1-IF($C$11="No",$E$8,1))^(1/12),6),MIN(IF($C$13="Yes",Table157[[#This Row],[Payment Amount (Reamortized)]],$C$6)-Table157[[#This Row],[Interest]],Table157[[#This Row],[Beginning Balance]]))),2)))</f>
        <v>0</v>
      </c>
      <c r="I166" s="3">
        <f>_xlfn.SINGLE(IF($C$3="Line of Credit",0,ROUND(MAX(MIN(IF($C$10="No",$E$7,VLOOKUP(Table157[[#This Row],[Period]],Forecast!$H$2:$L$1048576,4,FALSE))*Table157[[#This Row],[Beginning Balance]],Table157[[#This Row],[Beginning Balance]]-Table157[[#This Row],[Principal]]),0),2)))</f>
        <v>0</v>
      </c>
      <c r="J166" s="3">
        <f>ROUND(MIN(Table157[[#This Row],[Beginning Balance]]*IF($C$8="No",$E$3,VLOOKUP(Table157[[#This Row],[Period]],Forecast!$H$2:$L$1048576,2,FALSE)),Table157[[#This Row],[Beginning Balance]]-Table157[[#This Row],[Principal]]-Table157[[#This Row],[Prepayments]]),2)</f>
        <v>0</v>
      </c>
      <c r="K166" s="3">
        <f>ROUND(Table157[[#This Row],[Defaulted Principal]]*IF($C$9="No",$E$4,VLOOKUP(Table157[[#This Row],[Period]],Forecast!$H$2:$L$1048576,3,FALSE)),2)</f>
        <v>0</v>
      </c>
      <c r="L166" s="2">
        <f>Table157[[#This Row],[Period]]+$E$9</f>
        <v>162</v>
      </c>
      <c r="M166" s="3">
        <f>Table157[[#This Row],[Defaulted Principal]]-Table157[[#This Row],[Estimated Loss]]</f>
        <v>0</v>
      </c>
      <c r="N166" s="3">
        <f>IFERROR(VLOOKUP(Table157[[#This Row],[Period]],$L$16:$M$385,2,FALSE),0)</f>
        <v>0</v>
      </c>
      <c r="O166" s="3">
        <f>Table157[[#This Row],[Beginning Balance]]-Table157[[#This Row],[Principal]]-Table157[[#This Row],[Prepayments]]-Table157[[#This Row],[Defaulted Principal]]</f>
        <v>0</v>
      </c>
      <c r="P166" s="3">
        <f>Table157[[#This Row],[Principal]]+Table157[[#This Row],[Interest]]+Table157[[#This Row],[Prepayments]]+Table157[[#This Row],[RecoveredAmount]]</f>
        <v>0</v>
      </c>
      <c r="Q166" s="3">
        <f ca="1">ROUND(Table157[[#This Row],[Cash Flow]]/((1+ActualRateToUse)^(IF(ISNUMBER(SEARCH("Actual",$C$7)),Table157[[#This Row],[Running Total]]/365,Table157[[#This Row],[Period]]/12))),2)</f>
        <v>0</v>
      </c>
      <c r="R166" s="2">
        <f>IF(MONTH(Table157[[#This Row],[Date]])=2,28,DAY(DATE(YEAR(Table157[[#This Row],[Date]]),MONTH(Table157[[#This Row],[Date]])+1,1)-1))</f>
        <v>31</v>
      </c>
      <c r="S166" s="2">
        <f ca="1">SUM(OFFSET(Table157[[#Headers],[Days in month]],1,0):Table157[[#This Row],[Days in month]])</f>
        <v>4564</v>
      </c>
      <c r="T166" s="37">
        <f>InterestRate*AmortizationMultiplier*IF(ISNUMBER(SEARCH("Actual",$C$7)),Table157[[#This Row],[Days in month]]/365,1/12)</f>
        <v>2.9708333333333331E-3</v>
      </c>
    </row>
    <row r="167" spans="2:20" x14ac:dyDescent="0.2">
      <c r="B167" s="1">
        <f t="shared" si="6"/>
        <v>50436</v>
      </c>
      <c r="C167" s="2">
        <f t="shared" si="8"/>
        <v>151</v>
      </c>
      <c r="D167" s="3">
        <f t="shared" si="7"/>
        <v>0</v>
      </c>
      <c r="E167" s="3">
        <f>ROUND(Table157[[#This Row],[Beginning Balance]]*Table157[[#This Row],[Monthly Interest Rate]],2)</f>
        <v>0</v>
      </c>
      <c r="F167" s="3">
        <f t="shared" si="9"/>
        <v>105</v>
      </c>
      <c r="G167" s="23">
        <f>IFERROR(IF($C$13="No","N/A",IF(Table157[[#This Row],[Period]]=1,$C$6,PMT(InterestRate*AmortizationMultiplier/12,Table157[[#This Row],[Am Thru]],-Table157[[#This Row],[Beginning Balance]]))),0)</f>
        <v>0</v>
      </c>
      <c r="H167" s="3">
        <f>MAX(0,IF(C167=$C$4,D167,ROUND(IF($C$3="Fixed Principal",$C$6-Table157[[#This Row],[Interest]],IF($C$3="Interest Only",Table157[[#This Row],[Beginning Balance]]*ROUND(1-(1-IF($C$11="No",$E$8,1))^(1/12),6),MIN(IF($C$13="Yes",Table157[[#This Row],[Payment Amount (Reamortized)]],$C$6)-Table157[[#This Row],[Interest]],Table157[[#This Row],[Beginning Balance]]))),2)))</f>
        <v>0</v>
      </c>
      <c r="I167" s="3">
        <f>_xlfn.SINGLE(IF($C$3="Line of Credit",0,ROUND(MAX(MIN(IF($C$10="No",$E$7,VLOOKUP(Table157[[#This Row],[Period]],Forecast!$H$2:$L$1048576,4,FALSE))*Table157[[#This Row],[Beginning Balance]],Table157[[#This Row],[Beginning Balance]]-Table157[[#This Row],[Principal]]),0),2)))</f>
        <v>0</v>
      </c>
      <c r="J167" s="3">
        <f>ROUND(MIN(Table157[[#This Row],[Beginning Balance]]*IF($C$8="No",$E$3,VLOOKUP(Table157[[#This Row],[Period]],Forecast!$H$2:$L$1048576,2,FALSE)),Table157[[#This Row],[Beginning Balance]]-Table157[[#This Row],[Principal]]-Table157[[#This Row],[Prepayments]]),2)</f>
        <v>0</v>
      </c>
      <c r="K167" s="3">
        <f>ROUND(Table157[[#This Row],[Defaulted Principal]]*IF($C$9="No",$E$4,VLOOKUP(Table157[[#This Row],[Period]],Forecast!$H$2:$L$1048576,3,FALSE)),2)</f>
        <v>0</v>
      </c>
      <c r="L167" s="2">
        <f>Table157[[#This Row],[Period]]+$E$9</f>
        <v>163</v>
      </c>
      <c r="M167" s="3">
        <f>Table157[[#This Row],[Defaulted Principal]]-Table157[[#This Row],[Estimated Loss]]</f>
        <v>0</v>
      </c>
      <c r="N167" s="3">
        <f>IFERROR(VLOOKUP(Table157[[#This Row],[Period]],$L$16:$M$385,2,FALSE),0)</f>
        <v>0</v>
      </c>
      <c r="O167" s="3">
        <f>Table157[[#This Row],[Beginning Balance]]-Table157[[#This Row],[Principal]]-Table157[[#This Row],[Prepayments]]-Table157[[#This Row],[Defaulted Principal]]</f>
        <v>0</v>
      </c>
      <c r="P167" s="3">
        <f>Table157[[#This Row],[Principal]]+Table157[[#This Row],[Interest]]+Table157[[#This Row],[Prepayments]]+Table157[[#This Row],[RecoveredAmount]]</f>
        <v>0</v>
      </c>
      <c r="Q167" s="3">
        <f ca="1">ROUND(Table157[[#This Row],[Cash Flow]]/((1+ActualRateToUse)^(IF(ISNUMBER(SEARCH("Actual",$C$7)),Table157[[#This Row],[Running Total]]/365,Table157[[#This Row],[Period]]/12))),2)</f>
        <v>0</v>
      </c>
      <c r="R167" s="2">
        <f>IF(MONTH(Table157[[#This Row],[Date]])=2,28,DAY(DATE(YEAR(Table157[[#This Row],[Date]]),MONTH(Table157[[#This Row],[Date]])+1,1)-1))</f>
        <v>31</v>
      </c>
      <c r="S167" s="2">
        <f ca="1">SUM(OFFSET(Table157[[#Headers],[Days in month]],1,0):Table157[[#This Row],[Days in month]])</f>
        <v>4595</v>
      </c>
      <c r="T167" s="37">
        <f>InterestRate*AmortizationMultiplier*IF(ISNUMBER(SEARCH("Actual",$C$7)),Table157[[#This Row],[Days in month]]/365,1/12)</f>
        <v>2.9708333333333331E-3</v>
      </c>
    </row>
    <row r="168" spans="2:20" x14ac:dyDescent="0.2">
      <c r="B168" s="1">
        <f t="shared" si="6"/>
        <v>50464</v>
      </c>
      <c r="C168" s="2">
        <f t="shared" si="8"/>
        <v>152</v>
      </c>
      <c r="D168" s="3">
        <f t="shared" si="7"/>
        <v>0</v>
      </c>
      <c r="E168" s="3">
        <f>ROUND(Table157[[#This Row],[Beginning Balance]]*Table157[[#This Row],[Monthly Interest Rate]],2)</f>
        <v>0</v>
      </c>
      <c r="F168" s="3">
        <f t="shared" si="9"/>
        <v>104</v>
      </c>
      <c r="G168" s="23">
        <f>IFERROR(IF($C$13="No","N/A",IF(Table157[[#This Row],[Period]]=1,$C$6,PMT(InterestRate*AmortizationMultiplier/12,Table157[[#This Row],[Am Thru]],-Table157[[#This Row],[Beginning Balance]]))),0)</f>
        <v>0</v>
      </c>
      <c r="H168" s="3">
        <f>MAX(0,IF(C168=$C$4,D168,ROUND(IF($C$3="Fixed Principal",$C$6-Table157[[#This Row],[Interest]],IF($C$3="Interest Only",Table157[[#This Row],[Beginning Balance]]*ROUND(1-(1-IF($C$11="No",$E$8,1))^(1/12),6),MIN(IF($C$13="Yes",Table157[[#This Row],[Payment Amount (Reamortized)]],$C$6)-Table157[[#This Row],[Interest]],Table157[[#This Row],[Beginning Balance]]))),2)))</f>
        <v>0</v>
      </c>
      <c r="I168" s="3">
        <f>_xlfn.SINGLE(IF($C$3="Line of Credit",0,ROUND(MAX(MIN(IF($C$10="No",$E$7,VLOOKUP(Table157[[#This Row],[Period]],Forecast!$H$2:$L$1048576,4,FALSE))*Table157[[#This Row],[Beginning Balance]],Table157[[#This Row],[Beginning Balance]]-Table157[[#This Row],[Principal]]),0),2)))</f>
        <v>0</v>
      </c>
      <c r="J168" s="3">
        <f>ROUND(MIN(Table157[[#This Row],[Beginning Balance]]*IF($C$8="No",$E$3,VLOOKUP(Table157[[#This Row],[Period]],Forecast!$H$2:$L$1048576,2,FALSE)),Table157[[#This Row],[Beginning Balance]]-Table157[[#This Row],[Principal]]-Table157[[#This Row],[Prepayments]]),2)</f>
        <v>0</v>
      </c>
      <c r="K168" s="3">
        <f>ROUND(Table157[[#This Row],[Defaulted Principal]]*IF($C$9="No",$E$4,VLOOKUP(Table157[[#This Row],[Period]],Forecast!$H$2:$L$1048576,3,FALSE)),2)</f>
        <v>0</v>
      </c>
      <c r="L168" s="2">
        <f>Table157[[#This Row],[Period]]+$E$9</f>
        <v>164</v>
      </c>
      <c r="M168" s="3">
        <f>Table157[[#This Row],[Defaulted Principal]]-Table157[[#This Row],[Estimated Loss]]</f>
        <v>0</v>
      </c>
      <c r="N168" s="3">
        <f>IFERROR(VLOOKUP(Table157[[#This Row],[Period]],$L$16:$M$385,2,FALSE),0)</f>
        <v>0</v>
      </c>
      <c r="O168" s="3">
        <f>Table157[[#This Row],[Beginning Balance]]-Table157[[#This Row],[Principal]]-Table157[[#This Row],[Prepayments]]-Table157[[#This Row],[Defaulted Principal]]</f>
        <v>0</v>
      </c>
      <c r="P168" s="3">
        <f>Table157[[#This Row],[Principal]]+Table157[[#This Row],[Interest]]+Table157[[#This Row],[Prepayments]]+Table157[[#This Row],[RecoveredAmount]]</f>
        <v>0</v>
      </c>
      <c r="Q168" s="3">
        <f ca="1">ROUND(Table157[[#This Row],[Cash Flow]]/((1+ActualRateToUse)^(IF(ISNUMBER(SEARCH("Actual",$C$7)),Table157[[#This Row],[Running Total]]/365,Table157[[#This Row],[Period]]/12))),2)</f>
        <v>0</v>
      </c>
      <c r="R168" s="2">
        <f>IF(MONTH(Table157[[#This Row],[Date]])=2,28,DAY(DATE(YEAR(Table157[[#This Row],[Date]]),MONTH(Table157[[#This Row],[Date]])+1,1)-1))</f>
        <v>28</v>
      </c>
      <c r="S168" s="2">
        <f ca="1">SUM(OFFSET(Table157[[#Headers],[Days in month]],1,0):Table157[[#This Row],[Days in month]])</f>
        <v>4623</v>
      </c>
      <c r="T168" s="37">
        <f>InterestRate*AmortizationMultiplier*IF(ISNUMBER(SEARCH("Actual",$C$7)),Table157[[#This Row],[Days in month]]/365,1/12)</f>
        <v>2.6833333333333336E-3</v>
      </c>
    </row>
    <row r="169" spans="2:20" x14ac:dyDescent="0.2">
      <c r="B169" s="1">
        <f t="shared" si="6"/>
        <v>50495</v>
      </c>
      <c r="C169" s="2">
        <f t="shared" si="8"/>
        <v>153</v>
      </c>
      <c r="D169" s="3">
        <f t="shared" si="7"/>
        <v>0</v>
      </c>
      <c r="E169" s="3">
        <f>ROUND(Table157[[#This Row],[Beginning Balance]]*Table157[[#This Row],[Monthly Interest Rate]],2)</f>
        <v>0</v>
      </c>
      <c r="F169" s="3">
        <f t="shared" si="9"/>
        <v>103</v>
      </c>
      <c r="G169" s="23">
        <f>IFERROR(IF($C$13="No","N/A",IF(Table157[[#This Row],[Period]]=1,$C$6,PMT(InterestRate*AmortizationMultiplier/12,Table157[[#This Row],[Am Thru]],-Table157[[#This Row],[Beginning Balance]]))),0)</f>
        <v>0</v>
      </c>
      <c r="H169" s="3">
        <f>MAX(0,IF(C169=$C$4,D169,ROUND(IF($C$3="Fixed Principal",$C$6-Table157[[#This Row],[Interest]],IF($C$3="Interest Only",Table157[[#This Row],[Beginning Balance]]*ROUND(1-(1-IF($C$11="No",$E$8,1))^(1/12),6),MIN(IF($C$13="Yes",Table157[[#This Row],[Payment Amount (Reamortized)]],$C$6)-Table157[[#This Row],[Interest]],Table157[[#This Row],[Beginning Balance]]))),2)))</f>
        <v>0</v>
      </c>
      <c r="I169" s="3">
        <f>_xlfn.SINGLE(IF($C$3="Line of Credit",0,ROUND(MAX(MIN(IF($C$10="No",$E$7,VLOOKUP(Table157[[#This Row],[Period]],Forecast!$H$2:$L$1048576,4,FALSE))*Table157[[#This Row],[Beginning Balance]],Table157[[#This Row],[Beginning Balance]]-Table157[[#This Row],[Principal]]),0),2)))</f>
        <v>0</v>
      </c>
      <c r="J169" s="3">
        <f>ROUND(MIN(Table157[[#This Row],[Beginning Balance]]*IF($C$8="No",$E$3,VLOOKUP(Table157[[#This Row],[Period]],Forecast!$H$2:$L$1048576,2,FALSE)),Table157[[#This Row],[Beginning Balance]]-Table157[[#This Row],[Principal]]-Table157[[#This Row],[Prepayments]]),2)</f>
        <v>0</v>
      </c>
      <c r="K169" s="3">
        <f>ROUND(Table157[[#This Row],[Defaulted Principal]]*IF($C$9="No",$E$4,VLOOKUP(Table157[[#This Row],[Period]],Forecast!$H$2:$L$1048576,3,FALSE)),2)</f>
        <v>0</v>
      </c>
      <c r="L169" s="2">
        <f>Table157[[#This Row],[Period]]+$E$9</f>
        <v>165</v>
      </c>
      <c r="M169" s="3">
        <f>Table157[[#This Row],[Defaulted Principal]]-Table157[[#This Row],[Estimated Loss]]</f>
        <v>0</v>
      </c>
      <c r="N169" s="3">
        <f>IFERROR(VLOOKUP(Table157[[#This Row],[Period]],$L$16:$M$385,2,FALSE),0)</f>
        <v>0</v>
      </c>
      <c r="O169" s="3">
        <f>Table157[[#This Row],[Beginning Balance]]-Table157[[#This Row],[Principal]]-Table157[[#This Row],[Prepayments]]-Table157[[#This Row],[Defaulted Principal]]</f>
        <v>0</v>
      </c>
      <c r="P169" s="3">
        <f>Table157[[#This Row],[Principal]]+Table157[[#This Row],[Interest]]+Table157[[#This Row],[Prepayments]]+Table157[[#This Row],[RecoveredAmount]]</f>
        <v>0</v>
      </c>
      <c r="Q169" s="3">
        <f ca="1">ROUND(Table157[[#This Row],[Cash Flow]]/((1+ActualRateToUse)^(IF(ISNUMBER(SEARCH("Actual",$C$7)),Table157[[#This Row],[Running Total]]/365,Table157[[#This Row],[Period]]/12))),2)</f>
        <v>0</v>
      </c>
      <c r="R169" s="2">
        <f>IF(MONTH(Table157[[#This Row],[Date]])=2,28,DAY(DATE(YEAR(Table157[[#This Row],[Date]]),MONTH(Table157[[#This Row],[Date]])+1,1)-1))</f>
        <v>31</v>
      </c>
      <c r="S169" s="2">
        <f ca="1">SUM(OFFSET(Table157[[#Headers],[Days in month]],1,0):Table157[[#This Row],[Days in month]])</f>
        <v>4654</v>
      </c>
      <c r="T169" s="37">
        <f>InterestRate*AmortizationMultiplier*IF(ISNUMBER(SEARCH("Actual",$C$7)),Table157[[#This Row],[Days in month]]/365,1/12)</f>
        <v>2.9708333333333331E-3</v>
      </c>
    </row>
    <row r="170" spans="2:20" x14ac:dyDescent="0.2">
      <c r="B170" s="1">
        <f t="shared" si="6"/>
        <v>50525</v>
      </c>
      <c r="C170" s="2">
        <f t="shared" si="8"/>
        <v>154</v>
      </c>
      <c r="D170" s="3">
        <f t="shared" si="7"/>
        <v>0</v>
      </c>
      <c r="E170" s="3">
        <f>ROUND(Table157[[#This Row],[Beginning Balance]]*Table157[[#This Row],[Monthly Interest Rate]],2)</f>
        <v>0</v>
      </c>
      <c r="F170" s="3">
        <f t="shared" si="9"/>
        <v>102</v>
      </c>
      <c r="G170" s="23">
        <f>IFERROR(IF($C$13="No","N/A",IF(Table157[[#This Row],[Period]]=1,$C$6,PMT(InterestRate*AmortizationMultiplier/12,Table157[[#This Row],[Am Thru]],-Table157[[#This Row],[Beginning Balance]]))),0)</f>
        <v>0</v>
      </c>
      <c r="H170" s="3">
        <f>MAX(0,IF(C170=$C$4,D170,ROUND(IF($C$3="Fixed Principal",$C$6-Table157[[#This Row],[Interest]],IF($C$3="Interest Only",Table157[[#This Row],[Beginning Balance]]*ROUND(1-(1-IF($C$11="No",$E$8,1))^(1/12),6),MIN(IF($C$13="Yes",Table157[[#This Row],[Payment Amount (Reamortized)]],$C$6)-Table157[[#This Row],[Interest]],Table157[[#This Row],[Beginning Balance]]))),2)))</f>
        <v>0</v>
      </c>
      <c r="I170" s="3">
        <f>_xlfn.SINGLE(IF($C$3="Line of Credit",0,ROUND(MAX(MIN(IF($C$10="No",$E$7,VLOOKUP(Table157[[#This Row],[Period]],Forecast!$H$2:$L$1048576,4,FALSE))*Table157[[#This Row],[Beginning Balance]],Table157[[#This Row],[Beginning Balance]]-Table157[[#This Row],[Principal]]),0),2)))</f>
        <v>0</v>
      </c>
      <c r="J170" s="3">
        <f>ROUND(MIN(Table157[[#This Row],[Beginning Balance]]*IF($C$8="No",$E$3,VLOOKUP(Table157[[#This Row],[Period]],Forecast!$H$2:$L$1048576,2,FALSE)),Table157[[#This Row],[Beginning Balance]]-Table157[[#This Row],[Principal]]-Table157[[#This Row],[Prepayments]]),2)</f>
        <v>0</v>
      </c>
      <c r="K170" s="3">
        <f>ROUND(Table157[[#This Row],[Defaulted Principal]]*IF($C$9="No",$E$4,VLOOKUP(Table157[[#This Row],[Period]],Forecast!$H$2:$L$1048576,3,FALSE)),2)</f>
        <v>0</v>
      </c>
      <c r="L170" s="2">
        <f>Table157[[#This Row],[Period]]+$E$9</f>
        <v>166</v>
      </c>
      <c r="M170" s="3">
        <f>Table157[[#This Row],[Defaulted Principal]]-Table157[[#This Row],[Estimated Loss]]</f>
        <v>0</v>
      </c>
      <c r="N170" s="3">
        <f>IFERROR(VLOOKUP(Table157[[#This Row],[Period]],$L$16:$M$385,2,FALSE),0)</f>
        <v>0</v>
      </c>
      <c r="O170" s="3">
        <f>Table157[[#This Row],[Beginning Balance]]-Table157[[#This Row],[Principal]]-Table157[[#This Row],[Prepayments]]-Table157[[#This Row],[Defaulted Principal]]</f>
        <v>0</v>
      </c>
      <c r="P170" s="3">
        <f>Table157[[#This Row],[Principal]]+Table157[[#This Row],[Interest]]+Table157[[#This Row],[Prepayments]]+Table157[[#This Row],[RecoveredAmount]]</f>
        <v>0</v>
      </c>
      <c r="Q170" s="3">
        <f ca="1">ROUND(Table157[[#This Row],[Cash Flow]]/((1+ActualRateToUse)^(IF(ISNUMBER(SEARCH("Actual",$C$7)),Table157[[#This Row],[Running Total]]/365,Table157[[#This Row],[Period]]/12))),2)</f>
        <v>0</v>
      </c>
      <c r="R170" s="2">
        <f>IF(MONTH(Table157[[#This Row],[Date]])=2,28,DAY(DATE(YEAR(Table157[[#This Row],[Date]]),MONTH(Table157[[#This Row],[Date]])+1,1)-1))</f>
        <v>30</v>
      </c>
      <c r="S170" s="2">
        <f ca="1">SUM(OFFSET(Table157[[#Headers],[Days in month]],1,0):Table157[[#This Row],[Days in month]])</f>
        <v>4684</v>
      </c>
      <c r="T170" s="37">
        <f>InterestRate*AmortizationMultiplier*IF(ISNUMBER(SEARCH("Actual",$C$7)),Table157[[#This Row],[Days in month]]/365,1/12)</f>
        <v>2.8749999999999995E-3</v>
      </c>
    </row>
    <row r="171" spans="2:20" x14ac:dyDescent="0.2">
      <c r="B171" s="1">
        <f t="shared" si="6"/>
        <v>50556</v>
      </c>
      <c r="C171" s="2">
        <f t="shared" si="8"/>
        <v>155</v>
      </c>
      <c r="D171" s="3">
        <f t="shared" si="7"/>
        <v>0</v>
      </c>
      <c r="E171" s="3">
        <f>ROUND(Table157[[#This Row],[Beginning Balance]]*Table157[[#This Row],[Monthly Interest Rate]],2)</f>
        <v>0</v>
      </c>
      <c r="F171" s="3">
        <f t="shared" si="9"/>
        <v>101</v>
      </c>
      <c r="G171" s="23">
        <f>IFERROR(IF($C$13="No","N/A",IF(Table157[[#This Row],[Period]]=1,$C$6,PMT(InterestRate*AmortizationMultiplier/12,Table157[[#This Row],[Am Thru]],-Table157[[#This Row],[Beginning Balance]]))),0)</f>
        <v>0</v>
      </c>
      <c r="H171" s="3">
        <f>MAX(0,IF(C171=$C$4,D171,ROUND(IF($C$3="Fixed Principal",$C$6-Table157[[#This Row],[Interest]],IF($C$3="Interest Only",Table157[[#This Row],[Beginning Balance]]*ROUND(1-(1-IF($C$11="No",$E$8,1))^(1/12),6),MIN(IF($C$13="Yes",Table157[[#This Row],[Payment Amount (Reamortized)]],$C$6)-Table157[[#This Row],[Interest]],Table157[[#This Row],[Beginning Balance]]))),2)))</f>
        <v>0</v>
      </c>
      <c r="I171" s="3">
        <f>_xlfn.SINGLE(IF($C$3="Line of Credit",0,ROUND(MAX(MIN(IF($C$10="No",$E$7,VLOOKUP(Table157[[#This Row],[Period]],Forecast!$H$2:$L$1048576,4,FALSE))*Table157[[#This Row],[Beginning Balance]],Table157[[#This Row],[Beginning Balance]]-Table157[[#This Row],[Principal]]),0),2)))</f>
        <v>0</v>
      </c>
      <c r="J171" s="3">
        <f>ROUND(MIN(Table157[[#This Row],[Beginning Balance]]*IF($C$8="No",$E$3,VLOOKUP(Table157[[#This Row],[Period]],Forecast!$H$2:$L$1048576,2,FALSE)),Table157[[#This Row],[Beginning Balance]]-Table157[[#This Row],[Principal]]-Table157[[#This Row],[Prepayments]]),2)</f>
        <v>0</v>
      </c>
      <c r="K171" s="3">
        <f>ROUND(Table157[[#This Row],[Defaulted Principal]]*IF($C$9="No",$E$4,VLOOKUP(Table157[[#This Row],[Period]],Forecast!$H$2:$L$1048576,3,FALSE)),2)</f>
        <v>0</v>
      </c>
      <c r="L171" s="2">
        <f>Table157[[#This Row],[Period]]+$E$9</f>
        <v>167</v>
      </c>
      <c r="M171" s="3">
        <f>Table157[[#This Row],[Defaulted Principal]]-Table157[[#This Row],[Estimated Loss]]</f>
        <v>0</v>
      </c>
      <c r="N171" s="3">
        <f>IFERROR(VLOOKUP(Table157[[#This Row],[Period]],$L$16:$M$385,2,FALSE),0)</f>
        <v>0</v>
      </c>
      <c r="O171" s="3">
        <f>Table157[[#This Row],[Beginning Balance]]-Table157[[#This Row],[Principal]]-Table157[[#This Row],[Prepayments]]-Table157[[#This Row],[Defaulted Principal]]</f>
        <v>0</v>
      </c>
      <c r="P171" s="3">
        <f>Table157[[#This Row],[Principal]]+Table157[[#This Row],[Interest]]+Table157[[#This Row],[Prepayments]]+Table157[[#This Row],[RecoveredAmount]]</f>
        <v>0</v>
      </c>
      <c r="Q171" s="3">
        <f ca="1">ROUND(Table157[[#This Row],[Cash Flow]]/((1+ActualRateToUse)^(IF(ISNUMBER(SEARCH("Actual",$C$7)),Table157[[#This Row],[Running Total]]/365,Table157[[#This Row],[Period]]/12))),2)</f>
        <v>0</v>
      </c>
      <c r="R171" s="2">
        <f>IF(MONTH(Table157[[#This Row],[Date]])=2,28,DAY(DATE(YEAR(Table157[[#This Row],[Date]]),MONTH(Table157[[#This Row],[Date]])+1,1)-1))</f>
        <v>31</v>
      </c>
      <c r="S171" s="2">
        <f ca="1">SUM(OFFSET(Table157[[#Headers],[Days in month]],1,0):Table157[[#This Row],[Days in month]])</f>
        <v>4715</v>
      </c>
      <c r="T171" s="37">
        <f>InterestRate*AmortizationMultiplier*IF(ISNUMBER(SEARCH("Actual",$C$7)),Table157[[#This Row],[Days in month]]/365,1/12)</f>
        <v>2.9708333333333331E-3</v>
      </c>
    </row>
    <row r="172" spans="2:20" x14ac:dyDescent="0.2">
      <c r="B172" s="1">
        <f t="shared" si="6"/>
        <v>50586</v>
      </c>
      <c r="C172" s="2">
        <f t="shared" si="8"/>
        <v>156</v>
      </c>
      <c r="D172" s="3">
        <f t="shared" si="7"/>
        <v>0</v>
      </c>
      <c r="E172" s="3">
        <f>ROUND(Table157[[#This Row],[Beginning Balance]]*Table157[[#This Row],[Monthly Interest Rate]],2)</f>
        <v>0</v>
      </c>
      <c r="F172" s="3">
        <f t="shared" si="9"/>
        <v>100</v>
      </c>
      <c r="G172" s="23">
        <f>IFERROR(IF($C$13="No","N/A",IF(Table157[[#This Row],[Period]]=1,$C$6,PMT(InterestRate*AmortizationMultiplier/12,Table157[[#This Row],[Am Thru]],-Table157[[#This Row],[Beginning Balance]]))),0)</f>
        <v>0</v>
      </c>
      <c r="H172" s="3">
        <f>MAX(0,IF(C172=$C$4,D172,ROUND(IF($C$3="Fixed Principal",$C$6-Table157[[#This Row],[Interest]],IF($C$3="Interest Only",Table157[[#This Row],[Beginning Balance]]*ROUND(1-(1-IF($C$11="No",$E$8,1))^(1/12),6),MIN(IF($C$13="Yes",Table157[[#This Row],[Payment Amount (Reamortized)]],$C$6)-Table157[[#This Row],[Interest]],Table157[[#This Row],[Beginning Balance]]))),2)))</f>
        <v>0</v>
      </c>
      <c r="I172" s="3">
        <f>_xlfn.SINGLE(IF($C$3="Line of Credit",0,ROUND(MAX(MIN(IF($C$10="No",$E$7,VLOOKUP(Table157[[#This Row],[Period]],Forecast!$H$2:$L$1048576,4,FALSE))*Table157[[#This Row],[Beginning Balance]],Table157[[#This Row],[Beginning Balance]]-Table157[[#This Row],[Principal]]),0),2)))</f>
        <v>0</v>
      </c>
      <c r="J172" s="3">
        <f>ROUND(MIN(Table157[[#This Row],[Beginning Balance]]*IF($C$8="No",$E$3,VLOOKUP(Table157[[#This Row],[Period]],Forecast!$H$2:$L$1048576,2,FALSE)),Table157[[#This Row],[Beginning Balance]]-Table157[[#This Row],[Principal]]-Table157[[#This Row],[Prepayments]]),2)</f>
        <v>0</v>
      </c>
      <c r="K172" s="3">
        <f>ROUND(Table157[[#This Row],[Defaulted Principal]]*IF($C$9="No",$E$4,VLOOKUP(Table157[[#This Row],[Period]],Forecast!$H$2:$L$1048576,3,FALSE)),2)</f>
        <v>0</v>
      </c>
      <c r="L172" s="2">
        <f>Table157[[#This Row],[Period]]+$E$9</f>
        <v>168</v>
      </c>
      <c r="M172" s="3">
        <f>Table157[[#This Row],[Defaulted Principal]]-Table157[[#This Row],[Estimated Loss]]</f>
        <v>0</v>
      </c>
      <c r="N172" s="3">
        <f>IFERROR(VLOOKUP(Table157[[#This Row],[Period]],$L$16:$M$385,2,FALSE),0)</f>
        <v>0</v>
      </c>
      <c r="O172" s="3">
        <f>Table157[[#This Row],[Beginning Balance]]-Table157[[#This Row],[Principal]]-Table157[[#This Row],[Prepayments]]-Table157[[#This Row],[Defaulted Principal]]</f>
        <v>0</v>
      </c>
      <c r="P172" s="3">
        <f>Table157[[#This Row],[Principal]]+Table157[[#This Row],[Interest]]+Table157[[#This Row],[Prepayments]]+Table157[[#This Row],[RecoveredAmount]]</f>
        <v>0</v>
      </c>
      <c r="Q172" s="3">
        <f ca="1">ROUND(Table157[[#This Row],[Cash Flow]]/((1+ActualRateToUse)^(IF(ISNUMBER(SEARCH("Actual",$C$7)),Table157[[#This Row],[Running Total]]/365,Table157[[#This Row],[Period]]/12))),2)</f>
        <v>0</v>
      </c>
      <c r="R172" s="2">
        <f>IF(MONTH(Table157[[#This Row],[Date]])=2,28,DAY(DATE(YEAR(Table157[[#This Row],[Date]]),MONTH(Table157[[#This Row],[Date]])+1,1)-1))</f>
        <v>30</v>
      </c>
      <c r="S172" s="2">
        <f ca="1">SUM(OFFSET(Table157[[#Headers],[Days in month]],1,0):Table157[[#This Row],[Days in month]])</f>
        <v>4745</v>
      </c>
      <c r="T172" s="37">
        <f>InterestRate*AmortizationMultiplier*IF(ISNUMBER(SEARCH("Actual",$C$7)),Table157[[#This Row],[Days in month]]/365,1/12)</f>
        <v>2.8749999999999995E-3</v>
      </c>
    </row>
    <row r="173" spans="2:20" x14ac:dyDescent="0.2">
      <c r="B173" s="1">
        <f t="shared" si="6"/>
        <v>50617</v>
      </c>
      <c r="C173" s="2">
        <f t="shared" si="8"/>
        <v>157</v>
      </c>
      <c r="D173" s="3">
        <f t="shared" si="7"/>
        <v>0</v>
      </c>
      <c r="E173" s="3">
        <f>ROUND(Table157[[#This Row],[Beginning Balance]]*Table157[[#This Row],[Monthly Interest Rate]],2)</f>
        <v>0</v>
      </c>
      <c r="F173" s="3">
        <f t="shared" si="9"/>
        <v>99</v>
      </c>
      <c r="G173" s="23">
        <f>IFERROR(IF($C$13="No","N/A",IF(Table157[[#This Row],[Period]]=1,$C$6,PMT(InterestRate*AmortizationMultiplier/12,Table157[[#This Row],[Am Thru]],-Table157[[#This Row],[Beginning Balance]]))),0)</f>
        <v>0</v>
      </c>
      <c r="H173" s="3">
        <f>MAX(0,IF(C173=$C$4,D173,ROUND(IF($C$3="Fixed Principal",$C$6-Table157[[#This Row],[Interest]],IF($C$3="Interest Only",Table157[[#This Row],[Beginning Balance]]*ROUND(1-(1-IF($C$11="No",$E$8,1))^(1/12),6),MIN(IF($C$13="Yes",Table157[[#This Row],[Payment Amount (Reamortized)]],$C$6)-Table157[[#This Row],[Interest]],Table157[[#This Row],[Beginning Balance]]))),2)))</f>
        <v>0</v>
      </c>
      <c r="I173" s="3">
        <f>_xlfn.SINGLE(IF($C$3="Line of Credit",0,ROUND(MAX(MIN(IF($C$10="No",$E$7,VLOOKUP(Table157[[#This Row],[Period]],Forecast!$H$2:$L$1048576,4,FALSE))*Table157[[#This Row],[Beginning Balance]],Table157[[#This Row],[Beginning Balance]]-Table157[[#This Row],[Principal]]),0),2)))</f>
        <v>0</v>
      </c>
      <c r="J173" s="3">
        <f>ROUND(MIN(Table157[[#This Row],[Beginning Balance]]*IF($C$8="No",$E$3,VLOOKUP(Table157[[#This Row],[Period]],Forecast!$H$2:$L$1048576,2,FALSE)),Table157[[#This Row],[Beginning Balance]]-Table157[[#This Row],[Principal]]-Table157[[#This Row],[Prepayments]]),2)</f>
        <v>0</v>
      </c>
      <c r="K173" s="3">
        <f>ROUND(Table157[[#This Row],[Defaulted Principal]]*IF($C$9="No",$E$4,VLOOKUP(Table157[[#This Row],[Period]],Forecast!$H$2:$L$1048576,3,FALSE)),2)</f>
        <v>0</v>
      </c>
      <c r="L173" s="2">
        <f>Table157[[#This Row],[Period]]+$E$9</f>
        <v>169</v>
      </c>
      <c r="M173" s="3">
        <f>Table157[[#This Row],[Defaulted Principal]]-Table157[[#This Row],[Estimated Loss]]</f>
        <v>0</v>
      </c>
      <c r="N173" s="3">
        <f>IFERROR(VLOOKUP(Table157[[#This Row],[Period]],$L$16:$M$385,2,FALSE),0)</f>
        <v>0</v>
      </c>
      <c r="O173" s="3">
        <f>Table157[[#This Row],[Beginning Balance]]-Table157[[#This Row],[Principal]]-Table157[[#This Row],[Prepayments]]-Table157[[#This Row],[Defaulted Principal]]</f>
        <v>0</v>
      </c>
      <c r="P173" s="3">
        <f>Table157[[#This Row],[Principal]]+Table157[[#This Row],[Interest]]+Table157[[#This Row],[Prepayments]]+Table157[[#This Row],[RecoveredAmount]]</f>
        <v>0</v>
      </c>
      <c r="Q173" s="3">
        <f ca="1">ROUND(Table157[[#This Row],[Cash Flow]]/((1+ActualRateToUse)^(IF(ISNUMBER(SEARCH("Actual",$C$7)),Table157[[#This Row],[Running Total]]/365,Table157[[#This Row],[Period]]/12))),2)</f>
        <v>0</v>
      </c>
      <c r="R173" s="2">
        <f>IF(MONTH(Table157[[#This Row],[Date]])=2,28,DAY(DATE(YEAR(Table157[[#This Row],[Date]]),MONTH(Table157[[#This Row],[Date]])+1,1)-1))</f>
        <v>31</v>
      </c>
      <c r="S173" s="2">
        <f ca="1">SUM(OFFSET(Table157[[#Headers],[Days in month]],1,0):Table157[[#This Row],[Days in month]])</f>
        <v>4776</v>
      </c>
      <c r="T173" s="37">
        <f>InterestRate*AmortizationMultiplier*IF(ISNUMBER(SEARCH("Actual",$C$7)),Table157[[#This Row],[Days in month]]/365,1/12)</f>
        <v>2.9708333333333331E-3</v>
      </c>
    </row>
    <row r="174" spans="2:20" x14ac:dyDescent="0.2">
      <c r="B174" s="1">
        <f t="shared" si="6"/>
        <v>50648</v>
      </c>
      <c r="C174" s="2">
        <f t="shared" si="8"/>
        <v>158</v>
      </c>
      <c r="D174" s="3">
        <f t="shared" si="7"/>
        <v>0</v>
      </c>
      <c r="E174" s="3">
        <f>ROUND(Table157[[#This Row],[Beginning Balance]]*Table157[[#This Row],[Monthly Interest Rate]],2)</f>
        <v>0</v>
      </c>
      <c r="F174" s="3">
        <f t="shared" si="9"/>
        <v>98</v>
      </c>
      <c r="G174" s="23">
        <f>IFERROR(IF($C$13="No","N/A",IF(Table157[[#This Row],[Period]]=1,$C$6,PMT(InterestRate*AmortizationMultiplier/12,Table157[[#This Row],[Am Thru]],-Table157[[#This Row],[Beginning Balance]]))),0)</f>
        <v>0</v>
      </c>
      <c r="H174" s="3">
        <f>MAX(0,IF(C174=$C$4,D174,ROUND(IF($C$3="Fixed Principal",$C$6-Table157[[#This Row],[Interest]],IF($C$3="Interest Only",Table157[[#This Row],[Beginning Balance]]*ROUND(1-(1-IF($C$11="No",$E$8,1))^(1/12),6),MIN(IF($C$13="Yes",Table157[[#This Row],[Payment Amount (Reamortized)]],$C$6)-Table157[[#This Row],[Interest]],Table157[[#This Row],[Beginning Balance]]))),2)))</f>
        <v>0</v>
      </c>
      <c r="I174" s="3">
        <f>_xlfn.SINGLE(IF($C$3="Line of Credit",0,ROUND(MAX(MIN(IF($C$10="No",$E$7,VLOOKUP(Table157[[#This Row],[Period]],Forecast!$H$2:$L$1048576,4,FALSE))*Table157[[#This Row],[Beginning Balance]],Table157[[#This Row],[Beginning Balance]]-Table157[[#This Row],[Principal]]),0),2)))</f>
        <v>0</v>
      </c>
      <c r="J174" s="3">
        <f>ROUND(MIN(Table157[[#This Row],[Beginning Balance]]*IF($C$8="No",$E$3,VLOOKUP(Table157[[#This Row],[Period]],Forecast!$H$2:$L$1048576,2,FALSE)),Table157[[#This Row],[Beginning Balance]]-Table157[[#This Row],[Principal]]-Table157[[#This Row],[Prepayments]]),2)</f>
        <v>0</v>
      </c>
      <c r="K174" s="3">
        <f>ROUND(Table157[[#This Row],[Defaulted Principal]]*IF($C$9="No",$E$4,VLOOKUP(Table157[[#This Row],[Period]],Forecast!$H$2:$L$1048576,3,FALSE)),2)</f>
        <v>0</v>
      </c>
      <c r="L174" s="2">
        <f>Table157[[#This Row],[Period]]+$E$9</f>
        <v>170</v>
      </c>
      <c r="M174" s="3">
        <f>Table157[[#This Row],[Defaulted Principal]]-Table157[[#This Row],[Estimated Loss]]</f>
        <v>0</v>
      </c>
      <c r="N174" s="3">
        <f>IFERROR(VLOOKUP(Table157[[#This Row],[Period]],$L$16:$M$385,2,FALSE),0)</f>
        <v>0</v>
      </c>
      <c r="O174" s="3">
        <f>Table157[[#This Row],[Beginning Balance]]-Table157[[#This Row],[Principal]]-Table157[[#This Row],[Prepayments]]-Table157[[#This Row],[Defaulted Principal]]</f>
        <v>0</v>
      </c>
      <c r="P174" s="3">
        <f>Table157[[#This Row],[Principal]]+Table157[[#This Row],[Interest]]+Table157[[#This Row],[Prepayments]]+Table157[[#This Row],[RecoveredAmount]]</f>
        <v>0</v>
      </c>
      <c r="Q174" s="3">
        <f ca="1">ROUND(Table157[[#This Row],[Cash Flow]]/((1+ActualRateToUse)^(IF(ISNUMBER(SEARCH("Actual",$C$7)),Table157[[#This Row],[Running Total]]/365,Table157[[#This Row],[Period]]/12))),2)</f>
        <v>0</v>
      </c>
      <c r="R174" s="2">
        <f>IF(MONTH(Table157[[#This Row],[Date]])=2,28,DAY(DATE(YEAR(Table157[[#This Row],[Date]]),MONTH(Table157[[#This Row],[Date]])+1,1)-1))</f>
        <v>31</v>
      </c>
      <c r="S174" s="2">
        <f ca="1">SUM(OFFSET(Table157[[#Headers],[Days in month]],1,0):Table157[[#This Row],[Days in month]])</f>
        <v>4807</v>
      </c>
      <c r="T174" s="37">
        <f>InterestRate*AmortizationMultiplier*IF(ISNUMBER(SEARCH("Actual",$C$7)),Table157[[#This Row],[Days in month]]/365,1/12)</f>
        <v>2.9708333333333331E-3</v>
      </c>
    </row>
    <row r="175" spans="2:20" x14ac:dyDescent="0.2">
      <c r="B175" s="1">
        <f t="shared" si="6"/>
        <v>50678</v>
      </c>
      <c r="C175" s="2">
        <f t="shared" si="8"/>
        <v>159</v>
      </c>
      <c r="D175" s="3">
        <f t="shared" si="7"/>
        <v>0</v>
      </c>
      <c r="E175" s="3">
        <f>ROUND(Table157[[#This Row],[Beginning Balance]]*Table157[[#This Row],[Monthly Interest Rate]],2)</f>
        <v>0</v>
      </c>
      <c r="F175" s="3">
        <f t="shared" si="9"/>
        <v>97</v>
      </c>
      <c r="G175" s="23">
        <f>IFERROR(IF($C$13="No","N/A",IF(Table157[[#This Row],[Period]]=1,$C$6,PMT(InterestRate*AmortizationMultiplier/12,Table157[[#This Row],[Am Thru]],-Table157[[#This Row],[Beginning Balance]]))),0)</f>
        <v>0</v>
      </c>
      <c r="H175" s="3">
        <f>MAX(0,IF(C175=$C$4,D175,ROUND(IF($C$3="Fixed Principal",$C$6-Table157[[#This Row],[Interest]],IF($C$3="Interest Only",Table157[[#This Row],[Beginning Balance]]*ROUND(1-(1-IF($C$11="No",$E$8,1))^(1/12),6),MIN(IF($C$13="Yes",Table157[[#This Row],[Payment Amount (Reamortized)]],$C$6)-Table157[[#This Row],[Interest]],Table157[[#This Row],[Beginning Balance]]))),2)))</f>
        <v>0</v>
      </c>
      <c r="I175" s="3">
        <f>_xlfn.SINGLE(IF($C$3="Line of Credit",0,ROUND(MAX(MIN(IF($C$10="No",$E$7,VLOOKUP(Table157[[#This Row],[Period]],Forecast!$H$2:$L$1048576,4,FALSE))*Table157[[#This Row],[Beginning Balance]],Table157[[#This Row],[Beginning Balance]]-Table157[[#This Row],[Principal]]),0),2)))</f>
        <v>0</v>
      </c>
      <c r="J175" s="3">
        <f>ROUND(MIN(Table157[[#This Row],[Beginning Balance]]*IF($C$8="No",$E$3,VLOOKUP(Table157[[#This Row],[Period]],Forecast!$H$2:$L$1048576,2,FALSE)),Table157[[#This Row],[Beginning Balance]]-Table157[[#This Row],[Principal]]-Table157[[#This Row],[Prepayments]]),2)</f>
        <v>0</v>
      </c>
      <c r="K175" s="3">
        <f>ROUND(Table157[[#This Row],[Defaulted Principal]]*IF($C$9="No",$E$4,VLOOKUP(Table157[[#This Row],[Period]],Forecast!$H$2:$L$1048576,3,FALSE)),2)</f>
        <v>0</v>
      </c>
      <c r="L175" s="2">
        <f>Table157[[#This Row],[Period]]+$E$9</f>
        <v>171</v>
      </c>
      <c r="M175" s="3">
        <f>Table157[[#This Row],[Defaulted Principal]]-Table157[[#This Row],[Estimated Loss]]</f>
        <v>0</v>
      </c>
      <c r="N175" s="3">
        <f>IFERROR(VLOOKUP(Table157[[#This Row],[Period]],$L$16:$M$385,2,FALSE),0)</f>
        <v>0</v>
      </c>
      <c r="O175" s="3">
        <f>Table157[[#This Row],[Beginning Balance]]-Table157[[#This Row],[Principal]]-Table157[[#This Row],[Prepayments]]-Table157[[#This Row],[Defaulted Principal]]</f>
        <v>0</v>
      </c>
      <c r="P175" s="3">
        <f>Table157[[#This Row],[Principal]]+Table157[[#This Row],[Interest]]+Table157[[#This Row],[Prepayments]]+Table157[[#This Row],[RecoveredAmount]]</f>
        <v>0</v>
      </c>
      <c r="Q175" s="3">
        <f ca="1">ROUND(Table157[[#This Row],[Cash Flow]]/((1+ActualRateToUse)^(IF(ISNUMBER(SEARCH("Actual",$C$7)),Table157[[#This Row],[Running Total]]/365,Table157[[#This Row],[Period]]/12))),2)</f>
        <v>0</v>
      </c>
      <c r="R175" s="2">
        <f>IF(MONTH(Table157[[#This Row],[Date]])=2,28,DAY(DATE(YEAR(Table157[[#This Row],[Date]]),MONTH(Table157[[#This Row],[Date]])+1,1)-1))</f>
        <v>30</v>
      </c>
      <c r="S175" s="2">
        <f ca="1">SUM(OFFSET(Table157[[#Headers],[Days in month]],1,0):Table157[[#This Row],[Days in month]])</f>
        <v>4837</v>
      </c>
      <c r="T175" s="37">
        <f>InterestRate*AmortizationMultiplier*IF(ISNUMBER(SEARCH("Actual",$C$7)),Table157[[#This Row],[Days in month]]/365,1/12)</f>
        <v>2.8749999999999995E-3</v>
      </c>
    </row>
    <row r="176" spans="2:20" x14ac:dyDescent="0.2">
      <c r="B176" s="1">
        <f t="shared" si="6"/>
        <v>50709</v>
      </c>
      <c r="C176" s="2">
        <f t="shared" si="8"/>
        <v>160</v>
      </c>
      <c r="D176" s="3">
        <f t="shared" si="7"/>
        <v>0</v>
      </c>
      <c r="E176" s="3">
        <f>ROUND(Table157[[#This Row],[Beginning Balance]]*Table157[[#This Row],[Monthly Interest Rate]],2)</f>
        <v>0</v>
      </c>
      <c r="F176" s="3">
        <f t="shared" si="9"/>
        <v>96</v>
      </c>
      <c r="G176" s="23">
        <f>IFERROR(IF($C$13="No","N/A",IF(Table157[[#This Row],[Period]]=1,$C$6,PMT(InterestRate*AmortizationMultiplier/12,Table157[[#This Row],[Am Thru]],-Table157[[#This Row],[Beginning Balance]]))),0)</f>
        <v>0</v>
      </c>
      <c r="H176" s="3">
        <f>MAX(0,IF(C176=$C$4,D176,ROUND(IF($C$3="Fixed Principal",$C$6-Table157[[#This Row],[Interest]],IF($C$3="Interest Only",Table157[[#This Row],[Beginning Balance]]*ROUND(1-(1-IF($C$11="No",$E$8,1))^(1/12),6),MIN(IF($C$13="Yes",Table157[[#This Row],[Payment Amount (Reamortized)]],$C$6)-Table157[[#This Row],[Interest]],Table157[[#This Row],[Beginning Balance]]))),2)))</f>
        <v>0</v>
      </c>
      <c r="I176" s="3">
        <f>_xlfn.SINGLE(IF($C$3="Line of Credit",0,ROUND(MAX(MIN(IF($C$10="No",$E$7,VLOOKUP(Table157[[#This Row],[Period]],Forecast!$H$2:$L$1048576,4,FALSE))*Table157[[#This Row],[Beginning Balance]],Table157[[#This Row],[Beginning Balance]]-Table157[[#This Row],[Principal]]),0),2)))</f>
        <v>0</v>
      </c>
      <c r="J176" s="3">
        <f>ROUND(MIN(Table157[[#This Row],[Beginning Balance]]*IF($C$8="No",$E$3,VLOOKUP(Table157[[#This Row],[Period]],Forecast!$H$2:$L$1048576,2,FALSE)),Table157[[#This Row],[Beginning Balance]]-Table157[[#This Row],[Principal]]-Table157[[#This Row],[Prepayments]]),2)</f>
        <v>0</v>
      </c>
      <c r="K176" s="3">
        <f>ROUND(Table157[[#This Row],[Defaulted Principal]]*IF($C$9="No",$E$4,VLOOKUP(Table157[[#This Row],[Period]],Forecast!$H$2:$L$1048576,3,FALSE)),2)</f>
        <v>0</v>
      </c>
      <c r="L176" s="2">
        <f>Table157[[#This Row],[Period]]+$E$9</f>
        <v>172</v>
      </c>
      <c r="M176" s="3">
        <f>Table157[[#This Row],[Defaulted Principal]]-Table157[[#This Row],[Estimated Loss]]</f>
        <v>0</v>
      </c>
      <c r="N176" s="3">
        <f>IFERROR(VLOOKUP(Table157[[#This Row],[Period]],$L$16:$M$385,2,FALSE),0)</f>
        <v>0</v>
      </c>
      <c r="O176" s="3">
        <f>Table157[[#This Row],[Beginning Balance]]-Table157[[#This Row],[Principal]]-Table157[[#This Row],[Prepayments]]-Table157[[#This Row],[Defaulted Principal]]</f>
        <v>0</v>
      </c>
      <c r="P176" s="3">
        <f>Table157[[#This Row],[Principal]]+Table157[[#This Row],[Interest]]+Table157[[#This Row],[Prepayments]]+Table157[[#This Row],[RecoveredAmount]]</f>
        <v>0</v>
      </c>
      <c r="Q176" s="3">
        <f ca="1">ROUND(Table157[[#This Row],[Cash Flow]]/((1+ActualRateToUse)^(IF(ISNUMBER(SEARCH("Actual",$C$7)),Table157[[#This Row],[Running Total]]/365,Table157[[#This Row],[Period]]/12))),2)</f>
        <v>0</v>
      </c>
      <c r="R176" s="2">
        <f>IF(MONTH(Table157[[#This Row],[Date]])=2,28,DAY(DATE(YEAR(Table157[[#This Row],[Date]]),MONTH(Table157[[#This Row],[Date]])+1,1)-1))</f>
        <v>31</v>
      </c>
      <c r="S176" s="2">
        <f ca="1">SUM(OFFSET(Table157[[#Headers],[Days in month]],1,0):Table157[[#This Row],[Days in month]])</f>
        <v>4868</v>
      </c>
      <c r="T176" s="37">
        <f>InterestRate*AmortizationMultiplier*IF(ISNUMBER(SEARCH("Actual",$C$7)),Table157[[#This Row],[Days in month]]/365,1/12)</f>
        <v>2.9708333333333331E-3</v>
      </c>
    </row>
    <row r="177" spans="2:20" x14ac:dyDescent="0.2">
      <c r="B177" s="1">
        <f t="shared" si="6"/>
        <v>50739</v>
      </c>
      <c r="C177" s="2">
        <f t="shared" si="8"/>
        <v>161</v>
      </c>
      <c r="D177" s="3">
        <f t="shared" si="7"/>
        <v>0</v>
      </c>
      <c r="E177" s="3">
        <f>ROUND(Table157[[#This Row],[Beginning Balance]]*Table157[[#This Row],[Monthly Interest Rate]],2)</f>
        <v>0</v>
      </c>
      <c r="F177" s="3">
        <f t="shared" si="9"/>
        <v>95</v>
      </c>
      <c r="G177" s="23">
        <f>IFERROR(IF($C$13="No","N/A",IF(Table157[[#This Row],[Period]]=1,$C$6,PMT(InterestRate*AmortizationMultiplier/12,Table157[[#This Row],[Am Thru]],-Table157[[#This Row],[Beginning Balance]]))),0)</f>
        <v>0</v>
      </c>
      <c r="H177" s="3">
        <f>MAX(0,IF(C177=$C$4,D177,ROUND(IF($C$3="Fixed Principal",$C$6-Table157[[#This Row],[Interest]],IF($C$3="Interest Only",Table157[[#This Row],[Beginning Balance]]*ROUND(1-(1-IF($C$11="No",$E$8,1))^(1/12),6),MIN(IF($C$13="Yes",Table157[[#This Row],[Payment Amount (Reamortized)]],$C$6)-Table157[[#This Row],[Interest]],Table157[[#This Row],[Beginning Balance]]))),2)))</f>
        <v>0</v>
      </c>
      <c r="I177" s="3">
        <f>_xlfn.SINGLE(IF($C$3="Line of Credit",0,ROUND(MAX(MIN(IF($C$10="No",$E$7,VLOOKUP(Table157[[#This Row],[Period]],Forecast!$H$2:$L$1048576,4,FALSE))*Table157[[#This Row],[Beginning Balance]],Table157[[#This Row],[Beginning Balance]]-Table157[[#This Row],[Principal]]),0),2)))</f>
        <v>0</v>
      </c>
      <c r="J177" s="3">
        <f>ROUND(MIN(Table157[[#This Row],[Beginning Balance]]*IF($C$8="No",$E$3,VLOOKUP(Table157[[#This Row],[Period]],Forecast!$H$2:$L$1048576,2,FALSE)),Table157[[#This Row],[Beginning Balance]]-Table157[[#This Row],[Principal]]-Table157[[#This Row],[Prepayments]]),2)</f>
        <v>0</v>
      </c>
      <c r="K177" s="3">
        <f>ROUND(Table157[[#This Row],[Defaulted Principal]]*IF($C$9="No",$E$4,VLOOKUP(Table157[[#This Row],[Period]],Forecast!$H$2:$L$1048576,3,FALSE)),2)</f>
        <v>0</v>
      </c>
      <c r="L177" s="2">
        <f>Table157[[#This Row],[Period]]+$E$9</f>
        <v>173</v>
      </c>
      <c r="M177" s="3">
        <f>Table157[[#This Row],[Defaulted Principal]]-Table157[[#This Row],[Estimated Loss]]</f>
        <v>0</v>
      </c>
      <c r="N177" s="3">
        <f>IFERROR(VLOOKUP(Table157[[#This Row],[Period]],$L$16:$M$385,2,FALSE),0)</f>
        <v>0</v>
      </c>
      <c r="O177" s="3">
        <f>Table157[[#This Row],[Beginning Balance]]-Table157[[#This Row],[Principal]]-Table157[[#This Row],[Prepayments]]-Table157[[#This Row],[Defaulted Principal]]</f>
        <v>0</v>
      </c>
      <c r="P177" s="3">
        <f>Table157[[#This Row],[Principal]]+Table157[[#This Row],[Interest]]+Table157[[#This Row],[Prepayments]]+Table157[[#This Row],[RecoveredAmount]]</f>
        <v>0</v>
      </c>
      <c r="Q177" s="3">
        <f ca="1">ROUND(Table157[[#This Row],[Cash Flow]]/((1+ActualRateToUse)^(IF(ISNUMBER(SEARCH("Actual",$C$7)),Table157[[#This Row],[Running Total]]/365,Table157[[#This Row],[Period]]/12))),2)</f>
        <v>0</v>
      </c>
      <c r="R177" s="2">
        <f>IF(MONTH(Table157[[#This Row],[Date]])=2,28,DAY(DATE(YEAR(Table157[[#This Row],[Date]]),MONTH(Table157[[#This Row],[Date]])+1,1)-1))</f>
        <v>30</v>
      </c>
      <c r="S177" s="2">
        <f ca="1">SUM(OFFSET(Table157[[#Headers],[Days in month]],1,0):Table157[[#This Row],[Days in month]])</f>
        <v>4898</v>
      </c>
      <c r="T177" s="37">
        <f>InterestRate*AmortizationMultiplier*IF(ISNUMBER(SEARCH("Actual",$C$7)),Table157[[#This Row],[Days in month]]/365,1/12)</f>
        <v>2.8749999999999995E-3</v>
      </c>
    </row>
    <row r="178" spans="2:20" x14ac:dyDescent="0.2">
      <c r="B178" s="1">
        <f t="shared" si="6"/>
        <v>50770</v>
      </c>
      <c r="C178" s="2">
        <f t="shared" si="8"/>
        <v>162</v>
      </c>
      <c r="D178" s="3">
        <f t="shared" si="7"/>
        <v>0</v>
      </c>
      <c r="E178" s="3">
        <f>ROUND(Table157[[#This Row],[Beginning Balance]]*Table157[[#This Row],[Monthly Interest Rate]],2)</f>
        <v>0</v>
      </c>
      <c r="F178" s="3">
        <f t="shared" si="9"/>
        <v>94</v>
      </c>
      <c r="G178" s="23">
        <f>IFERROR(IF($C$13="No","N/A",IF(Table157[[#This Row],[Period]]=1,$C$6,PMT(InterestRate*AmortizationMultiplier/12,Table157[[#This Row],[Am Thru]],-Table157[[#This Row],[Beginning Balance]]))),0)</f>
        <v>0</v>
      </c>
      <c r="H178" s="3">
        <f>MAX(0,IF(C178=$C$4,D178,ROUND(IF($C$3="Fixed Principal",$C$6-Table157[[#This Row],[Interest]],IF($C$3="Interest Only",Table157[[#This Row],[Beginning Balance]]*ROUND(1-(1-IF($C$11="No",$E$8,1))^(1/12),6),MIN(IF($C$13="Yes",Table157[[#This Row],[Payment Amount (Reamortized)]],$C$6)-Table157[[#This Row],[Interest]],Table157[[#This Row],[Beginning Balance]]))),2)))</f>
        <v>0</v>
      </c>
      <c r="I178" s="3">
        <f>_xlfn.SINGLE(IF($C$3="Line of Credit",0,ROUND(MAX(MIN(IF($C$10="No",$E$7,VLOOKUP(Table157[[#This Row],[Period]],Forecast!$H$2:$L$1048576,4,FALSE))*Table157[[#This Row],[Beginning Balance]],Table157[[#This Row],[Beginning Balance]]-Table157[[#This Row],[Principal]]),0),2)))</f>
        <v>0</v>
      </c>
      <c r="J178" s="3">
        <f>ROUND(MIN(Table157[[#This Row],[Beginning Balance]]*IF($C$8="No",$E$3,VLOOKUP(Table157[[#This Row],[Period]],Forecast!$H$2:$L$1048576,2,FALSE)),Table157[[#This Row],[Beginning Balance]]-Table157[[#This Row],[Principal]]-Table157[[#This Row],[Prepayments]]),2)</f>
        <v>0</v>
      </c>
      <c r="K178" s="3">
        <f>ROUND(Table157[[#This Row],[Defaulted Principal]]*IF($C$9="No",$E$4,VLOOKUP(Table157[[#This Row],[Period]],Forecast!$H$2:$L$1048576,3,FALSE)),2)</f>
        <v>0</v>
      </c>
      <c r="L178" s="2">
        <f>Table157[[#This Row],[Period]]+$E$9</f>
        <v>174</v>
      </c>
      <c r="M178" s="3">
        <f>Table157[[#This Row],[Defaulted Principal]]-Table157[[#This Row],[Estimated Loss]]</f>
        <v>0</v>
      </c>
      <c r="N178" s="3">
        <f>IFERROR(VLOOKUP(Table157[[#This Row],[Period]],$L$16:$M$385,2,FALSE),0)</f>
        <v>0</v>
      </c>
      <c r="O178" s="3">
        <f>Table157[[#This Row],[Beginning Balance]]-Table157[[#This Row],[Principal]]-Table157[[#This Row],[Prepayments]]-Table157[[#This Row],[Defaulted Principal]]</f>
        <v>0</v>
      </c>
      <c r="P178" s="3">
        <f>Table157[[#This Row],[Principal]]+Table157[[#This Row],[Interest]]+Table157[[#This Row],[Prepayments]]+Table157[[#This Row],[RecoveredAmount]]</f>
        <v>0</v>
      </c>
      <c r="Q178" s="3">
        <f ca="1">ROUND(Table157[[#This Row],[Cash Flow]]/((1+ActualRateToUse)^(IF(ISNUMBER(SEARCH("Actual",$C$7)),Table157[[#This Row],[Running Total]]/365,Table157[[#This Row],[Period]]/12))),2)</f>
        <v>0</v>
      </c>
      <c r="R178" s="2">
        <f>IF(MONTH(Table157[[#This Row],[Date]])=2,28,DAY(DATE(YEAR(Table157[[#This Row],[Date]]),MONTH(Table157[[#This Row],[Date]])+1,1)-1))</f>
        <v>31</v>
      </c>
      <c r="S178" s="2">
        <f ca="1">SUM(OFFSET(Table157[[#Headers],[Days in month]],1,0):Table157[[#This Row],[Days in month]])</f>
        <v>4929</v>
      </c>
      <c r="T178" s="37">
        <f>InterestRate*AmortizationMultiplier*IF(ISNUMBER(SEARCH("Actual",$C$7)),Table157[[#This Row],[Days in month]]/365,1/12)</f>
        <v>2.9708333333333331E-3</v>
      </c>
    </row>
    <row r="179" spans="2:20" x14ac:dyDescent="0.2">
      <c r="B179" s="1">
        <f t="shared" si="6"/>
        <v>50801</v>
      </c>
      <c r="C179" s="2">
        <f t="shared" si="8"/>
        <v>163</v>
      </c>
      <c r="D179" s="3">
        <f t="shared" si="7"/>
        <v>0</v>
      </c>
      <c r="E179" s="3">
        <f>ROUND(Table157[[#This Row],[Beginning Balance]]*Table157[[#This Row],[Monthly Interest Rate]],2)</f>
        <v>0</v>
      </c>
      <c r="F179" s="3">
        <f t="shared" si="9"/>
        <v>93</v>
      </c>
      <c r="G179" s="23">
        <f>IFERROR(IF($C$13="No","N/A",IF(Table157[[#This Row],[Period]]=1,$C$6,PMT(InterestRate*AmortizationMultiplier/12,Table157[[#This Row],[Am Thru]],-Table157[[#This Row],[Beginning Balance]]))),0)</f>
        <v>0</v>
      </c>
      <c r="H179" s="3">
        <f>MAX(0,IF(C179=$C$4,D179,ROUND(IF($C$3="Fixed Principal",$C$6-Table157[[#This Row],[Interest]],IF($C$3="Interest Only",Table157[[#This Row],[Beginning Balance]]*ROUND(1-(1-IF($C$11="No",$E$8,1))^(1/12),6),MIN(IF($C$13="Yes",Table157[[#This Row],[Payment Amount (Reamortized)]],$C$6)-Table157[[#This Row],[Interest]],Table157[[#This Row],[Beginning Balance]]))),2)))</f>
        <v>0</v>
      </c>
      <c r="I179" s="3">
        <f>_xlfn.SINGLE(IF($C$3="Line of Credit",0,ROUND(MAX(MIN(IF($C$10="No",$E$7,VLOOKUP(Table157[[#This Row],[Period]],Forecast!$H$2:$L$1048576,4,FALSE))*Table157[[#This Row],[Beginning Balance]],Table157[[#This Row],[Beginning Balance]]-Table157[[#This Row],[Principal]]),0),2)))</f>
        <v>0</v>
      </c>
      <c r="J179" s="3">
        <f>ROUND(MIN(Table157[[#This Row],[Beginning Balance]]*IF($C$8="No",$E$3,VLOOKUP(Table157[[#This Row],[Period]],Forecast!$H$2:$L$1048576,2,FALSE)),Table157[[#This Row],[Beginning Balance]]-Table157[[#This Row],[Principal]]-Table157[[#This Row],[Prepayments]]),2)</f>
        <v>0</v>
      </c>
      <c r="K179" s="3">
        <f>ROUND(Table157[[#This Row],[Defaulted Principal]]*IF($C$9="No",$E$4,VLOOKUP(Table157[[#This Row],[Period]],Forecast!$H$2:$L$1048576,3,FALSE)),2)</f>
        <v>0</v>
      </c>
      <c r="L179" s="2">
        <f>Table157[[#This Row],[Period]]+$E$9</f>
        <v>175</v>
      </c>
      <c r="M179" s="3">
        <f>Table157[[#This Row],[Defaulted Principal]]-Table157[[#This Row],[Estimated Loss]]</f>
        <v>0</v>
      </c>
      <c r="N179" s="3">
        <f>IFERROR(VLOOKUP(Table157[[#This Row],[Period]],$L$16:$M$385,2,FALSE),0)</f>
        <v>0</v>
      </c>
      <c r="O179" s="3">
        <f>Table157[[#This Row],[Beginning Balance]]-Table157[[#This Row],[Principal]]-Table157[[#This Row],[Prepayments]]-Table157[[#This Row],[Defaulted Principal]]</f>
        <v>0</v>
      </c>
      <c r="P179" s="3">
        <f>Table157[[#This Row],[Principal]]+Table157[[#This Row],[Interest]]+Table157[[#This Row],[Prepayments]]+Table157[[#This Row],[RecoveredAmount]]</f>
        <v>0</v>
      </c>
      <c r="Q179" s="3">
        <f ca="1">ROUND(Table157[[#This Row],[Cash Flow]]/((1+ActualRateToUse)^(IF(ISNUMBER(SEARCH("Actual",$C$7)),Table157[[#This Row],[Running Total]]/365,Table157[[#This Row],[Period]]/12))),2)</f>
        <v>0</v>
      </c>
      <c r="R179" s="2">
        <f>IF(MONTH(Table157[[#This Row],[Date]])=2,28,DAY(DATE(YEAR(Table157[[#This Row],[Date]]),MONTH(Table157[[#This Row],[Date]])+1,1)-1))</f>
        <v>31</v>
      </c>
      <c r="S179" s="2">
        <f ca="1">SUM(OFFSET(Table157[[#Headers],[Days in month]],1,0):Table157[[#This Row],[Days in month]])</f>
        <v>4960</v>
      </c>
      <c r="T179" s="37">
        <f>InterestRate*AmortizationMultiplier*IF(ISNUMBER(SEARCH("Actual",$C$7)),Table157[[#This Row],[Days in month]]/365,1/12)</f>
        <v>2.9708333333333331E-3</v>
      </c>
    </row>
    <row r="180" spans="2:20" x14ac:dyDescent="0.2">
      <c r="B180" s="1">
        <f t="shared" si="6"/>
        <v>50829</v>
      </c>
      <c r="C180" s="2">
        <f t="shared" si="8"/>
        <v>164</v>
      </c>
      <c r="D180" s="3">
        <f t="shared" si="7"/>
        <v>0</v>
      </c>
      <c r="E180" s="3">
        <f>ROUND(Table157[[#This Row],[Beginning Balance]]*Table157[[#This Row],[Monthly Interest Rate]],2)</f>
        <v>0</v>
      </c>
      <c r="F180" s="3">
        <f t="shared" si="9"/>
        <v>92</v>
      </c>
      <c r="G180" s="23">
        <f>IFERROR(IF($C$13="No","N/A",IF(Table157[[#This Row],[Period]]=1,$C$6,PMT(InterestRate*AmortizationMultiplier/12,Table157[[#This Row],[Am Thru]],-Table157[[#This Row],[Beginning Balance]]))),0)</f>
        <v>0</v>
      </c>
      <c r="H180" s="3">
        <f>MAX(0,IF(C180=$C$4,D180,ROUND(IF($C$3="Fixed Principal",$C$6-Table157[[#This Row],[Interest]],IF($C$3="Interest Only",Table157[[#This Row],[Beginning Balance]]*ROUND(1-(1-IF($C$11="No",$E$8,1))^(1/12),6),MIN(IF($C$13="Yes",Table157[[#This Row],[Payment Amount (Reamortized)]],$C$6)-Table157[[#This Row],[Interest]],Table157[[#This Row],[Beginning Balance]]))),2)))</f>
        <v>0</v>
      </c>
      <c r="I180" s="3">
        <f>_xlfn.SINGLE(IF($C$3="Line of Credit",0,ROUND(MAX(MIN(IF($C$10="No",$E$7,VLOOKUP(Table157[[#This Row],[Period]],Forecast!$H$2:$L$1048576,4,FALSE))*Table157[[#This Row],[Beginning Balance]],Table157[[#This Row],[Beginning Balance]]-Table157[[#This Row],[Principal]]),0),2)))</f>
        <v>0</v>
      </c>
      <c r="J180" s="3">
        <f>ROUND(MIN(Table157[[#This Row],[Beginning Balance]]*IF($C$8="No",$E$3,VLOOKUP(Table157[[#This Row],[Period]],Forecast!$H$2:$L$1048576,2,FALSE)),Table157[[#This Row],[Beginning Balance]]-Table157[[#This Row],[Principal]]-Table157[[#This Row],[Prepayments]]),2)</f>
        <v>0</v>
      </c>
      <c r="K180" s="3">
        <f>ROUND(Table157[[#This Row],[Defaulted Principal]]*IF($C$9="No",$E$4,VLOOKUP(Table157[[#This Row],[Period]],Forecast!$H$2:$L$1048576,3,FALSE)),2)</f>
        <v>0</v>
      </c>
      <c r="L180" s="2">
        <f>Table157[[#This Row],[Period]]+$E$9</f>
        <v>176</v>
      </c>
      <c r="M180" s="3">
        <f>Table157[[#This Row],[Defaulted Principal]]-Table157[[#This Row],[Estimated Loss]]</f>
        <v>0</v>
      </c>
      <c r="N180" s="3">
        <f>IFERROR(VLOOKUP(Table157[[#This Row],[Period]],$L$16:$M$385,2,FALSE),0)</f>
        <v>0</v>
      </c>
      <c r="O180" s="3">
        <f>Table157[[#This Row],[Beginning Balance]]-Table157[[#This Row],[Principal]]-Table157[[#This Row],[Prepayments]]-Table157[[#This Row],[Defaulted Principal]]</f>
        <v>0</v>
      </c>
      <c r="P180" s="3">
        <f>Table157[[#This Row],[Principal]]+Table157[[#This Row],[Interest]]+Table157[[#This Row],[Prepayments]]+Table157[[#This Row],[RecoveredAmount]]</f>
        <v>0</v>
      </c>
      <c r="Q180" s="3">
        <f ca="1">ROUND(Table157[[#This Row],[Cash Flow]]/((1+ActualRateToUse)^(IF(ISNUMBER(SEARCH("Actual",$C$7)),Table157[[#This Row],[Running Total]]/365,Table157[[#This Row],[Period]]/12))),2)</f>
        <v>0</v>
      </c>
      <c r="R180" s="2">
        <f>IF(MONTH(Table157[[#This Row],[Date]])=2,28,DAY(DATE(YEAR(Table157[[#This Row],[Date]]),MONTH(Table157[[#This Row],[Date]])+1,1)-1))</f>
        <v>28</v>
      </c>
      <c r="S180" s="2">
        <f ca="1">SUM(OFFSET(Table157[[#Headers],[Days in month]],1,0):Table157[[#This Row],[Days in month]])</f>
        <v>4988</v>
      </c>
      <c r="T180" s="37">
        <f>InterestRate*AmortizationMultiplier*IF(ISNUMBER(SEARCH("Actual",$C$7)),Table157[[#This Row],[Days in month]]/365,1/12)</f>
        <v>2.6833333333333336E-3</v>
      </c>
    </row>
    <row r="181" spans="2:20" x14ac:dyDescent="0.2">
      <c r="B181" s="1">
        <f t="shared" si="6"/>
        <v>50860</v>
      </c>
      <c r="C181" s="2">
        <f t="shared" si="8"/>
        <v>165</v>
      </c>
      <c r="D181" s="3">
        <f t="shared" si="7"/>
        <v>0</v>
      </c>
      <c r="E181" s="3">
        <f>ROUND(Table157[[#This Row],[Beginning Balance]]*Table157[[#This Row],[Monthly Interest Rate]],2)</f>
        <v>0</v>
      </c>
      <c r="F181" s="3">
        <f t="shared" si="9"/>
        <v>91</v>
      </c>
      <c r="G181" s="23">
        <f>IFERROR(IF($C$13="No","N/A",IF(Table157[[#This Row],[Period]]=1,$C$6,PMT(InterestRate*AmortizationMultiplier/12,Table157[[#This Row],[Am Thru]],-Table157[[#This Row],[Beginning Balance]]))),0)</f>
        <v>0</v>
      </c>
      <c r="H181" s="3">
        <f>MAX(0,IF(C181=$C$4,D181,ROUND(IF($C$3="Fixed Principal",$C$6-Table157[[#This Row],[Interest]],IF($C$3="Interest Only",Table157[[#This Row],[Beginning Balance]]*ROUND(1-(1-IF($C$11="No",$E$8,1))^(1/12),6),MIN(IF($C$13="Yes",Table157[[#This Row],[Payment Amount (Reamortized)]],$C$6)-Table157[[#This Row],[Interest]],Table157[[#This Row],[Beginning Balance]]))),2)))</f>
        <v>0</v>
      </c>
      <c r="I181" s="3">
        <f>_xlfn.SINGLE(IF($C$3="Line of Credit",0,ROUND(MAX(MIN(IF($C$10="No",$E$7,VLOOKUP(Table157[[#This Row],[Period]],Forecast!$H$2:$L$1048576,4,FALSE))*Table157[[#This Row],[Beginning Balance]],Table157[[#This Row],[Beginning Balance]]-Table157[[#This Row],[Principal]]),0),2)))</f>
        <v>0</v>
      </c>
      <c r="J181" s="3">
        <f>ROUND(MIN(Table157[[#This Row],[Beginning Balance]]*IF($C$8="No",$E$3,VLOOKUP(Table157[[#This Row],[Period]],Forecast!$H$2:$L$1048576,2,FALSE)),Table157[[#This Row],[Beginning Balance]]-Table157[[#This Row],[Principal]]-Table157[[#This Row],[Prepayments]]),2)</f>
        <v>0</v>
      </c>
      <c r="K181" s="3">
        <f>ROUND(Table157[[#This Row],[Defaulted Principal]]*IF($C$9="No",$E$4,VLOOKUP(Table157[[#This Row],[Period]],Forecast!$H$2:$L$1048576,3,FALSE)),2)</f>
        <v>0</v>
      </c>
      <c r="L181" s="2">
        <f>Table157[[#This Row],[Period]]+$E$9</f>
        <v>177</v>
      </c>
      <c r="M181" s="3">
        <f>Table157[[#This Row],[Defaulted Principal]]-Table157[[#This Row],[Estimated Loss]]</f>
        <v>0</v>
      </c>
      <c r="N181" s="3">
        <f>IFERROR(VLOOKUP(Table157[[#This Row],[Period]],$L$16:$M$385,2,FALSE),0)</f>
        <v>0</v>
      </c>
      <c r="O181" s="3">
        <f>Table157[[#This Row],[Beginning Balance]]-Table157[[#This Row],[Principal]]-Table157[[#This Row],[Prepayments]]-Table157[[#This Row],[Defaulted Principal]]</f>
        <v>0</v>
      </c>
      <c r="P181" s="3">
        <f>Table157[[#This Row],[Principal]]+Table157[[#This Row],[Interest]]+Table157[[#This Row],[Prepayments]]+Table157[[#This Row],[RecoveredAmount]]</f>
        <v>0</v>
      </c>
      <c r="Q181" s="3">
        <f ca="1">ROUND(Table157[[#This Row],[Cash Flow]]/((1+ActualRateToUse)^(IF(ISNUMBER(SEARCH("Actual",$C$7)),Table157[[#This Row],[Running Total]]/365,Table157[[#This Row],[Period]]/12))),2)</f>
        <v>0</v>
      </c>
      <c r="R181" s="2">
        <f>IF(MONTH(Table157[[#This Row],[Date]])=2,28,DAY(DATE(YEAR(Table157[[#This Row],[Date]]),MONTH(Table157[[#This Row],[Date]])+1,1)-1))</f>
        <v>31</v>
      </c>
      <c r="S181" s="2">
        <f ca="1">SUM(OFFSET(Table157[[#Headers],[Days in month]],1,0):Table157[[#This Row],[Days in month]])</f>
        <v>5019</v>
      </c>
      <c r="T181" s="37">
        <f>InterestRate*AmortizationMultiplier*IF(ISNUMBER(SEARCH("Actual",$C$7)),Table157[[#This Row],[Days in month]]/365,1/12)</f>
        <v>2.9708333333333331E-3</v>
      </c>
    </row>
    <row r="182" spans="2:20" x14ac:dyDescent="0.2">
      <c r="B182" s="1">
        <f t="shared" si="6"/>
        <v>50890</v>
      </c>
      <c r="C182" s="2">
        <f t="shared" si="8"/>
        <v>166</v>
      </c>
      <c r="D182" s="3">
        <f t="shared" si="7"/>
        <v>0</v>
      </c>
      <c r="E182" s="3">
        <f>ROUND(Table157[[#This Row],[Beginning Balance]]*Table157[[#This Row],[Monthly Interest Rate]],2)</f>
        <v>0</v>
      </c>
      <c r="F182" s="3">
        <f t="shared" si="9"/>
        <v>90</v>
      </c>
      <c r="G182" s="23">
        <f>IFERROR(IF($C$13="No","N/A",IF(Table157[[#This Row],[Period]]=1,$C$6,PMT(InterestRate*AmortizationMultiplier/12,Table157[[#This Row],[Am Thru]],-Table157[[#This Row],[Beginning Balance]]))),0)</f>
        <v>0</v>
      </c>
      <c r="H182" s="3">
        <f>MAX(0,IF(C182=$C$4,D182,ROUND(IF($C$3="Fixed Principal",$C$6-Table157[[#This Row],[Interest]],IF($C$3="Interest Only",Table157[[#This Row],[Beginning Balance]]*ROUND(1-(1-IF($C$11="No",$E$8,1))^(1/12),6),MIN(IF($C$13="Yes",Table157[[#This Row],[Payment Amount (Reamortized)]],$C$6)-Table157[[#This Row],[Interest]],Table157[[#This Row],[Beginning Balance]]))),2)))</f>
        <v>0</v>
      </c>
      <c r="I182" s="3">
        <f>_xlfn.SINGLE(IF($C$3="Line of Credit",0,ROUND(MAX(MIN(IF($C$10="No",$E$7,VLOOKUP(Table157[[#This Row],[Period]],Forecast!$H$2:$L$1048576,4,FALSE))*Table157[[#This Row],[Beginning Balance]],Table157[[#This Row],[Beginning Balance]]-Table157[[#This Row],[Principal]]),0),2)))</f>
        <v>0</v>
      </c>
      <c r="J182" s="3">
        <f>ROUND(MIN(Table157[[#This Row],[Beginning Balance]]*IF($C$8="No",$E$3,VLOOKUP(Table157[[#This Row],[Period]],Forecast!$H$2:$L$1048576,2,FALSE)),Table157[[#This Row],[Beginning Balance]]-Table157[[#This Row],[Principal]]-Table157[[#This Row],[Prepayments]]),2)</f>
        <v>0</v>
      </c>
      <c r="K182" s="3">
        <f>ROUND(Table157[[#This Row],[Defaulted Principal]]*IF($C$9="No",$E$4,VLOOKUP(Table157[[#This Row],[Period]],Forecast!$H$2:$L$1048576,3,FALSE)),2)</f>
        <v>0</v>
      </c>
      <c r="L182" s="2">
        <f>Table157[[#This Row],[Period]]+$E$9</f>
        <v>178</v>
      </c>
      <c r="M182" s="3">
        <f>Table157[[#This Row],[Defaulted Principal]]-Table157[[#This Row],[Estimated Loss]]</f>
        <v>0</v>
      </c>
      <c r="N182" s="3">
        <f>IFERROR(VLOOKUP(Table157[[#This Row],[Period]],$L$16:$M$385,2,FALSE),0)</f>
        <v>0</v>
      </c>
      <c r="O182" s="3">
        <f>Table157[[#This Row],[Beginning Balance]]-Table157[[#This Row],[Principal]]-Table157[[#This Row],[Prepayments]]-Table157[[#This Row],[Defaulted Principal]]</f>
        <v>0</v>
      </c>
      <c r="P182" s="3">
        <f>Table157[[#This Row],[Principal]]+Table157[[#This Row],[Interest]]+Table157[[#This Row],[Prepayments]]+Table157[[#This Row],[RecoveredAmount]]</f>
        <v>0</v>
      </c>
      <c r="Q182" s="3">
        <f ca="1">ROUND(Table157[[#This Row],[Cash Flow]]/((1+ActualRateToUse)^(IF(ISNUMBER(SEARCH("Actual",$C$7)),Table157[[#This Row],[Running Total]]/365,Table157[[#This Row],[Period]]/12))),2)</f>
        <v>0</v>
      </c>
      <c r="R182" s="2">
        <f>IF(MONTH(Table157[[#This Row],[Date]])=2,28,DAY(DATE(YEAR(Table157[[#This Row],[Date]]),MONTH(Table157[[#This Row],[Date]])+1,1)-1))</f>
        <v>30</v>
      </c>
      <c r="S182" s="2">
        <f ca="1">SUM(OFFSET(Table157[[#Headers],[Days in month]],1,0):Table157[[#This Row],[Days in month]])</f>
        <v>5049</v>
      </c>
      <c r="T182" s="37">
        <f>InterestRate*AmortizationMultiplier*IF(ISNUMBER(SEARCH("Actual",$C$7)),Table157[[#This Row],[Days in month]]/365,1/12)</f>
        <v>2.8749999999999995E-3</v>
      </c>
    </row>
    <row r="183" spans="2:20" x14ac:dyDescent="0.2">
      <c r="B183" s="1">
        <f t="shared" si="6"/>
        <v>50921</v>
      </c>
      <c r="C183" s="2">
        <f t="shared" si="8"/>
        <v>167</v>
      </c>
      <c r="D183" s="3">
        <f t="shared" si="7"/>
        <v>0</v>
      </c>
      <c r="E183" s="3">
        <f>ROUND(Table157[[#This Row],[Beginning Balance]]*Table157[[#This Row],[Monthly Interest Rate]],2)</f>
        <v>0</v>
      </c>
      <c r="F183" s="3">
        <f t="shared" si="9"/>
        <v>89</v>
      </c>
      <c r="G183" s="23">
        <f>IFERROR(IF($C$13="No","N/A",IF(Table157[[#This Row],[Period]]=1,$C$6,PMT(InterestRate*AmortizationMultiplier/12,Table157[[#This Row],[Am Thru]],-Table157[[#This Row],[Beginning Balance]]))),0)</f>
        <v>0</v>
      </c>
      <c r="H183" s="3">
        <f>MAX(0,IF(C183=$C$4,D183,ROUND(IF($C$3="Fixed Principal",$C$6-Table157[[#This Row],[Interest]],IF($C$3="Interest Only",Table157[[#This Row],[Beginning Balance]]*ROUND(1-(1-IF($C$11="No",$E$8,1))^(1/12),6),MIN(IF($C$13="Yes",Table157[[#This Row],[Payment Amount (Reamortized)]],$C$6)-Table157[[#This Row],[Interest]],Table157[[#This Row],[Beginning Balance]]))),2)))</f>
        <v>0</v>
      </c>
      <c r="I183" s="3">
        <f>_xlfn.SINGLE(IF($C$3="Line of Credit",0,ROUND(MAX(MIN(IF($C$10="No",$E$7,VLOOKUP(Table157[[#This Row],[Period]],Forecast!$H$2:$L$1048576,4,FALSE))*Table157[[#This Row],[Beginning Balance]],Table157[[#This Row],[Beginning Balance]]-Table157[[#This Row],[Principal]]),0),2)))</f>
        <v>0</v>
      </c>
      <c r="J183" s="3">
        <f>ROUND(MIN(Table157[[#This Row],[Beginning Balance]]*IF($C$8="No",$E$3,VLOOKUP(Table157[[#This Row],[Period]],Forecast!$H$2:$L$1048576,2,FALSE)),Table157[[#This Row],[Beginning Balance]]-Table157[[#This Row],[Principal]]-Table157[[#This Row],[Prepayments]]),2)</f>
        <v>0</v>
      </c>
      <c r="K183" s="3">
        <f>ROUND(Table157[[#This Row],[Defaulted Principal]]*IF($C$9="No",$E$4,VLOOKUP(Table157[[#This Row],[Period]],Forecast!$H$2:$L$1048576,3,FALSE)),2)</f>
        <v>0</v>
      </c>
      <c r="L183" s="2">
        <f>Table157[[#This Row],[Period]]+$E$9</f>
        <v>179</v>
      </c>
      <c r="M183" s="3">
        <f>Table157[[#This Row],[Defaulted Principal]]-Table157[[#This Row],[Estimated Loss]]</f>
        <v>0</v>
      </c>
      <c r="N183" s="3">
        <f>IFERROR(VLOOKUP(Table157[[#This Row],[Period]],$L$16:$M$385,2,FALSE),0)</f>
        <v>0</v>
      </c>
      <c r="O183" s="3">
        <f>Table157[[#This Row],[Beginning Balance]]-Table157[[#This Row],[Principal]]-Table157[[#This Row],[Prepayments]]-Table157[[#This Row],[Defaulted Principal]]</f>
        <v>0</v>
      </c>
      <c r="P183" s="3">
        <f>Table157[[#This Row],[Principal]]+Table157[[#This Row],[Interest]]+Table157[[#This Row],[Prepayments]]+Table157[[#This Row],[RecoveredAmount]]</f>
        <v>0</v>
      </c>
      <c r="Q183" s="3">
        <f ca="1">ROUND(Table157[[#This Row],[Cash Flow]]/((1+ActualRateToUse)^(IF(ISNUMBER(SEARCH("Actual",$C$7)),Table157[[#This Row],[Running Total]]/365,Table157[[#This Row],[Period]]/12))),2)</f>
        <v>0</v>
      </c>
      <c r="R183" s="2">
        <f>IF(MONTH(Table157[[#This Row],[Date]])=2,28,DAY(DATE(YEAR(Table157[[#This Row],[Date]]),MONTH(Table157[[#This Row],[Date]])+1,1)-1))</f>
        <v>31</v>
      </c>
      <c r="S183" s="2">
        <f ca="1">SUM(OFFSET(Table157[[#Headers],[Days in month]],1,0):Table157[[#This Row],[Days in month]])</f>
        <v>5080</v>
      </c>
      <c r="T183" s="37">
        <f>InterestRate*AmortizationMultiplier*IF(ISNUMBER(SEARCH("Actual",$C$7)),Table157[[#This Row],[Days in month]]/365,1/12)</f>
        <v>2.9708333333333331E-3</v>
      </c>
    </row>
    <row r="184" spans="2:20" x14ac:dyDescent="0.2">
      <c r="B184" s="1">
        <f t="shared" si="6"/>
        <v>50951</v>
      </c>
      <c r="C184" s="2">
        <f t="shared" si="8"/>
        <v>168</v>
      </c>
      <c r="D184" s="3">
        <f t="shared" si="7"/>
        <v>0</v>
      </c>
      <c r="E184" s="3">
        <f>ROUND(Table157[[#This Row],[Beginning Balance]]*Table157[[#This Row],[Monthly Interest Rate]],2)</f>
        <v>0</v>
      </c>
      <c r="F184" s="3">
        <f t="shared" si="9"/>
        <v>88</v>
      </c>
      <c r="G184" s="23">
        <f>IFERROR(IF($C$13="No","N/A",IF(Table157[[#This Row],[Period]]=1,$C$6,PMT(InterestRate*AmortizationMultiplier/12,Table157[[#This Row],[Am Thru]],-Table157[[#This Row],[Beginning Balance]]))),0)</f>
        <v>0</v>
      </c>
      <c r="H184" s="3">
        <f>MAX(0,IF(C184=$C$4,D184,ROUND(IF($C$3="Fixed Principal",$C$6-Table157[[#This Row],[Interest]],IF($C$3="Interest Only",Table157[[#This Row],[Beginning Balance]]*ROUND(1-(1-IF($C$11="No",$E$8,1))^(1/12),6),MIN(IF($C$13="Yes",Table157[[#This Row],[Payment Amount (Reamortized)]],$C$6)-Table157[[#This Row],[Interest]],Table157[[#This Row],[Beginning Balance]]))),2)))</f>
        <v>0</v>
      </c>
      <c r="I184" s="3">
        <f>_xlfn.SINGLE(IF($C$3="Line of Credit",0,ROUND(MAX(MIN(IF($C$10="No",$E$7,VLOOKUP(Table157[[#This Row],[Period]],Forecast!$H$2:$L$1048576,4,FALSE))*Table157[[#This Row],[Beginning Balance]],Table157[[#This Row],[Beginning Balance]]-Table157[[#This Row],[Principal]]),0),2)))</f>
        <v>0</v>
      </c>
      <c r="J184" s="3">
        <f>ROUND(MIN(Table157[[#This Row],[Beginning Balance]]*IF($C$8="No",$E$3,VLOOKUP(Table157[[#This Row],[Period]],Forecast!$H$2:$L$1048576,2,FALSE)),Table157[[#This Row],[Beginning Balance]]-Table157[[#This Row],[Principal]]-Table157[[#This Row],[Prepayments]]),2)</f>
        <v>0</v>
      </c>
      <c r="K184" s="3">
        <f>ROUND(Table157[[#This Row],[Defaulted Principal]]*IF($C$9="No",$E$4,VLOOKUP(Table157[[#This Row],[Period]],Forecast!$H$2:$L$1048576,3,FALSE)),2)</f>
        <v>0</v>
      </c>
      <c r="L184" s="2">
        <f>Table157[[#This Row],[Period]]+$E$9</f>
        <v>180</v>
      </c>
      <c r="M184" s="3">
        <f>Table157[[#This Row],[Defaulted Principal]]-Table157[[#This Row],[Estimated Loss]]</f>
        <v>0</v>
      </c>
      <c r="N184" s="3">
        <f>IFERROR(VLOOKUP(Table157[[#This Row],[Period]],$L$16:$M$385,2,FALSE),0)</f>
        <v>0</v>
      </c>
      <c r="O184" s="3">
        <f>Table157[[#This Row],[Beginning Balance]]-Table157[[#This Row],[Principal]]-Table157[[#This Row],[Prepayments]]-Table157[[#This Row],[Defaulted Principal]]</f>
        <v>0</v>
      </c>
      <c r="P184" s="3">
        <f>Table157[[#This Row],[Principal]]+Table157[[#This Row],[Interest]]+Table157[[#This Row],[Prepayments]]+Table157[[#This Row],[RecoveredAmount]]</f>
        <v>0</v>
      </c>
      <c r="Q184" s="3">
        <f ca="1">ROUND(Table157[[#This Row],[Cash Flow]]/((1+ActualRateToUse)^(IF(ISNUMBER(SEARCH("Actual",$C$7)),Table157[[#This Row],[Running Total]]/365,Table157[[#This Row],[Period]]/12))),2)</f>
        <v>0</v>
      </c>
      <c r="R184" s="2">
        <f>IF(MONTH(Table157[[#This Row],[Date]])=2,28,DAY(DATE(YEAR(Table157[[#This Row],[Date]]),MONTH(Table157[[#This Row],[Date]])+1,1)-1))</f>
        <v>30</v>
      </c>
      <c r="S184" s="2">
        <f ca="1">SUM(OFFSET(Table157[[#Headers],[Days in month]],1,0):Table157[[#This Row],[Days in month]])</f>
        <v>5110</v>
      </c>
      <c r="T184" s="37">
        <f>InterestRate*AmortizationMultiplier*IF(ISNUMBER(SEARCH("Actual",$C$7)),Table157[[#This Row],[Days in month]]/365,1/12)</f>
        <v>2.8749999999999995E-3</v>
      </c>
    </row>
    <row r="185" spans="2:20" x14ac:dyDescent="0.2">
      <c r="B185" s="1">
        <f t="shared" si="6"/>
        <v>50982</v>
      </c>
      <c r="C185" s="2">
        <f t="shared" si="8"/>
        <v>169</v>
      </c>
      <c r="D185" s="3">
        <f t="shared" si="7"/>
        <v>0</v>
      </c>
      <c r="E185" s="3">
        <f>ROUND(Table157[[#This Row],[Beginning Balance]]*Table157[[#This Row],[Monthly Interest Rate]],2)</f>
        <v>0</v>
      </c>
      <c r="F185" s="3">
        <f t="shared" si="9"/>
        <v>87</v>
      </c>
      <c r="G185" s="23">
        <f>IFERROR(IF($C$13="No","N/A",IF(Table157[[#This Row],[Period]]=1,$C$6,PMT(InterestRate*AmortizationMultiplier/12,Table157[[#This Row],[Am Thru]],-Table157[[#This Row],[Beginning Balance]]))),0)</f>
        <v>0</v>
      </c>
      <c r="H185" s="3">
        <f>MAX(0,IF(C185=$C$4,D185,ROUND(IF($C$3="Fixed Principal",$C$6-Table157[[#This Row],[Interest]],IF($C$3="Interest Only",Table157[[#This Row],[Beginning Balance]]*ROUND(1-(1-IF($C$11="No",$E$8,1))^(1/12),6),MIN(IF($C$13="Yes",Table157[[#This Row],[Payment Amount (Reamortized)]],$C$6)-Table157[[#This Row],[Interest]],Table157[[#This Row],[Beginning Balance]]))),2)))</f>
        <v>0</v>
      </c>
      <c r="I185" s="3">
        <f>_xlfn.SINGLE(IF($C$3="Line of Credit",0,ROUND(MAX(MIN(IF($C$10="No",$E$7,VLOOKUP(Table157[[#This Row],[Period]],Forecast!$H$2:$L$1048576,4,FALSE))*Table157[[#This Row],[Beginning Balance]],Table157[[#This Row],[Beginning Balance]]-Table157[[#This Row],[Principal]]),0),2)))</f>
        <v>0</v>
      </c>
      <c r="J185" s="3">
        <f>ROUND(MIN(Table157[[#This Row],[Beginning Balance]]*IF($C$8="No",$E$3,VLOOKUP(Table157[[#This Row],[Period]],Forecast!$H$2:$L$1048576,2,FALSE)),Table157[[#This Row],[Beginning Balance]]-Table157[[#This Row],[Principal]]-Table157[[#This Row],[Prepayments]]),2)</f>
        <v>0</v>
      </c>
      <c r="K185" s="3">
        <f>ROUND(Table157[[#This Row],[Defaulted Principal]]*IF($C$9="No",$E$4,VLOOKUP(Table157[[#This Row],[Period]],Forecast!$H$2:$L$1048576,3,FALSE)),2)</f>
        <v>0</v>
      </c>
      <c r="L185" s="2">
        <f>Table157[[#This Row],[Period]]+$E$9</f>
        <v>181</v>
      </c>
      <c r="M185" s="3">
        <f>Table157[[#This Row],[Defaulted Principal]]-Table157[[#This Row],[Estimated Loss]]</f>
        <v>0</v>
      </c>
      <c r="N185" s="3">
        <f>IFERROR(VLOOKUP(Table157[[#This Row],[Period]],$L$16:$M$385,2,FALSE),0)</f>
        <v>0</v>
      </c>
      <c r="O185" s="3">
        <f>Table157[[#This Row],[Beginning Balance]]-Table157[[#This Row],[Principal]]-Table157[[#This Row],[Prepayments]]-Table157[[#This Row],[Defaulted Principal]]</f>
        <v>0</v>
      </c>
      <c r="P185" s="3">
        <f>Table157[[#This Row],[Principal]]+Table157[[#This Row],[Interest]]+Table157[[#This Row],[Prepayments]]+Table157[[#This Row],[RecoveredAmount]]</f>
        <v>0</v>
      </c>
      <c r="Q185" s="3">
        <f ca="1">ROUND(Table157[[#This Row],[Cash Flow]]/((1+ActualRateToUse)^(IF(ISNUMBER(SEARCH("Actual",$C$7)),Table157[[#This Row],[Running Total]]/365,Table157[[#This Row],[Period]]/12))),2)</f>
        <v>0</v>
      </c>
      <c r="R185" s="2">
        <f>IF(MONTH(Table157[[#This Row],[Date]])=2,28,DAY(DATE(YEAR(Table157[[#This Row],[Date]]),MONTH(Table157[[#This Row],[Date]])+1,1)-1))</f>
        <v>31</v>
      </c>
      <c r="S185" s="2">
        <f ca="1">SUM(OFFSET(Table157[[#Headers],[Days in month]],1,0):Table157[[#This Row],[Days in month]])</f>
        <v>5141</v>
      </c>
      <c r="T185" s="37">
        <f>InterestRate*AmortizationMultiplier*IF(ISNUMBER(SEARCH("Actual",$C$7)),Table157[[#This Row],[Days in month]]/365,1/12)</f>
        <v>2.9708333333333331E-3</v>
      </c>
    </row>
    <row r="186" spans="2:20" x14ac:dyDescent="0.2">
      <c r="B186" s="1">
        <f t="shared" si="6"/>
        <v>51013</v>
      </c>
      <c r="C186" s="2">
        <f t="shared" si="8"/>
        <v>170</v>
      </c>
      <c r="D186" s="3">
        <f t="shared" si="7"/>
        <v>0</v>
      </c>
      <c r="E186" s="3">
        <f>ROUND(Table157[[#This Row],[Beginning Balance]]*Table157[[#This Row],[Monthly Interest Rate]],2)</f>
        <v>0</v>
      </c>
      <c r="F186" s="3">
        <f t="shared" si="9"/>
        <v>86</v>
      </c>
      <c r="G186" s="23">
        <f>IFERROR(IF($C$13="No","N/A",IF(Table157[[#This Row],[Period]]=1,$C$6,PMT(InterestRate*AmortizationMultiplier/12,Table157[[#This Row],[Am Thru]],-Table157[[#This Row],[Beginning Balance]]))),0)</f>
        <v>0</v>
      </c>
      <c r="H186" s="3">
        <f>MAX(0,IF(C186=$C$4,D186,ROUND(IF($C$3="Fixed Principal",$C$6-Table157[[#This Row],[Interest]],IF($C$3="Interest Only",Table157[[#This Row],[Beginning Balance]]*ROUND(1-(1-IF($C$11="No",$E$8,1))^(1/12),6),MIN(IF($C$13="Yes",Table157[[#This Row],[Payment Amount (Reamortized)]],$C$6)-Table157[[#This Row],[Interest]],Table157[[#This Row],[Beginning Balance]]))),2)))</f>
        <v>0</v>
      </c>
      <c r="I186" s="3">
        <f>_xlfn.SINGLE(IF($C$3="Line of Credit",0,ROUND(MAX(MIN(IF($C$10="No",$E$7,VLOOKUP(Table157[[#This Row],[Period]],Forecast!$H$2:$L$1048576,4,FALSE))*Table157[[#This Row],[Beginning Balance]],Table157[[#This Row],[Beginning Balance]]-Table157[[#This Row],[Principal]]),0),2)))</f>
        <v>0</v>
      </c>
      <c r="J186" s="3">
        <f>ROUND(MIN(Table157[[#This Row],[Beginning Balance]]*IF($C$8="No",$E$3,VLOOKUP(Table157[[#This Row],[Period]],Forecast!$H$2:$L$1048576,2,FALSE)),Table157[[#This Row],[Beginning Balance]]-Table157[[#This Row],[Principal]]-Table157[[#This Row],[Prepayments]]),2)</f>
        <v>0</v>
      </c>
      <c r="K186" s="3">
        <f>ROUND(Table157[[#This Row],[Defaulted Principal]]*IF($C$9="No",$E$4,VLOOKUP(Table157[[#This Row],[Period]],Forecast!$H$2:$L$1048576,3,FALSE)),2)</f>
        <v>0</v>
      </c>
      <c r="L186" s="2">
        <f>Table157[[#This Row],[Period]]+$E$9</f>
        <v>182</v>
      </c>
      <c r="M186" s="3">
        <f>Table157[[#This Row],[Defaulted Principal]]-Table157[[#This Row],[Estimated Loss]]</f>
        <v>0</v>
      </c>
      <c r="N186" s="3">
        <f>IFERROR(VLOOKUP(Table157[[#This Row],[Period]],$L$16:$M$385,2,FALSE),0)</f>
        <v>0</v>
      </c>
      <c r="O186" s="3">
        <f>Table157[[#This Row],[Beginning Balance]]-Table157[[#This Row],[Principal]]-Table157[[#This Row],[Prepayments]]-Table157[[#This Row],[Defaulted Principal]]</f>
        <v>0</v>
      </c>
      <c r="P186" s="3">
        <f>Table157[[#This Row],[Principal]]+Table157[[#This Row],[Interest]]+Table157[[#This Row],[Prepayments]]+Table157[[#This Row],[RecoveredAmount]]</f>
        <v>0</v>
      </c>
      <c r="Q186" s="3">
        <f ca="1">ROUND(Table157[[#This Row],[Cash Flow]]/((1+ActualRateToUse)^(IF(ISNUMBER(SEARCH("Actual",$C$7)),Table157[[#This Row],[Running Total]]/365,Table157[[#This Row],[Period]]/12))),2)</f>
        <v>0</v>
      </c>
      <c r="R186" s="2">
        <f>IF(MONTH(Table157[[#This Row],[Date]])=2,28,DAY(DATE(YEAR(Table157[[#This Row],[Date]]),MONTH(Table157[[#This Row],[Date]])+1,1)-1))</f>
        <v>31</v>
      </c>
      <c r="S186" s="2">
        <f ca="1">SUM(OFFSET(Table157[[#Headers],[Days in month]],1,0):Table157[[#This Row],[Days in month]])</f>
        <v>5172</v>
      </c>
      <c r="T186" s="37">
        <f>InterestRate*AmortizationMultiplier*IF(ISNUMBER(SEARCH("Actual",$C$7)),Table157[[#This Row],[Days in month]]/365,1/12)</f>
        <v>2.9708333333333331E-3</v>
      </c>
    </row>
    <row r="187" spans="2:20" x14ac:dyDescent="0.2">
      <c r="B187" s="1">
        <f t="shared" si="6"/>
        <v>51043</v>
      </c>
      <c r="C187" s="2">
        <f t="shared" si="8"/>
        <v>171</v>
      </c>
      <c r="D187" s="3">
        <f t="shared" si="7"/>
        <v>0</v>
      </c>
      <c r="E187" s="3">
        <f>ROUND(Table157[[#This Row],[Beginning Balance]]*Table157[[#This Row],[Monthly Interest Rate]],2)</f>
        <v>0</v>
      </c>
      <c r="F187" s="3">
        <f t="shared" si="9"/>
        <v>85</v>
      </c>
      <c r="G187" s="23">
        <f>IFERROR(IF($C$13="No","N/A",IF(Table157[[#This Row],[Period]]=1,$C$6,PMT(InterestRate*AmortizationMultiplier/12,Table157[[#This Row],[Am Thru]],-Table157[[#This Row],[Beginning Balance]]))),0)</f>
        <v>0</v>
      </c>
      <c r="H187" s="3">
        <f>MAX(0,IF(C187=$C$4,D187,ROUND(IF($C$3="Fixed Principal",$C$6-Table157[[#This Row],[Interest]],IF($C$3="Interest Only",Table157[[#This Row],[Beginning Balance]]*ROUND(1-(1-IF($C$11="No",$E$8,1))^(1/12),6),MIN(IF($C$13="Yes",Table157[[#This Row],[Payment Amount (Reamortized)]],$C$6)-Table157[[#This Row],[Interest]],Table157[[#This Row],[Beginning Balance]]))),2)))</f>
        <v>0</v>
      </c>
      <c r="I187" s="3">
        <f>_xlfn.SINGLE(IF($C$3="Line of Credit",0,ROUND(MAX(MIN(IF($C$10="No",$E$7,VLOOKUP(Table157[[#This Row],[Period]],Forecast!$H$2:$L$1048576,4,FALSE))*Table157[[#This Row],[Beginning Balance]],Table157[[#This Row],[Beginning Balance]]-Table157[[#This Row],[Principal]]),0),2)))</f>
        <v>0</v>
      </c>
      <c r="J187" s="3">
        <f>ROUND(MIN(Table157[[#This Row],[Beginning Balance]]*IF($C$8="No",$E$3,VLOOKUP(Table157[[#This Row],[Period]],Forecast!$H$2:$L$1048576,2,FALSE)),Table157[[#This Row],[Beginning Balance]]-Table157[[#This Row],[Principal]]-Table157[[#This Row],[Prepayments]]),2)</f>
        <v>0</v>
      </c>
      <c r="K187" s="3">
        <f>ROUND(Table157[[#This Row],[Defaulted Principal]]*IF($C$9="No",$E$4,VLOOKUP(Table157[[#This Row],[Period]],Forecast!$H$2:$L$1048576,3,FALSE)),2)</f>
        <v>0</v>
      </c>
      <c r="L187" s="2">
        <f>Table157[[#This Row],[Period]]+$E$9</f>
        <v>183</v>
      </c>
      <c r="M187" s="3">
        <f>Table157[[#This Row],[Defaulted Principal]]-Table157[[#This Row],[Estimated Loss]]</f>
        <v>0</v>
      </c>
      <c r="N187" s="3">
        <f>IFERROR(VLOOKUP(Table157[[#This Row],[Period]],$L$16:$M$385,2,FALSE),0)</f>
        <v>0</v>
      </c>
      <c r="O187" s="3">
        <f>Table157[[#This Row],[Beginning Balance]]-Table157[[#This Row],[Principal]]-Table157[[#This Row],[Prepayments]]-Table157[[#This Row],[Defaulted Principal]]</f>
        <v>0</v>
      </c>
      <c r="P187" s="3">
        <f>Table157[[#This Row],[Principal]]+Table157[[#This Row],[Interest]]+Table157[[#This Row],[Prepayments]]+Table157[[#This Row],[RecoveredAmount]]</f>
        <v>0</v>
      </c>
      <c r="Q187" s="3">
        <f ca="1">ROUND(Table157[[#This Row],[Cash Flow]]/((1+ActualRateToUse)^(IF(ISNUMBER(SEARCH("Actual",$C$7)),Table157[[#This Row],[Running Total]]/365,Table157[[#This Row],[Period]]/12))),2)</f>
        <v>0</v>
      </c>
      <c r="R187" s="2">
        <f>IF(MONTH(Table157[[#This Row],[Date]])=2,28,DAY(DATE(YEAR(Table157[[#This Row],[Date]]),MONTH(Table157[[#This Row],[Date]])+1,1)-1))</f>
        <v>30</v>
      </c>
      <c r="S187" s="2">
        <f ca="1">SUM(OFFSET(Table157[[#Headers],[Days in month]],1,0):Table157[[#This Row],[Days in month]])</f>
        <v>5202</v>
      </c>
      <c r="T187" s="37">
        <f>InterestRate*AmortizationMultiplier*IF(ISNUMBER(SEARCH("Actual",$C$7)),Table157[[#This Row],[Days in month]]/365,1/12)</f>
        <v>2.8749999999999995E-3</v>
      </c>
    </row>
    <row r="188" spans="2:20" x14ac:dyDescent="0.2">
      <c r="B188" s="1">
        <f t="shared" si="6"/>
        <v>51074</v>
      </c>
      <c r="C188" s="2">
        <f t="shared" si="8"/>
        <v>172</v>
      </c>
      <c r="D188" s="3">
        <f t="shared" si="7"/>
        <v>0</v>
      </c>
      <c r="E188" s="3">
        <f>ROUND(Table157[[#This Row],[Beginning Balance]]*Table157[[#This Row],[Monthly Interest Rate]],2)</f>
        <v>0</v>
      </c>
      <c r="F188" s="3">
        <f t="shared" si="9"/>
        <v>84</v>
      </c>
      <c r="G188" s="23">
        <f>IFERROR(IF($C$13="No","N/A",IF(Table157[[#This Row],[Period]]=1,$C$6,PMT(InterestRate*AmortizationMultiplier/12,Table157[[#This Row],[Am Thru]],-Table157[[#This Row],[Beginning Balance]]))),0)</f>
        <v>0</v>
      </c>
      <c r="H188" s="3">
        <f>MAX(0,IF(C188=$C$4,D188,ROUND(IF($C$3="Fixed Principal",$C$6-Table157[[#This Row],[Interest]],IF($C$3="Interest Only",Table157[[#This Row],[Beginning Balance]]*ROUND(1-(1-IF($C$11="No",$E$8,1))^(1/12),6),MIN(IF($C$13="Yes",Table157[[#This Row],[Payment Amount (Reamortized)]],$C$6)-Table157[[#This Row],[Interest]],Table157[[#This Row],[Beginning Balance]]))),2)))</f>
        <v>0</v>
      </c>
      <c r="I188" s="3">
        <f>_xlfn.SINGLE(IF($C$3="Line of Credit",0,ROUND(MAX(MIN(IF($C$10="No",$E$7,VLOOKUP(Table157[[#This Row],[Period]],Forecast!$H$2:$L$1048576,4,FALSE))*Table157[[#This Row],[Beginning Balance]],Table157[[#This Row],[Beginning Balance]]-Table157[[#This Row],[Principal]]),0),2)))</f>
        <v>0</v>
      </c>
      <c r="J188" s="3">
        <f>ROUND(MIN(Table157[[#This Row],[Beginning Balance]]*IF($C$8="No",$E$3,VLOOKUP(Table157[[#This Row],[Period]],Forecast!$H$2:$L$1048576,2,FALSE)),Table157[[#This Row],[Beginning Balance]]-Table157[[#This Row],[Principal]]-Table157[[#This Row],[Prepayments]]),2)</f>
        <v>0</v>
      </c>
      <c r="K188" s="3">
        <f>ROUND(Table157[[#This Row],[Defaulted Principal]]*IF($C$9="No",$E$4,VLOOKUP(Table157[[#This Row],[Period]],Forecast!$H$2:$L$1048576,3,FALSE)),2)</f>
        <v>0</v>
      </c>
      <c r="L188" s="2">
        <f>Table157[[#This Row],[Period]]+$E$9</f>
        <v>184</v>
      </c>
      <c r="M188" s="3">
        <f>Table157[[#This Row],[Defaulted Principal]]-Table157[[#This Row],[Estimated Loss]]</f>
        <v>0</v>
      </c>
      <c r="N188" s="3">
        <f>IFERROR(VLOOKUP(Table157[[#This Row],[Period]],$L$16:$M$385,2,FALSE),0)</f>
        <v>0</v>
      </c>
      <c r="O188" s="3">
        <f>Table157[[#This Row],[Beginning Balance]]-Table157[[#This Row],[Principal]]-Table157[[#This Row],[Prepayments]]-Table157[[#This Row],[Defaulted Principal]]</f>
        <v>0</v>
      </c>
      <c r="P188" s="3">
        <f>Table157[[#This Row],[Principal]]+Table157[[#This Row],[Interest]]+Table157[[#This Row],[Prepayments]]+Table157[[#This Row],[RecoveredAmount]]</f>
        <v>0</v>
      </c>
      <c r="Q188" s="3">
        <f ca="1">ROUND(Table157[[#This Row],[Cash Flow]]/((1+ActualRateToUse)^(IF(ISNUMBER(SEARCH("Actual",$C$7)),Table157[[#This Row],[Running Total]]/365,Table157[[#This Row],[Period]]/12))),2)</f>
        <v>0</v>
      </c>
      <c r="R188" s="2">
        <f>IF(MONTH(Table157[[#This Row],[Date]])=2,28,DAY(DATE(YEAR(Table157[[#This Row],[Date]]),MONTH(Table157[[#This Row],[Date]])+1,1)-1))</f>
        <v>31</v>
      </c>
      <c r="S188" s="2">
        <f ca="1">SUM(OFFSET(Table157[[#Headers],[Days in month]],1,0):Table157[[#This Row],[Days in month]])</f>
        <v>5233</v>
      </c>
      <c r="T188" s="37">
        <f>InterestRate*AmortizationMultiplier*IF(ISNUMBER(SEARCH("Actual",$C$7)),Table157[[#This Row],[Days in month]]/365,1/12)</f>
        <v>2.9708333333333331E-3</v>
      </c>
    </row>
    <row r="189" spans="2:20" x14ac:dyDescent="0.2">
      <c r="B189" s="1">
        <f t="shared" si="6"/>
        <v>51104</v>
      </c>
      <c r="C189" s="2">
        <f t="shared" si="8"/>
        <v>173</v>
      </c>
      <c r="D189" s="3">
        <f t="shared" si="7"/>
        <v>0</v>
      </c>
      <c r="E189" s="3">
        <f>ROUND(Table157[[#This Row],[Beginning Balance]]*Table157[[#This Row],[Monthly Interest Rate]],2)</f>
        <v>0</v>
      </c>
      <c r="F189" s="3">
        <f t="shared" si="9"/>
        <v>83</v>
      </c>
      <c r="G189" s="23">
        <f>IFERROR(IF($C$13="No","N/A",IF(Table157[[#This Row],[Period]]=1,$C$6,PMT(InterestRate*AmortizationMultiplier/12,Table157[[#This Row],[Am Thru]],-Table157[[#This Row],[Beginning Balance]]))),0)</f>
        <v>0</v>
      </c>
      <c r="H189" s="3">
        <f>MAX(0,IF(C189=$C$4,D189,ROUND(IF($C$3="Fixed Principal",$C$6-Table157[[#This Row],[Interest]],IF($C$3="Interest Only",Table157[[#This Row],[Beginning Balance]]*ROUND(1-(1-IF($C$11="No",$E$8,1))^(1/12),6),MIN(IF($C$13="Yes",Table157[[#This Row],[Payment Amount (Reamortized)]],$C$6)-Table157[[#This Row],[Interest]],Table157[[#This Row],[Beginning Balance]]))),2)))</f>
        <v>0</v>
      </c>
      <c r="I189" s="3">
        <f>_xlfn.SINGLE(IF($C$3="Line of Credit",0,ROUND(MAX(MIN(IF($C$10="No",$E$7,VLOOKUP(Table157[[#This Row],[Period]],Forecast!$H$2:$L$1048576,4,FALSE))*Table157[[#This Row],[Beginning Balance]],Table157[[#This Row],[Beginning Balance]]-Table157[[#This Row],[Principal]]),0),2)))</f>
        <v>0</v>
      </c>
      <c r="J189" s="3">
        <f>ROUND(MIN(Table157[[#This Row],[Beginning Balance]]*IF($C$8="No",$E$3,VLOOKUP(Table157[[#This Row],[Period]],Forecast!$H$2:$L$1048576,2,FALSE)),Table157[[#This Row],[Beginning Balance]]-Table157[[#This Row],[Principal]]-Table157[[#This Row],[Prepayments]]),2)</f>
        <v>0</v>
      </c>
      <c r="K189" s="3">
        <f>ROUND(Table157[[#This Row],[Defaulted Principal]]*IF($C$9="No",$E$4,VLOOKUP(Table157[[#This Row],[Period]],Forecast!$H$2:$L$1048576,3,FALSE)),2)</f>
        <v>0</v>
      </c>
      <c r="L189" s="2">
        <f>Table157[[#This Row],[Period]]+$E$9</f>
        <v>185</v>
      </c>
      <c r="M189" s="3">
        <f>Table157[[#This Row],[Defaulted Principal]]-Table157[[#This Row],[Estimated Loss]]</f>
        <v>0</v>
      </c>
      <c r="N189" s="3">
        <f>IFERROR(VLOOKUP(Table157[[#This Row],[Period]],$L$16:$M$385,2,FALSE),0)</f>
        <v>0</v>
      </c>
      <c r="O189" s="3">
        <f>Table157[[#This Row],[Beginning Balance]]-Table157[[#This Row],[Principal]]-Table157[[#This Row],[Prepayments]]-Table157[[#This Row],[Defaulted Principal]]</f>
        <v>0</v>
      </c>
      <c r="P189" s="3">
        <f>Table157[[#This Row],[Principal]]+Table157[[#This Row],[Interest]]+Table157[[#This Row],[Prepayments]]+Table157[[#This Row],[RecoveredAmount]]</f>
        <v>0</v>
      </c>
      <c r="Q189" s="3">
        <f ca="1">ROUND(Table157[[#This Row],[Cash Flow]]/((1+ActualRateToUse)^(IF(ISNUMBER(SEARCH("Actual",$C$7)),Table157[[#This Row],[Running Total]]/365,Table157[[#This Row],[Period]]/12))),2)</f>
        <v>0</v>
      </c>
      <c r="R189" s="2">
        <f>IF(MONTH(Table157[[#This Row],[Date]])=2,28,DAY(DATE(YEAR(Table157[[#This Row],[Date]]),MONTH(Table157[[#This Row],[Date]])+1,1)-1))</f>
        <v>30</v>
      </c>
      <c r="S189" s="2">
        <f ca="1">SUM(OFFSET(Table157[[#Headers],[Days in month]],1,0):Table157[[#This Row],[Days in month]])</f>
        <v>5263</v>
      </c>
      <c r="T189" s="37">
        <f>InterestRate*AmortizationMultiplier*IF(ISNUMBER(SEARCH("Actual",$C$7)),Table157[[#This Row],[Days in month]]/365,1/12)</f>
        <v>2.8749999999999995E-3</v>
      </c>
    </row>
    <row r="190" spans="2:20" x14ac:dyDescent="0.2">
      <c r="B190" s="1">
        <f t="shared" si="6"/>
        <v>51135</v>
      </c>
      <c r="C190" s="2">
        <f t="shared" si="8"/>
        <v>174</v>
      </c>
      <c r="D190" s="3">
        <f t="shared" si="7"/>
        <v>0</v>
      </c>
      <c r="E190" s="3">
        <f>ROUND(Table157[[#This Row],[Beginning Balance]]*Table157[[#This Row],[Monthly Interest Rate]],2)</f>
        <v>0</v>
      </c>
      <c r="F190" s="3">
        <f t="shared" si="9"/>
        <v>82</v>
      </c>
      <c r="G190" s="23">
        <f>IFERROR(IF($C$13="No","N/A",IF(Table157[[#This Row],[Period]]=1,$C$6,PMT(InterestRate*AmortizationMultiplier/12,Table157[[#This Row],[Am Thru]],-Table157[[#This Row],[Beginning Balance]]))),0)</f>
        <v>0</v>
      </c>
      <c r="H190" s="3">
        <f>MAX(0,IF(C190=$C$4,D190,ROUND(IF($C$3="Fixed Principal",$C$6-Table157[[#This Row],[Interest]],IF($C$3="Interest Only",Table157[[#This Row],[Beginning Balance]]*ROUND(1-(1-IF($C$11="No",$E$8,1))^(1/12),6),MIN(IF($C$13="Yes",Table157[[#This Row],[Payment Amount (Reamortized)]],$C$6)-Table157[[#This Row],[Interest]],Table157[[#This Row],[Beginning Balance]]))),2)))</f>
        <v>0</v>
      </c>
      <c r="I190" s="3">
        <f>_xlfn.SINGLE(IF($C$3="Line of Credit",0,ROUND(MAX(MIN(IF($C$10="No",$E$7,VLOOKUP(Table157[[#This Row],[Period]],Forecast!$H$2:$L$1048576,4,FALSE))*Table157[[#This Row],[Beginning Balance]],Table157[[#This Row],[Beginning Balance]]-Table157[[#This Row],[Principal]]),0),2)))</f>
        <v>0</v>
      </c>
      <c r="J190" s="3">
        <f>ROUND(MIN(Table157[[#This Row],[Beginning Balance]]*IF($C$8="No",$E$3,VLOOKUP(Table157[[#This Row],[Period]],Forecast!$H$2:$L$1048576,2,FALSE)),Table157[[#This Row],[Beginning Balance]]-Table157[[#This Row],[Principal]]-Table157[[#This Row],[Prepayments]]),2)</f>
        <v>0</v>
      </c>
      <c r="K190" s="3">
        <f>ROUND(Table157[[#This Row],[Defaulted Principal]]*IF($C$9="No",$E$4,VLOOKUP(Table157[[#This Row],[Period]],Forecast!$H$2:$L$1048576,3,FALSE)),2)</f>
        <v>0</v>
      </c>
      <c r="L190" s="2">
        <f>Table157[[#This Row],[Period]]+$E$9</f>
        <v>186</v>
      </c>
      <c r="M190" s="3">
        <f>Table157[[#This Row],[Defaulted Principal]]-Table157[[#This Row],[Estimated Loss]]</f>
        <v>0</v>
      </c>
      <c r="N190" s="3">
        <f>IFERROR(VLOOKUP(Table157[[#This Row],[Period]],$L$16:$M$385,2,FALSE),0)</f>
        <v>0</v>
      </c>
      <c r="O190" s="3">
        <f>Table157[[#This Row],[Beginning Balance]]-Table157[[#This Row],[Principal]]-Table157[[#This Row],[Prepayments]]-Table157[[#This Row],[Defaulted Principal]]</f>
        <v>0</v>
      </c>
      <c r="P190" s="3">
        <f>Table157[[#This Row],[Principal]]+Table157[[#This Row],[Interest]]+Table157[[#This Row],[Prepayments]]+Table157[[#This Row],[RecoveredAmount]]</f>
        <v>0</v>
      </c>
      <c r="Q190" s="3">
        <f ca="1">ROUND(Table157[[#This Row],[Cash Flow]]/((1+ActualRateToUse)^(IF(ISNUMBER(SEARCH("Actual",$C$7)),Table157[[#This Row],[Running Total]]/365,Table157[[#This Row],[Period]]/12))),2)</f>
        <v>0</v>
      </c>
      <c r="R190" s="2">
        <f>IF(MONTH(Table157[[#This Row],[Date]])=2,28,DAY(DATE(YEAR(Table157[[#This Row],[Date]]),MONTH(Table157[[#This Row],[Date]])+1,1)-1))</f>
        <v>31</v>
      </c>
      <c r="S190" s="2">
        <f ca="1">SUM(OFFSET(Table157[[#Headers],[Days in month]],1,0):Table157[[#This Row],[Days in month]])</f>
        <v>5294</v>
      </c>
      <c r="T190" s="37">
        <f>InterestRate*AmortizationMultiplier*IF(ISNUMBER(SEARCH("Actual",$C$7)),Table157[[#This Row],[Days in month]]/365,1/12)</f>
        <v>2.9708333333333331E-3</v>
      </c>
    </row>
    <row r="191" spans="2:20" x14ac:dyDescent="0.2">
      <c r="B191" s="1">
        <f t="shared" si="6"/>
        <v>51166</v>
      </c>
      <c r="C191" s="2">
        <f t="shared" si="8"/>
        <v>175</v>
      </c>
      <c r="D191" s="3">
        <f t="shared" si="7"/>
        <v>0</v>
      </c>
      <c r="E191" s="3">
        <f>ROUND(Table157[[#This Row],[Beginning Balance]]*Table157[[#This Row],[Monthly Interest Rate]],2)</f>
        <v>0</v>
      </c>
      <c r="F191" s="3">
        <f t="shared" si="9"/>
        <v>81</v>
      </c>
      <c r="G191" s="23">
        <f>IFERROR(IF($C$13="No","N/A",IF(Table157[[#This Row],[Period]]=1,$C$6,PMT(InterestRate*AmortizationMultiplier/12,Table157[[#This Row],[Am Thru]],-Table157[[#This Row],[Beginning Balance]]))),0)</f>
        <v>0</v>
      </c>
      <c r="H191" s="3">
        <f>MAX(0,IF(C191=$C$4,D191,ROUND(IF($C$3="Fixed Principal",$C$6-Table157[[#This Row],[Interest]],IF($C$3="Interest Only",Table157[[#This Row],[Beginning Balance]]*ROUND(1-(1-IF($C$11="No",$E$8,1))^(1/12),6),MIN(IF($C$13="Yes",Table157[[#This Row],[Payment Amount (Reamortized)]],$C$6)-Table157[[#This Row],[Interest]],Table157[[#This Row],[Beginning Balance]]))),2)))</f>
        <v>0</v>
      </c>
      <c r="I191" s="3">
        <f>_xlfn.SINGLE(IF($C$3="Line of Credit",0,ROUND(MAX(MIN(IF($C$10="No",$E$7,VLOOKUP(Table157[[#This Row],[Period]],Forecast!$H$2:$L$1048576,4,FALSE))*Table157[[#This Row],[Beginning Balance]],Table157[[#This Row],[Beginning Balance]]-Table157[[#This Row],[Principal]]),0),2)))</f>
        <v>0</v>
      </c>
      <c r="J191" s="3">
        <f>ROUND(MIN(Table157[[#This Row],[Beginning Balance]]*IF($C$8="No",$E$3,VLOOKUP(Table157[[#This Row],[Period]],Forecast!$H$2:$L$1048576,2,FALSE)),Table157[[#This Row],[Beginning Balance]]-Table157[[#This Row],[Principal]]-Table157[[#This Row],[Prepayments]]),2)</f>
        <v>0</v>
      </c>
      <c r="K191" s="3">
        <f>ROUND(Table157[[#This Row],[Defaulted Principal]]*IF($C$9="No",$E$4,VLOOKUP(Table157[[#This Row],[Period]],Forecast!$H$2:$L$1048576,3,FALSE)),2)</f>
        <v>0</v>
      </c>
      <c r="L191" s="2">
        <f>Table157[[#This Row],[Period]]+$E$9</f>
        <v>187</v>
      </c>
      <c r="M191" s="3">
        <f>Table157[[#This Row],[Defaulted Principal]]-Table157[[#This Row],[Estimated Loss]]</f>
        <v>0</v>
      </c>
      <c r="N191" s="3">
        <f>IFERROR(VLOOKUP(Table157[[#This Row],[Period]],$L$16:$M$385,2,FALSE),0)</f>
        <v>0</v>
      </c>
      <c r="O191" s="3">
        <f>Table157[[#This Row],[Beginning Balance]]-Table157[[#This Row],[Principal]]-Table157[[#This Row],[Prepayments]]-Table157[[#This Row],[Defaulted Principal]]</f>
        <v>0</v>
      </c>
      <c r="P191" s="3">
        <f>Table157[[#This Row],[Principal]]+Table157[[#This Row],[Interest]]+Table157[[#This Row],[Prepayments]]+Table157[[#This Row],[RecoveredAmount]]</f>
        <v>0</v>
      </c>
      <c r="Q191" s="3">
        <f ca="1">ROUND(Table157[[#This Row],[Cash Flow]]/((1+ActualRateToUse)^(IF(ISNUMBER(SEARCH("Actual",$C$7)),Table157[[#This Row],[Running Total]]/365,Table157[[#This Row],[Period]]/12))),2)</f>
        <v>0</v>
      </c>
      <c r="R191" s="2">
        <f>IF(MONTH(Table157[[#This Row],[Date]])=2,28,DAY(DATE(YEAR(Table157[[#This Row],[Date]]),MONTH(Table157[[#This Row],[Date]])+1,1)-1))</f>
        <v>31</v>
      </c>
      <c r="S191" s="2">
        <f ca="1">SUM(OFFSET(Table157[[#Headers],[Days in month]],1,0):Table157[[#This Row],[Days in month]])</f>
        <v>5325</v>
      </c>
      <c r="T191" s="37">
        <f>InterestRate*AmortizationMultiplier*IF(ISNUMBER(SEARCH("Actual",$C$7)),Table157[[#This Row],[Days in month]]/365,1/12)</f>
        <v>2.9708333333333331E-3</v>
      </c>
    </row>
    <row r="192" spans="2:20" x14ac:dyDescent="0.2">
      <c r="B192" s="1">
        <f t="shared" si="6"/>
        <v>51195</v>
      </c>
      <c r="C192" s="2">
        <f t="shared" si="8"/>
        <v>176</v>
      </c>
      <c r="D192" s="3">
        <f t="shared" si="7"/>
        <v>0</v>
      </c>
      <c r="E192" s="3">
        <f>ROUND(Table157[[#This Row],[Beginning Balance]]*Table157[[#This Row],[Monthly Interest Rate]],2)</f>
        <v>0</v>
      </c>
      <c r="F192" s="3">
        <f t="shared" si="9"/>
        <v>80</v>
      </c>
      <c r="G192" s="23">
        <f>IFERROR(IF($C$13="No","N/A",IF(Table157[[#This Row],[Period]]=1,$C$6,PMT(InterestRate*AmortizationMultiplier/12,Table157[[#This Row],[Am Thru]],-Table157[[#This Row],[Beginning Balance]]))),0)</f>
        <v>0</v>
      </c>
      <c r="H192" s="3">
        <f>MAX(0,IF(C192=$C$4,D192,ROUND(IF($C$3="Fixed Principal",$C$6-Table157[[#This Row],[Interest]],IF($C$3="Interest Only",Table157[[#This Row],[Beginning Balance]]*ROUND(1-(1-IF($C$11="No",$E$8,1))^(1/12),6),MIN(IF($C$13="Yes",Table157[[#This Row],[Payment Amount (Reamortized)]],$C$6)-Table157[[#This Row],[Interest]],Table157[[#This Row],[Beginning Balance]]))),2)))</f>
        <v>0</v>
      </c>
      <c r="I192" s="3">
        <f>_xlfn.SINGLE(IF($C$3="Line of Credit",0,ROUND(MAX(MIN(IF($C$10="No",$E$7,VLOOKUP(Table157[[#This Row],[Period]],Forecast!$H$2:$L$1048576,4,FALSE))*Table157[[#This Row],[Beginning Balance]],Table157[[#This Row],[Beginning Balance]]-Table157[[#This Row],[Principal]]),0),2)))</f>
        <v>0</v>
      </c>
      <c r="J192" s="3">
        <f>ROUND(MIN(Table157[[#This Row],[Beginning Balance]]*IF($C$8="No",$E$3,VLOOKUP(Table157[[#This Row],[Period]],Forecast!$H$2:$L$1048576,2,FALSE)),Table157[[#This Row],[Beginning Balance]]-Table157[[#This Row],[Principal]]-Table157[[#This Row],[Prepayments]]),2)</f>
        <v>0</v>
      </c>
      <c r="K192" s="3">
        <f>ROUND(Table157[[#This Row],[Defaulted Principal]]*IF($C$9="No",$E$4,VLOOKUP(Table157[[#This Row],[Period]],Forecast!$H$2:$L$1048576,3,FALSE)),2)</f>
        <v>0</v>
      </c>
      <c r="L192" s="2">
        <f>Table157[[#This Row],[Period]]+$E$9</f>
        <v>188</v>
      </c>
      <c r="M192" s="3">
        <f>Table157[[#This Row],[Defaulted Principal]]-Table157[[#This Row],[Estimated Loss]]</f>
        <v>0</v>
      </c>
      <c r="N192" s="3">
        <f>IFERROR(VLOOKUP(Table157[[#This Row],[Period]],$L$16:$M$385,2,FALSE),0)</f>
        <v>0</v>
      </c>
      <c r="O192" s="3">
        <f>Table157[[#This Row],[Beginning Balance]]-Table157[[#This Row],[Principal]]-Table157[[#This Row],[Prepayments]]-Table157[[#This Row],[Defaulted Principal]]</f>
        <v>0</v>
      </c>
      <c r="P192" s="3">
        <f>Table157[[#This Row],[Principal]]+Table157[[#This Row],[Interest]]+Table157[[#This Row],[Prepayments]]+Table157[[#This Row],[RecoveredAmount]]</f>
        <v>0</v>
      </c>
      <c r="Q192" s="3">
        <f ca="1">ROUND(Table157[[#This Row],[Cash Flow]]/((1+ActualRateToUse)^(IF(ISNUMBER(SEARCH("Actual",$C$7)),Table157[[#This Row],[Running Total]]/365,Table157[[#This Row],[Period]]/12))),2)</f>
        <v>0</v>
      </c>
      <c r="R192" s="2">
        <f>IF(MONTH(Table157[[#This Row],[Date]])=2,28,DAY(DATE(YEAR(Table157[[#This Row],[Date]]),MONTH(Table157[[#This Row],[Date]])+1,1)-1))</f>
        <v>28</v>
      </c>
      <c r="S192" s="2">
        <f ca="1">SUM(OFFSET(Table157[[#Headers],[Days in month]],1,0):Table157[[#This Row],[Days in month]])</f>
        <v>5353</v>
      </c>
      <c r="T192" s="37">
        <f>InterestRate*AmortizationMultiplier*IF(ISNUMBER(SEARCH("Actual",$C$7)),Table157[[#This Row],[Days in month]]/365,1/12)</f>
        <v>2.6833333333333336E-3</v>
      </c>
    </row>
    <row r="193" spans="2:20" x14ac:dyDescent="0.2">
      <c r="B193" s="1">
        <f t="shared" si="6"/>
        <v>51226</v>
      </c>
      <c r="C193" s="2">
        <f t="shared" si="8"/>
        <v>177</v>
      </c>
      <c r="D193" s="3">
        <f t="shared" si="7"/>
        <v>0</v>
      </c>
      <c r="E193" s="3">
        <f>ROUND(Table157[[#This Row],[Beginning Balance]]*Table157[[#This Row],[Monthly Interest Rate]],2)</f>
        <v>0</v>
      </c>
      <c r="F193" s="3">
        <f t="shared" si="9"/>
        <v>79</v>
      </c>
      <c r="G193" s="23">
        <f>IFERROR(IF($C$13="No","N/A",IF(Table157[[#This Row],[Period]]=1,$C$6,PMT(InterestRate*AmortizationMultiplier/12,Table157[[#This Row],[Am Thru]],-Table157[[#This Row],[Beginning Balance]]))),0)</f>
        <v>0</v>
      </c>
      <c r="H193" s="3">
        <f>MAX(0,IF(C193=$C$4,D193,ROUND(IF($C$3="Fixed Principal",$C$6-Table157[[#This Row],[Interest]],IF($C$3="Interest Only",Table157[[#This Row],[Beginning Balance]]*ROUND(1-(1-IF($C$11="No",$E$8,1))^(1/12),6),MIN(IF($C$13="Yes",Table157[[#This Row],[Payment Amount (Reamortized)]],$C$6)-Table157[[#This Row],[Interest]],Table157[[#This Row],[Beginning Balance]]))),2)))</f>
        <v>0</v>
      </c>
      <c r="I193" s="3">
        <f>_xlfn.SINGLE(IF($C$3="Line of Credit",0,ROUND(MAX(MIN(IF($C$10="No",$E$7,VLOOKUP(Table157[[#This Row],[Period]],Forecast!$H$2:$L$1048576,4,FALSE))*Table157[[#This Row],[Beginning Balance]],Table157[[#This Row],[Beginning Balance]]-Table157[[#This Row],[Principal]]),0),2)))</f>
        <v>0</v>
      </c>
      <c r="J193" s="3">
        <f>ROUND(MIN(Table157[[#This Row],[Beginning Balance]]*IF($C$8="No",$E$3,VLOOKUP(Table157[[#This Row],[Period]],Forecast!$H$2:$L$1048576,2,FALSE)),Table157[[#This Row],[Beginning Balance]]-Table157[[#This Row],[Principal]]-Table157[[#This Row],[Prepayments]]),2)</f>
        <v>0</v>
      </c>
      <c r="K193" s="3">
        <f>ROUND(Table157[[#This Row],[Defaulted Principal]]*IF($C$9="No",$E$4,VLOOKUP(Table157[[#This Row],[Period]],Forecast!$H$2:$L$1048576,3,FALSE)),2)</f>
        <v>0</v>
      </c>
      <c r="L193" s="2">
        <f>Table157[[#This Row],[Period]]+$E$9</f>
        <v>189</v>
      </c>
      <c r="M193" s="3">
        <f>Table157[[#This Row],[Defaulted Principal]]-Table157[[#This Row],[Estimated Loss]]</f>
        <v>0</v>
      </c>
      <c r="N193" s="3">
        <f>IFERROR(VLOOKUP(Table157[[#This Row],[Period]],$L$16:$M$385,2,FALSE),0)</f>
        <v>0</v>
      </c>
      <c r="O193" s="3">
        <f>Table157[[#This Row],[Beginning Balance]]-Table157[[#This Row],[Principal]]-Table157[[#This Row],[Prepayments]]-Table157[[#This Row],[Defaulted Principal]]</f>
        <v>0</v>
      </c>
      <c r="P193" s="3">
        <f>Table157[[#This Row],[Principal]]+Table157[[#This Row],[Interest]]+Table157[[#This Row],[Prepayments]]+Table157[[#This Row],[RecoveredAmount]]</f>
        <v>0</v>
      </c>
      <c r="Q193" s="3">
        <f ca="1">ROUND(Table157[[#This Row],[Cash Flow]]/((1+ActualRateToUse)^(IF(ISNUMBER(SEARCH("Actual",$C$7)),Table157[[#This Row],[Running Total]]/365,Table157[[#This Row],[Period]]/12))),2)</f>
        <v>0</v>
      </c>
      <c r="R193" s="2">
        <f>IF(MONTH(Table157[[#This Row],[Date]])=2,28,DAY(DATE(YEAR(Table157[[#This Row],[Date]]),MONTH(Table157[[#This Row],[Date]])+1,1)-1))</f>
        <v>31</v>
      </c>
      <c r="S193" s="2">
        <f ca="1">SUM(OFFSET(Table157[[#Headers],[Days in month]],1,0):Table157[[#This Row],[Days in month]])</f>
        <v>5384</v>
      </c>
      <c r="T193" s="37">
        <f>InterestRate*AmortizationMultiplier*IF(ISNUMBER(SEARCH("Actual",$C$7)),Table157[[#This Row],[Days in month]]/365,1/12)</f>
        <v>2.9708333333333331E-3</v>
      </c>
    </row>
    <row r="194" spans="2:20" x14ac:dyDescent="0.2">
      <c r="B194" s="1">
        <f t="shared" si="6"/>
        <v>51256</v>
      </c>
      <c r="C194" s="2">
        <f t="shared" si="8"/>
        <v>178</v>
      </c>
      <c r="D194" s="3">
        <f t="shared" si="7"/>
        <v>0</v>
      </c>
      <c r="E194" s="3">
        <f>ROUND(Table157[[#This Row],[Beginning Balance]]*Table157[[#This Row],[Monthly Interest Rate]],2)</f>
        <v>0</v>
      </c>
      <c r="F194" s="3">
        <f t="shared" si="9"/>
        <v>78</v>
      </c>
      <c r="G194" s="23">
        <f>IFERROR(IF($C$13="No","N/A",IF(Table157[[#This Row],[Period]]=1,$C$6,PMT(InterestRate*AmortizationMultiplier/12,Table157[[#This Row],[Am Thru]],-Table157[[#This Row],[Beginning Balance]]))),0)</f>
        <v>0</v>
      </c>
      <c r="H194" s="3">
        <f>MAX(0,IF(C194=$C$4,D194,ROUND(IF($C$3="Fixed Principal",$C$6-Table157[[#This Row],[Interest]],IF($C$3="Interest Only",Table157[[#This Row],[Beginning Balance]]*ROUND(1-(1-IF($C$11="No",$E$8,1))^(1/12),6),MIN(IF($C$13="Yes",Table157[[#This Row],[Payment Amount (Reamortized)]],$C$6)-Table157[[#This Row],[Interest]],Table157[[#This Row],[Beginning Balance]]))),2)))</f>
        <v>0</v>
      </c>
      <c r="I194" s="3">
        <f>_xlfn.SINGLE(IF($C$3="Line of Credit",0,ROUND(MAX(MIN(IF($C$10="No",$E$7,VLOOKUP(Table157[[#This Row],[Period]],Forecast!$H$2:$L$1048576,4,FALSE))*Table157[[#This Row],[Beginning Balance]],Table157[[#This Row],[Beginning Balance]]-Table157[[#This Row],[Principal]]),0),2)))</f>
        <v>0</v>
      </c>
      <c r="J194" s="3">
        <f>ROUND(MIN(Table157[[#This Row],[Beginning Balance]]*IF($C$8="No",$E$3,VLOOKUP(Table157[[#This Row],[Period]],Forecast!$H$2:$L$1048576,2,FALSE)),Table157[[#This Row],[Beginning Balance]]-Table157[[#This Row],[Principal]]-Table157[[#This Row],[Prepayments]]),2)</f>
        <v>0</v>
      </c>
      <c r="K194" s="3">
        <f>ROUND(Table157[[#This Row],[Defaulted Principal]]*IF($C$9="No",$E$4,VLOOKUP(Table157[[#This Row],[Period]],Forecast!$H$2:$L$1048576,3,FALSE)),2)</f>
        <v>0</v>
      </c>
      <c r="L194" s="2">
        <f>Table157[[#This Row],[Period]]+$E$9</f>
        <v>190</v>
      </c>
      <c r="M194" s="3">
        <f>Table157[[#This Row],[Defaulted Principal]]-Table157[[#This Row],[Estimated Loss]]</f>
        <v>0</v>
      </c>
      <c r="N194" s="3">
        <f>IFERROR(VLOOKUP(Table157[[#This Row],[Period]],$L$16:$M$385,2,FALSE),0)</f>
        <v>0</v>
      </c>
      <c r="O194" s="3">
        <f>Table157[[#This Row],[Beginning Balance]]-Table157[[#This Row],[Principal]]-Table157[[#This Row],[Prepayments]]-Table157[[#This Row],[Defaulted Principal]]</f>
        <v>0</v>
      </c>
      <c r="P194" s="3">
        <f>Table157[[#This Row],[Principal]]+Table157[[#This Row],[Interest]]+Table157[[#This Row],[Prepayments]]+Table157[[#This Row],[RecoveredAmount]]</f>
        <v>0</v>
      </c>
      <c r="Q194" s="3">
        <f ca="1">ROUND(Table157[[#This Row],[Cash Flow]]/((1+ActualRateToUse)^(IF(ISNUMBER(SEARCH("Actual",$C$7)),Table157[[#This Row],[Running Total]]/365,Table157[[#This Row],[Period]]/12))),2)</f>
        <v>0</v>
      </c>
      <c r="R194" s="2">
        <f>IF(MONTH(Table157[[#This Row],[Date]])=2,28,DAY(DATE(YEAR(Table157[[#This Row],[Date]]),MONTH(Table157[[#This Row],[Date]])+1,1)-1))</f>
        <v>30</v>
      </c>
      <c r="S194" s="2">
        <f ca="1">SUM(OFFSET(Table157[[#Headers],[Days in month]],1,0):Table157[[#This Row],[Days in month]])</f>
        <v>5414</v>
      </c>
      <c r="T194" s="37">
        <f>InterestRate*AmortizationMultiplier*IF(ISNUMBER(SEARCH("Actual",$C$7)),Table157[[#This Row],[Days in month]]/365,1/12)</f>
        <v>2.8749999999999995E-3</v>
      </c>
    </row>
    <row r="195" spans="2:20" x14ac:dyDescent="0.2">
      <c r="B195" s="1">
        <f t="shared" si="6"/>
        <v>51287</v>
      </c>
      <c r="C195" s="2">
        <f t="shared" si="8"/>
        <v>179</v>
      </c>
      <c r="D195" s="3">
        <f t="shared" si="7"/>
        <v>0</v>
      </c>
      <c r="E195" s="3">
        <f>ROUND(Table157[[#This Row],[Beginning Balance]]*Table157[[#This Row],[Monthly Interest Rate]],2)</f>
        <v>0</v>
      </c>
      <c r="F195" s="3">
        <f t="shared" si="9"/>
        <v>77</v>
      </c>
      <c r="G195" s="23">
        <f>IFERROR(IF($C$13="No","N/A",IF(Table157[[#This Row],[Period]]=1,$C$6,PMT(InterestRate*AmortizationMultiplier/12,Table157[[#This Row],[Am Thru]],-Table157[[#This Row],[Beginning Balance]]))),0)</f>
        <v>0</v>
      </c>
      <c r="H195" s="3">
        <f>MAX(0,IF(C195=$C$4,D195,ROUND(IF($C$3="Fixed Principal",$C$6-Table157[[#This Row],[Interest]],IF($C$3="Interest Only",Table157[[#This Row],[Beginning Balance]]*ROUND(1-(1-IF($C$11="No",$E$8,1))^(1/12),6),MIN(IF($C$13="Yes",Table157[[#This Row],[Payment Amount (Reamortized)]],$C$6)-Table157[[#This Row],[Interest]],Table157[[#This Row],[Beginning Balance]]))),2)))</f>
        <v>0</v>
      </c>
      <c r="I195" s="3">
        <f>_xlfn.SINGLE(IF($C$3="Line of Credit",0,ROUND(MAX(MIN(IF($C$10="No",$E$7,VLOOKUP(Table157[[#This Row],[Period]],Forecast!$H$2:$L$1048576,4,FALSE))*Table157[[#This Row],[Beginning Balance]],Table157[[#This Row],[Beginning Balance]]-Table157[[#This Row],[Principal]]),0),2)))</f>
        <v>0</v>
      </c>
      <c r="J195" s="3">
        <f>ROUND(MIN(Table157[[#This Row],[Beginning Balance]]*IF($C$8="No",$E$3,VLOOKUP(Table157[[#This Row],[Period]],Forecast!$H$2:$L$1048576,2,FALSE)),Table157[[#This Row],[Beginning Balance]]-Table157[[#This Row],[Principal]]-Table157[[#This Row],[Prepayments]]),2)</f>
        <v>0</v>
      </c>
      <c r="K195" s="3">
        <f>ROUND(Table157[[#This Row],[Defaulted Principal]]*IF($C$9="No",$E$4,VLOOKUP(Table157[[#This Row],[Period]],Forecast!$H$2:$L$1048576,3,FALSE)),2)</f>
        <v>0</v>
      </c>
      <c r="L195" s="2">
        <f>Table157[[#This Row],[Period]]+$E$9</f>
        <v>191</v>
      </c>
      <c r="M195" s="3">
        <f>Table157[[#This Row],[Defaulted Principal]]-Table157[[#This Row],[Estimated Loss]]</f>
        <v>0</v>
      </c>
      <c r="N195" s="3">
        <f>IFERROR(VLOOKUP(Table157[[#This Row],[Period]],$L$16:$M$385,2,FALSE),0)</f>
        <v>0</v>
      </c>
      <c r="O195" s="3">
        <f>Table157[[#This Row],[Beginning Balance]]-Table157[[#This Row],[Principal]]-Table157[[#This Row],[Prepayments]]-Table157[[#This Row],[Defaulted Principal]]</f>
        <v>0</v>
      </c>
      <c r="P195" s="3">
        <f>Table157[[#This Row],[Principal]]+Table157[[#This Row],[Interest]]+Table157[[#This Row],[Prepayments]]+Table157[[#This Row],[RecoveredAmount]]</f>
        <v>0</v>
      </c>
      <c r="Q195" s="3">
        <f ca="1">ROUND(Table157[[#This Row],[Cash Flow]]/((1+ActualRateToUse)^(IF(ISNUMBER(SEARCH("Actual",$C$7)),Table157[[#This Row],[Running Total]]/365,Table157[[#This Row],[Period]]/12))),2)</f>
        <v>0</v>
      </c>
      <c r="R195" s="2">
        <f>IF(MONTH(Table157[[#This Row],[Date]])=2,28,DAY(DATE(YEAR(Table157[[#This Row],[Date]]),MONTH(Table157[[#This Row],[Date]])+1,1)-1))</f>
        <v>31</v>
      </c>
      <c r="S195" s="2">
        <f ca="1">SUM(OFFSET(Table157[[#Headers],[Days in month]],1,0):Table157[[#This Row],[Days in month]])</f>
        <v>5445</v>
      </c>
      <c r="T195" s="37">
        <f>InterestRate*AmortizationMultiplier*IF(ISNUMBER(SEARCH("Actual",$C$7)),Table157[[#This Row],[Days in month]]/365,1/12)</f>
        <v>2.9708333333333331E-3</v>
      </c>
    </row>
    <row r="196" spans="2:20" x14ac:dyDescent="0.2">
      <c r="B196" s="1">
        <f t="shared" si="6"/>
        <v>51317</v>
      </c>
      <c r="C196" s="2">
        <f t="shared" si="8"/>
        <v>180</v>
      </c>
      <c r="D196" s="3">
        <f t="shared" si="7"/>
        <v>0</v>
      </c>
      <c r="E196" s="3">
        <f>ROUND(Table157[[#This Row],[Beginning Balance]]*Table157[[#This Row],[Monthly Interest Rate]],2)</f>
        <v>0</v>
      </c>
      <c r="F196" s="3">
        <f t="shared" si="9"/>
        <v>76</v>
      </c>
      <c r="G196" s="23">
        <f>IFERROR(IF($C$13="No","N/A",IF(Table157[[#This Row],[Period]]=1,$C$6,PMT(InterestRate*AmortizationMultiplier/12,Table157[[#This Row],[Am Thru]],-Table157[[#This Row],[Beginning Balance]]))),0)</f>
        <v>0</v>
      </c>
      <c r="H196" s="3">
        <f>MAX(0,IF(C196=$C$4,D196,ROUND(IF($C$3="Fixed Principal",$C$6-Table157[[#This Row],[Interest]],IF($C$3="Interest Only",Table157[[#This Row],[Beginning Balance]]*ROUND(1-(1-IF($C$11="No",$E$8,1))^(1/12),6),MIN(IF($C$13="Yes",Table157[[#This Row],[Payment Amount (Reamortized)]],$C$6)-Table157[[#This Row],[Interest]],Table157[[#This Row],[Beginning Balance]]))),2)))</f>
        <v>0</v>
      </c>
      <c r="I196" s="3">
        <f>_xlfn.SINGLE(IF($C$3="Line of Credit",0,ROUND(MAX(MIN(IF($C$10="No",$E$7,VLOOKUP(Table157[[#This Row],[Period]],Forecast!$H$2:$L$1048576,4,FALSE))*Table157[[#This Row],[Beginning Balance]],Table157[[#This Row],[Beginning Balance]]-Table157[[#This Row],[Principal]]),0),2)))</f>
        <v>0</v>
      </c>
      <c r="J196" s="3">
        <f>ROUND(MIN(Table157[[#This Row],[Beginning Balance]]*IF($C$8="No",$E$3,VLOOKUP(Table157[[#This Row],[Period]],Forecast!$H$2:$L$1048576,2,FALSE)),Table157[[#This Row],[Beginning Balance]]-Table157[[#This Row],[Principal]]-Table157[[#This Row],[Prepayments]]),2)</f>
        <v>0</v>
      </c>
      <c r="K196" s="3">
        <f>ROUND(Table157[[#This Row],[Defaulted Principal]]*IF($C$9="No",$E$4,VLOOKUP(Table157[[#This Row],[Period]],Forecast!$H$2:$L$1048576,3,FALSE)),2)</f>
        <v>0</v>
      </c>
      <c r="L196" s="2">
        <f>Table157[[#This Row],[Period]]+$E$9</f>
        <v>192</v>
      </c>
      <c r="M196" s="3">
        <f>Table157[[#This Row],[Defaulted Principal]]-Table157[[#This Row],[Estimated Loss]]</f>
        <v>0</v>
      </c>
      <c r="N196" s="3">
        <f>IFERROR(VLOOKUP(Table157[[#This Row],[Period]],$L$16:$M$385,2,FALSE),0)</f>
        <v>0</v>
      </c>
      <c r="O196" s="3">
        <f>Table157[[#This Row],[Beginning Balance]]-Table157[[#This Row],[Principal]]-Table157[[#This Row],[Prepayments]]-Table157[[#This Row],[Defaulted Principal]]</f>
        <v>0</v>
      </c>
      <c r="P196" s="3">
        <f>Table157[[#This Row],[Principal]]+Table157[[#This Row],[Interest]]+Table157[[#This Row],[Prepayments]]+Table157[[#This Row],[RecoveredAmount]]</f>
        <v>0</v>
      </c>
      <c r="Q196" s="3">
        <f ca="1">ROUND(Table157[[#This Row],[Cash Flow]]/((1+ActualRateToUse)^(IF(ISNUMBER(SEARCH("Actual",$C$7)),Table157[[#This Row],[Running Total]]/365,Table157[[#This Row],[Period]]/12))),2)</f>
        <v>0</v>
      </c>
      <c r="R196" s="2">
        <f>IF(MONTH(Table157[[#This Row],[Date]])=2,28,DAY(DATE(YEAR(Table157[[#This Row],[Date]]),MONTH(Table157[[#This Row],[Date]])+1,1)-1))</f>
        <v>30</v>
      </c>
      <c r="S196" s="2">
        <f ca="1">SUM(OFFSET(Table157[[#Headers],[Days in month]],1,0):Table157[[#This Row],[Days in month]])</f>
        <v>5475</v>
      </c>
      <c r="T196" s="37">
        <f>InterestRate*AmortizationMultiplier*IF(ISNUMBER(SEARCH("Actual",$C$7)),Table157[[#This Row],[Days in month]]/365,1/12)</f>
        <v>2.8749999999999995E-3</v>
      </c>
    </row>
    <row r="197" spans="2:20" x14ac:dyDescent="0.2">
      <c r="B197" s="1">
        <f t="shared" si="6"/>
        <v>51348</v>
      </c>
      <c r="C197" s="2">
        <f t="shared" si="8"/>
        <v>181</v>
      </c>
      <c r="D197" s="3">
        <f t="shared" si="7"/>
        <v>0</v>
      </c>
      <c r="E197" s="3">
        <f>ROUND(Table157[[#This Row],[Beginning Balance]]*Table157[[#This Row],[Monthly Interest Rate]],2)</f>
        <v>0</v>
      </c>
      <c r="F197" s="3">
        <f t="shared" si="9"/>
        <v>75</v>
      </c>
      <c r="G197" s="23">
        <f>IFERROR(IF($C$13="No","N/A",IF(Table157[[#This Row],[Period]]=1,$C$6,PMT(InterestRate*AmortizationMultiplier/12,Table157[[#This Row],[Am Thru]],-Table157[[#This Row],[Beginning Balance]]))),0)</f>
        <v>0</v>
      </c>
      <c r="H197" s="3">
        <f>MAX(0,IF(C197=$C$4,D197,ROUND(IF($C$3="Fixed Principal",$C$6-Table157[[#This Row],[Interest]],IF($C$3="Interest Only",Table157[[#This Row],[Beginning Balance]]*ROUND(1-(1-IF($C$11="No",$E$8,1))^(1/12),6),MIN(IF($C$13="Yes",Table157[[#This Row],[Payment Amount (Reamortized)]],$C$6)-Table157[[#This Row],[Interest]],Table157[[#This Row],[Beginning Balance]]))),2)))</f>
        <v>0</v>
      </c>
      <c r="I197" s="3">
        <f>_xlfn.SINGLE(IF($C$3="Line of Credit",0,ROUND(MAX(MIN(IF($C$10="No",$E$7,VLOOKUP(Table157[[#This Row],[Period]],Forecast!$H$2:$L$1048576,4,FALSE))*Table157[[#This Row],[Beginning Balance]],Table157[[#This Row],[Beginning Balance]]-Table157[[#This Row],[Principal]]),0),2)))</f>
        <v>0</v>
      </c>
      <c r="J197" s="3">
        <f>ROUND(MIN(Table157[[#This Row],[Beginning Balance]]*IF($C$8="No",$E$3,VLOOKUP(Table157[[#This Row],[Period]],Forecast!$H$2:$L$1048576,2,FALSE)),Table157[[#This Row],[Beginning Balance]]-Table157[[#This Row],[Principal]]-Table157[[#This Row],[Prepayments]]),2)</f>
        <v>0</v>
      </c>
      <c r="K197" s="3">
        <f>ROUND(Table157[[#This Row],[Defaulted Principal]]*IF($C$9="No",$E$4,VLOOKUP(Table157[[#This Row],[Period]],Forecast!$H$2:$L$1048576,3,FALSE)),2)</f>
        <v>0</v>
      </c>
      <c r="L197" s="2">
        <f>Table157[[#This Row],[Period]]+$E$9</f>
        <v>193</v>
      </c>
      <c r="M197" s="3">
        <f>Table157[[#This Row],[Defaulted Principal]]-Table157[[#This Row],[Estimated Loss]]</f>
        <v>0</v>
      </c>
      <c r="N197" s="3">
        <f>IFERROR(VLOOKUP(Table157[[#This Row],[Period]],$L$16:$M$385,2,FALSE),0)</f>
        <v>0</v>
      </c>
      <c r="O197" s="3">
        <f>Table157[[#This Row],[Beginning Balance]]-Table157[[#This Row],[Principal]]-Table157[[#This Row],[Prepayments]]-Table157[[#This Row],[Defaulted Principal]]</f>
        <v>0</v>
      </c>
      <c r="P197" s="3">
        <f>Table157[[#This Row],[Principal]]+Table157[[#This Row],[Interest]]+Table157[[#This Row],[Prepayments]]+Table157[[#This Row],[RecoveredAmount]]</f>
        <v>0</v>
      </c>
      <c r="Q197" s="3">
        <f ca="1">ROUND(Table157[[#This Row],[Cash Flow]]/((1+ActualRateToUse)^(IF(ISNUMBER(SEARCH("Actual",$C$7)),Table157[[#This Row],[Running Total]]/365,Table157[[#This Row],[Period]]/12))),2)</f>
        <v>0</v>
      </c>
      <c r="R197" s="2">
        <f>IF(MONTH(Table157[[#This Row],[Date]])=2,28,DAY(DATE(YEAR(Table157[[#This Row],[Date]]),MONTH(Table157[[#This Row],[Date]])+1,1)-1))</f>
        <v>31</v>
      </c>
      <c r="S197" s="2">
        <f ca="1">SUM(OFFSET(Table157[[#Headers],[Days in month]],1,0):Table157[[#This Row],[Days in month]])</f>
        <v>5506</v>
      </c>
      <c r="T197" s="37">
        <f>InterestRate*AmortizationMultiplier*IF(ISNUMBER(SEARCH("Actual",$C$7)),Table157[[#This Row],[Days in month]]/365,1/12)</f>
        <v>2.9708333333333331E-3</v>
      </c>
    </row>
    <row r="198" spans="2:20" x14ac:dyDescent="0.2">
      <c r="B198" s="1">
        <f t="shared" si="6"/>
        <v>51379</v>
      </c>
      <c r="C198" s="2">
        <f t="shared" si="8"/>
        <v>182</v>
      </c>
      <c r="D198" s="3">
        <f t="shared" si="7"/>
        <v>0</v>
      </c>
      <c r="E198" s="3">
        <f>ROUND(Table157[[#This Row],[Beginning Balance]]*Table157[[#This Row],[Monthly Interest Rate]],2)</f>
        <v>0</v>
      </c>
      <c r="F198" s="3">
        <f t="shared" si="9"/>
        <v>74</v>
      </c>
      <c r="G198" s="23">
        <f>IFERROR(IF($C$13="No","N/A",IF(Table157[[#This Row],[Period]]=1,$C$6,PMT(InterestRate*AmortizationMultiplier/12,Table157[[#This Row],[Am Thru]],-Table157[[#This Row],[Beginning Balance]]))),0)</f>
        <v>0</v>
      </c>
      <c r="H198" s="3">
        <f>MAX(0,IF(C198=$C$4,D198,ROUND(IF($C$3="Fixed Principal",$C$6-Table157[[#This Row],[Interest]],IF($C$3="Interest Only",Table157[[#This Row],[Beginning Balance]]*ROUND(1-(1-IF($C$11="No",$E$8,1))^(1/12),6),MIN(IF($C$13="Yes",Table157[[#This Row],[Payment Amount (Reamortized)]],$C$6)-Table157[[#This Row],[Interest]],Table157[[#This Row],[Beginning Balance]]))),2)))</f>
        <v>0</v>
      </c>
      <c r="I198" s="3">
        <f>_xlfn.SINGLE(IF($C$3="Line of Credit",0,ROUND(MAX(MIN(IF($C$10="No",$E$7,VLOOKUP(Table157[[#This Row],[Period]],Forecast!$H$2:$L$1048576,4,FALSE))*Table157[[#This Row],[Beginning Balance]],Table157[[#This Row],[Beginning Balance]]-Table157[[#This Row],[Principal]]),0),2)))</f>
        <v>0</v>
      </c>
      <c r="J198" s="3">
        <f>ROUND(MIN(Table157[[#This Row],[Beginning Balance]]*IF($C$8="No",$E$3,VLOOKUP(Table157[[#This Row],[Period]],Forecast!$H$2:$L$1048576,2,FALSE)),Table157[[#This Row],[Beginning Balance]]-Table157[[#This Row],[Principal]]-Table157[[#This Row],[Prepayments]]),2)</f>
        <v>0</v>
      </c>
      <c r="K198" s="3">
        <f>ROUND(Table157[[#This Row],[Defaulted Principal]]*IF($C$9="No",$E$4,VLOOKUP(Table157[[#This Row],[Period]],Forecast!$H$2:$L$1048576,3,FALSE)),2)</f>
        <v>0</v>
      </c>
      <c r="L198" s="2">
        <f>Table157[[#This Row],[Period]]+$E$9</f>
        <v>194</v>
      </c>
      <c r="M198" s="3">
        <f>Table157[[#This Row],[Defaulted Principal]]-Table157[[#This Row],[Estimated Loss]]</f>
        <v>0</v>
      </c>
      <c r="N198" s="3">
        <f>IFERROR(VLOOKUP(Table157[[#This Row],[Period]],$L$16:$M$385,2,FALSE),0)</f>
        <v>0</v>
      </c>
      <c r="O198" s="3">
        <f>Table157[[#This Row],[Beginning Balance]]-Table157[[#This Row],[Principal]]-Table157[[#This Row],[Prepayments]]-Table157[[#This Row],[Defaulted Principal]]</f>
        <v>0</v>
      </c>
      <c r="P198" s="3">
        <f>Table157[[#This Row],[Principal]]+Table157[[#This Row],[Interest]]+Table157[[#This Row],[Prepayments]]+Table157[[#This Row],[RecoveredAmount]]</f>
        <v>0</v>
      </c>
      <c r="Q198" s="3">
        <f ca="1">ROUND(Table157[[#This Row],[Cash Flow]]/((1+ActualRateToUse)^(IF(ISNUMBER(SEARCH("Actual",$C$7)),Table157[[#This Row],[Running Total]]/365,Table157[[#This Row],[Period]]/12))),2)</f>
        <v>0</v>
      </c>
      <c r="R198" s="2">
        <f>IF(MONTH(Table157[[#This Row],[Date]])=2,28,DAY(DATE(YEAR(Table157[[#This Row],[Date]]),MONTH(Table157[[#This Row],[Date]])+1,1)-1))</f>
        <v>31</v>
      </c>
      <c r="S198" s="2">
        <f ca="1">SUM(OFFSET(Table157[[#Headers],[Days in month]],1,0):Table157[[#This Row],[Days in month]])</f>
        <v>5537</v>
      </c>
      <c r="T198" s="37">
        <f>InterestRate*AmortizationMultiplier*IF(ISNUMBER(SEARCH("Actual",$C$7)),Table157[[#This Row],[Days in month]]/365,1/12)</f>
        <v>2.9708333333333331E-3</v>
      </c>
    </row>
    <row r="199" spans="2:20" x14ac:dyDescent="0.2">
      <c r="B199" s="1">
        <f t="shared" si="6"/>
        <v>51409</v>
      </c>
      <c r="C199" s="2">
        <f t="shared" si="8"/>
        <v>183</v>
      </c>
      <c r="D199" s="3">
        <f t="shared" si="7"/>
        <v>0</v>
      </c>
      <c r="E199" s="3">
        <f>ROUND(Table157[[#This Row],[Beginning Balance]]*Table157[[#This Row],[Monthly Interest Rate]],2)</f>
        <v>0</v>
      </c>
      <c r="F199" s="3">
        <f t="shared" si="9"/>
        <v>73</v>
      </c>
      <c r="G199" s="23">
        <f>IFERROR(IF($C$13="No","N/A",IF(Table157[[#This Row],[Period]]=1,$C$6,PMT(InterestRate*AmortizationMultiplier/12,Table157[[#This Row],[Am Thru]],-Table157[[#This Row],[Beginning Balance]]))),0)</f>
        <v>0</v>
      </c>
      <c r="H199" s="3">
        <f>MAX(0,IF(C199=$C$4,D199,ROUND(IF($C$3="Fixed Principal",$C$6-Table157[[#This Row],[Interest]],IF($C$3="Interest Only",Table157[[#This Row],[Beginning Balance]]*ROUND(1-(1-IF($C$11="No",$E$8,1))^(1/12),6),MIN(IF($C$13="Yes",Table157[[#This Row],[Payment Amount (Reamortized)]],$C$6)-Table157[[#This Row],[Interest]],Table157[[#This Row],[Beginning Balance]]))),2)))</f>
        <v>0</v>
      </c>
      <c r="I199" s="3">
        <f>_xlfn.SINGLE(IF($C$3="Line of Credit",0,ROUND(MAX(MIN(IF($C$10="No",$E$7,VLOOKUP(Table157[[#This Row],[Period]],Forecast!$H$2:$L$1048576,4,FALSE))*Table157[[#This Row],[Beginning Balance]],Table157[[#This Row],[Beginning Balance]]-Table157[[#This Row],[Principal]]),0),2)))</f>
        <v>0</v>
      </c>
      <c r="J199" s="3">
        <f>ROUND(MIN(Table157[[#This Row],[Beginning Balance]]*IF($C$8="No",$E$3,VLOOKUP(Table157[[#This Row],[Period]],Forecast!$H$2:$L$1048576,2,FALSE)),Table157[[#This Row],[Beginning Balance]]-Table157[[#This Row],[Principal]]-Table157[[#This Row],[Prepayments]]),2)</f>
        <v>0</v>
      </c>
      <c r="K199" s="3">
        <f>ROUND(Table157[[#This Row],[Defaulted Principal]]*IF($C$9="No",$E$4,VLOOKUP(Table157[[#This Row],[Period]],Forecast!$H$2:$L$1048576,3,FALSE)),2)</f>
        <v>0</v>
      </c>
      <c r="L199" s="2">
        <f>Table157[[#This Row],[Period]]+$E$9</f>
        <v>195</v>
      </c>
      <c r="M199" s="3">
        <f>Table157[[#This Row],[Defaulted Principal]]-Table157[[#This Row],[Estimated Loss]]</f>
        <v>0</v>
      </c>
      <c r="N199" s="3">
        <f>IFERROR(VLOOKUP(Table157[[#This Row],[Period]],$L$16:$M$385,2,FALSE),0)</f>
        <v>0</v>
      </c>
      <c r="O199" s="3">
        <f>Table157[[#This Row],[Beginning Balance]]-Table157[[#This Row],[Principal]]-Table157[[#This Row],[Prepayments]]-Table157[[#This Row],[Defaulted Principal]]</f>
        <v>0</v>
      </c>
      <c r="P199" s="3">
        <f>Table157[[#This Row],[Principal]]+Table157[[#This Row],[Interest]]+Table157[[#This Row],[Prepayments]]+Table157[[#This Row],[RecoveredAmount]]</f>
        <v>0</v>
      </c>
      <c r="Q199" s="3">
        <f ca="1">ROUND(Table157[[#This Row],[Cash Flow]]/((1+ActualRateToUse)^(IF(ISNUMBER(SEARCH("Actual",$C$7)),Table157[[#This Row],[Running Total]]/365,Table157[[#This Row],[Period]]/12))),2)</f>
        <v>0</v>
      </c>
      <c r="R199" s="2">
        <f>IF(MONTH(Table157[[#This Row],[Date]])=2,28,DAY(DATE(YEAR(Table157[[#This Row],[Date]]),MONTH(Table157[[#This Row],[Date]])+1,1)-1))</f>
        <v>30</v>
      </c>
      <c r="S199" s="2">
        <f ca="1">SUM(OFFSET(Table157[[#Headers],[Days in month]],1,0):Table157[[#This Row],[Days in month]])</f>
        <v>5567</v>
      </c>
      <c r="T199" s="37">
        <f>InterestRate*AmortizationMultiplier*IF(ISNUMBER(SEARCH("Actual",$C$7)),Table157[[#This Row],[Days in month]]/365,1/12)</f>
        <v>2.8749999999999995E-3</v>
      </c>
    </row>
    <row r="200" spans="2:20" x14ac:dyDescent="0.2">
      <c r="B200" s="1">
        <f t="shared" si="6"/>
        <v>51440</v>
      </c>
      <c r="C200" s="2">
        <f t="shared" si="8"/>
        <v>184</v>
      </c>
      <c r="D200" s="3">
        <f t="shared" si="7"/>
        <v>0</v>
      </c>
      <c r="E200" s="3">
        <f>ROUND(Table157[[#This Row],[Beginning Balance]]*Table157[[#This Row],[Monthly Interest Rate]],2)</f>
        <v>0</v>
      </c>
      <c r="F200" s="3">
        <f t="shared" si="9"/>
        <v>72</v>
      </c>
      <c r="G200" s="23">
        <f>IFERROR(IF($C$13="No","N/A",IF(Table157[[#This Row],[Period]]=1,$C$6,PMT(InterestRate*AmortizationMultiplier/12,Table157[[#This Row],[Am Thru]],-Table157[[#This Row],[Beginning Balance]]))),0)</f>
        <v>0</v>
      </c>
      <c r="H200" s="3">
        <f>MAX(0,IF(C200=$C$4,D200,ROUND(IF($C$3="Fixed Principal",$C$6-Table157[[#This Row],[Interest]],IF($C$3="Interest Only",Table157[[#This Row],[Beginning Balance]]*ROUND(1-(1-IF($C$11="No",$E$8,1))^(1/12),6),MIN(IF($C$13="Yes",Table157[[#This Row],[Payment Amount (Reamortized)]],$C$6)-Table157[[#This Row],[Interest]],Table157[[#This Row],[Beginning Balance]]))),2)))</f>
        <v>0</v>
      </c>
      <c r="I200" s="3">
        <f>_xlfn.SINGLE(IF($C$3="Line of Credit",0,ROUND(MAX(MIN(IF($C$10="No",$E$7,VLOOKUP(Table157[[#This Row],[Period]],Forecast!$H$2:$L$1048576,4,FALSE))*Table157[[#This Row],[Beginning Balance]],Table157[[#This Row],[Beginning Balance]]-Table157[[#This Row],[Principal]]),0),2)))</f>
        <v>0</v>
      </c>
      <c r="J200" s="3">
        <f>ROUND(MIN(Table157[[#This Row],[Beginning Balance]]*IF($C$8="No",$E$3,VLOOKUP(Table157[[#This Row],[Period]],Forecast!$H$2:$L$1048576,2,FALSE)),Table157[[#This Row],[Beginning Balance]]-Table157[[#This Row],[Principal]]-Table157[[#This Row],[Prepayments]]),2)</f>
        <v>0</v>
      </c>
      <c r="K200" s="3">
        <f>ROUND(Table157[[#This Row],[Defaulted Principal]]*IF($C$9="No",$E$4,VLOOKUP(Table157[[#This Row],[Period]],Forecast!$H$2:$L$1048576,3,FALSE)),2)</f>
        <v>0</v>
      </c>
      <c r="L200" s="2">
        <f>Table157[[#This Row],[Period]]+$E$9</f>
        <v>196</v>
      </c>
      <c r="M200" s="3">
        <f>Table157[[#This Row],[Defaulted Principal]]-Table157[[#This Row],[Estimated Loss]]</f>
        <v>0</v>
      </c>
      <c r="N200" s="3">
        <f>IFERROR(VLOOKUP(Table157[[#This Row],[Period]],$L$16:$M$385,2,FALSE),0)</f>
        <v>0</v>
      </c>
      <c r="O200" s="3">
        <f>Table157[[#This Row],[Beginning Balance]]-Table157[[#This Row],[Principal]]-Table157[[#This Row],[Prepayments]]-Table157[[#This Row],[Defaulted Principal]]</f>
        <v>0</v>
      </c>
      <c r="P200" s="3">
        <f>Table157[[#This Row],[Principal]]+Table157[[#This Row],[Interest]]+Table157[[#This Row],[Prepayments]]+Table157[[#This Row],[RecoveredAmount]]</f>
        <v>0</v>
      </c>
      <c r="Q200" s="3">
        <f ca="1">ROUND(Table157[[#This Row],[Cash Flow]]/((1+ActualRateToUse)^(IF(ISNUMBER(SEARCH("Actual",$C$7)),Table157[[#This Row],[Running Total]]/365,Table157[[#This Row],[Period]]/12))),2)</f>
        <v>0</v>
      </c>
      <c r="R200" s="2">
        <f>IF(MONTH(Table157[[#This Row],[Date]])=2,28,DAY(DATE(YEAR(Table157[[#This Row],[Date]]),MONTH(Table157[[#This Row],[Date]])+1,1)-1))</f>
        <v>31</v>
      </c>
      <c r="S200" s="2">
        <f ca="1">SUM(OFFSET(Table157[[#Headers],[Days in month]],1,0):Table157[[#This Row],[Days in month]])</f>
        <v>5598</v>
      </c>
      <c r="T200" s="37">
        <f>InterestRate*AmortizationMultiplier*IF(ISNUMBER(SEARCH("Actual",$C$7)),Table157[[#This Row],[Days in month]]/365,1/12)</f>
        <v>2.9708333333333331E-3</v>
      </c>
    </row>
    <row r="201" spans="2:20" x14ac:dyDescent="0.2">
      <c r="B201" s="1">
        <f t="shared" si="6"/>
        <v>51470</v>
      </c>
      <c r="C201" s="2">
        <f t="shared" si="8"/>
        <v>185</v>
      </c>
      <c r="D201" s="3">
        <f t="shared" si="7"/>
        <v>0</v>
      </c>
      <c r="E201" s="3">
        <f>ROUND(Table157[[#This Row],[Beginning Balance]]*Table157[[#This Row],[Monthly Interest Rate]],2)</f>
        <v>0</v>
      </c>
      <c r="F201" s="3">
        <f t="shared" si="9"/>
        <v>71</v>
      </c>
      <c r="G201" s="23">
        <f>IFERROR(IF($C$13="No","N/A",IF(Table157[[#This Row],[Period]]=1,$C$6,PMT(InterestRate*AmortizationMultiplier/12,Table157[[#This Row],[Am Thru]],-Table157[[#This Row],[Beginning Balance]]))),0)</f>
        <v>0</v>
      </c>
      <c r="H201" s="3">
        <f>MAX(0,IF(C201=$C$4,D201,ROUND(IF($C$3="Fixed Principal",$C$6-Table157[[#This Row],[Interest]],IF($C$3="Interest Only",Table157[[#This Row],[Beginning Balance]]*ROUND(1-(1-IF($C$11="No",$E$8,1))^(1/12),6),MIN(IF($C$13="Yes",Table157[[#This Row],[Payment Amount (Reamortized)]],$C$6)-Table157[[#This Row],[Interest]],Table157[[#This Row],[Beginning Balance]]))),2)))</f>
        <v>0</v>
      </c>
      <c r="I201" s="3">
        <f>_xlfn.SINGLE(IF($C$3="Line of Credit",0,ROUND(MAX(MIN(IF($C$10="No",$E$7,VLOOKUP(Table157[[#This Row],[Period]],Forecast!$H$2:$L$1048576,4,FALSE))*Table157[[#This Row],[Beginning Balance]],Table157[[#This Row],[Beginning Balance]]-Table157[[#This Row],[Principal]]),0),2)))</f>
        <v>0</v>
      </c>
      <c r="J201" s="3">
        <f>ROUND(MIN(Table157[[#This Row],[Beginning Balance]]*IF($C$8="No",$E$3,VLOOKUP(Table157[[#This Row],[Period]],Forecast!$H$2:$L$1048576,2,FALSE)),Table157[[#This Row],[Beginning Balance]]-Table157[[#This Row],[Principal]]-Table157[[#This Row],[Prepayments]]),2)</f>
        <v>0</v>
      </c>
      <c r="K201" s="3">
        <f>ROUND(Table157[[#This Row],[Defaulted Principal]]*IF($C$9="No",$E$4,VLOOKUP(Table157[[#This Row],[Period]],Forecast!$H$2:$L$1048576,3,FALSE)),2)</f>
        <v>0</v>
      </c>
      <c r="L201" s="2">
        <f>Table157[[#This Row],[Period]]+$E$9</f>
        <v>197</v>
      </c>
      <c r="M201" s="3">
        <f>Table157[[#This Row],[Defaulted Principal]]-Table157[[#This Row],[Estimated Loss]]</f>
        <v>0</v>
      </c>
      <c r="N201" s="3">
        <f>IFERROR(VLOOKUP(Table157[[#This Row],[Period]],$L$16:$M$385,2,FALSE),0)</f>
        <v>0</v>
      </c>
      <c r="O201" s="3">
        <f>Table157[[#This Row],[Beginning Balance]]-Table157[[#This Row],[Principal]]-Table157[[#This Row],[Prepayments]]-Table157[[#This Row],[Defaulted Principal]]</f>
        <v>0</v>
      </c>
      <c r="P201" s="3">
        <f>Table157[[#This Row],[Principal]]+Table157[[#This Row],[Interest]]+Table157[[#This Row],[Prepayments]]+Table157[[#This Row],[RecoveredAmount]]</f>
        <v>0</v>
      </c>
      <c r="Q201" s="3">
        <f ca="1">ROUND(Table157[[#This Row],[Cash Flow]]/((1+ActualRateToUse)^(IF(ISNUMBER(SEARCH("Actual",$C$7)),Table157[[#This Row],[Running Total]]/365,Table157[[#This Row],[Period]]/12))),2)</f>
        <v>0</v>
      </c>
      <c r="R201" s="2">
        <f>IF(MONTH(Table157[[#This Row],[Date]])=2,28,DAY(DATE(YEAR(Table157[[#This Row],[Date]]),MONTH(Table157[[#This Row],[Date]])+1,1)-1))</f>
        <v>30</v>
      </c>
      <c r="S201" s="2">
        <f ca="1">SUM(OFFSET(Table157[[#Headers],[Days in month]],1,0):Table157[[#This Row],[Days in month]])</f>
        <v>5628</v>
      </c>
      <c r="T201" s="37">
        <f>InterestRate*AmortizationMultiplier*IF(ISNUMBER(SEARCH("Actual",$C$7)),Table157[[#This Row],[Days in month]]/365,1/12)</f>
        <v>2.8749999999999995E-3</v>
      </c>
    </row>
    <row r="202" spans="2:20" x14ac:dyDescent="0.2">
      <c r="B202" s="1">
        <f t="shared" si="6"/>
        <v>51501</v>
      </c>
      <c r="C202" s="2">
        <f t="shared" si="8"/>
        <v>186</v>
      </c>
      <c r="D202" s="3">
        <f t="shared" si="7"/>
        <v>0</v>
      </c>
      <c r="E202" s="3">
        <f>ROUND(Table157[[#This Row],[Beginning Balance]]*Table157[[#This Row],[Monthly Interest Rate]],2)</f>
        <v>0</v>
      </c>
      <c r="F202" s="3">
        <f t="shared" si="9"/>
        <v>70</v>
      </c>
      <c r="G202" s="23">
        <f>IFERROR(IF($C$13="No","N/A",IF(Table157[[#This Row],[Period]]=1,$C$6,PMT(InterestRate*AmortizationMultiplier/12,Table157[[#This Row],[Am Thru]],-Table157[[#This Row],[Beginning Balance]]))),0)</f>
        <v>0</v>
      </c>
      <c r="H202" s="3">
        <f>MAX(0,IF(C202=$C$4,D202,ROUND(IF($C$3="Fixed Principal",$C$6-Table157[[#This Row],[Interest]],IF($C$3="Interest Only",Table157[[#This Row],[Beginning Balance]]*ROUND(1-(1-IF($C$11="No",$E$8,1))^(1/12),6),MIN(IF($C$13="Yes",Table157[[#This Row],[Payment Amount (Reamortized)]],$C$6)-Table157[[#This Row],[Interest]],Table157[[#This Row],[Beginning Balance]]))),2)))</f>
        <v>0</v>
      </c>
      <c r="I202" s="3">
        <f>_xlfn.SINGLE(IF($C$3="Line of Credit",0,ROUND(MAX(MIN(IF($C$10="No",$E$7,VLOOKUP(Table157[[#This Row],[Period]],Forecast!$H$2:$L$1048576,4,FALSE))*Table157[[#This Row],[Beginning Balance]],Table157[[#This Row],[Beginning Balance]]-Table157[[#This Row],[Principal]]),0),2)))</f>
        <v>0</v>
      </c>
      <c r="J202" s="3">
        <f>ROUND(MIN(Table157[[#This Row],[Beginning Balance]]*IF($C$8="No",$E$3,VLOOKUP(Table157[[#This Row],[Period]],Forecast!$H$2:$L$1048576,2,FALSE)),Table157[[#This Row],[Beginning Balance]]-Table157[[#This Row],[Principal]]-Table157[[#This Row],[Prepayments]]),2)</f>
        <v>0</v>
      </c>
      <c r="K202" s="3">
        <f>ROUND(Table157[[#This Row],[Defaulted Principal]]*IF($C$9="No",$E$4,VLOOKUP(Table157[[#This Row],[Period]],Forecast!$H$2:$L$1048576,3,FALSE)),2)</f>
        <v>0</v>
      </c>
      <c r="L202" s="2">
        <f>Table157[[#This Row],[Period]]+$E$9</f>
        <v>198</v>
      </c>
      <c r="M202" s="3">
        <f>Table157[[#This Row],[Defaulted Principal]]-Table157[[#This Row],[Estimated Loss]]</f>
        <v>0</v>
      </c>
      <c r="N202" s="3">
        <f>IFERROR(VLOOKUP(Table157[[#This Row],[Period]],$L$16:$M$385,2,FALSE),0)</f>
        <v>0</v>
      </c>
      <c r="O202" s="3">
        <f>Table157[[#This Row],[Beginning Balance]]-Table157[[#This Row],[Principal]]-Table157[[#This Row],[Prepayments]]-Table157[[#This Row],[Defaulted Principal]]</f>
        <v>0</v>
      </c>
      <c r="P202" s="3">
        <f>Table157[[#This Row],[Principal]]+Table157[[#This Row],[Interest]]+Table157[[#This Row],[Prepayments]]+Table157[[#This Row],[RecoveredAmount]]</f>
        <v>0</v>
      </c>
      <c r="Q202" s="3">
        <f ca="1">ROUND(Table157[[#This Row],[Cash Flow]]/((1+ActualRateToUse)^(IF(ISNUMBER(SEARCH("Actual",$C$7)),Table157[[#This Row],[Running Total]]/365,Table157[[#This Row],[Period]]/12))),2)</f>
        <v>0</v>
      </c>
      <c r="R202" s="2">
        <f>IF(MONTH(Table157[[#This Row],[Date]])=2,28,DAY(DATE(YEAR(Table157[[#This Row],[Date]]),MONTH(Table157[[#This Row],[Date]])+1,1)-1))</f>
        <v>31</v>
      </c>
      <c r="S202" s="2">
        <f ca="1">SUM(OFFSET(Table157[[#Headers],[Days in month]],1,0):Table157[[#This Row],[Days in month]])</f>
        <v>5659</v>
      </c>
      <c r="T202" s="37">
        <f>InterestRate*AmortizationMultiplier*IF(ISNUMBER(SEARCH("Actual",$C$7)),Table157[[#This Row],[Days in month]]/365,1/12)</f>
        <v>2.9708333333333331E-3</v>
      </c>
    </row>
    <row r="203" spans="2:20" x14ac:dyDescent="0.2">
      <c r="B203" s="1">
        <f t="shared" ref="B203:B266" si="10">EOMONTH(B202,1)</f>
        <v>51532</v>
      </c>
      <c r="C203" s="2">
        <f t="shared" si="8"/>
        <v>187</v>
      </c>
      <c r="D203" s="3">
        <f t="shared" si="7"/>
        <v>0</v>
      </c>
      <c r="E203" s="3">
        <f>ROUND(Table157[[#This Row],[Beginning Balance]]*Table157[[#This Row],[Monthly Interest Rate]],2)</f>
        <v>0</v>
      </c>
      <c r="F203" s="3">
        <f t="shared" si="9"/>
        <v>69</v>
      </c>
      <c r="G203" s="23">
        <f>IFERROR(IF($C$13="No","N/A",IF(Table157[[#This Row],[Period]]=1,$C$6,PMT(InterestRate*AmortizationMultiplier/12,Table157[[#This Row],[Am Thru]],-Table157[[#This Row],[Beginning Balance]]))),0)</f>
        <v>0</v>
      </c>
      <c r="H203" s="3">
        <f>MAX(0,IF(C203=$C$4,D203,ROUND(IF($C$3="Fixed Principal",$C$6-Table157[[#This Row],[Interest]],IF($C$3="Interest Only",Table157[[#This Row],[Beginning Balance]]*ROUND(1-(1-IF($C$11="No",$E$8,1))^(1/12),6),MIN(IF($C$13="Yes",Table157[[#This Row],[Payment Amount (Reamortized)]],$C$6)-Table157[[#This Row],[Interest]],Table157[[#This Row],[Beginning Balance]]))),2)))</f>
        <v>0</v>
      </c>
      <c r="I203" s="3">
        <f>_xlfn.SINGLE(IF($C$3="Line of Credit",0,ROUND(MAX(MIN(IF($C$10="No",$E$7,VLOOKUP(Table157[[#This Row],[Period]],Forecast!$H$2:$L$1048576,4,FALSE))*Table157[[#This Row],[Beginning Balance]],Table157[[#This Row],[Beginning Balance]]-Table157[[#This Row],[Principal]]),0),2)))</f>
        <v>0</v>
      </c>
      <c r="J203" s="3">
        <f>ROUND(MIN(Table157[[#This Row],[Beginning Balance]]*IF($C$8="No",$E$3,VLOOKUP(Table157[[#This Row],[Period]],Forecast!$H$2:$L$1048576,2,FALSE)),Table157[[#This Row],[Beginning Balance]]-Table157[[#This Row],[Principal]]-Table157[[#This Row],[Prepayments]]),2)</f>
        <v>0</v>
      </c>
      <c r="K203" s="3">
        <f>ROUND(Table157[[#This Row],[Defaulted Principal]]*IF($C$9="No",$E$4,VLOOKUP(Table157[[#This Row],[Period]],Forecast!$H$2:$L$1048576,3,FALSE)),2)</f>
        <v>0</v>
      </c>
      <c r="L203" s="2">
        <f>Table157[[#This Row],[Period]]+$E$9</f>
        <v>199</v>
      </c>
      <c r="M203" s="3">
        <f>Table157[[#This Row],[Defaulted Principal]]-Table157[[#This Row],[Estimated Loss]]</f>
        <v>0</v>
      </c>
      <c r="N203" s="3">
        <f>IFERROR(VLOOKUP(Table157[[#This Row],[Period]],$L$16:$M$385,2,FALSE),0)</f>
        <v>0</v>
      </c>
      <c r="O203" s="3">
        <f>Table157[[#This Row],[Beginning Balance]]-Table157[[#This Row],[Principal]]-Table157[[#This Row],[Prepayments]]-Table157[[#This Row],[Defaulted Principal]]</f>
        <v>0</v>
      </c>
      <c r="P203" s="3">
        <f>Table157[[#This Row],[Principal]]+Table157[[#This Row],[Interest]]+Table157[[#This Row],[Prepayments]]+Table157[[#This Row],[RecoveredAmount]]</f>
        <v>0</v>
      </c>
      <c r="Q203" s="3">
        <f ca="1">ROUND(Table157[[#This Row],[Cash Flow]]/((1+ActualRateToUse)^(IF(ISNUMBER(SEARCH("Actual",$C$7)),Table157[[#This Row],[Running Total]]/365,Table157[[#This Row],[Period]]/12))),2)</f>
        <v>0</v>
      </c>
      <c r="R203" s="2">
        <f>IF(MONTH(Table157[[#This Row],[Date]])=2,28,DAY(DATE(YEAR(Table157[[#This Row],[Date]]),MONTH(Table157[[#This Row],[Date]])+1,1)-1))</f>
        <v>31</v>
      </c>
      <c r="S203" s="2">
        <f ca="1">SUM(OFFSET(Table157[[#Headers],[Days in month]],1,0):Table157[[#This Row],[Days in month]])</f>
        <v>5690</v>
      </c>
      <c r="T203" s="37">
        <f>InterestRate*AmortizationMultiplier*IF(ISNUMBER(SEARCH("Actual",$C$7)),Table157[[#This Row],[Days in month]]/365,1/12)</f>
        <v>2.9708333333333331E-3</v>
      </c>
    </row>
    <row r="204" spans="2:20" x14ac:dyDescent="0.2">
      <c r="B204" s="1">
        <f t="shared" si="10"/>
        <v>51560</v>
      </c>
      <c r="C204" s="2">
        <f t="shared" si="8"/>
        <v>188</v>
      </c>
      <c r="D204" s="3">
        <f t="shared" si="7"/>
        <v>0</v>
      </c>
      <c r="E204" s="3">
        <f>ROUND(Table157[[#This Row],[Beginning Balance]]*Table157[[#This Row],[Monthly Interest Rate]],2)</f>
        <v>0</v>
      </c>
      <c r="F204" s="3">
        <f t="shared" si="9"/>
        <v>68</v>
      </c>
      <c r="G204" s="23">
        <f>IFERROR(IF($C$13="No","N/A",IF(Table157[[#This Row],[Period]]=1,$C$6,PMT(InterestRate*AmortizationMultiplier/12,Table157[[#This Row],[Am Thru]],-Table157[[#This Row],[Beginning Balance]]))),0)</f>
        <v>0</v>
      </c>
      <c r="H204" s="3">
        <f>MAX(0,IF(C204=$C$4,D204,ROUND(IF($C$3="Fixed Principal",$C$6-Table157[[#This Row],[Interest]],IF($C$3="Interest Only",Table157[[#This Row],[Beginning Balance]]*ROUND(1-(1-IF($C$11="No",$E$8,1))^(1/12),6),MIN(IF($C$13="Yes",Table157[[#This Row],[Payment Amount (Reamortized)]],$C$6)-Table157[[#This Row],[Interest]],Table157[[#This Row],[Beginning Balance]]))),2)))</f>
        <v>0</v>
      </c>
      <c r="I204" s="3">
        <f>_xlfn.SINGLE(IF($C$3="Line of Credit",0,ROUND(MAX(MIN(IF($C$10="No",$E$7,VLOOKUP(Table157[[#This Row],[Period]],Forecast!$H$2:$L$1048576,4,FALSE))*Table157[[#This Row],[Beginning Balance]],Table157[[#This Row],[Beginning Balance]]-Table157[[#This Row],[Principal]]),0),2)))</f>
        <v>0</v>
      </c>
      <c r="J204" s="3">
        <f>ROUND(MIN(Table157[[#This Row],[Beginning Balance]]*IF($C$8="No",$E$3,VLOOKUP(Table157[[#This Row],[Period]],Forecast!$H$2:$L$1048576,2,FALSE)),Table157[[#This Row],[Beginning Balance]]-Table157[[#This Row],[Principal]]-Table157[[#This Row],[Prepayments]]),2)</f>
        <v>0</v>
      </c>
      <c r="K204" s="3">
        <f>ROUND(Table157[[#This Row],[Defaulted Principal]]*IF($C$9="No",$E$4,VLOOKUP(Table157[[#This Row],[Period]],Forecast!$H$2:$L$1048576,3,FALSE)),2)</f>
        <v>0</v>
      </c>
      <c r="L204" s="2">
        <f>Table157[[#This Row],[Period]]+$E$9</f>
        <v>200</v>
      </c>
      <c r="M204" s="3">
        <f>Table157[[#This Row],[Defaulted Principal]]-Table157[[#This Row],[Estimated Loss]]</f>
        <v>0</v>
      </c>
      <c r="N204" s="3">
        <f>IFERROR(VLOOKUP(Table157[[#This Row],[Period]],$L$16:$M$385,2,FALSE),0)</f>
        <v>0</v>
      </c>
      <c r="O204" s="3">
        <f>Table157[[#This Row],[Beginning Balance]]-Table157[[#This Row],[Principal]]-Table157[[#This Row],[Prepayments]]-Table157[[#This Row],[Defaulted Principal]]</f>
        <v>0</v>
      </c>
      <c r="P204" s="3">
        <f>Table157[[#This Row],[Principal]]+Table157[[#This Row],[Interest]]+Table157[[#This Row],[Prepayments]]+Table157[[#This Row],[RecoveredAmount]]</f>
        <v>0</v>
      </c>
      <c r="Q204" s="3">
        <f ca="1">ROUND(Table157[[#This Row],[Cash Flow]]/((1+ActualRateToUse)^(IF(ISNUMBER(SEARCH("Actual",$C$7)),Table157[[#This Row],[Running Total]]/365,Table157[[#This Row],[Period]]/12))),2)</f>
        <v>0</v>
      </c>
      <c r="R204" s="2">
        <f>IF(MONTH(Table157[[#This Row],[Date]])=2,28,DAY(DATE(YEAR(Table157[[#This Row],[Date]]),MONTH(Table157[[#This Row],[Date]])+1,1)-1))</f>
        <v>28</v>
      </c>
      <c r="S204" s="2">
        <f ca="1">SUM(OFFSET(Table157[[#Headers],[Days in month]],1,0):Table157[[#This Row],[Days in month]])</f>
        <v>5718</v>
      </c>
      <c r="T204" s="37">
        <f>InterestRate*AmortizationMultiplier*IF(ISNUMBER(SEARCH("Actual",$C$7)),Table157[[#This Row],[Days in month]]/365,1/12)</f>
        <v>2.6833333333333336E-3</v>
      </c>
    </row>
    <row r="205" spans="2:20" x14ac:dyDescent="0.2">
      <c r="B205" s="1">
        <f t="shared" si="10"/>
        <v>51591</v>
      </c>
      <c r="C205" s="2">
        <f t="shared" si="8"/>
        <v>189</v>
      </c>
      <c r="D205" s="3">
        <f t="shared" si="7"/>
        <v>0</v>
      </c>
      <c r="E205" s="3">
        <f>ROUND(Table157[[#This Row],[Beginning Balance]]*Table157[[#This Row],[Monthly Interest Rate]],2)</f>
        <v>0</v>
      </c>
      <c r="F205" s="3">
        <f t="shared" si="9"/>
        <v>67</v>
      </c>
      <c r="G205" s="23">
        <f>IFERROR(IF($C$13="No","N/A",IF(Table157[[#This Row],[Period]]=1,$C$6,PMT(InterestRate*AmortizationMultiplier/12,Table157[[#This Row],[Am Thru]],-Table157[[#This Row],[Beginning Balance]]))),0)</f>
        <v>0</v>
      </c>
      <c r="H205" s="3">
        <f>MAX(0,IF(C205=$C$4,D205,ROUND(IF($C$3="Fixed Principal",$C$6-Table157[[#This Row],[Interest]],IF($C$3="Interest Only",Table157[[#This Row],[Beginning Balance]]*ROUND(1-(1-IF($C$11="No",$E$8,1))^(1/12),6),MIN(IF($C$13="Yes",Table157[[#This Row],[Payment Amount (Reamortized)]],$C$6)-Table157[[#This Row],[Interest]],Table157[[#This Row],[Beginning Balance]]))),2)))</f>
        <v>0</v>
      </c>
      <c r="I205" s="3">
        <f>_xlfn.SINGLE(IF($C$3="Line of Credit",0,ROUND(MAX(MIN(IF($C$10="No",$E$7,VLOOKUP(Table157[[#This Row],[Period]],Forecast!$H$2:$L$1048576,4,FALSE))*Table157[[#This Row],[Beginning Balance]],Table157[[#This Row],[Beginning Balance]]-Table157[[#This Row],[Principal]]),0),2)))</f>
        <v>0</v>
      </c>
      <c r="J205" s="3">
        <f>ROUND(MIN(Table157[[#This Row],[Beginning Balance]]*IF($C$8="No",$E$3,VLOOKUP(Table157[[#This Row],[Period]],Forecast!$H$2:$L$1048576,2,FALSE)),Table157[[#This Row],[Beginning Balance]]-Table157[[#This Row],[Principal]]-Table157[[#This Row],[Prepayments]]),2)</f>
        <v>0</v>
      </c>
      <c r="K205" s="3">
        <f>ROUND(Table157[[#This Row],[Defaulted Principal]]*IF($C$9="No",$E$4,VLOOKUP(Table157[[#This Row],[Period]],Forecast!$H$2:$L$1048576,3,FALSE)),2)</f>
        <v>0</v>
      </c>
      <c r="L205" s="2">
        <f>Table157[[#This Row],[Period]]+$E$9</f>
        <v>201</v>
      </c>
      <c r="M205" s="3">
        <f>Table157[[#This Row],[Defaulted Principal]]-Table157[[#This Row],[Estimated Loss]]</f>
        <v>0</v>
      </c>
      <c r="N205" s="3">
        <f>IFERROR(VLOOKUP(Table157[[#This Row],[Period]],$L$16:$M$385,2,FALSE),0)</f>
        <v>0</v>
      </c>
      <c r="O205" s="3">
        <f>Table157[[#This Row],[Beginning Balance]]-Table157[[#This Row],[Principal]]-Table157[[#This Row],[Prepayments]]-Table157[[#This Row],[Defaulted Principal]]</f>
        <v>0</v>
      </c>
      <c r="P205" s="3">
        <f>Table157[[#This Row],[Principal]]+Table157[[#This Row],[Interest]]+Table157[[#This Row],[Prepayments]]+Table157[[#This Row],[RecoveredAmount]]</f>
        <v>0</v>
      </c>
      <c r="Q205" s="3">
        <f ca="1">ROUND(Table157[[#This Row],[Cash Flow]]/((1+ActualRateToUse)^(IF(ISNUMBER(SEARCH("Actual",$C$7)),Table157[[#This Row],[Running Total]]/365,Table157[[#This Row],[Period]]/12))),2)</f>
        <v>0</v>
      </c>
      <c r="R205" s="2">
        <f>IF(MONTH(Table157[[#This Row],[Date]])=2,28,DAY(DATE(YEAR(Table157[[#This Row],[Date]]),MONTH(Table157[[#This Row],[Date]])+1,1)-1))</f>
        <v>31</v>
      </c>
      <c r="S205" s="2">
        <f ca="1">SUM(OFFSET(Table157[[#Headers],[Days in month]],1,0):Table157[[#This Row],[Days in month]])</f>
        <v>5749</v>
      </c>
      <c r="T205" s="37">
        <f>InterestRate*AmortizationMultiplier*IF(ISNUMBER(SEARCH("Actual",$C$7)),Table157[[#This Row],[Days in month]]/365,1/12)</f>
        <v>2.9708333333333331E-3</v>
      </c>
    </row>
    <row r="206" spans="2:20" x14ac:dyDescent="0.2">
      <c r="B206" s="1">
        <f t="shared" si="10"/>
        <v>51621</v>
      </c>
      <c r="C206" s="2">
        <f t="shared" si="8"/>
        <v>190</v>
      </c>
      <c r="D206" s="3">
        <f t="shared" si="7"/>
        <v>0</v>
      </c>
      <c r="E206" s="3">
        <f>ROUND(Table157[[#This Row],[Beginning Balance]]*Table157[[#This Row],[Monthly Interest Rate]],2)</f>
        <v>0</v>
      </c>
      <c r="F206" s="3">
        <f t="shared" si="9"/>
        <v>66</v>
      </c>
      <c r="G206" s="23">
        <f>IFERROR(IF($C$13="No","N/A",IF(Table157[[#This Row],[Period]]=1,$C$6,PMT(InterestRate*AmortizationMultiplier/12,Table157[[#This Row],[Am Thru]],-Table157[[#This Row],[Beginning Balance]]))),0)</f>
        <v>0</v>
      </c>
      <c r="H206" s="3">
        <f>MAX(0,IF(C206=$C$4,D206,ROUND(IF($C$3="Fixed Principal",$C$6-Table157[[#This Row],[Interest]],IF($C$3="Interest Only",Table157[[#This Row],[Beginning Balance]]*ROUND(1-(1-IF($C$11="No",$E$8,1))^(1/12),6),MIN(IF($C$13="Yes",Table157[[#This Row],[Payment Amount (Reamortized)]],$C$6)-Table157[[#This Row],[Interest]],Table157[[#This Row],[Beginning Balance]]))),2)))</f>
        <v>0</v>
      </c>
      <c r="I206" s="3">
        <f>_xlfn.SINGLE(IF($C$3="Line of Credit",0,ROUND(MAX(MIN(IF($C$10="No",$E$7,VLOOKUP(Table157[[#This Row],[Period]],Forecast!$H$2:$L$1048576,4,FALSE))*Table157[[#This Row],[Beginning Balance]],Table157[[#This Row],[Beginning Balance]]-Table157[[#This Row],[Principal]]),0),2)))</f>
        <v>0</v>
      </c>
      <c r="J206" s="3">
        <f>ROUND(MIN(Table157[[#This Row],[Beginning Balance]]*IF($C$8="No",$E$3,VLOOKUP(Table157[[#This Row],[Period]],Forecast!$H$2:$L$1048576,2,FALSE)),Table157[[#This Row],[Beginning Balance]]-Table157[[#This Row],[Principal]]-Table157[[#This Row],[Prepayments]]),2)</f>
        <v>0</v>
      </c>
      <c r="K206" s="3">
        <f>ROUND(Table157[[#This Row],[Defaulted Principal]]*IF($C$9="No",$E$4,VLOOKUP(Table157[[#This Row],[Period]],Forecast!$H$2:$L$1048576,3,FALSE)),2)</f>
        <v>0</v>
      </c>
      <c r="L206" s="2">
        <f>Table157[[#This Row],[Period]]+$E$9</f>
        <v>202</v>
      </c>
      <c r="M206" s="3">
        <f>Table157[[#This Row],[Defaulted Principal]]-Table157[[#This Row],[Estimated Loss]]</f>
        <v>0</v>
      </c>
      <c r="N206" s="3">
        <f>IFERROR(VLOOKUP(Table157[[#This Row],[Period]],$L$16:$M$385,2,FALSE),0)</f>
        <v>0</v>
      </c>
      <c r="O206" s="3">
        <f>Table157[[#This Row],[Beginning Balance]]-Table157[[#This Row],[Principal]]-Table157[[#This Row],[Prepayments]]-Table157[[#This Row],[Defaulted Principal]]</f>
        <v>0</v>
      </c>
      <c r="P206" s="3">
        <f>Table157[[#This Row],[Principal]]+Table157[[#This Row],[Interest]]+Table157[[#This Row],[Prepayments]]+Table157[[#This Row],[RecoveredAmount]]</f>
        <v>0</v>
      </c>
      <c r="Q206" s="3">
        <f ca="1">ROUND(Table157[[#This Row],[Cash Flow]]/((1+ActualRateToUse)^(IF(ISNUMBER(SEARCH("Actual",$C$7)),Table157[[#This Row],[Running Total]]/365,Table157[[#This Row],[Period]]/12))),2)</f>
        <v>0</v>
      </c>
      <c r="R206" s="2">
        <f>IF(MONTH(Table157[[#This Row],[Date]])=2,28,DAY(DATE(YEAR(Table157[[#This Row],[Date]]),MONTH(Table157[[#This Row],[Date]])+1,1)-1))</f>
        <v>30</v>
      </c>
      <c r="S206" s="2">
        <f ca="1">SUM(OFFSET(Table157[[#Headers],[Days in month]],1,0):Table157[[#This Row],[Days in month]])</f>
        <v>5779</v>
      </c>
      <c r="T206" s="37">
        <f>InterestRate*AmortizationMultiplier*IF(ISNUMBER(SEARCH("Actual",$C$7)),Table157[[#This Row],[Days in month]]/365,1/12)</f>
        <v>2.8749999999999995E-3</v>
      </c>
    </row>
    <row r="207" spans="2:20" x14ac:dyDescent="0.2">
      <c r="B207" s="1">
        <f t="shared" si="10"/>
        <v>51652</v>
      </c>
      <c r="C207" s="2">
        <f t="shared" si="8"/>
        <v>191</v>
      </c>
      <c r="D207" s="3">
        <f t="shared" si="7"/>
        <v>0</v>
      </c>
      <c r="E207" s="3">
        <f>ROUND(Table157[[#This Row],[Beginning Balance]]*Table157[[#This Row],[Monthly Interest Rate]],2)</f>
        <v>0</v>
      </c>
      <c r="F207" s="3">
        <f t="shared" si="9"/>
        <v>65</v>
      </c>
      <c r="G207" s="23">
        <f>IFERROR(IF($C$13="No","N/A",IF(Table157[[#This Row],[Period]]=1,$C$6,PMT(InterestRate*AmortizationMultiplier/12,Table157[[#This Row],[Am Thru]],-Table157[[#This Row],[Beginning Balance]]))),0)</f>
        <v>0</v>
      </c>
      <c r="H207" s="3">
        <f>MAX(0,IF(C207=$C$4,D207,ROUND(IF($C$3="Fixed Principal",$C$6-Table157[[#This Row],[Interest]],IF($C$3="Interest Only",Table157[[#This Row],[Beginning Balance]]*ROUND(1-(1-IF($C$11="No",$E$8,1))^(1/12),6),MIN(IF($C$13="Yes",Table157[[#This Row],[Payment Amount (Reamortized)]],$C$6)-Table157[[#This Row],[Interest]],Table157[[#This Row],[Beginning Balance]]))),2)))</f>
        <v>0</v>
      </c>
      <c r="I207" s="3">
        <f>_xlfn.SINGLE(IF($C$3="Line of Credit",0,ROUND(MAX(MIN(IF($C$10="No",$E$7,VLOOKUP(Table157[[#This Row],[Period]],Forecast!$H$2:$L$1048576,4,FALSE))*Table157[[#This Row],[Beginning Balance]],Table157[[#This Row],[Beginning Balance]]-Table157[[#This Row],[Principal]]),0),2)))</f>
        <v>0</v>
      </c>
      <c r="J207" s="3">
        <f>ROUND(MIN(Table157[[#This Row],[Beginning Balance]]*IF($C$8="No",$E$3,VLOOKUP(Table157[[#This Row],[Period]],Forecast!$H$2:$L$1048576,2,FALSE)),Table157[[#This Row],[Beginning Balance]]-Table157[[#This Row],[Principal]]-Table157[[#This Row],[Prepayments]]),2)</f>
        <v>0</v>
      </c>
      <c r="K207" s="3">
        <f>ROUND(Table157[[#This Row],[Defaulted Principal]]*IF($C$9="No",$E$4,VLOOKUP(Table157[[#This Row],[Period]],Forecast!$H$2:$L$1048576,3,FALSE)),2)</f>
        <v>0</v>
      </c>
      <c r="L207" s="2">
        <f>Table157[[#This Row],[Period]]+$E$9</f>
        <v>203</v>
      </c>
      <c r="M207" s="3">
        <f>Table157[[#This Row],[Defaulted Principal]]-Table157[[#This Row],[Estimated Loss]]</f>
        <v>0</v>
      </c>
      <c r="N207" s="3">
        <f>IFERROR(VLOOKUP(Table157[[#This Row],[Period]],$L$16:$M$385,2,FALSE),0)</f>
        <v>0</v>
      </c>
      <c r="O207" s="3">
        <f>Table157[[#This Row],[Beginning Balance]]-Table157[[#This Row],[Principal]]-Table157[[#This Row],[Prepayments]]-Table157[[#This Row],[Defaulted Principal]]</f>
        <v>0</v>
      </c>
      <c r="P207" s="3">
        <f>Table157[[#This Row],[Principal]]+Table157[[#This Row],[Interest]]+Table157[[#This Row],[Prepayments]]+Table157[[#This Row],[RecoveredAmount]]</f>
        <v>0</v>
      </c>
      <c r="Q207" s="3">
        <f ca="1">ROUND(Table157[[#This Row],[Cash Flow]]/((1+ActualRateToUse)^(IF(ISNUMBER(SEARCH("Actual",$C$7)),Table157[[#This Row],[Running Total]]/365,Table157[[#This Row],[Period]]/12))),2)</f>
        <v>0</v>
      </c>
      <c r="R207" s="2">
        <f>IF(MONTH(Table157[[#This Row],[Date]])=2,28,DAY(DATE(YEAR(Table157[[#This Row],[Date]]),MONTH(Table157[[#This Row],[Date]])+1,1)-1))</f>
        <v>31</v>
      </c>
      <c r="S207" s="2">
        <f ca="1">SUM(OFFSET(Table157[[#Headers],[Days in month]],1,0):Table157[[#This Row],[Days in month]])</f>
        <v>5810</v>
      </c>
      <c r="T207" s="37">
        <f>InterestRate*AmortizationMultiplier*IF(ISNUMBER(SEARCH("Actual",$C$7)),Table157[[#This Row],[Days in month]]/365,1/12)</f>
        <v>2.9708333333333331E-3</v>
      </c>
    </row>
    <row r="208" spans="2:20" x14ac:dyDescent="0.2">
      <c r="B208" s="1">
        <f t="shared" si="10"/>
        <v>51682</v>
      </c>
      <c r="C208" s="2">
        <f t="shared" si="8"/>
        <v>192</v>
      </c>
      <c r="D208" s="3">
        <f t="shared" si="7"/>
        <v>0</v>
      </c>
      <c r="E208" s="3">
        <f>ROUND(Table157[[#This Row],[Beginning Balance]]*Table157[[#This Row],[Monthly Interest Rate]],2)</f>
        <v>0</v>
      </c>
      <c r="F208" s="3">
        <f t="shared" si="9"/>
        <v>64</v>
      </c>
      <c r="G208" s="23">
        <f>IFERROR(IF($C$13="No","N/A",IF(Table157[[#This Row],[Period]]=1,$C$6,PMT(InterestRate*AmortizationMultiplier/12,Table157[[#This Row],[Am Thru]],-Table157[[#This Row],[Beginning Balance]]))),0)</f>
        <v>0</v>
      </c>
      <c r="H208" s="3">
        <f>MAX(0,IF(C208=$C$4,D208,ROUND(IF($C$3="Fixed Principal",$C$6-Table157[[#This Row],[Interest]],IF($C$3="Interest Only",Table157[[#This Row],[Beginning Balance]]*ROUND(1-(1-IF($C$11="No",$E$8,1))^(1/12),6),MIN(IF($C$13="Yes",Table157[[#This Row],[Payment Amount (Reamortized)]],$C$6)-Table157[[#This Row],[Interest]],Table157[[#This Row],[Beginning Balance]]))),2)))</f>
        <v>0</v>
      </c>
      <c r="I208" s="3">
        <f>_xlfn.SINGLE(IF($C$3="Line of Credit",0,ROUND(MAX(MIN(IF($C$10="No",$E$7,VLOOKUP(Table157[[#This Row],[Period]],Forecast!$H$2:$L$1048576,4,FALSE))*Table157[[#This Row],[Beginning Balance]],Table157[[#This Row],[Beginning Balance]]-Table157[[#This Row],[Principal]]),0),2)))</f>
        <v>0</v>
      </c>
      <c r="J208" s="3">
        <f>ROUND(MIN(Table157[[#This Row],[Beginning Balance]]*IF($C$8="No",$E$3,VLOOKUP(Table157[[#This Row],[Period]],Forecast!$H$2:$L$1048576,2,FALSE)),Table157[[#This Row],[Beginning Balance]]-Table157[[#This Row],[Principal]]-Table157[[#This Row],[Prepayments]]),2)</f>
        <v>0</v>
      </c>
      <c r="K208" s="3">
        <f>ROUND(Table157[[#This Row],[Defaulted Principal]]*IF($C$9="No",$E$4,VLOOKUP(Table157[[#This Row],[Period]],Forecast!$H$2:$L$1048576,3,FALSE)),2)</f>
        <v>0</v>
      </c>
      <c r="L208" s="2">
        <f>Table157[[#This Row],[Period]]+$E$9</f>
        <v>204</v>
      </c>
      <c r="M208" s="3">
        <f>Table157[[#This Row],[Defaulted Principal]]-Table157[[#This Row],[Estimated Loss]]</f>
        <v>0</v>
      </c>
      <c r="N208" s="3">
        <f>IFERROR(VLOOKUP(Table157[[#This Row],[Period]],$L$16:$M$385,2,FALSE),0)</f>
        <v>0</v>
      </c>
      <c r="O208" s="3">
        <f>Table157[[#This Row],[Beginning Balance]]-Table157[[#This Row],[Principal]]-Table157[[#This Row],[Prepayments]]-Table157[[#This Row],[Defaulted Principal]]</f>
        <v>0</v>
      </c>
      <c r="P208" s="3">
        <f>Table157[[#This Row],[Principal]]+Table157[[#This Row],[Interest]]+Table157[[#This Row],[Prepayments]]+Table157[[#This Row],[RecoveredAmount]]</f>
        <v>0</v>
      </c>
      <c r="Q208" s="3">
        <f ca="1">ROUND(Table157[[#This Row],[Cash Flow]]/((1+ActualRateToUse)^(IF(ISNUMBER(SEARCH("Actual",$C$7)),Table157[[#This Row],[Running Total]]/365,Table157[[#This Row],[Period]]/12))),2)</f>
        <v>0</v>
      </c>
      <c r="R208" s="2">
        <f>IF(MONTH(Table157[[#This Row],[Date]])=2,28,DAY(DATE(YEAR(Table157[[#This Row],[Date]]),MONTH(Table157[[#This Row],[Date]])+1,1)-1))</f>
        <v>30</v>
      </c>
      <c r="S208" s="2">
        <f ca="1">SUM(OFFSET(Table157[[#Headers],[Days in month]],1,0):Table157[[#This Row],[Days in month]])</f>
        <v>5840</v>
      </c>
      <c r="T208" s="37">
        <f>InterestRate*AmortizationMultiplier*IF(ISNUMBER(SEARCH("Actual",$C$7)),Table157[[#This Row],[Days in month]]/365,1/12)</f>
        <v>2.8749999999999995E-3</v>
      </c>
    </row>
    <row r="209" spans="2:20" x14ac:dyDescent="0.2">
      <c r="B209" s="1">
        <f t="shared" si="10"/>
        <v>51713</v>
      </c>
      <c r="C209" s="2">
        <f t="shared" si="8"/>
        <v>193</v>
      </c>
      <c r="D209" s="3">
        <f t="shared" si="7"/>
        <v>0</v>
      </c>
      <c r="E209" s="3">
        <f>ROUND(Table157[[#This Row],[Beginning Balance]]*Table157[[#This Row],[Monthly Interest Rate]],2)</f>
        <v>0</v>
      </c>
      <c r="F209" s="3">
        <f t="shared" si="9"/>
        <v>63</v>
      </c>
      <c r="G209" s="23">
        <f>IFERROR(IF($C$13="No","N/A",IF(Table157[[#This Row],[Period]]=1,$C$6,PMT(InterestRate*AmortizationMultiplier/12,Table157[[#This Row],[Am Thru]],-Table157[[#This Row],[Beginning Balance]]))),0)</f>
        <v>0</v>
      </c>
      <c r="H209" s="3">
        <f>MAX(0,IF(C209=$C$4,D209,ROUND(IF($C$3="Fixed Principal",$C$6-Table157[[#This Row],[Interest]],IF($C$3="Interest Only",Table157[[#This Row],[Beginning Balance]]*ROUND(1-(1-IF($C$11="No",$E$8,1))^(1/12),6),MIN(IF($C$13="Yes",Table157[[#This Row],[Payment Amount (Reamortized)]],$C$6)-Table157[[#This Row],[Interest]],Table157[[#This Row],[Beginning Balance]]))),2)))</f>
        <v>0</v>
      </c>
      <c r="I209" s="3">
        <f>_xlfn.SINGLE(IF($C$3="Line of Credit",0,ROUND(MAX(MIN(IF($C$10="No",$E$7,VLOOKUP(Table157[[#This Row],[Period]],Forecast!$H$2:$L$1048576,4,FALSE))*Table157[[#This Row],[Beginning Balance]],Table157[[#This Row],[Beginning Balance]]-Table157[[#This Row],[Principal]]),0),2)))</f>
        <v>0</v>
      </c>
      <c r="J209" s="3">
        <f>ROUND(MIN(Table157[[#This Row],[Beginning Balance]]*IF($C$8="No",$E$3,VLOOKUP(Table157[[#This Row],[Period]],Forecast!$H$2:$L$1048576,2,FALSE)),Table157[[#This Row],[Beginning Balance]]-Table157[[#This Row],[Principal]]-Table157[[#This Row],[Prepayments]]),2)</f>
        <v>0</v>
      </c>
      <c r="K209" s="3">
        <f>ROUND(Table157[[#This Row],[Defaulted Principal]]*IF($C$9="No",$E$4,VLOOKUP(Table157[[#This Row],[Period]],Forecast!$H$2:$L$1048576,3,FALSE)),2)</f>
        <v>0</v>
      </c>
      <c r="L209" s="2">
        <f>Table157[[#This Row],[Period]]+$E$9</f>
        <v>205</v>
      </c>
      <c r="M209" s="3">
        <f>Table157[[#This Row],[Defaulted Principal]]-Table157[[#This Row],[Estimated Loss]]</f>
        <v>0</v>
      </c>
      <c r="N209" s="3">
        <f>IFERROR(VLOOKUP(Table157[[#This Row],[Period]],$L$16:$M$385,2,FALSE),0)</f>
        <v>0</v>
      </c>
      <c r="O209" s="3">
        <f>Table157[[#This Row],[Beginning Balance]]-Table157[[#This Row],[Principal]]-Table157[[#This Row],[Prepayments]]-Table157[[#This Row],[Defaulted Principal]]</f>
        <v>0</v>
      </c>
      <c r="P209" s="3">
        <f>Table157[[#This Row],[Principal]]+Table157[[#This Row],[Interest]]+Table157[[#This Row],[Prepayments]]+Table157[[#This Row],[RecoveredAmount]]</f>
        <v>0</v>
      </c>
      <c r="Q209" s="3">
        <f ca="1">ROUND(Table157[[#This Row],[Cash Flow]]/((1+ActualRateToUse)^(IF(ISNUMBER(SEARCH("Actual",$C$7)),Table157[[#This Row],[Running Total]]/365,Table157[[#This Row],[Period]]/12))),2)</f>
        <v>0</v>
      </c>
      <c r="R209" s="2">
        <f>IF(MONTH(Table157[[#This Row],[Date]])=2,28,DAY(DATE(YEAR(Table157[[#This Row],[Date]]),MONTH(Table157[[#This Row],[Date]])+1,1)-1))</f>
        <v>31</v>
      </c>
      <c r="S209" s="2">
        <f ca="1">SUM(OFFSET(Table157[[#Headers],[Days in month]],1,0):Table157[[#This Row],[Days in month]])</f>
        <v>5871</v>
      </c>
      <c r="T209" s="37">
        <f>InterestRate*AmortizationMultiplier*IF(ISNUMBER(SEARCH("Actual",$C$7)),Table157[[#This Row],[Days in month]]/365,1/12)</f>
        <v>2.9708333333333331E-3</v>
      </c>
    </row>
    <row r="210" spans="2:20" x14ac:dyDescent="0.2">
      <c r="B210" s="1">
        <f t="shared" si="10"/>
        <v>51744</v>
      </c>
      <c r="C210" s="2">
        <f t="shared" si="8"/>
        <v>194</v>
      </c>
      <c r="D210" s="3">
        <f t="shared" ref="D210:D273" si="11">O209</f>
        <v>0</v>
      </c>
      <c r="E210" s="3">
        <f>ROUND(Table157[[#This Row],[Beginning Balance]]*Table157[[#This Row],[Monthly Interest Rate]],2)</f>
        <v>0</v>
      </c>
      <c r="F210" s="3">
        <f t="shared" si="9"/>
        <v>62</v>
      </c>
      <c r="G210" s="23">
        <f>IFERROR(IF($C$13="No","N/A",IF(Table157[[#This Row],[Period]]=1,$C$6,PMT(InterestRate*AmortizationMultiplier/12,Table157[[#This Row],[Am Thru]],-Table157[[#This Row],[Beginning Balance]]))),0)</f>
        <v>0</v>
      </c>
      <c r="H210" s="3">
        <f>MAX(0,IF(C210=$C$4,D210,ROUND(IF($C$3="Fixed Principal",$C$6-Table157[[#This Row],[Interest]],IF($C$3="Interest Only",Table157[[#This Row],[Beginning Balance]]*ROUND(1-(1-IF($C$11="No",$E$8,1))^(1/12),6),MIN(IF($C$13="Yes",Table157[[#This Row],[Payment Amount (Reamortized)]],$C$6)-Table157[[#This Row],[Interest]],Table157[[#This Row],[Beginning Balance]]))),2)))</f>
        <v>0</v>
      </c>
      <c r="I210" s="3">
        <f>_xlfn.SINGLE(IF($C$3="Line of Credit",0,ROUND(MAX(MIN(IF($C$10="No",$E$7,VLOOKUP(Table157[[#This Row],[Period]],Forecast!$H$2:$L$1048576,4,FALSE))*Table157[[#This Row],[Beginning Balance]],Table157[[#This Row],[Beginning Balance]]-Table157[[#This Row],[Principal]]),0),2)))</f>
        <v>0</v>
      </c>
      <c r="J210" s="3">
        <f>ROUND(MIN(Table157[[#This Row],[Beginning Balance]]*IF($C$8="No",$E$3,VLOOKUP(Table157[[#This Row],[Period]],Forecast!$H$2:$L$1048576,2,FALSE)),Table157[[#This Row],[Beginning Balance]]-Table157[[#This Row],[Principal]]-Table157[[#This Row],[Prepayments]]),2)</f>
        <v>0</v>
      </c>
      <c r="K210" s="3">
        <f>ROUND(Table157[[#This Row],[Defaulted Principal]]*IF($C$9="No",$E$4,VLOOKUP(Table157[[#This Row],[Period]],Forecast!$H$2:$L$1048576,3,FALSE)),2)</f>
        <v>0</v>
      </c>
      <c r="L210" s="2">
        <f>Table157[[#This Row],[Period]]+$E$9</f>
        <v>206</v>
      </c>
      <c r="M210" s="3">
        <f>Table157[[#This Row],[Defaulted Principal]]-Table157[[#This Row],[Estimated Loss]]</f>
        <v>0</v>
      </c>
      <c r="N210" s="3">
        <f>IFERROR(VLOOKUP(Table157[[#This Row],[Period]],$L$16:$M$385,2,FALSE),0)</f>
        <v>0</v>
      </c>
      <c r="O210" s="3">
        <f>Table157[[#This Row],[Beginning Balance]]-Table157[[#This Row],[Principal]]-Table157[[#This Row],[Prepayments]]-Table157[[#This Row],[Defaulted Principal]]</f>
        <v>0</v>
      </c>
      <c r="P210" s="3">
        <f>Table157[[#This Row],[Principal]]+Table157[[#This Row],[Interest]]+Table157[[#This Row],[Prepayments]]+Table157[[#This Row],[RecoveredAmount]]</f>
        <v>0</v>
      </c>
      <c r="Q210" s="3">
        <f ca="1">ROUND(Table157[[#This Row],[Cash Flow]]/((1+ActualRateToUse)^(IF(ISNUMBER(SEARCH("Actual",$C$7)),Table157[[#This Row],[Running Total]]/365,Table157[[#This Row],[Period]]/12))),2)</f>
        <v>0</v>
      </c>
      <c r="R210" s="2">
        <f>IF(MONTH(Table157[[#This Row],[Date]])=2,28,DAY(DATE(YEAR(Table157[[#This Row],[Date]]),MONTH(Table157[[#This Row],[Date]])+1,1)-1))</f>
        <v>31</v>
      </c>
      <c r="S210" s="2">
        <f ca="1">SUM(OFFSET(Table157[[#Headers],[Days in month]],1,0):Table157[[#This Row],[Days in month]])</f>
        <v>5902</v>
      </c>
      <c r="T210" s="37">
        <f>InterestRate*AmortizationMultiplier*IF(ISNUMBER(SEARCH("Actual",$C$7)),Table157[[#This Row],[Days in month]]/365,1/12)</f>
        <v>2.9708333333333331E-3</v>
      </c>
    </row>
    <row r="211" spans="2:20" x14ac:dyDescent="0.2">
      <c r="B211" s="1">
        <f t="shared" si="10"/>
        <v>51774</v>
      </c>
      <c r="C211" s="2">
        <f t="shared" ref="C211:C274" si="12">C210+1</f>
        <v>195</v>
      </c>
      <c r="D211" s="3">
        <f t="shared" si="11"/>
        <v>0</v>
      </c>
      <c r="E211" s="3">
        <f>ROUND(Table157[[#This Row],[Beginning Balance]]*Table157[[#This Row],[Monthly Interest Rate]],2)</f>
        <v>0</v>
      </c>
      <c r="F211" s="3">
        <f t="shared" ref="F211:F274" si="13">+F210-1</f>
        <v>61</v>
      </c>
      <c r="G211" s="23">
        <f>IFERROR(IF($C$13="No","N/A",IF(Table157[[#This Row],[Period]]=1,$C$6,PMT(InterestRate*AmortizationMultiplier/12,Table157[[#This Row],[Am Thru]],-Table157[[#This Row],[Beginning Balance]]))),0)</f>
        <v>0</v>
      </c>
      <c r="H211" s="3">
        <f>MAX(0,IF(C211=$C$4,D211,ROUND(IF($C$3="Fixed Principal",$C$6-Table157[[#This Row],[Interest]],IF($C$3="Interest Only",Table157[[#This Row],[Beginning Balance]]*ROUND(1-(1-IF($C$11="No",$E$8,1))^(1/12),6),MIN(IF($C$13="Yes",Table157[[#This Row],[Payment Amount (Reamortized)]],$C$6)-Table157[[#This Row],[Interest]],Table157[[#This Row],[Beginning Balance]]))),2)))</f>
        <v>0</v>
      </c>
      <c r="I211" s="3">
        <f>_xlfn.SINGLE(IF($C$3="Line of Credit",0,ROUND(MAX(MIN(IF($C$10="No",$E$7,VLOOKUP(Table157[[#This Row],[Period]],Forecast!$H$2:$L$1048576,4,FALSE))*Table157[[#This Row],[Beginning Balance]],Table157[[#This Row],[Beginning Balance]]-Table157[[#This Row],[Principal]]),0),2)))</f>
        <v>0</v>
      </c>
      <c r="J211" s="3">
        <f>ROUND(MIN(Table157[[#This Row],[Beginning Balance]]*IF($C$8="No",$E$3,VLOOKUP(Table157[[#This Row],[Period]],Forecast!$H$2:$L$1048576,2,FALSE)),Table157[[#This Row],[Beginning Balance]]-Table157[[#This Row],[Principal]]-Table157[[#This Row],[Prepayments]]),2)</f>
        <v>0</v>
      </c>
      <c r="K211" s="3">
        <f>ROUND(Table157[[#This Row],[Defaulted Principal]]*IF($C$9="No",$E$4,VLOOKUP(Table157[[#This Row],[Period]],Forecast!$H$2:$L$1048576,3,FALSE)),2)</f>
        <v>0</v>
      </c>
      <c r="L211" s="2">
        <f>Table157[[#This Row],[Period]]+$E$9</f>
        <v>207</v>
      </c>
      <c r="M211" s="3">
        <f>Table157[[#This Row],[Defaulted Principal]]-Table157[[#This Row],[Estimated Loss]]</f>
        <v>0</v>
      </c>
      <c r="N211" s="3">
        <f>IFERROR(VLOOKUP(Table157[[#This Row],[Period]],$L$16:$M$385,2,FALSE),0)</f>
        <v>0</v>
      </c>
      <c r="O211" s="3">
        <f>Table157[[#This Row],[Beginning Balance]]-Table157[[#This Row],[Principal]]-Table157[[#This Row],[Prepayments]]-Table157[[#This Row],[Defaulted Principal]]</f>
        <v>0</v>
      </c>
      <c r="P211" s="3">
        <f>Table157[[#This Row],[Principal]]+Table157[[#This Row],[Interest]]+Table157[[#This Row],[Prepayments]]+Table157[[#This Row],[RecoveredAmount]]</f>
        <v>0</v>
      </c>
      <c r="Q211" s="3">
        <f ca="1">ROUND(Table157[[#This Row],[Cash Flow]]/((1+ActualRateToUse)^(IF(ISNUMBER(SEARCH("Actual",$C$7)),Table157[[#This Row],[Running Total]]/365,Table157[[#This Row],[Period]]/12))),2)</f>
        <v>0</v>
      </c>
      <c r="R211" s="2">
        <f>IF(MONTH(Table157[[#This Row],[Date]])=2,28,DAY(DATE(YEAR(Table157[[#This Row],[Date]]),MONTH(Table157[[#This Row],[Date]])+1,1)-1))</f>
        <v>30</v>
      </c>
      <c r="S211" s="2">
        <f ca="1">SUM(OFFSET(Table157[[#Headers],[Days in month]],1,0):Table157[[#This Row],[Days in month]])</f>
        <v>5932</v>
      </c>
      <c r="T211" s="37">
        <f>InterestRate*AmortizationMultiplier*IF(ISNUMBER(SEARCH("Actual",$C$7)),Table157[[#This Row],[Days in month]]/365,1/12)</f>
        <v>2.8749999999999995E-3</v>
      </c>
    </row>
    <row r="212" spans="2:20" x14ac:dyDescent="0.2">
      <c r="B212" s="1">
        <f t="shared" si="10"/>
        <v>51805</v>
      </c>
      <c r="C212" s="2">
        <f t="shared" si="12"/>
        <v>196</v>
      </c>
      <c r="D212" s="3">
        <f t="shared" si="11"/>
        <v>0</v>
      </c>
      <c r="E212" s="3">
        <f>ROUND(Table157[[#This Row],[Beginning Balance]]*Table157[[#This Row],[Monthly Interest Rate]],2)</f>
        <v>0</v>
      </c>
      <c r="F212" s="3">
        <f t="shared" si="13"/>
        <v>60</v>
      </c>
      <c r="G212" s="23">
        <f>IFERROR(IF($C$13="No","N/A",IF(Table157[[#This Row],[Period]]=1,$C$6,PMT(InterestRate*AmortizationMultiplier/12,Table157[[#This Row],[Am Thru]],-Table157[[#This Row],[Beginning Balance]]))),0)</f>
        <v>0</v>
      </c>
      <c r="H212" s="3">
        <f>MAX(0,IF(C212=$C$4,D212,ROUND(IF($C$3="Fixed Principal",$C$6-Table157[[#This Row],[Interest]],IF($C$3="Interest Only",Table157[[#This Row],[Beginning Balance]]*ROUND(1-(1-IF($C$11="No",$E$8,1))^(1/12),6),MIN(IF($C$13="Yes",Table157[[#This Row],[Payment Amount (Reamortized)]],$C$6)-Table157[[#This Row],[Interest]],Table157[[#This Row],[Beginning Balance]]))),2)))</f>
        <v>0</v>
      </c>
      <c r="I212" s="3">
        <f>_xlfn.SINGLE(IF($C$3="Line of Credit",0,ROUND(MAX(MIN(IF($C$10="No",$E$7,VLOOKUP(Table157[[#This Row],[Period]],Forecast!$H$2:$L$1048576,4,FALSE))*Table157[[#This Row],[Beginning Balance]],Table157[[#This Row],[Beginning Balance]]-Table157[[#This Row],[Principal]]),0),2)))</f>
        <v>0</v>
      </c>
      <c r="J212" s="3">
        <f>ROUND(MIN(Table157[[#This Row],[Beginning Balance]]*IF($C$8="No",$E$3,VLOOKUP(Table157[[#This Row],[Period]],Forecast!$H$2:$L$1048576,2,FALSE)),Table157[[#This Row],[Beginning Balance]]-Table157[[#This Row],[Principal]]-Table157[[#This Row],[Prepayments]]),2)</f>
        <v>0</v>
      </c>
      <c r="K212" s="3">
        <f>ROUND(Table157[[#This Row],[Defaulted Principal]]*IF($C$9="No",$E$4,VLOOKUP(Table157[[#This Row],[Period]],Forecast!$H$2:$L$1048576,3,FALSE)),2)</f>
        <v>0</v>
      </c>
      <c r="L212" s="2">
        <f>Table157[[#This Row],[Period]]+$E$9</f>
        <v>208</v>
      </c>
      <c r="M212" s="3">
        <f>Table157[[#This Row],[Defaulted Principal]]-Table157[[#This Row],[Estimated Loss]]</f>
        <v>0</v>
      </c>
      <c r="N212" s="3">
        <f>IFERROR(VLOOKUP(Table157[[#This Row],[Period]],$L$16:$M$385,2,FALSE),0)</f>
        <v>0</v>
      </c>
      <c r="O212" s="3">
        <f>Table157[[#This Row],[Beginning Balance]]-Table157[[#This Row],[Principal]]-Table157[[#This Row],[Prepayments]]-Table157[[#This Row],[Defaulted Principal]]</f>
        <v>0</v>
      </c>
      <c r="P212" s="3">
        <f>Table157[[#This Row],[Principal]]+Table157[[#This Row],[Interest]]+Table157[[#This Row],[Prepayments]]+Table157[[#This Row],[RecoveredAmount]]</f>
        <v>0</v>
      </c>
      <c r="Q212" s="3">
        <f ca="1">ROUND(Table157[[#This Row],[Cash Flow]]/((1+ActualRateToUse)^(IF(ISNUMBER(SEARCH("Actual",$C$7)),Table157[[#This Row],[Running Total]]/365,Table157[[#This Row],[Period]]/12))),2)</f>
        <v>0</v>
      </c>
      <c r="R212" s="2">
        <f>IF(MONTH(Table157[[#This Row],[Date]])=2,28,DAY(DATE(YEAR(Table157[[#This Row],[Date]]),MONTH(Table157[[#This Row],[Date]])+1,1)-1))</f>
        <v>31</v>
      </c>
      <c r="S212" s="2">
        <f ca="1">SUM(OFFSET(Table157[[#Headers],[Days in month]],1,0):Table157[[#This Row],[Days in month]])</f>
        <v>5963</v>
      </c>
      <c r="T212" s="37">
        <f>InterestRate*AmortizationMultiplier*IF(ISNUMBER(SEARCH("Actual",$C$7)),Table157[[#This Row],[Days in month]]/365,1/12)</f>
        <v>2.9708333333333331E-3</v>
      </c>
    </row>
    <row r="213" spans="2:20" x14ac:dyDescent="0.2">
      <c r="B213" s="1">
        <f t="shared" si="10"/>
        <v>51835</v>
      </c>
      <c r="C213" s="2">
        <f t="shared" si="12"/>
        <v>197</v>
      </c>
      <c r="D213" s="3">
        <f t="shared" si="11"/>
        <v>0</v>
      </c>
      <c r="E213" s="3">
        <f>ROUND(Table157[[#This Row],[Beginning Balance]]*Table157[[#This Row],[Monthly Interest Rate]],2)</f>
        <v>0</v>
      </c>
      <c r="F213" s="3">
        <f t="shared" si="13"/>
        <v>59</v>
      </c>
      <c r="G213" s="23">
        <f>IFERROR(IF($C$13="No","N/A",IF(Table157[[#This Row],[Period]]=1,$C$6,PMT(InterestRate*AmortizationMultiplier/12,Table157[[#This Row],[Am Thru]],-Table157[[#This Row],[Beginning Balance]]))),0)</f>
        <v>0</v>
      </c>
      <c r="H213" s="3">
        <f>MAX(0,IF(C213=$C$4,D213,ROUND(IF($C$3="Fixed Principal",$C$6-Table157[[#This Row],[Interest]],IF($C$3="Interest Only",Table157[[#This Row],[Beginning Balance]]*ROUND(1-(1-IF($C$11="No",$E$8,1))^(1/12),6),MIN(IF($C$13="Yes",Table157[[#This Row],[Payment Amount (Reamortized)]],$C$6)-Table157[[#This Row],[Interest]],Table157[[#This Row],[Beginning Balance]]))),2)))</f>
        <v>0</v>
      </c>
      <c r="I213" s="3">
        <f>_xlfn.SINGLE(IF($C$3="Line of Credit",0,ROUND(MAX(MIN(IF($C$10="No",$E$7,VLOOKUP(Table157[[#This Row],[Period]],Forecast!$H$2:$L$1048576,4,FALSE))*Table157[[#This Row],[Beginning Balance]],Table157[[#This Row],[Beginning Balance]]-Table157[[#This Row],[Principal]]),0),2)))</f>
        <v>0</v>
      </c>
      <c r="J213" s="3">
        <f>ROUND(MIN(Table157[[#This Row],[Beginning Balance]]*IF($C$8="No",$E$3,VLOOKUP(Table157[[#This Row],[Period]],Forecast!$H$2:$L$1048576,2,FALSE)),Table157[[#This Row],[Beginning Balance]]-Table157[[#This Row],[Principal]]-Table157[[#This Row],[Prepayments]]),2)</f>
        <v>0</v>
      </c>
      <c r="K213" s="3">
        <f>ROUND(Table157[[#This Row],[Defaulted Principal]]*IF($C$9="No",$E$4,VLOOKUP(Table157[[#This Row],[Period]],Forecast!$H$2:$L$1048576,3,FALSE)),2)</f>
        <v>0</v>
      </c>
      <c r="L213" s="2">
        <f>Table157[[#This Row],[Period]]+$E$9</f>
        <v>209</v>
      </c>
      <c r="M213" s="3">
        <f>Table157[[#This Row],[Defaulted Principal]]-Table157[[#This Row],[Estimated Loss]]</f>
        <v>0</v>
      </c>
      <c r="N213" s="3">
        <f>IFERROR(VLOOKUP(Table157[[#This Row],[Period]],$L$16:$M$385,2,FALSE),0)</f>
        <v>0</v>
      </c>
      <c r="O213" s="3">
        <f>Table157[[#This Row],[Beginning Balance]]-Table157[[#This Row],[Principal]]-Table157[[#This Row],[Prepayments]]-Table157[[#This Row],[Defaulted Principal]]</f>
        <v>0</v>
      </c>
      <c r="P213" s="3">
        <f>Table157[[#This Row],[Principal]]+Table157[[#This Row],[Interest]]+Table157[[#This Row],[Prepayments]]+Table157[[#This Row],[RecoveredAmount]]</f>
        <v>0</v>
      </c>
      <c r="Q213" s="3">
        <f ca="1">ROUND(Table157[[#This Row],[Cash Flow]]/((1+ActualRateToUse)^(IF(ISNUMBER(SEARCH("Actual",$C$7)),Table157[[#This Row],[Running Total]]/365,Table157[[#This Row],[Period]]/12))),2)</f>
        <v>0</v>
      </c>
      <c r="R213" s="2">
        <f>IF(MONTH(Table157[[#This Row],[Date]])=2,28,DAY(DATE(YEAR(Table157[[#This Row],[Date]]),MONTH(Table157[[#This Row],[Date]])+1,1)-1))</f>
        <v>30</v>
      </c>
      <c r="S213" s="2">
        <f ca="1">SUM(OFFSET(Table157[[#Headers],[Days in month]],1,0):Table157[[#This Row],[Days in month]])</f>
        <v>5993</v>
      </c>
      <c r="T213" s="37">
        <f>InterestRate*AmortizationMultiplier*IF(ISNUMBER(SEARCH("Actual",$C$7)),Table157[[#This Row],[Days in month]]/365,1/12)</f>
        <v>2.8749999999999995E-3</v>
      </c>
    </row>
    <row r="214" spans="2:20" x14ac:dyDescent="0.2">
      <c r="B214" s="1">
        <f t="shared" si="10"/>
        <v>51866</v>
      </c>
      <c r="C214" s="2">
        <f t="shared" si="12"/>
        <v>198</v>
      </c>
      <c r="D214" s="3">
        <f t="shared" si="11"/>
        <v>0</v>
      </c>
      <c r="E214" s="3">
        <f>ROUND(Table157[[#This Row],[Beginning Balance]]*Table157[[#This Row],[Monthly Interest Rate]],2)</f>
        <v>0</v>
      </c>
      <c r="F214" s="3">
        <f t="shared" si="13"/>
        <v>58</v>
      </c>
      <c r="G214" s="23">
        <f>IFERROR(IF($C$13="No","N/A",IF(Table157[[#This Row],[Period]]=1,$C$6,PMT(InterestRate*AmortizationMultiplier/12,Table157[[#This Row],[Am Thru]],-Table157[[#This Row],[Beginning Balance]]))),0)</f>
        <v>0</v>
      </c>
      <c r="H214" s="3">
        <f>MAX(0,IF(C214=$C$4,D214,ROUND(IF($C$3="Fixed Principal",$C$6-Table157[[#This Row],[Interest]],IF($C$3="Interest Only",Table157[[#This Row],[Beginning Balance]]*ROUND(1-(1-IF($C$11="No",$E$8,1))^(1/12),6),MIN(IF($C$13="Yes",Table157[[#This Row],[Payment Amount (Reamortized)]],$C$6)-Table157[[#This Row],[Interest]],Table157[[#This Row],[Beginning Balance]]))),2)))</f>
        <v>0</v>
      </c>
      <c r="I214" s="3">
        <f>_xlfn.SINGLE(IF($C$3="Line of Credit",0,ROUND(MAX(MIN(IF($C$10="No",$E$7,VLOOKUP(Table157[[#This Row],[Period]],Forecast!$H$2:$L$1048576,4,FALSE))*Table157[[#This Row],[Beginning Balance]],Table157[[#This Row],[Beginning Balance]]-Table157[[#This Row],[Principal]]),0),2)))</f>
        <v>0</v>
      </c>
      <c r="J214" s="3">
        <f>ROUND(MIN(Table157[[#This Row],[Beginning Balance]]*IF($C$8="No",$E$3,VLOOKUP(Table157[[#This Row],[Period]],Forecast!$H$2:$L$1048576,2,FALSE)),Table157[[#This Row],[Beginning Balance]]-Table157[[#This Row],[Principal]]-Table157[[#This Row],[Prepayments]]),2)</f>
        <v>0</v>
      </c>
      <c r="K214" s="3">
        <f>ROUND(Table157[[#This Row],[Defaulted Principal]]*IF($C$9="No",$E$4,VLOOKUP(Table157[[#This Row],[Period]],Forecast!$H$2:$L$1048576,3,FALSE)),2)</f>
        <v>0</v>
      </c>
      <c r="L214" s="2">
        <f>Table157[[#This Row],[Period]]+$E$9</f>
        <v>210</v>
      </c>
      <c r="M214" s="3">
        <f>Table157[[#This Row],[Defaulted Principal]]-Table157[[#This Row],[Estimated Loss]]</f>
        <v>0</v>
      </c>
      <c r="N214" s="3">
        <f>IFERROR(VLOOKUP(Table157[[#This Row],[Period]],$L$16:$M$385,2,FALSE),0)</f>
        <v>0</v>
      </c>
      <c r="O214" s="3">
        <f>Table157[[#This Row],[Beginning Balance]]-Table157[[#This Row],[Principal]]-Table157[[#This Row],[Prepayments]]-Table157[[#This Row],[Defaulted Principal]]</f>
        <v>0</v>
      </c>
      <c r="P214" s="3">
        <f>Table157[[#This Row],[Principal]]+Table157[[#This Row],[Interest]]+Table157[[#This Row],[Prepayments]]+Table157[[#This Row],[RecoveredAmount]]</f>
        <v>0</v>
      </c>
      <c r="Q214" s="3">
        <f ca="1">ROUND(Table157[[#This Row],[Cash Flow]]/((1+ActualRateToUse)^(IF(ISNUMBER(SEARCH("Actual",$C$7)),Table157[[#This Row],[Running Total]]/365,Table157[[#This Row],[Period]]/12))),2)</f>
        <v>0</v>
      </c>
      <c r="R214" s="2">
        <f>IF(MONTH(Table157[[#This Row],[Date]])=2,28,DAY(DATE(YEAR(Table157[[#This Row],[Date]]),MONTH(Table157[[#This Row],[Date]])+1,1)-1))</f>
        <v>31</v>
      </c>
      <c r="S214" s="2">
        <f ca="1">SUM(OFFSET(Table157[[#Headers],[Days in month]],1,0):Table157[[#This Row],[Days in month]])</f>
        <v>6024</v>
      </c>
      <c r="T214" s="37">
        <f>InterestRate*AmortizationMultiplier*IF(ISNUMBER(SEARCH("Actual",$C$7)),Table157[[#This Row],[Days in month]]/365,1/12)</f>
        <v>2.9708333333333331E-3</v>
      </c>
    </row>
    <row r="215" spans="2:20" x14ac:dyDescent="0.2">
      <c r="B215" s="1">
        <f t="shared" si="10"/>
        <v>51897</v>
      </c>
      <c r="C215" s="2">
        <f t="shared" si="12"/>
        <v>199</v>
      </c>
      <c r="D215" s="3">
        <f t="shared" si="11"/>
        <v>0</v>
      </c>
      <c r="E215" s="3">
        <f>ROUND(Table157[[#This Row],[Beginning Balance]]*Table157[[#This Row],[Monthly Interest Rate]],2)</f>
        <v>0</v>
      </c>
      <c r="F215" s="3">
        <f t="shared" si="13"/>
        <v>57</v>
      </c>
      <c r="G215" s="23">
        <f>IFERROR(IF($C$13="No","N/A",IF(Table157[[#This Row],[Period]]=1,$C$6,PMT(InterestRate*AmortizationMultiplier/12,Table157[[#This Row],[Am Thru]],-Table157[[#This Row],[Beginning Balance]]))),0)</f>
        <v>0</v>
      </c>
      <c r="H215" s="3">
        <f>MAX(0,IF(C215=$C$4,D215,ROUND(IF($C$3="Fixed Principal",$C$6-Table157[[#This Row],[Interest]],IF($C$3="Interest Only",Table157[[#This Row],[Beginning Balance]]*ROUND(1-(1-IF($C$11="No",$E$8,1))^(1/12),6),MIN(IF($C$13="Yes",Table157[[#This Row],[Payment Amount (Reamortized)]],$C$6)-Table157[[#This Row],[Interest]],Table157[[#This Row],[Beginning Balance]]))),2)))</f>
        <v>0</v>
      </c>
      <c r="I215" s="3">
        <f>_xlfn.SINGLE(IF($C$3="Line of Credit",0,ROUND(MAX(MIN(IF($C$10="No",$E$7,VLOOKUP(Table157[[#This Row],[Period]],Forecast!$H$2:$L$1048576,4,FALSE))*Table157[[#This Row],[Beginning Balance]],Table157[[#This Row],[Beginning Balance]]-Table157[[#This Row],[Principal]]),0),2)))</f>
        <v>0</v>
      </c>
      <c r="J215" s="3">
        <f>ROUND(MIN(Table157[[#This Row],[Beginning Balance]]*IF($C$8="No",$E$3,VLOOKUP(Table157[[#This Row],[Period]],Forecast!$H$2:$L$1048576,2,FALSE)),Table157[[#This Row],[Beginning Balance]]-Table157[[#This Row],[Principal]]-Table157[[#This Row],[Prepayments]]),2)</f>
        <v>0</v>
      </c>
      <c r="K215" s="3">
        <f>ROUND(Table157[[#This Row],[Defaulted Principal]]*IF($C$9="No",$E$4,VLOOKUP(Table157[[#This Row],[Period]],Forecast!$H$2:$L$1048576,3,FALSE)),2)</f>
        <v>0</v>
      </c>
      <c r="L215" s="2">
        <f>Table157[[#This Row],[Period]]+$E$9</f>
        <v>211</v>
      </c>
      <c r="M215" s="3">
        <f>Table157[[#This Row],[Defaulted Principal]]-Table157[[#This Row],[Estimated Loss]]</f>
        <v>0</v>
      </c>
      <c r="N215" s="3">
        <f>IFERROR(VLOOKUP(Table157[[#This Row],[Period]],$L$16:$M$385,2,FALSE),0)</f>
        <v>0</v>
      </c>
      <c r="O215" s="3">
        <f>Table157[[#This Row],[Beginning Balance]]-Table157[[#This Row],[Principal]]-Table157[[#This Row],[Prepayments]]-Table157[[#This Row],[Defaulted Principal]]</f>
        <v>0</v>
      </c>
      <c r="P215" s="3">
        <f>Table157[[#This Row],[Principal]]+Table157[[#This Row],[Interest]]+Table157[[#This Row],[Prepayments]]+Table157[[#This Row],[RecoveredAmount]]</f>
        <v>0</v>
      </c>
      <c r="Q215" s="3">
        <f ca="1">ROUND(Table157[[#This Row],[Cash Flow]]/((1+ActualRateToUse)^(IF(ISNUMBER(SEARCH("Actual",$C$7)),Table157[[#This Row],[Running Total]]/365,Table157[[#This Row],[Period]]/12))),2)</f>
        <v>0</v>
      </c>
      <c r="R215" s="2">
        <f>IF(MONTH(Table157[[#This Row],[Date]])=2,28,DAY(DATE(YEAR(Table157[[#This Row],[Date]]),MONTH(Table157[[#This Row],[Date]])+1,1)-1))</f>
        <v>31</v>
      </c>
      <c r="S215" s="2">
        <f ca="1">SUM(OFFSET(Table157[[#Headers],[Days in month]],1,0):Table157[[#This Row],[Days in month]])</f>
        <v>6055</v>
      </c>
      <c r="T215" s="37">
        <f>InterestRate*AmortizationMultiplier*IF(ISNUMBER(SEARCH("Actual",$C$7)),Table157[[#This Row],[Days in month]]/365,1/12)</f>
        <v>2.9708333333333331E-3</v>
      </c>
    </row>
    <row r="216" spans="2:20" x14ac:dyDescent="0.2">
      <c r="B216" s="1">
        <f t="shared" si="10"/>
        <v>51925</v>
      </c>
      <c r="C216" s="2">
        <f t="shared" si="12"/>
        <v>200</v>
      </c>
      <c r="D216" s="3">
        <f t="shared" si="11"/>
        <v>0</v>
      </c>
      <c r="E216" s="3">
        <f>ROUND(Table157[[#This Row],[Beginning Balance]]*Table157[[#This Row],[Monthly Interest Rate]],2)</f>
        <v>0</v>
      </c>
      <c r="F216" s="3">
        <f t="shared" si="13"/>
        <v>56</v>
      </c>
      <c r="G216" s="23">
        <f>IFERROR(IF($C$13="No","N/A",IF(Table157[[#This Row],[Period]]=1,$C$6,PMT(InterestRate*AmortizationMultiplier/12,Table157[[#This Row],[Am Thru]],-Table157[[#This Row],[Beginning Balance]]))),0)</f>
        <v>0</v>
      </c>
      <c r="H216" s="3">
        <f>MAX(0,IF(C216=$C$4,D216,ROUND(IF($C$3="Fixed Principal",$C$6-Table157[[#This Row],[Interest]],IF($C$3="Interest Only",Table157[[#This Row],[Beginning Balance]]*ROUND(1-(1-IF($C$11="No",$E$8,1))^(1/12),6),MIN(IF($C$13="Yes",Table157[[#This Row],[Payment Amount (Reamortized)]],$C$6)-Table157[[#This Row],[Interest]],Table157[[#This Row],[Beginning Balance]]))),2)))</f>
        <v>0</v>
      </c>
      <c r="I216" s="3">
        <f>_xlfn.SINGLE(IF($C$3="Line of Credit",0,ROUND(MAX(MIN(IF($C$10="No",$E$7,VLOOKUP(Table157[[#This Row],[Period]],Forecast!$H$2:$L$1048576,4,FALSE))*Table157[[#This Row],[Beginning Balance]],Table157[[#This Row],[Beginning Balance]]-Table157[[#This Row],[Principal]]),0),2)))</f>
        <v>0</v>
      </c>
      <c r="J216" s="3">
        <f>ROUND(MIN(Table157[[#This Row],[Beginning Balance]]*IF($C$8="No",$E$3,VLOOKUP(Table157[[#This Row],[Period]],Forecast!$H$2:$L$1048576,2,FALSE)),Table157[[#This Row],[Beginning Balance]]-Table157[[#This Row],[Principal]]-Table157[[#This Row],[Prepayments]]),2)</f>
        <v>0</v>
      </c>
      <c r="K216" s="3">
        <f>ROUND(Table157[[#This Row],[Defaulted Principal]]*IF($C$9="No",$E$4,VLOOKUP(Table157[[#This Row],[Period]],Forecast!$H$2:$L$1048576,3,FALSE)),2)</f>
        <v>0</v>
      </c>
      <c r="L216" s="2">
        <f>Table157[[#This Row],[Period]]+$E$9</f>
        <v>212</v>
      </c>
      <c r="M216" s="3">
        <f>Table157[[#This Row],[Defaulted Principal]]-Table157[[#This Row],[Estimated Loss]]</f>
        <v>0</v>
      </c>
      <c r="N216" s="3">
        <f>IFERROR(VLOOKUP(Table157[[#This Row],[Period]],$L$16:$M$385,2,FALSE),0)</f>
        <v>0</v>
      </c>
      <c r="O216" s="3">
        <f>Table157[[#This Row],[Beginning Balance]]-Table157[[#This Row],[Principal]]-Table157[[#This Row],[Prepayments]]-Table157[[#This Row],[Defaulted Principal]]</f>
        <v>0</v>
      </c>
      <c r="P216" s="3">
        <f>Table157[[#This Row],[Principal]]+Table157[[#This Row],[Interest]]+Table157[[#This Row],[Prepayments]]+Table157[[#This Row],[RecoveredAmount]]</f>
        <v>0</v>
      </c>
      <c r="Q216" s="3">
        <f ca="1">ROUND(Table157[[#This Row],[Cash Flow]]/((1+ActualRateToUse)^(IF(ISNUMBER(SEARCH("Actual",$C$7)),Table157[[#This Row],[Running Total]]/365,Table157[[#This Row],[Period]]/12))),2)</f>
        <v>0</v>
      </c>
      <c r="R216" s="2">
        <f>IF(MONTH(Table157[[#This Row],[Date]])=2,28,DAY(DATE(YEAR(Table157[[#This Row],[Date]]),MONTH(Table157[[#This Row],[Date]])+1,1)-1))</f>
        <v>28</v>
      </c>
      <c r="S216" s="2">
        <f ca="1">SUM(OFFSET(Table157[[#Headers],[Days in month]],1,0):Table157[[#This Row],[Days in month]])</f>
        <v>6083</v>
      </c>
      <c r="T216" s="37">
        <f>InterestRate*AmortizationMultiplier*IF(ISNUMBER(SEARCH("Actual",$C$7)),Table157[[#This Row],[Days in month]]/365,1/12)</f>
        <v>2.6833333333333336E-3</v>
      </c>
    </row>
    <row r="217" spans="2:20" x14ac:dyDescent="0.2">
      <c r="B217" s="1">
        <f t="shared" si="10"/>
        <v>51956</v>
      </c>
      <c r="C217" s="2">
        <f t="shared" si="12"/>
        <v>201</v>
      </c>
      <c r="D217" s="3">
        <f t="shared" si="11"/>
        <v>0</v>
      </c>
      <c r="E217" s="3">
        <f>ROUND(Table157[[#This Row],[Beginning Balance]]*Table157[[#This Row],[Monthly Interest Rate]],2)</f>
        <v>0</v>
      </c>
      <c r="F217" s="3">
        <f t="shared" si="13"/>
        <v>55</v>
      </c>
      <c r="G217" s="23">
        <f>IFERROR(IF($C$13="No","N/A",IF(Table157[[#This Row],[Period]]=1,$C$6,PMT(InterestRate*AmortizationMultiplier/12,Table157[[#This Row],[Am Thru]],-Table157[[#This Row],[Beginning Balance]]))),0)</f>
        <v>0</v>
      </c>
      <c r="H217" s="3">
        <f>MAX(0,IF(C217=$C$4,D217,ROUND(IF($C$3="Fixed Principal",$C$6-Table157[[#This Row],[Interest]],IF($C$3="Interest Only",Table157[[#This Row],[Beginning Balance]]*ROUND(1-(1-IF($C$11="No",$E$8,1))^(1/12),6),MIN(IF($C$13="Yes",Table157[[#This Row],[Payment Amount (Reamortized)]],$C$6)-Table157[[#This Row],[Interest]],Table157[[#This Row],[Beginning Balance]]))),2)))</f>
        <v>0</v>
      </c>
      <c r="I217" s="3">
        <f>_xlfn.SINGLE(IF($C$3="Line of Credit",0,ROUND(MAX(MIN(IF($C$10="No",$E$7,VLOOKUP(Table157[[#This Row],[Period]],Forecast!$H$2:$L$1048576,4,FALSE))*Table157[[#This Row],[Beginning Balance]],Table157[[#This Row],[Beginning Balance]]-Table157[[#This Row],[Principal]]),0),2)))</f>
        <v>0</v>
      </c>
      <c r="J217" s="3">
        <f>ROUND(MIN(Table157[[#This Row],[Beginning Balance]]*IF($C$8="No",$E$3,VLOOKUP(Table157[[#This Row],[Period]],Forecast!$H$2:$L$1048576,2,FALSE)),Table157[[#This Row],[Beginning Balance]]-Table157[[#This Row],[Principal]]-Table157[[#This Row],[Prepayments]]),2)</f>
        <v>0</v>
      </c>
      <c r="K217" s="3">
        <f>ROUND(Table157[[#This Row],[Defaulted Principal]]*IF($C$9="No",$E$4,VLOOKUP(Table157[[#This Row],[Period]],Forecast!$H$2:$L$1048576,3,FALSE)),2)</f>
        <v>0</v>
      </c>
      <c r="L217" s="2">
        <f>Table157[[#This Row],[Period]]+$E$9</f>
        <v>213</v>
      </c>
      <c r="M217" s="3">
        <f>Table157[[#This Row],[Defaulted Principal]]-Table157[[#This Row],[Estimated Loss]]</f>
        <v>0</v>
      </c>
      <c r="N217" s="3">
        <f>IFERROR(VLOOKUP(Table157[[#This Row],[Period]],$L$16:$M$385,2,FALSE),0)</f>
        <v>0</v>
      </c>
      <c r="O217" s="3">
        <f>Table157[[#This Row],[Beginning Balance]]-Table157[[#This Row],[Principal]]-Table157[[#This Row],[Prepayments]]-Table157[[#This Row],[Defaulted Principal]]</f>
        <v>0</v>
      </c>
      <c r="P217" s="3">
        <f>Table157[[#This Row],[Principal]]+Table157[[#This Row],[Interest]]+Table157[[#This Row],[Prepayments]]+Table157[[#This Row],[RecoveredAmount]]</f>
        <v>0</v>
      </c>
      <c r="Q217" s="3">
        <f ca="1">ROUND(Table157[[#This Row],[Cash Flow]]/((1+ActualRateToUse)^(IF(ISNUMBER(SEARCH("Actual",$C$7)),Table157[[#This Row],[Running Total]]/365,Table157[[#This Row],[Period]]/12))),2)</f>
        <v>0</v>
      </c>
      <c r="R217" s="2">
        <f>IF(MONTH(Table157[[#This Row],[Date]])=2,28,DAY(DATE(YEAR(Table157[[#This Row],[Date]]),MONTH(Table157[[#This Row],[Date]])+1,1)-1))</f>
        <v>31</v>
      </c>
      <c r="S217" s="2">
        <f ca="1">SUM(OFFSET(Table157[[#Headers],[Days in month]],1,0):Table157[[#This Row],[Days in month]])</f>
        <v>6114</v>
      </c>
      <c r="T217" s="37">
        <f>InterestRate*AmortizationMultiplier*IF(ISNUMBER(SEARCH("Actual",$C$7)),Table157[[#This Row],[Days in month]]/365,1/12)</f>
        <v>2.9708333333333331E-3</v>
      </c>
    </row>
    <row r="218" spans="2:20" x14ac:dyDescent="0.2">
      <c r="B218" s="1">
        <f t="shared" si="10"/>
        <v>51986</v>
      </c>
      <c r="C218" s="2">
        <f t="shared" si="12"/>
        <v>202</v>
      </c>
      <c r="D218" s="3">
        <f t="shared" si="11"/>
        <v>0</v>
      </c>
      <c r="E218" s="3">
        <f>ROUND(Table157[[#This Row],[Beginning Balance]]*Table157[[#This Row],[Monthly Interest Rate]],2)</f>
        <v>0</v>
      </c>
      <c r="F218" s="3">
        <f t="shared" si="13"/>
        <v>54</v>
      </c>
      <c r="G218" s="23">
        <f>IFERROR(IF($C$13="No","N/A",IF(Table157[[#This Row],[Period]]=1,$C$6,PMT(InterestRate*AmortizationMultiplier/12,Table157[[#This Row],[Am Thru]],-Table157[[#This Row],[Beginning Balance]]))),0)</f>
        <v>0</v>
      </c>
      <c r="H218" s="3">
        <f>MAX(0,IF(C218=$C$4,D218,ROUND(IF($C$3="Fixed Principal",$C$6-Table157[[#This Row],[Interest]],IF($C$3="Interest Only",Table157[[#This Row],[Beginning Balance]]*ROUND(1-(1-IF($C$11="No",$E$8,1))^(1/12),6),MIN(IF($C$13="Yes",Table157[[#This Row],[Payment Amount (Reamortized)]],$C$6)-Table157[[#This Row],[Interest]],Table157[[#This Row],[Beginning Balance]]))),2)))</f>
        <v>0</v>
      </c>
      <c r="I218" s="3">
        <f>_xlfn.SINGLE(IF($C$3="Line of Credit",0,ROUND(MAX(MIN(IF($C$10="No",$E$7,VLOOKUP(Table157[[#This Row],[Period]],Forecast!$H$2:$L$1048576,4,FALSE))*Table157[[#This Row],[Beginning Balance]],Table157[[#This Row],[Beginning Balance]]-Table157[[#This Row],[Principal]]),0),2)))</f>
        <v>0</v>
      </c>
      <c r="J218" s="3">
        <f>ROUND(MIN(Table157[[#This Row],[Beginning Balance]]*IF($C$8="No",$E$3,VLOOKUP(Table157[[#This Row],[Period]],Forecast!$H$2:$L$1048576,2,FALSE)),Table157[[#This Row],[Beginning Balance]]-Table157[[#This Row],[Principal]]-Table157[[#This Row],[Prepayments]]),2)</f>
        <v>0</v>
      </c>
      <c r="K218" s="3">
        <f>ROUND(Table157[[#This Row],[Defaulted Principal]]*IF($C$9="No",$E$4,VLOOKUP(Table157[[#This Row],[Period]],Forecast!$H$2:$L$1048576,3,FALSE)),2)</f>
        <v>0</v>
      </c>
      <c r="L218" s="2">
        <f>Table157[[#This Row],[Period]]+$E$9</f>
        <v>214</v>
      </c>
      <c r="M218" s="3">
        <f>Table157[[#This Row],[Defaulted Principal]]-Table157[[#This Row],[Estimated Loss]]</f>
        <v>0</v>
      </c>
      <c r="N218" s="3">
        <f>IFERROR(VLOOKUP(Table157[[#This Row],[Period]],$L$16:$M$385,2,FALSE),0)</f>
        <v>0</v>
      </c>
      <c r="O218" s="3">
        <f>Table157[[#This Row],[Beginning Balance]]-Table157[[#This Row],[Principal]]-Table157[[#This Row],[Prepayments]]-Table157[[#This Row],[Defaulted Principal]]</f>
        <v>0</v>
      </c>
      <c r="P218" s="3">
        <f>Table157[[#This Row],[Principal]]+Table157[[#This Row],[Interest]]+Table157[[#This Row],[Prepayments]]+Table157[[#This Row],[RecoveredAmount]]</f>
        <v>0</v>
      </c>
      <c r="Q218" s="3">
        <f ca="1">ROUND(Table157[[#This Row],[Cash Flow]]/((1+ActualRateToUse)^(IF(ISNUMBER(SEARCH("Actual",$C$7)),Table157[[#This Row],[Running Total]]/365,Table157[[#This Row],[Period]]/12))),2)</f>
        <v>0</v>
      </c>
      <c r="R218" s="2">
        <f>IF(MONTH(Table157[[#This Row],[Date]])=2,28,DAY(DATE(YEAR(Table157[[#This Row],[Date]]),MONTH(Table157[[#This Row],[Date]])+1,1)-1))</f>
        <v>30</v>
      </c>
      <c r="S218" s="2">
        <f ca="1">SUM(OFFSET(Table157[[#Headers],[Days in month]],1,0):Table157[[#This Row],[Days in month]])</f>
        <v>6144</v>
      </c>
      <c r="T218" s="37">
        <f>InterestRate*AmortizationMultiplier*IF(ISNUMBER(SEARCH("Actual",$C$7)),Table157[[#This Row],[Days in month]]/365,1/12)</f>
        <v>2.8749999999999995E-3</v>
      </c>
    </row>
    <row r="219" spans="2:20" x14ac:dyDescent="0.2">
      <c r="B219" s="1">
        <f t="shared" si="10"/>
        <v>52017</v>
      </c>
      <c r="C219" s="2">
        <f t="shared" si="12"/>
        <v>203</v>
      </c>
      <c r="D219" s="3">
        <f t="shared" si="11"/>
        <v>0</v>
      </c>
      <c r="E219" s="3">
        <f>ROUND(Table157[[#This Row],[Beginning Balance]]*Table157[[#This Row],[Monthly Interest Rate]],2)</f>
        <v>0</v>
      </c>
      <c r="F219" s="3">
        <f t="shared" si="13"/>
        <v>53</v>
      </c>
      <c r="G219" s="23">
        <f>IFERROR(IF($C$13="No","N/A",IF(Table157[[#This Row],[Period]]=1,$C$6,PMT(InterestRate*AmortizationMultiplier/12,Table157[[#This Row],[Am Thru]],-Table157[[#This Row],[Beginning Balance]]))),0)</f>
        <v>0</v>
      </c>
      <c r="H219" s="3">
        <f>MAX(0,IF(C219=$C$4,D219,ROUND(IF($C$3="Fixed Principal",$C$6-Table157[[#This Row],[Interest]],IF($C$3="Interest Only",Table157[[#This Row],[Beginning Balance]]*ROUND(1-(1-IF($C$11="No",$E$8,1))^(1/12),6),MIN(IF($C$13="Yes",Table157[[#This Row],[Payment Amount (Reamortized)]],$C$6)-Table157[[#This Row],[Interest]],Table157[[#This Row],[Beginning Balance]]))),2)))</f>
        <v>0</v>
      </c>
      <c r="I219" s="3">
        <f>_xlfn.SINGLE(IF($C$3="Line of Credit",0,ROUND(MAX(MIN(IF($C$10="No",$E$7,VLOOKUP(Table157[[#This Row],[Period]],Forecast!$H$2:$L$1048576,4,FALSE))*Table157[[#This Row],[Beginning Balance]],Table157[[#This Row],[Beginning Balance]]-Table157[[#This Row],[Principal]]),0),2)))</f>
        <v>0</v>
      </c>
      <c r="J219" s="3">
        <f>ROUND(MIN(Table157[[#This Row],[Beginning Balance]]*IF($C$8="No",$E$3,VLOOKUP(Table157[[#This Row],[Period]],Forecast!$H$2:$L$1048576,2,FALSE)),Table157[[#This Row],[Beginning Balance]]-Table157[[#This Row],[Principal]]-Table157[[#This Row],[Prepayments]]),2)</f>
        <v>0</v>
      </c>
      <c r="K219" s="3">
        <f>ROUND(Table157[[#This Row],[Defaulted Principal]]*IF($C$9="No",$E$4,VLOOKUP(Table157[[#This Row],[Period]],Forecast!$H$2:$L$1048576,3,FALSE)),2)</f>
        <v>0</v>
      </c>
      <c r="L219" s="2">
        <f>Table157[[#This Row],[Period]]+$E$9</f>
        <v>215</v>
      </c>
      <c r="M219" s="3">
        <f>Table157[[#This Row],[Defaulted Principal]]-Table157[[#This Row],[Estimated Loss]]</f>
        <v>0</v>
      </c>
      <c r="N219" s="3">
        <f>IFERROR(VLOOKUP(Table157[[#This Row],[Period]],$L$16:$M$385,2,FALSE),0)</f>
        <v>0</v>
      </c>
      <c r="O219" s="3">
        <f>Table157[[#This Row],[Beginning Balance]]-Table157[[#This Row],[Principal]]-Table157[[#This Row],[Prepayments]]-Table157[[#This Row],[Defaulted Principal]]</f>
        <v>0</v>
      </c>
      <c r="P219" s="3">
        <f>Table157[[#This Row],[Principal]]+Table157[[#This Row],[Interest]]+Table157[[#This Row],[Prepayments]]+Table157[[#This Row],[RecoveredAmount]]</f>
        <v>0</v>
      </c>
      <c r="Q219" s="3">
        <f ca="1">ROUND(Table157[[#This Row],[Cash Flow]]/((1+ActualRateToUse)^(IF(ISNUMBER(SEARCH("Actual",$C$7)),Table157[[#This Row],[Running Total]]/365,Table157[[#This Row],[Period]]/12))),2)</f>
        <v>0</v>
      </c>
      <c r="R219" s="2">
        <f>IF(MONTH(Table157[[#This Row],[Date]])=2,28,DAY(DATE(YEAR(Table157[[#This Row],[Date]]),MONTH(Table157[[#This Row],[Date]])+1,1)-1))</f>
        <v>31</v>
      </c>
      <c r="S219" s="2">
        <f ca="1">SUM(OFFSET(Table157[[#Headers],[Days in month]],1,0):Table157[[#This Row],[Days in month]])</f>
        <v>6175</v>
      </c>
      <c r="T219" s="37">
        <f>InterestRate*AmortizationMultiplier*IF(ISNUMBER(SEARCH("Actual",$C$7)),Table157[[#This Row],[Days in month]]/365,1/12)</f>
        <v>2.9708333333333331E-3</v>
      </c>
    </row>
    <row r="220" spans="2:20" x14ac:dyDescent="0.2">
      <c r="B220" s="1">
        <f t="shared" si="10"/>
        <v>52047</v>
      </c>
      <c r="C220" s="2">
        <f t="shared" si="12"/>
        <v>204</v>
      </c>
      <c r="D220" s="3">
        <f t="shared" si="11"/>
        <v>0</v>
      </c>
      <c r="E220" s="3">
        <f>ROUND(Table157[[#This Row],[Beginning Balance]]*Table157[[#This Row],[Monthly Interest Rate]],2)</f>
        <v>0</v>
      </c>
      <c r="F220" s="3">
        <f t="shared" si="13"/>
        <v>52</v>
      </c>
      <c r="G220" s="23">
        <f>IFERROR(IF($C$13="No","N/A",IF(Table157[[#This Row],[Period]]=1,$C$6,PMT(InterestRate*AmortizationMultiplier/12,Table157[[#This Row],[Am Thru]],-Table157[[#This Row],[Beginning Balance]]))),0)</f>
        <v>0</v>
      </c>
      <c r="H220" s="3">
        <f>MAX(0,IF(C220=$C$4,D220,ROUND(IF($C$3="Fixed Principal",$C$6-Table157[[#This Row],[Interest]],IF($C$3="Interest Only",Table157[[#This Row],[Beginning Balance]]*ROUND(1-(1-IF($C$11="No",$E$8,1))^(1/12),6),MIN(IF($C$13="Yes",Table157[[#This Row],[Payment Amount (Reamortized)]],$C$6)-Table157[[#This Row],[Interest]],Table157[[#This Row],[Beginning Balance]]))),2)))</f>
        <v>0</v>
      </c>
      <c r="I220" s="3">
        <f>_xlfn.SINGLE(IF($C$3="Line of Credit",0,ROUND(MAX(MIN(IF($C$10="No",$E$7,VLOOKUP(Table157[[#This Row],[Period]],Forecast!$H$2:$L$1048576,4,FALSE))*Table157[[#This Row],[Beginning Balance]],Table157[[#This Row],[Beginning Balance]]-Table157[[#This Row],[Principal]]),0),2)))</f>
        <v>0</v>
      </c>
      <c r="J220" s="3">
        <f>ROUND(MIN(Table157[[#This Row],[Beginning Balance]]*IF($C$8="No",$E$3,VLOOKUP(Table157[[#This Row],[Period]],Forecast!$H$2:$L$1048576,2,FALSE)),Table157[[#This Row],[Beginning Balance]]-Table157[[#This Row],[Principal]]-Table157[[#This Row],[Prepayments]]),2)</f>
        <v>0</v>
      </c>
      <c r="K220" s="3">
        <f>ROUND(Table157[[#This Row],[Defaulted Principal]]*IF($C$9="No",$E$4,VLOOKUP(Table157[[#This Row],[Period]],Forecast!$H$2:$L$1048576,3,FALSE)),2)</f>
        <v>0</v>
      </c>
      <c r="L220" s="2">
        <f>Table157[[#This Row],[Period]]+$E$9</f>
        <v>216</v>
      </c>
      <c r="M220" s="3">
        <f>Table157[[#This Row],[Defaulted Principal]]-Table157[[#This Row],[Estimated Loss]]</f>
        <v>0</v>
      </c>
      <c r="N220" s="3">
        <f>IFERROR(VLOOKUP(Table157[[#This Row],[Period]],$L$16:$M$385,2,FALSE),0)</f>
        <v>0</v>
      </c>
      <c r="O220" s="3">
        <f>Table157[[#This Row],[Beginning Balance]]-Table157[[#This Row],[Principal]]-Table157[[#This Row],[Prepayments]]-Table157[[#This Row],[Defaulted Principal]]</f>
        <v>0</v>
      </c>
      <c r="P220" s="3">
        <f>Table157[[#This Row],[Principal]]+Table157[[#This Row],[Interest]]+Table157[[#This Row],[Prepayments]]+Table157[[#This Row],[RecoveredAmount]]</f>
        <v>0</v>
      </c>
      <c r="Q220" s="3">
        <f ca="1">ROUND(Table157[[#This Row],[Cash Flow]]/((1+ActualRateToUse)^(IF(ISNUMBER(SEARCH("Actual",$C$7)),Table157[[#This Row],[Running Total]]/365,Table157[[#This Row],[Period]]/12))),2)</f>
        <v>0</v>
      </c>
      <c r="R220" s="2">
        <f>IF(MONTH(Table157[[#This Row],[Date]])=2,28,DAY(DATE(YEAR(Table157[[#This Row],[Date]]),MONTH(Table157[[#This Row],[Date]])+1,1)-1))</f>
        <v>30</v>
      </c>
      <c r="S220" s="2">
        <f ca="1">SUM(OFFSET(Table157[[#Headers],[Days in month]],1,0):Table157[[#This Row],[Days in month]])</f>
        <v>6205</v>
      </c>
      <c r="T220" s="37">
        <f>InterestRate*AmortizationMultiplier*IF(ISNUMBER(SEARCH("Actual",$C$7)),Table157[[#This Row],[Days in month]]/365,1/12)</f>
        <v>2.8749999999999995E-3</v>
      </c>
    </row>
    <row r="221" spans="2:20" x14ac:dyDescent="0.2">
      <c r="B221" s="1">
        <f t="shared" si="10"/>
        <v>52078</v>
      </c>
      <c r="C221" s="2">
        <f t="shared" si="12"/>
        <v>205</v>
      </c>
      <c r="D221" s="3">
        <f t="shared" si="11"/>
        <v>0</v>
      </c>
      <c r="E221" s="3">
        <f>ROUND(Table157[[#This Row],[Beginning Balance]]*Table157[[#This Row],[Monthly Interest Rate]],2)</f>
        <v>0</v>
      </c>
      <c r="F221" s="3">
        <f t="shared" si="13"/>
        <v>51</v>
      </c>
      <c r="G221" s="23">
        <f>IFERROR(IF($C$13="No","N/A",IF(Table157[[#This Row],[Period]]=1,$C$6,PMT(InterestRate*AmortizationMultiplier/12,Table157[[#This Row],[Am Thru]],-Table157[[#This Row],[Beginning Balance]]))),0)</f>
        <v>0</v>
      </c>
      <c r="H221" s="3">
        <f>MAX(0,IF(C221=$C$4,D221,ROUND(IF($C$3="Fixed Principal",$C$6-Table157[[#This Row],[Interest]],IF($C$3="Interest Only",Table157[[#This Row],[Beginning Balance]]*ROUND(1-(1-IF($C$11="No",$E$8,1))^(1/12),6),MIN(IF($C$13="Yes",Table157[[#This Row],[Payment Amount (Reamortized)]],$C$6)-Table157[[#This Row],[Interest]],Table157[[#This Row],[Beginning Balance]]))),2)))</f>
        <v>0</v>
      </c>
      <c r="I221" s="3">
        <f>_xlfn.SINGLE(IF($C$3="Line of Credit",0,ROUND(MAX(MIN(IF($C$10="No",$E$7,VLOOKUP(Table157[[#This Row],[Period]],Forecast!$H$2:$L$1048576,4,FALSE))*Table157[[#This Row],[Beginning Balance]],Table157[[#This Row],[Beginning Balance]]-Table157[[#This Row],[Principal]]),0),2)))</f>
        <v>0</v>
      </c>
      <c r="J221" s="3">
        <f>ROUND(MIN(Table157[[#This Row],[Beginning Balance]]*IF($C$8="No",$E$3,VLOOKUP(Table157[[#This Row],[Period]],Forecast!$H$2:$L$1048576,2,FALSE)),Table157[[#This Row],[Beginning Balance]]-Table157[[#This Row],[Principal]]-Table157[[#This Row],[Prepayments]]),2)</f>
        <v>0</v>
      </c>
      <c r="K221" s="3">
        <f>ROUND(Table157[[#This Row],[Defaulted Principal]]*IF($C$9="No",$E$4,VLOOKUP(Table157[[#This Row],[Period]],Forecast!$H$2:$L$1048576,3,FALSE)),2)</f>
        <v>0</v>
      </c>
      <c r="L221" s="2">
        <f>Table157[[#This Row],[Period]]+$E$9</f>
        <v>217</v>
      </c>
      <c r="M221" s="3">
        <f>Table157[[#This Row],[Defaulted Principal]]-Table157[[#This Row],[Estimated Loss]]</f>
        <v>0</v>
      </c>
      <c r="N221" s="3">
        <f>IFERROR(VLOOKUP(Table157[[#This Row],[Period]],$L$16:$M$385,2,FALSE),0)</f>
        <v>0</v>
      </c>
      <c r="O221" s="3">
        <f>Table157[[#This Row],[Beginning Balance]]-Table157[[#This Row],[Principal]]-Table157[[#This Row],[Prepayments]]-Table157[[#This Row],[Defaulted Principal]]</f>
        <v>0</v>
      </c>
      <c r="P221" s="3">
        <f>Table157[[#This Row],[Principal]]+Table157[[#This Row],[Interest]]+Table157[[#This Row],[Prepayments]]+Table157[[#This Row],[RecoveredAmount]]</f>
        <v>0</v>
      </c>
      <c r="Q221" s="3">
        <f ca="1">ROUND(Table157[[#This Row],[Cash Flow]]/((1+ActualRateToUse)^(IF(ISNUMBER(SEARCH("Actual",$C$7)),Table157[[#This Row],[Running Total]]/365,Table157[[#This Row],[Period]]/12))),2)</f>
        <v>0</v>
      </c>
      <c r="R221" s="2">
        <f>IF(MONTH(Table157[[#This Row],[Date]])=2,28,DAY(DATE(YEAR(Table157[[#This Row],[Date]]),MONTH(Table157[[#This Row],[Date]])+1,1)-1))</f>
        <v>31</v>
      </c>
      <c r="S221" s="2">
        <f ca="1">SUM(OFFSET(Table157[[#Headers],[Days in month]],1,0):Table157[[#This Row],[Days in month]])</f>
        <v>6236</v>
      </c>
      <c r="T221" s="37">
        <f>InterestRate*AmortizationMultiplier*IF(ISNUMBER(SEARCH("Actual",$C$7)),Table157[[#This Row],[Days in month]]/365,1/12)</f>
        <v>2.9708333333333331E-3</v>
      </c>
    </row>
    <row r="222" spans="2:20" x14ac:dyDescent="0.2">
      <c r="B222" s="1">
        <f t="shared" si="10"/>
        <v>52109</v>
      </c>
      <c r="C222" s="2">
        <f t="shared" si="12"/>
        <v>206</v>
      </c>
      <c r="D222" s="3">
        <f t="shared" si="11"/>
        <v>0</v>
      </c>
      <c r="E222" s="3">
        <f>ROUND(Table157[[#This Row],[Beginning Balance]]*Table157[[#This Row],[Monthly Interest Rate]],2)</f>
        <v>0</v>
      </c>
      <c r="F222" s="3">
        <f t="shared" si="13"/>
        <v>50</v>
      </c>
      <c r="G222" s="23">
        <f>IFERROR(IF($C$13="No","N/A",IF(Table157[[#This Row],[Period]]=1,$C$6,PMT(InterestRate*AmortizationMultiplier/12,Table157[[#This Row],[Am Thru]],-Table157[[#This Row],[Beginning Balance]]))),0)</f>
        <v>0</v>
      </c>
      <c r="H222" s="3">
        <f>MAX(0,IF(C222=$C$4,D222,ROUND(IF($C$3="Fixed Principal",$C$6-Table157[[#This Row],[Interest]],IF($C$3="Interest Only",Table157[[#This Row],[Beginning Balance]]*ROUND(1-(1-IF($C$11="No",$E$8,1))^(1/12),6),MIN(IF($C$13="Yes",Table157[[#This Row],[Payment Amount (Reamortized)]],$C$6)-Table157[[#This Row],[Interest]],Table157[[#This Row],[Beginning Balance]]))),2)))</f>
        <v>0</v>
      </c>
      <c r="I222" s="3">
        <f>_xlfn.SINGLE(IF($C$3="Line of Credit",0,ROUND(MAX(MIN(IF($C$10="No",$E$7,VLOOKUP(Table157[[#This Row],[Period]],Forecast!$H$2:$L$1048576,4,FALSE))*Table157[[#This Row],[Beginning Balance]],Table157[[#This Row],[Beginning Balance]]-Table157[[#This Row],[Principal]]),0),2)))</f>
        <v>0</v>
      </c>
      <c r="J222" s="3">
        <f>ROUND(MIN(Table157[[#This Row],[Beginning Balance]]*IF($C$8="No",$E$3,VLOOKUP(Table157[[#This Row],[Period]],Forecast!$H$2:$L$1048576,2,FALSE)),Table157[[#This Row],[Beginning Balance]]-Table157[[#This Row],[Principal]]-Table157[[#This Row],[Prepayments]]),2)</f>
        <v>0</v>
      </c>
      <c r="K222" s="3">
        <f>ROUND(Table157[[#This Row],[Defaulted Principal]]*IF($C$9="No",$E$4,VLOOKUP(Table157[[#This Row],[Period]],Forecast!$H$2:$L$1048576,3,FALSE)),2)</f>
        <v>0</v>
      </c>
      <c r="L222" s="2">
        <f>Table157[[#This Row],[Period]]+$E$9</f>
        <v>218</v>
      </c>
      <c r="M222" s="3">
        <f>Table157[[#This Row],[Defaulted Principal]]-Table157[[#This Row],[Estimated Loss]]</f>
        <v>0</v>
      </c>
      <c r="N222" s="3">
        <f>IFERROR(VLOOKUP(Table157[[#This Row],[Period]],$L$16:$M$385,2,FALSE),0)</f>
        <v>0</v>
      </c>
      <c r="O222" s="3">
        <f>Table157[[#This Row],[Beginning Balance]]-Table157[[#This Row],[Principal]]-Table157[[#This Row],[Prepayments]]-Table157[[#This Row],[Defaulted Principal]]</f>
        <v>0</v>
      </c>
      <c r="P222" s="3">
        <f>Table157[[#This Row],[Principal]]+Table157[[#This Row],[Interest]]+Table157[[#This Row],[Prepayments]]+Table157[[#This Row],[RecoveredAmount]]</f>
        <v>0</v>
      </c>
      <c r="Q222" s="3">
        <f ca="1">ROUND(Table157[[#This Row],[Cash Flow]]/((1+ActualRateToUse)^(IF(ISNUMBER(SEARCH("Actual",$C$7)),Table157[[#This Row],[Running Total]]/365,Table157[[#This Row],[Period]]/12))),2)</f>
        <v>0</v>
      </c>
      <c r="R222" s="2">
        <f>IF(MONTH(Table157[[#This Row],[Date]])=2,28,DAY(DATE(YEAR(Table157[[#This Row],[Date]]),MONTH(Table157[[#This Row],[Date]])+1,1)-1))</f>
        <v>31</v>
      </c>
      <c r="S222" s="2">
        <f ca="1">SUM(OFFSET(Table157[[#Headers],[Days in month]],1,0):Table157[[#This Row],[Days in month]])</f>
        <v>6267</v>
      </c>
      <c r="T222" s="37">
        <f>InterestRate*AmortizationMultiplier*IF(ISNUMBER(SEARCH("Actual",$C$7)),Table157[[#This Row],[Days in month]]/365,1/12)</f>
        <v>2.9708333333333331E-3</v>
      </c>
    </row>
    <row r="223" spans="2:20" x14ac:dyDescent="0.2">
      <c r="B223" s="1">
        <f t="shared" si="10"/>
        <v>52139</v>
      </c>
      <c r="C223" s="2">
        <f t="shared" si="12"/>
        <v>207</v>
      </c>
      <c r="D223" s="3">
        <f t="shared" si="11"/>
        <v>0</v>
      </c>
      <c r="E223" s="3">
        <f>ROUND(Table157[[#This Row],[Beginning Balance]]*Table157[[#This Row],[Monthly Interest Rate]],2)</f>
        <v>0</v>
      </c>
      <c r="F223" s="3">
        <f t="shared" si="13"/>
        <v>49</v>
      </c>
      <c r="G223" s="23">
        <f>IFERROR(IF($C$13="No","N/A",IF(Table157[[#This Row],[Period]]=1,$C$6,PMT(InterestRate*AmortizationMultiplier/12,Table157[[#This Row],[Am Thru]],-Table157[[#This Row],[Beginning Balance]]))),0)</f>
        <v>0</v>
      </c>
      <c r="H223" s="3">
        <f>MAX(0,IF(C223=$C$4,D223,ROUND(IF($C$3="Fixed Principal",$C$6-Table157[[#This Row],[Interest]],IF($C$3="Interest Only",Table157[[#This Row],[Beginning Balance]]*ROUND(1-(1-IF($C$11="No",$E$8,1))^(1/12),6),MIN(IF($C$13="Yes",Table157[[#This Row],[Payment Amount (Reamortized)]],$C$6)-Table157[[#This Row],[Interest]],Table157[[#This Row],[Beginning Balance]]))),2)))</f>
        <v>0</v>
      </c>
      <c r="I223" s="3">
        <f>_xlfn.SINGLE(IF($C$3="Line of Credit",0,ROUND(MAX(MIN(IF($C$10="No",$E$7,VLOOKUP(Table157[[#This Row],[Period]],Forecast!$H$2:$L$1048576,4,FALSE))*Table157[[#This Row],[Beginning Balance]],Table157[[#This Row],[Beginning Balance]]-Table157[[#This Row],[Principal]]),0),2)))</f>
        <v>0</v>
      </c>
      <c r="J223" s="3">
        <f>ROUND(MIN(Table157[[#This Row],[Beginning Balance]]*IF($C$8="No",$E$3,VLOOKUP(Table157[[#This Row],[Period]],Forecast!$H$2:$L$1048576,2,FALSE)),Table157[[#This Row],[Beginning Balance]]-Table157[[#This Row],[Principal]]-Table157[[#This Row],[Prepayments]]),2)</f>
        <v>0</v>
      </c>
      <c r="K223" s="3">
        <f>ROUND(Table157[[#This Row],[Defaulted Principal]]*IF($C$9="No",$E$4,VLOOKUP(Table157[[#This Row],[Period]],Forecast!$H$2:$L$1048576,3,FALSE)),2)</f>
        <v>0</v>
      </c>
      <c r="L223" s="2">
        <f>Table157[[#This Row],[Period]]+$E$9</f>
        <v>219</v>
      </c>
      <c r="M223" s="3">
        <f>Table157[[#This Row],[Defaulted Principal]]-Table157[[#This Row],[Estimated Loss]]</f>
        <v>0</v>
      </c>
      <c r="N223" s="3">
        <f>IFERROR(VLOOKUP(Table157[[#This Row],[Period]],$L$16:$M$385,2,FALSE),0)</f>
        <v>0</v>
      </c>
      <c r="O223" s="3">
        <f>Table157[[#This Row],[Beginning Balance]]-Table157[[#This Row],[Principal]]-Table157[[#This Row],[Prepayments]]-Table157[[#This Row],[Defaulted Principal]]</f>
        <v>0</v>
      </c>
      <c r="P223" s="3">
        <f>Table157[[#This Row],[Principal]]+Table157[[#This Row],[Interest]]+Table157[[#This Row],[Prepayments]]+Table157[[#This Row],[RecoveredAmount]]</f>
        <v>0</v>
      </c>
      <c r="Q223" s="3">
        <f ca="1">ROUND(Table157[[#This Row],[Cash Flow]]/((1+ActualRateToUse)^(IF(ISNUMBER(SEARCH("Actual",$C$7)),Table157[[#This Row],[Running Total]]/365,Table157[[#This Row],[Period]]/12))),2)</f>
        <v>0</v>
      </c>
      <c r="R223" s="2">
        <f>IF(MONTH(Table157[[#This Row],[Date]])=2,28,DAY(DATE(YEAR(Table157[[#This Row],[Date]]),MONTH(Table157[[#This Row],[Date]])+1,1)-1))</f>
        <v>30</v>
      </c>
      <c r="S223" s="2">
        <f ca="1">SUM(OFFSET(Table157[[#Headers],[Days in month]],1,0):Table157[[#This Row],[Days in month]])</f>
        <v>6297</v>
      </c>
      <c r="T223" s="37">
        <f>InterestRate*AmortizationMultiplier*IF(ISNUMBER(SEARCH("Actual",$C$7)),Table157[[#This Row],[Days in month]]/365,1/12)</f>
        <v>2.8749999999999995E-3</v>
      </c>
    </row>
    <row r="224" spans="2:20" x14ac:dyDescent="0.2">
      <c r="B224" s="1">
        <f t="shared" si="10"/>
        <v>52170</v>
      </c>
      <c r="C224" s="2">
        <f t="shared" si="12"/>
        <v>208</v>
      </c>
      <c r="D224" s="3">
        <f t="shared" si="11"/>
        <v>0</v>
      </c>
      <c r="E224" s="3">
        <f>ROUND(Table157[[#This Row],[Beginning Balance]]*Table157[[#This Row],[Monthly Interest Rate]],2)</f>
        <v>0</v>
      </c>
      <c r="F224" s="3">
        <f t="shared" si="13"/>
        <v>48</v>
      </c>
      <c r="G224" s="23">
        <f>IFERROR(IF($C$13="No","N/A",IF(Table157[[#This Row],[Period]]=1,$C$6,PMT(InterestRate*AmortizationMultiplier/12,Table157[[#This Row],[Am Thru]],-Table157[[#This Row],[Beginning Balance]]))),0)</f>
        <v>0</v>
      </c>
      <c r="H224" s="3">
        <f>MAX(0,IF(C224=$C$4,D224,ROUND(IF($C$3="Fixed Principal",$C$6-Table157[[#This Row],[Interest]],IF($C$3="Interest Only",Table157[[#This Row],[Beginning Balance]]*ROUND(1-(1-IF($C$11="No",$E$8,1))^(1/12),6),MIN(IF($C$13="Yes",Table157[[#This Row],[Payment Amount (Reamortized)]],$C$6)-Table157[[#This Row],[Interest]],Table157[[#This Row],[Beginning Balance]]))),2)))</f>
        <v>0</v>
      </c>
      <c r="I224" s="3">
        <f>_xlfn.SINGLE(IF($C$3="Line of Credit",0,ROUND(MAX(MIN(IF($C$10="No",$E$7,VLOOKUP(Table157[[#This Row],[Period]],Forecast!$H$2:$L$1048576,4,FALSE))*Table157[[#This Row],[Beginning Balance]],Table157[[#This Row],[Beginning Balance]]-Table157[[#This Row],[Principal]]),0),2)))</f>
        <v>0</v>
      </c>
      <c r="J224" s="3">
        <f>ROUND(MIN(Table157[[#This Row],[Beginning Balance]]*IF($C$8="No",$E$3,VLOOKUP(Table157[[#This Row],[Period]],Forecast!$H$2:$L$1048576,2,FALSE)),Table157[[#This Row],[Beginning Balance]]-Table157[[#This Row],[Principal]]-Table157[[#This Row],[Prepayments]]),2)</f>
        <v>0</v>
      </c>
      <c r="K224" s="3">
        <f>ROUND(Table157[[#This Row],[Defaulted Principal]]*IF($C$9="No",$E$4,VLOOKUP(Table157[[#This Row],[Period]],Forecast!$H$2:$L$1048576,3,FALSE)),2)</f>
        <v>0</v>
      </c>
      <c r="L224" s="2">
        <f>Table157[[#This Row],[Period]]+$E$9</f>
        <v>220</v>
      </c>
      <c r="M224" s="3">
        <f>Table157[[#This Row],[Defaulted Principal]]-Table157[[#This Row],[Estimated Loss]]</f>
        <v>0</v>
      </c>
      <c r="N224" s="3">
        <f>IFERROR(VLOOKUP(Table157[[#This Row],[Period]],$L$16:$M$385,2,FALSE),0)</f>
        <v>0</v>
      </c>
      <c r="O224" s="3">
        <f>Table157[[#This Row],[Beginning Balance]]-Table157[[#This Row],[Principal]]-Table157[[#This Row],[Prepayments]]-Table157[[#This Row],[Defaulted Principal]]</f>
        <v>0</v>
      </c>
      <c r="P224" s="3">
        <f>Table157[[#This Row],[Principal]]+Table157[[#This Row],[Interest]]+Table157[[#This Row],[Prepayments]]+Table157[[#This Row],[RecoveredAmount]]</f>
        <v>0</v>
      </c>
      <c r="Q224" s="3">
        <f ca="1">ROUND(Table157[[#This Row],[Cash Flow]]/((1+ActualRateToUse)^(IF(ISNUMBER(SEARCH("Actual",$C$7)),Table157[[#This Row],[Running Total]]/365,Table157[[#This Row],[Period]]/12))),2)</f>
        <v>0</v>
      </c>
      <c r="R224" s="2">
        <f>IF(MONTH(Table157[[#This Row],[Date]])=2,28,DAY(DATE(YEAR(Table157[[#This Row],[Date]]),MONTH(Table157[[#This Row],[Date]])+1,1)-1))</f>
        <v>31</v>
      </c>
      <c r="S224" s="2">
        <f ca="1">SUM(OFFSET(Table157[[#Headers],[Days in month]],1,0):Table157[[#This Row],[Days in month]])</f>
        <v>6328</v>
      </c>
      <c r="T224" s="37">
        <f>InterestRate*AmortizationMultiplier*IF(ISNUMBER(SEARCH("Actual",$C$7)),Table157[[#This Row],[Days in month]]/365,1/12)</f>
        <v>2.9708333333333331E-3</v>
      </c>
    </row>
    <row r="225" spans="2:20" x14ac:dyDescent="0.2">
      <c r="B225" s="1">
        <f t="shared" si="10"/>
        <v>52200</v>
      </c>
      <c r="C225" s="2">
        <f t="shared" si="12"/>
        <v>209</v>
      </c>
      <c r="D225" s="3">
        <f t="shared" si="11"/>
        <v>0</v>
      </c>
      <c r="E225" s="3">
        <f>ROUND(Table157[[#This Row],[Beginning Balance]]*Table157[[#This Row],[Monthly Interest Rate]],2)</f>
        <v>0</v>
      </c>
      <c r="F225" s="3">
        <f t="shared" si="13"/>
        <v>47</v>
      </c>
      <c r="G225" s="23">
        <f>IFERROR(IF($C$13="No","N/A",IF(Table157[[#This Row],[Period]]=1,$C$6,PMT(InterestRate*AmortizationMultiplier/12,Table157[[#This Row],[Am Thru]],-Table157[[#This Row],[Beginning Balance]]))),0)</f>
        <v>0</v>
      </c>
      <c r="H225" s="3">
        <f>MAX(0,IF(C225=$C$4,D225,ROUND(IF($C$3="Fixed Principal",$C$6-Table157[[#This Row],[Interest]],IF($C$3="Interest Only",Table157[[#This Row],[Beginning Balance]]*ROUND(1-(1-IF($C$11="No",$E$8,1))^(1/12),6),MIN(IF($C$13="Yes",Table157[[#This Row],[Payment Amount (Reamortized)]],$C$6)-Table157[[#This Row],[Interest]],Table157[[#This Row],[Beginning Balance]]))),2)))</f>
        <v>0</v>
      </c>
      <c r="I225" s="3">
        <f>_xlfn.SINGLE(IF($C$3="Line of Credit",0,ROUND(MAX(MIN(IF($C$10="No",$E$7,VLOOKUP(Table157[[#This Row],[Period]],Forecast!$H$2:$L$1048576,4,FALSE))*Table157[[#This Row],[Beginning Balance]],Table157[[#This Row],[Beginning Balance]]-Table157[[#This Row],[Principal]]),0),2)))</f>
        <v>0</v>
      </c>
      <c r="J225" s="3">
        <f>ROUND(MIN(Table157[[#This Row],[Beginning Balance]]*IF($C$8="No",$E$3,VLOOKUP(Table157[[#This Row],[Period]],Forecast!$H$2:$L$1048576,2,FALSE)),Table157[[#This Row],[Beginning Balance]]-Table157[[#This Row],[Principal]]-Table157[[#This Row],[Prepayments]]),2)</f>
        <v>0</v>
      </c>
      <c r="K225" s="3">
        <f>ROUND(Table157[[#This Row],[Defaulted Principal]]*IF($C$9="No",$E$4,VLOOKUP(Table157[[#This Row],[Period]],Forecast!$H$2:$L$1048576,3,FALSE)),2)</f>
        <v>0</v>
      </c>
      <c r="L225" s="2">
        <f>Table157[[#This Row],[Period]]+$E$9</f>
        <v>221</v>
      </c>
      <c r="M225" s="3">
        <f>Table157[[#This Row],[Defaulted Principal]]-Table157[[#This Row],[Estimated Loss]]</f>
        <v>0</v>
      </c>
      <c r="N225" s="3">
        <f>IFERROR(VLOOKUP(Table157[[#This Row],[Period]],$L$16:$M$385,2,FALSE),0)</f>
        <v>0</v>
      </c>
      <c r="O225" s="3">
        <f>Table157[[#This Row],[Beginning Balance]]-Table157[[#This Row],[Principal]]-Table157[[#This Row],[Prepayments]]-Table157[[#This Row],[Defaulted Principal]]</f>
        <v>0</v>
      </c>
      <c r="P225" s="3">
        <f>Table157[[#This Row],[Principal]]+Table157[[#This Row],[Interest]]+Table157[[#This Row],[Prepayments]]+Table157[[#This Row],[RecoveredAmount]]</f>
        <v>0</v>
      </c>
      <c r="Q225" s="3">
        <f ca="1">ROUND(Table157[[#This Row],[Cash Flow]]/((1+ActualRateToUse)^(IF(ISNUMBER(SEARCH("Actual",$C$7)),Table157[[#This Row],[Running Total]]/365,Table157[[#This Row],[Period]]/12))),2)</f>
        <v>0</v>
      </c>
      <c r="R225" s="2">
        <f>IF(MONTH(Table157[[#This Row],[Date]])=2,28,DAY(DATE(YEAR(Table157[[#This Row],[Date]]),MONTH(Table157[[#This Row],[Date]])+1,1)-1))</f>
        <v>30</v>
      </c>
      <c r="S225" s="2">
        <f ca="1">SUM(OFFSET(Table157[[#Headers],[Days in month]],1,0):Table157[[#This Row],[Days in month]])</f>
        <v>6358</v>
      </c>
      <c r="T225" s="37">
        <f>InterestRate*AmortizationMultiplier*IF(ISNUMBER(SEARCH("Actual",$C$7)),Table157[[#This Row],[Days in month]]/365,1/12)</f>
        <v>2.8749999999999995E-3</v>
      </c>
    </row>
    <row r="226" spans="2:20" x14ac:dyDescent="0.2">
      <c r="B226" s="1">
        <f t="shared" si="10"/>
        <v>52231</v>
      </c>
      <c r="C226" s="2">
        <f t="shared" si="12"/>
        <v>210</v>
      </c>
      <c r="D226" s="3">
        <f t="shared" si="11"/>
        <v>0</v>
      </c>
      <c r="E226" s="3">
        <f>ROUND(Table157[[#This Row],[Beginning Balance]]*Table157[[#This Row],[Monthly Interest Rate]],2)</f>
        <v>0</v>
      </c>
      <c r="F226" s="3">
        <f t="shared" si="13"/>
        <v>46</v>
      </c>
      <c r="G226" s="23">
        <f>IFERROR(IF($C$13="No","N/A",IF(Table157[[#This Row],[Period]]=1,$C$6,PMT(InterestRate*AmortizationMultiplier/12,Table157[[#This Row],[Am Thru]],-Table157[[#This Row],[Beginning Balance]]))),0)</f>
        <v>0</v>
      </c>
      <c r="H226" s="3">
        <f>MAX(0,IF(C226=$C$4,D226,ROUND(IF($C$3="Fixed Principal",$C$6-Table157[[#This Row],[Interest]],IF($C$3="Interest Only",Table157[[#This Row],[Beginning Balance]]*ROUND(1-(1-IF($C$11="No",$E$8,1))^(1/12),6),MIN(IF($C$13="Yes",Table157[[#This Row],[Payment Amount (Reamortized)]],$C$6)-Table157[[#This Row],[Interest]],Table157[[#This Row],[Beginning Balance]]))),2)))</f>
        <v>0</v>
      </c>
      <c r="I226" s="3">
        <f>_xlfn.SINGLE(IF($C$3="Line of Credit",0,ROUND(MAX(MIN(IF($C$10="No",$E$7,VLOOKUP(Table157[[#This Row],[Period]],Forecast!$H$2:$L$1048576,4,FALSE))*Table157[[#This Row],[Beginning Balance]],Table157[[#This Row],[Beginning Balance]]-Table157[[#This Row],[Principal]]),0),2)))</f>
        <v>0</v>
      </c>
      <c r="J226" s="3">
        <f>ROUND(MIN(Table157[[#This Row],[Beginning Balance]]*IF($C$8="No",$E$3,VLOOKUP(Table157[[#This Row],[Period]],Forecast!$H$2:$L$1048576,2,FALSE)),Table157[[#This Row],[Beginning Balance]]-Table157[[#This Row],[Principal]]-Table157[[#This Row],[Prepayments]]),2)</f>
        <v>0</v>
      </c>
      <c r="K226" s="3">
        <f>ROUND(Table157[[#This Row],[Defaulted Principal]]*IF($C$9="No",$E$4,VLOOKUP(Table157[[#This Row],[Period]],Forecast!$H$2:$L$1048576,3,FALSE)),2)</f>
        <v>0</v>
      </c>
      <c r="L226" s="2">
        <f>Table157[[#This Row],[Period]]+$E$9</f>
        <v>222</v>
      </c>
      <c r="M226" s="3">
        <f>Table157[[#This Row],[Defaulted Principal]]-Table157[[#This Row],[Estimated Loss]]</f>
        <v>0</v>
      </c>
      <c r="N226" s="3">
        <f>IFERROR(VLOOKUP(Table157[[#This Row],[Period]],$L$16:$M$385,2,FALSE),0)</f>
        <v>0</v>
      </c>
      <c r="O226" s="3">
        <f>Table157[[#This Row],[Beginning Balance]]-Table157[[#This Row],[Principal]]-Table157[[#This Row],[Prepayments]]-Table157[[#This Row],[Defaulted Principal]]</f>
        <v>0</v>
      </c>
      <c r="P226" s="3">
        <f>Table157[[#This Row],[Principal]]+Table157[[#This Row],[Interest]]+Table157[[#This Row],[Prepayments]]+Table157[[#This Row],[RecoveredAmount]]</f>
        <v>0</v>
      </c>
      <c r="Q226" s="3">
        <f ca="1">ROUND(Table157[[#This Row],[Cash Flow]]/((1+ActualRateToUse)^(IF(ISNUMBER(SEARCH("Actual",$C$7)),Table157[[#This Row],[Running Total]]/365,Table157[[#This Row],[Period]]/12))),2)</f>
        <v>0</v>
      </c>
      <c r="R226" s="2">
        <f>IF(MONTH(Table157[[#This Row],[Date]])=2,28,DAY(DATE(YEAR(Table157[[#This Row],[Date]]),MONTH(Table157[[#This Row],[Date]])+1,1)-1))</f>
        <v>31</v>
      </c>
      <c r="S226" s="2">
        <f ca="1">SUM(OFFSET(Table157[[#Headers],[Days in month]],1,0):Table157[[#This Row],[Days in month]])</f>
        <v>6389</v>
      </c>
      <c r="T226" s="37">
        <f>InterestRate*AmortizationMultiplier*IF(ISNUMBER(SEARCH("Actual",$C$7)),Table157[[#This Row],[Days in month]]/365,1/12)</f>
        <v>2.9708333333333331E-3</v>
      </c>
    </row>
    <row r="227" spans="2:20" x14ac:dyDescent="0.2">
      <c r="B227" s="1">
        <f t="shared" si="10"/>
        <v>52262</v>
      </c>
      <c r="C227" s="2">
        <f t="shared" si="12"/>
        <v>211</v>
      </c>
      <c r="D227" s="3">
        <f t="shared" si="11"/>
        <v>0</v>
      </c>
      <c r="E227" s="3">
        <f>ROUND(Table157[[#This Row],[Beginning Balance]]*Table157[[#This Row],[Monthly Interest Rate]],2)</f>
        <v>0</v>
      </c>
      <c r="F227" s="3">
        <f t="shared" si="13"/>
        <v>45</v>
      </c>
      <c r="G227" s="23">
        <f>IFERROR(IF($C$13="No","N/A",IF(Table157[[#This Row],[Period]]=1,$C$6,PMT(InterestRate*AmortizationMultiplier/12,Table157[[#This Row],[Am Thru]],-Table157[[#This Row],[Beginning Balance]]))),0)</f>
        <v>0</v>
      </c>
      <c r="H227" s="3">
        <f>MAX(0,IF(C227=$C$4,D227,ROUND(IF($C$3="Fixed Principal",$C$6-Table157[[#This Row],[Interest]],IF($C$3="Interest Only",Table157[[#This Row],[Beginning Balance]]*ROUND(1-(1-IF($C$11="No",$E$8,1))^(1/12),6),MIN(IF($C$13="Yes",Table157[[#This Row],[Payment Amount (Reamortized)]],$C$6)-Table157[[#This Row],[Interest]],Table157[[#This Row],[Beginning Balance]]))),2)))</f>
        <v>0</v>
      </c>
      <c r="I227" s="3">
        <f>_xlfn.SINGLE(IF($C$3="Line of Credit",0,ROUND(MAX(MIN(IF($C$10="No",$E$7,VLOOKUP(Table157[[#This Row],[Period]],Forecast!$H$2:$L$1048576,4,FALSE))*Table157[[#This Row],[Beginning Balance]],Table157[[#This Row],[Beginning Balance]]-Table157[[#This Row],[Principal]]),0),2)))</f>
        <v>0</v>
      </c>
      <c r="J227" s="3">
        <f>ROUND(MIN(Table157[[#This Row],[Beginning Balance]]*IF($C$8="No",$E$3,VLOOKUP(Table157[[#This Row],[Period]],Forecast!$H$2:$L$1048576,2,FALSE)),Table157[[#This Row],[Beginning Balance]]-Table157[[#This Row],[Principal]]-Table157[[#This Row],[Prepayments]]),2)</f>
        <v>0</v>
      </c>
      <c r="K227" s="3">
        <f>ROUND(Table157[[#This Row],[Defaulted Principal]]*IF($C$9="No",$E$4,VLOOKUP(Table157[[#This Row],[Period]],Forecast!$H$2:$L$1048576,3,FALSE)),2)</f>
        <v>0</v>
      </c>
      <c r="L227" s="2">
        <f>Table157[[#This Row],[Period]]+$E$9</f>
        <v>223</v>
      </c>
      <c r="M227" s="3">
        <f>Table157[[#This Row],[Defaulted Principal]]-Table157[[#This Row],[Estimated Loss]]</f>
        <v>0</v>
      </c>
      <c r="N227" s="3">
        <f>IFERROR(VLOOKUP(Table157[[#This Row],[Period]],$L$16:$M$385,2,FALSE),0)</f>
        <v>0</v>
      </c>
      <c r="O227" s="3">
        <f>Table157[[#This Row],[Beginning Balance]]-Table157[[#This Row],[Principal]]-Table157[[#This Row],[Prepayments]]-Table157[[#This Row],[Defaulted Principal]]</f>
        <v>0</v>
      </c>
      <c r="P227" s="3">
        <f>Table157[[#This Row],[Principal]]+Table157[[#This Row],[Interest]]+Table157[[#This Row],[Prepayments]]+Table157[[#This Row],[RecoveredAmount]]</f>
        <v>0</v>
      </c>
      <c r="Q227" s="3">
        <f ca="1">ROUND(Table157[[#This Row],[Cash Flow]]/((1+ActualRateToUse)^(IF(ISNUMBER(SEARCH("Actual",$C$7)),Table157[[#This Row],[Running Total]]/365,Table157[[#This Row],[Period]]/12))),2)</f>
        <v>0</v>
      </c>
      <c r="R227" s="2">
        <f>IF(MONTH(Table157[[#This Row],[Date]])=2,28,DAY(DATE(YEAR(Table157[[#This Row],[Date]]),MONTH(Table157[[#This Row],[Date]])+1,1)-1))</f>
        <v>31</v>
      </c>
      <c r="S227" s="2">
        <f ca="1">SUM(OFFSET(Table157[[#Headers],[Days in month]],1,0):Table157[[#This Row],[Days in month]])</f>
        <v>6420</v>
      </c>
      <c r="T227" s="37">
        <f>InterestRate*AmortizationMultiplier*IF(ISNUMBER(SEARCH("Actual",$C$7)),Table157[[#This Row],[Days in month]]/365,1/12)</f>
        <v>2.9708333333333331E-3</v>
      </c>
    </row>
    <row r="228" spans="2:20" x14ac:dyDescent="0.2">
      <c r="B228" s="1">
        <f t="shared" si="10"/>
        <v>52290</v>
      </c>
      <c r="C228" s="2">
        <f t="shared" si="12"/>
        <v>212</v>
      </c>
      <c r="D228" s="3">
        <f t="shared" si="11"/>
        <v>0</v>
      </c>
      <c r="E228" s="3">
        <f>ROUND(Table157[[#This Row],[Beginning Balance]]*Table157[[#This Row],[Monthly Interest Rate]],2)</f>
        <v>0</v>
      </c>
      <c r="F228" s="3">
        <f t="shared" si="13"/>
        <v>44</v>
      </c>
      <c r="G228" s="23">
        <f>IFERROR(IF($C$13="No","N/A",IF(Table157[[#This Row],[Period]]=1,$C$6,PMT(InterestRate*AmortizationMultiplier/12,Table157[[#This Row],[Am Thru]],-Table157[[#This Row],[Beginning Balance]]))),0)</f>
        <v>0</v>
      </c>
      <c r="H228" s="3">
        <f>MAX(0,IF(C228=$C$4,D228,ROUND(IF($C$3="Fixed Principal",$C$6-Table157[[#This Row],[Interest]],IF($C$3="Interest Only",Table157[[#This Row],[Beginning Balance]]*ROUND(1-(1-IF($C$11="No",$E$8,1))^(1/12),6),MIN(IF($C$13="Yes",Table157[[#This Row],[Payment Amount (Reamortized)]],$C$6)-Table157[[#This Row],[Interest]],Table157[[#This Row],[Beginning Balance]]))),2)))</f>
        <v>0</v>
      </c>
      <c r="I228" s="3">
        <f>_xlfn.SINGLE(IF($C$3="Line of Credit",0,ROUND(MAX(MIN(IF($C$10="No",$E$7,VLOOKUP(Table157[[#This Row],[Period]],Forecast!$H$2:$L$1048576,4,FALSE))*Table157[[#This Row],[Beginning Balance]],Table157[[#This Row],[Beginning Balance]]-Table157[[#This Row],[Principal]]),0),2)))</f>
        <v>0</v>
      </c>
      <c r="J228" s="3">
        <f>ROUND(MIN(Table157[[#This Row],[Beginning Balance]]*IF($C$8="No",$E$3,VLOOKUP(Table157[[#This Row],[Period]],Forecast!$H$2:$L$1048576,2,FALSE)),Table157[[#This Row],[Beginning Balance]]-Table157[[#This Row],[Principal]]-Table157[[#This Row],[Prepayments]]),2)</f>
        <v>0</v>
      </c>
      <c r="K228" s="3">
        <f>ROUND(Table157[[#This Row],[Defaulted Principal]]*IF($C$9="No",$E$4,VLOOKUP(Table157[[#This Row],[Period]],Forecast!$H$2:$L$1048576,3,FALSE)),2)</f>
        <v>0</v>
      </c>
      <c r="L228" s="2">
        <f>Table157[[#This Row],[Period]]+$E$9</f>
        <v>224</v>
      </c>
      <c r="M228" s="3">
        <f>Table157[[#This Row],[Defaulted Principal]]-Table157[[#This Row],[Estimated Loss]]</f>
        <v>0</v>
      </c>
      <c r="N228" s="3">
        <f>IFERROR(VLOOKUP(Table157[[#This Row],[Period]],$L$16:$M$385,2,FALSE),0)</f>
        <v>0</v>
      </c>
      <c r="O228" s="3">
        <f>Table157[[#This Row],[Beginning Balance]]-Table157[[#This Row],[Principal]]-Table157[[#This Row],[Prepayments]]-Table157[[#This Row],[Defaulted Principal]]</f>
        <v>0</v>
      </c>
      <c r="P228" s="3">
        <f>Table157[[#This Row],[Principal]]+Table157[[#This Row],[Interest]]+Table157[[#This Row],[Prepayments]]+Table157[[#This Row],[RecoveredAmount]]</f>
        <v>0</v>
      </c>
      <c r="Q228" s="3">
        <f ca="1">ROUND(Table157[[#This Row],[Cash Flow]]/((1+ActualRateToUse)^(IF(ISNUMBER(SEARCH("Actual",$C$7)),Table157[[#This Row],[Running Total]]/365,Table157[[#This Row],[Period]]/12))),2)</f>
        <v>0</v>
      </c>
      <c r="R228" s="2">
        <f>IF(MONTH(Table157[[#This Row],[Date]])=2,28,DAY(DATE(YEAR(Table157[[#This Row],[Date]]),MONTH(Table157[[#This Row],[Date]])+1,1)-1))</f>
        <v>28</v>
      </c>
      <c r="S228" s="2">
        <f ca="1">SUM(OFFSET(Table157[[#Headers],[Days in month]],1,0):Table157[[#This Row],[Days in month]])</f>
        <v>6448</v>
      </c>
      <c r="T228" s="37">
        <f>InterestRate*AmortizationMultiplier*IF(ISNUMBER(SEARCH("Actual",$C$7)),Table157[[#This Row],[Days in month]]/365,1/12)</f>
        <v>2.6833333333333336E-3</v>
      </c>
    </row>
    <row r="229" spans="2:20" x14ac:dyDescent="0.2">
      <c r="B229" s="1">
        <f t="shared" si="10"/>
        <v>52321</v>
      </c>
      <c r="C229" s="2">
        <f t="shared" si="12"/>
        <v>213</v>
      </c>
      <c r="D229" s="3">
        <f t="shared" si="11"/>
        <v>0</v>
      </c>
      <c r="E229" s="3">
        <f>ROUND(Table157[[#This Row],[Beginning Balance]]*Table157[[#This Row],[Monthly Interest Rate]],2)</f>
        <v>0</v>
      </c>
      <c r="F229" s="3">
        <f t="shared" si="13"/>
        <v>43</v>
      </c>
      <c r="G229" s="23">
        <f>IFERROR(IF($C$13="No","N/A",IF(Table157[[#This Row],[Period]]=1,$C$6,PMT(InterestRate*AmortizationMultiplier/12,Table157[[#This Row],[Am Thru]],-Table157[[#This Row],[Beginning Balance]]))),0)</f>
        <v>0</v>
      </c>
      <c r="H229" s="3">
        <f>MAX(0,IF(C229=$C$4,D229,ROUND(IF($C$3="Fixed Principal",$C$6-Table157[[#This Row],[Interest]],IF($C$3="Interest Only",Table157[[#This Row],[Beginning Balance]]*ROUND(1-(1-IF($C$11="No",$E$8,1))^(1/12),6),MIN(IF($C$13="Yes",Table157[[#This Row],[Payment Amount (Reamortized)]],$C$6)-Table157[[#This Row],[Interest]],Table157[[#This Row],[Beginning Balance]]))),2)))</f>
        <v>0</v>
      </c>
      <c r="I229" s="3">
        <f>_xlfn.SINGLE(IF($C$3="Line of Credit",0,ROUND(MAX(MIN(IF($C$10="No",$E$7,VLOOKUP(Table157[[#This Row],[Period]],Forecast!$H$2:$L$1048576,4,FALSE))*Table157[[#This Row],[Beginning Balance]],Table157[[#This Row],[Beginning Balance]]-Table157[[#This Row],[Principal]]),0),2)))</f>
        <v>0</v>
      </c>
      <c r="J229" s="3">
        <f>ROUND(MIN(Table157[[#This Row],[Beginning Balance]]*IF($C$8="No",$E$3,VLOOKUP(Table157[[#This Row],[Period]],Forecast!$H$2:$L$1048576,2,FALSE)),Table157[[#This Row],[Beginning Balance]]-Table157[[#This Row],[Principal]]-Table157[[#This Row],[Prepayments]]),2)</f>
        <v>0</v>
      </c>
      <c r="K229" s="3">
        <f>ROUND(Table157[[#This Row],[Defaulted Principal]]*IF($C$9="No",$E$4,VLOOKUP(Table157[[#This Row],[Period]],Forecast!$H$2:$L$1048576,3,FALSE)),2)</f>
        <v>0</v>
      </c>
      <c r="L229" s="2">
        <f>Table157[[#This Row],[Period]]+$E$9</f>
        <v>225</v>
      </c>
      <c r="M229" s="3">
        <f>Table157[[#This Row],[Defaulted Principal]]-Table157[[#This Row],[Estimated Loss]]</f>
        <v>0</v>
      </c>
      <c r="N229" s="3">
        <f>IFERROR(VLOOKUP(Table157[[#This Row],[Period]],$L$16:$M$385,2,FALSE),0)</f>
        <v>0</v>
      </c>
      <c r="O229" s="3">
        <f>Table157[[#This Row],[Beginning Balance]]-Table157[[#This Row],[Principal]]-Table157[[#This Row],[Prepayments]]-Table157[[#This Row],[Defaulted Principal]]</f>
        <v>0</v>
      </c>
      <c r="P229" s="3">
        <f>Table157[[#This Row],[Principal]]+Table157[[#This Row],[Interest]]+Table157[[#This Row],[Prepayments]]+Table157[[#This Row],[RecoveredAmount]]</f>
        <v>0</v>
      </c>
      <c r="Q229" s="3">
        <f ca="1">ROUND(Table157[[#This Row],[Cash Flow]]/((1+ActualRateToUse)^(IF(ISNUMBER(SEARCH("Actual",$C$7)),Table157[[#This Row],[Running Total]]/365,Table157[[#This Row],[Period]]/12))),2)</f>
        <v>0</v>
      </c>
      <c r="R229" s="2">
        <f>IF(MONTH(Table157[[#This Row],[Date]])=2,28,DAY(DATE(YEAR(Table157[[#This Row],[Date]]),MONTH(Table157[[#This Row],[Date]])+1,1)-1))</f>
        <v>31</v>
      </c>
      <c r="S229" s="2">
        <f ca="1">SUM(OFFSET(Table157[[#Headers],[Days in month]],1,0):Table157[[#This Row],[Days in month]])</f>
        <v>6479</v>
      </c>
      <c r="T229" s="37">
        <f>InterestRate*AmortizationMultiplier*IF(ISNUMBER(SEARCH("Actual",$C$7)),Table157[[#This Row],[Days in month]]/365,1/12)</f>
        <v>2.9708333333333331E-3</v>
      </c>
    </row>
    <row r="230" spans="2:20" x14ac:dyDescent="0.2">
      <c r="B230" s="1">
        <f t="shared" si="10"/>
        <v>52351</v>
      </c>
      <c r="C230" s="2">
        <f t="shared" si="12"/>
        <v>214</v>
      </c>
      <c r="D230" s="3">
        <f t="shared" si="11"/>
        <v>0</v>
      </c>
      <c r="E230" s="3">
        <f>ROUND(Table157[[#This Row],[Beginning Balance]]*Table157[[#This Row],[Monthly Interest Rate]],2)</f>
        <v>0</v>
      </c>
      <c r="F230" s="3">
        <f t="shared" si="13"/>
        <v>42</v>
      </c>
      <c r="G230" s="23">
        <f>IFERROR(IF($C$13="No","N/A",IF(Table157[[#This Row],[Period]]=1,$C$6,PMT(InterestRate*AmortizationMultiplier/12,Table157[[#This Row],[Am Thru]],-Table157[[#This Row],[Beginning Balance]]))),0)</f>
        <v>0</v>
      </c>
      <c r="H230" s="3">
        <f>MAX(0,IF(C230=$C$4,D230,ROUND(IF($C$3="Fixed Principal",$C$6-Table157[[#This Row],[Interest]],IF($C$3="Interest Only",Table157[[#This Row],[Beginning Balance]]*ROUND(1-(1-IF($C$11="No",$E$8,1))^(1/12),6),MIN(IF($C$13="Yes",Table157[[#This Row],[Payment Amount (Reamortized)]],$C$6)-Table157[[#This Row],[Interest]],Table157[[#This Row],[Beginning Balance]]))),2)))</f>
        <v>0</v>
      </c>
      <c r="I230" s="3">
        <f>_xlfn.SINGLE(IF($C$3="Line of Credit",0,ROUND(MAX(MIN(IF($C$10="No",$E$7,VLOOKUP(Table157[[#This Row],[Period]],Forecast!$H$2:$L$1048576,4,FALSE))*Table157[[#This Row],[Beginning Balance]],Table157[[#This Row],[Beginning Balance]]-Table157[[#This Row],[Principal]]),0),2)))</f>
        <v>0</v>
      </c>
      <c r="J230" s="3">
        <f>ROUND(MIN(Table157[[#This Row],[Beginning Balance]]*IF($C$8="No",$E$3,VLOOKUP(Table157[[#This Row],[Period]],Forecast!$H$2:$L$1048576,2,FALSE)),Table157[[#This Row],[Beginning Balance]]-Table157[[#This Row],[Principal]]-Table157[[#This Row],[Prepayments]]),2)</f>
        <v>0</v>
      </c>
      <c r="K230" s="3">
        <f>ROUND(Table157[[#This Row],[Defaulted Principal]]*IF($C$9="No",$E$4,VLOOKUP(Table157[[#This Row],[Period]],Forecast!$H$2:$L$1048576,3,FALSE)),2)</f>
        <v>0</v>
      </c>
      <c r="L230" s="2">
        <f>Table157[[#This Row],[Period]]+$E$9</f>
        <v>226</v>
      </c>
      <c r="M230" s="3">
        <f>Table157[[#This Row],[Defaulted Principal]]-Table157[[#This Row],[Estimated Loss]]</f>
        <v>0</v>
      </c>
      <c r="N230" s="3">
        <f>IFERROR(VLOOKUP(Table157[[#This Row],[Period]],$L$16:$M$385,2,FALSE),0)</f>
        <v>0</v>
      </c>
      <c r="O230" s="3">
        <f>Table157[[#This Row],[Beginning Balance]]-Table157[[#This Row],[Principal]]-Table157[[#This Row],[Prepayments]]-Table157[[#This Row],[Defaulted Principal]]</f>
        <v>0</v>
      </c>
      <c r="P230" s="3">
        <f>Table157[[#This Row],[Principal]]+Table157[[#This Row],[Interest]]+Table157[[#This Row],[Prepayments]]+Table157[[#This Row],[RecoveredAmount]]</f>
        <v>0</v>
      </c>
      <c r="Q230" s="3">
        <f ca="1">ROUND(Table157[[#This Row],[Cash Flow]]/((1+ActualRateToUse)^(IF(ISNUMBER(SEARCH("Actual",$C$7)),Table157[[#This Row],[Running Total]]/365,Table157[[#This Row],[Period]]/12))),2)</f>
        <v>0</v>
      </c>
      <c r="R230" s="2">
        <f>IF(MONTH(Table157[[#This Row],[Date]])=2,28,DAY(DATE(YEAR(Table157[[#This Row],[Date]]),MONTH(Table157[[#This Row],[Date]])+1,1)-1))</f>
        <v>30</v>
      </c>
      <c r="S230" s="2">
        <f ca="1">SUM(OFFSET(Table157[[#Headers],[Days in month]],1,0):Table157[[#This Row],[Days in month]])</f>
        <v>6509</v>
      </c>
      <c r="T230" s="37">
        <f>InterestRate*AmortizationMultiplier*IF(ISNUMBER(SEARCH("Actual",$C$7)),Table157[[#This Row],[Days in month]]/365,1/12)</f>
        <v>2.8749999999999995E-3</v>
      </c>
    </row>
    <row r="231" spans="2:20" x14ac:dyDescent="0.2">
      <c r="B231" s="1">
        <f t="shared" si="10"/>
        <v>52382</v>
      </c>
      <c r="C231" s="2">
        <f t="shared" si="12"/>
        <v>215</v>
      </c>
      <c r="D231" s="3">
        <f t="shared" si="11"/>
        <v>0</v>
      </c>
      <c r="E231" s="3">
        <f>ROUND(Table157[[#This Row],[Beginning Balance]]*Table157[[#This Row],[Monthly Interest Rate]],2)</f>
        <v>0</v>
      </c>
      <c r="F231" s="3">
        <f t="shared" si="13"/>
        <v>41</v>
      </c>
      <c r="G231" s="23">
        <f>IFERROR(IF($C$13="No","N/A",IF(Table157[[#This Row],[Period]]=1,$C$6,PMT(InterestRate*AmortizationMultiplier/12,Table157[[#This Row],[Am Thru]],-Table157[[#This Row],[Beginning Balance]]))),0)</f>
        <v>0</v>
      </c>
      <c r="H231" s="3">
        <f>MAX(0,IF(C231=$C$4,D231,ROUND(IF($C$3="Fixed Principal",$C$6-Table157[[#This Row],[Interest]],IF($C$3="Interest Only",Table157[[#This Row],[Beginning Balance]]*ROUND(1-(1-IF($C$11="No",$E$8,1))^(1/12),6),MIN(IF($C$13="Yes",Table157[[#This Row],[Payment Amount (Reamortized)]],$C$6)-Table157[[#This Row],[Interest]],Table157[[#This Row],[Beginning Balance]]))),2)))</f>
        <v>0</v>
      </c>
      <c r="I231" s="3">
        <f>_xlfn.SINGLE(IF($C$3="Line of Credit",0,ROUND(MAX(MIN(IF($C$10="No",$E$7,VLOOKUP(Table157[[#This Row],[Period]],Forecast!$H$2:$L$1048576,4,FALSE))*Table157[[#This Row],[Beginning Balance]],Table157[[#This Row],[Beginning Balance]]-Table157[[#This Row],[Principal]]),0),2)))</f>
        <v>0</v>
      </c>
      <c r="J231" s="3">
        <f>ROUND(MIN(Table157[[#This Row],[Beginning Balance]]*IF($C$8="No",$E$3,VLOOKUP(Table157[[#This Row],[Period]],Forecast!$H$2:$L$1048576,2,FALSE)),Table157[[#This Row],[Beginning Balance]]-Table157[[#This Row],[Principal]]-Table157[[#This Row],[Prepayments]]),2)</f>
        <v>0</v>
      </c>
      <c r="K231" s="3">
        <f>ROUND(Table157[[#This Row],[Defaulted Principal]]*IF($C$9="No",$E$4,VLOOKUP(Table157[[#This Row],[Period]],Forecast!$H$2:$L$1048576,3,FALSE)),2)</f>
        <v>0</v>
      </c>
      <c r="L231" s="2">
        <f>Table157[[#This Row],[Period]]+$E$9</f>
        <v>227</v>
      </c>
      <c r="M231" s="3">
        <f>Table157[[#This Row],[Defaulted Principal]]-Table157[[#This Row],[Estimated Loss]]</f>
        <v>0</v>
      </c>
      <c r="N231" s="3">
        <f>IFERROR(VLOOKUP(Table157[[#This Row],[Period]],$L$16:$M$385,2,FALSE),0)</f>
        <v>0</v>
      </c>
      <c r="O231" s="3">
        <f>Table157[[#This Row],[Beginning Balance]]-Table157[[#This Row],[Principal]]-Table157[[#This Row],[Prepayments]]-Table157[[#This Row],[Defaulted Principal]]</f>
        <v>0</v>
      </c>
      <c r="P231" s="3">
        <f>Table157[[#This Row],[Principal]]+Table157[[#This Row],[Interest]]+Table157[[#This Row],[Prepayments]]+Table157[[#This Row],[RecoveredAmount]]</f>
        <v>0</v>
      </c>
      <c r="Q231" s="3">
        <f ca="1">ROUND(Table157[[#This Row],[Cash Flow]]/((1+ActualRateToUse)^(IF(ISNUMBER(SEARCH("Actual",$C$7)),Table157[[#This Row],[Running Total]]/365,Table157[[#This Row],[Period]]/12))),2)</f>
        <v>0</v>
      </c>
      <c r="R231" s="2">
        <f>IF(MONTH(Table157[[#This Row],[Date]])=2,28,DAY(DATE(YEAR(Table157[[#This Row],[Date]]),MONTH(Table157[[#This Row],[Date]])+1,1)-1))</f>
        <v>31</v>
      </c>
      <c r="S231" s="2">
        <f ca="1">SUM(OFFSET(Table157[[#Headers],[Days in month]],1,0):Table157[[#This Row],[Days in month]])</f>
        <v>6540</v>
      </c>
      <c r="T231" s="37">
        <f>InterestRate*AmortizationMultiplier*IF(ISNUMBER(SEARCH("Actual",$C$7)),Table157[[#This Row],[Days in month]]/365,1/12)</f>
        <v>2.9708333333333331E-3</v>
      </c>
    </row>
    <row r="232" spans="2:20" x14ac:dyDescent="0.2">
      <c r="B232" s="1">
        <f t="shared" si="10"/>
        <v>52412</v>
      </c>
      <c r="C232" s="2">
        <f t="shared" si="12"/>
        <v>216</v>
      </c>
      <c r="D232" s="3">
        <f t="shared" si="11"/>
        <v>0</v>
      </c>
      <c r="E232" s="3">
        <f>ROUND(Table157[[#This Row],[Beginning Balance]]*Table157[[#This Row],[Monthly Interest Rate]],2)</f>
        <v>0</v>
      </c>
      <c r="F232" s="3">
        <f t="shared" si="13"/>
        <v>40</v>
      </c>
      <c r="G232" s="23">
        <f>IFERROR(IF($C$13="No","N/A",IF(Table157[[#This Row],[Period]]=1,$C$6,PMT(InterestRate*AmortizationMultiplier/12,Table157[[#This Row],[Am Thru]],-Table157[[#This Row],[Beginning Balance]]))),0)</f>
        <v>0</v>
      </c>
      <c r="H232" s="3">
        <f>MAX(0,IF(C232=$C$4,D232,ROUND(IF($C$3="Fixed Principal",$C$6-Table157[[#This Row],[Interest]],IF($C$3="Interest Only",Table157[[#This Row],[Beginning Balance]]*ROUND(1-(1-IF($C$11="No",$E$8,1))^(1/12),6),MIN(IF($C$13="Yes",Table157[[#This Row],[Payment Amount (Reamortized)]],$C$6)-Table157[[#This Row],[Interest]],Table157[[#This Row],[Beginning Balance]]))),2)))</f>
        <v>0</v>
      </c>
      <c r="I232" s="3">
        <f>_xlfn.SINGLE(IF($C$3="Line of Credit",0,ROUND(MAX(MIN(IF($C$10="No",$E$7,VLOOKUP(Table157[[#This Row],[Period]],Forecast!$H$2:$L$1048576,4,FALSE))*Table157[[#This Row],[Beginning Balance]],Table157[[#This Row],[Beginning Balance]]-Table157[[#This Row],[Principal]]),0),2)))</f>
        <v>0</v>
      </c>
      <c r="J232" s="3">
        <f>ROUND(MIN(Table157[[#This Row],[Beginning Balance]]*IF($C$8="No",$E$3,VLOOKUP(Table157[[#This Row],[Period]],Forecast!$H$2:$L$1048576,2,FALSE)),Table157[[#This Row],[Beginning Balance]]-Table157[[#This Row],[Principal]]-Table157[[#This Row],[Prepayments]]),2)</f>
        <v>0</v>
      </c>
      <c r="K232" s="3">
        <f>ROUND(Table157[[#This Row],[Defaulted Principal]]*IF($C$9="No",$E$4,VLOOKUP(Table157[[#This Row],[Period]],Forecast!$H$2:$L$1048576,3,FALSE)),2)</f>
        <v>0</v>
      </c>
      <c r="L232" s="2">
        <f>Table157[[#This Row],[Period]]+$E$9</f>
        <v>228</v>
      </c>
      <c r="M232" s="3">
        <f>Table157[[#This Row],[Defaulted Principal]]-Table157[[#This Row],[Estimated Loss]]</f>
        <v>0</v>
      </c>
      <c r="N232" s="3">
        <f>IFERROR(VLOOKUP(Table157[[#This Row],[Period]],$L$16:$M$385,2,FALSE),0)</f>
        <v>0</v>
      </c>
      <c r="O232" s="3">
        <f>Table157[[#This Row],[Beginning Balance]]-Table157[[#This Row],[Principal]]-Table157[[#This Row],[Prepayments]]-Table157[[#This Row],[Defaulted Principal]]</f>
        <v>0</v>
      </c>
      <c r="P232" s="3">
        <f>Table157[[#This Row],[Principal]]+Table157[[#This Row],[Interest]]+Table157[[#This Row],[Prepayments]]+Table157[[#This Row],[RecoveredAmount]]</f>
        <v>0</v>
      </c>
      <c r="Q232" s="3">
        <f ca="1">ROUND(Table157[[#This Row],[Cash Flow]]/((1+ActualRateToUse)^(IF(ISNUMBER(SEARCH("Actual",$C$7)),Table157[[#This Row],[Running Total]]/365,Table157[[#This Row],[Period]]/12))),2)</f>
        <v>0</v>
      </c>
      <c r="R232" s="2">
        <f>IF(MONTH(Table157[[#This Row],[Date]])=2,28,DAY(DATE(YEAR(Table157[[#This Row],[Date]]),MONTH(Table157[[#This Row],[Date]])+1,1)-1))</f>
        <v>30</v>
      </c>
      <c r="S232" s="2">
        <f ca="1">SUM(OFFSET(Table157[[#Headers],[Days in month]],1,0):Table157[[#This Row],[Days in month]])</f>
        <v>6570</v>
      </c>
      <c r="T232" s="37">
        <f>InterestRate*AmortizationMultiplier*IF(ISNUMBER(SEARCH("Actual",$C$7)),Table157[[#This Row],[Days in month]]/365,1/12)</f>
        <v>2.8749999999999995E-3</v>
      </c>
    </row>
    <row r="233" spans="2:20" x14ac:dyDescent="0.2">
      <c r="B233" s="1">
        <f t="shared" si="10"/>
        <v>52443</v>
      </c>
      <c r="C233" s="2">
        <f t="shared" si="12"/>
        <v>217</v>
      </c>
      <c r="D233" s="3">
        <f t="shared" si="11"/>
        <v>0</v>
      </c>
      <c r="E233" s="3">
        <f>ROUND(Table157[[#This Row],[Beginning Balance]]*Table157[[#This Row],[Monthly Interest Rate]],2)</f>
        <v>0</v>
      </c>
      <c r="F233" s="3">
        <f t="shared" si="13"/>
        <v>39</v>
      </c>
      <c r="G233" s="23">
        <f>IFERROR(IF($C$13="No","N/A",IF(Table157[[#This Row],[Period]]=1,$C$6,PMT(InterestRate*AmortizationMultiplier/12,Table157[[#This Row],[Am Thru]],-Table157[[#This Row],[Beginning Balance]]))),0)</f>
        <v>0</v>
      </c>
      <c r="H233" s="3">
        <f>MAX(0,IF(C233=$C$4,D233,ROUND(IF($C$3="Fixed Principal",$C$6-Table157[[#This Row],[Interest]],IF($C$3="Interest Only",Table157[[#This Row],[Beginning Balance]]*ROUND(1-(1-IF($C$11="No",$E$8,1))^(1/12),6),MIN(IF($C$13="Yes",Table157[[#This Row],[Payment Amount (Reamortized)]],$C$6)-Table157[[#This Row],[Interest]],Table157[[#This Row],[Beginning Balance]]))),2)))</f>
        <v>0</v>
      </c>
      <c r="I233" s="3">
        <f>_xlfn.SINGLE(IF($C$3="Line of Credit",0,ROUND(MAX(MIN(IF($C$10="No",$E$7,VLOOKUP(Table157[[#This Row],[Period]],Forecast!$H$2:$L$1048576,4,FALSE))*Table157[[#This Row],[Beginning Balance]],Table157[[#This Row],[Beginning Balance]]-Table157[[#This Row],[Principal]]),0),2)))</f>
        <v>0</v>
      </c>
      <c r="J233" s="3">
        <f>ROUND(MIN(Table157[[#This Row],[Beginning Balance]]*IF($C$8="No",$E$3,VLOOKUP(Table157[[#This Row],[Period]],Forecast!$H$2:$L$1048576,2,FALSE)),Table157[[#This Row],[Beginning Balance]]-Table157[[#This Row],[Principal]]-Table157[[#This Row],[Prepayments]]),2)</f>
        <v>0</v>
      </c>
      <c r="K233" s="3">
        <f>ROUND(Table157[[#This Row],[Defaulted Principal]]*IF($C$9="No",$E$4,VLOOKUP(Table157[[#This Row],[Period]],Forecast!$H$2:$L$1048576,3,FALSE)),2)</f>
        <v>0</v>
      </c>
      <c r="L233" s="2">
        <f>Table157[[#This Row],[Period]]+$E$9</f>
        <v>229</v>
      </c>
      <c r="M233" s="3">
        <f>Table157[[#This Row],[Defaulted Principal]]-Table157[[#This Row],[Estimated Loss]]</f>
        <v>0</v>
      </c>
      <c r="N233" s="3">
        <f>IFERROR(VLOOKUP(Table157[[#This Row],[Period]],$L$16:$M$385,2,FALSE),0)</f>
        <v>0</v>
      </c>
      <c r="O233" s="3">
        <f>Table157[[#This Row],[Beginning Balance]]-Table157[[#This Row],[Principal]]-Table157[[#This Row],[Prepayments]]-Table157[[#This Row],[Defaulted Principal]]</f>
        <v>0</v>
      </c>
      <c r="P233" s="3">
        <f>Table157[[#This Row],[Principal]]+Table157[[#This Row],[Interest]]+Table157[[#This Row],[Prepayments]]+Table157[[#This Row],[RecoveredAmount]]</f>
        <v>0</v>
      </c>
      <c r="Q233" s="3">
        <f ca="1">ROUND(Table157[[#This Row],[Cash Flow]]/((1+ActualRateToUse)^(IF(ISNUMBER(SEARCH("Actual",$C$7)),Table157[[#This Row],[Running Total]]/365,Table157[[#This Row],[Period]]/12))),2)</f>
        <v>0</v>
      </c>
      <c r="R233" s="2">
        <f>IF(MONTH(Table157[[#This Row],[Date]])=2,28,DAY(DATE(YEAR(Table157[[#This Row],[Date]]),MONTH(Table157[[#This Row],[Date]])+1,1)-1))</f>
        <v>31</v>
      </c>
      <c r="S233" s="2">
        <f ca="1">SUM(OFFSET(Table157[[#Headers],[Days in month]],1,0):Table157[[#This Row],[Days in month]])</f>
        <v>6601</v>
      </c>
      <c r="T233" s="37">
        <f>InterestRate*AmortizationMultiplier*IF(ISNUMBER(SEARCH("Actual",$C$7)),Table157[[#This Row],[Days in month]]/365,1/12)</f>
        <v>2.9708333333333331E-3</v>
      </c>
    </row>
    <row r="234" spans="2:20" x14ac:dyDescent="0.2">
      <c r="B234" s="1">
        <f t="shared" si="10"/>
        <v>52474</v>
      </c>
      <c r="C234" s="2">
        <f t="shared" si="12"/>
        <v>218</v>
      </c>
      <c r="D234" s="3">
        <f t="shared" si="11"/>
        <v>0</v>
      </c>
      <c r="E234" s="3">
        <f>ROUND(Table157[[#This Row],[Beginning Balance]]*Table157[[#This Row],[Monthly Interest Rate]],2)</f>
        <v>0</v>
      </c>
      <c r="F234" s="3">
        <f t="shared" si="13"/>
        <v>38</v>
      </c>
      <c r="G234" s="23">
        <f>IFERROR(IF($C$13="No","N/A",IF(Table157[[#This Row],[Period]]=1,$C$6,PMT(InterestRate*AmortizationMultiplier/12,Table157[[#This Row],[Am Thru]],-Table157[[#This Row],[Beginning Balance]]))),0)</f>
        <v>0</v>
      </c>
      <c r="H234" s="3">
        <f>MAX(0,IF(C234=$C$4,D234,ROUND(IF($C$3="Fixed Principal",$C$6-Table157[[#This Row],[Interest]],IF($C$3="Interest Only",Table157[[#This Row],[Beginning Balance]]*ROUND(1-(1-IF($C$11="No",$E$8,1))^(1/12),6),MIN(IF($C$13="Yes",Table157[[#This Row],[Payment Amount (Reamortized)]],$C$6)-Table157[[#This Row],[Interest]],Table157[[#This Row],[Beginning Balance]]))),2)))</f>
        <v>0</v>
      </c>
      <c r="I234" s="3">
        <f>_xlfn.SINGLE(IF($C$3="Line of Credit",0,ROUND(MAX(MIN(IF($C$10="No",$E$7,VLOOKUP(Table157[[#This Row],[Period]],Forecast!$H$2:$L$1048576,4,FALSE))*Table157[[#This Row],[Beginning Balance]],Table157[[#This Row],[Beginning Balance]]-Table157[[#This Row],[Principal]]),0),2)))</f>
        <v>0</v>
      </c>
      <c r="J234" s="3">
        <f>ROUND(MIN(Table157[[#This Row],[Beginning Balance]]*IF($C$8="No",$E$3,VLOOKUP(Table157[[#This Row],[Period]],Forecast!$H$2:$L$1048576,2,FALSE)),Table157[[#This Row],[Beginning Balance]]-Table157[[#This Row],[Principal]]-Table157[[#This Row],[Prepayments]]),2)</f>
        <v>0</v>
      </c>
      <c r="K234" s="3">
        <f>ROUND(Table157[[#This Row],[Defaulted Principal]]*IF($C$9="No",$E$4,VLOOKUP(Table157[[#This Row],[Period]],Forecast!$H$2:$L$1048576,3,FALSE)),2)</f>
        <v>0</v>
      </c>
      <c r="L234" s="2">
        <f>Table157[[#This Row],[Period]]+$E$9</f>
        <v>230</v>
      </c>
      <c r="M234" s="3">
        <f>Table157[[#This Row],[Defaulted Principal]]-Table157[[#This Row],[Estimated Loss]]</f>
        <v>0</v>
      </c>
      <c r="N234" s="3">
        <f>IFERROR(VLOOKUP(Table157[[#This Row],[Period]],$L$16:$M$385,2,FALSE),0)</f>
        <v>0</v>
      </c>
      <c r="O234" s="3">
        <f>Table157[[#This Row],[Beginning Balance]]-Table157[[#This Row],[Principal]]-Table157[[#This Row],[Prepayments]]-Table157[[#This Row],[Defaulted Principal]]</f>
        <v>0</v>
      </c>
      <c r="P234" s="3">
        <f>Table157[[#This Row],[Principal]]+Table157[[#This Row],[Interest]]+Table157[[#This Row],[Prepayments]]+Table157[[#This Row],[RecoveredAmount]]</f>
        <v>0</v>
      </c>
      <c r="Q234" s="3">
        <f ca="1">ROUND(Table157[[#This Row],[Cash Flow]]/((1+ActualRateToUse)^(IF(ISNUMBER(SEARCH("Actual",$C$7)),Table157[[#This Row],[Running Total]]/365,Table157[[#This Row],[Period]]/12))),2)</f>
        <v>0</v>
      </c>
      <c r="R234" s="2">
        <f>IF(MONTH(Table157[[#This Row],[Date]])=2,28,DAY(DATE(YEAR(Table157[[#This Row],[Date]]),MONTH(Table157[[#This Row],[Date]])+1,1)-1))</f>
        <v>31</v>
      </c>
      <c r="S234" s="2">
        <f ca="1">SUM(OFFSET(Table157[[#Headers],[Days in month]],1,0):Table157[[#This Row],[Days in month]])</f>
        <v>6632</v>
      </c>
      <c r="T234" s="37">
        <f>InterestRate*AmortizationMultiplier*IF(ISNUMBER(SEARCH("Actual",$C$7)),Table157[[#This Row],[Days in month]]/365,1/12)</f>
        <v>2.9708333333333331E-3</v>
      </c>
    </row>
    <row r="235" spans="2:20" x14ac:dyDescent="0.2">
      <c r="B235" s="1">
        <f t="shared" si="10"/>
        <v>52504</v>
      </c>
      <c r="C235" s="2">
        <f t="shared" si="12"/>
        <v>219</v>
      </c>
      <c r="D235" s="3">
        <f t="shared" si="11"/>
        <v>0</v>
      </c>
      <c r="E235" s="3">
        <f>ROUND(Table157[[#This Row],[Beginning Balance]]*Table157[[#This Row],[Monthly Interest Rate]],2)</f>
        <v>0</v>
      </c>
      <c r="F235" s="3">
        <f t="shared" si="13"/>
        <v>37</v>
      </c>
      <c r="G235" s="23">
        <f>IFERROR(IF($C$13="No","N/A",IF(Table157[[#This Row],[Period]]=1,$C$6,PMT(InterestRate*AmortizationMultiplier/12,Table157[[#This Row],[Am Thru]],-Table157[[#This Row],[Beginning Balance]]))),0)</f>
        <v>0</v>
      </c>
      <c r="H235" s="3">
        <f>MAX(0,IF(C235=$C$4,D235,ROUND(IF($C$3="Fixed Principal",$C$6-Table157[[#This Row],[Interest]],IF($C$3="Interest Only",Table157[[#This Row],[Beginning Balance]]*ROUND(1-(1-IF($C$11="No",$E$8,1))^(1/12),6),MIN(IF($C$13="Yes",Table157[[#This Row],[Payment Amount (Reamortized)]],$C$6)-Table157[[#This Row],[Interest]],Table157[[#This Row],[Beginning Balance]]))),2)))</f>
        <v>0</v>
      </c>
      <c r="I235" s="3">
        <f>_xlfn.SINGLE(IF($C$3="Line of Credit",0,ROUND(MAX(MIN(IF($C$10="No",$E$7,VLOOKUP(Table157[[#This Row],[Period]],Forecast!$H$2:$L$1048576,4,FALSE))*Table157[[#This Row],[Beginning Balance]],Table157[[#This Row],[Beginning Balance]]-Table157[[#This Row],[Principal]]),0),2)))</f>
        <v>0</v>
      </c>
      <c r="J235" s="3">
        <f>ROUND(MIN(Table157[[#This Row],[Beginning Balance]]*IF($C$8="No",$E$3,VLOOKUP(Table157[[#This Row],[Period]],Forecast!$H$2:$L$1048576,2,FALSE)),Table157[[#This Row],[Beginning Balance]]-Table157[[#This Row],[Principal]]-Table157[[#This Row],[Prepayments]]),2)</f>
        <v>0</v>
      </c>
      <c r="K235" s="3">
        <f>ROUND(Table157[[#This Row],[Defaulted Principal]]*IF($C$9="No",$E$4,VLOOKUP(Table157[[#This Row],[Period]],Forecast!$H$2:$L$1048576,3,FALSE)),2)</f>
        <v>0</v>
      </c>
      <c r="L235" s="2">
        <f>Table157[[#This Row],[Period]]+$E$9</f>
        <v>231</v>
      </c>
      <c r="M235" s="3">
        <f>Table157[[#This Row],[Defaulted Principal]]-Table157[[#This Row],[Estimated Loss]]</f>
        <v>0</v>
      </c>
      <c r="N235" s="3">
        <f>IFERROR(VLOOKUP(Table157[[#This Row],[Period]],$L$16:$M$385,2,FALSE),0)</f>
        <v>0</v>
      </c>
      <c r="O235" s="3">
        <f>Table157[[#This Row],[Beginning Balance]]-Table157[[#This Row],[Principal]]-Table157[[#This Row],[Prepayments]]-Table157[[#This Row],[Defaulted Principal]]</f>
        <v>0</v>
      </c>
      <c r="P235" s="3">
        <f>Table157[[#This Row],[Principal]]+Table157[[#This Row],[Interest]]+Table157[[#This Row],[Prepayments]]+Table157[[#This Row],[RecoveredAmount]]</f>
        <v>0</v>
      </c>
      <c r="Q235" s="3">
        <f ca="1">ROUND(Table157[[#This Row],[Cash Flow]]/((1+ActualRateToUse)^(IF(ISNUMBER(SEARCH("Actual",$C$7)),Table157[[#This Row],[Running Total]]/365,Table157[[#This Row],[Period]]/12))),2)</f>
        <v>0</v>
      </c>
      <c r="R235" s="2">
        <f>IF(MONTH(Table157[[#This Row],[Date]])=2,28,DAY(DATE(YEAR(Table157[[#This Row],[Date]]),MONTH(Table157[[#This Row],[Date]])+1,1)-1))</f>
        <v>30</v>
      </c>
      <c r="S235" s="2">
        <f ca="1">SUM(OFFSET(Table157[[#Headers],[Days in month]],1,0):Table157[[#This Row],[Days in month]])</f>
        <v>6662</v>
      </c>
      <c r="T235" s="37">
        <f>InterestRate*AmortizationMultiplier*IF(ISNUMBER(SEARCH("Actual",$C$7)),Table157[[#This Row],[Days in month]]/365,1/12)</f>
        <v>2.8749999999999995E-3</v>
      </c>
    </row>
    <row r="236" spans="2:20" x14ac:dyDescent="0.2">
      <c r="B236" s="1">
        <f t="shared" si="10"/>
        <v>52535</v>
      </c>
      <c r="C236" s="2">
        <f t="shared" si="12"/>
        <v>220</v>
      </c>
      <c r="D236" s="3">
        <f t="shared" si="11"/>
        <v>0</v>
      </c>
      <c r="E236" s="3">
        <f>ROUND(Table157[[#This Row],[Beginning Balance]]*Table157[[#This Row],[Monthly Interest Rate]],2)</f>
        <v>0</v>
      </c>
      <c r="F236" s="3">
        <f t="shared" si="13"/>
        <v>36</v>
      </c>
      <c r="G236" s="23">
        <f>IFERROR(IF($C$13="No","N/A",IF(Table157[[#This Row],[Period]]=1,$C$6,PMT(InterestRate*AmortizationMultiplier/12,Table157[[#This Row],[Am Thru]],-Table157[[#This Row],[Beginning Balance]]))),0)</f>
        <v>0</v>
      </c>
      <c r="H236" s="3">
        <f>MAX(0,IF(C236=$C$4,D236,ROUND(IF($C$3="Fixed Principal",$C$6-Table157[[#This Row],[Interest]],IF($C$3="Interest Only",Table157[[#This Row],[Beginning Balance]]*ROUND(1-(1-IF($C$11="No",$E$8,1))^(1/12),6),MIN(IF($C$13="Yes",Table157[[#This Row],[Payment Amount (Reamortized)]],$C$6)-Table157[[#This Row],[Interest]],Table157[[#This Row],[Beginning Balance]]))),2)))</f>
        <v>0</v>
      </c>
      <c r="I236" s="3">
        <f>_xlfn.SINGLE(IF($C$3="Line of Credit",0,ROUND(MAX(MIN(IF($C$10="No",$E$7,VLOOKUP(Table157[[#This Row],[Period]],Forecast!$H$2:$L$1048576,4,FALSE))*Table157[[#This Row],[Beginning Balance]],Table157[[#This Row],[Beginning Balance]]-Table157[[#This Row],[Principal]]),0),2)))</f>
        <v>0</v>
      </c>
      <c r="J236" s="3">
        <f>ROUND(MIN(Table157[[#This Row],[Beginning Balance]]*IF($C$8="No",$E$3,VLOOKUP(Table157[[#This Row],[Period]],Forecast!$H$2:$L$1048576,2,FALSE)),Table157[[#This Row],[Beginning Balance]]-Table157[[#This Row],[Principal]]-Table157[[#This Row],[Prepayments]]),2)</f>
        <v>0</v>
      </c>
      <c r="K236" s="3">
        <f>ROUND(Table157[[#This Row],[Defaulted Principal]]*IF($C$9="No",$E$4,VLOOKUP(Table157[[#This Row],[Period]],Forecast!$H$2:$L$1048576,3,FALSE)),2)</f>
        <v>0</v>
      </c>
      <c r="L236" s="2">
        <f>Table157[[#This Row],[Period]]+$E$9</f>
        <v>232</v>
      </c>
      <c r="M236" s="3">
        <f>Table157[[#This Row],[Defaulted Principal]]-Table157[[#This Row],[Estimated Loss]]</f>
        <v>0</v>
      </c>
      <c r="N236" s="3">
        <f>IFERROR(VLOOKUP(Table157[[#This Row],[Period]],$L$16:$M$385,2,FALSE),0)</f>
        <v>0</v>
      </c>
      <c r="O236" s="3">
        <f>Table157[[#This Row],[Beginning Balance]]-Table157[[#This Row],[Principal]]-Table157[[#This Row],[Prepayments]]-Table157[[#This Row],[Defaulted Principal]]</f>
        <v>0</v>
      </c>
      <c r="P236" s="3">
        <f>Table157[[#This Row],[Principal]]+Table157[[#This Row],[Interest]]+Table157[[#This Row],[Prepayments]]+Table157[[#This Row],[RecoveredAmount]]</f>
        <v>0</v>
      </c>
      <c r="Q236" s="3">
        <f ca="1">ROUND(Table157[[#This Row],[Cash Flow]]/((1+ActualRateToUse)^(IF(ISNUMBER(SEARCH("Actual",$C$7)),Table157[[#This Row],[Running Total]]/365,Table157[[#This Row],[Period]]/12))),2)</f>
        <v>0</v>
      </c>
      <c r="R236" s="2">
        <f>IF(MONTH(Table157[[#This Row],[Date]])=2,28,DAY(DATE(YEAR(Table157[[#This Row],[Date]]),MONTH(Table157[[#This Row],[Date]])+1,1)-1))</f>
        <v>31</v>
      </c>
      <c r="S236" s="2">
        <f ca="1">SUM(OFFSET(Table157[[#Headers],[Days in month]],1,0):Table157[[#This Row],[Days in month]])</f>
        <v>6693</v>
      </c>
      <c r="T236" s="37">
        <f>InterestRate*AmortizationMultiplier*IF(ISNUMBER(SEARCH("Actual",$C$7)),Table157[[#This Row],[Days in month]]/365,1/12)</f>
        <v>2.9708333333333331E-3</v>
      </c>
    </row>
    <row r="237" spans="2:20" x14ac:dyDescent="0.2">
      <c r="B237" s="1">
        <f t="shared" si="10"/>
        <v>52565</v>
      </c>
      <c r="C237" s="2">
        <f t="shared" si="12"/>
        <v>221</v>
      </c>
      <c r="D237" s="3">
        <f t="shared" si="11"/>
        <v>0</v>
      </c>
      <c r="E237" s="3">
        <f>ROUND(Table157[[#This Row],[Beginning Balance]]*Table157[[#This Row],[Monthly Interest Rate]],2)</f>
        <v>0</v>
      </c>
      <c r="F237" s="3">
        <f t="shared" si="13"/>
        <v>35</v>
      </c>
      <c r="G237" s="23">
        <f>IFERROR(IF($C$13="No","N/A",IF(Table157[[#This Row],[Period]]=1,$C$6,PMT(InterestRate*AmortizationMultiplier/12,Table157[[#This Row],[Am Thru]],-Table157[[#This Row],[Beginning Balance]]))),0)</f>
        <v>0</v>
      </c>
      <c r="H237" s="3">
        <f>MAX(0,IF(C237=$C$4,D237,ROUND(IF($C$3="Fixed Principal",$C$6-Table157[[#This Row],[Interest]],IF($C$3="Interest Only",Table157[[#This Row],[Beginning Balance]]*ROUND(1-(1-IF($C$11="No",$E$8,1))^(1/12),6),MIN(IF($C$13="Yes",Table157[[#This Row],[Payment Amount (Reamortized)]],$C$6)-Table157[[#This Row],[Interest]],Table157[[#This Row],[Beginning Balance]]))),2)))</f>
        <v>0</v>
      </c>
      <c r="I237" s="3">
        <f>_xlfn.SINGLE(IF($C$3="Line of Credit",0,ROUND(MAX(MIN(IF($C$10="No",$E$7,VLOOKUP(Table157[[#This Row],[Period]],Forecast!$H$2:$L$1048576,4,FALSE))*Table157[[#This Row],[Beginning Balance]],Table157[[#This Row],[Beginning Balance]]-Table157[[#This Row],[Principal]]),0),2)))</f>
        <v>0</v>
      </c>
      <c r="J237" s="3">
        <f>ROUND(MIN(Table157[[#This Row],[Beginning Balance]]*IF($C$8="No",$E$3,VLOOKUP(Table157[[#This Row],[Period]],Forecast!$H$2:$L$1048576,2,FALSE)),Table157[[#This Row],[Beginning Balance]]-Table157[[#This Row],[Principal]]-Table157[[#This Row],[Prepayments]]),2)</f>
        <v>0</v>
      </c>
      <c r="K237" s="3">
        <f>ROUND(Table157[[#This Row],[Defaulted Principal]]*IF($C$9="No",$E$4,VLOOKUP(Table157[[#This Row],[Period]],Forecast!$H$2:$L$1048576,3,FALSE)),2)</f>
        <v>0</v>
      </c>
      <c r="L237" s="2">
        <f>Table157[[#This Row],[Period]]+$E$9</f>
        <v>233</v>
      </c>
      <c r="M237" s="3">
        <f>Table157[[#This Row],[Defaulted Principal]]-Table157[[#This Row],[Estimated Loss]]</f>
        <v>0</v>
      </c>
      <c r="N237" s="3">
        <f>IFERROR(VLOOKUP(Table157[[#This Row],[Period]],$L$16:$M$385,2,FALSE),0)</f>
        <v>0</v>
      </c>
      <c r="O237" s="3">
        <f>Table157[[#This Row],[Beginning Balance]]-Table157[[#This Row],[Principal]]-Table157[[#This Row],[Prepayments]]-Table157[[#This Row],[Defaulted Principal]]</f>
        <v>0</v>
      </c>
      <c r="P237" s="3">
        <f>Table157[[#This Row],[Principal]]+Table157[[#This Row],[Interest]]+Table157[[#This Row],[Prepayments]]+Table157[[#This Row],[RecoveredAmount]]</f>
        <v>0</v>
      </c>
      <c r="Q237" s="3">
        <f ca="1">ROUND(Table157[[#This Row],[Cash Flow]]/((1+ActualRateToUse)^(IF(ISNUMBER(SEARCH("Actual",$C$7)),Table157[[#This Row],[Running Total]]/365,Table157[[#This Row],[Period]]/12))),2)</f>
        <v>0</v>
      </c>
      <c r="R237" s="2">
        <f>IF(MONTH(Table157[[#This Row],[Date]])=2,28,DAY(DATE(YEAR(Table157[[#This Row],[Date]]),MONTH(Table157[[#This Row],[Date]])+1,1)-1))</f>
        <v>30</v>
      </c>
      <c r="S237" s="2">
        <f ca="1">SUM(OFFSET(Table157[[#Headers],[Days in month]],1,0):Table157[[#This Row],[Days in month]])</f>
        <v>6723</v>
      </c>
      <c r="T237" s="37">
        <f>InterestRate*AmortizationMultiplier*IF(ISNUMBER(SEARCH("Actual",$C$7)),Table157[[#This Row],[Days in month]]/365,1/12)</f>
        <v>2.8749999999999995E-3</v>
      </c>
    </row>
    <row r="238" spans="2:20" x14ac:dyDescent="0.2">
      <c r="B238" s="1">
        <f t="shared" si="10"/>
        <v>52596</v>
      </c>
      <c r="C238" s="2">
        <f t="shared" si="12"/>
        <v>222</v>
      </c>
      <c r="D238" s="3">
        <f t="shared" si="11"/>
        <v>0</v>
      </c>
      <c r="E238" s="3">
        <f>ROUND(Table157[[#This Row],[Beginning Balance]]*Table157[[#This Row],[Monthly Interest Rate]],2)</f>
        <v>0</v>
      </c>
      <c r="F238" s="3">
        <f t="shared" si="13"/>
        <v>34</v>
      </c>
      <c r="G238" s="23">
        <f>IFERROR(IF($C$13="No","N/A",IF(Table157[[#This Row],[Period]]=1,$C$6,PMT(InterestRate*AmortizationMultiplier/12,Table157[[#This Row],[Am Thru]],-Table157[[#This Row],[Beginning Balance]]))),0)</f>
        <v>0</v>
      </c>
      <c r="H238" s="3">
        <f>MAX(0,IF(C238=$C$4,D238,ROUND(IF($C$3="Fixed Principal",$C$6-Table157[[#This Row],[Interest]],IF($C$3="Interest Only",Table157[[#This Row],[Beginning Balance]]*ROUND(1-(1-IF($C$11="No",$E$8,1))^(1/12),6),MIN(IF($C$13="Yes",Table157[[#This Row],[Payment Amount (Reamortized)]],$C$6)-Table157[[#This Row],[Interest]],Table157[[#This Row],[Beginning Balance]]))),2)))</f>
        <v>0</v>
      </c>
      <c r="I238" s="3">
        <f>_xlfn.SINGLE(IF($C$3="Line of Credit",0,ROUND(MAX(MIN(IF($C$10="No",$E$7,VLOOKUP(Table157[[#This Row],[Period]],Forecast!$H$2:$L$1048576,4,FALSE))*Table157[[#This Row],[Beginning Balance]],Table157[[#This Row],[Beginning Balance]]-Table157[[#This Row],[Principal]]),0),2)))</f>
        <v>0</v>
      </c>
      <c r="J238" s="3">
        <f>ROUND(MIN(Table157[[#This Row],[Beginning Balance]]*IF($C$8="No",$E$3,VLOOKUP(Table157[[#This Row],[Period]],Forecast!$H$2:$L$1048576,2,FALSE)),Table157[[#This Row],[Beginning Balance]]-Table157[[#This Row],[Principal]]-Table157[[#This Row],[Prepayments]]),2)</f>
        <v>0</v>
      </c>
      <c r="K238" s="3">
        <f>ROUND(Table157[[#This Row],[Defaulted Principal]]*IF($C$9="No",$E$4,VLOOKUP(Table157[[#This Row],[Period]],Forecast!$H$2:$L$1048576,3,FALSE)),2)</f>
        <v>0</v>
      </c>
      <c r="L238" s="2">
        <f>Table157[[#This Row],[Period]]+$E$9</f>
        <v>234</v>
      </c>
      <c r="M238" s="3">
        <f>Table157[[#This Row],[Defaulted Principal]]-Table157[[#This Row],[Estimated Loss]]</f>
        <v>0</v>
      </c>
      <c r="N238" s="3">
        <f>IFERROR(VLOOKUP(Table157[[#This Row],[Period]],$L$16:$M$385,2,FALSE),0)</f>
        <v>0</v>
      </c>
      <c r="O238" s="3">
        <f>Table157[[#This Row],[Beginning Balance]]-Table157[[#This Row],[Principal]]-Table157[[#This Row],[Prepayments]]-Table157[[#This Row],[Defaulted Principal]]</f>
        <v>0</v>
      </c>
      <c r="P238" s="3">
        <f>Table157[[#This Row],[Principal]]+Table157[[#This Row],[Interest]]+Table157[[#This Row],[Prepayments]]+Table157[[#This Row],[RecoveredAmount]]</f>
        <v>0</v>
      </c>
      <c r="Q238" s="3">
        <f ca="1">ROUND(Table157[[#This Row],[Cash Flow]]/((1+ActualRateToUse)^(IF(ISNUMBER(SEARCH("Actual",$C$7)),Table157[[#This Row],[Running Total]]/365,Table157[[#This Row],[Period]]/12))),2)</f>
        <v>0</v>
      </c>
      <c r="R238" s="2">
        <f>IF(MONTH(Table157[[#This Row],[Date]])=2,28,DAY(DATE(YEAR(Table157[[#This Row],[Date]]),MONTH(Table157[[#This Row],[Date]])+1,1)-1))</f>
        <v>31</v>
      </c>
      <c r="S238" s="2">
        <f ca="1">SUM(OFFSET(Table157[[#Headers],[Days in month]],1,0):Table157[[#This Row],[Days in month]])</f>
        <v>6754</v>
      </c>
      <c r="T238" s="37">
        <f>InterestRate*AmortizationMultiplier*IF(ISNUMBER(SEARCH("Actual",$C$7)),Table157[[#This Row],[Days in month]]/365,1/12)</f>
        <v>2.9708333333333331E-3</v>
      </c>
    </row>
    <row r="239" spans="2:20" x14ac:dyDescent="0.2">
      <c r="B239" s="1">
        <f t="shared" si="10"/>
        <v>52627</v>
      </c>
      <c r="C239" s="2">
        <f t="shared" si="12"/>
        <v>223</v>
      </c>
      <c r="D239" s="3">
        <f t="shared" si="11"/>
        <v>0</v>
      </c>
      <c r="E239" s="3">
        <f>ROUND(Table157[[#This Row],[Beginning Balance]]*Table157[[#This Row],[Monthly Interest Rate]],2)</f>
        <v>0</v>
      </c>
      <c r="F239" s="3">
        <f t="shared" si="13"/>
        <v>33</v>
      </c>
      <c r="G239" s="23">
        <f>IFERROR(IF($C$13="No","N/A",IF(Table157[[#This Row],[Period]]=1,$C$6,PMT(InterestRate*AmortizationMultiplier/12,Table157[[#This Row],[Am Thru]],-Table157[[#This Row],[Beginning Balance]]))),0)</f>
        <v>0</v>
      </c>
      <c r="H239" s="3">
        <f>MAX(0,IF(C239=$C$4,D239,ROUND(IF($C$3="Fixed Principal",$C$6-Table157[[#This Row],[Interest]],IF($C$3="Interest Only",Table157[[#This Row],[Beginning Balance]]*ROUND(1-(1-IF($C$11="No",$E$8,1))^(1/12),6),MIN(IF($C$13="Yes",Table157[[#This Row],[Payment Amount (Reamortized)]],$C$6)-Table157[[#This Row],[Interest]],Table157[[#This Row],[Beginning Balance]]))),2)))</f>
        <v>0</v>
      </c>
      <c r="I239" s="3">
        <f>_xlfn.SINGLE(IF($C$3="Line of Credit",0,ROUND(MAX(MIN(IF($C$10="No",$E$7,VLOOKUP(Table157[[#This Row],[Period]],Forecast!$H$2:$L$1048576,4,FALSE))*Table157[[#This Row],[Beginning Balance]],Table157[[#This Row],[Beginning Balance]]-Table157[[#This Row],[Principal]]),0),2)))</f>
        <v>0</v>
      </c>
      <c r="J239" s="3">
        <f>ROUND(MIN(Table157[[#This Row],[Beginning Balance]]*IF($C$8="No",$E$3,VLOOKUP(Table157[[#This Row],[Period]],Forecast!$H$2:$L$1048576,2,FALSE)),Table157[[#This Row],[Beginning Balance]]-Table157[[#This Row],[Principal]]-Table157[[#This Row],[Prepayments]]),2)</f>
        <v>0</v>
      </c>
      <c r="K239" s="3">
        <f>ROUND(Table157[[#This Row],[Defaulted Principal]]*IF($C$9="No",$E$4,VLOOKUP(Table157[[#This Row],[Period]],Forecast!$H$2:$L$1048576,3,FALSE)),2)</f>
        <v>0</v>
      </c>
      <c r="L239" s="2">
        <f>Table157[[#This Row],[Period]]+$E$9</f>
        <v>235</v>
      </c>
      <c r="M239" s="3">
        <f>Table157[[#This Row],[Defaulted Principal]]-Table157[[#This Row],[Estimated Loss]]</f>
        <v>0</v>
      </c>
      <c r="N239" s="3">
        <f>IFERROR(VLOOKUP(Table157[[#This Row],[Period]],$L$16:$M$385,2,FALSE),0)</f>
        <v>0</v>
      </c>
      <c r="O239" s="3">
        <f>Table157[[#This Row],[Beginning Balance]]-Table157[[#This Row],[Principal]]-Table157[[#This Row],[Prepayments]]-Table157[[#This Row],[Defaulted Principal]]</f>
        <v>0</v>
      </c>
      <c r="P239" s="3">
        <f>Table157[[#This Row],[Principal]]+Table157[[#This Row],[Interest]]+Table157[[#This Row],[Prepayments]]+Table157[[#This Row],[RecoveredAmount]]</f>
        <v>0</v>
      </c>
      <c r="Q239" s="3">
        <f ca="1">ROUND(Table157[[#This Row],[Cash Flow]]/((1+ActualRateToUse)^(IF(ISNUMBER(SEARCH("Actual",$C$7)),Table157[[#This Row],[Running Total]]/365,Table157[[#This Row],[Period]]/12))),2)</f>
        <v>0</v>
      </c>
      <c r="R239" s="2">
        <f>IF(MONTH(Table157[[#This Row],[Date]])=2,28,DAY(DATE(YEAR(Table157[[#This Row],[Date]]),MONTH(Table157[[#This Row],[Date]])+1,1)-1))</f>
        <v>31</v>
      </c>
      <c r="S239" s="2">
        <f ca="1">SUM(OFFSET(Table157[[#Headers],[Days in month]],1,0):Table157[[#This Row],[Days in month]])</f>
        <v>6785</v>
      </c>
      <c r="T239" s="37">
        <f>InterestRate*AmortizationMultiplier*IF(ISNUMBER(SEARCH("Actual",$C$7)),Table157[[#This Row],[Days in month]]/365,1/12)</f>
        <v>2.9708333333333331E-3</v>
      </c>
    </row>
    <row r="240" spans="2:20" x14ac:dyDescent="0.2">
      <c r="B240" s="1">
        <f t="shared" si="10"/>
        <v>52656</v>
      </c>
      <c r="C240" s="2">
        <f t="shared" si="12"/>
        <v>224</v>
      </c>
      <c r="D240" s="3">
        <f t="shared" si="11"/>
        <v>0</v>
      </c>
      <c r="E240" s="3">
        <f>ROUND(Table157[[#This Row],[Beginning Balance]]*Table157[[#This Row],[Monthly Interest Rate]],2)</f>
        <v>0</v>
      </c>
      <c r="F240" s="3">
        <f t="shared" si="13"/>
        <v>32</v>
      </c>
      <c r="G240" s="23">
        <f>IFERROR(IF($C$13="No","N/A",IF(Table157[[#This Row],[Period]]=1,$C$6,PMT(InterestRate*AmortizationMultiplier/12,Table157[[#This Row],[Am Thru]],-Table157[[#This Row],[Beginning Balance]]))),0)</f>
        <v>0</v>
      </c>
      <c r="H240" s="3">
        <f>MAX(0,IF(C240=$C$4,D240,ROUND(IF($C$3="Fixed Principal",$C$6-Table157[[#This Row],[Interest]],IF($C$3="Interest Only",Table157[[#This Row],[Beginning Balance]]*ROUND(1-(1-IF($C$11="No",$E$8,1))^(1/12),6),MIN(IF($C$13="Yes",Table157[[#This Row],[Payment Amount (Reamortized)]],$C$6)-Table157[[#This Row],[Interest]],Table157[[#This Row],[Beginning Balance]]))),2)))</f>
        <v>0</v>
      </c>
      <c r="I240" s="3">
        <f>_xlfn.SINGLE(IF($C$3="Line of Credit",0,ROUND(MAX(MIN(IF($C$10="No",$E$7,VLOOKUP(Table157[[#This Row],[Period]],Forecast!$H$2:$L$1048576,4,FALSE))*Table157[[#This Row],[Beginning Balance]],Table157[[#This Row],[Beginning Balance]]-Table157[[#This Row],[Principal]]),0),2)))</f>
        <v>0</v>
      </c>
      <c r="J240" s="3">
        <f>ROUND(MIN(Table157[[#This Row],[Beginning Balance]]*IF($C$8="No",$E$3,VLOOKUP(Table157[[#This Row],[Period]],Forecast!$H$2:$L$1048576,2,FALSE)),Table157[[#This Row],[Beginning Balance]]-Table157[[#This Row],[Principal]]-Table157[[#This Row],[Prepayments]]),2)</f>
        <v>0</v>
      </c>
      <c r="K240" s="3">
        <f>ROUND(Table157[[#This Row],[Defaulted Principal]]*IF($C$9="No",$E$4,VLOOKUP(Table157[[#This Row],[Period]],Forecast!$H$2:$L$1048576,3,FALSE)),2)</f>
        <v>0</v>
      </c>
      <c r="L240" s="2">
        <f>Table157[[#This Row],[Period]]+$E$9</f>
        <v>236</v>
      </c>
      <c r="M240" s="3">
        <f>Table157[[#This Row],[Defaulted Principal]]-Table157[[#This Row],[Estimated Loss]]</f>
        <v>0</v>
      </c>
      <c r="N240" s="3">
        <f>IFERROR(VLOOKUP(Table157[[#This Row],[Period]],$L$16:$M$385,2,FALSE),0)</f>
        <v>0</v>
      </c>
      <c r="O240" s="3">
        <f>Table157[[#This Row],[Beginning Balance]]-Table157[[#This Row],[Principal]]-Table157[[#This Row],[Prepayments]]-Table157[[#This Row],[Defaulted Principal]]</f>
        <v>0</v>
      </c>
      <c r="P240" s="3">
        <f>Table157[[#This Row],[Principal]]+Table157[[#This Row],[Interest]]+Table157[[#This Row],[Prepayments]]+Table157[[#This Row],[RecoveredAmount]]</f>
        <v>0</v>
      </c>
      <c r="Q240" s="3">
        <f ca="1">ROUND(Table157[[#This Row],[Cash Flow]]/((1+ActualRateToUse)^(IF(ISNUMBER(SEARCH("Actual",$C$7)),Table157[[#This Row],[Running Total]]/365,Table157[[#This Row],[Period]]/12))),2)</f>
        <v>0</v>
      </c>
      <c r="R240" s="2">
        <f>IF(MONTH(Table157[[#This Row],[Date]])=2,28,DAY(DATE(YEAR(Table157[[#This Row],[Date]]),MONTH(Table157[[#This Row],[Date]])+1,1)-1))</f>
        <v>28</v>
      </c>
      <c r="S240" s="2">
        <f ca="1">SUM(OFFSET(Table157[[#Headers],[Days in month]],1,0):Table157[[#This Row],[Days in month]])</f>
        <v>6813</v>
      </c>
      <c r="T240" s="37">
        <f>InterestRate*AmortizationMultiplier*IF(ISNUMBER(SEARCH("Actual",$C$7)),Table157[[#This Row],[Days in month]]/365,1/12)</f>
        <v>2.6833333333333336E-3</v>
      </c>
    </row>
    <row r="241" spans="2:20" x14ac:dyDescent="0.2">
      <c r="B241" s="1">
        <f t="shared" si="10"/>
        <v>52687</v>
      </c>
      <c r="C241" s="2">
        <f t="shared" si="12"/>
        <v>225</v>
      </c>
      <c r="D241" s="3">
        <f t="shared" si="11"/>
        <v>0</v>
      </c>
      <c r="E241" s="3">
        <f>ROUND(Table157[[#This Row],[Beginning Balance]]*Table157[[#This Row],[Monthly Interest Rate]],2)</f>
        <v>0</v>
      </c>
      <c r="F241" s="3">
        <f t="shared" si="13"/>
        <v>31</v>
      </c>
      <c r="G241" s="23">
        <f>IFERROR(IF($C$13="No","N/A",IF(Table157[[#This Row],[Period]]=1,$C$6,PMT(InterestRate*AmortizationMultiplier/12,Table157[[#This Row],[Am Thru]],-Table157[[#This Row],[Beginning Balance]]))),0)</f>
        <v>0</v>
      </c>
      <c r="H241" s="3">
        <f>MAX(0,IF(C241=$C$4,D241,ROUND(IF($C$3="Fixed Principal",$C$6-Table157[[#This Row],[Interest]],IF($C$3="Interest Only",Table157[[#This Row],[Beginning Balance]]*ROUND(1-(1-IF($C$11="No",$E$8,1))^(1/12),6),MIN(IF($C$13="Yes",Table157[[#This Row],[Payment Amount (Reamortized)]],$C$6)-Table157[[#This Row],[Interest]],Table157[[#This Row],[Beginning Balance]]))),2)))</f>
        <v>0</v>
      </c>
      <c r="I241" s="3">
        <f>_xlfn.SINGLE(IF($C$3="Line of Credit",0,ROUND(MAX(MIN(IF($C$10="No",$E$7,VLOOKUP(Table157[[#This Row],[Period]],Forecast!$H$2:$L$1048576,4,FALSE))*Table157[[#This Row],[Beginning Balance]],Table157[[#This Row],[Beginning Balance]]-Table157[[#This Row],[Principal]]),0),2)))</f>
        <v>0</v>
      </c>
      <c r="J241" s="3">
        <f>ROUND(MIN(Table157[[#This Row],[Beginning Balance]]*IF($C$8="No",$E$3,VLOOKUP(Table157[[#This Row],[Period]],Forecast!$H$2:$L$1048576,2,FALSE)),Table157[[#This Row],[Beginning Balance]]-Table157[[#This Row],[Principal]]-Table157[[#This Row],[Prepayments]]),2)</f>
        <v>0</v>
      </c>
      <c r="K241" s="3">
        <f>ROUND(Table157[[#This Row],[Defaulted Principal]]*IF($C$9="No",$E$4,VLOOKUP(Table157[[#This Row],[Period]],Forecast!$H$2:$L$1048576,3,FALSE)),2)</f>
        <v>0</v>
      </c>
      <c r="L241" s="2">
        <f>Table157[[#This Row],[Period]]+$E$9</f>
        <v>237</v>
      </c>
      <c r="M241" s="3">
        <f>Table157[[#This Row],[Defaulted Principal]]-Table157[[#This Row],[Estimated Loss]]</f>
        <v>0</v>
      </c>
      <c r="N241" s="3">
        <f>IFERROR(VLOOKUP(Table157[[#This Row],[Period]],$L$16:$M$385,2,FALSE),0)</f>
        <v>0</v>
      </c>
      <c r="O241" s="3">
        <f>Table157[[#This Row],[Beginning Balance]]-Table157[[#This Row],[Principal]]-Table157[[#This Row],[Prepayments]]-Table157[[#This Row],[Defaulted Principal]]</f>
        <v>0</v>
      </c>
      <c r="P241" s="3">
        <f>Table157[[#This Row],[Principal]]+Table157[[#This Row],[Interest]]+Table157[[#This Row],[Prepayments]]+Table157[[#This Row],[RecoveredAmount]]</f>
        <v>0</v>
      </c>
      <c r="Q241" s="3">
        <f ca="1">ROUND(Table157[[#This Row],[Cash Flow]]/((1+ActualRateToUse)^(IF(ISNUMBER(SEARCH("Actual",$C$7)),Table157[[#This Row],[Running Total]]/365,Table157[[#This Row],[Period]]/12))),2)</f>
        <v>0</v>
      </c>
      <c r="R241" s="2">
        <f>IF(MONTH(Table157[[#This Row],[Date]])=2,28,DAY(DATE(YEAR(Table157[[#This Row],[Date]]),MONTH(Table157[[#This Row],[Date]])+1,1)-1))</f>
        <v>31</v>
      </c>
      <c r="S241" s="2">
        <f ca="1">SUM(OFFSET(Table157[[#Headers],[Days in month]],1,0):Table157[[#This Row],[Days in month]])</f>
        <v>6844</v>
      </c>
      <c r="T241" s="37">
        <f>InterestRate*AmortizationMultiplier*IF(ISNUMBER(SEARCH("Actual",$C$7)),Table157[[#This Row],[Days in month]]/365,1/12)</f>
        <v>2.9708333333333331E-3</v>
      </c>
    </row>
    <row r="242" spans="2:20" x14ac:dyDescent="0.2">
      <c r="B242" s="1">
        <f t="shared" si="10"/>
        <v>52717</v>
      </c>
      <c r="C242" s="2">
        <f t="shared" si="12"/>
        <v>226</v>
      </c>
      <c r="D242" s="3">
        <f t="shared" si="11"/>
        <v>0</v>
      </c>
      <c r="E242" s="3">
        <f>ROUND(Table157[[#This Row],[Beginning Balance]]*Table157[[#This Row],[Monthly Interest Rate]],2)</f>
        <v>0</v>
      </c>
      <c r="F242" s="3">
        <f t="shared" si="13"/>
        <v>30</v>
      </c>
      <c r="G242" s="23">
        <f>IFERROR(IF($C$13="No","N/A",IF(Table157[[#This Row],[Period]]=1,$C$6,PMT(InterestRate*AmortizationMultiplier/12,Table157[[#This Row],[Am Thru]],-Table157[[#This Row],[Beginning Balance]]))),0)</f>
        <v>0</v>
      </c>
      <c r="H242" s="3">
        <f>MAX(0,IF(C242=$C$4,D242,ROUND(IF($C$3="Fixed Principal",$C$6-Table157[[#This Row],[Interest]],IF($C$3="Interest Only",Table157[[#This Row],[Beginning Balance]]*ROUND(1-(1-IF($C$11="No",$E$8,1))^(1/12),6),MIN(IF($C$13="Yes",Table157[[#This Row],[Payment Amount (Reamortized)]],$C$6)-Table157[[#This Row],[Interest]],Table157[[#This Row],[Beginning Balance]]))),2)))</f>
        <v>0</v>
      </c>
      <c r="I242" s="3">
        <f>_xlfn.SINGLE(IF($C$3="Line of Credit",0,ROUND(MAX(MIN(IF($C$10="No",$E$7,VLOOKUP(Table157[[#This Row],[Period]],Forecast!$H$2:$L$1048576,4,FALSE))*Table157[[#This Row],[Beginning Balance]],Table157[[#This Row],[Beginning Balance]]-Table157[[#This Row],[Principal]]),0),2)))</f>
        <v>0</v>
      </c>
      <c r="J242" s="3">
        <f>ROUND(MIN(Table157[[#This Row],[Beginning Balance]]*IF($C$8="No",$E$3,VLOOKUP(Table157[[#This Row],[Period]],Forecast!$H$2:$L$1048576,2,FALSE)),Table157[[#This Row],[Beginning Balance]]-Table157[[#This Row],[Principal]]-Table157[[#This Row],[Prepayments]]),2)</f>
        <v>0</v>
      </c>
      <c r="K242" s="3">
        <f>ROUND(Table157[[#This Row],[Defaulted Principal]]*IF($C$9="No",$E$4,VLOOKUP(Table157[[#This Row],[Period]],Forecast!$H$2:$L$1048576,3,FALSE)),2)</f>
        <v>0</v>
      </c>
      <c r="L242" s="2">
        <f>Table157[[#This Row],[Period]]+$E$9</f>
        <v>238</v>
      </c>
      <c r="M242" s="3">
        <f>Table157[[#This Row],[Defaulted Principal]]-Table157[[#This Row],[Estimated Loss]]</f>
        <v>0</v>
      </c>
      <c r="N242" s="3">
        <f>IFERROR(VLOOKUP(Table157[[#This Row],[Period]],$L$16:$M$385,2,FALSE),0)</f>
        <v>0</v>
      </c>
      <c r="O242" s="3">
        <f>Table157[[#This Row],[Beginning Balance]]-Table157[[#This Row],[Principal]]-Table157[[#This Row],[Prepayments]]-Table157[[#This Row],[Defaulted Principal]]</f>
        <v>0</v>
      </c>
      <c r="P242" s="3">
        <f>Table157[[#This Row],[Principal]]+Table157[[#This Row],[Interest]]+Table157[[#This Row],[Prepayments]]+Table157[[#This Row],[RecoveredAmount]]</f>
        <v>0</v>
      </c>
      <c r="Q242" s="3">
        <f ca="1">ROUND(Table157[[#This Row],[Cash Flow]]/((1+ActualRateToUse)^(IF(ISNUMBER(SEARCH("Actual",$C$7)),Table157[[#This Row],[Running Total]]/365,Table157[[#This Row],[Period]]/12))),2)</f>
        <v>0</v>
      </c>
      <c r="R242" s="2">
        <f>IF(MONTH(Table157[[#This Row],[Date]])=2,28,DAY(DATE(YEAR(Table157[[#This Row],[Date]]),MONTH(Table157[[#This Row],[Date]])+1,1)-1))</f>
        <v>30</v>
      </c>
      <c r="S242" s="2">
        <f ca="1">SUM(OFFSET(Table157[[#Headers],[Days in month]],1,0):Table157[[#This Row],[Days in month]])</f>
        <v>6874</v>
      </c>
      <c r="T242" s="37">
        <f>InterestRate*AmortizationMultiplier*IF(ISNUMBER(SEARCH("Actual",$C$7)),Table157[[#This Row],[Days in month]]/365,1/12)</f>
        <v>2.8749999999999995E-3</v>
      </c>
    </row>
    <row r="243" spans="2:20" x14ac:dyDescent="0.2">
      <c r="B243" s="1">
        <f t="shared" si="10"/>
        <v>52748</v>
      </c>
      <c r="C243" s="2">
        <f t="shared" si="12"/>
        <v>227</v>
      </c>
      <c r="D243" s="3">
        <f t="shared" si="11"/>
        <v>0</v>
      </c>
      <c r="E243" s="3">
        <f>ROUND(Table157[[#This Row],[Beginning Balance]]*Table157[[#This Row],[Monthly Interest Rate]],2)</f>
        <v>0</v>
      </c>
      <c r="F243" s="3">
        <f t="shared" si="13"/>
        <v>29</v>
      </c>
      <c r="G243" s="23">
        <f>IFERROR(IF($C$13="No","N/A",IF(Table157[[#This Row],[Period]]=1,$C$6,PMT(InterestRate*AmortizationMultiplier/12,Table157[[#This Row],[Am Thru]],-Table157[[#This Row],[Beginning Balance]]))),0)</f>
        <v>0</v>
      </c>
      <c r="H243" s="3">
        <f>MAX(0,IF(C243=$C$4,D243,ROUND(IF($C$3="Fixed Principal",$C$6-Table157[[#This Row],[Interest]],IF($C$3="Interest Only",Table157[[#This Row],[Beginning Balance]]*ROUND(1-(1-IF($C$11="No",$E$8,1))^(1/12),6),MIN(IF($C$13="Yes",Table157[[#This Row],[Payment Amount (Reamortized)]],$C$6)-Table157[[#This Row],[Interest]],Table157[[#This Row],[Beginning Balance]]))),2)))</f>
        <v>0</v>
      </c>
      <c r="I243" s="3">
        <f>_xlfn.SINGLE(IF($C$3="Line of Credit",0,ROUND(MAX(MIN(IF($C$10="No",$E$7,VLOOKUP(Table157[[#This Row],[Period]],Forecast!$H$2:$L$1048576,4,FALSE))*Table157[[#This Row],[Beginning Balance]],Table157[[#This Row],[Beginning Balance]]-Table157[[#This Row],[Principal]]),0),2)))</f>
        <v>0</v>
      </c>
      <c r="J243" s="3">
        <f>ROUND(MIN(Table157[[#This Row],[Beginning Balance]]*IF($C$8="No",$E$3,VLOOKUP(Table157[[#This Row],[Period]],Forecast!$H$2:$L$1048576,2,FALSE)),Table157[[#This Row],[Beginning Balance]]-Table157[[#This Row],[Principal]]-Table157[[#This Row],[Prepayments]]),2)</f>
        <v>0</v>
      </c>
      <c r="K243" s="3">
        <f>ROUND(Table157[[#This Row],[Defaulted Principal]]*IF($C$9="No",$E$4,VLOOKUP(Table157[[#This Row],[Period]],Forecast!$H$2:$L$1048576,3,FALSE)),2)</f>
        <v>0</v>
      </c>
      <c r="L243" s="2">
        <f>Table157[[#This Row],[Period]]+$E$9</f>
        <v>239</v>
      </c>
      <c r="M243" s="3">
        <f>Table157[[#This Row],[Defaulted Principal]]-Table157[[#This Row],[Estimated Loss]]</f>
        <v>0</v>
      </c>
      <c r="N243" s="3">
        <f>IFERROR(VLOOKUP(Table157[[#This Row],[Period]],$L$16:$M$385,2,FALSE),0)</f>
        <v>0</v>
      </c>
      <c r="O243" s="3">
        <f>Table157[[#This Row],[Beginning Balance]]-Table157[[#This Row],[Principal]]-Table157[[#This Row],[Prepayments]]-Table157[[#This Row],[Defaulted Principal]]</f>
        <v>0</v>
      </c>
      <c r="P243" s="3">
        <f>Table157[[#This Row],[Principal]]+Table157[[#This Row],[Interest]]+Table157[[#This Row],[Prepayments]]+Table157[[#This Row],[RecoveredAmount]]</f>
        <v>0</v>
      </c>
      <c r="Q243" s="3">
        <f ca="1">ROUND(Table157[[#This Row],[Cash Flow]]/((1+ActualRateToUse)^(IF(ISNUMBER(SEARCH("Actual",$C$7)),Table157[[#This Row],[Running Total]]/365,Table157[[#This Row],[Period]]/12))),2)</f>
        <v>0</v>
      </c>
      <c r="R243" s="2">
        <f>IF(MONTH(Table157[[#This Row],[Date]])=2,28,DAY(DATE(YEAR(Table157[[#This Row],[Date]]),MONTH(Table157[[#This Row],[Date]])+1,1)-1))</f>
        <v>31</v>
      </c>
      <c r="S243" s="2">
        <f ca="1">SUM(OFFSET(Table157[[#Headers],[Days in month]],1,0):Table157[[#This Row],[Days in month]])</f>
        <v>6905</v>
      </c>
      <c r="T243" s="37">
        <f>InterestRate*AmortizationMultiplier*IF(ISNUMBER(SEARCH("Actual",$C$7)),Table157[[#This Row],[Days in month]]/365,1/12)</f>
        <v>2.9708333333333331E-3</v>
      </c>
    </row>
    <row r="244" spans="2:20" x14ac:dyDescent="0.2">
      <c r="B244" s="1">
        <f t="shared" si="10"/>
        <v>52778</v>
      </c>
      <c r="C244" s="2">
        <f t="shared" si="12"/>
        <v>228</v>
      </c>
      <c r="D244" s="3">
        <f t="shared" si="11"/>
        <v>0</v>
      </c>
      <c r="E244" s="3">
        <f>ROUND(Table157[[#This Row],[Beginning Balance]]*Table157[[#This Row],[Monthly Interest Rate]],2)</f>
        <v>0</v>
      </c>
      <c r="F244" s="3">
        <f t="shared" si="13"/>
        <v>28</v>
      </c>
      <c r="G244" s="23">
        <f>IFERROR(IF($C$13="No","N/A",IF(Table157[[#This Row],[Period]]=1,$C$6,PMT(InterestRate*AmortizationMultiplier/12,Table157[[#This Row],[Am Thru]],-Table157[[#This Row],[Beginning Balance]]))),0)</f>
        <v>0</v>
      </c>
      <c r="H244" s="3">
        <f>MAX(0,IF(C244=$C$4,D244,ROUND(IF($C$3="Fixed Principal",$C$6-Table157[[#This Row],[Interest]],IF($C$3="Interest Only",Table157[[#This Row],[Beginning Balance]]*ROUND(1-(1-IF($C$11="No",$E$8,1))^(1/12),6),MIN(IF($C$13="Yes",Table157[[#This Row],[Payment Amount (Reamortized)]],$C$6)-Table157[[#This Row],[Interest]],Table157[[#This Row],[Beginning Balance]]))),2)))</f>
        <v>0</v>
      </c>
      <c r="I244" s="3">
        <f>_xlfn.SINGLE(IF($C$3="Line of Credit",0,ROUND(MAX(MIN(IF($C$10="No",$E$7,VLOOKUP(Table157[[#This Row],[Period]],Forecast!$H$2:$L$1048576,4,FALSE))*Table157[[#This Row],[Beginning Balance]],Table157[[#This Row],[Beginning Balance]]-Table157[[#This Row],[Principal]]),0),2)))</f>
        <v>0</v>
      </c>
      <c r="J244" s="3">
        <f>ROUND(MIN(Table157[[#This Row],[Beginning Balance]]*IF($C$8="No",$E$3,VLOOKUP(Table157[[#This Row],[Period]],Forecast!$H$2:$L$1048576,2,FALSE)),Table157[[#This Row],[Beginning Balance]]-Table157[[#This Row],[Principal]]-Table157[[#This Row],[Prepayments]]),2)</f>
        <v>0</v>
      </c>
      <c r="K244" s="3">
        <f>ROUND(Table157[[#This Row],[Defaulted Principal]]*IF($C$9="No",$E$4,VLOOKUP(Table157[[#This Row],[Period]],Forecast!$H$2:$L$1048576,3,FALSE)),2)</f>
        <v>0</v>
      </c>
      <c r="L244" s="2">
        <f>Table157[[#This Row],[Period]]+$E$9</f>
        <v>240</v>
      </c>
      <c r="M244" s="3">
        <f>Table157[[#This Row],[Defaulted Principal]]-Table157[[#This Row],[Estimated Loss]]</f>
        <v>0</v>
      </c>
      <c r="N244" s="3">
        <f>IFERROR(VLOOKUP(Table157[[#This Row],[Period]],$L$16:$M$385,2,FALSE),0)</f>
        <v>0</v>
      </c>
      <c r="O244" s="3">
        <f>Table157[[#This Row],[Beginning Balance]]-Table157[[#This Row],[Principal]]-Table157[[#This Row],[Prepayments]]-Table157[[#This Row],[Defaulted Principal]]</f>
        <v>0</v>
      </c>
      <c r="P244" s="3">
        <f>Table157[[#This Row],[Principal]]+Table157[[#This Row],[Interest]]+Table157[[#This Row],[Prepayments]]+Table157[[#This Row],[RecoveredAmount]]</f>
        <v>0</v>
      </c>
      <c r="Q244" s="3">
        <f ca="1">ROUND(Table157[[#This Row],[Cash Flow]]/((1+ActualRateToUse)^(IF(ISNUMBER(SEARCH("Actual",$C$7)),Table157[[#This Row],[Running Total]]/365,Table157[[#This Row],[Period]]/12))),2)</f>
        <v>0</v>
      </c>
      <c r="R244" s="2">
        <f>IF(MONTH(Table157[[#This Row],[Date]])=2,28,DAY(DATE(YEAR(Table157[[#This Row],[Date]]),MONTH(Table157[[#This Row],[Date]])+1,1)-1))</f>
        <v>30</v>
      </c>
      <c r="S244" s="2">
        <f ca="1">SUM(OFFSET(Table157[[#Headers],[Days in month]],1,0):Table157[[#This Row],[Days in month]])</f>
        <v>6935</v>
      </c>
      <c r="T244" s="37">
        <f>InterestRate*AmortizationMultiplier*IF(ISNUMBER(SEARCH("Actual",$C$7)),Table157[[#This Row],[Days in month]]/365,1/12)</f>
        <v>2.8749999999999995E-3</v>
      </c>
    </row>
    <row r="245" spans="2:20" x14ac:dyDescent="0.2">
      <c r="B245" s="1">
        <f t="shared" si="10"/>
        <v>52809</v>
      </c>
      <c r="C245" s="2">
        <f t="shared" si="12"/>
        <v>229</v>
      </c>
      <c r="D245" s="3">
        <f t="shared" si="11"/>
        <v>0</v>
      </c>
      <c r="E245" s="3">
        <f>ROUND(Table157[[#This Row],[Beginning Balance]]*Table157[[#This Row],[Monthly Interest Rate]],2)</f>
        <v>0</v>
      </c>
      <c r="F245" s="3">
        <f t="shared" si="13"/>
        <v>27</v>
      </c>
      <c r="G245" s="23">
        <f>IFERROR(IF($C$13="No","N/A",IF(Table157[[#This Row],[Period]]=1,$C$6,PMT(InterestRate*AmortizationMultiplier/12,Table157[[#This Row],[Am Thru]],-Table157[[#This Row],[Beginning Balance]]))),0)</f>
        <v>0</v>
      </c>
      <c r="H245" s="3">
        <f>MAX(0,IF(C245=$C$4,D245,ROUND(IF($C$3="Fixed Principal",$C$6-Table157[[#This Row],[Interest]],IF($C$3="Interest Only",Table157[[#This Row],[Beginning Balance]]*ROUND(1-(1-IF($C$11="No",$E$8,1))^(1/12),6),MIN(IF($C$13="Yes",Table157[[#This Row],[Payment Amount (Reamortized)]],$C$6)-Table157[[#This Row],[Interest]],Table157[[#This Row],[Beginning Balance]]))),2)))</f>
        <v>0</v>
      </c>
      <c r="I245" s="3">
        <f>_xlfn.SINGLE(IF($C$3="Line of Credit",0,ROUND(MAX(MIN(IF($C$10="No",$E$7,VLOOKUP(Table157[[#This Row],[Period]],Forecast!$H$2:$L$1048576,4,FALSE))*Table157[[#This Row],[Beginning Balance]],Table157[[#This Row],[Beginning Balance]]-Table157[[#This Row],[Principal]]),0),2)))</f>
        <v>0</v>
      </c>
      <c r="J245" s="3">
        <f>ROUND(MIN(Table157[[#This Row],[Beginning Balance]]*IF($C$8="No",$E$3,VLOOKUP(Table157[[#This Row],[Period]],Forecast!$H$2:$L$1048576,2,FALSE)),Table157[[#This Row],[Beginning Balance]]-Table157[[#This Row],[Principal]]-Table157[[#This Row],[Prepayments]]),2)</f>
        <v>0</v>
      </c>
      <c r="K245" s="3">
        <f>ROUND(Table157[[#This Row],[Defaulted Principal]]*IF($C$9="No",$E$4,VLOOKUP(Table157[[#This Row],[Period]],Forecast!$H$2:$L$1048576,3,FALSE)),2)</f>
        <v>0</v>
      </c>
      <c r="L245" s="2">
        <f>Table157[[#This Row],[Period]]+$E$9</f>
        <v>241</v>
      </c>
      <c r="M245" s="3">
        <f>Table157[[#This Row],[Defaulted Principal]]-Table157[[#This Row],[Estimated Loss]]</f>
        <v>0</v>
      </c>
      <c r="N245" s="3">
        <f>IFERROR(VLOOKUP(Table157[[#This Row],[Period]],$L$16:$M$385,2,FALSE),0)</f>
        <v>0</v>
      </c>
      <c r="O245" s="3">
        <f>Table157[[#This Row],[Beginning Balance]]-Table157[[#This Row],[Principal]]-Table157[[#This Row],[Prepayments]]-Table157[[#This Row],[Defaulted Principal]]</f>
        <v>0</v>
      </c>
      <c r="P245" s="3">
        <f>Table157[[#This Row],[Principal]]+Table157[[#This Row],[Interest]]+Table157[[#This Row],[Prepayments]]+Table157[[#This Row],[RecoveredAmount]]</f>
        <v>0</v>
      </c>
      <c r="Q245" s="3">
        <f ca="1">ROUND(Table157[[#This Row],[Cash Flow]]/((1+ActualRateToUse)^(IF(ISNUMBER(SEARCH("Actual",$C$7)),Table157[[#This Row],[Running Total]]/365,Table157[[#This Row],[Period]]/12))),2)</f>
        <v>0</v>
      </c>
      <c r="R245" s="2">
        <f>IF(MONTH(Table157[[#This Row],[Date]])=2,28,DAY(DATE(YEAR(Table157[[#This Row],[Date]]),MONTH(Table157[[#This Row],[Date]])+1,1)-1))</f>
        <v>31</v>
      </c>
      <c r="S245" s="2">
        <f ca="1">SUM(OFFSET(Table157[[#Headers],[Days in month]],1,0):Table157[[#This Row],[Days in month]])</f>
        <v>6966</v>
      </c>
      <c r="T245" s="37">
        <f>InterestRate*AmortizationMultiplier*IF(ISNUMBER(SEARCH("Actual",$C$7)),Table157[[#This Row],[Days in month]]/365,1/12)</f>
        <v>2.9708333333333331E-3</v>
      </c>
    </row>
    <row r="246" spans="2:20" x14ac:dyDescent="0.2">
      <c r="B246" s="1">
        <f t="shared" si="10"/>
        <v>52840</v>
      </c>
      <c r="C246" s="2">
        <f t="shared" si="12"/>
        <v>230</v>
      </c>
      <c r="D246" s="3">
        <f t="shared" si="11"/>
        <v>0</v>
      </c>
      <c r="E246" s="3">
        <f>ROUND(Table157[[#This Row],[Beginning Balance]]*Table157[[#This Row],[Monthly Interest Rate]],2)</f>
        <v>0</v>
      </c>
      <c r="F246" s="3">
        <f t="shared" si="13"/>
        <v>26</v>
      </c>
      <c r="G246" s="23">
        <f>IFERROR(IF($C$13="No","N/A",IF(Table157[[#This Row],[Period]]=1,$C$6,PMT(InterestRate*AmortizationMultiplier/12,Table157[[#This Row],[Am Thru]],-Table157[[#This Row],[Beginning Balance]]))),0)</f>
        <v>0</v>
      </c>
      <c r="H246" s="3">
        <f>MAX(0,IF(C246=$C$4,D246,ROUND(IF($C$3="Fixed Principal",$C$6-Table157[[#This Row],[Interest]],IF($C$3="Interest Only",Table157[[#This Row],[Beginning Balance]]*ROUND(1-(1-IF($C$11="No",$E$8,1))^(1/12),6),MIN(IF($C$13="Yes",Table157[[#This Row],[Payment Amount (Reamortized)]],$C$6)-Table157[[#This Row],[Interest]],Table157[[#This Row],[Beginning Balance]]))),2)))</f>
        <v>0</v>
      </c>
      <c r="I246" s="3">
        <f>_xlfn.SINGLE(IF($C$3="Line of Credit",0,ROUND(MAX(MIN(IF($C$10="No",$E$7,VLOOKUP(Table157[[#This Row],[Period]],Forecast!$H$2:$L$1048576,4,FALSE))*Table157[[#This Row],[Beginning Balance]],Table157[[#This Row],[Beginning Balance]]-Table157[[#This Row],[Principal]]),0),2)))</f>
        <v>0</v>
      </c>
      <c r="J246" s="3">
        <f>ROUND(MIN(Table157[[#This Row],[Beginning Balance]]*IF($C$8="No",$E$3,VLOOKUP(Table157[[#This Row],[Period]],Forecast!$H$2:$L$1048576,2,FALSE)),Table157[[#This Row],[Beginning Balance]]-Table157[[#This Row],[Principal]]-Table157[[#This Row],[Prepayments]]),2)</f>
        <v>0</v>
      </c>
      <c r="K246" s="3">
        <f>ROUND(Table157[[#This Row],[Defaulted Principal]]*IF($C$9="No",$E$4,VLOOKUP(Table157[[#This Row],[Period]],Forecast!$H$2:$L$1048576,3,FALSE)),2)</f>
        <v>0</v>
      </c>
      <c r="L246" s="2">
        <f>Table157[[#This Row],[Period]]+$E$9</f>
        <v>242</v>
      </c>
      <c r="M246" s="3">
        <f>Table157[[#This Row],[Defaulted Principal]]-Table157[[#This Row],[Estimated Loss]]</f>
        <v>0</v>
      </c>
      <c r="N246" s="3">
        <f>IFERROR(VLOOKUP(Table157[[#This Row],[Period]],$L$16:$M$385,2,FALSE),0)</f>
        <v>0</v>
      </c>
      <c r="O246" s="3">
        <f>Table157[[#This Row],[Beginning Balance]]-Table157[[#This Row],[Principal]]-Table157[[#This Row],[Prepayments]]-Table157[[#This Row],[Defaulted Principal]]</f>
        <v>0</v>
      </c>
      <c r="P246" s="3">
        <f>Table157[[#This Row],[Principal]]+Table157[[#This Row],[Interest]]+Table157[[#This Row],[Prepayments]]+Table157[[#This Row],[RecoveredAmount]]</f>
        <v>0</v>
      </c>
      <c r="Q246" s="3">
        <f ca="1">ROUND(Table157[[#This Row],[Cash Flow]]/((1+ActualRateToUse)^(IF(ISNUMBER(SEARCH("Actual",$C$7)),Table157[[#This Row],[Running Total]]/365,Table157[[#This Row],[Period]]/12))),2)</f>
        <v>0</v>
      </c>
      <c r="R246" s="2">
        <f>IF(MONTH(Table157[[#This Row],[Date]])=2,28,DAY(DATE(YEAR(Table157[[#This Row],[Date]]),MONTH(Table157[[#This Row],[Date]])+1,1)-1))</f>
        <v>31</v>
      </c>
      <c r="S246" s="2">
        <f ca="1">SUM(OFFSET(Table157[[#Headers],[Days in month]],1,0):Table157[[#This Row],[Days in month]])</f>
        <v>6997</v>
      </c>
      <c r="T246" s="37">
        <f>InterestRate*AmortizationMultiplier*IF(ISNUMBER(SEARCH("Actual",$C$7)),Table157[[#This Row],[Days in month]]/365,1/12)</f>
        <v>2.9708333333333331E-3</v>
      </c>
    </row>
    <row r="247" spans="2:20" x14ac:dyDescent="0.2">
      <c r="B247" s="1">
        <f t="shared" si="10"/>
        <v>52870</v>
      </c>
      <c r="C247" s="2">
        <f t="shared" si="12"/>
        <v>231</v>
      </c>
      <c r="D247" s="3">
        <f t="shared" si="11"/>
        <v>0</v>
      </c>
      <c r="E247" s="3">
        <f>ROUND(Table157[[#This Row],[Beginning Balance]]*Table157[[#This Row],[Monthly Interest Rate]],2)</f>
        <v>0</v>
      </c>
      <c r="F247" s="3">
        <f t="shared" si="13"/>
        <v>25</v>
      </c>
      <c r="G247" s="23">
        <f>IFERROR(IF($C$13="No","N/A",IF(Table157[[#This Row],[Period]]=1,$C$6,PMT(InterestRate*AmortizationMultiplier/12,Table157[[#This Row],[Am Thru]],-Table157[[#This Row],[Beginning Balance]]))),0)</f>
        <v>0</v>
      </c>
      <c r="H247" s="3">
        <f>MAX(0,IF(C247=$C$4,D247,ROUND(IF($C$3="Fixed Principal",$C$6-Table157[[#This Row],[Interest]],IF($C$3="Interest Only",Table157[[#This Row],[Beginning Balance]]*ROUND(1-(1-IF($C$11="No",$E$8,1))^(1/12),6),MIN(IF($C$13="Yes",Table157[[#This Row],[Payment Amount (Reamortized)]],$C$6)-Table157[[#This Row],[Interest]],Table157[[#This Row],[Beginning Balance]]))),2)))</f>
        <v>0</v>
      </c>
      <c r="I247" s="3">
        <f>_xlfn.SINGLE(IF($C$3="Line of Credit",0,ROUND(MAX(MIN(IF($C$10="No",$E$7,VLOOKUP(Table157[[#This Row],[Period]],Forecast!$H$2:$L$1048576,4,FALSE))*Table157[[#This Row],[Beginning Balance]],Table157[[#This Row],[Beginning Balance]]-Table157[[#This Row],[Principal]]),0),2)))</f>
        <v>0</v>
      </c>
      <c r="J247" s="3">
        <f>ROUND(MIN(Table157[[#This Row],[Beginning Balance]]*IF($C$8="No",$E$3,VLOOKUP(Table157[[#This Row],[Period]],Forecast!$H$2:$L$1048576,2,FALSE)),Table157[[#This Row],[Beginning Balance]]-Table157[[#This Row],[Principal]]-Table157[[#This Row],[Prepayments]]),2)</f>
        <v>0</v>
      </c>
      <c r="K247" s="3">
        <f>ROUND(Table157[[#This Row],[Defaulted Principal]]*IF($C$9="No",$E$4,VLOOKUP(Table157[[#This Row],[Period]],Forecast!$H$2:$L$1048576,3,FALSE)),2)</f>
        <v>0</v>
      </c>
      <c r="L247" s="2">
        <f>Table157[[#This Row],[Period]]+$E$9</f>
        <v>243</v>
      </c>
      <c r="M247" s="3">
        <f>Table157[[#This Row],[Defaulted Principal]]-Table157[[#This Row],[Estimated Loss]]</f>
        <v>0</v>
      </c>
      <c r="N247" s="3">
        <f>IFERROR(VLOOKUP(Table157[[#This Row],[Period]],$L$16:$M$385,2,FALSE),0)</f>
        <v>0</v>
      </c>
      <c r="O247" s="3">
        <f>Table157[[#This Row],[Beginning Balance]]-Table157[[#This Row],[Principal]]-Table157[[#This Row],[Prepayments]]-Table157[[#This Row],[Defaulted Principal]]</f>
        <v>0</v>
      </c>
      <c r="P247" s="3">
        <f>Table157[[#This Row],[Principal]]+Table157[[#This Row],[Interest]]+Table157[[#This Row],[Prepayments]]+Table157[[#This Row],[RecoveredAmount]]</f>
        <v>0</v>
      </c>
      <c r="Q247" s="3">
        <f ca="1">ROUND(Table157[[#This Row],[Cash Flow]]/((1+ActualRateToUse)^(IF(ISNUMBER(SEARCH("Actual",$C$7)),Table157[[#This Row],[Running Total]]/365,Table157[[#This Row],[Period]]/12))),2)</f>
        <v>0</v>
      </c>
      <c r="R247" s="2">
        <f>IF(MONTH(Table157[[#This Row],[Date]])=2,28,DAY(DATE(YEAR(Table157[[#This Row],[Date]]),MONTH(Table157[[#This Row],[Date]])+1,1)-1))</f>
        <v>30</v>
      </c>
      <c r="S247" s="2">
        <f ca="1">SUM(OFFSET(Table157[[#Headers],[Days in month]],1,0):Table157[[#This Row],[Days in month]])</f>
        <v>7027</v>
      </c>
      <c r="T247" s="37">
        <f>InterestRate*AmortizationMultiplier*IF(ISNUMBER(SEARCH("Actual",$C$7)),Table157[[#This Row],[Days in month]]/365,1/12)</f>
        <v>2.8749999999999995E-3</v>
      </c>
    </row>
    <row r="248" spans="2:20" x14ac:dyDescent="0.2">
      <c r="B248" s="1">
        <f t="shared" si="10"/>
        <v>52901</v>
      </c>
      <c r="C248" s="2">
        <f t="shared" si="12"/>
        <v>232</v>
      </c>
      <c r="D248" s="3">
        <f t="shared" si="11"/>
        <v>0</v>
      </c>
      <c r="E248" s="3">
        <f>ROUND(Table157[[#This Row],[Beginning Balance]]*Table157[[#This Row],[Monthly Interest Rate]],2)</f>
        <v>0</v>
      </c>
      <c r="F248" s="3">
        <f t="shared" si="13"/>
        <v>24</v>
      </c>
      <c r="G248" s="23">
        <f>IFERROR(IF($C$13="No","N/A",IF(Table157[[#This Row],[Period]]=1,$C$6,PMT(InterestRate*AmortizationMultiplier/12,Table157[[#This Row],[Am Thru]],-Table157[[#This Row],[Beginning Balance]]))),0)</f>
        <v>0</v>
      </c>
      <c r="H248" s="3">
        <f>MAX(0,IF(C248=$C$4,D248,ROUND(IF($C$3="Fixed Principal",$C$6-Table157[[#This Row],[Interest]],IF($C$3="Interest Only",Table157[[#This Row],[Beginning Balance]]*ROUND(1-(1-IF($C$11="No",$E$8,1))^(1/12),6),MIN(IF($C$13="Yes",Table157[[#This Row],[Payment Amount (Reamortized)]],$C$6)-Table157[[#This Row],[Interest]],Table157[[#This Row],[Beginning Balance]]))),2)))</f>
        <v>0</v>
      </c>
      <c r="I248" s="3">
        <f>_xlfn.SINGLE(IF($C$3="Line of Credit",0,ROUND(MAX(MIN(IF($C$10="No",$E$7,VLOOKUP(Table157[[#This Row],[Period]],Forecast!$H$2:$L$1048576,4,FALSE))*Table157[[#This Row],[Beginning Balance]],Table157[[#This Row],[Beginning Balance]]-Table157[[#This Row],[Principal]]),0),2)))</f>
        <v>0</v>
      </c>
      <c r="J248" s="3">
        <f>ROUND(MIN(Table157[[#This Row],[Beginning Balance]]*IF($C$8="No",$E$3,VLOOKUP(Table157[[#This Row],[Period]],Forecast!$H$2:$L$1048576,2,FALSE)),Table157[[#This Row],[Beginning Balance]]-Table157[[#This Row],[Principal]]-Table157[[#This Row],[Prepayments]]),2)</f>
        <v>0</v>
      </c>
      <c r="K248" s="3">
        <f>ROUND(Table157[[#This Row],[Defaulted Principal]]*IF($C$9="No",$E$4,VLOOKUP(Table157[[#This Row],[Period]],Forecast!$H$2:$L$1048576,3,FALSE)),2)</f>
        <v>0</v>
      </c>
      <c r="L248" s="2">
        <f>Table157[[#This Row],[Period]]+$E$9</f>
        <v>244</v>
      </c>
      <c r="M248" s="3">
        <f>Table157[[#This Row],[Defaulted Principal]]-Table157[[#This Row],[Estimated Loss]]</f>
        <v>0</v>
      </c>
      <c r="N248" s="3">
        <f>IFERROR(VLOOKUP(Table157[[#This Row],[Period]],$L$16:$M$385,2,FALSE),0)</f>
        <v>0</v>
      </c>
      <c r="O248" s="3">
        <f>Table157[[#This Row],[Beginning Balance]]-Table157[[#This Row],[Principal]]-Table157[[#This Row],[Prepayments]]-Table157[[#This Row],[Defaulted Principal]]</f>
        <v>0</v>
      </c>
      <c r="P248" s="3">
        <f>Table157[[#This Row],[Principal]]+Table157[[#This Row],[Interest]]+Table157[[#This Row],[Prepayments]]+Table157[[#This Row],[RecoveredAmount]]</f>
        <v>0</v>
      </c>
      <c r="Q248" s="3">
        <f ca="1">ROUND(Table157[[#This Row],[Cash Flow]]/((1+ActualRateToUse)^(IF(ISNUMBER(SEARCH("Actual",$C$7)),Table157[[#This Row],[Running Total]]/365,Table157[[#This Row],[Period]]/12))),2)</f>
        <v>0</v>
      </c>
      <c r="R248" s="2">
        <f>IF(MONTH(Table157[[#This Row],[Date]])=2,28,DAY(DATE(YEAR(Table157[[#This Row],[Date]]),MONTH(Table157[[#This Row],[Date]])+1,1)-1))</f>
        <v>31</v>
      </c>
      <c r="S248" s="2">
        <f ca="1">SUM(OFFSET(Table157[[#Headers],[Days in month]],1,0):Table157[[#This Row],[Days in month]])</f>
        <v>7058</v>
      </c>
      <c r="T248" s="37">
        <f>InterestRate*AmortizationMultiplier*IF(ISNUMBER(SEARCH("Actual",$C$7)),Table157[[#This Row],[Days in month]]/365,1/12)</f>
        <v>2.9708333333333331E-3</v>
      </c>
    </row>
    <row r="249" spans="2:20" x14ac:dyDescent="0.2">
      <c r="B249" s="1">
        <f t="shared" si="10"/>
        <v>52931</v>
      </c>
      <c r="C249" s="2">
        <f t="shared" si="12"/>
        <v>233</v>
      </c>
      <c r="D249" s="3">
        <f t="shared" si="11"/>
        <v>0</v>
      </c>
      <c r="E249" s="3">
        <f>ROUND(Table157[[#This Row],[Beginning Balance]]*Table157[[#This Row],[Monthly Interest Rate]],2)</f>
        <v>0</v>
      </c>
      <c r="F249" s="3">
        <f t="shared" si="13"/>
        <v>23</v>
      </c>
      <c r="G249" s="23">
        <f>IFERROR(IF($C$13="No","N/A",IF(Table157[[#This Row],[Period]]=1,$C$6,PMT(InterestRate*AmortizationMultiplier/12,Table157[[#This Row],[Am Thru]],-Table157[[#This Row],[Beginning Balance]]))),0)</f>
        <v>0</v>
      </c>
      <c r="H249" s="3">
        <f>MAX(0,IF(C249=$C$4,D249,ROUND(IF($C$3="Fixed Principal",$C$6-Table157[[#This Row],[Interest]],IF($C$3="Interest Only",Table157[[#This Row],[Beginning Balance]]*ROUND(1-(1-IF($C$11="No",$E$8,1))^(1/12),6),MIN(IF($C$13="Yes",Table157[[#This Row],[Payment Amount (Reamortized)]],$C$6)-Table157[[#This Row],[Interest]],Table157[[#This Row],[Beginning Balance]]))),2)))</f>
        <v>0</v>
      </c>
      <c r="I249" s="3">
        <f>_xlfn.SINGLE(IF($C$3="Line of Credit",0,ROUND(MAX(MIN(IF($C$10="No",$E$7,VLOOKUP(Table157[[#This Row],[Period]],Forecast!$H$2:$L$1048576,4,FALSE))*Table157[[#This Row],[Beginning Balance]],Table157[[#This Row],[Beginning Balance]]-Table157[[#This Row],[Principal]]),0),2)))</f>
        <v>0</v>
      </c>
      <c r="J249" s="3">
        <f>ROUND(MIN(Table157[[#This Row],[Beginning Balance]]*IF($C$8="No",$E$3,VLOOKUP(Table157[[#This Row],[Period]],Forecast!$H$2:$L$1048576,2,FALSE)),Table157[[#This Row],[Beginning Balance]]-Table157[[#This Row],[Principal]]-Table157[[#This Row],[Prepayments]]),2)</f>
        <v>0</v>
      </c>
      <c r="K249" s="3">
        <f>ROUND(Table157[[#This Row],[Defaulted Principal]]*IF($C$9="No",$E$4,VLOOKUP(Table157[[#This Row],[Period]],Forecast!$H$2:$L$1048576,3,FALSE)),2)</f>
        <v>0</v>
      </c>
      <c r="L249" s="2">
        <f>Table157[[#This Row],[Period]]+$E$9</f>
        <v>245</v>
      </c>
      <c r="M249" s="3">
        <f>Table157[[#This Row],[Defaulted Principal]]-Table157[[#This Row],[Estimated Loss]]</f>
        <v>0</v>
      </c>
      <c r="N249" s="3">
        <f>IFERROR(VLOOKUP(Table157[[#This Row],[Period]],$L$16:$M$385,2,FALSE),0)</f>
        <v>0</v>
      </c>
      <c r="O249" s="3">
        <f>Table157[[#This Row],[Beginning Balance]]-Table157[[#This Row],[Principal]]-Table157[[#This Row],[Prepayments]]-Table157[[#This Row],[Defaulted Principal]]</f>
        <v>0</v>
      </c>
      <c r="P249" s="3">
        <f>Table157[[#This Row],[Principal]]+Table157[[#This Row],[Interest]]+Table157[[#This Row],[Prepayments]]+Table157[[#This Row],[RecoveredAmount]]</f>
        <v>0</v>
      </c>
      <c r="Q249" s="3">
        <f ca="1">ROUND(Table157[[#This Row],[Cash Flow]]/((1+ActualRateToUse)^(IF(ISNUMBER(SEARCH("Actual",$C$7)),Table157[[#This Row],[Running Total]]/365,Table157[[#This Row],[Period]]/12))),2)</f>
        <v>0</v>
      </c>
      <c r="R249" s="2">
        <f>IF(MONTH(Table157[[#This Row],[Date]])=2,28,DAY(DATE(YEAR(Table157[[#This Row],[Date]]),MONTH(Table157[[#This Row],[Date]])+1,1)-1))</f>
        <v>30</v>
      </c>
      <c r="S249" s="2">
        <f ca="1">SUM(OFFSET(Table157[[#Headers],[Days in month]],1,0):Table157[[#This Row],[Days in month]])</f>
        <v>7088</v>
      </c>
      <c r="T249" s="37">
        <f>InterestRate*AmortizationMultiplier*IF(ISNUMBER(SEARCH("Actual",$C$7)),Table157[[#This Row],[Days in month]]/365,1/12)</f>
        <v>2.8749999999999995E-3</v>
      </c>
    </row>
    <row r="250" spans="2:20" x14ac:dyDescent="0.2">
      <c r="B250" s="1">
        <f t="shared" si="10"/>
        <v>52962</v>
      </c>
      <c r="C250" s="2">
        <f t="shared" si="12"/>
        <v>234</v>
      </c>
      <c r="D250" s="3">
        <f t="shared" si="11"/>
        <v>0</v>
      </c>
      <c r="E250" s="3">
        <f>ROUND(Table157[[#This Row],[Beginning Balance]]*Table157[[#This Row],[Monthly Interest Rate]],2)</f>
        <v>0</v>
      </c>
      <c r="F250" s="3">
        <f t="shared" si="13"/>
        <v>22</v>
      </c>
      <c r="G250" s="23">
        <f>IFERROR(IF($C$13="No","N/A",IF(Table157[[#This Row],[Period]]=1,$C$6,PMT(InterestRate*AmortizationMultiplier/12,Table157[[#This Row],[Am Thru]],-Table157[[#This Row],[Beginning Balance]]))),0)</f>
        <v>0</v>
      </c>
      <c r="H250" s="3">
        <f>MAX(0,IF(C250=$C$4,D250,ROUND(IF($C$3="Fixed Principal",$C$6-Table157[[#This Row],[Interest]],IF($C$3="Interest Only",Table157[[#This Row],[Beginning Balance]]*ROUND(1-(1-IF($C$11="No",$E$8,1))^(1/12),6),MIN(IF($C$13="Yes",Table157[[#This Row],[Payment Amount (Reamortized)]],$C$6)-Table157[[#This Row],[Interest]],Table157[[#This Row],[Beginning Balance]]))),2)))</f>
        <v>0</v>
      </c>
      <c r="I250" s="3">
        <f>_xlfn.SINGLE(IF($C$3="Line of Credit",0,ROUND(MAX(MIN(IF($C$10="No",$E$7,VLOOKUP(Table157[[#This Row],[Period]],Forecast!$H$2:$L$1048576,4,FALSE))*Table157[[#This Row],[Beginning Balance]],Table157[[#This Row],[Beginning Balance]]-Table157[[#This Row],[Principal]]),0),2)))</f>
        <v>0</v>
      </c>
      <c r="J250" s="3">
        <f>ROUND(MIN(Table157[[#This Row],[Beginning Balance]]*IF($C$8="No",$E$3,VLOOKUP(Table157[[#This Row],[Period]],Forecast!$H$2:$L$1048576,2,FALSE)),Table157[[#This Row],[Beginning Balance]]-Table157[[#This Row],[Principal]]-Table157[[#This Row],[Prepayments]]),2)</f>
        <v>0</v>
      </c>
      <c r="K250" s="3">
        <f>ROUND(Table157[[#This Row],[Defaulted Principal]]*IF($C$9="No",$E$4,VLOOKUP(Table157[[#This Row],[Period]],Forecast!$H$2:$L$1048576,3,FALSE)),2)</f>
        <v>0</v>
      </c>
      <c r="L250" s="2">
        <f>Table157[[#This Row],[Period]]+$E$9</f>
        <v>246</v>
      </c>
      <c r="M250" s="3">
        <f>Table157[[#This Row],[Defaulted Principal]]-Table157[[#This Row],[Estimated Loss]]</f>
        <v>0</v>
      </c>
      <c r="N250" s="3">
        <f>IFERROR(VLOOKUP(Table157[[#This Row],[Period]],$L$16:$M$385,2,FALSE),0)</f>
        <v>0</v>
      </c>
      <c r="O250" s="3">
        <f>Table157[[#This Row],[Beginning Balance]]-Table157[[#This Row],[Principal]]-Table157[[#This Row],[Prepayments]]-Table157[[#This Row],[Defaulted Principal]]</f>
        <v>0</v>
      </c>
      <c r="P250" s="3">
        <f>Table157[[#This Row],[Principal]]+Table157[[#This Row],[Interest]]+Table157[[#This Row],[Prepayments]]+Table157[[#This Row],[RecoveredAmount]]</f>
        <v>0</v>
      </c>
      <c r="Q250" s="3">
        <f ca="1">ROUND(Table157[[#This Row],[Cash Flow]]/((1+ActualRateToUse)^(IF(ISNUMBER(SEARCH("Actual",$C$7)),Table157[[#This Row],[Running Total]]/365,Table157[[#This Row],[Period]]/12))),2)</f>
        <v>0</v>
      </c>
      <c r="R250" s="2">
        <f>IF(MONTH(Table157[[#This Row],[Date]])=2,28,DAY(DATE(YEAR(Table157[[#This Row],[Date]]),MONTH(Table157[[#This Row],[Date]])+1,1)-1))</f>
        <v>31</v>
      </c>
      <c r="S250" s="2">
        <f ca="1">SUM(OFFSET(Table157[[#Headers],[Days in month]],1,0):Table157[[#This Row],[Days in month]])</f>
        <v>7119</v>
      </c>
      <c r="T250" s="37">
        <f>InterestRate*AmortizationMultiplier*IF(ISNUMBER(SEARCH("Actual",$C$7)),Table157[[#This Row],[Days in month]]/365,1/12)</f>
        <v>2.9708333333333331E-3</v>
      </c>
    </row>
    <row r="251" spans="2:20" x14ac:dyDescent="0.2">
      <c r="B251" s="1">
        <f t="shared" si="10"/>
        <v>52993</v>
      </c>
      <c r="C251" s="2">
        <f t="shared" si="12"/>
        <v>235</v>
      </c>
      <c r="D251" s="3">
        <f t="shared" si="11"/>
        <v>0</v>
      </c>
      <c r="E251" s="3">
        <f>ROUND(Table157[[#This Row],[Beginning Balance]]*Table157[[#This Row],[Monthly Interest Rate]],2)</f>
        <v>0</v>
      </c>
      <c r="F251" s="3">
        <f t="shared" si="13"/>
        <v>21</v>
      </c>
      <c r="G251" s="23">
        <f>IFERROR(IF($C$13="No","N/A",IF(Table157[[#This Row],[Period]]=1,$C$6,PMT(InterestRate*AmortizationMultiplier/12,Table157[[#This Row],[Am Thru]],-Table157[[#This Row],[Beginning Balance]]))),0)</f>
        <v>0</v>
      </c>
      <c r="H251" s="3">
        <f>MAX(0,IF(C251=$C$4,D251,ROUND(IF($C$3="Fixed Principal",$C$6-Table157[[#This Row],[Interest]],IF($C$3="Interest Only",Table157[[#This Row],[Beginning Balance]]*ROUND(1-(1-IF($C$11="No",$E$8,1))^(1/12),6),MIN(IF($C$13="Yes",Table157[[#This Row],[Payment Amount (Reamortized)]],$C$6)-Table157[[#This Row],[Interest]],Table157[[#This Row],[Beginning Balance]]))),2)))</f>
        <v>0</v>
      </c>
      <c r="I251" s="3">
        <f>_xlfn.SINGLE(IF($C$3="Line of Credit",0,ROUND(MAX(MIN(IF($C$10="No",$E$7,VLOOKUP(Table157[[#This Row],[Period]],Forecast!$H$2:$L$1048576,4,FALSE))*Table157[[#This Row],[Beginning Balance]],Table157[[#This Row],[Beginning Balance]]-Table157[[#This Row],[Principal]]),0),2)))</f>
        <v>0</v>
      </c>
      <c r="J251" s="3">
        <f>ROUND(MIN(Table157[[#This Row],[Beginning Balance]]*IF($C$8="No",$E$3,VLOOKUP(Table157[[#This Row],[Period]],Forecast!$H$2:$L$1048576,2,FALSE)),Table157[[#This Row],[Beginning Balance]]-Table157[[#This Row],[Principal]]-Table157[[#This Row],[Prepayments]]),2)</f>
        <v>0</v>
      </c>
      <c r="K251" s="3">
        <f>ROUND(Table157[[#This Row],[Defaulted Principal]]*IF($C$9="No",$E$4,VLOOKUP(Table157[[#This Row],[Period]],Forecast!$H$2:$L$1048576,3,FALSE)),2)</f>
        <v>0</v>
      </c>
      <c r="L251" s="2">
        <f>Table157[[#This Row],[Period]]+$E$9</f>
        <v>247</v>
      </c>
      <c r="M251" s="3">
        <f>Table157[[#This Row],[Defaulted Principal]]-Table157[[#This Row],[Estimated Loss]]</f>
        <v>0</v>
      </c>
      <c r="N251" s="3">
        <f>IFERROR(VLOOKUP(Table157[[#This Row],[Period]],$L$16:$M$385,2,FALSE),0)</f>
        <v>0</v>
      </c>
      <c r="O251" s="3">
        <f>Table157[[#This Row],[Beginning Balance]]-Table157[[#This Row],[Principal]]-Table157[[#This Row],[Prepayments]]-Table157[[#This Row],[Defaulted Principal]]</f>
        <v>0</v>
      </c>
      <c r="P251" s="3">
        <f>Table157[[#This Row],[Principal]]+Table157[[#This Row],[Interest]]+Table157[[#This Row],[Prepayments]]+Table157[[#This Row],[RecoveredAmount]]</f>
        <v>0</v>
      </c>
      <c r="Q251" s="3">
        <f ca="1">ROUND(Table157[[#This Row],[Cash Flow]]/((1+ActualRateToUse)^(IF(ISNUMBER(SEARCH("Actual",$C$7)),Table157[[#This Row],[Running Total]]/365,Table157[[#This Row],[Period]]/12))),2)</f>
        <v>0</v>
      </c>
      <c r="R251" s="2">
        <f>IF(MONTH(Table157[[#This Row],[Date]])=2,28,DAY(DATE(YEAR(Table157[[#This Row],[Date]]),MONTH(Table157[[#This Row],[Date]])+1,1)-1))</f>
        <v>31</v>
      </c>
      <c r="S251" s="2">
        <f ca="1">SUM(OFFSET(Table157[[#Headers],[Days in month]],1,0):Table157[[#This Row],[Days in month]])</f>
        <v>7150</v>
      </c>
      <c r="T251" s="37">
        <f>InterestRate*AmortizationMultiplier*IF(ISNUMBER(SEARCH("Actual",$C$7)),Table157[[#This Row],[Days in month]]/365,1/12)</f>
        <v>2.9708333333333331E-3</v>
      </c>
    </row>
    <row r="252" spans="2:20" x14ac:dyDescent="0.2">
      <c r="B252" s="1">
        <f t="shared" si="10"/>
        <v>53021</v>
      </c>
      <c r="C252" s="2">
        <f t="shared" si="12"/>
        <v>236</v>
      </c>
      <c r="D252" s="3">
        <f t="shared" si="11"/>
        <v>0</v>
      </c>
      <c r="E252" s="3">
        <f>ROUND(Table157[[#This Row],[Beginning Balance]]*Table157[[#This Row],[Monthly Interest Rate]],2)</f>
        <v>0</v>
      </c>
      <c r="F252" s="3">
        <f t="shared" si="13"/>
        <v>20</v>
      </c>
      <c r="G252" s="23">
        <f>IFERROR(IF($C$13="No","N/A",IF(Table157[[#This Row],[Period]]=1,$C$6,PMT(InterestRate*AmortizationMultiplier/12,Table157[[#This Row],[Am Thru]],-Table157[[#This Row],[Beginning Balance]]))),0)</f>
        <v>0</v>
      </c>
      <c r="H252" s="3">
        <f>MAX(0,IF(C252=$C$4,D252,ROUND(IF($C$3="Fixed Principal",$C$6-Table157[[#This Row],[Interest]],IF($C$3="Interest Only",Table157[[#This Row],[Beginning Balance]]*ROUND(1-(1-IF($C$11="No",$E$8,1))^(1/12),6),MIN(IF($C$13="Yes",Table157[[#This Row],[Payment Amount (Reamortized)]],$C$6)-Table157[[#This Row],[Interest]],Table157[[#This Row],[Beginning Balance]]))),2)))</f>
        <v>0</v>
      </c>
      <c r="I252" s="3">
        <f>_xlfn.SINGLE(IF($C$3="Line of Credit",0,ROUND(MAX(MIN(IF($C$10="No",$E$7,VLOOKUP(Table157[[#This Row],[Period]],Forecast!$H$2:$L$1048576,4,FALSE))*Table157[[#This Row],[Beginning Balance]],Table157[[#This Row],[Beginning Balance]]-Table157[[#This Row],[Principal]]),0),2)))</f>
        <v>0</v>
      </c>
      <c r="J252" s="3">
        <f>ROUND(MIN(Table157[[#This Row],[Beginning Balance]]*IF($C$8="No",$E$3,VLOOKUP(Table157[[#This Row],[Period]],Forecast!$H$2:$L$1048576,2,FALSE)),Table157[[#This Row],[Beginning Balance]]-Table157[[#This Row],[Principal]]-Table157[[#This Row],[Prepayments]]),2)</f>
        <v>0</v>
      </c>
      <c r="K252" s="3">
        <f>ROUND(Table157[[#This Row],[Defaulted Principal]]*IF($C$9="No",$E$4,VLOOKUP(Table157[[#This Row],[Period]],Forecast!$H$2:$L$1048576,3,FALSE)),2)</f>
        <v>0</v>
      </c>
      <c r="L252" s="2">
        <f>Table157[[#This Row],[Period]]+$E$9</f>
        <v>248</v>
      </c>
      <c r="M252" s="3">
        <f>Table157[[#This Row],[Defaulted Principal]]-Table157[[#This Row],[Estimated Loss]]</f>
        <v>0</v>
      </c>
      <c r="N252" s="3">
        <f>IFERROR(VLOOKUP(Table157[[#This Row],[Period]],$L$16:$M$385,2,FALSE),0)</f>
        <v>0</v>
      </c>
      <c r="O252" s="3">
        <f>Table157[[#This Row],[Beginning Balance]]-Table157[[#This Row],[Principal]]-Table157[[#This Row],[Prepayments]]-Table157[[#This Row],[Defaulted Principal]]</f>
        <v>0</v>
      </c>
      <c r="P252" s="3">
        <f>Table157[[#This Row],[Principal]]+Table157[[#This Row],[Interest]]+Table157[[#This Row],[Prepayments]]+Table157[[#This Row],[RecoveredAmount]]</f>
        <v>0</v>
      </c>
      <c r="Q252" s="3">
        <f ca="1">ROUND(Table157[[#This Row],[Cash Flow]]/((1+ActualRateToUse)^(IF(ISNUMBER(SEARCH("Actual",$C$7)),Table157[[#This Row],[Running Total]]/365,Table157[[#This Row],[Period]]/12))),2)</f>
        <v>0</v>
      </c>
      <c r="R252" s="2">
        <f>IF(MONTH(Table157[[#This Row],[Date]])=2,28,DAY(DATE(YEAR(Table157[[#This Row],[Date]]),MONTH(Table157[[#This Row],[Date]])+1,1)-1))</f>
        <v>28</v>
      </c>
      <c r="S252" s="2">
        <f ca="1">SUM(OFFSET(Table157[[#Headers],[Days in month]],1,0):Table157[[#This Row],[Days in month]])</f>
        <v>7178</v>
      </c>
      <c r="T252" s="37">
        <f>InterestRate*AmortizationMultiplier*IF(ISNUMBER(SEARCH("Actual",$C$7)),Table157[[#This Row],[Days in month]]/365,1/12)</f>
        <v>2.6833333333333336E-3</v>
      </c>
    </row>
    <row r="253" spans="2:20" x14ac:dyDescent="0.2">
      <c r="B253" s="1">
        <f t="shared" si="10"/>
        <v>53052</v>
      </c>
      <c r="C253" s="2">
        <f t="shared" si="12"/>
        <v>237</v>
      </c>
      <c r="D253" s="3">
        <f t="shared" si="11"/>
        <v>0</v>
      </c>
      <c r="E253" s="3">
        <f>ROUND(Table157[[#This Row],[Beginning Balance]]*Table157[[#This Row],[Monthly Interest Rate]],2)</f>
        <v>0</v>
      </c>
      <c r="F253" s="3">
        <f t="shared" si="13"/>
        <v>19</v>
      </c>
      <c r="G253" s="23">
        <f>IFERROR(IF($C$13="No","N/A",IF(Table157[[#This Row],[Period]]=1,$C$6,PMT(InterestRate*AmortizationMultiplier/12,Table157[[#This Row],[Am Thru]],-Table157[[#This Row],[Beginning Balance]]))),0)</f>
        <v>0</v>
      </c>
      <c r="H253" s="3">
        <f>MAX(0,IF(C253=$C$4,D253,ROUND(IF($C$3="Fixed Principal",$C$6-Table157[[#This Row],[Interest]],IF($C$3="Interest Only",Table157[[#This Row],[Beginning Balance]]*ROUND(1-(1-IF($C$11="No",$E$8,1))^(1/12),6),MIN(IF($C$13="Yes",Table157[[#This Row],[Payment Amount (Reamortized)]],$C$6)-Table157[[#This Row],[Interest]],Table157[[#This Row],[Beginning Balance]]))),2)))</f>
        <v>0</v>
      </c>
      <c r="I253" s="3">
        <f>_xlfn.SINGLE(IF($C$3="Line of Credit",0,ROUND(MAX(MIN(IF($C$10="No",$E$7,VLOOKUP(Table157[[#This Row],[Period]],Forecast!$H$2:$L$1048576,4,FALSE))*Table157[[#This Row],[Beginning Balance]],Table157[[#This Row],[Beginning Balance]]-Table157[[#This Row],[Principal]]),0),2)))</f>
        <v>0</v>
      </c>
      <c r="J253" s="3">
        <f>ROUND(MIN(Table157[[#This Row],[Beginning Balance]]*IF($C$8="No",$E$3,VLOOKUP(Table157[[#This Row],[Period]],Forecast!$H$2:$L$1048576,2,FALSE)),Table157[[#This Row],[Beginning Balance]]-Table157[[#This Row],[Principal]]-Table157[[#This Row],[Prepayments]]),2)</f>
        <v>0</v>
      </c>
      <c r="K253" s="3">
        <f>ROUND(Table157[[#This Row],[Defaulted Principal]]*IF($C$9="No",$E$4,VLOOKUP(Table157[[#This Row],[Period]],Forecast!$H$2:$L$1048576,3,FALSE)),2)</f>
        <v>0</v>
      </c>
      <c r="L253" s="2">
        <f>Table157[[#This Row],[Period]]+$E$9</f>
        <v>249</v>
      </c>
      <c r="M253" s="3">
        <f>Table157[[#This Row],[Defaulted Principal]]-Table157[[#This Row],[Estimated Loss]]</f>
        <v>0</v>
      </c>
      <c r="N253" s="3">
        <f>IFERROR(VLOOKUP(Table157[[#This Row],[Period]],$L$16:$M$385,2,FALSE),0)</f>
        <v>0</v>
      </c>
      <c r="O253" s="3">
        <f>Table157[[#This Row],[Beginning Balance]]-Table157[[#This Row],[Principal]]-Table157[[#This Row],[Prepayments]]-Table157[[#This Row],[Defaulted Principal]]</f>
        <v>0</v>
      </c>
      <c r="P253" s="3">
        <f>Table157[[#This Row],[Principal]]+Table157[[#This Row],[Interest]]+Table157[[#This Row],[Prepayments]]+Table157[[#This Row],[RecoveredAmount]]</f>
        <v>0</v>
      </c>
      <c r="Q253" s="3">
        <f ca="1">ROUND(Table157[[#This Row],[Cash Flow]]/((1+ActualRateToUse)^(IF(ISNUMBER(SEARCH("Actual",$C$7)),Table157[[#This Row],[Running Total]]/365,Table157[[#This Row],[Period]]/12))),2)</f>
        <v>0</v>
      </c>
      <c r="R253" s="2">
        <f>IF(MONTH(Table157[[#This Row],[Date]])=2,28,DAY(DATE(YEAR(Table157[[#This Row],[Date]]),MONTH(Table157[[#This Row],[Date]])+1,1)-1))</f>
        <v>31</v>
      </c>
      <c r="S253" s="2">
        <f ca="1">SUM(OFFSET(Table157[[#Headers],[Days in month]],1,0):Table157[[#This Row],[Days in month]])</f>
        <v>7209</v>
      </c>
      <c r="T253" s="37">
        <f>InterestRate*AmortizationMultiplier*IF(ISNUMBER(SEARCH("Actual",$C$7)),Table157[[#This Row],[Days in month]]/365,1/12)</f>
        <v>2.9708333333333331E-3</v>
      </c>
    </row>
    <row r="254" spans="2:20" x14ac:dyDescent="0.2">
      <c r="B254" s="1">
        <f t="shared" si="10"/>
        <v>53082</v>
      </c>
      <c r="C254" s="2">
        <f t="shared" si="12"/>
        <v>238</v>
      </c>
      <c r="D254" s="3">
        <f t="shared" si="11"/>
        <v>0</v>
      </c>
      <c r="E254" s="3">
        <f>ROUND(Table157[[#This Row],[Beginning Balance]]*Table157[[#This Row],[Monthly Interest Rate]],2)</f>
        <v>0</v>
      </c>
      <c r="F254" s="3">
        <f t="shared" si="13"/>
        <v>18</v>
      </c>
      <c r="G254" s="23">
        <f>IFERROR(IF($C$13="No","N/A",IF(Table157[[#This Row],[Period]]=1,$C$6,PMT(InterestRate*AmortizationMultiplier/12,Table157[[#This Row],[Am Thru]],-Table157[[#This Row],[Beginning Balance]]))),0)</f>
        <v>0</v>
      </c>
      <c r="H254" s="3">
        <f>MAX(0,IF(C254=$C$4,D254,ROUND(IF($C$3="Fixed Principal",$C$6-Table157[[#This Row],[Interest]],IF($C$3="Interest Only",Table157[[#This Row],[Beginning Balance]]*ROUND(1-(1-IF($C$11="No",$E$8,1))^(1/12),6),MIN(IF($C$13="Yes",Table157[[#This Row],[Payment Amount (Reamortized)]],$C$6)-Table157[[#This Row],[Interest]],Table157[[#This Row],[Beginning Balance]]))),2)))</f>
        <v>0</v>
      </c>
      <c r="I254" s="3">
        <f>_xlfn.SINGLE(IF($C$3="Line of Credit",0,ROUND(MAX(MIN(IF($C$10="No",$E$7,VLOOKUP(Table157[[#This Row],[Period]],Forecast!$H$2:$L$1048576,4,FALSE))*Table157[[#This Row],[Beginning Balance]],Table157[[#This Row],[Beginning Balance]]-Table157[[#This Row],[Principal]]),0),2)))</f>
        <v>0</v>
      </c>
      <c r="J254" s="3">
        <f>ROUND(MIN(Table157[[#This Row],[Beginning Balance]]*IF($C$8="No",$E$3,VLOOKUP(Table157[[#This Row],[Period]],Forecast!$H$2:$L$1048576,2,FALSE)),Table157[[#This Row],[Beginning Balance]]-Table157[[#This Row],[Principal]]-Table157[[#This Row],[Prepayments]]),2)</f>
        <v>0</v>
      </c>
      <c r="K254" s="3">
        <f>ROUND(Table157[[#This Row],[Defaulted Principal]]*IF($C$9="No",$E$4,VLOOKUP(Table157[[#This Row],[Period]],Forecast!$H$2:$L$1048576,3,FALSE)),2)</f>
        <v>0</v>
      </c>
      <c r="L254" s="2">
        <f>Table157[[#This Row],[Period]]+$E$9</f>
        <v>250</v>
      </c>
      <c r="M254" s="3">
        <f>Table157[[#This Row],[Defaulted Principal]]-Table157[[#This Row],[Estimated Loss]]</f>
        <v>0</v>
      </c>
      <c r="N254" s="3">
        <f>IFERROR(VLOOKUP(Table157[[#This Row],[Period]],$L$16:$M$385,2,FALSE),0)</f>
        <v>0</v>
      </c>
      <c r="O254" s="3">
        <f>Table157[[#This Row],[Beginning Balance]]-Table157[[#This Row],[Principal]]-Table157[[#This Row],[Prepayments]]-Table157[[#This Row],[Defaulted Principal]]</f>
        <v>0</v>
      </c>
      <c r="P254" s="3">
        <f>Table157[[#This Row],[Principal]]+Table157[[#This Row],[Interest]]+Table157[[#This Row],[Prepayments]]+Table157[[#This Row],[RecoveredAmount]]</f>
        <v>0</v>
      </c>
      <c r="Q254" s="3">
        <f ca="1">ROUND(Table157[[#This Row],[Cash Flow]]/((1+ActualRateToUse)^(IF(ISNUMBER(SEARCH("Actual",$C$7)),Table157[[#This Row],[Running Total]]/365,Table157[[#This Row],[Period]]/12))),2)</f>
        <v>0</v>
      </c>
      <c r="R254" s="2">
        <f>IF(MONTH(Table157[[#This Row],[Date]])=2,28,DAY(DATE(YEAR(Table157[[#This Row],[Date]]),MONTH(Table157[[#This Row],[Date]])+1,1)-1))</f>
        <v>30</v>
      </c>
      <c r="S254" s="2">
        <f ca="1">SUM(OFFSET(Table157[[#Headers],[Days in month]],1,0):Table157[[#This Row],[Days in month]])</f>
        <v>7239</v>
      </c>
      <c r="T254" s="37">
        <f>InterestRate*AmortizationMultiplier*IF(ISNUMBER(SEARCH("Actual",$C$7)),Table157[[#This Row],[Days in month]]/365,1/12)</f>
        <v>2.8749999999999995E-3</v>
      </c>
    </row>
    <row r="255" spans="2:20" x14ac:dyDescent="0.2">
      <c r="B255" s="1">
        <f t="shared" si="10"/>
        <v>53113</v>
      </c>
      <c r="C255" s="2">
        <f t="shared" si="12"/>
        <v>239</v>
      </c>
      <c r="D255" s="3">
        <f t="shared" si="11"/>
        <v>0</v>
      </c>
      <c r="E255" s="3">
        <f>ROUND(Table157[[#This Row],[Beginning Balance]]*Table157[[#This Row],[Monthly Interest Rate]],2)</f>
        <v>0</v>
      </c>
      <c r="F255" s="3">
        <f t="shared" si="13"/>
        <v>17</v>
      </c>
      <c r="G255" s="23">
        <f>IFERROR(IF($C$13="No","N/A",IF(Table157[[#This Row],[Period]]=1,$C$6,PMT(InterestRate*AmortizationMultiplier/12,Table157[[#This Row],[Am Thru]],-Table157[[#This Row],[Beginning Balance]]))),0)</f>
        <v>0</v>
      </c>
      <c r="H255" s="3">
        <f>MAX(0,IF(C255=$C$4,D255,ROUND(IF($C$3="Fixed Principal",$C$6-Table157[[#This Row],[Interest]],IF($C$3="Interest Only",Table157[[#This Row],[Beginning Balance]]*ROUND(1-(1-IF($C$11="No",$E$8,1))^(1/12),6),MIN(IF($C$13="Yes",Table157[[#This Row],[Payment Amount (Reamortized)]],$C$6)-Table157[[#This Row],[Interest]],Table157[[#This Row],[Beginning Balance]]))),2)))</f>
        <v>0</v>
      </c>
      <c r="I255" s="3">
        <f>_xlfn.SINGLE(IF($C$3="Line of Credit",0,ROUND(MAX(MIN(IF($C$10="No",$E$7,VLOOKUP(Table157[[#This Row],[Period]],Forecast!$H$2:$L$1048576,4,FALSE))*Table157[[#This Row],[Beginning Balance]],Table157[[#This Row],[Beginning Balance]]-Table157[[#This Row],[Principal]]),0),2)))</f>
        <v>0</v>
      </c>
      <c r="J255" s="3">
        <f>ROUND(MIN(Table157[[#This Row],[Beginning Balance]]*IF($C$8="No",$E$3,VLOOKUP(Table157[[#This Row],[Period]],Forecast!$H$2:$L$1048576,2,FALSE)),Table157[[#This Row],[Beginning Balance]]-Table157[[#This Row],[Principal]]-Table157[[#This Row],[Prepayments]]),2)</f>
        <v>0</v>
      </c>
      <c r="K255" s="3">
        <f>ROUND(Table157[[#This Row],[Defaulted Principal]]*IF($C$9="No",$E$4,VLOOKUP(Table157[[#This Row],[Period]],Forecast!$H$2:$L$1048576,3,FALSE)),2)</f>
        <v>0</v>
      </c>
      <c r="L255" s="2">
        <f>Table157[[#This Row],[Period]]+$E$9</f>
        <v>251</v>
      </c>
      <c r="M255" s="3">
        <f>Table157[[#This Row],[Defaulted Principal]]-Table157[[#This Row],[Estimated Loss]]</f>
        <v>0</v>
      </c>
      <c r="N255" s="3">
        <f>IFERROR(VLOOKUP(Table157[[#This Row],[Period]],$L$16:$M$385,2,FALSE),0)</f>
        <v>0</v>
      </c>
      <c r="O255" s="3">
        <f>Table157[[#This Row],[Beginning Balance]]-Table157[[#This Row],[Principal]]-Table157[[#This Row],[Prepayments]]-Table157[[#This Row],[Defaulted Principal]]</f>
        <v>0</v>
      </c>
      <c r="P255" s="3">
        <f>Table157[[#This Row],[Principal]]+Table157[[#This Row],[Interest]]+Table157[[#This Row],[Prepayments]]+Table157[[#This Row],[RecoveredAmount]]</f>
        <v>0</v>
      </c>
      <c r="Q255" s="3">
        <f ca="1">ROUND(Table157[[#This Row],[Cash Flow]]/((1+ActualRateToUse)^(IF(ISNUMBER(SEARCH("Actual",$C$7)),Table157[[#This Row],[Running Total]]/365,Table157[[#This Row],[Period]]/12))),2)</f>
        <v>0</v>
      </c>
      <c r="R255" s="2">
        <f>IF(MONTH(Table157[[#This Row],[Date]])=2,28,DAY(DATE(YEAR(Table157[[#This Row],[Date]]),MONTH(Table157[[#This Row],[Date]])+1,1)-1))</f>
        <v>31</v>
      </c>
      <c r="S255" s="2">
        <f ca="1">SUM(OFFSET(Table157[[#Headers],[Days in month]],1,0):Table157[[#This Row],[Days in month]])</f>
        <v>7270</v>
      </c>
      <c r="T255" s="37">
        <f>InterestRate*AmortizationMultiplier*IF(ISNUMBER(SEARCH("Actual",$C$7)),Table157[[#This Row],[Days in month]]/365,1/12)</f>
        <v>2.9708333333333331E-3</v>
      </c>
    </row>
    <row r="256" spans="2:20" x14ac:dyDescent="0.2">
      <c r="B256" s="1">
        <f t="shared" si="10"/>
        <v>53143</v>
      </c>
      <c r="C256" s="2">
        <f t="shared" si="12"/>
        <v>240</v>
      </c>
      <c r="D256" s="3">
        <f t="shared" si="11"/>
        <v>0</v>
      </c>
      <c r="E256" s="3">
        <f>ROUND(Table157[[#This Row],[Beginning Balance]]*Table157[[#This Row],[Monthly Interest Rate]],2)</f>
        <v>0</v>
      </c>
      <c r="F256" s="3">
        <f t="shared" si="13"/>
        <v>16</v>
      </c>
      <c r="G256" s="23">
        <f>IFERROR(IF($C$13="No","N/A",IF(Table157[[#This Row],[Period]]=1,$C$6,PMT(InterestRate*AmortizationMultiplier/12,Table157[[#This Row],[Am Thru]],-Table157[[#This Row],[Beginning Balance]]))),0)</f>
        <v>0</v>
      </c>
      <c r="H256" s="3">
        <f>MAX(0,IF(C256=$C$4,D256,ROUND(IF($C$3="Fixed Principal",$C$6-Table157[[#This Row],[Interest]],IF($C$3="Interest Only",Table157[[#This Row],[Beginning Balance]]*ROUND(1-(1-IF($C$11="No",$E$8,1))^(1/12),6),MIN(IF($C$13="Yes",Table157[[#This Row],[Payment Amount (Reamortized)]],$C$6)-Table157[[#This Row],[Interest]],Table157[[#This Row],[Beginning Balance]]))),2)))</f>
        <v>0</v>
      </c>
      <c r="I256" s="3">
        <f>_xlfn.SINGLE(IF($C$3="Line of Credit",0,ROUND(MAX(MIN(IF($C$10="No",$E$7,VLOOKUP(Table157[[#This Row],[Period]],Forecast!$H$2:$L$1048576,4,FALSE))*Table157[[#This Row],[Beginning Balance]],Table157[[#This Row],[Beginning Balance]]-Table157[[#This Row],[Principal]]),0),2)))</f>
        <v>0</v>
      </c>
      <c r="J256" s="3">
        <f>ROUND(MIN(Table157[[#This Row],[Beginning Balance]]*IF($C$8="No",$E$3,VLOOKUP(Table157[[#This Row],[Period]],Forecast!$H$2:$L$1048576,2,FALSE)),Table157[[#This Row],[Beginning Balance]]-Table157[[#This Row],[Principal]]-Table157[[#This Row],[Prepayments]]),2)</f>
        <v>0</v>
      </c>
      <c r="K256" s="3">
        <f>ROUND(Table157[[#This Row],[Defaulted Principal]]*IF($C$9="No",$E$4,VLOOKUP(Table157[[#This Row],[Period]],Forecast!$H$2:$L$1048576,3,FALSE)),2)</f>
        <v>0</v>
      </c>
      <c r="L256" s="2">
        <f>Table157[[#This Row],[Period]]+$E$9</f>
        <v>252</v>
      </c>
      <c r="M256" s="3">
        <f>Table157[[#This Row],[Defaulted Principal]]-Table157[[#This Row],[Estimated Loss]]</f>
        <v>0</v>
      </c>
      <c r="N256" s="3">
        <f>IFERROR(VLOOKUP(Table157[[#This Row],[Period]],$L$16:$M$385,2,FALSE),0)</f>
        <v>0</v>
      </c>
      <c r="O256" s="3">
        <f>Table157[[#This Row],[Beginning Balance]]-Table157[[#This Row],[Principal]]-Table157[[#This Row],[Prepayments]]-Table157[[#This Row],[Defaulted Principal]]</f>
        <v>0</v>
      </c>
      <c r="P256" s="3">
        <f>Table157[[#This Row],[Principal]]+Table157[[#This Row],[Interest]]+Table157[[#This Row],[Prepayments]]+Table157[[#This Row],[RecoveredAmount]]</f>
        <v>0</v>
      </c>
      <c r="Q256" s="3">
        <f ca="1">ROUND(Table157[[#This Row],[Cash Flow]]/((1+ActualRateToUse)^(IF(ISNUMBER(SEARCH("Actual",$C$7)),Table157[[#This Row],[Running Total]]/365,Table157[[#This Row],[Period]]/12))),2)</f>
        <v>0</v>
      </c>
      <c r="R256" s="2">
        <f>IF(MONTH(Table157[[#This Row],[Date]])=2,28,DAY(DATE(YEAR(Table157[[#This Row],[Date]]),MONTH(Table157[[#This Row],[Date]])+1,1)-1))</f>
        <v>30</v>
      </c>
      <c r="S256" s="2">
        <f ca="1">SUM(OFFSET(Table157[[#Headers],[Days in month]],1,0):Table157[[#This Row],[Days in month]])</f>
        <v>7300</v>
      </c>
      <c r="T256" s="37">
        <f>InterestRate*AmortizationMultiplier*IF(ISNUMBER(SEARCH("Actual",$C$7)),Table157[[#This Row],[Days in month]]/365,1/12)</f>
        <v>2.8749999999999995E-3</v>
      </c>
    </row>
    <row r="257" spans="2:20" x14ac:dyDescent="0.2">
      <c r="B257" s="1">
        <f t="shared" si="10"/>
        <v>53174</v>
      </c>
      <c r="C257" s="2">
        <f t="shared" si="12"/>
        <v>241</v>
      </c>
      <c r="D257" s="3">
        <f t="shared" si="11"/>
        <v>0</v>
      </c>
      <c r="E257" s="3">
        <f>ROUND(Table157[[#This Row],[Beginning Balance]]*Table157[[#This Row],[Monthly Interest Rate]],2)</f>
        <v>0</v>
      </c>
      <c r="F257" s="3">
        <f t="shared" si="13"/>
        <v>15</v>
      </c>
      <c r="G257" s="23">
        <f>IFERROR(IF($C$13="No","N/A",IF(Table157[[#This Row],[Period]]=1,$C$6,PMT(InterestRate*AmortizationMultiplier/12,Table157[[#This Row],[Am Thru]],-Table157[[#This Row],[Beginning Balance]]))),0)</f>
        <v>0</v>
      </c>
      <c r="H257" s="3">
        <f>MAX(0,IF(C257=$C$4,D257,ROUND(IF($C$3="Fixed Principal",$C$6-Table157[[#This Row],[Interest]],IF($C$3="Interest Only",Table157[[#This Row],[Beginning Balance]]*ROUND(1-(1-IF($C$11="No",$E$8,1))^(1/12),6),MIN(IF($C$13="Yes",Table157[[#This Row],[Payment Amount (Reamortized)]],$C$6)-Table157[[#This Row],[Interest]],Table157[[#This Row],[Beginning Balance]]))),2)))</f>
        <v>0</v>
      </c>
      <c r="I257" s="3">
        <f>_xlfn.SINGLE(IF($C$3="Line of Credit",0,ROUND(MAX(MIN(IF($C$10="No",$E$7,VLOOKUP(Table157[[#This Row],[Period]],Forecast!$H$2:$L$1048576,4,FALSE))*Table157[[#This Row],[Beginning Balance]],Table157[[#This Row],[Beginning Balance]]-Table157[[#This Row],[Principal]]),0),2)))</f>
        <v>0</v>
      </c>
      <c r="J257" s="3">
        <f>ROUND(MIN(Table157[[#This Row],[Beginning Balance]]*IF($C$8="No",$E$3,VLOOKUP(Table157[[#This Row],[Period]],Forecast!$H$2:$L$1048576,2,FALSE)),Table157[[#This Row],[Beginning Balance]]-Table157[[#This Row],[Principal]]-Table157[[#This Row],[Prepayments]]),2)</f>
        <v>0</v>
      </c>
      <c r="K257" s="3">
        <f>ROUND(Table157[[#This Row],[Defaulted Principal]]*IF($C$9="No",$E$4,VLOOKUP(Table157[[#This Row],[Period]],Forecast!$H$2:$L$1048576,3,FALSE)),2)</f>
        <v>0</v>
      </c>
      <c r="L257" s="2">
        <f>Table157[[#This Row],[Period]]+$E$9</f>
        <v>253</v>
      </c>
      <c r="M257" s="3">
        <f>Table157[[#This Row],[Defaulted Principal]]-Table157[[#This Row],[Estimated Loss]]</f>
        <v>0</v>
      </c>
      <c r="N257" s="3">
        <f>IFERROR(VLOOKUP(Table157[[#This Row],[Period]],$L$16:$M$385,2,FALSE),0)</f>
        <v>0</v>
      </c>
      <c r="O257" s="3">
        <f>Table157[[#This Row],[Beginning Balance]]-Table157[[#This Row],[Principal]]-Table157[[#This Row],[Prepayments]]-Table157[[#This Row],[Defaulted Principal]]</f>
        <v>0</v>
      </c>
      <c r="P257" s="3">
        <f>Table157[[#This Row],[Principal]]+Table157[[#This Row],[Interest]]+Table157[[#This Row],[Prepayments]]+Table157[[#This Row],[RecoveredAmount]]</f>
        <v>0</v>
      </c>
      <c r="Q257" s="3">
        <f ca="1">ROUND(Table157[[#This Row],[Cash Flow]]/((1+ActualRateToUse)^(IF(ISNUMBER(SEARCH("Actual",$C$7)),Table157[[#This Row],[Running Total]]/365,Table157[[#This Row],[Period]]/12))),2)</f>
        <v>0</v>
      </c>
      <c r="R257" s="2">
        <f>IF(MONTH(Table157[[#This Row],[Date]])=2,28,DAY(DATE(YEAR(Table157[[#This Row],[Date]]),MONTH(Table157[[#This Row],[Date]])+1,1)-1))</f>
        <v>31</v>
      </c>
      <c r="S257" s="2">
        <f ca="1">SUM(OFFSET(Table157[[#Headers],[Days in month]],1,0):Table157[[#This Row],[Days in month]])</f>
        <v>7331</v>
      </c>
      <c r="T257" s="37">
        <f>InterestRate*AmortizationMultiplier*IF(ISNUMBER(SEARCH("Actual",$C$7)),Table157[[#This Row],[Days in month]]/365,1/12)</f>
        <v>2.9708333333333331E-3</v>
      </c>
    </row>
    <row r="258" spans="2:20" x14ac:dyDescent="0.2">
      <c r="B258" s="1">
        <f t="shared" si="10"/>
        <v>53205</v>
      </c>
      <c r="C258" s="2">
        <f t="shared" si="12"/>
        <v>242</v>
      </c>
      <c r="D258" s="3">
        <f t="shared" si="11"/>
        <v>0</v>
      </c>
      <c r="E258" s="3">
        <f>ROUND(Table157[[#This Row],[Beginning Balance]]*Table157[[#This Row],[Monthly Interest Rate]],2)</f>
        <v>0</v>
      </c>
      <c r="F258" s="3">
        <f t="shared" si="13"/>
        <v>14</v>
      </c>
      <c r="G258" s="23">
        <f>IFERROR(IF($C$13="No","N/A",IF(Table157[[#This Row],[Period]]=1,$C$6,PMT(InterestRate*AmortizationMultiplier/12,Table157[[#This Row],[Am Thru]],-Table157[[#This Row],[Beginning Balance]]))),0)</f>
        <v>0</v>
      </c>
      <c r="H258" s="3">
        <f>MAX(0,IF(C258=$C$4,D258,ROUND(IF($C$3="Fixed Principal",$C$6-Table157[[#This Row],[Interest]],IF($C$3="Interest Only",Table157[[#This Row],[Beginning Balance]]*ROUND(1-(1-IF($C$11="No",$E$8,1))^(1/12),6),MIN(IF($C$13="Yes",Table157[[#This Row],[Payment Amount (Reamortized)]],$C$6)-Table157[[#This Row],[Interest]],Table157[[#This Row],[Beginning Balance]]))),2)))</f>
        <v>0</v>
      </c>
      <c r="I258" s="3">
        <f>_xlfn.SINGLE(IF($C$3="Line of Credit",0,ROUND(MAX(MIN(IF($C$10="No",$E$7,VLOOKUP(Table157[[#This Row],[Period]],Forecast!$H$2:$L$1048576,4,FALSE))*Table157[[#This Row],[Beginning Balance]],Table157[[#This Row],[Beginning Balance]]-Table157[[#This Row],[Principal]]),0),2)))</f>
        <v>0</v>
      </c>
      <c r="J258" s="3">
        <f>ROUND(MIN(Table157[[#This Row],[Beginning Balance]]*IF($C$8="No",$E$3,VLOOKUP(Table157[[#This Row],[Period]],Forecast!$H$2:$L$1048576,2,FALSE)),Table157[[#This Row],[Beginning Balance]]-Table157[[#This Row],[Principal]]-Table157[[#This Row],[Prepayments]]),2)</f>
        <v>0</v>
      </c>
      <c r="K258" s="3">
        <f>ROUND(Table157[[#This Row],[Defaulted Principal]]*IF($C$9="No",$E$4,VLOOKUP(Table157[[#This Row],[Period]],Forecast!$H$2:$L$1048576,3,FALSE)),2)</f>
        <v>0</v>
      </c>
      <c r="L258" s="2">
        <f>Table157[[#This Row],[Period]]+$E$9</f>
        <v>254</v>
      </c>
      <c r="M258" s="3">
        <f>Table157[[#This Row],[Defaulted Principal]]-Table157[[#This Row],[Estimated Loss]]</f>
        <v>0</v>
      </c>
      <c r="N258" s="3">
        <f>IFERROR(VLOOKUP(Table157[[#This Row],[Period]],$L$16:$M$385,2,FALSE),0)</f>
        <v>0</v>
      </c>
      <c r="O258" s="3">
        <f>Table157[[#This Row],[Beginning Balance]]-Table157[[#This Row],[Principal]]-Table157[[#This Row],[Prepayments]]-Table157[[#This Row],[Defaulted Principal]]</f>
        <v>0</v>
      </c>
      <c r="P258" s="3">
        <f>Table157[[#This Row],[Principal]]+Table157[[#This Row],[Interest]]+Table157[[#This Row],[Prepayments]]+Table157[[#This Row],[RecoveredAmount]]</f>
        <v>0</v>
      </c>
      <c r="Q258" s="3">
        <f ca="1">ROUND(Table157[[#This Row],[Cash Flow]]/((1+ActualRateToUse)^(IF(ISNUMBER(SEARCH("Actual",$C$7)),Table157[[#This Row],[Running Total]]/365,Table157[[#This Row],[Period]]/12))),2)</f>
        <v>0</v>
      </c>
      <c r="R258" s="2">
        <f>IF(MONTH(Table157[[#This Row],[Date]])=2,28,DAY(DATE(YEAR(Table157[[#This Row],[Date]]),MONTH(Table157[[#This Row],[Date]])+1,1)-1))</f>
        <v>31</v>
      </c>
      <c r="S258" s="2">
        <f ca="1">SUM(OFFSET(Table157[[#Headers],[Days in month]],1,0):Table157[[#This Row],[Days in month]])</f>
        <v>7362</v>
      </c>
      <c r="T258" s="37">
        <f>InterestRate*AmortizationMultiplier*IF(ISNUMBER(SEARCH("Actual",$C$7)),Table157[[#This Row],[Days in month]]/365,1/12)</f>
        <v>2.9708333333333331E-3</v>
      </c>
    </row>
    <row r="259" spans="2:20" x14ac:dyDescent="0.2">
      <c r="B259" s="1">
        <f t="shared" si="10"/>
        <v>53235</v>
      </c>
      <c r="C259" s="2">
        <f t="shared" si="12"/>
        <v>243</v>
      </c>
      <c r="D259" s="3">
        <f t="shared" si="11"/>
        <v>0</v>
      </c>
      <c r="E259" s="3">
        <f>ROUND(Table157[[#This Row],[Beginning Balance]]*Table157[[#This Row],[Monthly Interest Rate]],2)</f>
        <v>0</v>
      </c>
      <c r="F259" s="3">
        <f t="shared" si="13"/>
        <v>13</v>
      </c>
      <c r="G259" s="23">
        <f>IFERROR(IF($C$13="No","N/A",IF(Table157[[#This Row],[Period]]=1,$C$6,PMT(InterestRate*AmortizationMultiplier/12,Table157[[#This Row],[Am Thru]],-Table157[[#This Row],[Beginning Balance]]))),0)</f>
        <v>0</v>
      </c>
      <c r="H259" s="3">
        <f>MAX(0,IF(C259=$C$4,D259,ROUND(IF($C$3="Fixed Principal",$C$6-Table157[[#This Row],[Interest]],IF($C$3="Interest Only",Table157[[#This Row],[Beginning Balance]]*ROUND(1-(1-IF($C$11="No",$E$8,1))^(1/12),6),MIN(IF($C$13="Yes",Table157[[#This Row],[Payment Amount (Reamortized)]],$C$6)-Table157[[#This Row],[Interest]],Table157[[#This Row],[Beginning Balance]]))),2)))</f>
        <v>0</v>
      </c>
      <c r="I259" s="3">
        <f>_xlfn.SINGLE(IF($C$3="Line of Credit",0,ROUND(MAX(MIN(IF($C$10="No",$E$7,VLOOKUP(Table157[[#This Row],[Period]],Forecast!$H$2:$L$1048576,4,FALSE))*Table157[[#This Row],[Beginning Balance]],Table157[[#This Row],[Beginning Balance]]-Table157[[#This Row],[Principal]]),0),2)))</f>
        <v>0</v>
      </c>
      <c r="J259" s="3">
        <f>ROUND(MIN(Table157[[#This Row],[Beginning Balance]]*IF($C$8="No",$E$3,VLOOKUP(Table157[[#This Row],[Period]],Forecast!$H$2:$L$1048576,2,FALSE)),Table157[[#This Row],[Beginning Balance]]-Table157[[#This Row],[Principal]]-Table157[[#This Row],[Prepayments]]),2)</f>
        <v>0</v>
      </c>
      <c r="K259" s="3">
        <f>ROUND(Table157[[#This Row],[Defaulted Principal]]*IF($C$9="No",$E$4,VLOOKUP(Table157[[#This Row],[Period]],Forecast!$H$2:$L$1048576,3,FALSE)),2)</f>
        <v>0</v>
      </c>
      <c r="L259" s="2">
        <f>Table157[[#This Row],[Period]]+$E$9</f>
        <v>255</v>
      </c>
      <c r="M259" s="3">
        <f>Table157[[#This Row],[Defaulted Principal]]-Table157[[#This Row],[Estimated Loss]]</f>
        <v>0</v>
      </c>
      <c r="N259" s="3">
        <f>IFERROR(VLOOKUP(Table157[[#This Row],[Period]],$L$16:$M$385,2,FALSE),0)</f>
        <v>0</v>
      </c>
      <c r="O259" s="3">
        <f>Table157[[#This Row],[Beginning Balance]]-Table157[[#This Row],[Principal]]-Table157[[#This Row],[Prepayments]]-Table157[[#This Row],[Defaulted Principal]]</f>
        <v>0</v>
      </c>
      <c r="P259" s="3">
        <f>Table157[[#This Row],[Principal]]+Table157[[#This Row],[Interest]]+Table157[[#This Row],[Prepayments]]+Table157[[#This Row],[RecoveredAmount]]</f>
        <v>0</v>
      </c>
      <c r="Q259" s="3">
        <f ca="1">ROUND(Table157[[#This Row],[Cash Flow]]/((1+ActualRateToUse)^(IF(ISNUMBER(SEARCH("Actual",$C$7)),Table157[[#This Row],[Running Total]]/365,Table157[[#This Row],[Period]]/12))),2)</f>
        <v>0</v>
      </c>
      <c r="R259" s="2">
        <f>IF(MONTH(Table157[[#This Row],[Date]])=2,28,DAY(DATE(YEAR(Table157[[#This Row],[Date]]),MONTH(Table157[[#This Row],[Date]])+1,1)-1))</f>
        <v>30</v>
      </c>
      <c r="S259" s="2">
        <f ca="1">SUM(OFFSET(Table157[[#Headers],[Days in month]],1,0):Table157[[#This Row],[Days in month]])</f>
        <v>7392</v>
      </c>
      <c r="T259" s="37">
        <f>InterestRate*AmortizationMultiplier*IF(ISNUMBER(SEARCH("Actual",$C$7)),Table157[[#This Row],[Days in month]]/365,1/12)</f>
        <v>2.8749999999999995E-3</v>
      </c>
    </row>
    <row r="260" spans="2:20" x14ac:dyDescent="0.2">
      <c r="B260" s="1">
        <f t="shared" si="10"/>
        <v>53266</v>
      </c>
      <c r="C260" s="2">
        <f t="shared" si="12"/>
        <v>244</v>
      </c>
      <c r="D260" s="3">
        <f t="shared" si="11"/>
        <v>0</v>
      </c>
      <c r="E260" s="3">
        <f>ROUND(Table157[[#This Row],[Beginning Balance]]*Table157[[#This Row],[Monthly Interest Rate]],2)</f>
        <v>0</v>
      </c>
      <c r="F260" s="3">
        <f t="shared" si="13"/>
        <v>12</v>
      </c>
      <c r="G260" s="23">
        <f>IFERROR(IF($C$13="No","N/A",IF(Table157[[#This Row],[Period]]=1,$C$6,PMT(InterestRate*AmortizationMultiplier/12,Table157[[#This Row],[Am Thru]],-Table157[[#This Row],[Beginning Balance]]))),0)</f>
        <v>0</v>
      </c>
      <c r="H260" s="3">
        <f>MAX(0,IF(C260=$C$4,D260,ROUND(IF($C$3="Fixed Principal",$C$6-Table157[[#This Row],[Interest]],IF($C$3="Interest Only",Table157[[#This Row],[Beginning Balance]]*ROUND(1-(1-IF($C$11="No",$E$8,1))^(1/12),6),MIN(IF($C$13="Yes",Table157[[#This Row],[Payment Amount (Reamortized)]],$C$6)-Table157[[#This Row],[Interest]],Table157[[#This Row],[Beginning Balance]]))),2)))</f>
        <v>0</v>
      </c>
      <c r="I260" s="3">
        <f>_xlfn.SINGLE(IF($C$3="Line of Credit",0,ROUND(MAX(MIN(IF($C$10="No",$E$7,VLOOKUP(Table157[[#This Row],[Period]],Forecast!$H$2:$L$1048576,4,FALSE))*Table157[[#This Row],[Beginning Balance]],Table157[[#This Row],[Beginning Balance]]-Table157[[#This Row],[Principal]]),0),2)))</f>
        <v>0</v>
      </c>
      <c r="J260" s="3">
        <f>ROUND(MIN(Table157[[#This Row],[Beginning Balance]]*IF($C$8="No",$E$3,VLOOKUP(Table157[[#This Row],[Period]],Forecast!$H$2:$L$1048576,2,FALSE)),Table157[[#This Row],[Beginning Balance]]-Table157[[#This Row],[Principal]]-Table157[[#This Row],[Prepayments]]),2)</f>
        <v>0</v>
      </c>
      <c r="K260" s="3">
        <f>ROUND(Table157[[#This Row],[Defaulted Principal]]*IF($C$9="No",$E$4,VLOOKUP(Table157[[#This Row],[Period]],Forecast!$H$2:$L$1048576,3,FALSE)),2)</f>
        <v>0</v>
      </c>
      <c r="L260" s="2">
        <f>Table157[[#This Row],[Period]]+$E$9</f>
        <v>256</v>
      </c>
      <c r="M260" s="3">
        <f>Table157[[#This Row],[Defaulted Principal]]-Table157[[#This Row],[Estimated Loss]]</f>
        <v>0</v>
      </c>
      <c r="N260" s="3">
        <f>IFERROR(VLOOKUP(Table157[[#This Row],[Period]],$L$16:$M$385,2,FALSE),0)</f>
        <v>0</v>
      </c>
      <c r="O260" s="3">
        <f>Table157[[#This Row],[Beginning Balance]]-Table157[[#This Row],[Principal]]-Table157[[#This Row],[Prepayments]]-Table157[[#This Row],[Defaulted Principal]]</f>
        <v>0</v>
      </c>
      <c r="P260" s="3">
        <f>Table157[[#This Row],[Principal]]+Table157[[#This Row],[Interest]]+Table157[[#This Row],[Prepayments]]+Table157[[#This Row],[RecoveredAmount]]</f>
        <v>0</v>
      </c>
      <c r="Q260" s="3">
        <f ca="1">ROUND(Table157[[#This Row],[Cash Flow]]/((1+ActualRateToUse)^(IF(ISNUMBER(SEARCH("Actual",$C$7)),Table157[[#This Row],[Running Total]]/365,Table157[[#This Row],[Period]]/12))),2)</f>
        <v>0</v>
      </c>
      <c r="R260" s="2">
        <f>IF(MONTH(Table157[[#This Row],[Date]])=2,28,DAY(DATE(YEAR(Table157[[#This Row],[Date]]),MONTH(Table157[[#This Row],[Date]])+1,1)-1))</f>
        <v>31</v>
      </c>
      <c r="S260" s="2">
        <f ca="1">SUM(OFFSET(Table157[[#Headers],[Days in month]],1,0):Table157[[#This Row],[Days in month]])</f>
        <v>7423</v>
      </c>
      <c r="T260" s="37">
        <f>InterestRate*AmortizationMultiplier*IF(ISNUMBER(SEARCH("Actual",$C$7)),Table157[[#This Row],[Days in month]]/365,1/12)</f>
        <v>2.9708333333333331E-3</v>
      </c>
    </row>
    <row r="261" spans="2:20" x14ac:dyDescent="0.2">
      <c r="B261" s="1">
        <f t="shared" si="10"/>
        <v>53296</v>
      </c>
      <c r="C261" s="2">
        <f t="shared" si="12"/>
        <v>245</v>
      </c>
      <c r="D261" s="3">
        <f t="shared" si="11"/>
        <v>0</v>
      </c>
      <c r="E261" s="3">
        <f>ROUND(Table157[[#This Row],[Beginning Balance]]*Table157[[#This Row],[Monthly Interest Rate]],2)</f>
        <v>0</v>
      </c>
      <c r="F261" s="3">
        <f t="shared" si="13"/>
        <v>11</v>
      </c>
      <c r="G261" s="23">
        <f>IFERROR(IF($C$13="No","N/A",IF(Table157[[#This Row],[Period]]=1,$C$6,PMT(InterestRate*AmortizationMultiplier/12,Table157[[#This Row],[Am Thru]],-Table157[[#This Row],[Beginning Balance]]))),0)</f>
        <v>0</v>
      </c>
      <c r="H261" s="3">
        <f>MAX(0,IF(C261=$C$4,D261,ROUND(IF($C$3="Fixed Principal",$C$6-Table157[[#This Row],[Interest]],IF($C$3="Interest Only",Table157[[#This Row],[Beginning Balance]]*ROUND(1-(1-IF($C$11="No",$E$8,1))^(1/12),6),MIN(IF($C$13="Yes",Table157[[#This Row],[Payment Amount (Reamortized)]],$C$6)-Table157[[#This Row],[Interest]],Table157[[#This Row],[Beginning Balance]]))),2)))</f>
        <v>0</v>
      </c>
      <c r="I261" s="3">
        <f>_xlfn.SINGLE(IF($C$3="Line of Credit",0,ROUND(MAX(MIN(IF($C$10="No",$E$7,VLOOKUP(Table157[[#This Row],[Period]],Forecast!$H$2:$L$1048576,4,FALSE))*Table157[[#This Row],[Beginning Balance]],Table157[[#This Row],[Beginning Balance]]-Table157[[#This Row],[Principal]]),0),2)))</f>
        <v>0</v>
      </c>
      <c r="J261" s="3">
        <f>ROUND(MIN(Table157[[#This Row],[Beginning Balance]]*IF($C$8="No",$E$3,VLOOKUP(Table157[[#This Row],[Period]],Forecast!$H$2:$L$1048576,2,FALSE)),Table157[[#This Row],[Beginning Balance]]-Table157[[#This Row],[Principal]]-Table157[[#This Row],[Prepayments]]),2)</f>
        <v>0</v>
      </c>
      <c r="K261" s="3">
        <f>ROUND(Table157[[#This Row],[Defaulted Principal]]*IF($C$9="No",$E$4,VLOOKUP(Table157[[#This Row],[Period]],Forecast!$H$2:$L$1048576,3,FALSE)),2)</f>
        <v>0</v>
      </c>
      <c r="L261" s="2">
        <f>Table157[[#This Row],[Period]]+$E$9</f>
        <v>257</v>
      </c>
      <c r="M261" s="3">
        <f>Table157[[#This Row],[Defaulted Principal]]-Table157[[#This Row],[Estimated Loss]]</f>
        <v>0</v>
      </c>
      <c r="N261" s="3">
        <f>IFERROR(VLOOKUP(Table157[[#This Row],[Period]],$L$16:$M$385,2,FALSE),0)</f>
        <v>0</v>
      </c>
      <c r="O261" s="3">
        <f>Table157[[#This Row],[Beginning Balance]]-Table157[[#This Row],[Principal]]-Table157[[#This Row],[Prepayments]]-Table157[[#This Row],[Defaulted Principal]]</f>
        <v>0</v>
      </c>
      <c r="P261" s="3">
        <f>Table157[[#This Row],[Principal]]+Table157[[#This Row],[Interest]]+Table157[[#This Row],[Prepayments]]+Table157[[#This Row],[RecoveredAmount]]</f>
        <v>0</v>
      </c>
      <c r="Q261" s="3">
        <f ca="1">ROUND(Table157[[#This Row],[Cash Flow]]/((1+ActualRateToUse)^(IF(ISNUMBER(SEARCH("Actual",$C$7)),Table157[[#This Row],[Running Total]]/365,Table157[[#This Row],[Period]]/12))),2)</f>
        <v>0</v>
      </c>
      <c r="R261" s="2">
        <f>IF(MONTH(Table157[[#This Row],[Date]])=2,28,DAY(DATE(YEAR(Table157[[#This Row],[Date]]),MONTH(Table157[[#This Row],[Date]])+1,1)-1))</f>
        <v>30</v>
      </c>
      <c r="S261" s="2">
        <f ca="1">SUM(OFFSET(Table157[[#Headers],[Days in month]],1,0):Table157[[#This Row],[Days in month]])</f>
        <v>7453</v>
      </c>
      <c r="T261" s="37">
        <f>InterestRate*AmortizationMultiplier*IF(ISNUMBER(SEARCH("Actual",$C$7)),Table157[[#This Row],[Days in month]]/365,1/12)</f>
        <v>2.8749999999999995E-3</v>
      </c>
    </row>
    <row r="262" spans="2:20" x14ac:dyDescent="0.2">
      <c r="B262" s="1">
        <f t="shared" si="10"/>
        <v>53327</v>
      </c>
      <c r="C262" s="2">
        <f t="shared" si="12"/>
        <v>246</v>
      </c>
      <c r="D262" s="3">
        <f t="shared" si="11"/>
        <v>0</v>
      </c>
      <c r="E262" s="3">
        <f>ROUND(Table157[[#This Row],[Beginning Balance]]*Table157[[#This Row],[Monthly Interest Rate]],2)</f>
        <v>0</v>
      </c>
      <c r="F262" s="3">
        <f t="shared" si="13"/>
        <v>10</v>
      </c>
      <c r="G262" s="23">
        <f>IFERROR(IF($C$13="No","N/A",IF(Table157[[#This Row],[Period]]=1,$C$6,PMT(InterestRate*AmortizationMultiplier/12,Table157[[#This Row],[Am Thru]],-Table157[[#This Row],[Beginning Balance]]))),0)</f>
        <v>0</v>
      </c>
      <c r="H262" s="3">
        <f>MAX(0,IF(C262=$C$4,D262,ROUND(IF($C$3="Fixed Principal",$C$6-Table157[[#This Row],[Interest]],IF($C$3="Interest Only",Table157[[#This Row],[Beginning Balance]]*ROUND(1-(1-IF($C$11="No",$E$8,1))^(1/12),6),MIN(IF($C$13="Yes",Table157[[#This Row],[Payment Amount (Reamortized)]],$C$6)-Table157[[#This Row],[Interest]],Table157[[#This Row],[Beginning Balance]]))),2)))</f>
        <v>0</v>
      </c>
      <c r="I262" s="3">
        <f>_xlfn.SINGLE(IF($C$3="Line of Credit",0,ROUND(MAX(MIN(IF($C$10="No",$E$7,VLOOKUP(Table157[[#This Row],[Period]],Forecast!$H$2:$L$1048576,4,FALSE))*Table157[[#This Row],[Beginning Balance]],Table157[[#This Row],[Beginning Balance]]-Table157[[#This Row],[Principal]]),0),2)))</f>
        <v>0</v>
      </c>
      <c r="J262" s="3">
        <f>ROUND(MIN(Table157[[#This Row],[Beginning Balance]]*IF($C$8="No",$E$3,VLOOKUP(Table157[[#This Row],[Period]],Forecast!$H$2:$L$1048576,2,FALSE)),Table157[[#This Row],[Beginning Balance]]-Table157[[#This Row],[Principal]]-Table157[[#This Row],[Prepayments]]),2)</f>
        <v>0</v>
      </c>
      <c r="K262" s="3">
        <f>ROUND(Table157[[#This Row],[Defaulted Principal]]*IF($C$9="No",$E$4,VLOOKUP(Table157[[#This Row],[Period]],Forecast!$H$2:$L$1048576,3,FALSE)),2)</f>
        <v>0</v>
      </c>
      <c r="L262" s="2">
        <f>Table157[[#This Row],[Period]]+$E$9</f>
        <v>258</v>
      </c>
      <c r="M262" s="3">
        <f>Table157[[#This Row],[Defaulted Principal]]-Table157[[#This Row],[Estimated Loss]]</f>
        <v>0</v>
      </c>
      <c r="N262" s="3">
        <f>IFERROR(VLOOKUP(Table157[[#This Row],[Period]],$L$16:$M$385,2,FALSE),0)</f>
        <v>0</v>
      </c>
      <c r="O262" s="3">
        <f>Table157[[#This Row],[Beginning Balance]]-Table157[[#This Row],[Principal]]-Table157[[#This Row],[Prepayments]]-Table157[[#This Row],[Defaulted Principal]]</f>
        <v>0</v>
      </c>
      <c r="P262" s="3">
        <f>Table157[[#This Row],[Principal]]+Table157[[#This Row],[Interest]]+Table157[[#This Row],[Prepayments]]+Table157[[#This Row],[RecoveredAmount]]</f>
        <v>0</v>
      </c>
      <c r="Q262" s="3">
        <f ca="1">ROUND(Table157[[#This Row],[Cash Flow]]/((1+ActualRateToUse)^(IF(ISNUMBER(SEARCH("Actual",$C$7)),Table157[[#This Row],[Running Total]]/365,Table157[[#This Row],[Period]]/12))),2)</f>
        <v>0</v>
      </c>
      <c r="R262" s="2">
        <f>IF(MONTH(Table157[[#This Row],[Date]])=2,28,DAY(DATE(YEAR(Table157[[#This Row],[Date]]),MONTH(Table157[[#This Row],[Date]])+1,1)-1))</f>
        <v>31</v>
      </c>
      <c r="S262" s="2">
        <f ca="1">SUM(OFFSET(Table157[[#Headers],[Days in month]],1,0):Table157[[#This Row],[Days in month]])</f>
        <v>7484</v>
      </c>
      <c r="T262" s="37">
        <f>InterestRate*AmortizationMultiplier*IF(ISNUMBER(SEARCH("Actual",$C$7)),Table157[[#This Row],[Days in month]]/365,1/12)</f>
        <v>2.9708333333333331E-3</v>
      </c>
    </row>
    <row r="263" spans="2:20" x14ac:dyDescent="0.2">
      <c r="B263" s="1">
        <f t="shared" si="10"/>
        <v>53358</v>
      </c>
      <c r="C263" s="2">
        <f t="shared" si="12"/>
        <v>247</v>
      </c>
      <c r="D263" s="3">
        <f t="shared" si="11"/>
        <v>0</v>
      </c>
      <c r="E263" s="3">
        <f>ROUND(Table157[[#This Row],[Beginning Balance]]*Table157[[#This Row],[Monthly Interest Rate]],2)</f>
        <v>0</v>
      </c>
      <c r="F263" s="3">
        <f t="shared" si="13"/>
        <v>9</v>
      </c>
      <c r="G263" s="23">
        <f>IFERROR(IF($C$13="No","N/A",IF(Table157[[#This Row],[Period]]=1,$C$6,PMT(InterestRate*AmortizationMultiplier/12,Table157[[#This Row],[Am Thru]],-Table157[[#This Row],[Beginning Balance]]))),0)</f>
        <v>0</v>
      </c>
      <c r="H263" s="3">
        <f>MAX(0,IF(C263=$C$4,D263,ROUND(IF($C$3="Fixed Principal",$C$6-Table157[[#This Row],[Interest]],IF($C$3="Interest Only",Table157[[#This Row],[Beginning Balance]]*ROUND(1-(1-IF($C$11="No",$E$8,1))^(1/12),6),MIN(IF($C$13="Yes",Table157[[#This Row],[Payment Amount (Reamortized)]],$C$6)-Table157[[#This Row],[Interest]],Table157[[#This Row],[Beginning Balance]]))),2)))</f>
        <v>0</v>
      </c>
      <c r="I263" s="3">
        <f>_xlfn.SINGLE(IF($C$3="Line of Credit",0,ROUND(MAX(MIN(IF($C$10="No",$E$7,VLOOKUP(Table157[[#This Row],[Period]],Forecast!$H$2:$L$1048576,4,FALSE))*Table157[[#This Row],[Beginning Balance]],Table157[[#This Row],[Beginning Balance]]-Table157[[#This Row],[Principal]]),0),2)))</f>
        <v>0</v>
      </c>
      <c r="J263" s="3">
        <f>ROUND(MIN(Table157[[#This Row],[Beginning Balance]]*IF($C$8="No",$E$3,VLOOKUP(Table157[[#This Row],[Period]],Forecast!$H$2:$L$1048576,2,FALSE)),Table157[[#This Row],[Beginning Balance]]-Table157[[#This Row],[Principal]]-Table157[[#This Row],[Prepayments]]),2)</f>
        <v>0</v>
      </c>
      <c r="K263" s="3">
        <f>ROUND(Table157[[#This Row],[Defaulted Principal]]*IF($C$9="No",$E$4,VLOOKUP(Table157[[#This Row],[Period]],Forecast!$H$2:$L$1048576,3,FALSE)),2)</f>
        <v>0</v>
      </c>
      <c r="L263" s="2">
        <f>Table157[[#This Row],[Period]]+$E$9</f>
        <v>259</v>
      </c>
      <c r="M263" s="3">
        <f>Table157[[#This Row],[Defaulted Principal]]-Table157[[#This Row],[Estimated Loss]]</f>
        <v>0</v>
      </c>
      <c r="N263" s="3">
        <f>IFERROR(VLOOKUP(Table157[[#This Row],[Period]],$L$16:$M$385,2,FALSE),0)</f>
        <v>0</v>
      </c>
      <c r="O263" s="3">
        <f>Table157[[#This Row],[Beginning Balance]]-Table157[[#This Row],[Principal]]-Table157[[#This Row],[Prepayments]]-Table157[[#This Row],[Defaulted Principal]]</f>
        <v>0</v>
      </c>
      <c r="P263" s="3">
        <f>Table157[[#This Row],[Principal]]+Table157[[#This Row],[Interest]]+Table157[[#This Row],[Prepayments]]+Table157[[#This Row],[RecoveredAmount]]</f>
        <v>0</v>
      </c>
      <c r="Q263" s="3">
        <f ca="1">ROUND(Table157[[#This Row],[Cash Flow]]/((1+ActualRateToUse)^(IF(ISNUMBER(SEARCH("Actual",$C$7)),Table157[[#This Row],[Running Total]]/365,Table157[[#This Row],[Period]]/12))),2)</f>
        <v>0</v>
      </c>
      <c r="R263" s="2">
        <f>IF(MONTH(Table157[[#This Row],[Date]])=2,28,DAY(DATE(YEAR(Table157[[#This Row],[Date]]),MONTH(Table157[[#This Row],[Date]])+1,1)-1))</f>
        <v>31</v>
      </c>
      <c r="S263" s="2">
        <f ca="1">SUM(OFFSET(Table157[[#Headers],[Days in month]],1,0):Table157[[#This Row],[Days in month]])</f>
        <v>7515</v>
      </c>
      <c r="T263" s="37">
        <f>InterestRate*AmortizationMultiplier*IF(ISNUMBER(SEARCH("Actual",$C$7)),Table157[[#This Row],[Days in month]]/365,1/12)</f>
        <v>2.9708333333333331E-3</v>
      </c>
    </row>
    <row r="264" spans="2:20" x14ac:dyDescent="0.2">
      <c r="B264" s="1">
        <f t="shared" si="10"/>
        <v>53386</v>
      </c>
      <c r="C264" s="2">
        <f t="shared" si="12"/>
        <v>248</v>
      </c>
      <c r="D264" s="3">
        <f t="shared" si="11"/>
        <v>0</v>
      </c>
      <c r="E264" s="3">
        <f>ROUND(Table157[[#This Row],[Beginning Balance]]*Table157[[#This Row],[Monthly Interest Rate]],2)</f>
        <v>0</v>
      </c>
      <c r="F264" s="3">
        <f t="shared" si="13"/>
        <v>8</v>
      </c>
      <c r="G264" s="23">
        <f>IFERROR(IF($C$13="No","N/A",IF(Table157[[#This Row],[Period]]=1,$C$6,PMT(InterestRate*AmortizationMultiplier/12,Table157[[#This Row],[Am Thru]],-Table157[[#This Row],[Beginning Balance]]))),0)</f>
        <v>0</v>
      </c>
      <c r="H264" s="3">
        <f>MAX(0,IF(C264=$C$4,D264,ROUND(IF($C$3="Fixed Principal",$C$6-Table157[[#This Row],[Interest]],IF($C$3="Interest Only",Table157[[#This Row],[Beginning Balance]]*ROUND(1-(1-IF($C$11="No",$E$8,1))^(1/12),6),MIN(IF($C$13="Yes",Table157[[#This Row],[Payment Amount (Reamortized)]],$C$6)-Table157[[#This Row],[Interest]],Table157[[#This Row],[Beginning Balance]]))),2)))</f>
        <v>0</v>
      </c>
      <c r="I264" s="3">
        <f>_xlfn.SINGLE(IF($C$3="Line of Credit",0,ROUND(MAX(MIN(IF($C$10="No",$E$7,VLOOKUP(Table157[[#This Row],[Period]],Forecast!$H$2:$L$1048576,4,FALSE))*Table157[[#This Row],[Beginning Balance]],Table157[[#This Row],[Beginning Balance]]-Table157[[#This Row],[Principal]]),0),2)))</f>
        <v>0</v>
      </c>
      <c r="J264" s="3">
        <f>ROUND(MIN(Table157[[#This Row],[Beginning Balance]]*IF($C$8="No",$E$3,VLOOKUP(Table157[[#This Row],[Period]],Forecast!$H$2:$L$1048576,2,FALSE)),Table157[[#This Row],[Beginning Balance]]-Table157[[#This Row],[Principal]]-Table157[[#This Row],[Prepayments]]),2)</f>
        <v>0</v>
      </c>
      <c r="K264" s="3">
        <f>ROUND(Table157[[#This Row],[Defaulted Principal]]*IF($C$9="No",$E$4,VLOOKUP(Table157[[#This Row],[Period]],Forecast!$H$2:$L$1048576,3,FALSE)),2)</f>
        <v>0</v>
      </c>
      <c r="L264" s="2">
        <f>Table157[[#This Row],[Period]]+$E$9</f>
        <v>260</v>
      </c>
      <c r="M264" s="3">
        <f>Table157[[#This Row],[Defaulted Principal]]-Table157[[#This Row],[Estimated Loss]]</f>
        <v>0</v>
      </c>
      <c r="N264" s="3">
        <f>IFERROR(VLOOKUP(Table157[[#This Row],[Period]],$L$16:$M$385,2,FALSE),0)</f>
        <v>0</v>
      </c>
      <c r="O264" s="3">
        <f>Table157[[#This Row],[Beginning Balance]]-Table157[[#This Row],[Principal]]-Table157[[#This Row],[Prepayments]]-Table157[[#This Row],[Defaulted Principal]]</f>
        <v>0</v>
      </c>
      <c r="P264" s="3">
        <f>Table157[[#This Row],[Principal]]+Table157[[#This Row],[Interest]]+Table157[[#This Row],[Prepayments]]+Table157[[#This Row],[RecoveredAmount]]</f>
        <v>0</v>
      </c>
      <c r="Q264" s="3">
        <f ca="1">ROUND(Table157[[#This Row],[Cash Flow]]/((1+ActualRateToUse)^(IF(ISNUMBER(SEARCH("Actual",$C$7)),Table157[[#This Row],[Running Total]]/365,Table157[[#This Row],[Period]]/12))),2)</f>
        <v>0</v>
      </c>
      <c r="R264" s="2">
        <f>IF(MONTH(Table157[[#This Row],[Date]])=2,28,DAY(DATE(YEAR(Table157[[#This Row],[Date]]),MONTH(Table157[[#This Row],[Date]])+1,1)-1))</f>
        <v>28</v>
      </c>
      <c r="S264" s="2">
        <f ca="1">SUM(OFFSET(Table157[[#Headers],[Days in month]],1,0):Table157[[#This Row],[Days in month]])</f>
        <v>7543</v>
      </c>
      <c r="T264" s="37">
        <f>InterestRate*AmortizationMultiplier*IF(ISNUMBER(SEARCH("Actual",$C$7)),Table157[[#This Row],[Days in month]]/365,1/12)</f>
        <v>2.6833333333333336E-3</v>
      </c>
    </row>
    <row r="265" spans="2:20" x14ac:dyDescent="0.2">
      <c r="B265" s="1">
        <f t="shared" si="10"/>
        <v>53417</v>
      </c>
      <c r="C265" s="2">
        <f t="shared" si="12"/>
        <v>249</v>
      </c>
      <c r="D265" s="3">
        <f t="shared" si="11"/>
        <v>0</v>
      </c>
      <c r="E265" s="3">
        <f>ROUND(Table157[[#This Row],[Beginning Balance]]*Table157[[#This Row],[Monthly Interest Rate]],2)</f>
        <v>0</v>
      </c>
      <c r="F265" s="3">
        <f t="shared" si="13"/>
        <v>7</v>
      </c>
      <c r="G265" s="23">
        <f>IFERROR(IF($C$13="No","N/A",IF(Table157[[#This Row],[Period]]=1,$C$6,PMT(InterestRate*AmortizationMultiplier/12,Table157[[#This Row],[Am Thru]],-Table157[[#This Row],[Beginning Balance]]))),0)</f>
        <v>0</v>
      </c>
      <c r="H265" s="3">
        <f>MAX(0,IF(C265=$C$4,D265,ROUND(IF($C$3="Fixed Principal",$C$6-Table157[[#This Row],[Interest]],IF($C$3="Interest Only",Table157[[#This Row],[Beginning Balance]]*ROUND(1-(1-IF($C$11="No",$E$8,1))^(1/12),6),MIN(IF($C$13="Yes",Table157[[#This Row],[Payment Amount (Reamortized)]],$C$6)-Table157[[#This Row],[Interest]],Table157[[#This Row],[Beginning Balance]]))),2)))</f>
        <v>0</v>
      </c>
      <c r="I265" s="3">
        <f>_xlfn.SINGLE(IF($C$3="Line of Credit",0,ROUND(MAX(MIN(IF($C$10="No",$E$7,VLOOKUP(Table157[[#This Row],[Period]],Forecast!$H$2:$L$1048576,4,FALSE))*Table157[[#This Row],[Beginning Balance]],Table157[[#This Row],[Beginning Balance]]-Table157[[#This Row],[Principal]]),0),2)))</f>
        <v>0</v>
      </c>
      <c r="J265" s="3">
        <f>ROUND(MIN(Table157[[#This Row],[Beginning Balance]]*IF($C$8="No",$E$3,VLOOKUP(Table157[[#This Row],[Period]],Forecast!$H$2:$L$1048576,2,FALSE)),Table157[[#This Row],[Beginning Balance]]-Table157[[#This Row],[Principal]]-Table157[[#This Row],[Prepayments]]),2)</f>
        <v>0</v>
      </c>
      <c r="K265" s="3">
        <f>ROUND(Table157[[#This Row],[Defaulted Principal]]*IF($C$9="No",$E$4,VLOOKUP(Table157[[#This Row],[Period]],Forecast!$H$2:$L$1048576,3,FALSE)),2)</f>
        <v>0</v>
      </c>
      <c r="L265" s="2">
        <f>Table157[[#This Row],[Period]]+$E$9</f>
        <v>261</v>
      </c>
      <c r="M265" s="3">
        <f>Table157[[#This Row],[Defaulted Principal]]-Table157[[#This Row],[Estimated Loss]]</f>
        <v>0</v>
      </c>
      <c r="N265" s="3">
        <f>IFERROR(VLOOKUP(Table157[[#This Row],[Period]],$L$16:$M$385,2,FALSE),0)</f>
        <v>0</v>
      </c>
      <c r="O265" s="3">
        <f>Table157[[#This Row],[Beginning Balance]]-Table157[[#This Row],[Principal]]-Table157[[#This Row],[Prepayments]]-Table157[[#This Row],[Defaulted Principal]]</f>
        <v>0</v>
      </c>
      <c r="P265" s="3">
        <f>Table157[[#This Row],[Principal]]+Table157[[#This Row],[Interest]]+Table157[[#This Row],[Prepayments]]+Table157[[#This Row],[RecoveredAmount]]</f>
        <v>0</v>
      </c>
      <c r="Q265" s="3">
        <f ca="1">ROUND(Table157[[#This Row],[Cash Flow]]/((1+ActualRateToUse)^(IF(ISNUMBER(SEARCH("Actual",$C$7)),Table157[[#This Row],[Running Total]]/365,Table157[[#This Row],[Period]]/12))),2)</f>
        <v>0</v>
      </c>
      <c r="R265" s="2">
        <f>IF(MONTH(Table157[[#This Row],[Date]])=2,28,DAY(DATE(YEAR(Table157[[#This Row],[Date]]),MONTH(Table157[[#This Row],[Date]])+1,1)-1))</f>
        <v>31</v>
      </c>
      <c r="S265" s="2">
        <f ca="1">SUM(OFFSET(Table157[[#Headers],[Days in month]],1,0):Table157[[#This Row],[Days in month]])</f>
        <v>7574</v>
      </c>
      <c r="T265" s="37">
        <f>InterestRate*AmortizationMultiplier*IF(ISNUMBER(SEARCH("Actual",$C$7)),Table157[[#This Row],[Days in month]]/365,1/12)</f>
        <v>2.9708333333333331E-3</v>
      </c>
    </row>
    <row r="266" spans="2:20" x14ac:dyDescent="0.2">
      <c r="B266" s="1">
        <f t="shared" si="10"/>
        <v>53447</v>
      </c>
      <c r="C266" s="2">
        <f t="shared" si="12"/>
        <v>250</v>
      </c>
      <c r="D266" s="3">
        <f t="shared" si="11"/>
        <v>0</v>
      </c>
      <c r="E266" s="3">
        <f>ROUND(Table157[[#This Row],[Beginning Balance]]*Table157[[#This Row],[Monthly Interest Rate]],2)</f>
        <v>0</v>
      </c>
      <c r="F266" s="3">
        <f t="shared" si="13"/>
        <v>6</v>
      </c>
      <c r="G266" s="23">
        <f>IFERROR(IF($C$13="No","N/A",IF(Table157[[#This Row],[Period]]=1,$C$6,PMT(InterestRate*AmortizationMultiplier/12,Table157[[#This Row],[Am Thru]],-Table157[[#This Row],[Beginning Balance]]))),0)</f>
        <v>0</v>
      </c>
      <c r="H266" s="3">
        <f>MAX(0,IF(C266=$C$4,D266,ROUND(IF($C$3="Fixed Principal",$C$6-Table157[[#This Row],[Interest]],IF($C$3="Interest Only",Table157[[#This Row],[Beginning Balance]]*ROUND(1-(1-IF($C$11="No",$E$8,1))^(1/12),6),MIN(IF($C$13="Yes",Table157[[#This Row],[Payment Amount (Reamortized)]],$C$6)-Table157[[#This Row],[Interest]],Table157[[#This Row],[Beginning Balance]]))),2)))</f>
        <v>0</v>
      </c>
      <c r="I266" s="3">
        <f>_xlfn.SINGLE(IF($C$3="Line of Credit",0,ROUND(MAX(MIN(IF($C$10="No",$E$7,VLOOKUP(Table157[[#This Row],[Period]],Forecast!$H$2:$L$1048576,4,FALSE))*Table157[[#This Row],[Beginning Balance]],Table157[[#This Row],[Beginning Balance]]-Table157[[#This Row],[Principal]]),0),2)))</f>
        <v>0</v>
      </c>
      <c r="J266" s="3">
        <f>ROUND(MIN(Table157[[#This Row],[Beginning Balance]]*IF($C$8="No",$E$3,VLOOKUP(Table157[[#This Row],[Period]],Forecast!$H$2:$L$1048576,2,FALSE)),Table157[[#This Row],[Beginning Balance]]-Table157[[#This Row],[Principal]]-Table157[[#This Row],[Prepayments]]),2)</f>
        <v>0</v>
      </c>
      <c r="K266" s="3">
        <f>ROUND(Table157[[#This Row],[Defaulted Principal]]*IF($C$9="No",$E$4,VLOOKUP(Table157[[#This Row],[Period]],Forecast!$H$2:$L$1048576,3,FALSE)),2)</f>
        <v>0</v>
      </c>
      <c r="L266" s="2">
        <f>Table157[[#This Row],[Period]]+$E$9</f>
        <v>262</v>
      </c>
      <c r="M266" s="3">
        <f>Table157[[#This Row],[Defaulted Principal]]-Table157[[#This Row],[Estimated Loss]]</f>
        <v>0</v>
      </c>
      <c r="N266" s="3">
        <f>IFERROR(VLOOKUP(Table157[[#This Row],[Period]],$L$16:$M$385,2,FALSE),0)</f>
        <v>0</v>
      </c>
      <c r="O266" s="3">
        <f>Table157[[#This Row],[Beginning Balance]]-Table157[[#This Row],[Principal]]-Table157[[#This Row],[Prepayments]]-Table157[[#This Row],[Defaulted Principal]]</f>
        <v>0</v>
      </c>
      <c r="P266" s="3">
        <f>Table157[[#This Row],[Principal]]+Table157[[#This Row],[Interest]]+Table157[[#This Row],[Prepayments]]+Table157[[#This Row],[RecoveredAmount]]</f>
        <v>0</v>
      </c>
      <c r="Q266" s="3">
        <f ca="1">ROUND(Table157[[#This Row],[Cash Flow]]/((1+ActualRateToUse)^(IF(ISNUMBER(SEARCH("Actual",$C$7)),Table157[[#This Row],[Running Total]]/365,Table157[[#This Row],[Period]]/12))),2)</f>
        <v>0</v>
      </c>
      <c r="R266" s="2">
        <f>IF(MONTH(Table157[[#This Row],[Date]])=2,28,DAY(DATE(YEAR(Table157[[#This Row],[Date]]),MONTH(Table157[[#This Row],[Date]])+1,1)-1))</f>
        <v>30</v>
      </c>
      <c r="S266" s="2">
        <f ca="1">SUM(OFFSET(Table157[[#Headers],[Days in month]],1,0):Table157[[#This Row],[Days in month]])</f>
        <v>7604</v>
      </c>
      <c r="T266" s="37">
        <f>InterestRate*AmortizationMultiplier*IF(ISNUMBER(SEARCH("Actual",$C$7)),Table157[[#This Row],[Days in month]]/365,1/12)</f>
        <v>2.8749999999999995E-3</v>
      </c>
    </row>
    <row r="267" spans="2:20" x14ac:dyDescent="0.2">
      <c r="B267" s="1">
        <f t="shared" ref="B267:B330" si="14">EOMONTH(B266,1)</f>
        <v>53478</v>
      </c>
      <c r="C267" s="2">
        <f t="shared" si="12"/>
        <v>251</v>
      </c>
      <c r="D267" s="3">
        <f t="shared" si="11"/>
        <v>0</v>
      </c>
      <c r="E267" s="3">
        <f>ROUND(Table157[[#This Row],[Beginning Balance]]*Table157[[#This Row],[Monthly Interest Rate]],2)</f>
        <v>0</v>
      </c>
      <c r="F267" s="3">
        <f t="shared" si="13"/>
        <v>5</v>
      </c>
      <c r="G267" s="23">
        <f>IFERROR(IF($C$13="No","N/A",IF(Table157[[#This Row],[Period]]=1,$C$6,PMT(InterestRate*AmortizationMultiplier/12,Table157[[#This Row],[Am Thru]],-Table157[[#This Row],[Beginning Balance]]))),0)</f>
        <v>0</v>
      </c>
      <c r="H267" s="3">
        <f>MAX(0,IF(C267=$C$4,D267,ROUND(IF($C$3="Fixed Principal",$C$6-Table157[[#This Row],[Interest]],IF($C$3="Interest Only",Table157[[#This Row],[Beginning Balance]]*ROUND(1-(1-IF($C$11="No",$E$8,1))^(1/12),6),MIN(IF($C$13="Yes",Table157[[#This Row],[Payment Amount (Reamortized)]],$C$6)-Table157[[#This Row],[Interest]],Table157[[#This Row],[Beginning Balance]]))),2)))</f>
        <v>0</v>
      </c>
      <c r="I267" s="3">
        <f>_xlfn.SINGLE(IF($C$3="Line of Credit",0,ROUND(MAX(MIN(IF($C$10="No",$E$7,VLOOKUP(Table157[[#This Row],[Period]],Forecast!$H$2:$L$1048576,4,FALSE))*Table157[[#This Row],[Beginning Balance]],Table157[[#This Row],[Beginning Balance]]-Table157[[#This Row],[Principal]]),0),2)))</f>
        <v>0</v>
      </c>
      <c r="J267" s="3">
        <f>ROUND(MIN(Table157[[#This Row],[Beginning Balance]]*IF($C$8="No",$E$3,VLOOKUP(Table157[[#This Row],[Period]],Forecast!$H$2:$L$1048576,2,FALSE)),Table157[[#This Row],[Beginning Balance]]-Table157[[#This Row],[Principal]]-Table157[[#This Row],[Prepayments]]),2)</f>
        <v>0</v>
      </c>
      <c r="K267" s="3">
        <f>ROUND(Table157[[#This Row],[Defaulted Principal]]*IF($C$9="No",$E$4,VLOOKUP(Table157[[#This Row],[Period]],Forecast!$H$2:$L$1048576,3,FALSE)),2)</f>
        <v>0</v>
      </c>
      <c r="L267" s="2">
        <f>Table157[[#This Row],[Period]]+$E$9</f>
        <v>263</v>
      </c>
      <c r="M267" s="3">
        <f>Table157[[#This Row],[Defaulted Principal]]-Table157[[#This Row],[Estimated Loss]]</f>
        <v>0</v>
      </c>
      <c r="N267" s="3">
        <f>IFERROR(VLOOKUP(Table157[[#This Row],[Period]],$L$16:$M$385,2,FALSE),0)</f>
        <v>0</v>
      </c>
      <c r="O267" s="3">
        <f>Table157[[#This Row],[Beginning Balance]]-Table157[[#This Row],[Principal]]-Table157[[#This Row],[Prepayments]]-Table157[[#This Row],[Defaulted Principal]]</f>
        <v>0</v>
      </c>
      <c r="P267" s="3">
        <f>Table157[[#This Row],[Principal]]+Table157[[#This Row],[Interest]]+Table157[[#This Row],[Prepayments]]+Table157[[#This Row],[RecoveredAmount]]</f>
        <v>0</v>
      </c>
      <c r="Q267" s="3">
        <f ca="1">ROUND(Table157[[#This Row],[Cash Flow]]/((1+ActualRateToUse)^(IF(ISNUMBER(SEARCH("Actual",$C$7)),Table157[[#This Row],[Running Total]]/365,Table157[[#This Row],[Period]]/12))),2)</f>
        <v>0</v>
      </c>
      <c r="R267" s="2">
        <f>IF(MONTH(Table157[[#This Row],[Date]])=2,28,DAY(DATE(YEAR(Table157[[#This Row],[Date]]),MONTH(Table157[[#This Row],[Date]])+1,1)-1))</f>
        <v>31</v>
      </c>
      <c r="S267" s="2">
        <f ca="1">SUM(OFFSET(Table157[[#Headers],[Days in month]],1,0):Table157[[#This Row],[Days in month]])</f>
        <v>7635</v>
      </c>
      <c r="T267" s="37">
        <f>InterestRate*AmortizationMultiplier*IF(ISNUMBER(SEARCH("Actual",$C$7)),Table157[[#This Row],[Days in month]]/365,1/12)</f>
        <v>2.9708333333333331E-3</v>
      </c>
    </row>
    <row r="268" spans="2:20" x14ac:dyDescent="0.2">
      <c r="B268" s="1">
        <f t="shared" si="14"/>
        <v>53508</v>
      </c>
      <c r="C268" s="2">
        <f t="shared" si="12"/>
        <v>252</v>
      </c>
      <c r="D268" s="3">
        <f t="shared" si="11"/>
        <v>0</v>
      </c>
      <c r="E268" s="3">
        <f>ROUND(Table157[[#This Row],[Beginning Balance]]*Table157[[#This Row],[Monthly Interest Rate]],2)</f>
        <v>0</v>
      </c>
      <c r="F268" s="3">
        <f t="shared" si="13"/>
        <v>4</v>
      </c>
      <c r="G268" s="23">
        <f>IFERROR(IF($C$13="No","N/A",IF(Table157[[#This Row],[Period]]=1,$C$6,PMT(InterestRate*AmortizationMultiplier/12,Table157[[#This Row],[Am Thru]],-Table157[[#This Row],[Beginning Balance]]))),0)</f>
        <v>0</v>
      </c>
      <c r="H268" s="3">
        <f>MAX(0,IF(C268=$C$4,D268,ROUND(IF($C$3="Fixed Principal",$C$6-Table157[[#This Row],[Interest]],IF($C$3="Interest Only",Table157[[#This Row],[Beginning Balance]]*ROUND(1-(1-IF($C$11="No",$E$8,1))^(1/12),6),MIN(IF($C$13="Yes",Table157[[#This Row],[Payment Amount (Reamortized)]],$C$6)-Table157[[#This Row],[Interest]],Table157[[#This Row],[Beginning Balance]]))),2)))</f>
        <v>0</v>
      </c>
      <c r="I268" s="3">
        <f>_xlfn.SINGLE(IF($C$3="Line of Credit",0,ROUND(MAX(MIN(IF($C$10="No",$E$7,VLOOKUP(Table157[[#This Row],[Period]],Forecast!$H$2:$L$1048576,4,FALSE))*Table157[[#This Row],[Beginning Balance]],Table157[[#This Row],[Beginning Balance]]-Table157[[#This Row],[Principal]]),0),2)))</f>
        <v>0</v>
      </c>
      <c r="J268" s="3">
        <f>ROUND(MIN(Table157[[#This Row],[Beginning Balance]]*IF($C$8="No",$E$3,VLOOKUP(Table157[[#This Row],[Period]],Forecast!$H$2:$L$1048576,2,FALSE)),Table157[[#This Row],[Beginning Balance]]-Table157[[#This Row],[Principal]]-Table157[[#This Row],[Prepayments]]),2)</f>
        <v>0</v>
      </c>
      <c r="K268" s="3">
        <f>ROUND(Table157[[#This Row],[Defaulted Principal]]*IF($C$9="No",$E$4,VLOOKUP(Table157[[#This Row],[Period]],Forecast!$H$2:$L$1048576,3,FALSE)),2)</f>
        <v>0</v>
      </c>
      <c r="L268" s="2">
        <f>Table157[[#This Row],[Period]]+$E$9</f>
        <v>264</v>
      </c>
      <c r="M268" s="3">
        <f>Table157[[#This Row],[Defaulted Principal]]-Table157[[#This Row],[Estimated Loss]]</f>
        <v>0</v>
      </c>
      <c r="N268" s="3">
        <f>IFERROR(VLOOKUP(Table157[[#This Row],[Period]],$L$16:$M$385,2,FALSE),0)</f>
        <v>0</v>
      </c>
      <c r="O268" s="3">
        <f>Table157[[#This Row],[Beginning Balance]]-Table157[[#This Row],[Principal]]-Table157[[#This Row],[Prepayments]]-Table157[[#This Row],[Defaulted Principal]]</f>
        <v>0</v>
      </c>
      <c r="P268" s="3">
        <f>Table157[[#This Row],[Principal]]+Table157[[#This Row],[Interest]]+Table157[[#This Row],[Prepayments]]+Table157[[#This Row],[RecoveredAmount]]</f>
        <v>0</v>
      </c>
      <c r="Q268" s="3">
        <f ca="1">ROUND(Table157[[#This Row],[Cash Flow]]/((1+ActualRateToUse)^(IF(ISNUMBER(SEARCH("Actual",$C$7)),Table157[[#This Row],[Running Total]]/365,Table157[[#This Row],[Period]]/12))),2)</f>
        <v>0</v>
      </c>
      <c r="R268" s="2">
        <f>IF(MONTH(Table157[[#This Row],[Date]])=2,28,DAY(DATE(YEAR(Table157[[#This Row],[Date]]),MONTH(Table157[[#This Row],[Date]])+1,1)-1))</f>
        <v>30</v>
      </c>
      <c r="S268" s="2">
        <f ca="1">SUM(OFFSET(Table157[[#Headers],[Days in month]],1,0):Table157[[#This Row],[Days in month]])</f>
        <v>7665</v>
      </c>
      <c r="T268" s="37">
        <f>InterestRate*AmortizationMultiplier*IF(ISNUMBER(SEARCH("Actual",$C$7)),Table157[[#This Row],[Days in month]]/365,1/12)</f>
        <v>2.8749999999999995E-3</v>
      </c>
    </row>
    <row r="269" spans="2:20" x14ac:dyDescent="0.2">
      <c r="B269" s="1">
        <f t="shared" si="14"/>
        <v>53539</v>
      </c>
      <c r="C269" s="2">
        <f t="shared" si="12"/>
        <v>253</v>
      </c>
      <c r="D269" s="3">
        <f t="shared" si="11"/>
        <v>0</v>
      </c>
      <c r="E269" s="3">
        <f>ROUND(Table157[[#This Row],[Beginning Balance]]*Table157[[#This Row],[Monthly Interest Rate]],2)</f>
        <v>0</v>
      </c>
      <c r="F269" s="3">
        <f t="shared" si="13"/>
        <v>3</v>
      </c>
      <c r="G269" s="23">
        <f>IFERROR(IF($C$13="No","N/A",IF(Table157[[#This Row],[Period]]=1,$C$6,PMT(InterestRate*AmortizationMultiplier/12,Table157[[#This Row],[Am Thru]],-Table157[[#This Row],[Beginning Balance]]))),0)</f>
        <v>0</v>
      </c>
      <c r="H269" s="3">
        <f>MAX(0,IF(C269=$C$4,D269,ROUND(IF($C$3="Fixed Principal",$C$6-Table157[[#This Row],[Interest]],IF($C$3="Interest Only",Table157[[#This Row],[Beginning Balance]]*ROUND(1-(1-IF($C$11="No",$E$8,1))^(1/12),6),MIN(IF($C$13="Yes",Table157[[#This Row],[Payment Amount (Reamortized)]],$C$6)-Table157[[#This Row],[Interest]],Table157[[#This Row],[Beginning Balance]]))),2)))</f>
        <v>0</v>
      </c>
      <c r="I269" s="3">
        <f>_xlfn.SINGLE(IF($C$3="Line of Credit",0,ROUND(MAX(MIN(IF($C$10="No",$E$7,VLOOKUP(Table157[[#This Row],[Period]],Forecast!$H$2:$L$1048576,4,FALSE))*Table157[[#This Row],[Beginning Balance]],Table157[[#This Row],[Beginning Balance]]-Table157[[#This Row],[Principal]]),0),2)))</f>
        <v>0</v>
      </c>
      <c r="J269" s="3">
        <f>ROUND(MIN(Table157[[#This Row],[Beginning Balance]]*IF($C$8="No",$E$3,VLOOKUP(Table157[[#This Row],[Period]],Forecast!$H$2:$L$1048576,2,FALSE)),Table157[[#This Row],[Beginning Balance]]-Table157[[#This Row],[Principal]]-Table157[[#This Row],[Prepayments]]),2)</f>
        <v>0</v>
      </c>
      <c r="K269" s="3">
        <f>ROUND(Table157[[#This Row],[Defaulted Principal]]*IF($C$9="No",$E$4,VLOOKUP(Table157[[#This Row],[Period]],Forecast!$H$2:$L$1048576,3,FALSE)),2)</f>
        <v>0</v>
      </c>
      <c r="L269" s="2">
        <f>Table157[[#This Row],[Period]]+$E$9</f>
        <v>265</v>
      </c>
      <c r="M269" s="3">
        <f>Table157[[#This Row],[Defaulted Principal]]-Table157[[#This Row],[Estimated Loss]]</f>
        <v>0</v>
      </c>
      <c r="N269" s="3">
        <f>IFERROR(VLOOKUP(Table157[[#This Row],[Period]],$L$16:$M$385,2,FALSE),0)</f>
        <v>0</v>
      </c>
      <c r="O269" s="3">
        <f>Table157[[#This Row],[Beginning Balance]]-Table157[[#This Row],[Principal]]-Table157[[#This Row],[Prepayments]]-Table157[[#This Row],[Defaulted Principal]]</f>
        <v>0</v>
      </c>
      <c r="P269" s="3">
        <f>Table157[[#This Row],[Principal]]+Table157[[#This Row],[Interest]]+Table157[[#This Row],[Prepayments]]+Table157[[#This Row],[RecoveredAmount]]</f>
        <v>0</v>
      </c>
      <c r="Q269" s="3">
        <f ca="1">ROUND(Table157[[#This Row],[Cash Flow]]/((1+ActualRateToUse)^(IF(ISNUMBER(SEARCH("Actual",$C$7)),Table157[[#This Row],[Running Total]]/365,Table157[[#This Row],[Period]]/12))),2)</f>
        <v>0</v>
      </c>
      <c r="R269" s="2">
        <f>IF(MONTH(Table157[[#This Row],[Date]])=2,28,DAY(DATE(YEAR(Table157[[#This Row],[Date]]),MONTH(Table157[[#This Row],[Date]])+1,1)-1))</f>
        <v>31</v>
      </c>
      <c r="S269" s="2">
        <f ca="1">SUM(OFFSET(Table157[[#Headers],[Days in month]],1,0):Table157[[#This Row],[Days in month]])</f>
        <v>7696</v>
      </c>
      <c r="T269" s="37">
        <f>InterestRate*AmortizationMultiplier*IF(ISNUMBER(SEARCH("Actual",$C$7)),Table157[[#This Row],[Days in month]]/365,1/12)</f>
        <v>2.9708333333333331E-3</v>
      </c>
    </row>
    <row r="270" spans="2:20" x14ac:dyDescent="0.2">
      <c r="B270" s="1">
        <f t="shared" si="14"/>
        <v>53570</v>
      </c>
      <c r="C270" s="2">
        <f t="shared" si="12"/>
        <v>254</v>
      </c>
      <c r="D270" s="3">
        <f t="shared" si="11"/>
        <v>0</v>
      </c>
      <c r="E270" s="3">
        <f>ROUND(Table157[[#This Row],[Beginning Balance]]*Table157[[#This Row],[Monthly Interest Rate]],2)</f>
        <v>0</v>
      </c>
      <c r="F270" s="3">
        <f t="shared" si="13"/>
        <v>2</v>
      </c>
      <c r="G270" s="23">
        <f>IFERROR(IF($C$13="No","N/A",IF(Table157[[#This Row],[Period]]=1,$C$6,PMT(InterestRate*AmortizationMultiplier/12,Table157[[#This Row],[Am Thru]],-Table157[[#This Row],[Beginning Balance]]))),0)</f>
        <v>0</v>
      </c>
      <c r="H270" s="3">
        <f>MAX(0,IF(C270=$C$4,D270,ROUND(IF($C$3="Fixed Principal",$C$6-Table157[[#This Row],[Interest]],IF($C$3="Interest Only",Table157[[#This Row],[Beginning Balance]]*ROUND(1-(1-IF($C$11="No",$E$8,1))^(1/12),6),MIN(IF($C$13="Yes",Table157[[#This Row],[Payment Amount (Reamortized)]],$C$6)-Table157[[#This Row],[Interest]],Table157[[#This Row],[Beginning Balance]]))),2)))</f>
        <v>0</v>
      </c>
      <c r="I270" s="3">
        <f>_xlfn.SINGLE(IF($C$3="Line of Credit",0,ROUND(MAX(MIN(IF($C$10="No",$E$7,VLOOKUP(Table157[[#This Row],[Period]],Forecast!$H$2:$L$1048576,4,FALSE))*Table157[[#This Row],[Beginning Balance]],Table157[[#This Row],[Beginning Balance]]-Table157[[#This Row],[Principal]]),0),2)))</f>
        <v>0</v>
      </c>
      <c r="J270" s="3">
        <f>ROUND(MIN(Table157[[#This Row],[Beginning Balance]]*IF($C$8="No",$E$3,VLOOKUP(Table157[[#This Row],[Period]],Forecast!$H$2:$L$1048576,2,FALSE)),Table157[[#This Row],[Beginning Balance]]-Table157[[#This Row],[Principal]]-Table157[[#This Row],[Prepayments]]),2)</f>
        <v>0</v>
      </c>
      <c r="K270" s="3">
        <f>ROUND(Table157[[#This Row],[Defaulted Principal]]*IF($C$9="No",$E$4,VLOOKUP(Table157[[#This Row],[Period]],Forecast!$H$2:$L$1048576,3,FALSE)),2)</f>
        <v>0</v>
      </c>
      <c r="L270" s="2">
        <f>Table157[[#This Row],[Period]]+$E$9</f>
        <v>266</v>
      </c>
      <c r="M270" s="3">
        <f>Table157[[#This Row],[Defaulted Principal]]-Table157[[#This Row],[Estimated Loss]]</f>
        <v>0</v>
      </c>
      <c r="N270" s="3">
        <f>IFERROR(VLOOKUP(Table157[[#This Row],[Period]],$L$16:$M$385,2,FALSE),0)</f>
        <v>0</v>
      </c>
      <c r="O270" s="3">
        <f>Table157[[#This Row],[Beginning Balance]]-Table157[[#This Row],[Principal]]-Table157[[#This Row],[Prepayments]]-Table157[[#This Row],[Defaulted Principal]]</f>
        <v>0</v>
      </c>
      <c r="P270" s="3">
        <f>Table157[[#This Row],[Principal]]+Table157[[#This Row],[Interest]]+Table157[[#This Row],[Prepayments]]+Table157[[#This Row],[RecoveredAmount]]</f>
        <v>0</v>
      </c>
      <c r="Q270" s="3">
        <f ca="1">ROUND(Table157[[#This Row],[Cash Flow]]/((1+ActualRateToUse)^(IF(ISNUMBER(SEARCH("Actual",$C$7)),Table157[[#This Row],[Running Total]]/365,Table157[[#This Row],[Period]]/12))),2)</f>
        <v>0</v>
      </c>
      <c r="R270" s="2">
        <f>IF(MONTH(Table157[[#This Row],[Date]])=2,28,DAY(DATE(YEAR(Table157[[#This Row],[Date]]),MONTH(Table157[[#This Row],[Date]])+1,1)-1))</f>
        <v>31</v>
      </c>
      <c r="S270" s="2">
        <f ca="1">SUM(OFFSET(Table157[[#Headers],[Days in month]],1,0):Table157[[#This Row],[Days in month]])</f>
        <v>7727</v>
      </c>
      <c r="T270" s="37">
        <f>InterestRate*AmortizationMultiplier*IF(ISNUMBER(SEARCH("Actual",$C$7)),Table157[[#This Row],[Days in month]]/365,1/12)</f>
        <v>2.9708333333333331E-3</v>
      </c>
    </row>
    <row r="271" spans="2:20" x14ac:dyDescent="0.2">
      <c r="B271" s="1">
        <f t="shared" si="14"/>
        <v>53600</v>
      </c>
      <c r="C271" s="2">
        <f t="shared" si="12"/>
        <v>255</v>
      </c>
      <c r="D271" s="3">
        <f t="shared" si="11"/>
        <v>0</v>
      </c>
      <c r="E271" s="3">
        <f>ROUND(Table157[[#This Row],[Beginning Balance]]*Table157[[#This Row],[Monthly Interest Rate]],2)</f>
        <v>0</v>
      </c>
      <c r="F271" s="3">
        <f t="shared" si="13"/>
        <v>1</v>
      </c>
      <c r="G271" s="23">
        <f>IFERROR(IF($C$13="No","N/A",IF(Table157[[#This Row],[Period]]=1,$C$6,PMT(InterestRate*AmortizationMultiplier/12,Table157[[#This Row],[Am Thru]],-Table157[[#This Row],[Beginning Balance]]))),0)</f>
        <v>0</v>
      </c>
      <c r="H271" s="3">
        <f>MAX(0,IF(C271=$C$4,D271,ROUND(IF($C$3="Fixed Principal",$C$6-Table157[[#This Row],[Interest]],IF($C$3="Interest Only",Table157[[#This Row],[Beginning Balance]]*ROUND(1-(1-IF($C$11="No",$E$8,1))^(1/12),6),MIN(IF($C$13="Yes",Table157[[#This Row],[Payment Amount (Reamortized)]],$C$6)-Table157[[#This Row],[Interest]],Table157[[#This Row],[Beginning Balance]]))),2)))</f>
        <v>0</v>
      </c>
      <c r="I271" s="3">
        <f>_xlfn.SINGLE(IF($C$3="Line of Credit",0,ROUND(MAX(MIN(IF($C$10="No",$E$7,VLOOKUP(Table157[[#This Row],[Period]],Forecast!$H$2:$L$1048576,4,FALSE))*Table157[[#This Row],[Beginning Balance]],Table157[[#This Row],[Beginning Balance]]-Table157[[#This Row],[Principal]]),0),2)))</f>
        <v>0</v>
      </c>
      <c r="J271" s="3">
        <f>ROUND(MIN(Table157[[#This Row],[Beginning Balance]]*IF($C$8="No",$E$3,VLOOKUP(Table157[[#This Row],[Period]],Forecast!$H$2:$L$1048576,2,FALSE)),Table157[[#This Row],[Beginning Balance]]-Table157[[#This Row],[Principal]]-Table157[[#This Row],[Prepayments]]),2)</f>
        <v>0</v>
      </c>
      <c r="K271" s="3">
        <f>ROUND(Table157[[#This Row],[Defaulted Principal]]*IF($C$9="No",$E$4,VLOOKUP(Table157[[#This Row],[Period]],Forecast!$H$2:$L$1048576,3,FALSE)),2)</f>
        <v>0</v>
      </c>
      <c r="L271" s="2">
        <f>Table157[[#This Row],[Period]]+$E$9</f>
        <v>267</v>
      </c>
      <c r="M271" s="3">
        <f>Table157[[#This Row],[Defaulted Principal]]-Table157[[#This Row],[Estimated Loss]]</f>
        <v>0</v>
      </c>
      <c r="N271" s="3">
        <f>IFERROR(VLOOKUP(Table157[[#This Row],[Period]],$L$16:$M$385,2,FALSE),0)</f>
        <v>0</v>
      </c>
      <c r="O271" s="3">
        <f>Table157[[#This Row],[Beginning Balance]]-Table157[[#This Row],[Principal]]-Table157[[#This Row],[Prepayments]]-Table157[[#This Row],[Defaulted Principal]]</f>
        <v>0</v>
      </c>
      <c r="P271" s="3">
        <f>Table157[[#This Row],[Principal]]+Table157[[#This Row],[Interest]]+Table157[[#This Row],[Prepayments]]+Table157[[#This Row],[RecoveredAmount]]</f>
        <v>0</v>
      </c>
      <c r="Q271" s="3">
        <f ca="1">ROUND(Table157[[#This Row],[Cash Flow]]/((1+ActualRateToUse)^(IF(ISNUMBER(SEARCH("Actual",$C$7)),Table157[[#This Row],[Running Total]]/365,Table157[[#This Row],[Period]]/12))),2)</f>
        <v>0</v>
      </c>
      <c r="R271" s="2">
        <f>IF(MONTH(Table157[[#This Row],[Date]])=2,28,DAY(DATE(YEAR(Table157[[#This Row],[Date]]),MONTH(Table157[[#This Row],[Date]])+1,1)-1))</f>
        <v>30</v>
      </c>
      <c r="S271" s="2">
        <f ca="1">SUM(OFFSET(Table157[[#Headers],[Days in month]],1,0):Table157[[#This Row],[Days in month]])</f>
        <v>7757</v>
      </c>
      <c r="T271" s="37">
        <f>InterestRate*AmortizationMultiplier*IF(ISNUMBER(SEARCH("Actual",$C$7)),Table157[[#This Row],[Days in month]]/365,1/12)</f>
        <v>2.8749999999999995E-3</v>
      </c>
    </row>
    <row r="272" spans="2:20" x14ac:dyDescent="0.2">
      <c r="B272" s="1">
        <f t="shared" si="14"/>
        <v>53631</v>
      </c>
      <c r="C272" s="2">
        <f t="shared" si="12"/>
        <v>256</v>
      </c>
      <c r="D272" s="3">
        <f t="shared" si="11"/>
        <v>0</v>
      </c>
      <c r="E272" s="3">
        <f>ROUND(Table157[[#This Row],[Beginning Balance]]*Table157[[#This Row],[Monthly Interest Rate]],2)</f>
        <v>0</v>
      </c>
      <c r="F272" s="3">
        <f t="shared" si="13"/>
        <v>0</v>
      </c>
      <c r="G272" s="23">
        <f>IFERROR(IF($C$13="No","N/A",IF(Table157[[#This Row],[Period]]=1,$C$6,PMT(InterestRate*AmortizationMultiplier/12,Table157[[#This Row],[Am Thru]],-Table157[[#This Row],[Beginning Balance]]))),0)</f>
        <v>0</v>
      </c>
      <c r="H272" s="3">
        <f>MAX(0,IF(C272=$C$4,D272,ROUND(IF($C$3="Fixed Principal",$C$6-Table157[[#This Row],[Interest]],IF($C$3="Interest Only",Table157[[#This Row],[Beginning Balance]]*ROUND(1-(1-IF($C$11="No",$E$8,1))^(1/12),6),MIN(IF($C$13="Yes",Table157[[#This Row],[Payment Amount (Reamortized)]],$C$6)-Table157[[#This Row],[Interest]],Table157[[#This Row],[Beginning Balance]]))),2)))</f>
        <v>0</v>
      </c>
      <c r="I272" s="3">
        <f>_xlfn.SINGLE(IF($C$3="Line of Credit",0,ROUND(MAX(MIN(IF($C$10="No",$E$7,VLOOKUP(Table157[[#This Row],[Period]],Forecast!$H$2:$L$1048576,4,FALSE))*Table157[[#This Row],[Beginning Balance]],Table157[[#This Row],[Beginning Balance]]-Table157[[#This Row],[Principal]]),0),2)))</f>
        <v>0</v>
      </c>
      <c r="J272" s="3">
        <f>ROUND(MIN(Table157[[#This Row],[Beginning Balance]]*IF($C$8="No",$E$3,VLOOKUP(Table157[[#This Row],[Period]],Forecast!$H$2:$L$1048576,2,FALSE)),Table157[[#This Row],[Beginning Balance]]-Table157[[#This Row],[Principal]]-Table157[[#This Row],[Prepayments]]),2)</f>
        <v>0</v>
      </c>
      <c r="K272" s="3">
        <f>ROUND(Table157[[#This Row],[Defaulted Principal]]*IF($C$9="No",$E$4,VLOOKUP(Table157[[#This Row],[Period]],Forecast!$H$2:$L$1048576,3,FALSE)),2)</f>
        <v>0</v>
      </c>
      <c r="L272" s="2">
        <f>Table157[[#This Row],[Period]]+$E$9</f>
        <v>268</v>
      </c>
      <c r="M272" s="3">
        <f>Table157[[#This Row],[Defaulted Principal]]-Table157[[#This Row],[Estimated Loss]]</f>
        <v>0</v>
      </c>
      <c r="N272" s="3">
        <f>IFERROR(VLOOKUP(Table157[[#This Row],[Period]],$L$16:$M$385,2,FALSE),0)</f>
        <v>0</v>
      </c>
      <c r="O272" s="3">
        <f>Table157[[#This Row],[Beginning Balance]]-Table157[[#This Row],[Principal]]-Table157[[#This Row],[Prepayments]]-Table157[[#This Row],[Defaulted Principal]]</f>
        <v>0</v>
      </c>
      <c r="P272" s="3">
        <f>Table157[[#This Row],[Principal]]+Table157[[#This Row],[Interest]]+Table157[[#This Row],[Prepayments]]+Table157[[#This Row],[RecoveredAmount]]</f>
        <v>0</v>
      </c>
      <c r="Q272" s="3">
        <f ca="1">ROUND(Table157[[#This Row],[Cash Flow]]/((1+ActualRateToUse)^(IF(ISNUMBER(SEARCH("Actual",$C$7)),Table157[[#This Row],[Running Total]]/365,Table157[[#This Row],[Period]]/12))),2)</f>
        <v>0</v>
      </c>
      <c r="R272" s="2">
        <f>IF(MONTH(Table157[[#This Row],[Date]])=2,28,DAY(DATE(YEAR(Table157[[#This Row],[Date]]),MONTH(Table157[[#This Row],[Date]])+1,1)-1))</f>
        <v>31</v>
      </c>
      <c r="S272" s="2">
        <f ca="1">SUM(OFFSET(Table157[[#Headers],[Days in month]],1,0):Table157[[#This Row],[Days in month]])</f>
        <v>7788</v>
      </c>
      <c r="T272" s="37">
        <f>InterestRate*AmortizationMultiplier*IF(ISNUMBER(SEARCH("Actual",$C$7)),Table157[[#This Row],[Days in month]]/365,1/12)</f>
        <v>2.9708333333333331E-3</v>
      </c>
    </row>
    <row r="273" spans="2:20" x14ac:dyDescent="0.2">
      <c r="B273" s="1">
        <f t="shared" si="14"/>
        <v>53661</v>
      </c>
      <c r="C273" s="2">
        <f t="shared" si="12"/>
        <v>257</v>
      </c>
      <c r="D273" s="3">
        <f t="shared" si="11"/>
        <v>0</v>
      </c>
      <c r="E273" s="3">
        <f>ROUND(Table157[[#This Row],[Beginning Balance]]*Table157[[#This Row],[Monthly Interest Rate]],2)</f>
        <v>0</v>
      </c>
      <c r="F273" s="3">
        <f t="shared" si="13"/>
        <v>-1</v>
      </c>
      <c r="G273" s="23">
        <f>IFERROR(IF($C$13="No","N/A",IF(Table157[[#This Row],[Period]]=1,$C$6,PMT(InterestRate*AmortizationMultiplier/12,Table157[[#This Row],[Am Thru]],-Table157[[#This Row],[Beginning Balance]]))),0)</f>
        <v>0</v>
      </c>
      <c r="H273" s="3">
        <f>MAX(0,IF(C273=$C$4,D273,ROUND(IF($C$3="Fixed Principal",$C$6-Table157[[#This Row],[Interest]],IF($C$3="Interest Only",Table157[[#This Row],[Beginning Balance]]*ROUND(1-(1-IF($C$11="No",$E$8,1))^(1/12),6),MIN(IF($C$13="Yes",Table157[[#This Row],[Payment Amount (Reamortized)]],$C$6)-Table157[[#This Row],[Interest]],Table157[[#This Row],[Beginning Balance]]))),2)))</f>
        <v>0</v>
      </c>
      <c r="I273" s="3">
        <f>_xlfn.SINGLE(IF($C$3="Line of Credit",0,ROUND(MAX(MIN(IF($C$10="No",$E$7,VLOOKUP(Table157[[#This Row],[Period]],Forecast!$H$2:$L$1048576,4,FALSE))*Table157[[#This Row],[Beginning Balance]],Table157[[#This Row],[Beginning Balance]]-Table157[[#This Row],[Principal]]),0),2)))</f>
        <v>0</v>
      </c>
      <c r="J273" s="3">
        <f>ROUND(MIN(Table157[[#This Row],[Beginning Balance]]*IF($C$8="No",$E$3,VLOOKUP(Table157[[#This Row],[Period]],Forecast!$H$2:$L$1048576,2,FALSE)),Table157[[#This Row],[Beginning Balance]]-Table157[[#This Row],[Principal]]-Table157[[#This Row],[Prepayments]]),2)</f>
        <v>0</v>
      </c>
      <c r="K273" s="3">
        <f>ROUND(Table157[[#This Row],[Defaulted Principal]]*IF($C$9="No",$E$4,VLOOKUP(Table157[[#This Row],[Period]],Forecast!$H$2:$L$1048576,3,FALSE)),2)</f>
        <v>0</v>
      </c>
      <c r="L273" s="2">
        <f>Table157[[#This Row],[Period]]+$E$9</f>
        <v>269</v>
      </c>
      <c r="M273" s="3">
        <f>Table157[[#This Row],[Defaulted Principal]]-Table157[[#This Row],[Estimated Loss]]</f>
        <v>0</v>
      </c>
      <c r="N273" s="3">
        <f>IFERROR(VLOOKUP(Table157[[#This Row],[Period]],$L$16:$M$385,2,FALSE),0)</f>
        <v>0</v>
      </c>
      <c r="O273" s="3">
        <f>Table157[[#This Row],[Beginning Balance]]-Table157[[#This Row],[Principal]]-Table157[[#This Row],[Prepayments]]-Table157[[#This Row],[Defaulted Principal]]</f>
        <v>0</v>
      </c>
      <c r="P273" s="3">
        <f>Table157[[#This Row],[Principal]]+Table157[[#This Row],[Interest]]+Table157[[#This Row],[Prepayments]]+Table157[[#This Row],[RecoveredAmount]]</f>
        <v>0</v>
      </c>
      <c r="Q273" s="3">
        <f ca="1">ROUND(Table157[[#This Row],[Cash Flow]]/((1+ActualRateToUse)^(IF(ISNUMBER(SEARCH("Actual",$C$7)),Table157[[#This Row],[Running Total]]/365,Table157[[#This Row],[Period]]/12))),2)</f>
        <v>0</v>
      </c>
      <c r="R273" s="2">
        <f>IF(MONTH(Table157[[#This Row],[Date]])=2,28,DAY(DATE(YEAR(Table157[[#This Row],[Date]]),MONTH(Table157[[#This Row],[Date]])+1,1)-1))</f>
        <v>30</v>
      </c>
      <c r="S273" s="2">
        <f ca="1">SUM(OFFSET(Table157[[#Headers],[Days in month]],1,0):Table157[[#This Row],[Days in month]])</f>
        <v>7818</v>
      </c>
      <c r="T273" s="37">
        <f>InterestRate*AmortizationMultiplier*IF(ISNUMBER(SEARCH("Actual",$C$7)),Table157[[#This Row],[Days in month]]/365,1/12)</f>
        <v>2.8749999999999995E-3</v>
      </c>
    </row>
    <row r="274" spans="2:20" x14ac:dyDescent="0.2">
      <c r="B274" s="1">
        <f t="shared" si="14"/>
        <v>53692</v>
      </c>
      <c r="C274" s="2">
        <f t="shared" si="12"/>
        <v>258</v>
      </c>
      <c r="D274" s="3">
        <f t="shared" ref="D274:D337" si="15">O273</f>
        <v>0</v>
      </c>
      <c r="E274" s="3">
        <f>ROUND(Table157[[#This Row],[Beginning Balance]]*Table157[[#This Row],[Monthly Interest Rate]],2)</f>
        <v>0</v>
      </c>
      <c r="F274" s="3">
        <f t="shared" si="13"/>
        <v>-2</v>
      </c>
      <c r="G274" s="23">
        <f>IFERROR(IF($C$13="No","N/A",IF(Table157[[#This Row],[Period]]=1,$C$6,PMT(InterestRate*AmortizationMultiplier/12,Table157[[#This Row],[Am Thru]],-Table157[[#This Row],[Beginning Balance]]))),0)</f>
        <v>0</v>
      </c>
      <c r="H274" s="3">
        <f>MAX(0,IF(C274=$C$4,D274,ROUND(IF($C$3="Fixed Principal",$C$6-Table157[[#This Row],[Interest]],IF($C$3="Interest Only",Table157[[#This Row],[Beginning Balance]]*ROUND(1-(1-IF($C$11="No",$E$8,1))^(1/12),6),MIN(IF($C$13="Yes",Table157[[#This Row],[Payment Amount (Reamortized)]],$C$6)-Table157[[#This Row],[Interest]],Table157[[#This Row],[Beginning Balance]]))),2)))</f>
        <v>0</v>
      </c>
      <c r="I274" s="3">
        <f>_xlfn.SINGLE(IF($C$3="Line of Credit",0,ROUND(MAX(MIN(IF($C$10="No",$E$7,VLOOKUP(Table157[[#This Row],[Period]],Forecast!$H$2:$L$1048576,4,FALSE))*Table157[[#This Row],[Beginning Balance]],Table157[[#This Row],[Beginning Balance]]-Table157[[#This Row],[Principal]]),0),2)))</f>
        <v>0</v>
      </c>
      <c r="J274" s="3">
        <f>ROUND(MIN(Table157[[#This Row],[Beginning Balance]]*IF($C$8="No",$E$3,VLOOKUP(Table157[[#This Row],[Period]],Forecast!$H$2:$L$1048576,2,FALSE)),Table157[[#This Row],[Beginning Balance]]-Table157[[#This Row],[Principal]]-Table157[[#This Row],[Prepayments]]),2)</f>
        <v>0</v>
      </c>
      <c r="K274" s="3">
        <f>ROUND(Table157[[#This Row],[Defaulted Principal]]*IF($C$9="No",$E$4,VLOOKUP(Table157[[#This Row],[Period]],Forecast!$H$2:$L$1048576,3,FALSE)),2)</f>
        <v>0</v>
      </c>
      <c r="L274" s="2">
        <f>Table157[[#This Row],[Period]]+$E$9</f>
        <v>270</v>
      </c>
      <c r="M274" s="3">
        <f>Table157[[#This Row],[Defaulted Principal]]-Table157[[#This Row],[Estimated Loss]]</f>
        <v>0</v>
      </c>
      <c r="N274" s="3">
        <f>IFERROR(VLOOKUP(Table157[[#This Row],[Period]],$L$16:$M$385,2,FALSE),0)</f>
        <v>0</v>
      </c>
      <c r="O274" s="3">
        <f>Table157[[#This Row],[Beginning Balance]]-Table157[[#This Row],[Principal]]-Table157[[#This Row],[Prepayments]]-Table157[[#This Row],[Defaulted Principal]]</f>
        <v>0</v>
      </c>
      <c r="P274" s="3">
        <f>Table157[[#This Row],[Principal]]+Table157[[#This Row],[Interest]]+Table157[[#This Row],[Prepayments]]+Table157[[#This Row],[RecoveredAmount]]</f>
        <v>0</v>
      </c>
      <c r="Q274" s="3">
        <f ca="1">ROUND(Table157[[#This Row],[Cash Flow]]/((1+ActualRateToUse)^(IF(ISNUMBER(SEARCH("Actual",$C$7)),Table157[[#This Row],[Running Total]]/365,Table157[[#This Row],[Period]]/12))),2)</f>
        <v>0</v>
      </c>
      <c r="R274" s="2">
        <f>IF(MONTH(Table157[[#This Row],[Date]])=2,28,DAY(DATE(YEAR(Table157[[#This Row],[Date]]),MONTH(Table157[[#This Row],[Date]])+1,1)-1))</f>
        <v>31</v>
      </c>
      <c r="S274" s="2">
        <f ca="1">SUM(OFFSET(Table157[[#Headers],[Days in month]],1,0):Table157[[#This Row],[Days in month]])</f>
        <v>7849</v>
      </c>
      <c r="T274" s="37">
        <f>InterestRate*AmortizationMultiplier*IF(ISNUMBER(SEARCH("Actual",$C$7)),Table157[[#This Row],[Days in month]]/365,1/12)</f>
        <v>2.9708333333333331E-3</v>
      </c>
    </row>
    <row r="275" spans="2:20" x14ac:dyDescent="0.2">
      <c r="B275" s="1">
        <f t="shared" si="14"/>
        <v>53723</v>
      </c>
      <c r="C275" s="2">
        <f t="shared" ref="C275:C338" si="16">C274+1</f>
        <v>259</v>
      </c>
      <c r="D275" s="3">
        <f t="shared" si="15"/>
        <v>0</v>
      </c>
      <c r="E275" s="3">
        <f>ROUND(Table157[[#This Row],[Beginning Balance]]*Table157[[#This Row],[Monthly Interest Rate]],2)</f>
        <v>0</v>
      </c>
      <c r="F275" s="3">
        <f t="shared" ref="F275:F338" si="17">+F274-1</f>
        <v>-3</v>
      </c>
      <c r="G275" s="23">
        <f>IFERROR(IF($C$13="No","N/A",IF(Table157[[#This Row],[Period]]=1,$C$6,PMT(InterestRate*AmortizationMultiplier/12,Table157[[#This Row],[Am Thru]],-Table157[[#This Row],[Beginning Balance]]))),0)</f>
        <v>0</v>
      </c>
      <c r="H275" s="3">
        <f>MAX(0,IF(C275=$C$4,D275,ROUND(IF($C$3="Fixed Principal",$C$6-Table157[[#This Row],[Interest]],IF($C$3="Interest Only",Table157[[#This Row],[Beginning Balance]]*ROUND(1-(1-IF($C$11="No",$E$8,1))^(1/12),6),MIN(IF($C$13="Yes",Table157[[#This Row],[Payment Amount (Reamortized)]],$C$6)-Table157[[#This Row],[Interest]],Table157[[#This Row],[Beginning Balance]]))),2)))</f>
        <v>0</v>
      </c>
      <c r="I275" s="3">
        <f>_xlfn.SINGLE(IF($C$3="Line of Credit",0,ROUND(MAX(MIN(IF($C$10="No",$E$7,VLOOKUP(Table157[[#This Row],[Period]],Forecast!$H$2:$L$1048576,4,FALSE))*Table157[[#This Row],[Beginning Balance]],Table157[[#This Row],[Beginning Balance]]-Table157[[#This Row],[Principal]]),0),2)))</f>
        <v>0</v>
      </c>
      <c r="J275" s="3">
        <f>ROUND(MIN(Table157[[#This Row],[Beginning Balance]]*IF($C$8="No",$E$3,VLOOKUP(Table157[[#This Row],[Period]],Forecast!$H$2:$L$1048576,2,FALSE)),Table157[[#This Row],[Beginning Balance]]-Table157[[#This Row],[Principal]]-Table157[[#This Row],[Prepayments]]),2)</f>
        <v>0</v>
      </c>
      <c r="K275" s="3">
        <f>ROUND(Table157[[#This Row],[Defaulted Principal]]*IF($C$9="No",$E$4,VLOOKUP(Table157[[#This Row],[Period]],Forecast!$H$2:$L$1048576,3,FALSE)),2)</f>
        <v>0</v>
      </c>
      <c r="L275" s="2">
        <f>Table157[[#This Row],[Period]]+$E$9</f>
        <v>271</v>
      </c>
      <c r="M275" s="3">
        <f>Table157[[#This Row],[Defaulted Principal]]-Table157[[#This Row],[Estimated Loss]]</f>
        <v>0</v>
      </c>
      <c r="N275" s="3">
        <f>IFERROR(VLOOKUP(Table157[[#This Row],[Period]],$L$16:$M$385,2,FALSE),0)</f>
        <v>0</v>
      </c>
      <c r="O275" s="3">
        <f>Table157[[#This Row],[Beginning Balance]]-Table157[[#This Row],[Principal]]-Table157[[#This Row],[Prepayments]]-Table157[[#This Row],[Defaulted Principal]]</f>
        <v>0</v>
      </c>
      <c r="P275" s="3">
        <f>Table157[[#This Row],[Principal]]+Table157[[#This Row],[Interest]]+Table157[[#This Row],[Prepayments]]+Table157[[#This Row],[RecoveredAmount]]</f>
        <v>0</v>
      </c>
      <c r="Q275" s="3">
        <f ca="1">ROUND(Table157[[#This Row],[Cash Flow]]/((1+ActualRateToUse)^(IF(ISNUMBER(SEARCH("Actual",$C$7)),Table157[[#This Row],[Running Total]]/365,Table157[[#This Row],[Period]]/12))),2)</f>
        <v>0</v>
      </c>
      <c r="R275" s="2">
        <f>IF(MONTH(Table157[[#This Row],[Date]])=2,28,DAY(DATE(YEAR(Table157[[#This Row],[Date]]),MONTH(Table157[[#This Row],[Date]])+1,1)-1))</f>
        <v>31</v>
      </c>
      <c r="S275" s="2">
        <f ca="1">SUM(OFFSET(Table157[[#Headers],[Days in month]],1,0):Table157[[#This Row],[Days in month]])</f>
        <v>7880</v>
      </c>
      <c r="T275" s="37">
        <f>InterestRate*AmortizationMultiplier*IF(ISNUMBER(SEARCH("Actual",$C$7)),Table157[[#This Row],[Days in month]]/365,1/12)</f>
        <v>2.9708333333333331E-3</v>
      </c>
    </row>
    <row r="276" spans="2:20" x14ac:dyDescent="0.2">
      <c r="B276" s="1">
        <f t="shared" si="14"/>
        <v>53751</v>
      </c>
      <c r="C276" s="2">
        <f t="shared" si="16"/>
        <v>260</v>
      </c>
      <c r="D276" s="3">
        <f t="shared" si="15"/>
        <v>0</v>
      </c>
      <c r="E276" s="3">
        <f>ROUND(Table157[[#This Row],[Beginning Balance]]*Table157[[#This Row],[Monthly Interest Rate]],2)</f>
        <v>0</v>
      </c>
      <c r="F276" s="3">
        <f t="shared" si="17"/>
        <v>-4</v>
      </c>
      <c r="G276" s="23">
        <f>IFERROR(IF($C$13="No","N/A",IF(Table157[[#This Row],[Period]]=1,$C$6,PMT(InterestRate*AmortizationMultiplier/12,Table157[[#This Row],[Am Thru]],-Table157[[#This Row],[Beginning Balance]]))),0)</f>
        <v>0</v>
      </c>
      <c r="H276" s="3">
        <f>MAX(0,IF(C276=$C$4,D276,ROUND(IF($C$3="Fixed Principal",$C$6-Table157[[#This Row],[Interest]],IF($C$3="Interest Only",Table157[[#This Row],[Beginning Balance]]*ROUND(1-(1-IF($C$11="No",$E$8,1))^(1/12),6),MIN(IF($C$13="Yes",Table157[[#This Row],[Payment Amount (Reamortized)]],$C$6)-Table157[[#This Row],[Interest]],Table157[[#This Row],[Beginning Balance]]))),2)))</f>
        <v>0</v>
      </c>
      <c r="I276" s="3">
        <f>_xlfn.SINGLE(IF($C$3="Line of Credit",0,ROUND(MAX(MIN(IF($C$10="No",$E$7,VLOOKUP(Table157[[#This Row],[Period]],Forecast!$H$2:$L$1048576,4,FALSE))*Table157[[#This Row],[Beginning Balance]],Table157[[#This Row],[Beginning Balance]]-Table157[[#This Row],[Principal]]),0),2)))</f>
        <v>0</v>
      </c>
      <c r="J276" s="3">
        <f>ROUND(MIN(Table157[[#This Row],[Beginning Balance]]*IF($C$8="No",$E$3,VLOOKUP(Table157[[#This Row],[Period]],Forecast!$H$2:$L$1048576,2,FALSE)),Table157[[#This Row],[Beginning Balance]]-Table157[[#This Row],[Principal]]-Table157[[#This Row],[Prepayments]]),2)</f>
        <v>0</v>
      </c>
      <c r="K276" s="3">
        <f>ROUND(Table157[[#This Row],[Defaulted Principal]]*IF($C$9="No",$E$4,VLOOKUP(Table157[[#This Row],[Period]],Forecast!$H$2:$L$1048576,3,FALSE)),2)</f>
        <v>0</v>
      </c>
      <c r="L276" s="2">
        <f>Table157[[#This Row],[Period]]+$E$9</f>
        <v>272</v>
      </c>
      <c r="M276" s="3">
        <f>Table157[[#This Row],[Defaulted Principal]]-Table157[[#This Row],[Estimated Loss]]</f>
        <v>0</v>
      </c>
      <c r="N276" s="3">
        <f>IFERROR(VLOOKUP(Table157[[#This Row],[Period]],$L$16:$M$385,2,FALSE),0)</f>
        <v>0</v>
      </c>
      <c r="O276" s="3">
        <f>Table157[[#This Row],[Beginning Balance]]-Table157[[#This Row],[Principal]]-Table157[[#This Row],[Prepayments]]-Table157[[#This Row],[Defaulted Principal]]</f>
        <v>0</v>
      </c>
      <c r="P276" s="3">
        <f>Table157[[#This Row],[Principal]]+Table157[[#This Row],[Interest]]+Table157[[#This Row],[Prepayments]]+Table157[[#This Row],[RecoveredAmount]]</f>
        <v>0</v>
      </c>
      <c r="Q276" s="3">
        <f ca="1">ROUND(Table157[[#This Row],[Cash Flow]]/((1+ActualRateToUse)^(IF(ISNUMBER(SEARCH("Actual",$C$7)),Table157[[#This Row],[Running Total]]/365,Table157[[#This Row],[Period]]/12))),2)</f>
        <v>0</v>
      </c>
      <c r="R276" s="2">
        <f>IF(MONTH(Table157[[#This Row],[Date]])=2,28,DAY(DATE(YEAR(Table157[[#This Row],[Date]]),MONTH(Table157[[#This Row],[Date]])+1,1)-1))</f>
        <v>28</v>
      </c>
      <c r="S276" s="2">
        <f ca="1">SUM(OFFSET(Table157[[#Headers],[Days in month]],1,0):Table157[[#This Row],[Days in month]])</f>
        <v>7908</v>
      </c>
      <c r="T276" s="37">
        <f>InterestRate*AmortizationMultiplier*IF(ISNUMBER(SEARCH("Actual",$C$7)),Table157[[#This Row],[Days in month]]/365,1/12)</f>
        <v>2.6833333333333336E-3</v>
      </c>
    </row>
    <row r="277" spans="2:20" x14ac:dyDescent="0.2">
      <c r="B277" s="1">
        <f t="shared" si="14"/>
        <v>53782</v>
      </c>
      <c r="C277" s="2">
        <f t="shared" si="16"/>
        <v>261</v>
      </c>
      <c r="D277" s="3">
        <f t="shared" si="15"/>
        <v>0</v>
      </c>
      <c r="E277" s="3">
        <f>ROUND(Table157[[#This Row],[Beginning Balance]]*Table157[[#This Row],[Monthly Interest Rate]],2)</f>
        <v>0</v>
      </c>
      <c r="F277" s="3">
        <f t="shared" si="17"/>
        <v>-5</v>
      </c>
      <c r="G277" s="23">
        <f>IFERROR(IF($C$13="No","N/A",IF(Table157[[#This Row],[Period]]=1,$C$6,PMT(InterestRate*AmortizationMultiplier/12,Table157[[#This Row],[Am Thru]],-Table157[[#This Row],[Beginning Balance]]))),0)</f>
        <v>0</v>
      </c>
      <c r="H277" s="3">
        <f>MAX(0,IF(C277=$C$4,D277,ROUND(IF($C$3="Fixed Principal",$C$6-Table157[[#This Row],[Interest]],IF($C$3="Interest Only",Table157[[#This Row],[Beginning Balance]]*ROUND(1-(1-IF($C$11="No",$E$8,1))^(1/12),6),MIN(IF($C$13="Yes",Table157[[#This Row],[Payment Amount (Reamortized)]],$C$6)-Table157[[#This Row],[Interest]],Table157[[#This Row],[Beginning Balance]]))),2)))</f>
        <v>0</v>
      </c>
      <c r="I277" s="3">
        <f>_xlfn.SINGLE(IF($C$3="Line of Credit",0,ROUND(MAX(MIN(IF($C$10="No",$E$7,VLOOKUP(Table157[[#This Row],[Period]],Forecast!$H$2:$L$1048576,4,FALSE))*Table157[[#This Row],[Beginning Balance]],Table157[[#This Row],[Beginning Balance]]-Table157[[#This Row],[Principal]]),0),2)))</f>
        <v>0</v>
      </c>
      <c r="J277" s="3">
        <f>ROUND(MIN(Table157[[#This Row],[Beginning Balance]]*IF($C$8="No",$E$3,VLOOKUP(Table157[[#This Row],[Period]],Forecast!$H$2:$L$1048576,2,FALSE)),Table157[[#This Row],[Beginning Balance]]-Table157[[#This Row],[Principal]]-Table157[[#This Row],[Prepayments]]),2)</f>
        <v>0</v>
      </c>
      <c r="K277" s="3">
        <f>ROUND(Table157[[#This Row],[Defaulted Principal]]*IF($C$9="No",$E$4,VLOOKUP(Table157[[#This Row],[Period]],Forecast!$H$2:$L$1048576,3,FALSE)),2)</f>
        <v>0</v>
      </c>
      <c r="L277" s="2">
        <f>Table157[[#This Row],[Period]]+$E$9</f>
        <v>273</v>
      </c>
      <c r="M277" s="3">
        <f>Table157[[#This Row],[Defaulted Principal]]-Table157[[#This Row],[Estimated Loss]]</f>
        <v>0</v>
      </c>
      <c r="N277" s="3">
        <f>IFERROR(VLOOKUP(Table157[[#This Row],[Period]],$L$16:$M$385,2,FALSE),0)</f>
        <v>0</v>
      </c>
      <c r="O277" s="3">
        <f>Table157[[#This Row],[Beginning Balance]]-Table157[[#This Row],[Principal]]-Table157[[#This Row],[Prepayments]]-Table157[[#This Row],[Defaulted Principal]]</f>
        <v>0</v>
      </c>
      <c r="P277" s="3">
        <f>Table157[[#This Row],[Principal]]+Table157[[#This Row],[Interest]]+Table157[[#This Row],[Prepayments]]+Table157[[#This Row],[RecoveredAmount]]</f>
        <v>0</v>
      </c>
      <c r="Q277" s="3">
        <f ca="1">ROUND(Table157[[#This Row],[Cash Flow]]/((1+ActualRateToUse)^(IF(ISNUMBER(SEARCH("Actual",$C$7)),Table157[[#This Row],[Running Total]]/365,Table157[[#This Row],[Period]]/12))),2)</f>
        <v>0</v>
      </c>
      <c r="R277" s="2">
        <f>IF(MONTH(Table157[[#This Row],[Date]])=2,28,DAY(DATE(YEAR(Table157[[#This Row],[Date]]),MONTH(Table157[[#This Row],[Date]])+1,1)-1))</f>
        <v>31</v>
      </c>
      <c r="S277" s="2">
        <f ca="1">SUM(OFFSET(Table157[[#Headers],[Days in month]],1,0):Table157[[#This Row],[Days in month]])</f>
        <v>7939</v>
      </c>
      <c r="T277" s="37">
        <f>InterestRate*AmortizationMultiplier*IF(ISNUMBER(SEARCH("Actual",$C$7)),Table157[[#This Row],[Days in month]]/365,1/12)</f>
        <v>2.9708333333333331E-3</v>
      </c>
    </row>
    <row r="278" spans="2:20" x14ac:dyDescent="0.2">
      <c r="B278" s="1">
        <f t="shared" si="14"/>
        <v>53812</v>
      </c>
      <c r="C278" s="2">
        <f t="shared" si="16"/>
        <v>262</v>
      </c>
      <c r="D278" s="3">
        <f t="shared" si="15"/>
        <v>0</v>
      </c>
      <c r="E278" s="3">
        <f>ROUND(Table157[[#This Row],[Beginning Balance]]*Table157[[#This Row],[Monthly Interest Rate]],2)</f>
        <v>0</v>
      </c>
      <c r="F278" s="3">
        <f t="shared" si="17"/>
        <v>-6</v>
      </c>
      <c r="G278" s="23">
        <f>IFERROR(IF($C$13="No","N/A",IF(Table157[[#This Row],[Period]]=1,$C$6,PMT(InterestRate*AmortizationMultiplier/12,Table157[[#This Row],[Am Thru]],-Table157[[#This Row],[Beginning Balance]]))),0)</f>
        <v>0</v>
      </c>
      <c r="H278" s="3">
        <f>MAX(0,IF(C278=$C$4,D278,ROUND(IF($C$3="Fixed Principal",$C$6-Table157[[#This Row],[Interest]],IF($C$3="Interest Only",Table157[[#This Row],[Beginning Balance]]*ROUND(1-(1-IF($C$11="No",$E$8,1))^(1/12),6),MIN(IF($C$13="Yes",Table157[[#This Row],[Payment Amount (Reamortized)]],$C$6)-Table157[[#This Row],[Interest]],Table157[[#This Row],[Beginning Balance]]))),2)))</f>
        <v>0</v>
      </c>
      <c r="I278" s="3">
        <f>_xlfn.SINGLE(IF($C$3="Line of Credit",0,ROUND(MAX(MIN(IF($C$10="No",$E$7,VLOOKUP(Table157[[#This Row],[Period]],Forecast!$H$2:$L$1048576,4,FALSE))*Table157[[#This Row],[Beginning Balance]],Table157[[#This Row],[Beginning Balance]]-Table157[[#This Row],[Principal]]),0),2)))</f>
        <v>0</v>
      </c>
      <c r="J278" s="3">
        <f>ROUND(MIN(Table157[[#This Row],[Beginning Balance]]*IF($C$8="No",$E$3,VLOOKUP(Table157[[#This Row],[Period]],Forecast!$H$2:$L$1048576,2,FALSE)),Table157[[#This Row],[Beginning Balance]]-Table157[[#This Row],[Principal]]-Table157[[#This Row],[Prepayments]]),2)</f>
        <v>0</v>
      </c>
      <c r="K278" s="3">
        <f>ROUND(Table157[[#This Row],[Defaulted Principal]]*IF($C$9="No",$E$4,VLOOKUP(Table157[[#This Row],[Period]],Forecast!$H$2:$L$1048576,3,FALSE)),2)</f>
        <v>0</v>
      </c>
      <c r="L278" s="2">
        <f>Table157[[#This Row],[Period]]+$E$9</f>
        <v>274</v>
      </c>
      <c r="M278" s="3">
        <f>Table157[[#This Row],[Defaulted Principal]]-Table157[[#This Row],[Estimated Loss]]</f>
        <v>0</v>
      </c>
      <c r="N278" s="3">
        <f>IFERROR(VLOOKUP(Table157[[#This Row],[Period]],$L$16:$M$385,2,FALSE),0)</f>
        <v>0</v>
      </c>
      <c r="O278" s="3">
        <f>Table157[[#This Row],[Beginning Balance]]-Table157[[#This Row],[Principal]]-Table157[[#This Row],[Prepayments]]-Table157[[#This Row],[Defaulted Principal]]</f>
        <v>0</v>
      </c>
      <c r="P278" s="3">
        <f>Table157[[#This Row],[Principal]]+Table157[[#This Row],[Interest]]+Table157[[#This Row],[Prepayments]]+Table157[[#This Row],[RecoveredAmount]]</f>
        <v>0</v>
      </c>
      <c r="Q278" s="3">
        <f ca="1">ROUND(Table157[[#This Row],[Cash Flow]]/((1+ActualRateToUse)^(IF(ISNUMBER(SEARCH("Actual",$C$7)),Table157[[#This Row],[Running Total]]/365,Table157[[#This Row],[Period]]/12))),2)</f>
        <v>0</v>
      </c>
      <c r="R278" s="2">
        <f>IF(MONTH(Table157[[#This Row],[Date]])=2,28,DAY(DATE(YEAR(Table157[[#This Row],[Date]]),MONTH(Table157[[#This Row],[Date]])+1,1)-1))</f>
        <v>30</v>
      </c>
      <c r="S278" s="2">
        <f ca="1">SUM(OFFSET(Table157[[#Headers],[Days in month]],1,0):Table157[[#This Row],[Days in month]])</f>
        <v>7969</v>
      </c>
      <c r="T278" s="37">
        <f>InterestRate*AmortizationMultiplier*IF(ISNUMBER(SEARCH("Actual",$C$7)),Table157[[#This Row],[Days in month]]/365,1/12)</f>
        <v>2.8749999999999995E-3</v>
      </c>
    </row>
    <row r="279" spans="2:20" x14ac:dyDescent="0.2">
      <c r="B279" s="1">
        <f t="shared" si="14"/>
        <v>53843</v>
      </c>
      <c r="C279" s="2">
        <f t="shared" si="16"/>
        <v>263</v>
      </c>
      <c r="D279" s="3">
        <f t="shared" si="15"/>
        <v>0</v>
      </c>
      <c r="E279" s="3">
        <f>ROUND(Table157[[#This Row],[Beginning Balance]]*Table157[[#This Row],[Monthly Interest Rate]],2)</f>
        <v>0</v>
      </c>
      <c r="F279" s="3">
        <f t="shared" si="17"/>
        <v>-7</v>
      </c>
      <c r="G279" s="23">
        <f>IFERROR(IF($C$13="No","N/A",IF(Table157[[#This Row],[Period]]=1,$C$6,PMT(InterestRate*AmortizationMultiplier/12,Table157[[#This Row],[Am Thru]],-Table157[[#This Row],[Beginning Balance]]))),0)</f>
        <v>0</v>
      </c>
      <c r="H279" s="3">
        <f>MAX(0,IF(C279=$C$4,D279,ROUND(IF($C$3="Fixed Principal",$C$6-Table157[[#This Row],[Interest]],IF($C$3="Interest Only",Table157[[#This Row],[Beginning Balance]]*ROUND(1-(1-IF($C$11="No",$E$8,1))^(1/12),6),MIN(IF($C$13="Yes",Table157[[#This Row],[Payment Amount (Reamortized)]],$C$6)-Table157[[#This Row],[Interest]],Table157[[#This Row],[Beginning Balance]]))),2)))</f>
        <v>0</v>
      </c>
      <c r="I279" s="3">
        <f>_xlfn.SINGLE(IF($C$3="Line of Credit",0,ROUND(MAX(MIN(IF($C$10="No",$E$7,VLOOKUP(Table157[[#This Row],[Period]],Forecast!$H$2:$L$1048576,4,FALSE))*Table157[[#This Row],[Beginning Balance]],Table157[[#This Row],[Beginning Balance]]-Table157[[#This Row],[Principal]]),0),2)))</f>
        <v>0</v>
      </c>
      <c r="J279" s="3">
        <f>ROUND(MIN(Table157[[#This Row],[Beginning Balance]]*IF($C$8="No",$E$3,VLOOKUP(Table157[[#This Row],[Period]],Forecast!$H$2:$L$1048576,2,FALSE)),Table157[[#This Row],[Beginning Balance]]-Table157[[#This Row],[Principal]]-Table157[[#This Row],[Prepayments]]),2)</f>
        <v>0</v>
      </c>
      <c r="K279" s="3">
        <f>ROUND(Table157[[#This Row],[Defaulted Principal]]*IF($C$9="No",$E$4,VLOOKUP(Table157[[#This Row],[Period]],Forecast!$H$2:$L$1048576,3,FALSE)),2)</f>
        <v>0</v>
      </c>
      <c r="L279" s="2">
        <f>Table157[[#This Row],[Period]]+$E$9</f>
        <v>275</v>
      </c>
      <c r="M279" s="3">
        <f>Table157[[#This Row],[Defaulted Principal]]-Table157[[#This Row],[Estimated Loss]]</f>
        <v>0</v>
      </c>
      <c r="N279" s="3">
        <f>IFERROR(VLOOKUP(Table157[[#This Row],[Period]],$L$16:$M$385,2,FALSE),0)</f>
        <v>0</v>
      </c>
      <c r="O279" s="3">
        <f>Table157[[#This Row],[Beginning Balance]]-Table157[[#This Row],[Principal]]-Table157[[#This Row],[Prepayments]]-Table157[[#This Row],[Defaulted Principal]]</f>
        <v>0</v>
      </c>
      <c r="P279" s="3">
        <f>Table157[[#This Row],[Principal]]+Table157[[#This Row],[Interest]]+Table157[[#This Row],[Prepayments]]+Table157[[#This Row],[RecoveredAmount]]</f>
        <v>0</v>
      </c>
      <c r="Q279" s="3">
        <f ca="1">ROUND(Table157[[#This Row],[Cash Flow]]/((1+ActualRateToUse)^(IF(ISNUMBER(SEARCH("Actual",$C$7)),Table157[[#This Row],[Running Total]]/365,Table157[[#This Row],[Period]]/12))),2)</f>
        <v>0</v>
      </c>
      <c r="R279" s="2">
        <f>IF(MONTH(Table157[[#This Row],[Date]])=2,28,DAY(DATE(YEAR(Table157[[#This Row],[Date]]),MONTH(Table157[[#This Row],[Date]])+1,1)-1))</f>
        <v>31</v>
      </c>
      <c r="S279" s="2">
        <f ca="1">SUM(OFFSET(Table157[[#Headers],[Days in month]],1,0):Table157[[#This Row],[Days in month]])</f>
        <v>8000</v>
      </c>
      <c r="T279" s="37">
        <f>InterestRate*AmortizationMultiplier*IF(ISNUMBER(SEARCH("Actual",$C$7)),Table157[[#This Row],[Days in month]]/365,1/12)</f>
        <v>2.9708333333333331E-3</v>
      </c>
    </row>
    <row r="280" spans="2:20" x14ac:dyDescent="0.2">
      <c r="B280" s="1">
        <f t="shared" si="14"/>
        <v>53873</v>
      </c>
      <c r="C280" s="2">
        <f t="shared" si="16"/>
        <v>264</v>
      </c>
      <c r="D280" s="3">
        <f t="shared" si="15"/>
        <v>0</v>
      </c>
      <c r="E280" s="3">
        <f>ROUND(Table157[[#This Row],[Beginning Balance]]*Table157[[#This Row],[Monthly Interest Rate]],2)</f>
        <v>0</v>
      </c>
      <c r="F280" s="3">
        <f t="shared" si="17"/>
        <v>-8</v>
      </c>
      <c r="G280" s="23">
        <f>IFERROR(IF($C$13="No","N/A",IF(Table157[[#This Row],[Period]]=1,$C$6,PMT(InterestRate*AmortizationMultiplier/12,Table157[[#This Row],[Am Thru]],-Table157[[#This Row],[Beginning Balance]]))),0)</f>
        <v>0</v>
      </c>
      <c r="H280" s="3">
        <f>MAX(0,IF(C280=$C$4,D280,ROUND(IF($C$3="Fixed Principal",$C$6-Table157[[#This Row],[Interest]],IF($C$3="Interest Only",Table157[[#This Row],[Beginning Balance]]*ROUND(1-(1-IF($C$11="No",$E$8,1))^(1/12),6),MIN(IF($C$13="Yes",Table157[[#This Row],[Payment Amount (Reamortized)]],$C$6)-Table157[[#This Row],[Interest]],Table157[[#This Row],[Beginning Balance]]))),2)))</f>
        <v>0</v>
      </c>
      <c r="I280" s="3">
        <f>_xlfn.SINGLE(IF($C$3="Line of Credit",0,ROUND(MAX(MIN(IF($C$10="No",$E$7,VLOOKUP(Table157[[#This Row],[Period]],Forecast!$H$2:$L$1048576,4,FALSE))*Table157[[#This Row],[Beginning Balance]],Table157[[#This Row],[Beginning Balance]]-Table157[[#This Row],[Principal]]),0),2)))</f>
        <v>0</v>
      </c>
      <c r="J280" s="3">
        <f>ROUND(MIN(Table157[[#This Row],[Beginning Balance]]*IF($C$8="No",$E$3,VLOOKUP(Table157[[#This Row],[Period]],Forecast!$H$2:$L$1048576,2,FALSE)),Table157[[#This Row],[Beginning Balance]]-Table157[[#This Row],[Principal]]-Table157[[#This Row],[Prepayments]]),2)</f>
        <v>0</v>
      </c>
      <c r="K280" s="3">
        <f>ROUND(Table157[[#This Row],[Defaulted Principal]]*IF($C$9="No",$E$4,VLOOKUP(Table157[[#This Row],[Period]],Forecast!$H$2:$L$1048576,3,FALSE)),2)</f>
        <v>0</v>
      </c>
      <c r="L280" s="2">
        <f>Table157[[#This Row],[Period]]+$E$9</f>
        <v>276</v>
      </c>
      <c r="M280" s="3">
        <f>Table157[[#This Row],[Defaulted Principal]]-Table157[[#This Row],[Estimated Loss]]</f>
        <v>0</v>
      </c>
      <c r="N280" s="3">
        <f>IFERROR(VLOOKUP(Table157[[#This Row],[Period]],$L$16:$M$385,2,FALSE),0)</f>
        <v>0</v>
      </c>
      <c r="O280" s="3">
        <f>Table157[[#This Row],[Beginning Balance]]-Table157[[#This Row],[Principal]]-Table157[[#This Row],[Prepayments]]-Table157[[#This Row],[Defaulted Principal]]</f>
        <v>0</v>
      </c>
      <c r="P280" s="3">
        <f>Table157[[#This Row],[Principal]]+Table157[[#This Row],[Interest]]+Table157[[#This Row],[Prepayments]]+Table157[[#This Row],[RecoveredAmount]]</f>
        <v>0</v>
      </c>
      <c r="Q280" s="3">
        <f ca="1">ROUND(Table157[[#This Row],[Cash Flow]]/((1+ActualRateToUse)^(IF(ISNUMBER(SEARCH("Actual",$C$7)),Table157[[#This Row],[Running Total]]/365,Table157[[#This Row],[Period]]/12))),2)</f>
        <v>0</v>
      </c>
      <c r="R280" s="2">
        <f>IF(MONTH(Table157[[#This Row],[Date]])=2,28,DAY(DATE(YEAR(Table157[[#This Row],[Date]]),MONTH(Table157[[#This Row],[Date]])+1,1)-1))</f>
        <v>30</v>
      </c>
      <c r="S280" s="2">
        <f ca="1">SUM(OFFSET(Table157[[#Headers],[Days in month]],1,0):Table157[[#This Row],[Days in month]])</f>
        <v>8030</v>
      </c>
      <c r="T280" s="37">
        <f>InterestRate*AmortizationMultiplier*IF(ISNUMBER(SEARCH("Actual",$C$7)),Table157[[#This Row],[Days in month]]/365,1/12)</f>
        <v>2.8749999999999995E-3</v>
      </c>
    </row>
    <row r="281" spans="2:20" x14ac:dyDescent="0.2">
      <c r="B281" s="1">
        <f t="shared" si="14"/>
        <v>53904</v>
      </c>
      <c r="C281" s="2">
        <f t="shared" si="16"/>
        <v>265</v>
      </c>
      <c r="D281" s="3">
        <f t="shared" si="15"/>
        <v>0</v>
      </c>
      <c r="E281" s="3">
        <f>ROUND(Table157[[#This Row],[Beginning Balance]]*Table157[[#This Row],[Monthly Interest Rate]],2)</f>
        <v>0</v>
      </c>
      <c r="F281" s="3">
        <f t="shared" si="17"/>
        <v>-9</v>
      </c>
      <c r="G281" s="23">
        <f>IFERROR(IF($C$13="No","N/A",IF(Table157[[#This Row],[Period]]=1,$C$6,PMT(InterestRate*AmortizationMultiplier/12,Table157[[#This Row],[Am Thru]],-Table157[[#This Row],[Beginning Balance]]))),0)</f>
        <v>0</v>
      </c>
      <c r="H281" s="3">
        <f>MAX(0,IF(C281=$C$4,D281,ROUND(IF($C$3="Fixed Principal",$C$6-Table157[[#This Row],[Interest]],IF($C$3="Interest Only",Table157[[#This Row],[Beginning Balance]]*ROUND(1-(1-IF($C$11="No",$E$8,1))^(1/12),6),MIN(IF($C$13="Yes",Table157[[#This Row],[Payment Amount (Reamortized)]],$C$6)-Table157[[#This Row],[Interest]],Table157[[#This Row],[Beginning Balance]]))),2)))</f>
        <v>0</v>
      </c>
      <c r="I281" s="3">
        <f>_xlfn.SINGLE(IF($C$3="Line of Credit",0,ROUND(MAX(MIN(IF($C$10="No",$E$7,VLOOKUP(Table157[[#This Row],[Period]],Forecast!$H$2:$L$1048576,4,FALSE))*Table157[[#This Row],[Beginning Balance]],Table157[[#This Row],[Beginning Balance]]-Table157[[#This Row],[Principal]]),0),2)))</f>
        <v>0</v>
      </c>
      <c r="J281" s="3">
        <f>ROUND(MIN(Table157[[#This Row],[Beginning Balance]]*IF($C$8="No",$E$3,VLOOKUP(Table157[[#This Row],[Period]],Forecast!$H$2:$L$1048576,2,FALSE)),Table157[[#This Row],[Beginning Balance]]-Table157[[#This Row],[Principal]]-Table157[[#This Row],[Prepayments]]),2)</f>
        <v>0</v>
      </c>
      <c r="K281" s="3">
        <f>ROUND(Table157[[#This Row],[Defaulted Principal]]*IF($C$9="No",$E$4,VLOOKUP(Table157[[#This Row],[Period]],Forecast!$H$2:$L$1048576,3,FALSE)),2)</f>
        <v>0</v>
      </c>
      <c r="L281" s="2">
        <f>Table157[[#This Row],[Period]]+$E$9</f>
        <v>277</v>
      </c>
      <c r="M281" s="3">
        <f>Table157[[#This Row],[Defaulted Principal]]-Table157[[#This Row],[Estimated Loss]]</f>
        <v>0</v>
      </c>
      <c r="N281" s="3">
        <f>IFERROR(VLOOKUP(Table157[[#This Row],[Period]],$L$16:$M$385,2,FALSE),0)</f>
        <v>0</v>
      </c>
      <c r="O281" s="3">
        <f>Table157[[#This Row],[Beginning Balance]]-Table157[[#This Row],[Principal]]-Table157[[#This Row],[Prepayments]]-Table157[[#This Row],[Defaulted Principal]]</f>
        <v>0</v>
      </c>
      <c r="P281" s="3">
        <f>Table157[[#This Row],[Principal]]+Table157[[#This Row],[Interest]]+Table157[[#This Row],[Prepayments]]+Table157[[#This Row],[RecoveredAmount]]</f>
        <v>0</v>
      </c>
      <c r="Q281" s="3">
        <f ca="1">ROUND(Table157[[#This Row],[Cash Flow]]/((1+ActualRateToUse)^(IF(ISNUMBER(SEARCH("Actual",$C$7)),Table157[[#This Row],[Running Total]]/365,Table157[[#This Row],[Period]]/12))),2)</f>
        <v>0</v>
      </c>
      <c r="R281" s="2">
        <f>IF(MONTH(Table157[[#This Row],[Date]])=2,28,DAY(DATE(YEAR(Table157[[#This Row],[Date]]),MONTH(Table157[[#This Row],[Date]])+1,1)-1))</f>
        <v>31</v>
      </c>
      <c r="S281" s="2">
        <f ca="1">SUM(OFFSET(Table157[[#Headers],[Days in month]],1,0):Table157[[#This Row],[Days in month]])</f>
        <v>8061</v>
      </c>
      <c r="T281" s="37">
        <f>InterestRate*AmortizationMultiplier*IF(ISNUMBER(SEARCH("Actual",$C$7)),Table157[[#This Row],[Days in month]]/365,1/12)</f>
        <v>2.9708333333333331E-3</v>
      </c>
    </row>
    <row r="282" spans="2:20" x14ac:dyDescent="0.2">
      <c r="B282" s="1">
        <f t="shared" si="14"/>
        <v>53935</v>
      </c>
      <c r="C282" s="2">
        <f t="shared" si="16"/>
        <v>266</v>
      </c>
      <c r="D282" s="3">
        <f t="shared" si="15"/>
        <v>0</v>
      </c>
      <c r="E282" s="3">
        <f>ROUND(Table157[[#This Row],[Beginning Balance]]*Table157[[#This Row],[Monthly Interest Rate]],2)</f>
        <v>0</v>
      </c>
      <c r="F282" s="3">
        <f t="shared" si="17"/>
        <v>-10</v>
      </c>
      <c r="G282" s="23">
        <f>IFERROR(IF($C$13="No","N/A",IF(Table157[[#This Row],[Period]]=1,$C$6,PMT(InterestRate*AmortizationMultiplier/12,Table157[[#This Row],[Am Thru]],-Table157[[#This Row],[Beginning Balance]]))),0)</f>
        <v>0</v>
      </c>
      <c r="H282" s="3">
        <f>MAX(0,IF(C282=$C$4,D282,ROUND(IF($C$3="Fixed Principal",$C$6-Table157[[#This Row],[Interest]],IF($C$3="Interest Only",Table157[[#This Row],[Beginning Balance]]*ROUND(1-(1-IF($C$11="No",$E$8,1))^(1/12),6),MIN(IF($C$13="Yes",Table157[[#This Row],[Payment Amount (Reamortized)]],$C$6)-Table157[[#This Row],[Interest]],Table157[[#This Row],[Beginning Balance]]))),2)))</f>
        <v>0</v>
      </c>
      <c r="I282" s="3">
        <f>_xlfn.SINGLE(IF($C$3="Line of Credit",0,ROUND(MAX(MIN(IF($C$10="No",$E$7,VLOOKUP(Table157[[#This Row],[Period]],Forecast!$H$2:$L$1048576,4,FALSE))*Table157[[#This Row],[Beginning Balance]],Table157[[#This Row],[Beginning Balance]]-Table157[[#This Row],[Principal]]),0),2)))</f>
        <v>0</v>
      </c>
      <c r="J282" s="3">
        <f>ROUND(MIN(Table157[[#This Row],[Beginning Balance]]*IF($C$8="No",$E$3,VLOOKUP(Table157[[#This Row],[Period]],Forecast!$H$2:$L$1048576,2,FALSE)),Table157[[#This Row],[Beginning Balance]]-Table157[[#This Row],[Principal]]-Table157[[#This Row],[Prepayments]]),2)</f>
        <v>0</v>
      </c>
      <c r="K282" s="3">
        <f>ROUND(Table157[[#This Row],[Defaulted Principal]]*IF($C$9="No",$E$4,VLOOKUP(Table157[[#This Row],[Period]],Forecast!$H$2:$L$1048576,3,FALSE)),2)</f>
        <v>0</v>
      </c>
      <c r="L282" s="2">
        <f>Table157[[#This Row],[Period]]+$E$9</f>
        <v>278</v>
      </c>
      <c r="M282" s="3">
        <f>Table157[[#This Row],[Defaulted Principal]]-Table157[[#This Row],[Estimated Loss]]</f>
        <v>0</v>
      </c>
      <c r="N282" s="3">
        <f>IFERROR(VLOOKUP(Table157[[#This Row],[Period]],$L$16:$M$385,2,FALSE),0)</f>
        <v>0</v>
      </c>
      <c r="O282" s="3">
        <f>Table157[[#This Row],[Beginning Balance]]-Table157[[#This Row],[Principal]]-Table157[[#This Row],[Prepayments]]-Table157[[#This Row],[Defaulted Principal]]</f>
        <v>0</v>
      </c>
      <c r="P282" s="3">
        <f>Table157[[#This Row],[Principal]]+Table157[[#This Row],[Interest]]+Table157[[#This Row],[Prepayments]]+Table157[[#This Row],[RecoveredAmount]]</f>
        <v>0</v>
      </c>
      <c r="Q282" s="3">
        <f ca="1">ROUND(Table157[[#This Row],[Cash Flow]]/((1+ActualRateToUse)^(IF(ISNUMBER(SEARCH("Actual",$C$7)),Table157[[#This Row],[Running Total]]/365,Table157[[#This Row],[Period]]/12))),2)</f>
        <v>0</v>
      </c>
      <c r="R282" s="2">
        <f>IF(MONTH(Table157[[#This Row],[Date]])=2,28,DAY(DATE(YEAR(Table157[[#This Row],[Date]]),MONTH(Table157[[#This Row],[Date]])+1,1)-1))</f>
        <v>31</v>
      </c>
      <c r="S282" s="2">
        <f ca="1">SUM(OFFSET(Table157[[#Headers],[Days in month]],1,0):Table157[[#This Row],[Days in month]])</f>
        <v>8092</v>
      </c>
      <c r="T282" s="37">
        <f>InterestRate*AmortizationMultiplier*IF(ISNUMBER(SEARCH("Actual",$C$7)),Table157[[#This Row],[Days in month]]/365,1/12)</f>
        <v>2.9708333333333331E-3</v>
      </c>
    </row>
    <row r="283" spans="2:20" x14ac:dyDescent="0.2">
      <c r="B283" s="1">
        <f t="shared" si="14"/>
        <v>53965</v>
      </c>
      <c r="C283" s="2">
        <f t="shared" si="16"/>
        <v>267</v>
      </c>
      <c r="D283" s="3">
        <f t="shared" si="15"/>
        <v>0</v>
      </c>
      <c r="E283" s="3">
        <f>ROUND(Table157[[#This Row],[Beginning Balance]]*Table157[[#This Row],[Monthly Interest Rate]],2)</f>
        <v>0</v>
      </c>
      <c r="F283" s="3">
        <f t="shared" si="17"/>
        <v>-11</v>
      </c>
      <c r="G283" s="23">
        <f>IFERROR(IF($C$13="No","N/A",IF(Table157[[#This Row],[Period]]=1,$C$6,PMT(InterestRate*AmortizationMultiplier/12,Table157[[#This Row],[Am Thru]],-Table157[[#This Row],[Beginning Balance]]))),0)</f>
        <v>0</v>
      </c>
      <c r="H283" s="3">
        <f>MAX(0,IF(C283=$C$4,D283,ROUND(IF($C$3="Fixed Principal",$C$6-Table157[[#This Row],[Interest]],IF($C$3="Interest Only",Table157[[#This Row],[Beginning Balance]]*ROUND(1-(1-IF($C$11="No",$E$8,1))^(1/12),6),MIN(IF($C$13="Yes",Table157[[#This Row],[Payment Amount (Reamortized)]],$C$6)-Table157[[#This Row],[Interest]],Table157[[#This Row],[Beginning Balance]]))),2)))</f>
        <v>0</v>
      </c>
      <c r="I283" s="3">
        <f>_xlfn.SINGLE(IF($C$3="Line of Credit",0,ROUND(MAX(MIN(IF($C$10="No",$E$7,VLOOKUP(Table157[[#This Row],[Period]],Forecast!$H$2:$L$1048576,4,FALSE))*Table157[[#This Row],[Beginning Balance]],Table157[[#This Row],[Beginning Balance]]-Table157[[#This Row],[Principal]]),0),2)))</f>
        <v>0</v>
      </c>
      <c r="J283" s="3">
        <f>ROUND(MIN(Table157[[#This Row],[Beginning Balance]]*IF($C$8="No",$E$3,VLOOKUP(Table157[[#This Row],[Period]],Forecast!$H$2:$L$1048576,2,FALSE)),Table157[[#This Row],[Beginning Balance]]-Table157[[#This Row],[Principal]]-Table157[[#This Row],[Prepayments]]),2)</f>
        <v>0</v>
      </c>
      <c r="K283" s="3">
        <f>ROUND(Table157[[#This Row],[Defaulted Principal]]*IF($C$9="No",$E$4,VLOOKUP(Table157[[#This Row],[Period]],Forecast!$H$2:$L$1048576,3,FALSE)),2)</f>
        <v>0</v>
      </c>
      <c r="L283" s="2">
        <f>Table157[[#This Row],[Period]]+$E$9</f>
        <v>279</v>
      </c>
      <c r="M283" s="3">
        <f>Table157[[#This Row],[Defaulted Principal]]-Table157[[#This Row],[Estimated Loss]]</f>
        <v>0</v>
      </c>
      <c r="N283" s="3">
        <f>IFERROR(VLOOKUP(Table157[[#This Row],[Period]],$L$16:$M$385,2,FALSE),0)</f>
        <v>0</v>
      </c>
      <c r="O283" s="3">
        <f>Table157[[#This Row],[Beginning Balance]]-Table157[[#This Row],[Principal]]-Table157[[#This Row],[Prepayments]]-Table157[[#This Row],[Defaulted Principal]]</f>
        <v>0</v>
      </c>
      <c r="P283" s="3">
        <f>Table157[[#This Row],[Principal]]+Table157[[#This Row],[Interest]]+Table157[[#This Row],[Prepayments]]+Table157[[#This Row],[RecoveredAmount]]</f>
        <v>0</v>
      </c>
      <c r="Q283" s="3">
        <f ca="1">ROUND(Table157[[#This Row],[Cash Flow]]/((1+ActualRateToUse)^(IF(ISNUMBER(SEARCH("Actual",$C$7)),Table157[[#This Row],[Running Total]]/365,Table157[[#This Row],[Period]]/12))),2)</f>
        <v>0</v>
      </c>
      <c r="R283" s="2">
        <f>IF(MONTH(Table157[[#This Row],[Date]])=2,28,DAY(DATE(YEAR(Table157[[#This Row],[Date]]),MONTH(Table157[[#This Row],[Date]])+1,1)-1))</f>
        <v>30</v>
      </c>
      <c r="S283" s="2">
        <f ca="1">SUM(OFFSET(Table157[[#Headers],[Days in month]],1,0):Table157[[#This Row],[Days in month]])</f>
        <v>8122</v>
      </c>
      <c r="T283" s="37">
        <f>InterestRate*AmortizationMultiplier*IF(ISNUMBER(SEARCH("Actual",$C$7)),Table157[[#This Row],[Days in month]]/365,1/12)</f>
        <v>2.8749999999999995E-3</v>
      </c>
    </row>
    <row r="284" spans="2:20" x14ac:dyDescent="0.2">
      <c r="B284" s="1">
        <f t="shared" si="14"/>
        <v>53996</v>
      </c>
      <c r="C284" s="2">
        <f t="shared" si="16"/>
        <v>268</v>
      </c>
      <c r="D284" s="3">
        <f t="shared" si="15"/>
        <v>0</v>
      </c>
      <c r="E284" s="3">
        <f>ROUND(Table157[[#This Row],[Beginning Balance]]*Table157[[#This Row],[Monthly Interest Rate]],2)</f>
        <v>0</v>
      </c>
      <c r="F284" s="3">
        <f t="shared" si="17"/>
        <v>-12</v>
      </c>
      <c r="G284" s="23">
        <f>IFERROR(IF($C$13="No","N/A",IF(Table157[[#This Row],[Period]]=1,$C$6,PMT(InterestRate*AmortizationMultiplier/12,Table157[[#This Row],[Am Thru]],-Table157[[#This Row],[Beginning Balance]]))),0)</f>
        <v>0</v>
      </c>
      <c r="H284" s="3">
        <f>MAX(0,IF(C284=$C$4,D284,ROUND(IF($C$3="Fixed Principal",$C$6-Table157[[#This Row],[Interest]],IF($C$3="Interest Only",Table157[[#This Row],[Beginning Balance]]*ROUND(1-(1-IF($C$11="No",$E$8,1))^(1/12),6),MIN(IF($C$13="Yes",Table157[[#This Row],[Payment Amount (Reamortized)]],$C$6)-Table157[[#This Row],[Interest]],Table157[[#This Row],[Beginning Balance]]))),2)))</f>
        <v>0</v>
      </c>
      <c r="I284" s="3">
        <f>_xlfn.SINGLE(IF($C$3="Line of Credit",0,ROUND(MAX(MIN(IF($C$10="No",$E$7,VLOOKUP(Table157[[#This Row],[Period]],Forecast!$H$2:$L$1048576,4,FALSE))*Table157[[#This Row],[Beginning Balance]],Table157[[#This Row],[Beginning Balance]]-Table157[[#This Row],[Principal]]),0),2)))</f>
        <v>0</v>
      </c>
      <c r="J284" s="3">
        <f>ROUND(MIN(Table157[[#This Row],[Beginning Balance]]*IF($C$8="No",$E$3,VLOOKUP(Table157[[#This Row],[Period]],Forecast!$H$2:$L$1048576,2,FALSE)),Table157[[#This Row],[Beginning Balance]]-Table157[[#This Row],[Principal]]-Table157[[#This Row],[Prepayments]]),2)</f>
        <v>0</v>
      </c>
      <c r="K284" s="3">
        <f>ROUND(Table157[[#This Row],[Defaulted Principal]]*IF($C$9="No",$E$4,VLOOKUP(Table157[[#This Row],[Period]],Forecast!$H$2:$L$1048576,3,FALSE)),2)</f>
        <v>0</v>
      </c>
      <c r="L284" s="2">
        <f>Table157[[#This Row],[Period]]+$E$9</f>
        <v>280</v>
      </c>
      <c r="M284" s="3">
        <f>Table157[[#This Row],[Defaulted Principal]]-Table157[[#This Row],[Estimated Loss]]</f>
        <v>0</v>
      </c>
      <c r="N284" s="3">
        <f>IFERROR(VLOOKUP(Table157[[#This Row],[Period]],$L$16:$M$385,2,FALSE),0)</f>
        <v>0</v>
      </c>
      <c r="O284" s="3">
        <f>Table157[[#This Row],[Beginning Balance]]-Table157[[#This Row],[Principal]]-Table157[[#This Row],[Prepayments]]-Table157[[#This Row],[Defaulted Principal]]</f>
        <v>0</v>
      </c>
      <c r="P284" s="3">
        <f>Table157[[#This Row],[Principal]]+Table157[[#This Row],[Interest]]+Table157[[#This Row],[Prepayments]]+Table157[[#This Row],[RecoveredAmount]]</f>
        <v>0</v>
      </c>
      <c r="Q284" s="3">
        <f ca="1">ROUND(Table157[[#This Row],[Cash Flow]]/((1+ActualRateToUse)^(IF(ISNUMBER(SEARCH("Actual",$C$7)),Table157[[#This Row],[Running Total]]/365,Table157[[#This Row],[Period]]/12))),2)</f>
        <v>0</v>
      </c>
      <c r="R284" s="2">
        <f>IF(MONTH(Table157[[#This Row],[Date]])=2,28,DAY(DATE(YEAR(Table157[[#This Row],[Date]]),MONTH(Table157[[#This Row],[Date]])+1,1)-1))</f>
        <v>31</v>
      </c>
      <c r="S284" s="2">
        <f ca="1">SUM(OFFSET(Table157[[#Headers],[Days in month]],1,0):Table157[[#This Row],[Days in month]])</f>
        <v>8153</v>
      </c>
      <c r="T284" s="37">
        <f>InterestRate*AmortizationMultiplier*IF(ISNUMBER(SEARCH("Actual",$C$7)),Table157[[#This Row],[Days in month]]/365,1/12)</f>
        <v>2.9708333333333331E-3</v>
      </c>
    </row>
    <row r="285" spans="2:20" x14ac:dyDescent="0.2">
      <c r="B285" s="1">
        <f t="shared" si="14"/>
        <v>54026</v>
      </c>
      <c r="C285" s="2">
        <f t="shared" si="16"/>
        <v>269</v>
      </c>
      <c r="D285" s="3">
        <f t="shared" si="15"/>
        <v>0</v>
      </c>
      <c r="E285" s="3">
        <f>ROUND(Table157[[#This Row],[Beginning Balance]]*Table157[[#This Row],[Monthly Interest Rate]],2)</f>
        <v>0</v>
      </c>
      <c r="F285" s="3">
        <f t="shared" si="17"/>
        <v>-13</v>
      </c>
      <c r="G285" s="23">
        <f>IFERROR(IF($C$13="No","N/A",IF(Table157[[#This Row],[Period]]=1,$C$6,PMT(InterestRate*AmortizationMultiplier/12,Table157[[#This Row],[Am Thru]],-Table157[[#This Row],[Beginning Balance]]))),0)</f>
        <v>0</v>
      </c>
      <c r="H285" s="3">
        <f>MAX(0,IF(C285=$C$4,D285,ROUND(IF($C$3="Fixed Principal",$C$6-Table157[[#This Row],[Interest]],IF($C$3="Interest Only",Table157[[#This Row],[Beginning Balance]]*ROUND(1-(1-IF($C$11="No",$E$8,1))^(1/12),6),MIN(IF($C$13="Yes",Table157[[#This Row],[Payment Amount (Reamortized)]],$C$6)-Table157[[#This Row],[Interest]],Table157[[#This Row],[Beginning Balance]]))),2)))</f>
        <v>0</v>
      </c>
      <c r="I285" s="3">
        <f>_xlfn.SINGLE(IF($C$3="Line of Credit",0,ROUND(MAX(MIN(IF($C$10="No",$E$7,VLOOKUP(Table157[[#This Row],[Period]],Forecast!$H$2:$L$1048576,4,FALSE))*Table157[[#This Row],[Beginning Balance]],Table157[[#This Row],[Beginning Balance]]-Table157[[#This Row],[Principal]]),0),2)))</f>
        <v>0</v>
      </c>
      <c r="J285" s="3">
        <f>ROUND(MIN(Table157[[#This Row],[Beginning Balance]]*IF($C$8="No",$E$3,VLOOKUP(Table157[[#This Row],[Period]],Forecast!$H$2:$L$1048576,2,FALSE)),Table157[[#This Row],[Beginning Balance]]-Table157[[#This Row],[Principal]]-Table157[[#This Row],[Prepayments]]),2)</f>
        <v>0</v>
      </c>
      <c r="K285" s="3">
        <f>ROUND(Table157[[#This Row],[Defaulted Principal]]*IF($C$9="No",$E$4,VLOOKUP(Table157[[#This Row],[Period]],Forecast!$H$2:$L$1048576,3,FALSE)),2)</f>
        <v>0</v>
      </c>
      <c r="L285" s="2">
        <f>Table157[[#This Row],[Period]]+$E$9</f>
        <v>281</v>
      </c>
      <c r="M285" s="3">
        <f>Table157[[#This Row],[Defaulted Principal]]-Table157[[#This Row],[Estimated Loss]]</f>
        <v>0</v>
      </c>
      <c r="N285" s="3">
        <f>IFERROR(VLOOKUP(Table157[[#This Row],[Period]],$L$16:$M$385,2,FALSE),0)</f>
        <v>0</v>
      </c>
      <c r="O285" s="3">
        <f>Table157[[#This Row],[Beginning Balance]]-Table157[[#This Row],[Principal]]-Table157[[#This Row],[Prepayments]]-Table157[[#This Row],[Defaulted Principal]]</f>
        <v>0</v>
      </c>
      <c r="P285" s="3">
        <f>Table157[[#This Row],[Principal]]+Table157[[#This Row],[Interest]]+Table157[[#This Row],[Prepayments]]+Table157[[#This Row],[RecoveredAmount]]</f>
        <v>0</v>
      </c>
      <c r="Q285" s="3">
        <f ca="1">ROUND(Table157[[#This Row],[Cash Flow]]/((1+ActualRateToUse)^(IF(ISNUMBER(SEARCH("Actual",$C$7)),Table157[[#This Row],[Running Total]]/365,Table157[[#This Row],[Period]]/12))),2)</f>
        <v>0</v>
      </c>
      <c r="R285" s="2">
        <f>IF(MONTH(Table157[[#This Row],[Date]])=2,28,DAY(DATE(YEAR(Table157[[#This Row],[Date]]),MONTH(Table157[[#This Row],[Date]])+1,1)-1))</f>
        <v>30</v>
      </c>
      <c r="S285" s="2">
        <f ca="1">SUM(OFFSET(Table157[[#Headers],[Days in month]],1,0):Table157[[#This Row],[Days in month]])</f>
        <v>8183</v>
      </c>
      <c r="T285" s="37">
        <f>InterestRate*AmortizationMultiplier*IF(ISNUMBER(SEARCH("Actual",$C$7)),Table157[[#This Row],[Days in month]]/365,1/12)</f>
        <v>2.8749999999999995E-3</v>
      </c>
    </row>
    <row r="286" spans="2:20" x14ac:dyDescent="0.2">
      <c r="B286" s="1">
        <f t="shared" si="14"/>
        <v>54057</v>
      </c>
      <c r="C286" s="2">
        <f t="shared" si="16"/>
        <v>270</v>
      </c>
      <c r="D286" s="3">
        <f t="shared" si="15"/>
        <v>0</v>
      </c>
      <c r="E286" s="3">
        <f>ROUND(Table157[[#This Row],[Beginning Balance]]*Table157[[#This Row],[Monthly Interest Rate]],2)</f>
        <v>0</v>
      </c>
      <c r="F286" s="3">
        <f t="shared" si="17"/>
        <v>-14</v>
      </c>
      <c r="G286" s="23">
        <f>IFERROR(IF($C$13="No","N/A",IF(Table157[[#This Row],[Period]]=1,$C$6,PMT(InterestRate*AmortizationMultiplier/12,Table157[[#This Row],[Am Thru]],-Table157[[#This Row],[Beginning Balance]]))),0)</f>
        <v>0</v>
      </c>
      <c r="H286" s="3">
        <f>MAX(0,IF(C286=$C$4,D286,ROUND(IF($C$3="Fixed Principal",$C$6-Table157[[#This Row],[Interest]],IF($C$3="Interest Only",Table157[[#This Row],[Beginning Balance]]*ROUND(1-(1-IF($C$11="No",$E$8,1))^(1/12),6),MIN(IF($C$13="Yes",Table157[[#This Row],[Payment Amount (Reamortized)]],$C$6)-Table157[[#This Row],[Interest]],Table157[[#This Row],[Beginning Balance]]))),2)))</f>
        <v>0</v>
      </c>
      <c r="I286" s="3">
        <f>_xlfn.SINGLE(IF($C$3="Line of Credit",0,ROUND(MAX(MIN(IF($C$10="No",$E$7,VLOOKUP(Table157[[#This Row],[Period]],Forecast!$H$2:$L$1048576,4,FALSE))*Table157[[#This Row],[Beginning Balance]],Table157[[#This Row],[Beginning Balance]]-Table157[[#This Row],[Principal]]),0),2)))</f>
        <v>0</v>
      </c>
      <c r="J286" s="3">
        <f>ROUND(MIN(Table157[[#This Row],[Beginning Balance]]*IF($C$8="No",$E$3,VLOOKUP(Table157[[#This Row],[Period]],Forecast!$H$2:$L$1048576,2,FALSE)),Table157[[#This Row],[Beginning Balance]]-Table157[[#This Row],[Principal]]-Table157[[#This Row],[Prepayments]]),2)</f>
        <v>0</v>
      </c>
      <c r="K286" s="3">
        <f>ROUND(Table157[[#This Row],[Defaulted Principal]]*IF($C$9="No",$E$4,VLOOKUP(Table157[[#This Row],[Period]],Forecast!$H$2:$L$1048576,3,FALSE)),2)</f>
        <v>0</v>
      </c>
      <c r="L286" s="2">
        <f>Table157[[#This Row],[Period]]+$E$9</f>
        <v>282</v>
      </c>
      <c r="M286" s="3">
        <f>Table157[[#This Row],[Defaulted Principal]]-Table157[[#This Row],[Estimated Loss]]</f>
        <v>0</v>
      </c>
      <c r="N286" s="3">
        <f>IFERROR(VLOOKUP(Table157[[#This Row],[Period]],$L$16:$M$385,2,FALSE),0)</f>
        <v>0</v>
      </c>
      <c r="O286" s="3">
        <f>Table157[[#This Row],[Beginning Balance]]-Table157[[#This Row],[Principal]]-Table157[[#This Row],[Prepayments]]-Table157[[#This Row],[Defaulted Principal]]</f>
        <v>0</v>
      </c>
      <c r="P286" s="3">
        <f>Table157[[#This Row],[Principal]]+Table157[[#This Row],[Interest]]+Table157[[#This Row],[Prepayments]]+Table157[[#This Row],[RecoveredAmount]]</f>
        <v>0</v>
      </c>
      <c r="Q286" s="3">
        <f ca="1">ROUND(Table157[[#This Row],[Cash Flow]]/((1+ActualRateToUse)^(IF(ISNUMBER(SEARCH("Actual",$C$7)),Table157[[#This Row],[Running Total]]/365,Table157[[#This Row],[Period]]/12))),2)</f>
        <v>0</v>
      </c>
      <c r="R286" s="2">
        <f>IF(MONTH(Table157[[#This Row],[Date]])=2,28,DAY(DATE(YEAR(Table157[[#This Row],[Date]]),MONTH(Table157[[#This Row],[Date]])+1,1)-1))</f>
        <v>31</v>
      </c>
      <c r="S286" s="2">
        <f ca="1">SUM(OFFSET(Table157[[#Headers],[Days in month]],1,0):Table157[[#This Row],[Days in month]])</f>
        <v>8214</v>
      </c>
      <c r="T286" s="37">
        <f>InterestRate*AmortizationMultiplier*IF(ISNUMBER(SEARCH("Actual",$C$7)),Table157[[#This Row],[Days in month]]/365,1/12)</f>
        <v>2.9708333333333331E-3</v>
      </c>
    </row>
    <row r="287" spans="2:20" x14ac:dyDescent="0.2">
      <c r="B287" s="1">
        <f t="shared" si="14"/>
        <v>54088</v>
      </c>
      <c r="C287" s="2">
        <f t="shared" si="16"/>
        <v>271</v>
      </c>
      <c r="D287" s="3">
        <f t="shared" si="15"/>
        <v>0</v>
      </c>
      <c r="E287" s="3">
        <f>ROUND(Table157[[#This Row],[Beginning Balance]]*Table157[[#This Row],[Monthly Interest Rate]],2)</f>
        <v>0</v>
      </c>
      <c r="F287" s="3">
        <f t="shared" si="17"/>
        <v>-15</v>
      </c>
      <c r="G287" s="23">
        <f>IFERROR(IF($C$13="No","N/A",IF(Table157[[#This Row],[Period]]=1,$C$6,PMT(InterestRate*AmortizationMultiplier/12,Table157[[#This Row],[Am Thru]],-Table157[[#This Row],[Beginning Balance]]))),0)</f>
        <v>0</v>
      </c>
      <c r="H287" s="3">
        <f>MAX(0,IF(C287=$C$4,D287,ROUND(IF($C$3="Fixed Principal",$C$6-Table157[[#This Row],[Interest]],IF($C$3="Interest Only",Table157[[#This Row],[Beginning Balance]]*ROUND(1-(1-IF($C$11="No",$E$8,1))^(1/12),6),MIN(IF($C$13="Yes",Table157[[#This Row],[Payment Amount (Reamortized)]],$C$6)-Table157[[#This Row],[Interest]],Table157[[#This Row],[Beginning Balance]]))),2)))</f>
        <v>0</v>
      </c>
      <c r="I287" s="3">
        <f>_xlfn.SINGLE(IF($C$3="Line of Credit",0,ROUND(MAX(MIN(IF($C$10="No",$E$7,VLOOKUP(Table157[[#This Row],[Period]],Forecast!$H$2:$L$1048576,4,FALSE))*Table157[[#This Row],[Beginning Balance]],Table157[[#This Row],[Beginning Balance]]-Table157[[#This Row],[Principal]]),0),2)))</f>
        <v>0</v>
      </c>
      <c r="J287" s="3">
        <f>ROUND(MIN(Table157[[#This Row],[Beginning Balance]]*IF($C$8="No",$E$3,VLOOKUP(Table157[[#This Row],[Period]],Forecast!$H$2:$L$1048576,2,FALSE)),Table157[[#This Row],[Beginning Balance]]-Table157[[#This Row],[Principal]]-Table157[[#This Row],[Prepayments]]),2)</f>
        <v>0</v>
      </c>
      <c r="K287" s="3">
        <f>ROUND(Table157[[#This Row],[Defaulted Principal]]*IF($C$9="No",$E$4,VLOOKUP(Table157[[#This Row],[Period]],Forecast!$H$2:$L$1048576,3,FALSE)),2)</f>
        <v>0</v>
      </c>
      <c r="L287" s="2">
        <f>Table157[[#This Row],[Period]]+$E$9</f>
        <v>283</v>
      </c>
      <c r="M287" s="3">
        <f>Table157[[#This Row],[Defaulted Principal]]-Table157[[#This Row],[Estimated Loss]]</f>
        <v>0</v>
      </c>
      <c r="N287" s="3">
        <f>IFERROR(VLOOKUP(Table157[[#This Row],[Period]],$L$16:$M$385,2,FALSE),0)</f>
        <v>0</v>
      </c>
      <c r="O287" s="3">
        <f>Table157[[#This Row],[Beginning Balance]]-Table157[[#This Row],[Principal]]-Table157[[#This Row],[Prepayments]]-Table157[[#This Row],[Defaulted Principal]]</f>
        <v>0</v>
      </c>
      <c r="P287" s="3">
        <f>Table157[[#This Row],[Principal]]+Table157[[#This Row],[Interest]]+Table157[[#This Row],[Prepayments]]+Table157[[#This Row],[RecoveredAmount]]</f>
        <v>0</v>
      </c>
      <c r="Q287" s="3">
        <f ca="1">ROUND(Table157[[#This Row],[Cash Flow]]/((1+ActualRateToUse)^(IF(ISNUMBER(SEARCH("Actual",$C$7)),Table157[[#This Row],[Running Total]]/365,Table157[[#This Row],[Period]]/12))),2)</f>
        <v>0</v>
      </c>
      <c r="R287" s="2">
        <f>IF(MONTH(Table157[[#This Row],[Date]])=2,28,DAY(DATE(YEAR(Table157[[#This Row],[Date]]),MONTH(Table157[[#This Row],[Date]])+1,1)-1))</f>
        <v>31</v>
      </c>
      <c r="S287" s="2">
        <f ca="1">SUM(OFFSET(Table157[[#Headers],[Days in month]],1,0):Table157[[#This Row],[Days in month]])</f>
        <v>8245</v>
      </c>
      <c r="T287" s="37">
        <f>InterestRate*AmortizationMultiplier*IF(ISNUMBER(SEARCH("Actual",$C$7)),Table157[[#This Row],[Days in month]]/365,1/12)</f>
        <v>2.9708333333333331E-3</v>
      </c>
    </row>
    <row r="288" spans="2:20" x14ac:dyDescent="0.2">
      <c r="B288" s="1">
        <f t="shared" si="14"/>
        <v>54117</v>
      </c>
      <c r="C288" s="2">
        <f t="shared" si="16"/>
        <v>272</v>
      </c>
      <c r="D288" s="3">
        <f t="shared" si="15"/>
        <v>0</v>
      </c>
      <c r="E288" s="3">
        <f>ROUND(Table157[[#This Row],[Beginning Balance]]*Table157[[#This Row],[Monthly Interest Rate]],2)</f>
        <v>0</v>
      </c>
      <c r="F288" s="3">
        <f t="shared" si="17"/>
        <v>-16</v>
      </c>
      <c r="G288" s="23">
        <f>IFERROR(IF($C$13="No","N/A",IF(Table157[[#This Row],[Period]]=1,$C$6,PMT(InterestRate*AmortizationMultiplier/12,Table157[[#This Row],[Am Thru]],-Table157[[#This Row],[Beginning Balance]]))),0)</f>
        <v>0</v>
      </c>
      <c r="H288" s="3">
        <f>MAX(0,IF(C288=$C$4,D288,ROUND(IF($C$3="Fixed Principal",$C$6-Table157[[#This Row],[Interest]],IF($C$3="Interest Only",Table157[[#This Row],[Beginning Balance]]*ROUND(1-(1-IF($C$11="No",$E$8,1))^(1/12),6),MIN(IF($C$13="Yes",Table157[[#This Row],[Payment Amount (Reamortized)]],$C$6)-Table157[[#This Row],[Interest]],Table157[[#This Row],[Beginning Balance]]))),2)))</f>
        <v>0</v>
      </c>
      <c r="I288" s="3">
        <f>_xlfn.SINGLE(IF($C$3="Line of Credit",0,ROUND(MAX(MIN(IF($C$10="No",$E$7,VLOOKUP(Table157[[#This Row],[Period]],Forecast!$H$2:$L$1048576,4,FALSE))*Table157[[#This Row],[Beginning Balance]],Table157[[#This Row],[Beginning Balance]]-Table157[[#This Row],[Principal]]),0),2)))</f>
        <v>0</v>
      </c>
      <c r="J288" s="3">
        <f>ROUND(MIN(Table157[[#This Row],[Beginning Balance]]*IF($C$8="No",$E$3,VLOOKUP(Table157[[#This Row],[Period]],Forecast!$H$2:$L$1048576,2,FALSE)),Table157[[#This Row],[Beginning Balance]]-Table157[[#This Row],[Principal]]-Table157[[#This Row],[Prepayments]]),2)</f>
        <v>0</v>
      </c>
      <c r="K288" s="3">
        <f>ROUND(Table157[[#This Row],[Defaulted Principal]]*IF($C$9="No",$E$4,VLOOKUP(Table157[[#This Row],[Period]],Forecast!$H$2:$L$1048576,3,FALSE)),2)</f>
        <v>0</v>
      </c>
      <c r="L288" s="2">
        <f>Table157[[#This Row],[Period]]+$E$9</f>
        <v>284</v>
      </c>
      <c r="M288" s="3">
        <f>Table157[[#This Row],[Defaulted Principal]]-Table157[[#This Row],[Estimated Loss]]</f>
        <v>0</v>
      </c>
      <c r="N288" s="3">
        <f>IFERROR(VLOOKUP(Table157[[#This Row],[Period]],$L$16:$M$385,2,FALSE),0)</f>
        <v>0</v>
      </c>
      <c r="O288" s="3">
        <f>Table157[[#This Row],[Beginning Balance]]-Table157[[#This Row],[Principal]]-Table157[[#This Row],[Prepayments]]-Table157[[#This Row],[Defaulted Principal]]</f>
        <v>0</v>
      </c>
      <c r="P288" s="3">
        <f>Table157[[#This Row],[Principal]]+Table157[[#This Row],[Interest]]+Table157[[#This Row],[Prepayments]]+Table157[[#This Row],[RecoveredAmount]]</f>
        <v>0</v>
      </c>
      <c r="Q288" s="3">
        <f ca="1">ROUND(Table157[[#This Row],[Cash Flow]]/((1+ActualRateToUse)^(IF(ISNUMBER(SEARCH("Actual",$C$7)),Table157[[#This Row],[Running Total]]/365,Table157[[#This Row],[Period]]/12))),2)</f>
        <v>0</v>
      </c>
      <c r="R288" s="2">
        <f>IF(MONTH(Table157[[#This Row],[Date]])=2,28,DAY(DATE(YEAR(Table157[[#This Row],[Date]]),MONTH(Table157[[#This Row],[Date]])+1,1)-1))</f>
        <v>28</v>
      </c>
      <c r="S288" s="2">
        <f ca="1">SUM(OFFSET(Table157[[#Headers],[Days in month]],1,0):Table157[[#This Row],[Days in month]])</f>
        <v>8273</v>
      </c>
      <c r="T288" s="37">
        <f>InterestRate*AmortizationMultiplier*IF(ISNUMBER(SEARCH("Actual",$C$7)),Table157[[#This Row],[Days in month]]/365,1/12)</f>
        <v>2.6833333333333336E-3</v>
      </c>
    </row>
    <row r="289" spans="2:20" x14ac:dyDescent="0.2">
      <c r="B289" s="1">
        <f t="shared" si="14"/>
        <v>54148</v>
      </c>
      <c r="C289" s="2">
        <f t="shared" si="16"/>
        <v>273</v>
      </c>
      <c r="D289" s="3">
        <f t="shared" si="15"/>
        <v>0</v>
      </c>
      <c r="E289" s="3">
        <f>ROUND(Table157[[#This Row],[Beginning Balance]]*Table157[[#This Row],[Monthly Interest Rate]],2)</f>
        <v>0</v>
      </c>
      <c r="F289" s="3">
        <f t="shared" si="17"/>
        <v>-17</v>
      </c>
      <c r="G289" s="23">
        <f>IFERROR(IF($C$13="No","N/A",IF(Table157[[#This Row],[Period]]=1,$C$6,PMT(InterestRate*AmortizationMultiplier/12,Table157[[#This Row],[Am Thru]],-Table157[[#This Row],[Beginning Balance]]))),0)</f>
        <v>0</v>
      </c>
      <c r="H289" s="3">
        <f>MAX(0,IF(C289=$C$4,D289,ROUND(IF($C$3="Fixed Principal",$C$6-Table157[[#This Row],[Interest]],IF($C$3="Interest Only",Table157[[#This Row],[Beginning Balance]]*ROUND(1-(1-IF($C$11="No",$E$8,1))^(1/12),6),MIN(IF($C$13="Yes",Table157[[#This Row],[Payment Amount (Reamortized)]],$C$6)-Table157[[#This Row],[Interest]],Table157[[#This Row],[Beginning Balance]]))),2)))</f>
        <v>0</v>
      </c>
      <c r="I289" s="3">
        <f>_xlfn.SINGLE(IF($C$3="Line of Credit",0,ROUND(MAX(MIN(IF($C$10="No",$E$7,VLOOKUP(Table157[[#This Row],[Period]],Forecast!$H$2:$L$1048576,4,FALSE))*Table157[[#This Row],[Beginning Balance]],Table157[[#This Row],[Beginning Balance]]-Table157[[#This Row],[Principal]]),0),2)))</f>
        <v>0</v>
      </c>
      <c r="J289" s="3">
        <f>ROUND(MIN(Table157[[#This Row],[Beginning Balance]]*IF($C$8="No",$E$3,VLOOKUP(Table157[[#This Row],[Period]],Forecast!$H$2:$L$1048576,2,FALSE)),Table157[[#This Row],[Beginning Balance]]-Table157[[#This Row],[Principal]]-Table157[[#This Row],[Prepayments]]),2)</f>
        <v>0</v>
      </c>
      <c r="K289" s="3">
        <f>ROUND(Table157[[#This Row],[Defaulted Principal]]*IF($C$9="No",$E$4,VLOOKUP(Table157[[#This Row],[Period]],Forecast!$H$2:$L$1048576,3,FALSE)),2)</f>
        <v>0</v>
      </c>
      <c r="L289" s="2">
        <f>Table157[[#This Row],[Period]]+$E$9</f>
        <v>285</v>
      </c>
      <c r="M289" s="3">
        <f>Table157[[#This Row],[Defaulted Principal]]-Table157[[#This Row],[Estimated Loss]]</f>
        <v>0</v>
      </c>
      <c r="N289" s="3">
        <f>IFERROR(VLOOKUP(Table157[[#This Row],[Period]],$L$16:$M$385,2,FALSE),0)</f>
        <v>0</v>
      </c>
      <c r="O289" s="3">
        <f>Table157[[#This Row],[Beginning Balance]]-Table157[[#This Row],[Principal]]-Table157[[#This Row],[Prepayments]]-Table157[[#This Row],[Defaulted Principal]]</f>
        <v>0</v>
      </c>
      <c r="P289" s="3">
        <f>Table157[[#This Row],[Principal]]+Table157[[#This Row],[Interest]]+Table157[[#This Row],[Prepayments]]+Table157[[#This Row],[RecoveredAmount]]</f>
        <v>0</v>
      </c>
      <c r="Q289" s="3">
        <f ca="1">ROUND(Table157[[#This Row],[Cash Flow]]/((1+ActualRateToUse)^(IF(ISNUMBER(SEARCH("Actual",$C$7)),Table157[[#This Row],[Running Total]]/365,Table157[[#This Row],[Period]]/12))),2)</f>
        <v>0</v>
      </c>
      <c r="R289" s="2">
        <f>IF(MONTH(Table157[[#This Row],[Date]])=2,28,DAY(DATE(YEAR(Table157[[#This Row],[Date]]),MONTH(Table157[[#This Row],[Date]])+1,1)-1))</f>
        <v>31</v>
      </c>
      <c r="S289" s="2">
        <f ca="1">SUM(OFFSET(Table157[[#Headers],[Days in month]],1,0):Table157[[#This Row],[Days in month]])</f>
        <v>8304</v>
      </c>
      <c r="T289" s="37">
        <f>InterestRate*AmortizationMultiplier*IF(ISNUMBER(SEARCH("Actual",$C$7)),Table157[[#This Row],[Days in month]]/365,1/12)</f>
        <v>2.9708333333333331E-3</v>
      </c>
    </row>
    <row r="290" spans="2:20" x14ac:dyDescent="0.2">
      <c r="B290" s="1">
        <f t="shared" si="14"/>
        <v>54178</v>
      </c>
      <c r="C290" s="2">
        <f t="shared" si="16"/>
        <v>274</v>
      </c>
      <c r="D290" s="3">
        <f t="shared" si="15"/>
        <v>0</v>
      </c>
      <c r="E290" s="3">
        <f>ROUND(Table157[[#This Row],[Beginning Balance]]*Table157[[#This Row],[Monthly Interest Rate]],2)</f>
        <v>0</v>
      </c>
      <c r="F290" s="3">
        <f t="shared" si="17"/>
        <v>-18</v>
      </c>
      <c r="G290" s="23">
        <f>IFERROR(IF($C$13="No","N/A",IF(Table157[[#This Row],[Period]]=1,$C$6,PMT(InterestRate*AmortizationMultiplier/12,Table157[[#This Row],[Am Thru]],-Table157[[#This Row],[Beginning Balance]]))),0)</f>
        <v>0</v>
      </c>
      <c r="H290" s="3">
        <f>MAX(0,IF(C290=$C$4,D290,ROUND(IF($C$3="Fixed Principal",$C$6-Table157[[#This Row],[Interest]],IF($C$3="Interest Only",Table157[[#This Row],[Beginning Balance]]*ROUND(1-(1-IF($C$11="No",$E$8,1))^(1/12),6),MIN(IF($C$13="Yes",Table157[[#This Row],[Payment Amount (Reamortized)]],$C$6)-Table157[[#This Row],[Interest]],Table157[[#This Row],[Beginning Balance]]))),2)))</f>
        <v>0</v>
      </c>
      <c r="I290" s="3">
        <f>_xlfn.SINGLE(IF($C$3="Line of Credit",0,ROUND(MAX(MIN(IF($C$10="No",$E$7,VLOOKUP(Table157[[#This Row],[Period]],Forecast!$H$2:$L$1048576,4,FALSE))*Table157[[#This Row],[Beginning Balance]],Table157[[#This Row],[Beginning Balance]]-Table157[[#This Row],[Principal]]),0),2)))</f>
        <v>0</v>
      </c>
      <c r="J290" s="3">
        <f>ROUND(MIN(Table157[[#This Row],[Beginning Balance]]*IF($C$8="No",$E$3,VLOOKUP(Table157[[#This Row],[Period]],Forecast!$H$2:$L$1048576,2,FALSE)),Table157[[#This Row],[Beginning Balance]]-Table157[[#This Row],[Principal]]-Table157[[#This Row],[Prepayments]]),2)</f>
        <v>0</v>
      </c>
      <c r="K290" s="3">
        <f>ROUND(Table157[[#This Row],[Defaulted Principal]]*IF($C$9="No",$E$4,VLOOKUP(Table157[[#This Row],[Period]],Forecast!$H$2:$L$1048576,3,FALSE)),2)</f>
        <v>0</v>
      </c>
      <c r="L290" s="2">
        <f>Table157[[#This Row],[Period]]+$E$9</f>
        <v>286</v>
      </c>
      <c r="M290" s="3">
        <f>Table157[[#This Row],[Defaulted Principal]]-Table157[[#This Row],[Estimated Loss]]</f>
        <v>0</v>
      </c>
      <c r="N290" s="3">
        <f>IFERROR(VLOOKUP(Table157[[#This Row],[Period]],$L$16:$M$385,2,FALSE),0)</f>
        <v>0</v>
      </c>
      <c r="O290" s="3">
        <f>Table157[[#This Row],[Beginning Balance]]-Table157[[#This Row],[Principal]]-Table157[[#This Row],[Prepayments]]-Table157[[#This Row],[Defaulted Principal]]</f>
        <v>0</v>
      </c>
      <c r="P290" s="3">
        <f>Table157[[#This Row],[Principal]]+Table157[[#This Row],[Interest]]+Table157[[#This Row],[Prepayments]]+Table157[[#This Row],[RecoveredAmount]]</f>
        <v>0</v>
      </c>
      <c r="Q290" s="3">
        <f ca="1">ROUND(Table157[[#This Row],[Cash Flow]]/((1+ActualRateToUse)^(IF(ISNUMBER(SEARCH("Actual",$C$7)),Table157[[#This Row],[Running Total]]/365,Table157[[#This Row],[Period]]/12))),2)</f>
        <v>0</v>
      </c>
      <c r="R290" s="2">
        <f>IF(MONTH(Table157[[#This Row],[Date]])=2,28,DAY(DATE(YEAR(Table157[[#This Row],[Date]]),MONTH(Table157[[#This Row],[Date]])+1,1)-1))</f>
        <v>30</v>
      </c>
      <c r="S290" s="2">
        <f ca="1">SUM(OFFSET(Table157[[#Headers],[Days in month]],1,0):Table157[[#This Row],[Days in month]])</f>
        <v>8334</v>
      </c>
      <c r="T290" s="37">
        <f>InterestRate*AmortizationMultiplier*IF(ISNUMBER(SEARCH("Actual",$C$7)),Table157[[#This Row],[Days in month]]/365,1/12)</f>
        <v>2.8749999999999995E-3</v>
      </c>
    </row>
    <row r="291" spans="2:20" x14ac:dyDescent="0.2">
      <c r="B291" s="1">
        <f t="shared" si="14"/>
        <v>54209</v>
      </c>
      <c r="C291" s="2">
        <f t="shared" si="16"/>
        <v>275</v>
      </c>
      <c r="D291" s="3">
        <f t="shared" si="15"/>
        <v>0</v>
      </c>
      <c r="E291" s="3">
        <f>ROUND(Table157[[#This Row],[Beginning Balance]]*Table157[[#This Row],[Monthly Interest Rate]],2)</f>
        <v>0</v>
      </c>
      <c r="F291" s="3">
        <f t="shared" si="17"/>
        <v>-19</v>
      </c>
      <c r="G291" s="23">
        <f>IFERROR(IF($C$13="No","N/A",IF(Table157[[#This Row],[Period]]=1,$C$6,PMT(InterestRate*AmortizationMultiplier/12,Table157[[#This Row],[Am Thru]],-Table157[[#This Row],[Beginning Balance]]))),0)</f>
        <v>0</v>
      </c>
      <c r="H291" s="3">
        <f>MAX(0,IF(C291=$C$4,D291,ROUND(IF($C$3="Fixed Principal",$C$6-Table157[[#This Row],[Interest]],IF($C$3="Interest Only",Table157[[#This Row],[Beginning Balance]]*ROUND(1-(1-IF($C$11="No",$E$8,1))^(1/12),6),MIN(IF($C$13="Yes",Table157[[#This Row],[Payment Amount (Reamortized)]],$C$6)-Table157[[#This Row],[Interest]],Table157[[#This Row],[Beginning Balance]]))),2)))</f>
        <v>0</v>
      </c>
      <c r="I291" s="3">
        <f>_xlfn.SINGLE(IF($C$3="Line of Credit",0,ROUND(MAX(MIN(IF($C$10="No",$E$7,VLOOKUP(Table157[[#This Row],[Period]],Forecast!$H$2:$L$1048576,4,FALSE))*Table157[[#This Row],[Beginning Balance]],Table157[[#This Row],[Beginning Balance]]-Table157[[#This Row],[Principal]]),0),2)))</f>
        <v>0</v>
      </c>
      <c r="J291" s="3">
        <f>ROUND(MIN(Table157[[#This Row],[Beginning Balance]]*IF($C$8="No",$E$3,VLOOKUP(Table157[[#This Row],[Period]],Forecast!$H$2:$L$1048576,2,FALSE)),Table157[[#This Row],[Beginning Balance]]-Table157[[#This Row],[Principal]]-Table157[[#This Row],[Prepayments]]),2)</f>
        <v>0</v>
      </c>
      <c r="K291" s="3">
        <f>ROUND(Table157[[#This Row],[Defaulted Principal]]*IF($C$9="No",$E$4,VLOOKUP(Table157[[#This Row],[Period]],Forecast!$H$2:$L$1048576,3,FALSE)),2)</f>
        <v>0</v>
      </c>
      <c r="L291" s="2">
        <f>Table157[[#This Row],[Period]]+$E$9</f>
        <v>287</v>
      </c>
      <c r="M291" s="3">
        <f>Table157[[#This Row],[Defaulted Principal]]-Table157[[#This Row],[Estimated Loss]]</f>
        <v>0</v>
      </c>
      <c r="N291" s="3">
        <f>IFERROR(VLOOKUP(Table157[[#This Row],[Period]],$L$16:$M$385,2,FALSE),0)</f>
        <v>0</v>
      </c>
      <c r="O291" s="3">
        <f>Table157[[#This Row],[Beginning Balance]]-Table157[[#This Row],[Principal]]-Table157[[#This Row],[Prepayments]]-Table157[[#This Row],[Defaulted Principal]]</f>
        <v>0</v>
      </c>
      <c r="P291" s="3">
        <f>Table157[[#This Row],[Principal]]+Table157[[#This Row],[Interest]]+Table157[[#This Row],[Prepayments]]+Table157[[#This Row],[RecoveredAmount]]</f>
        <v>0</v>
      </c>
      <c r="Q291" s="3">
        <f ca="1">ROUND(Table157[[#This Row],[Cash Flow]]/((1+ActualRateToUse)^(IF(ISNUMBER(SEARCH("Actual",$C$7)),Table157[[#This Row],[Running Total]]/365,Table157[[#This Row],[Period]]/12))),2)</f>
        <v>0</v>
      </c>
      <c r="R291" s="2">
        <f>IF(MONTH(Table157[[#This Row],[Date]])=2,28,DAY(DATE(YEAR(Table157[[#This Row],[Date]]),MONTH(Table157[[#This Row],[Date]])+1,1)-1))</f>
        <v>31</v>
      </c>
      <c r="S291" s="2">
        <f ca="1">SUM(OFFSET(Table157[[#Headers],[Days in month]],1,0):Table157[[#This Row],[Days in month]])</f>
        <v>8365</v>
      </c>
      <c r="T291" s="37">
        <f>InterestRate*AmortizationMultiplier*IF(ISNUMBER(SEARCH("Actual",$C$7)),Table157[[#This Row],[Days in month]]/365,1/12)</f>
        <v>2.9708333333333331E-3</v>
      </c>
    </row>
    <row r="292" spans="2:20" x14ac:dyDescent="0.2">
      <c r="B292" s="1">
        <f t="shared" si="14"/>
        <v>54239</v>
      </c>
      <c r="C292" s="2">
        <f t="shared" si="16"/>
        <v>276</v>
      </c>
      <c r="D292" s="3">
        <f t="shared" si="15"/>
        <v>0</v>
      </c>
      <c r="E292" s="3">
        <f>ROUND(Table157[[#This Row],[Beginning Balance]]*Table157[[#This Row],[Monthly Interest Rate]],2)</f>
        <v>0</v>
      </c>
      <c r="F292" s="3">
        <f t="shared" si="17"/>
        <v>-20</v>
      </c>
      <c r="G292" s="23">
        <f>IFERROR(IF($C$13="No","N/A",IF(Table157[[#This Row],[Period]]=1,$C$6,PMT(InterestRate*AmortizationMultiplier/12,Table157[[#This Row],[Am Thru]],-Table157[[#This Row],[Beginning Balance]]))),0)</f>
        <v>0</v>
      </c>
      <c r="H292" s="3">
        <f>MAX(0,IF(C292=$C$4,D292,ROUND(IF($C$3="Fixed Principal",$C$6-Table157[[#This Row],[Interest]],IF($C$3="Interest Only",Table157[[#This Row],[Beginning Balance]]*ROUND(1-(1-IF($C$11="No",$E$8,1))^(1/12),6),MIN(IF($C$13="Yes",Table157[[#This Row],[Payment Amount (Reamortized)]],$C$6)-Table157[[#This Row],[Interest]],Table157[[#This Row],[Beginning Balance]]))),2)))</f>
        <v>0</v>
      </c>
      <c r="I292" s="3">
        <f>_xlfn.SINGLE(IF($C$3="Line of Credit",0,ROUND(MAX(MIN(IF($C$10="No",$E$7,VLOOKUP(Table157[[#This Row],[Period]],Forecast!$H$2:$L$1048576,4,FALSE))*Table157[[#This Row],[Beginning Balance]],Table157[[#This Row],[Beginning Balance]]-Table157[[#This Row],[Principal]]),0),2)))</f>
        <v>0</v>
      </c>
      <c r="J292" s="3">
        <f>ROUND(MIN(Table157[[#This Row],[Beginning Balance]]*IF($C$8="No",$E$3,VLOOKUP(Table157[[#This Row],[Period]],Forecast!$H$2:$L$1048576,2,FALSE)),Table157[[#This Row],[Beginning Balance]]-Table157[[#This Row],[Principal]]-Table157[[#This Row],[Prepayments]]),2)</f>
        <v>0</v>
      </c>
      <c r="K292" s="3">
        <f>ROUND(Table157[[#This Row],[Defaulted Principal]]*IF($C$9="No",$E$4,VLOOKUP(Table157[[#This Row],[Period]],Forecast!$H$2:$L$1048576,3,FALSE)),2)</f>
        <v>0</v>
      </c>
      <c r="L292" s="2">
        <f>Table157[[#This Row],[Period]]+$E$9</f>
        <v>288</v>
      </c>
      <c r="M292" s="3">
        <f>Table157[[#This Row],[Defaulted Principal]]-Table157[[#This Row],[Estimated Loss]]</f>
        <v>0</v>
      </c>
      <c r="N292" s="3">
        <f>IFERROR(VLOOKUP(Table157[[#This Row],[Period]],$L$16:$M$385,2,FALSE),0)</f>
        <v>0</v>
      </c>
      <c r="O292" s="3">
        <f>Table157[[#This Row],[Beginning Balance]]-Table157[[#This Row],[Principal]]-Table157[[#This Row],[Prepayments]]-Table157[[#This Row],[Defaulted Principal]]</f>
        <v>0</v>
      </c>
      <c r="P292" s="3">
        <f>Table157[[#This Row],[Principal]]+Table157[[#This Row],[Interest]]+Table157[[#This Row],[Prepayments]]+Table157[[#This Row],[RecoveredAmount]]</f>
        <v>0</v>
      </c>
      <c r="Q292" s="3">
        <f ca="1">ROUND(Table157[[#This Row],[Cash Flow]]/((1+ActualRateToUse)^(IF(ISNUMBER(SEARCH("Actual",$C$7)),Table157[[#This Row],[Running Total]]/365,Table157[[#This Row],[Period]]/12))),2)</f>
        <v>0</v>
      </c>
      <c r="R292" s="2">
        <f>IF(MONTH(Table157[[#This Row],[Date]])=2,28,DAY(DATE(YEAR(Table157[[#This Row],[Date]]),MONTH(Table157[[#This Row],[Date]])+1,1)-1))</f>
        <v>30</v>
      </c>
      <c r="S292" s="2">
        <f ca="1">SUM(OFFSET(Table157[[#Headers],[Days in month]],1,0):Table157[[#This Row],[Days in month]])</f>
        <v>8395</v>
      </c>
      <c r="T292" s="37">
        <f>InterestRate*AmortizationMultiplier*IF(ISNUMBER(SEARCH("Actual",$C$7)),Table157[[#This Row],[Days in month]]/365,1/12)</f>
        <v>2.8749999999999995E-3</v>
      </c>
    </row>
    <row r="293" spans="2:20" x14ac:dyDescent="0.2">
      <c r="B293" s="1">
        <f t="shared" si="14"/>
        <v>54270</v>
      </c>
      <c r="C293" s="2">
        <f t="shared" si="16"/>
        <v>277</v>
      </c>
      <c r="D293" s="3">
        <f t="shared" si="15"/>
        <v>0</v>
      </c>
      <c r="E293" s="3">
        <f>ROUND(Table157[[#This Row],[Beginning Balance]]*Table157[[#This Row],[Monthly Interest Rate]],2)</f>
        <v>0</v>
      </c>
      <c r="F293" s="3">
        <f t="shared" si="17"/>
        <v>-21</v>
      </c>
      <c r="G293" s="23">
        <f>IFERROR(IF($C$13="No","N/A",IF(Table157[[#This Row],[Period]]=1,$C$6,PMT(InterestRate*AmortizationMultiplier/12,Table157[[#This Row],[Am Thru]],-Table157[[#This Row],[Beginning Balance]]))),0)</f>
        <v>0</v>
      </c>
      <c r="H293" s="3">
        <f>MAX(0,IF(C293=$C$4,D293,ROUND(IF($C$3="Fixed Principal",$C$6-Table157[[#This Row],[Interest]],IF($C$3="Interest Only",Table157[[#This Row],[Beginning Balance]]*ROUND(1-(1-IF($C$11="No",$E$8,1))^(1/12),6),MIN(IF($C$13="Yes",Table157[[#This Row],[Payment Amount (Reamortized)]],$C$6)-Table157[[#This Row],[Interest]],Table157[[#This Row],[Beginning Balance]]))),2)))</f>
        <v>0</v>
      </c>
      <c r="I293" s="3">
        <f>_xlfn.SINGLE(IF($C$3="Line of Credit",0,ROUND(MAX(MIN(IF($C$10="No",$E$7,VLOOKUP(Table157[[#This Row],[Period]],Forecast!$H$2:$L$1048576,4,FALSE))*Table157[[#This Row],[Beginning Balance]],Table157[[#This Row],[Beginning Balance]]-Table157[[#This Row],[Principal]]),0),2)))</f>
        <v>0</v>
      </c>
      <c r="J293" s="3">
        <f>ROUND(MIN(Table157[[#This Row],[Beginning Balance]]*IF($C$8="No",$E$3,VLOOKUP(Table157[[#This Row],[Period]],Forecast!$H$2:$L$1048576,2,FALSE)),Table157[[#This Row],[Beginning Balance]]-Table157[[#This Row],[Principal]]-Table157[[#This Row],[Prepayments]]),2)</f>
        <v>0</v>
      </c>
      <c r="K293" s="3">
        <f>ROUND(Table157[[#This Row],[Defaulted Principal]]*IF($C$9="No",$E$4,VLOOKUP(Table157[[#This Row],[Period]],Forecast!$H$2:$L$1048576,3,FALSE)),2)</f>
        <v>0</v>
      </c>
      <c r="L293" s="2">
        <f>Table157[[#This Row],[Period]]+$E$9</f>
        <v>289</v>
      </c>
      <c r="M293" s="3">
        <f>Table157[[#This Row],[Defaulted Principal]]-Table157[[#This Row],[Estimated Loss]]</f>
        <v>0</v>
      </c>
      <c r="N293" s="3">
        <f>IFERROR(VLOOKUP(Table157[[#This Row],[Period]],$L$16:$M$385,2,FALSE),0)</f>
        <v>0</v>
      </c>
      <c r="O293" s="3">
        <f>Table157[[#This Row],[Beginning Balance]]-Table157[[#This Row],[Principal]]-Table157[[#This Row],[Prepayments]]-Table157[[#This Row],[Defaulted Principal]]</f>
        <v>0</v>
      </c>
      <c r="P293" s="3">
        <f>Table157[[#This Row],[Principal]]+Table157[[#This Row],[Interest]]+Table157[[#This Row],[Prepayments]]+Table157[[#This Row],[RecoveredAmount]]</f>
        <v>0</v>
      </c>
      <c r="Q293" s="3">
        <f ca="1">ROUND(Table157[[#This Row],[Cash Flow]]/((1+ActualRateToUse)^(IF(ISNUMBER(SEARCH("Actual",$C$7)),Table157[[#This Row],[Running Total]]/365,Table157[[#This Row],[Period]]/12))),2)</f>
        <v>0</v>
      </c>
      <c r="R293" s="2">
        <f>IF(MONTH(Table157[[#This Row],[Date]])=2,28,DAY(DATE(YEAR(Table157[[#This Row],[Date]]),MONTH(Table157[[#This Row],[Date]])+1,1)-1))</f>
        <v>31</v>
      </c>
      <c r="S293" s="2">
        <f ca="1">SUM(OFFSET(Table157[[#Headers],[Days in month]],1,0):Table157[[#This Row],[Days in month]])</f>
        <v>8426</v>
      </c>
      <c r="T293" s="37">
        <f>InterestRate*AmortizationMultiplier*IF(ISNUMBER(SEARCH("Actual",$C$7)),Table157[[#This Row],[Days in month]]/365,1/12)</f>
        <v>2.9708333333333331E-3</v>
      </c>
    </row>
    <row r="294" spans="2:20" x14ac:dyDescent="0.2">
      <c r="B294" s="1">
        <f t="shared" si="14"/>
        <v>54301</v>
      </c>
      <c r="C294" s="2">
        <f t="shared" si="16"/>
        <v>278</v>
      </c>
      <c r="D294" s="3">
        <f t="shared" si="15"/>
        <v>0</v>
      </c>
      <c r="E294" s="3">
        <f>ROUND(Table157[[#This Row],[Beginning Balance]]*Table157[[#This Row],[Monthly Interest Rate]],2)</f>
        <v>0</v>
      </c>
      <c r="F294" s="3">
        <f t="shared" si="17"/>
        <v>-22</v>
      </c>
      <c r="G294" s="23">
        <f>IFERROR(IF($C$13="No","N/A",IF(Table157[[#This Row],[Period]]=1,$C$6,PMT(InterestRate*AmortizationMultiplier/12,Table157[[#This Row],[Am Thru]],-Table157[[#This Row],[Beginning Balance]]))),0)</f>
        <v>0</v>
      </c>
      <c r="H294" s="3">
        <f>MAX(0,IF(C294=$C$4,D294,ROUND(IF($C$3="Fixed Principal",$C$6-Table157[[#This Row],[Interest]],IF($C$3="Interest Only",Table157[[#This Row],[Beginning Balance]]*ROUND(1-(1-IF($C$11="No",$E$8,1))^(1/12),6),MIN(IF($C$13="Yes",Table157[[#This Row],[Payment Amount (Reamortized)]],$C$6)-Table157[[#This Row],[Interest]],Table157[[#This Row],[Beginning Balance]]))),2)))</f>
        <v>0</v>
      </c>
      <c r="I294" s="3">
        <f>_xlfn.SINGLE(IF($C$3="Line of Credit",0,ROUND(MAX(MIN(IF($C$10="No",$E$7,VLOOKUP(Table157[[#This Row],[Period]],Forecast!$H$2:$L$1048576,4,FALSE))*Table157[[#This Row],[Beginning Balance]],Table157[[#This Row],[Beginning Balance]]-Table157[[#This Row],[Principal]]),0),2)))</f>
        <v>0</v>
      </c>
      <c r="J294" s="3">
        <f>ROUND(MIN(Table157[[#This Row],[Beginning Balance]]*IF($C$8="No",$E$3,VLOOKUP(Table157[[#This Row],[Period]],Forecast!$H$2:$L$1048576,2,FALSE)),Table157[[#This Row],[Beginning Balance]]-Table157[[#This Row],[Principal]]-Table157[[#This Row],[Prepayments]]),2)</f>
        <v>0</v>
      </c>
      <c r="K294" s="3">
        <f>ROUND(Table157[[#This Row],[Defaulted Principal]]*IF($C$9="No",$E$4,VLOOKUP(Table157[[#This Row],[Period]],Forecast!$H$2:$L$1048576,3,FALSE)),2)</f>
        <v>0</v>
      </c>
      <c r="L294" s="2">
        <f>Table157[[#This Row],[Period]]+$E$9</f>
        <v>290</v>
      </c>
      <c r="M294" s="3">
        <f>Table157[[#This Row],[Defaulted Principal]]-Table157[[#This Row],[Estimated Loss]]</f>
        <v>0</v>
      </c>
      <c r="N294" s="3">
        <f>IFERROR(VLOOKUP(Table157[[#This Row],[Period]],$L$16:$M$385,2,FALSE),0)</f>
        <v>0</v>
      </c>
      <c r="O294" s="3">
        <f>Table157[[#This Row],[Beginning Balance]]-Table157[[#This Row],[Principal]]-Table157[[#This Row],[Prepayments]]-Table157[[#This Row],[Defaulted Principal]]</f>
        <v>0</v>
      </c>
      <c r="P294" s="3">
        <f>Table157[[#This Row],[Principal]]+Table157[[#This Row],[Interest]]+Table157[[#This Row],[Prepayments]]+Table157[[#This Row],[RecoveredAmount]]</f>
        <v>0</v>
      </c>
      <c r="Q294" s="3">
        <f ca="1">ROUND(Table157[[#This Row],[Cash Flow]]/((1+ActualRateToUse)^(IF(ISNUMBER(SEARCH("Actual",$C$7)),Table157[[#This Row],[Running Total]]/365,Table157[[#This Row],[Period]]/12))),2)</f>
        <v>0</v>
      </c>
      <c r="R294" s="2">
        <f>IF(MONTH(Table157[[#This Row],[Date]])=2,28,DAY(DATE(YEAR(Table157[[#This Row],[Date]]),MONTH(Table157[[#This Row],[Date]])+1,1)-1))</f>
        <v>31</v>
      </c>
      <c r="S294" s="2">
        <f ca="1">SUM(OFFSET(Table157[[#Headers],[Days in month]],1,0):Table157[[#This Row],[Days in month]])</f>
        <v>8457</v>
      </c>
      <c r="T294" s="37">
        <f>InterestRate*AmortizationMultiplier*IF(ISNUMBER(SEARCH("Actual",$C$7)),Table157[[#This Row],[Days in month]]/365,1/12)</f>
        <v>2.9708333333333331E-3</v>
      </c>
    </row>
    <row r="295" spans="2:20" x14ac:dyDescent="0.2">
      <c r="B295" s="1">
        <f t="shared" si="14"/>
        <v>54331</v>
      </c>
      <c r="C295" s="2">
        <f t="shared" si="16"/>
        <v>279</v>
      </c>
      <c r="D295" s="3">
        <f t="shared" si="15"/>
        <v>0</v>
      </c>
      <c r="E295" s="3">
        <f>ROUND(Table157[[#This Row],[Beginning Balance]]*Table157[[#This Row],[Monthly Interest Rate]],2)</f>
        <v>0</v>
      </c>
      <c r="F295" s="3">
        <f t="shared" si="17"/>
        <v>-23</v>
      </c>
      <c r="G295" s="23">
        <f>IFERROR(IF($C$13="No","N/A",IF(Table157[[#This Row],[Period]]=1,$C$6,PMT(InterestRate*AmortizationMultiplier/12,Table157[[#This Row],[Am Thru]],-Table157[[#This Row],[Beginning Balance]]))),0)</f>
        <v>0</v>
      </c>
      <c r="H295" s="3">
        <f>MAX(0,IF(C295=$C$4,D295,ROUND(IF($C$3="Fixed Principal",$C$6-Table157[[#This Row],[Interest]],IF($C$3="Interest Only",Table157[[#This Row],[Beginning Balance]]*ROUND(1-(1-IF($C$11="No",$E$8,1))^(1/12),6),MIN(IF($C$13="Yes",Table157[[#This Row],[Payment Amount (Reamortized)]],$C$6)-Table157[[#This Row],[Interest]],Table157[[#This Row],[Beginning Balance]]))),2)))</f>
        <v>0</v>
      </c>
      <c r="I295" s="3">
        <f>_xlfn.SINGLE(IF($C$3="Line of Credit",0,ROUND(MAX(MIN(IF($C$10="No",$E$7,VLOOKUP(Table157[[#This Row],[Period]],Forecast!$H$2:$L$1048576,4,FALSE))*Table157[[#This Row],[Beginning Balance]],Table157[[#This Row],[Beginning Balance]]-Table157[[#This Row],[Principal]]),0),2)))</f>
        <v>0</v>
      </c>
      <c r="J295" s="3">
        <f>ROUND(MIN(Table157[[#This Row],[Beginning Balance]]*IF($C$8="No",$E$3,VLOOKUP(Table157[[#This Row],[Period]],Forecast!$H$2:$L$1048576,2,FALSE)),Table157[[#This Row],[Beginning Balance]]-Table157[[#This Row],[Principal]]-Table157[[#This Row],[Prepayments]]),2)</f>
        <v>0</v>
      </c>
      <c r="K295" s="3">
        <f>ROUND(Table157[[#This Row],[Defaulted Principal]]*IF($C$9="No",$E$4,VLOOKUP(Table157[[#This Row],[Period]],Forecast!$H$2:$L$1048576,3,FALSE)),2)</f>
        <v>0</v>
      </c>
      <c r="L295" s="2">
        <f>Table157[[#This Row],[Period]]+$E$9</f>
        <v>291</v>
      </c>
      <c r="M295" s="3">
        <f>Table157[[#This Row],[Defaulted Principal]]-Table157[[#This Row],[Estimated Loss]]</f>
        <v>0</v>
      </c>
      <c r="N295" s="3">
        <f>IFERROR(VLOOKUP(Table157[[#This Row],[Period]],$L$16:$M$385,2,FALSE),0)</f>
        <v>0</v>
      </c>
      <c r="O295" s="3">
        <f>Table157[[#This Row],[Beginning Balance]]-Table157[[#This Row],[Principal]]-Table157[[#This Row],[Prepayments]]-Table157[[#This Row],[Defaulted Principal]]</f>
        <v>0</v>
      </c>
      <c r="P295" s="3">
        <f>Table157[[#This Row],[Principal]]+Table157[[#This Row],[Interest]]+Table157[[#This Row],[Prepayments]]+Table157[[#This Row],[RecoveredAmount]]</f>
        <v>0</v>
      </c>
      <c r="Q295" s="3">
        <f ca="1">ROUND(Table157[[#This Row],[Cash Flow]]/((1+ActualRateToUse)^(IF(ISNUMBER(SEARCH("Actual",$C$7)),Table157[[#This Row],[Running Total]]/365,Table157[[#This Row],[Period]]/12))),2)</f>
        <v>0</v>
      </c>
      <c r="R295" s="2">
        <f>IF(MONTH(Table157[[#This Row],[Date]])=2,28,DAY(DATE(YEAR(Table157[[#This Row],[Date]]),MONTH(Table157[[#This Row],[Date]])+1,1)-1))</f>
        <v>30</v>
      </c>
      <c r="S295" s="2">
        <f ca="1">SUM(OFFSET(Table157[[#Headers],[Days in month]],1,0):Table157[[#This Row],[Days in month]])</f>
        <v>8487</v>
      </c>
      <c r="T295" s="37">
        <f>InterestRate*AmortizationMultiplier*IF(ISNUMBER(SEARCH("Actual",$C$7)),Table157[[#This Row],[Days in month]]/365,1/12)</f>
        <v>2.8749999999999995E-3</v>
      </c>
    </row>
    <row r="296" spans="2:20" x14ac:dyDescent="0.2">
      <c r="B296" s="1">
        <f t="shared" si="14"/>
        <v>54362</v>
      </c>
      <c r="C296" s="2">
        <f t="shared" si="16"/>
        <v>280</v>
      </c>
      <c r="D296" s="3">
        <f t="shared" si="15"/>
        <v>0</v>
      </c>
      <c r="E296" s="3">
        <f>ROUND(Table157[[#This Row],[Beginning Balance]]*Table157[[#This Row],[Monthly Interest Rate]],2)</f>
        <v>0</v>
      </c>
      <c r="F296" s="3">
        <f t="shared" si="17"/>
        <v>-24</v>
      </c>
      <c r="G296" s="23">
        <f>IFERROR(IF($C$13="No","N/A",IF(Table157[[#This Row],[Period]]=1,$C$6,PMT(InterestRate*AmortizationMultiplier/12,Table157[[#This Row],[Am Thru]],-Table157[[#This Row],[Beginning Balance]]))),0)</f>
        <v>0</v>
      </c>
      <c r="H296" s="3">
        <f>MAX(0,IF(C296=$C$4,D296,ROUND(IF($C$3="Fixed Principal",$C$6-Table157[[#This Row],[Interest]],IF($C$3="Interest Only",Table157[[#This Row],[Beginning Balance]]*ROUND(1-(1-IF($C$11="No",$E$8,1))^(1/12),6),MIN(IF($C$13="Yes",Table157[[#This Row],[Payment Amount (Reamortized)]],$C$6)-Table157[[#This Row],[Interest]],Table157[[#This Row],[Beginning Balance]]))),2)))</f>
        <v>0</v>
      </c>
      <c r="I296" s="3">
        <f>_xlfn.SINGLE(IF($C$3="Line of Credit",0,ROUND(MAX(MIN(IF($C$10="No",$E$7,VLOOKUP(Table157[[#This Row],[Period]],Forecast!$H$2:$L$1048576,4,FALSE))*Table157[[#This Row],[Beginning Balance]],Table157[[#This Row],[Beginning Balance]]-Table157[[#This Row],[Principal]]),0),2)))</f>
        <v>0</v>
      </c>
      <c r="J296" s="3">
        <f>ROUND(MIN(Table157[[#This Row],[Beginning Balance]]*IF($C$8="No",$E$3,VLOOKUP(Table157[[#This Row],[Period]],Forecast!$H$2:$L$1048576,2,FALSE)),Table157[[#This Row],[Beginning Balance]]-Table157[[#This Row],[Principal]]-Table157[[#This Row],[Prepayments]]),2)</f>
        <v>0</v>
      </c>
      <c r="K296" s="3">
        <f>ROUND(Table157[[#This Row],[Defaulted Principal]]*IF($C$9="No",$E$4,VLOOKUP(Table157[[#This Row],[Period]],Forecast!$H$2:$L$1048576,3,FALSE)),2)</f>
        <v>0</v>
      </c>
      <c r="L296" s="2">
        <f>Table157[[#This Row],[Period]]+$E$9</f>
        <v>292</v>
      </c>
      <c r="M296" s="3">
        <f>Table157[[#This Row],[Defaulted Principal]]-Table157[[#This Row],[Estimated Loss]]</f>
        <v>0</v>
      </c>
      <c r="N296" s="3">
        <f>IFERROR(VLOOKUP(Table157[[#This Row],[Period]],$L$16:$M$385,2,FALSE),0)</f>
        <v>0</v>
      </c>
      <c r="O296" s="3">
        <f>Table157[[#This Row],[Beginning Balance]]-Table157[[#This Row],[Principal]]-Table157[[#This Row],[Prepayments]]-Table157[[#This Row],[Defaulted Principal]]</f>
        <v>0</v>
      </c>
      <c r="P296" s="3">
        <f>Table157[[#This Row],[Principal]]+Table157[[#This Row],[Interest]]+Table157[[#This Row],[Prepayments]]+Table157[[#This Row],[RecoveredAmount]]</f>
        <v>0</v>
      </c>
      <c r="Q296" s="3">
        <f ca="1">ROUND(Table157[[#This Row],[Cash Flow]]/((1+ActualRateToUse)^(IF(ISNUMBER(SEARCH("Actual",$C$7)),Table157[[#This Row],[Running Total]]/365,Table157[[#This Row],[Period]]/12))),2)</f>
        <v>0</v>
      </c>
      <c r="R296" s="2">
        <f>IF(MONTH(Table157[[#This Row],[Date]])=2,28,DAY(DATE(YEAR(Table157[[#This Row],[Date]]),MONTH(Table157[[#This Row],[Date]])+1,1)-1))</f>
        <v>31</v>
      </c>
      <c r="S296" s="2">
        <f ca="1">SUM(OFFSET(Table157[[#Headers],[Days in month]],1,0):Table157[[#This Row],[Days in month]])</f>
        <v>8518</v>
      </c>
      <c r="T296" s="37">
        <f>InterestRate*AmortizationMultiplier*IF(ISNUMBER(SEARCH("Actual",$C$7)),Table157[[#This Row],[Days in month]]/365,1/12)</f>
        <v>2.9708333333333331E-3</v>
      </c>
    </row>
    <row r="297" spans="2:20" x14ac:dyDescent="0.2">
      <c r="B297" s="1">
        <f t="shared" si="14"/>
        <v>54392</v>
      </c>
      <c r="C297" s="2">
        <f t="shared" si="16"/>
        <v>281</v>
      </c>
      <c r="D297" s="3">
        <f t="shared" si="15"/>
        <v>0</v>
      </c>
      <c r="E297" s="3">
        <f>ROUND(Table157[[#This Row],[Beginning Balance]]*Table157[[#This Row],[Monthly Interest Rate]],2)</f>
        <v>0</v>
      </c>
      <c r="F297" s="3">
        <f t="shared" si="17"/>
        <v>-25</v>
      </c>
      <c r="G297" s="23">
        <f>IFERROR(IF($C$13="No","N/A",IF(Table157[[#This Row],[Period]]=1,$C$6,PMT(InterestRate*AmortizationMultiplier/12,Table157[[#This Row],[Am Thru]],-Table157[[#This Row],[Beginning Balance]]))),0)</f>
        <v>0</v>
      </c>
      <c r="H297" s="3">
        <f>MAX(0,IF(C297=$C$4,D297,ROUND(IF($C$3="Fixed Principal",$C$6-Table157[[#This Row],[Interest]],IF($C$3="Interest Only",Table157[[#This Row],[Beginning Balance]]*ROUND(1-(1-IF($C$11="No",$E$8,1))^(1/12),6),MIN(IF($C$13="Yes",Table157[[#This Row],[Payment Amount (Reamortized)]],$C$6)-Table157[[#This Row],[Interest]],Table157[[#This Row],[Beginning Balance]]))),2)))</f>
        <v>0</v>
      </c>
      <c r="I297" s="3">
        <f>_xlfn.SINGLE(IF($C$3="Line of Credit",0,ROUND(MAX(MIN(IF($C$10="No",$E$7,VLOOKUP(Table157[[#This Row],[Period]],Forecast!$H$2:$L$1048576,4,FALSE))*Table157[[#This Row],[Beginning Balance]],Table157[[#This Row],[Beginning Balance]]-Table157[[#This Row],[Principal]]),0),2)))</f>
        <v>0</v>
      </c>
      <c r="J297" s="3">
        <f>ROUND(MIN(Table157[[#This Row],[Beginning Balance]]*IF($C$8="No",$E$3,VLOOKUP(Table157[[#This Row],[Period]],Forecast!$H$2:$L$1048576,2,FALSE)),Table157[[#This Row],[Beginning Balance]]-Table157[[#This Row],[Principal]]-Table157[[#This Row],[Prepayments]]),2)</f>
        <v>0</v>
      </c>
      <c r="K297" s="3">
        <f>ROUND(Table157[[#This Row],[Defaulted Principal]]*IF($C$9="No",$E$4,VLOOKUP(Table157[[#This Row],[Period]],Forecast!$H$2:$L$1048576,3,FALSE)),2)</f>
        <v>0</v>
      </c>
      <c r="L297" s="2">
        <f>Table157[[#This Row],[Period]]+$E$9</f>
        <v>293</v>
      </c>
      <c r="M297" s="3">
        <f>Table157[[#This Row],[Defaulted Principal]]-Table157[[#This Row],[Estimated Loss]]</f>
        <v>0</v>
      </c>
      <c r="N297" s="3">
        <f>IFERROR(VLOOKUP(Table157[[#This Row],[Period]],$L$16:$M$385,2,FALSE),0)</f>
        <v>0</v>
      </c>
      <c r="O297" s="3">
        <f>Table157[[#This Row],[Beginning Balance]]-Table157[[#This Row],[Principal]]-Table157[[#This Row],[Prepayments]]-Table157[[#This Row],[Defaulted Principal]]</f>
        <v>0</v>
      </c>
      <c r="P297" s="3">
        <f>Table157[[#This Row],[Principal]]+Table157[[#This Row],[Interest]]+Table157[[#This Row],[Prepayments]]+Table157[[#This Row],[RecoveredAmount]]</f>
        <v>0</v>
      </c>
      <c r="Q297" s="3">
        <f ca="1">ROUND(Table157[[#This Row],[Cash Flow]]/((1+ActualRateToUse)^(IF(ISNUMBER(SEARCH("Actual",$C$7)),Table157[[#This Row],[Running Total]]/365,Table157[[#This Row],[Period]]/12))),2)</f>
        <v>0</v>
      </c>
      <c r="R297" s="2">
        <f>IF(MONTH(Table157[[#This Row],[Date]])=2,28,DAY(DATE(YEAR(Table157[[#This Row],[Date]]),MONTH(Table157[[#This Row],[Date]])+1,1)-1))</f>
        <v>30</v>
      </c>
      <c r="S297" s="2">
        <f ca="1">SUM(OFFSET(Table157[[#Headers],[Days in month]],1,0):Table157[[#This Row],[Days in month]])</f>
        <v>8548</v>
      </c>
      <c r="T297" s="37">
        <f>InterestRate*AmortizationMultiplier*IF(ISNUMBER(SEARCH("Actual",$C$7)),Table157[[#This Row],[Days in month]]/365,1/12)</f>
        <v>2.8749999999999995E-3</v>
      </c>
    </row>
    <row r="298" spans="2:20" x14ac:dyDescent="0.2">
      <c r="B298" s="1">
        <f t="shared" si="14"/>
        <v>54423</v>
      </c>
      <c r="C298" s="2">
        <f t="shared" si="16"/>
        <v>282</v>
      </c>
      <c r="D298" s="3">
        <f t="shared" si="15"/>
        <v>0</v>
      </c>
      <c r="E298" s="3">
        <f>ROUND(Table157[[#This Row],[Beginning Balance]]*Table157[[#This Row],[Monthly Interest Rate]],2)</f>
        <v>0</v>
      </c>
      <c r="F298" s="3">
        <f t="shared" si="17"/>
        <v>-26</v>
      </c>
      <c r="G298" s="23">
        <f>IFERROR(IF($C$13="No","N/A",IF(Table157[[#This Row],[Period]]=1,$C$6,PMT(InterestRate*AmortizationMultiplier/12,Table157[[#This Row],[Am Thru]],-Table157[[#This Row],[Beginning Balance]]))),0)</f>
        <v>0</v>
      </c>
      <c r="H298" s="3">
        <f>MAX(0,IF(C298=$C$4,D298,ROUND(IF($C$3="Fixed Principal",$C$6-Table157[[#This Row],[Interest]],IF($C$3="Interest Only",Table157[[#This Row],[Beginning Balance]]*ROUND(1-(1-IF($C$11="No",$E$8,1))^(1/12),6),MIN(IF($C$13="Yes",Table157[[#This Row],[Payment Amount (Reamortized)]],$C$6)-Table157[[#This Row],[Interest]],Table157[[#This Row],[Beginning Balance]]))),2)))</f>
        <v>0</v>
      </c>
      <c r="I298" s="3">
        <f>_xlfn.SINGLE(IF($C$3="Line of Credit",0,ROUND(MAX(MIN(IF($C$10="No",$E$7,VLOOKUP(Table157[[#This Row],[Period]],Forecast!$H$2:$L$1048576,4,FALSE))*Table157[[#This Row],[Beginning Balance]],Table157[[#This Row],[Beginning Balance]]-Table157[[#This Row],[Principal]]),0),2)))</f>
        <v>0</v>
      </c>
      <c r="J298" s="3">
        <f>ROUND(MIN(Table157[[#This Row],[Beginning Balance]]*IF($C$8="No",$E$3,VLOOKUP(Table157[[#This Row],[Period]],Forecast!$H$2:$L$1048576,2,FALSE)),Table157[[#This Row],[Beginning Balance]]-Table157[[#This Row],[Principal]]-Table157[[#This Row],[Prepayments]]),2)</f>
        <v>0</v>
      </c>
      <c r="K298" s="3">
        <f>ROUND(Table157[[#This Row],[Defaulted Principal]]*IF($C$9="No",$E$4,VLOOKUP(Table157[[#This Row],[Period]],Forecast!$H$2:$L$1048576,3,FALSE)),2)</f>
        <v>0</v>
      </c>
      <c r="L298" s="2">
        <f>Table157[[#This Row],[Period]]+$E$9</f>
        <v>294</v>
      </c>
      <c r="M298" s="3">
        <f>Table157[[#This Row],[Defaulted Principal]]-Table157[[#This Row],[Estimated Loss]]</f>
        <v>0</v>
      </c>
      <c r="N298" s="3">
        <f>IFERROR(VLOOKUP(Table157[[#This Row],[Period]],$L$16:$M$385,2,FALSE),0)</f>
        <v>0</v>
      </c>
      <c r="O298" s="3">
        <f>Table157[[#This Row],[Beginning Balance]]-Table157[[#This Row],[Principal]]-Table157[[#This Row],[Prepayments]]-Table157[[#This Row],[Defaulted Principal]]</f>
        <v>0</v>
      </c>
      <c r="P298" s="3">
        <f>Table157[[#This Row],[Principal]]+Table157[[#This Row],[Interest]]+Table157[[#This Row],[Prepayments]]+Table157[[#This Row],[RecoveredAmount]]</f>
        <v>0</v>
      </c>
      <c r="Q298" s="3">
        <f ca="1">ROUND(Table157[[#This Row],[Cash Flow]]/((1+ActualRateToUse)^(IF(ISNUMBER(SEARCH("Actual",$C$7)),Table157[[#This Row],[Running Total]]/365,Table157[[#This Row],[Period]]/12))),2)</f>
        <v>0</v>
      </c>
      <c r="R298" s="2">
        <f>IF(MONTH(Table157[[#This Row],[Date]])=2,28,DAY(DATE(YEAR(Table157[[#This Row],[Date]]),MONTH(Table157[[#This Row],[Date]])+1,1)-1))</f>
        <v>31</v>
      </c>
      <c r="S298" s="2">
        <f ca="1">SUM(OFFSET(Table157[[#Headers],[Days in month]],1,0):Table157[[#This Row],[Days in month]])</f>
        <v>8579</v>
      </c>
      <c r="T298" s="37">
        <f>InterestRate*AmortizationMultiplier*IF(ISNUMBER(SEARCH("Actual",$C$7)),Table157[[#This Row],[Days in month]]/365,1/12)</f>
        <v>2.9708333333333331E-3</v>
      </c>
    </row>
    <row r="299" spans="2:20" x14ac:dyDescent="0.2">
      <c r="B299" s="1">
        <f t="shared" si="14"/>
        <v>54454</v>
      </c>
      <c r="C299" s="2">
        <f t="shared" si="16"/>
        <v>283</v>
      </c>
      <c r="D299" s="3">
        <f t="shared" si="15"/>
        <v>0</v>
      </c>
      <c r="E299" s="3">
        <f>ROUND(Table157[[#This Row],[Beginning Balance]]*Table157[[#This Row],[Monthly Interest Rate]],2)</f>
        <v>0</v>
      </c>
      <c r="F299" s="3">
        <f t="shared" si="17"/>
        <v>-27</v>
      </c>
      <c r="G299" s="23">
        <f>IFERROR(IF($C$13="No","N/A",IF(Table157[[#This Row],[Period]]=1,$C$6,PMT(InterestRate*AmortizationMultiplier/12,Table157[[#This Row],[Am Thru]],-Table157[[#This Row],[Beginning Balance]]))),0)</f>
        <v>0</v>
      </c>
      <c r="H299" s="3">
        <f>MAX(0,IF(C299=$C$4,D299,ROUND(IF($C$3="Fixed Principal",$C$6-Table157[[#This Row],[Interest]],IF($C$3="Interest Only",Table157[[#This Row],[Beginning Balance]]*ROUND(1-(1-IF($C$11="No",$E$8,1))^(1/12),6),MIN(IF($C$13="Yes",Table157[[#This Row],[Payment Amount (Reamortized)]],$C$6)-Table157[[#This Row],[Interest]],Table157[[#This Row],[Beginning Balance]]))),2)))</f>
        <v>0</v>
      </c>
      <c r="I299" s="3">
        <f>_xlfn.SINGLE(IF($C$3="Line of Credit",0,ROUND(MAX(MIN(IF($C$10="No",$E$7,VLOOKUP(Table157[[#This Row],[Period]],Forecast!$H$2:$L$1048576,4,FALSE))*Table157[[#This Row],[Beginning Balance]],Table157[[#This Row],[Beginning Balance]]-Table157[[#This Row],[Principal]]),0),2)))</f>
        <v>0</v>
      </c>
      <c r="J299" s="3">
        <f>ROUND(MIN(Table157[[#This Row],[Beginning Balance]]*IF($C$8="No",$E$3,VLOOKUP(Table157[[#This Row],[Period]],Forecast!$H$2:$L$1048576,2,FALSE)),Table157[[#This Row],[Beginning Balance]]-Table157[[#This Row],[Principal]]-Table157[[#This Row],[Prepayments]]),2)</f>
        <v>0</v>
      </c>
      <c r="K299" s="3">
        <f>ROUND(Table157[[#This Row],[Defaulted Principal]]*IF($C$9="No",$E$4,VLOOKUP(Table157[[#This Row],[Period]],Forecast!$H$2:$L$1048576,3,FALSE)),2)</f>
        <v>0</v>
      </c>
      <c r="L299" s="2">
        <f>Table157[[#This Row],[Period]]+$E$9</f>
        <v>295</v>
      </c>
      <c r="M299" s="3">
        <f>Table157[[#This Row],[Defaulted Principal]]-Table157[[#This Row],[Estimated Loss]]</f>
        <v>0</v>
      </c>
      <c r="N299" s="3">
        <f>IFERROR(VLOOKUP(Table157[[#This Row],[Period]],$L$16:$M$385,2,FALSE),0)</f>
        <v>0</v>
      </c>
      <c r="O299" s="3">
        <f>Table157[[#This Row],[Beginning Balance]]-Table157[[#This Row],[Principal]]-Table157[[#This Row],[Prepayments]]-Table157[[#This Row],[Defaulted Principal]]</f>
        <v>0</v>
      </c>
      <c r="P299" s="3">
        <f>Table157[[#This Row],[Principal]]+Table157[[#This Row],[Interest]]+Table157[[#This Row],[Prepayments]]+Table157[[#This Row],[RecoveredAmount]]</f>
        <v>0</v>
      </c>
      <c r="Q299" s="3">
        <f ca="1">ROUND(Table157[[#This Row],[Cash Flow]]/((1+ActualRateToUse)^(IF(ISNUMBER(SEARCH("Actual",$C$7)),Table157[[#This Row],[Running Total]]/365,Table157[[#This Row],[Period]]/12))),2)</f>
        <v>0</v>
      </c>
      <c r="R299" s="2">
        <f>IF(MONTH(Table157[[#This Row],[Date]])=2,28,DAY(DATE(YEAR(Table157[[#This Row],[Date]]),MONTH(Table157[[#This Row],[Date]])+1,1)-1))</f>
        <v>31</v>
      </c>
      <c r="S299" s="2">
        <f ca="1">SUM(OFFSET(Table157[[#Headers],[Days in month]],1,0):Table157[[#This Row],[Days in month]])</f>
        <v>8610</v>
      </c>
      <c r="T299" s="37">
        <f>InterestRate*AmortizationMultiplier*IF(ISNUMBER(SEARCH("Actual",$C$7)),Table157[[#This Row],[Days in month]]/365,1/12)</f>
        <v>2.9708333333333331E-3</v>
      </c>
    </row>
    <row r="300" spans="2:20" x14ac:dyDescent="0.2">
      <c r="B300" s="1">
        <f t="shared" si="14"/>
        <v>54482</v>
      </c>
      <c r="C300" s="2">
        <f t="shared" si="16"/>
        <v>284</v>
      </c>
      <c r="D300" s="3">
        <f t="shared" si="15"/>
        <v>0</v>
      </c>
      <c r="E300" s="3">
        <f>ROUND(Table157[[#This Row],[Beginning Balance]]*Table157[[#This Row],[Monthly Interest Rate]],2)</f>
        <v>0</v>
      </c>
      <c r="F300" s="3">
        <f t="shared" si="17"/>
        <v>-28</v>
      </c>
      <c r="G300" s="23">
        <f>IFERROR(IF($C$13="No","N/A",IF(Table157[[#This Row],[Period]]=1,$C$6,PMT(InterestRate*AmortizationMultiplier/12,Table157[[#This Row],[Am Thru]],-Table157[[#This Row],[Beginning Balance]]))),0)</f>
        <v>0</v>
      </c>
      <c r="H300" s="3">
        <f>MAX(0,IF(C300=$C$4,D300,ROUND(IF($C$3="Fixed Principal",$C$6-Table157[[#This Row],[Interest]],IF($C$3="Interest Only",Table157[[#This Row],[Beginning Balance]]*ROUND(1-(1-IF($C$11="No",$E$8,1))^(1/12),6),MIN(IF($C$13="Yes",Table157[[#This Row],[Payment Amount (Reamortized)]],$C$6)-Table157[[#This Row],[Interest]],Table157[[#This Row],[Beginning Balance]]))),2)))</f>
        <v>0</v>
      </c>
      <c r="I300" s="3">
        <f>_xlfn.SINGLE(IF($C$3="Line of Credit",0,ROUND(MAX(MIN(IF($C$10="No",$E$7,VLOOKUP(Table157[[#This Row],[Period]],Forecast!$H$2:$L$1048576,4,FALSE))*Table157[[#This Row],[Beginning Balance]],Table157[[#This Row],[Beginning Balance]]-Table157[[#This Row],[Principal]]),0),2)))</f>
        <v>0</v>
      </c>
      <c r="J300" s="3">
        <f>ROUND(MIN(Table157[[#This Row],[Beginning Balance]]*IF($C$8="No",$E$3,VLOOKUP(Table157[[#This Row],[Period]],Forecast!$H$2:$L$1048576,2,FALSE)),Table157[[#This Row],[Beginning Balance]]-Table157[[#This Row],[Principal]]-Table157[[#This Row],[Prepayments]]),2)</f>
        <v>0</v>
      </c>
      <c r="K300" s="3">
        <f>ROUND(Table157[[#This Row],[Defaulted Principal]]*IF($C$9="No",$E$4,VLOOKUP(Table157[[#This Row],[Period]],Forecast!$H$2:$L$1048576,3,FALSE)),2)</f>
        <v>0</v>
      </c>
      <c r="L300" s="2">
        <f>Table157[[#This Row],[Period]]+$E$9</f>
        <v>296</v>
      </c>
      <c r="M300" s="3">
        <f>Table157[[#This Row],[Defaulted Principal]]-Table157[[#This Row],[Estimated Loss]]</f>
        <v>0</v>
      </c>
      <c r="N300" s="3">
        <f>IFERROR(VLOOKUP(Table157[[#This Row],[Period]],$L$16:$M$385,2,FALSE),0)</f>
        <v>0</v>
      </c>
      <c r="O300" s="3">
        <f>Table157[[#This Row],[Beginning Balance]]-Table157[[#This Row],[Principal]]-Table157[[#This Row],[Prepayments]]-Table157[[#This Row],[Defaulted Principal]]</f>
        <v>0</v>
      </c>
      <c r="P300" s="3">
        <f>Table157[[#This Row],[Principal]]+Table157[[#This Row],[Interest]]+Table157[[#This Row],[Prepayments]]+Table157[[#This Row],[RecoveredAmount]]</f>
        <v>0</v>
      </c>
      <c r="Q300" s="3">
        <f ca="1">ROUND(Table157[[#This Row],[Cash Flow]]/((1+ActualRateToUse)^(IF(ISNUMBER(SEARCH("Actual",$C$7)),Table157[[#This Row],[Running Total]]/365,Table157[[#This Row],[Period]]/12))),2)</f>
        <v>0</v>
      </c>
      <c r="R300" s="2">
        <f>IF(MONTH(Table157[[#This Row],[Date]])=2,28,DAY(DATE(YEAR(Table157[[#This Row],[Date]]),MONTH(Table157[[#This Row],[Date]])+1,1)-1))</f>
        <v>28</v>
      </c>
      <c r="S300" s="2">
        <f ca="1">SUM(OFFSET(Table157[[#Headers],[Days in month]],1,0):Table157[[#This Row],[Days in month]])</f>
        <v>8638</v>
      </c>
      <c r="T300" s="37">
        <f>InterestRate*AmortizationMultiplier*IF(ISNUMBER(SEARCH("Actual",$C$7)),Table157[[#This Row],[Days in month]]/365,1/12)</f>
        <v>2.6833333333333336E-3</v>
      </c>
    </row>
    <row r="301" spans="2:20" x14ac:dyDescent="0.2">
      <c r="B301" s="1">
        <f t="shared" si="14"/>
        <v>54513</v>
      </c>
      <c r="C301" s="2">
        <f t="shared" si="16"/>
        <v>285</v>
      </c>
      <c r="D301" s="3">
        <f t="shared" si="15"/>
        <v>0</v>
      </c>
      <c r="E301" s="3">
        <f>ROUND(Table157[[#This Row],[Beginning Balance]]*Table157[[#This Row],[Monthly Interest Rate]],2)</f>
        <v>0</v>
      </c>
      <c r="F301" s="3">
        <f t="shared" si="17"/>
        <v>-29</v>
      </c>
      <c r="G301" s="23">
        <f>IFERROR(IF($C$13="No","N/A",IF(Table157[[#This Row],[Period]]=1,$C$6,PMT(InterestRate*AmortizationMultiplier/12,Table157[[#This Row],[Am Thru]],-Table157[[#This Row],[Beginning Balance]]))),0)</f>
        <v>0</v>
      </c>
      <c r="H301" s="3">
        <f>MAX(0,IF(C301=$C$4,D301,ROUND(IF($C$3="Fixed Principal",$C$6-Table157[[#This Row],[Interest]],IF($C$3="Interest Only",Table157[[#This Row],[Beginning Balance]]*ROUND(1-(1-IF($C$11="No",$E$8,1))^(1/12),6),MIN(IF($C$13="Yes",Table157[[#This Row],[Payment Amount (Reamortized)]],$C$6)-Table157[[#This Row],[Interest]],Table157[[#This Row],[Beginning Balance]]))),2)))</f>
        <v>0</v>
      </c>
      <c r="I301" s="3">
        <f>_xlfn.SINGLE(IF($C$3="Line of Credit",0,ROUND(MAX(MIN(IF($C$10="No",$E$7,VLOOKUP(Table157[[#This Row],[Period]],Forecast!$H$2:$L$1048576,4,FALSE))*Table157[[#This Row],[Beginning Balance]],Table157[[#This Row],[Beginning Balance]]-Table157[[#This Row],[Principal]]),0),2)))</f>
        <v>0</v>
      </c>
      <c r="J301" s="3">
        <f>ROUND(MIN(Table157[[#This Row],[Beginning Balance]]*IF($C$8="No",$E$3,VLOOKUP(Table157[[#This Row],[Period]],Forecast!$H$2:$L$1048576,2,FALSE)),Table157[[#This Row],[Beginning Balance]]-Table157[[#This Row],[Principal]]-Table157[[#This Row],[Prepayments]]),2)</f>
        <v>0</v>
      </c>
      <c r="K301" s="3">
        <f>ROUND(Table157[[#This Row],[Defaulted Principal]]*IF($C$9="No",$E$4,VLOOKUP(Table157[[#This Row],[Period]],Forecast!$H$2:$L$1048576,3,FALSE)),2)</f>
        <v>0</v>
      </c>
      <c r="L301" s="2">
        <f>Table157[[#This Row],[Period]]+$E$9</f>
        <v>297</v>
      </c>
      <c r="M301" s="3">
        <f>Table157[[#This Row],[Defaulted Principal]]-Table157[[#This Row],[Estimated Loss]]</f>
        <v>0</v>
      </c>
      <c r="N301" s="3">
        <f>IFERROR(VLOOKUP(Table157[[#This Row],[Period]],$L$16:$M$385,2,FALSE),0)</f>
        <v>0</v>
      </c>
      <c r="O301" s="3">
        <f>Table157[[#This Row],[Beginning Balance]]-Table157[[#This Row],[Principal]]-Table157[[#This Row],[Prepayments]]-Table157[[#This Row],[Defaulted Principal]]</f>
        <v>0</v>
      </c>
      <c r="P301" s="3">
        <f>Table157[[#This Row],[Principal]]+Table157[[#This Row],[Interest]]+Table157[[#This Row],[Prepayments]]+Table157[[#This Row],[RecoveredAmount]]</f>
        <v>0</v>
      </c>
      <c r="Q301" s="3">
        <f ca="1">ROUND(Table157[[#This Row],[Cash Flow]]/((1+ActualRateToUse)^(IF(ISNUMBER(SEARCH("Actual",$C$7)),Table157[[#This Row],[Running Total]]/365,Table157[[#This Row],[Period]]/12))),2)</f>
        <v>0</v>
      </c>
      <c r="R301" s="2">
        <f>IF(MONTH(Table157[[#This Row],[Date]])=2,28,DAY(DATE(YEAR(Table157[[#This Row],[Date]]),MONTH(Table157[[#This Row],[Date]])+1,1)-1))</f>
        <v>31</v>
      </c>
      <c r="S301" s="2">
        <f ca="1">SUM(OFFSET(Table157[[#Headers],[Days in month]],1,0):Table157[[#This Row],[Days in month]])</f>
        <v>8669</v>
      </c>
      <c r="T301" s="37">
        <f>InterestRate*AmortizationMultiplier*IF(ISNUMBER(SEARCH("Actual",$C$7)),Table157[[#This Row],[Days in month]]/365,1/12)</f>
        <v>2.9708333333333331E-3</v>
      </c>
    </row>
    <row r="302" spans="2:20" x14ac:dyDescent="0.2">
      <c r="B302" s="1">
        <f t="shared" si="14"/>
        <v>54543</v>
      </c>
      <c r="C302" s="2">
        <f t="shared" si="16"/>
        <v>286</v>
      </c>
      <c r="D302" s="3">
        <f t="shared" si="15"/>
        <v>0</v>
      </c>
      <c r="E302" s="3">
        <f>ROUND(Table157[[#This Row],[Beginning Balance]]*Table157[[#This Row],[Monthly Interest Rate]],2)</f>
        <v>0</v>
      </c>
      <c r="F302" s="3">
        <f t="shared" si="17"/>
        <v>-30</v>
      </c>
      <c r="G302" s="23">
        <f>IFERROR(IF($C$13="No","N/A",IF(Table157[[#This Row],[Period]]=1,$C$6,PMT(InterestRate*AmortizationMultiplier/12,Table157[[#This Row],[Am Thru]],-Table157[[#This Row],[Beginning Balance]]))),0)</f>
        <v>0</v>
      </c>
      <c r="H302" s="3">
        <f>MAX(0,IF(C302=$C$4,D302,ROUND(IF($C$3="Fixed Principal",$C$6-Table157[[#This Row],[Interest]],IF($C$3="Interest Only",Table157[[#This Row],[Beginning Balance]]*ROUND(1-(1-IF($C$11="No",$E$8,1))^(1/12),6),MIN(IF($C$13="Yes",Table157[[#This Row],[Payment Amount (Reamortized)]],$C$6)-Table157[[#This Row],[Interest]],Table157[[#This Row],[Beginning Balance]]))),2)))</f>
        <v>0</v>
      </c>
      <c r="I302" s="3">
        <f>_xlfn.SINGLE(IF($C$3="Line of Credit",0,ROUND(MAX(MIN(IF($C$10="No",$E$7,VLOOKUP(Table157[[#This Row],[Period]],Forecast!$H$2:$L$1048576,4,FALSE))*Table157[[#This Row],[Beginning Balance]],Table157[[#This Row],[Beginning Balance]]-Table157[[#This Row],[Principal]]),0),2)))</f>
        <v>0</v>
      </c>
      <c r="J302" s="3">
        <f>ROUND(MIN(Table157[[#This Row],[Beginning Balance]]*IF($C$8="No",$E$3,VLOOKUP(Table157[[#This Row],[Period]],Forecast!$H$2:$L$1048576,2,FALSE)),Table157[[#This Row],[Beginning Balance]]-Table157[[#This Row],[Principal]]-Table157[[#This Row],[Prepayments]]),2)</f>
        <v>0</v>
      </c>
      <c r="K302" s="3">
        <f>ROUND(Table157[[#This Row],[Defaulted Principal]]*IF($C$9="No",$E$4,VLOOKUP(Table157[[#This Row],[Period]],Forecast!$H$2:$L$1048576,3,FALSE)),2)</f>
        <v>0</v>
      </c>
      <c r="L302" s="2">
        <f>Table157[[#This Row],[Period]]+$E$9</f>
        <v>298</v>
      </c>
      <c r="M302" s="3">
        <f>Table157[[#This Row],[Defaulted Principal]]-Table157[[#This Row],[Estimated Loss]]</f>
        <v>0</v>
      </c>
      <c r="N302" s="3">
        <f>IFERROR(VLOOKUP(Table157[[#This Row],[Period]],$L$16:$M$385,2,FALSE),0)</f>
        <v>0</v>
      </c>
      <c r="O302" s="3">
        <f>Table157[[#This Row],[Beginning Balance]]-Table157[[#This Row],[Principal]]-Table157[[#This Row],[Prepayments]]-Table157[[#This Row],[Defaulted Principal]]</f>
        <v>0</v>
      </c>
      <c r="P302" s="3">
        <f>Table157[[#This Row],[Principal]]+Table157[[#This Row],[Interest]]+Table157[[#This Row],[Prepayments]]+Table157[[#This Row],[RecoveredAmount]]</f>
        <v>0</v>
      </c>
      <c r="Q302" s="3">
        <f ca="1">ROUND(Table157[[#This Row],[Cash Flow]]/((1+ActualRateToUse)^(IF(ISNUMBER(SEARCH("Actual",$C$7)),Table157[[#This Row],[Running Total]]/365,Table157[[#This Row],[Period]]/12))),2)</f>
        <v>0</v>
      </c>
      <c r="R302" s="2">
        <f>IF(MONTH(Table157[[#This Row],[Date]])=2,28,DAY(DATE(YEAR(Table157[[#This Row],[Date]]),MONTH(Table157[[#This Row],[Date]])+1,1)-1))</f>
        <v>30</v>
      </c>
      <c r="S302" s="2">
        <f ca="1">SUM(OFFSET(Table157[[#Headers],[Days in month]],1,0):Table157[[#This Row],[Days in month]])</f>
        <v>8699</v>
      </c>
      <c r="T302" s="37">
        <f>InterestRate*AmortizationMultiplier*IF(ISNUMBER(SEARCH("Actual",$C$7)),Table157[[#This Row],[Days in month]]/365,1/12)</f>
        <v>2.8749999999999995E-3</v>
      </c>
    </row>
    <row r="303" spans="2:20" x14ac:dyDescent="0.2">
      <c r="B303" s="1">
        <f t="shared" si="14"/>
        <v>54574</v>
      </c>
      <c r="C303" s="2">
        <f t="shared" si="16"/>
        <v>287</v>
      </c>
      <c r="D303" s="3">
        <f t="shared" si="15"/>
        <v>0</v>
      </c>
      <c r="E303" s="3">
        <f>ROUND(Table157[[#This Row],[Beginning Balance]]*Table157[[#This Row],[Monthly Interest Rate]],2)</f>
        <v>0</v>
      </c>
      <c r="F303" s="3">
        <f t="shared" si="17"/>
        <v>-31</v>
      </c>
      <c r="G303" s="23">
        <f>IFERROR(IF($C$13="No","N/A",IF(Table157[[#This Row],[Period]]=1,$C$6,PMT(InterestRate*AmortizationMultiplier/12,Table157[[#This Row],[Am Thru]],-Table157[[#This Row],[Beginning Balance]]))),0)</f>
        <v>0</v>
      </c>
      <c r="H303" s="3">
        <f>MAX(0,IF(C303=$C$4,D303,ROUND(IF($C$3="Fixed Principal",$C$6-Table157[[#This Row],[Interest]],IF($C$3="Interest Only",Table157[[#This Row],[Beginning Balance]]*ROUND(1-(1-IF($C$11="No",$E$8,1))^(1/12),6),MIN(IF($C$13="Yes",Table157[[#This Row],[Payment Amount (Reamortized)]],$C$6)-Table157[[#This Row],[Interest]],Table157[[#This Row],[Beginning Balance]]))),2)))</f>
        <v>0</v>
      </c>
      <c r="I303" s="3">
        <f>_xlfn.SINGLE(IF($C$3="Line of Credit",0,ROUND(MAX(MIN(IF($C$10="No",$E$7,VLOOKUP(Table157[[#This Row],[Period]],Forecast!$H$2:$L$1048576,4,FALSE))*Table157[[#This Row],[Beginning Balance]],Table157[[#This Row],[Beginning Balance]]-Table157[[#This Row],[Principal]]),0),2)))</f>
        <v>0</v>
      </c>
      <c r="J303" s="3">
        <f>ROUND(MIN(Table157[[#This Row],[Beginning Balance]]*IF($C$8="No",$E$3,VLOOKUP(Table157[[#This Row],[Period]],Forecast!$H$2:$L$1048576,2,FALSE)),Table157[[#This Row],[Beginning Balance]]-Table157[[#This Row],[Principal]]-Table157[[#This Row],[Prepayments]]),2)</f>
        <v>0</v>
      </c>
      <c r="K303" s="3">
        <f>ROUND(Table157[[#This Row],[Defaulted Principal]]*IF($C$9="No",$E$4,VLOOKUP(Table157[[#This Row],[Period]],Forecast!$H$2:$L$1048576,3,FALSE)),2)</f>
        <v>0</v>
      </c>
      <c r="L303" s="2">
        <f>Table157[[#This Row],[Period]]+$E$9</f>
        <v>299</v>
      </c>
      <c r="M303" s="3">
        <f>Table157[[#This Row],[Defaulted Principal]]-Table157[[#This Row],[Estimated Loss]]</f>
        <v>0</v>
      </c>
      <c r="N303" s="3">
        <f>IFERROR(VLOOKUP(Table157[[#This Row],[Period]],$L$16:$M$385,2,FALSE),0)</f>
        <v>0</v>
      </c>
      <c r="O303" s="3">
        <f>Table157[[#This Row],[Beginning Balance]]-Table157[[#This Row],[Principal]]-Table157[[#This Row],[Prepayments]]-Table157[[#This Row],[Defaulted Principal]]</f>
        <v>0</v>
      </c>
      <c r="P303" s="3">
        <f>Table157[[#This Row],[Principal]]+Table157[[#This Row],[Interest]]+Table157[[#This Row],[Prepayments]]+Table157[[#This Row],[RecoveredAmount]]</f>
        <v>0</v>
      </c>
      <c r="Q303" s="3">
        <f ca="1">ROUND(Table157[[#This Row],[Cash Flow]]/((1+ActualRateToUse)^(IF(ISNUMBER(SEARCH("Actual",$C$7)),Table157[[#This Row],[Running Total]]/365,Table157[[#This Row],[Period]]/12))),2)</f>
        <v>0</v>
      </c>
      <c r="R303" s="2">
        <f>IF(MONTH(Table157[[#This Row],[Date]])=2,28,DAY(DATE(YEAR(Table157[[#This Row],[Date]]),MONTH(Table157[[#This Row],[Date]])+1,1)-1))</f>
        <v>31</v>
      </c>
      <c r="S303" s="2">
        <f ca="1">SUM(OFFSET(Table157[[#Headers],[Days in month]],1,0):Table157[[#This Row],[Days in month]])</f>
        <v>8730</v>
      </c>
      <c r="T303" s="37">
        <f>InterestRate*AmortizationMultiplier*IF(ISNUMBER(SEARCH("Actual",$C$7)),Table157[[#This Row],[Days in month]]/365,1/12)</f>
        <v>2.9708333333333331E-3</v>
      </c>
    </row>
    <row r="304" spans="2:20" x14ac:dyDescent="0.2">
      <c r="B304" s="1">
        <f t="shared" si="14"/>
        <v>54604</v>
      </c>
      <c r="C304" s="2">
        <f t="shared" si="16"/>
        <v>288</v>
      </c>
      <c r="D304" s="3">
        <f t="shared" si="15"/>
        <v>0</v>
      </c>
      <c r="E304" s="3">
        <f>ROUND(Table157[[#This Row],[Beginning Balance]]*Table157[[#This Row],[Monthly Interest Rate]],2)</f>
        <v>0</v>
      </c>
      <c r="F304" s="3">
        <f t="shared" si="17"/>
        <v>-32</v>
      </c>
      <c r="G304" s="23">
        <f>IFERROR(IF($C$13="No","N/A",IF(Table157[[#This Row],[Period]]=1,$C$6,PMT(InterestRate*AmortizationMultiplier/12,Table157[[#This Row],[Am Thru]],-Table157[[#This Row],[Beginning Balance]]))),0)</f>
        <v>0</v>
      </c>
      <c r="H304" s="3">
        <f>MAX(0,IF(C304=$C$4,D304,ROUND(IF($C$3="Fixed Principal",$C$6-Table157[[#This Row],[Interest]],IF($C$3="Interest Only",Table157[[#This Row],[Beginning Balance]]*ROUND(1-(1-IF($C$11="No",$E$8,1))^(1/12),6),MIN(IF($C$13="Yes",Table157[[#This Row],[Payment Amount (Reamortized)]],$C$6)-Table157[[#This Row],[Interest]],Table157[[#This Row],[Beginning Balance]]))),2)))</f>
        <v>0</v>
      </c>
      <c r="I304" s="3">
        <f>_xlfn.SINGLE(IF($C$3="Line of Credit",0,ROUND(MAX(MIN(IF($C$10="No",$E$7,VLOOKUP(Table157[[#This Row],[Period]],Forecast!$H$2:$L$1048576,4,FALSE))*Table157[[#This Row],[Beginning Balance]],Table157[[#This Row],[Beginning Balance]]-Table157[[#This Row],[Principal]]),0),2)))</f>
        <v>0</v>
      </c>
      <c r="J304" s="3">
        <f>ROUND(MIN(Table157[[#This Row],[Beginning Balance]]*IF($C$8="No",$E$3,VLOOKUP(Table157[[#This Row],[Period]],Forecast!$H$2:$L$1048576,2,FALSE)),Table157[[#This Row],[Beginning Balance]]-Table157[[#This Row],[Principal]]-Table157[[#This Row],[Prepayments]]),2)</f>
        <v>0</v>
      </c>
      <c r="K304" s="3">
        <f>ROUND(Table157[[#This Row],[Defaulted Principal]]*IF($C$9="No",$E$4,VLOOKUP(Table157[[#This Row],[Period]],Forecast!$H$2:$L$1048576,3,FALSE)),2)</f>
        <v>0</v>
      </c>
      <c r="L304" s="2">
        <f>Table157[[#This Row],[Period]]+$E$9</f>
        <v>300</v>
      </c>
      <c r="M304" s="3">
        <f>Table157[[#This Row],[Defaulted Principal]]-Table157[[#This Row],[Estimated Loss]]</f>
        <v>0</v>
      </c>
      <c r="N304" s="3">
        <f>IFERROR(VLOOKUP(Table157[[#This Row],[Period]],$L$16:$M$385,2,FALSE),0)</f>
        <v>0</v>
      </c>
      <c r="O304" s="3">
        <f>Table157[[#This Row],[Beginning Balance]]-Table157[[#This Row],[Principal]]-Table157[[#This Row],[Prepayments]]-Table157[[#This Row],[Defaulted Principal]]</f>
        <v>0</v>
      </c>
      <c r="P304" s="3">
        <f>Table157[[#This Row],[Principal]]+Table157[[#This Row],[Interest]]+Table157[[#This Row],[Prepayments]]+Table157[[#This Row],[RecoveredAmount]]</f>
        <v>0</v>
      </c>
      <c r="Q304" s="3">
        <f ca="1">ROUND(Table157[[#This Row],[Cash Flow]]/((1+ActualRateToUse)^(IF(ISNUMBER(SEARCH("Actual",$C$7)),Table157[[#This Row],[Running Total]]/365,Table157[[#This Row],[Period]]/12))),2)</f>
        <v>0</v>
      </c>
      <c r="R304" s="2">
        <f>IF(MONTH(Table157[[#This Row],[Date]])=2,28,DAY(DATE(YEAR(Table157[[#This Row],[Date]]),MONTH(Table157[[#This Row],[Date]])+1,1)-1))</f>
        <v>30</v>
      </c>
      <c r="S304" s="2">
        <f ca="1">SUM(OFFSET(Table157[[#Headers],[Days in month]],1,0):Table157[[#This Row],[Days in month]])</f>
        <v>8760</v>
      </c>
      <c r="T304" s="37">
        <f>InterestRate*AmortizationMultiplier*IF(ISNUMBER(SEARCH("Actual",$C$7)),Table157[[#This Row],[Days in month]]/365,1/12)</f>
        <v>2.8749999999999995E-3</v>
      </c>
    </row>
    <row r="305" spans="2:20" x14ac:dyDescent="0.2">
      <c r="B305" s="1">
        <f t="shared" si="14"/>
        <v>54635</v>
      </c>
      <c r="C305" s="2">
        <f t="shared" si="16"/>
        <v>289</v>
      </c>
      <c r="D305" s="3">
        <f t="shared" si="15"/>
        <v>0</v>
      </c>
      <c r="E305" s="3">
        <f>ROUND(Table157[[#This Row],[Beginning Balance]]*Table157[[#This Row],[Monthly Interest Rate]],2)</f>
        <v>0</v>
      </c>
      <c r="F305" s="3">
        <f t="shared" si="17"/>
        <v>-33</v>
      </c>
      <c r="G305" s="23">
        <f>IFERROR(IF($C$13="No","N/A",IF(Table157[[#This Row],[Period]]=1,$C$6,PMT(InterestRate*AmortizationMultiplier/12,Table157[[#This Row],[Am Thru]],-Table157[[#This Row],[Beginning Balance]]))),0)</f>
        <v>0</v>
      </c>
      <c r="H305" s="3">
        <f>MAX(0,IF(C305=$C$4,D305,ROUND(IF($C$3="Fixed Principal",$C$6-Table157[[#This Row],[Interest]],IF($C$3="Interest Only",Table157[[#This Row],[Beginning Balance]]*ROUND(1-(1-IF($C$11="No",$E$8,1))^(1/12),6),MIN(IF($C$13="Yes",Table157[[#This Row],[Payment Amount (Reamortized)]],$C$6)-Table157[[#This Row],[Interest]],Table157[[#This Row],[Beginning Balance]]))),2)))</f>
        <v>0</v>
      </c>
      <c r="I305" s="3">
        <f>_xlfn.SINGLE(IF($C$3="Line of Credit",0,ROUND(MAX(MIN(IF($C$10="No",$E$7,VLOOKUP(Table157[[#This Row],[Period]],Forecast!$H$2:$L$1048576,4,FALSE))*Table157[[#This Row],[Beginning Balance]],Table157[[#This Row],[Beginning Balance]]-Table157[[#This Row],[Principal]]),0),2)))</f>
        <v>0</v>
      </c>
      <c r="J305" s="3">
        <f>ROUND(MIN(Table157[[#This Row],[Beginning Balance]]*IF($C$8="No",$E$3,VLOOKUP(Table157[[#This Row],[Period]],Forecast!$H$2:$L$1048576,2,FALSE)),Table157[[#This Row],[Beginning Balance]]-Table157[[#This Row],[Principal]]-Table157[[#This Row],[Prepayments]]),2)</f>
        <v>0</v>
      </c>
      <c r="K305" s="3">
        <f>ROUND(Table157[[#This Row],[Defaulted Principal]]*IF($C$9="No",$E$4,VLOOKUP(Table157[[#This Row],[Period]],Forecast!$H$2:$L$1048576,3,FALSE)),2)</f>
        <v>0</v>
      </c>
      <c r="L305" s="2">
        <f>Table157[[#This Row],[Period]]+$E$9</f>
        <v>301</v>
      </c>
      <c r="M305" s="3">
        <f>Table157[[#This Row],[Defaulted Principal]]-Table157[[#This Row],[Estimated Loss]]</f>
        <v>0</v>
      </c>
      <c r="N305" s="3">
        <f>IFERROR(VLOOKUP(Table157[[#This Row],[Period]],$L$16:$M$385,2,FALSE),0)</f>
        <v>0</v>
      </c>
      <c r="O305" s="3">
        <f>Table157[[#This Row],[Beginning Balance]]-Table157[[#This Row],[Principal]]-Table157[[#This Row],[Prepayments]]-Table157[[#This Row],[Defaulted Principal]]</f>
        <v>0</v>
      </c>
      <c r="P305" s="3">
        <f>Table157[[#This Row],[Principal]]+Table157[[#This Row],[Interest]]+Table157[[#This Row],[Prepayments]]+Table157[[#This Row],[RecoveredAmount]]</f>
        <v>0</v>
      </c>
      <c r="Q305" s="3">
        <f ca="1">ROUND(Table157[[#This Row],[Cash Flow]]/((1+ActualRateToUse)^(IF(ISNUMBER(SEARCH("Actual",$C$7)),Table157[[#This Row],[Running Total]]/365,Table157[[#This Row],[Period]]/12))),2)</f>
        <v>0</v>
      </c>
      <c r="R305" s="2">
        <f>IF(MONTH(Table157[[#This Row],[Date]])=2,28,DAY(DATE(YEAR(Table157[[#This Row],[Date]]),MONTH(Table157[[#This Row],[Date]])+1,1)-1))</f>
        <v>31</v>
      </c>
      <c r="S305" s="2">
        <f ca="1">SUM(OFFSET(Table157[[#Headers],[Days in month]],1,0):Table157[[#This Row],[Days in month]])</f>
        <v>8791</v>
      </c>
      <c r="T305" s="37">
        <f>InterestRate*AmortizationMultiplier*IF(ISNUMBER(SEARCH("Actual",$C$7)),Table157[[#This Row],[Days in month]]/365,1/12)</f>
        <v>2.9708333333333331E-3</v>
      </c>
    </row>
    <row r="306" spans="2:20" x14ac:dyDescent="0.2">
      <c r="B306" s="1">
        <f t="shared" si="14"/>
        <v>54666</v>
      </c>
      <c r="C306" s="2">
        <f t="shared" si="16"/>
        <v>290</v>
      </c>
      <c r="D306" s="3">
        <f t="shared" si="15"/>
        <v>0</v>
      </c>
      <c r="E306" s="3">
        <f>ROUND(Table157[[#This Row],[Beginning Balance]]*Table157[[#This Row],[Monthly Interest Rate]],2)</f>
        <v>0</v>
      </c>
      <c r="F306" s="3">
        <f t="shared" si="17"/>
        <v>-34</v>
      </c>
      <c r="G306" s="23">
        <f>IFERROR(IF($C$13="No","N/A",IF(Table157[[#This Row],[Period]]=1,$C$6,PMT(InterestRate*AmortizationMultiplier/12,Table157[[#This Row],[Am Thru]],-Table157[[#This Row],[Beginning Balance]]))),0)</f>
        <v>0</v>
      </c>
      <c r="H306" s="3">
        <f>MAX(0,IF(C306=$C$4,D306,ROUND(IF($C$3="Fixed Principal",$C$6-Table157[[#This Row],[Interest]],IF($C$3="Interest Only",Table157[[#This Row],[Beginning Balance]]*ROUND(1-(1-IF($C$11="No",$E$8,1))^(1/12),6),MIN(IF($C$13="Yes",Table157[[#This Row],[Payment Amount (Reamortized)]],$C$6)-Table157[[#This Row],[Interest]],Table157[[#This Row],[Beginning Balance]]))),2)))</f>
        <v>0</v>
      </c>
      <c r="I306" s="3">
        <f>_xlfn.SINGLE(IF($C$3="Line of Credit",0,ROUND(MAX(MIN(IF($C$10="No",$E$7,VLOOKUP(Table157[[#This Row],[Period]],Forecast!$H$2:$L$1048576,4,FALSE))*Table157[[#This Row],[Beginning Balance]],Table157[[#This Row],[Beginning Balance]]-Table157[[#This Row],[Principal]]),0),2)))</f>
        <v>0</v>
      </c>
      <c r="J306" s="3">
        <f>ROUND(MIN(Table157[[#This Row],[Beginning Balance]]*IF($C$8="No",$E$3,VLOOKUP(Table157[[#This Row],[Period]],Forecast!$H$2:$L$1048576,2,FALSE)),Table157[[#This Row],[Beginning Balance]]-Table157[[#This Row],[Principal]]-Table157[[#This Row],[Prepayments]]),2)</f>
        <v>0</v>
      </c>
      <c r="K306" s="3">
        <f>ROUND(Table157[[#This Row],[Defaulted Principal]]*IF($C$9="No",$E$4,VLOOKUP(Table157[[#This Row],[Period]],Forecast!$H$2:$L$1048576,3,FALSE)),2)</f>
        <v>0</v>
      </c>
      <c r="L306" s="2">
        <f>Table157[[#This Row],[Period]]+$E$9</f>
        <v>302</v>
      </c>
      <c r="M306" s="3">
        <f>Table157[[#This Row],[Defaulted Principal]]-Table157[[#This Row],[Estimated Loss]]</f>
        <v>0</v>
      </c>
      <c r="N306" s="3">
        <f>IFERROR(VLOOKUP(Table157[[#This Row],[Period]],$L$16:$M$385,2,FALSE),0)</f>
        <v>0</v>
      </c>
      <c r="O306" s="3">
        <f>Table157[[#This Row],[Beginning Balance]]-Table157[[#This Row],[Principal]]-Table157[[#This Row],[Prepayments]]-Table157[[#This Row],[Defaulted Principal]]</f>
        <v>0</v>
      </c>
      <c r="P306" s="3">
        <f>Table157[[#This Row],[Principal]]+Table157[[#This Row],[Interest]]+Table157[[#This Row],[Prepayments]]+Table157[[#This Row],[RecoveredAmount]]</f>
        <v>0</v>
      </c>
      <c r="Q306" s="3">
        <f ca="1">ROUND(Table157[[#This Row],[Cash Flow]]/((1+ActualRateToUse)^(IF(ISNUMBER(SEARCH("Actual",$C$7)),Table157[[#This Row],[Running Total]]/365,Table157[[#This Row],[Period]]/12))),2)</f>
        <v>0</v>
      </c>
      <c r="R306" s="2">
        <f>IF(MONTH(Table157[[#This Row],[Date]])=2,28,DAY(DATE(YEAR(Table157[[#This Row],[Date]]),MONTH(Table157[[#This Row],[Date]])+1,1)-1))</f>
        <v>31</v>
      </c>
      <c r="S306" s="2">
        <f ca="1">SUM(OFFSET(Table157[[#Headers],[Days in month]],1,0):Table157[[#This Row],[Days in month]])</f>
        <v>8822</v>
      </c>
      <c r="T306" s="37">
        <f>InterestRate*AmortizationMultiplier*IF(ISNUMBER(SEARCH("Actual",$C$7)),Table157[[#This Row],[Days in month]]/365,1/12)</f>
        <v>2.9708333333333331E-3</v>
      </c>
    </row>
    <row r="307" spans="2:20" x14ac:dyDescent="0.2">
      <c r="B307" s="1">
        <f t="shared" si="14"/>
        <v>54696</v>
      </c>
      <c r="C307" s="2">
        <f t="shared" si="16"/>
        <v>291</v>
      </c>
      <c r="D307" s="3">
        <f t="shared" si="15"/>
        <v>0</v>
      </c>
      <c r="E307" s="3">
        <f>ROUND(Table157[[#This Row],[Beginning Balance]]*Table157[[#This Row],[Monthly Interest Rate]],2)</f>
        <v>0</v>
      </c>
      <c r="F307" s="3">
        <f t="shared" si="17"/>
        <v>-35</v>
      </c>
      <c r="G307" s="23">
        <f>IFERROR(IF($C$13="No","N/A",IF(Table157[[#This Row],[Period]]=1,$C$6,PMT(InterestRate*AmortizationMultiplier/12,Table157[[#This Row],[Am Thru]],-Table157[[#This Row],[Beginning Balance]]))),0)</f>
        <v>0</v>
      </c>
      <c r="H307" s="3">
        <f>MAX(0,IF(C307=$C$4,D307,ROUND(IF($C$3="Fixed Principal",$C$6-Table157[[#This Row],[Interest]],IF($C$3="Interest Only",Table157[[#This Row],[Beginning Balance]]*ROUND(1-(1-IF($C$11="No",$E$8,1))^(1/12),6),MIN(IF($C$13="Yes",Table157[[#This Row],[Payment Amount (Reamortized)]],$C$6)-Table157[[#This Row],[Interest]],Table157[[#This Row],[Beginning Balance]]))),2)))</f>
        <v>0</v>
      </c>
      <c r="I307" s="3">
        <f>_xlfn.SINGLE(IF($C$3="Line of Credit",0,ROUND(MAX(MIN(IF($C$10="No",$E$7,VLOOKUP(Table157[[#This Row],[Period]],Forecast!$H$2:$L$1048576,4,FALSE))*Table157[[#This Row],[Beginning Balance]],Table157[[#This Row],[Beginning Balance]]-Table157[[#This Row],[Principal]]),0),2)))</f>
        <v>0</v>
      </c>
      <c r="J307" s="3">
        <f>ROUND(MIN(Table157[[#This Row],[Beginning Balance]]*IF($C$8="No",$E$3,VLOOKUP(Table157[[#This Row],[Period]],Forecast!$H$2:$L$1048576,2,FALSE)),Table157[[#This Row],[Beginning Balance]]-Table157[[#This Row],[Principal]]-Table157[[#This Row],[Prepayments]]),2)</f>
        <v>0</v>
      </c>
      <c r="K307" s="3">
        <f>ROUND(Table157[[#This Row],[Defaulted Principal]]*IF($C$9="No",$E$4,VLOOKUP(Table157[[#This Row],[Period]],Forecast!$H$2:$L$1048576,3,FALSE)),2)</f>
        <v>0</v>
      </c>
      <c r="L307" s="2">
        <f>Table157[[#This Row],[Period]]+$E$9</f>
        <v>303</v>
      </c>
      <c r="M307" s="3">
        <f>Table157[[#This Row],[Defaulted Principal]]-Table157[[#This Row],[Estimated Loss]]</f>
        <v>0</v>
      </c>
      <c r="N307" s="3">
        <f>IFERROR(VLOOKUP(Table157[[#This Row],[Period]],$L$16:$M$385,2,FALSE),0)</f>
        <v>0</v>
      </c>
      <c r="O307" s="3">
        <f>Table157[[#This Row],[Beginning Balance]]-Table157[[#This Row],[Principal]]-Table157[[#This Row],[Prepayments]]-Table157[[#This Row],[Defaulted Principal]]</f>
        <v>0</v>
      </c>
      <c r="P307" s="3">
        <f>Table157[[#This Row],[Principal]]+Table157[[#This Row],[Interest]]+Table157[[#This Row],[Prepayments]]+Table157[[#This Row],[RecoveredAmount]]</f>
        <v>0</v>
      </c>
      <c r="Q307" s="3">
        <f ca="1">ROUND(Table157[[#This Row],[Cash Flow]]/((1+ActualRateToUse)^(IF(ISNUMBER(SEARCH("Actual",$C$7)),Table157[[#This Row],[Running Total]]/365,Table157[[#This Row],[Period]]/12))),2)</f>
        <v>0</v>
      </c>
      <c r="R307" s="2">
        <f>IF(MONTH(Table157[[#This Row],[Date]])=2,28,DAY(DATE(YEAR(Table157[[#This Row],[Date]]),MONTH(Table157[[#This Row],[Date]])+1,1)-1))</f>
        <v>30</v>
      </c>
      <c r="S307" s="2">
        <f ca="1">SUM(OFFSET(Table157[[#Headers],[Days in month]],1,0):Table157[[#This Row],[Days in month]])</f>
        <v>8852</v>
      </c>
      <c r="T307" s="37">
        <f>InterestRate*AmortizationMultiplier*IF(ISNUMBER(SEARCH("Actual",$C$7)),Table157[[#This Row],[Days in month]]/365,1/12)</f>
        <v>2.8749999999999995E-3</v>
      </c>
    </row>
    <row r="308" spans="2:20" x14ac:dyDescent="0.2">
      <c r="B308" s="1">
        <f t="shared" si="14"/>
        <v>54727</v>
      </c>
      <c r="C308" s="2">
        <f t="shared" si="16"/>
        <v>292</v>
      </c>
      <c r="D308" s="3">
        <f t="shared" si="15"/>
        <v>0</v>
      </c>
      <c r="E308" s="3">
        <f>ROUND(Table157[[#This Row],[Beginning Balance]]*Table157[[#This Row],[Monthly Interest Rate]],2)</f>
        <v>0</v>
      </c>
      <c r="F308" s="3">
        <f t="shared" si="17"/>
        <v>-36</v>
      </c>
      <c r="G308" s="23">
        <f>IFERROR(IF($C$13="No","N/A",IF(Table157[[#This Row],[Period]]=1,$C$6,PMT(InterestRate*AmortizationMultiplier/12,Table157[[#This Row],[Am Thru]],-Table157[[#This Row],[Beginning Balance]]))),0)</f>
        <v>0</v>
      </c>
      <c r="H308" s="3">
        <f>MAX(0,IF(C308=$C$4,D308,ROUND(IF($C$3="Fixed Principal",$C$6-Table157[[#This Row],[Interest]],IF($C$3="Interest Only",Table157[[#This Row],[Beginning Balance]]*ROUND(1-(1-IF($C$11="No",$E$8,1))^(1/12),6),MIN(IF($C$13="Yes",Table157[[#This Row],[Payment Amount (Reamortized)]],$C$6)-Table157[[#This Row],[Interest]],Table157[[#This Row],[Beginning Balance]]))),2)))</f>
        <v>0</v>
      </c>
      <c r="I308" s="3">
        <f>_xlfn.SINGLE(IF($C$3="Line of Credit",0,ROUND(MAX(MIN(IF($C$10="No",$E$7,VLOOKUP(Table157[[#This Row],[Period]],Forecast!$H$2:$L$1048576,4,FALSE))*Table157[[#This Row],[Beginning Balance]],Table157[[#This Row],[Beginning Balance]]-Table157[[#This Row],[Principal]]),0),2)))</f>
        <v>0</v>
      </c>
      <c r="J308" s="3">
        <f>ROUND(MIN(Table157[[#This Row],[Beginning Balance]]*IF($C$8="No",$E$3,VLOOKUP(Table157[[#This Row],[Period]],Forecast!$H$2:$L$1048576,2,FALSE)),Table157[[#This Row],[Beginning Balance]]-Table157[[#This Row],[Principal]]-Table157[[#This Row],[Prepayments]]),2)</f>
        <v>0</v>
      </c>
      <c r="K308" s="3">
        <f>ROUND(Table157[[#This Row],[Defaulted Principal]]*IF($C$9="No",$E$4,VLOOKUP(Table157[[#This Row],[Period]],Forecast!$H$2:$L$1048576,3,FALSE)),2)</f>
        <v>0</v>
      </c>
      <c r="L308" s="2">
        <f>Table157[[#This Row],[Period]]+$E$9</f>
        <v>304</v>
      </c>
      <c r="M308" s="3">
        <f>Table157[[#This Row],[Defaulted Principal]]-Table157[[#This Row],[Estimated Loss]]</f>
        <v>0</v>
      </c>
      <c r="N308" s="3">
        <f>IFERROR(VLOOKUP(Table157[[#This Row],[Period]],$L$16:$M$385,2,FALSE),0)</f>
        <v>0</v>
      </c>
      <c r="O308" s="3">
        <f>Table157[[#This Row],[Beginning Balance]]-Table157[[#This Row],[Principal]]-Table157[[#This Row],[Prepayments]]-Table157[[#This Row],[Defaulted Principal]]</f>
        <v>0</v>
      </c>
      <c r="P308" s="3">
        <f>Table157[[#This Row],[Principal]]+Table157[[#This Row],[Interest]]+Table157[[#This Row],[Prepayments]]+Table157[[#This Row],[RecoveredAmount]]</f>
        <v>0</v>
      </c>
      <c r="Q308" s="3">
        <f ca="1">ROUND(Table157[[#This Row],[Cash Flow]]/((1+ActualRateToUse)^(IF(ISNUMBER(SEARCH("Actual",$C$7)),Table157[[#This Row],[Running Total]]/365,Table157[[#This Row],[Period]]/12))),2)</f>
        <v>0</v>
      </c>
      <c r="R308" s="2">
        <f>IF(MONTH(Table157[[#This Row],[Date]])=2,28,DAY(DATE(YEAR(Table157[[#This Row],[Date]]),MONTH(Table157[[#This Row],[Date]])+1,1)-1))</f>
        <v>31</v>
      </c>
      <c r="S308" s="2">
        <f ca="1">SUM(OFFSET(Table157[[#Headers],[Days in month]],1,0):Table157[[#This Row],[Days in month]])</f>
        <v>8883</v>
      </c>
      <c r="T308" s="37">
        <f>InterestRate*AmortizationMultiplier*IF(ISNUMBER(SEARCH("Actual",$C$7)),Table157[[#This Row],[Days in month]]/365,1/12)</f>
        <v>2.9708333333333331E-3</v>
      </c>
    </row>
    <row r="309" spans="2:20" x14ac:dyDescent="0.2">
      <c r="B309" s="1">
        <f t="shared" si="14"/>
        <v>54757</v>
      </c>
      <c r="C309" s="2">
        <f t="shared" si="16"/>
        <v>293</v>
      </c>
      <c r="D309" s="3">
        <f t="shared" si="15"/>
        <v>0</v>
      </c>
      <c r="E309" s="3">
        <f>ROUND(Table157[[#This Row],[Beginning Balance]]*Table157[[#This Row],[Monthly Interest Rate]],2)</f>
        <v>0</v>
      </c>
      <c r="F309" s="3">
        <f t="shared" si="17"/>
        <v>-37</v>
      </c>
      <c r="G309" s="23">
        <f>IFERROR(IF($C$13="No","N/A",IF(Table157[[#This Row],[Period]]=1,$C$6,PMT(InterestRate*AmortizationMultiplier/12,Table157[[#This Row],[Am Thru]],-Table157[[#This Row],[Beginning Balance]]))),0)</f>
        <v>0</v>
      </c>
      <c r="H309" s="3">
        <f>MAX(0,IF(C309=$C$4,D309,ROUND(IF($C$3="Fixed Principal",$C$6-Table157[[#This Row],[Interest]],IF($C$3="Interest Only",Table157[[#This Row],[Beginning Balance]]*ROUND(1-(1-IF($C$11="No",$E$8,1))^(1/12),6),MIN(IF($C$13="Yes",Table157[[#This Row],[Payment Amount (Reamortized)]],$C$6)-Table157[[#This Row],[Interest]],Table157[[#This Row],[Beginning Balance]]))),2)))</f>
        <v>0</v>
      </c>
      <c r="I309" s="3">
        <f>_xlfn.SINGLE(IF($C$3="Line of Credit",0,ROUND(MAX(MIN(IF($C$10="No",$E$7,VLOOKUP(Table157[[#This Row],[Period]],Forecast!$H$2:$L$1048576,4,FALSE))*Table157[[#This Row],[Beginning Balance]],Table157[[#This Row],[Beginning Balance]]-Table157[[#This Row],[Principal]]),0),2)))</f>
        <v>0</v>
      </c>
      <c r="J309" s="3">
        <f>ROUND(MIN(Table157[[#This Row],[Beginning Balance]]*IF($C$8="No",$E$3,VLOOKUP(Table157[[#This Row],[Period]],Forecast!$H$2:$L$1048576,2,FALSE)),Table157[[#This Row],[Beginning Balance]]-Table157[[#This Row],[Principal]]-Table157[[#This Row],[Prepayments]]),2)</f>
        <v>0</v>
      </c>
      <c r="K309" s="3">
        <f>ROUND(Table157[[#This Row],[Defaulted Principal]]*IF($C$9="No",$E$4,VLOOKUP(Table157[[#This Row],[Period]],Forecast!$H$2:$L$1048576,3,FALSE)),2)</f>
        <v>0</v>
      </c>
      <c r="L309" s="2">
        <f>Table157[[#This Row],[Period]]+$E$9</f>
        <v>305</v>
      </c>
      <c r="M309" s="3">
        <f>Table157[[#This Row],[Defaulted Principal]]-Table157[[#This Row],[Estimated Loss]]</f>
        <v>0</v>
      </c>
      <c r="N309" s="3">
        <f>IFERROR(VLOOKUP(Table157[[#This Row],[Period]],$L$16:$M$385,2,FALSE),0)</f>
        <v>0</v>
      </c>
      <c r="O309" s="3">
        <f>Table157[[#This Row],[Beginning Balance]]-Table157[[#This Row],[Principal]]-Table157[[#This Row],[Prepayments]]-Table157[[#This Row],[Defaulted Principal]]</f>
        <v>0</v>
      </c>
      <c r="P309" s="3">
        <f>Table157[[#This Row],[Principal]]+Table157[[#This Row],[Interest]]+Table157[[#This Row],[Prepayments]]+Table157[[#This Row],[RecoveredAmount]]</f>
        <v>0</v>
      </c>
      <c r="Q309" s="3">
        <f ca="1">ROUND(Table157[[#This Row],[Cash Flow]]/((1+ActualRateToUse)^(IF(ISNUMBER(SEARCH("Actual",$C$7)),Table157[[#This Row],[Running Total]]/365,Table157[[#This Row],[Period]]/12))),2)</f>
        <v>0</v>
      </c>
      <c r="R309" s="2">
        <f>IF(MONTH(Table157[[#This Row],[Date]])=2,28,DAY(DATE(YEAR(Table157[[#This Row],[Date]]),MONTH(Table157[[#This Row],[Date]])+1,1)-1))</f>
        <v>30</v>
      </c>
      <c r="S309" s="2">
        <f ca="1">SUM(OFFSET(Table157[[#Headers],[Days in month]],1,0):Table157[[#This Row],[Days in month]])</f>
        <v>8913</v>
      </c>
      <c r="T309" s="37">
        <f>InterestRate*AmortizationMultiplier*IF(ISNUMBER(SEARCH("Actual",$C$7)),Table157[[#This Row],[Days in month]]/365,1/12)</f>
        <v>2.8749999999999995E-3</v>
      </c>
    </row>
    <row r="310" spans="2:20" x14ac:dyDescent="0.2">
      <c r="B310" s="1">
        <f t="shared" si="14"/>
        <v>54788</v>
      </c>
      <c r="C310" s="2">
        <f t="shared" si="16"/>
        <v>294</v>
      </c>
      <c r="D310" s="3">
        <f t="shared" si="15"/>
        <v>0</v>
      </c>
      <c r="E310" s="3">
        <f>ROUND(Table157[[#This Row],[Beginning Balance]]*Table157[[#This Row],[Monthly Interest Rate]],2)</f>
        <v>0</v>
      </c>
      <c r="F310" s="3">
        <f t="shared" si="17"/>
        <v>-38</v>
      </c>
      <c r="G310" s="23">
        <f>IFERROR(IF($C$13="No","N/A",IF(Table157[[#This Row],[Period]]=1,$C$6,PMT(InterestRate*AmortizationMultiplier/12,Table157[[#This Row],[Am Thru]],-Table157[[#This Row],[Beginning Balance]]))),0)</f>
        <v>0</v>
      </c>
      <c r="H310" s="3">
        <f>MAX(0,IF(C310=$C$4,D310,ROUND(IF($C$3="Fixed Principal",$C$6-Table157[[#This Row],[Interest]],IF($C$3="Interest Only",Table157[[#This Row],[Beginning Balance]]*ROUND(1-(1-IF($C$11="No",$E$8,1))^(1/12),6),MIN(IF($C$13="Yes",Table157[[#This Row],[Payment Amount (Reamortized)]],$C$6)-Table157[[#This Row],[Interest]],Table157[[#This Row],[Beginning Balance]]))),2)))</f>
        <v>0</v>
      </c>
      <c r="I310" s="3">
        <f>_xlfn.SINGLE(IF($C$3="Line of Credit",0,ROUND(MAX(MIN(IF($C$10="No",$E$7,VLOOKUP(Table157[[#This Row],[Period]],Forecast!$H$2:$L$1048576,4,FALSE))*Table157[[#This Row],[Beginning Balance]],Table157[[#This Row],[Beginning Balance]]-Table157[[#This Row],[Principal]]),0),2)))</f>
        <v>0</v>
      </c>
      <c r="J310" s="3">
        <f>ROUND(MIN(Table157[[#This Row],[Beginning Balance]]*IF($C$8="No",$E$3,VLOOKUP(Table157[[#This Row],[Period]],Forecast!$H$2:$L$1048576,2,FALSE)),Table157[[#This Row],[Beginning Balance]]-Table157[[#This Row],[Principal]]-Table157[[#This Row],[Prepayments]]),2)</f>
        <v>0</v>
      </c>
      <c r="K310" s="3">
        <f>ROUND(Table157[[#This Row],[Defaulted Principal]]*IF($C$9="No",$E$4,VLOOKUP(Table157[[#This Row],[Period]],Forecast!$H$2:$L$1048576,3,FALSE)),2)</f>
        <v>0</v>
      </c>
      <c r="L310" s="2">
        <f>Table157[[#This Row],[Period]]+$E$9</f>
        <v>306</v>
      </c>
      <c r="M310" s="3">
        <f>Table157[[#This Row],[Defaulted Principal]]-Table157[[#This Row],[Estimated Loss]]</f>
        <v>0</v>
      </c>
      <c r="N310" s="3">
        <f>IFERROR(VLOOKUP(Table157[[#This Row],[Period]],$L$16:$M$385,2,FALSE),0)</f>
        <v>0</v>
      </c>
      <c r="O310" s="3">
        <f>Table157[[#This Row],[Beginning Balance]]-Table157[[#This Row],[Principal]]-Table157[[#This Row],[Prepayments]]-Table157[[#This Row],[Defaulted Principal]]</f>
        <v>0</v>
      </c>
      <c r="P310" s="3">
        <f>Table157[[#This Row],[Principal]]+Table157[[#This Row],[Interest]]+Table157[[#This Row],[Prepayments]]+Table157[[#This Row],[RecoveredAmount]]</f>
        <v>0</v>
      </c>
      <c r="Q310" s="3">
        <f ca="1">ROUND(Table157[[#This Row],[Cash Flow]]/((1+ActualRateToUse)^(IF(ISNUMBER(SEARCH("Actual",$C$7)),Table157[[#This Row],[Running Total]]/365,Table157[[#This Row],[Period]]/12))),2)</f>
        <v>0</v>
      </c>
      <c r="R310" s="2">
        <f>IF(MONTH(Table157[[#This Row],[Date]])=2,28,DAY(DATE(YEAR(Table157[[#This Row],[Date]]),MONTH(Table157[[#This Row],[Date]])+1,1)-1))</f>
        <v>31</v>
      </c>
      <c r="S310" s="2">
        <f ca="1">SUM(OFFSET(Table157[[#Headers],[Days in month]],1,0):Table157[[#This Row],[Days in month]])</f>
        <v>8944</v>
      </c>
      <c r="T310" s="37">
        <f>InterestRate*AmortizationMultiplier*IF(ISNUMBER(SEARCH("Actual",$C$7)),Table157[[#This Row],[Days in month]]/365,1/12)</f>
        <v>2.9708333333333331E-3</v>
      </c>
    </row>
    <row r="311" spans="2:20" x14ac:dyDescent="0.2">
      <c r="B311" s="1">
        <f t="shared" si="14"/>
        <v>54819</v>
      </c>
      <c r="C311" s="2">
        <f t="shared" si="16"/>
        <v>295</v>
      </c>
      <c r="D311" s="3">
        <f t="shared" si="15"/>
        <v>0</v>
      </c>
      <c r="E311" s="3">
        <f>ROUND(Table157[[#This Row],[Beginning Balance]]*Table157[[#This Row],[Monthly Interest Rate]],2)</f>
        <v>0</v>
      </c>
      <c r="F311" s="3">
        <f t="shared" si="17"/>
        <v>-39</v>
      </c>
      <c r="G311" s="23">
        <f>IFERROR(IF($C$13="No","N/A",IF(Table157[[#This Row],[Period]]=1,$C$6,PMT(InterestRate*AmortizationMultiplier/12,Table157[[#This Row],[Am Thru]],-Table157[[#This Row],[Beginning Balance]]))),0)</f>
        <v>0</v>
      </c>
      <c r="H311" s="3">
        <f>MAX(0,IF(C311=$C$4,D311,ROUND(IF($C$3="Fixed Principal",$C$6-Table157[[#This Row],[Interest]],IF($C$3="Interest Only",Table157[[#This Row],[Beginning Balance]]*ROUND(1-(1-IF($C$11="No",$E$8,1))^(1/12),6),MIN(IF($C$13="Yes",Table157[[#This Row],[Payment Amount (Reamortized)]],$C$6)-Table157[[#This Row],[Interest]],Table157[[#This Row],[Beginning Balance]]))),2)))</f>
        <v>0</v>
      </c>
      <c r="I311" s="3">
        <f>_xlfn.SINGLE(IF($C$3="Line of Credit",0,ROUND(MAX(MIN(IF($C$10="No",$E$7,VLOOKUP(Table157[[#This Row],[Period]],Forecast!$H$2:$L$1048576,4,FALSE))*Table157[[#This Row],[Beginning Balance]],Table157[[#This Row],[Beginning Balance]]-Table157[[#This Row],[Principal]]),0),2)))</f>
        <v>0</v>
      </c>
      <c r="J311" s="3">
        <f>ROUND(MIN(Table157[[#This Row],[Beginning Balance]]*IF($C$8="No",$E$3,VLOOKUP(Table157[[#This Row],[Period]],Forecast!$H$2:$L$1048576,2,FALSE)),Table157[[#This Row],[Beginning Balance]]-Table157[[#This Row],[Principal]]-Table157[[#This Row],[Prepayments]]),2)</f>
        <v>0</v>
      </c>
      <c r="K311" s="3">
        <f>ROUND(Table157[[#This Row],[Defaulted Principal]]*IF($C$9="No",$E$4,VLOOKUP(Table157[[#This Row],[Period]],Forecast!$H$2:$L$1048576,3,FALSE)),2)</f>
        <v>0</v>
      </c>
      <c r="L311" s="2">
        <f>Table157[[#This Row],[Period]]+$E$9</f>
        <v>307</v>
      </c>
      <c r="M311" s="3">
        <f>Table157[[#This Row],[Defaulted Principal]]-Table157[[#This Row],[Estimated Loss]]</f>
        <v>0</v>
      </c>
      <c r="N311" s="3">
        <f>IFERROR(VLOOKUP(Table157[[#This Row],[Period]],$L$16:$M$385,2,FALSE),0)</f>
        <v>0</v>
      </c>
      <c r="O311" s="3">
        <f>Table157[[#This Row],[Beginning Balance]]-Table157[[#This Row],[Principal]]-Table157[[#This Row],[Prepayments]]-Table157[[#This Row],[Defaulted Principal]]</f>
        <v>0</v>
      </c>
      <c r="P311" s="3">
        <f>Table157[[#This Row],[Principal]]+Table157[[#This Row],[Interest]]+Table157[[#This Row],[Prepayments]]+Table157[[#This Row],[RecoveredAmount]]</f>
        <v>0</v>
      </c>
      <c r="Q311" s="3">
        <f ca="1">ROUND(Table157[[#This Row],[Cash Flow]]/((1+ActualRateToUse)^(IF(ISNUMBER(SEARCH("Actual",$C$7)),Table157[[#This Row],[Running Total]]/365,Table157[[#This Row],[Period]]/12))),2)</f>
        <v>0</v>
      </c>
      <c r="R311" s="2">
        <f>IF(MONTH(Table157[[#This Row],[Date]])=2,28,DAY(DATE(YEAR(Table157[[#This Row],[Date]]),MONTH(Table157[[#This Row],[Date]])+1,1)-1))</f>
        <v>31</v>
      </c>
      <c r="S311" s="2">
        <f ca="1">SUM(OFFSET(Table157[[#Headers],[Days in month]],1,0):Table157[[#This Row],[Days in month]])</f>
        <v>8975</v>
      </c>
      <c r="T311" s="37">
        <f>InterestRate*AmortizationMultiplier*IF(ISNUMBER(SEARCH("Actual",$C$7)),Table157[[#This Row],[Days in month]]/365,1/12)</f>
        <v>2.9708333333333331E-3</v>
      </c>
    </row>
    <row r="312" spans="2:20" x14ac:dyDescent="0.2">
      <c r="B312" s="1">
        <f t="shared" si="14"/>
        <v>54847</v>
      </c>
      <c r="C312" s="2">
        <f t="shared" si="16"/>
        <v>296</v>
      </c>
      <c r="D312" s="3">
        <f t="shared" si="15"/>
        <v>0</v>
      </c>
      <c r="E312" s="3">
        <f>ROUND(Table157[[#This Row],[Beginning Balance]]*Table157[[#This Row],[Monthly Interest Rate]],2)</f>
        <v>0</v>
      </c>
      <c r="F312" s="3">
        <f t="shared" si="17"/>
        <v>-40</v>
      </c>
      <c r="G312" s="23">
        <f>IFERROR(IF($C$13="No","N/A",IF(Table157[[#This Row],[Period]]=1,$C$6,PMT(InterestRate*AmortizationMultiplier/12,Table157[[#This Row],[Am Thru]],-Table157[[#This Row],[Beginning Balance]]))),0)</f>
        <v>0</v>
      </c>
      <c r="H312" s="3">
        <f>MAX(0,IF(C312=$C$4,D312,ROUND(IF($C$3="Fixed Principal",$C$6-Table157[[#This Row],[Interest]],IF($C$3="Interest Only",Table157[[#This Row],[Beginning Balance]]*ROUND(1-(1-IF($C$11="No",$E$8,1))^(1/12),6),MIN(IF($C$13="Yes",Table157[[#This Row],[Payment Amount (Reamortized)]],$C$6)-Table157[[#This Row],[Interest]],Table157[[#This Row],[Beginning Balance]]))),2)))</f>
        <v>0</v>
      </c>
      <c r="I312" s="3">
        <f>_xlfn.SINGLE(IF($C$3="Line of Credit",0,ROUND(MAX(MIN(IF($C$10="No",$E$7,VLOOKUP(Table157[[#This Row],[Period]],Forecast!$H$2:$L$1048576,4,FALSE))*Table157[[#This Row],[Beginning Balance]],Table157[[#This Row],[Beginning Balance]]-Table157[[#This Row],[Principal]]),0),2)))</f>
        <v>0</v>
      </c>
      <c r="J312" s="3">
        <f>ROUND(MIN(Table157[[#This Row],[Beginning Balance]]*IF($C$8="No",$E$3,VLOOKUP(Table157[[#This Row],[Period]],Forecast!$H$2:$L$1048576,2,FALSE)),Table157[[#This Row],[Beginning Balance]]-Table157[[#This Row],[Principal]]-Table157[[#This Row],[Prepayments]]),2)</f>
        <v>0</v>
      </c>
      <c r="K312" s="3">
        <f>ROUND(Table157[[#This Row],[Defaulted Principal]]*IF($C$9="No",$E$4,VLOOKUP(Table157[[#This Row],[Period]],Forecast!$H$2:$L$1048576,3,FALSE)),2)</f>
        <v>0</v>
      </c>
      <c r="L312" s="2">
        <f>Table157[[#This Row],[Period]]+$E$9</f>
        <v>308</v>
      </c>
      <c r="M312" s="3">
        <f>Table157[[#This Row],[Defaulted Principal]]-Table157[[#This Row],[Estimated Loss]]</f>
        <v>0</v>
      </c>
      <c r="N312" s="3">
        <f>IFERROR(VLOOKUP(Table157[[#This Row],[Period]],$L$16:$M$385,2,FALSE),0)</f>
        <v>0</v>
      </c>
      <c r="O312" s="3">
        <f>Table157[[#This Row],[Beginning Balance]]-Table157[[#This Row],[Principal]]-Table157[[#This Row],[Prepayments]]-Table157[[#This Row],[Defaulted Principal]]</f>
        <v>0</v>
      </c>
      <c r="P312" s="3">
        <f>Table157[[#This Row],[Principal]]+Table157[[#This Row],[Interest]]+Table157[[#This Row],[Prepayments]]+Table157[[#This Row],[RecoveredAmount]]</f>
        <v>0</v>
      </c>
      <c r="Q312" s="3">
        <f ca="1">ROUND(Table157[[#This Row],[Cash Flow]]/((1+ActualRateToUse)^(IF(ISNUMBER(SEARCH("Actual",$C$7)),Table157[[#This Row],[Running Total]]/365,Table157[[#This Row],[Period]]/12))),2)</f>
        <v>0</v>
      </c>
      <c r="R312" s="2">
        <f>IF(MONTH(Table157[[#This Row],[Date]])=2,28,DAY(DATE(YEAR(Table157[[#This Row],[Date]]),MONTH(Table157[[#This Row],[Date]])+1,1)-1))</f>
        <v>28</v>
      </c>
      <c r="S312" s="2">
        <f ca="1">SUM(OFFSET(Table157[[#Headers],[Days in month]],1,0):Table157[[#This Row],[Days in month]])</f>
        <v>9003</v>
      </c>
      <c r="T312" s="37">
        <f>InterestRate*AmortizationMultiplier*IF(ISNUMBER(SEARCH("Actual",$C$7)),Table157[[#This Row],[Days in month]]/365,1/12)</f>
        <v>2.6833333333333336E-3</v>
      </c>
    </row>
    <row r="313" spans="2:20" x14ac:dyDescent="0.2">
      <c r="B313" s="1">
        <f t="shared" si="14"/>
        <v>54878</v>
      </c>
      <c r="C313" s="2">
        <f t="shared" si="16"/>
        <v>297</v>
      </c>
      <c r="D313" s="3">
        <f t="shared" si="15"/>
        <v>0</v>
      </c>
      <c r="E313" s="3">
        <f>ROUND(Table157[[#This Row],[Beginning Balance]]*Table157[[#This Row],[Monthly Interest Rate]],2)</f>
        <v>0</v>
      </c>
      <c r="F313" s="3">
        <f t="shared" si="17"/>
        <v>-41</v>
      </c>
      <c r="G313" s="23">
        <f>IFERROR(IF($C$13="No","N/A",IF(Table157[[#This Row],[Period]]=1,$C$6,PMT(InterestRate*AmortizationMultiplier/12,Table157[[#This Row],[Am Thru]],-Table157[[#This Row],[Beginning Balance]]))),0)</f>
        <v>0</v>
      </c>
      <c r="H313" s="3">
        <f>MAX(0,IF(C313=$C$4,D313,ROUND(IF($C$3="Fixed Principal",$C$6-Table157[[#This Row],[Interest]],IF($C$3="Interest Only",Table157[[#This Row],[Beginning Balance]]*ROUND(1-(1-IF($C$11="No",$E$8,1))^(1/12),6),MIN(IF($C$13="Yes",Table157[[#This Row],[Payment Amount (Reamortized)]],$C$6)-Table157[[#This Row],[Interest]],Table157[[#This Row],[Beginning Balance]]))),2)))</f>
        <v>0</v>
      </c>
      <c r="I313" s="3">
        <f>_xlfn.SINGLE(IF($C$3="Line of Credit",0,ROUND(MAX(MIN(IF($C$10="No",$E$7,VLOOKUP(Table157[[#This Row],[Period]],Forecast!$H$2:$L$1048576,4,FALSE))*Table157[[#This Row],[Beginning Balance]],Table157[[#This Row],[Beginning Balance]]-Table157[[#This Row],[Principal]]),0),2)))</f>
        <v>0</v>
      </c>
      <c r="J313" s="3">
        <f>ROUND(MIN(Table157[[#This Row],[Beginning Balance]]*IF($C$8="No",$E$3,VLOOKUP(Table157[[#This Row],[Period]],Forecast!$H$2:$L$1048576,2,FALSE)),Table157[[#This Row],[Beginning Balance]]-Table157[[#This Row],[Principal]]-Table157[[#This Row],[Prepayments]]),2)</f>
        <v>0</v>
      </c>
      <c r="K313" s="3">
        <f>ROUND(Table157[[#This Row],[Defaulted Principal]]*IF($C$9="No",$E$4,VLOOKUP(Table157[[#This Row],[Period]],Forecast!$H$2:$L$1048576,3,FALSE)),2)</f>
        <v>0</v>
      </c>
      <c r="L313" s="2">
        <f>Table157[[#This Row],[Period]]+$E$9</f>
        <v>309</v>
      </c>
      <c r="M313" s="3">
        <f>Table157[[#This Row],[Defaulted Principal]]-Table157[[#This Row],[Estimated Loss]]</f>
        <v>0</v>
      </c>
      <c r="N313" s="3">
        <f>IFERROR(VLOOKUP(Table157[[#This Row],[Period]],$L$16:$M$385,2,FALSE),0)</f>
        <v>0</v>
      </c>
      <c r="O313" s="3">
        <f>Table157[[#This Row],[Beginning Balance]]-Table157[[#This Row],[Principal]]-Table157[[#This Row],[Prepayments]]-Table157[[#This Row],[Defaulted Principal]]</f>
        <v>0</v>
      </c>
      <c r="P313" s="3">
        <f>Table157[[#This Row],[Principal]]+Table157[[#This Row],[Interest]]+Table157[[#This Row],[Prepayments]]+Table157[[#This Row],[RecoveredAmount]]</f>
        <v>0</v>
      </c>
      <c r="Q313" s="3">
        <f ca="1">ROUND(Table157[[#This Row],[Cash Flow]]/((1+ActualRateToUse)^(IF(ISNUMBER(SEARCH("Actual",$C$7)),Table157[[#This Row],[Running Total]]/365,Table157[[#This Row],[Period]]/12))),2)</f>
        <v>0</v>
      </c>
      <c r="R313" s="2">
        <f>IF(MONTH(Table157[[#This Row],[Date]])=2,28,DAY(DATE(YEAR(Table157[[#This Row],[Date]]),MONTH(Table157[[#This Row],[Date]])+1,1)-1))</f>
        <v>31</v>
      </c>
      <c r="S313" s="2">
        <f ca="1">SUM(OFFSET(Table157[[#Headers],[Days in month]],1,0):Table157[[#This Row],[Days in month]])</f>
        <v>9034</v>
      </c>
      <c r="T313" s="37">
        <f>InterestRate*AmortizationMultiplier*IF(ISNUMBER(SEARCH("Actual",$C$7)),Table157[[#This Row],[Days in month]]/365,1/12)</f>
        <v>2.9708333333333331E-3</v>
      </c>
    </row>
    <row r="314" spans="2:20" x14ac:dyDescent="0.2">
      <c r="B314" s="1">
        <f t="shared" si="14"/>
        <v>54908</v>
      </c>
      <c r="C314" s="2">
        <f t="shared" si="16"/>
        <v>298</v>
      </c>
      <c r="D314" s="3">
        <f t="shared" si="15"/>
        <v>0</v>
      </c>
      <c r="E314" s="3">
        <f>ROUND(Table157[[#This Row],[Beginning Balance]]*Table157[[#This Row],[Monthly Interest Rate]],2)</f>
        <v>0</v>
      </c>
      <c r="F314" s="3">
        <f t="shared" si="17"/>
        <v>-42</v>
      </c>
      <c r="G314" s="23">
        <f>IFERROR(IF($C$13="No","N/A",IF(Table157[[#This Row],[Period]]=1,$C$6,PMT(InterestRate*AmortizationMultiplier/12,Table157[[#This Row],[Am Thru]],-Table157[[#This Row],[Beginning Balance]]))),0)</f>
        <v>0</v>
      </c>
      <c r="H314" s="3">
        <f>MAX(0,IF(C314=$C$4,D314,ROUND(IF($C$3="Fixed Principal",$C$6-Table157[[#This Row],[Interest]],IF($C$3="Interest Only",Table157[[#This Row],[Beginning Balance]]*ROUND(1-(1-IF($C$11="No",$E$8,1))^(1/12),6),MIN(IF($C$13="Yes",Table157[[#This Row],[Payment Amount (Reamortized)]],$C$6)-Table157[[#This Row],[Interest]],Table157[[#This Row],[Beginning Balance]]))),2)))</f>
        <v>0</v>
      </c>
      <c r="I314" s="3">
        <f>_xlfn.SINGLE(IF($C$3="Line of Credit",0,ROUND(MAX(MIN(IF($C$10="No",$E$7,VLOOKUP(Table157[[#This Row],[Period]],Forecast!$H$2:$L$1048576,4,FALSE))*Table157[[#This Row],[Beginning Balance]],Table157[[#This Row],[Beginning Balance]]-Table157[[#This Row],[Principal]]),0),2)))</f>
        <v>0</v>
      </c>
      <c r="J314" s="3">
        <f>ROUND(MIN(Table157[[#This Row],[Beginning Balance]]*IF($C$8="No",$E$3,VLOOKUP(Table157[[#This Row],[Period]],Forecast!$H$2:$L$1048576,2,FALSE)),Table157[[#This Row],[Beginning Balance]]-Table157[[#This Row],[Principal]]-Table157[[#This Row],[Prepayments]]),2)</f>
        <v>0</v>
      </c>
      <c r="K314" s="3">
        <f>ROUND(Table157[[#This Row],[Defaulted Principal]]*IF($C$9="No",$E$4,VLOOKUP(Table157[[#This Row],[Period]],Forecast!$H$2:$L$1048576,3,FALSE)),2)</f>
        <v>0</v>
      </c>
      <c r="L314" s="2">
        <f>Table157[[#This Row],[Period]]+$E$9</f>
        <v>310</v>
      </c>
      <c r="M314" s="3">
        <f>Table157[[#This Row],[Defaulted Principal]]-Table157[[#This Row],[Estimated Loss]]</f>
        <v>0</v>
      </c>
      <c r="N314" s="3">
        <f>IFERROR(VLOOKUP(Table157[[#This Row],[Period]],$L$16:$M$385,2,FALSE),0)</f>
        <v>0</v>
      </c>
      <c r="O314" s="3">
        <f>Table157[[#This Row],[Beginning Balance]]-Table157[[#This Row],[Principal]]-Table157[[#This Row],[Prepayments]]-Table157[[#This Row],[Defaulted Principal]]</f>
        <v>0</v>
      </c>
      <c r="P314" s="3">
        <f>Table157[[#This Row],[Principal]]+Table157[[#This Row],[Interest]]+Table157[[#This Row],[Prepayments]]+Table157[[#This Row],[RecoveredAmount]]</f>
        <v>0</v>
      </c>
      <c r="Q314" s="3">
        <f ca="1">ROUND(Table157[[#This Row],[Cash Flow]]/((1+ActualRateToUse)^(IF(ISNUMBER(SEARCH("Actual",$C$7)),Table157[[#This Row],[Running Total]]/365,Table157[[#This Row],[Period]]/12))),2)</f>
        <v>0</v>
      </c>
      <c r="R314" s="2">
        <f>IF(MONTH(Table157[[#This Row],[Date]])=2,28,DAY(DATE(YEAR(Table157[[#This Row],[Date]]),MONTH(Table157[[#This Row],[Date]])+1,1)-1))</f>
        <v>30</v>
      </c>
      <c r="S314" s="2">
        <f ca="1">SUM(OFFSET(Table157[[#Headers],[Days in month]],1,0):Table157[[#This Row],[Days in month]])</f>
        <v>9064</v>
      </c>
      <c r="T314" s="37">
        <f>InterestRate*AmortizationMultiplier*IF(ISNUMBER(SEARCH("Actual",$C$7)),Table157[[#This Row],[Days in month]]/365,1/12)</f>
        <v>2.8749999999999995E-3</v>
      </c>
    </row>
    <row r="315" spans="2:20" x14ac:dyDescent="0.2">
      <c r="B315" s="1">
        <f t="shared" si="14"/>
        <v>54939</v>
      </c>
      <c r="C315" s="2">
        <f t="shared" si="16"/>
        <v>299</v>
      </c>
      <c r="D315" s="3">
        <f t="shared" si="15"/>
        <v>0</v>
      </c>
      <c r="E315" s="3">
        <f>ROUND(Table157[[#This Row],[Beginning Balance]]*Table157[[#This Row],[Monthly Interest Rate]],2)</f>
        <v>0</v>
      </c>
      <c r="F315" s="3">
        <f t="shared" si="17"/>
        <v>-43</v>
      </c>
      <c r="G315" s="23">
        <f>IFERROR(IF($C$13="No","N/A",IF(Table157[[#This Row],[Period]]=1,$C$6,PMT(InterestRate*AmortizationMultiplier/12,Table157[[#This Row],[Am Thru]],-Table157[[#This Row],[Beginning Balance]]))),0)</f>
        <v>0</v>
      </c>
      <c r="H315" s="3">
        <f>MAX(0,IF(C315=$C$4,D315,ROUND(IF($C$3="Fixed Principal",$C$6-Table157[[#This Row],[Interest]],IF($C$3="Interest Only",Table157[[#This Row],[Beginning Balance]]*ROUND(1-(1-IF($C$11="No",$E$8,1))^(1/12),6),MIN(IF($C$13="Yes",Table157[[#This Row],[Payment Amount (Reamortized)]],$C$6)-Table157[[#This Row],[Interest]],Table157[[#This Row],[Beginning Balance]]))),2)))</f>
        <v>0</v>
      </c>
      <c r="I315" s="3">
        <f>_xlfn.SINGLE(IF($C$3="Line of Credit",0,ROUND(MAX(MIN(IF($C$10="No",$E$7,VLOOKUP(Table157[[#This Row],[Period]],Forecast!$H$2:$L$1048576,4,FALSE))*Table157[[#This Row],[Beginning Balance]],Table157[[#This Row],[Beginning Balance]]-Table157[[#This Row],[Principal]]),0),2)))</f>
        <v>0</v>
      </c>
      <c r="J315" s="3">
        <f>ROUND(MIN(Table157[[#This Row],[Beginning Balance]]*IF($C$8="No",$E$3,VLOOKUP(Table157[[#This Row],[Period]],Forecast!$H$2:$L$1048576,2,FALSE)),Table157[[#This Row],[Beginning Balance]]-Table157[[#This Row],[Principal]]-Table157[[#This Row],[Prepayments]]),2)</f>
        <v>0</v>
      </c>
      <c r="K315" s="3">
        <f>ROUND(Table157[[#This Row],[Defaulted Principal]]*IF($C$9="No",$E$4,VLOOKUP(Table157[[#This Row],[Period]],Forecast!$H$2:$L$1048576,3,FALSE)),2)</f>
        <v>0</v>
      </c>
      <c r="L315" s="2">
        <f>Table157[[#This Row],[Period]]+$E$9</f>
        <v>311</v>
      </c>
      <c r="M315" s="3">
        <f>Table157[[#This Row],[Defaulted Principal]]-Table157[[#This Row],[Estimated Loss]]</f>
        <v>0</v>
      </c>
      <c r="N315" s="3">
        <f>IFERROR(VLOOKUP(Table157[[#This Row],[Period]],$L$16:$M$385,2,FALSE),0)</f>
        <v>0</v>
      </c>
      <c r="O315" s="3">
        <f>Table157[[#This Row],[Beginning Balance]]-Table157[[#This Row],[Principal]]-Table157[[#This Row],[Prepayments]]-Table157[[#This Row],[Defaulted Principal]]</f>
        <v>0</v>
      </c>
      <c r="P315" s="3">
        <f>Table157[[#This Row],[Principal]]+Table157[[#This Row],[Interest]]+Table157[[#This Row],[Prepayments]]+Table157[[#This Row],[RecoveredAmount]]</f>
        <v>0</v>
      </c>
      <c r="Q315" s="3">
        <f ca="1">ROUND(Table157[[#This Row],[Cash Flow]]/((1+ActualRateToUse)^(IF(ISNUMBER(SEARCH("Actual",$C$7)),Table157[[#This Row],[Running Total]]/365,Table157[[#This Row],[Period]]/12))),2)</f>
        <v>0</v>
      </c>
      <c r="R315" s="2">
        <f>IF(MONTH(Table157[[#This Row],[Date]])=2,28,DAY(DATE(YEAR(Table157[[#This Row],[Date]]),MONTH(Table157[[#This Row],[Date]])+1,1)-1))</f>
        <v>31</v>
      </c>
      <c r="S315" s="2">
        <f ca="1">SUM(OFFSET(Table157[[#Headers],[Days in month]],1,0):Table157[[#This Row],[Days in month]])</f>
        <v>9095</v>
      </c>
      <c r="T315" s="37">
        <f>InterestRate*AmortizationMultiplier*IF(ISNUMBER(SEARCH("Actual",$C$7)),Table157[[#This Row],[Days in month]]/365,1/12)</f>
        <v>2.9708333333333331E-3</v>
      </c>
    </row>
    <row r="316" spans="2:20" x14ac:dyDescent="0.2">
      <c r="B316" s="1">
        <f t="shared" si="14"/>
        <v>54969</v>
      </c>
      <c r="C316" s="2">
        <f t="shared" si="16"/>
        <v>300</v>
      </c>
      <c r="D316" s="3">
        <f t="shared" si="15"/>
        <v>0</v>
      </c>
      <c r="E316" s="3">
        <f>ROUND(Table157[[#This Row],[Beginning Balance]]*Table157[[#This Row],[Monthly Interest Rate]],2)</f>
        <v>0</v>
      </c>
      <c r="F316" s="3">
        <f t="shared" si="17"/>
        <v>-44</v>
      </c>
      <c r="G316" s="23">
        <f>IFERROR(IF($C$13="No","N/A",IF(Table157[[#This Row],[Period]]=1,$C$6,PMT(InterestRate*AmortizationMultiplier/12,Table157[[#This Row],[Am Thru]],-Table157[[#This Row],[Beginning Balance]]))),0)</f>
        <v>0</v>
      </c>
      <c r="H316" s="3">
        <f>MAX(0,IF(C316=$C$4,D316,ROUND(IF($C$3="Fixed Principal",$C$6-Table157[[#This Row],[Interest]],IF($C$3="Interest Only",Table157[[#This Row],[Beginning Balance]]*ROUND(1-(1-IF($C$11="No",$E$8,1))^(1/12),6),MIN(IF($C$13="Yes",Table157[[#This Row],[Payment Amount (Reamortized)]],$C$6)-Table157[[#This Row],[Interest]],Table157[[#This Row],[Beginning Balance]]))),2)))</f>
        <v>0</v>
      </c>
      <c r="I316" s="3">
        <f>_xlfn.SINGLE(IF($C$3="Line of Credit",0,ROUND(MAX(MIN(IF($C$10="No",$E$7,VLOOKUP(Table157[[#This Row],[Period]],Forecast!$H$2:$L$1048576,4,FALSE))*Table157[[#This Row],[Beginning Balance]],Table157[[#This Row],[Beginning Balance]]-Table157[[#This Row],[Principal]]),0),2)))</f>
        <v>0</v>
      </c>
      <c r="J316" s="3">
        <f>ROUND(MIN(Table157[[#This Row],[Beginning Balance]]*IF($C$8="No",$E$3,VLOOKUP(Table157[[#This Row],[Period]],Forecast!$H$2:$L$1048576,2,FALSE)),Table157[[#This Row],[Beginning Balance]]-Table157[[#This Row],[Principal]]-Table157[[#This Row],[Prepayments]]),2)</f>
        <v>0</v>
      </c>
      <c r="K316" s="3">
        <f>ROUND(Table157[[#This Row],[Defaulted Principal]]*IF($C$9="No",$E$4,VLOOKUP(Table157[[#This Row],[Period]],Forecast!$H$2:$L$1048576,3,FALSE)),2)</f>
        <v>0</v>
      </c>
      <c r="L316" s="2">
        <f>Table157[[#This Row],[Period]]+$E$9</f>
        <v>312</v>
      </c>
      <c r="M316" s="3">
        <f>Table157[[#This Row],[Defaulted Principal]]-Table157[[#This Row],[Estimated Loss]]</f>
        <v>0</v>
      </c>
      <c r="N316" s="3">
        <f>IFERROR(VLOOKUP(Table157[[#This Row],[Period]],$L$16:$M$385,2,FALSE),0)</f>
        <v>0</v>
      </c>
      <c r="O316" s="3">
        <f>Table157[[#This Row],[Beginning Balance]]-Table157[[#This Row],[Principal]]-Table157[[#This Row],[Prepayments]]-Table157[[#This Row],[Defaulted Principal]]</f>
        <v>0</v>
      </c>
      <c r="P316" s="3">
        <f>Table157[[#This Row],[Principal]]+Table157[[#This Row],[Interest]]+Table157[[#This Row],[Prepayments]]+Table157[[#This Row],[RecoveredAmount]]</f>
        <v>0</v>
      </c>
      <c r="Q316" s="3">
        <f ca="1">ROUND(Table157[[#This Row],[Cash Flow]]/((1+ActualRateToUse)^(IF(ISNUMBER(SEARCH("Actual",$C$7)),Table157[[#This Row],[Running Total]]/365,Table157[[#This Row],[Period]]/12))),2)</f>
        <v>0</v>
      </c>
      <c r="R316" s="2">
        <f>IF(MONTH(Table157[[#This Row],[Date]])=2,28,DAY(DATE(YEAR(Table157[[#This Row],[Date]]),MONTH(Table157[[#This Row],[Date]])+1,1)-1))</f>
        <v>30</v>
      </c>
      <c r="S316" s="2">
        <f ca="1">SUM(OFFSET(Table157[[#Headers],[Days in month]],1,0):Table157[[#This Row],[Days in month]])</f>
        <v>9125</v>
      </c>
      <c r="T316" s="37">
        <f>InterestRate*AmortizationMultiplier*IF(ISNUMBER(SEARCH("Actual",$C$7)),Table157[[#This Row],[Days in month]]/365,1/12)</f>
        <v>2.8749999999999995E-3</v>
      </c>
    </row>
    <row r="317" spans="2:20" x14ac:dyDescent="0.2">
      <c r="B317" s="1">
        <f t="shared" si="14"/>
        <v>55000</v>
      </c>
      <c r="C317" s="2">
        <f t="shared" si="16"/>
        <v>301</v>
      </c>
      <c r="D317" s="3">
        <f t="shared" si="15"/>
        <v>0</v>
      </c>
      <c r="E317" s="3">
        <f>ROUND(Table157[[#This Row],[Beginning Balance]]*Table157[[#This Row],[Monthly Interest Rate]],2)</f>
        <v>0</v>
      </c>
      <c r="F317" s="3">
        <f t="shared" si="17"/>
        <v>-45</v>
      </c>
      <c r="G317" s="23">
        <f>IFERROR(IF($C$13="No","N/A",IF(Table157[[#This Row],[Period]]=1,$C$6,PMT(InterestRate*AmortizationMultiplier/12,Table157[[#This Row],[Am Thru]],-Table157[[#This Row],[Beginning Balance]]))),0)</f>
        <v>0</v>
      </c>
      <c r="H317" s="3">
        <f>MAX(0,IF(C317=$C$4,D317,ROUND(IF($C$3="Fixed Principal",$C$6-Table157[[#This Row],[Interest]],IF($C$3="Interest Only",Table157[[#This Row],[Beginning Balance]]*ROUND(1-(1-IF($C$11="No",$E$8,1))^(1/12),6),MIN(IF($C$13="Yes",Table157[[#This Row],[Payment Amount (Reamortized)]],$C$6)-Table157[[#This Row],[Interest]],Table157[[#This Row],[Beginning Balance]]))),2)))</f>
        <v>0</v>
      </c>
      <c r="I317" s="3">
        <f>_xlfn.SINGLE(IF($C$3="Line of Credit",0,ROUND(MAX(MIN(IF($C$10="No",$E$7,VLOOKUP(Table157[[#This Row],[Period]],Forecast!$H$2:$L$1048576,4,FALSE))*Table157[[#This Row],[Beginning Balance]],Table157[[#This Row],[Beginning Balance]]-Table157[[#This Row],[Principal]]),0),2)))</f>
        <v>0</v>
      </c>
      <c r="J317" s="3">
        <f>ROUND(MIN(Table157[[#This Row],[Beginning Balance]]*IF($C$8="No",$E$3,VLOOKUP(Table157[[#This Row],[Period]],Forecast!$H$2:$L$1048576,2,FALSE)),Table157[[#This Row],[Beginning Balance]]-Table157[[#This Row],[Principal]]-Table157[[#This Row],[Prepayments]]),2)</f>
        <v>0</v>
      </c>
      <c r="K317" s="3">
        <f>ROUND(Table157[[#This Row],[Defaulted Principal]]*IF($C$9="No",$E$4,VLOOKUP(Table157[[#This Row],[Period]],Forecast!$H$2:$L$1048576,3,FALSE)),2)</f>
        <v>0</v>
      </c>
      <c r="L317" s="2">
        <f>Table157[[#This Row],[Period]]+$E$9</f>
        <v>313</v>
      </c>
      <c r="M317" s="3">
        <f>Table157[[#This Row],[Defaulted Principal]]-Table157[[#This Row],[Estimated Loss]]</f>
        <v>0</v>
      </c>
      <c r="N317" s="3">
        <f>IFERROR(VLOOKUP(Table157[[#This Row],[Period]],$L$16:$M$385,2,FALSE),0)</f>
        <v>0</v>
      </c>
      <c r="O317" s="3">
        <f>Table157[[#This Row],[Beginning Balance]]-Table157[[#This Row],[Principal]]-Table157[[#This Row],[Prepayments]]-Table157[[#This Row],[Defaulted Principal]]</f>
        <v>0</v>
      </c>
      <c r="P317" s="3">
        <f>Table157[[#This Row],[Principal]]+Table157[[#This Row],[Interest]]+Table157[[#This Row],[Prepayments]]+Table157[[#This Row],[RecoveredAmount]]</f>
        <v>0</v>
      </c>
      <c r="Q317" s="3">
        <f ca="1">ROUND(Table157[[#This Row],[Cash Flow]]/((1+ActualRateToUse)^(IF(ISNUMBER(SEARCH("Actual",$C$7)),Table157[[#This Row],[Running Total]]/365,Table157[[#This Row],[Period]]/12))),2)</f>
        <v>0</v>
      </c>
      <c r="R317" s="2">
        <f>IF(MONTH(Table157[[#This Row],[Date]])=2,28,DAY(DATE(YEAR(Table157[[#This Row],[Date]]),MONTH(Table157[[#This Row],[Date]])+1,1)-1))</f>
        <v>31</v>
      </c>
      <c r="S317" s="2">
        <f ca="1">SUM(OFFSET(Table157[[#Headers],[Days in month]],1,0):Table157[[#This Row],[Days in month]])</f>
        <v>9156</v>
      </c>
      <c r="T317" s="37">
        <f>InterestRate*AmortizationMultiplier*IF(ISNUMBER(SEARCH("Actual",$C$7)),Table157[[#This Row],[Days in month]]/365,1/12)</f>
        <v>2.9708333333333331E-3</v>
      </c>
    </row>
    <row r="318" spans="2:20" x14ac:dyDescent="0.2">
      <c r="B318" s="1">
        <f t="shared" si="14"/>
        <v>55031</v>
      </c>
      <c r="C318" s="2">
        <f t="shared" si="16"/>
        <v>302</v>
      </c>
      <c r="D318" s="3">
        <f t="shared" si="15"/>
        <v>0</v>
      </c>
      <c r="E318" s="3">
        <f>ROUND(Table157[[#This Row],[Beginning Balance]]*Table157[[#This Row],[Monthly Interest Rate]],2)</f>
        <v>0</v>
      </c>
      <c r="F318" s="3">
        <f t="shared" si="17"/>
        <v>-46</v>
      </c>
      <c r="G318" s="23">
        <f>IFERROR(IF($C$13="No","N/A",IF(Table157[[#This Row],[Period]]=1,$C$6,PMT(InterestRate*AmortizationMultiplier/12,Table157[[#This Row],[Am Thru]],-Table157[[#This Row],[Beginning Balance]]))),0)</f>
        <v>0</v>
      </c>
      <c r="H318" s="3">
        <f>MAX(0,IF(C318=$C$4,D318,ROUND(IF($C$3="Fixed Principal",$C$6-Table157[[#This Row],[Interest]],IF($C$3="Interest Only",Table157[[#This Row],[Beginning Balance]]*ROUND(1-(1-IF($C$11="No",$E$8,1))^(1/12),6),MIN(IF($C$13="Yes",Table157[[#This Row],[Payment Amount (Reamortized)]],$C$6)-Table157[[#This Row],[Interest]],Table157[[#This Row],[Beginning Balance]]))),2)))</f>
        <v>0</v>
      </c>
      <c r="I318" s="3">
        <f>_xlfn.SINGLE(IF($C$3="Line of Credit",0,ROUND(MAX(MIN(IF($C$10="No",$E$7,VLOOKUP(Table157[[#This Row],[Period]],Forecast!$H$2:$L$1048576,4,FALSE))*Table157[[#This Row],[Beginning Balance]],Table157[[#This Row],[Beginning Balance]]-Table157[[#This Row],[Principal]]),0),2)))</f>
        <v>0</v>
      </c>
      <c r="J318" s="3">
        <f>ROUND(MIN(Table157[[#This Row],[Beginning Balance]]*IF($C$8="No",$E$3,VLOOKUP(Table157[[#This Row],[Period]],Forecast!$H$2:$L$1048576,2,FALSE)),Table157[[#This Row],[Beginning Balance]]-Table157[[#This Row],[Principal]]-Table157[[#This Row],[Prepayments]]),2)</f>
        <v>0</v>
      </c>
      <c r="K318" s="3">
        <f>ROUND(Table157[[#This Row],[Defaulted Principal]]*IF($C$9="No",$E$4,VLOOKUP(Table157[[#This Row],[Period]],Forecast!$H$2:$L$1048576,3,FALSE)),2)</f>
        <v>0</v>
      </c>
      <c r="L318" s="2">
        <f>Table157[[#This Row],[Period]]+$E$9</f>
        <v>314</v>
      </c>
      <c r="M318" s="3">
        <f>Table157[[#This Row],[Defaulted Principal]]-Table157[[#This Row],[Estimated Loss]]</f>
        <v>0</v>
      </c>
      <c r="N318" s="3">
        <f>IFERROR(VLOOKUP(Table157[[#This Row],[Period]],$L$16:$M$385,2,FALSE),0)</f>
        <v>0</v>
      </c>
      <c r="O318" s="3">
        <f>Table157[[#This Row],[Beginning Balance]]-Table157[[#This Row],[Principal]]-Table157[[#This Row],[Prepayments]]-Table157[[#This Row],[Defaulted Principal]]</f>
        <v>0</v>
      </c>
      <c r="P318" s="3">
        <f>Table157[[#This Row],[Principal]]+Table157[[#This Row],[Interest]]+Table157[[#This Row],[Prepayments]]+Table157[[#This Row],[RecoveredAmount]]</f>
        <v>0</v>
      </c>
      <c r="Q318" s="3">
        <f ca="1">ROUND(Table157[[#This Row],[Cash Flow]]/((1+ActualRateToUse)^(IF(ISNUMBER(SEARCH("Actual",$C$7)),Table157[[#This Row],[Running Total]]/365,Table157[[#This Row],[Period]]/12))),2)</f>
        <v>0</v>
      </c>
      <c r="R318" s="2">
        <f>IF(MONTH(Table157[[#This Row],[Date]])=2,28,DAY(DATE(YEAR(Table157[[#This Row],[Date]]),MONTH(Table157[[#This Row],[Date]])+1,1)-1))</f>
        <v>31</v>
      </c>
      <c r="S318" s="2">
        <f ca="1">SUM(OFFSET(Table157[[#Headers],[Days in month]],1,0):Table157[[#This Row],[Days in month]])</f>
        <v>9187</v>
      </c>
      <c r="T318" s="37">
        <f>InterestRate*AmortizationMultiplier*IF(ISNUMBER(SEARCH("Actual",$C$7)),Table157[[#This Row],[Days in month]]/365,1/12)</f>
        <v>2.9708333333333331E-3</v>
      </c>
    </row>
    <row r="319" spans="2:20" x14ac:dyDescent="0.2">
      <c r="B319" s="1">
        <f t="shared" si="14"/>
        <v>55061</v>
      </c>
      <c r="C319" s="2">
        <f t="shared" si="16"/>
        <v>303</v>
      </c>
      <c r="D319" s="3">
        <f t="shared" si="15"/>
        <v>0</v>
      </c>
      <c r="E319" s="3">
        <f>ROUND(Table157[[#This Row],[Beginning Balance]]*Table157[[#This Row],[Monthly Interest Rate]],2)</f>
        <v>0</v>
      </c>
      <c r="F319" s="3">
        <f t="shared" si="17"/>
        <v>-47</v>
      </c>
      <c r="G319" s="23">
        <f>IFERROR(IF($C$13="No","N/A",IF(Table157[[#This Row],[Period]]=1,$C$6,PMT(InterestRate*AmortizationMultiplier/12,Table157[[#This Row],[Am Thru]],-Table157[[#This Row],[Beginning Balance]]))),0)</f>
        <v>0</v>
      </c>
      <c r="H319" s="3">
        <f>MAX(0,IF(C319=$C$4,D319,ROUND(IF($C$3="Fixed Principal",$C$6-Table157[[#This Row],[Interest]],IF($C$3="Interest Only",Table157[[#This Row],[Beginning Balance]]*ROUND(1-(1-IF($C$11="No",$E$8,1))^(1/12),6),MIN(IF($C$13="Yes",Table157[[#This Row],[Payment Amount (Reamortized)]],$C$6)-Table157[[#This Row],[Interest]],Table157[[#This Row],[Beginning Balance]]))),2)))</f>
        <v>0</v>
      </c>
      <c r="I319" s="3">
        <f>_xlfn.SINGLE(IF($C$3="Line of Credit",0,ROUND(MAX(MIN(IF($C$10="No",$E$7,VLOOKUP(Table157[[#This Row],[Period]],Forecast!$H$2:$L$1048576,4,FALSE))*Table157[[#This Row],[Beginning Balance]],Table157[[#This Row],[Beginning Balance]]-Table157[[#This Row],[Principal]]),0),2)))</f>
        <v>0</v>
      </c>
      <c r="J319" s="3">
        <f>ROUND(MIN(Table157[[#This Row],[Beginning Balance]]*IF($C$8="No",$E$3,VLOOKUP(Table157[[#This Row],[Period]],Forecast!$H$2:$L$1048576,2,FALSE)),Table157[[#This Row],[Beginning Balance]]-Table157[[#This Row],[Principal]]-Table157[[#This Row],[Prepayments]]),2)</f>
        <v>0</v>
      </c>
      <c r="K319" s="3">
        <f>ROUND(Table157[[#This Row],[Defaulted Principal]]*IF($C$9="No",$E$4,VLOOKUP(Table157[[#This Row],[Period]],Forecast!$H$2:$L$1048576,3,FALSE)),2)</f>
        <v>0</v>
      </c>
      <c r="L319" s="2">
        <f>Table157[[#This Row],[Period]]+$E$9</f>
        <v>315</v>
      </c>
      <c r="M319" s="3">
        <f>Table157[[#This Row],[Defaulted Principal]]-Table157[[#This Row],[Estimated Loss]]</f>
        <v>0</v>
      </c>
      <c r="N319" s="3">
        <f>IFERROR(VLOOKUP(Table157[[#This Row],[Period]],$L$16:$M$385,2,FALSE),0)</f>
        <v>0</v>
      </c>
      <c r="O319" s="3">
        <f>Table157[[#This Row],[Beginning Balance]]-Table157[[#This Row],[Principal]]-Table157[[#This Row],[Prepayments]]-Table157[[#This Row],[Defaulted Principal]]</f>
        <v>0</v>
      </c>
      <c r="P319" s="3">
        <f>Table157[[#This Row],[Principal]]+Table157[[#This Row],[Interest]]+Table157[[#This Row],[Prepayments]]+Table157[[#This Row],[RecoveredAmount]]</f>
        <v>0</v>
      </c>
      <c r="Q319" s="3">
        <f ca="1">ROUND(Table157[[#This Row],[Cash Flow]]/((1+ActualRateToUse)^(IF(ISNUMBER(SEARCH("Actual",$C$7)),Table157[[#This Row],[Running Total]]/365,Table157[[#This Row],[Period]]/12))),2)</f>
        <v>0</v>
      </c>
      <c r="R319" s="2">
        <f>IF(MONTH(Table157[[#This Row],[Date]])=2,28,DAY(DATE(YEAR(Table157[[#This Row],[Date]]),MONTH(Table157[[#This Row],[Date]])+1,1)-1))</f>
        <v>30</v>
      </c>
      <c r="S319" s="2">
        <f ca="1">SUM(OFFSET(Table157[[#Headers],[Days in month]],1,0):Table157[[#This Row],[Days in month]])</f>
        <v>9217</v>
      </c>
      <c r="T319" s="37">
        <f>InterestRate*AmortizationMultiplier*IF(ISNUMBER(SEARCH("Actual",$C$7)),Table157[[#This Row],[Days in month]]/365,1/12)</f>
        <v>2.8749999999999995E-3</v>
      </c>
    </row>
    <row r="320" spans="2:20" x14ac:dyDescent="0.2">
      <c r="B320" s="1">
        <f t="shared" si="14"/>
        <v>55092</v>
      </c>
      <c r="C320" s="2">
        <f t="shared" si="16"/>
        <v>304</v>
      </c>
      <c r="D320" s="3">
        <f t="shared" si="15"/>
        <v>0</v>
      </c>
      <c r="E320" s="3">
        <f>ROUND(Table157[[#This Row],[Beginning Balance]]*Table157[[#This Row],[Monthly Interest Rate]],2)</f>
        <v>0</v>
      </c>
      <c r="F320" s="3">
        <f t="shared" si="17"/>
        <v>-48</v>
      </c>
      <c r="G320" s="23">
        <f>IFERROR(IF($C$13="No","N/A",IF(Table157[[#This Row],[Period]]=1,$C$6,PMT(InterestRate*AmortizationMultiplier/12,Table157[[#This Row],[Am Thru]],-Table157[[#This Row],[Beginning Balance]]))),0)</f>
        <v>0</v>
      </c>
      <c r="H320" s="3">
        <f>MAX(0,IF(C320=$C$4,D320,ROUND(IF($C$3="Fixed Principal",$C$6-Table157[[#This Row],[Interest]],IF($C$3="Interest Only",Table157[[#This Row],[Beginning Balance]]*ROUND(1-(1-IF($C$11="No",$E$8,1))^(1/12),6),MIN(IF($C$13="Yes",Table157[[#This Row],[Payment Amount (Reamortized)]],$C$6)-Table157[[#This Row],[Interest]],Table157[[#This Row],[Beginning Balance]]))),2)))</f>
        <v>0</v>
      </c>
      <c r="I320" s="3">
        <f>_xlfn.SINGLE(IF($C$3="Line of Credit",0,ROUND(MAX(MIN(IF($C$10="No",$E$7,VLOOKUP(Table157[[#This Row],[Period]],Forecast!$H$2:$L$1048576,4,FALSE))*Table157[[#This Row],[Beginning Balance]],Table157[[#This Row],[Beginning Balance]]-Table157[[#This Row],[Principal]]),0),2)))</f>
        <v>0</v>
      </c>
      <c r="J320" s="3">
        <f>ROUND(MIN(Table157[[#This Row],[Beginning Balance]]*IF($C$8="No",$E$3,VLOOKUP(Table157[[#This Row],[Period]],Forecast!$H$2:$L$1048576,2,FALSE)),Table157[[#This Row],[Beginning Balance]]-Table157[[#This Row],[Principal]]-Table157[[#This Row],[Prepayments]]),2)</f>
        <v>0</v>
      </c>
      <c r="K320" s="3">
        <f>ROUND(Table157[[#This Row],[Defaulted Principal]]*IF($C$9="No",$E$4,VLOOKUP(Table157[[#This Row],[Period]],Forecast!$H$2:$L$1048576,3,FALSE)),2)</f>
        <v>0</v>
      </c>
      <c r="L320" s="2">
        <f>Table157[[#This Row],[Period]]+$E$9</f>
        <v>316</v>
      </c>
      <c r="M320" s="3">
        <f>Table157[[#This Row],[Defaulted Principal]]-Table157[[#This Row],[Estimated Loss]]</f>
        <v>0</v>
      </c>
      <c r="N320" s="3">
        <f>IFERROR(VLOOKUP(Table157[[#This Row],[Period]],$L$16:$M$385,2,FALSE),0)</f>
        <v>0</v>
      </c>
      <c r="O320" s="3">
        <f>Table157[[#This Row],[Beginning Balance]]-Table157[[#This Row],[Principal]]-Table157[[#This Row],[Prepayments]]-Table157[[#This Row],[Defaulted Principal]]</f>
        <v>0</v>
      </c>
      <c r="P320" s="3">
        <f>Table157[[#This Row],[Principal]]+Table157[[#This Row],[Interest]]+Table157[[#This Row],[Prepayments]]+Table157[[#This Row],[RecoveredAmount]]</f>
        <v>0</v>
      </c>
      <c r="Q320" s="3">
        <f ca="1">ROUND(Table157[[#This Row],[Cash Flow]]/((1+ActualRateToUse)^(IF(ISNUMBER(SEARCH("Actual",$C$7)),Table157[[#This Row],[Running Total]]/365,Table157[[#This Row],[Period]]/12))),2)</f>
        <v>0</v>
      </c>
      <c r="R320" s="2">
        <f>IF(MONTH(Table157[[#This Row],[Date]])=2,28,DAY(DATE(YEAR(Table157[[#This Row],[Date]]),MONTH(Table157[[#This Row],[Date]])+1,1)-1))</f>
        <v>31</v>
      </c>
      <c r="S320" s="2">
        <f ca="1">SUM(OFFSET(Table157[[#Headers],[Days in month]],1,0):Table157[[#This Row],[Days in month]])</f>
        <v>9248</v>
      </c>
      <c r="T320" s="37">
        <f>InterestRate*AmortizationMultiplier*IF(ISNUMBER(SEARCH("Actual",$C$7)),Table157[[#This Row],[Days in month]]/365,1/12)</f>
        <v>2.9708333333333331E-3</v>
      </c>
    </row>
    <row r="321" spans="2:20" x14ac:dyDescent="0.2">
      <c r="B321" s="1">
        <f t="shared" si="14"/>
        <v>55122</v>
      </c>
      <c r="C321" s="2">
        <f t="shared" si="16"/>
        <v>305</v>
      </c>
      <c r="D321" s="3">
        <f t="shared" si="15"/>
        <v>0</v>
      </c>
      <c r="E321" s="3">
        <f>ROUND(Table157[[#This Row],[Beginning Balance]]*Table157[[#This Row],[Monthly Interest Rate]],2)</f>
        <v>0</v>
      </c>
      <c r="F321" s="3">
        <f t="shared" si="17"/>
        <v>-49</v>
      </c>
      <c r="G321" s="23">
        <f>IFERROR(IF($C$13="No","N/A",IF(Table157[[#This Row],[Period]]=1,$C$6,PMT(InterestRate*AmortizationMultiplier/12,Table157[[#This Row],[Am Thru]],-Table157[[#This Row],[Beginning Balance]]))),0)</f>
        <v>0</v>
      </c>
      <c r="H321" s="3">
        <f>MAX(0,IF(C321=$C$4,D321,ROUND(IF($C$3="Fixed Principal",$C$6-Table157[[#This Row],[Interest]],IF($C$3="Interest Only",Table157[[#This Row],[Beginning Balance]]*ROUND(1-(1-IF($C$11="No",$E$8,1))^(1/12),6),MIN(IF($C$13="Yes",Table157[[#This Row],[Payment Amount (Reamortized)]],$C$6)-Table157[[#This Row],[Interest]],Table157[[#This Row],[Beginning Balance]]))),2)))</f>
        <v>0</v>
      </c>
      <c r="I321" s="3">
        <f>_xlfn.SINGLE(IF($C$3="Line of Credit",0,ROUND(MAX(MIN(IF($C$10="No",$E$7,VLOOKUP(Table157[[#This Row],[Period]],Forecast!$H$2:$L$1048576,4,FALSE))*Table157[[#This Row],[Beginning Balance]],Table157[[#This Row],[Beginning Balance]]-Table157[[#This Row],[Principal]]),0),2)))</f>
        <v>0</v>
      </c>
      <c r="J321" s="3">
        <f>ROUND(MIN(Table157[[#This Row],[Beginning Balance]]*IF($C$8="No",$E$3,VLOOKUP(Table157[[#This Row],[Period]],Forecast!$H$2:$L$1048576,2,FALSE)),Table157[[#This Row],[Beginning Balance]]-Table157[[#This Row],[Principal]]-Table157[[#This Row],[Prepayments]]),2)</f>
        <v>0</v>
      </c>
      <c r="K321" s="3">
        <f>ROUND(Table157[[#This Row],[Defaulted Principal]]*IF($C$9="No",$E$4,VLOOKUP(Table157[[#This Row],[Period]],Forecast!$H$2:$L$1048576,3,FALSE)),2)</f>
        <v>0</v>
      </c>
      <c r="L321" s="2">
        <f>Table157[[#This Row],[Period]]+$E$9</f>
        <v>317</v>
      </c>
      <c r="M321" s="3">
        <f>Table157[[#This Row],[Defaulted Principal]]-Table157[[#This Row],[Estimated Loss]]</f>
        <v>0</v>
      </c>
      <c r="N321" s="3">
        <f>IFERROR(VLOOKUP(Table157[[#This Row],[Period]],$L$16:$M$385,2,FALSE),0)</f>
        <v>0</v>
      </c>
      <c r="O321" s="3">
        <f>Table157[[#This Row],[Beginning Balance]]-Table157[[#This Row],[Principal]]-Table157[[#This Row],[Prepayments]]-Table157[[#This Row],[Defaulted Principal]]</f>
        <v>0</v>
      </c>
      <c r="P321" s="3">
        <f>Table157[[#This Row],[Principal]]+Table157[[#This Row],[Interest]]+Table157[[#This Row],[Prepayments]]+Table157[[#This Row],[RecoveredAmount]]</f>
        <v>0</v>
      </c>
      <c r="Q321" s="3">
        <f ca="1">ROUND(Table157[[#This Row],[Cash Flow]]/((1+ActualRateToUse)^(IF(ISNUMBER(SEARCH("Actual",$C$7)),Table157[[#This Row],[Running Total]]/365,Table157[[#This Row],[Period]]/12))),2)</f>
        <v>0</v>
      </c>
      <c r="R321" s="2">
        <f>IF(MONTH(Table157[[#This Row],[Date]])=2,28,DAY(DATE(YEAR(Table157[[#This Row],[Date]]),MONTH(Table157[[#This Row],[Date]])+1,1)-1))</f>
        <v>30</v>
      </c>
      <c r="S321" s="2">
        <f ca="1">SUM(OFFSET(Table157[[#Headers],[Days in month]],1,0):Table157[[#This Row],[Days in month]])</f>
        <v>9278</v>
      </c>
      <c r="T321" s="37">
        <f>InterestRate*AmortizationMultiplier*IF(ISNUMBER(SEARCH("Actual",$C$7)),Table157[[#This Row],[Days in month]]/365,1/12)</f>
        <v>2.8749999999999995E-3</v>
      </c>
    </row>
    <row r="322" spans="2:20" x14ac:dyDescent="0.2">
      <c r="B322" s="1">
        <f t="shared" si="14"/>
        <v>55153</v>
      </c>
      <c r="C322" s="2">
        <f t="shared" si="16"/>
        <v>306</v>
      </c>
      <c r="D322" s="3">
        <f t="shared" si="15"/>
        <v>0</v>
      </c>
      <c r="E322" s="3">
        <f>ROUND(Table157[[#This Row],[Beginning Balance]]*Table157[[#This Row],[Monthly Interest Rate]],2)</f>
        <v>0</v>
      </c>
      <c r="F322" s="3">
        <f t="shared" si="17"/>
        <v>-50</v>
      </c>
      <c r="G322" s="23">
        <f>IFERROR(IF($C$13="No","N/A",IF(Table157[[#This Row],[Period]]=1,$C$6,PMT(InterestRate*AmortizationMultiplier/12,Table157[[#This Row],[Am Thru]],-Table157[[#This Row],[Beginning Balance]]))),0)</f>
        <v>0</v>
      </c>
      <c r="H322" s="3">
        <f>MAX(0,IF(C322=$C$4,D322,ROUND(IF($C$3="Fixed Principal",$C$6-Table157[[#This Row],[Interest]],IF($C$3="Interest Only",Table157[[#This Row],[Beginning Balance]]*ROUND(1-(1-IF($C$11="No",$E$8,1))^(1/12),6),MIN(IF($C$13="Yes",Table157[[#This Row],[Payment Amount (Reamortized)]],$C$6)-Table157[[#This Row],[Interest]],Table157[[#This Row],[Beginning Balance]]))),2)))</f>
        <v>0</v>
      </c>
      <c r="I322" s="3">
        <f>_xlfn.SINGLE(IF($C$3="Line of Credit",0,ROUND(MAX(MIN(IF($C$10="No",$E$7,VLOOKUP(Table157[[#This Row],[Period]],Forecast!$H$2:$L$1048576,4,FALSE))*Table157[[#This Row],[Beginning Balance]],Table157[[#This Row],[Beginning Balance]]-Table157[[#This Row],[Principal]]),0),2)))</f>
        <v>0</v>
      </c>
      <c r="J322" s="3">
        <f>ROUND(MIN(Table157[[#This Row],[Beginning Balance]]*IF($C$8="No",$E$3,VLOOKUP(Table157[[#This Row],[Period]],Forecast!$H$2:$L$1048576,2,FALSE)),Table157[[#This Row],[Beginning Balance]]-Table157[[#This Row],[Principal]]-Table157[[#This Row],[Prepayments]]),2)</f>
        <v>0</v>
      </c>
      <c r="K322" s="3">
        <f>ROUND(Table157[[#This Row],[Defaulted Principal]]*IF($C$9="No",$E$4,VLOOKUP(Table157[[#This Row],[Period]],Forecast!$H$2:$L$1048576,3,FALSE)),2)</f>
        <v>0</v>
      </c>
      <c r="L322" s="2">
        <f>Table157[[#This Row],[Period]]+$E$9</f>
        <v>318</v>
      </c>
      <c r="M322" s="3">
        <f>Table157[[#This Row],[Defaulted Principal]]-Table157[[#This Row],[Estimated Loss]]</f>
        <v>0</v>
      </c>
      <c r="N322" s="3">
        <f>IFERROR(VLOOKUP(Table157[[#This Row],[Period]],$L$16:$M$385,2,FALSE),0)</f>
        <v>0</v>
      </c>
      <c r="O322" s="3">
        <f>Table157[[#This Row],[Beginning Balance]]-Table157[[#This Row],[Principal]]-Table157[[#This Row],[Prepayments]]-Table157[[#This Row],[Defaulted Principal]]</f>
        <v>0</v>
      </c>
      <c r="P322" s="3">
        <f>Table157[[#This Row],[Principal]]+Table157[[#This Row],[Interest]]+Table157[[#This Row],[Prepayments]]+Table157[[#This Row],[RecoveredAmount]]</f>
        <v>0</v>
      </c>
      <c r="Q322" s="3">
        <f ca="1">ROUND(Table157[[#This Row],[Cash Flow]]/((1+ActualRateToUse)^(IF(ISNUMBER(SEARCH("Actual",$C$7)),Table157[[#This Row],[Running Total]]/365,Table157[[#This Row],[Period]]/12))),2)</f>
        <v>0</v>
      </c>
      <c r="R322" s="2">
        <f>IF(MONTH(Table157[[#This Row],[Date]])=2,28,DAY(DATE(YEAR(Table157[[#This Row],[Date]]),MONTH(Table157[[#This Row],[Date]])+1,1)-1))</f>
        <v>31</v>
      </c>
      <c r="S322" s="2">
        <f ca="1">SUM(OFFSET(Table157[[#Headers],[Days in month]],1,0):Table157[[#This Row],[Days in month]])</f>
        <v>9309</v>
      </c>
      <c r="T322" s="37">
        <f>InterestRate*AmortizationMultiplier*IF(ISNUMBER(SEARCH("Actual",$C$7)),Table157[[#This Row],[Days in month]]/365,1/12)</f>
        <v>2.9708333333333331E-3</v>
      </c>
    </row>
    <row r="323" spans="2:20" x14ac:dyDescent="0.2">
      <c r="B323" s="1">
        <f t="shared" si="14"/>
        <v>55184</v>
      </c>
      <c r="C323" s="2">
        <f t="shared" si="16"/>
        <v>307</v>
      </c>
      <c r="D323" s="3">
        <f t="shared" si="15"/>
        <v>0</v>
      </c>
      <c r="E323" s="3">
        <f>ROUND(Table157[[#This Row],[Beginning Balance]]*Table157[[#This Row],[Monthly Interest Rate]],2)</f>
        <v>0</v>
      </c>
      <c r="F323" s="3">
        <f t="shared" si="17"/>
        <v>-51</v>
      </c>
      <c r="G323" s="23">
        <f>IFERROR(IF($C$13="No","N/A",IF(Table157[[#This Row],[Period]]=1,$C$6,PMT(InterestRate*AmortizationMultiplier/12,Table157[[#This Row],[Am Thru]],-Table157[[#This Row],[Beginning Balance]]))),0)</f>
        <v>0</v>
      </c>
      <c r="H323" s="3">
        <f>MAX(0,IF(C323=$C$4,D323,ROUND(IF($C$3="Fixed Principal",$C$6-Table157[[#This Row],[Interest]],IF($C$3="Interest Only",Table157[[#This Row],[Beginning Balance]]*ROUND(1-(1-IF($C$11="No",$E$8,1))^(1/12),6),MIN(IF($C$13="Yes",Table157[[#This Row],[Payment Amount (Reamortized)]],$C$6)-Table157[[#This Row],[Interest]],Table157[[#This Row],[Beginning Balance]]))),2)))</f>
        <v>0</v>
      </c>
      <c r="I323" s="3">
        <f>_xlfn.SINGLE(IF($C$3="Line of Credit",0,ROUND(MAX(MIN(IF($C$10="No",$E$7,VLOOKUP(Table157[[#This Row],[Period]],Forecast!$H$2:$L$1048576,4,FALSE))*Table157[[#This Row],[Beginning Balance]],Table157[[#This Row],[Beginning Balance]]-Table157[[#This Row],[Principal]]),0),2)))</f>
        <v>0</v>
      </c>
      <c r="J323" s="3">
        <f>ROUND(MIN(Table157[[#This Row],[Beginning Balance]]*IF($C$8="No",$E$3,VLOOKUP(Table157[[#This Row],[Period]],Forecast!$H$2:$L$1048576,2,FALSE)),Table157[[#This Row],[Beginning Balance]]-Table157[[#This Row],[Principal]]-Table157[[#This Row],[Prepayments]]),2)</f>
        <v>0</v>
      </c>
      <c r="K323" s="3">
        <f>ROUND(Table157[[#This Row],[Defaulted Principal]]*IF($C$9="No",$E$4,VLOOKUP(Table157[[#This Row],[Period]],Forecast!$H$2:$L$1048576,3,FALSE)),2)</f>
        <v>0</v>
      </c>
      <c r="L323" s="2">
        <f>Table157[[#This Row],[Period]]+$E$9</f>
        <v>319</v>
      </c>
      <c r="M323" s="3">
        <f>Table157[[#This Row],[Defaulted Principal]]-Table157[[#This Row],[Estimated Loss]]</f>
        <v>0</v>
      </c>
      <c r="N323" s="3">
        <f>IFERROR(VLOOKUP(Table157[[#This Row],[Period]],$L$16:$M$385,2,FALSE),0)</f>
        <v>0</v>
      </c>
      <c r="O323" s="3">
        <f>Table157[[#This Row],[Beginning Balance]]-Table157[[#This Row],[Principal]]-Table157[[#This Row],[Prepayments]]-Table157[[#This Row],[Defaulted Principal]]</f>
        <v>0</v>
      </c>
      <c r="P323" s="3">
        <f>Table157[[#This Row],[Principal]]+Table157[[#This Row],[Interest]]+Table157[[#This Row],[Prepayments]]+Table157[[#This Row],[RecoveredAmount]]</f>
        <v>0</v>
      </c>
      <c r="Q323" s="3">
        <f ca="1">ROUND(Table157[[#This Row],[Cash Flow]]/((1+ActualRateToUse)^(IF(ISNUMBER(SEARCH("Actual",$C$7)),Table157[[#This Row],[Running Total]]/365,Table157[[#This Row],[Period]]/12))),2)</f>
        <v>0</v>
      </c>
      <c r="R323" s="2">
        <f>IF(MONTH(Table157[[#This Row],[Date]])=2,28,DAY(DATE(YEAR(Table157[[#This Row],[Date]]),MONTH(Table157[[#This Row],[Date]])+1,1)-1))</f>
        <v>31</v>
      </c>
      <c r="S323" s="2">
        <f ca="1">SUM(OFFSET(Table157[[#Headers],[Days in month]],1,0):Table157[[#This Row],[Days in month]])</f>
        <v>9340</v>
      </c>
      <c r="T323" s="37">
        <f>InterestRate*AmortizationMultiplier*IF(ISNUMBER(SEARCH("Actual",$C$7)),Table157[[#This Row],[Days in month]]/365,1/12)</f>
        <v>2.9708333333333331E-3</v>
      </c>
    </row>
    <row r="324" spans="2:20" x14ac:dyDescent="0.2">
      <c r="B324" s="1">
        <f t="shared" si="14"/>
        <v>55212</v>
      </c>
      <c r="C324" s="2">
        <f t="shared" si="16"/>
        <v>308</v>
      </c>
      <c r="D324" s="3">
        <f t="shared" si="15"/>
        <v>0</v>
      </c>
      <c r="E324" s="3">
        <f>ROUND(Table157[[#This Row],[Beginning Balance]]*Table157[[#This Row],[Monthly Interest Rate]],2)</f>
        <v>0</v>
      </c>
      <c r="F324" s="3">
        <f t="shared" si="17"/>
        <v>-52</v>
      </c>
      <c r="G324" s="23">
        <f>IFERROR(IF($C$13="No","N/A",IF(Table157[[#This Row],[Period]]=1,$C$6,PMT(InterestRate*AmortizationMultiplier/12,Table157[[#This Row],[Am Thru]],-Table157[[#This Row],[Beginning Balance]]))),0)</f>
        <v>0</v>
      </c>
      <c r="H324" s="3">
        <f>MAX(0,IF(C324=$C$4,D324,ROUND(IF($C$3="Fixed Principal",$C$6-Table157[[#This Row],[Interest]],IF($C$3="Interest Only",Table157[[#This Row],[Beginning Balance]]*ROUND(1-(1-IF($C$11="No",$E$8,1))^(1/12),6),MIN(IF($C$13="Yes",Table157[[#This Row],[Payment Amount (Reamortized)]],$C$6)-Table157[[#This Row],[Interest]],Table157[[#This Row],[Beginning Balance]]))),2)))</f>
        <v>0</v>
      </c>
      <c r="I324" s="3">
        <f>_xlfn.SINGLE(IF($C$3="Line of Credit",0,ROUND(MAX(MIN(IF($C$10="No",$E$7,VLOOKUP(Table157[[#This Row],[Period]],Forecast!$H$2:$L$1048576,4,FALSE))*Table157[[#This Row],[Beginning Balance]],Table157[[#This Row],[Beginning Balance]]-Table157[[#This Row],[Principal]]),0),2)))</f>
        <v>0</v>
      </c>
      <c r="J324" s="3">
        <f>ROUND(MIN(Table157[[#This Row],[Beginning Balance]]*IF($C$8="No",$E$3,VLOOKUP(Table157[[#This Row],[Period]],Forecast!$H$2:$L$1048576,2,FALSE)),Table157[[#This Row],[Beginning Balance]]-Table157[[#This Row],[Principal]]-Table157[[#This Row],[Prepayments]]),2)</f>
        <v>0</v>
      </c>
      <c r="K324" s="3">
        <f>ROUND(Table157[[#This Row],[Defaulted Principal]]*IF($C$9="No",$E$4,VLOOKUP(Table157[[#This Row],[Period]],Forecast!$H$2:$L$1048576,3,FALSE)),2)</f>
        <v>0</v>
      </c>
      <c r="L324" s="2">
        <f>Table157[[#This Row],[Period]]+$E$9</f>
        <v>320</v>
      </c>
      <c r="M324" s="3">
        <f>Table157[[#This Row],[Defaulted Principal]]-Table157[[#This Row],[Estimated Loss]]</f>
        <v>0</v>
      </c>
      <c r="N324" s="3">
        <f>IFERROR(VLOOKUP(Table157[[#This Row],[Period]],$L$16:$M$385,2,FALSE),0)</f>
        <v>0</v>
      </c>
      <c r="O324" s="3">
        <f>Table157[[#This Row],[Beginning Balance]]-Table157[[#This Row],[Principal]]-Table157[[#This Row],[Prepayments]]-Table157[[#This Row],[Defaulted Principal]]</f>
        <v>0</v>
      </c>
      <c r="P324" s="3">
        <f>Table157[[#This Row],[Principal]]+Table157[[#This Row],[Interest]]+Table157[[#This Row],[Prepayments]]+Table157[[#This Row],[RecoveredAmount]]</f>
        <v>0</v>
      </c>
      <c r="Q324" s="3">
        <f ca="1">ROUND(Table157[[#This Row],[Cash Flow]]/((1+ActualRateToUse)^(IF(ISNUMBER(SEARCH("Actual",$C$7)),Table157[[#This Row],[Running Total]]/365,Table157[[#This Row],[Period]]/12))),2)</f>
        <v>0</v>
      </c>
      <c r="R324" s="2">
        <f>IF(MONTH(Table157[[#This Row],[Date]])=2,28,DAY(DATE(YEAR(Table157[[#This Row],[Date]]),MONTH(Table157[[#This Row],[Date]])+1,1)-1))</f>
        <v>28</v>
      </c>
      <c r="S324" s="2">
        <f ca="1">SUM(OFFSET(Table157[[#Headers],[Days in month]],1,0):Table157[[#This Row],[Days in month]])</f>
        <v>9368</v>
      </c>
      <c r="T324" s="37">
        <f>InterestRate*AmortizationMultiplier*IF(ISNUMBER(SEARCH("Actual",$C$7)),Table157[[#This Row],[Days in month]]/365,1/12)</f>
        <v>2.6833333333333336E-3</v>
      </c>
    </row>
    <row r="325" spans="2:20" x14ac:dyDescent="0.2">
      <c r="B325" s="1">
        <f t="shared" si="14"/>
        <v>55243</v>
      </c>
      <c r="C325" s="2">
        <f t="shared" si="16"/>
        <v>309</v>
      </c>
      <c r="D325" s="3">
        <f t="shared" si="15"/>
        <v>0</v>
      </c>
      <c r="E325" s="3">
        <f>ROUND(Table157[[#This Row],[Beginning Balance]]*Table157[[#This Row],[Monthly Interest Rate]],2)</f>
        <v>0</v>
      </c>
      <c r="F325" s="3">
        <f t="shared" si="17"/>
        <v>-53</v>
      </c>
      <c r="G325" s="23">
        <f>IFERROR(IF($C$13="No","N/A",IF(Table157[[#This Row],[Period]]=1,$C$6,PMT(InterestRate*AmortizationMultiplier/12,Table157[[#This Row],[Am Thru]],-Table157[[#This Row],[Beginning Balance]]))),0)</f>
        <v>0</v>
      </c>
      <c r="H325" s="3">
        <f>MAX(0,IF(C325=$C$4,D325,ROUND(IF($C$3="Fixed Principal",$C$6-Table157[[#This Row],[Interest]],IF($C$3="Interest Only",Table157[[#This Row],[Beginning Balance]]*ROUND(1-(1-IF($C$11="No",$E$8,1))^(1/12),6),MIN(IF($C$13="Yes",Table157[[#This Row],[Payment Amount (Reamortized)]],$C$6)-Table157[[#This Row],[Interest]],Table157[[#This Row],[Beginning Balance]]))),2)))</f>
        <v>0</v>
      </c>
      <c r="I325" s="3">
        <f>_xlfn.SINGLE(IF($C$3="Line of Credit",0,ROUND(MAX(MIN(IF($C$10="No",$E$7,VLOOKUP(Table157[[#This Row],[Period]],Forecast!$H$2:$L$1048576,4,FALSE))*Table157[[#This Row],[Beginning Balance]],Table157[[#This Row],[Beginning Balance]]-Table157[[#This Row],[Principal]]),0),2)))</f>
        <v>0</v>
      </c>
      <c r="J325" s="3">
        <f>ROUND(MIN(Table157[[#This Row],[Beginning Balance]]*IF($C$8="No",$E$3,VLOOKUP(Table157[[#This Row],[Period]],Forecast!$H$2:$L$1048576,2,FALSE)),Table157[[#This Row],[Beginning Balance]]-Table157[[#This Row],[Principal]]-Table157[[#This Row],[Prepayments]]),2)</f>
        <v>0</v>
      </c>
      <c r="K325" s="3">
        <f>ROUND(Table157[[#This Row],[Defaulted Principal]]*IF($C$9="No",$E$4,VLOOKUP(Table157[[#This Row],[Period]],Forecast!$H$2:$L$1048576,3,FALSE)),2)</f>
        <v>0</v>
      </c>
      <c r="L325" s="2">
        <f>Table157[[#This Row],[Period]]+$E$9</f>
        <v>321</v>
      </c>
      <c r="M325" s="3">
        <f>Table157[[#This Row],[Defaulted Principal]]-Table157[[#This Row],[Estimated Loss]]</f>
        <v>0</v>
      </c>
      <c r="N325" s="3">
        <f>IFERROR(VLOOKUP(Table157[[#This Row],[Period]],$L$16:$M$385,2,FALSE),0)</f>
        <v>0</v>
      </c>
      <c r="O325" s="3">
        <f>Table157[[#This Row],[Beginning Balance]]-Table157[[#This Row],[Principal]]-Table157[[#This Row],[Prepayments]]-Table157[[#This Row],[Defaulted Principal]]</f>
        <v>0</v>
      </c>
      <c r="P325" s="3">
        <f>Table157[[#This Row],[Principal]]+Table157[[#This Row],[Interest]]+Table157[[#This Row],[Prepayments]]+Table157[[#This Row],[RecoveredAmount]]</f>
        <v>0</v>
      </c>
      <c r="Q325" s="3">
        <f ca="1">ROUND(Table157[[#This Row],[Cash Flow]]/((1+ActualRateToUse)^(IF(ISNUMBER(SEARCH("Actual",$C$7)),Table157[[#This Row],[Running Total]]/365,Table157[[#This Row],[Period]]/12))),2)</f>
        <v>0</v>
      </c>
      <c r="R325" s="2">
        <f>IF(MONTH(Table157[[#This Row],[Date]])=2,28,DAY(DATE(YEAR(Table157[[#This Row],[Date]]),MONTH(Table157[[#This Row],[Date]])+1,1)-1))</f>
        <v>31</v>
      </c>
      <c r="S325" s="2">
        <f ca="1">SUM(OFFSET(Table157[[#Headers],[Days in month]],1,0):Table157[[#This Row],[Days in month]])</f>
        <v>9399</v>
      </c>
      <c r="T325" s="37">
        <f>InterestRate*AmortizationMultiplier*IF(ISNUMBER(SEARCH("Actual",$C$7)),Table157[[#This Row],[Days in month]]/365,1/12)</f>
        <v>2.9708333333333331E-3</v>
      </c>
    </row>
    <row r="326" spans="2:20" x14ac:dyDescent="0.2">
      <c r="B326" s="1">
        <f t="shared" si="14"/>
        <v>55273</v>
      </c>
      <c r="C326" s="2">
        <f t="shared" si="16"/>
        <v>310</v>
      </c>
      <c r="D326" s="3">
        <f t="shared" si="15"/>
        <v>0</v>
      </c>
      <c r="E326" s="3">
        <f>ROUND(Table157[[#This Row],[Beginning Balance]]*Table157[[#This Row],[Monthly Interest Rate]],2)</f>
        <v>0</v>
      </c>
      <c r="F326" s="3">
        <f t="shared" si="17"/>
        <v>-54</v>
      </c>
      <c r="G326" s="23">
        <f>IFERROR(IF($C$13="No","N/A",IF(Table157[[#This Row],[Period]]=1,$C$6,PMT(InterestRate*AmortizationMultiplier/12,Table157[[#This Row],[Am Thru]],-Table157[[#This Row],[Beginning Balance]]))),0)</f>
        <v>0</v>
      </c>
      <c r="H326" s="3">
        <f>MAX(0,IF(C326=$C$4,D326,ROUND(IF($C$3="Fixed Principal",$C$6-Table157[[#This Row],[Interest]],IF($C$3="Interest Only",Table157[[#This Row],[Beginning Balance]]*ROUND(1-(1-IF($C$11="No",$E$8,1))^(1/12),6),MIN(IF($C$13="Yes",Table157[[#This Row],[Payment Amount (Reamortized)]],$C$6)-Table157[[#This Row],[Interest]],Table157[[#This Row],[Beginning Balance]]))),2)))</f>
        <v>0</v>
      </c>
      <c r="I326" s="3">
        <f>_xlfn.SINGLE(IF($C$3="Line of Credit",0,ROUND(MAX(MIN(IF($C$10="No",$E$7,VLOOKUP(Table157[[#This Row],[Period]],Forecast!$H$2:$L$1048576,4,FALSE))*Table157[[#This Row],[Beginning Balance]],Table157[[#This Row],[Beginning Balance]]-Table157[[#This Row],[Principal]]),0),2)))</f>
        <v>0</v>
      </c>
      <c r="J326" s="3">
        <f>ROUND(MIN(Table157[[#This Row],[Beginning Balance]]*IF($C$8="No",$E$3,VLOOKUP(Table157[[#This Row],[Period]],Forecast!$H$2:$L$1048576,2,FALSE)),Table157[[#This Row],[Beginning Balance]]-Table157[[#This Row],[Principal]]-Table157[[#This Row],[Prepayments]]),2)</f>
        <v>0</v>
      </c>
      <c r="K326" s="3">
        <f>ROUND(Table157[[#This Row],[Defaulted Principal]]*IF($C$9="No",$E$4,VLOOKUP(Table157[[#This Row],[Period]],Forecast!$H$2:$L$1048576,3,FALSE)),2)</f>
        <v>0</v>
      </c>
      <c r="L326" s="2">
        <f>Table157[[#This Row],[Period]]+$E$9</f>
        <v>322</v>
      </c>
      <c r="M326" s="3">
        <f>Table157[[#This Row],[Defaulted Principal]]-Table157[[#This Row],[Estimated Loss]]</f>
        <v>0</v>
      </c>
      <c r="N326" s="3">
        <f>IFERROR(VLOOKUP(Table157[[#This Row],[Period]],$L$16:$M$385,2,FALSE),0)</f>
        <v>0</v>
      </c>
      <c r="O326" s="3">
        <f>Table157[[#This Row],[Beginning Balance]]-Table157[[#This Row],[Principal]]-Table157[[#This Row],[Prepayments]]-Table157[[#This Row],[Defaulted Principal]]</f>
        <v>0</v>
      </c>
      <c r="P326" s="3">
        <f>Table157[[#This Row],[Principal]]+Table157[[#This Row],[Interest]]+Table157[[#This Row],[Prepayments]]+Table157[[#This Row],[RecoveredAmount]]</f>
        <v>0</v>
      </c>
      <c r="Q326" s="3">
        <f ca="1">ROUND(Table157[[#This Row],[Cash Flow]]/((1+ActualRateToUse)^(IF(ISNUMBER(SEARCH("Actual",$C$7)),Table157[[#This Row],[Running Total]]/365,Table157[[#This Row],[Period]]/12))),2)</f>
        <v>0</v>
      </c>
      <c r="R326" s="2">
        <f>IF(MONTH(Table157[[#This Row],[Date]])=2,28,DAY(DATE(YEAR(Table157[[#This Row],[Date]]),MONTH(Table157[[#This Row],[Date]])+1,1)-1))</f>
        <v>30</v>
      </c>
      <c r="S326" s="2">
        <f ca="1">SUM(OFFSET(Table157[[#Headers],[Days in month]],1,0):Table157[[#This Row],[Days in month]])</f>
        <v>9429</v>
      </c>
      <c r="T326" s="37">
        <f>InterestRate*AmortizationMultiplier*IF(ISNUMBER(SEARCH("Actual",$C$7)),Table157[[#This Row],[Days in month]]/365,1/12)</f>
        <v>2.8749999999999995E-3</v>
      </c>
    </row>
    <row r="327" spans="2:20" x14ac:dyDescent="0.2">
      <c r="B327" s="1">
        <f t="shared" si="14"/>
        <v>55304</v>
      </c>
      <c r="C327" s="2">
        <f t="shared" si="16"/>
        <v>311</v>
      </c>
      <c r="D327" s="3">
        <f t="shared" si="15"/>
        <v>0</v>
      </c>
      <c r="E327" s="3">
        <f>ROUND(Table157[[#This Row],[Beginning Balance]]*Table157[[#This Row],[Monthly Interest Rate]],2)</f>
        <v>0</v>
      </c>
      <c r="F327" s="3">
        <f t="shared" si="17"/>
        <v>-55</v>
      </c>
      <c r="G327" s="23">
        <f>IFERROR(IF($C$13="No","N/A",IF(Table157[[#This Row],[Period]]=1,$C$6,PMT(InterestRate*AmortizationMultiplier/12,Table157[[#This Row],[Am Thru]],-Table157[[#This Row],[Beginning Balance]]))),0)</f>
        <v>0</v>
      </c>
      <c r="H327" s="3">
        <f>MAX(0,IF(C327=$C$4,D327,ROUND(IF($C$3="Fixed Principal",$C$6-Table157[[#This Row],[Interest]],IF($C$3="Interest Only",Table157[[#This Row],[Beginning Balance]]*ROUND(1-(1-IF($C$11="No",$E$8,1))^(1/12),6),MIN(IF($C$13="Yes",Table157[[#This Row],[Payment Amount (Reamortized)]],$C$6)-Table157[[#This Row],[Interest]],Table157[[#This Row],[Beginning Balance]]))),2)))</f>
        <v>0</v>
      </c>
      <c r="I327" s="3">
        <f>_xlfn.SINGLE(IF($C$3="Line of Credit",0,ROUND(MAX(MIN(IF($C$10="No",$E$7,VLOOKUP(Table157[[#This Row],[Period]],Forecast!$H$2:$L$1048576,4,FALSE))*Table157[[#This Row],[Beginning Balance]],Table157[[#This Row],[Beginning Balance]]-Table157[[#This Row],[Principal]]),0),2)))</f>
        <v>0</v>
      </c>
      <c r="J327" s="3">
        <f>ROUND(MIN(Table157[[#This Row],[Beginning Balance]]*IF($C$8="No",$E$3,VLOOKUP(Table157[[#This Row],[Period]],Forecast!$H$2:$L$1048576,2,FALSE)),Table157[[#This Row],[Beginning Balance]]-Table157[[#This Row],[Principal]]-Table157[[#This Row],[Prepayments]]),2)</f>
        <v>0</v>
      </c>
      <c r="K327" s="3">
        <f>ROUND(Table157[[#This Row],[Defaulted Principal]]*IF($C$9="No",$E$4,VLOOKUP(Table157[[#This Row],[Period]],Forecast!$H$2:$L$1048576,3,FALSE)),2)</f>
        <v>0</v>
      </c>
      <c r="L327" s="2">
        <f>Table157[[#This Row],[Period]]+$E$9</f>
        <v>323</v>
      </c>
      <c r="M327" s="3">
        <f>Table157[[#This Row],[Defaulted Principal]]-Table157[[#This Row],[Estimated Loss]]</f>
        <v>0</v>
      </c>
      <c r="N327" s="3">
        <f>IFERROR(VLOOKUP(Table157[[#This Row],[Period]],$L$16:$M$385,2,FALSE),0)</f>
        <v>0</v>
      </c>
      <c r="O327" s="3">
        <f>Table157[[#This Row],[Beginning Balance]]-Table157[[#This Row],[Principal]]-Table157[[#This Row],[Prepayments]]-Table157[[#This Row],[Defaulted Principal]]</f>
        <v>0</v>
      </c>
      <c r="P327" s="3">
        <f>Table157[[#This Row],[Principal]]+Table157[[#This Row],[Interest]]+Table157[[#This Row],[Prepayments]]+Table157[[#This Row],[RecoveredAmount]]</f>
        <v>0</v>
      </c>
      <c r="Q327" s="3">
        <f ca="1">ROUND(Table157[[#This Row],[Cash Flow]]/((1+ActualRateToUse)^(IF(ISNUMBER(SEARCH("Actual",$C$7)),Table157[[#This Row],[Running Total]]/365,Table157[[#This Row],[Period]]/12))),2)</f>
        <v>0</v>
      </c>
      <c r="R327" s="2">
        <f>IF(MONTH(Table157[[#This Row],[Date]])=2,28,DAY(DATE(YEAR(Table157[[#This Row],[Date]]),MONTH(Table157[[#This Row],[Date]])+1,1)-1))</f>
        <v>31</v>
      </c>
      <c r="S327" s="2">
        <f ca="1">SUM(OFFSET(Table157[[#Headers],[Days in month]],1,0):Table157[[#This Row],[Days in month]])</f>
        <v>9460</v>
      </c>
      <c r="T327" s="37">
        <f>InterestRate*AmortizationMultiplier*IF(ISNUMBER(SEARCH("Actual",$C$7)),Table157[[#This Row],[Days in month]]/365,1/12)</f>
        <v>2.9708333333333331E-3</v>
      </c>
    </row>
    <row r="328" spans="2:20" x14ac:dyDescent="0.2">
      <c r="B328" s="1">
        <f t="shared" si="14"/>
        <v>55334</v>
      </c>
      <c r="C328" s="2">
        <f t="shared" si="16"/>
        <v>312</v>
      </c>
      <c r="D328" s="3">
        <f t="shared" si="15"/>
        <v>0</v>
      </c>
      <c r="E328" s="3">
        <f>ROUND(Table157[[#This Row],[Beginning Balance]]*Table157[[#This Row],[Monthly Interest Rate]],2)</f>
        <v>0</v>
      </c>
      <c r="F328" s="3">
        <f t="shared" si="17"/>
        <v>-56</v>
      </c>
      <c r="G328" s="23">
        <f>IFERROR(IF($C$13="No","N/A",IF(Table157[[#This Row],[Period]]=1,$C$6,PMT(InterestRate*AmortizationMultiplier/12,Table157[[#This Row],[Am Thru]],-Table157[[#This Row],[Beginning Balance]]))),0)</f>
        <v>0</v>
      </c>
      <c r="H328" s="3">
        <f>MAX(0,IF(C328=$C$4,D328,ROUND(IF($C$3="Fixed Principal",$C$6-Table157[[#This Row],[Interest]],IF($C$3="Interest Only",Table157[[#This Row],[Beginning Balance]]*ROUND(1-(1-IF($C$11="No",$E$8,1))^(1/12),6),MIN(IF($C$13="Yes",Table157[[#This Row],[Payment Amount (Reamortized)]],$C$6)-Table157[[#This Row],[Interest]],Table157[[#This Row],[Beginning Balance]]))),2)))</f>
        <v>0</v>
      </c>
      <c r="I328" s="3">
        <f>_xlfn.SINGLE(IF($C$3="Line of Credit",0,ROUND(MAX(MIN(IF($C$10="No",$E$7,VLOOKUP(Table157[[#This Row],[Period]],Forecast!$H$2:$L$1048576,4,FALSE))*Table157[[#This Row],[Beginning Balance]],Table157[[#This Row],[Beginning Balance]]-Table157[[#This Row],[Principal]]),0),2)))</f>
        <v>0</v>
      </c>
      <c r="J328" s="3">
        <f>ROUND(MIN(Table157[[#This Row],[Beginning Balance]]*IF($C$8="No",$E$3,VLOOKUP(Table157[[#This Row],[Period]],Forecast!$H$2:$L$1048576,2,FALSE)),Table157[[#This Row],[Beginning Balance]]-Table157[[#This Row],[Principal]]-Table157[[#This Row],[Prepayments]]),2)</f>
        <v>0</v>
      </c>
      <c r="K328" s="3">
        <f>ROUND(Table157[[#This Row],[Defaulted Principal]]*IF($C$9="No",$E$4,VLOOKUP(Table157[[#This Row],[Period]],Forecast!$H$2:$L$1048576,3,FALSE)),2)</f>
        <v>0</v>
      </c>
      <c r="L328" s="2">
        <f>Table157[[#This Row],[Period]]+$E$9</f>
        <v>324</v>
      </c>
      <c r="M328" s="3">
        <f>Table157[[#This Row],[Defaulted Principal]]-Table157[[#This Row],[Estimated Loss]]</f>
        <v>0</v>
      </c>
      <c r="N328" s="3">
        <f>IFERROR(VLOOKUP(Table157[[#This Row],[Period]],$L$16:$M$385,2,FALSE),0)</f>
        <v>0</v>
      </c>
      <c r="O328" s="3">
        <f>Table157[[#This Row],[Beginning Balance]]-Table157[[#This Row],[Principal]]-Table157[[#This Row],[Prepayments]]-Table157[[#This Row],[Defaulted Principal]]</f>
        <v>0</v>
      </c>
      <c r="P328" s="3">
        <f>Table157[[#This Row],[Principal]]+Table157[[#This Row],[Interest]]+Table157[[#This Row],[Prepayments]]+Table157[[#This Row],[RecoveredAmount]]</f>
        <v>0</v>
      </c>
      <c r="Q328" s="3">
        <f ca="1">ROUND(Table157[[#This Row],[Cash Flow]]/((1+ActualRateToUse)^(IF(ISNUMBER(SEARCH("Actual",$C$7)),Table157[[#This Row],[Running Total]]/365,Table157[[#This Row],[Period]]/12))),2)</f>
        <v>0</v>
      </c>
      <c r="R328" s="2">
        <f>IF(MONTH(Table157[[#This Row],[Date]])=2,28,DAY(DATE(YEAR(Table157[[#This Row],[Date]]),MONTH(Table157[[#This Row],[Date]])+1,1)-1))</f>
        <v>30</v>
      </c>
      <c r="S328" s="2">
        <f ca="1">SUM(OFFSET(Table157[[#Headers],[Days in month]],1,0):Table157[[#This Row],[Days in month]])</f>
        <v>9490</v>
      </c>
      <c r="T328" s="37">
        <f>InterestRate*AmortizationMultiplier*IF(ISNUMBER(SEARCH("Actual",$C$7)),Table157[[#This Row],[Days in month]]/365,1/12)</f>
        <v>2.8749999999999995E-3</v>
      </c>
    </row>
    <row r="329" spans="2:20" x14ac:dyDescent="0.2">
      <c r="B329" s="1">
        <f t="shared" si="14"/>
        <v>55365</v>
      </c>
      <c r="C329" s="2">
        <f t="shared" si="16"/>
        <v>313</v>
      </c>
      <c r="D329" s="3">
        <f t="shared" si="15"/>
        <v>0</v>
      </c>
      <c r="E329" s="3">
        <f>ROUND(Table157[[#This Row],[Beginning Balance]]*Table157[[#This Row],[Monthly Interest Rate]],2)</f>
        <v>0</v>
      </c>
      <c r="F329" s="3">
        <f t="shared" si="17"/>
        <v>-57</v>
      </c>
      <c r="G329" s="23">
        <f>IFERROR(IF($C$13="No","N/A",IF(Table157[[#This Row],[Period]]=1,$C$6,PMT(InterestRate*AmortizationMultiplier/12,Table157[[#This Row],[Am Thru]],-Table157[[#This Row],[Beginning Balance]]))),0)</f>
        <v>0</v>
      </c>
      <c r="H329" s="3">
        <f>MAX(0,IF(C329=$C$4,D329,ROUND(IF($C$3="Fixed Principal",$C$6-Table157[[#This Row],[Interest]],IF($C$3="Interest Only",Table157[[#This Row],[Beginning Balance]]*ROUND(1-(1-IF($C$11="No",$E$8,1))^(1/12),6),MIN(IF($C$13="Yes",Table157[[#This Row],[Payment Amount (Reamortized)]],$C$6)-Table157[[#This Row],[Interest]],Table157[[#This Row],[Beginning Balance]]))),2)))</f>
        <v>0</v>
      </c>
      <c r="I329" s="3">
        <f>_xlfn.SINGLE(IF($C$3="Line of Credit",0,ROUND(MAX(MIN(IF($C$10="No",$E$7,VLOOKUP(Table157[[#This Row],[Period]],Forecast!$H$2:$L$1048576,4,FALSE))*Table157[[#This Row],[Beginning Balance]],Table157[[#This Row],[Beginning Balance]]-Table157[[#This Row],[Principal]]),0),2)))</f>
        <v>0</v>
      </c>
      <c r="J329" s="3">
        <f>ROUND(MIN(Table157[[#This Row],[Beginning Balance]]*IF($C$8="No",$E$3,VLOOKUP(Table157[[#This Row],[Period]],Forecast!$H$2:$L$1048576,2,FALSE)),Table157[[#This Row],[Beginning Balance]]-Table157[[#This Row],[Principal]]-Table157[[#This Row],[Prepayments]]),2)</f>
        <v>0</v>
      </c>
      <c r="K329" s="3">
        <f>ROUND(Table157[[#This Row],[Defaulted Principal]]*IF($C$9="No",$E$4,VLOOKUP(Table157[[#This Row],[Period]],Forecast!$H$2:$L$1048576,3,FALSE)),2)</f>
        <v>0</v>
      </c>
      <c r="L329" s="2">
        <f>Table157[[#This Row],[Period]]+$E$9</f>
        <v>325</v>
      </c>
      <c r="M329" s="3">
        <f>Table157[[#This Row],[Defaulted Principal]]-Table157[[#This Row],[Estimated Loss]]</f>
        <v>0</v>
      </c>
      <c r="N329" s="3">
        <f>IFERROR(VLOOKUP(Table157[[#This Row],[Period]],$L$16:$M$385,2,FALSE),0)</f>
        <v>0</v>
      </c>
      <c r="O329" s="3">
        <f>Table157[[#This Row],[Beginning Balance]]-Table157[[#This Row],[Principal]]-Table157[[#This Row],[Prepayments]]-Table157[[#This Row],[Defaulted Principal]]</f>
        <v>0</v>
      </c>
      <c r="P329" s="3">
        <f>Table157[[#This Row],[Principal]]+Table157[[#This Row],[Interest]]+Table157[[#This Row],[Prepayments]]+Table157[[#This Row],[RecoveredAmount]]</f>
        <v>0</v>
      </c>
      <c r="Q329" s="3">
        <f ca="1">ROUND(Table157[[#This Row],[Cash Flow]]/((1+ActualRateToUse)^(IF(ISNUMBER(SEARCH("Actual",$C$7)),Table157[[#This Row],[Running Total]]/365,Table157[[#This Row],[Period]]/12))),2)</f>
        <v>0</v>
      </c>
      <c r="R329" s="2">
        <f>IF(MONTH(Table157[[#This Row],[Date]])=2,28,DAY(DATE(YEAR(Table157[[#This Row],[Date]]),MONTH(Table157[[#This Row],[Date]])+1,1)-1))</f>
        <v>31</v>
      </c>
      <c r="S329" s="2">
        <f ca="1">SUM(OFFSET(Table157[[#Headers],[Days in month]],1,0):Table157[[#This Row],[Days in month]])</f>
        <v>9521</v>
      </c>
      <c r="T329" s="37">
        <f>InterestRate*AmortizationMultiplier*IF(ISNUMBER(SEARCH("Actual",$C$7)),Table157[[#This Row],[Days in month]]/365,1/12)</f>
        <v>2.9708333333333331E-3</v>
      </c>
    </row>
    <row r="330" spans="2:20" x14ac:dyDescent="0.2">
      <c r="B330" s="1">
        <f t="shared" si="14"/>
        <v>55396</v>
      </c>
      <c r="C330" s="2">
        <f t="shared" si="16"/>
        <v>314</v>
      </c>
      <c r="D330" s="3">
        <f t="shared" si="15"/>
        <v>0</v>
      </c>
      <c r="E330" s="3">
        <f>ROUND(Table157[[#This Row],[Beginning Balance]]*Table157[[#This Row],[Monthly Interest Rate]],2)</f>
        <v>0</v>
      </c>
      <c r="F330" s="3">
        <f t="shared" si="17"/>
        <v>-58</v>
      </c>
      <c r="G330" s="23">
        <f>IFERROR(IF($C$13="No","N/A",IF(Table157[[#This Row],[Period]]=1,$C$6,PMT(InterestRate*AmortizationMultiplier/12,Table157[[#This Row],[Am Thru]],-Table157[[#This Row],[Beginning Balance]]))),0)</f>
        <v>0</v>
      </c>
      <c r="H330" s="3">
        <f>MAX(0,IF(C330=$C$4,D330,ROUND(IF($C$3="Fixed Principal",$C$6-Table157[[#This Row],[Interest]],IF($C$3="Interest Only",Table157[[#This Row],[Beginning Balance]]*ROUND(1-(1-IF($C$11="No",$E$8,1))^(1/12),6),MIN(IF($C$13="Yes",Table157[[#This Row],[Payment Amount (Reamortized)]],$C$6)-Table157[[#This Row],[Interest]],Table157[[#This Row],[Beginning Balance]]))),2)))</f>
        <v>0</v>
      </c>
      <c r="I330" s="3">
        <f>_xlfn.SINGLE(IF($C$3="Line of Credit",0,ROUND(MAX(MIN(IF($C$10="No",$E$7,VLOOKUP(Table157[[#This Row],[Period]],Forecast!$H$2:$L$1048576,4,FALSE))*Table157[[#This Row],[Beginning Balance]],Table157[[#This Row],[Beginning Balance]]-Table157[[#This Row],[Principal]]),0),2)))</f>
        <v>0</v>
      </c>
      <c r="J330" s="3">
        <f>ROUND(MIN(Table157[[#This Row],[Beginning Balance]]*IF($C$8="No",$E$3,VLOOKUP(Table157[[#This Row],[Period]],Forecast!$H$2:$L$1048576,2,FALSE)),Table157[[#This Row],[Beginning Balance]]-Table157[[#This Row],[Principal]]-Table157[[#This Row],[Prepayments]]),2)</f>
        <v>0</v>
      </c>
      <c r="K330" s="3">
        <f>ROUND(Table157[[#This Row],[Defaulted Principal]]*IF($C$9="No",$E$4,VLOOKUP(Table157[[#This Row],[Period]],Forecast!$H$2:$L$1048576,3,FALSE)),2)</f>
        <v>0</v>
      </c>
      <c r="L330" s="2">
        <f>Table157[[#This Row],[Period]]+$E$9</f>
        <v>326</v>
      </c>
      <c r="M330" s="3">
        <f>Table157[[#This Row],[Defaulted Principal]]-Table157[[#This Row],[Estimated Loss]]</f>
        <v>0</v>
      </c>
      <c r="N330" s="3">
        <f>IFERROR(VLOOKUP(Table157[[#This Row],[Period]],$L$16:$M$385,2,FALSE),0)</f>
        <v>0</v>
      </c>
      <c r="O330" s="3">
        <f>Table157[[#This Row],[Beginning Balance]]-Table157[[#This Row],[Principal]]-Table157[[#This Row],[Prepayments]]-Table157[[#This Row],[Defaulted Principal]]</f>
        <v>0</v>
      </c>
      <c r="P330" s="3">
        <f>Table157[[#This Row],[Principal]]+Table157[[#This Row],[Interest]]+Table157[[#This Row],[Prepayments]]+Table157[[#This Row],[RecoveredAmount]]</f>
        <v>0</v>
      </c>
      <c r="Q330" s="3">
        <f ca="1">ROUND(Table157[[#This Row],[Cash Flow]]/((1+ActualRateToUse)^(IF(ISNUMBER(SEARCH("Actual",$C$7)),Table157[[#This Row],[Running Total]]/365,Table157[[#This Row],[Period]]/12))),2)</f>
        <v>0</v>
      </c>
      <c r="R330" s="2">
        <f>IF(MONTH(Table157[[#This Row],[Date]])=2,28,DAY(DATE(YEAR(Table157[[#This Row],[Date]]),MONTH(Table157[[#This Row],[Date]])+1,1)-1))</f>
        <v>31</v>
      </c>
      <c r="S330" s="2">
        <f ca="1">SUM(OFFSET(Table157[[#Headers],[Days in month]],1,0):Table157[[#This Row],[Days in month]])</f>
        <v>9552</v>
      </c>
      <c r="T330" s="37">
        <f>InterestRate*AmortizationMultiplier*IF(ISNUMBER(SEARCH("Actual",$C$7)),Table157[[#This Row],[Days in month]]/365,1/12)</f>
        <v>2.9708333333333331E-3</v>
      </c>
    </row>
    <row r="331" spans="2:20" x14ac:dyDescent="0.2">
      <c r="B331" s="1">
        <f t="shared" ref="B331:B385" si="18">EOMONTH(B330,1)</f>
        <v>55426</v>
      </c>
      <c r="C331" s="2">
        <f t="shared" si="16"/>
        <v>315</v>
      </c>
      <c r="D331" s="3">
        <f t="shared" si="15"/>
        <v>0</v>
      </c>
      <c r="E331" s="3">
        <f>ROUND(Table157[[#This Row],[Beginning Balance]]*Table157[[#This Row],[Monthly Interest Rate]],2)</f>
        <v>0</v>
      </c>
      <c r="F331" s="3">
        <f t="shared" si="17"/>
        <v>-59</v>
      </c>
      <c r="G331" s="23">
        <f>IFERROR(IF($C$13="No","N/A",IF(Table157[[#This Row],[Period]]=1,$C$6,PMT(InterestRate*AmortizationMultiplier/12,Table157[[#This Row],[Am Thru]],-Table157[[#This Row],[Beginning Balance]]))),0)</f>
        <v>0</v>
      </c>
      <c r="H331" s="3">
        <f>MAX(0,IF(C331=$C$4,D331,ROUND(IF($C$3="Fixed Principal",$C$6-Table157[[#This Row],[Interest]],IF($C$3="Interest Only",Table157[[#This Row],[Beginning Balance]]*ROUND(1-(1-IF($C$11="No",$E$8,1))^(1/12),6),MIN(IF($C$13="Yes",Table157[[#This Row],[Payment Amount (Reamortized)]],$C$6)-Table157[[#This Row],[Interest]],Table157[[#This Row],[Beginning Balance]]))),2)))</f>
        <v>0</v>
      </c>
      <c r="I331" s="3">
        <f>_xlfn.SINGLE(IF($C$3="Line of Credit",0,ROUND(MAX(MIN(IF($C$10="No",$E$7,VLOOKUP(Table157[[#This Row],[Period]],Forecast!$H$2:$L$1048576,4,FALSE))*Table157[[#This Row],[Beginning Balance]],Table157[[#This Row],[Beginning Balance]]-Table157[[#This Row],[Principal]]),0),2)))</f>
        <v>0</v>
      </c>
      <c r="J331" s="3">
        <f>ROUND(MIN(Table157[[#This Row],[Beginning Balance]]*IF($C$8="No",$E$3,VLOOKUP(Table157[[#This Row],[Period]],Forecast!$H$2:$L$1048576,2,FALSE)),Table157[[#This Row],[Beginning Balance]]-Table157[[#This Row],[Principal]]-Table157[[#This Row],[Prepayments]]),2)</f>
        <v>0</v>
      </c>
      <c r="K331" s="3">
        <f>ROUND(Table157[[#This Row],[Defaulted Principal]]*IF($C$9="No",$E$4,VLOOKUP(Table157[[#This Row],[Period]],Forecast!$H$2:$L$1048576,3,FALSE)),2)</f>
        <v>0</v>
      </c>
      <c r="L331" s="2">
        <f>Table157[[#This Row],[Period]]+$E$9</f>
        <v>327</v>
      </c>
      <c r="M331" s="3">
        <f>Table157[[#This Row],[Defaulted Principal]]-Table157[[#This Row],[Estimated Loss]]</f>
        <v>0</v>
      </c>
      <c r="N331" s="3">
        <f>IFERROR(VLOOKUP(Table157[[#This Row],[Period]],$L$16:$M$385,2,FALSE),0)</f>
        <v>0</v>
      </c>
      <c r="O331" s="3">
        <f>Table157[[#This Row],[Beginning Balance]]-Table157[[#This Row],[Principal]]-Table157[[#This Row],[Prepayments]]-Table157[[#This Row],[Defaulted Principal]]</f>
        <v>0</v>
      </c>
      <c r="P331" s="3">
        <f>Table157[[#This Row],[Principal]]+Table157[[#This Row],[Interest]]+Table157[[#This Row],[Prepayments]]+Table157[[#This Row],[RecoveredAmount]]</f>
        <v>0</v>
      </c>
      <c r="Q331" s="3">
        <f ca="1">ROUND(Table157[[#This Row],[Cash Flow]]/((1+ActualRateToUse)^(IF(ISNUMBER(SEARCH("Actual",$C$7)),Table157[[#This Row],[Running Total]]/365,Table157[[#This Row],[Period]]/12))),2)</f>
        <v>0</v>
      </c>
      <c r="R331" s="2">
        <f>IF(MONTH(Table157[[#This Row],[Date]])=2,28,DAY(DATE(YEAR(Table157[[#This Row],[Date]]),MONTH(Table157[[#This Row],[Date]])+1,1)-1))</f>
        <v>30</v>
      </c>
      <c r="S331" s="2">
        <f ca="1">SUM(OFFSET(Table157[[#Headers],[Days in month]],1,0):Table157[[#This Row],[Days in month]])</f>
        <v>9582</v>
      </c>
      <c r="T331" s="37">
        <f>InterestRate*AmortizationMultiplier*IF(ISNUMBER(SEARCH("Actual",$C$7)),Table157[[#This Row],[Days in month]]/365,1/12)</f>
        <v>2.8749999999999995E-3</v>
      </c>
    </row>
    <row r="332" spans="2:20" x14ac:dyDescent="0.2">
      <c r="B332" s="1">
        <f t="shared" si="18"/>
        <v>55457</v>
      </c>
      <c r="C332" s="2">
        <f t="shared" si="16"/>
        <v>316</v>
      </c>
      <c r="D332" s="3">
        <f t="shared" si="15"/>
        <v>0</v>
      </c>
      <c r="E332" s="3">
        <f>ROUND(Table157[[#This Row],[Beginning Balance]]*Table157[[#This Row],[Monthly Interest Rate]],2)</f>
        <v>0</v>
      </c>
      <c r="F332" s="3">
        <f t="shared" si="17"/>
        <v>-60</v>
      </c>
      <c r="G332" s="23">
        <f>IFERROR(IF($C$13="No","N/A",IF(Table157[[#This Row],[Period]]=1,$C$6,PMT(InterestRate*AmortizationMultiplier/12,Table157[[#This Row],[Am Thru]],-Table157[[#This Row],[Beginning Balance]]))),0)</f>
        <v>0</v>
      </c>
      <c r="H332" s="3">
        <f>MAX(0,IF(C332=$C$4,D332,ROUND(IF($C$3="Fixed Principal",$C$6-Table157[[#This Row],[Interest]],IF($C$3="Interest Only",Table157[[#This Row],[Beginning Balance]]*ROUND(1-(1-IF($C$11="No",$E$8,1))^(1/12),6),MIN(IF($C$13="Yes",Table157[[#This Row],[Payment Amount (Reamortized)]],$C$6)-Table157[[#This Row],[Interest]],Table157[[#This Row],[Beginning Balance]]))),2)))</f>
        <v>0</v>
      </c>
      <c r="I332" s="3">
        <f>_xlfn.SINGLE(IF($C$3="Line of Credit",0,ROUND(MAX(MIN(IF($C$10="No",$E$7,VLOOKUP(Table157[[#This Row],[Period]],Forecast!$H$2:$L$1048576,4,FALSE))*Table157[[#This Row],[Beginning Balance]],Table157[[#This Row],[Beginning Balance]]-Table157[[#This Row],[Principal]]),0),2)))</f>
        <v>0</v>
      </c>
      <c r="J332" s="3">
        <f>ROUND(MIN(Table157[[#This Row],[Beginning Balance]]*IF($C$8="No",$E$3,VLOOKUP(Table157[[#This Row],[Period]],Forecast!$H$2:$L$1048576,2,FALSE)),Table157[[#This Row],[Beginning Balance]]-Table157[[#This Row],[Principal]]-Table157[[#This Row],[Prepayments]]),2)</f>
        <v>0</v>
      </c>
      <c r="K332" s="3">
        <f>ROUND(Table157[[#This Row],[Defaulted Principal]]*IF($C$9="No",$E$4,VLOOKUP(Table157[[#This Row],[Period]],Forecast!$H$2:$L$1048576,3,FALSE)),2)</f>
        <v>0</v>
      </c>
      <c r="L332" s="2">
        <f>Table157[[#This Row],[Period]]+$E$9</f>
        <v>328</v>
      </c>
      <c r="M332" s="3">
        <f>Table157[[#This Row],[Defaulted Principal]]-Table157[[#This Row],[Estimated Loss]]</f>
        <v>0</v>
      </c>
      <c r="N332" s="3">
        <f>IFERROR(VLOOKUP(Table157[[#This Row],[Period]],$L$16:$M$385,2,FALSE),0)</f>
        <v>0</v>
      </c>
      <c r="O332" s="3">
        <f>Table157[[#This Row],[Beginning Balance]]-Table157[[#This Row],[Principal]]-Table157[[#This Row],[Prepayments]]-Table157[[#This Row],[Defaulted Principal]]</f>
        <v>0</v>
      </c>
      <c r="P332" s="3">
        <f>Table157[[#This Row],[Principal]]+Table157[[#This Row],[Interest]]+Table157[[#This Row],[Prepayments]]+Table157[[#This Row],[RecoveredAmount]]</f>
        <v>0</v>
      </c>
      <c r="Q332" s="3">
        <f ca="1">ROUND(Table157[[#This Row],[Cash Flow]]/((1+ActualRateToUse)^(IF(ISNUMBER(SEARCH("Actual",$C$7)),Table157[[#This Row],[Running Total]]/365,Table157[[#This Row],[Period]]/12))),2)</f>
        <v>0</v>
      </c>
      <c r="R332" s="2">
        <f>IF(MONTH(Table157[[#This Row],[Date]])=2,28,DAY(DATE(YEAR(Table157[[#This Row],[Date]]),MONTH(Table157[[#This Row],[Date]])+1,1)-1))</f>
        <v>31</v>
      </c>
      <c r="S332" s="2">
        <f ca="1">SUM(OFFSET(Table157[[#Headers],[Days in month]],1,0):Table157[[#This Row],[Days in month]])</f>
        <v>9613</v>
      </c>
      <c r="T332" s="37">
        <f>InterestRate*AmortizationMultiplier*IF(ISNUMBER(SEARCH("Actual",$C$7)),Table157[[#This Row],[Days in month]]/365,1/12)</f>
        <v>2.9708333333333331E-3</v>
      </c>
    </row>
    <row r="333" spans="2:20" x14ac:dyDescent="0.2">
      <c r="B333" s="1">
        <f t="shared" si="18"/>
        <v>55487</v>
      </c>
      <c r="C333" s="2">
        <f t="shared" si="16"/>
        <v>317</v>
      </c>
      <c r="D333" s="3">
        <f t="shared" si="15"/>
        <v>0</v>
      </c>
      <c r="E333" s="3">
        <f>ROUND(Table157[[#This Row],[Beginning Balance]]*Table157[[#This Row],[Monthly Interest Rate]],2)</f>
        <v>0</v>
      </c>
      <c r="F333" s="3">
        <f t="shared" si="17"/>
        <v>-61</v>
      </c>
      <c r="G333" s="23">
        <f>IFERROR(IF($C$13="No","N/A",IF(Table157[[#This Row],[Period]]=1,$C$6,PMT(InterestRate*AmortizationMultiplier/12,Table157[[#This Row],[Am Thru]],-Table157[[#This Row],[Beginning Balance]]))),0)</f>
        <v>0</v>
      </c>
      <c r="H333" s="3">
        <f>MAX(0,IF(C333=$C$4,D333,ROUND(IF($C$3="Fixed Principal",$C$6-Table157[[#This Row],[Interest]],IF($C$3="Interest Only",Table157[[#This Row],[Beginning Balance]]*ROUND(1-(1-IF($C$11="No",$E$8,1))^(1/12),6),MIN(IF($C$13="Yes",Table157[[#This Row],[Payment Amount (Reamortized)]],$C$6)-Table157[[#This Row],[Interest]],Table157[[#This Row],[Beginning Balance]]))),2)))</f>
        <v>0</v>
      </c>
      <c r="I333" s="3">
        <f>_xlfn.SINGLE(IF($C$3="Line of Credit",0,ROUND(MAX(MIN(IF($C$10="No",$E$7,VLOOKUP(Table157[[#This Row],[Period]],Forecast!$H$2:$L$1048576,4,FALSE))*Table157[[#This Row],[Beginning Balance]],Table157[[#This Row],[Beginning Balance]]-Table157[[#This Row],[Principal]]),0),2)))</f>
        <v>0</v>
      </c>
      <c r="J333" s="3">
        <f>ROUND(MIN(Table157[[#This Row],[Beginning Balance]]*IF($C$8="No",$E$3,VLOOKUP(Table157[[#This Row],[Period]],Forecast!$H$2:$L$1048576,2,FALSE)),Table157[[#This Row],[Beginning Balance]]-Table157[[#This Row],[Principal]]-Table157[[#This Row],[Prepayments]]),2)</f>
        <v>0</v>
      </c>
      <c r="K333" s="3">
        <f>ROUND(Table157[[#This Row],[Defaulted Principal]]*IF($C$9="No",$E$4,VLOOKUP(Table157[[#This Row],[Period]],Forecast!$H$2:$L$1048576,3,FALSE)),2)</f>
        <v>0</v>
      </c>
      <c r="L333" s="2">
        <f>Table157[[#This Row],[Period]]+$E$9</f>
        <v>329</v>
      </c>
      <c r="M333" s="3">
        <f>Table157[[#This Row],[Defaulted Principal]]-Table157[[#This Row],[Estimated Loss]]</f>
        <v>0</v>
      </c>
      <c r="N333" s="3">
        <f>IFERROR(VLOOKUP(Table157[[#This Row],[Period]],$L$16:$M$385,2,FALSE),0)</f>
        <v>0</v>
      </c>
      <c r="O333" s="3">
        <f>Table157[[#This Row],[Beginning Balance]]-Table157[[#This Row],[Principal]]-Table157[[#This Row],[Prepayments]]-Table157[[#This Row],[Defaulted Principal]]</f>
        <v>0</v>
      </c>
      <c r="P333" s="3">
        <f>Table157[[#This Row],[Principal]]+Table157[[#This Row],[Interest]]+Table157[[#This Row],[Prepayments]]+Table157[[#This Row],[RecoveredAmount]]</f>
        <v>0</v>
      </c>
      <c r="Q333" s="3">
        <f ca="1">ROUND(Table157[[#This Row],[Cash Flow]]/((1+ActualRateToUse)^(IF(ISNUMBER(SEARCH("Actual",$C$7)),Table157[[#This Row],[Running Total]]/365,Table157[[#This Row],[Period]]/12))),2)</f>
        <v>0</v>
      </c>
      <c r="R333" s="2">
        <f>IF(MONTH(Table157[[#This Row],[Date]])=2,28,DAY(DATE(YEAR(Table157[[#This Row],[Date]]),MONTH(Table157[[#This Row],[Date]])+1,1)-1))</f>
        <v>30</v>
      </c>
      <c r="S333" s="2">
        <f ca="1">SUM(OFFSET(Table157[[#Headers],[Days in month]],1,0):Table157[[#This Row],[Days in month]])</f>
        <v>9643</v>
      </c>
      <c r="T333" s="37">
        <f>InterestRate*AmortizationMultiplier*IF(ISNUMBER(SEARCH("Actual",$C$7)),Table157[[#This Row],[Days in month]]/365,1/12)</f>
        <v>2.8749999999999995E-3</v>
      </c>
    </row>
    <row r="334" spans="2:20" x14ac:dyDescent="0.2">
      <c r="B334" s="1">
        <f t="shared" si="18"/>
        <v>55518</v>
      </c>
      <c r="C334" s="2">
        <f t="shared" si="16"/>
        <v>318</v>
      </c>
      <c r="D334" s="3">
        <f t="shared" si="15"/>
        <v>0</v>
      </c>
      <c r="E334" s="3">
        <f>ROUND(Table157[[#This Row],[Beginning Balance]]*Table157[[#This Row],[Monthly Interest Rate]],2)</f>
        <v>0</v>
      </c>
      <c r="F334" s="3">
        <f t="shared" si="17"/>
        <v>-62</v>
      </c>
      <c r="G334" s="23">
        <f>IFERROR(IF($C$13="No","N/A",IF(Table157[[#This Row],[Period]]=1,$C$6,PMT(InterestRate*AmortizationMultiplier/12,Table157[[#This Row],[Am Thru]],-Table157[[#This Row],[Beginning Balance]]))),0)</f>
        <v>0</v>
      </c>
      <c r="H334" s="3">
        <f>MAX(0,IF(C334=$C$4,D334,ROUND(IF($C$3="Fixed Principal",$C$6-Table157[[#This Row],[Interest]],IF($C$3="Interest Only",Table157[[#This Row],[Beginning Balance]]*ROUND(1-(1-IF($C$11="No",$E$8,1))^(1/12),6),MIN(IF($C$13="Yes",Table157[[#This Row],[Payment Amount (Reamortized)]],$C$6)-Table157[[#This Row],[Interest]],Table157[[#This Row],[Beginning Balance]]))),2)))</f>
        <v>0</v>
      </c>
      <c r="I334" s="3">
        <f>_xlfn.SINGLE(IF($C$3="Line of Credit",0,ROUND(MAX(MIN(IF($C$10="No",$E$7,VLOOKUP(Table157[[#This Row],[Period]],Forecast!$H$2:$L$1048576,4,FALSE))*Table157[[#This Row],[Beginning Balance]],Table157[[#This Row],[Beginning Balance]]-Table157[[#This Row],[Principal]]),0),2)))</f>
        <v>0</v>
      </c>
      <c r="J334" s="3">
        <f>ROUND(MIN(Table157[[#This Row],[Beginning Balance]]*IF($C$8="No",$E$3,VLOOKUP(Table157[[#This Row],[Period]],Forecast!$H$2:$L$1048576,2,FALSE)),Table157[[#This Row],[Beginning Balance]]-Table157[[#This Row],[Principal]]-Table157[[#This Row],[Prepayments]]),2)</f>
        <v>0</v>
      </c>
      <c r="K334" s="3">
        <f>ROUND(Table157[[#This Row],[Defaulted Principal]]*IF($C$9="No",$E$4,VLOOKUP(Table157[[#This Row],[Period]],Forecast!$H$2:$L$1048576,3,FALSE)),2)</f>
        <v>0</v>
      </c>
      <c r="L334" s="2">
        <f>Table157[[#This Row],[Period]]+$E$9</f>
        <v>330</v>
      </c>
      <c r="M334" s="3">
        <f>Table157[[#This Row],[Defaulted Principal]]-Table157[[#This Row],[Estimated Loss]]</f>
        <v>0</v>
      </c>
      <c r="N334" s="3">
        <f>IFERROR(VLOOKUP(Table157[[#This Row],[Period]],$L$16:$M$385,2,FALSE),0)</f>
        <v>0</v>
      </c>
      <c r="O334" s="3">
        <f>Table157[[#This Row],[Beginning Balance]]-Table157[[#This Row],[Principal]]-Table157[[#This Row],[Prepayments]]-Table157[[#This Row],[Defaulted Principal]]</f>
        <v>0</v>
      </c>
      <c r="P334" s="3">
        <f>Table157[[#This Row],[Principal]]+Table157[[#This Row],[Interest]]+Table157[[#This Row],[Prepayments]]+Table157[[#This Row],[RecoveredAmount]]</f>
        <v>0</v>
      </c>
      <c r="Q334" s="3">
        <f ca="1">ROUND(Table157[[#This Row],[Cash Flow]]/((1+ActualRateToUse)^(IF(ISNUMBER(SEARCH("Actual",$C$7)),Table157[[#This Row],[Running Total]]/365,Table157[[#This Row],[Period]]/12))),2)</f>
        <v>0</v>
      </c>
      <c r="R334" s="2">
        <f>IF(MONTH(Table157[[#This Row],[Date]])=2,28,DAY(DATE(YEAR(Table157[[#This Row],[Date]]),MONTH(Table157[[#This Row],[Date]])+1,1)-1))</f>
        <v>31</v>
      </c>
      <c r="S334" s="2">
        <f ca="1">SUM(OFFSET(Table157[[#Headers],[Days in month]],1,0):Table157[[#This Row],[Days in month]])</f>
        <v>9674</v>
      </c>
      <c r="T334" s="37">
        <f>InterestRate*AmortizationMultiplier*IF(ISNUMBER(SEARCH("Actual",$C$7)),Table157[[#This Row],[Days in month]]/365,1/12)</f>
        <v>2.9708333333333331E-3</v>
      </c>
    </row>
    <row r="335" spans="2:20" x14ac:dyDescent="0.2">
      <c r="B335" s="1">
        <f t="shared" si="18"/>
        <v>55549</v>
      </c>
      <c r="C335" s="2">
        <f t="shared" si="16"/>
        <v>319</v>
      </c>
      <c r="D335" s="3">
        <f t="shared" si="15"/>
        <v>0</v>
      </c>
      <c r="E335" s="3">
        <f>ROUND(Table157[[#This Row],[Beginning Balance]]*Table157[[#This Row],[Monthly Interest Rate]],2)</f>
        <v>0</v>
      </c>
      <c r="F335" s="3">
        <f t="shared" si="17"/>
        <v>-63</v>
      </c>
      <c r="G335" s="23">
        <f>IFERROR(IF($C$13="No","N/A",IF(Table157[[#This Row],[Period]]=1,$C$6,PMT(InterestRate*AmortizationMultiplier/12,Table157[[#This Row],[Am Thru]],-Table157[[#This Row],[Beginning Balance]]))),0)</f>
        <v>0</v>
      </c>
      <c r="H335" s="3">
        <f>MAX(0,IF(C335=$C$4,D335,ROUND(IF($C$3="Fixed Principal",$C$6-Table157[[#This Row],[Interest]],IF($C$3="Interest Only",Table157[[#This Row],[Beginning Balance]]*ROUND(1-(1-IF($C$11="No",$E$8,1))^(1/12),6),MIN(IF($C$13="Yes",Table157[[#This Row],[Payment Amount (Reamortized)]],$C$6)-Table157[[#This Row],[Interest]],Table157[[#This Row],[Beginning Balance]]))),2)))</f>
        <v>0</v>
      </c>
      <c r="I335" s="3">
        <f>_xlfn.SINGLE(IF($C$3="Line of Credit",0,ROUND(MAX(MIN(IF($C$10="No",$E$7,VLOOKUP(Table157[[#This Row],[Period]],Forecast!$H$2:$L$1048576,4,FALSE))*Table157[[#This Row],[Beginning Balance]],Table157[[#This Row],[Beginning Balance]]-Table157[[#This Row],[Principal]]),0),2)))</f>
        <v>0</v>
      </c>
      <c r="J335" s="3">
        <f>ROUND(MIN(Table157[[#This Row],[Beginning Balance]]*IF($C$8="No",$E$3,VLOOKUP(Table157[[#This Row],[Period]],Forecast!$H$2:$L$1048576,2,FALSE)),Table157[[#This Row],[Beginning Balance]]-Table157[[#This Row],[Principal]]-Table157[[#This Row],[Prepayments]]),2)</f>
        <v>0</v>
      </c>
      <c r="K335" s="3">
        <f>ROUND(Table157[[#This Row],[Defaulted Principal]]*IF($C$9="No",$E$4,VLOOKUP(Table157[[#This Row],[Period]],Forecast!$H$2:$L$1048576,3,FALSE)),2)</f>
        <v>0</v>
      </c>
      <c r="L335" s="2">
        <f>Table157[[#This Row],[Period]]+$E$9</f>
        <v>331</v>
      </c>
      <c r="M335" s="3">
        <f>Table157[[#This Row],[Defaulted Principal]]-Table157[[#This Row],[Estimated Loss]]</f>
        <v>0</v>
      </c>
      <c r="N335" s="3">
        <f>IFERROR(VLOOKUP(Table157[[#This Row],[Period]],$L$16:$M$385,2,FALSE),0)</f>
        <v>0</v>
      </c>
      <c r="O335" s="3">
        <f>Table157[[#This Row],[Beginning Balance]]-Table157[[#This Row],[Principal]]-Table157[[#This Row],[Prepayments]]-Table157[[#This Row],[Defaulted Principal]]</f>
        <v>0</v>
      </c>
      <c r="P335" s="3">
        <f>Table157[[#This Row],[Principal]]+Table157[[#This Row],[Interest]]+Table157[[#This Row],[Prepayments]]+Table157[[#This Row],[RecoveredAmount]]</f>
        <v>0</v>
      </c>
      <c r="Q335" s="3">
        <f ca="1">ROUND(Table157[[#This Row],[Cash Flow]]/((1+ActualRateToUse)^(IF(ISNUMBER(SEARCH("Actual",$C$7)),Table157[[#This Row],[Running Total]]/365,Table157[[#This Row],[Period]]/12))),2)</f>
        <v>0</v>
      </c>
      <c r="R335" s="2">
        <f>IF(MONTH(Table157[[#This Row],[Date]])=2,28,DAY(DATE(YEAR(Table157[[#This Row],[Date]]),MONTH(Table157[[#This Row],[Date]])+1,1)-1))</f>
        <v>31</v>
      </c>
      <c r="S335" s="2">
        <f ca="1">SUM(OFFSET(Table157[[#Headers],[Days in month]],1,0):Table157[[#This Row],[Days in month]])</f>
        <v>9705</v>
      </c>
      <c r="T335" s="37">
        <f>InterestRate*AmortizationMultiplier*IF(ISNUMBER(SEARCH("Actual",$C$7)),Table157[[#This Row],[Days in month]]/365,1/12)</f>
        <v>2.9708333333333331E-3</v>
      </c>
    </row>
    <row r="336" spans="2:20" x14ac:dyDescent="0.2">
      <c r="B336" s="1">
        <f t="shared" si="18"/>
        <v>55578</v>
      </c>
      <c r="C336" s="2">
        <f t="shared" si="16"/>
        <v>320</v>
      </c>
      <c r="D336" s="3">
        <f t="shared" si="15"/>
        <v>0</v>
      </c>
      <c r="E336" s="3">
        <f>ROUND(Table157[[#This Row],[Beginning Balance]]*Table157[[#This Row],[Monthly Interest Rate]],2)</f>
        <v>0</v>
      </c>
      <c r="F336" s="3">
        <f t="shared" si="17"/>
        <v>-64</v>
      </c>
      <c r="G336" s="23">
        <f>IFERROR(IF($C$13="No","N/A",IF(Table157[[#This Row],[Period]]=1,$C$6,PMT(InterestRate*AmortizationMultiplier/12,Table157[[#This Row],[Am Thru]],-Table157[[#This Row],[Beginning Balance]]))),0)</f>
        <v>0</v>
      </c>
      <c r="H336" s="3">
        <f>MAX(0,IF(C336=$C$4,D336,ROUND(IF($C$3="Fixed Principal",$C$6-Table157[[#This Row],[Interest]],IF($C$3="Interest Only",Table157[[#This Row],[Beginning Balance]]*ROUND(1-(1-IF($C$11="No",$E$8,1))^(1/12),6),MIN(IF($C$13="Yes",Table157[[#This Row],[Payment Amount (Reamortized)]],$C$6)-Table157[[#This Row],[Interest]],Table157[[#This Row],[Beginning Balance]]))),2)))</f>
        <v>0</v>
      </c>
      <c r="I336" s="3">
        <f>_xlfn.SINGLE(IF($C$3="Line of Credit",0,ROUND(MAX(MIN(IF($C$10="No",$E$7,VLOOKUP(Table157[[#This Row],[Period]],Forecast!$H$2:$L$1048576,4,FALSE))*Table157[[#This Row],[Beginning Balance]],Table157[[#This Row],[Beginning Balance]]-Table157[[#This Row],[Principal]]),0),2)))</f>
        <v>0</v>
      </c>
      <c r="J336" s="3">
        <f>ROUND(MIN(Table157[[#This Row],[Beginning Balance]]*IF($C$8="No",$E$3,VLOOKUP(Table157[[#This Row],[Period]],Forecast!$H$2:$L$1048576,2,FALSE)),Table157[[#This Row],[Beginning Balance]]-Table157[[#This Row],[Principal]]-Table157[[#This Row],[Prepayments]]),2)</f>
        <v>0</v>
      </c>
      <c r="K336" s="3">
        <f>ROUND(Table157[[#This Row],[Defaulted Principal]]*IF($C$9="No",$E$4,VLOOKUP(Table157[[#This Row],[Period]],Forecast!$H$2:$L$1048576,3,FALSE)),2)</f>
        <v>0</v>
      </c>
      <c r="L336" s="2">
        <f>Table157[[#This Row],[Period]]+$E$9</f>
        <v>332</v>
      </c>
      <c r="M336" s="3">
        <f>Table157[[#This Row],[Defaulted Principal]]-Table157[[#This Row],[Estimated Loss]]</f>
        <v>0</v>
      </c>
      <c r="N336" s="3">
        <f>IFERROR(VLOOKUP(Table157[[#This Row],[Period]],$L$16:$M$385,2,FALSE),0)</f>
        <v>0</v>
      </c>
      <c r="O336" s="3">
        <f>Table157[[#This Row],[Beginning Balance]]-Table157[[#This Row],[Principal]]-Table157[[#This Row],[Prepayments]]-Table157[[#This Row],[Defaulted Principal]]</f>
        <v>0</v>
      </c>
      <c r="P336" s="3">
        <f>Table157[[#This Row],[Principal]]+Table157[[#This Row],[Interest]]+Table157[[#This Row],[Prepayments]]+Table157[[#This Row],[RecoveredAmount]]</f>
        <v>0</v>
      </c>
      <c r="Q336" s="3">
        <f ca="1">ROUND(Table157[[#This Row],[Cash Flow]]/((1+ActualRateToUse)^(IF(ISNUMBER(SEARCH("Actual",$C$7)),Table157[[#This Row],[Running Total]]/365,Table157[[#This Row],[Period]]/12))),2)</f>
        <v>0</v>
      </c>
      <c r="R336" s="2">
        <f>IF(MONTH(Table157[[#This Row],[Date]])=2,28,DAY(DATE(YEAR(Table157[[#This Row],[Date]]),MONTH(Table157[[#This Row],[Date]])+1,1)-1))</f>
        <v>28</v>
      </c>
      <c r="S336" s="2">
        <f ca="1">SUM(OFFSET(Table157[[#Headers],[Days in month]],1,0):Table157[[#This Row],[Days in month]])</f>
        <v>9733</v>
      </c>
      <c r="T336" s="37">
        <f>InterestRate*AmortizationMultiplier*IF(ISNUMBER(SEARCH("Actual",$C$7)),Table157[[#This Row],[Days in month]]/365,1/12)</f>
        <v>2.6833333333333336E-3</v>
      </c>
    </row>
    <row r="337" spans="2:20" x14ac:dyDescent="0.2">
      <c r="B337" s="1">
        <f t="shared" si="18"/>
        <v>55609</v>
      </c>
      <c r="C337" s="2">
        <f t="shared" si="16"/>
        <v>321</v>
      </c>
      <c r="D337" s="3">
        <f t="shared" si="15"/>
        <v>0</v>
      </c>
      <c r="E337" s="3">
        <f>ROUND(Table157[[#This Row],[Beginning Balance]]*Table157[[#This Row],[Monthly Interest Rate]],2)</f>
        <v>0</v>
      </c>
      <c r="F337" s="3">
        <f t="shared" si="17"/>
        <v>-65</v>
      </c>
      <c r="G337" s="23">
        <f>IFERROR(IF($C$13="No","N/A",IF(Table157[[#This Row],[Period]]=1,$C$6,PMT(InterestRate*AmortizationMultiplier/12,Table157[[#This Row],[Am Thru]],-Table157[[#This Row],[Beginning Balance]]))),0)</f>
        <v>0</v>
      </c>
      <c r="H337" s="3">
        <f>MAX(0,IF(C337=$C$4,D337,ROUND(IF($C$3="Fixed Principal",$C$6-Table157[[#This Row],[Interest]],IF($C$3="Interest Only",Table157[[#This Row],[Beginning Balance]]*ROUND(1-(1-IF($C$11="No",$E$8,1))^(1/12),6),MIN(IF($C$13="Yes",Table157[[#This Row],[Payment Amount (Reamortized)]],$C$6)-Table157[[#This Row],[Interest]],Table157[[#This Row],[Beginning Balance]]))),2)))</f>
        <v>0</v>
      </c>
      <c r="I337" s="3">
        <f>_xlfn.SINGLE(IF($C$3="Line of Credit",0,ROUND(MAX(MIN(IF($C$10="No",$E$7,VLOOKUP(Table157[[#This Row],[Period]],Forecast!$H$2:$L$1048576,4,FALSE))*Table157[[#This Row],[Beginning Balance]],Table157[[#This Row],[Beginning Balance]]-Table157[[#This Row],[Principal]]),0),2)))</f>
        <v>0</v>
      </c>
      <c r="J337" s="3">
        <f>ROUND(MIN(Table157[[#This Row],[Beginning Balance]]*IF($C$8="No",$E$3,VLOOKUP(Table157[[#This Row],[Period]],Forecast!$H$2:$L$1048576,2,FALSE)),Table157[[#This Row],[Beginning Balance]]-Table157[[#This Row],[Principal]]-Table157[[#This Row],[Prepayments]]),2)</f>
        <v>0</v>
      </c>
      <c r="K337" s="3">
        <f>ROUND(Table157[[#This Row],[Defaulted Principal]]*IF($C$9="No",$E$4,VLOOKUP(Table157[[#This Row],[Period]],Forecast!$H$2:$L$1048576,3,FALSE)),2)</f>
        <v>0</v>
      </c>
      <c r="L337" s="2">
        <f>Table157[[#This Row],[Period]]+$E$9</f>
        <v>333</v>
      </c>
      <c r="M337" s="3">
        <f>Table157[[#This Row],[Defaulted Principal]]-Table157[[#This Row],[Estimated Loss]]</f>
        <v>0</v>
      </c>
      <c r="N337" s="3">
        <f>IFERROR(VLOOKUP(Table157[[#This Row],[Period]],$L$16:$M$385,2,FALSE),0)</f>
        <v>0</v>
      </c>
      <c r="O337" s="3">
        <f>Table157[[#This Row],[Beginning Balance]]-Table157[[#This Row],[Principal]]-Table157[[#This Row],[Prepayments]]-Table157[[#This Row],[Defaulted Principal]]</f>
        <v>0</v>
      </c>
      <c r="P337" s="3">
        <f>Table157[[#This Row],[Principal]]+Table157[[#This Row],[Interest]]+Table157[[#This Row],[Prepayments]]+Table157[[#This Row],[RecoveredAmount]]</f>
        <v>0</v>
      </c>
      <c r="Q337" s="3">
        <f ca="1">ROUND(Table157[[#This Row],[Cash Flow]]/((1+ActualRateToUse)^(IF(ISNUMBER(SEARCH("Actual",$C$7)),Table157[[#This Row],[Running Total]]/365,Table157[[#This Row],[Period]]/12))),2)</f>
        <v>0</v>
      </c>
      <c r="R337" s="2">
        <f>IF(MONTH(Table157[[#This Row],[Date]])=2,28,DAY(DATE(YEAR(Table157[[#This Row],[Date]]),MONTH(Table157[[#This Row],[Date]])+1,1)-1))</f>
        <v>31</v>
      </c>
      <c r="S337" s="2">
        <f ca="1">SUM(OFFSET(Table157[[#Headers],[Days in month]],1,0):Table157[[#This Row],[Days in month]])</f>
        <v>9764</v>
      </c>
      <c r="T337" s="37">
        <f>InterestRate*AmortizationMultiplier*IF(ISNUMBER(SEARCH("Actual",$C$7)),Table157[[#This Row],[Days in month]]/365,1/12)</f>
        <v>2.9708333333333331E-3</v>
      </c>
    </row>
    <row r="338" spans="2:20" x14ac:dyDescent="0.2">
      <c r="B338" s="1">
        <f t="shared" si="18"/>
        <v>55639</v>
      </c>
      <c r="C338" s="2">
        <f t="shared" si="16"/>
        <v>322</v>
      </c>
      <c r="D338" s="3">
        <f t="shared" ref="D338:D385" si="19">O337</f>
        <v>0</v>
      </c>
      <c r="E338" s="3">
        <f>ROUND(Table157[[#This Row],[Beginning Balance]]*Table157[[#This Row],[Monthly Interest Rate]],2)</f>
        <v>0</v>
      </c>
      <c r="F338" s="3">
        <f t="shared" si="17"/>
        <v>-66</v>
      </c>
      <c r="G338" s="23">
        <f>IFERROR(IF($C$13="No","N/A",IF(Table157[[#This Row],[Period]]=1,$C$6,PMT(InterestRate*AmortizationMultiplier/12,Table157[[#This Row],[Am Thru]],-Table157[[#This Row],[Beginning Balance]]))),0)</f>
        <v>0</v>
      </c>
      <c r="H338" s="3">
        <f>MAX(0,IF(C338=$C$4,D338,ROUND(IF($C$3="Fixed Principal",$C$6-Table157[[#This Row],[Interest]],IF($C$3="Interest Only",Table157[[#This Row],[Beginning Balance]]*ROUND(1-(1-IF($C$11="No",$E$8,1))^(1/12),6),MIN(IF($C$13="Yes",Table157[[#This Row],[Payment Amount (Reamortized)]],$C$6)-Table157[[#This Row],[Interest]],Table157[[#This Row],[Beginning Balance]]))),2)))</f>
        <v>0</v>
      </c>
      <c r="I338" s="3">
        <f>_xlfn.SINGLE(IF($C$3="Line of Credit",0,ROUND(MAX(MIN(IF($C$10="No",$E$7,VLOOKUP(Table157[[#This Row],[Period]],Forecast!$H$2:$L$1048576,4,FALSE))*Table157[[#This Row],[Beginning Balance]],Table157[[#This Row],[Beginning Balance]]-Table157[[#This Row],[Principal]]),0),2)))</f>
        <v>0</v>
      </c>
      <c r="J338" s="3">
        <f>ROUND(MIN(Table157[[#This Row],[Beginning Balance]]*IF($C$8="No",$E$3,VLOOKUP(Table157[[#This Row],[Period]],Forecast!$H$2:$L$1048576,2,FALSE)),Table157[[#This Row],[Beginning Balance]]-Table157[[#This Row],[Principal]]-Table157[[#This Row],[Prepayments]]),2)</f>
        <v>0</v>
      </c>
      <c r="K338" s="3">
        <f>ROUND(Table157[[#This Row],[Defaulted Principal]]*IF($C$9="No",$E$4,VLOOKUP(Table157[[#This Row],[Period]],Forecast!$H$2:$L$1048576,3,FALSE)),2)</f>
        <v>0</v>
      </c>
      <c r="L338" s="2">
        <f>Table157[[#This Row],[Period]]+$E$9</f>
        <v>334</v>
      </c>
      <c r="M338" s="3">
        <f>Table157[[#This Row],[Defaulted Principal]]-Table157[[#This Row],[Estimated Loss]]</f>
        <v>0</v>
      </c>
      <c r="N338" s="3">
        <f>IFERROR(VLOOKUP(Table157[[#This Row],[Period]],$L$16:$M$385,2,FALSE),0)</f>
        <v>0</v>
      </c>
      <c r="O338" s="3">
        <f>Table157[[#This Row],[Beginning Balance]]-Table157[[#This Row],[Principal]]-Table157[[#This Row],[Prepayments]]-Table157[[#This Row],[Defaulted Principal]]</f>
        <v>0</v>
      </c>
      <c r="P338" s="3">
        <f>Table157[[#This Row],[Principal]]+Table157[[#This Row],[Interest]]+Table157[[#This Row],[Prepayments]]+Table157[[#This Row],[RecoveredAmount]]</f>
        <v>0</v>
      </c>
      <c r="Q338" s="3">
        <f ca="1">ROUND(Table157[[#This Row],[Cash Flow]]/((1+ActualRateToUse)^(IF(ISNUMBER(SEARCH("Actual",$C$7)),Table157[[#This Row],[Running Total]]/365,Table157[[#This Row],[Period]]/12))),2)</f>
        <v>0</v>
      </c>
      <c r="R338" s="2">
        <f>IF(MONTH(Table157[[#This Row],[Date]])=2,28,DAY(DATE(YEAR(Table157[[#This Row],[Date]]),MONTH(Table157[[#This Row],[Date]])+1,1)-1))</f>
        <v>30</v>
      </c>
      <c r="S338" s="2">
        <f ca="1">SUM(OFFSET(Table157[[#Headers],[Days in month]],1,0):Table157[[#This Row],[Days in month]])</f>
        <v>9794</v>
      </c>
      <c r="T338" s="37">
        <f>InterestRate*AmortizationMultiplier*IF(ISNUMBER(SEARCH("Actual",$C$7)),Table157[[#This Row],[Days in month]]/365,1/12)</f>
        <v>2.8749999999999995E-3</v>
      </c>
    </row>
    <row r="339" spans="2:20" x14ac:dyDescent="0.2">
      <c r="B339" s="1">
        <f t="shared" si="18"/>
        <v>55670</v>
      </c>
      <c r="C339" s="2">
        <f t="shared" ref="C339:C385" si="20">C338+1</f>
        <v>323</v>
      </c>
      <c r="D339" s="3">
        <f t="shared" si="19"/>
        <v>0</v>
      </c>
      <c r="E339" s="3">
        <f>ROUND(Table157[[#This Row],[Beginning Balance]]*Table157[[#This Row],[Monthly Interest Rate]],2)</f>
        <v>0</v>
      </c>
      <c r="F339" s="3">
        <f t="shared" ref="F339:F385" si="21">+F338-1</f>
        <v>-67</v>
      </c>
      <c r="G339" s="23">
        <f>IFERROR(IF($C$13="No","N/A",IF(Table157[[#This Row],[Period]]=1,$C$6,PMT(InterestRate*AmortizationMultiplier/12,Table157[[#This Row],[Am Thru]],-Table157[[#This Row],[Beginning Balance]]))),0)</f>
        <v>0</v>
      </c>
      <c r="H339" s="3">
        <f>MAX(0,IF(C339=$C$4,D339,ROUND(IF($C$3="Fixed Principal",$C$6-Table157[[#This Row],[Interest]],IF($C$3="Interest Only",Table157[[#This Row],[Beginning Balance]]*ROUND(1-(1-IF($C$11="No",$E$8,1))^(1/12),6),MIN(IF($C$13="Yes",Table157[[#This Row],[Payment Amount (Reamortized)]],$C$6)-Table157[[#This Row],[Interest]],Table157[[#This Row],[Beginning Balance]]))),2)))</f>
        <v>0</v>
      </c>
      <c r="I339" s="3">
        <f>_xlfn.SINGLE(IF($C$3="Line of Credit",0,ROUND(MAX(MIN(IF($C$10="No",$E$7,VLOOKUP(Table157[[#This Row],[Period]],Forecast!$H$2:$L$1048576,4,FALSE))*Table157[[#This Row],[Beginning Balance]],Table157[[#This Row],[Beginning Balance]]-Table157[[#This Row],[Principal]]),0),2)))</f>
        <v>0</v>
      </c>
      <c r="J339" s="3">
        <f>ROUND(MIN(Table157[[#This Row],[Beginning Balance]]*IF($C$8="No",$E$3,VLOOKUP(Table157[[#This Row],[Period]],Forecast!$H$2:$L$1048576,2,FALSE)),Table157[[#This Row],[Beginning Balance]]-Table157[[#This Row],[Principal]]-Table157[[#This Row],[Prepayments]]),2)</f>
        <v>0</v>
      </c>
      <c r="K339" s="3">
        <f>ROUND(Table157[[#This Row],[Defaulted Principal]]*IF($C$9="No",$E$4,VLOOKUP(Table157[[#This Row],[Period]],Forecast!$H$2:$L$1048576,3,FALSE)),2)</f>
        <v>0</v>
      </c>
      <c r="L339" s="2">
        <f>Table157[[#This Row],[Period]]+$E$9</f>
        <v>335</v>
      </c>
      <c r="M339" s="3">
        <f>Table157[[#This Row],[Defaulted Principal]]-Table157[[#This Row],[Estimated Loss]]</f>
        <v>0</v>
      </c>
      <c r="N339" s="3">
        <f>IFERROR(VLOOKUP(Table157[[#This Row],[Period]],$L$16:$M$385,2,FALSE),0)</f>
        <v>0</v>
      </c>
      <c r="O339" s="3">
        <f>Table157[[#This Row],[Beginning Balance]]-Table157[[#This Row],[Principal]]-Table157[[#This Row],[Prepayments]]-Table157[[#This Row],[Defaulted Principal]]</f>
        <v>0</v>
      </c>
      <c r="P339" s="3">
        <f>Table157[[#This Row],[Principal]]+Table157[[#This Row],[Interest]]+Table157[[#This Row],[Prepayments]]+Table157[[#This Row],[RecoveredAmount]]</f>
        <v>0</v>
      </c>
      <c r="Q339" s="3">
        <f ca="1">ROUND(Table157[[#This Row],[Cash Flow]]/((1+ActualRateToUse)^(IF(ISNUMBER(SEARCH("Actual",$C$7)),Table157[[#This Row],[Running Total]]/365,Table157[[#This Row],[Period]]/12))),2)</f>
        <v>0</v>
      </c>
      <c r="R339" s="2">
        <f>IF(MONTH(Table157[[#This Row],[Date]])=2,28,DAY(DATE(YEAR(Table157[[#This Row],[Date]]),MONTH(Table157[[#This Row],[Date]])+1,1)-1))</f>
        <v>31</v>
      </c>
      <c r="S339" s="2">
        <f ca="1">SUM(OFFSET(Table157[[#Headers],[Days in month]],1,0):Table157[[#This Row],[Days in month]])</f>
        <v>9825</v>
      </c>
      <c r="T339" s="37">
        <f>InterestRate*AmortizationMultiplier*IF(ISNUMBER(SEARCH("Actual",$C$7)),Table157[[#This Row],[Days in month]]/365,1/12)</f>
        <v>2.9708333333333331E-3</v>
      </c>
    </row>
    <row r="340" spans="2:20" x14ac:dyDescent="0.2">
      <c r="B340" s="1">
        <f t="shared" si="18"/>
        <v>55700</v>
      </c>
      <c r="C340" s="2">
        <f t="shared" si="20"/>
        <v>324</v>
      </c>
      <c r="D340" s="3">
        <f t="shared" si="19"/>
        <v>0</v>
      </c>
      <c r="E340" s="3">
        <f>ROUND(Table157[[#This Row],[Beginning Balance]]*Table157[[#This Row],[Monthly Interest Rate]],2)</f>
        <v>0</v>
      </c>
      <c r="F340" s="3">
        <f t="shared" si="21"/>
        <v>-68</v>
      </c>
      <c r="G340" s="23">
        <f>IFERROR(IF($C$13="No","N/A",IF(Table157[[#This Row],[Period]]=1,$C$6,PMT(InterestRate*AmortizationMultiplier/12,Table157[[#This Row],[Am Thru]],-Table157[[#This Row],[Beginning Balance]]))),0)</f>
        <v>0</v>
      </c>
      <c r="H340" s="3">
        <f>MAX(0,IF(C340=$C$4,D340,ROUND(IF($C$3="Fixed Principal",$C$6-Table157[[#This Row],[Interest]],IF($C$3="Interest Only",Table157[[#This Row],[Beginning Balance]]*ROUND(1-(1-IF($C$11="No",$E$8,1))^(1/12),6),MIN(IF($C$13="Yes",Table157[[#This Row],[Payment Amount (Reamortized)]],$C$6)-Table157[[#This Row],[Interest]],Table157[[#This Row],[Beginning Balance]]))),2)))</f>
        <v>0</v>
      </c>
      <c r="I340" s="3">
        <f>_xlfn.SINGLE(IF($C$3="Line of Credit",0,ROUND(MAX(MIN(IF($C$10="No",$E$7,VLOOKUP(Table157[[#This Row],[Period]],Forecast!$H$2:$L$1048576,4,FALSE))*Table157[[#This Row],[Beginning Balance]],Table157[[#This Row],[Beginning Balance]]-Table157[[#This Row],[Principal]]),0),2)))</f>
        <v>0</v>
      </c>
      <c r="J340" s="3">
        <f>ROUND(MIN(Table157[[#This Row],[Beginning Balance]]*IF($C$8="No",$E$3,VLOOKUP(Table157[[#This Row],[Period]],Forecast!$H$2:$L$1048576,2,FALSE)),Table157[[#This Row],[Beginning Balance]]-Table157[[#This Row],[Principal]]-Table157[[#This Row],[Prepayments]]),2)</f>
        <v>0</v>
      </c>
      <c r="K340" s="3">
        <f>ROUND(Table157[[#This Row],[Defaulted Principal]]*IF($C$9="No",$E$4,VLOOKUP(Table157[[#This Row],[Period]],Forecast!$H$2:$L$1048576,3,FALSE)),2)</f>
        <v>0</v>
      </c>
      <c r="L340" s="2">
        <f>Table157[[#This Row],[Period]]+$E$9</f>
        <v>336</v>
      </c>
      <c r="M340" s="3">
        <f>Table157[[#This Row],[Defaulted Principal]]-Table157[[#This Row],[Estimated Loss]]</f>
        <v>0</v>
      </c>
      <c r="N340" s="3">
        <f>IFERROR(VLOOKUP(Table157[[#This Row],[Period]],$L$16:$M$385,2,FALSE),0)</f>
        <v>0</v>
      </c>
      <c r="O340" s="3">
        <f>Table157[[#This Row],[Beginning Balance]]-Table157[[#This Row],[Principal]]-Table157[[#This Row],[Prepayments]]-Table157[[#This Row],[Defaulted Principal]]</f>
        <v>0</v>
      </c>
      <c r="P340" s="3">
        <f>Table157[[#This Row],[Principal]]+Table157[[#This Row],[Interest]]+Table157[[#This Row],[Prepayments]]+Table157[[#This Row],[RecoveredAmount]]</f>
        <v>0</v>
      </c>
      <c r="Q340" s="3">
        <f ca="1">ROUND(Table157[[#This Row],[Cash Flow]]/((1+ActualRateToUse)^(IF(ISNUMBER(SEARCH("Actual",$C$7)),Table157[[#This Row],[Running Total]]/365,Table157[[#This Row],[Period]]/12))),2)</f>
        <v>0</v>
      </c>
      <c r="R340" s="2">
        <f>IF(MONTH(Table157[[#This Row],[Date]])=2,28,DAY(DATE(YEAR(Table157[[#This Row],[Date]]),MONTH(Table157[[#This Row],[Date]])+1,1)-1))</f>
        <v>30</v>
      </c>
      <c r="S340" s="2">
        <f ca="1">SUM(OFFSET(Table157[[#Headers],[Days in month]],1,0):Table157[[#This Row],[Days in month]])</f>
        <v>9855</v>
      </c>
      <c r="T340" s="37">
        <f>InterestRate*AmortizationMultiplier*IF(ISNUMBER(SEARCH("Actual",$C$7)),Table157[[#This Row],[Days in month]]/365,1/12)</f>
        <v>2.8749999999999995E-3</v>
      </c>
    </row>
    <row r="341" spans="2:20" x14ac:dyDescent="0.2">
      <c r="B341" s="1">
        <f t="shared" si="18"/>
        <v>55731</v>
      </c>
      <c r="C341" s="2">
        <f t="shared" si="20"/>
        <v>325</v>
      </c>
      <c r="D341" s="3">
        <f t="shared" si="19"/>
        <v>0</v>
      </c>
      <c r="E341" s="3">
        <f>ROUND(Table157[[#This Row],[Beginning Balance]]*Table157[[#This Row],[Monthly Interest Rate]],2)</f>
        <v>0</v>
      </c>
      <c r="F341" s="3">
        <f t="shared" si="21"/>
        <v>-69</v>
      </c>
      <c r="G341" s="23">
        <f>IFERROR(IF($C$13="No","N/A",IF(Table157[[#This Row],[Period]]=1,$C$6,PMT(InterestRate*AmortizationMultiplier/12,Table157[[#This Row],[Am Thru]],-Table157[[#This Row],[Beginning Balance]]))),0)</f>
        <v>0</v>
      </c>
      <c r="H341" s="3">
        <f>MAX(0,IF(C341=$C$4,D341,ROUND(IF($C$3="Fixed Principal",$C$6-Table157[[#This Row],[Interest]],IF($C$3="Interest Only",Table157[[#This Row],[Beginning Balance]]*ROUND(1-(1-IF($C$11="No",$E$8,1))^(1/12),6),MIN(IF($C$13="Yes",Table157[[#This Row],[Payment Amount (Reamortized)]],$C$6)-Table157[[#This Row],[Interest]],Table157[[#This Row],[Beginning Balance]]))),2)))</f>
        <v>0</v>
      </c>
      <c r="I341" s="3">
        <f>_xlfn.SINGLE(IF($C$3="Line of Credit",0,ROUND(MAX(MIN(IF($C$10="No",$E$7,VLOOKUP(Table157[[#This Row],[Period]],Forecast!$H$2:$L$1048576,4,FALSE))*Table157[[#This Row],[Beginning Balance]],Table157[[#This Row],[Beginning Balance]]-Table157[[#This Row],[Principal]]),0),2)))</f>
        <v>0</v>
      </c>
      <c r="J341" s="3">
        <f>ROUND(MIN(Table157[[#This Row],[Beginning Balance]]*IF($C$8="No",$E$3,VLOOKUP(Table157[[#This Row],[Period]],Forecast!$H$2:$L$1048576,2,FALSE)),Table157[[#This Row],[Beginning Balance]]-Table157[[#This Row],[Principal]]-Table157[[#This Row],[Prepayments]]),2)</f>
        <v>0</v>
      </c>
      <c r="K341" s="3">
        <f>ROUND(Table157[[#This Row],[Defaulted Principal]]*IF($C$9="No",$E$4,VLOOKUP(Table157[[#This Row],[Period]],Forecast!$H$2:$L$1048576,3,FALSE)),2)</f>
        <v>0</v>
      </c>
      <c r="L341" s="2">
        <f>Table157[[#This Row],[Period]]+$E$9</f>
        <v>337</v>
      </c>
      <c r="M341" s="3">
        <f>Table157[[#This Row],[Defaulted Principal]]-Table157[[#This Row],[Estimated Loss]]</f>
        <v>0</v>
      </c>
      <c r="N341" s="3">
        <f>IFERROR(VLOOKUP(Table157[[#This Row],[Period]],$L$16:$M$385,2,FALSE),0)</f>
        <v>0</v>
      </c>
      <c r="O341" s="3">
        <f>Table157[[#This Row],[Beginning Balance]]-Table157[[#This Row],[Principal]]-Table157[[#This Row],[Prepayments]]-Table157[[#This Row],[Defaulted Principal]]</f>
        <v>0</v>
      </c>
      <c r="P341" s="3">
        <f>Table157[[#This Row],[Principal]]+Table157[[#This Row],[Interest]]+Table157[[#This Row],[Prepayments]]+Table157[[#This Row],[RecoveredAmount]]</f>
        <v>0</v>
      </c>
      <c r="Q341" s="3">
        <f ca="1">ROUND(Table157[[#This Row],[Cash Flow]]/((1+ActualRateToUse)^(IF(ISNUMBER(SEARCH("Actual",$C$7)),Table157[[#This Row],[Running Total]]/365,Table157[[#This Row],[Period]]/12))),2)</f>
        <v>0</v>
      </c>
      <c r="R341" s="2">
        <f>IF(MONTH(Table157[[#This Row],[Date]])=2,28,DAY(DATE(YEAR(Table157[[#This Row],[Date]]),MONTH(Table157[[#This Row],[Date]])+1,1)-1))</f>
        <v>31</v>
      </c>
      <c r="S341" s="2">
        <f ca="1">SUM(OFFSET(Table157[[#Headers],[Days in month]],1,0):Table157[[#This Row],[Days in month]])</f>
        <v>9886</v>
      </c>
      <c r="T341" s="37">
        <f>InterestRate*AmortizationMultiplier*IF(ISNUMBER(SEARCH("Actual",$C$7)),Table157[[#This Row],[Days in month]]/365,1/12)</f>
        <v>2.9708333333333331E-3</v>
      </c>
    </row>
    <row r="342" spans="2:20" x14ac:dyDescent="0.2">
      <c r="B342" s="1">
        <f t="shared" si="18"/>
        <v>55762</v>
      </c>
      <c r="C342" s="2">
        <f t="shared" si="20"/>
        <v>326</v>
      </c>
      <c r="D342" s="3">
        <f t="shared" si="19"/>
        <v>0</v>
      </c>
      <c r="E342" s="3">
        <f>ROUND(Table157[[#This Row],[Beginning Balance]]*Table157[[#This Row],[Monthly Interest Rate]],2)</f>
        <v>0</v>
      </c>
      <c r="F342" s="3">
        <f t="shared" si="21"/>
        <v>-70</v>
      </c>
      <c r="G342" s="23">
        <f>IFERROR(IF($C$13="No","N/A",IF(Table157[[#This Row],[Period]]=1,$C$6,PMT(InterestRate*AmortizationMultiplier/12,Table157[[#This Row],[Am Thru]],-Table157[[#This Row],[Beginning Balance]]))),0)</f>
        <v>0</v>
      </c>
      <c r="H342" s="3">
        <f>MAX(0,IF(C342=$C$4,D342,ROUND(IF($C$3="Fixed Principal",$C$6-Table157[[#This Row],[Interest]],IF($C$3="Interest Only",Table157[[#This Row],[Beginning Balance]]*ROUND(1-(1-IF($C$11="No",$E$8,1))^(1/12),6),MIN(IF($C$13="Yes",Table157[[#This Row],[Payment Amount (Reamortized)]],$C$6)-Table157[[#This Row],[Interest]],Table157[[#This Row],[Beginning Balance]]))),2)))</f>
        <v>0</v>
      </c>
      <c r="I342" s="3">
        <f>_xlfn.SINGLE(IF($C$3="Line of Credit",0,ROUND(MAX(MIN(IF($C$10="No",$E$7,VLOOKUP(Table157[[#This Row],[Period]],Forecast!$H$2:$L$1048576,4,FALSE))*Table157[[#This Row],[Beginning Balance]],Table157[[#This Row],[Beginning Balance]]-Table157[[#This Row],[Principal]]),0),2)))</f>
        <v>0</v>
      </c>
      <c r="J342" s="3">
        <f>ROUND(MIN(Table157[[#This Row],[Beginning Balance]]*IF($C$8="No",$E$3,VLOOKUP(Table157[[#This Row],[Period]],Forecast!$H$2:$L$1048576,2,FALSE)),Table157[[#This Row],[Beginning Balance]]-Table157[[#This Row],[Principal]]-Table157[[#This Row],[Prepayments]]),2)</f>
        <v>0</v>
      </c>
      <c r="K342" s="3">
        <f>ROUND(Table157[[#This Row],[Defaulted Principal]]*IF($C$9="No",$E$4,VLOOKUP(Table157[[#This Row],[Period]],Forecast!$H$2:$L$1048576,3,FALSE)),2)</f>
        <v>0</v>
      </c>
      <c r="L342" s="2">
        <f>Table157[[#This Row],[Period]]+$E$9</f>
        <v>338</v>
      </c>
      <c r="M342" s="3">
        <f>Table157[[#This Row],[Defaulted Principal]]-Table157[[#This Row],[Estimated Loss]]</f>
        <v>0</v>
      </c>
      <c r="N342" s="3">
        <f>IFERROR(VLOOKUP(Table157[[#This Row],[Period]],$L$16:$M$385,2,FALSE),0)</f>
        <v>0</v>
      </c>
      <c r="O342" s="3">
        <f>Table157[[#This Row],[Beginning Balance]]-Table157[[#This Row],[Principal]]-Table157[[#This Row],[Prepayments]]-Table157[[#This Row],[Defaulted Principal]]</f>
        <v>0</v>
      </c>
      <c r="P342" s="3">
        <f>Table157[[#This Row],[Principal]]+Table157[[#This Row],[Interest]]+Table157[[#This Row],[Prepayments]]+Table157[[#This Row],[RecoveredAmount]]</f>
        <v>0</v>
      </c>
      <c r="Q342" s="3">
        <f ca="1">ROUND(Table157[[#This Row],[Cash Flow]]/((1+ActualRateToUse)^(IF(ISNUMBER(SEARCH("Actual",$C$7)),Table157[[#This Row],[Running Total]]/365,Table157[[#This Row],[Period]]/12))),2)</f>
        <v>0</v>
      </c>
      <c r="R342" s="2">
        <f>IF(MONTH(Table157[[#This Row],[Date]])=2,28,DAY(DATE(YEAR(Table157[[#This Row],[Date]]),MONTH(Table157[[#This Row],[Date]])+1,1)-1))</f>
        <v>31</v>
      </c>
      <c r="S342" s="2">
        <f ca="1">SUM(OFFSET(Table157[[#Headers],[Days in month]],1,0):Table157[[#This Row],[Days in month]])</f>
        <v>9917</v>
      </c>
      <c r="T342" s="37">
        <f>InterestRate*AmortizationMultiplier*IF(ISNUMBER(SEARCH("Actual",$C$7)),Table157[[#This Row],[Days in month]]/365,1/12)</f>
        <v>2.9708333333333331E-3</v>
      </c>
    </row>
    <row r="343" spans="2:20" x14ac:dyDescent="0.2">
      <c r="B343" s="1">
        <f t="shared" si="18"/>
        <v>55792</v>
      </c>
      <c r="C343" s="2">
        <f t="shared" si="20"/>
        <v>327</v>
      </c>
      <c r="D343" s="3">
        <f t="shared" si="19"/>
        <v>0</v>
      </c>
      <c r="E343" s="3">
        <f>ROUND(Table157[[#This Row],[Beginning Balance]]*Table157[[#This Row],[Monthly Interest Rate]],2)</f>
        <v>0</v>
      </c>
      <c r="F343" s="3">
        <f t="shared" si="21"/>
        <v>-71</v>
      </c>
      <c r="G343" s="23">
        <f>IFERROR(IF($C$13="No","N/A",IF(Table157[[#This Row],[Period]]=1,$C$6,PMT(InterestRate*AmortizationMultiplier/12,Table157[[#This Row],[Am Thru]],-Table157[[#This Row],[Beginning Balance]]))),0)</f>
        <v>0</v>
      </c>
      <c r="H343" s="3">
        <f>MAX(0,IF(C343=$C$4,D343,ROUND(IF($C$3="Fixed Principal",$C$6-Table157[[#This Row],[Interest]],IF($C$3="Interest Only",Table157[[#This Row],[Beginning Balance]]*ROUND(1-(1-IF($C$11="No",$E$8,1))^(1/12),6),MIN(IF($C$13="Yes",Table157[[#This Row],[Payment Amount (Reamortized)]],$C$6)-Table157[[#This Row],[Interest]],Table157[[#This Row],[Beginning Balance]]))),2)))</f>
        <v>0</v>
      </c>
      <c r="I343" s="3">
        <f>_xlfn.SINGLE(IF($C$3="Line of Credit",0,ROUND(MAX(MIN(IF($C$10="No",$E$7,VLOOKUP(Table157[[#This Row],[Period]],Forecast!$H$2:$L$1048576,4,FALSE))*Table157[[#This Row],[Beginning Balance]],Table157[[#This Row],[Beginning Balance]]-Table157[[#This Row],[Principal]]),0),2)))</f>
        <v>0</v>
      </c>
      <c r="J343" s="3">
        <f>ROUND(MIN(Table157[[#This Row],[Beginning Balance]]*IF($C$8="No",$E$3,VLOOKUP(Table157[[#This Row],[Period]],Forecast!$H$2:$L$1048576,2,FALSE)),Table157[[#This Row],[Beginning Balance]]-Table157[[#This Row],[Principal]]-Table157[[#This Row],[Prepayments]]),2)</f>
        <v>0</v>
      </c>
      <c r="K343" s="3">
        <f>ROUND(Table157[[#This Row],[Defaulted Principal]]*IF($C$9="No",$E$4,VLOOKUP(Table157[[#This Row],[Period]],Forecast!$H$2:$L$1048576,3,FALSE)),2)</f>
        <v>0</v>
      </c>
      <c r="L343" s="2">
        <f>Table157[[#This Row],[Period]]+$E$9</f>
        <v>339</v>
      </c>
      <c r="M343" s="3">
        <f>Table157[[#This Row],[Defaulted Principal]]-Table157[[#This Row],[Estimated Loss]]</f>
        <v>0</v>
      </c>
      <c r="N343" s="3">
        <f>IFERROR(VLOOKUP(Table157[[#This Row],[Period]],$L$16:$M$385,2,FALSE),0)</f>
        <v>0</v>
      </c>
      <c r="O343" s="3">
        <f>Table157[[#This Row],[Beginning Balance]]-Table157[[#This Row],[Principal]]-Table157[[#This Row],[Prepayments]]-Table157[[#This Row],[Defaulted Principal]]</f>
        <v>0</v>
      </c>
      <c r="P343" s="3">
        <f>Table157[[#This Row],[Principal]]+Table157[[#This Row],[Interest]]+Table157[[#This Row],[Prepayments]]+Table157[[#This Row],[RecoveredAmount]]</f>
        <v>0</v>
      </c>
      <c r="Q343" s="3">
        <f ca="1">ROUND(Table157[[#This Row],[Cash Flow]]/((1+ActualRateToUse)^(IF(ISNUMBER(SEARCH("Actual",$C$7)),Table157[[#This Row],[Running Total]]/365,Table157[[#This Row],[Period]]/12))),2)</f>
        <v>0</v>
      </c>
      <c r="R343" s="2">
        <f>IF(MONTH(Table157[[#This Row],[Date]])=2,28,DAY(DATE(YEAR(Table157[[#This Row],[Date]]),MONTH(Table157[[#This Row],[Date]])+1,1)-1))</f>
        <v>30</v>
      </c>
      <c r="S343" s="2">
        <f ca="1">SUM(OFFSET(Table157[[#Headers],[Days in month]],1,0):Table157[[#This Row],[Days in month]])</f>
        <v>9947</v>
      </c>
      <c r="T343" s="37">
        <f>InterestRate*AmortizationMultiplier*IF(ISNUMBER(SEARCH("Actual",$C$7)),Table157[[#This Row],[Days in month]]/365,1/12)</f>
        <v>2.8749999999999995E-3</v>
      </c>
    </row>
    <row r="344" spans="2:20" x14ac:dyDescent="0.2">
      <c r="B344" s="1">
        <f t="shared" si="18"/>
        <v>55823</v>
      </c>
      <c r="C344" s="2">
        <f t="shared" si="20"/>
        <v>328</v>
      </c>
      <c r="D344" s="3">
        <f t="shared" si="19"/>
        <v>0</v>
      </c>
      <c r="E344" s="3">
        <f>ROUND(Table157[[#This Row],[Beginning Balance]]*Table157[[#This Row],[Monthly Interest Rate]],2)</f>
        <v>0</v>
      </c>
      <c r="F344" s="3">
        <f t="shared" si="21"/>
        <v>-72</v>
      </c>
      <c r="G344" s="23">
        <f>IFERROR(IF($C$13="No","N/A",IF(Table157[[#This Row],[Period]]=1,$C$6,PMT(InterestRate*AmortizationMultiplier/12,Table157[[#This Row],[Am Thru]],-Table157[[#This Row],[Beginning Balance]]))),0)</f>
        <v>0</v>
      </c>
      <c r="H344" s="3">
        <f>MAX(0,IF(C344=$C$4,D344,ROUND(IF($C$3="Fixed Principal",$C$6-Table157[[#This Row],[Interest]],IF($C$3="Interest Only",Table157[[#This Row],[Beginning Balance]]*ROUND(1-(1-IF($C$11="No",$E$8,1))^(1/12),6),MIN(IF($C$13="Yes",Table157[[#This Row],[Payment Amount (Reamortized)]],$C$6)-Table157[[#This Row],[Interest]],Table157[[#This Row],[Beginning Balance]]))),2)))</f>
        <v>0</v>
      </c>
      <c r="I344" s="3">
        <f>_xlfn.SINGLE(IF($C$3="Line of Credit",0,ROUND(MAX(MIN(IF($C$10="No",$E$7,VLOOKUP(Table157[[#This Row],[Period]],Forecast!$H$2:$L$1048576,4,FALSE))*Table157[[#This Row],[Beginning Balance]],Table157[[#This Row],[Beginning Balance]]-Table157[[#This Row],[Principal]]),0),2)))</f>
        <v>0</v>
      </c>
      <c r="J344" s="3">
        <f>ROUND(MIN(Table157[[#This Row],[Beginning Balance]]*IF($C$8="No",$E$3,VLOOKUP(Table157[[#This Row],[Period]],Forecast!$H$2:$L$1048576,2,FALSE)),Table157[[#This Row],[Beginning Balance]]-Table157[[#This Row],[Principal]]-Table157[[#This Row],[Prepayments]]),2)</f>
        <v>0</v>
      </c>
      <c r="K344" s="3">
        <f>ROUND(Table157[[#This Row],[Defaulted Principal]]*IF($C$9="No",$E$4,VLOOKUP(Table157[[#This Row],[Period]],Forecast!$H$2:$L$1048576,3,FALSE)),2)</f>
        <v>0</v>
      </c>
      <c r="L344" s="2">
        <f>Table157[[#This Row],[Period]]+$E$9</f>
        <v>340</v>
      </c>
      <c r="M344" s="3">
        <f>Table157[[#This Row],[Defaulted Principal]]-Table157[[#This Row],[Estimated Loss]]</f>
        <v>0</v>
      </c>
      <c r="N344" s="3">
        <f>IFERROR(VLOOKUP(Table157[[#This Row],[Period]],$L$16:$M$385,2,FALSE),0)</f>
        <v>0</v>
      </c>
      <c r="O344" s="3">
        <f>Table157[[#This Row],[Beginning Balance]]-Table157[[#This Row],[Principal]]-Table157[[#This Row],[Prepayments]]-Table157[[#This Row],[Defaulted Principal]]</f>
        <v>0</v>
      </c>
      <c r="P344" s="3">
        <f>Table157[[#This Row],[Principal]]+Table157[[#This Row],[Interest]]+Table157[[#This Row],[Prepayments]]+Table157[[#This Row],[RecoveredAmount]]</f>
        <v>0</v>
      </c>
      <c r="Q344" s="3">
        <f ca="1">ROUND(Table157[[#This Row],[Cash Flow]]/((1+ActualRateToUse)^(IF(ISNUMBER(SEARCH("Actual",$C$7)),Table157[[#This Row],[Running Total]]/365,Table157[[#This Row],[Period]]/12))),2)</f>
        <v>0</v>
      </c>
      <c r="R344" s="2">
        <f>IF(MONTH(Table157[[#This Row],[Date]])=2,28,DAY(DATE(YEAR(Table157[[#This Row],[Date]]),MONTH(Table157[[#This Row],[Date]])+1,1)-1))</f>
        <v>31</v>
      </c>
      <c r="S344" s="2">
        <f ca="1">SUM(OFFSET(Table157[[#Headers],[Days in month]],1,0):Table157[[#This Row],[Days in month]])</f>
        <v>9978</v>
      </c>
      <c r="T344" s="37">
        <f>InterestRate*AmortizationMultiplier*IF(ISNUMBER(SEARCH("Actual",$C$7)),Table157[[#This Row],[Days in month]]/365,1/12)</f>
        <v>2.9708333333333331E-3</v>
      </c>
    </row>
    <row r="345" spans="2:20" x14ac:dyDescent="0.2">
      <c r="B345" s="1">
        <f t="shared" si="18"/>
        <v>55853</v>
      </c>
      <c r="C345" s="2">
        <f t="shared" si="20"/>
        <v>329</v>
      </c>
      <c r="D345" s="3">
        <f t="shared" si="19"/>
        <v>0</v>
      </c>
      <c r="E345" s="3">
        <f>ROUND(Table157[[#This Row],[Beginning Balance]]*Table157[[#This Row],[Monthly Interest Rate]],2)</f>
        <v>0</v>
      </c>
      <c r="F345" s="3">
        <f t="shared" si="21"/>
        <v>-73</v>
      </c>
      <c r="G345" s="23">
        <f>IFERROR(IF($C$13="No","N/A",IF(Table157[[#This Row],[Period]]=1,$C$6,PMT(InterestRate*AmortizationMultiplier/12,Table157[[#This Row],[Am Thru]],-Table157[[#This Row],[Beginning Balance]]))),0)</f>
        <v>0</v>
      </c>
      <c r="H345" s="3">
        <f>MAX(0,IF(C345=$C$4,D345,ROUND(IF($C$3="Fixed Principal",$C$6-Table157[[#This Row],[Interest]],IF($C$3="Interest Only",Table157[[#This Row],[Beginning Balance]]*ROUND(1-(1-IF($C$11="No",$E$8,1))^(1/12),6),MIN(IF($C$13="Yes",Table157[[#This Row],[Payment Amount (Reamortized)]],$C$6)-Table157[[#This Row],[Interest]],Table157[[#This Row],[Beginning Balance]]))),2)))</f>
        <v>0</v>
      </c>
      <c r="I345" s="3">
        <f>_xlfn.SINGLE(IF($C$3="Line of Credit",0,ROUND(MAX(MIN(IF($C$10="No",$E$7,VLOOKUP(Table157[[#This Row],[Period]],Forecast!$H$2:$L$1048576,4,FALSE))*Table157[[#This Row],[Beginning Balance]],Table157[[#This Row],[Beginning Balance]]-Table157[[#This Row],[Principal]]),0),2)))</f>
        <v>0</v>
      </c>
      <c r="J345" s="3">
        <f>ROUND(MIN(Table157[[#This Row],[Beginning Balance]]*IF($C$8="No",$E$3,VLOOKUP(Table157[[#This Row],[Period]],Forecast!$H$2:$L$1048576,2,FALSE)),Table157[[#This Row],[Beginning Balance]]-Table157[[#This Row],[Principal]]-Table157[[#This Row],[Prepayments]]),2)</f>
        <v>0</v>
      </c>
      <c r="K345" s="3">
        <f>ROUND(Table157[[#This Row],[Defaulted Principal]]*IF($C$9="No",$E$4,VLOOKUP(Table157[[#This Row],[Period]],Forecast!$H$2:$L$1048576,3,FALSE)),2)</f>
        <v>0</v>
      </c>
      <c r="L345" s="2">
        <f>Table157[[#This Row],[Period]]+$E$9</f>
        <v>341</v>
      </c>
      <c r="M345" s="3">
        <f>Table157[[#This Row],[Defaulted Principal]]-Table157[[#This Row],[Estimated Loss]]</f>
        <v>0</v>
      </c>
      <c r="N345" s="3">
        <f>IFERROR(VLOOKUP(Table157[[#This Row],[Period]],$L$16:$M$385,2,FALSE),0)</f>
        <v>0</v>
      </c>
      <c r="O345" s="3">
        <f>Table157[[#This Row],[Beginning Balance]]-Table157[[#This Row],[Principal]]-Table157[[#This Row],[Prepayments]]-Table157[[#This Row],[Defaulted Principal]]</f>
        <v>0</v>
      </c>
      <c r="P345" s="3">
        <f>Table157[[#This Row],[Principal]]+Table157[[#This Row],[Interest]]+Table157[[#This Row],[Prepayments]]+Table157[[#This Row],[RecoveredAmount]]</f>
        <v>0</v>
      </c>
      <c r="Q345" s="3">
        <f ca="1">ROUND(Table157[[#This Row],[Cash Flow]]/((1+ActualRateToUse)^(IF(ISNUMBER(SEARCH("Actual",$C$7)),Table157[[#This Row],[Running Total]]/365,Table157[[#This Row],[Period]]/12))),2)</f>
        <v>0</v>
      </c>
      <c r="R345" s="2">
        <f>IF(MONTH(Table157[[#This Row],[Date]])=2,28,DAY(DATE(YEAR(Table157[[#This Row],[Date]]),MONTH(Table157[[#This Row],[Date]])+1,1)-1))</f>
        <v>30</v>
      </c>
      <c r="S345" s="2">
        <f ca="1">SUM(OFFSET(Table157[[#Headers],[Days in month]],1,0):Table157[[#This Row],[Days in month]])</f>
        <v>10008</v>
      </c>
      <c r="T345" s="37">
        <f>InterestRate*AmortizationMultiplier*IF(ISNUMBER(SEARCH("Actual",$C$7)),Table157[[#This Row],[Days in month]]/365,1/12)</f>
        <v>2.8749999999999995E-3</v>
      </c>
    </row>
    <row r="346" spans="2:20" x14ac:dyDescent="0.2">
      <c r="B346" s="1">
        <f t="shared" si="18"/>
        <v>55884</v>
      </c>
      <c r="C346" s="2">
        <f t="shared" si="20"/>
        <v>330</v>
      </c>
      <c r="D346" s="3">
        <f t="shared" si="19"/>
        <v>0</v>
      </c>
      <c r="E346" s="3">
        <f>ROUND(Table157[[#This Row],[Beginning Balance]]*Table157[[#This Row],[Monthly Interest Rate]],2)</f>
        <v>0</v>
      </c>
      <c r="F346" s="3">
        <f t="shared" si="21"/>
        <v>-74</v>
      </c>
      <c r="G346" s="23">
        <f>IFERROR(IF($C$13="No","N/A",IF(Table157[[#This Row],[Period]]=1,$C$6,PMT(InterestRate*AmortizationMultiplier/12,Table157[[#This Row],[Am Thru]],-Table157[[#This Row],[Beginning Balance]]))),0)</f>
        <v>0</v>
      </c>
      <c r="H346" s="3">
        <f>MAX(0,IF(C346=$C$4,D346,ROUND(IF($C$3="Fixed Principal",$C$6-Table157[[#This Row],[Interest]],IF($C$3="Interest Only",Table157[[#This Row],[Beginning Balance]]*ROUND(1-(1-IF($C$11="No",$E$8,1))^(1/12),6),MIN(IF($C$13="Yes",Table157[[#This Row],[Payment Amount (Reamortized)]],$C$6)-Table157[[#This Row],[Interest]],Table157[[#This Row],[Beginning Balance]]))),2)))</f>
        <v>0</v>
      </c>
      <c r="I346" s="3">
        <f>_xlfn.SINGLE(IF($C$3="Line of Credit",0,ROUND(MAX(MIN(IF($C$10="No",$E$7,VLOOKUP(Table157[[#This Row],[Period]],Forecast!$H$2:$L$1048576,4,FALSE))*Table157[[#This Row],[Beginning Balance]],Table157[[#This Row],[Beginning Balance]]-Table157[[#This Row],[Principal]]),0),2)))</f>
        <v>0</v>
      </c>
      <c r="J346" s="3">
        <f>ROUND(MIN(Table157[[#This Row],[Beginning Balance]]*IF($C$8="No",$E$3,VLOOKUP(Table157[[#This Row],[Period]],Forecast!$H$2:$L$1048576,2,FALSE)),Table157[[#This Row],[Beginning Balance]]-Table157[[#This Row],[Principal]]-Table157[[#This Row],[Prepayments]]),2)</f>
        <v>0</v>
      </c>
      <c r="K346" s="3">
        <f>ROUND(Table157[[#This Row],[Defaulted Principal]]*IF($C$9="No",$E$4,VLOOKUP(Table157[[#This Row],[Period]],Forecast!$H$2:$L$1048576,3,FALSE)),2)</f>
        <v>0</v>
      </c>
      <c r="L346" s="2">
        <f>Table157[[#This Row],[Period]]+$E$9</f>
        <v>342</v>
      </c>
      <c r="M346" s="3">
        <f>Table157[[#This Row],[Defaulted Principal]]-Table157[[#This Row],[Estimated Loss]]</f>
        <v>0</v>
      </c>
      <c r="N346" s="3">
        <f>IFERROR(VLOOKUP(Table157[[#This Row],[Period]],$L$16:$M$385,2,FALSE),0)</f>
        <v>0</v>
      </c>
      <c r="O346" s="3">
        <f>Table157[[#This Row],[Beginning Balance]]-Table157[[#This Row],[Principal]]-Table157[[#This Row],[Prepayments]]-Table157[[#This Row],[Defaulted Principal]]</f>
        <v>0</v>
      </c>
      <c r="P346" s="3">
        <f>Table157[[#This Row],[Principal]]+Table157[[#This Row],[Interest]]+Table157[[#This Row],[Prepayments]]+Table157[[#This Row],[RecoveredAmount]]</f>
        <v>0</v>
      </c>
      <c r="Q346" s="3">
        <f ca="1">ROUND(Table157[[#This Row],[Cash Flow]]/((1+ActualRateToUse)^(IF(ISNUMBER(SEARCH("Actual",$C$7)),Table157[[#This Row],[Running Total]]/365,Table157[[#This Row],[Period]]/12))),2)</f>
        <v>0</v>
      </c>
      <c r="R346" s="2">
        <f>IF(MONTH(Table157[[#This Row],[Date]])=2,28,DAY(DATE(YEAR(Table157[[#This Row],[Date]]),MONTH(Table157[[#This Row],[Date]])+1,1)-1))</f>
        <v>31</v>
      </c>
      <c r="S346" s="2">
        <f ca="1">SUM(OFFSET(Table157[[#Headers],[Days in month]],1,0):Table157[[#This Row],[Days in month]])</f>
        <v>10039</v>
      </c>
      <c r="T346" s="37">
        <f>InterestRate*AmortizationMultiplier*IF(ISNUMBER(SEARCH("Actual",$C$7)),Table157[[#This Row],[Days in month]]/365,1/12)</f>
        <v>2.9708333333333331E-3</v>
      </c>
    </row>
    <row r="347" spans="2:20" x14ac:dyDescent="0.2">
      <c r="B347" s="1">
        <f t="shared" si="18"/>
        <v>55915</v>
      </c>
      <c r="C347" s="2">
        <f t="shared" si="20"/>
        <v>331</v>
      </c>
      <c r="D347" s="3">
        <f t="shared" si="19"/>
        <v>0</v>
      </c>
      <c r="E347" s="3">
        <f>ROUND(Table157[[#This Row],[Beginning Balance]]*Table157[[#This Row],[Monthly Interest Rate]],2)</f>
        <v>0</v>
      </c>
      <c r="F347" s="3">
        <f t="shared" si="21"/>
        <v>-75</v>
      </c>
      <c r="G347" s="23">
        <f>IFERROR(IF($C$13="No","N/A",IF(Table157[[#This Row],[Period]]=1,$C$6,PMT(InterestRate*AmortizationMultiplier/12,Table157[[#This Row],[Am Thru]],-Table157[[#This Row],[Beginning Balance]]))),0)</f>
        <v>0</v>
      </c>
      <c r="H347" s="3">
        <f>MAX(0,IF(C347=$C$4,D347,ROUND(IF($C$3="Fixed Principal",$C$6-Table157[[#This Row],[Interest]],IF($C$3="Interest Only",Table157[[#This Row],[Beginning Balance]]*ROUND(1-(1-IF($C$11="No",$E$8,1))^(1/12),6),MIN(IF($C$13="Yes",Table157[[#This Row],[Payment Amount (Reamortized)]],$C$6)-Table157[[#This Row],[Interest]],Table157[[#This Row],[Beginning Balance]]))),2)))</f>
        <v>0</v>
      </c>
      <c r="I347" s="3">
        <f>_xlfn.SINGLE(IF($C$3="Line of Credit",0,ROUND(MAX(MIN(IF($C$10="No",$E$7,VLOOKUP(Table157[[#This Row],[Period]],Forecast!$H$2:$L$1048576,4,FALSE))*Table157[[#This Row],[Beginning Balance]],Table157[[#This Row],[Beginning Balance]]-Table157[[#This Row],[Principal]]),0),2)))</f>
        <v>0</v>
      </c>
      <c r="J347" s="3">
        <f>ROUND(MIN(Table157[[#This Row],[Beginning Balance]]*IF($C$8="No",$E$3,VLOOKUP(Table157[[#This Row],[Period]],Forecast!$H$2:$L$1048576,2,FALSE)),Table157[[#This Row],[Beginning Balance]]-Table157[[#This Row],[Principal]]-Table157[[#This Row],[Prepayments]]),2)</f>
        <v>0</v>
      </c>
      <c r="K347" s="3">
        <f>ROUND(Table157[[#This Row],[Defaulted Principal]]*IF($C$9="No",$E$4,VLOOKUP(Table157[[#This Row],[Period]],Forecast!$H$2:$L$1048576,3,FALSE)),2)</f>
        <v>0</v>
      </c>
      <c r="L347" s="2">
        <f>Table157[[#This Row],[Period]]+$E$9</f>
        <v>343</v>
      </c>
      <c r="M347" s="3">
        <f>Table157[[#This Row],[Defaulted Principal]]-Table157[[#This Row],[Estimated Loss]]</f>
        <v>0</v>
      </c>
      <c r="N347" s="3">
        <f>IFERROR(VLOOKUP(Table157[[#This Row],[Period]],$L$16:$M$385,2,FALSE),0)</f>
        <v>0</v>
      </c>
      <c r="O347" s="3">
        <f>Table157[[#This Row],[Beginning Balance]]-Table157[[#This Row],[Principal]]-Table157[[#This Row],[Prepayments]]-Table157[[#This Row],[Defaulted Principal]]</f>
        <v>0</v>
      </c>
      <c r="P347" s="3">
        <f>Table157[[#This Row],[Principal]]+Table157[[#This Row],[Interest]]+Table157[[#This Row],[Prepayments]]+Table157[[#This Row],[RecoveredAmount]]</f>
        <v>0</v>
      </c>
      <c r="Q347" s="3">
        <f ca="1">ROUND(Table157[[#This Row],[Cash Flow]]/((1+ActualRateToUse)^(IF(ISNUMBER(SEARCH("Actual",$C$7)),Table157[[#This Row],[Running Total]]/365,Table157[[#This Row],[Period]]/12))),2)</f>
        <v>0</v>
      </c>
      <c r="R347" s="2">
        <f>IF(MONTH(Table157[[#This Row],[Date]])=2,28,DAY(DATE(YEAR(Table157[[#This Row],[Date]]),MONTH(Table157[[#This Row],[Date]])+1,1)-1))</f>
        <v>31</v>
      </c>
      <c r="S347" s="2">
        <f ca="1">SUM(OFFSET(Table157[[#Headers],[Days in month]],1,0):Table157[[#This Row],[Days in month]])</f>
        <v>10070</v>
      </c>
      <c r="T347" s="37">
        <f>InterestRate*AmortizationMultiplier*IF(ISNUMBER(SEARCH("Actual",$C$7)),Table157[[#This Row],[Days in month]]/365,1/12)</f>
        <v>2.9708333333333331E-3</v>
      </c>
    </row>
    <row r="348" spans="2:20" x14ac:dyDescent="0.2">
      <c r="B348" s="1">
        <f t="shared" si="18"/>
        <v>55943</v>
      </c>
      <c r="C348" s="2">
        <f t="shared" si="20"/>
        <v>332</v>
      </c>
      <c r="D348" s="3">
        <f t="shared" si="19"/>
        <v>0</v>
      </c>
      <c r="E348" s="3">
        <f>ROUND(Table157[[#This Row],[Beginning Balance]]*Table157[[#This Row],[Monthly Interest Rate]],2)</f>
        <v>0</v>
      </c>
      <c r="F348" s="3">
        <f t="shared" si="21"/>
        <v>-76</v>
      </c>
      <c r="G348" s="23">
        <f>IFERROR(IF($C$13="No","N/A",IF(Table157[[#This Row],[Period]]=1,$C$6,PMT(InterestRate*AmortizationMultiplier/12,Table157[[#This Row],[Am Thru]],-Table157[[#This Row],[Beginning Balance]]))),0)</f>
        <v>0</v>
      </c>
      <c r="H348" s="3">
        <f>MAX(0,IF(C348=$C$4,D348,ROUND(IF($C$3="Fixed Principal",$C$6-Table157[[#This Row],[Interest]],IF($C$3="Interest Only",Table157[[#This Row],[Beginning Balance]]*ROUND(1-(1-IF($C$11="No",$E$8,1))^(1/12),6),MIN(IF($C$13="Yes",Table157[[#This Row],[Payment Amount (Reamortized)]],$C$6)-Table157[[#This Row],[Interest]],Table157[[#This Row],[Beginning Balance]]))),2)))</f>
        <v>0</v>
      </c>
      <c r="I348" s="3">
        <f>_xlfn.SINGLE(IF($C$3="Line of Credit",0,ROUND(MAX(MIN(IF($C$10="No",$E$7,VLOOKUP(Table157[[#This Row],[Period]],Forecast!$H$2:$L$1048576,4,FALSE))*Table157[[#This Row],[Beginning Balance]],Table157[[#This Row],[Beginning Balance]]-Table157[[#This Row],[Principal]]),0),2)))</f>
        <v>0</v>
      </c>
      <c r="J348" s="3">
        <f>ROUND(MIN(Table157[[#This Row],[Beginning Balance]]*IF($C$8="No",$E$3,VLOOKUP(Table157[[#This Row],[Period]],Forecast!$H$2:$L$1048576,2,FALSE)),Table157[[#This Row],[Beginning Balance]]-Table157[[#This Row],[Principal]]-Table157[[#This Row],[Prepayments]]),2)</f>
        <v>0</v>
      </c>
      <c r="K348" s="3">
        <f>ROUND(Table157[[#This Row],[Defaulted Principal]]*IF($C$9="No",$E$4,VLOOKUP(Table157[[#This Row],[Period]],Forecast!$H$2:$L$1048576,3,FALSE)),2)</f>
        <v>0</v>
      </c>
      <c r="L348" s="2">
        <f>Table157[[#This Row],[Period]]+$E$9</f>
        <v>344</v>
      </c>
      <c r="M348" s="3">
        <f>Table157[[#This Row],[Defaulted Principal]]-Table157[[#This Row],[Estimated Loss]]</f>
        <v>0</v>
      </c>
      <c r="N348" s="3">
        <f>IFERROR(VLOOKUP(Table157[[#This Row],[Period]],$L$16:$M$385,2,FALSE),0)</f>
        <v>0</v>
      </c>
      <c r="O348" s="3">
        <f>Table157[[#This Row],[Beginning Balance]]-Table157[[#This Row],[Principal]]-Table157[[#This Row],[Prepayments]]-Table157[[#This Row],[Defaulted Principal]]</f>
        <v>0</v>
      </c>
      <c r="P348" s="3">
        <f>Table157[[#This Row],[Principal]]+Table157[[#This Row],[Interest]]+Table157[[#This Row],[Prepayments]]+Table157[[#This Row],[RecoveredAmount]]</f>
        <v>0</v>
      </c>
      <c r="Q348" s="3">
        <f ca="1">ROUND(Table157[[#This Row],[Cash Flow]]/((1+ActualRateToUse)^(IF(ISNUMBER(SEARCH("Actual",$C$7)),Table157[[#This Row],[Running Total]]/365,Table157[[#This Row],[Period]]/12))),2)</f>
        <v>0</v>
      </c>
      <c r="R348" s="2">
        <f>IF(MONTH(Table157[[#This Row],[Date]])=2,28,DAY(DATE(YEAR(Table157[[#This Row],[Date]]),MONTH(Table157[[#This Row],[Date]])+1,1)-1))</f>
        <v>28</v>
      </c>
      <c r="S348" s="2">
        <f ca="1">SUM(OFFSET(Table157[[#Headers],[Days in month]],1,0):Table157[[#This Row],[Days in month]])</f>
        <v>10098</v>
      </c>
      <c r="T348" s="37">
        <f>InterestRate*AmortizationMultiplier*IF(ISNUMBER(SEARCH("Actual",$C$7)),Table157[[#This Row],[Days in month]]/365,1/12)</f>
        <v>2.6833333333333336E-3</v>
      </c>
    </row>
    <row r="349" spans="2:20" x14ac:dyDescent="0.2">
      <c r="B349" s="1">
        <f t="shared" si="18"/>
        <v>55974</v>
      </c>
      <c r="C349" s="2">
        <f t="shared" si="20"/>
        <v>333</v>
      </c>
      <c r="D349" s="3">
        <f t="shared" si="19"/>
        <v>0</v>
      </c>
      <c r="E349" s="3">
        <f>ROUND(Table157[[#This Row],[Beginning Balance]]*Table157[[#This Row],[Monthly Interest Rate]],2)</f>
        <v>0</v>
      </c>
      <c r="F349" s="3">
        <f t="shared" si="21"/>
        <v>-77</v>
      </c>
      <c r="G349" s="23">
        <f>IFERROR(IF($C$13="No","N/A",IF(Table157[[#This Row],[Period]]=1,$C$6,PMT(InterestRate*AmortizationMultiplier/12,Table157[[#This Row],[Am Thru]],-Table157[[#This Row],[Beginning Balance]]))),0)</f>
        <v>0</v>
      </c>
      <c r="H349" s="3">
        <f>MAX(0,IF(C349=$C$4,D349,ROUND(IF($C$3="Fixed Principal",$C$6-Table157[[#This Row],[Interest]],IF($C$3="Interest Only",Table157[[#This Row],[Beginning Balance]]*ROUND(1-(1-IF($C$11="No",$E$8,1))^(1/12),6),MIN(IF($C$13="Yes",Table157[[#This Row],[Payment Amount (Reamortized)]],$C$6)-Table157[[#This Row],[Interest]],Table157[[#This Row],[Beginning Balance]]))),2)))</f>
        <v>0</v>
      </c>
      <c r="I349" s="3">
        <f>_xlfn.SINGLE(IF($C$3="Line of Credit",0,ROUND(MAX(MIN(IF($C$10="No",$E$7,VLOOKUP(Table157[[#This Row],[Period]],Forecast!$H$2:$L$1048576,4,FALSE))*Table157[[#This Row],[Beginning Balance]],Table157[[#This Row],[Beginning Balance]]-Table157[[#This Row],[Principal]]),0),2)))</f>
        <v>0</v>
      </c>
      <c r="J349" s="3">
        <f>ROUND(MIN(Table157[[#This Row],[Beginning Balance]]*IF($C$8="No",$E$3,VLOOKUP(Table157[[#This Row],[Period]],Forecast!$H$2:$L$1048576,2,FALSE)),Table157[[#This Row],[Beginning Balance]]-Table157[[#This Row],[Principal]]-Table157[[#This Row],[Prepayments]]),2)</f>
        <v>0</v>
      </c>
      <c r="K349" s="3">
        <f>ROUND(Table157[[#This Row],[Defaulted Principal]]*IF($C$9="No",$E$4,VLOOKUP(Table157[[#This Row],[Period]],Forecast!$H$2:$L$1048576,3,FALSE)),2)</f>
        <v>0</v>
      </c>
      <c r="L349" s="2">
        <f>Table157[[#This Row],[Period]]+$E$9</f>
        <v>345</v>
      </c>
      <c r="M349" s="3">
        <f>Table157[[#This Row],[Defaulted Principal]]-Table157[[#This Row],[Estimated Loss]]</f>
        <v>0</v>
      </c>
      <c r="N349" s="3">
        <f>IFERROR(VLOOKUP(Table157[[#This Row],[Period]],$L$16:$M$385,2,FALSE),0)</f>
        <v>0</v>
      </c>
      <c r="O349" s="3">
        <f>Table157[[#This Row],[Beginning Balance]]-Table157[[#This Row],[Principal]]-Table157[[#This Row],[Prepayments]]-Table157[[#This Row],[Defaulted Principal]]</f>
        <v>0</v>
      </c>
      <c r="P349" s="3">
        <f>Table157[[#This Row],[Principal]]+Table157[[#This Row],[Interest]]+Table157[[#This Row],[Prepayments]]+Table157[[#This Row],[RecoveredAmount]]</f>
        <v>0</v>
      </c>
      <c r="Q349" s="3">
        <f ca="1">ROUND(Table157[[#This Row],[Cash Flow]]/((1+ActualRateToUse)^(IF(ISNUMBER(SEARCH("Actual",$C$7)),Table157[[#This Row],[Running Total]]/365,Table157[[#This Row],[Period]]/12))),2)</f>
        <v>0</v>
      </c>
      <c r="R349" s="2">
        <f>IF(MONTH(Table157[[#This Row],[Date]])=2,28,DAY(DATE(YEAR(Table157[[#This Row],[Date]]),MONTH(Table157[[#This Row],[Date]])+1,1)-1))</f>
        <v>31</v>
      </c>
      <c r="S349" s="2">
        <f ca="1">SUM(OFFSET(Table157[[#Headers],[Days in month]],1,0):Table157[[#This Row],[Days in month]])</f>
        <v>10129</v>
      </c>
      <c r="T349" s="37">
        <f>InterestRate*AmortizationMultiplier*IF(ISNUMBER(SEARCH("Actual",$C$7)),Table157[[#This Row],[Days in month]]/365,1/12)</f>
        <v>2.9708333333333331E-3</v>
      </c>
    </row>
    <row r="350" spans="2:20" x14ac:dyDescent="0.2">
      <c r="B350" s="1">
        <f t="shared" si="18"/>
        <v>56004</v>
      </c>
      <c r="C350" s="2">
        <f t="shared" si="20"/>
        <v>334</v>
      </c>
      <c r="D350" s="3">
        <f t="shared" si="19"/>
        <v>0</v>
      </c>
      <c r="E350" s="3">
        <f>ROUND(Table157[[#This Row],[Beginning Balance]]*Table157[[#This Row],[Monthly Interest Rate]],2)</f>
        <v>0</v>
      </c>
      <c r="F350" s="3">
        <f t="shared" si="21"/>
        <v>-78</v>
      </c>
      <c r="G350" s="23">
        <f>IFERROR(IF($C$13="No","N/A",IF(Table157[[#This Row],[Period]]=1,$C$6,PMT(InterestRate*AmortizationMultiplier/12,Table157[[#This Row],[Am Thru]],-Table157[[#This Row],[Beginning Balance]]))),0)</f>
        <v>0</v>
      </c>
      <c r="H350" s="3">
        <f>MAX(0,IF(C350=$C$4,D350,ROUND(IF($C$3="Fixed Principal",$C$6-Table157[[#This Row],[Interest]],IF($C$3="Interest Only",Table157[[#This Row],[Beginning Balance]]*ROUND(1-(1-IF($C$11="No",$E$8,1))^(1/12),6),MIN(IF($C$13="Yes",Table157[[#This Row],[Payment Amount (Reamortized)]],$C$6)-Table157[[#This Row],[Interest]],Table157[[#This Row],[Beginning Balance]]))),2)))</f>
        <v>0</v>
      </c>
      <c r="I350" s="3">
        <f>_xlfn.SINGLE(IF($C$3="Line of Credit",0,ROUND(MAX(MIN(IF($C$10="No",$E$7,VLOOKUP(Table157[[#This Row],[Period]],Forecast!$H$2:$L$1048576,4,FALSE))*Table157[[#This Row],[Beginning Balance]],Table157[[#This Row],[Beginning Balance]]-Table157[[#This Row],[Principal]]),0),2)))</f>
        <v>0</v>
      </c>
      <c r="J350" s="3">
        <f>ROUND(MIN(Table157[[#This Row],[Beginning Balance]]*IF($C$8="No",$E$3,VLOOKUP(Table157[[#This Row],[Period]],Forecast!$H$2:$L$1048576,2,FALSE)),Table157[[#This Row],[Beginning Balance]]-Table157[[#This Row],[Principal]]-Table157[[#This Row],[Prepayments]]),2)</f>
        <v>0</v>
      </c>
      <c r="K350" s="3">
        <f>ROUND(Table157[[#This Row],[Defaulted Principal]]*IF($C$9="No",$E$4,VLOOKUP(Table157[[#This Row],[Period]],Forecast!$H$2:$L$1048576,3,FALSE)),2)</f>
        <v>0</v>
      </c>
      <c r="L350" s="2">
        <f>Table157[[#This Row],[Period]]+$E$9</f>
        <v>346</v>
      </c>
      <c r="M350" s="3">
        <f>Table157[[#This Row],[Defaulted Principal]]-Table157[[#This Row],[Estimated Loss]]</f>
        <v>0</v>
      </c>
      <c r="N350" s="3">
        <f>IFERROR(VLOOKUP(Table157[[#This Row],[Period]],$L$16:$M$385,2,FALSE),0)</f>
        <v>0</v>
      </c>
      <c r="O350" s="3">
        <f>Table157[[#This Row],[Beginning Balance]]-Table157[[#This Row],[Principal]]-Table157[[#This Row],[Prepayments]]-Table157[[#This Row],[Defaulted Principal]]</f>
        <v>0</v>
      </c>
      <c r="P350" s="3">
        <f>Table157[[#This Row],[Principal]]+Table157[[#This Row],[Interest]]+Table157[[#This Row],[Prepayments]]+Table157[[#This Row],[RecoveredAmount]]</f>
        <v>0</v>
      </c>
      <c r="Q350" s="3">
        <f ca="1">ROUND(Table157[[#This Row],[Cash Flow]]/((1+ActualRateToUse)^(IF(ISNUMBER(SEARCH("Actual",$C$7)),Table157[[#This Row],[Running Total]]/365,Table157[[#This Row],[Period]]/12))),2)</f>
        <v>0</v>
      </c>
      <c r="R350" s="2">
        <f>IF(MONTH(Table157[[#This Row],[Date]])=2,28,DAY(DATE(YEAR(Table157[[#This Row],[Date]]),MONTH(Table157[[#This Row],[Date]])+1,1)-1))</f>
        <v>30</v>
      </c>
      <c r="S350" s="2">
        <f ca="1">SUM(OFFSET(Table157[[#Headers],[Days in month]],1,0):Table157[[#This Row],[Days in month]])</f>
        <v>10159</v>
      </c>
      <c r="T350" s="37">
        <f>InterestRate*AmortizationMultiplier*IF(ISNUMBER(SEARCH("Actual",$C$7)),Table157[[#This Row],[Days in month]]/365,1/12)</f>
        <v>2.8749999999999995E-3</v>
      </c>
    </row>
    <row r="351" spans="2:20" x14ac:dyDescent="0.2">
      <c r="B351" s="1">
        <f t="shared" si="18"/>
        <v>56035</v>
      </c>
      <c r="C351" s="2">
        <f t="shared" si="20"/>
        <v>335</v>
      </c>
      <c r="D351" s="3">
        <f t="shared" si="19"/>
        <v>0</v>
      </c>
      <c r="E351" s="3">
        <f>ROUND(Table157[[#This Row],[Beginning Balance]]*Table157[[#This Row],[Monthly Interest Rate]],2)</f>
        <v>0</v>
      </c>
      <c r="F351" s="3">
        <f t="shared" si="21"/>
        <v>-79</v>
      </c>
      <c r="G351" s="23">
        <f>IFERROR(IF($C$13="No","N/A",IF(Table157[[#This Row],[Period]]=1,$C$6,PMT(InterestRate*AmortizationMultiplier/12,Table157[[#This Row],[Am Thru]],-Table157[[#This Row],[Beginning Balance]]))),0)</f>
        <v>0</v>
      </c>
      <c r="H351" s="3">
        <f>MAX(0,IF(C351=$C$4,D351,ROUND(IF($C$3="Fixed Principal",$C$6-Table157[[#This Row],[Interest]],IF($C$3="Interest Only",Table157[[#This Row],[Beginning Balance]]*ROUND(1-(1-IF($C$11="No",$E$8,1))^(1/12),6),MIN(IF($C$13="Yes",Table157[[#This Row],[Payment Amount (Reamortized)]],$C$6)-Table157[[#This Row],[Interest]],Table157[[#This Row],[Beginning Balance]]))),2)))</f>
        <v>0</v>
      </c>
      <c r="I351" s="3">
        <f>_xlfn.SINGLE(IF($C$3="Line of Credit",0,ROUND(MAX(MIN(IF($C$10="No",$E$7,VLOOKUP(Table157[[#This Row],[Period]],Forecast!$H$2:$L$1048576,4,FALSE))*Table157[[#This Row],[Beginning Balance]],Table157[[#This Row],[Beginning Balance]]-Table157[[#This Row],[Principal]]),0),2)))</f>
        <v>0</v>
      </c>
      <c r="J351" s="3">
        <f>ROUND(MIN(Table157[[#This Row],[Beginning Balance]]*IF($C$8="No",$E$3,VLOOKUP(Table157[[#This Row],[Period]],Forecast!$H$2:$L$1048576,2,FALSE)),Table157[[#This Row],[Beginning Balance]]-Table157[[#This Row],[Principal]]-Table157[[#This Row],[Prepayments]]),2)</f>
        <v>0</v>
      </c>
      <c r="K351" s="3">
        <f>ROUND(Table157[[#This Row],[Defaulted Principal]]*IF($C$9="No",$E$4,VLOOKUP(Table157[[#This Row],[Period]],Forecast!$H$2:$L$1048576,3,FALSE)),2)</f>
        <v>0</v>
      </c>
      <c r="L351" s="2">
        <f>Table157[[#This Row],[Period]]+$E$9</f>
        <v>347</v>
      </c>
      <c r="M351" s="3">
        <f>Table157[[#This Row],[Defaulted Principal]]-Table157[[#This Row],[Estimated Loss]]</f>
        <v>0</v>
      </c>
      <c r="N351" s="3">
        <f>IFERROR(VLOOKUP(Table157[[#This Row],[Period]],$L$16:$M$385,2,FALSE),0)</f>
        <v>0</v>
      </c>
      <c r="O351" s="3">
        <f>Table157[[#This Row],[Beginning Balance]]-Table157[[#This Row],[Principal]]-Table157[[#This Row],[Prepayments]]-Table157[[#This Row],[Defaulted Principal]]</f>
        <v>0</v>
      </c>
      <c r="P351" s="3">
        <f>Table157[[#This Row],[Principal]]+Table157[[#This Row],[Interest]]+Table157[[#This Row],[Prepayments]]+Table157[[#This Row],[RecoveredAmount]]</f>
        <v>0</v>
      </c>
      <c r="Q351" s="3">
        <f ca="1">ROUND(Table157[[#This Row],[Cash Flow]]/((1+ActualRateToUse)^(IF(ISNUMBER(SEARCH("Actual",$C$7)),Table157[[#This Row],[Running Total]]/365,Table157[[#This Row],[Period]]/12))),2)</f>
        <v>0</v>
      </c>
      <c r="R351" s="2">
        <f>IF(MONTH(Table157[[#This Row],[Date]])=2,28,DAY(DATE(YEAR(Table157[[#This Row],[Date]]),MONTH(Table157[[#This Row],[Date]])+1,1)-1))</f>
        <v>31</v>
      </c>
      <c r="S351" s="2">
        <f ca="1">SUM(OFFSET(Table157[[#Headers],[Days in month]],1,0):Table157[[#This Row],[Days in month]])</f>
        <v>10190</v>
      </c>
      <c r="T351" s="37">
        <f>InterestRate*AmortizationMultiplier*IF(ISNUMBER(SEARCH("Actual",$C$7)),Table157[[#This Row],[Days in month]]/365,1/12)</f>
        <v>2.9708333333333331E-3</v>
      </c>
    </row>
    <row r="352" spans="2:20" x14ac:dyDescent="0.2">
      <c r="B352" s="1">
        <f t="shared" si="18"/>
        <v>56065</v>
      </c>
      <c r="C352" s="2">
        <f t="shared" si="20"/>
        <v>336</v>
      </c>
      <c r="D352" s="3">
        <f t="shared" si="19"/>
        <v>0</v>
      </c>
      <c r="E352" s="3">
        <f>ROUND(Table157[[#This Row],[Beginning Balance]]*Table157[[#This Row],[Monthly Interest Rate]],2)</f>
        <v>0</v>
      </c>
      <c r="F352" s="3">
        <f t="shared" si="21"/>
        <v>-80</v>
      </c>
      <c r="G352" s="23">
        <f>IFERROR(IF($C$13="No","N/A",IF(Table157[[#This Row],[Period]]=1,$C$6,PMT(InterestRate*AmortizationMultiplier/12,Table157[[#This Row],[Am Thru]],-Table157[[#This Row],[Beginning Balance]]))),0)</f>
        <v>0</v>
      </c>
      <c r="H352" s="3">
        <f>MAX(0,IF(C352=$C$4,D352,ROUND(IF($C$3="Fixed Principal",$C$6-Table157[[#This Row],[Interest]],IF($C$3="Interest Only",Table157[[#This Row],[Beginning Balance]]*ROUND(1-(1-IF($C$11="No",$E$8,1))^(1/12),6),MIN(IF($C$13="Yes",Table157[[#This Row],[Payment Amount (Reamortized)]],$C$6)-Table157[[#This Row],[Interest]],Table157[[#This Row],[Beginning Balance]]))),2)))</f>
        <v>0</v>
      </c>
      <c r="I352" s="3">
        <f>_xlfn.SINGLE(IF($C$3="Line of Credit",0,ROUND(MAX(MIN(IF($C$10="No",$E$7,VLOOKUP(Table157[[#This Row],[Period]],Forecast!$H$2:$L$1048576,4,FALSE))*Table157[[#This Row],[Beginning Balance]],Table157[[#This Row],[Beginning Balance]]-Table157[[#This Row],[Principal]]),0),2)))</f>
        <v>0</v>
      </c>
      <c r="J352" s="3">
        <f>ROUND(MIN(Table157[[#This Row],[Beginning Balance]]*IF($C$8="No",$E$3,VLOOKUP(Table157[[#This Row],[Period]],Forecast!$H$2:$L$1048576,2,FALSE)),Table157[[#This Row],[Beginning Balance]]-Table157[[#This Row],[Principal]]-Table157[[#This Row],[Prepayments]]),2)</f>
        <v>0</v>
      </c>
      <c r="K352" s="3">
        <f>ROUND(Table157[[#This Row],[Defaulted Principal]]*IF($C$9="No",$E$4,VLOOKUP(Table157[[#This Row],[Period]],Forecast!$H$2:$L$1048576,3,FALSE)),2)</f>
        <v>0</v>
      </c>
      <c r="L352" s="2">
        <f>Table157[[#This Row],[Period]]+$E$9</f>
        <v>348</v>
      </c>
      <c r="M352" s="3">
        <f>Table157[[#This Row],[Defaulted Principal]]-Table157[[#This Row],[Estimated Loss]]</f>
        <v>0</v>
      </c>
      <c r="N352" s="3">
        <f>IFERROR(VLOOKUP(Table157[[#This Row],[Period]],$L$16:$M$385,2,FALSE),0)</f>
        <v>0</v>
      </c>
      <c r="O352" s="3">
        <f>Table157[[#This Row],[Beginning Balance]]-Table157[[#This Row],[Principal]]-Table157[[#This Row],[Prepayments]]-Table157[[#This Row],[Defaulted Principal]]</f>
        <v>0</v>
      </c>
      <c r="P352" s="3">
        <f>Table157[[#This Row],[Principal]]+Table157[[#This Row],[Interest]]+Table157[[#This Row],[Prepayments]]+Table157[[#This Row],[RecoveredAmount]]</f>
        <v>0</v>
      </c>
      <c r="Q352" s="3">
        <f ca="1">ROUND(Table157[[#This Row],[Cash Flow]]/((1+ActualRateToUse)^(IF(ISNUMBER(SEARCH("Actual",$C$7)),Table157[[#This Row],[Running Total]]/365,Table157[[#This Row],[Period]]/12))),2)</f>
        <v>0</v>
      </c>
      <c r="R352" s="2">
        <f>IF(MONTH(Table157[[#This Row],[Date]])=2,28,DAY(DATE(YEAR(Table157[[#This Row],[Date]]),MONTH(Table157[[#This Row],[Date]])+1,1)-1))</f>
        <v>30</v>
      </c>
      <c r="S352" s="2">
        <f ca="1">SUM(OFFSET(Table157[[#Headers],[Days in month]],1,0):Table157[[#This Row],[Days in month]])</f>
        <v>10220</v>
      </c>
      <c r="T352" s="37">
        <f>InterestRate*AmortizationMultiplier*IF(ISNUMBER(SEARCH("Actual",$C$7)),Table157[[#This Row],[Days in month]]/365,1/12)</f>
        <v>2.8749999999999995E-3</v>
      </c>
    </row>
    <row r="353" spans="2:20" x14ac:dyDescent="0.2">
      <c r="B353" s="1">
        <f t="shared" si="18"/>
        <v>56096</v>
      </c>
      <c r="C353" s="2">
        <f t="shared" si="20"/>
        <v>337</v>
      </c>
      <c r="D353" s="3">
        <f t="shared" si="19"/>
        <v>0</v>
      </c>
      <c r="E353" s="3">
        <f>ROUND(Table157[[#This Row],[Beginning Balance]]*Table157[[#This Row],[Monthly Interest Rate]],2)</f>
        <v>0</v>
      </c>
      <c r="F353" s="3">
        <f t="shared" si="21"/>
        <v>-81</v>
      </c>
      <c r="G353" s="23">
        <f>IFERROR(IF($C$13="No","N/A",IF(Table157[[#This Row],[Period]]=1,$C$6,PMT(InterestRate*AmortizationMultiplier/12,Table157[[#This Row],[Am Thru]],-Table157[[#This Row],[Beginning Balance]]))),0)</f>
        <v>0</v>
      </c>
      <c r="H353" s="3">
        <f>MAX(0,IF(C353=$C$4,D353,ROUND(IF($C$3="Fixed Principal",$C$6-Table157[[#This Row],[Interest]],IF($C$3="Interest Only",Table157[[#This Row],[Beginning Balance]]*ROUND(1-(1-IF($C$11="No",$E$8,1))^(1/12),6),MIN(IF($C$13="Yes",Table157[[#This Row],[Payment Amount (Reamortized)]],$C$6)-Table157[[#This Row],[Interest]],Table157[[#This Row],[Beginning Balance]]))),2)))</f>
        <v>0</v>
      </c>
      <c r="I353" s="3">
        <f>_xlfn.SINGLE(IF($C$3="Line of Credit",0,ROUND(MAX(MIN(IF($C$10="No",$E$7,VLOOKUP(Table157[[#This Row],[Period]],Forecast!$H$2:$L$1048576,4,FALSE))*Table157[[#This Row],[Beginning Balance]],Table157[[#This Row],[Beginning Balance]]-Table157[[#This Row],[Principal]]),0),2)))</f>
        <v>0</v>
      </c>
      <c r="J353" s="3">
        <f>ROUND(MIN(Table157[[#This Row],[Beginning Balance]]*IF($C$8="No",$E$3,VLOOKUP(Table157[[#This Row],[Period]],Forecast!$H$2:$L$1048576,2,FALSE)),Table157[[#This Row],[Beginning Balance]]-Table157[[#This Row],[Principal]]-Table157[[#This Row],[Prepayments]]),2)</f>
        <v>0</v>
      </c>
      <c r="K353" s="3">
        <f>ROUND(Table157[[#This Row],[Defaulted Principal]]*IF($C$9="No",$E$4,VLOOKUP(Table157[[#This Row],[Period]],Forecast!$H$2:$L$1048576,3,FALSE)),2)</f>
        <v>0</v>
      </c>
      <c r="L353" s="2">
        <f>Table157[[#This Row],[Period]]+$E$9</f>
        <v>349</v>
      </c>
      <c r="M353" s="3">
        <f>Table157[[#This Row],[Defaulted Principal]]-Table157[[#This Row],[Estimated Loss]]</f>
        <v>0</v>
      </c>
      <c r="N353" s="3">
        <f>IFERROR(VLOOKUP(Table157[[#This Row],[Period]],$L$16:$M$385,2,FALSE),0)</f>
        <v>0</v>
      </c>
      <c r="O353" s="3">
        <f>Table157[[#This Row],[Beginning Balance]]-Table157[[#This Row],[Principal]]-Table157[[#This Row],[Prepayments]]-Table157[[#This Row],[Defaulted Principal]]</f>
        <v>0</v>
      </c>
      <c r="P353" s="3">
        <f>Table157[[#This Row],[Principal]]+Table157[[#This Row],[Interest]]+Table157[[#This Row],[Prepayments]]+Table157[[#This Row],[RecoveredAmount]]</f>
        <v>0</v>
      </c>
      <c r="Q353" s="3">
        <f ca="1">ROUND(Table157[[#This Row],[Cash Flow]]/((1+ActualRateToUse)^(IF(ISNUMBER(SEARCH("Actual",$C$7)),Table157[[#This Row],[Running Total]]/365,Table157[[#This Row],[Period]]/12))),2)</f>
        <v>0</v>
      </c>
      <c r="R353" s="2">
        <f>IF(MONTH(Table157[[#This Row],[Date]])=2,28,DAY(DATE(YEAR(Table157[[#This Row],[Date]]),MONTH(Table157[[#This Row],[Date]])+1,1)-1))</f>
        <v>31</v>
      </c>
      <c r="S353" s="2">
        <f ca="1">SUM(OFFSET(Table157[[#Headers],[Days in month]],1,0):Table157[[#This Row],[Days in month]])</f>
        <v>10251</v>
      </c>
      <c r="T353" s="37">
        <f>InterestRate*AmortizationMultiplier*IF(ISNUMBER(SEARCH("Actual",$C$7)),Table157[[#This Row],[Days in month]]/365,1/12)</f>
        <v>2.9708333333333331E-3</v>
      </c>
    </row>
    <row r="354" spans="2:20" x14ac:dyDescent="0.2">
      <c r="B354" s="1">
        <f t="shared" si="18"/>
        <v>56127</v>
      </c>
      <c r="C354" s="2">
        <f t="shared" si="20"/>
        <v>338</v>
      </c>
      <c r="D354" s="3">
        <f t="shared" si="19"/>
        <v>0</v>
      </c>
      <c r="E354" s="3">
        <f>ROUND(Table157[[#This Row],[Beginning Balance]]*Table157[[#This Row],[Monthly Interest Rate]],2)</f>
        <v>0</v>
      </c>
      <c r="F354" s="3">
        <f t="shared" si="21"/>
        <v>-82</v>
      </c>
      <c r="G354" s="23">
        <f>IFERROR(IF($C$13="No","N/A",IF(Table157[[#This Row],[Period]]=1,$C$6,PMT(InterestRate*AmortizationMultiplier/12,Table157[[#This Row],[Am Thru]],-Table157[[#This Row],[Beginning Balance]]))),0)</f>
        <v>0</v>
      </c>
      <c r="H354" s="3">
        <f>MAX(0,IF(C354=$C$4,D354,ROUND(IF($C$3="Fixed Principal",$C$6-Table157[[#This Row],[Interest]],IF($C$3="Interest Only",Table157[[#This Row],[Beginning Balance]]*ROUND(1-(1-IF($C$11="No",$E$8,1))^(1/12),6),MIN(IF($C$13="Yes",Table157[[#This Row],[Payment Amount (Reamortized)]],$C$6)-Table157[[#This Row],[Interest]],Table157[[#This Row],[Beginning Balance]]))),2)))</f>
        <v>0</v>
      </c>
      <c r="I354" s="3">
        <f>_xlfn.SINGLE(IF($C$3="Line of Credit",0,ROUND(MAX(MIN(IF($C$10="No",$E$7,VLOOKUP(Table157[[#This Row],[Period]],Forecast!$H$2:$L$1048576,4,FALSE))*Table157[[#This Row],[Beginning Balance]],Table157[[#This Row],[Beginning Balance]]-Table157[[#This Row],[Principal]]),0),2)))</f>
        <v>0</v>
      </c>
      <c r="J354" s="3">
        <f>ROUND(MIN(Table157[[#This Row],[Beginning Balance]]*IF($C$8="No",$E$3,VLOOKUP(Table157[[#This Row],[Period]],Forecast!$H$2:$L$1048576,2,FALSE)),Table157[[#This Row],[Beginning Balance]]-Table157[[#This Row],[Principal]]-Table157[[#This Row],[Prepayments]]),2)</f>
        <v>0</v>
      </c>
      <c r="K354" s="3">
        <f>ROUND(Table157[[#This Row],[Defaulted Principal]]*IF($C$9="No",$E$4,VLOOKUP(Table157[[#This Row],[Period]],Forecast!$H$2:$L$1048576,3,FALSE)),2)</f>
        <v>0</v>
      </c>
      <c r="L354" s="2">
        <f>Table157[[#This Row],[Period]]+$E$9</f>
        <v>350</v>
      </c>
      <c r="M354" s="3">
        <f>Table157[[#This Row],[Defaulted Principal]]-Table157[[#This Row],[Estimated Loss]]</f>
        <v>0</v>
      </c>
      <c r="N354" s="3">
        <f>IFERROR(VLOOKUP(Table157[[#This Row],[Period]],$L$16:$M$385,2,FALSE),0)</f>
        <v>0</v>
      </c>
      <c r="O354" s="3">
        <f>Table157[[#This Row],[Beginning Balance]]-Table157[[#This Row],[Principal]]-Table157[[#This Row],[Prepayments]]-Table157[[#This Row],[Defaulted Principal]]</f>
        <v>0</v>
      </c>
      <c r="P354" s="3">
        <f>Table157[[#This Row],[Principal]]+Table157[[#This Row],[Interest]]+Table157[[#This Row],[Prepayments]]+Table157[[#This Row],[RecoveredAmount]]</f>
        <v>0</v>
      </c>
      <c r="Q354" s="3">
        <f ca="1">ROUND(Table157[[#This Row],[Cash Flow]]/((1+ActualRateToUse)^(IF(ISNUMBER(SEARCH("Actual",$C$7)),Table157[[#This Row],[Running Total]]/365,Table157[[#This Row],[Period]]/12))),2)</f>
        <v>0</v>
      </c>
      <c r="R354" s="2">
        <f>IF(MONTH(Table157[[#This Row],[Date]])=2,28,DAY(DATE(YEAR(Table157[[#This Row],[Date]]),MONTH(Table157[[#This Row],[Date]])+1,1)-1))</f>
        <v>31</v>
      </c>
      <c r="S354" s="2">
        <f ca="1">SUM(OFFSET(Table157[[#Headers],[Days in month]],1,0):Table157[[#This Row],[Days in month]])</f>
        <v>10282</v>
      </c>
      <c r="T354" s="37">
        <f>InterestRate*AmortizationMultiplier*IF(ISNUMBER(SEARCH("Actual",$C$7)),Table157[[#This Row],[Days in month]]/365,1/12)</f>
        <v>2.9708333333333331E-3</v>
      </c>
    </row>
    <row r="355" spans="2:20" x14ac:dyDescent="0.2">
      <c r="B355" s="1">
        <f t="shared" si="18"/>
        <v>56157</v>
      </c>
      <c r="C355" s="2">
        <f t="shared" si="20"/>
        <v>339</v>
      </c>
      <c r="D355" s="3">
        <f t="shared" si="19"/>
        <v>0</v>
      </c>
      <c r="E355" s="3">
        <f>ROUND(Table157[[#This Row],[Beginning Balance]]*Table157[[#This Row],[Monthly Interest Rate]],2)</f>
        <v>0</v>
      </c>
      <c r="F355" s="3">
        <f t="shared" si="21"/>
        <v>-83</v>
      </c>
      <c r="G355" s="23">
        <f>IFERROR(IF($C$13="No","N/A",IF(Table157[[#This Row],[Period]]=1,$C$6,PMT(InterestRate*AmortizationMultiplier/12,Table157[[#This Row],[Am Thru]],-Table157[[#This Row],[Beginning Balance]]))),0)</f>
        <v>0</v>
      </c>
      <c r="H355" s="3">
        <f>MAX(0,IF(C355=$C$4,D355,ROUND(IF($C$3="Fixed Principal",$C$6-Table157[[#This Row],[Interest]],IF($C$3="Interest Only",Table157[[#This Row],[Beginning Balance]]*ROUND(1-(1-IF($C$11="No",$E$8,1))^(1/12),6),MIN(IF($C$13="Yes",Table157[[#This Row],[Payment Amount (Reamortized)]],$C$6)-Table157[[#This Row],[Interest]],Table157[[#This Row],[Beginning Balance]]))),2)))</f>
        <v>0</v>
      </c>
      <c r="I355" s="3">
        <f>_xlfn.SINGLE(IF($C$3="Line of Credit",0,ROUND(MAX(MIN(IF($C$10="No",$E$7,VLOOKUP(Table157[[#This Row],[Period]],Forecast!$H$2:$L$1048576,4,FALSE))*Table157[[#This Row],[Beginning Balance]],Table157[[#This Row],[Beginning Balance]]-Table157[[#This Row],[Principal]]),0),2)))</f>
        <v>0</v>
      </c>
      <c r="J355" s="3">
        <f>ROUND(MIN(Table157[[#This Row],[Beginning Balance]]*IF($C$8="No",$E$3,VLOOKUP(Table157[[#This Row],[Period]],Forecast!$H$2:$L$1048576,2,FALSE)),Table157[[#This Row],[Beginning Balance]]-Table157[[#This Row],[Principal]]-Table157[[#This Row],[Prepayments]]),2)</f>
        <v>0</v>
      </c>
      <c r="K355" s="3">
        <f>ROUND(Table157[[#This Row],[Defaulted Principal]]*IF($C$9="No",$E$4,VLOOKUP(Table157[[#This Row],[Period]],Forecast!$H$2:$L$1048576,3,FALSE)),2)</f>
        <v>0</v>
      </c>
      <c r="L355" s="2">
        <f>Table157[[#This Row],[Period]]+$E$9</f>
        <v>351</v>
      </c>
      <c r="M355" s="3">
        <f>Table157[[#This Row],[Defaulted Principal]]-Table157[[#This Row],[Estimated Loss]]</f>
        <v>0</v>
      </c>
      <c r="N355" s="3">
        <f>IFERROR(VLOOKUP(Table157[[#This Row],[Period]],$L$16:$M$385,2,FALSE),0)</f>
        <v>0</v>
      </c>
      <c r="O355" s="3">
        <f>Table157[[#This Row],[Beginning Balance]]-Table157[[#This Row],[Principal]]-Table157[[#This Row],[Prepayments]]-Table157[[#This Row],[Defaulted Principal]]</f>
        <v>0</v>
      </c>
      <c r="P355" s="3">
        <f>Table157[[#This Row],[Principal]]+Table157[[#This Row],[Interest]]+Table157[[#This Row],[Prepayments]]+Table157[[#This Row],[RecoveredAmount]]</f>
        <v>0</v>
      </c>
      <c r="Q355" s="3">
        <f ca="1">ROUND(Table157[[#This Row],[Cash Flow]]/((1+ActualRateToUse)^(IF(ISNUMBER(SEARCH("Actual",$C$7)),Table157[[#This Row],[Running Total]]/365,Table157[[#This Row],[Period]]/12))),2)</f>
        <v>0</v>
      </c>
      <c r="R355" s="2">
        <f>IF(MONTH(Table157[[#This Row],[Date]])=2,28,DAY(DATE(YEAR(Table157[[#This Row],[Date]]),MONTH(Table157[[#This Row],[Date]])+1,1)-1))</f>
        <v>30</v>
      </c>
      <c r="S355" s="2">
        <f ca="1">SUM(OFFSET(Table157[[#Headers],[Days in month]],1,0):Table157[[#This Row],[Days in month]])</f>
        <v>10312</v>
      </c>
      <c r="T355" s="37">
        <f>InterestRate*AmortizationMultiplier*IF(ISNUMBER(SEARCH("Actual",$C$7)),Table157[[#This Row],[Days in month]]/365,1/12)</f>
        <v>2.8749999999999995E-3</v>
      </c>
    </row>
    <row r="356" spans="2:20" x14ac:dyDescent="0.2">
      <c r="B356" s="1">
        <f t="shared" si="18"/>
        <v>56188</v>
      </c>
      <c r="C356" s="2">
        <f t="shared" si="20"/>
        <v>340</v>
      </c>
      <c r="D356" s="3">
        <f t="shared" si="19"/>
        <v>0</v>
      </c>
      <c r="E356" s="3">
        <f>ROUND(Table157[[#This Row],[Beginning Balance]]*Table157[[#This Row],[Monthly Interest Rate]],2)</f>
        <v>0</v>
      </c>
      <c r="F356" s="3">
        <f t="shared" si="21"/>
        <v>-84</v>
      </c>
      <c r="G356" s="23">
        <f>IFERROR(IF($C$13="No","N/A",IF(Table157[[#This Row],[Period]]=1,$C$6,PMT(InterestRate*AmortizationMultiplier/12,Table157[[#This Row],[Am Thru]],-Table157[[#This Row],[Beginning Balance]]))),0)</f>
        <v>0</v>
      </c>
      <c r="H356" s="3">
        <f>MAX(0,IF(C356=$C$4,D356,ROUND(IF($C$3="Fixed Principal",$C$6-Table157[[#This Row],[Interest]],IF($C$3="Interest Only",Table157[[#This Row],[Beginning Balance]]*ROUND(1-(1-IF($C$11="No",$E$8,1))^(1/12),6),MIN(IF($C$13="Yes",Table157[[#This Row],[Payment Amount (Reamortized)]],$C$6)-Table157[[#This Row],[Interest]],Table157[[#This Row],[Beginning Balance]]))),2)))</f>
        <v>0</v>
      </c>
      <c r="I356" s="3">
        <f>_xlfn.SINGLE(IF($C$3="Line of Credit",0,ROUND(MAX(MIN(IF($C$10="No",$E$7,VLOOKUP(Table157[[#This Row],[Period]],Forecast!$H$2:$L$1048576,4,FALSE))*Table157[[#This Row],[Beginning Balance]],Table157[[#This Row],[Beginning Balance]]-Table157[[#This Row],[Principal]]),0),2)))</f>
        <v>0</v>
      </c>
      <c r="J356" s="3">
        <f>ROUND(MIN(Table157[[#This Row],[Beginning Balance]]*IF($C$8="No",$E$3,VLOOKUP(Table157[[#This Row],[Period]],Forecast!$H$2:$L$1048576,2,FALSE)),Table157[[#This Row],[Beginning Balance]]-Table157[[#This Row],[Principal]]-Table157[[#This Row],[Prepayments]]),2)</f>
        <v>0</v>
      </c>
      <c r="K356" s="3">
        <f>ROUND(Table157[[#This Row],[Defaulted Principal]]*IF($C$9="No",$E$4,VLOOKUP(Table157[[#This Row],[Period]],Forecast!$H$2:$L$1048576,3,FALSE)),2)</f>
        <v>0</v>
      </c>
      <c r="L356" s="2">
        <f>Table157[[#This Row],[Period]]+$E$9</f>
        <v>352</v>
      </c>
      <c r="M356" s="3">
        <f>Table157[[#This Row],[Defaulted Principal]]-Table157[[#This Row],[Estimated Loss]]</f>
        <v>0</v>
      </c>
      <c r="N356" s="3">
        <f>IFERROR(VLOOKUP(Table157[[#This Row],[Period]],$L$16:$M$385,2,FALSE),0)</f>
        <v>0</v>
      </c>
      <c r="O356" s="3">
        <f>Table157[[#This Row],[Beginning Balance]]-Table157[[#This Row],[Principal]]-Table157[[#This Row],[Prepayments]]-Table157[[#This Row],[Defaulted Principal]]</f>
        <v>0</v>
      </c>
      <c r="P356" s="3">
        <f>Table157[[#This Row],[Principal]]+Table157[[#This Row],[Interest]]+Table157[[#This Row],[Prepayments]]+Table157[[#This Row],[RecoveredAmount]]</f>
        <v>0</v>
      </c>
      <c r="Q356" s="3">
        <f ca="1">ROUND(Table157[[#This Row],[Cash Flow]]/((1+ActualRateToUse)^(IF(ISNUMBER(SEARCH("Actual",$C$7)),Table157[[#This Row],[Running Total]]/365,Table157[[#This Row],[Period]]/12))),2)</f>
        <v>0</v>
      </c>
      <c r="R356" s="2">
        <f>IF(MONTH(Table157[[#This Row],[Date]])=2,28,DAY(DATE(YEAR(Table157[[#This Row],[Date]]),MONTH(Table157[[#This Row],[Date]])+1,1)-1))</f>
        <v>31</v>
      </c>
      <c r="S356" s="2">
        <f ca="1">SUM(OFFSET(Table157[[#Headers],[Days in month]],1,0):Table157[[#This Row],[Days in month]])</f>
        <v>10343</v>
      </c>
      <c r="T356" s="37">
        <f>InterestRate*AmortizationMultiplier*IF(ISNUMBER(SEARCH("Actual",$C$7)),Table157[[#This Row],[Days in month]]/365,1/12)</f>
        <v>2.9708333333333331E-3</v>
      </c>
    </row>
    <row r="357" spans="2:20" x14ac:dyDescent="0.2">
      <c r="B357" s="1">
        <f t="shared" si="18"/>
        <v>56218</v>
      </c>
      <c r="C357" s="2">
        <f t="shared" si="20"/>
        <v>341</v>
      </c>
      <c r="D357" s="3">
        <f t="shared" si="19"/>
        <v>0</v>
      </c>
      <c r="E357" s="3">
        <f>ROUND(Table157[[#This Row],[Beginning Balance]]*Table157[[#This Row],[Monthly Interest Rate]],2)</f>
        <v>0</v>
      </c>
      <c r="F357" s="3">
        <f t="shared" si="21"/>
        <v>-85</v>
      </c>
      <c r="G357" s="23">
        <f>IFERROR(IF($C$13="No","N/A",IF(Table157[[#This Row],[Period]]=1,$C$6,PMT(InterestRate*AmortizationMultiplier/12,Table157[[#This Row],[Am Thru]],-Table157[[#This Row],[Beginning Balance]]))),0)</f>
        <v>0</v>
      </c>
      <c r="H357" s="3">
        <f>MAX(0,IF(C357=$C$4,D357,ROUND(IF($C$3="Fixed Principal",$C$6-Table157[[#This Row],[Interest]],IF($C$3="Interest Only",Table157[[#This Row],[Beginning Balance]]*ROUND(1-(1-IF($C$11="No",$E$8,1))^(1/12),6),MIN(IF($C$13="Yes",Table157[[#This Row],[Payment Amount (Reamortized)]],$C$6)-Table157[[#This Row],[Interest]],Table157[[#This Row],[Beginning Balance]]))),2)))</f>
        <v>0</v>
      </c>
      <c r="I357" s="3">
        <f>_xlfn.SINGLE(IF($C$3="Line of Credit",0,ROUND(MAX(MIN(IF($C$10="No",$E$7,VLOOKUP(Table157[[#This Row],[Period]],Forecast!$H$2:$L$1048576,4,FALSE))*Table157[[#This Row],[Beginning Balance]],Table157[[#This Row],[Beginning Balance]]-Table157[[#This Row],[Principal]]),0),2)))</f>
        <v>0</v>
      </c>
      <c r="J357" s="3">
        <f>ROUND(MIN(Table157[[#This Row],[Beginning Balance]]*IF($C$8="No",$E$3,VLOOKUP(Table157[[#This Row],[Period]],Forecast!$H$2:$L$1048576,2,FALSE)),Table157[[#This Row],[Beginning Balance]]-Table157[[#This Row],[Principal]]-Table157[[#This Row],[Prepayments]]),2)</f>
        <v>0</v>
      </c>
      <c r="K357" s="3">
        <f>ROUND(Table157[[#This Row],[Defaulted Principal]]*IF($C$9="No",$E$4,VLOOKUP(Table157[[#This Row],[Period]],Forecast!$H$2:$L$1048576,3,FALSE)),2)</f>
        <v>0</v>
      </c>
      <c r="L357" s="2">
        <f>Table157[[#This Row],[Period]]+$E$9</f>
        <v>353</v>
      </c>
      <c r="M357" s="3">
        <f>Table157[[#This Row],[Defaulted Principal]]-Table157[[#This Row],[Estimated Loss]]</f>
        <v>0</v>
      </c>
      <c r="N357" s="3">
        <f>IFERROR(VLOOKUP(Table157[[#This Row],[Period]],$L$16:$M$385,2,FALSE),0)</f>
        <v>0</v>
      </c>
      <c r="O357" s="3">
        <f>Table157[[#This Row],[Beginning Balance]]-Table157[[#This Row],[Principal]]-Table157[[#This Row],[Prepayments]]-Table157[[#This Row],[Defaulted Principal]]</f>
        <v>0</v>
      </c>
      <c r="P357" s="3">
        <f>Table157[[#This Row],[Principal]]+Table157[[#This Row],[Interest]]+Table157[[#This Row],[Prepayments]]+Table157[[#This Row],[RecoveredAmount]]</f>
        <v>0</v>
      </c>
      <c r="Q357" s="3">
        <f ca="1">ROUND(Table157[[#This Row],[Cash Flow]]/((1+ActualRateToUse)^(IF(ISNUMBER(SEARCH("Actual",$C$7)),Table157[[#This Row],[Running Total]]/365,Table157[[#This Row],[Period]]/12))),2)</f>
        <v>0</v>
      </c>
      <c r="R357" s="2">
        <f>IF(MONTH(Table157[[#This Row],[Date]])=2,28,DAY(DATE(YEAR(Table157[[#This Row],[Date]]),MONTH(Table157[[#This Row],[Date]])+1,1)-1))</f>
        <v>30</v>
      </c>
      <c r="S357" s="2">
        <f ca="1">SUM(OFFSET(Table157[[#Headers],[Days in month]],1,0):Table157[[#This Row],[Days in month]])</f>
        <v>10373</v>
      </c>
      <c r="T357" s="37">
        <f>InterestRate*AmortizationMultiplier*IF(ISNUMBER(SEARCH("Actual",$C$7)),Table157[[#This Row],[Days in month]]/365,1/12)</f>
        <v>2.8749999999999995E-3</v>
      </c>
    </row>
    <row r="358" spans="2:20" x14ac:dyDescent="0.2">
      <c r="B358" s="1">
        <f t="shared" si="18"/>
        <v>56249</v>
      </c>
      <c r="C358" s="2">
        <f t="shared" si="20"/>
        <v>342</v>
      </c>
      <c r="D358" s="3">
        <f t="shared" si="19"/>
        <v>0</v>
      </c>
      <c r="E358" s="3">
        <f>ROUND(Table157[[#This Row],[Beginning Balance]]*Table157[[#This Row],[Monthly Interest Rate]],2)</f>
        <v>0</v>
      </c>
      <c r="F358" s="3">
        <f t="shared" si="21"/>
        <v>-86</v>
      </c>
      <c r="G358" s="23">
        <f>IFERROR(IF($C$13="No","N/A",IF(Table157[[#This Row],[Period]]=1,$C$6,PMT(InterestRate*AmortizationMultiplier/12,Table157[[#This Row],[Am Thru]],-Table157[[#This Row],[Beginning Balance]]))),0)</f>
        <v>0</v>
      </c>
      <c r="H358" s="3">
        <f>MAX(0,IF(C358=$C$4,D358,ROUND(IF($C$3="Fixed Principal",$C$6-Table157[[#This Row],[Interest]],IF($C$3="Interest Only",Table157[[#This Row],[Beginning Balance]]*ROUND(1-(1-IF($C$11="No",$E$8,1))^(1/12),6),MIN(IF($C$13="Yes",Table157[[#This Row],[Payment Amount (Reamortized)]],$C$6)-Table157[[#This Row],[Interest]],Table157[[#This Row],[Beginning Balance]]))),2)))</f>
        <v>0</v>
      </c>
      <c r="I358" s="3">
        <f>_xlfn.SINGLE(IF($C$3="Line of Credit",0,ROUND(MAX(MIN(IF($C$10="No",$E$7,VLOOKUP(Table157[[#This Row],[Period]],Forecast!$H$2:$L$1048576,4,FALSE))*Table157[[#This Row],[Beginning Balance]],Table157[[#This Row],[Beginning Balance]]-Table157[[#This Row],[Principal]]),0),2)))</f>
        <v>0</v>
      </c>
      <c r="J358" s="3">
        <f>ROUND(MIN(Table157[[#This Row],[Beginning Balance]]*IF($C$8="No",$E$3,VLOOKUP(Table157[[#This Row],[Period]],Forecast!$H$2:$L$1048576,2,FALSE)),Table157[[#This Row],[Beginning Balance]]-Table157[[#This Row],[Principal]]-Table157[[#This Row],[Prepayments]]),2)</f>
        <v>0</v>
      </c>
      <c r="K358" s="3">
        <f>ROUND(Table157[[#This Row],[Defaulted Principal]]*IF($C$9="No",$E$4,VLOOKUP(Table157[[#This Row],[Period]],Forecast!$H$2:$L$1048576,3,FALSE)),2)</f>
        <v>0</v>
      </c>
      <c r="L358" s="2">
        <f>Table157[[#This Row],[Period]]+$E$9</f>
        <v>354</v>
      </c>
      <c r="M358" s="3">
        <f>Table157[[#This Row],[Defaulted Principal]]-Table157[[#This Row],[Estimated Loss]]</f>
        <v>0</v>
      </c>
      <c r="N358" s="3">
        <f>IFERROR(VLOOKUP(Table157[[#This Row],[Period]],$L$16:$M$385,2,FALSE),0)</f>
        <v>0</v>
      </c>
      <c r="O358" s="3">
        <f>Table157[[#This Row],[Beginning Balance]]-Table157[[#This Row],[Principal]]-Table157[[#This Row],[Prepayments]]-Table157[[#This Row],[Defaulted Principal]]</f>
        <v>0</v>
      </c>
      <c r="P358" s="3">
        <f>Table157[[#This Row],[Principal]]+Table157[[#This Row],[Interest]]+Table157[[#This Row],[Prepayments]]+Table157[[#This Row],[RecoveredAmount]]</f>
        <v>0</v>
      </c>
      <c r="Q358" s="3">
        <f ca="1">ROUND(Table157[[#This Row],[Cash Flow]]/((1+ActualRateToUse)^(IF(ISNUMBER(SEARCH("Actual",$C$7)),Table157[[#This Row],[Running Total]]/365,Table157[[#This Row],[Period]]/12))),2)</f>
        <v>0</v>
      </c>
      <c r="R358" s="2">
        <f>IF(MONTH(Table157[[#This Row],[Date]])=2,28,DAY(DATE(YEAR(Table157[[#This Row],[Date]]),MONTH(Table157[[#This Row],[Date]])+1,1)-1))</f>
        <v>31</v>
      </c>
      <c r="S358" s="2">
        <f ca="1">SUM(OFFSET(Table157[[#Headers],[Days in month]],1,0):Table157[[#This Row],[Days in month]])</f>
        <v>10404</v>
      </c>
      <c r="T358" s="37">
        <f>InterestRate*AmortizationMultiplier*IF(ISNUMBER(SEARCH("Actual",$C$7)),Table157[[#This Row],[Days in month]]/365,1/12)</f>
        <v>2.9708333333333331E-3</v>
      </c>
    </row>
    <row r="359" spans="2:20" x14ac:dyDescent="0.2">
      <c r="B359" s="1">
        <f t="shared" si="18"/>
        <v>56280</v>
      </c>
      <c r="C359" s="2">
        <f t="shared" si="20"/>
        <v>343</v>
      </c>
      <c r="D359" s="3">
        <f t="shared" si="19"/>
        <v>0</v>
      </c>
      <c r="E359" s="3">
        <f>ROUND(Table157[[#This Row],[Beginning Balance]]*Table157[[#This Row],[Monthly Interest Rate]],2)</f>
        <v>0</v>
      </c>
      <c r="F359" s="3">
        <f t="shared" si="21"/>
        <v>-87</v>
      </c>
      <c r="G359" s="23">
        <f>IFERROR(IF($C$13="No","N/A",IF(Table157[[#This Row],[Period]]=1,$C$6,PMT(InterestRate*AmortizationMultiplier/12,Table157[[#This Row],[Am Thru]],-Table157[[#This Row],[Beginning Balance]]))),0)</f>
        <v>0</v>
      </c>
      <c r="H359" s="3">
        <f>MAX(0,IF(C359=$C$4,D359,ROUND(IF($C$3="Fixed Principal",$C$6-Table157[[#This Row],[Interest]],IF($C$3="Interest Only",Table157[[#This Row],[Beginning Balance]]*ROUND(1-(1-IF($C$11="No",$E$8,1))^(1/12),6),MIN(IF($C$13="Yes",Table157[[#This Row],[Payment Amount (Reamortized)]],$C$6)-Table157[[#This Row],[Interest]],Table157[[#This Row],[Beginning Balance]]))),2)))</f>
        <v>0</v>
      </c>
      <c r="I359" s="3">
        <f>_xlfn.SINGLE(IF($C$3="Line of Credit",0,ROUND(MAX(MIN(IF($C$10="No",$E$7,VLOOKUP(Table157[[#This Row],[Period]],Forecast!$H$2:$L$1048576,4,FALSE))*Table157[[#This Row],[Beginning Balance]],Table157[[#This Row],[Beginning Balance]]-Table157[[#This Row],[Principal]]),0),2)))</f>
        <v>0</v>
      </c>
      <c r="J359" s="3">
        <f>ROUND(MIN(Table157[[#This Row],[Beginning Balance]]*IF($C$8="No",$E$3,VLOOKUP(Table157[[#This Row],[Period]],Forecast!$H$2:$L$1048576,2,FALSE)),Table157[[#This Row],[Beginning Balance]]-Table157[[#This Row],[Principal]]-Table157[[#This Row],[Prepayments]]),2)</f>
        <v>0</v>
      </c>
      <c r="K359" s="3">
        <f>ROUND(Table157[[#This Row],[Defaulted Principal]]*IF($C$9="No",$E$4,VLOOKUP(Table157[[#This Row],[Period]],Forecast!$H$2:$L$1048576,3,FALSE)),2)</f>
        <v>0</v>
      </c>
      <c r="L359" s="2">
        <f>Table157[[#This Row],[Period]]+$E$9</f>
        <v>355</v>
      </c>
      <c r="M359" s="3">
        <f>Table157[[#This Row],[Defaulted Principal]]-Table157[[#This Row],[Estimated Loss]]</f>
        <v>0</v>
      </c>
      <c r="N359" s="3">
        <f>IFERROR(VLOOKUP(Table157[[#This Row],[Period]],$L$16:$M$385,2,FALSE),0)</f>
        <v>0</v>
      </c>
      <c r="O359" s="3">
        <f>Table157[[#This Row],[Beginning Balance]]-Table157[[#This Row],[Principal]]-Table157[[#This Row],[Prepayments]]-Table157[[#This Row],[Defaulted Principal]]</f>
        <v>0</v>
      </c>
      <c r="P359" s="3">
        <f>Table157[[#This Row],[Principal]]+Table157[[#This Row],[Interest]]+Table157[[#This Row],[Prepayments]]+Table157[[#This Row],[RecoveredAmount]]</f>
        <v>0</v>
      </c>
      <c r="Q359" s="3">
        <f ca="1">ROUND(Table157[[#This Row],[Cash Flow]]/((1+ActualRateToUse)^(IF(ISNUMBER(SEARCH("Actual",$C$7)),Table157[[#This Row],[Running Total]]/365,Table157[[#This Row],[Period]]/12))),2)</f>
        <v>0</v>
      </c>
      <c r="R359" s="2">
        <f>IF(MONTH(Table157[[#This Row],[Date]])=2,28,DAY(DATE(YEAR(Table157[[#This Row],[Date]]),MONTH(Table157[[#This Row],[Date]])+1,1)-1))</f>
        <v>31</v>
      </c>
      <c r="S359" s="2">
        <f ca="1">SUM(OFFSET(Table157[[#Headers],[Days in month]],1,0):Table157[[#This Row],[Days in month]])</f>
        <v>10435</v>
      </c>
      <c r="T359" s="37">
        <f>InterestRate*AmortizationMultiplier*IF(ISNUMBER(SEARCH("Actual",$C$7)),Table157[[#This Row],[Days in month]]/365,1/12)</f>
        <v>2.9708333333333331E-3</v>
      </c>
    </row>
    <row r="360" spans="2:20" x14ac:dyDescent="0.2">
      <c r="B360" s="1">
        <f t="shared" si="18"/>
        <v>56308</v>
      </c>
      <c r="C360" s="2">
        <f t="shared" si="20"/>
        <v>344</v>
      </c>
      <c r="D360" s="3">
        <f t="shared" si="19"/>
        <v>0</v>
      </c>
      <c r="E360" s="3">
        <f>ROUND(Table157[[#This Row],[Beginning Balance]]*Table157[[#This Row],[Monthly Interest Rate]],2)</f>
        <v>0</v>
      </c>
      <c r="F360" s="3">
        <f t="shared" si="21"/>
        <v>-88</v>
      </c>
      <c r="G360" s="23">
        <f>IFERROR(IF($C$13="No","N/A",IF(Table157[[#This Row],[Period]]=1,$C$6,PMT(InterestRate*AmortizationMultiplier/12,Table157[[#This Row],[Am Thru]],-Table157[[#This Row],[Beginning Balance]]))),0)</f>
        <v>0</v>
      </c>
      <c r="H360" s="3">
        <f>MAX(0,IF(C360=$C$4,D360,ROUND(IF($C$3="Fixed Principal",$C$6-Table157[[#This Row],[Interest]],IF($C$3="Interest Only",Table157[[#This Row],[Beginning Balance]]*ROUND(1-(1-IF($C$11="No",$E$8,1))^(1/12),6),MIN(IF($C$13="Yes",Table157[[#This Row],[Payment Amount (Reamortized)]],$C$6)-Table157[[#This Row],[Interest]],Table157[[#This Row],[Beginning Balance]]))),2)))</f>
        <v>0</v>
      </c>
      <c r="I360" s="3">
        <f>_xlfn.SINGLE(IF($C$3="Line of Credit",0,ROUND(MAX(MIN(IF($C$10="No",$E$7,VLOOKUP(Table157[[#This Row],[Period]],Forecast!$H$2:$L$1048576,4,FALSE))*Table157[[#This Row],[Beginning Balance]],Table157[[#This Row],[Beginning Balance]]-Table157[[#This Row],[Principal]]),0),2)))</f>
        <v>0</v>
      </c>
      <c r="J360" s="3">
        <f>ROUND(MIN(Table157[[#This Row],[Beginning Balance]]*IF($C$8="No",$E$3,VLOOKUP(Table157[[#This Row],[Period]],Forecast!$H$2:$L$1048576,2,FALSE)),Table157[[#This Row],[Beginning Balance]]-Table157[[#This Row],[Principal]]-Table157[[#This Row],[Prepayments]]),2)</f>
        <v>0</v>
      </c>
      <c r="K360" s="3">
        <f>ROUND(Table157[[#This Row],[Defaulted Principal]]*IF($C$9="No",$E$4,VLOOKUP(Table157[[#This Row],[Period]],Forecast!$H$2:$L$1048576,3,FALSE)),2)</f>
        <v>0</v>
      </c>
      <c r="L360" s="2">
        <f>Table157[[#This Row],[Period]]+$E$9</f>
        <v>356</v>
      </c>
      <c r="M360" s="3">
        <f>Table157[[#This Row],[Defaulted Principal]]-Table157[[#This Row],[Estimated Loss]]</f>
        <v>0</v>
      </c>
      <c r="N360" s="3">
        <f>IFERROR(VLOOKUP(Table157[[#This Row],[Period]],$L$16:$M$385,2,FALSE),0)</f>
        <v>0</v>
      </c>
      <c r="O360" s="3">
        <f>Table157[[#This Row],[Beginning Balance]]-Table157[[#This Row],[Principal]]-Table157[[#This Row],[Prepayments]]-Table157[[#This Row],[Defaulted Principal]]</f>
        <v>0</v>
      </c>
      <c r="P360" s="3">
        <f>Table157[[#This Row],[Principal]]+Table157[[#This Row],[Interest]]+Table157[[#This Row],[Prepayments]]+Table157[[#This Row],[RecoveredAmount]]</f>
        <v>0</v>
      </c>
      <c r="Q360" s="3">
        <f ca="1">ROUND(Table157[[#This Row],[Cash Flow]]/((1+ActualRateToUse)^(IF(ISNUMBER(SEARCH("Actual",$C$7)),Table157[[#This Row],[Running Total]]/365,Table157[[#This Row],[Period]]/12))),2)</f>
        <v>0</v>
      </c>
      <c r="R360" s="2">
        <f>IF(MONTH(Table157[[#This Row],[Date]])=2,28,DAY(DATE(YEAR(Table157[[#This Row],[Date]]),MONTH(Table157[[#This Row],[Date]])+1,1)-1))</f>
        <v>28</v>
      </c>
      <c r="S360" s="2">
        <f ca="1">SUM(OFFSET(Table157[[#Headers],[Days in month]],1,0):Table157[[#This Row],[Days in month]])</f>
        <v>10463</v>
      </c>
      <c r="T360" s="37">
        <f>InterestRate*AmortizationMultiplier*IF(ISNUMBER(SEARCH("Actual",$C$7)),Table157[[#This Row],[Days in month]]/365,1/12)</f>
        <v>2.6833333333333336E-3</v>
      </c>
    </row>
    <row r="361" spans="2:20" x14ac:dyDescent="0.2">
      <c r="B361" s="1">
        <f t="shared" si="18"/>
        <v>56339</v>
      </c>
      <c r="C361" s="2">
        <f t="shared" si="20"/>
        <v>345</v>
      </c>
      <c r="D361" s="3">
        <f t="shared" si="19"/>
        <v>0</v>
      </c>
      <c r="E361" s="3">
        <f>ROUND(Table157[[#This Row],[Beginning Balance]]*Table157[[#This Row],[Monthly Interest Rate]],2)</f>
        <v>0</v>
      </c>
      <c r="F361" s="3">
        <f t="shared" si="21"/>
        <v>-89</v>
      </c>
      <c r="G361" s="23">
        <f>IFERROR(IF($C$13="No","N/A",IF(Table157[[#This Row],[Period]]=1,$C$6,PMT(InterestRate*AmortizationMultiplier/12,Table157[[#This Row],[Am Thru]],-Table157[[#This Row],[Beginning Balance]]))),0)</f>
        <v>0</v>
      </c>
      <c r="H361" s="3">
        <f>MAX(0,IF(C361=$C$4,D361,ROUND(IF($C$3="Fixed Principal",$C$6-Table157[[#This Row],[Interest]],IF($C$3="Interest Only",Table157[[#This Row],[Beginning Balance]]*ROUND(1-(1-IF($C$11="No",$E$8,1))^(1/12),6),MIN(IF($C$13="Yes",Table157[[#This Row],[Payment Amount (Reamortized)]],$C$6)-Table157[[#This Row],[Interest]],Table157[[#This Row],[Beginning Balance]]))),2)))</f>
        <v>0</v>
      </c>
      <c r="I361" s="3">
        <f>_xlfn.SINGLE(IF($C$3="Line of Credit",0,ROUND(MAX(MIN(IF($C$10="No",$E$7,VLOOKUP(Table157[[#This Row],[Period]],Forecast!$H$2:$L$1048576,4,FALSE))*Table157[[#This Row],[Beginning Balance]],Table157[[#This Row],[Beginning Balance]]-Table157[[#This Row],[Principal]]),0),2)))</f>
        <v>0</v>
      </c>
      <c r="J361" s="3">
        <f>ROUND(MIN(Table157[[#This Row],[Beginning Balance]]*IF($C$8="No",$E$3,VLOOKUP(Table157[[#This Row],[Period]],Forecast!$H$2:$L$1048576,2,FALSE)),Table157[[#This Row],[Beginning Balance]]-Table157[[#This Row],[Principal]]-Table157[[#This Row],[Prepayments]]),2)</f>
        <v>0</v>
      </c>
      <c r="K361" s="3">
        <f>ROUND(Table157[[#This Row],[Defaulted Principal]]*IF($C$9="No",$E$4,VLOOKUP(Table157[[#This Row],[Period]],Forecast!$H$2:$L$1048576,3,FALSE)),2)</f>
        <v>0</v>
      </c>
      <c r="L361" s="2">
        <f>Table157[[#This Row],[Period]]+$E$9</f>
        <v>357</v>
      </c>
      <c r="M361" s="3">
        <f>Table157[[#This Row],[Defaulted Principal]]-Table157[[#This Row],[Estimated Loss]]</f>
        <v>0</v>
      </c>
      <c r="N361" s="3">
        <f>IFERROR(VLOOKUP(Table157[[#This Row],[Period]],$L$16:$M$385,2,FALSE),0)</f>
        <v>0</v>
      </c>
      <c r="O361" s="3">
        <f>Table157[[#This Row],[Beginning Balance]]-Table157[[#This Row],[Principal]]-Table157[[#This Row],[Prepayments]]-Table157[[#This Row],[Defaulted Principal]]</f>
        <v>0</v>
      </c>
      <c r="P361" s="3">
        <f>Table157[[#This Row],[Principal]]+Table157[[#This Row],[Interest]]+Table157[[#This Row],[Prepayments]]+Table157[[#This Row],[RecoveredAmount]]</f>
        <v>0</v>
      </c>
      <c r="Q361" s="3">
        <f ca="1">ROUND(Table157[[#This Row],[Cash Flow]]/((1+ActualRateToUse)^(IF(ISNUMBER(SEARCH("Actual",$C$7)),Table157[[#This Row],[Running Total]]/365,Table157[[#This Row],[Period]]/12))),2)</f>
        <v>0</v>
      </c>
      <c r="R361" s="2">
        <f>IF(MONTH(Table157[[#This Row],[Date]])=2,28,DAY(DATE(YEAR(Table157[[#This Row],[Date]]),MONTH(Table157[[#This Row],[Date]])+1,1)-1))</f>
        <v>31</v>
      </c>
      <c r="S361" s="2">
        <f ca="1">SUM(OFFSET(Table157[[#Headers],[Days in month]],1,0):Table157[[#This Row],[Days in month]])</f>
        <v>10494</v>
      </c>
      <c r="T361" s="37">
        <f>InterestRate*AmortizationMultiplier*IF(ISNUMBER(SEARCH("Actual",$C$7)),Table157[[#This Row],[Days in month]]/365,1/12)</f>
        <v>2.9708333333333331E-3</v>
      </c>
    </row>
    <row r="362" spans="2:20" x14ac:dyDescent="0.2">
      <c r="B362" s="1">
        <f t="shared" si="18"/>
        <v>56369</v>
      </c>
      <c r="C362" s="2">
        <f t="shared" si="20"/>
        <v>346</v>
      </c>
      <c r="D362" s="3">
        <f t="shared" si="19"/>
        <v>0</v>
      </c>
      <c r="E362" s="3">
        <f>ROUND(Table157[[#This Row],[Beginning Balance]]*Table157[[#This Row],[Monthly Interest Rate]],2)</f>
        <v>0</v>
      </c>
      <c r="F362" s="3">
        <f t="shared" si="21"/>
        <v>-90</v>
      </c>
      <c r="G362" s="23">
        <f>IFERROR(IF($C$13="No","N/A",IF(Table157[[#This Row],[Period]]=1,$C$6,PMT(InterestRate*AmortizationMultiplier/12,Table157[[#This Row],[Am Thru]],-Table157[[#This Row],[Beginning Balance]]))),0)</f>
        <v>0</v>
      </c>
      <c r="H362" s="3">
        <f>MAX(0,IF(C362=$C$4,D362,ROUND(IF($C$3="Fixed Principal",$C$6-Table157[[#This Row],[Interest]],IF($C$3="Interest Only",Table157[[#This Row],[Beginning Balance]]*ROUND(1-(1-IF($C$11="No",$E$8,1))^(1/12),6),MIN(IF($C$13="Yes",Table157[[#This Row],[Payment Amount (Reamortized)]],$C$6)-Table157[[#This Row],[Interest]],Table157[[#This Row],[Beginning Balance]]))),2)))</f>
        <v>0</v>
      </c>
      <c r="I362" s="3">
        <f>_xlfn.SINGLE(IF($C$3="Line of Credit",0,ROUND(MAX(MIN(IF($C$10="No",$E$7,VLOOKUP(Table157[[#This Row],[Period]],Forecast!$H$2:$L$1048576,4,FALSE))*Table157[[#This Row],[Beginning Balance]],Table157[[#This Row],[Beginning Balance]]-Table157[[#This Row],[Principal]]),0),2)))</f>
        <v>0</v>
      </c>
      <c r="J362" s="3">
        <f>ROUND(MIN(Table157[[#This Row],[Beginning Balance]]*IF($C$8="No",$E$3,VLOOKUP(Table157[[#This Row],[Period]],Forecast!$H$2:$L$1048576,2,FALSE)),Table157[[#This Row],[Beginning Balance]]-Table157[[#This Row],[Principal]]-Table157[[#This Row],[Prepayments]]),2)</f>
        <v>0</v>
      </c>
      <c r="K362" s="3">
        <f>ROUND(Table157[[#This Row],[Defaulted Principal]]*IF($C$9="No",$E$4,VLOOKUP(Table157[[#This Row],[Period]],Forecast!$H$2:$L$1048576,3,FALSE)),2)</f>
        <v>0</v>
      </c>
      <c r="L362" s="2">
        <f>Table157[[#This Row],[Period]]+$E$9</f>
        <v>358</v>
      </c>
      <c r="M362" s="3">
        <f>Table157[[#This Row],[Defaulted Principal]]-Table157[[#This Row],[Estimated Loss]]</f>
        <v>0</v>
      </c>
      <c r="N362" s="3">
        <f>IFERROR(VLOOKUP(Table157[[#This Row],[Period]],$L$16:$M$385,2,FALSE),0)</f>
        <v>0</v>
      </c>
      <c r="O362" s="3">
        <f>Table157[[#This Row],[Beginning Balance]]-Table157[[#This Row],[Principal]]-Table157[[#This Row],[Prepayments]]-Table157[[#This Row],[Defaulted Principal]]</f>
        <v>0</v>
      </c>
      <c r="P362" s="3">
        <f>Table157[[#This Row],[Principal]]+Table157[[#This Row],[Interest]]+Table157[[#This Row],[Prepayments]]+Table157[[#This Row],[RecoveredAmount]]</f>
        <v>0</v>
      </c>
      <c r="Q362" s="3">
        <f ca="1">ROUND(Table157[[#This Row],[Cash Flow]]/((1+ActualRateToUse)^(IF(ISNUMBER(SEARCH("Actual",$C$7)),Table157[[#This Row],[Running Total]]/365,Table157[[#This Row],[Period]]/12))),2)</f>
        <v>0</v>
      </c>
      <c r="R362" s="2">
        <f>IF(MONTH(Table157[[#This Row],[Date]])=2,28,DAY(DATE(YEAR(Table157[[#This Row],[Date]]),MONTH(Table157[[#This Row],[Date]])+1,1)-1))</f>
        <v>30</v>
      </c>
      <c r="S362" s="2">
        <f ca="1">SUM(OFFSET(Table157[[#Headers],[Days in month]],1,0):Table157[[#This Row],[Days in month]])</f>
        <v>10524</v>
      </c>
      <c r="T362" s="37">
        <f>InterestRate*AmortizationMultiplier*IF(ISNUMBER(SEARCH("Actual",$C$7)),Table157[[#This Row],[Days in month]]/365,1/12)</f>
        <v>2.8749999999999995E-3</v>
      </c>
    </row>
    <row r="363" spans="2:20" x14ac:dyDescent="0.2">
      <c r="B363" s="1">
        <f t="shared" si="18"/>
        <v>56400</v>
      </c>
      <c r="C363" s="2">
        <f t="shared" si="20"/>
        <v>347</v>
      </c>
      <c r="D363" s="3">
        <f t="shared" si="19"/>
        <v>0</v>
      </c>
      <c r="E363" s="3">
        <f>ROUND(Table157[[#This Row],[Beginning Balance]]*Table157[[#This Row],[Monthly Interest Rate]],2)</f>
        <v>0</v>
      </c>
      <c r="F363" s="3">
        <f t="shared" si="21"/>
        <v>-91</v>
      </c>
      <c r="G363" s="23">
        <f>IFERROR(IF($C$13="No","N/A",IF(Table157[[#This Row],[Period]]=1,$C$6,PMT(InterestRate*AmortizationMultiplier/12,Table157[[#This Row],[Am Thru]],-Table157[[#This Row],[Beginning Balance]]))),0)</f>
        <v>0</v>
      </c>
      <c r="H363" s="3">
        <f>MAX(0,IF(C363=$C$4,D363,ROUND(IF($C$3="Fixed Principal",$C$6-Table157[[#This Row],[Interest]],IF($C$3="Interest Only",Table157[[#This Row],[Beginning Balance]]*ROUND(1-(1-IF($C$11="No",$E$8,1))^(1/12),6),MIN(IF($C$13="Yes",Table157[[#This Row],[Payment Amount (Reamortized)]],$C$6)-Table157[[#This Row],[Interest]],Table157[[#This Row],[Beginning Balance]]))),2)))</f>
        <v>0</v>
      </c>
      <c r="I363" s="3">
        <f>_xlfn.SINGLE(IF($C$3="Line of Credit",0,ROUND(MAX(MIN(IF($C$10="No",$E$7,VLOOKUP(Table157[[#This Row],[Period]],Forecast!$H$2:$L$1048576,4,FALSE))*Table157[[#This Row],[Beginning Balance]],Table157[[#This Row],[Beginning Balance]]-Table157[[#This Row],[Principal]]),0),2)))</f>
        <v>0</v>
      </c>
      <c r="J363" s="3">
        <f>ROUND(MIN(Table157[[#This Row],[Beginning Balance]]*IF($C$8="No",$E$3,VLOOKUP(Table157[[#This Row],[Period]],Forecast!$H$2:$L$1048576,2,FALSE)),Table157[[#This Row],[Beginning Balance]]-Table157[[#This Row],[Principal]]-Table157[[#This Row],[Prepayments]]),2)</f>
        <v>0</v>
      </c>
      <c r="K363" s="3">
        <f>ROUND(Table157[[#This Row],[Defaulted Principal]]*IF($C$9="No",$E$4,VLOOKUP(Table157[[#This Row],[Period]],Forecast!$H$2:$L$1048576,3,FALSE)),2)</f>
        <v>0</v>
      </c>
      <c r="L363" s="2">
        <f>Table157[[#This Row],[Period]]+$E$9</f>
        <v>359</v>
      </c>
      <c r="M363" s="3">
        <f>Table157[[#This Row],[Defaulted Principal]]-Table157[[#This Row],[Estimated Loss]]</f>
        <v>0</v>
      </c>
      <c r="N363" s="3">
        <f>IFERROR(VLOOKUP(Table157[[#This Row],[Period]],$L$16:$M$385,2,FALSE),0)</f>
        <v>0</v>
      </c>
      <c r="O363" s="3">
        <f>Table157[[#This Row],[Beginning Balance]]-Table157[[#This Row],[Principal]]-Table157[[#This Row],[Prepayments]]-Table157[[#This Row],[Defaulted Principal]]</f>
        <v>0</v>
      </c>
      <c r="P363" s="3">
        <f>Table157[[#This Row],[Principal]]+Table157[[#This Row],[Interest]]+Table157[[#This Row],[Prepayments]]+Table157[[#This Row],[RecoveredAmount]]</f>
        <v>0</v>
      </c>
      <c r="Q363" s="3">
        <f ca="1">ROUND(Table157[[#This Row],[Cash Flow]]/((1+ActualRateToUse)^(IF(ISNUMBER(SEARCH("Actual",$C$7)),Table157[[#This Row],[Running Total]]/365,Table157[[#This Row],[Period]]/12))),2)</f>
        <v>0</v>
      </c>
      <c r="R363" s="2">
        <f>IF(MONTH(Table157[[#This Row],[Date]])=2,28,DAY(DATE(YEAR(Table157[[#This Row],[Date]]),MONTH(Table157[[#This Row],[Date]])+1,1)-1))</f>
        <v>31</v>
      </c>
      <c r="S363" s="2">
        <f ca="1">SUM(OFFSET(Table157[[#Headers],[Days in month]],1,0):Table157[[#This Row],[Days in month]])</f>
        <v>10555</v>
      </c>
      <c r="T363" s="37">
        <f>InterestRate*AmortizationMultiplier*IF(ISNUMBER(SEARCH("Actual",$C$7)),Table157[[#This Row],[Days in month]]/365,1/12)</f>
        <v>2.9708333333333331E-3</v>
      </c>
    </row>
    <row r="364" spans="2:20" x14ac:dyDescent="0.2">
      <c r="B364" s="1">
        <f t="shared" si="18"/>
        <v>56430</v>
      </c>
      <c r="C364" s="2">
        <f t="shared" si="20"/>
        <v>348</v>
      </c>
      <c r="D364" s="3">
        <f t="shared" si="19"/>
        <v>0</v>
      </c>
      <c r="E364" s="3">
        <f>ROUND(Table157[[#This Row],[Beginning Balance]]*Table157[[#This Row],[Monthly Interest Rate]],2)</f>
        <v>0</v>
      </c>
      <c r="F364" s="3">
        <f t="shared" si="21"/>
        <v>-92</v>
      </c>
      <c r="G364" s="23">
        <f>IFERROR(IF($C$13="No","N/A",IF(Table157[[#This Row],[Period]]=1,$C$6,PMT(InterestRate*AmortizationMultiplier/12,Table157[[#This Row],[Am Thru]],-Table157[[#This Row],[Beginning Balance]]))),0)</f>
        <v>0</v>
      </c>
      <c r="H364" s="3">
        <f>MAX(0,IF(C364=$C$4,D364,ROUND(IF($C$3="Fixed Principal",$C$6-Table157[[#This Row],[Interest]],IF($C$3="Interest Only",Table157[[#This Row],[Beginning Balance]]*ROUND(1-(1-IF($C$11="No",$E$8,1))^(1/12),6),MIN(IF($C$13="Yes",Table157[[#This Row],[Payment Amount (Reamortized)]],$C$6)-Table157[[#This Row],[Interest]],Table157[[#This Row],[Beginning Balance]]))),2)))</f>
        <v>0</v>
      </c>
      <c r="I364" s="3">
        <f>_xlfn.SINGLE(IF($C$3="Line of Credit",0,ROUND(MAX(MIN(IF($C$10="No",$E$7,VLOOKUP(Table157[[#This Row],[Period]],Forecast!$H$2:$L$1048576,4,FALSE))*Table157[[#This Row],[Beginning Balance]],Table157[[#This Row],[Beginning Balance]]-Table157[[#This Row],[Principal]]),0),2)))</f>
        <v>0</v>
      </c>
      <c r="J364" s="3">
        <f>ROUND(MIN(Table157[[#This Row],[Beginning Balance]]*IF($C$8="No",$E$3,VLOOKUP(Table157[[#This Row],[Period]],Forecast!$H$2:$L$1048576,2,FALSE)),Table157[[#This Row],[Beginning Balance]]-Table157[[#This Row],[Principal]]-Table157[[#This Row],[Prepayments]]),2)</f>
        <v>0</v>
      </c>
      <c r="K364" s="3">
        <f>ROUND(Table157[[#This Row],[Defaulted Principal]]*IF($C$9="No",$E$4,VLOOKUP(Table157[[#This Row],[Period]],Forecast!$H$2:$L$1048576,3,FALSE)),2)</f>
        <v>0</v>
      </c>
      <c r="L364" s="2">
        <f>Table157[[#This Row],[Period]]+$E$9</f>
        <v>360</v>
      </c>
      <c r="M364" s="3">
        <f>Table157[[#This Row],[Defaulted Principal]]-Table157[[#This Row],[Estimated Loss]]</f>
        <v>0</v>
      </c>
      <c r="N364" s="3">
        <f>IFERROR(VLOOKUP(Table157[[#This Row],[Period]],$L$16:$M$385,2,FALSE),0)</f>
        <v>0</v>
      </c>
      <c r="O364" s="3">
        <f>Table157[[#This Row],[Beginning Balance]]-Table157[[#This Row],[Principal]]-Table157[[#This Row],[Prepayments]]-Table157[[#This Row],[Defaulted Principal]]</f>
        <v>0</v>
      </c>
      <c r="P364" s="3">
        <f>Table157[[#This Row],[Principal]]+Table157[[#This Row],[Interest]]+Table157[[#This Row],[Prepayments]]+Table157[[#This Row],[RecoveredAmount]]</f>
        <v>0</v>
      </c>
      <c r="Q364" s="3">
        <f ca="1">ROUND(Table157[[#This Row],[Cash Flow]]/((1+ActualRateToUse)^(IF(ISNUMBER(SEARCH("Actual",$C$7)),Table157[[#This Row],[Running Total]]/365,Table157[[#This Row],[Period]]/12))),2)</f>
        <v>0</v>
      </c>
      <c r="R364" s="2">
        <f>IF(MONTH(Table157[[#This Row],[Date]])=2,28,DAY(DATE(YEAR(Table157[[#This Row],[Date]]),MONTH(Table157[[#This Row],[Date]])+1,1)-1))</f>
        <v>30</v>
      </c>
      <c r="S364" s="2">
        <f ca="1">SUM(OFFSET(Table157[[#Headers],[Days in month]],1,0):Table157[[#This Row],[Days in month]])</f>
        <v>10585</v>
      </c>
      <c r="T364" s="37">
        <f>InterestRate*AmortizationMultiplier*IF(ISNUMBER(SEARCH("Actual",$C$7)),Table157[[#This Row],[Days in month]]/365,1/12)</f>
        <v>2.8749999999999995E-3</v>
      </c>
    </row>
    <row r="365" spans="2:20" x14ac:dyDescent="0.2">
      <c r="B365" s="1">
        <f t="shared" si="18"/>
        <v>56461</v>
      </c>
      <c r="C365" s="2">
        <f t="shared" si="20"/>
        <v>349</v>
      </c>
      <c r="D365" s="3">
        <f t="shared" si="19"/>
        <v>0</v>
      </c>
      <c r="E365" s="3">
        <f>ROUND(Table157[[#This Row],[Beginning Balance]]*Table157[[#This Row],[Monthly Interest Rate]],2)</f>
        <v>0</v>
      </c>
      <c r="F365" s="3">
        <f t="shared" si="21"/>
        <v>-93</v>
      </c>
      <c r="G365" s="23">
        <f>IFERROR(IF($C$13="No","N/A",IF(Table157[[#This Row],[Period]]=1,$C$6,PMT(InterestRate*AmortizationMultiplier/12,Table157[[#This Row],[Am Thru]],-Table157[[#This Row],[Beginning Balance]]))),0)</f>
        <v>0</v>
      </c>
      <c r="H365" s="3">
        <f>MAX(0,IF(C365=$C$4,D365,ROUND(IF($C$3="Fixed Principal",$C$6-Table157[[#This Row],[Interest]],IF($C$3="Interest Only",Table157[[#This Row],[Beginning Balance]]*ROUND(1-(1-IF($C$11="No",$E$8,1))^(1/12),6),MIN(IF($C$13="Yes",Table157[[#This Row],[Payment Amount (Reamortized)]],$C$6)-Table157[[#This Row],[Interest]],Table157[[#This Row],[Beginning Balance]]))),2)))</f>
        <v>0</v>
      </c>
      <c r="I365" s="3">
        <f>_xlfn.SINGLE(IF($C$3="Line of Credit",0,ROUND(MAX(MIN(IF($C$10="No",$E$7,VLOOKUP(Table157[[#This Row],[Period]],Forecast!$H$2:$L$1048576,4,FALSE))*Table157[[#This Row],[Beginning Balance]],Table157[[#This Row],[Beginning Balance]]-Table157[[#This Row],[Principal]]),0),2)))</f>
        <v>0</v>
      </c>
      <c r="J365" s="3">
        <f>ROUND(MIN(Table157[[#This Row],[Beginning Balance]]*IF($C$8="No",$E$3,VLOOKUP(Table157[[#This Row],[Period]],Forecast!$H$2:$L$1048576,2,FALSE)),Table157[[#This Row],[Beginning Balance]]-Table157[[#This Row],[Principal]]-Table157[[#This Row],[Prepayments]]),2)</f>
        <v>0</v>
      </c>
      <c r="K365" s="3">
        <f>ROUND(Table157[[#This Row],[Defaulted Principal]]*IF($C$9="No",$E$4,VLOOKUP(Table157[[#This Row],[Period]],Forecast!$H$2:$L$1048576,3,FALSE)),2)</f>
        <v>0</v>
      </c>
      <c r="L365" s="2">
        <f>Table157[[#This Row],[Period]]+$E$9</f>
        <v>361</v>
      </c>
      <c r="M365" s="3">
        <f>Table157[[#This Row],[Defaulted Principal]]-Table157[[#This Row],[Estimated Loss]]</f>
        <v>0</v>
      </c>
      <c r="N365" s="3">
        <f>IFERROR(VLOOKUP(Table157[[#This Row],[Period]],$L$16:$M$385,2,FALSE),0)</f>
        <v>0</v>
      </c>
      <c r="O365" s="3">
        <f>Table157[[#This Row],[Beginning Balance]]-Table157[[#This Row],[Principal]]-Table157[[#This Row],[Prepayments]]-Table157[[#This Row],[Defaulted Principal]]</f>
        <v>0</v>
      </c>
      <c r="P365" s="3">
        <f>Table157[[#This Row],[Principal]]+Table157[[#This Row],[Interest]]+Table157[[#This Row],[Prepayments]]+Table157[[#This Row],[RecoveredAmount]]</f>
        <v>0</v>
      </c>
      <c r="Q365" s="3">
        <f ca="1">ROUND(Table157[[#This Row],[Cash Flow]]/((1+ActualRateToUse)^(IF(ISNUMBER(SEARCH("Actual",$C$7)),Table157[[#This Row],[Running Total]]/365,Table157[[#This Row],[Period]]/12))),2)</f>
        <v>0</v>
      </c>
      <c r="R365" s="2">
        <f>IF(MONTH(Table157[[#This Row],[Date]])=2,28,DAY(DATE(YEAR(Table157[[#This Row],[Date]]),MONTH(Table157[[#This Row],[Date]])+1,1)-1))</f>
        <v>31</v>
      </c>
      <c r="S365" s="2">
        <f ca="1">SUM(OFFSET(Table157[[#Headers],[Days in month]],1,0):Table157[[#This Row],[Days in month]])</f>
        <v>10616</v>
      </c>
      <c r="T365" s="37">
        <f>InterestRate*AmortizationMultiplier*IF(ISNUMBER(SEARCH("Actual",$C$7)),Table157[[#This Row],[Days in month]]/365,1/12)</f>
        <v>2.9708333333333331E-3</v>
      </c>
    </row>
    <row r="366" spans="2:20" x14ac:dyDescent="0.2">
      <c r="B366" s="1">
        <f t="shared" si="18"/>
        <v>56492</v>
      </c>
      <c r="C366" s="2">
        <f t="shared" si="20"/>
        <v>350</v>
      </c>
      <c r="D366" s="3">
        <f t="shared" si="19"/>
        <v>0</v>
      </c>
      <c r="E366" s="3">
        <f>ROUND(Table157[[#This Row],[Beginning Balance]]*Table157[[#This Row],[Monthly Interest Rate]],2)</f>
        <v>0</v>
      </c>
      <c r="F366" s="3">
        <f t="shared" si="21"/>
        <v>-94</v>
      </c>
      <c r="G366" s="23">
        <f>IFERROR(IF($C$13="No","N/A",IF(Table157[[#This Row],[Period]]=1,$C$6,PMT(InterestRate*AmortizationMultiplier/12,Table157[[#This Row],[Am Thru]],-Table157[[#This Row],[Beginning Balance]]))),0)</f>
        <v>0</v>
      </c>
      <c r="H366" s="3">
        <f>MAX(0,IF(C366=$C$4,D366,ROUND(IF($C$3="Fixed Principal",$C$6-Table157[[#This Row],[Interest]],IF($C$3="Interest Only",Table157[[#This Row],[Beginning Balance]]*ROUND(1-(1-IF($C$11="No",$E$8,1))^(1/12),6),MIN(IF($C$13="Yes",Table157[[#This Row],[Payment Amount (Reamortized)]],$C$6)-Table157[[#This Row],[Interest]],Table157[[#This Row],[Beginning Balance]]))),2)))</f>
        <v>0</v>
      </c>
      <c r="I366" s="3">
        <f>_xlfn.SINGLE(IF($C$3="Line of Credit",0,ROUND(MAX(MIN(IF($C$10="No",$E$7,VLOOKUP(Table157[[#This Row],[Period]],Forecast!$H$2:$L$1048576,4,FALSE))*Table157[[#This Row],[Beginning Balance]],Table157[[#This Row],[Beginning Balance]]-Table157[[#This Row],[Principal]]),0),2)))</f>
        <v>0</v>
      </c>
      <c r="J366" s="3">
        <f>ROUND(MIN(Table157[[#This Row],[Beginning Balance]]*IF($C$8="No",$E$3,VLOOKUP(Table157[[#This Row],[Period]],Forecast!$H$2:$L$1048576,2,FALSE)),Table157[[#This Row],[Beginning Balance]]-Table157[[#This Row],[Principal]]-Table157[[#This Row],[Prepayments]]),2)</f>
        <v>0</v>
      </c>
      <c r="K366" s="3">
        <f>ROUND(Table157[[#This Row],[Defaulted Principal]]*IF($C$9="No",$E$4,VLOOKUP(Table157[[#This Row],[Period]],Forecast!$H$2:$L$1048576,3,FALSE)),2)</f>
        <v>0</v>
      </c>
      <c r="L366" s="2">
        <f>Table157[[#This Row],[Period]]+$E$9</f>
        <v>362</v>
      </c>
      <c r="M366" s="3">
        <f>Table157[[#This Row],[Defaulted Principal]]-Table157[[#This Row],[Estimated Loss]]</f>
        <v>0</v>
      </c>
      <c r="N366" s="3">
        <f>IFERROR(VLOOKUP(Table157[[#This Row],[Period]],$L$16:$M$385,2,FALSE),0)</f>
        <v>0</v>
      </c>
      <c r="O366" s="3">
        <f>Table157[[#This Row],[Beginning Balance]]-Table157[[#This Row],[Principal]]-Table157[[#This Row],[Prepayments]]-Table157[[#This Row],[Defaulted Principal]]</f>
        <v>0</v>
      </c>
      <c r="P366" s="3">
        <f>Table157[[#This Row],[Principal]]+Table157[[#This Row],[Interest]]+Table157[[#This Row],[Prepayments]]+Table157[[#This Row],[RecoveredAmount]]</f>
        <v>0</v>
      </c>
      <c r="Q366" s="3">
        <f ca="1">ROUND(Table157[[#This Row],[Cash Flow]]/((1+ActualRateToUse)^(IF(ISNUMBER(SEARCH("Actual",$C$7)),Table157[[#This Row],[Running Total]]/365,Table157[[#This Row],[Period]]/12))),2)</f>
        <v>0</v>
      </c>
      <c r="R366" s="2">
        <f>IF(MONTH(Table157[[#This Row],[Date]])=2,28,DAY(DATE(YEAR(Table157[[#This Row],[Date]]),MONTH(Table157[[#This Row],[Date]])+1,1)-1))</f>
        <v>31</v>
      </c>
      <c r="S366" s="2">
        <f ca="1">SUM(OFFSET(Table157[[#Headers],[Days in month]],1,0):Table157[[#This Row],[Days in month]])</f>
        <v>10647</v>
      </c>
      <c r="T366" s="37">
        <f>InterestRate*AmortizationMultiplier*IF(ISNUMBER(SEARCH("Actual",$C$7)),Table157[[#This Row],[Days in month]]/365,1/12)</f>
        <v>2.9708333333333331E-3</v>
      </c>
    </row>
    <row r="367" spans="2:20" x14ac:dyDescent="0.2">
      <c r="B367" s="1">
        <f t="shared" si="18"/>
        <v>56522</v>
      </c>
      <c r="C367" s="2">
        <f t="shared" si="20"/>
        <v>351</v>
      </c>
      <c r="D367" s="3">
        <f t="shared" si="19"/>
        <v>0</v>
      </c>
      <c r="E367" s="3">
        <f>ROUND(Table157[[#This Row],[Beginning Balance]]*Table157[[#This Row],[Monthly Interest Rate]],2)</f>
        <v>0</v>
      </c>
      <c r="F367" s="3">
        <f t="shared" si="21"/>
        <v>-95</v>
      </c>
      <c r="G367" s="23">
        <f>IFERROR(IF($C$13="No","N/A",IF(Table157[[#This Row],[Period]]=1,$C$6,PMT(InterestRate*AmortizationMultiplier/12,Table157[[#This Row],[Am Thru]],-Table157[[#This Row],[Beginning Balance]]))),0)</f>
        <v>0</v>
      </c>
      <c r="H367" s="3">
        <f>MAX(0,IF(C367=$C$4,D367,ROUND(IF($C$3="Fixed Principal",$C$6-Table157[[#This Row],[Interest]],IF($C$3="Interest Only",Table157[[#This Row],[Beginning Balance]]*ROUND(1-(1-IF($C$11="No",$E$8,1))^(1/12),6),MIN(IF($C$13="Yes",Table157[[#This Row],[Payment Amount (Reamortized)]],$C$6)-Table157[[#This Row],[Interest]],Table157[[#This Row],[Beginning Balance]]))),2)))</f>
        <v>0</v>
      </c>
      <c r="I367" s="3">
        <f>_xlfn.SINGLE(IF($C$3="Line of Credit",0,ROUND(MAX(MIN(IF($C$10="No",$E$7,VLOOKUP(Table157[[#This Row],[Period]],Forecast!$H$2:$L$1048576,4,FALSE))*Table157[[#This Row],[Beginning Balance]],Table157[[#This Row],[Beginning Balance]]-Table157[[#This Row],[Principal]]),0),2)))</f>
        <v>0</v>
      </c>
      <c r="J367" s="3">
        <f>ROUND(MIN(Table157[[#This Row],[Beginning Balance]]*IF($C$8="No",$E$3,VLOOKUP(Table157[[#This Row],[Period]],Forecast!$H$2:$L$1048576,2,FALSE)),Table157[[#This Row],[Beginning Balance]]-Table157[[#This Row],[Principal]]-Table157[[#This Row],[Prepayments]]),2)</f>
        <v>0</v>
      </c>
      <c r="K367" s="3">
        <f>ROUND(Table157[[#This Row],[Defaulted Principal]]*IF($C$9="No",$E$4,VLOOKUP(Table157[[#This Row],[Period]],Forecast!$H$2:$L$1048576,3,FALSE)),2)</f>
        <v>0</v>
      </c>
      <c r="L367" s="2">
        <f>Table157[[#This Row],[Period]]+$E$9</f>
        <v>363</v>
      </c>
      <c r="M367" s="3">
        <f>Table157[[#This Row],[Defaulted Principal]]-Table157[[#This Row],[Estimated Loss]]</f>
        <v>0</v>
      </c>
      <c r="N367" s="3">
        <f>IFERROR(VLOOKUP(Table157[[#This Row],[Period]],$L$16:$M$385,2,FALSE),0)</f>
        <v>0</v>
      </c>
      <c r="O367" s="3">
        <f>Table157[[#This Row],[Beginning Balance]]-Table157[[#This Row],[Principal]]-Table157[[#This Row],[Prepayments]]-Table157[[#This Row],[Defaulted Principal]]</f>
        <v>0</v>
      </c>
      <c r="P367" s="3">
        <f>Table157[[#This Row],[Principal]]+Table157[[#This Row],[Interest]]+Table157[[#This Row],[Prepayments]]+Table157[[#This Row],[RecoveredAmount]]</f>
        <v>0</v>
      </c>
      <c r="Q367" s="3">
        <f ca="1">ROUND(Table157[[#This Row],[Cash Flow]]/((1+ActualRateToUse)^(IF(ISNUMBER(SEARCH("Actual",$C$7)),Table157[[#This Row],[Running Total]]/365,Table157[[#This Row],[Period]]/12))),2)</f>
        <v>0</v>
      </c>
      <c r="R367" s="2">
        <f>IF(MONTH(Table157[[#This Row],[Date]])=2,28,DAY(DATE(YEAR(Table157[[#This Row],[Date]]),MONTH(Table157[[#This Row],[Date]])+1,1)-1))</f>
        <v>30</v>
      </c>
      <c r="S367" s="2">
        <f ca="1">SUM(OFFSET(Table157[[#Headers],[Days in month]],1,0):Table157[[#This Row],[Days in month]])</f>
        <v>10677</v>
      </c>
      <c r="T367" s="37">
        <f>InterestRate*AmortizationMultiplier*IF(ISNUMBER(SEARCH("Actual",$C$7)),Table157[[#This Row],[Days in month]]/365,1/12)</f>
        <v>2.8749999999999995E-3</v>
      </c>
    </row>
    <row r="368" spans="2:20" x14ac:dyDescent="0.2">
      <c r="B368" s="1">
        <f t="shared" si="18"/>
        <v>56553</v>
      </c>
      <c r="C368" s="2">
        <f t="shared" si="20"/>
        <v>352</v>
      </c>
      <c r="D368" s="3">
        <f>O367</f>
        <v>0</v>
      </c>
      <c r="E368" s="3">
        <f>ROUND(Table157[[#This Row],[Beginning Balance]]*Table157[[#This Row],[Monthly Interest Rate]],2)</f>
        <v>0</v>
      </c>
      <c r="F368" s="3">
        <f>+F367-1</f>
        <v>-96</v>
      </c>
      <c r="G368" s="23">
        <f>IFERROR(IF($C$13="No","N/A",IF(Table157[[#This Row],[Period]]=1,$C$6,PMT(InterestRate*AmortizationMultiplier/12,Table157[[#This Row],[Am Thru]],-Table157[[#This Row],[Beginning Balance]]))),0)</f>
        <v>0</v>
      </c>
      <c r="H368" s="3">
        <f>MAX(0,IF(C368=$C$4,D368,ROUND(IF($C$3="Fixed Principal",$C$6-Table157[[#This Row],[Interest]],IF($C$3="Interest Only",Table157[[#This Row],[Beginning Balance]]*ROUND(1-(1-IF($C$11="No",$E$8,1))^(1/12),6),MIN(IF($C$13="Yes",Table157[[#This Row],[Payment Amount (Reamortized)]],$C$6)-Table157[[#This Row],[Interest]],Table157[[#This Row],[Beginning Balance]]))),2)))</f>
        <v>0</v>
      </c>
      <c r="I368" s="3">
        <f>_xlfn.SINGLE(IF($C$3="Line of Credit",0,ROUND(MAX(MIN(IF($C$10="No",$E$7,VLOOKUP(Table157[[#This Row],[Period]],Forecast!$H$2:$L$1048576,4,FALSE))*Table157[[#This Row],[Beginning Balance]],Table157[[#This Row],[Beginning Balance]]-Table157[[#This Row],[Principal]]),0),2)))</f>
        <v>0</v>
      </c>
      <c r="J368" s="3">
        <f>ROUND(MIN(Table157[[#This Row],[Beginning Balance]]*IF($C$8="No",$E$3,VLOOKUP(Table157[[#This Row],[Period]],Forecast!$H$2:$L$1048576,2,FALSE)),Table157[[#This Row],[Beginning Balance]]-Table157[[#This Row],[Principal]]-Table157[[#This Row],[Prepayments]]),2)</f>
        <v>0</v>
      </c>
      <c r="K368" s="3">
        <f>ROUND(Table157[[#This Row],[Defaulted Principal]]*IF($C$9="No",$E$4,VLOOKUP(Table157[[#This Row],[Period]],Forecast!$H$2:$L$1048576,3,FALSE)),2)</f>
        <v>0</v>
      </c>
      <c r="L368" s="2">
        <f>Table157[[#This Row],[Period]]+$E$9</f>
        <v>364</v>
      </c>
      <c r="M368" s="3">
        <f>Table157[[#This Row],[Defaulted Principal]]-Table157[[#This Row],[Estimated Loss]]</f>
        <v>0</v>
      </c>
      <c r="N368" s="3">
        <f>IFERROR(VLOOKUP(Table157[[#This Row],[Period]],$L$16:$M$385,2,FALSE),0)</f>
        <v>0</v>
      </c>
      <c r="O368" s="3">
        <f>Table157[[#This Row],[Beginning Balance]]-Table157[[#This Row],[Principal]]-Table157[[#This Row],[Prepayments]]-Table157[[#This Row],[Defaulted Principal]]</f>
        <v>0</v>
      </c>
      <c r="P368" s="3">
        <f>Table157[[#This Row],[Principal]]+Table157[[#This Row],[Interest]]+Table157[[#This Row],[Prepayments]]+Table157[[#This Row],[RecoveredAmount]]</f>
        <v>0</v>
      </c>
      <c r="Q368" s="3">
        <f ca="1">ROUND(Table157[[#This Row],[Cash Flow]]/((1+ActualRateToUse)^(IF(ISNUMBER(SEARCH("Actual",$C$7)),Table157[[#This Row],[Running Total]]/365,Table157[[#This Row],[Period]]/12))),2)</f>
        <v>0</v>
      </c>
      <c r="R368" s="2">
        <f>IF(MONTH(Table157[[#This Row],[Date]])=2,28,DAY(DATE(YEAR(Table157[[#This Row],[Date]]),MONTH(Table157[[#This Row],[Date]])+1,1)-1))</f>
        <v>31</v>
      </c>
      <c r="S368" s="2">
        <f ca="1">SUM(OFFSET(Table157[[#Headers],[Days in month]],1,0):Table157[[#This Row],[Days in month]])</f>
        <v>10708</v>
      </c>
      <c r="T368" s="37">
        <f>InterestRate*AmortizationMultiplier*IF(ISNUMBER(SEARCH("Actual",$C$7)),Table157[[#This Row],[Days in month]]/365,1/12)</f>
        <v>2.9708333333333331E-3</v>
      </c>
    </row>
    <row r="369" spans="2:20" x14ac:dyDescent="0.2">
      <c r="B369" s="1">
        <f t="shared" si="18"/>
        <v>56583</v>
      </c>
      <c r="C369" s="2">
        <f t="shared" si="20"/>
        <v>353</v>
      </c>
      <c r="D369" s="3">
        <f t="shared" si="19"/>
        <v>0</v>
      </c>
      <c r="E369" s="3">
        <f>ROUND(Table157[[#This Row],[Beginning Balance]]*Table157[[#This Row],[Monthly Interest Rate]],2)</f>
        <v>0</v>
      </c>
      <c r="F369" s="3">
        <f t="shared" si="21"/>
        <v>-97</v>
      </c>
      <c r="G369" s="23">
        <f>IFERROR(IF($C$13="No","N/A",IF(Table157[[#This Row],[Period]]=1,$C$6,PMT(InterestRate*AmortizationMultiplier/12,Table157[[#This Row],[Am Thru]],-Table157[[#This Row],[Beginning Balance]]))),0)</f>
        <v>0</v>
      </c>
      <c r="H369" s="3">
        <f>MAX(0,IF(C369=$C$4,D369,ROUND(IF($C$3="Fixed Principal",$C$6-Table157[[#This Row],[Interest]],IF($C$3="Interest Only",Table157[[#This Row],[Beginning Balance]]*ROUND(1-(1-IF($C$11="No",$E$8,1))^(1/12),6),MIN(IF($C$13="Yes",Table157[[#This Row],[Payment Amount (Reamortized)]],$C$6)-Table157[[#This Row],[Interest]],Table157[[#This Row],[Beginning Balance]]))),2)))</f>
        <v>0</v>
      </c>
      <c r="I369" s="3">
        <f>_xlfn.SINGLE(IF($C$3="Line of Credit",0,ROUND(MAX(MIN(IF($C$10="No",$E$7,VLOOKUP(Table157[[#This Row],[Period]],Forecast!$H$2:$L$1048576,4,FALSE))*Table157[[#This Row],[Beginning Balance]],Table157[[#This Row],[Beginning Balance]]-Table157[[#This Row],[Principal]]),0),2)))</f>
        <v>0</v>
      </c>
      <c r="J369" s="3">
        <f>ROUND(MIN(Table157[[#This Row],[Beginning Balance]]*IF($C$8="No",$E$3,VLOOKUP(Table157[[#This Row],[Period]],Forecast!$H$2:$L$1048576,2,FALSE)),Table157[[#This Row],[Beginning Balance]]-Table157[[#This Row],[Principal]]-Table157[[#This Row],[Prepayments]]),2)</f>
        <v>0</v>
      </c>
      <c r="K369" s="3">
        <f>ROUND(Table157[[#This Row],[Defaulted Principal]]*IF($C$9="No",$E$4,VLOOKUP(Table157[[#This Row],[Period]],Forecast!$H$2:$L$1048576,3,FALSE)),2)</f>
        <v>0</v>
      </c>
      <c r="L369" s="2">
        <f>Table157[[#This Row],[Period]]+$E$9</f>
        <v>365</v>
      </c>
      <c r="M369" s="3">
        <f>Table157[[#This Row],[Defaulted Principal]]-Table157[[#This Row],[Estimated Loss]]</f>
        <v>0</v>
      </c>
      <c r="N369" s="3">
        <f>IFERROR(VLOOKUP(Table157[[#This Row],[Period]],$L$16:$M$385,2,FALSE),0)</f>
        <v>0</v>
      </c>
      <c r="O369" s="3">
        <f>Table157[[#This Row],[Beginning Balance]]-Table157[[#This Row],[Principal]]-Table157[[#This Row],[Prepayments]]-Table157[[#This Row],[Defaulted Principal]]</f>
        <v>0</v>
      </c>
      <c r="P369" s="3">
        <f>Table157[[#This Row],[Principal]]+Table157[[#This Row],[Interest]]+Table157[[#This Row],[Prepayments]]+Table157[[#This Row],[RecoveredAmount]]</f>
        <v>0</v>
      </c>
      <c r="Q369" s="3">
        <f ca="1">ROUND(Table157[[#This Row],[Cash Flow]]/((1+ActualRateToUse)^(IF(ISNUMBER(SEARCH("Actual",$C$7)),Table157[[#This Row],[Running Total]]/365,Table157[[#This Row],[Period]]/12))),2)</f>
        <v>0</v>
      </c>
      <c r="R369" s="2">
        <f>IF(MONTH(Table157[[#This Row],[Date]])=2,28,DAY(DATE(YEAR(Table157[[#This Row],[Date]]),MONTH(Table157[[#This Row],[Date]])+1,1)-1))</f>
        <v>30</v>
      </c>
      <c r="S369" s="2">
        <f ca="1">SUM(OFFSET(Table157[[#Headers],[Days in month]],1,0):Table157[[#This Row],[Days in month]])</f>
        <v>10738</v>
      </c>
      <c r="T369" s="37">
        <f>InterestRate*AmortizationMultiplier*IF(ISNUMBER(SEARCH("Actual",$C$7)),Table157[[#This Row],[Days in month]]/365,1/12)</f>
        <v>2.8749999999999995E-3</v>
      </c>
    </row>
    <row r="370" spans="2:20" x14ac:dyDescent="0.2">
      <c r="B370" s="1">
        <f t="shared" si="18"/>
        <v>56614</v>
      </c>
      <c r="C370" s="2">
        <f t="shared" si="20"/>
        <v>354</v>
      </c>
      <c r="D370" s="3">
        <f t="shared" si="19"/>
        <v>0</v>
      </c>
      <c r="E370" s="3">
        <f>ROUND(Table157[[#This Row],[Beginning Balance]]*Table157[[#This Row],[Monthly Interest Rate]],2)</f>
        <v>0</v>
      </c>
      <c r="F370" s="3">
        <f t="shared" si="21"/>
        <v>-98</v>
      </c>
      <c r="G370" s="23">
        <f>IFERROR(IF($C$13="No","N/A",IF(Table157[[#This Row],[Period]]=1,$C$6,PMT(InterestRate*AmortizationMultiplier/12,Table157[[#This Row],[Am Thru]],-Table157[[#This Row],[Beginning Balance]]))),0)</f>
        <v>0</v>
      </c>
      <c r="H370" s="3">
        <f>MAX(0,IF(C370=$C$4,D370,ROUND(IF($C$3="Fixed Principal",$C$6-Table157[[#This Row],[Interest]],IF($C$3="Interest Only",Table157[[#This Row],[Beginning Balance]]*ROUND(1-(1-IF($C$11="No",$E$8,1))^(1/12),6),MIN(IF($C$13="Yes",Table157[[#This Row],[Payment Amount (Reamortized)]],$C$6)-Table157[[#This Row],[Interest]],Table157[[#This Row],[Beginning Balance]]))),2)))</f>
        <v>0</v>
      </c>
      <c r="I370" s="3">
        <f>_xlfn.SINGLE(IF($C$3="Line of Credit",0,ROUND(MAX(MIN(IF($C$10="No",$E$7,VLOOKUP(Table157[[#This Row],[Period]],Forecast!$H$2:$L$1048576,4,FALSE))*Table157[[#This Row],[Beginning Balance]],Table157[[#This Row],[Beginning Balance]]-Table157[[#This Row],[Principal]]),0),2)))</f>
        <v>0</v>
      </c>
      <c r="J370" s="3">
        <f>ROUND(MIN(Table157[[#This Row],[Beginning Balance]]*IF($C$8="No",$E$3,VLOOKUP(Table157[[#This Row],[Period]],Forecast!$H$2:$L$1048576,2,FALSE)),Table157[[#This Row],[Beginning Balance]]-Table157[[#This Row],[Principal]]-Table157[[#This Row],[Prepayments]]),2)</f>
        <v>0</v>
      </c>
      <c r="K370" s="3">
        <f>ROUND(Table157[[#This Row],[Defaulted Principal]]*IF($C$9="No",$E$4,VLOOKUP(Table157[[#This Row],[Period]],Forecast!$H$2:$L$1048576,3,FALSE)),2)</f>
        <v>0</v>
      </c>
      <c r="L370" s="2">
        <f>Table157[[#This Row],[Period]]+$E$9</f>
        <v>366</v>
      </c>
      <c r="M370" s="3">
        <f>Table157[[#This Row],[Defaulted Principal]]-Table157[[#This Row],[Estimated Loss]]</f>
        <v>0</v>
      </c>
      <c r="N370" s="3">
        <f>IFERROR(VLOOKUP(Table157[[#This Row],[Period]],$L$16:$M$385,2,FALSE),0)</f>
        <v>0</v>
      </c>
      <c r="O370" s="3">
        <f>Table157[[#This Row],[Beginning Balance]]-Table157[[#This Row],[Principal]]-Table157[[#This Row],[Prepayments]]-Table157[[#This Row],[Defaulted Principal]]</f>
        <v>0</v>
      </c>
      <c r="P370" s="3">
        <f>Table157[[#This Row],[Principal]]+Table157[[#This Row],[Interest]]+Table157[[#This Row],[Prepayments]]+Table157[[#This Row],[RecoveredAmount]]</f>
        <v>0</v>
      </c>
      <c r="Q370" s="3">
        <f ca="1">ROUND(Table157[[#This Row],[Cash Flow]]/((1+ActualRateToUse)^(IF(ISNUMBER(SEARCH("Actual",$C$7)),Table157[[#This Row],[Running Total]]/365,Table157[[#This Row],[Period]]/12))),2)</f>
        <v>0</v>
      </c>
      <c r="R370" s="2">
        <f>IF(MONTH(Table157[[#This Row],[Date]])=2,28,DAY(DATE(YEAR(Table157[[#This Row],[Date]]),MONTH(Table157[[#This Row],[Date]])+1,1)-1))</f>
        <v>31</v>
      </c>
      <c r="S370" s="2">
        <f ca="1">SUM(OFFSET(Table157[[#Headers],[Days in month]],1,0):Table157[[#This Row],[Days in month]])</f>
        <v>10769</v>
      </c>
      <c r="T370" s="37">
        <f>InterestRate*AmortizationMultiplier*IF(ISNUMBER(SEARCH("Actual",$C$7)),Table157[[#This Row],[Days in month]]/365,1/12)</f>
        <v>2.9708333333333331E-3</v>
      </c>
    </row>
    <row r="371" spans="2:20" x14ac:dyDescent="0.2">
      <c r="B371" s="1">
        <f t="shared" si="18"/>
        <v>56645</v>
      </c>
      <c r="C371" s="2">
        <f t="shared" si="20"/>
        <v>355</v>
      </c>
      <c r="D371" s="3">
        <f t="shared" si="19"/>
        <v>0</v>
      </c>
      <c r="E371" s="3">
        <f>ROUND(Table157[[#This Row],[Beginning Balance]]*Table157[[#This Row],[Monthly Interest Rate]],2)</f>
        <v>0</v>
      </c>
      <c r="F371" s="3">
        <f t="shared" si="21"/>
        <v>-99</v>
      </c>
      <c r="G371" s="23">
        <f>IFERROR(IF($C$13="No","N/A",IF(Table157[[#This Row],[Period]]=1,$C$6,PMT(InterestRate*AmortizationMultiplier/12,Table157[[#This Row],[Am Thru]],-Table157[[#This Row],[Beginning Balance]]))),0)</f>
        <v>0</v>
      </c>
      <c r="H371" s="3">
        <f>MAX(0,IF(C371=$C$4,D371,ROUND(IF($C$3="Fixed Principal",$C$6-Table157[[#This Row],[Interest]],IF($C$3="Interest Only",Table157[[#This Row],[Beginning Balance]]*ROUND(1-(1-IF($C$11="No",$E$8,1))^(1/12),6),MIN(IF($C$13="Yes",Table157[[#This Row],[Payment Amount (Reamortized)]],$C$6)-Table157[[#This Row],[Interest]],Table157[[#This Row],[Beginning Balance]]))),2)))</f>
        <v>0</v>
      </c>
      <c r="I371" s="3">
        <f>_xlfn.SINGLE(IF($C$3="Line of Credit",0,ROUND(MAX(MIN(IF($C$10="No",$E$7,VLOOKUP(Table157[[#This Row],[Period]],Forecast!$H$2:$L$1048576,4,FALSE))*Table157[[#This Row],[Beginning Balance]],Table157[[#This Row],[Beginning Balance]]-Table157[[#This Row],[Principal]]),0),2)))</f>
        <v>0</v>
      </c>
      <c r="J371" s="3">
        <f>ROUND(MIN(Table157[[#This Row],[Beginning Balance]]*IF($C$8="No",$E$3,VLOOKUP(Table157[[#This Row],[Period]],Forecast!$H$2:$L$1048576,2,FALSE)),Table157[[#This Row],[Beginning Balance]]-Table157[[#This Row],[Principal]]-Table157[[#This Row],[Prepayments]]),2)</f>
        <v>0</v>
      </c>
      <c r="K371" s="3">
        <f>ROUND(Table157[[#This Row],[Defaulted Principal]]*IF($C$9="No",$E$4,VLOOKUP(Table157[[#This Row],[Period]],Forecast!$H$2:$L$1048576,3,FALSE)),2)</f>
        <v>0</v>
      </c>
      <c r="L371" s="2">
        <f>Table157[[#This Row],[Period]]+$E$9</f>
        <v>367</v>
      </c>
      <c r="M371" s="3">
        <f>Table157[[#This Row],[Defaulted Principal]]-Table157[[#This Row],[Estimated Loss]]</f>
        <v>0</v>
      </c>
      <c r="N371" s="3">
        <f>IFERROR(VLOOKUP(Table157[[#This Row],[Period]],$L$16:$M$385,2,FALSE),0)</f>
        <v>0</v>
      </c>
      <c r="O371" s="3">
        <f>Table157[[#This Row],[Beginning Balance]]-Table157[[#This Row],[Principal]]-Table157[[#This Row],[Prepayments]]-Table157[[#This Row],[Defaulted Principal]]</f>
        <v>0</v>
      </c>
      <c r="P371" s="3">
        <f>Table157[[#This Row],[Principal]]+Table157[[#This Row],[Interest]]+Table157[[#This Row],[Prepayments]]+Table157[[#This Row],[RecoveredAmount]]</f>
        <v>0</v>
      </c>
      <c r="Q371" s="3">
        <f ca="1">ROUND(Table157[[#This Row],[Cash Flow]]/((1+ActualRateToUse)^(IF(ISNUMBER(SEARCH("Actual",$C$7)),Table157[[#This Row],[Running Total]]/365,Table157[[#This Row],[Period]]/12))),2)</f>
        <v>0</v>
      </c>
      <c r="R371" s="2">
        <f>IF(MONTH(Table157[[#This Row],[Date]])=2,28,DAY(DATE(YEAR(Table157[[#This Row],[Date]]),MONTH(Table157[[#This Row],[Date]])+1,1)-1))</f>
        <v>31</v>
      </c>
      <c r="S371" s="2">
        <f ca="1">SUM(OFFSET(Table157[[#Headers],[Days in month]],1,0):Table157[[#This Row],[Days in month]])</f>
        <v>10800</v>
      </c>
      <c r="T371" s="37">
        <f>InterestRate*AmortizationMultiplier*IF(ISNUMBER(SEARCH("Actual",$C$7)),Table157[[#This Row],[Days in month]]/365,1/12)</f>
        <v>2.9708333333333331E-3</v>
      </c>
    </row>
    <row r="372" spans="2:20" x14ac:dyDescent="0.2">
      <c r="B372" s="1">
        <f t="shared" si="18"/>
        <v>56673</v>
      </c>
      <c r="C372" s="2">
        <f t="shared" si="20"/>
        <v>356</v>
      </c>
      <c r="D372" s="3">
        <f t="shared" si="19"/>
        <v>0</v>
      </c>
      <c r="E372" s="3">
        <f>ROUND(Table157[[#This Row],[Beginning Balance]]*Table157[[#This Row],[Monthly Interest Rate]],2)</f>
        <v>0</v>
      </c>
      <c r="F372" s="3">
        <f t="shared" si="21"/>
        <v>-100</v>
      </c>
      <c r="G372" s="23">
        <f>IFERROR(IF($C$13="No","N/A",IF(Table157[[#This Row],[Period]]=1,$C$6,PMT(InterestRate*AmortizationMultiplier/12,Table157[[#This Row],[Am Thru]],-Table157[[#This Row],[Beginning Balance]]))),0)</f>
        <v>0</v>
      </c>
      <c r="H372" s="3">
        <f>MAX(0,IF(C372=$C$4,D372,ROUND(IF($C$3="Fixed Principal",$C$6-Table157[[#This Row],[Interest]],IF($C$3="Interest Only",Table157[[#This Row],[Beginning Balance]]*ROUND(1-(1-IF($C$11="No",$E$8,1))^(1/12),6),MIN(IF($C$13="Yes",Table157[[#This Row],[Payment Amount (Reamortized)]],$C$6)-Table157[[#This Row],[Interest]],Table157[[#This Row],[Beginning Balance]]))),2)))</f>
        <v>0</v>
      </c>
      <c r="I372" s="3">
        <f>_xlfn.SINGLE(IF($C$3="Line of Credit",0,ROUND(MAX(MIN(IF($C$10="No",$E$7,VLOOKUP(Table157[[#This Row],[Period]],Forecast!$H$2:$L$1048576,4,FALSE))*Table157[[#This Row],[Beginning Balance]],Table157[[#This Row],[Beginning Balance]]-Table157[[#This Row],[Principal]]),0),2)))</f>
        <v>0</v>
      </c>
      <c r="J372" s="3">
        <f>ROUND(MIN(Table157[[#This Row],[Beginning Balance]]*IF($C$8="No",$E$3,VLOOKUP(Table157[[#This Row],[Period]],Forecast!$H$2:$L$1048576,2,FALSE)),Table157[[#This Row],[Beginning Balance]]-Table157[[#This Row],[Principal]]-Table157[[#This Row],[Prepayments]]),2)</f>
        <v>0</v>
      </c>
      <c r="K372" s="3">
        <f>ROUND(Table157[[#This Row],[Defaulted Principal]]*IF($C$9="No",$E$4,VLOOKUP(Table157[[#This Row],[Period]],Forecast!$H$2:$L$1048576,3,FALSE)),2)</f>
        <v>0</v>
      </c>
      <c r="L372" s="2">
        <f>Table157[[#This Row],[Period]]+$E$9</f>
        <v>368</v>
      </c>
      <c r="M372" s="3">
        <f>Table157[[#This Row],[Defaulted Principal]]-Table157[[#This Row],[Estimated Loss]]</f>
        <v>0</v>
      </c>
      <c r="N372" s="3">
        <f>IFERROR(VLOOKUP(Table157[[#This Row],[Period]],$L$16:$M$385,2,FALSE),0)</f>
        <v>0</v>
      </c>
      <c r="O372" s="3">
        <f>Table157[[#This Row],[Beginning Balance]]-Table157[[#This Row],[Principal]]-Table157[[#This Row],[Prepayments]]-Table157[[#This Row],[Defaulted Principal]]</f>
        <v>0</v>
      </c>
      <c r="P372" s="3">
        <f>Table157[[#This Row],[Principal]]+Table157[[#This Row],[Interest]]+Table157[[#This Row],[Prepayments]]+Table157[[#This Row],[RecoveredAmount]]</f>
        <v>0</v>
      </c>
      <c r="Q372" s="3">
        <f ca="1">ROUND(Table157[[#This Row],[Cash Flow]]/((1+ActualRateToUse)^(IF(ISNUMBER(SEARCH("Actual",$C$7)),Table157[[#This Row],[Running Total]]/365,Table157[[#This Row],[Period]]/12))),2)</f>
        <v>0</v>
      </c>
      <c r="R372" s="2">
        <f>IF(MONTH(Table157[[#This Row],[Date]])=2,28,DAY(DATE(YEAR(Table157[[#This Row],[Date]]),MONTH(Table157[[#This Row],[Date]])+1,1)-1))</f>
        <v>28</v>
      </c>
      <c r="S372" s="2">
        <f ca="1">SUM(OFFSET(Table157[[#Headers],[Days in month]],1,0):Table157[[#This Row],[Days in month]])</f>
        <v>10828</v>
      </c>
      <c r="T372" s="37">
        <f>InterestRate*AmortizationMultiplier*IF(ISNUMBER(SEARCH("Actual",$C$7)),Table157[[#This Row],[Days in month]]/365,1/12)</f>
        <v>2.6833333333333336E-3</v>
      </c>
    </row>
    <row r="373" spans="2:20" x14ac:dyDescent="0.2">
      <c r="B373" s="1">
        <f t="shared" si="18"/>
        <v>56704</v>
      </c>
      <c r="C373" s="2">
        <f t="shared" si="20"/>
        <v>357</v>
      </c>
      <c r="D373" s="3">
        <f t="shared" si="19"/>
        <v>0</v>
      </c>
      <c r="E373" s="3">
        <f>ROUND(Table157[[#This Row],[Beginning Balance]]*Table157[[#This Row],[Monthly Interest Rate]],2)</f>
        <v>0</v>
      </c>
      <c r="F373" s="3">
        <f t="shared" si="21"/>
        <v>-101</v>
      </c>
      <c r="G373" s="23">
        <f>IFERROR(IF($C$13="No","N/A",IF(Table157[[#This Row],[Period]]=1,$C$6,PMT(InterestRate*AmortizationMultiplier/12,Table157[[#This Row],[Am Thru]],-Table157[[#This Row],[Beginning Balance]]))),0)</f>
        <v>0</v>
      </c>
      <c r="H373" s="3">
        <f>MAX(0,IF(C373=$C$4,D373,ROUND(IF($C$3="Fixed Principal",$C$6-Table157[[#This Row],[Interest]],IF($C$3="Interest Only",Table157[[#This Row],[Beginning Balance]]*ROUND(1-(1-IF($C$11="No",$E$8,1))^(1/12),6),MIN(IF($C$13="Yes",Table157[[#This Row],[Payment Amount (Reamortized)]],$C$6)-Table157[[#This Row],[Interest]],Table157[[#This Row],[Beginning Balance]]))),2)))</f>
        <v>0</v>
      </c>
      <c r="I373" s="3">
        <f>_xlfn.SINGLE(IF($C$3="Line of Credit",0,ROUND(MAX(MIN(IF($C$10="No",$E$7,VLOOKUP(Table157[[#This Row],[Period]],Forecast!$H$2:$L$1048576,4,FALSE))*Table157[[#This Row],[Beginning Balance]],Table157[[#This Row],[Beginning Balance]]-Table157[[#This Row],[Principal]]),0),2)))</f>
        <v>0</v>
      </c>
      <c r="J373" s="3">
        <f>ROUND(MIN(Table157[[#This Row],[Beginning Balance]]*IF($C$8="No",$E$3,VLOOKUP(Table157[[#This Row],[Period]],Forecast!$H$2:$L$1048576,2,FALSE)),Table157[[#This Row],[Beginning Balance]]-Table157[[#This Row],[Principal]]-Table157[[#This Row],[Prepayments]]),2)</f>
        <v>0</v>
      </c>
      <c r="K373" s="3">
        <f>ROUND(Table157[[#This Row],[Defaulted Principal]]*IF($C$9="No",$E$4,VLOOKUP(Table157[[#This Row],[Period]],Forecast!$H$2:$L$1048576,3,FALSE)),2)</f>
        <v>0</v>
      </c>
      <c r="L373" s="2">
        <f>Table157[[#This Row],[Period]]+$E$9</f>
        <v>369</v>
      </c>
      <c r="M373" s="3">
        <f>Table157[[#This Row],[Defaulted Principal]]-Table157[[#This Row],[Estimated Loss]]</f>
        <v>0</v>
      </c>
      <c r="N373" s="3">
        <f>IFERROR(VLOOKUP(Table157[[#This Row],[Period]],$L$16:$M$385,2,FALSE),0)</f>
        <v>0</v>
      </c>
      <c r="O373" s="3">
        <f>Table157[[#This Row],[Beginning Balance]]-Table157[[#This Row],[Principal]]-Table157[[#This Row],[Prepayments]]-Table157[[#This Row],[Defaulted Principal]]</f>
        <v>0</v>
      </c>
      <c r="P373" s="3">
        <f>Table157[[#This Row],[Principal]]+Table157[[#This Row],[Interest]]+Table157[[#This Row],[Prepayments]]+Table157[[#This Row],[RecoveredAmount]]</f>
        <v>0</v>
      </c>
      <c r="Q373" s="3">
        <f ca="1">ROUND(Table157[[#This Row],[Cash Flow]]/((1+ActualRateToUse)^(IF(ISNUMBER(SEARCH("Actual",$C$7)),Table157[[#This Row],[Running Total]]/365,Table157[[#This Row],[Period]]/12))),2)</f>
        <v>0</v>
      </c>
      <c r="R373" s="2">
        <f>IF(MONTH(Table157[[#This Row],[Date]])=2,28,DAY(DATE(YEAR(Table157[[#This Row],[Date]]),MONTH(Table157[[#This Row],[Date]])+1,1)-1))</f>
        <v>31</v>
      </c>
      <c r="S373" s="2">
        <f ca="1">SUM(OFFSET(Table157[[#Headers],[Days in month]],1,0):Table157[[#This Row],[Days in month]])</f>
        <v>10859</v>
      </c>
      <c r="T373" s="37">
        <f>InterestRate*AmortizationMultiplier*IF(ISNUMBER(SEARCH("Actual",$C$7)),Table157[[#This Row],[Days in month]]/365,1/12)</f>
        <v>2.9708333333333331E-3</v>
      </c>
    </row>
    <row r="374" spans="2:20" x14ac:dyDescent="0.2">
      <c r="B374" s="1">
        <f t="shared" si="18"/>
        <v>56734</v>
      </c>
      <c r="C374" s="2">
        <f t="shared" si="20"/>
        <v>358</v>
      </c>
      <c r="D374" s="3">
        <f t="shared" si="19"/>
        <v>0</v>
      </c>
      <c r="E374" s="3">
        <f>ROUND(Table157[[#This Row],[Beginning Balance]]*Table157[[#This Row],[Monthly Interest Rate]],2)</f>
        <v>0</v>
      </c>
      <c r="F374" s="3">
        <f t="shared" si="21"/>
        <v>-102</v>
      </c>
      <c r="G374" s="23">
        <f>IFERROR(IF($C$13="No","N/A",IF(Table157[[#This Row],[Period]]=1,$C$6,PMT(InterestRate*AmortizationMultiplier/12,Table157[[#This Row],[Am Thru]],-Table157[[#This Row],[Beginning Balance]]))),0)</f>
        <v>0</v>
      </c>
      <c r="H374" s="3">
        <f>MAX(0,IF(C374=$C$4,D374,ROUND(IF($C$3="Fixed Principal",$C$6-Table157[[#This Row],[Interest]],IF($C$3="Interest Only",Table157[[#This Row],[Beginning Balance]]*ROUND(1-(1-IF($C$11="No",$E$8,1))^(1/12),6),MIN(IF($C$13="Yes",Table157[[#This Row],[Payment Amount (Reamortized)]],$C$6)-Table157[[#This Row],[Interest]],Table157[[#This Row],[Beginning Balance]]))),2)))</f>
        <v>0</v>
      </c>
      <c r="I374" s="3">
        <f>_xlfn.SINGLE(IF($C$3="Line of Credit",0,ROUND(MAX(MIN(IF($C$10="No",$E$7,VLOOKUP(Table157[[#This Row],[Period]],Forecast!$H$2:$L$1048576,4,FALSE))*Table157[[#This Row],[Beginning Balance]],Table157[[#This Row],[Beginning Balance]]-Table157[[#This Row],[Principal]]),0),2)))</f>
        <v>0</v>
      </c>
      <c r="J374" s="3">
        <f>ROUND(MIN(Table157[[#This Row],[Beginning Balance]]*IF($C$8="No",$E$3,VLOOKUP(Table157[[#This Row],[Period]],Forecast!$H$2:$L$1048576,2,FALSE)),Table157[[#This Row],[Beginning Balance]]-Table157[[#This Row],[Principal]]-Table157[[#This Row],[Prepayments]]),2)</f>
        <v>0</v>
      </c>
      <c r="K374" s="3">
        <f>ROUND(Table157[[#This Row],[Defaulted Principal]]*IF($C$9="No",$E$4,VLOOKUP(Table157[[#This Row],[Period]],Forecast!$H$2:$L$1048576,3,FALSE)),2)</f>
        <v>0</v>
      </c>
      <c r="L374" s="2">
        <f>Table157[[#This Row],[Period]]+$E$9</f>
        <v>370</v>
      </c>
      <c r="M374" s="3">
        <f>Table157[[#This Row],[Defaulted Principal]]-Table157[[#This Row],[Estimated Loss]]</f>
        <v>0</v>
      </c>
      <c r="N374" s="3">
        <f>IFERROR(VLOOKUP(Table157[[#This Row],[Period]],$L$16:$M$385,2,FALSE),0)</f>
        <v>0</v>
      </c>
      <c r="O374" s="3">
        <f>Table157[[#This Row],[Beginning Balance]]-Table157[[#This Row],[Principal]]-Table157[[#This Row],[Prepayments]]-Table157[[#This Row],[Defaulted Principal]]</f>
        <v>0</v>
      </c>
      <c r="P374" s="3">
        <f>Table157[[#This Row],[Principal]]+Table157[[#This Row],[Interest]]+Table157[[#This Row],[Prepayments]]+Table157[[#This Row],[RecoveredAmount]]</f>
        <v>0</v>
      </c>
      <c r="Q374" s="3">
        <f ca="1">ROUND(Table157[[#This Row],[Cash Flow]]/((1+ActualRateToUse)^(IF(ISNUMBER(SEARCH("Actual",$C$7)),Table157[[#This Row],[Running Total]]/365,Table157[[#This Row],[Period]]/12))),2)</f>
        <v>0</v>
      </c>
      <c r="R374" s="2">
        <f>IF(MONTH(Table157[[#This Row],[Date]])=2,28,DAY(DATE(YEAR(Table157[[#This Row],[Date]]),MONTH(Table157[[#This Row],[Date]])+1,1)-1))</f>
        <v>30</v>
      </c>
      <c r="S374" s="2">
        <f ca="1">SUM(OFFSET(Table157[[#Headers],[Days in month]],1,0):Table157[[#This Row],[Days in month]])</f>
        <v>10889</v>
      </c>
      <c r="T374" s="37">
        <f>InterestRate*AmortizationMultiplier*IF(ISNUMBER(SEARCH("Actual",$C$7)),Table157[[#This Row],[Days in month]]/365,1/12)</f>
        <v>2.8749999999999995E-3</v>
      </c>
    </row>
    <row r="375" spans="2:20" x14ac:dyDescent="0.2">
      <c r="B375" s="1">
        <f t="shared" si="18"/>
        <v>56765</v>
      </c>
      <c r="C375" s="2">
        <f t="shared" si="20"/>
        <v>359</v>
      </c>
      <c r="D375" s="3">
        <f t="shared" si="19"/>
        <v>0</v>
      </c>
      <c r="E375" s="3">
        <f>ROUND(Table157[[#This Row],[Beginning Balance]]*Table157[[#This Row],[Monthly Interest Rate]],2)</f>
        <v>0</v>
      </c>
      <c r="F375" s="3">
        <f t="shared" si="21"/>
        <v>-103</v>
      </c>
      <c r="G375" s="23">
        <f>IFERROR(IF($C$13="No","N/A",IF(Table157[[#This Row],[Period]]=1,$C$6,PMT(InterestRate*AmortizationMultiplier/12,Table157[[#This Row],[Am Thru]],-Table157[[#This Row],[Beginning Balance]]))),0)</f>
        <v>0</v>
      </c>
      <c r="H375" s="3">
        <f>MAX(0,IF(C375=$C$4,D375,ROUND(IF($C$3="Fixed Principal",$C$6-Table157[[#This Row],[Interest]],IF($C$3="Interest Only",Table157[[#This Row],[Beginning Balance]]*ROUND(1-(1-IF($C$11="No",$E$8,1))^(1/12),6),MIN(IF($C$13="Yes",Table157[[#This Row],[Payment Amount (Reamortized)]],$C$6)-Table157[[#This Row],[Interest]],Table157[[#This Row],[Beginning Balance]]))),2)))</f>
        <v>0</v>
      </c>
      <c r="I375" s="3">
        <f>_xlfn.SINGLE(IF($C$3="Line of Credit",0,ROUND(MAX(MIN(IF($C$10="No",$E$7,VLOOKUP(Table157[[#This Row],[Period]],Forecast!$H$2:$L$1048576,4,FALSE))*Table157[[#This Row],[Beginning Balance]],Table157[[#This Row],[Beginning Balance]]-Table157[[#This Row],[Principal]]),0),2)))</f>
        <v>0</v>
      </c>
      <c r="J375" s="3">
        <f>ROUND(MIN(Table157[[#This Row],[Beginning Balance]]*IF($C$8="No",$E$3,VLOOKUP(Table157[[#This Row],[Period]],Forecast!$H$2:$L$1048576,2,FALSE)),Table157[[#This Row],[Beginning Balance]]-Table157[[#This Row],[Principal]]-Table157[[#This Row],[Prepayments]]),2)</f>
        <v>0</v>
      </c>
      <c r="K375" s="3">
        <f>ROUND(Table157[[#This Row],[Defaulted Principal]]*IF($C$9="No",$E$4,VLOOKUP(Table157[[#This Row],[Period]],Forecast!$H$2:$L$1048576,3,FALSE)),2)</f>
        <v>0</v>
      </c>
      <c r="L375" s="2">
        <f>Table157[[#This Row],[Period]]+$E$9</f>
        <v>371</v>
      </c>
      <c r="M375" s="3">
        <f>Table157[[#This Row],[Defaulted Principal]]-Table157[[#This Row],[Estimated Loss]]</f>
        <v>0</v>
      </c>
      <c r="N375" s="3">
        <f>IFERROR(VLOOKUP(Table157[[#This Row],[Period]],$L$16:$M$385,2,FALSE),0)</f>
        <v>0</v>
      </c>
      <c r="O375" s="3">
        <f>Table157[[#This Row],[Beginning Balance]]-Table157[[#This Row],[Principal]]-Table157[[#This Row],[Prepayments]]-Table157[[#This Row],[Defaulted Principal]]</f>
        <v>0</v>
      </c>
      <c r="P375" s="3">
        <f>Table157[[#This Row],[Principal]]+Table157[[#This Row],[Interest]]+Table157[[#This Row],[Prepayments]]+Table157[[#This Row],[RecoveredAmount]]</f>
        <v>0</v>
      </c>
      <c r="Q375" s="3">
        <f ca="1">ROUND(Table157[[#This Row],[Cash Flow]]/((1+ActualRateToUse)^(IF(ISNUMBER(SEARCH("Actual",$C$7)),Table157[[#This Row],[Running Total]]/365,Table157[[#This Row],[Period]]/12))),2)</f>
        <v>0</v>
      </c>
      <c r="R375" s="2">
        <f>IF(MONTH(Table157[[#This Row],[Date]])=2,28,DAY(DATE(YEAR(Table157[[#This Row],[Date]]),MONTH(Table157[[#This Row],[Date]])+1,1)-1))</f>
        <v>31</v>
      </c>
      <c r="S375" s="2">
        <f ca="1">SUM(OFFSET(Table157[[#Headers],[Days in month]],1,0):Table157[[#This Row],[Days in month]])</f>
        <v>10920</v>
      </c>
      <c r="T375" s="37">
        <f>InterestRate*AmortizationMultiplier*IF(ISNUMBER(SEARCH("Actual",$C$7)),Table157[[#This Row],[Days in month]]/365,1/12)</f>
        <v>2.9708333333333331E-3</v>
      </c>
    </row>
    <row r="376" spans="2:20" x14ac:dyDescent="0.2">
      <c r="B376" s="1">
        <f t="shared" si="18"/>
        <v>56795</v>
      </c>
      <c r="C376" s="2">
        <f t="shared" si="20"/>
        <v>360</v>
      </c>
      <c r="D376" s="3">
        <f t="shared" si="19"/>
        <v>0</v>
      </c>
      <c r="E376" s="3">
        <f>ROUND(Table157[[#This Row],[Beginning Balance]]*Table157[[#This Row],[Monthly Interest Rate]],2)</f>
        <v>0</v>
      </c>
      <c r="F376" s="3">
        <f t="shared" si="21"/>
        <v>-104</v>
      </c>
      <c r="G376" s="23">
        <f>IFERROR(IF($C$13="No","N/A",IF(Table157[[#This Row],[Period]]=1,$C$6,PMT(InterestRate*AmortizationMultiplier/12,Table157[[#This Row],[Am Thru]],-Table157[[#This Row],[Beginning Balance]]))),0)</f>
        <v>0</v>
      </c>
      <c r="H376" s="3">
        <f>MAX(0,IF(C376=$C$4,D376,ROUND(IF($C$3="Fixed Principal",$C$6-Table157[[#This Row],[Interest]],IF($C$3="Interest Only",Table157[[#This Row],[Beginning Balance]]*ROUND(1-(1-IF($C$11="No",$E$8,1))^(1/12),6),MIN(IF($C$13="Yes",Table157[[#This Row],[Payment Amount (Reamortized)]],$C$6)-Table157[[#This Row],[Interest]],Table157[[#This Row],[Beginning Balance]]))),2)))</f>
        <v>0</v>
      </c>
      <c r="I376" s="3">
        <f>_xlfn.SINGLE(IF($C$3="Line of Credit",0,ROUND(MAX(MIN(IF($C$10="No",$E$7,VLOOKUP(Table157[[#This Row],[Period]],Forecast!$H$2:$L$1048576,4,FALSE))*Table157[[#This Row],[Beginning Balance]],Table157[[#This Row],[Beginning Balance]]-Table157[[#This Row],[Principal]]),0),2)))</f>
        <v>0</v>
      </c>
      <c r="J376" s="3">
        <f>ROUND(MIN(Table157[[#This Row],[Beginning Balance]]*IF($C$8="No",$E$3,VLOOKUP(Table157[[#This Row],[Period]],Forecast!$H$2:$L$1048576,2,FALSE)),Table157[[#This Row],[Beginning Balance]]-Table157[[#This Row],[Principal]]-Table157[[#This Row],[Prepayments]]),2)</f>
        <v>0</v>
      </c>
      <c r="K376" s="3">
        <f>ROUND(Table157[[#This Row],[Defaulted Principal]]*IF($C$9="No",$E$4,VLOOKUP(Table157[[#This Row],[Period]],Forecast!$H$2:$L$1048576,3,FALSE)),2)</f>
        <v>0</v>
      </c>
      <c r="L376" s="2">
        <f>Table157[[#This Row],[Period]]+$E$9</f>
        <v>372</v>
      </c>
      <c r="M376" s="3">
        <f>Table157[[#This Row],[Defaulted Principal]]-Table157[[#This Row],[Estimated Loss]]</f>
        <v>0</v>
      </c>
      <c r="N376" s="3">
        <f>IFERROR(VLOOKUP(Table157[[#This Row],[Period]],$L$16:$M$385,2,FALSE),0)</f>
        <v>0</v>
      </c>
      <c r="O376" s="3">
        <f>Table157[[#This Row],[Beginning Balance]]-Table157[[#This Row],[Principal]]-Table157[[#This Row],[Prepayments]]-Table157[[#This Row],[Defaulted Principal]]</f>
        <v>0</v>
      </c>
      <c r="P376" s="3">
        <f>Table157[[#This Row],[Principal]]+Table157[[#This Row],[Interest]]+Table157[[#This Row],[Prepayments]]+Table157[[#This Row],[RecoveredAmount]]</f>
        <v>0</v>
      </c>
      <c r="Q376" s="3">
        <f ca="1">ROUND(Table157[[#This Row],[Cash Flow]]/((1+ActualRateToUse)^(IF(ISNUMBER(SEARCH("Actual",$C$7)),Table157[[#This Row],[Running Total]]/365,Table157[[#This Row],[Period]]/12))),2)</f>
        <v>0</v>
      </c>
      <c r="R376" s="2">
        <f>IF(MONTH(Table157[[#This Row],[Date]])=2,28,DAY(DATE(YEAR(Table157[[#This Row],[Date]]),MONTH(Table157[[#This Row],[Date]])+1,1)-1))</f>
        <v>30</v>
      </c>
      <c r="S376" s="2">
        <f ca="1">SUM(OFFSET(Table157[[#Headers],[Days in month]],1,0):Table157[[#This Row],[Days in month]])</f>
        <v>10950</v>
      </c>
      <c r="T376" s="37">
        <f>InterestRate*AmortizationMultiplier*IF(ISNUMBER(SEARCH("Actual",$C$7)),Table157[[#This Row],[Days in month]]/365,1/12)</f>
        <v>2.8749999999999995E-3</v>
      </c>
    </row>
    <row r="377" spans="2:20" x14ac:dyDescent="0.2">
      <c r="B377" s="1">
        <f t="shared" si="18"/>
        <v>56826</v>
      </c>
      <c r="C377" s="2">
        <f t="shared" si="20"/>
        <v>361</v>
      </c>
      <c r="D377" s="3">
        <f t="shared" si="19"/>
        <v>0</v>
      </c>
      <c r="E377" s="3">
        <f>ROUND(Table157[[#This Row],[Beginning Balance]]*Table157[[#This Row],[Monthly Interest Rate]],2)</f>
        <v>0</v>
      </c>
      <c r="F377" s="3">
        <f t="shared" si="21"/>
        <v>-105</v>
      </c>
      <c r="G377" s="23">
        <f>IFERROR(IF($C$13="No","N/A",IF(Table157[[#This Row],[Period]]=1,$C$6,PMT(InterestRate*AmortizationMultiplier/12,Table157[[#This Row],[Am Thru]],-Table157[[#This Row],[Beginning Balance]]))),0)</f>
        <v>0</v>
      </c>
      <c r="H377" s="3">
        <f>MAX(0,IF(C377=$C$4,D377,ROUND(IF($C$3="Fixed Principal",$C$6-Table157[[#This Row],[Interest]],IF($C$3="Interest Only",Table157[[#This Row],[Beginning Balance]]*ROUND(1-(1-IF($C$11="No",$E$8,1))^(1/12),6),MIN(IF($C$13="Yes",Table157[[#This Row],[Payment Amount (Reamortized)]],$C$6)-Table157[[#This Row],[Interest]],Table157[[#This Row],[Beginning Balance]]))),2)))</f>
        <v>0</v>
      </c>
      <c r="I377" s="3">
        <f>_xlfn.SINGLE(IF($C$3="Line of Credit",0,ROUND(MAX(MIN(IF($C$10="No",$E$7,VLOOKUP(Table157[[#This Row],[Period]],Forecast!$H$2:$L$1048576,4,FALSE))*Table157[[#This Row],[Beginning Balance]],Table157[[#This Row],[Beginning Balance]]-Table157[[#This Row],[Principal]]),0),2)))</f>
        <v>0</v>
      </c>
      <c r="J377" s="3">
        <f>ROUND(MIN(Table157[[#This Row],[Beginning Balance]]*IF($C$8="No",$E$3,VLOOKUP(Table157[[#This Row],[Period]],Forecast!$H$2:$L$1048576,2,FALSE)),Table157[[#This Row],[Beginning Balance]]-Table157[[#This Row],[Principal]]-Table157[[#This Row],[Prepayments]]),2)</f>
        <v>0</v>
      </c>
      <c r="K377" s="3">
        <f>ROUND(Table157[[#This Row],[Defaulted Principal]]*IF($C$9="No",$E$4,VLOOKUP(Table157[[#This Row],[Period]],Forecast!$H$2:$L$1048576,3,FALSE)),2)</f>
        <v>0</v>
      </c>
      <c r="L377" s="2">
        <f>Table157[[#This Row],[Period]]+$E$9</f>
        <v>373</v>
      </c>
      <c r="M377" s="3">
        <f>Table157[[#This Row],[Defaulted Principal]]-Table157[[#This Row],[Estimated Loss]]</f>
        <v>0</v>
      </c>
      <c r="N377" s="3">
        <f>IFERROR(VLOOKUP(Table157[[#This Row],[Period]],$L$16:$M$385,2,FALSE),0)</f>
        <v>0</v>
      </c>
      <c r="O377" s="3">
        <f>Table157[[#This Row],[Beginning Balance]]-Table157[[#This Row],[Principal]]-Table157[[#This Row],[Prepayments]]-Table157[[#This Row],[Defaulted Principal]]</f>
        <v>0</v>
      </c>
      <c r="P377" s="3">
        <f>Table157[[#This Row],[Principal]]+Table157[[#This Row],[Interest]]+Table157[[#This Row],[Prepayments]]+Table157[[#This Row],[RecoveredAmount]]</f>
        <v>0</v>
      </c>
      <c r="Q377" s="3">
        <f ca="1">ROUND(Table157[[#This Row],[Cash Flow]]/((1+ActualRateToUse)^(IF(ISNUMBER(SEARCH("Actual",$C$7)),Table157[[#This Row],[Running Total]]/365,Table157[[#This Row],[Period]]/12))),2)</f>
        <v>0</v>
      </c>
      <c r="R377" s="2">
        <f>IF(MONTH(Table157[[#This Row],[Date]])=2,28,DAY(DATE(YEAR(Table157[[#This Row],[Date]]),MONTH(Table157[[#This Row],[Date]])+1,1)-1))</f>
        <v>31</v>
      </c>
      <c r="S377" s="2">
        <f ca="1">SUM(OFFSET(Table157[[#Headers],[Days in month]],1,0):Table157[[#This Row],[Days in month]])</f>
        <v>10981</v>
      </c>
      <c r="T377" s="37">
        <f>InterestRate*AmortizationMultiplier*IF(ISNUMBER(SEARCH("Actual",$C$7)),Table157[[#This Row],[Days in month]]/365,1/12)</f>
        <v>2.9708333333333331E-3</v>
      </c>
    </row>
    <row r="378" spans="2:20" x14ac:dyDescent="0.2">
      <c r="B378" s="1">
        <f t="shared" si="18"/>
        <v>56857</v>
      </c>
      <c r="C378" s="2">
        <f t="shared" si="20"/>
        <v>362</v>
      </c>
      <c r="D378" s="3">
        <f t="shared" si="19"/>
        <v>0</v>
      </c>
      <c r="E378" s="3">
        <f>ROUND(Table157[[#This Row],[Beginning Balance]]*Table157[[#This Row],[Monthly Interest Rate]],2)</f>
        <v>0</v>
      </c>
      <c r="F378" s="3">
        <f t="shared" si="21"/>
        <v>-106</v>
      </c>
      <c r="G378" s="23">
        <f>IFERROR(IF($C$13="No","N/A",IF(Table157[[#This Row],[Period]]=1,$C$6,PMT(InterestRate*AmortizationMultiplier/12,Table157[[#This Row],[Am Thru]],-Table157[[#This Row],[Beginning Balance]]))),0)</f>
        <v>0</v>
      </c>
      <c r="H378" s="3">
        <f>MAX(0,IF(C378=$C$4,D378,ROUND(IF($C$3="Fixed Principal",$C$6-Table157[[#This Row],[Interest]],IF($C$3="Interest Only",Table157[[#This Row],[Beginning Balance]]*ROUND(1-(1-IF($C$11="No",$E$8,1))^(1/12),6),MIN(IF($C$13="Yes",Table157[[#This Row],[Payment Amount (Reamortized)]],$C$6)-Table157[[#This Row],[Interest]],Table157[[#This Row],[Beginning Balance]]))),2)))</f>
        <v>0</v>
      </c>
      <c r="I378" s="3">
        <f>_xlfn.SINGLE(IF($C$3="Line of Credit",0,ROUND(MAX(MIN(IF($C$10="No",$E$7,VLOOKUP(Table157[[#This Row],[Period]],Forecast!$H$2:$L$1048576,4,FALSE))*Table157[[#This Row],[Beginning Balance]],Table157[[#This Row],[Beginning Balance]]-Table157[[#This Row],[Principal]]),0),2)))</f>
        <v>0</v>
      </c>
      <c r="J378" s="3">
        <f>ROUND(MIN(Table157[[#This Row],[Beginning Balance]]*IF($C$8="No",$E$3,VLOOKUP(Table157[[#This Row],[Period]],Forecast!$H$2:$L$1048576,2,FALSE)),Table157[[#This Row],[Beginning Balance]]-Table157[[#This Row],[Principal]]-Table157[[#This Row],[Prepayments]]),2)</f>
        <v>0</v>
      </c>
      <c r="K378" s="3">
        <f>ROUND(Table157[[#This Row],[Defaulted Principal]]*IF($C$9="No",$E$4,VLOOKUP(Table157[[#This Row],[Period]],Forecast!$H$2:$L$1048576,3,FALSE)),2)</f>
        <v>0</v>
      </c>
      <c r="L378" s="2">
        <f>Table157[[#This Row],[Period]]+$E$9</f>
        <v>374</v>
      </c>
      <c r="M378" s="3">
        <f>Table157[[#This Row],[Defaulted Principal]]-Table157[[#This Row],[Estimated Loss]]</f>
        <v>0</v>
      </c>
      <c r="N378" s="3">
        <f>IFERROR(VLOOKUP(Table157[[#This Row],[Period]],$L$16:$M$385,2,FALSE),0)</f>
        <v>0</v>
      </c>
      <c r="O378" s="3">
        <f>Table157[[#This Row],[Beginning Balance]]-Table157[[#This Row],[Principal]]-Table157[[#This Row],[Prepayments]]-Table157[[#This Row],[Defaulted Principal]]</f>
        <v>0</v>
      </c>
      <c r="P378" s="3">
        <f>Table157[[#This Row],[Principal]]+Table157[[#This Row],[Interest]]+Table157[[#This Row],[Prepayments]]+Table157[[#This Row],[RecoveredAmount]]</f>
        <v>0</v>
      </c>
      <c r="Q378" s="3">
        <f ca="1">ROUND(Table157[[#This Row],[Cash Flow]]/((1+ActualRateToUse)^(IF(ISNUMBER(SEARCH("Actual",$C$7)),Table157[[#This Row],[Running Total]]/365,Table157[[#This Row],[Period]]/12))),2)</f>
        <v>0</v>
      </c>
      <c r="R378" s="2">
        <f>IF(MONTH(Table157[[#This Row],[Date]])=2,28,DAY(DATE(YEAR(Table157[[#This Row],[Date]]),MONTH(Table157[[#This Row],[Date]])+1,1)-1))</f>
        <v>31</v>
      </c>
      <c r="S378" s="2">
        <f ca="1">SUM(OFFSET(Table157[[#Headers],[Days in month]],1,0):Table157[[#This Row],[Days in month]])</f>
        <v>11012</v>
      </c>
      <c r="T378" s="37">
        <f>InterestRate*AmortizationMultiplier*IF(ISNUMBER(SEARCH("Actual",$C$7)),Table157[[#This Row],[Days in month]]/365,1/12)</f>
        <v>2.9708333333333331E-3</v>
      </c>
    </row>
    <row r="379" spans="2:20" x14ac:dyDescent="0.2">
      <c r="B379" s="1">
        <f t="shared" si="18"/>
        <v>56887</v>
      </c>
      <c r="C379" s="2">
        <f t="shared" si="20"/>
        <v>363</v>
      </c>
      <c r="D379" s="3">
        <f t="shared" si="19"/>
        <v>0</v>
      </c>
      <c r="E379" s="3">
        <f>ROUND(Table157[[#This Row],[Beginning Balance]]*Table157[[#This Row],[Monthly Interest Rate]],2)</f>
        <v>0</v>
      </c>
      <c r="F379" s="3">
        <f t="shared" si="21"/>
        <v>-107</v>
      </c>
      <c r="G379" s="23">
        <f>IFERROR(IF($C$13="No","N/A",IF(Table157[[#This Row],[Period]]=1,$C$6,PMT(InterestRate*AmortizationMultiplier/12,Table157[[#This Row],[Am Thru]],-Table157[[#This Row],[Beginning Balance]]))),0)</f>
        <v>0</v>
      </c>
      <c r="H379" s="3">
        <f>MAX(0,IF(C379=$C$4,D379,ROUND(IF($C$3="Fixed Principal",$C$6-Table157[[#This Row],[Interest]],IF($C$3="Interest Only",Table157[[#This Row],[Beginning Balance]]*ROUND(1-(1-IF($C$11="No",$E$8,1))^(1/12),6),MIN(IF($C$13="Yes",Table157[[#This Row],[Payment Amount (Reamortized)]],$C$6)-Table157[[#This Row],[Interest]],Table157[[#This Row],[Beginning Balance]]))),2)))</f>
        <v>0</v>
      </c>
      <c r="I379" s="3">
        <f>_xlfn.SINGLE(IF($C$3="Line of Credit",0,ROUND(MAX(MIN(IF($C$10="No",$E$7,VLOOKUP(Table157[[#This Row],[Period]],Forecast!$H$2:$L$1048576,4,FALSE))*Table157[[#This Row],[Beginning Balance]],Table157[[#This Row],[Beginning Balance]]-Table157[[#This Row],[Principal]]),0),2)))</f>
        <v>0</v>
      </c>
      <c r="J379" s="3">
        <f>ROUND(MIN(Table157[[#This Row],[Beginning Balance]]*IF($C$8="No",$E$3,VLOOKUP(Table157[[#This Row],[Period]],Forecast!$H$2:$L$1048576,2,FALSE)),Table157[[#This Row],[Beginning Balance]]-Table157[[#This Row],[Principal]]-Table157[[#This Row],[Prepayments]]),2)</f>
        <v>0</v>
      </c>
      <c r="K379" s="3">
        <f>ROUND(Table157[[#This Row],[Defaulted Principal]]*IF($C$9="No",$E$4,VLOOKUP(Table157[[#This Row],[Period]],Forecast!$H$2:$L$1048576,3,FALSE)),2)</f>
        <v>0</v>
      </c>
      <c r="L379" s="2">
        <f>Table157[[#This Row],[Period]]+$E$9</f>
        <v>375</v>
      </c>
      <c r="M379" s="3">
        <f>Table157[[#This Row],[Defaulted Principal]]-Table157[[#This Row],[Estimated Loss]]</f>
        <v>0</v>
      </c>
      <c r="N379" s="3">
        <f>IFERROR(VLOOKUP(Table157[[#This Row],[Period]],$L$16:$M$385,2,FALSE),0)</f>
        <v>0</v>
      </c>
      <c r="O379" s="3">
        <f>Table157[[#This Row],[Beginning Balance]]-Table157[[#This Row],[Principal]]-Table157[[#This Row],[Prepayments]]-Table157[[#This Row],[Defaulted Principal]]</f>
        <v>0</v>
      </c>
      <c r="P379" s="3">
        <f>Table157[[#This Row],[Principal]]+Table157[[#This Row],[Interest]]+Table157[[#This Row],[Prepayments]]+Table157[[#This Row],[RecoveredAmount]]</f>
        <v>0</v>
      </c>
      <c r="Q379" s="3">
        <f ca="1">ROUND(Table157[[#This Row],[Cash Flow]]/((1+ActualRateToUse)^(IF(ISNUMBER(SEARCH("Actual",$C$7)),Table157[[#This Row],[Running Total]]/365,Table157[[#This Row],[Period]]/12))),2)</f>
        <v>0</v>
      </c>
      <c r="R379" s="2">
        <f>IF(MONTH(Table157[[#This Row],[Date]])=2,28,DAY(DATE(YEAR(Table157[[#This Row],[Date]]),MONTH(Table157[[#This Row],[Date]])+1,1)-1))</f>
        <v>30</v>
      </c>
      <c r="S379" s="2">
        <f ca="1">SUM(OFFSET(Table157[[#Headers],[Days in month]],1,0):Table157[[#This Row],[Days in month]])</f>
        <v>11042</v>
      </c>
      <c r="T379" s="37">
        <f>InterestRate*AmortizationMultiplier*IF(ISNUMBER(SEARCH("Actual",$C$7)),Table157[[#This Row],[Days in month]]/365,1/12)</f>
        <v>2.8749999999999995E-3</v>
      </c>
    </row>
    <row r="380" spans="2:20" x14ac:dyDescent="0.2">
      <c r="B380" s="1">
        <f t="shared" si="18"/>
        <v>56918</v>
      </c>
      <c r="C380" s="2">
        <f t="shared" si="20"/>
        <v>364</v>
      </c>
      <c r="D380" s="3">
        <f t="shared" si="19"/>
        <v>0</v>
      </c>
      <c r="E380" s="3">
        <f>ROUND(Table157[[#This Row],[Beginning Balance]]*Table157[[#This Row],[Monthly Interest Rate]],2)</f>
        <v>0</v>
      </c>
      <c r="F380" s="3">
        <f t="shared" si="21"/>
        <v>-108</v>
      </c>
      <c r="G380" s="23">
        <f>IFERROR(IF($C$13="No","N/A",IF(Table157[[#This Row],[Period]]=1,$C$6,PMT(InterestRate*AmortizationMultiplier/12,Table157[[#This Row],[Am Thru]],-Table157[[#This Row],[Beginning Balance]]))),0)</f>
        <v>0</v>
      </c>
      <c r="H380" s="3">
        <f>MAX(0,IF(C380=$C$4,D380,ROUND(IF($C$3="Fixed Principal",$C$6-Table157[[#This Row],[Interest]],IF($C$3="Interest Only",Table157[[#This Row],[Beginning Balance]]*ROUND(1-(1-IF($C$11="No",$E$8,1))^(1/12),6),MIN(IF($C$13="Yes",Table157[[#This Row],[Payment Amount (Reamortized)]],$C$6)-Table157[[#This Row],[Interest]],Table157[[#This Row],[Beginning Balance]]))),2)))</f>
        <v>0</v>
      </c>
      <c r="I380" s="3">
        <f>_xlfn.SINGLE(IF($C$3="Line of Credit",0,ROUND(MAX(MIN(IF($C$10="No",$E$7,VLOOKUP(Table157[[#This Row],[Period]],Forecast!$H$2:$L$1048576,4,FALSE))*Table157[[#This Row],[Beginning Balance]],Table157[[#This Row],[Beginning Balance]]-Table157[[#This Row],[Principal]]),0),2)))</f>
        <v>0</v>
      </c>
      <c r="J380" s="3">
        <f>ROUND(MIN(Table157[[#This Row],[Beginning Balance]]*IF($C$8="No",$E$3,VLOOKUP(Table157[[#This Row],[Period]],Forecast!$H$2:$L$1048576,2,FALSE)),Table157[[#This Row],[Beginning Balance]]-Table157[[#This Row],[Principal]]-Table157[[#This Row],[Prepayments]]),2)</f>
        <v>0</v>
      </c>
      <c r="K380" s="3">
        <f>ROUND(Table157[[#This Row],[Defaulted Principal]]*IF($C$9="No",$E$4,VLOOKUP(Table157[[#This Row],[Period]],Forecast!$H$2:$L$1048576,3,FALSE)),2)</f>
        <v>0</v>
      </c>
      <c r="L380" s="2">
        <f>Table157[[#This Row],[Period]]+$E$9</f>
        <v>376</v>
      </c>
      <c r="M380" s="3">
        <f>Table157[[#This Row],[Defaulted Principal]]-Table157[[#This Row],[Estimated Loss]]</f>
        <v>0</v>
      </c>
      <c r="N380" s="3">
        <f>IFERROR(VLOOKUP(Table157[[#This Row],[Period]],$L$16:$M$385,2,FALSE),0)</f>
        <v>0</v>
      </c>
      <c r="O380" s="3">
        <f>Table157[[#This Row],[Beginning Balance]]-Table157[[#This Row],[Principal]]-Table157[[#This Row],[Prepayments]]-Table157[[#This Row],[Defaulted Principal]]</f>
        <v>0</v>
      </c>
      <c r="P380" s="3">
        <f>Table157[[#This Row],[Principal]]+Table157[[#This Row],[Interest]]+Table157[[#This Row],[Prepayments]]+Table157[[#This Row],[RecoveredAmount]]</f>
        <v>0</v>
      </c>
      <c r="Q380" s="3">
        <f ca="1">ROUND(Table157[[#This Row],[Cash Flow]]/((1+ActualRateToUse)^(IF(ISNUMBER(SEARCH("Actual",$C$7)),Table157[[#This Row],[Running Total]]/365,Table157[[#This Row],[Period]]/12))),2)</f>
        <v>0</v>
      </c>
      <c r="R380" s="2">
        <f>IF(MONTH(Table157[[#This Row],[Date]])=2,28,DAY(DATE(YEAR(Table157[[#This Row],[Date]]),MONTH(Table157[[#This Row],[Date]])+1,1)-1))</f>
        <v>31</v>
      </c>
      <c r="S380" s="2">
        <f ca="1">SUM(OFFSET(Table157[[#Headers],[Days in month]],1,0):Table157[[#This Row],[Days in month]])</f>
        <v>11073</v>
      </c>
      <c r="T380" s="37">
        <f>InterestRate*AmortizationMultiplier*IF(ISNUMBER(SEARCH("Actual",$C$7)),Table157[[#This Row],[Days in month]]/365,1/12)</f>
        <v>2.9708333333333331E-3</v>
      </c>
    </row>
    <row r="381" spans="2:20" x14ac:dyDescent="0.2">
      <c r="B381" s="1">
        <f t="shared" si="18"/>
        <v>56948</v>
      </c>
      <c r="C381" s="2">
        <f t="shared" si="20"/>
        <v>365</v>
      </c>
      <c r="D381" s="3">
        <f t="shared" si="19"/>
        <v>0</v>
      </c>
      <c r="E381" s="3">
        <f>ROUND(Table157[[#This Row],[Beginning Balance]]*Table157[[#This Row],[Monthly Interest Rate]],2)</f>
        <v>0</v>
      </c>
      <c r="F381" s="3">
        <f t="shared" si="21"/>
        <v>-109</v>
      </c>
      <c r="G381" s="23">
        <f>IFERROR(IF($C$13="No","N/A",IF(Table157[[#This Row],[Period]]=1,$C$6,PMT(InterestRate*AmortizationMultiplier/12,Table157[[#This Row],[Am Thru]],-Table157[[#This Row],[Beginning Balance]]))),0)</f>
        <v>0</v>
      </c>
      <c r="H381" s="3">
        <f>MAX(0,IF(C381=$C$4,D381,ROUND(IF($C$3="Fixed Principal",$C$6-Table157[[#This Row],[Interest]],IF($C$3="Interest Only",Table157[[#This Row],[Beginning Balance]]*ROUND(1-(1-IF($C$11="No",$E$8,1))^(1/12),6),MIN(IF($C$13="Yes",Table157[[#This Row],[Payment Amount (Reamortized)]],$C$6)-Table157[[#This Row],[Interest]],Table157[[#This Row],[Beginning Balance]]))),2)))</f>
        <v>0</v>
      </c>
      <c r="I381" s="3">
        <f>_xlfn.SINGLE(IF($C$3="Line of Credit",0,ROUND(MAX(MIN(IF($C$10="No",$E$7,VLOOKUP(Table157[[#This Row],[Period]],Forecast!$H$2:$L$1048576,4,FALSE))*Table157[[#This Row],[Beginning Balance]],Table157[[#This Row],[Beginning Balance]]-Table157[[#This Row],[Principal]]),0),2)))</f>
        <v>0</v>
      </c>
      <c r="J381" s="3">
        <f>ROUND(MIN(Table157[[#This Row],[Beginning Balance]]*IF($C$8="No",$E$3,VLOOKUP(Table157[[#This Row],[Period]],Forecast!$H$2:$L$1048576,2,FALSE)),Table157[[#This Row],[Beginning Balance]]-Table157[[#This Row],[Principal]]-Table157[[#This Row],[Prepayments]]),2)</f>
        <v>0</v>
      </c>
      <c r="K381" s="3">
        <f>ROUND(Table157[[#This Row],[Defaulted Principal]]*IF($C$9="No",$E$4,VLOOKUP(Table157[[#This Row],[Period]],Forecast!$H$2:$L$1048576,3,FALSE)),2)</f>
        <v>0</v>
      </c>
      <c r="L381" s="2">
        <f>Table157[[#This Row],[Period]]+$E$9</f>
        <v>377</v>
      </c>
      <c r="M381" s="3">
        <f>Table157[[#This Row],[Defaulted Principal]]-Table157[[#This Row],[Estimated Loss]]</f>
        <v>0</v>
      </c>
      <c r="N381" s="3">
        <f>IFERROR(VLOOKUP(Table157[[#This Row],[Period]],$L$16:$M$385,2,FALSE),0)</f>
        <v>0</v>
      </c>
      <c r="O381" s="3">
        <f>Table157[[#This Row],[Beginning Balance]]-Table157[[#This Row],[Principal]]-Table157[[#This Row],[Prepayments]]-Table157[[#This Row],[Defaulted Principal]]</f>
        <v>0</v>
      </c>
      <c r="P381" s="3">
        <f>Table157[[#This Row],[Principal]]+Table157[[#This Row],[Interest]]+Table157[[#This Row],[Prepayments]]+Table157[[#This Row],[RecoveredAmount]]</f>
        <v>0</v>
      </c>
      <c r="Q381" s="3">
        <f ca="1">ROUND(Table157[[#This Row],[Cash Flow]]/((1+ActualRateToUse)^(IF(ISNUMBER(SEARCH("Actual",$C$7)),Table157[[#This Row],[Running Total]]/365,Table157[[#This Row],[Period]]/12))),2)</f>
        <v>0</v>
      </c>
      <c r="R381" s="2">
        <f>IF(MONTH(Table157[[#This Row],[Date]])=2,28,DAY(DATE(YEAR(Table157[[#This Row],[Date]]),MONTH(Table157[[#This Row],[Date]])+1,1)-1))</f>
        <v>30</v>
      </c>
      <c r="S381" s="2">
        <f ca="1">SUM(OFFSET(Table157[[#Headers],[Days in month]],1,0):Table157[[#This Row],[Days in month]])</f>
        <v>11103</v>
      </c>
      <c r="T381" s="37">
        <f>InterestRate*AmortizationMultiplier*IF(ISNUMBER(SEARCH("Actual",$C$7)),Table157[[#This Row],[Days in month]]/365,1/12)</f>
        <v>2.8749999999999995E-3</v>
      </c>
    </row>
    <row r="382" spans="2:20" x14ac:dyDescent="0.2">
      <c r="B382" s="1">
        <f t="shared" si="18"/>
        <v>56979</v>
      </c>
      <c r="C382" s="2">
        <f t="shared" si="20"/>
        <v>366</v>
      </c>
      <c r="D382" s="3">
        <f t="shared" si="19"/>
        <v>0</v>
      </c>
      <c r="E382" s="3">
        <f>ROUND(Table157[[#This Row],[Beginning Balance]]*Table157[[#This Row],[Monthly Interest Rate]],2)</f>
        <v>0</v>
      </c>
      <c r="F382" s="3">
        <f t="shared" si="21"/>
        <v>-110</v>
      </c>
      <c r="G382" s="23">
        <f>IFERROR(IF($C$13="No","N/A",IF(Table157[[#This Row],[Period]]=1,$C$6,PMT(InterestRate*AmortizationMultiplier/12,Table157[[#This Row],[Am Thru]],-Table157[[#This Row],[Beginning Balance]]))),0)</f>
        <v>0</v>
      </c>
      <c r="H382" s="3">
        <f>MAX(0,IF(C382=$C$4,D382,ROUND(IF($C$3="Fixed Principal",$C$6-Table157[[#This Row],[Interest]],IF($C$3="Interest Only",Table157[[#This Row],[Beginning Balance]]*ROUND(1-(1-IF($C$11="No",$E$8,1))^(1/12),6),MIN(IF($C$13="Yes",Table157[[#This Row],[Payment Amount (Reamortized)]],$C$6)-Table157[[#This Row],[Interest]],Table157[[#This Row],[Beginning Balance]]))),2)))</f>
        <v>0</v>
      </c>
      <c r="I382" s="3">
        <f>_xlfn.SINGLE(IF($C$3="Line of Credit",0,ROUND(MAX(MIN(IF($C$10="No",$E$7,VLOOKUP(Table157[[#This Row],[Period]],Forecast!$H$2:$L$1048576,4,FALSE))*Table157[[#This Row],[Beginning Balance]],Table157[[#This Row],[Beginning Balance]]-Table157[[#This Row],[Principal]]),0),2)))</f>
        <v>0</v>
      </c>
      <c r="J382" s="3">
        <f>ROUND(MIN(Table157[[#This Row],[Beginning Balance]]*IF($C$8="No",$E$3,VLOOKUP(Table157[[#This Row],[Period]],Forecast!$H$2:$L$1048576,2,FALSE)),Table157[[#This Row],[Beginning Balance]]-Table157[[#This Row],[Principal]]-Table157[[#This Row],[Prepayments]]),2)</f>
        <v>0</v>
      </c>
      <c r="K382" s="3">
        <f>ROUND(Table157[[#This Row],[Defaulted Principal]]*IF($C$9="No",$E$4,VLOOKUP(Table157[[#This Row],[Period]],Forecast!$H$2:$L$1048576,3,FALSE)),2)</f>
        <v>0</v>
      </c>
      <c r="L382" s="2">
        <f>Table157[[#This Row],[Period]]+$E$9</f>
        <v>378</v>
      </c>
      <c r="M382" s="3">
        <f>Table157[[#This Row],[Defaulted Principal]]-Table157[[#This Row],[Estimated Loss]]</f>
        <v>0</v>
      </c>
      <c r="N382" s="3">
        <f>IFERROR(VLOOKUP(Table157[[#This Row],[Period]],$L$16:$M$385,2,FALSE),0)</f>
        <v>0</v>
      </c>
      <c r="O382" s="3">
        <f>Table157[[#This Row],[Beginning Balance]]-Table157[[#This Row],[Principal]]-Table157[[#This Row],[Prepayments]]-Table157[[#This Row],[Defaulted Principal]]</f>
        <v>0</v>
      </c>
      <c r="P382" s="3">
        <f>Table157[[#This Row],[Principal]]+Table157[[#This Row],[Interest]]+Table157[[#This Row],[Prepayments]]+Table157[[#This Row],[RecoveredAmount]]</f>
        <v>0</v>
      </c>
      <c r="Q382" s="3">
        <f ca="1">ROUND(Table157[[#This Row],[Cash Flow]]/((1+ActualRateToUse)^(IF(ISNUMBER(SEARCH("Actual",$C$7)),Table157[[#This Row],[Running Total]]/365,Table157[[#This Row],[Period]]/12))),2)</f>
        <v>0</v>
      </c>
      <c r="R382" s="2">
        <f>IF(MONTH(Table157[[#This Row],[Date]])=2,28,DAY(DATE(YEAR(Table157[[#This Row],[Date]]),MONTH(Table157[[#This Row],[Date]])+1,1)-1))</f>
        <v>31</v>
      </c>
      <c r="S382" s="2">
        <f ca="1">SUM(OFFSET(Table157[[#Headers],[Days in month]],1,0):Table157[[#This Row],[Days in month]])</f>
        <v>11134</v>
      </c>
      <c r="T382" s="37">
        <f>InterestRate*AmortizationMultiplier*IF(ISNUMBER(SEARCH("Actual",$C$7)),Table157[[#This Row],[Days in month]]/365,1/12)</f>
        <v>2.9708333333333331E-3</v>
      </c>
    </row>
    <row r="383" spans="2:20" x14ac:dyDescent="0.2">
      <c r="B383" s="1">
        <f t="shared" si="18"/>
        <v>57010</v>
      </c>
      <c r="C383" s="2">
        <f t="shared" si="20"/>
        <v>367</v>
      </c>
      <c r="D383" s="3">
        <f t="shared" si="19"/>
        <v>0</v>
      </c>
      <c r="E383" s="3">
        <f>ROUND(Table157[[#This Row],[Beginning Balance]]*Table157[[#This Row],[Monthly Interest Rate]],2)</f>
        <v>0</v>
      </c>
      <c r="F383" s="3">
        <f t="shared" si="21"/>
        <v>-111</v>
      </c>
      <c r="G383" s="23">
        <f>IFERROR(IF($C$13="No","N/A",IF(Table157[[#This Row],[Period]]=1,$C$6,PMT(InterestRate*AmortizationMultiplier/12,Table157[[#This Row],[Am Thru]],-Table157[[#This Row],[Beginning Balance]]))),0)</f>
        <v>0</v>
      </c>
      <c r="H383" s="3">
        <f>MAX(0,IF(C383=$C$4,D383,ROUND(IF($C$3="Fixed Principal",$C$6-Table157[[#This Row],[Interest]],IF($C$3="Interest Only",Table157[[#This Row],[Beginning Balance]]*ROUND(1-(1-IF($C$11="No",$E$8,1))^(1/12),6),MIN(IF($C$13="Yes",Table157[[#This Row],[Payment Amount (Reamortized)]],$C$6)-Table157[[#This Row],[Interest]],Table157[[#This Row],[Beginning Balance]]))),2)))</f>
        <v>0</v>
      </c>
      <c r="I383" s="3">
        <f>_xlfn.SINGLE(IF($C$3="Line of Credit",0,ROUND(MAX(MIN(IF($C$10="No",$E$7,VLOOKUP(Table157[[#This Row],[Period]],Forecast!$H$2:$L$1048576,4,FALSE))*Table157[[#This Row],[Beginning Balance]],Table157[[#This Row],[Beginning Balance]]-Table157[[#This Row],[Principal]]),0),2)))</f>
        <v>0</v>
      </c>
      <c r="J383" s="3">
        <f>ROUND(MIN(Table157[[#This Row],[Beginning Balance]]*IF($C$8="No",$E$3,VLOOKUP(Table157[[#This Row],[Period]],Forecast!$H$2:$L$1048576,2,FALSE)),Table157[[#This Row],[Beginning Balance]]-Table157[[#This Row],[Principal]]-Table157[[#This Row],[Prepayments]]),2)</f>
        <v>0</v>
      </c>
      <c r="K383" s="3">
        <f>ROUND(Table157[[#This Row],[Defaulted Principal]]*IF($C$9="No",$E$4,VLOOKUP(Table157[[#This Row],[Period]],Forecast!$H$2:$L$1048576,3,FALSE)),2)</f>
        <v>0</v>
      </c>
      <c r="L383" s="2">
        <f>Table157[[#This Row],[Period]]+$E$9</f>
        <v>379</v>
      </c>
      <c r="M383" s="3">
        <f>Table157[[#This Row],[Defaulted Principal]]-Table157[[#This Row],[Estimated Loss]]</f>
        <v>0</v>
      </c>
      <c r="N383" s="3">
        <f>IFERROR(VLOOKUP(Table157[[#This Row],[Period]],$L$16:$M$385,2,FALSE),0)</f>
        <v>0</v>
      </c>
      <c r="O383" s="3">
        <f>Table157[[#This Row],[Beginning Balance]]-Table157[[#This Row],[Principal]]-Table157[[#This Row],[Prepayments]]-Table157[[#This Row],[Defaulted Principal]]</f>
        <v>0</v>
      </c>
      <c r="P383" s="3">
        <f>Table157[[#This Row],[Principal]]+Table157[[#This Row],[Interest]]+Table157[[#This Row],[Prepayments]]+Table157[[#This Row],[RecoveredAmount]]</f>
        <v>0</v>
      </c>
      <c r="Q383" s="3">
        <f ca="1">ROUND(Table157[[#This Row],[Cash Flow]]/((1+ActualRateToUse)^(IF(ISNUMBER(SEARCH("Actual",$C$7)),Table157[[#This Row],[Running Total]]/365,Table157[[#This Row],[Period]]/12))),2)</f>
        <v>0</v>
      </c>
      <c r="R383" s="2">
        <f>IF(MONTH(Table157[[#This Row],[Date]])=2,28,DAY(DATE(YEAR(Table157[[#This Row],[Date]]),MONTH(Table157[[#This Row],[Date]])+1,1)-1))</f>
        <v>31</v>
      </c>
      <c r="S383" s="2">
        <f ca="1">SUM(OFFSET(Table157[[#Headers],[Days in month]],1,0):Table157[[#This Row],[Days in month]])</f>
        <v>11165</v>
      </c>
      <c r="T383" s="37">
        <f>InterestRate*AmortizationMultiplier*IF(ISNUMBER(SEARCH("Actual",$C$7)),Table157[[#This Row],[Days in month]]/365,1/12)</f>
        <v>2.9708333333333331E-3</v>
      </c>
    </row>
    <row r="384" spans="2:20" x14ac:dyDescent="0.2">
      <c r="B384" s="1">
        <f t="shared" si="18"/>
        <v>57039</v>
      </c>
      <c r="C384" s="2">
        <f t="shared" si="20"/>
        <v>368</v>
      </c>
      <c r="D384" s="3">
        <f t="shared" si="19"/>
        <v>0</v>
      </c>
      <c r="E384" s="3">
        <f>ROUND(Table157[[#This Row],[Beginning Balance]]*Table157[[#This Row],[Monthly Interest Rate]],2)</f>
        <v>0</v>
      </c>
      <c r="F384" s="3">
        <f t="shared" si="21"/>
        <v>-112</v>
      </c>
      <c r="G384" s="23">
        <f>IFERROR(IF($C$13="No","N/A",IF(Table157[[#This Row],[Period]]=1,$C$6,PMT(InterestRate*AmortizationMultiplier/12,Table157[[#This Row],[Am Thru]],-Table157[[#This Row],[Beginning Balance]]))),0)</f>
        <v>0</v>
      </c>
      <c r="H384" s="3">
        <f>MAX(0,IF(C384=$C$4,D384,ROUND(IF($C$3="Fixed Principal",$C$6-Table157[[#This Row],[Interest]],IF($C$3="Interest Only",Table157[[#This Row],[Beginning Balance]]*ROUND(1-(1-IF($C$11="No",$E$8,1))^(1/12),6),MIN(IF($C$13="Yes",Table157[[#This Row],[Payment Amount (Reamortized)]],$C$6)-Table157[[#This Row],[Interest]],Table157[[#This Row],[Beginning Balance]]))),2)))</f>
        <v>0</v>
      </c>
      <c r="I384" s="3">
        <f>_xlfn.SINGLE(IF($C$3="Line of Credit",0,ROUND(MAX(MIN(IF($C$10="No",$E$7,VLOOKUP(Table157[[#This Row],[Period]],Forecast!$H$2:$L$1048576,4,FALSE))*Table157[[#This Row],[Beginning Balance]],Table157[[#This Row],[Beginning Balance]]-Table157[[#This Row],[Principal]]),0),2)))</f>
        <v>0</v>
      </c>
      <c r="J384" s="3">
        <f>ROUND(MIN(Table157[[#This Row],[Beginning Balance]]*IF($C$8="No",$E$3,VLOOKUP(Table157[[#This Row],[Period]],Forecast!$H$2:$L$1048576,2,FALSE)),Table157[[#This Row],[Beginning Balance]]-Table157[[#This Row],[Principal]]-Table157[[#This Row],[Prepayments]]),2)</f>
        <v>0</v>
      </c>
      <c r="K384" s="3">
        <f>ROUND(Table157[[#This Row],[Defaulted Principal]]*IF($C$9="No",$E$4,VLOOKUP(Table157[[#This Row],[Period]],Forecast!$H$2:$L$1048576,3,FALSE)),2)</f>
        <v>0</v>
      </c>
      <c r="L384" s="2">
        <f>Table157[[#This Row],[Period]]+$E$9</f>
        <v>380</v>
      </c>
      <c r="M384" s="3">
        <f>Table157[[#This Row],[Defaulted Principal]]-Table157[[#This Row],[Estimated Loss]]</f>
        <v>0</v>
      </c>
      <c r="N384" s="3">
        <f>IFERROR(VLOOKUP(Table157[[#This Row],[Period]],$L$16:$M$385,2,FALSE),0)</f>
        <v>0</v>
      </c>
      <c r="O384" s="3">
        <f>Table157[[#This Row],[Beginning Balance]]-Table157[[#This Row],[Principal]]-Table157[[#This Row],[Prepayments]]-Table157[[#This Row],[Defaulted Principal]]</f>
        <v>0</v>
      </c>
      <c r="P384" s="3">
        <f>Table157[[#This Row],[Principal]]+Table157[[#This Row],[Interest]]+Table157[[#This Row],[Prepayments]]+Table157[[#This Row],[RecoveredAmount]]</f>
        <v>0</v>
      </c>
      <c r="Q384" s="3">
        <f ca="1">ROUND(Table157[[#This Row],[Cash Flow]]/((1+ActualRateToUse)^(IF(ISNUMBER(SEARCH("Actual",$C$7)),Table157[[#This Row],[Running Total]]/365,Table157[[#This Row],[Period]]/12))),2)</f>
        <v>0</v>
      </c>
      <c r="R384" s="2">
        <f>IF(MONTH(Table157[[#This Row],[Date]])=2,28,DAY(DATE(YEAR(Table157[[#This Row],[Date]]),MONTH(Table157[[#This Row],[Date]])+1,1)-1))</f>
        <v>28</v>
      </c>
      <c r="S384" s="2">
        <f ca="1">SUM(OFFSET(Table157[[#Headers],[Days in month]],1,0):Table157[[#This Row],[Days in month]])</f>
        <v>11193</v>
      </c>
      <c r="T384" s="37">
        <f>InterestRate*AmortizationMultiplier*IF(ISNUMBER(SEARCH("Actual",$C$7)),Table157[[#This Row],[Days in month]]/365,1/12)</f>
        <v>2.6833333333333336E-3</v>
      </c>
    </row>
    <row r="385" spans="2:20" x14ac:dyDescent="0.2">
      <c r="B385" s="1">
        <f t="shared" si="18"/>
        <v>57070</v>
      </c>
      <c r="C385" s="2">
        <f t="shared" si="20"/>
        <v>369</v>
      </c>
      <c r="D385" s="3">
        <f t="shared" si="19"/>
        <v>0</v>
      </c>
      <c r="E385" s="3">
        <f>ROUND(Table157[[#This Row],[Beginning Balance]]*Table157[[#This Row],[Monthly Interest Rate]],2)</f>
        <v>0</v>
      </c>
      <c r="F385" s="3">
        <f t="shared" si="21"/>
        <v>-113</v>
      </c>
      <c r="G385" s="23">
        <f>IFERROR(IF($C$13="No","N/A",IF(Table157[[#This Row],[Period]]=1,$C$6,PMT(InterestRate*AmortizationMultiplier/12,Table157[[#This Row],[Am Thru]],-Table157[[#This Row],[Beginning Balance]]))),0)</f>
        <v>0</v>
      </c>
      <c r="H385" s="3">
        <f>MAX(0,IF(C385=$C$4,D385,ROUND(IF($C$3="Fixed Principal",$C$6-Table157[[#This Row],[Interest]],IF($C$3="Interest Only",Table157[[#This Row],[Beginning Balance]]*ROUND(1-(1-IF($C$11="No",$E$8,1))^(1/12),6),MIN(IF($C$13="Yes",Table157[[#This Row],[Payment Amount (Reamortized)]],$C$6)-Table157[[#This Row],[Interest]],Table157[[#This Row],[Beginning Balance]]))),2)))</f>
        <v>0</v>
      </c>
      <c r="I385" s="3">
        <f>_xlfn.SINGLE(IF($C$3="Line of Credit",0,ROUND(MAX(MIN(IF($C$10="No",$E$7,VLOOKUP(Table157[[#This Row],[Period]],Forecast!$H$2:$L$1048576,4,FALSE))*Table157[[#This Row],[Beginning Balance]],Table157[[#This Row],[Beginning Balance]]-Table157[[#This Row],[Principal]]),0),2)))</f>
        <v>0</v>
      </c>
      <c r="J385" s="3">
        <f>ROUND(MIN(Table157[[#This Row],[Beginning Balance]]*IF($C$8="No",$E$3,VLOOKUP(Table157[[#This Row],[Period]],Forecast!$H$2:$L$1048576,2,FALSE)),Table157[[#This Row],[Beginning Balance]]-Table157[[#This Row],[Principal]]-Table157[[#This Row],[Prepayments]]),2)</f>
        <v>0</v>
      </c>
      <c r="K385" s="3">
        <f>ROUND(Table157[[#This Row],[Defaulted Principal]]*IF($C$9="No",$E$4,VLOOKUP(Table157[[#This Row],[Period]],Forecast!$H$2:$L$1048576,3,FALSE)),2)</f>
        <v>0</v>
      </c>
      <c r="L385" s="2">
        <f>Table157[[#This Row],[Period]]+$E$9</f>
        <v>381</v>
      </c>
      <c r="M385" s="3">
        <f>Table157[[#This Row],[Defaulted Principal]]-Table157[[#This Row],[Estimated Loss]]</f>
        <v>0</v>
      </c>
      <c r="N385" s="3">
        <f>IFERROR(VLOOKUP(Table157[[#This Row],[Period]],$L$16:$M$385,2,FALSE),0)</f>
        <v>0</v>
      </c>
      <c r="O385" s="3">
        <f>Table157[[#This Row],[Beginning Balance]]-Table157[[#This Row],[Principal]]-Table157[[#This Row],[Prepayments]]-Table157[[#This Row],[Defaulted Principal]]</f>
        <v>0</v>
      </c>
      <c r="P385" s="3">
        <f>Table157[[#This Row],[Principal]]+Table157[[#This Row],[Interest]]+Table157[[#This Row],[Prepayments]]+Table157[[#This Row],[RecoveredAmount]]</f>
        <v>0</v>
      </c>
      <c r="Q385" s="3">
        <f ca="1">ROUND(Table157[[#This Row],[Cash Flow]]/((1+ActualRateToUse)^(IF(ISNUMBER(SEARCH("Actual",$C$7)),Table157[[#This Row],[Running Total]]/365,Table157[[#This Row],[Period]]/12))),2)</f>
        <v>0</v>
      </c>
      <c r="R385" s="2">
        <f>IF(MONTH(Table157[[#This Row],[Date]])=2,28,DAY(DATE(YEAR(Table157[[#This Row],[Date]]),MONTH(Table157[[#This Row],[Date]])+1,1)-1))</f>
        <v>31</v>
      </c>
      <c r="S385" s="2">
        <f ca="1">SUM(OFFSET(Table157[[#Headers],[Days in month]],1,0):Table157[[#This Row],[Days in month]])</f>
        <v>11224</v>
      </c>
      <c r="T385" s="37">
        <f>InterestRate*AmortizationMultiplier*IF(ISNUMBER(SEARCH("Actual",$C$7)),Table157[[#This Row],[Days in month]]/365,1/12)</f>
        <v>2.9708333333333331E-3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AE5D7D6-3BED-4FFA-A0EF-2FC5E64BEEE0}">
          <x14:formula1>
            <xm:f>Inputs!$E$2:$E$3</xm:f>
          </x14:formula1>
          <xm:sqref>I8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3FF36-E489-4908-86EC-A2C526F58AEA}">
  <dimension ref="A1:O127"/>
  <sheetViews>
    <sheetView workbookViewId="0">
      <selection activeCell="M2" sqref="M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0.88671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7412919.25</v>
      </c>
      <c r="D2" s="43">
        <v>19242.95</v>
      </c>
      <c r="E2" s="43">
        <v>22022.55</v>
      </c>
      <c r="F2" s="43">
        <v>21149.06</v>
      </c>
      <c r="G2" s="43">
        <v>3372.88</v>
      </c>
      <c r="H2" s="43">
        <v>263.13</v>
      </c>
      <c r="I2" s="43">
        <v>0</v>
      </c>
      <c r="J2" s="43">
        <v>7369154.3600000003</v>
      </c>
      <c r="K2" s="43">
        <v>62414.559999999998</v>
      </c>
      <c r="L2" s="43">
        <v>62227.839999999997</v>
      </c>
      <c r="M2" s="48">
        <f ca="1">'DCF Calc 3'!Q17</f>
        <v>62227.85</v>
      </c>
      <c r="N2" s="46">
        <f ca="1">Loan_Level_Results46[[#This Row],[NPV]]-Loan_Level_Results46[[#This Row],[DCF CALC NPV]]</f>
        <v>-1.0000000002037268E-2</v>
      </c>
      <c r="O2" s="43">
        <f>Loan_Level_Results46[[#This Row],[Principal Payment]]+Loan_Level_Results46[[#This Row],[Interest]]</f>
        <v>41265.5</v>
      </c>
    </row>
    <row r="3" spans="1:15" x14ac:dyDescent="0.3">
      <c r="A3" s="45">
        <v>45900</v>
      </c>
      <c r="B3" s="44">
        <v>2</v>
      </c>
      <c r="C3" s="43">
        <v>7369154.3600000003</v>
      </c>
      <c r="D3" s="43">
        <v>19213.95</v>
      </c>
      <c r="E3" s="43">
        <v>21892.53</v>
      </c>
      <c r="F3" s="43">
        <v>21024.2</v>
      </c>
      <c r="G3" s="43">
        <v>3352.97</v>
      </c>
      <c r="H3" s="43">
        <v>261.58</v>
      </c>
      <c r="I3" s="43">
        <v>0</v>
      </c>
      <c r="J3" s="43">
        <v>7325563.2400000002</v>
      </c>
      <c r="K3" s="43">
        <v>62130.68</v>
      </c>
      <c r="L3" s="43">
        <v>61759.5</v>
      </c>
      <c r="M3" s="48">
        <f ca="1">'DCF Calc 3'!Q18</f>
        <v>61759.51</v>
      </c>
      <c r="N3" s="46">
        <f ca="1">Loan_Level_Results46[[#This Row],[NPV]]-Loan_Level_Results46[[#This Row],[DCF CALC NPV]]</f>
        <v>-1.0000000002037268E-2</v>
      </c>
      <c r="O3" s="43">
        <f>Loan_Level_Results46[[#This Row],[Principal Payment]]+Loan_Level_Results46[[#This Row],[Interest]]</f>
        <v>41106.479999999996</v>
      </c>
    </row>
    <row r="4" spans="1:15" x14ac:dyDescent="0.3">
      <c r="A4" s="45">
        <v>45930</v>
      </c>
      <c r="B4" s="44">
        <v>3</v>
      </c>
      <c r="C4" s="43">
        <v>7325563.2400000002</v>
      </c>
      <c r="D4" s="43">
        <v>19911.45</v>
      </c>
      <c r="E4" s="43">
        <v>21060.99</v>
      </c>
      <c r="F4" s="43">
        <v>20899.830000000002</v>
      </c>
      <c r="G4" s="43">
        <v>3333.13</v>
      </c>
      <c r="H4" s="43">
        <v>260.02999999999997</v>
      </c>
      <c r="I4" s="43">
        <v>0</v>
      </c>
      <c r="J4" s="43">
        <v>7281418.8300000001</v>
      </c>
      <c r="K4" s="43">
        <v>61872.27</v>
      </c>
      <c r="L4" s="43">
        <v>61324.58</v>
      </c>
      <c r="M4" s="48">
        <f ca="1">'DCF Calc 3'!Q19</f>
        <v>61324.58</v>
      </c>
      <c r="N4" s="46">
        <f ca="1">Loan_Level_Results46[[#This Row],[NPV]]-Loan_Level_Results46[[#This Row],[DCF CALC NPV]]</f>
        <v>0</v>
      </c>
      <c r="O4" s="43">
        <f>Loan_Level_Results46[[#This Row],[Principal Payment]]+Loan_Level_Results46[[#This Row],[Interest]]</f>
        <v>40972.44</v>
      </c>
    </row>
    <row r="5" spans="1:15" x14ac:dyDescent="0.3">
      <c r="A5" s="45">
        <v>45961</v>
      </c>
      <c r="B5" s="44">
        <v>4</v>
      </c>
      <c r="C5" s="43">
        <v>7281418.8300000001</v>
      </c>
      <c r="D5" s="43">
        <v>19203.02</v>
      </c>
      <c r="E5" s="43">
        <v>21631.88</v>
      </c>
      <c r="F5" s="43">
        <v>20773.89</v>
      </c>
      <c r="G5" s="43">
        <v>3647.99</v>
      </c>
      <c r="H5" s="43">
        <v>291.72000000000003</v>
      </c>
      <c r="I5" s="43">
        <v>0</v>
      </c>
      <c r="J5" s="43">
        <v>7237793.9299999997</v>
      </c>
      <c r="K5" s="43">
        <v>61608.79</v>
      </c>
      <c r="L5" s="43">
        <v>60880.75</v>
      </c>
      <c r="M5" s="48">
        <f ca="1">'DCF Calc 3'!Q20</f>
        <v>60880.76</v>
      </c>
      <c r="N5" s="46">
        <f ca="1">Loan_Level_Results46[[#This Row],[NPV]]-Loan_Level_Results46[[#This Row],[DCF CALC NPV]]</f>
        <v>-1.0000000002037268E-2</v>
      </c>
      <c r="O5" s="43">
        <f>Loan_Level_Results46[[#This Row],[Principal Payment]]+Loan_Level_Results46[[#This Row],[Interest]]</f>
        <v>40834.9</v>
      </c>
    </row>
    <row r="6" spans="1:15" x14ac:dyDescent="0.3">
      <c r="A6" s="45">
        <v>45991</v>
      </c>
      <c r="B6" s="44">
        <v>5</v>
      </c>
      <c r="C6" s="43">
        <v>7237793.9299999997</v>
      </c>
      <c r="D6" s="43">
        <v>19891.2</v>
      </c>
      <c r="E6" s="43">
        <v>20808.66</v>
      </c>
      <c r="F6" s="43">
        <v>20649.43</v>
      </c>
      <c r="G6" s="43">
        <v>3626.13</v>
      </c>
      <c r="H6" s="43">
        <v>289.97000000000003</v>
      </c>
      <c r="I6" s="43">
        <v>0</v>
      </c>
      <c r="J6" s="43">
        <v>7193627.1699999999</v>
      </c>
      <c r="K6" s="43">
        <v>61349.29</v>
      </c>
      <c r="L6" s="43">
        <v>60448.800000000003</v>
      </c>
      <c r="M6" s="48">
        <f ca="1">'DCF Calc 3'!Q21</f>
        <v>60448.81</v>
      </c>
      <c r="N6" s="46">
        <f ca="1">Loan_Level_Results46[[#This Row],[NPV]]-Loan_Level_Results46[[#This Row],[DCF CALC NPV]]</f>
        <v>-9.9999999947613105E-3</v>
      </c>
      <c r="O6" s="43">
        <f>Loan_Level_Results46[[#This Row],[Principal Payment]]+Loan_Level_Results46[[#This Row],[Interest]]</f>
        <v>40699.86</v>
      </c>
    </row>
    <row r="7" spans="1:15" x14ac:dyDescent="0.3">
      <c r="A7" s="45">
        <v>46022</v>
      </c>
      <c r="B7" s="44">
        <v>6</v>
      </c>
      <c r="C7" s="43">
        <v>7193627.1699999999</v>
      </c>
      <c r="D7" s="43">
        <v>19190.28</v>
      </c>
      <c r="E7" s="43">
        <v>21371.07</v>
      </c>
      <c r="F7" s="43">
        <v>20523.419999999998</v>
      </c>
      <c r="G7" s="43">
        <v>3604.01</v>
      </c>
      <c r="H7" s="43">
        <v>288.2</v>
      </c>
      <c r="I7" s="43">
        <v>0</v>
      </c>
      <c r="J7" s="43">
        <v>7150309.46</v>
      </c>
      <c r="K7" s="43">
        <v>61084.77</v>
      </c>
      <c r="L7" s="43">
        <v>60008.11</v>
      </c>
      <c r="M7" s="48">
        <f ca="1">'DCF Calc 3'!Q22</f>
        <v>60008.12</v>
      </c>
      <c r="N7" s="46">
        <f ca="1">Loan_Level_Results46[[#This Row],[NPV]]-Loan_Level_Results46[[#This Row],[DCF CALC NPV]]</f>
        <v>-1.0000000002037268E-2</v>
      </c>
      <c r="O7" s="43">
        <f>Loan_Level_Results46[[#This Row],[Principal Payment]]+Loan_Level_Results46[[#This Row],[Interest]]</f>
        <v>40561.35</v>
      </c>
    </row>
    <row r="8" spans="1:15" x14ac:dyDescent="0.3">
      <c r="A8" s="45">
        <v>46053</v>
      </c>
      <c r="B8" s="44">
        <v>7</v>
      </c>
      <c r="C8" s="43">
        <v>7150309.46</v>
      </c>
      <c r="D8" s="43">
        <v>19184.830000000002</v>
      </c>
      <c r="E8" s="43">
        <v>21242.38</v>
      </c>
      <c r="F8" s="43">
        <v>20399.830000000002</v>
      </c>
      <c r="G8" s="43">
        <v>3553.7</v>
      </c>
      <c r="H8" s="43">
        <v>283.51</v>
      </c>
      <c r="I8" s="43">
        <v>0</v>
      </c>
      <c r="J8" s="43">
        <v>7107171.0999999996</v>
      </c>
      <c r="K8" s="43">
        <v>60827.040000000001</v>
      </c>
      <c r="L8" s="43">
        <v>59576.160000000003</v>
      </c>
      <c r="M8" s="48">
        <f ca="1">'DCF Calc 3'!Q23</f>
        <v>59576.17</v>
      </c>
      <c r="N8" s="46">
        <f ca="1">Loan_Level_Results46[[#This Row],[NPV]]-Loan_Level_Results46[[#This Row],[DCF CALC NPV]]</f>
        <v>-9.9999999947613105E-3</v>
      </c>
      <c r="O8" s="43">
        <f>Loan_Level_Results46[[#This Row],[Principal Payment]]+Loan_Level_Results46[[#This Row],[Interest]]</f>
        <v>40427.210000000006</v>
      </c>
    </row>
    <row r="9" spans="1:15" x14ac:dyDescent="0.3">
      <c r="A9" s="45">
        <v>46081</v>
      </c>
      <c r="B9" s="44">
        <v>8</v>
      </c>
      <c r="C9" s="43">
        <v>7107171.0999999996</v>
      </c>
      <c r="D9" s="43">
        <v>21222.76</v>
      </c>
      <c r="E9" s="43">
        <v>19070.91</v>
      </c>
      <c r="F9" s="43">
        <v>20276.759999999998</v>
      </c>
      <c r="G9" s="43">
        <v>3532.26</v>
      </c>
      <c r="H9" s="43">
        <v>281.8</v>
      </c>
      <c r="I9" s="43">
        <v>0</v>
      </c>
      <c r="J9" s="43">
        <v>7062139.3200000003</v>
      </c>
      <c r="K9" s="43">
        <v>60570.43</v>
      </c>
      <c r="L9" s="43">
        <v>59164.51</v>
      </c>
      <c r="M9" s="48">
        <f ca="1">'DCF Calc 3'!Q24</f>
        <v>59164.52</v>
      </c>
      <c r="N9" s="43">
        <f ca="1">Loan_Level_Results46[[#This Row],[NPV]]-Loan_Level_Results46[[#This Row],[DCF CALC NPV]]</f>
        <v>-9.9999999947613105E-3</v>
      </c>
      <c r="O9" s="43">
        <f>Loan_Level_Results46[[#This Row],[Principal Payment]]+Loan_Level_Results46[[#This Row],[Interest]]</f>
        <v>40293.67</v>
      </c>
    </row>
    <row r="10" spans="1:15" x14ac:dyDescent="0.3">
      <c r="A10" s="45">
        <v>46112</v>
      </c>
      <c r="B10" s="44">
        <v>9</v>
      </c>
      <c r="C10" s="43">
        <v>7062139.3200000003</v>
      </c>
      <c r="D10" s="43">
        <v>19168.52</v>
      </c>
      <c r="E10" s="43">
        <v>20980.44</v>
      </c>
      <c r="F10" s="43">
        <v>20148.28</v>
      </c>
      <c r="G10" s="43">
        <v>3509.88</v>
      </c>
      <c r="H10" s="43">
        <v>280.01</v>
      </c>
      <c r="I10" s="43">
        <v>0</v>
      </c>
      <c r="J10" s="43">
        <v>7019312.6399999997</v>
      </c>
      <c r="K10" s="43">
        <v>60297.24</v>
      </c>
      <c r="L10" s="43">
        <v>58721.47</v>
      </c>
      <c r="M10" s="48">
        <f ca="1">'DCF Calc 3'!Q25</f>
        <v>58721.48</v>
      </c>
      <c r="N10" s="43">
        <f ca="1">Loan_Level_Results46[[#This Row],[NPV]]-Loan_Level_Results46[[#This Row],[DCF CALC NPV]]</f>
        <v>-1.0000000002037268E-2</v>
      </c>
      <c r="O10" s="43">
        <f>Loan_Level_Results46[[#This Row],[Principal Payment]]+Loan_Level_Results46[[#This Row],[Interest]]</f>
        <v>40148.959999999999</v>
      </c>
    </row>
    <row r="11" spans="1:15" x14ac:dyDescent="0.3">
      <c r="A11" s="45">
        <v>46142</v>
      </c>
      <c r="B11" s="44">
        <v>10</v>
      </c>
      <c r="C11" s="43">
        <v>7019312.6399999997</v>
      </c>
      <c r="D11" s="43">
        <v>19835.810000000001</v>
      </c>
      <c r="E11" s="43">
        <v>20180.52</v>
      </c>
      <c r="F11" s="43">
        <v>20026.099999999999</v>
      </c>
      <c r="G11" s="43">
        <v>3453.5</v>
      </c>
      <c r="H11" s="43">
        <v>274.86</v>
      </c>
      <c r="I11" s="43">
        <v>0</v>
      </c>
      <c r="J11" s="43">
        <v>6975997.2300000004</v>
      </c>
      <c r="K11" s="43">
        <v>60042.43</v>
      </c>
      <c r="L11" s="43">
        <v>58304.02</v>
      </c>
      <c r="M11" s="48">
        <f ca="1">'DCF Calc 3'!Q26</f>
        <v>58304.04</v>
      </c>
      <c r="N11" s="43">
        <f ca="1">Loan_Level_Results46[[#This Row],[NPV]]-Loan_Level_Results46[[#This Row],[DCF CALC NPV]]</f>
        <v>-2.0000000004074536E-2</v>
      </c>
      <c r="O11" s="43">
        <f>Loan_Level_Results46[[#This Row],[Principal Payment]]+Loan_Level_Results46[[#This Row],[Interest]]</f>
        <v>40016.33</v>
      </c>
    </row>
    <row r="12" spans="1:15" x14ac:dyDescent="0.3">
      <c r="A12" s="45">
        <v>46173</v>
      </c>
      <c r="B12" s="44">
        <v>11</v>
      </c>
      <c r="C12" s="43">
        <v>6975997.2300000004</v>
      </c>
      <c r="D12" s="43">
        <v>19155.97</v>
      </c>
      <c r="E12" s="43">
        <v>20724.53</v>
      </c>
      <c r="F12" s="43">
        <v>19902.52</v>
      </c>
      <c r="G12" s="43">
        <v>3432.19</v>
      </c>
      <c r="H12" s="43">
        <v>273.16000000000003</v>
      </c>
      <c r="I12" s="43">
        <v>0</v>
      </c>
      <c r="J12" s="43">
        <v>6933506.5499999998</v>
      </c>
      <c r="K12" s="43">
        <v>59783.02</v>
      </c>
      <c r="L12" s="43">
        <v>57878.46</v>
      </c>
      <c r="M12" s="48">
        <f ca="1">'DCF Calc 3'!Q27</f>
        <v>57878.48</v>
      </c>
      <c r="N12" s="43">
        <f ca="1">Loan_Level_Results46[[#This Row],[NPV]]-Loan_Level_Results46[[#This Row],[DCF CALC NPV]]</f>
        <v>-2.0000000004074536E-2</v>
      </c>
      <c r="O12" s="43">
        <f>Loan_Level_Results46[[#This Row],[Principal Payment]]+Loan_Level_Results46[[#This Row],[Interest]]</f>
        <v>39880.5</v>
      </c>
    </row>
    <row r="13" spans="1:15" x14ac:dyDescent="0.3">
      <c r="A13" s="45">
        <v>46203</v>
      </c>
      <c r="B13" s="44">
        <v>12</v>
      </c>
      <c r="C13" s="43">
        <v>6933506.5499999998</v>
      </c>
      <c r="D13" s="43">
        <v>19815.13</v>
      </c>
      <c r="E13" s="43">
        <v>19933.830000000002</v>
      </c>
      <c r="F13" s="43">
        <v>19781.29</v>
      </c>
      <c r="G13" s="43">
        <v>3411.29</v>
      </c>
      <c r="H13" s="43">
        <v>271.5</v>
      </c>
      <c r="I13" s="43">
        <v>0</v>
      </c>
      <c r="J13" s="43">
        <v>6890498.8399999999</v>
      </c>
      <c r="K13" s="43">
        <v>59530.25</v>
      </c>
      <c r="L13" s="43">
        <v>57466.879999999997</v>
      </c>
      <c r="M13" s="48">
        <f ca="1">'DCF Calc 3'!Q28</f>
        <v>57466.9</v>
      </c>
      <c r="N13" s="43">
        <f ca="1">Loan_Level_Results46[[#This Row],[NPV]]-Loan_Level_Results46[[#This Row],[DCF CALC NPV]]</f>
        <v>-2.0000000004074536E-2</v>
      </c>
      <c r="O13" s="43">
        <f>Loan_Level_Results46[[#This Row],[Principal Payment]]+Loan_Level_Results46[[#This Row],[Interest]]</f>
        <v>39748.960000000006</v>
      </c>
    </row>
    <row r="14" spans="1:15" x14ac:dyDescent="0.3">
      <c r="A14" s="45">
        <v>46234</v>
      </c>
      <c r="B14" s="44">
        <v>13</v>
      </c>
      <c r="C14" s="43">
        <v>6890498.8399999999</v>
      </c>
      <c r="D14" s="43">
        <v>19143.52</v>
      </c>
      <c r="E14" s="43">
        <v>20470.52</v>
      </c>
      <c r="F14" s="43">
        <v>19658.59</v>
      </c>
      <c r="G14" s="43">
        <v>3555.5</v>
      </c>
      <c r="H14" s="43">
        <v>286.44</v>
      </c>
      <c r="I14" s="43">
        <v>3109.75</v>
      </c>
      <c r="J14" s="43">
        <v>6848141.2300000004</v>
      </c>
      <c r="K14" s="43">
        <v>62382.38</v>
      </c>
      <c r="L14" s="43">
        <v>60040.01</v>
      </c>
      <c r="M14" s="48">
        <f ca="1">'DCF Calc 3'!Q29</f>
        <v>60040.02</v>
      </c>
      <c r="N14" s="43">
        <f ca="1">Loan_Level_Results46[[#This Row],[NPV]]-Loan_Level_Results46[[#This Row],[DCF CALC NPV]]</f>
        <v>-9.9999999947613105E-3</v>
      </c>
      <c r="O14" s="43">
        <f>Loan_Level_Results46[[#This Row],[Principal Payment]]+Loan_Level_Results46[[#This Row],[Interest]]</f>
        <v>39614.04</v>
      </c>
    </row>
    <row r="15" spans="1:15" x14ac:dyDescent="0.3">
      <c r="A15" s="45">
        <v>46265</v>
      </c>
      <c r="B15" s="44">
        <v>14</v>
      </c>
      <c r="C15" s="43">
        <v>6848141.2300000004</v>
      </c>
      <c r="D15" s="43">
        <v>19137.73</v>
      </c>
      <c r="E15" s="43">
        <v>20344.689999999999</v>
      </c>
      <c r="F15" s="43">
        <v>19537.75</v>
      </c>
      <c r="G15" s="43">
        <v>3533.64</v>
      </c>
      <c r="H15" s="43">
        <v>284.68</v>
      </c>
      <c r="I15" s="43">
        <v>3091.39</v>
      </c>
      <c r="J15" s="43">
        <v>6805932.1100000003</v>
      </c>
      <c r="K15" s="43">
        <v>62111.56</v>
      </c>
      <c r="L15" s="43">
        <v>59600.52</v>
      </c>
      <c r="M15" s="48">
        <f ca="1">'DCF Calc 3'!Q30</f>
        <v>59600.54</v>
      </c>
      <c r="N15" s="43">
        <f ca="1">Loan_Level_Results46[[#This Row],[NPV]]-Loan_Level_Results46[[#This Row],[DCF CALC NPV]]</f>
        <v>-2.0000000004074536E-2</v>
      </c>
      <c r="O15" s="43">
        <f>Loan_Level_Results46[[#This Row],[Principal Payment]]+Loan_Level_Results46[[#This Row],[Interest]]</f>
        <v>39482.42</v>
      </c>
    </row>
    <row r="16" spans="1:15" x14ac:dyDescent="0.3">
      <c r="A16" s="45">
        <v>46295</v>
      </c>
      <c r="B16" s="44">
        <v>15</v>
      </c>
      <c r="C16" s="43">
        <v>6805932.1100000003</v>
      </c>
      <c r="D16" s="43">
        <v>19784.189999999999</v>
      </c>
      <c r="E16" s="43">
        <v>19567.05</v>
      </c>
      <c r="F16" s="43">
        <v>19417.32</v>
      </c>
      <c r="G16" s="43">
        <v>3511.86</v>
      </c>
      <c r="H16" s="43">
        <v>282.92</v>
      </c>
      <c r="I16" s="43">
        <v>3073.1</v>
      </c>
      <c r="J16" s="43">
        <v>6763218.7400000002</v>
      </c>
      <c r="K16" s="43">
        <v>61841.66</v>
      </c>
      <c r="L16" s="43">
        <v>59169.73</v>
      </c>
      <c r="M16" s="48">
        <f ca="1">'DCF Calc 3'!Q31</f>
        <v>59169.75</v>
      </c>
      <c r="N16" s="43">
        <f ca="1">Loan_Level_Results46[[#This Row],[NPV]]-Loan_Level_Results46[[#This Row],[DCF CALC NPV]]</f>
        <v>-1.9999999996798579E-2</v>
      </c>
      <c r="O16" s="43">
        <f>Loan_Level_Results46[[#This Row],[Principal Payment]]+Loan_Level_Results46[[#This Row],[Interest]]</f>
        <v>39351.24</v>
      </c>
    </row>
    <row r="17" spans="1:15" x14ac:dyDescent="0.3">
      <c r="A17" s="45">
        <v>46326</v>
      </c>
      <c r="B17" s="44">
        <v>16</v>
      </c>
      <c r="C17" s="43">
        <v>6763218.7400000002</v>
      </c>
      <c r="D17" s="43">
        <v>19124.3</v>
      </c>
      <c r="E17" s="43">
        <v>20092.400000000001</v>
      </c>
      <c r="F17" s="43">
        <v>19295.46</v>
      </c>
      <c r="G17" s="43">
        <v>3652.14</v>
      </c>
      <c r="H17" s="43">
        <v>297.68</v>
      </c>
      <c r="I17" s="43">
        <v>3356.27</v>
      </c>
      <c r="J17" s="43">
        <v>6721146.8399999999</v>
      </c>
      <c r="K17" s="43">
        <v>61868.43</v>
      </c>
      <c r="L17" s="43">
        <v>59018.26</v>
      </c>
      <c r="M17" s="48">
        <f ca="1">'DCF Calc 3'!Q32</f>
        <v>59018.28</v>
      </c>
      <c r="N17" s="43">
        <f ca="1">Loan_Level_Results46[[#This Row],[NPV]]-Loan_Level_Results46[[#This Row],[DCF CALC NPV]]</f>
        <v>-1.9999999996798579E-2</v>
      </c>
      <c r="O17" s="43">
        <f>Loan_Level_Results46[[#This Row],[Principal Payment]]+Loan_Level_Results46[[#This Row],[Interest]]</f>
        <v>39216.699999999997</v>
      </c>
    </row>
    <row r="18" spans="1:15" x14ac:dyDescent="0.3">
      <c r="A18" s="45">
        <v>46356</v>
      </c>
      <c r="B18" s="44">
        <v>17</v>
      </c>
      <c r="C18" s="43">
        <v>6721146.8399999999</v>
      </c>
      <c r="D18" s="43">
        <v>19762.16</v>
      </c>
      <c r="E18" s="43">
        <v>19323.3</v>
      </c>
      <c r="F18" s="43">
        <v>19175.43</v>
      </c>
      <c r="G18" s="43">
        <v>3629.42</v>
      </c>
      <c r="H18" s="43">
        <v>295.83</v>
      </c>
      <c r="I18" s="43">
        <v>3336.16</v>
      </c>
      <c r="J18" s="43">
        <v>6678579.8300000001</v>
      </c>
      <c r="K18" s="43">
        <v>61597.05</v>
      </c>
      <c r="L18" s="43">
        <v>58589.26</v>
      </c>
      <c r="M18" s="48">
        <f ca="1">'DCF Calc 3'!Q33</f>
        <v>58589.29</v>
      </c>
      <c r="N18" s="43">
        <f ca="1">Loan_Level_Results46[[#This Row],[NPV]]-Loan_Level_Results46[[#This Row],[DCF CALC NPV]]</f>
        <v>-2.9999999998835847E-2</v>
      </c>
      <c r="O18" s="43">
        <f>Loan_Level_Results46[[#This Row],[Principal Payment]]+Loan_Level_Results46[[#This Row],[Interest]]</f>
        <v>39085.46</v>
      </c>
    </row>
    <row r="19" spans="1:15" x14ac:dyDescent="0.3">
      <c r="A19" s="45">
        <v>46387</v>
      </c>
      <c r="B19" s="44">
        <v>18</v>
      </c>
      <c r="C19" s="43">
        <v>6678579.8300000001</v>
      </c>
      <c r="D19" s="43">
        <v>19109.939999999999</v>
      </c>
      <c r="E19" s="43">
        <v>19840.95</v>
      </c>
      <c r="F19" s="43">
        <v>19053.990000000002</v>
      </c>
      <c r="G19" s="43">
        <v>3606.43</v>
      </c>
      <c r="H19" s="43">
        <v>293.95999999999998</v>
      </c>
      <c r="I19" s="43">
        <v>3315.81</v>
      </c>
      <c r="J19" s="43">
        <v>6636809.4699999997</v>
      </c>
      <c r="K19" s="43">
        <v>61320.69</v>
      </c>
      <c r="L19" s="43">
        <v>58151.91</v>
      </c>
      <c r="M19" s="48">
        <f ca="1">'DCF Calc 3'!Q34</f>
        <v>58151.94</v>
      </c>
      <c r="N19" s="43">
        <f ca="1">Loan_Level_Results46[[#This Row],[NPV]]-Loan_Level_Results46[[#This Row],[DCF CALC NPV]]</f>
        <v>-2.9999999998835847E-2</v>
      </c>
      <c r="O19" s="43">
        <f>Loan_Level_Results46[[#This Row],[Principal Payment]]+Loan_Level_Results46[[#This Row],[Interest]]</f>
        <v>38950.89</v>
      </c>
    </row>
    <row r="20" spans="1:15" x14ac:dyDescent="0.3">
      <c r="A20" s="45">
        <v>46418</v>
      </c>
      <c r="B20" s="44">
        <v>19</v>
      </c>
      <c r="C20" s="43">
        <v>6636809.4699999997</v>
      </c>
      <c r="D20" s="43">
        <v>19103.669999999998</v>
      </c>
      <c r="E20" s="43">
        <v>19716.849999999999</v>
      </c>
      <c r="F20" s="43">
        <v>18934.82</v>
      </c>
      <c r="G20" s="43">
        <v>3743.16</v>
      </c>
      <c r="H20" s="43">
        <v>308.54000000000002</v>
      </c>
      <c r="I20" s="43">
        <v>3270.19</v>
      </c>
      <c r="J20" s="43">
        <v>6595027.8200000003</v>
      </c>
      <c r="K20" s="43">
        <v>61025.53</v>
      </c>
      <c r="L20" s="43">
        <v>57698.879999999997</v>
      </c>
      <c r="M20" s="48">
        <f ca="1">'DCF Calc 3'!Q35</f>
        <v>57698.9</v>
      </c>
      <c r="N20" s="43">
        <f ca="1">Loan_Level_Results46[[#This Row],[NPV]]-Loan_Level_Results46[[#This Row],[DCF CALC NPV]]</f>
        <v>-2.0000000004074536E-2</v>
      </c>
      <c r="O20" s="43">
        <f>Loan_Level_Results46[[#This Row],[Principal Payment]]+Loan_Level_Results46[[#This Row],[Interest]]</f>
        <v>38820.519999999997</v>
      </c>
    </row>
    <row r="21" spans="1:15" x14ac:dyDescent="0.3">
      <c r="A21" s="45">
        <v>46446</v>
      </c>
      <c r="B21" s="44">
        <v>20</v>
      </c>
      <c r="C21" s="43">
        <v>6595027.8200000003</v>
      </c>
      <c r="D21" s="43">
        <v>20993</v>
      </c>
      <c r="E21" s="43">
        <v>17696.66</v>
      </c>
      <c r="F21" s="43">
        <v>18815.61</v>
      </c>
      <c r="G21" s="43">
        <v>3719.6</v>
      </c>
      <c r="H21" s="43">
        <v>306.60000000000002</v>
      </c>
      <c r="I21" s="43">
        <v>3250.46</v>
      </c>
      <c r="J21" s="43">
        <v>6551499.6100000003</v>
      </c>
      <c r="K21" s="43">
        <v>60755.73</v>
      </c>
      <c r="L21" s="43">
        <v>57288.55</v>
      </c>
      <c r="M21" s="48">
        <f ca="1">'DCF Calc 3'!Q36</f>
        <v>57288.57</v>
      </c>
      <c r="N21" s="43">
        <f ca="1">Loan_Level_Results46[[#This Row],[NPV]]-Loan_Level_Results46[[#This Row],[DCF CALC NPV]]</f>
        <v>-1.9999999996798579E-2</v>
      </c>
      <c r="O21" s="43">
        <f>Loan_Level_Results46[[#This Row],[Principal Payment]]+Loan_Level_Results46[[#This Row],[Interest]]</f>
        <v>38689.660000000003</v>
      </c>
    </row>
    <row r="22" spans="1:15" x14ac:dyDescent="0.3">
      <c r="A22" s="45">
        <v>46477</v>
      </c>
      <c r="B22" s="44">
        <v>21</v>
      </c>
      <c r="C22" s="43">
        <v>6551499.6100000003</v>
      </c>
      <c r="D22" s="43">
        <v>19084.669999999998</v>
      </c>
      <c r="E22" s="43">
        <v>19463.41</v>
      </c>
      <c r="F22" s="43">
        <v>18691.43</v>
      </c>
      <c r="G22" s="43">
        <v>3695.05</v>
      </c>
      <c r="H22" s="43">
        <v>304.58</v>
      </c>
      <c r="I22" s="43">
        <v>3229.87</v>
      </c>
      <c r="J22" s="43">
        <v>6510028.46</v>
      </c>
      <c r="K22" s="43">
        <v>60469.38</v>
      </c>
      <c r="L22" s="43">
        <v>56847.96</v>
      </c>
      <c r="M22" s="48">
        <f ca="1">'DCF Calc 3'!Q37</f>
        <v>56847.99</v>
      </c>
      <c r="N22" s="43">
        <f ca="1">Loan_Level_Results46[[#This Row],[NPV]]-Loan_Level_Results46[[#This Row],[DCF CALC NPV]]</f>
        <v>-2.9999999998835847E-2</v>
      </c>
      <c r="O22" s="43">
        <f>Loan_Level_Results46[[#This Row],[Principal Payment]]+Loan_Level_Results46[[#This Row],[Interest]]</f>
        <v>38548.080000000002</v>
      </c>
    </row>
    <row r="23" spans="1:15" x14ac:dyDescent="0.3">
      <c r="A23" s="45">
        <v>46507</v>
      </c>
      <c r="B23" s="44">
        <v>22</v>
      </c>
      <c r="C23" s="43">
        <v>6510028.46</v>
      </c>
      <c r="D23" s="43">
        <v>19701.8</v>
      </c>
      <c r="E23" s="43">
        <v>18716.330000000002</v>
      </c>
      <c r="F23" s="43">
        <v>18573.11</v>
      </c>
      <c r="G23" s="43">
        <v>3827.9</v>
      </c>
      <c r="H23" s="43">
        <v>318.95999999999998</v>
      </c>
      <c r="I23" s="43">
        <v>3178.64</v>
      </c>
      <c r="J23" s="43">
        <v>6467925.6500000004</v>
      </c>
      <c r="K23" s="43">
        <v>60169.88</v>
      </c>
      <c r="L23" s="43">
        <v>56402.63</v>
      </c>
      <c r="M23" s="48">
        <f ca="1">'DCF Calc 3'!Q38</f>
        <v>56402.66</v>
      </c>
      <c r="N23" s="43">
        <f ca="1">Loan_Level_Results46[[#This Row],[NPV]]-Loan_Level_Results46[[#This Row],[DCF CALC NPV]]</f>
        <v>-3.0000000006111804E-2</v>
      </c>
      <c r="O23" s="43">
        <f>Loan_Level_Results46[[#This Row],[Principal Payment]]+Loan_Level_Results46[[#This Row],[Interest]]</f>
        <v>38418.130000000005</v>
      </c>
    </row>
    <row r="24" spans="1:15" x14ac:dyDescent="0.3">
      <c r="A24" s="45">
        <v>46538</v>
      </c>
      <c r="B24" s="44">
        <v>23</v>
      </c>
      <c r="C24" s="43">
        <v>6467925.6500000004</v>
      </c>
      <c r="D24" s="43">
        <v>19068.87</v>
      </c>
      <c r="E24" s="43">
        <v>19215.13</v>
      </c>
      <c r="F24" s="43">
        <v>18452.990000000002</v>
      </c>
      <c r="G24" s="43">
        <v>3803.14</v>
      </c>
      <c r="H24" s="43">
        <v>316.89</v>
      </c>
      <c r="I24" s="43">
        <v>3159.03</v>
      </c>
      <c r="J24" s="43">
        <v>6426600.6500000004</v>
      </c>
      <c r="K24" s="43">
        <v>59896.02</v>
      </c>
      <c r="L24" s="43">
        <v>55977.95</v>
      </c>
      <c r="M24" s="48">
        <f ca="1">'DCF Calc 3'!Q39</f>
        <v>55977.99</v>
      </c>
      <c r="N24" s="43">
        <f ca="1">Loan_Level_Results46[[#This Row],[NPV]]-Loan_Level_Results46[[#This Row],[DCF CALC NPV]]</f>
        <v>-4.0000000000873115E-2</v>
      </c>
      <c r="O24" s="43">
        <f>Loan_Level_Results46[[#This Row],[Principal Payment]]+Loan_Level_Results46[[#This Row],[Interest]]</f>
        <v>38284</v>
      </c>
    </row>
    <row r="25" spans="1:15" x14ac:dyDescent="0.3">
      <c r="A25" s="45">
        <v>46568</v>
      </c>
      <c r="B25" s="44">
        <v>24</v>
      </c>
      <c r="C25" s="43">
        <v>6426600.6500000004</v>
      </c>
      <c r="D25" s="43">
        <v>19677.53</v>
      </c>
      <c r="E25" s="43">
        <v>18476.48</v>
      </c>
      <c r="F25" s="43">
        <v>18335.09</v>
      </c>
      <c r="G25" s="43">
        <v>3778.84</v>
      </c>
      <c r="H25" s="43">
        <v>314.87</v>
      </c>
      <c r="I25" s="43">
        <v>3139.79</v>
      </c>
      <c r="J25" s="43">
        <v>6384809.1900000004</v>
      </c>
      <c r="K25" s="43">
        <v>59628.89</v>
      </c>
      <c r="L25" s="43">
        <v>55566.95</v>
      </c>
      <c r="M25" s="48">
        <f ca="1">'DCF Calc 3'!Q40</f>
        <v>55566.99</v>
      </c>
      <c r="N25" s="43">
        <f ca="1">Loan_Level_Results46[[#This Row],[NPV]]-Loan_Level_Results46[[#This Row],[DCF CALC NPV]]</f>
        <v>-4.0000000000873115E-2</v>
      </c>
      <c r="O25" s="43">
        <f>Loan_Level_Results46[[#This Row],[Principal Payment]]+Loan_Level_Results46[[#This Row],[Interest]]</f>
        <v>38154.009999999995</v>
      </c>
    </row>
    <row r="26" spans="1:15" x14ac:dyDescent="0.3">
      <c r="A26" s="45">
        <v>46599</v>
      </c>
      <c r="B26" s="44">
        <v>25</v>
      </c>
      <c r="C26" s="43">
        <v>6384809.1900000004</v>
      </c>
      <c r="D26" s="43">
        <v>19052.599999999999</v>
      </c>
      <c r="E26" s="43">
        <v>18968.2</v>
      </c>
      <c r="F26" s="43">
        <v>18215.86</v>
      </c>
      <c r="G26" s="43">
        <v>3901.12</v>
      </c>
      <c r="H26" s="43">
        <v>328.46</v>
      </c>
      <c r="I26" s="43">
        <v>3269.06</v>
      </c>
      <c r="J26" s="43">
        <v>6343639.6100000003</v>
      </c>
      <c r="K26" s="43">
        <v>59505.72</v>
      </c>
      <c r="L26" s="43">
        <v>55286.29</v>
      </c>
      <c r="M26" s="48">
        <f ca="1">'DCF Calc 3'!Q41</f>
        <v>55286.32</v>
      </c>
      <c r="N26" s="43">
        <f ca="1">Loan_Level_Results46[[#This Row],[NPV]]-Loan_Level_Results46[[#This Row],[DCF CALC NPV]]</f>
        <v>-2.9999999998835847E-2</v>
      </c>
      <c r="O26" s="43">
        <f>Loan_Level_Results46[[#This Row],[Principal Payment]]+Loan_Level_Results46[[#This Row],[Interest]]</f>
        <v>38020.800000000003</v>
      </c>
    </row>
    <row r="27" spans="1:15" x14ac:dyDescent="0.3">
      <c r="A27" s="45">
        <v>46630</v>
      </c>
      <c r="B27" s="44">
        <v>26</v>
      </c>
      <c r="C27" s="43">
        <v>6343639.6100000003</v>
      </c>
      <c r="D27" s="43">
        <v>19044.93</v>
      </c>
      <c r="E27" s="43">
        <v>18845.900000000001</v>
      </c>
      <c r="F27" s="43">
        <v>18098.400000000001</v>
      </c>
      <c r="G27" s="43">
        <v>3875.96</v>
      </c>
      <c r="H27" s="43">
        <v>326.33999999999997</v>
      </c>
      <c r="I27" s="43">
        <v>3248.96</v>
      </c>
      <c r="J27" s="43">
        <v>6302620.3200000003</v>
      </c>
      <c r="K27" s="43">
        <v>59238.19</v>
      </c>
      <c r="L27" s="43">
        <v>54873.08</v>
      </c>
      <c r="M27" s="48">
        <f ca="1">'DCF Calc 3'!Q42</f>
        <v>54873.120000000003</v>
      </c>
      <c r="N27" s="43">
        <f ca="1">Loan_Level_Results46[[#This Row],[NPV]]-Loan_Level_Results46[[#This Row],[DCF CALC NPV]]</f>
        <v>-4.0000000000873115E-2</v>
      </c>
      <c r="O27" s="43">
        <f>Loan_Level_Results46[[#This Row],[Principal Payment]]+Loan_Level_Results46[[#This Row],[Interest]]</f>
        <v>37890.83</v>
      </c>
    </row>
    <row r="28" spans="1:15" x14ac:dyDescent="0.3">
      <c r="A28" s="45">
        <v>46660</v>
      </c>
      <c r="B28" s="44">
        <v>27</v>
      </c>
      <c r="C28" s="43">
        <v>6302620.3200000003</v>
      </c>
      <c r="D28" s="43">
        <v>19641.259999999998</v>
      </c>
      <c r="E28" s="43">
        <v>18120.03</v>
      </c>
      <c r="F28" s="43">
        <v>17981.38</v>
      </c>
      <c r="G28" s="43">
        <v>3850.9</v>
      </c>
      <c r="H28" s="43">
        <v>324.23</v>
      </c>
      <c r="I28" s="43">
        <v>3228.94</v>
      </c>
      <c r="J28" s="43">
        <v>6261146.7800000003</v>
      </c>
      <c r="K28" s="43">
        <v>58971.61</v>
      </c>
      <c r="L28" s="43">
        <v>54467.99</v>
      </c>
      <c r="M28" s="48">
        <f ca="1">'DCF Calc 3'!Q43</f>
        <v>54468.02</v>
      </c>
      <c r="N28" s="43">
        <f ca="1">Loan_Level_Results46[[#This Row],[NPV]]-Loan_Level_Results46[[#This Row],[DCF CALC NPV]]</f>
        <v>-2.9999999998835847E-2</v>
      </c>
      <c r="O28" s="43">
        <f>Loan_Level_Results46[[#This Row],[Principal Payment]]+Loan_Level_Results46[[#This Row],[Interest]]</f>
        <v>37761.289999999994</v>
      </c>
    </row>
    <row r="29" spans="1:15" x14ac:dyDescent="0.3">
      <c r="A29" s="45">
        <v>46691</v>
      </c>
      <c r="B29" s="44">
        <v>28</v>
      </c>
      <c r="C29" s="43">
        <v>6261146.7800000003</v>
      </c>
      <c r="D29" s="43">
        <v>19027.75</v>
      </c>
      <c r="E29" s="43">
        <v>18600.82</v>
      </c>
      <c r="F29" s="43">
        <v>17863.05</v>
      </c>
      <c r="G29" s="43">
        <v>3975.83</v>
      </c>
      <c r="H29" s="43">
        <v>338.14</v>
      </c>
      <c r="I29" s="43">
        <v>3354.46</v>
      </c>
      <c r="J29" s="43">
        <v>6220280.1500000004</v>
      </c>
      <c r="K29" s="43">
        <v>58846.080000000002</v>
      </c>
      <c r="L29" s="43">
        <v>54189.45</v>
      </c>
      <c r="M29" s="48">
        <f ca="1">'DCF Calc 3'!Q44</f>
        <v>54189.49</v>
      </c>
      <c r="N29" s="43">
        <f ca="1">Loan_Level_Results46[[#This Row],[NPV]]-Loan_Level_Results46[[#This Row],[DCF CALC NPV]]</f>
        <v>-4.0000000000873115E-2</v>
      </c>
      <c r="O29" s="43">
        <f>Loan_Level_Results46[[#This Row],[Principal Payment]]+Loan_Level_Results46[[#This Row],[Interest]]</f>
        <v>37628.57</v>
      </c>
    </row>
    <row r="30" spans="1:15" x14ac:dyDescent="0.3">
      <c r="A30" s="45">
        <v>46721</v>
      </c>
      <c r="B30" s="44">
        <v>29</v>
      </c>
      <c r="C30" s="43">
        <v>6220280.1500000004</v>
      </c>
      <c r="D30" s="43">
        <v>19615.72</v>
      </c>
      <c r="E30" s="43">
        <v>17883.310000000001</v>
      </c>
      <c r="F30" s="43">
        <v>17746.46</v>
      </c>
      <c r="G30" s="43">
        <v>3949.88</v>
      </c>
      <c r="H30" s="43">
        <v>335.93</v>
      </c>
      <c r="I30" s="43">
        <v>3333.59</v>
      </c>
      <c r="J30" s="43">
        <v>6178968.0899999999</v>
      </c>
      <c r="K30" s="43">
        <v>58579.08</v>
      </c>
      <c r="L30" s="43">
        <v>53787.4</v>
      </c>
      <c r="M30" s="48">
        <f ca="1">'DCF Calc 3'!Q45</f>
        <v>53787.44</v>
      </c>
      <c r="N30" s="43">
        <f ca="1">Loan_Level_Results46[[#This Row],[NPV]]-Loan_Level_Results46[[#This Row],[DCF CALC NPV]]</f>
        <v>-4.0000000000873115E-2</v>
      </c>
      <c r="O30" s="43">
        <f>Loan_Level_Results46[[#This Row],[Principal Payment]]+Loan_Level_Results46[[#This Row],[Interest]]</f>
        <v>37499.03</v>
      </c>
    </row>
    <row r="31" spans="1:15" x14ac:dyDescent="0.3">
      <c r="A31" s="45">
        <v>46752</v>
      </c>
      <c r="B31" s="44">
        <v>30</v>
      </c>
      <c r="C31" s="43">
        <v>6178968.0899999999</v>
      </c>
      <c r="D31" s="43">
        <v>19009.64</v>
      </c>
      <c r="E31" s="43">
        <v>18356.68</v>
      </c>
      <c r="F31" s="43">
        <v>17628.599999999999</v>
      </c>
      <c r="G31" s="43">
        <v>3923.64</v>
      </c>
      <c r="H31" s="43">
        <v>333.7</v>
      </c>
      <c r="I31" s="43">
        <v>3312.47</v>
      </c>
      <c r="J31" s="43">
        <v>6138406.21</v>
      </c>
      <c r="K31" s="43">
        <v>58307.39</v>
      </c>
      <c r="L31" s="43">
        <v>53377.78</v>
      </c>
      <c r="M31" s="48">
        <f ca="1">'DCF Calc 3'!Q46</f>
        <v>53377.82</v>
      </c>
      <c r="N31" s="43">
        <f ca="1">Loan_Level_Results46[[#This Row],[NPV]]-Loan_Level_Results46[[#This Row],[DCF CALC NPV]]</f>
        <v>-4.0000000000873115E-2</v>
      </c>
      <c r="O31" s="43">
        <f>Loan_Level_Results46[[#This Row],[Principal Payment]]+Loan_Level_Results46[[#This Row],[Interest]]</f>
        <v>37366.32</v>
      </c>
    </row>
    <row r="32" spans="1:15" x14ac:dyDescent="0.3">
      <c r="A32" s="45">
        <v>46783</v>
      </c>
      <c r="B32" s="44">
        <v>31</v>
      </c>
      <c r="C32" s="43">
        <v>6138406.21</v>
      </c>
      <c r="D32" s="43">
        <v>19001.490000000002</v>
      </c>
      <c r="E32" s="43">
        <v>18236.18</v>
      </c>
      <c r="F32" s="43">
        <v>17512.87</v>
      </c>
      <c r="G32" s="43">
        <v>4045.21</v>
      </c>
      <c r="H32" s="43">
        <v>347.41</v>
      </c>
      <c r="I32" s="43">
        <v>3434.62</v>
      </c>
      <c r="J32" s="43">
        <v>6097846.6399999997</v>
      </c>
      <c r="K32" s="43">
        <v>58185.16</v>
      </c>
      <c r="L32" s="43">
        <v>53106.53</v>
      </c>
      <c r="M32" s="48">
        <f ca="1">'DCF Calc 3'!Q47</f>
        <v>53106.58</v>
      </c>
      <c r="N32" s="43">
        <f ca="1">Loan_Level_Results46[[#This Row],[NPV]]-Loan_Level_Results46[[#This Row],[DCF CALC NPV]]</f>
        <v>-5.0000000002910383E-2</v>
      </c>
      <c r="O32" s="43">
        <f>Loan_Level_Results46[[#This Row],[Principal Payment]]+Loan_Level_Results46[[#This Row],[Interest]]</f>
        <v>37237.67</v>
      </c>
    </row>
    <row r="33" spans="1:15" x14ac:dyDescent="0.3">
      <c r="A33" s="45">
        <v>46812</v>
      </c>
      <c r="B33" s="44">
        <v>32</v>
      </c>
      <c r="C33" s="43">
        <v>6097846.6399999997</v>
      </c>
      <c r="D33" s="43">
        <v>20746.009999999998</v>
      </c>
      <c r="E33" s="43">
        <v>16362.56</v>
      </c>
      <c r="F33" s="43">
        <v>17397.16</v>
      </c>
      <c r="G33" s="43">
        <v>4018.48</v>
      </c>
      <c r="H33" s="43">
        <v>345.11</v>
      </c>
      <c r="I33" s="43">
        <v>3413</v>
      </c>
      <c r="J33" s="43">
        <v>6055684.9900000002</v>
      </c>
      <c r="K33" s="43">
        <v>57918.73</v>
      </c>
      <c r="L33" s="43">
        <v>52720.5</v>
      </c>
      <c r="M33" s="48">
        <f ca="1">'DCF Calc 3'!Q48</f>
        <v>52720.54</v>
      </c>
      <c r="N33" s="43">
        <f ca="1">Loan_Level_Results46[[#This Row],[NPV]]-Loan_Level_Results46[[#This Row],[DCF CALC NPV]]</f>
        <v>-4.0000000000873115E-2</v>
      </c>
      <c r="O33" s="43">
        <f>Loan_Level_Results46[[#This Row],[Principal Payment]]+Loan_Level_Results46[[#This Row],[Interest]]</f>
        <v>37108.57</v>
      </c>
    </row>
    <row r="34" spans="1:15" x14ac:dyDescent="0.3">
      <c r="A34" s="45">
        <v>46843</v>
      </c>
      <c r="B34" s="44">
        <v>33</v>
      </c>
      <c r="C34" s="43">
        <v>6055684.9900000002</v>
      </c>
      <c r="D34" s="43">
        <v>18978.78</v>
      </c>
      <c r="E34" s="43">
        <v>17990.43</v>
      </c>
      <c r="F34" s="43">
        <v>17276.87</v>
      </c>
      <c r="G34" s="43">
        <v>3990.7</v>
      </c>
      <c r="H34" s="43">
        <v>342.72</v>
      </c>
      <c r="I34" s="43">
        <v>3390.47</v>
      </c>
      <c r="J34" s="43">
        <v>6015438.6399999997</v>
      </c>
      <c r="K34" s="43">
        <v>57636.55</v>
      </c>
      <c r="L34" s="43">
        <v>52306.7</v>
      </c>
      <c r="M34" s="48">
        <f ca="1">'DCF Calc 3'!Q49</f>
        <v>52306.74</v>
      </c>
      <c r="N34" s="43">
        <f ca="1">Loan_Level_Results46[[#This Row],[NPV]]-Loan_Level_Results46[[#This Row],[DCF CALC NPV]]</f>
        <v>-4.0000000000873115E-2</v>
      </c>
      <c r="O34" s="43">
        <f>Loan_Level_Results46[[#This Row],[Principal Payment]]+Loan_Level_Results46[[#This Row],[Interest]]</f>
        <v>36969.21</v>
      </c>
    </row>
    <row r="35" spans="1:15" x14ac:dyDescent="0.3">
      <c r="A35" s="45">
        <v>46873</v>
      </c>
      <c r="B35" s="44">
        <v>34</v>
      </c>
      <c r="C35" s="43">
        <v>6015438.6399999997</v>
      </c>
      <c r="D35" s="43">
        <v>19546.64</v>
      </c>
      <c r="E35" s="43">
        <v>17294.39</v>
      </c>
      <c r="F35" s="43">
        <v>17162.05</v>
      </c>
      <c r="G35" s="43">
        <v>4108.54</v>
      </c>
      <c r="H35" s="43">
        <v>356.19</v>
      </c>
      <c r="I35" s="43">
        <v>3508.94</v>
      </c>
      <c r="J35" s="43">
        <v>5974621.4100000001</v>
      </c>
      <c r="K35" s="43">
        <v>57512.02</v>
      </c>
      <c r="L35" s="43">
        <v>52042.57</v>
      </c>
      <c r="M35" s="48">
        <f ca="1">'DCF Calc 3'!Q50</f>
        <v>52042.62</v>
      </c>
      <c r="N35" s="43">
        <f ca="1">Loan_Level_Results46[[#This Row],[NPV]]-Loan_Level_Results46[[#This Row],[DCF CALC NPV]]</f>
        <v>-5.0000000002910383E-2</v>
      </c>
      <c r="O35" s="43">
        <f>Loan_Level_Results46[[#This Row],[Principal Payment]]+Loan_Level_Results46[[#This Row],[Interest]]</f>
        <v>36841.03</v>
      </c>
    </row>
    <row r="36" spans="1:15" x14ac:dyDescent="0.3">
      <c r="A36" s="45">
        <v>46904</v>
      </c>
      <c r="B36" s="44">
        <v>35</v>
      </c>
      <c r="C36" s="43">
        <v>5974621.4100000001</v>
      </c>
      <c r="D36" s="43">
        <v>18959.259999999998</v>
      </c>
      <c r="E36" s="43">
        <v>17749.599999999999</v>
      </c>
      <c r="F36" s="43">
        <v>17045.59</v>
      </c>
      <c r="G36" s="43">
        <v>4080.67</v>
      </c>
      <c r="H36" s="43">
        <v>353.77</v>
      </c>
      <c r="I36" s="43">
        <v>3486.25</v>
      </c>
      <c r="J36" s="43">
        <v>5934535.8899999997</v>
      </c>
      <c r="K36" s="43">
        <v>57240.7</v>
      </c>
      <c r="L36" s="43">
        <v>51642.1</v>
      </c>
      <c r="M36" s="48">
        <f ca="1">'DCF Calc 3'!Q51</f>
        <v>51642.15</v>
      </c>
      <c r="N36" s="43">
        <f ca="1">Loan_Level_Results46[[#This Row],[NPV]]-Loan_Level_Results46[[#This Row],[DCF CALC NPV]]</f>
        <v>-5.0000000002910383E-2</v>
      </c>
      <c r="O36" s="43">
        <f>Loan_Level_Results46[[#This Row],[Principal Payment]]+Loan_Level_Results46[[#This Row],[Interest]]</f>
        <v>36708.86</v>
      </c>
    </row>
    <row r="37" spans="1:15" x14ac:dyDescent="0.3">
      <c r="A37" s="45">
        <v>46934</v>
      </c>
      <c r="B37" s="44">
        <v>36</v>
      </c>
      <c r="C37" s="43">
        <v>5934535.8899999997</v>
      </c>
      <c r="D37" s="43">
        <v>19518.91</v>
      </c>
      <c r="E37" s="43">
        <v>17061.79</v>
      </c>
      <c r="F37" s="43">
        <v>16931.23</v>
      </c>
      <c r="G37" s="43">
        <v>4053.29</v>
      </c>
      <c r="H37" s="43">
        <v>351.4</v>
      </c>
      <c r="I37" s="43">
        <v>3463.97</v>
      </c>
      <c r="J37" s="43">
        <v>5894032.46</v>
      </c>
      <c r="K37" s="43">
        <v>56975.9</v>
      </c>
      <c r="L37" s="43">
        <v>51254.38</v>
      </c>
      <c r="M37" s="48">
        <f ca="1">'DCF Calc 3'!Q52</f>
        <v>51254.43</v>
      </c>
      <c r="N37" s="43">
        <f ca="1">Loan_Level_Results46[[#This Row],[NPV]]-Loan_Level_Results46[[#This Row],[DCF CALC NPV]]</f>
        <v>-5.0000000002910383E-2</v>
      </c>
      <c r="O37" s="43">
        <f>Loan_Level_Results46[[#This Row],[Principal Payment]]+Loan_Level_Results46[[#This Row],[Interest]]</f>
        <v>36580.699999999997</v>
      </c>
    </row>
    <row r="38" spans="1:15" x14ac:dyDescent="0.3">
      <c r="A38" s="45">
        <v>46965</v>
      </c>
      <c r="B38" s="44">
        <v>37</v>
      </c>
      <c r="C38" s="43">
        <v>5894032.46</v>
      </c>
      <c r="D38" s="43">
        <v>18939.27</v>
      </c>
      <c r="E38" s="43">
        <v>17510.189999999999</v>
      </c>
      <c r="F38" s="43">
        <v>16815.669999999998</v>
      </c>
      <c r="G38" s="43">
        <v>4025.62</v>
      </c>
      <c r="H38" s="43">
        <v>349</v>
      </c>
      <c r="I38" s="43">
        <v>3572.66</v>
      </c>
      <c r="J38" s="43">
        <v>5854251.9000000004</v>
      </c>
      <c r="K38" s="43">
        <v>56837.79</v>
      </c>
      <c r="L38" s="43">
        <v>50977.18</v>
      </c>
      <c r="M38" s="48">
        <f ca="1">'DCF Calc 3'!Q53</f>
        <v>50977.23</v>
      </c>
      <c r="N38" s="43">
        <f ca="1">Loan_Level_Results46[[#This Row],[NPV]]-Loan_Level_Results46[[#This Row],[DCF CALC NPV]]</f>
        <v>-5.0000000002910383E-2</v>
      </c>
      <c r="O38" s="43">
        <f>Loan_Level_Results46[[#This Row],[Principal Payment]]+Loan_Level_Results46[[#This Row],[Interest]]</f>
        <v>36449.46</v>
      </c>
    </row>
    <row r="39" spans="1:15" x14ac:dyDescent="0.3">
      <c r="A39" s="45">
        <v>46996</v>
      </c>
      <c r="B39" s="44">
        <v>38</v>
      </c>
      <c r="C39" s="43">
        <v>5854251.9000000004</v>
      </c>
      <c r="D39" s="43">
        <v>18930.189999999999</v>
      </c>
      <c r="E39" s="43">
        <v>17392.009999999998</v>
      </c>
      <c r="F39" s="43">
        <v>16702.18</v>
      </c>
      <c r="G39" s="43">
        <v>3998.45</v>
      </c>
      <c r="H39" s="43">
        <v>346.64</v>
      </c>
      <c r="I39" s="43">
        <v>3549.62</v>
      </c>
      <c r="J39" s="43">
        <v>5814621.0800000001</v>
      </c>
      <c r="K39" s="43">
        <v>56574</v>
      </c>
      <c r="L39" s="43">
        <v>50588.800000000003</v>
      </c>
      <c r="M39" s="48">
        <f ca="1">'DCF Calc 3'!Q54</f>
        <v>50588.85</v>
      </c>
      <c r="N39" s="43">
        <f ca="1">Loan_Level_Results46[[#This Row],[NPV]]-Loan_Level_Results46[[#This Row],[DCF CALC NPV]]</f>
        <v>-4.9999999995634425E-2</v>
      </c>
      <c r="O39" s="43">
        <f>Loan_Level_Results46[[#This Row],[Principal Payment]]+Loan_Level_Results46[[#This Row],[Interest]]</f>
        <v>36322.199999999997</v>
      </c>
    </row>
    <row r="40" spans="1:15" x14ac:dyDescent="0.3">
      <c r="A40" s="45">
        <v>47026</v>
      </c>
      <c r="B40" s="44">
        <v>39</v>
      </c>
      <c r="C40" s="43">
        <v>5814621.0800000001</v>
      </c>
      <c r="D40" s="43">
        <v>19478.34</v>
      </c>
      <c r="E40" s="43">
        <v>16717.04</v>
      </c>
      <c r="F40" s="43">
        <v>16589.11</v>
      </c>
      <c r="G40" s="43">
        <v>3971.39</v>
      </c>
      <c r="H40" s="43">
        <v>344.3</v>
      </c>
      <c r="I40" s="43">
        <v>3526.67</v>
      </c>
      <c r="J40" s="43">
        <v>5774582.2400000002</v>
      </c>
      <c r="K40" s="43">
        <v>56311.16</v>
      </c>
      <c r="L40" s="43">
        <v>50207.98</v>
      </c>
      <c r="M40" s="48">
        <f ca="1">'DCF Calc 3'!Q55</f>
        <v>50208.03</v>
      </c>
      <c r="N40" s="43">
        <f ca="1">Loan_Level_Results46[[#This Row],[NPV]]-Loan_Level_Results46[[#This Row],[DCF CALC NPV]]</f>
        <v>-4.9999999995634425E-2</v>
      </c>
      <c r="O40" s="43">
        <f>Loan_Level_Results46[[#This Row],[Principal Payment]]+Loan_Level_Results46[[#This Row],[Interest]]</f>
        <v>36195.380000000005</v>
      </c>
    </row>
    <row r="41" spans="1:15" x14ac:dyDescent="0.3">
      <c r="A41" s="45">
        <v>47057</v>
      </c>
      <c r="B41" s="44">
        <v>40</v>
      </c>
      <c r="C41" s="43">
        <v>5774582.2400000002</v>
      </c>
      <c r="D41" s="43">
        <v>18910.2</v>
      </c>
      <c r="E41" s="43">
        <v>17155.32</v>
      </c>
      <c r="F41" s="43">
        <v>16474.88</v>
      </c>
      <c r="G41" s="43">
        <v>3944.04</v>
      </c>
      <c r="H41" s="43">
        <v>341.92</v>
      </c>
      <c r="I41" s="43">
        <v>3637.69</v>
      </c>
      <c r="J41" s="43">
        <v>5735253.1200000001</v>
      </c>
      <c r="K41" s="43">
        <v>56178.09</v>
      </c>
      <c r="L41" s="43">
        <v>49939.49</v>
      </c>
      <c r="M41" s="48">
        <f ca="1">'DCF Calc 3'!Q56</f>
        <v>49939.54</v>
      </c>
      <c r="N41" s="43">
        <f ca="1">Loan_Level_Results46[[#This Row],[NPV]]-Loan_Level_Results46[[#This Row],[DCF CALC NPV]]</f>
        <v>-5.0000000002910383E-2</v>
      </c>
      <c r="O41" s="43">
        <f>Loan_Level_Results46[[#This Row],[Principal Payment]]+Loan_Level_Results46[[#This Row],[Interest]]</f>
        <v>36065.520000000004</v>
      </c>
    </row>
    <row r="42" spans="1:15" x14ac:dyDescent="0.3">
      <c r="A42" s="45">
        <v>47087</v>
      </c>
      <c r="B42" s="44">
        <v>41</v>
      </c>
      <c r="C42" s="43">
        <v>5735253.1200000001</v>
      </c>
      <c r="D42" s="43">
        <v>19450.73</v>
      </c>
      <c r="E42" s="43">
        <v>16488.849999999999</v>
      </c>
      <c r="F42" s="43">
        <v>16362.68</v>
      </c>
      <c r="G42" s="43">
        <v>3917.18</v>
      </c>
      <c r="H42" s="43">
        <v>339.6</v>
      </c>
      <c r="I42" s="43">
        <v>3613.95</v>
      </c>
      <c r="J42" s="43">
        <v>5695522.5300000003</v>
      </c>
      <c r="K42" s="43">
        <v>55916.21</v>
      </c>
      <c r="L42" s="43">
        <v>49562.78</v>
      </c>
      <c r="M42" s="48">
        <f ca="1">'DCF Calc 3'!Q57</f>
        <v>49562.84</v>
      </c>
      <c r="N42" s="43">
        <f ca="1">Loan_Level_Results46[[#This Row],[NPV]]-Loan_Level_Results46[[#This Row],[DCF CALC NPV]]</f>
        <v>-5.9999999997671694E-2</v>
      </c>
      <c r="O42" s="43">
        <f>Loan_Level_Results46[[#This Row],[Principal Payment]]+Loan_Level_Results46[[#This Row],[Interest]]</f>
        <v>35939.58</v>
      </c>
    </row>
    <row r="43" spans="1:15" x14ac:dyDescent="0.3">
      <c r="A43" s="45">
        <v>47118</v>
      </c>
      <c r="B43" s="44">
        <v>42</v>
      </c>
      <c r="C43" s="43">
        <v>5695522.5300000003</v>
      </c>
      <c r="D43" s="43">
        <v>18890.18</v>
      </c>
      <c r="E43" s="43">
        <v>16920.45</v>
      </c>
      <c r="F43" s="43">
        <v>16249.33</v>
      </c>
      <c r="G43" s="43">
        <v>3890.04</v>
      </c>
      <c r="H43" s="43">
        <v>337.24</v>
      </c>
      <c r="I43" s="43">
        <v>3589.94</v>
      </c>
      <c r="J43" s="43">
        <v>5656492.9800000004</v>
      </c>
      <c r="K43" s="43">
        <v>55649.9</v>
      </c>
      <c r="L43" s="43">
        <v>49179.17</v>
      </c>
      <c r="M43" s="48">
        <f ca="1">'DCF Calc 3'!Q58</f>
        <v>49179.22</v>
      </c>
      <c r="N43" s="43">
        <f ca="1">Loan_Level_Results46[[#This Row],[NPV]]-Loan_Level_Results46[[#This Row],[DCF CALC NPV]]</f>
        <v>-5.0000000002910383E-2</v>
      </c>
      <c r="O43" s="43">
        <f>Loan_Level_Results46[[#This Row],[Principal Payment]]+Loan_Level_Results46[[#This Row],[Interest]]</f>
        <v>35810.630000000005</v>
      </c>
    </row>
    <row r="44" spans="1:15" x14ac:dyDescent="0.3">
      <c r="A44" s="45">
        <v>47149</v>
      </c>
      <c r="B44" s="44">
        <v>43</v>
      </c>
      <c r="C44" s="43">
        <v>5656492.9800000004</v>
      </c>
      <c r="D44" s="43">
        <v>18881.09</v>
      </c>
      <c r="E44" s="43">
        <v>16804.5</v>
      </c>
      <c r="F44" s="43">
        <v>16137.97</v>
      </c>
      <c r="G44" s="43">
        <v>3863.38</v>
      </c>
      <c r="H44" s="43">
        <v>334.93</v>
      </c>
      <c r="I44" s="43">
        <v>3697.8</v>
      </c>
      <c r="J44" s="43">
        <v>5617610.54</v>
      </c>
      <c r="K44" s="43">
        <v>55521.36</v>
      </c>
      <c r="L44" s="43">
        <v>48918.8</v>
      </c>
      <c r="M44" s="48">
        <f ca="1">'DCF Calc 3'!Q59</f>
        <v>48918.85</v>
      </c>
      <c r="N44" s="43">
        <f ca="1">Loan_Level_Results46[[#This Row],[NPV]]-Loan_Level_Results46[[#This Row],[DCF CALC NPV]]</f>
        <v>-4.9999999995634425E-2</v>
      </c>
      <c r="O44" s="43">
        <f>Loan_Level_Results46[[#This Row],[Principal Payment]]+Loan_Level_Results46[[#This Row],[Interest]]</f>
        <v>35685.589999999997</v>
      </c>
    </row>
    <row r="45" spans="1:15" x14ac:dyDescent="0.3">
      <c r="A45" s="45">
        <v>47177</v>
      </c>
      <c r="B45" s="44">
        <v>44</v>
      </c>
      <c r="C45" s="43">
        <v>5617610.54</v>
      </c>
      <c r="D45" s="43">
        <v>20487.060000000001</v>
      </c>
      <c r="E45" s="43">
        <v>15073.92</v>
      </c>
      <c r="F45" s="43">
        <v>16027.04</v>
      </c>
      <c r="G45" s="43">
        <v>3836.83</v>
      </c>
      <c r="H45" s="43">
        <v>332.63</v>
      </c>
      <c r="I45" s="43">
        <v>3673.37</v>
      </c>
      <c r="J45" s="43">
        <v>5577259.6100000003</v>
      </c>
      <c r="K45" s="43">
        <v>55261.39</v>
      </c>
      <c r="L45" s="43">
        <v>48558.16</v>
      </c>
      <c r="M45" s="48">
        <f ca="1">'DCF Calc 3'!Q60</f>
        <v>48558.22</v>
      </c>
      <c r="N45" s="43">
        <f ca="1">Loan_Level_Results46[[#This Row],[NPV]]-Loan_Level_Results46[[#This Row],[DCF CALC NPV]]</f>
        <v>-5.9999999997671694E-2</v>
      </c>
      <c r="O45" s="43">
        <f>Loan_Level_Results46[[#This Row],[Principal Payment]]+Loan_Level_Results46[[#This Row],[Interest]]</f>
        <v>35560.980000000003</v>
      </c>
    </row>
    <row r="46" spans="1:15" x14ac:dyDescent="0.3">
      <c r="A46" s="45">
        <v>47208</v>
      </c>
      <c r="B46" s="44">
        <v>45</v>
      </c>
      <c r="C46" s="43">
        <v>5577259.6100000003</v>
      </c>
      <c r="D46" s="43">
        <v>18857.43</v>
      </c>
      <c r="E46" s="43">
        <v>16569.11</v>
      </c>
      <c r="F46" s="43">
        <v>15911.92</v>
      </c>
      <c r="G46" s="43">
        <v>3809.27</v>
      </c>
      <c r="H46" s="43">
        <v>330.24</v>
      </c>
      <c r="I46" s="43">
        <v>3647.98</v>
      </c>
      <c r="J46" s="43">
        <v>5538680.9900000002</v>
      </c>
      <c r="K46" s="43">
        <v>54986.44</v>
      </c>
      <c r="L46" s="43">
        <v>48172.02</v>
      </c>
      <c r="M46" s="48">
        <f ca="1">'DCF Calc 3'!Q61</f>
        <v>48172.07</v>
      </c>
      <c r="N46" s="43">
        <f ca="1">Loan_Level_Results46[[#This Row],[NPV]]-Loan_Level_Results46[[#This Row],[DCF CALC NPV]]</f>
        <v>-5.0000000002910383E-2</v>
      </c>
      <c r="O46" s="43">
        <f>Loan_Level_Results46[[#This Row],[Principal Payment]]+Loan_Level_Results46[[#This Row],[Interest]]</f>
        <v>35426.54</v>
      </c>
    </row>
    <row r="47" spans="1:15" x14ac:dyDescent="0.3">
      <c r="A47" s="45">
        <v>47238</v>
      </c>
      <c r="B47" s="44">
        <v>46</v>
      </c>
      <c r="C47" s="43">
        <v>5538680.9900000002</v>
      </c>
      <c r="D47" s="43">
        <v>19379.11</v>
      </c>
      <c r="E47" s="43">
        <v>15923.71</v>
      </c>
      <c r="F47" s="43">
        <v>15801.86</v>
      </c>
      <c r="G47" s="43">
        <v>3782.92</v>
      </c>
      <c r="H47" s="43">
        <v>327.96</v>
      </c>
      <c r="I47" s="43">
        <v>3752.35</v>
      </c>
      <c r="J47" s="43">
        <v>5499717.0999999996</v>
      </c>
      <c r="K47" s="43">
        <v>54857.03</v>
      </c>
      <c r="L47" s="43">
        <v>47919.51</v>
      </c>
      <c r="M47" s="48">
        <f ca="1">'DCF Calc 3'!Q62</f>
        <v>47919.57</v>
      </c>
      <c r="N47" s="43">
        <f ca="1">Loan_Level_Results46[[#This Row],[NPV]]-Loan_Level_Results46[[#This Row],[DCF CALC NPV]]</f>
        <v>-5.9999999997671694E-2</v>
      </c>
      <c r="O47" s="43">
        <f>Loan_Level_Results46[[#This Row],[Principal Payment]]+Loan_Level_Results46[[#This Row],[Interest]]</f>
        <v>35302.82</v>
      </c>
    </row>
    <row r="48" spans="1:15" x14ac:dyDescent="0.3">
      <c r="A48" s="45">
        <v>47269</v>
      </c>
      <c r="B48" s="44">
        <v>47</v>
      </c>
      <c r="C48" s="43">
        <v>5499717.0999999996</v>
      </c>
      <c r="D48" s="43">
        <v>18837.41</v>
      </c>
      <c r="E48" s="43">
        <v>16338.74</v>
      </c>
      <c r="F48" s="43">
        <v>15690.69</v>
      </c>
      <c r="G48" s="43">
        <v>3756.31</v>
      </c>
      <c r="H48" s="43">
        <v>325.64999999999998</v>
      </c>
      <c r="I48" s="43">
        <v>3726.9</v>
      </c>
      <c r="J48" s="43">
        <v>5461432.6900000004</v>
      </c>
      <c r="K48" s="43">
        <v>54593.74</v>
      </c>
      <c r="L48" s="43">
        <v>47546.85</v>
      </c>
      <c r="M48" s="48">
        <f ca="1">'DCF Calc 3'!Q63</f>
        <v>47546.91</v>
      </c>
      <c r="N48" s="43">
        <f ca="1">Loan_Level_Results46[[#This Row],[NPV]]-Loan_Level_Results46[[#This Row],[DCF CALC NPV]]</f>
        <v>-6.0000000004947651E-2</v>
      </c>
      <c r="O48" s="43">
        <f>Loan_Level_Results46[[#This Row],[Principal Payment]]+Loan_Level_Results46[[#This Row],[Interest]]</f>
        <v>35176.15</v>
      </c>
    </row>
    <row r="49" spans="1:15" x14ac:dyDescent="0.3">
      <c r="A49" s="45">
        <v>47299</v>
      </c>
      <c r="B49" s="44">
        <v>48</v>
      </c>
      <c r="C49" s="43">
        <v>5461432.6900000004</v>
      </c>
      <c r="D49" s="43">
        <v>19351.68</v>
      </c>
      <c r="E49" s="43">
        <v>15701.62</v>
      </c>
      <c r="F49" s="43">
        <v>15581.47</v>
      </c>
      <c r="G49" s="43">
        <v>3730.16</v>
      </c>
      <c r="H49" s="43">
        <v>323.38</v>
      </c>
      <c r="I49" s="43">
        <v>3701.89</v>
      </c>
      <c r="J49" s="43">
        <v>5422769.3799999999</v>
      </c>
      <c r="K49" s="43">
        <v>54336.66</v>
      </c>
      <c r="L49" s="43">
        <v>47185.95</v>
      </c>
      <c r="M49" s="48">
        <f ca="1">'DCF Calc 3'!Q64</f>
        <v>47186.01</v>
      </c>
      <c r="N49" s="43">
        <f ca="1">Loan_Level_Results46[[#This Row],[NPV]]-Loan_Level_Results46[[#This Row],[DCF CALC NPV]]</f>
        <v>-6.0000000004947651E-2</v>
      </c>
      <c r="O49" s="43">
        <f>Loan_Level_Results46[[#This Row],[Principal Payment]]+Loan_Level_Results46[[#This Row],[Interest]]</f>
        <v>35053.300000000003</v>
      </c>
    </row>
    <row r="50" spans="1:15" x14ac:dyDescent="0.3">
      <c r="A50" s="45">
        <v>47330</v>
      </c>
      <c r="B50" s="44">
        <v>49</v>
      </c>
      <c r="C50" s="43">
        <v>5422769.3799999999</v>
      </c>
      <c r="D50" s="43">
        <v>18817.37</v>
      </c>
      <c r="E50" s="43">
        <v>16110.14</v>
      </c>
      <c r="F50" s="43">
        <v>15471.16</v>
      </c>
      <c r="G50" s="43">
        <v>3703.75</v>
      </c>
      <c r="H50" s="43">
        <v>321.08999999999997</v>
      </c>
      <c r="I50" s="43">
        <v>3676.62</v>
      </c>
      <c r="J50" s="43">
        <v>5384777.0999999996</v>
      </c>
      <c r="K50" s="43">
        <v>54075.29</v>
      </c>
      <c r="L50" s="43">
        <v>46818.49</v>
      </c>
      <c r="M50" s="48">
        <f ca="1">'DCF Calc 3'!Q65</f>
        <v>46818.55</v>
      </c>
      <c r="N50" s="43">
        <f ca="1">Loan_Level_Results46[[#This Row],[NPV]]-Loan_Level_Results46[[#This Row],[DCF CALC NPV]]</f>
        <v>-6.0000000004947651E-2</v>
      </c>
      <c r="O50" s="43">
        <f>Loan_Level_Results46[[#This Row],[Principal Payment]]+Loan_Level_Results46[[#This Row],[Interest]]</f>
        <v>34927.509999999995</v>
      </c>
    </row>
    <row r="51" spans="1:15" x14ac:dyDescent="0.3">
      <c r="A51" s="45">
        <v>47361</v>
      </c>
      <c r="B51" s="44">
        <v>50</v>
      </c>
      <c r="C51" s="43">
        <v>5384777.0999999996</v>
      </c>
      <c r="D51" s="43">
        <v>18808.25</v>
      </c>
      <c r="E51" s="43">
        <v>15997.28</v>
      </c>
      <c r="F51" s="43">
        <v>15362.77</v>
      </c>
      <c r="G51" s="43">
        <v>3677.8</v>
      </c>
      <c r="H51" s="43">
        <v>318.83999999999997</v>
      </c>
      <c r="I51" s="43">
        <v>3651.81</v>
      </c>
      <c r="J51" s="43">
        <v>5346928.28</v>
      </c>
      <c r="K51" s="43">
        <v>53820.11</v>
      </c>
      <c r="L51" s="43">
        <v>46458.16</v>
      </c>
      <c r="M51" s="48">
        <f ca="1">'DCF Calc 3'!Q66</f>
        <v>46458.22</v>
      </c>
      <c r="N51" s="43">
        <f ca="1">Loan_Level_Results46[[#This Row],[NPV]]-Loan_Level_Results46[[#This Row],[DCF CALC NPV]]</f>
        <v>-5.9999999997671694E-2</v>
      </c>
      <c r="O51" s="43">
        <f>Loan_Level_Results46[[#This Row],[Principal Payment]]+Loan_Level_Results46[[#This Row],[Interest]]</f>
        <v>34805.53</v>
      </c>
    </row>
    <row r="52" spans="1:15" x14ac:dyDescent="0.3">
      <c r="A52" s="45">
        <v>47391</v>
      </c>
      <c r="B52" s="44">
        <v>51</v>
      </c>
      <c r="C52" s="43">
        <v>5346928.28</v>
      </c>
      <c r="D52" s="43">
        <v>19311.55</v>
      </c>
      <c r="E52" s="43">
        <v>15372.42</v>
      </c>
      <c r="F52" s="43">
        <v>15254.79</v>
      </c>
      <c r="G52" s="43">
        <v>3651.95</v>
      </c>
      <c r="H52" s="43">
        <v>316.60000000000002</v>
      </c>
      <c r="I52" s="43">
        <v>3627.09</v>
      </c>
      <c r="J52" s="43">
        <v>5308709.99</v>
      </c>
      <c r="K52" s="43">
        <v>53565.85</v>
      </c>
      <c r="L52" s="43">
        <v>46104.81</v>
      </c>
      <c r="M52" s="48">
        <f ca="1">'DCF Calc 3'!Q67</f>
        <v>46104.87</v>
      </c>
      <c r="N52" s="43">
        <f ca="1">Loan_Level_Results46[[#This Row],[NPV]]-Loan_Level_Results46[[#This Row],[DCF CALC NPV]]</f>
        <v>-6.0000000004947651E-2</v>
      </c>
      <c r="O52" s="43">
        <f>Loan_Level_Results46[[#This Row],[Principal Payment]]+Loan_Level_Results46[[#This Row],[Interest]]</f>
        <v>34683.97</v>
      </c>
    </row>
    <row r="53" spans="1:15" x14ac:dyDescent="0.3">
      <c r="A53" s="45">
        <v>47422</v>
      </c>
      <c r="B53" s="44">
        <v>52</v>
      </c>
      <c r="C53" s="43">
        <v>5308709.99</v>
      </c>
      <c r="D53" s="43">
        <v>18788.21</v>
      </c>
      <c r="E53" s="43">
        <v>15771.29</v>
      </c>
      <c r="F53" s="43">
        <v>15145.75</v>
      </c>
      <c r="G53" s="43">
        <v>3625.85</v>
      </c>
      <c r="H53" s="43">
        <v>314.33999999999997</v>
      </c>
      <c r="I53" s="43">
        <v>3602.12</v>
      </c>
      <c r="J53" s="43">
        <v>5271150.18</v>
      </c>
      <c r="K53" s="43">
        <v>53307.37</v>
      </c>
      <c r="L53" s="43">
        <v>45745.08</v>
      </c>
      <c r="M53" s="48">
        <f ca="1">'DCF Calc 3'!Q68</f>
        <v>45745.14</v>
      </c>
      <c r="N53" s="43">
        <f ca="1">Loan_Level_Results46[[#This Row],[NPV]]-Loan_Level_Results46[[#This Row],[DCF CALC NPV]]</f>
        <v>-5.9999999997671694E-2</v>
      </c>
      <c r="O53" s="43">
        <f>Loan_Level_Results46[[#This Row],[Principal Payment]]+Loan_Level_Results46[[#This Row],[Interest]]</f>
        <v>34559.5</v>
      </c>
    </row>
    <row r="54" spans="1:15" x14ac:dyDescent="0.3">
      <c r="A54" s="45">
        <v>47452</v>
      </c>
      <c r="B54" s="44">
        <v>53</v>
      </c>
      <c r="C54" s="43">
        <v>5271150.18</v>
      </c>
      <c r="D54" s="43">
        <v>19284.240000000002</v>
      </c>
      <c r="E54" s="43">
        <v>15154.56</v>
      </c>
      <c r="F54" s="43">
        <v>15038.59</v>
      </c>
      <c r="G54" s="43">
        <v>3600.2</v>
      </c>
      <c r="H54" s="43">
        <v>312.12</v>
      </c>
      <c r="I54" s="43">
        <v>3577.58</v>
      </c>
      <c r="J54" s="43">
        <v>5233227.1500000004</v>
      </c>
      <c r="K54" s="43">
        <v>53054.97</v>
      </c>
      <c r="L54" s="43">
        <v>45396.67</v>
      </c>
      <c r="M54" s="48">
        <f ca="1">'DCF Calc 3'!Q69</f>
        <v>45396.73</v>
      </c>
      <c r="N54" s="43">
        <f ca="1">Loan_Level_Results46[[#This Row],[NPV]]-Loan_Level_Results46[[#This Row],[DCF CALC NPV]]</f>
        <v>-6.0000000004947651E-2</v>
      </c>
      <c r="O54" s="43">
        <f>Loan_Level_Results46[[#This Row],[Principal Payment]]+Loan_Level_Results46[[#This Row],[Interest]]</f>
        <v>34438.800000000003</v>
      </c>
    </row>
    <row r="55" spans="1:15" x14ac:dyDescent="0.3">
      <c r="A55" s="45">
        <v>47483</v>
      </c>
      <c r="B55" s="44">
        <v>54</v>
      </c>
      <c r="C55" s="43">
        <v>5233227.1500000004</v>
      </c>
      <c r="D55" s="43">
        <v>18768.150000000001</v>
      </c>
      <c r="E55" s="43">
        <v>15547.05</v>
      </c>
      <c r="F55" s="43">
        <v>14930.4</v>
      </c>
      <c r="G55" s="43">
        <v>3574.29</v>
      </c>
      <c r="H55" s="43">
        <v>309.87</v>
      </c>
      <c r="I55" s="43">
        <v>3552.8</v>
      </c>
      <c r="J55" s="43">
        <v>5195954.3099999996</v>
      </c>
      <c r="K55" s="43">
        <v>52798.400000000001</v>
      </c>
      <c r="L55" s="43">
        <v>45041.98</v>
      </c>
      <c r="M55" s="48">
        <f ca="1">'DCF Calc 3'!Q70</f>
        <v>45042.05</v>
      </c>
      <c r="N55" s="43">
        <f ca="1">Loan_Level_Results46[[#This Row],[NPV]]-Loan_Level_Results46[[#This Row],[DCF CALC NPV]]</f>
        <v>-6.9999999999708962E-2</v>
      </c>
      <c r="O55" s="43">
        <f>Loan_Level_Results46[[#This Row],[Principal Payment]]+Loan_Level_Results46[[#This Row],[Interest]]</f>
        <v>34315.199999999997</v>
      </c>
    </row>
    <row r="56" spans="1:15" x14ac:dyDescent="0.3">
      <c r="A56" s="45">
        <v>47514</v>
      </c>
      <c r="B56" s="44">
        <v>55</v>
      </c>
      <c r="C56" s="43">
        <v>5195954.3099999996</v>
      </c>
      <c r="D56" s="43">
        <v>18759.03</v>
      </c>
      <c r="E56" s="43">
        <v>15436.31</v>
      </c>
      <c r="F56" s="43">
        <v>14824.06</v>
      </c>
      <c r="G56" s="43">
        <v>3548.84</v>
      </c>
      <c r="H56" s="43">
        <v>307.66000000000003</v>
      </c>
      <c r="I56" s="43">
        <v>3528.45</v>
      </c>
      <c r="J56" s="43">
        <v>5158822.38</v>
      </c>
      <c r="K56" s="43">
        <v>52547.85</v>
      </c>
      <c r="L56" s="43">
        <v>44694.14</v>
      </c>
      <c r="M56" s="48">
        <f ca="1">'DCF Calc 3'!Q71</f>
        <v>44694.2</v>
      </c>
      <c r="N56" s="43">
        <f ca="1">Loan_Level_Results46[[#This Row],[NPV]]-Loan_Level_Results46[[#This Row],[DCF CALC NPV]]</f>
        <v>-5.9999999997671694E-2</v>
      </c>
      <c r="O56" s="43">
        <f>Loan_Level_Results46[[#This Row],[Principal Payment]]+Loan_Level_Results46[[#This Row],[Interest]]</f>
        <v>34195.339999999997</v>
      </c>
    </row>
    <row r="57" spans="1:15" x14ac:dyDescent="0.3">
      <c r="A57" s="45">
        <v>47542</v>
      </c>
      <c r="B57" s="44">
        <v>56</v>
      </c>
      <c r="C57" s="43">
        <v>5158822.38</v>
      </c>
      <c r="D57" s="43">
        <v>20233.060000000001</v>
      </c>
      <c r="E57" s="43">
        <v>13842.84</v>
      </c>
      <c r="F57" s="43">
        <v>14718.12</v>
      </c>
      <c r="G57" s="43">
        <v>3523.48</v>
      </c>
      <c r="H57" s="43">
        <v>305.45999999999998</v>
      </c>
      <c r="I57" s="43">
        <v>3504.2</v>
      </c>
      <c r="J57" s="43">
        <v>5120347.72</v>
      </c>
      <c r="K57" s="43">
        <v>52298.22</v>
      </c>
      <c r="L57" s="43">
        <v>44361.61</v>
      </c>
      <c r="M57" s="48">
        <f ca="1">'DCF Calc 3'!Q72</f>
        <v>44361.67</v>
      </c>
      <c r="N57" s="43">
        <f ca="1">Loan_Level_Results46[[#This Row],[NPV]]-Loan_Level_Results46[[#This Row],[DCF CALC NPV]]</f>
        <v>-5.9999999997671694E-2</v>
      </c>
      <c r="O57" s="43">
        <f>Loan_Level_Results46[[#This Row],[Principal Payment]]+Loan_Level_Results46[[#This Row],[Interest]]</f>
        <v>34075.9</v>
      </c>
    </row>
    <row r="58" spans="1:15" x14ac:dyDescent="0.3">
      <c r="A58" s="45">
        <v>47573</v>
      </c>
      <c r="B58" s="44">
        <v>57</v>
      </c>
      <c r="C58" s="43">
        <v>5120347.72</v>
      </c>
      <c r="D58" s="43">
        <v>18735.34</v>
      </c>
      <c r="E58" s="43">
        <v>15211.7</v>
      </c>
      <c r="F58" s="43">
        <v>14608.35</v>
      </c>
      <c r="G58" s="43">
        <v>3497.2</v>
      </c>
      <c r="H58" s="43">
        <v>303.19</v>
      </c>
      <c r="I58" s="43">
        <v>3479.03</v>
      </c>
      <c r="J58" s="43">
        <v>5083506.83</v>
      </c>
      <c r="K58" s="43">
        <v>52034.42</v>
      </c>
      <c r="L58" s="43">
        <v>44005.8</v>
      </c>
      <c r="M58" s="48">
        <f ca="1">'DCF Calc 3'!Q73</f>
        <v>44005.86</v>
      </c>
      <c r="N58" s="43">
        <f ca="1">Loan_Level_Results46[[#This Row],[NPV]]-Loan_Level_Results46[[#This Row],[DCF CALC NPV]]</f>
        <v>-5.9999999997671694E-2</v>
      </c>
      <c r="O58" s="43">
        <f>Loan_Level_Results46[[#This Row],[Principal Payment]]+Loan_Level_Results46[[#This Row],[Interest]]</f>
        <v>33947.040000000001</v>
      </c>
    </row>
    <row r="59" spans="1:15" x14ac:dyDescent="0.3">
      <c r="A59" s="45">
        <v>47603</v>
      </c>
      <c r="B59" s="44">
        <v>58</v>
      </c>
      <c r="C59" s="43">
        <v>5083506.83</v>
      </c>
      <c r="D59" s="43">
        <v>19213.38</v>
      </c>
      <c r="E59" s="43">
        <v>14615.08</v>
      </c>
      <c r="F59" s="43">
        <v>14503.24</v>
      </c>
      <c r="G59" s="43">
        <v>3472.04</v>
      </c>
      <c r="H59" s="43">
        <v>301.01</v>
      </c>
      <c r="I59" s="43">
        <v>3454.96</v>
      </c>
      <c r="J59" s="43">
        <v>5046318.17</v>
      </c>
      <c r="K59" s="43">
        <v>51786.66</v>
      </c>
      <c r="L59" s="43">
        <v>43669.47</v>
      </c>
      <c r="M59" s="48">
        <f ca="1">'DCF Calc 3'!Q74</f>
        <v>43669.54</v>
      </c>
      <c r="N59" s="43">
        <f ca="1">Loan_Level_Results46[[#This Row],[NPV]]-Loan_Level_Results46[[#This Row],[DCF CALC NPV]]</f>
        <v>-6.9999999999708962E-2</v>
      </c>
      <c r="O59" s="43">
        <f>Loan_Level_Results46[[#This Row],[Principal Payment]]+Loan_Level_Results46[[#This Row],[Interest]]</f>
        <v>33828.46</v>
      </c>
    </row>
    <row r="60" spans="1:15" x14ac:dyDescent="0.3">
      <c r="A60" s="45">
        <v>47634</v>
      </c>
      <c r="B60" s="44">
        <v>59</v>
      </c>
      <c r="C60" s="43">
        <v>5046318.17</v>
      </c>
      <c r="D60" s="43">
        <v>18715.27</v>
      </c>
      <c r="E60" s="43">
        <v>14991.77</v>
      </c>
      <c r="F60" s="43">
        <v>14397.15</v>
      </c>
      <c r="G60" s="43">
        <v>3446.64</v>
      </c>
      <c r="H60" s="43">
        <v>298.8</v>
      </c>
      <c r="I60" s="43">
        <v>3430.66</v>
      </c>
      <c r="J60" s="43">
        <v>5009759.1100000003</v>
      </c>
      <c r="K60" s="43">
        <v>51534.85</v>
      </c>
      <c r="L60" s="43">
        <v>43327.13</v>
      </c>
      <c r="M60" s="48">
        <f ca="1">'DCF Calc 3'!Q75</f>
        <v>43327.19</v>
      </c>
      <c r="N60" s="43">
        <f ca="1">Loan_Level_Results46[[#This Row],[NPV]]-Loan_Level_Results46[[#This Row],[DCF CALC NPV]]</f>
        <v>-6.0000000004947651E-2</v>
      </c>
      <c r="O60" s="43">
        <f>Loan_Level_Results46[[#This Row],[Principal Payment]]+Loan_Level_Results46[[#This Row],[Interest]]</f>
        <v>33707.040000000001</v>
      </c>
    </row>
    <row r="61" spans="1:15" x14ac:dyDescent="0.3">
      <c r="A61" s="45">
        <v>47664</v>
      </c>
      <c r="B61" s="44">
        <v>60</v>
      </c>
      <c r="C61" s="43">
        <v>5009759.1100000003</v>
      </c>
      <c r="D61" s="43">
        <v>19186.23</v>
      </c>
      <c r="E61" s="43">
        <v>14403.06</v>
      </c>
      <c r="F61" s="43">
        <v>14292.84</v>
      </c>
      <c r="G61" s="43">
        <v>3421.67</v>
      </c>
      <c r="H61" s="43">
        <v>296.64</v>
      </c>
      <c r="I61" s="43">
        <v>3406.78</v>
      </c>
      <c r="J61" s="43">
        <v>4972858.37</v>
      </c>
      <c r="K61" s="43">
        <v>51288.91</v>
      </c>
      <c r="L61" s="43">
        <v>42995.51</v>
      </c>
      <c r="M61" s="48">
        <f ca="1">'DCF Calc 3'!Q76</f>
        <v>42995.58</v>
      </c>
      <c r="N61" s="43">
        <f ca="1">Loan_Level_Results46[[#This Row],[NPV]]-Loan_Level_Results46[[#This Row],[DCF CALC NPV]]</f>
        <v>-6.9999999999708962E-2</v>
      </c>
      <c r="O61" s="43">
        <f>Loan_Level_Results46[[#This Row],[Principal Payment]]+Loan_Level_Results46[[#This Row],[Interest]]</f>
        <v>33589.29</v>
      </c>
    </row>
    <row r="62" spans="1:15" x14ac:dyDescent="0.3">
      <c r="A62" s="45">
        <v>47695</v>
      </c>
      <c r="B62" s="44">
        <v>61</v>
      </c>
      <c r="C62" s="43">
        <v>4972858.37</v>
      </c>
      <c r="D62" s="43">
        <v>18695.189999999999</v>
      </c>
      <c r="E62" s="43">
        <v>14773.53</v>
      </c>
      <c r="F62" s="43">
        <v>14187.56</v>
      </c>
      <c r="G62" s="43">
        <v>3396.46</v>
      </c>
      <c r="H62" s="43">
        <v>294.45</v>
      </c>
      <c r="I62" s="43">
        <v>3382.66</v>
      </c>
      <c r="J62" s="43">
        <v>4936579.16</v>
      </c>
      <c r="K62" s="43">
        <v>51038.94</v>
      </c>
      <c r="L62" s="43">
        <v>42657.97</v>
      </c>
      <c r="M62" s="48">
        <f ca="1">'DCF Calc 3'!Q77</f>
        <v>42658.04</v>
      </c>
      <c r="N62" s="43">
        <f ca="1">Loan_Level_Results46[[#This Row],[NPV]]-Loan_Level_Results46[[#This Row],[DCF CALC NPV]]</f>
        <v>-6.9999999999708962E-2</v>
      </c>
      <c r="O62" s="43">
        <f>Loan_Level_Results46[[#This Row],[Principal Payment]]+Loan_Level_Results46[[#This Row],[Interest]]</f>
        <v>33468.720000000001</v>
      </c>
    </row>
    <row r="63" spans="1:15" x14ac:dyDescent="0.3">
      <c r="A63" s="45">
        <v>47726</v>
      </c>
      <c r="B63" s="44">
        <v>62</v>
      </c>
      <c r="C63" s="43">
        <v>4936579.16</v>
      </c>
      <c r="D63" s="43">
        <v>18686.05</v>
      </c>
      <c r="E63" s="43">
        <v>14665.75</v>
      </c>
      <c r="F63" s="43">
        <v>14084.06</v>
      </c>
      <c r="G63" s="43">
        <v>3371.68</v>
      </c>
      <c r="H63" s="43">
        <v>292.3</v>
      </c>
      <c r="I63" s="43">
        <v>3358.96</v>
      </c>
      <c r="J63" s="43">
        <v>4900437.37</v>
      </c>
      <c r="K63" s="43">
        <v>50794.82</v>
      </c>
      <c r="L63" s="43">
        <v>42326.93</v>
      </c>
      <c r="M63" s="48">
        <f ca="1">'DCF Calc 3'!Q78</f>
        <v>42327</v>
      </c>
      <c r="N63" s="43">
        <f ca="1">Loan_Level_Results46[[#This Row],[NPV]]-Loan_Level_Results46[[#This Row],[DCF CALC NPV]]</f>
        <v>-6.9999999999708962E-2</v>
      </c>
      <c r="O63" s="43">
        <f>Loan_Level_Results46[[#This Row],[Principal Payment]]+Loan_Level_Results46[[#This Row],[Interest]]</f>
        <v>33351.800000000003</v>
      </c>
    </row>
    <row r="64" spans="1:15" x14ac:dyDescent="0.3">
      <c r="A64" s="45">
        <v>47756</v>
      </c>
      <c r="B64" s="44">
        <v>63</v>
      </c>
      <c r="C64" s="43">
        <v>4900437.37</v>
      </c>
      <c r="D64" s="43">
        <v>19146.53</v>
      </c>
      <c r="E64" s="43">
        <v>14088.76</v>
      </c>
      <c r="F64" s="43">
        <v>13980.95</v>
      </c>
      <c r="G64" s="43">
        <v>3347</v>
      </c>
      <c r="H64" s="43">
        <v>290.16000000000003</v>
      </c>
      <c r="I64" s="43">
        <v>3335.35</v>
      </c>
      <c r="J64" s="43">
        <v>4863962.8899999997</v>
      </c>
      <c r="K64" s="43">
        <v>50551.59</v>
      </c>
      <c r="L64" s="43">
        <v>42002.29</v>
      </c>
      <c r="M64" s="48">
        <f ca="1">'DCF Calc 3'!Q79</f>
        <v>42002.36</v>
      </c>
      <c r="N64" s="43">
        <f ca="1">Loan_Level_Results46[[#This Row],[NPV]]-Loan_Level_Results46[[#This Row],[DCF CALC NPV]]</f>
        <v>-6.9999999999708962E-2</v>
      </c>
      <c r="O64" s="43">
        <f>Loan_Level_Results46[[#This Row],[Principal Payment]]+Loan_Level_Results46[[#This Row],[Interest]]</f>
        <v>33235.29</v>
      </c>
    </row>
    <row r="65" spans="1:15" x14ac:dyDescent="0.3">
      <c r="A65" s="45">
        <v>47787</v>
      </c>
      <c r="B65" s="44">
        <v>64</v>
      </c>
      <c r="C65" s="43">
        <v>4863962.8899999997</v>
      </c>
      <c r="D65" s="43">
        <v>18665.96</v>
      </c>
      <c r="E65" s="43">
        <v>14450.02</v>
      </c>
      <c r="F65" s="43">
        <v>13876.89</v>
      </c>
      <c r="G65" s="43">
        <v>3322.09</v>
      </c>
      <c r="H65" s="43">
        <v>288.01</v>
      </c>
      <c r="I65" s="43">
        <v>3311.51</v>
      </c>
      <c r="J65" s="43">
        <v>4828097.95</v>
      </c>
      <c r="K65" s="43">
        <v>50304.38</v>
      </c>
      <c r="L65" s="43">
        <v>41671.85</v>
      </c>
      <c r="M65" s="48">
        <f ca="1">'DCF Calc 3'!Q80</f>
        <v>41671.919999999998</v>
      </c>
      <c r="N65" s="43">
        <f ca="1">Loan_Level_Results46[[#This Row],[NPV]]-Loan_Level_Results46[[#This Row],[DCF CALC NPV]]</f>
        <v>-6.9999999999708962E-2</v>
      </c>
      <c r="O65" s="43">
        <f>Loan_Level_Results46[[#This Row],[Principal Payment]]+Loan_Level_Results46[[#This Row],[Interest]]</f>
        <v>33115.979999999996</v>
      </c>
    </row>
    <row r="66" spans="1:15" x14ac:dyDescent="0.3">
      <c r="A66" s="45">
        <v>47817</v>
      </c>
      <c r="B66" s="44">
        <v>65</v>
      </c>
      <c r="C66" s="43">
        <v>4828097.95</v>
      </c>
      <c r="D66" s="43">
        <v>19119.5</v>
      </c>
      <c r="E66" s="43">
        <v>13880.78</v>
      </c>
      <c r="F66" s="43">
        <v>13774.56</v>
      </c>
      <c r="G66" s="43">
        <v>3297.59</v>
      </c>
      <c r="H66" s="43">
        <v>285.88</v>
      </c>
      <c r="I66" s="43">
        <v>3288.08</v>
      </c>
      <c r="J66" s="43">
        <v>4791906.3</v>
      </c>
      <c r="K66" s="43">
        <v>50062.92</v>
      </c>
      <c r="L66" s="43">
        <v>41351.760000000002</v>
      </c>
      <c r="M66" s="48">
        <f ca="1">'DCF Calc 3'!Q81</f>
        <v>41351.83</v>
      </c>
      <c r="N66" s="43">
        <f ca="1">Loan_Level_Results46[[#This Row],[NPV]]-Loan_Level_Results46[[#This Row],[DCF CALC NPV]]</f>
        <v>-6.9999999999708962E-2</v>
      </c>
      <c r="O66" s="43">
        <f>Loan_Level_Results46[[#This Row],[Principal Payment]]+Loan_Level_Results46[[#This Row],[Interest]]</f>
        <v>33000.28</v>
      </c>
    </row>
    <row r="67" spans="1:15" x14ac:dyDescent="0.3">
      <c r="A67" s="45">
        <v>47848</v>
      </c>
      <c r="B67" s="44">
        <v>66</v>
      </c>
      <c r="C67" s="43">
        <v>4791906.3</v>
      </c>
      <c r="D67" s="43">
        <v>18645.86</v>
      </c>
      <c r="E67" s="43">
        <v>14235.95</v>
      </c>
      <c r="F67" s="43">
        <v>13671.31</v>
      </c>
      <c r="G67" s="43">
        <v>3272.87</v>
      </c>
      <c r="H67" s="43">
        <v>283.74</v>
      </c>
      <c r="I67" s="43">
        <v>3264.42</v>
      </c>
      <c r="J67" s="43">
        <v>4756316.26</v>
      </c>
      <c r="K67" s="43">
        <v>49817.54</v>
      </c>
      <c r="L67" s="43">
        <v>41025.980000000003</v>
      </c>
      <c r="M67" s="48">
        <f ca="1">'DCF Calc 3'!Q82</f>
        <v>41026.050000000003</v>
      </c>
      <c r="N67" s="43">
        <f ca="1">Loan_Level_Results46[[#This Row],[NPV]]-Loan_Level_Results46[[#This Row],[DCF CALC NPV]]</f>
        <v>-6.9999999999708962E-2</v>
      </c>
      <c r="O67" s="43">
        <f>Loan_Level_Results46[[#This Row],[Principal Payment]]+Loan_Level_Results46[[#This Row],[Interest]]</f>
        <v>32881.81</v>
      </c>
    </row>
    <row r="68" spans="1:15" x14ac:dyDescent="0.3">
      <c r="A68" s="45">
        <v>47879</v>
      </c>
      <c r="B68" s="44">
        <v>67</v>
      </c>
      <c r="C68" s="43">
        <v>4756316.26</v>
      </c>
      <c r="D68" s="43">
        <v>18636.71</v>
      </c>
      <c r="E68" s="43">
        <v>14130.22</v>
      </c>
      <c r="F68" s="43">
        <v>13569.77</v>
      </c>
      <c r="G68" s="43">
        <v>3248.56</v>
      </c>
      <c r="H68" s="43">
        <v>281.63</v>
      </c>
      <c r="I68" s="43">
        <v>3241.18</v>
      </c>
      <c r="J68" s="43">
        <v>4720861.22</v>
      </c>
      <c r="K68" s="43">
        <v>49577.88</v>
      </c>
      <c r="L68" s="43">
        <v>40706.47</v>
      </c>
      <c r="M68" s="48">
        <f ca="1">'DCF Calc 3'!Q83</f>
        <v>40706.54</v>
      </c>
      <c r="N68" s="43">
        <f ca="1">Loan_Level_Results46[[#This Row],[NPV]]-Loan_Level_Results46[[#This Row],[DCF CALC NPV]]</f>
        <v>-6.9999999999708962E-2</v>
      </c>
      <c r="O68" s="43">
        <f>Loan_Level_Results46[[#This Row],[Principal Payment]]+Loan_Level_Results46[[#This Row],[Interest]]</f>
        <v>32766.93</v>
      </c>
    </row>
    <row r="69" spans="1:15" x14ac:dyDescent="0.3">
      <c r="A69" s="45">
        <v>47907</v>
      </c>
      <c r="B69" s="44">
        <v>68</v>
      </c>
      <c r="C69" s="43">
        <v>4720861.22</v>
      </c>
      <c r="D69" s="43">
        <v>19984.8</v>
      </c>
      <c r="E69" s="43">
        <v>12667.64</v>
      </c>
      <c r="F69" s="43">
        <v>13468.62</v>
      </c>
      <c r="G69" s="43">
        <v>3224.35</v>
      </c>
      <c r="H69" s="43">
        <v>279.52999999999997</v>
      </c>
      <c r="I69" s="43">
        <v>3218.02</v>
      </c>
      <c r="J69" s="43">
        <v>4684183.45</v>
      </c>
      <c r="K69" s="43">
        <v>49339.08</v>
      </c>
      <c r="L69" s="43">
        <v>40400.93</v>
      </c>
      <c r="M69" s="48">
        <f ca="1">'DCF Calc 3'!Q84</f>
        <v>40401</v>
      </c>
      <c r="N69" s="43">
        <f ca="1">Loan_Level_Results46[[#This Row],[NPV]]-Loan_Level_Results46[[#This Row],[DCF CALC NPV]]</f>
        <v>-6.9999999999708962E-2</v>
      </c>
      <c r="O69" s="43">
        <f>Loan_Level_Results46[[#This Row],[Principal Payment]]+Loan_Level_Results46[[#This Row],[Interest]]</f>
        <v>32652.44</v>
      </c>
    </row>
    <row r="70" spans="1:15" x14ac:dyDescent="0.3">
      <c r="A70" s="45">
        <v>47938</v>
      </c>
      <c r="B70" s="44">
        <v>69</v>
      </c>
      <c r="C70" s="43">
        <v>4684183.45</v>
      </c>
      <c r="D70" s="43">
        <v>18612.990000000002</v>
      </c>
      <c r="E70" s="43">
        <v>13915.93</v>
      </c>
      <c r="F70" s="43">
        <v>13363.98</v>
      </c>
      <c r="G70" s="43">
        <v>3199.3</v>
      </c>
      <c r="H70" s="43">
        <v>277.36</v>
      </c>
      <c r="I70" s="43">
        <v>3194.01</v>
      </c>
      <c r="J70" s="43">
        <v>4649007.18</v>
      </c>
      <c r="K70" s="43">
        <v>49086.91</v>
      </c>
      <c r="L70" s="43">
        <v>40074.199999999997</v>
      </c>
      <c r="M70" s="48">
        <f ca="1">'DCF Calc 3'!Q85</f>
        <v>40074.269999999997</v>
      </c>
      <c r="N70" s="43">
        <f ca="1">Loan_Level_Results46[[#This Row],[NPV]]-Loan_Level_Results46[[#This Row],[DCF CALC NPV]]</f>
        <v>-6.9999999999708962E-2</v>
      </c>
      <c r="O70" s="43">
        <f>Loan_Level_Results46[[#This Row],[Principal Payment]]+Loan_Level_Results46[[#This Row],[Interest]]</f>
        <v>32528.920000000002</v>
      </c>
    </row>
    <row r="71" spans="1:15" x14ac:dyDescent="0.3">
      <c r="A71" s="45">
        <v>47968</v>
      </c>
      <c r="B71" s="44">
        <v>70</v>
      </c>
      <c r="C71" s="43">
        <v>4649007.18</v>
      </c>
      <c r="D71" s="43">
        <v>19049.36</v>
      </c>
      <c r="E71" s="43">
        <v>13365.9</v>
      </c>
      <c r="F71" s="43">
        <v>13263.62</v>
      </c>
      <c r="G71" s="43">
        <v>3175.27</v>
      </c>
      <c r="H71" s="43">
        <v>275.27999999999997</v>
      </c>
      <c r="I71" s="43">
        <v>3171.03</v>
      </c>
      <c r="J71" s="43">
        <v>4613518.93</v>
      </c>
      <c r="K71" s="43">
        <v>48849.91</v>
      </c>
      <c r="L71" s="43">
        <v>39765.25</v>
      </c>
      <c r="M71" s="48">
        <f ca="1">'DCF Calc 3'!Q86</f>
        <v>39765.32</v>
      </c>
      <c r="N71" s="43">
        <f ca="1">Loan_Level_Results46[[#This Row],[NPV]]-Loan_Level_Results46[[#This Row],[DCF CALC NPV]]</f>
        <v>-6.9999999999708962E-2</v>
      </c>
      <c r="O71" s="43">
        <f>Loan_Level_Results46[[#This Row],[Principal Payment]]+Loan_Level_Results46[[#This Row],[Interest]]</f>
        <v>32415.260000000002</v>
      </c>
    </row>
    <row r="72" spans="1:15" x14ac:dyDescent="0.3">
      <c r="A72" s="45">
        <v>47999</v>
      </c>
      <c r="B72" s="44">
        <v>71</v>
      </c>
      <c r="C72" s="43">
        <v>4613518.93</v>
      </c>
      <c r="D72" s="43">
        <v>18592.87</v>
      </c>
      <c r="E72" s="43">
        <v>13706</v>
      </c>
      <c r="F72" s="43">
        <v>13162.37</v>
      </c>
      <c r="G72" s="43">
        <v>3151.03</v>
      </c>
      <c r="H72" s="43">
        <v>273.18</v>
      </c>
      <c r="I72" s="43">
        <v>3147.84</v>
      </c>
      <c r="J72" s="43">
        <v>4578612.66</v>
      </c>
      <c r="K72" s="43">
        <v>48609.08</v>
      </c>
      <c r="L72" s="43">
        <v>39450.839999999997</v>
      </c>
      <c r="M72" s="48">
        <f ca="1">'DCF Calc 3'!Q87</f>
        <v>39450.910000000003</v>
      </c>
      <c r="N72" s="43">
        <f ca="1">Loan_Level_Results46[[#This Row],[NPV]]-Loan_Level_Results46[[#This Row],[DCF CALC NPV]]</f>
        <v>-7.0000000006984919E-2</v>
      </c>
      <c r="O72" s="43">
        <f>Loan_Level_Results46[[#This Row],[Principal Payment]]+Loan_Level_Results46[[#This Row],[Interest]]</f>
        <v>32298.87</v>
      </c>
    </row>
    <row r="73" spans="1:15" x14ac:dyDescent="0.3">
      <c r="A73" s="45">
        <v>48029</v>
      </c>
      <c r="B73" s="44">
        <v>72</v>
      </c>
      <c r="C73" s="43">
        <v>4578612.66</v>
      </c>
      <c r="D73" s="43">
        <v>19022.5</v>
      </c>
      <c r="E73" s="43">
        <v>13163.51</v>
      </c>
      <c r="F73" s="43">
        <v>13062.78</v>
      </c>
      <c r="G73" s="43">
        <v>3127.19</v>
      </c>
      <c r="H73" s="43">
        <v>271.11</v>
      </c>
      <c r="I73" s="43">
        <v>3125.03</v>
      </c>
      <c r="J73" s="43">
        <v>4543400.1900000004</v>
      </c>
      <c r="K73" s="43">
        <v>48373.82</v>
      </c>
      <c r="L73" s="43">
        <v>39146.239999999998</v>
      </c>
      <c r="M73" s="48">
        <f ca="1">'DCF Calc 3'!Q88</f>
        <v>39146.31</v>
      </c>
      <c r="N73" s="43">
        <f ca="1">Loan_Level_Results46[[#This Row],[NPV]]-Loan_Level_Results46[[#This Row],[DCF CALC NPV]]</f>
        <v>-6.9999999999708962E-2</v>
      </c>
      <c r="O73" s="43">
        <f>Loan_Level_Results46[[#This Row],[Principal Payment]]+Loan_Level_Results46[[#This Row],[Interest]]</f>
        <v>32186.010000000002</v>
      </c>
    </row>
    <row r="74" spans="1:15" x14ac:dyDescent="0.3">
      <c r="A74" s="45">
        <v>48060</v>
      </c>
      <c r="B74" s="44">
        <v>73</v>
      </c>
      <c r="C74" s="43">
        <v>4543400.1900000004</v>
      </c>
      <c r="D74" s="43">
        <v>18572.759999999998</v>
      </c>
      <c r="E74" s="43">
        <v>13497.68</v>
      </c>
      <c r="F74" s="43">
        <v>12962.32</v>
      </c>
      <c r="G74" s="43">
        <v>3103.14</v>
      </c>
      <c r="H74" s="43">
        <v>269.02</v>
      </c>
      <c r="I74" s="43">
        <v>3102.01</v>
      </c>
      <c r="J74" s="43">
        <v>4508761.97</v>
      </c>
      <c r="K74" s="43">
        <v>48134.77</v>
      </c>
      <c r="L74" s="43">
        <v>38836.26</v>
      </c>
      <c r="M74" s="48">
        <f ca="1">'DCF Calc 3'!Q89</f>
        <v>38836.33</v>
      </c>
      <c r="N74" s="43">
        <f ca="1">Loan_Level_Results46[[#This Row],[NPV]]-Loan_Level_Results46[[#This Row],[DCF CALC NPV]]</f>
        <v>-6.9999999999708962E-2</v>
      </c>
      <c r="O74" s="43">
        <f>Loan_Level_Results46[[#This Row],[Principal Payment]]+Loan_Level_Results46[[#This Row],[Interest]]</f>
        <v>32070.44</v>
      </c>
    </row>
    <row r="75" spans="1:15" x14ac:dyDescent="0.3">
      <c r="A75" s="45">
        <v>48091</v>
      </c>
      <c r="B75" s="44">
        <v>74</v>
      </c>
      <c r="C75" s="43">
        <v>4508761.97</v>
      </c>
      <c r="D75" s="43">
        <v>18563.59</v>
      </c>
      <c r="E75" s="43">
        <v>13394.78</v>
      </c>
      <c r="F75" s="43">
        <v>12863.5</v>
      </c>
      <c r="G75" s="43">
        <v>3079.48</v>
      </c>
      <c r="H75" s="43">
        <v>266.97000000000003</v>
      </c>
      <c r="I75" s="43">
        <v>3079.38</v>
      </c>
      <c r="J75" s="43">
        <v>4474255.4000000004</v>
      </c>
      <c r="K75" s="43">
        <v>47901.25</v>
      </c>
      <c r="L75" s="43">
        <v>38532.230000000003</v>
      </c>
      <c r="M75" s="48">
        <f ca="1">'DCF Calc 3'!Q90</f>
        <v>38532.300000000003</v>
      </c>
      <c r="N75" s="43">
        <f ca="1">Loan_Level_Results46[[#This Row],[NPV]]-Loan_Level_Results46[[#This Row],[DCF CALC NPV]]</f>
        <v>-6.9999999999708962E-2</v>
      </c>
      <c r="O75" s="43">
        <f>Loan_Level_Results46[[#This Row],[Principal Payment]]+Loan_Level_Results46[[#This Row],[Interest]]</f>
        <v>31958.370000000003</v>
      </c>
    </row>
    <row r="76" spans="1:15" x14ac:dyDescent="0.3">
      <c r="A76" s="45">
        <v>48121</v>
      </c>
      <c r="B76" s="44">
        <v>75</v>
      </c>
      <c r="C76" s="43">
        <v>4474255.4000000004</v>
      </c>
      <c r="D76" s="43">
        <v>4474255.4000000004</v>
      </c>
      <c r="E76" s="43">
        <v>12863.48</v>
      </c>
      <c r="F76" s="43">
        <v>0</v>
      </c>
      <c r="G76" s="43">
        <v>0</v>
      </c>
      <c r="H76" s="43">
        <v>0</v>
      </c>
      <c r="I76" s="43">
        <v>3056.84</v>
      </c>
      <c r="J76" s="43">
        <v>0</v>
      </c>
      <c r="K76" s="43">
        <v>4490175.72</v>
      </c>
      <c r="L76" s="43">
        <v>3601483.75</v>
      </c>
      <c r="M76" s="48">
        <f ca="1">'DCF Calc 3'!Q91</f>
        <v>3601490.72</v>
      </c>
      <c r="N76" s="43">
        <f ca="1">Loan_Level_Results46[[#This Row],[NPV]]-Loan_Level_Results46[[#This Row],[DCF CALC NPV]]</f>
        <v>-6.970000000204891</v>
      </c>
      <c r="O76" s="43">
        <f>Loan_Level_Results46[[#This Row],[Principal Payment]]+Loan_Level_Results46[[#This Row],[Interest]]</f>
        <v>4487118.8800000008</v>
      </c>
    </row>
    <row r="77" spans="1:15" x14ac:dyDescent="0.3">
      <c r="A77" s="45">
        <v>48152</v>
      </c>
      <c r="B77" s="44">
        <v>76</v>
      </c>
      <c r="C77" s="43">
        <v>0</v>
      </c>
      <c r="D77" s="43">
        <v>0</v>
      </c>
      <c r="E77" s="43">
        <v>0</v>
      </c>
      <c r="F77" s="43">
        <v>0</v>
      </c>
      <c r="G77" s="43">
        <v>0</v>
      </c>
      <c r="H77" s="43">
        <v>0</v>
      </c>
      <c r="I77" s="43">
        <v>3034.08</v>
      </c>
      <c r="J77" s="43">
        <v>0</v>
      </c>
      <c r="K77" s="43">
        <v>3034.08</v>
      </c>
      <c r="L77" s="43">
        <v>2426.61</v>
      </c>
      <c r="M77" s="48">
        <f ca="1">'DCF Calc 3'!Q92</f>
        <v>2426.3000000000002</v>
      </c>
      <c r="N77" s="43">
        <f ca="1">Loan_Level_Results46[[#This Row],[NPV]]-Loan_Level_Results46[[#This Row],[DCF CALC NPV]]</f>
        <v>0.30999999999994543</v>
      </c>
      <c r="O77" s="43">
        <f>Loan_Level_Results46[[#This Row],[Principal Payment]]+Loan_Level_Results46[[#This Row],[Interest]]</f>
        <v>0</v>
      </c>
    </row>
    <row r="78" spans="1:15" x14ac:dyDescent="0.3">
      <c r="A78" s="45">
        <v>48182</v>
      </c>
      <c r="B78" s="44">
        <v>77</v>
      </c>
      <c r="C78" s="43">
        <v>0</v>
      </c>
      <c r="D78" s="43">
        <v>0</v>
      </c>
      <c r="E78" s="43">
        <v>0</v>
      </c>
      <c r="F78" s="43">
        <v>0</v>
      </c>
      <c r="G78" s="43">
        <v>0</v>
      </c>
      <c r="H78" s="43">
        <v>0</v>
      </c>
      <c r="I78" s="43">
        <v>3011.71</v>
      </c>
      <c r="J78" s="43">
        <v>0</v>
      </c>
      <c r="K78" s="43">
        <v>3011.71</v>
      </c>
      <c r="L78" s="43">
        <v>2401.65</v>
      </c>
      <c r="M78" s="48">
        <f ca="1">'DCF Calc 3'!Q93</f>
        <v>2401.44</v>
      </c>
      <c r="N78" s="43">
        <f ca="1">Loan_Level_Results46[[#This Row],[NPV]]-Loan_Level_Results46[[#This Row],[DCF CALC NPV]]</f>
        <v>0.21000000000003638</v>
      </c>
      <c r="O78" s="43">
        <f>Loan_Level_Results46[[#This Row],[Principal Payment]]+Loan_Level_Results46[[#This Row],[Interest]]</f>
        <v>0</v>
      </c>
    </row>
    <row r="79" spans="1:15" x14ac:dyDescent="0.3">
      <c r="A79" s="45">
        <v>48213</v>
      </c>
      <c r="B79" s="44">
        <v>78</v>
      </c>
      <c r="C79" s="43">
        <v>0</v>
      </c>
      <c r="D79" s="43">
        <v>0</v>
      </c>
      <c r="E79" s="43">
        <v>0</v>
      </c>
      <c r="F79" s="43">
        <v>0</v>
      </c>
      <c r="G79" s="43">
        <v>0</v>
      </c>
      <c r="H79" s="43">
        <v>0</v>
      </c>
      <c r="I79" s="43">
        <v>2989.13</v>
      </c>
      <c r="J79" s="43">
        <v>0</v>
      </c>
      <c r="K79" s="43">
        <v>2989.13</v>
      </c>
      <c r="L79" s="43">
        <v>2376.65</v>
      </c>
      <c r="M79" s="48">
        <f ca="1">'DCF Calc 3'!Q94</f>
        <v>2376.31</v>
      </c>
      <c r="N79" s="43">
        <f ca="1">Loan_Level_Results46[[#This Row],[NPV]]-Loan_Level_Results46[[#This Row],[DCF CALC NPV]]</f>
        <v>0.34000000000014552</v>
      </c>
      <c r="O79" s="43">
        <f>Loan_Level_Results46[[#This Row],[Principal Payment]]+Loan_Level_Results46[[#This Row],[Interest]]</f>
        <v>0</v>
      </c>
    </row>
    <row r="80" spans="1:15" x14ac:dyDescent="0.3">
      <c r="A80" s="45">
        <v>48244</v>
      </c>
      <c r="B80" s="44">
        <v>79</v>
      </c>
      <c r="C80" s="43">
        <v>0</v>
      </c>
      <c r="D80" s="43">
        <v>0</v>
      </c>
      <c r="E80" s="43">
        <v>0</v>
      </c>
      <c r="F80" s="43">
        <v>0</v>
      </c>
      <c r="G80" s="43">
        <v>0</v>
      </c>
      <c r="H80" s="43">
        <v>0</v>
      </c>
      <c r="I80" s="43">
        <v>2966.93</v>
      </c>
      <c r="J80" s="43">
        <v>0</v>
      </c>
      <c r="K80" s="43">
        <v>2966.93</v>
      </c>
      <c r="L80" s="43">
        <v>2352.0700000000002</v>
      </c>
      <c r="M80" s="48">
        <f ca="1">'DCF Calc 3'!Q95</f>
        <v>2351.6</v>
      </c>
      <c r="N80" s="43">
        <f ca="1">Loan_Level_Results46[[#This Row],[NPV]]-Loan_Level_Results46[[#This Row],[DCF CALC NPV]]</f>
        <v>0.47000000000025466</v>
      </c>
      <c r="O80" s="43">
        <f>Loan_Level_Results46[[#This Row],[Principal Payment]]+Loan_Level_Results46[[#This Row],[Interest]]</f>
        <v>0</v>
      </c>
    </row>
    <row r="81" spans="1:15" x14ac:dyDescent="0.3">
      <c r="A81" s="45">
        <v>48273</v>
      </c>
      <c r="B81" s="44">
        <v>80</v>
      </c>
      <c r="C81" s="43">
        <v>0</v>
      </c>
      <c r="D81" s="43">
        <v>0</v>
      </c>
      <c r="E81" s="43">
        <v>0</v>
      </c>
      <c r="F81" s="43">
        <v>0</v>
      </c>
      <c r="G81" s="43">
        <v>0</v>
      </c>
      <c r="H81" s="43">
        <v>0</v>
      </c>
      <c r="I81" s="43">
        <v>2944.82</v>
      </c>
      <c r="J81" s="43">
        <v>0</v>
      </c>
      <c r="K81" s="43">
        <v>2944.82</v>
      </c>
      <c r="L81" s="43">
        <v>2327.69</v>
      </c>
      <c r="M81" s="48">
        <f ca="1">'DCF Calc 3'!Q96</f>
        <v>2327.77</v>
      </c>
      <c r="N81" s="43">
        <f ca="1">Loan_Level_Results46[[#This Row],[NPV]]-Loan_Level_Results46[[#This Row],[DCF CALC NPV]]</f>
        <v>-7.999999999992724E-2</v>
      </c>
      <c r="O81" s="43">
        <f>Loan_Level_Results46[[#This Row],[Principal Payment]]+Loan_Level_Results46[[#This Row],[Interest]]</f>
        <v>0</v>
      </c>
    </row>
    <row r="82" spans="1:15" x14ac:dyDescent="0.3">
      <c r="A82" s="45">
        <v>48304</v>
      </c>
      <c r="B82" s="44">
        <v>81</v>
      </c>
      <c r="C82" s="43">
        <v>0</v>
      </c>
      <c r="D82" s="43">
        <v>0</v>
      </c>
      <c r="E82" s="43">
        <v>0</v>
      </c>
      <c r="F82" s="43">
        <v>0</v>
      </c>
      <c r="G82" s="43">
        <v>0</v>
      </c>
      <c r="H82" s="43">
        <v>0</v>
      </c>
      <c r="I82" s="43">
        <v>2921.94</v>
      </c>
      <c r="J82" s="43">
        <v>0</v>
      </c>
      <c r="K82" s="43">
        <v>2921.94</v>
      </c>
      <c r="L82" s="43">
        <v>2302.8200000000002</v>
      </c>
      <c r="M82" s="48">
        <f ca="1">'DCF Calc 3'!Q97</f>
        <v>2302.77</v>
      </c>
      <c r="N82" s="43">
        <f ca="1">Loan_Level_Results46[[#This Row],[NPV]]-Loan_Level_Results46[[#This Row],[DCF CALC NPV]]</f>
        <v>5.0000000000181899E-2</v>
      </c>
      <c r="O82" s="43">
        <f>Loan_Level_Results46[[#This Row],[Principal Payment]]+Loan_Level_Results46[[#This Row],[Interest]]</f>
        <v>0</v>
      </c>
    </row>
    <row r="83" spans="1:15" x14ac:dyDescent="0.3">
      <c r="A83" s="45">
        <v>48334</v>
      </c>
      <c r="B83" s="44">
        <v>82</v>
      </c>
      <c r="C83" s="43">
        <v>0</v>
      </c>
      <c r="D83" s="43">
        <v>0</v>
      </c>
      <c r="E83" s="43">
        <v>0</v>
      </c>
      <c r="F83" s="43">
        <v>0</v>
      </c>
      <c r="G83" s="43">
        <v>0</v>
      </c>
      <c r="H83" s="43">
        <v>0</v>
      </c>
      <c r="I83" s="43">
        <v>2899.99</v>
      </c>
      <c r="J83" s="43">
        <v>0</v>
      </c>
      <c r="K83" s="43">
        <v>2899.99</v>
      </c>
      <c r="L83" s="43">
        <v>2278.8200000000002</v>
      </c>
      <c r="M83" s="48">
        <f ca="1">'DCF Calc 3'!Q98</f>
        <v>2278.86</v>
      </c>
      <c r="N83" s="43">
        <f ca="1">Loan_Level_Results46[[#This Row],[NPV]]-Loan_Level_Results46[[#This Row],[DCF CALC NPV]]</f>
        <v>-3.999999999996362E-2</v>
      </c>
      <c r="O83" s="43">
        <f>Loan_Level_Results46[[#This Row],[Principal Payment]]+Loan_Level_Results46[[#This Row],[Interest]]</f>
        <v>0</v>
      </c>
    </row>
    <row r="84" spans="1:15" x14ac:dyDescent="0.3">
      <c r="A84" s="45">
        <v>48365</v>
      </c>
      <c r="B84" s="44">
        <v>83</v>
      </c>
      <c r="C84" s="43">
        <v>0</v>
      </c>
      <c r="D84" s="43">
        <v>0</v>
      </c>
      <c r="E84" s="43">
        <v>0</v>
      </c>
      <c r="F84" s="43">
        <v>0</v>
      </c>
      <c r="G84" s="43">
        <v>0</v>
      </c>
      <c r="H84" s="43">
        <v>0</v>
      </c>
      <c r="I84" s="43">
        <v>2877.85</v>
      </c>
      <c r="J84" s="43">
        <v>0</v>
      </c>
      <c r="K84" s="43">
        <v>2877.85</v>
      </c>
      <c r="L84" s="43">
        <v>2254.7800000000002</v>
      </c>
      <c r="M84" s="48">
        <f ca="1">'DCF Calc 3'!Q99</f>
        <v>2254.6999999999998</v>
      </c>
      <c r="N84" s="43">
        <f ca="1">Loan_Level_Results46[[#This Row],[NPV]]-Loan_Level_Results46[[#This Row],[DCF CALC NPV]]</f>
        <v>8.0000000000381988E-2</v>
      </c>
      <c r="O84" s="43">
        <f>Loan_Level_Results46[[#This Row],[Principal Payment]]+Loan_Level_Results46[[#This Row],[Interest]]</f>
        <v>0</v>
      </c>
    </row>
    <row r="85" spans="1:15" x14ac:dyDescent="0.3">
      <c r="A85" s="45">
        <v>48395</v>
      </c>
      <c r="B85" s="44">
        <v>84</v>
      </c>
      <c r="C85" s="43">
        <v>0</v>
      </c>
      <c r="D85" s="43">
        <v>0</v>
      </c>
      <c r="E85" s="43">
        <v>0</v>
      </c>
      <c r="F85" s="43">
        <v>0</v>
      </c>
      <c r="G85" s="43">
        <v>0</v>
      </c>
      <c r="H85" s="43">
        <v>0</v>
      </c>
      <c r="I85" s="43">
        <v>2856.08</v>
      </c>
      <c r="J85" s="43">
        <v>0</v>
      </c>
      <c r="K85" s="43">
        <v>2856.08</v>
      </c>
      <c r="L85" s="43">
        <v>2231.16</v>
      </c>
      <c r="M85" s="48">
        <f ca="1">'DCF Calc 3'!Q100</f>
        <v>2231.16</v>
      </c>
      <c r="N85" s="43">
        <f ca="1">Loan_Level_Results46[[#This Row],[NPV]]-Loan_Level_Results46[[#This Row],[DCF CALC NPV]]</f>
        <v>0</v>
      </c>
      <c r="O85" s="43">
        <f>Loan_Level_Results46[[#This Row],[Principal Payment]]+Loan_Level_Results46[[#This Row],[Interest]]</f>
        <v>0</v>
      </c>
    </row>
    <row r="86" spans="1:15" x14ac:dyDescent="0.3">
      <c r="A86" s="45">
        <v>48426</v>
      </c>
      <c r="B86" s="44">
        <v>85</v>
      </c>
      <c r="C86" s="43">
        <v>0</v>
      </c>
      <c r="D86" s="43">
        <v>0</v>
      </c>
      <c r="E86" s="43">
        <v>0</v>
      </c>
      <c r="F86" s="43">
        <v>0</v>
      </c>
      <c r="G86" s="43">
        <v>0</v>
      </c>
      <c r="H86" s="43">
        <v>0</v>
      </c>
      <c r="I86" s="43">
        <v>2834.12</v>
      </c>
      <c r="J86" s="43">
        <v>0</v>
      </c>
      <c r="K86" s="43">
        <v>2834.12</v>
      </c>
      <c r="L86" s="43">
        <v>2207.5</v>
      </c>
      <c r="M86" s="48">
        <f ca="1">'DCF Calc 3'!Q101</f>
        <v>2207.38</v>
      </c>
      <c r="N86" s="43">
        <f ca="1">Loan_Level_Results46[[#This Row],[NPV]]-Loan_Level_Results46[[#This Row],[DCF CALC NPV]]</f>
        <v>0.11999999999989086</v>
      </c>
      <c r="O86" s="43">
        <f>Loan_Level_Results46[[#This Row],[Principal Payment]]+Loan_Level_Results46[[#This Row],[Interest]]</f>
        <v>0</v>
      </c>
    </row>
    <row r="87" spans="1:15" x14ac:dyDescent="0.3">
      <c r="A87" s="45">
        <v>48457</v>
      </c>
      <c r="B87" s="44">
        <v>86</v>
      </c>
      <c r="C87" s="43">
        <v>0</v>
      </c>
      <c r="D87" s="43">
        <v>0</v>
      </c>
      <c r="E87" s="43">
        <v>0</v>
      </c>
      <c r="F87" s="43">
        <v>0</v>
      </c>
      <c r="G87" s="43">
        <v>0</v>
      </c>
      <c r="H87" s="43">
        <v>0</v>
      </c>
      <c r="I87" s="43">
        <v>2812.51</v>
      </c>
      <c r="J87" s="43">
        <v>0</v>
      </c>
      <c r="K87" s="43">
        <v>2812.51</v>
      </c>
      <c r="L87" s="43">
        <v>2184.2399999999998</v>
      </c>
      <c r="M87" s="48">
        <f ca="1">'DCF Calc 3'!Q102</f>
        <v>2184</v>
      </c>
      <c r="N87" s="43">
        <f ca="1">Loan_Level_Results46[[#This Row],[NPV]]-Loan_Level_Results46[[#This Row],[DCF CALC NPV]]</f>
        <v>0.23999999999978172</v>
      </c>
      <c r="O87" s="43">
        <f>Loan_Level_Results46[[#This Row],[Principal Payment]]+Loan_Level_Results46[[#This Row],[Interest]]</f>
        <v>0</v>
      </c>
    </row>
    <row r="88" spans="1:15" x14ac:dyDescent="0.3">
      <c r="A88" s="45">
        <v>48487</v>
      </c>
      <c r="B88" s="44">
        <v>87</v>
      </c>
      <c r="C88" s="43">
        <v>4792077.53</v>
      </c>
      <c r="D88" s="43">
        <v>15038.14</v>
      </c>
      <c r="E88" s="43">
        <v>26959.43</v>
      </c>
      <c r="F88" s="43">
        <v>13671.8</v>
      </c>
      <c r="G88" s="43">
        <v>3272.99</v>
      </c>
      <c r="H88" s="43">
        <v>283.75</v>
      </c>
      <c r="I88" s="43">
        <v>3229.84</v>
      </c>
      <c r="J88" s="43">
        <v>4760094.5999999996</v>
      </c>
      <c r="K88" s="43">
        <v>58899.21</v>
      </c>
      <c r="L88" s="43">
        <v>35695.47</v>
      </c>
      <c r="M88" s="48">
        <f ca="1">'DCF Calc 3'!Q103</f>
        <v>0</v>
      </c>
      <c r="N88" s="43">
        <f ca="1">Loan_Level_Results46[[#This Row],[NPV]]-Loan_Level_Results46[[#This Row],[DCF CALC NPV]]</f>
        <v>35695.47</v>
      </c>
      <c r="O88" s="43">
        <f>Loan_Level_Results46[[#This Row],[Principal Payment]]+Loan_Level_Results46[[#This Row],[Interest]]</f>
        <v>41997.57</v>
      </c>
    </row>
    <row r="89" spans="1:15" x14ac:dyDescent="0.3">
      <c r="A89" s="45">
        <v>48518</v>
      </c>
      <c r="B89" s="44">
        <v>88</v>
      </c>
      <c r="C89" s="43">
        <v>4760094.5999999996</v>
      </c>
      <c r="D89" s="43">
        <v>14173.17</v>
      </c>
      <c r="E89" s="43">
        <v>27672.15</v>
      </c>
      <c r="F89" s="43">
        <v>13580.55</v>
      </c>
      <c r="G89" s="43">
        <v>3251.14</v>
      </c>
      <c r="H89" s="43">
        <v>281.85000000000002</v>
      </c>
      <c r="I89" s="43">
        <v>3209.25</v>
      </c>
      <c r="J89" s="43">
        <v>4729089.74</v>
      </c>
      <c r="K89" s="43">
        <v>58635.12</v>
      </c>
      <c r="L89" s="43">
        <v>35327.61</v>
      </c>
      <c r="M89" s="48">
        <f ca="1">'DCF Calc 3'!Q104</f>
        <v>0</v>
      </c>
      <c r="N89" s="43">
        <f ca="1">Loan_Level_Results46[[#This Row],[NPV]]-Loan_Level_Results46[[#This Row],[DCF CALC NPV]]</f>
        <v>35327.61</v>
      </c>
      <c r="O89" s="43">
        <f>Loan_Level_Results46[[#This Row],[Principal Payment]]+Loan_Level_Results46[[#This Row],[Interest]]</f>
        <v>41845.32</v>
      </c>
    </row>
    <row r="90" spans="1:15" x14ac:dyDescent="0.3">
      <c r="A90" s="45">
        <v>48548</v>
      </c>
      <c r="B90" s="44">
        <v>89</v>
      </c>
      <c r="C90" s="43">
        <v>4729089.74</v>
      </c>
      <c r="D90" s="43">
        <v>15096.42</v>
      </c>
      <c r="E90" s="43">
        <v>26605.07</v>
      </c>
      <c r="F90" s="43">
        <v>13492.09</v>
      </c>
      <c r="G90" s="43">
        <v>3229.97</v>
      </c>
      <c r="H90" s="43">
        <v>280.02</v>
      </c>
      <c r="I90" s="43">
        <v>3189.32</v>
      </c>
      <c r="J90" s="43">
        <v>4697271.26</v>
      </c>
      <c r="K90" s="43">
        <v>58382.9</v>
      </c>
      <c r="L90" s="43">
        <v>34976.559999999998</v>
      </c>
      <c r="M90" s="48">
        <f ca="1">'DCF Calc 3'!Q105</f>
        <v>0</v>
      </c>
      <c r="N90" s="43">
        <f ca="1">Loan_Level_Results46[[#This Row],[NPV]]-Loan_Level_Results46[[#This Row],[DCF CALC NPV]]</f>
        <v>34976.559999999998</v>
      </c>
      <c r="O90" s="43">
        <f>Loan_Level_Results46[[#This Row],[Principal Payment]]+Loan_Level_Results46[[#This Row],[Interest]]</f>
        <v>41701.49</v>
      </c>
    </row>
    <row r="91" spans="1:15" x14ac:dyDescent="0.3">
      <c r="A91" s="45">
        <v>48579</v>
      </c>
      <c r="B91" s="44">
        <v>90</v>
      </c>
      <c r="C91" s="43">
        <v>4697271.26</v>
      </c>
      <c r="D91" s="43">
        <v>14243.37</v>
      </c>
      <c r="E91" s="43">
        <v>27306.93</v>
      </c>
      <c r="F91" s="43">
        <v>13401.31</v>
      </c>
      <c r="G91" s="43">
        <v>3208.24</v>
      </c>
      <c r="H91" s="43">
        <v>278.14</v>
      </c>
      <c r="I91" s="43">
        <v>3168.83</v>
      </c>
      <c r="J91" s="43">
        <v>4666418.34</v>
      </c>
      <c r="K91" s="43">
        <v>58120.44</v>
      </c>
      <c r="L91" s="43">
        <v>34615.699999999997</v>
      </c>
      <c r="M91" s="48">
        <f ca="1">'DCF Calc 3'!Q106</f>
        <v>0</v>
      </c>
      <c r="N91" s="43">
        <f ca="1">Loan_Level_Results46[[#This Row],[NPV]]-Loan_Level_Results46[[#This Row],[DCF CALC NPV]]</f>
        <v>34615.699999999997</v>
      </c>
      <c r="O91" s="43">
        <f>Loan_Level_Results46[[#This Row],[Principal Payment]]+Loan_Level_Results46[[#This Row],[Interest]]</f>
        <v>41550.300000000003</v>
      </c>
    </row>
    <row r="92" spans="1:15" x14ac:dyDescent="0.3">
      <c r="A92" s="45">
        <v>48610</v>
      </c>
      <c r="B92" s="44">
        <v>91</v>
      </c>
      <c r="C92" s="43">
        <v>4666418.34</v>
      </c>
      <c r="D92" s="43">
        <v>14279.91</v>
      </c>
      <c r="E92" s="43">
        <v>27127.57</v>
      </c>
      <c r="F92" s="43">
        <v>13313.29</v>
      </c>
      <c r="G92" s="43">
        <v>3187.16</v>
      </c>
      <c r="H92" s="43">
        <v>276.31</v>
      </c>
      <c r="I92" s="43">
        <v>3149.01</v>
      </c>
      <c r="J92" s="43">
        <v>4635637.9800000004</v>
      </c>
      <c r="K92" s="43">
        <v>57869.78</v>
      </c>
      <c r="L92" s="43">
        <v>34264.86</v>
      </c>
      <c r="M92" s="48">
        <f ca="1">'DCF Calc 3'!Q107</f>
        <v>0</v>
      </c>
      <c r="N92" s="43">
        <f ca="1">Loan_Level_Results46[[#This Row],[NPV]]-Loan_Level_Results46[[#This Row],[DCF CALC NPV]]</f>
        <v>34264.86</v>
      </c>
      <c r="O92" s="43">
        <f>Loan_Level_Results46[[#This Row],[Principal Payment]]+Loan_Level_Results46[[#This Row],[Interest]]</f>
        <v>41407.479999999996</v>
      </c>
    </row>
    <row r="93" spans="1:15" x14ac:dyDescent="0.3">
      <c r="A93" s="45">
        <v>48638</v>
      </c>
      <c r="B93" s="44">
        <v>92</v>
      </c>
      <c r="C93" s="43">
        <v>4635637.9800000004</v>
      </c>
      <c r="D93" s="43">
        <v>16924.439999999999</v>
      </c>
      <c r="E93" s="43">
        <v>24340.7</v>
      </c>
      <c r="F93" s="43">
        <v>13225.48</v>
      </c>
      <c r="G93" s="43">
        <v>3166.14</v>
      </c>
      <c r="H93" s="43">
        <v>274.49</v>
      </c>
      <c r="I93" s="43">
        <v>3129.22</v>
      </c>
      <c r="J93" s="43">
        <v>4602321.92</v>
      </c>
      <c r="K93" s="43">
        <v>57619.839999999997</v>
      </c>
      <c r="L93" s="43">
        <v>33936.61</v>
      </c>
      <c r="M93" s="48">
        <f ca="1">'DCF Calc 3'!Q108</f>
        <v>0</v>
      </c>
      <c r="N93" s="43">
        <f ca="1">Loan_Level_Results46[[#This Row],[NPV]]-Loan_Level_Results46[[#This Row],[DCF CALC NPV]]</f>
        <v>33936.61</v>
      </c>
      <c r="O93" s="43">
        <f>Loan_Level_Results46[[#This Row],[Principal Payment]]+Loan_Level_Results46[[#This Row],[Interest]]</f>
        <v>41265.14</v>
      </c>
    </row>
    <row r="94" spans="1:15" x14ac:dyDescent="0.3">
      <c r="A94" s="45">
        <v>48669</v>
      </c>
      <c r="B94" s="44">
        <v>93</v>
      </c>
      <c r="C94" s="43">
        <v>4602321.92</v>
      </c>
      <c r="D94" s="43">
        <v>14345.04</v>
      </c>
      <c r="E94" s="43">
        <v>26754.959999999999</v>
      </c>
      <c r="F94" s="43">
        <v>13130.42</v>
      </c>
      <c r="G94" s="43">
        <v>3143.39</v>
      </c>
      <c r="H94" s="43">
        <v>272.51</v>
      </c>
      <c r="I94" s="43">
        <v>3107.72</v>
      </c>
      <c r="J94" s="43">
        <v>4571703.07</v>
      </c>
      <c r="K94" s="43">
        <v>57338.14</v>
      </c>
      <c r="L94" s="43">
        <v>33573.21</v>
      </c>
      <c r="M94" s="48">
        <f ca="1">'DCF Calc 3'!Q109</f>
        <v>0</v>
      </c>
      <c r="N94" s="43">
        <f ca="1">Loan_Level_Results46[[#This Row],[NPV]]-Loan_Level_Results46[[#This Row],[DCF CALC NPV]]</f>
        <v>33573.21</v>
      </c>
      <c r="O94" s="43">
        <f>Loan_Level_Results46[[#This Row],[Principal Payment]]+Loan_Level_Results46[[#This Row],[Interest]]</f>
        <v>41100</v>
      </c>
    </row>
    <row r="95" spans="1:15" x14ac:dyDescent="0.3">
      <c r="A95" s="45">
        <v>48699</v>
      </c>
      <c r="B95" s="44">
        <v>94</v>
      </c>
      <c r="C95" s="43">
        <v>4571703.07</v>
      </c>
      <c r="D95" s="43">
        <v>15239.07</v>
      </c>
      <c r="E95" s="43">
        <v>25719.64</v>
      </c>
      <c r="F95" s="43">
        <v>13043.07</v>
      </c>
      <c r="G95" s="43">
        <v>3122.47</v>
      </c>
      <c r="H95" s="43">
        <v>270.7</v>
      </c>
      <c r="I95" s="43">
        <v>3088.05</v>
      </c>
      <c r="J95" s="43">
        <v>4540298.46</v>
      </c>
      <c r="K95" s="43">
        <v>57089.83</v>
      </c>
      <c r="L95" s="43">
        <v>33238.620000000003</v>
      </c>
      <c r="M95" s="48">
        <f ca="1">'DCF Calc 3'!Q110</f>
        <v>0</v>
      </c>
      <c r="N95" s="43">
        <f ca="1">Loan_Level_Results46[[#This Row],[NPV]]-Loan_Level_Results46[[#This Row],[DCF CALC NPV]]</f>
        <v>33238.620000000003</v>
      </c>
      <c r="O95" s="43">
        <f>Loan_Level_Results46[[#This Row],[Principal Payment]]+Loan_Level_Results46[[#This Row],[Interest]]</f>
        <v>40958.71</v>
      </c>
    </row>
    <row r="96" spans="1:15" x14ac:dyDescent="0.3">
      <c r="A96" s="45">
        <v>48730</v>
      </c>
      <c r="B96" s="44">
        <v>95</v>
      </c>
      <c r="C96" s="43">
        <v>4540298.46</v>
      </c>
      <c r="D96" s="43">
        <v>14415.81</v>
      </c>
      <c r="E96" s="43">
        <v>26394.39</v>
      </c>
      <c r="F96" s="43">
        <v>12953.47</v>
      </c>
      <c r="G96" s="43">
        <v>3101.02</v>
      </c>
      <c r="H96" s="43">
        <v>268.83999999999997</v>
      </c>
      <c r="I96" s="43">
        <v>3067.84</v>
      </c>
      <c r="J96" s="43">
        <v>4509828.16</v>
      </c>
      <c r="K96" s="43">
        <v>56831.51</v>
      </c>
      <c r="L96" s="43">
        <v>32894.720000000001</v>
      </c>
      <c r="M96" s="48">
        <f ca="1">'DCF Calc 3'!Q111</f>
        <v>0</v>
      </c>
      <c r="N96" s="43">
        <f ca="1">Loan_Level_Results46[[#This Row],[NPV]]-Loan_Level_Results46[[#This Row],[DCF CALC NPV]]</f>
        <v>32894.720000000001</v>
      </c>
      <c r="O96" s="43">
        <f>Loan_Level_Results46[[#This Row],[Principal Payment]]+Loan_Level_Results46[[#This Row],[Interest]]</f>
        <v>40810.199999999997</v>
      </c>
    </row>
    <row r="97" spans="1:15" x14ac:dyDescent="0.3">
      <c r="A97" s="45">
        <v>48760</v>
      </c>
      <c r="B97" s="44">
        <v>96</v>
      </c>
      <c r="C97" s="43">
        <v>4509828.16</v>
      </c>
      <c r="D97" s="43">
        <v>15298.35</v>
      </c>
      <c r="E97" s="43">
        <v>25371.54</v>
      </c>
      <c r="F97" s="43">
        <v>12866.54</v>
      </c>
      <c r="G97" s="43">
        <v>3080.21</v>
      </c>
      <c r="H97" s="43">
        <v>267.04000000000002</v>
      </c>
      <c r="I97" s="43">
        <v>3048.26</v>
      </c>
      <c r="J97" s="43">
        <v>4478583.0599999996</v>
      </c>
      <c r="K97" s="43">
        <v>56584.69</v>
      </c>
      <c r="L97" s="43">
        <v>32566.49</v>
      </c>
      <c r="M97" s="48">
        <f ca="1">'DCF Calc 3'!Q112</f>
        <v>0</v>
      </c>
      <c r="N97" s="43">
        <f ca="1">Loan_Level_Results46[[#This Row],[NPV]]-Loan_Level_Results46[[#This Row],[DCF CALC NPV]]</f>
        <v>32566.49</v>
      </c>
      <c r="O97" s="43">
        <f>Loan_Level_Results46[[#This Row],[Principal Payment]]+Loan_Level_Results46[[#This Row],[Interest]]</f>
        <v>40669.89</v>
      </c>
    </row>
    <row r="98" spans="1:15" x14ac:dyDescent="0.3">
      <c r="A98" s="45">
        <v>48791</v>
      </c>
      <c r="B98" s="44">
        <v>97</v>
      </c>
      <c r="C98" s="43">
        <v>4478583.0599999996</v>
      </c>
      <c r="D98" s="43">
        <v>14486.8</v>
      </c>
      <c r="E98" s="43">
        <v>26035.62</v>
      </c>
      <c r="F98" s="43">
        <v>12777.4</v>
      </c>
      <c r="G98" s="43">
        <v>3058.87</v>
      </c>
      <c r="H98" s="43">
        <v>265.19</v>
      </c>
      <c r="I98" s="43">
        <v>3028.16</v>
      </c>
      <c r="J98" s="43">
        <v>4448259.99</v>
      </c>
      <c r="K98" s="43">
        <v>56327.98</v>
      </c>
      <c r="L98" s="43">
        <v>32229.16</v>
      </c>
      <c r="M98" s="48">
        <f ca="1">'DCF Calc 3'!Q113</f>
        <v>0</v>
      </c>
      <c r="N98" s="43">
        <f ca="1">Loan_Level_Results46[[#This Row],[NPV]]-Loan_Level_Results46[[#This Row],[DCF CALC NPV]]</f>
        <v>32229.16</v>
      </c>
      <c r="O98" s="43">
        <f>Loan_Level_Results46[[#This Row],[Principal Payment]]+Loan_Level_Results46[[#This Row],[Interest]]</f>
        <v>40522.42</v>
      </c>
    </row>
    <row r="99" spans="1:15" x14ac:dyDescent="0.3">
      <c r="A99" s="45">
        <v>48822</v>
      </c>
      <c r="B99" s="44">
        <v>98</v>
      </c>
      <c r="C99" s="43">
        <v>4448259.99</v>
      </c>
      <c r="D99" s="43">
        <v>14523.76</v>
      </c>
      <c r="E99" s="43">
        <v>25859.34</v>
      </c>
      <c r="F99" s="43">
        <v>12690.89</v>
      </c>
      <c r="G99" s="43">
        <v>3038.16</v>
      </c>
      <c r="H99" s="43">
        <v>263.39</v>
      </c>
      <c r="I99" s="43">
        <v>3008.68</v>
      </c>
      <c r="J99" s="43">
        <v>4418007.18</v>
      </c>
      <c r="K99" s="43">
        <v>56082.67</v>
      </c>
      <c r="L99" s="43">
        <v>31901.15</v>
      </c>
      <c r="M99" s="48">
        <f ca="1">'DCF Calc 3'!Q114</f>
        <v>0</v>
      </c>
      <c r="N99" s="43">
        <f ca="1">Loan_Level_Results46[[#This Row],[NPV]]-Loan_Level_Results46[[#This Row],[DCF CALC NPV]]</f>
        <v>31901.15</v>
      </c>
      <c r="O99" s="43">
        <f>Loan_Level_Results46[[#This Row],[Principal Payment]]+Loan_Level_Results46[[#This Row],[Interest]]</f>
        <v>40383.1</v>
      </c>
    </row>
    <row r="100" spans="1:15" x14ac:dyDescent="0.3">
      <c r="A100" s="45">
        <v>48852</v>
      </c>
      <c r="B100" s="44">
        <v>99</v>
      </c>
      <c r="C100" s="43">
        <v>4418007.18</v>
      </c>
      <c r="D100" s="43">
        <v>15389.28</v>
      </c>
      <c r="E100" s="43">
        <v>24854.97</v>
      </c>
      <c r="F100" s="43">
        <v>12604.57</v>
      </c>
      <c r="G100" s="43">
        <v>3017.5</v>
      </c>
      <c r="H100" s="43">
        <v>261.60000000000002</v>
      </c>
      <c r="I100" s="43">
        <v>2989.24</v>
      </c>
      <c r="J100" s="43">
        <v>4386995.83</v>
      </c>
      <c r="K100" s="43">
        <v>55838.06</v>
      </c>
      <c r="L100" s="43">
        <v>31582.240000000002</v>
      </c>
      <c r="M100" s="48">
        <f ca="1">'DCF Calc 3'!Q115</f>
        <v>0</v>
      </c>
      <c r="N100" s="43">
        <f ca="1">Loan_Level_Results46[[#This Row],[NPV]]-Loan_Level_Results46[[#This Row],[DCF CALC NPV]]</f>
        <v>31582.240000000002</v>
      </c>
      <c r="O100" s="43">
        <f>Loan_Level_Results46[[#This Row],[Principal Payment]]+Loan_Level_Results46[[#This Row],[Interest]]</f>
        <v>40244.25</v>
      </c>
    </row>
    <row r="101" spans="1:15" x14ac:dyDescent="0.3">
      <c r="A101" s="45">
        <v>48883</v>
      </c>
      <c r="B101" s="44">
        <v>100</v>
      </c>
      <c r="C101" s="43">
        <v>4386995.83</v>
      </c>
      <c r="D101" s="43">
        <v>14595.12</v>
      </c>
      <c r="E101" s="43">
        <v>25503.19</v>
      </c>
      <c r="F101" s="43">
        <v>12516.1</v>
      </c>
      <c r="G101" s="43">
        <v>2996.32</v>
      </c>
      <c r="H101" s="43">
        <v>259.76</v>
      </c>
      <c r="I101" s="43">
        <v>2969.29</v>
      </c>
      <c r="J101" s="43">
        <v>4356888.29</v>
      </c>
      <c r="K101" s="43">
        <v>55583.7</v>
      </c>
      <c r="L101" s="43">
        <v>31254.53</v>
      </c>
      <c r="M101" s="48">
        <f ca="1">'DCF Calc 3'!Q116</f>
        <v>0</v>
      </c>
      <c r="N101" s="43">
        <f ca="1">Loan_Level_Results46[[#This Row],[NPV]]-Loan_Level_Results46[[#This Row],[DCF CALC NPV]]</f>
        <v>31254.53</v>
      </c>
      <c r="O101" s="43">
        <f>Loan_Level_Results46[[#This Row],[Principal Payment]]+Loan_Level_Results46[[#This Row],[Interest]]</f>
        <v>40098.31</v>
      </c>
    </row>
    <row r="102" spans="1:15" x14ac:dyDescent="0.3">
      <c r="A102" s="45">
        <v>48913</v>
      </c>
      <c r="B102" s="44">
        <v>101</v>
      </c>
      <c r="C102" s="43">
        <v>4356888.29</v>
      </c>
      <c r="D102" s="43">
        <v>15449.3</v>
      </c>
      <c r="E102" s="43">
        <v>24511.13</v>
      </c>
      <c r="F102" s="43">
        <v>12430.2</v>
      </c>
      <c r="G102" s="43">
        <v>2975.75</v>
      </c>
      <c r="H102" s="43">
        <v>257.98</v>
      </c>
      <c r="I102" s="43">
        <v>2949.95</v>
      </c>
      <c r="J102" s="43">
        <v>4326033.04</v>
      </c>
      <c r="K102" s="43">
        <v>55340.58</v>
      </c>
      <c r="L102" s="43">
        <v>30941.7</v>
      </c>
      <c r="M102" s="48">
        <f ca="1">'DCF Calc 3'!Q117</f>
        <v>0</v>
      </c>
      <c r="N102" s="43">
        <f ca="1">Loan_Level_Results46[[#This Row],[NPV]]-Loan_Level_Results46[[#This Row],[DCF CALC NPV]]</f>
        <v>30941.7</v>
      </c>
      <c r="O102" s="43">
        <f>Loan_Level_Results46[[#This Row],[Principal Payment]]+Loan_Level_Results46[[#This Row],[Interest]]</f>
        <v>39960.43</v>
      </c>
    </row>
    <row r="103" spans="1:15" x14ac:dyDescent="0.3">
      <c r="A103" s="45">
        <v>48944</v>
      </c>
      <c r="B103" s="44">
        <v>102</v>
      </c>
      <c r="C103" s="43">
        <v>4326033.04</v>
      </c>
      <c r="D103" s="43">
        <v>14666.72</v>
      </c>
      <c r="E103" s="43">
        <v>25148.79</v>
      </c>
      <c r="F103" s="43">
        <v>12342.17</v>
      </c>
      <c r="G103" s="43">
        <v>2954.68</v>
      </c>
      <c r="H103" s="43">
        <v>256.14999999999998</v>
      </c>
      <c r="I103" s="43">
        <v>2930.1</v>
      </c>
      <c r="J103" s="43">
        <v>4296069.47</v>
      </c>
      <c r="K103" s="43">
        <v>55087.78</v>
      </c>
      <c r="L103" s="43">
        <v>30620.240000000002</v>
      </c>
      <c r="M103" s="48">
        <f ca="1">'DCF Calc 3'!Q118</f>
        <v>0</v>
      </c>
      <c r="N103" s="43">
        <f ca="1">Loan_Level_Results46[[#This Row],[NPV]]-Loan_Level_Results46[[#This Row],[DCF CALC NPV]]</f>
        <v>30620.240000000002</v>
      </c>
      <c r="O103" s="43">
        <f>Loan_Level_Results46[[#This Row],[Principal Payment]]+Loan_Level_Results46[[#This Row],[Interest]]</f>
        <v>39815.51</v>
      </c>
    </row>
    <row r="104" spans="1:15" x14ac:dyDescent="0.3">
      <c r="A104" s="45">
        <v>48975</v>
      </c>
      <c r="B104" s="44">
        <v>103</v>
      </c>
      <c r="C104" s="43">
        <v>4296069.47</v>
      </c>
      <c r="D104" s="43">
        <v>14704</v>
      </c>
      <c r="E104" s="43">
        <v>24974.6</v>
      </c>
      <c r="F104" s="43">
        <v>12256.69</v>
      </c>
      <c r="G104" s="43">
        <v>2934.22</v>
      </c>
      <c r="H104" s="43">
        <v>254.38</v>
      </c>
      <c r="I104" s="43">
        <v>2910.85</v>
      </c>
      <c r="J104" s="43">
        <v>4266174.5599999996</v>
      </c>
      <c r="K104" s="43">
        <v>54846.14</v>
      </c>
      <c r="L104" s="43">
        <v>30307.64</v>
      </c>
      <c r="M104" s="48">
        <f ca="1">'DCF Calc 3'!Q119</f>
        <v>0</v>
      </c>
      <c r="N104" s="43">
        <f ca="1">Loan_Level_Results46[[#This Row],[NPV]]-Loan_Level_Results46[[#This Row],[DCF CALC NPV]]</f>
        <v>30307.64</v>
      </c>
      <c r="O104" s="43">
        <f>Loan_Level_Results46[[#This Row],[Principal Payment]]+Loan_Level_Results46[[#This Row],[Interest]]</f>
        <v>39678.6</v>
      </c>
    </row>
    <row r="105" spans="1:15" x14ac:dyDescent="0.3">
      <c r="A105" s="45">
        <v>49003</v>
      </c>
      <c r="B105" s="44">
        <v>104</v>
      </c>
      <c r="C105" s="43">
        <v>4266174.5599999996</v>
      </c>
      <c r="D105" s="43">
        <v>17141.419999999998</v>
      </c>
      <c r="E105" s="43">
        <v>22400.73</v>
      </c>
      <c r="F105" s="43">
        <v>12171.4</v>
      </c>
      <c r="G105" s="43">
        <v>2913.8</v>
      </c>
      <c r="H105" s="43">
        <v>252.61</v>
      </c>
      <c r="I105" s="43">
        <v>2891.65</v>
      </c>
      <c r="J105" s="43">
        <v>4233947.9400000004</v>
      </c>
      <c r="K105" s="43">
        <v>54605.2</v>
      </c>
      <c r="L105" s="43">
        <v>30015.07</v>
      </c>
      <c r="M105" s="48">
        <f ca="1">'DCF Calc 3'!Q120</f>
        <v>0</v>
      </c>
      <c r="N105" s="43">
        <f ca="1">Loan_Level_Results46[[#This Row],[NPV]]-Loan_Level_Results46[[#This Row],[DCF CALC NPV]]</f>
        <v>30015.07</v>
      </c>
      <c r="O105" s="43">
        <f>Loan_Level_Results46[[#This Row],[Principal Payment]]+Loan_Level_Results46[[#This Row],[Interest]]</f>
        <v>39542.149999999994</v>
      </c>
    </row>
    <row r="106" spans="1:15" x14ac:dyDescent="0.3">
      <c r="A106" s="45">
        <v>49034</v>
      </c>
      <c r="B106" s="44">
        <v>105</v>
      </c>
      <c r="C106" s="43">
        <v>4233947.9400000004</v>
      </c>
      <c r="D106" s="43">
        <v>14770.38</v>
      </c>
      <c r="E106" s="43">
        <v>24613.47</v>
      </c>
      <c r="F106" s="43">
        <v>12079.45</v>
      </c>
      <c r="G106" s="43">
        <v>2891.79</v>
      </c>
      <c r="H106" s="43">
        <v>250.7</v>
      </c>
      <c r="I106" s="43">
        <v>2870.88</v>
      </c>
      <c r="J106" s="43">
        <v>4204206.32</v>
      </c>
      <c r="K106" s="43">
        <v>54334.18</v>
      </c>
      <c r="L106" s="43">
        <v>29691.45</v>
      </c>
      <c r="M106" s="48">
        <f ca="1">'DCF Calc 3'!Q121</f>
        <v>0</v>
      </c>
      <c r="N106" s="43">
        <f ca="1">Loan_Level_Results46[[#This Row],[NPV]]-Loan_Level_Results46[[#This Row],[DCF CALC NPV]]</f>
        <v>29691.45</v>
      </c>
      <c r="O106" s="43">
        <f>Loan_Level_Results46[[#This Row],[Principal Payment]]+Loan_Level_Results46[[#This Row],[Interest]]</f>
        <v>39383.85</v>
      </c>
    </row>
    <row r="107" spans="1:15" x14ac:dyDescent="0.3">
      <c r="A107" s="45">
        <v>49064</v>
      </c>
      <c r="B107" s="44">
        <v>106</v>
      </c>
      <c r="C107" s="43">
        <v>4204206.32</v>
      </c>
      <c r="D107" s="43">
        <v>15596.24</v>
      </c>
      <c r="E107" s="43">
        <v>23652.16</v>
      </c>
      <c r="F107" s="43">
        <v>11994.6</v>
      </c>
      <c r="G107" s="43">
        <v>2871.47</v>
      </c>
      <c r="H107" s="43">
        <v>248.94</v>
      </c>
      <c r="I107" s="43">
        <v>2851.77</v>
      </c>
      <c r="J107" s="43">
        <v>4173744.01</v>
      </c>
      <c r="K107" s="43">
        <v>54094.77</v>
      </c>
      <c r="L107" s="43">
        <v>29393.31</v>
      </c>
      <c r="M107" s="48">
        <f ca="1">'DCF Calc 3'!Q122</f>
        <v>0</v>
      </c>
      <c r="N107" s="43">
        <f ca="1">Loan_Level_Results46[[#This Row],[NPV]]-Loan_Level_Results46[[#This Row],[DCF CALC NPV]]</f>
        <v>29393.31</v>
      </c>
      <c r="O107" s="43">
        <f>Loan_Level_Results46[[#This Row],[Principal Payment]]+Loan_Level_Results46[[#This Row],[Interest]]</f>
        <v>39248.400000000001</v>
      </c>
    </row>
    <row r="108" spans="1:15" x14ac:dyDescent="0.3">
      <c r="A108" s="45">
        <v>49095</v>
      </c>
      <c r="B108" s="44">
        <v>107</v>
      </c>
      <c r="C108" s="43">
        <v>4173744.01</v>
      </c>
      <c r="D108" s="43">
        <v>14842.56</v>
      </c>
      <c r="E108" s="43">
        <v>24263.48</v>
      </c>
      <c r="F108" s="43">
        <v>11907.69</v>
      </c>
      <c r="G108" s="43">
        <v>2850.67</v>
      </c>
      <c r="H108" s="43">
        <v>247.14</v>
      </c>
      <c r="I108" s="43">
        <v>2832.18</v>
      </c>
      <c r="J108" s="43">
        <v>4144143.09</v>
      </c>
      <c r="K108" s="43">
        <v>53845.91</v>
      </c>
      <c r="L108" s="43">
        <v>29086.99</v>
      </c>
      <c r="M108" s="48">
        <f ca="1">'DCF Calc 3'!Q123</f>
        <v>0</v>
      </c>
      <c r="N108" s="43">
        <f ca="1">Loan_Level_Results46[[#This Row],[NPV]]-Loan_Level_Results46[[#This Row],[DCF CALC NPV]]</f>
        <v>29086.99</v>
      </c>
      <c r="O108" s="43">
        <f>Loan_Level_Results46[[#This Row],[Principal Payment]]+Loan_Level_Results46[[#This Row],[Interest]]</f>
        <v>39106.04</v>
      </c>
    </row>
    <row r="109" spans="1:15" x14ac:dyDescent="0.3">
      <c r="A109" s="45">
        <v>49125</v>
      </c>
      <c r="B109" s="44">
        <v>108</v>
      </c>
      <c r="C109" s="43">
        <v>4144143.09</v>
      </c>
      <c r="D109" s="43">
        <v>15657.28</v>
      </c>
      <c r="E109" s="43">
        <v>23314.26</v>
      </c>
      <c r="F109" s="43">
        <v>11823.24</v>
      </c>
      <c r="G109" s="43">
        <v>2830.45</v>
      </c>
      <c r="H109" s="43">
        <v>245.38</v>
      </c>
      <c r="I109" s="43">
        <v>2813.17</v>
      </c>
      <c r="J109" s="43">
        <v>4113832.12</v>
      </c>
      <c r="K109" s="43">
        <v>53607.95</v>
      </c>
      <c r="L109" s="43">
        <v>28794.55</v>
      </c>
      <c r="M109" s="48">
        <f ca="1">'DCF Calc 3'!Q124</f>
        <v>0</v>
      </c>
      <c r="N109" s="43">
        <f ca="1">Loan_Level_Results46[[#This Row],[NPV]]-Loan_Level_Results46[[#This Row],[DCF CALC NPV]]</f>
        <v>28794.55</v>
      </c>
      <c r="O109" s="43">
        <f>Loan_Level_Results46[[#This Row],[Principal Payment]]+Loan_Level_Results46[[#This Row],[Interest]]</f>
        <v>38971.54</v>
      </c>
    </row>
    <row r="110" spans="1:15" x14ac:dyDescent="0.3">
      <c r="A110" s="45">
        <v>49156</v>
      </c>
      <c r="B110" s="44">
        <v>109</v>
      </c>
      <c r="C110" s="43">
        <v>4113832.12</v>
      </c>
      <c r="D110" s="43">
        <v>14914.98</v>
      </c>
      <c r="E110" s="43">
        <v>23915.19</v>
      </c>
      <c r="F110" s="43">
        <v>11736.76</v>
      </c>
      <c r="G110" s="43">
        <v>2809.75</v>
      </c>
      <c r="H110" s="43">
        <v>243.59</v>
      </c>
      <c r="I110" s="43">
        <v>2793.68</v>
      </c>
      <c r="J110" s="43">
        <v>4084370.63</v>
      </c>
      <c r="K110" s="43">
        <v>53360.61</v>
      </c>
      <c r="L110" s="43">
        <v>28494.080000000002</v>
      </c>
      <c r="M110" s="48">
        <f ca="1">'DCF Calc 3'!Q125</f>
        <v>0</v>
      </c>
      <c r="N110" s="43">
        <f ca="1">Loan_Level_Results46[[#This Row],[NPV]]-Loan_Level_Results46[[#This Row],[DCF CALC NPV]]</f>
        <v>28494.080000000002</v>
      </c>
      <c r="O110" s="43">
        <f>Loan_Level_Results46[[#This Row],[Principal Payment]]+Loan_Level_Results46[[#This Row],[Interest]]</f>
        <v>38830.17</v>
      </c>
    </row>
    <row r="111" spans="1:15" x14ac:dyDescent="0.3">
      <c r="A111" s="45">
        <v>49187</v>
      </c>
      <c r="B111" s="44">
        <v>110</v>
      </c>
      <c r="C111" s="43">
        <v>4084370.63</v>
      </c>
      <c r="D111" s="43">
        <v>14952.7</v>
      </c>
      <c r="E111" s="43">
        <v>23743.919999999998</v>
      </c>
      <c r="F111" s="43">
        <v>11652.71</v>
      </c>
      <c r="G111" s="43">
        <v>2789.63</v>
      </c>
      <c r="H111" s="43">
        <v>241.84</v>
      </c>
      <c r="I111" s="43">
        <v>2774.77</v>
      </c>
      <c r="J111" s="43">
        <v>4054975.59</v>
      </c>
      <c r="K111" s="43">
        <v>53124.1</v>
      </c>
      <c r="L111" s="43">
        <v>28201.89</v>
      </c>
      <c r="M111" s="48">
        <f ca="1">'DCF Calc 3'!Q126</f>
        <v>0</v>
      </c>
      <c r="N111" s="43">
        <f ca="1">Loan_Level_Results46[[#This Row],[NPV]]-Loan_Level_Results46[[#This Row],[DCF CALC NPV]]</f>
        <v>28201.89</v>
      </c>
      <c r="O111" s="43">
        <f>Loan_Level_Results46[[#This Row],[Principal Payment]]+Loan_Level_Results46[[#This Row],[Interest]]</f>
        <v>38696.619999999995</v>
      </c>
    </row>
    <row r="112" spans="1:15" x14ac:dyDescent="0.3">
      <c r="A112" s="45">
        <v>49217</v>
      </c>
      <c r="B112" s="44">
        <v>111</v>
      </c>
      <c r="C112" s="43">
        <v>4054975.59</v>
      </c>
      <c r="D112" s="43">
        <v>15750.9</v>
      </c>
      <c r="E112" s="43">
        <v>22812.62</v>
      </c>
      <c r="F112" s="43">
        <v>11568.85</v>
      </c>
      <c r="G112" s="43">
        <v>2769.55</v>
      </c>
      <c r="H112" s="43">
        <v>240.1</v>
      </c>
      <c r="I112" s="43">
        <v>2755.9</v>
      </c>
      <c r="J112" s="43">
        <v>4024886.29</v>
      </c>
      <c r="K112" s="43">
        <v>52888.27</v>
      </c>
      <c r="L112" s="43">
        <v>27917.79</v>
      </c>
      <c r="M112" s="48">
        <f ca="1">'DCF Calc 3'!Q127</f>
        <v>0</v>
      </c>
      <c r="N112" s="43">
        <f ca="1">Loan_Level_Results46[[#This Row],[NPV]]-Loan_Level_Results46[[#This Row],[DCF CALC NPV]]</f>
        <v>27917.79</v>
      </c>
      <c r="O112" s="43">
        <f>Loan_Level_Results46[[#This Row],[Principal Payment]]+Loan_Level_Results46[[#This Row],[Interest]]</f>
        <v>38563.519999999997</v>
      </c>
    </row>
    <row r="113" spans="1:15" x14ac:dyDescent="0.3">
      <c r="A113" s="45">
        <v>49248</v>
      </c>
      <c r="B113" s="44">
        <v>112</v>
      </c>
      <c r="C113" s="43">
        <v>4024886.29</v>
      </c>
      <c r="D113" s="43">
        <v>15025.49</v>
      </c>
      <c r="E113" s="43">
        <v>23398.12</v>
      </c>
      <c r="F113" s="43">
        <v>11483</v>
      </c>
      <c r="G113" s="43">
        <v>2749</v>
      </c>
      <c r="H113" s="43">
        <v>238.32</v>
      </c>
      <c r="I113" s="43">
        <v>2736.56</v>
      </c>
      <c r="J113" s="43">
        <v>3995628.8</v>
      </c>
      <c r="K113" s="43">
        <v>52643.17</v>
      </c>
      <c r="L113" s="43">
        <v>27625.9</v>
      </c>
      <c r="M113" s="48">
        <f ca="1">'DCF Calc 3'!Q128</f>
        <v>0</v>
      </c>
      <c r="N113" s="43">
        <f ca="1">Loan_Level_Results46[[#This Row],[NPV]]-Loan_Level_Results46[[#This Row],[DCF CALC NPV]]</f>
        <v>27625.9</v>
      </c>
      <c r="O113" s="43">
        <f>Loan_Level_Results46[[#This Row],[Principal Payment]]+Loan_Level_Results46[[#This Row],[Interest]]</f>
        <v>38423.61</v>
      </c>
    </row>
    <row r="114" spans="1:15" x14ac:dyDescent="0.3">
      <c r="A114" s="45">
        <v>49278</v>
      </c>
      <c r="B114" s="44">
        <v>113</v>
      </c>
      <c r="C114" s="43">
        <v>3995628.8</v>
      </c>
      <c r="D114" s="43">
        <v>15812.7</v>
      </c>
      <c r="E114" s="43">
        <v>22478.74</v>
      </c>
      <c r="F114" s="43">
        <v>11399.53</v>
      </c>
      <c r="G114" s="43">
        <v>2729.01</v>
      </c>
      <c r="H114" s="43">
        <v>236.59</v>
      </c>
      <c r="I114" s="43">
        <v>2717.77</v>
      </c>
      <c r="J114" s="43">
        <v>3965687.56</v>
      </c>
      <c r="K114" s="43">
        <v>52408.74</v>
      </c>
      <c r="L114" s="43">
        <v>27347.22</v>
      </c>
      <c r="M114" s="48">
        <f ca="1">'DCF Calc 3'!Q129</f>
        <v>0</v>
      </c>
      <c r="N114" s="43">
        <f ca="1">Loan_Level_Results46[[#This Row],[NPV]]-Loan_Level_Results46[[#This Row],[DCF CALC NPV]]</f>
        <v>27347.22</v>
      </c>
      <c r="O114" s="43">
        <f>Loan_Level_Results46[[#This Row],[Principal Payment]]+Loan_Level_Results46[[#This Row],[Interest]]</f>
        <v>38291.440000000002</v>
      </c>
    </row>
    <row r="115" spans="1:15" x14ac:dyDescent="0.3">
      <c r="A115" s="45">
        <v>49309</v>
      </c>
      <c r="B115" s="44">
        <v>114</v>
      </c>
      <c r="C115" s="43">
        <v>3965687.56</v>
      </c>
      <c r="D115" s="43">
        <v>15098.54</v>
      </c>
      <c r="E115" s="43">
        <v>23053.97</v>
      </c>
      <c r="F115" s="43">
        <v>11314.11</v>
      </c>
      <c r="G115" s="43">
        <v>2708.56</v>
      </c>
      <c r="H115" s="43">
        <v>234.82</v>
      </c>
      <c r="I115" s="43">
        <v>2698.53</v>
      </c>
      <c r="J115" s="43">
        <v>3936566.35</v>
      </c>
      <c r="K115" s="43">
        <v>52165.15</v>
      </c>
      <c r="L115" s="43">
        <v>27060.93</v>
      </c>
      <c r="M115" s="48">
        <f ca="1">'DCF Calc 3'!Q130</f>
        <v>0</v>
      </c>
      <c r="N115" s="43">
        <f ca="1">Loan_Level_Results46[[#This Row],[NPV]]-Loan_Level_Results46[[#This Row],[DCF CALC NPV]]</f>
        <v>27060.93</v>
      </c>
      <c r="O115" s="43">
        <f>Loan_Level_Results46[[#This Row],[Principal Payment]]+Loan_Level_Results46[[#This Row],[Interest]]</f>
        <v>38152.51</v>
      </c>
    </row>
    <row r="116" spans="1:15" x14ac:dyDescent="0.3">
      <c r="A116" s="45">
        <v>49340</v>
      </c>
      <c r="B116" s="44">
        <v>115</v>
      </c>
      <c r="C116" s="43">
        <v>3936566.35</v>
      </c>
      <c r="D116" s="43">
        <v>3936566.35</v>
      </c>
      <c r="E116" s="43">
        <v>22884.68</v>
      </c>
      <c r="F116" s="43">
        <v>0</v>
      </c>
      <c r="G116" s="43">
        <v>0</v>
      </c>
      <c r="H116" s="43">
        <v>0</v>
      </c>
      <c r="I116" s="43">
        <v>2679.84</v>
      </c>
      <c r="J116" s="43">
        <v>0</v>
      </c>
      <c r="K116" s="43">
        <v>3962130.87</v>
      </c>
      <c r="L116" s="43">
        <v>2043355.44</v>
      </c>
      <c r="M116" s="48">
        <f ca="1">'DCF Calc 3'!Q131</f>
        <v>0</v>
      </c>
      <c r="N116" s="43">
        <f ca="1">Loan_Level_Results46[[#This Row],[NPV]]-Loan_Level_Results46[[#This Row],[DCF CALC NPV]]</f>
        <v>2043355.44</v>
      </c>
      <c r="O116" s="43">
        <f>Loan_Level_Results46[[#This Row],[Principal Payment]]+Loan_Level_Results46[[#This Row],[Interest]]</f>
        <v>3959451.0300000003</v>
      </c>
    </row>
    <row r="117" spans="1:15" x14ac:dyDescent="0.3">
      <c r="A117" s="45">
        <v>49368</v>
      </c>
      <c r="B117" s="44">
        <v>116</v>
      </c>
      <c r="C117" s="43">
        <v>0</v>
      </c>
      <c r="D117" s="43">
        <v>0</v>
      </c>
      <c r="E117" s="43">
        <v>0</v>
      </c>
      <c r="F117" s="43">
        <v>0</v>
      </c>
      <c r="G117" s="43">
        <v>0</v>
      </c>
      <c r="H117" s="43">
        <v>0</v>
      </c>
      <c r="I117" s="43">
        <v>2661.19</v>
      </c>
      <c r="J117" s="43">
        <v>0</v>
      </c>
      <c r="K117" s="43">
        <v>2661.19</v>
      </c>
      <c r="L117" s="43">
        <v>1365.1</v>
      </c>
      <c r="M117" s="48">
        <f ca="1">'DCF Calc 3'!Q132</f>
        <v>0</v>
      </c>
      <c r="N117" s="43">
        <f ca="1">Loan_Level_Results46[[#This Row],[NPV]]-Loan_Level_Results46[[#This Row],[DCF CALC NPV]]</f>
        <v>1365.1</v>
      </c>
      <c r="O117" s="43">
        <f>Loan_Level_Results46[[#This Row],[Principal Payment]]+Loan_Level_Results46[[#This Row],[Interest]]</f>
        <v>0</v>
      </c>
    </row>
    <row r="118" spans="1:15" x14ac:dyDescent="0.3">
      <c r="A118" s="45">
        <v>49399</v>
      </c>
      <c r="B118" s="44">
        <v>117</v>
      </c>
      <c r="C118" s="43">
        <v>0</v>
      </c>
      <c r="D118" s="43">
        <v>0</v>
      </c>
      <c r="E118" s="43">
        <v>0</v>
      </c>
      <c r="F118" s="43">
        <v>0</v>
      </c>
      <c r="G118" s="43">
        <v>0</v>
      </c>
      <c r="H118" s="43">
        <v>0</v>
      </c>
      <c r="I118" s="43">
        <v>2641.09</v>
      </c>
      <c r="J118" s="43">
        <v>0</v>
      </c>
      <c r="K118" s="43">
        <v>2641.09</v>
      </c>
      <c r="L118" s="43">
        <v>1347.01</v>
      </c>
      <c r="M118" s="48">
        <f ca="1">'DCF Calc 3'!Q133</f>
        <v>0</v>
      </c>
      <c r="N118" s="43">
        <f ca="1">Loan_Level_Results46[[#This Row],[NPV]]-Loan_Level_Results46[[#This Row],[DCF CALC NPV]]</f>
        <v>1347.01</v>
      </c>
      <c r="O118" s="43">
        <f>Loan_Level_Results46[[#This Row],[Principal Payment]]+Loan_Level_Results46[[#This Row],[Interest]]</f>
        <v>0</v>
      </c>
    </row>
    <row r="119" spans="1:15" x14ac:dyDescent="0.3">
      <c r="A119" s="45">
        <v>49429</v>
      </c>
      <c r="B119" s="44">
        <v>118</v>
      </c>
      <c r="C119" s="43">
        <v>0</v>
      </c>
      <c r="D119" s="43">
        <v>0</v>
      </c>
      <c r="E119" s="43">
        <v>0</v>
      </c>
      <c r="F119" s="43">
        <v>0</v>
      </c>
      <c r="G119" s="43">
        <v>0</v>
      </c>
      <c r="H119" s="43">
        <v>0</v>
      </c>
      <c r="I119" s="43">
        <v>2622.53</v>
      </c>
      <c r="J119" s="43">
        <v>0</v>
      </c>
      <c r="K119" s="43">
        <v>2622.53</v>
      </c>
      <c r="L119" s="43">
        <v>1329.87</v>
      </c>
      <c r="M119" s="48">
        <f ca="1">'DCF Calc 3'!Q134</f>
        <v>0</v>
      </c>
      <c r="N119" s="43">
        <f ca="1">Loan_Level_Results46[[#This Row],[NPV]]-Loan_Level_Results46[[#This Row],[DCF CALC NPV]]</f>
        <v>1329.87</v>
      </c>
      <c r="O119" s="43">
        <f>Loan_Level_Results46[[#This Row],[Principal Payment]]+Loan_Level_Results46[[#This Row],[Interest]]</f>
        <v>0</v>
      </c>
    </row>
    <row r="120" spans="1:15" x14ac:dyDescent="0.3">
      <c r="A120" s="45">
        <v>49460</v>
      </c>
      <c r="B120" s="44">
        <v>119</v>
      </c>
      <c r="C120" s="43">
        <v>0</v>
      </c>
      <c r="D120" s="43">
        <v>0</v>
      </c>
      <c r="E120" s="43">
        <v>0</v>
      </c>
      <c r="F120" s="43">
        <v>0</v>
      </c>
      <c r="G120" s="43">
        <v>0</v>
      </c>
      <c r="H120" s="43">
        <v>0</v>
      </c>
      <c r="I120" s="43">
        <v>2603.5300000000002</v>
      </c>
      <c r="J120" s="43">
        <v>0</v>
      </c>
      <c r="K120" s="43">
        <v>2603.5300000000002</v>
      </c>
      <c r="L120" s="43">
        <v>1312.66</v>
      </c>
      <c r="M120" s="48">
        <f ca="1">'DCF Calc 3'!Q135</f>
        <v>0</v>
      </c>
      <c r="N120" s="43">
        <f ca="1">Loan_Level_Results46[[#This Row],[NPV]]-Loan_Level_Results46[[#This Row],[DCF CALC NPV]]</f>
        <v>1312.66</v>
      </c>
      <c r="O120" s="43">
        <f>Loan_Level_Results46[[#This Row],[Principal Payment]]+Loan_Level_Results46[[#This Row],[Interest]]</f>
        <v>0</v>
      </c>
    </row>
    <row r="121" spans="1:15" x14ac:dyDescent="0.3">
      <c r="A121" s="45">
        <v>49490</v>
      </c>
      <c r="B121" s="44">
        <v>120</v>
      </c>
      <c r="C121" s="43">
        <v>0</v>
      </c>
      <c r="D121" s="43">
        <v>0</v>
      </c>
      <c r="E121" s="43">
        <v>0</v>
      </c>
      <c r="F121" s="43">
        <v>0</v>
      </c>
      <c r="G121" s="43">
        <v>0</v>
      </c>
      <c r="H121" s="43">
        <v>0</v>
      </c>
      <c r="I121" s="43">
        <v>2585.0700000000002</v>
      </c>
      <c r="J121" s="43">
        <v>0</v>
      </c>
      <c r="K121" s="43">
        <v>2585.0700000000002</v>
      </c>
      <c r="L121" s="43">
        <v>1295.8699999999999</v>
      </c>
      <c r="M121" s="48">
        <f ca="1">'DCF Calc 3'!Q136</f>
        <v>0</v>
      </c>
      <c r="N121" s="43">
        <f ca="1">Loan_Level_Results46[[#This Row],[NPV]]-Loan_Level_Results46[[#This Row],[DCF CALC NPV]]</f>
        <v>1295.8699999999999</v>
      </c>
      <c r="O121" s="43">
        <f>Loan_Level_Results46[[#This Row],[Principal Payment]]+Loan_Level_Results46[[#This Row],[Interest]]</f>
        <v>0</v>
      </c>
    </row>
    <row r="122" spans="1:15" x14ac:dyDescent="0.3">
      <c r="A122" s="45">
        <v>49521</v>
      </c>
      <c r="B122" s="44">
        <v>121</v>
      </c>
      <c r="C122" s="43">
        <v>0</v>
      </c>
      <c r="D122" s="43">
        <v>0</v>
      </c>
      <c r="E122" s="43">
        <v>0</v>
      </c>
      <c r="F122" s="43">
        <v>0</v>
      </c>
      <c r="G122" s="43">
        <v>0</v>
      </c>
      <c r="H122" s="43">
        <v>0</v>
      </c>
      <c r="I122" s="43">
        <v>2566.16</v>
      </c>
      <c r="J122" s="43">
        <v>0</v>
      </c>
      <c r="K122" s="43">
        <v>2566.16</v>
      </c>
      <c r="L122" s="43">
        <v>1279.01</v>
      </c>
      <c r="M122" s="48">
        <f ca="1">'DCF Calc 3'!Q137</f>
        <v>0</v>
      </c>
      <c r="N122" s="43">
        <f ca="1">Loan_Level_Results46[[#This Row],[NPV]]-Loan_Level_Results46[[#This Row],[DCF CALC NPV]]</f>
        <v>1279.01</v>
      </c>
      <c r="O122" s="43">
        <f>Loan_Level_Results46[[#This Row],[Principal Payment]]+Loan_Level_Results46[[#This Row],[Interest]]</f>
        <v>0</v>
      </c>
    </row>
    <row r="123" spans="1:15" x14ac:dyDescent="0.3">
      <c r="A123" s="45">
        <v>49552</v>
      </c>
      <c r="B123" s="44">
        <v>122</v>
      </c>
      <c r="C123" s="43">
        <v>0</v>
      </c>
      <c r="D123" s="43">
        <v>0</v>
      </c>
      <c r="E123" s="43">
        <v>0</v>
      </c>
      <c r="F123" s="43">
        <v>0</v>
      </c>
      <c r="G123" s="43">
        <v>0</v>
      </c>
      <c r="H123" s="43">
        <v>0</v>
      </c>
      <c r="I123" s="43">
        <v>2547.79</v>
      </c>
      <c r="J123" s="43">
        <v>0</v>
      </c>
      <c r="K123" s="43">
        <v>2547.79</v>
      </c>
      <c r="L123" s="43">
        <v>1262.57</v>
      </c>
      <c r="M123" s="48">
        <f ca="1">'DCF Calc 3'!Q138</f>
        <v>0</v>
      </c>
      <c r="N123" s="43">
        <f ca="1">Loan_Level_Results46[[#This Row],[NPV]]-Loan_Level_Results46[[#This Row],[DCF CALC NPV]]</f>
        <v>1262.57</v>
      </c>
      <c r="O123" s="43">
        <f>Loan_Level_Results46[[#This Row],[Principal Payment]]+Loan_Level_Results46[[#This Row],[Interest]]</f>
        <v>0</v>
      </c>
    </row>
    <row r="124" spans="1:15" x14ac:dyDescent="0.3">
      <c r="A124" s="45">
        <v>49582</v>
      </c>
      <c r="B124" s="44">
        <v>123</v>
      </c>
      <c r="C124" s="43">
        <v>0</v>
      </c>
      <c r="D124" s="43">
        <v>0</v>
      </c>
      <c r="E124" s="43">
        <v>0</v>
      </c>
      <c r="F124" s="43">
        <v>0</v>
      </c>
      <c r="G124" s="43">
        <v>0</v>
      </c>
      <c r="H124" s="43">
        <v>0</v>
      </c>
      <c r="I124" s="43">
        <v>2529.4499999999998</v>
      </c>
      <c r="J124" s="43">
        <v>0</v>
      </c>
      <c r="K124" s="43">
        <v>2529.4499999999998</v>
      </c>
      <c r="L124" s="43">
        <v>1246.29</v>
      </c>
      <c r="M124" s="48">
        <f ca="1">'DCF Calc 3'!Q139</f>
        <v>0</v>
      </c>
      <c r="N124" s="43">
        <f ca="1">Loan_Level_Results46[[#This Row],[NPV]]-Loan_Level_Results46[[#This Row],[DCF CALC NPV]]</f>
        <v>1246.29</v>
      </c>
      <c r="O124" s="43">
        <f>Loan_Level_Results46[[#This Row],[Principal Payment]]+Loan_Level_Results46[[#This Row],[Interest]]</f>
        <v>0</v>
      </c>
    </row>
    <row r="125" spans="1:15" x14ac:dyDescent="0.3">
      <c r="A125" s="45">
        <v>49613</v>
      </c>
      <c r="B125" s="44">
        <v>124</v>
      </c>
      <c r="C125" s="43">
        <v>0</v>
      </c>
      <c r="D125" s="43">
        <v>0</v>
      </c>
      <c r="E125" s="43">
        <v>0</v>
      </c>
      <c r="F125" s="43">
        <v>0</v>
      </c>
      <c r="G125" s="43">
        <v>0</v>
      </c>
      <c r="H125" s="43">
        <v>0</v>
      </c>
      <c r="I125" s="43">
        <v>2510.6799999999998</v>
      </c>
      <c r="J125" s="43">
        <v>0</v>
      </c>
      <c r="K125" s="43">
        <v>2510.6799999999998</v>
      </c>
      <c r="L125" s="43">
        <v>1229.94</v>
      </c>
      <c r="M125" s="48">
        <f ca="1">'DCF Calc 3'!Q140</f>
        <v>0</v>
      </c>
      <c r="N125" s="43">
        <f ca="1">Loan_Level_Results46[[#This Row],[NPV]]-Loan_Level_Results46[[#This Row],[DCF CALC NPV]]</f>
        <v>1229.94</v>
      </c>
      <c r="O125" s="43">
        <f>Loan_Level_Results46[[#This Row],[Principal Payment]]+Loan_Level_Results46[[#This Row],[Interest]]</f>
        <v>0</v>
      </c>
    </row>
    <row r="126" spans="1:15" x14ac:dyDescent="0.3">
      <c r="A126" s="45">
        <v>49643</v>
      </c>
      <c r="B126" s="44">
        <v>125</v>
      </c>
      <c r="C126" s="43">
        <v>0</v>
      </c>
      <c r="D126" s="43">
        <v>0</v>
      </c>
      <c r="E126" s="43">
        <v>0</v>
      </c>
      <c r="F126" s="43">
        <v>0</v>
      </c>
      <c r="G126" s="43">
        <v>0</v>
      </c>
      <c r="H126" s="43">
        <v>0</v>
      </c>
      <c r="I126" s="43">
        <v>2492.42</v>
      </c>
      <c r="J126" s="43">
        <v>0</v>
      </c>
      <c r="K126" s="43">
        <v>2492.42</v>
      </c>
      <c r="L126" s="43">
        <v>1213.99</v>
      </c>
      <c r="M126" s="48">
        <f ca="1">'DCF Calc 3'!Q141</f>
        <v>0</v>
      </c>
      <c r="N126" s="43">
        <f ca="1">Loan_Level_Results46[[#This Row],[NPV]]-Loan_Level_Results46[[#This Row],[DCF CALC NPV]]</f>
        <v>1213.99</v>
      </c>
      <c r="O126" s="43">
        <f>Loan_Level_Results46[[#This Row],[Principal Payment]]+Loan_Level_Results46[[#This Row],[Interest]]</f>
        <v>0</v>
      </c>
    </row>
    <row r="127" spans="1:15" x14ac:dyDescent="0.3">
      <c r="A127" s="45">
        <v>49674</v>
      </c>
      <c r="B127" s="44">
        <v>126</v>
      </c>
      <c r="C127" s="43">
        <v>0</v>
      </c>
      <c r="D127" s="43">
        <v>0</v>
      </c>
      <c r="E127" s="43">
        <v>0</v>
      </c>
      <c r="F127" s="43">
        <v>0</v>
      </c>
      <c r="G127" s="43">
        <v>0</v>
      </c>
      <c r="H127" s="43">
        <v>0</v>
      </c>
      <c r="I127" s="43">
        <v>2473.7399999999998</v>
      </c>
      <c r="J127" s="43">
        <v>0</v>
      </c>
      <c r="K127" s="43">
        <v>2473.7399999999998</v>
      </c>
      <c r="L127" s="43">
        <v>1197.98</v>
      </c>
      <c r="M127" s="48">
        <f ca="1">'DCF Calc 3'!Q142</f>
        <v>0</v>
      </c>
      <c r="N127" s="43">
        <f ca="1">Loan_Level_Results46[[#This Row],[NPV]]-Loan_Level_Results46[[#This Row],[DCF CALC NPV]]</f>
        <v>1197.98</v>
      </c>
      <c r="O127" s="43">
        <f>Loan_Level_Results46[[#This Row],[Principal Payment]]+Loan_Level_Results46[[#This Row],[Interest]]</f>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BBAB7-DA9B-4C20-A185-03C1B70D72F7}">
  <sheetPr codeName="Sheet7">
    <pageSetUpPr autoPageBreaks="0" fitToPage="1"/>
  </sheetPr>
  <dimension ref="B2:T385"/>
  <sheetViews>
    <sheetView showFormulas="1" zoomScale="120" zoomScaleNormal="120" workbookViewId="0">
      <selection activeCell="I17" sqref="I17"/>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2589190.33</v>
      </c>
      <c r="D2" s="7" t="s">
        <v>1</v>
      </c>
      <c r="E2" s="24"/>
      <c r="F2" s="24"/>
      <c r="G2" s="24"/>
      <c r="I2" s="58" t="s">
        <v>9</v>
      </c>
      <c r="J2" s="58"/>
      <c r="L2" s="7" t="s">
        <v>10</v>
      </c>
      <c r="M2" s="12">
        <f ca="1">SUM(Table1578[Present Value])</f>
        <v>2581260.86</v>
      </c>
    </row>
    <row r="3" spans="2:20" ht="12" x14ac:dyDescent="0.25">
      <c r="B3" s="7" t="s">
        <v>11</v>
      </c>
      <c r="C3" s="13" t="s">
        <v>76</v>
      </c>
      <c r="D3" s="7" t="s">
        <v>13</v>
      </c>
      <c r="E3" s="25"/>
      <c r="F3" s="25"/>
      <c r="G3" s="25"/>
      <c r="H3" s="20"/>
      <c r="I3" s="8" t="s">
        <v>14</v>
      </c>
      <c r="J3" s="11">
        <f>(IF(ISNUMBER(SEARCH("360",C7)),365/360,1))</f>
        <v>1.0138888888888888</v>
      </c>
      <c r="K3" s="8"/>
      <c r="L3" s="7" t="s">
        <v>15</v>
      </c>
      <c r="M3" s="16">
        <v>-5160</v>
      </c>
    </row>
    <row r="4" spans="2:20" ht="12" x14ac:dyDescent="0.25">
      <c r="B4" s="7" t="s">
        <v>16</v>
      </c>
      <c r="C4" s="31">
        <f>E10-E9+1</f>
        <v>17</v>
      </c>
      <c r="D4" s="7" t="s">
        <v>2</v>
      </c>
      <c r="E4" s="26"/>
      <c r="F4" s="26"/>
      <c r="G4" s="26"/>
      <c r="H4" s="8"/>
      <c r="I4" s="8" t="s">
        <v>17</v>
      </c>
      <c r="J4" s="9">
        <f>(1+C5*AmortizationMultiplier/12)^(12)-1</f>
        <v>7.5926285313861808E-2</v>
      </c>
      <c r="K4" s="8"/>
      <c r="L4" s="7" t="s">
        <v>18</v>
      </c>
      <c r="M4" s="12">
        <f ca="1">C2+M3-M2</f>
        <v>2769.4700000002049</v>
      </c>
    </row>
    <row r="5" spans="2:20" ht="12" x14ac:dyDescent="0.25">
      <c r="B5" s="7" t="s">
        <v>19</v>
      </c>
      <c r="C5" s="14">
        <v>7.2400000000000006E-2</v>
      </c>
      <c r="D5" s="6"/>
      <c r="H5" s="7" t="s">
        <v>20</v>
      </c>
      <c r="I5" s="8" t="s">
        <v>21</v>
      </c>
      <c r="J5" s="9">
        <v>0</v>
      </c>
      <c r="K5" s="10"/>
      <c r="L5" s="7" t="s">
        <v>22</v>
      </c>
      <c r="M5" s="9">
        <f ca="1">M4/C2</f>
        <v>1.0696278168164659E-3</v>
      </c>
    </row>
    <row r="6" spans="2:20" ht="12" x14ac:dyDescent="0.25">
      <c r="B6" s="7" t="s">
        <v>23</v>
      </c>
      <c r="C6" s="16">
        <v>2589190.33</v>
      </c>
      <c r="D6" s="7" t="s">
        <v>24</v>
      </c>
      <c r="E6" s="15">
        <v>3.3700000000000001E-2</v>
      </c>
      <c r="F6" s="27"/>
      <c r="G6" s="27"/>
      <c r="H6" s="7" t="s">
        <v>20</v>
      </c>
      <c r="I6" s="8" t="s">
        <v>25</v>
      </c>
      <c r="J6" s="15">
        <v>7.7535999999999994E-2</v>
      </c>
      <c r="K6" s="9">
        <f>(1+J6/12)^(12)-1</f>
        <v>8.0351640113174083E-2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2768.76</v>
      </c>
      <c r="O7" s="21"/>
    </row>
    <row r="8" spans="2:20" ht="12" x14ac:dyDescent="0.25">
      <c r="B8" s="7" t="s">
        <v>30</v>
      </c>
      <c r="C8" s="31" t="s">
        <v>31</v>
      </c>
      <c r="D8" s="7" t="s">
        <v>32</v>
      </c>
      <c r="E8" s="14">
        <v>2.0799999999999999E-2</v>
      </c>
      <c r="F8" s="24"/>
      <c r="G8" s="28"/>
      <c r="H8" s="7" t="s">
        <v>33</v>
      </c>
      <c r="I8" s="13" t="s">
        <v>34</v>
      </c>
      <c r="J8" s="15">
        <f>J6</f>
        <v>7.7535999999999994E-2</v>
      </c>
      <c r="K8" s="8"/>
      <c r="L8" s="7" t="s">
        <v>35</v>
      </c>
      <c r="M8" s="42">
        <f ca="1">M4-M7</f>
        <v>0.71000000020467269</v>
      </c>
      <c r="O8" s="21"/>
    </row>
    <row r="9" spans="2:20" ht="12" x14ac:dyDescent="0.25">
      <c r="B9" s="7" t="s">
        <v>36</v>
      </c>
      <c r="C9" s="31" t="s">
        <v>31</v>
      </c>
      <c r="D9" s="7" t="s">
        <v>37</v>
      </c>
      <c r="E9" s="51">
        <v>12</v>
      </c>
      <c r="F9" s="8"/>
      <c r="G9" s="8"/>
      <c r="L9" s="7" t="s">
        <v>38</v>
      </c>
      <c r="M9" s="41">
        <f ca="1">M8/M4</f>
        <v>2.5636674172481384E-4</v>
      </c>
      <c r="O9" s="21"/>
    </row>
    <row r="10" spans="2:20" ht="12" x14ac:dyDescent="0.25">
      <c r="B10" s="7" t="s">
        <v>39</v>
      </c>
      <c r="C10" s="31" t="s">
        <v>40</v>
      </c>
      <c r="D10" s="7" t="s">
        <v>41</v>
      </c>
      <c r="E10" s="52">
        <v>28</v>
      </c>
      <c r="G10" s="32"/>
      <c r="J10" s="37"/>
      <c r="K10" s="19"/>
      <c r="L10" s="8"/>
      <c r="M10" s="8"/>
      <c r="O10" s="21"/>
      <c r="Q10" s="3"/>
    </row>
    <row r="11" spans="2:20" ht="13.8" x14ac:dyDescent="0.3">
      <c r="B11" s="7" t="s">
        <v>42</v>
      </c>
      <c r="C11" s="31" t="s">
        <v>40</v>
      </c>
      <c r="D11" s="7" t="s">
        <v>43</v>
      </c>
      <c r="E11" s="47">
        <v>772400581</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2</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2589190.33</v>
      </c>
      <c r="E17" s="55">
        <f>ROUND(Table1578[[#This Row],[Beginning Balance]]*Table1578[[#This Row],[Monthly Interest Rate]],2)</f>
        <v>16142.16</v>
      </c>
      <c r="F17" s="4">
        <f>+C14</f>
        <v>2</v>
      </c>
      <c r="G17" s="4">
        <f>IFERROR(IF($C$13="No","N/A",IF(Table1578[[#This Row],[Period]]=1,$C$6,PMT(InterestRate*AmortizationMultiplier/12,Table1578[[#This Row],[Am Thru]],-Table1578[[#This Row],[Beginning Balance]]))),0)</f>
        <v>2589190.33</v>
      </c>
      <c r="H17" s="55">
        <f>MAX(0,IF(C17=$C$4,D17,ROUND(IF($C$3="Fixed Principal",$C$6-Table1578[[#This Row],[Interest]],IF($C$3="Interest Only",Table1578[[#This Row],[Beginning Balance]]*ROUND(1-(1-IF($C$11="No",$E$8,1))^(1/12),6),MIN(IF($C$13="Yes",Table1578[[#This Row],[Payment Amount (Reamortized)]],$C$6)-Table1578[[#This Row],[Interest]],Table1578[[#This Row],[Beginning Balance]]))),2)))</f>
        <v>4531.08</v>
      </c>
      <c r="I17" s="4">
        <f>IF($C$3="Interest Only",0,ROUND(MAX(MIN(IF($C$10="No",$E$7,VLOOKUP(Table1578[[#This Row],[Period]],Forecast!$H$2:$L$1048576,4,FALSE))*Table1578[[#This Row],[Beginning Balance]],Table1578[[#This Row],[Beginning Balance]]-Table1578[[#This Row],[Principal]]),0),2))</f>
        <v>0</v>
      </c>
      <c r="J17" s="4">
        <f>ROUND(MIN(Table1578[[#This Row],[Beginning Balance]]*IF($C$8="No",$E$3,VLOOKUP(Table1578[[#This Row],[Period]],Forecast!$H$2:$L$1048576,2,FALSE)),Table1578[[#This Row],[Beginning Balance]]-Table1578[[#This Row],[Principal]]-Table1578[[#This Row],[Prepayments]]),2)</f>
        <v>1178.08</v>
      </c>
      <c r="K17" s="4">
        <f>ROUND(Table1578[[#This Row],[Defaulted Principal]]*IF($C$9="No",$E$4,VLOOKUP(Table1578[[#This Row],[Period]],Forecast!$H$2:$L$1048576,3,FALSE)),2)</f>
        <v>91.91</v>
      </c>
      <c r="L17" s="2">
        <f>Table1578[[#This Row],[Period]]+$E$9</f>
        <v>13</v>
      </c>
      <c r="M17" s="4">
        <f>Table1578[[#This Row],[Defaulted Principal]]-Table1578[[#This Row],[Estimated Loss]]</f>
        <v>1086.1699999999998</v>
      </c>
      <c r="N17" s="3">
        <f>IFERROR(VLOOKUP(Table1578[[#This Row],[Period]],$L$16:$M$28,2,FALSE),0)</f>
        <v>0</v>
      </c>
      <c r="O17" s="3">
        <f>Table1578[[#This Row],[Beginning Balance]]-Table1578[[#This Row],[Principal]]-Table1578[[#This Row],[Prepayments]]-Table1578[[#This Row],[Defaulted Principal]]</f>
        <v>2583481.17</v>
      </c>
      <c r="P17" s="3">
        <f>Table1578[[#This Row],[Principal]]+Table1578[[#This Row],[Interest]]+Table1578[[#This Row],[Prepayments]]+Table1578[[#This Row],[RecoveredAmount]]</f>
        <v>20673.239999999998</v>
      </c>
      <c r="Q17" s="3">
        <f ca="1">ROUND(Table1578[[#This Row],[Cash Flow]]/((1+ActualRateToUse)^(IF(ISNUMBER(SEARCH("Actual",$C$7)),Table1578[[#This Row],[Running Total]]/365,Table1578[[#This Row],[Period]]/12))),2)</f>
        <v>20542.54</v>
      </c>
      <c r="R17" s="2">
        <f>IF(MONTH(Table1578[[#This Row],[Date]])=2,28,DAY(DATE(YEAR(Table1578[[#This Row],[Date]]),MONTH(Table1578[[#This Row],[Date]])+1,1)-1))</f>
        <v>31</v>
      </c>
      <c r="S17" s="2">
        <f ca="1">SUM(OFFSET(Table1578[[#Headers],[Days in month]],1,0):Table1578[[#This Row],[Days in month]])</f>
        <v>31</v>
      </c>
      <c r="T17" s="37">
        <f>InterestRate*AmortizationMultiplier*IF(ISNUMBER(SEARCH("Actual",$C$7)),Table1578[[#This Row],[Days in month]]/365,1/12)</f>
        <v>6.2344444444444444E-3</v>
      </c>
    </row>
    <row r="18" spans="2:20" x14ac:dyDescent="0.2">
      <c r="B18" s="1">
        <v>45900</v>
      </c>
      <c r="C18" s="2">
        <f>C17+1</f>
        <v>2</v>
      </c>
      <c r="D18" s="3">
        <f t="shared" ref="D18:D81" si="0">O17</f>
        <v>2583481.17</v>
      </c>
      <c r="E18" s="4">
        <f>ROUND(Table1578[[#This Row],[Beginning Balance]]*Table1578[[#This Row],[Monthly Interest Rate]],2)</f>
        <v>16106.57</v>
      </c>
      <c r="F18" s="4">
        <f>+F17-1</f>
        <v>1</v>
      </c>
      <c r="G18" s="4">
        <f>IFERROR(IF($C$13="No","N/A",IF(Table1578[[#This Row],[Period]]=1,$C$6,PMT(InterestRate*AmortizationMultiplier/12,Table1578[[#This Row],[Am Thru]],-Table1578[[#This Row],[Beginning Balance]]))),0)</f>
        <v>2599284.6592125976</v>
      </c>
      <c r="H18" s="4">
        <f>MAX(0,IF(C18=$C$4,D18,ROUND(IF($C$3="Fixed Principal",$C$6-Table1578[[#This Row],[Interest]],IF($C$3="Interest Only",Table1578[[#This Row],[Beginning Balance]]*ROUND(1-(1-IF($C$11="No",$E$8,1))^(1/12),6),MIN(IF($C$13="Yes",Table1578[[#This Row],[Payment Amount (Reamortized)]],$C$6)-Table1578[[#This Row],[Interest]],Table1578[[#This Row],[Beginning Balance]]))),2)))</f>
        <v>4521.09</v>
      </c>
      <c r="I18" s="4">
        <f>IF($C$3="Interest Only",0,ROUND(MAX(MIN(IF($C$10="No",$E$7,VLOOKUP(Table1578[[#This Row],[Period]],Forecast!$H$2:$L$1048576,4,FALSE))*Table1578[[#This Row],[Beginning Balance]],Table1578[[#This Row],[Beginning Balance]]-Table1578[[#This Row],[Principal]]),0),2))</f>
        <v>0</v>
      </c>
      <c r="J18" s="4">
        <f>ROUND(MIN(Table1578[[#This Row],[Beginning Balance]]*IF($C$8="No",$E$3,VLOOKUP(Table1578[[#This Row],[Period]],Forecast!$H$2:$L$1048576,2,FALSE)),Table1578[[#This Row],[Beginning Balance]]-Table1578[[#This Row],[Principal]]-Table1578[[#This Row],[Prepayments]]),2)</f>
        <v>1175.48</v>
      </c>
      <c r="K18" s="4">
        <f>ROUND(Table1578[[#This Row],[Defaulted Principal]]*IF($C$9="No",$E$4,VLOOKUP(Table1578[[#This Row],[Period]],Forecast!$H$2:$L$1048576,3,FALSE)),2)</f>
        <v>91.71</v>
      </c>
      <c r="L18" s="2">
        <f>Table1578[[#This Row],[Period]]+$E$9</f>
        <v>14</v>
      </c>
      <c r="M18" s="4">
        <f>Table1578[[#This Row],[Defaulted Principal]]-Table1578[[#This Row],[Estimated Loss]]</f>
        <v>1083.77</v>
      </c>
      <c r="N18" s="3">
        <f>IFERROR(VLOOKUP(Table1578[[#This Row],[Period]],$L$16:$M$385,2,FALSE),0)</f>
        <v>0</v>
      </c>
      <c r="O18" s="4">
        <f>Table1578[[#This Row],[Beginning Balance]]-Table1578[[#This Row],[Principal]]-Table1578[[#This Row],[Prepayments]]-Table1578[[#This Row],[Defaulted Principal]]</f>
        <v>2577784.6</v>
      </c>
      <c r="P18" s="3">
        <f>Table1578[[#This Row],[Principal]]+Table1578[[#This Row],[Interest]]+Table1578[[#This Row],[Prepayments]]+Table1578[[#This Row],[RecoveredAmount]]</f>
        <v>20627.66</v>
      </c>
      <c r="Q18" s="3">
        <f ca="1">ROUND(Table1578[[#This Row],[Cash Flow]]/((1+ActualRateToUse)^(IF(ISNUMBER(SEARCH("Actual",$C$7)),Table1578[[#This Row],[Running Total]]/365,Table1578[[#This Row],[Period]]/12))),2)</f>
        <v>20367.650000000001</v>
      </c>
      <c r="R18" s="2">
        <f>IF(MONTH(Table1578[[#This Row],[Date]])=2,28,DAY(DATE(YEAR(Table1578[[#This Row],[Date]]),MONTH(Table1578[[#This Row],[Date]])+1,1)-1))</f>
        <v>31</v>
      </c>
      <c r="S18" s="2">
        <f ca="1">SUM(OFFSET(Table1578[[#Headers],[Days in month]],1,0):Table1578[[#This Row],[Days in month]])</f>
        <v>62</v>
      </c>
      <c r="T18" s="37">
        <f>InterestRate*AmortizationMultiplier*IF(ISNUMBER(SEARCH("Actual",$C$7)),Table1578[[#This Row],[Days in month]]/365,1/12)</f>
        <v>6.2344444444444444E-3</v>
      </c>
    </row>
    <row r="19" spans="2:20" x14ac:dyDescent="0.2">
      <c r="B19" s="1">
        <v>45930</v>
      </c>
      <c r="C19" s="2">
        <f t="shared" ref="C19:C82" si="1">C18+1</f>
        <v>3</v>
      </c>
      <c r="D19" s="3">
        <f t="shared" si="0"/>
        <v>2577784.6</v>
      </c>
      <c r="E19" s="4">
        <f>ROUND(Table1578[[#This Row],[Beginning Balance]]*Table1578[[#This Row],[Monthly Interest Rate]],2)</f>
        <v>15552.63</v>
      </c>
      <c r="F19" s="4">
        <f t="shared" ref="F19:F82" si="2">+F18-1</f>
        <v>0</v>
      </c>
      <c r="G19" s="50">
        <f>IFERROR(IF($C$13="No","N/A",IF(Table1578[[#This Row],[Period]]=1,$C$6,PMT(InterestRate*AmortizationMultiplier/12,Table1578[[#This Row],[Am Thru]],-Table1578[[#This Row],[Beginning Balance]]))),0)</f>
        <v>0</v>
      </c>
      <c r="H19" s="4">
        <f>MAX(0,IF(C19=$C$4,D19,ROUND(IF($C$3="Fixed Principal",$C$6-Table1578[[#This Row],[Interest]],IF($C$3="Interest Only",Table1578[[#This Row],[Beginning Balance]]*ROUND(1-(1-IF($C$11="No",$E$8,1))^(1/12),6),MIN(IF($C$13="Yes",Table1578[[#This Row],[Payment Amount (Reamortized)]],$C$6)-Table1578[[#This Row],[Interest]],Table1578[[#This Row],[Beginning Balance]]))),2)))</f>
        <v>4511.12</v>
      </c>
      <c r="I19" s="4">
        <f>IF($C$3="Interest Only",0,ROUND(MAX(MIN(IF($C$10="No",$E$7,VLOOKUP(Table1578[[#This Row],[Period]],Forecast!$H$2:$L$1048576,4,FALSE))*Table1578[[#This Row],[Beginning Balance]],Table1578[[#This Row],[Beginning Balance]]-Table1578[[#This Row],[Principal]]),0),2))</f>
        <v>0</v>
      </c>
      <c r="J19" s="4">
        <f>ROUND(MIN(Table1578[[#This Row],[Beginning Balance]]*IF($C$8="No",$E$3,VLOOKUP(Table1578[[#This Row],[Period]],Forecast!$H$2:$L$1048576,2,FALSE)),Table1578[[#This Row],[Beginning Balance]]-Table1578[[#This Row],[Principal]]-Table1578[[#This Row],[Prepayments]]),2)</f>
        <v>1172.8900000000001</v>
      </c>
      <c r="K19" s="4">
        <f>ROUND(Table1578[[#This Row],[Defaulted Principal]]*IF($C$9="No",$E$4,VLOOKUP(Table1578[[#This Row],[Period]],Forecast!$H$2:$L$1048576,3,FALSE)),2)</f>
        <v>91.5</v>
      </c>
      <c r="L19" s="2">
        <f>Table1578[[#This Row],[Period]]+$E$9</f>
        <v>15</v>
      </c>
      <c r="M19" s="4">
        <f>Table1578[[#This Row],[Defaulted Principal]]-Table1578[[#This Row],[Estimated Loss]]</f>
        <v>1081.3900000000001</v>
      </c>
      <c r="N19" s="3">
        <f>IFERROR(VLOOKUP(Table1578[[#This Row],[Period]],$L$16:$M$28,2,FALSE),0)</f>
        <v>0</v>
      </c>
      <c r="O19" s="3">
        <f>Table1578[[#This Row],[Beginning Balance]]-Table1578[[#This Row],[Principal]]-Table1578[[#This Row],[Prepayments]]-Table1578[[#This Row],[Defaulted Principal]]</f>
        <v>2572100.59</v>
      </c>
      <c r="P19" s="3">
        <f>Table1578[[#This Row],[Principal]]+Table1578[[#This Row],[Interest]]+Table1578[[#This Row],[Prepayments]]+Table1578[[#This Row],[RecoveredAmount]]</f>
        <v>20063.75</v>
      </c>
      <c r="Q19" s="3">
        <f ca="1">ROUND(Table1578[[#This Row],[Cash Flow]]/((1+ActualRateToUse)^(IF(ISNUMBER(SEARCH("Actual",$C$7)),Table1578[[#This Row],[Running Total]]/365,Table1578[[#This Row],[Period]]/12))),2)</f>
        <v>19689.63</v>
      </c>
      <c r="R19" s="2">
        <f>IF(MONTH(Table1578[[#This Row],[Date]])=2,28,DAY(DATE(YEAR(Table1578[[#This Row],[Date]]),MONTH(Table1578[[#This Row],[Date]])+1,1)-1))</f>
        <v>30</v>
      </c>
      <c r="S19" s="2">
        <f ca="1">SUM(OFFSET(Table1578[[#Headers],[Days in month]],1,0):Table1578[[#This Row],[Days in month]])</f>
        <v>92</v>
      </c>
      <c r="T19" s="37">
        <f>InterestRate*AmortizationMultiplier*IF(ISNUMBER(SEARCH("Actual",$C$7)),Table1578[[#This Row],[Days in month]]/365,1/12)</f>
        <v>6.0333333333333333E-3</v>
      </c>
    </row>
    <row r="20" spans="2:20" x14ac:dyDescent="0.2">
      <c r="B20" s="1">
        <v>45961</v>
      </c>
      <c r="C20" s="2">
        <f t="shared" si="1"/>
        <v>4</v>
      </c>
      <c r="D20" s="3">
        <f t="shared" si="0"/>
        <v>2572100.59</v>
      </c>
      <c r="E20" s="4">
        <f>ROUND(Table1578[[#This Row],[Beginning Balance]]*Table1578[[#This Row],[Monthly Interest Rate]],2)</f>
        <v>16035.62</v>
      </c>
      <c r="F20" s="4">
        <f>+F19-1</f>
        <v>-1</v>
      </c>
      <c r="G20" s="50">
        <f>IFERROR(IF($C$13="No","N/A",IF(Table1578[[#This Row],[Period]]=1,$C$6,PMT(InterestRate*AmortizationMultiplier/12,Table1578[[#This Row],[Am Thru]],-Table1578[[#This Row],[Beginning Balance]]))),0)</f>
        <v>-2572100.59</v>
      </c>
      <c r="H20" s="4">
        <f>MAX(0,IF(C20=$C$4,D20,ROUND(IF($C$3="Fixed Principal",$C$6-Table1578[[#This Row],[Interest]],IF($C$3="Interest Only",Table1578[[#This Row],[Beginning Balance]]*ROUND(1-(1-IF($C$11="No",$E$8,1))^(1/12),6),MIN(IF($C$13="Yes",Table1578[[#This Row],[Payment Amount (Reamortized)]],$C$6)-Table1578[[#This Row],[Interest]],Table1578[[#This Row],[Beginning Balance]]))),2)))</f>
        <v>4501.18</v>
      </c>
      <c r="I20" s="4">
        <f>IF($C$3="Interest Only",0,ROUND(MAX(MIN(IF($C$10="No",$E$7,VLOOKUP(Table1578[[#This Row],[Period]],Forecast!$H$2:$L$1048576,4,FALSE))*Table1578[[#This Row],[Beginning Balance]],Table1578[[#This Row],[Beginning Balance]]-Table1578[[#This Row],[Principal]]),0),2))</f>
        <v>0</v>
      </c>
      <c r="J20" s="4">
        <f>ROUND(MIN(Table1578[[#This Row],[Beginning Balance]]*IF($C$8="No",$E$3,VLOOKUP(Table1578[[#This Row],[Period]],Forecast!$H$2:$L$1048576,2,FALSE)),Table1578[[#This Row],[Beginning Balance]]-Table1578[[#This Row],[Principal]]-Table1578[[#This Row],[Prepayments]]),2)</f>
        <v>1288.6199999999999</v>
      </c>
      <c r="K20" s="4">
        <f>ROUND(Table1578[[#This Row],[Defaulted Principal]]*IF($C$9="No",$E$4,VLOOKUP(Table1578[[#This Row],[Period]],Forecast!$H$2:$L$1048576,3,FALSE)),2)</f>
        <v>103.05</v>
      </c>
      <c r="L20" s="2">
        <f>Table1578[[#This Row],[Period]]+$E$9</f>
        <v>16</v>
      </c>
      <c r="M20" s="4">
        <f>Table1578[[#This Row],[Defaulted Principal]]-Table1578[[#This Row],[Estimated Loss]]</f>
        <v>1185.57</v>
      </c>
      <c r="N20" s="3">
        <f>IFERROR(VLOOKUP(Table1578[[#This Row],[Period]],$L$16:$M$28,2,FALSE),0)</f>
        <v>0</v>
      </c>
      <c r="O20" s="3">
        <f>Table1578[[#This Row],[Beginning Balance]]-Table1578[[#This Row],[Principal]]-Table1578[[#This Row],[Prepayments]]-Table1578[[#This Row],[Defaulted Principal]]</f>
        <v>2566310.7899999996</v>
      </c>
      <c r="P20" s="3">
        <f>Table1578[[#This Row],[Principal]]+Table1578[[#This Row],[Interest]]+Table1578[[#This Row],[Prepayments]]+Table1578[[#This Row],[RecoveredAmount]]</f>
        <v>20536.800000000003</v>
      </c>
      <c r="Q20" s="3">
        <f ca="1">ROUND(Table1578[[#This Row],[Cash Flow]]/((1+ActualRateToUse)^(IF(ISNUMBER(SEARCH("Actual",$C$7)),Table1578[[#This Row],[Running Total]]/365,Table1578[[#This Row],[Period]]/12))),2)</f>
        <v>20026.439999999999</v>
      </c>
      <c r="R20" s="2">
        <f>IF(MONTH(Table1578[[#This Row],[Date]])=2,28,DAY(DATE(YEAR(Table1578[[#This Row],[Date]]),MONTH(Table1578[[#This Row],[Date]])+1,1)-1))</f>
        <v>31</v>
      </c>
      <c r="S20" s="2">
        <f ca="1">SUM(OFFSET(Table1578[[#Headers],[Days in month]],1,0):Table1578[[#This Row],[Days in month]])</f>
        <v>123</v>
      </c>
      <c r="T20" s="37">
        <f>InterestRate*AmortizationMultiplier*IF(ISNUMBER(SEARCH("Actual",$C$7)),Table1578[[#This Row],[Days in month]]/365,1/12)</f>
        <v>6.2344444444444444E-3</v>
      </c>
    </row>
    <row r="21" spans="2:20" x14ac:dyDescent="0.2">
      <c r="B21" s="1">
        <v>45991</v>
      </c>
      <c r="C21" s="2">
        <f t="shared" si="1"/>
        <v>5</v>
      </c>
      <c r="D21" s="3">
        <f t="shared" si="0"/>
        <v>2566310.7899999996</v>
      </c>
      <c r="E21" s="3">
        <f>ROUND(Table1578[[#This Row],[Beginning Balance]]*Table1578[[#This Row],[Monthly Interest Rate]],2)</f>
        <v>15483.41</v>
      </c>
      <c r="F21" s="3">
        <f t="shared" si="2"/>
        <v>-2</v>
      </c>
      <c r="G21" s="23">
        <f>IFERROR(IF($C$13="No","N/A",IF(Table1578[[#This Row],[Period]]=1,$C$6,PMT(InterestRate*AmortizationMultiplier/12,Table1578[[#This Row],[Am Thru]],-Table1578[[#This Row],[Beginning Balance]]))),0)</f>
        <v>-1279242.748140929</v>
      </c>
      <c r="H21" s="3">
        <f>MAX(0,IF(C21=$C$4,D21,ROUND(IF($C$3="Fixed Principal",$C$6-Table1578[[#This Row],[Interest]],IF($C$3="Interest Only",Table1578[[#This Row],[Beginning Balance]]*ROUND(1-(1-IF($C$11="No",$E$8,1))^(1/12),6),MIN(IF($C$13="Yes",Table1578[[#This Row],[Payment Amount (Reamortized)]],$C$6)-Table1578[[#This Row],[Interest]],Table1578[[#This Row],[Beginning Balance]]))),2)))</f>
        <v>4491.04</v>
      </c>
      <c r="I21" s="4">
        <f>IF($C$3="Interest Only",0,ROUND(MAX(MIN(IF($C$10="No",$E$7,VLOOKUP(Table1578[[#This Row],[Period]],Forecast!$H$2:$L$1048576,4,FALSE))*Table1578[[#This Row],[Beginning Balance]],Table1578[[#This Row],[Beginning Balance]]-Table1578[[#This Row],[Principal]]),0),2))</f>
        <v>0</v>
      </c>
      <c r="J21" s="3">
        <f>ROUND(MIN(Table1578[[#This Row],[Beginning Balance]]*IF($C$8="No",$E$3,VLOOKUP(Table1578[[#This Row],[Period]],Forecast!$H$2:$L$1048576,2,FALSE)),Table1578[[#This Row],[Beginning Balance]]-Table1578[[#This Row],[Principal]]-Table1578[[#This Row],[Prepayments]]),2)</f>
        <v>1285.72</v>
      </c>
      <c r="K21" s="3">
        <f>ROUND(Table1578[[#This Row],[Defaulted Principal]]*IF($C$9="No",$E$4,VLOOKUP(Table1578[[#This Row],[Period]],Forecast!$H$2:$L$1048576,3,FALSE)),2)</f>
        <v>102.82</v>
      </c>
      <c r="L21" s="2">
        <f>Table1578[[#This Row],[Period]]+$E$9</f>
        <v>17</v>
      </c>
      <c r="M21" s="3">
        <f>Table1578[[#This Row],[Defaulted Principal]]-Table1578[[#This Row],[Estimated Loss]]</f>
        <v>1182.9000000000001</v>
      </c>
      <c r="N21" s="3">
        <f>IFERROR(VLOOKUP(Table1578[[#This Row],[Period]],$L$16:$M$28,2,FALSE),0)</f>
        <v>0</v>
      </c>
      <c r="O21" s="3">
        <f>Table1578[[#This Row],[Beginning Balance]]-Table1578[[#This Row],[Principal]]-Table1578[[#This Row],[Prepayments]]-Table1578[[#This Row],[Defaulted Principal]]</f>
        <v>2560534.0299999993</v>
      </c>
      <c r="P21" s="3">
        <f>Table1578[[#This Row],[Principal]]+Table1578[[#This Row],[Interest]]+Table1578[[#This Row],[Prepayments]]+Table1578[[#This Row],[RecoveredAmount]]</f>
        <v>19974.45</v>
      </c>
      <c r="Q21" s="3">
        <f ca="1">ROUND(Table1578[[#This Row],[Cash Flow]]/((1+ActualRateToUse)^(IF(ISNUMBER(SEARCH("Actual",$C$7)),Table1578[[#This Row],[Running Total]]/365,Table1578[[#This Row],[Period]]/12))),2)</f>
        <v>19358.88</v>
      </c>
      <c r="R21" s="2">
        <f>IF(MONTH(Table1578[[#This Row],[Date]])=2,28,DAY(DATE(YEAR(Table1578[[#This Row],[Date]]),MONTH(Table1578[[#This Row],[Date]])+1,1)-1))</f>
        <v>30</v>
      </c>
      <c r="S21" s="2">
        <f ca="1">SUM(OFFSET(Table1578[[#Headers],[Days in month]],1,0):Table1578[[#This Row],[Days in month]])</f>
        <v>153</v>
      </c>
      <c r="T21" s="37">
        <f>InterestRate*AmortizationMultiplier*IF(ISNUMBER(SEARCH("Actual",$C$7)),Table1578[[#This Row],[Days in month]]/365,1/12)</f>
        <v>6.0333333333333333E-3</v>
      </c>
    </row>
    <row r="22" spans="2:20" x14ac:dyDescent="0.2">
      <c r="B22" s="1">
        <v>46022</v>
      </c>
      <c r="C22" s="2">
        <f t="shared" si="1"/>
        <v>6</v>
      </c>
      <c r="D22" s="3">
        <f t="shared" si="0"/>
        <v>2560534.0299999993</v>
      </c>
      <c r="E22" s="3">
        <f>ROUND(Table1578[[#This Row],[Beginning Balance]]*Table1578[[#This Row],[Monthly Interest Rate]],2)</f>
        <v>15963.51</v>
      </c>
      <c r="F22" s="3">
        <f t="shared" si="2"/>
        <v>-3</v>
      </c>
      <c r="G22" s="23">
        <f>IFERROR(IF($C$13="No","N/A",IF(Table1578[[#This Row],[Period]]=1,$C$6,PMT(InterestRate*AmortizationMultiplier/12,Table1578[[#This Row],[Am Thru]],-Table1578[[#This Row],[Beginning Balance]]))),0)</f>
        <v>-848311.53066647961</v>
      </c>
      <c r="H22" s="3">
        <f>MAX(0,IF(C22=$C$4,D22,ROUND(IF($C$3="Fixed Principal",$C$6-Table1578[[#This Row],[Interest]],IF($C$3="Interest Only",Table1578[[#This Row],[Beginning Balance]]*ROUND(1-(1-IF($C$11="No",$E$8,1))^(1/12),6),MIN(IF($C$13="Yes",Table1578[[#This Row],[Payment Amount (Reamortized)]],$C$6)-Table1578[[#This Row],[Interest]],Table1578[[#This Row],[Beginning Balance]]))),2)))</f>
        <v>4480.93</v>
      </c>
      <c r="I22" s="4">
        <f>IF($C$3="Interest Only",0,ROUND(MAX(MIN(IF($C$10="No",$E$7,VLOOKUP(Table1578[[#This Row],[Period]],Forecast!$H$2:$L$1048576,4,FALSE))*Table1578[[#This Row],[Beginning Balance]],Table1578[[#This Row],[Beginning Balance]]-Table1578[[#This Row],[Principal]]),0),2))</f>
        <v>0</v>
      </c>
      <c r="J22" s="3">
        <f>ROUND(MIN(Table1578[[#This Row],[Beginning Balance]]*IF($C$8="No",$E$3,VLOOKUP(Table1578[[#This Row],[Period]],Forecast!$H$2:$L$1048576,2,FALSE)),Table1578[[#This Row],[Beginning Balance]]-Table1578[[#This Row],[Principal]]-Table1578[[#This Row],[Prepayments]]),2)</f>
        <v>1282.83</v>
      </c>
      <c r="K22" s="3">
        <f>ROUND(Table1578[[#This Row],[Defaulted Principal]]*IF($C$9="No",$E$4,VLOOKUP(Table1578[[#This Row],[Period]],Forecast!$H$2:$L$1048576,3,FALSE)),2)</f>
        <v>102.58</v>
      </c>
      <c r="L22" s="2">
        <f>Table1578[[#This Row],[Period]]+$E$9</f>
        <v>18</v>
      </c>
      <c r="M22" s="3">
        <f>Table1578[[#This Row],[Defaulted Principal]]-Table1578[[#This Row],[Estimated Loss]]</f>
        <v>1180.25</v>
      </c>
      <c r="N22" s="3">
        <f>IFERROR(VLOOKUP(Table1578[[#This Row],[Period]],$L$16:$M$28,2,FALSE),0)</f>
        <v>0</v>
      </c>
      <c r="O22" s="3">
        <f>Table1578[[#This Row],[Beginning Balance]]-Table1578[[#This Row],[Principal]]-Table1578[[#This Row],[Prepayments]]-Table1578[[#This Row],[Defaulted Principal]]</f>
        <v>2554770.2699999991</v>
      </c>
      <c r="P22" s="3">
        <f>Table1578[[#This Row],[Principal]]+Table1578[[#This Row],[Interest]]+Table1578[[#This Row],[Prepayments]]+Table1578[[#This Row],[RecoveredAmount]]</f>
        <v>20444.440000000002</v>
      </c>
      <c r="Q22" s="3">
        <f ca="1">ROUND(Table1578[[#This Row],[Cash Flow]]/((1+ActualRateToUse)^(IF(ISNUMBER(SEARCH("Actual",$C$7)),Table1578[[#This Row],[Running Total]]/365,Table1578[[#This Row],[Period]]/12))),2)</f>
        <v>19689.11</v>
      </c>
      <c r="R22" s="2">
        <f>IF(MONTH(Table1578[[#This Row],[Date]])=2,28,DAY(DATE(YEAR(Table1578[[#This Row],[Date]]),MONTH(Table1578[[#This Row],[Date]])+1,1)-1))</f>
        <v>31</v>
      </c>
      <c r="S22" s="2">
        <f ca="1">SUM(OFFSET(Table1578[[#Headers],[Days in month]],1,0):Table1578[[#This Row],[Days in month]])</f>
        <v>184</v>
      </c>
      <c r="T22" s="37">
        <f>InterestRate*AmortizationMultiplier*IF(ISNUMBER(SEARCH("Actual",$C$7)),Table1578[[#This Row],[Days in month]]/365,1/12)</f>
        <v>6.2344444444444444E-3</v>
      </c>
    </row>
    <row r="23" spans="2:20" x14ac:dyDescent="0.2">
      <c r="B23" s="1">
        <v>46053</v>
      </c>
      <c r="C23" s="2">
        <f t="shared" si="1"/>
        <v>7</v>
      </c>
      <c r="D23" s="3">
        <f t="shared" si="0"/>
        <v>2554770.2699999991</v>
      </c>
      <c r="E23" s="3">
        <f>ROUND(Table1578[[#This Row],[Beginning Balance]]*Table1578[[#This Row],[Monthly Interest Rate]],2)</f>
        <v>15927.57</v>
      </c>
      <c r="F23" s="3">
        <f t="shared" si="2"/>
        <v>-4</v>
      </c>
      <c r="G23" s="23">
        <f>IFERROR(IF($C$13="No","N/A",IF(Table1578[[#This Row],[Period]]=1,$C$6,PMT(InterestRate*AmortizationMultiplier/12,Table1578[[#This Row],[Am Thru]],-Table1578[[#This Row],[Beginning Balance]]))),0)</f>
        <v>-632861.90260734037</v>
      </c>
      <c r="H23" s="3">
        <f>MAX(0,IF(C23=$C$4,D23,ROUND(IF($C$3="Fixed Principal",$C$6-Table1578[[#This Row],[Interest]],IF($C$3="Interest Only",Table1578[[#This Row],[Beginning Balance]]*ROUND(1-(1-IF($C$11="No",$E$8,1))^(1/12),6),MIN(IF($C$13="Yes",Table1578[[#This Row],[Payment Amount (Reamortized)]],$C$6)-Table1578[[#This Row],[Interest]],Table1578[[#This Row],[Beginning Balance]]))),2)))</f>
        <v>4470.8500000000004</v>
      </c>
      <c r="I23" s="4">
        <f>IF($C$3="Interest Only",0,ROUND(MAX(MIN(IF($C$10="No",$E$7,VLOOKUP(Table1578[[#This Row],[Period]],Forecast!$H$2:$L$1048576,4,FALSE))*Table1578[[#This Row],[Beginning Balance]],Table1578[[#This Row],[Beginning Balance]]-Table1578[[#This Row],[Principal]]),0),2))</f>
        <v>0</v>
      </c>
      <c r="J23" s="3">
        <f>ROUND(MIN(Table1578[[#This Row],[Beginning Balance]]*IF($C$8="No",$E$3,VLOOKUP(Table1578[[#This Row],[Period]],Forecast!$H$2:$L$1048576,2,FALSE)),Table1578[[#This Row],[Beginning Balance]]-Table1578[[#This Row],[Principal]]-Table1578[[#This Row],[Prepayments]]),2)</f>
        <v>1269.72</v>
      </c>
      <c r="K23" s="3">
        <f>ROUND(Table1578[[#This Row],[Defaulted Principal]]*IF($C$9="No",$E$4,VLOOKUP(Table1578[[#This Row],[Period]],Forecast!$H$2:$L$1048576,3,FALSE)),2)</f>
        <v>101.3</v>
      </c>
      <c r="L23" s="2">
        <f>Table1578[[#This Row],[Period]]+$E$9</f>
        <v>19</v>
      </c>
      <c r="M23" s="3">
        <f>Table1578[[#This Row],[Defaulted Principal]]-Table1578[[#This Row],[Estimated Loss]]</f>
        <v>1168.42</v>
      </c>
      <c r="N23" s="3">
        <f>IFERROR(VLOOKUP(Table1578[[#This Row],[Period]],$L$16:$M$28,2,FALSE),0)</f>
        <v>0</v>
      </c>
      <c r="O23" s="3">
        <f>Table1578[[#This Row],[Beginning Balance]]-Table1578[[#This Row],[Principal]]-Table1578[[#This Row],[Prepayments]]-Table1578[[#This Row],[Defaulted Principal]]</f>
        <v>2549029.6999999988</v>
      </c>
      <c r="P23" s="3">
        <f>Table1578[[#This Row],[Principal]]+Table1578[[#This Row],[Interest]]+Table1578[[#This Row],[Prepayments]]+Table1578[[#This Row],[RecoveredAmount]]</f>
        <v>20398.419999999998</v>
      </c>
      <c r="Q23" s="3">
        <f ca="1">ROUND(Table1578[[#This Row],[Cash Flow]]/((1+ActualRateToUse)^(IF(ISNUMBER(SEARCH("Actual",$C$7)),Table1578[[#This Row],[Running Total]]/365,Table1578[[#This Row],[Period]]/12))),2)</f>
        <v>19520.59</v>
      </c>
      <c r="R23" s="2">
        <f>IF(MONTH(Table1578[[#This Row],[Date]])=2,28,DAY(DATE(YEAR(Table1578[[#This Row],[Date]]),MONTH(Table1578[[#This Row],[Date]])+1,1)-1))</f>
        <v>31</v>
      </c>
      <c r="S23" s="2">
        <f ca="1">SUM(OFFSET(Table1578[[#Headers],[Days in month]],1,0):Table1578[[#This Row],[Days in month]])</f>
        <v>215</v>
      </c>
      <c r="T23" s="37">
        <f>InterestRate*AmortizationMultiplier*IF(ISNUMBER(SEARCH("Actual",$C$7)),Table1578[[#This Row],[Days in month]]/365,1/12)</f>
        <v>6.2344444444444444E-3</v>
      </c>
    </row>
    <row r="24" spans="2:20" x14ac:dyDescent="0.2">
      <c r="B24" s="1">
        <v>46081</v>
      </c>
      <c r="C24" s="2">
        <f t="shared" si="1"/>
        <v>8</v>
      </c>
      <c r="D24" s="3">
        <f t="shared" si="0"/>
        <v>2549029.6999999988</v>
      </c>
      <c r="E24" s="3">
        <f>ROUND(Table1578[[#This Row],[Beginning Balance]]*Table1578[[#This Row],[Monthly Interest Rate]],2)</f>
        <v>14353.87</v>
      </c>
      <c r="F24" s="3">
        <f t="shared" si="2"/>
        <v>-5</v>
      </c>
      <c r="G24" s="23">
        <f>IFERROR(IF($C$13="No","N/A",IF(Table1578[[#This Row],[Period]]=1,$C$6,PMT(InterestRate*AmortizationMultiplier/12,Table1578[[#This Row],[Am Thru]],-Table1578[[#This Row],[Beginning Balance]]))),0)</f>
        <v>-503606.87826223217</v>
      </c>
      <c r="H24" s="3">
        <f>MAX(0,IF(C24=$C$4,D24,ROUND(IF($C$3="Fixed Principal",$C$6-Table1578[[#This Row],[Interest]],IF($C$3="Interest Only",Table1578[[#This Row],[Beginning Balance]]*ROUND(1-(1-IF($C$11="No",$E$8,1))^(1/12),6),MIN(IF($C$13="Yes",Table1578[[#This Row],[Payment Amount (Reamortized)]],$C$6)-Table1578[[#This Row],[Interest]],Table1578[[#This Row],[Beginning Balance]]))),2)))</f>
        <v>4460.8</v>
      </c>
      <c r="I24" s="4">
        <f>IF($C$3="Interest Only",0,ROUND(MAX(MIN(IF($C$10="No",$E$7,VLOOKUP(Table1578[[#This Row],[Period]],Forecast!$H$2:$L$1048576,4,FALSE))*Table1578[[#This Row],[Beginning Balance]],Table1578[[#This Row],[Beginning Balance]]-Table1578[[#This Row],[Principal]]),0),2))</f>
        <v>0</v>
      </c>
      <c r="J24" s="3">
        <f>ROUND(MIN(Table1578[[#This Row],[Beginning Balance]]*IF($C$8="No",$E$3,VLOOKUP(Table1578[[#This Row],[Period]],Forecast!$H$2:$L$1048576,2,FALSE)),Table1578[[#This Row],[Beginning Balance]]-Table1578[[#This Row],[Principal]]-Table1578[[#This Row],[Prepayments]]),2)</f>
        <v>1266.8699999999999</v>
      </c>
      <c r="K24" s="3">
        <f>ROUND(Table1578[[#This Row],[Defaulted Principal]]*IF($C$9="No",$E$4,VLOOKUP(Table1578[[#This Row],[Period]],Forecast!$H$2:$L$1048576,3,FALSE)),2)</f>
        <v>101.07</v>
      </c>
      <c r="L24" s="2">
        <f>Table1578[[#This Row],[Period]]+$E$9</f>
        <v>20</v>
      </c>
      <c r="M24" s="3">
        <f>Table1578[[#This Row],[Defaulted Principal]]-Table1578[[#This Row],[Estimated Loss]]</f>
        <v>1165.8</v>
      </c>
      <c r="N24" s="3">
        <f>IFERROR(VLOOKUP(Table1578[[#This Row],[Period]],$L$16:$M$28,2,FALSE),0)</f>
        <v>0</v>
      </c>
      <c r="O24" s="3">
        <f>Table1578[[#This Row],[Beginning Balance]]-Table1578[[#This Row],[Principal]]-Table1578[[#This Row],[Prepayments]]-Table1578[[#This Row],[Defaulted Principal]]</f>
        <v>2543302.0299999989</v>
      </c>
      <c r="P24" s="3">
        <f>Table1578[[#This Row],[Principal]]+Table1578[[#This Row],[Interest]]+Table1578[[#This Row],[Prepayments]]+Table1578[[#This Row],[RecoveredAmount]]</f>
        <v>18814.670000000002</v>
      </c>
      <c r="Q24" s="3">
        <f ca="1">ROUND(Table1578[[#This Row],[Cash Flow]]/((1+ActualRateToUse)^(IF(ISNUMBER(SEARCH("Actual",$C$7)),Table1578[[#This Row],[Running Total]]/365,Table1578[[#This Row],[Period]]/12))),2)</f>
        <v>17902.14</v>
      </c>
      <c r="R24" s="2">
        <f>IF(MONTH(Table1578[[#This Row],[Date]])=2,28,DAY(DATE(YEAR(Table1578[[#This Row],[Date]]),MONTH(Table1578[[#This Row],[Date]])+1,1)-1))</f>
        <v>28</v>
      </c>
      <c r="S24" s="2">
        <f ca="1">SUM(OFFSET(Table1578[[#Headers],[Days in month]],1,0):Table1578[[#This Row],[Days in month]])</f>
        <v>243</v>
      </c>
      <c r="T24" s="37">
        <f>InterestRate*AmortizationMultiplier*IF(ISNUMBER(SEARCH("Actual",$C$7)),Table1578[[#This Row],[Days in month]]/365,1/12)</f>
        <v>5.6311111111111119E-3</v>
      </c>
    </row>
    <row r="25" spans="2:20" x14ac:dyDescent="0.2">
      <c r="B25" s="1">
        <v>46112</v>
      </c>
      <c r="C25" s="2">
        <f t="shared" si="1"/>
        <v>9</v>
      </c>
      <c r="D25" s="3">
        <f t="shared" si="0"/>
        <v>2543302.0299999989</v>
      </c>
      <c r="E25" s="3">
        <f>ROUND(Table1578[[#This Row],[Beginning Balance]]*Table1578[[#This Row],[Monthly Interest Rate]],2)</f>
        <v>15856.08</v>
      </c>
      <c r="F25" s="3">
        <f t="shared" si="2"/>
        <v>-6</v>
      </c>
      <c r="G25" s="23">
        <f>IFERROR(IF($C$13="No","N/A",IF(Table1578[[#This Row],[Period]]=1,$C$6,PMT(InterestRate*AmortizationMultiplier/12,Table1578[[#This Row],[Am Thru]],-Table1578[[#This Row],[Beginning Balance]]))),0)</f>
        <v>-417447.41374180943</v>
      </c>
      <c r="H25" s="3">
        <f>MAX(0,IF(C25=$C$4,D25,ROUND(IF($C$3="Fixed Principal",$C$6-Table1578[[#This Row],[Interest]],IF($C$3="Interest Only",Table1578[[#This Row],[Beginning Balance]]*ROUND(1-(1-IF($C$11="No",$E$8,1))^(1/12),6),MIN(IF($C$13="Yes",Table1578[[#This Row],[Payment Amount (Reamortized)]],$C$6)-Table1578[[#This Row],[Interest]],Table1578[[#This Row],[Beginning Balance]]))),2)))</f>
        <v>4450.78</v>
      </c>
      <c r="I25" s="4">
        <f>IF($C$3="Interest Only",0,ROUND(MAX(MIN(IF($C$10="No",$E$7,VLOOKUP(Table1578[[#This Row],[Period]],Forecast!$H$2:$L$1048576,4,FALSE))*Table1578[[#This Row],[Beginning Balance]],Table1578[[#This Row],[Beginning Balance]]-Table1578[[#This Row],[Principal]]),0),2))</f>
        <v>0</v>
      </c>
      <c r="J25" s="3">
        <f>ROUND(MIN(Table1578[[#This Row],[Beginning Balance]]*IF($C$8="No",$E$3,VLOOKUP(Table1578[[#This Row],[Period]],Forecast!$H$2:$L$1048576,2,FALSE)),Table1578[[#This Row],[Beginning Balance]]-Table1578[[#This Row],[Principal]]-Table1578[[#This Row],[Prepayments]]),2)</f>
        <v>1264.02</v>
      </c>
      <c r="K25" s="3">
        <f>ROUND(Table1578[[#This Row],[Defaulted Principal]]*IF($C$9="No",$E$4,VLOOKUP(Table1578[[#This Row],[Period]],Forecast!$H$2:$L$1048576,3,FALSE)),2)</f>
        <v>100.84</v>
      </c>
      <c r="L25" s="2">
        <f>Table1578[[#This Row],[Period]]+$E$9</f>
        <v>21</v>
      </c>
      <c r="M25" s="3">
        <f>Table1578[[#This Row],[Defaulted Principal]]-Table1578[[#This Row],[Estimated Loss]]</f>
        <v>1163.18</v>
      </c>
      <c r="N25" s="3">
        <f>IFERROR(VLOOKUP(Table1578[[#This Row],[Period]],$L$16:$M$28,2,FALSE),0)</f>
        <v>0</v>
      </c>
      <c r="O25" s="3">
        <f>Table1578[[#This Row],[Beginning Balance]]-Table1578[[#This Row],[Principal]]-Table1578[[#This Row],[Prepayments]]-Table1578[[#This Row],[Defaulted Principal]]</f>
        <v>2537587.2299999991</v>
      </c>
      <c r="P25" s="3">
        <f>Table1578[[#This Row],[Principal]]+Table1578[[#This Row],[Interest]]+Table1578[[#This Row],[Prepayments]]+Table1578[[#This Row],[RecoveredAmount]]</f>
        <v>20306.86</v>
      </c>
      <c r="Q25" s="3">
        <f ca="1">ROUND(Table1578[[#This Row],[Cash Flow]]/((1+ActualRateToUse)^(IF(ISNUMBER(SEARCH("Actual",$C$7)),Table1578[[#This Row],[Running Total]]/365,Table1578[[#This Row],[Period]]/12))),2)</f>
        <v>19199.8</v>
      </c>
      <c r="R25" s="2">
        <f>IF(MONTH(Table1578[[#This Row],[Date]])=2,28,DAY(DATE(YEAR(Table1578[[#This Row],[Date]]),MONTH(Table1578[[#This Row],[Date]])+1,1)-1))</f>
        <v>31</v>
      </c>
      <c r="S25" s="2">
        <f ca="1">SUM(OFFSET(Table1578[[#Headers],[Days in month]],1,0):Table1578[[#This Row],[Days in month]])</f>
        <v>274</v>
      </c>
      <c r="T25" s="37">
        <f>InterestRate*AmortizationMultiplier*IF(ISNUMBER(SEARCH("Actual",$C$7)),Table1578[[#This Row],[Days in month]]/365,1/12)</f>
        <v>6.2344444444444444E-3</v>
      </c>
    </row>
    <row r="26" spans="2:20" x14ac:dyDescent="0.2">
      <c r="B26" s="1">
        <v>46142</v>
      </c>
      <c r="C26" s="2">
        <f t="shared" si="1"/>
        <v>10</v>
      </c>
      <c r="D26" s="3">
        <f t="shared" si="0"/>
        <v>2537587.2299999991</v>
      </c>
      <c r="E26" s="3">
        <f>ROUND(Table1578[[#This Row],[Beginning Balance]]*Table1578[[#This Row],[Monthly Interest Rate]],2)</f>
        <v>15310.11</v>
      </c>
      <c r="F26" s="3">
        <f t="shared" si="2"/>
        <v>-7</v>
      </c>
      <c r="G26" s="23">
        <f>IFERROR(IF($C$13="No","N/A",IF(Table1578[[#This Row],[Period]]=1,$C$6,PMT(InterestRate*AmortizationMultiplier/12,Table1578[[#This Row],[Am Thru]],-Table1578[[#This Row],[Beginning Balance]]))),0)</f>
        <v>-355913.94712569</v>
      </c>
      <c r="H26" s="3">
        <f>MAX(0,IF(C26=$C$4,D26,ROUND(IF($C$3="Fixed Principal",$C$6-Table1578[[#This Row],[Interest]],IF($C$3="Interest Only",Table1578[[#This Row],[Beginning Balance]]*ROUND(1-(1-IF($C$11="No",$E$8,1))^(1/12),6),MIN(IF($C$13="Yes",Table1578[[#This Row],[Payment Amount (Reamortized)]],$C$6)-Table1578[[#This Row],[Interest]],Table1578[[#This Row],[Beginning Balance]]))),2)))</f>
        <v>4440.78</v>
      </c>
      <c r="I26" s="4">
        <f>IF($C$3="Interest Only",0,ROUND(MAX(MIN(IF($C$10="No",$E$7,VLOOKUP(Table1578[[#This Row],[Period]],Forecast!$H$2:$L$1048576,4,FALSE))*Table1578[[#This Row],[Beginning Balance]],Table1578[[#This Row],[Beginning Balance]]-Table1578[[#This Row],[Principal]]),0),2))</f>
        <v>0</v>
      </c>
      <c r="J26" s="3">
        <f>ROUND(MIN(Table1578[[#This Row],[Beginning Balance]]*IF($C$8="No",$E$3,VLOOKUP(Table1578[[#This Row],[Period]],Forecast!$H$2:$L$1048576,2,FALSE)),Table1578[[#This Row],[Beginning Balance]]-Table1578[[#This Row],[Principal]]-Table1578[[#This Row],[Prepayments]]),2)</f>
        <v>1248.49</v>
      </c>
      <c r="K26" s="3">
        <f>ROUND(Table1578[[#This Row],[Defaulted Principal]]*IF($C$9="No",$E$4,VLOOKUP(Table1578[[#This Row],[Period]],Forecast!$H$2:$L$1048576,3,FALSE)),2)</f>
        <v>99.36</v>
      </c>
      <c r="L26" s="2">
        <f>Table1578[[#This Row],[Period]]+$E$9</f>
        <v>22</v>
      </c>
      <c r="M26" s="3">
        <f>Table1578[[#This Row],[Defaulted Principal]]-Table1578[[#This Row],[Estimated Loss]]</f>
        <v>1149.1300000000001</v>
      </c>
      <c r="N26" s="3">
        <f>IFERROR(VLOOKUP(Table1578[[#This Row],[Period]],$L$16:$M$28,2,FALSE),0)</f>
        <v>0</v>
      </c>
      <c r="O26" s="3">
        <f>Table1578[[#This Row],[Beginning Balance]]-Table1578[[#This Row],[Principal]]-Table1578[[#This Row],[Prepayments]]-Table1578[[#This Row],[Defaulted Principal]]</f>
        <v>2531897.959999999</v>
      </c>
      <c r="P26" s="3">
        <f>Table1578[[#This Row],[Principal]]+Table1578[[#This Row],[Interest]]+Table1578[[#This Row],[Prepayments]]+Table1578[[#This Row],[RecoveredAmount]]</f>
        <v>19750.89</v>
      </c>
      <c r="Q26" s="3">
        <f ca="1">ROUND(Table1578[[#This Row],[Cash Flow]]/((1+ActualRateToUse)^(IF(ISNUMBER(SEARCH("Actual",$C$7)),Table1578[[#This Row],[Running Total]]/365,Table1578[[#This Row],[Period]]/12))),2)</f>
        <v>18559.87</v>
      </c>
      <c r="R26" s="2">
        <f>IF(MONTH(Table1578[[#This Row],[Date]])=2,28,DAY(DATE(YEAR(Table1578[[#This Row],[Date]]),MONTH(Table1578[[#This Row],[Date]])+1,1)-1))</f>
        <v>30</v>
      </c>
      <c r="S26" s="2">
        <f ca="1">SUM(OFFSET(Table1578[[#Headers],[Days in month]],1,0):Table1578[[#This Row],[Days in month]])</f>
        <v>304</v>
      </c>
      <c r="T26" s="37">
        <f>InterestRate*AmortizationMultiplier*IF(ISNUMBER(SEARCH("Actual",$C$7)),Table1578[[#This Row],[Days in month]]/365,1/12)</f>
        <v>6.0333333333333333E-3</v>
      </c>
    </row>
    <row r="27" spans="2:20" x14ac:dyDescent="0.2">
      <c r="B27" s="1">
        <v>46173</v>
      </c>
      <c r="C27" s="2">
        <f t="shared" si="1"/>
        <v>11</v>
      </c>
      <c r="D27" s="3">
        <f t="shared" si="0"/>
        <v>2531897.959999999</v>
      </c>
      <c r="E27" s="3">
        <f>ROUND(Table1578[[#This Row],[Beginning Balance]]*Table1578[[#This Row],[Monthly Interest Rate]],2)</f>
        <v>15784.98</v>
      </c>
      <c r="F27" s="3">
        <f t="shared" si="2"/>
        <v>-8</v>
      </c>
      <c r="G27" s="23">
        <f>IFERROR(IF($C$13="No","N/A",IF(Table1578[[#This Row],[Period]]=1,$C$6,PMT(InterestRate*AmortizationMultiplier/12,Table1578[[#This Row],[Am Thru]],-Table1578[[#This Row],[Beginning Balance]]))),0)</f>
        <v>-309773.25014422595</v>
      </c>
      <c r="H27" s="3">
        <f>MAX(0,IF(C27=$C$4,D27,ROUND(IF($C$3="Fixed Principal",$C$6-Table1578[[#This Row],[Interest]],IF($C$3="Interest Only",Table1578[[#This Row],[Beginning Balance]]*ROUND(1-(1-IF($C$11="No",$E$8,1))^(1/12),6),MIN(IF($C$13="Yes",Table1578[[#This Row],[Payment Amount (Reamortized)]],$C$6)-Table1578[[#This Row],[Interest]],Table1578[[#This Row],[Beginning Balance]]))),2)))</f>
        <v>4430.82</v>
      </c>
      <c r="I27" s="4">
        <f>IF($C$3="Interest Only",0,ROUND(MAX(MIN(IF($C$10="No",$E$7,VLOOKUP(Table1578[[#This Row],[Period]],Forecast!$H$2:$L$1048576,4,FALSE))*Table1578[[#This Row],[Beginning Balance]],Table1578[[#This Row],[Beginning Balance]]-Table1578[[#This Row],[Principal]]),0),2))</f>
        <v>0</v>
      </c>
      <c r="J27" s="3">
        <f>ROUND(MIN(Table1578[[#This Row],[Beginning Balance]]*IF($C$8="No",$E$3,VLOOKUP(Table1578[[#This Row],[Period]],Forecast!$H$2:$L$1048576,2,FALSE)),Table1578[[#This Row],[Beginning Balance]]-Table1578[[#This Row],[Principal]]-Table1578[[#This Row],[Prepayments]]),2)</f>
        <v>1245.69</v>
      </c>
      <c r="K27" s="3">
        <f>ROUND(Table1578[[#This Row],[Defaulted Principal]]*IF($C$9="No",$E$4,VLOOKUP(Table1578[[#This Row],[Period]],Forecast!$H$2:$L$1048576,3,FALSE)),2)</f>
        <v>99.14</v>
      </c>
      <c r="L27" s="2">
        <f>Table1578[[#This Row],[Period]]+$E$9</f>
        <v>23</v>
      </c>
      <c r="M27" s="3">
        <f>Table1578[[#This Row],[Defaulted Principal]]-Table1578[[#This Row],[Estimated Loss]]</f>
        <v>1146.55</v>
      </c>
      <c r="N27" s="3">
        <f>IFERROR(VLOOKUP(Table1578[[#This Row],[Period]],$L$16:$M$28,2,FALSE),0)</f>
        <v>0</v>
      </c>
      <c r="O27" s="3">
        <f>Table1578[[#This Row],[Beginning Balance]]-Table1578[[#This Row],[Principal]]-Table1578[[#This Row],[Prepayments]]-Table1578[[#This Row],[Defaulted Principal]]</f>
        <v>2526221.4499999993</v>
      </c>
      <c r="P27" s="3">
        <f>Table1578[[#This Row],[Principal]]+Table1578[[#This Row],[Interest]]+Table1578[[#This Row],[Prepayments]]+Table1578[[#This Row],[RecoveredAmount]]</f>
        <v>20215.8</v>
      </c>
      <c r="Q27" s="3">
        <f ca="1">ROUND(Table1578[[#This Row],[Cash Flow]]/((1+ActualRateToUse)^(IF(ISNUMBER(SEARCH("Actual",$C$7)),Table1578[[#This Row],[Running Total]]/365,Table1578[[#This Row],[Period]]/12))),2)</f>
        <v>18876.64</v>
      </c>
      <c r="R27" s="2">
        <f>IF(MONTH(Table1578[[#This Row],[Date]])=2,28,DAY(DATE(YEAR(Table1578[[#This Row],[Date]]),MONTH(Table1578[[#This Row],[Date]])+1,1)-1))</f>
        <v>31</v>
      </c>
      <c r="S27" s="2">
        <f ca="1">SUM(OFFSET(Table1578[[#Headers],[Days in month]],1,0):Table1578[[#This Row],[Days in month]])</f>
        <v>335</v>
      </c>
      <c r="T27" s="37">
        <f>InterestRate*AmortizationMultiplier*IF(ISNUMBER(SEARCH("Actual",$C$7)),Table1578[[#This Row],[Days in month]]/365,1/12)</f>
        <v>6.2344444444444444E-3</v>
      </c>
    </row>
    <row r="28" spans="2:20" x14ac:dyDescent="0.2">
      <c r="B28" s="1">
        <v>46203</v>
      </c>
      <c r="C28" s="2">
        <f t="shared" si="1"/>
        <v>12</v>
      </c>
      <c r="D28" s="3">
        <f t="shared" si="0"/>
        <v>2526221.4499999993</v>
      </c>
      <c r="E28" s="3">
        <f>ROUND(Table1578[[#This Row],[Beginning Balance]]*Table1578[[#This Row],[Monthly Interest Rate]],2)</f>
        <v>15241.54</v>
      </c>
      <c r="F28" s="3">
        <f t="shared" si="2"/>
        <v>-9</v>
      </c>
      <c r="G28" s="23">
        <f>IFERROR(IF($C$13="No","N/A",IF(Table1578[[#This Row],[Period]]=1,$C$6,PMT(InterestRate*AmortizationMultiplier/12,Table1578[[#This Row],[Am Thru]],-Table1578[[#This Row],[Beginning Balance]]))),0)</f>
        <v>-273892.97754435899</v>
      </c>
      <c r="H28" s="3">
        <f>MAX(0,IF(C28=$C$4,D28,ROUND(IF($C$3="Fixed Principal",$C$6-Table1578[[#This Row],[Interest]],IF($C$3="Interest Only",Table1578[[#This Row],[Beginning Balance]]*ROUND(1-(1-IF($C$11="No",$E$8,1))^(1/12),6),MIN(IF($C$13="Yes",Table1578[[#This Row],[Payment Amount (Reamortized)]],$C$6)-Table1578[[#This Row],[Interest]],Table1578[[#This Row],[Beginning Balance]]))),2)))</f>
        <v>4420.8900000000003</v>
      </c>
      <c r="I28" s="4">
        <f>IF($C$3="Interest Only",0,ROUND(MAX(MIN(IF($C$10="No",$E$7,VLOOKUP(Table1578[[#This Row],[Period]],Forecast!$H$2:$L$1048576,4,FALSE))*Table1578[[#This Row],[Beginning Balance]],Table1578[[#This Row],[Beginning Balance]]-Table1578[[#This Row],[Principal]]),0),2))</f>
        <v>0</v>
      </c>
      <c r="J28" s="3">
        <f>ROUND(MIN(Table1578[[#This Row],[Beginning Balance]]*IF($C$8="No",$E$3,VLOOKUP(Table1578[[#This Row],[Period]],Forecast!$H$2:$L$1048576,2,FALSE)),Table1578[[#This Row],[Beginning Balance]]-Table1578[[#This Row],[Principal]]-Table1578[[#This Row],[Prepayments]]),2)</f>
        <v>1242.9000000000001</v>
      </c>
      <c r="K28" s="3">
        <f>ROUND(Table1578[[#This Row],[Defaulted Principal]]*IF($C$9="No",$E$4,VLOOKUP(Table1578[[#This Row],[Period]],Forecast!$H$2:$L$1048576,3,FALSE)),2)</f>
        <v>98.92</v>
      </c>
      <c r="L28" s="2">
        <f>Table1578[[#This Row],[Period]]+$E$9</f>
        <v>24</v>
      </c>
      <c r="M28" s="3">
        <f>Table1578[[#This Row],[Defaulted Principal]]-Table1578[[#This Row],[Estimated Loss]]</f>
        <v>1143.98</v>
      </c>
      <c r="N28" s="3">
        <f>IFERROR(VLOOKUP(Table1578[[#This Row],[Period]],$L$16:$M$28,2,FALSE),0)</f>
        <v>0</v>
      </c>
      <c r="O28" s="3">
        <f>Table1578[[#This Row],[Beginning Balance]]-Table1578[[#This Row],[Principal]]-Table1578[[#This Row],[Prepayments]]-Table1578[[#This Row],[Defaulted Principal]]</f>
        <v>2520557.6599999992</v>
      </c>
      <c r="P28" s="3">
        <f>Table1578[[#This Row],[Principal]]+Table1578[[#This Row],[Interest]]+Table1578[[#This Row],[Prepayments]]+Table1578[[#This Row],[RecoveredAmount]]</f>
        <v>19662.43</v>
      </c>
      <c r="Q28" s="3">
        <f ca="1">ROUND(Table1578[[#This Row],[Cash Flow]]/((1+ActualRateToUse)^(IF(ISNUMBER(SEARCH("Actual",$C$7)),Table1578[[#This Row],[Running Total]]/365,Table1578[[#This Row],[Period]]/12))),2)</f>
        <v>18247.59</v>
      </c>
      <c r="R28" s="2">
        <f>IF(MONTH(Table1578[[#This Row],[Date]])=2,28,DAY(DATE(YEAR(Table1578[[#This Row],[Date]]),MONTH(Table1578[[#This Row],[Date]])+1,1)-1))</f>
        <v>30</v>
      </c>
      <c r="S28" s="2">
        <f ca="1">SUM(OFFSET(Table1578[[#Headers],[Days in month]],1,0):Table1578[[#This Row],[Days in month]])</f>
        <v>365</v>
      </c>
      <c r="T28" s="37">
        <f>InterestRate*AmortizationMultiplier*IF(ISNUMBER(SEARCH("Actual",$C$7)),Table1578[[#This Row],[Days in month]]/365,1/12)</f>
        <v>6.0333333333333333E-3</v>
      </c>
    </row>
    <row r="29" spans="2:20" x14ac:dyDescent="0.2">
      <c r="B29" s="1">
        <v>46234</v>
      </c>
      <c r="C29" s="2">
        <f t="shared" si="1"/>
        <v>13</v>
      </c>
      <c r="D29" s="3">
        <f t="shared" si="0"/>
        <v>2520557.6599999992</v>
      </c>
      <c r="E29" s="3">
        <f>ROUND(Table1578[[#This Row],[Beginning Balance]]*Table1578[[#This Row],[Monthly Interest Rate]],2)</f>
        <v>15714.28</v>
      </c>
      <c r="F29" s="3">
        <f t="shared" si="2"/>
        <v>-10</v>
      </c>
      <c r="G29" s="23">
        <f>IFERROR(IF($C$13="No","N/A",IF(Table1578[[#This Row],[Period]]=1,$C$6,PMT(InterestRate*AmortizationMultiplier/12,Table1578[[#This Row],[Am Thru]],-Table1578[[#This Row],[Beginning Balance]]))),0)</f>
        <v>-245194.97592987001</v>
      </c>
      <c r="H29" s="3">
        <f>MAX(0,IF(C29=$C$4,D29,ROUND(IF($C$3="Fixed Principal",$C$6-Table1578[[#This Row],[Interest]],IF($C$3="Interest Only",Table1578[[#This Row],[Beginning Balance]]*ROUND(1-(1-IF($C$11="No",$E$8,1))^(1/12),6),MIN(IF($C$13="Yes",Table1578[[#This Row],[Payment Amount (Reamortized)]],$C$6)-Table1578[[#This Row],[Interest]],Table1578[[#This Row],[Beginning Balance]]))),2)))</f>
        <v>4410.9799999999996</v>
      </c>
      <c r="I29" s="4">
        <f>IF($C$3="Interest Only",0,ROUND(MAX(MIN(IF($C$10="No",$E$7,VLOOKUP(Table1578[[#This Row],[Period]],Forecast!$H$2:$L$1048576,4,FALSE))*Table1578[[#This Row],[Beginning Balance]],Table1578[[#This Row],[Beginning Balance]]-Table1578[[#This Row],[Principal]]),0),2))</f>
        <v>0</v>
      </c>
      <c r="J29" s="3">
        <f>ROUND(MIN(Table1578[[#This Row],[Beginning Balance]]*IF($C$8="No",$E$3,VLOOKUP(Table1578[[#This Row],[Period]],Forecast!$H$2:$L$1048576,2,FALSE)),Table1578[[#This Row],[Beginning Balance]]-Table1578[[#This Row],[Principal]]-Table1578[[#This Row],[Prepayments]]),2)</f>
        <v>1300.6099999999999</v>
      </c>
      <c r="K29" s="3">
        <f>ROUND(Table1578[[#This Row],[Defaulted Principal]]*IF($C$9="No",$E$4,VLOOKUP(Table1578[[#This Row],[Period]],Forecast!$H$2:$L$1048576,3,FALSE)),2)</f>
        <v>104.78</v>
      </c>
      <c r="L29" s="2">
        <f>Table1578[[#This Row],[Period]]+$E$9</f>
        <v>25</v>
      </c>
      <c r="M29" s="3">
        <f>Table1578[[#This Row],[Defaulted Principal]]-Table1578[[#This Row],[Estimated Loss]]</f>
        <v>1195.83</v>
      </c>
      <c r="N29" s="3">
        <f>IFERROR(VLOOKUP(Table1578[[#This Row],[Period]],$L$16:$M$385,2,FALSE),0)</f>
        <v>1086.1699999999998</v>
      </c>
      <c r="O29" s="3">
        <f>Table1578[[#This Row],[Beginning Balance]]-Table1578[[#This Row],[Principal]]-Table1578[[#This Row],[Prepayments]]-Table1578[[#This Row],[Defaulted Principal]]</f>
        <v>2514846.0699999994</v>
      </c>
      <c r="P29" s="3">
        <f>Table1578[[#This Row],[Principal]]+Table1578[[#This Row],[Interest]]+Table1578[[#This Row],[Prepayments]]+Table1578[[#This Row],[RecoveredAmount]]</f>
        <v>21211.43</v>
      </c>
      <c r="Q29" s="3">
        <f ca="1">ROUND(Table1578[[#This Row],[Cash Flow]]/((1+ActualRateToUse)^(IF(ISNUMBER(SEARCH("Actual",$C$7)),Table1578[[#This Row],[Running Total]]/365,Table1578[[#This Row],[Period]]/12))),2)</f>
        <v>19560.669999999998</v>
      </c>
      <c r="R29" s="2">
        <f>IF(MONTH(Table1578[[#This Row],[Date]])=2,28,DAY(DATE(YEAR(Table1578[[#This Row],[Date]]),MONTH(Table1578[[#This Row],[Date]])+1,1)-1))</f>
        <v>31</v>
      </c>
      <c r="S29" s="2">
        <f ca="1">SUM(OFFSET(Table1578[[#Headers],[Days in month]],1,0):Table1578[[#This Row],[Days in month]])</f>
        <v>396</v>
      </c>
      <c r="T29" s="37">
        <f>InterestRate*AmortizationMultiplier*IF(ISNUMBER(SEARCH("Actual",$C$7)),Table1578[[#This Row],[Days in month]]/365,1/12)</f>
        <v>6.2344444444444444E-3</v>
      </c>
    </row>
    <row r="30" spans="2:20" x14ac:dyDescent="0.2">
      <c r="B30" s="1">
        <v>46265</v>
      </c>
      <c r="C30" s="2">
        <f t="shared" si="1"/>
        <v>14</v>
      </c>
      <c r="D30" s="3">
        <f t="shared" si="0"/>
        <v>2514846.0699999994</v>
      </c>
      <c r="E30" s="3">
        <f>ROUND(Table1578[[#This Row],[Beginning Balance]]*Table1578[[#This Row],[Monthly Interest Rate]],2)</f>
        <v>15678.67</v>
      </c>
      <c r="F30" s="3">
        <f t="shared" si="2"/>
        <v>-11</v>
      </c>
      <c r="G30" s="23">
        <f>IFERROR(IF($C$13="No","N/A",IF(Table1578[[#This Row],[Period]]=1,$C$6,PMT(InterestRate*AmortizationMultiplier/12,Table1578[[#This Row],[Am Thru]],-Table1578[[#This Row],[Beginning Balance]]))),0)</f>
        <v>-221715.08842198248</v>
      </c>
      <c r="H30" s="3">
        <f>MAX(0,IF(C30=$C$4,D30,ROUND(IF($C$3="Fixed Principal",$C$6-Table1578[[#This Row],[Interest]],IF($C$3="Interest Only",Table1578[[#This Row],[Beginning Balance]]*ROUND(1-(1-IF($C$11="No",$E$8,1))^(1/12),6),MIN(IF($C$13="Yes",Table1578[[#This Row],[Payment Amount (Reamortized)]],$C$6)-Table1578[[#This Row],[Interest]],Table1578[[#This Row],[Beginning Balance]]))),2)))</f>
        <v>4400.9799999999996</v>
      </c>
      <c r="I30" s="4">
        <f>IF($C$3="Interest Only",0,ROUND(MAX(MIN(IF($C$10="No",$E$7,VLOOKUP(Table1578[[#This Row],[Period]],Forecast!$H$2:$L$1048576,4,FALSE))*Table1578[[#This Row],[Beginning Balance]],Table1578[[#This Row],[Beginning Balance]]-Table1578[[#This Row],[Principal]]),0),2))</f>
        <v>0</v>
      </c>
      <c r="J30" s="3">
        <f>ROUND(MIN(Table1578[[#This Row],[Beginning Balance]]*IF($C$8="No",$E$3,VLOOKUP(Table1578[[#This Row],[Period]],Forecast!$H$2:$L$1048576,2,FALSE)),Table1578[[#This Row],[Beginning Balance]]-Table1578[[#This Row],[Principal]]-Table1578[[#This Row],[Prepayments]]),2)</f>
        <v>1297.6600000000001</v>
      </c>
      <c r="K30" s="3">
        <f>ROUND(Table1578[[#This Row],[Defaulted Principal]]*IF($C$9="No",$E$4,VLOOKUP(Table1578[[#This Row],[Period]],Forecast!$H$2:$L$1048576,3,FALSE)),2)</f>
        <v>104.54</v>
      </c>
      <c r="L30" s="2">
        <f>Table1578[[#This Row],[Period]]+$E$9</f>
        <v>26</v>
      </c>
      <c r="M30" s="3">
        <f>Table1578[[#This Row],[Defaulted Principal]]-Table1578[[#This Row],[Estimated Loss]]</f>
        <v>1193.1200000000001</v>
      </c>
      <c r="N30" s="3">
        <f>IFERROR(VLOOKUP(Table1578[[#This Row],[Period]],$L$16:$M$385,2,FALSE),0)</f>
        <v>1083.77</v>
      </c>
      <c r="O30" s="3">
        <f>Table1578[[#This Row],[Beginning Balance]]-Table1578[[#This Row],[Principal]]-Table1578[[#This Row],[Prepayments]]-Table1578[[#This Row],[Defaulted Principal]]</f>
        <v>2509147.4299999992</v>
      </c>
      <c r="P30" s="3">
        <f>Table1578[[#This Row],[Principal]]+Table1578[[#This Row],[Interest]]+Table1578[[#This Row],[Prepayments]]+Table1578[[#This Row],[RecoveredAmount]]</f>
        <v>21163.420000000002</v>
      </c>
      <c r="Q30" s="3">
        <f ca="1">ROUND(Table1578[[#This Row],[Cash Flow]]/((1+ActualRateToUse)^(IF(ISNUMBER(SEARCH("Actual",$C$7)),Table1578[[#This Row],[Running Total]]/365,Table1578[[#This Row],[Period]]/12))),2)</f>
        <v>19393</v>
      </c>
      <c r="R30" s="2">
        <f>IF(MONTH(Table1578[[#This Row],[Date]])=2,28,DAY(DATE(YEAR(Table1578[[#This Row],[Date]]),MONTH(Table1578[[#This Row],[Date]])+1,1)-1))</f>
        <v>31</v>
      </c>
      <c r="S30" s="2">
        <f ca="1">SUM(OFFSET(Table1578[[#Headers],[Days in month]],1,0):Table1578[[#This Row],[Days in month]])</f>
        <v>427</v>
      </c>
      <c r="T30" s="37">
        <f>InterestRate*AmortizationMultiplier*IF(ISNUMBER(SEARCH("Actual",$C$7)),Table1578[[#This Row],[Days in month]]/365,1/12)</f>
        <v>6.2344444444444444E-3</v>
      </c>
    </row>
    <row r="31" spans="2:20" x14ac:dyDescent="0.2">
      <c r="B31" s="1">
        <v>46295</v>
      </c>
      <c r="C31" s="2">
        <f t="shared" si="1"/>
        <v>15</v>
      </c>
      <c r="D31" s="3">
        <f t="shared" si="0"/>
        <v>2509147.4299999992</v>
      </c>
      <c r="E31" s="3">
        <f>ROUND(Table1578[[#This Row],[Beginning Balance]]*Table1578[[#This Row],[Monthly Interest Rate]],2)</f>
        <v>15138.52</v>
      </c>
      <c r="F31" s="3">
        <f t="shared" si="2"/>
        <v>-12</v>
      </c>
      <c r="G31" s="23">
        <f>IFERROR(IF($C$13="No","N/A",IF(Table1578[[#This Row],[Period]]=1,$C$6,PMT(InterestRate*AmortizationMultiplier/12,Table1578[[#This Row],[Am Thru]],-Table1578[[#This Row],[Beginning Balance]]))),0)</f>
        <v>-202153.70771418256</v>
      </c>
      <c r="H31" s="3">
        <f>MAX(0,IF(C31=$C$4,D31,ROUND(IF($C$3="Fixed Principal",$C$6-Table1578[[#This Row],[Interest]],IF($C$3="Interest Only",Table1578[[#This Row],[Beginning Balance]]*ROUND(1-(1-IF($C$11="No",$E$8,1))^(1/12),6),MIN(IF($C$13="Yes",Table1578[[#This Row],[Payment Amount (Reamortized)]],$C$6)-Table1578[[#This Row],[Interest]],Table1578[[#This Row],[Beginning Balance]]))),2)))</f>
        <v>4391.01</v>
      </c>
      <c r="I31" s="4">
        <f>IF($C$3="Interest Only",0,ROUND(MAX(MIN(IF($C$10="No",$E$7,VLOOKUP(Table1578[[#This Row],[Period]],Forecast!$H$2:$L$1048576,4,FALSE))*Table1578[[#This Row],[Beginning Balance]],Table1578[[#This Row],[Beginning Balance]]-Table1578[[#This Row],[Principal]]),0),2))</f>
        <v>0</v>
      </c>
      <c r="J31" s="3">
        <f>ROUND(MIN(Table1578[[#This Row],[Beginning Balance]]*IF($C$8="No",$E$3,VLOOKUP(Table1578[[#This Row],[Period]],Forecast!$H$2:$L$1048576,2,FALSE)),Table1578[[#This Row],[Beginning Balance]]-Table1578[[#This Row],[Principal]]-Table1578[[#This Row],[Prepayments]]),2)</f>
        <v>1294.72</v>
      </c>
      <c r="K31" s="3">
        <f>ROUND(Table1578[[#This Row],[Defaulted Principal]]*IF($C$9="No",$E$4,VLOOKUP(Table1578[[#This Row],[Period]],Forecast!$H$2:$L$1048576,3,FALSE)),2)</f>
        <v>104.31</v>
      </c>
      <c r="L31" s="2">
        <f>Table1578[[#This Row],[Period]]+$E$9</f>
        <v>27</v>
      </c>
      <c r="M31" s="3">
        <f>Table1578[[#This Row],[Defaulted Principal]]-Table1578[[#This Row],[Estimated Loss]]</f>
        <v>1190.4100000000001</v>
      </c>
      <c r="N31" s="3">
        <f>IFERROR(VLOOKUP(Table1578[[#This Row],[Period]],$L$16:$M$385,2,FALSE),0)</f>
        <v>1081.3900000000001</v>
      </c>
      <c r="O31" s="3">
        <f>Table1578[[#This Row],[Beginning Balance]]-Table1578[[#This Row],[Principal]]-Table1578[[#This Row],[Prepayments]]-Table1578[[#This Row],[Defaulted Principal]]</f>
        <v>2503461.6999999993</v>
      </c>
      <c r="P31" s="3">
        <f>Table1578[[#This Row],[Principal]]+Table1578[[#This Row],[Interest]]+Table1578[[#This Row],[Prepayments]]+Table1578[[#This Row],[RecoveredAmount]]</f>
        <v>20610.919999999998</v>
      </c>
      <c r="Q31" s="3">
        <f ca="1">ROUND(Table1578[[#This Row],[Cash Flow]]/((1+ActualRateToUse)^(IF(ISNUMBER(SEARCH("Actual",$C$7)),Table1578[[#This Row],[Running Total]]/365,Table1578[[#This Row],[Period]]/12))),2)</f>
        <v>18771.16</v>
      </c>
      <c r="R31" s="2">
        <f>IF(MONTH(Table1578[[#This Row],[Date]])=2,28,DAY(DATE(YEAR(Table1578[[#This Row],[Date]]),MONTH(Table1578[[#This Row],[Date]])+1,1)-1))</f>
        <v>30</v>
      </c>
      <c r="S31" s="2">
        <f ca="1">SUM(OFFSET(Table1578[[#Headers],[Days in month]],1,0):Table1578[[#This Row],[Days in month]])</f>
        <v>457</v>
      </c>
      <c r="T31" s="37">
        <f>InterestRate*AmortizationMultiplier*IF(ISNUMBER(SEARCH("Actual",$C$7)),Table1578[[#This Row],[Days in month]]/365,1/12)</f>
        <v>6.0333333333333333E-3</v>
      </c>
    </row>
    <row r="32" spans="2:20" x14ac:dyDescent="0.2">
      <c r="B32" s="1">
        <v>46326</v>
      </c>
      <c r="C32" s="2">
        <f t="shared" si="1"/>
        <v>16</v>
      </c>
      <c r="D32" s="3">
        <f t="shared" si="0"/>
        <v>2503461.6999999993</v>
      </c>
      <c r="E32" s="3">
        <f>ROUND(Table1578[[#This Row],[Beginning Balance]]*Table1578[[#This Row],[Monthly Interest Rate]],2)</f>
        <v>15607.69</v>
      </c>
      <c r="F32" s="3">
        <f t="shared" si="2"/>
        <v>-13</v>
      </c>
      <c r="G32" s="23">
        <f>IFERROR(IF($C$13="No","N/A",IF(Table1578[[#This Row],[Period]]=1,$C$6,PMT(InterestRate*AmortizationMultiplier/12,Table1578[[#This Row],[Am Thru]],-Table1578[[#This Row],[Beginning Balance]]))),0)</f>
        <v>-185606.54283890038</v>
      </c>
      <c r="H32" s="3">
        <f>MAX(0,IF(C32=$C$4,D32,ROUND(IF($C$3="Fixed Principal",$C$6-Table1578[[#This Row],[Interest]],IF($C$3="Interest Only",Table1578[[#This Row],[Beginning Balance]]*ROUND(1-(1-IF($C$11="No",$E$8,1))^(1/12),6),MIN(IF($C$13="Yes",Table1578[[#This Row],[Payment Amount (Reamortized)]],$C$6)-Table1578[[#This Row],[Interest]],Table1578[[#This Row],[Beginning Balance]]))),2)))</f>
        <v>4381.0600000000004</v>
      </c>
      <c r="I32" s="4">
        <f>IF($C$3="Interest Only",0,ROUND(MAX(MIN(IF($C$10="No",$E$7,VLOOKUP(Table1578[[#This Row],[Period]],Forecast!$H$2:$L$1048576,4,FALSE))*Table1578[[#This Row],[Beginning Balance]],Table1578[[#This Row],[Beginning Balance]]-Table1578[[#This Row],[Principal]]),0),2))</f>
        <v>0</v>
      </c>
      <c r="J32" s="3">
        <f>ROUND(MIN(Table1578[[#This Row],[Beginning Balance]]*IF($C$8="No",$E$3,VLOOKUP(Table1578[[#This Row],[Period]],Forecast!$H$2:$L$1048576,2,FALSE)),Table1578[[#This Row],[Beginning Balance]]-Table1578[[#This Row],[Principal]]-Table1578[[#This Row],[Prepayments]]),2)</f>
        <v>1351.87</v>
      </c>
      <c r="K32" s="3">
        <f>ROUND(Table1578[[#This Row],[Defaulted Principal]]*IF($C$9="No",$E$4,VLOOKUP(Table1578[[#This Row],[Period]],Forecast!$H$2:$L$1048576,3,FALSE)),2)</f>
        <v>110.19</v>
      </c>
      <c r="L32" s="2">
        <f>Table1578[[#This Row],[Period]]+$E$9</f>
        <v>28</v>
      </c>
      <c r="M32" s="3">
        <f>Table1578[[#This Row],[Defaulted Principal]]-Table1578[[#This Row],[Estimated Loss]]</f>
        <v>1241.6799999999998</v>
      </c>
      <c r="N32" s="3">
        <f>IFERROR(VLOOKUP(Table1578[[#This Row],[Period]],$L$16:$M$385,2,FALSE),0)</f>
        <v>1185.57</v>
      </c>
      <c r="O32" s="3">
        <f>Table1578[[#This Row],[Beginning Balance]]-Table1578[[#This Row],[Principal]]-Table1578[[#This Row],[Prepayments]]-Table1578[[#This Row],[Defaulted Principal]]</f>
        <v>2497728.7699999991</v>
      </c>
      <c r="P32" s="3">
        <f>Table1578[[#This Row],[Principal]]+Table1578[[#This Row],[Interest]]+Table1578[[#This Row],[Prepayments]]+Table1578[[#This Row],[RecoveredAmount]]</f>
        <v>21174.32</v>
      </c>
      <c r="Q32" s="3">
        <f ca="1">ROUND(Table1578[[#This Row],[Cash Flow]]/((1+ActualRateToUse)^(IF(ISNUMBER(SEARCH("Actual",$C$7)),Table1578[[#This Row],[Running Total]]/365,Table1578[[#This Row],[Period]]/12))),2)</f>
        <v>19162.34</v>
      </c>
      <c r="R32" s="2">
        <f>IF(MONTH(Table1578[[#This Row],[Date]])=2,28,DAY(DATE(YEAR(Table1578[[#This Row],[Date]]),MONTH(Table1578[[#This Row],[Date]])+1,1)-1))</f>
        <v>31</v>
      </c>
      <c r="S32" s="2">
        <f ca="1">SUM(OFFSET(Table1578[[#Headers],[Days in month]],1,0):Table1578[[#This Row],[Days in month]])</f>
        <v>488</v>
      </c>
      <c r="T32" s="37">
        <f>InterestRate*AmortizationMultiplier*IF(ISNUMBER(SEARCH("Actual",$C$7)),Table1578[[#This Row],[Days in month]]/365,1/12)</f>
        <v>6.2344444444444444E-3</v>
      </c>
    </row>
    <row r="33" spans="2:20" x14ac:dyDescent="0.2">
      <c r="B33" s="1">
        <v>46356</v>
      </c>
      <c r="C33" s="2">
        <f t="shared" si="1"/>
        <v>17</v>
      </c>
      <c r="D33" s="3">
        <f t="shared" si="0"/>
        <v>2497728.7699999991</v>
      </c>
      <c r="E33" s="3">
        <f>ROUND(Table1578[[#This Row],[Beginning Balance]]*Table1578[[#This Row],[Monthly Interest Rate]],2)</f>
        <v>15069.63</v>
      </c>
      <c r="F33" s="3">
        <f t="shared" si="2"/>
        <v>-14</v>
      </c>
      <c r="G33" s="23">
        <f>IFERROR(IF($C$13="No","N/A",IF(Table1578[[#This Row],[Period]]=1,$C$6,PMT(InterestRate*AmortizationMultiplier/12,Table1578[[#This Row],[Am Thru]],-Table1578[[#This Row],[Beginning Balance]]))),0)</f>
        <v>-171423.54902707133</v>
      </c>
      <c r="H33" s="3">
        <f>MAX(0,IF(C33=$C$4,D33,ROUND(IF($C$3="Fixed Principal",$C$6-Table1578[[#This Row],[Interest]],IF($C$3="Interest Only",Table1578[[#This Row],[Beginning Balance]]*ROUND(1-(1-IF($C$11="No",$E$8,1))^(1/12),6),MIN(IF($C$13="Yes",Table1578[[#This Row],[Payment Amount (Reamortized)]],$C$6)-Table1578[[#This Row],[Interest]],Table1578[[#This Row],[Beginning Balance]]))),2)))</f>
        <v>2497728.7699999991</v>
      </c>
      <c r="I33" s="3">
        <f>_xlfn.SINGLE(IF($C$3="Line of Credit",0,ROUND(MAX(MIN(IF($C$10="No",$E$7,VLOOKUP(Table1578[[#This Row],[Period]],Forecast!$H$2:$L$1048576,4,FALSE))*Table1578[[#This Row],[Beginning Balance]],Table1578[[#This Row],[Beginning Balance]]-Table1578[[#This Row],[Principal]]),0),2)))</f>
        <v>0</v>
      </c>
      <c r="J33" s="3">
        <f>ROUND(MIN(Table1578[[#This Row],[Beginning Balance]]*IF($C$8="No",$E$3,VLOOKUP(Table1578[[#This Row],[Period]],Forecast!$H$2:$L$1048576,2,FALSE)),Table1578[[#This Row],[Beginning Balance]]-Table1578[[#This Row],[Principal]]-Table1578[[#This Row],[Prepayments]]),2)</f>
        <v>0</v>
      </c>
      <c r="K33" s="3">
        <f>ROUND(Table1578[[#This Row],[Defaulted Principal]]*IF($C$9="No",$E$4,VLOOKUP(Table1578[[#This Row],[Period]],Forecast!$H$2:$L$1048576,3,FALSE)),2)</f>
        <v>0</v>
      </c>
      <c r="L33" s="2">
        <f>Table1578[[#This Row],[Period]]+$E$9</f>
        <v>29</v>
      </c>
      <c r="M33" s="3">
        <f>Table1578[[#This Row],[Defaulted Principal]]-Table1578[[#This Row],[Estimated Loss]]</f>
        <v>0</v>
      </c>
      <c r="N33" s="3">
        <f>IFERROR(VLOOKUP(Table1578[[#This Row],[Period]],$L$16:$M$385,2,FALSE),0)</f>
        <v>1182.9000000000001</v>
      </c>
      <c r="O33" s="3">
        <f>Table1578[[#This Row],[Beginning Balance]]-Table1578[[#This Row],[Principal]]-Table1578[[#This Row],[Prepayments]]-Table1578[[#This Row],[Defaulted Principal]]</f>
        <v>0</v>
      </c>
      <c r="P33" s="3">
        <f>Table1578[[#This Row],[Principal]]+Table1578[[#This Row],[Interest]]+Table1578[[#This Row],[Prepayments]]+Table1578[[#This Row],[RecoveredAmount]]</f>
        <v>2513981.2999999989</v>
      </c>
      <c r="Q33" s="3">
        <f ca="1">ROUND(Table1578[[#This Row],[Cash Flow]]/((1+ActualRateToUse)^(IF(ISNUMBER(SEARCH("Actual",$C$7)),Table1578[[#This Row],[Running Total]]/365,Table1578[[#This Row],[Period]]/12))),2)</f>
        <v>2261182.21</v>
      </c>
      <c r="R33" s="2">
        <f>IF(MONTH(Table1578[[#This Row],[Date]])=2,28,DAY(DATE(YEAR(Table1578[[#This Row],[Date]]),MONTH(Table1578[[#This Row],[Date]])+1,1)-1))</f>
        <v>30</v>
      </c>
      <c r="S33" s="2">
        <f ca="1">SUM(OFFSET(Table1578[[#Headers],[Days in month]],1,0):Table1578[[#This Row],[Days in month]])</f>
        <v>518</v>
      </c>
      <c r="T33" s="37">
        <f>InterestRate*AmortizationMultiplier*IF(ISNUMBER(SEARCH("Actual",$C$7)),Table1578[[#This Row],[Days in month]]/365,1/12)</f>
        <v>6.0333333333333333E-3</v>
      </c>
    </row>
    <row r="34" spans="2:20" x14ac:dyDescent="0.2">
      <c r="B34" s="1">
        <v>46387</v>
      </c>
      <c r="C34" s="2">
        <f t="shared" si="1"/>
        <v>18</v>
      </c>
      <c r="D34" s="3">
        <f t="shared" si="0"/>
        <v>0</v>
      </c>
      <c r="E34" s="3">
        <f>ROUND(Table1578[[#This Row],[Beginning Balance]]*Table1578[[#This Row],[Monthly Interest Rate]],2)</f>
        <v>0</v>
      </c>
      <c r="F34" s="3">
        <f t="shared" si="2"/>
        <v>-15</v>
      </c>
      <c r="G34" s="23">
        <f>IFERROR(IF($C$13="No","N/A",IF(Table1578[[#This Row],[Period]]=1,$C$6,PMT(InterestRate*AmortizationMultiplier/12,Table1578[[#This Row],[Am Thru]],-Table1578[[#This Row],[Beginning Balance]]))),0)</f>
        <v>0</v>
      </c>
      <c r="H34" s="3">
        <f>MAX(0,IF(C34=$C$4,D34,ROUND(IF($C$3="Fixed Principal",$C$6-Table1578[[#This Row],[Interest]],IF($C$3="Interest Only",Table1578[[#This Row],[Beginning Balance]]*ROUND(1-(1-IF($C$11="No",$E$8,1))^(1/12),6),MIN(IF($C$13="Yes",Table1578[[#This Row],[Payment Amount (Reamortized)]],$C$6)-Table1578[[#This Row],[Interest]],Table1578[[#This Row],[Beginning Balance]]))),2)))</f>
        <v>0</v>
      </c>
      <c r="I34" s="3">
        <f>_xlfn.SINGLE(IF($C$3="Line of Credit",0,ROUND(MAX(MIN(IF($C$10="No",$E$7,VLOOKUP(Table1578[[#This Row],[Period]],Forecast!$H$2:$L$1048576,4,FALSE))*Table1578[[#This Row],[Beginning Balance]],Table1578[[#This Row],[Beginning Balance]]-Table1578[[#This Row],[Principal]]),0),2)))</f>
        <v>0</v>
      </c>
      <c r="J34" s="3">
        <f>ROUND(MIN(Table1578[[#This Row],[Beginning Balance]]*IF($C$8="No",$E$3,VLOOKUP(Table1578[[#This Row],[Period]],Forecast!$H$2:$L$1048576,2,FALSE)),Table1578[[#This Row],[Beginning Balance]]-Table1578[[#This Row],[Principal]]-Table1578[[#This Row],[Prepayments]]),2)</f>
        <v>0</v>
      </c>
      <c r="K34" s="3">
        <f>ROUND(Table1578[[#This Row],[Defaulted Principal]]*IF($C$9="No",$E$4,VLOOKUP(Table1578[[#This Row],[Period]],Forecast!$H$2:$L$1048576,3,FALSE)),2)</f>
        <v>0</v>
      </c>
      <c r="L34" s="2">
        <f>Table1578[[#This Row],[Period]]+$E$9</f>
        <v>30</v>
      </c>
      <c r="M34" s="3">
        <f>Table1578[[#This Row],[Defaulted Principal]]-Table1578[[#This Row],[Estimated Loss]]</f>
        <v>0</v>
      </c>
      <c r="N34" s="3">
        <f>IFERROR(VLOOKUP(Table1578[[#This Row],[Period]],$L$16:$M$385,2,FALSE),0)</f>
        <v>1180.25</v>
      </c>
      <c r="O34" s="3">
        <f>Table1578[[#This Row],[Beginning Balance]]-Table1578[[#This Row],[Principal]]-Table1578[[#This Row],[Prepayments]]-Table1578[[#This Row],[Defaulted Principal]]</f>
        <v>0</v>
      </c>
      <c r="P34" s="3">
        <f>Table1578[[#This Row],[Principal]]+Table1578[[#This Row],[Interest]]+Table1578[[#This Row],[Prepayments]]+Table1578[[#This Row],[RecoveredAmount]]</f>
        <v>1180.25</v>
      </c>
      <c r="Q34" s="3">
        <f ca="1">ROUND(Table1578[[#This Row],[Cash Flow]]/((1+ActualRateToUse)^(IF(ISNUMBER(SEARCH("Actual",$C$7)),Table1578[[#This Row],[Running Total]]/365,Table1578[[#This Row],[Period]]/12))),2)</f>
        <v>1054.8599999999999</v>
      </c>
      <c r="R34" s="2">
        <f>IF(MONTH(Table1578[[#This Row],[Date]])=2,28,DAY(DATE(YEAR(Table1578[[#This Row],[Date]]),MONTH(Table1578[[#This Row],[Date]])+1,1)-1))</f>
        <v>31</v>
      </c>
      <c r="S34" s="2">
        <f ca="1">SUM(OFFSET(Table1578[[#Headers],[Days in month]],1,0):Table1578[[#This Row],[Days in month]])</f>
        <v>549</v>
      </c>
      <c r="T34" s="37">
        <f>InterestRate*AmortizationMultiplier*IF(ISNUMBER(SEARCH("Actual",$C$7)),Table1578[[#This Row],[Days in month]]/365,1/12)</f>
        <v>6.2344444444444444E-3</v>
      </c>
    </row>
    <row r="35" spans="2:20" x14ac:dyDescent="0.2">
      <c r="B35" s="1">
        <v>46418</v>
      </c>
      <c r="C35" s="2">
        <f t="shared" si="1"/>
        <v>19</v>
      </c>
      <c r="D35" s="3">
        <f t="shared" si="0"/>
        <v>0</v>
      </c>
      <c r="E35" s="3">
        <f>ROUND(Table1578[[#This Row],[Beginning Balance]]*Table1578[[#This Row],[Monthly Interest Rate]],2)</f>
        <v>0</v>
      </c>
      <c r="F35" s="3">
        <f t="shared" si="2"/>
        <v>-16</v>
      </c>
      <c r="G35" s="23">
        <f>IFERROR(IF($C$13="No","N/A",IF(Table1578[[#This Row],[Period]]=1,$C$6,PMT(InterestRate*AmortizationMultiplier/12,Table1578[[#This Row],[Am Thru]],-Table1578[[#This Row],[Beginning Balance]]))),0)</f>
        <v>0</v>
      </c>
      <c r="H35" s="3">
        <f>MAX(0,IF(C35=$C$4,D35,ROUND(IF($C$3="Fixed Principal",$C$6-Table1578[[#This Row],[Interest]],IF($C$3="Interest Only",Table1578[[#This Row],[Beginning Balance]]*ROUND(1-(1-IF($C$11="No",$E$8,1))^(1/12),6),MIN(IF($C$13="Yes",Table1578[[#This Row],[Payment Amount (Reamortized)]],$C$6)-Table1578[[#This Row],[Interest]],Table1578[[#This Row],[Beginning Balance]]))),2)))</f>
        <v>0</v>
      </c>
      <c r="I35" s="3">
        <f>_xlfn.SINGLE(IF($C$3="Line of Credit",0,ROUND(MAX(MIN(IF($C$10="No",$E$7,VLOOKUP(Table1578[[#This Row],[Period]],Forecast!$H$2:$L$1048576,4,FALSE))*Table1578[[#This Row],[Beginning Balance]],Table1578[[#This Row],[Beginning Balance]]-Table1578[[#This Row],[Principal]]),0),2)))</f>
        <v>0</v>
      </c>
      <c r="J35" s="3">
        <f>ROUND(MIN(Table1578[[#This Row],[Beginning Balance]]*IF($C$8="No",$E$3,VLOOKUP(Table1578[[#This Row],[Period]],Forecast!$H$2:$L$1048576,2,FALSE)),Table1578[[#This Row],[Beginning Balance]]-Table1578[[#This Row],[Principal]]-Table1578[[#This Row],[Prepayments]]),2)</f>
        <v>0</v>
      </c>
      <c r="K35" s="3">
        <f>ROUND(Table1578[[#This Row],[Defaulted Principal]]*IF($C$9="No",$E$4,VLOOKUP(Table1578[[#This Row],[Period]],Forecast!$H$2:$L$1048576,3,FALSE)),2)</f>
        <v>0</v>
      </c>
      <c r="L35" s="2">
        <f>Table1578[[#This Row],[Period]]+$E$9</f>
        <v>31</v>
      </c>
      <c r="M35" s="3">
        <f>Table1578[[#This Row],[Defaulted Principal]]-Table1578[[#This Row],[Estimated Loss]]</f>
        <v>0</v>
      </c>
      <c r="N35" s="3">
        <f>IFERROR(VLOOKUP(Table1578[[#This Row],[Period]],$L$16:$M$385,2,FALSE),0)</f>
        <v>1168.42</v>
      </c>
      <c r="O35" s="3">
        <f>Table1578[[#This Row],[Beginning Balance]]-Table1578[[#This Row],[Principal]]-Table1578[[#This Row],[Prepayments]]-Table1578[[#This Row],[Defaulted Principal]]</f>
        <v>0</v>
      </c>
      <c r="P35" s="3">
        <f>Table1578[[#This Row],[Principal]]+Table1578[[#This Row],[Interest]]+Table1578[[#This Row],[Prepayments]]+Table1578[[#This Row],[RecoveredAmount]]</f>
        <v>1168.42</v>
      </c>
      <c r="Q35" s="3">
        <f ca="1">ROUND(Table1578[[#This Row],[Cash Flow]]/((1+ActualRateToUse)^(IF(ISNUMBER(SEARCH("Actual",$C$7)),Table1578[[#This Row],[Running Total]]/365,Table1578[[#This Row],[Period]]/12))),2)</f>
        <v>1037.68</v>
      </c>
      <c r="R35" s="2">
        <f>IF(MONTH(Table1578[[#This Row],[Date]])=2,28,DAY(DATE(YEAR(Table1578[[#This Row],[Date]]),MONTH(Table1578[[#This Row],[Date]])+1,1)-1))</f>
        <v>31</v>
      </c>
      <c r="S35" s="2">
        <f ca="1">SUM(OFFSET(Table1578[[#Headers],[Days in month]],1,0):Table1578[[#This Row],[Days in month]])</f>
        <v>580</v>
      </c>
      <c r="T35" s="37">
        <f>InterestRate*AmortizationMultiplier*IF(ISNUMBER(SEARCH("Actual",$C$7)),Table1578[[#This Row],[Days in month]]/365,1/12)</f>
        <v>6.2344444444444444E-3</v>
      </c>
    </row>
    <row r="36" spans="2:20" x14ac:dyDescent="0.2">
      <c r="B36" s="1">
        <v>46446</v>
      </c>
      <c r="C36" s="2">
        <f t="shared" si="1"/>
        <v>20</v>
      </c>
      <c r="D36" s="3">
        <f t="shared" si="0"/>
        <v>0</v>
      </c>
      <c r="E36" s="3">
        <f>ROUND(Table1578[[#This Row],[Beginning Balance]]*Table1578[[#This Row],[Monthly Interest Rate]],2)</f>
        <v>0</v>
      </c>
      <c r="F36" s="3">
        <f t="shared" si="2"/>
        <v>-17</v>
      </c>
      <c r="G36" s="23">
        <f>IFERROR(IF($C$13="No","N/A",IF(Table1578[[#This Row],[Period]]=1,$C$6,PMT(InterestRate*AmortizationMultiplier/12,Table1578[[#This Row],[Am Thru]],-Table1578[[#This Row],[Beginning Balance]]))),0)</f>
        <v>0</v>
      </c>
      <c r="H36" s="3">
        <f>MAX(0,IF(C36=$C$4,D36,ROUND(IF($C$3="Fixed Principal",$C$6-Table1578[[#This Row],[Interest]],IF($C$3="Interest Only",Table1578[[#This Row],[Beginning Balance]]*ROUND(1-(1-IF($C$11="No",$E$8,1))^(1/12),6),MIN(IF($C$13="Yes",Table1578[[#This Row],[Payment Amount (Reamortized)]],$C$6)-Table1578[[#This Row],[Interest]],Table1578[[#This Row],[Beginning Balance]]))),2)))</f>
        <v>0</v>
      </c>
      <c r="I36" s="3">
        <f>_xlfn.SINGLE(IF($C$3="Line of Credit",0,ROUND(MAX(MIN(IF($C$10="No",$E$7,VLOOKUP(Table1578[[#This Row],[Period]],Forecast!$H$2:$L$1048576,4,FALSE))*Table1578[[#This Row],[Beginning Balance]],Table1578[[#This Row],[Beginning Balance]]-Table1578[[#This Row],[Principal]]),0),2)))</f>
        <v>0</v>
      </c>
      <c r="J36" s="3">
        <f>ROUND(MIN(Table1578[[#This Row],[Beginning Balance]]*IF($C$8="No",$E$3,VLOOKUP(Table1578[[#This Row],[Period]],Forecast!$H$2:$L$1048576,2,FALSE)),Table1578[[#This Row],[Beginning Balance]]-Table1578[[#This Row],[Principal]]-Table1578[[#This Row],[Prepayments]]),2)</f>
        <v>0</v>
      </c>
      <c r="K36" s="3">
        <f>ROUND(Table1578[[#This Row],[Defaulted Principal]]*IF($C$9="No",$E$4,VLOOKUP(Table1578[[#This Row],[Period]],Forecast!$H$2:$L$1048576,3,FALSE)),2)</f>
        <v>0</v>
      </c>
      <c r="L36" s="2">
        <f>Table1578[[#This Row],[Period]]+$E$9</f>
        <v>32</v>
      </c>
      <c r="M36" s="3">
        <f>Table1578[[#This Row],[Defaulted Principal]]-Table1578[[#This Row],[Estimated Loss]]</f>
        <v>0</v>
      </c>
      <c r="N36" s="3">
        <f>IFERROR(VLOOKUP(Table1578[[#This Row],[Period]],$L$16:$M$385,2,FALSE),0)</f>
        <v>1165.8</v>
      </c>
      <c r="O36" s="3">
        <f>Table1578[[#This Row],[Beginning Balance]]-Table1578[[#This Row],[Principal]]-Table1578[[#This Row],[Prepayments]]-Table1578[[#This Row],[Defaulted Principal]]</f>
        <v>0</v>
      </c>
      <c r="P36" s="3">
        <f>Table1578[[#This Row],[Principal]]+Table1578[[#This Row],[Interest]]+Table1578[[#This Row],[Prepayments]]+Table1578[[#This Row],[RecoveredAmount]]</f>
        <v>1165.8</v>
      </c>
      <c r="Q36" s="3">
        <f ca="1">ROUND(Table1578[[#This Row],[Cash Flow]]/((1+ActualRateToUse)^(IF(ISNUMBER(SEARCH("Actual",$C$7)),Table1578[[#This Row],[Running Total]]/365,Table1578[[#This Row],[Period]]/12))),2)</f>
        <v>1029.44</v>
      </c>
      <c r="R36" s="2">
        <f>IF(MONTH(Table1578[[#This Row],[Date]])=2,28,DAY(DATE(YEAR(Table1578[[#This Row],[Date]]),MONTH(Table1578[[#This Row],[Date]])+1,1)-1))</f>
        <v>28</v>
      </c>
      <c r="S36" s="2">
        <f ca="1">SUM(OFFSET(Table1578[[#Headers],[Days in month]],1,0):Table1578[[#This Row],[Days in month]])</f>
        <v>608</v>
      </c>
      <c r="T36" s="37">
        <f>InterestRate*AmortizationMultiplier*IF(ISNUMBER(SEARCH("Actual",$C$7)),Table1578[[#This Row],[Days in month]]/365,1/12)</f>
        <v>5.6311111111111119E-3</v>
      </c>
    </row>
    <row r="37" spans="2:20" x14ac:dyDescent="0.2">
      <c r="B37" s="1">
        <v>46477</v>
      </c>
      <c r="C37" s="2">
        <f t="shared" si="1"/>
        <v>21</v>
      </c>
      <c r="D37" s="3">
        <f t="shared" si="0"/>
        <v>0</v>
      </c>
      <c r="E37" s="3">
        <f>ROUND(Table1578[[#This Row],[Beginning Balance]]*Table1578[[#This Row],[Monthly Interest Rate]],2)</f>
        <v>0</v>
      </c>
      <c r="F37" s="3">
        <f t="shared" si="2"/>
        <v>-18</v>
      </c>
      <c r="G37" s="23">
        <f>IFERROR(IF($C$13="No","N/A",IF(Table1578[[#This Row],[Period]]=1,$C$6,PMT(InterestRate*AmortizationMultiplier/12,Table1578[[#This Row],[Am Thru]],-Table1578[[#This Row],[Beginning Balance]]))),0)</f>
        <v>0</v>
      </c>
      <c r="H37" s="3">
        <f>MAX(0,IF(C37=$C$4,D37,ROUND(IF($C$3="Fixed Principal",$C$6-Table1578[[#This Row],[Interest]],IF($C$3="Interest Only",Table1578[[#This Row],[Beginning Balance]]*ROUND(1-(1-IF($C$11="No",$E$8,1))^(1/12),6),MIN(IF($C$13="Yes",Table1578[[#This Row],[Payment Amount (Reamortized)]],$C$6)-Table1578[[#This Row],[Interest]],Table1578[[#This Row],[Beginning Balance]]))),2)))</f>
        <v>0</v>
      </c>
      <c r="I37" s="3">
        <f>_xlfn.SINGLE(IF($C$3="Line of Credit",0,ROUND(MAX(MIN(IF($C$10="No",$E$7,VLOOKUP(Table1578[[#This Row],[Period]],Forecast!$H$2:$L$1048576,4,FALSE))*Table1578[[#This Row],[Beginning Balance]],Table1578[[#This Row],[Beginning Balance]]-Table1578[[#This Row],[Principal]]),0),2)))</f>
        <v>0</v>
      </c>
      <c r="J37" s="3">
        <f>ROUND(MIN(Table1578[[#This Row],[Beginning Balance]]*IF($C$8="No",$E$3,VLOOKUP(Table1578[[#This Row],[Period]],Forecast!$H$2:$L$1048576,2,FALSE)),Table1578[[#This Row],[Beginning Balance]]-Table1578[[#This Row],[Principal]]-Table1578[[#This Row],[Prepayments]]),2)</f>
        <v>0</v>
      </c>
      <c r="K37" s="3">
        <f>ROUND(Table1578[[#This Row],[Defaulted Principal]]*IF($C$9="No",$E$4,VLOOKUP(Table1578[[#This Row],[Period]],Forecast!$H$2:$L$1048576,3,FALSE)),2)</f>
        <v>0</v>
      </c>
      <c r="L37" s="2">
        <f>Table1578[[#This Row],[Period]]+$E$9</f>
        <v>33</v>
      </c>
      <c r="M37" s="3">
        <f>Table1578[[#This Row],[Defaulted Principal]]-Table1578[[#This Row],[Estimated Loss]]</f>
        <v>0</v>
      </c>
      <c r="N37" s="3">
        <f>IFERROR(VLOOKUP(Table1578[[#This Row],[Period]],$L$16:$M$385,2,FALSE),0)</f>
        <v>1163.18</v>
      </c>
      <c r="O37" s="3">
        <f>Table1578[[#This Row],[Beginning Balance]]-Table1578[[#This Row],[Principal]]-Table1578[[#This Row],[Prepayments]]-Table1578[[#This Row],[Defaulted Principal]]</f>
        <v>0</v>
      </c>
      <c r="P37" s="3">
        <f>Table1578[[#This Row],[Principal]]+Table1578[[#This Row],[Interest]]+Table1578[[#This Row],[Prepayments]]+Table1578[[#This Row],[RecoveredAmount]]</f>
        <v>1163.18</v>
      </c>
      <c r="Q37" s="3">
        <f ca="1">ROUND(Table1578[[#This Row],[Cash Flow]]/((1+ActualRateToUse)^(IF(ISNUMBER(SEARCH("Actual",$C$7)),Table1578[[#This Row],[Running Total]]/365,Table1578[[#This Row],[Period]]/12))),2)</f>
        <v>1020.63</v>
      </c>
      <c r="R37" s="2">
        <f>IF(MONTH(Table1578[[#This Row],[Date]])=2,28,DAY(DATE(YEAR(Table1578[[#This Row],[Date]]),MONTH(Table1578[[#This Row],[Date]])+1,1)-1))</f>
        <v>31</v>
      </c>
      <c r="S37" s="2">
        <f ca="1">SUM(OFFSET(Table1578[[#Headers],[Days in month]],1,0):Table1578[[#This Row],[Days in month]])</f>
        <v>639</v>
      </c>
      <c r="T37" s="37">
        <f>InterestRate*AmortizationMultiplier*IF(ISNUMBER(SEARCH("Actual",$C$7)),Table1578[[#This Row],[Days in month]]/365,1/12)</f>
        <v>6.2344444444444444E-3</v>
      </c>
    </row>
    <row r="38" spans="2:20" x14ac:dyDescent="0.2">
      <c r="B38" s="1">
        <v>46507</v>
      </c>
      <c r="C38" s="2">
        <f t="shared" si="1"/>
        <v>22</v>
      </c>
      <c r="D38" s="3">
        <f t="shared" si="0"/>
        <v>0</v>
      </c>
      <c r="E38" s="3">
        <f>ROUND(Table1578[[#This Row],[Beginning Balance]]*Table1578[[#This Row],[Monthly Interest Rate]],2)</f>
        <v>0</v>
      </c>
      <c r="F38" s="3">
        <f t="shared" si="2"/>
        <v>-19</v>
      </c>
      <c r="G38" s="23">
        <f>IFERROR(IF($C$13="No","N/A",IF(Table1578[[#This Row],[Period]]=1,$C$6,PMT(InterestRate*AmortizationMultiplier/12,Table1578[[#This Row],[Am Thru]],-Table1578[[#This Row],[Beginning Balance]]))),0)</f>
        <v>0</v>
      </c>
      <c r="H38" s="3">
        <f>MAX(0,IF(C38=$C$4,D38,ROUND(IF($C$3="Fixed Principal",$C$6-Table1578[[#This Row],[Interest]],IF($C$3="Interest Only",Table1578[[#This Row],[Beginning Balance]]*ROUND(1-(1-IF($C$11="No",$E$8,1))^(1/12),6),MIN(IF($C$13="Yes",Table1578[[#This Row],[Payment Amount (Reamortized)]],$C$6)-Table1578[[#This Row],[Interest]],Table1578[[#This Row],[Beginning Balance]]))),2)))</f>
        <v>0</v>
      </c>
      <c r="I38" s="3">
        <f>_xlfn.SINGLE(IF($C$3="Line of Credit",0,ROUND(MAX(MIN(IF($C$10="No",$E$7,VLOOKUP(Table1578[[#This Row],[Period]],Forecast!$H$2:$L$1048576,4,FALSE))*Table1578[[#This Row],[Beginning Balance]],Table1578[[#This Row],[Beginning Balance]]-Table1578[[#This Row],[Principal]]),0),2)))</f>
        <v>0</v>
      </c>
      <c r="J38" s="3">
        <f>ROUND(MIN(Table1578[[#This Row],[Beginning Balance]]*IF($C$8="No",$E$3,VLOOKUP(Table1578[[#This Row],[Period]],Forecast!$H$2:$L$1048576,2,FALSE)),Table1578[[#This Row],[Beginning Balance]]-Table1578[[#This Row],[Principal]]-Table1578[[#This Row],[Prepayments]]),2)</f>
        <v>0</v>
      </c>
      <c r="K38" s="3">
        <f>ROUND(Table1578[[#This Row],[Defaulted Principal]]*IF($C$9="No",$E$4,VLOOKUP(Table1578[[#This Row],[Period]],Forecast!$H$2:$L$1048576,3,FALSE)),2)</f>
        <v>0</v>
      </c>
      <c r="L38" s="2">
        <f>Table1578[[#This Row],[Period]]+$E$9</f>
        <v>34</v>
      </c>
      <c r="M38" s="3">
        <f>Table1578[[#This Row],[Defaulted Principal]]-Table1578[[#This Row],[Estimated Loss]]</f>
        <v>0</v>
      </c>
      <c r="N38" s="3">
        <f>IFERROR(VLOOKUP(Table1578[[#This Row],[Period]],$L$16:$M$385,2,FALSE),0)</f>
        <v>1149.1300000000001</v>
      </c>
      <c r="O38" s="3">
        <f>Table1578[[#This Row],[Beginning Balance]]-Table1578[[#This Row],[Principal]]-Table1578[[#This Row],[Prepayments]]-Table1578[[#This Row],[Defaulted Principal]]</f>
        <v>0</v>
      </c>
      <c r="P38" s="3">
        <f>Table1578[[#This Row],[Principal]]+Table1578[[#This Row],[Interest]]+Table1578[[#This Row],[Prepayments]]+Table1578[[#This Row],[RecoveredAmount]]</f>
        <v>1149.1300000000001</v>
      </c>
      <c r="Q38" s="3">
        <f ca="1">ROUND(Table1578[[#This Row],[Cash Flow]]/((1+ActualRateToUse)^(IF(ISNUMBER(SEARCH("Actual",$C$7)),Table1578[[#This Row],[Running Total]]/365,Table1578[[#This Row],[Period]]/12))),2)</f>
        <v>1002.13</v>
      </c>
      <c r="R38" s="2">
        <f>IF(MONTH(Table1578[[#This Row],[Date]])=2,28,DAY(DATE(YEAR(Table1578[[#This Row],[Date]]),MONTH(Table1578[[#This Row],[Date]])+1,1)-1))</f>
        <v>30</v>
      </c>
      <c r="S38" s="2">
        <f ca="1">SUM(OFFSET(Table1578[[#Headers],[Days in month]],1,0):Table1578[[#This Row],[Days in month]])</f>
        <v>669</v>
      </c>
      <c r="T38" s="37">
        <f>InterestRate*AmortizationMultiplier*IF(ISNUMBER(SEARCH("Actual",$C$7)),Table1578[[#This Row],[Days in month]]/365,1/12)</f>
        <v>6.0333333333333333E-3</v>
      </c>
    </row>
    <row r="39" spans="2:20" x14ac:dyDescent="0.2">
      <c r="B39" s="1">
        <v>46538</v>
      </c>
      <c r="C39" s="2">
        <f t="shared" si="1"/>
        <v>23</v>
      </c>
      <c r="D39" s="3">
        <f t="shared" si="0"/>
        <v>0</v>
      </c>
      <c r="E39" s="3">
        <f>ROUND(Table1578[[#This Row],[Beginning Balance]]*Table1578[[#This Row],[Monthly Interest Rate]],2)</f>
        <v>0</v>
      </c>
      <c r="F39" s="3">
        <f t="shared" si="2"/>
        <v>-20</v>
      </c>
      <c r="G39" s="23">
        <f>IFERROR(IF($C$13="No","N/A",IF(Table1578[[#This Row],[Period]]=1,$C$6,PMT(InterestRate*AmortizationMultiplier/12,Table1578[[#This Row],[Am Thru]],-Table1578[[#This Row],[Beginning Balance]]))),0)</f>
        <v>0</v>
      </c>
      <c r="H39" s="3">
        <f>MAX(0,IF(C39=$C$4,D39,ROUND(IF($C$3="Fixed Principal",$C$6-Table1578[[#This Row],[Interest]],IF($C$3="Interest Only",Table1578[[#This Row],[Beginning Balance]]*ROUND(1-(1-IF($C$11="No",$E$8,1))^(1/12),6),MIN(IF($C$13="Yes",Table1578[[#This Row],[Payment Amount (Reamortized)]],$C$6)-Table1578[[#This Row],[Interest]],Table1578[[#This Row],[Beginning Balance]]))),2)))</f>
        <v>0</v>
      </c>
      <c r="I39" s="3">
        <f>_xlfn.SINGLE(IF($C$3="Line of Credit",0,ROUND(MAX(MIN(IF($C$10="No",$E$7,VLOOKUP(Table1578[[#This Row],[Period]],Forecast!$H$2:$L$1048576,4,FALSE))*Table1578[[#This Row],[Beginning Balance]],Table1578[[#This Row],[Beginning Balance]]-Table1578[[#This Row],[Principal]]),0),2)))</f>
        <v>0</v>
      </c>
      <c r="J39" s="3">
        <f>ROUND(MIN(Table1578[[#This Row],[Beginning Balance]]*IF($C$8="No",$E$3,VLOOKUP(Table1578[[#This Row],[Period]],Forecast!$H$2:$L$1048576,2,FALSE)),Table1578[[#This Row],[Beginning Balance]]-Table1578[[#This Row],[Principal]]-Table1578[[#This Row],[Prepayments]]),2)</f>
        <v>0</v>
      </c>
      <c r="K39" s="3">
        <f>ROUND(Table1578[[#This Row],[Defaulted Principal]]*IF($C$9="No",$E$4,VLOOKUP(Table1578[[#This Row],[Period]],Forecast!$H$2:$L$1048576,3,FALSE)),2)</f>
        <v>0</v>
      </c>
      <c r="L39" s="2">
        <f>Table1578[[#This Row],[Period]]+$E$9</f>
        <v>35</v>
      </c>
      <c r="M39" s="3">
        <f>Table1578[[#This Row],[Defaulted Principal]]-Table1578[[#This Row],[Estimated Loss]]</f>
        <v>0</v>
      </c>
      <c r="N39" s="3">
        <f>IFERROR(VLOOKUP(Table1578[[#This Row],[Period]],$L$16:$M$385,2,FALSE),0)</f>
        <v>1146.55</v>
      </c>
      <c r="O39" s="3">
        <f>Table1578[[#This Row],[Beginning Balance]]-Table1578[[#This Row],[Principal]]-Table1578[[#This Row],[Prepayments]]-Table1578[[#This Row],[Defaulted Principal]]</f>
        <v>0</v>
      </c>
      <c r="P39" s="3">
        <f>Table1578[[#This Row],[Principal]]+Table1578[[#This Row],[Interest]]+Table1578[[#This Row],[Prepayments]]+Table1578[[#This Row],[RecoveredAmount]]</f>
        <v>1146.55</v>
      </c>
      <c r="Q39" s="3">
        <f ca="1">ROUND(Table1578[[#This Row],[Cash Flow]]/((1+ActualRateToUse)^(IF(ISNUMBER(SEARCH("Actual",$C$7)),Table1578[[#This Row],[Running Total]]/365,Table1578[[#This Row],[Period]]/12))),2)</f>
        <v>993.56</v>
      </c>
      <c r="R39" s="2">
        <f>IF(MONTH(Table1578[[#This Row],[Date]])=2,28,DAY(DATE(YEAR(Table1578[[#This Row],[Date]]),MONTH(Table1578[[#This Row],[Date]])+1,1)-1))</f>
        <v>31</v>
      </c>
      <c r="S39" s="2">
        <f ca="1">SUM(OFFSET(Table1578[[#Headers],[Days in month]],1,0):Table1578[[#This Row],[Days in month]])</f>
        <v>700</v>
      </c>
      <c r="T39" s="37">
        <f>InterestRate*AmortizationMultiplier*IF(ISNUMBER(SEARCH("Actual",$C$7)),Table1578[[#This Row],[Days in month]]/365,1/12)</f>
        <v>6.2344444444444444E-3</v>
      </c>
    </row>
    <row r="40" spans="2:20" x14ac:dyDescent="0.2">
      <c r="B40" s="1">
        <v>46568</v>
      </c>
      <c r="C40" s="2">
        <f t="shared" si="1"/>
        <v>24</v>
      </c>
      <c r="D40" s="3">
        <f t="shared" si="0"/>
        <v>0</v>
      </c>
      <c r="E40" s="3">
        <f>ROUND(Table1578[[#This Row],[Beginning Balance]]*Table1578[[#This Row],[Monthly Interest Rate]],2)</f>
        <v>0</v>
      </c>
      <c r="F40" s="3">
        <f t="shared" si="2"/>
        <v>-21</v>
      </c>
      <c r="G40" s="23">
        <f>IFERROR(IF($C$13="No","N/A",IF(Table1578[[#This Row],[Period]]=1,$C$6,PMT(InterestRate*AmortizationMultiplier/12,Table1578[[#This Row],[Am Thru]],-Table1578[[#This Row],[Beginning Balance]]))),0)</f>
        <v>0</v>
      </c>
      <c r="H40" s="3">
        <f>MAX(0,IF(C40=$C$4,D40,ROUND(IF($C$3="Fixed Principal",$C$6-Table1578[[#This Row],[Interest]],IF($C$3="Interest Only",Table1578[[#This Row],[Beginning Balance]]*ROUND(1-(1-IF($C$11="No",$E$8,1))^(1/12),6),MIN(IF($C$13="Yes",Table1578[[#This Row],[Payment Amount (Reamortized)]],$C$6)-Table1578[[#This Row],[Interest]],Table1578[[#This Row],[Beginning Balance]]))),2)))</f>
        <v>0</v>
      </c>
      <c r="I40" s="3">
        <f>_xlfn.SINGLE(IF($C$3="Line of Credit",0,ROUND(MAX(MIN(IF($C$10="No",$E$7,VLOOKUP(Table1578[[#This Row],[Period]],Forecast!$H$2:$L$1048576,4,FALSE))*Table1578[[#This Row],[Beginning Balance]],Table1578[[#This Row],[Beginning Balance]]-Table1578[[#This Row],[Principal]]),0),2)))</f>
        <v>0</v>
      </c>
      <c r="J40" s="3">
        <f>ROUND(MIN(Table1578[[#This Row],[Beginning Balance]]*IF($C$8="No",$E$3,VLOOKUP(Table1578[[#This Row],[Period]],Forecast!$H$2:$L$1048576,2,FALSE)),Table1578[[#This Row],[Beginning Balance]]-Table1578[[#This Row],[Principal]]-Table1578[[#This Row],[Prepayments]]),2)</f>
        <v>0</v>
      </c>
      <c r="K40" s="3">
        <f>ROUND(Table1578[[#This Row],[Defaulted Principal]]*IF($C$9="No",$E$4,VLOOKUP(Table1578[[#This Row],[Period]],Forecast!$H$2:$L$1048576,3,FALSE)),2)</f>
        <v>0</v>
      </c>
      <c r="L40" s="2">
        <f>Table1578[[#This Row],[Period]]+$E$9</f>
        <v>36</v>
      </c>
      <c r="M40" s="3">
        <f>Table1578[[#This Row],[Defaulted Principal]]-Table1578[[#This Row],[Estimated Loss]]</f>
        <v>0</v>
      </c>
      <c r="N40" s="3">
        <f>IFERROR(VLOOKUP(Table1578[[#This Row],[Period]],$L$16:$M$385,2,FALSE),0)</f>
        <v>1143.98</v>
      </c>
      <c r="O40" s="3">
        <f>Table1578[[#This Row],[Beginning Balance]]-Table1578[[#This Row],[Principal]]-Table1578[[#This Row],[Prepayments]]-Table1578[[#This Row],[Defaulted Principal]]</f>
        <v>0</v>
      </c>
      <c r="P40" s="3">
        <f>Table1578[[#This Row],[Principal]]+Table1578[[#This Row],[Interest]]+Table1578[[#This Row],[Prepayments]]+Table1578[[#This Row],[RecoveredAmount]]</f>
        <v>1143.98</v>
      </c>
      <c r="Q40" s="3">
        <f ca="1">ROUND(Table1578[[#This Row],[Cash Flow]]/((1+ActualRateToUse)^(IF(ISNUMBER(SEARCH("Actual",$C$7)),Table1578[[#This Row],[Running Total]]/365,Table1578[[#This Row],[Period]]/12))),2)</f>
        <v>985.27</v>
      </c>
      <c r="R40" s="2">
        <f>IF(MONTH(Table1578[[#This Row],[Date]])=2,28,DAY(DATE(YEAR(Table1578[[#This Row],[Date]]),MONTH(Table1578[[#This Row],[Date]])+1,1)-1))</f>
        <v>30</v>
      </c>
      <c r="S40" s="2">
        <f ca="1">SUM(OFFSET(Table1578[[#Headers],[Days in month]],1,0):Table1578[[#This Row],[Days in month]])</f>
        <v>730</v>
      </c>
      <c r="T40" s="37">
        <f>InterestRate*AmortizationMultiplier*IF(ISNUMBER(SEARCH("Actual",$C$7)),Table1578[[#This Row],[Days in month]]/365,1/12)</f>
        <v>6.0333333333333333E-3</v>
      </c>
    </row>
    <row r="41" spans="2:20" x14ac:dyDescent="0.2">
      <c r="B41" s="1">
        <v>46599</v>
      </c>
      <c r="C41" s="2">
        <f t="shared" si="1"/>
        <v>25</v>
      </c>
      <c r="D41" s="3">
        <f t="shared" si="0"/>
        <v>0</v>
      </c>
      <c r="E41" s="3">
        <f>ROUND(Table1578[[#This Row],[Beginning Balance]]*Table1578[[#This Row],[Monthly Interest Rate]],2)</f>
        <v>0</v>
      </c>
      <c r="F41" s="3">
        <f t="shared" si="2"/>
        <v>-22</v>
      </c>
      <c r="G41" s="23">
        <f>IFERROR(IF($C$13="No","N/A",IF(Table1578[[#This Row],[Period]]=1,$C$6,PMT(InterestRate*AmortizationMultiplier/12,Table1578[[#This Row],[Am Thru]],-Table1578[[#This Row],[Beginning Balance]]))),0)</f>
        <v>0</v>
      </c>
      <c r="H41" s="3">
        <f>MAX(0,IF(C41=$C$4,D41,ROUND(IF($C$3="Fixed Principal",$C$6-Table1578[[#This Row],[Interest]],IF($C$3="Interest Only",Table1578[[#This Row],[Beginning Balance]]*ROUND(1-(1-IF($C$11="No",$E$8,1))^(1/12),6),MIN(IF($C$13="Yes",Table1578[[#This Row],[Payment Amount (Reamortized)]],$C$6)-Table1578[[#This Row],[Interest]],Table1578[[#This Row],[Beginning Balance]]))),2)))</f>
        <v>0</v>
      </c>
      <c r="I41" s="3">
        <f>_xlfn.SINGLE(IF($C$3="Line of Credit",0,ROUND(MAX(MIN(IF($C$10="No",$E$7,VLOOKUP(Table1578[[#This Row],[Period]],Forecast!$H$2:$L$1048576,4,FALSE))*Table1578[[#This Row],[Beginning Balance]],Table1578[[#This Row],[Beginning Balance]]-Table1578[[#This Row],[Principal]]),0),2)))</f>
        <v>0</v>
      </c>
      <c r="J41" s="3">
        <f>ROUND(MIN(Table1578[[#This Row],[Beginning Balance]]*IF($C$8="No",$E$3,VLOOKUP(Table1578[[#This Row],[Period]],Forecast!$H$2:$L$1048576,2,FALSE)),Table1578[[#This Row],[Beginning Balance]]-Table1578[[#This Row],[Principal]]-Table1578[[#This Row],[Prepayments]]),2)</f>
        <v>0</v>
      </c>
      <c r="K41" s="3">
        <f>ROUND(Table1578[[#This Row],[Defaulted Principal]]*IF($C$9="No",$E$4,VLOOKUP(Table1578[[#This Row],[Period]],Forecast!$H$2:$L$1048576,3,FALSE)),2)</f>
        <v>0</v>
      </c>
      <c r="L41" s="2">
        <f>Table1578[[#This Row],[Period]]+$E$9</f>
        <v>37</v>
      </c>
      <c r="M41" s="3">
        <f>Table1578[[#This Row],[Defaulted Principal]]-Table1578[[#This Row],[Estimated Loss]]</f>
        <v>0</v>
      </c>
      <c r="N41" s="3">
        <f>IFERROR(VLOOKUP(Table1578[[#This Row],[Period]],$L$16:$M$385,2,FALSE),0)</f>
        <v>1195.83</v>
      </c>
      <c r="O41" s="3">
        <f>Table1578[[#This Row],[Beginning Balance]]-Table1578[[#This Row],[Principal]]-Table1578[[#This Row],[Prepayments]]-Table1578[[#This Row],[Defaulted Principal]]</f>
        <v>0</v>
      </c>
      <c r="P41" s="3">
        <f>Table1578[[#This Row],[Principal]]+Table1578[[#This Row],[Interest]]+Table1578[[#This Row],[Prepayments]]+Table1578[[#This Row],[RecoveredAmount]]</f>
        <v>1195.83</v>
      </c>
      <c r="Q41" s="3">
        <f ca="1">ROUND(Table1578[[#This Row],[Cash Flow]]/((1+ActualRateToUse)^(IF(ISNUMBER(SEARCH("Actual",$C$7)),Table1578[[#This Row],[Running Total]]/365,Table1578[[#This Row],[Period]]/12))),2)</f>
        <v>1023.41</v>
      </c>
      <c r="R41" s="2">
        <f>IF(MONTH(Table1578[[#This Row],[Date]])=2,28,DAY(DATE(YEAR(Table1578[[#This Row],[Date]]),MONTH(Table1578[[#This Row],[Date]])+1,1)-1))</f>
        <v>31</v>
      </c>
      <c r="S41" s="2">
        <f ca="1">SUM(OFFSET(Table1578[[#Headers],[Days in month]],1,0):Table1578[[#This Row],[Days in month]])</f>
        <v>761</v>
      </c>
      <c r="T41" s="37">
        <f>InterestRate*AmortizationMultiplier*IF(ISNUMBER(SEARCH("Actual",$C$7)),Table1578[[#This Row],[Days in month]]/365,1/12)</f>
        <v>6.2344444444444444E-3</v>
      </c>
    </row>
    <row r="42" spans="2:20" x14ac:dyDescent="0.2">
      <c r="B42" s="1">
        <v>46630</v>
      </c>
      <c r="C42" s="2">
        <f t="shared" si="1"/>
        <v>26</v>
      </c>
      <c r="D42" s="3">
        <f t="shared" si="0"/>
        <v>0</v>
      </c>
      <c r="E42" s="3">
        <f>ROUND(Table1578[[#This Row],[Beginning Balance]]*Table1578[[#This Row],[Monthly Interest Rate]],2)</f>
        <v>0</v>
      </c>
      <c r="F42" s="3">
        <f t="shared" si="2"/>
        <v>-23</v>
      </c>
      <c r="G42" s="23">
        <f>IFERROR(IF($C$13="No","N/A",IF(Table1578[[#This Row],[Period]]=1,$C$6,PMT(InterestRate*AmortizationMultiplier/12,Table1578[[#This Row],[Am Thru]],-Table1578[[#This Row],[Beginning Balance]]))),0)</f>
        <v>0</v>
      </c>
      <c r="H42" s="3">
        <f>MAX(0,IF(C42=$C$4,D42,ROUND(IF($C$3="Fixed Principal",$C$6-Table1578[[#This Row],[Interest]],IF($C$3="Interest Only",Table1578[[#This Row],[Beginning Balance]]*ROUND(1-(1-IF($C$11="No",$E$8,1))^(1/12),6),MIN(IF($C$13="Yes",Table1578[[#This Row],[Payment Amount (Reamortized)]],$C$6)-Table1578[[#This Row],[Interest]],Table1578[[#This Row],[Beginning Balance]]))),2)))</f>
        <v>0</v>
      </c>
      <c r="I42" s="3">
        <f>_xlfn.SINGLE(IF($C$3="Line of Credit",0,ROUND(MAX(MIN(IF($C$10="No",$E$7,VLOOKUP(Table1578[[#This Row],[Period]],Forecast!$H$2:$L$1048576,4,FALSE))*Table1578[[#This Row],[Beginning Balance]],Table1578[[#This Row],[Beginning Balance]]-Table1578[[#This Row],[Principal]]),0),2)))</f>
        <v>0</v>
      </c>
      <c r="J42" s="3">
        <f>ROUND(MIN(Table1578[[#This Row],[Beginning Balance]]*IF($C$8="No",$E$3,VLOOKUP(Table1578[[#This Row],[Period]],Forecast!$H$2:$L$1048576,2,FALSE)),Table1578[[#This Row],[Beginning Balance]]-Table1578[[#This Row],[Principal]]-Table1578[[#This Row],[Prepayments]]),2)</f>
        <v>0</v>
      </c>
      <c r="K42" s="3">
        <f>ROUND(Table1578[[#This Row],[Defaulted Principal]]*IF($C$9="No",$E$4,VLOOKUP(Table1578[[#This Row],[Period]],Forecast!$H$2:$L$1048576,3,FALSE)),2)</f>
        <v>0</v>
      </c>
      <c r="L42" s="2">
        <f>Table1578[[#This Row],[Period]]+$E$9</f>
        <v>38</v>
      </c>
      <c r="M42" s="3">
        <f>Table1578[[#This Row],[Defaulted Principal]]-Table1578[[#This Row],[Estimated Loss]]</f>
        <v>0</v>
      </c>
      <c r="N42" s="3">
        <f>IFERROR(VLOOKUP(Table1578[[#This Row],[Period]],$L$16:$M$385,2,FALSE),0)</f>
        <v>1193.1200000000001</v>
      </c>
      <c r="O42" s="3">
        <f>Table1578[[#This Row],[Beginning Balance]]-Table1578[[#This Row],[Principal]]-Table1578[[#This Row],[Prepayments]]-Table1578[[#This Row],[Defaulted Principal]]</f>
        <v>0</v>
      </c>
      <c r="P42" s="3">
        <f>Table1578[[#This Row],[Principal]]+Table1578[[#This Row],[Interest]]+Table1578[[#This Row],[Prepayments]]+Table1578[[#This Row],[RecoveredAmount]]</f>
        <v>1193.1200000000001</v>
      </c>
      <c r="Q42" s="3">
        <f ca="1">ROUND(Table1578[[#This Row],[Cash Flow]]/((1+ActualRateToUse)^(IF(ISNUMBER(SEARCH("Actual",$C$7)),Table1578[[#This Row],[Running Total]]/365,Table1578[[#This Row],[Period]]/12))),2)</f>
        <v>1014.64</v>
      </c>
      <c r="R42" s="2">
        <f>IF(MONTH(Table1578[[#This Row],[Date]])=2,28,DAY(DATE(YEAR(Table1578[[#This Row],[Date]]),MONTH(Table1578[[#This Row],[Date]])+1,1)-1))</f>
        <v>31</v>
      </c>
      <c r="S42" s="2">
        <f ca="1">SUM(OFFSET(Table1578[[#Headers],[Days in month]],1,0):Table1578[[#This Row],[Days in month]])</f>
        <v>792</v>
      </c>
      <c r="T42" s="37">
        <f>InterestRate*AmortizationMultiplier*IF(ISNUMBER(SEARCH("Actual",$C$7)),Table1578[[#This Row],[Days in month]]/365,1/12)</f>
        <v>6.2344444444444444E-3</v>
      </c>
    </row>
    <row r="43" spans="2:20" x14ac:dyDescent="0.2">
      <c r="B43" s="1">
        <v>46660</v>
      </c>
      <c r="C43" s="2">
        <f t="shared" si="1"/>
        <v>27</v>
      </c>
      <c r="D43" s="3">
        <f t="shared" si="0"/>
        <v>0</v>
      </c>
      <c r="E43" s="3">
        <f>ROUND(Table1578[[#This Row],[Beginning Balance]]*Table1578[[#This Row],[Monthly Interest Rate]],2)</f>
        <v>0</v>
      </c>
      <c r="F43" s="3">
        <f t="shared" si="2"/>
        <v>-24</v>
      </c>
      <c r="G43" s="23">
        <f>IFERROR(IF($C$13="No","N/A",IF(Table1578[[#This Row],[Period]]=1,$C$6,PMT(InterestRate*AmortizationMultiplier/12,Table1578[[#This Row],[Am Thru]],-Table1578[[#This Row],[Beginning Balance]]))),0)</f>
        <v>0</v>
      </c>
      <c r="H43" s="3">
        <f>MAX(0,IF(C43=$C$4,D43,ROUND(IF($C$3="Fixed Principal",$C$6-Table1578[[#This Row],[Interest]],IF($C$3="Interest Only",Table1578[[#This Row],[Beginning Balance]]*ROUND(1-(1-IF($C$11="No",$E$8,1))^(1/12),6),MIN(IF($C$13="Yes",Table1578[[#This Row],[Payment Amount (Reamortized)]],$C$6)-Table1578[[#This Row],[Interest]],Table1578[[#This Row],[Beginning Balance]]))),2)))</f>
        <v>0</v>
      </c>
      <c r="I43" s="3">
        <f>_xlfn.SINGLE(IF($C$3="Line of Credit",0,ROUND(MAX(MIN(IF($C$10="No",$E$7,VLOOKUP(Table1578[[#This Row],[Period]],Forecast!$H$2:$L$1048576,4,FALSE))*Table1578[[#This Row],[Beginning Balance]],Table1578[[#This Row],[Beginning Balance]]-Table1578[[#This Row],[Principal]]),0),2)))</f>
        <v>0</v>
      </c>
      <c r="J43" s="3">
        <f>ROUND(MIN(Table1578[[#This Row],[Beginning Balance]]*IF($C$8="No",$E$3,VLOOKUP(Table1578[[#This Row],[Period]],Forecast!$H$2:$L$1048576,2,FALSE)),Table1578[[#This Row],[Beginning Balance]]-Table1578[[#This Row],[Principal]]-Table1578[[#This Row],[Prepayments]]),2)</f>
        <v>0</v>
      </c>
      <c r="K43" s="3">
        <f>ROUND(Table1578[[#This Row],[Defaulted Principal]]*IF($C$9="No",$E$4,VLOOKUP(Table1578[[#This Row],[Period]],Forecast!$H$2:$L$1048576,3,FALSE)),2)</f>
        <v>0</v>
      </c>
      <c r="L43" s="2">
        <f>Table1578[[#This Row],[Period]]+$E$9</f>
        <v>39</v>
      </c>
      <c r="M43" s="3">
        <f>Table1578[[#This Row],[Defaulted Principal]]-Table1578[[#This Row],[Estimated Loss]]</f>
        <v>0</v>
      </c>
      <c r="N43" s="3">
        <f>IFERROR(VLOOKUP(Table1578[[#This Row],[Period]],$L$16:$M$385,2,FALSE),0)</f>
        <v>1190.4100000000001</v>
      </c>
      <c r="O43" s="3">
        <f>Table1578[[#This Row],[Beginning Balance]]-Table1578[[#This Row],[Principal]]-Table1578[[#This Row],[Prepayments]]-Table1578[[#This Row],[Defaulted Principal]]</f>
        <v>0</v>
      </c>
      <c r="P43" s="3">
        <f>Table1578[[#This Row],[Principal]]+Table1578[[#This Row],[Interest]]+Table1578[[#This Row],[Prepayments]]+Table1578[[#This Row],[RecoveredAmount]]</f>
        <v>1190.4100000000001</v>
      </c>
      <c r="Q43" s="3">
        <f ca="1">ROUND(Table1578[[#This Row],[Cash Flow]]/((1+ActualRateToUse)^(IF(ISNUMBER(SEARCH("Actual",$C$7)),Table1578[[#This Row],[Running Total]]/365,Table1578[[#This Row],[Period]]/12))),2)</f>
        <v>1006.14</v>
      </c>
      <c r="R43" s="2">
        <f>IF(MONTH(Table1578[[#This Row],[Date]])=2,28,DAY(DATE(YEAR(Table1578[[#This Row],[Date]]),MONTH(Table1578[[#This Row],[Date]])+1,1)-1))</f>
        <v>30</v>
      </c>
      <c r="S43" s="2">
        <f ca="1">SUM(OFFSET(Table1578[[#Headers],[Days in month]],1,0):Table1578[[#This Row],[Days in month]])</f>
        <v>822</v>
      </c>
      <c r="T43" s="37">
        <f>InterestRate*AmortizationMultiplier*IF(ISNUMBER(SEARCH("Actual",$C$7)),Table1578[[#This Row],[Days in month]]/365,1/12)</f>
        <v>6.0333333333333333E-3</v>
      </c>
    </row>
    <row r="44" spans="2:20" x14ac:dyDescent="0.2">
      <c r="B44" s="1">
        <v>46691</v>
      </c>
      <c r="C44" s="2">
        <f t="shared" si="1"/>
        <v>28</v>
      </c>
      <c r="D44" s="3">
        <f t="shared" si="0"/>
        <v>0</v>
      </c>
      <c r="E44" s="3">
        <f>ROUND(Table1578[[#This Row],[Beginning Balance]]*Table1578[[#This Row],[Monthly Interest Rate]],2)</f>
        <v>0</v>
      </c>
      <c r="F44" s="3">
        <f t="shared" si="2"/>
        <v>-25</v>
      </c>
      <c r="G44" s="23">
        <f>IFERROR(IF($C$13="No","N/A",IF(Table1578[[#This Row],[Period]]=1,$C$6,PMT(InterestRate*AmortizationMultiplier/12,Table1578[[#This Row],[Am Thru]],-Table1578[[#This Row],[Beginning Balance]]))),0)</f>
        <v>0</v>
      </c>
      <c r="H44" s="3">
        <f>MAX(0,IF(C44=$C$4,D44,ROUND(IF($C$3="Fixed Principal",$C$6-Table1578[[#This Row],[Interest]],IF($C$3="Interest Only",Table1578[[#This Row],[Beginning Balance]]*ROUND(1-(1-IF($C$11="No",$E$8,1))^(1/12),6),MIN(IF($C$13="Yes",Table1578[[#This Row],[Payment Amount (Reamortized)]],$C$6)-Table1578[[#This Row],[Interest]],Table1578[[#This Row],[Beginning Balance]]))),2)))</f>
        <v>0</v>
      </c>
      <c r="I44" s="3">
        <f>_xlfn.SINGLE(IF($C$3="Line of Credit",0,ROUND(MAX(MIN(IF($C$10="No",$E$7,VLOOKUP(Table1578[[#This Row],[Period]],Forecast!$H$2:$L$1048576,4,FALSE))*Table1578[[#This Row],[Beginning Balance]],Table1578[[#This Row],[Beginning Balance]]-Table1578[[#This Row],[Principal]]),0),2)))</f>
        <v>0</v>
      </c>
      <c r="J44" s="3">
        <f>ROUND(MIN(Table1578[[#This Row],[Beginning Balance]]*IF($C$8="No",$E$3,VLOOKUP(Table1578[[#This Row],[Period]],Forecast!$H$2:$L$1048576,2,FALSE)),Table1578[[#This Row],[Beginning Balance]]-Table1578[[#This Row],[Principal]]-Table1578[[#This Row],[Prepayments]]),2)</f>
        <v>0</v>
      </c>
      <c r="K44" s="3">
        <f>ROUND(Table1578[[#This Row],[Defaulted Principal]]*IF($C$9="No",$E$4,VLOOKUP(Table1578[[#This Row],[Period]],Forecast!$H$2:$L$1048576,3,FALSE)),2)</f>
        <v>0</v>
      </c>
      <c r="L44" s="2">
        <f>Table1578[[#This Row],[Period]]+$E$9</f>
        <v>40</v>
      </c>
      <c r="M44" s="3">
        <f>Table1578[[#This Row],[Defaulted Principal]]-Table1578[[#This Row],[Estimated Loss]]</f>
        <v>0</v>
      </c>
      <c r="N44" s="3">
        <f>IFERROR(VLOOKUP(Table1578[[#This Row],[Period]],$L$16:$M$385,2,FALSE),0)</f>
        <v>1241.6799999999998</v>
      </c>
      <c r="O44" s="3">
        <f>Table1578[[#This Row],[Beginning Balance]]-Table1578[[#This Row],[Principal]]-Table1578[[#This Row],[Prepayments]]-Table1578[[#This Row],[Defaulted Principal]]</f>
        <v>0</v>
      </c>
      <c r="P44" s="3">
        <f>Table1578[[#This Row],[Principal]]+Table1578[[#This Row],[Interest]]+Table1578[[#This Row],[Prepayments]]+Table1578[[#This Row],[RecoveredAmount]]</f>
        <v>1241.6799999999998</v>
      </c>
      <c r="Q44" s="3">
        <f ca="1">ROUND(Table1578[[#This Row],[Cash Flow]]/((1+ActualRateToUse)^(IF(ISNUMBER(SEARCH("Actual",$C$7)),Table1578[[#This Row],[Running Total]]/365,Table1578[[#This Row],[Period]]/12))),2)</f>
        <v>1042.8399999999999</v>
      </c>
      <c r="R44" s="2">
        <f>IF(MONTH(Table1578[[#This Row],[Date]])=2,28,DAY(DATE(YEAR(Table1578[[#This Row],[Date]]),MONTH(Table1578[[#This Row],[Date]])+1,1)-1))</f>
        <v>31</v>
      </c>
      <c r="S44" s="2">
        <f ca="1">SUM(OFFSET(Table1578[[#Headers],[Days in month]],1,0):Table1578[[#This Row],[Days in month]])</f>
        <v>853</v>
      </c>
      <c r="T44" s="37">
        <f>InterestRate*AmortizationMultiplier*IF(ISNUMBER(SEARCH("Actual",$C$7)),Table1578[[#This Row],[Days in month]]/365,1/12)</f>
        <v>6.2344444444444444E-3</v>
      </c>
    </row>
    <row r="45" spans="2:20" x14ac:dyDescent="0.2">
      <c r="B45" s="1">
        <v>46721</v>
      </c>
      <c r="C45" s="2">
        <f t="shared" si="1"/>
        <v>29</v>
      </c>
      <c r="D45" s="3">
        <f t="shared" si="0"/>
        <v>0</v>
      </c>
      <c r="E45" s="3">
        <f>ROUND(Table1578[[#This Row],[Beginning Balance]]*Table1578[[#This Row],[Monthly Interest Rate]],2)</f>
        <v>0</v>
      </c>
      <c r="F45" s="3">
        <f t="shared" si="2"/>
        <v>-26</v>
      </c>
      <c r="G45" s="23">
        <f>IFERROR(IF($C$13="No","N/A",IF(Table1578[[#This Row],[Period]]=1,$C$6,PMT(InterestRate*AmortizationMultiplier/12,Table1578[[#This Row],[Am Thru]],-Table1578[[#This Row],[Beginning Balance]]))),0)</f>
        <v>0</v>
      </c>
      <c r="H45" s="3">
        <f>MAX(0,IF(C45=$C$4,D45,ROUND(IF($C$3="Fixed Principal",$C$6-Table1578[[#This Row],[Interest]],IF($C$3="Interest Only",Table1578[[#This Row],[Beginning Balance]]*ROUND(1-(1-IF($C$11="No",$E$8,1))^(1/12),6),MIN(IF($C$13="Yes",Table1578[[#This Row],[Payment Amount (Reamortized)]],$C$6)-Table1578[[#This Row],[Interest]],Table1578[[#This Row],[Beginning Balance]]))),2)))</f>
        <v>0</v>
      </c>
      <c r="I45" s="3">
        <f>_xlfn.SINGLE(IF($C$3="Line of Credit",0,ROUND(MAX(MIN(IF($C$10="No",$E$7,VLOOKUP(Table1578[[#This Row],[Period]],Forecast!$H$2:$L$1048576,4,FALSE))*Table1578[[#This Row],[Beginning Balance]],Table1578[[#This Row],[Beginning Balance]]-Table1578[[#This Row],[Principal]]),0),2)))</f>
        <v>0</v>
      </c>
      <c r="J45" s="3">
        <f>ROUND(MIN(Table1578[[#This Row],[Beginning Balance]]*IF($C$8="No",$E$3,VLOOKUP(Table1578[[#This Row],[Period]],Forecast!$H$2:$L$1048576,2,FALSE)),Table1578[[#This Row],[Beginning Balance]]-Table1578[[#This Row],[Principal]]-Table1578[[#This Row],[Prepayments]]),2)</f>
        <v>0</v>
      </c>
      <c r="K45" s="3">
        <f>ROUND(Table1578[[#This Row],[Defaulted Principal]]*IF($C$9="No",$E$4,VLOOKUP(Table1578[[#This Row],[Period]],Forecast!$H$2:$L$1048576,3,FALSE)),2)</f>
        <v>0</v>
      </c>
      <c r="L45" s="2">
        <f>Table1578[[#This Row],[Period]]+$E$9</f>
        <v>41</v>
      </c>
      <c r="M45" s="3">
        <f>Table1578[[#This Row],[Defaulted Principal]]-Table1578[[#This Row],[Estimated Loss]]</f>
        <v>0</v>
      </c>
      <c r="N45" s="3">
        <f>IFERROR(VLOOKUP(Table1578[[#This Row],[Period]],$L$16:$M$385,2,FALSE),0)</f>
        <v>0</v>
      </c>
      <c r="O45" s="3">
        <f>Table1578[[#This Row],[Beginning Balance]]-Table1578[[#This Row],[Principal]]-Table1578[[#This Row],[Prepayments]]-Table1578[[#This Row],[Defaulted Principal]]</f>
        <v>0</v>
      </c>
      <c r="P45" s="3">
        <f>Table1578[[#This Row],[Principal]]+Table1578[[#This Row],[Interest]]+Table1578[[#This Row],[Prepayments]]+Table1578[[#This Row],[RecoveredAmount]]</f>
        <v>0</v>
      </c>
      <c r="Q45" s="3">
        <f ca="1">ROUND(Table1578[[#This Row],[Cash Flow]]/((1+ActualRateToUse)^(IF(ISNUMBER(SEARCH("Actual",$C$7)),Table1578[[#This Row],[Running Total]]/365,Table1578[[#This Row],[Period]]/12))),2)</f>
        <v>0</v>
      </c>
      <c r="R45" s="2">
        <f>IF(MONTH(Table1578[[#This Row],[Date]])=2,28,DAY(DATE(YEAR(Table1578[[#This Row],[Date]]),MONTH(Table1578[[#This Row],[Date]])+1,1)-1))</f>
        <v>30</v>
      </c>
      <c r="S45" s="2">
        <f ca="1">SUM(OFFSET(Table1578[[#Headers],[Days in month]],1,0):Table1578[[#This Row],[Days in month]])</f>
        <v>883</v>
      </c>
      <c r="T45" s="37">
        <f>InterestRate*AmortizationMultiplier*IF(ISNUMBER(SEARCH("Actual",$C$7)),Table1578[[#This Row],[Days in month]]/365,1/12)</f>
        <v>6.0333333333333333E-3</v>
      </c>
    </row>
    <row r="46" spans="2:20" x14ac:dyDescent="0.2">
      <c r="B46" s="1">
        <v>46752</v>
      </c>
      <c r="C46" s="2">
        <f t="shared" si="1"/>
        <v>30</v>
      </c>
      <c r="D46" s="3">
        <f t="shared" si="0"/>
        <v>0</v>
      </c>
      <c r="E46" s="3">
        <f>ROUND(Table1578[[#This Row],[Beginning Balance]]*Table1578[[#This Row],[Monthly Interest Rate]],2)</f>
        <v>0</v>
      </c>
      <c r="F46" s="3">
        <f t="shared" si="2"/>
        <v>-27</v>
      </c>
      <c r="G46" s="23">
        <f>IFERROR(IF($C$13="No","N/A",IF(Table1578[[#This Row],[Period]]=1,$C$6,PMT(InterestRate*AmortizationMultiplier/12,Table1578[[#This Row],[Am Thru]],-Table1578[[#This Row],[Beginning Balance]]))),0)</f>
        <v>0</v>
      </c>
      <c r="H46" s="3">
        <f>MAX(0,IF(C46=$C$4,D46,ROUND(IF($C$3="Fixed Principal",$C$6-Table1578[[#This Row],[Interest]],IF($C$3="Interest Only",Table1578[[#This Row],[Beginning Balance]]*ROUND(1-(1-IF($C$11="No",$E$8,1))^(1/12),6),MIN(IF($C$13="Yes",Table1578[[#This Row],[Payment Amount (Reamortized)]],$C$6)-Table1578[[#This Row],[Interest]],Table1578[[#This Row],[Beginning Balance]]))),2)))</f>
        <v>0</v>
      </c>
      <c r="I46" s="3">
        <f>_xlfn.SINGLE(IF($C$3="Line of Credit",0,ROUND(MAX(MIN(IF($C$10="No",$E$7,VLOOKUP(Table1578[[#This Row],[Period]],Forecast!$H$2:$L$1048576,4,FALSE))*Table1578[[#This Row],[Beginning Balance]],Table1578[[#This Row],[Beginning Balance]]-Table1578[[#This Row],[Principal]]),0),2)))</f>
        <v>0</v>
      </c>
      <c r="J46" s="3">
        <f>ROUND(MIN(Table1578[[#This Row],[Beginning Balance]]*IF($C$8="No",$E$3,VLOOKUP(Table1578[[#This Row],[Period]],Forecast!$H$2:$L$1048576,2,FALSE)),Table1578[[#This Row],[Beginning Balance]]-Table1578[[#This Row],[Principal]]-Table1578[[#This Row],[Prepayments]]),2)</f>
        <v>0</v>
      </c>
      <c r="K46" s="3">
        <f>ROUND(Table1578[[#This Row],[Defaulted Principal]]*IF($C$9="No",$E$4,VLOOKUP(Table1578[[#This Row],[Period]],Forecast!$H$2:$L$1048576,3,FALSE)),2)</f>
        <v>0</v>
      </c>
      <c r="L46" s="2">
        <f>Table1578[[#This Row],[Period]]+$E$9</f>
        <v>42</v>
      </c>
      <c r="M46" s="3">
        <f>Table1578[[#This Row],[Defaulted Principal]]-Table1578[[#This Row],[Estimated Loss]]</f>
        <v>0</v>
      </c>
      <c r="N46" s="3">
        <f>IFERROR(VLOOKUP(Table1578[[#This Row],[Period]],$L$16:$M$385,2,FALSE),0)</f>
        <v>0</v>
      </c>
      <c r="O46" s="3">
        <f>Table1578[[#This Row],[Beginning Balance]]-Table1578[[#This Row],[Principal]]-Table1578[[#This Row],[Prepayments]]-Table1578[[#This Row],[Defaulted Principal]]</f>
        <v>0</v>
      </c>
      <c r="P46" s="3">
        <f>Table1578[[#This Row],[Principal]]+Table1578[[#This Row],[Interest]]+Table1578[[#This Row],[Prepayments]]+Table1578[[#This Row],[RecoveredAmount]]</f>
        <v>0</v>
      </c>
      <c r="Q46" s="3">
        <f ca="1">ROUND(Table1578[[#This Row],[Cash Flow]]/((1+ActualRateToUse)^(IF(ISNUMBER(SEARCH("Actual",$C$7)),Table1578[[#This Row],[Running Total]]/365,Table1578[[#This Row],[Period]]/12))),2)</f>
        <v>0</v>
      </c>
      <c r="R46" s="2">
        <f>IF(MONTH(Table1578[[#This Row],[Date]])=2,28,DAY(DATE(YEAR(Table1578[[#This Row],[Date]]),MONTH(Table1578[[#This Row],[Date]])+1,1)-1))</f>
        <v>31</v>
      </c>
      <c r="S46" s="2">
        <f ca="1">SUM(OFFSET(Table1578[[#Headers],[Days in month]],1,0):Table1578[[#This Row],[Days in month]])</f>
        <v>914</v>
      </c>
      <c r="T46" s="37">
        <f>InterestRate*AmortizationMultiplier*IF(ISNUMBER(SEARCH("Actual",$C$7)),Table1578[[#This Row],[Days in month]]/365,1/12)</f>
        <v>6.2344444444444444E-3</v>
      </c>
    </row>
    <row r="47" spans="2:20" x14ac:dyDescent="0.2">
      <c r="B47" s="1">
        <v>46783</v>
      </c>
      <c r="C47" s="2">
        <f t="shared" si="1"/>
        <v>31</v>
      </c>
      <c r="D47" s="3">
        <f t="shared" si="0"/>
        <v>0</v>
      </c>
      <c r="E47" s="3">
        <f>ROUND(Table1578[[#This Row],[Beginning Balance]]*Table1578[[#This Row],[Monthly Interest Rate]],2)</f>
        <v>0</v>
      </c>
      <c r="F47" s="3">
        <f t="shared" si="2"/>
        <v>-28</v>
      </c>
      <c r="G47" s="23">
        <f>IFERROR(IF($C$13="No","N/A",IF(Table1578[[#This Row],[Period]]=1,$C$6,PMT(InterestRate*AmortizationMultiplier/12,Table1578[[#This Row],[Am Thru]],-Table1578[[#This Row],[Beginning Balance]]))),0)</f>
        <v>0</v>
      </c>
      <c r="H47" s="3">
        <f>MAX(0,IF(C47=$C$4,D47,ROUND(IF($C$3="Fixed Principal",$C$6-Table1578[[#This Row],[Interest]],IF($C$3="Interest Only",Table1578[[#This Row],[Beginning Balance]]*ROUND(1-(1-IF($C$11="No",$E$8,1))^(1/12),6),MIN(IF($C$13="Yes",Table1578[[#This Row],[Payment Amount (Reamortized)]],$C$6)-Table1578[[#This Row],[Interest]],Table1578[[#This Row],[Beginning Balance]]))),2)))</f>
        <v>0</v>
      </c>
      <c r="I47" s="3">
        <f>_xlfn.SINGLE(IF($C$3="Line of Credit",0,ROUND(MAX(MIN(IF($C$10="No",$E$7,VLOOKUP(Table1578[[#This Row],[Period]],Forecast!$H$2:$L$1048576,4,FALSE))*Table1578[[#This Row],[Beginning Balance]],Table1578[[#This Row],[Beginning Balance]]-Table1578[[#This Row],[Principal]]),0),2)))</f>
        <v>0</v>
      </c>
      <c r="J47" s="3">
        <f>ROUND(MIN(Table1578[[#This Row],[Beginning Balance]]*IF($C$8="No",$E$3,VLOOKUP(Table1578[[#This Row],[Period]],Forecast!$H$2:$L$1048576,2,FALSE)),Table1578[[#This Row],[Beginning Balance]]-Table1578[[#This Row],[Principal]]-Table1578[[#This Row],[Prepayments]]),2)</f>
        <v>0</v>
      </c>
      <c r="K47" s="3">
        <f>ROUND(Table1578[[#This Row],[Defaulted Principal]]*IF($C$9="No",$E$4,VLOOKUP(Table1578[[#This Row],[Period]],Forecast!$H$2:$L$1048576,3,FALSE)),2)</f>
        <v>0</v>
      </c>
      <c r="L47" s="2">
        <f>Table1578[[#This Row],[Period]]+$E$9</f>
        <v>43</v>
      </c>
      <c r="M47" s="3">
        <f>Table1578[[#This Row],[Defaulted Principal]]-Table1578[[#This Row],[Estimated Loss]]</f>
        <v>0</v>
      </c>
      <c r="N47" s="3">
        <f>IFERROR(VLOOKUP(Table1578[[#This Row],[Period]],$L$16:$M$385,2,FALSE),0)</f>
        <v>0</v>
      </c>
      <c r="O47" s="3">
        <f>Table1578[[#This Row],[Beginning Balance]]-Table1578[[#This Row],[Principal]]-Table1578[[#This Row],[Prepayments]]-Table1578[[#This Row],[Defaulted Principal]]</f>
        <v>0</v>
      </c>
      <c r="P47" s="3">
        <f>Table1578[[#This Row],[Principal]]+Table1578[[#This Row],[Interest]]+Table1578[[#This Row],[Prepayments]]+Table1578[[#This Row],[RecoveredAmount]]</f>
        <v>0</v>
      </c>
      <c r="Q47" s="3">
        <f ca="1">ROUND(Table1578[[#This Row],[Cash Flow]]/((1+ActualRateToUse)^(IF(ISNUMBER(SEARCH("Actual",$C$7)),Table1578[[#This Row],[Running Total]]/365,Table1578[[#This Row],[Period]]/12))),2)</f>
        <v>0</v>
      </c>
      <c r="R47" s="2">
        <f>IF(MONTH(Table1578[[#This Row],[Date]])=2,28,DAY(DATE(YEAR(Table1578[[#This Row],[Date]]),MONTH(Table1578[[#This Row],[Date]])+1,1)-1))</f>
        <v>31</v>
      </c>
      <c r="S47" s="2">
        <f ca="1">SUM(OFFSET(Table1578[[#Headers],[Days in month]],1,0):Table1578[[#This Row],[Days in month]])</f>
        <v>945</v>
      </c>
      <c r="T47" s="37">
        <f>InterestRate*AmortizationMultiplier*IF(ISNUMBER(SEARCH("Actual",$C$7)),Table1578[[#This Row],[Days in month]]/365,1/12)</f>
        <v>6.2344444444444444E-3</v>
      </c>
    </row>
    <row r="48" spans="2:20" x14ac:dyDescent="0.2">
      <c r="B48" s="1">
        <v>46812</v>
      </c>
      <c r="C48" s="2">
        <f t="shared" si="1"/>
        <v>32</v>
      </c>
      <c r="D48" s="3">
        <f t="shared" si="0"/>
        <v>0</v>
      </c>
      <c r="E48" s="3">
        <f>ROUND(Table1578[[#This Row],[Beginning Balance]]*Table1578[[#This Row],[Monthly Interest Rate]],2)</f>
        <v>0</v>
      </c>
      <c r="F48" s="3">
        <f t="shared" si="2"/>
        <v>-29</v>
      </c>
      <c r="G48" s="23">
        <f>IFERROR(IF($C$13="No","N/A",IF(Table1578[[#This Row],[Period]]=1,$C$6,PMT(InterestRate*AmortizationMultiplier/12,Table1578[[#This Row],[Am Thru]],-Table1578[[#This Row],[Beginning Balance]]))),0)</f>
        <v>0</v>
      </c>
      <c r="H48" s="3">
        <f>MAX(0,IF(C48=$C$4,D48,ROUND(IF($C$3="Fixed Principal",$C$6-Table1578[[#This Row],[Interest]],IF($C$3="Interest Only",Table1578[[#This Row],[Beginning Balance]]*ROUND(1-(1-IF($C$11="No",$E$8,1))^(1/12),6),MIN(IF($C$13="Yes",Table1578[[#This Row],[Payment Amount (Reamortized)]],$C$6)-Table1578[[#This Row],[Interest]],Table1578[[#This Row],[Beginning Balance]]))),2)))</f>
        <v>0</v>
      </c>
      <c r="I48" s="3">
        <f>_xlfn.SINGLE(IF($C$3="Line of Credit",0,ROUND(MAX(MIN(IF($C$10="No",$E$7,VLOOKUP(Table1578[[#This Row],[Period]],Forecast!$H$2:$L$1048576,4,FALSE))*Table1578[[#This Row],[Beginning Balance]],Table1578[[#This Row],[Beginning Balance]]-Table1578[[#This Row],[Principal]]),0),2)))</f>
        <v>0</v>
      </c>
      <c r="J48" s="3">
        <f>ROUND(MIN(Table1578[[#This Row],[Beginning Balance]]*IF($C$8="No",$E$3,VLOOKUP(Table1578[[#This Row],[Period]],Forecast!$H$2:$L$1048576,2,FALSE)),Table1578[[#This Row],[Beginning Balance]]-Table1578[[#This Row],[Principal]]-Table1578[[#This Row],[Prepayments]]),2)</f>
        <v>0</v>
      </c>
      <c r="K48" s="3">
        <f>ROUND(Table1578[[#This Row],[Defaulted Principal]]*IF($C$9="No",$E$4,VLOOKUP(Table1578[[#This Row],[Period]],Forecast!$H$2:$L$1048576,3,FALSE)),2)</f>
        <v>0</v>
      </c>
      <c r="L48" s="2">
        <f>Table1578[[#This Row],[Period]]+$E$9</f>
        <v>44</v>
      </c>
      <c r="M48" s="3">
        <f>Table1578[[#This Row],[Defaulted Principal]]-Table1578[[#This Row],[Estimated Loss]]</f>
        <v>0</v>
      </c>
      <c r="N48" s="3">
        <f>IFERROR(VLOOKUP(Table1578[[#This Row],[Period]],$L$16:$M$385,2,FALSE),0)</f>
        <v>0</v>
      </c>
      <c r="O48" s="3">
        <f>Table1578[[#This Row],[Beginning Balance]]-Table1578[[#This Row],[Principal]]-Table1578[[#This Row],[Prepayments]]-Table1578[[#This Row],[Defaulted Principal]]</f>
        <v>0</v>
      </c>
      <c r="P48" s="3">
        <f>Table1578[[#This Row],[Principal]]+Table1578[[#This Row],[Interest]]+Table1578[[#This Row],[Prepayments]]+Table1578[[#This Row],[RecoveredAmount]]</f>
        <v>0</v>
      </c>
      <c r="Q48" s="3">
        <f ca="1">ROUND(Table1578[[#This Row],[Cash Flow]]/((1+ActualRateToUse)^(IF(ISNUMBER(SEARCH("Actual",$C$7)),Table1578[[#This Row],[Running Total]]/365,Table1578[[#This Row],[Period]]/12))),2)</f>
        <v>0</v>
      </c>
      <c r="R48" s="2">
        <f>IF(MONTH(Table1578[[#This Row],[Date]])=2,28,DAY(DATE(YEAR(Table1578[[#This Row],[Date]]),MONTH(Table1578[[#This Row],[Date]])+1,1)-1))</f>
        <v>28</v>
      </c>
      <c r="S48" s="2">
        <f ca="1">SUM(OFFSET(Table1578[[#Headers],[Days in month]],1,0):Table1578[[#This Row],[Days in month]])</f>
        <v>973</v>
      </c>
      <c r="T48" s="37">
        <f>InterestRate*AmortizationMultiplier*IF(ISNUMBER(SEARCH("Actual",$C$7)),Table1578[[#This Row],[Days in month]]/365,1/12)</f>
        <v>5.6311111111111119E-3</v>
      </c>
    </row>
    <row r="49" spans="2:20" x14ac:dyDescent="0.2">
      <c r="B49" s="1">
        <v>46843</v>
      </c>
      <c r="C49" s="2">
        <f t="shared" si="1"/>
        <v>33</v>
      </c>
      <c r="D49" s="3">
        <f t="shared" si="0"/>
        <v>0</v>
      </c>
      <c r="E49" s="3">
        <f>ROUND(Table1578[[#This Row],[Beginning Balance]]*Table1578[[#This Row],[Monthly Interest Rate]],2)</f>
        <v>0</v>
      </c>
      <c r="F49" s="3">
        <f t="shared" si="2"/>
        <v>-30</v>
      </c>
      <c r="G49" s="23">
        <f>IFERROR(IF($C$13="No","N/A",IF(Table1578[[#This Row],[Period]]=1,$C$6,PMT(InterestRate*AmortizationMultiplier/12,Table1578[[#This Row],[Am Thru]],-Table1578[[#This Row],[Beginning Balance]]))),0)</f>
        <v>0</v>
      </c>
      <c r="H49" s="3">
        <f>MAX(0,IF(C49=$C$4,D49,ROUND(IF($C$3="Fixed Principal",$C$6-Table1578[[#This Row],[Interest]],IF($C$3="Interest Only",Table1578[[#This Row],[Beginning Balance]]*ROUND(1-(1-IF($C$11="No",$E$8,1))^(1/12),6),MIN(IF($C$13="Yes",Table1578[[#This Row],[Payment Amount (Reamortized)]],$C$6)-Table1578[[#This Row],[Interest]],Table1578[[#This Row],[Beginning Balance]]))),2)))</f>
        <v>0</v>
      </c>
      <c r="I49" s="3">
        <f>_xlfn.SINGLE(IF($C$3="Line of Credit",0,ROUND(MAX(MIN(IF($C$10="No",$E$7,VLOOKUP(Table1578[[#This Row],[Period]],Forecast!$H$2:$L$1048576,4,FALSE))*Table1578[[#This Row],[Beginning Balance]],Table1578[[#This Row],[Beginning Balance]]-Table1578[[#This Row],[Principal]]),0),2)))</f>
        <v>0</v>
      </c>
      <c r="J49" s="3">
        <f>ROUND(MIN(Table1578[[#This Row],[Beginning Balance]]*IF($C$8="No",$E$3,VLOOKUP(Table1578[[#This Row],[Period]],Forecast!$H$2:$L$1048576,2,FALSE)),Table1578[[#This Row],[Beginning Balance]]-Table1578[[#This Row],[Principal]]-Table1578[[#This Row],[Prepayments]]),2)</f>
        <v>0</v>
      </c>
      <c r="K49" s="3">
        <f>ROUND(Table1578[[#This Row],[Defaulted Principal]]*IF($C$9="No",$E$4,VLOOKUP(Table1578[[#This Row],[Period]],Forecast!$H$2:$L$1048576,3,FALSE)),2)</f>
        <v>0</v>
      </c>
      <c r="L49" s="2">
        <f>Table1578[[#This Row],[Period]]+$E$9</f>
        <v>45</v>
      </c>
      <c r="M49" s="3">
        <f>Table1578[[#This Row],[Defaulted Principal]]-Table1578[[#This Row],[Estimated Loss]]</f>
        <v>0</v>
      </c>
      <c r="N49" s="3">
        <f>IFERROR(VLOOKUP(Table1578[[#This Row],[Period]],$L$16:$M$385,2,FALSE),0)</f>
        <v>0</v>
      </c>
      <c r="O49" s="3">
        <f>Table1578[[#This Row],[Beginning Balance]]-Table1578[[#This Row],[Principal]]-Table1578[[#This Row],[Prepayments]]-Table1578[[#This Row],[Defaulted Principal]]</f>
        <v>0</v>
      </c>
      <c r="P49" s="3">
        <f>Table1578[[#This Row],[Principal]]+Table1578[[#This Row],[Interest]]+Table1578[[#This Row],[Prepayments]]+Table1578[[#This Row],[RecoveredAmount]]</f>
        <v>0</v>
      </c>
      <c r="Q49" s="3">
        <f ca="1">ROUND(Table1578[[#This Row],[Cash Flow]]/((1+ActualRateToUse)^(IF(ISNUMBER(SEARCH("Actual",$C$7)),Table1578[[#This Row],[Running Total]]/365,Table1578[[#This Row],[Period]]/12))),2)</f>
        <v>0</v>
      </c>
      <c r="R49" s="2">
        <f>IF(MONTH(Table1578[[#This Row],[Date]])=2,28,DAY(DATE(YEAR(Table1578[[#This Row],[Date]]),MONTH(Table1578[[#This Row],[Date]])+1,1)-1))</f>
        <v>31</v>
      </c>
      <c r="S49" s="2">
        <f ca="1">SUM(OFFSET(Table1578[[#Headers],[Days in month]],1,0):Table1578[[#This Row],[Days in month]])</f>
        <v>1004</v>
      </c>
      <c r="T49" s="37">
        <f>InterestRate*AmortizationMultiplier*IF(ISNUMBER(SEARCH("Actual",$C$7)),Table1578[[#This Row],[Days in month]]/365,1/12)</f>
        <v>6.2344444444444444E-3</v>
      </c>
    </row>
    <row r="50" spans="2:20" x14ac:dyDescent="0.2">
      <c r="B50" s="1">
        <v>46873</v>
      </c>
      <c r="C50" s="2">
        <f t="shared" si="1"/>
        <v>34</v>
      </c>
      <c r="D50" s="3">
        <f t="shared" si="0"/>
        <v>0</v>
      </c>
      <c r="E50" s="3">
        <f>ROUND(Table1578[[#This Row],[Beginning Balance]]*Table1578[[#This Row],[Monthly Interest Rate]],2)</f>
        <v>0</v>
      </c>
      <c r="F50" s="3">
        <f t="shared" si="2"/>
        <v>-31</v>
      </c>
      <c r="G50" s="23">
        <f>IFERROR(IF($C$13="No","N/A",IF(Table1578[[#This Row],[Period]]=1,$C$6,PMT(InterestRate*AmortizationMultiplier/12,Table1578[[#This Row],[Am Thru]],-Table1578[[#This Row],[Beginning Balance]]))),0)</f>
        <v>0</v>
      </c>
      <c r="H50" s="3">
        <f>MAX(0,IF(C50=$C$4,D50,ROUND(IF($C$3="Fixed Principal",$C$6-Table1578[[#This Row],[Interest]],IF($C$3="Interest Only",Table1578[[#This Row],[Beginning Balance]]*ROUND(1-(1-IF($C$11="No",$E$8,1))^(1/12),6),MIN(IF($C$13="Yes",Table1578[[#This Row],[Payment Amount (Reamortized)]],$C$6)-Table1578[[#This Row],[Interest]],Table1578[[#This Row],[Beginning Balance]]))),2)))</f>
        <v>0</v>
      </c>
      <c r="I50" s="3">
        <f>_xlfn.SINGLE(IF($C$3="Line of Credit",0,ROUND(MAX(MIN(IF($C$10="No",$E$7,VLOOKUP(Table1578[[#This Row],[Period]],Forecast!$H$2:$L$1048576,4,FALSE))*Table1578[[#This Row],[Beginning Balance]],Table1578[[#This Row],[Beginning Balance]]-Table1578[[#This Row],[Principal]]),0),2)))</f>
        <v>0</v>
      </c>
      <c r="J50" s="3">
        <f>ROUND(MIN(Table1578[[#This Row],[Beginning Balance]]*IF($C$8="No",$E$3,VLOOKUP(Table1578[[#This Row],[Period]],Forecast!$H$2:$L$1048576,2,FALSE)),Table1578[[#This Row],[Beginning Balance]]-Table1578[[#This Row],[Principal]]-Table1578[[#This Row],[Prepayments]]),2)</f>
        <v>0</v>
      </c>
      <c r="K50" s="3">
        <f>ROUND(Table1578[[#This Row],[Defaulted Principal]]*IF($C$9="No",$E$4,VLOOKUP(Table1578[[#This Row],[Period]],Forecast!$H$2:$L$1048576,3,FALSE)),2)</f>
        <v>0</v>
      </c>
      <c r="L50" s="2">
        <f>Table1578[[#This Row],[Period]]+$E$9</f>
        <v>46</v>
      </c>
      <c r="M50" s="3">
        <f>Table1578[[#This Row],[Defaulted Principal]]-Table1578[[#This Row],[Estimated Loss]]</f>
        <v>0</v>
      </c>
      <c r="N50" s="3">
        <f>IFERROR(VLOOKUP(Table1578[[#This Row],[Period]],$L$16:$M$385,2,FALSE),0)</f>
        <v>0</v>
      </c>
      <c r="O50" s="3">
        <f>Table1578[[#This Row],[Beginning Balance]]-Table1578[[#This Row],[Principal]]-Table1578[[#This Row],[Prepayments]]-Table1578[[#This Row],[Defaulted Principal]]</f>
        <v>0</v>
      </c>
      <c r="P50" s="3">
        <f>Table1578[[#This Row],[Principal]]+Table1578[[#This Row],[Interest]]+Table1578[[#This Row],[Prepayments]]+Table1578[[#This Row],[RecoveredAmount]]</f>
        <v>0</v>
      </c>
      <c r="Q50" s="3">
        <f ca="1">ROUND(Table1578[[#This Row],[Cash Flow]]/((1+ActualRateToUse)^(IF(ISNUMBER(SEARCH("Actual",$C$7)),Table1578[[#This Row],[Running Total]]/365,Table1578[[#This Row],[Period]]/12))),2)</f>
        <v>0</v>
      </c>
      <c r="R50" s="2">
        <f>IF(MONTH(Table1578[[#This Row],[Date]])=2,28,DAY(DATE(YEAR(Table1578[[#This Row],[Date]]),MONTH(Table1578[[#This Row],[Date]])+1,1)-1))</f>
        <v>30</v>
      </c>
      <c r="S50" s="2">
        <f ca="1">SUM(OFFSET(Table1578[[#Headers],[Days in month]],1,0):Table1578[[#This Row],[Days in month]])</f>
        <v>1034</v>
      </c>
      <c r="T50" s="37">
        <f>InterestRate*AmortizationMultiplier*IF(ISNUMBER(SEARCH("Actual",$C$7)),Table1578[[#This Row],[Days in month]]/365,1/12)</f>
        <v>6.0333333333333333E-3</v>
      </c>
    </row>
    <row r="51" spans="2:20" x14ac:dyDescent="0.2">
      <c r="B51" s="1">
        <v>46904</v>
      </c>
      <c r="C51" s="2">
        <f t="shared" si="1"/>
        <v>35</v>
      </c>
      <c r="D51" s="3">
        <f t="shared" si="0"/>
        <v>0</v>
      </c>
      <c r="E51" s="3">
        <f>ROUND(Table1578[[#This Row],[Beginning Balance]]*Table1578[[#This Row],[Monthly Interest Rate]],2)</f>
        <v>0</v>
      </c>
      <c r="F51" s="3">
        <f t="shared" si="2"/>
        <v>-32</v>
      </c>
      <c r="G51" s="23">
        <f>IFERROR(IF($C$13="No","N/A",IF(Table1578[[#This Row],[Period]]=1,$C$6,PMT(InterestRate*AmortizationMultiplier/12,Table1578[[#This Row],[Am Thru]],-Table1578[[#This Row],[Beginning Balance]]))),0)</f>
        <v>0</v>
      </c>
      <c r="H51" s="3">
        <f>MAX(0,IF(C51=$C$4,D51,ROUND(IF($C$3="Fixed Principal",$C$6-Table1578[[#This Row],[Interest]],IF($C$3="Interest Only",Table1578[[#This Row],[Beginning Balance]]*ROUND(1-(1-IF($C$11="No",$E$8,1))^(1/12),6),MIN(IF($C$13="Yes",Table1578[[#This Row],[Payment Amount (Reamortized)]],$C$6)-Table1578[[#This Row],[Interest]],Table1578[[#This Row],[Beginning Balance]]))),2)))</f>
        <v>0</v>
      </c>
      <c r="I51" s="3">
        <f>_xlfn.SINGLE(IF($C$3="Line of Credit",0,ROUND(MAX(MIN(IF($C$10="No",$E$7,VLOOKUP(Table1578[[#This Row],[Period]],Forecast!$H$2:$L$1048576,4,FALSE))*Table1578[[#This Row],[Beginning Balance]],Table1578[[#This Row],[Beginning Balance]]-Table1578[[#This Row],[Principal]]),0),2)))</f>
        <v>0</v>
      </c>
      <c r="J51" s="3">
        <f>ROUND(MIN(Table1578[[#This Row],[Beginning Balance]]*IF($C$8="No",$E$3,VLOOKUP(Table1578[[#This Row],[Period]],Forecast!$H$2:$L$1048576,2,FALSE)),Table1578[[#This Row],[Beginning Balance]]-Table1578[[#This Row],[Principal]]-Table1578[[#This Row],[Prepayments]]),2)</f>
        <v>0</v>
      </c>
      <c r="K51" s="3">
        <f>ROUND(Table1578[[#This Row],[Defaulted Principal]]*IF($C$9="No",$E$4,VLOOKUP(Table1578[[#This Row],[Period]],Forecast!$H$2:$L$1048576,3,FALSE)),2)</f>
        <v>0</v>
      </c>
      <c r="L51" s="2">
        <f>Table1578[[#This Row],[Period]]+$E$9</f>
        <v>47</v>
      </c>
      <c r="M51" s="3">
        <f>Table1578[[#This Row],[Defaulted Principal]]-Table1578[[#This Row],[Estimated Loss]]</f>
        <v>0</v>
      </c>
      <c r="N51" s="3">
        <f>IFERROR(VLOOKUP(Table1578[[#This Row],[Period]],$L$16:$M$385,2,FALSE),0)</f>
        <v>0</v>
      </c>
      <c r="O51" s="3">
        <f>Table1578[[#This Row],[Beginning Balance]]-Table1578[[#This Row],[Principal]]-Table1578[[#This Row],[Prepayments]]-Table1578[[#This Row],[Defaulted Principal]]</f>
        <v>0</v>
      </c>
      <c r="P51" s="3">
        <f>Table1578[[#This Row],[Principal]]+Table1578[[#This Row],[Interest]]+Table1578[[#This Row],[Prepayments]]+Table1578[[#This Row],[RecoveredAmount]]</f>
        <v>0</v>
      </c>
      <c r="Q51" s="3">
        <f ca="1">ROUND(Table1578[[#This Row],[Cash Flow]]/((1+ActualRateToUse)^(IF(ISNUMBER(SEARCH("Actual",$C$7)),Table1578[[#This Row],[Running Total]]/365,Table1578[[#This Row],[Period]]/12))),2)</f>
        <v>0</v>
      </c>
      <c r="R51" s="2">
        <f>IF(MONTH(Table1578[[#This Row],[Date]])=2,28,DAY(DATE(YEAR(Table1578[[#This Row],[Date]]),MONTH(Table1578[[#This Row],[Date]])+1,1)-1))</f>
        <v>31</v>
      </c>
      <c r="S51" s="2">
        <f ca="1">SUM(OFFSET(Table1578[[#Headers],[Days in month]],1,0):Table1578[[#This Row],[Days in month]])</f>
        <v>1065</v>
      </c>
      <c r="T51" s="37">
        <f>InterestRate*AmortizationMultiplier*IF(ISNUMBER(SEARCH("Actual",$C$7)),Table1578[[#This Row],[Days in month]]/365,1/12)</f>
        <v>6.2344444444444444E-3</v>
      </c>
    </row>
    <row r="52" spans="2:20" x14ac:dyDescent="0.2">
      <c r="B52" s="1">
        <v>46934</v>
      </c>
      <c r="C52" s="2">
        <f t="shared" si="1"/>
        <v>36</v>
      </c>
      <c r="D52" s="3">
        <f t="shared" si="0"/>
        <v>0</v>
      </c>
      <c r="E52" s="3">
        <f>ROUND(Table1578[[#This Row],[Beginning Balance]]*Table1578[[#This Row],[Monthly Interest Rate]],2)</f>
        <v>0</v>
      </c>
      <c r="F52" s="3">
        <f t="shared" si="2"/>
        <v>-33</v>
      </c>
      <c r="G52" s="23">
        <f>IFERROR(IF($C$13="No","N/A",IF(Table1578[[#This Row],[Period]]=1,$C$6,PMT(InterestRate*AmortizationMultiplier/12,Table1578[[#This Row],[Am Thru]],-Table1578[[#This Row],[Beginning Balance]]))),0)</f>
        <v>0</v>
      </c>
      <c r="H52" s="3">
        <f>MAX(0,IF(C52=$C$4,D52,ROUND(IF($C$3="Fixed Principal",$C$6-Table1578[[#This Row],[Interest]],IF($C$3="Interest Only",Table1578[[#This Row],[Beginning Balance]]*ROUND(1-(1-IF($C$11="No",$E$8,1))^(1/12),6),MIN(IF($C$13="Yes",Table1578[[#This Row],[Payment Amount (Reamortized)]],$C$6)-Table1578[[#This Row],[Interest]],Table1578[[#This Row],[Beginning Balance]]))),2)))</f>
        <v>0</v>
      </c>
      <c r="I52" s="3">
        <f>_xlfn.SINGLE(IF($C$3="Line of Credit",0,ROUND(MAX(MIN(IF($C$10="No",$E$7,VLOOKUP(Table1578[[#This Row],[Period]],Forecast!$H$2:$L$1048576,4,FALSE))*Table1578[[#This Row],[Beginning Balance]],Table1578[[#This Row],[Beginning Balance]]-Table1578[[#This Row],[Principal]]),0),2)))</f>
        <v>0</v>
      </c>
      <c r="J52" s="3">
        <f>ROUND(MIN(Table1578[[#This Row],[Beginning Balance]]*IF($C$8="No",$E$3,VLOOKUP(Table1578[[#This Row],[Period]],Forecast!$H$2:$L$1048576,2,FALSE)),Table1578[[#This Row],[Beginning Balance]]-Table1578[[#This Row],[Principal]]-Table1578[[#This Row],[Prepayments]]),2)</f>
        <v>0</v>
      </c>
      <c r="K52" s="3">
        <f>ROUND(Table1578[[#This Row],[Defaulted Principal]]*IF($C$9="No",$E$4,VLOOKUP(Table1578[[#This Row],[Period]],Forecast!$H$2:$L$1048576,3,FALSE)),2)</f>
        <v>0</v>
      </c>
      <c r="L52" s="2">
        <f>Table1578[[#This Row],[Period]]+$E$9</f>
        <v>48</v>
      </c>
      <c r="M52" s="3">
        <f>Table1578[[#This Row],[Defaulted Principal]]-Table1578[[#This Row],[Estimated Loss]]</f>
        <v>0</v>
      </c>
      <c r="N52" s="3">
        <f>IFERROR(VLOOKUP(Table1578[[#This Row],[Period]],$L$16:$M$385,2,FALSE),0)</f>
        <v>0</v>
      </c>
      <c r="O52" s="3">
        <f>Table1578[[#This Row],[Beginning Balance]]-Table1578[[#This Row],[Principal]]-Table1578[[#This Row],[Prepayments]]-Table1578[[#This Row],[Defaulted Principal]]</f>
        <v>0</v>
      </c>
      <c r="P52" s="3">
        <f>Table1578[[#This Row],[Principal]]+Table1578[[#This Row],[Interest]]+Table1578[[#This Row],[Prepayments]]+Table1578[[#This Row],[RecoveredAmount]]</f>
        <v>0</v>
      </c>
      <c r="Q52" s="3">
        <f ca="1">ROUND(Table1578[[#This Row],[Cash Flow]]/((1+ActualRateToUse)^(IF(ISNUMBER(SEARCH("Actual",$C$7)),Table1578[[#This Row],[Running Total]]/365,Table1578[[#This Row],[Period]]/12))),2)</f>
        <v>0</v>
      </c>
      <c r="R52" s="2">
        <f>IF(MONTH(Table1578[[#This Row],[Date]])=2,28,DAY(DATE(YEAR(Table1578[[#This Row],[Date]]),MONTH(Table1578[[#This Row],[Date]])+1,1)-1))</f>
        <v>30</v>
      </c>
      <c r="S52" s="2">
        <f ca="1">SUM(OFFSET(Table1578[[#Headers],[Days in month]],1,0):Table1578[[#This Row],[Days in month]])</f>
        <v>1095</v>
      </c>
      <c r="T52" s="37">
        <f>InterestRate*AmortizationMultiplier*IF(ISNUMBER(SEARCH("Actual",$C$7)),Table1578[[#This Row],[Days in month]]/365,1/12)</f>
        <v>6.0333333333333333E-3</v>
      </c>
    </row>
    <row r="53" spans="2:20" x14ac:dyDescent="0.2">
      <c r="B53" s="1">
        <v>46965</v>
      </c>
      <c r="C53" s="2">
        <f t="shared" si="1"/>
        <v>37</v>
      </c>
      <c r="D53" s="3">
        <f t="shared" si="0"/>
        <v>0</v>
      </c>
      <c r="E53" s="3">
        <f>ROUND(Table1578[[#This Row],[Beginning Balance]]*Table1578[[#This Row],[Monthly Interest Rate]],2)</f>
        <v>0</v>
      </c>
      <c r="F53" s="3">
        <f t="shared" si="2"/>
        <v>-34</v>
      </c>
      <c r="G53" s="23">
        <f>IFERROR(IF($C$13="No","N/A",IF(Table1578[[#This Row],[Period]]=1,$C$6,PMT(InterestRate*AmortizationMultiplier/12,Table1578[[#This Row],[Am Thru]],-Table1578[[#This Row],[Beginning Balance]]))),0)</f>
        <v>0</v>
      </c>
      <c r="H53" s="3">
        <f>MAX(0,IF(C53=$C$4,D53,ROUND(IF($C$3="Fixed Principal",$C$6-Table1578[[#This Row],[Interest]],IF($C$3="Interest Only",Table1578[[#This Row],[Beginning Balance]]*ROUND(1-(1-IF($C$11="No",$E$8,1))^(1/12),6),MIN(IF($C$13="Yes",Table1578[[#This Row],[Payment Amount (Reamortized)]],$C$6)-Table1578[[#This Row],[Interest]],Table1578[[#This Row],[Beginning Balance]]))),2)))</f>
        <v>0</v>
      </c>
      <c r="I53" s="3">
        <f>_xlfn.SINGLE(IF($C$3="Line of Credit",0,ROUND(MAX(MIN(IF($C$10="No",$E$7,VLOOKUP(Table1578[[#This Row],[Period]],Forecast!$H$2:$L$1048576,4,FALSE))*Table1578[[#This Row],[Beginning Balance]],Table1578[[#This Row],[Beginning Balance]]-Table1578[[#This Row],[Principal]]),0),2)))</f>
        <v>0</v>
      </c>
      <c r="J53" s="3">
        <f>ROUND(MIN(Table1578[[#This Row],[Beginning Balance]]*IF($C$8="No",$E$3,VLOOKUP(Table1578[[#This Row],[Period]],Forecast!$H$2:$L$1048576,2,FALSE)),Table1578[[#This Row],[Beginning Balance]]-Table1578[[#This Row],[Principal]]-Table1578[[#This Row],[Prepayments]]),2)</f>
        <v>0</v>
      </c>
      <c r="K53" s="3">
        <f>ROUND(Table1578[[#This Row],[Defaulted Principal]]*IF($C$9="No",$E$4,VLOOKUP(Table1578[[#This Row],[Period]],Forecast!$H$2:$L$1048576,3,FALSE)),2)</f>
        <v>0</v>
      </c>
      <c r="L53" s="2">
        <f>Table1578[[#This Row],[Period]]+$E$9</f>
        <v>49</v>
      </c>
      <c r="M53" s="3">
        <f>Table1578[[#This Row],[Defaulted Principal]]-Table1578[[#This Row],[Estimated Loss]]</f>
        <v>0</v>
      </c>
      <c r="N53" s="3">
        <f>IFERROR(VLOOKUP(Table1578[[#This Row],[Period]],$L$16:$M$385,2,FALSE),0)</f>
        <v>0</v>
      </c>
      <c r="O53" s="3">
        <f>Table1578[[#This Row],[Beginning Balance]]-Table1578[[#This Row],[Principal]]-Table1578[[#This Row],[Prepayments]]-Table1578[[#This Row],[Defaulted Principal]]</f>
        <v>0</v>
      </c>
      <c r="P53" s="3">
        <f>Table1578[[#This Row],[Principal]]+Table1578[[#This Row],[Interest]]+Table1578[[#This Row],[Prepayments]]+Table1578[[#This Row],[RecoveredAmount]]</f>
        <v>0</v>
      </c>
      <c r="Q53" s="3">
        <f ca="1">ROUND(Table1578[[#This Row],[Cash Flow]]/((1+ActualRateToUse)^(IF(ISNUMBER(SEARCH("Actual",$C$7)),Table1578[[#This Row],[Running Total]]/365,Table1578[[#This Row],[Period]]/12))),2)</f>
        <v>0</v>
      </c>
      <c r="R53" s="2">
        <f>IF(MONTH(Table1578[[#This Row],[Date]])=2,28,DAY(DATE(YEAR(Table1578[[#This Row],[Date]]),MONTH(Table1578[[#This Row],[Date]])+1,1)-1))</f>
        <v>31</v>
      </c>
      <c r="S53" s="2">
        <f ca="1">SUM(OFFSET(Table1578[[#Headers],[Days in month]],1,0):Table1578[[#This Row],[Days in month]])</f>
        <v>1126</v>
      </c>
      <c r="T53" s="37">
        <f>InterestRate*AmortizationMultiplier*IF(ISNUMBER(SEARCH("Actual",$C$7)),Table1578[[#This Row],[Days in month]]/365,1/12)</f>
        <v>6.2344444444444444E-3</v>
      </c>
    </row>
    <row r="54" spans="2:20" x14ac:dyDescent="0.2">
      <c r="B54" s="1">
        <v>46996</v>
      </c>
      <c r="C54" s="2">
        <f t="shared" si="1"/>
        <v>38</v>
      </c>
      <c r="D54" s="3">
        <f t="shared" si="0"/>
        <v>0</v>
      </c>
      <c r="E54" s="3">
        <f>ROUND(Table1578[[#This Row],[Beginning Balance]]*Table1578[[#This Row],[Monthly Interest Rate]],2)</f>
        <v>0</v>
      </c>
      <c r="F54" s="3">
        <f t="shared" si="2"/>
        <v>-35</v>
      </c>
      <c r="G54" s="23">
        <f>IFERROR(IF($C$13="No","N/A",IF(Table1578[[#This Row],[Period]]=1,$C$6,PMT(InterestRate*AmortizationMultiplier/12,Table1578[[#This Row],[Am Thru]],-Table1578[[#This Row],[Beginning Balance]]))),0)</f>
        <v>0</v>
      </c>
      <c r="H54" s="3">
        <f>MAX(0,IF(C54=$C$4,D54,ROUND(IF($C$3="Fixed Principal",$C$6-Table1578[[#This Row],[Interest]],IF($C$3="Interest Only",Table1578[[#This Row],[Beginning Balance]]*ROUND(1-(1-IF($C$11="No",$E$8,1))^(1/12),6),MIN(IF($C$13="Yes",Table1578[[#This Row],[Payment Amount (Reamortized)]],$C$6)-Table1578[[#This Row],[Interest]],Table1578[[#This Row],[Beginning Balance]]))),2)))</f>
        <v>0</v>
      </c>
      <c r="I54" s="3">
        <f>_xlfn.SINGLE(IF($C$3="Line of Credit",0,ROUND(MAX(MIN(IF($C$10="No",$E$7,VLOOKUP(Table1578[[#This Row],[Period]],Forecast!$H$2:$L$1048576,4,FALSE))*Table1578[[#This Row],[Beginning Balance]],Table1578[[#This Row],[Beginning Balance]]-Table1578[[#This Row],[Principal]]),0),2)))</f>
        <v>0</v>
      </c>
      <c r="J54" s="3">
        <f>ROUND(MIN(Table1578[[#This Row],[Beginning Balance]]*IF($C$8="No",$E$3,VLOOKUP(Table1578[[#This Row],[Period]],Forecast!$H$2:$L$1048576,2,FALSE)),Table1578[[#This Row],[Beginning Balance]]-Table1578[[#This Row],[Principal]]-Table1578[[#This Row],[Prepayments]]),2)</f>
        <v>0</v>
      </c>
      <c r="K54" s="3">
        <f>ROUND(Table1578[[#This Row],[Defaulted Principal]]*IF($C$9="No",$E$4,VLOOKUP(Table1578[[#This Row],[Period]],Forecast!$H$2:$L$1048576,3,FALSE)),2)</f>
        <v>0</v>
      </c>
      <c r="L54" s="2">
        <f>Table1578[[#This Row],[Period]]+$E$9</f>
        <v>50</v>
      </c>
      <c r="M54" s="3">
        <f>Table1578[[#This Row],[Defaulted Principal]]-Table1578[[#This Row],[Estimated Loss]]</f>
        <v>0</v>
      </c>
      <c r="N54" s="3">
        <f>IFERROR(VLOOKUP(Table1578[[#This Row],[Period]],$L$16:$M$385,2,FALSE),0)</f>
        <v>0</v>
      </c>
      <c r="O54" s="3">
        <f>Table1578[[#This Row],[Beginning Balance]]-Table1578[[#This Row],[Principal]]-Table1578[[#This Row],[Prepayments]]-Table1578[[#This Row],[Defaulted Principal]]</f>
        <v>0</v>
      </c>
      <c r="P54" s="3">
        <f>Table1578[[#This Row],[Principal]]+Table1578[[#This Row],[Interest]]+Table1578[[#This Row],[Prepayments]]+Table1578[[#This Row],[RecoveredAmount]]</f>
        <v>0</v>
      </c>
      <c r="Q54" s="3">
        <f ca="1">ROUND(Table1578[[#This Row],[Cash Flow]]/((1+ActualRateToUse)^(IF(ISNUMBER(SEARCH("Actual",$C$7)),Table1578[[#This Row],[Running Total]]/365,Table1578[[#This Row],[Period]]/12))),2)</f>
        <v>0</v>
      </c>
      <c r="R54" s="2">
        <f>IF(MONTH(Table1578[[#This Row],[Date]])=2,28,DAY(DATE(YEAR(Table1578[[#This Row],[Date]]),MONTH(Table1578[[#This Row],[Date]])+1,1)-1))</f>
        <v>31</v>
      </c>
      <c r="S54" s="2">
        <f ca="1">SUM(OFFSET(Table1578[[#Headers],[Days in month]],1,0):Table1578[[#This Row],[Days in month]])</f>
        <v>1157</v>
      </c>
      <c r="T54" s="37">
        <f>InterestRate*AmortizationMultiplier*IF(ISNUMBER(SEARCH("Actual",$C$7)),Table1578[[#This Row],[Days in month]]/365,1/12)</f>
        <v>6.2344444444444444E-3</v>
      </c>
    </row>
    <row r="55" spans="2:20" x14ac:dyDescent="0.2">
      <c r="B55" s="1">
        <v>47026</v>
      </c>
      <c r="C55" s="2">
        <f t="shared" si="1"/>
        <v>39</v>
      </c>
      <c r="D55" s="3">
        <f t="shared" si="0"/>
        <v>0</v>
      </c>
      <c r="E55" s="3">
        <f>ROUND(Table1578[[#This Row],[Beginning Balance]]*Table1578[[#This Row],[Monthly Interest Rate]],2)</f>
        <v>0</v>
      </c>
      <c r="F55" s="3">
        <f t="shared" si="2"/>
        <v>-36</v>
      </c>
      <c r="G55" s="23">
        <f>IFERROR(IF($C$13="No","N/A",IF(Table1578[[#This Row],[Period]]=1,$C$6,PMT(InterestRate*AmortizationMultiplier/12,Table1578[[#This Row],[Am Thru]],-Table1578[[#This Row],[Beginning Balance]]))),0)</f>
        <v>0</v>
      </c>
      <c r="H55" s="3">
        <f>MAX(0,IF(C55=$C$4,D55,ROUND(IF($C$3="Fixed Principal",$C$6-Table1578[[#This Row],[Interest]],IF($C$3="Interest Only",Table1578[[#This Row],[Beginning Balance]]*ROUND(1-(1-IF($C$11="No",$E$8,1))^(1/12),6),MIN(IF($C$13="Yes",Table1578[[#This Row],[Payment Amount (Reamortized)]],$C$6)-Table1578[[#This Row],[Interest]],Table1578[[#This Row],[Beginning Balance]]))),2)))</f>
        <v>0</v>
      </c>
      <c r="I55" s="3">
        <f>_xlfn.SINGLE(IF($C$3="Line of Credit",0,ROUND(MAX(MIN(IF($C$10="No",$E$7,VLOOKUP(Table1578[[#This Row],[Period]],Forecast!$H$2:$L$1048576,4,FALSE))*Table1578[[#This Row],[Beginning Balance]],Table1578[[#This Row],[Beginning Balance]]-Table1578[[#This Row],[Principal]]),0),2)))</f>
        <v>0</v>
      </c>
      <c r="J55" s="3">
        <f>ROUND(MIN(Table1578[[#This Row],[Beginning Balance]]*IF($C$8="No",$E$3,VLOOKUP(Table1578[[#This Row],[Period]],Forecast!$H$2:$L$1048576,2,FALSE)),Table1578[[#This Row],[Beginning Balance]]-Table1578[[#This Row],[Principal]]-Table1578[[#This Row],[Prepayments]]),2)</f>
        <v>0</v>
      </c>
      <c r="K55" s="3">
        <f>ROUND(Table1578[[#This Row],[Defaulted Principal]]*IF($C$9="No",$E$4,VLOOKUP(Table1578[[#This Row],[Period]],Forecast!$H$2:$L$1048576,3,FALSE)),2)</f>
        <v>0</v>
      </c>
      <c r="L55" s="2">
        <f>Table1578[[#This Row],[Period]]+$E$9</f>
        <v>51</v>
      </c>
      <c r="M55" s="3">
        <f>Table1578[[#This Row],[Defaulted Principal]]-Table1578[[#This Row],[Estimated Loss]]</f>
        <v>0</v>
      </c>
      <c r="N55" s="3">
        <f>IFERROR(VLOOKUP(Table1578[[#This Row],[Period]],$L$16:$M$385,2,FALSE),0)</f>
        <v>0</v>
      </c>
      <c r="O55" s="3">
        <f>Table1578[[#This Row],[Beginning Balance]]-Table1578[[#This Row],[Principal]]-Table1578[[#This Row],[Prepayments]]-Table1578[[#This Row],[Defaulted Principal]]</f>
        <v>0</v>
      </c>
      <c r="P55" s="3">
        <f>Table1578[[#This Row],[Principal]]+Table1578[[#This Row],[Interest]]+Table1578[[#This Row],[Prepayments]]+Table1578[[#This Row],[RecoveredAmount]]</f>
        <v>0</v>
      </c>
      <c r="Q55" s="3">
        <f ca="1">ROUND(Table1578[[#This Row],[Cash Flow]]/((1+ActualRateToUse)^(IF(ISNUMBER(SEARCH("Actual",$C$7)),Table1578[[#This Row],[Running Total]]/365,Table1578[[#This Row],[Period]]/12))),2)</f>
        <v>0</v>
      </c>
      <c r="R55" s="2">
        <f>IF(MONTH(Table1578[[#This Row],[Date]])=2,28,DAY(DATE(YEAR(Table1578[[#This Row],[Date]]),MONTH(Table1578[[#This Row],[Date]])+1,1)-1))</f>
        <v>30</v>
      </c>
      <c r="S55" s="2">
        <f ca="1">SUM(OFFSET(Table1578[[#Headers],[Days in month]],1,0):Table1578[[#This Row],[Days in month]])</f>
        <v>1187</v>
      </c>
      <c r="T55" s="37">
        <f>InterestRate*AmortizationMultiplier*IF(ISNUMBER(SEARCH("Actual",$C$7)),Table1578[[#This Row],[Days in month]]/365,1/12)</f>
        <v>6.0333333333333333E-3</v>
      </c>
    </row>
    <row r="56" spans="2:20" x14ac:dyDescent="0.2">
      <c r="B56" s="1">
        <v>47057</v>
      </c>
      <c r="C56" s="2">
        <f t="shared" si="1"/>
        <v>40</v>
      </c>
      <c r="D56" s="3">
        <f t="shared" si="0"/>
        <v>0</v>
      </c>
      <c r="E56" s="3">
        <f>ROUND(Table1578[[#This Row],[Beginning Balance]]*Table1578[[#This Row],[Monthly Interest Rate]],2)</f>
        <v>0</v>
      </c>
      <c r="F56" s="3">
        <f t="shared" si="2"/>
        <v>-37</v>
      </c>
      <c r="G56" s="23">
        <f>IFERROR(IF($C$13="No","N/A",IF(Table1578[[#This Row],[Period]]=1,$C$6,PMT(InterestRate*AmortizationMultiplier/12,Table1578[[#This Row],[Am Thru]],-Table1578[[#This Row],[Beginning Balance]]))),0)</f>
        <v>0</v>
      </c>
      <c r="H56" s="3">
        <f>MAX(0,IF(C56=$C$4,D56,ROUND(IF($C$3="Fixed Principal",$C$6-Table1578[[#This Row],[Interest]],IF($C$3="Interest Only",Table1578[[#This Row],[Beginning Balance]]*ROUND(1-(1-IF($C$11="No",$E$8,1))^(1/12),6),MIN(IF($C$13="Yes",Table1578[[#This Row],[Payment Amount (Reamortized)]],$C$6)-Table1578[[#This Row],[Interest]],Table1578[[#This Row],[Beginning Balance]]))),2)))</f>
        <v>0</v>
      </c>
      <c r="I56" s="3">
        <f>_xlfn.SINGLE(IF($C$3="Line of Credit",0,ROUND(MAX(MIN(IF($C$10="No",$E$7,VLOOKUP(Table1578[[#This Row],[Period]],Forecast!$H$2:$L$1048576,4,FALSE))*Table1578[[#This Row],[Beginning Balance]],Table1578[[#This Row],[Beginning Balance]]-Table1578[[#This Row],[Principal]]),0),2)))</f>
        <v>0</v>
      </c>
      <c r="J56" s="3">
        <f>ROUND(MIN(Table1578[[#This Row],[Beginning Balance]]*IF($C$8="No",$E$3,VLOOKUP(Table1578[[#This Row],[Period]],Forecast!$H$2:$L$1048576,2,FALSE)),Table1578[[#This Row],[Beginning Balance]]-Table1578[[#This Row],[Principal]]-Table1578[[#This Row],[Prepayments]]),2)</f>
        <v>0</v>
      </c>
      <c r="K56" s="3">
        <f>ROUND(Table1578[[#This Row],[Defaulted Principal]]*IF($C$9="No",$E$4,VLOOKUP(Table1578[[#This Row],[Period]],Forecast!$H$2:$L$1048576,3,FALSE)),2)</f>
        <v>0</v>
      </c>
      <c r="L56" s="2">
        <f>Table1578[[#This Row],[Period]]+$E$9</f>
        <v>52</v>
      </c>
      <c r="M56" s="3">
        <f>Table1578[[#This Row],[Defaulted Principal]]-Table1578[[#This Row],[Estimated Loss]]</f>
        <v>0</v>
      </c>
      <c r="N56" s="3">
        <f>IFERROR(VLOOKUP(Table1578[[#This Row],[Period]],$L$16:$M$385,2,FALSE),0)</f>
        <v>0</v>
      </c>
      <c r="O56" s="3">
        <f>Table1578[[#This Row],[Beginning Balance]]-Table1578[[#This Row],[Principal]]-Table1578[[#This Row],[Prepayments]]-Table1578[[#This Row],[Defaulted Principal]]</f>
        <v>0</v>
      </c>
      <c r="P56" s="3">
        <f>Table1578[[#This Row],[Principal]]+Table1578[[#This Row],[Interest]]+Table1578[[#This Row],[Prepayments]]+Table1578[[#This Row],[RecoveredAmount]]</f>
        <v>0</v>
      </c>
      <c r="Q56" s="3">
        <f ca="1">ROUND(Table1578[[#This Row],[Cash Flow]]/((1+ActualRateToUse)^(IF(ISNUMBER(SEARCH("Actual",$C$7)),Table1578[[#This Row],[Running Total]]/365,Table1578[[#This Row],[Period]]/12))),2)</f>
        <v>0</v>
      </c>
      <c r="R56" s="2">
        <f>IF(MONTH(Table1578[[#This Row],[Date]])=2,28,DAY(DATE(YEAR(Table1578[[#This Row],[Date]]),MONTH(Table1578[[#This Row],[Date]])+1,1)-1))</f>
        <v>31</v>
      </c>
      <c r="S56" s="2">
        <f ca="1">SUM(OFFSET(Table1578[[#Headers],[Days in month]],1,0):Table1578[[#This Row],[Days in month]])</f>
        <v>1218</v>
      </c>
      <c r="T56" s="37">
        <f>InterestRate*AmortizationMultiplier*IF(ISNUMBER(SEARCH("Actual",$C$7)),Table1578[[#This Row],[Days in month]]/365,1/12)</f>
        <v>6.2344444444444444E-3</v>
      </c>
    </row>
    <row r="57" spans="2:20" x14ac:dyDescent="0.2">
      <c r="B57" s="1">
        <v>47087</v>
      </c>
      <c r="C57" s="2">
        <f t="shared" si="1"/>
        <v>41</v>
      </c>
      <c r="D57" s="3">
        <f t="shared" si="0"/>
        <v>0</v>
      </c>
      <c r="E57" s="3">
        <f>ROUND(Table1578[[#This Row],[Beginning Balance]]*Table1578[[#This Row],[Monthly Interest Rate]],2)</f>
        <v>0</v>
      </c>
      <c r="F57" s="3">
        <f t="shared" si="2"/>
        <v>-38</v>
      </c>
      <c r="G57" s="23">
        <f>IFERROR(IF($C$13="No","N/A",IF(Table1578[[#This Row],[Period]]=1,$C$6,PMT(InterestRate*AmortizationMultiplier/12,Table1578[[#This Row],[Am Thru]],-Table1578[[#This Row],[Beginning Balance]]))),0)</f>
        <v>0</v>
      </c>
      <c r="H57" s="3">
        <f>MAX(0,IF(C57=$C$4,D57,ROUND(IF($C$3="Fixed Principal",$C$6-Table1578[[#This Row],[Interest]],IF($C$3="Interest Only",Table1578[[#This Row],[Beginning Balance]]*ROUND(1-(1-IF($C$11="No",$E$8,1))^(1/12),6),MIN(IF($C$13="Yes",Table1578[[#This Row],[Payment Amount (Reamortized)]],$C$6)-Table1578[[#This Row],[Interest]],Table1578[[#This Row],[Beginning Balance]]))),2)))</f>
        <v>0</v>
      </c>
      <c r="I57" s="3">
        <f>_xlfn.SINGLE(IF($C$3="Line of Credit",0,ROUND(MAX(MIN(IF($C$10="No",$E$7,VLOOKUP(Table1578[[#This Row],[Period]],Forecast!$H$2:$L$1048576,4,FALSE))*Table1578[[#This Row],[Beginning Balance]],Table1578[[#This Row],[Beginning Balance]]-Table1578[[#This Row],[Principal]]),0),2)))</f>
        <v>0</v>
      </c>
      <c r="J57" s="3">
        <f>ROUND(MIN(Table1578[[#This Row],[Beginning Balance]]*IF($C$8="No",$E$3,VLOOKUP(Table1578[[#This Row],[Period]],Forecast!$H$2:$L$1048576,2,FALSE)),Table1578[[#This Row],[Beginning Balance]]-Table1578[[#This Row],[Principal]]-Table1578[[#This Row],[Prepayments]]),2)</f>
        <v>0</v>
      </c>
      <c r="K57" s="3">
        <f>ROUND(Table1578[[#This Row],[Defaulted Principal]]*IF($C$9="No",$E$4,VLOOKUP(Table1578[[#This Row],[Period]],Forecast!$H$2:$L$1048576,3,FALSE)),2)</f>
        <v>0</v>
      </c>
      <c r="L57" s="2">
        <f>Table1578[[#This Row],[Period]]+$E$9</f>
        <v>53</v>
      </c>
      <c r="M57" s="3">
        <f>Table1578[[#This Row],[Defaulted Principal]]-Table1578[[#This Row],[Estimated Loss]]</f>
        <v>0</v>
      </c>
      <c r="N57" s="3">
        <f>IFERROR(VLOOKUP(Table1578[[#This Row],[Period]],$L$16:$M$385,2,FALSE),0)</f>
        <v>0</v>
      </c>
      <c r="O57" s="3">
        <f>Table1578[[#This Row],[Beginning Balance]]-Table1578[[#This Row],[Principal]]-Table1578[[#This Row],[Prepayments]]-Table1578[[#This Row],[Defaulted Principal]]</f>
        <v>0</v>
      </c>
      <c r="P57" s="3">
        <f>Table1578[[#This Row],[Principal]]+Table1578[[#This Row],[Interest]]+Table1578[[#This Row],[Prepayments]]+Table1578[[#This Row],[RecoveredAmount]]</f>
        <v>0</v>
      </c>
      <c r="Q57" s="3">
        <f ca="1">ROUND(Table1578[[#This Row],[Cash Flow]]/((1+ActualRateToUse)^(IF(ISNUMBER(SEARCH("Actual",$C$7)),Table1578[[#This Row],[Running Total]]/365,Table1578[[#This Row],[Period]]/12))),2)</f>
        <v>0</v>
      </c>
      <c r="R57" s="2">
        <f>IF(MONTH(Table1578[[#This Row],[Date]])=2,28,DAY(DATE(YEAR(Table1578[[#This Row],[Date]]),MONTH(Table1578[[#This Row],[Date]])+1,1)-1))</f>
        <v>30</v>
      </c>
      <c r="S57" s="2">
        <f ca="1">SUM(OFFSET(Table1578[[#Headers],[Days in month]],1,0):Table1578[[#This Row],[Days in month]])</f>
        <v>1248</v>
      </c>
      <c r="T57" s="37">
        <f>InterestRate*AmortizationMultiplier*IF(ISNUMBER(SEARCH("Actual",$C$7)),Table1578[[#This Row],[Days in month]]/365,1/12)</f>
        <v>6.0333333333333333E-3</v>
      </c>
    </row>
    <row r="58" spans="2:20" x14ac:dyDescent="0.2">
      <c r="B58" s="1">
        <v>47118</v>
      </c>
      <c r="C58" s="2">
        <f t="shared" si="1"/>
        <v>42</v>
      </c>
      <c r="D58" s="3">
        <f t="shared" si="0"/>
        <v>0</v>
      </c>
      <c r="E58" s="3">
        <f>ROUND(Table1578[[#This Row],[Beginning Balance]]*Table1578[[#This Row],[Monthly Interest Rate]],2)</f>
        <v>0</v>
      </c>
      <c r="F58" s="3">
        <f t="shared" si="2"/>
        <v>-39</v>
      </c>
      <c r="G58" s="23">
        <f>IFERROR(IF($C$13="No","N/A",IF(Table1578[[#This Row],[Period]]=1,$C$6,PMT(InterestRate*AmortizationMultiplier/12,Table1578[[#This Row],[Am Thru]],-Table1578[[#This Row],[Beginning Balance]]))),0)</f>
        <v>0</v>
      </c>
      <c r="H58" s="3">
        <f>MAX(0,IF(C58=$C$4,D58,ROUND(IF($C$3="Fixed Principal",$C$6-Table1578[[#This Row],[Interest]],IF($C$3="Interest Only",Table1578[[#This Row],[Beginning Balance]]*ROUND(1-(1-IF($C$11="No",$E$8,1))^(1/12),6),MIN(IF($C$13="Yes",Table1578[[#This Row],[Payment Amount (Reamortized)]],$C$6)-Table1578[[#This Row],[Interest]],Table1578[[#This Row],[Beginning Balance]]))),2)))</f>
        <v>0</v>
      </c>
      <c r="I58" s="3">
        <f>_xlfn.SINGLE(IF($C$3="Line of Credit",0,ROUND(MAX(MIN(IF($C$10="No",$E$7,VLOOKUP(Table1578[[#This Row],[Period]],Forecast!$H$2:$L$1048576,4,FALSE))*Table1578[[#This Row],[Beginning Balance]],Table1578[[#This Row],[Beginning Balance]]-Table1578[[#This Row],[Principal]]),0),2)))</f>
        <v>0</v>
      </c>
      <c r="J58" s="3">
        <f>ROUND(MIN(Table1578[[#This Row],[Beginning Balance]]*IF($C$8="No",$E$3,VLOOKUP(Table1578[[#This Row],[Period]],Forecast!$H$2:$L$1048576,2,FALSE)),Table1578[[#This Row],[Beginning Balance]]-Table1578[[#This Row],[Principal]]-Table1578[[#This Row],[Prepayments]]),2)</f>
        <v>0</v>
      </c>
      <c r="K58" s="3">
        <f>ROUND(Table1578[[#This Row],[Defaulted Principal]]*IF($C$9="No",$E$4,VLOOKUP(Table1578[[#This Row],[Period]],Forecast!$H$2:$L$1048576,3,FALSE)),2)</f>
        <v>0</v>
      </c>
      <c r="L58" s="2">
        <f>Table1578[[#This Row],[Period]]+$E$9</f>
        <v>54</v>
      </c>
      <c r="M58" s="3">
        <f>Table1578[[#This Row],[Defaulted Principal]]-Table1578[[#This Row],[Estimated Loss]]</f>
        <v>0</v>
      </c>
      <c r="N58" s="3">
        <f>IFERROR(VLOOKUP(Table1578[[#This Row],[Period]],$L$16:$M$385,2,FALSE),0)</f>
        <v>0</v>
      </c>
      <c r="O58" s="3">
        <f>Table1578[[#This Row],[Beginning Balance]]-Table1578[[#This Row],[Principal]]-Table1578[[#This Row],[Prepayments]]-Table1578[[#This Row],[Defaulted Principal]]</f>
        <v>0</v>
      </c>
      <c r="P58" s="3">
        <f>Table1578[[#This Row],[Principal]]+Table1578[[#This Row],[Interest]]+Table1578[[#This Row],[Prepayments]]+Table1578[[#This Row],[RecoveredAmount]]</f>
        <v>0</v>
      </c>
      <c r="Q58" s="3">
        <f ca="1">ROUND(Table1578[[#This Row],[Cash Flow]]/((1+ActualRateToUse)^(IF(ISNUMBER(SEARCH("Actual",$C$7)),Table1578[[#This Row],[Running Total]]/365,Table1578[[#This Row],[Period]]/12))),2)</f>
        <v>0</v>
      </c>
      <c r="R58" s="2">
        <f>IF(MONTH(Table1578[[#This Row],[Date]])=2,28,DAY(DATE(YEAR(Table1578[[#This Row],[Date]]),MONTH(Table1578[[#This Row],[Date]])+1,1)-1))</f>
        <v>31</v>
      </c>
      <c r="S58" s="2">
        <f ca="1">SUM(OFFSET(Table1578[[#Headers],[Days in month]],1,0):Table1578[[#This Row],[Days in month]])</f>
        <v>1279</v>
      </c>
      <c r="T58" s="37">
        <f>InterestRate*AmortizationMultiplier*IF(ISNUMBER(SEARCH("Actual",$C$7)),Table1578[[#This Row],[Days in month]]/365,1/12)</f>
        <v>6.2344444444444444E-3</v>
      </c>
    </row>
    <row r="59" spans="2:20" x14ac:dyDescent="0.2">
      <c r="B59" s="1">
        <v>47149</v>
      </c>
      <c r="C59" s="2">
        <f t="shared" si="1"/>
        <v>43</v>
      </c>
      <c r="D59" s="3">
        <f t="shared" si="0"/>
        <v>0</v>
      </c>
      <c r="E59" s="3">
        <f>ROUND(Table1578[[#This Row],[Beginning Balance]]*Table1578[[#This Row],[Monthly Interest Rate]],2)</f>
        <v>0</v>
      </c>
      <c r="F59" s="3">
        <f t="shared" si="2"/>
        <v>-40</v>
      </c>
      <c r="G59" s="23">
        <f>IFERROR(IF($C$13="No","N/A",IF(Table1578[[#This Row],[Period]]=1,$C$6,PMT(InterestRate*AmortizationMultiplier/12,Table1578[[#This Row],[Am Thru]],-Table1578[[#This Row],[Beginning Balance]]))),0)</f>
        <v>0</v>
      </c>
      <c r="H59" s="3">
        <f>MAX(0,IF(C59=$C$4,D59,ROUND(IF($C$3="Fixed Principal",$C$6-Table1578[[#This Row],[Interest]],IF($C$3="Interest Only",Table1578[[#This Row],[Beginning Balance]]*ROUND(1-(1-IF($C$11="No",$E$8,1))^(1/12),6),MIN(IF($C$13="Yes",Table1578[[#This Row],[Payment Amount (Reamortized)]],$C$6)-Table1578[[#This Row],[Interest]],Table1578[[#This Row],[Beginning Balance]]))),2)))</f>
        <v>0</v>
      </c>
      <c r="I59" s="3">
        <f>_xlfn.SINGLE(IF($C$3="Line of Credit",0,ROUND(MAX(MIN(IF($C$10="No",$E$7,VLOOKUP(Table1578[[#This Row],[Period]],Forecast!$H$2:$L$1048576,4,FALSE))*Table1578[[#This Row],[Beginning Balance]],Table1578[[#This Row],[Beginning Balance]]-Table1578[[#This Row],[Principal]]),0),2)))</f>
        <v>0</v>
      </c>
      <c r="J59" s="3">
        <f>ROUND(MIN(Table1578[[#This Row],[Beginning Balance]]*IF($C$8="No",$E$3,VLOOKUP(Table1578[[#This Row],[Period]],Forecast!$H$2:$L$1048576,2,FALSE)),Table1578[[#This Row],[Beginning Balance]]-Table1578[[#This Row],[Principal]]-Table1578[[#This Row],[Prepayments]]),2)</f>
        <v>0</v>
      </c>
      <c r="K59" s="3">
        <f>ROUND(Table1578[[#This Row],[Defaulted Principal]]*IF($C$9="No",$E$4,VLOOKUP(Table1578[[#This Row],[Period]],Forecast!$H$2:$L$1048576,3,FALSE)),2)</f>
        <v>0</v>
      </c>
      <c r="L59" s="2">
        <f>Table1578[[#This Row],[Period]]+$E$9</f>
        <v>55</v>
      </c>
      <c r="M59" s="3">
        <f>Table1578[[#This Row],[Defaulted Principal]]-Table1578[[#This Row],[Estimated Loss]]</f>
        <v>0</v>
      </c>
      <c r="N59" s="3">
        <f>IFERROR(VLOOKUP(Table1578[[#This Row],[Period]],$L$16:$M$385,2,FALSE),0)</f>
        <v>0</v>
      </c>
      <c r="O59" s="3">
        <f>Table1578[[#This Row],[Beginning Balance]]-Table1578[[#This Row],[Principal]]-Table1578[[#This Row],[Prepayments]]-Table1578[[#This Row],[Defaulted Principal]]</f>
        <v>0</v>
      </c>
      <c r="P59" s="3">
        <f>Table1578[[#This Row],[Principal]]+Table1578[[#This Row],[Interest]]+Table1578[[#This Row],[Prepayments]]+Table1578[[#This Row],[RecoveredAmount]]</f>
        <v>0</v>
      </c>
      <c r="Q59" s="3">
        <f ca="1">ROUND(Table1578[[#This Row],[Cash Flow]]/((1+ActualRateToUse)^(IF(ISNUMBER(SEARCH("Actual",$C$7)),Table1578[[#This Row],[Running Total]]/365,Table1578[[#This Row],[Period]]/12))),2)</f>
        <v>0</v>
      </c>
      <c r="R59" s="2">
        <f>IF(MONTH(Table1578[[#This Row],[Date]])=2,28,DAY(DATE(YEAR(Table1578[[#This Row],[Date]]),MONTH(Table1578[[#This Row],[Date]])+1,1)-1))</f>
        <v>31</v>
      </c>
      <c r="S59" s="2">
        <f ca="1">SUM(OFFSET(Table1578[[#Headers],[Days in month]],1,0):Table1578[[#This Row],[Days in month]])</f>
        <v>1310</v>
      </c>
      <c r="T59" s="37">
        <f>InterestRate*AmortizationMultiplier*IF(ISNUMBER(SEARCH("Actual",$C$7)),Table1578[[#This Row],[Days in month]]/365,1/12)</f>
        <v>6.2344444444444444E-3</v>
      </c>
    </row>
    <row r="60" spans="2:20" x14ac:dyDescent="0.2">
      <c r="B60" s="1">
        <v>47177</v>
      </c>
      <c r="C60" s="2">
        <f t="shared" si="1"/>
        <v>44</v>
      </c>
      <c r="D60" s="3">
        <f t="shared" si="0"/>
        <v>0</v>
      </c>
      <c r="E60" s="3">
        <f>ROUND(Table1578[[#This Row],[Beginning Balance]]*Table1578[[#This Row],[Monthly Interest Rate]],2)</f>
        <v>0</v>
      </c>
      <c r="F60" s="3">
        <f t="shared" si="2"/>
        <v>-41</v>
      </c>
      <c r="G60" s="23">
        <f>IFERROR(IF($C$13="No","N/A",IF(Table1578[[#This Row],[Period]]=1,$C$6,PMT(InterestRate*AmortizationMultiplier/12,Table1578[[#This Row],[Am Thru]],-Table1578[[#This Row],[Beginning Balance]]))),0)</f>
        <v>0</v>
      </c>
      <c r="H60" s="3">
        <f>MAX(0,IF(C60=$C$4,D60,ROUND(IF($C$3="Fixed Principal",$C$6-Table1578[[#This Row],[Interest]],IF($C$3="Interest Only",Table1578[[#This Row],[Beginning Balance]]*ROUND(1-(1-IF($C$11="No",$E$8,1))^(1/12),6),MIN(IF($C$13="Yes",Table1578[[#This Row],[Payment Amount (Reamortized)]],$C$6)-Table1578[[#This Row],[Interest]],Table1578[[#This Row],[Beginning Balance]]))),2)))</f>
        <v>0</v>
      </c>
      <c r="I60" s="3">
        <f>_xlfn.SINGLE(IF($C$3="Line of Credit",0,ROUND(MAX(MIN(IF($C$10="No",$E$7,VLOOKUP(Table1578[[#This Row],[Period]],Forecast!$H$2:$L$1048576,4,FALSE))*Table1578[[#This Row],[Beginning Balance]],Table1578[[#This Row],[Beginning Balance]]-Table1578[[#This Row],[Principal]]),0),2)))</f>
        <v>0</v>
      </c>
      <c r="J60" s="3">
        <f>ROUND(MIN(Table1578[[#This Row],[Beginning Balance]]*IF($C$8="No",$E$3,VLOOKUP(Table1578[[#This Row],[Period]],Forecast!$H$2:$L$1048576,2,FALSE)),Table1578[[#This Row],[Beginning Balance]]-Table1578[[#This Row],[Principal]]-Table1578[[#This Row],[Prepayments]]),2)</f>
        <v>0</v>
      </c>
      <c r="K60" s="3">
        <f>ROUND(Table1578[[#This Row],[Defaulted Principal]]*IF($C$9="No",$E$4,VLOOKUP(Table1578[[#This Row],[Period]],Forecast!$H$2:$L$1048576,3,FALSE)),2)</f>
        <v>0</v>
      </c>
      <c r="L60" s="2">
        <f>Table1578[[#This Row],[Period]]+$E$9</f>
        <v>56</v>
      </c>
      <c r="M60" s="3">
        <f>Table1578[[#This Row],[Defaulted Principal]]-Table1578[[#This Row],[Estimated Loss]]</f>
        <v>0</v>
      </c>
      <c r="N60" s="3">
        <f>IFERROR(VLOOKUP(Table1578[[#This Row],[Period]],$L$16:$M$385,2,FALSE),0)</f>
        <v>0</v>
      </c>
      <c r="O60" s="3">
        <f>Table1578[[#This Row],[Beginning Balance]]-Table1578[[#This Row],[Principal]]-Table1578[[#This Row],[Prepayments]]-Table1578[[#This Row],[Defaulted Principal]]</f>
        <v>0</v>
      </c>
      <c r="P60" s="3">
        <f>Table1578[[#This Row],[Principal]]+Table1578[[#This Row],[Interest]]+Table1578[[#This Row],[Prepayments]]+Table1578[[#This Row],[RecoveredAmount]]</f>
        <v>0</v>
      </c>
      <c r="Q60" s="3">
        <f ca="1">ROUND(Table1578[[#This Row],[Cash Flow]]/((1+ActualRateToUse)^(IF(ISNUMBER(SEARCH("Actual",$C$7)),Table1578[[#This Row],[Running Total]]/365,Table1578[[#This Row],[Period]]/12))),2)</f>
        <v>0</v>
      </c>
      <c r="R60" s="2">
        <f>IF(MONTH(Table1578[[#This Row],[Date]])=2,28,DAY(DATE(YEAR(Table1578[[#This Row],[Date]]),MONTH(Table1578[[#This Row],[Date]])+1,1)-1))</f>
        <v>28</v>
      </c>
      <c r="S60" s="2">
        <f ca="1">SUM(OFFSET(Table1578[[#Headers],[Days in month]],1,0):Table1578[[#This Row],[Days in month]])</f>
        <v>1338</v>
      </c>
      <c r="T60" s="37">
        <f>InterestRate*AmortizationMultiplier*IF(ISNUMBER(SEARCH("Actual",$C$7)),Table1578[[#This Row],[Days in month]]/365,1/12)</f>
        <v>5.6311111111111119E-3</v>
      </c>
    </row>
    <row r="61" spans="2:20" x14ac:dyDescent="0.2">
      <c r="B61" s="1">
        <v>47208</v>
      </c>
      <c r="C61" s="2">
        <f t="shared" si="1"/>
        <v>45</v>
      </c>
      <c r="D61" s="3">
        <f t="shared" si="0"/>
        <v>0</v>
      </c>
      <c r="E61" s="3">
        <f>ROUND(Table1578[[#This Row],[Beginning Balance]]*Table1578[[#This Row],[Monthly Interest Rate]],2)</f>
        <v>0</v>
      </c>
      <c r="F61" s="3">
        <f t="shared" si="2"/>
        <v>-42</v>
      </c>
      <c r="G61" s="23">
        <f>IFERROR(IF($C$13="No","N/A",IF(Table1578[[#This Row],[Period]]=1,$C$6,PMT(InterestRate*AmortizationMultiplier/12,Table1578[[#This Row],[Am Thru]],-Table1578[[#This Row],[Beginning Balance]]))),0)</f>
        <v>0</v>
      </c>
      <c r="H61" s="3">
        <f>MAX(0,IF(C61=$C$4,D61,ROUND(IF($C$3="Fixed Principal",$C$6-Table1578[[#This Row],[Interest]],IF($C$3="Interest Only",Table1578[[#This Row],[Beginning Balance]]*ROUND(1-(1-IF($C$11="No",$E$8,1))^(1/12),6),MIN(IF($C$13="Yes",Table1578[[#This Row],[Payment Amount (Reamortized)]],$C$6)-Table1578[[#This Row],[Interest]],Table1578[[#This Row],[Beginning Balance]]))),2)))</f>
        <v>0</v>
      </c>
      <c r="I61" s="3">
        <f>_xlfn.SINGLE(IF($C$3="Line of Credit",0,ROUND(MAX(MIN(IF($C$10="No",$E$7,VLOOKUP(Table1578[[#This Row],[Period]],Forecast!$H$2:$L$1048576,4,FALSE))*Table1578[[#This Row],[Beginning Balance]],Table1578[[#This Row],[Beginning Balance]]-Table1578[[#This Row],[Principal]]),0),2)))</f>
        <v>0</v>
      </c>
      <c r="J61" s="3">
        <f>ROUND(MIN(Table1578[[#This Row],[Beginning Balance]]*IF($C$8="No",$E$3,VLOOKUP(Table1578[[#This Row],[Period]],Forecast!$H$2:$L$1048576,2,FALSE)),Table1578[[#This Row],[Beginning Balance]]-Table1578[[#This Row],[Principal]]-Table1578[[#This Row],[Prepayments]]),2)</f>
        <v>0</v>
      </c>
      <c r="K61" s="3">
        <f>ROUND(Table1578[[#This Row],[Defaulted Principal]]*IF($C$9="No",$E$4,VLOOKUP(Table1578[[#This Row],[Period]],Forecast!$H$2:$L$1048576,3,FALSE)),2)</f>
        <v>0</v>
      </c>
      <c r="L61" s="2">
        <f>Table1578[[#This Row],[Period]]+$E$9</f>
        <v>57</v>
      </c>
      <c r="M61" s="3">
        <f>Table1578[[#This Row],[Defaulted Principal]]-Table1578[[#This Row],[Estimated Loss]]</f>
        <v>0</v>
      </c>
      <c r="N61" s="3">
        <f>IFERROR(VLOOKUP(Table1578[[#This Row],[Period]],$L$16:$M$385,2,FALSE),0)</f>
        <v>0</v>
      </c>
      <c r="O61" s="3">
        <f>Table1578[[#This Row],[Beginning Balance]]-Table1578[[#This Row],[Principal]]-Table1578[[#This Row],[Prepayments]]-Table1578[[#This Row],[Defaulted Principal]]</f>
        <v>0</v>
      </c>
      <c r="P61" s="3">
        <f>Table1578[[#This Row],[Principal]]+Table1578[[#This Row],[Interest]]+Table1578[[#This Row],[Prepayments]]+Table1578[[#This Row],[RecoveredAmount]]</f>
        <v>0</v>
      </c>
      <c r="Q61" s="3">
        <f ca="1">ROUND(Table1578[[#This Row],[Cash Flow]]/((1+ActualRateToUse)^(IF(ISNUMBER(SEARCH("Actual",$C$7)),Table1578[[#This Row],[Running Total]]/365,Table1578[[#This Row],[Period]]/12))),2)</f>
        <v>0</v>
      </c>
      <c r="R61" s="2">
        <f>IF(MONTH(Table1578[[#This Row],[Date]])=2,28,DAY(DATE(YEAR(Table1578[[#This Row],[Date]]),MONTH(Table1578[[#This Row],[Date]])+1,1)-1))</f>
        <v>31</v>
      </c>
      <c r="S61" s="2">
        <f ca="1">SUM(OFFSET(Table1578[[#Headers],[Days in month]],1,0):Table1578[[#This Row],[Days in month]])</f>
        <v>1369</v>
      </c>
      <c r="T61" s="37">
        <f>InterestRate*AmortizationMultiplier*IF(ISNUMBER(SEARCH("Actual",$C$7)),Table1578[[#This Row],[Days in month]]/365,1/12)</f>
        <v>6.2344444444444444E-3</v>
      </c>
    </row>
    <row r="62" spans="2:20" x14ac:dyDescent="0.2">
      <c r="B62" s="1">
        <v>47238</v>
      </c>
      <c r="C62" s="2">
        <f t="shared" si="1"/>
        <v>46</v>
      </c>
      <c r="D62" s="3">
        <f t="shared" si="0"/>
        <v>0</v>
      </c>
      <c r="E62" s="3">
        <f>ROUND(Table1578[[#This Row],[Beginning Balance]]*Table1578[[#This Row],[Monthly Interest Rate]],2)</f>
        <v>0</v>
      </c>
      <c r="F62" s="3">
        <f t="shared" si="2"/>
        <v>-43</v>
      </c>
      <c r="G62" s="23">
        <f>IFERROR(IF($C$13="No","N/A",IF(Table1578[[#This Row],[Period]]=1,$C$6,PMT(InterestRate*AmortizationMultiplier/12,Table1578[[#This Row],[Am Thru]],-Table1578[[#This Row],[Beginning Balance]]))),0)</f>
        <v>0</v>
      </c>
      <c r="H62" s="3">
        <f>MAX(0,IF(C62=$C$4,D62,ROUND(IF($C$3="Fixed Principal",$C$6-Table1578[[#This Row],[Interest]],IF($C$3="Interest Only",Table1578[[#This Row],[Beginning Balance]]*ROUND(1-(1-IF($C$11="No",$E$8,1))^(1/12),6),MIN(IF($C$13="Yes",Table1578[[#This Row],[Payment Amount (Reamortized)]],$C$6)-Table1578[[#This Row],[Interest]],Table1578[[#This Row],[Beginning Balance]]))),2)))</f>
        <v>0</v>
      </c>
      <c r="I62" s="3">
        <f>_xlfn.SINGLE(IF($C$3="Line of Credit",0,ROUND(MAX(MIN(IF($C$10="No",$E$7,VLOOKUP(Table1578[[#This Row],[Period]],Forecast!$H$2:$L$1048576,4,FALSE))*Table1578[[#This Row],[Beginning Balance]],Table1578[[#This Row],[Beginning Balance]]-Table1578[[#This Row],[Principal]]),0),2)))</f>
        <v>0</v>
      </c>
      <c r="J62" s="3">
        <f>ROUND(MIN(Table1578[[#This Row],[Beginning Balance]]*IF($C$8="No",$E$3,VLOOKUP(Table1578[[#This Row],[Period]],Forecast!$H$2:$L$1048576,2,FALSE)),Table1578[[#This Row],[Beginning Balance]]-Table1578[[#This Row],[Principal]]-Table1578[[#This Row],[Prepayments]]),2)</f>
        <v>0</v>
      </c>
      <c r="K62" s="3">
        <f>ROUND(Table1578[[#This Row],[Defaulted Principal]]*IF($C$9="No",$E$4,VLOOKUP(Table1578[[#This Row],[Period]],Forecast!$H$2:$L$1048576,3,FALSE)),2)</f>
        <v>0</v>
      </c>
      <c r="L62" s="2">
        <f>Table1578[[#This Row],[Period]]+$E$9</f>
        <v>58</v>
      </c>
      <c r="M62" s="3">
        <f>Table1578[[#This Row],[Defaulted Principal]]-Table1578[[#This Row],[Estimated Loss]]</f>
        <v>0</v>
      </c>
      <c r="N62" s="3">
        <f>IFERROR(VLOOKUP(Table1578[[#This Row],[Period]],$L$16:$M$385,2,FALSE),0)</f>
        <v>0</v>
      </c>
      <c r="O62" s="3">
        <f>Table1578[[#This Row],[Beginning Balance]]-Table1578[[#This Row],[Principal]]-Table1578[[#This Row],[Prepayments]]-Table1578[[#This Row],[Defaulted Principal]]</f>
        <v>0</v>
      </c>
      <c r="P62" s="3">
        <f>Table1578[[#This Row],[Principal]]+Table1578[[#This Row],[Interest]]+Table1578[[#This Row],[Prepayments]]+Table1578[[#This Row],[RecoveredAmount]]</f>
        <v>0</v>
      </c>
      <c r="Q62" s="3">
        <f ca="1">ROUND(Table1578[[#This Row],[Cash Flow]]/((1+ActualRateToUse)^(IF(ISNUMBER(SEARCH("Actual",$C$7)),Table1578[[#This Row],[Running Total]]/365,Table1578[[#This Row],[Period]]/12))),2)</f>
        <v>0</v>
      </c>
      <c r="R62" s="2">
        <f>IF(MONTH(Table1578[[#This Row],[Date]])=2,28,DAY(DATE(YEAR(Table1578[[#This Row],[Date]]),MONTH(Table1578[[#This Row],[Date]])+1,1)-1))</f>
        <v>30</v>
      </c>
      <c r="S62" s="2">
        <f ca="1">SUM(OFFSET(Table1578[[#Headers],[Days in month]],1,0):Table1578[[#This Row],[Days in month]])</f>
        <v>1399</v>
      </c>
      <c r="T62" s="37">
        <f>InterestRate*AmortizationMultiplier*IF(ISNUMBER(SEARCH("Actual",$C$7)),Table1578[[#This Row],[Days in month]]/365,1/12)</f>
        <v>6.0333333333333333E-3</v>
      </c>
    </row>
    <row r="63" spans="2:20" x14ac:dyDescent="0.2">
      <c r="B63" s="1">
        <v>47269</v>
      </c>
      <c r="C63" s="2">
        <f t="shared" si="1"/>
        <v>47</v>
      </c>
      <c r="D63" s="3">
        <f t="shared" si="0"/>
        <v>0</v>
      </c>
      <c r="E63" s="3">
        <f>ROUND(Table1578[[#This Row],[Beginning Balance]]*Table1578[[#This Row],[Monthly Interest Rate]],2)</f>
        <v>0</v>
      </c>
      <c r="F63" s="3">
        <f t="shared" si="2"/>
        <v>-44</v>
      </c>
      <c r="G63" s="23">
        <f>IFERROR(IF($C$13="No","N/A",IF(Table1578[[#This Row],[Period]]=1,$C$6,PMT(InterestRate*AmortizationMultiplier/12,Table1578[[#This Row],[Am Thru]],-Table1578[[#This Row],[Beginning Balance]]))),0)</f>
        <v>0</v>
      </c>
      <c r="H63" s="3">
        <f>MAX(0,IF(C63=$C$4,D63,ROUND(IF($C$3="Fixed Principal",$C$6-Table1578[[#This Row],[Interest]],IF($C$3="Interest Only",Table1578[[#This Row],[Beginning Balance]]*ROUND(1-(1-IF($C$11="No",$E$8,1))^(1/12),6),MIN(IF($C$13="Yes",Table1578[[#This Row],[Payment Amount (Reamortized)]],$C$6)-Table1578[[#This Row],[Interest]],Table1578[[#This Row],[Beginning Balance]]))),2)))</f>
        <v>0</v>
      </c>
      <c r="I63" s="3">
        <f>_xlfn.SINGLE(IF($C$3="Line of Credit",0,ROUND(MAX(MIN(IF($C$10="No",$E$7,VLOOKUP(Table1578[[#This Row],[Period]],Forecast!$H$2:$L$1048576,4,FALSE))*Table1578[[#This Row],[Beginning Balance]],Table1578[[#This Row],[Beginning Balance]]-Table1578[[#This Row],[Principal]]),0),2)))</f>
        <v>0</v>
      </c>
      <c r="J63" s="3">
        <f>ROUND(MIN(Table1578[[#This Row],[Beginning Balance]]*IF($C$8="No",$E$3,VLOOKUP(Table1578[[#This Row],[Period]],Forecast!$H$2:$L$1048576,2,FALSE)),Table1578[[#This Row],[Beginning Balance]]-Table1578[[#This Row],[Principal]]-Table1578[[#This Row],[Prepayments]]),2)</f>
        <v>0</v>
      </c>
      <c r="K63" s="3">
        <f>ROUND(Table1578[[#This Row],[Defaulted Principal]]*IF($C$9="No",$E$4,VLOOKUP(Table1578[[#This Row],[Period]],Forecast!$H$2:$L$1048576,3,FALSE)),2)</f>
        <v>0</v>
      </c>
      <c r="L63" s="2">
        <f>Table1578[[#This Row],[Period]]+$E$9</f>
        <v>59</v>
      </c>
      <c r="M63" s="3">
        <f>Table1578[[#This Row],[Defaulted Principal]]-Table1578[[#This Row],[Estimated Loss]]</f>
        <v>0</v>
      </c>
      <c r="N63" s="3">
        <f>IFERROR(VLOOKUP(Table1578[[#This Row],[Period]],$L$16:$M$385,2,FALSE),0)</f>
        <v>0</v>
      </c>
      <c r="O63" s="3">
        <f>Table1578[[#This Row],[Beginning Balance]]-Table1578[[#This Row],[Principal]]-Table1578[[#This Row],[Prepayments]]-Table1578[[#This Row],[Defaulted Principal]]</f>
        <v>0</v>
      </c>
      <c r="P63" s="3">
        <f>Table1578[[#This Row],[Principal]]+Table1578[[#This Row],[Interest]]+Table1578[[#This Row],[Prepayments]]+Table1578[[#This Row],[RecoveredAmount]]</f>
        <v>0</v>
      </c>
      <c r="Q63" s="3">
        <f ca="1">ROUND(Table1578[[#This Row],[Cash Flow]]/((1+ActualRateToUse)^(IF(ISNUMBER(SEARCH("Actual",$C$7)),Table1578[[#This Row],[Running Total]]/365,Table1578[[#This Row],[Period]]/12))),2)</f>
        <v>0</v>
      </c>
      <c r="R63" s="2">
        <f>IF(MONTH(Table1578[[#This Row],[Date]])=2,28,DAY(DATE(YEAR(Table1578[[#This Row],[Date]]),MONTH(Table1578[[#This Row],[Date]])+1,1)-1))</f>
        <v>31</v>
      </c>
      <c r="S63" s="2">
        <f ca="1">SUM(OFFSET(Table1578[[#Headers],[Days in month]],1,0):Table1578[[#This Row],[Days in month]])</f>
        <v>1430</v>
      </c>
      <c r="T63" s="37">
        <f>InterestRate*AmortizationMultiplier*IF(ISNUMBER(SEARCH("Actual",$C$7)),Table1578[[#This Row],[Days in month]]/365,1/12)</f>
        <v>6.2344444444444444E-3</v>
      </c>
    </row>
    <row r="64" spans="2:20" x14ac:dyDescent="0.2">
      <c r="B64" s="1">
        <v>47299</v>
      </c>
      <c r="C64" s="2">
        <f t="shared" si="1"/>
        <v>48</v>
      </c>
      <c r="D64" s="3">
        <f t="shared" si="0"/>
        <v>0</v>
      </c>
      <c r="E64" s="3">
        <f>ROUND(Table1578[[#This Row],[Beginning Balance]]*Table1578[[#This Row],[Monthly Interest Rate]],2)</f>
        <v>0</v>
      </c>
      <c r="F64" s="3">
        <f t="shared" si="2"/>
        <v>-45</v>
      </c>
      <c r="G64" s="23">
        <f>IFERROR(IF($C$13="No","N/A",IF(Table1578[[#This Row],[Period]]=1,$C$6,PMT(InterestRate*AmortizationMultiplier/12,Table1578[[#This Row],[Am Thru]],-Table1578[[#This Row],[Beginning Balance]]))),0)</f>
        <v>0</v>
      </c>
      <c r="H64" s="3">
        <f>MAX(0,IF(C64=$C$4,D64,ROUND(IF($C$3="Fixed Principal",$C$6-Table1578[[#This Row],[Interest]],IF($C$3="Interest Only",Table1578[[#This Row],[Beginning Balance]]*ROUND(1-(1-IF($C$11="No",$E$8,1))^(1/12),6),MIN(IF($C$13="Yes",Table1578[[#This Row],[Payment Amount (Reamortized)]],$C$6)-Table1578[[#This Row],[Interest]],Table1578[[#This Row],[Beginning Balance]]))),2)))</f>
        <v>0</v>
      </c>
      <c r="I64" s="3">
        <f>_xlfn.SINGLE(IF($C$3="Line of Credit",0,ROUND(MAX(MIN(IF($C$10="No",$E$7,VLOOKUP(Table1578[[#This Row],[Period]],Forecast!$H$2:$L$1048576,4,FALSE))*Table1578[[#This Row],[Beginning Balance]],Table1578[[#This Row],[Beginning Balance]]-Table1578[[#This Row],[Principal]]),0),2)))</f>
        <v>0</v>
      </c>
      <c r="J64" s="3">
        <f>ROUND(MIN(Table1578[[#This Row],[Beginning Balance]]*IF($C$8="No",$E$3,VLOOKUP(Table1578[[#This Row],[Period]],Forecast!$H$2:$L$1048576,2,FALSE)),Table1578[[#This Row],[Beginning Balance]]-Table1578[[#This Row],[Principal]]-Table1578[[#This Row],[Prepayments]]),2)</f>
        <v>0</v>
      </c>
      <c r="K64" s="3">
        <f>ROUND(Table1578[[#This Row],[Defaulted Principal]]*IF($C$9="No",$E$4,VLOOKUP(Table1578[[#This Row],[Period]],Forecast!$H$2:$L$1048576,3,FALSE)),2)</f>
        <v>0</v>
      </c>
      <c r="L64" s="2">
        <f>Table1578[[#This Row],[Period]]+$E$9</f>
        <v>60</v>
      </c>
      <c r="M64" s="3">
        <f>Table1578[[#This Row],[Defaulted Principal]]-Table1578[[#This Row],[Estimated Loss]]</f>
        <v>0</v>
      </c>
      <c r="N64" s="3">
        <f>IFERROR(VLOOKUP(Table1578[[#This Row],[Period]],$L$16:$M$385,2,FALSE),0)</f>
        <v>0</v>
      </c>
      <c r="O64" s="3">
        <f>Table1578[[#This Row],[Beginning Balance]]-Table1578[[#This Row],[Principal]]-Table1578[[#This Row],[Prepayments]]-Table1578[[#This Row],[Defaulted Principal]]</f>
        <v>0</v>
      </c>
      <c r="P64" s="3">
        <f>Table1578[[#This Row],[Principal]]+Table1578[[#This Row],[Interest]]+Table1578[[#This Row],[Prepayments]]+Table1578[[#This Row],[RecoveredAmount]]</f>
        <v>0</v>
      </c>
      <c r="Q64" s="3">
        <f ca="1">ROUND(Table1578[[#This Row],[Cash Flow]]/((1+ActualRateToUse)^(IF(ISNUMBER(SEARCH("Actual",$C$7)),Table1578[[#This Row],[Running Total]]/365,Table1578[[#This Row],[Period]]/12))),2)</f>
        <v>0</v>
      </c>
      <c r="R64" s="2">
        <f>IF(MONTH(Table1578[[#This Row],[Date]])=2,28,DAY(DATE(YEAR(Table1578[[#This Row],[Date]]),MONTH(Table1578[[#This Row],[Date]])+1,1)-1))</f>
        <v>30</v>
      </c>
      <c r="S64" s="2">
        <f ca="1">SUM(OFFSET(Table1578[[#Headers],[Days in month]],1,0):Table1578[[#This Row],[Days in month]])</f>
        <v>1460</v>
      </c>
      <c r="T64" s="37">
        <f>InterestRate*AmortizationMultiplier*IF(ISNUMBER(SEARCH("Actual",$C$7)),Table1578[[#This Row],[Days in month]]/365,1/12)</f>
        <v>6.0333333333333333E-3</v>
      </c>
    </row>
    <row r="65" spans="2:20" x14ac:dyDescent="0.2">
      <c r="B65" s="1">
        <v>47330</v>
      </c>
      <c r="C65" s="2">
        <f t="shared" si="1"/>
        <v>49</v>
      </c>
      <c r="D65" s="3">
        <f t="shared" si="0"/>
        <v>0</v>
      </c>
      <c r="E65" s="3">
        <f>ROUND(Table1578[[#This Row],[Beginning Balance]]*Table1578[[#This Row],[Monthly Interest Rate]],2)</f>
        <v>0</v>
      </c>
      <c r="F65" s="3">
        <f t="shared" si="2"/>
        <v>-46</v>
      </c>
      <c r="G65" s="23">
        <f>IFERROR(IF($C$13="No","N/A",IF(Table1578[[#This Row],[Period]]=1,$C$6,PMT(InterestRate*AmortizationMultiplier/12,Table1578[[#This Row],[Am Thru]],-Table1578[[#This Row],[Beginning Balance]]))),0)</f>
        <v>0</v>
      </c>
      <c r="H65" s="3">
        <f>MAX(0,IF(C65=$C$4,D65,ROUND(IF($C$3="Fixed Principal",$C$6-Table1578[[#This Row],[Interest]],IF($C$3="Interest Only",Table1578[[#This Row],[Beginning Balance]]*ROUND(1-(1-IF($C$11="No",$E$8,1))^(1/12),6),MIN(IF($C$13="Yes",Table1578[[#This Row],[Payment Amount (Reamortized)]],$C$6)-Table1578[[#This Row],[Interest]],Table1578[[#This Row],[Beginning Balance]]))),2)))</f>
        <v>0</v>
      </c>
      <c r="I65" s="3">
        <f>_xlfn.SINGLE(IF($C$3="Line of Credit",0,ROUND(MAX(MIN(IF($C$10="No",$E$7,VLOOKUP(Table1578[[#This Row],[Period]],Forecast!$H$2:$L$1048576,4,FALSE))*Table1578[[#This Row],[Beginning Balance]],Table1578[[#This Row],[Beginning Balance]]-Table1578[[#This Row],[Principal]]),0),2)))</f>
        <v>0</v>
      </c>
      <c r="J65" s="3">
        <f>ROUND(MIN(Table1578[[#This Row],[Beginning Balance]]*IF($C$8="No",$E$3,VLOOKUP(Table1578[[#This Row],[Period]],Forecast!$H$2:$L$1048576,2,FALSE)),Table1578[[#This Row],[Beginning Balance]]-Table1578[[#This Row],[Principal]]-Table1578[[#This Row],[Prepayments]]),2)</f>
        <v>0</v>
      </c>
      <c r="K65" s="3">
        <f>ROUND(Table1578[[#This Row],[Defaulted Principal]]*IF($C$9="No",$E$4,VLOOKUP(Table1578[[#This Row],[Period]],Forecast!$H$2:$L$1048576,3,FALSE)),2)</f>
        <v>0</v>
      </c>
      <c r="L65" s="2">
        <f>Table1578[[#This Row],[Period]]+$E$9</f>
        <v>61</v>
      </c>
      <c r="M65" s="3">
        <f>Table1578[[#This Row],[Defaulted Principal]]-Table1578[[#This Row],[Estimated Loss]]</f>
        <v>0</v>
      </c>
      <c r="N65" s="3">
        <f>IFERROR(VLOOKUP(Table1578[[#This Row],[Period]],$L$16:$M$385,2,FALSE),0)</f>
        <v>0</v>
      </c>
      <c r="O65" s="3">
        <f>Table1578[[#This Row],[Beginning Balance]]-Table1578[[#This Row],[Principal]]-Table1578[[#This Row],[Prepayments]]-Table1578[[#This Row],[Defaulted Principal]]</f>
        <v>0</v>
      </c>
      <c r="P65" s="3">
        <f>Table1578[[#This Row],[Principal]]+Table1578[[#This Row],[Interest]]+Table1578[[#This Row],[Prepayments]]+Table1578[[#This Row],[RecoveredAmount]]</f>
        <v>0</v>
      </c>
      <c r="Q65" s="3">
        <f ca="1">ROUND(Table1578[[#This Row],[Cash Flow]]/((1+ActualRateToUse)^(IF(ISNUMBER(SEARCH("Actual",$C$7)),Table1578[[#This Row],[Running Total]]/365,Table1578[[#This Row],[Period]]/12))),2)</f>
        <v>0</v>
      </c>
      <c r="R65" s="2">
        <f>IF(MONTH(Table1578[[#This Row],[Date]])=2,28,DAY(DATE(YEAR(Table1578[[#This Row],[Date]]),MONTH(Table1578[[#This Row],[Date]])+1,1)-1))</f>
        <v>31</v>
      </c>
      <c r="S65" s="2">
        <f ca="1">SUM(OFFSET(Table1578[[#Headers],[Days in month]],1,0):Table1578[[#This Row],[Days in month]])</f>
        <v>1491</v>
      </c>
      <c r="T65" s="37">
        <f>InterestRate*AmortizationMultiplier*IF(ISNUMBER(SEARCH("Actual",$C$7)),Table1578[[#This Row],[Days in month]]/365,1/12)</f>
        <v>6.2344444444444444E-3</v>
      </c>
    </row>
    <row r="66" spans="2:20" x14ac:dyDescent="0.2">
      <c r="B66" s="1">
        <v>47361</v>
      </c>
      <c r="C66" s="2">
        <f t="shared" si="1"/>
        <v>50</v>
      </c>
      <c r="D66" s="3">
        <f t="shared" si="0"/>
        <v>0</v>
      </c>
      <c r="E66" s="3">
        <f>ROUND(Table1578[[#This Row],[Beginning Balance]]*Table1578[[#This Row],[Monthly Interest Rate]],2)</f>
        <v>0</v>
      </c>
      <c r="F66" s="3">
        <f t="shared" si="2"/>
        <v>-47</v>
      </c>
      <c r="G66" s="23">
        <f>IFERROR(IF($C$13="No","N/A",IF(Table1578[[#This Row],[Period]]=1,$C$6,PMT(InterestRate*AmortizationMultiplier/12,Table1578[[#This Row],[Am Thru]],-Table1578[[#This Row],[Beginning Balance]]))),0)</f>
        <v>0</v>
      </c>
      <c r="H66" s="3">
        <f>MAX(0,IF(C66=$C$4,D66,ROUND(IF($C$3="Fixed Principal",$C$6-Table1578[[#This Row],[Interest]],IF($C$3="Interest Only",Table1578[[#This Row],[Beginning Balance]]*ROUND(1-(1-IF($C$11="No",$E$8,1))^(1/12),6),MIN(IF($C$13="Yes",Table1578[[#This Row],[Payment Amount (Reamortized)]],$C$6)-Table1578[[#This Row],[Interest]],Table1578[[#This Row],[Beginning Balance]]))),2)))</f>
        <v>0</v>
      </c>
      <c r="I66" s="3">
        <f>_xlfn.SINGLE(IF($C$3="Line of Credit",0,ROUND(MAX(MIN(IF($C$10="No",$E$7,VLOOKUP(Table1578[[#This Row],[Period]],Forecast!$H$2:$L$1048576,4,FALSE))*Table1578[[#This Row],[Beginning Balance]],Table1578[[#This Row],[Beginning Balance]]-Table1578[[#This Row],[Principal]]),0),2)))</f>
        <v>0</v>
      </c>
      <c r="J66" s="3">
        <f>ROUND(MIN(Table1578[[#This Row],[Beginning Balance]]*IF($C$8="No",$E$3,VLOOKUP(Table1578[[#This Row],[Period]],Forecast!$H$2:$L$1048576,2,FALSE)),Table1578[[#This Row],[Beginning Balance]]-Table1578[[#This Row],[Principal]]-Table1578[[#This Row],[Prepayments]]),2)</f>
        <v>0</v>
      </c>
      <c r="K66" s="3">
        <f>ROUND(Table1578[[#This Row],[Defaulted Principal]]*IF($C$9="No",$E$4,VLOOKUP(Table1578[[#This Row],[Period]],Forecast!$H$2:$L$1048576,3,FALSE)),2)</f>
        <v>0</v>
      </c>
      <c r="L66" s="2">
        <f>Table1578[[#This Row],[Period]]+$E$9</f>
        <v>62</v>
      </c>
      <c r="M66" s="3">
        <f>Table1578[[#This Row],[Defaulted Principal]]-Table1578[[#This Row],[Estimated Loss]]</f>
        <v>0</v>
      </c>
      <c r="N66" s="3">
        <f>IFERROR(VLOOKUP(Table1578[[#This Row],[Period]],$L$16:$M$385,2,FALSE),0)</f>
        <v>0</v>
      </c>
      <c r="O66" s="3">
        <f>Table1578[[#This Row],[Beginning Balance]]-Table1578[[#This Row],[Principal]]-Table1578[[#This Row],[Prepayments]]-Table1578[[#This Row],[Defaulted Principal]]</f>
        <v>0</v>
      </c>
      <c r="P66" s="3">
        <f>Table1578[[#This Row],[Principal]]+Table1578[[#This Row],[Interest]]+Table1578[[#This Row],[Prepayments]]+Table1578[[#This Row],[RecoveredAmount]]</f>
        <v>0</v>
      </c>
      <c r="Q66" s="3">
        <f ca="1">ROUND(Table1578[[#This Row],[Cash Flow]]/((1+ActualRateToUse)^(IF(ISNUMBER(SEARCH("Actual",$C$7)),Table1578[[#This Row],[Running Total]]/365,Table1578[[#This Row],[Period]]/12))),2)</f>
        <v>0</v>
      </c>
      <c r="R66" s="2">
        <f>IF(MONTH(Table1578[[#This Row],[Date]])=2,28,DAY(DATE(YEAR(Table1578[[#This Row],[Date]]),MONTH(Table1578[[#This Row],[Date]])+1,1)-1))</f>
        <v>31</v>
      </c>
      <c r="S66" s="2">
        <f ca="1">SUM(OFFSET(Table1578[[#Headers],[Days in month]],1,0):Table1578[[#This Row],[Days in month]])</f>
        <v>1522</v>
      </c>
      <c r="T66" s="37">
        <f>InterestRate*AmortizationMultiplier*IF(ISNUMBER(SEARCH("Actual",$C$7)),Table1578[[#This Row],[Days in month]]/365,1/12)</f>
        <v>6.2344444444444444E-3</v>
      </c>
    </row>
    <row r="67" spans="2:20" x14ac:dyDescent="0.2">
      <c r="B67" s="1">
        <v>47391</v>
      </c>
      <c r="C67" s="2">
        <f t="shared" si="1"/>
        <v>51</v>
      </c>
      <c r="D67" s="3">
        <f t="shared" si="0"/>
        <v>0</v>
      </c>
      <c r="E67" s="3">
        <f>ROUND(Table1578[[#This Row],[Beginning Balance]]*Table1578[[#This Row],[Monthly Interest Rate]],2)</f>
        <v>0</v>
      </c>
      <c r="F67" s="3">
        <f t="shared" si="2"/>
        <v>-48</v>
      </c>
      <c r="G67" s="23">
        <f>IFERROR(IF($C$13="No","N/A",IF(Table1578[[#This Row],[Period]]=1,$C$6,PMT(InterestRate*AmortizationMultiplier/12,Table1578[[#This Row],[Am Thru]],-Table1578[[#This Row],[Beginning Balance]]))),0)</f>
        <v>0</v>
      </c>
      <c r="H67" s="3">
        <f>MAX(0,IF(C67=$C$4,D67,ROUND(IF($C$3="Fixed Principal",$C$6-Table1578[[#This Row],[Interest]],IF($C$3="Interest Only",Table1578[[#This Row],[Beginning Balance]]*ROUND(1-(1-IF($C$11="No",$E$8,1))^(1/12),6),MIN(IF($C$13="Yes",Table1578[[#This Row],[Payment Amount (Reamortized)]],$C$6)-Table1578[[#This Row],[Interest]],Table1578[[#This Row],[Beginning Balance]]))),2)))</f>
        <v>0</v>
      </c>
      <c r="I67" s="3">
        <f>_xlfn.SINGLE(IF($C$3="Line of Credit",0,ROUND(MAX(MIN(IF($C$10="No",$E$7,VLOOKUP(Table1578[[#This Row],[Period]],Forecast!$H$2:$L$1048576,4,FALSE))*Table1578[[#This Row],[Beginning Balance]],Table1578[[#This Row],[Beginning Balance]]-Table1578[[#This Row],[Principal]]),0),2)))</f>
        <v>0</v>
      </c>
      <c r="J67" s="3">
        <f>ROUND(MIN(Table1578[[#This Row],[Beginning Balance]]*IF($C$8="No",$E$3,VLOOKUP(Table1578[[#This Row],[Period]],Forecast!$H$2:$L$1048576,2,FALSE)),Table1578[[#This Row],[Beginning Balance]]-Table1578[[#This Row],[Principal]]-Table1578[[#This Row],[Prepayments]]),2)</f>
        <v>0</v>
      </c>
      <c r="K67" s="3">
        <f>ROUND(Table1578[[#This Row],[Defaulted Principal]]*IF($C$9="No",$E$4,VLOOKUP(Table1578[[#This Row],[Period]],Forecast!$H$2:$L$1048576,3,FALSE)),2)</f>
        <v>0</v>
      </c>
      <c r="L67" s="2">
        <f>Table1578[[#This Row],[Period]]+$E$9</f>
        <v>63</v>
      </c>
      <c r="M67" s="3">
        <f>Table1578[[#This Row],[Defaulted Principal]]-Table1578[[#This Row],[Estimated Loss]]</f>
        <v>0</v>
      </c>
      <c r="N67" s="3">
        <f>IFERROR(VLOOKUP(Table1578[[#This Row],[Period]],$L$16:$M$385,2,FALSE),0)</f>
        <v>0</v>
      </c>
      <c r="O67" s="3">
        <f>Table1578[[#This Row],[Beginning Balance]]-Table1578[[#This Row],[Principal]]-Table1578[[#This Row],[Prepayments]]-Table1578[[#This Row],[Defaulted Principal]]</f>
        <v>0</v>
      </c>
      <c r="P67" s="3">
        <f>Table1578[[#This Row],[Principal]]+Table1578[[#This Row],[Interest]]+Table1578[[#This Row],[Prepayments]]+Table1578[[#This Row],[RecoveredAmount]]</f>
        <v>0</v>
      </c>
      <c r="Q67" s="3">
        <f ca="1">ROUND(Table1578[[#This Row],[Cash Flow]]/((1+ActualRateToUse)^(IF(ISNUMBER(SEARCH("Actual",$C$7)),Table1578[[#This Row],[Running Total]]/365,Table1578[[#This Row],[Period]]/12))),2)</f>
        <v>0</v>
      </c>
      <c r="R67" s="2">
        <f>IF(MONTH(Table1578[[#This Row],[Date]])=2,28,DAY(DATE(YEAR(Table1578[[#This Row],[Date]]),MONTH(Table1578[[#This Row],[Date]])+1,1)-1))</f>
        <v>30</v>
      </c>
      <c r="S67" s="2">
        <f ca="1">SUM(OFFSET(Table1578[[#Headers],[Days in month]],1,0):Table1578[[#This Row],[Days in month]])</f>
        <v>1552</v>
      </c>
      <c r="T67" s="37">
        <f>InterestRate*AmortizationMultiplier*IF(ISNUMBER(SEARCH("Actual",$C$7)),Table1578[[#This Row],[Days in month]]/365,1/12)</f>
        <v>6.0333333333333333E-3</v>
      </c>
    </row>
    <row r="68" spans="2:20" x14ac:dyDescent="0.2">
      <c r="B68" s="1">
        <v>47422</v>
      </c>
      <c r="C68" s="2">
        <f t="shared" si="1"/>
        <v>52</v>
      </c>
      <c r="D68" s="3">
        <f t="shared" si="0"/>
        <v>0</v>
      </c>
      <c r="E68" s="3">
        <f>ROUND(Table1578[[#This Row],[Beginning Balance]]*Table1578[[#This Row],[Monthly Interest Rate]],2)</f>
        <v>0</v>
      </c>
      <c r="F68" s="3">
        <f t="shared" si="2"/>
        <v>-49</v>
      </c>
      <c r="G68" s="23">
        <f>IFERROR(IF($C$13="No","N/A",IF(Table1578[[#This Row],[Period]]=1,$C$6,PMT(InterestRate*AmortizationMultiplier/12,Table1578[[#This Row],[Am Thru]],-Table1578[[#This Row],[Beginning Balance]]))),0)</f>
        <v>0</v>
      </c>
      <c r="H68" s="3">
        <f>MAX(0,IF(C68=$C$4,D68,ROUND(IF($C$3="Fixed Principal",$C$6-Table1578[[#This Row],[Interest]],IF($C$3="Interest Only",Table1578[[#This Row],[Beginning Balance]]*ROUND(1-(1-IF($C$11="No",$E$8,1))^(1/12),6),MIN(IF($C$13="Yes",Table1578[[#This Row],[Payment Amount (Reamortized)]],$C$6)-Table1578[[#This Row],[Interest]],Table1578[[#This Row],[Beginning Balance]]))),2)))</f>
        <v>0</v>
      </c>
      <c r="I68" s="3">
        <f>_xlfn.SINGLE(IF($C$3="Line of Credit",0,ROUND(MAX(MIN(IF($C$10="No",$E$7,VLOOKUP(Table1578[[#This Row],[Period]],Forecast!$H$2:$L$1048576,4,FALSE))*Table1578[[#This Row],[Beginning Balance]],Table1578[[#This Row],[Beginning Balance]]-Table1578[[#This Row],[Principal]]),0),2)))</f>
        <v>0</v>
      </c>
      <c r="J68" s="3">
        <f>ROUND(MIN(Table1578[[#This Row],[Beginning Balance]]*IF($C$8="No",$E$3,VLOOKUP(Table1578[[#This Row],[Period]],Forecast!$H$2:$L$1048576,2,FALSE)),Table1578[[#This Row],[Beginning Balance]]-Table1578[[#This Row],[Principal]]-Table1578[[#This Row],[Prepayments]]),2)</f>
        <v>0</v>
      </c>
      <c r="K68" s="3">
        <f>ROUND(Table1578[[#This Row],[Defaulted Principal]]*IF($C$9="No",$E$4,VLOOKUP(Table1578[[#This Row],[Period]],Forecast!$H$2:$L$1048576,3,FALSE)),2)</f>
        <v>0</v>
      </c>
      <c r="L68" s="2">
        <f>Table1578[[#This Row],[Period]]+$E$9</f>
        <v>64</v>
      </c>
      <c r="M68" s="3">
        <f>Table1578[[#This Row],[Defaulted Principal]]-Table1578[[#This Row],[Estimated Loss]]</f>
        <v>0</v>
      </c>
      <c r="N68" s="3">
        <f>IFERROR(VLOOKUP(Table1578[[#This Row],[Period]],$L$16:$M$385,2,FALSE),0)</f>
        <v>0</v>
      </c>
      <c r="O68" s="3">
        <f>Table1578[[#This Row],[Beginning Balance]]-Table1578[[#This Row],[Principal]]-Table1578[[#This Row],[Prepayments]]-Table1578[[#This Row],[Defaulted Principal]]</f>
        <v>0</v>
      </c>
      <c r="P68" s="3">
        <f>Table1578[[#This Row],[Principal]]+Table1578[[#This Row],[Interest]]+Table1578[[#This Row],[Prepayments]]+Table1578[[#This Row],[RecoveredAmount]]</f>
        <v>0</v>
      </c>
      <c r="Q68" s="3">
        <f ca="1">ROUND(Table1578[[#This Row],[Cash Flow]]/((1+ActualRateToUse)^(IF(ISNUMBER(SEARCH("Actual",$C$7)),Table1578[[#This Row],[Running Total]]/365,Table1578[[#This Row],[Period]]/12))),2)</f>
        <v>0</v>
      </c>
      <c r="R68" s="2">
        <f>IF(MONTH(Table1578[[#This Row],[Date]])=2,28,DAY(DATE(YEAR(Table1578[[#This Row],[Date]]),MONTH(Table1578[[#This Row],[Date]])+1,1)-1))</f>
        <v>31</v>
      </c>
      <c r="S68" s="2">
        <f ca="1">SUM(OFFSET(Table1578[[#Headers],[Days in month]],1,0):Table1578[[#This Row],[Days in month]])</f>
        <v>1583</v>
      </c>
      <c r="T68" s="37">
        <f>InterestRate*AmortizationMultiplier*IF(ISNUMBER(SEARCH("Actual",$C$7)),Table1578[[#This Row],[Days in month]]/365,1/12)</f>
        <v>6.2344444444444444E-3</v>
      </c>
    </row>
    <row r="69" spans="2:20" x14ac:dyDescent="0.2">
      <c r="B69" s="1">
        <v>47452</v>
      </c>
      <c r="C69" s="2">
        <f t="shared" si="1"/>
        <v>53</v>
      </c>
      <c r="D69" s="3">
        <f t="shared" si="0"/>
        <v>0</v>
      </c>
      <c r="E69" s="3">
        <f>ROUND(Table1578[[#This Row],[Beginning Balance]]*Table1578[[#This Row],[Monthly Interest Rate]],2)</f>
        <v>0</v>
      </c>
      <c r="F69" s="3">
        <f t="shared" si="2"/>
        <v>-50</v>
      </c>
      <c r="G69" s="23">
        <f>IFERROR(IF($C$13="No","N/A",IF(Table1578[[#This Row],[Period]]=1,$C$6,PMT(InterestRate*AmortizationMultiplier/12,Table1578[[#This Row],[Am Thru]],-Table1578[[#This Row],[Beginning Balance]]))),0)</f>
        <v>0</v>
      </c>
      <c r="H69" s="3">
        <f>MAX(0,IF(C69=$C$4,D69,ROUND(IF($C$3="Fixed Principal",$C$6-Table1578[[#This Row],[Interest]],IF($C$3="Interest Only",Table1578[[#This Row],[Beginning Balance]]*ROUND(1-(1-IF($C$11="No",$E$8,1))^(1/12),6),MIN(IF($C$13="Yes",Table1578[[#This Row],[Payment Amount (Reamortized)]],$C$6)-Table1578[[#This Row],[Interest]],Table1578[[#This Row],[Beginning Balance]]))),2)))</f>
        <v>0</v>
      </c>
      <c r="I69" s="3">
        <f>_xlfn.SINGLE(IF($C$3="Line of Credit",0,ROUND(MAX(MIN(IF($C$10="No",$E$7,VLOOKUP(Table1578[[#This Row],[Period]],Forecast!$H$2:$L$1048576,4,FALSE))*Table1578[[#This Row],[Beginning Balance]],Table1578[[#This Row],[Beginning Balance]]-Table1578[[#This Row],[Principal]]),0),2)))</f>
        <v>0</v>
      </c>
      <c r="J69" s="3">
        <f>ROUND(MIN(Table1578[[#This Row],[Beginning Balance]]*IF($C$8="No",$E$3,VLOOKUP(Table1578[[#This Row],[Period]],Forecast!$H$2:$L$1048576,2,FALSE)),Table1578[[#This Row],[Beginning Balance]]-Table1578[[#This Row],[Principal]]-Table1578[[#This Row],[Prepayments]]),2)</f>
        <v>0</v>
      </c>
      <c r="K69" s="3">
        <f>ROUND(Table1578[[#This Row],[Defaulted Principal]]*IF($C$9="No",$E$4,VLOOKUP(Table1578[[#This Row],[Period]],Forecast!$H$2:$L$1048576,3,FALSE)),2)</f>
        <v>0</v>
      </c>
      <c r="L69" s="2">
        <f>Table1578[[#This Row],[Period]]+$E$9</f>
        <v>65</v>
      </c>
      <c r="M69" s="3">
        <f>Table1578[[#This Row],[Defaulted Principal]]-Table1578[[#This Row],[Estimated Loss]]</f>
        <v>0</v>
      </c>
      <c r="N69" s="3">
        <f>IFERROR(VLOOKUP(Table1578[[#This Row],[Period]],$L$16:$M$385,2,FALSE),0)</f>
        <v>0</v>
      </c>
      <c r="O69" s="3">
        <f>Table1578[[#This Row],[Beginning Balance]]-Table1578[[#This Row],[Principal]]-Table1578[[#This Row],[Prepayments]]-Table1578[[#This Row],[Defaulted Principal]]</f>
        <v>0</v>
      </c>
      <c r="P69" s="3">
        <f>Table1578[[#This Row],[Principal]]+Table1578[[#This Row],[Interest]]+Table1578[[#This Row],[Prepayments]]+Table1578[[#This Row],[RecoveredAmount]]</f>
        <v>0</v>
      </c>
      <c r="Q69" s="3">
        <f ca="1">ROUND(Table1578[[#This Row],[Cash Flow]]/((1+ActualRateToUse)^(IF(ISNUMBER(SEARCH("Actual",$C$7)),Table1578[[#This Row],[Running Total]]/365,Table1578[[#This Row],[Period]]/12))),2)</f>
        <v>0</v>
      </c>
      <c r="R69" s="2">
        <f>IF(MONTH(Table1578[[#This Row],[Date]])=2,28,DAY(DATE(YEAR(Table1578[[#This Row],[Date]]),MONTH(Table1578[[#This Row],[Date]])+1,1)-1))</f>
        <v>30</v>
      </c>
      <c r="S69" s="2">
        <f ca="1">SUM(OFFSET(Table1578[[#Headers],[Days in month]],1,0):Table1578[[#This Row],[Days in month]])</f>
        <v>1613</v>
      </c>
      <c r="T69" s="37">
        <f>InterestRate*AmortizationMultiplier*IF(ISNUMBER(SEARCH("Actual",$C$7)),Table1578[[#This Row],[Days in month]]/365,1/12)</f>
        <v>6.0333333333333333E-3</v>
      </c>
    </row>
    <row r="70" spans="2:20" x14ac:dyDescent="0.2">
      <c r="B70" s="1">
        <v>47483</v>
      </c>
      <c r="C70" s="2">
        <f t="shared" si="1"/>
        <v>54</v>
      </c>
      <c r="D70" s="3">
        <f t="shared" si="0"/>
        <v>0</v>
      </c>
      <c r="E70" s="3">
        <f>ROUND(Table1578[[#This Row],[Beginning Balance]]*Table1578[[#This Row],[Monthly Interest Rate]],2)</f>
        <v>0</v>
      </c>
      <c r="F70" s="3">
        <f t="shared" si="2"/>
        <v>-51</v>
      </c>
      <c r="G70" s="23">
        <f>IFERROR(IF($C$13="No","N/A",IF(Table1578[[#This Row],[Period]]=1,$C$6,PMT(InterestRate*AmortizationMultiplier/12,Table1578[[#This Row],[Am Thru]],-Table1578[[#This Row],[Beginning Balance]]))),0)</f>
        <v>0</v>
      </c>
      <c r="H70" s="3">
        <f>MAX(0,IF(C70=$C$4,D70,ROUND(IF($C$3="Fixed Principal",$C$6-Table1578[[#This Row],[Interest]],IF($C$3="Interest Only",Table1578[[#This Row],[Beginning Balance]]*ROUND(1-(1-IF($C$11="No",$E$8,1))^(1/12),6),MIN(IF($C$13="Yes",Table1578[[#This Row],[Payment Amount (Reamortized)]],$C$6)-Table1578[[#This Row],[Interest]],Table1578[[#This Row],[Beginning Balance]]))),2)))</f>
        <v>0</v>
      </c>
      <c r="I70" s="3">
        <f>_xlfn.SINGLE(IF($C$3="Line of Credit",0,ROUND(MAX(MIN(IF($C$10="No",$E$7,VLOOKUP(Table1578[[#This Row],[Period]],Forecast!$H$2:$L$1048576,4,FALSE))*Table1578[[#This Row],[Beginning Balance]],Table1578[[#This Row],[Beginning Balance]]-Table1578[[#This Row],[Principal]]),0),2)))</f>
        <v>0</v>
      </c>
      <c r="J70" s="3">
        <f>ROUND(MIN(Table1578[[#This Row],[Beginning Balance]]*IF($C$8="No",$E$3,VLOOKUP(Table1578[[#This Row],[Period]],Forecast!$H$2:$L$1048576,2,FALSE)),Table1578[[#This Row],[Beginning Balance]]-Table1578[[#This Row],[Principal]]-Table1578[[#This Row],[Prepayments]]),2)</f>
        <v>0</v>
      </c>
      <c r="K70" s="3">
        <f>ROUND(Table1578[[#This Row],[Defaulted Principal]]*IF($C$9="No",$E$4,VLOOKUP(Table1578[[#This Row],[Period]],Forecast!$H$2:$L$1048576,3,FALSE)),2)</f>
        <v>0</v>
      </c>
      <c r="L70" s="2">
        <f>Table1578[[#This Row],[Period]]+$E$9</f>
        <v>66</v>
      </c>
      <c r="M70" s="3">
        <f>Table1578[[#This Row],[Defaulted Principal]]-Table1578[[#This Row],[Estimated Loss]]</f>
        <v>0</v>
      </c>
      <c r="N70" s="3">
        <f>IFERROR(VLOOKUP(Table1578[[#This Row],[Period]],$L$16:$M$385,2,FALSE),0)</f>
        <v>0</v>
      </c>
      <c r="O70" s="3">
        <f>Table1578[[#This Row],[Beginning Balance]]-Table1578[[#This Row],[Principal]]-Table1578[[#This Row],[Prepayments]]-Table1578[[#This Row],[Defaulted Principal]]</f>
        <v>0</v>
      </c>
      <c r="P70" s="3">
        <f>Table1578[[#This Row],[Principal]]+Table1578[[#This Row],[Interest]]+Table1578[[#This Row],[Prepayments]]+Table1578[[#This Row],[RecoveredAmount]]</f>
        <v>0</v>
      </c>
      <c r="Q70" s="3">
        <f ca="1">ROUND(Table1578[[#This Row],[Cash Flow]]/((1+ActualRateToUse)^(IF(ISNUMBER(SEARCH("Actual",$C$7)),Table1578[[#This Row],[Running Total]]/365,Table1578[[#This Row],[Period]]/12))),2)</f>
        <v>0</v>
      </c>
      <c r="R70" s="2">
        <f>IF(MONTH(Table1578[[#This Row],[Date]])=2,28,DAY(DATE(YEAR(Table1578[[#This Row],[Date]]),MONTH(Table1578[[#This Row],[Date]])+1,1)-1))</f>
        <v>31</v>
      </c>
      <c r="S70" s="2">
        <f ca="1">SUM(OFFSET(Table1578[[#Headers],[Days in month]],1,0):Table1578[[#This Row],[Days in month]])</f>
        <v>1644</v>
      </c>
      <c r="T70" s="37">
        <f>InterestRate*AmortizationMultiplier*IF(ISNUMBER(SEARCH("Actual",$C$7)),Table1578[[#This Row],[Days in month]]/365,1/12)</f>
        <v>6.2344444444444444E-3</v>
      </c>
    </row>
    <row r="71" spans="2:20" x14ac:dyDescent="0.2">
      <c r="B71" s="1">
        <v>47514</v>
      </c>
      <c r="C71" s="2">
        <f t="shared" si="1"/>
        <v>55</v>
      </c>
      <c r="D71" s="3">
        <f t="shared" si="0"/>
        <v>0</v>
      </c>
      <c r="E71" s="3">
        <f>ROUND(Table1578[[#This Row],[Beginning Balance]]*Table1578[[#This Row],[Monthly Interest Rate]],2)</f>
        <v>0</v>
      </c>
      <c r="F71" s="3">
        <f t="shared" si="2"/>
        <v>-52</v>
      </c>
      <c r="G71" s="23">
        <f>IFERROR(IF($C$13="No","N/A",IF(Table1578[[#This Row],[Period]]=1,$C$6,PMT(InterestRate*AmortizationMultiplier/12,Table1578[[#This Row],[Am Thru]],-Table1578[[#This Row],[Beginning Balance]]))),0)</f>
        <v>0</v>
      </c>
      <c r="H71" s="3">
        <f>MAX(0,IF(C71=$C$4,D71,ROUND(IF($C$3="Fixed Principal",$C$6-Table1578[[#This Row],[Interest]],IF($C$3="Interest Only",Table1578[[#This Row],[Beginning Balance]]*ROUND(1-(1-IF($C$11="No",$E$8,1))^(1/12),6),MIN(IF($C$13="Yes",Table1578[[#This Row],[Payment Amount (Reamortized)]],$C$6)-Table1578[[#This Row],[Interest]],Table1578[[#This Row],[Beginning Balance]]))),2)))</f>
        <v>0</v>
      </c>
      <c r="I71" s="3">
        <f>_xlfn.SINGLE(IF($C$3="Line of Credit",0,ROUND(MAX(MIN(IF($C$10="No",$E$7,VLOOKUP(Table1578[[#This Row],[Period]],Forecast!$H$2:$L$1048576,4,FALSE))*Table1578[[#This Row],[Beginning Balance]],Table1578[[#This Row],[Beginning Balance]]-Table1578[[#This Row],[Principal]]),0),2)))</f>
        <v>0</v>
      </c>
      <c r="J71" s="3">
        <f>ROUND(MIN(Table1578[[#This Row],[Beginning Balance]]*IF($C$8="No",$E$3,VLOOKUP(Table1578[[#This Row],[Period]],Forecast!$H$2:$L$1048576,2,FALSE)),Table1578[[#This Row],[Beginning Balance]]-Table1578[[#This Row],[Principal]]-Table1578[[#This Row],[Prepayments]]),2)</f>
        <v>0</v>
      </c>
      <c r="K71" s="3">
        <f>ROUND(Table1578[[#This Row],[Defaulted Principal]]*IF($C$9="No",$E$4,VLOOKUP(Table1578[[#This Row],[Period]],Forecast!$H$2:$L$1048576,3,FALSE)),2)</f>
        <v>0</v>
      </c>
      <c r="L71" s="2">
        <f>Table1578[[#This Row],[Period]]+$E$9</f>
        <v>67</v>
      </c>
      <c r="M71" s="3">
        <f>Table1578[[#This Row],[Defaulted Principal]]-Table1578[[#This Row],[Estimated Loss]]</f>
        <v>0</v>
      </c>
      <c r="N71" s="3">
        <f>IFERROR(VLOOKUP(Table1578[[#This Row],[Period]],$L$16:$M$385,2,FALSE),0)</f>
        <v>0</v>
      </c>
      <c r="O71" s="3">
        <f>Table1578[[#This Row],[Beginning Balance]]-Table1578[[#This Row],[Principal]]-Table1578[[#This Row],[Prepayments]]-Table1578[[#This Row],[Defaulted Principal]]</f>
        <v>0</v>
      </c>
      <c r="P71" s="3">
        <f>Table1578[[#This Row],[Principal]]+Table1578[[#This Row],[Interest]]+Table1578[[#This Row],[Prepayments]]+Table1578[[#This Row],[RecoveredAmount]]</f>
        <v>0</v>
      </c>
      <c r="Q71" s="3">
        <f ca="1">ROUND(Table1578[[#This Row],[Cash Flow]]/((1+ActualRateToUse)^(IF(ISNUMBER(SEARCH("Actual",$C$7)),Table1578[[#This Row],[Running Total]]/365,Table1578[[#This Row],[Period]]/12))),2)</f>
        <v>0</v>
      </c>
      <c r="R71" s="2">
        <f>IF(MONTH(Table1578[[#This Row],[Date]])=2,28,DAY(DATE(YEAR(Table1578[[#This Row],[Date]]),MONTH(Table1578[[#This Row],[Date]])+1,1)-1))</f>
        <v>31</v>
      </c>
      <c r="S71" s="2">
        <f ca="1">SUM(OFFSET(Table1578[[#Headers],[Days in month]],1,0):Table1578[[#This Row],[Days in month]])</f>
        <v>1675</v>
      </c>
      <c r="T71" s="37">
        <f>InterestRate*AmortizationMultiplier*IF(ISNUMBER(SEARCH("Actual",$C$7)),Table1578[[#This Row],[Days in month]]/365,1/12)</f>
        <v>6.2344444444444444E-3</v>
      </c>
    </row>
    <row r="72" spans="2:20" x14ac:dyDescent="0.2">
      <c r="B72" s="1">
        <v>47542</v>
      </c>
      <c r="C72" s="2">
        <f t="shared" si="1"/>
        <v>56</v>
      </c>
      <c r="D72" s="3">
        <f t="shared" si="0"/>
        <v>0</v>
      </c>
      <c r="E72" s="3">
        <f>ROUND(Table1578[[#This Row],[Beginning Balance]]*Table1578[[#This Row],[Monthly Interest Rate]],2)</f>
        <v>0</v>
      </c>
      <c r="F72" s="3">
        <f t="shared" si="2"/>
        <v>-53</v>
      </c>
      <c r="G72" s="23">
        <f>IFERROR(IF($C$13="No","N/A",IF(Table1578[[#This Row],[Period]]=1,$C$6,PMT(InterestRate*AmortizationMultiplier/12,Table1578[[#This Row],[Am Thru]],-Table1578[[#This Row],[Beginning Balance]]))),0)</f>
        <v>0</v>
      </c>
      <c r="H72" s="3">
        <f>MAX(0,IF(C72=$C$4,D72,ROUND(IF($C$3="Fixed Principal",$C$6-Table1578[[#This Row],[Interest]],IF($C$3="Interest Only",Table1578[[#This Row],[Beginning Balance]]*ROUND(1-(1-IF($C$11="No",$E$8,1))^(1/12),6),MIN(IF($C$13="Yes",Table1578[[#This Row],[Payment Amount (Reamortized)]],$C$6)-Table1578[[#This Row],[Interest]],Table1578[[#This Row],[Beginning Balance]]))),2)))</f>
        <v>0</v>
      </c>
      <c r="I72" s="3">
        <f>_xlfn.SINGLE(IF($C$3="Line of Credit",0,ROUND(MAX(MIN(IF($C$10="No",$E$7,VLOOKUP(Table1578[[#This Row],[Period]],Forecast!$H$2:$L$1048576,4,FALSE))*Table1578[[#This Row],[Beginning Balance]],Table1578[[#This Row],[Beginning Balance]]-Table1578[[#This Row],[Principal]]),0),2)))</f>
        <v>0</v>
      </c>
      <c r="J72" s="3">
        <f>ROUND(MIN(Table1578[[#This Row],[Beginning Balance]]*IF($C$8="No",$E$3,VLOOKUP(Table1578[[#This Row],[Period]],Forecast!$H$2:$L$1048576,2,FALSE)),Table1578[[#This Row],[Beginning Balance]]-Table1578[[#This Row],[Principal]]-Table1578[[#This Row],[Prepayments]]),2)</f>
        <v>0</v>
      </c>
      <c r="K72" s="3">
        <f>ROUND(Table1578[[#This Row],[Defaulted Principal]]*IF($C$9="No",$E$4,VLOOKUP(Table1578[[#This Row],[Period]],Forecast!$H$2:$L$1048576,3,FALSE)),2)</f>
        <v>0</v>
      </c>
      <c r="L72" s="2">
        <f>Table1578[[#This Row],[Period]]+$E$9</f>
        <v>68</v>
      </c>
      <c r="M72" s="3">
        <f>Table1578[[#This Row],[Defaulted Principal]]-Table1578[[#This Row],[Estimated Loss]]</f>
        <v>0</v>
      </c>
      <c r="N72" s="3">
        <f>IFERROR(VLOOKUP(Table1578[[#This Row],[Period]],$L$16:$M$385,2,FALSE),0)</f>
        <v>0</v>
      </c>
      <c r="O72" s="3">
        <f>Table1578[[#This Row],[Beginning Balance]]-Table1578[[#This Row],[Principal]]-Table1578[[#This Row],[Prepayments]]-Table1578[[#This Row],[Defaulted Principal]]</f>
        <v>0</v>
      </c>
      <c r="P72" s="3">
        <f>Table1578[[#This Row],[Principal]]+Table1578[[#This Row],[Interest]]+Table1578[[#This Row],[Prepayments]]+Table1578[[#This Row],[RecoveredAmount]]</f>
        <v>0</v>
      </c>
      <c r="Q72" s="3">
        <f ca="1">ROUND(Table1578[[#This Row],[Cash Flow]]/((1+ActualRateToUse)^(IF(ISNUMBER(SEARCH("Actual",$C$7)),Table1578[[#This Row],[Running Total]]/365,Table1578[[#This Row],[Period]]/12))),2)</f>
        <v>0</v>
      </c>
      <c r="R72" s="2">
        <f>IF(MONTH(Table1578[[#This Row],[Date]])=2,28,DAY(DATE(YEAR(Table1578[[#This Row],[Date]]),MONTH(Table1578[[#This Row],[Date]])+1,1)-1))</f>
        <v>28</v>
      </c>
      <c r="S72" s="2">
        <f ca="1">SUM(OFFSET(Table1578[[#Headers],[Days in month]],1,0):Table1578[[#This Row],[Days in month]])</f>
        <v>1703</v>
      </c>
      <c r="T72" s="37">
        <f>InterestRate*AmortizationMultiplier*IF(ISNUMBER(SEARCH("Actual",$C$7)),Table1578[[#This Row],[Days in month]]/365,1/12)</f>
        <v>5.6311111111111119E-3</v>
      </c>
    </row>
    <row r="73" spans="2:20" x14ac:dyDescent="0.2">
      <c r="B73" s="1">
        <v>47573</v>
      </c>
      <c r="C73" s="2">
        <f t="shared" si="1"/>
        <v>57</v>
      </c>
      <c r="D73" s="3">
        <f t="shared" si="0"/>
        <v>0</v>
      </c>
      <c r="E73" s="3">
        <f>ROUND(Table1578[[#This Row],[Beginning Balance]]*Table1578[[#This Row],[Monthly Interest Rate]],2)</f>
        <v>0</v>
      </c>
      <c r="F73" s="3">
        <f t="shared" si="2"/>
        <v>-54</v>
      </c>
      <c r="G73" s="23">
        <f>IFERROR(IF($C$13="No","N/A",IF(Table1578[[#This Row],[Period]]=1,$C$6,PMT(InterestRate*AmortizationMultiplier/12,Table1578[[#This Row],[Am Thru]],-Table1578[[#This Row],[Beginning Balance]]))),0)</f>
        <v>0</v>
      </c>
      <c r="H73" s="3">
        <f>MAX(0,IF(C73=$C$4,D73,ROUND(IF($C$3="Fixed Principal",$C$6-Table1578[[#This Row],[Interest]],IF($C$3="Interest Only",Table1578[[#This Row],[Beginning Balance]]*ROUND(1-(1-IF($C$11="No",$E$8,1))^(1/12),6),MIN(IF($C$13="Yes",Table1578[[#This Row],[Payment Amount (Reamortized)]],$C$6)-Table1578[[#This Row],[Interest]],Table1578[[#This Row],[Beginning Balance]]))),2)))</f>
        <v>0</v>
      </c>
      <c r="I73" s="3">
        <f>_xlfn.SINGLE(IF($C$3="Line of Credit",0,ROUND(MAX(MIN(IF($C$10="No",$E$7,VLOOKUP(Table1578[[#This Row],[Period]],Forecast!$H$2:$L$1048576,4,FALSE))*Table1578[[#This Row],[Beginning Balance]],Table1578[[#This Row],[Beginning Balance]]-Table1578[[#This Row],[Principal]]),0),2)))</f>
        <v>0</v>
      </c>
      <c r="J73" s="3">
        <f>ROUND(MIN(Table1578[[#This Row],[Beginning Balance]]*IF($C$8="No",$E$3,VLOOKUP(Table1578[[#This Row],[Period]],Forecast!$H$2:$L$1048576,2,FALSE)),Table1578[[#This Row],[Beginning Balance]]-Table1578[[#This Row],[Principal]]-Table1578[[#This Row],[Prepayments]]),2)</f>
        <v>0</v>
      </c>
      <c r="K73" s="3">
        <f>ROUND(Table1578[[#This Row],[Defaulted Principal]]*IF($C$9="No",$E$4,VLOOKUP(Table1578[[#This Row],[Period]],Forecast!$H$2:$L$1048576,3,FALSE)),2)</f>
        <v>0</v>
      </c>
      <c r="L73" s="2">
        <f>Table1578[[#This Row],[Period]]+$E$9</f>
        <v>69</v>
      </c>
      <c r="M73" s="3">
        <f>Table1578[[#This Row],[Defaulted Principal]]-Table1578[[#This Row],[Estimated Loss]]</f>
        <v>0</v>
      </c>
      <c r="N73" s="3">
        <f>IFERROR(VLOOKUP(Table1578[[#This Row],[Period]],$L$16:$M$385,2,FALSE),0)</f>
        <v>0</v>
      </c>
      <c r="O73" s="3">
        <f>Table1578[[#This Row],[Beginning Balance]]-Table1578[[#This Row],[Principal]]-Table1578[[#This Row],[Prepayments]]-Table1578[[#This Row],[Defaulted Principal]]</f>
        <v>0</v>
      </c>
      <c r="P73" s="3">
        <f>Table1578[[#This Row],[Principal]]+Table1578[[#This Row],[Interest]]+Table1578[[#This Row],[Prepayments]]+Table1578[[#This Row],[RecoveredAmount]]</f>
        <v>0</v>
      </c>
      <c r="Q73" s="3">
        <f ca="1">ROUND(Table1578[[#This Row],[Cash Flow]]/((1+ActualRateToUse)^(IF(ISNUMBER(SEARCH("Actual",$C$7)),Table1578[[#This Row],[Running Total]]/365,Table1578[[#This Row],[Period]]/12))),2)</f>
        <v>0</v>
      </c>
      <c r="R73" s="2">
        <f>IF(MONTH(Table1578[[#This Row],[Date]])=2,28,DAY(DATE(YEAR(Table1578[[#This Row],[Date]]),MONTH(Table1578[[#This Row],[Date]])+1,1)-1))</f>
        <v>31</v>
      </c>
      <c r="S73" s="2">
        <f ca="1">SUM(OFFSET(Table1578[[#Headers],[Days in month]],1,0):Table1578[[#This Row],[Days in month]])</f>
        <v>1734</v>
      </c>
      <c r="T73" s="37">
        <f>InterestRate*AmortizationMultiplier*IF(ISNUMBER(SEARCH("Actual",$C$7)),Table1578[[#This Row],[Days in month]]/365,1/12)</f>
        <v>6.2344444444444444E-3</v>
      </c>
    </row>
    <row r="74" spans="2:20" x14ac:dyDescent="0.2">
      <c r="B74" s="1">
        <v>47603</v>
      </c>
      <c r="C74" s="2">
        <f t="shared" si="1"/>
        <v>58</v>
      </c>
      <c r="D74" s="3">
        <f t="shared" si="0"/>
        <v>0</v>
      </c>
      <c r="E74" s="3">
        <f>ROUND(Table1578[[#This Row],[Beginning Balance]]*Table1578[[#This Row],[Monthly Interest Rate]],2)</f>
        <v>0</v>
      </c>
      <c r="F74" s="3">
        <f t="shared" si="2"/>
        <v>-55</v>
      </c>
      <c r="G74" s="23">
        <f>IFERROR(IF($C$13="No","N/A",IF(Table1578[[#This Row],[Period]]=1,$C$6,PMT(InterestRate*AmortizationMultiplier/12,Table1578[[#This Row],[Am Thru]],-Table1578[[#This Row],[Beginning Balance]]))),0)</f>
        <v>0</v>
      </c>
      <c r="H74" s="3">
        <f>MAX(0,IF(C74=$C$4,D74,ROUND(IF($C$3="Fixed Principal",$C$6-Table1578[[#This Row],[Interest]],IF($C$3="Interest Only",Table1578[[#This Row],[Beginning Balance]]*ROUND(1-(1-IF($C$11="No",$E$8,1))^(1/12),6),MIN(IF($C$13="Yes",Table1578[[#This Row],[Payment Amount (Reamortized)]],$C$6)-Table1578[[#This Row],[Interest]],Table1578[[#This Row],[Beginning Balance]]))),2)))</f>
        <v>0</v>
      </c>
      <c r="I74" s="3">
        <f>_xlfn.SINGLE(IF($C$3="Line of Credit",0,ROUND(MAX(MIN(IF($C$10="No",$E$7,VLOOKUP(Table1578[[#This Row],[Period]],Forecast!$H$2:$L$1048576,4,FALSE))*Table1578[[#This Row],[Beginning Balance]],Table1578[[#This Row],[Beginning Balance]]-Table1578[[#This Row],[Principal]]),0),2)))</f>
        <v>0</v>
      </c>
      <c r="J74" s="3">
        <f>ROUND(MIN(Table1578[[#This Row],[Beginning Balance]]*IF($C$8="No",$E$3,VLOOKUP(Table1578[[#This Row],[Period]],Forecast!$H$2:$L$1048576,2,FALSE)),Table1578[[#This Row],[Beginning Balance]]-Table1578[[#This Row],[Principal]]-Table1578[[#This Row],[Prepayments]]),2)</f>
        <v>0</v>
      </c>
      <c r="K74" s="3">
        <f>ROUND(Table1578[[#This Row],[Defaulted Principal]]*IF($C$9="No",$E$4,VLOOKUP(Table1578[[#This Row],[Period]],Forecast!$H$2:$L$1048576,3,FALSE)),2)</f>
        <v>0</v>
      </c>
      <c r="L74" s="2">
        <f>Table1578[[#This Row],[Period]]+$E$9</f>
        <v>70</v>
      </c>
      <c r="M74" s="3">
        <f>Table1578[[#This Row],[Defaulted Principal]]-Table1578[[#This Row],[Estimated Loss]]</f>
        <v>0</v>
      </c>
      <c r="N74" s="3">
        <f>IFERROR(VLOOKUP(Table1578[[#This Row],[Period]],$L$16:$M$385,2,FALSE),0)</f>
        <v>0</v>
      </c>
      <c r="O74" s="3">
        <f>Table1578[[#This Row],[Beginning Balance]]-Table1578[[#This Row],[Principal]]-Table1578[[#This Row],[Prepayments]]-Table1578[[#This Row],[Defaulted Principal]]</f>
        <v>0</v>
      </c>
      <c r="P74" s="3">
        <f>Table1578[[#This Row],[Principal]]+Table1578[[#This Row],[Interest]]+Table1578[[#This Row],[Prepayments]]+Table1578[[#This Row],[RecoveredAmount]]</f>
        <v>0</v>
      </c>
      <c r="Q74" s="3">
        <f ca="1">ROUND(Table1578[[#This Row],[Cash Flow]]/((1+ActualRateToUse)^(IF(ISNUMBER(SEARCH("Actual",$C$7)),Table1578[[#This Row],[Running Total]]/365,Table1578[[#This Row],[Period]]/12))),2)</f>
        <v>0</v>
      </c>
      <c r="R74" s="2">
        <f>IF(MONTH(Table1578[[#This Row],[Date]])=2,28,DAY(DATE(YEAR(Table1578[[#This Row],[Date]]),MONTH(Table1578[[#This Row],[Date]])+1,1)-1))</f>
        <v>30</v>
      </c>
      <c r="S74" s="2">
        <f ca="1">SUM(OFFSET(Table1578[[#Headers],[Days in month]],1,0):Table1578[[#This Row],[Days in month]])</f>
        <v>1764</v>
      </c>
      <c r="T74" s="37">
        <f>InterestRate*AmortizationMultiplier*IF(ISNUMBER(SEARCH("Actual",$C$7)),Table1578[[#This Row],[Days in month]]/365,1/12)</f>
        <v>6.0333333333333333E-3</v>
      </c>
    </row>
    <row r="75" spans="2:20" x14ac:dyDescent="0.2">
      <c r="B75" s="1">
        <v>47634</v>
      </c>
      <c r="C75" s="2">
        <f t="shared" si="1"/>
        <v>59</v>
      </c>
      <c r="D75" s="3">
        <f t="shared" si="0"/>
        <v>0</v>
      </c>
      <c r="E75" s="3">
        <f>ROUND(Table1578[[#This Row],[Beginning Balance]]*Table1578[[#This Row],[Monthly Interest Rate]],2)</f>
        <v>0</v>
      </c>
      <c r="F75" s="3">
        <f t="shared" si="2"/>
        <v>-56</v>
      </c>
      <c r="G75" s="23">
        <f>IFERROR(IF($C$13="No","N/A",IF(Table1578[[#This Row],[Period]]=1,$C$6,PMT(InterestRate*AmortizationMultiplier/12,Table1578[[#This Row],[Am Thru]],-Table1578[[#This Row],[Beginning Balance]]))),0)</f>
        <v>0</v>
      </c>
      <c r="H75" s="3">
        <f>MAX(0,IF(C75=$C$4,D75,ROUND(IF($C$3="Fixed Principal",$C$6-Table1578[[#This Row],[Interest]],IF($C$3="Interest Only",Table1578[[#This Row],[Beginning Balance]]*ROUND(1-(1-IF($C$11="No",$E$8,1))^(1/12),6),MIN(IF($C$13="Yes",Table1578[[#This Row],[Payment Amount (Reamortized)]],$C$6)-Table1578[[#This Row],[Interest]],Table1578[[#This Row],[Beginning Balance]]))),2)))</f>
        <v>0</v>
      </c>
      <c r="I75" s="3">
        <f>_xlfn.SINGLE(IF($C$3="Line of Credit",0,ROUND(MAX(MIN(IF($C$10="No",$E$7,VLOOKUP(Table1578[[#This Row],[Period]],Forecast!$H$2:$L$1048576,4,FALSE))*Table1578[[#This Row],[Beginning Balance]],Table1578[[#This Row],[Beginning Balance]]-Table1578[[#This Row],[Principal]]),0),2)))</f>
        <v>0</v>
      </c>
      <c r="J75" s="3">
        <f>ROUND(MIN(Table1578[[#This Row],[Beginning Balance]]*IF($C$8="No",$E$3,VLOOKUP(Table1578[[#This Row],[Period]],Forecast!$H$2:$L$1048576,2,FALSE)),Table1578[[#This Row],[Beginning Balance]]-Table1578[[#This Row],[Principal]]-Table1578[[#This Row],[Prepayments]]),2)</f>
        <v>0</v>
      </c>
      <c r="K75" s="3">
        <f>ROUND(Table1578[[#This Row],[Defaulted Principal]]*IF($C$9="No",$E$4,VLOOKUP(Table1578[[#This Row],[Period]],Forecast!$H$2:$L$1048576,3,FALSE)),2)</f>
        <v>0</v>
      </c>
      <c r="L75" s="2">
        <f>Table1578[[#This Row],[Period]]+$E$9</f>
        <v>71</v>
      </c>
      <c r="M75" s="3">
        <f>Table1578[[#This Row],[Defaulted Principal]]-Table1578[[#This Row],[Estimated Loss]]</f>
        <v>0</v>
      </c>
      <c r="N75" s="3">
        <f>IFERROR(VLOOKUP(Table1578[[#This Row],[Period]],$L$16:$M$385,2,FALSE),0)</f>
        <v>0</v>
      </c>
      <c r="O75" s="3">
        <f>Table1578[[#This Row],[Beginning Balance]]-Table1578[[#This Row],[Principal]]-Table1578[[#This Row],[Prepayments]]-Table1578[[#This Row],[Defaulted Principal]]</f>
        <v>0</v>
      </c>
      <c r="P75" s="3">
        <f>Table1578[[#This Row],[Principal]]+Table1578[[#This Row],[Interest]]+Table1578[[#This Row],[Prepayments]]+Table1578[[#This Row],[RecoveredAmount]]</f>
        <v>0</v>
      </c>
      <c r="Q75" s="3">
        <f ca="1">ROUND(Table1578[[#This Row],[Cash Flow]]/((1+ActualRateToUse)^(IF(ISNUMBER(SEARCH("Actual",$C$7)),Table1578[[#This Row],[Running Total]]/365,Table1578[[#This Row],[Period]]/12))),2)</f>
        <v>0</v>
      </c>
      <c r="R75" s="2">
        <f>IF(MONTH(Table1578[[#This Row],[Date]])=2,28,DAY(DATE(YEAR(Table1578[[#This Row],[Date]]),MONTH(Table1578[[#This Row],[Date]])+1,1)-1))</f>
        <v>31</v>
      </c>
      <c r="S75" s="2">
        <f ca="1">SUM(OFFSET(Table1578[[#Headers],[Days in month]],1,0):Table1578[[#This Row],[Days in month]])</f>
        <v>1795</v>
      </c>
      <c r="T75" s="37">
        <f>InterestRate*AmortizationMultiplier*IF(ISNUMBER(SEARCH("Actual",$C$7)),Table1578[[#This Row],[Days in month]]/365,1/12)</f>
        <v>6.2344444444444444E-3</v>
      </c>
    </row>
    <row r="76" spans="2:20" x14ac:dyDescent="0.2">
      <c r="B76" s="1">
        <v>47664</v>
      </c>
      <c r="C76" s="2">
        <f t="shared" si="1"/>
        <v>60</v>
      </c>
      <c r="D76" s="3">
        <f t="shared" si="0"/>
        <v>0</v>
      </c>
      <c r="E76" s="3">
        <f>ROUND(Table1578[[#This Row],[Beginning Balance]]*Table1578[[#This Row],[Monthly Interest Rate]],2)</f>
        <v>0</v>
      </c>
      <c r="F76" s="3">
        <f t="shared" si="2"/>
        <v>-57</v>
      </c>
      <c r="G76" s="23">
        <f>IFERROR(IF($C$13="No","N/A",IF(Table1578[[#This Row],[Period]]=1,$C$6,PMT(InterestRate*AmortizationMultiplier/12,Table1578[[#This Row],[Am Thru]],-Table1578[[#This Row],[Beginning Balance]]))),0)</f>
        <v>0</v>
      </c>
      <c r="H76" s="3">
        <f>MAX(0,IF(C76=$C$4,D76,ROUND(IF($C$3="Fixed Principal",$C$6-Table1578[[#This Row],[Interest]],IF($C$3="Interest Only",Table1578[[#This Row],[Beginning Balance]]*ROUND(1-(1-IF($C$11="No",$E$8,1))^(1/12),6),MIN(IF($C$13="Yes",Table1578[[#This Row],[Payment Amount (Reamortized)]],$C$6)-Table1578[[#This Row],[Interest]],Table1578[[#This Row],[Beginning Balance]]))),2)))</f>
        <v>0</v>
      </c>
      <c r="I76" s="3">
        <f>_xlfn.SINGLE(IF($C$3="Line of Credit",0,ROUND(MAX(MIN(IF($C$10="No",$E$7,VLOOKUP(Table1578[[#This Row],[Period]],Forecast!$H$2:$L$1048576,4,FALSE))*Table1578[[#This Row],[Beginning Balance]],Table1578[[#This Row],[Beginning Balance]]-Table1578[[#This Row],[Principal]]),0),2)))</f>
        <v>0</v>
      </c>
      <c r="J76" s="3">
        <f>ROUND(MIN(Table1578[[#This Row],[Beginning Balance]]*IF($C$8="No",$E$3,VLOOKUP(Table1578[[#This Row],[Period]],Forecast!$H$2:$L$1048576,2,FALSE)),Table1578[[#This Row],[Beginning Balance]]-Table1578[[#This Row],[Principal]]-Table1578[[#This Row],[Prepayments]]),2)</f>
        <v>0</v>
      </c>
      <c r="K76" s="3">
        <f>ROUND(Table1578[[#This Row],[Defaulted Principal]]*IF($C$9="No",$E$4,VLOOKUP(Table1578[[#This Row],[Period]],Forecast!$H$2:$L$1048576,3,FALSE)),2)</f>
        <v>0</v>
      </c>
      <c r="L76" s="2">
        <f>Table1578[[#This Row],[Period]]+$E$9</f>
        <v>72</v>
      </c>
      <c r="M76" s="3">
        <f>Table1578[[#This Row],[Defaulted Principal]]-Table1578[[#This Row],[Estimated Loss]]</f>
        <v>0</v>
      </c>
      <c r="N76" s="3">
        <f>IFERROR(VLOOKUP(Table1578[[#This Row],[Period]],$L$16:$M$385,2,FALSE),0)</f>
        <v>0</v>
      </c>
      <c r="O76" s="3">
        <f>Table1578[[#This Row],[Beginning Balance]]-Table1578[[#This Row],[Principal]]-Table1578[[#This Row],[Prepayments]]-Table1578[[#This Row],[Defaulted Principal]]</f>
        <v>0</v>
      </c>
      <c r="P76" s="3">
        <f>Table1578[[#This Row],[Principal]]+Table1578[[#This Row],[Interest]]+Table1578[[#This Row],[Prepayments]]+Table1578[[#This Row],[RecoveredAmount]]</f>
        <v>0</v>
      </c>
      <c r="Q76" s="3">
        <f ca="1">ROUND(Table1578[[#This Row],[Cash Flow]]/((1+ActualRateToUse)^(IF(ISNUMBER(SEARCH("Actual",$C$7)),Table1578[[#This Row],[Running Total]]/365,Table1578[[#This Row],[Period]]/12))),2)</f>
        <v>0</v>
      </c>
      <c r="R76" s="2">
        <f>IF(MONTH(Table1578[[#This Row],[Date]])=2,28,DAY(DATE(YEAR(Table1578[[#This Row],[Date]]),MONTH(Table1578[[#This Row],[Date]])+1,1)-1))</f>
        <v>30</v>
      </c>
      <c r="S76" s="2">
        <f ca="1">SUM(OFFSET(Table1578[[#Headers],[Days in month]],1,0):Table1578[[#This Row],[Days in month]])</f>
        <v>1825</v>
      </c>
      <c r="T76" s="37">
        <f>InterestRate*AmortizationMultiplier*IF(ISNUMBER(SEARCH("Actual",$C$7)),Table1578[[#This Row],[Days in month]]/365,1/12)</f>
        <v>6.0333333333333333E-3</v>
      </c>
    </row>
    <row r="77" spans="2:20" x14ac:dyDescent="0.2">
      <c r="B77" s="1">
        <v>47695</v>
      </c>
      <c r="C77" s="2">
        <f t="shared" si="1"/>
        <v>61</v>
      </c>
      <c r="D77" s="3">
        <f t="shared" si="0"/>
        <v>0</v>
      </c>
      <c r="E77" s="3">
        <f>ROUND(Table1578[[#This Row],[Beginning Balance]]*Table1578[[#This Row],[Monthly Interest Rate]],2)</f>
        <v>0</v>
      </c>
      <c r="F77" s="3">
        <f t="shared" si="2"/>
        <v>-58</v>
      </c>
      <c r="G77" s="23">
        <f>IFERROR(IF($C$13="No","N/A",IF(Table1578[[#This Row],[Period]]=1,$C$6,PMT(InterestRate*AmortizationMultiplier/12,Table1578[[#This Row],[Am Thru]],-Table1578[[#This Row],[Beginning Balance]]))),0)</f>
        <v>0</v>
      </c>
      <c r="H77" s="3">
        <f>MAX(0,IF(C77=$C$4,D77,ROUND(IF($C$3="Fixed Principal",$C$6-Table1578[[#This Row],[Interest]],IF($C$3="Interest Only",Table1578[[#This Row],[Beginning Balance]]*ROUND(1-(1-IF($C$11="No",$E$8,1))^(1/12),6),MIN(IF($C$13="Yes",Table1578[[#This Row],[Payment Amount (Reamortized)]],$C$6)-Table1578[[#This Row],[Interest]],Table1578[[#This Row],[Beginning Balance]]))),2)))</f>
        <v>0</v>
      </c>
      <c r="I77" s="3">
        <f>_xlfn.SINGLE(IF($C$3="Line of Credit",0,ROUND(MAX(MIN(IF($C$10="No",$E$7,VLOOKUP(Table1578[[#This Row],[Period]],Forecast!$H$2:$L$1048576,4,FALSE))*Table1578[[#This Row],[Beginning Balance]],Table1578[[#This Row],[Beginning Balance]]-Table1578[[#This Row],[Principal]]),0),2)))</f>
        <v>0</v>
      </c>
      <c r="J77" s="3">
        <f>ROUND(MIN(Table1578[[#This Row],[Beginning Balance]]*IF($C$8="No",$E$3,VLOOKUP(Table1578[[#This Row],[Period]],Forecast!$H$2:$L$1048576,2,FALSE)),Table1578[[#This Row],[Beginning Balance]]-Table1578[[#This Row],[Principal]]-Table1578[[#This Row],[Prepayments]]),2)</f>
        <v>0</v>
      </c>
      <c r="K77" s="3">
        <f>ROUND(Table1578[[#This Row],[Defaulted Principal]]*IF($C$9="No",$E$4,VLOOKUP(Table1578[[#This Row],[Period]],Forecast!$H$2:$L$1048576,3,FALSE)),2)</f>
        <v>0</v>
      </c>
      <c r="L77" s="2">
        <f>Table1578[[#This Row],[Period]]+$E$9</f>
        <v>73</v>
      </c>
      <c r="M77" s="3">
        <f>Table1578[[#This Row],[Defaulted Principal]]-Table1578[[#This Row],[Estimated Loss]]</f>
        <v>0</v>
      </c>
      <c r="N77" s="3">
        <f>IFERROR(VLOOKUP(Table1578[[#This Row],[Period]],$L$16:$M$385,2,FALSE),0)</f>
        <v>0</v>
      </c>
      <c r="O77" s="3">
        <f>Table1578[[#This Row],[Beginning Balance]]-Table1578[[#This Row],[Principal]]-Table1578[[#This Row],[Prepayments]]-Table1578[[#This Row],[Defaulted Principal]]</f>
        <v>0</v>
      </c>
      <c r="P77" s="3">
        <f>Table1578[[#This Row],[Principal]]+Table1578[[#This Row],[Interest]]+Table1578[[#This Row],[Prepayments]]+Table1578[[#This Row],[RecoveredAmount]]</f>
        <v>0</v>
      </c>
      <c r="Q77" s="3">
        <f ca="1">ROUND(Table1578[[#This Row],[Cash Flow]]/((1+ActualRateToUse)^(IF(ISNUMBER(SEARCH("Actual",$C$7)),Table1578[[#This Row],[Running Total]]/365,Table1578[[#This Row],[Period]]/12))),2)</f>
        <v>0</v>
      </c>
      <c r="R77" s="2">
        <f>IF(MONTH(Table1578[[#This Row],[Date]])=2,28,DAY(DATE(YEAR(Table1578[[#This Row],[Date]]),MONTH(Table1578[[#This Row],[Date]])+1,1)-1))</f>
        <v>31</v>
      </c>
      <c r="S77" s="2">
        <f ca="1">SUM(OFFSET(Table1578[[#Headers],[Days in month]],1,0):Table1578[[#This Row],[Days in month]])</f>
        <v>1856</v>
      </c>
      <c r="T77" s="37">
        <f>InterestRate*AmortizationMultiplier*IF(ISNUMBER(SEARCH("Actual",$C$7)),Table1578[[#This Row],[Days in month]]/365,1/12)</f>
        <v>6.2344444444444444E-3</v>
      </c>
    </row>
    <row r="78" spans="2:20" x14ac:dyDescent="0.2">
      <c r="B78" s="1">
        <v>47726</v>
      </c>
      <c r="C78" s="2">
        <f t="shared" si="1"/>
        <v>62</v>
      </c>
      <c r="D78" s="3">
        <f t="shared" si="0"/>
        <v>0</v>
      </c>
      <c r="E78" s="3">
        <f>ROUND(Table1578[[#This Row],[Beginning Balance]]*Table1578[[#This Row],[Monthly Interest Rate]],2)</f>
        <v>0</v>
      </c>
      <c r="F78" s="3">
        <f t="shared" si="2"/>
        <v>-59</v>
      </c>
      <c r="G78" s="23">
        <f>IFERROR(IF($C$13="No","N/A",IF(Table1578[[#This Row],[Period]]=1,$C$6,PMT(InterestRate*AmortizationMultiplier/12,Table1578[[#This Row],[Am Thru]],-Table1578[[#This Row],[Beginning Balance]]))),0)</f>
        <v>0</v>
      </c>
      <c r="H78" s="3">
        <f>MAX(0,IF(C78=$C$4,D78,ROUND(IF($C$3="Fixed Principal",$C$6-Table1578[[#This Row],[Interest]],IF($C$3="Interest Only",Table1578[[#This Row],[Beginning Balance]]*ROUND(1-(1-IF($C$11="No",$E$8,1))^(1/12),6),MIN(IF($C$13="Yes",Table1578[[#This Row],[Payment Amount (Reamortized)]],$C$6)-Table1578[[#This Row],[Interest]],Table1578[[#This Row],[Beginning Balance]]))),2)))</f>
        <v>0</v>
      </c>
      <c r="I78" s="3">
        <f>_xlfn.SINGLE(IF($C$3="Line of Credit",0,ROUND(MAX(MIN(IF($C$10="No",$E$7,VLOOKUP(Table1578[[#This Row],[Period]],Forecast!$H$2:$L$1048576,4,FALSE))*Table1578[[#This Row],[Beginning Balance]],Table1578[[#This Row],[Beginning Balance]]-Table1578[[#This Row],[Principal]]),0),2)))</f>
        <v>0</v>
      </c>
      <c r="J78" s="3">
        <f>ROUND(MIN(Table1578[[#This Row],[Beginning Balance]]*IF($C$8="No",$E$3,VLOOKUP(Table1578[[#This Row],[Period]],Forecast!$H$2:$L$1048576,2,FALSE)),Table1578[[#This Row],[Beginning Balance]]-Table1578[[#This Row],[Principal]]-Table1578[[#This Row],[Prepayments]]),2)</f>
        <v>0</v>
      </c>
      <c r="K78" s="3">
        <f>ROUND(Table1578[[#This Row],[Defaulted Principal]]*IF($C$9="No",$E$4,VLOOKUP(Table1578[[#This Row],[Period]],Forecast!$H$2:$L$1048576,3,FALSE)),2)</f>
        <v>0</v>
      </c>
      <c r="L78" s="2">
        <f>Table1578[[#This Row],[Period]]+$E$9</f>
        <v>74</v>
      </c>
      <c r="M78" s="3">
        <f>Table1578[[#This Row],[Defaulted Principal]]-Table1578[[#This Row],[Estimated Loss]]</f>
        <v>0</v>
      </c>
      <c r="N78" s="3">
        <f>IFERROR(VLOOKUP(Table1578[[#This Row],[Period]],$L$16:$M$385,2,FALSE),0)</f>
        <v>0</v>
      </c>
      <c r="O78" s="3">
        <f>Table1578[[#This Row],[Beginning Balance]]-Table1578[[#This Row],[Principal]]-Table1578[[#This Row],[Prepayments]]-Table1578[[#This Row],[Defaulted Principal]]</f>
        <v>0</v>
      </c>
      <c r="P78" s="3">
        <f>Table1578[[#This Row],[Principal]]+Table1578[[#This Row],[Interest]]+Table1578[[#This Row],[Prepayments]]+Table1578[[#This Row],[RecoveredAmount]]</f>
        <v>0</v>
      </c>
      <c r="Q78" s="3">
        <f ca="1">ROUND(Table1578[[#This Row],[Cash Flow]]/((1+ActualRateToUse)^(IF(ISNUMBER(SEARCH("Actual",$C$7)),Table1578[[#This Row],[Running Total]]/365,Table1578[[#This Row],[Period]]/12))),2)</f>
        <v>0</v>
      </c>
      <c r="R78" s="2">
        <f>IF(MONTH(Table1578[[#This Row],[Date]])=2,28,DAY(DATE(YEAR(Table1578[[#This Row],[Date]]),MONTH(Table1578[[#This Row],[Date]])+1,1)-1))</f>
        <v>31</v>
      </c>
      <c r="S78" s="2">
        <f ca="1">SUM(OFFSET(Table1578[[#Headers],[Days in month]],1,0):Table1578[[#This Row],[Days in month]])</f>
        <v>1887</v>
      </c>
      <c r="T78" s="37">
        <f>InterestRate*AmortizationMultiplier*IF(ISNUMBER(SEARCH("Actual",$C$7)),Table1578[[#This Row],[Days in month]]/365,1/12)</f>
        <v>6.2344444444444444E-3</v>
      </c>
    </row>
    <row r="79" spans="2:20" x14ac:dyDescent="0.2">
      <c r="B79" s="1">
        <v>47756</v>
      </c>
      <c r="C79" s="2">
        <f t="shared" si="1"/>
        <v>63</v>
      </c>
      <c r="D79" s="3">
        <f t="shared" si="0"/>
        <v>0</v>
      </c>
      <c r="E79" s="3">
        <f>ROUND(Table1578[[#This Row],[Beginning Balance]]*Table1578[[#This Row],[Monthly Interest Rate]],2)</f>
        <v>0</v>
      </c>
      <c r="F79" s="3">
        <f t="shared" si="2"/>
        <v>-60</v>
      </c>
      <c r="G79" s="23">
        <f>IFERROR(IF($C$13="No","N/A",IF(Table1578[[#This Row],[Period]]=1,$C$6,PMT(InterestRate*AmortizationMultiplier/12,Table1578[[#This Row],[Am Thru]],-Table1578[[#This Row],[Beginning Balance]]))),0)</f>
        <v>0</v>
      </c>
      <c r="H79" s="3">
        <f>MAX(0,IF(C79=$C$4,D79,ROUND(IF($C$3="Fixed Principal",$C$6-Table1578[[#This Row],[Interest]],IF($C$3="Interest Only",Table1578[[#This Row],[Beginning Balance]]*ROUND(1-(1-IF($C$11="No",$E$8,1))^(1/12),6),MIN(IF($C$13="Yes",Table1578[[#This Row],[Payment Amount (Reamortized)]],$C$6)-Table1578[[#This Row],[Interest]],Table1578[[#This Row],[Beginning Balance]]))),2)))</f>
        <v>0</v>
      </c>
      <c r="I79" s="3">
        <f>_xlfn.SINGLE(IF($C$3="Line of Credit",0,ROUND(MAX(MIN(IF($C$10="No",$E$7,VLOOKUP(Table1578[[#This Row],[Period]],Forecast!$H$2:$L$1048576,4,FALSE))*Table1578[[#This Row],[Beginning Balance]],Table1578[[#This Row],[Beginning Balance]]-Table1578[[#This Row],[Principal]]),0),2)))</f>
        <v>0</v>
      </c>
      <c r="J79" s="3">
        <f>ROUND(MIN(Table1578[[#This Row],[Beginning Balance]]*IF($C$8="No",$E$3,VLOOKUP(Table1578[[#This Row],[Period]],Forecast!$H$2:$L$1048576,2,FALSE)),Table1578[[#This Row],[Beginning Balance]]-Table1578[[#This Row],[Principal]]-Table1578[[#This Row],[Prepayments]]),2)</f>
        <v>0</v>
      </c>
      <c r="K79" s="3">
        <f>ROUND(Table1578[[#This Row],[Defaulted Principal]]*IF($C$9="No",$E$4,VLOOKUP(Table1578[[#This Row],[Period]],Forecast!$H$2:$L$1048576,3,FALSE)),2)</f>
        <v>0</v>
      </c>
      <c r="L79" s="2">
        <f>Table1578[[#This Row],[Period]]+$E$9</f>
        <v>75</v>
      </c>
      <c r="M79" s="3">
        <f>Table1578[[#This Row],[Defaulted Principal]]-Table1578[[#This Row],[Estimated Loss]]</f>
        <v>0</v>
      </c>
      <c r="N79" s="3">
        <f>IFERROR(VLOOKUP(Table1578[[#This Row],[Period]],$L$16:$M$385,2,FALSE),0)</f>
        <v>0</v>
      </c>
      <c r="O79" s="3">
        <f>Table1578[[#This Row],[Beginning Balance]]-Table1578[[#This Row],[Principal]]-Table1578[[#This Row],[Prepayments]]-Table1578[[#This Row],[Defaulted Principal]]</f>
        <v>0</v>
      </c>
      <c r="P79" s="3">
        <f>Table1578[[#This Row],[Principal]]+Table1578[[#This Row],[Interest]]+Table1578[[#This Row],[Prepayments]]+Table1578[[#This Row],[RecoveredAmount]]</f>
        <v>0</v>
      </c>
      <c r="Q79" s="3">
        <f ca="1">ROUND(Table1578[[#This Row],[Cash Flow]]/((1+ActualRateToUse)^(IF(ISNUMBER(SEARCH("Actual",$C$7)),Table1578[[#This Row],[Running Total]]/365,Table1578[[#This Row],[Period]]/12))),2)</f>
        <v>0</v>
      </c>
      <c r="R79" s="2">
        <f>IF(MONTH(Table1578[[#This Row],[Date]])=2,28,DAY(DATE(YEAR(Table1578[[#This Row],[Date]]),MONTH(Table1578[[#This Row],[Date]])+1,1)-1))</f>
        <v>30</v>
      </c>
      <c r="S79" s="2">
        <f ca="1">SUM(OFFSET(Table1578[[#Headers],[Days in month]],1,0):Table1578[[#This Row],[Days in month]])</f>
        <v>1917</v>
      </c>
      <c r="T79" s="37">
        <f>InterestRate*AmortizationMultiplier*IF(ISNUMBER(SEARCH("Actual",$C$7)),Table1578[[#This Row],[Days in month]]/365,1/12)</f>
        <v>6.0333333333333333E-3</v>
      </c>
    </row>
    <row r="80" spans="2:20" x14ac:dyDescent="0.2">
      <c r="B80" s="1">
        <v>47787</v>
      </c>
      <c r="C80" s="2">
        <f t="shared" si="1"/>
        <v>64</v>
      </c>
      <c r="D80" s="3">
        <f t="shared" si="0"/>
        <v>0</v>
      </c>
      <c r="E80" s="3">
        <f>ROUND(Table1578[[#This Row],[Beginning Balance]]*Table1578[[#This Row],[Monthly Interest Rate]],2)</f>
        <v>0</v>
      </c>
      <c r="F80" s="3">
        <f t="shared" si="2"/>
        <v>-61</v>
      </c>
      <c r="G80" s="23">
        <f>IFERROR(IF($C$13="No","N/A",IF(Table1578[[#This Row],[Period]]=1,$C$6,PMT(InterestRate*AmortizationMultiplier/12,Table1578[[#This Row],[Am Thru]],-Table1578[[#This Row],[Beginning Balance]]))),0)</f>
        <v>0</v>
      </c>
      <c r="H80" s="3">
        <f>MAX(0,IF(C80=$C$4,D80,ROUND(IF($C$3="Fixed Principal",$C$6-Table1578[[#This Row],[Interest]],IF($C$3="Interest Only",Table1578[[#This Row],[Beginning Balance]]*ROUND(1-(1-IF($C$11="No",$E$8,1))^(1/12),6),MIN(IF($C$13="Yes",Table1578[[#This Row],[Payment Amount (Reamortized)]],$C$6)-Table1578[[#This Row],[Interest]],Table1578[[#This Row],[Beginning Balance]]))),2)))</f>
        <v>0</v>
      </c>
      <c r="I80" s="3">
        <f>_xlfn.SINGLE(IF($C$3="Line of Credit",0,ROUND(MAX(MIN(IF($C$10="No",$E$7,VLOOKUP(Table1578[[#This Row],[Period]],Forecast!$H$2:$L$1048576,4,FALSE))*Table1578[[#This Row],[Beginning Balance]],Table1578[[#This Row],[Beginning Balance]]-Table1578[[#This Row],[Principal]]),0),2)))</f>
        <v>0</v>
      </c>
      <c r="J80" s="3">
        <f>ROUND(MIN(Table1578[[#This Row],[Beginning Balance]]*IF($C$8="No",$E$3,VLOOKUP(Table1578[[#This Row],[Period]],Forecast!$H$2:$L$1048576,2,FALSE)),Table1578[[#This Row],[Beginning Balance]]-Table1578[[#This Row],[Principal]]-Table1578[[#This Row],[Prepayments]]),2)</f>
        <v>0</v>
      </c>
      <c r="K80" s="3">
        <f>ROUND(Table1578[[#This Row],[Defaulted Principal]]*IF($C$9="No",$E$4,VLOOKUP(Table1578[[#This Row],[Period]],Forecast!$H$2:$L$1048576,3,FALSE)),2)</f>
        <v>0</v>
      </c>
      <c r="L80" s="2">
        <f>Table1578[[#This Row],[Period]]+$E$9</f>
        <v>76</v>
      </c>
      <c r="M80" s="3">
        <f>Table1578[[#This Row],[Defaulted Principal]]-Table1578[[#This Row],[Estimated Loss]]</f>
        <v>0</v>
      </c>
      <c r="N80" s="3">
        <f>IFERROR(VLOOKUP(Table1578[[#This Row],[Period]],$L$16:$M$385,2,FALSE),0)</f>
        <v>0</v>
      </c>
      <c r="O80" s="3">
        <f>Table1578[[#This Row],[Beginning Balance]]-Table1578[[#This Row],[Principal]]-Table1578[[#This Row],[Prepayments]]-Table1578[[#This Row],[Defaulted Principal]]</f>
        <v>0</v>
      </c>
      <c r="P80" s="3">
        <f>Table1578[[#This Row],[Principal]]+Table1578[[#This Row],[Interest]]+Table1578[[#This Row],[Prepayments]]+Table1578[[#This Row],[RecoveredAmount]]</f>
        <v>0</v>
      </c>
      <c r="Q80" s="3">
        <f ca="1">ROUND(Table1578[[#This Row],[Cash Flow]]/((1+ActualRateToUse)^(IF(ISNUMBER(SEARCH("Actual",$C$7)),Table1578[[#This Row],[Running Total]]/365,Table1578[[#This Row],[Period]]/12))),2)</f>
        <v>0</v>
      </c>
      <c r="R80" s="2">
        <f>IF(MONTH(Table1578[[#This Row],[Date]])=2,28,DAY(DATE(YEAR(Table1578[[#This Row],[Date]]),MONTH(Table1578[[#This Row],[Date]])+1,1)-1))</f>
        <v>31</v>
      </c>
      <c r="S80" s="2">
        <f ca="1">SUM(OFFSET(Table1578[[#Headers],[Days in month]],1,0):Table1578[[#This Row],[Days in month]])</f>
        <v>1948</v>
      </c>
      <c r="T80" s="37">
        <f>InterestRate*AmortizationMultiplier*IF(ISNUMBER(SEARCH("Actual",$C$7)),Table1578[[#This Row],[Days in month]]/365,1/12)</f>
        <v>6.2344444444444444E-3</v>
      </c>
    </row>
    <row r="81" spans="2:20" x14ac:dyDescent="0.2">
      <c r="B81" s="1">
        <v>47817</v>
      </c>
      <c r="C81" s="2">
        <f t="shared" si="1"/>
        <v>65</v>
      </c>
      <c r="D81" s="3">
        <f t="shared" si="0"/>
        <v>0</v>
      </c>
      <c r="E81" s="3">
        <f>ROUND(Table1578[[#This Row],[Beginning Balance]]*Table1578[[#This Row],[Monthly Interest Rate]],2)</f>
        <v>0</v>
      </c>
      <c r="F81" s="3">
        <f t="shared" si="2"/>
        <v>-62</v>
      </c>
      <c r="G81" s="23">
        <f>IFERROR(IF($C$13="No","N/A",IF(Table1578[[#This Row],[Period]]=1,$C$6,PMT(InterestRate*AmortizationMultiplier/12,Table1578[[#This Row],[Am Thru]],-Table1578[[#This Row],[Beginning Balance]]))),0)</f>
        <v>0</v>
      </c>
      <c r="H81" s="3">
        <f>MAX(0,IF(C81=$C$4,D81,ROUND(IF($C$3="Fixed Principal",$C$6-Table1578[[#This Row],[Interest]],IF($C$3="Interest Only",Table1578[[#This Row],[Beginning Balance]]*ROUND(1-(1-IF($C$11="No",$E$8,1))^(1/12),6),MIN(IF($C$13="Yes",Table1578[[#This Row],[Payment Amount (Reamortized)]],$C$6)-Table1578[[#This Row],[Interest]],Table1578[[#This Row],[Beginning Balance]]))),2)))</f>
        <v>0</v>
      </c>
      <c r="I81" s="3">
        <f>_xlfn.SINGLE(IF($C$3="Line of Credit",0,ROUND(MAX(MIN(IF($C$10="No",$E$7,VLOOKUP(Table1578[[#This Row],[Period]],Forecast!$H$2:$L$1048576,4,FALSE))*Table1578[[#This Row],[Beginning Balance]],Table1578[[#This Row],[Beginning Balance]]-Table1578[[#This Row],[Principal]]),0),2)))</f>
        <v>0</v>
      </c>
      <c r="J81" s="3">
        <f>ROUND(MIN(Table1578[[#This Row],[Beginning Balance]]*IF($C$8="No",$E$3,VLOOKUP(Table1578[[#This Row],[Period]],Forecast!$H$2:$L$1048576,2,FALSE)),Table1578[[#This Row],[Beginning Balance]]-Table1578[[#This Row],[Principal]]-Table1578[[#This Row],[Prepayments]]),2)</f>
        <v>0</v>
      </c>
      <c r="K81" s="3">
        <f>ROUND(Table1578[[#This Row],[Defaulted Principal]]*IF($C$9="No",$E$4,VLOOKUP(Table1578[[#This Row],[Period]],Forecast!$H$2:$L$1048576,3,FALSE)),2)</f>
        <v>0</v>
      </c>
      <c r="L81" s="2">
        <f>Table1578[[#This Row],[Period]]+$E$9</f>
        <v>77</v>
      </c>
      <c r="M81" s="3">
        <f>Table1578[[#This Row],[Defaulted Principal]]-Table1578[[#This Row],[Estimated Loss]]</f>
        <v>0</v>
      </c>
      <c r="N81" s="3">
        <f>IFERROR(VLOOKUP(Table1578[[#This Row],[Period]],$L$16:$M$385,2,FALSE),0)</f>
        <v>0</v>
      </c>
      <c r="O81" s="3">
        <f>Table1578[[#This Row],[Beginning Balance]]-Table1578[[#This Row],[Principal]]-Table1578[[#This Row],[Prepayments]]-Table1578[[#This Row],[Defaulted Principal]]</f>
        <v>0</v>
      </c>
      <c r="P81" s="3">
        <f>Table1578[[#This Row],[Principal]]+Table1578[[#This Row],[Interest]]+Table1578[[#This Row],[Prepayments]]+Table1578[[#This Row],[RecoveredAmount]]</f>
        <v>0</v>
      </c>
      <c r="Q81" s="3">
        <f ca="1">ROUND(Table1578[[#This Row],[Cash Flow]]/((1+ActualRateToUse)^(IF(ISNUMBER(SEARCH("Actual",$C$7)),Table1578[[#This Row],[Running Total]]/365,Table1578[[#This Row],[Period]]/12))),2)</f>
        <v>0</v>
      </c>
      <c r="R81" s="2">
        <f>IF(MONTH(Table1578[[#This Row],[Date]])=2,28,DAY(DATE(YEAR(Table1578[[#This Row],[Date]]),MONTH(Table1578[[#This Row],[Date]])+1,1)-1))</f>
        <v>30</v>
      </c>
      <c r="S81" s="2">
        <f ca="1">SUM(OFFSET(Table1578[[#Headers],[Days in month]],1,0):Table1578[[#This Row],[Days in month]])</f>
        <v>1978</v>
      </c>
      <c r="T81" s="37">
        <f>InterestRate*AmortizationMultiplier*IF(ISNUMBER(SEARCH("Actual",$C$7)),Table1578[[#This Row],[Days in month]]/365,1/12)</f>
        <v>6.0333333333333333E-3</v>
      </c>
    </row>
    <row r="82" spans="2:20" x14ac:dyDescent="0.2">
      <c r="B82" s="1">
        <v>47848</v>
      </c>
      <c r="C82" s="2">
        <f t="shared" si="1"/>
        <v>66</v>
      </c>
      <c r="D82" s="3">
        <f t="shared" ref="D82:D145" si="3">O81</f>
        <v>0</v>
      </c>
      <c r="E82" s="3">
        <f>ROUND(Table1578[[#This Row],[Beginning Balance]]*Table1578[[#This Row],[Monthly Interest Rate]],2)</f>
        <v>0</v>
      </c>
      <c r="F82" s="3">
        <f t="shared" si="2"/>
        <v>-63</v>
      </c>
      <c r="G82" s="23">
        <f>IFERROR(IF($C$13="No","N/A",IF(Table1578[[#This Row],[Period]]=1,$C$6,PMT(InterestRate*AmortizationMultiplier/12,Table1578[[#This Row],[Am Thru]],-Table1578[[#This Row],[Beginning Balance]]))),0)</f>
        <v>0</v>
      </c>
      <c r="H82" s="3">
        <f>MAX(0,IF(C82=$C$4,D82,ROUND(IF($C$3="Fixed Principal",$C$6-Table1578[[#This Row],[Interest]],IF($C$3="Interest Only",Table1578[[#This Row],[Beginning Balance]]*ROUND(1-(1-IF($C$11="No",$E$8,1))^(1/12),6),MIN(IF($C$13="Yes",Table1578[[#This Row],[Payment Amount (Reamortized)]],$C$6)-Table1578[[#This Row],[Interest]],Table1578[[#This Row],[Beginning Balance]]))),2)))</f>
        <v>0</v>
      </c>
      <c r="I82" s="3">
        <f>_xlfn.SINGLE(IF($C$3="Line of Credit",0,ROUND(MAX(MIN(IF($C$10="No",$E$7,VLOOKUP(Table1578[[#This Row],[Period]],Forecast!$H$2:$L$1048576,4,FALSE))*Table1578[[#This Row],[Beginning Balance]],Table1578[[#This Row],[Beginning Balance]]-Table1578[[#This Row],[Principal]]),0),2)))</f>
        <v>0</v>
      </c>
      <c r="J82" s="3">
        <f>ROUND(MIN(Table1578[[#This Row],[Beginning Balance]]*IF($C$8="No",$E$3,VLOOKUP(Table1578[[#This Row],[Period]],Forecast!$H$2:$L$1048576,2,FALSE)),Table1578[[#This Row],[Beginning Balance]]-Table1578[[#This Row],[Principal]]-Table1578[[#This Row],[Prepayments]]),2)</f>
        <v>0</v>
      </c>
      <c r="K82" s="3">
        <f>ROUND(Table1578[[#This Row],[Defaulted Principal]]*IF($C$9="No",$E$4,VLOOKUP(Table1578[[#This Row],[Period]],Forecast!$H$2:$L$1048576,3,FALSE)),2)</f>
        <v>0</v>
      </c>
      <c r="L82" s="2">
        <f>Table1578[[#This Row],[Period]]+$E$9</f>
        <v>78</v>
      </c>
      <c r="M82" s="3">
        <f>Table1578[[#This Row],[Defaulted Principal]]-Table1578[[#This Row],[Estimated Loss]]</f>
        <v>0</v>
      </c>
      <c r="N82" s="3">
        <f>IFERROR(VLOOKUP(Table1578[[#This Row],[Period]],$L$16:$M$385,2,FALSE),0)</f>
        <v>0</v>
      </c>
      <c r="O82" s="3">
        <f>Table1578[[#This Row],[Beginning Balance]]-Table1578[[#This Row],[Principal]]-Table1578[[#This Row],[Prepayments]]-Table1578[[#This Row],[Defaulted Principal]]</f>
        <v>0</v>
      </c>
      <c r="P82" s="3">
        <f>Table1578[[#This Row],[Principal]]+Table1578[[#This Row],[Interest]]+Table1578[[#This Row],[Prepayments]]+Table1578[[#This Row],[RecoveredAmount]]</f>
        <v>0</v>
      </c>
      <c r="Q82" s="3">
        <f ca="1">ROUND(Table1578[[#This Row],[Cash Flow]]/((1+ActualRateToUse)^(IF(ISNUMBER(SEARCH("Actual",$C$7)),Table1578[[#This Row],[Running Total]]/365,Table1578[[#This Row],[Period]]/12))),2)</f>
        <v>0</v>
      </c>
      <c r="R82" s="2">
        <f>IF(MONTH(Table1578[[#This Row],[Date]])=2,28,DAY(DATE(YEAR(Table1578[[#This Row],[Date]]),MONTH(Table1578[[#This Row],[Date]])+1,1)-1))</f>
        <v>31</v>
      </c>
      <c r="S82" s="2">
        <f ca="1">SUM(OFFSET(Table1578[[#Headers],[Days in month]],1,0):Table1578[[#This Row],[Days in month]])</f>
        <v>2009</v>
      </c>
      <c r="T82" s="37">
        <f>InterestRate*AmortizationMultiplier*IF(ISNUMBER(SEARCH("Actual",$C$7)),Table1578[[#This Row],[Days in month]]/365,1/12)</f>
        <v>6.2344444444444444E-3</v>
      </c>
    </row>
    <row r="83" spans="2:20" x14ac:dyDescent="0.2">
      <c r="B83" s="1">
        <v>47879</v>
      </c>
      <c r="C83" s="2">
        <f t="shared" ref="C83:C146" si="4">C82+1</f>
        <v>67</v>
      </c>
      <c r="D83" s="3">
        <f t="shared" si="3"/>
        <v>0</v>
      </c>
      <c r="E83" s="3">
        <f>ROUND(Table1578[[#This Row],[Beginning Balance]]*Table1578[[#This Row],[Monthly Interest Rate]],2)</f>
        <v>0</v>
      </c>
      <c r="F83" s="3">
        <f t="shared" ref="F83:F146" si="5">+F82-1</f>
        <v>-64</v>
      </c>
      <c r="G83" s="23">
        <f>IFERROR(IF($C$13="No","N/A",IF(Table1578[[#This Row],[Period]]=1,$C$6,PMT(InterestRate*AmortizationMultiplier/12,Table1578[[#This Row],[Am Thru]],-Table1578[[#This Row],[Beginning Balance]]))),0)</f>
        <v>0</v>
      </c>
      <c r="H83" s="3">
        <f>MAX(0,IF(C83=$C$4,D83,ROUND(IF($C$3="Fixed Principal",$C$6-Table1578[[#This Row],[Interest]],IF($C$3="Interest Only",Table1578[[#This Row],[Beginning Balance]]*ROUND(1-(1-IF($C$11="No",$E$8,1))^(1/12),6),MIN(IF($C$13="Yes",Table1578[[#This Row],[Payment Amount (Reamortized)]],$C$6)-Table1578[[#This Row],[Interest]],Table1578[[#This Row],[Beginning Balance]]))),2)))</f>
        <v>0</v>
      </c>
      <c r="I83" s="3">
        <f>_xlfn.SINGLE(IF($C$3="Line of Credit",0,ROUND(MAX(MIN(IF($C$10="No",$E$7,VLOOKUP(Table1578[[#This Row],[Period]],Forecast!$H$2:$L$1048576,4,FALSE))*Table1578[[#This Row],[Beginning Balance]],Table1578[[#This Row],[Beginning Balance]]-Table1578[[#This Row],[Principal]]),0),2)))</f>
        <v>0</v>
      </c>
      <c r="J83" s="3">
        <f>ROUND(MIN(Table1578[[#This Row],[Beginning Balance]]*IF($C$8="No",$E$3,VLOOKUP(Table1578[[#This Row],[Period]],Forecast!$H$2:$L$1048576,2,FALSE)),Table1578[[#This Row],[Beginning Balance]]-Table1578[[#This Row],[Principal]]-Table1578[[#This Row],[Prepayments]]),2)</f>
        <v>0</v>
      </c>
      <c r="K83" s="3">
        <f>ROUND(Table1578[[#This Row],[Defaulted Principal]]*IF($C$9="No",$E$4,VLOOKUP(Table1578[[#This Row],[Period]],Forecast!$H$2:$L$1048576,3,FALSE)),2)</f>
        <v>0</v>
      </c>
      <c r="L83" s="2">
        <f>Table1578[[#This Row],[Period]]+$E$9</f>
        <v>79</v>
      </c>
      <c r="M83" s="3">
        <f>Table1578[[#This Row],[Defaulted Principal]]-Table1578[[#This Row],[Estimated Loss]]</f>
        <v>0</v>
      </c>
      <c r="N83" s="3">
        <f>IFERROR(VLOOKUP(Table1578[[#This Row],[Period]],$L$16:$M$385,2,FALSE),0)</f>
        <v>0</v>
      </c>
      <c r="O83" s="3">
        <f>Table1578[[#This Row],[Beginning Balance]]-Table1578[[#This Row],[Principal]]-Table1578[[#This Row],[Prepayments]]-Table1578[[#This Row],[Defaulted Principal]]</f>
        <v>0</v>
      </c>
      <c r="P83" s="3">
        <f>Table1578[[#This Row],[Principal]]+Table1578[[#This Row],[Interest]]+Table1578[[#This Row],[Prepayments]]+Table1578[[#This Row],[RecoveredAmount]]</f>
        <v>0</v>
      </c>
      <c r="Q83" s="3">
        <f ca="1">ROUND(Table1578[[#This Row],[Cash Flow]]/((1+ActualRateToUse)^(IF(ISNUMBER(SEARCH("Actual",$C$7)),Table1578[[#This Row],[Running Total]]/365,Table1578[[#This Row],[Period]]/12))),2)</f>
        <v>0</v>
      </c>
      <c r="R83" s="2">
        <f>IF(MONTH(Table1578[[#This Row],[Date]])=2,28,DAY(DATE(YEAR(Table1578[[#This Row],[Date]]),MONTH(Table1578[[#This Row],[Date]])+1,1)-1))</f>
        <v>31</v>
      </c>
      <c r="S83" s="2">
        <f ca="1">SUM(OFFSET(Table1578[[#Headers],[Days in month]],1,0):Table1578[[#This Row],[Days in month]])</f>
        <v>2040</v>
      </c>
      <c r="T83" s="37">
        <f>InterestRate*AmortizationMultiplier*IF(ISNUMBER(SEARCH("Actual",$C$7)),Table1578[[#This Row],[Days in month]]/365,1/12)</f>
        <v>6.2344444444444444E-3</v>
      </c>
    </row>
    <row r="84" spans="2:20" x14ac:dyDescent="0.2">
      <c r="B84" s="1">
        <v>47907</v>
      </c>
      <c r="C84" s="2">
        <f t="shared" si="4"/>
        <v>68</v>
      </c>
      <c r="D84" s="3">
        <f t="shared" si="3"/>
        <v>0</v>
      </c>
      <c r="E84" s="3">
        <f>ROUND(Table1578[[#This Row],[Beginning Balance]]*Table1578[[#This Row],[Monthly Interest Rate]],2)</f>
        <v>0</v>
      </c>
      <c r="F84" s="3">
        <f t="shared" si="5"/>
        <v>-65</v>
      </c>
      <c r="G84" s="23">
        <f>IFERROR(IF($C$13="No","N/A",IF(Table1578[[#This Row],[Period]]=1,$C$6,PMT(InterestRate*AmortizationMultiplier/12,Table1578[[#This Row],[Am Thru]],-Table1578[[#This Row],[Beginning Balance]]))),0)</f>
        <v>0</v>
      </c>
      <c r="H84" s="3">
        <f>MAX(0,IF(C84=$C$4,D84,ROUND(IF($C$3="Fixed Principal",$C$6-Table1578[[#This Row],[Interest]],IF($C$3="Interest Only",Table1578[[#This Row],[Beginning Balance]]*ROUND(1-(1-IF($C$11="No",$E$8,1))^(1/12),6),MIN(IF($C$13="Yes",Table1578[[#This Row],[Payment Amount (Reamortized)]],$C$6)-Table1578[[#This Row],[Interest]],Table1578[[#This Row],[Beginning Balance]]))),2)))</f>
        <v>0</v>
      </c>
      <c r="I84" s="3">
        <f>_xlfn.SINGLE(IF($C$3="Line of Credit",0,ROUND(MAX(MIN(IF($C$10="No",$E$7,VLOOKUP(Table1578[[#This Row],[Period]],Forecast!$H$2:$L$1048576,4,FALSE))*Table1578[[#This Row],[Beginning Balance]],Table1578[[#This Row],[Beginning Balance]]-Table1578[[#This Row],[Principal]]),0),2)))</f>
        <v>0</v>
      </c>
      <c r="J84" s="3">
        <f>ROUND(MIN(Table1578[[#This Row],[Beginning Balance]]*IF($C$8="No",$E$3,VLOOKUP(Table1578[[#This Row],[Period]],Forecast!$H$2:$L$1048576,2,FALSE)),Table1578[[#This Row],[Beginning Balance]]-Table1578[[#This Row],[Principal]]-Table1578[[#This Row],[Prepayments]]),2)</f>
        <v>0</v>
      </c>
      <c r="K84" s="3">
        <f>ROUND(Table1578[[#This Row],[Defaulted Principal]]*IF($C$9="No",$E$4,VLOOKUP(Table1578[[#This Row],[Period]],Forecast!$H$2:$L$1048576,3,FALSE)),2)</f>
        <v>0</v>
      </c>
      <c r="L84" s="2">
        <f>Table1578[[#This Row],[Period]]+$E$9</f>
        <v>80</v>
      </c>
      <c r="M84" s="3">
        <f>Table1578[[#This Row],[Defaulted Principal]]-Table1578[[#This Row],[Estimated Loss]]</f>
        <v>0</v>
      </c>
      <c r="N84" s="3">
        <f>IFERROR(VLOOKUP(Table1578[[#This Row],[Period]],$L$16:$M$385,2,FALSE),0)</f>
        <v>0</v>
      </c>
      <c r="O84" s="3">
        <f>Table1578[[#This Row],[Beginning Balance]]-Table1578[[#This Row],[Principal]]-Table1578[[#This Row],[Prepayments]]-Table1578[[#This Row],[Defaulted Principal]]</f>
        <v>0</v>
      </c>
      <c r="P84" s="3">
        <f>Table1578[[#This Row],[Principal]]+Table1578[[#This Row],[Interest]]+Table1578[[#This Row],[Prepayments]]+Table1578[[#This Row],[RecoveredAmount]]</f>
        <v>0</v>
      </c>
      <c r="Q84" s="3">
        <f ca="1">ROUND(Table1578[[#This Row],[Cash Flow]]/((1+ActualRateToUse)^(IF(ISNUMBER(SEARCH("Actual",$C$7)),Table1578[[#This Row],[Running Total]]/365,Table1578[[#This Row],[Period]]/12))),2)</f>
        <v>0</v>
      </c>
      <c r="R84" s="2">
        <f>IF(MONTH(Table1578[[#This Row],[Date]])=2,28,DAY(DATE(YEAR(Table1578[[#This Row],[Date]]),MONTH(Table1578[[#This Row],[Date]])+1,1)-1))</f>
        <v>28</v>
      </c>
      <c r="S84" s="2">
        <f ca="1">SUM(OFFSET(Table1578[[#Headers],[Days in month]],1,0):Table1578[[#This Row],[Days in month]])</f>
        <v>2068</v>
      </c>
      <c r="T84" s="37">
        <f>InterestRate*AmortizationMultiplier*IF(ISNUMBER(SEARCH("Actual",$C$7)),Table1578[[#This Row],[Days in month]]/365,1/12)</f>
        <v>5.6311111111111119E-3</v>
      </c>
    </row>
    <row r="85" spans="2:20" x14ac:dyDescent="0.2">
      <c r="B85" s="1">
        <v>47938</v>
      </c>
      <c r="C85" s="2">
        <f t="shared" si="4"/>
        <v>69</v>
      </c>
      <c r="D85" s="3">
        <f t="shared" si="3"/>
        <v>0</v>
      </c>
      <c r="E85" s="3">
        <f>ROUND(Table1578[[#This Row],[Beginning Balance]]*Table1578[[#This Row],[Monthly Interest Rate]],2)</f>
        <v>0</v>
      </c>
      <c r="F85" s="3">
        <f t="shared" si="5"/>
        <v>-66</v>
      </c>
      <c r="G85" s="23">
        <f>IFERROR(IF($C$13="No","N/A",IF(Table1578[[#This Row],[Period]]=1,$C$6,PMT(InterestRate*AmortizationMultiplier/12,Table1578[[#This Row],[Am Thru]],-Table1578[[#This Row],[Beginning Balance]]))),0)</f>
        <v>0</v>
      </c>
      <c r="H85" s="3">
        <f>MAX(0,IF(C85=$C$4,D85,ROUND(IF($C$3="Fixed Principal",$C$6-Table1578[[#This Row],[Interest]],IF($C$3="Interest Only",Table1578[[#This Row],[Beginning Balance]]*ROUND(1-(1-IF($C$11="No",$E$8,1))^(1/12),6),MIN(IF($C$13="Yes",Table1578[[#This Row],[Payment Amount (Reamortized)]],$C$6)-Table1578[[#This Row],[Interest]],Table1578[[#This Row],[Beginning Balance]]))),2)))</f>
        <v>0</v>
      </c>
      <c r="I85" s="3">
        <f>_xlfn.SINGLE(IF($C$3="Line of Credit",0,ROUND(MAX(MIN(IF($C$10="No",$E$7,VLOOKUP(Table1578[[#This Row],[Period]],Forecast!$H$2:$L$1048576,4,FALSE))*Table1578[[#This Row],[Beginning Balance]],Table1578[[#This Row],[Beginning Balance]]-Table1578[[#This Row],[Principal]]),0),2)))</f>
        <v>0</v>
      </c>
      <c r="J85" s="3">
        <f>ROUND(MIN(Table1578[[#This Row],[Beginning Balance]]*IF($C$8="No",$E$3,VLOOKUP(Table1578[[#This Row],[Period]],Forecast!$H$2:$L$1048576,2,FALSE)),Table1578[[#This Row],[Beginning Balance]]-Table1578[[#This Row],[Principal]]-Table1578[[#This Row],[Prepayments]]),2)</f>
        <v>0</v>
      </c>
      <c r="K85" s="3">
        <f>ROUND(Table1578[[#This Row],[Defaulted Principal]]*IF($C$9="No",$E$4,VLOOKUP(Table1578[[#This Row],[Period]],Forecast!$H$2:$L$1048576,3,FALSE)),2)</f>
        <v>0</v>
      </c>
      <c r="L85" s="2">
        <f>Table1578[[#This Row],[Period]]+$E$9</f>
        <v>81</v>
      </c>
      <c r="M85" s="3">
        <f>Table1578[[#This Row],[Defaulted Principal]]-Table1578[[#This Row],[Estimated Loss]]</f>
        <v>0</v>
      </c>
      <c r="N85" s="3">
        <f>IFERROR(VLOOKUP(Table1578[[#This Row],[Period]],$L$16:$M$385,2,FALSE),0)</f>
        <v>0</v>
      </c>
      <c r="O85" s="3">
        <f>Table1578[[#This Row],[Beginning Balance]]-Table1578[[#This Row],[Principal]]-Table1578[[#This Row],[Prepayments]]-Table1578[[#This Row],[Defaulted Principal]]</f>
        <v>0</v>
      </c>
      <c r="P85" s="3">
        <f>Table1578[[#This Row],[Principal]]+Table1578[[#This Row],[Interest]]+Table1578[[#This Row],[Prepayments]]+Table1578[[#This Row],[RecoveredAmount]]</f>
        <v>0</v>
      </c>
      <c r="Q85" s="3">
        <f ca="1">ROUND(Table1578[[#This Row],[Cash Flow]]/((1+ActualRateToUse)^(IF(ISNUMBER(SEARCH("Actual",$C$7)),Table1578[[#This Row],[Running Total]]/365,Table1578[[#This Row],[Period]]/12))),2)</f>
        <v>0</v>
      </c>
      <c r="R85" s="2">
        <f>IF(MONTH(Table1578[[#This Row],[Date]])=2,28,DAY(DATE(YEAR(Table1578[[#This Row],[Date]]),MONTH(Table1578[[#This Row],[Date]])+1,1)-1))</f>
        <v>31</v>
      </c>
      <c r="S85" s="2">
        <f ca="1">SUM(OFFSET(Table1578[[#Headers],[Days in month]],1,0):Table1578[[#This Row],[Days in month]])</f>
        <v>2099</v>
      </c>
      <c r="T85" s="37">
        <f>InterestRate*AmortizationMultiplier*IF(ISNUMBER(SEARCH("Actual",$C$7)),Table1578[[#This Row],[Days in month]]/365,1/12)</f>
        <v>6.2344444444444444E-3</v>
      </c>
    </row>
    <row r="86" spans="2:20" x14ac:dyDescent="0.2">
      <c r="B86" s="1">
        <v>47968</v>
      </c>
      <c r="C86" s="2">
        <f t="shared" si="4"/>
        <v>70</v>
      </c>
      <c r="D86" s="3">
        <f t="shared" si="3"/>
        <v>0</v>
      </c>
      <c r="E86" s="3">
        <f>ROUND(Table1578[[#This Row],[Beginning Balance]]*Table1578[[#This Row],[Monthly Interest Rate]],2)</f>
        <v>0</v>
      </c>
      <c r="F86" s="3">
        <f t="shared" si="5"/>
        <v>-67</v>
      </c>
      <c r="G86" s="23">
        <f>IFERROR(IF($C$13="No","N/A",IF(Table1578[[#This Row],[Period]]=1,$C$6,PMT(InterestRate*AmortizationMultiplier/12,Table1578[[#This Row],[Am Thru]],-Table1578[[#This Row],[Beginning Balance]]))),0)</f>
        <v>0</v>
      </c>
      <c r="H86" s="3">
        <f>MAX(0,IF(C86=$C$4,D86,ROUND(IF($C$3="Fixed Principal",$C$6-Table1578[[#This Row],[Interest]],IF($C$3="Interest Only",Table1578[[#This Row],[Beginning Balance]]*ROUND(1-(1-IF($C$11="No",$E$8,1))^(1/12),6),MIN(IF($C$13="Yes",Table1578[[#This Row],[Payment Amount (Reamortized)]],$C$6)-Table1578[[#This Row],[Interest]],Table1578[[#This Row],[Beginning Balance]]))),2)))</f>
        <v>0</v>
      </c>
      <c r="I86" s="3">
        <f>_xlfn.SINGLE(IF($C$3="Line of Credit",0,ROUND(MAX(MIN(IF($C$10="No",$E$7,VLOOKUP(Table1578[[#This Row],[Period]],Forecast!$H$2:$L$1048576,4,FALSE))*Table1578[[#This Row],[Beginning Balance]],Table1578[[#This Row],[Beginning Balance]]-Table1578[[#This Row],[Principal]]),0),2)))</f>
        <v>0</v>
      </c>
      <c r="J86" s="3">
        <f>ROUND(MIN(Table1578[[#This Row],[Beginning Balance]]*IF($C$8="No",$E$3,VLOOKUP(Table1578[[#This Row],[Period]],Forecast!$H$2:$L$1048576,2,FALSE)),Table1578[[#This Row],[Beginning Balance]]-Table1578[[#This Row],[Principal]]-Table1578[[#This Row],[Prepayments]]),2)</f>
        <v>0</v>
      </c>
      <c r="K86" s="3">
        <f>ROUND(Table1578[[#This Row],[Defaulted Principal]]*IF($C$9="No",$E$4,VLOOKUP(Table1578[[#This Row],[Period]],Forecast!$H$2:$L$1048576,3,FALSE)),2)</f>
        <v>0</v>
      </c>
      <c r="L86" s="2">
        <f>Table1578[[#This Row],[Period]]+$E$9</f>
        <v>82</v>
      </c>
      <c r="M86" s="3">
        <f>Table1578[[#This Row],[Defaulted Principal]]-Table1578[[#This Row],[Estimated Loss]]</f>
        <v>0</v>
      </c>
      <c r="N86" s="3">
        <f>IFERROR(VLOOKUP(Table1578[[#This Row],[Period]],$L$16:$M$385,2,FALSE),0)</f>
        <v>0</v>
      </c>
      <c r="O86" s="3">
        <f>Table1578[[#This Row],[Beginning Balance]]-Table1578[[#This Row],[Principal]]-Table1578[[#This Row],[Prepayments]]-Table1578[[#This Row],[Defaulted Principal]]</f>
        <v>0</v>
      </c>
      <c r="P86" s="3">
        <f>Table1578[[#This Row],[Principal]]+Table1578[[#This Row],[Interest]]+Table1578[[#This Row],[Prepayments]]+Table1578[[#This Row],[RecoveredAmount]]</f>
        <v>0</v>
      </c>
      <c r="Q86" s="3">
        <f ca="1">ROUND(Table1578[[#This Row],[Cash Flow]]/((1+ActualRateToUse)^(IF(ISNUMBER(SEARCH("Actual",$C$7)),Table1578[[#This Row],[Running Total]]/365,Table1578[[#This Row],[Period]]/12))),2)</f>
        <v>0</v>
      </c>
      <c r="R86" s="2">
        <f>IF(MONTH(Table1578[[#This Row],[Date]])=2,28,DAY(DATE(YEAR(Table1578[[#This Row],[Date]]),MONTH(Table1578[[#This Row],[Date]])+1,1)-1))</f>
        <v>30</v>
      </c>
      <c r="S86" s="2">
        <f ca="1">SUM(OFFSET(Table1578[[#Headers],[Days in month]],1,0):Table1578[[#This Row],[Days in month]])</f>
        <v>2129</v>
      </c>
      <c r="T86" s="37">
        <f>InterestRate*AmortizationMultiplier*IF(ISNUMBER(SEARCH("Actual",$C$7)),Table1578[[#This Row],[Days in month]]/365,1/12)</f>
        <v>6.0333333333333333E-3</v>
      </c>
    </row>
    <row r="87" spans="2:20" x14ac:dyDescent="0.2">
      <c r="B87" s="1">
        <v>47999</v>
      </c>
      <c r="C87" s="2">
        <f t="shared" si="4"/>
        <v>71</v>
      </c>
      <c r="D87" s="3">
        <f t="shared" si="3"/>
        <v>0</v>
      </c>
      <c r="E87" s="3">
        <f>ROUND(Table1578[[#This Row],[Beginning Balance]]*Table1578[[#This Row],[Monthly Interest Rate]],2)</f>
        <v>0</v>
      </c>
      <c r="F87" s="3">
        <f t="shared" si="5"/>
        <v>-68</v>
      </c>
      <c r="G87" s="23">
        <f>IFERROR(IF($C$13="No","N/A",IF(Table1578[[#This Row],[Period]]=1,$C$6,PMT(InterestRate*AmortizationMultiplier/12,Table1578[[#This Row],[Am Thru]],-Table1578[[#This Row],[Beginning Balance]]))),0)</f>
        <v>0</v>
      </c>
      <c r="H87" s="3">
        <f>MAX(0,IF(C87=$C$4,D87,ROUND(IF($C$3="Fixed Principal",$C$6-Table1578[[#This Row],[Interest]],IF($C$3="Interest Only",Table1578[[#This Row],[Beginning Balance]]*ROUND(1-(1-IF($C$11="No",$E$8,1))^(1/12),6),MIN(IF($C$13="Yes",Table1578[[#This Row],[Payment Amount (Reamortized)]],$C$6)-Table1578[[#This Row],[Interest]],Table1578[[#This Row],[Beginning Balance]]))),2)))</f>
        <v>0</v>
      </c>
      <c r="I87" s="3">
        <f>_xlfn.SINGLE(IF($C$3="Line of Credit",0,ROUND(MAX(MIN(IF($C$10="No",$E$7,VLOOKUP(Table1578[[#This Row],[Period]],Forecast!$H$2:$L$1048576,4,FALSE))*Table1578[[#This Row],[Beginning Balance]],Table1578[[#This Row],[Beginning Balance]]-Table1578[[#This Row],[Principal]]),0),2)))</f>
        <v>0</v>
      </c>
      <c r="J87" s="3">
        <f>ROUND(MIN(Table1578[[#This Row],[Beginning Balance]]*IF($C$8="No",$E$3,VLOOKUP(Table1578[[#This Row],[Period]],Forecast!$H$2:$L$1048576,2,FALSE)),Table1578[[#This Row],[Beginning Balance]]-Table1578[[#This Row],[Principal]]-Table1578[[#This Row],[Prepayments]]),2)</f>
        <v>0</v>
      </c>
      <c r="K87" s="3">
        <f>ROUND(Table1578[[#This Row],[Defaulted Principal]]*IF($C$9="No",$E$4,VLOOKUP(Table1578[[#This Row],[Period]],Forecast!$H$2:$L$1048576,3,FALSE)),2)</f>
        <v>0</v>
      </c>
      <c r="L87" s="2">
        <f>Table1578[[#This Row],[Period]]+$E$9</f>
        <v>83</v>
      </c>
      <c r="M87" s="3">
        <f>Table1578[[#This Row],[Defaulted Principal]]-Table1578[[#This Row],[Estimated Loss]]</f>
        <v>0</v>
      </c>
      <c r="N87" s="3">
        <f>IFERROR(VLOOKUP(Table1578[[#This Row],[Period]],$L$16:$M$385,2,FALSE),0)</f>
        <v>0</v>
      </c>
      <c r="O87" s="3">
        <f>Table1578[[#This Row],[Beginning Balance]]-Table1578[[#This Row],[Principal]]-Table1578[[#This Row],[Prepayments]]-Table1578[[#This Row],[Defaulted Principal]]</f>
        <v>0</v>
      </c>
      <c r="P87" s="3">
        <f>Table1578[[#This Row],[Principal]]+Table1578[[#This Row],[Interest]]+Table1578[[#This Row],[Prepayments]]+Table1578[[#This Row],[RecoveredAmount]]</f>
        <v>0</v>
      </c>
      <c r="Q87" s="3">
        <f ca="1">ROUND(Table1578[[#This Row],[Cash Flow]]/((1+ActualRateToUse)^(IF(ISNUMBER(SEARCH("Actual",$C$7)),Table1578[[#This Row],[Running Total]]/365,Table1578[[#This Row],[Period]]/12))),2)</f>
        <v>0</v>
      </c>
      <c r="R87" s="2">
        <f>IF(MONTH(Table1578[[#This Row],[Date]])=2,28,DAY(DATE(YEAR(Table1578[[#This Row],[Date]]),MONTH(Table1578[[#This Row],[Date]])+1,1)-1))</f>
        <v>31</v>
      </c>
      <c r="S87" s="2">
        <f ca="1">SUM(OFFSET(Table1578[[#Headers],[Days in month]],1,0):Table1578[[#This Row],[Days in month]])</f>
        <v>2160</v>
      </c>
      <c r="T87" s="37">
        <f>InterestRate*AmortizationMultiplier*IF(ISNUMBER(SEARCH("Actual",$C$7)),Table1578[[#This Row],[Days in month]]/365,1/12)</f>
        <v>6.2344444444444444E-3</v>
      </c>
    </row>
    <row r="88" spans="2:20" x14ac:dyDescent="0.2">
      <c r="B88" s="1">
        <v>48029</v>
      </c>
      <c r="C88" s="2">
        <f t="shared" si="4"/>
        <v>72</v>
      </c>
      <c r="D88" s="3">
        <f t="shared" si="3"/>
        <v>0</v>
      </c>
      <c r="E88" s="3">
        <f>ROUND(Table1578[[#This Row],[Beginning Balance]]*Table1578[[#This Row],[Monthly Interest Rate]],2)</f>
        <v>0</v>
      </c>
      <c r="F88" s="3">
        <f t="shared" si="5"/>
        <v>-69</v>
      </c>
      <c r="G88" s="23">
        <f>IFERROR(IF($C$13="No","N/A",IF(Table1578[[#This Row],[Period]]=1,$C$6,PMT(InterestRate*AmortizationMultiplier/12,Table1578[[#This Row],[Am Thru]],-Table1578[[#This Row],[Beginning Balance]]))),0)</f>
        <v>0</v>
      </c>
      <c r="H88" s="3">
        <f>MAX(0,IF(C88=$C$4,D88,ROUND(IF($C$3="Fixed Principal",$C$6-Table1578[[#This Row],[Interest]],IF($C$3="Interest Only",Table1578[[#This Row],[Beginning Balance]]*ROUND(1-(1-IF($C$11="No",$E$8,1))^(1/12),6),MIN(IF($C$13="Yes",Table1578[[#This Row],[Payment Amount (Reamortized)]],$C$6)-Table1578[[#This Row],[Interest]],Table1578[[#This Row],[Beginning Balance]]))),2)))</f>
        <v>0</v>
      </c>
      <c r="I88" s="3">
        <f>_xlfn.SINGLE(IF($C$3="Line of Credit",0,ROUND(MAX(MIN(IF($C$10="No",$E$7,VLOOKUP(Table1578[[#This Row],[Period]],Forecast!$H$2:$L$1048576,4,FALSE))*Table1578[[#This Row],[Beginning Balance]],Table1578[[#This Row],[Beginning Balance]]-Table1578[[#This Row],[Principal]]),0),2)))</f>
        <v>0</v>
      </c>
      <c r="J88" s="3">
        <f>ROUND(MIN(Table1578[[#This Row],[Beginning Balance]]*IF($C$8="No",$E$3,VLOOKUP(Table1578[[#This Row],[Period]],Forecast!$H$2:$L$1048576,2,FALSE)),Table1578[[#This Row],[Beginning Balance]]-Table1578[[#This Row],[Principal]]-Table1578[[#This Row],[Prepayments]]),2)</f>
        <v>0</v>
      </c>
      <c r="K88" s="3">
        <f>ROUND(Table1578[[#This Row],[Defaulted Principal]]*IF($C$9="No",$E$4,VLOOKUP(Table1578[[#This Row],[Period]],Forecast!$H$2:$L$1048576,3,FALSE)),2)</f>
        <v>0</v>
      </c>
      <c r="L88" s="2">
        <f>Table1578[[#This Row],[Period]]+$E$9</f>
        <v>84</v>
      </c>
      <c r="M88" s="3">
        <f>Table1578[[#This Row],[Defaulted Principal]]-Table1578[[#This Row],[Estimated Loss]]</f>
        <v>0</v>
      </c>
      <c r="N88" s="3">
        <f>IFERROR(VLOOKUP(Table1578[[#This Row],[Period]],$L$16:$M$385,2,FALSE),0)</f>
        <v>0</v>
      </c>
      <c r="O88" s="3">
        <f>Table1578[[#This Row],[Beginning Balance]]-Table1578[[#This Row],[Principal]]-Table1578[[#This Row],[Prepayments]]-Table1578[[#This Row],[Defaulted Principal]]</f>
        <v>0</v>
      </c>
      <c r="P88" s="3">
        <f>Table1578[[#This Row],[Principal]]+Table1578[[#This Row],[Interest]]+Table1578[[#This Row],[Prepayments]]+Table1578[[#This Row],[RecoveredAmount]]</f>
        <v>0</v>
      </c>
      <c r="Q88" s="3">
        <f ca="1">ROUND(Table1578[[#This Row],[Cash Flow]]/((1+ActualRateToUse)^(IF(ISNUMBER(SEARCH("Actual",$C$7)),Table1578[[#This Row],[Running Total]]/365,Table1578[[#This Row],[Period]]/12))),2)</f>
        <v>0</v>
      </c>
      <c r="R88" s="2">
        <f>IF(MONTH(Table1578[[#This Row],[Date]])=2,28,DAY(DATE(YEAR(Table1578[[#This Row],[Date]]),MONTH(Table1578[[#This Row],[Date]])+1,1)-1))</f>
        <v>30</v>
      </c>
      <c r="S88" s="2">
        <f ca="1">SUM(OFFSET(Table1578[[#Headers],[Days in month]],1,0):Table1578[[#This Row],[Days in month]])</f>
        <v>2190</v>
      </c>
      <c r="T88" s="37">
        <f>InterestRate*AmortizationMultiplier*IF(ISNUMBER(SEARCH("Actual",$C$7)),Table1578[[#This Row],[Days in month]]/365,1/12)</f>
        <v>6.0333333333333333E-3</v>
      </c>
    </row>
    <row r="89" spans="2:20" x14ac:dyDescent="0.2">
      <c r="B89" s="1">
        <v>48060</v>
      </c>
      <c r="C89" s="2">
        <f t="shared" si="4"/>
        <v>73</v>
      </c>
      <c r="D89" s="3">
        <f t="shared" si="3"/>
        <v>0</v>
      </c>
      <c r="E89" s="3">
        <f>ROUND(Table1578[[#This Row],[Beginning Balance]]*Table1578[[#This Row],[Monthly Interest Rate]],2)</f>
        <v>0</v>
      </c>
      <c r="F89" s="3">
        <f t="shared" si="5"/>
        <v>-70</v>
      </c>
      <c r="G89" s="23">
        <f>IFERROR(IF($C$13="No","N/A",IF(Table1578[[#This Row],[Period]]=1,$C$6,PMT(InterestRate*AmortizationMultiplier/12,Table1578[[#This Row],[Am Thru]],-Table1578[[#This Row],[Beginning Balance]]))),0)</f>
        <v>0</v>
      </c>
      <c r="H89" s="3">
        <f>MAX(0,IF(C89=$C$4,D89,ROUND(IF($C$3="Fixed Principal",$C$6-Table1578[[#This Row],[Interest]],IF($C$3="Interest Only",Table1578[[#This Row],[Beginning Balance]]*ROUND(1-(1-IF($C$11="No",$E$8,1))^(1/12),6),MIN(IF($C$13="Yes",Table1578[[#This Row],[Payment Amount (Reamortized)]],$C$6)-Table1578[[#This Row],[Interest]],Table1578[[#This Row],[Beginning Balance]]))),2)))</f>
        <v>0</v>
      </c>
      <c r="I89" s="3">
        <f>_xlfn.SINGLE(IF($C$3="Line of Credit",0,ROUND(MAX(MIN(IF($C$10="No",$E$7,VLOOKUP(Table1578[[#This Row],[Period]],Forecast!$H$2:$L$1048576,4,FALSE))*Table1578[[#This Row],[Beginning Balance]],Table1578[[#This Row],[Beginning Balance]]-Table1578[[#This Row],[Principal]]),0),2)))</f>
        <v>0</v>
      </c>
      <c r="J89" s="3">
        <f>ROUND(MIN(Table1578[[#This Row],[Beginning Balance]]*IF($C$8="No",$E$3,VLOOKUP(Table1578[[#This Row],[Period]],Forecast!$H$2:$L$1048576,2,FALSE)),Table1578[[#This Row],[Beginning Balance]]-Table1578[[#This Row],[Principal]]-Table1578[[#This Row],[Prepayments]]),2)</f>
        <v>0</v>
      </c>
      <c r="K89" s="3">
        <f>ROUND(Table1578[[#This Row],[Defaulted Principal]]*IF($C$9="No",$E$4,VLOOKUP(Table1578[[#This Row],[Period]],Forecast!$H$2:$L$1048576,3,FALSE)),2)</f>
        <v>0</v>
      </c>
      <c r="L89" s="2">
        <f>Table1578[[#This Row],[Period]]+$E$9</f>
        <v>85</v>
      </c>
      <c r="M89" s="3">
        <f>Table1578[[#This Row],[Defaulted Principal]]-Table1578[[#This Row],[Estimated Loss]]</f>
        <v>0</v>
      </c>
      <c r="N89" s="3">
        <f>IFERROR(VLOOKUP(Table1578[[#This Row],[Period]],$L$16:$M$385,2,FALSE),0)</f>
        <v>0</v>
      </c>
      <c r="O89" s="3">
        <f>Table1578[[#This Row],[Beginning Balance]]-Table1578[[#This Row],[Principal]]-Table1578[[#This Row],[Prepayments]]-Table1578[[#This Row],[Defaulted Principal]]</f>
        <v>0</v>
      </c>
      <c r="P89" s="3">
        <f>Table1578[[#This Row],[Principal]]+Table1578[[#This Row],[Interest]]+Table1578[[#This Row],[Prepayments]]+Table1578[[#This Row],[RecoveredAmount]]</f>
        <v>0</v>
      </c>
      <c r="Q89" s="3">
        <f ca="1">ROUND(Table1578[[#This Row],[Cash Flow]]/((1+ActualRateToUse)^(IF(ISNUMBER(SEARCH("Actual",$C$7)),Table1578[[#This Row],[Running Total]]/365,Table1578[[#This Row],[Period]]/12))),2)</f>
        <v>0</v>
      </c>
      <c r="R89" s="2">
        <f>IF(MONTH(Table1578[[#This Row],[Date]])=2,28,DAY(DATE(YEAR(Table1578[[#This Row],[Date]]),MONTH(Table1578[[#This Row],[Date]])+1,1)-1))</f>
        <v>31</v>
      </c>
      <c r="S89" s="2">
        <f ca="1">SUM(OFFSET(Table1578[[#Headers],[Days in month]],1,0):Table1578[[#This Row],[Days in month]])</f>
        <v>2221</v>
      </c>
      <c r="T89" s="37">
        <f>InterestRate*AmortizationMultiplier*IF(ISNUMBER(SEARCH("Actual",$C$7)),Table1578[[#This Row],[Days in month]]/365,1/12)</f>
        <v>6.2344444444444444E-3</v>
      </c>
    </row>
    <row r="90" spans="2:20" x14ac:dyDescent="0.2">
      <c r="B90" s="1">
        <v>48091</v>
      </c>
      <c r="C90" s="2">
        <f t="shared" si="4"/>
        <v>74</v>
      </c>
      <c r="D90" s="3">
        <f t="shared" si="3"/>
        <v>0</v>
      </c>
      <c r="E90" s="3">
        <f>ROUND(Table1578[[#This Row],[Beginning Balance]]*Table1578[[#This Row],[Monthly Interest Rate]],2)</f>
        <v>0</v>
      </c>
      <c r="F90" s="3">
        <f t="shared" si="5"/>
        <v>-71</v>
      </c>
      <c r="G90" s="23">
        <f>IFERROR(IF($C$13="No","N/A",IF(Table1578[[#This Row],[Period]]=1,$C$6,PMT(InterestRate*AmortizationMultiplier/12,Table1578[[#This Row],[Am Thru]],-Table1578[[#This Row],[Beginning Balance]]))),0)</f>
        <v>0</v>
      </c>
      <c r="H90" s="3">
        <f>MAX(0,IF(C90=$C$4,D90,ROUND(IF($C$3="Fixed Principal",$C$6-Table1578[[#This Row],[Interest]],IF($C$3="Interest Only",Table1578[[#This Row],[Beginning Balance]]*ROUND(1-(1-IF($C$11="No",$E$8,1))^(1/12),6),MIN(IF($C$13="Yes",Table1578[[#This Row],[Payment Amount (Reamortized)]],$C$6)-Table1578[[#This Row],[Interest]],Table1578[[#This Row],[Beginning Balance]]))),2)))</f>
        <v>0</v>
      </c>
      <c r="I90" s="3">
        <f>_xlfn.SINGLE(IF($C$3="Line of Credit",0,ROUND(MAX(MIN(IF($C$10="No",$E$7,VLOOKUP(Table1578[[#This Row],[Period]],Forecast!$H$2:$L$1048576,4,FALSE))*Table1578[[#This Row],[Beginning Balance]],Table1578[[#This Row],[Beginning Balance]]-Table1578[[#This Row],[Principal]]),0),2)))</f>
        <v>0</v>
      </c>
      <c r="J90" s="3">
        <f>ROUND(MIN(Table1578[[#This Row],[Beginning Balance]]*IF($C$8="No",$E$3,VLOOKUP(Table1578[[#This Row],[Period]],Forecast!$H$2:$L$1048576,2,FALSE)),Table1578[[#This Row],[Beginning Balance]]-Table1578[[#This Row],[Principal]]-Table1578[[#This Row],[Prepayments]]),2)</f>
        <v>0</v>
      </c>
      <c r="K90" s="3">
        <f>ROUND(Table1578[[#This Row],[Defaulted Principal]]*IF($C$9="No",$E$4,VLOOKUP(Table1578[[#This Row],[Period]],Forecast!$H$2:$L$1048576,3,FALSE)),2)</f>
        <v>0</v>
      </c>
      <c r="L90" s="2">
        <f>Table1578[[#This Row],[Period]]+$E$9</f>
        <v>86</v>
      </c>
      <c r="M90" s="3">
        <f>Table1578[[#This Row],[Defaulted Principal]]-Table1578[[#This Row],[Estimated Loss]]</f>
        <v>0</v>
      </c>
      <c r="N90" s="3">
        <f>IFERROR(VLOOKUP(Table1578[[#This Row],[Period]],$L$16:$M$385,2,FALSE),0)</f>
        <v>0</v>
      </c>
      <c r="O90" s="3">
        <f>Table1578[[#This Row],[Beginning Balance]]-Table1578[[#This Row],[Principal]]-Table1578[[#This Row],[Prepayments]]-Table1578[[#This Row],[Defaulted Principal]]</f>
        <v>0</v>
      </c>
      <c r="P90" s="3">
        <f>Table1578[[#This Row],[Principal]]+Table1578[[#This Row],[Interest]]+Table1578[[#This Row],[Prepayments]]+Table1578[[#This Row],[RecoveredAmount]]</f>
        <v>0</v>
      </c>
      <c r="Q90" s="3">
        <f ca="1">ROUND(Table1578[[#This Row],[Cash Flow]]/((1+ActualRateToUse)^(IF(ISNUMBER(SEARCH("Actual",$C$7)),Table1578[[#This Row],[Running Total]]/365,Table1578[[#This Row],[Period]]/12))),2)</f>
        <v>0</v>
      </c>
      <c r="R90" s="2">
        <f>IF(MONTH(Table1578[[#This Row],[Date]])=2,28,DAY(DATE(YEAR(Table1578[[#This Row],[Date]]),MONTH(Table1578[[#This Row],[Date]])+1,1)-1))</f>
        <v>31</v>
      </c>
      <c r="S90" s="2">
        <f ca="1">SUM(OFFSET(Table1578[[#Headers],[Days in month]],1,0):Table1578[[#This Row],[Days in month]])</f>
        <v>2252</v>
      </c>
      <c r="T90" s="37">
        <f>InterestRate*AmortizationMultiplier*IF(ISNUMBER(SEARCH("Actual",$C$7)),Table1578[[#This Row],[Days in month]]/365,1/12)</f>
        <v>6.2344444444444444E-3</v>
      </c>
    </row>
    <row r="91" spans="2:20" x14ac:dyDescent="0.2">
      <c r="B91" s="1">
        <v>48121</v>
      </c>
      <c r="C91" s="2">
        <f t="shared" si="4"/>
        <v>75</v>
      </c>
      <c r="D91" s="3">
        <f t="shared" si="3"/>
        <v>0</v>
      </c>
      <c r="E91" s="3">
        <f>ROUND(Table1578[[#This Row],[Beginning Balance]]*Table1578[[#This Row],[Monthly Interest Rate]],2)</f>
        <v>0</v>
      </c>
      <c r="F91" s="3">
        <f t="shared" si="5"/>
        <v>-72</v>
      </c>
      <c r="G91" s="23">
        <f>IFERROR(IF($C$13="No","N/A",IF(Table1578[[#This Row],[Period]]=1,$C$6,PMT(InterestRate*AmortizationMultiplier/12,Table1578[[#This Row],[Am Thru]],-Table1578[[#This Row],[Beginning Balance]]))),0)</f>
        <v>0</v>
      </c>
      <c r="H91" s="3">
        <f>MAX(0,IF(C91=$C$4,D91,ROUND(IF($C$3="Fixed Principal",$C$6-Table1578[[#This Row],[Interest]],IF($C$3="Interest Only",Table1578[[#This Row],[Beginning Balance]]*ROUND(1-(1-IF($C$11="No",$E$8,1))^(1/12),6),MIN(IF($C$13="Yes",Table1578[[#This Row],[Payment Amount (Reamortized)]],$C$6)-Table1578[[#This Row],[Interest]],Table1578[[#This Row],[Beginning Balance]]))),2)))</f>
        <v>0</v>
      </c>
      <c r="I91" s="3">
        <f>_xlfn.SINGLE(IF($C$3="Line of Credit",0,ROUND(MAX(MIN(IF($C$10="No",$E$7,VLOOKUP(Table1578[[#This Row],[Period]],Forecast!$H$2:$L$1048576,4,FALSE))*Table1578[[#This Row],[Beginning Balance]],Table1578[[#This Row],[Beginning Balance]]-Table1578[[#This Row],[Principal]]),0),2)))</f>
        <v>0</v>
      </c>
      <c r="J91" s="3">
        <f>ROUND(MIN(Table1578[[#This Row],[Beginning Balance]]*IF($C$8="No",$E$3,VLOOKUP(Table1578[[#This Row],[Period]],Forecast!$H$2:$L$1048576,2,FALSE)),Table1578[[#This Row],[Beginning Balance]]-Table1578[[#This Row],[Principal]]-Table1578[[#This Row],[Prepayments]]),2)</f>
        <v>0</v>
      </c>
      <c r="K91" s="3">
        <f>ROUND(Table1578[[#This Row],[Defaulted Principal]]*IF($C$9="No",$E$4,VLOOKUP(Table1578[[#This Row],[Period]],Forecast!$H$2:$L$1048576,3,FALSE)),2)</f>
        <v>0</v>
      </c>
      <c r="L91" s="2">
        <f>Table1578[[#This Row],[Period]]+$E$9</f>
        <v>87</v>
      </c>
      <c r="M91" s="3">
        <f>Table1578[[#This Row],[Defaulted Principal]]-Table1578[[#This Row],[Estimated Loss]]</f>
        <v>0</v>
      </c>
      <c r="N91" s="3">
        <f>IFERROR(VLOOKUP(Table1578[[#This Row],[Period]],$L$16:$M$385,2,FALSE),0)</f>
        <v>0</v>
      </c>
      <c r="O91" s="3">
        <f>Table1578[[#This Row],[Beginning Balance]]-Table1578[[#This Row],[Principal]]-Table1578[[#This Row],[Prepayments]]-Table1578[[#This Row],[Defaulted Principal]]</f>
        <v>0</v>
      </c>
      <c r="P91" s="3">
        <f>Table1578[[#This Row],[Principal]]+Table1578[[#This Row],[Interest]]+Table1578[[#This Row],[Prepayments]]+Table1578[[#This Row],[RecoveredAmount]]</f>
        <v>0</v>
      </c>
      <c r="Q91" s="3">
        <f ca="1">ROUND(Table1578[[#This Row],[Cash Flow]]/((1+ActualRateToUse)^(IF(ISNUMBER(SEARCH("Actual",$C$7)),Table1578[[#This Row],[Running Total]]/365,Table1578[[#This Row],[Period]]/12))),2)</f>
        <v>0</v>
      </c>
      <c r="R91" s="2">
        <f>IF(MONTH(Table1578[[#This Row],[Date]])=2,28,DAY(DATE(YEAR(Table1578[[#This Row],[Date]]),MONTH(Table1578[[#This Row],[Date]])+1,1)-1))</f>
        <v>30</v>
      </c>
      <c r="S91" s="2">
        <f ca="1">SUM(OFFSET(Table1578[[#Headers],[Days in month]],1,0):Table1578[[#This Row],[Days in month]])</f>
        <v>2282</v>
      </c>
      <c r="T91" s="37">
        <f>InterestRate*AmortizationMultiplier*IF(ISNUMBER(SEARCH("Actual",$C$7)),Table1578[[#This Row],[Days in month]]/365,1/12)</f>
        <v>6.0333333333333333E-3</v>
      </c>
    </row>
    <row r="92" spans="2:20" x14ac:dyDescent="0.2">
      <c r="B92" s="1">
        <v>48152</v>
      </c>
      <c r="C92" s="2">
        <f t="shared" si="4"/>
        <v>76</v>
      </c>
      <c r="D92" s="3">
        <f t="shared" si="3"/>
        <v>0</v>
      </c>
      <c r="E92" s="3">
        <f>ROUND(Table1578[[#This Row],[Beginning Balance]]*Table1578[[#This Row],[Monthly Interest Rate]],2)</f>
        <v>0</v>
      </c>
      <c r="F92" s="3">
        <f t="shared" si="5"/>
        <v>-73</v>
      </c>
      <c r="G92" s="23">
        <f>IFERROR(IF($C$13="No","N/A",IF(Table1578[[#This Row],[Period]]=1,$C$6,PMT(InterestRate*AmortizationMultiplier/12,Table1578[[#This Row],[Am Thru]],-Table1578[[#This Row],[Beginning Balance]]))),0)</f>
        <v>0</v>
      </c>
      <c r="H92" s="3">
        <f>MAX(0,IF(C92=$C$4,D92,ROUND(IF($C$3="Fixed Principal",$C$6-Table1578[[#This Row],[Interest]],IF($C$3="Interest Only",Table1578[[#This Row],[Beginning Balance]]*ROUND(1-(1-IF($C$11="No",$E$8,1))^(1/12),6),MIN(IF($C$13="Yes",Table1578[[#This Row],[Payment Amount (Reamortized)]],$C$6)-Table1578[[#This Row],[Interest]],Table1578[[#This Row],[Beginning Balance]]))),2)))</f>
        <v>0</v>
      </c>
      <c r="I92" s="3">
        <f>_xlfn.SINGLE(IF($C$3="Line of Credit",0,ROUND(MAX(MIN(IF($C$10="No",$E$7,VLOOKUP(Table1578[[#This Row],[Period]],Forecast!$H$2:$L$1048576,4,FALSE))*Table1578[[#This Row],[Beginning Balance]],Table1578[[#This Row],[Beginning Balance]]-Table1578[[#This Row],[Principal]]),0),2)))</f>
        <v>0</v>
      </c>
      <c r="J92" s="3">
        <f>ROUND(MIN(Table1578[[#This Row],[Beginning Balance]]*IF($C$8="No",$E$3,VLOOKUP(Table1578[[#This Row],[Period]],Forecast!$H$2:$L$1048576,2,FALSE)),Table1578[[#This Row],[Beginning Balance]]-Table1578[[#This Row],[Principal]]-Table1578[[#This Row],[Prepayments]]),2)</f>
        <v>0</v>
      </c>
      <c r="K92" s="3">
        <f>ROUND(Table1578[[#This Row],[Defaulted Principal]]*IF($C$9="No",$E$4,VLOOKUP(Table1578[[#This Row],[Period]],Forecast!$H$2:$L$1048576,3,FALSE)),2)</f>
        <v>0</v>
      </c>
      <c r="L92" s="2">
        <f>Table1578[[#This Row],[Period]]+$E$9</f>
        <v>88</v>
      </c>
      <c r="M92" s="3">
        <f>Table1578[[#This Row],[Defaulted Principal]]-Table1578[[#This Row],[Estimated Loss]]</f>
        <v>0</v>
      </c>
      <c r="N92" s="3">
        <f>IFERROR(VLOOKUP(Table1578[[#This Row],[Period]],$L$16:$M$385,2,FALSE),0)</f>
        <v>0</v>
      </c>
      <c r="O92" s="3">
        <f>Table1578[[#This Row],[Beginning Balance]]-Table1578[[#This Row],[Principal]]-Table1578[[#This Row],[Prepayments]]-Table1578[[#This Row],[Defaulted Principal]]</f>
        <v>0</v>
      </c>
      <c r="P92" s="3">
        <f>Table1578[[#This Row],[Principal]]+Table1578[[#This Row],[Interest]]+Table1578[[#This Row],[Prepayments]]+Table1578[[#This Row],[RecoveredAmount]]</f>
        <v>0</v>
      </c>
      <c r="Q92" s="3">
        <f ca="1">ROUND(Table1578[[#This Row],[Cash Flow]]/((1+ActualRateToUse)^(IF(ISNUMBER(SEARCH("Actual",$C$7)),Table1578[[#This Row],[Running Total]]/365,Table1578[[#This Row],[Period]]/12))),2)</f>
        <v>0</v>
      </c>
      <c r="R92" s="2">
        <f>IF(MONTH(Table1578[[#This Row],[Date]])=2,28,DAY(DATE(YEAR(Table1578[[#This Row],[Date]]),MONTH(Table1578[[#This Row],[Date]])+1,1)-1))</f>
        <v>31</v>
      </c>
      <c r="S92" s="2">
        <f ca="1">SUM(OFFSET(Table1578[[#Headers],[Days in month]],1,0):Table1578[[#This Row],[Days in month]])</f>
        <v>2313</v>
      </c>
      <c r="T92" s="37">
        <f>InterestRate*AmortizationMultiplier*IF(ISNUMBER(SEARCH("Actual",$C$7)),Table1578[[#This Row],[Days in month]]/365,1/12)</f>
        <v>6.2344444444444444E-3</v>
      </c>
    </row>
    <row r="93" spans="2:20" x14ac:dyDescent="0.2">
      <c r="B93" s="1">
        <v>48182</v>
      </c>
      <c r="C93" s="2">
        <f t="shared" si="4"/>
        <v>77</v>
      </c>
      <c r="D93" s="3">
        <f t="shared" si="3"/>
        <v>0</v>
      </c>
      <c r="E93" s="3">
        <f>ROUND(Table1578[[#This Row],[Beginning Balance]]*Table1578[[#This Row],[Monthly Interest Rate]],2)</f>
        <v>0</v>
      </c>
      <c r="F93" s="3">
        <f t="shared" si="5"/>
        <v>-74</v>
      </c>
      <c r="G93" s="23">
        <f>IFERROR(IF($C$13="No","N/A",IF(Table1578[[#This Row],[Period]]=1,$C$6,PMT(InterestRate*AmortizationMultiplier/12,Table1578[[#This Row],[Am Thru]],-Table1578[[#This Row],[Beginning Balance]]))),0)</f>
        <v>0</v>
      </c>
      <c r="H93" s="3">
        <f>MAX(0,IF(C93=$C$4,D93,ROUND(IF($C$3="Fixed Principal",$C$6-Table1578[[#This Row],[Interest]],IF($C$3="Interest Only",Table1578[[#This Row],[Beginning Balance]]*ROUND(1-(1-IF($C$11="No",$E$8,1))^(1/12),6),MIN(IF($C$13="Yes",Table1578[[#This Row],[Payment Amount (Reamortized)]],$C$6)-Table1578[[#This Row],[Interest]],Table1578[[#This Row],[Beginning Balance]]))),2)))</f>
        <v>0</v>
      </c>
      <c r="I93" s="3">
        <f>_xlfn.SINGLE(IF($C$3="Line of Credit",0,ROUND(MAX(MIN(IF($C$10="No",$E$7,VLOOKUP(Table1578[[#This Row],[Period]],Forecast!$H$2:$L$1048576,4,FALSE))*Table1578[[#This Row],[Beginning Balance]],Table1578[[#This Row],[Beginning Balance]]-Table1578[[#This Row],[Principal]]),0),2)))</f>
        <v>0</v>
      </c>
      <c r="J93" s="3">
        <f>ROUND(MIN(Table1578[[#This Row],[Beginning Balance]]*IF($C$8="No",$E$3,VLOOKUP(Table1578[[#This Row],[Period]],Forecast!$H$2:$L$1048576,2,FALSE)),Table1578[[#This Row],[Beginning Balance]]-Table1578[[#This Row],[Principal]]-Table1578[[#This Row],[Prepayments]]),2)</f>
        <v>0</v>
      </c>
      <c r="K93" s="3">
        <f>ROUND(Table1578[[#This Row],[Defaulted Principal]]*IF($C$9="No",$E$4,VLOOKUP(Table1578[[#This Row],[Period]],Forecast!$H$2:$L$1048576,3,FALSE)),2)</f>
        <v>0</v>
      </c>
      <c r="L93" s="2">
        <f>Table1578[[#This Row],[Period]]+$E$9</f>
        <v>89</v>
      </c>
      <c r="M93" s="3">
        <f>Table1578[[#This Row],[Defaulted Principal]]-Table1578[[#This Row],[Estimated Loss]]</f>
        <v>0</v>
      </c>
      <c r="N93" s="3">
        <f>IFERROR(VLOOKUP(Table1578[[#This Row],[Period]],$L$16:$M$385,2,FALSE),0)</f>
        <v>0</v>
      </c>
      <c r="O93" s="3">
        <f>Table1578[[#This Row],[Beginning Balance]]-Table1578[[#This Row],[Principal]]-Table1578[[#This Row],[Prepayments]]-Table1578[[#This Row],[Defaulted Principal]]</f>
        <v>0</v>
      </c>
      <c r="P93" s="3">
        <f>Table1578[[#This Row],[Principal]]+Table1578[[#This Row],[Interest]]+Table1578[[#This Row],[Prepayments]]+Table1578[[#This Row],[RecoveredAmount]]</f>
        <v>0</v>
      </c>
      <c r="Q93" s="3">
        <f ca="1">ROUND(Table1578[[#This Row],[Cash Flow]]/((1+ActualRateToUse)^(IF(ISNUMBER(SEARCH("Actual",$C$7)),Table1578[[#This Row],[Running Total]]/365,Table1578[[#This Row],[Period]]/12))),2)</f>
        <v>0</v>
      </c>
      <c r="R93" s="2">
        <f>IF(MONTH(Table1578[[#This Row],[Date]])=2,28,DAY(DATE(YEAR(Table1578[[#This Row],[Date]]),MONTH(Table1578[[#This Row],[Date]])+1,1)-1))</f>
        <v>30</v>
      </c>
      <c r="S93" s="2">
        <f ca="1">SUM(OFFSET(Table1578[[#Headers],[Days in month]],1,0):Table1578[[#This Row],[Days in month]])</f>
        <v>2343</v>
      </c>
      <c r="T93" s="37">
        <f>InterestRate*AmortizationMultiplier*IF(ISNUMBER(SEARCH("Actual",$C$7)),Table1578[[#This Row],[Days in month]]/365,1/12)</f>
        <v>6.0333333333333333E-3</v>
      </c>
    </row>
    <row r="94" spans="2:20" x14ac:dyDescent="0.2">
      <c r="B94" s="1">
        <v>48213</v>
      </c>
      <c r="C94" s="2">
        <f t="shared" si="4"/>
        <v>78</v>
      </c>
      <c r="D94" s="3">
        <f t="shared" si="3"/>
        <v>0</v>
      </c>
      <c r="E94" s="3">
        <f>ROUND(Table1578[[#This Row],[Beginning Balance]]*Table1578[[#This Row],[Monthly Interest Rate]],2)</f>
        <v>0</v>
      </c>
      <c r="F94" s="3">
        <f t="shared" si="5"/>
        <v>-75</v>
      </c>
      <c r="G94" s="23">
        <f>IFERROR(IF($C$13="No","N/A",IF(Table1578[[#This Row],[Period]]=1,$C$6,PMT(InterestRate*AmortizationMultiplier/12,Table1578[[#This Row],[Am Thru]],-Table1578[[#This Row],[Beginning Balance]]))),0)</f>
        <v>0</v>
      </c>
      <c r="H94" s="3">
        <f>MAX(0,IF(C94=$C$4,D94,ROUND(IF($C$3="Fixed Principal",$C$6-Table1578[[#This Row],[Interest]],IF($C$3="Interest Only",Table1578[[#This Row],[Beginning Balance]]*ROUND(1-(1-IF($C$11="No",$E$8,1))^(1/12),6),MIN(IF($C$13="Yes",Table1578[[#This Row],[Payment Amount (Reamortized)]],$C$6)-Table1578[[#This Row],[Interest]],Table1578[[#This Row],[Beginning Balance]]))),2)))</f>
        <v>0</v>
      </c>
      <c r="I94" s="3">
        <f>_xlfn.SINGLE(IF($C$3="Line of Credit",0,ROUND(MAX(MIN(IF($C$10="No",$E$7,VLOOKUP(Table1578[[#This Row],[Period]],Forecast!$H$2:$L$1048576,4,FALSE))*Table1578[[#This Row],[Beginning Balance]],Table1578[[#This Row],[Beginning Balance]]-Table1578[[#This Row],[Principal]]),0),2)))</f>
        <v>0</v>
      </c>
      <c r="J94" s="3">
        <f>ROUND(MIN(Table1578[[#This Row],[Beginning Balance]]*IF($C$8="No",$E$3,VLOOKUP(Table1578[[#This Row],[Period]],Forecast!$H$2:$L$1048576,2,FALSE)),Table1578[[#This Row],[Beginning Balance]]-Table1578[[#This Row],[Principal]]-Table1578[[#This Row],[Prepayments]]),2)</f>
        <v>0</v>
      </c>
      <c r="K94" s="3">
        <f>ROUND(Table1578[[#This Row],[Defaulted Principal]]*IF($C$9="No",$E$4,VLOOKUP(Table1578[[#This Row],[Period]],Forecast!$H$2:$L$1048576,3,FALSE)),2)</f>
        <v>0</v>
      </c>
      <c r="L94" s="2">
        <f>Table1578[[#This Row],[Period]]+$E$9</f>
        <v>90</v>
      </c>
      <c r="M94" s="3">
        <f>Table1578[[#This Row],[Defaulted Principal]]-Table1578[[#This Row],[Estimated Loss]]</f>
        <v>0</v>
      </c>
      <c r="N94" s="3">
        <f>IFERROR(VLOOKUP(Table1578[[#This Row],[Period]],$L$16:$M$385,2,FALSE),0)</f>
        <v>0</v>
      </c>
      <c r="O94" s="3">
        <f>Table1578[[#This Row],[Beginning Balance]]-Table1578[[#This Row],[Principal]]-Table1578[[#This Row],[Prepayments]]-Table1578[[#This Row],[Defaulted Principal]]</f>
        <v>0</v>
      </c>
      <c r="P94" s="3">
        <f>Table1578[[#This Row],[Principal]]+Table1578[[#This Row],[Interest]]+Table1578[[#This Row],[Prepayments]]+Table1578[[#This Row],[RecoveredAmount]]</f>
        <v>0</v>
      </c>
      <c r="Q94" s="3">
        <f ca="1">ROUND(Table1578[[#This Row],[Cash Flow]]/((1+ActualRateToUse)^(IF(ISNUMBER(SEARCH("Actual",$C$7)),Table1578[[#This Row],[Running Total]]/365,Table1578[[#This Row],[Period]]/12))),2)</f>
        <v>0</v>
      </c>
      <c r="R94" s="2">
        <f>IF(MONTH(Table1578[[#This Row],[Date]])=2,28,DAY(DATE(YEAR(Table1578[[#This Row],[Date]]),MONTH(Table1578[[#This Row],[Date]])+1,1)-1))</f>
        <v>31</v>
      </c>
      <c r="S94" s="2">
        <f ca="1">SUM(OFFSET(Table1578[[#Headers],[Days in month]],1,0):Table1578[[#This Row],[Days in month]])</f>
        <v>2374</v>
      </c>
      <c r="T94" s="37">
        <f>InterestRate*AmortizationMultiplier*IF(ISNUMBER(SEARCH("Actual",$C$7)),Table1578[[#This Row],[Days in month]]/365,1/12)</f>
        <v>6.2344444444444444E-3</v>
      </c>
    </row>
    <row r="95" spans="2:20" x14ac:dyDescent="0.2">
      <c r="B95" s="1">
        <v>48244</v>
      </c>
      <c r="C95" s="2">
        <f t="shared" si="4"/>
        <v>79</v>
      </c>
      <c r="D95" s="3">
        <f t="shared" si="3"/>
        <v>0</v>
      </c>
      <c r="E95" s="3">
        <f>ROUND(Table1578[[#This Row],[Beginning Balance]]*Table1578[[#This Row],[Monthly Interest Rate]],2)</f>
        <v>0</v>
      </c>
      <c r="F95" s="3">
        <f t="shared" si="5"/>
        <v>-76</v>
      </c>
      <c r="G95" s="23">
        <f>IFERROR(IF($C$13="No","N/A",IF(Table1578[[#This Row],[Period]]=1,$C$6,PMT(InterestRate*AmortizationMultiplier/12,Table1578[[#This Row],[Am Thru]],-Table1578[[#This Row],[Beginning Balance]]))),0)</f>
        <v>0</v>
      </c>
      <c r="H95" s="3">
        <f>MAX(0,IF(C95=$C$4,D95,ROUND(IF($C$3="Fixed Principal",$C$6-Table1578[[#This Row],[Interest]],IF($C$3="Interest Only",Table1578[[#This Row],[Beginning Balance]]*ROUND(1-(1-IF($C$11="No",$E$8,1))^(1/12),6),MIN(IF($C$13="Yes",Table1578[[#This Row],[Payment Amount (Reamortized)]],$C$6)-Table1578[[#This Row],[Interest]],Table1578[[#This Row],[Beginning Balance]]))),2)))</f>
        <v>0</v>
      </c>
      <c r="I95" s="3">
        <f>_xlfn.SINGLE(IF($C$3="Line of Credit",0,ROUND(MAX(MIN(IF($C$10="No",$E$7,VLOOKUP(Table1578[[#This Row],[Period]],Forecast!$H$2:$L$1048576,4,FALSE))*Table1578[[#This Row],[Beginning Balance]],Table1578[[#This Row],[Beginning Balance]]-Table1578[[#This Row],[Principal]]),0),2)))</f>
        <v>0</v>
      </c>
      <c r="J95" s="3">
        <f>ROUND(MIN(Table1578[[#This Row],[Beginning Balance]]*IF($C$8="No",$E$3,VLOOKUP(Table1578[[#This Row],[Period]],Forecast!$H$2:$L$1048576,2,FALSE)),Table1578[[#This Row],[Beginning Balance]]-Table1578[[#This Row],[Principal]]-Table1578[[#This Row],[Prepayments]]),2)</f>
        <v>0</v>
      </c>
      <c r="K95" s="3">
        <f>ROUND(Table1578[[#This Row],[Defaulted Principal]]*IF($C$9="No",$E$4,VLOOKUP(Table1578[[#This Row],[Period]],Forecast!$H$2:$L$1048576,3,FALSE)),2)</f>
        <v>0</v>
      </c>
      <c r="L95" s="2">
        <f>Table1578[[#This Row],[Period]]+$E$9</f>
        <v>91</v>
      </c>
      <c r="M95" s="3">
        <f>Table1578[[#This Row],[Defaulted Principal]]-Table1578[[#This Row],[Estimated Loss]]</f>
        <v>0</v>
      </c>
      <c r="N95" s="3">
        <f>IFERROR(VLOOKUP(Table1578[[#This Row],[Period]],$L$16:$M$385,2,FALSE),0)</f>
        <v>0</v>
      </c>
      <c r="O95" s="3">
        <f>Table1578[[#This Row],[Beginning Balance]]-Table1578[[#This Row],[Principal]]-Table1578[[#This Row],[Prepayments]]-Table1578[[#This Row],[Defaulted Principal]]</f>
        <v>0</v>
      </c>
      <c r="P95" s="3">
        <f>Table1578[[#This Row],[Principal]]+Table1578[[#This Row],[Interest]]+Table1578[[#This Row],[Prepayments]]+Table1578[[#This Row],[RecoveredAmount]]</f>
        <v>0</v>
      </c>
      <c r="Q95" s="3">
        <f ca="1">ROUND(Table1578[[#This Row],[Cash Flow]]/((1+ActualRateToUse)^(IF(ISNUMBER(SEARCH("Actual",$C$7)),Table1578[[#This Row],[Running Total]]/365,Table1578[[#This Row],[Period]]/12))),2)</f>
        <v>0</v>
      </c>
      <c r="R95" s="2">
        <f>IF(MONTH(Table1578[[#This Row],[Date]])=2,28,DAY(DATE(YEAR(Table1578[[#This Row],[Date]]),MONTH(Table1578[[#This Row],[Date]])+1,1)-1))</f>
        <v>31</v>
      </c>
      <c r="S95" s="2">
        <f ca="1">SUM(OFFSET(Table1578[[#Headers],[Days in month]],1,0):Table1578[[#This Row],[Days in month]])</f>
        <v>2405</v>
      </c>
      <c r="T95" s="37">
        <f>InterestRate*AmortizationMultiplier*IF(ISNUMBER(SEARCH("Actual",$C$7)),Table1578[[#This Row],[Days in month]]/365,1/12)</f>
        <v>6.2344444444444444E-3</v>
      </c>
    </row>
    <row r="96" spans="2:20" x14ac:dyDescent="0.2">
      <c r="B96" s="1">
        <v>48273</v>
      </c>
      <c r="C96" s="2">
        <f t="shared" si="4"/>
        <v>80</v>
      </c>
      <c r="D96" s="3">
        <f t="shared" si="3"/>
        <v>0</v>
      </c>
      <c r="E96" s="3">
        <f>ROUND(Table1578[[#This Row],[Beginning Balance]]*Table1578[[#This Row],[Monthly Interest Rate]],2)</f>
        <v>0</v>
      </c>
      <c r="F96" s="3">
        <f t="shared" si="5"/>
        <v>-77</v>
      </c>
      <c r="G96" s="23">
        <f>IFERROR(IF($C$13="No","N/A",IF(Table1578[[#This Row],[Period]]=1,$C$6,PMT(InterestRate*AmortizationMultiplier/12,Table1578[[#This Row],[Am Thru]],-Table1578[[#This Row],[Beginning Balance]]))),0)</f>
        <v>0</v>
      </c>
      <c r="H96" s="3">
        <f>MAX(0,IF(C96=$C$4,D96,ROUND(IF($C$3="Fixed Principal",$C$6-Table1578[[#This Row],[Interest]],IF($C$3="Interest Only",Table1578[[#This Row],[Beginning Balance]]*ROUND(1-(1-IF($C$11="No",$E$8,1))^(1/12),6),MIN(IF($C$13="Yes",Table1578[[#This Row],[Payment Amount (Reamortized)]],$C$6)-Table1578[[#This Row],[Interest]],Table1578[[#This Row],[Beginning Balance]]))),2)))</f>
        <v>0</v>
      </c>
      <c r="I96" s="3">
        <f>_xlfn.SINGLE(IF($C$3="Line of Credit",0,ROUND(MAX(MIN(IF($C$10="No",$E$7,VLOOKUP(Table1578[[#This Row],[Period]],Forecast!$H$2:$L$1048576,4,FALSE))*Table1578[[#This Row],[Beginning Balance]],Table1578[[#This Row],[Beginning Balance]]-Table1578[[#This Row],[Principal]]),0),2)))</f>
        <v>0</v>
      </c>
      <c r="J96" s="3">
        <f>ROUND(MIN(Table1578[[#This Row],[Beginning Balance]]*IF($C$8="No",$E$3,VLOOKUP(Table1578[[#This Row],[Period]],Forecast!$H$2:$L$1048576,2,FALSE)),Table1578[[#This Row],[Beginning Balance]]-Table1578[[#This Row],[Principal]]-Table1578[[#This Row],[Prepayments]]),2)</f>
        <v>0</v>
      </c>
      <c r="K96" s="3">
        <f>ROUND(Table1578[[#This Row],[Defaulted Principal]]*IF($C$9="No",$E$4,VLOOKUP(Table1578[[#This Row],[Period]],Forecast!$H$2:$L$1048576,3,FALSE)),2)</f>
        <v>0</v>
      </c>
      <c r="L96" s="2">
        <f>Table1578[[#This Row],[Period]]+$E$9</f>
        <v>92</v>
      </c>
      <c r="M96" s="3">
        <f>Table1578[[#This Row],[Defaulted Principal]]-Table1578[[#This Row],[Estimated Loss]]</f>
        <v>0</v>
      </c>
      <c r="N96" s="3">
        <f>IFERROR(VLOOKUP(Table1578[[#This Row],[Period]],$L$16:$M$385,2,FALSE),0)</f>
        <v>0</v>
      </c>
      <c r="O96" s="3">
        <f>Table1578[[#This Row],[Beginning Balance]]-Table1578[[#This Row],[Principal]]-Table1578[[#This Row],[Prepayments]]-Table1578[[#This Row],[Defaulted Principal]]</f>
        <v>0</v>
      </c>
      <c r="P96" s="3">
        <f>Table1578[[#This Row],[Principal]]+Table1578[[#This Row],[Interest]]+Table1578[[#This Row],[Prepayments]]+Table1578[[#This Row],[RecoveredAmount]]</f>
        <v>0</v>
      </c>
      <c r="Q96" s="3">
        <f ca="1">ROUND(Table1578[[#This Row],[Cash Flow]]/((1+ActualRateToUse)^(IF(ISNUMBER(SEARCH("Actual",$C$7)),Table1578[[#This Row],[Running Total]]/365,Table1578[[#This Row],[Period]]/12))),2)</f>
        <v>0</v>
      </c>
      <c r="R96" s="2">
        <f>IF(MONTH(Table1578[[#This Row],[Date]])=2,28,DAY(DATE(YEAR(Table1578[[#This Row],[Date]]),MONTH(Table1578[[#This Row],[Date]])+1,1)-1))</f>
        <v>28</v>
      </c>
      <c r="S96" s="2">
        <f ca="1">SUM(OFFSET(Table1578[[#Headers],[Days in month]],1,0):Table1578[[#This Row],[Days in month]])</f>
        <v>2433</v>
      </c>
      <c r="T96" s="37">
        <f>InterestRate*AmortizationMultiplier*IF(ISNUMBER(SEARCH("Actual",$C$7)),Table1578[[#This Row],[Days in month]]/365,1/12)</f>
        <v>5.6311111111111119E-3</v>
      </c>
    </row>
    <row r="97" spans="2:20" x14ac:dyDescent="0.2">
      <c r="B97" s="1">
        <v>48304</v>
      </c>
      <c r="C97" s="2">
        <f t="shared" si="4"/>
        <v>81</v>
      </c>
      <c r="D97" s="3">
        <f t="shared" si="3"/>
        <v>0</v>
      </c>
      <c r="E97" s="3">
        <f>ROUND(Table1578[[#This Row],[Beginning Balance]]*Table1578[[#This Row],[Monthly Interest Rate]],2)</f>
        <v>0</v>
      </c>
      <c r="F97" s="3">
        <f t="shared" si="5"/>
        <v>-78</v>
      </c>
      <c r="G97" s="23">
        <f>IFERROR(IF($C$13="No","N/A",IF(Table1578[[#This Row],[Period]]=1,$C$6,PMT(InterestRate*AmortizationMultiplier/12,Table1578[[#This Row],[Am Thru]],-Table1578[[#This Row],[Beginning Balance]]))),0)</f>
        <v>0</v>
      </c>
      <c r="H97" s="3">
        <f>MAX(0,IF(C97=$C$4,D97,ROUND(IF($C$3="Fixed Principal",$C$6-Table1578[[#This Row],[Interest]],IF($C$3="Interest Only",Table1578[[#This Row],[Beginning Balance]]*ROUND(1-(1-IF($C$11="No",$E$8,1))^(1/12),6),MIN(IF($C$13="Yes",Table1578[[#This Row],[Payment Amount (Reamortized)]],$C$6)-Table1578[[#This Row],[Interest]],Table1578[[#This Row],[Beginning Balance]]))),2)))</f>
        <v>0</v>
      </c>
      <c r="I97" s="3">
        <f>_xlfn.SINGLE(IF($C$3="Line of Credit",0,ROUND(MAX(MIN(IF($C$10="No",$E$7,VLOOKUP(Table1578[[#This Row],[Period]],Forecast!$H$2:$L$1048576,4,FALSE))*Table1578[[#This Row],[Beginning Balance]],Table1578[[#This Row],[Beginning Balance]]-Table1578[[#This Row],[Principal]]),0),2)))</f>
        <v>0</v>
      </c>
      <c r="J97" s="3">
        <f>ROUND(MIN(Table1578[[#This Row],[Beginning Balance]]*IF($C$8="No",$E$3,VLOOKUP(Table1578[[#This Row],[Period]],Forecast!$H$2:$L$1048576,2,FALSE)),Table1578[[#This Row],[Beginning Balance]]-Table1578[[#This Row],[Principal]]-Table1578[[#This Row],[Prepayments]]),2)</f>
        <v>0</v>
      </c>
      <c r="K97" s="3">
        <f>ROUND(Table1578[[#This Row],[Defaulted Principal]]*IF($C$9="No",$E$4,VLOOKUP(Table1578[[#This Row],[Period]],Forecast!$H$2:$L$1048576,3,FALSE)),2)</f>
        <v>0</v>
      </c>
      <c r="L97" s="2">
        <f>Table1578[[#This Row],[Period]]+$E$9</f>
        <v>93</v>
      </c>
      <c r="M97" s="3">
        <f>Table1578[[#This Row],[Defaulted Principal]]-Table1578[[#This Row],[Estimated Loss]]</f>
        <v>0</v>
      </c>
      <c r="N97" s="3">
        <f>IFERROR(VLOOKUP(Table1578[[#This Row],[Period]],$L$16:$M$385,2,FALSE),0)</f>
        <v>0</v>
      </c>
      <c r="O97" s="3">
        <f>Table1578[[#This Row],[Beginning Balance]]-Table1578[[#This Row],[Principal]]-Table1578[[#This Row],[Prepayments]]-Table1578[[#This Row],[Defaulted Principal]]</f>
        <v>0</v>
      </c>
      <c r="P97" s="3">
        <f>Table1578[[#This Row],[Principal]]+Table1578[[#This Row],[Interest]]+Table1578[[#This Row],[Prepayments]]+Table1578[[#This Row],[RecoveredAmount]]</f>
        <v>0</v>
      </c>
      <c r="Q97" s="3">
        <f ca="1">ROUND(Table1578[[#This Row],[Cash Flow]]/((1+ActualRateToUse)^(IF(ISNUMBER(SEARCH("Actual",$C$7)),Table1578[[#This Row],[Running Total]]/365,Table1578[[#This Row],[Period]]/12))),2)</f>
        <v>0</v>
      </c>
      <c r="R97" s="2">
        <f>IF(MONTH(Table1578[[#This Row],[Date]])=2,28,DAY(DATE(YEAR(Table1578[[#This Row],[Date]]),MONTH(Table1578[[#This Row],[Date]])+1,1)-1))</f>
        <v>31</v>
      </c>
      <c r="S97" s="2">
        <f ca="1">SUM(OFFSET(Table1578[[#Headers],[Days in month]],1,0):Table1578[[#This Row],[Days in month]])</f>
        <v>2464</v>
      </c>
      <c r="T97" s="37">
        <f>InterestRate*AmortizationMultiplier*IF(ISNUMBER(SEARCH("Actual",$C$7)),Table1578[[#This Row],[Days in month]]/365,1/12)</f>
        <v>6.2344444444444444E-3</v>
      </c>
    </row>
    <row r="98" spans="2:20" x14ac:dyDescent="0.2">
      <c r="B98" s="1">
        <v>48334</v>
      </c>
      <c r="C98" s="2">
        <f t="shared" si="4"/>
        <v>82</v>
      </c>
      <c r="D98" s="3">
        <f t="shared" si="3"/>
        <v>0</v>
      </c>
      <c r="E98" s="3">
        <f>ROUND(Table1578[[#This Row],[Beginning Balance]]*Table1578[[#This Row],[Monthly Interest Rate]],2)</f>
        <v>0</v>
      </c>
      <c r="F98" s="3">
        <f t="shared" si="5"/>
        <v>-79</v>
      </c>
      <c r="G98" s="23">
        <f>IFERROR(IF($C$13="No","N/A",IF(Table1578[[#This Row],[Period]]=1,$C$6,PMT(InterestRate*AmortizationMultiplier/12,Table1578[[#This Row],[Am Thru]],-Table1578[[#This Row],[Beginning Balance]]))),0)</f>
        <v>0</v>
      </c>
      <c r="H98" s="3">
        <f>MAX(0,IF(C98=$C$4,D98,ROUND(IF($C$3="Fixed Principal",$C$6-Table1578[[#This Row],[Interest]],IF($C$3="Interest Only",Table1578[[#This Row],[Beginning Balance]]*ROUND(1-(1-IF($C$11="No",$E$8,1))^(1/12),6),MIN(IF($C$13="Yes",Table1578[[#This Row],[Payment Amount (Reamortized)]],$C$6)-Table1578[[#This Row],[Interest]],Table1578[[#This Row],[Beginning Balance]]))),2)))</f>
        <v>0</v>
      </c>
      <c r="I98" s="3">
        <f>_xlfn.SINGLE(IF($C$3="Line of Credit",0,ROUND(MAX(MIN(IF($C$10="No",$E$7,VLOOKUP(Table1578[[#This Row],[Period]],Forecast!$H$2:$L$1048576,4,FALSE))*Table1578[[#This Row],[Beginning Balance]],Table1578[[#This Row],[Beginning Balance]]-Table1578[[#This Row],[Principal]]),0),2)))</f>
        <v>0</v>
      </c>
      <c r="J98" s="3">
        <f>ROUND(MIN(Table1578[[#This Row],[Beginning Balance]]*IF($C$8="No",$E$3,VLOOKUP(Table1578[[#This Row],[Period]],Forecast!$H$2:$L$1048576,2,FALSE)),Table1578[[#This Row],[Beginning Balance]]-Table1578[[#This Row],[Principal]]-Table1578[[#This Row],[Prepayments]]),2)</f>
        <v>0</v>
      </c>
      <c r="K98" s="3">
        <f>ROUND(Table1578[[#This Row],[Defaulted Principal]]*IF($C$9="No",$E$4,VLOOKUP(Table1578[[#This Row],[Period]],Forecast!$H$2:$L$1048576,3,FALSE)),2)</f>
        <v>0</v>
      </c>
      <c r="L98" s="2">
        <f>Table1578[[#This Row],[Period]]+$E$9</f>
        <v>94</v>
      </c>
      <c r="M98" s="3">
        <f>Table1578[[#This Row],[Defaulted Principal]]-Table1578[[#This Row],[Estimated Loss]]</f>
        <v>0</v>
      </c>
      <c r="N98" s="3">
        <f>IFERROR(VLOOKUP(Table1578[[#This Row],[Period]],$L$16:$M$385,2,FALSE),0)</f>
        <v>0</v>
      </c>
      <c r="O98" s="3">
        <f>Table1578[[#This Row],[Beginning Balance]]-Table1578[[#This Row],[Principal]]-Table1578[[#This Row],[Prepayments]]-Table1578[[#This Row],[Defaulted Principal]]</f>
        <v>0</v>
      </c>
      <c r="P98" s="3">
        <f>Table1578[[#This Row],[Principal]]+Table1578[[#This Row],[Interest]]+Table1578[[#This Row],[Prepayments]]+Table1578[[#This Row],[RecoveredAmount]]</f>
        <v>0</v>
      </c>
      <c r="Q98" s="3">
        <f ca="1">ROUND(Table1578[[#This Row],[Cash Flow]]/((1+ActualRateToUse)^(IF(ISNUMBER(SEARCH("Actual",$C$7)),Table1578[[#This Row],[Running Total]]/365,Table1578[[#This Row],[Period]]/12))),2)</f>
        <v>0</v>
      </c>
      <c r="R98" s="2">
        <f>IF(MONTH(Table1578[[#This Row],[Date]])=2,28,DAY(DATE(YEAR(Table1578[[#This Row],[Date]]),MONTH(Table1578[[#This Row],[Date]])+1,1)-1))</f>
        <v>30</v>
      </c>
      <c r="S98" s="2">
        <f ca="1">SUM(OFFSET(Table1578[[#Headers],[Days in month]],1,0):Table1578[[#This Row],[Days in month]])</f>
        <v>2494</v>
      </c>
      <c r="T98" s="37">
        <f>InterestRate*AmortizationMultiplier*IF(ISNUMBER(SEARCH("Actual",$C$7)),Table1578[[#This Row],[Days in month]]/365,1/12)</f>
        <v>6.0333333333333333E-3</v>
      </c>
    </row>
    <row r="99" spans="2:20" x14ac:dyDescent="0.2">
      <c r="B99" s="1">
        <v>48365</v>
      </c>
      <c r="C99" s="2">
        <f t="shared" si="4"/>
        <v>83</v>
      </c>
      <c r="D99" s="3">
        <f t="shared" si="3"/>
        <v>0</v>
      </c>
      <c r="E99" s="3">
        <f>ROUND(Table1578[[#This Row],[Beginning Balance]]*Table1578[[#This Row],[Monthly Interest Rate]],2)</f>
        <v>0</v>
      </c>
      <c r="F99" s="3">
        <f t="shared" si="5"/>
        <v>-80</v>
      </c>
      <c r="G99" s="23">
        <f>IFERROR(IF($C$13="No","N/A",IF(Table1578[[#This Row],[Period]]=1,$C$6,PMT(InterestRate*AmortizationMultiplier/12,Table1578[[#This Row],[Am Thru]],-Table1578[[#This Row],[Beginning Balance]]))),0)</f>
        <v>0</v>
      </c>
      <c r="H99" s="3">
        <f>MAX(0,IF(C99=$C$4,D99,ROUND(IF($C$3="Fixed Principal",$C$6-Table1578[[#This Row],[Interest]],IF($C$3="Interest Only",Table1578[[#This Row],[Beginning Balance]]*ROUND(1-(1-IF($C$11="No",$E$8,1))^(1/12),6),MIN(IF($C$13="Yes",Table1578[[#This Row],[Payment Amount (Reamortized)]],$C$6)-Table1578[[#This Row],[Interest]],Table1578[[#This Row],[Beginning Balance]]))),2)))</f>
        <v>0</v>
      </c>
      <c r="I99" s="3">
        <f>_xlfn.SINGLE(IF($C$3="Line of Credit",0,ROUND(MAX(MIN(IF($C$10="No",$E$7,VLOOKUP(Table1578[[#This Row],[Period]],Forecast!$H$2:$L$1048576,4,FALSE))*Table1578[[#This Row],[Beginning Balance]],Table1578[[#This Row],[Beginning Balance]]-Table1578[[#This Row],[Principal]]),0),2)))</f>
        <v>0</v>
      </c>
      <c r="J99" s="3">
        <f>ROUND(MIN(Table1578[[#This Row],[Beginning Balance]]*IF($C$8="No",$E$3,VLOOKUP(Table1578[[#This Row],[Period]],Forecast!$H$2:$L$1048576,2,FALSE)),Table1578[[#This Row],[Beginning Balance]]-Table1578[[#This Row],[Principal]]-Table1578[[#This Row],[Prepayments]]),2)</f>
        <v>0</v>
      </c>
      <c r="K99" s="3">
        <f>ROUND(Table1578[[#This Row],[Defaulted Principal]]*IF($C$9="No",$E$4,VLOOKUP(Table1578[[#This Row],[Period]],Forecast!$H$2:$L$1048576,3,FALSE)),2)</f>
        <v>0</v>
      </c>
      <c r="L99" s="2">
        <f>Table1578[[#This Row],[Period]]+$E$9</f>
        <v>95</v>
      </c>
      <c r="M99" s="3">
        <f>Table1578[[#This Row],[Defaulted Principal]]-Table1578[[#This Row],[Estimated Loss]]</f>
        <v>0</v>
      </c>
      <c r="N99" s="3">
        <f>IFERROR(VLOOKUP(Table1578[[#This Row],[Period]],$L$16:$M$385,2,FALSE),0)</f>
        <v>0</v>
      </c>
      <c r="O99" s="3">
        <f>Table1578[[#This Row],[Beginning Balance]]-Table1578[[#This Row],[Principal]]-Table1578[[#This Row],[Prepayments]]-Table1578[[#This Row],[Defaulted Principal]]</f>
        <v>0</v>
      </c>
      <c r="P99" s="3">
        <f>Table1578[[#This Row],[Principal]]+Table1578[[#This Row],[Interest]]+Table1578[[#This Row],[Prepayments]]+Table1578[[#This Row],[RecoveredAmount]]</f>
        <v>0</v>
      </c>
      <c r="Q99" s="3">
        <f ca="1">ROUND(Table1578[[#This Row],[Cash Flow]]/((1+ActualRateToUse)^(IF(ISNUMBER(SEARCH("Actual",$C$7)),Table1578[[#This Row],[Running Total]]/365,Table1578[[#This Row],[Period]]/12))),2)</f>
        <v>0</v>
      </c>
      <c r="R99" s="2">
        <f>IF(MONTH(Table1578[[#This Row],[Date]])=2,28,DAY(DATE(YEAR(Table1578[[#This Row],[Date]]),MONTH(Table1578[[#This Row],[Date]])+1,1)-1))</f>
        <v>31</v>
      </c>
      <c r="S99" s="2">
        <f ca="1">SUM(OFFSET(Table1578[[#Headers],[Days in month]],1,0):Table1578[[#This Row],[Days in month]])</f>
        <v>2525</v>
      </c>
      <c r="T99" s="37">
        <f>InterestRate*AmortizationMultiplier*IF(ISNUMBER(SEARCH("Actual",$C$7)),Table1578[[#This Row],[Days in month]]/365,1/12)</f>
        <v>6.2344444444444444E-3</v>
      </c>
    </row>
    <row r="100" spans="2:20" x14ac:dyDescent="0.2">
      <c r="B100" s="1">
        <v>48395</v>
      </c>
      <c r="C100" s="2">
        <f t="shared" si="4"/>
        <v>84</v>
      </c>
      <c r="D100" s="3">
        <f t="shared" si="3"/>
        <v>0</v>
      </c>
      <c r="E100" s="3">
        <f>ROUND(Table1578[[#This Row],[Beginning Balance]]*Table1578[[#This Row],[Monthly Interest Rate]],2)</f>
        <v>0</v>
      </c>
      <c r="F100" s="3">
        <f t="shared" si="5"/>
        <v>-81</v>
      </c>
      <c r="G100" s="23">
        <f>IFERROR(IF($C$13="No","N/A",IF(Table1578[[#This Row],[Period]]=1,$C$6,PMT(InterestRate*AmortizationMultiplier/12,Table1578[[#This Row],[Am Thru]],-Table1578[[#This Row],[Beginning Balance]]))),0)</f>
        <v>0</v>
      </c>
      <c r="H100" s="3">
        <f>MAX(0,IF(C100=$C$4,D100,ROUND(IF($C$3="Fixed Principal",$C$6-Table1578[[#This Row],[Interest]],IF($C$3="Interest Only",Table1578[[#This Row],[Beginning Balance]]*ROUND(1-(1-IF($C$11="No",$E$8,1))^(1/12),6),MIN(IF($C$13="Yes",Table1578[[#This Row],[Payment Amount (Reamortized)]],$C$6)-Table1578[[#This Row],[Interest]],Table1578[[#This Row],[Beginning Balance]]))),2)))</f>
        <v>0</v>
      </c>
      <c r="I100" s="3">
        <f>_xlfn.SINGLE(IF($C$3="Line of Credit",0,ROUND(MAX(MIN(IF($C$10="No",$E$7,VLOOKUP(Table1578[[#This Row],[Period]],Forecast!$H$2:$L$1048576,4,FALSE))*Table1578[[#This Row],[Beginning Balance]],Table1578[[#This Row],[Beginning Balance]]-Table1578[[#This Row],[Principal]]),0),2)))</f>
        <v>0</v>
      </c>
      <c r="J100" s="3">
        <f>ROUND(MIN(Table1578[[#This Row],[Beginning Balance]]*IF($C$8="No",$E$3,VLOOKUP(Table1578[[#This Row],[Period]],Forecast!$H$2:$L$1048576,2,FALSE)),Table1578[[#This Row],[Beginning Balance]]-Table1578[[#This Row],[Principal]]-Table1578[[#This Row],[Prepayments]]),2)</f>
        <v>0</v>
      </c>
      <c r="K100" s="3">
        <f>ROUND(Table1578[[#This Row],[Defaulted Principal]]*IF($C$9="No",$E$4,VLOOKUP(Table1578[[#This Row],[Period]],Forecast!$H$2:$L$1048576,3,FALSE)),2)</f>
        <v>0</v>
      </c>
      <c r="L100" s="2">
        <f>Table1578[[#This Row],[Period]]+$E$9</f>
        <v>96</v>
      </c>
      <c r="M100" s="3">
        <f>Table1578[[#This Row],[Defaulted Principal]]-Table1578[[#This Row],[Estimated Loss]]</f>
        <v>0</v>
      </c>
      <c r="N100" s="3">
        <f>IFERROR(VLOOKUP(Table1578[[#This Row],[Period]],$L$16:$M$385,2,FALSE),0)</f>
        <v>0</v>
      </c>
      <c r="O100" s="3">
        <f>Table1578[[#This Row],[Beginning Balance]]-Table1578[[#This Row],[Principal]]-Table1578[[#This Row],[Prepayments]]-Table1578[[#This Row],[Defaulted Principal]]</f>
        <v>0</v>
      </c>
      <c r="P100" s="3">
        <f>Table1578[[#This Row],[Principal]]+Table1578[[#This Row],[Interest]]+Table1578[[#This Row],[Prepayments]]+Table1578[[#This Row],[RecoveredAmount]]</f>
        <v>0</v>
      </c>
      <c r="Q100" s="3">
        <f ca="1">ROUND(Table1578[[#This Row],[Cash Flow]]/((1+ActualRateToUse)^(IF(ISNUMBER(SEARCH("Actual",$C$7)),Table1578[[#This Row],[Running Total]]/365,Table1578[[#This Row],[Period]]/12))),2)</f>
        <v>0</v>
      </c>
      <c r="R100" s="2">
        <f>IF(MONTH(Table1578[[#This Row],[Date]])=2,28,DAY(DATE(YEAR(Table1578[[#This Row],[Date]]),MONTH(Table1578[[#This Row],[Date]])+1,1)-1))</f>
        <v>30</v>
      </c>
      <c r="S100" s="2">
        <f ca="1">SUM(OFFSET(Table1578[[#Headers],[Days in month]],1,0):Table1578[[#This Row],[Days in month]])</f>
        <v>2555</v>
      </c>
      <c r="T100" s="37">
        <f>InterestRate*AmortizationMultiplier*IF(ISNUMBER(SEARCH("Actual",$C$7)),Table1578[[#This Row],[Days in month]]/365,1/12)</f>
        <v>6.0333333333333333E-3</v>
      </c>
    </row>
    <row r="101" spans="2:20" x14ac:dyDescent="0.2">
      <c r="B101" s="1">
        <v>48426</v>
      </c>
      <c r="C101" s="2">
        <f t="shared" si="4"/>
        <v>85</v>
      </c>
      <c r="D101" s="3">
        <f t="shared" si="3"/>
        <v>0</v>
      </c>
      <c r="E101" s="3">
        <f>ROUND(Table1578[[#This Row],[Beginning Balance]]*Table1578[[#This Row],[Monthly Interest Rate]],2)</f>
        <v>0</v>
      </c>
      <c r="F101" s="3">
        <f t="shared" si="5"/>
        <v>-82</v>
      </c>
      <c r="G101" s="23">
        <f>IFERROR(IF($C$13="No","N/A",IF(Table1578[[#This Row],[Period]]=1,$C$6,PMT(InterestRate*AmortizationMultiplier/12,Table1578[[#This Row],[Am Thru]],-Table1578[[#This Row],[Beginning Balance]]))),0)</f>
        <v>0</v>
      </c>
      <c r="H101" s="3">
        <f>MAX(0,IF(C101=$C$4,D101,ROUND(IF($C$3="Fixed Principal",$C$6-Table1578[[#This Row],[Interest]],IF($C$3="Interest Only",Table1578[[#This Row],[Beginning Balance]]*ROUND(1-(1-IF($C$11="No",$E$8,1))^(1/12),6),MIN(IF($C$13="Yes",Table1578[[#This Row],[Payment Amount (Reamortized)]],$C$6)-Table1578[[#This Row],[Interest]],Table1578[[#This Row],[Beginning Balance]]))),2)))</f>
        <v>0</v>
      </c>
      <c r="I101" s="3">
        <f>_xlfn.SINGLE(IF($C$3="Line of Credit",0,ROUND(MAX(MIN(IF($C$10="No",$E$7,VLOOKUP(Table1578[[#This Row],[Period]],Forecast!$H$2:$L$1048576,4,FALSE))*Table1578[[#This Row],[Beginning Balance]],Table1578[[#This Row],[Beginning Balance]]-Table1578[[#This Row],[Principal]]),0),2)))</f>
        <v>0</v>
      </c>
      <c r="J101" s="3">
        <f>ROUND(MIN(Table1578[[#This Row],[Beginning Balance]]*IF($C$8="No",$E$3,VLOOKUP(Table1578[[#This Row],[Period]],Forecast!$H$2:$L$1048576,2,FALSE)),Table1578[[#This Row],[Beginning Balance]]-Table1578[[#This Row],[Principal]]-Table1578[[#This Row],[Prepayments]]),2)</f>
        <v>0</v>
      </c>
      <c r="K101" s="3">
        <f>ROUND(Table1578[[#This Row],[Defaulted Principal]]*IF($C$9="No",$E$4,VLOOKUP(Table1578[[#This Row],[Period]],Forecast!$H$2:$L$1048576,3,FALSE)),2)</f>
        <v>0</v>
      </c>
      <c r="L101" s="2">
        <f>Table1578[[#This Row],[Period]]+$E$9</f>
        <v>97</v>
      </c>
      <c r="M101" s="3">
        <f>Table1578[[#This Row],[Defaulted Principal]]-Table1578[[#This Row],[Estimated Loss]]</f>
        <v>0</v>
      </c>
      <c r="N101" s="3">
        <f>IFERROR(VLOOKUP(Table1578[[#This Row],[Period]],$L$16:$M$385,2,FALSE),0)</f>
        <v>0</v>
      </c>
      <c r="O101" s="3">
        <f>Table1578[[#This Row],[Beginning Balance]]-Table1578[[#This Row],[Principal]]-Table1578[[#This Row],[Prepayments]]-Table1578[[#This Row],[Defaulted Principal]]</f>
        <v>0</v>
      </c>
      <c r="P101" s="3">
        <f>Table1578[[#This Row],[Principal]]+Table1578[[#This Row],[Interest]]+Table1578[[#This Row],[Prepayments]]+Table1578[[#This Row],[RecoveredAmount]]</f>
        <v>0</v>
      </c>
      <c r="Q101" s="3">
        <f ca="1">ROUND(Table1578[[#This Row],[Cash Flow]]/((1+ActualRateToUse)^(IF(ISNUMBER(SEARCH("Actual",$C$7)),Table1578[[#This Row],[Running Total]]/365,Table1578[[#This Row],[Period]]/12))),2)</f>
        <v>0</v>
      </c>
      <c r="R101" s="2">
        <f>IF(MONTH(Table1578[[#This Row],[Date]])=2,28,DAY(DATE(YEAR(Table1578[[#This Row],[Date]]),MONTH(Table1578[[#This Row],[Date]])+1,1)-1))</f>
        <v>31</v>
      </c>
      <c r="S101" s="2">
        <f ca="1">SUM(OFFSET(Table1578[[#Headers],[Days in month]],1,0):Table1578[[#This Row],[Days in month]])</f>
        <v>2586</v>
      </c>
      <c r="T101" s="37">
        <f>InterestRate*AmortizationMultiplier*IF(ISNUMBER(SEARCH("Actual",$C$7)),Table1578[[#This Row],[Days in month]]/365,1/12)</f>
        <v>6.2344444444444444E-3</v>
      </c>
    </row>
    <row r="102" spans="2:20" x14ac:dyDescent="0.2">
      <c r="B102" s="1">
        <v>48457</v>
      </c>
      <c r="C102" s="2">
        <f t="shared" si="4"/>
        <v>86</v>
      </c>
      <c r="D102" s="3">
        <f t="shared" si="3"/>
        <v>0</v>
      </c>
      <c r="E102" s="3">
        <f>ROUND(Table1578[[#This Row],[Beginning Balance]]*Table1578[[#This Row],[Monthly Interest Rate]],2)</f>
        <v>0</v>
      </c>
      <c r="F102" s="3">
        <f t="shared" si="5"/>
        <v>-83</v>
      </c>
      <c r="G102" s="23">
        <f>IFERROR(IF($C$13="No","N/A",IF(Table1578[[#This Row],[Period]]=1,$C$6,PMT(InterestRate*AmortizationMultiplier/12,Table1578[[#This Row],[Am Thru]],-Table1578[[#This Row],[Beginning Balance]]))),0)</f>
        <v>0</v>
      </c>
      <c r="H102" s="3">
        <f>MAX(0,IF(C102=$C$4,D102,ROUND(IF($C$3="Fixed Principal",$C$6-Table1578[[#This Row],[Interest]],IF($C$3="Interest Only",Table1578[[#This Row],[Beginning Balance]]*ROUND(1-(1-IF($C$11="No",$E$8,1))^(1/12),6),MIN(IF($C$13="Yes",Table1578[[#This Row],[Payment Amount (Reamortized)]],$C$6)-Table1578[[#This Row],[Interest]],Table1578[[#This Row],[Beginning Balance]]))),2)))</f>
        <v>0</v>
      </c>
      <c r="I102" s="3">
        <f>_xlfn.SINGLE(IF($C$3="Line of Credit",0,ROUND(MAX(MIN(IF($C$10="No",$E$7,VLOOKUP(Table1578[[#This Row],[Period]],Forecast!$H$2:$L$1048576,4,FALSE))*Table1578[[#This Row],[Beginning Balance]],Table1578[[#This Row],[Beginning Balance]]-Table1578[[#This Row],[Principal]]),0),2)))</f>
        <v>0</v>
      </c>
      <c r="J102" s="3">
        <f>ROUND(MIN(Table1578[[#This Row],[Beginning Balance]]*IF($C$8="No",$E$3,VLOOKUP(Table1578[[#This Row],[Period]],Forecast!$H$2:$L$1048576,2,FALSE)),Table1578[[#This Row],[Beginning Balance]]-Table1578[[#This Row],[Principal]]-Table1578[[#This Row],[Prepayments]]),2)</f>
        <v>0</v>
      </c>
      <c r="K102" s="3">
        <f>ROUND(Table1578[[#This Row],[Defaulted Principal]]*IF($C$9="No",$E$4,VLOOKUP(Table1578[[#This Row],[Period]],Forecast!$H$2:$L$1048576,3,FALSE)),2)</f>
        <v>0</v>
      </c>
      <c r="L102" s="2">
        <f>Table1578[[#This Row],[Period]]+$E$9</f>
        <v>98</v>
      </c>
      <c r="M102" s="3">
        <f>Table1578[[#This Row],[Defaulted Principal]]-Table1578[[#This Row],[Estimated Loss]]</f>
        <v>0</v>
      </c>
      <c r="N102" s="3">
        <f>IFERROR(VLOOKUP(Table1578[[#This Row],[Period]],$L$16:$M$385,2,FALSE),0)</f>
        <v>0</v>
      </c>
      <c r="O102" s="3">
        <f>Table1578[[#This Row],[Beginning Balance]]-Table1578[[#This Row],[Principal]]-Table1578[[#This Row],[Prepayments]]-Table1578[[#This Row],[Defaulted Principal]]</f>
        <v>0</v>
      </c>
      <c r="P102" s="3">
        <f>Table1578[[#This Row],[Principal]]+Table1578[[#This Row],[Interest]]+Table1578[[#This Row],[Prepayments]]+Table1578[[#This Row],[RecoveredAmount]]</f>
        <v>0</v>
      </c>
      <c r="Q102" s="3">
        <f ca="1">ROUND(Table1578[[#This Row],[Cash Flow]]/((1+ActualRateToUse)^(IF(ISNUMBER(SEARCH("Actual",$C$7)),Table1578[[#This Row],[Running Total]]/365,Table1578[[#This Row],[Period]]/12))),2)</f>
        <v>0</v>
      </c>
      <c r="R102" s="2">
        <f>IF(MONTH(Table1578[[#This Row],[Date]])=2,28,DAY(DATE(YEAR(Table1578[[#This Row],[Date]]),MONTH(Table1578[[#This Row],[Date]])+1,1)-1))</f>
        <v>31</v>
      </c>
      <c r="S102" s="2">
        <f ca="1">SUM(OFFSET(Table1578[[#Headers],[Days in month]],1,0):Table1578[[#This Row],[Days in month]])</f>
        <v>2617</v>
      </c>
      <c r="T102" s="37">
        <f>InterestRate*AmortizationMultiplier*IF(ISNUMBER(SEARCH("Actual",$C$7)),Table1578[[#This Row],[Days in month]]/365,1/12)</f>
        <v>6.2344444444444444E-3</v>
      </c>
    </row>
    <row r="103" spans="2:20" x14ac:dyDescent="0.2">
      <c r="B103" s="1">
        <v>48487</v>
      </c>
      <c r="C103" s="2">
        <f t="shared" si="4"/>
        <v>87</v>
      </c>
      <c r="D103" s="3">
        <f t="shared" si="3"/>
        <v>0</v>
      </c>
      <c r="E103" s="3">
        <f>ROUND(Table1578[[#This Row],[Beginning Balance]]*Table1578[[#This Row],[Monthly Interest Rate]],2)</f>
        <v>0</v>
      </c>
      <c r="F103" s="3">
        <f t="shared" si="5"/>
        <v>-84</v>
      </c>
      <c r="G103" s="23">
        <f>IFERROR(IF($C$13="No","N/A",IF(Table1578[[#This Row],[Period]]=1,$C$6,PMT(InterestRate*AmortizationMultiplier/12,Table1578[[#This Row],[Am Thru]],-Table1578[[#This Row],[Beginning Balance]]))),0)</f>
        <v>0</v>
      </c>
      <c r="H103" s="3">
        <f>MAX(0,IF(C103=$C$4,D103,ROUND(IF($C$3="Fixed Principal",$C$6-Table1578[[#This Row],[Interest]],IF($C$3="Interest Only",Table1578[[#This Row],[Beginning Balance]]*ROUND(1-(1-IF($C$11="No",$E$8,1))^(1/12),6),MIN(IF($C$13="Yes",Table1578[[#This Row],[Payment Amount (Reamortized)]],$C$6)-Table1578[[#This Row],[Interest]],Table1578[[#This Row],[Beginning Balance]]))),2)))</f>
        <v>0</v>
      </c>
      <c r="I103" s="3">
        <f>_xlfn.SINGLE(IF($C$3="Line of Credit",0,ROUND(MAX(MIN(IF($C$10="No",$E$7,VLOOKUP(Table1578[[#This Row],[Period]],Forecast!$H$2:$L$1048576,4,FALSE))*Table1578[[#This Row],[Beginning Balance]],Table1578[[#This Row],[Beginning Balance]]-Table1578[[#This Row],[Principal]]),0),2)))</f>
        <v>0</v>
      </c>
      <c r="J103" s="3">
        <f>ROUND(MIN(Table1578[[#This Row],[Beginning Balance]]*IF($C$8="No",$E$3,VLOOKUP(Table1578[[#This Row],[Period]],Forecast!$H$2:$L$1048576,2,FALSE)),Table1578[[#This Row],[Beginning Balance]]-Table1578[[#This Row],[Principal]]-Table1578[[#This Row],[Prepayments]]),2)</f>
        <v>0</v>
      </c>
      <c r="K103" s="3">
        <f>ROUND(Table1578[[#This Row],[Defaulted Principal]]*IF($C$9="No",$E$4,VLOOKUP(Table1578[[#This Row],[Period]],Forecast!$H$2:$L$1048576,3,FALSE)),2)</f>
        <v>0</v>
      </c>
      <c r="L103" s="2">
        <f>Table1578[[#This Row],[Period]]+$E$9</f>
        <v>99</v>
      </c>
      <c r="M103" s="3">
        <f>Table1578[[#This Row],[Defaulted Principal]]-Table1578[[#This Row],[Estimated Loss]]</f>
        <v>0</v>
      </c>
      <c r="N103" s="3">
        <f>IFERROR(VLOOKUP(Table1578[[#This Row],[Period]],$L$16:$M$385,2,FALSE),0)</f>
        <v>0</v>
      </c>
      <c r="O103" s="3">
        <f>Table1578[[#This Row],[Beginning Balance]]-Table1578[[#This Row],[Principal]]-Table1578[[#This Row],[Prepayments]]-Table1578[[#This Row],[Defaulted Principal]]</f>
        <v>0</v>
      </c>
      <c r="P103" s="3">
        <f>Table1578[[#This Row],[Principal]]+Table1578[[#This Row],[Interest]]+Table1578[[#This Row],[Prepayments]]+Table1578[[#This Row],[RecoveredAmount]]</f>
        <v>0</v>
      </c>
      <c r="Q103" s="3">
        <f ca="1">ROUND(Table1578[[#This Row],[Cash Flow]]/((1+ActualRateToUse)^(IF(ISNUMBER(SEARCH("Actual",$C$7)),Table1578[[#This Row],[Running Total]]/365,Table1578[[#This Row],[Period]]/12))),2)</f>
        <v>0</v>
      </c>
      <c r="R103" s="2">
        <f>IF(MONTH(Table1578[[#This Row],[Date]])=2,28,DAY(DATE(YEAR(Table1578[[#This Row],[Date]]),MONTH(Table1578[[#This Row],[Date]])+1,1)-1))</f>
        <v>30</v>
      </c>
      <c r="S103" s="2">
        <f ca="1">SUM(OFFSET(Table1578[[#Headers],[Days in month]],1,0):Table1578[[#This Row],[Days in month]])</f>
        <v>2647</v>
      </c>
      <c r="T103" s="37">
        <f>InterestRate*AmortizationMultiplier*IF(ISNUMBER(SEARCH("Actual",$C$7)),Table1578[[#This Row],[Days in month]]/365,1/12)</f>
        <v>6.0333333333333333E-3</v>
      </c>
    </row>
    <row r="104" spans="2:20" x14ac:dyDescent="0.2">
      <c r="B104" s="1">
        <v>48518</v>
      </c>
      <c r="C104" s="2">
        <f t="shared" si="4"/>
        <v>88</v>
      </c>
      <c r="D104" s="3">
        <f t="shared" si="3"/>
        <v>0</v>
      </c>
      <c r="E104" s="3">
        <f>ROUND(Table1578[[#This Row],[Beginning Balance]]*Table1578[[#This Row],[Monthly Interest Rate]],2)</f>
        <v>0</v>
      </c>
      <c r="F104" s="3">
        <f t="shared" si="5"/>
        <v>-85</v>
      </c>
      <c r="G104" s="23">
        <f>IFERROR(IF($C$13="No","N/A",IF(Table1578[[#This Row],[Period]]=1,$C$6,PMT(InterestRate*AmortizationMultiplier/12,Table1578[[#This Row],[Am Thru]],-Table1578[[#This Row],[Beginning Balance]]))),0)</f>
        <v>0</v>
      </c>
      <c r="H104" s="3">
        <f>MAX(0,IF(C104=$C$4,D104,ROUND(IF($C$3="Fixed Principal",$C$6-Table1578[[#This Row],[Interest]],IF($C$3="Interest Only",Table1578[[#This Row],[Beginning Balance]]*ROUND(1-(1-IF($C$11="No",$E$8,1))^(1/12),6),MIN(IF($C$13="Yes",Table1578[[#This Row],[Payment Amount (Reamortized)]],$C$6)-Table1578[[#This Row],[Interest]],Table1578[[#This Row],[Beginning Balance]]))),2)))</f>
        <v>0</v>
      </c>
      <c r="I104" s="3">
        <f>_xlfn.SINGLE(IF($C$3="Line of Credit",0,ROUND(MAX(MIN(IF($C$10="No",$E$7,VLOOKUP(Table1578[[#This Row],[Period]],Forecast!$H$2:$L$1048576,4,FALSE))*Table1578[[#This Row],[Beginning Balance]],Table1578[[#This Row],[Beginning Balance]]-Table1578[[#This Row],[Principal]]),0),2)))</f>
        <v>0</v>
      </c>
      <c r="J104" s="3">
        <f>ROUND(MIN(Table1578[[#This Row],[Beginning Balance]]*IF($C$8="No",$E$3,VLOOKUP(Table1578[[#This Row],[Period]],Forecast!$H$2:$L$1048576,2,FALSE)),Table1578[[#This Row],[Beginning Balance]]-Table1578[[#This Row],[Principal]]-Table1578[[#This Row],[Prepayments]]),2)</f>
        <v>0</v>
      </c>
      <c r="K104" s="3">
        <f>ROUND(Table1578[[#This Row],[Defaulted Principal]]*IF($C$9="No",$E$4,VLOOKUP(Table1578[[#This Row],[Period]],Forecast!$H$2:$L$1048576,3,FALSE)),2)</f>
        <v>0</v>
      </c>
      <c r="L104" s="2">
        <f>Table1578[[#This Row],[Period]]+$E$9</f>
        <v>100</v>
      </c>
      <c r="M104" s="3">
        <f>Table1578[[#This Row],[Defaulted Principal]]-Table1578[[#This Row],[Estimated Loss]]</f>
        <v>0</v>
      </c>
      <c r="N104" s="3">
        <f>IFERROR(VLOOKUP(Table1578[[#This Row],[Period]],$L$16:$M$385,2,FALSE),0)</f>
        <v>0</v>
      </c>
      <c r="O104" s="3">
        <f>Table1578[[#This Row],[Beginning Balance]]-Table1578[[#This Row],[Principal]]-Table1578[[#This Row],[Prepayments]]-Table1578[[#This Row],[Defaulted Principal]]</f>
        <v>0</v>
      </c>
      <c r="P104" s="3">
        <f>Table1578[[#This Row],[Principal]]+Table1578[[#This Row],[Interest]]+Table1578[[#This Row],[Prepayments]]+Table1578[[#This Row],[RecoveredAmount]]</f>
        <v>0</v>
      </c>
      <c r="Q104" s="3">
        <f ca="1">ROUND(Table1578[[#This Row],[Cash Flow]]/((1+ActualRateToUse)^(IF(ISNUMBER(SEARCH("Actual",$C$7)),Table1578[[#This Row],[Running Total]]/365,Table1578[[#This Row],[Period]]/12))),2)</f>
        <v>0</v>
      </c>
      <c r="R104" s="2">
        <f>IF(MONTH(Table1578[[#This Row],[Date]])=2,28,DAY(DATE(YEAR(Table1578[[#This Row],[Date]]),MONTH(Table1578[[#This Row],[Date]])+1,1)-1))</f>
        <v>31</v>
      </c>
      <c r="S104" s="2">
        <f ca="1">SUM(OFFSET(Table1578[[#Headers],[Days in month]],1,0):Table1578[[#This Row],[Days in month]])</f>
        <v>2678</v>
      </c>
      <c r="T104" s="37">
        <f>InterestRate*AmortizationMultiplier*IF(ISNUMBER(SEARCH("Actual",$C$7)),Table1578[[#This Row],[Days in month]]/365,1/12)</f>
        <v>6.2344444444444444E-3</v>
      </c>
    </row>
    <row r="105" spans="2:20" x14ac:dyDescent="0.2">
      <c r="B105" s="1">
        <v>48548</v>
      </c>
      <c r="C105" s="2">
        <f t="shared" si="4"/>
        <v>89</v>
      </c>
      <c r="D105" s="3">
        <f t="shared" si="3"/>
        <v>0</v>
      </c>
      <c r="E105" s="3">
        <f>ROUND(Table1578[[#This Row],[Beginning Balance]]*Table1578[[#This Row],[Monthly Interest Rate]],2)</f>
        <v>0</v>
      </c>
      <c r="F105" s="3">
        <f t="shared" si="5"/>
        <v>-86</v>
      </c>
      <c r="G105" s="23">
        <f>IFERROR(IF($C$13="No","N/A",IF(Table1578[[#This Row],[Period]]=1,$C$6,PMT(InterestRate*AmortizationMultiplier/12,Table1578[[#This Row],[Am Thru]],-Table1578[[#This Row],[Beginning Balance]]))),0)</f>
        <v>0</v>
      </c>
      <c r="H105" s="3">
        <f>MAX(0,IF(C105=$C$4,D105,ROUND(IF($C$3="Fixed Principal",$C$6-Table1578[[#This Row],[Interest]],IF($C$3="Interest Only",Table1578[[#This Row],[Beginning Balance]]*ROUND(1-(1-IF($C$11="No",$E$8,1))^(1/12),6),MIN(IF($C$13="Yes",Table1578[[#This Row],[Payment Amount (Reamortized)]],$C$6)-Table1578[[#This Row],[Interest]],Table1578[[#This Row],[Beginning Balance]]))),2)))</f>
        <v>0</v>
      </c>
      <c r="I105" s="3">
        <f>_xlfn.SINGLE(IF($C$3="Line of Credit",0,ROUND(MAX(MIN(IF($C$10="No",$E$7,VLOOKUP(Table1578[[#This Row],[Period]],Forecast!$H$2:$L$1048576,4,FALSE))*Table1578[[#This Row],[Beginning Balance]],Table1578[[#This Row],[Beginning Balance]]-Table1578[[#This Row],[Principal]]),0),2)))</f>
        <v>0</v>
      </c>
      <c r="J105" s="3">
        <f>ROUND(MIN(Table1578[[#This Row],[Beginning Balance]]*IF($C$8="No",$E$3,VLOOKUP(Table1578[[#This Row],[Period]],Forecast!$H$2:$L$1048576,2,FALSE)),Table1578[[#This Row],[Beginning Balance]]-Table1578[[#This Row],[Principal]]-Table1578[[#This Row],[Prepayments]]),2)</f>
        <v>0</v>
      </c>
      <c r="K105" s="3">
        <f>ROUND(Table1578[[#This Row],[Defaulted Principal]]*IF($C$9="No",$E$4,VLOOKUP(Table1578[[#This Row],[Period]],Forecast!$H$2:$L$1048576,3,FALSE)),2)</f>
        <v>0</v>
      </c>
      <c r="L105" s="2">
        <f>Table1578[[#This Row],[Period]]+$E$9</f>
        <v>101</v>
      </c>
      <c r="M105" s="3">
        <f>Table1578[[#This Row],[Defaulted Principal]]-Table1578[[#This Row],[Estimated Loss]]</f>
        <v>0</v>
      </c>
      <c r="N105" s="3">
        <f>IFERROR(VLOOKUP(Table1578[[#This Row],[Period]],$L$16:$M$385,2,FALSE),0)</f>
        <v>0</v>
      </c>
      <c r="O105" s="3">
        <f>Table1578[[#This Row],[Beginning Balance]]-Table1578[[#This Row],[Principal]]-Table1578[[#This Row],[Prepayments]]-Table1578[[#This Row],[Defaulted Principal]]</f>
        <v>0</v>
      </c>
      <c r="P105" s="3">
        <f>Table1578[[#This Row],[Principal]]+Table1578[[#This Row],[Interest]]+Table1578[[#This Row],[Prepayments]]+Table1578[[#This Row],[RecoveredAmount]]</f>
        <v>0</v>
      </c>
      <c r="Q105" s="3">
        <f ca="1">ROUND(Table1578[[#This Row],[Cash Flow]]/((1+ActualRateToUse)^(IF(ISNUMBER(SEARCH("Actual",$C$7)),Table1578[[#This Row],[Running Total]]/365,Table1578[[#This Row],[Period]]/12))),2)</f>
        <v>0</v>
      </c>
      <c r="R105" s="2">
        <f>IF(MONTH(Table1578[[#This Row],[Date]])=2,28,DAY(DATE(YEAR(Table1578[[#This Row],[Date]]),MONTH(Table1578[[#This Row],[Date]])+1,1)-1))</f>
        <v>30</v>
      </c>
      <c r="S105" s="2">
        <f ca="1">SUM(OFFSET(Table1578[[#Headers],[Days in month]],1,0):Table1578[[#This Row],[Days in month]])</f>
        <v>2708</v>
      </c>
      <c r="T105" s="37">
        <f>InterestRate*AmortizationMultiplier*IF(ISNUMBER(SEARCH("Actual",$C$7)),Table1578[[#This Row],[Days in month]]/365,1/12)</f>
        <v>6.0333333333333333E-3</v>
      </c>
    </row>
    <row r="106" spans="2:20" x14ac:dyDescent="0.2">
      <c r="B106" s="1">
        <v>48579</v>
      </c>
      <c r="C106" s="2">
        <f t="shared" si="4"/>
        <v>90</v>
      </c>
      <c r="D106" s="3">
        <f t="shared" si="3"/>
        <v>0</v>
      </c>
      <c r="E106" s="3">
        <f>ROUND(Table1578[[#This Row],[Beginning Balance]]*Table1578[[#This Row],[Monthly Interest Rate]],2)</f>
        <v>0</v>
      </c>
      <c r="F106" s="3">
        <f t="shared" si="5"/>
        <v>-87</v>
      </c>
      <c r="G106" s="23">
        <f>IFERROR(IF($C$13="No","N/A",IF(Table1578[[#This Row],[Period]]=1,$C$6,PMT(InterestRate*AmortizationMultiplier/12,Table1578[[#This Row],[Am Thru]],-Table1578[[#This Row],[Beginning Balance]]))),0)</f>
        <v>0</v>
      </c>
      <c r="H106" s="3">
        <f>MAX(0,IF(C106=$C$4,D106,ROUND(IF($C$3="Fixed Principal",$C$6-Table1578[[#This Row],[Interest]],IF($C$3="Interest Only",Table1578[[#This Row],[Beginning Balance]]*ROUND(1-(1-IF($C$11="No",$E$8,1))^(1/12),6),MIN(IF($C$13="Yes",Table1578[[#This Row],[Payment Amount (Reamortized)]],$C$6)-Table1578[[#This Row],[Interest]],Table1578[[#This Row],[Beginning Balance]]))),2)))</f>
        <v>0</v>
      </c>
      <c r="I106" s="3">
        <f>_xlfn.SINGLE(IF($C$3="Line of Credit",0,ROUND(MAX(MIN(IF($C$10="No",$E$7,VLOOKUP(Table1578[[#This Row],[Period]],Forecast!$H$2:$L$1048576,4,FALSE))*Table1578[[#This Row],[Beginning Balance]],Table1578[[#This Row],[Beginning Balance]]-Table1578[[#This Row],[Principal]]),0),2)))</f>
        <v>0</v>
      </c>
      <c r="J106" s="3">
        <f>ROUND(MIN(Table1578[[#This Row],[Beginning Balance]]*IF($C$8="No",$E$3,VLOOKUP(Table1578[[#This Row],[Period]],Forecast!$H$2:$L$1048576,2,FALSE)),Table1578[[#This Row],[Beginning Balance]]-Table1578[[#This Row],[Principal]]-Table1578[[#This Row],[Prepayments]]),2)</f>
        <v>0</v>
      </c>
      <c r="K106" s="3">
        <f>ROUND(Table1578[[#This Row],[Defaulted Principal]]*IF($C$9="No",$E$4,VLOOKUP(Table1578[[#This Row],[Period]],Forecast!$H$2:$L$1048576,3,FALSE)),2)</f>
        <v>0</v>
      </c>
      <c r="L106" s="2">
        <f>Table1578[[#This Row],[Period]]+$E$9</f>
        <v>102</v>
      </c>
      <c r="M106" s="3">
        <f>Table1578[[#This Row],[Defaulted Principal]]-Table1578[[#This Row],[Estimated Loss]]</f>
        <v>0</v>
      </c>
      <c r="N106" s="3">
        <f>IFERROR(VLOOKUP(Table1578[[#This Row],[Period]],$L$16:$M$385,2,FALSE),0)</f>
        <v>0</v>
      </c>
      <c r="O106" s="3">
        <f>Table1578[[#This Row],[Beginning Balance]]-Table1578[[#This Row],[Principal]]-Table1578[[#This Row],[Prepayments]]-Table1578[[#This Row],[Defaulted Principal]]</f>
        <v>0</v>
      </c>
      <c r="P106" s="3">
        <f>Table1578[[#This Row],[Principal]]+Table1578[[#This Row],[Interest]]+Table1578[[#This Row],[Prepayments]]+Table1578[[#This Row],[RecoveredAmount]]</f>
        <v>0</v>
      </c>
      <c r="Q106" s="3">
        <f ca="1">ROUND(Table1578[[#This Row],[Cash Flow]]/((1+ActualRateToUse)^(IF(ISNUMBER(SEARCH("Actual",$C$7)),Table1578[[#This Row],[Running Total]]/365,Table1578[[#This Row],[Period]]/12))),2)</f>
        <v>0</v>
      </c>
      <c r="R106" s="2">
        <f>IF(MONTH(Table1578[[#This Row],[Date]])=2,28,DAY(DATE(YEAR(Table1578[[#This Row],[Date]]),MONTH(Table1578[[#This Row],[Date]])+1,1)-1))</f>
        <v>31</v>
      </c>
      <c r="S106" s="2">
        <f ca="1">SUM(OFFSET(Table1578[[#Headers],[Days in month]],1,0):Table1578[[#This Row],[Days in month]])</f>
        <v>2739</v>
      </c>
      <c r="T106" s="37">
        <f>InterestRate*AmortizationMultiplier*IF(ISNUMBER(SEARCH("Actual",$C$7)),Table1578[[#This Row],[Days in month]]/365,1/12)</f>
        <v>6.2344444444444444E-3</v>
      </c>
    </row>
    <row r="107" spans="2:20" x14ac:dyDescent="0.2">
      <c r="B107" s="1">
        <v>48610</v>
      </c>
      <c r="C107" s="2">
        <f t="shared" si="4"/>
        <v>91</v>
      </c>
      <c r="D107" s="3">
        <f t="shared" si="3"/>
        <v>0</v>
      </c>
      <c r="E107" s="3">
        <f>ROUND(Table1578[[#This Row],[Beginning Balance]]*Table1578[[#This Row],[Monthly Interest Rate]],2)</f>
        <v>0</v>
      </c>
      <c r="F107" s="3">
        <f t="shared" si="5"/>
        <v>-88</v>
      </c>
      <c r="G107" s="23">
        <f>IFERROR(IF($C$13="No","N/A",IF(Table1578[[#This Row],[Period]]=1,$C$6,PMT(InterestRate*AmortizationMultiplier/12,Table1578[[#This Row],[Am Thru]],-Table1578[[#This Row],[Beginning Balance]]))),0)</f>
        <v>0</v>
      </c>
      <c r="H107" s="3">
        <f>MAX(0,IF(C107=$C$4,D107,ROUND(IF($C$3="Fixed Principal",$C$6-Table1578[[#This Row],[Interest]],IF($C$3="Interest Only",Table1578[[#This Row],[Beginning Balance]]*ROUND(1-(1-IF($C$11="No",$E$8,1))^(1/12),6),MIN(IF($C$13="Yes",Table1578[[#This Row],[Payment Amount (Reamortized)]],$C$6)-Table1578[[#This Row],[Interest]],Table1578[[#This Row],[Beginning Balance]]))),2)))</f>
        <v>0</v>
      </c>
      <c r="I107" s="3">
        <f>_xlfn.SINGLE(IF($C$3="Line of Credit",0,ROUND(MAX(MIN(IF($C$10="No",$E$7,VLOOKUP(Table1578[[#This Row],[Period]],Forecast!$H$2:$L$1048576,4,FALSE))*Table1578[[#This Row],[Beginning Balance]],Table1578[[#This Row],[Beginning Balance]]-Table1578[[#This Row],[Principal]]),0),2)))</f>
        <v>0</v>
      </c>
      <c r="J107" s="3">
        <f>ROUND(MIN(Table1578[[#This Row],[Beginning Balance]]*IF($C$8="No",$E$3,VLOOKUP(Table1578[[#This Row],[Period]],Forecast!$H$2:$L$1048576,2,FALSE)),Table1578[[#This Row],[Beginning Balance]]-Table1578[[#This Row],[Principal]]-Table1578[[#This Row],[Prepayments]]),2)</f>
        <v>0</v>
      </c>
      <c r="K107" s="3">
        <f>ROUND(Table1578[[#This Row],[Defaulted Principal]]*IF($C$9="No",$E$4,VLOOKUP(Table1578[[#This Row],[Period]],Forecast!$H$2:$L$1048576,3,FALSE)),2)</f>
        <v>0</v>
      </c>
      <c r="L107" s="2">
        <f>Table1578[[#This Row],[Period]]+$E$9</f>
        <v>103</v>
      </c>
      <c r="M107" s="3">
        <f>Table1578[[#This Row],[Defaulted Principal]]-Table1578[[#This Row],[Estimated Loss]]</f>
        <v>0</v>
      </c>
      <c r="N107" s="3">
        <f>IFERROR(VLOOKUP(Table1578[[#This Row],[Period]],$L$16:$M$385,2,FALSE),0)</f>
        <v>0</v>
      </c>
      <c r="O107" s="3">
        <f>Table1578[[#This Row],[Beginning Balance]]-Table1578[[#This Row],[Principal]]-Table1578[[#This Row],[Prepayments]]-Table1578[[#This Row],[Defaulted Principal]]</f>
        <v>0</v>
      </c>
      <c r="P107" s="3">
        <f>Table1578[[#This Row],[Principal]]+Table1578[[#This Row],[Interest]]+Table1578[[#This Row],[Prepayments]]+Table1578[[#This Row],[RecoveredAmount]]</f>
        <v>0</v>
      </c>
      <c r="Q107" s="3">
        <f ca="1">ROUND(Table1578[[#This Row],[Cash Flow]]/((1+ActualRateToUse)^(IF(ISNUMBER(SEARCH("Actual",$C$7)),Table1578[[#This Row],[Running Total]]/365,Table1578[[#This Row],[Period]]/12))),2)</f>
        <v>0</v>
      </c>
      <c r="R107" s="2">
        <f>IF(MONTH(Table1578[[#This Row],[Date]])=2,28,DAY(DATE(YEAR(Table1578[[#This Row],[Date]]),MONTH(Table1578[[#This Row],[Date]])+1,1)-1))</f>
        <v>31</v>
      </c>
      <c r="S107" s="2">
        <f ca="1">SUM(OFFSET(Table1578[[#Headers],[Days in month]],1,0):Table1578[[#This Row],[Days in month]])</f>
        <v>2770</v>
      </c>
      <c r="T107" s="37">
        <f>InterestRate*AmortizationMultiplier*IF(ISNUMBER(SEARCH("Actual",$C$7)),Table1578[[#This Row],[Days in month]]/365,1/12)</f>
        <v>6.2344444444444444E-3</v>
      </c>
    </row>
    <row r="108" spans="2:20" x14ac:dyDescent="0.2">
      <c r="B108" s="1">
        <v>48638</v>
      </c>
      <c r="C108" s="2">
        <f t="shared" si="4"/>
        <v>92</v>
      </c>
      <c r="D108" s="3">
        <f t="shared" si="3"/>
        <v>0</v>
      </c>
      <c r="E108" s="3">
        <f>ROUND(Table1578[[#This Row],[Beginning Balance]]*Table1578[[#This Row],[Monthly Interest Rate]],2)</f>
        <v>0</v>
      </c>
      <c r="F108" s="3">
        <f t="shared" si="5"/>
        <v>-89</v>
      </c>
      <c r="G108" s="23">
        <f>IFERROR(IF($C$13="No","N/A",IF(Table1578[[#This Row],[Period]]=1,$C$6,PMT(InterestRate*AmortizationMultiplier/12,Table1578[[#This Row],[Am Thru]],-Table1578[[#This Row],[Beginning Balance]]))),0)</f>
        <v>0</v>
      </c>
      <c r="H108" s="3">
        <f>MAX(0,IF(C108=$C$4,D108,ROUND(IF($C$3="Fixed Principal",$C$6-Table1578[[#This Row],[Interest]],IF($C$3="Interest Only",Table1578[[#This Row],[Beginning Balance]]*ROUND(1-(1-IF($C$11="No",$E$8,1))^(1/12),6),MIN(IF($C$13="Yes",Table1578[[#This Row],[Payment Amount (Reamortized)]],$C$6)-Table1578[[#This Row],[Interest]],Table1578[[#This Row],[Beginning Balance]]))),2)))</f>
        <v>0</v>
      </c>
      <c r="I108" s="3">
        <f>_xlfn.SINGLE(IF($C$3="Line of Credit",0,ROUND(MAX(MIN(IF($C$10="No",$E$7,VLOOKUP(Table1578[[#This Row],[Period]],Forecast!$H$2:$L$1048576,4,FALSE))*Table1578[[#This Row],[Beginning Balance]],Table1578[[#This Row],[Beginning Balance]]-Table1578[[#This Row],[Principal]]),0),2)))</f>
        <v>0</v>
      </c>
      <c r="J108" s="3">
        <f>ROUND(MIN(Table1578[[#This Row],[Beginning Balance]]*IF($C$8="No",$E$3,VLOOKUP(Table1578[[#This Row],[Period]],Forecast!$H$2:$L$1048576,2,FALSE)),Table1578[[#This Row],[Beginning Balance]]-Table1578[[#This Row],[Principal]]-Table1578[[#This Row],[Prepayments]]),2)</f>
        <v>0</v>
      </c>
      <c r="K108" s="3">
        <f>ROUND(Table1578[[#This Row],[Defaulted Principal]]*IF($C$9="No",$E$4,VLOOKUP(Table1578[[#This Row],[Period]],Forecast!$H$2:$L$1048576,3,FALSE)),2)</f>
        <v>0</v>
      </c>
      <c r="L108" s="2">
        <f>Table1578[[#This Row],[Period]]+$E$9</f>
        <v>104</v>
      </c>
      <c r="M108" s="3">
        <f>Table1578[[#This Row],[Defaulted Principal]]-Table1578[[#This Row],[Estimated Loss]]</f>
        <v>0</v>
      </c>
      <c r="N108" s="3">
        <f>IFERROR(VLOOKUP(Table1578[[#This Row],[Period]],$L$16:$M$385,2,FALSE),0)</f>
        <v>0</v>
      </c>
      <c r="O108" s="3">
        <f>Table1578[[#This Row],[Beginning Balance]]-Table1578[[#This Row],[Principal]]-Table1578[[#This Row],[Prepayments]]-Table1578[[#This Row],[Defaulted Principal]]</f>
        <v>0</v>
      </c>
      <c r="P108" s="3">
        <f>Table1578[[#This Row],[Principal]]+Table1578[[#This Row],[Interest]]+Table1578[[#This Row],[Prepayments]]+Table1578[[#This Row],[RecoveredAmount]]</f>
        <v>0</v>
      </c>
      <c r="Q108" s="3">
        <f ca="1">ROUND(Table1578[[#This Row],[Cash Flow]]/((1+ActualRateToUse)^(IF(ISNUMBER(SEARCH("Actual",$C$7)),Table1578[[#This Row],[Running Total]]/365,Table1578[[#This Row],[Period]]/12))),2)</f>
        <v>0</v>
      </c>
      <c r="R108" s="2">
        <f>IF(MONTH(Table1578[[#This Row],[Date]])=2,28,DAY(DATE(YEAR(Table1578[[#This Row],[Date]]),MONTH(Table1578[[#This Row],[Date]])+1,1)-1))</f>
        <v>28</v>
      </c>
      <c r="S108" s="2">
        <f ca="1">SUM(OFFSET(Table1578[[#Headers],[Days in month]],1,0):Table1578[[#This Row],[Days in month]])</f>
        <v>2798</v>
      </c>
      <c r="T108" s="37">
        <f>InterestRate*AmortizationMultiplier*IF(ISNUMBER(SEARCH("Actual",$C$7)),Table1578[[#This Row],[Days in month]]/365,1/12)</f>
        <v>5.6311111111111119E-3</v>
      </c>
    </row>
    <row r="109" spans="2:20" x14ac:dyDescent="0.2">
      <c r="B109" s="1">
        <v>48669</v>
      </c>
      <c r="C109" s="2">
        <f t="shared" si="4"/>
        <v>93</v>
      </c>
      <c r="D109" s="3">
        <f t="shared" si="3"/>
        <v>0</v>
      </c>
      <c r="E109" s="3">
        <f>ROUND(Table1578[[#This Row],[Beginning Balance]]*Table1578[[#This Row],[Monthly Interest Rate]],2)</f>
        <v>0</v>
      </c>
      <c r="F109" s="3">
        <f t="shared" si="5"/>
        <v>-90</v>
      </c>
      <c r="G109" s="23">
        <f>IFERROR(IF($C$13="No","N/A",IF(Table1578[[#This Row],[Period]]=1,$C$6,PMT(InterestRate*AmortizationMultiplier/12,Table1578[[#This Row],[Am Thru]],-Table1578[[#This Row],[Beginning Balance]]))),0)</f>
        <v>0</v>
      </c>
      <c r="H109" s="3">
        <f>MAX(0,IF(C109=$C$4,D109,ROUND(IF($C$3="Fixed Principal",$C$6-Table1578[[#This Row],[Interest]],IF($C$3="Interest Only",Table1578[[#This Row],[Beginning Balance]]*ROUND(1-(1-IF($C$11="No",$E$8,1))^(1/12),6),MIN(IF($C$13="Yes",Table1578[[#This Row],[Payment Amount (Reamortized)]],$C$6)-Table1578[[#This Row],[Interest]],Table1578[[#This Row],[Beginning Balance]]))),2)))</f>
        <v>0</v>
      </c>
      <c r="I109" s="3">
        <f>_xlfn.SINGLE(IF($C$3="Line of Credit",0,ROUND(MAX(MIN(IF($C$10="No",$E$7,VLOOKUP(Table1578[[#This Row],[Period]],Forecast!$H$2:$L$1048576,4,FALSE))*Table1578[[#This Row],[Beginning Balance]],Table1578[[#This Row],[Beginning Balance]]-Table1578[[#This Row],[Principal]]),0),2)))</f>
        <v>0</v>
      </c>
      <c r="J109" s="3">
        <f>ROUND(MIN(Table1578[[#This Row],[Beginning Balance]]*IF($C$8="No",$E$3,VLOOKUP(Table1578[[#This Row],[Period]],Forecast!$H$2:$L$1048576,2,FALSE)),Table1578[[#This Row],[Beginning Balance]]-Table1578[[#This Row],[Principal]]-Table1578[[#This Row],[Prepayments]]),2)</f>
        <v>0</v>
      </c>
      <c r="K109" s="3">
        <f>ROUND(Table1578[[#This Row],[Defaulted Principal]]*IF($C$9="No",$E$4,VLOOKUP(Table1578[[#This Row],[Period]],Forecast!$H$2:$L$1048576,3,FALSE)),2)</f>
        <v>0</v>
      </c>
      <c r="L109" s="2">
        <f>Table1578[[#This Row],[Period]]+$E$9</f>
        <v>105</v>
      </c>
      <c r="M109" s="3">
        <f>Table1578[[#This Row],[Defaulted Principal]]-Table1578[[#This Row],[Estimated Loss]]</f>
        <v>0</v>
      </c>
      <c r="N109" s="3">
        <f>IFERROR(VLOOKUP(Table1578[[#This Row],[Period]],$L$16:$M$385,2,FALSE),0)</f>
        <v>0</v>
      </c>
      <c r="O109" s="3">
        <f>Table1578[[#This Row],[Beginning Balance]]-Table1578[[#This Row],[Principal]]-Table1578[[#This Row],[Prepayments]]-Table1578[[#This Row],[Defaulted Principal]]</f>
        <v>0</v>
      </c>
      <c r="P109" s="3">
        <f>Table1578[[#This Row],[Principal]]+Table1578[[#This Row],[Interest]]+Table1578[[#This Row],[Prepayments]]+Table1578[[#This Row],[RecoveredAmount]]</f>
        <v>0</v>
      </c>
      <c r="Q109" s="3">
        <f ca="1">ROUND(Table1578[[#This Row],[Cash Flow]]/((1+ActualRateToUse)^(IF(ISNUMBER(SEARCH("Actual",$C$7)),Table1578[[#This Row],[Running Total]]/365,Table1578[[#This Row],[Period]]/12))),2)</f>
        <v>0</v>
      </c>
      <c r="R109" s="2">
        <f>IF(MONTH(Table1578[[#This Row],[Date]])=2,28,DAY(DATE(YEAR(Table1578[[#This Row],[Date]]),MONTH(Table1578[[#This Row],[Date]])+1,1)-1))</f>
        <v>31</v>
      </c>
      <c r="S109" s="2">
        <f ca="1">SUM(OFFSET(Table1578[[#Headers],[Days in month]],1,0):Table1578[[#This Row],[Days in month]])</f>
        <v>2829</v>
      </c>
      <c r="T109" s="37">
        <f>InterestRate*AmortizationMultiplier*IF(ISNUMBER(SEARCH("Actual",$C$7)),Table1578[[#This Row],[Days in month]]/365,1/12)</f>
        <v>6.2344444444444444E-3</v>
      </c>
    </row>
    <row r="110" spans="2:20" x14ac:dyDescent="0.2">
      <c r="B110" s="1">
        <v>48699</v>
      </c>
      <c r="C110" s="2">
        <f t="shared" si="4"/>
        <v>94</v>
      </c>
      <c r="D110" s="3">
        <f t="shared" si="3"/>
        <v>0</v>
      </c>
      <c r="E110" s="3">
        <f>ROUND(Table1578[[#This Row],[Beginning Balance]]*Table1578[[#This Row],[Monthly Interest Rate]],2)</f>
        <v>0</v>
      </c>
      <c r="F110" s="3">
        <f t="shared" si="5"/>
        <v>-91</v>
      </c>
      <c r="G110" s="23">
        <f>IFERROR(IF($C$13="No","N/A",IF(Table1578[[#This Row],[Period]]=1,$C$6,PMT(InterestRate*AmortizationMultiplier/12,Table1578[[#This Row],[Am Thru]],-Table1578[[#This Row],[Beginning Balance]]))),0)</f>
        <v>0</v>
      </c>
      <c r="H110" s="3">
        <f>MAX(0,IF(C110=$C$4,D110,ROUND(IF($C$3="Fixed Principal",$C$6-Table1578[[#This Row],[Interest]],IF($C$3="Interest Only",Table1578[[#This Row],[Beginning Balance]]*ROUND(1-(1-IF($C$11="No",$E$8,1))^(1/12),6),MIN(IF($C$13="Yes",Table1578[[#This Row],[Payment Amount (Reamortized)]],$C$6)-Table1578[[#This Row],[Interest]],Table1578[[#This Row],[Beginning Balance]]))),2)))</f>
        <v>0</v>
      </c>
      <c r="I110" s="3">
        <f>_xlfn.SINGLE(IF($C$3="Line of Credit",0,ROUND(MAX(MIN(IF($C$10="No",$E$7,VLOOKUP(Table1578[[#This Row],[Period]],Forecast!$H$2:$L$1048576,4,FALSE))*Table1578[[#This Row],[Beginning Balance]],Table1578[[#This Row],[Beginning Balance]]-Table1578[[#This Row],[Principal]]),0),2)))</f>
        <v>0</v>
      </c>
      <c r="J110" s="3">
        <f>ROUND(MIN(Table1578[[#This Row],[Beginning Balance]]*IF($C$8="No",$E$3,VLOOKUP(Table1578[[#This Row],[Period]],Forecast!$H$2:$L$1048576,2,FALSE)),Table1578[[#This Row],[Beginning Balance]]-Table1578[[#This Row],[Principal]]-Table1578[[#This Row],[Prepayments]]),2)</f>
        <v>0</v>
      </c>
      <c r="K110" s="3">
        <f>ROUND(Table1578[[#This Row],[Defaulted Principal]]*IF($C$9="No",$E$4,VLOOKUP(Table1578[[#This Row],[Period]],Forecast!$H$2:$L$1048576,3,FALSE)),2)</f>
        <v>0</v>
      </c>
      <c r="L110" s="2">
        <f>Table1578[[#This Row],[Period]]+$E$9</f>
        <v>106</v>
      </c>
      <c r="M110" s="3">
        <f>Table1578[[#This Row],[Defaulted Principal]]-Table1578[[#This Row],[Estimated Loss]]</f>
        <v>0</v>
      </c>
      <c r="N110" s="3">
        <f>IFERROR(VLOOKUP(Table1578[[#This Row],[Period]],$L$16:$M$385,2,FALSE),0)</f>
        <v>0</v>
      </c>
      <c r="O110" s="3">
        <f>Table1578[[#This Row],[Beginning Balance]]-Table1578[[#This Row],[Principal]]-Table1578[[#This Row],[Prepayments]]-Table1578[[#This Row],[Defaulted Principal]]</f>
        <v>0</v>
      </c>
      <c r="P110" s="3">
        <f>Table1578[[#This Row],[Principal]]+Table1578[[#This Row],[Interest]]+Table1578[[#This Row],[Prepayments]]+Table1578[[#This Row],[RecoveredAmount]]</f>
        <v>0</v>
      </c>
      <c r="Q110" s="3">
        <f ca="1">ROUND(Table1578[[#This Row],[Cash Flow]]/((1+ActualRateToUse)^(IF(ISNUMBER(SEARCH("Actual",$C$7)),Table1578[[#This Row],[Running Total]]/365,Table1578[[#This Row],[Period]]/12))),2)</f>
        <v>0</v>
      </c>
      <c r="R110" s="2">
        <f>IF(MONTH(Table1578[[#This Row],[Date]])=2,28,DAY(DATE(YEAR(Table1578[[#This Row],[Date]]),MONTH(Table1578[[#This Row],[Date]])+1,1)-1))</f>
        <v>30</v>
      </c>
      <c r="S110" s="2">
        <f ca="1">SUM(OFFSET(Table1578[[#Headers],[Days in month]],1,0):Table1578[[#This Row],[Days in month]])</f>
        <v>2859</v>
      </c>
      <c r="T110" s="37">
        <f>InterestRate*AmortizationMultiplier*IF(ISNUMBER(SEARCH("Actual",$C$7)),Table1578[[#This Row],[Days in month]]/365,1/12)</f>
        <v>6.0333333333333333E-3</v>
      </c>
    </row>
    <row r="111" spans="2:20" x14ac:dyDescent="0.2">
      <c r="B111" s="1">
        <v>48730</v>
      </c>
      <c r="C111" s="2">
        <f t="shared" si="4"/>
        <v>95</v>
      </c>
      <c r="D111" s="3">
        <f t="shared" si="3"/>
        <v>0</v>
      </c>
      <c r="E111" s="3">
        <f>ROUND(Table1578[[#This Row],[Beginning Balance]]*Table1578[[#This Row],[Monthly Interest Rate]],2)</f>
        <v>0</v>
      </c>
      <c r="F111" s="3">
        <f t="shared" si="5"/>
        <v>-92</v>
      </c>
      <c r="G111" s="23">
        <f>IFERROR(IF($C$13="No","N/A",IF(Table1578[[#This Row],[Period]]=1,$C$6,PMT(InterestRate*AmortizationMultiplier/12,Table1578[[#This Row],[Am Thru]],-Table1578[[#This Row],[Beginning Balance]]))),0)</f>
        <v>0</v>
      </c>
      <c r="H111" s="3">
        <f>MAX(0,IF(C111=$C$4,D111,ROUND(IF($C$3="Fixed Principal",$C$6-Table1578[[#This Row],[Interest]],IF($C$3="Interest Only",Table1578[[#This Row],[Beginning Balance]]*ROUND(1-(1-IF($C$11="No",$E$8,1))^(1/12),6),MIN(IF($C$13="Yes",Table1578[[#This Row],[Payment Amount (Reamortized)]],$C$6)-Table1578[[#This Row],[Interest]],Table1578[[#This Row],[Beginning Balance]]))),2)))</f>
        <v>0</v>
      </c>
      <c r="I111" s="3">
        <f>_xlfn.SINGLE(IF($C$3="Line of Credit",0,ROUND(MAX(MIN(IF($C$10="No",$E$7,VLOOKUP(Table1578[[#This Row],[Period]],Forecast!$H$2:$L$1048576,4,FALSE))*Table1578[[#This Row],[Beginning Balance]],Table1578[[#This Row],[Beginning Balance]]-Table1578[[#This Row],[Principal]]),0),2)))</f>
        <v>0</v>
      </c>
      <c r="J111" s="3">
        <f>ROUND(MIN(Table1578[[#This Row],[Beginning Balance]]*IF($C$8="No",$E$3,VLOOKUP(Table1578[[#This Row],[Period]],Forecast!$H$2:$L$1048576,2,FALSE)),Table1578[[#This Row],[Beginning Balance]]-Table1578[[#This Row],[Principal]]-Table1578[[#This Row],[Prepayments]]),2)</f>
        <v>0</v>
      </c>
      <c r="K111" s="3">
        <f>ROUND(Table1578[[#This Row],[Defaulted Principal]]*IF($C$9="No",$E$4,VLOOKUP(Table1578[[#This Row],[Period]],Forecast!$H$2:$L$1048576,3,FALSE)),2)</f>
        <v>0</v>
      </c>
      <c r="L111" s="2">
        <f>Table1578[[#This Row],[Period]]+$E$9</f>
        <v>107</v>
      </c>
      <c r="M111" s="3">
        <f>Table1578[[#This Row],[Defaulted Principal]]-Table1578[[#This Row],[Estimated Loss]]</f>
        <v>0</v>
      </c>
      <c r="N111" s="3">
        <f>IFERROR(VLOOKUP(Table1578[[#This Row],[Period]],$L$16:$M$385,2,FALSE),0)</f>
        <v>0</v>
      </c>
      <c r="O111" s="3">
        <f>Table1578[[#This Row],[Beginning Balance]]-Table1578[[#This Row],[Principal]]-Table1578[[#This Row],[Prepayments]]-Table1578[[#This Row],[Defaulted Principal]]</f>
        <v>0</v>
      </c>
      <c r="P111" s="3">
        <f>Table1578[[#This Row],[Principal]]+Table1578[[#This Row],[Interest]]+Table1578[[#This Row],[Prepayments]]+Table1578[[#This Row],[RecoveredAmount]]</f>
        <v>0</v>
      </c>
      <c r="Q111" s="3">
        <f ca="1">ROUND(Table1578[[#This Row],[Cash Flow]]/((1+ActualRateToUse)^(IF(ISNUMBER(SEARCH("Actual",$C$7)),Table1578[[#This Row],[Running Total]]/365,Table1578[[#This Row],[Period]]/12))),2)</f>
        <v>0</v>
      </c>
      <c r="R111" s="2">
        <f>IF(MONTH(Table1578[[#This Row],[Date]])=2,28,DAY(DATE(YEAR(Table1578[[#This Row],[Date]]),MONTH(Table1578[[#This Row],[Date]])+1,1)-1))</f>
        <v>31</v>
      </c>
      <c r="S111" s="2">
        <f ca="1">SUM(OFFSET(Table1578[[#Headers],[Days in month]],1,0):Table1578[[#This Row],[Days in month]])</f>
        <v>2890</v>
      </c>
      <c r="T111" s="37">
        <f>InterestRate*AmortizationMultiplier*IF(ISNUMBER(SEARCH("Actual",$C$7)),Table1578[[#This Row],[Days in month]]/365,1/12)</f>
        <v>6.2344444444444444E-3</v>
      </c>
    </row>
    <row r="112" spans="2:20" x14ac:dyDescent="0.2">
      <c r="B112" s="1">
        <v>48760</v>
      </c>
      <c r="C112" s="2">
        <f t="shared" si="4"/>
        <v>96</v>
      </c>
      <c r="D112" s="3">
        <f t="shared" si="3"/>
        <v>0</v>
      </c>
      <c r="E112" s="3">
        <f>ROUND(Table1578[[#This Row],[Beginning Balance]]*Table1578[[#This Row],[Monthly Interest Rate]],2)</f>
        <v>0</v>
      </c>
      <c r="F112" s="3">
        <f t="shared" si="5"/>
        <v>-93</v>
      </c>
      <c r="G112" s="23">
        <f>IFERROR(IF($C$13="No","N/A",IF(Table1578[[#This Row],[Period]]=1,$C$6,PMT(InterestRate*AmortizationMultiplier/12,Table1578[[#This Row],[Am Thru]],-Table1578[[#This Row],[Beginning Balance]]))),0)</f>
        <v>0</v>
      </c>
      <c r="H112" s="3">
        <f>MAX(0,IF(C112=$C$4,D112,ROUND(IF($C$3="Fixed Principal",$C$6-Table1578[[#This Row],[Interest]],IF($C$3="Interest Only",Table1578[[#This Row],[Beginning Balance]]*ROUND(1-(1-IF($C$11="No",$E$8,1))^(1/12),6),MIN(IF($C$13="Yes",Table1578[[#This Row],[Payment Amount (Reamortized)]],$C$6)-Table1578[[#This Row],[Interest]],Table1578[[#This Row],[Beginning Balance]]))),2)))</f>
        <v>0</v>
      </c>
      <c r="I112" s="3">
        <f>_xlfn.SINGLE(IF($C$3="Line of Credit",0,ROUND(MAX(MIN(IF($C$10="No",$E$7,VLOOKUP(Table1578[[#This Row],[Period]],Forecast!$H$2:$L$1048576,4,FALSE))*Table1578[[#This Row],[Beginning Balance]],Table1578[[#This Row],[Beginning Balance]]-Table1578[[#This Row],[Principal]]),0),2)))</f>
        <v>0</v>
      </c>
      <c r="J112" s="3">
        <f>ROUND(MIN(Table1578[[#This Row],[Beginning Balance]]*IF($C$8="No",$E$3,VLOOKUP(Table1578[[#This Row],[Period]],Forecast!$H$2:$L$1048576,2,FALSE)),Table1578[[#This Row],[Beginning Balance]]-Table1578[[#This Row],[Principal]]-Table1578[[#This Row],[Prepayments]]),2)</f>
        <v>0</v>
      </c>
      <c r="K112" s="3">
        <f>ROUND(Table1578[[#This Row],[Defaulted Principal]]*IF($C$9="No",$E$4,VLOOKUP(Table1578[[#This Row],[Period]],Forecast!$H$2:$L$1048576,3,FALSE)),2)</f>
        <v>0</v>
      </c>
      <c r="L112" s="2">
        <f>Table1578[[#This Row],[Period]]+$E$9</f>
        <v>108</v>
      </c>
      <c r="M112" s="3">
        <f>Table1578[[#This Row],[Defaulted Principal]]-Table1578[[#This Row],[Estimated Loss]]</f>
        <v>0</v>
      </c>
      <c r="N112" s="3">
        <f>IFERROR(VLOOKUP(Table1578[[#This Row],[Period]],$L$16:$M$385,2,FALSE),0)</f>
        <v>0</v>
      </c>
      <c r="O112" s="3">
        <f>Table1578[[#This Row],[Beginning Balance]]-Table1578[[#This Row],[Principal]]-Table1578[[#This Row],[Prepayments]]-Table1578[[#This Row],[Defaulted Principal]]</f>
        <v>0</v>
      </c>
      <c r="P112" s="3">
        <f>Table1578[[#This Row],[Principal]]+Table1578[[#This Row],[Interest]]+Table1578[[#This Row],[Prepayments]]+Table1578[[#This Row],[RecoveredAmount]]</f>
        <v>0</v>
      </c>
      <c r="Q112" s="3">
        <f ca="1">ROUND(Table1578[[#This Row],[Cash Flow]]/((1+ActualRateToUse)^(IF(ISNUMBER(SEARCH("Actual",$C$7)),Table1578[[#This Row],[Running Total]]/365,Table1578[[#This Row],[Period]]/12))),2)</f>
        <v>0</v>
      </c>
      <c r="R112" s="2">
        <f>IF(MONTH(Table1578[[#This Row],[Date]])=2,28,DAY(DATE(YEAR(Table1578[[#This Row],[Date]]),MONTH(Table1578[[#This Row],[Date]])+1,1)-1))</f>
        <v>30</v>
      </c>
      <c r="S112" s="2">
        <f ca="1">SUM(OFFSET(Table1578[[#Headers],[Days in month]],1,0):Table1578[[#This Row],[Days in month]])</f>
        <v>2920</v>
      </c>
      <c r="T112" s="37">
        <f>InterestRate*AmortizationMultiplier*IF(ISNUMBER(SEARCH("Actual",$C$7)),Table1578[[#This Row],[Days in month]]/365,1/12)</f>
        <v>6.0333333333333333E-3</v>
      </c>
    </row>
    <row r="113" spans="2:20" x14ac:dyDescent="0.2">
      <c r="B113" s="1">
        <v>48791</v>
      </c>
      <c r="C113" s="2">
        <f t="shared" si="4"/>
        <v>97</v>
      </c>
      <c r="D113" s="3">
        <f t="shared" si="3"/>
        <v>0</v>
      </c>
      <c r="E113" s="3">
        <f>ROUND(Table1578[[#This Row],[Beginning Balance]]*Table1578[[#This Row],[Monthly Interest Rate]],2)</f>
        <v>0</v>
      </c>
      <c r="F113" s="3">
        <f t="shared" si="5"/>
        <v>-94</v>
      </c>
      <c r="G113" s="23">
        <f>IFERROR(IF($C$13="No","N/A",IF(Table1578[[#This Row],[Period]]=1,$C$6,PMT(InterestRate*AmortizationMultiplier/12,Table1578[[#This Row],[Am Thru]],-Table1578[[#This Row],[Beginning Balance]]))),0)</f>
        <v>0</v>
      </c>
      <c r="H113" s="3">
        <f>MAX(0,IF(C113=$C$4,D113,ROUND(IF($C$3="Fixed Principal",$C$6-Table1578[[#This Row],[Interest]],IF($C$3="Interest Only",Table1578[[#This Row],[Beginning Balance]]*ROUND(1-(1-IF($C$11="No",$E$8,1))^(1/12),6),MIN(IF($C$13="Yes",Table1578[[#This Row],[Payment Amount (Reamortized)]],$C$6)-Table1578[[#This Row],[Interest]],Table1578[[#This Row],[Beginning Balance]]))),2)))</f>
        <v>0</v>
      </c>
      <c r="I113" s="3">
        <f>_xlfn.SINGLE(IF($C$3="Line of Credit",0,ROUND(MAX(MIN(IF($C$10="No",$E$7,VLOOKUP(Table1578[[#This Row],[Period]],Forecast!$H$2:$L$1048576,4,FALSE))*Table1578[[#This Row],[Beginning Balance]],Table1578[[#This Row],[Beginning Balance]]-Table1578[[#This Row],[Principal]]),0),2)))</f>
        <v>0</v>
      </c>
      <c r="J113" s="3">
        <f>ROUND(MIN(Table1578[[#This Row],[Beginning Balance]]*IF($C$8="No",$E$3,VLOOKUP(Table1578[[#This Row],[Period]],Forecast!$H$2:$L$1048576,2,FALSE)),Table1578[[#This Row],[Beginning Balance]]-Table1578[[#This Row],[Principal]]-Table1578[[#This Row],[Prepayments]]),2)</f>
        <v>0</v>
      </c>
      <c r="K113" s="3">
        <f>ROUND(Table1578[[#This Row],[Defaulted Principal]]*IF($C$9="No",$E$4,VLOOKUP(Table1578[[#This Row],[Period]],Forecast!$H$2:$L$1048576,3,FALSE)),2)</f>
        <v>0</v>
      </c>
      <c r="L113" s="2">
        <f>Table1578[[#This Row],[Period]]+$E$9</f>
        <v>109</v>
      </c>
      <c r="M113" s="3">
        <f>Table1578[[#This Row],[Defaulted Principal]]-Table1578[[#This Row],[Estimated Loss]]</f>
        <v>0</v>
      </c>
      <c r="N113" s="3">
        <f>IFERROR(VLOOKUP(Table1578[[#This Row],[Period]],$L$16:$M$385,2,FALSE),0)</f>
        <v>0</v>
      </c>
      <c r="O113" s="3">
        <f>Table1578[[#This Row],[Beginning Balance]]-Table1578[[#This Row],[Principal]]-Table1578[[#This Row],[Prepayments]]-Table1578[[#This Row],[Defaulted Principal]]</f>
        <v>0</v>
      </c>
      <c r="P113" s="3">
        <f>Table1578[[#This Row],[Principal]]+Table1578[[#This Row],[Interest]]+Table1578[[#This Row],[Prepayments]]+Table1578[[#This Row],[RecoveredAmount]]</f>
        <v>0</v>
      </c>
      <c r="Q113" s="3">
        <f ca="1">ROUND(Table1578[[#This Row],[Cash Flow]]/((1+ActualRateToUse)^(IF(ISNUMBER(SEARCH("Actual",$C$7)),Table1578[[#This Row],[Running Total]]/365,Table1578[[#This Row],[Period]]/12))),2)</f>
        <v>0</v>
      </c>
      <c r="R113" s="2">
        <f>IF(MONTH(Table1578[[#This Row],[Date]])=2,28,DAY(DATE(YEAR(Table1578[[#This Row],[Date]]),MONTH(Table1578[[#This Row],[Date]])+1,1)-1))</f>
        <v>31</v>
      </c>
      <c r="S113" s="2">
        <f ca="1">SUM(OFFSET(Table1578[[#Headers],[Days in month]],1,0):Table1578[[#This Row],[Days in month]])</f>
        <v>2951</v>
      </c>
      <c r="T113" s="37">
        <f>InterestRate*AmortizationMultiplier*IF(ISNUMBER(SEARCH("Actual",$C$7)),Table1578[[#This Row],[Days in month]]/365,1/12)</f>
        <v>6.2344444444444444E-3</v>
      </c>
    </row>
    <row r="114" spans="2:20" x14ac:dyDescent="0.2">
      <c r="B114" s="1">
        <v>48822</v>
      </c>
      <c r="C114" s="2">
        <f t="shared" si="4"/>
        <v>98</v>
      </c>
      <c r="D114" s="3">
        <f t="shared" si="3"/>
        <v>0</v>
      </c>
      <c r="E114" s="3">
        <f>ROUND(Table1578[[#This Row],[Beginning Balance]]*Table1578[[#This Row],[Monthly Interest Rate]],2)</f>
        <v>0</v>
      </c>
      <c r="F114" s="3">
        <f t="shared" si="5"/>
        <v>-95</v>
      </c>
      <c r="G114" s="23">
        <f>IFERROR(IF($C$13="No","N/A",IF(Table1578[[#This Row],[Period]]=1,$C$6,PMT(InterestRate*AmortizationMultiplier/12,Table1578[[#This Row],[Am Thru]],-Table1578[[#This Row],[Beginning Balance]]))),0)</f>
        <v>0</v>
      </c>
      <c r="H114" s="3">
        <f>MAX(0,IF(C114=$C$4,D114,ROUND(IF($C$3="Fixed Principal",$C$6-Table1578[[#This Row],[Interest]],IF($C$3="Interest Only",Table1578[[#This Row],[Beginning Balance]]*ROUND(1-(1-IF($C$11="No",$E$8,1))^(1/12),6),MIN(IF($C$13="Yes",Table1578[[#This Row],[Payment Amount (Reamortized)]],$C$6)-Table1578[[#This Row],[Interest]],Table1578[[#This Row],[Beginning Balance]]))),2)))</f>
        <v>0</v>
      </c>
      <c r="I114" s="3">
        <f>_xlfn.SINGLE(IF($C$3="Line of Credit",0,ROUND(MAX(MIN(IF($C$10="No",$E$7,VLOOKUP(Table1578[[#This Row],[Period]],Forecast!$H$2:$L$1048576,4,FALSE))*Table1578[[#This Row],[Beginning Balance]],Table1578[[#This Row],[Beginning Balance]]-Table1578[[#This Row],[Principal]]),0),2)))</f>
        <v>0</v>
      </c>
      <c r="J114" s="3">
        <f>ROUND(MIN(Table1578[[#This Row],[Beginning Balance]]*IF($C$8="No",$E$3,VLOOKUP(Table1578[[#This Row],[Period]],Forecast!$H$2:$L$1048576,2,FALSE)),Table1578[[#This Row],[Beginning Balance]]-Table1578[[#This Row],[Principal]]-Table1578[[#This Row],[Prepayments]]),2)</f>
        <v>0</v>
      </c>
      <c r="K114" s="3">
        <f>ROUND(Table1578[[#This Row],[Defaulted Principal]]*IF($C$9="No",$E$4,VLOOKUP(Table1578[[#This Row],[Period]],Forecast!$H$2:$L$1048576,3,FALSE)),2)</f>
        <v>0</v>
      </c>
      <c r="L114" s="2">
        <f>Table1578[[#This Row],[Period]]+$E$9</f>
        <v>110</v>
      </c>
      <c r="M114" s="3">
        <f>Table1578[[#This Row],[Defaulted Principal]]-Table1578[[#This Row],[Estimated Loss]]</f>
        <v>0</v>
      </c>
      <c r="N114" s="3">
        <f>IFERROR(VLOOKUP(Table1578[[#This Row],[Period]],$L$16:$M$385,2,FALSE),0)</f>
        <v>0</v>
      </c>
      <c r="O114" s="3">
        <f>Table1578[[#This Row],[Beginning Balance]]-Table1578[[#This Row],[Principal]]-Table1578[[#This Row],[Prepayments]]-Table1578[[#This Row],[Defaulted Principal]]</f>
        <v>0</v>
      </c>
      <c r="P114" s="3">
        <f>Table1578[[#This Row],[Principal]]+Table1578[[#This Row],[Interest]]+Table1578[[#This Row],[Prepayments]]+Table1578[[#This Row],[RecoveredAmount]]</f>
        <v>0</v>
      </c>
      <c r="Q114" s="3">
        <f ca="1">ROUND(Table1578[[#This Row],[Cash Flow]]/((1+ActualRateToUse)^(IF(ISNUMBER(SEARCH("Actual",$C$7)),Table1578[[#This Row],[Running Total]]/365,Table1578[[#This Row],[Period]]/12))),2)</f>
        <v>0</v>
      </c>
      <c r="R114" s="2">
        <f>IF(MONTH(Table1578[[#This Row],[Date]])=2,28,DAY(DATE(YEAR(Table1578[[#This Row],[Date]]),MONTH(Table1578[[#This Row],[Date]])+1,1)-1))</f>
        <v>31</v>
      </c>
      <c r="S114" s="2">
        <f ca="1">SUM(OFFSET(Table1578[[#Headers],[Days in month]],1,0):Table1578[[#This Row],[Days in month]])</f>
        <v>2982</v>
      </c>
      <c r="T114" s="37">
        <f>InterestRate*AmortizationMultiplier*IF(ISNUMBER(SEARCH("Actual",$C$7)),Table1578[[#This Row],[Days in month]]/365,1/12)</f>
        <v>6.2344444444444444E-3</v>
      </c>
    </row>
    <row r="115" spans="2:20" x14ac:dyDescent="0.2">
      <c r="B115" s="1">
        <v>48852</v>
      </c>
      <c r="C115" s="2">
        <f t="shared" si="4"/>
        <v>99</v>
      </c>
      <c r="D115" s="3">
        <f t="shared" si="3"/>
        <v>0</v>
      </c>
      <c r="E115" s="3">
        <f>ROUND(Table1578[[#This Row],[Beginning Balance]]*Table1578[[#This Row],[Monthly Interest Rate]],2)</f>
        <v>0</v>
      </c>
      <c r="F115" s="3">
        <f t="shared" si="5"/>
        <v>-96</v>
      </c>
      <c r="G115" s="23">
        <f>IFERROR(IF($C$13="No","N/A",IF(Table1578[[#This Row],[Period]]=1,$C$6,PMT(InterestRate*AmortizationMultiplier/12,Table1578[[#This Row],[Am Thru]],-Table1578[[#This Row],[Beginning Balance]]))),0)</f>
        <v>0</v>
      </c>
      <c r="H115" s="3">
        <f>MAX(0,IF(C115=$C$4,D115,ROUND(IF($C$3="Fixed Principal",$C$6-Table1578[[#This Row],[Interest]],IF($C$3="Interest Only",Table1578[[#This Row],[Beginning Balance]]*ROUND(1-(1-IF($C$11="No",$E$8,1))^(1/12),6),MIN(IF($C$13="Yes",Table1578[[#This Row],[Payment Amount (Reamortized)]],$C$6)-Table1578[[#This Row],[Interest]],Table1578[[#This Row],[Beginning Balance]]))),2)))</f>
        <v>0</v>
      </c>
      <c r="I115" s="3">
        <f>_xlfn.SINGLE(IF($C$3="Line of Credit",0,ROUND(MAX(MIN(IF($C$10="No",$E$7,VLOOKUP(Table1578[[#This Row],[Period]],Forecast!$H$2:$L$1048576,4,FALSE))*Table1578[[#This Row],[Beginning Balance]],Table1578[[#This Row],[Beginning Balance]]-Table1578[[#This Row],[Principal]]),0),2)))</f>
        <v>0</v>
      </c>
      <c r="J115" s="3">
        <f>ROUND(MIN(Table1578[[#This Row],[Beginning Balance]]*IF($C$8="No",$E$3,VLOOKUP(Table1578[[#This Row],[Period]],Forecast!$H$2:$L$1048576,2,FALSE)),Table1578[[#This Row],[Beginning Balance]]-Table1578[[#This Row],[Principal]]-Table1578[[#This Row],[Prepayments]]),2)</f>
        <v>0</v>
      </c>
      <c r="K115" s="3">
        <f>ROUND(Table1578[[#This Row],[Defaulted Principal]]*IF($C$9="No",$E$4,VLOOKUP(Table1578[[#This Row],[Period]],Forecast!$H$2:$L$1048576,3,FALSE)),2)</f>
        <v>0</v>
      </c>
      <c r="L115" s="2">
        <f>Table1578[[#This Row],[Period]]+$E$9</f>
        <v>111</v>
      </c>
      <c r="M115" s="3">
        <f>Table1578[[#This Row],[Defaulted Principal]]-Table1578[[#This Row],[Estimated Loss]]</f>
        <v>0</v>
      </c>
      <c r="N115" s="3">
        <f>IFERROR(VLOOKUP(Table1578[[#This Row],[Period]],$L$16:$M$385,2,FALSE),0)</f>
        <v>0</v>
      </c>
      <c r="O115" s="3">
        <f>Table1578[[#This Row],[Beginning Balance]]-Table1578[[#This Row],[Principal]]-Table1578[[#This Row],[Prepayments]]-Table1578[[#This Row],[Defaulted Principal]]</f>
        <v>0</v>
      </c>
      <c r="P115" s="3">
        <f>Table1578[[#This Row],[Principal]]+Table1578[[#This Row],[Interest]]+Table1578[[#This Row],[Prepayments]]+Table1578[[#This Row],[RecoveredAmount]]</f>
        <v>0</v>
      </c>
      <c r="Q115" s="3">
        <f ca="1">ROUND(Table1578[[#This Row],[Cash Flow]]/((1+ActualRateToUse)^(IF(ISNUMBER(SEARCH("Actual",$C$7)),Table1578[[#This Row],[Running Total]]/365,Table1578[[#This Row],[Period]]/12))),2)</f>
        <v>0</v>
      </c>
      <c r="R115" s="2">
        <f>IF(MONTH(Table1578[[#This Row],[Date]])=2,28,DAY(DATE(YEAR(Table1578[[#This Row],[Date]]),MONTH(Table1578[[#This Row],[Date]])+1,1)-1))</f>
        <v>30</v>
      </c>
      <c r="S115" s="2">
        <f ca="1">SUM(OFFSET(Table1578[[#Headers],[Days in month]],1,0):Table1578[[#This Row],[Days in month]])</f>
        <v>3012</v>
      </c>
      <c r="T115" s="37">
        <f>InterestRate*AmortizationMultiplier*IF(ISNUMBER(SEARCH("Actual",$C$7)),Table1578[[#This Row],[Days in month]]/365,1/12)</f>
        <v>6.0333333333333333E-3</v>
      </c>
    </row>
    <row r="116" spans="2:20" x14ac:dyDescent="0.2">
      <c r="B116" s="1">
        <v>48883</v>
      </c>
      <c r="C116" s="2">
        <f t="shared" si="4"/>
        <v>100</v>
      </c>
      <c r="D116" s="3">
        <f t="shared" si="3"/>
        <v>0</v>
      </c>
      <c r="E116" s="3">
        <f>ROUND(Table1578[[#This Row],[Beginning Balance]]*Table1578[[#This Row],[Monthly Interest Rate]],2)</f>
        <v>0</v>
      </c>
      <c r="F116" s="3">
        <f t="shared" si="5"/>
        <v>-97</v>
      </c>
      <c r="G116" s="23">
        <f>IFERROR(IF($C$13="No","N/A",IF(Table1578[[#This Row],[Period]]=1,$C$6,PMT(InterestRate*AmortizationMultiplier/12,Table1578[[#This Row],[Am Thru]],-Table1578[[#This Row],[Beginning Balance]]))),0)</f>
        <v>0</v>
      </c>
      <c r="H116" s="3">
        <f>MAX(0,IF(C116=$C$4,D116,ROUND(IF($C$3="Fixed Principal",$C$6-Table1578[[#This Row],[Interest]],IF($C$3="Interest Only",Table1578[[#This Row],[Beginning Balance]]*ROUND(1-(1-IF($C$11="No",$E$8,1))^(1/12),6),MIN(IF($C$13="Yes",Table1578[[#This Row],[Payment Amount (Reamortized)]],$C$6)-Table1578[[#This Row],[Interest]],Table1578[[#This Row],[Beginning Balance]]))),2)))</f>
        <v>0</v>
      </c>
      <c r="I116" s="3">
        <f>_xlfn.SINGLE(IF($C$3="Line of Credit",0,ROUND(MAX(MIN(IF($C$10="No",$E$7,VLOOKUP(Table1578[[#This Row],[Period]],Forecast!$H$2:$L$1048576,4,FALSE))*Table1578[[#This Row],[Beginning Balance]],Table1578[[#This Row],[Beginning Balance]]-Table1578[[#This Row],[Principal]]),0),2)))</f>
        <v>0</v>
      </c>
      <c r="J116" s="3">
        <f>ROUND(MIN(Table1578[[#This Row],[Beginning Balance]]*IF($C$8="No",$E$3,VLOOKUP(Table1578[[#This Row],[Period]],Forecast!$H$2:$L$1048576,2,FALSE)),Table1578[[#This Row],[Beginning Balance]]-Table1578[[#This Row],[Principal]]-Table1578[[#This Row],[Prepayments]]),2)</f>
        <v>0</v>
      </c>
      <c r="K116" s="3">
        <f>ROUND(Table1578[[#This Row],[Defaulted Principal]]*IF($C$9="No",$E$4,VLOOKUP(Table1578[[#This Row],[Period]],Forecast!$H$2:$L$1048576,3,FALSE)),2)</f>
        <v>0</v>
      </c>
      <c r="L116" s="2">
        <f>Table1578[[#This Row],[Period]]+$E$9</f>
        <v>112</v>
      </c>
      <c r="M116" s="3">
        <f>Table1578[[#This Row],[Defaulted Principal]]-Table1578[[#This Row],[Estimated Loss]]</f>
        <v>0</v>
      </c>
      <c r="N116" s="3">
        <f>IFERROR(VLOOKUP(Table1578[[#This Row],[Period]],$L$16:$M$385,2,FALSE),0)</f>
        <v>0</v>
      </c>
      <c r="O116" s="3">
        <f>Table1578[[#This Row],[Beginning Balance]]-Table1578[[#This Row],[Principal]]-Table1578[[#This Row],[Prepayments]]-Table1578[[#This Row],[Defaulted Principal]]</f>
        <v>0</v>
      </c>
      <c r="P116" s="3">
        <f>Table1578[[#This Row],[Principal]]+Table1578[[#This Row],[Interest]]+Table1578[[#This Row],[Prepayments]]+Table1578[[#This Row],[RecoveredAmount]]</f>
        <v>0</v>
      </c>
      <c r="Q116" s="3">
        <f ca="1">ROUND(Table1578[[#This Row],[Cash Flow]]/((1+ActualRateToUse)^(IF(ISNUMBER(SEARCH("Actual",$C$7)),Table1578[[#This Row],[Running Total]]/365,Table1578[[#This Row],[Period]]/12))),2)</f>
        <v>0</v>
      </c>
      <c r="R116" s="2">
        <f>IF(MONTH(Table1578[[#This Row],[Date]])=2,28,DAY(DATE(YEAR(Table1578[[#This Row],[Date]]),MONTH(Table1578[[#This Row],[Date]])+1,1)-1))</f>
        <v>31</v>
      </c>
      <c r="S116" s="2">
        <f ca="1">SUM(OFFSET(Table1578[[#Headers],[Days in month]],1,0):Table1578[[#This Row],[Days in month]])</f>
        <v>3043</v>
      </c>
      <c r="T116" s="37">
        <f>InterestRate*AmortizationMultiplier*IF(ISNUMBER(SEARCH("Actual",$C$7)),Table1578[[#This Row],[Days in month]]/365,1/12)</f>
        <v>6.2344444444444444E-3</v>
      </c>
    </row>
    <row r="117" spans="2:20" x14ac:dyDescent="0.2">
      <c r="B117" s="1">
        <v>48913</v>
      </c>
      <c r="C117" s="2">
        <f t="shared" si="4"/>
        <v>101</v>
      </c>
      <c r="D117" s="3">
        <f t="shared" si="3"/>
        <v>0</v>
      </c>
      <c r="E117" s="3">
        <f>ROUND(Table1578[[#This Row],[Beginning Balance]]*Table1578[[#This Row],[Monthly Interest Rate]],2)</f>
        <v>0</v>
      </c>
      <c r="F117" s="3">
        <f t="shared" si="5"/>
        <v>-98</v>
      </c>
      <c r="G117" s="23">
        <f>IFERROR(IF($C$13="No","N/A",IF(Table1578[[#This Row],[Period]]=1,$C$6,PMT(InterestRate*AmortizationMultiplier/12,Table1578[[#This Row],[Am Thru]],-Table1578[[#This Row],[Beginning Balance]]))),0)</f>
        <v>0</v>
      </c>
      <c r="H117" s="3">
        <f>MAX(0,IF(C117=$C$4,D117,ROUND(IF($C$3="Fixed Principal",$C$6-Table1578[[#This Row],[Interest]],IF($C$3="Interest Only",Table1578[[#This Row],[Beginning Balance]]*ROUND(1-(1-IF($C$11="No",$E$8,1))^(1/12),6),MIN(IF($C$13="Yes",Table1578[[#This Row],[Payment Amount (Reamortized)]],$C$6)-Table1578[[#This Row],[Interest]],Table1578[[#This Row],[Beginning Balance]]))),2)))</f>
        <v>0</v>
      </c>
      <c r="I117" s="3">
        <f>_xlfn.SINGLE(IF($C$3="Line of Credit",0,ROUND(MAX(MIN(IF($C$10="No",$E$7,VLOOKUP(Table1578[[#This Row],[Period]],Forecast!$H$2:$L$1048576,4,FALSE))*Table1578[[#This Row],[Beginning Balance]],Table1578[[#This Row],[Beginning Balance]]-Table1578[[#This Row],[Principal]]),0),2)))</f>
        <v>0</v>
      </c>
      <c r="J117" s="3">
        <f>ROUND(MIN(Table1578[[#This Row],[Beginning Balance]]*IF($C$8="No",$E$3,VLOOKUP(Table1578[[#This Row],[Period]],Forecast!$H$2:$L$1048576,2,FALSE)),Table1578[[#This Row],[Beginning Balance]]-Table1578[[#This Row],[Principal]]-Table1578[[#This Row],[Prepayments]]),2)</f>
        <v>0</v>
      </c>
      <c r="K117" s="3">
        <f>ROUND(Table1578[[#This Row],[Defaulted Principal]]*IF($C$9="No",$E$4,VLOOKUP(Table1578[[#This Row],[Period]],Forecast!$H$2:$L$1048576,3,FALSE)),2)</f>
        <v>0</v>
      </c>
      <c r="L117" s="2">
        <f>Table1578[[#This Row],[Period]]+$E$9</f>
        <v>113</v>
      </c>
      <c r="M117" s="3">
        <f>Table1578[[#This Row],[Defaulted Principal]]-Table1578[[#This Row],[Estimated Loss]]</f>
        <v>0</v>
      </c>
      <c r="N117" s="3">
        <f>IFERROR(VLOOKUP(Table1578[[#This Row],[Period]],$L$16:$M$385,2,FALSE),0)</f>
        <v>0</v>
      </c>
      <c r="O117" s="3">
        <f>Table1578[[#This Row],[Beginning Balance]]-Table1578[[#This Row],[Principal]]-Table1578[[#This Row],[Prepayments]]-Table1578[[#This Row],[Defaulted Principal]]</f>
        <v>0</v>
      </c>
      <c r="P117" s="3">
        <f>Table1578[[#This Row],[Principal]]+Table1578[[#This Row],[Interest]]+Table1578[[#This Row],[Prepayments]]+Table1578[[#This Row],[RecoveredAmount]]</f>
        <v>0</v>
      </c>
      <c r="Q117" s="3">
        <f ca="1">ROUND(Table1578[[#This Row],[Cash Flow]]/((1+ActualRateToUse)^(IF(ISNUMBER(SEARCH("Actual",$C$7)),Table1578[[#This Row],[Running Total]]/365,Table1578[[#This Row],[Period]]/12))),2)</f>
        <v>0</v>
      </c>
      <c r="R117" s="2">
        <f>IF(MONTH(Table1578[[#This Row],[Date]])=2,28,DAY(DATE(YEAR(Table1578[[#This Row],[Date]]),MONTH(Table1578[[#This Row],[Date]])+1,1)-1))</f>
        <v>30</v>
      </c>
      <c r="S117" s="2">
        <f ca="1">SUM(OFFSET(Table1578[[#Headers],[Days in month]],1,0):Table1578[[#This Row],[Days in month]])</f>
        <v>3073</v>
      </c>
      <c r="T117" s="37">
        <f>InterestRate*AmortizationMultiplier*IF(ISNUMBER(SEARCH("Actual",$C$7)),Table1578[[#This Row],[Days in month]]/365,1/12)</f>
        <v>6.0333333333333333E-3</v>
      </c>
    </row>
    <row r="118" spans="2:20" x14ac:dyDescent="0.2">
      <c r="B118" s="1">
        <v>48944</v>
      </c>
      <c r="C118" s="2">
        <f t="shared" si="4"/>
        <v>102</v>
      </c>
      <c r="D118" s="3">
        <f t="shared" si="3"/>
        <v>0</v>
      </c>
      <c r="E118" s="3">
        <f>ROUND(Table1578[[#This Row],[Beginning Balance]]*Table1578[[#This Row],[Monthly Interest Rate]],2)</f>
        <v>0</v>
      </c>
      <c r="F118" s="3">
        <f t="shared" si="5"/>
        <v>-99</v>
      </c>
      <c r="G118" s="23">
        <f>IFERROR(IF($C$13="No","N/A",IF(Table1578[[#This Row],[Period]]=1,$C$6,PMT(InterestRate*AmortizationMultiplier/12,Table1578[[#This Row],[Am Thru]],-Table1578[[#This Row],[Beginning Balance]]))),0)</f>
        <v>0</v>
      </c>
      <c r="H118" s="3">
        <f>MAX(0,IF(C118=$C$4,D118,ROUND(IF($C$3="Fixed Principal",$C$6-Table1578[[#This Row],[Interest]],IF($C$3="Interest Only",Table1578[[#This Row],[Beginning Balance]]*ROUND(1-(1-IF($C$11="No",$E$8,1))^(1/12),6),MIN(IF($C$13="Yes",Table1578[[#This Row],[Payment Amount (Reamortized)]],$C$6)-Table1578[[#This Row],[Interest]],Table1578[[#This Row],[Beginning Balance]]))),2)))</f>
        <v>0</v>
      </c>
      <c r="I118" s="3">
        <f>_xlfn.SINGLE(IF($C$3="Line of Credit",0,ROUND(MAX(MIN(IF($C$10="No",$E$7,VLOOKUP(Table1578[[#This Row],[Period]],Forecast!$H$2:$L$1048576,4,FALSE))*Table1578[[#This Row],[Beginning Balance]],Table1578[[#This Row],[Beginning Balance]]-Table1578[[#This Row],[Principal]]),0),2)))</f>
        <v>0</v>
      </c>
      <c r="J118" s="3">
        <f>ROUND(MIN(Table1578[[#This Row],[Beginning Balance]]*IF($C$8="No",$E$3,VLOOKUP(Table1578[[#This Row],[Period]],Forecast!$H$2:$L$1048576,2,FALSE)),Table1578[[#This Row],[Beginning Balance]]-Table1578[[#This Row],[Principal]]-Table1578[[#This Row],[Prepayments]]),2)</f>
        <v>0</v>
      </c>
      <c r="K118" s="3">
        <f>ROUND(Table1578[[#This Row],[Defaulted Principal]]*IF($C$9="No",$E$4,VLOOKUP(Table1578[[#This Row],[Period]],Forecast!$H$2:$L$1048576,3,FALSE)),2)</f>
        <v>0</v>
      </c>
      <c r="L118" s="2">
        <f>Table1578[[#This Row],[Period]]+$E$9</f>
        <v>114</v>
      </c>
      <c r="M118" s="3">
        <f>Table1578[[#This Row],[Defaulted Principal]]-Table1578[[#This Row],[Estimated Loss]]</f>
        <v>0</v>
      </c>
      <c r="N118" s="3">
        <f>IFERROR(VLOOKUP(Table1578[[#This Row],[Period]],$L$16:$M$385,2,FALSE),0)</f>
        <v>0</v>
      </c>
      <c r="O118" s="3">
        <f>Table1578[[#This Row],[Beginning Balance]]-Table1578[[#This Row],[Principal]]-Table1578[[#This Row],[Prepayments]]-Table1578[[#This Row],[Defaulted Principal]]</f>
        <v>0</v>
      </c>
      <c r="P118" s="3">
        <f>Table1578[[#This Row],[Principal]]+Table1578[[#This Row],[Interest]]+Table1578[[#This Row],[Prepayments]]+Table1578[[#This Row],[RecoveredAmount]]</f>
        <v>0</v>
      </c>
      <c r="Q118" s="3">
        <f ca="1">ROUND(Table1578[[#This Row],[Cash Flow]]/((1+ActualRateToUse)^(IF(ISNUMBER(SEARCH("Actual",$C$7)),Table1578[[#This Row],[Running Total]]/365,Table1578[[#This Row],[Period]]/12))),2)</f>
        <v>0</v>
      </c>
      <c r="R118" s="2">
        <f>IF(MONTH(Table1578[[#This Row],[Date]])=2,28,DAY(DATE(YEAR(Table1578[[#This Row],[Date]]),MONTH(Table1578[[#This Row],[Date]])+1,1)-1))</f>
        <v>31</v>
      </c>
      <c r="S118" s="2">
        <f ca="1">SUM(OFFSET(Table1578[[#Headers],[Days in month]],1,0):Table1578[[#This Row],[Days in month]])</f>
        <v>3104</v>
      </c>
      <c r="T118" s="37">
        <f>InterestRate*AmortizationMultiplier*IF(ISNUMBER(SEARCH("Actual",$C$7)),Table1578[[#This Row],[Days in month]]/365,1/12)</f>
        <v>6.2344444444444444E-3</v>
      </c>
    </row>
    <row r="119" spans="2:20" x14ac:dyDescent="0.2">
      <c r="B119" s="1">
        <v>48975</v>
      </c>
      <c r="C119" s="2">
        <f t="shared" si="4"/>
        <v>103</v>
      </c>
      <c r="D119" s="3">
        <f t="shared" si="3"/>
        <v>0</v>
      </c>
      <c r="E119" s="3">
        <f>ROUND(Table1578[[#This Row],[Beginning Balance]]*Table1578[[#This Row],[Monthly Interest Rate]],2)</f>
        <v>0</v>
      </c>
      <c r="F119" s="3">
        <f t="shared" si="5"/>
        <v>-100</v>
      </c>
      <c r="G119" s="23">
        <f>IFERROR(IF($C$13="No","N/A",IF(Table1578[[#This Row],[Period]]=1,$C$6,PMT(InterestRate*AmortizationMultiplier/12,Table1578[[#This Row],[Am Thru]],-Table1578[[#This Row],[Beginning Balance]]))),0)</f>
        <v>0</v>
      </c>
      <c r="H119" s="3">
        <f>MAX(0,IF(C119=$C$4,D119,ROUND(IF($C$3="Fixed Principal",$C$6-Table1578[[#This Row],[Interest]],IF($C$3="Interest Only",Table1578[[#This Row],[Beginning Balance]]*ROUND(1-(1-IF($C$11="No",$E$8,1))^(1/12),6),MIN(IF($C$13="Yes",Table1578[[#This Row],[Payment Amount (Reamortized)]],$C$6)-Table1578[[#This Row],[Interest]],Table1578[[#This Row],[Beginning Balance]]))),2)))</f>
        <v>0</v>
      </c>
      <c r="I119" s="3">
        <f>_xlfn.SINGLE(IF($C$3="Line of Credit",0,ROUND(MAX(MIN(IF($C$10="No",$E$7,VLOOKUP(Table1578[[#This Row],[Period]],Forecast!$H$2:$L$1048576,4,FALSE))*Table1578[[#This Row],[Beginning Balance]],Table1578[[#This Row],[Beginning Balance]]-Table1578[[#This Row],[Principal]]),0),2)))</f>
        <v>0</v>
      </c>
      <c r="J119" s="3">
        <f>ROUND(MIN(Table1578[[#This Row],[Beginning Balance]]*IF($C$8="No",$E$3,VLOOKUP(Table1578[[#This Row],[Period]],Forecast!$H$2:$L$1048576,2,FALSE)),Table1578[[#This Row],[Beginning Balance]]-Table1578[[#This Row],[Principal]]-Table1578[[#This Row],[Prepayments]]),2)</f>
        <v>0</v>
      </c>
      <c r="K119" s="3">
        <f>ROUND(Table1578[[#This Row],[Defaulted Principal]]*IF($C$9="No",$E$4,VLOOKUP(Table1578[[#This Row],[Period]],Forecast!$H$2:$L$1048576,3,FALSE)),2)</f>
        <v>0</v>
      </c>
      <c r="L119" s="2">
        <f>Table1578[[#This Row],[Period]]+$E$9</f>
        <v>115</v>
      </c>
      <c r="M119" s="3">
        <f>Table1578[[#This Row],[Defaulted Principal]]-Table1578[[#This Row],[Estimated Loss]]</f>
        <v>0</v>
      </c>
      <c r="N119" s="3">
        <f>IFERROR(VLOOKUP(Table1578[[#This Row],[Period]],$L$16:$M$385,2,FALSE),0)</f>
        <v>0</v>
      </c>
      <c r="O119" s="3">
        <f>Table1578[[#This Row],[Beginning Balance]]-Table1578[[#This Row],[Principal]]-Table1578[[#This Row],[Prepayments]]-Table1578[[#This Row],[Defaulted Principal]]</f>
        <v>0</v>
      </c>
      <c r="P119" s="3">
        <f>Table1578[[#This Row],[Principal]]+Table1578[[#This Row],[Interest]]+Table1578[[#This Row],[Prepayments]]+Table1578[[#This Row],[RecoveredAmount]]</f>
        <v>0</v>
      </c>
      <c r="Q119" s="3">
        <f ca="1">ROUND(Table1578[[#This Row],[Cash Flow]]/((1+ActualRateToUse)^(IF(ISNUMBER(SEARCH("Actual",$C$7)),Table1578[[#This Row],[Running Total]]/365,Table1578[[#This Row],[Period]]/12))),2)</f>
        <v>0</v>
      </c>
      <c r="R119" s="2">
        <f>IF(MONTH(Table1578[[#This Row],[Date]])=2,28,DAY(DATE(YEAR(Table1578[[#This Row],[Date]]),MONTH(Table1578[[#This Row],[Date]])+1,1)-1))</f>
        <v>31</v>
      </c>
      <c r="S119" s="2">
        <f ca="1">SUM(OFFSET(Table1578[[#Headers],[Days in month]],1,0):Table1578[[#This Row],[Days in month]])</f>
        <v>3135</v>
      </c>
      <c r="T119" s="37">
        <f>InterestRate*AmortizationMultiplier*IF(ISNUMBER(SEARCH("Actual",$C$7)),Table1578[[#This Row],[Days in month]]/365,1/12)</f>
        <v>6.2344444444444444E-3</v>
      </c>
    </row>
    <row r="120" spans="2:20" x14ac:dyDescent="0.2">
      <c r="B120" s="1">
        <v>49003</v>
      </c>
      <c r="C120" s="2">
        <f t="shared" si="4"/>
        <v>104</v>
      </c>
      <c r="D120" s="3">
        <f t="shared" si="3"/>
        <v>0</v>
      </c>
      <c r="E120" s="3">
        <f>ROUND(Table1578[[#This Row],[Beginning Balance]]*Table1578[[#This Row],[Monthly Interest Rate]],2)</f>
        <v>0</v>
      </c>
      <c r="F120" s="3">
        <f t="shared" si="5"/>
        <v>-101</v>
      </c>
      <c r="G120" s="23">
        <f>IFERROR(IF($C$13="No","N/A",IF(Table1578[[#This Row],[Period]]=1,$C$6,PMT(InterestRate*AmortizationMultiplier/12,Table1578[[#This Row],[Am Thru]],-Table1578[[#This Row],[Beginning Balance]]))),0)</f>
        <v>0</v>
      </c>
      <c r="H120" s="3">
        <f>MAX(0,IF(C120=$C$4,D120,ROUND(IF($C$3="Fixed Principal",$C$6-Table1578[[#This Row],[Interest]],IF($C$3="Interest Only",Table1578[[#This Row],[Beginning Balance]]*ROUND(1-(1-IF($C$11="No",$E$8,1))^(1/12),6),MIN(IF($C$13="Yes",Table1578[[#This Row],[Payment Amount (Reamortized)]],$C$6)-Table1578[[#This Row],[Interest]],Table1578[[#This Row],[Beginning Balance]]))),2)))</f>
        <v>0</v>
      </c>
      <c r="I120" s="3">
        <f>_xlfn.SINGLE(IF($C$3="Line of Credit",0,ROUND(MAX(MIN(IF($C$10="No",$E$7,VLOOKUP(Table1578[[#This Row],[Period]],Forecast!$H$2:$L$1048576,4,FALSE))*Table1578[[#This Row],[Beginning Balance]],Table1578[[#This Row],[Beginning Balance]]-Table1578[[#This Row],[Principal]]),0),2)))</f>
        <v>0</v>
      </c>
      <c r="J120" s="3">
        <f>ROUND(MIN(Table1578[[#This Row],[Beginning Balance]]*IF($C$8="No",$E$3,VLOOKUP(Table1578[[#This Row],[Period]],Forecast!$H$2:$L$1048576,2,FALSE)),Table1578[[#This Row],[Beginning Balance]]-Table1578[[#This Row],[Principal]]-Table1578[[#This Row],[Prepayments]]),2)</f>
        <v>0</v>
      </c>
      <c r="K120" s="3">
        <f>ROUND(Table1578[[#This Row],[Defaulted Principal]]*IF($C$9="No",$E$4,VLOOKUP(Table1578[[#This Row],[Period]],Forecast!$H$2:$L$1048576,3,FALSE)),2)</f>
        <v>0</v>
      </c>
      <c r="L120" s="2">
        <f>Table1578[[#This Row],[Period]]+$E$9</f>
        <v>116</v>
      </c>
      <c r="M120" s="3">
        <f>Table1578[[#This Row],[Defaulted Principal]]-Table1578[[#This Row],[Estimated Loss]]</f>
        <v>0</v>
      </c>
      <c r="N120" s="3">
        <f>IFERROR(VLOOKUP(Table1578[[#This Row],[Period]],$L$16:$M$385,2,FALSE),0)</f>
        <v>0</v>
      </c>
      <c r="O120" s="3">
        <f>Table1578[[#This Row],[Beginning Balance]]-Table1578[[#This Row],[Principal]]-Table1578[[#This Row],[Prepayments]]-Table1578[[#This Row],[Defaulted Principal]]</f>
        <v>0</v>
      </c>
      <c r="P120" s="3">
        <f>Table1578[[#This Row],[Principal]]+Table1578[[#This Row],[Interest]]+Table1578[[#This Row],[Prepayments]]+Table1578[[#This Row],[RecoveredAmount]]</f>
        <v>0</v>
      </c>
      <c r="Q120" s="3">
        <f ca="1">ROUND(Table1578[[#This Row],[Cash Flow]]/((1+ActualRateToUse)^(IF(ISNUMBER(SEARCH("Actual",$C$7)),Table1578[[#This Row],[Running Total]]/365,Table1578[[#This Row],[Period]]/12))),2)</f>
        <v>0</v>
      </c>
      <c r="R120" s="2">
        <f>IF(MONTH(Table1578[[#This Row],[Date]])=2,28,DAY(DATE(YEAR(Table1578[[#This Row],[Date]]),MONTH(Table1578[[#This Row],[Date]])+1,1)-1))</f>
        <v>28</v>
      </c>
      <c r="S120" s="2">
        <f ca="1">SUM(OFFSET(Table1578[[#Headers],[Days in month]],1,0):Table1578[[#This Row],[Days in month]])</f>
        <v>3163</v>
      </c>
      <c r="T120" s="37">
        <f>InterestRate*AmortizationMultiplier*IF(ISNUMBER(SEARCH("Actual",$C$7)),Table1578[[#This Row],[Days in month]]/365,1/12)</f>
        <v>5.6311111111111119E-3</v>
      </c>
    </row>
    <row r="121" spans="2:20" x14ac:dyDescent="0.2">
      <c r="B121" s="1">
        <v>49034</v>
      </c>
      <c r="C121" s="2">
        <f t="shared" si="4"/>
        <v>105</v>
      </c>
      <c r="D121" s="3">
        <f t="shared" si="3"/>
        <v>0</v>
      </c>
      <c r="E121" s="3">
        <f>ROUND(Table1578[[#This Row],[Beginning Balance]]*Table1578[[#This Row],[Monthly Interest Rate]],2)</f>
        <v>0</v>
      </c>
      <c r="F121" s="3">
        <f t="shared" si="5"/>
        <v>-102</v>
      </c>
      <c r="G121" s="23">
        <f>IFERROR(IF($C$13="No","N/A",IF(Table1578[[#This Row],[Period]]=1,$C$6,PMT(InterestRate*AmortizationMultiplier/12,Table1578[[#This Row],[Am Thru]],-Table1578[[#This Row],[Beginning Balance]]))),0)</f>
        <v>0</v>
      </c>
      <c r="H121" s="3">
        <f>MAX(0,IF(C121=$C$4,D121,ROUND(IF($C$3="Fixed Principal",$C$6-Table1578[[#This Row],[Interest]],IF($C$3="Interest Only",Table1578[[#This Row],[Beginning Balance]]*ROUND(1-(1-IF($C$11="No",$E$8,1))^(1/12),6),MIN(IF($C$13="Yes",Table1578[[#This Row],[Payment Amount (Reamortized)]],$C$6)-Table1578[[#This Row],[Interest]],Table1578[[#This Row],[Beginning Balance]]))),2)))</f>
        <v>0</v>
      </c>
      <c r="I121" s="3">
        <f>_xlfn.SINGLE(IF($C$3="Line of Credit",0,ROUND(MAX(MIN(IF($C$10="No",$E$7,VLOOKUP(Table1578[[#This Row],[Period]],Forecast!$H$2:$L$1048576,4,FALSE))*Table1578[[#This Row],[Beginning Balance]],Table1578[[#This Row],[Beginning Balance]]-Table1578[[#This Row],[Principal]]),0),2)))</f>
        <v>0</v>
      </c>
      <c r="J121" s="3">
        <f>ROUND(MIN(Table1578[[#This Row],[Beginning Balance]]*IF($C$8="No",$E$3,VLOOKUP(Table1578[[#This Row],[Period]],Forecast!$H$2:$L$1048576,2,FALSE)),Table1578[[#This Row],[Beginning Balance]]-Table1578[[#This Row],[Principal]]-Table1578[[#This Row],[Prepayments]]),2)</f>
        <v>0</v>
      </c>
      <c r="K121" s="3">
        <f>ROUND(Table1578[[#This Row],[Defaulted Principal]]*IF($C$9="No",$E$4,VLOOKUP(Table1578[[#This Row],[Period]],Forecast!$H$2:$L$1048576,3,FALSE)),2)</f>
        <v>0</v>
      </c>
      <c r="L121" s="2">
        <f>Table1578[[#This Row],[Period]]+$E$9</f>
        <v>117</v>
      </c>
      <c r="M121" s="3">
        <f>Table1578[[#This Row],[Defaulted Principal]]-Table1578[[#This Row],[Estimated Loss]]</f>
        <v>0</v>
      </c>
      <c r="N121" s="3">
        <f>IFERROR(VLOOKUP(Table1578[[#This Row],[Period]],$L$16:$M$385,2,FALSE),0)</f>
        <v>0</v>
      </c>
      <c r="O121" s="3">
        <f>Table1578[[#This Row],[Beginning Balance]]-Table1578[[#This Row],[Principal]]-Table1578[[#This Row],[Prepayments]]-Table1578[[#This Row],[Defaulted Principal]]</f>
        <v>0</v>
      </c>
      <c r="P121" s="3">
        <f>Table1578[[#This Row],[Principal]]+Table1578[[#This Row],[Interest]]+Table1578[[#This Row],[Prepayments]]+Table1578[[#This Row],[RecoveredAmount]]</f>
        <v>0</v>
      </c>
      <c r="Q121" s="3">
        <f ca="1">ROUND(Table1578[[#This Row],[Cash Flow]]/((1+ActualRateToUse)^(IF(ISNUMBER(SEARCH("Actual",$C$7)),Table1578[[#This Row],[Running Total]]/365,Table1578[[#This Row],[Period]]/12))),2)</f>
        <v>0</v>
      </c>
      <c r="R121" s="2">
        <f>IF(MONTH(Table1578[[#This Row],[Date]])=2,28,DAY(DATE(YEAR(Table1578[[#This Row],[Date]]),MONTH(Table1578[[#This Row],[Date]])+1,1)-1))</f>
        <v>31</v>
      </c>
      <c r="S121" s="2">
        <f ca="1">SUM(OFFSET(Table1578[[#Headers],[Days in month]],1,0):Table1578[[#This Row],[Days in month]])</f>
        <v>3194</v>
      </c>
      <c r="T121" s="37">
        <f>InterestRate*AmortizationMultiplier*IF(ISNUMBER(SEARCH("Actual",$C$7)),Table1578[[#This Row],[Days in month]]/365,1/12)</f>
        <v>6.2344444444444444E-3</v>
      </c>
    </row>
    <row r="122" spans="2:20" x14ac:dyDescent="0.2">
      <c r="B122" s="1">
        <v>49064</v>
      </c>
      <c r="C122" s="2">
        <f t="shared" si="4"/>
        <v>106</v>
      </c>
      <c r="D122" s="3">
        <f t="shared" si="3"/>
        <v>0</v>
      </c>
      <c r="E122" s="3">
        <f>ROUND(Table1578[[#This Row],[Beginning Balance]]*Table1578[[#This Row],[Monthly Interest Rate]],2)</f>
        <v>0</v>
      </c>
      <c r="F122" s="3">
        <f t="shared" si="5"/>
        <v>-103</v>
      </c>
      <c r="G122" s="23">
        <f>IFERROR(IF($C$13="No","N/A",IF(Table1578[[#This Row],[Period]]=1,$C$6,PMT(InterestRate*AmortizationMultiplier/12,Table1578[[#This Row],[Am Thru]],-Table1578[[#This Row],[Beginning Balance]]))),0)</f>
        <v>0</v>
      </c>
      <c r="H122" s="3">
        <f>MAX(0,IF(C122=$C$4,D122,ROUND(IF($C$3="Fixed Principal",$C$6-Table1578[[#This Row],[Interest]],IF($C$3="Interest Only",Table1578[[#This Row],[Beginning Balance]]*ROUND(1-(1-IF($C$11="No",$E$8,1))^(1/12),6),MIN(IF($C$13="Yes",Table1578[[#This Row],[Payment Amount (Reamortized)]],$C$6)-Table1578[[#This Row],[Interest]],Table1578[[#This Row],[Beginning Balance]]))),2)))</f>
        <v>0</v>
      </c>
      <c r="I122" s="3">
        <f>_xlfn.SINGLE(IF($C$3="Line of Credit",0,ROUND(MAX(MIN(IF($C$10="No",$E$7,VLOOKUP(Table1578[[#This Row],[Period]],Forecast!$H$2:$L$1048576,4,FALSE))*Table1578[[#This Row],[Beginning Balance]],Table1578[[#This Row],[Beginning Balance]]-Table1578[[#This Row],[Principal]]),0),2)))</f>
        <v>0</v>
      </c>
      <c r="J122" s="3">
        <f>ROUND(MIN(Table1578[[#This Row],[Beginning Balance]]*IF($C$8="No",$E$3,VLOOKUP(Table1578[[#This Row],[Period]],Forecast!$H$2:$L$1048576,2,FALSE)),Table1578[[#This Row],[Beginning Balance]]-Table1578[[#This Row],[Principal]]-Table1578[[#This Row],[Prepayments]]),2)</f>
        <v>0</v>
      </c>
      <c r="K122" s="3">
        <f>ROUND(Table1578[[#This Row],[Defaulted Principal]]*IF($C$9="No",$E$4,VLOOKUP(Table1578[[#This Row],[Period]],Forecast!$H$2:$L$1048576,3,FALSE)),2)</f>
        <v>0</v>
      </c>
      <c r="L122" s="2">
        <f>Table1578[[#This Row],[Period]]+$E$9</f>
        <v>118</v>
      </c>
      <c r="M122" s="3">
        <f>Table1578[[#This Row],[Defaulted Principal]]-Table1578[[#This Row],[Estimated Loss]]</f>
        <v>0</v>
      </c>
      <c r="N122" s="3">
        <f>IFERROR(VLOOKUP(Table1578[[#This Row],[Period]],$L$16:$M$385,2,FALSE),0)</f>
        <v>0</v>
      </c>
      <c r="O122" s="3">
        <f>Table1578[[#This Row],[Beginning Balance]]-Table1578[[#This Row],[Principal]]-Table1578[[#This Row],[Prepayments]]-Table1578[[#This Row],[Defaulted Principal]]</f>
        <v>0</v>
      </c>
      <c r="P122" s="3">
        <f>Table1578[[#This Row],[Principal]]+Table1578[[#This Row],[Interest]]+Table1578[[#This Row],[Prepayments]]+Table1578[[#This Row],[RecoveredAmount]]</f>
        <v>0</v>
      </c>
      <c r="Q122" s="3">
        <f ca="1">ROUND(Table1578[[#This Row],[Cash Flow]]/((1+ActualRateToUse)^(IF(ISNUMBER(SEARCH("Actual",$C$7)),Table1578[[#This Row],[Running Total]]/365,Table1578[[#This Row],[Period]]/12))),2)</f>
        <v>0</v>
      </c>
      <c r="R122" s="2">
        <f>IF(MONTH(Table1578[[#This Row],[Date]])=2,28,DAY(DATE(YEAR(Table1578[[#This Row],[Date]]),MONTH(Table1578[[#This Row],[Date]])+1,1)-1))</f>
        <v>30</v>
      </c>
      <c r="S122" s="2">
        <f ca="1">SUM(OFFSET(Table1578[[#Headers],[Days in month]],1,0):Table1578[[#This Row],[Days in month]])</f>
        <v>3224</v>
      </c>
      <c r="T122" s="37">
        <f>InterestRate*AmortizationMultiplier*IF(ISNUMBER(SEARCH("Actual",$C$7)),Table1578[[#This Row],[Days in month]]/365,1/12)</f>
        <v>6.0333333333333333E-3</v>
      </c>
    </row>
    <row r="123" spans="2:20" x14ac:dyDescent="0.2">
      <c r="B123" s="1">
        <v>49095</v>
      </c>
      <c r="C123" s="2">
        <f t="shared" si="4"/>
        <v>107</v>
      </c>
      <c r="D123" s="3">
        <f t="shared" si="3"/>
        <v>0</v>
      </c>
      <c r="E123" s="3">
        <f>ROUND(Table1578[[#This Row],[Beginning Balance]]*Table1578[[#This Row],[Monthly Interest Rate]],2)</f>
        <v>0</v>
      </c>
      <c r="F123" s="3">
        <f t="shared" si="5"/>
        <v>-104</v>
      </c>
      <c r="G123" s="23">
        <f>IFERROR(IF($C$13="No","N/A",IF(Table1578[[#This Row],[Period]]=1,$C$6,PMT(InterestRate*AmortizationMultiplier/12,Table1578[[#This Row],[Am Thru]],-Table1578[[#This Row],[Beginning Balance]]))),0)</f>
        <v>0</v>
      </c>
      <c r="H123" s="3">
        <f>MAX(0,IF(C123=$C$4,D123,ROUND(IF($C$3="Fixed Principal",$C$6-Table1578[[#This Row],[Interest]],IF($C$3="Interest Only",Table1578[[#This Row],[Beginning Balance]]*ROUND(1-(1-IF($C$11="No",$E$8,1))^(1/12),6),MIN(IF($C$13="Yes",Table1578[[#This Row],[Payment Amount (Reamortized)]],$C$6)-Table1578[[#This Row],[Interest]],Table1578[[#This Row],[Beginning Balance]]))),2)))</f>
        <v>0</v>
      </c>
      <c r="I123" s="3">
        <f>_xlfn.SINGLE(IF($C$3="Line of Credit",0,ROUND(MAX(MIN(IF($C$10="No",$E$7,VLOOKUP(Table1578[[#This Row],[Period]],Forecast!$H$2:$L$1048576,4,FALSE))*Table1578[[#This Row],[Beginning Balance]],Table1578[[#This Row],[Beginning Balance]]-Table1578[[#This Row],[Principal]]),0),2)))</f>
        <v>0</v>
      </c>
      <c r="J123" s="3">
        <f>ROUND(MIN(Table1578[[#This Row],[Beginning Balance]]*IF($C$8="No",$E$3,VLOOKUP(Table1578[[#This Row],[Period]],Forecast!$H$2:$L$1048576,2,FALSE)),Table1578[[#This Row],[Beginning Balance]]-Table1578[[#This Row],[Principal]]-Table1578[[#This Row],[Prepayments]]),2)</f>
        <v>0</v>
      </c>
      <c r="K123" s="3">
        <f>ROUND(Table1578[[#This Row],[Defaulted Principal]]*IF($C$9="No",$E$4,VLOOKUP(Table1578[[#This Row],[Period]],Forecast!$H$2:$L$1048576,3,FALSE)),2)</f>
        <v>0</v>
      </c>
      <c r="L123" s="2">
        <f>Table1578[[#This Row],[Period]]+$E$9</f>
        <v>119</v>
      </c>
      <c r="M123" s="3">
        <f>Table1578[[#This Row],[Defaulted Principal]]-Table1578[[#This Row],[Estimated Loss]]</f>
        <v>0</v>
      </c>
      <c r="N123" s="3">
        <f>IFERROR(VLOOKUP(Table1578[[#This Row],[Period]],$L$16:$M$385,2,FALSE),0)</f>
        <v>0</v>
      </c>
      <c r="O123" s="3">
        <f>Table1578[[#This Row],[Beginning Balance]]-Table1578[[#This Row],[Principal]]-Table1578[[#This Row],[Prepayments]]-Table1578[[#This Row],[Defaulted Principal]]</f>
        <v>0</v>
      </c>
      <c r="P123" s="3">
        <f>Table1578[[#This Row],[Principal]]+Table1578[[#This Row],[Interest]]+Table1578[[#This Row],[Prepayments]]+Table1578[[#This Row],[RecoveredAmount]]</f>
        <v>0</v>
      </c>
      <c r="Q123" s="3">
        <f ca="1">ROUND(Table1578[[#This Row],[Cash Flow]]/((1+ActualRateToUse)^(IF(ISNUMBER(SEARCH("Actual",$C$7)),Table1578[[#This Row],[Running Total]]/365,Table1578[[#This Row],[Period]]/12))),2)</f>
        <v>0</v>
      </c>
      <c r="R123" s="2">
        <f>IF(MONTH(Table1578[[#This Row],[Date]])=2,28,DAY(DATE(YEAR(Table1578[[#This Row],[Date]]),MONTH(Table1578[[#This Row],[Date]])+1,1)-1))</f>
        <v>31</v>
      </c>
      <c r="S123" s="2">
        <f ca="1">SUM(OFFSET(Table1578[[#Headers],[Days in month]],1,0):Table1578[[#This Row],[Days in month]])</f>
        <v>3255</v>
      </c>
      <c r="T123" s="37">
        <f>InterestRate*AmortizationMultiplier*IF(ISNUMBER(SEARCH("Actual",$C$7)),Table1578[[#This Row],[Days in month]]/365,1/12)</f>
        <v>6.2344444444444444E-3</v>
      </c>
    </row>
    <row r="124" spans="2:20" x14ac:dyDescent="0.2">
      <c r="B124" s="1">
        <v>49125</v>
      </c>
      <c r="C124" s="2">
        <f t="shared" si="4"/>
        <v>108</v>
      </c>
      <c r="D124" s="3">
        <f t="shared" si="3"/>
        <v>0</v>
      </c>
      <c r="E124" s="3">
        <f>ROUND(Table1578[[#This Row],[Beginning Balance]]*Table1578[[#This Row],[Monthly Interest Rate]],2)</f>
        <v>0</v>
      </c>
      <c r="F124" s="3">
        <f t="shared" si="5"/>
        <v>-105</v>
      </c>
      <c r="G124" s="23">
        <f>IFERROR(IF($C$13="No","N/A",IF(Table1578[[#This Row],[Period]]=1,$C$6,PMT(InterestRate*AmortizationMultiplier/12,Table1578[[#This Row],[Am Thru]],-Table1578[[#This Row],[Beginning Balance]]))),0)</f>
        <v>0</v>
      </c>
      <c r="H124" s="3">
        <f>MAX(0,IF(C124=$C$4,D124,ROUND(IF($C$3="Fixed Principal",$C$6-Table1578[[#This Row],[Interest]],IF($C$3="Interest Only",Table1578[[#This Row],[Beginning Balance]]*ROUND(1-(1-IF($C$11="No",$E$8,1))^(1/12),6),MIN(IF($C$13="Yes",Table1578[[#This Row],[Payment Amount (Reamortized)]],$C$6)-Table1578[[#This Row],[Interest]],Table1578[[#This Row],[Beginning Balance]]))),2)))</f>
        <v>0</v>
      </c>
      <c r="I124" s="3">
        <f>_xlfn.SINGLE(IF($C$3="Line of Credit",0,ROUND(MAX(MIN(IF($C$10="No",$E$7,VLOOKUP(Table1578[[#This Row],[Period]],Forecast!$H$2:$L$1048576,4,FALSE))*Table1578[[#This Row],[Beginning Balance]],Table1578[[#This Row],[Beginning Balance]]-Table1578[[#This Row],[Principal]]),0),2)))</f>
        <v>0</v>
      </c>
      <c r="J124" s="3">
        <f>ROUND(MIN(Table1578[[#This Row],[Beginning Balance]]*IF($C$8="No",$E$3,VLOOKUP(Table1578[[#This Row],[Period]],Forecast!$H$2:$L$1048576,2,FALSE)),Table1578[[#This Row],[Beginning Balance]]-Table1578[[#This Row],[Principal]]-Table1578[[#This Row],[Prepayments]]),2)</f>
        <v>0</v>
      </c>
      <c r="K124" s="3">
        <f>ROUND(Table1578[[#This Row],[Defaulted Principal]]*IF($C$9="No",$E$4,VLOOKUP(Table1578[[#This Row],[Period]],Forecast!$H$2:$L$1048576,3,FALSE)),2)</f>
        <v>0</v>
      </c>
      <c r="L124" s="2">
        <f>Table1578[[#This Row],[Period]]+$E$9</f>
        <v>120</v>
      </c>
      <c r="M124" s="3">
        <f>Table1578[[#This Row],[Defaulted Principal]]-Table1578[[#This Row],[Estimated Loss]]</f>
        <v>0</v>
      </c>
      <c r="N124" s="3">
        <f>IFERROR(VLOOKUP(Table1578[[#This Row],[Period]],$L$16:$M$385,2,FALSE),0)</f>
        <v>0</v>
      </c>
      <c r="O124" s="3">
        <f>Table1578[[#This Row],[Beginning Balance]]-Table1578[[#This Row],[Principal]]-Table1578[[#This Row],[Prepayments]]-Table1578[[#This Row],[Defaulted Principal]]</f>
        <v>0</v>
      </c>
      <c r="P124" s="3">
        <f>Table1578[[#This Row],[Principal]]+Table1578[[#This Row],[Interest]]+Table1578[[#This Row],[Prepayments]]+Table1578[[#This Row],[RecoveredAmount]]</f>
        <v>0</v>
      </c>
      <c r="Q124" s="3">
        <f ca="1">ROUND(Table1578[[#This Row],[Cash Flow]]/((1+ActualRateToUse)^(IF(ISNUMBER(SEARCH("Actual",$C$7)),Table1578[[#This Row],[Running Total]]/365,Table1578[[#This Row],[Period]]/12))),2)</f>
        <v>0</v>
      </c>
      <c r="R124" s="2">
        <f>IF(MONTH(Table1578[[#This Row],[Date]])=2,28,DAY(DATE(YEAR(Table1578[[#This Row],[Date]]),MONTH(Table1578[[#This Row],[Date]])+1,1)-1))</f>
        <v>30</v>
      </c>
      <c r="S124" s="2">
        <f ca="1">SUM(OFFSET(Table1578[[#Headers],[Days in month]],1,0):Table1578[[#This Row],[Days in month]])</f>
        <v>3285</v>
      </c>
      <c r="T124" s="37">
        <f>InterestRate*AmortizationMultiplier*IF(ISNUMBER(SEARCH("Actual",$C$7)),Table1578[[#This Row],[Days in month]]/365,1/12)</f>
        <v>6.0333333333333333E-3</v>
      </c>
    </row>
    <row r="125" spans="2:20" x14ac:dyDescent="0.2">
      <c r="B125" s="1">
        <v>49156</v>
      </c>
      <c r="C125" s="2">
        <f t="shared" si="4"/>
        <v>109</v>
      </c>
      <c r="D125" s="3">
        <f t="shared" si="3"/>
        <v>0</v>
      </c>
      <c r="E125" s="3">
        <f>ROUND(Table1578[[#This Row],[Beginning Balance]]*Table1578[[#This Row],[Monthly Interest Rate]],2)</f>
        <v>0</v>
      </c>
      <c r="F125" s="3">
        <f t="shared" si="5"/>
        <v>-106</v>
      </c>
      <c r="G125" s="23">
        <f>IFERROR(IF($C$13="No","N/A",IF(Table1578[[#This Row],[Period]]=1,$C$6,PMT(InterestRate*AmortizationMultiplier/12,Table1578[[#This Row],[Am Thru]],-Table1578[[#This Row],[Beginning Balance]]))),0)</f>
        <v>0</v>
      </c>
      <c r="H125" s="3">
        <f>MAX(0,IF(C125=$C$4,D125,ROUND(IF($C$3="Fixed Principal",$C$6-Table1578[[#This Row],[Interest]],IF($C$3="Interest Only",Table1578[[#This Row],[Beginning Balance]]*ROUND(1-(1-IF($C$11="No",$E$8,1))^(1/12),6),MIN(IF($C$13="Yes",Table1578[[#This Row],[Payment Amount (Reamortized)]],$C$6)-Table1578[[#This Row],[Interest]],Table1578[[#This Row],[Beginning Balance]]))),2)))</f>
        <v>0</v>
      </c>
      <c r="I125" s="3">
        <f>_xlfn.SINGLE(IF($C$3="Line of Credit",0,ROUND(MAX(MIN(IF($C$10="No",$E$7,VLOOKUP(Table1578[[#This Row],[Period]],Forecast!$H$2:$L$1048576,4,FALSE))*Table1578[[#This Row],[Beginning Balance]],Table1578[[#This Row],[Beginning Balance]]-Table1578[[#This Row],[Principal]]),0),2)))</f>
        <v>0</v>
      </c>
      <c r="J125" s="3">
        <f>ROUND(MIN(Table1578[[#This Row],[Beginning Balance]]*IF($C$8="No",$E$3,VLOOKUP(Table1578[[#This Row],[Period]],Forecast!$H$2:$L$1048576,2,FALSE)),Table1578[[#This Row],[Beginning Balance]]-Table1578[[#This Row],[Principal]]-Table1578[[#This Row],[Prepayments]]),2)</f>
        <v>0</v>
      </c>
      <c r="K125" s="3">
        <f>ROUND(Table1578[[#This Row],[Defaulted Principal]]*IF($C$9="No",$E$4,VLOOKUP(Table1578[[#This Row],[Period]],Forecast!$H$2:$L$1048576,3,FALSE)),2)</f>
        <v>0</v>
      </c>
      <c r="L125" s="2">
        <f>Table1578[[#This Row],[Period]]+$E$9</f>
        <v>121</v>
      </c>
      <c r="M125" s="3">
        <f>Table1578[[#This Row],[Defaulted Principal]]-Table1578[[#This Row],[Estimated Loss]]</f>
        <v>0</v>
      </c>
      <c r="N125" s="3">
        <f>IFERROR(VLOOKUP(Table1578[[#This Row],[Period]],$L$16:$M$385,2,FALSE),0)</f>
        <v>0</v>
      </c>
      <c r="O125" s="3">
        <f>Table1578[[#This Row],[Beginning Balance]]-Table1578[[#This Row],[Principal]]-Table1578[[#This Row],[Prepayments]]-Table1578[[#This Row],[Defaulted Principal]]</f>
        <v>0</v>
      </c>
      <c r="P125" s="3">
        <f>Table1578[[#This Row],[Principal]]+Table1578[[#This Row],[Interest]]+Table1578[[#This Row],[Prepayments]]+Table1578[[#This Row],[RecoveredAmount]]</f>
        <v>0</v>
      </c>
      <c r="Q125" s="3">
        <f ca="1">ROUND(Table1578[[#This Row],[Cash Flow]]/((1+ActualRateToUse)^(IF(ISNUMBER(SEARCH("Actual",$C$7)),Table1578[[#This Row],[Running Total]]/365,Table1578[[#This Row],[Period]]/12))),2)</f>
        <v>0</v>
      </c>
      <c r="R125" s="2">
        <f>IF(MONTH(Table1578[[#This Row],[Date]])=2,28,DAY(DATE(YEAR(Table1578[[#This Row],[Date]]),MONTH(Table1578[[#This Row],[Date]])+1,1)-1))</f>
        <v>31</v>
      </c>
      <c r="S125" s="2">
        <f ca="1">SUM(OFFSET(Table1578[[#Headers],[Days in month]],1,0):Table1578[[#This Row],[Days in month]])</f>
        <v>3316</v>
      </c>
      <c r="T125" s="37">
        <f>InterestRate*AmortizationMultiplier*IF(ISNUMBER(SEARCH("Actual",$C$7)),Table1578[[#This Row],[Days in month]]/365,1/12)</f>
        <v>6.2344444444444444E-3</v>
      </c>
    </row>
    <row r="126" spans="2:20" x14ac:dyDescent="0.2">
      <c r="B126" s="1">
        <v>49187</v>
      </c>
      <c r="C126" s="2">
        <f t="shared" si="4"/>
        <v>110</v>
      </c>
      <c r="D126" s="3">
        <f t="shared" si="3"/>
        <v>0</v>
      </c>
      <c r="E126" s="3">
        <f>ROUND(Table1578[[#This Row],[Beginning Balance]]*Table1578[[#This Row],[Monthly Interest Rate]],2)</f>
        <v>0</v>
      </c>
      <c r="F126" s="3">
        <f t="shared" si="5"/>
        <v>-107</v>
      </c>
      <c r="G126" s="23">
        <f>IFERROR(IF($C$13="No","N/A",IF(Table1578[[#This Row],[Period]]=1,$C$6,PMT(InterestRate*AmortizationMultiplier/12,Table1578[[#This Row],[Am Thru]],-Table1578[[#This Row],[Beginning Balance]]))),0)</f>
        <v>0</v>
      </c>
      <c r="H126" s="3">
        <f>MAX(0,IF(C126=$C$4,D126,ROUND(IF($C$3="Fixed Principal",$C$6-Table1578[[#This Row],[Interest]],IF($C$3="Interest Only",Table1578[[#This Row],[Beginning Balance]]*ROUND(1-(1-IF($C$11="No",$E$8,1))^(1/12),6),MIN(IF($C$13="Yes",Table1578[[#This Row],[Payment Amount (Reamortized)]],$C$6)-Table1578[[#This Row],[Interest]],Table1578[[#This Row],[Beginning Balance]]))),2)))</f>
        <v>0</v>
      </c>
      <c r="I126" s="3">
        <f>_xlfn.SINGLE(IF($C$3="Line of Credit",0,ROUND(MAX(MIN(IF($C$10="No",$E$7,VLOOKUP(Table1578[[#This Row],[Period]],Forecast!$H$2:$L$1048576,4,FALSE))*Table1578[[#This Row],[Beginning Balance]],Table1578[[#This Row],[Beginning Balance]]-Table1578[[#This Row],[Principal]]),0),2)))</f>
        <v>0</v>
      </c>
      <c r="J126" s="3">
        <f>ROUND(MIN(Table1578[[#This Row],[Beginning Balance]]*IF($C$8="No",$E$3,VLOOKUP(Table1578[[#This Row],[Period]],Forecast!$H$2:$L$1048576,2,FALSE)),Table1578[[#This Row],[Beginning Balance]]-Table1578[[#This Row],[Principal]]-Table1578[[#This Row],[Prepayments]]),2)</f>
        <v>0</v>
      </c>
      <c r="K126" s="3">
        <f>ROUND(Table1578[[#This Row],[Defaulted Principal]]*IF($C$9="No",$E$4,VLOOKUP(Table1578[[#This Row],[Period]],Forecast!$H$2:$L$1048576,3,FALSE)),2)</f>
        <v>0</v>
      </c>
      <c r="L126" s="2">
        <f>Table1578[[#This Row],[Period]]+$E$9</f>
        <v>122</v>
      </c>
      <c r="M126" s="3">
        <f>Table1578[[#This Row],[Defaulted Principal]]-Table1578[[#This Row],[Estimated Loss]]</f>
        <v>0</v>
      </c>
      <c r="N126" s="3">
        <f>IFERROR(VLOOKUP(Table1578[[#This Row],[Period]],$L$16:$M$385,2,FALSE),0)</f>
        <v>0</v>
      </c>
      <c r="O126" s="3">
        <f>Table1578[[#This Row],[Beginning Balance]]-Table1578[[#This Row],[Principal]]-Table1578[[#This Row],[Prepayments]]-Table1578[[#This Row],[Defaulted Principal]]</f>
        <v>0</v>
      </c>
      <c r="P126" s="3">
        <f>Table1578[[#This Row],[Principal]]+Table1578[[#This Row],[Interest]]+Table1578[[#This Row],[Prepayments]]+Table1578[[#This Row],[RecoveredAmount]]</f>
        <v>0</v>
      </c>
      <c r="Q126" s="3">
        <f ca="1">ROUND(Table1578[[#This Row],[Cash Flow]]/((1+ActualRateToUse)^(IF(ISNUMBER(SEARCH("Actual",$C$7)),Table1578[[#This Row],[Running Total]]/365,Table1578[[#This Row],[Period]]/12))),2)</f>
        <v>0</v>
      </c>
      <c r="R126" s="2">
        <f>IF(MONTH(Table1578[[#This Row],[Date]])=2,28,DAY(DATE(YEAR(Table1578[[#This Row],[Date]]),MONTH(Table1578[[#This Row],[Date]])+1,1)-1))</f>
        <v>31</v>
      </c>
      <c r="S126" s="2">
        <f ca="1">SUM(OFFSET(Table1578[[#Headers],[Days in month]],1,0):Table1578[[#This Row],[Days in month]])</f>
        <v>3347</v>
      </c>
      <c r="T126" s="37">
        <f>InterestRate*AmortizationMultiplier*IF(ISNUMBER(SEARCH("Actual",$C$7)),Table1578[[#This Row],[Days in month]]/365,1/12)</f>
        <v>6.2344444444444444E-3</v>
      </c>
    </row>
    <row r="127" spans="2:20" x14ac:dyDescent="0.2">
      <c r="B127" s="1">
        <v>49217</v>
      </c>
      <c r="C127" s="2">
        <f t="shared" si="4"/>
        <v>111</v>
      </c>
      <c r="D127" s="3">
        <f t="shared" si="3"/>
        <v>0</v>
      </c>
      <c r="E127" s="3">
        <f>ROUND(Table1578[[#This Row],[Beginning Balance]]*Table1578[[#This Row],[Monthly Interest Rate]],2)</f>
        <v>0</v>
      </c>
      <c r="F127" s="3">
        <f t="shared" si="5"/>
        <v>-108</v>
      </c>
      <c r="G127" s="23">
        <f>IFERROR(IF($C$13="No","N/A",IF(Table1578[[#This Row],[Period]]=1,$C$6,PMT(InterestRate*AmortizationMultiplier/12,Table1578[[#This Row],[Am Thru]],-Table1578[[#This Row],[Beginning Balance]]))),0)</f>
        <v>0</v>
      </c>
      <c r="H127" s="3">
        <f>MAX(0,IF(C127=$C$4,D127,ROUND(IF($C$3="Fixed Principal",$C$6-Table1578[[#This Row],[Interest]],IF($C$3="Interest Only",Table1578[[#This Row],[Beginning Balance]]*ROUND(1-(1-IF($C$11="No",$E$8,1))^(1/12),6),MIN(IF($C$13="Yes",Table1578[[#This Row],[Payment Amount (Reamortized)]],$C$6)-Table1578[[#This Row],[Interest]],Table1578[[#This Row],[Beginning Balance]]))),2)))</f>
        <v>0</v>
      </c>
      <c r="I127" s="3">
        <f>_xlfn.SINGLE(IF($C$3="Line of Credit",0,ROUND(MAX(MIN(IF($C$10="No",$E$7,VLOOKUP(Table1578[[#This Row],[Period]],Forecast!$H$2:$L$1048576,4,FALSE))*Table1578[[#This Row],[Beginning Balance]],Table1578[[#This Row],[Beginning Balance]]-Table1578[[#This Row],[Principal]]),0),2)))</f>
        <v>0</v>
      </c>
      <c r="J127" s="3">
        <f>ROUND(MIN(Table1578[[#This Row],[Beginning Balance]]*IF($C$8="No",$E$3,VLOOKUP(Table1578[[#This Row],[Period]],Forecast!$H$2:$L$1048576,2,FALSE)),Table1578[[#This Row],[Beginning Balance]]-Table1578[[#This Row],[Principal]]-Table1578[[#This Row],[Prepayments]]),2)</f>
        <v>0</v>
      </c>
      <c r="K127" s="3">
        <f>ROUND(Table1578[[#This Row],[Defaulted Principal]]*IF($C$9="No",$E$4,VLOOKUP(Table1578[[#This Row],[Period]],Forecast!$H$2:$L$1048576,3,FALSE)),2)</f>
        <v>0</v>
      </c>
      <c r="L127" s="2">
        <f>Table1578[[#This Row],[Period]]+$E$9</f>
        <v>123</v>
      </c>
      <c r="M127" s="3">
        <f>Table1578[[#This Row],[Defaulted Principal]]-Table1578[[#This Row],[Estimated Loss]]</f>
        <v>0</v>
      </c>
      <c r="N127" s="3">
        <f>IFERROR(VLOOKUP(Table1578[[#This Row],[Period]],$L$16:$M$385,2,FALSE),0)</f>
        <v>0</v>
      </c>
      <c r="O127" s="3">
        <f>Table1578[[#This Row],[Beginning Balance]]-Table1578[[#This Row],[Principal]]-Table1578[[#This Row],[Prepayments]]-Table1578[[#This Row],[Defaulted Principal]]</f>
        <v>0</v>
      </c>
      <c r="P127" s="3">
        <f>Table1578[[#This Row],[Principal]]+Table1578[[#This Row],[Interest]]+Table1578[[#This Row],[Prepayments]]+Table1578[[#This Row],[RecoveredAmount]]</f>
        <v>0</v>
      </c>
      <c r="Q127" s="3">
        <f ca="1">ROUND(Table1578[[#This Row],[Cash Flow]]/((1+ActualRateToUse)^(IF(ISNUMBER(SEARCH("Actual",$C$7)),Table1578[[#This Row],[Running Total]]/365,Table1578[[#This Row],[Period]]/12))),2)</f>
        <v>0</v>
      </c>
      <c r="R127" s="2">
        <f>IF(MONTH(Table1578[[#This Row],[Date]])=2,28,DAY(DATE(YEAR(Table1578[[#This Row],[Date]]),MONTH(Table1578[[#This Row],[Date]])+1,1)-1))</f>
        <v>30</v>
      </c>
      <c r="S127" s="2">
        <f ca="1">SUM(OFFSET(Table1578[[#Headers],[Days in month]],1,0):Table1578[[#This Row],[Days in month]])</f>
        <v>3377</v>
      </c>
      <c r="T127" s="37">
        <f>InterestRate*AmortizationMultiplier*IF(ISNUMBER(SEARCH("Actual",$C$7)),Table1578[[#This Row],[Days in month]]/365,1/12)</f>
        <v>6.0333333333333333E-3</v>
      </c>
    </row>
    <row r="128" spans="2:20" x14ac:dyDescent="0.2">
      <c r="B128" s="1">
        <v>49248</v>
      </c>
      <c r="C128" s="2">
        <f t="shared" si="4"/>
        <v>112</v>
      </c>
      <c r="D128" s="3">
        <f t="shared" si="3"/>
        <v>0</v>
      </c>
      <c r="E128" s="3">
        <f>ROUND(Table1578[[#This Row],[Beginning Balance]]*Table1578[[#This Row],[Monthly Interest Rate]],2)</f>
        <v>0</v>
      </c>
      <c r="F128" s="3">
        <f t="shared" si="5"/>
        <v>-109</v>
      </c>
      <c r="G128" s="23">
        <f>IFERROR(IF($C$13="No","N/A",IF(Table1578[[#This Row],[Period]]=1,$C$6,PMT(InterestRate*AmortizationMultiplier/12,Table1578[[#This Row],[Am Thru]],-Table1578[[#This Row],[Beginning Balance]]))),0)</f>
        <v>0</v>
      </c>
      <c r="H128" s="3">
        <f>MAX(0,IF(C128=$C$4,D128,ROUND(IF($C$3="Fixed Principal",$C$6-Table1578[[#This Row],[Interest]],IF($C$3="Interest Only",Table1578[[#This Row],[Beginning Balance]]*ROUND(1-(1-IF($C$11="No",$E$8,1))^(1/12),6),MIN(IF($C$13="Yes",Table1578[[#This Row],[Payment Amount (Reamortized)]],$C$6)-Table1578[[#This Row],[Interest]],Table1578[[#This Row],[Beginning Balance]]))),2)))</f>
        <v>0</v>
      </c>
      <c r="I128" s="3">
        <f>_xlfn.SINGLE(IF($C$3="Line of Credit",0,ROUND(MAX(MIN(IF($C$10="No",$E$7,VLOOKUP(Table1578[[#This Row],[Period]],Forecast!$H$2:$L$1048576,4,FALSE))*Table1578[[#This Row],[Beginning Balance]],Table1578[[#This Row],[Beginning Balance]]-Table1578[[#This Row],[Principal]]),0),2)))</f>
        <v>0</v>
      </c>
      <c r="J128" s="3">
        <f>ROUND(MIN(Table1578[[#This Row],[Beginning Balance]]*IF($C$8="No",$E$3,VLOOKUP(Table1578[[#This Row],[Period]],Forecast!$H$2:$L$1048576,2,FALSE)),Table1578[[#This Row],[Beginning Balance]]-Table1578[[#This Row],[Principal]]-Table1578[[#This Row],[Prepayments]]),2)</f>
        <v>0</v>
      </c>
      <c r="K128" s="3">
        <f>ROUND(Table1578[[#This Row],[Defaulted Principal]]*IF($C$9="No",$E$4,VLOOKUP(Table1578[[#This Row],[Period]],Forecast!$H$2:$L$1048576,3,FALSE)),2)</f>
        <v>0</v>
      </c>
      <c r="L128" s="2">
        <f>Table1578[[#This Row],[Period]]+$E$9</f>
        <v>124</v>
      </c>
      <c r="M128" s="3">
        <f>Table1578[[#This Row],[Defaulted Principal]]-Table1578[[#This Row],[Estimated Loss]]</f>
        <v>0</v>
      </c>
      <c r="N128" s="3">
        <f>IFERROR(VLOOKUP(Table1578[[#This Row],[Period]],$L$16:$M$385,2,FALSE),0)</f>
        <v>0</v>
      </c>
      <c r="O128" s="3">
        <f>Table1578[[#This Row],[Beginning Balance]]-Table1578[[#This Row],[Principal]]-Table1578[[#This Row],[Prepayments]]-Table1578[[#This Row],[Defaulted Principal]]</f>
        <v>0</v>
      </c>
      <c r="P128" s="3">
        <f>Table1578[[#This Row],[Principal]]+Table1578[[#This Row],[Interest]]+Table1578[[#This Row],[Prepayments]]+Table1578[[#This Row],[RecoveredAmount]]</f>
        <v>0</v>
      </c>
      <c r="Q128" s="3">
        <f ca="1">ROUND(Table1578[[#This Row],[Cash Flow]]/((1+ActualRateToUse)^(IF(ISNUMBER(SEARCH("Actual",$C$7)),Table1578[[#This Row],[Running Total]]/365,Table1578[[#This Row],[Period]]/12))),2)</f>
        <v>0</v>
      </c>
      <c r="R128" s="2">
        <f>IF(MONTH(Table1578[[#This Row],[Date]])=2,28,DAY(DATE(YEAR(Table1578[[#This Row],[Date]]),MONTH(Table1578[[#This Row],[Date]])+1,1)-1))</f>
        <v>31</v>
      </c>
      <c r="S128" s="2">
        <f ca="1">SUM(OFFSET(Table1578[[#Headers],[Days in month]],1,0):Table1578[[#This Row],[Days in month]])</f>
        <v>3408</v>
      </c>
      <c r="T128" s="37">
        <f>InterestRate*AmortizationMultiplier*IF(ISNUMBER(SEARCH("Actual",$C$7)),Table1578[[#This Row],[Days in month]]/365,1/12)</f>
        <v>6.2344444444444444E-3</v>
      </c>
    </row>
    <row r="129" spans="2:20" x14ac:dyDescent="0.2">
      <c r="B129" s="1">
        <v>49278</v>
      </c>
      <c r="C129" s="2">
        <f t="shared" si="4"/>
        <v>113</v>
      </c>
      <c r="D129" s="3">
        <f t="shared" si="3"/>
        <v>0</v>
      </c>
      <c r="E129" s="3">
        <f>ROUND(Table1578[[#This Row],[Beginning Balance]]*Table1578[[#This Row],[Monthly Interest Rate]],2)</f>
        <v>0</v>
      </c>
      <c r="F129" s="3">
        <f t="shared" si="5"/>
        <v>-110</v>
      </c>
      <c r="G129" s="23">
        <f>IFERROR(IF($C$13="No","N/A",IF(Table1578[[#This Row],[Period]]=1,$C$6,PMT(InterestRate*AmortizationMultiplier/12,Table1578[[#This Row],[Am Thru]],-Table1578[[#This Row],[Beginning Balance]]))),0)</f>
        <v>0</v>
      </c>
      <c r="H129" s="3">
        <f>MAX(0,IF(C129=$C$4,D129,ROUND(IF($C$3="Fixed Principal",$C$6-Table1578[[#This Row],[Interest]],IF($C$3="Interest Only",Table1578[[#This Row],[Beginning Balance]]*ROUND(1-(1-IF($C$11="No",$E$8,1))^(1/12),6),MIN(IF($C$13="Yes",Table1578[[#This Row],[Payment Amount (Reamortized)]],$C$6)-Table1578[[#This Row],[Interest]],Table1578[[#This Row],[Beginning Balance]]))),2)))</f>
        <v>0</v>
      </c>
      <c r="I129" s="3">
        <f>_xlfn.SINGLE(IF($C$3="Line of Credit",0,ROUND(MAX(MIN(IF($C$10="No",$E$7,VLOOKUP(Table1578[[#This Row],[Period]],Forecast!$H$2:$L$1048576,4,FALSE))*Table1578[[#This Row],[Beginning Balance]],Table1578[[#This Row],[Beginning Balance]]-Table1578[[#This Row],[Principal]]),0),2)))</f>
        <v>0</v>
      </c>
      <c r="J129" s="3">
        <f>ROUND(MIN(Table1578[[#This Row],[Beginning Balance]]*IF($C$8="No",$E$3,VLOOKUP(Table1578[[#This Row],[Period]],Forecast!$H$2:$L$1048576,2,FALSE)),Table1578[[#This Row],[Beginning Balance]]-Table1578[[#This Row],[Principal]]-Table1578[[#This Row],[Prepayments]]),2)</f>
        <v>0</v>
      </c>
      <c r="K129" s="3">
        <f>ROUND(Table1578[[#This Row],[Defaulted Principal]]*IF($C$9="No",$E$4,VLOOKUP(Table1578[[#This Row],[Period]],Forecast!$H$2:$L$1048576,3,FALSE)),2)</f>
        <v>0</v>
      </c>
      <c r="L129" s="2">
        <f>Table1578[[#This Row],[Period]]+$E$9</f>
        <v>125</v>
      </c>
      <c r="M129" s="3">
        <f>Table1578[[#This Row],[Defaulted Principal]]-Table1578[[#This Row],[Estimated Loss]]</f>
        <v>0</v>
      </c>
      <c r="N129" s="3">
        <f>IFERROR(VLOOKUP(Table1578[[#This Row],[Period]],$L$16:$M$385,2,FALSE),0)</f>
        <v>0</v>
      </c>
      <c r="O129" s="3">
        <f>Table1578[[#This Row],[Beginning Balance]]-Table1578[[#This Row],[Principal]]-Table1578[[#This Row],[Prepayments]]-Table1578[[#This Row],[Defaulted Principal]]</f>
        <v>0</v>
      </c>
      <c r="P129" s="3">
        <f>Table1578[[#This Row],[Principal]]+Table1578[[#This Row],[Interest]]+Table1578[[#This Row],[Prepayments]]+Table1578[[#This Row],[RecoveredAmount]]</f>
        <v>0</v>
      </c>
      <c r="Q129" s="3">
        <f ca="1">ROUND(Table1578[[#This Row],[Cash Flow]]/((1+ActualRateToUse)^(IF(ISNUMBER(SEARCH("Actual",$C$7)),Table1578[[#This Row],[Running Total]]/365,Table1578[[#This Row],[Period]]/12))),2)</f>
        <v>0</v>
      </c>
      <c r="R129" s="2">
        <f>IF(MONTH(Table1578[[#This Row],[Date]])=2,28,DAY(DATE(YEAR(Table1578[[#This Row],[Date]]),MONTH(Table1578[[#This Row],[Date]])+1,1)-1))</f>
        <v>30</v>
      </c>
      <c r="S129" s="2">
        <f ca="1">SUM(OFFSET(Table1578[[#Headers],[Days in month]],1,0):Table1578[[#This Row],[Days in month]])</f>
        <v>3438</v>
      </c>
      <c r="T129" s="37">
        <f>InterestRate*AmortizationMultiplier*IF(ISNUMBER(SEARCH("Actual",$C$7)),Table1578[[#This Row],[Days in month]]/365,1/12)</f>
        <v>6.0333333333333333E-3</v>
      </c>
    </row>
    <row r="130" spans="2:20" x14ac:dyDescent="0.2">
      <c r="B130" s="1">
        <v>49309</v>
      </c>
      <c r="C130" s="2">
        <f t="shared" si="4"/>
        <v>114</v>
      </c>
      <c r="D130" s="3">
        <f t="shared" si="3"/>
        <v>0</v>
      </c>
      <c r="E130" s="3">
        <f>ROUND(Table1578[[#This Row],[Beginning Balance]]*Table1578[[#This Row],[Monthly Interest Rate]],2)</f>
        <v>0</v>
      </c>
      <c r="F130" s="3">
        <f t="shared" si="5"/>
        <v>-111</v>
      </c>
      <c r="G130" s="23">
        <f>IFERROR(IF($C$13="No","N/A",IF(Table1578[[#This Row],[Period]]=1,$C$6,PMT(InterestRate*AmortizationMultiplier/12,Table1578[[#This Row],[Am Thru]],-Table1578[[#This Row],[Beginning Balance]]))),0)</f>
        <v>0</v>
      </c>
      <c r="H130" s="3">
        <f>MAX(0,IF(C130=$C$4,D130,ROUND(IF($C$3="Fixed Principal",$C$6-Table1578[[#This Row],[Interest]],IF($C$3="Interest Only",Table1578[[#This Row],[Beginning Balance]]*ROUND(1-(1-IF($C$11="No",$E$8,1))^(1/12),6),MIN(IF($C$13="Yes",Table1578[[#This Row],[Payment Amount (Reamortized)]],$C$6)-Table1578[[#This Row],[Interest]],Table1578[[#This Row],[Beginning Balance]]))),2)))</f>
        <v>0</v>
      </c>
      <c r="I130" s="3">
        <f>_xlfn.SINGLE(IF($C$3="Line of Credit",0,ROUND(MAX(MIN(IF($C$10="No",$E$7,VLOOKUP(Table1578[[#This Row],[Period]],Forecast!$H$2:$L$1048576,4,FALSE))*Table1578[[#This Row],[Beginning Balance]],Table1578[[#This Row],[Beginning Balance]]-Table1578[[#This Row],[Principal]]),0),2)))</f>
        <v>0</v>
      </c>
      <c r="J130" s="3">
        <f>ROUND(MIN(Table1578[[#This Row],[Beginning Balance]]*IF($C$8="No",$E$3,VLOOKUP(Table1578[[#This Row],[Period]],Forecast!$H$2:$L$1048576,2,FALSE)),Table1578[[#This Row],[Beginning Balance]]-Table1578[[#This Row],[Principal]]-Table1578[[#This Row],[Prepayments]]),2)</f>
        <v>0</v>
      </c>
      <c r="K130" s="3">
        <f>ROUND(Table1578[[#This Row],[Defaulted Principal]]*IF($C$9="No",$E$4,VLOOKUP(Table1578[[#This Row],[Period]],Forecast!$H$2:$L$1048576,3,FALSE)),2)</f>
        <v>0</v>
      </c>
      <c r="L130" s="2">
        <f>Table1578[[#This Row],[Period]]+$E$9</f>
        <v>126</v>
      </c>
      <c r="M130" s="3">
        <f>Table1578[[#This Row],[Defaulted Principal]]-Table1578[[#This Row],[Estimated Loss]]</f>
        <v>0</v>
      </c>
      <c r="N130" s="3">
        <f>IFERROR(VLOOKUP(Table1578[[#This Row],[Period]],$L$16:$M$385,2,FALSE),0)</f>
        <v>0</v>
      </c>
      <c r="O130" s="3">
        <f>Table1578[[#This Row],[Beginning Balance]]-Table1578[[#This Row],[Principal]]-Table1578[[#This Row],[Prepayments]]-Table1578[[#This Row],[Defaulted Principal]]</f>
        <v>0</v>
      </c>
      <c r="P130" s="3">
        <f>Table1578[[#This Row],[Principal]]+Table1578[[#This Row],[Interest]]+Table1578[[#This Row],[Prepayments]]+Table1578[[#This Row],[RecoveredAmount]]</f>
        <v>0</v>
      </c>
      <c r="Q130" s="3">
        <f ca="1">ROUND(Table1578[[#This Row],[Cash Flow]]/((1+ActualRateToUse)^(IF(ISNUMBER(SEARCH("Actual",$C$7)),Table1578[[#This Row],[Running Total]]/365,Table1578[[#This Row],[Period]]/12))),2)</f>
        <v>0</v>
      </c>
      <c r="R130" s="2">
        <f>IF(MONTH(Table1578[[#This Row],[Date]])=2,28,DAY(DATE(YEAR(Table1578[[#This Row],[Date]]),MONTH(Table1578[[#This Row],[Date]])+1,1)-1))</f>
        <v>31</v>
      </c>
      <c r="S130" s="2">
        <f ca="1">SUM(OFFSET(Table1578[[#Headers],[Days in month]],1,0):Table1578[[#This Row],[Days in month]])</f>
        <v>3469</v>
      </c>
      <c r="T130" s="37">
        <f>InterestRate*AmortizationMultiplier*IF(ISNUMBER(SEARCH("Actual",$C$7)),Table1578[[#This Row],[Days in month]]/365,1/12)</f>
        <v>6.2344444444444444E-3</v>
      </c>
    </row>
    <row r="131" spans="2:20" x14ac:dyDescent="0.2">
      <c r="B131" s="1">
        <v>49340</v>
      </c>
      <c r="C131" s="2">
        <f t="shared" si="4"/>
        <v>115</v>
      </c>
      <c r="D131" s="3">
        <f t="shared" si="3"/>
        <v>0</v>
      </c>
      <c r="E131" s="3">
        <f>ROUND(Table1578[[#This Row],[Beginning Balance]]*Table1578[[#This Row],[Monthly Interest Rate]],2)</f>
        <v>0</v>
      </c>
      <c r="F131" s="3">
        <f t="shared" si="5"/>
        <v>-112</v>
      </c>
      <c r="G131" s="23">
        <f>IFERROR(IF($C$13="No","N/A",IF(Table1578[[#This Row],[Period]]=1,$C$6,PMT(InterestRate*AmortizationMultiplier/12,Table1578[[#This Row],[Am Thru]],-Table1578[[#This Row],[Beginning Balance]]))),0)</f>
        <v>0</v>
      </c>
      <c r="H131" s="3">
        <f>MAX(0,IF(C131=$C$4,D131,ROUND(IF($C$3="Fixed Principal",$C$6-Table1578[[#This Row],[Interest]],IF($C$3="Interest Only",Table1578[[#This Row],[Beginning Balance]]*ROUND(1-(1-IF($C$11="No",$E$8,1))^(1/12),6),MIN(IF($C$13="Yes",Table1578[[#This Row],[Payment Amount (Reamortized)]],$C$6)-Table1578[[#This Row],[Interest]],Table1578[[#This Row],[Beginning Balance]]))),2)))</f>
        <v>0</v>
      </c>
      <c r="I131" s="3">
        <f>_xlfn.SINGLE(IF($C$3="Line of Credit",0,ROUND(MAX(MIN(IF($C$10="No",$E$7,VLOOKUP(Table1578[[#This Row],[Period]],Forecast!$H$2:$L$1048576,4,FALSE))*Table1578[[#This Row],[Beginning Balance]],Table1578[[#This Row],[Beginning Balance]]-Table1578[[#This Row],[Principal]]),0),2)))</f>
        <v>0</v>
      </c>
      <c r="J131" s="3">
        <f>ROUND(MIN(Table1578[[#This Row],[Beginning Balance]]*IF($C$8="No",$E$3,VLOOKUP(Table1578[[#This Row],[Period]],Forecast!$H$2:$L$1048576,2,FALSE)),Table1578[[#This Row],[Beginning Balance]]-Table1578[[#This Row],[Principal]]-Table1578[[#This Row],[Prepayments]]),2)</f>
        <v>0</v>
      </c>
      <c r="K131" s="3">
        <f>ROUND(Table1578[[#This Row],[Defaulted Principal]]*IF($C$9="No",$E$4,VLOOKUP(Table1578[[#This Row],[Period]],Forecast!$H$2:$L$1048576,3,FALSE)),2)</f>
        <v>0</v>
      </c>
      <c r="L131" s="2">
        <f>Table1578[[#This Row],[Period]]+$E$9</f>
        <v>127</v>
      </c>
      <c r="M131" s="3">
        <f>Table1578[[#This Row],[Defaulted Principal]]-Table1578[[#This Row],[Estimated Loss]]</f>
        <v>0</v>
      </c>
      <c r="N131" s="3">
        <f>IFERROR(VLOOKUP(Table1578[[#This Row],[Period]],$L$16:$M$385,2,FALSE),0)</f>
        <v>0</v>
      </c>
      <c r="O131" s="3">
        <f>Table1578[[#This Row],[Beginning Balance]]-Table1578[[#This Row],[Principal]]-Table1578[[#This Row],[Prepayments]]-Table1578[[#This Row],[Defaulted Principal]]</f>
        <v>0</v>
      </c>
      <c r="P131" s="3">
        <f>Table1578[[#This Row],[Principal]]+Table1578[[#This Row],[Interest]]+Table1578[[#This Row],[Prepayments]]+Table1578[[#This Row],[RecoveredAmount]]</f>
        <v>0</v>
      </c>
      <c r="Q131" s="3">
        <f ca="1">ROUND(Table1578[[#This Row],[Cash Flow]]/((1+ActualRateToUse)^(IF(ISNUMBER(SEARCH("Actual",$C$7)),Table1578[[#This Row],[Running Total]]/365,Table1578[[#This Row],[Period]]/12))),2)</f>
        <v>0</v>
      </c>
      <c r="R131" s="2">
        <f>IF(MONTH(Table1578[[#This Row],[Date]])=2,28,DAY(DATE(YEAR(Table1578[[#This Row],[Date]]),MONTH(Table1578[[#This Row],[Date]])+1,1)-1))</f>
        <v>31</v>
      </c>
      <c r="S131" s="2">
        <f ca="1">SUM(OFFSET(Table1578[[#Headers],[Days in month]],1,0):Table1578[[#This Row],[Days in month]])</f>
        <v>3500</v>
      </c>
      <c r="T131" s="37">
        <f>InterestRate*AmortizationMultiplier*IF(ISNUMBER(SEARCH("Actual",$C$7)),Table1578[[#This Row],[Days in month]]/365,1/12)</f>
        <v>6.2344444444444444E-3</v>
      </c>
    </row>
    <row r="132" spans="2:20" x14ac:dyDescent="0.2">
      <c r="B132" s="1">
        <v>49368</v>
      </c>
      <c r="C132" s="2">
        <f t="shared" si="4"/>
        <v>116</v>
      </c>
      <c r="D132" s="3">
        <f t="shared" si="3"/>
        <v>0</v>
      </c>
      <c r="E132" s="3">
        <f>ROUND(Table1578[[#This Row],[Beginning Balance]]*Table1578[[#This Row],[Monthly Interest Rate]],2)</f>
        <v>0</v>
      </c>
      <c r="F132" s="3">
        <f t="shared" si="5"/>
        <v>-113</v>
      </c>
      <c r="G132" s="23">
        <f>IFERROR(IF($C$13="No","N/A",IF(Table1578[[#This Row],[Period]]=1,$C$6,PMT(InterestRate*AmortizationMultiplier/12,Table1578[[#This Row],[Am Thru]],-Table1578[[#This Row],[Beginning Balance]]))),0)</f>
        <v>0</v>
      </c>
      <c r="H132" s="3">
        <f>MAX(0,IF(C132=$C$4,D132,ROUND(IF($C$3="Fixed Principal",$C$6-Table1578[[#This Row],[Interest]],IF($C$3="Interest Only",Table1578[[#This Row],[Beginning Balance]]*ROUND(1-(1-IF($C$11="No",$E$8,1))^(1/12),6),MIN(IF($C$13="Yes",Table1578[[#This Row],[Payment Amount (Reamortized)]],$C$6)-Table1578[[#This Row],[Interest]],Table1578[[#This Row],[Beginning Balance]]))),2)))</f>
        <v>0</v>
      </c>
      <c r="I132" s="3">
        <f>_xlfn.SINGLE(IF($C$3="Line of Credit",0,ROUND(MAX(MIN(IF($C$10="No",$E$7,VLOOKUP(Table1578[[#This Row],[Period]],Forecast!$H$2:$L$1048576,4,FALSE))*Table1578[[#This Row],[Beginning Balance]],Table1578[[#This Row],[Beginning Balance]]-Table1578[[#This Row],[Principal]]),0),2)))</f>
        <v>0</v>
      </c>
      <c r="J132" s="3">
        <f>ROUND(MIN(Table1578[[#This Row],[Beginning Balance]]*IF($C$8="No",$E$3,VLOOKUP(Table1578[[#This Row],[Period]],Forecast!$H$2:$L$1048576,2,FALSE)),Table1578[[#This Row],[Beginning Balance]]-Table1578[[#This Row],[Principal]]-Table1578[[#This Row],[Prepayments]]),2)</f>
        <v>0</v>
      </c>
      <c r="K132" s="3">
        <f>ROUND(Table1578[[#This Row],[Defaulted Principal]]*IF($C$9="No",$E$4,VLOOKUP(Table1578[[#This Row],[Period]],Forecast!$H$2:$L$1048576,3,FALSE)),2)</f>
        <v>0</v>
      </c>
      <c r="L132" s="2">
        <f>Table1578[[#This Row],[Period]]+$E$9</f>
        <v>128</v>
      </c>
      <c r="M132" s="3">
        <f>Table1578[[#This Row],[Defaulted Principal]]-Table1578[[#This Row],[Estimated Loss]]</f>
        <v>0</v>
      </c>
      <c r="N132" s="3">
        <f>IFERROR(VLOOKUP(Table1578[[#This Row],[Period]],$L$16:$M$385,2,FALSE),0)</f>
        <v>0</v>
      </c>
      <c r="O132" s="3">
        <f>Table1578[[#This Row],[Beginning Balance]]-Table1578[[#This Row],[Principal]]-Table1578[[#This Row],[Prepayments]]-Table1578[[#This Row],[Defaulted Principal]]</f>
        <v>0</v>
      </c>
      <c r="P132" s="3">
        <f>Table1578[[#This Row],[Principal]]+Table1578[[#This Row],[Interest]]+Table1578[[#This Row],[Prepayments]]+Table1578[[#This Row],[RecoveredAmount]]</f>
        <v>0</v>
      </c>
      <c r="Q132" s="3">
        <f ca="1">ROUND(Table1578[[#This Row],[Cash Flow]]/((1+ActualRateToUse)^(IF(ISNUMBER(SEARCH("Actual",$C$7)),Table1578[[#This Row],[Running Total]]/365,Table1578[[#This Row],[Period]]/12))),2)</f>
        <v>0</v>
      </c>
      <c r="R132" s="2">
        <f>IF(MONTH(Table1578[[#This Row],[Date]])=2,28,DAY(DATE(YEAR(Table1578[[#This Row],[Date]]),MONTH(Table1578[[#This Row],[Date]])+1,1)-1))</f>
        <v>28</v>
      </c>
      <c r="S132" s="2">
        <f ca="1">SUM(OFFSET(Table1578[[#Headers],[Days in month]],1,0):Table1578[[#This Row],[Days in month]])</f>
        <v>3528</v>
      </c>
      <c r="T132" s="37">
        <f>InterestRate*AmortizationMultiplier*IF(ISNUMBER(SEARCH("Actual",$C$7)),Table1578[[#This Row],[Days in month]]/365,1/12)</f>
        <v>5.6311111111111119E-3</v>
      </c>
    </row>
    <row r="133" spans="2:20" x14ac:dyDescent="0.2">
      <c r="B133" s="1">
        <v>49399</v>
      </c>
      <c r="C133" s="2">
        <f t="shared" si="4"/>
        <v>117</v>
      </c>
      <c r="D133" s="3">
        <f t="shared" si="3"/>
        <v>0</v>
      </c>
      <c r="E133" s="3">
        <f>ROUND(Table1578[[#This Row],[Beginning Balance]]*Table1578[[#This Row],[Monthly Interest Rate]],2)</f>
        <v>0</v>
      </c>
      <c r="F133" s="3">
        <f t="shared" si="5"/>
        <v>-114</v>
      </c>
      <c r="G133" s="23">
        <f>IFERROR(IF($C$13="No","N/A",IF(Table1578[[#This Row],[Period]]=1,$C$6,PMT(InterestRate*AmortizationMultiplier/12,Table1578[[#This Row],[Am Thru]],-Table1578[[#This Row],[Beginning Balance]]))),0)</f>
        <v>0</v>
      </c>
      <c r="H133" s="3">
        <f>MAX(0,IF(C133=$C$4,D133,ROUND(IF($C$3="Fixed Principal",$C$6-Table1578[[#This Row],[Interest]],IF($C$3="Interest Only",Table1578[[#This Row],[Beginning Balance]]*ROUND(1-(1-IF($C$11="No",$E$8,1))^(1/12),6),MIN(IF($C$13="Yes",Table1578[[#This Row],[Payment Amount (Reamortized)]],$C$6)-Table1578[[#This Row],[Interest]],Table1578[[#This Row],[Beginning Balance]]))),2)))</f>
        <v>0</v>
      </c>
      <c r="I133" s="3">
        <f>_xlfn.SINGLE(IF($C$3="Line of Credit",0,ROUND(MAX(MIN(IF($C$10="No",$E$7,VLOOKUP(Table1578[[#This Row],[Period]],Forecast!$H$2:$L$1048576,4,FALSE))*Table1578[[#This Row],[Beginning Balance]],Table1578[[#This Row],[Beginning Balance]]-Table1578[[#This Row],[Principal]]),0),2)))</f>
        <v>0</v>
      </c>
      <c r="J133" s="3">
        <f>ROUND(MIN(Table1578[[#This Row],[Beginning Balance]]*IF($C$8="No",$E$3,VLOOKUP(Table1578[[#This Row],[Period]],Forecast!$H$2:$L$1048576,2,FALSE)),Table1578[[#This Row],[Beginning Balance]]-Table1578[[#This Row],[Principal]]-Table1578[[#This Row],[Prepayments]]),2)</f>
        <v>0</v>
      </c>
      <c r="K133" s="3">
        <f>ROUND(Table1578[[#This Row],[Defaulted Principal]]*IF($C$9="No",$E$4,VLOOKUP(Table1578[[#This Row],[Period]],Forecast!$H$2:$L$1048576,3,FALSE)),2)</f>
        <v>0</v>
      </c>
      <c r="L133" s="2">
        <f>Table1578[[#This Row],[Period]]+$E$9</f>
        <v>129</v>
      </c>
      <c r="M133" s="3">
        <f>Table1578[[#This Row],[Defaulted Principal]]-Table1578[[#This Row],[Estimated Loss]]</f>
        <v>0</v>
      </c>
      <c r="N133" s="3">
        <f>IFERROR(VLOOKUP(Table1578[[#This Row],[Period]],$L$16:$M$385,2,FALSE),0)</f>
        <v>0</v>
      </c>
      <c r="O133" s="3">
        <f>Table1578[[#This Row],[Beginning Balance]]-Table1578[[#This Row],[Principal]]-Table1578[[#This Row],[Prepayments]]-Table1578[[#This Row],[Defaulted Principal]]</f>
        <v>0</v>
      </c>
      <c r="P133" s="3">
        <f>Table1578[[#This Row],[Principal]]+Table1578[[#This Row],[Interest]]+Table1578[[#This Row],[Prepayments]]+Table1578[[#This Row],[RecoveredAmount]]</f>
        <v>0</v>
      </c>
      <c r="Q133" s="3">
        <f ca="1">ROUND(Table1578[[#This Row],[Cash Flow]]/((1+ActualRateToUse)^(IF(ISNUMBER(SEARCH("Actual",$C$7)),Table1578[[#This Row],[Running Total]]/365,Table1578[[#This Row],[Period]]/12))),2)</f>
        <v>0</v>
      </c>
      <c r="R133" s="2">
        <f>IF(MONTH(Table1578[[#This Row],[Date]])=2,28,DAY(DATE(YEAR(Table1578[[#This Row],[Date]]),MONTH(Table1578[[#This Row],[Date]])+1,1)-1))</f>
        <v>31</v>
      </c>
      <c r="S133" s="2">
        <f ca="1">SUM(OFFSET(Table1578[[#Headers],[Days in month]],1,0):Table1578[[#This Row],[Days in month]])</f>
        <v>3559</v>
      </c>
      <c r="T133" s="37">
        <f>InterestRate*AmortizationMultiplier*IF(ISNUMBER(SEARCH("Actual",$C$7)),Table1578[[#This Row],[Days in month]]/365,1/12)</f>
        <v>6.2344444444444444E-3</v>
      </c>
    </row>
    <row r="134" spans="2:20" x14ac:dyDescent="0.2">
      <c r="B134" s="1">
        <v>49429</v>
      </c>
      <c r="C134" s="2">
        <f t="shared" si="4"/>
        <v>118</v>
      </c>
      <c r="D134" s="3">
        <f t="shared" si="3"/>
        <v>0</v>
      </c>
      <c r="E134" s="3">
        <f>ROUND(Table1578[[#This Row],[Beginning Balance]]*Table1578[[#This Row],[Monthly Interest Rate]],2)</f>
        <v>0</v>
      </c>
      <c r="F134" s="3">
        <f t="shared" si="5"/>
        <v>-115</v>
      </c>
      <c r="G134" s="23">
        <f>IFERROR(IF($C$13="No","N/A",IF(Table1578[[#This Row],[Period]]=1,$C$6,PMT(InterestRate*AmortizationMultiplier/12,Table1578[[#This Row],[Am Thru]],-Table1578[[#This Row],[Beginning Balance]]))),0)</f>
        <v>0</v>
      </c>
      <c r="H134" s="3">
        <f>MAX(0,IF(C134=$C$4,D134,ROUND(IF($C$3="Fixed Principal",$C$6-Table1578[[#This Row],[Interest]],IF($C$3="Interest Only",Table1578[[#This Row],[Beginning Balance]]*ROUND(1-(1-IF($C$11="No",$E$8,1))^(1/12),6),MIN(IF($C$13="Yes",Table1578[[#This Row],[Payment Amount (Reamortized)]],$C$6)-Table1578[[#This Row],[Interest]],Table1578[[#This Row],[Beginning Balance]]))),2)))</f>
        <v>0</v>
      </c>
      <c r="I134" s="3">
        <f>_xlfn.SINGLE(IF($C$3="Line of Credit",0,ROUND(MAX(MIN(IF($C$10="No",$E$7,VLOOKUP(Table1578[[#This Row],[Period]],Forecast!$H$2:$L$1048576,4,FALSE))*Table1578[[#This Row],[Beginning Balance]],Table1578[[#This Row],[Beginning Balance]]-Table1578[[#This Row],[Principal]]),0),2)))</f>
        <v>0</v>
      </c>
      <c r="J134" s="3">
        <f>ROUND(MIN(Table1578[[#This Row],[Beginning Balance]]*IF($C$8="No",$E$3,VLOOKUP(Table1578[[#This Row],[Period]],Forecast!$H$2:$L$1048576,2,FALSE)),Table1578[[#This Row],[Beginning Balance]]-Table1578[[#This Row],[Principal]]-Table1578[[#This Row],[Prepayments]]),2)</f>
        <v>0</v>
      </c>
      <c r="K134" s="3">
        <f>ROUND(Table1578[[#This Row],[Defaulted Principal]]*IF($C$9="No",$E$4,VLOOKUP(Table1578[[#This Row],[Period]],Forecast!$H$2:$L$1048576,3,FALSE)),2)</f>
        <v>0</v>
      </c>
      <c r="L134" s="2">
        <f>Table1578[[#This Row],[Period]]+$E$9</f>
        <v>130</v>
      </c>
      <c r="M134" s="3">
        <f>Table1578[[#This Row],[Defaulted Principal]]-Table1578[[#This Row],[Estimated Loss]]</f>
        <v>0</v>
      </c>
      <c r="N134" s="3">
        <f>IFERROR(VLOOKUP(Table1578[[#This Row],[Period]],$L$16:$M$385,2,FALSE),0)</f>
        <v>0</v>
      </c>
      <c r="O134" s="3">
        <f>Table1578[[#This Row],[Beginning Balance]]-Table1578[[#This Row],[Principal]]-Table1578[[#This Row],[Prepayments]]-Table1578[[#This Row],[Defaulted Principal]]</f>
        <v>0</v>
      </c>
      <c r="P134" s="3">
        <f>Table1578[[#This Row],[Principal]]+Table1578[[#This Row],[Interest]]+Table1578[[#This Row],[Prepayments]]+Table1578[[#This Row],[RecoveredAmount]]</f>
        <v>0</v>
      </c>
      <c r="Q134" s="3">
        <f ca="1">ROUND(Table1578[[#This Row],[Cash Flow]]/((1+ActualRateToUse)^(IF(ISNUMBER(SEARCH("Actual",$C$7)),Table1578[[#This Row],[Running Total]]/365,Table1578[[#This Row],[Period]]/12))),2)</f>
        <v>0</v>
      </c>
      <c r="R134" s="2">
        <f>IF(MONTH(Table1578[[#This Row],[Date]])=2,28,DAY(DATE(YEAR(Table1578[[#This Row],[Date]]),MONTH(Table1578[[#This Row],[Date]])+1,1)-1))</f>
        <v>30</v>
      </c>
      <c r="S134" s="2">
        <f ca="1">SUM(OFFSET(Table1578[[#Headers],[Days in month]],1,0):Table1578[[#This Row],[Days in month]])</f>
        <v>3589</v>
      </c>
      <c r="T134" s="37">
        <f>InterestRate*AmortizationMultiplier*IF(ISNUMBER(SEARCH("Actual",$C$7)),Table1578[[#This Row],[Days in month]]/365,1/12)</f>
        <v>6.0333333333333333E-3</v>
      </c>
    </row>
    <row r="135" spans="2:20" x14ac:dyDescent="0.2">
      <c r="B135" s="1">
        <v>49460</v>
      </c>
      <c r="C135" s="2">
        <f t="shared" si="4"/>
        <v>119</v>
      </c>
      <c r="D135" s="3">
        <f t="shared" si="3"/>
        <v>0</v>
      </c>
      <c r="E135" s="3">
        <f>ROUND(Table1578[[#This Row],[Beginning Balance]]*Table1578[[#This Row],[Monthly Interest Rate]],2)</f>
        <v>0</v>
      </c>
      <c r="F135" s="3">
        <f t="shared" si="5"/>
        <v>-116</v>
      </c>
      <c r="G135" s="23">
        <f>IFERROR(IF($C$13="No","N/A",IF(Table1578[[#This Row],[Period]]=1,$C$6,PMT(InterestRate*AmortizationMultiplier/12,Table1578[[#This Row],[Am Thru]],-Table1578[[#This Row],[Beginning Balance]]))),0)</f>
        <v>0</v>
      </c>
      <c r="H135" s="3">
        <f>MAX(0,IF(C135=$C$4,D135,ROUND(IF($C$3="Fixed Principal",$C$6-Table1578[[#This Row],[Interest]],IF($C$3="Interest Only",Table1578[[#This Row],[Beginning Balance]]*ROUND(1-(1-IF($C$11="No",$E$8,1))^(1/12),6),MIN(IF($C$13="Yes",Table1578[[#This Row],[Payment Amount (Reamortized)]],$C$6)-Table1578[[#This Row],[Interest]],Table1578[[#This Row],[Beginning Balance]]))),2)))</f>
        <v>0</v>
      </c>
      <c r="I135" s="3">
        <f>_xlfn.SINGLE(IF($C$3="Line of Credit",0,ROUND(MAX(MIN(IF($C$10="No",$E$7,VLOOKUP(Table1578[[#This Row],[Period]],Forecast!$H$2:$L$1048576,4,FALSE))*Table1578[[#This Row],[Beginning Balance]],Table1578[[#This Row],[Beginning Balance]]-Table1578[[#This Row],[Principal]]),0),2)))</f>
        <v>0</v>
      </c>
      <c r="J135" s="3">
        <f>ROUND(MIN(Table1578[[#This Row],[Beginning Balance]]*IF($C$8="No",$E$3,VLOOKUP(Table1578[[#This Row],[Period]],Forecast!$H$2:$L$1048576,2,FALSE)),Table1578[[#This Row],[Beginning Balance]]-Table1578[[#This Row],[Principal]]-Table1578[[#This Row],[Prepayments]]),2)</f>
        <v>0</v>
      </c>
      <c r="K135" s="3">
        <f>ROUND(Table1578[[#This Row],[Defaulted Principal]]*IF($C$9="No",$E$4,VLOOKUP(Table1578[[#This Row],[Period]],Forecast!$H$2:$L$1048576,3,FALSE)),2)</f>
        <v>0</v>
      </c>
      <c r="L135" s="2">
        <f>Table1578[[#This Row],[Period]]+$E$9</f>
        <v>131</v>
      </c>
      <c r="M135" s="3">
        <f>Table1578[[#This Row],[Defaulted Principal]]-Table1578[[#This Row],[Estimated Loss]]</f>
        <v>0</v>
      </c>
      <c r="N135" s="3">
        <f>IFERROR(VLOOKUP(Table1578[[#This Row],[Period]],$L$16:$M$385,2,FALSE),0)</f>
        <v>0</v>
      </c>
      <c r="O135" s="3">
        <f>Table1578[[#This Row],[Beginning Balance]]-Table1578[[#This Row],[Principal]]-Table1578[[#This Row],[Prepayments]]-Table1578[[#This Row],[Defaulted Principal]]</f>
        <v>0</v>
      </c>
      <c r="P135" s="3">
        <f>Table1578[[#This Row],[Principal]]+Table1578[[#This Row],[Interest]]+Table1578[[#This Row],[Prepayments]]+Table1578[[#This Row],[RecoveredAmount]]</f>
        <v>0</v>
      </c>
      <c r="Q135" s="3">
        <f ca="1">ROUND(Table1578[[#This Row],[Cash Flow]]/((1+ActualRateToUse)^(IF(ISNUMBER(SEARCH("Actual",$C$7)),Table1578[[#This Row],[Running Total]]/365,Table1578[[#This Row],[Period]]/12))),2)</f>
        <v>0</v>
      </c>
      <c r="R135" s="2">
        <f>IF(MONTH(Table1578[[#This Row],[Date]])=2,28,DAY(DATE(YEAR(Table1578[[#This Row],[Date]]),MONTH(Table1578[[#This Row],[Date]])+1,1)-1))</f>
        <v>31</v>
      </c>
      <c r="S135" s="2">
        <f ca="1">SUM(OFFSET(Table1578[[#Headers],[Days in month]],1,0):Table1578[[#This Row],[Days in month]])</f>
        <v>3620</v>
      </c>
      <c r="T135" s="37">
        <f>InterestRate*AmortizationMultiplier*IF(ISNUMBER(SEARCH("Actual",$C$7)),Table1578[[#This Row],[Days in month]]/365,1/12)</f>
        <v>6.2344444444444444E-3</v>
      </c>
    </row>
    <row r="136" spans="2:20" x14ac:dyDescent="0.2">
      <c r="B136" s="1">
        <v>49490</v>
      </c>
      <c r="C136" s="2">
        <f t="shared" si="4"/>
        <v>120</v>
      </c>
      <c r="D136" s="3">
        <f t="shared" si="3"/>
        <v>0</v>
      </c>
      <c r="E136" s="3">
        <f>ROUND(Table1578[[#This Row],[Beginning Balance]]*Table1578[[#This Row],[Monthly Interest Rate]],2)</f>
        <v>0</v>
      </c>
      <c r="F136" s="3">
        <f t="shared" si="5"/>
        <v>-117</v>
      </c>
      <c r="G136" s="23">
        <f>IFERROR(IF($C$13="No","N/A",IF(Table1578[[#This Row],[Period]]=1,$C$6,PMT(InterestRate*AmortizationMultiplier/12,Table1578[[#This Row],[Am Thru]],-Table1578[[#This Row],[Beginning Balance]]))),0)</f>
        <v>0</v>
      </c>
      <c r="H136" s="3">
        <f>MAX(0,IF(C136=$C$4,D136,ROUND(IF($C$3="Fixed Principal",$C$6-Table1578[[#This Row],[Interest]],IF($C$3="Interest Only",Table1578[[#This Row],[Beginning Balance]]*ROUND(1-(1-IF($C$11="No",$E$8,1))^(1/12),6),MIN(IF($C$13="Yes",Table1578[[#This Row],[Payment Amount (Reamortized)]],$C$6)-Table1578[[#This Row],[Interest]],Table1578[[#This Row],[Beginning Balance]]))),2)))</f>
        <v>0</v>
      </c>
      <c r="I136" s="3">
        <f>_xlfn.SINGLE(IF($C$3="Line of Credit",0,ROUND(MAX(MIN(IF($C$10="No",$E$7,VLOOKUP(Table1578[[#This Row],[Period]],Forecast!$H$2:$L$1048576,4,FALSE))*Table1578[[#This Row],[Beginning Balance]],Table1578[[#This Row],[Beginning Balance]]-Table1578[[#This Row],[Principal]]),0),2)))</f>
        <v>0</v>
      </c>
      <c r="J136" s="3">
        <f>ROUND(MIN(Table1578[[#This Row],[Beginning Balance]]*IF($C$8="No",$E$3,VLOOKUP(Table1578[[#This Row],[Period]],Forecast!$H$2:$L$1048576,2,FALSE)),Table1578[[#This Row],[Beginning Balance]]-Table1578[[#This Row],[Principal]]-Table1578[[#This Row],[Prepayments]]),2)</f>
        <v>0</v>
      </c>
      <c r="K136" s="3">
        <f>ROUND(Table1578[[#This Row],[Defaulted Principal]]*IF($C$9="No",$E$4,VLOOKUP(Table1578[[#This Row],[Period]],Forecast!$H$2:$L$1048576,3,FALSE)),2)</f>
        <v>0</v>
      </c>
      <c r="L136" s="2">
        <f>Table1578[[#This Row],[Period]]+$E$9</f>
        <v>132</v>
      </c>
      <c r="M136" s="3">
        <f>Table1578[[#This Row],[Defaulted Principal]]-Table1578[[#This Row],[Estimated Loss]]</f>
        <v>0</v>
      </c>
      <c r="N136" s="3">
        <f>IFERROR(VLOOKUP(Table1578[[#This Row],[Period]],$L$16:$M$385,2,FALSE),0)</f>
        <v>0</v>
      </c>
      <c r="O136" s="3">
        <f>Table1578[[#This Row],[Beginning Balance]]-Table1578[[#This Row],[Principal]]-Table1578[[#This Row],[Prepayments]]-Table1578[[#This Row],[Defaulted Principal]]</f>
        <v>0</v>
      </c>
      <c r="P136" s="3">
        <f>Table1578[[#This Row],[Principal]]+Table1578[[#This Row],[Interest]]+Table1578[[#This Row],[Prepayments]]+Table1578[[#This Row],[RecoveredAmount]]</f>
        <v>0</v>
      </c>
      <c r="Q136" s="3">
        <f ca="1">ROUND(Table1578[[#This Row],[Cash Flow]]/((1+ActualRateToUse)^(IF(ISNUMBER(SEARCH("Actual",$C$7)),Table1578[[#This Row],[Running Total]]/365,Table1578[[#This Row],[Period]]/12))),2)</f>
        <v>0</v>
      </c>
      <c r="R136" s="2">
        <f>IF(MONTH(Table1578[[#This Row],[Date]])=2,28,DAY(DATE(YEAR(Table1578[[#This Row],[Date]]),MONTH(Table1578[[#This Row],[Date]])+1,1)-1))</f>
        <v>30</v>
      </c>
      <c r="S136" s="2">
        <f ca="1">SUM(OFFSET(Table1578[[#Headers],[Days in month]],1,0):Table1578[[#This Row],[Days in month]])</f>
        <v>3650</v>
      </c>
      <c r="T136" s="37">
        <f>InterestRate*AmortizationMultiplier*IF(ISNUMBER(SEARCH("Actual",$C$7)),Table1578[[#This Row],[Days in month]]/365,1/12)</f>
        <v>6.0333333333333333E-3</v>
      </c>
    </row>
    <row r="137" spans="2:20" x14ac:dyDescent="0.2">
      <c r="B137" s="1">
        <v>49521</v>
      </c>
      <c r="C137" s="2">
        <f t="shared" si="4"/>
        <v>121</v>
      </c>
      <c r="D137" s="3">
        <f t="shared" si="3"/>
        <v>0</v>
      </c>
      <c r="E137" s="3">
        <f>ROUND(Table1578[[#This Row],[Beginning Balance]]*Table1578[[#This Row],[Monthly Interest Rate]],2)</f>
        <v>0</v>
      </c>
      <c r="F137" s="3">
        <f t="shared" si="5"/>
        <v>-118</v>
      </c>
      <c r="G137" s="23">
        <f>IFERROR(IF($C$13="No","N/A",IF(Table1578[[#This Row],[Period]]=1,$C$6,PMT(InterestRate*AmortizationMultiplier/12,Table1578[[#This Row],[Am Thru]],-Table1578[[#This Row],[Beginning Balance]]))),0)</f>
        <v>0</v>
      </c>
      <c r="H137" s="3">
        <f>MAX(0,IF(C137=$C$4,D137,ROUND(IF($C$3="Fixed Principal",$C$6-Table1578[[#This Row],[Interest]],IF($C$3="Interest Only",Table1578[[#This Row],[Beginning Balance]]*ROUND(1-(1-IF($C$11="No",$E$8,1))^(1/12),6),MIN(IF($C$13="Yes",Table1578[[#This Row],[Payment Amount (Reamortized)]],$C$6)-Table1578[[#This Row],[Interest]],Table1578[[#This Row],[Beginning Balance]]))),2)))</f>
        <v>0</v>
      </c>
      <c r="I137" s="3">
        <f>_xlfn.SINGLE(IF($C$3="Line of Credit",0,ROUND(MAX(MIN(IF($C$10="No",$E$7,VLOOKUP(Table1578[[#This Row],[Period]],Forecast!$H$2:$L$1048576,4,FALSE))*Table1578[[#This Row],[Beginning Balance]],Table1578[[#This Row],[Beginning Balance]]-Table1578[[#This Row],[Principal]]),0),2)))</f>
        <v>0</v>
      </c>
      <c r="J137" s="3">
        <f>ROUND(MIN(Table1578[[#This Row],[Beginning Balance]]*IF($C$8="No",$E$3,VLOOKUP(Table1578[[#This Row],[Period]],Forecast!$H$2:$L$1048576,2,FALSE)),Table1578[[#This Row],[Beginning Balance]]-Table1578[[#This Row],[Principal]]-Table1578[[#This Row],[Prepayments]]),2)</f>
        <v>0</v>
      </c>
      <c r="K137" s="3">
        <f>ROUND(Table1578[[#This Row],[Defaulted Principal]]*IF($C$9="No",$E$4,VLOOKUP(Table1578[[#This Row],[Period]],Forecast!$H$2:$L$1048576,3,FALSE)),2)</f>
        <v>0</v>
      </c>
      <c r="L137" s="2">
        <f>Table1578[[#This Row],[Period]]+$E$9</f>
        <v>133</v>
      </c>
      <c r="M137" s="3">
        <f>Table1578[[#This Row],[Defaulted Principal]]-Table1578[[#This Row],[Estimated Loss]]</f>
        <v>0</v>
      </c>
      <c r="N137" s="3">
        <f>IFERROR(VLOOKUP(Table1578[[#This Row],[Period]],$L$16:$M$385,2,FALSE),0)</f>
        <v>0</v>
      </c>
      <c r="O137" s="3">
        <f>Table1578[[#This Row],[Beginning Balance]]-Table1578[[#This Row],[Principal]]-Table1578[[#This Row],[Prepayments]]-Table1578[[#This Row],[Defaulted Principal]]</f>
        <v>0</v>
      </c>
      <c r="P137" s="3">
        <f>Table1578[[#This Row],[Principal]]+Table1578[[#This Row],[Interest]]+Table1578[[#This Row],[Prepayments]]+Table1578[[#This Row],[RecoveredAmount]]</f>
        <v>0</v>
      </c>
      <c r="Q137" s="3">
        <f ca="1">ROUND(Table1578[[#This Row],[Cash Flow]]/((1+ActualRateToUse)^(IF(ISNUMBER(SEARCH("Actual",$C$7)),Table1578[[#This Row],[Running Total]]/365,Table1578[[#This Row],[Period]]/12))),2)</f>
        <v>0</v>
      </c>
      <c r="R137" s="2">
        <f>IF(MONTH(Table1578[[#This Row],[Date]])=2,28,DAY(DATE(YEAR(Table1578[[#This Row],[Date]]),MONTH(Table1578[[#This Row],[Date]])+1,1)-1))</f>
        <v>31</v>
      </c>
      <c r="S137" s="2">
        <f ca="1">SUM(OFFSET(Table1578[[#Headers],[Days in month]],1,0):Table1578[[#This Row],[Days in month]])</f>
        <v>3681</v>
      </c>
      <c r="T137" s="37">
        <f>InterestRate*AmortizationMultiplier*IF(ISNUMBER(SEARCH("Actual",$C$7)),Table1578[[#This Row],[Days in month]]/365,1/12)</f>
        <v>6.2344444444444444E-3</v>
      </c>
    </row>
    <row r="138" spans="2:20" x14ac:dyDescent="0.2">
      <c r="B138" s="1">
        <v>49552</v>
      </c>
      <c r="C138" s="2">
        <f t="shared" si="4"/>
        <v>122</v>
      </c>
      <c r="D138" s="3">
        <f t="shared" si="3"/>
        <v>0</v>
      </c>
      <c r="E138" s="3">
        <f>ROUND(Table1578[[#This Row],[Beginning Balance]]*Table1578[[#This Row],[Monthly Interest Rate]],2)</f>
        <v>0</v>
      </c>
      <c r="F138" s="3">
        <f t="shared" si="5"/>
        <v>-119</v>
      </c>
      <c r="G138" s="23">
        <f>IFERROR(IF($C$13="No","N/A",IF(Table1578[[#This Row],[Period]]=1,$C$6,PMT(InterestRate*AmortizationMultiplier/12,Table1578[[#This Row],[Am Thru]],-Table1578[[#This Row],[Beginning Balance]]))),0)</f>
        <v>0</v>
      </c>
      <c r="H138" s="3">
        <f>MAX(0,IF(C138=$C$4,D138,ROUND(IF($C$3="Fixed Principal",$C$6-Table1578[[#This Row],[Interest]],IF($C$3="Interest Only",Table1578[[#This Row],[Beginning Balance]]*ROUND(1-(1-IF($C$11="No",$E$8,1))^(1/12),6),MIN(IF($C$13="Yes",Table1578[[#This Row],[Payment Amount (Reamortized)]],$C$6)-Table1578[[#This Row],[Interest]],Table1578[[#This Row],[Beginning Balance]]))),2)))</f>
        <v>0</v>
      </c>
      <c r="I138" s="3">
        <f>_xlfn.SINGLE(IF($C$3="Line of Credit",0,ROUND(MAX(MIN(IF($C$10="No",$E$7,VLOOKUP(Table1578[[#This Row],[Period]],Forecast!$H$2:$L$1048576,4,FALSE))*Table1578[[#This Row],[Beginning Balance]],Table1578[[#This Row],[Beginning Balance]]-Table1578[[#This Row],[Principal]]),0),2)))</f>
        <v>0</v>
      </c>
      <c r="J138" s="3">
        <f>ROUND(MIN(Table1578[[#This Row],[Beginning Balance]]*IF($C$8="No",$E$3,VLOOKUP(Table1578[[#This Row],[Period]],Forecast!$H$2:$L$1048576,2,FALSE)),Table1578[[#This Row],[Beginning Balance]]-Table1578[[#This Row],[Principal]]-Table1578[[#This Row],[Prepayments]]),2)</f>
        <v>0</v>
      </c>
      <c r="K138" s="3">
        <f>ROUND(Table1578[[#This Row],[Defaulted Principal]]*IF($C$9="No",$E$4,VLOOKUP(Table1578[[#This Row],[Period]],Forecast!$H$2:$L$1048576,3,FALSE)),2)</f>
        <v>0</v>
      </c>
      <c r="L138" s="2">
        <f>Table1578[[#This Row],[Period]]+$E$9</f>
        <v>134</v>
      </c>
      <c r="M138" s="3">
        <f>Table1578[[#This Row],[Defaulted Principal]]-Table1578[[#This Row],[Estimated Loss]]</f>
        <v>0</v>
      </c>
      <c r="N138" s="3">
        <f>IFERROR(VLOOKUP(Table1578[[#This Row],[Period]],$L$16:$M$385,2,FALSE),0)</f>
        <v>0</v>
      </c>
      <c r="O138" s="3">
        <f>Table1578[[#This Row],[Beginning Balance]]-Table1578[[#This Row],[Principal]]-Table1578[[#This Row],[Prepayments]]-Table1578[[#This Row],[Defaulted Principal]]</f>
        <v>0</v>
      </c>
      <c r="P138" s="3">
        <f>Table1578[[#This Row],[Principal]]+Table1578[[#This Row],[Interest]]+Table1578[[#This Row],[Prepayments]]+Table1578[[#This Row],[RecoveredAmount]]</f>
        <v>0</v>
      </c>
      <c r="Q138" s="3">
        <f ca="1">ROUND(Table1578[[#This Row],[Cash Flow]]/((1+ActualRateToUse)^(IF(ISNUMBER(SEARCH("Actual",$C$7)),Table1578[[#This Row],[Running Total]]/365,Table1578[[#This Row],[Period]]/12))),2)</f>
        <v>0</v>
      </c>
      <c r="R138" s="2">
        <f>IF(MONTH(Table1578[[#This Row],[Date]])=2,28,DAY(DATE(YEAR(Table1578[[#This Row],[Date]]),MONTH(Table1578[[#This Row],[Date]])+1,1)-1))</f>
        <v>31</v>
      </c>
      <c r="S138" s="2">
        <f ca="1">SUM(OFFSET(Table1578[[#Headers],[Days in month]],1,0):Table1578[[#This Row],[Days in month]])</f>
        <v>3712</v>
      </c>
      <c r="T138" s="37">
        <f>InterestRate*AmortizationMultiplier*IF(ISNUMBER(SEARCH("Actual",$C$7)),Table1578[[#This Row],[Days in month]]/365,1/12)</f>
        <v>6.2344444444444444E-3</v>
      </c>
    </row>
    <row r="139" spans="2:20" x14ac:dyDescent="0.2">
      <c r="B139" s="1">
        <f t="shared" ref="B139:B202" si="6">EOMONTH(B138,1)</f>
        <v>49582</v>
      </c>
      <c r="C139" s="2">
        <f t="shared" si="4"/>
        <v>123</v>
      </c>
      <c r="D139" s="3">
        <f t="shared" si="3"/>
        <v>0</v>
      </c>
      <c r="E139" s="3">
        <f>ROUND(Table1578[[#This Row],[Beginning Balance]]*Table1578[[#This Row],[Monthly Interest Rate]],2)</f>
        <v>0</v>
      </c>
      <c r="F139" s="3">
        <f t="shared" si="5"/>
        <v>-120</v>
      </c>
      <c r="G139" s="23">
        <f>IFERROR(IF($C$13="No","N/A",IF(Table1578[[#This Row],[Period]]=1,$C$6,PMT(InterestRate*AmortizationMultiplier/12,Table1578[[#This Row],[Am Thru]],-Table1578[[#This Row],[Beginning Balance]]))),0)</f>
        <v>0</v>
      </c>
      <c r="H139" s="3">
        <f>MAX(0,IF(C139=$C$4,D139,ROUND(IF($C$3="Fixed Principal",$C$6-Table1578[[#This Row],[Interest]],IF($C$3="Interest Only",Table1578[[#This Row],[Beginning Balance]]*ROUND(1-(1-IF($C$11="No",$E$8,1))^(1/12),6),MIN(IF($C$13="Yes",Table1578[[#This Row],[Payment Amount (Reamortized)]],$C$6)-Table1578[[#This Row],[Interest]],Table1578[[#This Row],[Beginning Balance]]))),2)))</f>
        <v>0</v>
      </c>
      <c r="I139" s="3">
        <f>_xlfn.SINGLE(IF($C$3="Line of Credit",0,ROUND(MAX(MIN(IF($C$10="No",$E$7,VLOOKUP(Table1578[[#This Row],[Period]],Forecast!$H$2:$L$1048576,4,FALSE))*Table1578[[#This Row],[Beginning Balance]],Table1578[[#This Row],[Beginning Balance]]-Table1578[[#This Row],[Principal]]),0),2)))</f>
        <v>0</v>
      </c>
      <c r="J139" s="3">
        <f>ROUND(MIN(Table1578[[#This Row],[Beginning Balance]]*IF($C$8="No",$E$3,VLOOKUP(Table1578[[#This Row],[Period]],Forecast!$H$2:$L$1048576,2,FALSE)),Table1578[[#This Row],[Beginning Balance]]-Table1578[[#This Row],[Principal]]-Table1578[[#This Row],[Prepayments]]),2)</f>
        <v>0</v>
      </c>
      <c r="K139" s="3">
        <f>ROUND(Table1578[[#This Row],[Defaulted Principal]]*IF($C$9="No",$E$4,VLOOKUP(Table1578[[#This Row],[Period]],Forecast!$H$2:$L$1048576,3,FALSE)),2)</f>
        <v>0</v>
      </c>
      <c r="L139" s="2">
        <f>Table1578[[#This Row],[Period]]+$E$9</f>
        <v>135</v>
      </c>
      <c r="M139" s="3">
        <f>Table1578[[#This Row],[Defaulted Principal]]-Table1578[[#This Row],[Estimated Loss]]</f>
        <v>0</v>
      </c>
      <c r="N139" s="3">
        <f>IFERROR(VLOOKUP(Table1578[[#This Row],[Period]],$L$16:$M$385,2,FALSE),0)</f>
        <v>0</v>
      </c>
      <c r="O139" s="3">
        <f>Table1578[[#This Row],[Beginning Balance]]-Table1578[[#This Row],[Principal]]-Table1578[[#This Row],[Prepayments]]-Table1578[[#This Row],[Defaulted Principal]]</f>
        <v>0</v>
      </c>
      <c r="P139" s="3">
        <f>Table1578[[#This Row],[Principal]]+Table1578[[#This Row],[Interest]]+Table1578[[#This Row],[Prepayments]]+Table1578[[#This Row],[RecoveredAmount]]</f>
        <v>0</v>
      </c>
      <c r="Q139" s="3">
        <f ca="1">ROUND(Table1578[[#This Row],[Cash Flow]]/((1+ActualRateToUse)^(IF(ISNUMBER(SEARCH("Actual",$C$7)),Table1578[[#This Row],[Running Total]]/365,Table1578[[#This Row],[Period]]/12))),2)</f>
        <v>0</v>
      </c>
      <c r="R139" s="2">
        <f>IF(MONTH(Table1578[[#This Row],[Date]])=2,28,DAY(DATE(YEAR(Table1578[[#This Row],[Date]]),MONTH(Table1578[[#This Row],[Date]])+1,1)-1))</f>
        <v>30</v>
      </c>
      <c r="S139" s="2">
        <f ca="1">SUM(OFFSET(Table1578[[#Headers],[Days in month]],1,0):Table1578[[#This Row],[Days in month]])</f>
        <v>3742</v>
      </c>
      <c r="T139" s="37">
        <f>InterestRate*AmortizationMultiplier*IF(ISNUMBER(SEARCH("Actual",$C$7)),Table1578[[#This Row],[Days in month]]/365,1/12)</f>
        <v>6.0333333333333333E-3</v>
      </c>
    </row>
    <row r="140" spans="2:20" x14ac:dyDescent="0.2">
      <c r="B140" s="1">
        <f t="shared" si="6"/>
        <v>49613</v>
      </c>
      <c r="C140" s="2">
        <f t="shared" si="4"/>
        <v>124</v>
      </c>
      <c r="D140" s="3">
        <f t="shared" si="3"/>
        <v>0</v>
      </c>
      <c r="E140" s="3">
        <f>ROUND(Table1578[[#This Row],[Beginning Balance]]*Table1578[[#This Row],[Monthly Interest Rate]],2)</f>
        <v>0</v>
      </c>
      <c r="F140" s="3">
        <f t="shared" si="5"/>
        <v>-121</v>
      </c>
      <c r="G140" s="23">
        <f>IFERROR(IF($C$13="No","N/A",IF(Table1578[[#This Row],[Period]]=1,$C$6,PMT(InterestRate*AmortizationMultiplier/12,Table1578[[#This Row],[Am Thru]],-Table1578[[#This Row],[Beginning Balance]]))),0)</f>
        <v>0</v>
      </c>
      <c r="H140" s="3">
        <f>MAX(0,IF(C140=$C$4,D140,ROUND(IF($C$3="Fixed Principal",$C$6-Table1578[[#This Row],[Interest]],IF($C$3="Interest Only",Table1578[[#This Row],[Beginning Balance]]*ROUND(1-(1-IF($C$11="No",$E$8,1))^(1/12),6),MIN(IF($C$13="Yes",Table1578[[#This Row],[Payment Amount (Reamortized)]],$C$6)-Table1578[[#This Row],[Interest]],Table1578[[#This Row],[Beginning Balance]]))),2)))</f>
        <v>0</v>
      </c>
      <c r="I140" s="3">
        <f>_xlfn.SINGLE(IF($C$3="Line of Credit",0,ROUND(MAX(MIN(IF($C$10="No",$E$7,VLOOKUP(Table1578[[#This Row],[Period]],Forecast!$H$2:$L$1048576,4,FALSE))*Table1578[[#This Row],[Beginning Balance]],Table1578[[#This Row],[Beginning Balance]]-Table1578[[#This Row],[Principal]]),0),2)))</f>
        <v>0</v>
      </c>
      <c r="J140" s="3">
        <f>ROUND(MIN(Table1578[[#This Row],[Beginning Balance]]*IF($C$8="No",$E$3,VLOOKUP(Table1578[[#This Row],[Period]],Forecast!$H$2:$L$1048576,2,FALSE)),Table1578[[#This Row],[Beginning Balance]]-Table1578[[#This Row],[Principal]]-Table1578[[#This Row],[Prepayments]]),2)</f>
        <v>0</v>
      </c>
      <c r="K140" s="3">
        <f>ROUND(Table1578[[#This Row],[Defaulted Principal]]*IF($C$9="No",$E$4,VLOOKUP(Table1578[[#This Row],[Period]],Forecast!$H$2:$L$1048576,3,FALSE)),2)</f>
        <v>0</v>
      </c>
      <c r="L140" s="2">
        <f>Table1578[[#This Row],[Period]]+$E$9</f>
        <v>136</v>
      </c>
      <c r="M140" s="3">
        <f>Table1578[[#This Row],[Defaulted Principal]]-Table1578[[#This Row],[Estimated Loss]]</f>
        <v>0</v>
      </c>
      <c r="N140" s="3">
        <f>IFERROR(VLOOKUP(Table1578[[#This Row],[Period]],$L$16:$M$385,2,FALSE),0)</f>
        <v>0</v>
      </c>
      <c r="O140" s="3">
        <f>Table1578[[#This Row],[Beginning Balance]]-Table1578[[#This Row],[Principal]]-Table1578[[#This Row],[Prepayments]]-Table1578[[#This Row],[Defaulted Principal]]</f>
        <v>0</v>
      </c>
      <c r="P140" s="3">
        <f>Table1578[[#This Row],[Principal]]+Table1578[[#This Row],[Interest]]+Table1578[[#This Row],[Prepayments]]+Table1578[[#This Row],[RecoveredAmount]]</f>
        <v>0</v>
      </c>
      <c r="Q140" s="3">
        <f ca="1">ROUND(Table1578[[#This Row],[Cash Flow]]/((1+ActualRateToUse)^(IF(ISNUMBER(SEARCH("Actual",$C$7)),Table1578[[#This Row],[Running Total]]/365,Table1578[[#This Row],[Period]]/12))),2)</f>
        <v>0</v>
      </c>
      <c r="R140" s="2">
        <f>IF(MONTH(Table1578[[#This Row],[Date]])=2,28,DAY(DATE(YEAR(Table1578[[#This Row],[Date]]),MONTH(Table1578[[#This Row],[Date]])+1,1)-1))</f>
        <v>31</v>
      </c>
      <c r="S140" s="2">
        <f ca="1">SUM(OFFSET(Table1578[[#Headers],[Days in month]],1,0):Table1578[[#This Row],[Days in month]])</f>
        <v>3773</v>
      </c>
      <c r="T140" s="37">
        <f>InterestRate*AmortizationMultiplier*IF(ISNUMBER(SEARCH("Actual",$C$7)),Table1578[[#This Row],[Days in month]]/365,1/12)</f>
        <v>6.2344444444444444E-3</v>
      </c>
    </row>
    <row r="141" spans="2:20" x14ac:dyDescent="0.2">
      <c r="B141" s="1">
        <f t="shared" si="6"/>
        <v>49643</v>
      </c>
      <c r="C141" s="2">
        <f t="shared" si="4"/>
        <v>125</v>
      </c>
      <c r="D141" s="3">
        <f t="shared" si="3"/>
        <v>0</v>
      </c>
      <c r="E141" s="3">
        <f>ROUND(Table1578[[#This Row],[Beginning Balance]]*Table1578[[#This Row],[Monthly Interest Rate]],2)</f>
        <v>0</v>
      </c>
      <c r="F141" s="3">
        <f t="shared" si="5"/>
        <v>-122</v>
      </c>
      <c r="G141" s="23">
        <f>IFERROR(IF($C$13="No","N/A",IF(Table1578[[#This Row],[Period]]=1,$C$6,PMT(InterestRate*AmortizationMultiplier/12,Table1578[[#This Row],[Am Thru]],-Table1578[[#This Row],[Beginning Balance]]))),0)</f>
        <v>0</v>
      </c>
      <c r="H141" s="3">
        <f>MAX(0,IF(C141=$C$4,D141,ROUND(IF($C$3="Fixed Principal",$C$6-Table1578[[#This Row],[Interest]],IF($C$3="Interest Only",Table1578[[#This Row],[Beginning Balance]]*ROUND(1-(1-IF($C$11="No",$E$8,1))^(1/12),6),MIN(IF($C$13="Yes",Table1578[[#This Row],[Payment Amount (Reamortized)]],$C$6)-Table1578[[#This Row],[Interest]],Table1578[[#This Row],[Beginning Balance]]))),2)))</f>
        <v>0</v>
      </c>
      <c r="I141" s="3">
        <f>_xlfn.SINGLE(IF($C$3="Line of Credit",0,ROUND(MAX(MIN(IF($C$10="No",$E$7,VLOOKUP(Table1578[[#This Row],[Period]],Forecast!$H$2:$L$1048576,4,FALSE))*Table1578[[#This Row],[Beginning Balance]],Table1578[[#This Row],[Beginning Balance]]-Table1578[[#This Row],[Principal]]),0),2)))</f>
        <v>0</v>
      </c>
      <c r="J141" s="3">
        <f>ROUND(MIN(Table1578[[#This Row],[Beginning Balance]]*IF($C$8="No",$E$3,VLOOKUP(Table1578[[#This Row],[Period]],Forecast!$H$2:$L$1048576,2,FALSE)),Table1578[[#This Row],[Beginning Balance]]-Table1578[[#This Row],[Principal]]-Table1578[[#This Row],[Prepayments]]),2)</f>
        <v>0</v>
      </c>
      <c r="K141" s="3">
        <f>ROUND(Table1578[[#This Row],[Defaulted Principal]]*IF($C$9="No",$E$4,VLOOKUP(Table1578[[#This Row],[Period]],Forecast!$H$2:$L$1048576,3,FALSE)),2)</f>
        <v>0</v>
      </c>
      <c r="L141" s="2">
        <f>Table1578[[#This Row],[Period]]+$E$9</f>
        <v>137</v>
      </c>
      <c r="M141" s="3">
        <f>Table1578[[#This Row],[Defaulted Principal]]-Table1578[[#This Row],[Estimated Loss]]</f>
        <v>0</v>
      </c>
      <c r="N141" s="3">
        <f>IFERROR(VLOOKUP(Table1578[[#This Row],[Period]],$L$16:$M$385,2,FALSE),0)</f>
        <v>0</v>
      </c>
      <c r="O141" s="3">
        <f>Table1578[[#This Row],[Beginning Balance]]-Table1578[[#This Row],[Principal]]-Table1578[[#This Row],[Prepayments]]-Table1578[[#This Row],[Defaulted Principal]]</f>
        <v>0</v>
      </c>
      <c r="P141" s="3">
        <f>Table1578[[#This Row],[Principal]]+Table1578[[#This Row],[Interest]]+Table1578[[#This Row],[Prepayments]]+Table1578[[#This Row],[RecoveredAmount]]</f>
        <v>0</v>
      </c>
      <c r="Q141" s="3">
        <f ca="1">ROUND(Table1578[[#This Row],[Cash Flow]]/((1+ActualRateToUse)^(IF(ISNUMBER(SEARCH("Actual",$C$7)),Table1578[[#This Row],[Running Total]]/365,Table1578[[#This Row],[Period]]/12))),2)</f>
        <v>0</v>
      </c>
      <c r="R141" s="2">
        <f>IF(MONTH(Table1578[[#This Row],[Date]])=2,28,DAY(DATE(YEAR(Table1578[[#This Row],[Date]]),MONTH(Table1578[[#This Row],[Date]])+1,1)-1))</f>
        <v>30</v>
      </c>
      <c r="S141" s="2">
        <f ca="1">SUM(OFFSET(Table1578[[#Headers],[Days in month]],1,0):Table1578[[#This Row],[Days in month]])</f>
        <v>3803</v>
      </c>
      <c r="T141" s="37">
        <f>InterestRate*AmortizationMultiplier*IF(ISNUMBER(SEARCH("Actual",$C$7)),Table1578[[#This Row],[Days in month]]/365,1/12)</f>
        <v>6.0333333333333333E-3</v>
      </c>
    </row>
    <row r="142" spans="2:20" x14ac:dyDescent="0.2">
      <c r="B142" s="1">
        <f t="shared" si="6"/>
        <v>49674</v>
      </c>
      <c r="C142" s="2">
        <f t="shared" si="4"/>
        <v>126</v>
      </c>
      <c r="D142" s="3">
        <f t="shared" si="3"/>
        <v>0</v>
      </c>
      <c r="E142" s="3">
        <f>ROUND(Table1578[[#This Row],[Beginning Balance]]*Table1578[[#This Row],[Monthly Interest Rate]],2)</f>
        <v>0</v>
      </c>
      <c r="F142" s="3">
        <f t="shared" si="5"/>
        <v>-123</v>
      </c>
      <c r="G142" s="23">
        <f>IFERROR(IF($C$13="No","N/A",IF(Table1578[[#This Row],[Period]]=1,$C$6,PMT(InterestRate*AmortizationMultiplier/12,Table1578[[#This Row],[Am Thru]],-Table1578[[#This Row],[Beginning Balance]]))),0)</f>
        <v>0</v>
      </c>
      <c r="H142" s="3">
        <f>MAX(0,IF(C142=$C$4,D142,ROUND(IF($C$3="Fixed Principal",$C$6-Table1578[[#This Row],[Interest]],IF($C$3="Interest Only",Table1578[[#This Row],[Beginning Balance]]*ROUND(1-(1-IF($C$11="No",$E$8,1))^(1/12),6),MIN(IF($C$13="Yes",Table1578[[#This Row],[Payment Amount (Reamortized)]],$C$6)-Table1578[[#This Row],[Interest]],Table1578[[#This Row],[Beginning Balance]]))),2)))</f>
        <v>0</v>
      </c>
      <c r="I142" s="3">
        <f>_xlfn.SINGLE(IF($C$3="Line of Credit",0,ROUND(MAX(MIN(IF($C$10="No",$E$7,VLOOKUP(Table1578[[#This Row],[Period]],Forecast!$H$2:$L$1048576,4,FALSE))*Table1578[[#This Row],[Beginning Balance]],Table1578[[#This Row],[Beginning Balance]]-Table1578[[#This Row],[Principal]]),0),2)))</f>
        <v>0</v>
      </c>
      <c r="J142" s="3">
        <f>ROUND(MIN(Table1578[[#This Row],[Beginning Balance]]*IF($C$8="No",$E$3,VLOOKUP(Table1578[[#This Row],[Period]],Forecast!$H$2:$L$1048576,2,FALSE)),Table1578[[#This Row],[Beginning Balance]]-Table1578[[#This Row],[Principal]]-Table1578[[#This Row],[Prepayments]]),2)</f>
        <v>0</v>
      </c>
      <c r="K142" s="3">
        <f>ROUND(Table1578[[#This Row],[Defaulted Principal]]*IF($C$9="No",$E$4,VLOOKUP(Table1578[[#This Row],[Period]],Forecast!$H$2:$L$1048576,3,FALSE)),2)</f>
        <v>0</v>
      </c>
      <c r="L142" s="2">
        <f>Table1578[[#This Row],[Period]]+$E$9</f>
        <v>138</v>
      </c>
      <c r="M142" s="3">
        <f>Table1578[[#This Row],[Defaulted Principal]]-Table1578[[#This Row],[Estimated Loss]]</f>
        <v>0</v>
      </c>
      <c r="N142" s="3">
        <f>IFERROR(VLOOKUP(Table1578[[#This Row],[Period]],$L$16:$M$385,2,FALSE),0)</f>
        <v>0</v>
      </c>
      <c r="O142" s="3">
        <f>Table1578[[#This Row],[Beginning Balance]]-Table1578[[#This Row],[Principal]]-Table1578[[#This Row],[Prepayments]]-Table1578[[#This Row],[Defaulted Principal]]</f>
        <v>0</v>
      </c>
      <c r="P142" s="3">
        <f>Table1578[[#This Row],[Principal]]+Table1578[[#This Row],[Interest]]+Table1578[[#This Row],[Prepayments]]+Table1578[[#This Row],[RecoveredAmount]]</f>
        <v>0</v>
      </c>
      <c r="Q142" s="3">
        <f ca="1">ROUND(Table1578[[#This Row],[Cash Flow]]/((1+ActualRateToUse)^(IF(ISNUMBER(SEARCH("Actual",$C$7)),Table1578[[#This Row],[Running Total]]/365,Table1578[[#This Row],[Period]]/12))),2)</f>
        <v>0</v>
      </c>
      <c r="R142" s="2">
        <f>IF(MONTH(Table1578[[#This Row],[Date]])=2,28,DAY(DATE(YEAR(Table1578[[#This Row],[Date]]),MONTH(Table1578[[#This Row],[Date]])+1,1)-1))</f>
        <v>31</v>
      </c>
      <c r="S142" s="2">
        <f ca="1">SUM(OFFSET(Table1578[[#Headers],[Days in month]],1,0):Table1578[[#This Row],[Days in month]])</f>
        <v>3834</v>
      </c>
      <c r="T142" s="37">
        <f>InterestRate*AmortizationMultiplier*IF(ISNUMBER(SEARCH("Actual",$C$7)),Table1578[[#This Row],[Days in month]]/365,1/12)</f>
        <v>6.2344444444444444E-3</v>
      </c>
    </row>
    <row r="143" spans="2:20" x14ac:dyDescent="0.2">
      <c r="B143" s="1">
        <f t="shared" si="6"/>
        <v>49705</v>
      </c>
      <c r="C143" s="2">
        <f t="shared" si="4"/>
        <v>127</v>
      </c>
      <c r="D143" s="3">
        <f t="shared" si="3"/>
        <v>0</v>
      </c>
      <c r="E143" s="3">
        <f>ROUND(Table1578[[#This Row],[Beginning Balance]]*Table1578[[#This Row],[Monthly Interest Rate]],2)</f>
        <v>0</v>
      </c>
      <c r="F143" s="3">
        <f t="shared" si="5"/>
        <v>-124</v>
      </c>
      <c r="G143" s="23">
        <f>IFERROR(IF($C$13="No","N/A",IF(Table1578[[#This Row],[Period]]=1,$C$6,PMT(InterestRate*AmortizationMultiplier/12,Table1578[[#This Row],[Am Thru]],-Table1578[[#This Row],[Beginning Balance]]))),0)</f>
        <v>0</v>
      </c>
      <c r="H143" s="3">
        <f>MAX(0,IF(C143=$C$4,D143,ROUND(IF($C$3="Fixed Principal",$C$6-Table1578[[#This Row],[Interest]],IF($C$3="Interest Only",Table1578[[#This Row],[Beginning Balance]]*ROUND(1-(1-IF($C$11="No",$E$8,1))^(1/12),6),MIN(IF($C$13="Yes",Table1578[[#This Row],[Payment Amount (Reamortized)]],$C$6)-Table1578[[#This Row],[Interest]],Table1578[[#This Row],[Beginning Balance]]))),2)))</f>
        <v>0</v>
      </c>
      <c r="I143" s="3">
        <f>_xlfn.SINGLE(IF($C$3="Line of Credit",0,ROUND(MAX(MIN(IF($C$10="No",$E$7,VLOOKUP(Table1578[[#This Row],[Period]],Forecast!$H$2:$L$1048576,4,FALSE))*Table1578[[#This Row],[Beginning Balance]],Table1578[[#This Row],[Beginning Balance]]-Table1578[[#This Row],[Principal]]),0),2)))</f>
        <v>0</v>
      </c>
      <c r="J143" s="3">
        <f>ROUND(MIN(Table1578[[#This Row],[Beginning Balance]]*IF($C$8="No",$E$3,VLOOKUP(Table1578[[#This Row],[Period]],Forecast!$H$2:$L$1048576,2,FALSE)),Table1578[[#This Row],[Beginning Balance]]-Table1578[[#This Row],[Principal]]-Table1578[[#This Row],[Prepayments]]),2)</f>
        <v>0</v>
      </c>
      <c r="K143" s="3">
        <f>ROUND(Table1578[[#This Row],[Defaulted Principal]]*IF($C$9="No",$E$4,VLOOKUP(Table1578[[#This Row],[Period]],Forecast!$H$2:$L$1048576,3,FALSE)),2)</f>
        <v>0</v>
      </c>
      <c r="L143" s="2">
        <f>Table1578[[#This Row],[Period]]+$E$9</f>
        <v>139</v>
      </c>
      <c r="M143" s="3">
        <f>Table1578[[#This Row],[Defaulted Principal]]-Table1578[[#This Row],[Estimated Loss]]</f>
        <v>0</v>
      </c>
      <c r="N143" s="3">
        <f>IFERROR(VLOOKUP(Table1578[[#This Row],[Period]],$L$16:$M$385,2,FALSE),0)</f>
        <v>0</v>
      </c>
      <c r="O143" s="3">
        <f>Table1578[[#This Row],[Beginning Balance]]-Table1578[[#This Row],[Principal]]-Table1578[[#This Row],[Prepayments]]-Table1578[[#This Row],[Defaulted Principal]]</f>
        <v>0</v>
      </c>
      <c r="P143" s="3">
        <f>Table1578[[#This Row],[Principal]]+Table1578[[#This Row],[Interest]]+Table1578[[#This Row],[Prepayments]]+Table1578[[#This Row],[RecoveredAmount]]</f>
        <v>0</v>
      </c>
      <c r="Q143" s="3">
        <f ca="1">ROUND(Table1578[[#This Row],[Cash Flow]]/((1+ActualRateToUse)^(IF(ISNUMBER(SEARCH("Actual",$C$7)),Table1578[[#This Row],[Running Total]]/365,Table1578[[#This Row],[Period]]/12))),2)</f>
        <v>0</v>
      </c>
      <c r="R143" s="2">
        <f>IF(MONTH(Table1578[[#This Row],[Date]])=2,28,DAY(DATE(YEAR(Table1578[[#This Row],[Date]]),MONTH(Table1578[[#This Row],[Date]])+1,1)-1))</f>
        <v>31</v>
      </c>
      <c r="S143" s="2">
        <f ca="1">SUM(OFFSET(Table1578[[#Headers],[Days in month]],1,0):Table1578[[#This Row],[Days in month]])</f>
        <v>3865</v>
      </c>
      <c r="T143" s="37">
        <f>InterestRate*AmortizationMultiplier*IF(ISNUMBER(SEARCH("Actual",$C$7)),Table1578[[#This Row],[Days in month]]/365,1/12)</f>
        <v>6.2344444444444444E-3</v>
      </c>
    </row>
    <row r="144" spans="2:20" x14ac:dyDescent="0.2">
      <c r="B144" s="1">
        <f t="shared" si="6"/>
        <v>49734</v>
      </c>
      <c r="C144" s="2">
        <f t="shared" si="4"/>
        <v>128</v>
      </c>
      <c r="D144" s="3">
        <f t="shared" si="3"/>
        <v>0</v>
      </c>
      <c r="E144" s="3">
        <f>ROUND(Table1578[[#This Row],[Beginning Balance]]*Table1578[[#This Row],[Monthly Interest Rate]],2)</f>
        <v>0</v>
      </c>
      <c r="F144" s="3">
        <f t="shared" si="5"/>
        <v>-125</v>
      </c>
      <c r="G144" s="23">
        <f>IFERROR(IF($C$13="No","N/A",IF(Table1578[[#This Row],[Period]]=1,$C$6,PMT(InterestRate*AmortizationMultiplier/12,Table1578[[#This Row],[Am Thru]],-Table1578[[#This Row],[Beginning Balance]]))),0)</f>
        <v>0</v>
      </c>
      <c r="H144" s="3">
        <f>MAX(0,IF(C144=$C$4,D144,ROUND(IF($C$3="Fixed Principal",$C$6-Table1578[[#This Row],[Interest]],IF($C$3="Interest Only",Table1578[[#This Row],[Beginning Balance]]*ROUND(1-(1-IF($C$11="No",$E$8,1))^(1/12),6),MIN(IF($C$13="Yes",Table1578[[#This Row],[Payment Amount (Reamortized)]],$C$6)-Table1578[[#This Row],[Interest]],Table1578[[#This Row],[Beginning Balance]]))),2)))</f>
        <v>0</v>
      </c>
      <c r="I144" s="3">
        <f>_xlfn.SINGLE(IF($C$3="Line of Credit",0,ROUND(MAX(MIN(IF($C$10="No",$E$7,VLOOKUP(Table1578[[#This Row],[Period]],Forecast!$H$2:$L$1048576,4,FALSE))*Table1578[[#This Row],[Beginning Balance]],Table1578[[#This Row],[Beginning Balance]]-Table1578[[#This Row],[Principal]]),0),2)))</f>
        <v>0</v>
      </c>
      <c r="J144" s="3">
        <f>ROUND(MIN(Table1578[[#This Row],[Beginning Balance]]*IF($C$8="No",$E$3,VLOOKUP(Table1578[[#This Row],[Period]],Forecast!$H$2:$L$1048576,2,FALSE)),Table1578[[#This Row],[Beginning Balance]]-Table1578[[#This Row],[Principal]]-Table1578[[#This Row],[Prepayments]]),2)</f>
        <v>0</v>
      </c>
      <c r="K144" s="3">
        <f>ROUND(Table1578[[#This Row],[Defaulted Principal]]*IF($C$9="No",$E$4,VLOOKUP(Table1578[[#This Row],[Period]],Forecast!$H$2:$L$1048576,3,FALSE)),2)</f>
        <v>0</v>
      </c>
      <c r="L144" s="2">
        <f>Table1578[[#This Row],[Period]]+$E$9</f>
        <v>140</v>
      </c>
      <c r="M144" s="3">
        <f>Table1578[[#This Row],[Defaulted Principal]]-Table1578[[#This Row],[Estimated Loss]]</f>
        <v>0</v>
      </c>
      <c r="N144" s="3">
        <f>IFERROR(VLOOKUP(Table1578[[#This Row],[Period]],$L$16:$M$385,2,FALSE),0)</f>
        <v>0</v>
      </c>
      <c r="O144" s="3">
        <f>Table1578[[#This Row],[Beginning Balance]]-Table1578[[#This Row],[Principal]]-Table1578[[#This Row],[Prepayments]]-Table1578[[#This Row],[Defaulted Principal]]</f>
        <v>0</v>
      </c>
      <c r="P144" s="3">
        <f>Table1578[[#This Row],[Principal]]+Table1578[[#This Row],[Interest]]+Table1578[[#This Row],[Prepayments]]+Table1578[[#This Row],[RecoveredAmount]]</f>
        <v>0</v>
      </c>
      <c r="Q144" s="3">
        <f ca="1">ROUND(Table1578[[#This Row],[Cash Flow]]/((1+ActualRateToUse)^(IF(ISNUMBER(SEARCH("Actual",$C$7)),Table1578[[#This Row],[Running Total]]/365,Table1578[[#This Row],[Period]]/12))),2)</f>
        <v>0</v>
      </c>
      <c r="R144" s="2">
        <f>IF(MONTH(Table1578[[#This Row],[Date]])=2,28,DAY(DATE(YEAR(Table1578[[#This Row],[Date]]),MONTH(Table1578[[#This Row],[Date]])+1,1)-1))</f>
        <v>28</v>
      </c>
      <c r="S144" s="2">
        <f ca="1">SUM(OFFSET(Table1578[[#Headers],[Days in month]],1,0):Table1578[[#This Row],[Days in month]])</f>
        <v>3893</v>
      </c>
      <c r="T144" s="37">
        <f>InterestRate*AmortizationMultiplier*IF(ISNUMBER(SEARCH("Actual",$C$7)),Table1578[[#This Row],[Days in month]]/365,1/12)</f>
        <v>5.6311111111111119E-3</v>
      </c>
    </row>
    <row r="145" spans="2:20" x14ac:dyDescent="0.2">
      <c r="B145" s="1">
        <f t="shared" si="6"/>
        <v>49765</v>
      </c>
      <c r="C145" s="2">
        <f t="shared" si="4"/>
        <v>129</v>
      </c>
      <c r="D145" s="3">
        <f t="shared" si="3"/>
        <v>0</v>
      </c>
      <c r="E145" s="3">
        <f>ROUND(Table1578[[#This Row],[Beginning Balance]]*Table1578[[#This Row],[Monthly Interest Rate]],2)</f>
        <v>0</v>
      </c>
      <c r="F145" s="3">
        <f t="shared" si="5"/>
        <v>-126</v>
      </c>
      <c r="G145" s="23">
        <f>IFERROR(IF($C$13="No","N/A",IF(Table1578[[#This Row],[Period]]=1,$C$6,PMT(InterestRate*AmortizationMultiplier/12,Table1578[[#This Row],[Am Thru]],-Table1578[[#This Row],[Beginning Balance]]))),0)</f>
        <v>0</v>
      </c>
      <c r="H145" s="3">
        <f>MAX(0,IF(C145=$C$4,D145,ROUND(IF($C$3="Fixed Principal",$C$6-Table1578[[#This Row],[Interest]],IF($C$3="Interest Only",Table1578[[#This Row],[Beginning Balance]]*ROUND(1-(1-IF($C$11="No",$E$8,1))^(1/12),6),MIN(IF($C$13="Yes",Table1578[[#This Row],[Payment Amount (Reamortized)]],$C$6)-Table1578[[#This Row],[Interest]],Table1578[[#This Row],[Beginning Balance]]))),2)))</f>
        <v>0</v>
      </c>
      <c r="I145" s="3">
        <f>_xlfn.SINGLE(IF($C$3="Line of Credit",0,ROUND(MAX(MIN(IF($C$10="No",$E$7,VLOOKUP(Table1578[[#This Row],[Period]],Forecast!$H$2:$L$1048576,4,FALSE))*Table1578[[#This Row],[Beginning Balance]],Table1578[[#This Row],[Beginning Balance]]-Table1578[[#This Row],[Principal]]),0),2)))</f>
        <v>0</v>
      </c>
      <c r="J145" s="3">
        <f>ROUND(MIN(Table1578[[#This Row],[Beginning Balance]]*IF($C$8="No",$E$3,VLOOKUP(Table1578[[#This Row],[Period]],Forecast!$H$2:$L$1048576,2,FALSE)),Table1578[[#This Row],[Beginning Balance]]-Table1578[[#This Row],[Principal]]-Table1578[[#This Row],[Prepayments]]),2)</f>
        <v>0</v>
      </c>
      <c r="K145" s="3">
        <f>ROUND(Table1578[[#This Row],[Defaulted Principal]]*IF($C$9="No",$E$4,VLOOKUP(Table1578[[#This Row],[Period]],Forecast!$H$2:$L$1048576,3,FALSE)),2)</f>
        <v>0</v>
      </c>
      <c r="L145" s="2">
        <f>Table1578[[#This Row],[Period]]+$E$9</f>
        <v>141</v>
      </c>
      <c r="M145" s="3">
        <f>Table1578[[#This Row],[Defaulted Principal]]-Table1578[[#This Row],[Estimated Loss]]</f>
        <v>0</v>
      </c>
      <c r="N145" s="3">
        <f>IFERROR(VLOOKUP(Table1578[[#This Row],[Period]],$L$16:$M$385,2,FALSE),0)</f>
        <v>0</v>
      </c>
      <c r="O145" s="3">
        <f>Table1578[[#This Row],[Beginning Balance]]-Table1578[[#This Row],[Principal]]-Table1578[[#This Row],[Prepayments]]-Table1578[[#This Row],[Defaulted Principal]]</f>
        <v>0</v>
      </c>
      <c r="P145" s="3">
        <f>Table1578[[#This Row],[Principal]]+Table1578[[#This Row],[Interest]]+Table1578[[#This Row],[Prepayments]]+Table1578[[#This Row],[RecoveredAmount]]</f>
        <v>0</v>
      </c>
      <c r="Q145" s="3">
        <f ca="1">ROUND(Table1578[[#This Row],[Cash Flow]]/((1+ActualRateToUse)^(IF(ISNUMBER(SEARCH("Actual",$C$7)),Table1578[[#This Row],[Running Total]]/365,Table1578[[#This Row],[Period]]/12))),2)</f>
        <v>0</v>
      </c>
      <c r="R145" s="2">
        <f>IF(MONTH(Table1578[[#This Row],[Date]])=2,28,DAY(DATE(YEAR(Table1578[[#This Row],[Date]]),MONTH(Table1578[[#This Row],[Date]])+1,1)-1))</f>
        <v>31</v>
      </c>
      <c r="S145" s="2">
        <f ca="1">SUM(OFFSET(Table1578[[#Headers],[Days in month]],1,0):Table1578[[#This Row],[Days in month]])</f>
        <v>3924</v>
      </c>
      <c r="T145" s="37">
        <f>InterestRate*AmortizationMultiplier*IF(ISNUMBER(SEARCH("Actual",$C$7)),Table1578[[#This Row],[Days in month]]/365,1/12)</f>
        <v>6.2344444444444444E-3</v>
      </c>
    </row>
    <row r="146" spans="2:20" x14ac:dyDescent="0.2">
      <c r="B146" s="1">
        <f t="shared" si="6"/>
        <v>49795</v>
      </c>
      <c r="C146" s="2">
        <f t="shared" si="4"/>
        <v>130</v>
      </c>
      <c r="D146" s="3">
        <f t="shared" ref="D146:D209" si="7">O145</f>
        <v>0</v>
      </c>
      <c r="E146" s="3">
        <f>ROUND(Table1578[[#This Row],[Beginning Balance]]*Table1578[[#This Row],[Monthly Interest Rate]],2)</f>
        <v>0</v>
      </c>
      <c r="F146" s="3">
        <f t="shared" si="5"/>
        <v>-127</v>
      </c>
      <c r="G146" s="23">
        <f>IFERROR(IF($C$13="No","N/A",IF(Table1578[[#This Row],[Period]]=1,$C$6,PMT(InterestRate*AmortizationMultiplier/12,Table1578[[#This Row],[Am Thru]],-Table1578[[#This Row],[Beginning Balance]]))),0)</f>
        <v>0</v>
      </c>
      <c r="H146" s="3">
        <f>MAX(0,IF(C146=$C$4,D146,ROUND(IF($C$3="Fixed Principal",$C$6-Table1578[[#This Row],[Interest]],IF($C$3="Interest Only",Table1578[[#This Row],[Beginning Balance]]*ROUND(1-(1-IF($C$11="No",$E$8,1))^(1/12),6),MIN(IF($C$13="Yes",Table1578[[#This Row],[Payment Amount (Reamortized)]],$C$6)-Table1578[[#This Row],[Interest]],Table1578[[#This Row],[Beginning Balance]]))),2)))</f>
        <v>0</v>
      </c>
      <c r="I146" s="3">
        <f>_xlfn.SINGLE(IF($C$3="Line of Credit",0,ROUND(MAX(MIN(IF($C$10="No",$E$7,VLOOKUP(Table1578[[#This Row],[Period]],Forecast!$H$2:$L$1048576,4,FALSE))*Table1578[[#This Row],[Beginning Balance]],Table1578[[#This Row],[Beginning Balance]]-Table1578[[#This Row],[Principal]]),0),2)))</f>
        <v>0</v>
      </c>
      <c r="J146" s="3">
        <f>ROUND(MIN(Table1578[[#This Row],[Beginning Balance]]*IF($C$8="No",$E$3,VLOOKUP(Table1578[[#This Row],[Period]],Forecast!$H$2:$L$1048576,2,FALSE)),Table1578[[#This Row],[Beginning Balance]]-Table1578[[#This Row],[Principal]]-Table1578[[#This Row],[Prepayments]]),2)</f>
        <v>0</v>
      </c>
      <c r="K146" s="3">
        <f>ROUND(Table1578[[#This Row],[Defaulted Principal]]*IF($C$9="No",$E$4,VLOOKUP(Table1578[[#This Row],[Period]],Forecast!$H$2:$L$1048576,3,FALSE)),2)</f>
        <v>0</v>
      </c>
      <c r="L146" s="2">
        <f>Table1578[[#This Row],[Period]]+$E$9</f>
        <v>142</v>
      </c>
      <c r="M146" s="3">
        <f>Table1578[[#This Row],[Defaulted Principal]]-Table1578[[#This Row],[Estimated Loss]]</f>
        <v>0</v>
      </c>
      <c r="N146" s="3">
        <f>IFERROR(VLOOKUP(Table1578[[#This Row],[Period]],$L$16:$M$385,2,FALSE),0)</f>
        <v>0</v>
      </c>
      <c r="O146" s="3">
        <f>Table1578[[#This Row],[Beginning Balance]]-Table1578[[#This Row],[Principal]]-Table1578[[#This Row],[Prepayments]]-Table1578[[#This Row],[Defaulted Principal]]</f>
        <v>0</v>
      </c>
      <c r="P146" s="3">
        <f>Table1578[[#This Row],[Principal]]+Table1578[[#This Row],[Interest]]+Table1578[[#This Row],[Prepayments]]+Table1578[[#This Row],[RecoveredAmount]]</f>
        <v>0</v>
      </c>
      <c r="Q146" s="3">
        <f ca="1">ROUND(Table1578[[#This Row],[Cash Flow]]/((1+ActualRateToUse)^(IF(ISNUMBER(SEARCH("Actual",$C$7)),Table1578[[#This Row],[Running Total]]/365,Table1578[[#This Row],[Period]]/12))),2)</f>
        <v>0</v>
      </c>
      <c r="R146" s="2">
        <f>IF(MONTH(Table1578[[#This Row],[Date]])=2,28,DAY(DATE(YEAR(Table1578[[#This Row],[Date]]),MONTH(Table1578[[#This Row],[Date]])+1,1)-1))</f>
        <v>30</v>
      </c>
      <c r="S146" s="2">
        <f ca="1">SUM(OFFSET(Table1578[[#Headers],[Days in month]],1,0):Table1578[[#This Row],[Days in month]])</f>
        <v>3954</v>
      </c>
      <c r="T146" s="37">
        <f>InterestRate*AmortizationMultiplier*IF(ISNUMBER(SEARCH("Actual",$C$7)),Table1578[[#This Row],[Days in month]]/365,1/12)</f>
        <v>6.0333333333333333E-3</v>
      </c>
    </row>
    <row r="147" spans="2:20" x14ac:dyDescent="0.2">
      <c r="B147" s="1">
        <f t="shared" si="6"/>
        <v>49826</v>
      </c>
      <c r="C147" s="2">
        <f t="shared" ref="C147:C210" si="8">C146+1</f>
        <v>131</v>
      </c>
      <c r="D147" s="3">
        <f t="shared" si="7"/>
        <v>0</v>
      </c>
      <c r="E147" s="3">
        <f>ROUND(Table1578[[#This Row],[Beginning Balance]]*Table1578[[#This Row],[Monthly Interest Rate]],2)</f>
        <v>0</v>
      </c>
      <c r="F147" s="3">
        <f t="shared" ref="F147:F210" si="9">+F146-1</f>
        <v>-128</v>
      </c>
      <c r="G147" s="23">
        <f>IFERROR(IF($C$13="No","N/A",IF(Table1578[[#This Row],[Period]]=1,$C$6,PMT(InterestRate*AmortizationMultiplier/12,Table1578[[#This Row],[Am Thru]],-Table1578[[#This Row],[Beginning Balance]]))),0)</f>
        <v>0</v>
      </c>
      <c r="H147" s="3">
        <f>MAX(0,IF(C147=$C$4,D147,ROUND(IF($C$3="Fixed Principal",$C$6-Table1578[[#This Row],[Interest]],IF($C$3="Interest Only",Table1578[[#This Row],[Beginning Balance]]*ROUND(1-(1-IF($C$11="No",$E$8,1))^(1/12),6),MIN(IF($C$13="Yes",Table1578[[#This Row],[Payment Amount (Reamortized)]],$C$6)-Table1578[[#This Row],[Interest]],Table1578[[#This Row],[Beginning Balance]]))),2)))</f>
        <v>0</v>
      </c>
      <c r="I147" s="3">
        <f>_xlfn.SINGLE(IF($C$3="Line of Credit",0,ROUND(MAX(MIN(IF($C$10="No",$E$7,VLOOKUP(Table1578[[#This Row],[Period]],Forecast!$H$2:$L$1048576,4,FALSE))*Table1578[[#This Row],[Beginning Balance]],Table1578[[#This Row],[Beginning Balance]]-Table1578[[#This Row],[Principal]]),0),2)))</f>
        <v>0</v>
      </c>
      <c r="J147" s="3">
        <f>ROUND(MIN(Table1578[[#This Row],[Beginning Balance]]*IF($C$8="No",$E$3,VLOOKUP(Table1578[[#This Row],[Period]],Forecast!$H$2:$L$1048576,2,FALSE)),Table1578[[#This Row],[Beginning Balance]]-Table1578[[#This Row],[Principal]]-Table1578[[#This Row],[Prepayments]]),2)</f>
        <v>0</v>
      </c>
      <c r="K147" s="3">
        <f>ROUND(Table1578[[#This Row],[Defaulted Principal]]*IF($C$9="No",$E$4,VLOOKUP(Table1578[[#This Row],[Period]],Forecast!$H$2:$L$1048576,3,FALSE)),2)</f>
        <v>0</v>
      </c>
      <c r="L147" s="2">
        <f>Table1578[[#This Row],[Period]]+$E$9</f>
        <v>143</v>
      </c>
      <c r="M147" s="3">
        <f>Table1578[[#This Row],[Defaulted Principal]]-Table1578[[#This Row],[Estimated Loss]]</f>
        <v>0</v>
      </c>
      <c r="N147" s="3">
        <f>IFERROR(VLOOKUP(Table1578[[#This Row],[Period]],$L$16:$M$385,2,FALSE),0)</f>
        <v>0</v>
      </c>
      <c r="O147" s="3">
        <f>Table1578[[#This Row],[Beginning Balance]]-Table1578[[#This Row],[Principal]]-Table1578[[#This Row],[Prepayments]]-Table1578[[#This Row],[Defaulted Principal]]</f>
        <v>0</v>
      </c>
      <c r="P147" s="3">
        <f>Table1578[[#This Row],[Principal]]+Table1578[[#This Row],[Interest]]+Table1578[[#This Row],[Prepayments]]+Table1578[[#This Row],[RecoveredAmount]]</f>
        <v>0</v>
      </c>
      <c r="Q147" s="3">
        <f ca="1">ROUND(Table1578[[#This Row],[Cash Flow]]/((1+ActualRateToUse)^(IF(ISNUMBER(SEARCH("Actual",$C$7)),Table1578[[#This Row],[Running Total]]/365,Table1578[[#This Row],[Period]]/12))),2)</f>
        <v>0</v>
      </c>
      <c r="R147" s="2">
        <f>IF(MONTH(Table1578[[#This Row],[Date]])=2,28,DAY(DATE(YEAR(Table1578[[#This Row],[Date]]),MONTH(Table1578[[#This Row],[Date]])+1,1)-1))</f>
        <v>31</v>
      </c>
      <c r="S147" s="2">
        <f ca="1">SUM(OFFSET(Table1578[[#Headers],[Days in month]],1,0):Table1578[[#This Row],[Days in month]])</f>
        <v>3985</v>
      </c>
      <c r="T147" s="37">
        <f>InterestRate*AmortizationMultiplier*IF(ISNUMBER(SEARCH("Actual",$C$7)),Table1578[[#This Row],[Days in month]]/365,1/12)</f>
        <v>6.2344444444444444E-3</v>
      </c>
    </row>
    <row r="148" spans="2:20" x14ac:dyDescent="0.2">
      <c r="B148" s="1">
        <f t="shared" si="6"/>
        <v>49856</v>
      </c>
      <c r="C148" s="2">
        <f t="shared" si="8"/>
        <v>132</v>
      </c>
      <c r="D148" s="3">
        <f t="shared" si="7"/>
        <v>0</v>
      </c>
      <c r="E148" s="3">
        <f>ROUND(Table1578[[#This Row],[Beginning Balance]]*Table1578[[#This Row],[Monthly Interest Rate]],2)</f>
        <v>0</v>
      </c>
      <c r="F148" s="3">
        <f t="shared" si="9"/>
        <v>-129</v>
      </c>
      <c r="G148" s="23">
        <f>IFERROR(IF($C$13="No","N/A",IF(Table1578[[#This Row],[Period]]=1,$C$6,PMT(InterestRate*AmortizationMultiplier/12,Table1578[[#This Row],[Am Thru]],-Table1578[[#This Row],[Beginning Balance]]))),0)</f>
        <v>0</v>
      </c>
      <c r="H148" s="3">
        <f>MAX(0,IF(C148=$C$4,D148,ROUND(IF($C$3="Fixed Principal",$C$6-Table1578[[#This Row],[Interest]],IF($C$3="Interest Only",Table1578[[#This Row],[Beginning Balance]]*ROUND(1-(1-IF($C$11="No",$E$8,1))^(1/12),6),MIN(IF($C$13="Yes",Table1578[[#This Row],[Payment Amount (Reamortized)]],$C$6)-Table1578[[#This Row],[Interest]],Table1578[[#This Row],[Beginning Balance]]))),2)))</f>
        <v>0</v>
      </c>
      <c r="I148" s="3">
        <f>_xlfn.SINGLE(IF($C$3="Line of Credit",0,ROUND(MAX(MIN(IF($C$10="No",$E$7,VLOOKUP(Table1578[[#This Row],[Period]],Forecast!$H$2:$L$1048576,4,FALSE))*Table1578[[#This Row],[Beginning Balance]],Table1578[[#This Row],[Beginning Balance]]-Table1578[[#This Row],[Principal]]),0),2)))</f>
        <v>0</v>
      </c>
      <c r="J148" s="3">
        <f>ROUND(MIN(Table1578[[#This Row],[Beginning Balance]]*IF($C$8="No",$E$3,VLOOKUP(Table1578[[#This Row],[Period]],Forecast!$H$2:$L$1048576,2,FALSE)),Table1578[[#This Row],[Beginning Balance]]-Table1578[[#This Row],[Principal]]-Table1578[[#This Row],[Prepayments]]),2)</f>
        <v>0</v>
      </c>
      <c r="K148" s="3">
        <f>ROUND(Table1578[[#This Row],[Defaulted Principal]]*IF($C$9="No",$E$4,VLOOKUP(Table1578[[#This Row],[Period]],Forecast!$H$2:$L$1048576,3,FALSE)),2)</f>
        <v>0</v>
      </c>
      <c r="L148" s="2">
        <f>Table1578[[#This Row],[Period]]+$E$9</f>
        <v>144</v>
      </c>
      <c r="M148" s="3">
        <f>Table1578[[#This Row],[Defaulted Principal]]-Table1578[[#This Row],[Estimated Loss]]</f>
        <v>0</v>
      </c>
      <c r="N148" s="3">
        <f>IFERROR(VLOOKUP(Table1578[[#This Row],[Period]],$L$16:$M$385,2,FALSE),0)</f>
        <v>0</v>
      </c>
      <c r="O148" s="3">
        <f>Table1578[[#This Row],[Beginning Balance]]-Table1578[[#This Row],[Principal]]-Table1578[[#This Row],[Prepayments]]-Table1578[[#This Row],[Defaulted Principal]]</f>
        <v>0</v>
      </c>
      <c r="P148" s="3">
        <f>Table1578[[#This Row],[Principal]]+Table1578[[#This Row],[Interest]]+Table1578[[#This Row],[Prepayments]]+Table1578[[#This Row],[RecoveredAmount]]</f>
        <v>0</v>
      </c>
      <c r="Q148" s="3">
        <f ca="1">ROUND(Table1578[[#This Row],[Cash Flow]]/((1+ActualRateToUse)^(IF(ISNUMBER(SEARCH("Actual",$C$7)),Table1578[[#This Row],[Running Total]]/365,Table1578[[#This Row],[Period]]/12))),2)</f>
        <v>0</v>
      </c>
      <c r="R148" s="2">
        <f>IF(MONTH(Table1578[[#This Row],[Date]])=2,28,DAY(DATE(YEAR(Table1578[[#This Row],[Date]]),MONTH(Table1578[[#This Row],[Date]])+1,1)-1))</f>
        <v>30</v>
      </c>
      <c r="S148" s="2">
        <f ca="1">SUM(OFFSET(Table1578[[#Headers],[Days in month]],1,0):Table1578[[#This Row],[Days in month]])</f>
        <v>4015</v>
      </c>
      <c r="T148" s="37">
        <f>InterestRate*AmortizationMultiplier*IF(ISNUMBER(SEARCH("Actual",$C$7)),Table1578[[#This Row],[Days in month]]/365,1/12)</f>
        <v>6.0333333333333333E-3</v>
      </c>
    </row>
    <row r="149" spans="2:20" x14ac:dyDescent="0.2">
      <c r="B149" s="1">
        <f t="shared" si="6"/>
        <v>49887</v>
      </c>
      <c r="C149" s="2">
        <f t="shared" si="8"/>
        <v>133</v>
      </c>
      <c r="D149" s="3">
        <f t="shared" si="7"/>
        <v>0</v>
      </c>
      <c r="E149" s="3">
        <f>ROUND(Table1578[[#This Row],[Beginning Balance]]*Table1578[[#This Row],[Monthly Interest Rate]],2)</f>
        <v>0</v>
      </c>
      <c r="F149" s="3">
        <f t="shared" si="9"/>
        <v>-130</v>
      </c>
      <c r="G149" s="23">
        <f>IFERROR(IF($C$13="No","N/A",IF(Table1578[[#This Row],[Period]]=1,$C$6,PMT(InterestRate*AmortizationMultiplier/12,Table1578[[#This Row],[Am Thru]],-Table1578[[#This Row],[Beginning Balance]]))),0)</f>
        <v>0</v>
      </c>
      <c r="H149" s="3">
        <f>MAX(0,IF(C149=$C$4,D149,ROUND(IF($C$3="Fixed Principal",$C$6-Table1578[[#This Row],[Interest]],IF($C$3="Interest Only",Table1578[[#This Row],[Beginning Balance]]*ROUND(1-(1-IF($C$11="No",$E$8,1))^(1/12),6),MIN(IF($C$13="Yes",Table1578[[#This Row],[Payment Amount (Reamortized)]],$C$6)-Table1578[[#This Row],[Interest]],Table1578[[#This Row],[Beginning Balance]]))),2)))</f>
        <v>0</v>
      </c>
      <c r="I149" s="3">
        <f>_xlfn.SINGLE(IF($C$3="Line of Credit",0,ROUND(MAX(MIN(IF($C$10="No",$E$7,VLOOKUP(Table1578[[#This Row],[Period]],Forecast!$H$2:$L$1048576,4,FALSE))*Table1578[[#This Row],[Beginning Balance]],Table1578[[#This Row],[Beginning Balance]]-Table1578[[#This Row],[Principal]]),0),2)))</f>
        <v>0</v>
      </c>
      <c r="J149" s="3">
        <f>ROUND(MIN(Table1578[[#This Row],[Beginning Balance]]*IF($C$8="No",$E$3,VLOOKUP(Table1578[[#This Row],[Period]],Forecast!$H$2:$L$1048576,2,FALSE)),Table1578[[#This Row],[Beginning Balance]]-Table1578[[#This Row],[Principal]]-Table1578[[#This Row],[Prepayments]]),2)</f>
        <v>0</v>
      </c>
      <c r="K149" s="3">
        <f>ROUND(Table1578[[#This Row],[Defaulted Principal]]*IF($C$9="No",$E$4,VLOOKUP(Table1578[[#This Row],[Period]],Forecast!$H$2:$L$1048576,3,FALSE)),2)</f>
        <v>0</v>
      </c>
      <c r="L149" s="2">
        <f>Table1578[[#This Row],[Period]]+$E$9</f>
        <v>145</v>
      </c>
      <c r="M149" s="3">
        <f>Table1578[[#This Row],[Defaulted Principal]]-Table1578[[#This Row],[Estimated Loss]]</f>
        <v>0</v>
      </c>
      <c r="N149" s="3">
        <f>IFERROR(VLOOKUP(Table1578[[#This Row],[Period]],$L$16:$M$385,2,FALSE),0)</f>
        <v>0</v>
      </c>
      <c r="O149" s="3">
        <f>Table1578[[#This Row],[Beginning Balance]]-Table1578[[#This Row],[Principal]]-Table1578[[#This Row],[Prepayments]]-Table1578[[#This Row],[Defaulted Principal]]</f>
        <v>0</v>
      </c>
      <c r="P149" s="3">
        <f>Table1578[[#This Row],[Principal]]+Table1578[[#This Row],[Interest]]+Table1578[[#This Row],[Prepayments]]+Table1578[[#This Row],[RecoveredAmount]]</f>
        <v>0</v>
      </c>
      <c r="Q149" s="3">
        <f ca="1">ROUND(Table1578[[#This Row],[Cash Flow]]/((1+ActualRateToUse)^(IF(ISNUMBER(SEARCH("Actual",$C$7)),Table1578[[#This Row],[Running Total]]/365,Table1578[[#This Row],[Period]]/12))),2)</f>
        <v>0</v>
      </c>
      <c r="R149" s="2">
        <f>IF(MONTH(Table1578[[#This Row],[Date]])=2,28,DAY(DATE(YEAR(Table1578[[#This Row],[Date]]),MONTH(Table1578[[#This Row],[Date]])+1,1)-1))</f>
        <v>31</v>
      </c>
      <c r="S149" s="2">
        <f ca="1">SUM(OFFSET(Table1578[[#Headers],[Days in month]],1,0):Table1578[[#This Row],[Days in month]])</f>
        <v>4046</v>
      </c>
      <c r="T149" s="37">
        <f>InterestRate*AmortizationMultiplier*IF(ISNUMBER(SEARCH("Actual",$C$7)),Table1578[[#This Row],[Days in month]]/365,1/12)</f>
        <v>6.2344444444444444E-3</v>
      </c>
    </row>
    <row r="150" spans="2:20" x14ac:dyDescent="0.2">
      <c r="B150" s="1">
        <f t="shared" si="6"/>
        <v>49918</v>
      </c>
      <c r="C150" s="2">
        <f t="shared" si="8"/>
        <v>134</v>
      </c>
      <c r="D150" s="3">
        <f t="shared" si="7"/>
        <v>0</v>
      </c>
      <c r="E150" s="3">
        <f>ROUND(Table1578[[#This Row],[Beginning Balance]]*Table1578[[#This Row],[Monthly Interest Rate]],2)</f>
        <v>0</v>
      </c>
      <c r="F150" s="3">
        <f t="shared" si="9"/>
        <v>-131</v>
      </c>
      <c r="G150" s="23">
        <f>IFERROR(IF($C$13="No","N/A",IF(Table1578[[#This Row],[Period]]=1,$C$6,PMT(InterestRate*AmortizationMultiplier/12,Table1578[[#This Row],[Am Thru]],-Table1578[[#This Row],[Beginning Balance]]))),0)</f>
        <v>0</v>
      </c>
      <c r="H150" s="3">
        <f>MAX(0,IF(C150=$C$4,D150,ROUND(IF($C$3="Fixed Principal",$C$6-Table1578[[#This Row],[Interest]],IF($C$3="Interest Only",Table1578[[#This Row],[Beginning Balance]]*ROUND(1-(1-IF($C$11="No",$E$8,1))^(1/12),6),MIN(IF($C$13="Yes",Table1578[[#This Row],[Payment Amount (Reamortized)]],$C$6)-Table1578[[#This Row],[Interest]],Table1578[[#This Row],[Beginning Balance]]))),2)))</f>
        <v>0</v>
      </c>
      <c r="I150" s="3">
        <f>_xlfn.SINGLE(IF($C$3="Line of Credit",0,ROUND(MAX(MIN(IF($C$10="No",$E$7,VLOOKUP(Table1578[[#This Row],[Period]],Forecast!$H$2:$L$1048576,4,FALSE))*Table1578[[#This Row],[Beginning Balance]],Table1578[[#This Row],[Beginning Balance]]-Table1578[[#This Row],[Principal]]),0),2)))</f>
        <v>0</v>
      </c>
      <c r="J150" s="3">
        <f>ROUND(MIN(Table1578[[#This Row],[Beginning Balance]]*IF($C$8="No",$E$3,VLOOKUP(Table1578[[#This Row],[Period]],Forecast!$H$2:$L$1048576,2,FALSE)),Table1578[[#This Row],[Beginning Balance]]-Table1578[[#This Row],[Principal]]-Table1578[[#This Row],[Prepayments]]),2)</f>
        <v>0</v>
      </c>
      <c r="K150" s="3">
        <f>ROUND(Table1578[[#This Row],[Defaulted Principal]]*IF($C$9="No",$E$4,VLOOKUP(Table1578[[#This Row],[Period]],Forecast!$H$2:$L$1048576,3,FALSE)),2)</f>
        <v>0</v>
      </c>
      <c r="L150" s="2">
        <f>Table1578[[#This Row],[Period]]+$E$9</f>
        <v>146</v>
      </c>
      <c r="M150" s="3">
        <f>Table1578[[#This Row],[Defaulted Principal]]-Table1578[[#This Row],[Estimated Loss]]</f>
        <v>0</v>
      </c>
      <c r="N150" s="3">
        <f>IFERROR(VLOOKUP(Table1578[[#This Row],[Period]],$L$16:$M$385,2,FALSE),0)</f>
        <v>0</v>
      </c>
      <c r="O150" s="3">
        <f>Table1578[[#This Row],[Beginning Balance]]-Table1578[[#This Row],[Principal]]-Table1578[[#This Row],[Prepayments]]-Table1578[[#This Row],[Defaulted Principal]]</f>
        <v>0</v>
      </c>
      <c r="P150" s="3">
        <f>Table1578[[#This Row],[Principal]]+Table1578[[#This Row],[Interest]]+Table1578[[#This Row],[Prepayments]]+Table1578[[#This Row],[RecoveredAmount]]</f>
        <v>0</v>
      </c>
      <c r="Q150" s="3">
        <f ca="1">ROUND(Table1578[[#This Row],[Cash Flow]]/((1+ActualRateToUse)^(IF(ISNUMBER(SEARCH("Actual",$C$7)),Table1578[[#This Row],[Running Total]]/365,Table1578[[#This Row],[Period]]/12))),2)</f>
        <v>0</v>
      </c>
      <c r="R150" s="2">
        <f>IF(MONTH(Table1578[[#This Row],[Date]])=2,28,DAY(DATE(YEAR(Table1578[[#This Row],[Date]]),MONTH(Table1578[[#This Row],[Date]])+1,1)-1))</f>
        <v>31</v>
      </c>
      <c r="S150" s="2">
        <f ca="1">SUM(OFFSET(Table1578[[#Headers],[Days in month]],1,0):Table1578[[#This Row],[Days in month]])</f>
        <v>4077</v>
      </c>
      <c r="T150" s="37">
        <f>InterestRate*AmortizationMultiplier*IF(ISNUMBER(SEARCH("Actual",$C$7)),Table1578[[#This Row],[Days in month]]/365,1/12)</f>
        <v>6.2344444444444444E-3</v>
      </c>
    </row>
    <row r="151" spans="2:20" x14ac:dyDescent="0.2">
      <c r="B151" s="1">
        <f t="shared" si="6"/>
        <v>49948</v>
      </c>
      <c r="C151" s="2">
        <f t="shared" si="8"/>
        <v>135</v>
      </c>
      <c r="D151" s="3">
        <f t="shared" si="7"/>
        <v>0</v>
      </c>
      <c r="E151" s="3">
        <f>ROUND(Table1578[[#This Row],[Beginning Balance]]*Table1578[[#This Row],[Monthly Interest Rate]],2)</f>
        <v>0</v>
      </c>
      <c r="F151" s="3">
        <f t="shared" si="9"/>
        <v>-132</v>
      </c>
      <c r="G151" s="23">
        <f>IFERROR(IF($C$13="No","N/A",IF(Table1578[[#This Row],[Period]]=1,$C$6,PMT(InterestRate*AmortizationMultiplier/12,Table1578[[#This Row],[Am Thru]],-Table1578[[#This Row],[Beginning Balance]]))),0)</f>
        <v>0</v>
      </c>
      <c r="H151" s="3">
        <f>MAX(0,IF(C151=$C$4,D151,ROUND(IF($C$3="Fixed Principal",$C$6-Table1578[[#This Row],[Interest]],IF($C$3="Interest Only",Table1578[[#This Row],[Beginning Balance]]*ROUND(1-(1-IF($C$11="No",$E$8,1))^(1/12),6),MIN(IF($C$13="Yes",Table1578[[#This Row],[Payment Amount (Reamortized)]],$C$6)-Table1578[[#This Row],[Interest]],Table1578[[#This Row],[Beginning Balance]]))),2)))</f>
        <v>0</v>
      </c>
      <c r="I151" s="3">
        <f>_xlfn.SINGLE(IF($C$3="Line of Credit",0,ROUND(MAX(MIN(IF($C$10="No",$E$7,VLOOKUP(Table1578[[#This Row],[Period]],Forecast!$H$2:$L$1048576,4,FALSE))*Table1578[[#This Row],[Beginning Balance]],Table1578[[#This Row],[Beginning Balance]]-Table1578[[#This Row],[Principal]]),0),2)))</f>
        <v>0</v>
      </c>
      <c r="J151" s="3">
        <f>ROUND(MIN(Table1578[[#This Row],[Beginning Balance]]*IF($C$8="No",$E$3,VLOOKUP(Table1578[[#This Row],[Period]],Forecast!$H$2:$L$1048576,2,FALSE)),Table1578[[#This Row],[Beginning Balance]]-Table1578[[#This Row],[Principal]]-Table1578[[#This Row],[Prepayments]]),2)</f>
        <v>0</v>
      </c>
      <c r="K151" s="3">
        <f>ROUND(Table1578[[#This Row],[Defaulted Principal]]*IF($C$9="No",$E$4,VLOOKUP(Table1578[[#This Row],[Period]],Forecast!$H$2:$L$1048576,3,FALSE)),2)</f>
        <v>0</v>
      </c>
      <c r="L151" s="2">
        <f>Table1578[[#This Row],[Period]]+$E$9</f>
        <v>147</v>
      </c>
      <c r="M151" s="3">
        <f>Table1578[[#This Row],[Defaulted Principal]]-Table1578[[#This Row],[Estimated Loss]]</f>
        <v>0</v>
      </c>
      <c r="N151" s="3">
        <f>IFERROR(VLOOKUP(Table1578[[#This Row],[Period]],$L$16:$M$385,2,FALSE),0)</f>
        <v>0</v>
      </c>
      <c r="O151" s="3">
        <f>Table1578[[#This Row],[Beginning Balance]]-Table1578[[#This Row],[Principal]]-Table1578[[#This Row],[Prepayments]]-Table1578[[#This Row],[Defaulted Principal]]</f>
        <v>0</v>
      </c>
      <c r="P151" s="3">
        <f>Table1578[[#This Row],[Principal]]+Table1578[[#This Row],[Interest]]+Table1578[[#This Row],[Prepayments]]+Table1578[[#This Row],[RecoveredAmount]]</f>
        <v>0</v>
      </c>
      <c r="Q151" s="3">
        <f ca="1">ROUND(Table1578[[#This Row],[Cash Flow]]/((1+ActualRateToUse)^(IF(ISNUMBER(SEARCH("Actual",$C$7)),Table1578[[#This Row],[Running Total]]/365,Table1578[[#This Row],[Period]]/12))),2)</f>
        <v>0</v>
      </c>
      <c r="R151" s="2">
        <f>IF(MONTH(Table1578[[#This Row],[Date]])=2,28,DAY(DATE(YEAR(Table1578[[#This Row],[Date]]),MONTH(Table1578[[#This Row],[Date]])+1,1)-1))</f>
        <v>30</v>
      </c>
      <c r="S151" s="2">
        <f ca="1">SUM(OFFSET(Table1578[[#Headers],[Days in month]],1,0):Table1578[[#This Row],[Days in month]])</f>
        <v>4107</v>
      </c>
      <c r="T151" s="37">
        <f>InterestRate*AmortizationMultiplier*IF(ISNUMBER(SEARCH("Actual",$C$7)),Table1578[[#This Row],[Days in month]]/365,1/12)</f>
        <v>6.0333333333333333E-3</v>
      </c>
    </row>
    <row r="152" spans="2:20" x14ac:dyDescent="0.2">
      <c r="B152" s="1">
        <f t="shared" si="6"/>
        <v>49979</v>
      </c>
      <c r="C152" s="2">
        <f t="shared" si="8"/>
        <v>136</v>
      </c>
      <c r="D152" s="3">
        <f t="shared" si="7"/>
        <v>0</v>
      </c>
      <c r="E152" s="3">
        <f>ROUND(Table1578[[#This Row],[Beginning Balance]]*Table1578[[#This Row],[Monthly Interest Rate]],2)</f>
        <v>0</v>
      </c>
      <c r="F152" s="3">
        <f t="shared" si="9"/>
        <v>-133</v>
      </c>
      <c r="G152" s="23">
        <f>IFERROR(IF($C$13="No","N/A",IF(Table1578[[#This Row],[Period]]=1,$C$6,PMT(InterestRate*AmortizationMultiplier/12,Table1578[[#This Row],[Am Thru]],-Table1578[[#This Row],[Beginning Balance]]))),0)</f>
        <v>0</v>
      </c>
      <c r="H152" s="3">
        <f>MAX(0,IF(C152=$C$4,D152,ROUND(IF($C$3="Fixed Principal",$C$6-Table1578[[#This Row],[Interest]],IF($C$3="Interest Only",Table1578[[#This Row],[Beginning Balance]]*ROUND(1-(1-IF($C$11="No",$E$8,1))^(1/12),6),MIN(IF($C$13="Yes",Table1578[[#This Row],[Payment Amount (Reamortized)]],$C$6)-Table1578[[#This Row],[Interest]],Table1578[[#This Row],[Beginning Balance]]))),2)))</f>
        <v>0</v>
      </c>
      <c r="I152" s="3">
        <f>_xlfn.SINGLE(IF($C$3="Line of Credit",0,ROUND(MAX(MIN(IF($C$10="No",$E$7,VLOOKUP(Table1578[[#This Row],[Period]],Forecast!$H$2:$L$1048576,4,FALSE))*Table1578[[#This Row],[Beginning Balance]],Table1578[[#This Row],[Beginning Balance]]-Table1578[[#This Row],[Principal]]),0),2)))</f>
        <v>0</v>
      </c>
      <c r="J152" s="3">
        <f>ROUND(MIN(Table1578[[#This Row],[Beginning Balance]]*IF($C$8="No",$E$3,VLOOKUP(Table1578[[#This Row],[Period]],Forecast!$H$2:$L$1048576,2,FALSE)),Table1578[[#This Row],[Beginning Balance]]-Table1578[[#This Row],[Principal]]-Table1578[[#This Row],[Prepayments]]),2)</f>
        <v>0</v>
      </c>
      <c r="K152" s="3">
        <f>ROUND(Table1578[[#This Row],[Defaulted Principal]]*IF($C$9="No",$E$4,VLOOKUP(Table1578[[#This Row],[Period]],Forecast!$H$2:$L$1048576,3,FALSE)),2)</f>
        <v>0</v>
      </c>
      <c r="L152" s="2">
        <f>Table1578[[#This Row],[Period]]+$E$9</f>
        <v>148</v>
      </c>
      <c r="M152" s="3">
        <f>Table1578[[#This Row],[Defaulted Principal]]-Table1578[[#This Row],[Estimated Loss]]</f>
        <v>0</v>
      </c>
      <c r="N152" s="3">
        <f>IFERROR(VLOOKUP(Table1578[[#This Row],[Period]],$L$16:$M$385,2,FALSE),0)</f>
        <v>0</v>
      </c>
      <c r="O152" s="3">
        <f>Table1578[[#This Row],[Beginning Balance]]-Table1578[[#This Row],[Principal]]-Table1578[[#This Row],[Prepayments]]-Table1578[[#This Row],[Defaulted Principal]]</f>
        <v>0</v>
      </c>
      <c r="P152" s="3">
        <f>Table1578[[#This Row],[Principal]]+Table1578[[#This Row],[Interest]]+Table1578[[#This Row],[Prepayments]]+Table1578[[#This Row],[RecoveredAmount]]</f>
        <v>0</v>
      </c>
      <c r="Q152" s="3">
        <f ca="1">ROUND(Table1578[[#This Row],[Cash Flow]]/((1+ActualRateToUse)^(IF(ISNUMBER(SEARCH("Actual",$C$7)),Table1578[[#This Row],[Running Total]]/365,Table1578[[#This Row],[Period]]/12))),2)</f>
        <v>0</v>
      </c>
      <c r="R152" s="2">
        <f>IF(MONTH(Table1578[[#This Row],[Date]])=2,28,DAY(DATE(YEAR(Table1578[[#This Row],[Date]]),MONTH(Table1578[[#This Row],[Date]])+1,1)-1))</f>
        <v>31</v>
      </c>
      <c r="S152" s="2">
        <f ca="1">SUM(OFFSET(Table1578[[#Headers],[Days in month]],1,0):Table1578[[#This Row],[Days in month]])</f>
        <v>4138</v>
      </c>
      <c r="T152" s="37">
        <f>InterestRate*AmortizationMultiplier*IF(ISNUMBER(SEARCH("Actual",$C$7)),Table1578[[#This Row],[Days in month]]/365,1/12)</f>
        <v>6.2344444444444444E-3</v>
      </c>
    </row>
    <row r="153" spans="2:20" x14ac:dyDescent="0.2">
      <c r="B153" s="1">
        <f t="shared" si="6"/>
        <v>50009</v>
      </c>
      <c r="C153" s="2">
        <f t="shared" si="8"/>
        <v>137</v>
      </c>
      <c r="D153" s="3">
        <f t="shared" si="7"/>
        <v>0</v>
      </c>
      <c r="E153" s="3">
        <f>ROUND(Table1578[[#This Row],[Beginning Balance]]*Table1578[[#This Row],[Monthly Interest Rate]],2)</f>
        <v>0</v>
      </c>
      <c r="F153" s="3">
        <f t="shared" si="9"/>
        <v>-134</v>
      </c>
      <c r="G153" s="23">
        <f>IFERROR(IF($C$13="No","N/A",IF(Table1578[[#This Row],[Period]]=1,$C$6,PMT(InterestRate*AmortizationMultiplier/12,Table1578[[#This Row],[Am Thru]],-Table1578[[#This Row],[Beginning Balance]]))),0)</f>
        <v>0</v>
      </c>
      <c r="H153" s="3">
        <f>MAX(0,IF(C153=$C$4,D153,ROUND(IF($C$3="Fixed Principal",$C$6-Table1578[[#This Row],[Interest]],IF($C$3="Interest Only",Table1578[[#This Row],[Beginning Balance]]*ROUND(1-(1-IF($C$11="No",$E$8,1))^(1/12),6),MIN(IF($C$13="Yes",Table1578[[#This Row],[Payment Amount (Reamortized)]],$C$6)-Table1578[[#This Row],[Interest]],Table1578[[#This Row],[Beginning Balance]]))),2)))</f>
        <v>0</v>
      </c>
      <c r="I153" s="3">
        <f>_xlfn.SINGLE(IF($C$3="Line of Credit",0,ROUND(MAX(MIN(IF($C$10="No",$E$7,VLOOKUP(Table1578[[#This Row],[Period]],Forecast!$H$2:$L$1048576,4,FALSE))*Table1578[[#This Row],[Beginning Balance]],Table1578[[#This Row],[Beginning Balance]]-Table1578[[#This Row],[Principal]]),0),2)))</f>
        <v>0</v>
      </c>
      <c r="J153" s="3">
        <f>ROUND(MIN(Table1578[[#This Row],[Beginning Balance]]*IF($C$8="No",$E$3,VLOOKUP(Table1578[[#This Row],[Period]],Forecast!$H$2:$L$1048576,2,FALSE)),Table1578[[#This Row],[Beginning Balance]]-Table1578[[#This Row],[Principal]]-Table1578[[#This Row],[Prepayments]]),2)</f>
        <v>0</v>
      </c>
      <c r="K153" s="3">
        <f>ROUND(Table1578[[#This Row],[Defaulted Principal]]*IF($C$9="No",$E$4,VLOOKUP(Table1578[[#This Row],[Period]],Forecast!$H$2:$L$1048576,3,FALSE)),2)</f>
        <v>0</v>
      </c>
      <c r="L153" s="2">
        <f>Table1578[[#This Row],[Period]]+$E$9</f>
        <v>149</v>
      </c>
      <c r="M153" s="3">
        <f>Table1578[[#This Row],[Defaulted Principal]]-Table1578[[#This Row],[Estimated Loss]]</f>
        <v>0</v>
      </c>
      <c r="N153" s="3">
        <f>IFERROR(VLOOKUP(Table1578[[#This Row],[Period]],$L$16:$M$385,2,FALSE),0)</f>
        <v>0</v>
      </c>
      <c r="O153" s="3">
        <f>Table1578[[#This Row],[Beginning Balance]]-Table1578[[#This Row],[Principal]]-Table1578[[#This Row],[Prepayments]]-Table1578[[#This Row],[Defaulted Principal]]</f>
        <v>0</v>
      </c>
      <c r="P153" s="3">
        <f>Table1578[[#This Row],[Principal]]+Table1578[[#This Row],[Interest]]+Table1578[[#This Row],[Prepayments]]+Table1578[[#This Row],[RecoveredAmount]]</f>
        <v>0</v>
      </c>
      <c r="Q153" s="3">
        <f ca="1">ROUND(Table1578[[#This Row],[Cash Flow]]/((1+ActualRateToUse)^(IF(ISNUMBER(SEARCH("Actual",$C$7)),Table1578[[#This Row],[Running Total]]/365,Table1578[[#This Row],[Period]]/12))),2)</f>
        <v>0</v>
      </c>
      <c r="R153" s="2">
        <f>IF(MONTH(Table1578[[#This Row],[Date]])=2,28,DAY(DATE(YEAR(Table1578[[#This Row],[Date]]),MONTH(Table1578[[#This Row],[Date]])+1,1)-1))</f>
        <v>30</v>
      </c>
      <c r="S153" s="2">
        <f ca="1">SUM(OFFSET(Table1578[[#Headers],[Days in month]],1,0):Table1578[[#This Row],[Days in month]])</f>
        <v>4168</v>
      </c>
      <c r="T153" s="37">
        <f>InterestRate*AmortizationMultiplier*IF(ISNUMBER(SEARCH("Actual",$C$7)),Table1578[[#This Row],[Days in month]]/365,1/12)</f>
        <v>6.0333333333333333E-3</v>
      </c>
    </row>
    <row r="154" spans="2:20" x14ac:dyDescent="0.2">
      <c r="B154" s="1">
        <f t="shared" si="6"/>
        <v>50040</v>
      </c>
      <c r="C154" s="2">
        <f t="shared" si="8"/>
        <v>138</v>
      </c>
      <c r="D154" s="3">
        <f t="shared" si="7"/>
        <v>0</v>
      </c>
      <c r="E154" s="3">
        <f>ROUND(Table1578[[#This Row],[Beginning Balance]]*Table1578[[#This Row],[Monthly Interest Rate]],2)</f>
        <v>0</v>
      </c>
      <c r="F154" s="3">
        <f t="shared" si="9"/>
        <v>-135</v>
      </c>
      <c r="G154" s="23">
        <f>IFERROR(IF($C$13="No","N/A",IF(Table1578[[#This Row],[Period]]=1,$C$6,PMT(InterestRate*AmortizationMultiplier/12,Table1578[[#This Row],[Am Thru]],-Table1578[[#This Row],[Beginning Balance]]))),0)</f>
        <v>0</v>
      </c>
      <c r="H154" s="3">
        <f>MAX(0,IF(C154=$C$4,D154,ROUND(IF($C$3="Fixed Principal",$C$6-Table1578[[#This Row],[Interest]],IF($C$3="Interest Only",Table1578[[#This Row],[Beginning Balance]]*ROUND(1-(1-IF($C$11="No",$E$8,1))^(1/12),6),MIN(IF($C$13="Yes",Table1578[[#This Row],[Payment Amount (Reamortized)]],$C$6)-Table1578[[#This Row],[Interest]],Table1578[[#This Row],[Beginning Balance]]))),2)))</f>
        <v>0</v>
      </c>
      <c r="I154" s="3">
        <f>_xlfn.SINGLE(IF($C$3="Line of Credit",0,ROUND(MAX(MIN(IF($C$10="No",$E$7,VLOOKUP(Table1578[[#This Row],[Period]],Forecast!$H$2:$L$1048576,4,FALSE))*Table1578[[#This Row],[Beginning Balance]],Table1578[[#This Row],[Beginning Balance]]-Table1578[[#This Row],[Principal]]),0),2)))</f>
        <v>0</v>
      </c>
      <c r="J154" s="3">
        <f>ROUND(MIN(Table1578[[#This Row],[Beginning Balance]]*IF($C$8="No",$E$3,VLOOKUP(Table1578[[#This Row],[Period]],Forecast!$H$2:$L$1048576,2,FALSE)),Table1578[[#This Row],[Beginning Balance]]-Table1578[[#This Row],[Principal]]-Table1578[[#This Row],[Prepayments]]),2)</f>
        <v>0</v>
      </c>
      <c r="K154" s="3">
        <f>ROUND(Table1578[[#This Row],[Defaulted Principal]]*IF($C$9="No",$E$4,VLOOKUP(Table1578[[#This Row],[Period]],Forecast!$H$2:$L$1048576,3,FALSE)),2)</f>
        <v>0</v>
      </c>
      <c r="L154" s="2">
        <f>Table1578[[#This Row],[Period]]+$E$9</f>
        <v>150</v>
      </c>
      <c r="M154" s="3">
        <f>Table1578[[#This Row],[Defaulted Principal]]-Table1578[[#This Row],[Estimated Loss]]</f>
        <v>0</v>
      </c>
      <c r="N154" s="3">
        <f>IFERROR(VLOOKUP(Table1578[[#This Row],[Period]],$L$16:$M$385,2,FALSE),0)</f>
        <v>0</v>
      </c>
      <c r="O154" s="3">
        <f>Table1578[[#This Row],[Beginning Balance]]-Table1578[[#This Row],[Principal]]-Table1578[[#This Row],[Prepayments]]-Table1578[[#This Row],[Defaulted Principal]]</f>
        <v>0</v>
      </c>
      <c r="P154" s="3">
        <f>Table1578[[#This Row],[Principal]]+Table1578[[#This Row],[Interest]]+Table1578[[#This Row],[Prepayments]]+Table1578[[#This Row],[RecoveredAmount]]</f>
        <v>0</v>
      </c>
      <c r="Q154" s="3">
        <f ca="1">ROUND(Table1578[[#This Row],[Cash Flow]]/((1+ActualRateToUse)^(IF(ISNUMBER(SEARCH("Actual",$C$7)),Table1578[[#This Row],[Running Total]]/365,Table1578[[#This Row],[Period]]/12))),2)</f>
        <v>0</v>
      </c>
      <c r="R154" s="2">
        <f>IF(MONTH(Table1578[[#This Row],[Date]])=2,28,DAY(DATE(YEAR(Table1578[[#This Row],[Date]]),MONTH(Table1578[[#This Row],[Date]])+1,1)-1))</f>
        <v>31</v>
      </c>
      <c r="S154" s="2">
        <f ca="1">SUM(OFFSET(Table1578[[#Headers],[Days in month]],1,0):Table1578[[#This Row],[Days in month]])</f>
        <v>4199</v>
      </c>
      <c r="T154" s="37">
        <f>InterestRate*AmortizationMultiplier*IF(ISNUMBER(SEARCH("Actual",$C$7)),Table1578[[#This Row],[Days in month]]/365,1/12)</f>
        <v>6.2344444444444444E-3</v>
      </c>
    </row>
    <row r="155" spans="2:20" x14ac:dyDescent="0.2">
      <c r="B155" s="1">
        <f t="shared" si="6"/>
        <v>50071</v>
      </c>
      <c r="C155" s="2">
        <f t="shared" si="8"/>
        <v>139</v>
      </c>
      <c r="D155" s="3">
        <f t="shared" si="7"/>
        <v>0</v>
      </c>
      <c r="E155" s="3">
        <f>ROUND(Table1578[[#This Row],[Beginning Balance]]*Table1578[[#This Row],[Monthly Interest Rate]],2)</f>
        <v>0</v>
      </c>
      <c r="F155" s="3">
        <f t="shared" si="9"/>
        <v>-136</v>
      </c>
      <c r="G155" s="23">
        <f>IFERROR(IF($C$13="No","N/A",IF(Table1578[[#This Row],[Period]]=1,$C$6,PMT(InterestRate*AmortizationMultiplier/12,Table1578[[#This Row],[Am Thru]],-Table1578[[#This Row],[Beginning Balance]]))),0)</f>
        <v>0</v>
      </c>
      <c r="H155" s="3">
        <f>MAX(0,IF(C155=$C$4,D155,ROUND(IF($C$3="Fixed Principal",$C$6-Table1578[[#This Row],[Interest]],IF($C$3="Interest Only",Table1578[[#This Row],[Beginning Balance]]*ROUND(1-(1-IF($C$11="No",$E$8,1))^(1/12),6),MIN(IF($C$13="Yes",Table1578[[#This Row],[Payment Amount (Reamortized)]],$C$6)-Table1578[[#This Row],[Interest]],Table1578[[#This Row],[Beginning Balance]]))),2)))</f>
        <v>0</v>
      </c>
      <c r="I155" s="3">
        <f>_xlfn.SINGLE(IF($C$3="Line of Credit",0,ROUND(MAX(MIN(IF($C$10="No",$E$7,VLOOKUP(Table1578[[#This Row],[Period]],Forecast!$H$2:$L$1048576,4,FALSE))*Table1578[[#This Row],[Beginning Balance]],Table1578[[#This Row],[Beginning Balance]]-Table1578[[#This Row],[Principal]]),0),2)))</f>
        <v>0</v>
      </c>
      <c r="J155" s="3">
        <f>ROUND(MIN(Table1578[[#This Row],[Beginning Balance]]*IF($C$8="No",$E$3,VLOOKUP(Table1578[[#This Row],[Period]],Forecast!$H$2:$L$1048576,2,FALSE)),Table1578[[#This Row],[Beginning Balance]]-Table1578[[#This Row],[Principal]]-Table1578[[#This Row],[Prepayments]]),2)</f>
        <v>0</v>
      </c>
      <c r="K155" s="3">
        <f>ROUND(Table1578[[#This Row],[Defaulted Principal]]*IF($C$9="No",$E$4,VLOOKUP(Table1578[[#This Row],[Period]],Forecast!$H$2:$L$1048576,3,FALSE)),2)</f>
        <v>0</v>
      </c>
      <c r="L155" s="2">
        <f>Table1578[[#This Row],[Period]]+$E$9</f>
        <v>151</v>
      </c>
      <c r="M155" s="3">
        <f>Table1578[[#This Row],[Defaulted Principal]]-Table1578[[#This Row],[Estimated Loss]]</f>
        <v>0</v>
      </c>
      <c r="N155" s="3">
        <f>IFERROR(VLOOKUP(Table1578[[#This Row],[Period]],$L$16:$M$385,2,FALSE),0)</f>
        <v>0</v>
      </c>
      <c r="O155" s="3">
        <f>Table1578[[#This Row],[Beginning Balance]]-Table1578[[#This Row],[Principal]]-Table1578[[#This Row],[Prepayments]]-Table1578[[#This Row],[Defaulted Principal]]</f>
        <v>0</v>
      </c>
      <c r="P155" s="3">
        <f>Table1578[[#This Row],[Principal]]+Table1578[[#This Row],[Interest]]+Table1578[[#This Row],[Prepayments]]+Table1578[[#This Row],[RecoveredAmount]]</f>
        <v>0</v>
      </c>
      <c r="Q155" s="3">
        <f ca="1">ROUND(Table1578[[#This Row],[Cash Flow]]/((1+ActualRateToUse)^(IF(ISNUMBER(SEARCH("Actual",$C$7)),Table1578[[#This Row],[Running Total]]/365,Table1578[[#This Row],[Period]]/12))),2)</f>
        <v>0</v>
      </c>
      <c r="R155" s="2">
        <f>IF(MONTH(Table1578[[#This Row],[Date]])=2,28,DAY(DATE(YEAR(Table1578[[#This Row],[Date]]),MONTH(Table1578[[#This Row],[Date]])+1,1)-1))</f>
        <v>31</v>
      </c>
      <c r="S155" s="2">
        <f ca="1">SUM(OFFSET(Table1578[[#Headers],[Days in month]],1,0):Table1578[[#This Row],[Days in month]])</f>
        <v>4230</v>
      </c>
      <c r="T155" s="37">
        <f>InterestRate*AmortizationMultiplier*IF(ISNUMBER(SEARCH("Actual",$C$7)),Table1578[[#This Row],[Days in month]]/365,1/12)</f>
        <v>6.2344444444444444E-3</v>
      </c>
    </row>
    <row r="156" spans="2:20" x14ac:dyDescent="0.2">
      <c r="B156" s="1">
        <f t="shared" si="6"/>
        <v>50099</v>
      </c>
      <c r="C156" s="2">
        <f t="shared" si="8"/>
        <v>140</v>
      </c>
      <c r="D156" s="3">
        <f t="shared" si="7"/>
        <v>0</v>
      </c>
      <c r="E156" s="3">
        <f>ROUND(Table1578[[#This Row],[Beginning Balance]]*Table1578[[#This Row],[Monthly Interest Rate]],2)</f>
        <v>0</v>
      </c>
      <c r="F156" s="3">
        <f t="shared" si="9"/>
        <v>-137</v>
      </c>
      <c r="G156" s="23">
        <f>IFERROR(IF($C$13="No","N/A",IF(Table1578[[#This Row],[Period]]=1,$C$6,PMT(InterestRate*AmortizationMultiplier/12,Table1578[[#This Row],[Am Thru]],-Table1578[[#This Row],[Beginning Balance]]))),0)</f>
        <v>0</v>
      </c>
      <c r="H156" s="3">
        <f>MAX(0,IF(C156=$C$4,D156,ROUND(IF($C$3="Fixed Principal",$C$6-Table1578[[#This Row],[Interest]],IF($C$3="Interest Only",Table1578[[#This Row],[Beginning Balance]]*ROUND(1-(1-IF($C$11="No",$E$8,1))^(1/12),6),MIN(IF($C$13="Yes",Table1578[[#This Row],[Payment Amount (Reamortized)]],$C$6)-Table1578[[#This Row],[Interest]],Table1578[[#This Row],[Beginning Balance]]))),2)))</f>
        <v>0</v>
      </c>
      <c r="I156" s="3">
        <f>_xlfn.SINGLE(IF($C$3="Line of Credit",0,ROUND(MAX(MIN(IF($C$10="No",$E$7,VLOOKUP(Table1578[[#This Row],[Period]],Forecast!$H$2:$L$1048576,4,FALSE))*Table1578[[#This Row],[Beginning Balance]],Table1578[[#This Row],[Beginning Balance]]-Table1578[[#This Row],[Principal]]),0),2)))</f>
        <v>0</v>
      </c>
      <c r="J156" s="3">
        <f>ROUND(MIN(Table1578[[#This Row],[Beginning Balance]]*IF($C$8="No",$E$3,VLOOKUP(Table1578[[#This Row],[Period]],Forecast!$H$2:$L$1048576,2,FALSE)),Table1578[[#This Row],[Beginning Balance]]-Table1578[[#This Row],[Principal]]-Table1578[[#This Row],[Prepayments]]),2)</f>
        <v>0</v>
      </c>
      <c r="K156" s="3">
        <f>ROUND(Table1578[[#This Row],[Defaulted Principal]]*IF($C$9="No",$E$4,VLOOKUP(Table1578[[#This Row],[Period]],Forecast!$H$2:$L$1048576,3,FALSE)),2)</f>
        <v>0</v>
      </c>
      <c r="L156" s="2">
        <f>Table1578[[#This Row],[Period]]+$E$9</f>
        <v>152</v>
      </c>
      <c r="M156" s="3">
        <f>Table1578[[#This Row],[Defaulted Principal]]-Table1578[[#This Row],[Estimated Loss]]</f>
        <v>0</v>
      </c>
      <c r="N156" s="3">
        <f>IFERROR(VLOOKUP(Table1578[[#This Row],[Period]],$L$16:$M$385,2,FALSE),0)</f>
        <v>0</v>
      </c>
      <c r="O156" s="3">
        <f>Table1578[[#This Row],[Beginning Balance]]-Table1578[[#This Row],[Principal]]-Table1578[[#This Row],[Prepayments]]-Table1578[[#This Row],[Defaulted Principal]]</f>
        <v>0</v>
      </c>
      <c r="P156" s="3">
        <f>Table1578[[#This Row],[Principal]]+Table1578[[#This Row],[Interest]]+Table1578[[#This Row],[Prepayments]]+Table1578[[#This Row],[RecoveredAmount]]</f>
        <v>0</v>
      </c>
      <c r="Q156" s="3">
        <f ca="1">ROUND(Table1578[[#This Row],[Cash Flow]]/((1+ActualRateToUse)^(IF(ISNUMBER(SEARCH("Actual",$C$7)),Table1578[[#This Row],[Running Total]]/365,Table1578[[#This Row],[Period]]/12))),2)</f>
        <v>0</v>
      </c>
      <c r="R156" s="2">
        <f>IF(MONTH(Table1578[[#This Row],[Date]])=2,28,DAY(DATE(YEAR(Table1578[[#This Row],[Date]]),MONTH(Table1578[[#This Row],[Date]])+1,1)-1))</f>
        <v>28</v>
      </c>
      <c r="S156" s="2">
        <f ca="1">SUM(OFFSET(Table1578[[#Headers],[Days in month]],1,0):Table1578[[#This Row],[Days in month]])</f>
        <v>4258</v>
      </c>
      <c r="T156" s="37">
        <f>InterestRate*AmortizationMultiplier*IF(ISNUMBER(SEARCH("Actual",$C$7)),Table1578[[#This Row],[Days in month]]/365,1/12)</f>
        <v>5.6311111111111119E-3</v>
      </c>
    </row>
    <row r="157" spans="2:20" x14ac:dyDescent="0.2">
      <c r="B157" s="1">
        <f t="shared" si="6"/>
        <v>50130</v>
      </c>
      <c r="C157" s="2">
        <f t="shared" si="8"/>
        <v>141</v>
      </c>
      <c r="D157" s="3">
        <f t="shared" si="7"/>
        <v>0</v>
      </c>
      <c r="E157" s="3">
        <f>ROUND(Table1578[[#This Row],[Beginning Balance]]*Table1578[[#This Row],[Monthly Interest Rate]],2)</f>
        <v>0</v>
      </c>
      <c r="F157" s="3">
        <f t="shared" si="9"/>
        <v>-138</v>
      </c>
      <c r="G157" s="23">
        <f>IFERROR(IF($C$13="No","N/A",IF(Table1578[[#This Row],[Period]]=1,$C$6,PMT(InterestRate*AmortizationMultiplier/12,Table1578[[#This Row],[Am Thru]],-Table1578[[#This Row],[Beginning Balance]]))),0)</f>
        <v>0</v>
      </c>
      <c r="H157" s="3">
        <f>MAX(0,IF(C157=$C$4,D157,ROUND(IF($C$3="Fixed Principal",$C$6-Table1578[[#This Row],[Interest]],IF($C$3="Interest Only",Table1578[[#This Row],[Beginning Balance]]*ROUND(1-(1-IF($C$11="No",$E$8,1))^(1/12),6),MIN(IF($C$13="Yes",Table1578[[#This Row],[Payment Amount (Reamortized)]],$C$6)-Table1578[[#This Row],[Interest]],Table1578[[#This Row],[Beginning Balance]]))),2)))</f>
        <v>0</v>
      </c>
      <c r="I157" s="3">
        <f>_xlfn.SINGLE(IF($C$3="Line of Credit",0,ROUND(MAX(MIN(IF($C$10="No",$E$7,VLOOKUP(Table1578[[#This Row],[Period]],Forecast!$H$2:$L$1048576,4,FALSE))*Table1578[[#This Row],[Beginning Balance]],Table1578[[#This Row],[Beginning Balance]]-Table1578[[#This Row],[Principal]]),0),2)))</f>
        <v>0</v>
      </c>
      <c r="J157" s="3">
        <f>ROUND(MIN(Table1578[[#This Row],[Beginning Balance]]*IF($C$8="No",$E$3,VLOOKUP(Table1578[[#This Row],[Period]],Forecast!$H$2:$L$1048576,2,FALSE)),Table1578[[#This Row],[Beginning Balance]]-Table1578[[#This Row],[Principal]]-Table1578[[#This Row],[Prepayments]]),2)</f>
        <v>0</v>
      </c>
      <c r="K157" s="3">
        <f>ROUND(Table1578[[#This Row],[Defaulted Principal]]*IF($C$9="No",$E$4,VLOOKUP(Table1578[[#This Row],[Period]],Forecast!$H$2:$L$1048576,3,FALSE)),2)</f>
        <v>0</v>
      </c>
      <c r="L157" s="2">
        <f>Table1578[[#This Row],[Period]]+$E$9</f>
        <v>153</v>
      </c>
      <c r="M157" s="3">
        <f>Table1578[[#This Row],[Defaulted Principal]]-Table1578[[#This Row],[Estimated Loss]]</f>
        <v>0</v>
      </c>
      <c r="N157" s="3">
        <f>IFERROR(VLOOKUP(Table1578[[#This Row],[Period]],$L$16:$M$385,2,FALSE),0)</f>
        <v>0</v>
      </c>
      <c r="O157" s="3">
        <f>Table1578[[#This Row],[Beginning Balance]]-Table1578[[#This Row],[Principal]]-Table1578[[#This Row],[Prepayments]]-Table1578[[#This Row],[Defaulted Principal]]</f>
        <v>0</v>
      </c>
      <c r="P157" s="3">
        <f>Table1578[[#This Row],[Principal]]+Table1578[[#This Row],[Interest]]+Table1578[[#This Row],[Prepayments]]+Table1578[[#This Row],[RecoveredAmount]]</f>
        <v>0</v>
      </c>
      <c r="Q157" s="3">
        <f ca="1">ROUND(Table1578[[#This Row],[Cash Flow]]/((1+ActualRateToUse)^(IF(ISNUMBER(SEARCH("Actual",$C$7)),Table1578[[#This Row],[Running Total]]/365,Table1578[[#This Row],[Period]]/12))),2)</f>
        <v>0</v>
      </c>
      <c r="R157" s="2">
        <f>IF(MONTH(Table1578[[#This Row],[Date]])=2,28,DAY(DATE(YEAR(Table1578[[#This Row],[Date]]),MONTH(Table1578[[#This Row],[Date]])+1,1)-1))</f>
        <v>31</v>
      </c>
      <c r="S157" s="2">
        <f ca="1">SUM(OFFSET(Table1578[[#Headers],[Days in month]],1,0):Table1578[[#This Row],[Days in month]])</f>
        <v>4289</v>
      </c>
      <c r="T157" s="37">
        <f>InterestRate*AmortizationMultiplier*IF(ISNUMBER(SEARCH("Actual",$C$7)),Table1578[[#This Row],[Days in month]]/365,1/12)</f>
        <v>6.2344444444444444E-3</v>
      </c>
    </row>
    <row r="158" spans="2:20" x14ac:dyDescent="0.2">
      <c r="B158" s="1">
        <f t="shared" si="6"/>
        <v>50160</v>
      </c>
      <c r="C158" s="2">
        <f t="shared" si="8"/>
        <v>142</v>
      </c>
      <c r="D158" s="3">
        <f t="shared" si="7"/>
        <v>0</v>
      </c>
      <c r="E158" s="3">
        <f>ROUND(Table1578[[#This Row],[Beginning Balance]]*Table1578[[#This Row],[Monthly Interest Rate]],2)</f>
        <v>0</v>
      </c>
      <c r="F158" s="3">
        <f t="shared" si="9"/>
        <v>-139</v>
      </c>
      <c r="G158" s="23">
        <f>IFERROR(IF($C$13="No","N/A",IF(Table1578[[#This Row],[Period]]=1,$C$6,PMT(InterestRate*AmortizationMultiplier/12,Table1578[[#This Row],[Am Thru]],-Table1578[[#This Row],[Beginning Balance]]))),0)</f>
        <v>0</v>
      </c>
      <c r="H158" s="3">
        <f>MAX(0,IF(C158=$C$4,D158,ROUND(IF($C$3="Fixed Principal",$C$6-Table1578[[#This Row],[Interest]],IF($C$3="Interest Only",Table1578[[#This Row],[Beginning Balance]]*ROUND(1-(1-IF($C$11="No",$E$8,1))^(1/12),6),MIN(IF($C$13="Yes",Table1578[[#This Row],[Payment Amount (Reamortized)]],$C$6)-Table1578[[#This Row],[Interest]],Table1578[[#This Row],[Beginning Balance]]))),2)))</f>
        <v>0</v>
      </c>
      <c r="I158" s="3">
        <f>_xlfn.SINGLE(IF($C$3="Line of Credit",0,ROUND(MAX(MIN(IF($C$10="No",$E$7,VLOOKUP(Table1578[[#This Row],[Period]],Forecast!$H$2:$L$1048576,4,FALSE))*Table1578[[#This Row],[Beginning Balance]],Table1578[[#This Row],[Beginning Balance]]-Table1578[[#This Row],[Principal]]),0),2)))</f>
        <v>0</v>
      </c>
      <c r="J158" s="3">
        <f>ROUND(MIN(Table1578[[#This Row],[Beginning Balance]]*IF($C$8="No",$E$3,VLOOKUP(Table1578[[#This Row],[Period]],Forecast!$H$2:$L$1048576,2,FALSE)),Table1578[[#This Row],[Beginning Balance]]-Table1578[[#This Row],[Principal]]-Table1578[[#This Row],[Prepayments]]),2)</f>
        <v>0</v>
      </c>
      <c r="K158" s="3">
        <f>ROUND(Table1578[[#This Row],[Defaulted Principal]]*IF($C$9="No",$E$4,VLOOKUP(Table1578[[#This Row],[Period]],Forecast!$H$2:$L$1048576,3,FALSE)),2)</f>
        <v>0</v>
      </c>
      <c r="L158" s="2">
        <f>Table1578[[#This Row],[Period]]+$E$9</f>
        <v>154</v>
      </c>
      <c r="M158" s="3">
        <f>Table1578[[#This Row],[Defaulted Principal]]-Table1578[[#This Row],[Estimated Loss]]</f>
        <v>0</v>
      </c>
      <c r="N158" s="3">
        <f>IFERROR(VLOOKUP(Table1578[[#This Row],[Period]],$L$16:$M$385,2,FALSE),0)</f>
        <v>0</v>
      </c>
      <c r="O158" s="3">
        <f>Table1578[[#This Row],[Beginning Balance]]-Table1578[[#This Row],[Principal]]-Table1578[[#This Row],[Prepayments]]-Table1578[[#This Row],[Defaulted Principal]]</f>
        <v>0</v>
      </c>
      <c r="P158" s="3">
        <f>Table1578[[#This Row],[Principal]]+Table1578[[#This Row],[Interest]]+Table1578[[#This Row],[Prepayments]]+Table1578[[#This Row],[RecoveredAmount]]</f>
        <v>0</v>
      </c>
      <c r="Q158" s="3">
        <f ca="1">ROUND(Table1578[[#This Row],[Cash Flow]]/((1+ActualRateToUse)^(IF(ISNUMBER(SEARCH("Actual",$C$7)),Table1578[[#This Row],[Running Total]]/365,Table1578[[#This Row],[Period]]/12))),2)</f>
        <v>0</v>
      </c>
      <c r="R158" s="2">
        <f>IF(MONTH(Table1578[[#This Row],[Date]])=2,28,DAY(DATE(YEAR(Table1578[[#This Row],[Date]]),MONTH(Table1578[[#This Row],[Date]])+1,1)-1))</f>
        <v>30</v>
      </c>
      <c r="S158" s="2">
        <f ca="1">SUM(OFFSET(Table1578[[#Headers],[Days in month]],1,0):Table1578[[#This Row],[Days in month]])</f>
        <v>4319</v>
      </c>
      <c r="T158" s="37">
        <f>InterestRate*AmortizationMultiplier*IF(ISNUMBER(SEARCH("Actual",$C$7)),Table1578[[#This Row],[Days in month]]/365,1/12)</f>
        <v>6.0333333333333333E-3</v>
      </c>
    </row>
    <row r="159" spans="2:20" x14ac:dyDescent="0.2">
      <c r="B159" s="1">
        <f t="shared" si="6"/>
        <v>50191</v>
      </c>
      <c r="C159" s="2">
        <f t="shared" si="8"/>
        <v>143</v>
      </c>
      <c r="D159" s="3">
        <f t="shared" si="7"/>
        <v>0</v>
      </c>
      <c r="E159" s="3">
        <f>ROUND(Table1578[[#This Row],[Beginning Balance]]*Table1578[[#This Row],[Monthly Interest Rate]],2)</f>
        <v>0</v>
      </c>
      <c r="F159" s="3">
        <f t="shared" si="9"/>
        <v>-140</v>
      </c>
      <c r="G159" s="23">
        <f>IFERROR(IF($C$13="No","N/A",IF(Table1578[[#This Row],[Period]]=1,$C$6,PMT(InterestRate*AmortizationMultiplier/12,Table1578[[#This Row],[Am Thru]],-Table1578[[#This Row],[Beginning Balance]]))),0)</f>
        <v>0</v>
      </c>
      <c r="H159" s="3">
        <f>MAX(0,IF(C159=$C$4,D159,ROUND(IF($C$3="Fixed Principal",$C$6-Table1578[[#This Row],[Interest]],IF($C$3="Interest Only",Table1578[[#This Row],[Beginning Balance]]*ROUND(1-(1-IF($C$11="No",$E$8,1))^(1/12),6),MIN(IF($C$13="Yes",Table1578[[#This Row],[Payment Amount (Reamortized)]],$C$6)-Table1578[[#This Row],[Interest]],Table1578[[#This Row],[Beginning Balance]]))),2)))</f>
        <v>0</v>
      </c>
      <c r="I159" s="3">
        <f>_xlfn.SINGLE(IF($C$3="Line of Credit",0,ROUND(MAX(MIN(IF($C$10="No",$E$7,VLOOKUP(Table1578[[#This Row],[Period]],Forecast!$H$2:$L$1048576,4,FALSE))*Table1578[[#This Row],[Beginning Balance]],Table1578[[#This Row],[Beginning Balance]]-Table1578[[#This Row],[Principal]]),0),2)))</f>
        <v>0</v>
      </c>
      <c r="J159" s="3">
        <f>ROUND(MIN(Table1578[[#This Row],[Beginning Balance]]*IF($C$8="No",$E$3,VLOOKUP(Table1578[[#This Row],[Period]],Forecast!$H$2:$L$1048576,2,FALSE)),Table1578[[#This Row],[Beginning Balance]]-Table1578[[#This Row],[Principal]]-Table1578[[#This Row],[Prepayments]]),2)</f>
        <v>0</v>
      </c>
      <c r="K159" s="3">
        <f>ROUND(Table1578[[#This Row],[Defaulted Principal]]*IF($C$9="No",$E$4,VLOOKUP(Table1578[[#This Row],[Period]],Forecast!$H$2:$L$1048576,3,FALSE)),2)</f>
        <v>0</v>
      </c>
      <c r="L159" s="2">
        <f>Table1578[[#This Row],[Period]]+$E$9</f>
        <v>155</v>
      </c>
      <c r="M159" s="3">
        <f>Table1578[[#This Row],[Defaulted Principal]]-Table1578[[#This Row],[Estimated Loss]]</f>
        <v>0</v>
      </c>
      <c r="N159" s="3">
        <f>IFERROR(VLOOKUP(Table1578[[#This Row],[Period]],$L$16:$M$385,2,FALSE),0)</f>
        <v>0</v>
      </c>
      <c r="O159" s="3">
        <f>Table1578[[#This Row],[Beginning Balance]]-Table1578[[#This Row],[Principal]]-Table1578[[#This Row],[Prepayments]]-Table1578[[#This Row],[Defaulted Principal]]</f>
        <v>0</v>
      </c>
      <c r="P159" s="3">
        <f>Table1578[[#This Row],[Principal]]+Table1578[[#This Row],[Interest]]+Table1578[[#This Row],[Prepayments]]+Table1578[[#This Row],[RecoveredAmount]]</f>
        <v>0</v>
      </c>
      <c r="Q159" s="3">
        <f ca="1">ROUND(Table1578[[#This Row],[Cash Flow]]/((1+ActualRateToUse)^(IF(ISNUMBER(SEARCH("Actual",$C$7)),Table1578[[#This Row],[Running Total]]/365,Table1578[[#This Row],[Period]]/12))),2)</f>
        <v>0</v>
      </c>
      <c r="R159" s="2">
        <f>IF(MONTH(Table1578[[#This Row],[Date]])=2,28,DAY(DATE(YEAR(Table1578[[#This Row],[Date]]),MONTH(Table1578[[#This Row],[Date]])+1,1)-1))</f>
        <v>31</v>
      </c>
      <c r="S159" s="2">
        <f ca="1">SUM(OFFSET(Table1578[[#Headers],[Days in month]],1,0):Table1578[[#This Row],[Days in month]])</f>
        <v>4350</v>
      </c>
      <c r="T159" s="37">
        <f>InterestRate*AmortizationMultiplier*IF(ISNUMBER(SEARCH("Actual",$C$7)),Table1578[[#This Row],[Days in month]]/365,1/12)</f>
        <v>6.2344444444444444E-3</v>
      </c>
    </row>
    <row r="160" spans="2:20" x14ac:dyDescent="0.2">
      <c r="B160" s="1">
        <f t="shared" si="6"/>
        <v>50221</v>
      </c>
      <c r="C160" s="2">
        <f t="shared" si="8"/>
        <v>144</v>
      </c>
      <c r="D160" s="3">
        <f t="shared" si="7"/>
        <v>0</v>
      </c>
      <c r="E160" s="3">
        <f>ROUND(Table1578[[#This Row],[Beginning Balance]]*Table1578[[#This Row],[Monthly Interest Rate]],2)</f>
        <v>0</v>
      </c>
      <c r="F160" s="3">
        <f t="shared" si="9"/>
        <v>-141</v>
      </c>
      <c r="G160" s="23">
        <f>IFERROR(IF($C$13="No","N/A",IF(Table1578[[#This Row],[Period]]=1,$C$6,PMT(InterestRate*AmortizationMultiplier/12,Table1578[[#This Row],[Am Thru]],-Table1578[[#This Row],[Beginning Balance]]))),0)</f>
        <v>0</v>
      </c>
      <c r="H160" s="3">
        <f>MAX(0,IF(C160=$C$4,D160,ROUND(IF($C$3="Fixed Principal",$C$6-Table1578[[#This Row],[Interest]],IF($C$3="Interest Only",Table1578[[#This Row],[Beginning Balance]]*ROUND(1-(1-IF($C$11="No",$E$8,1))^(1/12),6),MIN(IF($C$13="Yes",Table1578[[#This Row],[Payment Amount (Reamortized)]],$C$6)-Table1578[[#This Row],[Interest]],Table1578[[#This Row],[Beginning Balance]]))),2)))</f>
        <v>0</v>
      </c>
      <c r="I160" s="3">
        <f>_xlfn.SINGLE(IF($C$3="Line of Credit",0,ROUND(MAX(MIN(IF($C$10="No",$E$7,VLOOKUP(Table1578[[#This Row],[Period]],Forecast!$H$2:$L$1048576,4,FALSE))*Table1578[[#This Row],[Beginning Balance]],Table1578[[#This Row],[Beginning Balance]]-Table1578[[#This Row],[Principal]]),0),2)))</f>
        <v>0</v>
      </c>
      <c r="J160" s="3">
        <f>ROUND(MIN(Table1578[[#This Row],[Beginning Balance]]*IF($C$8="No",$E$3,VLOOKUP(Table1578[[#This Row],[Period]],Forecast!$H$2:$L$1048576,2,FALSE)),Table1578[[#This Row],[Beginning Balance]]-Table1578[[#This Row],[Principal]]-Table1578[[#This Row],[Prepayments]]),2)</f>
        <v>0</v>
      </c>
      <c r="K160" s="3">
        <f>ROUND(Table1578[[#This Row],[Defaulted Principal]]*IF($C$9="No",$E$4,VLOOKUP(Table1578[[#This Row],[Period]],Forecast!$H$2:$L$1048576,3,FALSE)),2)</f>
        <v>0</v>
      </c>
      <c r="L160" s="2">
        <f>Table1578[[#This Row],[Period]]+$E$9</f>
        <v>156</v>
      </c>
      <c r="M160" s="3">
        <f>Table1578[[#This Row],[Defaulted Principal]]-Table1578[[#This Row],[Estimated Loss]]</f>
        <v>0</v>
      </c>
      <c r="N160" s="3">
        <f>IFERROR(VLOOKUP(Table1578[[#This Row],[Period]],$L$16:$M$385,2,FALSE),0)</f>
        <v>0</v>
      </c>
      <c r="O160" s="3">
        <f>Table1578[[#This Row],[Beginning Balance]]-Table1578[[#This Row],[Principal]]-Table1578[[#This Row],[Prepayments]]-Table1578[[#This Row],[Defaulted Principal]]</f>
        <v>0</v>
      </c>
      <c r="P160" s="3">
        <f>Table1578[[#This Row],[Principal]]+Table1578[[#This Row],[Interest]]+Table1578[[#This Row],[Prepayments]]+Table1578[[#This Row],[RecoveredAmount]]</f>
        <v>0</v>
      </c>
      <c r="Q160" s="3">
        <f ca="1">ROUND(Table1578[[#This Row],[Cash Flow]]/((1+ActualRateToUse)^(IF(ISNUMBER(SEARCH("Actual",$C$7)),Table1578[[#This Row],[Running Total]]/365,Table1578[[#This Row],[Period]]/12))),2)</f>
        <v>0</v>
      </c>
      <c r="R160" s="2">
        <f>IF(MONTH(Table1578[[#This Row],[Date]])=2,28,DAY(DATE(YEAR(Table1578[[#This Row],[Date]]),MONTH(Table1578[[#This Row],[Date]])+1,1)-1))</f>
        <v>30</v>
      </c>
      <c r="S160" s="2">
        <f ca="1">SUM(OFFSET(Table1578[[#Headers],[Days in month]],1,0):Table1578[[#This Row],[Days in month]])</f>
        <v>4380</v>
      </c>
      <c r="T160" s="37">
        <f>InterestRate*AmortizationMultiplier*IF(ISNUMBER(SEARCH("Actual",$C$7)),Table1578[[#This Row],[Days in month]]/365,1/12)</f>
        <v>6.0333333333333333E-3</v>
      </c>
    </row>
    <row r="161" spans="2:20" x14ac:dyDescent="0.2">
      <c r="B161" s="1">
        <f t="shared" si="6"/>
        <v>50252</v>
      </c>
      <c r="C161" s="2">
        <f t="shared" si="8"/>
        <v>145</v>
      </c>
      <c r="D161" s="3">
        <f t="shared" si="7"/>
        <v>0</v>
      </c>
      <c r="E161" s="3">
        <f>ROUND(Table1578[[#This Row],[Beginning Balance]]*Table1578[[#This Row],[Monthly Interest Rate]],2)</f>
        <v>0</v>
      </c>
      <c r="F161" s="3">
        <f t="shared" si="9"/>
        <v>-142</v>
      </c>
      <c r="G161" s="23">
        <f>IFERROR(IF($C$13="No","N/A",IF(Table1578[[#This Row],[Period]]=1,$C$6,PMT(InterestRate*AmortizationMultiplier/12,Table1578[[#This Row],[Am Thru]],-Table1578[[#This Row],[Beginning Balance]]))),0)</f>
        <v>0</v>
      </c>
      <c r="H161" s="3">
        <f>MAX(0,IF(C161=$C$4,D161,ROUND(IF($C$3="Fixed Principal",$C$6-Table1578[[#This Row],[Interest]],IF($C$3="Interest Only",Table1578[[#This Row],[Beginning Balance]]*ROUND(1-(1-IF($C$11="No",$E$8,1))^(1/12),6),MIN(IF($C$13="Yes",Table1578[[#This Row],[Payment Amount (Reamortized)]],$C$6)-Table1578[[#This Row],[Interest]],Table1578[[#This Row],[Beginning Balance]]))),2)))</f>
        <v>0</v>
      </c>
      <c r="I161" s="3">
        <f>_xlfn.SINGLE(IF($C$3="Line of Credit",0,ROUND(MAX(MIN(IF($C$10="No",$E$7,VLOOKUP(Table1578[[#This Row],[Period]],Forecast!$H$2:$L$1048576,4,FALSE))*Table1578[[#This Row],[Beginning Balance]],Table1578[[#This Row],[Beginning Balance]]-Table1578[[#This Row],[Principal]]),0),2)))</f>
        <v>0</v>
      </c>
      <c r="J161" s="3">
        <f>ROUND(MIN(Table1578[[#This Row],[Beginning Balance]]*IF($C$8="No",$E$3,VLOOKUP(Table1578[[#This Row],[Period]],Forecast!$H$2:$L$1048576,2,FALSE)),Table1578[[#This Row],[Beginning Balance]]-Table1578[[#This Row],[Principal]]-Table1578[[#This Row],[Prepayments]]),2)</f>
        <v>0</v>
      </c>
      <c r="K161" s="3">
        <f>ROUND(Table1578[[#This Row],[Defaulted Principal]]*IF($C$9="No",$E$4,VLOOKUP(Table1578[[#This Row],[Period]],Forecast!$H$2:$L$1048576,3,FALSE)),2)</f>
        <v>0</v>
      </c>
      <c r="L161" s="2">
        <f>Table1578[[#This Row],[Period]]+$E$9</f>
        <v>157</v>
      </c>
      <c r="M161" s="3">
        <f>Table1578[[#This Row],[Defaulted Principal]]-Table1578[[#This Row],[Estimated Loss]]</f>
        <v>0</v>
      </c>
      <c r="N161" s="3">
        <f>IFERROR(VLOOKUP(Table1578[[#This Row],[Period]],$L$16:$M$385,2,FALSE),0)</f>
        <v>0</v>
      </c>
      <c r="O161" s="3">
        <f>Table1578[[#This Row],[Beginning Balance]]-Table1578[[#This Row],[Principal]]-Table1578[[#This Row],[Prepayments]]-Table1578[[#This Row],[Defaulted Principal]]</f>
        <v>0</v>
      </c>
      <c r="P161" s="3">
        <f>Table1578[[#This Row],[Principal]]+Table1578[[#This Row],[Interest]]+Table1578[[#This Row],[Prepayments]]+Table1578[[#This Row],[RecoveredAmount]]</f>
        <v>0</v>
      </c>
      <c r="Q161" s="3">
        <f ca="1">ROUND(Table1578[[#This Row],[Cash Flow]]/((1+ActualRateToUse)^(IF(ISNUMBER(SEARCH("Actual",$C$7)),Table1578[[#This Row],[Running Total]]/365,Table1578[[#This Row],[Period]]/12))),2)</f>
        <v>0</v>
      </c>
      <c r="R161" s="2">
        <f>IF(MONTH(Table1578[[#This Row],[Date]])=2,28,DAY(DATE(YEAR(Table1578[[#This Row],[Date]]),MONTH(Table1578[[#This Row],[Date]])+1,1)-1))</f>
        <v>31</v>
      </c>
      <c r="S161" s="2">
        <f ca="1">SUM(OFFSET(Table1578[[#Headers],[Days in month]],1,0):Table1578[[#This Row],[Days in month]])</f>
        <v>4411</v>
      </c>
      <c r="T161" s="37">
        <f>InterestRate*AmortizationMultiplier*IF(ISNUMBER(SEARCH("Actual",$C$7)),Table1578[[#This Row],[Days in month]]/365,1/12)</f>
        <v>6.2344444444444444E-3</v>
      </c>
    </row>
    <row r="162" spans="2:20" x14ac:dyDescent="0.2">
      <c r="B162" s="1">
        <f t="shared" si="6"/>
        <v>50283</v>
      </c>
      <c r="C162" s="2">
        <f t="shared" si="8"/>
        <v>146</v>
      </c>
      <c r="D162" s="3">
        <f t="shared" si="7"/>
        <v>0</v>
      </c>
      <c r="E162" s="3">
        <f>ROUND(Table1578[[#This Row],[Beginning Balance]]*Table1578[[#This Row],[Monthly Interest Rate]],2)</f>
        <v>0</v>
      </c>
      <c r="F162" s="3">
        <f t="shared" si="9"/>
        <v>-143</v>
      </c>
      <c r="G162" s="23">
        <f>IFERROR(IF($C$13="No","N/A",IF(Table1578[[#This Row],[Period]]=1,$C$6,PMT(InterestRate*AmortizationMultiplier/12,Table1578[[#This Row],[Am Thru]],-Table1578[[#This Row],[Beginning Balance]]))),0)</f>
        <v>0</v>
      </c>
      <c r="H162" s="3">
        <f>MAX(0,IF(C162=$C$4,D162,ROUND(IF($C$3="Fixed Principal",$C$6-Table1578[[#This Row],[Interest]],IF($C$3="Interest Only",Table1578[[#This Row],[Beginning Balance]]*ROUND(1-(1-IF($C$11="No",$E$8,1))^(1/12),6),MIN(IF($C$13="Yes",Table1578[[#This Row],[Payment Amount (Reamortized)]],$C$6)-Table1578[[#This Row],[Interest]],Table1578[[#This Row],[Beginning Balance]]))),2)))</f>
        <v>0</v>
      </c>
      <c r="I162" s="3">
        <f>_xlfn.SINGLE(IF($C$3="Line of Credit",0,ROUND(MAX(MIN(IF($C$10="No",$E$7,VLOOKUP(Table1578[[#This Row],[Period]],Forecast!$H$2:$L$1048576,4,FALSE))*Table1578[[#This Row],[Beginning Balance]],Table1578[[#This Row],[Beginning Balance]]-Table1578[[#This Row],[Principal]]),0),2)))</f>
        <v>0</v>
      </c>
      <c r="J162" s="3">
        <f>ROUND(MIN(Table1578[[#This Row],[Beginning Balance]]*IF($C$8="No",$E$3,VLOOKUP(Table1578[[#This Row],[Period]],Forecast!$H$2:$L$1048576,2,FALSE)),Table1578[[#This Row],[Beginning Balance]]-Table1578[[#This Row],[Principal]]-Table1578[[#This Row],[Prepayments]]),2)</f>
        <v>0</v>
      </c>
      <c r="K162" s="3">
        <f>ROUND(Table1578[[#This Row],[Defaulted Principal]]*IF($C$9="No",$E$4,VLOOKUP(Table1578[[#This Row],[Period]],Forecast!$H$2:$L$1048576,3,FALSE)),2)</f>
        <v>0</v>
      </c>
      <c r="L162" s="2">
        <f>Table1578[[#This Row],[Period]]+$E$9</f>
        <v>158</v>
      </c>
      <c r="M162" s="3">
        <f>Table1578[[#This Row],[Defaulted Principal]]-Table1578[[#This Row],[Estimated Loss]]</f>
        <v>0</v>
      </c>
      <c r="N162" s="3">
        <f>IFERROR(VLOOKUP(Table1578[[#This Row],[Period]],$L$16:$M$385,2,FALSE),0)</f>
        <v>0</v>
      </c>
      <c r="O162" s="3">
        <f>Table1578[[#This Row],[Beginning Balance]]-Table1578[[#This Row],[Principal]]-Table1578[[#This Row],[Prepayments]]-Table1578[[#This Row],[Defaulted Principal]]</f>
        <v>0</v>
      </c>
      <c r="P162" s="3">
        <f>Table1578[[#This Row],[Principal]]+Table1578[[#This Row],[Interest]]+Table1578[[#This Row],[Prepayments]]+Table1578[[#This Row],[RecoveredAmount]]</f>
        <v>0</v>
      </c>
      <c r="Q162" s="3">
        <f ca="1">ROUND(Table1578[[#This Row],[Cash Flow]]/((1+ActualRateToUse)^(IF(ISNUMBER(SEARCH("Actual",$C$7)),Table1578[[#This Row],[Running Total]]/365,Table1578[[#This Row],[Period]]/12))),2)</f>
        <v>0</v>
      </c>
      <c r="R162" s="2">
        <f>IF(MONTH(Table1578[[#This Row],[Date]])=2,28,DAY(DATE(YEAR(Table1578[[#This Row],[Date]]),MONTH(Table1578[[#This Row],[Date]])+1,1)-1))</f>
        <v>31</v>
      </c>
      <c r="S162" s="2">
        <f ca="1">SUM(OFFSET(Table1578[[#Headers],[Days in month]],1,0):Table1578[[#This Row],[Days in month]])</f>
        <v>4442</v>
      </c>
      <c r="T162" s="37">
        <f>InterestRate*AmortizationMultiplier*IF(ISNUMBER(SEARCH("Actual",$C$7)),Table1578[[#This Row],[Days in month]]/365,1/12)</f>
        <v>6.2344444444444444E-3</v>
      </c>
    </row>
    <row r="163" spans="2:20" x14ac:dyDescent="0.2">
      <c r="B163" s="1">
        <f t="shared" si="6"/>
        <v>50313</v>
      </c>
      <c r="C163" s="2">
        <f t="shared" si="8"/>
        <v>147</v>
      </c>
      <c r="D163" s="3">
        <f t="shared" si="7"/>
        <v>0</v>
      </c>
      <c r="E163" s="3">
        <f>ROUND(Table1578[[#This Row],[Beginning Balance]]*Table1578[[#This Row],[Monthly Interest Rate]],2)</f>
        <v>0</v>
      </c>
      <c r="F163" s="3">
        <f t="shared" si="9"/>
        <v>-144</v>
      </c>
      <c r="G163" s="23">
        <f>IFERROR(IF($C$13="No","N/A",IF(Table1578[[#This Row],[Period]]=1,$C$6,PMT(InterestRate*AmortizationMultiplier/12,Table1578[[#This Row],[Am Thru]],-Table1578[[#This Row],[Beginning Balance]]))),0)</f>
        <v>0</v>
      </c>
      <c r="H163" s="3">
        <f>MAX(0,IF(C163=$C$4,D163,ROUND(IF($C$3="Fixed Principal",$C$6-Table1578[[#This Row],[Interest]],IF($C$3="Interest Only",Table1578[[#This Row],[Beginning Balance]]*ROUND(1-(1-IF($C$11="No",$E$8,1))^(1/12),6),MIN(IF($C$13="Yes",Table1578[[#This Row],[Payment Amount (Reamortized)]],$C$6)-Table1578[[#This Row],[Interest]],Table1578[[#This Row],[Beginning Balance]]))),2)))</f>
        <v>0</v>
      </c>
      <c r="I163" s="3">
        <f>_xlfn.SINGLE(IF($C$3="Line of Credit",0,ROUND(MAX(MIN(IF($C$10="No",$E$7,VLOOKUP(Table1578[[#This Row],[Period]],Forecast!$H$2:$L$1048576,4,FALSE))*Table1578[[#This Row],[Beginning Balance]],Table1578[[#This Row],[Beginning Balance]]-Table1578[[#This Row],[Principal]]),0),2)))</f>
        <v>0</v>
      </c>
      <c r="J163" s="3">
        <f>ROUND(MIN(Table1578[[#This Row],[Beginning Balance]]*IF($C$8="No",$E$3,VLOOKUP(Table1578[[#This Row],[Period]],Forecast!$H$2:$L$1048576,2,FALSE)),Table1578[[#This Row],[Beginning Balance]]-Table1578[[#This Row],[Principal]]-Table1578[[#This Row],[Prepayments]]),2)</f>
        <v>0</v>
      </c>
      <c r="K163" s="3">
        <f>ROUND(Table1578[[#This Row],[Defaulted Principal]]*IF($C$9="No",$E$4,VLOOKUP(Table1578[[#This Row],[Period]],Forecast!$H$2:$L$1048576,3,FALSE)),2)</f>
        <v>0</v>
      </c>
      <c r="L163" s="2">
        <f>Table1578[[#This Row],[Period]]+$E$9</f>
        <v>159</v>
      </c>
      <c r="M163" s="3">
        <f>Table1578[[#This Row],[Defaulted Principal]]-Table1578[[#This Row],[Estimated Loss]]</f>
        <v>0</v>
      </c>
      <c r="N163" s="3">
        <f>IFERROR(VLOOKUP(Table1578[[#This Row],[Period]],$L$16:$M$385,2,FALSE),0)</f>
        <v>0</v>
      </c>
      <c r="O163" s="3">
        <f>Table1578[[#This Row],[Beginning Balance]]-Table1578[[#This Row],[Principal]]-Table1578[[#This Row],[Prepayments]]-Table1578[[#This Row],[Defaulted Principal]]</f>
        <v>0</v>
      </c>
      <c r="P163" s="3">
        <f>Table1578[[#This Row],[Principal]]+Table1578[[#This Row],[Interest]]+Table1578[[#This Row],[Prepayments]]+Table1578[[#This Row],[RecoveredAmount]]</f>
        <v>0</v>
      </c>
      <c r="Q163" s="3">
        <f ca="1">ROUND(Table1578[[#This Row],[Cash Flow]]/((1+ActualRateToUse)^(IF(ISNUMBER(SEARCH("Actual",$C$7)),Table1578[[#This Row],[Running Total]]/365,Table1578[[#This Row],[Period]]/12))),2)</f>
        <v>0</v>
      </c>
      <c r="R163" s="2">
        <f>IF(MONTH(Table1578[[#This Row],[Date]])=2,28,DAY(DATE(YEAR(Table1578[[#This Row],[Date]]),MONTH(Table1578[[#This Row],[Date]])+1,1)-1))</f>
        <v>30</v>
      </c>
      <c r="S163" s="2">
        <f ca="1">SUM(OFFSET(Table1578[[#Headers],[Days in month]],1,0):Table1578[[#This Row],[Days in month]])</f>
        <v>4472</v>
      </c>
      <c r="T163" s="37">
        <f>InterestRate*AmortizationMultiplier*IF(ISNUMBER(SEARCH("Actual",$C$7)),Table1578[[#This Row],[Days in month]]/365,1/12)</f>
        <v>6.0333333333333333E-3</v>
      </c>
    </row>
    <row r="164" spans="2:20" x14ac:dyDescent="0.2">
      <c r="B164" s="1">
        <f t="shared" si="6"/>
        <v>50344</v>
      </c>
      <c r="C164" s="2">
        <f t="shared" si="8"/>
        <v>148</v>
      </c>
      <c r="D164" s="3">
        <f t="shared" si="7"/>
        <v>0</v>
      </c>
      <c r="E164" s="3">
        <f>ROUND(Table1578[[#This Row],[Beginning Balance]]*Table1578[[#This Row],[Monthly Interest Rate]],2)</f>
        <v>0</v>
      </c>
      <c r="F164" s="3">
        <f t="shared" si="9"/>
        <v>-145</v>
      </c>
      <c r="G164" s="23">
        <f>IFERROR(IF($C$13="No","N/A",IF(Table1578[[#This Row],[Period]]=1,$C$6,PMT(InterestRate*AmortizationMultiplier/12,Table1578[[#This Row],[Am Thru]],-Table1578[[#This Row],[Beginning Balance]]))),0)</f>
        <v>0</v>
      </c>
      <c r="H164" s="3">
        <f>MAX(0,IF(C164=$C$4,D164,ROUND(IF($C$3="Fixed Principal",$C$6-Table1578[[#This Row],[Interest]],IF($C$3="Interest Only",Table1578[[#This Row],[Beginning Balance]]*ROUND(1-(1-IF($C$11="No",$E$8,1))^(1/12),6),MIN(IF($C$13="Yes",Table1578[[#This Row],[Payment Amount (Reamortized)]],$C$6)-Table1578[[#This Row],[Interest]],Table1578[[#This Row],[Beginning Balance]]))),2)))</f>
        <v>0</v>
      </c>
      <c r="I164" s="3">
        <f>_xlfn.SINGLE(IF($C$3="Line of Credit",0,ROUND(MAX(MIN(IF($C$10="No",$E$7,VLOOKUP(Table1578[[#This Row],[Period]],Forecast!$H$2:$L$1048576,4,FALSE))*Table1578[[#This Row],[Beginning Balance]],Table1578[[#This Row],[Beginning Balance]]-Table1578[[#This Row],[Principal]]),0),2)))</f>
        <v>0</v>
      </c>
      <c r="J164" s="3">
        <f>ROUND(MIN(Table1578[[#This Row],[Beginning Balance]]*IF($C$8="No",$E$3,VLOOKUP(Table1578[[#This Row],[Period]],Forecast!$H$2:$L$1048576,2,FALSE)),Table1578[[#This Row],[Beginning Balance]]-Table1578[[#This Row],[Principal]]-Table1578[[#This Row],[Prepayments]]),2)</f>
        <v>0</v>
      </c>
      <c r="K164" s="3">
        <f>ROUND(Table1578[[#This Row],[Defaulted Principal]]*IF($C$9="No",$E$4,VLOOKUP(Table1578[[#This Row],[Period]],Forecast!$H$2:$L$1048576,3,FALSE)),2)</f>
        <v>0</v>
      </c>
      <c r="L164" s="2">
        <f>Table1578[[#This Row],[Period]]+$E$9</f>
        <v>160</v>
      </c>
      <c r="M164" s="3">
        <f>Table1578[[#This Row],[Defaulted Principal]]-Table1578[[#This Row],[Estimated Loss]]</f>
        <v>0</v>
      </c>
      <c r="N164" s="3">
        <f>IFERROR(VLOOKUP(Table1578[[#This Row],[Period]],$L$16:$M$385,2,FALSE),0)</f>
        <v>0</v>
      </c>
      <c r="O164" s="3">
        <f>Table1578[[#This Row],[Beginning Balance]]-Table1578[[#This Row],[Principal]]-Table1578[[#This Row],[Prepayments]]-Table1578[[#This Row],[Defaulted Principal]]</f>
        <v>0</v>
      </c>
      <c r="P164" s="3">
        <f>Table1578[[#This Row],[Principal]]+Table1578[[#This Row],[Interest]]+Table1578[[#This Row],[Prepayments]]+Table1578[[#This Row],[RecoveredAmount]]</f>
        <v>0</v>
      </c>
      <c r="Q164" s="3">
        <f ca="1">ROUND(Table1578[[#This Row],[Cash Flow]]/((1+ActualRateToUse)^(IF(ISNUMBER(SEARCH("Actual",$C$7)),Table1578[[#This Row],[Running Total]]/365,Table1578[[#This Row],[Period]]/12))),2)</f>
        <v>0</v>
      </c>
      <c r="R164" s="2">
        <f>IF(MONTH(Table1578[[#This Row],[Date]])=2,28,DAY(DATE(YEAR(Table1578[[#This Row],[Date]]),MONTH(Table1578[[#This Row],[Date]])+1,1)-1))</f>
        <v>31</v>
      </c>
      <c r="S164" s="2">
        <f ca="1">SUM(OFFSET(Table1578[[#Headers],[Days in month]],1,0):Table1578[[#This Row],[Days in month]])</f>
        <v>4503</v>
      </c>
      <c r="T164" s="37">
        <f>InterestRate*AmortizationMultiplier*IF(ISNUMBER(SEARCH("Actual",$C$7)),Table1578[[#This Row],[Days in month]]/365,1/12)</f>
        <v>6.2344444444444444E-3</v>
      </c>
    </row>
    <row r="165" spans="2:20" x14ac:dyDescent="0.2">
      <c r="B165" s="1">
        <f t="shared" si="6"/>
        <v>50374</v>
      </c>
      <c r="C165" s="2">
        <f t="shared" si="8"/>
        <v>149</v>
      </c>
      <c r="D165" s="3">
        <f t="shared" si="7"/>
        <v>0</v>
      </c>
      <c r="E165" s="3">
        <f>ROUND(Table1578[[#This Row],[Beginning Balance]]*Table1578[[#This Row],[Monthly Interest Rate]],2)</f>
        <v>0</v>
      </c>
      <c r="F165" s="3">
        <f t="shared" si="9"/>
        <v>-146</v>
      </c>
      <c r="G165" s="23">
        <f>IFERROR(IF($C$13="No","N/A",IF(Table1578[[#This Row],[Period]]=1,$C$6,PMT(InterestRate*AmortizationMultiplier/12,Table1578[[#This Row],[Am Thru]],-Table1578[[#This Row],[Beginning Balance]]))),0)</f>
        <v>0</v>
      </c>
      <c r="H165" s="3">
        <f>MAX(0,IF(C165=$C$4,D165,ROUND(IF($C$3="Fixed Principal",$C$6-Table1578[[#This Row],[Interest]],IF($C$3="Interest Only",Table1578[[#This Row],[Beginning Balance]]*ROUND(1-(1-IF($C$11="No",$E$8,1))^(1/12),6),MIN(IF($C$13="Yes",Table1578[[#This Row],[Payment Amount (Reamortized)]],$C$6)-Table1578[[#This Row],[Interest]],Table1578[[#This Row],[Beginning Balance]]))),2)))</f>
        <v>0</v>
      </c>
      <c r="I165" s="3">
        <f>_xlfn.SINGLE(IF($C$3="Line of Credit",0,ROUND(MAX(MIN(IF($C$10="No",$E$7,VLOOKUP(Table1578[[#This Row],[Period]],Forecast!$H$2:$L$1048576,4,FALSE))*Table1578[[#This Row],[Beginning Balance]],Table1578[[#This Row],[Beginning Balance]]-Table1578[[#This Row],[Principal]]),0),2)))</f>
        <v>0</v>
      </c>
      <c r="J165" s="3">
        <f>ROUND(MIN(Table1578[[#This Row],[Beginning Balance]]*IF($C$8="No",$E$3,VLOOKUP(Table1578[[#This Row],[Period]],Forecast!$H$2:$L$1048576,2,FALSE)),Table1578[[#This Row],[Beginning Balance]]-Table1578[[#This Row],[Principal]]-Table1578[[#This Row],[Prepayments]]),2)</f>
        <v>0</v>
      </c>
      <c r="K165" s="3">
        <f>ROUND(Table1578[[#This Row],[Defaulted Principal]]*IF($C$9="No",$E$4,VLOOKUP(Table1578[[#This Row],[Period]],Forecast!$H$2:$L$1048576,3,FALSE)),2)</f>
        <v>0</v>
      </c>
      <c r="L165" s="2">
        <f>Table1578[[#This Row],[Period]]+$E$9</f>
        <v>161</v>
      </c>
      <c r="M165" s="3">
        <f>Table1578[[#This Row],[Defaulted Principal]]-Table1578[[#This Row],[Estimated Loss]]</f>
        <v>0</v>
      </c>
      <c r="N165" s="3">
        <f>IFERROR(VLOOKUP(Table1578[[#This Row],[Period]],$L$16:$M$385,2,FALSE),0)</f>
        <v>0</v>
      </c>
      <c r="O165" s="3">
        <f>Table1578[[#This Row],[Beginning Balance]]-Table1578[[#This Row],[Principal]]-Table1578[[#This Row],[Prepayments]]-Table1578[[#This Row],[Defaulted Principal]]</f>
        <v>0</v>
      </c>
      <c r="P165" s="3">
        <f>Table1578[[#This Row],[Principal]]+Table1578[[#This Row],[Interest]]+Table1578[[#This Row],[Prepayments]]+Table1578[[#This Row],[RecoveredAmount]]</f>
        <v>0</v>
      </c>
      <c r="Q165" s="3">
        <f ca="1">ROUND(Table1578[[#This Row],[Cash Flow]]/((1+ActualRateToUse)^(IF(ISNUMBER(SEARCH("Actual",$C$7)),Table1578[[#This Row],[Running Total]]/365,Table1578[[#This Row],[Period]]/12))),2)</f>
        <v>0</v>
      </c>
      <c r="R165" s="2">
        <f>IF(MONTH(Table1578[[#This Row],[Date]])=2,28,DAY(DATE(YEAR(Table1578[[#This Row],[Date]]),MONTH(Table1578[[#This Row],[Date]])+1,1)-1))</f>
        <v>30</v>
      </c>
      <c r="S165" s="2">
        <f ca="1">SUM(OFFSET(Table1578[[#Headers],[Days in month]],1,0):Table1578[[#This Row],[Days in month]])</f>
        <v>4533</v>
      </c>
      <c r="T165" s="37">
        <f>InterestRate*AmortizationMultiplier*IF(ISNUMBER(SEARCH("Actual",$C$7)),Table1578[[#This Row],[Days in month]]/365,1/12)</f>
        <v>6.0333333333333333E-3</v>
      </c>
    </row>
    <row r="166" spans="2:20" x14ac:dyDescent="0.2">
      <c r="B166" s="1">
        <f t="shared" si="6"/>
        <v>50405</v>
      </c>
      <c r="C166" s="2">
        <f t="shared" si="8"/>
        <v>150</v>
      </c>
      <c r="D166" s="3">
        <f t="shared" si="7"/>
        <v>0</v>
      </c>
      <c r="E166" s="3">
        <f>ROUND(Table1578[[#This Row],[Beginning Balance]]*Table1578[[#This Row],[Monthly Interest Rate]],2)</f>
        <v>0</v>
      </c>
      <c r="F166" s="3">
        <f t="shared" si="9"/>
        <v>-147</v>
      </c>
      <c r="G166" s="23">
        <f>IFERROR(IF($C$13="No","N/A",IF(Table1578[[#This Row],[Period]]=1,$C$6,PMT(InterestRate*AmortizationMultiplier/12,Table1578[[#This Row],[Am Thru]],-Table1578[[#This Row],[Beginning Balance]]))),0)</f>
        <v>0</v>
      </c>
      <c r="H166" s="3">
        <f>MAX(0,IF(C166=$C$4,D166,ROUND(IF($C$3="Fixed Principal",$C$6-Table1578[[#This Row],[Interest]],IF($C$3="Interest Only",Table1578[[#This Row],[Beginning Balance]]*ROUND(1-(1-IF($C$11="No",$E$8,1))^(1/12),6),MIN(IF($C$13="Yes",Table1578[[#This Row],[Payment Amount (Reamortized)]],$C$6)-Table1578[[#This Row],[Interest]],Table1578[[#This Row],[Beginning Balance]]))),2)))</f>
        <v>0</v>
      </c>
      <c r="I166" s="3">
        <f>_xlfn.SINGLE(IF($C$3="Line of Credit",0,ROUND(MAX(MIN(IF($C$10="No",$E$7,VLOOKUP(Table1578[[#This Row],[Period]],Forecast!$H$2:$L$1048576,4,FALSE))*Table1578[[#This Row],[Beginning Balance]],Table1578[[#This Row],[Beginning Balance]]-Table1578[[#This Row],[Principal]]),0),2)))</f>
        <v>0</v>
      </c>
      <c r="J166" s="3">
        <f>ROUND(MIN(Table1578[[#This Row],[Beginning Balance]]*IF($C$8="No",$E$3,VLOOKUP(Table1578[[#This Row],[Period]],Forecast!$H$2:$L$1048576,2,FALSE)),Table1578[[#This Row],[Beginning Balance]]-Table1578[[#This Row],[Principal]]-Table1578[[#This Row],[Prepayments]]),2)</f>
        <v>0</v>
      </c>
      <c r="K166" s="3">
        <f>ROUND(Table1578[[#This Row],[Defaulted Principal]]*IF($C$9="No",$E$4,VLOOKUP(Table1578[[#This Row],[Period]],Forecast!$H$2:$L$1048576,3,FALSE)),2)</f>
        <v>0</v>
      </c>
      <c r="L166" s="2">
        <f>Table1578[[#This Row],[Period]]+$E$9</f>
        <v>162</v>
      </c>
      <c r="M166" s="3">
        <f>Table1578[[#This Row],[Defaulted Principal]]-Table1578[[#This Row],[Estimated Loss]]</f>
        <v>0</v>
      </c>
      <c r="N166" s="3">
        <f>IFERROR(VLOOKUP(Table1578[[#This Row],[Period]],$L$16:$M$385,2,FALSE),0)</f>
        <v>0</v>
      </c>
      <c r="O166" s="3">
        <f>Table1578[[#This Row],[Beginning Balance]]-Table1578[[#This Row],[Principal]]-Table1578[[#This Row],[Prepayments]]-Table1578[[#This Row],[Defaulted Principal]]</f>
        <v>0</v>
      </c>
      <c r="P166" s="3">
        <f>Table1578[[#This Row],[Principal]]+Table1578[[#This Row],[Interest]]+Table1578[[#This Row],[Prepayments]]+Table1578[[#This Row],[RecoveredAmount]]</f>
        <v>0</v>
      </c>
      <c r="Q166" s="3">
        <f ca="1">ROUND(Table1578[[#This Row],[Cash Flow]]/((1+ActualRateToUse)^(IF(ISNUMBER(SEARCH("Actual",$C$7)),Table1578[[#This Row],[Running Total]]/365,Table1578[[#This Row],[Period]]/12))),2)</f>
        <v>0</v>
      </c>
      <c r="R166" s="2">
        <f>IF(MONTH(Table1578[[#This Row],[Date]])=2,28,DAY(DATE(YEAR(Table1578[[#This Row],[Date]]),MONTH(Table1578[[#This Row],[Date]])+1,1)-1))</f>
        <v>31</v>
      </c>
      <c r="S166" s="2">
        <f ca="1">SUM(OFFSET(Table1578[[#Headers],[Days in month]],1,0):Table1578[[#This Row],[Days in month]])</f>
        <v>4564</v>
      </c>
      <c r="T166" s="37">
        <f>InterestRate*AmortizationMultiplier*IF(ISNUMBER(SEARCH("Actual",$C$7)),Table1578[[#This Row],[Days in month]]/365,1/12)</f>
        <v>6.2344444444444444E-3</v>
      </c>
    </row>
    <row r="167" spans="2:20" x14ac:dyDescent="0.2">
      <c r="B167" s="1">
        <f t="shared" si="6"/>
        <v>50436</v>
      </c>
      <c r="C167" s="2">
        <f t="shared" si="8"/>
        <v>151</v>
      </c>
      <c r="D167" s="3">
        <f t="shared" si="7"/>
        <v>0</v>
      </c>
      <c r="E167" s="3">
        <f>ROUND(Table1578[[#This Row],[Beginning Balance]]*Table1578[[#This Row],[Monthly Interest Rate]],2)</f>
        <v>0</v>
      </c>
      <c r="F167" s="3">
        <f t="shared" si="9"/>
        <v>-148</v>
      </c>
      <c r="G167" s="23">
        <f>IFERROR(IF($C$13="No","N/A",IF(Table1578[[#This Row],[Period]]=1,$C$6,PMT(InterestRate*AmortizationMultiplier/12,Table1578[[#This Row],[Am Thru]],-Table1578[[#This Row],[Beginning Balance]]))),0)</f>
        <v>0</v>
      </c>
      <c r="H167" s="3">
        <f>MAX(0,IF(C167=$C$4,D167,ROUND(IF($C$3="Fixed Principal",$C$6-Table1578[[#This Row],[Interest]],IF($C$3="Interest Only",Table1578[[#This Row],[Beginning Balance]]*ROUND(1-(1-IF($C$11="No",$E$8,1))^(1/12),6),MIN(IF($C$13="Yes",Table1578[[#This Row],[Payment Amount (Reamortized)]],$C$6)-Table1578[[#This Row],[Interest]],Table1578[[#This Row],[Beginning Balance]]))),2)))</f>
        <v>0</v>
      </c>
      <c r="I167" s="3">
        <f>_xlfn.SINGLE(IF($C$3="Line of Credit",0,ROUND(MAX(MIN(IF($C$10="No",$E$7,VLOOKUP(Table1578[[#This Row],[Period]],Forecast!$H$2:$L$1048576,4,FALSE))*Table1578[[#This Row],[Beginning Balance]],Table1578[[#This Row],[Beginning Balance]]-Table1578[[#This Row],[Principal]]),0),2)))</f>
        <v>0</v>
      </c>
      <c r="J167" s="3">
        <f>ROUND(MIN(Table1578[[#This Row],[Beginning Balance]]*IF($C$8="No",$E$3,VLOOKUP(Table1578[[#This Row],[Period]],Forecast!$H$2:$L$1048576,2,FALSE)),Table1578[[#This Row],[Beginning Balance]]-Table1578[[#This Row],[Principal]]-Table1578[[#This Row],[Prepayments]]),2)</f>
        <v>0</v>
      </c>
      <c r="K167" s="3">
        <f>ROUND(Table1578[[#This Row],[Defaulted Principal]]*IF($C$9="No",$E$4,VLOOKUP(Table1578[[#This Row],[Period]],Forecast!$H$2:$L$1048576,3,FALSE)),2)</f>
        <v>0</v>
      </c>
      <c r="L167" s="2">
        <f>Table1578[[#This Row],[Period]]+$E$9</f>
        <v>163</v>
      </c>
      <c r="M167" s="3">
        <f>Table1578[[#This Row],[Defaulted Principal]]-Table1578[[#This Row],[Estimated Loss]]</f>
        <v>0</v>
      </c>
      <c r="N167" s="3">
        <f>IFERROR(VLOOKUP(Table1578[[#This Row],[Period]],$L$16:$M$385,2,FALSE),0)</f>
        <v>0</v>
      </c>
      <c r="O167" s="3">
        <f>Table1578[[#This Row],[Beginning Balance]]-Table1578[[#This Row],[Principal]]-Table1578[[#This Row],[Prepayments]]-Table1578[[#This Row],[Defaulted Principal]]</f>
        <v>0</v>
      </c>
      <c r="P167" s="3">
        <f>Table1578[[#This Row],[Principal]]+Table1578[[#This Row],[Interest]]+Table1578[[#This Row],[Prepayments]]+Table1578[[#This Row],[RecoveredAmount]]</f>
        <v>0</v>
      </c>
      <c r="Q167" s="3">
        <f ca="1">ROUND(Table1578[[#This Row],[Cash Flow]]/((1+ActualRateToUse)^(IF(ISNUMBER(SEARCH("Actual",$C$7)),Table1578[[#This Row],[Running Total]]/365,Table1578[[#This Row],[Period]]/12))),2)</f>
        <v>0</v>
      </c>
      <c r="R167" s="2">
        <f>IF(MONTH(Table1578[[#This Row],[Date]])=2,28,DAY(DATE(YEAR(Table1578[[#This Row],[Date]]),MONTH(Table1578[[#This Row],[Date]])+1,1)-1))</f>
        <v>31</v>
      </c>
      <c r="S167" s="2">
        <f ca="1">SUM(OFFSET(Table1578[[#Headers],[Days in month]],1,0):Table1578[[#This Row],[Days in month]])</f>
        <v>4595</v>
      </c>
      <c r="T167" s="37">
        <f>InterestRate*AmortizationMultiplier*IF(ISNUMBER(SEARCH("Actual",$C$7)),Table1578[[#This Row],[Days in month]]/365,1/12)</f>
        <v>6.2344444444444444E-3</v>
      </c>
    </row>
    <row r="168" spans="2:20" x14ac:dyDescent="0.2">
      <c r="B168" s="1">
        <f t="shared" si="6"/>
        <v>50464</v>
      </c>
      <c r="C168" s="2">
        <f t="shared" si="8"/>
        <v>152</v>
      </c>
      <c r="D168" s="3">
        <f t="shared" si="7"/>
        <v>0</v>
      </c>
      <c r="E168" s="3">
        <f>ROUND(Table1578[[#This Row],[Beginning Balance]]*Table1578[[#This Row],[Monthly Interest Rate]],2)</f>
        <v>0</v>
      </c>
      <c r="F168" s="3">
        <f t="shared" si="9"/>
        <v>-149</v>
      </c>
      <c r="G168" s="23">
        <f>IFERROR(IF($C$13="No","N/A",IF(Table1578[[#This Row],[Period]]=1,$C$6,PMT(InterestRate*AmortizationMultiplier/12,Table1578[[#This Row],[Am Thru]],-Table1578[[#This Row],[Beginning Balance]]))),0)</f>
        <v>0</v>
      </c>
      <c r="H168" s="3">
        <f>MAX(0,IF(C168=$C$4,D168,ROUND(IF($C$3="Fixed Principal",$C$6-Table1578[[#This Row],[Interest]],IF($C$3="Interest Only",Table1578[[#This Row],[Beginning Balance]]*ROUND(1-(1-IF($C$11="No",$E$8,1))^(1/12),6),MIN(IF($C$13="Yes",Table1578[[#This Row],[Payment Amount (Reamortized)]],$C$6)-Table1578[[#This Row],[Interest]],Table1578[[#This Row],[Beginning Balance]]))),2)))</f>
        <v>0</v>
      </c>
      <c r="I168" s="3">
        <f>_xlfn.SINGLE(IF($C$3="Line of Credit",0,ROUND(MAX(MIN(IF($C$10="No",$E$7,VLOOKUP(Table1578[[#This Row],[Period]],Forecast!$H$2:$L$1048576,4,FALSE))*Table1578[[#This Row],[Beginning Balance]],Table1578[[#This Row],[Beginning Balance]]-Table1578[[#This Row],[Principal]]),0),2)))</f>
        <v>0</v>
      </c>
      <c r="J168" s="3">
        <f>ROUND(MIN(Table1578[[#This Row],[Beginning Balance]]*IF($C$8="No",$E$3,VLOOKUP(Table1578[[#This Row],[Period]],Forecast!$H$2:$L$1048576,2,FALSE)),Table1578[[#This Row],[Beginning Balance]]-Table1578[[#This Row],[Principal]]-Table1578[[#This Row],[Prepayments]]),2)</f>
        <v>0</v>
      </c>
      <c r="K168" s="3">
        <f>ROUND(Table1578[[#This Row],[Defaulted Principal]]*IF($C$9="No",$E$4,VLOOKUP(Table1578[[#This Row],[Period]],Forecast!$H$2:$L$1048576,3,FALSE)),2)</f>
        <v>0</v>
      </c>
      <c r="L168" s="2">
        <f>Table1578[[#This Row],[Period]]+$E$9</f>
        <v>164</v>
      </c>
      <c r="M168" s="3">
        <f>Table1578[[#This Row],[Defaulted Principal]]-Table1578[[#This Row],[Estimated Loss]]</f>
        <v>0</v>
      </c>
      <c r="N168" s="3">
        <f>IFERROR(VLOOKUP(Table1578[[#This Row],[Period]],$L$16:$M$385,2,FALSE),0)</f>
        <v>0</v>
      </c>
      <c r="O168" s="3">
        <f>Table1578[[#This Row],[Beginning Balance]]-Table1578[[#This Row],[Principal]]-Table1578[[#This Row],[Prepayments]]-Table1578[[#This Row],[Defaulted Principal]]</f>
        <v>0</v>
      </c>
      <c r="P168" s="3">
        <f>Table1578[[#This Row],[Principal]]+Table1578[[#This Row],[Interest]]+Table1578[[#This Row],[Prepayments]]+Table1578[[#This Row],[RecoveredAmount]]</f>
        <v>0</v>
      </c>
      <c r="Q168" s="3">
        <f ca="1">ROUND(Table1578[[#This Row],[Cash Flow]]/((1+ActualRateToUse)^(IF(ISNUMBER(SEARCH("Actual",$C$7)),Table1578[[#This Row],[Running Total]]/365,Table1578[[#This Row],[Period]]/12))),2)</f>
        <v>0</v>
      </c>
      <c r="R168" s="2">
        <f>IF(MONTH(Table1578[[#This Row],[Date]])=2,28,DAY(DATE(YEAR(Table1578[[#This Row],[Date]]),MONTH(Table1578[[#This Row],[Date]])+1,1)-1))</f>
        <v>28</v>
      </c>
      <c r="S168" s="2">
        <f ca="1">SUM(OFFSET(Table1578[[#Headers],[Days in month]],1,0):Table1578[[#This Row],[Days in month]])</f>
        <v>4623</v>
      </c>
      <c r="T168" s="37">
        <f>InterestRate*AmortizationMultiplier*IF(ISNUMBER(SEARCH("Actual",$C$7)),Table1578[[#This Row],[Days in month]]/365,1/12)</f>
        <v>5.6311111111111119E-3</v>
      </c>
    </row>
    <row r="169" spans="2:20" x14ac:dyDescent="0.2">
      <c r="B169" s="1">
        <f t="shared" si="6"/>
        <v>50495</v>
      </c>
      <c r="C169" s="2">
        <f t="shared" si="8"/>
        <v>153</v>
      </c>
      <c r="D169" s="3">
        <f t="shared" si="7"/>
        <v>0</v>
      </c>
      <c r="E169" s="3">
        <f>ROUND(Table1578[[#This Row],[Beginning Balance]]*Table1578[[#This Row],[Monthly Interest Rate]],2)</f>
        <v>0</v>
      </c>
      <c r="F169" s="3">
        <f t="shared" si="9"/>
        <v>-150</v>
      </c>
      <c r="G169" s="23">
        <f>IFERROR(IF($C$13="No","N/A",IF(Table1578[[#This Row],[Period]]=1,$C$6,PMT(InterestRate*AmortizationMultiplier/12,Table1578[[#This Row],[Am Thru]],-Table1578[[#This Row],[Beginning Balance]]))),0)</f>
        <v>0</v>
      </c>
      <c r="H169" s="3">
        <f>MAX(0,IF(C169=$C$4,D169,ROUND(IF($C$3="Fixed Principal",$C$6-Table1578[[#This Row],[Interest]],IF($C$3="Interest Only",Table1578[[#This Row],[Beginning Balance]]*ROUND(1-(1-IF($C$11="No",$E$8,1))^(1/12),6),MIN(IF($C$13="Yes",Table1578[[#This Row],[Payment Amount (Reamortized)]],$C$6)-Table1578[[#This Row],[Interest]],Table1578[[#This Row],[Beginning Balance]]))),2)))</f>
        <v>0</v>
      </c>
      <c r="I169" s="3">
        <f>_xlfn.SINGLE(IF($C$3="Line of Credit",0,ROUND(MAX(MIN(IF($C$10="No",$E$7,VLOOKUP(Table1578[[#This Row],[Period]],Forecast!$H$2:$L$1048576,4,FALSE))*Table1578[[#This Row],[Beginning Balance]],Table1578[[#This Row],[Beginning Balance]]-Table1578[[#This Row],[Principal]]),0),2)))</f>
        <v>0</v>
      </c>
      <c r="J169" s="3">
        <f>ROUND(MIN(Table1578[[#This Row],[Beginning Balance]]*IF($C$8="No",$E$3,VLOOKUP(Table1578[[#This Row],[Period]],Forecast!$H$2:$L$1048576,2,FALSE)),Table1578[[#This Row],[Beginning Balance]]-Table1578[[#This Row],[Principal]]-Table1578[[#This Row],[Prepayments]]),2)</f>
        <v>0</v>
      </c>
      <c r="K169" s="3">
        <f>ROUND(Table1578[[#This Row],[Defaulted Principal]]*IF($C$9="No",$E$4,VLOOKUP(Table1578[[#This Row],[Period]],Forecast!$H$2:$L$1048576,3,FALSE)),2)</f>
        <v>0</v>
      </c>
      <c r="L169" s="2">
        <f>Table1578[[#This Row],[Period]]+$E$9</f>
        <v>165</v>
      </c>
      <c r="M169" s="3">
        <f>Table1578[[#This Row],[Defaulted Principal]]-Table1578[[#This Row],[Estimated Loss]]</f>
        <v>0</v>
      </c>
      <c r="N169" s="3">
        <f>IFERROR(VLOOKUP(Table1578[[#This Row],[Period]],$L$16:$M$385,2,FALSE),0)</f>
        <v>0</v>
      </c>
      <c r="O169" s="3">
        <f>Table1578[[#This Row],[Beginning Balance]]-Table1578[[#This Row],[Principal]]-Table1578[[#This Row],[Prepayments]]-Table1578[[#This Row],[Defaulted Principal]]</f>
        <v>0</v>
      </c>
      <c r="P169" s="3">
        <f>Table1578[[#This Row],[Principal]]+Table1578[[#This Row],[Interest]]+Table1578[[#This Row],[Prepayments]]+Table1578[[#This Row],[RecoveredAmount]]</f>
        <v>0</v>
      </c>
      <c r="Q169" s="3">
        <f ca="1">ROUND(Table1578[[#This Row],[Cash Flow]]/((1+ActualRateToUse)^(IF(ISNUMBER(SEARCH("Actual",$C$7)),Table1578[[#This Row],[Running Total]]/365,Table1578[[#This Row],[Period]]/12))),2)</f>
        <v>0</v>
      </c>
      <c r="R169" s="2">
        <f>IF(MONTH(Table1578[[#This Row],[Date]])=2,28,DAY(DATE(YEAR(Table1578[[#This Row],[Date]]),MONTH(Table1578[[#This Row],[Date]])+1,1)-1))</f>
        <v>31</v>
      </c>
      <c r="S169" s="2">
        <f ca="1">SUM(OFFSET(Table1578[[#Headers],[Days in month]],1,0):Table1578[[#This Row],[Days in month]])</f>
        <v>4654</v>
      </c>
      <c r="T169" s="37">
        <f>InterestRate*AmortizationMultiplier*IF(ISNUMBER(SEARCH("Actual",$C$7)),Table1578[[#This Row],[Days in month]]/365,1/12)</f>
        <v>6.2344444444444444E-3</v>
      </c>
    </row>
    <row r="170" spans="2:20" x14ac:dyDescent="0.2">
      <c r="B170" s="1">
        <f t="shared" si="6"/>
        <v>50525</v>
      </c>
      <c r="C170" s="2">
        <f t="shared" si="8"/>
        <v>154</v>
      </c>
      <c r="D170" s="3">
        <f t="shared" si="7"/>
        <v>0</v>
      </c>
      <c r="E170" s="3">
        <f>ROUND(Table1578[[#This Row],[Beginning Balance]]*Table1578[[#This Row],[Monthly Interest Rate]],2)</f>
        <v>0</v>
      </c>
      <c r="F170" s="3">
        <f t="shared" si="9"/>
        <v>-151</v>
      </c>
      <c r="G170" s="23">
        <f>IFERROR(IF($C$13="No","N/A",IF(Table1578[[#This Row],[Period]]=1,$C$6,PMT(InterestRate*AmortizationMultiplier/12,Table1578[[#This Row],[Am Thru]],-Table1578[[#This Row],[Beginning Balance]]))),0)</f>
        <v>0</v>
      </c>
      <c r="H170" s="3">
        <f>MAX(0,IF(C170=$C$4,D170,ROUND(IF($C$3="Fixed Principal",$C$6-Table1578[[#This Row],[Interest]],IF($C$3="Interest Only",Table1578[[#This Row],[Beginning Balance]]*ROUND(1-(1-IF($C$11="No",$E$8,1))^(1/12),6),MIN(IF($C$13="Yes",Table1578[[#This Row],[Payment Amount (Reamortized)]],$C$6)-Table1578[[#This Row],[Interest]],Table1578[[#This Row],[Beginning Balance]]))),2)))</f>
        <v>0</v>
      </c>
      <c r="I170" s="3">
        <f>_xlfn.SINGLE(IF($C$3="Line of Credit",0,ROUND(MAX(MIN(IF($C$10="No",$E$7,VLOOKUP(Table1578[[#This Row],[Period]],Forecast!$H$2:$L$1048576,4,FALSE))*Table1578[[#This Row],[Beginning Balance]],Table1578[[#This Row],[Beginning Balance]]-Table1578[[#This Row],[Principal]]),0),2)))</f>
        <v>0</v>
      </c>
      <c r="J170" s="3">
        <f>ROUND(MIN(Table1578[[#This Row],[Beginning Balance]]*IF($C$8="No",$E$3,VLOOKUP(Table1578[[#This Row],[Period]],Forecast!$H$2:$L$1048576,2,FALSE)),Table1578[[#This Row],[Beginning Balance]]-Table1578[[#This Row],[Principal]]-Table1578[[#This Row],[Prepayments]]),2)</f>
        <v>0</v>
      </c>
      <c r="K170" s="3">
        <f>ROUND(Table1578[[#This Row],[Defaulted Principal]]*IF($C$9="No",$E$4,VLOOKUP(Table1578[[#This Row],[Period]],Forecast!$H$2:$L$1048576,3,FALSE)),2)</f>
        <v>0</v>
      </c>
      <c r="L170" s="2">
        <f>Table1578[[#This Row],[Period]]+$E$9</f>
        <v>166</v>
      </c>
      <c r="M170" s="3">
        <f>Table1578[[#This Row],[Defaulted Principal]]-Table1578[[#This Row],[Estimated Loss]]</f>
        <v>0</v>
      </c>
      <c r="N170" s="3">
        <f>IFERROR(VLOOKUP(Table1578[[#This Row],[Period]],$L$16:$M$385,2,FALSE),0)</f>
        <v>0</v>
      </c>
      <c r="O170" s="3">
        <f>Table1578[[#This Row],[Beginning Balance]]-Table1578[[#This Row],[Principal]]-Table1578[[#This Row],[Prepayments]]-Table1578[[#This Row],[Defaulted Principal]]</f>
        <v>0</v>
      </c>
      <c r="P170" s="3">
        <f>Table1578[[#This Row],[Principal]]+Table1578[[#This Row],[Interest]]+Table1578[[#This Row],[Prepayments]]+Table1578[[#This Row],[RecoveredAmount]]</f>
        <v>0</v>
      </c>
      <c r="Q170" s="3">
        <f ca="1">ROUND(Table1578[[#This Row],[Cash Flow]]/((1+ActualRateToUse)^(IF(ISNUMBER(SEARCH("Actual",$C$7)),Table1578[[#This Row],[Running Total]]/365,Table1578[[#This Row],[Period]]/12))),2)</f>
        <v>0</v>
      </c>
      <c r="R170" s="2">
        <f>IF(MONTH(Table1578[[#This Row],[Date]])=2,28,DAY(DATE(YEAR(Table1578[[#This Row],[Date]]),MONTH(Table1578[[#This Row],[Date]])+1,1)-1))</f>
        <v>30</v>
      </c>
      <c r="S170" s="2">
        <f ca="1">SUM(OFFSET(Table1578[[#Headers],[Days in month]],1,0):Table1578[[#This Row],[Days in month]])</f>
        <v>4684</v>
      </c>
      <c r="T170" s="37">
        <f>InterestRate*AmortizationMultiplier*IF(ISNUMBER(SEARCH("Actual",$C$7)),Table1578[[#This Row],[Days in month]]/365,1/12)</f>
        <v>6.0333333333333333E-3</v>
      </c>
    </row>
    <row r="171" spans="2:20" x14ac:dyDescent="0.2">
      <c r="B171" s="1">
        <f t="shared" si="6"/>
        <v>50556</v>
      </c>
      <c r="C171" s="2">
        <f t="shared" si="8"/>
        <v>155</v>
      </c>
      <c r="D171" s="3">
        <f t="shared" si="7"/>
        <v>0</v>
      </c>
      <c r="E171" s="3">
        <f>ROUND(Table1578[[#This Row],[Beginning Balance]]*Table1578[[#This Row],[Monthly Interest Rate]],2)</f>
        <v>0</v>
      </c>
      <c r="F171" s="3">
        <f t="shared" si="9"/>
        <v>-152</v>
      </c>
      <c r="G171" s="23">
        <f>IFERROR(IF($C$13="No","N/A",IF(Table1578[[#This Row],[Period]]=1,$C$6,PMT(InterestRate*AmortizationMultiplier/12,Table1578[[#This Row],[Am Thru]],-Table1578[[#This Row],[Beginning Balance]]))),0)</f>
        <v>0</v>
      </c>
      <c r="H171" s="3">
        <f>MAX(0,IF(C171=$C$4,D171,ROUND(IF($C$3="Fixed Principal",$C$6-Table1578[[#This Row],[Interest]],IF($C$3="Interest Only",Table1578[[#This Row],[Beginning Balance]]*ROUND(1-(1-IF($C$11="No",$E$8,1))^(1/12),6),MIN(IF($C$13="Yes",Table1578[[#This Row],[Payment Amount (Reamortized)]],$C$6)-Table1578[[#This Row],[Interest]],Table1578[[#This Row],[Beginning Balance]]))),2)))</f>
        <v>0</v>
      </c>
      <c r="I171" s="3">
        <f>_xlfn.SINGLE(IF($C$3="Line of Credit",0,ROUND(MAX(MIN(IF($C$10="No",$E$7,VLOOKUP(Table1578[[#This Row],[Period]],Forecast!$H$2:$L$1048576,4,FALSE))*Table1578[[#This Row],[Beginning Balance]],Table1578[[#This Row],[Beginning Balance]]-Table1578[[#This Row],[Principal]]),0),2)))</f>
        <v>0</v>
      </c>
      <c r="J171" s="3">
        <f>ROUND(MIN(Table1578[[#This Row],[Beginning Balance]]*IF($C$8="No",$E$3,VLOOKUP(Table1578[[#This Row],[Period]],Forecast!$H$2:$L$1048576,2,FALSE)),Table1578[[#This Row],[Beginning Balance]]-Table1578[[#This Row],[Principal]]-Table1578[[#This Row],[Prepayments]]),2)</f>
        <v>0</v>
      </c>
      <c r="K171" s="3">
        <f>ROUND(Table1578[[#This Row],[Defaulted Principal]]*IF($C$9="No",$E$4,VLOOKUP(Table1578[[#This Row],[Period]],Forecast!$H$2:$L$1048576,3,FALSE)),2)</f>
        <v>0</v>
      </c>
      <c r="L171" s="2">
        <f>Table1578[[#This Row],[Period]]+$E$9</f>
        <v>167</v>
      </c>
      <c r="M171" s="3">
        <f>Table1578[[#This Row],[Defaulted Principal]]-Table1578[[#This Row],[Estimated Loss]]</f>
        <v>0</v>
      </c>
      <c r="N171" s="3">
        <f>IFERROR(VLOOKUP(Table1578[[#This Row],[Period]],$L$16:$M$385,2,FALSE),0)</f>
        <v>0</v>
      </c>
      <c r="O171" s="3">
        <f>Table1578[[#This Row],[Beginning Balance]]-Table1578[[#This Row],[Principal]]-Table1578[[#This Row],[Prepayments]]-Table1578[[#This Row],[Defaulted Principal]]</f>
        <v>0</v>
      </c>
      <c r="P171" s="3">
        <f>Table1578[[#This Row],[Principal]]+Table1578[[#This Row],[Interest]]+Table1578[[#This Row],[Prepayments]]+Table1578[[#This Row],[RecoveredAmount]]</f>
        <v>0</v>
      </c>
      <c r="Q171" s="3">
        <f ca="1">ROUND(Table1578[[#This Row],[Cash Flow]]/((1+ActualRateToUse)^(IF(ISNUMBER(SEARCH("Actual",$C$7)),Table1578[[#This Row],[Running Total]]/365,Table1578[[#This Row],[Period]]/12))),2)</f>
        <v>0</v>
      </c>
      <c r="R171" s="2">
        <f>IF(MONTH(Table1578[[#This Row],[Date]])=2,28,DAY(DATE(YEAR(Table1578[[#This Row],[Date]]),MONTH(Table1578[[#This Row],[Date]])+1,1)-1))</f>
        <v>31</v>
      </c>
      <c r="S171" s="2">
        <f ca="1">SUM(OFFSET(Table1578[[#Headers],[Days in month]],1,0):Table1578[[#This Row],[Days in month]])</f>
        <v>4715</v>
      </c>
      <c r="T171" s="37">
        <f>InterestRate*AmortizationMultiplier*IF(ISNUMBER(SEARCH("Actual",$C$7)),Table1578[[#This Row],[Days in month]]/365,1/12)</f>
        <v>6.2344444444444444E-3</v>
      </c>
    </row>
    <row r="172" spans="2:20" x14ac:dyDescent="0.2">
      <c r="B172" s="1">
        <f t="shared" si="6"/>
        <v>50586</v>
      </c>
      <c r="C172" s="2">
        <f t="shared" si="8"/>
        <v>156</v>
      </c>
      <c r="D172" s="3">
        <f t="shared" si="7"/>
        <v>0</v>
      </c>
      <c r="E172" s="3">
        <f>ROUND(Table1578[[#This Row],[Beginning Balance]]*Table1578[[#This Row],[Monthly Interest Rate]],2)</f>
        <v>0</v>
      </c>
      <c r="F172" s="3">
        <f t="shared" si="9"/>
        <v>-153</v>
      </c>
      <c r="G172" s="23">
        <f>IFERROR(IF($C$13="No","N/A",IF(Table1578[[#This Row],[Period]]=1,$C$6,PMT(InterestRate*AmortizationMultiplier/12,Table1578[[#This Row],[Am Thru]],-Table1578[[#This Row],[Beginning Balance]]))),0)</f>
        <v>0</v>
      </c>
      <c r="H172" s="3">
        <f>MAX(0,IF(C172=$C$4,D172,ROUND(IF($C$3="Fixed Principal",$C$6-Table1578[[#This Row],[Interest]],IF($C$3="Interest Only",Table1578[[#This Row],[Beginning Balance]]*ROUND(1-(1-IF($C$11="No",$E$8,1))^(1/12),6),MIN(IF($C$13="Yes",Table1578[[#This Row],[Payment Amount (Reamortized)]],$C$6)-Table1578[[#This Row],[Interest]],Table1578[[#This Row],[Beginning Balance]]))),2)))</f>
        <v>0</v>
      </c>
      <c r="I172" s="3">
        <f>_xlfn.SINGLE(IF($C$3="Line of Credit",0,ROUND(MAX(MIN(IF($C$10="No",$E$7,VLOOKUP(Table1578[[#This Row],[Period]],Forecast!$H$2:$L$1048576,4,FALSE))*Table1578[[#This Row],[Beginning Balance]],Table1578[[#This Row],[Beginning Balance]]-Table1578[[#This Row],[Principal]]),0),2)))</f>
        <v>0</v>
      </c>
      <c r="J172" s="3">
        <f>ROUND(MIN(Table1578[[#This Row],[Beginning Balance]]*IF($C$8="No",$E$3,VLOOKUP(Table1578[[#This Row],[Period]],Forecast!$H$2:$L$1048576,2,FALSE)),Table1578[[#This Row],[Beginning Balance]]-Table1578[[#This Row],[Principal]]-Table1578[[#This Row],[Prepayments]]),2)</f>
        <v>0</v>
      </c>
      <c r="K172" s="3">
        <f>ROUND(Table1578[[#This Row],[Defaulted Principal]]*IF($C$9="No",$E$4,VLOOKUP(Table1578[[#This Row],[Period]],Forecast!$H$2:$L$1048576,3,FALSE)),2)</f>
        <v>0</v>
      </c>
      <c r="L172" s="2">
        <f>Table1578[[#This Row],[Period]]+$E$9</f>
        <v>168</v>
      </c>
      <c r="M172" s="3">
        <f>Table1578[[#This Row],[Defaulted Principal]]-Table1578[[#This Row],[Estimated Loss]]</f>
        <v>0</v>
      </c>
      <c r="N172" s="3">
        <f>IFERROR(VLOOKUP(Table1578[[#This Row],[Period]],$L$16:$M$385,2,FALSE),0)</f>
        <v>0</v>
      </c>
      <c r="O172" s="3">
        <f>Table1578[[#This Row],[Beginning Balance]]-Table1578[[#This Row],[Principal]]-Table1578[[#This Row],[Prepayments]]-Table1578[[#This Row],[Defaulted Principal]]</f>
        <v>0</v>
      </c>
      <c r="P172" s="3">
        <f>Table1578[[#This Row],[Principal]]+Table1578[[#This Row],[Interest]]+Table1578[[#This Row],[Prepayments]]+Table1578[[#This Row],[RecoveredAmount]]</f>
        <v>0</v>
      </c>
      <c r="Q172" s="3">
        <f ca="1">ROUND(Table1578[[#This Row],[Cash Flow]]/((1+ActualRateToUse)^(IF(ISNUMBER(SEARCH("Actual",$C$7)),Table1578[[#This Row],[Running Total]]/365,Table1578[[#This Row],[Period]]/12))),2)</f>
        <v>0</v>
      </c>
      <c r="R172" s="2">
        <f>IF(MONTH(Table1578[[#This Row],[Date]])=2,28,DAY(DATE(YEAR(Table1578[[#This Row],[Date]]),MONTH(Table1578[[#This Row],[Date]])+1,1)-1))</f>
        <v>30</v>
      </c>
      <c r="S172" s="2">
        <f ca="1">SUM(OFFSET(Table1578[[#Headers],[Days in month]],1,0):Table1578[[#This Row],[Days in month]])</f>
        <v>4745</v>
      </c>
      <c r="T172" s="37">
        <f>InterestRate*AmortizationMultiplier*IF(ISNUMBER(SEARCH("Actual",$C$7)),Table1578[[#This Row],[Days in month]]/365,1/12)</f>
        <v>6.0333333333333333E-3</v>
      </c>
    </row>
    <row r="173" spans="2:20" x14ac:dyDescent="0.2">
      <c r="B173" s="1">
        <f t="shared" si="6"/>
        <v>50617</v>
      </c>
      <c r="C173" s="2">
        <f t="shared" si="8"/>
        <v>157</v>
      </c>
      <c r="D173" s="3">
        <f t="shared" si="7"/>
        <v>0</v>
      </c>
      <c r="E173" s="3">
        <f>ROUND(Table1578[[#This Row],[Beginning Balance]]*Table1578[[#This Row],[Monthly Interest Rate]],2)</f>
        <v>0</v>
      </c>
      <c r="F173" s="3">
        <f t="shared" si="9"/>
        <v>-154</v>
      </c>
      <c r="G173" s="23">
        <f>IFERROR(IF($C$13="No","N/A",IF(Table1578[[#This Row],[Period]]=1,$C$6,PMT(InterestRate*AmortizationMultiplier/12,Table1578[[#This Row],[Am Thru]],-Table1578[[#This Row],[Beginning Balance]]))),0)</f>
        <v>0</v>
      </c>
      <c r="H173" s="3">
        <f>MAX(0,IF(C173=$C$4,D173,ROUND(IF($C$3="Fixed Principal",$C$6-Table1578[[#This Row],[Interest]],IF($C$3="Interest Only",Table1578[[#This Row],[Beginning Balance]]*ROUND(1-(1-IF($C$11="No",$E$8,1))^(1/12),6),MIN(IF($C$13="Yes",Table1578[[#This Row],[Payment Amount (Reamortized)]],$C$6)-Table1578[[#This Row],[Interest]],Table1578[[#This Row],[Beginning Balance]]))),2)))</f>
        <v>0</v>
      </c>
      <c r="I173" s="3">
        <f>_xlfn.SINGLE(IF($C$3="Line of Credit",0,ROUND(MAX(MIN(IF($C$10="No",$E$7,VLOOKUP(Table1578[[#This Row],[Period]],Forecast!$H$2:$L$1048576,4,FALSE))*Table1578[[#This Row],[Beginning Balance]],Table1578[[#This Row],[Beginning Balance]]-Table1578[[#This Row],[Principal]]),0),2)))</f>
        <v>0</v>
      </c>
      <c r="J173" s="3">
        <f>ROUND(MIN(Table1578[[#This Row],[Beginning Balance]]*IF($C$8="No",$E$3,VLOOKUP(Table1578[[#This Row],[Period]],Forecast!$H$2:$L$1048576,2,FALSE)),Table1578[[#This Row],[Beginning Balance]]-Table1578[[#This Row],[Principal]]-Table1578[[#This Row],[Prepayments]]),2)</f>
        <v>0</v>
      </c>
      <c r="K173" s="3">
        <f>ROUND(Table1578[[#This Row],[Defaulted Principal]]*IF($C$9="No",$E$4,VLOOKUP(Table1578[[#This Row],[Period]],Forecast!$H$2:$L$1048576,3,FALSE)),2)</f>
        <v>0</v>
      </c>
      <c r="L173" s="2">
        <f>Table1578[[#This Row],[Period]]+$E$9</f>
        <v>169</v>
      </c>
      <c r="M173" s="3">
        <f>Table1578[[#This Row],[Defaulted Principal]]-Table1578[[#This Row],[Estimated Loss]]</f>
        <v>0</v>
      </c>
      <c r="N173" s="3">
        <f>IFERROR(VLOOKUP(Table1578[[#This Row],[Period]],$L$16:$M$385,2,FALSE),0)</f>
        <v>0</v>
      </c>
      <c r="O173" s="3">
        <f>Table1578[[#This Row],[Beginning Balance]]-Table1578[[#This Row],[Principal]]-Table1578[[#This Row],[Prepayments]]-Table1578[[#This Row],[Defaulted Principal]]</f>
        <v>0</v>
      </c>
      <c r="P173" s="3">
        <f>Table1578[[#This Row],[Principal]]+Table1578[[#This Row],[Interest]]+Table1578[[#This Row],[Prepayments]]+Table1578[[#This Row],[RecoveredAmount]]</f>
        <v>0</v>
      </c>
      <c r="Q173" s="3">
        <f ca="1">ROUND(Table1578[[#This Row],[Cash Flow]]/((1+ActualRateToUse)^(IF(ISNUMBER(SEARCH("Actual",$C$7)),Table1578[[#This Row],[Running Total]]/365,Table1578[[#This Row],[Period]]/12))),2)</f>
        <v>0</v>
      </c>
      <c r="R173" s="2">
        <f>IF(MONTH(Table1578[[#This Row],[Date]])=2,28,DAY(DATE(YEAR(Table1578[[#This Row],[Date]]),MONTH(Table1578[[#This Row],[Date]])+1,1)-1))</f>
        <v>31</v>
      </c>
      <c r="S173" s="2">
        <f ca="1">SUM(OFFSET(Table1578[[#Headers],[Days in month]],1,0):Table1578[[#This Row],[Days in month]])</f>
        <v>4776</v>
      </c>
      <c r="T173" s="37">
        <f>InterestRate*AmortizationMultiplier*IF(ISNUMBER(SEARCH("Actual",$C$7)),Table1578[[#This Row],[Days in month]]/365,1/12)</f>
        <v>6.2344444444444444E-3</v>
      </c>
    </row>
    <row r="174" spans="2:20" x14ac:dyDescent="0.2">
      <c r="B174" s="1">
        <f t="shared" si="6"/>
        <v>50648</v>
      </c>
      <c r="C174" s="2">
        <f t="shared" si="8"/>
        <v>158</v>
      </c>
      <c r="D174" s="3">
        <f t="shared" si="7"/>
        <v>0</v>
      </c>
      <c r="E174" s="3">
        <f>ROUND(Table1578[[#This Row],[Beginning Balance]]*Table1578[[#This Row],[Monthly Interest Rate]],2)</f>
        <v>0</v>
      </c>
      <c r="F174" s="3">
        <f t="shared" si="9"/>
        <v>-155</v>
      </c>
      <c r="G174" s="23">
        <f>IFERROR(IF($C$13="No","N/A",IF(Table1578[[#This Row],[Period]]=1,$C$6,PMT(InterestRate*AmortizationMultiplier/12,Table1578[[#This Row],[Am Thru]],-Table1578[[#This Row],[Beginning Balance]]))),0)</f>
        <v>0</v>
      </c>
      <c r="H174" s="3">
        <f>MAX(0,IF(C174=$C$4,D174,ROUND(IF($C$3="Fixed Principal",$C$6-Table1578[[#This Row],[Interest]],IF($C$3="Interest Only",Table1578[[#This Row],[Beginning Balance]]*ROUND(1-(1-IF($C$11="No",$E$8,1))^(1/12),6),MIN(IF($C$13="Yes",Table1578[[#This Row],[Payment Amount (Reamortized)]],$C$6)-Table1578[[#This Row],[Interest]],Table1578[[#This Row],[Beginning Balance]]))),2)))</f>
        <v>0</v>
      </c>
      <c r="I174" s="3">
        <f>_xlfn.SINGLE(IF($C$3="Line of Credit",0,ROUND(MAX(MIN(IF($C$10="No",$E$7,VLOOKUP(Table1578[[#This Row],[Period]],Forecast!$H$2:$L$1048576,4,FALSE))*Table1578[[#This Row],[Beginning Balance]],Table1578[[#This Row],[Beginning Balance]]-Table1578[[#This Row],[Principal]]),0),2)))</f>
        <v>0</v>
      </c>
      <c r="J174" s="3">
        <f>ROUND(MIN(Table1578[[#This Row],[Beginning Balance]]*IF($C$8="No",$E$3,VLOOKUP(Table1578[[#This Row],[Period]],Forecast!$H$2:$L$1048576,2,FALSE)),Table1578[[#This Row],[Beginning Balance]]-Table1578[[#This Row],[Principal]]-Table1578[[#This Row],[Prepayments]]),2)</f>
        <v>0</v>
      </c>
      <c r="K174" s="3">
        <f>ROUND(Table1578[[#This Row],[Defaulted Principal]]*IF($C$9="No",$E$4,VLOOKUP(Table1578[[#This Row],[Period]],Forecast!$H$2:$L$1048576,3,FALSE)),2)</f>
        <v>0</v>
      </c>
      <c r="L174" s="2">
        <f>Table1578[[#This Row],[Period]]+$E$9</f>
        <v>170</v>
      </c>
      <c r="M174" s="3">
        <f>Table1578[[#This Row],[Defaulted Principal]]-Table1578[[#This Row],[Estimated Loss]]</f>
        <v>0</v>
      </c>
      <c r="N174" s="3">
        <f>IFERROR(VLOOKUP(Table1578[[#This Row],[Period]],$L$16:$M$385,2,FALSE),0)</f>
        <v>0</v>
      </c>
      <c r="O174" s="3">
        <f>Table1578[[#This Row],[Beginning Balance]]-Table1578[[#This Row],[Principal]]-Table1578[[#This Row],[Prepayments]]-Table1578[[#This Row],[Defaulted Principal]]</f>
        <v>0</v>
      </c>
      <c r="P174" s="3">
        <f>Table1578[[#This Row],[Principal]]+Table1578[[#This Row],[Interest]]+Table1578[[#This Row],[Prepayments]]+Table1578[[#This Row],[RecoveredAmount]]</f>
        <v>0</v>
      </c>
      <c r="Q174" s="3">
        <f ca="1">ROUND(Table1578[[#This Row],[Cash Flow]]/((1+ActualRateToUse)^(IF(ISNUMBER(SEARCH("Actual",$C$7)),Table1578[[#This Row],[Running Total]]/365,Table1578[[#This Row],[Period]]/12))),2)</f>
        <v>0</v>
      </c>
      <c r="R174" s="2">
        <f>IF(MONTH(Table1578[[#This Row],[Date]])=2,28,DAY(DATE(YEAR(Table1578[[#This Row],[Date]]),MONTH(Table1578[[#This Row],[Date]])+1,1)-1))</f>
        <v>31</v>
      </c>
      <c r="S174" s="2">
        <f ca="1">SUM(OFFSET(Table1578[[#Headers],[Days in month]],1,0):Table1578[[#This Row],[Days in month]])</f>
        <v>4807</v>
      </c>
      <c r="T174" s="37">
        <f>InterestRate*AmortizationMultiplier*IF(ISNUMBER(SEARCH("Actual",$C$7)),Table1578[[#This Row],[Days in month]]/365,1/12)</f>
        <v>6.2344444444444444E-3</v>
      </c>
    </row>
    <row r="175" spans="2:20" x14ac:dyDescent="0.2">
      <c r="B175" s="1">
        <f t="shared" si="6"/>
        <v>50678</v>
      </c>
      <c r="C175" s="2">
        <f t="shared" si="8"/>
        <v>159</v>
      </c>
      <c r="D175" s="3">
        <f t="shared" si="7"/>
        <v>0</v>
      </c>
      <c r="E175" s="3">
        <f>ROUND(Table1578[[#This Row],[Beginning Balance]]*Table1578[[#This Row],[Monthly Interest Rate]],2)</f>
        <v>0</v>
      </c>
      <c r="F175" s="3">
        <f t="shared" si="9"/>
        <v>-156</v>
      </c>
      <c r="G175" s="23">
        <f>IFERROR(IF($C$13="No","N/A",IF(Table1578[[#This Row],[Period]]=1,$C$6,PMT(InterestRate*AmortizationMultiplier/12,Table1578[[#This Row],[Am Thru]],-Table1578[[#This Row],[Beginning Balance]]))),0)</f>
        <v>0</v>
      </c>
      <c r="H175" s="3">
        <f>MAX(0,IF(C175=$C$4,D175,ROUND(IF($C$3="Fixed Principal",$C$6-Table1578[[#This Row],[Interest]],IF($C$3="Interest Only",Table1578[[#This Row],[Beginning Balance]]*ROUND(1-(1-IF($C$11="No",$E$8,1))^(1/12),6),MIN(IF($C$13="Yes",Table1578[[#This Row],[Payment Amount (Reamortized)]],$C$6)-Table1578[[#This Row],[Interest]],Table1578[[#This Row],[Beginning Balance]]))),2)))</f>
        <v>0</v>
      </c>
      <c r="I175" s="3">
        <f>_xlfn.SINGLE(IF($C$3="Line of Credit",0,ROUND(MAX(MIN(IF($C$10="No",$E$7,VLOOKUP(Table1578[[#This Row],[Period]],Forecast!$H$2:$L$1048576,4,FALSE))*Table1578[[#This Row],[Beginning Balance]],Table1578[[#This Row],[Beginning Balance]]-Table1578[[#This Row],[Principal]]),0),2)))</f>
        <v>0</v>
      </c>
      <c r="J175" s="3">
        <f>ROUND(MIN(Table1578[[#This Row],[Beginning Balance]]*IF($C$8="No",$E$3,VLOOKUP(Table1578[[#This Row],[Period]],Forecast!$H$2:$L$1048576,2,FALSE)),Table1578[[#This Row],[Beginning Balance]]-Table1578[[#This Row],[Principal]]-Table1578[[#This Row],[Prepayments]]),2)</f>
        <v>0</v>
      </c>
      <c r="K175" s="3">
        <f>ROUND(Table1578[[#This Row],[Defaulted Principal]]*IF($C$9="No",$E$4,VLOOKUP(Table1578[[#This Row],[Period]],Forecast!$H$2:$L$1048576,3,FALSE)),2)</f>
        <v>0</v>
      </c>
      <c r="L175" s="2">
        <f>Table1578[[#This Row],[Period]]+$E$9</f>
        <v>171</v>
      </c>
      <c r="M175" s="3">
        <f>Table1578[[#This Row],[Defaulted Principal]]-Table1578[[#This Row],[Estimated Loss]]</f>
        <v>0</v>
      </c>
      <c r="N175" s="3">
        <f>IFERROR(VLOOKUP(Table1578[[#This Row],[Period]],$L$16:$M$385,2,FALSE),0)</f>
        <v>0</v>
      </c>
      <c r="O175" s="3">
        <f>Table1578[[#This Row],[Beginning Balance]]-Table1578[[#This Row],[Principal]]-Table1578[[#This Row],[Prepayments]]-Table1578[[#This Row],[Defaulted Principal]]</f>
        <v>0</v>
      </c>
      <c r="P175" s="3">
        <f>Table1578[[#This Row],[Principal]]+Table1578[[#This Row],[Interest]]+Table1578[[#This Row],[Prepayments]]+Table1578[[#This Row],[RecoveredAmount]]</f>
        <v>0</v>
      </c>
      <c r="Q175" s="3">
        <f ca="1">ROUND(Table1578[[#This Row],[Cash Flow]]/((1+ActualRateToUse)^(IF(ISNUMBER(SEARCH("Actual",$C$7)),Table1578[[#This Row],[Running Total]]/365,Table1578[[#This Row],[Period]]/12))),2)</f>
        <v>0</v>
      </c>
      <c r="R175" s="2">
        <f>IF(MONTH(Table1578[[#This Row],[Date]])=2,28,DAY(DATE(YEAR(Table1578[[#This Row],[Date]]),MONTH(Table1578[[#This Row],[Date]])+1,1)-1))</f>
        <v>30</v>
      </c>
      <c r="S175" s="2">
        <f ca="1">SUM(OFFSET(Table1578[[#Headers],[Days in month]],1,0):Table1578[[#This Row],[Days in month]])</f>
        <v>4837</v>
      </c>
      <c r="T175" s="37">
        <f>InterestRate*AmortizationMultiplier*IF(ISNUMBER(SEARCH("Actual",$C$7)),Table1578[[#This Row],[Days in month]]/365,1/12)</f>
        <v>6.0333333333333333E-3</v>
      </c>
    </row>
    <row r="176" spans="2:20" x14ac:dyDescent="0.2">
      <c r="B176" s="1">
        <f t="shared" si="6"/>
        <v>50709</v>
      </c>
      <c r="C176" s="2">
        <f t="shared" si="8"/>
        <v>160</v>
      </c>
      <c r="D176" s="3">
        <f t="shared" si="7"/>
        <v>0</v>
      </c>
      <c r="E176" s="3">
        <f>ROUND(Table1578[[#This Row],[Beginning Balance]]*Table1578[[#This Row],[Monthly Interest Rate]],2)</f>
        <v>0</v>
      </c>
      <c r="F176" s="3">
        <f t="shared" si="9"/>
        <v>-157</v>
      </c>
      <c r="G176" s="23">
        <f>IFERROR(IF($C$13="No","N/A",IF(Table1578[[#This Row],[Period]]=1,$C$6,PMT(InterestRate*AmortizationMultiplier/12,Table1578[[#This Row],[Am Thru]],-Table1578[[#This Row],[Beginning Balance]]))),0)</f>
        <v>0</v>
      </c>
      <c r="H176" s="3">
        <f>MAX(0,IF(C176=$C$4,D176,ROUND(IF($C$3="Fixed Principal",$C$6-Table1578[[#This Row],[Interest]],IF($C$3="Interest Only",Table1578[[#This Row],[Beginning Balance]]*ROUND(1-(1-IF($C$11="No",$E$8,1))^(1/12),6),MIN(IF($C$13="Yes",Table1578[[#This Row],[Payment Amount (Reamortized)]],$C$6)-Table1578[[#This Row],[Interest]],Table1578[[#This Row],[Beginning Balance]]))),2)))</f>
        <v>0</v>
      </c>
      <c r="I176" s="3">
        <f>_xlfn.SINGLE(IF($C$3="Line of Credit",0,ROUND(MAX(MIN(IF($C$10="No",$E$7,VLOOKUP(Table1578[[#This Row],[Period]],Forecast!$H$2:$L$1048576,4,FALSE))*Table1578[[#This Row],[Beginning Balance]],Table1578[[#This Row],[Beginning Balance]]-Table1578[[#This Row],[Principal]]),0),2)))</f>
        <v>0</v>
      </c>
      <c r="J176" s="3">
        <f>ROUND(MIN(Table1578[[#This Row],[Beginning Balance]]*IF($C$8="No",$E$3,VLOOKUP(Table1578[[#This Row],[Period]],Forecast!$H$2:$L$1048576,2,FALSE)),Table1578[[#This Row],[Beginning Balance]]-Table1578[[#This Row],[Principal]]-Table1578[[#This Row],[Prepayments]]),2)</f>
        <v>0</v>
      </c>
      <c r="K176" s="3">
        <f>ROUND(Table1578[[#This Row],[Defaulted Principal]]*IF($C$9="No",$E$4,VLOOKUP(Table1578[[#This Row],[Period]],Forecast!$H$2:$L$1048576,3,FALSE)),2)</f>
        <v>0</v>
      </c>
      <c r="L176" s="2">
        <f>Table1578[[#This Row],[Period]]+$E$9</f>
        <v>172</v>
      </c>
      <c r="M176" s="3">
        <f>Table1578[[#This Row],[Defaulted Principal]]-Table1578[[#This Row],[Estimated Loss]]</f>
        <v>0</v>
      </c>
      <c r="N176" s="3">
        <f>IFERROR(VLOOKUP(Table1578[[#This Row],[Period]],$L$16:$M$385,2,FALSE),0)</f>
        <v>0</v>
      </c>
      <c r="O176" s="3">
        <f>Table1578[[#This Row],[Beginning Balance]]-Table1578[[#This Row],[Principal]]-Table1578[[#This Row],[Prepayments]]-Table1578[[#This Row],[Defaulted Principal]]</f>
        <v>0</v>
      </c>
      <c r="P176" s="3">
        <f>Table1578[[#This Row],[Principal]]+Table1578[[#This Row],[Interest]]+Table1578[[#This Row],[Prepayments]]+Table1578[[#This Row],[RecoveredAmount]]</f>
        <v>0</v>
      </c>
      <c r="Q176" s="3">
        <f ca="1">ROUND(Table1578[[#This Row],[Cash Flow]]/((1+ActualRateToUse)^(IF(ISNUMBER(SEARCH("Actual",$C$7)),Table1578[[#This Row],[Running Total]]/365,Table1578[[#This Row],[Period]]/12))),2)</f>
        <v>0</v>
      </c>
      <c r="R176" s="2">
        <f>IF(MONTH(Table1578[[#This Row],[Date]])=2,28,DAY(DATE(YEAR(Table1578[[#This Row],[Date]]),MONTH(Table1578[[#This Row],[Date]])+1,1)-1))</f>
        <v>31</v>
      </c>
      <c r="S176" s="2">
        <f ca="1">SUM(OFFSET(Table1578[[#Headers],[Days in month]],1,0):Table1578[[#This Row],[Days in month]])</f>
        <v>4868</v>
      </c>
      <c r="T176" s="37">
        <f>InterestRate*AmortizationMultiplier*IF(ISNUMBER(SEARCH("Actual",$C$7)),Table1578[[#This Row],[Days in month]]/365,1/12)</f>
        <v>6.2344444444444444E-3</v>
      </c>
    </row>
    <row r="177" spans="2:20" x14ac:dyDescent="0.2">
      <c r="B177" s="1">
        <f t="shared" si="6"/>
        <v>50739</v>
      </c>
      <c r="C177" s="2">
        <f t="shared" si="8"/>
        <v>161</v>
      </c>
      <c r="D177" s="3">
        <f t="shared" si="7"/>
        <v>0</v>
      </c>
      <c r="E177" s="3">
        <f>ROUND(Table1578[[#This Row],[Beginning Balance]]*Table1578[[#This Row],[Monthly Interest Rate]],2)</f>
        <v>0</v>
      </c>
      <c r="F177" s="3">
        <f t="shared" si="9"/>
        <v>-158</v>
      </c>
      <c r="G177" s="23">
        <f>IFERROR(IF($C$13="No","N/A",IF(Table1578[[#This Row],[Period]]=1,$C$6,PMT(InterestRate*AmortizationMultiplier/12,Table1578[[#This Row],[Am Thru]],-Table1578[[#This Row],[Beginning Balance]]))),0)</f>
        <v>0</v>
      </c>
      <c r="H177" s="3">
        <f>MAX(0,IF(C177=$C$4,D177,ROUND(IF($C$3="Fixed Principal",$C$6-Table1578[[#This Row],[Interest]],IF($C$3="Interest Only",Table1578[[#This Row],[Beginning Balance]]*ROUND(1-(1-IF($C$11="No",$E$8,1))^(1/12),6),MIN(IF($C$13="Yes",Table1578[[#This Row],[Payment Amount (Reamortized)]],$C$6)-Table1578[[#This Row],[Interest]],Table1578[[#This Row],[Beginning Balance]]))),2)))</f>
        <v>0</v>
      </c>
      <c r="I177" s="3">
        <f>_xlfn.SINGLE(IF($C$3="Line of Credit",0,ROUND(MAX(MIN(IF($C$10="No",$E$7,VLOOKUP(Table1578[[#This Row],[Period]],Forecast!$H$2:$L$1048576,4,FALSE))*Table1578[[#This Row],[Beginning Balance]],Table1578[[#This Row],[Beginning Balance]]-Table1578[[#This Row],[Principal]]),0),2)))</f>
        <v>0</v>
      </c>
      <c r="J177" s="3">
        <f>ROUND(MIN(Table1578[[#This Row],[Beginning Balance]]*IF($C$8="No",$E$3,VLOOKUP(Table1578[[#This Row],[Period]],Forecast!$H$2:$L$1048576,2,FALSE)),Table1578[[#This Row],[Beginning Balance]]-Table1578[[#This Row],[Principal]]-Table1578[[#This Row],[Prepayments]]),2)</f>
        <v>0</v>
      </c>
      <c r="K177" s="3">
        <f>ROUND(Table1578[[#This Row],[Defaulted Principal]]*IF($C$9="No",$E$4,VLOOKUP(Table1578[[#This Row],[Period]],Forecast!$H$2:$L$1048576,3,FALSE)),2)</f>
        <v>0</v>
      </c>
      <c r="L177" s="2">
        <f>Table1578[[#This Row],[Period]]+$E$9</f>
        <v>173</v>
      </c>
      <c r="M177" s="3">
        <f>Table1578[[#This Row],[Defaulted Principal]]-Table1578[[#This Row],[Estimated Loss]]</f>
        <v>0</v>
      </c>
      <c r="N177" s="3">
        <f>IFERROR(VLOOKUP(Table1578[[#This Row],[Period]],$L$16:$M$385,2,FALSE),0)</f>
        <v>0</v>
      </c>
      <c r="O177" s="3">
        <f>Table1578[[#This Row],[Beginning Balance]]-Table1578[[#This Row],[Principal]]-Table1578[[#This Row],[Prepayments]]-Table1578[[#This Row],[Defaulted Principal]]</f>
        <v>0</v>
      </c>
      <c r="P177" s="3">
        <f>Table1578[[#This Row],[Principal]]+Table1578[[#This Row],[Interest]]+Table1578[[#This Row],[Prepayments]]+Table1578[[#This Row],[RecoveredAmount]]</f>
        <v>0</v>
      </c>
      <c r="Q177" s="3">
        <f ca="1">ROUND(Table1578[[#This Row],[Cash Flow]]/((1+ActualRateToUse)^(IF(ISNUMBER(SEARCH("Actual",$C$7)),Table1578[[#This Row],[Running Total]]/365,Table1578[[#This Row],[Period]]/12))),2)</f>
        <v>0</v>
      </c>
      <c r="R177" s="2">
        <f>IF(MONTH(Table1578[[#This Row],[Date]])=2,28,DAY(DATE(YEAR(Table1578[[#This Row],[Date]]),MONTH(Table1578[[#This Row],[Date]])+1,1)-1))</f>
        <v>30</v>
      </c>
      <c r="S177" s="2">
        <f ca="1">SUM(OFFSET(Table1578[[#Headers],[Days in month]],1,0):Table1578[[#This Row],[Days in month]])</f>
        <v>4898</v>
      </c>
      <c r="T177" s="37">
        <f>InterestRate*AmortizationMultiplier*IF(ISNUMBER(SEARCH("Actual",$C$7)),Table1578[[#This Row],[Days in month]]/365,1/12)</f>
        <v>6.0333333333333333E-3</v>
      </c>
    </row>
    <row r="178" spans="2:20" x14ac:dyDescent="0.2">
      <c r="B178" s="1">
        <f t="shared" si="6"/>
        <v>50770</v>
      </c>
      <c r="C178" s="2">
        <f t="shared" si="8"/>
        <v>162</v>
      </c>
      <c r="D178" s="3">
        <f t="shared" si="7"/>
        <v>0</v>
      </c>
      <c r="E178" s="3">
        <f>ROUND(Table1578[[#This Row],[Beginning Balance]]*Table1578[[#This Row],[Monthly Interest Rate]],2)</f>
        <v>0</v>
      </c>
      <c r="F178" s="3">
        <f t="shared" si="9"/>
        <v>-159</v>
      </c>
      <c r="G178" s="23">
        <f>IFERROR(IF($C$13="No","N/A",IF(Table1578[[#This Row],[Period]]=1,$C$6,PMT(InterestRate*AmortizationMultiplier/12,Table1578[[#This Row],[Am Thru]],-Table1578[[#This Row],[Beginning Balance]]))),0)</f>
        <v>0</v>
      </c>
      <c r="H178" s="3">
        <f>MAX(0,IF(C178=$C$4,D178,ROUND(IF($C$3="Fixed Principal",$C$6-Table1578[[#This Row],[Interest]],IF($C$3="Interest Only",Table1578[[#This Row],[Beginning Balance]]*ROUND(1-(1-IF($C$11="No",$E$8,1))^(1/12),6),MIN(IF($C$13="Yes",Table1578[[#This Row],[Payment Amount (Reamortized)]],$C$6)-Table1578[[#This Row],[Interest]],Table1578[[#This Row],[Beginning Balance]]))),2)))</f>
        <v>0</v>
      </c>
      <c r="I178" s="3">
        <f>_xlfn.SINGLE(IF($C$3="Line of Credit",0,ROUND(MAX(MIN(IF($C$10="No",$E$7,VLOOKUP(Table1578[[#This Row],[Period]],Forecast!$H$2:$L$1048576,4,FALSE))*Table1578[[#This Row],[Beginning Balance]],Table1578[[#This Row],[Beginning Balance]]-Table1578[[#This Row],[Principal]]),0),2)))</f>
        <v>0</v>
      </c>
      <c r="J178" s="3">
        <f>ROUND(MIN(Table1578[[#This Row],[Beginning Balance]]*IF($C$8="No",$E$3,VLOOKUP(Table1578[[#This Row],[Period]],Forecast!$H$2:$L$1048576,2,FALSE)),Table1578[[#This Row],[Beginning Balance]]-Table1578[[#This Row],[Principal]]-Table1578[[#This Row],[Prepayments]]),2)</f>
        <v>0</v>
      </c>
      <c r="K178" s="3">
        <f>ROUND(Table1578[[#This Row],[Defaulted Principal]]*IF($C$9="No",$E$4,VLOOKUP(Table1578[[#This Row],[Period]],Forecast!$H$2:$L$1048576,3,FALSE)),2)</f>
        <v>0</v>
      </c>
      <c r="L178" s="2">
        <f>Table1578[[#This Row],[Period]]+$E$9</f>
        <v>174</v>
      </c>
      <c r="M178" s="3">
        <f>Table1578[[#This Row],[Defaulted Principal]]-Table1578[[#This Row],[Estimated Loss]]</f>
        <v>0</v>
      </c>
      <c r="N178" s="3">
        <f>IFERROR(VLOOKUP(Table1578[[#This Row],[Period]],$L$16:$M$385,2,FALSE),0)</f>
        <v>0</v>
      </c>
      <c r="O178" s="3">
        <f>Table1578[[#This Row],[Beginning Balance]]-Table1578[[#This Row],[Principal]]-Table1578[[#This Row],[Prepayments]]-Table1578[[#This Row],[Defaulted Principal]]</f>
        <v>0</v>
      </c>
      <c r="P178" s="3">
        <f>Table1578[[#This Row],[Principal]]+Table1578[[#This Row],[Interest]]+Table1578[[#This Row],[Prepayments]]+Table1578[[#This Row],[RecoveredAmount]]</f>
        <v>0</v>
      </c>
      <c r="Q178" s="3">
        <f ca="1">ROUND(Table1578[[#This Row],[Cash Flow]]/((1+ActualRateToUse)^(IF(ISNUMBER(SEARCH("Actual",$C$7)),Table1578[[#This Row],[Running Total]]/365,Table1578[[#This Row],[Period]]/12))),2)</f>
        <v>0</v>
      </c>
      <c r="R178" s="2">
        <f>IF(MONTH(Table1578[[#This Row],[Date]])=2,28,DAY(DATE(YEAR(Table1578[[#This Row],[Date]]),MONTH(Table1578[[#This Row],[Date]])+1,1)-1))</f>
        <v>31</v>
      </c>
      <c r="S178" s="2">
        <f ca="1">SUM(OFFSET(Table1578[[#Headers],[Days in month]],1,0):Table1578[[#This Row],[Days in month]])</f>
        <v>4929</v>
      </c>
      <c r="T178" s="37">
        <f>InterestRate*AmortizationMultiplier*IF(ISNUMBER(SEARCH("Actual",$C$7)),Table1578[[#This Row],[Days in month]]/365,1/12)</f>
        <v>6.2344444444444444E-3</v>
      </c>
    </row>
    <row r="179" spans="2:20" x14ac:dyDescent="0.2">
      <c r="B179" s="1">
        <f t="shared" si="6"/>
        <v>50801</v>
      </c>
      <c r="C179" s="2">
        <f t="shared" si="8"/>
        <v>163</v>
      </c>
      <c r="D179" s="3">
        <f t="shared" si="7"/>
        <v>0</v>
      </c>
      <c r="E179" s="3">
        <f>ROUND(Table1578[[#This Row],[Beginning Balance]]*Table1578[[#This Row],[Monthly Interest Rate]],2)</f>
        <v>0</v>
      </c>
      <c r="F179" s="3">
        <f t="shared" si="9"/>
        <v>-160</v>
      </c>
      <c r="G179" s="23">
        <f>IFERROR(IF($C$13="No","N/A",IF(Table1578[[#This Row],[Period]]=1,$C$6,PMT(InterestRate*AmortizationMultiplier/12,Table1578[[#This Row],[Am Thru]],-Table1578[[#This Row],[Beginning Balance]]))),0)</f>
        <v>0</v>
      </c>
      <c r="H179" s="3">
        <f>MAX(0,IF(C179=$C$4,D179,ROUND(IF($C$3="Fixed Principal",$C$6-Table1578[[#This Row],[Interest]],IF($C$3="Interest Only",Table1578[[#This Row],[Beginning Balance]]*ROUND(1-(1-IF($C$11="No",$E$8,1))^(1/12),6),MIN(IF($C$13="Yes",Table1578[[#This Row],[Payment Amount (Reamortized)]],$C$6)-Table1578[[#This Row],[Interest]],Table1578[[#This Row],[Beginning Balance]]))),2)))</f>
        <v>0</v>
      </c>
      <c r="I179" s="3">
        <f>_xlfn.SINGLE(IF($C$3="Line of Credit",0,ROUND(MAX(MIN(IF($C$10="No",$E$7,VLOOKUP(Table1578[[#This Row],[Period]],Forecast!$H$2:$L$1048576,4,FALSE))*Table1578[[#This Row],[Beginning Balance]],Table1578[[#This Row],[Beginning Balance]]-Table1578[[#This Row],[Principal]]),0),2)))</f>
        <v>0</v>
      </c>
      <c r="J179" s="3">
        <f>ROUND(MIN(Table1578[[#This Row],[Beginning Balance]]*IF($C$8="No",$E$3,VLOOKUP(Table1578[[#This Row],[Period]],Forecast!$H$2:$L$1048576,2,FALSE)),Table1578[[#This Row],[Beginning Balance]]-Table1578[[#This Row],[Principal]]-Table1578[[#This Row],[Prepayments]]),2)</f>
        <v>0</v>
      </c>
      <c r="K179" s="3">
        <f>ROUND(Table1578[[#This Row],[Defaulted Principal]]*IF($C$9="No",$E$4,VLOOKUP(Table1578[[#This Row],[Period]],Forecast!$H$2:$L$1048576,3,FALSE)),2)</f>
        <v>0</v>
      </c>
      <c r="L179" s="2">
        <f>Table1578[[#This Row],[Period]]+$E$9</f>
        <v>175</v>
      </c>
      <c r="M179" s="3">
        <f>Table1578[[#This Row],[Defaulted Principal]]-Table1578[[#This Row],[Estimated Loss]]</f>
        <v>0</v>
      </c>
      <c r="N179" s="3">
        <f>IFERROR(VLOOKUP(Table1578[[#This Row],[Period]],$L$16:$M$385,2,FALSE),0)</f>
        <v>0</v>
      </c>
      <c r="O179" s="3">
        <f>Table1578[[#This Row],[Beginning Balance]]-Table1578[[#This Row],[Principal]]-Table1578[[#This Row],[Prepayments]]-Table1578[[#This Row],[Defaulted Principal]]</f>
        <v>0</v>
      </c>
      <c r="P179" s="3">
        <f>Table1578[[#This Row],[Principal]]+Table1578[[#This Row],[Interest]]+Table1578[[#This Row],[Prepayments]]+Table1578[[#This Row],[RecoveredAmount]]</f>
        <v>0</v>
      </c>
      <c r="Q179" s="3">
        <f ca="1">ROUND(Table1578[[#This Row],[Cash Flow]]/((1+ActualRateToUse)^(IF(ISNUMBER(SEARCH("Actual",$C$7)),Table1578[[#This Row],[Running Total]]/365,Table1578[[#This Row],[Period]]/12))),2)</f>
        <v>0</v>
      </c>
      <c r="R179" s="2">
        <f>IF(MONTH(Table1578[[#This Row],[Date]])=2,28,DAY(DATE(YEAR(Table1578[[#This Row],[Date]]),MONTH(Table1578[[#This Row],[Date]])+1,1)-1))</f>
        <v>31</v>
      </c>
      <c r="S179" s="2">
        <f ca="1">SUM(OFFSET(Table1578[[#Headers],[Days in month]],1,0):Table1578[[#This Row],[Days in month]])</f>
        <v>4960</v>
      </c>
      <c r="T179" s="37">
        <f>InterestRate*AmortizationMultiplier*IF(ISNUMBER(SEARCH("Actual",$C$7)),Table1578[[#This Row],[Days in month]]/365,1/12)</f>
        <v>6.2344444444444444E-3</v>
      </c>
    </row>
    <row r="180" spans="2:20" x14ac:dyDescent="0.2">
      <c r="B180" s="1">
        <f t="shared" si="6"/>
        <v>50829</v>
      </c>
      <c r="C180" s="2">
        <f t="shared" si="8"/>
        <v>164</v>
      </c>
      <c r="D180" s="3">
        <f t="shared" si="7"/>
        <v>0</v>
      </c>
      <c r="E180" s="3">
        <f>ROUND(Table1578[[#This Row],[Beginning Balance]]*Table1578[[#This Row],[Monthly Interest Rate]],2)</f>
        <v>0</v>
      </c>
      <c r="F180" s="3">
        <f t="shared" si="9"/>
        <v>-161</v>
      </c>
      <c r="G180" s="23">
        <f>IFERROR(IF($C$13="No","N/A",IF(Table1578[[#This Row],[Period]]=1,$C$6,PMT(InterestRate*AmortizationMultiplier/12,Table1578[[#This Row],[Am Thru]],-Table1578[[#This Row],[Beginning Balance]]))),0)</f>
        <v>0</v>
      </c>
      <c r="H180" s="3">
        <f>MAX(0,IF(C180=$C$4,D180,ROUND(IF($C$3="Fixed Principal",$C$6-Table1578[[#This Row],[Interest]],IF($C$3="Interest Only",Table1578[[#This Row],[Beginning Balance]]*ROUND(1-(1-IF($C$11="No",$E$8,1))^(1/12),6),MIN(IF($C$13="Yes",Table1578[[#This Row],[Payment Amount (Reamortized)]],$C$6)-Table1578[[#This Row],[Interest]],Table1578[[#This Row],[Beginning Balance]]))),2)))</f>
        <v>0</v>
      </c>
      <c r="I180" s="3">
        <f>_xlfn.SINGLE(IF($C$3="Line of Credit",0,ROUND(MAX(MIN(IF($C$10="No",$E$7,VLOOKUP(Table1578[[#This Row],[Period]],Forecast!$H$2:$L$1048576,4,FALSE))*Table1578[[#This Row],[Beginning Balance]],Table1578[[#This Row],[Beginning Balance]]-Table1578[[#This Row],[Principal]]),0),2)))</f>
        <v>0</v>
      </c>
      <c r="J180" s="3">
        <f>ROUND(MIN(Table1578[[#This Row],[Beginning Balance]]*IF($C$8="No",$E$3,VLOOKUP(Table1578[[#This Row],[Period]],Forecast!$H$2:$L$1048576,2,FALSE)),Table1578[[#This Row],[Beginning Balance]]-Table1578[[#This Row],[Principal]]-Table1578[[#This Row],[Prepayments]]),2)</f>
        <v>0</v>
      </c>
      <c r="K180" s="3">
        <f>ROUND(Table1578[[#This Row],[Defaulted Principal]]*IF($C$9="No",$E$4,VLOOKUP(Table1578[[#This Row],[Period]],Forecast!$H$2:$L$1048576,3,FALSE)),2)</f>
        <v>0</v>
      </c>
      <c r="L180" s="2">
        <f>Table1578[[#This Row],[Period]]+$E$9</f>
        <v>176</v>
      </c>
      <c r="M180" s="3">
        <f>Table1578[[#This Row],[Defaulted Principal]]-Table1578[[#This Row],[Estimated Loss]]</f>
        <v>0</v>
      </c>
      <c r="N180" s="3">
        <f>IFERROR(VLOOKUP(Table1578[[#This Row],[Period]],$L$16:$M$385,2,FALSE),0)</f>
        <v>0</v>
      </c>
      <c r="O180" s="3">
        <f>Table1578[[#This Row],[Beginning Balance]]-Table1578[[#This Row],[Principal]]-Table1578[[#This Row],[Prepayments]]-Table1578[[#This Row],[Defaulted Principal]]</f>
        <v>0</v>
      </c>
      <c r="P180" s="3">
        <f>Table1578[[#This Row],[Principal]]+Table1578[[#This Row],[Interest]]+Table1578[[#This Row],[Prepayments]]+Table1578[[#This Row],[RecoveredAmount]]</f>
        <v>0</v>
      </c>
      <c r="Q180" s="3">
        <f ca="1">ROUND(Table1578[[#This Row],[Cash Flow]]/((1+ActualRateToUse)^(IF(ISNUMBER(SEARCH("Actual",$C$7)),Table1578[[#This Row],[Running Total]]/365,Table1578[[#This Row],[Period]]/12))),2)</f>
        <v>0</v>
      </c>
      <c r="R180" s="2">
        <f>IF(MONTH(Table1578[[#This Row],[Date]])=2,28,DAY(DATE(YEAR(Table1578[[#This Row],[Date]]),MONTH(Table1578[[#This Row],[Date]])+1,1)-1))</f>
        <v>28</v>
      </c>
      <c r="S180" s="2">
        <f ca="1">SUM(OFFSET(Table1578[[#Headers],[Days in month]],1,0):Table1578[[#This Row],[Days in month]])</f>
        <v>4988</v>
      </c>
      <c r="T180" s="37">
        <f>InterestRate*AmortizationMultiplier*IF(ISNUMBER(SEARCH("Actual",$C$7)),Table1578[[#This Row],[Days in month]]/365,1/12)</f>
        <v>5.6311111111111119E-3</v>
      </c>
    </row>
    <row r="181" spans="2:20" x14ac:dyDescent="0.2">
      <c r="B181" s="1">
        <f t="shared" si="6"/>
        <v>50860</v>
      </c>
      <c r="C181" s="2">
        <f t="shared" si="8"/>
        <v>165</v>
      </c>
      <c r="D181" s="3">
        <f t="shared" si="7"/>
        <v>0</v>
      </c>
      <c r="E181" s="3">
        <f>ROUND(Table1578[[#This Row],[Beginning Balance]]*Table1578[[#This Row],[Monthly Interest Rate]],2)</f>
        <v>0</v>
      </c>
      <c r="F181" s="3">
        <f t="shared" si="9"/>
        <v>-162</v>
      </c>
      <c r="G181" s="23">
        <f>IFERROR(IF($C$13="No","N/A",IF(Table1578[[#This Row],[Period]]=1,$C$6,PMT(InterestRate*AmortizationMultiplier/12,Table1578[[#This Row],[Am Thru]],-Table1578[[#This Row],[Beginning Balance]]))),0)</f>
        <v>0</v>
      </c>
      <c r="H181" s="3">
        <f>MAX(0,IF(C181=$C$4,D181,ROUND(IF($C$3="Fixed Principal",$C$6-Table1578[[#This Row],[Interest]],IF($C$3="Interest Only",Table1578[[#This Row],[Beginning Balance]]*ROUND(1-(1-IF($C$11="No",$E$8,1))^(1/12),6),MIN(IF($C$13="Yes",Table1578[[#This Row],[Payment Amount (Reamortized)]],$C$6)-Table1578[[#This Row],[Interest]],Table1578[[#This Row],[Beginning Balance]]))),2)))</f>
        <v>0</v>
      </c>
      <c r="I181" s="3">
        <f>_xlfn.SINGLE(IF($C$3="Line of Credit",0,ROUND(MAX(MIN(IF($C$10="No",$E$7,VLOOKUP(Table1578[[#This Row],[Period]],Forecast!$H$2:$L$1048576,4,FALSE))*Table1578[[#This Row],[Beginning Balance]],Table1578[[#This Row],[Beginning Balance]]-Table1578[[#This Row],[Principal]]),0),2)))</f>
        <v>0</v>
      </c>
      <c r="J181" s="3">
        <f>ROUND(MIN(Table1578[[#This Row],[Beginning Balance]]*IF($C$8="No",$E$3,VLOOKUP(Table1578[[#This Row],[Period]],Forecast!$H$2:$L$1048576,2,FALSE)),Table1578[[#This Row],[Beginning Balance]]-Table1578[[#This Row],[Principal]]-Table1578[[#This Row],[Prepayments]]),2)</f>
        <v>0</v>
      </c>
      <c r="K181" s="3">
        <f>ROUND(Table1578[[#This Row],[Defaulted Principal]]*IF($C$9="No",$E$4,VLOOKUP(Table1578[[#This Row],[Period]],Forecast!$H$2:$L$1048576,3,FALSE)),2)</f>
        <v>0</v>
      </c>
      <c r="L181" s="2">
        <f>Table1578[[#This Row],[Period]]+$E$9</f>
        <v>177</v>
      </c>
      <c r="M181" s="3">
        <f>Table1578[[#This Row],[Defaulted Principal]]-Table1578[[#This Row],[Estimated Loss]]</f>
        <v>0</v>
      </c>
      <c r="N181" s="3">
        <f>IFERROR(VLOOKUP(Table1578[[#This Row],[Period]],$L$16:$M$385,2,FALSE),0)</f>
        <v>0</v>
      </c>
      <c r="O181" s="3">
        <f>Table1578[[#This Row],[Beginning Balance]]-Table1578[[#This Row],[Principal]]-Table1578[[#This Row],[Prepayments]]-Table1578[[#This Row],[Defaulted Principal]]</f>
        <v>0</v>
      </c>
      <c r="P181" s="3">
        <f>Table1578[[#This Row],[Principal]]+Table1578[[#This Row],[Interest]]+Table1578[[#This Row],[Prepayments]]+Table1578[[#This Row],[RecoveredAmount]]</f>
        <v>0</v>
      </c>
      <c r="Q181" s="3">
        <f ca="1">ROUND(Table1578[[#This Row],[Cash Flow]]/((1+ActualRateToUse)^(IF(ISNUMBER(SEARCH("Actual",$C$7)),Table1578[[#This Row],[Running Total]]/365,Table1578[[#This Row],[Period]]/12))),2)</f>
        <v>0</v>
      </c>
      <c r="R181" s="2">
        <f>IF(MONTH(Table1578[[#This Row],[Date]])=2,28,DAY(DATE(YEAR(Table1578[[#This Row],[Date]]),MONTH(Table1578[[#This Row],[Date]])+1,1)-1))</f>
        <v>31</v>
      </c>
      <c r="S181" s="2">
        <f ca="1">SUM(OFFSET(Table1578[[#Headers],[Days in month]],1,0):Table1578[[#This Row],[Days in month]])</f>
        <v>5019</v>
      </c>
      <c r="T181" s="37">
        <f>InterestRate*AmortizationMultiplier*IF(ISNUMBER(SEARCH("Actual",$C$7)),Table1578[[#This Row],[Days in month]]/365,1/12)</f>
        <v>6.2344444444444444E-3</v>
      </c>
    </row>
    <row r="182" spans="2:20" x14ac:dyDescent="0.2">
      <c r="B182" s="1">
        <f t="shared" si="6"/>
        <v>50890</v>
      </c>
      <c r="C182" s="2">
        <f t="shared" si="8"/>
        <v>166</v>
      </c>
      <c r="D182" s="3">
        <f t="shared" si="7"/>
        <v>0</v>
      </c>
      <c r="E182" s="3">
        <f>ROUND(Table1578[[#This Row],[Beginning Balance]]*Table1578[[#This Row],[Monthly Interest Rate]],2)</f>
        <v>0</v>
      </c>
      <c r="F182" s="3">
        <f t="shared" si="9"/>
        <v>-163</v>
      </c>
      <c r="G182" s="23">
        <f>IFERROR(IF($C$13="No","N/A",IF(Table1578[[#This Row],[Period]]=1,$C$6,PMT(InterestRate*AmortizationMultiplier/12,Table1578[[#This Row],[Am Thru]],-Table1578[[#This Row],[Beginning Balance]]))),0)</f>
        <v>0</v>
      </c>
      <c r="H182" s="3">
        <f>MAX(0,IF(C182=$C$4,D182,ROUND(IF($C$3="Fixed Principal",$C$6-Table1578[[#This Row],[Interest]],IF($C$3="Interest Only",Table1578[[#This Row],[Beginning Balance]]*ROUND(1-(1-IF($C$11="No",$E$8,1))^(1/12),6),MIN(IF($C$13="Yes",Table1578[[#This Row],[Payment Amount (Reamortized)]],$C$6)-Table1578[[#This Row],[Interest]],Table1578[[#This Row],[Beginning Balance]]))),2)))</f>
        <v>0</v>
      </c>
      <c r="I182" s="3">
        <f>_xlfn.SINGLE(IF($C$3="Line of Credit",0,ROUND(MAX(MIN(IF($C$10="No",$E$7,VLOOKUP(Table1578[[#This Row],[Period]],Forecast!$H$2:$L$1048576,4,FALSE))*Table1578[[#This Row],[Beginning Balance]],Table1578[[#This Row],[Beginning Balance]]-Table1578[[#This Row],[Principal]]),0),2)))</f>
        <v>0</v>
      </c>
      <c r="J182" s="3">
        <f>ROUND(MIN(Table1578[[#This Row],[Beginning Balance]]*IF($C$8="No",$E$3,VLOOKUP(Table1578[[#This Row],[Period]],Forecast!$H$2:$L$1048576,2,FALSE)),Table1578[[#This Row],[Beginning Balance]]-Table1578[[#This Row],[Principal]]-Table1578[[#This Row],[Prepayments]]),2)</f>
        <v>0</v>
      </c>
      <c r="K182" s="3">
        <f>ROUND(Table1578[[#This Row],[Defaulted Principal]]*IF($C$9="No",$E$4,VLOOKUP(Table1578[[#This Row],[Period]],Forecast!$H$2:$L$1048576,3,FALSE)),2)</f>
        <v>0</v>
      </c>
      <c r="L182" s="2">
        <f>Table1578[[#This Row],[Period]]+$E$9</f>
        <v>178</v>
      </c>
      <c r="M182" s="3">
        <f>Table1578[[#This Row],[Defaulted Principal]]-Table1578[[#This Row],[Estimated Loss]]</f>
        <v>0</v>
      </c>
      <c r="N182" s="3">
        <f>IFERROR(VLOOKUP(Table1578[[#This Row],[Period]],$L$16:$M$385,2,FALSE),0)</f>
        <v>0</v>
      </c>
      <c r="O182" s="3">
        <f>Table1578[[#This Row],[Beginning Balance]]-Table1578[[#This Row],[Principal]]-Table1578[[#This Row],[Prepayments]]-Table1578[[#This Row],[Defaulted Principal]]</f>
        <v>0</v>
      </c>
      <c r="P182" s="3">
        <f>Table1578[[#This Row],[Principal]]+Table1578[[#This Row],[Interest]]+Table1578[[#This Row],[Prepayments]]+Table1578[[#This Row],[RecoveredAmount]]</f>
        <v>0</v>
      </c>
      <c r="Q182" s="3">
        <f ca="1">ROUND(Table1578[[#This Row],[Cash Flow]]/((1+ActualRateToUse)^(IF(ISNUMBER(SEARCH("Actual",$C$7)),Table1578[[#This Row],[Running Total]]/365,Table1578[[#This Row],[Period]]/12))),2)</f>
        <v>0</v>
      </c>
      <c r="R182" s="2">
        <f>IF(MONTH(Table1578[[#This Row],[Date]])=2,28,DAY(DATE(YEAR(Table1578[[#This Row],[Date]]),MONTH(Table1578[[#This Row],[Date]])+1,1)-1))</f>
        <v>30</v>
      </c>
      <c r="S182" s="2">
        <f ca="1">SUM(OFFSET(Table1578[[#Headers],[Days in month]],1,0):Table1578[[#This Row],[Days in month]])</f>
        <v>5049</v>
      </c>
      <c r="T182" s="37">
        <f>InterestRate*AmortizationMultiplier*IF(ISNUMBER(SEARCH("Actual",$C$7)),Table1578[[#This Row],[Days in month]]/365,1/12)</f>
        <v>6.0333333333333333E-3</v>
      </c>
    </row>
    <row r="183" spans="2:20" x14ac:dyDescent="0.2">
      <c r="B183" s="1">
        <f t="shared" si="6"/>
        <v>50921</v>
      </c>
      <c r="C183" s="2">
        <f t="shared" si="8"/>
        <v>167</v>
      </c>
      <c r="D183" s="3">
        <f t="shared" si="7"/>
        <v>0</v>
      </c>
      <c r="E183" s="3">
        <f>ROUND(Table1578[[#This Row],[Beginning Balance]]*Table1578[[#This Row],[Monthly Interest Rate]],2)</f>
        <v>0</v>
      </c>
      <c r="F183" s="3">
        <f t="shared" si="9"/>
        <v>-164</v>
      </c>
      <c r="G183" s="23">
        <f>IFERROR(IF($C$13="No","N/A",IF(Table1578[[#This Row],[Period]]=1,$C$6,PMT(InterestRate*AmortizationMultiplier/12,Table1578[[#This Row],[Am Thru]],-Table1578[[#This Row],[Beginning Balance]]))),0)</f>
        <v>0</v>
      </c>
      <c r="H183" s="3">
        <f>MAX(0,IF(C183=$C$4,D183,ROUND(IF($C$3="Fixed Principal",$C$6-Table1578[[#This Row],[Interest]],IF($C$3="Interest Only",Table1578[[#This Row],[Beginning Balance]]*ROUND(1-(1-IF($C$11="No",$E$8,1))^(1/12),6),MIN(IF($C$13="Yes",Table1578[[#This Row],[Payment Amount (Reamortized)]],$C$6)-Table1578[[#This Row],[Interest]],Table1578[[#This Row],[Beginning Balance]]))),2)))</f>
        <v>0</v>
      </c>
      <c r="I183" s="3">
        <f>_xlfn.SINGLE(IF($C$3="Line of Credit",0,ROUND(MAX(MIN(IF($C$10="No",$E$7,VLOOKUP(Table1578[[#This Row],[Period]],Forecast!$H$2:$L$1048576,4,FALSE))*Table1578[[#This Row],[Beginning Balance]],Table1578[[#This Row],[Beginning Balance]]-Table1578[[#This Row],[Principal]]),0),2)))</f>
        <v>0</v>
      </c>
      <c r="J183" s="3">
        <f>ROUND(MIN(Table1578[[#This Row],[Beginning Balance]]*IF($C$8="No",$E$3,VLOOKUP(Table1578[[#This Row],[Period]],Forecast!$H$2:$L$1048576,2,FALSE)),Table1578[[#This Row],[Beginning Balance]]-Table1578[[#This Row],[Principal]]-Table1578[[#This Row],[Prepayments]]),2)</f>
        <v>0</v>
      </c>
      <c r="K183" s="3">
        <f>ROUND(Table1578[[#This Row],[Defaulted Principal]]*IF($C$9="No",$E$4,VLOOKUP(Table1578[[#This Row],[Period]],Forecast!$H$2:$L$1048576,3,FALSE)),2)</f>
        <v>0</v>
      </c>
      <c r="L183" s="2">
        <f>Table1578[[#This Row],[Period]]+$E$9</f>
        <v>179</v>
      </c>
      <c r="M183" s="3">
        <f>Table1578[[#This Row],[Defaulted Principal]]-Table1578[[#This Row],[Estimated Loss]]</f>
        <v>0</v>
      </c>
      <c r="N183" s="3">
        <f>IFERROR(VLOOKUP(Table1578[[#This Row],[Period]],$L$16:$M$385,2,FALSE),0)</f>
        <v>0</v>
      </c>
      <c r="O183" s="3">
        <f>Table1578[[#This Row],[Beginning Balance]]-Table1578[[#This Row],[Principal]]-Table1578[[#This Row],[Prepayments]]-Table1578[[#This Row],[Defaulted Principal]]</f>
        <v>0</v>
      </c>
      <c r="P183" s="3">
        <f>Table1578[[#This Row],[Principal]]+Table1578[[#This Row],[Interest]]+Table1578[[#This Row],[Prepayments]]+Table1578[[#This Row],[RecoveredAmount]]</f>
        <v>0</v>
      </c>
      <c r="Q183" s="3">
        <f ca="1">ROUND(Table1578[[#This Row],[Cash Flow]]/((1+ActualRateToUse)^(IF(ISNUMBER(SEARCH("Actual",$C$7)),Table1578[[#This Row],[Running Total]]/365,Table1578[[#This Row],[Period]]/12))),2)</f>
        <v>0</v>
      </c>
      <c r="R183" s="2">
        <f>IF(MONTH(Table1578[[#This Row],[Date]])=2,28,DAY(DATE(YEAR(Table1578[[#This Row],[Date]]),MONTH(Table1578[[#This Row],[Date]])+1,1)-1))</f>
        <v>31</v>
      </c>
      <c r="S183" s="2">
        <f ca="1">SUM(OFFSET(Table1578[[#Headers],[Days in month]],1,0):Table1578[[#This Row],[Days in month]])</f>
        <v>5080</v>
      </c>
      <c r="T183" s="37">
        <f>InterestRate*AmortizationMultiplier*IF(ISNUMBER(SEARCH("Actual",$C$7)),Table1578[[#This Row],[Days in month]]/365,1/12)</f>
        <v>6.2344444444444444E-3</v>
      </c>
    </row>
    <row r="184" spans="2:20" x14ac:dyDescent="0.2">
      <c r="B184" s="1">
        <f t="shared" si="6"/>
        <v>50951</v>
      </c>
      <c r="C184" s="2">
        <f t="shared" si="8"/>
        <v>168</v>
      </c>
      <c r="D184" s="3">
        <f t="shared" si="7"/>
        <v>0</v>
      </c>
      <c r="E184" s="3">
        <f>ROUND(Table1578[[#This Row],[Beginning Balance]]*Table1578[[#This Row],[Monthly Interest Rate]],2)</f>
        <v>0</v>
      </c>
      <c r="F184" s="3">
        <f t="shared" si="9"/>
        <v>-165</v>
      </c>
      <c r="G184" s="23">
        <f>IFERROR(IF($C$13="No","N/A",IF(Table1578[[#This Row],[Period]]=1,$C$6,PMT(InterestRate*AmortizationMultiplier/12,Table1578[[#This Row],[Am Thru]],-Table1578[[#This Row],[Beginning Balance]]))),0)</f>
        <v>0</v>
      </c>
      <c r="H184" s="3">
        <f>MAX(0,IF(C184=$C$4,D184,ROUND(IF($C$3="Fixed Principal",$C$6-Table1578[[#This Row],[Interest]],IF($C$3="Interest Only",Table1578[[#This Row],[Beginning Balance]]*ROUND(1-(1-IF($C$11="No",$E$8,1))^(1/12),6),MIN(IF($C$13="Yes",Table1578[[#This Row],[Payment Amount (Reamortized)]],$C$6)-Table1578[[#This Row],[Interest]],Table1578[[#This Row],[Beginning Balance]]))),2)))</f>
        <v>0</v>
      </c>
      <c r="I184" s="3">
        <f>_xlfn.SINGLE(IF($C$3="Line of Credit",0,ROUND(MAX(MIN(IF($C$10="No",$E$7,VLOOKUP(Table1578[[#This Row],[Period]],Forecast!$H$2:$L$1048576,4,FALSE))*Table1578[[#This Row],[Beginning Balance]],Table1578[[#This Row],[Beginning Balance]]-Table1578[[#This Row],[Principal]]),0),2)))</f>
        <v>0</v>
      </c>
      <c r="J184" s="3">
        <f>ROUND(MIN(Table1578[[#This Row],[Beginning Balance]]*IF($C$8="No",$E$3,VLOOKUP(Table1578[[#This Row],[Period]],Forecast!$H$2:$L$1048576,2,FALSE)),Table1578[[#This Row],[Beginning Balance]]-Table1578[[#This Row],[Principal]]-Table1578[[#This Row],[Prepayments]]),2)</f>
        <v>0</v>
      </c>
      <c r="K184" s="3">
        <f>ROUND(Table1578[[#This Row],[Defaulted Principal]]*IF($C$9="No",$E$4,VLOOKUP(Table1578[[#This Row],[Period]],Forecast!$H$2:$L$1048576,3,FALSE)),2)</f>
        <v>0</v>
      </c>
      <c r="L184" s="2">
        <f>Table1578[[#This Row],[Period]]+$E$9</f>
        <v>180</v>
      </c>
      <c r="M184" s="3">
        <f>Table1578[[#This Row],[Defaulted Principal]]-Table1578[[#This Row],[Estimated Loss]]</f>
        <v>0</v>
      </c>
      <c r="N184" s="3">
        <f>IFERROR(VLOOKUP(Table1578[[#This Row],[Period]],$L$16:$M$385,2,FALSE),0)</f>
        <v>0</v>
      </c>
      <c r="O184" s="3">
        <f>Table1578[[#This Row],[Beginning Balance]]-Table1578[[#This Row],[Principal]]-Table1578[[#This Row],[Prepayments]]-Table1578[[#This Row],[Defaulted Principal]]</f>
        <v>0</v>
      </c>
      <c r="P184" s="3">
        <f>Table1578[[#This Row],[Principal]]+Table1578[[#This Row],[Interest]]+Table1578[[#This Row],[Prepayments]]+Table1578[[#This Row],[RecoveredAmount]]</f>
        <v>0</v>
      </c>
      <c r="Q184" s="3">
        <f ca="1">ROUND(Table1578[[#This Row],[Cash Flow]]/((1+ActualRateToUse)^(IF(ISNUMBER(SEARCH("Actual",$C$7)),Table1578[[#This Row],[Running Total]]/365,Table1578[[#This Row],[Period]]/12))),2)</f>
        <v>0</v>
      </c>
      <c r="R184" s="2">
        <f>IF(MONTH(Table1578[[#This Row],[Date]])=2,28,DAY(DATE(YEAR(Table1578[[#This Row],[Date]]),MONTH(Table1578[[#This Row],[Date]])+1,1)-1))</f>
        <v>30</v>
      </c>
      <c r="S184" s="2">
        <f ca="1">SUM(OFFSET(Table1578[[#Headers],[Days in month]],1,0):Table1578[[#This Row],[Days in month]])</f>
        <v>5110</v>
      </c>
      <c r="T184" s="37">
        <f>InterestRate*AmortizationMultiplier*IF(ISNUMBER(SEARCH("Actual",$C$7)),Table1578[[#This Row],[Days in month]]/365,1/12)</f>
        <v>6.0333333333333333E-3</v>
      </c>
    </row>
    <row r="185" spans="2:20" x14ac:dyDescent="0.2">
      <c r="B185" s="1">
        <f t="shared" si="6"/>
        <v>50982</v>
      </c>
      <c r="C185" s="2">
        <f t="shared" si="8"/>
        <v>169</v>
      </c>
      <c r="D185" s="3">
        <f t="shared" si="7"/>
        <v>0</v>
      </c>
      <c r="E185" s="3">
        <f>ROUND(Table1578[[#This Row],[Beginning Balance]]*Table1578[[#This Row],[Monthly Interest Rate]],2)</f>
        <v>0</v>
      </c>
      <c r="F185" s="3">
        <f t="shared" si="9"/>
        <v>-166</v>
      </c>
      <c r="G185" s="23">
        <f>IFERROR(IF($C$13="No","N/A",IF(Table1578[[#This Row],[Period]]=1,$C$6,PMT(InterestRate*AmortizationMultiplier/12,Table1578[[#This Row],[Am Thru]],-Table1578[[#This Row],[Beginning Balance]]))),0)</f>
        <v>0</v>
      </c>
      <c r="H185" s="3">
        <f>MAX(0,IF(C185=$C$4,D185,ROUND(IF($C$3="Fixed Principal",$C$6-Table1578[[#This Row],[Interest]],IF($C$3="Interest Only",Table1578[[#This Row],[Beginning Balance]]*ROUND(1-(1-IF($C$11="No",$E$8,1))^(1/12),6),MIN(IF($C$13="Yes",Table1578[[#This Row],[Payment Amount (Reamortized)]],$C$6)-Table1578[[#This Row],[Interest]],Table1578[[#This Row],[Beginning Balance]]))),2)))</f>
        <v>0</v>
      </c>
      <c r="I185" s="3">
        <f>_xlfn.SINGLE(IF($C$3="Line of Credit",0,ROUND(MAX(MIN(IF($C$10="No",$E$7,VLOOKUP(Table1578[[#This Row],[Period]],Forecast!$H$2:$L$1048576,4,FALSE))*Table1578[[#This Row],[Beginning Balance]],Table1578[[#This Row],[Beginning Balance]]-Table1578[[#This Row],[Principal]]),0),2)))</f>
        <v>0</v>
      </c>
      <c r="J185" s="3">
        <f>ROUND(MIN(Table1578[[#This Row],[Beginning Balance]]*IF($C$8="No",$E$3,VLOOKUP(Table1578[[#This Row],[Period]],Forecast!$H$2:$L$1048576,2,FALSE)),Table1578[[#This Row],[Beginning Balance]]-Table1578[[#This Row],[Principal]]-Table1578[[#This Row],[Prepayments]]),2)</f>
        <v>0</v>
      </c>
      <c r="K185" s="3">
        <f>ROUND(Table1578[[#This Row],[Defaulted Principal]]*IF($C$9="No",$E$4,VLOOKUP(Table1578[[#This Row],[Period]],Forecast!$H$2:$L$1048576,3,FALSE)),2)</f>
        <v>0</v>
      </c>
      <c r="L185" s="2">
        <f>Table1578[[#This Row],[Period]]+$E$9</f>
        <v>181</v>
      </c>
      <c r="M185" s="3">
        <f>Table1578[[#This Row],[Defaulted Principal]]-Table1578[[#This Row],[Estimated Loss]]</f>
        <v>0</v>
      </c>
      <c r="N185" s="3">
        <f>IFERROR(VLOOKUP(Table1578[[#This Row],[Period]],$L$16:$M$385,2,FALSE),0)</f>
        <v>0</v>
      </c>
      <c r="O185" s="3">
        <f>Table1578[[#This Row],[Beginning Balance]]-Table1578[[#This Row],[Principal]]-Table1578[[#This Row],[Prepayments]]-Table1578[[#This Row],[Defaulted Principal]]</f>
        <v>0</v>
      </c>
      <c r="P185" s="3">
        <f>Table1578[[#This Row],[Principal]]+Table1578[[#This Row],[Interest]]+Table1578[[#This Row],[Prepayments]]+Table1578[[#This Row],[RecoveredAmount]]</f>
        <v>0</v>
      </c>
      <c r="Q185" s="3">
        <f ca="1">ROUND(Table1578[[#This Row],[Cash Flow]]/((1+ActualRateToUse)^(IF(ISNUMBER(SEARCH("Actual",$C$7)),Table1578[[#This Row],[Running Total]]/365,Table1578[[#This Row],[Period]]/12))),2)</f>
        <v>0</v>
      </c>
      <c r="R185" s="2">
        <f>IF(MONTH(Table1578[[#This Row],[Date]])=2,28,DAY(DATE(YEAR(Table1578[[#This Row],[Date]]),MONTH(Table1578[[#This Row],[Date]])+1,1)-1))</f>
        <v>31</v>
      </c>
      <c r="S185" s="2">
        <f ca="1">SUM(OFFSET(Table1578[[#Headers],[Days in month]],1,0):Table1578[[#This Row],[Days in month]])</f>
        <v>5141</v>
      </c>
      <c r="T185" s="37">
        <f>InterestRate*AmortizationMultiplier*IF(ISNUMBER(SEARCH("Actual",$C$7)),Table1578[[#This Row],[Days in month]]/365,1/12)</f>
        <v>6.2344444444444444E-3</v>
      </c>
    </row>
    <row r="186" spans="2:20" x14ac:dyDescent="0.2">
      <c r="B186" s="1">
        <f t="shared" si="6"/>
        <v>51013</v>
      </c>
      <c r="C186" s="2">
        <f t="shared" si="8"/>
        <v>170</v>
      </c>
      <c r="D186" s="3">
        <f t="shared" si="7"/>
        <v>0</v>
      </c>
      <c r="E186" s="3">
        <f>ROUND(Table1578[[#This Row],[Beginning Balance]]*Table1578[[#This Row],[Monthly Interest Rate]],2)</f>
        <v>0</v>
      </c>
      <c r="F186" s="3">
        <f t="shared" si="9"/>
        <v>-167</v>
      </c>
      <c r="G186" s="23">
        <f>IFERROR(IF($C$13="No","N/A",IF(Table1578[[#This Row],[Period]]=1,$C$6,PMT(InterestRate*AmortizationMultiplier/12,Table1578[[#This Row],[Am Thru]],-Table1578[[#This Row],[Beginning Balance]]))),0)</f>
        <v>0</v>
      </c>
      <c r="H186" s="3">
        <f>MAX(0,IF(C186=$C$4,D186,ROUND(IF($C$3="Fixed Principal",$C$6-Table1578[[#This Row],[Interest]],IF($C$3="Interest Only",Table1578[[#This Row],[Beginning Balance]]*ROUND(1-(1-IF($C$11="No",$E$8,1))^(1/12),6),MIN(IF($C$13="Yes",Table1578[[#This Row],[Payment Amount (Reamortized)]],$C$6)-Table1578[[#This Row],[Interest]],Table1578[[#This Row],[Beginning Balance]]))),2)))</f>
        <v>0</v>
      </c>
      <c r="I186" s="3">
        <f>_xlfn.SINGLE(IF($C$3="Line of Credit",0,ROUND(MAX(MIN(IF($C$10="No",$E$7,VLOOKUP(Table1578[[#This Row],[Period]],Forecast!$H$2:$L$1048576,4,FALSE))*Table1578[[#This Row],[Beginning Balance]],Table1578[[#This Row],[Beginning Balance]]-Table1578[[#This Row],[Principal]]),0),2)))</f>
        <v>0</v>
      </c>
      <c r="J186" s="3">
        <f>ROUND(MIN(Table1578[[#This Row],[Beginning Balance]]*IF($C$8="No",$E$3,VLOOKUP(Table1578[[#This Row],[Period]],Forecast!$H$2:$L$1048576,2,FALSE)),Table1578[[#This Row],[Beginning Balance]]-Table1578[[#This Row],[Principal]]-Table1578[[#This Row],[Prepayments]]),2)</f>
        <v>0</v>
      </c>
      <c r="K186" s="3">
        <f>ROUND(Table1578[[#This Row],[Defaulted Principal]]*IF($C$9="No",$E$4,VLOOKUP(Table1578[[#This Row],[Period]],Forecast!$H$2:$L$1048576,3,FALSE)),2)</f>
        <v>0</v>
      </c>
      <c r="L186" s="2">
        <f>Table1578[[#This Row],[Period]]+$E$9</f>
        <v>182</v>
      </c>
      <c r="M186" s="3">
        <f>Table1578[[#This Row],[Defaulted Principal]]-Table1578[[#This Row],[Estimated Loss]]</f>
        <v>0</v>
      </c>
      <c r="N186" s="3">
        <f>IFERROR(VLOOKUP(Table1578[[#This Row],[Period]],$L$16:$M$385,2,FALSE),0)</f>
        <v>0</v>
      </c>
      <c r="O186" s="3">
        <f>Table1578[[#This Row],[Beginning Balance]]-Table1578[[#This Row],[Principal]]-Table1578[[#This Row],[Prepayments]]-Table1578[[#This Row],[Defaulted Principal]]</f>
        <v>0</v>
      </c>
      <c r="P186" s="3">
        <f>Table1578[[#This Row],[Principal]]+Table1578[[#This Row],[Interest]]+Table1578[[#This Row],[Prepayments]]+Table1578[[#This Row],[RecoveredAmount]]</f>
        <v>0</v>
      </c>
      <c r="Q186" s="3">
        <f ca="1">ROUND(Table1578[[#This Row],[Cash Flow]]/((1+ActualRateToUse)^(IF(ISNUMBER(SEARCH("Actual",$C$7)),Table1578[[#This Row],[Running Total]]/365,Table1578[[#This Row],[Period]]/12))),2)</f>
        <v>0</v>
      </c>
      <c r="R186" s="2">
        <f>IF(MONTH(Table1578[[#This Row],[Date]])=2,28,DAY(DATE(YEAR(Table1578[[#This Row],[Date]]),MONTH(Table1578[[#This Row],[Date]])+1,1)-1))</f>
        <v>31</v>
      </c>
      <c r="S186" s="2">
        <f ca="1">SUM(OFFSET(Table1578[[#Headers],[Days in month]],1,0):Table1578[[#This Row],[Days in month]])</f>
        <v>5172</v>
      </c>
      <c r="T186" s="37">
        <f>InterestRate*AmortizationMultiplier*IF(ISNUMBER(SEARCH("Actual",$C$7)),Table1578[[#This Row],[Days in month]]/365,1/12)</f>
        <v>6.2344444444444444E-3</v>
      </c>
    </row>
    <row r="187" spans="2:20" x14ac:dyDescent="0.2">
      <c r="B187" s="1">
        <f t="shared" si="6"/>
        <v>51043</v>
      </c>
      <c r="C187" s="2">
        <f t="shared" si="8"/>
        <v>171</v>
      </c>
      <c r="D187" s="3">
        <f t="shared" si="7"/>
        <v>0</v>
      </c>
      <c r="E187" s="3">
        <f>ROUND(Table1578[[#This Row],[Beginning Balance]]*Table1578[[#This Row],[Monthly Interest Rate]],2)</f>
        <v>0</v>
      </c>
      <c r="F187" s="3">
        <f t="shared" si="9"/>
        <v>-168</v>
      </c>
      <c r="G187" s="23">
        <f>IFERROR(IF($C$13="No","N/A",IF(Table1578[[#This Row],[Period]]=1,$C$6,PMT(InterestRate*AmortizationMultiplier/12,Table1578[[#This Row],[Am Thru]],-Table1578[[#This Row],[Beginning Balance]]))),0)</f>
        <v>0</v>
      </c>
      <c r="H187" s="3">
        <f>MAX(0,IF(C187=$C$4,D187,ROUND(IF($C$3="Fixed Principal",$C$6-Table1578[[#This Row],[Interest]],IF($C$3="Interest Only",Table1578[[#This Row],[Beginning Balance]]*ROUND(1-(1-IF($C$11="No",$E$8,1))^(1/12),6),MIN(IF($C$13="Yes",Table1578[[#This Row],[Payment Amount (Reamortized)]],$C$6)-Table1578[[#This Row],[Interest]],Table1578[[#This Row],[Beginning Balance]]))),2)))</f>
        <v>0</v>
      </c>
      <c r="I187" s="3">
        <f>_xlfn.SINGLE(IF($C$3="Line of Credit",0,ROUND(MAX(MIN(IF($C$10="No",$E$7,VLOOKUP(Table1578[[#This Row],[Period]],Forecast!$H$2:$L$1048576,4,FALSE))*Table1578[[#This Row],[Beginning Balance]],Table1578[[#This Row],[Beginning Balance]]-Table1578[[#This Row],[Principal]]),0),2)))</f>
        <v>0</v>
      </c>
      <c r="J187" s="3">
        <f>ROUND(MIN(Table1578[[#This Row],[Beginning Balance]]*IF($C$8="No",$E$3,VLOOKUP(Table1578[[#This Row],[Period]],Forecast!$H$2:$L$1048576,2,FALSE)),Table1578[[#This Row],[Beginning Balance]]-Table1578[[#This Row],[Principal]]-Table1578[[#This Row],[Prepayments]]),2)</f>
        <v>0</v>
      </c>
      <c r="K187" s="3">
        <f>ROUND(Table1578[[#This Row],[Defaulted Principal]]*IF($C$9="No",$E$4,VLOOKUP(Table1578[[#This Row],[Period]],Forecast!$H$2:$L$1048576,3,FALSE)),2)</f>
        <v>0</v>
      </c>
      <c r="L187" s="2">
        <f>Table1578[[#This Row],[Period]]+$E$9</f>
        <v>183</v>
      </c>
      <c r="M187" s="3">
        <f>Table1578[[#This Row],[Defaulted Principal]]-Table1578[[#This Row],[Estimated Loss]]</f>
        <v>0</v>
      </c>
      <c r="N187" s="3">
        <f>IFERROR(VLOOKUP(Table1578[[#This Row],[Period]],$L$16:$M$385,2,FALSE),0)</f>
        <v>0</v>
      </c>
      <c r="O187" s="3">
        <f>Table1578[[#This Row],[Beginning Balance]]-Table1578[[#This Row],[Principal]]-Table1578[[#This Row],[Prepayments]]-Table1578[[#This Row],[Defaulted Principal]]</f>
        <v>0</v>
      </c>
      <c r="P187" s="3">
        <f>Table1578[[#This Row],[Principal]]+Table1578[[#This Row],[Interest]]+Table1578[[#This Row],[Prepayments]]+Table1578[[#This Row],[RecoveredAmount]]</f>
        <v>0</v>
      </c>
      <c r="Q187" s="3">
        <f ca="1">ROUND(Table1578[[#This Row],[Cash Flow]]/((1+ActualRateToUse)^(IF(ISNUMBER(SEARCH("Actual",$C$7)),Table1578[[#This Row],[Running Total]]/365,Table1578[[#This Row],[Period]]/12))),2)</f>
        <v>0</v>
      </c>
      <c r="R187" s="2">
        <f>IF(MONTH(Table1578[[#This Row],[Date]])=2,28,DAY(DATE(YEAR(Table1578[[#This Row],[Date]]),MONTH(Table1578[[#This Row],[Date]])+1,1)-1))</f>
        <v>30</v>
      </c>
      <c r="S187" s="2">
        <f ca="1">SUM(OFFSET(Table1578[[#Headers],[Days in month]],1,0):Table1578[[#This Row],[Days in month]])</f>
        <v>5202</v>
      </c>
      <c r="T187" s="37">
        <f>InterestRate*AmortizationMultiplier*IF(ISNUMBER(SEARCH("Actual",$C$7)),Table1578[[#This Row],[Days in month]]/365,1/12)</f>
        <v>6.0333333333333333E-3</v>
      </c>
    </row>
    <row r="188" spans="2:20" x14ac:dyDescent="0.2">
      <c r="B188" s="1">
        <f t="shared" si="6"/>
        <v>51074</v>
      </c>
      <c r="C188" s="2">
        <f t="shared" si="8"/>
        <v>172</v>
      </c>
      <c r="D188" s="3">
        <f t="shared" si="7"/>
        <v>0</v>
      </c>
      <c r="E188" s="3">
        <f>ROUND(Table1578[[#This Row],[Beginning Balance]]*Table1578[[#This Row],[Monthly Interest Rate]],2)</f>
        <v>0</v>
      </c>
      <c r="F188" s="3">
        <f t="shared" si="9"/>
        <v>-169</v>
      </c>
      <c r="G188" s="23">
        <f>IFERROR(IF($C$13="No","N/A",IF(Table1578[[#This Row],[Period]]=1,$C$6,PMT(InterestRate*AmortizationMultiplier/12,Table1578[[#This Row],[Am Thru]],-Table1578[[#This Row],[Beginning Balance]]))),0)</f>
        <v>0</v>
      </c>
      <c r="H188" s="3">
        <f>MAX(0,IF(C188=$C$4,D188,ROUND(IF($C$3="Fixed Principal",$C$6-Table1578[[#This Row],[Interest]],IF($C$3="Interest Only",Table1578[[#This Row],[Beginning Balance]]*ROUND(1-(1-IF($C$11="No",$E$8,1))^(1/12),6),MIN(IF($C$13="Yes",Table1578[[#This Row],[Payment Amount (Reamortized)]],$C$6)-Table1578[[#This Row],[Interest]],Table1578[[#This Row],[Beginning Balance]]))),2)))</f>
        <v>0</v>
      </c>
      <c r="I188" s="3">
        <f>_xlfn.SINGLE(IF($C$3="Line of Credit",0,ROUND(MAX(MIN(IF($C$10="No",$E$7,VLOOKUP(Table1578[[#This Row],[Period]],Forecast!$H$2:$L$1048576,4,FALSE))*Table1578[[#This Row],[Beginning Balance]],Table1578[[#This Row],[Beginning Balance]]-Table1578[[#This Row],[Principal]]),0),2)))</f>
        <v>0</v>
      </c>
      <c r="J188" s="3">
        <f>ROUND(MIN(Table1578[[#This Row],[Beginning Balance]]*IF($C$8="No",$E$3,VLOOKUP(Table1578[[#This Row],[Period]],Forecast!$H$2:$L$1048576,2,FALSE)),Table1578[[#This Row],[Beginning Balance]]-Table1578[[#This Row],[Principal]]-Table1578[[#This Row],[Prepayments]]),2)</f>
        <v>0</v>
      </c>
      <c r="K188" s="3">
        <f>ROUND(Table1578[[#This Row],[Defaulted Principal]]*IF($C$9="No",$E$4,VLOOKUP(Table1578[[#This Row],[Period]],Forecast!$H$2:$L$1048576,3,FALSE)),2)</f>
        <v>0</v>
      </c>
      <c r="L188" s="2">
        <f>Table1578[[#This Row],[Period]]+$E$9</f>
        <v>184</v>
      </c>
      <c r="M188" s="3">
        <f>Table1578[[#This Row],[Defaulted Principal]]-Table1578[[#This Row],[Estimated Loss]]</f>
        <v>0</v>
      </c>
      <c r="N188" s="3">
        <f>IFERROR(VLOOKUP(Table1578[[#This Row],[Period]],$L$16:$M$385,2,FALSE),0)</f>
        <v>0</v>
      </c>
      <c r="O188" s="3">
        <f>Table1578[[#This Row],[Beginning Balance]]-Table1578[[#This Row],[Principal]]-Table1578[[#This Row],[Prepayments]]-Table1578[[#This Row],[Defaulted Principal]]</f>
        <v>0</v>
      </c>
      <c r="P188" s="3">
        <f>Table1578[[#This Row],[Principal]]+Table1578[[#This Row],[Interest]]+Table1578[[#This Row],[Prepayments]]+Table1578[[#This Row],[RecoveredAmount]]</f>
        <v>0</v>
      </c>
      <c r="Q188" s="3">
        <f ca="1">ROUND(Table1578[[#This Row],[Cash Flow]]/((1+ActualRateToUse)^(IF(ISNUMBER(SEARCH("Actual",$C$7)),Table1578[[#This Row],[Running Total]]/365,Table1578[[#This Row],[Period]]/12))),2)</f>
        <v>0</v>
      </c>
      <c r="R188" s="2">
        <f>IF(MONTH(Table1578[[#This Row],[Date]])=2,28,DAY(DATE(YEAR(Table1578[[#This Row],[Date]]),MONTH(Table1578[[#This Row],[Date]])+1,1)-1))</f>
        <v>31</v>
      </c>
      <c r="S188" s="2">
        <f ca="1">SUM(OFFSET(Table1578[[#Headers],[Days in month]],1,0):Table1578[[#This Row],[Days in month]])</f>
        <v>5233</v>
      </c>
      <c r="T188" s="37">
        <f>InterestRate*AmortizationMultiplier*IF(ISNUMBER(SEARCH("Actual",$C$7)),Table1578[[#This Row],[Days in month]]/365,1/12)</f>
        <v>6.2344444444444444E-3</v>
      </c>
    </row>
    <row r="189" spans="2:20" x14ac:dyDescent="0.2">
      <c r="B189" s="1">
        <f t="shared" si="6"/>
        <v>51104</v>
      </c>
      <c r="C189" s="2">
        <f t="shared" si="8"/>
        <v>173</v>
      </c>
      <c r="D189" s="3">
        <f t="shared" si="7"/>
        <v>0</v>
      </c>
      <c r="E189" s="3">
        <f>ROUND(Table1578[[#This Row],[Beginning Balance]]*Table1578[[#This Row],[Monthly Interest Rate]],2)</f>
        <v>0</v>
      </c>
      <c r="F189" s="3">
        <f t="shared" si="9"/>
        <v>-170</v>
      </c>
      <c r="G189" s="23">
        <f>IFERROR(IF($C$13="No","N/A",IF(Table1578[[#This Row],[Period]]=1,$C$6,PMT(InterestRate*AmortizationMultiplier/12,Table1578[[#This Row],[Am Thru]],-Table1578[[#This Row],[Beginning Balance]]))),0)</f>
        <v>0</v>
      </c>
      <c r="H189" s="3">
        <f>MAX(0,IF(C189=$C$4,D189,ROUND(IF($C$3="Fixed Principal",$C$6-Table1578[[#This Row],[Interest]],IF($C$3="Interest Only",Table1578[[#This Row],[Beginning Balance]]*ROUND(1-(1-IF($C$11="No",$E$8,1))^(1/12),6),MIN(IF($C$13="Yes",Table1578[[#This Row],[Payment Amount (Reamortized)]],$C$6)-Table1578[[#This Row],[Interest]],Table1578[[#This Row],[Beginning Balance]]))),2)))</f>
        <v>0</v>
      </c>
      <c r="I189" s="3">
        <f>_xlfn.SINGLE(IF($C$3="Line of Credit",0,ROUND(MAX(MIN(IF($C$10="No",$E$7,VLOOKUP(Table1578[[#This Row],[Period]],Forecast!$H$2:$L$1048576,4,FALSE))*Table1578[[#This Row],[Beginning Balance]],Table1578[[#This Row],[Beginning Balance]]-Table1578[[#This Row],[Principal]]),0),2)))</f>
        <v>0</v>
      </c>
      <c r="J189" s="3">
        <f>ROUND(MIN(Table1578[[#This Row],[Beginning Balance]]*IF($C$8="No",$E$3,VLOOKUP(Table1578[[#This Row],[Period]],Forecast!$H$2:$L$1048576,2,FALSE)),Table1578[[#This Row],[Beginning Balance]]-Table1578[[#This Row],[Principal]]-Table1578[[#This Row],[Prepayments]]),2)</f>
        <v>0</v>
      </c>
      <c r="K189" s="3">
        <f>ROUND(Table1578[[#This Row],[Defaulted Principal]]*IF($C$9="No",$E$4,VLOOKUP(Table1578[[#This Row],[Period]],Forecast!$H$2:$L$1048576,3,FALSE)),2)</f>
        <v>0</v>
      </c>
      <c r="L189" s="2">
        <f>Table1578[[#This Row],[Period]]+$E$9</f>
        <v>185</v>
      </c>
      <c r="M189" s="3">
        <f>Table1578[[#This Row],[Defaulted Principal]]-Table1578[[#This Row],[Estimated Loss]]</f>
        <v>0</v>
      </c>
      <c r="N189" s="3">
        <f>IFERROR(VLOOKUP(Table1578[[#This Row],[Period]],$L$16:$M$385,2,FALSE),0)</f>
        <v>0</v>
      </c>
      <c r="O189" s="3">
        <f>Table1578[[#This Row],[Beginning Balance]]-Table1578[[#This Row],[Principal]]-Table1578[[#This Row],[Prepayments]]-Table1578[[#This Row],[Defaulted Principal]]</f>
        <v>0</v>
      </c>
      <c r="P189" s="3">
        <f>Table1578[[#This Row],[Principal]]+Table1578[[#This Row],[Interest]]+Table1578[[#This Row],[Prepayments]]+Table1578[[#This Row],[RecoveredAmount]]</f>
        <v>0</v>
      </c>
      <c r="Q189" s="3">
        <f ca="1">ROUND(Table1578[[#This Row],[Cash Flow]]/((1+ActualRateToUse)^(IF(ISNUMBER(SEARCH("Actual",$C$7)),Table1578[[#This Row],[Running Total]]/365,Table1578[[#This Row],[Period]]/12))),2)</f>
        <v>0</v>
      </c>
      <c r="R189" s="2">
        <f>IF(MONTH(Table1578[[#This Row],[Date]])=2,28,DAY(DATE(YEAR(Table1578[[#This Row],[Date]]),MONTH(Table1578[[#This Row],[Date]])+1,1)-1))</f>
        <v>30</v>
      </c>
      <c r="S189" s="2">
        <f ca="1">SUM(OFFSET(Table1578[[#Headers],[Days in month]],1,0):Table1578[[#This Row],[Days in month]])</f>
        <v>5263</v>
      </c>
      <c r="T189" s="37">
        <f>InterestRate*AmortizationMultiplier*IF(ISNUMBER(SEARCH("Actual",$C$7)),Table1578[[#This Row],[Days in month]]/365,1/12)</f>
        <v>6.0333333333333333E-3</v>
      </c>
    </row>
    <row r="190" spans="2:20" x14ac:dyDescent="0.2">
      <c r="B190" s="1">
        <f t="shared" si="6"/>
        <v>51135</v>
      </c>
      <c r="C190" s="2">
        <f t="shared" si="8"/>
        <v>174</v>
      </c>
      <c r="D190" s="3">
        <f t="shared" si="7"/>
        <v>0</v>
      </c>
      <c r="E190" s="3">
        <f>ROUND(Table1578[[#This Row],[Beginning Balance]]*Table1578[[#This Row],[Monthly Interest Rate]],2)</f>
        <v>0</v>
      </c>
      <c r="F190" s="3">
        <f t="shared" si="9"/>
        <v>-171</v>
      </c>
      <c r="G190" s="23">
        <f>IFERROR(IF($C$13="No","N/A",IF(Table1578[[#This Row],[Period]]=1,$C$6,PMT(InterestRate*AmortizationMultiplier/12,Table1578[[#This Row],[Am Thru]],-Table1578[[#This Row],[Beginning Balance]]))),0)</f>
        <v>0</v>
      </c>
      <c r="H190" s="3">
        <f>MAX(0,IF(C190=$C$4,D190,ROUND(IF($C$3="Fixed Principal",$C$6-Table1578[[#This Row],[Interest]],IF($C$3="Interest Only",Table1578[[#This Row],[Beginning Balance]]*ROUND(1-(1-IF($C$11="No",$E$8,1))^(1/12),6),MIN(IF($C$13="Yes",Table1578[[#This Row],[Payment Amount (Reamortized)]],$C$6)-Table1578[[#This Row],[Interest]],Table1578[[#This Row],[Beginning Balance]]))),2)))</f>
        <v>0</v>
      </c>
      <c r="I190" s="3">
        <f>_xlfn.SINGLE(IF($C$3="Line of Credit",0,ROUND(MAX(MIN(IF($C$10="No",$E$7,VLOOKUP(Table1578[[#This Row],[Period]],Forecast!$H$2:$L$1048576,4,FALSE))*Table1578[[#This Row],[Beginning Balance]],Table1578[[#This Row],[Beginning Balance]]-Table1578[[#This Row],[Principal]]),0),2)))</f>
        <v>0</v>
      </c>
      <c r="J190" s="3">
        <f>ROUND(MIN(Table1578[[#This Row],[Beginning Balance]]*IF($C$8="No",$E$3,VLOOKUP(Table1578[[#This Row],[Period]],Forecast!$H$2:$L$1048576,2,FALSE)),Table1578[[#This Row],[Beginning Balance]]-Table1578[[#This Row],[Principal]]-Table1578[[#This Row],[Prepayments]]),2)</f>
        <v>0</v>
      </c>
      <c r="K190" s="3">
        <f>ROUND(Table1578[[#This Row],[Defaulted Principal]]*IF($C$9="No",$E$4,VLOOKUP(Table1578[[#This Row],[Period]],Forecast!$H$2:$L$1048576,3,FALSE)),2)</f>
        <v>0</v>
      </c>
      <c r="L190" s="2">
        <f>Table1578[[#This Row],[Period]]+$E$9</f>
        <v>186</v>
      </c>
      <c r="M190" s="3">
        <f>Table1578[[#This Row],[Defaulted Principal]]-Table1578[[#This Row],[Estimated Loss]]</f>
        <v>0</v>
      </c>
      <c r="N190" s="3">
        <f>IFERROR(VLOOKUP(Table1578[[#This Row],[Period]],$L$16:$M$385,2,FALSE),0)</f>
        <v>0</v>
      </c>
      <c r="O190" s="3">
        <f>Table1578[[#This Row],[Beginning Balance]]-Table1578[[#This Row],[Principal]]-Table1578[[#This Row],[Prepayments]]-Table1578[[#This Row],[Defaulted Principal]]</f>
        <v>0</v>
      </c>
      <c r="P190" s="3">
        <f>Table1578[[#This Row],[Principal]]+Table1578[[#This Row],[Interest]]+Table1578[[#This Row],[Prepayments]]+Table1578[[#This Row],[RecoveredAmount]]</f>
        <v>0</v>
      </c>
      <c r="Q190" s="3">
        <f ca="1">ROUND(Table1578[[#This Row],[Cash Flow]]/((1+ActualRateToUse)^(IF(ISNUMBER(SEARCH("Actual",$C$7)),Table1578[[#This Row],[Running Total]]/365,Table1578[[#This Row],[Period]]/12))),2)</f>
        <v>0</v>
      </c>
      <c r="R190" s="2">
        <f>IF(MONTH(Table1578[[#This Row],[Date]])=2,28,DAY(DATE(YEAR(Table1578[[#This Row],[Date]]),MONTH(Table1578[[#This Row],[Date]])+1,1)-1))</f>
        <v>31</v>
      </c>
      <c r="S190" s="2">
        <f ca="1">SUM(OFFSET(Table1578[[#Headers],[Days in month]],1,0):Table1578[[#This Row],[Days in month]])</f>
        <v>5294</v>
      </c>
      <c r="T190" s="37">
        <f>InterestRate*AmortizationMultiplier*IF(ISNUMBER(SEARCH("Actual",$C$7)),Table1578[[#This Row],[Days in month]]/365,1/12)</f>
        <v>6.2344444444444444E-3</v>
      </c>
    </row>
    <row r="191" spans="2:20" x14ac:dyDescent="0.2">
      <c r="B191" s="1">
        <f t="shared" si="6"/>
        <v>51166</v>
      </c>
      <c r="C191" s="2">
        <f t="shared" si="8"/>
        <v>175</v>
      </c>
      <c r="D191" s="3">
        <f t="shared" si="7"/>
        <v>0</v>
      </c>
      <c r="E191" s="3">
        <f>ROUND(Table1578[[#This Row],[Beginning Balance]]*Table1578[[#This Row],[Monthly Interest Rate]],2)</f>
        <v>0</v>
      </c>
      <c r="F191" s="3">
        <f t="shared" si="9"/>
        <v>-172</v>
      </c>
      <c r="G191" s="23">
        <f>IFERROR(IF($C$13="No","N/A",IF(Table1578[[#This Row],[Period]]=1,$C$6,PMT(InterestRate*AmortizationMultiplier/12,Table1578[[#This Row],[Am Thru]],-Table1578[[#This Row],[Beginning Balance]]))),0)</f>
        <v>0</v>
      </c>
      <c r="H191" s="3">
        <f>MAX(0,IF(C191=$C$4,D191,ROUND(IF($C$3="Fixed Principal",$C$6-Table1578[[#This Row],[Interest]],IF($C$3="Interest Only",Table1578[[#This Row],[Beginning Balance]]*ROUND(1-(1-IF($C$11="No",$E$8,1))^(1/12),6),MIN(IF($C$13="Yes",Table1578[[#This Row],[Payment Amount (Reamortized)]],$C$6)-Table1578[[#This Row],[Interest]],Table1578[[#This Row],[Beginning Balance]]))),2)))</f>
        <v>0</v>
      </c>
      <c r="I191" s="3">
        <f>_xlfn.SINGLE(IF($C$3="Line of Credit",0,ROUND(MAX(MIN(IF($C$10="No",$E$7,VLOOKUP(Table1578[[#This Row],[Period]],Forecast!$H$2:$L$1048576,4,FALSE))*Table1578[[#This Row],[Beginning Balance]],Table1578[[#This Row],[Beginning Balance]]-Table1578[[#This Row],[Principal]]),0),2)))</f>
        <v>0</v>
      </c>
      <c r="J191" s="3">
        <f>ROUND(MIN(Table1578[[#This Row],[Beginning Balance]]*IF($C$8="No",$E$3,VLOOKUP(Table1578[[#This Row],[Period]],Forecast!$H$2:$L$1048576,2,FALSE)),Table1578[[#This Row],[Beginning Balance]]-Table1578[[#This Row],[Principal]]-Table1578[[#This Row],[Prepayments]]),2)</f>
        <v>0</v>
      </c>
      <c r="K191" s="3">
        <f>ROUND(Table1578[[#This Row],[Defaulted Principal]]*IF($C$9="No",$E$4,VLOOKUP(Table1578[[#This Row],[Period]],Forecast!$H$2:$L$1048576,3,FALSE)),2)</f>
        <v>0</v>
      </c>
      <c r="L191" s="2">
        <f>Table1578[[#This Row],[Period]]+$E$9</f>
        <v>187</v>
      </c>
      <c r="M191" s="3">
        <f>Table1578[[#This Row],[Defaulted Principal]]-Table1578[[#This Row],[Estimated Loss]]</f>
        <v>0</v>
      </c>
      <c r="N191" s="3">
        <f>IFERROR(VLOOKUP(Table1578[[#This Row],[Period]],$L$16:$M$385,2,FALSE),0)</f>
        <v>0</v>
      </c>
      <c r="O191" s="3">
        <f>Table1578[[#This Row],[Beginning Balance]]-Table1578[[#This Row],[Principal]]-Table1578[[#This Row],[Prepayments]]-Table1578[[#This Row],[Defaulted Principal]]</f>
        <v>0</v>
      </c>
      <c r="P191" s="3">
        <f>Table1578[[#This Row],[Principal]]+Table1578[[#This Row],[Interest]]+Table1578[[#This Row],[Prepayments]]+Table1578[[#This Row],[RecoveredAmount]]</f>
        <v>0</v>
      </c>
      <c r="Q191" s="3">
        <f ca="1">ROUND(Table1578[[#This Row],[Cash Flow]]/((1+ActualRateToUse)^(IF(ISNUMBER(SEARCH("Actual",$C$7)),Table1578[[#This Row],[Running Total]]/365,Table1578[[#This Row],[Period]]/12))),2)</f>
        <v>0</v>
      </c>
      <c r="R191" s="2">
        <f>IF(MONTH(Table1578[[#This Row],[Date]])=2,28,DAY(DATE(YEAR(Table1578[[#This Row],[Date]]),MONTH(Table1578[[#This Row],[Date]])+1,1)-1))</f>
        <v>31</v>
      </c>
      <c r="S191" s="2">
        <f ca="1">SUM(OFFSET(Table1578[[#Headers],[Days in month]],1,0):Table1578[[#This Row],[Days in month]])</f>
        <v>5325</v>
      </c>
      <c r="T191" s="37">
        <f>InterestRate*AmortizationMultiplier*IF(ISNUMBER(SEARCH("Actual",$C$7)),Table1578[[#This Row],[Days in month]]/365,1/12)</f>
        <v>6.2344444444444444E-3</v>
      </c>
    </row>
    <row r="192" spans="2:20" x14ac:dyDescent="0.2">
      <c r="B192" s="1">
        <f t="shared" si="6"/>
        <v>51195</v>
      </c>
      <c r="C192" s="2">
        <f t="shared" si="8"/>
        <v>176</v>
      </c>
      <c r="D192" s="3">
        <f t="shared" si="7"/>
        <v>0</v>
      </c>
      <c r="E192" s="3">
        <f>ROUND(Table1578[[#This Row],[Beginning Balance]]*Table1578[[#This Row],[Monthly Interest Rate]],2)</f>
        <v>0</v>
      </c>
      <c r="F192" s="3">
        <f t="shared" si="9"/>
        <v>-173</v>
      </c>
      <c r="G192" s="23">
        <f>IFERROR(IF($C$13="No","N/A",IF(Table1578[[#This Row],[Period]]=1,$C$6,PMT(InterestRate*AmortizationMultiplier/12,Table1578[[#This Row],[Am Thru]],-Table1578[[#This Row],[Beginning Balance]]))),0)</f>
        <v>0</v>
      </c>
      <c r="H192" s="3">
        <f>MAX(0,IF(C192=$C$4,D192,ROUND(IF($C$3="Fixed Principal",$C$6-Table1578[[#This Row],[Interest]],IF($C$3="Interest Only",Table1578[[#This Row],[Beginning Balance]]*ROUND(1-(1-IF($C$11="No",$E$8,1))^(1/12),6),MIN(IF($C$13="Yes",Table1578[[#This Row],[Payment Amount (Reamortized)]],$C$6)-Table1578[[#This Row],[Interest]],Table1578[[#This Row],[Beginning Balance]]))),2)))</f>
        <v>0</v>
      </c>
      <c r="I192" s="3">
        <f>_xlfn.SINGLE(IF($C$3="Line of Credit",0,ROUND(MAX(MIN(IF($C$10="No",$E$7,VLOOKUP(Table1578[[#This Row],[Period]],Forecast!$H$2:$L$1048576,4,FALSE))*Table1578[[#This Row],[Beginning Balance]],Table1578[[#This Row],[Beginning Balance]]-Table1578[[#This Row],[Principal]]),0),2)))</f>
        <v>0</v>
      </c>
      <c r="J192" s="3">
        <f>ROUND(MIN(Table1578[[#This Row],[Beginning Balance]]*IF($C$8="No",$E$3,VLOOKUP(Table1578[[#This Row],[Period]],Forecast!$H$2:$L$1048576,2,FALSE)),Table1578[[#This Row],[Beginning Balance]]-Table1578[[#This Row],[Principal]]-Table1578[[#This Row],[Prepayments]]),2)</f>
        <v>0</v>
      </c>
      <c r="K192" s="3">
        <f>ROUND(Table1578[[#This Row],[Defaulted Principal]]*IF($C$9="No",$E$4,VLOOKUP(Table1578[[#This Row],[Period]],Forecast!$H$2:$L$1048576,3,FALSE)),2)</f>
        <v>0</v>
      </c>
      <c r="L192" s="2">
        <f>Table1578[[#This Row],[Period]]+$E$9</f>
        <v>188</v>
      </c>
      <c r="M192" s="3">
        <f>Table1578[[#This Row],[Defaulted Principal]]-Table1578[[#This Row],[Estimated Loss]]</f>
        <v>0</v>
      </c>
      <c r="N192" s="3">
        <f>IFERROR(VLOOKUP(Table1578[[#This Row],[Period]],$L$16:$M$385,2,FALSE),0)</f>
        <v>0</v>
      </c>
      <c r="O192" s="3">
        <f>Table1578[[#This Row],[Beginning Balance]]-Table1578[[#This Row],[Principal]]-Table1578[[#This Row],[Prepayments]]-Table1578[[#This Row],[Defaulted Principal]]</f>
        <v>0</v>
      </c>
      <c r="P192" s="3">
        <f>Table1578[[#This Row],[Principal]]+Table1578[[#This Row],[Interest]]+Table1578[[#This Row],[Prepayments]]+Table1578[[#This Row],[RecoveredAmount]]</f>
        <v>0</v>
      </c>
      <c r="Q192" s="3">
        <f ca="1">ROUND(Table1578[[#This Row],[Cash Flow]]/((1+ActualRateToUse)^(IF(ISNUMBER(SEARCH("Actual",$C$7)),Table1578[[#This Row],[Running Total]]/365,Table1578[[#This Row],[Period]]/12))),2)</f>
        <v>0</v>
      </c>
      <c r="R192" s="2">
        <f>IF(MONTH(Table1578[[#This Row],[Date]])=2,28,DAY(DATE(YEAR(Table1578[[#This Row],[Date]]),MONTH(Table1578[[#This Row],[Date]])+1,1)-1))</f>
        <v>28</v>
      </c>
      <c r="S192" s="2">
        <f ca="1">SUM(OFFSET(Table1578[[#Headers],[Days in month]],1,0):Table1578[[#This Row],[Days in month]])</f>
        <v>5353</v>
      </c>
      <c r="T192" s="37">
        <f>InterestRate*AmortizationMultiplier*IF(ISNUMBER(SEARCH("Actual",$C$7)),Table1578[[#This Row],[Days in month]]/365,1/12)</f>
        <v>5.6311111111111119E-3</v>
      </c>
    </row>
    <row r="193" spans="2:20" x14ac:dyDescent="0.2">
      <c r="B193" s="1">
        <f t="shared" si="6"/>
        <v>51226</v>
      </c>
      <c r="C193" s="2">
        <f t="shared" si="8"/>
        <v>177</v>
      </c>
      <c r="D193" s="3">
        <f t="shared" si="7"/>
        <v>0</v>
      </c>
      <c r="E193" s="3">
        <f>ROUND(Table1578[[#This Row],[Beginning Balance]]*Table1578[[#This Row],[Monthly Interest Rate]],2)</f>
        <v>0</v>
      </c>
      <c r="F193" s="3">
        <f t="shared" si="9"/>
        <v>-174</v>
      </c>
      <c r="G193" s="23">
        <f>IFERROR(IF($C$13="No","N/A",IF(Table1578[[#This Row],[Period]]=1,$C$6,PMT(InterestRate*AmortizationMultiplier/12,Table1578[[#This Row],[Am Thru]],-Table1578[[#This Row],[Beginning Balance]]))),0)</f>
        <v>0</v>
      </c>
      <c r="H193" s="3">
        <f>MAX(0,IF(C193=$C$4,D193,ROUND(IF($C$3="Fixed Principal",$C$6-Table1578[[#This Row],[Interest]],IF($C$3="Interest Only",Table1578[[#This Row],[Beginning Balance]]*ROUND(1-(1-IF($C$11="No",$E$8,1))^(1/12),6),MIN(IF($C$13="Yes",Table1578[[#This Row],[Payment Amount (Reamortized)]],$C$6)-Table1578[[#This Row],[Interest]],Table1578[[#This Row],[Beginning Balance]]))),2)))</f>
        <v>0</v>
      </c>
      <c r="I193" s="3">
        <f>_xlfn.SINGLE(IF($C$3="Line of Credit",0,ROUND(MAX(MIN(IF($C$10="No",$E$7,VLOOKUP(Table1578[[#This Row],[Period]],Forecast!$H$2:$L$1048576,4,FALSE))*Table1578[[#This Row],[Beginning Balance]],Table1578[[#This Row],[Beginning Balance]]-Table1578[[#This Row],[Principal]]),0),2)))</f>
        <v>0</v>
      </c>
      <c r="J193" s="3">
        <f>ROUND(MIN(Table1578[[#This Row],[Beginning Balance]]*IF($C$8="No",$E$3,VLOOKUP(Table1578[[#This Row],[Period]],Forecast!$H$2:$L$1048576,2,FALSE)),Table1578[[#This Row],[Beginning Balance]]-Table1578[[#This Row],[Principal]]-Table1578[[#This Row],[Prepayments]]),2)</f>
        <v>0</v>
      </c>
      <c r="K193" s="3">
        <f>ROUND(Table1578[[#This Row],[Defaulted Principal]]*IF($C$9="No",$E$4,VLOOKUP(Table1578[[#This Row],[Period]],Forecast!$H$2:$L$1048576,3,FALSE)),2)</f>
        <v>0</v>
      </c>
      <c r="L193" s="2">
        <f>Table1578[[#This Row],[Period]]+$E$9</f>
        <v>189</v>
      </c>
      <c r="M193" s="3">
        <f>Table1578[[#This Row],[Defaulted Principal]]-Table1578[[#This Row],[Estimated Loss]]</f>
        <v>0</v>
      </c>
      <c r="N193" s="3">
        <f>IFERROR(VLOOKUP(Table1578[[#This Row],[Period]],$L$16:$M$385,2,FALSE),0)</f>
        <v>0</v>
      </c>
      <c r="O193" s="3">
        <f>Table1578[[#This Row],[Beginning Balance]]-Table1578[[#This Row],[Principal]]-Table1578[[#This Row],[Prepayments]]-Table1578[[#This Row],[Defaulted Principal]]</f>
        <v>0</v>
      </c>
      <c r="P193" s="3">
        <f>Table1578[[#This Row],[Principal]]+Table1578[[#This Row],[Interest]]+Table1578[[#This Row],[Prepayments]]+Table1578[[#This Row],[RecoveredAmount]]</f>
        <v>0</v>
      </c>
      <c r="Q193" s="3">
        <f ca="1">ROUND(Table1578[[#This Row],[Cash Flow]]/((1+ActualRateToUse)^(IF(ISNUMBER(SEARCH("Actual",$C$7)),Table1578[[#This Row],[Running Total]]/365,Table1578[[#This Row],[Period]]/12))),2)</f>
        <v>0</v>
      </c>
      <c r="R193" s="2">
        <f>IF(MONTH(Table1578[[#This Row],[Date]])=2,28,DAY(DATE(YEAR(Table1578[[#This Row],[Date]]),MONTH(Table1578[[#This Row],[Date]])+1,1)-1))</f>
        <v>31</v>
      </c>
      <c r="S193" s="2">
        <f ca="1">SUM(OFFSET(Table1578[[#Headers],[Days in month]],1,0):Table1578[[#This Row],[Days in month]])</f>
        <v>5384</v>
      </c>
      <c r="T193" s="37">
        <f>InterestRate*AmortizationMultiplier*IF(ISNUMBER(SEARCH("Actual",$C$7)),Table1578[[#This Row],[Days in month]]/365,1/12)</f>
        <v>6.2344444444444444E-3</v>
      </c>
    </row>
    <row r="194" spans="2:20" x14ac:dyDescent="0.2">
      <c r="B194" s="1">
        <f t="shared" si="6"/>
        <v>51256</v>
      </c>
      <c r="C194" s="2">
        <f t="shared" si="8"/>
        <v>178</v>
      </c>
      <c r="D194" s="3">
        <f t="shared" si="7"/>
        <v>0</v>
      </c>
      <c r="E194" s="3">
        <f>ROUND(Table1578[[#This Row],[Beginning Balance]]*Table1578[[#This Row],[Monthly Interest Rate]],2)</f>
        <v>0</v>
      </c>
      <c r="F194" s="3">
        <f t="shared" si="9"/>
        <v>-175</v>
      </c>
      <c r="G194" s="23">
        <f>IFERROR(IF($C$13="No","N/A",IF(Table1578[[#This Row],[Period]]=1,$C$6,PMT(InterestRate*AmortizationMultiplier/12,Table1578[[#This Row],[Am Thru]],-Table1578[[#This Row],[Beginning Balance]]))),0)</f>
        <v>0</v>
      </c>
      <c r="H194" s="3">
        <f>MAX(0,IF(C194=$C$4,D194,ROUND(IF($C$3="Fixed Principal",$C$6-Table1578[[#This Row],[Interest]],IF($C$3="Interest Only",Table1578[[#This Row],[Beginning Balance]]*ROUND(1-(1-IF($C$11="No",$E$8,1))^(1/12),6),MIN(IF($C$13="Yes",Table1578[[#This Row],[Payment Amount (Reamortized)]],$C$6)-Table1578[[#This Row],[Interest]],Table1578[[#This Row],[Beginning Balance]]))),2)))</f>
        <v>0</v>
      </c>
      <c r="I194" s="3">
        <f>_xlfn.SINGLE(IF($C$3="Line of Credit",0,ROUND(MAX(MIN(IF($C$10="No",$E$7,VLOOKUP(Table1578[[#This Row],[Period]],Forecast!$H$2:$L$1048576,4,FALSE))*Table1578[[#This Row],[Beginning Balance]],Table1578[[#This Row],[Beginning Balance]]-Table1578[[#This Row],[Principal]]),0),2)))</f>
        <v>0</v>
      </c>
      <c r="J194" s="3">
        <f>ROUND(MIN(Table1578[[#This Row],[Beginning Balance]]*IF($C$8="No",$E$3,VLOOKUP(Table1578[[#This Row],[Period]],Forecast!$H$2:$L$1048576,2,FALSE)),Table1578[[#This Row],[Beginning Balance]]-Table1578[[#This Row],[Principal]]-Table1578[[#This Row],[Prepayments]]),2)</f>
        <v>0</v>
      </c>
      <c r="K194" s="3">
        <f>ROUND(Table1578[[#This Row],[Defaulted Principal]]*IF($C$9="No",$E$4,VLOOKUP(Table1578[[#This Row],[Period]],Forecast!$H$2:$L$1048576,3,FALSE)),2)</f>
        <v>0</v>
      </c>
      <c r="L194" s="2">
        <f>Table1578[[#This Row],[Period]]+$E$9</f>
        <v>190</v>
      </c>
      <c r="M194" s="3">
        <f>Table1578[[#This Row],[Defaulted Principal]]-Table1578[[#This Row],[Estimated Loss]]</f>
        <v>0</v>
      </c>
      <c r="N194" s="3">
        <f>IFERROR(VLOOKUP(Table1578[[#This Row],[Period]],$L$16:$M$385,2,FALSE),0)</f>
        <v>0</v>
      </c>
      <c r="O194" s="3">
        <f>Table1578[[#This Row],[Beginning Balance]]-Table1578[[#This Row],[Principal]]-Table1578[[#This Row],[Prepayments]]-Table1578[[#This Row],[Defaulted Principal]]</f>
        <v>0</v>
      </c>
      <c r="P194" s="3">
        <f>Table1578[[#This Row],[Principal]]+Table1578[[#This Row],[Interest]]+Table1578[[#This Row],[Prepayments]]+Table1578[[#This Row],[RecoveredAmount]]</f>
        <v>0</v>
      </c>
      <c r="Q194" s="3">
        <f ca="1">ROUND(Table1578[[#This Row],[Cash Flow]]/((1+ActualRateToUse)^(IF(ISNUMBER(SEARCH("Actual",$C$7)),Table1578[[#This Row],[Running Total]]/365,Table1578[[#This Row],[Period]]/12))),2)</f>
        <v>0</v>
      </c>
      <c r="R194" s="2">
        <f>IF(MONTH(Table1578[[#This Row],[Date]])=2,28,DAY(DATE(YEAR(Table1578[[#This Row],[Date]]),MONTH(Table1578[[#This Row],[Date]])+1,1)-1))</f>
        <v>30</v>
      </c>
      <c r="S194" s="2">
        <f ca="1">SUM(OFFSET(Table1578[[#Headers],[Days in month]],1,0):Table1578[[#This Row],[Days in month]])</f>
        <v>5414</v>
      </c>
      <c r="T194" s="37">
        <f>InterestRate*AmortizationMultiplier*IF(ISNUMBER(SEARCH("Actual",$C$7)),Table1578[[#This Row],[Days in month]]/365,1/12)</f>
        <v>6.0333333333333333E-3</v>
      </c>
    </row>
    <row r="195" spans="2:20" x14ac:dyDescent="0.2">
      <c r="B195" s="1">
        <f t="shared" si="6"/>
        <v>51287</v>
      </c>
      <c r="C195" s="2">
        <f t="shared" si="8"/>
        <v>179</v>
      </c>
      <c r="D195" s="3">
        <f t="shared" si="7"/>
        <v>0</v>
      </c>
      <c r="E195" s="3">
        <f>ROUND(Table1578[[#This Row],[Beginning Balance]]*Table1578[[#This Row],[Monthly Interest Rate]],2)</f>
        <v>0</v>
      </c>
      <c r="F195" s="3">
        <f t="shared" si="9"/>
        <v>-176</v>
      </c>
      <c r="G195" s="23">
        <f>IFERROR(IF($C$13="No","N/A",IF(Table1578[[#This Row],[Period]]=1,$C$6,PMT(InterestRate*AmortizationMultiplier/12,Table1578[[#This Row],[Am Thru]],-Table1578[[#This Row],[Beginning Balance]]))),0)</f>
        <v>0</v>
      </c>
      <c r="H195" s="3">
        <f>MAX(0,IF(C195=$C$4,D195,ROUND(IF($C$3="Fixed Principal",$C$6-Table1578[[#This Row],[Interest]],IF($C$3="Interest Only",Table1578[[#This Row],[Beginning Balance]]*ROUND(1-(1-IF($C$11="No",$E$8,1))^(1/12),6),MIN(IF($C$13="Yes",Table1578[[#This Row],[Payment Amount (Reamortized)]],$C$6)-Table1578[[#This Row],[Interest]],Table1578[[#This Row],[Beginning Balance]]))),2)))</f>
        <v>0</v>
      </c>
      <c r="I195" s="3">
        <f>_xlfn.SINGLE(IF($C$3="Line of Credit",0,ROUND(MAX(MIN(IF($C$10="No",$E$7,VLOOKUP(Table1578[[#This Row],[Period]],Forecast!$H$2:$L$1048576,4,FALSE))*Table1578[[#This Row],[Beginning Balance]],Table1578[[#This Row],[Beginning Balance]]-Table1578[[#This Row],[Principal]]),0),2)))</f>
        <v>0</v>
      </c>
      <c r="J195" s="3">
        <f>ROUND(MIN(Table1578[[#This Row],[Beginning Balance]]*IF($C$8="No",$E$3,VLOOKUP(Table1578[[#This Row],[Period]],Forecast!$H$2:$L$1048576,2,FALSE)),Table1578[[#This Row],[Beginning Balance]]-Table1578[[#This Row],[Principal]]-Table1578[[#This Row],[Prepayments]]),2)</f>
        <v>0</v>
      </c>
      <c r="K195" s="3">
        <f>ROUND(Table1578[[#This Row],[Defaulted Principal]]*IF($C$9="No",$E$4,VLOOKUP(Table1578[[#This Row],[Period]],Forecast!$H$2:$L$1048576,3,FALSE)),2)</f>
        <v>0</v>
      </c>
      <c r="L195" s="2">
        <f>Table1578[[#This Row],[Period]]+$E$9</f>
        <v>191</v>
      </c>
      <c r="M195" s="3">
        <f>Table1578[[#This Row],[Defaulted Principal]]-Table1578[[#This Row],[Estimated Loss]]</f>
        <v>0</v>
      </c>
      <c r="N195" s="3">
        <f>IFERROR(VLOOKUP(Table1578[[#This Row],[Period]],$L$16:$M$385,2,FALSE),0)</f>
        <v>0</v>
      </c>
      <c r="O195" s="3">
        <f>Table1578[[#This Row],[Beginning Balance]]-Table1578[[#This Row],[Principal]]-Table1578[[#This Row],[Prepayments]]-Table1578[[#This Row],[Defaulted Principal]]</f>
        <v>0</v>
      </c>
      <c r="P195" s="3">
        <f>Table1578[[#This Row],[Principal]]+Table1578[[#This Row],[Interest]]+Table1578[[#This Row],[Prepayments]]+Table1578[[#This Row],[RecoveredAmount]]</f>
        <v>0</v>
      </c>
      <c r="Q195" s="3">
        <f ca="1">ROUND(Table1578[[#This Row],[Cash Flow]]/((1+ActualRateToUse)^(IF(ISNUMBER(SEARCH("Actual",$C$7)),Table1578[[#This Row],[Running Total]]/365,Table1578[[#This Row],[Period]]/12))),2)</f>
        <v>0</v>
      </c>
      <c r="R195" s="2">
        <f>IF(MONTH(Table1578[[#This Row],[Date]])=2,28,DAY(DATE(YEAR(Table1578[[#This Row],[Date]]),MONTH(Table1578[[#This Row],[Date]])+1,1)-1))</f>
        <v>31</v>
      </c>
      <c r="S195" s="2">
        <f ca="1">SUM(OFFSET(Table1578[[#Headers],[Days in month]],1,0):Table1578[[#This Row],[Days in month]])</f>
        <v>5445</v>
      </c>
      <c r="T195" s="37">
        <f>InterestRate*AmortizationMultiplier*IF(ISNUMBER(SEARCH("Actual",$C$7)),Table1578[[#This Row],[Days in month]]/365,1/12)</f>
        <v>6.2344444444444444E-3</v>
      </c>
    </row>
    <row r="196" spans="2:20" x14ac:dyDescent="0.2">
      <c r="B196" s="1">
        <f t="shared" si="6"/>
        <v>51317</v>
      </c>
      <c r="C196" s="2">
        <f t="shared" si="8"/>
        <v>180</v>
      </c>
      <c r="D196" s="3">
        <f t="shared" si="7"/>
        <v>0</v>
      </c>
      <c r="E196" s="3">
        <f>ROUND(Table1578[[#This Row],[Beginning Balance]]*Table1578[[#This Row],[Monthly Interest Rate]],2)</f>
        <v>0</v>
      </c>
      <c r="F196" s="3">
        <f t="shared" si="9"/>
        <v>-177</v>
      </c>
      <c r="G196" s="23">
        <f>IFERROR(IF($C$13="No","N/A",IF(Table1578[[#This Row],[Period]]=1,$C$6,PMT(InterestRate*AmortizationMultiplier/12,Table1578[[#This Row],[Am Thru]],-Table1578[[#This Row],[Beginning Balance]]))),0)</f>
        <v>0</v>
      </c>
      <c r="H196" s="3">
        <f>MAX(0,IF(C196=$C$4,D196,ROUND(IF($C$3="Fixed Principal",$C$6-Table1578[[#This Row],[Interest]],IF($C$3="Interest Only",Table1578[[#This Row],[Beginning Balance]]*ROUND(1-(1-IF($C$11="No",$E$8,1))^(1/12),6),MIN(IF($C$13="Yes",Table1578[[#This Row],[Payment Amount (Reamortized)]],$C$6)-Table1578[[#This Row],[Interest]],Table1578[[#This Row],[Beginning Balance]]))),2)))</f>
        <v>0</v>
      </c>
      <c r="I196" s="3">
        <f>_xlfn.SINGLE(IF($C$3="Line of Credit",0,ROUND(MAX(MIN(IF($C$10="No",$E$7,VLOOKUP(Table1578[[#This Row],[Period]],Forecast!$H$2:$L$1048576,4,FALSE))*Table1578[[#This Row],[Beginning Balance]],Table1578[[#This Row],[Beginning Balance]]-Table1578[[#This Row],[Principal]]),0),2)))</f>
        <v>0</v>
      </c>
      <c r="J196" s="3">
        <f>ROUND(MIN(Table1578[[#This Row],[Beginning Balance]]*IF($C$8="No",$E$3,VLOOKUP(Table1578[[#This Row],[Period]],Forecast!$H$2:$L$1048576,2,FALSE)),Table1578[[#This Row],[Beginning Balance]]-Table1578[[#This Row],[Principal]]-Table1578[[#This Row],[Prepayments]]),2)</f>
        <v>0</v>
      </c>
      <c r="K196" s="3">
        <f>ROUND(Table1578[[#This Row],[Defaulted Principal]]*IF($C$9="No",$E$4,VLOOKUP(Table1578[[#This Row],[Period]],Forecast!$H$2:$L$1048576,3,FALSE)),2)</f>
        <v>0</v>
      </c>
      <c r="L196" s="2">
        <f>Table1578[[#This Row],[Period]]+$E$9</f>
        <v>192</v>
      </c>
      <c r="M196" s="3">
        <f>Table1578[[#This Row],[Defaulted Principal]]-Table1578[[#This Row],[Estimated Loss]]</f>
        <v>0</v>
      </c>
      <c r="N196" s="3">
        <f>IFERROR(VLOOKUP(Table1578[[#This Row],[Period]],$L$16:$M$385,2,FALSE),0)</f>
        <v>0</v>
      </c>
      <c r="O196" s="3">
        <f>Table1578[[#This Row],[Beginning Balance]]-Table1578[[#This Row],[Principal]]-Table1578[[#This Row],[Prepayments]]-Table1578[[#This Row],[Defaulted Principal]]</f>
        <v>0</v>
      </c>
      <c r="P196" s="3">
        <f>Table1578[[#This Row],[Principal]]+Table1578[[#This Row],[Interest]]+Table1578[[#This Row],[Prepayments]]+Table1578[[#This Row],[RecoveredAmount]]</f>
        <v>0</v>
      </c>
      <c r="Q196" s="3">
        <f ca="1">ROUND(Table1578[[#This Row],[Cash Flow]]/((1+ActualRateToUse)^(IF(ISNUMBER(SEARCH("Actual",$C$7)),Table1578[[#This Row],[Running Total]]/365,Table1578[[#This Row],[Period]]/12))),2)</f>
        <v>0</v>
      </c>
      <c r="R196" s="2">
        <f>IF(MONTH(Table1578[[#This Row],[Date]])=2,28,DAY(DATE(YEAR(Table1578[[#This Row],[Date]]),MONTH(Table1578[[#This Row],[Date]])+1,1)-1))</f>
        <v>30</v>
      </c>
      <c r="S196" s="2">
        <f ca="1">SUM(OFFSET(Table1578[[#Headers],[Days in month]],1,0):Table1578[[#This Row],[Days in month]])</f>
        <v>5475</v>
      </c>
      <c r="T196" s="37">
        <f>InterestRate*AmortizationMultiplier*IF(ISNUMBER(SEARCH("Actual",$C$7)),Table1578[[#This Row],[Days in month]]/365,1/12)</f>
        <v>6.0333333333333333E-3</v>
      </c>
    </row>
    <row r="197" spans="2:20" x14ac:dyDescent="0.2">
      <c r="B197" s="1">
        <f t="shared" si="6"/>
        <v>51348</v>
      </c>
      <c r="C197" s="2">
        <f t="shared" si="8"/>
        <v>181</v>
      </c>
      <c r="D197" s="3">
        <f t="shared" si="7"/>
        <v>0</v>
      </c>
      <c r="E197" s="3">
        <f>ROUND(Table1578[[#This Row],[Beginning Balance]]*Table1578[[#This Row],[Monthly Interest Rate]],2)</f>
        <v>0</v>
      </c>
      <c r="F197" s="3">
        <f t="shared" si="9"/>
        <v>-178</v>
      </c>
      <c r="G197" s="23">
        <f>IFERROR(IF($C$13="No","N/A",IF(Table1578[[#This Row],[Period]]=1,$C$6,PMT(InterestRate*AmortizationMultiplier/12,Table1578[[#This Row],[Am Thru]],-Table1578[[#This Row],[Beginning Balance]]))),0)</f>
        <v>0</v>
      </c>
      <c r="H197" s="3">
        <f>MAX(0,IF(C197=$C$4,D197,ROUND(IF($C$3="Fixed Principal",$C$6-Table1578[[#This Row],[Interest]],IF($C$3="Interest Only",Table1578[[#This Row],[Beginning Balance]]*ROUND(1-(1-IF($C$11="No",$E$8,1))^(1/12),6),MIN(IF($C$13="Yes",Table1578[[#This Row],[Payment Amount (Reamortized)]],$C$6)-Table1578[[#This Row],[Interest]],Table1578[[#This Row],[Beginning Balance]]))),2)))</f>
        <v>0</v>
      </c>
      <c r="I197" s="3">
        <f>_xlfn.SINGLE(IF($C$3="Line of Credit",0,ROUND(MAX(MIN(IF($C$10="No",$E$7,VLOOKUP(Table1578[[#This Row],[Period]],Forecast!$H$2:$L$1048576,4,FALSE))*Table1578[[#This Row],[Beginning Balance]],Table1578[[#This Row],[Beginning Balance]]-Table1578[[#This Row],[Principal]]),0),2)))</f>
        <v>0</v>
      </c>
      <c r="J197" s="3">
        <f>ROUND(MIN(Table1578[[#This Row],[Beginning Balance]]*IF($C$8="No",$E$3,VLOOKUP(Table1578[[#This Row],[Period]],Forecast!$H$2:$L$1048576,2,FALSE)),Table1578[[#This Row],[Beginning Balance]]-Table1578[[#This Row],[Principal]]-Table1578[[#This Row],[Prepayments]]),2)</f>
        <v>0</v>
      </c>
      <c r="K197" s="3">
        <f>ROUND(Table1578[[#This Row],[Defaulted Principal]]*IF($C$9="No",$E$4,VLOOKUP(Table1578[[#This Row],[Period]],Forecast!$H$2:$L$1048576,3,FALSE)),2)</f>
        <v>0</v>
      </c>
      <c r="L197" s="2">
        <f>Table1578[[#This Row],[Period]]+$E$9</f>
        <v>193</v>
      </c>
      <c r="M197" s="3">
        <f>Table1578[[#This Row],[Defaulted Principal]]-Table1578[[#This Row],[Estimated Loss]]</f>
        <v>0</v>
      </c>
      <c r="N197" s="3">
        <f>IFERROR(VLOOKUP(Table1578[[#This Row],[Period]],$L$16:$M$385,2,FALSE),0)</f>
        <v>0</v>
      </c>
      <c r="O197" s="3">
        <f>Table1578[[#This Row],[Beginning Balance]]-Table1578[[#This Row],[Principal]]-Table1578[[#This Row],[Prepayments]]-Table1578[[#This Row],[Defaulted Principal]]</f>
        <v>0</v>
      </c>
      <c r="P197" s="3">
        <f>Table1578[[#This Row],[Principal]]+Table1578[[#This Row],[Interest]]+Table1578[[#This Row],[Prepayments]]+Table1578[[#This Row],[RecoveredAmount]]</f>
        <v>0</v>
      </c>
      <c r="Q197" s="3">
        <f ca="1">ROUND(Table1578[[#This Row],[Cash Flow]]/((1+ActualRateToUse)^(IF(ISNUMBER(SEARCH("Actual",$C$7)),Table1578[[#This Row],[Running Total]]/365,Table1578[[#This Row],[Period]]/12))),2)</f>
        <v>0</v>
      </c>
      <c r="R197" s="2">
        <f>IF(MONTH(Table1578[[#This Row],[Date]])=2,28,DAY(DATE(YEAR(Table1578[[#This Row],[Date]]),MONTH(Table1578[[#This Row],[Date]])+1,1)-1))</f>
        <v>31</v>
      </c>
      <c r="S197" s="2">
        <f ca="1">SUM(OFFSET(Table1578[[#Headers],[Days in month]],1,0):Table1578[[#This Row],[Days in month]])</f>
        <v>5506</v>
      </c>
      <c r="T197" s="37">
        <f>InterestRate*AmortizationMultiplier*IF(ISNUMBER(SEARCH("Actual",$C$7)),Table1578[[#This Row],[Days in month]]/365,1/12)</f>
        <v>6.2344444444444444E-3</v>
      </c>
    </row>
    <row r="198" spans="2:20" x14ac:dyDescent="0.2">
      <c r="B198" s="1">
        <f t="shared" si="6"/>
        <v>51379</v>
      </c>
      <c r="C198" s="2">
        <f t="shared" si="8"/>
        <v>182</v>
      </c>
      <c r="D198" s="3">
        <f t="shared" si="7"/>
        <v>0</v>
      </c>
      <c r="E198" s="3">
        <f>ROUND(Table1578[[#This Row],[Beginning Balance]]*Table1578[[#This Row],[Monthly Interest Rate]],2)</f>
        <v>0</v>
      </c>
      <c r="F198" s="3">
        <f t="shared" si="9"/>
        <v>-179</v>
      </c>
      <c r="G198" s="23">
        <f>IFERROR(IF($C$13="No","N/A",IF(Table1578[[#This Row],[Period]]=1,$C$6,PMT(InterestRate*AmortizationMultiplier/12,Table1578[[#This Row],[Am Thru]],-Table1578[[#This Row],[Beginning Balance]]))),0)</f>
        <v>0</v>
      </c>
      <c r="H198" s="3">
        <f>MAX(0,IF(C198=$C$4,D198,ROUND(IF($C$3="Fixed Principal",$C$6-Table1578[[#This Row],[Interest]],IF($C$3="Interest Only",Table1578[[#This Row],[Beginning Balance]]*ROUND(1-(1-IF($C$11="No",$E$8,1))^(1/12),6),MIN(IF($C$13="Yes",Table1578[[#This Row],[Payment Amount (Reamortized)]],$C$6)-Table1578[[#This Row],[Interest]],Table1578[[#This Row],[Beginning Balance]]))),2)))</f>
        <v>0</v>
      </c>
      <c r="I198" s="3">
        <f>_xlfn.SINGLE(IF($C$3="Line of Credit",0,ROUND(MAX(MIN(IF($C$10="No",$E$7,VLOOKUP(Table1578[[#This Row],[Period]],Forecast!$H$2:$L$1048576,4,FALSE))*Table1578[[#This Row],[Beginning Balance]],Table1578[[#This Row],[Beginning Balance]]-Table1578[[#This Row],[Principal]]),0),2)))</f>
        <v>0</v>
      </c>
      <c r="J198" s="3">
        <f>ROUND(MIN(Table1578[[#This Row],[Beginning Balance]]*IF($C$8="No",$E$3,VLOOKUP(Table1578[[#This Row],[Period]],Forecast!$H$2:$L$1048576,2,FALSE)),Table1578[[#This Row],[Beginning Balance]]-Table1578[[#This Row],[Principal]]-Table1578[[#This Row],[Prepayments]]),2)</f>
        <v>0</v>
      </c>
      <c r="K198" s="3">
        <f>ROUND(Table1578[[#This Row],[Defaulted Principal]]*IF($C$9="No",$E$4,VLOOKUP(Table1578[[#This Row],[Period]],Forecast!$H$2:$L$1048576,3,FALSE)),2)</f>
        <v>0</v>
      </c>
      <c r="L198" s="2">
        <f>Table1578[[#This Row],[Period]]+$E$9</f>
        <v>194</v>
      </c>
      <c r="M198" s="3">
        <f>Table1578[[#This Row],[Defaulted Principal]]-Table1578[[#This Row],[Estimated Loss]]</f>
        <v>0</v>
      </c>
      <c r="N198" s="3">
        <f>IFERROR(VLOOKUP(Table1578[[#This Row],[Period]],$L$16:$M$385,2,FALSE),0)</f>
        <v>0</v>
      </c>
      <c r="O198" s="3">
        <f>Table1578[[#This Row],[Beginning Balance]]-Table1578[[#This Row],[Principal]]-Table1578[[#This Row],[Prepayments]]-Table1578[[#This Row],[Defaulted Principal]]</f>
        <v>0</v>
      </c>
      <c r="P198" s="3">
        <f>Table1578[[#This Row],[Principal]]+Table1578[[#This Row],[Interest]]+Table1578[[#This Row],[Prepayments]]+Table1578[[#This Row],[RecoveredAmount]]</f>
        <v>0</v>
      </c>
      <c r="Q198" s="3">
        <f ca="1">ROUND(Table1578[[#This Row],[Cash Flow]]/((1+ActualRateToUse)^(IF(ISNUMBER(SEARCH("Actual",$C$7)),Table1578[[#This Row],[Running Total]]/365,Table1578[[#This Row],[Period]]/12))),2)</f>
        <v>0</v>
      </c>
      <c r="R198" s="2">
        <f>IF(MONTH(Table1578[[#This Row],[Date]])=2,28,DAY(DATE(YEAR(Table1578[[#This Row],[Date]]),MONTH(Table1578[[#This Row],[Date]])+1,1)-1))</f>
        <v>31</v>
      </c>
      <c r="S198" s="2">
        <f ca="1">SUM(OFFSET(Table1578[[#Headers],[Days in month]],1,0):Table1578[[#This Row],[Days in month]])</f>
        <v>5537</v>
      </c>
      <c r="T198" s="37">
        <f>InterestRate*AmortizationMultiplier*IF(ISNUMBER(SEARCH("Actual",$C$7)),Table1578[[#This Row],[Days in month]]/365,1/12)</f>
        <v>6.2344444444444444E-3</v>
      </c>
    </row>
    <row r="199" spans="2:20" x14ac:dyDescent="0.2">
      <c r="B199" s="1">
        <f t="shared" si="6"/>
        <v>51409</v>
      </c>
      <c r="C199" s="2">
        <f t="shared" si="8"/>
        <v>183</v>
      </c>
      <c r="D199" s="3">
        <f t="shared" si="7"/>
        <v>0</v>
      </c>
      <c r="E199" s="3">
        <f>ROUND(Table1578[[#This Row],[Beginning Balance]]*Table1578[[#This Row],[Monthly Interest Rate]],2)</f>
        <v>0</v>
      </c>
      <c r="F199" s="3">
        <f t="shared" si="9"/>
        <v>-180</v>
      </c>
      <c r="G199" s="23">
        <f>IFERROR(IF($C$13="No","N/A",IF(Table1578[[#This Row],[Period]]=1,$C$6,PMT(InterestRate*AmortizationMultiplier/12,Table1578[[#This Row],[Am Thru]],-Table1578[[#This Row],[Beginning Balance]]))),0)</f>
        <v>0</v>
      </c>
      <c r="H199" s="3">
        <f>MAX(0,IF(C199=$C$4,D199,ROUND(IF($C$3="Fixed Principal",$C$6-Table1578[[#This Row],[Interest]],IF($C$3="Interest Only",Table1578[[#This Row],[Beginning Balance]]*ROUND(1-(1-IF($C$11="No",$E$8,1))^(1/12),6),MIN(IF($C$13="Yes",Table1578[[#This Row],[Payment Amount (Reamortized)]],$C$6)-Table1578[[#This Row],[Interest]],Table1578[[#This Row],[Beginning Balance]]))),2)))</f>
        <v>0</v>
      </c>
      <c r="I199" s="3">
        <f>_xlfn.SINGLE(IF($C$3="Line of Credit",0,ROUND(MAX(MIN(IF($C$10="No",$E$7,VLOOKUP(Table1578[[#This Row],[Period]],Forecast!$H$2:$L$1048576,4,FALSE))*Table1578[[#This Row],[Beginning Balance]],Table1578[[#This Row],[Beginning Balance]]-Table1578[[#This Row],[Principal]]),0),2)))</f>
        <v>0</v>
      </c>
      <c r="J199" s="3">
        <f>ROUND(MIN(Table1578[[#This Row],[Beginning Balance]]*IF($C$8="No",$E$3,VLOOKUP(Table1578[[#This Row],[Period]],Forecast!$H$2:$L$1048576,2,FALSE)),Table1578[[#This Row],[Beginning Balance]]-Table1578[[#This Row],[Principal]]-Table1578[[#This Row],[Prepayments]]),2)</f>
        <v>0</v>
      </c>
      <c r="K199" s="3">
        <f>ROUND(Table1578[[#This Row],[Defaulted Principal]]*IF($C$9="No",$E$4,VLOOKUP(Table1578[[#This Row],[Period]],Forecast!$H$2:$L$1048576,3,FALSE)),2)</f>
        <v>0</v>
      </c>
      <c r="L199" s="2">
        <f>Table1578[[#This Row],[Period]]+$E$9</f>
        <v>195</v>
      </c>
      <c r="M199" s="3">
        <f>Table1578[[#This Row],[Defaulted Principal]]-Table1578[[#This Row],[Estimated Loss]]</f>
        <v>0</v>
      </c>
      <c r="N199" s="3">
        <f>IFERROR(VLOOKUP(Table1578[[#This Row],[Period]],$L$16:$M$385,2,FALSE),0)</f>
        <v>0</v>
      </c>
      <c r="O199" s="3">
        <f>Table1578[[#This Row],[Beginning Balance]]-Table1578[[#This Row],[Principal]]-Table1578[[#This Row],[Prepayments]]-Table1578[[#This Row],[Defaulted Principal]]</f>
        <v>0</v>
      </c>
      <c r="P199" s="3">
        <f>Table1578[[#This Row],[Principal]]+Table1578[[#This Row],[Interest]]+Table1578[[#This Row],[Prepayments]]+Table1578[[#This Row],[RecoveredAmount]]</f>
        <v>0</v>
      </c>
      <c r="Q199" s="3">
        <f ca="1">ROUND(Table1578[[#This Row],[Cash Flow]]/((1+ActualRateToUse)^(IF(ISNUMBER(SEARCH("Actual",$C$7)),Table1578[[#This Row],[Running Total]]/365,Table1578[[#This Row],[Period]]/12))),2)</f>
        <v>0</v>
      </c>
      <c r="R199" s="2">
        <f>IF(MONTH(Table1578[[#This Row],[Date]])=2,28,DAY(DATE(YEAR(Table1578[[#This Row],[Date]]),MONTH(Table1578[[#This Row],[Date]])+1,1)-1))</f>
        <v>30</v>
      </c>
      <c r="S199" s="2">
        <f ca="1">SUM(OFFSET(Table1578[[#Headers],[Days in month]],1,0):Table1578[[#This Row],[Days in month]])</f>
        <v>5567</v>
      </c>
      <c r="T199" s="37">
        <f>InterestRate*AmortizationMultiplier*IF(ISNUMBER(SEARCH("Actual",$C$7)),Table1578[[#This Row],[Days in month]]/365,1/12)</f>
        <v>6.0333333333333333E-3</v>
      </c>
    </row>
    <row r="200" spans="2:20" x14ac:dyDescent="0.2">
      <c r="B200" s="1">
        <f t="shared" si="6"/>
        <v>51440</v>
      </c>
      <c r="C200" s="2">
        <f t="shared" si="8"/>
        <v>184</v>
      </c>
      <c r="D200" s="3">
        <f t="shared" si="7"/>
        <v>0</v>
      </c>
      <c r="E200" s="3">
        <f>ROUND(Table1578[[#This Row],[Beginning Balance]]*Table1578[[#This Row],[Monthly Interest Rate]],2)</f>
        <v>0</v>
      </c>
      <c r="F200" s="3">
        <f t="shared" si="9"/>
        <v>-181</v>
      </c>
      <c r="G200" s="23">
        <f>IFERROR(IF($C$13="No","N/A",IF(Table1578[[#This Row],[Period]]=1,$C$6,PMT(InterestRate*AmortizationMultiplier/12,Table1578[[#This Row],[Am Thru]],-Table1578[[#This Row],[Beginning Balance]]))),0)</f>
        <v>0</v>
      </c>
      <c r="H200" s="3">
        <f>MAX(0,IF(C200=$C$4,D200,ROUND(IF($C$3="Fixed Principal",$C$6-Table1578[[#This Row],[Interest]],IF($C$3="Interest Only",Table1578[[#This Row],[Beginning Balance]]*ROUND(1-(1-IF($C$11="No",$E$8,1))^(1/12),6),MIN(IF($C$13="Yes",Table1578[[#This Row],[Payment Amount (Reamortized)]],$C$6)-Table1578[[#This Row],[Interest]],Table1578[[#This Row],[Beginning Balance]]))),2)))</f>
        <v>0</v>
      </c>
      <c r="I200" s="3">
        <f>_xlfn.SINGLE(IF($C$3="Line of Credit",0,ROUND(MAX(MIN(IF($C$10="No",$E$7,VLOOKUP(Table1578[[#This Row],[Period]],Forecast!$H$2:$L$1048576,4,FALSE))*Table1578[[#This Row],[Beginning Balance]],Table1578[[#This Row],[Beginning Balance]]-Table1578[[#This Row],[Principal]]),0),2)))</f>
        <v>0</v>
      </c>
      <c r="J200" s="3">
        <f>ROUND(MIN(Table1578[[#This Row],[Beginning Balance]]*IF($C$8="No",$E$3,VLOOKUP(Table1578[[#This Row],[Period]],Forecast!$H$2:$L$1048576,2,FALSE)),Table1578[[#This Row],[Beginning Balance]]-Table1578[[#This Row],[Principal]]-Table1578[[#This Row],[Prepayments]]),2)</f>
        <v>0</v>
      </c>
      <c r="K200" s="3">
        <f>ROUND(Table1578[[#This Row],[Defaulted Principal]]*IF($C$9="No",$E$4,VLOOKUP(Table1578[[#This Row],[Period]],Forecast!$H$2:$L$1048576,3,FALSE)),2)</f>
        <v>0</v>
      </c>
      <c r="L200" s="2">
        <f>Table1578[[#This Row],[Period]]+$E$9</f>
        <v>196</v>
      </c>
      <c r="M200" s="3">
        <f>Table1578[[#This Row],[Defaulted Principal]]-Table1578[[#This Row],[Estimated Loss]]</f>
        <v>0</v>
      </c>
      <c r="N200" s="3">
        <f>IFERROR(VLOOKUP(Table1578[[#This Row],[Period]],$L$16:$M$385,2,FALSE),0)</f>
        <v>0</v>
      </c>
      <c r="O200" s="3">
        <f>Table1578[[#This Row],[Beginning Balance]]-Table1578[[#This Row],[Principal]]-Table1578[[#This Row],[Prepayments]]-Table1578[[#This Row],[Defaulted Principal]]</f>
        <v>0</v>
      </c>
      <c r="P200" s="3">
        <f>Table1578[[#This Row],[Principal]]+Table1578[[#This Row],[Interest]]+Table1578[[#This Row],[Prepayments]]+Table1578[[#This Row],[RecoveredAmount]]</f>
        <v>0</v>
      </c>
      <c r="Q200" s="3">
        <f ca="1">ROUND(Table1578[[#This Row],[Cash Flow]]/((1+ActualRateToUse)^(IF(ISNUMBER(SEARCH("Actual",$C$7)),Table1578[[#This Row],[Running Total]]/365,Table1578[[#This Row],[Period]]/12))),2)</f>
        <v>0</v>
      </c>
      <c r="R200" s="2">
        <f>IF(MONTH(Table1578[[#This Row],[Date]])=2,28,DAY(DATE(YEAR(Table1578[[#This Row],[Date]]),MONTH(Table1578[[#This Row],[Date]])+1,1)-1))</f>
        <v>31</v>
      </c>
      <c r="S200" s="2">
        <f ca="1">SUM(OFFSET(Table1578[[#Headers],[Days in month]],1,0):Table1578[[#This Row],[Days in month]])</f>
        <v>5598</v>
      </c>
      <c r="T200" s="37">
        <f>InterestRate*AmortizationMultiplier*IF(ISNUMBER(SEARCH("Actual",$C$7)),Table1578[[#This Row],[Days in month]]/365,1/12)</f>
        <v>6.2344444444444444E-3</v>
      </c>
    </row>
    <row r="201" spans="2:20" x14ac:dyDescent="0.2">
      <c r="B201" s="1">
        <f t="shared" si="6"/>
        <v>51470</v>
      </c>
      <c r="C201" s="2">
        <f t="shared" si="8"/>
        <v>185</v>
      </c>
      <c r="D201" s="3">
        <f t="shared" si="7"/>
        <v>0</v>
      </c>
      <c r="E201" s="3">
        <f>ROUND(Table1578[[#This Row],[Beginning Balance]]*Table1578[[#This Row],[Monthly Interest Rate]],2)</f>
        <v>0</v>
      </c>
      <c r="F201" s="3">
        <f t="shared" si="9"/>
        <v>-182</v>
      </c>
      <c r="G201" s="23">
        <f>IFERROR(IF($C$13="No","N/A",IF(Table1578[[#This Row],[Period]]=1,$C$6,PMT(InterestRate*AmortizationMultiplier/12,Table1578[[#This Row],[Am Thru]],-Table1578[[#This Row],[Beginning Balance]]))),0)</f>
        <v>0</v>
      </c>
      <c r="H201" s="3">
        <f>MAX(0,IF(C201=$C$4,D201,ROUND(IF($C$3="Fixed Principal",$C$6-Table1578[[#This Row],[Interest]],IF($C$3="Interest Only",Table1578[[#This Row],[Beginning Balance]]*ROUND(1-(1-IF($C$11="No",$E$8,1))^(1/12),6),MIN(IF($C$13="Yes",Table1578[[#This Row],[Payment Amount (Reamortized)]],$C$6)-Table1578[[#This Row],[Interest]],Table1578[[#This Row],[Beginning Balance]]))),2)))</f>
        <v>0</v>
      </c>
      <c r="I201" s="3">
        <f>_xlfn.SINGLE(IF($C$3="Line of Credit",0,ROUND(MAX(MIN(IF($C$10="No",$E$7,VLOOKUP(Table1578[[#This Row],[Period]],Forecast!$H$2:$L$1048576,4,FALSE))*Table1578[[#This Row],[Beginning Balance]],Table1578[[#This Row],[Beginning Balance]]-Table1578[[#This Row],[Principal]]),0),2)))</f>
        <v>0</v>
      </c>
      <c r="J201" s="3">
        <f>ROUND(MIN(Table1578[[#This Row],[Beginning Balance]]*IF($C$8="No",$E$3,VLOOKUP(Table1578[[#This Row],[Period]],Forecast!$H$2:$L$1048576,2,FALSE)),Table1578[[#This Row],[Beginning Balance]]-Table1578[[#This Row],[Principal]]-Table1578[[#This Row],[Prepayments]]),2)</f>
        <v>0</v>
      </c>
      <c r="K201" s="3">
        <f>ROUND(Table1578[[#This Row],[Defaulted Principal]]*IF($C$9="No",$E$4,VLOOKUP(Table1578[[#This Row],[Period]],Forecast!$H$2:$L$1048576,3,FALSE)),2)</f>
        <v>0</v>
      </c>
      <c r="L201" s="2">
        <f>Table1578[[#This Row],[Period]]+$E$9</f>
        <v>197</v>
      </c>
      <c r="M201" s="3">
        <f>Table1578[[#This Row],[Defaulted Principal]]-Table1578[[#This Row],[Estimated Loss]]</f>
        <v>0</v>
      </c>
      <c r="N201" s="3">
        <f>IFERROR(VLOOKUP(Table1578[[#This Row],[Period]],$L$16:$M$385,2,FALSE),0)</f>
        <v>0</v>
      </c>
      <c r="O201" s="3">
        <f>Table1578[[#This Row],[Beginning Balance]]-Table1578[[#This Row],[Principal]]-Table1578[[#This Row],[Prepayments]]-Table1578[[#This Row],[Defaulted Principal]]</f>
        <v>0</v>
      </c>
      <c r="P201" s="3">
        <f>Table1578[[#This Row],[Principal]]+Table1578[[#This Row],[Interest]]+Table1578[[#This Row],[Prepayments]]+Table1578[[#This Row],[RecoveredAmount]]</f>
        <v>0</v>
      </c>
      <c r="Q201" s="3">
        <f ca="1">ROUND(Table1578[[#This Row],[Cash Flow]]/((1+ActualRateToUse)^(IF(ISNUMBER(SEARCH("Actual",$C$7)),Table1578[[#This Row],[Running Total]]/365,Table1578[[#This Row],[Period]]/12))),2)</f>
        <v>0</v>
      </c>
      <c r="R201" s="2">
        <f>IF(MONTH(Table1578[[#This Row],[Date]])=2,28,DAY(DATE(YEAR(Table1578[[#This Row],[Date]]),MONTH(Table1578[[#This Row],[Date]])+1,1)-1))</f>
        <v>30</v>
      </c>
      <c r="S201" s="2">
        <f ca="1">SUM(OFFSET(Table1578[[#Headers],[Days in month]],1,0):Table1578[[#This Row],[Days in month]])</f>
        <v>5628</v>
      </c>
      <c r="T201" s="37">
        <f>InterestRate*AmortizationMultiplier*IF(ISNUMBER(SEARCH("Actual",$C$7)),Table1578[[#This Row],[Days in month]]/365,1/12)</f>
        <v>6.0333333333333333E-3</v>
      </c>
    </row>
    <row r="202" spans="2:20" x14ac:dyDescent="0.2">
      <c r="B202" s="1">
        <f t="shared" si="6"/>
        <v>51501</v>
      </c>
      <c r="C202" s="2">
        <f t="shared" si="8"/>
        <v>186</v>
      </c>
      <c r="D202" s="3">
        <f t="shared" si="7"/>
        <v>0</v>
      </c>
      <c r="E202" s="3">
        <f>ROUND(Table1578[[#This Row],[Beginning Balance]]*Table1578[[#This Row],[Monthly Interest Rate]],2)</f>
        <v>0</v>
      </c>
      <c r="F202" s="3">
        <f t="shared" si="9"/>
        <v>-183</v>
      </c>
      <c r="G202" s="23">
        <f>IFERROR(IF($C$13="No","N/A",IF(Table1578[[#This Row],[Period]]=1,$C$6,PMT(InterestRate*AmortizationMultiplier/12,Table1578[[#This Row],[Am Thru]],-Table1578[[#This Row],[Beginning Balance]]))),0)</f>
        <v>0</v>
      </c>
      <c r="H202" s="3">
        <f>MAX(0,IF(C202=$C$4,D202,ROUND(IF($C$3="Fixed Principal",$C$6-Table1578[[#This Row],[Interest]],IF($C$3="Interest Only",Table1578[[#This Row],[Beginning Balance]]*ROUND(1-(1-IF($C$11="No",$E$8,1))^(1/12),6),MIN(IF($C$13="Yes",Table1578[[#This Row],[Payment Amount (Reamortized)]],$C$6)-Table1578[[#This Row],[Interest]],Table1578[[#This Row],[Beginning Balance]]))),2)))</f>
        <v>0</v>
      </c>
      <c r="I202" s="3">
        <f>_xlfn.SINGLE(IF($C$3="Line of Credit",0,ROUND(MAX(MIN(IF($C$10="No",$E$7,VLOOKUP(Table1578[[#This Row],[Period]],Forecast!$H$2:$L$1048576,4,FALSE))*Table1578[[#This Row],[Beginning Balance]],Table1578[[#This Row],[Beginning Balance]]-Table1578[[#This Row],[Principal]]),0),2)))</f>
        <v>0</v>
      </c>
      <c r="J202" s="3">
        <f>ROUND(MIN(Table1578[[#This Row],[Beginning Balance]]*IF($C$8="No",$E$3,VLOOKUP(Table1578[[#This Row],[Period]],Forecast!$H$2:$L$1048576,2,FALSE)),Table1578[[#This Row],[Beginning Balance]]-Table1578[[#This Row],[Principal]]-Table1578[[#This Row],[Prepayments]]),2)</f>
        <v>0</v>
      </c>
      <c r="K202" s="3">
        <f>ROUND(Table1578[[#This Row],[Defaulted Principal]]*IF($C$9="No",$E$4,VLOOKUP(Table1578[[#This Row],[Period]],Forecast!$H$2:$L$1048576,3,FALSE)),2)</f>
        <v>0</v>
      </c>
      <c r="L202" s="2">
        <f>Table1578[[#This Row],[Period]]+$E$9</f>
        <v>198</v>
      </c>
      <c r="M202" s="3">
        <f>Table1578[[#This Row],[Defaulted Principal]]-Table1578[[#This Row],[Estimated Loss]]</f>
        <v>0</v>
      </c>
      <c r="N202" s="3">
        <f>IFERROR(VLOOKUP(Table1578[[#This Row],[Period]],$L$16:$M$385,2,FALSE),0)</f>
        <v>0</v>
      </c>
      <c r="O202" s="3">
        <f>Table1578[[#This Row],[Beginning Balance]]-Table1578[[#This Row],[Principal]]-Table1578[[#This Row],[Prepayments]]-Table1578[[#This Row],[Defaulted Principal]]</f>
        <v>0</v>
      </c>
      <c r="P202" s="3">
        <f>Table1578[[#This Row],[Principal]]+Table1578[[#This Row],[Interest]]+Table1578[[#This Row],[Prepayments]]+Table1578[[#This Row],[RecoveredAmount]]</f>
        <v>0</v>
      </c>
      <c r="Q202" s="3">
        <f ca="1">ROUND(Table1578[[#This Row],[Cash Flow]]/((1+ActualRateToUse)^(IF(ISNUMBER(SEARCH("Actual",$C$7)),Table1578[[#This Row],[Running Total]]/365,Table1578[[#This Row],[Period]]/12))),2)</f>
        <v>0</v>
      </c>
      <c r="R202" s="2">
        <f>IF(MONTH(Table1578[[#This Row],[Date]])=2,28,DAY(DATE(YEAR(Table1578[[#This Row],[Date]]),MONTH(Table1578[[#This Row],[Date]])+1,1)-1))</f>
        <v>31</v>
      </c>
      <c r="S202" s="2">
        <f ca="1">SUM(OFFSET(Table1578[[#Headers],[Days in month]],1,0):Table1578[[#This Row],[Days in month]])</f>
        <v>5659</v>
      </c>
      <c r="T202" s="37">
        <f>InterestRate*AmortizationMultiplier*IF(ISNUMBER(SEARCH("Actual",$C$7)),Table1578[[#This Row],[Days in month]]/365,1/12)</f>
        <v>6.2344444444444444E-3</v>
      </c>
    </row>
    <row r="203" spans="2:20" x14ac:dyDescent="0.2">
      <c r="B203" s="1">
        <f t="shared" ref="B203:B266" si="10">EOMONTH(B202,1)</f>
        <v>51532</v>
      </c>
      <c r="C203" s="2">
        <f t="shared" si="8"/>
        <v>187</v>
      </c>
      <c r="D203" s="3">
        <f t="shared" si="7"/>
        <v>0</v>
      </c>
      <c r="E203" s="3">
        <f>ROUND(Table1578[[#This Row],[Beginning Balance]]*Table1578[[#This Row],[Monthly Interest Rate]],2)</f>
        <v>0</v>
      </c>
      <c r="F203" s="3">
        <f t="shared" si="9"/>
        <v>-184</v>
      </c>
      <c r="G203" s="23">
        <f>IFERROR(IF($C$13="No","N/A",IF(Table1578[[#This Row],[Period]]=1,$C$6,PMT(InterestRate*AmortizationMultiplier/12,Table1578[[#This Row],[Am Thru]],-Table1578[[#This Row],[Beginning Balance]]))),0)</f>
        <v>0</v>
      </c>
      <c r="H203" s="3">
        <f>MAX(0,IF(C203=$C$4,D203,ROUND(IF($C$3="Fixed Principal",$C$6-Table1578[[#This Row],[Interest]],IF($C$3="Interest Only",Table1578[[#This Row],[Beginning Balance]]*ROUND(1-(1-IF($C$11="No",$E$8,1))^(1/12),6),MIN(IF($C$13="Yes",Table1578[[#This Row],[Payment Amount (Reamortized)]],$C$6)-Table1578[[#This Row],[Interest]],Table1578[[#This Row],[Beginning Balance]]))),2)))</f>
        <v>0</v>
      </c>
      <c r="I203" s="3">
        <f>_xlfn.SINGLE(IF($C$3="Line of Credit",0,ROUND(MAX(MIN(IF($C$10="No",$E$7,VLOOKUP(Table1578[[#This Row],[Period]],Forecast!$H$2:$L$1048576,4,FALSE))*Table1578[[#This Row],[Beginning Balance]],Table1578[[#This Row],[Beginning Balance]]-Table1578[[#This Row],[Principal]]),0),2)))</f>
        <v>0</v>
      </c>
      <c r="J203" s="3">
        <f>ROUND(MIN(Table1578[[#This Row],[Beginning Balance]]*IF($C$8="No",$E$3,VLOOKUP(Table1578[[#This Row],[Period]],Forecast!$H$2:$L$1048576,2,FALSE)),Table1578[[#This Row],[Beginning Balance]]-Table1578[[#This Row],[Principal]]-Table1578[[#This Row],[Prepayments]]),2)</f>
        <v>0</v>
      </c>
      <c r="K203" s="3">
        <f>ROUND(Table1578[[#This Row],[Defaulted Principal]]*IF($C$9="No",$E$4,VLOOKUP(Table1578[[#This Row],[Period]],Forecast!$H$2:$L$1048576,3,FALSE)),2)</f>
        <v>0</v>
      </c>
      <c r="L203" s="2">
        <f>Table1578[[#This Row],[Period]]+$E$9</f>
        <v>199</v>
      </c>
      <c r="M203" s="3">
        <f>Table1578[[#This Row],[Defaulted Principal]]-Table1578[[#This Row],[Estimated Loss]]</f>
        <v>0</v>
      </c>
      <c r="N203" s="3">
        <f>IFERROR(VLOOKUP(Table1578[[#This Row],[Period]],$L$16:$M$385,2,FALSE),0)</f>
        <v>0</v>
      </c>
      <c r="O203" s="3">
        <f>Table1578[[#This Row],[Beginning Balance]]-Table1578[[#This Row],[Principal]]-Table1578[[#This Row],[Prepayments]]-Table1578[[#This Row],[Defaulted Principal]]</f>
        <v>0</v>
      </c>
      <c r="P203" s="3">
        <f>Table1578[[#This Row],[Principal]]+Table1578[[#This Row],[Interest]]+Table1578[[#This Row],[Prepayments]]+Table1578[[#This Row],[RecoveredAmount]]</f>
        <v>0</v>
      </c>
      <c r="Q203" s="3">
        <f ca="1">ROUND(Table1578[[#This Row],[Cash Flow]]/((1+ActualRateToUse)^(IF(ISNUMBER(SEARCH("Actual",$C$7)),Table1578[[#This Row],[Running Total]]/365,Table1578[[#This Row],[Period]]/12))),2)</f>
        <v>0</v>
      </c>
      <c r="R203" s="2">
        <f>IF(MONTH(Table1578[[#This Row],[Date]])=2,28,DAY(DATE(YEAR(Table1578[[#This Row],[Date]]),MONTH(Table1578[[#This Row],[Date]])+1,1)-1))</f>
        <v>31</v>
      </c>
      <c r="S203" s="2">
        <f ca="1">SUM(OFFSET(Table1578[[#Headers],[Days in month]],1,0):Table1578[[#This Row],[Days in month]])</f>
        <v>5690</v>
      </c>
      <c r="T203" s="37">
        <f>InterestRate*AmortizationMultiplier*IF(ISNUMBER(SEARCH("Actual",$C$7)),Table1578[[#This Row],[Days in month]]/365,1/12)</f>
        <v>6.2344444444444444E-3</v>
      </c>
    </row>
    <row r="204" spans="2:20" x14ac:dyDescent="0.2">
      <c r="B204" s="1">
        <f t="shared" si="10"/>
        <v>51560</v>
      </c>
      <c r="C204" s="2">
        <f t="shared" si="8"/>
        <v>188</v>
      </c>
      <c r="D204" s="3">
        <f t="shared" si="7"/>
        <v>0</v>
      </c>
      <c r="E204" s="3">
        <f>ROUND(Table1578[[#This Row],[Beginning Balance]]*Table1578[[#This Row],[Monthly Interest Rate]],2)</f>
        <v>0</v>
      </c>
      <c r="F204" s="3">
        <f t="shared" si="9"/>
        <v>-185</v>
      </c>
      <c r="G204" s="23">
        <f>IFERROR(IF($C$13="No","N/A",IF(Table1578[[#This Row],[Period]]=1,$C$6,PMT(InterestRate*AmortizationMultiplier/12,Table1578[[#This Row],[Am Thru]],-Table1578[[#This Row],[Beginning Balance]]))),0)</f>
        <v>0</v>
      </c>
      <c r="H204" s="3">
        <f>MAX(0,IF(C204=$C$4,D204,ROUND(IF($C$3="Fixed Principal",$C$6-Table1578[[#This Row],[Interest]],IF($C$3="Interest Only",Table1578[[#This Row],[Beginning Balance]]*ROUND(1-(1-IF($C$11="No",$E$8,1))^(1/12),6),MIN(IF($C$13="Yes",Table1578[[#This Row],[Payment Amount (Reamortized)]],$C$6)-Table1578[[#This Row],[Interest]],Table1578[[#This Row],[Beginning Balance]]))),2)))</f>
        <v>0</v>
      </c>
      <c r="I204" s="3">
        <f>_xlfn.SINGLE(IF($C$3="Line of Credit",0,ROUND(MAX(MIN(IF($C$10="No",$E$7,VLOOKUP(Table1578[[#This Row],[Period]],Forecast!$H$2:$L$1048576,4,FALSE))*Table1578[[#This Row],[Beginning Balance]],Table1578[[#This Row],[Beginning Balance]]-Table1578[[#This Row],[Principal]]),0),2)))</f>
        <v>0</v>
      </c>
      <c r="J204" s="3">
        <f>ROUND(MIN(Table1578[[#This Row],[Beginning Balance]]*IF($C$8="No",$E$3,VLOOKUP(Table1578[[#This Row],[Period]],Forecast!$H$2:$L$1048576,2,FALSE)),Table1578[[#This Row],[Beginning Balance]]-Table1578[[#This Row],[Principal]]-Table1578[[#This Row],[Prepayments]]),2)</f>
        <v>0</v>
      </c>
      <c r="K204" s="3">
        <f>ROUND(Table1578[[#This Row],[Defaulted Principal]]*IF($C$9="No",$E$4,VLOOKUP(Table1578[[#This Row],[Period]],Forecast!$H$2:$L$1048576,3,FALSE)),2)</f>
        <v>0</v>
      </c>
      <c r="L204" s="2">
        <f>Table1578[[#This Row],[Period]]+$E$9</f>
        <v>200</v>
      </c>
      <c r="M204" s="3">
        <f>Table1578[[#This Row],[Defaulted Principal]]-Table1578[[#This Row],[Estimated Loss]]</f>
        <v>0</v>
      </c>
      <c r="N204" s="3">
        <f>IFERROR(VLOOKUP(Table1578[[#This Row],[Period]],$L$16:$M$385,2,FALSE),0)</f>
        <v>0</v>
      </c>
      <c r="O204" s="3">
        <f>Table1578[[#This Row],[Beginning Balance]]-Table1578[[#This Row],[Principal]]-Table1578[[#This Row],[Prepayments]]-Table1578[[#This Row],[Defaulted Principal]]</f>
        <v>0</v>
      </c>
      <c r="P204" s="3">
        <f>Table1578[[#This Row],[Principal]]+Table1578[[#This Row],[Interest]]+Table1578[[#This Row],[Prepayments]]+Table1578[[#This Row],[RecoveredAmount]]</f>
        <v>0</v>
      </c>
      <c r="Q204" s="3">
        <f ca="1">ROUND(Table1578[[#This Row],[Cash Flow]]/((1+ActualRateToUse)^(IF(ISNUMBER(SEARCH("Actual",$C$7)),Table1578[[#This Row],[Running Total]]/365,Table1578[[#This Row],[Period]]/12))),2)</f>
        <v>0</v>
      </c>
      <c r="R204" s="2">
        <f>IF(MONTH(Table1578[[#This Row],[Date]])=2,28,DAY(DATE(YEAR(Table1578[[#This Row],[Date]]),MONTH(Table1578[[#This Row],[Date]])+1,1)-1))</f>
        <v>28</v>
      </c>
      <c r="S204" s="2">
        <f ca="1">SUM(OFFSET(Table1578[[#Headers],[Days in month]],1,0):Table1578[[#This Row],[Days in month]])</f>
        <v>5718</v>
      </c>
      <c r="T204" s="37">
        <f>InterestRate*AmortizationMultiplier*IF(ISNUMBER(SEARCH("Actual",$C$7)),Table1578[[#This Row],[Days in month]]/365,1/12)</f>
        <v>5.6311111111111119E-3</v>
      </c>
    </row>
    <row r="205" spans="2:20" x14ac:dyDescent="0.2">
      <c r="B205" s="1">
        <f t="shared" si="10"/>
        <v>51591</v>
      </c>
      <c r="C205" s="2">
        <f t="shared" si="8"/>
        <v>189</v>
      </c>
      <c r="D205" s="3">
        <f t="shared" si="7"/>
        <v>0</v>
      </c>
      <c r="E205" s="3">
        <f>ROUND(Table1578[[#This Row],[Beginning Balance]]*Table1578[[#This Row],[Monthly Interest Rate]],2)</f>
        <v>0</v>
      </c>
      <c r="F205" s="3">
        <f t="shared" si="9"/>
        <v>-186</v>
      </c>
      <c r="G205" s="23">
        <f>IFERROR(IF($C$13="No","N/A",IF(Table1578[[#This Row],[Period]]=1,$C$6,PMT(InterestRate*AmortizationMultiplier/12,Table1578[[#This Row],[Am Thru]],-Table1578[[#This Row],[Beginning Balance]]))),0)</f>
        <v>0</v>
      </c>
      <c r="H205" s="3">
        <f>MAX(0,IF(C205=$C$4,D205,ROUND(IF($C$3="Fixed Principal",$C$6-Table1578[[#This Row],[Interest]],IF($C$3="Interest Only",Table1578[[#This Row],[Beginning Balance]]*ROUND(1-(1-IF($C$11="No",$E$8,1))^(1/12),6),MIN(IF($C$13="Yes",Table1578[[#This Row],[Payment Amount (Reamortized)]],$C$6)-Table1578[[#This Row],[Interest]],Table1578[[#This Row],[Beginning Balance]]))),2)))</f>
        <v>0</v>
      </c>
      <c r="I205" s="3">
        <f>_xlfn.SINGLE(IF($C$3="Line of Credit",0,ROUND(MAX(MIN(IF($C$10="No",$E$7,VLOOKUP(Table1578[[#This Row],[Period]],Forecast!$H$2:$L$1048576,4,FALSE))*Table1578[[#This Row],[Beginning Balance]],Table1578[[#This Row],[Beginning Balance]]-Table1578[[#This Row],[Principal]]),0),2)))</f>
        <v>0</v>
      </c>
      <c r="J205" s="3">
        <f>ROUND(MIN(Table1578[[#This Row],[Beginning Balance]]*IF($C$8="No",$E$3,VLOOKUP(Table1578[[#This Row],[Period]],Forecast!$H$2:$L$1048576,2,FALSE)),Table1578[[#This Row],[Beginning Balance]]-Table1578[[#This Row],[Principal]]-Table1578[[#This Row],[Prepayments]]),2)</f>
        <v>0</v>
      </c>
      <c r="K205" s="3">
        <f>ROUND(Table1578[[#This Row],[Defaulted Principal]]*IF($C$9="No",$E$4,VLOOKUP(Table1578[[#This Row],[Period]],Forecast!$H$2:$L$1048576,3,FALSE)),2)</f>
        <v>0</v>
      </c>
      <c r="L205" s="2">
        <f>Table1578[[#This Row],[Period]]+$E$9</f>
        <v>201</v>
      </c>
      <c r="M205" s="3">
        <f>Table1578[[#This Row],[Defaulted Principal]]-Table1578[[#This Row],[Estimated Loss]]</f>
        <v>0</v>
      </c>
      <c r="N205" s="3">
        <f>IFERROR(VLOOKUP(Table1578[[#This Row],[Period]],$L$16:$M$385,2,FALSE),0)</f>
        <v>0</v>
      </c>
      <c r="O205" s="3">
        <f>Table1578[[#This Row],[Beginning Balance]]-Table1578[[#This Row],[Principal]]-Table1578[[#This Row],[Prepayments]]-Table1578[[#This Row],[Defaulted Principal]]</f>
        <v>0</v>
      </c>
      <c r="P205" s="3">
        <f>Table1578[[#This Row],[Principal]]+Table1578[[#This Row],[Interest]]+Table1578[[#This Row],[Prepayments]]+Table1578[[#This Row],[RecoveredAmount]]</f>
        <v>0</v>
      </c>
      <c r="Q205" s="3">
        <f ca="1">ROUND(Table1578[[#This Row],[Cash Flow]]/((1+ActualRateToUse)^(IF(ISNUMBER(SEARCH("Actual",$C$7)),Table1578[[#This Row],[Running Total]]/365,Table1578[[#This Row],[Period]]/12))),2)</f>
        <v>0</v>
      </c>
      <c r="R205" s="2">
        <f>IF(MONTH(Table1578[[#This Row],[Date]])=2,28,DAY(DATE(YEAR(Table1578[[#This Row],[Date]]),MONTH(Table1578[[#This Row],[Date]])+1,1)-1))</f>
        <v>31</v>
      </c>
      <c r="S205" s="2">
        <f ca="1">SUM(OFFSET(Table1578[[#Headers],[Days in month]],1,0):Table1578[[#This Row],[Days in month]])</f>
        <v>5749</v>
      </c>
      <c r="T205" s="37">
        <f>InterestRate*AmortizationMultiplier*IF(ISNUMBER(SEARCH("Actual",$C$7)),Table1578[[#This Row],[Days in month]]/365,1/12)</f>
        <v>6.2344444444444444E-3</v>
      </c>
    </row>
    <row r="206" spans="2:20" x14ac:dyDescent="0.2">
      <c r="B206" s="1">
        <f t="shared" si="10"/>
        <v>51621</v>
      </c>
      <c r="C206" s="2">
        <f t="shared" si="8"/>
        <v>190</v>
      </c>
      <c r="D206" s="3">
        <f t="shared" si="7"/>
        <v>0</v>
      </c>
      <c r="E206" s="3">
        <f>ROUND(Table1578[[#This Row],[Beginning Balance]]*Table1578[[#This Row],[Monthly Interest Rate]],2)</f>
        <v>0</v>
      </c>
      <c r="F206" s="3">
        <f t="shared" si="9"/>
        <v>-187</v>
      </c>
      <c r="G206" s="23">
        <f>IFERROR(IF($C$13="No","N/A",IF(Table1578[[#This Row],[Period]]=1,$C$6,PMT(InterestRate*AmortizationMultiplier/12,Table1578[[#This Row],[Am Thru]],-Table1578[[#This Row],[Beginning Balance]]))),0)</f>
        <v>0</v>
      </c>
      <c r="H206" s="3">
        <f>MAX(0,IF(C206=$C$4,D206,ROUND(IF($C$3="Fixed Principal",$C$6-Table1578[[#This Row],[Interest]],IF($C$3="Interest Only",Table1578[[#This Row],[Beginning Balance]]*ROUND(1-(1-IF($C$11="No",$E$8,1))^(1/12),6),MIN(IF($C$13="Yes",Table1578[[#This Row],[Payment Amount (Reamortized)]],$C$6)-Table1578[[#This Row],[Interest]],Table1578[[#This Row],[Beginning Balance]]))),2)))</f>
        <v>0</v>
      </c>
      <c r="I206" s="3">
        <f>_xlfn.SINGLE(IF($C$3="Line of Credit",0,ROUND(MAX(MIN(IF($C$10="No",$E$7,VLOOKUP(Table1578[[#This Row],[Period]],Forecast!$H$2:$L$1048576,4,FALSE))*Table1578[[#This Row],[Beginning Balance]],Table1578[[#This Row],[Beginning Balance]]-Table1578[[#This Row],[Principal]]),0),2)))</f>
        <v>0</v>
      </c>
      <c r="J206" s="3">
        <f>ROUND(MIN(Table1578[[#This Row],[Beginning Balance]]*IF($C$8="No",$E$3,VLOOKUP(Table1578[[#This Row],[Period]],Forecast!$H$2:$L$1048576,2,FALSE)),Table1578[[#This Row],[Beginning Balance]]-Table1578[[#This Row],[Principal]]-Table1578[[#This Row],[Prepayments]]),2)</f>
        <v>0</v>
      </c>
      <c r="K206" s="3">
        <f>ROUND(Table1578[[#This Row],[Defaulted Principal]]*IF($C$9="No",$E$4,VLOOKUP(Table1578[[#This Row],[Period]],Forecast!$H$2:$L$1048576,3,FALSE)),2)</f>
        <v>0</v>
      </c>
      <c r="L206" s="2">
        <f>Table1578[[#This Row],[Period]]+$E$9</f>
        <v>202</v>
      </c>
      <c r="M206" s="3">
        <f>Table1578[[#This Row],[Defaulted Principal]]-Table1578[[#This Row],[Estimated Loss]]</f>
        <v>0</v>
      </c>
      <c r="N206" s="3">
        <f>IFERROR(VLOOKUP(Table1578[[#This Row],[Period]],$L$16:$M$385,2,FALSE),0)</f>
        <v>0</v>
      </c>
      <c r="O206" s="3">
        <f>Table1578[[#This Row],[Beginning Balance]]-Table1578[[#This Row],[Principal]]-Table1578[[#This Row],[Prepayments]]-Table1578[[#This Row],[Defaulted Principal]]</f>
        <v>0</v>
      </c>
      <c r="P206" s="3">
        <f>Table1578[[#This Row],[Principal]]+Table1578[[#This Row],[Interest]]+Table1578[[#This Row],[Prepayments]]+Table1578[[#This Row],[RecoveredAmount]]</f>
        <v>0</v>
      </c>
      <c r="Q206" s="3">
        <f ca="1">ROUND(Table1578[[#This Row],[Cash Flow]]/((1+ActualRateToUse)^(IF(ISNUMBER(SEARCH("Actual",$C$7)),Table1578[[#This Row],[Running Total]]/365,Table1578[[#This Row],[Period]]/12))),2)</f>
        <v>0</v>
      </c>
      <c r="R206" s="2">
        <f>IF(MONTH(Table1578[[#This Row],[Date]])=2,28,DAY(DATE(YEAR(Table1578[[#This Row],[Date]]),MONTH(Table1578[[#This Row],[Date]])+1,1)-1))</f>
        <v>30</v>
      </c>
      <c r="S206" s="2">
        <f ca="1">SUM(OFFSET(Table1578[[#Headers],[Days in month]],1,0):Table1578[[#This Row],[Days in month]])</f>
        <v>5779</v>
      </c>
      <c r="T206" s="37">
        <f>InterestRate*AmortizationMultiplier*IF(ISNUMBER(SEARCH("Actual",$C$7)),Table1578[[#This Row],[Days in month]]/365,1/12)</f>
        <v>6.0333333333333333E-3</v>
      </c>
    </row>
    <row r="207" spans="2:20" x14ac:dyDescent="0.2">
      <c r="B207" s="1">
        <f t="shared" si="10"/>
        <v>51652</v>
      </c>
      <c r="C207" s="2">
        <f t="shared" si="8"/>
        <v>191</v>
      </c>
      <c r="D207" s="3">
        <f t="shared" si="7"/>
        <v>0</v>
      </c>
      <c r="E207" s="3">
        <f>ROUND(Table1578[[#This Row],[Beginning Balance]]*Table1578[[#This Row],[Monthly Interest Rate]],2)</f>
        <v>0</v>
      </c>
      <c r="F207" s="3">
        <f t="shared" si="9"/>
        <v>-188</v>
      </c>
      <c r="G207" s="23">
        <f>IFERROR(IF($C$13="No","N/A",IF(Table1578[[#This Row],[Period]]=1,$C$6,PMT(InterestRate*AmortizationMultiplier/12,Table1578[[#This Row],[Am Thru]],-Table1578[[#This Row],[Beginning Balance]]))),0)</f>
        <v>0</v>
      </c>
      <c r="H207" s="3">
        <f>MAX(0,IF(C207=$C$4,D207,ROUND(IF($C$3="Fixed Principal",$C$6-Table1578[[#This Row],[Interest]],IF($C$3="Interest Only",Table1578[[#This Row],[Beginning Balance]]*ROUND(1-(1-IF($C$11="No",$E$8,1))^(1/12),6),MIN(IF($C$13="Yes",Table1578[[#This Row],[Payment Amount (Reamortized)]],$C$6)-Table1578[[#This Row],[Interest]],Table1578[[#This Row],[Beginning Balance]]))),2)))</f>
        <v>0</v>
      </c>
      <c r="I207" s="3">
        <f>_xlfn.SINGLE(IF($C$3="Line of Credit",0,ROUND(MAX(MIN(IF($C$10="No",$E$7,VLOOKUP(Table1578[[#This Row],[Period]],Forecast!$H$2:$L$1048576,4,FALSE))*Table1578[[#This Row],[Beginning Balance]],Table1578[[#This Row],[Beginning Balance]]-Table1578[[#This Row],[Principal]]),0),2)))</f>
        <v>0</v>
      </c>
      <c r="J207" s="3">
        <f>ROUND(MIN(Table1578[[#This Row],[Beginning Balance]]*IF($C$8="No",$E$3,VLOOKUP(Table1578[[#This Row],[Period]],Forecast!$H$2:$L$1048576,2,FALSE)),Table1578[[#This Row],[Beginning Balance]]-Table1578[[#This Row],[Principal]]-Table1578[[#This Row],[Prepayments]]),2)</f>
        <v>0</v>
      </c>
      <c r="K207" s="3">
        <f>ROUND(Table1578[[#This Row],[Defaulted Principal]]*IF($C$9="No",$E$4,VLOOKUP(Table1578[[#This Row],[Period]],Forecast!$H$2:$L$1048576,3,FALSE)),2)</f>
        <v>0</v>
      </c>
      <c r="L207" s="2">
        <f>Table1578[[#This Row],[Period]]+$E$9</f>
        <v>203</v>
      </c>
      <c r="M207" s="3">
        <f>Table1578[[#This Row],[Defaulted Principal]]-Table1578[[#This Row],[Estimated Loss]]</f>
        <v>0</v>
      </c>
      <c r="N207" s="3">
        <f>IFERROR(VLOOKUP(Table1578[[#This Row],[Period]],$L$16:$M$385,2,FALSE),0)</f>
        <v>0</v>
      </c>
      <c r="O207" s="3">
        <f>Table1578[[#This Row],[Beginning Balance]]-Table1578[[#This Row],[Principal]]-Table1578[[#This Row],[Prepayments]]-Table1578[[#This Row],[Defaulted Principal]]</f>
        <v>0</v>
      </c>
      <c r="P207" s="3">
        <f>Table1578[[#This Row],[Principal]]+Table1578[[#This Row],[Interest]]+Table1578[[#This Row],[Prepayments]]+Table1578[[#This Row],[RecoveredAmount]]</f>
        <v>0</v>
      </c>
      <c r="Q207" s="3">
        <f ca="1">ROUND(Table1578[[#This Row],[Cash Flow]]/((1+ActualRateToUse)^(IF(ISNUMBER(SEARCH("Actual",$C$7)),Table1578[[#This Row],[Running Total]]/365,Table1578[[#This Row],[Period]]/12))),2)</f>
        <v>0</v>
      </c>
      <c r="R207" s="2">
        <f>IF(MONTH(Table1578[[#This Row],[Date]])=2,28,DAY(DATE(YEAR(Table1578[[#This Row],[Date]]),MONTH(Table1578[[#This Row],[Date]])+1,1)-1))</f>
        <v>31</v>
      </c>
      <c r="S207" s="2">
        <f ca="1">SUM(OFFSET(Table1578[[#Headers],[Days in month]],1,0):Table1578[[#This Row],[Days in month]])</f>
        <v>5810</v>
      </c>
      <c r="T207" s="37">
        <f>InterestRate*AmortizationMultiplier*IF(ISNUMBER(SEARCH("Actual",$C$7)),Table1578[[#This Row],[Days in month]]/365,1/12)</f>
        <v>6.2344444444444444E-3</v>
      </c>
    </row>
    <row r="208" spans="2:20" x14ac:dyDescent="0.2">
      <c r="B208" s="1">
        <f t="shared" si="10"/>
        <v>51682</v>
      </c>
      <c r="C208" s="2">
        <f t="shared" si="8"/>
        <v>192</v>
      </c>
      <c r="D208" s="3">
        <f t="shared" si="7"/>
        <v>0</v>
      </c>
      <c r="E208" s="3">
        <f>ROUND(Table1578[[#This Row],[Beginning Balance]]*Table1578[[#This Row],[Monthly Interest Rate]],2)</f>
        <v>0</v>
      </c>
      <c r="F208" s="3">
        <f t="shared" si="9"/>
        <v>-189</v>
      </c>
      <c r="G208" s="23">
        <f>IFERROR(IF($C$13="No","N/A",IF(Table1578[[#This Row],[Period]]=1,$C$6,PMT(InterestRate*AmortizationMultiplier/12,Table1578[[#This Row],[Am Thru]],-Table1578[[#This Row],[Beginning Balance]]))),0)</f>
        <v>0</v>
      </c>
      <c r="H208" s="3">
        <f>MAX(0,IF(C208=$C$4,D208,ROUND(IF($C$3="Fixed Principal",$C$6-Table1578[[#This Row],[Interest]],IF($C$3="Interest Only",Table1578[[#This Row],[Beginning Balance]]*ROUND(1-(1-IF($C$11="No",$E$8,1))^(1/12),6),MIN(IF($C$13="Yes",Table1578[[#This Row],[Payment Amount (Reamortized)]],$C$6)-Table1578[[#This Row],[Interest]],Table1578[[#This Row],[Beginning Balance]]))),2)))</f>
        <v>0</v>
      </c>
      <c r="I208" s="3">
        <f>_xlfn.SINGLE(IF($C$3="Line of Credit",0,ROUND(MAX(MIN(IF($C$10="No",$E$7,VLOOKUP(Table1578[[#This Row],[Period]],Forecast!$H$2:$L$1048576,4,FALSE))*Table1578[[#This Row],[Beginning Balance]],Table1578[[#This Row],[Beginning Balance]]-Table1578[[#This Row],[Principal]]),0),2)))</f>
        <v>0</v>
      </c>
      <c r="J208" s="3">
        <f>ROUND(MIN(Table1578[[#This Row],[Beginning Balance]]*IF($C$8="No",$E$3,VLOOKUP(Table1578[[#This Row],[Period]],Forecast!$H$2:$L$1048576,2,FALSE)),Table1578[[#This Row],[Beginning Balance]]-Table1578[[#This Row],[Principal]]-Table1578[[#This Row],[Prepayments]]),2)</f>
        <v>0</v>
      </c>
      <c r="K208" s="3">
        <f>ROUND(Table1578[[#This Row],[Defaulted Principal]]*IF($C$9="No",$E$4,VLOOKUP(Table1578[[#This Row],[Period]],Forecast!$H$2:$L$1048576,3,FALSE)),2)</f>
        <v>0</v>
      </c>
      <c r="L208" s="2">
        <f>Table1578[[#This Row],[Period]]+$E$9</f>
        <v>204</v>
      </c>
      <c r="M208" s="3">
        <f>Table1578[[#This Row],[Defaulted Principal]]-Table1578[[#This Row],[Estimated Loss]]</f>
        <v>0</v>
      </c>
      <c r="N208" s="3">
        <f>IFERROR(VLOOKUP(Table1578[[#This Row],[Period]],$L$16:$M$385,2,FALSE),0)</f>
        <v>0</v>
      </c>
      <c r="O208" s="3">
        <f>Table1578[[#This Row],[Beginning Balance]]-Table1578[[#This Row],[Principal]]-Table1578[[#This Row],[Prepayments]]-Table1578[[#This Row],[Defaulted Principal]]</f>
        <v>0</v>
      </c>
      <c r="P208" s="3">
        <f>Table1578[[#This Row],[Principal]]+Table1578[[#This Row],[Interest]]+Table1578[[#This Row],[Prepayments]]+Table1578[[#This Row],[RecoveredAmount]]</f>
        <v>0</v>
      </c>
      <c r="Q208" s="3">
        <f ca="1">ROUND(Table1578[[#This Row],[Cash Flow]]/((1+ActualRateToUse)^(IF(ISNUMBER(SEARCH("Actual",$C$7)),Table1578[[#This Row],[Running Total]]/365,Table1578[[#This Row],[Period]]/12))),2)</f>
        <v>0</v>
      </c>
      <c r="R208" s="2">
        <f>IF(MONTH(Table1578[[#This Row],[Date]])=2,28,DAY(DATE(YEAR(Table1578[[#This Row],[Date]]),MONTH(Table1578[[#This Row],[Date]])+1,1)-1))</f>
        <v>30</v>
      </c>
      <c r="S208" s="2">
        <f ca="1">SUM(OFFSET(Table1578[[#Headers],[Days in month]],1,0):Table1578[[#This Row],[Days in month]])</f>
        <v>5840</v>
      </c>
      <c r="T208" s="37">
        <f>InterestRate*AmortizationMultiplier*IF(ISNUMBER(SEARCH("Actual",$C$7)),Table1578[[#This Row],[Days in month]]/365,1/12)</f>
        <v>6.0333333333333333E-3</v>
      </c>
    </row>
    <row r="209" spans="2:20" x14ac:dyDescent="0.2">
      <c r="B209" s="1">
        <f t="shared" si="10"/>
        <v>51713</v>
      </c>
      <c r="C209" s="2">
        <f t="shared" si="8"/>
        <v>193</v>
      </c>
      <c r="D209" s="3">
        <f t="shared" si="7"/>
        <v>0</v>
      </c>
      <c r="E209" s="3">
        <f>ROUND(Table1578[[#This Row],[Beginning Balance]]*Table1578[[#This Row],[Monthly Interest Rate]],2)</f>
        <v>0</v>
      </c>
      <c r="F209" s="3">
        <f t="shared" si="9"/>
        <v>-190</v>
      </c>
      <c r="G209" s="23">
        <f>IFERROR(IF($C$13="No","N/A",IF(Table1578[[#This Row],[Period]]=1,$C$6,PMT(InterestRate*AmortizationMultiplier/12,Table1578[[#This Row],[Am Thru]],-Table1578[[#This Row],[Beginning Balance]]))),0)</f>
        <v>0</v>
      </c>
      <c r="H209" s="3">
        <f>MAX(0,IF(C209=$C$4,D209,ROUND(IF($C$3="Fixed Principal",$C$6-Table1578[[#This Row],[Interest]],IF($C$3="Interest Only",Table1578[[#This Row],[Beginning Balance]]*ROUND(1-(1-IF($C$11="No",$E$8,1))^(1/12),6),MIN(IF($C$13="Yes",Table1578[[#This Row],[Payment Amount (Reamortized)]],$C$6)-Table1578[[#This Row],[Interest]],Table1578[[#This Row],[Beginning Balance]]))),2)))</f>
        <v>0</v>
      </c>
      <c r="I209" s="3">
        <f>_xlfn.SINGLE(IF($C$3="Line of Credit",0,ROUND(MAX(MIN(IF($C$10="No",$E$7,VLOOKUP(Table1578[[#This Row],[Period]],Forecast!$H$2:$L$1048576,4,FALSE))*Table1578[[#This Row],[Beginning Balance]],Table1578[[#This Row],[Beginning Balance]]-Table1578[[#This Row],[Principal]]),0),2)))</f>
        <v>0</v>
      </c>
      <c r="J209" s="3">
        <f>ROUND(MIN(Table1578[[#This Row],[Beginning Balance]]*IF($C$8="No",$E$3,VLOOKUP(Table1578[[#This Row],[Period]],Forecast!$H$2:$L$1048576,2,FALSE)),Table1578[[#This Row],[Beginning Balance]]-Table1578[[#This Row],[Principal]]-Table1578[[#This Row],[Prepayments]]),2)</f>
        <v>0</v>
      </c>
      <c r="K209" s="3">
        <f>ROUND(Table1578[[#This Row],[Defaulted Principal]]*IF($C$9="No",$E$4,VLOOKUP(Table1578[[#This Row],[Period]],Forecast!$H$2:$L$1048576,3,FALSE)),2)</f>
        <v>0</v>
      </c>
      <c r="L209" s="2">
        <f>Table1578[[#This Row],[Period]]+$E$9</f>
        <v>205</v>
      </c>
      <c r="M209" s="3">
        <f>Table1578[[#This Row],[Defaulted Principal]]-Table1578[[#This Row],[Estimated Loss]]</f>
        <v>0</v>
      </c>
      <c r="N209" s="3">
        <f>IFERROR(VLOOKUP(Table1578[[#This Row],[Period]],$L$16:$M$385,2,FALSE),0)</f>
        <v>0</v>
      </c>
      <c r="O209" s="3">
        <f>Table1578[[#This Row],[Beginning Balance]]-Table1578[[#This Row],[Principal]]-Table1578[[#This Row],[Prepayments]]-Table1578[[#This Row],[Defaulted Principal]]</f>
        <v>0</v>
      </c>
      <c r="P209" s="3">
        <f>Table1578[[#This Row],[Principal]]+Table1578[[#This Row],[Interest]]+Table1578[[#This Row],[Prepayments]]+Table1578[[#This Row],[RecoveredAmount]]</f>
        <v>0</v>
      </c>
      <c r="Q209" s="3">
        <f ca="1">ROUND(Table1578[[#This Row],[Cash Flow]]/((1+ActualRateToUse)^(IF(ISNUMBER(SEARCH("Actual",$C$7)),Table1578[[#This Row],[Running Total]]/365,Table1578[[#This Row],[Period]]/12))),2)</f>
        <v>0</v>
      </c>
      <c r="R209" s="2">
        <f>IF(MONTH(Table1578[[#This Row],[Date]])=2,28,DAY(DATE(YEAR(Table1578[[#This Row],[Date]]),MONTH(Table1578[[#This Row],[Date]])+1,1)-1))</f>
        <v>31</v>
      </c>
      <c r="S209" s="2">
        <f ca="1">SUM(OFFSET(Table1578[[#Headers],[Days in month]],1,0):Table1578[[#This Row],[Days in month]])</f>
        <v>5871</v>
      </c>
      <c r="T209" s="37">
        <f>InterestRate*AmortizationMultiplier*IF(ISNUMBER(SEARCH("Actual",$C$7)),Table1578[[#This Row],[Days in month]]/365,1/12)</f>
        <v>6.2344444444444444E-3</v>
      </c>
    </row>
    <row r="210" spans="2:20" x14ac:dyDescent="0.2">
      <c r="B210" s="1">
        <f t="shared" si="10"/>
        <v>51744</v>
      </c>
      <c r="C210" s="2">
        <f t="shared" si="8"/>
        <v>194</v>
      </c>
      <c r="D210" s="3">
        <f t="shared" ref="D210:D273" si="11">O209</f>
        <v>0</v>
      </c>
      <c r="E210" s="3">
        <f>ROUND(Table1578[[#This Row],[Beginning Balance]]*Table1578[[#This Row],[Monthly Interest Rate]],2)</f>
        <v>0</v>
      </c>
      <c r="F210" s="3">
        <f t="shared" si="9"/>
        <v>-191</v>
      </c>
      <c r="G210" s="23">
        <f>IFERROR(IF($C$13="No","N/A",IF(Table1578[[#This Row],[Period]]=1,$C$6,PMT(InterestRate*AmortizationMultiplier/12,Table1578[[#This Row],[Am Thru]],-Table1578[[#This Row],[Beginning Balance]]))),0)</f>
        <v>0</v>
      </c>
      <c r="H210" s="3">
        <f>MAX(0,IF(C210=$C$4,D210,ROUND(IF($C$3="Fixed Principal",$C$6-Table1578[[#This Row],[Interest]],IF($C$3="Interest Only",Table1578[[#This Row],[Beginning Balance]]*ROUND(1-(1-IF($C$11="No",$E$8,1))^(1/12),6),MIN(IF($C$13="Yes",Table1578[[#This Row],[Payment Amount (Reamortized)]],$C$6)-Table1578[[#This Row],[Interest]],Table1578[[#This Row],[Beginning Balance]]))),2)))</f>
        <v>0</v>
      </c>
      <c r="I210" s="3">
        <f>_xlfn.SINGLE(IF($C$3="Line of Credit",0,ROUND(MAX(MIN(IF($C$10="No",$E$7,VLOOKUP(Table1578[[#This Row],[Period]],Forecast!$H$2:$L$1048576,4,FALSE))*Table1578[[#This Row],[Beginning Balance]],Table1578[[#This Row],[Beginning Balance]]-Table1578[[#This Row],[Principal]]),0),2)))</f>
        <v>0</v>
      </c>
      <c r="J210" s="3">
        <f>ROUND(MIN(Table1578[[#This Row],[Beginning Balance]]*IF($C$8="No",$E$3,VLOOKUP(Table1578[[#This Row],[Period]],Forecast!$H$2:$L$1048576,2,FALSE)),Table1578[[#This Row],[Beginning Balance]]-Table1578[[#This Row],[Principal]]-Table1578[[#This Row],[Prepayments]]),2)</f>
        <v>0</v>
      </c>
      <c r="K210" s="3">
        <f>ROUND(Table1578[[#This Row],[Defaulted Principal]]*IF($C$9="No",$E$4,VLOOKUP(Table1578[[#This Row],[Period]],Forecast!$H$2:$L$1048576,3,FALSE)),2)</f>
        <v>0</v>
      </c>
      <c r="L210" s="2">
        <f>Table1578[[#This Row],[Period]]+$E$9</f>
        <v>206</v>
      </c>
      <c r="M210" s="3">
        <f>Table1578[[#This Row],[Defaulted Principal]]-Table1578[[#This Row],[Estimated Loss]]</f>
        <v>0</v>
      </c>
      <c r="N210" s="3">
        <f>IFERROR(VLOOKUP(Table1578[[#This Row],[Period]],$L$16:$M$385,2,FALSE),0)</f>
        <v>0</v>
      </c>
      <c r="O210" s="3">
        <f>Table1578[[#This Row],[Beginning Balance]]-Table1578[[#This Row],[Principal]]-Table1578[[#This Row],[Prepayments]]-Table1578[[#This Row],[Defaulted Principal]]</f>
        <v>0</v>
      </c>
      <c r="P210" s="3">
        <f>Table1578[[#This Row],[Principal]]+Table1578[[#This Row],[Interest]]+Table1578[[#This Row],[Prepayments]]+Table1578[[#This Row],[RecoveredAmount]]</f>
        <v>0</v>
      </c>
      <c r="Q210" s="3">
        <f ca="1">ROUND(Table1578[[#This Row],[Cash Flow]]/((1+ActualRateToUse)^(IF(ISNUMBER(SEARCH("Actual",$C$7)),Table1578[[#This Row],[Running Total]]/365,Table1578[[#This Row],[Period]]/12))),2)</f>
        <v>0</v>
      </c>
      <c r="R210" s="2">
        <f>IF(MONTH(Table1578[[#This Row],[Date]])=2,28,DAY(DATE(YEAR(Table1578[[#This Row],[Date]]),MONTH(Table1578[[#This Row],[Date]])+1,1)-1))</f>
        <v>31</v>
      </c>
      <c r="S210" s="2">
        <f ca="1">SUM(OFFSET(Table1578[[#Headers],[Days in month]],1,0):Table1578[[#This Row],[Days in month]])</f>
        <v>5902</v>
      </c>
      <c r="T210" s="37">
        <f>InterestRate*AmortizationMultiplier*IF(ISNUMBER(SEARCH("Actual",$C$7)),Table1578[[#This Row],[Days in month]]/365,1/12)</f>
        <v>6.2344444444444444E-3</v>
      </c>
    </row>
    <row r="211" spans="2:20" x14ac:dyDescent="0.2">
      <c r="B211" s="1">
        <f t="shared" si="10"/>
        <v>51774</v>
      </c>
      <c r="C211" s="2">
        <f t="shared" ref="C211:C274" si="12">C210+1</f>
        <v>195</v>
      </c>
      <c r="D211" s="3">
        <f t="shared" si="11"/>
        <v>0</v>
      </c>
      <c r="E211" s="3">
        <f>ROUND(Table1578[[#This Row],[Beginning Balance]]*Table1578[[#This Row],[Monthly Interest Rate]],2)</f>
        <v>0</v>
      </c>
      <c r="F211" s="3">
        <f t="shared" ref="F211:F274" si="13">+F210-1</f>
        <v>-192</v>
      </c>
      <c r="G211" s="23">
        <f>IFERROR(IF($C$13="No","N/A",IF(Table1578[[#This Row],[Period]]=1,$C$6,PMT(InterestRate*AmortizationMultiplier/12,Table1578[[#This Row],[Am Thru]],-Table1578[[#This Row],[Beginning Balance]]))),0)</f>
        <v>0</v>
      </c>
      <c r="H211" s="3">
        <f>MAX(0,IF(C211=$C$4,D211,ROUND(IF($C$3="Fixed Principal",$C$6-Table1578[[#This Row],[Interest]],IF($C$3="Interest Only",Table1578[[#This Row],[Beginning Balance]]*ROUND(1-(1-IF($C$11="No",$E$8,1))^(1/12),6),MIN(IF($C$13="Yes",Table1578[[#This Row],[Payment Amount (Reamortized)]],$C$6)-Table1578[[#This Row],[Interest]],Table1578[[#This Row],[Beginning Balance]]))),2)))</f>
        <v>0</v>
      </c>
      <c r="I211" s="3">
        <f>_xlfn.SINGLE(IF($C$3="Line of Credit",0,ROUND(MAX(MIN(IF($C$10="No",$E$7,VLOOKUP(Table1578[[#This Row],[Period]],Forecast!$H$2:$L$1048576,4,FALSE))*Table1578[[#This Row],[Beginning Balance]],Table1578[[#This Row],[Beginning Balance]]-Table1578[[#This Row],[Principal]]),0),2)))</f>
        <v>0</v>
      </c>
      <c r="J211" s="3">
        <f>ROUND(MIN(Table1578[[#This Row],[Beginning Balance]]*IF($C$8="No",$E$3,VLOOKUP(Table1578[[#This Row],[Period]],Forecast!$H$2:$L$1048576,2,FALSE)),Table1578[[#This Row],[Beginning Balance]]-Table1578[[#This Row],[Principal]]-Table1578[[#This Row],[Prepayments]]),2)</f>
        <v>0</v>
      </c>
      <c r="K211" s="3">
        <f>ROUND(Table1578[[#This Row],[Defaulted Principal]]*IF($C$9="No",$E$4,VLOOKUP(Table1578[[#This Row],[Period]],Forecast!$H$2:$L$1048576,3,FALSE)),2)</f>
        <v>0</v>
      </c>
      <c r="L211" s="2">
        <f>Table1578[[#This Row],[Period]]+$E$9</f>
        <v>207</v>
      </c>
      <c r="M211" s="3">
        <f>Table1578[[#This Row],[Defaulted Principal]]-Table1578[[#This Row],[Estimated Loss]]</f>
        <v>0</v>
      </c>
      <c r="N211" s="3">
        <f>IFERROR(VLOOKUP(Table1578[[#This Row],[Period]],$L$16:$M$385,2,FALSE),0)</f>
        <v>0</v>
      </c>
      <c r="O211" s="3">
        <f>Table1578[[#This Row],[Beginning Balance]]-Table1578[[#This Row],[Principal]]-Table1578[[#This Row],[Prepayments]]-Table1578[[#This Row],[Defaulted Principal]]</f>
        <v>0</v>
      </c>
      <c r="P211" s="3">
        <f>Table1578[[#This Row],[Principal]]+Table1578[[#This Row],[Interest]]+Table1578[[#This Row],[Prepayments]]+Table1578[[#This Row],[RecoveredAmount]]</f>
        <v>0</v>
      </c>
      <c r="Q211" s="3">
        <f ca="1">ROUND(Table1578[[#This Row],[Cash Flow]]/((1+ActualRateToUse)^(IF(ISNUMBER(SEARCH("Actual",$C$7)),Table1578[[#This Row],[Running Total]]/365,Table1578[[#This Row],[Period]]/12))),2)</f>
        <v>0</v>
      </c>
      <c r="R211" s="2">
        <f>IF(MONTH(Table1578[[#This Row],[Date]])=2,28,DAY(DATE(YEAR(Table1578[[#This Row],[Date]]),MONTH(Table1578[[#This Row],[Date]])+1,1)-1))</f>
        <v>30</v>
      </c>
      <c r="S211" s="2">
        <f ca="1">SUM(OFFSET(Table1578[[#Headers],[Days in month]],1,0):Table1578[[#This Row],[Days in month]])</f>
        <v>5932</v>
      </c>
      <c r="T211" s="37">
        <f>InterestRate*AmortizationMultiplier*IF(ISNUMBER(SEARCH("Actual",$C$7)),Table1578[[#This Row],[Days in month]]/365,1/12)</f>
        <v>6.0333333333333333E-3</v>
      </c>
    </row>
    <row r="212" spans="2:20" x14ac:dyDescent="0.2">
      <c r="B212" s="1">
        <f t="shared" si="10"/>
        <v>51805</v>
      </c>
      <c r="C212" s="2">
        <f t="shared" si="12"/>
        <v>196</v>
      </c>
      <c r="D212" s="3">
        <f t="shared" si="11"/>
        <v>0</v>
      </c>
      <c r="E212" s="3">
        <f>ROUND(Table1578[[#This Row],[Beginning Balance]]*Table1578[[#This Row],[Monthly Interest Rate]],2)</f>
        <v>0</v>
      </c>
      <c r="F212" s="3">
        <f t="shared" si="13"/>
        <v>-193</v>
      </c>
      <c r="G212" s="23">
        <f>IFERROR(IF($C$13="No","N/A",IF(Table1578[[#This Row],[Period]]=1,$C$6,PMT(InterestRate*AmortizationMultiplier/12,Table1578[[#This Row],[Am Thru]],-Table1578[[#This Row],[Beginning Balance]]))),0)</f>
        <v>0</v>
      </c>
      <c r="H212" s="3">
        <f>MAX(0,IF(C212=$C$4,D212,ROUND(IF($C$3="Fixed Principal",$C$6-Table1578[[#This Row],[Interest]],IF($C$3="Interest Only",Table1578[[#This Row],[Beginning Balance]]*ROUND(1-(1-IF($C$11="No",$E$8,1))^(1/12),6),MIN(IF($C$13="Yes",Table1578[[#This Row],[Payment Amount (Reamortized)]],$C$6)-Table1578[[#This Row],[Interest]],Table1578[[#This Row],[Beginning Balance]]))),2)))</f>
        <v>0</v>
      </c>
      <c r="I212" s="3">
        <f>_xlfn.SINGLE(IF($C$3="Line of Credit",0,ROUND(MAX(MIN(IF($C$10="No",$E$7,VLOOKUP(Table1578[[#This Row],[Period]],Forecast!$H$2:$L$1048576,4,FALSE))*Table1578[[#This Row],[Beginning Balance]],Table1578[[#This Row],[Beginning Balance]]-Table1578[[#This Row],[Principal]]),0),2)))</f>
        <v>0</v>
      </c>
      <c r="J212" s="3">
        <f>ROUND(MIN(Table1578[[#This Row],[Beginning Balance]]*IF($C$8="No",$E$3,VLOOKUP(Table1578[[#This Row],[Period]],Forecast!$H$2:$L$1048576,2,FALSE)),Table1578[[#This Row],[Beginning Balance]]-Table1578[[#This Row],[Principal]]-Table1578[[#This Row],[Prepayments]]),2)</f>
        <v>0</v>
      </c>
      <c r="K212" s="3">
        <f>ROUND(Table1578[[#This Row],[Defaulted Principal]]*IF($C$9="No",$E$4,VLOOKUP(Table1578[[#This Row],[Period]],Forecast!$H$2:$L$1048576,3,FALSE)),2)</f>
        <v>0</v>
      </c>
      <c r="L212" s="2">
        <f>Table1578[[#This Row],[Period]]+$E$9</f>
        <v>208</v>
      </c>
      <c r="M212" s="3">
        <f>Table1578[[#This Row],[Defaulted Principal]]-Table1578[[#This Row],[Estimated Loss]]</f>
        <v>0</v>
      </c>
      <c r="N212" s="3">
        <f>IFERROR(VLOOKUP(Table1578[[#This Row],[Period]],$L$16:$M$385,2,FALSE),0)</f>
        <v>0</v>
      </c>
      <c r="O212" s="3">
        <f>Table1578[[#This Row],[Beginning Balance]]-Table1578[[#This Row],[Principal]]-Table1578[[#This Row],[Prepayments]]-Table1578[[#This Row],[Defaulted Principal]]</f>
        <v>0</v>
      </c>
      <c r="P212" s="3">
        <f>Table1578[[#This Row],[Principal]]+Table1578[[#This Row],[Interest]]+Table1578[[#This Row],[Prepayments]]+Table1578[[#This Row],[RecoveredAmount]]</f>
        <v>0</v>
      </c>
      <c r="Q212" s="3">
        <f ca="1">ROUND(Table1578[[#This Row],[Cash Flow]]/((1+ActualRateToUse)^(IF(ISNUMBER(SEARCH("Actual",$C$7)),Table1578[[#This Row],[Running Total]]/365,Table1578[[#This Row],[Period]]/12))),2)</f>
        <v>0</v>
      </c>
      <c r="R212" s="2">
        <f>IF(MONTH(Table1578[[#This Row],[Date]])=2,28,DAY(DATE(YEAR(Table1578[[#This Row],[Date]]),MONTH(Table1578[[#This Row],[Date]])+1,1)-1))</f>
        <v>31</v>
      </c>
      <c r="S212" s="2">
        <f ca="1">SUM(OFFSET(Table1578[[#Headers],[Days in month]],1,0):Table1578[[#This Row],[Days in month]])</f>
        <v>5963</v>
      </c>
      <c r="T212" s="37">
        <f>InterestRate*AmortizationMultiplier*IF(ISNUMBER(SEARCH("Actual",$C$7)),Table1578[[#This Row],[Days in month]]/365,1/12)</f>
        <v>6.2344444444444444E-3</v>
      </c>
    </row>
    <row r="213" spans="2:20" x14ac:dyDescent="0.2">
      <c r="B213" s="1">
        <f t="shared" si="10"/>
        <v>51835</v>
      </c>
      <c r="C213" s="2">
        <f t="shared" si="12"/>
        <v>197</v>
      </c>
      <c r="D213" s="3">
        <f t="shared" si="11"/>
        <v>0</v>
      </c>
      <c r="E213" s="3">
        <f>ROUND(Table1578[[#This Row],[Beginning Balance]]*Table1578[[#This Row],[Monthly Interest Rate]],2)</f>
        <v>0</v>
      </c>
      <c r="F213" s="3">
        <f t="shared" si="13"/>
        <v>-194</v>
      </c>
      <c r="G213" s="23">
        <f>IFERROR(IF($C$13="No","N/A",IF(Table1578[[#This Row],[Period]]=1,$C$6,PMT(InterestRate*AmortizationMultiplier/12,Table1578[[#This Row],[Am Thru]],-Table1578[[#This Row],[Beginning Balance]]))),0)</f>
        <v>0</v>
      </c>
      <c r="H213" s="3">
        <f>MAX(0,IF(C213=$C$4,D213,ROUND(IF($C$3="Fixed Principal",$C$6-Table1578[[#This Row],[Interest]],IF($C$3="Interest Only",Table1578[[#This Row],[Beginning Balance]]*ROUND(1-(1-IF($C$11="No",$E$8,1))^(1/12),6),MIN(IF($C$13="Yes",Table1578[[#This Row],[Payment Amount (Reamortized)]],$C$6)-Table1578[[#This Row],[Interest]],Table1578[[#This Row],[Beginning Balance]]))),2)))</f>
        <v>0</v>
      </c>
      <c r="I213" s="3">
        <f>_xlfn.SINGLE(IF($C$3="Line of Credit",0,ROUND(MAX(MIN(IF($C$10="No",$E$7,VLOOKUP(Table1578[[#This Row],[Period]],Forecast!$H$2:$L$1048576,4,FALSE))*Table1578[[#This Row],[Beginning Balance]],Table1578[[#This Row],[Beginning Balance]]-Table1578[[#This Row],[Principal]]),0),2)))</f>
        <v>0</v>
      </c>
      <c r="J213" s="3">
        <f>ROUND(MIN(Table1578[[#This Row],[Beginning Balance]]*IF($C$8="No",$E$3,VLOOKUP(Table1578[[#This Row],[Period]],Forecast!$H$2:$L$1048576,2,FALSE)),Table1578[[#This Row],[Beginning Balance]]-Table1578[[#This Row],[Principal]]-Table1578[[#This Row],[Prepayments]]),2)</f>
        <v>0</v>
      </c>
      <c r="K213" s="3">
        <f>ROUND(Table1578[[#This Row],[Defaulted Principal]]*IF($C$9="No",$E$4,VLOOKUP(Table1578[[#This Row],[Period]],Forecast!$H$2:$L$1048576,3,FALSE)),2)</f>
        <v>0</v>
      </c>
      <c r="L213" s="2">
        <f>Table1578[[#This Row],[Period]]+$E$9</f>
        <v>209</v>
      </c>
      <c r="M213" s="3">
        <f>Table1578[[#This Row],[Defaulted Principal]]-Table1578[[#This Row],[Estimated Loss]]</f>
        <v>0</v>
      </c>
      <c r="N213" s="3">
        <f>IFERROR(VLOOKUP(Table1578[[#This Row],[Period]],$L$16:$M$385,2,FALSE),0)</f>
        <v>0</v>
      </c>
      <c r="O213" s="3">
        <f>Table1578[[#This Row],[Beginning Balance]]-Table1578[[#This Row],[Principal]]-Table1578[[#This Row],[Prepayments]]-Table1578[[#This Row],[Defaulted Principal]]</f>
        <v>0</v>
      </c>
      <c r="P213" s="3">
        <f>Table1578[[#This Row],[Principal]]+Table1578[[#This Row],[Interest]]+Table1578[[#This Row],[Prepayments]]+Table1578[[#This Row],[RecoveredAmount]]</f>
        <v>0</v>
      </c>
      <c r="Q213" s="3">
        <f ca="1">ROUND(Table1578[[#This Row],[Cash Flow]]/((1+ActualRateToUse)^(IF(ISNUMBER(SEARCH("Actual",$C$7)),Table1578[[#This Row],[Running Total]]/365,Table1578[[#This Row],[Period]]/12))),2)</f>
        <v>0</v>
      </c>
      <c r="R213" s="2">
        <f>IF(MONTH(Table1578[[#This Row],[Date]])=2,28,DAY(DATE(YEAR(Table1578[[#This Row],[Date]]),MONTH(Table1578[[#This Row],[Date]])+1,1)-1))</f>
        <v>30</v>
      </c>
      <c r="S213" s="2">
        <f ca="1">SUM(OFFSET(Table1578[[#Headers],[Days in month]],1,0):Table1578[[#This Row],[Days in month]])</f>
        <v>5993</v>
      </c>
      <c r="T213" s="37">
        <f>InterestRate*AmortizationMultiplier*IF(ISNUMBER(SEARCH("Actual",$C$7)),Table1578[[#This Row],[Days in month]]/365,1/12)</f>
        <v>6.0333333333333333E-3</v>
      </c>
    </row>
    <row r="214" spans="2:20" x14ac:dyDescent="0.2">
      <c r="B214" s="1">
        <f t="shared" si="10"/>
        <v>51866</v>
      </c>
      <c r="C214" s="2">
        <f t="shared" si="12"/>
        <v>198</v>
      </c>
      <c r="D214" s="3">
        <f t="shared" si="11"/>
        <v>0</v>
      </c>
      <c r="E214" s="3">
        <f>ROUND(Table1578[[#This Row],[Beginning Balance]]*Table1578[[#This Row],[Monthly Interest Rate]],2)</f>
        <v>0</v>
      </c>
      <c r="F214" s="3">
        <f t="shared" si="13"/>
        <v>-195</v>
      </c>
      <c r="G214" s="23">
        <f>IFERROR(IF($C$13="No","N/A",IF(Table1578[[#This Row],[Period]]=1,$C$6,PMT(InterestRate*AmortizationMultiplier/12,Table1578[[#This Row],[Am Thru]],-Table1578[[#This Row],[Beginning Balance]]))),0)</f>
        <v>0</v>
      </c>
      <c r="H214" s="3">
        <f>MAX(0,IF(C214=$C$4,D214,ROUND(IF($C$3="Fixed Principal",$C$6-Table1578[[#This Row],[Interest]],IF($C$3="Interest Only",Table1578[[#This Row],[Beginning Balance]]*ROUND(1-(1-IF($C$11="No",$E$8,1))^(1/12),6),MIN(IF($C$13="Yes",Table1578[[#This Row],[Payment Amount (Reamortized)]],$C$6)-Table1578[[#This Row],[Interest]],Table1578[[#This Row],[Beginning Balance]]))),2)))</f>
        <v>0</v>
      </c>
      <c r="I214" s="3">
        <f>_xlfn.SINGLE(IF($C$3="Line of Credit",0,ROUND(MAX(MIN(IF($C$10="No",$E$7,VLOOKUP(Table1578[[#This Row],[Period]],Forecast!$H$2:$L$1048576,4,FALSE))*Table1578[[#This Row],[Beginning Balance]],Table1578[[#This Row],[Beginning Balance]]-Table1578[[#This Row],[Principal]]),0),2)))</f>
        <v>0</v>
      </c>
      <c r="J214" s="3">
        <f>ROUND(MIN(Table1578[[#This Row],[Beginning Balance]]*IF($C$8="No",$E$3,VLOOKUP(Table1578[[#This Row],[Period]],Forecast!$H$2:$L$1048576,2,FALSE)),Table1578[[#This Row],[Beginning Balance]]-Table1578[[#This Row],[Principal]]-Table1578[[#This Row],[Prepayments]]),2)</f>
        <v>0</v>
      </c>
      <c r="K214" s="3">
        <f>ROUND(Table1578[[#This Row],[Defaulted Principal]]*IF($C$9="No",$E$4,VLOOKUP(Table1578[[#This Row],[Period]],Forecast!$H$2:$L$1048576,3,FALSE)),2)</f>
        <v>0</v>
      </c>
      <c r="L214" s="2">
        <f>Table1578[[#This Row],[Period]]+$E$9</f>
        <v>210</v>
      </c>
      <c r="M214" s="3">
        <f>Table1578[[#This Row],[Defaulted Principal]]-Table1578[[#This Row],[Estimated Loss]]</f>
        <v>0</v>
      </c>
      <c r="N214" s="3">
        <f>IFERROR(VLOOKUP(Table1578[[#This Row],[Period]],$L$16:$M$385,2,FALSE),0)</f>
        <v>0</v>
      </c>
      <c r="O214" s="3">
        <f>Table1578[[#This Row],[Beginning Balance]]-Table1578[[#This Row],[Principal]]-Table1578[[#This Row],[Prepayments]]-Table1578[[#This Row],[Defaulted Principal]]</f>
        <v>0</v>
      </c>
      <c r="P214" s="3">
        <f>Table1578[[#This Row],[Principal]]+Table1578[[#This Row],[Interest]]+Table1578[[#This Row],[Prepayments]]+Table1578[[#This Row],[RecoveredAmount]]</f>
        <v>0</v>
      </c>
      <c r="Q214" s="3">
        <f ca="1">ROUND(Table1578[[#This Row],[Cash Flow]]/((1+ActualRateToUse)^(IF(ISNUMBER(SEARCH("Actual",$C$7)),Table1578[[#This Row],[Running Total]]/365,Table1578[[#This Row],[Period]]/12))),2)</f>
        <v>0</v>
      </c>
      <c r="R214" s="2">
        <f>IF(MONTH(Table1578[[#This Row],[Date]])=2,28,DAY(DATE(YEAR(Table1578[[#This Row],[Date]]),MONTH(Table1578[[#This Row],[Date]])+1,1)-1))</f>
        <v>31</v>
      </c>
      <c r="S214" s="2">
        <f ca="1">SUM(OFFSET(Table1578[[#Headers],[Days in month]],1,0):Table1578[[#This Row],[Days in month]])</f>
        <v>6024</v>
      </c>
      <c r="T214" s="37">
        <f>InterestRate*AmortizationMultiplier*IF(ISNUMBER(SEARCH("Actual",$C$7)),Table1578[[#This Row],[Days in month]]/365,1/12)</f>
        <v>6.2344444444444444E-3</v>
      </c>
    </row>
    <row r="215" spans="2:20" x14ac:dyDescent="0.2">
      <c r="B215" s="1">
        <f t="shared" si="10"/>
        <v>51897</v>
      </c>
      <c r="C215" s="2">
        <f t="shared" si="12"/>
        <v>199</v>
      </c>
      <c r="D215" s="3">
        <f t="shared" si="11"/>
        <v>0</v>
      </c>
      <c r="E215" s="3">
        <f>ROUND(Table1578[[#This Row],[Beginning Balance]]*Table1578[[#This Row],[Monthly Interest Rate]],2)</f>
        <v>0</v>
      </c>
      <c r="F215" s="3">
        <f t="shared" si="13"/>
        <v>-196</v>
      </c>
      <c r="G215" s="23">
        <f>IFERROR(IF($C$13="No","N/A",IF(Table1578[[#This Row],[Period]]=1,$C$6,PMT(InterestRate*AmortizationMultiplier/12,Table1578[[#This Row],[Am Thru]],-Table1578[[#This Row],[Beginning Balance]]))),0)</f>
        <v>0</v>
      </c>
      <c r="H215" s="3">
        <f>MAX(0,IF(C215=$C$4,D215,ROUND(IF($C$3="Fixed Principal",$C$6-Table1578[[#This Row],[Interest]],IF($C$3="Interest Only",Table1578[[#This Row],[Beginning Balance]]*ROUND(1-(1-IF($C$11="No",$E$8,1))^(1/12),6),MIN(IF($C$13="Yes",Table1578[[#This Row],[Payment Amount (Reamortized)]],$C$6)-Table1578[[#This Row],[Interest]],Table1578[[#This Row],[Beginning Balance]]))),2)))</f>
        <v>0</v>
      </c>
      <c r="I215" s="3">
        <f>_xlfn.SINGLE(IF($C$3="Line of Credit",0,ROUND(MAX(MIN(IF($C$10="No",$E$7,VLOOKUP(Table1578[[#This Row],[Period]],Forecast!$H$2:$L$1048576,4,FALSE))*Table1578[[#This Row],[Beginning Balance]],Table1578[[#This Row],[Beginning Balance]]-Table1578[[#This Row],[Principal]]),0),2)))</f>
        <v>0</v>
      </c>
      <c r="J215" s="3">
        <f>ROUND(MIN(Table1578[[#This Row],[Beginning Balance]]*IF($C$8="No",$E$3,VLOOKUP(Table1578[[#This Row],[Period]],Forecast!$H$2:$L$1048576,2,FALSE)),Table1578[[#This Row],[Beginning Balance]]-Table1578[[#This Row],[Principal]]-Table1578[[#This Row],[Prepayments]]),2)</f>
        <v>0</v>
      </c>
      <c r="K215" s="3">
        <f>ROUND(Table1578[[#This Row],[Defaulted Principal]]*IF($C$9="No",$E$4,VLOOKUP(Table1578[[#This Row],[Period]],Forecast!$H$2:$L$1048576,3,FALSE)),2)</f>
        <v>0</v>
      </c>
      <c r="L215" s="2">
        <f>Table1578[[#This Row],[Period]]+$E$9</f>
        <v>211</v>
      </c>
      <c r="M215" s="3">
        <f>Table1578[[#This Row],[Defaulted Principal]]-Table1578[[#This Row],[Estimated Loss]]</f>
        <v>0</v>
      </c>
      <c r="N215" s="3">
        <f>IFERROR(VLOOKUP(Table1578[[#This Row],[Period]],$L$16:$M$385,2,FALSE),0)</f>
        <v>0</v>
      </c>
      <c r="O215" s="3">
        <f>Table1578[[#This Row],[Beginning Balance]]-Table1578[[#This Row],[Principal]]-Table1578[[#This Row],[Prepayments]]-Table1578[[#This Row],[Defaulted Principal]]</f>
        <v>0</v>
      </c>
      <c r="P215" s="3">
        <f>Table1578[[#This Row],[Principal]]+Table1578[[#This Row],[Interest]]+Table1578[[#This Row],[Prepayments]]+Table1578[[#This Row],[RecoveredAmount]]</f>
        <v>0</v>
      </c>
      <c r="Q215" s="3">
        <f ca="1">ROUND(Table1578[[#This Row],[Cash Flow]]/((1+ActualRateToUse)^(IF(ISNUMBER(SEARCH("Actual",$C$7)),Table1578[[#This Row],[Running Total]]/365,Table1578[[#This Row],[Period]]/12))),2)</f>
        <v>0</v>
      </c>
      <c r="R215" s="2">
        <f>IF(MONTH(Table1578[[#This Row],[Date]])=2,28,DAY(DATE(YEAR(Table1578[[#This Row],[Date]]),MONTH(Table1578[[#This Row],[Date]])+1,1)-1))</f>
        <v>31</v>
      </c>
      <c r="S215" s="2">
        <f ca="1">SUM(OFFSET(Table1578[[#Headers],[Days in month]],1,0):Table1578[[#This Row],[Days in month]])</f>
        <v>6055</v>
      </c>
      <c r="T215" s="37">
        <f>InterestRate*AmortizationMultiplier*IF(ISNUMBER(SEARCH("Actual",$C$7)),Table1578[[#This Row],[Days in month]]/365,1/12)</f>
        <v>6.2344444444444444E-3</v>
      </c>
    </row>
    <row r="216" spans="2:20" x14ac:dyDescent="0.2">
      <c r="B216" s="1">
        <f t="shared" si="10"/>
        <v>51925</v>
      </c>
      <c r="C216" s="2">
        <f t="shared" si="12"/>
        <v>200</v>
      </c>
      <c r="D216" s="3">
        <f t="shared" si="11"/>
        <v>0</v>
      </c>
      <c r="E216" s="3">
        <f>ROUND(Table1578[[#This Row],[Beginning Balance]]*Table1578[[#This Row],[Monthly Interest Rate]],2)</f>
        <v>0</v>
      </c>
      <c r="F216" s="3">
        <f t="shared" si="13"/>
        <v>-197</v>
      </c>
      <c r="G216" s="23">
        <f>IFERROR(IF($C$13="No","N/A",IF(Table1578[[#This Row],[Period]]=1,$C$6,PMT(InterestRate*AmortizationMultiplier/12,Table1578[[#This Row],[Am Thru]],-Table1578[[#This Row],[Beginning Balance]]))),0)</f>
        <v>0</v>
      </c>
      <c r="H216" s="3">
        <f>MAX(0,IF(C216=$C$4,D216,ROUND(IF($C$3="Fixed Principal",$C$6-Table1578[[#This Row],[Interest]],IF($C$3="Interest Only",Table1578[[#This Row],[Beginning Balance]]*ROUND(1-(1-IF($C$11="No",$E$8,1))^(1/12),6),MIN(IF($C$13="Yes",Table1578[[#This Row],[Payment Amount (Reamortized)]],$C$6)-Table1578[[#This Row],[Interest]],Table1578[[#This Row],[Beginning Balance]]))),2)))</f>
        <v>0</v>
      </c>
      <c r="I216" s="3">
        <f>_xlfn.SINGLE(IF($C$3="Line of Credit",0,ROUND(MAX(MIN(IF($C$10="No",$E$7,VLOOKUP(Table1578[[#This Row],[Period]],Forecast!$H$2:$L$1048576,4,FALSE))*Table1578[[#This Row],[Beginning Balance]],Table1578[[#This Row],[Beginning Balance]]-Table1578[[#This Row],[Principal]]),0),2)))</f>
        <v>0</v>
      </c>
      <c r="J216" s="3">
        <f>ROUND(MIN(Table1578[[#This Row],[Beginning Balance]]*IF($C$8="No",$E$3,VLOOKUP(Table1578[[#This Row],[Period]],Forecast!$H$2:$L$1048576,2,FALSE)),Table1578[[#This Row],[Beginning Balance]]-Table1578[[#This Row],[Principal]]-Table1578[[#This Row],[Prepayments]]),2)</f>
        <v>0</v>
      </c>
      <c r="K216" s="3">
        <f>ROUND(Table1578[[#This Row],[Defaulted Principal]]*IF($C$9="No",$E$4,VLOOKUP(Table1578[[#This Row],[Period]],Forecast!$H$2:$L$1048576,3,FALSE)),2)</f>
        <v>0</v>
      </c>
      <c r="L216" s="2">
        <f>Table1578[[#This Row],[Period]]+$E$9</f>
        <v>212</v>
      </c>
      <c r="M216" s="3">
        <f>Table1578[[#This Row],[Defaulted Principal]]-Table1578[[#This Row],[Estimated Loss]]</f>
        <v>0</v>
      </c>
      <c r="N216" s="3">
        <f>IFERROR(VLOOKUP(Table1578[[#This Row],[Period]],$L$16:$M$385,2,FALSE),0)</f>
        <v>0</v>
      </c>
      <c r="O216" s="3">
        <f>Table1578[[#This Row],[Beginning Balance]]-Table1578[[#This Row],[Principal]]-Table1578[[#This Row],[Prepayments]]-Table1578[[#This Row],[Defaulted Principal]]</f>
        <v>0</v>
      </c>
      <c r="P216" s="3">
        <f>Table1578[[#This Row],[Principal]]+Table1578[[#This Row],[Interest]]+Table1578[[#This Row],[Prepayments]]+Table1578[[#This Row],[RecoveredAmount]]</f>
        <v>0</v>
      </c>
      <c r="Q216" s="3">
        <f ca="1">ROUND(Table1578[[#This Row],[Cash Flow]]/((1+ActualRateToUse)^(IF(ISNUMBER(SEARCH("Actual",$C$7)),Table1578[[#This Row],[Running Total]]/365,Table1578[[#This Row],[Period]]/12))),2)</f>
        <v>0</v>
      </c>
      <c r="R216" s="2">
        <f>IF(MONTH(Table1578[[#This Row],[Date]])=2,28,DAY(DATE(YEAR(Table1578[[#This Row],[Date]]),MONTH(Table1578[[#This Row],[Date]])+1,1)-1))</f>
        <v>28</v>
      </c>
      <c r="S216" s="2">
        <f ca="1">SUM(OFFSET(Table1578[[#Headers],[Days in month]],1,0):Table1578[[#This Row],[Days in month]])</f>
        <v>6083</v>
      </c>
      <c r="T216" s="37">
        <f>InterestRate*AmortizationMultiplier*IF(ISNUMBER(SEARCH("Actual",$C$7)),Table1578[[#This Row],[Days in month]]/365,1/12)</f>
        <v>5.6311111111111119E-3</v>
      </c>
    </row>
    <row r="217" spans="2:20" x14ac:dyDescent="0.2">
      <c r="B217" s="1">
        <f t="shared" si="10"/>
        <v>51956</v>
      </c>
      <c r="C217" s="2">
        <f t="shared" si="12"/>
        <v>201</v>
      </c>
      <c r="D217" s="3">
        <f t="shared" si="11"/>
        <v>0</v>
      </c>
      <c r="E217" s="3">
        <f>ROUND(Table1578[[#This Row],[Beginning Balance]]*Table1578[[#This Row],[Monthly Interest Rate]],2)</f>
        <v>0</v>
      </c>
      <c r="F217" s="3">
        <f t="shared" si="13"/>
        <v>-198</v>
      </c>
      <c r="G217" s="23">
        <f>IFERROR(IF($C$13="No","N/A",IF(Table1578[[#This Row],[Period]]=1,$C$6,PMT(InterestRate*AmortizationMultiplier/12,Table1578[[#This Row],[Am Thru]],-Table1578[[#This Row],[Beginning Balance]]))),0)</f>
        <v>0</v>
      </c>
      <c r="H217" s="3">
        <f>MAX(0,IF(C217=$C$4,D217,ROUND(IF($C$3="Fixed Principal",$C$6-Table1578[[#This Row],[Interest]],IF($C$3="Interest Only",Table1578[[#This Row],[Beginning Balance]]*ROUND(1-(1-IF($C$11="No",$E$8,1))^(1/12),6),MIN(IF($C$13="Yes",Table1578[[#This Row],[Payment Amount (Reamortized)]],$C$6)-Table1578[[#This Row],[Interest]],Table1578[[#This Row],[Beginning Balance]]))),2)))</f>
        <v>0</v>
      </c>
      <c r="I217" s="3">
        <f>_xlfn.SINGLE(IF($C$3="Line of Credit",0,ROUND(MAX(MIN(IF($C$10="No",$E$7,VLOOKUP(Table1578[[#This Row],[Period]],Forecast!$H$2:$L$1048576,4,FALSE))*Table1578[[#This Row],[Beginning Balance]],Table1578[[#This Row],[Beginning Balance]]-Table1578[[#This Row],[Principal]]),0),2)))</f>
        <v>0</v>
      </c>
      <c r="J217" s="3">
        <f>ROUND(MIN(Table1578[[#This Row],[Beginning Balance]]*IF($C$8="No",$E$3,VLOOKUP(Table1578[[#This Row],[Period]],Forecast!$H$2:$L$1048576,2,FALSE)),Table1578[[#This Row],[Beginning Balance]]-Table1578[[#This Row],[Principal]]-Table1578[[#This Row],[Prepayments]]),2)</f>
        <v>0</v>
      </c>
      <c r="K217" s="3">
        <f>ROUND(Table1578[[#This Row],[Defaulted Principal]]*IF($C$9="No",$E$4,VLOOKUP(Table1578[[#This Row],[Period]],Forecast!$H$2:$L$1048576,3,FALSE)),2)</f>
        <v>0</v>
      </c>
      <c r="L217" s="2">
        <f>Table1578[[#This Row],[Period]]+$E$9</f>
        <v>213</v>
      </c>
      <c r="M217" s="3">
        <f>Table1578[[#This Row],[Defaulted Principal]]-Table1578[[#This Row],[Estimated Loss]]</f>
        <v>0</v>
      </c>
      <c r="N217" s="3">
        <f>IFERROR(VLOOKUP(Table1578[[#This Row],[Period]],$L$16:$M$385,2,FALSE),0)</f>
        <v>0</v>
      </c>
      <c r="O217" s="3">
        <f>Table1578[[#This Row],[Beginning Balance]]-Table1578[[#This Row],[Principal]]-Table1578[[#This Row],[Prepayments]]-Table1578[[#This Row],[Defaulted Principal]]</f>
        <v>0</v>
      </c>
      <c r="P217" s="3">
        <f>Table1578[[#This Row],[Principal]]+Table1578[[#This Row],[Interest]]+Table1578[[#This Row],[Prepayments]]+Table1578[[#This Row],[RecoveredAmount]]</f>
        <v>0</v>
      </c>
      <c r="Q217" s="3">
        <f ca="1">ROUND(Table1578[[#This Row],[Cash Flow]]/((1+ActualRateToUse)^(IF(ISNUMBER(SEARCH("Actual",$C$7)),Table1578[[#This Row],[Running Total]]/365,Table1578[[#This Row],[Period]]/12))),2)</f>
        <v>0</v>
      </c>
      <c r="R217" s="2">
        <f>IF(MONTH(Table1578[[#This Row],[Date]])=2,28,DAY(DATE(YEAR(Table1578[[#This Row],[Date]]),MONTH(Table1578[[#This Row],[Date]])+1,1)-1))</f>
        <v>31</v>
      </c>
      <c r="S217" s="2">
        <f ca="1">SUM(OFFSET(Table1578[[#Headers],[Days in month]],1,0):Table1578[[#This Row],[Days in month]])</f>
        <v>6114</v>
      </c>
      <c r="T217" s="37">
        <f>InterestRate*AmortizationMultiplier*IF(ISNUMBER(SEARCH("Actual",$C$7)),Table1578[[#This Row],[Days in month]]/365,1/12)</f>
        <v>6.2344444444444444E-3</v>
      </c>
    </row>
    <row r="218" spans="2:20" x14ac:dyDescent="0.2">
      <c r="B218" s="1">
        <f t="shared" si="10"/>
        <v>51986</v>
      </c>
      <c r="C218" s="2">
        <f t="shared" si="12"/>
        <v>202</v>
      </c>
      <c r="D218" s="3">
        <f t="shared" si="11"/>
        <v>0</v>
      </c>
      <c r="E218" s="3">
        <f>ROUND(Table1578[[#This Row],[Beginning Balance]]*Table1578[[#This Row],[Monthly Interest Rate]],2)</f>
        <v>0</v>
      </c>
      <c r="F218" s="3">
        <f t="shared" si="13"/>
        <v>-199</v>
      </c>
      <c r="G218" s="23">
        <f>IFERROR(IF($C$13="No","N/A",IF(Table1578[[#This Row],[Period]]=1,$C$6,PMT(InterestRate*AmortizationMultiplier/12,Table1578[[#This Row],[Am Thru]],-Table1578[[#This Row],[Beginning Balance]]))),0)</f>
        <v>0</v>
      </c>
      <c r="H218" s="3">
        <f>MAX(0,IF(C218=$C$4,D218,ROUND(IF($C$3="Fixed Principal",$C$6-Table1578[[#This Row],[Interest]],IF($C$3="Interest Only",Table1578[[#This Row],[Beginning Balance]]*ROUND(1-(1-IF($C$11="No",$E$8,1))^(1/12),6),MIN(IF($C$13="Yes",Table1578[[#This Row],[Payment Amount (Reamortized)]],$C$6)-Table1578[[#This Row],[Interest]],Table1578[[#This Row],[Beginning Balance]]))),2)))</f>
        <v>0</v>
      </c>
      <c r="I218" s="3">
        <f>_xlfn.SINGLE(IF($C$3="Line of Credit",0,ROUND(MAX(MIN(IF($C$10="No",$E$7,VLOOKUP(Table1578[[#This Row],[Period]],Forecast!$H$2:$L$1048576,4,FALSE))*Table1578[[#This Row],[Beginning Balance]],Table1578[[#This Row],[Beginning Balance]]-Table1578[[#This Row],[Principal]]),0),2)))</f>
        <v>0</v>
      </c>
      <c r="J218" s="3">
        <f>ROUND(MIN(Table1578[[#This Row],[Beginning Balance]]*IF($C$8="No",$E$3,VLOOKUP(Table1578[[#This Row],[Period]],Forecast!$H$2:$L$1048576,2,FALSE)),Table1578[[#This Row],[Beginning Balance]]-Table1578[[#This Row],[Principal]]-Table1578[[#This Row],[Prepayments]]),2)</f>
        <v>0</v>
      </c>
      <c r="K218" s="3">
        <f>ROUND(Table1578[[#This Row],[Defaulted Principal]]*IF($C$9="No",$E$4,VLOOKUP(Table1578[[#This Row],[Period]],Forecast!$H$2:$L$1048576,3,FALSE)),2)</f>
        <v>0</v>
      </c>
      <c r="L218" s="2">
        <f>Table1578[[#This Row],[Period]]+$E$9</f>
        <v>214</v>
      </c>
      <c r="M218" s="3">
        <f>Table1578[[#This Row],[Defaulted Principal]]-Table1578[[#This Row],[Estimated Loss]]</f>
        <v>0</v>
      </c>
      <c r="N218" s="3">
        <f>IFERROR(VLOOKUP(Table1578[[#This Row],[Period]],$L$16:$M$385,2,FALSE),0)</f>
        <v>0</v>
      </c>
      <c r="O218" s="3">
        <f>Table1578[[#This Row],[Beginning Balance]]-Table1578[[#This Row],[Principal]]-Table1578[[#This Row],[Prepayments]]-Table1578[[#This Row],[Defaulted Principal]]</f>
        <v>0</v>
      </c>
      <c r="P218" s="3">
        <f>Table1578[[#This Row],[Principal]]+Table1578[[#This Row],[Interest]]+Table1578[[#This Row],[Prepayments]]+Table1578[[#This Row],[RecoveredAmount]]</f>
        <v>0</v>
      </c>
      <c r="Q218" s="3">
        <f ca="1">ROUND(Table1578[[#This Row],[Cash Flow]]/((1+ActualRateToUse)^(IF(ISNUMBER(SEARCH("Actual",$C$7)),Table1578[[#This Row],[Running Total]]/365,Table1578[[#This Row],[Period]]/12))),2)</f>
        <v>0</v>
      </c>
      <c r="R218" s="2">
        <f>IF(MONTH(Table1578[[#This Row],[Date]])=2,28,DAY(DATE(YEAR(Table1578[[#This Row],[Date]]),MONTH(Table1578[[#This Row],[Date]])+1,1)-1))</f>
        <v>30</v>
      </c>
      <c r="S218" s="2">
        <f ca="1">SUM(OFFSET(Table1578[[#Headers],[Days in month]],1,0):Table1578[[#This Row],[Days in month]])</f>
        <v>6144</v>
      </c>
      <c r="T218" s="37">
        <f>InterestRate*AmortizationMultiplier*IF(ISNUMBER(SEARCH("Actual",$C$7)),Table1578[[#This Row],[Days in month]]/365,1/12)</f>
        <v>6.0333333333333333E-3</v>
      </c>
    </row>
    <row r="219" spans="2:20" x14ac:dyDescent="0.2">
      <c r="B219" s="1">
        <f t="shared" si="10"/>
        <v>52017</v>
      </c>
      <c r="C219" s="2">
        <f t="shared" si="12"/>
        <v>203</v>
      </c>
      <c r="D219" s="3">
        <f t="shared" si="11"/>
        <v>0</v>
      </c>
      <c r="E219" s="3">
        <f>ROUND(Table1578[[#This Row],[Beginning Balance]]*Table1578[[#This Row],[Monthly Interest Rate]],2)</f>
        <v>0</v>
      </c>
      <c r="F219" s="3">
        <f t="shared" si="13"/>
        <v>-200</v>
      </c>
      <c r="G219" s="23">
        <f>IFERROR(IF($C$13="No","N/A",IF(Table1578[[#This Row],[Period]]=1,$C$6,PMT(InterestRate*AmortizationMultiplier/12,Table1578[[#This Row],[Am Thru]],-Table1578[[#This Row],[Beginning Balance]]))),0)</f>
        <v>0</v>
      </c>
      <c r="H219" s="3">
        <f>MAX(0,IF(C219=$C$4,D219,ROUND(IF($C$3="Fixed Principal",$C$6-Table1578[[#This Row],[Interest]],IF($C$3="Interest Only",Table1578[[#This Row],[Beginning Balance]]*ROUND(1-(1-IF($C$11="No",$E$8,1))^(1/12),6),MIN(IF($C$13="Yes",Table1578[[#This Row],[Payment Amount (Reamortized)]],$C$6)-Table1578[[#This Row],[Interest]],Table1578[[#This Row],[Beginning Balance]]))),2)))</f>
        <v>0</v>
      </c>
      <c r="I219" s="3">
        <f>_xlfn.SINGLE(IF($C$3="Line of Credit",0,ROUND(MAX(MIN(IF($C$10="No",$E$7,VLOOKUP(Table1578[[#This Row],[Period]],Forecast!$H$2:$L$1048576,4,FALSE))*Table1578[[#This Row],[Beginning Balance]],Table1578[[#This Row],[Beginning Balance]]-Table1578[[#This Row],[Principal]]),0),2)))</f>
        <v>0</v>
      </c>
      <c r="J219" s="3">
        <f>ROUND(MIN(Table1578[[#This Row],[Beginning Balance]]*IF($C$8="No",$E$3,VLOOKUP(Table1578[[#This Row],[Period]],Forecast!$H$2:$L$1048576,2,FALSE)),Table1578[[#This Row],[Beginning Balance]]-Table1578[[#This Row],[Principal]]-Table1578[[#This Row],[Prepayments]]),2)</f>
        <v>0</v>
      </c>
      <c r="K219" s="3">
        <f>ROUND(Table1578[[#This Row],[Defaulted Principal]]*IF($C$9="No",$E$4,VLOOKUP(Table1578[[#This Row],[Period]],Forecast!$H$2:$L$1048576,3,FALSE)),2)</f>
        <v>0</v>
      </c>
      <c r="L219" s="2">
        <f>Table1578[[#This Row],[Period]]+$E$9</f>
        <v>215</v>
      </c>
      <c r="M219" s="3">
        <f>Table1578[[#This Row],[Defaulted Principal]]-Table1578[[#This Row],[Estimated Loss]]</f>
        <v>0</v>
      </c>
      <c r="N219" s="3">
        <f>IFERROR(VLOOKUP(Table1578[[#This Row],[Period]],$L$16:$M$385,2,FALSE),0)</f>
        <v>0</v>
      </c>
      <c r="O219" s="3">
        <f>Table1578[[#This Row],[Beginning Balance]]-Table1578[[#This Row],[Principal]]-Table1578[[#This Row],[Prepayments]]-Table1578[[#This Row],[Defaulted Principal]]</f>
        <v>0</v>
      </c>
      <c r="P219" s="3">
        <f>Table1578[[#This Row],[Principal]]+Table1578[[#This Row],[Interest]]+Table1578[[#This Row],[Prepayments]]+Table1578[[#This Row],[RecoveredAmount]]</f>
        <v>0</v>
      </c>
      <c r="Q219" s="3">
        <f ca="1">ROUND(Table1578[[#This Row],[Cash Flow]]/((1+ActualRateToUse)^(IF(ISNUMBER(SEARCH("Actual",$C$7)),Table1578[[#This Row],[Running Total]]/365,Table1578[[#This Row],[Period]]/12))),2)</f>
        <v>0</v>
      </c>
      <c r="R219" s="2">
        <f>IF(MONTH(Table1578[[#This Row],[Date]])=2,28,DAY(DATE(YEAR(Table1578[[#This Row],[Date]]),MONTH(Table1578[[#This Row],[Date]])+1,1)-1))</f>
        <v>31</v>
      </c>
      <c r="S219" s="2">
        <f ca="1">SUM(OFFSET(Table1578[[#Headers],[Days in month]],1,0):Table1578[[#This Row],[Days in month]])</f>
        <v>6175</v>
      </c>
      <c r="T219" s="37">
        <f>InterestRate*AmortizationMultiplier*IF(ISNUMBER(SEARCH("Actual",$C$7)),Table1578[[#This Row],[Days in month]]/365,1/12)</f>
        <v>6.2344444444444444E-3</v>
      </c>
    </row>
    <row r="220" spans="2:20" x14ac:dyDescent="0.2">
      <c r="B220" s="1">
        <f t="shared" si="10"/>
        <v>52047</v>
      </c>
      <c r="C220" s="2">
        <f t="shared" si="12"/>
        <v>204</v>
      </c>
      <c r="D220" s="3">
        <f t="shared" si="11"/>
        <v>0</v>
      </c>
      <c r="E220" s="3">
        <f>ROUND(Table1578[[#This Row],[Beginning Balance]]*Table1578[[#This Row],[Monthly Interest Rate]],2)</f>
        <v>0</v>
      </c>
      <c r="F220" s="3">
        <f t="shared" si="13"/>
        <v>-201</v>
      </c>
      <c r="G220" s="23">
        <f>IFERROR(IF($C$13="No","N/A",IF(Table1578[[#This Row],[Period]]=1,$C$6,PMT(InterestRate*AmortizationMultiplier/12,Table1578[[#This Row],[Am Thru]],-Table1578[[#This Row],[Beginning Balance]]))),0)</f>
        <v>0</v>
      </c>
      <c r="H220" s="3">
        <f>MAX(0,IF(C220=$C$4,D220,ROUND(IF($C$3="Fixed Principal",$C$6-Table1578[[#This Row],[Interest]],IF($C$3="Interest Only",Table1578[[#This Row],[Beginning Balance]]*ROUND(1-(1-IF($C$11="No",$E$8,1))^(1/12),6),MIN(IF($C$13="Yes",Table1578[[#This Row],[Payment Amount (Reamortized)]],$C$6)-Table1578[[#This Row],[Interest]],Table1578[[#This Row],[Beginning Balance]]))),2)))</f>
        <v>0</v>
      </c>
      <c r="I220" s="3">
        <f>_xlfn.SINGLE(IF($C$3="Line of Credit",0,ROUND(MAX(MIN(IF($C$10="No",$E$7,VLOOKUP(Table1578[[#This Row],[Period]],Forecast!$H$2:$L$1048576,4,FALSE))*Table1578[[#This Row],[Beginning Balance]],Table1578[[#This Row],[Beginning Balance]]-Table1578[[#This Row],[Principal]]),0),2)))</f>
        <v>0</v>
      </c>
      <c r="J220" s="3">
        <f>ROUND(MIN(Table1578[[#This Row],[Beginning Balance]]*IF($C$8="No",$E$3,VLOOKUP(Table1578[[#This Row],[Period]],Forecast!$H$2:$L$1048576,2,FALSE)),Table1578[[#This Row],[Beginning Balance]]-Table1578[[#This Row],[Principal]]-Table1578[[#This Row],[Prepayments]]),2)</f>
        <v>0</v>
      </c>
      <c r="K220" s="3">
        <f>ROUND(Table1578[[#This Row],[Defaulted Principal]]*IF($C$9="No",$E$4,VLOOKUP(Table1578[[#This Row],[Period]],Forecast!$H$2:$L$1048576,3,FALSE)),2)</f>
        <v>0</v>
      </c>
      <c r="L220" s="2">
        <f>Table1578[[#This Row],[Period]]+$E$9</f>
        <v>216</v>
      </c>
      <c r="M220" s="3">
        <f>Table1578[[#This Row],[Defaulted Principal]]-Table1578[[#This Row],[Estimated Loss]]</f>
        <v>0</v>
      </c>
      <c r="N220" s="3">
        <f>IFERROR(VLOOKUP(Table1578[[#This Row],[Period]],$L$16:$M$385,2,FALSE),0)</f>
        <v>0</v>
      </c>
      <c r="O220" s="3">
        <f>Table1578[[#This Row],[Beginning Balance]]-Table1578[[#This Row],[Principal]]-Table1578[[#This Row],[Prepayments]]-Table1578[[#This Row],[Defaulted Principal]]</f>
        <v>0</v>
      </c>
      <c r="P220" s="3">
        <f>Table1578[[#This Row],[Principal]]+Table1578[[#This Row],[Interest]]+Table1578[[#This Row],[Prepayments]]+Table1578[[#This Row],[RecoveredAmount]]</f>
        <v>0</v>
      </c>
      <c r="Q220" s="3">
        <f ca="1">ROUND(Table1578[[#This Row],[Cash Flow]]/((1+ActualRateToUse)^(IF(ISNUMBER(SEARCH("Actual",$C$7)),Table1578[[#This Row],[Running Total]]/365,Table1578[[#This Row],[Period]]/12))),2)</f>
        <v>0</v>
      </c>
      <c r="R220" s="2">
        <f>IF(MONTH(Table1578[[#This Row],[Date]])=2,28,DAY(DATE(YEAR(Table1578[[#This Row],[Date]]),MONTH(Table1578[[#This Row],[Date]])+1,1)-1))</f>
        <v>30</v>
      </c>
      <c r="S220" s="2">
        <f ca="1">SUM(OFFSET(Table1578[[#Headers],[Days in month]],1,0):Table1578[[#This Row],[Days in month]])</f>
        <v>6205</v>
      </c>
      <c r="T220" s="37">
        <f>InterestRate*AmortizationMultiplier*IF(ISNUMBER(SEARCH("Actual",$C$7)),Table1578[[#This Row],[Days in month]]/365,1/12)</f>
        <v>6.0333333333333333E-3</v>
      </c>
    </row>
    <row r="221" spans="2:20" x14ac:dyDescent="0.2">
      <c r="B221" s="1">
        <f t="shared" si="10"/>
        <v>52078</v>
      </c>
      <c r="C221" s="2">
        <f t="shared" si="12"/>
        <v>205</v>
      </c>
      <c r="D221" s="3">
        <f t="shared" si="11"/>
        <v>0</v>
      </c>
      <c r="E221" s="3">
        <f>ROUND(Table1578[[#This Row],[Beginning Balance]]*Table1578[[#This Row],[Monthly Interest Rate]],2)</f>
        <v>0</v>
      </c>
      <c r="F221" s="3">
        <f t="shared" si="13"/>
        <v>-202</v>
      </c>
      <c r="G221" s="23">
        <f>IFERROR(IF($C$13="No","N/A",IF(Table1578[[#This Row],[Period]]=1,$C$6,PMT(InterestRate*AmortizationMultiplier/12,Table1578[[#This Row],[Am Thru]],-Table1578[[#This Row],[Beginning Balance]]))),0)</f>
        <v>0</v>
      </c>
      <c r="H221" s="3">
        <f>MAX(0,IF(C221=$C$4,D221,ROUND(IF($C$3="Fixed Principal",$C$6-Table1578[[#This Row],[Interest]],IF($C$3="Interest Only",Table1578[[#This Row],[Beginning Balance]]*ROUND(1-(1-IF($C$11="No",$E$8,1))^(1/12),6),MIN(IF($C$13="Yes",Table1578[[#This Row],[Payment Amount (Reamortized)]],$C$6)-Table1578[[#This Row],[Interest]],Table1578[[#This Row],[Beginning Balance]]))),2)))</f>
        <v>0</v>
      </c>
      <c r="I221" s="3">
        <f>_xlfn.SINGLE(IF($C$3="Line of Credit",0,ROUND(MAX(MIN(IF($C$10="No",$E$7,VLOOKUP(Table1578[[#This Row],[Period]],Forecast!$H$2:$L$1048576,4,FALSE))*Table1578[[#This Row],[Beginning Balance]],Table1578[[#This Row],[Beginning Balance]]-Table1578[[#This Row],[Principal]]),0),2)))</f>
        <v>0</v>
      </c>
      <c r="J221" s="3">
        <f>ROUND(MIN(Table1578[[#This Row],[Beginning Balance]]*IF($C$8="No",$E$3,VLOOKUP(Table1578[[#This Row],[Period]],Forecast!$H$2:$L$1048576,2,FALSE)),Table1578[[#This Row],[Beginning Balance]]-Table1578[[#This Row],[Principal]]-Table1578[[#This Row],[Prepayments]]),2)</f>
        <v>0</v>
      </c>
      <c r="K221" s="3">
        <f>ROUND(Table1578[[#This Row],[Defaulted Principal]]*IF($C$9="No",$E$4,VLOOKUP(Table1578[[#This Row],[Period]],Forecast!$H$2:$L$1048576,3,FALSE)),2)</f>
        <v>0</v>
      </c>
      <c r="L221" s="2">
        <f>Table1578[[#This Row],[Period]]+$E$9</f>
        <v>217</v>
      </c>
      <c r="M221" s="3">
        <f>Table1578[[#This Row],[Defaulted Principal]]-Table1578[[#This Row],[Estimated Loss]]</f>
        <v>0</v>
      </c>
      <c r="N221" s="3">
        <f>IFERROR(VLOOKUP(Table1578[[#This Row],[Period]],$L$16:$M$385,2,FALSE),0)</f>
        <v>0</v>
      </c>
      <c r="O221" s="3">
        <f>Table1578[[#This Row],[Beginning Balance]]-Table1578[[#This Row],[Principal]]-Table1578[[#This Row],[Prepayments]]-Table1578[[#This Row],[Defaulted Principal]]</f>
        <v>0</v>
      </c>
      <c r="P221" s="3">
        <f>Table1578[[#This Row],[Principal]]+Table1578[[#This Row],[Interest]]+Table1578[[#This Row],[Prepayments]]+Table1578[[#This Row],[RecoveredAmount]]</f>
        <v>0</v>
      </c>
      <c r="Q221" s="3">
        <f ca="1">ROUND(Table1578[[#This Row],[Cash Flow]]/((1+ActualRateToUse)^(IF(ISNUMBER(SEARCH("Actual",$C$7)),Table1578[[#This Row],[Running Total]]/365,Table1578[[#This Row],[Period]]/12))),2)</f>
        <v>0</v>
      </c>
      <c r="R221" s="2">
        <f>IF(MONTH(Table1578[[#This Row],[Date]])=2,28,DAY(DATE(YEAR(Table1578[[#This Row],[Date]]),MONTH(Table1578[[#This Row],[Date]])+1,1)-1))</f>
        <v>31</v>
      </c>
      <c r="S221" s="2">
        <f ca="1">SUM(OFFSET(Table1578[[#Headers],[Days in month]],1,0):Table1578[[#This Row],[Days in month]])</f>
        <v>6236</v>
      </c>
      <c r="T221" s="37">
        <f>InterestRate*AmortizationMultiplier*IF(ISNUMBER(SEARCH("Actual",$C$7)),Table1578[[#This Row],[Days in month]]/365,1/12)</f>
        <v>6.2344444444444444E-3</v>
      </c>
    </row>
    <row r="222" spans="2:20" x14ac:dyDescent="0.2">
      <c r="B222" s="1">
        <f t="shared" si="10"/>
        <v>52109</v>
      </c>
      <c r="C222" s="2">
        <f t="shared" si="12"/>
        <v>206</v>
      </c>
      <c r="D222" s="3">
        <f t="shared" si="11"/>
        <v>0</v>
      </c>
      <c r="E222" s="3">
        <f>ROUND(Table1578[[#This Row],[Beginning Balance]]*Table1578[[#This Row],[Monthly Interest Rate]],2)</f>
        <v>0</v>
      </c>
      <c r="F222" s="3">
        <f t="shared" si="13"/>
        <v>-203</v>
      </c>
      <c r="G222" s="23">
        <f>IFERROR(IF($C$13="No","N/A",IF(Table1578[[#This Row],[Period]]=1,$C$6,PMT(InterestRate*AmortizationMultiplier/12,Table1578[[#This Row],[Am Thru]],-Table1578[[#This Row],[Beginning Balance]]))),0)</f>
        <v>0</v>
      </c>
      <c r="H222" s="3">
        <f>MAX(0,IF(C222=$C$4,D222,ROUND(IF($C$3="Fixed Principal",$C$6-Table1578[[#This Row],[Interest]],IF($C$3="Interest Only",Table1578[[#This Row],[Beginning Balance]]*ROUND(1-(1-IF($C$11="No",$E$8,1))^(1/12),6),MIN(IF($C$13="Yes",Table1578[[#This Row],[Payment Amount (Reamortized)]],$C$6)-Table1578[[#This Row],[Interest]],Table1578[[#This Row],[Beginning Balance]]))),2)))</f>
        <v>0</v>
      </c>
      <c r="I222" s="3">
        <f>_xlfn.SINGLE(IF($C$3="Line of Credit",0,ROUND(MAX(MIN(IF($C$10="No",$E$7,VLOOKUP(Table1578[[#This Row],[Period]],Forecast!$H$2:$L$1048576,4,FALSE))*Table1578[[#This Row],[Beginning Balance]],Table1578[[#This Row],[Beginning Balance]]-Table1578[[#This Row],[Principal]]),0),2)))</f>
        <v>0</v>
      </c>
      <c r="J222" s="3">
        <f>ROUND(MIN(Table1578[[#This Row],[Beginning Balance]]*IF($C$8="No",$E$3,VLOOKUP(Table1578[[#This Row],[Period]],Forecast!$H$2:$L$1048576,2,FALSE)),Table1578[[#This Row],[Beginning Balance]]-Table1578[[#This Row],[Principal]]-Table1578[[#This Row],[Prepayments]]),2)</f>
        <v>0</v>
      </c>
      <c r="K222" s="3">
        <f>ROUND(Table1578[[#This Row],[Defaulted Principal]]*IF($C$9="No",$E$4,VLOOKUP(Table1578[[#This Row],[Period]],Forecast!$H$2:$L$1048576,3,FALSE)),2)</f>
        <v>0</v>
      </c>
      <c r="L222" s="2">
        <f>Table1578[[#This Row],[Period]]+$E$9</f>
        <v>218</v>
      </c>
      <c r="M222" s="3">
        <f>Table1578[[#This Row],[Defaulted Principal]]-Table1578[[#This Row],[Estimated Loss]]</f>
        <v>0</v>
      </c>
      <c r="N222" s="3">
        <f>IFERROR(VLOOKUP(Table1578[[#This Row],[Period]],$L$16:$M$385,2,FALSE),0)</f>
        <v>0</v>
      </c>
      <c r="O222" s="3">
        <f>Table1578[[#This Row],[Beginning Balance]]-Table1578[[#This Row],[Principal]]-Table1578[[#This Row],[Prepayments]]-Table1578[[#This Row],[Defaulted Principal]]</f>
        <v>0</v>
      </c>
      <c r="P222" s="3">
        <f>Table1578[[#This Row],[Principal]]+Table1578[[#This Row],[Interest]]+Table1578[[#This Row],[Prepayments]]+Table1578[[#This Row],[RecoveredAmount]]</f>
        <v>0</v>
      </c>
      <c r="Q222" s="3">
        <f ca="1">ROUND(Table1578[[#This Row],[Cash Flow]]/((1+ActualRateToUse)^(IF(ISNUMBER(SEARCH("Actual",$C$7)),Table1578[[#This Row],[Running Total]]/365,Table1578[[#This Row],[Period]]/12))),2)</f>
        <v>0</v>
      </c>
      <c r="R222" s="2">
        <f>IF(MONTH(Table1578[[#This Row],[Date]])=2,28,DAY(DATE(YEAR(Table1578[[#This Row],[Date]]),MONTH(Table1578[[#This Row],[Date]])+1,1)-1))</f>
        <v>31</v>
      </c>
      <c r="S222" s="2">
        <f ca="1">SUM(OFFSET(Table1578[[#Headers],[Days in month]],1,0):Table1578[[#This Row],[Days in month]])</f>
        <v>6267</v>
      </c>
      <c r="T222" s="37">
        <f>InterestRate*AmortizationMultiplier*IF(ISNUMBER(SEARCH("Actual",$C$7)),Table1578[[#This Row],[Days in month]]/365,1/12)</f>
        <v>6.2344444444444444E-3</v>
      </c>
    </row>
    <row r="223" spans="2:20" x14ac:dyDescent="0.2">
      <c r="B223" s="1">
        <f t="shared" si="10"/>
        <v>52139</v>
      </c>
      <c r="C223" s="2">
        <f t="shared" si="12"/>
        <v>207</v>
      </c>
      <c r="D223" s="3">
        <f t="shared" si="11"/>
        <v>0</v>
      </c>
      <c r="E223" s="3">
        <f>ROUND(Table1578[[#This Row],[Beginning Balance]]*Table1578[[#This Row],[Monthly Interest Rate]],2)</f>
        <v>0</v>
      </c>
      <c r="F223" s="3">
        <f t="shared" si="13"/>
        <v>-204</v>
      </c>
      <c r="G223" s="23">
        <f>IFERROR(IF($C$13="No","N/A",IF(Table1578[[#This Row],[Period]]=1,$C$6,PMT(InterestRate*AmortizationMultiplier/12,Table1578[[#This Row],[Am Thru]],-Table1578[[#This Row],[Beginning Balance]]))),0)</f>
        <v>0</v>
      </c>
      <c r="H223" s="3">
        <f>MAX(0,IF(C223=$C$4,D223,ROUND(IF($C$3="Fixed Principal",$C$6-Table1578[[#This Row],[Interest]],IF($C$3="Interest Only",Table1578[[#This Row],[Beginning Balance]]*ROUND(1-(1-IF($C$11="No",$E$8,1))^(1/12),6),MIN(IF($C$13="Yes",Table1578[[#This Row],[Payment Amount (Reamortized)]],$C$6)-Table1578[[#This Row],[Interest]],Table1578[[#This Row],[Beginning Balance]]))),2)))</f>
        <v>0</v>
      </c>
      <c r="I223" s="3">
        <f>_xlfn.SINGLE(IF($C$3="Line of Credit",0,ROUND(MAX(MIN(IF($C$10="No",$E$7,VLOOKUP(Table1578[[#This Row],[Period]],Forecast!$H$2:$L$1048576,4,FALSE))*Table1578[[#This Row],[Beginning Balance]],Table1578[[#This Row],[Beginning Balance]]-Table1578[[#This Row],[Principal]]),0),2)))</f>
        <v>0</v>
      </c>
      <c r="J223" s="3">
        <f>ROUND(MIN(Table1578[[#This Row],[Beginning Balance]]*IF($C$8="No",$E$3,VLOOKUP(Table1578[[#This Row],[Period]],Forecast!$H$2:$L$1048576,2,FALSE)),Table1578[[#This Row],[Beginning Balance]]-Table1578[[#This Row],[Principal]]-Table1578[[#This Row],[Prepayments]]),2)</f>
        <v>0</v>
      </c>
      <c r="K223" s="3">
        <f>ROUND(Table1578[[#This Row],[Defaulted Principal]]*IF($C$9="No",$E$4,VLOOKUP(Table1578[[#This Row],[Period]],Forecast!$H$2:$L$1048576,3,FALSE)),2)</f>
        <v>0</v>
      </c>
      <c r="L223" s="2">
        <f>Table1578[[#This Row],[Period]]+$E$9</f>
        <v>219</v>
      </c>
      <c r="M223" s="3">
        <f>Table1578[[#This Row],[Defaulted Principal]]-Table1578[[#This Row],[Estimated Loss]]</f>
        <v>0</v>
      </c>
      <c r="N223" s="3">
        <f>IFERROR(VLOOKUP(Table1578[[#This Row],[Period]],$L$16:$M$385,2,FALSE),0)</f>
        <v>0</v>
      </c>
      <c r="O223" s="3">
        <f>Table1578[[#This Row],[Beginning Balance]]-Table1578[[#This Row],[Principal]]-Table1578[[#This Row],[Prepayments]]-Table1578[[#This Row],[Defaulted Principal]]</f>
        <v>0</v>
      </c>
      <c r="P223" s="3">
        <f>Table1578[[#This Row],[Principal]]+Table1578[[#This Row],[Interest]]+Table1578[[#This Row],[Prepayments]]+Table1578[[#This Row],[RecoveredAmount]]</f>
        <v>0</v>
      </c>
      <c r="Q223" s="3">
        <f ca="1">ROUND(Table1578[[#This Row],[Cash Flow]]/((1+ActualRateToUse)^(IF(ISNUMBER(SEARCH("Actual",$C$7)),Table1578[[#This Row],[Running Total]]/365,Table1578[[#This Row],[Period]]/12))),2)</f>
        <v>0</v>
      </c>
      <c r="R223" s="2">
        <f>IF(MONTH(Table1578[[#This Row],[Date]])=2,28,DAY(DATE(YEAR(Table1578[[#This Row],[Date]]),MONTH(Table1578[[#This Row],[Date]])+1,1)-1))</f>
        <v>30</v>
      </c>
      <c r="S223" s="2">
        <f ca="1">SUM(OFFSET(Table1578[[#Headers],[Days in month]],1,0):Table1578[[#This Row],[Days in month]])</f>
        <v>6297</v>
      </c>
      <c r="T223" s="37">
        <f>InterestRate*AmortizationMultiplier*IF(ISNUMBER(SEARCH("Actual",$C$7)),Table1578[[#This Row],[Days in month]]/365,1/12)</f>
        <v>6.0333333333333333E-3</v>
      </c>
    </row>
    <row r="224" spans="2:20" x14ac:dyDescent="0.2">
      <c r="B224" s="1">
        <f t="shared" si="10"/>
        <v>52170</v>
      </c>
      <c r="C224" s="2">
        <f t="shared" si="12"/>
        <v>208</v>
      </c>
      <c r="D224" s="3">
        <f t="shared" si="11"/>
        <v>0</v>
      </c>
      <c r="E224" s="3">
        <f>ROUND(Table1578[[#This Row],[Beginning Balance]]*Table1578[[#This Row],[Monthly Interest Rate]],2)</f>
        <v>0</v>
      </c>
      <c r="F224" s="3">
        <f t="shared" si="13"/>
        <v>-205</v>
      </c>
      <c r="G224" s="23">
        <f>IFERROR(IF($C$13="No","N/A",IF(Table1578[[#This Row],[Period]]=1,$C$6,PMT(InterestRate*AmortizationMultiplier/12,Table1578[[#This Row],[Am Thru]],-Table1578[[#This Row],[Beginning Balance]]))),0)</f>
        <v>0</v>
      </c>
      <c r="H224" s="3">
        <f>MAX(0,IF(C224=$C$4,D224,ROUND(IF($C$3="Fixed Principal",$C$6-Table1578[[#This Row],[Interest]],IF($C$3="Interest Only",Table1578[[#This Row],[Beginning Balance]]*ROUND(1-(1-IF($C$11="No",$E$8,1))^(1/12),6),MIN(IF($C$13="Yes",Table1578[[#This Row],[Payment Amount (Reamortized)]],$C$6)-Table1578[[#This Row],[Interest]],Table1578[[#This Row],[Beginning Balance]]))),2)))</f>
        <v>0</v>
      </c>
      <c r="I224" s="3">
        <f>_xlfn.SINGLE(IF($C$3="Line of Credit",0,ROUND(MAX(MIN(IF($C$10="No",$E$7,VLOOKUP(Table1578[[#This Row],[Period]],Forecast!$H$2:$L$1048576,4,FALSE))*Table1578[[#This Row],[Beginning Balance]],Table1578[[#This Row],[Beginning Balance]]-Table1578[[#This Row],[Principal]]),0),2)))</f>
        <v>0</v>
      </c>
      <c r="J224" s="3">
        <f>ROUND(MIN(Table1578[[#This Row],[Beginning Balance]]*IF($C$8="No",$E$3,VLOOKUP(Table1578[[#This Row],[Period]],Forecast!$H$2:$L$1048576,2,FALSE)),Table1578[[#This Row],[Beginning Balance]]-Table1578[[#This Row],[Principal]]-Table1578[[#This Row],[Prepayments]]),2)</f>
        <v>0</v>
      </c>
      <c r="K224" s="3">
        <f>ROUND(Table1578[[#This Row],[Defaulted Principal]]*IF($C$9="No",$E$4,VLOOKUP(Table1578[[#This Row],[Period]],Forecast!$H$2:$L$1048576,3,FALSE)),2)</f>
        <v>0</v>
      </c>
      <c r="L224" s="2">
        <f>Table1578[[#This Row],[Period]]+$E$9</f>
        <v>220</v>
      </c>
      <c r="M224" s="3">
        <f>Table1578[[#This Row],[Defaulted Principal]]-Table1578[[#This Row],[Estimated Loss]]</f>
        <v>0</v>
      </c>
      <c r="N224" s="3">
        <f>IFERROR(VLOOKUP(Table1578[[#This Row],[Period]],$L$16:$M$385,2,FALSE),0)</f>
        <v>0</v>
      </c>
      <c r="O224" s="3">
        <f>Table1578[[#This Row],[Beginning Balance]]-Table1578[[#This Row],[Principal]]-Table1578[[#This Row],[Prepayments]]-Table1578[[#This Row],[Defaulted Principal]]</f>
        <v>0</v>
      </c>
      <c r="P224" s="3">
        <f>Table1578[[#This Row],[Principal]]+Table1578[[#This Row],[Interest]]+Table1578[[#This Row],[Prepayments]]+Table1578[[#This Row],[RecoveredAmount]]</f>
        <v>0</v>
      </c>
      <c r="Q224" s="3">
        <f ca="1">ROUND(Table1578[[#This Row],[Cash Flow]]/((1+ActualRateToUse)^(IF(ISNUMBER(SEARCH("Actual",$C$7)),Table1578[[#This Row],[Running Total]]/365,Table1578[[#This Row],[Period]]/12))),2)</f>
        <v>0</v>
      </c>
      <c r="R224" s="2">
        <f>IF(MONTH(Table1578[[#This Row],[Date]])=2,28,DAY(DATE(YEAR(Table1578[[#This Row],[Date]]),MONTH(Table1578[[#This Row],[Date]])+1,1)-1))</f>
        <v>31</v>
      </c>
      <c r="S224" s="2">
        <f ca="1">SUM(OFFSET(Table1578[[#Headers],[Days in month]],1,0):Table1578[[#This Row],[Days in month]])</f>
        <v>6328</v>
      </c>
      <c r="T224" s="37">
        <f>InterestRate*AmortizationMultiplier*IF(ISNUMBER(SEARCH("Actual",$C$7)),Table1578[[#This Row],[Days in month]]/365,1/12)</f>
        <v>6.2344444444444444E-3</v>
      </c>
    </row>
    <row r="225" spans="2:20" x14ac:dyDescent="0.2">
      <c r="B225" s="1">
        <f t="shared" si="10"/>
        <v>52200</v>
      </c>
      <c r="C225" s="2">
        <f t="shared" si="12"/>
        <v>209</v>
      </c>
      <c r="D225" s="3">
        <f t="shared" si="11"/>
        <v>0</v>
      </c>
      <c r="E225" s="3">
        <f>ROUND(Table1578[[#This Row],[Beginning Balance]]*Table1578[[#This Row],[Monthly Interest Rate]],2)</f>
        <v>0</v>
      </c>
      <c r="F225" s="3">
        <f t="shared" si="13"/>
        <v>-206</v>
      </c>
      <c r="G225" s="23">
        <f>IFERROR(IF($C$13="No","N/A",IF(Table1578[[#This Row],[Period]]=1,$C$6,PMT(InterestRate*AmortizationMultiplier/12,Table1578[[#This Row],[Am Thru]],-Table1578[[#This Row],[Beginning Balance]]))),0)</f>
        <v>0</v>
      </c>
      <c r="H225" s="3">
        <f>MAX(0,IF(C225=$C$4,D225,ROUND(IF($C$3="Fixed Principal",$C$6-Table1578[[#This Row],[Interest]],IF($C$3="Interest Only",Table1578[[#This Row],[Beginning Balance]]*ROUND(1-(1-IF($C$11="No",$E$8,1))^(1/12),6),MIN(IF($C$13="Yes",Table1578[[#This Row],[Payment Amount (Reamortized)]],$C$6)-Table1578[[#This Row],[Interest]],Table1578[[#This Row],[Beginning Balance]]))),2)))</f>
        <v>0</v>
      </c>
      <c r="I225" s="3">
        <f>_xlfn.SINGLE(IF($C$3="Line of Credit",0,ROUND(MAX(MIN(IF($C$10="No",$E$7,VLOOKUP(Table1578[[#This Row],[Period]],Forecast!$H$2:$L$1048576,4,FALSE))*Table1578[[#This Row],[Beginning Balance]],Table1578[[#This Row],[Beginning Balance]]-Table1578[[#This Row],[Principal]]),0),2)))</f>
        <v>0</v>
      </c>
      <c r="J225" s="3">
        <f>ROUND(MIN(Table1578[[#This Row],[Beginning Balance]]*IF($C$8="No",$E$3,VLOOKUP(Table1578[[#This Row],[Period]],Forecast!$H$2:$L$1048576,2,FALSE)),Table1578[[#This Row],[Beginning Balance]]-Table1578[[#This Row],[Principal]]-Table1578[[#This Row],[Prepayments]]),2)</f>
        <v>0</v>
      </c>
      <c r="K225" s="3">
        <f>ROUND(Table1578[[#This Row],[Defaulted Principal]]*IF($C$9="No",$E$4,VLOOKUP(Table1578[[#This Row],[Period]],Forecast!$H$2:$L$1048576,3,FALSE)),2)</f>
        <v>0</v>
      </c>
      <c r="L225" s="2">
        <f>Table1578[[#This Row],[Period]]+$E$9</f>
        <v>221</v>
      </c>
      <c r="M225" s="3">
        <f>Table1578[[#This Row],[Defaulted Principal]]-Table1578[[#This Row],[Estimated Loss]]</f>
        <v>0</v>
      </c>
      <c r="N225" s="3">
        <f>IFERROR(VLOOKUP(Table1578[[#This Row],[Period]],$L$16:$M$385,2,FALSE),0)</f>
        <v>0</v>
      </c>
      <c r="O225" s="3">
        <f>Table1578[[#This Row],[Beginning Balance]]-Table1578[[#This Row],[Principal]]-Table1578[[#This Row],[Prepayments]]-Table1578[[#This Row],[Defaulted Principal]]</f>
        <v>0</v>
      </c>
      <c r="P225" s="3">
        <f>Table1578[[#This Row],[Principal]]+Table1578[[#This Row],[Interest]]+Table1578[[#This Row],[Prepayments]]+Table1578[[#This Row],[RecoveredAmount]]</f>
        <v>0</v>
      </c>
      <c r="Q225" s="3">
        <f ca="1">ROUND(Table1578[[#This Row],[Cash Flow]]/((1+ActualRateToUse)^(IF(ISNUMBER(SEARCH("Actual",$C$7)),Table1578[[#This Row],[Running Total]]/365,Table1578[[#This Row],[Period]]/12))),2)</f>
        <v>0</v>
      </c>
      <c r="R225" s="2">
        <f>IF(MONTH(Table1578[[#This Row],[Date]])=2,28,DAY(DATE(YEAR(Table1578[[#This Row],[Date]]),MONTH(Table1578[[#This Row],[Date]])+1,1)-1))</f>
        <v>30</v>
      </c>
      <c r="S225" s="2">
        <f ca="1">SUM(OFFSET(Table1578[[#Headers],[Days in month]],1,0):Table1578[[#This Row],[Days in month]])</f>
        <v>6358</v>
      </c>
      <c r="T225" s="37">
        <f>InterestRate*AmortizationMultiplier*IF(ISNUMBER(SEARCH("Actual",$C$7)),Table1578[[#This Row],[Days in month]]/365,1/12)</f>
        <v>6.0333333333333333E-3</v>
      </c>
    </row>
    <row r="226" spans="2:20" x14ac:dyDescent="0.2">
      <c r="B226" s="1">
        <f t="shared" si="10"/>
        <v>52231</v>
      </c>
      <c r="C226" s="2">
        <f t="shared" si="12"/>
        <v>210</v>
      </c>
      <c r="D226" s="3">
        <f t="shared" si="11"/>
        <v>0</v>
      </c>
      <c r="E226" s="3">
        <f>ROUND(Table1578[[#This Row],[Beginning Balance]]*Table1578[[#This Row],[Monthly Interest Rate]],2)</f>
        <v>0</v>
      </c>
      <c r="F226" s="3">
        <f t="shared" si="13"/>
        <v>-207</v>
      </c>
      <c r="G226" s="23">
        <f>IFERROR(IF($C$13="No","N/A",IF(Table1578[[#This Row],[Period]]=1,$C$6,PMT(InterestRate*AmortizationMultiplier/12,Table1578[[#This Row],[Am Thru]],-Table1578[[#This Row],[Beginning Balance]]))),0)</f>
        <v>0</v>
      </c>
      <c r="H226" s="3">
        <f>MAX(0,IF(C226=$C$4,D226,ROUND(IF($C$3="Fixed Principal",$C$6-Table1578[[#This Row],[Interest]],IF($C$3="Interest Only",Table1578[[#This Row],[Beginning Balance]]*ROUND(1-(1-IF($C$11="No",$E$8,1))^(1/12),6),MIN(IF($C$13="Yes",Table1578[[#This Row],[Payment Amount (Reamortized)]],$C$6)-Table1578[[#This Row],[Interest]],Table1578[[#This Row],[Beginning Balance]]))),2)))</f>
        <v>0</v>
      </c>
      <c r="I226" s="3">
        <f>_xlfn.SINGLE(IF($C$3="Line of Credit",0,ROUND(MAX(MIN(IF($C$10="No",$E$7,VLOOKUP(Table1578[[#This Row],[Period]],Forecast!$H$2:$L$1048576,4,FALSE))*Table1578[[#This Row],[Beginning Balance]],Table1578[[#This Row],[Beginning Balance]]-Table1578[[#This Row],[Principal]]),0),2)))</f>
        <v>0</v>
      </c>
      <c r="J226" s="3">
        <f>ROUND(MIN(Table1578[[#This Row],[Beginning Balance]]*IF($C$8="No",$E$3,VLOOKUP(Table1578[[#This Row],[Period]],Forecast!$H$2:$L$1048576,2,FALSE)),Table1578[[#This Row],[Beginning Balance]]-Table1578[[#This Row],[Principal]]-Table1578[[#This Row],[Prepayments]]),2)</f>
        <v>0</v>
      </c>
      <c r="K226" s="3">
        <f>ROUND(Table1578[[#This Row],[Defaulted Principal]]*IF($C$9="No",$E$4,VLOOKUP(Table1578[[#This Row],[Period]],Forecast!$H$2:$L$1048576,3,FALSE)),2)</f>
        <v>0</v>
      </c>
      <c r="L226" s="2">
        <f>Table1578[[#This Row],[Period]]+$E$9</f>
        <v>222</v>
      </c>
      <c r="M226" s="3">
        <f>Table1578[[#This Row],[Defaulted Principal]]-Table1578[[#This Row],[Estimated Loss]]</f>
        <v>0</v>
      </c>
      <c r="N226" s="3">
        <f>IFERROR(VLOOKUP(Table1578[[#This Row],[Period]],$L$16:$M$385,2,FALSE),0)</f>
        <v>0</v>
      </c>
      <c r="O226" s="3">
        <f>Table1578[[#This Row],[Beginning Balance]]-Table1578[[#This Row],[Principal]]-Table1578[[#This Row],[Prepayments]]-Table1578[[#This Row],[Defaulted Principal]]</f>
        <v>0</v>
      </c>
      <c r="P226" s="3">
        <f>Table1578[[#This Row],[Principal]]+Table1578[[#This Row],[Interest]]+Table1578[[#This Row],[Prepayments]]+Table1578[[#This Row],[RecoveredAmount]]</f>
        <v>0</v>
      </c>
      <c r="Q226" s="3">
        <f ca="1">ROUND(Table1578[[#This Row],[Cash Flow]]/((1+ActualRateToUse)^(IF(ISNUMBER(SEARCH("Actual",$C$7)),Table1578[[#This Row],[Running Total]]/365,Table1578[[#This Row],[Period]]/12))),2)</f>
        <v>0</v>
      </c>
      <c r="R226" s="2">
        <f>IF(MONTH(Table1578[[#This Row],[Date]])=2,28,DAY(DATE(YEAR(Table1578[[#This Row],[Date]]),MONTH(Table1578[[#This Row],[Date]])+1,1)-1))</f>
        <v>31</v>
      </c>
      <c r="S226" s="2">
        <f ca="1">SUM(OFFSET(Table1578[[#Headers],[Days in month]],1,0):Table1578[[#This Row],[Days in month]])</f>
        <v>6389</v>
      </c>
      <c r="T226" s="37">
        <f>InterestRate*AmortizationMultiplier*IF(ISNUMBER(SEARCH("Actual",$C$7)),Table1578[[#This Row],[Days in month]]/365,1/12)</f>
        <v>6.2344444444444444E-3</v>
      </c>
    </row>
    <row r="227" spans="2:20" x14ac:dyDescent="0.2">
      <c r="B227" s="1">
        <f t="shared" si="10"/>
        <v>52262</v>
      </c>
      <c r="C227" s="2">
        <f t="shared" si="12"/>
        <v>211</v>
      </c>
      <c r="D227" s="3">
        <f t="shared" si="11"/>
        <v>0</v>
      </c>
      <c r="E227" s="3">
        <f>ROUND(Table1578[[#This Row],[Beginning Balance]]*Table1578[[#This Row],[Monthly Interest Rate]],2)</f>
        <v>0</v>
      </c>
      <c r="F227" s="3">
        <f t="shared" si="13"/>
        <v>-208</v>
      </c>
      <c r="G227" s="23">
        <f>IFERROR(IF($C$13="No","N/A",IF(Table1578[[#This Row],[Period]]=1,$C$6,PMT(InterestRate*AmortizationMultiplier/12,Table1578[[#This Row],[Am Thru]],-Table1578[[#This Row],[Beginning Balance]]))),0)</f>
        <v>0</v>
      </c>
      <c r="H227" s="3">
        <f>MAX(0,IF(C227=$C$4,D227,ROUND(IF($C$3="Fixed Principal",$C$6-Table1578[[#This Row],[Interest]],IF($C$3="Interest Only",Table1578[[#This Row],[Beginning Balance]]*ROUND(1-(1-IF($C$11="No",$E$8,1))^(1/12),6),MIN(IF($C$13="Yes",Table1578[[#This Row],[Payment Amount (Reamortized)]],$C$6)-Table1578[[#This Row],[Interest]],Table1578[[#This Row],[Beginning Balance]]))),2)))</f>
        <v>0</v>
      </c>
      <c r="I227" s="3">
        <f>_xlfn.SINGLE(IF($C$3="Line of Credit",0,ROUND(MAX(MIN(IF($C$10="No",$E$7,VLOOKUP(Table1578[[#This Row],[Period]],Forecast!$H$2:$L$1048576,4,FALSE))*Table1578[[#This Row],[Beginning Balance]],Table1578[[#This Row],[Beginning Balance]]-Table1578[[#This Row],[Principal]]),0),2)))</f>
        <v>0</v>
      </c>
      <c r="J227" s="3">
        <f>ROUND(MIN(Table1578[[#This Row],[Beginning Balance]]*IF($C$8="No",$E$3,VLOOKUP(Table1578[[#This Row],[Period]],Forecast!$H$2:$L$1048576,2,FALSE)),Table1578[[#This Row],[Beginning Balance]]-Table1578[[#This Row],[Principal]]-Table1578[[#This Row],[Prepayments]]),2)</f>
        <v>0</v>
      </c>
      <c r="K227" s="3">
        <f>ROUND(Table1578[[#This Row],[Defaulted Principal]]*IF($C$9="No",$E$4,VLOOKUP(Table1578[[#This Row],[Period]],Forecast!$H$2:$L$1048576,3,FALSE)),2)</f>
        <v>0</v>
      </c>
      <c r="L227" s="2">
        <f>Table1578[[#This Row],[Period]]+$E$9</f>
        <v>223</v>
      </c>
      <c r="M227" s="3">
        <f>Table1578[[#This Row],[Defaulted Principal]]-Table1578[[#This Row],[Estimated Loss]]</f>
        <v>0</v>
      </c>
      <c r="N227" s="3">
        <f>IFERROR(VLOOKUP(Table1578[[#This Row],[Period]],$L$16:$M$385,2,FALSE),0)</f>
        <v>0</v>
      </c>
      <c r="O227" s="3">
        <f>Table1578[[#This Row],[Beginning Balance]]-Table1578[[#This Row],[Principal]]-Table1578[[#This Row],[Prepayments]]-Table1578[[#This Row],[Defaulted Principal]]</f>
        <v>0</v>
      </c>
      <c r="P227" s="3">
        <f>Table1578[[#This Row],[Principal]]+Table1578[[#This Row],[Interest]]+Table1578[[#This Row],[Prepayments]]+Table1578[[#This Row],[RecoveredAmount]]</f>
        <v>0</v>
      </c>
      <c r="Q227" s="3">
        <f ca="1">ROUND(Table1578[[#This Row],[Cash Flow]]/((1+ActualRateToUse)^(IF(ISNUMBER(SEARCH("Actual",$C$7)),Table1578[[#This Row],[Running Total]]/365,Table1578[[#This Row],[Period]]/12))),2)</f>
        <v>0</v>
      </c>
      <c r="R227" s="2">
        <f>IF(MONTH(Table1578[[#This Row],[Date]])=2,28,DAY(DATE(YEAR(Table1578[[#This Row],[Date]]),MONTH(Table1578[[#This Row],[Date]])+1,1)-1))</f>
        <v>31</v>
      </c>
      <c r="S227" s="2">
        <f ca="1">SUM(OFFSET(Table1578[[#Headers],[Days in month]],1,0):Table1578[[#This Row],[Days in month]])</f>
        <v>6420</v>
      </c>
      <c r="T227" s="37">
        <f>InterestRate*AmortizationMultiplier*IF(ISNUMBER(SEARCH("Actual",$C$7)),Table1578[[#This Row],[Days in month]]/365,1/12)</f>
        <v>6.2344444444444444E-3</v>
      </c>
    </row>
    <row r="228" spans="2:20" x14ac:dyDescent="0.2">
      <c r="B228" s="1">
        <f t="shared" si="10"/>
        <v>52290</v>
      </c>
      <c r="C228" s="2">
        <f t="shared" si="12"/>
        <v>212</v>
      </c>
      <c r="D228" s="3">
        <f t="shared" si="11"/>
        <v>0</v>
      </c>
      <c r="E228" s="3">
        <f>ROUND(Table1578[[#This Row],[Beginning Balance]]*Table1578[[#This Row],[Monthly Interest Rate]],2)</f>
        <v>0</v>
      </c>
      <c r="F228" s="3">
        <f t="shared" si="13"/>
        <v>-209</v>
      </c>
      <c r="G228" s="23">
        <f>IFERROR(IF($C$13="No","N/A",IF(Table1578[[#This Row],[Period]]=1,$C$6,PMT(InterestRate*AmortizationMultiplier/12,Table1578[[#This Row],[Am Thru]],-Table1578[[#This Row],[Beginning Balance]]))),0)</f>
        <v>0</v>
      </c>
      <c r="H228" s="3">
        <f>MAX(0,IF(C228=$C$4,D228,ROUND(IF($C$3="Fixed Principal",$C$6-Table1578[[#This Row],[Interest]],IF($C$3="Interest Only",Table1578[[#This Row],[Beginning Balance]]*ROUND(1-(1-IF($C$11="No",$E$8,1))^(1/12),6),MIN(IF($C$13="Yes",Table1578[[#This Row],[Payment Amount (Reamortized)]],$C$6)-Table1578[[#This Row],[Interest]],Table1578[[#This Row],[Beginning Balance]]))),2)))</f>
        <v>0</v>
      </c>
      <c r="I228" s="3">
        <f>_xlfn.SINGLE(IF($C$3="Line of Credit",0,ROUND(MAX(MIN(IF($C$10="No",$E$7,VLOOKUP(Table1578[[#This Row],[Period]],Forecast!$H$2:$L$1048576,4,FALSE))*Table1578[[#This Row],[Beginning Balance]],Table1578[[#This Row],[Beginning Balance]]-Table1578[[#This Row],[Principal]]),0),2)))</f>
        <v>0</v>
      </c>
      <c r="J228" s="3">
        <f>ROUND(MIN(Table1578[[#This Row],[Beginning Balance]]*IF($C$8="No",$E$3,VLOOKUP(Table1578[[#This Row],[Period]],Forecast!$H$2:$L$1048576,2,FALSE)),Table1578[[#This Row],[Beginning Balance]]-Table1578[[#This Row],[Principal]]-Table1578[[#This Row],[Prepayments]]),2)</f>
        <v>0</v>
      </c>
      <c r="K228" s="3">
        <f>ROUND(Table1578[[#This Row],[Defaulted Principal]]*IF($C$9="No",$E$4,VLOOKUP(Table1578[[#This Row],[Period]],Forecast!$H$2:$L$1048576,3,FALSE)),2)</f>
        <v>0</v>
      </c>
      <c r="L228" s="2">
        <f>Table1578[[#This Row],[Period]]+$E$9</f>
        <v>224</v>
      </c>
      <c r="M228" s="3">
        <f>Table1578[[#This Row],[Defaulted Principal]]-Table1578[[#This Row],[Estimated Loss]]</f>
        <v>0</v>
      </c>
      <c r="N228" s="3">
        <f>IFERROR(VLOOKUP(Table1578[[#This Row],[Period]],$L$16:$M$385,2,FALSE),0)</f>
        <v>0</v>
      </c>
      <c r="O228" s="3">
        <f>Table1578[[#This Row],[Beginning Balance]]-Table1578[[#This Row],[Principal]]-Table1578[[#This Row],[Prepayments]]-Table1578[[#This Row],[Defaulted Principal]]</f>
        <v>0</v>
      </c>
      <c r="P228" s="3">
        <f>Table1578[[#This Row],[Principal]]+Table1578[[#This Row],[Interest]]+Table1578[[#This Row],[Prepayments]]+Table1578[[#This Row],[RecoveredAmount]]</f>
        <v>0</v>
      </c>
      <c r="Q228" s="3">
        <f ca="1">ROUND(Table1578[[#This Row],[Cash Flow]]/((1+ActualRateToUse)^(IF(ISNUMBER(SEARCH("Actual",$C$7)),Table1578[[#This Row],[Running Total]]/365,Table1578[[#This Row],[Period]]/12))),2)</f>
        <v>0</v>
      </c>
      <c r="R228" s="2">
        <f>IF(MONTH(Table1578[[#This Row],[Date]])=2,28,DAY(DATE(YEAR(Table1578[[#This Row],[Date]]),MONTH(Table1578[[#This Row],[Date]])+1,1)-1))</f>
        <v>28</v>
      </c>
      <c r="S228" s="2">
        <f ca="1">SUM(OFFSET(Table1578[[#Headers],[Days in month]],1,0):Table1578[[#This Row],[Days in month]])</f>
        <v>6448</v>
      </c>
      <c r="T228" s="37">
        <f>InterestRate*AmortizationMultiplier*IF(ISNUMBER(SEARCH("Actual",$C$7)),Table1578[[#This Row],[Days in month]]/365,1/12)</f>
        <v>5.6311111111111119E-3</v>
      </c>
    </row>
    <row r="229" spans="2:20" x14ac:dyDescent="0.2">
      <c r="B229" s="1">
        <f t="shared" si="10"/>
        <v>52321</v>
      </c>
      <c r="C229" s="2">
        <f t="shared" si="12"/>
        <v>213</v>
      </c>
      <c r="D229" s="3">
        <f t="shared" si="11"/>
        <v>0</v>
      </c>
      <c r="E229" s="3">
        <f>ROUND(Table1578[[#This Row],[Beginning Balance]]*Table1578[[#This Row],[Monthly Interest Rate]],2)</f>
        <v>0</v>
      </c>
      <c r="F229" s="3">
        <f t="shared" si="13"/>
        <v>-210</v>
      </c>
      <c r="G229" s="23">
        <f>IFERROR(IF($C$13="No","N/A",IF(Table1578[[#This Row],[Period]]=1,$C$6,PMT(InterestRate*AmortizationMultiplier/12,Table1578[[#This Row],[Am Thru]],-Table1578[[#This Row],[Beginning Balance]]))),0)</f>
        <v>0</v>
      </c>
      <c r="H229" s="3">
        <f>MAX(0,IF(C229=$C$4,D229,ROUND(IF($C$3="Fixed Principal",$C$6-Table1578[[#This Row],[Interest]],IF($C$3="Interest Only",Table1578[[#This Row],[Beginning Balance]]*ROUND(1-(1-IF($C$11="No",$E$8,1))^(1/12),6),MIN(IF($C$13="Yes",Table1578[[#This Row],[Payment Amount (Reamortized)]],$C$6)-Table1578[[#This Row],[Interest]],Table1578[[#This Row],[Beginning Balance]]))),2)))</f>
        <v>0</v>
      </c>
      <c r="I229" s="3">
        <f>_xlfn.SINGLE(IF($C$3="Line of Credit",0,ROUND(MAX(MIN(IF($C$10="No",$E$7,VLOOKUP(Table1578[[#This Row],[Period]],Forecast!$H$2:$L$1048576,4,FALSE))*Table1578[[#This Row],[Beginning Balance]],Table1578[[#This Row],[Beginning Balance]]-Table1578[[#This Row],[Principal]]),0),2)))</f>
        <v>0</v>
      </c>
      <c r="J229" s="3">
        <f>ROUND(MIN(Table1578[[#This Row],[Beginning Balance]]*IF($C$8="No",$E$3,VLOOKUP(Table1578[[#This Row],[Period]],Forecast!$H$2:$L$1048576,2,FALSE)),Table1578[[#This Row],[Beginning Balance]]-Table1578[[#This Row],[Principal]]-Table1578[[#This Row],[Prepayments]]),2)</f>
        <v>0</v>
      </c>
      <c r="K229" s="3">
        <f>ROUND(Table1578[[#This Row],[Defaulted Principal]]*IF($C$9="No",$E$4,VLOOKUP(Table1578[[#This Row],[Period]],Forecast!$H$2:$L$1048576,3,FALSE)),2)</f>
        <v>0</v>
      </c>
      <c r="L229" s="2">
        <f>Table1578[[#This Row],[Period]]+$E$9</f>
        <v>225</v>
      </c>
      <c r="M229" s="3">
        <f>Table1578[[#This Row],[Defaulted Principal]]-Table1578[[#This Row],[Estimated Loss]]</f>
        <v>0</v>
      </c>
      <c r="N229" s="3">
        <f>IFERROR(VLOOKUP(Table1578[[#This Row],[Period]],$L$16:$M$385,2,FALSE),0)</f>
        <v>0</v>
      </c>
      <c r="O229" s="3">
        <f>Table1578[[#This Row],[Beginning Balance]]-Table1578[[#This Row],[Principal]]-Table1578[[#This Row],[Prepayments]]-Table1578[[#This Row],[Defaulted Principal]]</f>
        <v>0</v>
      </c>
      <c r="P229" s="3">
        <f>Table1578[[#This Row],[Principal]]+Table1578[[#This Row],[Interest]]+Table1578[[#This Row],[Prepayments]]+Table1578[[#This Row],[RecoveredAmount]]</f>
        <v>0</v>
      </c>
      <c r="Q229" s="3">
        <f ca="1">ROUND(Table1578[[#This Row],[Cash Flow]]/((1+ActualRateToUse)^(IF(ISNUMBER(SEARCH("Actual",$C$7)),Table1578[[#This Row],[Running Total]]/365,Table1578[[#This Row],[Period]]/12))),2)</f>
        <v>0</v>
      </c>
      <c r="R229" s="2">
        <f>IF(MONTH(Table1578[[#This Row],[Date]])=2,28,DAY(DATE(YEAR(Table1578[[#This Row],[Date]]),MONTH(Table1578[[#This Row],[Date]])+1,1)-1))</f>
        <v>31</v>
      </c>
      <c r="S229" s="2">
        <f ca="1">SUM(OFFSET(Table1578[[#Headers],[Days in month]],1,0):Table1578[[#This Row],[Days in month]])</f>
        <v>6479</v>
      </c>
      <c r="T229" s="37">
        <f>InterestRate*AmortizationMultiplier*IF(ISNUMBER(SEARCH("Actual",$C$7)),Table1578[[#This Row],[Days in month]]/365,1/12)</f>
        <v>6.2344444444444444E-3</v>
      </c>
    </row>
    <row r="230" spans="2:20" x14ac:dyDescent="0.2">
      <c r="B230" s="1">
        <f t="shared" si="10"/>
        <v>52351</v>
      </c>
      <c r="C230" s="2">
        <f t="shared" si="12"/>
        <v>214</v>
      </c>
      <c r="D230" s="3">
        <f t="shared" si="11"/>
        <v>0</v>
      </c>
      <c r="E230" s="3">
        <f>ROUND(Table1578[[#This Row],[Beginning Balance]]*Table1578[[#This Row],[Monthly Interest Rate]],2)</f>
        <v>0</v>
      </c>
      <c r="F230" s="3">
        <f t="shared" si="13"/>
        <v>-211</v>
      </c>
      <c r="G230" s="23">
        <f>IFERROR(IF($C$13="No","N/A",IF(Table1578[[#This Row],[Period]]=1,$C$6,PMT(InterestRate*AmortizationMultiplier/12,Table1578[[#This Row],[Am Thru]],-Table1578[[#This Row],[Beginning Balance]]))),0)</f>
        <v>0</v>
      </c>
      <c r="H230" s="3">
        <f>MAX(0,IF(C230=$C$4,D230,ROUND(IF($C$3="Fixed Principal",$C$6-Table1578[[#This Row],[Interest]],IF($C$3="Interest Only",Table1578[[#This Row],[Beginning Balance]]*ROUND(1-(1-IF($C$11="No",$E$8,1))^(1/12),6),MIN(IF($C$13="Yes",Table1578[[#This Row],[Payment Amount (Reamortized)]],$C$6)-Table1578[[#This Row],[Interest]],Table1578[[#This Row],[Beginning Balance]]))),2)))</f>
        <v>0</v>
      </c>
      <c r="I230" s="3">
        <f>_xlfn.SINGLE(IF($C$3="Line of Credit",0,ROUND(MAX(MIN(IF($C$10="No",$E$7,VLOOKUP(Table1578[[#This Row],[Period]],Forecast!$H$2:$L$1048576,4,FALSE))*Table1578[[#This Row],[Beginning Balance]],Table1578[[#This Row],[Beginning Balance]]-Table1578[[#This Row],[Principal]]),0),2)))</f>
        <v>0</v>
      </c>
      <c r="J230" s="3">
        <f>ROUND(MIN(Table1578[[#This Row],[Beginning Balance]]*IF($C$8="No",$E$3,VLOOKUP(Table1578[[#This Row],[Period]],Forecast!$H$2:$L$1048576,2,FALSE)),Table1578[[#This Row],[Beginning Balance]]-Table1578[[#This Row],[Principal]]-Table1578[[#This Row],[Prepayments]]),2)</f>
        <v>0</v>
      </c>
      <c r="K230" s="3">
        <f>ROUND(Table1578[[#This Row],[Defaulted Principal]]*IF($C$9="No",$E$4,VLOOKUP(Table1578[[#This Row],[Period]],Forecast!$H$2:$L$1048576,3,FALSE)),2)</f>
        <v>0</v>
      </c>
      <c r="L230" s="2">
        <f>Table1578[[#This Row],[Period]]+$E$9</f>
        <v>226</v>
      </c>
      <c r="M230" s="3">
        <f>Table1578[[#This Row],[Defaulted Principal]]-Table1578[[#This Row],[Estimated Loss]]</f>
        <v>0</v>
      </c>
      <c r="N230" s="3">
        <f>IFERROR(VLOOKUP(Table1578[[#This Row],[Period]],$L$16:$M$385,2,FALSE),0)</f>
        <v>0</v>
      </c>
      <c r="O230" s="3">
        <f>Table1578[[#This Row],[Beginning Balance]]-Table1578[[#This Row],[Principal]]-Table1578[[#This Row],[Prepayments]]-Table1578[[#This Row],[Defaulted Principal]]</f>
        <v>0</v>
      </c>
      <c r="P230" s="3">
        <f>Table1578[[#This Row],[Principal]]+Table1578[[#This Row],[Interest]]+Table1578[[#This Row],[Prepayments]]+Table1578[[#This Row],[RecoveredAmount]]</f>
        <v>0</v>
      </c>
      <c r="Q230" s="3">
        <f ca="1">ROUND(Table1578[[#This Row],[Cash Flow]]/((1+ActualRateToUse)^(IF(ISNUMBER(SEARCH("Actual",$C$7)),Table1578[[#This Row],[Running Total]]/365,Table1578[[#This Row],[Period]]/12))),2)</f>
        <v>0</v>
      </c>
      <c r="R230" s="2">
        <f>IF(MONTH(Table1578[[#This Row],[Date]])=2,28,DAY(DATE(YEAR(Table1578[[#This Row],[Date]]),MONTH(Table1578[[#This Row],[Date]])+1,1)-1))</f>
        <v>30</v>
      </c>
      <c r="S230" s="2">
        <f ca="1">SUM(OFFSET(Table1578[[#Headers],[Days in month]],1,0):Table1578[[#This Row],[Days in month]])</f>
        <v>6509</v>
      </c>
      <c r="T230" s="37">
        <f>InterestRate*AmortizationMultiplier*IF(ISNUMBER(SEARCH("Actual",$C$7)),Table1578[[#This Row],[Days in month]]/365,1/12)</f>
        <v>6.0333333333333333E-3</v>
      </c>
    </row>
    <row r="231" spans="2:20" x14ac:dyDescent="0.2">
      <c r="B231" s="1">
        <f t="shared" si="10"/>
        <v>52382</v>
      </c>
      <c r="C231" s="2">
        <f t="shared" si="12"/>
        <v>215</v>
      </c>
      <c r="D231" s="3">
        <f t="shared" si="11"/>
        <v>0</v>
      </c>
      <c r="E231" s="3">
        <f>ROUND(Table1578[[#This Row],[Beginning Balance]]*Table1578[[#This Row],[Monthly Interest Rate]],2)</f>
        <v>0</v>
      </c>
      <c r="F231" s="3">
        <f t="shared" si="13"/>
        <v>-212</v>
      </c>
      <c r="G231" s="23">
        <f>IFERROR(IF($C$13="No","N/A",IF(Table1578[[#This Row],[Period]]=1,$C$6,PMT(InterestRate*AmortizationMultiplier/12,Table1578[[#This Row],[Am Thru]],-Table1578[[#This Row],[Beginning Balance]]))),0)</f>
        <v>0</v>
      </c>
      <c r="H231" s="3">
        <f>MAX(0,IF(C231=$C$4,D231,ROUND(IF($C$3="Fixed Principal",$C$6-Table1578[[#This Row],[Interest]],IF($C$3="Interest Only",Table1578[[#This Row],[Beginning Balance]]*ROUND(1-(1-IF($C$11="No",$E$8,1))^(1/12),6),MIN(IF($C$13="Yes",Table1578[[#This Row],[Payment Amount (Reamortized)]],$C$6)-Table1578[[#This Row],[Interest]],Table1578[[#This Row],[Beginning Balance]]))),2)))</f>
        <v>0</v>
      </c>
      <c r="I231" s="3">
        <f>_xlfn.SINGLE(IF($C$3="Line of Credit",0,ROUND(MAX(MIN(IF($C$10="No",$E$7,VLOOKUP(Table1578[[#This Row],[Period]],Forecast!$H$2:$L$1048576,4,FALSE))*Table1578[[#This Row],[Beginning Balance]],Table1578[[#This Row],[Beginning Balance]]-Table1578[[#This Row],[Principal]]),0),2)))</f>
        <v>0</v>
      </c>
      <c r="J231" s="3">
        <f>ROUND(MIN(Table1578[[#This Row],[Beginning Balance]]*IF($C$8="No",$E$3,VLOOKUP(Table1578[[#This Row],[Period]],Forecast!$H$2:$L$1048576,2,FALSE)),Table1578[[#This Row],[Beginning Balance]]-Table1578[[#This Row],[Principal]]-Table1578[[#This Row],[Prepayments]]),2)</f>
        <v>0</v>
      </c>
      <c r="K231" s="3">
        <f>ROUND(Table1578[[#This Row],[Defaulted Principal]]*IF($C$9="No",$E$4,VLOOKUP(Table1578[[#This Row],[Period]],Forecast!$H$2:$L$1048576,3,FALSE)),2)</f>
        <v>0</v>
      </c>
      <c r="L231" s="2">
        <f>Table1578[[#This Row],[Period]]+$E$9</f>
        <v>227</v>
      </c>
      <c r="M231" s="3">
        <f>Table1578[[#This Row],[Defaulted Principal]]-Table1578[[#This Row],[Estimated Loss]]</f>
        <v>0</v>
      </c>
      <c r="N231" s="3">
        <f>IFERROR(VLOOKUP(Table1578[[#This Row],[Period]],$L$16:$M$385,2,FALSE),0)</f>
        <v>0</v>
      </c>
      <c r="O231" s="3">
        <f>Table1578[[#This Row],[Beginning Balance]]-Table1578[[#This Row],[Principal]]-Table1578[[#This Row],[Prepayments]]-Table1578[[#This Row],[Defaulted Principal]]</f>
        <v>0</v>
      </c>
      <c r="P231" s="3">
        <f>Table1578[[#This Row],[Principal]]+Table1578[[#This Row],[Interest]]+Table1578[[#This Row],[Prepayments]]+Table1578[[#This Row],[RecoveredAmount]]</f>
        <v>0</v>
      </c>
      <c r="Q231" s="3">
        <f ca="1">ROUND(Table1578[[#This Row],[Cash Flow]]/((1+ActualRateToUse)^(IF(ISNUMBER(SEARCH("Actual",$C$7)),Table1578[[#This Row],[Running Total]]/365,Table1578[[#This Row],[Period]]/12))),2)</f>
        <v>0</v>
      </c>
      <c r="R231" s="2">
        <f>IF(MONTH(Table1578[[#This Row],[Date]])=2,28,DAY(DATE(YEAR(Table1578[[#This Row],[Date]]),MONTH(Table1578[[#This Row],[Date]])+1,1)-1))</f>
        <v>31</v>
      </c>
      <c r="S231" s="2">
        <f ca="1">SUM(OFFSET(Table1578[[#Headers],[Days in month]],1,0):Table1578[[#This Row],[Days in month]])</f>
        <v>6540</v>
      </c>
      <c r="T231" s="37">
        <f>InterestRate*AmortizationMultiplier*IF(ISNUMBER(SEARCH("Actual",$C$7)),Table1578[[#This Row],[Days in month]]/365,1/12)</f>
        <v>6.2344444444444444E-3</v>
      </c>
    </row>
    <row r="232" spans="2:20" x14ac:dyDescent="0.2">
      <c r="B232" s="1">
        <f t="shared" si="10"/>
        <v>52412</v>
      </c>
      <c r="C232" s="2">
        <f t="shared" si="12"/>
        <v>216</v>
      </c>
      <c r="D232" s="3">
        <f t="shared" si="11"/>
        <v>0</v>
      </c>
      <c r="E232" s="3">
        <f>ROUND(Table1578[[#This Row],[Beginning Balance]]*Table1578[[#This Row],[Monthly Interest Rate]],2)</f>
        <v>0</v>
      </c>
      <c r="F232" s="3">
        <f t="shared" si="13"/>
        <v>-213</v>
      </c>
      <c r="G232" s="23">
        <f>IFERROR(IF($C$13="No","N/A",IF(Table1578[[#This Row],[Period]]=1,$C$6,PMT(InterestRate*AmortizationMultiplier/12,Table1578[[#This Row],[Am Thru]],-Table1578[[#This Row],[Beginning Balance]]))),0)</f>
        <v>0</v>
      </c>
      <c r="H232" s="3">
        <f>MAX(0,IF(C232=$C$4,D232,ROUND(IF($C$3="Fixed Principal",$C$6-Table1578[[#This Row],[Interest]],IF($C$3="Interest Only",Table1578[[#This Row],[Beginning Balance]]*ROUND(1-(1-IF($C$11="No",$E$8,1))^(1/12),6),MIN(IF($C$13="Yes",Table1578[[#This Row],[Payment Amount (Reamortized)]],$C$6)-Table1578[[#This Row],[Interest]],Table1578[[#This Row],[Beginning Balance]]))),2)))</f>
        <v>0</v>
      </c>
      <c r="I232" s="3">
        <f>_xlfn.SINGLE(IF($C$3="Line of Credit",0,ROUND(MAX(MIN(IF($C$10="No",$E$7,VLOOKUP(Table1578[[#This Row],[Period]],Forecast!$H$2:$L$1048576,4,FALSE))*Table1578[[#This Row],[Beginning Balance]],Table1578[[#This Row],[Beginning Balance]]-Table1578[[#This Row],[Principal]]),0),2)))</f>
        <v>0</v>
      </c>
      <c r="J232" s="3">
        <f>ROUND(MIN(Table1578[[#This Row],[Beginning Balance]]*IF($C$8="No",$E$3,VLOOKUP(Table1578[[#This Row],[Period]],Forecast!$H$2:$L$1048576,2,FALSE)),Table1578[[#This Row],[Beginning Balance]]-Table1578[[#This Row],[Principal]]-Table1578[[#This Row],[Prepayments]]),2)</f>
        <v>0</v>
      </c>
      <c r="K232" s="3">
        <f>ROUND(Table1578[[#This Row],[Defaulted Principal]]*IF($C$9="No",$E$4,VLOOKUP(Table1578[[#This Row],[Period]],Forecast!$H$2:$L$1048576,3,FALSE)),2)</f>
        <v>0</v>
      </c>
      <c r="L232" s="2">
        <f>Table1578[[#This Row],[Period]]+$E$9</f>
        <v>228</v>
      </c>
      <c r="M232" s="3">
        <f>Table1578[[#This Row],[Defaulted Principal]]-Table1578[[#This Row],[Estimated Loss]]</f>
        <v>0</v>
      </c>
      <c r="N232" s="3">
        <f>IFERROR(VLOOKUP(Table1578[[#This Row],[Period]],$L$16:$M$385,2,FALSE),0)</f>
        <v>0</v>
      </c>
      <c r="O232" s="3">
        <f>Table1578[[#This Row],[Beginning Balance]]-Table1578[[#This Row],[Principal]]-Table1578[[#This Row],[Prepayments]]-Table1578[[#This Row],[Defaulted Principal]]</f>
        <v>0</v>
      </c>
      <c r="P232" s="3">
        <f>Table1578[[#This Row],[Principal]]+Table1578[[#This Row],[Interest]]+Table1578[[#This Row],[Prepayments]]+Table1578[[#This Row],[RecoveredAmount]]</f>
        <v>0</v>
      </c>
      <c r="Q232" s="3">
        <f ca="1">ROUND(Table1578[[#This Row],[Cash Flow]]/((1+ActualRateToUse)^(IF(ISNUMBER(SEARCH("Actual",$C$7)),Table1578[[#This Row],[Running Total]]/365,Table1578[[#This Row],[Period]]/12))),2)</f>
        <v>0</v>
      </c>
      <c r="R232" s="2">
        <f>IF(MONTH(Table1578[[#This Row],[Date]])=2,28,DAY(DATE(YEAR(Table1578[[#This Row],[Date]]),MONTH(Table1578[[#This Row],[Date]])+1,1)-1))</f>
        <v>30</v>
      </c>
      <c r="S232" s="2">
        <f ca="1">SUM(OFFSET(Table1578[[#Headers],[Days in month]],1,0):Table1578[[#This Row],[Days in month]])</f>
        <v>6570</v>
      </c>
      <c r="T232" s="37">
        <f>InterestRate*AmortizationMultiplier*IF(ISNUMBER(SEARCH("Actual",$C$7)),Table1578[[#This Row],[Days in month]]/365,1/12)</f>
        <v>6.0333333333333333E-3</v>
      </c>
    </row>
    <row r="233" spans="2:20" x14ac:dyDescent="0.2">
      <c r="B233" s="1">
        <f t="shared" si="10"/>
        <v>52443</v>
      </c>
      <c r="C233" s="2">
        <f t="shared" si="12"/>
        <v>217</v>
      </c>
      <c r="D233" s="3">
        <f t="shared" si="11"/>
        <v>0</v>
      </c>
      <c r="E233" s="3">
        <f>ROUND(Table1578[[#This Row],[Beginning Balance]]*Table1578[[#This Row],[Monthly Interest Rate]],2)</f>
        <v>0</v>
      </c>
      <c r="F233" s="3">
        <f t="shared" si="13"/>
        <v>-214</v>
      </c>
      <c r="G233" s="23">
        <f>IFERROR(IF($C$13="No","N/A",IF(Table1578[[#This Row],[Period]]=1,$C$6,PMT(InterestRate*AmortizationMultiplier/12,Table1578[[#This Row],[Am Thru]],-Table1578[[#This Row],[Beginning Balance]]))),0)</f>
        <v>0</v>
      </c>
      <c r="H233" s="3">
        <f>MAX(0,IF(C233=$C$4,D233,ROUND(IF($C$3="Fixed Principal",$C$6-Table1578[[#This Row],[Interest]],IF($C$3="Interest Only",Table1578[[#This Row],[Beginning Balance]]*ROUND(1-(1-IF($C$11="No",$E$8,1))^(1/12),6),MIN(IF($C$13="Yes",Table1578[[#This Row],[Payment Amount (Reamortized)]],$C$6)-Table1578[[#This Row],[Interest]],Table1578[[#This Row],[Beginning Balance]]))),2)))</f>
        <v>0</v>
      </c>
      <c r="I233" s="3">
        <f>_xlfn.SINGLE(IF($C$3="Line of Credit",0,ROUND(MAX(MIN(IF($C$10="No",$E$7,VLOOKUP(Table1578[[#This Row],[Period]],Forecast!$H$2:$L$1048576,4,FALSE))*Table1578[[#This Row],[Beginning Balance]],Table1578[[#This Row],[Beginning Balance]]-Table1578[[#This Row],[Principal]]),0),2)))</f>
        <v>0</v>
      </c>
      <c r="J233" s="3">
        <f>ROUND(MIN(Table1578[[#This Row],[Beginning Balance]]*IF($C$8="No",$E$3,VLOOKUP(Table1578[[#This Row],[Period]],Forecast!$H$2:$L$1048576,2,FALSE)),Table1578[[#This Row],[Beginning Balance]]-Table1578[[#This Row],[Principal]]-Table1578[[#This Row],[Prepayments]]),2)</f>
        <v>0</v>
      </c>
      <c r="K233" s="3">
        <f>ROUND(Table1578[[#This Row],[Defaulted Principal]]*IF($C$9="No",$E$4,VLOOKUP(Table1578[[#This Row],[Period]],Forecast!$H$2:$L$1048576,3,FALSE)),2)</f>
        <v>0</v>
      </c>
      <c r="L233" s="2">
        <f>Table1578[[#This Row],[Period]]+$E$9</f>
        <v>229</v>
      </c>
      <c r="M233" s="3">
        <f>Table1578[[#This Row],[Defaulted Principal]]-Table1578[[#This Row],[Estimated Loss]]</f>
        <v>0</v>
      </c>
      <c r="N233" s="3">
        <f>IFERROR(VLOOKUP(Table1578[[#This Row],[Period]],$L$16:$M$385,2,FALSE),0)</f>
        <v>0</v>
      </c>
      <c r="O233" s="3">
        <f>Table1578[[#This Row],[Beginning Balance]]-Table1578[[#This Row],[Principal]]-Table1578[[#This Row],[Prepayments]]-Table1578[[#This Row],[Defaulted Principal]]</f>
        <v>0</v>
      </c>
      <c r="P233" s="3">
        <f>Table1578[[#This Row],[Principal]]+Table1578[[#This Row],[Interest]]+Table1578[[#This Row],[Prepayments]]+Table1578[[#This Row],[RecoveredAmount]]</f>
        <v>0</v>
      </c>
      <c r="Q233" s="3">
        <f ca="1">ROUND(Table1578[[#This Row],[Cash Flow]]/((1+ActualRateToUse)^(IF(ISNUMBER(SEARCH("Actual",$C$7)),Table1578[[#This Row],[Running Total]]/365,Table1578[[#This Row],[Period]]/12))),2)</f>
        <v>0</v>
      </c>
      <c r="R233" s="2">
        <f>IF(MONTH(Table1578[[#This Row],[Date]])=2,28,DAY(DATE(YEAR(Table1578[[#This Row],[Date]]),MONTH(Table1578[[#This Row],[Date]])+1,1)-1))</f>
        <v>31</v>
      </c>
      <c r="S233" s="2">
        <f ca="1">SUM(OFFSET(Table1578[[#Headers],[Days in month]],1,0):Table1578[[#This Row],[Days in month]])</f>
        <v>6601</v>
      </c>
      <c r="T233" s="37">
        <f>InterestRate*AmortizationMultiplier*IF(ISNUMBER(SEARCH("Actual",$C$7)),Table1578[[#This Row],[Days in month]]/365,1/12)</f>
        <v>6.2344444444444444E-3</v>
      </c>
    </row>
    <row r="234" spans="2:20" x14ac:dyDescent="0.2">
      <c r="B234" s="1">
        <f t="shared" si="10"/>
        <v>52474</v>
      </c>
      <c r="C234" s="2">
        <f t="shared" si="12"/>
        <v>218</v>
      </c>
      <c r="D234" s="3">
        <f t="shared" si="11"/>
        <v>0</v>
      </c>
      <c r="E234" s="3">
        <f>ROUND(Table1578[[#This Row],[Beginning Balance]]*Table1578[[#This Row],[Monthly Interest Rate]],2)</f>
        <v>0</v>
      </c>
      <c r="F234" s="3">
        <f t="shared" si="13"/>
        <v>-215</v>
      </c>
      <c r="G234" s="23">
        <f>IFERROR(IF($C$13="No","N/A",IF(Table1578[[#This Row],[Period]]=1,$C$6,PMT(InterestRate*AmortizationMultiplier/12,Table1578[[#This Row],[Am Thru]],-Table1578[[#This Row],[Beginning Balance]]))),0)</f>
        <v>0</v>
      </c>
      <c r="H234" s="3">
        <f>MAX(0,IF(C234=$C$4,D234,ROUND(IF($C$3="Fixed Principal",$C$6-Table1578[[#This Row],[Interest]],IF($C$3="Interest Only",Table1578[[#This Row],[Beginning Balance]]*ROUND(1-(1-IF($C$11="No",$E$8,1))^(1/12),6),MIN(IF($C$13="Yes",Table1578[[#This Row],[Payment Amount (Reamortized)]],$C$6)-Table1578[[#This Row],[Interest]],Table1578[[#This Row],[Beginning Balance]]))),2)))</f>
        <v>0</v>
      </c>
      <c r="I234" s="3">
        <f>_xlfn.SINGLE(IF($C$3="Line of Credit",0,ROUND(MAX(MIN(IF($C$10="No",$E$7,VLOOKUP(Table1578[[#This Row],[Period]],Forecast!$H$2:$L$1048576,4,FALSE))*Table1578[[#This Row],[Beginning Balance]],Table1578[[#This Row],[Beginning Balance]]-Table1578[[#This Row],[Principal]]),0),2)))</f>
        <v>0</v>
      </c>
      <c r="J234" s="3">
        <f>ROUND(MIN(Table1578[[#This Row],[Beginning Balance]]*IF($C$8="No",$E$3,VLOOKUP(Table1578[[#This Row],[Period]],Forecast!$H$2:$L$1048576,2,FALSE)),Table1578[[#This Row],[Beginning Balance]]-Table1578[[#This Row],[Principal]]-Table1578[[#This Row],[Prepayments]]),2)</f>
        <v>0</v>
      </c>
      <c r="K234" s="3">
        <f>ROUND(Table1578[[#This Row],[Defaulted Principal]]*IF($C$9="No",$E$4,VLOOKUP(Table1578[[#This Row],[Period]],Forecast!$H$2:$L$1048576,3,FALSE)),2)</f>
        <v>0</v>
      </c>
      <c r="L234" s="2">
        <f>Table1578[[#This Row],[Period]]+$E$9</f>
        <v>230</v>
      </c>
      <c r="M234" s="3">
        <f>Table1578[[#This Row],[Defaulted Principal]]-Table1578[[#This Row],[Estimated Loss]]</f>
        <v>0</v>
      </c>
      <c r="N234" s="3">
        <f>IFERROR(VLOOKUP(Table1578[[#This Row],[Period]],$L$16:$M$385,2,FALSE),0)</f>
        <v>0</v>
      </c>
      <c r="O234" s="3">
        <f>Table1578[[#This Row],[Beginning Balance]]-Table1578[[#This Row],[Principal]]-Table1578[[#This Row],[Prepayments]]-Table1578[[#This Row],[Defaulted Principal]]</f>
        <v>0</v>
      </c>
      <c r="P234" s="3">
        <f>Table1578[[#This Row],[Principal]]+Table1578[[#This Row],[Interest]]+Table1578[[#This Row],[Prepayments]]+Table1578[[#This Row],[RecoveredAmount]]</f>
        <v>0</v>
      </c>
      <c r="Q234" s="3">
        <f ca="1">ROUND(Table1578[[#This Row],[Cash Flow]]/((1+ActualRateToUse)^(IF(ISNUMBER(SEARCH("Actual",$C$7)),Table1578[[#This Row],[Running Total]]/365,Table1578[[#This Row],[Period]]/12))),2)</f>
        <v>0</v>
      </c>
      <c r="R234" s="2">
        <f>IF(MONTH(Table1578[[#This Row],[Date]])=2,28,DAY(DATE(YEAR(Table1578[[#This Row],[Date]]),MONTH(Table1578[[#This Row],[Date]])+1,1)-1))</f>
        <v>31</v>
      </c>
      <c r="S234" s="2">
        <f ca="1">SUM(OFFSET(Table1578[[#Headers],[Days in month]],1,0):Table1578[[#This Row],[Days in month]])</f>
        <v>6632</v>
      </c>
      <c r="T234" s="37">
        <f>InterestRate*AmortizationMultiplier*IF(ISNUMBER(SEARCH("Actual",$C$7)),Table1578[[#This Row],[Days in month]]/365,1/12)</f>
        <v>6.2344444444444444E-3</v>
      </c>
    </row>
    <row r="235" spans="2:20" x14ac:dyDescent="0.2">
      <c r="B235" s="1">
        <f t="shared" si="10"/>
        <v>52504</v>
      </c>
      <c r="C235" s="2">
        <f t="shared" si="12"/>
        <v>219</v>
      </c>
      <c r="D235" s="3">
        <f t="shared" si="11"/>
        <v>0</v>
      </c>
      <c r="E235" s="3">
        <f>ROUND(Table1578[[#This Row],[Beginning Balance]]*Table1578[[#This Row],[Monthly Interest Rate]],2)</f>
        <v>0</v>
      </c>
      <c r="F235" s="3">
        <f t="shared" si="13"/>
        <v>-216</v>
      </c>
      <c r="G235" s="23">
        <f>IFERROR(IF($C$13="No","N/A",IF(Table1578[[#This Row],[Period]]=1,$C$6,PMT(InterestRate*AmortizationMultiplier/12,Table1578[[#This Row],[Am Thru]],-Table1578[[#This Row],[Beginning Balance]]))),0)</f>
        <v>0</v>
      </c>
      <c r="H235" s="3">
        <f>MAX(0,IF(C235=$C$4,D235,ROUND(IF($C$3="Fixed Principal",$C$6-Table1578[[#This Row],[Interest]],IF($C$3="Interest Only",Table1578[[#This Row],[Beginning Balance]]*ROUND(1-(1-IF($C$11="No",$E$8,1))^(1/12),6),MIN(IF($C$13="Yes",Table1578[[#This Row],[Payment Amount (Reamortized)]],$C$6)-Table1578[[#This Row],[Interest]],Table1578[[#This Row],[Beginning Balance]]))),2)))</f>
        <v>0</v>
      </c>
      <c r="I235" s="3">
        <f>_xlfn.SINGLE(IF($C$3="Line of Credit",0,ROUND(MAX(MIN(IF($C$10="No",$E$7,VLOOKUP(Table1578[[#This Row],[Period]],Forecast!$H$2:$L$1048576,4,FALSE))*Table1578[[#This Row],[Beginning Balance]],Table1578[[#This Row],[Beginning Balance]]-Table1578[[#This Row],[Principal]]),0),2)))</f>
        <v>0</v>
      </c>
      <c r="J235" s="3">
        <f>ROUND(MIN(Table1578[[#This Row],[Beginning Balance]]*IF($C$8="No",$E$3,VLOOKUP(Table1578[[#This Row],[Period]],Forecast!$H$2:$L$1048576,2,FALSE)),Table1578[[#This Row],[Beginning Balance]]-Table1578[[#This Row],[Principal]]-Table1578[[#This Row],[Prepayments]]),2)</f>
        <v>0</v>
      </c>
      <c r="K235" s="3">
        <f>ROUND(Table1578[[#This Row],[Defaulted Principal]]*IF($C$9="No",$E$4,VLOOKUP(Table1578[[#This Row],[Period]],Forecast!$H$2:$L$1048576,3,FALSE)),2)</f>
        <v>0</v>
      </c>
      <c r="L235" s="2">
        <f>Table1578[[#This Row],[Period]]+$E$9</f>
        <v>231</v>
      </c>
      <c r="M235" s="3">
        <f>Table1578[[#This Row],[Defaulted Principal]]-Table1578[[#This Row],[Estimated Loss]]</f>
        <v>0</v>
      </c>
      <c r="N235" s="3">
        <f>IFERROR(VLOOKUP(Table1578[[#This Row],[Period]],$L$16:$M$385,2,FALSE),0)</f>
        <v>0</v>
      </c>
      <c r="O235" s="3">
        <f>Table1578[[#This Row],[Beginning Balance]]-Table1578[[#This Row],[Principal]]-Table1578[[#This Row],[Prepayments]]-Table1578[[#This Row],[Defaulted Principal]]</f>
        <v>0</v>
      </c>
      <c r="P235" s="3">
        <f>Table1578[[#This Row],[Principal]]+Table1578[[#This Row],[Interest]]+Table1578[[#This Row],[Prepayments]]+Table1578[[#This Row],[RecoveredAmount]]</f>
        <v>0</v>
      </c>
      <c r="Q235" s="3">
        <f ca="1">ROUND(Table1578[[#This Row],[Cash Flow]]/((1+ActualRateToUse)^(IF(ISNUMBER(SEARCH("Actual",$C$7)),Table1578[[#This Row],[Running Total]]/365,Table1578[[#This Row],[Period]]/12))),2)</f>
        <v>0</v>
      </c>
      <c r="R235" s="2">
        <f>IF(MONTH(Table1578[[#This Row],[Date]])=2,28,DAY(DATE(YEAR(Table1578[[#This Row],[Date]]),MONTH(Table1578[[#This Row],[Date]])+1,1)-1))</f>
        <v>30</v>
      </c>
      <c r="S235" s="2">
        <f ca="1">SUM(OFFSET(Table1578[[#Headers],[Days in month]],1,0):Table1578[[#This Row],[Days in month]])</f>
        <v>6662</v>
      </c>
      <c r="T235" s="37">
        <f>InterestRate*AmortizationMultiplier*IF(ISNUMBER(SEARCH("Actual",$C$7)),Table1578[[#This Row],[Days in month]]/365,1/12)</f>
        <v>6.0333333333333333E-3</v>
      </c>
    </row>
    <row r="236" spans="2:20" x14ac:dyDescent="0.2">
      <c r="B236" s="1">
        <f t="shared" si="10"/>
        <v>52535</v>
      </c>
      <c r="C236" s="2">
        <f t="shared" si="12"/>
        <v>220</v>
      </c>
      <c r="D236" s="3">
        <f t="shared" si="11"/>
        <v>0</v>
      </c>
      <c r="E236" s="3">
        <f>ROUND(Table1578[[#This Row],[Beginning Balance]]*Table1578[[#This Row],[Monthly Interest Rate]],2)</f>
        <v>0</v>
      </c>
      <c r="F236" s="3">
        <f t="shared" si="13"/>
        <v>-217</v>
      </c>
      <c r="G236" s="23">
        <f>IFERROR(IF($C$13="No","N/A",IF(Table1578[[#This Row],[Period]]=1,$C$6,PMT(InterestRate*AmortizationMultiplier/12,Table1578[[#This Row],[Am Thru]],-Table1578[[#This Row],[Beginning Balance]]))),0)</f>
        <v>0</v>
      </c>
      <c r="H236" s="3">
        <f>MAX(0,IF(C236=$C$4,D236,ROUND(IF($C$3="Fixed Principal",$C$6-Table1578[[#This Row],[Interest]],IF($C$3="Interest Only",Table1578[[#This Row],[Beginning Balance]]*ROUND(1-(1-IF($C$11="No",$E$8,1))^(1/12),6),MIN(IF($C$13="Yes",Table1578[[#This Row],[Payment Amount (Reamortized)]],$C$6)-Table1578[[#This Row],[Interest]],Table1578[[#This Row],[Beginning Balance]]))),2)))</f>
        <v>0</v>
      </c>
      <c r="I236" s="3">
        <f>_xlfn.SINGLE(IF($C$3="Line of Credit",0,ROUND(MAX(MIN(IF($C$10="No",$E$7,VLOOKUP(Table1578[[#This Row],[Period]],Forecast!$H$2:$L$1048576,4,FALSE))*Table1578[[#This Row],[Beginning Balance]],Table1578[[#This Row],[Beginning Balance]]-Table1578[[#This Row],[Principal]]),0),2)))</f>
        <v>0</v>
      </c>
      <c r="J236" s="3">
        <f>ROUND(MIN(Table1578[[#This Row],[Beginning Balance]]*IF($C$8="No",$E$3,VLOOKUP(Table1578[[#This Row],[Period]],Forecast!$H$2:$L$1048576,2,FALSE)),Table1578[[#This Row],[Beginning Balance]]-Table1578[[#This Row],[Principal]]-Table1578[[#This Row],[Prepayments]]),2)</f>
        <v>0</v>
      </c>
      <c r="K236" s="3">
        <f>ROUND(Table1578[[#This Row],[Defaulted Principal]]*IF($C$9="No",$E$4,VLOOKUP(Table1578[[#This Row],[Period]],Forecast!$H$2:$L$1048576,3,FALSE)),2)</f>
        <v>0</v>
      </c>
      <c r="L236" s="2">
        <f>Table1578[[#This Row],[Period]]+$E$9</f>
        <v>232</v>
      </c>
      <c r="M236" s="3">
        <f>Table1578[[#This Row],[Defaulted Principal]]-Table1578[[#This Row],[Estimated Loss]]</f>
        <v>0</v>
      </c>
      <c r="N236" s="3">
        <f>IFERROR(VLOOKUP(Table1578[[#This Row],[Period]],$L$16:$M$385,2,FALSE),0)</f>
        <v>0</v>
      </c>
      <c r="O236" s="3">
        <f>Table1578[[#This Row],[Beginning Balance]]-Table1578[[#This Row],[Principal]]-Table1578[[#This Row],[Prepayments]]-Table1578[[#This Row],[Defaulted Principal]]</f>
        <v>0</v>
      </c>
      <c r="P236" s="3">
        <f>Table1578[[#This Row],[Principal]]+Table1578[[#This Row],[Interest]]+Table1578[[#This Row],[Prepayments]]+Table1578[[#This Row],[RecoveredAmount]]</f>
        <v>0</v>
      </c>
      <c r="Q236" s="3">
        <f ca="1">ROUND(Table1578[[#This Row],[Cash Flow]]/((1+ActualRateToUse)^(IF(ISNUMBER(SEARCH("Actual",$C$7)),Table1578[[#This Row],[Running Total]]/365,Table1578[[#This Row],[Period]]/12))),2)</f>
        <v>0</v>
      </c>
      <c r="R236" s="2">
        <f>IF(MONTH(Table1578[[#This Row],[Date]])=2,28,DAY(DATE(YEAR(Table1578[[#This Row],[Date]]),MONTH(Table1578[[#This Row],[Date]])+1,1)-1))</f>
        <v>31</v>
      </c>
      <c r="S236" s="2">
        <f ca="1">SUM(OFFSET(Table1578[[#Headers],[Days in month]],1,0):Table1578[[#This Row],[Days in month]])</f>
        <v>6693</v>
      </c>
      <c r="T236" s="37">
        <f>InterestRate*AmortizationMultiplier*IF(ISNUMBER(SEARCH("Actual",$C$7)),Table1578[[#This Row],[Days in month]]/365,1/12)</f>
        <v>6.2344444444444444E-3</v>
      </c>
    </row>
    <row r="237" spans="2:20" x14ac:dyDescent="0.2">
      <c r="B237" s="1">
        <f t="shared" si="10"/>
        <v>52565</v>
      </c>
      <c r="C237" s="2">
        <f t="shared" si="12"/>
        <v>221</v>
      </c>
      <c r="D237" s="3">
        <f t="shared" si="11"/>
        <v>0</v>
      </c>
      <c r="E237" s="3">
        <f>ROUND(Table1578[[#This Row],[Beginning Balance]]*Table1578[[#This Row],[Monthly Interest Rate]],2)</f>
        <v>0</v>
      </c>
      <c r="F237" s="3">
        <f t="shared" si="13"/>
        <v>-218</v>
      </c>
      <c r="G237" s="23">
        <f>IFERROR(IF($C$13="No","N/A",IF(Table1578[[#This Row],[Period]]=1,$C$6,PMT(InterestRate*AmortizationMultiplier/12,Table1578[[#This Row],[Am Thru]],-Table1578[[#This Row],[Beginning Balance]]))),0)</f>
        <v>0</v>
      </c>
      <c r="H237" s="3">
        <f>MAX(0,IF(C237=$C$4,D237,ROUND(IF($C$3="Fixed Principal",$C$6-Table1578[[#This Row],[Interest]],IF($C$3="Interest Only",Table1578[[#This Row],[Beginning Balance]]*ROUND(1-(1-IF($C$11="No",$E$8,1))^(1/12),6),MIN(IF($C$13="Yes",Table1578[[#This Row],[Payment Amount (Reamortized)]],$C$6)-Table1578[[#This Row],[Interest]],Table1578[[#This Row],[Beginning Balance]]))),2)))</f>
        <v>0</v>
      </c>
      <c r="I237" s="3">
        <f>_xlfn.SINGLE(IF($C$3="Line of Credit",0,ROUND(MAX(MIN(IF($C$10="No",$E$7,VLOOKUP(Table1578[[#This Row],[Period]],Forecast!$H$2:$L$1048576,4,FALSE))*Table1578[[#This Row],[Beginning Balance]],Table1578[[#This Row],[Beginning Balance]]-Table1578[[#This Row],[Principal]]),0),2)))</f>
        <v>0</v>
      </c>
      <c r="J237" s="3">
        <f>ROUND(MIN(Table1578[[#This Row],[Beginning Balance]]*IF($C$8="No",$E$3,VLOOKUP(Table1578[[#This Row],[Period]],Forecast!$H$2:$L$1048576,2,FALSE)),Table1578[[#This Row],[Beginning Balance]]-Table1578[[#This Row],[Principal]]-Table1578[[#This Row],[Prepayments]]),2)</f>
        <v>0</v>
      </c>
      <c r="K237" s="3">
        <f>ROUND(Table1578[[#This Row],[Defaulted Principal]]*IF($C$9="No",$E$4,VLOOKUP(Table1578[[#This Row],[Period]],Forecast!$H$2:$L$1048576,3,FALSE)),2)</f>
        <v>0</v>
      </c>
      <c r="L237" s="2">
        <f>Table1578[[#This Row],[Period]]+$E$9</f>
        <v>233</v>
      </c>
      <c r="M237" s="3">
        <f>Table1578[[#This Row],[Defaulted Principal]]-Table1578[[#This Row],[Estimated Loss]]</f>
        <v>0</v>
      </c>
      <c r="N237" s="3">
        <f>IFERROR(VLOOKUP(Table1578[[#This Row],[Period]],$L$16:$M$385,2,FALSE),0)</f>
        <v>0</v>
      </c>
      <c r="O237" s="3">
        <f>Table1578[[#This Row],[Beginning Balance]]-Table1578[[#This Row],[Principal]]-Table1578[[#This Row],[Prepayments]]-Table1578[[#This Row],[Defaulted Principal]]</f>
        <v>0</v>
      </c>
      <c r="P237" s="3">
        <f>Table1578[[#This Row],[Principal]]+Table1578[[#This Row],[Interest]]+Table1578[[#This Row],[Prepayments]]+Table1578[[#This Row],[RecoveredAmount]]</f>
        <v>0</v>
      </c>
      <c r="Q237" s="3">
        <f ca="1">ROUND(Table1578[[#This Row],[Cash Flow]]/((1+ActualRateToUse)^(IF(ISNUMBER(SEARCH("Actual",$C$7)),Table1578[[#This Row],[Running Total]]/365,Table1578[[#This Row],[Period]]/12))),2)</f>
        <v>0</v>
      </c>
      <c r="R237" s="2">
        <f>IF(MONTH(Table1578[[#This Row],[Date]])=2,28,DAY(DATE(YEAR(Table1578[[#This Row],[Date]]),MONTH(Table1578[[#This Row],[Date]])+1,1)-1))</f>
        <v>30</v>
      </c>
      <c r="S237" s="2">
        <f ca="1">SUM(OFFSET(Table1578[[#Headers],[Days in month]],1,0):Table1578[[#This Row],[Days in month]])</f>
        <v>6723</v>
      </c>
      <c r="T237" s="37">
        <f>InterestRate*AmortizationMultiplier*IF(ISNUMBER(SEARCH("Actual",$C$7)),Table1578[[#This Row],[Days in month]]/365,1/12)</f>
        <v>6.0333333333333333E-3</v>
      </c>
    </row>
    <row r="238" spans="2:20" x14ac:dyDescent="0.2">
      <c r="B238" s="1">
        <f t="shared" si="10"/>
        <v>52596</v>
      </c>
      <c r="C238" s="2">
        <f t="shared" si="12"/>
        <v>222</v>
      </c>
      <c r="D238" s="3">
        <f t="shared" si="11"/>
        <v>0</v>
      </c>
      <c r="E238" s="3">
        <f>ROUND(Table1578[[#This Row],[Beginning Balance]]*Table1578[[#This Row],[Monthly Interest Rate]],2)</f>
        <v>0</v>
      </c>
      <c r="F238" s="3">
        <f t="shared" si="13"/>
        <v>-219</v>
      </c>
      <c r="G238" s="23">
        <f>IFERROR(IF($C$13="No","N/A",IF(Table1578[[#This Row],[Period]]=1,$C$6,PMT(InterestRate*AmortizationMultiplier/12,Table1578[[#This Row],[Am Thru]],-Table1578[[#This Row],[Beginning Balance]]))),0)</f>
        <v>0</v>
      </c>
      <c r="H238" s="3">
        <f>MAX(0,IF(C238=$C$4,D238,ROUND(IF($C$3="Fixed Principal",$C$6-Table1578[[#This Row],[Interest]],IF($C$3="Interest Only",Table1578[[#This Row],[Beginning Balance]]*ROUND(1-(1-IF($C$11="No",$E$8,1))^(1/12),6),MIN(IF($C$13="Yes",Table1578[[#This Row],[Payment Amount (Reamortized)]],$C$6)-Table1578[[#This Row],[Interest]],Table1578[[#This Row],[Beginning Balance]]))),2)))</f>
        <v>0</v>
      </c>
      <c r="I238" s="3">
        <f>_xlfn.SINGLE(IF($C$3="Line of Credit",0,ROUND(MAX(MIN(IF($C$10="No",$E$7,VLOOKUP(Table1578[[#This Row],[Period]],Forecast!$H$2:$L$1048576,4,FALSE))*Table1578[[#This Row],[Beginning Balance]],Table1578[[#This Row],[Beginning Balance]]-Table1578[[#This Row],[Principal]]),0),2)))</f>
        <v>0</v>
      </c>
      <c r="J238" s="3">
        <f>ROUND(MIN(Table1578[[#This Row],[Beginning Balance]]*IF($C$8="No",$E$3,VLOOKUP(Table1578[[#This Row],[Period]],Forecast!$H$2:$L$1048576,2,FALSE)),Table1578[[#This Row],[Beginning Balance]]-Table1578[[#This Row],[Principal]]-Table1578[[#This Row],[Prepayments]]),2)</f>
        <v>0</v>
      </c>
      <c r="K238" s="3">
        <f>ROUND(Table1578[[#This Row],[Defaulted Principal]]*IF($C$9="No",$E$4,VLOOKUP(Table1578[[#This Row],[Period]],Forecast!$H$2:$L$1048576,3,FALSE)),2)</f>
        <v>0</v>
      </c>
      <c r="L238" s="2">
        <f>Table1578[[#This Row],[Period]]+$E$9</f>
        <v>234</v>
      </c>
      <c r="M238" s="3">
        <f>Table1578[[#This Row],[Defaulted Principal]]-Table1578[[#This Row],[Estimated Loss]]</f>
        <v>0</v>
      </c>
      <c r="N238" s="3">
        <f>IFERROR(VLOOKUP(Table1578[[#This Row],[Period]],$L$16:$M$385,2,FALSE),0)</f>
        <v>0</v>
      </c>
      <c r="O238" s="3">
        <f>Table1578[[#This Row],[Beginning Balance]]-Table1578[[#This Row],[Principal]]-Table1578[[#This Row],[Prepayments]]-Table1578[[#This Row],[Defaulted Principal]]</f>
        <v>0</v>
      </c>
      <c r="P238" s="3">
        <f>Table1578[[#This Row],[Principal]]+Table1578[[#This Row],[Interest]]+Table1578[[#This Row],[Prepayments]]+Table1578[[#This Row],[RecoveredAmount]]</f>
        <v>0</v>
      </c>
      <c r="Q238" s="3">
        <f ca="1">ROUND(Table1578[[#This Row],[Cash Flow]]/((1+ActualRateToUse)^(IF(ISNUMBER(SEARCH("Actual",$C$7)),Table1578[[#This Row],[Running Total]]/365,Table1578[[#This Row],[Period]]/12))),2)</f>
        <v>0</v>
      </c>
      <c r="R238" s="2">
        <f>IF(MONTH(Table1578[[#This Row],[Date]])=2,28,DAY(DATE(YEAR(Table1578[[#This Row],[Date]]),MONTH(Table1578[[#This Row],[Date]])+1,1)-1))</f>
        <v>31</v>
      </c>
      <c r="S238" s="2">
        <f ca="1">SUM(OFFSET(Table1578[[#Headers],[Days in month]],1,0):Table1578[[#This Row],[Days in month]])</f>
        <v>6754</v>
      </c>
      <c r="T238" s="37">
        <f>InterestRate*AmortizationMultiplier*IF(ISNUMBER(SEARCH("Actual",$C$7)),Table1578[[#This Row],[Days in month]]/365,1/12)</f>
        <v>6.2344444444444444E-3</v>
      </c>
    </row>
    <row r="239" spans="2:20" x14ac:dyDescent="0.2">
      <c r="B239" s="1">
        <f t="shared" si="10"/>
        <v>52627</v>
      </c>
      <c r="C239" s="2">
        <f t="shared" si="12"/>
        <v>223</v>
      </c>
      <c r="D239" s="3">
        <f t="shared" si="11"/>
        <v>0</v>
      </c>
      <c r="E239" s="3">
        <f>ROUND(Table1578[[#This Row],[Beginning Balance]]*Table1578[[#This Row],[Monthly Interest Rate]],2)</f>
        <v>0</v>
      </c>
      <c r="F239" s="3">
        <f t="shared" si="13"/>
        <v>-220</v>
      </c>
      <c r="G239" s="23">
        <f>IFERROR(IF($C$13="No","N/A",IF(Table1578[[#This Row],[Period]]=1,$C$6,PMT(InterestRate*AmortizationMultiplier/12,Table1578[[#This Row],[Am Thru]],-Table1578[[#This Row],[Beginning Balance]]))),0)</f>
        <v>0</v>
      </c>
      <c r="H239" s="3">
        <f>MAX(0,IF(C239=$C$4,D239,ROUND(IF($C$3="Fixed Principal",$C$6-Table1578[[#This Row],[Interest]],IF($C$3="Interest Only",Table1578[[#This Row],[Beginning Balance]]*ROUND(1-(1-IF($C$11="No",$E$8,1))^(1/12),6),MIN(IF($C$13="Yes",Table1578[[#This Row],[Payment Amount (Reamortized)]],$C$6)-Table1578[[#This Row],[Interest]],Table1578[[#This Row],[Beginning Balance]]))),2)))</f>
        <v>0</v>
      </c>
      <c r="I239" s="3">
        <f>_xlfn.SINGLE(IF($C$3="Line of Credit",0,ROUND(MAX(MIN(IF($C$10="No",$E$7,VLOOKUP(Table1578[[#This Row],[Period]],Forecast!$H$2:$L$1048576,4,FALSE))*Table1578[[#This Row],[Beginning Balance]],Table1578[[#This Row],[Beginning Balance]]-Table1578[[#This Row],[Principal]]),0),2)))</f>
        <v>0</v>
      </c>
      <c r="J239" s="3">
        <f>ROUND(MIN(Table1578[[#This Row],[Beginning Balance]]*IF($C$8="No",$E$3,VLOOKUP(Table1578[[#This Row],[Period]],Forecast!$H$2:$L$1048576,2,FALSE)),Table1578[[#This Row],[Beginning Balance]]-Table1578[[#This Row],[Principal]]-Table1578[[#This Row],[Prepayments]]),2)</f>
        <v>0</v>
      </c>
      <c r="K239" s="3">
        <f>ROUND(Table1578[[#This Row],[Defaulted Principal]]*IF($C$9="No",$E$4,VLOOKUP(Table1578[[#This Row],[Period]],Forecast!$H$2:$L$1048576,3,FALSE)),2)</f>
        <v>0</v>
      </c>
      <c r="L239" s="2">
        <f>Table1578[[#This Row],[Period]]+$E$9</f>
        <v>235</v>
      </c>
      <c r="M239" s="3">
        <f>Table1578[[#This Row],[Defaulted Principal]]-Table1578[[#This Row],[Estimated Loss]]</f>
        <v>0</v>
      </c>
      <c r="N239" s="3">
        <f>IFERROR(VLOOKUP(Table1578[[#This Row],[Period]],$L$16:$M$385,2,FALSE),0)</f>
        <v>0</v>
      </c>
      <c r="O239" s="3">
        <f>Table1578[[#This Row],[Beginning Balance]]-Table1578[[#This Row],[Principal]]-Table1578[[#This Row],[Prepayments]]-Table1578[[#This Row],[Defaulted Principal]]</f>
        <v>0</v>
      </c>
      <c r="P239" s="3">
        <f>Table1578[[#This Row],[Principal]]+Table1578[[#This Row],[Interest]]+Table1578[[#This Row],[Prepayments]]+Table1578[[#This Row],[RecoveredAmount]]</f>
        <v>0</v>
      </c>
      <c r="Q239" s="3">
        <f ca="1">ROUND(Table1578[[#This Row],[Cash Flow]]/((1+ActualRateToUse)^(IF(ISNUMBER(SEARCH("Actual",$C$7)),Table1578[[#This Row],[Running Total]]/365,Table1578[[#This Row],[Period]]/12))),2)</f>
        <v>0</v>
      </c>
      <c r="R239" s="2">
        <f>IF(MONTH(Table1578[[#This Row],[Date]])=2,28,DAY(DATE(YEAR(Table1578[[#This Row],[Date]]),MONTH(Table1578[[#This Row],[Date]])+1,1)-1))</f>
        <v>31</v>
      </c>
      <c r="S239" s="2">
        <f ca="1">SUM(OFFSET(Table1578[[#Headers],[Days in month]],1,0):Table1578[[#This Row],[Days in month]])</f>
        <v>6785</v>
      </c>
      <c r="T239" s="37">
        <f>InterestRate*AmortizationMultiplier*IF(ISNUMBER(SEARCH("Actual",$C$7)),Table1578[[#This Row],[Days in month]]/365,1/12)</f>
        <v>6.2344444444444444E-3</v>
      </c>
    </row>
    <row r="240" spans="2:20" x14ac:dyDescent="0.2">
      <c r="B240" s="1">
        <f t="shared" si="10"/>
        <v>52656</v>
      </c>
      <c r="C240" s="2">
        <f t="shared" si="12"/>
        <v>224</v>
      </c>
      <c r="D240" s="3">
        <f t="shared" si="11"/>
        <v>0</v>
      </c>
      <c r="E240" s="3">
        <f>ROUND(Table1578[[#This Row],[Beginning Balance]]*Table1578[[#This Row],[Monthly Interest Rate]],2)</f>
        <v>0</v>
      </c>
      <c r="F240" s="3">
        <f t="shared" si="13"/>
        <v>-221</v>
      </c>
      <c r="G240" s="23">
        <f>IFERROR(IF($C$13="No","N/A",IF(Table1578[[#This Row],[Period]]=1,$C$6,PMT(InterestRate*AmortizationMultiplier/12,Table1578[[#This Row],[Am Thru]],-Table1578[[#This Row],[Beginning Balance]]))),0)</f>
        <v>0</v>
      </c>
      <c r="H240" s="3">
        <f>MAX(0,IF(C240=$C$4,D240,ROUND(IF($C$3="Fixed Principal",$C$6-Table1578[[#This Row],[Interest]],IF($C$3="Interest Only",Table1578[[#This Row],[Beginning Balance]]*ROUND(1-(1-IF($C$11="No",$E$8,1))^(1/12),6),MIN(IF($C$13="Yes",Table1578[[#This Row],[Payment Amount (Reamortized)]],$C$6)-Table1578[[#This Row],[Interest]],Table1578[[#This Row],[Beginning Balance]]))),2)))</f>
        <v>0</v>
      </c>
      <c r="I240" s="3">
        <f>_xlfn.SINGLE(IF($C$3="Line of Credit",0,ROUND(MAX(MIN(IF($C$10="No",$E$7,VLOOKUP(Table1578[[#This Row],[Period]],Forecast!$H$2:$L$1048576,4,FALSE))*Table1578[[#This Row],[Beginning Balance]],Table1578[[#This Row],[Beginning Balance]]-Table1578[[#This Row],[Principal]]),0),2)))</f>
        <v>0</v>
      </c>
      <c r="J240" s="3">
        <f>ROUND(MIN(Table1578[[#This Row],[Beginning Balance]]*IF($C$8="No",$E$3,VLOOKUP(Table1578[[#This Row],[Period]],Forecast!$H$2:$L$1048576,2,FALSE)),Table1578[[#This Row],[Beginning Balance]]-Table1578[[#This Row],[Principal]]-Table1578[[#This Row],[Prepayments]]),2)</f>
        <v>0</v>
      </c>
      <c r="K240" s="3">
        <f>ROUND(Table1578[[#This Row],[Defaulted Principal]]*IF($C$9="No",$E$4,VLOOKUP(Table1578[[#This Row],[Period]],Forecast!$H$2:$L$1048576,3,FALSE)),2)</f>
        <v>0</v>
      </c>
      <c r="L240" s="2">
        <f>Table1578[[#This Row],[Period]]+$E$9</f>
        <v>236</v>
      </c>
      <c r="M240" s="3">
        <f>Table1578[[#This Row],[Defaulted Principal]]-Table1578[[#This Row],[Estimated Loss]]</f>
        <v>0</v>
      </c>
      <c r="N240" s="3">
        <f>IFERROR(VLOOKUP(Table1578[[#This Row],[Period]],$L$16:$M$385,2,FALSE),0)</f>
        <v>0</v>
      </c>
      <c r="O240" s="3">
        <f>Table1578[[#This Row],[Beginning Balance]]-Table1578[[#This Row],[Principal]]-Table1578[[#This Row],[Prepayments]]-Table1578[[#This Row],[Defaulted Principal]]</f>
        <v>0</v>
      </c>
      <c r="P240" s="3">
        <f>Table1578[[#This Row],[Principal]]+Table1578[[#This Row],[Interest]]+Table1578[[#This Row],[Prepayments]]+Table1578[[#This Row],[RecoveredAmount]]</f>
        <v>0</v>
      </c>
      <c r="Q240" s="3">
        <f ca="1">ROUND(Table1578[[#This Row],[Cash Flow]]/((1+ActualRateToUse)^(IF(ISNUMBER(SEARCH("Actual",$C$7)),Table1578[[#This Row],[Running Total]]/365,Table1578[[#This Row],[Period]]/12))),2)</f>
        <v>0</v>
      </c>
      <c r="R240" s="2">
        <f>IF(MONTH(Table1578[[#This Row],[Date]])=2,28,DAY(DATE(YEAR(Table1578[[#This Row],[Date]]),MONTH(Table1578[[#This Row],[Date]])+1,1)-1))</f>
        <v>28</v>
      </c>
      <c r="S240" s="2">
        <f ca="1">SUM(OFFSET(Table1578[[#Headers],[Days in month]],1,0):Table1578[[#This Row],[Days in month]])</f>
        <v>6813</v>
      </c>
      <c r="T240" s="37">
        <f>InterestRate*AmortizationMultiplier*IF(ISNUMBER(SEARCH("Actual",$C$7)),Table1578[[#This Row],[Days in month]]/365,1/12)</f>
        <v>5.6311111111111119E-3</v>
      </c>
    </row>
    <row r="241" spans="2:20" x14ac:dyDescent="0.2">
      <c r="B241" s="1">
        <f t="shared" si="10"/>
        <v>52687</v>
      </c>
      <c r="C241" s="2">
        <f t="shared" si="12"/>
        <v>225</v>
      </c>
      <c r="D241" s="3">
        <f t="shared" si="11"/>
        <v>0</v>
      </c>
      <c r="E241" s="3">
        <f>ROUND(Table1578[[#This Row],[Beginning Balance]]*Table1578[[#This Row],[Monthly Interest Rate]],2)</f>
        <v>0</v>
      </c>
      <c r="F241" s="3">
        <f t="shared" si="13"/>
        <v>-222</v>
      </c>
      <c r="G241" s="23">
        <f>IFERROR(IF($C$13="No","N/A",IF(Table1578[[#This Row],[Period]]=1,$C$6,PMT(InterestRate*AmortizationMultiplier/12,Table1578[[#This Row],[Am Thru]],-Table1578[[#This Row],[Beginning Balance]]))),0)</f>
        <v>0</v>
      </c>
      <c r="H241" s="3">
        <f>MAX(0,IF(C241=$C$4,D241,ROUND(IF($C$3="Fixed Principal",$C$6-Table1578[[#This Row],[Interest]],IF($C$3="Interest Only",Table1578[[#This Row],[Beginning Balance]]*ROUND(1-(1-IF($C$11="No",$E$8,1))^(1/12),6),MIN(IF($C$13="Yes",Table1578[[#This Row],[Payment Amount (Reamortized)]],$C$6)-Table1578[[#This Row],[Interest]],Table1578[[#This Row],[Beginning Balance]]))),2)))</f>
        <v>0</v>
      </c>
      <c r="I241" s="3">
        <f>_xlfn.SINGLE(IF($C$3="Line of Credit",0,ROUND(MAX(MIN(IF($C$10="No",$E$7,VLOOKUP(Table1578[[#This Row],[Period]],Forecast!$H$2:$L$1048576,4,FALSE))*Table1578[[#This Row],[Beginning Balance]],Table1578[[#This Row],[Beginning Balance]]-Table1578[[#This Row],[Principal]]),0),2)))</f>
        <v>0</v>
      </c>
      <c r="J241" s="3">
        <f>ROUND(MIN(Table1578[[#This Row],[Beginning Balance]]*IF($C$8="No",$E$3,VLOOKUP(Table1578[[#This Row],[Period]],Forecast!$H$2:$L$1048576,2,FALSE)),Table1578[[#This Row],[Beginning Balance]]-Table1578[[#This Row],[Principal]]-Table1578[[#This Row],[Prepayments]]),2)</f>
        <v>0</v>
      </c>
      <c r="K241" s="3">
        <f>ROUND(Table1578[[#This Row],[Defaulted Principal]]*IF($C$9="No",$E$4,VLOOKUP(Table1578[[#This Row],[Period]],Forecast!$H$2:$L$1048576,3,FALSE)),2)</f>
        <v>0</v>
      </c>
      <c r="L241" s="2">
        <f>Table1578[[#This Row],[Period]]+$E$9</f>
        <v>237</v>
      </c>
      <c r="M241" s="3">
        <f>Table1578[[#This Row],[Defaulted Principal]]-Table1578[[#This Row],[Estimated Loss]]</f>
        <v>0</v>
      </c>
      <c r="N241" s="3">
        <f>IFERROR(VLOOKUP(Table1578[[#This Row],[Period]],$L$16:$M$385,2,FALSE),0)</f>
        <v>0</v>
      </c>
      <c r="O241" s="3">
        <f>Table1578[[#This Row],[Beginning Balance]]-Table1578[[#This Row],[Principal]]-Table1578[[#This Row],[Prepayments]]-Table1578[[#This Row],[Defaulted Principal]]</f>
        <v>0</v>
      </c>
      <c r="P241" s="3">
        <f>Table1578[[#This Row],[Principal]]+Table1578[[#This Row],[Interest]]+Table1578[[#This Row],[Prepayments]]+Table1578[[#This Row],[RecoveredAmount]]</f>
        <v>0</v>
      </c>
      <c r="Q241" s="3">
        <f ca="1">ROUND(Table1578[[#This Row],[Cash Flow]]/((1+ActualRateToUse)^(IF(ISNUMBER(SEARCH("Actual",$C$7)),Table1578[[#This Row],[Running Total]]/365,Table1578[[#This Row],[Period]]/12))),2)</f>
        <v>0</v>
      </c>
      <c r="R241" s="2">
        <f>IF(MONTH(Table1578[[#This Row],[Date]])=2,28,DAY(DATE(YEAR(Table1578[[#This Row],[Date]]),MONTH(Table1578[[#This Row],[Date]])+1,1)-1))</f>
        <v>31</v>
      </c>
      <c r="S241" s="2">
        <f ca="1">SUM(OFFSET(Table1578[[#Headers],[Days in month]],1,0):Table1578[[#This Row],[Days in month]])</f>
        <v>6844</v>
      </c>
      <c r="T241" s="37">
        <f>InterestRate*AmortizationMultiplier*IF(ISNUMBER(SEARCH("Actual",$C$7)),Table1578[[#This Row],[Days in month]]/365,1/12)</f>
        <v>6.2344444444444444E-3</v>
      </c>
    </row>
    <row r="242" spans="2:20" x14ac:dyDescent="0.2">
      <c r="B242" s="1">
        <f t="shared" si="10"/>
        <v>52717</v>
      </c>
      <c r="C242" s="2">
        <f t="shared" si="12"/>
        <v>226</v>
      </c>
      <c r="D242" s="3">
        <f t="shared" si="11"/>
        <v>0</v>
      </c>
      <c r="E242" s="3">
        <f>ROUND(Table1578[[#This Row],[Beginning Balance]]*Table1578[[#This Row],[Monthly Interest Rate]],2)</f>
        <v>0</v>
      </c>
      <c r="F242" s="3">
        <f t="shared" si="13"/>
        <v>-223</v>
      </c>
      <c r="G242" s="23">
        <f>IFERROR(IF($C$13="No","N/A",IF(Table1578[[#This Row],[Period]]=1,$C$6,PMT(InterestRate*AmortizationMultiplier/12,Table1578[[#This Row],[Am Thru]],-Table1578[[#This Row],[Beginning Balance]]))),0)</f>
        <v>0</v>
      </c>
      <c r="H242" s="3">
        <f>MAX(0,IF(C242=$C$4,D242,ROUND(IF($C$3="Fixed Principal",$C$6-Table1578[[#This Row],[Interest]],IF($C$3="Interest Only",Table1578[[#This Row],[Beginning Balance]]*ROUND(1-(1-IF($C$11="No",$E$8,1))^(1/12),6),MIN(IF($C$13="Yes",Table1578[[#This Row],[Payment Amount (Reamortized)]],$C$6)-Table1578[[#This Row],[Interest]],Table1578[[#This Row],[Beginning Balance]]))),2)))</f>
        <v>0</v>
      </c>
      <c r="I242" s="3">
        <f>_xlfn.SINGLE(IF($C$3="Line of Credit",0,ROUND(MAX(MIN(IF($C$10="No",$E$7,VLOOKUP(Table1578[[#This Row],[Period]],Forecast!$H$2:$L$1048576,4,FALSE))*Table1578[[#This Row],[Beginning Balance]],Table1578[[#This Row],[Beginning Balance]]-Table1578[[#This Row],[Principal]]),0),2)))</f>
        <v>0</v>
      </c>
      <c r="J242" s="3">
        <f>ROUND(MIN(Table1578[[#This Row],[Beginning Balance]]*IF($C$8="No",$E$3,VLOOKUP(Table1578[[#This Row],[Period]],Forecast!$H$2:$L$1048576,2,FALSE)),Table1578[[#This Row],[Beginning Balance]]-Table1578[[#This Row],[Principal]]-Table1578[[#This Row],[Prepayments]]),2)</f>
        <v>0</v>
      </c>
      <c r="K242" s="3">
        <f>ROUND(Table1578[[#This Row],[Defaulted Principal]]*IF($C$9="No",$E$4,VLOOKUP(Table1578[[#This Row],[Period]],Forecast!$H$2:$L$1048576,3,FALSE)),2)</f>
        <v>0</v>
      </c>
      <c r="L242" s="2">
        <f>Table1578[[#This Row],[Period]]+$E$9</f>
        <v>238</v>
      </c>
      <c r="M242" s="3">
        <f>Table1578[[#This Row],[Defaulted Principal]]-Table1578[[#This Row],[Estimated Loss]]</f>
        <v>0</v>
      </c>
      <c r="N242" s="3">
        <f>IFERROR(VLOOKUP(Table1578[[#This Row],[Period]],$L$16:$M$385,2,FALSE),0)</f>
        <v>0</v>
      </c>
      <c r="O242" s="3">
        <f>Table1578[[#This Row],[Beginning Balance]]-Table1578[[#This Row],[Principal]]-Table1578[[#This Row],[Prepayments]]-Table1578[[#This Row],[Defaulted Principal]]</f>
        <v>0</v>
      </c>
      <c r="P242" s="3">
        <f>Table1578[[#This Row],[Principal]]+Table1578[[#This Row],[Interest]]+Table1578[[#This Row],[Prepayments]]+Table1578[[#This Row],[RecoveredAmount]]</f>
        <v>0</v>
      </c>
      <c r="Q242" s="3">
        <f ca="1">ROUND(Table1578[[#This Row],[Cash Flow]]/((1+ActualRateToUse)^(IF(ISNUMBER(SEARCH("Actual",$C$7)),Table1578[[#This Row],[Running Total]]/365,Table1578[[#This Row],[Period]]/12))),2)</f>
        <v>0</v>
      </c>
      <c r="R242" s="2">
        <f>IF(MONTH(Table1578[[#This Row],[Date]])=2,28,DAY(DATE(YEAR(Table1578[[#This Row],[Date]]),MONTH(Table1578[[#This Row],[Date]])+1,1)-1))</f>
        <v>30</v>
      </c>
      <c r="S242" s="2">
        <f ca="1">SUM(OFFSET(Table1578[[#Headers],[Days in month]],1,0):Table1578[[#This Row],[Days in month]])</f>
        <v>6874</v>
      </c>
      <c r="T242" s="37">
        <f>InterestRate*AmortizationMultiplier*IF(ISNUMBER(SEARCH("Actual",$C$7)),Table1578[[#This Row],[Days in month]]/365,1/12)</f>
        <v>6.0333333333333333E-3</v>
      </c>
    </row>
    <row r="243" spans="2:20" x14ac:dyDescent="0.2">
      <c r="B243" s="1">
        <f t="shared" si="10"/>
        <v>52748</v>
      </c>
      <c r="C243" s="2">
        <f t="shared" si="12"/>
        <v>227</v>
      </c>
      <c r="D243" s="3">
        <f t="shared" si="11"/>
        <v>0</v>
      </c>
      <c r="E243" s="3">
        <f>ROUND(Table1578[[#This Row],[Beginning Balance]]*Table1578[[#This Row],[Monthly Interest Rate]],2)</f>
        <v>0</v>
      </c>
      <c r="F243" s="3">
        <f t="shared" si="13"/>
        <v>-224</v>
      </c>
      <c r="G243" s="23">
        <f>IFERROR(IF($C$13="No","N/A",IF(Table1578[[#This Row],[Period]]=1,$C$6,PMT(InterestRate*AmortizationMultiplier/12,Table1578[[#This Row],[Am Thru]],-Table1578[[#This Row],[Beginning Balance]]))),0)</f>
        <v>0</v>
      </c>
      <c r="H243" s="3">
        <f>MAX(0,IF(C243=$C$4,D243,ROUND(IF($C$3="Fixed Principal",$C$6-Table1578[[#This Row],[Interest]],IF($C$3="Interest Only",Table1578[[#This Row],[Beginning Balance]]*ROUND(1-(1-IF($C$11="No",$E$8,1))^(1/12),6),MIN(IF($C$13="Yes",Table1578[[#This Row],[Payment Amount (Reamortized)]],$C$6)-Table1578[[#This Row],[Interest]],Table1578[[#This Row],[Beginning Balance]]))),2)))</f>
        <v>0</v>
      </c>
      <c r="I243" s="3">
        <f>_xlfn.SINGLE(IF($C$3="Line of Credit",0,ROUND(MAX(MIN(IF($C$10="No",$E$7,VLOOKUP(Table1578[[#This Row],[Period]],Forecast!$H$2:$L$1048576,4,FALSE))*Table1578[[#This Row],[Beginning Balance]],Table1578[[#This Row],[Beginning Balance]]-Table1578[[#This Row],[Principal]]),0),2)))</f>
        <v>0</v>
      </c>
      <c r="J243" s="3">
        <f>ROUND(MIN(Table1578[[#This Row],[Beginning Balance]]*IF($C$8="No",$E$3,VLOOKUP(Table1578[[#This Row],[Period]],Forecast!$H$2:$L$1048576,2,FALSE)),Table1578[[#This Row],[Beginning Balance]]-Table1578[[#This Row],[Principal]]-Table1578[[#This Row],[Prepayments]]),2)</f>
        <v>0</v>
      </c>
      <c r="K243" s="3">
        <f>ROUND(Table1578[[#This Row],[Defaulted Principal]]*IF($C$9="No",$E$4,VLOOKUP(Table1578[[#This Row],[Period]],Forecast!$H$2:$L$1048576,3,FALSE)),2)</f>
        <v>0</v>
      </c>
      <c r="L243" s="2">
        <f>Table1578[[#This Row],[Period]]+$E$9</f>
        <v>239</v>
      </c>
      <c r="M243" s="3">
        <f>Table1578[[#This Row],[Defaulted Principal]]-Table1578[[#This Row],[Estimated Loss]]</f>
        <v>0</v>
      </c>
      <c r="N243" s="3">
        <f>IFERROR(VLOOKUP(Table1578[[#This Row],[Period]],$L$16:$M$385,2,FALSE),0)</f>
        <v>0</v>
      </c>
      <c r="O243" s="3">
        <f>Table1578[[#This Row],[Beginning Balance]]-Table1578[[#This Row],[Principal]]-Table1578[[#This Row],[Prepayments]]-Table1578[[#This Row],[Defaulted Principal]]</f>
        <v>0</v>
      </c>
      <c r="P243" s="3">
        <f>Table1578[[#This Row],[Principal]]+Table1578[[#This Row],[Interest]]+Table1578[[#This Row],[Prepayments]]+Table1578[[#This Row],[RecoveredAmount]]</f>
        <v>0</v>
      </c>
      <c r="Q243" s="3">
        <f ca="1">ROUND(Table1578[[#This Row],[Cash Flow]]/((1+ActualRateToUse)^(IF(ISNUMBER(SEARCH("Actual",$C$7)),Table1578[[#This Row],[Running Total]]/365,Table1578[[#This Row],[Period]]/12))),2)</f>
        <v>0</v>
      </c>
      <c r="R243" s="2">
        <f>IF(MONTH(Table1578[[#This Row],[Date]])=2,28,DAY(DATE(YEAR(Table1578[[#This Row],[Date]]),MONTH(Table1578[[#This Row],[Date]])+1,1)-1))</f>
        <v>31</v>
      </c>
      <c r="S243" s="2">
        <f ca="1">SUM(OFFSET(Table1578[[#Headers],[Days in month]],1,0):Table1578[[#This Row],[Days in month]])</f>
        <v>6905</v>
      </c>
      <c r="T243" s="37">
        <f>InterestRate*AmortizationMultiplier*IF(ISNUMBER(SEARCH("Actual",$C$7)),Table1578[[#This Row],[Days in month]]/365,1/12)</f>
        <v>6.2344444444444444E-3</v>
      </c>
    </row>
    <row r="244" spans="2:20" x14ac:dyDescent="0.2">
      <c r="B244" s="1">
        <f t="shared" si="10"/>
        <v>52778</v>
      </c>
      <c r="C244" s="2">
        <f t="shared" si="12"/>
        <v>228</v>
      </c>
      <c r="D244" s="3">
        <f t="shared" si="11"/>
        <v>0</v>
      </c>
      <c r="E244" s="3">
        <f>ROUND(Table1578[[#This Row],[Beginning Balance]]*Table1578[[#This Row],[Monthly Interest Rate]],2)</f>
        <v>0</v>
      </c>
      <c r="F244" s="3">
        <f t="shared" si="13"/>
        <v>-225</v>
      </c>
      <c r="G244" s="23">
        <f>IFERROR(IF($C$13="No","N/A",IF(Table1578[[#This Row],[Period]]=1,$C$6,PMT(InterestRate*AmortizationMultiplier/12,Table1578[[#This Row],[Am Thru]],-Table1578[[#This Row],[Beginning Balance]]))),0)</f>
        <v>0</v>
      </c>
      <c r="H244" s="3">
        <f>MAX(0,IF(C244=$C$4,D244,ROUND(IF($C$3="Fixed Principal",$C$6-Table1578[[#This Row],[Interest]],IF($C$3="Interest Only",Table1578[[#This Row],[Beginning Balance]]*ROUND(1-(1-IF($C$11="No",$E$8,1))^(1/12),6),MIN(IF($C$13="Yes",Table1578[[#This Row],[Payment Amount (Reamortized)]],$C$6)-Table1578[[#This Row],[Interest]],Table1578[[#This Row],[Beginning Balance]]))),2)))</f>
        <v>0</v>
      </c>
      <c r="I244" s="3">
        <f>_xlfn.SINGLE(IF($C$3="Line of Credit",0,ROUND(MAX(MIN(IF($C$10="No",$E$7,VLOOKUP(Table1578[[#This Row],[Period]],Forecast!$H$2:$L$1048576,4,FALSE))*Table1578[[#This Row],[Beginning Balance]],Table1578[[#This Row],[Beginning Balance]]-Table1578[[#This Row],[Principal]]),0),2)))</f>
        <v>0</v>
      </c>
      <c r="J244" s="3">
        <f>ROUND(MIN(Table1578[[#This Row],[Beginning Balance]]*IF($C$8="No",$E$3,VLOOKUP(Table1578[[#This Row],[Period]],Forecast!$H$2:$L$1048576,2,FALSE)),Table1578[[#This Row],[Beginning Balance]]-Table1578[[#This Row],[Principal]]-Table1578[[#This Row],[Prepayments]]),2)</f>
        <v>0</v>
      </c>
      <c r="K244" s="3">
        <f>ROUND(Table1578[[#This Row],[Defaulted Principal]]*IF($C$9="No",$E$4,VLOOKUP(Table1578[[#This Row],[Period]],Forecast!$H$2:$L$1048576,3,FALSE)),2)</f>
        <v>0</v>
      </c>
      <c r="L244" s="2">
        <f>Table1578[[#This Row],[Period]]+$E$9</f>
        <v>240</v>
      </c>
      <c r="M244" s="3">
        <f>Table1578[[#This Row],[Defaulted Principal]]-Table1578[[#This Row],[Estimated Loss]]</f>
        <v>0</v>
      </c>
      <c r="N244" s="3">
        <f>IFERROR(VLOOKUP(Table1578[[#This Row],[Period]],$L$16:$M$385,2,FALSE),0)</f>
        <v>0</v>
      </c>
      <c r="O244" s="3">
        <f>Table1578[[#This Row],[Beginning Balance]]-Table1578[[#This Row],[Principal]]-Table1578[[#This Row],[Prepayments]]-Table1578[[#This Row],[Defaulted Principal]]</f>
        <v>0</v>
      </c>
      <c r="P244" s="3">
        <f>Table1578[[#This Row],[Principal]]+Table1578[[#This Row],[Interest]]+Table1578[[#This Row],[Prepayments]]+Table1578[[#This Row],[RecoveredAmount]]</f>
        <v>0</v>
      </c>
      <c r="Q244" s="3">
        <f ca="1">ROUND(Table1578[[#This Row],[Cash Flow]]/((1+ActualRateToUse)^(IF(ISNUMBER(SEARCH("Actual",$C$7)),Table1578[[#This Row],[Running Total]]/365,Table1578[[#This Row],[Period]]/12))),2)</f>
        <v>0</v>
      </c>
      <c r="R244" s="2">
        <f>IF(MONTH(Table1578[[#This Row],[Date]])=2,28,DAY(DATE(YEAR(Table1578[[#This Row],[Date]]),MONTH(Table1578[[#This Row],[Date]])+1,1)-1))</f>
        <v>30</v>
      </c>
      <c r="S244" s="2">
        <f ca="1">SUM(OFFSET(Table1578[[#Headers],[Days in month]],1,0):Table1578[[#This Row],[Days in month]])</f>
        <v>6935</v>
      </c>
      <c r="T244" s="37">
        <f>InterestRate*AmortizationMultiplier*IF(ISNUMBER(SEARCH("Actual",$C$7)),Table1578[[#This Row],[Days in month]]/365,1/12)</f>
        <v>6.0333333333333333E-3</v>
      </c>
    </row>
    <row r="245" spans="2:20" x14ac:dyDescent="0.2">
      <c r="B245" s="1">
        <f t="shared" si="10"/>
        <v>52809</v>
      </c>
      <c r="C245" s="2">
        <f t="shared" si="12"/>
        <v>229</v>
      </c>
      <c r="D245" s="3">
        <f t="shared" si="11"/>
        <v>0</v>
      </c>
      <c r="E245" s="3">
        <f>ROUND(Table1578[[#This Row],[Beginning Balance]]*Table1578[[#This Row],[Monthly Interest Rate]],2)</f>
        <v>0</v>
      </c>
      <c r="F245" s="3">
        <f t="shared" si="13"/>
        <v>-226</v>
      </c>
      <c r="G245" s="23">
        <f>IFERROR(IF($C$13="No","N/A",IF(Table1578[[#This Row],[Period]]=1,$C$6,PMT(InterestRate*AmortizationMultiplier/12,Table1578[[#This Row],[Am Thru]],-Table1578[[#This Row],[Beginning Balance]]))),0)</f>
        <v>0</v>
      </c>
      <c r="H245" s="3">
        <f>MAX(0,IF(C245=$C$4,D245,ROUND(IF($C$3="Fixed Principal",$C$6-Table1578[[#This Row],[Interest]],IF($C$3="Interest Only",Table1578[[#This Row],[Beginning Balance]]*ROUND(1-(1-IF($C$11="No",$E$8,1))^(1/12),6),MIN(IF($C$13="Yes",Table1578[[#This Row],[Payment Amount (Reamortized)]],$C$6)-Table1578[[#This Row],[Interest]],Table1578[[#This Row],[Beginning Balance]]))),2)))</f>
        <v>0</v>
      </c>
      <c r="I245" s="3">
        <f>_xlfn.SINGLE(IF($C$3="Line of Credit",0,ROUND(MAX(MIN(IF($C$10="No",$E$7,VLOOKUP(Table1578[[#This Row],[Period]],Forecast!$H$2:$L$1048576,4,FALSE))*Table1578[[#This Row],[Beginning Balance]],Table1578[[#This Row],[Beginning Balance]]-Table1578[[#This Row],[Principal]]),0),2)))</f>
        <v>0</v>
      </c>
      <c r="J245" s="3">
        <f>ROUND(MIN(Table1578[[#This Row],[Beginning Balance]]*IF($C$8="No",$E$3,VLOOKUP(Table1578[[#This Row],[Period]],Forecast!$H$2:$L$1048576,2,FALSE)),Table1578[[#This Row],[Beginning Balance]]-Table1578[[#This Row],[Principal]]-Table1578[[#This Row],[Prepayments]]),2)</f>
        <v>0</v>
      </c>
      <c r="K245" s="3">
        <f>ROUND(Table1578[[#This Row],[Defaulted Principal]]*IF($C$9="No",$E$4,VLOOKUP(Table1578[[#This Row],[Period]],Forecast!$H$2:$L$1048576,3,FALSE)),2)</f>
        <v>0</v>
      </c>
      <c r="L245" s="2">
        <f>Table1578[[#This Row],[Period]]+$E$9</f>
        <v>241</v>
      </c>
      <c r="M245" s="3">
        <f>Table1578[[#This Row],[Defaulted Principal]]-Table1578[[#This Row],[Estimated Loss]]</f>
        <v>0</v>
      </c>
      <c r="N245" s="3">
        <f>IFERROR(VLOOKUP(Table1578[[#This Row],[Period]],$L$16:$M$385,2,FALSE),0)</f>
        <v>0</v>
      </c>
      <c r="O245" s="3">
        <f>Table1578[[#This Row],[Beginning Balance]]-Table1578[[#This Row],[Principal]]-Table1578[[#This Row],[Prepayments]]-Table1578[[#This Row],[Defaulted Principal]]</f>
        <v>0</v>
      </c>
      <c r="P245" s="3">
        <f>Table1578[[#This Row],[Principal]]+Table1578[[#This Row],[Interest]]+Table1578[[#This Row],[Prepayments]]+Table1578[[#This Row],[RecoveredAmount]]</f>
        <v>0</v>
      </c>
      <c r="Q245" s="3">
        <f ca="1">ROUND(Table1578[[#This Row],[Cash Flow]]/((1+ActualRateToUse)^(IF(ISNUMBER(SEARCH("Actual",$C$7)),Table1578[[#This Row],[Running Total]]/365,Table1578[[#This Row],[Period]]/12))),2)</f>
        <v>0</v>
      </c>
      <c r="R245" s="2">
        <f>IF(MONTH(Table1578[[#This Row],[Date]])=2,28,DAY(DATE(YEAR(Table1578[[#This Row],[Date]]),MONTH(Table1578[[#This Row],[Date]])+1,1)-1))</f>
        <v>31</v>
      </c>
      <c r="S245" s="2">
        <f ca="1">SUM(OFFSET(Table1578[[#Headers],[Days in month]],1,0):Table1578[[#This Row],[Days in month]])</f>
        <v>6966</v>
      </c>
      <c r="T245" s="37">
        <f>InterestRate*AmortizationMultiplier*IF(ISNUMBER(SEARCH("Actual",$C$7)),Table1578[[#This Row],[Days in month]]/365,1/12)</f>
        <v>6.2344444444444444E-3</v>
      </c>
    </row>
    <row r="246" spans="2:20" x14ac:dyDescent="0.2">
      <c r="B246" s="1">
        <f t="shared" si="10"/>
        <v>52840</v>
      </c>
      <c r="C246" s="2">
        <f t="shared" si="12"/>
        <v>230</v>
      </c>
      <c r="D246" s="3">
        <f t="shared" si="11"/>
        <v>0</v>
      </c>
      <c r="E246" s="3">
        <f>ROUND(Table1578[[#This Row],[Beginning Balance]]*Table1578[[#This Row],[Monthly Interest Rate]],2)</f>
        <v>0</v>
      </c>
      <c r="F246" s="3">
        <f t="shared" si="13"/>
        <v>-227</v>
      </c>
      <c r="G246" s="23">
        <f>IFERROR(IF($C$13="No","N/A",IF(Table1578[[#This Row],[Period]]=1,$C$6,PMT(InterestRate*AmortizationMultiplier/12,Table1578[[#This Row],[Am Thru]],-Table1578[[#This Row],[Beginning Balance]]))),0)</f>
        <v>0</v>
      </c>
      <c r="H246" s="3">
        <f>MAX(0,IF(C246=$C$4,D246,ROUND(IF($C$3="Fixed Principal",$C$6-Table1578[[#This Row],[Interest]],IF($C$3="Interest Only",Table1578[[#This Row],[Beginning Balance]]*ROUND(1-(1-IF($C$11="No",$E$8,1))^(1/12),6),MIN(IF($C$13="Yes",Table1578[[#This Row],[Payment Amount (Reamortized)]],$C$6)-Table1578[[#This Row],[Interest]],Table1578[[#This Row],[Beginning Balance]]))),2)))</f>
        <v>0</v>
      </c>
      <c r="I246" s="3">
        <f>_xlfn.SINGLE(IF($C$3="Line of Credit",0,ROUND(MAX(MIN(IF($C$10="No",$E$7,VLOOKUP(Table1578[[#This Row],[Period]],Forecast!$H$2:$L$1048576,4,FALSE))*Table1578[[#This Row],[Beginning Balance]],Table1578[[#This Row],[Beginning Balance]]-Table1578[[#This Row],[Principal]]),0),2)))</f>
        <v>0</v>
      </c>
      <c r="J246" s="3">
        <f>ROUND(MIN(Table1578[[#This Row],[Beginning Balance]]*IF($C$8="No",$E$3,VLOOKUP(Table1578[[#This Row],[Period]],Forecast!$H$2:$L$1048576,2,FALSE)),Table1578[[#This Row],[Beginning Balance]]-Table1578[[#This Row],[Principal]]-Table1578[[#This Row],[Prepayments]]),2)</f>
        <v>0</v>
      </c>
      <c r="K246" s="3">
        <f>ROUND(Table1578[[#This Row],[Defaulted Principal]]*IF($C$9="No",$E$4,VLOOKUP(Table1578[[#This Row],[Period]],Forecast!$H$2:$L$1048576,3,FALSE)),2)</f>
        <v>0</v>
      </c>
      <c r="L246" s="2">
        <f>Table1578[[#This Row],[Period]]+$E$9</f>
        <v>242</v>
      </c>
      <c r="M246" s="3">
        <f>Table1578[[#This Row],[Defaulted Principal]]-Table1578[[#This Row],[Estimated Loss]]</f>
        <v>0</v>
      </c>
      <c r="N246" s="3">
        <f>IFERROR(VLOOKUP(Table1578[[#This Row],[Period]],$L$16:$M$385,2,FALSE),0)</f>
        <v>0</v>
      </c>
      <c r="O246" s="3">
        <f>Table1578[[#This Row],[Beginning Balance]]-Table1578[[#This Row],[Principal]]-Table1578[[#This Row],[Prepayments]]-Table1578[[#This Row],[Defaulted Principal]]</f>
        <v>0</v>
      </c>
      <c r="P246" s="3">
        <f>Table1578[[#This Row],[Principal]]+Table1578[[#This Row],[Interest]]+Table1578[[#This Row],[Prepayments]]+Table1578[[#This Row],[RecoveredAmount]]</f>
        <v>0</v>
      </c>
      <c r="Q246" s="3">
        <f ca="1">ROUND(Table1578[[#This Row],[Cash Flow]]/((1+ActualRateToUse)^(IF(ISNUMBER(SEARCH("Actual",$C$7)),Table1578[[#This Row],[Running Total]]/365,Table1578[[#This Row],[Period]]/12))),2)</f>
        <v>0</v>
      </c>
      <c r="R246" s="2">
        <f>IF(MONTH(Table1578[[#This Row],[Date]])=2,28,DAY(DATE(YEAR(Table1578[[#This Row],[Date]]),MONTH(Table1578[[#This Row],[Date]])+1,1)-1))</f>
        <v>31</v>
      </c>
      <c r="S246" s="2">
        <f ca="1">SUM(OFFSET(Table1578[[#Headers],[Days in month]],1,0):Table1578[[#This Row],[Days in month]])</f>
        <v>6997</v>
      </c>
      <c r="T246" s="37">
        <f>InterestRate*AmortizationMultiplier*IF(ISNUMBER(SEARCH("Actual",$C$7)),Table1578[[#This Row],[Days in month]]/365,1/12)</f>
        <v>6.2344444444444444E-3</v>
      </c>
    </row>
    <row r="247" spans="2:20" x14ac:dyDescent="0.2">
      <c r="B247" s="1">
        <f t="shared" si="10"/>
        <v>52870</v>
      </c>
      <c r="C247" s="2">
        <f t="shared" si="12"/>
        <v>231</v>
      </c>
      <c r="D247" s="3">
        <f t="shared" si="11"/>
        <v>0</v>
      </c>
      <c r="E247" s="3">
        <f>ROUND(Table1578[[#This Row],[Beginning Balance]]*Table1578[[#This Row],[Monthly Interest Rate]],2)</f>
        <v>0</v>
      </c>
      <c r="F247" s="3">
        <f t="shared" si="13"/>
        <v>-228</v>
      </c>
      <c r="G247" s="23">
        <f>IFERROR(IF($C$13="No","N/A",IF(Table1578[[#This Row],[Period]]=1,$C$6,PMT(InterestRate*AmortizationMultiplier/12,Table1578[[#This Row],[Am Thru]],-Table1578[[#This Row],[Beginning Balance]]))),0)</f>
        <v>0</v>
      </c>
      <c r="H247" s="3">
        <f>MAX(0,IF(C247=$C$4,D247,ROUND(IF($C$3="Fixed Principal",$C$6-Table1578[[#This Row],[Interest]],IF($C$3="Interest Only",Table1578[[#This Row],[Beginning Balance]]*ROUND(1-(1-IF($C$11="No",$E$8,1))^(1/12),6),MIN(IF($C$13="Yes",Table1578[[#This Row],[Payment Amount (Reamortized)]],$C$6)-Table1578[[#This Row],[Interest]],Table1578[[#This Row],[Beginning Balance]]))),2)))</f>
        <v>0</v>
      </c>
      <c r="I247" s="3">
        <f>_xlfn.SINGLE(IF($C$3="Line of Credit",0,ROUND(MAX(MIN(IF($C$10="No",$E$7,VLOOKUP(Table1578[[#This Row],[Period]],Forecast!$H$2:$L$1048576,4,FALSE))*Table1578[[#This Row],[Beginning Balance]],Table1578[[#This Row],[Beginning Balance]]-Table1578[[#This Row],[Principal]]),0),2)))</f>
        <v>0</v>
      </c>
      <c r="J247" s="3">
        <f>ROUND(MIN(Table1578[[#This Row],[Beginning Balance]]*IF($C$8="No",$E$3,VLOOKUP(Table1578[[#This Row],[Period]],Forecast!$H$2:$L$1048576,2,FALSE)),Table1578[[#This Row],[Beginning Balance]]-Table1578[[#This Row],[Principal]]-Table1578[[#This Row],[Prepayments]]),2)</f>
        <v>0</v>
      </c>
      <c r="K247" s="3">
        <f>ROUND(Table1578[[#This Row],[Defaulted Principal]]*IF($C$9="No",$E$4,VLOOKUP(Table1578[[#This Row],[Period]],Forecast!$H$2:$L$1048576,3,FALSE)),2)</f>
        <v>0</v>
      </c>
      <c r="L247" s="2">
        <f>Table1578[[#This Row],[Period]]+$E$9</f>
        <v>243</v>
      </c>
      <c r="M247" s="3">
        <f>Table1578[[#This Row],[Defaulted Principal]]-Table1578[[#This Row],[Estimated Loss]]</f>
        <v>0</v>
      </c>
      <c r="N247" s="3">
        <f>IFERROR(VLOOKUP(Table1578[[#This Row],[Period]],$L$16:$M$385,2,FALSE),0)</f>
        <v>0</v>
      </c>
      <c r="O247" s="3">
        <f>Table1578[[#This Row],[Beginning Balance]]-Table1578[[#This Row],[Principal]]-Table1578[[#This Row],[Prepayments]]-Table1578[[#This Row],[Defaulted Principal]]</f>
        <v>0</v>
      </c>
      <c r="P247" s="3">
        <f>Table1578[[#This Row],[Principal]]+Table1578[[#This Row],[Interest]]+Table1578[[#This Row],[Prepayments]]+Table1578[[#This Row],[RecoveredAmount]]</f>
        <v>0</v>
      </c>
      <c r="Q247" s="3">
        <f ca="1">ROUND(Table1578[[#This Row],[Cash Flow]]/((1+ActualRateToUse)^(IF(ISNUMBER(SEARCH("Actual",$C$7)),Table1578[[#This Row],[Running Total]]/365,Table1578[[#This Row],[Period]]/12))),2)</f>
        <v>0</v>
      </c>
      <c r="R247" s="2">
        <f>IF(MONTH(Table1578[[#This Row],[Date]])=2,28,DAY(DATE(YEAR(Table1578[[#This Row],[Date]]),MONTH(Table1578[[#This Row],[Date]])+1,1)-1))</f>
        <v>30</v>
      </c>
      <c r="S247" s="2">
        <f ca="1">SUM(OFFSET(Table1578[[#Headers],[Days in month]],1,0):Table1578[[#This Row],[Days in month]])</f>
        <v>7027</v>
      </c>
      <c r="T247" s="37">
        <f>InterestRate*AmortizationMultiplier*IF(ISNUMBER(SEARCH("Actual",$C$7)),Table1578[[#This Row],[Days in month]]/365,1/12)</f>
        <v>6.0333333333333333E-3</v>
      </c>
    </row>
    <row r="248" spans="2:20" x14ac:dyDescent="0.2">
      <c r="B248" s="1">
        <f t="shared" si="10"/>
        <v>52901</v>
      </c>
      <c r="C248" s="2">
        <f t="shared" si="12"/>
        <v>232</v>
      </c>
      <c r="D248" s="3">
        <f t="shared" si="11"/>
        <v>0</v>
      </c>
      <c r="E248" s="3">
        <f>ROUND(Table1578[[#This Row],[Beginning Balance]]*Table1578[[#This Row],[Monthly Interest Rate]],2)</f>
        <v>0</v>
      </c>
      <c r="F248" s="3">
        <f t="shared" si="13"/>
        <v>-229</v>
      </c>
      <c r="G248" s="23">
        <f>IFERROR(IF($C$13="No","N/A",IF(Table1578[[#This Row],[Period]]=1,$C$6,PMT(InterestRate*AmortizationMultiplier/12,Table1578[[#This Row],[Am Thru]],-Table1578[[#This Row],[Beginning Balance]]))),0)</f>
        <v>0</v>
      </c>
      <c r="H248" s="3">
        <f>MAX(0,IF(C248=$C$4,D248,ROUND(IF($C$3="Fixed Principal",$C$6-Table1578[[#This Row],[Interest]],IF($C$3="Interest Only",Table1578[[#This Row],[Beginning Balance]]*ROUND(1-(1-IF($C$11="No",$E$8,1))^(1/12),6),MIN(IF($C$13="Yes",Table1578[[#This Row],[Payment Amount (Reamortized)]],$C$6)-Table1578[[#This Row],[Interest]],Table1578[[#This Row],[Beginning Balance]]))),2)))</f>
        <v>0</v>
      </c>
      <c r="I248" s="3">
        <f>_xlfn.SINGLE(IF($C$3="Line of Credit",0,ROUND(MAX(MIN(IF($C$10="No",$E$7,VLOOKUP(Table1578[[#This Row],[Period]],Forecast!$H$2:$L$1048576,4,FALSE))*Table1578[[#This Row],[Beginning Balance]],Table1578[[#This Row],[Beginning Balance]]-Table1578[[#This Row],[Principal]]),0),2)))</f>
        <v>0</v>
      </c>
      <c r="J248" s="3">
        <f>ROUND(MIN(Table1578[[#This Row],[Beginning Balance]]*IF($C$8="No",$E$3,VLOOKUP(Table1578[[#This Row],[Period]],Forecast!$H$2:$L$1048576,2,FALSE)),Table1578[[#This Row],[Beginning Balance]]-Table1578[[#This Row],[Principal]]-Table1578[[#This Row],[Prepayments]]),2)</f>
        <v>0</v>
      </c>
      <c r="K248" s="3">
        <f>ROUND(Table1578[[#This Row],[Defaulted Principal]]*IF($C$9="No",$E$4,VLOOKUP(Table1578[[#This Row],[Period]],Forecast!$H$2:$L$1048576,3,FALSE)),2)</f>
        <v>0</v>
      </c>
      <c r="L248" s="2">
        <f>Table1578[[#This Row],[Period]]+$E$9</f>
        <v>244</v>
      </c>
      <c r="M248" s="3">
        <f>Table1578[[#This Row],[Defaulted Principal]]-Table1578[[#This Row],[Estimated Loss]]</f>
        <v>0</v>
      </c>
      <c r="N248" s="3">
        <f>IFERROR(VLOOKUP(Table1578[[#This Row],[Period]],$L$16:$M$385,2,FALSE),0)</f>
        <v>0</v>
      </c>
      <c r="O248" s="3">
        <f>Table1578[[#This Row],[Beginning Balance]]-Table1578[[#This Row],[Principal]]-Table1578[[#This Row],[Prepayments]]-Table1578[[#This Row],[Defaulted Principal]]</f>
        <v>0</v>
      </c>
      <c r="P248" s="3">
        <f>Table1578[[#This Row],[Principal]]+Table1578[[#This Row],[Interest]]+Table1578[[#This Row],[Prepayments]]+Table1578[[#This Row],[RecoveredAmount]]</f>
        <v>0</v>
      </c>
      <c r="Q248" s="3">
        <f ca="1">ROUND(Table1578[[#This Row],[Cash Flow]]/((1+ActualRateToUse)^(IF(ISNUMBER(SEARCH("Actual",$C$7)),Table1578[[#This Row],[Running Total]]/365,Table1578[[#This Row],[Period]]/12))),2)</f>
        <v>0</v>
      </c>
      <c r="R248" s="2">
        <f>IF(MONTH(Table1578[[#This Row],[Date]])=2,28,DAY(DATE(YEAR(Table1578[[#This Row],[Date]]),MONTH(Table1578[[#This Row],[Date]])+1,1)-1))</f>
        <v>31</v>
      </c>
      <c r="S248" s="2">
        <f ca="1">SUM(OFFSET(Table1578[[#Headers],[Days in month]],1,0):Table1578[[#This Row],[Days in month]])</f>
        <v>7058</v>
      </c>
      <c r="T248" s="37">
        <f>InterestRate*AmortizationMultiplier*IF(ISNUMBER(SEARCH("Actual",$C$7)),Table1578[[#This Row],[Days in month]]/365,1/12)</f>
        <v>6.2344444444444444E-3</v>
      </c>
    </row>
    <row r="249" spans="2:20" x14ac:dyDescent="0.2">
      <c r="B249" s="1">
        <f t="shared" si="10"/>
        <v>52931</v>
      </c>
      <c r="C249" s="2">
        <f t="shared" si="12"/>
        <v>233</v>
      </c>
      <c r="D249" s="3">
        <f t="shared" si="11"/>
        <v>0</v>
      </c>
      <c r="E249" s="3">
        <f>ROUND(Table1578[[#This Row],[Beginning Balance]]*Table1578[[#This Row],[Monthly Interest Rate]],2)</f>
        <v>0</v>
      </c>
      <c r="F249" s="3">
        <f t="shared" si="13"/>
        <v>-230</v>
      </c>
      <c r="G249" s="23">
        <f>IFERROR(IF($C$13="No","N/A",IF(Table1578[[#This Row],[Period]]=1,$C$6,PMT(InterestRate*AmortizationMultiplier/12,Table1578[[#This Row],[Am Thru]],-Table1578[[#This Row],[Beginning Balance]]))),0)</f>
        <v>0</v>
      </c>
      <c r="H249" s="3">
        <f>MAX(0,IF(C249=$C$4,D249,ROUND(IF($C$3="Fixed Principal",$C$6-Table1578[[#This Row],[Interest]],IF($C$3="Interest Only",Table1578[[#This Row],[Beginning Balance]]*ROUND(1-(1-IF($C$11="No",$E$8,1))^(1/12),6),MIN(IF($C$13="Yes",Table1578[[#This Row],[Payment Amount (Reamortized)]],$C$6)-Table1578[[#This Row],[Interest]],Table1578[[#This Row],[Beginning Balance]]))),2)))</f>
        <v>0</v>
      </c>
      <c r="I249" s="3">
        <f>_xlfn.SINGLE(IF($C$3="Line of Credit",0,ROUND(MAX(MIN(IF($C$10="No",$E$7,VLOOKUP(Table1578[[#This Row],[Period]],Forecast!$H$2:$L$1048576,4,FALSE))*Table1578[[#This Row],[Beginning Balance]],Table1578[[#This Row],[Beginning Balance]]-Table1578[[#This Row],[Principal]]),0),2)))</f>
        <v>0</v>
      </c>
      <c r="J249" s="3">
        <f>ROUND(MIN(Table1578[[#This Row],[Beginning Balance]]*IF($C$8="No",$E$3,VLOOKUP(Table1578[[#This Row],[Period]],Forecast!$H$2:$L$1048576,2,FALSE)),Table1578[[#This Row],[Beginning Balance]]-Table1578[[#This Row],[Principal]]-Table1578[[#This Row],[Prepayments]]),2)</f>
        <v>0</v>
      </c>
      <c r="K249" s="3">
        <f>ROUND(Table1578[[#This Row],[Defaulted Principal]]*IF($C$9="No",$E$4,VLOOKUP(Table1578[[#This Row],[Period]],Forecast!$H$2:$L$1048576,3,FALSE)),2)</f>
        <v>0</v>
      </c>
      <c r="L249" s="2">
        <f>Table1578[[#This Row],[Period]]+$E$9</f>
        <v>245</v>
      </c>
      <c r="M249" s="3">
        <f>Table1578[[#This Row],[Defaulted Principal]]-Table1578[[#This Row],[Estimated Loss]]</f>
        <v>0</v>
      </c>
      <c r="N249" s="3">
        <f>IFERROR(VLOOKUP(Table1578[[#This Row],[Period]],$L$16:$M$385,2,FALSE),0)</f>
        <v>0</v>
      </c>
      <c r="O249" s="3">
        <f>Table1578[[#This Row],[Beginning Balance]]-Table1578[[#This Row],[Principal]]-Table1578[[#This Row],[Prepayments]]-Table1578[[#This Row],[Defaulted Principal]]</f>
        <v>0</v>
      </c>
      <c r="P249" s="3">
        <f>Table1578[[#This Row],[Principal]]+Table1578[[#This Row],[Interest]]+Table1578[[#This Row],[Prepayments]]+Table1578[[#This Row],[RecoveredAmount]]</f>
        <v>0</v>
      </c>
      <c r="Q249" s="3">
        <f ca="1">ROUND(Table1578[[#This Row],[Cash Flow]]/((1+ActualRateToUse)^(IF(ISNUMBER(SEARCH("Actual",$C$7)),Table1578[[#This Row],[Running Total]]/365,Table1578[[#This Row],[Period]]/12))),2)</f>
        <v>0</v>
      </c>
      <c r="R249" s="2">
        <f>IF(MONTH(Table1578[[#This Row],[Date]])=2,28,DAY(DATE(YEAR(Table1578[[#This Row],[Date]]),MONTH(Table1578[[#This Row],[Date]])+1,1)-1))</f>
        <v>30</v>
      </c>
      <c r="S249" s="2">
        <f ca="1">SUM(OFFSET(Table1578[[#Headers],[Days in month]],1,0):Table1578[[#This Row],[Days in month]])</f>
        <v>7088</v>
      </c>
      <c r="T249" s="37">
        <f>InterestRate*AmortizationMultiplier*IF(ISNUMBER(SEARCH("Actual",$C$7)),Table1578[[#This Row],[Days in month]]/365,1/12)</f>
        <v>6.0333333333333333E-3</v>
      </c>
    </row>
    <row r="250" spans="2:20" x14ac:dyDescent="0.2">
      <c r="B250" s="1">
        <f t="shared" si="10"/>
        <v>52962</v>
      </c>
      <c r="C250" s="2">
        <f t="shared" si="12"/>
        <v>234</v>
      </c>
      <c r="D250" s="3">
        <f t="shared" si="11"/>
        <v>0</v>
      </c>
      <c r="E250" s="3">
        <f>ROUND(Table1578[[#This Row],[Beginning Balance]]*Table1578[[#This Row],[Monthly Interest Rate]],2)</f>
        <v>0</v>
      </c>
      <c r="F250" s="3">
        <f t="shared" si="13"/>
        <v>-231</v>
      </c>
      <c r="G250" s="23">
        <f>IFERROR(IF($C$13="No","N/A",IF(Table1578[[#This Row],[Period]]=1,$C$6,PMT(InterestRate*AmortizationMultiplier/12,Table1578[[#This Row],[Am Thru]],-Table1578[[#This Row],[Beginning Balance]]))),0)</f>
        <v>0</v>
      </c>
      <c r="H250" s="3">
        <f>MAX(0,IF(C250=$C$4,D250,ROUND(IF($C$3="Fixed Principal",$C$6-Table1578[[#This Row],[Interest]],IF($C$3="Interest Only",Table1578[[#This Row],[Beginning Balance]]*ROUND(1-(1-IF($C$11="No",$E$8,1))^(1/12),6),MIN(IF($C$13="Yes",Table1578[[#This Row],[Payment Amount (Reamortized)]],$C$6)-Table1578[[#This Row],[Interest]],Table1578[[#This Row],[Beginning Balance]]))),2)))</f>
        <v>0</v>
      </c>
      <c r="I250" s="3">
        <f>_xlfn.SINGLE(IF($C$3="Line of Credit",0,ROUND(MAX(MIN(IF($C$10="No",$E$7,VLOOKUP(Table1578[[#This Row],[Period]],Forecast!$H$2:$L$1048576,4,FALSE))*Table1578[[#This Row],[Beginning Balance]],Table1578[[#This Row],[Beginning Balance]]-Table1578[[#This Row],[Principal]]),0),2)))</f>
        <v>0</v>
      </c>
      <c r="J250" s="3">
        <f>ROUND(MIN(Table1578[[#This Row],[Beginning Balance]]*IF($C$8="No",$E$3,VLOOKUP(Table1578[[#This Row],[Period]],Forecast!$H$2:$L$1048576,2,FALSE)),Table1578[[#This Row],[Beginning Balance]]-Table1578[[#This Row],[Principal]]-Table1578[[#This Row],[Prepayments]]),2)</f>
        <v>0</v>
      </c>
      <c r="K250" s="3">
        <f>ROUND(Table1578[[#This Row],[Defaulted Principal]]*IF($C$9="No",$E$4,VLOOKUP(Table1578[[#This Row],[Period]],Forecast!$H$2:$L$1048576,3,FALSE)),2)</f>
        <v>0</v>
      </c>
      <c r="L250" s="2">
        <f>Table1578[[#This Row],[Period]]+$E$9</f>
        <v>246</v>
      </c>
      <c r="M250" s="3">
        <f>Table1578[[#This Row],[Defaulted Principal]]-Table1578[[#This Row],[Estimated Loss]]</f>
        <v>0</v>
      </c>
      <c r="N250" s="3">
        <f>IFERROR(VLOOKUP(Table1578[[#This Row],[Period]],$L$16:$M$385,2,FALSE),0)</f>
        <v>0</v>
      </c>
      <c r="O250" s="3">
        <f>Table1578[[#This Row],[Beginning Balance]]-Table1578[[#This Row],[Principal]]-Table1578[[#This Row],[Prepayments]]-Table1578[[#This Row],[Defaulted Principal]]</f>
        <v>0</v>
      </c>
      <c r="P250" s="3">
        <f>Table1578[[#This Row],[Principal]]+Table1578[[#This Row],[Interest]]+Table1578[[#This Row],[Prepayments]]+Table1578[[#This Row],[RecoveredAmount]]</f>
        <v>0</v>
      </c>
      <c r="Q250" s="3">
        <f ca="1">ROUND(Table1578[[#This Row],[Cash Flow]]/((1+ActualRateToUse)^(IF(ISNUMBER(SEARCH("Actual",$C$7)),Table1578[[#This Row],[Running Total]]/365,Table1578[[#This Row],[Period]]/12))),2)</f>
        <v>0</v>
      </c>
      <c r="R250" s="2">
        <f>IF(MONTH(Table1578[[#This Row],[Date]])=2,28,DAY(DATE(YEAR(Table1578[[#This Row],[Date]]),MONTH(Table1578[[#This Row],[Date]])+1,1)-1))</f>
        <v>31</v>
      </c>
      <c r="S250" s="2">
        <f ca="1">SUM(OFFSET(Table1578[[#Headers],[Days in month]],1,0):Table1578[[#This Row],[Days in month]])</f>
        <v>7119</v>
      </c>
      <c r="T250" s="37">
        <f>InterestRate*AmortizationMultiplier*IF(ISNUMBER(SEARCH("Actual",$C$7)),Table1578[[#This Row],[Days in month]]/365,1/12)</f>
        <v>6.2344444444444444E-3</v>
      </c>
    </row>
    <row r="251" spans="2:20" x14ac:dyDescent="0.2">
      <c r="B251" s="1">
        <f t="shared" si="10"/>
        <v>52993</v>
      </c>
      <c r="C251" s="2">
        <f t="shared" si="12"/>
        <v>235</v>
      </c>
      <c r="D251" s="3">
        <f t="shared" si="11"/>
        <v>0</v>
      </c>
      <c r="E251" s="3">
        <f>ROUND(Table1578[[#This Row],[Beginning Balance]]*Table1578[[#This Row],[Monthly Interest Rate]],2)</f>
        <v>0</v>
      </c>
      <c r="F251" s="3">
        <f t="shared" si="13"/>
        <v>-232</v>
      </c>
      <c r="G251" s="23">
        <f>IFERROR(IF($C$13="No","N/A",IF(Table1578[[#This Row],[Period]]=1,$C$6,PMT(InterestRate*AmortizationMultiplier/12,Table1578[[#This Row],[Am Thru]],-Table1578[[#This Row],[Beginning Balance]]))),0)</f>
        <v>0</v>
      </c>
      <c r="H251" s="3">
        <f>MAX(0,IF(C251=$C$4,D251,ROUND(IF($C$3="Fixed Principal",$C$6-Table1578[[#This Row],[Interest]],IF($C$3="Interest Only",Table1578[[#This Row],[Beginning Balance]]*ROUND(1-(1-IF($C$11="No",$E$8,1))^(1/12),6),MIN(IF($C$13="Yes",Table1578[[#This Row],[Payment Amount (Reamortized)]],$C$6)-Table1578[[#This Row],[Interest]],Table1578[[#This Row],[Beginning Balance]]))),2)))</f>
        <v>0</v>
      </c>
      <c r="I251" s="3">
        <f>_xlfn.SINGLE(IF($C$3="Line of Credit",0,ROUND(MAX(MIN(IF($C$10="No",$E$7,VLOOKUP(Table1578[[#This Row],[Period]],Forecast!$H$2:$L$1048576,4,FALSE))*Table1578[[#This Row],[Beginning Balance]],Table1578[[#This Row],[Beginning Balance]]-Table1578[[#This Row],[Principal]]),0),2)))</f>
        <v>0</v>
      </c>
      <c r="J251" s="3">
        <f>ROUND(MIN(Table1578[[#This Row],[Beginning Balance]]*IF($C$8="No",$E$3,VLOOKUP(Table1578[[#This Row],[Period]],Forecast!$H$2:$L$1048576,2,FALSE)),Table1578[[#This Row],[Beginning Balance]]-Table1578[[#This Row],[Principal]]-Table1578[[#This Row],[Prepayments]]),2)</f>
        <v>0</v>
      </c>
      <c r="K251" s="3">
        <f>ROUND(Table1578[[#This Row],[Defaulted Principal]]*IF($C$9="No",$E$4,VLOOKUP(Table1578[[#This Row],[Period]],Forecast!$H$2:$L$1048576,3,FALSE)),2)</f>
        <v>0</v>
      </c>
      <c r="L251" s="2">
        <f>Table1578[[#This Row],[Period]]+$E$9</f>
        <v>247</v>
      </c>
      <c r="M251" s="3">
        <f>Table1578[[#This Row],[Defaulted Principal]]-Table1578[[#This Row],[Estimated Loss]]</f>
        <v>0</v>
      </c>
      <c r="N251" s="3">
        <f>IFERROR(VLOOKUP(Table1578[[#This Row],[Period]],$L$16:$M$385,2,FALSE),0)</f>
        <v>0</v>
      </c>
      <c r="O251" s="3">
        <f>Table1578[[#This Row],[Beginning Balance]]-Table1578[[#This Row],[Principal]]-Table1578[[#This Row],[Prepayments]]-Table1578[[#This Row],[Defaulted Principal]]</f>
        <v>0</v>
      </c>
      <c r="P251" s="3">
        <f>Table1578[[#This Row],[Principal]]+Table1578[[#This Row],[Interest]]+Table1578[[#This Row],[Prepayments]]+Table1578[[#This Row],[RecoveredAmount]]</f>
        <v>0</v>
      </c>
      <c r="Q251" s="3">
        <f ca="1">ROUND(Table1578[[#This Row],[Cash Flow]]/((1+ActualRateToUse)^(IF(ISNUMBER(SEARCH("Actual",$C$7)),Table1578[[#This Row],[Running Total]]/365,Table1578[[#This Row],[Period]]/12))),2)</f>
        <v>0</v>
      </c>
      <c r="R251" s="2">
        <f>IF(MONTH(Table1578[[#This Row],[Date]])=2,28,DAY(DATE(YEAR(Table1578[[#This Row],[Date]]),MONTH(Table1578[[#This Row],[Date]])+1,1)-1))</f>
        <v>31</v>
      </c>
      <c r="S251" s="2">
        <f ca="1">SUM(OFFSET(Table1578[[#Headers],[Days in month]],1,0):Table1578[[#This Row],[Days in month]])</f>
        <v>7150</v>
      </c>
      <c r="T251" s="37">
        <f>InterestRate*AmortizationMultiplier*IF(ISNUMBER(SEARCH("Actual",$C$7)),Table1578[[#This Row],[Days in month]]/365,1/12)</f>
        <v>6.2344444444444444E-3</v>
      </c>
    </row>
    <row r="252" spans="2:20" x14ac:dyDescent="0.2">
      <c r="B252" s="1">
        <f t="shared" si="10"/>
        <v>53021</v>
      </c>
      <c r="C252" s="2">
        <f t="shared" si="12"/>
        <v>236</v>
      </c>
      <c r="D252" s="3">
        <f t="shared" si="11"/>
        <v>0</v>
      </c>
      <c r="E252" s="3">
        <f>ROUND(Table1578[[#This Row],[Beginning Balance]]*Table1578[[#This Row],[Monthly Interest Rate]],2)</f>
        <v>0</v>
      </c>
      <c r="F252" s="3">
        <f t="shared" si="13"/>
        <v>-233</v>
      </c>
      <c r="G252" s="23">
        <f>IFERROR(IF($C$13="No","N/A",IF(Table1578[[#This Row],[Period]]=1,$C$6,PMT(InterestRate*AmortizationMultiplier/12,Table1578[[#This Row],[Am Thru]],-Table1578[[#This Row],[Beginning Balance]]))),0)</f>
        <v>0</v>
      </c>
      <c r="H252" s="3">
        <f>MAX(0,IF(C252=$C$4,D252,ROUND(IF($C$3="Fixed Principal",$C$6-Table1578[[#This Row],[Interest]],IF($C$3="Interest Only",Table1578[[#This Row],[Beginning Balance]]*ROUND(1-(1-IF($C$11="No",$E$8,1))^(1/12),6),MIN(IF($C$13="Yes",Table1578[[#This Row],[Payment Amount (Reamortized)]],$C$6)-Table1578[[#This Row],[Interest]],Table1578[[#This Row],[Beginning Balance]]))),2)))</f>
        <v>0</v>
      </c>
      <c r="I252" s="3">
        <f>_xlfn.SINGLE(IF($C$3="Line of Credit",0,ROUND(MAX(MIN(IF($C$10="No",$E$7,VLOOKUP(Table1578[[#This Row],[Period]],Forecast!$H$2:$L$1048576,4,FALSE))*Table1578[[#This Row],[Beginning Balance]],Table1578[[#This Row],[Beginning Balance]]-Table1578[[#This Row],[Principal]]),0),2)))</f>
        <v>0</v>
      </c>
      <c r="J252" s="3">
        <f>ROUND(MIN(Table1578[[#This Row],[Beginning Balance]]*IF($C$8="No",$E$3,VLOOKUP(Table1578[[#This Row],[Period]],Forecast!$H$2:$L$1048576,2,FALSE)),Table1578[[#This Row],[Beginning Balance]]-Table1578[[#This Row],[Principal]]-Table1578[[#This Row],[Prepayments]]),2)</f>
        <v>0</v>
      </c>
      <c r="K252" s="3">
        <f>ROUND(Table1578[[#This Row],[Defaulted Principal]]*IF($C$9="No",$E$4,VLOOKUP(Table1578[[#This Row],[Period]],Forecast!$H$2:$L$1048576,3,FALSE)),2)</f>
        <v>0</v>
      </c>
      <c r="L252" s="2">
        <f>Table1578[[#This Row],[Period]]+$E$9</f>
        <v>248</v>
      </c>
      <c r="M252" s="3">
        <f>Table1578[[#This Row],[Defaulted Principal]]-Table1578[[#This Row],[Estimated Loss]]</f>
        <v>0</v>
      </c>
      <c r="N252" s="3">
        <f>IFERROR(VLOOKUP(Table1578[[#This Row],[Period]],$L$16:$M$385,2,FALSE),0)</f>
        <v>0</v>
      </c>
      <c r="O252" s="3">
        <f>Table1578[[#This Row],[Beginning Balance]]-Table1578[[#This Row],[Principal]]-Table1578[[#This Row],[Prepayments]]-Table1578[[#This Row],[Defaulted Principal]]</f>
        <v>0</v>
      </c>
      <c r="P252" s="3">
        <f>Table1578[[#This Row],[Principal]]+Table1578[[#This Row],[Interest]]+Table1578[[#This Row],[Prepayments]]+Table1578[[#This Row],[RecoveredAmount]]</f>
        <v>0</v>
      </c>
      <c r="Q252" s="3">
        <f ca="1">ROUND(Table1578[[#This Row],[Cash Flow]]/((1+ActualRateToUse)^(IF(ISNUMBER(SEARCH("Actual",$C$7)),Table1578[[#This Row],[Running Total]]/365,Table1578[[#This Row],[Period]]/12))),2)</f>
        <v>0</v>
      </c>
      <c r="R252" s="2">
        <f>IF(MONTH(Table1578[[#This Row],[Date]])=2,28,DAY(DATE(YEAR(Table1578[[#This Row],[Date]]),MONTH(Table1578[[#This Row],[Date]])+1,1)-1))</f>
        <v>28</v>
      </c>
      <c r="S252" s="2">
        <f ca="1">SUM(OFFSET(Table1578[[#Headers],[Days in month]],1,0):Table1578[[#This Row],[Days in month]])</f>
        <v>7178</v>
      </c>
      <c r="T252" s="37">
        <f>InterestRate*AmortizationMultiplier*IF(ISNUMBER(SEARCH("Actual",$C$7)),Table1578[[#This Row],[Days in month]]/365,1/12)</f>
        <v>5.6311111111111119E-3</v>
      </c>
    </row>
    <row r="253" spans="2:20" x14ac:dyDescent="0.2">
      <c r="B253" s="1">
        <f t="shared" si="10"/>
        <v>53052</v>
      </c>
      <c r="C253" s="2">
        <f t="shared" si="12"/>
        <v>237</v>
      </c>
      <c r="D253" s="3">
        <f t="shared" si="11"/>
        <v>0</v>
      </c>
      <c r="E253" s="3">
        <f>ROUND(Table1578[[#This Row],[Beginning Balance]]*Table1578[[#This Row],[Monthly Interest Rate]],2)</f>
        <v>0</v>
      </c>
      <c r="F253" s="3">
        <f t="shared" si="13"/>
        <v>-234</v>
      </c>
      <c r="G253" s="23">
        <f>IFERROR(IF($C$13="No","N/A",IF(Table1578[[#This Row],[Period]]=1,$C$6,PMT(InterestRate*AmortizationMultiplier/12,Table1578[[#This Row],[Am Thru]],-Table1578[[#This Row],[Beginning Balance]]))),0)</f>
        <v>0</v>
      </c>
      <c r="H253" s="3">
        <f>MAX(0,IF(C253=$C$4,D253,ROUND(IF($C$3="Fixed Principal",$C$6-Table1578[[#This Row],[Interest]],IF($C$3="Interest Only",Table1578[[#This Row],[Beginning Balance]]*ROUND(1-(1-IF($C$11="No",$E$8,1))^(1/12),6),MIN(IF($C$13="Yes",Table1578[[#This Row],[Payment Amount (Reamortized)]],$C$6)-Table1578[[#This Row],[Interest]],Table1578[[#This Row],[Beginning Balance]]))),2)))</f>
        <v>0</v>
      </c>
      <c r="I253" s="3">
        <f>_xlfn.SINGLE(IF($C$3="Line of Credit",0,ROUND(MAX(MIN(IF($C$10="No",$E$7,VLOOKUP(Table1578[[#This Row],[Period]],Forecast!$H$2:$L$1048576,4,FALSE))*Table1578[[#This Row],[Beginning Balance]],Table1578[[#This Row],[Beginning Balance]]-Table1578[[#This Row],[Principal]]),0),2)))</f>
        <v>0</v>
      </c>
      <c r="J253" s="3">
        <f>ROUND(MIN(Table1578[[#This Row],[Beginning Balance]]*IF($C$8="No",$E$3,VLOOKUP(Table1578[[#This Row],[Period]],Forecast!$H$2:$L$1048576,2,FALSE)),Table1578[[#This Row],[Beginning Balance]]-Table1578[[#This Row],[Principal]]-Table1578[[#This Row],[Prepayments]]),2)</f>
        <v>0</v>
      </c>
      <c r="K253" s="3">
        <f>ROUND(Table1578[[#This Row],[Defaulted Principal]]*IF($C$9="No",$E$4,VLOOKUP(Table1578[[#This Row],[Period]],Forecast!$H$2:$L$1048576,3,FALSE)),2)</f>
        <v>0</v>
      </c>
      <c r="L253" s="2">
        <f>Table1578[[#This Row],[Period]]+$E$9</f>
        <v>249</v>
      </c>
      <c r="M253" s="3">
        <f>Table1578[[#This Row],[Defaulted Principal]]-Table1578[[#This Row],[Estimated Loss]]</f>
        <v>0</v>
      </c>
      <c r="N253" s="3">
        <f>IFERROR(VLOOKUP(Table1578[[#This Row],[Period]],$L$16:$M$385,2,FALSE),0)</f>
        <v>0</v>
      </c>
      <c r="O253" s="3">
        <f>Table1578[[#This Row],[Beginning Balance]]-Table1578[[#This Row],[Principal]]-Table1578[[#This Row],[Prepayments]]-Table1578[[#This Row],[Defaulted Principal]]</f>
        <v>0</v>
      </c>
      <c r="P253" s="3">
        <f>Table1578[[#This Row],[Principal]]+Table1578[[#This Row],[Interest]]+Table1578[[#This Row],[Prepayments]]+Table1578[[#This Row],[RecoveredAmount]]</f>
        <v>0</v>
      </c>
      <c r="Q253" s="3">
        <f ca="1">ROUND(Table1578[[#This Row],[Cash Flow]]/((1+ActualRateToUse)^(IF(ISNUMBER(SEARCH("Actual",$C$7)),Table1578[[#This Row],[Running Total]]/365,Table1578[[#This Row],[Period]]/12))),2)</f>
        <v>0</v>
      </c>
      <c r="R253" s="2">
        <f>IF(MONTH(Table1578[[#This Row],[Date]])=2,28,DAY(DATE(YEAR(Table1578[[#This Row],[Date]]),MONTH(Table1578[[#This Row],[Date]])+1,1)-1))</f>
        <v>31</v>
      </c>
      <c r="S253" s="2">
        <f ca="1">SUM(OFFSET(Table1578[[#Headers],[Days in month]],1,0):Table1578[[#This Row],[Days in month]])</f>
        <v>7209</v>
      </c>
      <c r="T253" s="37">
        <f>InterestRate*AmortizationMultiplier*IF(ISNUMBER(SEARCH("Actual",$C$7)),Table1578[[#This Row],[Days in month]]/365,1/12)</f>
        <v>6.2344444444444444E-3</v>
      </c>
    </row>
    <row r="254" spans="2:20" x14ac:dyDescent="0.2">
      <c r="B254" s="1">
        <f t="shared" si="10"/>
        <v>53082</v>
      </c>
      <c r="C254" s="2">
        <f t="shared" si="12"/>
        <v>238</v>
      </c>
      <c r="D254" s="3">
        <f t="shared" si="11"/>
        <v>0</v>
      </c>
      <c r="E254" s="3">
        <f>ROUND(Table1578[[#This Row],[Beginning Balance]]*Table1578[[#This Row],[Monthly Interest Rate]],2)</f>
        <v>0</v>
      </c>
      <c r="F254" s="3">
        <f t="shared" si="13"/>
        <v>-235</v>
      </c>
      <c r="G254" s="23">
        <f>IFERROR(IF($C$13="No","N/A",IF(Table1578[[#This Row],[Period]]=1,$C$6,PMT(InterestRate*AmortizationMultiplier/12,Table1578[[#This Row],[Am Thru]],-Table1578[[#This Row],[Beginning Balance]]))),0)</f>
        <v>0</v>
      </c>
      <c r="H254" s="3">
        <f>MAX(0,IF(C254=$C$4,D254,ROUND(IF($C$3="Fixed Principal",$C$6-Table1578[[#This Row],[Interest]],IF($C$3="Interest Only",Table1578[[#This Row],[Beginning Balance]]*ROUND(1-(1-IF($C$11="No",$E$8,1))^(1/12),6),MIN(IF($C$13="Yes",Table1578[[#This Row],[Payment Amount (Reamortized)]],$C$6)-Table1578[[#This Row],[Interest]],Table1578[[#This Row],[Beginning Balance]]))),2)))</f>
        <v>0</v>
      </c>
      <c r="I254" s="3">
        <f>_xlfn.SINGLE(IF($C$3="Line of Credit",0,ROUND(MAX(MIN(IF($C$10="No",$E$7,VLOOKUP(Table1578[[#This Row],[Period]],Forecast!$H$2:$L$1048576,4,FALSE))*Table1578[[#This Row],[Beginning Balance]],Table1578[[#This Row],[Beginning Balance]]-Table1578[[#This Row],[Principal]]),0),2)))</f>
        <v>0</v>
      </c>
      <c r="J254" s="3">
        <f>ROUND(MIN(Table1578[[#This Row],[Beginning Balance]]*IF($C$8="No",$E$3,VLOOKUP(Table1578[[#This Row],[Period]],Forecast!$H$2:$L$1048576,2,FALSE)),Table1578[[#This Row],[Beginning Balance]]-Table1578[[#This Row],[Principal]]-Table1578[[#This Row],[Prepayments]]),2)</f>
        <v>0</v>
      </c>
      <c r="K254" s="3">
        <f>ROUND(Table1578[[#This Row],[Defaulted Principal]]*IF($C$9="No",$E$4,VLOOKUP(Table1578[[#This Row],[Period]],Forecast!$H$2:$L$1048576,3,FALSE)),2)</f>
        <v>0</v>
      </c>
      <c r="L254" s="2">
        <f>Table1578[[#This Row],[Period]]+$E$9</f>
        <v>250</v>
      </c>
      <c r="M254" s="3">
        <f>Table1578[[#This Row],[Defaulted Principal]]-Table1578[[#This Row],[Estimated Loss]]</f>
        <v>0</v>
      </c>
      <c r="N254" s="3">
        <f>IFERROR(VLOOKUP(Table1578[[#This Row],[Period]],$L$16:$M$385,2,FALSE),0)</f>
        <v>0</v>
      </c>
      <c r="O254" s="3">
        <f>Table1578[[#This Row],[Beginning Balance]]-Table1578[[#This Row],[Principal]]-Table1578[[#This Row],[Prepayments]]-Table1578[[#This Row],[Defaulted Principal]]</f>
        <v>0</v>
      </c>
      <c r="P254" s="3">
        <f>Table1578[[#This Row],[Principal]]+Table1578[[#This Row],[Interest]]+Table1578[[#This Row],[Prepayments]]+Table1578[[#This Row],[RecoveredAmount]]</f>
        <v>0</v>
      </c>
      <c r="Q254" s="3">
        <f ca="1">ROUND(Table1578[[#This Row],[Cash Flow]]/((1+ActualRateToUse)^(IF(ISNUMBER(SEARCH("Actual",$C$7)),Table1578[[#This Row],[Running Total]]/365,Table1578[[#This Row],[Period]]/12))),2)</f>
        <v>0</v>
      </c>
      <c r="R254" s="2">
        <f>IF(MONTH(Table1578[[#This Row],[Date]])=2,28,DAY(DATE(YEAR(Table1578[[#This Row],[Date]]),MONTH(Table1578[[#This Row],[Date]])+1,1)-1))</f>
        <v>30</v>
      </c>
      <c r="S254" s="2">
        <f ca="1">SUM(OFFSET(Table1578[[#Headers],[Days in month]],1,0):Table1578[[#This Row],[Days in month]])</f>
        <v>7239</v>
      </c>
      <c r="T254" s="37">
        <f>InterestRate*AmortizationMultiplier*IF(ISNUMBER(SEARCH("Actual",$C$7)),Table1578[[#This Row],[Days in month]]/365,1/12)</f>
        <v>6.0333333333333333E-3</v>
      </c>
    </row>
    <row r="255" spans="2:20" x14ac:dyDescent="0.2">
      <c r="B255" s="1">
        <f t="shared" si="10"/>
        <v>53113</v>
      </c>
      <c r="C255" s="2">
        <f t="shared" si="12"/>
        <v>239</v>
      </c>
      <c r="D255" s="3">
        <f t="shared" si="11"/>
        <v>0</v>
      </c>
      <c r="E255" s="3">
        <f>ROUND(Table1578[[#This Row],[Beginning Balance]]*Table1578[[#This Row],[Monthly Interest Rate]],2)</f>
        <v>0</v>
      </c>
      <c r="F255" s="3">
        <f t="shared" si="13"/>
        <v>-236</v>
      </c>
      <c r="G255" s="23">
        <f>IFERROR(IF($C$13="No","N/A",IF(Table1578[[#This Row],[Period]]=1,$C$6,PMT(InterestRate*AmortizationMultiplier/12,Table1578[[#This Row],[Am Thru]],-Table1578[[#This Row],[Beginning Balance]]))),0)</f>
        <v>0</v>
      </c>
      <c r="H255" s="3">
        <f>MAX(0,IF(C255=$C$4,D255,ROUND(IF($C$3="Fixed Principal",$C$6-Table1578[[#This Row],[Interest]],IF($C$3="Interest Only",Table1578[[#This Row],[Beginning Balance]]*ROUND(1-(1-IF($C$11="No",$E$8,1))^(1/12),6),MIN(IF($C$13="Yes",Table1578[[#This Row],[Payment Amount (Reamortized)]],$C$6)-Table1578[[#This Row],[Interest]],Table1578[[#This Row],[Beginning Balance]]))),2)))</f>
        <v>0</v>
      </c>
      <c r="I255" s="3">
        <f>_xlfn.SINGLE(IF($C$3="Line of Credit",0,ROUND(MAX(MIN(IF($C$10="No",$E$7,VLOOKUP(Table1578[[#This Row],[Period]],Forecast!$H$2:$L$1048576,4,FALSE))*Table1578[[#This Row],[Beginning Balance]],Table1578[[#This Row],[Beginning Balance]]-Table1578[[#This Row],[Principal]]),0),2)))</f>
        <v>0</v>
      </c>
      <c r="J255" s="3">
        <f>ROUND(MIN(Table1578[[#This Row],[Beginning Balance]]*IF($C$8="No",$E$3,VLOOKUP(Table1578[[#This Row],[Period]],Forecast!$H$2:$L$1048576,2,FALSE)),Table1578[[#This Row],[Beginning Balance]]-Table1578[[#This Row],[Principal]]-Table1578[[#This Row],[Prepayments]]),2)</f>
        <v>0</v>
      </c>
      <c r="K255" s="3">
        <f>ROUND(Table1578[[#This Row],[Defaulted Principal]]*IF($C$9="No",$E$4,VLOOKUP(Table1578[[#This Row],[Period]],Forecast!$H$2:$L$1048576,3,FALSE)),2)</f>
        <v>0</v>
      </c>
      <c r="L255" s="2">
        <f>Table1578[[#This Row],[Period]]+$E$9</f>
        <v>251</v>
      </c>
      <c r="M255" s="3">
        <f>Table1578[[#This Row],[Defaulted Principal]]-Table1578[[#This Row],[Estimated Loss]]</f>
        <v>0</v>
      </c>
      <c r="N255" s="3">
        <f>IFERROR(VLOOKUP(Table1578[[#This Row],[Period]],$L$16:$M$385,2,FALSE),0)</f>
        <v>0</v>
      </c>
      <c r="O255" s="3">
        <f>Table1578[[#This Row],[Beginning Balance]]-Table1578[[#This Row],[Principal]]-Table1578[[#This Row],[Prepayments]]-Table1578[[#This Row],[Defaulted Principal]]</f>
        <v>0</v>
      </c>
      <c r="P255" s="3">
        <f>Table1578[[#This Row],[Principal]]+Table1578[[#This Row],[Interest]]+Table1578[[#This Row],[Prepayments]]+Table1578[[#This Row],[RecoveredAmount]]</f>
        <v>0</v>
      </c>
      <c r="Q255" s="3">
        <f ca="1">ROUND(Table1578[[#This Row],[Cash Flow]]/((1+ActualRateToUse)^(IF(ISNUMBER(SEARCH("Actual",$C$7)),Table1578[[#This Row],[Running Total]]/365,Table1578[[#This Row],[Period]]/12))),2)</f>
        <v>0</v>
      </c>
      <c r="R255" s="2">
        <f>IF(MONTH(Table1578[[#This Row],[Date]])=2,28,DAY(DATE(YEAR(Table1578[[#This Row],[Date]]),MONTH(Table1578[[#This Row],[Date]])+1,1)-1))</f>
        <v>31</v>
      </c>
      <c r="S255" s="2">
        <f ca="1">SUM(OFFSET(Table1578[[#Headers],[Days in month]],1,0):Table1578[[#This Row],[Days in month]])</f>
        <v>7270</v>
      </c>
      <c r="T255" s="37">
        <f>InterestRate*AmortizationMultiplier*IF(ISNUMBER(SEARCH("Actual",$C$7)),Table1578[[#This Row],[Days in month]]/365,1/12)</f>
        <v>6.2344444444444444E-3</v>
      </c>
    </row>
    <row r="256" spans="2:20" x14ac:dyDescent="0.2">
      <c r="B256" s="1">
        <f t="shared" si="10"/>
        <v>53143</v>
      </c>
      <c r="C256" s="2">
        <f t="shared" si="12"/>
        <v>240</v>
      </c>
      <c r="D256" s="3">
        <f t="shared" si="11"/>
        <v>0</v>
      </c>
      <c r="E256" s="3">
        <f>ROUND(Table1578[[#This Row],[Beginning Balance]]*Table1578[[#This Row],[Monthly Interest Rate]],2)</f>
        <v>0</v>
      </c>
      <c r="F256" s="3">
        <f t="shared" si="13"/>
        <v>-237</v>
      </c>
      <c r="G256" s="23">
        <f>IFERROR(IF($C$13="No","N/A",IF(Table1578[[#This Row],[Period]]=1,$C$6,PMT(InterestRate*AmortizationMultiplier/12,Table1578[[#This Row],[Am Thru]],-Table1578[[#This Row],[Beginning Balance]]))),0)</f>
        <v>0</v>
      </c>
      <c r="H256" s="3">
        <f>MAX(0,IF(C256=$C$4,D256,ROUND(IF($C$3="Fixed Principal",$C$6-Table1578[[#This Row],[Interest]],IF($C$3="Interest Only",Table1578[[#This Row],[Beginning Balance]]*ROUND(1-(1-IF($C$11="No",$E$8,1))^(1/12),6),MIN(IF($C$13="Yes",Table1578[[#This Row],[Payment Amount (Reamortized)]],$C$6)-Table1578[[#This Row],[Interest]],Table1578[[#This Row],[Beginning Balance]]))),2)))</f>
        <v>0</v>
      </c>
      <c r="I256" s="3">
        <f>_xlfn.SINGLE(IF($C$3="Line of Credit",0,ROUND(MAX(MIN(IF($C$10="No",$E$7,VLOOKUP(Table1578[[#This Row],[Period]],Forecast!$H$2:$L$1048576,4,FALSE))*Table1578[[#This Row],[Beginning Balance]],Table1578[[#This Row],[Beginning Balance]]-Table1578[[#This Row],[Principal]]),0),2)))</f>
        <v>0</v>
      </c>
      <c r="J256" s="3">
        <f>ROUND(MIN(Table1578[[#This Row],[Beginning Balance]]*IF($C$8="No",$E$3,VLOOKUP(Table1578[[#This Row],[Period]],Forecast!$H$2:$L$1048576,2,FALSE)),Table1578[[#This Row],[Beginning Balance]]-Table1578[[#This Row],[Principal]]-Table1578[[#This Row],[Prepayments]]),2)</f>
        <v>0</v>
      </c>
      <c r="K256" s="3">
        <f>ROUND(Table1578[[#This Row],[Defaulted Principal]]*IF($C$9="No",$E$4,VLOOKUP(Table1578[[#This Row],[Period]],Forecast!$H$2:$L$1048576,3,FALSE)),2)</f>
        <v>0</v>
      </c>
      <c r="L256" s="2">
        <f>Table1578[[#This Row],[Period]]+$E$9</f>
        <v>252</v>
      </c>
      <c r="M256" s="3">
        <f>Table1578[[#This Row],[Defaulted Principal]]-Table1578[[#This Row],[Estimated Loss]]</f>
        <v>0</v>
      </c>
      <c r="N256" s="3">
        <f>IFERROR(VLOOKUP(Table1578[[#This Row],[Period]],$L$16:$M$385,2,FALSE),0)</f>
        <v>0</v>
      </c>
      <c r="O256" s="3">
        <f>Table1578[[#This Row],[Beginning Balance]]-Table1578[[#This Row],[Principal]]-Table1578[[#This Row],[Prepayments]]-Table1578[[#This Row],[Defaulted Principal]]</f>
        <v>0</v>
      </c>
      <c r="P256" s="3">
        <f>Table1578[[#This Row],[Principal]]+Table1578[[#This Row],[Interest]]+Table1578[[#This Row],[Prepayments]]+Table1578[[#This Row],[RecoveredAmount]]</f>
        <v>0</v>
      </c>
      <c r="Q256" s="3">
        <f ca="1">ROUND(Table1578[[#This Row],[Cash Flow]]/((1+ActualRateToUse)^(IF(ISNUMBER(SEARCH("Actual",$C$7)),Table1578[[#This Row],[Running Total]]/365,Table1578[[#This Row],[Period]]/12))),2)</f>
        <v>0</v>
      </c>
      <c r="R256" s="2">
        <f>IF(MONTH(Table1578[[#This Row],[Date]])=2,28,DAY(DATE(YEAR(Table1578[[#This Row],[Date]]),MONTH(Table1578[[#This Row],[Date]])+1,1)-1))</f>
        <v>30</v>
      </c>
      <c r="S256" s="2">
        <f ca="1">SUM(OFFSET(Table1578[[#Headers],[Days in month]],1,0):Table1578[[#This Row],[Days in month]])</f>
        <v>7300</v>
      </c>
      <c r="T256" s="37">
        <f>InterestRate*AmortizationMultiplier*IF(ISNUMBER(SEARCH("Actual",$C$7)),Table1578[[#This Row],[Days in month]]/365,1/12)</f>
        <v>6.0333333333333333E-3</v>
      </c>
    </row>
    <row r="257" spans="2:20" x14ac:dyDescent="0.2">
      <c r="B257" s="1">
        <f t="shared" si="10"/>
        <v>53174</v>
      </c>
      <c r="C257" s="2">
        <f t="shared" si="12"/>
        <v>241</v>
      </c>
      <c r="D257" s="3">
        <f t="shared" si="11"/>
        <v>0</v>
      </c>
      <c r="E257" s="3">
        <f>ROUND(Table1578[[#This Row],[Beginning Balance]]*Table1578[[#This Row],[Monthly Interest Rate]],2)</f>
        <v>0</v>
      </c>
      <c r="F257" s="3">
        <f t="shared" si="13"/>
        <v>-238</v>
      </c>
      <c r="G257" s="23">
        <f>IFERROR(IF($C$13="No","N/A",IF(Table1578[[#This Row],[Period]]=1,$C$6,PMT(InterestRate*AmortizationMultiplier/12,Table1578[[#This Row],[Am Thru]],-Table1578[[#This Row],[Beginning Balance]]))),0)</f>
        <v>0</v>
      </c>
      <c r="H257" s="3">
        <f>MAX(0,IF(C257=$C$4,D257,ROUND(IF($C$3="Fixed Principal",$C$6-Table1578[[#This Row],[Interest]],IF($C$3="Interest Only",Table1578[[#This Row],[Beginning Balance]]*ROUND(1-(1-IF($C$11="No",$E$8,1))^(1/12),6),MIN(IF($C$13="Yes",Table1578[[#This Row],[Payment Amount (Reamortized)]],$C$6)-Table1578[[#This Row],[Interest]],Table1578[[#This Row],[Beginning Balance]]))),2)))</f>
        <v>0</v>
      </c>
      <c r="I257" s="3">
        <f>_xlfn.SINGLE(IF($C$3="Line of Credit",0,ROUND(MAX(MIN(IF($C$10="No",$E$7,VLOOKUP(Table1578[[#This Row],[Period]],Forecast!$H$2:$L$1048576,4,FALSE))*Table1578[[#This Row],[Beginning Balance]],Table1578[[#This Row],[Beginning Balance]]-Table1578[[#This Row],[Principal]]),0),2)))</f>
        <v>0</v>
      </c>
      <c r="J257" s="3">
        <f>ROUND(MIN(Table1578[[#This Row],[Beginning Balance]]*IF($C$8="No",$E$3,VLOOKUP(Table1578[[#This Row],[Period]],Forecast!$H$2:$L$1048576,2,FALSE)),Table1578[[#This Row],[Beginning Balance]]-Table1578[[#This Row],[Principal]]-Table1578[[#This Row],[Prepayments]]),2)</f>
        <v>0</v>
      </c>
      <c r="K257" s="3">
        <f>ROUND(Table1578[[#This Row],[Defaulted Principal]]*IF($C$9="No",$E$4,VLOOKUP(Table1578[[#This Row],[Period]],Forecast!$H$2:$L$1048576,3,FALSE)),2)</f>
        <v>0</v>
      </c>
      <c r="L257" s="2">
        <f>Table1578[[#This Row],[Period]]+$E$9</f>
        <v>253</v>
      </c>
      <c r="M257" s="3">
        <f>Table1578[[#This Row],[Defaulted Principal]]-Table1578[[#This Row],[Estimated Loss]]</f>
        <v>0</v>
      </c>
      <c r="N257" s="3">
        <f>IFERROR(VLOOKUP(Table1578[[#This Row],[Period]],$L$16:$M$385,2,FALSE),0)</f>
        <v>0</v>
      </c>
      <c r="O257" s="3">
        <f>Table1578[[#This Row],[Beginning Balance]]-Table1578[[#This Row],[Principal]]-Table1578[[#This Row],[Prepayments]]-Table1578[[#This Row],[Defaulted Principal]]</f>
        <v>0</v>
      </c>
      <c r="P257" s="3">
        <f>Table1578[[#This Row],[Principal]]+Table1578[[#This Row],[Interest]]+Table1578[[#This Row],[Prepayments]]+Table1578[[#This Row],[RecoveredAmount]]</f>
        <v>0</v>
      </c>
      <c r="Q257" s="3">
        <f ca="1">ROUND(Table1578[[#This Row],[Cash Flow]]/((1+ActualRateToUse)^(IF(ISNUMBER(SEARCH("Actual",$C$7)),Table1578[[#This Row],[Running Total]]/365,Table1578[[#This Row],[Period]]/12))),2)</f>
        <v>0</v>
      </c>
      <c r="R257" s="2">
        <f>IF(MONTH(Table1578[[#This Row],[Date]])=2,28,DAY(DATE(YEAR(Table1578[[#This Row],[Date]]),MONTH(Table1578[[#This Row],[Date]])+1,1)-1))</f>
        <v>31</v>
      </c>
      <c r="S257" s="2">
        <f ca="1">SUM(OFFSET(Table1578[[#Headers],[Days in month]],1,0):Table1578[[#This Row],[Days in month]])</f>
        <v>7331</v>
      </c>
      <c r="T257" s="37">
        <f>InterestRate*AmortizationMultiplier*IF(ISNUMBER(SEARCH("Actual",$C$7)),Table1578[[#This Row],[Days in month]]/365,1/12)</f>
        <v>6.2344444444444444E-3</v>
      </c>
    </row>
    <row r="258" spans="2:20" x14ac:dyDescent="0.2">
      <c r="B258" s="1">
        <f t="shared" si="10"/>
        <v>53205</v>
      </c>
      <c r="C258" s="2">
        <f t="shared" si="12"/>
        <v>242</v>
      </c>
      <c r="D258" s="3">
        <f t="shared" si="11"/>
        <v>0</v>
      </c>
      <c r="E258" s="3">
        <f>ROUND(Table1578[[#This Row],[Beginning Balance]]*Table1578[[#This Row],[Monthly Interest Rate]],2)</f>
        <v>0</v>
      </c>
      <c r="F258" s="3">
        <f t="shared" si="13"/>
        <v>-239</v>
      </c>
      <c r="G258" s="23">
        <f>IFERROR(IF($C$13="No","N/A",IF(Table1578[[#This Row],[Period]]=1,$C$6,PMT(InterestRate*AmortizationMultiplier/12,Table1578[[#This Row],[Am Thru]],-Table1578[[#This Row],[Beginning Balance]]))),0)</f>
        <v>0</v>
      </c>
      <c r="H258" s="3">
        <f>MAX(0,IF(C258=$C$4,D258,ROUND(IF($C$3="Fixed Principal",$C$6-Table1578[[#This Row],[Interest]],IF($C$3="Interest Only",Table1578[[#This Row],[Beginning Balance]]*ROUND(1-(1-IF($C$11="No",$E$8,1))^(1/12),6),MIN(IF($C$13="Yes",Table1578[[#This Row],[Payment Amount (Reamortized)]],$C$6)-Table1578[[#This Row],[Interest]],Table1578[[#This Row],[Beginning Balance]]))),2)))</f>
        <v>0</v>
      </c>
      <c r="I258" s="3">
        <f>_xlfn.SINGLE(IF($C$3="Line of Credit",0,ROUND(MAX(MIN(IF($C$10="No",$E$7,VLOOKUP(Table1578[[#This Row],[Period]],Forecast!$H$2:$L$1048576,4,FALSE))*Table1578[[#This Row],[Beginning Balance]],Table1578[[#This Row],[Beginning Balance]]-Table1578[[#This Row],[Principal]]),0),2)))</f>
        <v>0</v>
      </c>
      <c r="J258" s="3">
        <f>ROUND(MIN(Table1578[[#This Row],[Beginning Balance]]*IF($C$8="No",$E$3,VLOOKUP(Table1578[[#This Row],[Period]],Forecast!$H$2:$L$1048576,2,FALSE)),Table1578[[#This Row],[Beginning Balance]]-Table1578[[#This Row],[Principal]]-Table1578[[#This Row],[Prepayments]]),2)</f>
        <v>0</v>
      </c>
      <c r="K258" s="3">
        <f>ROUND(Table1578[[#This Row],[Defaulted Principal]]*IF($C$9="No",$E$4,VLOOKUP(Table1578[[#This Row],[Period]],Forecast!$H$2:$L$1048576,3,FALSE)),2)</f>
        <v>0</v>
      </c>
      <c r="L258" s="2">
        <f>Table1578[[#This Row],[Period]]+$E$9</f>
        <v>254</v>
      </c>
      <c r="M258" s="3">
        <f>Table1578[[#This Row],[Defaulted Principal]]-Table1578[[#This Row],[Estimated Loss]]</f>
        <v>0</v>
      </c>
      <c r="N258" s="3">
        <f>IFERROR(VLOOKUP(Table1578[[#This Row],[Period]],$L$16:$M$385,2,FALSE),0)</f>
        <v>0</v>
      </c>
      <c r="O258" s="3">
        <f>Table1578[[#This Row],[Beginning Balance]]-Table1578[[#This Row],[Principal]]-Table1578[[#This Row],[Prepayments]]-Table1578[[#This Row],[Defaulted Principal]]</f>
        <v>0</v>
      </c>
      <c r="P258" s="3">
        <f>Table1578[[#This Row],[Principal]]+Table1578[[#This Row],[Interest]]+Table1578[[#This Row],[Prepayments]]+Table1578[[#This Row],[RecoveredAmount]]</f>
        <v>0</v>
      </c>
      <c r="Q258" s="3">
        <f ca="1">ROUND(Table1578[[#This Row],[Cash Flow]]/((1+ActualRateToUse)^(IF(ISNUMBER(SEARCH("Actual",$C$7)),Table1578[[#This Row],[Running Total]]/365,Table1578[[#This Row],[Period]]/12))),2)</f>
        <v>0</v>
      </c>
      <c r="R258" s="2">
        <f>IF(MONTH(Table1578[[#This Row],[Date]])=2,28,DAY(DATE(YEAR(Table1578[[#This Row],[Date]]),MONTH(Table1578[[#This Row],[Date]])+1,1)-1))</f>
        <v>31</v>
      </c>
      <c r="S258" s="2">
        <f ca="1">SUM(OFFSET(Table1578[[#Headers],[Days in month]],1,0):Table1578[[#This Row],[Days in month]])</f>
        <v>7362</v>
      </c>
      <c r="T258" s="37">
        <f>InterestRate*AmortizationMultiplier*IF(ISNUMBER(SEARCH("Actual",$C$7)),Table1578[[#This Row],[Days in month]]/365,1/12)</f>
        <v>6.2344444444444444E-3</v>
      </c>
    </row>
    <row r="259" spans="2:20" x14ac:dyDescent="0.2">
      <c r="B259" s="1">
        <f t="shared" si="10"/>
        <v>53235</v>
      </c>
      <c r="C259" s="2">
        <f t="shared" si="12"/>
        <v>243</v>
      </c>
      <c r="D259" s="3">
        <f t="shared" si="11"/>
        <v>0</v>
      </c>
      <c r="E259" s="3">
        <f>ROUND(Table1578[[#This Row],[Beginning Balance]]*Table1578[[#This Row],[Monthly Interest Rate]],2)</f>
        <v>0</v>
      </c>
      <c r="F259" s="3">
        <f t="shared" si="13"/>
        <v>-240</v>
      </c>
      <c r="G259" s="23">
        <f>IFERROR(IF($C$13="No","N/A",IF(Table1578[[#This Row],[Period]]=1,$C$6,PMT(InterestRate*AmortizationMultiplier/12,Table1578[[#This Row],[Am Thru]],-Table1578[[#This Row],[Beginning Balance]]))),0)</f>
        <v>0</v>
      </c>
      <c r="H259" s="3">
        <f>MAX(0,IF(C259=$C$4,D259,ROUND(IF($C$3="Fixed Principal",$C$6-Table1578[[#This Row],[Interest]],IF($C$3="Interest Only",Table1578[[#This Row],[Beginning Balance]]*ROUND(1-(1-IF($C$11="No",$E$8,1))^(1/12),6),MIN(IF($C$13="Yes",Table1578[[#This Row],[Payment Amount (Reamortized)]],$C$6)-Table1578[[#This Row],[Interest]],Table1578[[#This Row],[Beginning Balance]]))),2)))</f>
        <v>0</v>
      </c>
      <c r="I259" s="3">
        <f>_xlfn.SINGLE(IF($C$3="Line of Credit",0,ROUND(MAX(MIN(IF($C$10="No",$E$7,VLOOKUP(Table1578[[#This Row],[Period]],Forecast!$H$2:$L$1048576,4,FALSE))*Table1578[[#This Row],[Beginning Balance]],Table1578[[#This Row],[Beginning Balance]]-Table1578[[#This Row],[Principal]]),0),2)))</f>
        <v>0</v>
      </c>
      <c r="J259" s="3">
        <f>ROUND(MIN(Table1578[[#This Row],[Beginning Balance]]*IF($C$8="No",$E$3,VLOOKUP(Table1578[[#This Row],[Period]],Forecast!$H$2:$L$1048576,2,FALSE)),Table1578[[#This Row],[Beginning Balance]]-Table1578[[#This Row],[Principal]]-Table1578[[#This Row],[Prepayments]]),2)</f>
        <v>0</v>
      </c>
      <c r="K259" s="3">
        <f>ROUND(Table1578[[#This Row],[Defaulted Principal]]*IF($C$9="No",$E$4,VLOOKUP(Table1578[[#This Row],[Period]],Forecast!$H$2:$L$1048576,3,FALSE)),2)</f>
        <v>0</v>
      </c>
      <c r="L259" s="2">
        <f>Table1578[[#This Row],[Period]]+$E$9</f>
        <v>255</v>
      </c>
      <c r="M259" s="3">
        <f>Table1578[[#This Row],[Defaulted Principal]]-Table1578[[#This Row],[Estimated Loss]]</f>
        <v>0</v>
      </c>
      <c r="N259" s="3">
        <f>IFERROR(VLOOKUP(Table1578[[#This Row],[Period]],$L$16:$M$385,2,FALSE),0)</f>
        <v>0</v>
      </c>
      <c r="O259" s="3">
        <f>Table1578[[#This Row],[Beginning Balance]]-Table1578[[#This Row],[Principal]]-Table1578[[#This Row],[Prepayments]]-Table1578[[#This Row],[Defaulted Principal]]</f>
        <v>0</v>
      </c>
      <c r="P259" s="3">
        <f>Table1578[[#This Row],[Principal]]+Table1578[[#This Row],[Interest]]+Table1578[[#This Row],[Prepayments]]+Table1578[[#This Row],[RecoveredAmount]]</f>
        <v>0</v>
      </c>
      <c r="Q259" s="3">
        <f ca="1">ROUND(Table1578[[#This Row],[Cash Flow]]/((1+ActualRateToUse)^(IF(ISNUMBER(SEARCH("Actual",$C$7)),Table1578[[#This Row],[Running Total]]/365,Table1578[[#This Row],[Period]]/12))),2)</f>
        <v>0</v>
      </c>
      <c r="R259" s="2">
        <f>IF(MONTH(Table1578[[#This Row],[Date]])=2,28,DAY(DATE(YEAR(Table1578[[#This Row],[Date]]),MONTH(Table1578[[#This Row],[Date]])+1,1)-1))</f>
        <v>30</v>
      </c>
      <c r="S259" s="2">
        <f ca="1">SUM(OFFSET(Table1578[[#Headers],[Days in month]],1,0):Table1578[[#This Row],[Days in month]])</f>
        <v>7392</v>
      </c>
      <c r="T259" s="37">
        <f>InterestRate*AmortizationMultiplier*IF(ISNUMBER(SEARCH("Actual",$C$7)),Table1578[[#This Row],[Days in month]]/365,1/12)</f>
        <v>6.0333333333333333E-3</v>
      </c>
    </row>
    <row r="260" spans="2:20" x14ac:dyDescent="0.2">
      <c r="B260" s="1">
        <f t="shared" si="10"/>
        <v>53266</v>
      </c>
      <c r="C260" s="2">
        <f t="shared" si="12"/>
        <v>244</v>
      </c>
      <c r="D260" s="3">
        <f t="shared" si="11"/>
        <v>0</v>
      </c>
      <c r="E260" s="3">
        <f>ROUND(Table1578[[#This Row],[Beginning Balance]]*Table1578[[#This Row],[Monthly Interest Rate]],2)</f>
        <v>0</v>
      </c>
      <c r="F260" s="3">
        <f t="shared" si="13"/>
        <v>-241</v>
      </c>
      <c r="G260" s="23">
        <f>IFERROR(IF($C$13="No","N/A",IF(Table1578[[#This Row],[Period]]=1,$C$6,PMT(InterestRate*AmortizationMultiplier/12,Table1578[[#This Row],[Am Thru]],-Table1578[[#This Row],[Beginning Balance]]))),0)</f>
        <v>0</v>
      </c>
      <c r="H260" s="3">
        <f>MAX(0,IF(C260=$C$4,D260,ROUND(IF($C$3="Fixed Principal",$C$6-Table1578[[#This Row],[Interest]],IF($C$3="Interest Only",Table1578[[#This Row],[Beginning Balance]]*ROUND(1-(1-IF($C$11="No",$E$8,1))^(1/12),6),MIN(IF($C$13="Yes",Table1578[[#This Row],[Payment Amount (Reamortized)]],$C$6)-Table1578[[#This Row],[Interest]],Table1578[[#This Row],[Beginning Balance]]))),2)))</f>
        <v>0</v>
      </c>
      <c r="I260" s="3">
        <f>_xlfn.SINGLE(IF($C$3="Line of Credit",0,ROUND(MAX(MIN(IF($C$10="No",$E$7,VLOOKUP(Table1578[[#This Row],[Period]],Forecast!$H$2:$L$1048576,4,FALSE))*Table1578[[#This Row],[Beginning Balance]],Table1578[[#This Row],[Beginning Balance]]-Table1578[[#This Row],[Principal]]),0),2)))</f>
        <v>0</v>
      </c>
      <c r="J260" s="3">
        <f>ROUND(MIN(Table1578[[#This Row],[Beginning Balance]]*IF($C$8="No",$E$3,VLOOKUP(Table1578[[#This Row],[Period]],Forecast!$H$2:$L$1048576,2,FALSE)),Table1578[[#This Row],[Beginning Balance]]-Table1578[[#This Row],[Principal]]-Table1578[[#This Row],[Prepayments]]),2)</f>
        <v>0</v>
      </c>
      <c r="K260" s="3">
        <f>ROUND(Table1578[[#This Row],[Defaulted Principal]]*IF($C$9="No",$E$4,VLOOKUP(Table1578[[#This Row],[Period]],Forecast!$H$2:$L$1048576,3,FALSE)),2)</f>
        <v>0</v>
      </c>
      <c r="L260" s="2">
        <f>Table1578[[#This Row],[Period]]+$E$9</f>
        <v>256</v>
      </c>
      <c r="M260" s="3">
        <f>Table1578[[#This Row],[Defaulted Principal]]-Table1578[[#This Row],[Estimated Loss]]</f>
        <v>0</v>
      </c>
      <c r="N260" s="3">
        <f>IFERROR(VLOOKUP(Table1578[[#This Row],[Period]],$L$16:$M$385,2,FALSE),0)</f>
        <v>0</v>
      </c>
      <c r="O260" s="3">
        <f>Table1578[[#This Row],[Beginning Balance]]-Table1578[[#This Row],[Principal]]-Table1578[[#This Row],[Prepayments]]-Table1578[[#This Row],[Defaulted Principal]]</f>
        <v>0</v>
      </c>
      <c r="P260" s="3">
        <f>Table1578[[#This Row],[Principal]]+Table1578[[#This Row],[Interest]]+Table1578[[#This Row],[Prepayments]]+Table1578[[#This Row],[RecoveredAmount]]</f>
        <v>0</v>
      </c>
      <c r="Q260" s="3">
        <f ca="1">ROUND(Table1578[[#This Row],[Cash Flow]]/((1+ActualRateToUse)^(IF(ISNUMBER(SEARCH("Actual",$C$7)),Table1578[[#This Row],[Running Total]]/365,Table1578[[#This Row],[Period]]/12))),2)</f>
        <v>0</v>
      </c>
      <c r="R260" s="2">
        <f>IF(MONTH(Table1578[[#This Row],[Date]])=2,28,DAY(DATE(YEAR(Table1578[[#This Row],[Date]]),MONTH(Table1578[[#This Row],[Date]])+1,1)-1))</f>
        <v>31</v>
      </c>
      <c r="S260" s="2">
        <f ca="1">SUM(OFFSET(Table1578[[#Headers],[Days in month]],1,0):Table1578[[#This Row],[Days in month]])</f>
        <v>7423</v>
      </c>
      <c r="T260" s="37">
        <f>InterestRate*AmortizationMultiplier*IF(ISNUMBER(SEARCH("Actual",$C$7)),Table1578[[#This Row],[Days in month]]/365,1/12)</f>
        <v>6.2344444444444444E-3</v>
      </c>
    </row>
    <row r="261" spans="2:20" x14ac:dyDescent="0.2">
      <c r="B261" s="1">
        <f t="shared" si="10"/>
        <v>53296</v>
      </c>
      <c r="C261" s="2">
        <f t="shared" si="12"/>
        <v>245</v>
      </c>
      <c r="D261" s="3">
        <f t="shared" si="11"/>
        <v>0</v>
      </c>
      <c r="E261" s="3">
        <f>ROUND(Table1578[[#This Row],[Beginning Balance]]*Table1578[[#This Row],[Monthly Interest Rate]],2)</f>
        <v>0</v>
      </c>
      <c r="F261" s="3">
        <f t="shared" si="13"/>
        <v>-242</v>
      </c>
      <c r="G261" s="23">
        <f>IFERROR(IF($C$13="No","N/A",IF(Table1578[[#This Row],[Period]]=1,$C$6,PMT(InterestRate*AmortizationMultiplier/12,Table1578[[#This Row],[Am Thru]],-Table1578[[#This Row],[Beginning Balance]]))),0)</f>
        <v>0</v>
      </c>
      <c r="H261" s="3">
        <f>MAX(0,IF(C261=$C$4,D261,ROUND(IF($C$3="Fixed Principal",$C$6-Table1578[[#This Row],[Interest]],IF($C$3="Interest Only",Table1578[[#This Row],[Beginning Balance]]*ROUND(1-(1-IF($C$11="No",$E$8,1))^(1/12),6),MIN(IF($C$13="Yes",Table1578[[#This Row],[Payment Amount (Reamortized)]],$C$6)-Table1578[[#This Row],[Interest]],Table1578[[#This Row],[Beginning Balance]]))),2)))</f>
        <v>0</v>
      </c>
      <c r="I261" s="3">
        <f>_xlfn.SINGLE(IF($C$3="Line of Credit",0,ROUND(MAX(MIN(IF($C$10="No",$E$7,VLOOKUP(Table1578[[#This Row],[Period]],Forecast!$H$2:$L$1048576,4,FALSE))*Table1578[[#This Row],[Beginning Balance]],Table1578[[#This Row],[Beginning Balance]]-Table1578[[#This Row],[Principal]]),0),2)))</f>
        <v>0</v>
      </c>
      <c r="J261" s="3">
        <f>ROUND(MIN(Table1578[[#This Row],[Beginning Balance]]*IF($C$8="No",$E$3,VLOOKUP(Table1578[[#This Row],[Period]],Forecast!$H$2:$L$1048576,2,FALSE)),Table1578[[#This Row],[Beginning Balance]]-Table1578[[#This Row],[Principal]]-Table1578[[#This Row],[Prepayments]]),2)</f>
        <v>0</v>
      </c>
      <c r="K261" s="3">
        <f>ROUND(Table1578[[#This Row],[Defaulted Principal]]*IF($C$9="No",$E$4,VLOOKUP(Table1578[[#This Row],[Period]],Forecast!$H$2:$L$1048576,3,FALSE)),2)</f>
        <v>0</v>
      </c>
      <c r="L261" s="2">
        <f>Table1578[[#This Row],[Period]]+$E$9</f>
        <v>257</v>
      </c>
      <c r="M261" s="3">
        <f>Table1578[[#This Row],[Defaulted Principal]]-Table1578[[#This Row],[Estimated Loss]]</f>
        <v>0</v>
      </c>
      <c r="N261" s="3">
        <f>IFERROR(VLOOKUP(Table1578[[#This Row],[Period]],$L$16:$M$385,2,FALSE),0)</f>
        <v>0</v>
      </c>
      <c r="O261" s="3">
        <f>Table1578[[#This Row],[Beginning Balance]]-Table1578[[#This Row],[Principal]]-Table1578[[#This Row],[Prepayments]]-Table1578[[#This Row],[Defaulted Principal]]</f>
        <v>0</v>
      </c>
      <c r="P261" s="3">
        <f>Table1578[[#This Row],[Principal]]+Table1578[[#This Row],[Interest]]+Table1578[[#This Row],[Prepayments]]+Table1578[[#This Row],[RecoveredAmount]]</f>
        <v>0</v>
      </c>
      <c r="Q261" s="3">
        <f ca="1">ROUND(Table1578[[#This Row],[Cash Flow]]/((1+ActualRateToUse)^(IF(ISNUMBER(SEARCH("Actual",$C$7)),Table1578[[#This Row],[Running Total]]/365,Table1578[[#This Row],[Period]]/12))),2)</f>
        <v>0</v>
      </c>
      <c r="R261" s="2">
        <f>IF(MONTH(Table1578[[#This Row],[Date]])=2,28,DAY(DATE(YEAR(Table1578[[#This Row],[Date]]),MONTH(Table1578[[#This Row],[Date]])+1,1)-1))</f>
        <v>30</v>
      </c>
      <c r="S261" s="2">
        <f ca="1">SUM(OFFSET(Table1578[[#Headers],[Days in month]],1,0):Table1578[[#This Row],[Days in month]])</f>
        <v>7453</v>
      </c>
      <c r="T261" s="37">
        <f>InterestRate*AmortizationMultiplier*IF(ISNUMBER(SEARCH("Actual",$C$7)),Table1578[[#This Row],[Days in month]]/365,1/12)</f>
        <v>6.0333333333333333E-3</v>
      </c>
    </row>
    <row r="262" spans="2:20" x14ac:dyDescent="0.2">
      <c r="B262" s="1">
        <f t="shared" si="10"/>
        <v>53327</v>
      </c>
      <c r="C262" s="2">
        <f t="shared" si="12"/>
        <v>246</v>
      </c>
      <c r="D262" s="3">
        <f t="shared" si="11"/>
        <v>0</v>
      </c>
      <c r="E262" s="3">
        <f>ROUND(Table1578[[#This Row],[Beginning Balance]]*Table1578[[#This Row],[Monthly Interest Rate]],2)</f>
        <v>0</v>
      </c>
      <c r="F262" s="3">
        <f t="shared" si="13"/>
        <v>-243</v>
      </c>
      <c r="G262" s="23">
        <f>IFERROR(IF($C$13="No","N/A",IF(Table1578[[#This Row],[Period]]=1,$C$6,PMT(InterestRate*AmortizationMultiplier/12,Table1578[[#This Row],[Am Thru]],-Table1578[[#This Row],[Beginning Balance]]))),0)</f>
        <v>0</v>
      </c>
      <c r="H262" s="3">
        <f>MAX(0,IF(C262=$C$4,D262,ROUND(IF($C$3="Fixed Principal",$C$6-Table1578[[#This Row],[Interest]],IF($C$3="Interest Only",Table1578[[#This Row],[Beginning Balance]]*ROUND(1-(1-IF($C$11="No",$E$8,1))^(1/12),6),MIN(IF($C$13="Yes",Table1578[[#This Row],[Payment Amount (Reamortized)]],$C$6)-Table1578[[#This Row],[Interest]],Table1578[[#This Row],[Beginning Balance]]))),2)))</f>
        <v>0</v>
      </c>
      <c r="I262" s="3">
        <f>_xlfn.SINGLE(IF($C$3="Line of Credit",0,ROUND(MAX(MIN(IF($C$10="No",$E$7,VLOOKUP(Table1578[[#This Row],[Period]],Forecast!$H$2:$L$1048576,4,FALSE))*Table1578[[#This Row],[Beginning Balance]],Table1578[[#This Row],[Beginning Balance]]-Table1578[[#This Row],[Principal]]),0),2)))</f>
        <v>0</v>
      </c>
      <c r="J262" s="3">
        <f>ROUND(MIN(Table1578[[#This Row],[Beginning Balance]]*IF($C$8="No",$E$3,VLOOKUP(Table1578[[#This Row],[Period]],Forecast!$H$2:$L$1048576,2,FALSE)),Table1578[[#This Row],[Beginning Balance]]-Table1578[[#This Row],[Principal]]-Table1578[[#This Row],[Prepayments]]),2)</f>
        <v>0</v>
      </c>
      <c r="K262" s="3">
        <f>ROUND(Table1578[[#This Row],[Defaulted Principal]]*IF($C$9="No",$E$4,VLOOKUP(Table1578[[#This Row],[Period]],Forecast!$H$2:$L$1048576,3,FALSE)),2)</f>
        <v>0</v>
      </c>
      <c r="L262" s="2">
        <f>Table1578[[#This Row],[Period]]+$E$9</f>
        <v>258</v>
      </c>
      <c r="M262" s="3">
        <f>Table1578[[#This Row],[Defaulted Principal]]-Table1578[[#This Row],[Estimated Loss]]</f>
        <v>0</v>
      </c>
      <c r="N262" s="3">
        <f>IFERROR(VLOOKUP(Table1578[[#This Row],[Period]],$L$16:$M$385,2,FALSE),0)</f>
        <v>0</v>
      </c>
      <c r="O262" s="3">
        <f>Table1578[[#This Row],[Beginning Balance]]-Table1578[[#This Row],[Principal]]-Table1578[[#This Row],[Prepayments]]-Table1578[[#This Row],[Defaulted Principal]]</f>
        <v>0</v>
      </c>
      <c r="P262" s="3">
        <f>Table1578[[#This Row],[Principal]]+Table1578[[#This Row],[Interest]]+Table1578[[#This Row],[Prepayments]]+Table1578[[#This Row],[RecoveredAmount]]</f>
        <v>0</v>
      </c>
      <c r="Q262" s="3">
        <f ca="1">ROUND(Table1578[[#This Row],[Cash Flow]]/((1+ActualRateToUse)^(IF(ISNUMBER(SEARCH("Actual",$C$7)),Table1578[[#This Row],[Running Total]]/365,Table1578[[#This Row],[Period]]/12))),2)</f>
        <v>0</v>
      </c>
      <c r="R262" s="2">
        <f>IF(MONTH(Table1578[[#This Row],[Date]])=2,28,DAY(DATE(YEAR(Table1578[[#This Row],[Date]]),MONTH(Table1578[[#This Row],[Date]])+1,1)-1))</f>
        <v>31</v>
      </c>
      <c r="S262" s="2">
        <f ca="1">SUM(OFFSET(Table1578[[#Headers],[Days in month]],1,0):Table1578[[#This Row],[Days in month]])</f>
        <v>7484</v>
      </c>
      <c r="T262" s="37">
        <f>InterestRate*AmortizationMultiplier*IF(ISNUMBER(SEARCH("Actual",$C$7)),Table1578[[#This Row],[Days in month]]/365,1/12)</f>
        <v>6.2344444444444444E-3</v>
      </c>
    </row>
    <row r="263" spans="2:20" x14ac:dyDescent="0.2">
      <c r="B263" s="1">
        <f t="shared" si="10"/>
        <v>53358</v>
      </c>
      <c r="C263" s="2">
        <f t="shared" si="12"/>
        <v>247</v>
      </c>
      <c r="D263" s="3">
        <f t="shared" si="11"/>
        <v>0</v>
      </c>
      <c r="E263" s="3">
        <f>ROUND(Table1578[[#This Row],[Beginning Balance]]*Table1578[[#This Row],[Monthly Interest Rate]],2)</f>
        <v>0</v>
      </c>
      <c r="F263" s="3">
        <f t="shared" si="13"/>
        <v>-244</v>
      </c>
      <c r="G263" s="23">
        <f>IFERROR(IF($C$13="No","N/A",IF(Table1578[[#This Row],[Period]]=1,$C$6,PMT(InterestRate*AmortizationMultiplier/12,Table1578[[#This Row],[Am Thru]],-Table1578[[#This Row],[Beginning Balance]]))),0)</f>
        <v>0</v>
      </c>
      <c r="H263" s="3">
        <f>MAX(0,IF(C263=$C$4,D263,ROUND(IF($C$3="Fixed Principal",$C$6-Table1578[[#This Row],[Interest]],IF($C$3="Interest Only",Table1578[[#This Row],[Beginning Balance]]*ROUND(1-(1-IF($C$11="No",$E$8,1))^(1/12),6),MIN(IF($C$13="Yes",Table1578[[#This Row],[Payment Amount (Reamortized)]],$C$6)-Table1578[[#This Row],[Interest]],Table1578[[#This Row],[Beginning Balance]]))),2)))</f>
        <v>0</v>
      </c>
      <c r="I263" s="3">
        <f>_xlfn.SINGLE(IF($C$3="Line of Credit",0,ROUND(MAX(MIN(IF($C$10="No",$E$7,VLOOKUP(Table1578[[#This Row],[Period]],Forecast!$H$2:$L$1048576,4,FALSE))*Table1578[[#This Row],[Beginning Balance]],Table1578[[#This Row],[Beginning Balance]]-Table1578[[#This Row],[Principal]]),0),2)))</f>
        <v>0</v>
      </c>
      <c r="J263" s="3">
        <f>ROUND(MIN(Table1578[[#This Row],[Beginning Balance]]*IF($C$8="No",$E$3,VLOOKUP(Table1578[[#This Row],[Period]],Forecast!$H$2:$L$1048576,2,FALSE)),Table1578[[#This Row],[Beginning Balance]]-Table1578[[#This Row],[Principal]]-Table1578[[#This Row],[Prepayments]]),2)</f>
        <v>0</v>
      </c>
      <c r="K263" s="3">
        <f>ROUND(Table1578[[#This Row],[Defaulted Principal]]*IF($C$9="No",$E$4,VLOOKUP(Table1578[[#This Row],[Period]],Forecast!$H$2:$L$1048576,3,FALSE)),2)</f>
        <v>0</v>
      </c>
      <c r="L263" s="2">
        <f>Table1578[[#This Row],[Period]]+$E$9</f>
        <v>259</v>
      </c>
      <c r="M263" s="3">
        <f>Table1578[[#This Row],[Defaulted Principal]]-Table1578[[#This Row],[Estimated Loss]]</f>
        <v>0</v>
      </c>
      <c r="N263" s="3">
        <f>IFERROR(VLOOKUP(Table1578[[#This Row],[Period]],$L$16:$M$385,2,FALSE),0)</f>
        <v>0</v>
      </c>
      <c r="O263" s="3">
        <f>Table1578[[#This Row],[Beginning Balance]]-Table1578[[#This Row],[Principal]]-Table1578[[#This Row],[Prepayments]]-Table1578[[#This Row],[Defaulted Principal]]</f>
        <v>0</v>
      </c>
      <c r="P263" s="3">
        <f>Table1578[[#This Row],[Principal]]+Table1578[[#This Row],[Interest]]+Table1578[[#This Row],[Prepayments]]+Table1578[[#This Row],[RecoveredAmount]]</f>
        <v>0</v>
      </c>
      <c r="Q263" s="3">
        <f ca="1">ROUND(Table1578[[#This Row],[Cash Flow]]/((1+ActualRateToUse)^(IF(ISNUMBER(SEARCH("Actual",$C$7)),Table1578[[#This Row],[Running Total]]/365,Table1578[[#This Row],[Period]]/12))),2)</f>
        <v>0</v>
      </c>
      <c r="R263" s="2">
        <f>IF(MONTH(Table1578[[#This Row],[Date]])=2,28,DAY(DATE(YEAR(Table1578[[#This Row],[Date]]),MONTH(Table1578[[#This Row],[Date]])+1,1)-1))</f>
        <v>31</v>
      </c>
      <c r="S263" s="2">
        <f ca="1">SUM(OFFSET(Table1578[[#Headers],[Days in month]],1,0):Table1578[[#This Row],[Days in month]])</f>
        <v>7515</v>
      </c>
      <c r="T263" s="37">
        <f>InterestRate*AmortizationMultiplier*IF(ISNUMBER(SEARCH("Actual",$C$7)),Table1578[[#This Row],[Days in month]]/365,1/12)</f>
        <v>6.2344444444444444E-3</v>
      </c>
    </row>
    <row r="264" spans="2:20" x14ac:dyDescent="0.2">
      <c r="B264" s="1">
        <f t="shared" si="10"/>
        <v>53386</v>
      </c>
      <c r="C264" s="2">
        <f t="shared" si="12"/>
        <v>248</v>
      </c>
      <c r="D264" s="3">
        <f t="shared" si="11"/>
        <v>0</v>
      </c>
      <c r="E264" s="3">
        <f>ROUND(Table1578[[#This Row],[Beginning Balance]]*Table1578[[#This Row],[Monthly Interest Rate]],2)</f>
        <v>0</v>
      </c>
      <c r="F264" s="3">
        <f t="shared" si="13"/>
        <v>-245</v>
      </c>
      <c r="G264" s="23">
        <f>IFERROR(IF($C$13="No","N/A",IF(Table1578[[#This Row],[Period]]=1,$C$6,PMT(InterestRate*AmortizationMultiplier/12,Table1578[[#This Row],[Am Thru]],-Table1578[[#This Row],[Beginning Balance]]))),0)</f>
        <v>0</v>
      </c>
      <c r="H264" s="3">
        <f>MAX(0,IF(C264=$C$4,D264,ROUND(IF($C$3="Fixed Principal",$C$6-Table1578[[#This Row],[Interest]],IF($C$3="Interest Only",Table1578[[#This Row],[Beginning Balance]]*ROUND(1-(1-IF($C$11="No",$E$8,1))^(1/12),6),MIN(IF($C$13="Yes",Table1578[[#This Row],[Payment Amount (Reamortized)]],$C$6)-Table1578[[#This Row],[Interest]],Table1578[[#This Row],[Beginning Balance]]))),2)))</f>
        <v>0</v>
      </c>
      <c r="I264" s="3">
        <f>_xlfn.SINGLE(IF($C$3="Line of Credit",0,ROUND(MAX(MIN(IF($C$10="No",$E$7,VLOOKUP(Table1578[[#This Row],[Period]],Forecast!$H$2:$L$1048576,4,FALSE))*Table1578[[#This Row],[Beginning Balance]],Table1578[[#This Row],[Beginning Balance]]-Table1578[[#This Row],[Principal]]),0),2)))</f>
        <v>0</v>
      </c>
      <c r="J264" s="3">
        <f>ROUND(MIN(Table1578[[#This Row],[Beginning Balance]]*IF($C$8="No",$E$3,VLOOKUP(Table1578[[#This Row],[Period]],Forecast!$H$2:$L$1048576,2,FALSE)),Table1578[[#This Row],[Beginning Balance]]-Table1578[[#This Row],[Principal]]-Table1578[[#This Row],[Prepayments]]),2)</f>
        <v>0</v>
      </c>
      <c r="K264" s="3">
        <f>ROUND(Table1578[[#This Row],[Defaulted Principal]]*IF($C$9="No",$E$4,VLOOKUP(Table1578[[#This Row],[Period]],Forecast!$H$2:$L$1048576,3,FALSE)),2)</f>
        <v>0</v>
      </c>
      <c r="L264" s="2">
        <f>Table1578[[#This Row],[Period]]+$E$9</f>
        <v>260</v>
      </c>
      <c r="M264" s="3">
        <f>Table1578[[#This Row],[Defaulted Principal]]-Table1578[[#This Row],[Estimated Loss]]</f>
        <v>0</v>
      </c>
      <c r="N264" s="3">
        <f>IFERROR(VLOOKUP(Table1578[[#This Row],[Period]],$L$16:$M$385,2,FALSE),0)</f>
        <v>0</v>
      </c>
      <c r="O264" s="3">
        <f>Table1578[[#This Row],[Beginning Balance]]-Table1578[[#This Row],[Principal]]-Table1578[[#This Row],[Prepayments]]-Table1578[[#This Row],[Defaulted Principal]]</f>
        <v>0</v>
      </c>
      <c r="P264" s="3">
        <f>Table1578[[#This Row],[Principal]]+Table1578[[#This Row],[Interest]]+Table1578[[#This Row],[Prepayments]]+Table1578[[#This Row],[RecoveredAmount]]</f>
        <v>0</v>
      </c>
      <c r="Q264" s="3">
        <f ca="1">ROUND(Table1578[[#This Row],[Cash Flow]]/((1+ActualRateToUse)^(IF(ISNUMBER(SEARCH("Actual",$C$7)),Table1578[[#This Row],[Running Total]]/365,Table1578[[#This Row],[Period]]/12))),2)</f>
        <v>0</v>
      </c>
      <c r="R264" s="2">
        <f>IF(MONTH(Table1578[[#This Row],[Date]])=2,28,DAY(DATE(YEAR(Table1578[[#This Row],[Date]]),MONTH(Table1578[[#This Row],[Date]])+1,1)-1))</f>
        <v>28</v>
      </c>
      <c r="S264" s="2">
        <f ca="1">SUM(OFFSET(Table1578[[#Headers],[Days in month]],1,0):Table1578[[#This Row],[Days in month]])</f>
        <v>7543</v>
      </c>
      <c r="T264" s="37">
        <f>InterestRate*AmortizationMultiplier*IF(ISNUMBER(SEARCH("Actual",$C$7)),Table1578[[#This Row],[Days in month]]/365,1/12)</f>
        <v>5.6311111111111119E-3</v>
      </c>
    </row>
    <row r="265" spans="2:20" x14ac:dyDescent="0.2">
      <c r="B265" s="1">
        <f t="shared" si="10"/>
        <v>53417</v>
      </c>
      <c r="C265" s="2">
        <f t="shared" si="12"/>
        <v>249</v>
      </c>
      <c r="D265" s="3">
        <f t="shared" si="11"/>
        <v>0</v>
      </c>
      <c r="E265" s="3">
        <f>ROUND(Table1578[[#This Row],[Beginning Balance]]*Table1578[[#This Row],[Monthly Interest Rate]],2)</f>
        <v>0</v>
      </c>
      <c r="F265" s="3">
        <f t="shared" si="13"/>
        <v>-246</v>
      </c>
      <c r="G265" s="23">
        <f>IFERROR(IF($C$13="No","N/A",IF(Table1578[[#This Row],[Period]]=1,$C$6,PMT(InterestRate*AmortizationMultiplier/12,Table1578[[#This Row],[Am Thru]],-Table1578[[#This Row],[Beginning Balance]]))),0)</f>
        <v>0</v>
      </c>
      <c r="H265" s="3">
        <f>MAX(0,IF(C265=$C$4,D265,ROUND(IF($C$3="Fixed Principal",$C$6-Table1578[[#This Row],[Interest]],IF($C$3="Interest Only",Table1578[[#This Row],[Beginning Balance]]*ROUND(1-(1-IF($C$11="No",$E$8,1))^(1/12),6),MIN(IF($C$13="Yes",Table1578[[#This Row],[Payment Amount (Reamortized)]],$C$6)-Table1578[[#This Row],[Interest]],Table1578[[#This Row],[Beginning Balance]]))),2)))</f>
        <v>0</v>
      </c>
      <c r="I265" s="3">
        <f>_xlfn.SINGLE(IF($C$3="Line of Credit",0,ROUND(MAX(MIN(IF($C$10="No",$E$7,VLOOKUP(Table1578[[#This Row],[Period]],Forecast!$H$2:$L$1048576,4,FALSE))*Table1578[[#This Row],[Beginning Balance]],Table1578[[#This Row],[Beginning Balance]]-Table1578[[#This Row],[Principal]]),0),2)))</f>
        <v>0</v>
      </c>
      <c r="J265" s="3">
        <f>ROUND(MIN(Table1578[[#This Row],[Beginning Balance]]*IF($C$8="No",$E$3,VLOOKUP(Table1578[[#This Row],[Period]],Forecast!$H$2:$L$1048576,2,FALSE)),Table1578[[#This Row],[Beginning Balance]]-Table1578[[#This Row],[Principal]]-Table1578[[#This Row],[Prepayments]]),2)</f>
        <v>0</v>
      </c>
      <c r="K265" s="3">
        <f>ROUND(Table1578[[#This Row],[Defaulted Principal]]*IF($C$9="No",$E$4,VLOOKUP(Table1578[[#This Row],[Period]],Forecast!$H$2:$L$1048576,3,FALSE)),2)</f>
        <v>0</v>
      </c>
      <c r="L265" s="2">
        <f>Table1578[[#This Row],[Period]]+$E$9</f>
        <v>261</v>
      </c>
      <c r="M265" s="3">
        <f>Table1578[[#This Row],[Defaulted Principal]]-Table1578[[#This Row],[Estimated Loss]]</f>
        <v>0</v>
      </c>
      <c r="N265" s="3">
        <f>IFERROR(VLOOKUP(Table1578[[#This Row],[Period]],$L$16:$M$385,2,FALSE),0)</f>
        <v>0</v>
      </c>
      <c r="O265" s="3">
        <f>Table1578[[#This Row],[Beginning Balance]]-Table1578[[#This Row],[Principal]]-Table1578[[#This Row],[Prepayments]]-Table1578[[#This Row],[Defaulted Principal]]</f>
        <v>0</v>
      </c>
      <c r="P265" s="3">
        <f>Table1578[[#This Row],[Principal]]+Table1578[[#This Row],[Interest]]+Table1578[[#This Row],[Prepayments]]+Table1578[[#This Row],[RecoveredAmount]]</f>
        <v>0</v>
      </c>
      <c r="Q265" s="3">
        <f ca="1">ROUND(Table1578[[#This Row],[Cash Flow]]/((1+ActualRateToUse)^(IF(ISNUMBER(SEARCH("Actual",$C$7)),Table1578[[#This Row],[Running Total]]/365,Table1578[[#This Row],[Period]]/12))),2)</f>
        <v>0</v>
      </c>
      <c r="R265" s="2">
        <f>IF(MONTH(Table1578[[#This Row],[Date]])=2,28,DAY(DATE(YEAR(Table1578[[#This Row],[Date]]),MONTH(Table1578[[#This Row],[Date]])+1,1)-1))</f>
        <v>31</v>
      </c>
      <c r="S265" s="2">
        <f ca="1">SUM(OFFSET(Table1578[[#Headers],[Days in month]],1,0):Table1578[[#This Row],[Days in month]])</f>
        <v>7574</v>
      </c>
      <c r="T265" s="37">
        <f>InterestRate*AmortizationMultiplier*IF(ISNUMBER(SEARCH("Actual",$C$7)),Table1578[[#This Row],[Days in month]]/365,1/12)</f>
        <v>6.2344444444444444E-3</v>
      </c>
    </row>
    <row r="266" spans="2:20" x14ac:dyDescent="0.2">
      <c r="B266" s="1">
        <f t="shared" si="10"/>
        <v>53447</v>
      </c>
      <c r="C266" s="2">
        <f t="shared" si="12"/>
        <v>250</v>
      </c>
      <c r="D266" s="3">
        <f t="shared" si="11"/>
        <v>0</v>
      </c>
      <c r="E266" s="3">
        <f>ROUND(Table1578[[#This Row],[Beginning Balance]]*Table1578[[#This Row],[Monthly Interest Rate]],2)</f>
        <v>0</v>
      </c>
      <c r="F266" s="3">
        <f t="shared" si="13"/>
        <v>-247</v>
      </c>
      <c r="G266" s="23">
        <f>IFERROR(IF($C$13="No","N/A",IF(Table1578[[#This Row],[Period]]=1,$C$6,PMT(InterestRate*AmortizationMultiplier/12,Table1578[[#This Row],[Am Thru]],-Table1578[[#This Row],[Beginning Balance]]))),0)</f>
        <v>0</v>
      </c>
      <c r="H266" s="3">
        <f>MAX(0,IF(C266=$C$4,D266,ROUND(IF($C$3="Fixed Principal",$C$6-Table1578[[#This Row],[Interest]],IF($C$3="Interest Only",Table1578[[#This Row],[Beginning Balance]]*ROUND(1-(1-IF($C$11="No",$E$8,1))^(1/12),6),MIN(IF($C$13="Yes",Table1578[[#This Row],[Payment Amount (Reamortized)]],$C$6)-Table1578[[#This Row],[Interest]],Table1578[[#This Row],[Beginning Balance]]))),2)))</f>
        <v>0</v>
      </c>
      <c r="I266" s="3">
        <f>_xlfn.SINGLE(IF($C$3="Line of Credit",0,ROUND(MAX(MIN(IF($C$10="No",$E$7,VLOOKUP(Table1578[[#This Row],[Period]],Forecast!$H$2:$L$1048576,4,FALSE))*Table1578[[#This Row],[Beginning Balance]],Table1578[[#This Row],[Beginning Balance]]-Table1578[[#This Row],[Principal]]),0),2)))</f>
        <v>0</v>
      </c>
      <c r="J266" s="3">
        <f>ROUND(MIN(Table1578[[#This Row],[Beginning Balance]]*IF($C$8="No",$E$3,VLOOKUP(Table1578[[#This Row],[Period]],Forecast!$H$2:$L$1048576,2,FALSE)),Table1578[[#This Row],[Beginning Balance]]-Table1578[[#This Row],[Principal]]-Table1578[[#This Row],[Prepayments]]),2)</f>
        <v>0</v>
      </c>
      <c r="K266" s="3">
        <f>ROUND(Table1578[[#This Row],[Defaulted Principal]]*IF($C$9="No",$E$4,VLOOKUP(Table1578[[#This Row],[Period]],Forecast!$H$2:$L$1048576,3,FALSE)),2)</f>
        <v>0</v>
      </c>
      <c r="L266" s="2">
        <f>Table1578[[#This Row],[Period]]+$E$9</f>
        <v>262</v>
      </c>
      <c r="M266" s="3">
        <f>Table1578[[#This Row],[Defaulted Principal]]-Table1578[[#This Row],[Estimated Loss]]</f>
        <v>0</v>
      </c>
      <c r="N266" s="3">
        <f>IFERROR(VLOOKUP(Table1578[[#This Row],[Period]],$L$16:$M$385,2,FALSE),0)</f>
        <v>0</v>
      </c>
      <c r="O266" s="3">
        <f>Table1578[[#This Row],[Beginning Balance]]-Table1578[[#This Row],[Principal]]-Table1578[[#This Row],[Prepayments]]-Table1578[[#This Row],[Defaulted Principal]]</f>
        <v>0</v>
      </c>
      <c r="P266" s="3">
        <f>Table1578[[#This Row],[Principal]]+Table1578[[#This Row],[Interest]]+Table1578[[#This Row],[Prepayments]]+Table1578[[#This Row],[RecoveredAmount]]</f>
        <v>0</v>
      </c>
      <c r="Q266" s="3">
        <f ca="1">ROUND(Table1578[[#This Row],[Cash Flow]]/((1+ActualRateToUse)^(IF(ISNUMBER(SEARCH("Actual",$C$7)),Table1578[[#This Row],[Running Total]]/365,Table1578[[#This Row],[Period]]/12))),2)</f>
        <v>0</v>
      </c>
      <c r="R266" s="2">
        <f>IF(MONTH(Table1578[[#This Row],[Date]])=2,28,DAY(DATE(YEAR(Table1578[[#This Row],[Date]]),MONTH(Table1578[[#This Row],[Date]])+1,1)-1))</f>
        <v>30</v>
      </c>
      <c r="S266" s="2">
        <f ca="1">SUM(OFFSET(Table1578[[#Headers],[Days in month]],1,0):Table1578[[#This Row],[Days in month]])</f>
        <v>7604</v>
      </c>
      <c r="T266" s="37">
        <f>InterestRate*AmortizationMultiplier*IF(ISNUMBER(SEARCH("Actual",$C$7)),Table1578[[#This Row],[Days in month]]/365,1/12)</f>
        <v>6.0333333333333333E-3</v>
      </c>
    </row>
    <row r="267" spans="2:20" x14ac:dyDescent="0.2">
      <c r="B267" s="1">
        <f t="shared" ref="B267:B330" si="14">EOMONTH(B266,1)</f>
        <v>53478</v>
      </c>
      <c r="C267" s="2">
        <f t="shared" si="12"/>
        <v>251</v>
      </c>
      <c r="D267" s="3">
        <f t="shared" si="11"/>
        <v>0</v>
      </c>
      <c r="E267" s="3">
        <f>ROUND(Table1578[[#This Row],[Beginning Balance]]*Table1578[[#This Row],[Monthly Interest Rate]],2)</f>
        <v>0</v>
      </c>
      <c r="F267" s="3">
        <f t="shared" si="13"/>
        <v>-248</v>
      </c>
      <c r="G267" s="23">
        <f>IFERROR(IF($C$13="No","N/A",IF(Table1578[[#This Row],[Period]]=1,$C$6,PMT(InterestRate*AmortizationMultiplier/12,Table1578[[#This Row],[Am Thru]],-Table1578[[#This Row],[Beginning Balance]]))),0)</f>
        <v>0</v>
      </c>
      <c r="H267" s="3">
        <f>MAX(0,IF(C267=$C$4,D267,ROUND(IF($C$3="Fixed Principal",$C$6-Table1578[[#This Row],[Interest]],IF($C$3="Interest Only",Table1578[[#This Row],[Beginning Balance]]*ROUND(1-(1-IF($C$11="No",$E$8,1))^(1/12),6),MIN(IF($C$13="Yes",Table1578[[#This Row],[Payment Amount (Reamortized)]],$C$6)-Table1578[[#This Row],[Interest]],Table1578[[#This Row],[Beginning Balance]]))),2)))</f>
        <v>0</v>
      </c>
      <c r="I267" s="3">
        <f>_xlfn.SINGLE(IF($C$3="Line of Credit",0,ROUND(MAX(MIN(IF($C$10="No",$E$7,VLOOKUP(Table1578[[#This Row],[Period]],Forecast!$H$2:$L$1048576,4,FALSE))*Table1578[[#This Row],[Beginning Balance]],Table1578[[#This Row],[Beginning Balance]]-Table1578[[#This Row],[Principal]]),0),2)))</f>
        <v>0</v>
      </c>
      <c r="J267" s="3">
        <f>ROUND(MIN(Table1578[[#This Row],[Beginning Balance]]*IF($C$8="No",$E$3,VLOOKUP(Table1578[[#This Row],[Period]],Forecast!$H$2:$L$1048576,2,FALSE)),Table1578[[#This Row],[Beginning Balance]]-Table1578[[#This Row],[Principal]]-Table1578[[#This Row],[Prepayments]]),2)</f>
        <v>0</v>
      </c>
      <c r="K267" s="3">
        <f>ROUND(Table1578[[#This Row],[Defaulted Principal]]*IF($C$9="No",$E$4,VLOOKUP(Table1578[[#This Row],[Period]],Forecast!$H$2:$L$1048576,3,FALSE)),2)</f>
        <v>0</v>
      </c>
      <c r="L267" s="2">
        <f>Table1578[[#This Row],[Period]]+$E$9</f>
        <v>263</v>
      </c>
      <c r="M267" s="3">
        <f>Table1578[[#This Row],[Defaulted Principal]]-Table1578[[#This Row],[Estimated Loss]]</f>
        <v>0</v>
      </c>
      <c r="N267" s="3">
        <f>IFERROR(VLOOKUP(Table1578[[#This Row],[Period]],$L$16:$M$385,2,FALSE),0)</f>
        <v>0</v>
      </c>
      <c r="O267" s="3">
        <f>Table1578[[#This Row],[Beginning Balance]]-Table1578[[#This Row],[Principal]]-Table1578[[#This Row],[Prepayments]]-Table1578[[#This Row],[Defaulted Principal]]</f>
        <v>0</v>
      </c>
      <c r="P267" s="3">
        <f>Table1578[[#This Row],[Principal]]+Table1578[[#This Row],[Interest]]+Table1578[[#This Row],[Prepayments]]+Table1578[[#This Row],[RecoveredAmount]]</f>
        <v>0</v>
      </c>
      <c r="Q267" s="3">
        <f ca="1">ROUND(Table1578[[#This Row],[Cash Flow]]/((1+ActualRateToUse)^(IF(ISNUMBER(SEARCH("Actual",$C$7)),Table1578[[#This Row],[Running Total]]/365,Table1578[[#This Row],[Period]]/12))),2)</f>
        <v>0</v>
      </c>
      <c r="R267" s="2">
        <f>IF(MONTH(Table1578[[#This Row],[Date]])=2,28,DAY(DATE(YEAR(Table1578[[#This Row],[Date]]),MONTH(Table1578[[#This Row],[Date]])+1,1)-1))</f>
        <v>31</v>
      </c>
      <c r="S267" s="2">
        <f ca="1">SUM(OFFSET(Table1578[[#Headers],[Days in month]],1,0):Table1578[[#This Row],[Days in month]])</f>
        <v>7635</v>
      </c>
      <c r="T267" s="37">
        <f>InterestRate*AmortizationMultiplier*IF(ISNUMBER(SEARCH("Actual",$C$7)),Table1578[[#This Row],[Days in month]]/365,1/12)</f>
        <v>6.2344444444444444E-3</v>
      </c>
    </row>
    <row r="268" spans="2:20" x14ac:dyDescent="0.2">
      <c r="B268" s="1">
        <f t="shared" si="14"/>
        <v>53508</v>
      </c>
      <c r="C268" s="2">
        <f t="shared" si="12"/>
        <v>252</v>
      </c>
      <c r="D268" s="3">
        <f t="shared" si="11"/>
        <v>0</v>
      </c>
      <c r="E268" s="3">
        <f>ROUND(Table1578[[#This Row],[Beginning Balance]]*Table1578[[#This Row],[Monthly Interest Rate]],2)</f>
        <v>0</v>
      </c>
      <c r="F268" s="3">
        <f t="shared" si="13"/>
        <v>-249</v>
      </c>
      <c r="G268" s="23">
        <f>IFERROR(IF($C$13="No","N/A",IF(Table1578[[#This Row],[Period]]=1,$C$6,PMT(InterestRate*AmortizationMultiplier/12,Table1578[[#This Row],[Am Thru]],-Table1578[[#This Row],[Beginning Balance]]))),0)</f>
        <v>0</v>
      </c>
      <c r="H268" s="3">
        <f>MAX(0,IF(C268=$C$4,D268,ROUND(IF($C$3="Fixed Principal",$C$6-Table1578[[#This Row],[Interest]],IF($C$3="Interest Only",Table1578[[#This Row],[Beginning Balance]]*ROUND(1-(1-IF($C$11="No",$E$8,1))^(1/12),6),MIN(IF($C$13="Yes",Table1578[[#This Row],[Payment Amount (Reamortized)]],$C$6)-Table1578[[#This Row],[Interest]],Table1578[[#This Row],[Beginning Balance]]))),2)))</f>
        <v>0</v>
      </c>
      <c r="I268" s="3">
        <f>_xlfn.SINGLE(IF($C$3="Line of Credit",0,ROUND(MAX(MIN(IF($C$10="No",$E$7,VLOOKUP(Table1578[[#This Row],[Period]],Forecast!$H$2:$L$1048576,4,FALSE))*Table1578[[#This Row],[Beginning Balance]],Table1578[[#This Row],[Beginning Balance]]-Table1578[[#This Row],[Principal]]),0),2)))</f>
        <v>0</v>
      </c>
      <c r="J268" s="3">
        <f>ROUND(MIN(Table1578[[#This Row],[Beginning Balance]]*IF($C$8="No",$E$3,VLOOKUP(Table1578[[#This Row],[Period]],Forecast!$H$2:$L$1048576,2,FALSE)),Table1578[[#This Row],[Beginning Balance]]-Table1578[[#This Row],[Principal]]-Table1578[[#This Row],[Prepayments]]),2)</f>
        <v>0</v>
      </c>
      <c r="K268" s="3">
        <f>ROUND(Table1578[[#This Row],[Defaulted Principal]]*IF($C$9="No",$E$4,VLOOKUP(Table1578[[#This Row],[Period]],Forecast!$H$2:$L$1048576,3,FALSE)),2)</f>
        <v>0</v>
      </c>
      <c r="L268" s="2">
        <f>Table1578[[#This Row],[Period]]+$E$9</f>
        <v>264</v>
      </c>
      <c r="M268" s="3">
        <f>Table1578[[#This Row],[Defaulted Principal]]-Table1578[[#This Row],[Estimated Loss]]</f>
        <v>0</v>
      </c>
      <c r="N268" s="3">
        <f>IFERROR(VLOOKUP(Table1578[[#This Row],[Period]],$L$16:$M$385,2,FALSE),0)</f>
        <v>0</v>
      </c>
      <c r="O268" s="3">
        <f>Table1578[[#This Row],[Beginning Balance]]-Table1578[[#This Row],[Principal]]-Table1578[[#This Row],[Prepayments]]-Table1578[[#This Row],[Defaulted Principal]]</f>
        <v>0</v>
      </c>
      <c r="P268" s="3">
        <f>Table1578[[#This Row],[Principal]]+Table1578[[#This Row],[Interest]]+Table1578[[#This Row],[Prepayments]]+Table1578[[#This Row],[RecoveredAmount]]</f>
        <v>0</v>
      </c>
      <c r="Q268" s="3">
        <f ca="1">ROUND(Table1578[[#This Row],[Cash Flow]]/((1+ActualRateToUse)^(IF(ISNUMBER(SEARCH("Actual",$C$7)),Table1578[[#This Row],[Running Total]]/365,Table1578[[#This Row],[Period]]/12))),2)</f>
        <v>0</v>
      </c>
      <c r="R268" s="2">
        <f>IF(MONTH(Table1578[[#This Row],[Date]])=2,28,DAY(DATE(YEAR(Table1578[[#This Row],[Date]]),MONTH(Table1578[[#This Row],[Date]])+1,1)-1))</f>
        <v>30</v>
      </c>
      <c r="S268" s="2">
        <f ca="1">SUM(OFFSET(Table1578[[#Headers],[Days in month]],1,0):Table1578[[#This Row],[Days in month]])</f>
        <v>7665</v>
      </c>
      <c r="T268" s="37">
        <f>InterestRate*AmortizationMultiplier*IF(ISNUMBER(SEARCH("Actual",$C$7)),Table1578[[#This Row],[Days in month]]/365,1/12)</f>
        <v>6.0333333333333333E-3</v>
      </c>
    </row>
    <row r="269" spans="2:20" x14ac:dyDescent="0.2">
      <c r="B269" s="1">
        <f t="shared" si="14"/>
        <v>53539</v>
      </c>
      <c r="C269" s="2">
        <f t="shared" si="12"/>
        <v>253</v>
      </c>
      <c r="D269" s="3">
        <f t="shared" si="11"/>
        <v>0</v>
      </c>
      <c r="E269" s="3">
        <f>ROUND(Table1578[[#This Row],[Beginning Balance]]*Table1578[[#This Row],[Monthly Interest Rate]],2)</f>
        <v>0</v>
      </c>
      <c r="F269" s="3">
        <f t="shared" si="13"/>
        <v>-250</v>
      </c>
      <c r="G269" s="23">
        <f>IFERROR(IF($C$13="No","N/A",IF(Table1578[[#This Row],[Period]]=1,$C$6,PMT(InterestRate*AmortizationMultiplier/12,Table1578[[#This Row],[Am Thru]],-Table1578[[#This Row],[Beginning Balance]]))),0)</f>
        <v>0</v>
      </c>
      <c r="H269" s="3">
        <f>MAX(0,IF(C269=$C$4,D269,ROUND(IF($C$3="Fixed Principal",$C$6-Table1578[[#This Row],[Interest]],IF($C$3="Interest Only",Table1578[[#This Row],[Beginning Balance]]*ROUND(1-(1-IF($C$11="No",$E$8,1))^(1/12),6),MIN(IF($C$13="Yes",Table1578[[#This Row],[Payment Amount (Reamortized)]],$C$6)-Table1578[[#This Row],[Interest]],Table1578[[#This Row],[Beginning Balance]]))),2)))</f>
        <v>0</v>
      </c>
      <c r="I269" s="3">
        <f>_xlfn.SINGLE(IF($C$3="Line of Credit",0,ROUND(MAX(MIN(IF($C$10="No",$E$7,VLOOKUP(Table1578[[#This Row],[Period]],Forecast!$H$2:$L$1048576,4,FALSE))*Table1578[[#This Row],[Beginning Balance]],Table1578[[#This Row],[Beginning Balance]]-Table1578[[#This Row],[Principal]]),0),2)))</f>
        <v>0</v>
      </c>
      <c r="J269" s="3">
        <f>ROUND(MIN(Table1578[[#This Row],[Beginning Balance]]*IF($C$8="No",$E$3,VLOOKUP(Table1578[[#This Row],[Period]],Forecast!$H$2:$L$1048576,2,FALSE)),Table1578[[#This Row],[Beginning Balance]]-Table1578[[#This Row],[Principal]]-Table1578[[#This Row],[Prepayments]]),2)</f>
        <v>0</v>
      </c>
      <c r="K269" s="3">
        <f>ROUND(Table1578[[#This Row],[Defaulted Principal]]*IF($C$9="No",$E$4,VLOOKUP(Table1578[[#This Row],[Period]],Forecast!$H$2:$L$1048576,3,FALSE)),2)</f>
        <v>0</v>
      </c>
      <c r="L269" s="2">
        <f>Table1578[[#This Row],[Period]]+$E$9</f>
        <v>265</v>
      </c>
      <c r="M269" s="3">
        <f>Table1578[[#This Row],[Defaulted Principal]]-Table1578[[#This Row],[Estimated Loss]]</f>
        <v>0</v>
      </c>
      <c r="N269" s="3">
        <f>IFERROR(VLOOKUP(Table1578[[#This Row],[Period]],$L$16:$M$385,2,FALSE),0)</f>
        <v>0</v>
      </c>
      <c r="O269" s="3">
        <f>Table1578[[#This Row],[Beginning Balance]]-Table1578[[#This Row],[Principal]]-Table1578[[#This Row],[Prepayments]]-Table1578[[#This Row],[Defaulted Principal]]</f>
        <v>0</v>
      </c>
      <c r="P269" s="3">
        <f>Table1578[[#This Row],[Principal]]+Table1578[[#This Row],[Interest]]+Table1578[[#This Row],[Prepayments]]+Table1578[[#This Row],[RecoveredAmount]]</f>
        <v>0</v>
      </c>
      <c r="Q269" s="3">
        <f ca="1">ROUND(Table1578[[#This Row],[Cash Flow]]/((1+ActualRateToUse)^(IF(ISNUMBER(SEARCH("Actual",$C$7)),Table1578[[#This Row],[Running Total]]/365,Table1578[[#This Row],[Period]]/12))),2)</f>
        <v>0</v>
      </c>
      <c r="R269" s="2">
        <f>IF(MONTH(Table1578[[#This Row],[Date]])=2,28,DAY(DATE(YEAR(Table1578[[#This Row],[Date]]),MONTH(Table1578[[#This Row],[Date]])+1,1)-1))</f>
        <v>31</v>
      </c>
      <c r="S269" s="2">
        <f ca="1">SUM(OFFSET(Table1578[[#Headers],[Days in month]],1,0):Table1578[[#This Row],[Days in month]])</f>
        <v>7696</v>
      </c>
      <c r="T269" s="37">
        <f>InterestRate*AmortizationMultiplier*IF(ISNUMBER(SEARCH("Actual",$C$7)),Table1578[[#This Row],[Days in month]]/365,1/12)</f>
        <v>6.2344444444444444E-3</v>
      </c>
    </row>
    <row r="270" spans="2:20" x14ac:dyDescent="0.2">
      <c r="B270" s="1">
        <f t="shared" si="14"/>
        <v>53570</v>
      </c>
      <c r="C270" s="2">
        <f t="shared" si="12"/>
        <v>254</v>
      </c>
      <c r="D270" s="3">
        <f t="shared" si="11"/>
        <v>0</v>
      </c>
      <c r="E270" s="3">
        <f>ROUND(Table1578[[#This Row],[Beginning Balance]]*Table1578[[#This Row],[Monthly Interest Rate]],2)</f>
        <v>0</v>
      </c>
      <c r="F270" s="3">
        <f t="shared" si="13"/>
        <v>-251</v>
      </c>
      <c r="G270" s="23">
        <f>IFERROR(IF($C$13="No","N/A",IF(Table1578[[#This Row],[Period]]=1,$C$6,PMT(InterestRate*AmortizationMultiplier/12,Table1578[[#This Row],[Am Thru]],-Table1578[[#This Row],[Beginning Balance]]))),0)</f>
        <v>0</v>
      </c>
      <c r="H270" s="3">
        <f>MAX(0,IF(C270=$C$4,D270,ROUND(IF($C$3="Fixed Principal",$C$6-Table1578[[#This Row],[Interest]],IF($C$3="Interest Only",Table1578[[#This Row],[Beginning Balance]]*ROUND(1-(1-IF($C$11="No",$E$8,1))^(1/12),6),MIN(IF($C$13="Yes",Table1578[[#This Row],[Payment Amount (Reamortized)]],$C$6)-Table1578[[#This Row],[Interest]],Table1578[[#This Row],[Beginning Balance]]))),2)))</f>
        <v>0</v>
      </c>
      <c r="I270" s="3">
        <f>_xlfn.SINGLE(IF($C$3="Line of Credit",0,ROUND(MAX(MIN(IF($C$10="No",$E$7,VLOOKUP(Table1578[[#This Row],[Period]],Forecast!$H$2:$L$1048576,4,FALSE))*Table1578[[#This Row],[Beginning Balance]],Table1578[[#This Row],[Beginning Balance]]-Table1578[[#This Row],[Principal]]),0),2)))</f>
        <v>0</v>
      </c>
      <c r="J270" s="3">
        <f>ROUND(MIN(Table1578[[#This Row],[Beginning Balance]]*IF($C$8="No",$E$3,VLOOKUP(Table1578[[#This Row],[Period]],Forecast!$H$2:$L$1048576,2,FALSE)),Table1578[[#This Row],[Beginning Balance]]-Table1578[[#This Row],[Principal]]-Table1578[[#This Row],[Prepayments]]),2)</f>
        <v>0</v>
      </c>
      <c r="K270" s="3">
        <f>ROUND(Table1578[[#This Row],[Defaulted Principal]]*IF($C$9="No",$E$4,VLOOKUP(Table1578[[#This Row],[Period]],Forecast!$H$2:$L$1048576,3,FALSE)),2)</f>
        <v>0</v>
      </c>
      <c r="L270" s="2">
        <f>Table1578[[#This Row],[Period]]+$E$9</f>
        <v>266</v>
      </c>
      <c r="M270" s="3">
        <f>Table1578[[#This Row],[Defaulted Principal]]-Table1578[[#This Row],[Estimated Loss]]</f>
        <v>0</v>
      </c>
      <c r="N270" s="3">
        <f>IFERROR(VLOOKUP(Table1578[[#This Row],[Period]],$L$16:$M$385,2,FALSE),0)</f>
        <v>0</v>
      </c>
      <c r="O270" s="3">
        <f>Table1578[[#This Row],[Beginning Balance]]-Table1578[[#This Row],[Principal]]-Table1578[[#This Row],[Prepayments]]-Table1578[[#This Row],[Defaulted Principal]]</f>
        <v>0</v>
      </c>
      <c r="P270" s="3">
        <f>Table1578[[#This Row],[Principal]]+Table1578[[#This Row],[Interest]]+Table1578[[#This Row],[Prepayments]]+Table1578[[#This Row],[RecoveredAmount]]</f>
        <v>0</v>
      </c>
      <c r="Q270" s="3">
        <f ca="1">ROUND(Table1578[[#This Row],[Cash Flow]]/((1+ActualRateToUse)^(IF(ISNUMBER(SEARCH("Actual",$C$7)),Table1578[[#This Row],[Running Total]]/365,Table1578[[#This Row],[Period]]/12))),2)</f>
        <v>0</v>
      </c>
      <c r="R270" s="2">
        <f>IF(MONTH(Table1578[[#This Row],[Date]])=2,28,DAY(DATE(YEAR(Table1578[[#This Row],[Date]]),MONTH(Table1578[[#This Row],[Date]])+1,1)-1))</f>
        <v>31</v>
      </c>
      <c r="S270" s="2">
        <f ca="1">SUM(OFFSET(Table1578[[#Headers],[Days in month]],1,0):Table1578[[#This Row],[Days in month]])</f>
        <v>7727</v>
      </c>
      <c r="T270" s="37">
        <f>InterestRate*AmortizationMultiplier*IF(ISNUMBER(SEARCH("Actual",$C$7)),Table1578[[#This Row],[Days in month]]/365,1/12)</f>
        <v>6.2344444444444444E-3</v>
      </c>
    </row>
    <row r="271" spans="2:20" x14ac:dyDescent="0.2">
      <c r="B271" s="1">
        <f t="shared" si="14"/>
        <v>53600</v>
      </c>
      <c r="C271" s="2">
        <f t="shared" si="12"/>
        <v>255</v>
      </c>
      <c r="D271" s="3">
        <f t="shared" si="11"/>
        <v>0</v>
      </c>
      <c r="E271" s="3">
        <f>ROUND(Table1578[[#This Row],[Beginning Balance]]*Table1578[[#This Row],[Monthly Interest Rate]],2)</f>
        <v>0</v>
      </c>
      <c r="F271" s="3">
        <f t="shared" si="13"/>
        <v>-252</v>
      </c>
      <c r="G271" s="23">
        <f>IFERROR(IF($C$13="No","N/A",IF(Table1578[[#This Row],[Period]]=1,$C$6,PMT(InterestRate*AmortizationMultiplier/12,Table1578[[#This Row],[Am Thru]],-Table1578[[#This Row],[Beginning Balance]]))),0)</f>
        <v>0</v>
      </c>
      <c r="H271" s="3">
        <f>MAX(0,IF(C271=$C$4,D271,ROUND(IF($C$3="Fixed Principal",$C$6-Table1578[[#This Row],[Interest]],IF($C$3="Interest Only",Table1578[[#This Row],[Beginning Balance]]*ROUND(1-(1-IF($C$11="No",$E$8,1))^(1/12),6),MIN(IF($C$13="Yes",Table1578[[#This Row],[Payment Amount (Reamortized)]],$C$6)-Table1578[[#This Row],[Interest]],Table1578[[#This Row],[Beginning Balance]]))),2)))</f>
        <v>0</v>
      </c>
      <c r="I271" s="3">
        <f>_xlfn.SINGLE(IF($C$3="Line of Credit",0,ROUND(MAX(MIN(IF($C$10="No",$E$7,VLOOKUP(Table1578[[#This Row],[Period]],Forecast!$H$2:$L$1048576,4,FALSE))*Table1578[[#This Row],[Beginning Balance]],Table1578[[#This Row],[Beginning Balance]]-Table1578[[#This Row],[Principal]]),0),2)))</f>
        <v>0</v>
      </c>
      <c r="J271" s="3">
        <f>ROUND(MIN(Table1578[[#This Row],[Beginning Balance]]*IF($C$8="No",$E$3,VLOOKUP(Table1578[[#This Row],[Period]],Forecast!$H$2:$L$1048576,2,FALSE)),Table1578[[#This Row],[Beginning Balance]]-Table1578[[#This Row],[Principal]]-Table1578[[#This Row],[Prepayments]]),2)</f>
        <v>0</v>
      </c>
      <c r="K271" s="3">
        <f>ROUND(Table1578[[#This Row],[Defaulted Principal]]*IF($C$9="No",$E$4,VLOOKUP(Table1578[[#This Row],[Period]],Forecast!$H$2:$L$1048576,3,FALSE)),2)</f>
        <v>0</v>
      </c>
      <c r="L271" s="2">
        <f>Table1578[[#This Row],[Period]]+$E$9</f>
        <v>267</v>
      </c>
      <c r="M271" s="3">
        <f>Table1578[[#This Row],[Defaulted Principal]]-Table1578[[#This Row],[Estimated Loss]]</f>
        <v>0</v>
      </c>
      <c r="N271" s="3">
        <f>IFERROR(VLOOKUP(Table1578[[#This Row],[Period]],$L$16:$M$385,2,FALSE),0)</f>
        <v>0</v>
      </c>
      <c r="O271" s="3">
        <f>Table1578[[#This Row],[Beginning Balance]]-Table1578[[#This Row],[Principal]]-Table1578[[#This Row],[Prepayments]]-Table1578[[#This Row],[Defaulted Principal]]</f>
        <v>0</v>
      </c>
      <c r="P271" s="3">
        <f>Table1578[[#This Row],[Principal]]+Table1578[[#This Row],[Interest]]+Table1578[[#This Row],[Prepayments]]+Table1578[[#This Row],[RecoveredAmount]]</f>
        <v>0</v>
      </c>
      <c r="Q271" s="3">
        <f ca="1">ROUND(Table1578[[#This Row],[Cash Flow]]/((1+ActualRateToUse)^(IF(ISNUMBER(SEARCH("Actual",$C$7)),Table1578[[#This Row],[Running Total]]/365,Table1578[[#This Row],[Period]]/12))),2)</f>
        <v>0</v>
      </c>
      <c r="R271" s="2">
        <f>IF(MONTH(Table1578[[#This Row],[Date]])=2,28,DAY(DATE(YEAR(Table1578[[#This Row],[Date]]),MONTH(Table1578[[#This Row],[Date]])+1,1)-1))</f>
        <v>30</v>
      </c>
      <c r="S271" s="2">
        <f ca="1">SUM(OFFSET(Table1578[[#Headers],[Days in month]],1,0):Table1578[[#This Row],[Days in month]])</f>
        <v>7757</v>
      </c>
      <c r="T271" s="37">
        <f>InterestRate*AmortizationMultiplier*IF(ISNUMBER(SEARCH("Actual",$C$7)),Table1578[[#This Row],[Days in month]]/365,1/12)</f>
        <v>6.0333333333333333E-3</v>
      </c>
    </row>
    <row r="272" spans="2:20" x14ac:dyDescent="0.2">
      <c r="B272" s="1">
        <f t="shared" si="14"/>
        <v>53631</v>
      </c>
      <c r="C272" s="2">
        <f t="shared" si="12"/>
        <v>256</v>
      </c>
      <c r="D272" s="3">
        <f t="shared" si="11"/>
        <v>0</v>
      </c>
      <c r="E272" s="3">
        <f>ROUND(Table1578[[#This Row],[Beginning Balance]]*Table1578[[#This Row],[Monthly Interest Rate]],2)</f>
        <v>0</v>
      </c>
      <c r="F272" s="3">
        <f t="shared" si="13"/>
        <v>-253</v>
      </c>
      <c r="G272" s="23">
        <f>IFERROR(IF($C$13="No","N/A",IF(Table1578[[#This Row],[Period]]=1,$C$6,PMT(InterestRate*AmortizationMultiplier/12,Table1578[[#This Row],[Am Thru]],-Table1578[[#This Row],[Beginning Balance]]))),0)</f>
        <v>0</v>
      </c>
      <c r="H272" s="3">
        <f>MAX(0,IF(C272=$C$4,D272,ROUND(IF($C$3="Fixed Principal",$C$6-Table1578[[#This Row],[Interest]],IF($C$3="Interest Only",Table1578[[#This Row],[Beginning Balance]]*ROUND(1-(1-IF($C$11="No",$E$8,1))^(1/12),6),MIN(IF($C$13="Yes",Table1578[[#This Row],[Payment Amount (Reamortized)]],$C$6)-Table1578[[#This Row],[Interest]],Table1578[[#This Row],[Beginning Balance]]))),2)))</f>
        <v>0</v>
      </c>
      <c r="I272" s="3">
        <f>_xlfn.SINGLE(IF($C$3="Line of Credit",0,ROUND(MAX(MIN(IF($C$10="No",$E$7,VLOOKUP(Table1578[[#This Row],[Period]],Forecast!$H$2:$L$1048576,4,FALSE))*Table1578[[#This Row],[Beginning Balance]],Table1578[[#This Row],[Beginning Balance]]-Table1578[[#This Row],[Principal]]),0),2)))</f>
        <v>0</v>
      </c>
      <c r="J272" s="3">
        <f>ROUND(MIN(Table1578[[#This Row],[Beginning Balance]]*IF($C$8="No",$E$3,VLOOKUP(Table1578[[#This Row],[Period]],Forecast!$H$2:$L$1048576,2,FALSE)),Table1578[[#This Row],[Beginning Balance]]-Table1578[[#This Row],[Principal]]-Table1578[[#This Row],[Prepayments]]),2)</f>
        <v>0</v>
      </c>
      <c r="K272" s="3">
        <f>ROUND(Table1578[[#This Row],[Defaulted Principal]]*IF($C$9="No",$E$4,VLOOKUP(Table1578[[#This Row],[Period]],Forecast!$H$2:$L$1048576,3,FALSE)),2)</f>
        <v>0</v>
      </c>
      <c r="L272" s="2">
        <f>Table1578[[#This Row],[Period]]+$E$9</f>
        <v>268</v>
      </c>
      <c r="M272" s="3">
        <f>Table1578[[#This Row],[Defaulted Principal]]-Table1578[[#This Row],[Estimated Loss]]</f>
        <v>0</v>
      </c>
      <c r="N272" s="3">
        <f>IFERROR(VLOOKUP(Table1578[[#This Row],[Period]],$L$16:$M$385,2,FALSE),0)</f>
        <v>0</v>
      </c>
      <c r="O272" s="3">
        <f>Table1578[[#This Row],[Beginning Balance]]-Table1578[[#This Row],[Principal]]-Table1578[[#This Row],[Prepayments]]-Table1578[[#This Row],[Defaulted Principal]]</f>
        <v>0</v>
      </c>
      <c r="P272" s="3">
        <f>Table1578[[#This Row],[Principal]]+Table1578[[#This Row],[Interest]]+Table1578[[#This Row],[Prepayments]]+Table1578[[#This Row],[RecoveredAmount]]</f>
        <v>0</v>
      </c>
      <c r="Q272" s="3">
        <f ca="1">ROUND(Table1578[[#This Row],[Cash Flow]]/((1+ActualRateToUse)^(IF(ISNUMBER(SEARCH("Actual",$C$7)),Table1578[[#This Row],[Running Total]]/365,Table1578[[#This Row],[Period]]/12))),2)</f>
        <v>0</v>
      </c>
      <c r="R272" s="2">
        <f>IF(MONTH(Table1578[[#This Row],[Date]])=2,28,DAY(DATE(YEAR(Table1578[[#This Row],[Date]]),MONTH(Table1578[[#This Row],[Date]])+1,1)-1))</f>
        <v>31</v>
      </c>
      <c r="S272" s="2">
        <f ca="1">SUM(OFFSET(Table1578[[#Headers],[Days in month]],1,0):Table1578[[#This Row],[Days in month]])</f>
        <v>7788</v>
      </c>
      <c r="T272" s="37">
        <f>InterestRate*AmortizationMultiplier*IF(ISNUMBER(SEARCH("Actual",$C$7)),Table1578[[#This Row],[Days in month]]/365,1/12)</f>
        <v>6.2344444444444444E-3</v>
      </c>
    </row>
    <row r="273" spans="2:20" x14ac:dyDescent="0.2">
      <c r="B273" s="1">
        <f t="shared" si="14"/>
        <v>53661</v>
      </c>
      <c r="C273" s="2">
        <f t="shared" si="12"/>
        <v>257</v>
      </c>
      <c r="D273" s="3">
        <f t="shared" si="11"/>
        <v>0</v>
      </c>
      <c r="E273" s="3">
        <f>ROUND(Table1578[[#This Row],[Beginning Balance]]*Table1578[[#This Row],[Monthly Interest Rate]],2)</f>
        <v>0</v>
      </c>
      <c r="F273" s="3">
        <f t="shared" si="13"/>
        <v>-254</v>
      </c>
      <c r="G273" s="23">
        <f>IFERROR(IF($C$13="No","N/A",IF(Table1578[[#This Row],[Period]]=1,$C$6,PMT(InterestRate*AmortizationMultiplier/12,Table1578[[#This Row],[Am Thru]],-Table1578[[#This Row],[Beginning Balance]]))),0)</f>
        <v>0</v>
      </c>
      <c r="H273" s="3">
        <f>MAX(0,IF(C273=$C$4,D273,ROUND(IF($C$3="Fixed Principal",$C$6-Table1578[[#This Row],[Interest]],IF($C$3="Interest Only",Table1578[[#This Row],[Beginning Balance]]*ROUND(1-(1-IF($C$11="No",$E$8,1))^(1/12),6),MIN(IF($C$13="Yes",Table1578[[#This Row],[Payment Amount (Reamortized)]],$C$6)-Table1578[[#This Row],[Interest]],Table1578[[#This Row],[Beginning Balance]]))),2)))</f>
        <v>0</v>
      </c>
      <c r="I273" s="3">
        <f>_xlfn.SINGLE(IF($C$3="Line of Credit",0,ROUND(MAX(MIN(IF($C$10="No",$E$7,VLOOKUP(Table1578[[#This Row],[Period]],Forecast!$H$2:$L$1048576,4,FALSE))*Table1578[[#This Row],[Beginning Balance]],Table1578[[#This Row],[Beginning Balance]]-Table1578[[#This Row],[Principal]]),0),2)))</f>
        <v>0</v>
      </c>
      <c r="J273" s="3">
        <f>ROUND(MIN(Table1578[[#This Row],[Beginning Balance]]*IF($C$8="No",$E$3,VLOOKUP(Table1578[[#This Row],[Period]],Forecast!$H$2:$L$1048576,2,FALSE)),Table1578[[#This Row],[Beginning Balance]]-Table1578[[#This Row],[Principal]]-Table1578[[#This Row],[Prepayments]]),2)</f>
        <v>0</v>
      </c>
      <c r="K273" s="3">
        <f>ROUND(Table1578[[#This Row],[Defaulted Principal]]*IF($C$9="No",$E$4,VLOOKUP(Table1578[[#This Row],[Period]],Forecast!$H$2:$L$1048576,3,FALSE)),2)</f>
        <v>0</v>
      </c>
      <c r="L273" s="2">
        <f>Table1578[[#This Row],[Period]]+$E$9</f>
        <v>269</v>
      </c>
      <c r="M273" s="3">
        <f>Table1578[[#This Row],[Defaulted Principal]]-Table1578[[#This Row],[Estimated Loss]]</f>
        <v>0</v>
      </c>
      <c r="N273" s="3">
        <f>IFERROR(VLOOKUP(Table1578[[#This Row],[Period]],$L$16:$M$385,2,FALSE),0)</f>
        <v>0</v>
      </c>
      <c r="O273" s="3">
        <f>Table1578[[#This Row],[Beginning Balance]]-Table1578[[#This Row],[Principal]]-Table1578[[#This Row],[Prepayments]]-Table1578[[#This Row],[Defaulted Principal]]</f>
        <v>0</v>
      </c>
      <c r="P273" s="3">
        <f>Table1578[[#This Row],[Principal]]+Table1578[[#This Row],[Interest]]+Table1578[[#This Row],[Prepayments]]+Table1578[[#This Row],[RecoveredAmount]]</f>
        <v>0</v>
      </c>
      <c r="Q273" s="3">
        <f ca="1">ROUND(Table1578[[#This Row],[Cash Flow]]/((1+ActualRateToUse)^(IF(ISNUMBER(SEARCH("Actual",$C$7)),Table1578[[#This Row],[Running Total]]/365,Table1578[[#This Row],[Period]]/12))),2)</f>
        <v>0</v>
      </c>
      <c r="R273" s="2">
        <f>IF(MONTH(Table1578[[#This Row],[Date]])=2,28,DAY(DATE(YEAR(Table1578[[#This Row],[Date]]),MONTH(Table1578[[#This Row],[Date]])+1,1)-1))</f>
        <v>30</v>
      </c>
      <c r="S273" s="2">
        <f ca="1">SUM(OFFSET(Table1578[[#Headers],[Days in month]],1,0):Table1578[[#This Row],[Days in month]])</f>
        <v>7818</v>
      </c>
      <c r="T273" s="37">
        <f>InterestRate*AmortizationMultiplier*IF(ISNUMBER(SEARCH("Actual",$C$7)),Table1578[[#This Row],[Days in month]]/365,1/12)</f>
        <v>6.0333333333333333E-3</v>
      </c>
    </row>
    <row r="274" spans="2:20" x14ac:dyDescent="0.2">
      <c r="B274" s="1">
        <f t="shared" si="14"/>
        <v>53692</v>
      </c>
      <c r="C274" s="2">
        <f t="shared" si="12"/>
        <v>258</v>
      </c>
      <c r="D274" s="3">
        <f t="shared" ref="D274:D337" si="15">O273</f>
        <v>0</v>
      </c>
      <c r="E274" s="3">
        <f>ROUND(Table1578[[#This Row],[Beginning Balance]]*Table1578[[#This Row],[Monthly Interest Rate]],2)</f>
        <v>0</v>
      </c>
      <c r="F274" s="3">
        <f t="shared" si="13"/>
        <v>-255</v>
      </c>
      <c r="G274" s="23">
        <f>IFERROR(IF($C$13="No","N/A",IF(Table1578[[#This Row],[Period]]=1,$C$6,PMT(InterestRate*AmortizationMultiplier/12,Table1578[[#This Row],[Am Thru]],-Table1578[[#This Row],[Beginning Balance]]))),0)</f>
        <v>0</v>
      </c>
      <c r="H274" s="3">
        <f>MAX(0,IF(C274=$C$4,D274,ROUND(IF($C$3="Fixed Principal",$C$6-Table1578[[#This Row],[Interest]],IF($C$3="Interest Only",Table1578[[#This Row],[Beginning Balance]]*ROUND(1-(1-IF($C$11="No",$E$8,1))^(1/12),6),MIN(IF($C$13="Yes",Table1578[[#This Row],[Payment Amount (Reamortized)]],$C$6)-Table1578[[#This Row],[Interest]],Table1578[[#This Row],[Beginning Balance]]))),2)))</f>
        <v>0</v>
      </c>
      <c r="I274" s="3">
        <f>_xlfn.SINGLE(IF($C$3="Line of Credit",0,ROUND(MAX(MIN(IF($C$10="No",$E$7,VLOOKUP(Table1578[[#This Row],[Period]],Forecast!$H$2:$L$1048576,4,FALSE))*Table1578[[#This Row],[Beginning Balance]],Table1578[[#This Row],[Beginning Balance]]-Table1578[[#This Row],[Principal]]),0),2)))</f>
        <v>0</v>
      </c>
      <c r="J274" s="3">
        <f>ROUND(MIN(Table1578[[#This Row],[Beginning Balance]]*IF($C$8="No",$E$3,VLOOKUP(Table1578[[#This Row],[Period]],Forecast!$H$2:$L$1048576,2,FALSE)),Table1578[[#This Row],[Beginning Balance]]-Table1578[[#This Row],[Principal]]-Table1578[[#This Row],[Prepayments]]),2)</f>
        <v>0</v>
      </c>
      <c r="K274" s="3">
        <f>ROUND(Table1578[[#This Row],[Defaulted Principal]]*IF($C$9="No",$E$4,VLOOKUP(Table1578[[#This Row],[Period]],Forecast!$H$2:$L$1048576,3,FALSE)),2)</f>
        <v>0</v>
      </c>
      <c r="L274" s="2">
        <f>Table1578[[#This Row],[Period]]+$E$9</f>
        <v>270</v>
      </c>
      <c r="M274" s="3">
        <f>Table1578[[#This Row],[Defaulted Principal]]-Table1578[[#This Row],[Estimated Loss]]</f>
        <v>0</v>
      </c>
      <c r="N274" s="3">
        <f>IFERROR(VLOOKUP(Table1578[[#This Row],[Period]],$L$16:$M$385,2,FALSE),0)</f>
        <v>0</v>
      </c>
      <c r="O274" s="3">
        <f>Table1578[[#This Row],[Beginning Balance]]-Table1578[[#This Row],[Principal]]-Table1578[[#This Row],[Prepayments]]-Table1578[[#This Row],[Defaulted Principal]]</f>
        <v>0</v>
      </c>
      <c r="P274" s="3">
        <f>Table1578[[#This Row],[Principal]]+Table1578[[#This Row],[Interest]]+Table1578[[#This Row],[Prepayments]]+Table1578[[#This Row],[RecoveredAmount]]</f>
        <v>0</v>
      </c>
      <c r="Q274" s="3">
        <f ca="1">ROUND(Table1578[[#This Row],[Cash Flow]]/((1+ActualRateToUse)^(IF(ISNUMBER(SEARCH("Actual",$C$7)),Table1578[[#This Row],[Running Total]]/365,Table1578[[#This Row],[Period]]/12))),2)</f>
        <v>0</v>
      </c>
      <c r="R274" s="2">
        <f>IF(MONTH(Table1578[[#This Row],[Date]])=2,28,DAY(DATE(YEAR(Table1578[[#This Row],[Date]]),MONTH(Table1578[[#This Row],[Date]])+1,1)-1))</f>
        <v>31</v>
      </c>
      <c r="S274" s="2">
        <f ca="1">SUM(OFFSET(Table1578[[#Headers],[Days in month]],1,0):Table1578[[#This Row],[Days in month]])</f>
        <v>7849</v>
      </c>
      <c r="T274" s="37">
        <f>InterestRate*AmortizationMultiplier*IF(ISNUMBER(SEARCH("Actual",$C$7)),Table1578[[#This Row],[Days in month]]/365,1/12)</f>
        <v>6.2344444444444444E-3</v>
      </c>
    </row>
    <row r="275" spans="2:20" x14ac:dyDescent="0.2">
      <c r="B275" s="1">
        <f t="shared" si="14"/>
        <v>53723</v>
      </c>
      <c r="C275" s="2">
        <f t="shared" ref="C275:C338" si="16">C274+1</f>
        <v>259</v>
      </c>
      <c r="D275" s="3">
        <f t="shared" si="15"/>
        <v>0</v>
      </c>
      <c r="E275" s="3">
        <f>ROUND(Table1578[[#This Row],[Beginning Balance]]*Table1578[[#This Row],[Monthly Interest Rate]],2)</f>
        <v>0</v>
      </c>
      <c r="F275" s="3">
        <f t="shared" ref="F275:F338" si="17">+F274-1</f>
        <v>-256</v>
      </c>
      <c r="G275" s="23">
        <f>IFERROR(IF($C$13="No","N/A",IF(Table1578[[#This Row],[Period]]=1,$C$6,PMT(InterestRate*AmortizationMultiplier/12,Table1578[[#This Row],[Am Thru]],-Table1578[[#This Row],[Beginning Balance]]))),0)</f>
        <v>0</v>
      </c>
      <c r="H275" s="3">
        <f>MAX(0,IF(C275=$C$4,D275,ROUND(IF($C$3="Fixed Principal",$C$6-Table1578[[#This Row],[Interest]],IF($C$3="Interest Only",Table1578[[#This Row],[Beginning Balance]]*ROUND(1-(1-IF($C$11="No",$E$8,1))^(1/12),6),MIN(IF($C$13="Yes",Table1578[[#This Row],[Payment Amount (Reamortized)]],$C$6)-Table1578[[#This Row],[Interest]],Table1578[[#This Row],[Beginning Balance]]))),2)))</f>
        <v>0</v>
      </c>
      <c r="I275" s="3">
        <f>_xlfn.SINGLE(IF($C$3="Line of Credit",0,ROUND(MAX(MIN(IF($C$10="No",$E$7,VLOOKUP(Table1578[[#This Row],[Period]],Forecast!$H$2:$L$1048576,4,FALSE))*Table1578[[#This Row],[Beginning Balance]],Table1578[[#This Row],[Beginning Balance]]-Table1578[[#This Row],[Principal]]),0),2)))</f>
        <v>0</v>
      </c>
      <c r="J275" s="3">
        <f>ROUND(MIN(Table1578[[#This Row],[Beginning Balance]]*IF($C$8="No",$E$3,VLOOKUP(Table1578[[#This Row],[Period]],Forecast!$H$2:$L$1048576,2,FALSE)),Table1578[[#This Row],[Beginning Balance]]-Table1578[[#This Row],[Principal]]-Table1578[[#This Row],[Prepayments]]),2)</f>
        <v>0</v>
      </c>
      <c r="K275" s="3">
        <f>ROUND(Table1578[[#This Row],[Defaulted Principal]]*IF($C$9="No",$E$4,VLOOKUP(Table1578[[#This Row],[Period]],Forecast!$H$2:$L$1048576,3,FALSE)),2)</f>
        <v>0</v>
      </c>
      <c r="L275" s="2">
        <f>Table1578[[#This Row],[Period]]+$E$9</f>
        <v>271</v>
      </c>
      <c r="M275" s="3">
        <f>Table1578[[#This Row],[Defaulted Principal]]-Table1578[[#This Row],[Estimated Loss]]</f>
        <v>0</v>
      </c>
      <c r="N275" s="3">
        <f>IFERROR(VLOOKUP(Table1578[[#This Row],[Period]],$L$16:$M$385,2,FALSE),0)</f>
        <v>0</v>
      </c>
      <c r="O275" s="3">
        <f>Table1578[[#This Row],[Beginning Balance]]-Table1578[[#This Row],[Principal]]-Table1578[[#This Row],[Prepayments]]-Table1578[[#This Row],[Defaulted Principal]]</f>
        <v>0</v>
      </c>
      <c r="P275" s="3">
        <f>Table1578[[#This Row],[Principal]]+Table1578[[#This Row],[Interest]]+Table1578[[#This Row],[Prepayments]]+Table1578[[#This Row],[RecoveredAmount]]</f>
        <v>0</v>
      </c>
      <c r="Q275" s="3">
        <f ca="1">ROUND(Table1578[[#This Row],[Cash Flow]]/((1+ActualRateToUse)^(IF(ISNUMBER(SEARCH("Actual",$C$7)),Table1578[[#This Row],[Running Total]]/365,Table1578[[#This Row],[Period]]/12))),2)</f>
        <v>0</v>
      </c>
      <c r="R275" s="2">
        <f>IF(MONTH(Table1578[[#This Row],[Date]])=2,28,DAY(DATE(YEAR(Table1578[[#This Row],[Date]]),MONTH(Table1578[[#This Row],[Date]])+1,1)-1))</f>
        <v>31</v>
      </c>
      <c r="S275" s="2">
        <f ca="1">SUM(OFFSET(Table1578[[#Headers],[Days in month]],1,0):Table1578[[#This Row],[Days in month]])</f>
        <v>7880</v>
      </c>
      <c r="T275" s="37">
        <f>InterestRate*AmortizationMultiplier*IF(ISNUMBER(SEARCH("Actual",$C$7)),Table1578[[#This Row],[Days in month]]/365,1/12)</f>
        <v>6.2344444444444444E-3</v>
      </c>
    </row>
    <row r="276" spans="2:20" x14ac:dyDescent="0.2">
      <c r="B276" s="1">
        <f t="shared" si="14"/>
        <v>53751</v>
      </c>
      <c r="C276" s="2">
        <f t="shared" si="16"/>
        <v>260</v>
      </c>
      <c r="D276" s="3">
        <f t="shared" si="15"/>
        <v>0</v>
      </c>
      <c r="E276" s="3">
        <f>ROUND(Table1578[[#This Row],[Beginning Balance]]*Table1578[[#This Row],[Monthly Interest Rate]],2)</f>
        <v>0</v>
      </c>
      <c r="F276" s="3">
        <f t="shared" si="17"/>
        <v>-257</v>
      </c>
      <c r="G276" s="23">
        <f>IFERROR(IF($C$13="No","N/A",IF(Table1578[[#This Row],[Period]]=1,$C$6,PMT(InterestRate*AmortizationMultiplier/12,Table1578[[#This Row],[Am Thru]],-Table1578[[#This Row],[Beginning Balance]]))),0)</f>
        <v>0</v>
      </c>
      <c r="H276" s="3">
        <f>MAX(0,IF(C276=$C$4,D276,ROUND(IF($C$3="Fixed Principal",$C$6-Table1578[[#This Row],[Interest]],IF($C$3="Interest Only",Table1578[[#This Row],[Beginning Balance]]*ROUND(1-(1-IF($C$11="No",$E$8,1))^(1/12),6),MIN(IF($C$13="Yes",Table1578[[#This Row],[Payment Amount (Reamortized)]],$C$6)-Table1578[[#This Row],[Interest]],Table1578[[#This Row],[Beginning Balance]]))),2)))</f>
        <v>0</v>
      </c>
      <c r="I276" s="3">
        <f>_xlfn.SINGLE(IF($C$3="Line of Credit",0,ROUND(MAX(MIN(IF($C$10="No",$E$7,VLOOKUP(Table1578[[#This Row],[Period]],Forecast!$H$2:$L$1048576,4,FALSE))*Table1578[[#This Row],[Beginning Balance]],Table1578[[#This Row],[Beginning Balance]]-Table1578[[#This Row],[Principal]]),0),2)))</f>
        <v>0</v>
      </c>
      <c r="J276" s="3">
        <f>ROUND(MIN(Table1578[[#This Row],[Beginning Balance]]*IF($C$8="No",$E$3,VLOOKUP(Table1578[[#This Row],[Period]],Forecast!$H$2:$L$1048576,2,FALSE)),Table1578[[#This Row],[Beginning Balance]]-Table1578[[#This Row],[Principal]]-Table1578[[#This Row],[Prepayments]]),2)</f>
        <v>0</v>
      </c>
      <c r="K276" s="3">
        <f>ROUND(Table1578[[#This Row],[Defaulted Principal]]*IF($C$9="No",$E$4,VLOOKUP(Table1578[[#This Row],[Period]],Forecast!$H$2:$L$1048576,3,FALSE)),2)</f>
        <v>0</v>
      </c>
      <c r="L276" s="2">
        <f>Table1578[[#This Row],[Period]]+$E$9</f>
        <v>272</v>
      </c>
      <c r="M276" s="3">
        <f>Table1578[[#This Row],[Defaulted Principal]]-Table1578[[#This Row],[Estimated Loss]]</f>
        <v>0</v>
      </c>
      <c r="N276" s="3">
        <f>IFERROR(VLOOKUP(Table1578[[#This Row],[Period]],$L$16:$M$385,2,FALSE),0)</f>
        <v>0</v>
      </c>
      <c r="O276" s="3">
        <f>Table1578[[#This Row],[Beginning Balance]]-Table1578[[#This Row],[Principal]]-Table1578[[#This Row],[Prepayments]]-Table1578[[#This Row],[Defaulted Principal]]</f>
        <v>0</v>
      </c>
      <c r="P276" s="3">
        <f>Table1578[[#This Row],[Principal]]+Table1578[[#This Row],[Interest]]+Table1578[[#This Row],[Prepayments]]+Table1578[[#This Row],[RecoveredAmount]]</f>
        <v>0</v>
      </c>
      <c r="Q276" s="3">
        <f ca="1">ROUND(Table1578[[#This Row],[Cash Flow]]/((1+ActualRateToUse)^(IF(ISNUMBER(SEARCH("Actual",$C$7)),Table1578[[#This Row],[Running Total]]/365,Table1578[[#This Row],[Period]]/12))),2)</f>
        <v>0</v>
      </c>
      <c r="R276" s="2">
        <f>IF(MONTH(Table1578[[#This Row],[Date]])=2,28,DAY(DATE(YEAR(Table1578[[#This Row],[Date]]),MONTH(Table1578[[#This Row],[Date]])+1,1)-1))</f>
        <v>28</v>
      </c>
      <c r="S276" s="2">
        <f ca="1">SUM(OFFSET(Table1578[[#Headers],[Days in month]],1,0):Table1578[[#This Row],[Days in month]])</f>
        <v>7908</v>
      </c>
      <c r="T276" s="37">
        <f>InterestRate*AmortizationMultiplier*IF(ISNUMBER(SEARCH("Actual",$C$7)),Table1578[[#This Row],[Days in month]]/365,1/12)</f>
        <v>5.6311111111111119E-3</v>
      </c>
    </row>
    <row r="277" spans="2:20" x14ac:dyDescent="0.2">
      <c r="B277" s="1">
        <f t="shared" si="14"/>
        <v>53782</v>
      </c>
      <c r="C277" s="2">
        <f t="shared" si="16"/>
        <v>261</v>
      </c>
      <c r="D277" s="3">
        <f t="shared" si="15"/>
        <v>0</v>
      </c>
      <c r="E277" s="3">
        <f>ROUND(Table1578[[#This Row],[Beginning Balance]]*Table1578[[#This Row],[Monthly Interest Rate]],2)</f>
        <v>0</v>
      </c>
      <c r="F277" s="3">
        <f t="shared" si="17"/>
        <v>-258</v>
      </c>
      <c r="G277" s="23">
        <f>IFERROR(IF($C$13="No","N/A",IF(Table1578[[#This Row],[Period]]=1,$C$6,PMT(InterestRate*AmortizationMultiplier/12,Table1578[[#This Row],[Am Thru]],-Table1578[[#This Row],[Beginning Balance]]))),0)</f>
        <v>0</v>
      </c>
      <c r="H277" s="3">
        <f>MAX(0,IF(C277=$C$4,D277,ROUND(IF($C$3="Fixed Principal",$C$6-Table1578[[#This Row],[Interest]],IF($C$3="Interest Only",Table1578[[#This Row],[Beginning Balance]]*ROUND(1-(1-IF($C$11="No",$E$8,1))^(1/12),6),MIN(IF($C$13="Yes",Table1578[[#This Row],[Payment Amount (Reamortized)]],$C$6)-Table1578[[#This Row],[Interest]],Table1578[[#This Row],[Beginning Balance]]))),2)))</f>
        <v>0</v>
      </c>
      <c r="I277" s="3">
        <f>_xlfn.SINGLE(IF($C$3="Line of Credit",0,ROUND(MAX(MIN(IF($C$10="No",$E$7,VLOOKUP(Table1578[[#This Row],[Period]],Forecast!$H$2:$L$1048576,4,FALSE))*Table1578[[#This Row],[Beginning Balance]],Table1578[[#This Row],[Beginning Balance]]-Table1578[[#This Row],[Principal]]),0),2)))</f>
        <v>0</v>
      </c>
      <c r="J277" s="3">
        <f>ROUND(MIN(Table1578[[#This Row],[Beginning Balance]]*IF($C$8="No",$E$3,VLOOKUP(Table1578[[#This Row],[Period]],Forecast!$H$2:$L$1048576,2,FALSE)),Table1578[[#This Row],[Beginning Balance]]-Table1578[[#This Row],[Principal]]-Table1578[[#This Row],[Prepayments]]),2)</f>
        <v>0</v>
      </c>
      <c r="K277" s="3">
        <f>ROUND(Table1578[[#This Row],[Defaulted Principal]]*IF($C$9="No",$E$4,VLOOKUP(Table1578[[#This Row],[Period]],Forecast!$H$2:$L$1048576,3,FALSE)),2)</f>
        <v>0</v>
      </c>
      <c r="L277" s="2">
        <f>Table1578[[#This Row],[Period]]+$E$9</f>
        <v>273</v>
      </c>
      <c r="M277" s="3">
        <f>Table1578[[#This Row],[Defaulted Principal]]-Table1578[[#This Row],[Estimated Loss]]</f>
        <v>0</v>
      </c>
      <c r="N277" s="3">
        <f>IFERROR(VLOOKUP(Table1578[[#This Row],[Period]],$L$16:$M$385,2,FALSE),0)</f>
        <v>0</v>
      </c>
      <c r="O277" s="3">
        <f>Table1578[[#This Row],[Beginning Balance]]-Table1578[[#This Row],[Principal]]-Table1578[[#This Row],[Prepayments]]-Table1578[[#This Row],[Defaulted Principal]]</f>
        <v>0</v>
      </c>
      <c r="P277" s="3">
        <f>Table1578[[#This Row],[Principal]]+Table1578[[#This Row],[Interest]]+Table1578[[#This Row],[Prepayments]]+Table1578[[#This Row],[RecoveredAmount]]</f>
        <v>0</v>
      </c>
      <c r="Q277" s="3">
        <f ca="1">ROUND(Table1578[[#This Row],[Cash Flow]]/((1+ActualRateToUse)^(IF(ISNUMBER(SEARCH("Actual",$C$7)),Table1578[[#This Row],[Running Total]]/365,Table1578[[#This Row],[Period]]/12))),2)</f>
        <v>0</v>
      </c>
      <c r="R277" s="2">
        <f>IF(MONTH(Table1578[[#This Row],[Date]])=2,28,DAY(DATE(YEAR(Table1578[[#This Row],[Date]]),MONTH(Table1578[[#This Row],[Date]])+1,1)-1))</f>
        <v>31</v>
      </c>
      <c r="S277" s="2">
        <f ca="1">SUM(OFFSET(Table1578[[#Headers],[Days in month]],1,0):Table1578[[#This Row],[Days in month]])</f>
        <v>7939</v>
      </c>
      <c r="T277" s="37">
        <f>InterestRate*AmortizationMultiplier*IF(ISNUMBER(SEARCH("Actual",$C$7)),Table1578[[#This Row],[Days in month]]/365,1/12)</f>
        <v>6.2344444444444444E-3</v>
      </c>
    </row>
    <row r="278" spans="2:20" x14ac:dyDescent="0.2">
      <c r="B278" s="1">
        <f t="shared" si="14"/>
        <v>53812</v>
      </c>
      <c r="C278" s="2">
        <f t="shared" si="16"/>
        <v>262</v>
      </c>
      <c r="D278" s="3">
        <f t="shared" si="15"/>
        <v>0</v>
      </c>
      <c r="E278" s="3">
        <f>ROUND(Table1578[[#This Row],[Beginning Balance]]*Table1578[[#This Row],[Monthly Interest Rate]],2)</f>
        <v>0</v>
      </c>
      <c r="F278" s="3">
        <f t="shared" si="17"/>
        <v>-259</v>
      </c>
      <c r="G278" s="23">
        <f>IFERROR(IF($C$13="No","N/A",IF(Table1578[[#This Row],[Period]]=1,$C$6,PMT(InterestRate*AmortizationMultiplier/12,Table1578[[#This Row],[Am Thru]],-Table1578[[#This Row],[Beginning Balance]]))),0)</f>
        <v>0</v>
      </c>
      <c r="H278" s="3">
        <f>MAX(0,IF(C278=$C$4,D278,ROUND(IF($C$3="Fixed Principal",$C$6-Table1578[[#This Row],[Interest]],IF($C$3="Interest Only",Table1578[[#This Row],[Beginning Balance]]*ROUND(1-(1-IF($C$11="No",$E$8,1))^(1/12),6),MIN(IF($C$13="Yes",Table1578[[#This Row],[Payment Amount (Reamortized)]],$C$6)-Table1578[[#This Row],[Interest]],Table1578[[#This Row],[Beginning Balance]]))),2)))</f>
        <v>0</v>
      </c>
      <c r="I278" s="3">
        <f>_xlfn.SINGLE(IF($C$3="Line of Credit",0,ROUND(MAX(MIN(IF($C$10="No",$E$7,VLOOKUP(Table1578[[#This Row],[Period]],Forecast!$H$2:$L$1048576,4,FALSE))*Table1578[[#This Row],[Beginning Balance]],Table1578[[#This Row],[Beginning Balance]]-Table1578[[#This Row],[Principal]]),0),2)))</f>
        <v>0</v>
      </c>
      <c r="J278" s="3">
        <f>ROUND(MIN(Table1578[[#This Row],[Beginning Balance]]*IF($C$8="No",$E$3,VLOOKUP(Table1578[[#This Row],[Period]],Forecast!$H$2:$L$1048576,2,FALSE)),Table1578[[#This Row],[Beginning Balance]]-Table1578[[#This Row],[Principal]]-Table1578[[#This Row],[Prepayments]]),2)</f>
        <v>0</v>
      </c>
      <c r="K278" s="3">
        <f>ROUND(Table1578[[#This Row],[Defaulted Principal]]*IF($C$9="No",$E$4,VLOOKUP(Table1578[[#This Row],[Period]],Forecast!$H$2:$L$1048576,3,FALSE)),2)</f>
        <v>0</v>
      </c>
      <c r="L278" s="2">
        <f>Table1578[[#This Row],[Period]]+$E$9</f>
        <v>274</v>
      </c>
      <c r="M278" s="3">
        <f>Table1578[[#This Row],[Defaulted Principal]]-Table1578[[#This Row],[Estimated Loss]]</f>
        <v>0</v>
      </c>
      <c r="N278" s="3">
        <f>IFERROR(VLOOKUP(Table1578[[#This Row],[Period]],$L$16:$M$385,2,FALSE),0)</f>
        <v>0</v>
      </c>
      <c r="O278" s="3">
        <f>Table1578[[#This Row],[Beginning Balance]]-Table1578[[#This Row],[Principal]]-Table1578[[#This Row],[Prepayments]]-Table1578[[#This Row],[Defaulted Principal]]</f>
        <v>0</v>
      </c>
      <c r="P278" s="3">
        <f>Table1578[[#This Row],[Principal]]+Table1578[[#This Row],[Interest]]+Table1578[[#This Row],[Prepayments]]+Table1578[[#This Row],[RecoveredAmount]]</f>
        <v>0</v>
      </c>
      <c r="Q278" s="3">
        <f ca="1">ROUND(Table1578[[#This Row],[Cash Flow]]/((1+ActualRateToUse)^(IF(ISNUMBER(SEARCH("Actual",$C$7)),Table1578[[#This Row],[Running Total]]/365,Table1578[[#This Row],[Period]]/12))),2)</f>
        <v>0</v>
      </c>
      <c r="R278" s="2">
        <f>IF(MONTH(Table1578[[#This Row],[Date]])=2,28,DAY(DATE(YEAR(Table1578[[#This Row],[Date]]),MONTH(Table1578[[#This Row],[Date]])+1,1)-1))</f>
        <v>30</v>
      </c>
      <c r="S278" s="2">
        <f ca="1">SUM(OFFSET(Table1578[[#Headers],[Days in month]],1,0):Table1578[[#This Row],[Days in month]])</f>
        <v>7969</v>
      </c>
      <c r="T278" s="37">
        <f>InterestRate*AmortizationMultiplier*IF(ISNUMBER(SEARCH("Actual",$C$7)),Table1578[[#This Row],[Days in month]]/365,1/12)</f>
        <v>6.0333333333333333E-3</v>
      </c>
    </row>
    <row r="279" spans="2:20" x14ac:dyDescent="0.2">
      <c r="B279" s="1">
        <f t="shared" si="14"/>
        <v>53843</v>
      </c>
      <c r="C279" s="2">
        <f t="shared" si="16"/>
        <v>263</v>
      </c>
      <c r="D279" s="3">
        <f t="shared" si="15"/>
        <v>0</v>
      </c>
      <c r="E279" s="3">
        <f>ROUND(Table1578[[#This Row],[Beginning Balance]]*Table1578[[#This Row],[Monthly Interest Rate]],2)</f>
        <v>0</v>
      </c>
      <c r="F279" s="3">
        <f t="shared" si="17"/>
        <v>-260</v>
      </c>
      <c r="G279" s="23">
        <f>IFERROR(IF($C$13="No","N/A",IF(Table1578[[#This Row],[Period]]=1,$C$6,PMT(InterestRate*AmortizationMultiplier/12,Table1578[[#This Row],[Am Thru]],-Table1578[[#This Row],[Beginning Balance]]))),0)</f>
        <v>0</v>
      </c>
      <c r="H279" s="3">
        <f>MAX(0,IF(C279=$C$4,D279,ROUND(IF($C$3="Fixed Principal",$C$6-Table1578[[#This Row],[Interest]],IF($C$3="Interest Only",Table1578[[#This Row],[Beginning Balance]]*ROUND(1-(1-IF($C$11="No",$E$8,1))^(1/12),6),MIN(IF($C$13="Yes",Table1578[[#This Row],[Payment Amount (Reamortized)]],$C$6)-Table1578[[#This Row],[Interest]],Table1578[[#This Row],[Beginning Balance]]))),2)))</f>
        <v>0</v>
      </c>
      <c r="I279" s="3">
        <f>_xlfn.SINGLE(IF($C$3="Line of Credit",0,ROUND(MAX(MIN(IF($C$10="No",$E$7,VLOOKUP(Table1578[[#This Row],[Period]],Forecast!$H$2:$L$1048576,4,FALSE))*Table1578[[#This Row],[Beginning Balance]],Table1578[[#This Row],[Beginning Balance]]-Table1578[[#This Row],[Principal]]),0),2)))</f>
        <v>0</v>
      </c>
      <c r="J279" s="3">
        <f>ROUND(MIN(Table1578[[#This Row],[Beginning Balance]]*IF($C$8="No",$E$3,VLOOKUP(Table1578[[#This Row],[Period]],Forecast!$H$2:$L$1048576,2,FALSE)),Table1578[[#This Row],[Beginning Balance]]-Table1578[[#This Row],[Principal]]-Table1578[[#This Row],[Prepayments]]),2)</f>
        <v>0</v>
      </c>
      <c r="K279" s="3">
        <f>ROUND(Table1578[[#This Row],[Defaulted Principal]]*IF($C$9="No",$E$4,VLOOKUP(Table1578[[#This Row],[Period]],Forecast!$H$2:$L$1048576,3,FALSE)),2)</f>
        <v>0</v>
      </c>
      <c r="L279" s="2">
        <f>Table1578[[#This Row],[Period]]+$E$9</f>
        <v>275</v>
      </c>
      <c r="M279" s="3">
        <f>Table1578[[#This Row],[Defaulted Principal]]-Table1578[[#This Row],[Estimated Loss]]</f>
        <v>0</v>
      </c>
      <c r="N279" s="3">
        <f>IFERROR(VLOOKUP(Table1578[[#This Row],[Period]],$L$16:$M$385,2,FALSE),0)</f>
        <v>0</v>
      </c>
      <c r="O279" s="3">
        <f>Table1578[[#This Row],[Beginning Balance]]-Table1578[[#This Row],[Principal]]-Table1578[[#This Row],[Prepayments]]-Table1578[[#This Row],[Defaulted Principal]]</f>
        <v>0</v>
      </c>
      <c r="P279" s="3">
        <f>Table1578[[#This Row],[Principal]]+Table1578[[#This Row],[Interest]]+Table1578[[#This Row],[Prepayments]]+Table1578[[#This Row],[RecoveredAmount]]</f>
        <v>0</v>
      </c>
      <c r="Q279" s="3">
        <f ca="1">ROUND(Table1578[[#This Row],[Cash Flow]]/((1+ActualRateToUse)^(IF(ISNUMBER(SEARCH("Actual",$C$7)),Table1578[[#This Row],[Running Total]]/365,Table1578[[#This Row],[Period]]/12))),2)</f>
        <v>0</v>
      </c>
      <c r="R279" s="2">
        <f>IF(MONTH(Table1578[[#This Row],[Date]])=2,28,DAY(DATE(YEAR(Table1578[[#This Row],[Date]]),MONTH(Table1578[[#This Row],[Date]])+1,1)-1))</f>
        <v>31</v>
      </c>
      <c r="S279" s="2">
        <f ca="1">SUM(OFFSET(Table1578[[#Headers],[Days in month]],1,0):Table1578[[#This Row],[Days in month]])</f>
        <v>8000</v>
      </c>
      <c r="T279" s="37">
        <f>InterestRate*AmortizationMultiplier*IF(ISNUMBER(SEARCH("Actual",$C$7)),Table1578[[#This Row],[Days in month]]/365,1/12)</f>
        <v>6.2344444444444444E-3</v>
      </c>
    </row>
    <row r="280" spans="2:20" x14ac:dyDescent="0.2">
      <c r="B280" s="1">
        <f t="shared" si="14"/>
        <v>53873</v>
      </c>
      <c r="C280" s="2">
        <f t="shared" si="16"/>
        <v>264</v>
      </c>
      <c r="D280" s="3">
        <f t="shared" si="15"/>
        <v>0</v>
      </c>
      <c r="E280" s="3">
        <f>ROUND(Table1578[[#This Row],[Beginning Balance]]*Table1578[[#This Row],[Monthly Interest Rate]],2)</f>
        <v>0</v>
      </c>
      <c r="F280" s="3">
        <f t="shared" si="17"/>
        <v>-261</v>
      </c>
      <c r="G280" s="23">
        <f>IFERROR(IF($C$13="No","N/A",IF(Table1578[[#This Row],[Period]]=1,$C$6,PMT(InterestRate*AmortizationMultiplier/12,Table1578[[#This Row],[Am Thru]],-Table1578[[#This Row],[Beginning Balance]]))),0)</f>
        <v>0</v>
      </c>
      <c r="H280" s="3">
        <f>MAX(0,IF(C280=$C$4,D280,ROUND(IF($C$3="Fixed Principal",$C$6-Table1578[[#This Row],[Interest]],IF($C$3="Interest Only",Table1578[[#This Row],[Beginning Balance]]*ROUND(1-(1-IF($C$11="No",$E$8,1))^(1/12),6),MIN(IF($C$13="Yes",Table1578[[#This Row],[Payment Amount (Reamortized)]],$C$6)-Table1578[[#This Row],[Interest]],Table1578[[#This Row],[Beginning Balance]]))),2)))</f>
        <v>0</v>
      </c>
      <c r="I280" s="3">
        <f>_xlfn.SINGLE(IF($C$3="Line of Credit",0,ROUND(MAX(MIN(IF($C$10="No",$E$7,VLOOKUP(Table1578[[#This Row],[Period]],Forecast!$H$2:$L$1048576,4,FALSE))*Table1578[[#This Row],[Beginning Balance]],Table1578[[#This Row],[Beginning Balance]]-Table1578[[#This Row],[Principal]]),0),2)))</f>
        <v>0</v>
      </c>
      <c r="J280" s="3">
        <f>ROUND(MIN(Table1578[[#This Row],[Beginning Balance]]*IF($C$8="No",$E$3,VLOOKUP(Table1578[[#This Row],[Period]],Forecast!$H$2:$L$1048576,2,FALSE)),Table1578[[#This Row],[Beginning Balance]]-Table1578[[#This Row],[Principal]]-Table1578[[#This Row],[Prepayments]]),2)</f>
        <v>0</v>
      </c>
      <c r="K280" s="3">
        <f>ROUND(Table1578[[#This Row],[Defaulted Principal]]*IF($C$9="No",$E$4,VLOOKUP(Table1578[[#This Row],[Period]],Forecast!$H$2:$L$1048576,3,FALSE)),2)</f>
        <v>0</v>
      </c>
      <c r="L280" s="2">
        <f>Table1578[[#This Row],[Period]]+$E$9</f>
        <v>276</v>
      </c>
      <c r="M280" s="3">
        <f>Table1578[[#This Row],[Defaulted Principal]]-Table1578[[#This Row],[Estimated Loss]]</f>
        <v>0</v>
      </c>
      <c r="N280" s="3">
        <f>IFERROR(VLOOKUP(Table1578[[#This Row],[Period]],$L$16:$M$385,2,FALSE),0)</f>
        <v>0</v>
      </c>
      <c r="O280" s="3">
        <f>Table1578[[#This Row],[Beginning Balance]]-Table1578[[#This Row],[Principal]]-Table1578[[#This Row],[Prepayments]]-Table1578[[#This Row],[Defaulted Principal]]</f>
        <v>0</v>
      </c>
      <c r="P280" s="3">
        <f>Table1578[[#This Row],[Principal]]+Table1578[[#This Row],[Interest]]+Table1578[[#This Row],[Prepayments]]+Table1578[[#This Row],[RecoveredAmount]]</f>
        <v>0</v>
      </c>
      <c r="Q280" s="3">
        <f ca="1">ROUND(Table1578[[#This Row],[Cash Flow]]/((1+ActualRateToUse)^(IF(ISNUMBER(SEARCH("Actual",$C$7)),Table1578[[#This Row],[Running Total]]/365,Table1578[[#This Row],[Period]]/12))),2)</f>
        <v>0</v>
      </c>
      <c r="R280" s="2">
        <f>IF(MONTH(Table1578[[#This Row],[Date]])=2,28,DAY(DATE(YEAR(Table1578[[#This Row],[Date]]),MONTH(Table1578[[#This Row],[Date]])+1,1)-1))</f>
        <v>30</v>
      </c>
      <c r="S280" s="2">
        <f ca="1">SUM(OFFSET(Table1578[[#Headers],[Days in month]],1,0):Table1578[[#This Row],[Days in month]])</f>
        <v>8030</v>
      </c>
      <c r="T280" s="37">
        <f>InterestRate*AmortizationMultiplier*IF(ISNUMBER(SEARCH("Actual",$C$7)),Table1578[[#This Row],[Days in month]]/365,1/12)</f>
        <v>6.0333333333333333E-3</v>
      </c>
    </row>
    <row r="281" spans="2:20" x14ac:dyDescent="0.2">
      <c r="B281" s="1">
        <f t="shared" si="14"/>
        <v>53904</v>
      </c>
      <c r="C281" s="2">
        <f t="shared" si="16"/>
        <v>265</v>
      </c>
      <c r="D281" s="3">
        <f t="shared" si="15"/>
        <v>0</v>
      </c>
      <c r="E281" s="3">
        <f>ROUND(Table1578[[#This Row],[Beginning Balance]]*Table1578[[#This Row],[Monthly Interest Rate]],2)</f>
        <v>0</v>
      </c>
      <c r="F281" s="3">
        <f t="shared" si="17"/>
        <v>-262</v>
      </c>
      <c r="G281" s="23">
        <f>IFERROR(IF($C$13="No","N/A",IF(Table1578[[#This Row],[Period]]=1,$C$6,PMT(InterestRate*AmortizationMultiplier/12,Table1578[[#This Row],[Am Thru]],-Table1578[[#This Row],[Beginning Balance]]))),0)</f>
        <v>0</v>
      </c>
      <c r="H281" s="3">
        <f>MAX(0,IF(C281=$C$4,D281,ROUND(IF($C$3="Fixed Principal",$C$6-Table1578[[#This Row],[Interest]],IF($C$3="Interest Only",Table1578[[#This Row],[Beginning Balance]]*ROUND(1-(1-IF($C$11="No",$E$8,1))^(1/12),6),MIN(IF($C$13="Yes",Table1578[[#This Row],[Payment Amount (Reamortized)]],$C$6)-Table1578[[#This Row],[Interest]],Table1578[[#This Row],[Beginning Balance]]))),2)))</f>
        <v>0</v>
      </c>
      <c r="I281" s="3">
        <f>_xlfn.SINGLE(IF($C$3="Line of Credit",0,ROUND(MAX(MIN(IF($C$10="No",$E$7,VLOOKUP(Table1578[[#This Row],[Period]],Forecast!$H$2:$L$1048576,4,FALSE))*Table1578[[#This Row],[Beginning Balance]],Table1578[[#This Row],[Beginning Balance]]-Table1578[[#This Row],[Principal]]),0),2)))</f>
        <v>0</v>
      </c>
      <c r="J281" s="3">
        <f>ROUND(MIN(Table1578[[#This Row],[Beginning Balance]]*IF($C$8="No",$E$3,VLOOKUP(Table1578[[#This Row],[Period]],Forecast!$H$2:$L$1048576,2,FALSE)),Table1578[[#This Row],[Beginning Balance]]-Table1578[[#This Row],[Principal]]-Table1578[[#This Row],[Prepayments]]),2)</f>
        <v>0</v>
      </c>
      <c r="K281" s="3">
        <f>ROUND(Table1578[[#This Row],[Defaulted Principal]]*IF($C$9="No",$E$4,VLOOKUP(Table1578[[#This Row],[Period]],Forecast!$H$2:$L$1048576,3,FALSE)),2)</f>
        <v>0</v>
      </c>
      <c r="L281" s="2">
        <f>Table1578[[#This Row],[Period]]+$E$9</f>
        <v>277</v>
      </c>
      <c r="M281" s="3">
        <f>Table1578[[#This Row],[Defaulted Principal]]-Table1578[[#This Row],[Estimated Loss]]</f>
        <v>0</v>
      </c>
      <c r="N281" s="3">
        <f>IFERROR(VLOOKUP(Table1578[[#This Row],[Period]],$L$16:$M$385,2,FALSE),0)</f>
        <v>0</v>
      </c>
      <c r="O281" s="3">
        <f>Table1578[[#This Row],[Beginning Balance]]-Table1578[[#This Row],[Principal]]-Table1578[[#This Row],[Prepayments]]-Table1578[[#This Row],[Defaulted Principal]]</f>
        <v>0</v>
      </c>
      <c r="P281" s="3">
        <f>Table1578[[#This Row],[Principal]]+Table1578[[#This Row],[Interest]]+Table1578[[#This Row],[Prepayments]]+Table1578[[#This Row],[RecoveredAmount]]</f>
        <v>0</v>
      </c>
      <c r="Q281" s="3">
        <f ca="1">ROUND(Table1578[[#This Row],[Cash Flow]]/((1+ActualRateToUse)^(IF(ISNUMBER(SEARCH("Actual",$C$7)),Table1578[[#This Row],[Running Total]]/365,Table1578[[#This Row],[Period]]/12))),2)</f>
        <v>0</v>
      </c>
      <c r="R281" s="2">
        <f>IF(MONTH(Table1578[[#This Row],[Date]])=2,28,DAY(DATE(YEAR(Table1578[[#This Row],[Date]]),MONTH(Table1578[[#This Row],[Date]])+1,1)-1))</f>
        <v>31</v>
      </c>
      <c r="S281" s="2">
        <f ca="1">SUM(OFFSET(Table1578[[#Headers],[Days in month]],1,0):Table1578[[#This Row],[Days in month]])</f>
        <v>8061</v>
      </c>
      <c r="T281" s="37">
        <f>InterestRate*AmortizationMultiplier*IF(ISNUMBER(SEARCH("Actual",$C$7)),Table1578[[#This Row],[Days in month]]/365,1/12)</f>
        <v>6.2344444444444444E-3</v>
      </c>
    </row>
    <row r="282" spans="2:20" x14ac:dyDescent="0.2">
      <c r="B282" s="1">
        <f t="shared" si="14"/>
        <v>53935</v>
      </c>
      <c r="C282" s="2">
        <f t="shared" si="16"/>
        <v>266</v>
      </c>
      <c r="D282" s="3">
        <f t="shared" si="15"/>
        <v>0</v>
      </c>
      <c r="E282" s="3">
        <f>ROUND(Table1578[[#This Row],[Beginning Balance]]*Table1578[[#This Row],[Monthly Interest Rate]],2)</f>
        <v>0</v>
      </c>
      <c r="F282" s="3">
        <f t="shared" si="17"/>
        <v>-263</v>
      </c>
      <c r="G282" s="23">
        <f>IFERROR(IF($C$13="No","N/A",IF(Table1578[[#This Row],[Period]]=1,$C$6,PMT(InterestRate*AmortizationMultiplier/12,Table1578[[#This Row],[Am Thru]],-Table1578[[#This Row],[Beginning Balance]]))),0)</f>
        <v>0</v>
      </c>
      <c r="H282" s="3">
        <f>MAX(0,IF(C282=$C$4,D282,ROUND(IF($C$3="Fixed Principal",$C$6-Table1578[[#This Row],[Interest]],IF($C$3="Interest Only",Table1578[[#This Row],[Beginning Balance]]*ROUND(1-(1-IF($C$11="No",$E$8,1))^(1/12),6),MIN(IF($C$13="Yes",Table1578[[#This Row],[Payment Amount (Reamortized)]],$C$6)-Table1578[[#This Row],[Interest]],Table1578[[#This Row],[Beginning Balance]]))),2)))</f>
        <v>0</v>
      </c>
      <c r="I282" s="3">
        <f>_xlfn.SINGLE(IF($C$3="Line of Credit",0,ROUND(MAX(MIN(IF($C$10="No",$E$7,VLOOKUP(Table1578[[#This Row],[Period]],Forecast!$H$2:$L$1048576,4,FALSE))*Table1578[[#This Row],[Beginning Balance]],Table1578[[#This Row],[Beginning Balance]]-Table1578[[#This Row],[Principal]]),0),2)))</f>
        <v>0</v>
      </c>
      <c r="J282" s="3">
        <f>ROUND(MIN(Table1578[[#This Row],[Beginning Balance]]*IF($C$8="No",$E$3,VLOOKUP(Table1578[[#This Row],[Period]],Forecast!$H$2:$L$1048576,2,FALSE)),Table1578[[#This Row],[Beginning Balance]]-Table1578[[#This Row],[Principal]]-Table1578[[#This Row],[Prepayments]]),2)</f>
        <v>0</v>
      </c>
      <c r="K282" s="3">
        <f>ROUND(Table1578[[#This Row],[Defaulted Principal]]*IF($C$9="No",$E$4,VLOOKUP(Table1578[[#This Row],[Period]],Forecast!$H$2:$L$1048576,3,FALSE)),2)</f>
        <v>0</v>
      </c>
      <c r="L282" s="2">
        <f>Table1578[[#This Row],[Period]]+$E$9</f>
        <v>278</v>
      </c>
      <c r="M282" s="3">
        <f>Table1578[[#This Row],[Defaulted Principal]]-Table1578[[#This Row],[Estimated Loss]]</f>
        <v>0</v>
      </c>
      <c r="N282" s="3">
        <f>IFERROR(VLOOKUP(Table1578[[#This Row],[Period]],$L$16:$M$385,2,FALSE),0)</f>
        <v>0</v>
      </c>
      <c r="O282" s="3">
        <f>Table1578[[#This Row],[Beginning Balance]]-Table1578[[#This Row],[Principal]]-Table1578[[#This Row],[Prepayments]]-Table1578[[#This Row],[Defaulted Principal]]</f>
        <v>0</v>
      </c>
      <c r="P282" s="3">
        <f>Table1578[[#This Row],[Principal]]+Table1578[[#This Row],[Interest]]+Table1578[[#This Row],[Prepayments]]+Table1578[[#This Row],[RecoveredAmount]]</f>
        <v>0</v>
      </c>
      <c r="Q282" s="3">
        <f ca="1">ROUND(Table1578[[#This Row],[Cash Flow]]/((1+ActualRateToUse)^(IF(ISNUMBER(SEARCH("Actual",$C$7)),Table1578[[#This Row],[Running Total]]/365,Table1578[[#This Row],[Period]]/12))),2)</f>
        <v>0</v>
      </c>
      <c r="R282" s="2">
        <f>IF(MONTH(Table1578[[#This Row],[Date]])=2,28,DAY(DATE(YEAR(Table1578[[#This Row],[Date]]),MONTH(Table1578[[#This Row],[Date]])+1,1)-1))</f>
        <v>31</v>
      </c>
      <c r="S282" s="2">
        <f ca="1">SUM(OFFSET(Table1578[[#Headers],[Days in month]],1,0):Table1578[[#This Row],[Days in month]])</f>
        <v>8092</v>
      </c>
      <c r="T282" s="37">
        <f>InterestRate*AmortizationMultiplier*IF(ISNUMBER(SEARCH("Actual",$C$7)),Table1578[[#This Row],[Days in month]]/365,1/12)</f>
        <v>6.2344444444444444E-3</v>
      </c>
    </row>
    <row r="283" spans="2:20" x14ac:dyDescent="0.2">
      <c r="B283" s="1">
        <f t="shared" si="14"/>
        <v>53965</v>
      </c>
      <c r="C283" s="2">
        <f t="shared" si="16"/>
        <v>267</v>
      </c>
      <c r="D283" s="3">
        <f t="shared" si="15"/>
        <v>0</v>
      </c>
      <c r="E283" s="3">
        <f>ROUND(Table1578[[#This Row],[Beginning Balance]]*Table1578[[#This Row],[Monthly Interest Rate]],2)</f>
        <v>0</v>
      </c>
      <c r="F283" s="3">
        <f t="shared" si="17"/>
        <v>-264</v>
      </c>
      <c r="G283" s="23">
        <f>IFERROR(IF($C$13="No","N/A",IF(Table1578[[#This Row],[Period]]=1,$C$6,PMT(InterestRate*AmortizationMultiplier/12,Table1578[[#This Row],[Am Thru]],-Table1578[[#This Row],[Beginning Balance]]))),0)</f>
        <v>0</v>
      </c>
      <c r="H283" s="3">
        <f>MAX(0,IF(C283=$C$4,D283,ROUND(IF($C$3="Fixed Principal",$C$6-Table1578[[#This Row],[Interest]],IF($C$3="Interest Only",Table1578[[#This Row],[Beginning Balance]]*ROUND(1-(1-IF($C$11="No",$E$8,1))^(1/12),6),MIN(IF($C$13="Yes",Table1578[[#This Row],[Payment Amount (Reamortized)]],$C$6)-Table1578[[#This Row],[Interest]],Table1578[[#This Row],[Beginning Balance]]))),2)))</f>
        <v>0</v>
      </c>
      <c r="I283" s="3">
        <f>_xlfn.SINGLE(IF($C$3="Line of Credit",0,ROUND(MAX(MIN(IF($C$10="No",$E$7,VLOOKUP(Table1578[[#This Row],[Period]],Forecast!$H$2:$L$1048576,4,FALSE))*Table1578[[#This Row],[Beginning Balance]],Table1578[[#This Row],[Beginning Balance]]-Table1578[[#This Row],[Principal]]),0),2)))</f>
        <v>0</v>
      </c>
      <c r="J283" s="3">
        <f>ROUND(MIN(Table1578[[#This Row],[Beginning Balance]]*IF($C$8="No",$E$3,VLOOKUP(Table1578[[#This Row],[Period]],Forecast!$H$2:$L$1048576,2,FALSE)),Table1578[[#This Row],[Beginning Balance]]-Table1578[[#This Row],[Principal]]-Table1578[[#This Row],[Prepayments]]),2)</f>
        <v>0</v>
      </c>
      <c r="K283" s="3">
        <f>ROUND(Table1578[[#This Row],[Defaulted Principal]]*IF($C$9="No",$E$4,VLOOKUP(Table1578[[#This Row],[Period]],Forecast!$H$2:$L$1048576,3,FALSE)),2)</f>
        <v>0</v>
      </c>
      <c r="L283" s="2">
        <f>Table1578[[#This Row],[Period]]+$E$9</f>
        <v>279</v>
      </c>
      <c r="M283" s="3">
        <f>Table1578[[#This Row],[Defaulted Principal]]-Table1578[[#This Row],[Estimated Loss]]</f>
        <v>0</v>
      </c>
      <c r="N283" s="3">
        <f>IFERROR(VLOOKUP(Table1578[[#This Row],[Period]],$L$16:$M$385,2,FALSE),0)</f>
        <v>0</v>
      </c>
      <c r="O283" s="3">
        <f>Table1578[[#This Row],[Beginning Balance]]-Table1578[[#This Row],[Principal]]-Table1578[[#This Row],[Prepayments]]-Table1578[[#This Row],[Defaulted Principal]]</f>
        <v>0</v>
      </c>
      <c r="P283" s="3">
        <f>Table1578[[#This Row],[Principal]]+Table1578[[#This Row],[Interest]]+Table1578[[#This Row],[Prepayments]]+Table1578[[#This Row],[RecoveredAmount]]</f>
        <v>0</v>
      </c>
      <c r="Q283" s="3">
        <f ca="1">ROUND(Table1578[[#This Row],[Cash Flow]]/((1+ActualRateToUse)^(IF(ISNUMBER(SEARCH("Actual",$C$7)),Table1578[[#This Row],[Running Total]]/365,Table1578[[#This Row],[Period]]/12))),2)</f>
        <v>0</v>
      </c>
      <c r="R283" s="2">
        <f>IF(MONTH(Table1578[[#This Row],[Date]])=2,28,DAY(DATE(YEAR(Table1578[[#This Row],[Date]]),MONTH(Table1578[[#This Row],[Date]])+1,1)-1))</f>
        <v>30</v>
      </c>
      <c r="S283" s="2">
        <f ca="1">SUM(OFFSET(Table1578[[#Headers],[Days in month]],1,0):Table1578[[#This Row],[Days in month]])</f>
        <v>8122</v>
      </c>
      <c r="T283" s="37">
        <f>InterestRate*AmortizationMultiplier*IF(ISNUMBER(SEARCH("Actual",$C$7)),Table1578[[#This Row],[Days in month]]/365,1/12)</f>
        <v>6.0333333333333333E-3</v>
      </c>
    </row>
    <row r="284" spans="2:20" x14ac:dyDescent="0.2">
      <c r="B284" s="1">
        <f t="shared" si="14"/>
        <v>53996</v>
      </c>
      <c r="C284" s="2">
        <f t="shared" si="16"/>
        <v>268</v>
      </c>
      <c r="D284" s="3">
        <f t="shared" si="15"/>
        <v>0</v>
      </c>
      <c r="E284" s="3">
        <f>ROUND(Table1578[[#This Row],[Beginning Balance]]*Table1578[[#This Row],[Monthly Interest Rate]],2)</f>
        <v>0</v>
      </c>
      <c r="F284" s="3">
        <f t="shared" si="17"/>
        <v>-265</v>
      </c>
      <c r="G284" s="23">
        <f>IFERROR(IF($C$13="No","N/A",IF(Table1578[[#This Row],[Period]]=1,$C$6,PMT(InterestRate*AmortizationMultiplier/12,Table1578[[#This Row],[Am Thru]],-Table1578[[#This Row],[Beginning Balance]]))),0)</f>
        <v>0</v>
      </c>
      <c r="H284" s="3">
        <f>MAX(0,IF(C284=$C$4,D284,ROUND(IF($C$3="Fixed Principal",$C$6-Table1578[[#This Row],[Interest]],IF($C$3="Interest Only",Table1578[[#This Row],[Beginning Balance]]*ROUND(1-(1-IF($C$11="No",$E$8,1))^(1/12),6),MIN(IF($C$13="Yes",Table1578[[#This Row],[Payment Amount (Reamortized)]],$C$6)-Table1578[[#This Row],[Interest]],Table1578[[#This Row],[Beginning Balance]]))),2)))</f>
        <v>0</v>
      </c>
      <c r="I284" s="3">
        <f>_xlfn.SINGLE(IF($C$3="Line of Credit",0,ROUND(MAX(MIN(IF($C$10="No",$E$7,VLOOKUP(Table1578[[#This Row],[Period]],Forecast!$H$2:$L$1048576,4,FALSE))*Table1578[[#This Row],[Beginning Balance]],Table1578[[#This Row],[Beginning Balance]]-Table1578[[#This Row],[Principal]]),0),2)))</f>
        <v>0</v>
      </c>
      <c r="J284" s="3">
        <f>ROUND(MIN(Table1578[[#This Row],[Beginning Balance]]*IF($C$8="No",$E$3,VLOOKUP(Table1578[[#This Row],[Period]],Forecast!$H$2:$L$1048576,2,FALSE)),Table1578[[#This Row],[Beginning Balance]]-Table1578[[#This Row],[Principal]]-Table1578[[#This Row],[Prepayments]]),2)</f>
        <v>0</v>
      </c>
      <c r="K284" s="3">
        <f>ROUND(Table1578[[#This Row],[Defaulted Principal]]*IF($C$9="No",$E$4,VLOOKUP(Table1578[[#This Row],[Period]],Forecast!$H$2:$L$1048576,3,FALSE)),2)</f>
        <v>0</v>
      </c>
      <c r="L284" s="2">
        <f>Table1578[[#This Row],[Period]]+$E$9</f>
        <v>280</v>
      </c>
      <c r="M284" s="3">
        <f>Table1578[[#This Row],[Defaulted Principal]]-Table1578[[#This Row],[Estimated Loss]]</f>
        <v>0</v>
      </c>
      <c r="N284" s="3">
        <f>IFERROR(VLOOKUP(Table1578[[#This Row],[Period]],$L$16:$M$385,2,FALSE),0)</f>
        <v>0</v>
      </c>
      <c r="O284" s="3">
        <f>Table1578[[#This Row],[Beginning Balance]]-Table1578[[#This Row],[Principal]]-Table1578[[#This Row],[Prepayments]]-Table1578[[#This Row],[Defaulted Principal]]</f>
        <v>0</v>
      </c>
      <c r="P284" s="3">
        <f>Table1578[[#This Row],[Principal]]+Table1578[[#This Row],[Interest]]+Table1578[[#This Row],[Prepayments]]+Table1578[[#This Row],[RecoveredAmount]]</f>
        <v>0</v>
      </c>
      <c r="Q284" s="3">
        <f ca="1">ROUND(Table1578[[#This Row],[Cash Flow]]/((1+ActualRateToUse)^(IF(ISNUMBER(SEARCH("Actual",$C$7)),Table1578[[#This Row],[Running Total]]/365,Table1578[[#This Row],[Period]]/12))),2)</f>
        <v>0</v>
      </c>
      <c r="R284" s="2">
        <f>IF(MONTH(Table1578[[#This Row],[Date]])=2,28,DAY(DATE(YEAR(Table1578[[#This Row],[Date]]),MONTH(Table1578[[#This Row],[Date]])+1,1)-1))</f>
        <v>31</v>
      </c>
      <c r="S284" s="2">
        <f ca="1">SUM(OFFSET(Table1578[[#Headers],[Days in month]],1,0):Table1578[[#This Row],[Days in month]])</f>
        <v>8153</v>
      </c>
      <c r="T284" s="37">
        <f>InterestRate*AmortizationMultiplier*IF(ISNUMBER(SEARCH("Actual",$C$7)),Table1578[[#This Row],[Days in month]]/365,1/12)</f>
        <v>6.2344444444444444E-3</v>
      </c>
    </row>
    <row r="285" spans="2:20" x14ac:dyDescent="0.2">
      <c r="B285" s="1">
        <f t="shared" si="14"/>
        <v>54026</v>
      </c>
      <c r="C285" s="2">
        <f t="shared" si="16"/>
        <v>269</v>
      </c>
      <c r="D285" s="3">
        <f t="shared" si="15"/>
        <v>0</v>
      </c>
      <c r="E285" s="3">
        <f>ROUND(Table1578[[#This Row],[Beginning Balance]]*Table1578[[#This Row],[Monthly Interest Rate]],2)</f>
        <v>0</v>
      </c>
      <c r="F285" s="3">
        <f t="shared" si="17"/>
        <v>-266</v>
      </c>
      <c r="G285" s="23">
        <f>IFERROR(IF($C$13="No","N/A",IF(Table1578[[#This Row],[Period]]=1,$C$6,PMT(InterestRate*AmortizationMultiplier/12,Table1578[[#This Row],[Am Thru]],-Table1578[[#This Row],[Beginning Balance]]))),0)</f>
        <v>0</v>
      </c>
      <c r="H285" s="3">
        <f>MAX(0,IF(C285=$C$4,D285,ROUND(IF($C$3="Fixed Principal",$C$6-Table1578[[#This Row],[Interest]],IF($C$3="Interest Only",Table1578[[#This Row],[Beginning Balance]]*ROUND(1-(1-IF($C$11="No",$E$8,1))^(1/12),6),MIN(IF($C$13="Yes",Table1578[[#This Row],[Payment Amount (Reamortized)]],$C$6)-Table1578[[#This Row],[Interest]],Table1578[[#This Row],[Beginning Balance]]))),2)))</f>
        <v>0</v>
      </c>
      <c r="I285" s="3">
        <f>_xlfn.SINGLE(IF($C$3="Line of Credit",0,ROUND(MAX(MIN(IF($C$10="No",$E$7,VLOOKUP(Table1578[[#This Row],[Period]],Forecast!$H$2:$L$1048576,4,FALSE))*Table1578[[#This Row],[Beginning Balance]],Table1578[[#This Row],[Beginning Balance]]-Table1578[[#This Row],[Principal]]),0),2)))</f>
        <v>0</v>
      </c>
      <c r="J285" s="3">
        <f>ROUND(MIN(Table1578[[#This Row],[Beginning Balance]]*IF($C$8="No",$E$3,VLOOKUP(Table1578[[#This Row],[Period]],Forecast!$H$2:$L$1048576,2,FALSE)),Table1578[[#This Row],[Beginning Balance]]-Table1578[[#This Row],[Principal]]-Table1578[[#This Row],[Prepayments]]),2)</f>
        <v>0</v>
      </c>
      <c r="K285" s="3">
        <f>ROUND(Table1578[[#This Row],[Defaulted Principal]]*IF($C$9="No",$E$4,VLOOKUP(Table1578[[#This Row],[Period]],Forecast!$H$2:$L$1048576,3,FALSE)),2)</f>
        <v>0</v>
      </c>
      <c r="L285" s="2">
        <f>Table1578[[#This Row],[Period]]+$E$9</f>
        <v>281</v>
      </c>
      <c r="M285" s="3">
        <f>Table1578[[#This Row],[Defaulted Principal]]-Table1578[[#This Row],[Estimated Loss]]</f>
        <v>0</v>
      </c>
      <c r="N285" s="3">
        <f>IFERROR(VLOOKUP(Table1578[[#This Row],[Period]],$L$16:$M$385,2,FALSE),0)</f>
        <v>0</v>
      </c>
      <c r="O285" s="3">
        <f>Table1578[[#This Row],[Beginning Balance]]-Table1578[[#This Row],[Principal]]-Table1578[[#This Row],[Prepayments]]-Table1578[[#This Row],[Defaulted Principal]]</f>
        <v>0</v>
      </c>
      <c r="P285" s="3">
        <f>Table1578[[#This Row],[Principal]]+Table1578[[#This Row],[Interest]]+Table1578[[#This Row],[Prepayments]]+Table1578[[#This Row],[RecoveredAmount]]</f>
        <v>0</v>
      </c>
      <c r="Q285" s="3">
        <f ca="1">ROUND(Table1578[[#This Row],[Cash Flow]]/((1+ActualRateToUse)^(IF(ISNUMBER(SEARCH("Actual",$C$7)),Table1578[[#This Row],[Running Total]]/365,Table1578[[#This Row],[Period]]/12))),2)</f>
        <v>0</v>
      </c>
      <c r="R285" s="2">
        <f>IF(MONTH(Table1578[[#This Row],[Date]])=2,28,DAY(DATE(YEAR(Table1578[[#This Row],[Date]]),MONTH(Table1578[[#This Row],[Date]])+1,1)-1))</f>
        <v>30</v>
      </c>
      <c r="S285" s="2">
        <f ca="1">SUM(OFFSET(Table1578[[#Headers],[Days in month]],1,0):Table1578[[#This Row],[Days in month]])</f>
        <v>8183</v>
      </c>
      <c r="T285" s="37">
        <f>InterestRate*AmortizationMultiplier*IF(ISNUMBER(SEARCH("Actual",$C$7)),Table1578[[#This Row],[Days in month]]/365,1/12)</f>
        <v>6.0333333333333333E-3</v>
      </c>
    </row>
    <row r="286" spans="2:20" x14ac:dyDescent="0.2">
      <c r="B286" s="1">
        <f t="shared" si="14"/>
        <v>54057</v>
      </c>
      <c r="C286" s="2">
        <f t="shared" si="16"/>
        <v>270</v>
      </c>
      <c r="D286" s="3">
        <f t="shared" si="15"/>
        <v>0</v>
      </c>
      <c r="E286" s="3">
        <f>ROUND(Table1578[[#This Row],[Beginning Balance]]*Table1578[[#This Row],[Monthly Interest Rate]],2)</f>
        <v>0</v>
      </c>
      <c r="F286" s="3">
        <f t="shared" si="17"/>
        <v>-267</v>
      </c>
      <c r="G286" s="23">
        <f>IFERROR(IF($C$13="No","N/A",IF(Table1578[[#This Row],[Period]]=1,$C$6,PMT(InterestRate*AmortizationMultiplier/12,Table1578[[#This Row],[Am Thru]],-Table1578[[#This Row],[Beginning Balance]]))),0)</f>
        <v>0</v>
      </c>
      <c r="H286" s="3">
        <f>MAX(0,IF(C286=$C$4,D286,ROUND(IF($C$3="Fixed Principal",$C$6-Table1578[[#This Row],[Interest]],IF($C$3="Interest Only",Table1578[[#This Row],[Beginning Balance]]*ROUND(1-(1-IF($C$11="No",$E$8,1))^(1/12),6),MIN(IF($C$13="Yes",Table1578[[#This Row],[Payment Amount (Reamortized)]],$C$6)-Table1578[[#This Row],[Interest]],Table1578[[#This Row],[Beginning Balance]]))),2)))</f>
        <v>0</v>
      </c>
      <c r="I286" s="3">
        <f>_xlfn.SINGLE(IF($C$3="Line of Credit",0,ROUND(MAX(MIN(IF($C$10="No",$E$7,VLOOKUP(Table1578[[#This Row],[Period]],Forecast!$H$2:$L$1048576,4,FALSE))*Table1578[[#This Row],[Beginning Balance]],Table1578[[#This Row],[Beginning Balance]]-Table1578[[#This Row],[Principal]]),0),2)))</f>
        <v>0</v>
      </c>
      <c r="J286" s="3">
        <f>ROUND(MIN(Table1578[[#This Row],[Beginning Balance]]*IF($C$8="No",$E$3,VLOOKUP(Table1578[[#This Row],[Period]],Forecast!$H$2:$L$1048576,2,FALSE)),Table1578[[#This Row],[Beginning Balance]]-Table1578[[#This Row],[Principal]]-Table1578[[#This Row],[Prepayments]]),2)</f>
        <v>0</v>
      </c>
      <c r="K286" s="3">
        <f>ROUND(Table1578[[#This Row],[Defaulted Principal]]*IF($C$9="No",$E$4,VLOOKUP(Table1578[[#This Row],[Period]],Forecast!$H$2:$L$1048576,3,FALSE)),2)</f>
        <v>0</v>
      </c>
      <c r="L286" s="2">
        <f>Table1578[[#This Row],[Period]]+$E$9</f>
        <v>282</v>
      </c>
      <c r="M286" s="3">
        <f>Table1578[[#This Row],[Defaulted Principal]]-Table1578[[#This Row],[Estimated Loss]]</f>
        <v>0</v>
      </c>
      <c r="N286" s="3">
        <f>IFERROR(VLOOKUP(Table1578[[#This Row],[Period]],$L$16:$M$385,2,FALSE),0)</f>
        <v>0</v>
      </c>
      <c r="O286" s="3">
        <f>Table1578[[#This Row],[Beginning Balance]]-Table1578[[#This Row],[Principal]]-Table1578[[#This Row],[Prepayments]]-Table1578[[#This Row],[Defaulted Principal]]</f>
        <v>0</v>
      </c>
      <c r="P286" s="3">
        <f>Table1578[[#This Row],[Principal]]+Table1578[[#This Row],[Interest]]+Table1578[[#This Row],[Prepayments]]+Table1578[[#This Row],[RecoveredAmount]]</f>
        <v>0</v>
      </c>
      <c r="Q286" s="3">
        <f ca="1">ROUND(Table1578[[#This Row],[Cash Flow]]/((1+ActualRateToUse)^(IF(ISNUMBER(SEARCH("Actual",$C$7)),Table1578[[#This Row],[Running Total]]/365,Table1578[[#This Row],[Period]]/12))),2)</f>
        <v>0</v>
      </c>
      <c r="R286" s="2">
        <f>IF(MONTH(Table1578[[#This Row],[Date]])=2,28,DAY(DATE(YEAR(Table1578[[#This Row],[Date]]),MONTH(Table1578[[#This Row],[Date]])+1,1)-1))</f>
        <v>31</v>
      </c>
      <c r="S286" s="2">
        <f ca="1">SUM(OFFSET(Table1578[[#Headers],[Days in month]],1,0):Table1578[[#This Row],[Days in month]])</f>
        <v>8214</v>
      </c>
      <c r="T286" s="37">
        <f>InterestRate*AmortizationMultiplier*IF(ISNUMBER(SEARCH("Actual",$C$7)),Table1578[[#This Row],[Days in month]]/365,1/12)</f>
        <v>6.2344444444444444E-3</v>
      </c>
    </row>
    <row r="287" spans="2:20" x14ac:dyDescent="0.2">
      <c r="B287" s="1">
        <f t="shared" si="14"/>
        <v>54088</v>
      </c>
      <c r="C287" s="2">
        <f t="shared" si="16"/>
        <v>271</v>
      </c>
      <c r="D287" s="3">
        <f t="shared" si="15"/>
        <v>0</v>
      </c>
      <c r="E287" s="3">
        <f>ROUND(Table1578[[#This Row],[Beginning Balance]]*Table1578[[#This Row],[Monthly Interest Rate]],2)</f>
        <v>0</v>
      </c>
      <c r="F287" s="3">
        <f t="shared" si="17"/>
        <v>-268</v>
      </c>
      <c r="G287" s="23">
        <f>IFERROR(IF($C$13="No","N/A",IF(Table1578[[#This Row],[Period]]=1,$C$6,PMT(InterestRate*AmortizationMultiplier/12,Table1578[[#This Row],[Am Thru]],-Table1578[[#This Row],[Beginning Balance]]))),0)</f>
        <v>0</v>
      </c>
      <c r="H287" s="3">
        <f>MAX(0,IF(C287=$C$4,D287,ROUND(IF($C$3="Fixed Principal",$C$6-Table1578[[#This Row],[Interest]],IF($C$3="Interest Only",Table1578[[#This Row],[Beginning Balance]]*ROUND(1-(1-IF($C$11="No",$E$8,1))^(1/12),6),MIN(IF($C$13="Yes",Table1578[[#This Row],[Payment Amount (Reamortized)]],$C$6)-Table1578[[#This Row],[Interest]],Table1578[[#This Row],[Beginning Balance]]))),2)))</f>
        <v>0</v>
      </c>
      <c r="I287" s="3">
        <f>_xlfn.SINGLE(IF($C$3="Line of Credit",0,ROUND(MAX(MIN(IF($C$10="No",$E$7,VLOOKUP(Table1578[[#This Row],[Period]],Forecast!$H$2:$L$1048576,4,FALSE))*Table1578[[#This Row],[Beginning Balance]],Table1578[[#This Row],[Beginning Balance]]-Table1578[[#This Row],[Principal]]),0),2)))</f>
        <v>0</v>
      </c>
      <c r="J287" s="3">
        <f>ROUND(MIN(Table1578[[#This Row],[Beginning Balance]]*IF($C$8="No",$E$3,VLOOKUP(Table1578[[#This Row],[Period]],Forecast!$H$2:$L$1048576,2,FALSE)),Table1578[[#This Row],[Beginning Balance]]-Table1578[[#This Row],[Principal]]-Table1578[[#This Row],[Prepayments]]),2)</f>
        <v>0</v>
      </c>
      <c r="K287" s="3">
        <f>ROUND(Table1578[[#This Row],[Defaulted Principal]]*IF($C$9="No",$E$4,VLOOKUP(Table1578[[#This Row],[Period]],Forecast!$H$2:$L$1048576,3,FALSE)),2)</f>
        <v>0</v>
      </c>
      <c r="L287" s="2">
        <f>Table1578[[#This Row],[Period]]+$E$9</f>
        <v>283</v>
      </c>
      <c r="M287" s="3">
        <f>Table1578[[#This Row],[Defaulted Principal]]-Table1578[[#This Row],[Estimated Loss]]</f>
        <v>0</v>
      </c>
      <c r="N287" s="3">
        <f>IFERROR(VLOOKUP(Table1578[[#This Row],[Period]],$L$16:$M$385,2,FALSE),0)</f>
        <v>0</v>
      </c>
      <c r="O287" s="3">
        <f>Table1578[[#This Row],[Beginning Balance]]-Table1578[[#This Row],[Principal]]-Table1578[[#This Row],[Prepayments]]-Table1578[[#This Row],[Defaulted Principal]]</f>
        <v>0</v>
      </c>
      <c r="P287" s="3">
        <f>Table1578[[#This Row],[Principal]]+Table1578[[#This Row],[Interest]]+Table1578[[#This Row],[Prepayments]]+Table1578[[#This Row],[RecoveredAmount]]</f>
        <v>0</v>
      </c>
      <c r="Q287" s="3">
        <f ca="1">ROUND(Table1578[[#This Row],[Cash Flow]]/((1+ActualRateToUse)^(IF(ISNUMBER(SEARCH("Actual",$C$7)),Table1578[[#This Row],[Running Total]]/365,Table1578[[#This Row],[Period]]/12))),2)</f>
        <v>0</v>
      </c>
      <c r="R287" s="2">
        <f>IF(MONTH(Table1578[[#This Row],[Date]])=2,28,DAY(DATE(YEAR(Table1578[[#This Row],[Date]]),MONTH(Table1578[[#This Row],[Date]])+1,1)-1))</f>
        <v>31</v>
      </c>
      <c r="S287" s="2">
        <f ca="1">SUM(OFFSET(Table1578[[#Headers],[Days in month]],1,0):Table1578[[#This Row],[Days in month]])</f>
        <v>8245</v>
      </c>
      <c r="T287" s="37">
        <f>InterestRate*AmortizationMultiplier*IF(ISNUMBER(SEARCH("Actual",$C$7)),Table1578[[#This Row],[Days in month]]/365,1/12)</f>
        <v>6.2344444444444444E-3</v>
      </c>
    </row>
    <row r="288" spans="2:20" x14ac:dyDescent="0.2">
      <c r="B288" s="1">
        <f t="shared" si="14"/>
        <v>54117</v>
      </c>
      <c r="C288" s="2">
        <f t="shared" si="16"/>
        <v>272</v>
      </c>
      <c r="D288" s="3">
        <f t="shared" si="15"/>
        <v>0</v>
      </c>
      <c r="E288" s="3">
        <f>ROUND(Table1578[[#This Row],[Beginning Balance]]*Table1578[[#This Row],[Monthly Interest Rate]],2)</f>
        <v>0</v>
      </c>
      <c r="F288" s="3">
        <f t="shared" si="17"/>
        <v>-269</v>
      </c>
      <c r="G288" s="23">
        <f>IFERROR(IF($C$13="No","N/A",IF(Table1578[[#This Row],[Period]]=1,$C$6,PMT(InterestRate*AmortizationMultiplier/12,Table1578[[#This Row],[Am Thru]],-Table1578[[#This Row],[Beginning Balance]]))),0)</f>
        <v>0</v>
      </c>
      <c r="H288" s="3">
        <f>MAX(0,IF(C288=$C$4,D288,ROUND(IF($C$3="Fixed Principal",$C$6-Table1578[[#This Row],[Interest]],IF($C$3="Interest Only",Table1578[[#This Row],[Beginning Balance]]*ROUND(1-(1-IF($C$11="No",$E$8,1))^(1/12),6),MIN(IF($C$13="Yes",Table1578[[#This Row],[Payment Amount (Reamortized)]],$C$6)-Table1578[[#This Row],[Interest]],Table1578[[#This Row],[Beginning Balance]]))),2)))</f>
        <v>0</v>
      </c>
      <c r="I288" s="3">
        <f>_xlfn.SINGLE(IF($C$3="Line of Credit",0,ROUND(MAX(MIN(IF($C$10="No",$E$7,VLOOKUP(Table1578[[#This Row],[Period]],Forecast!$H$2:$L$1048576,4,FALSE))*Table1578[[#This Row],[Beginning Balance]],Table1578[[#This Row],[Beginning Balance]]-Table1578[[#This Row],[Principal]]),0),2)))</f>
        <v>0</v>
      </c>
      <c r="J288" s="3">
        <f>ROUND(MIN(Table1578[[#This Row],[Beginning Balance]]*IF($C$8="No",$E$3,VLOOKUP(Table1578[[#This Row],[Period]],Forecast!$H$2:$L$1048576,2,FALSE)),Table1578[[#This Row],[Beginning Balance]]-Table1578[[#This Row],[Principal]]-Table1578[[#This Row],[Prepayments]]),2)</f>
        <v>0</v>
      </c>
      <c r="K288" s="3">
        <f>ROUND(Table1578[[#This Row],[Defaulted Principal]]*IF($C$9="No",$E$4,VLOOKUP(Table1578[[#This Row],[Period]],Forecast!$H$2:$L$1048576,3,FALSE)),2)</f>
        <v>0</v>
      </c>
      <c r="L288" s="2">
        <f>Table1578[[#This Row],[Period]]+$E$9</f>
        <v>284</v>
      </c>
      <c r="M288" s="3">
        <f>Table1578[[#This Row],[Defaulted Principal]]-Table1578[[#This Row],[Estimated Loss]]</f>
        <v>0</v>
      </c>
      <c r="N288" s="3">
        <f>IFERROR(VLOOKUP(Table1578[[#This Row],[Period]],$L$16:$M$385,2,FALSE),0)</f>
        <v>0</v>
      </c>
      <c r="O288" s="3">
        <f>Table1578[[#This Row],[Beginning Balance]]-Table1578[[#This Row],[Principal]]-Table1578[[#This Row],[Prepayments]]-Table1578[[#This Row],[Defaulted Principal]]</f>
        <v>0</v>
      </c>
      <c r="P288" s="3">
        <f>Table1578[[#This Row],[Principal]]+Table1578[[#This Row],[Interest]]+Table1578[[#This Row],[Prepayments]]+Table1578[[#This Row],[RecoveredAmount]]</f>
        <v>0</v>
      </c>
      <c r="Q288" s="3">
        <f ca="1">ROUND(Table1578[[#This Row],[Cash Flow]]/((1+ActualRateToUse)^(IF(ISNUMBER(SEARCH("Actual",$C$7)),Table1578[[#This Row],[Running Total]]/365,Table1578[[#This Row],[Period]]/12))),2)</f>
        <v>0</v>
      </c>
      <c r="R288" s="2">
        <f>IF(MONTH(Table1578[[#This Row],[Date]])=2,28,DAY(DATE(YEAR(Table1578[[#This Row],[Date]]),MONTH(Table1578[[#This Row],[Date]])+1,1)-1))</f>
        <v>28</v>
      </c>
      <c r="S288" s="2">
        <f ca="1">SUM(OFFSET(Table1578[[#Headers],[Days in month]],1,0):Table1578[[#This Row],[Days in month]])</f>
        <v>8273</v>
      </c>
      <c r="T288" s="37">
        <f>InterestRate*AmortizationMultiplier*IF(ISNUMBER(SEARCH("Actual",$C$7)),Table1578[[#This Row],[Days in month]]/365,1/12)</f>
        <v>5.6311111111111119E-3</v>
      </c>
    </row>
    <row r="289" spans="2:20" x14ac:dyDescent="0.2">
      <c r="B289" s="1">
        <f t="shared" si="14"/>
        <v>54148</v>
      </c>
      <c r="C289" s="2">
        <f t="shared" si="16"/>
        <v>273</v>
      </c>
      <c r="D289" s="3">
        <f t="shared" si="15"/>
        <v>0</v>
      </c>
      <c r="E289" s="3">
        <f>ROUND(Table1578[[#This Row],[Beginning Balance]]*Table1578[[#This Row],[Monthly Interest Rate]],2)</f>
        <v>0</v>
      </c>
      <c r="F289" s="3">
        <f t="shared" si="17"/>
        <v>-270</v>
      </c>
      <c r="G289" s="23">
        <f>IFERROR(IF($C$13="No","N/A",IF(Table1578[[#This Row],[Period]]=1,$C$6,PMT(InterestRate*AmortizationMultiplier/12,Table1578[[#This Row],[Am Thru]],-Table1578[[#This Row],[Beginning Balance]]))),0)</f>
        <v>0</v>
      </c>
      <c r="H289" s="3">
        <f>MAX(0,IF(C289=$C$4,D289,ROUND(IF($C$3="Fixed Principal",$C$6-Table1578[[#This Row],[Interest]],IF($C$3="Interest Only",Table1578[[#This Row],[Beginning Balance]]*ROUND(1-(1-IF($C$11="No",$E$8,1))^(1/12),6),MIN(IF($C$13="Yes",Table1578[[#This Row],[Payment Amount (Reamortized)]],$C$6)-Table1578[[#This Row],[Interest]],Table1578[[#This Row],[Beginning Balance]]))),2)))</f>
        <v>0</v>
      </c>
      <c r="I289" s="3">
        <f>_xlfn.SINGLE(IF($C$3="Line of Credit",0,ROUND(MAX(MIN(IF($C$10="No",$E$7,VLOOKUP(Table1578[[#This Row],[Period]],Forecast!$H$2:$L$1048576,4,FALSE))*Table1578[[#This Row],[Beginning Balance]],Table1578[[#This Row],[Beginning Balance]]-Table1578[[#This Row],[Principal]]),0),2)))</f>
        <v>0</v>
      </c>
      <c r="J289" s="3">
        <f>ROUND(MIN(Table1578[[#This Row],[Beginning Balance]]*IF($C$8="No",$E$3,VLOOKUP(Table1578[[#This Row],[Period]],Forecast!$H$2:$L$1048576,2,FALSE)),Table1578[[#This Row],[Beginning Balance]]-Table1578[[#This Row],[Principal]]-Table1578[[#This Row],[Prepayments]]),2)</f>
        <v>0</v>
      </c>
      <c r="K289" s="3">
        <f>ROUND(Table1578[[#This Row],[Defaulted Principal]]*IF($C$9="No",$E$4,VLOOKUP(Table1578[[#This Row],[Period]],Forecast!$H$2:$L$1048576,3,FALSE)),2)</f>
        <v>0</v>
      </c>
      <c r="L289" s="2">
        <f>Table1578[[#This Row],[Period]]+$E$9</f>
        <v>285</v>
      </c>
      <c r="M289" s="3">
        <f>Table1578[[#This Row],[Defaulted Principal]]-Table1578[[#This Row],[Estimated Loss]]</f>
        <v>0</v>
      </c>
      <c r="N289" s="3">
        <f>IFERROR(VLOOKUP(Table1578[[#This Row],[Period]],$L$16:$M$385,2,FALSE),0)</f>
        <v>0</v>
      </c>
      <c r="O289" s="3">
        <f>Table1578[[#This Row],[Beginning Balance]]-Table1578[[#This Row],[Principal]]-Table1578[[#This Row],[Prepayments]]-Table1578[[#This Row],[Defaulted Principal]]</f>
        <v>0</v>
      </c>
      <c r="P289" s="3">
        <f>Table1578[[#This Row],[Principal]]+Table1578[[#This Row],[Interest]]+Table1578[[#This Row],[Prepayments]]+Table1578[[#This Row],[RecoveredAmount]]</f>
        <v>0</v>
      </c>
      <c r="Q289" s="3">
        <f ca="1">ROUND(Table1578[[#This Row],[Cash Flow]]/((1+ActualRateToUse)^(IF(ISNUMBER(SEARCH("Actual",$C$7)),Table1578[[#This Row],[Running Total]]/365,Table1578[[#This Row],[Period]]/12))),2)</f>
        <v>0</v>
      </c>
      <c r="R289" s="2">
        <f>IF(MONTH(Table1578[[#This Row],[Date]])=2,28,DAY(DATE(YEAR(Table1578[[#This Row],[Date]]),MONTH(Table1578[[#This Row],[Date]])+1,1)-1))</f>
        <v>31</v>
      </c>
      <c r="S289" s="2">
        <f ca="1">SUM(OFFSET(Table1578[[#Headers],[Days in month]],1,0):Table1578[[#This Row],[Days in month]])</f>
        <v>8304</v>
      </c>
      <c r="T289" s="37">
        <f>InterestRate*AmortizationMultiplier*IF(ISNUMBER(SEARCH("Actual",$C$7)),Table1578[[#This Row],[Days in month]]/365,1/12)</f>
        <v>6.2344444444444444E-3</v>
      </c>
    </row>
    <row r="290" spans="2:20" x14ac:dyDescent="0.2">
      <c r="B290" s="1">
        <f t="shared" si="14"/>
        <v>54178</v>
      </c>
      <c r="C290" s="2">
        <f t="shared" si="16"/>
        <v>274</v>
      </c>
      <c r="D290" s="3">
        <f t="shared" si="15"/>
        <v>0</v>
      </c>
      <c r="E290" s="3">
        <f>ROUND(Table1578[[#This Row],[Beginning Balance]]*Table1578[[#This Row],[Monthly Interest Rate]],2)</f>
        <v>0</v>
      </c>
      <c r="F290" s="3">
        <f t="shared" si="17"/>
        <v>-271</v>
      </c>
      <c r="G290" s="23">
        <f>IFERROR(IF($C$13="No","N/A",IF(Table1578[[#This Row],[Period]]=1,$C$6,PMT(InterestRate*AmortizationMultiplier/12,Table1578[[#This Row],[Am Thru]],-Table1578[[#This Row],[Beginning Balance]]))),0)</f>
        <v>0</v>
      </c>
      <c r="H290" s="3">
        <f>MAX(0,IF(C290=$C$4,D290,ROUND(IF($C$3="Fixed Principal",$C$6-Table1578[[#This Row],[Interest]],IF($C$3="Interest Only",Table1578[[#This Row],[Beginning Balance]]*ROUND(1-(1-IF($C$11="No",$E$8,1))^(1/12),6),MIN(IF($C$13="Yes",Table1578[[#This Row],[Payment Amount (Reamortized)]],$C$6)-Table1578[[#This Row],[Interest]],Table1578[[#This Row],[Beginning Balance]]))),2)))</f>
        <v>0</v>
      </c>
      <c r="I290" s="3">
        <f>_xlfn.SINGLE(IF($C$3="Line of Credit",0,ROUND(MAX(MIN(IF($C$10="No",$E$7,VLOOKUP(Table1578[[#This Row],[Period]],Forecast!$H$2:$L$1048576,4,FALSE))*Table1578[[#This Row],[Beginning Balance]],Table1578[[#This Row],[Beginning Balance]]-Table1578[[#This Row],[Principal]]),0),2)))</f>
        <v>0</v>
      </c>
      <c r="J290" s="3">
        <f>ROUND(MIN(Table1578[[#This Row],[Beginning Balance]]*IF($C$8="No",$E$3,VLOOKUP(Table1578[[#This Row],[Period]],Forecast!$H$2:$L$1048576,2,FALSE)),Table1578[[#This Row],[Beginning Balance]]-Table1578[[#This Row],[Principal]]-Table1578[[#This Row],[Prepayments]]),2)</f>
        <v>0</v>
      </c>
      <c r="K290" s="3">
        <f>ROUND(Table1578[[#This Row],[Defaulted Principal]]*IF($C$9="No",$E$4,VLOOKUP(Table1578[[#This Row],[Period]],Forecast!$H$2:$L$1048576,3,FALSE)),2)</f>
        <v>0</v>
      </c>
      <c r="L290" s="2">
        <f>Table1578[[#This Row],[Period]]+$E$9</f>
        <v>286</v>
      </c>
      <c r="M290" s="3">
        <f>Table1578[[#This Row],[Defaulted Principal]]-Table1578[[#This Row],[Estimated Loss]]</f>
        <v>0</v>
      </c>
      <c r="N290" s="3">
        <f>IFERROR(VLOOKUP(Table1578[[#This Row],[Period]],$L$16:$M$385,2,FALSE),0)</f>
        <v>0</v>
      </c>
      <c r="O290" s="3">
        <f>Table1578[[#This Row],[Beginning Balance]]-Table1578[[#This Row],[Principal]]-Table1578[[#This Row],[Prepayments]]-Table1578[[#This Row],[Defaulted Principal]]</f>
        <v>0</v>
      </c>
      <c r="P290" s="3">
        <f>Table1578[[#This Row],[Principal]]+Table1578[[#This Row],[Interest]]+Table1578[[#This Row],[Prepayments]]+Table1578[[#This Row],[RecoveredAmount]]</f>
        <v>0</v>
      </c>
      <c r="Q290" s="3">
        <f ca="1">ROUND(Table1578[[#This Row],[Cash Flow]]/((1+ActualRateToUse)^(IF(ISNUMBER(SEARCH("Actual",$C$7)),Table1578[[#This Row],[Running Total]]/365,Table1578[[#This Row],[Period]]/12))),2)</f>
        <v>0</v>
      </c>
      <c r="R290" s="2">
        <f>IF(MONTH(Table1578[[#This Row],[Date]])=2,28,DAY(DATE(YEAR(Table1578[[#This Row],[Date]]),MONTH(Table1578[[#This Row],[Date]])+1,1)-1))</f>
        <v>30</v>
      </c>
      <c r="S290" s="2">
        <f ca="1">SUM(OFFSET(Table1578[[#Headers],[Days in month]],1,0):Table1578[[#This Row],[Days in month]])</f>
        <v>8334</v>
      </c>
      <c r="T290" s="37">
        <f>InterestRate*AmortizationMultiplier*IF(ISNUMBER(SEARCH("Actual",$C$7)),Table1578[[#This Row],[Days in month]]/365,1/12)</f>
        <v>6.0333333333333333E-3</v>
      </c>
    </row>
    <row r="291" spans="2:20" x14ac:dyDescent="0.2">
      <c r="B291" s="1">
        <f t="shared" si="14"/>
        <v>54209</v>
      </c>
      <c r="C291" s="2">
        <f t="shared" si="16"/>
        <v>275</v>
      </c>
      <c r="D291" s="3">
        <f t="shared" si="15"/>
        <v>0</v>
      </c>
      <c r="E291" s="3">
        <f>ROUND(Table1578[[#This Row],[Beginning Balance]]*Table1578[[#This Row],[Monthly Interest Rate]],2)</f>
        <v>0</v>
      </c>
      <c r="F291" s="3">
        <f t="shared" si="17"/>
        <v>-272</v>
      </c>
      <c r="G291" s="23">
        <f>IFERROR(IF($C$13="No","N/A",IF(Table1578[[#This Row],[Period]]=1,$C$6,PMT(InterestRate*AmortizationMultiplier/12,Table1578[[#This Row],[Am Thru]],-Table1578[[#This Row],[Beginning Balance]]))),0)</f>
        <v>0</v>
      </c>
      <c r="H291" s="3">
        <f>MAX(0,IF(C291=$C$4,D291,ROUND(IF($C$3="Fixed Principal",$C$6-Table1578[[#This Row],[Interest]],IF($C$3="Interest Only",Table1578[[#This Row],[Beginning Balance]]*ROUND(1-(1-IF($C$11="No",$E$8,1))^(1/12),6),MIN(IF($C$13="Yes",Table1578[[#This Row],[Payment Amount (Reamortized)]],$C$6)-Table1578[[#This Row],[Interest]],Table1578[[#This Row],[Beginning Balance]]))),2)))</f>
        <v>0</v>
      </c>
      <c r="I291" s="3">
        <f>_xlfn.SINGLE(IF($C$3="Line of Credit",0,ROUND(MAX(MIN(IF($C$10="No",$E$7,VLOOKUP(Table1578[[#This Row],[Period]],Forecast!$H$2:$L$1048576,4,FALSE))*Table1578[[#This Row],[Beginning Balance]],Table1578[[#This Row],[Beginning Balance]]-Table1578[[#This Row],[Principal]]),0),2)))</f>
        <v>0</v>
      </c>
      <c r="J291" s="3">
        <f>ROUND(MIN(Table1578[[#This Row],[Beginning Balance]]*IF($C$8="No",$E$3,VLOOKUP(Table1578[[#This Row],[Period]],Forecast!$H$2:$L$1048576,2,FALSE)),Table1578[[#This Row],[Beginning Balance]]-Table1578[[#This Row],[Principal]]-Table1578[[#This Row],[Prepayments]]),2)</f>
        <v>0</v>
      </c>
      <c r="K291" s="3">
        <f>ROUND(Table1578[[#This Row],[Defaulted Principal]]*IF($C$9="No",$E$4,VLOOKUP(Table1578[[#This Row],[Period]],Forecast!$H$2:$L$1048576,3,FALSE)),2)</f>
        <v>0</v>
      </c>
      <c r="L291" s="2">
        <f>Table1578[[#This Row],[Period]]+$E$9</f>
        <v>287</v>
      </c>
      <c r="M291" s="3">
        <f>Table1578[[#This Row],[Defaulted Principal]]-Table1578[[#This Row],[Estimated Loss]]</f>
        <v>0</v>
      </c>
      <c r="N291" s="3">
        <f>IFERROR(VLOOKUP(Table1578[[#This Row],[Period]],$L$16:$M$385,2,FALSE),0)</f>
        <v>0</v>
      </c>
      <c r="O291" s="3">
        <f>Table1578[[#This Row],[Beginning Balance]]-Table1578[[#This Row],[Principal]]-Table1578[[#This Row],[Prepayments]]-Table1578[[#This Row],[Defaulted Principal]]</f>
        <v>0</v>
      </c>
      <c r="P291" s="3">
        <f>Table1578[[#This Row],[Principal]]+Table1578[[#This Row],[Interest]]+Table1578[[#This Row],[Prepayments]]+Table1578[[#This Row],[RecoveredAmount]]</f>
        <v>0</v>
      </c>
      <c r="Q291" s="3">
        <f ca="1">ROUND(Table1578[[#This Row],[Cash Flow]]/((1+ActualRateToUse)^(IF(ISNUMBER(SEARCH("Actual",$C$7)),Table1578[[#This Row],[Running Total]]/365,Table1578[[#This Row],[Period]]/12))),2)</f>
        <v>0</v>
      </c>
      <c r="R291" s="2">
        <f>IF(MONTH(Table1578[[#This Row],[Date]])=2,28,DAY(DATE(YEAR(Table1578[[#This Row],[Date]]),MONTH(Table1578[[#This Row],[Date]])+1,1)-1))</f>
        <v>31</v>
      </c>
      <c r="S291" s="2">
        <f ca="1">SUM(OFFSET(Table1578[[#Headers],[Days in month]],1,0):Table1578[[#This Row],[Days in month]])</f>
        <v>8365</v>
      </c>
      <c r="T291" s="37">
        <f>InterestRate*AmortizationMultiplier*IF(ISNUMBER(SEARCH("Actual",$C$7)),Table1578[[#This Row],[Days in month]]/365,1/12)</f>
        <v>6.2344444444444444E-3</v>
      </c>
    </row>
    <row r="292" spans="2:20" x14ac:dyDescent="0.2">
      <c r="B292" s="1">
        <f t="shared" si="14"/>
        <v>54239</v>
      </c>
      <c r="C292" s="2">
        <f t="shared" si="16"/>
        <v>276</v>
      </c>
      <c r="D292" s="3">
        <f t="shared" si="15"/>
        <v>0</v>
      </c>
      <c r="E292" s="3">
        <f>ROUND(Table1578[[#This Row],[Beginning Balance]]*Table1578[[#This Row],[Monthly Interest Rate]],2)</f>
        <v>0</v>
      </c>
      <c r="F292" s="3">
        <f t="shared" si="17"/>
        <v>-273</v>
      </c>
      <c r="G292" s="23">
        <f>IFERROR(IF($C$13="No","N/A",IF(Table1578[[#This Row],[Period]]=1,$C$6,PMT(InterestRate*AmortizationMultiplier/12,Table1578[[#This Row],[Am Thru]],-Table1578[[#This Row],[Beginning Balance]]))),0)</f>
        <v>0</v>
      </c>
      <c r="H292" s="3">
        <f>MAX(0,IF(C292=$C$4,D292,ROUND(IF($C$3="Fixed Principal",$C$6-Table1578[[#This Row],[Interest]],IF($C$3="Interest Only",Table1578[[#This Row],[Beginning Balance]]*ROUND(1-(1-IF($C$11="No",$E$8,1))^(1/12),6),MIN(IF($C$13="Yes",Table1578[[#This Row],[Payment Amount (Reamortized)]],$C$6)-Table1578[[#This Row],[Interest]],Table1578[[#This Row],[Beginning Balance]]))),2)))</f>
        <v>0</v>
      </c>
      <c r="I292" s="3">
        <f>_xlfn.SINGLE(IF($C$3="Line of Credit",0,ROUND(MAX(MIN(IF($C$10="No",$E$7,VLOOKUP(Table1578[[#This Row],[Period]],Forecast!$H$2:$L$1048576,4,FALSE))*Table1578[[#This Row],[Beginning Balance]],Table1578[[#This Row],[Beginning Balance]]-Table1578[[#This Row],[Principal]]),0),2)))</f>
        <v>0</v>
      </c>
      <c r="J292" s="3">
        <f>ROUND(MIN(Table1578[[#This Row],[Beginning Balance]]*IF($C$8="No",$E$3,VLOOKUP(Table1578[[#This Row],[Period]],Forecast!$H$2:$L$1048576,2,FALSE)),Table1578[[#This Row],[Beginning Balance]]-Table1578[[#This Row],[Principal]]-Table1578[[#This Row],[Prepayments]]),2)</f>
        <v>0</v>
      </c>
      <c r="K292" s="3">
        <f>ROUND(Table1578[[#This Row],[Defaulted Principal]]*IF($C$9="No",$E$4,VLOOKUP(Table1578[[#This Row],[Period]],Forecast!$H$2:$L$1048576,3,FALSE)),2)</f>
        <v>0</v>
      </c>
      <c r="L292" s="2">
        <f>Table1578[[#This Row],[Period]]+$E$9</f>
        <v>288</v>
      </c>
      <c r="M292" s="3">
        <f>Table1578[[#This Row],[Defaulted Principal]]-Table1578[[#This Row],[Estimated Loss]]</f>
        <v>0</v>
      </c>
      <c r="N292" s="3">
        <f>IFERROR(VLOOKUP(Table1578[[#This Row],[Period]],$L$16:$M$385,2,FALSE),0)</f>
        <v>0</v>
      </c>
      <c r="O292" s="3">
        <f>Table1578[[#This Row],[Beginning Balance]]-Table1578[[#This Row],[Principal]]-Table1578[[#This Row],[Prepayments]]-Table1578[[#This Row],[Defaulted Principal]]</f>
        <v>0</v>
      </c>
      <c r="P292" s="3">
        <f>Table1578[[#This Row],[Principal]]+Table1578[[#This Row],[Interest]]+Table1578[[#This Row],[Prepayments]]+Table1578[[#This Row],[RecoveredAmount]]</f>
        <v>0</v>
      </c>
      <c r="Q292" s="3">
        <f ca="1">ROUND(Table1578[[#This Row],[Cash Flow]]/((1+ActualRateToUse)^(IF(ISNUMBER(SEARCH("Actual",$C$7)),Table1578[[#This Row],[Running Total]]/365,Table1578[[#This Row],[Period]]/12))),2)</f>
        <v>0</v>
      </c>
      <c r="R292" s="2">
        <f>IF(MONTH(Table1578[[#This Row],[Date]])=2,28,DAY(DATE(YEAR(Table1578[[#This Row],[Date]]),MONTH(Table1578[[#This Row],[Date]])+1,1)-1))</f>
        <v>30</v>
      </c>
      <c r="S292" s="2">
        <f ca="1">SUM(OFFSET(Table1578[[#Headers],[Days in month]],1,0):Table1578[[#This Row],[Days in month]])</f>
        <v>8395</v>
      </c>
      <c r="T292" s="37">
        <f>InterestRate*AmortizationMultiplier*IF(ISNUMBER(SEARCH("Actual",$C$7)),Table1578[[#This Row],[Days in month]]/365,1/12)</f>
        <v>6.0333333333333333E-3</v>
      </c>
    </row>
    <row r="293" spans="2:20" x14ac:dyDescent="0.2">
      <c r="B293" s="1">
        <f t="shared" si="14"/>
        <v>54270</v>
      </c>
      <c r="C293" s="2">
        <f t="shared" si="16"/>
        <v>277</v>
      </c>
      <c r="D293" s="3">
        <f t="shared" si="15"/>
        <v>0</v>
      </c>
      <c r="E293" s="3">
        <f>ROUND(Table1578[[#This Row],[Beginning Balance]]*Table1578[[#This Row],[Monthly Interest Rate]],2)</f>
        <v>0</v>
      </c>
      <c r="F293" s="3">
        <f t="shared" si="17"/>
        <v>-274</v>
      </c>
      <c r="G293" s="23">
        <f>IFERROR(IF($C$13="No","N/A",IF(Table1578[[#This Row],[Period]]=1,$C$6,PMT(InterestRate*AmortizationMultiplier/12,Table1578[[#This Row],[Am Thru]],-Table1578[[#This Row],[Beginning Balance]]))),0)</f>
        <v>0</v>
      </c>
      <c r="H293" s="3">
        <f>MAX(0,IF(C293=$C$4,D293,ROUND(IF($C$3="Fixed Principal",$C$6-Table1578[[#This Row],[Interest]],IF($C$3="Interest Only",Table1578[[#This Row],[Beginning Balance]]*ROUND(1-(1-IF($C$11="No",$E$8,1))^(1/12),6),MIN(IF($C$13="Yes",Table1578[[#This Row],[Payment Amount (Reamortized)]],$C$6)-Table1578[[#This Row],[Interest]],Table1578[[#This Row],[Beginning Balance]]))),2)))</f>
        <v>0</v>
      </c>
      <c r="I293" s="3">
        <f>_xlfn.SINGLE(IF($C$3="Line of Credit",0,ROUND(MAX(MIN(IF($C$10="No",$E$7,VLOOKUP(Table1578[[#This Row],[Period]],Forecast!$H$2:$L$1048576,4,FALSE))*Table1578[[#This Row],[Beginning Balance]],Table1578[[#This Row],[Beginning Balance]]-Table1578[[#This Row],[Principal]]),0),2)))</f>
        <v>0</v>
      </c>
      <c r="J293" s="3">
        <f>ROUND(MIN(Table1578[[#This Row],[Beginning Balance]]*IF($C$8="No",$E$3,VLOOKUP(Table1578[[#This Row],[Period]],Forecast!$H$2:$L$1048576,2,FALSE)),Table1578[[#This Row],[Beginning Balance]]-Table1578[[#This Row],[Principal]]-Table1578[[#This Row],[Prepayments]]),2)</f>
        <v>0</v>
      </c>
      <c r="K293" s="3">
        <f>ROUND(Table1578[[#This Row],[Defaulted Principal]]*IF($C$9="No",$E$4,VLOOKUP(Table1578[[#This Row],[Period]],Forecast!$H$2:$L$1048576,3,FALSE)),2)</f>
        <v>0</v>
      </c>
      <c r="L293" s="2">
        <f>Table1578[[#This Row],[Period]]+$E$9</f>
        <v>289</v>
      </c>
      <c r="M293" s="3">
        <f>Table1578[[#This Row],[Defaulted Principal]]-Table1578[[#This Row],[Estimated Loss]]</f>
        <v>0</v>
      </c>
      <c r="N293" s="3">
        <f>IFERROR(VLOOKUP(Table1578[[#This Row],[Period]],$L$16:$M$385,2,FALSE),0)</f>
        <v>0</v>
      </c>
      <c r="O293" s="3">
        <f>Table1578[[#This Row],[Beginning Balance]]-Table1578[[#This Row],[Principal]]-Table1578[[#This Row],[Prepayments]]-Table1578[[#This Row],[Defaulted Principal]]</f>
        <v>0</v>
      </c>
      <c r="P293" s="3">
        <f>Table1578[[#This Row],[Principal]]+Table1578[[#This Row],[Interest]]+Table1578[[#This Row],[Prepayments]]+Table1578[[#This Row],[RecoveredAmount]]</f>
        <v>0</v>
      </c>
      <c r="Q293" s="3">
        <f ca="1">ROUND(Table1578[[#This Row],[Cash Flow]]/((1+ActualRateToUse)^(IF(ISNUMBER(SEARCH("Actual",$C$7)),Table1578[[#This Row],[Running Total]]/365,Table1578[[#This Row],[Period]]/12))),2)</f>
        <v>0</v>
      </c>
      <c r="R293" s="2">
        <f>IF(MONTH(Table1578[[#This Row],[Date]])=2,28,DAY(DATE(YEAR(Table1578[[#This Row],[Date]]),MONTH(Table1578[[#This Row],[Date]])+1,1)-1))</f>
        <v>31</v>
      </c>
      <c r="S293" s="2">
        <f ca="1">SUM(OFFSET(Table1578[[#Headers],[Days in month]],1,0):Table1578[[#This Row],[Days in month]])</f>
        <v>8426</v>
      </c>
      <c r="T293" s="37">
        <f>InterestRate*AmortizationMultiplier*IF(ISNUMBER(SEARCH("Actual",$C$7)),Table1578[[#This Row],[Days in month]]/365,1/12)</f>
        <v>6.2344444444444444E-3</v>
      </c>
    </row>
    <row r="294" spans="2:20" x14ac:dyDescent="0.2">
      <c r="B294" s="1">
        <f t="shared" si="14"/>
        <v>54301</v>
      </c>
      <c r="C294" s="2">
        <f t="shared" si="16"/>
        <v>278</v>
      </c>
      <c r="D294" s="3">
        <f t="shared" si="15"/>
        <v>0</v>
      </c>
      <c r="E294" s="3">
        <f>ROUND(Table1578[[#This Row],[Beginning Balance]]*Table1578[[#This Row],[Monthly Interest Rate]],2)</f>
        <v>0</v>
      </c>
      <c r="F294" s="3">
        <f t="shared" si="17"/>
        <v>-275</v>
      </c>
      <c r="G294" s="23">
        <f>IFERROR(IF($C$13="No","N/A",IF(Table1578[[#This Row],[Period]]=1,$C$6,PMT(InterestRate*AmortizationMultiplier/12,Table1578[[#This Row],[Am Thru]],-Table1578[[#This Row],[Beginning Balance]]))),0)</f>
        <v>0</v>
      </c>
      <c r="H294" s="3">
        <f>MAX(0,IF(C294=$C$4,D294,ROUND(IF($C$3="Fixed Principal",$C$6-Table1578[[#This Row],[Interest]],IF($C$3="Interest Only",Table1578[[#This Row],[Beginning Balance]]*ROUND(1-(1-IF($C$11="No",$E$8,1))^(1/12),6),MIN(IF($C$13="Yes",Table1578[[#This Row],[Payment Amount (Reamortized)]],$C$6)-Table1578[[#This Row],[Interest]],Table1578[[#This Row],[Beginning Balance]]))),2)))</f>
        <v>0</v>
      </c>
      <c r="I294" s="3">
        <f>_xlfn.SINGLE(IF($C$3="Line of Credit",0,ROUND(MAX(MIN(IF($C$10="No",$E$7,VLOOKUP(Table1578[[#This Row],[Period]],Forecast!$H$2:$L$1048576,4,FALSE))*Table1578[[#This Row],[Beginning Balance]],Table1578[[#This Row],[Beginning Balance]]-Table1578[[#This Row],[Principal]]),0),2)))</f>
        <v>0</v>
      </c>
      <c r="J294" s="3">
        <f>ROUND(MIN(Table1578[[#This Row],[Beginning Balance]]*IF($C$8="No",$E$3,VLOOKUP(Table1578[[#This Row],[Period]],Forecast!$H$2:$L$1048576,2,FALSE)),Table1578[[#This Row],[Beginning Balance]]-Table1578[[#This Row],[Principal]]-Table1578[[#This Row],[Prepayments]]),2)</f>
        <v>0</v>
      </c>
      <c r="K294" s="3">
        <f>ROUND(Table1578[[#This Row],[Defaulted Principal]]*IF($C$9="No",$E$4,VLOOKUP(Table1578[[#This Row],[Period]],Forecast!$H$2:$L$1048576,3,FALSE)),2)</f>
        <v>0</v>
      </c>
      <c r="L294" s="2">
        <f>Table1578[[#This Row],[Period]]+$E$9</f>
        <v>290</v>
      </c>
      <c r="M294" s="3">
        <f>Table1578[[#This Row],[Defaulted Principal]]-Table1578[[#This Row],[Estimated Loss]]</f>
        <v>0</v>
      </c>
      <c r="N294" s="3">
        <f>IFERROR(VLOOKUP(Table1578[[#This Row],[Period]],$L$16:$M$385,2,FALSE),0)</f>
        <v>0</v>
      </c>
      <c r="O294" s="3">
        <f>Table1578[[#This Row],[Beginning Balance]]-Table1578[[#This Row],[Principal]]-Table1578[[#This Row],[Prepayments]]-Table1578[[#This Row],[Defaulted Principal]]</f>
        <v>0</v>
      </c>
      <c r="P294" s="3">
        <f>Table1578[[#This Row],[Principal]]+Table1578[[#This Row],[Interest]]+Table1578[[#This Row],[Prepayments]]+Table1578[[#This Row],[RecoveredAmount]]</f>
        <v>0</v>
      </c>
      <c r="Q294" s="3">
        <f ca="1">ROUND(Table1578[[#This Row],[Cash Flow]]/((1+ActualRateToUse)^(IF(ISNUMBER(SEARCH("Actual",$C$7)),Table1578[[#This Row],[Running Total]]/365,Table1578[[#This Row],[Period]]/12))),2)</f>
        <v>0</v>
      </c>
      <c r="R294" s="2">
        <f>IF(MONTH(Table1578[[#This Row],[Date]])=2,28,DAY(DATE(YEAR(Table1578[[#This Row],[Date]]),MONTH(Table1578[[#This Row],[Date]])+1,1)-1))</f>
        <v>31</v>
      </c>
      <c r="S294" s="2">
        <f ca="1">SUM(OFFSET(Table1578[[#Headers],[Days in month]],1,0):Table1578[[#This Row],[Days in month]])</f>
        <v>8457</v>
      </c>
      <c r="T294" s="37">
        <f>InterestRate*AmortizationMultiplier*IF(ISNUMBER(SEARCH("Actual",$C$7)),Table1578[[#This Row],[Days in month]]/365,1/12)</f>
        <v>6.2344444444444444E-3</v>
      </c>
    </row>
    <row r="295" spans="2:20" x14ac:dyDescent="0.2">
      <c r="B295" s="1">
        <f t="shared" si="14"/>
        <v>54331</v>
      </c>
      <c r="C295" s="2">
        <f t="shared" si="16"/>
        <v>279</v>
      </c>
      <c r="D295" s="3">
        <f t="shared" si="15"/>
        <v>0</v>
      </c>
      <c r="E295" s="3">
        <f>ROUND(Table1578[[#This Row],[Beginning Balance]]*Table1578[[#This Row],[Monthly Interest Rate]],2)</f>
        <v>0</v>
      </c>
      <c r="F295" s="3">
        <f t="shared" si="17"/>
        <v>-276</v>
      </c>
      <c r="G295" s="23">
        <f>IFERROR(IF($C$13="No","N/A",IF(Table1578[[#This Row],[Period]]=1,$C$6,PMT(InterestRate*AmortizationMultiplier/12,Table1578[[#This Row],[Am Thru]],-Table1578[[#This Row],[Beginning Balance]]))),0)</f>
        <v>0</v>
      </c>
      <c r="H295" s="3">
        <f>MAX(0,IF(C295=$C$4,D295,ROUND(IF($C$3="Fixed Principal",$C$6-Table1578[[#This Row],[Interest]],IF($C$3="Interest Only",Table1578[[#This Row],[Beginning Balance]]*ROUND(1-(1-IF($C$11="No",$E$8,1))^(1/12),6),MIN(IF($C$13="Yes",Table1578[[#This Row],[Payment Amount (Reamortized)]],$C$6)-Table1578[[#This Row],[Interest]],Table1578[[#This Row],[Beginning Balance]]))),2)))</f>
        <v>0</v>
      </c>
      <c r="I295" s="3">
        <f>_xlfn.SINGLE(IF($C$3="Line of Credit",0,ROUND(MAX(MIN(IF($C$10="No",$E$7,VLOOKUP(Table1578[[#This Row],[Period]],Forecast!$H$2:$L$1048576,4,FALSE))*Table1578[[#This Row],[Beginning Balance]],Table1578[[#This Row],[Beginning Balance]]-Table1578[[#This Row],[Principal]]),0),2)))</f>
        <v>0</v>
      </c>
      <c r="J295" s="3">
        <f>ROUND(MIN(Table1578[[#This Row],[Beginning Balance]]*IF($C$8="No",$E$3,VLOOKUP(Table1578[[#This Row],[Period]],Forecast!$H$2:$L$1048576,2,FALSE)),Table1578[[#This Row],[Beginning Balance]]-Table1578[[#This Row],[Principal]]-Table1578[[#This Row],[Prepayments]]),2)</f>
        <v>0</v>
      </c>
      <c r="K295" s="3">
        <f>ROUND(Table1578[[#This Row],[Defaulted Principal]]*IF($C$9="No",$E$4,VLOOKUP(Table1578[[#This Row],[Period]],Forecast!$H$2:$L$1048576,3,FALSE)),2)</f>
        <v>0</v>
      </c>
      <c r="L295" s="2">
        <f>Table1578[[#This Row],[Period]]+$E$9</f>
        <v>291</v>
      </c>
      <c r="M295" s="3">
        <f>Table1578[[#This Row],[Defaulted Principal]]-Table1578[[#This Row],[Estimated Loss]]</f>
        <v>0</v>
      </c>
      <c r="N295" s="3">
        <f>IFERROR(VLOOKUP(Table1578[[#This Row],[Period]],$L$16:$M$385,2,FALSE),0)</f>
        <v>0</v>
      </c>
      <c r="O295" s="3">
        <f>Table1578[[#This Row],[Beginning Balance]]-Table1578[[#This Row],[Principal]]-Table1578[[#This Row],[Prepayments]]-Table1578[[#This Row],[Defaulted Principal]]</f>
        <v>0</v>
      </c>
      <c r="P295" s="3">
        <f>Table1578[[#This Row],[Principal]]+Table1578[[#This Row],[Interest]]+Table1578[[#This Row],[Prepayments]]+Table1578[[#This Row],[RecoveredAmount]]</f>
        <v>0</v>
      </c>
      <c r="Q295" s="3">
        <f ca="1">ROUND(Table1578[[#This Row],[Cash Flow]]/((1+ActualRateToUse)^(IF(ISNUMBER(SEARCH("Actual",$C$7)),Table1578[[#This Row],[Running Total]]/365,Table1578[[#This Row],[Period]]/12))),2)</f>
        <v>0</v>
      </c>
      <c r="R295" s="2">
        <f>IF(MONTH(Table1578[[#This Row],[Date]])=2,28,DAY(DATE(YEAR(Table1578[[#This Row],[Date]]),MONTH(Table1578[[#This Row],[Date]])+1,1)-1))</f>
        <v>30</v>
      </c>
      <c r="S295" s="2">
        <f ca="1">SUM(OFFSET(Table1578[[#Headers],[Days in month]],1,0):Table1578[[#This Row],[Days in month]])</f>
        <v>8487</v>
      </c>
      <c r="T295" s="37">
        <f>InterestRate*AmortizationMultiplier*IF(ISNUMBER(SEARCH("Actual",$C$7)),Table1578[[#This Row],[Days in month]]/365,1/12)</f>
        <v>6.0333333333333333E-3</v>
      </c>
    </row>
    <row r="296" spans="2:20" x14ac:dyDescent="0.2">
      <c r="B296" s="1">
        <f t="shared" si="14"/>
        <v>54362</v>
      </c>
      <c r="C296" s="2">
        <f t="shared" si="16"/>
        <v>280</v>
      </c>
      <c r="D296" s="3">
        <f t="shared" si="15"/>
        <v>0</v>
      </c>
      <c r="E296" s="3">
        <f>ROUND(Table1578[[#This Row],[Beginning Balance]]*Table1578[[#This Row],[Monthly Interest Rate]],2)</f>
        <v>0</v>
      </c>
      <c r="F296" s="3">
        <f t="shared" si="17"/>
        <v>-277</v>
      </c>
      <c r="G296" s="23">
        <f>IFERROR(IF($C$13="No","N/A",IF(Table1578[[#This Row],[Period]]=1,$C$6,PMT(InterestRate*AmortizationMultiplier/12,Table1578[[#This Row],[Am Thru]],-Table1578[[#This Row],[Beginning Balance]]))),0)</f>
        <v>0</v>
      </c>
      <c r="H296" s="3">
        <f>MAX(0,IF(C296=$C$4,D296,ROUND(IF($C$3="Fixed Principal",$C$6-Table1578[[#This Row],[Interest]],IF($C$3="Interest Only",Table1578[[#This Row],[Beginning Balance]]*ROUND(1-(1-IF($C$11="No",$E$8,1))^(1/12),6),MIN(IF($C$13="Yes",Table1578[[#This Row],[Payment Amount (Reamortized)]],$C$6)-Table1578[[#This Row],[Interest]],Table1578[[#This Row],[Beginning Balance]]))),2)))</f>
        <v>0</v>
      </c>
      <c r="I296" s="3">
        <f>_xlfn.SINGLE(IF($C$3="Line of Credit",0,ROUND(MAX(MIN(IF($C$10="No",$E$7,VLOOKUP(Table1578[[#This Row],[Period]],Forecast!$H$2:$L$1048576,4,FALSE))*Table1578[[#This Row],[Beginning Balance]],Table1578[[#This Row],[Beginning Balance]]-Table1578[[#This Row],[Principal]]),0),2)))</f>
        <v>0</v>
      </c>
      <c r="J296" s="3">
        <f>ROUND(MIN(Table1578[[#This Row],[Beginning Balance]]*IF($C$8="No",$E$3,VLOOKUP(Table1578[[#This Row],[Period]],Forecast!$H$2:$L$1048576,2,FALSE)),Table1578[[#This Row],[Beginning Balance]]-Table1578[[#This Row],[Principal]]-Table1578[[#This Row],[Prepayments]]),2)</f>
        <v>0</v>
      </c>
      <c r="K296" s="3">
        <f>ROUND(Table1578[[#This Row],[Defaulted Principal]]*IF($C$9="No",$E$4,VLOOKUP(Table1578[[#This Row],[Period]],Forecast!$H$2:$L$1048576,3,FALSE)),2)</f>
        <v>0</v>
      </c>
      <c r="L296" s="2">
        <f>Table1578[[#This Row],[Period]]+$E$9</f>
        <v>292</v>
      </c>
      <c r="M296" s="3">
        <f>Table1578[[#This Row],[Defaulted Principal]]-Table1578[[#This Row],[Estimated Loss]]</f>
        <v>0</v>
      </c>
      <c r="N296" s="3">
        <f>IFERROR(VLOOKUP(Table1578[[#This Row],[Period]],$L$16:$M$385,2,FALSE),0)</f>
        <v>0</v>
      </c>
      <c r="O296" s="3">
        <f>Table1578[[#This Row],[Beginning Balance]]-Table1578[[#This Row],[Principal]]-Table1578[[#This Row],[Prepayments]]-Table1578[[#This Row],[Defaulted Principal]]</f>
        <v>0</v>
      </c>
      <c r="P296" s="3">
        <f>Table1578[[#This Row],[Principal]]+Table1578[[#This Row],[Interest]]+Table1578[[#This Row],[Prepayments]]+Table1578[[#This Row],[RecoveredAmount]]</f>
        <v>0</v>
      </c>
      <c r="Q296" s="3">
        <f ca="1">ROUND(Table1578[[#This Row],[Cash Flow]]/((1+ActualRateToUse)^(IF(ISNUMBER(SEARCH("Actual",$C$7)),Table1578[[#This Row],[Running Total]]/365,Table1578[[#This Row],[Period]]/12))),2)</f>
        <v>0</v>
      </c>
      <c r="R296" s="2">
        <f>IF(MONTH(Table1578[[#This Row],[Date]])=2,28,DAY(DATE(YEAR(Table1578[[#This Row],[Date]]),MONTH(Table1578[[#This Row],[Date]])+1,1)-1))</f>
        <v>31</v>
      </c>
      <c r="S296" s="2">
        <f ca="1">SUM(OFFSET(Table1578[[#Headers],[Days in month]],1,0):Table1578[[#This Row],[Days in month]])</f>
        <v>8518</v>
      </c>
      <c r="T296" s="37">
        <f>InterestRate*AmortizationMultiplier*IF(ISNUMBER(SEARCH("Actual",$C$7)),Table1578[[#This Row],[Days in month]]/365,1/12)</f>
        <v>6.2344444444444444E-3</v>
      </c>
    </row>
    <row r="297" spans="2:20" x14ac:dyDescent="0.2">
      <c r="B297" s="1">
        <f t="shared" si="14"/>
        <v>54392</v>
      </c>
      <c r="C297" s="2">
        <f t="shared" si="16"/>
        <v>281</v>
      </c>
      <c r="D297" s="3">
        <f t="shared" si="15"/>
        <v>0</v>
      </c>
      <c r="E297" s="3">
        <f>ROUND(Table1578[[#This Row],[Beginning Balance]]*Table1578[[#This Row],[Monthly Interest Rate]],2)</f>
        <v>0</v>
      </c>
      <c r="F297" s="3">
        <f t="shared" si="17"/>
        <v>-278</v>
      </c>
      <c r="G297" s="23">
        <f>IFERROR(IF($C$13="No","N/A",IF(Table1578[[#This Row],[Period]]=1,$C$6,PMT(InterestRate*AmortizationMultiplier/12,Table1578[[#This Row],[Am Thru]],-Table1578[[#This Row],[Beginning Balance]]))),0)</f>
        <v>0</v>
      </c>
      <c r="H297" s="3">
        <f>MAX(0,IF(C297=$C$4,D297,ROUND(IF($C$3="Fixed Principal",$C$6-Table1578[[#This Row],[Interest]],IF($C$3="Interest Only",Table1578[[#This Row],[Beginning Balance]]*ROUND(1-(1-IF($C$11="No",$E$8,1))^(1/12),6),MIN(IF($C$13="Yes",Table1578[[#This Row],[Payment Amount (Reamortized)]],$C$6)-Table1578[[#This Row],[Interest]],Table1578[[#This Row],[Beginning Balance]]))),2)))</f>
        <v>0</v>
      </c>
      <c r="I297" s="3">
        <f>_xlfn.SINGLE(IF($C$3="Line of Credit",0,ROUND(MAX(MIN(IF($C$10="No",$E$7,VLOOKUP(Table1578[[#This Row],[Period]],Forecast!$H$2:$L$1048576,4,FALSE))*Table1578[[#This Row],[Beginning Balance]],Table1578[[#This Row],[Beginning Balance]]-Table1578[[#This Row],[Principal]]),0),2)))</f>
        <v>0</v>
      </c>
      <c r="J297" s="3">
        <f>ROUND(MIN(Table1578[[#This Row],[Beginning Balance]]*IF($C$8="No",$E$3,VLOOKUP(Table1578[[#This Row],[Period]],Forecast!$H$2:$L$1048576,2,FALSE)),Table1578[[#This Row],[Beginning Balance]]-Table1578[[#This Row],[Principal]]-Table1578[[#This Row],[Prepayments]]),2)</f>
        <v>0</v>
      </c>
      <c r="K297" s="3">
        <f>ROUND(Table1578[[#This Row],[Defaulted Principal]]*IF($C$9="No",$E$4,VLOOKUP(Table1578[[#This Row],[Period]],Forecast!$H$2:$L$1048576,3,FALSE)),2)</f>
        <v>0</v>
      </c>
      <c r="L297" s="2">
        <f>Table1578[[#This Row],[Period]]+$E$9</f>
        <v>293</v>
      </c>
      <c r="M297" s="3">
        <f>Table1578[[#This Row],[Defaulted Principal]]-Table1578[[#This Row],[Estimated Loss]]</f>
        <v>0</v>
      </c>
      <c r="N297" s="3">
        <f>IFERROR(VLOOKUP(Table1578[[#This Row],[Period]],$L$16:$M$385,2,FALSE),0)</f>
        <v>0</v>
      </c>
      <c r="O297" s="3">
        <f>Table1578[[#This Row],[Beginning Balance]]-Table1578[[#This Row],[Principal]]-Table1578[[#This Row],[Prepayments]]-Table1578[[#This Row],[Defaulted Principal]]</f>
        <v>0</v>
      </c>
      <c r="P297" s="3">
        <f>Table1578[[#This Row],[Principal]]+Table1578[[#This Row],[Interest]]+Table1578[[#This Row],[Prepayments]]+Table1578[[#This Row],[RecoveredAmount]]</f>
        <v>0</v>
      </c>
      <c r="Q297" s="3">
        <f ca="1">ROUND(Table1578[[#This Row],[Cash Flow]]/((1+ActualRateToUse)^(IF(ISNUMBER(SEARCH("Actual",$C$7)),Table1578[[#This Row],[Running Total]]/365,Table1578[[#This Row],[Period]]/12))),2)</f>
        <v>0</v>
      </c>
      <c r="R297" s="2">
        <f>IF(MONTH(Table1578[[#This Row],[Date]])=2,28,DAY(DATE(YEAR(Table1578[[#This Row],[Date]]),MONTH(Table1578[[#This Row],[Date]])+1,1)-1))</f>
        <v>30</v>
      </c>
      <c r="S297" s="2">
        <f ca="1">SUM(OFFSET(Table1578[[#Headers],[Days in month]],1,0):Table1578[[#This Row],[Days in month]])</f>
        <v>8548</v>
      </c>
      <c r="T297" s="37">
        <f>InterestRate*AmortizationMultiplier*IF(ISNUMBER(SEARCH("Actual",$C$7)),Table1578[[#This Row],[Days in month]]/365,1/12)</f>
        <v>6.0333333333333333E-3</v>
      </c>
    </row>
    <row r="298" spans="2:20" x14ac:dyDescent="0.2">
      <c r="B298" s="1">
        <f t="shared" si="14"/>
        <v>54423</v>
      </c>
      <c r="C298" s="2">
        <f t="shared" si="16"/>
        <v>282</v>
      </c>
      <c r="D298" s="3">
        <f t="shared" si="15"/>
        <v>0</v>
      </c>
      <c r="E298" s="3">
        <f>ROUND(Table1578[[#This Row],[Beginning Balance]]*Table1578[[#This Row],[Monthly Interest Rate]],2)</f>
        <v>0</v>
      </c>
      <c r="F298" s="3">
        <f t="shared" si="17"/>
        <v>-279</v>
      </c>
      <c r="G298" s="23">
        <f>IFERROR(IF($C$13="No","N/A",IF(Table1578[[#This Row],[Period]]=1,$C$6,PMT(InterestRate*AmortizationMultiplier/12,Table1578[[#This Row],[Am Thru]],-Table1578[[#This Row],[Beginning Balance]]))),0)</f>
        <v>0</v>
      </c>
      <c r="H298" s="3">
        <f>MAX(0,IF(C298=$C$4,D298,ROUND(IF($C$3="Fixed Principal",$C$6-Table1578[[#This Row],[Interest]],IF($C$3="Interest Only",Table1578[[#This Row],[Beginning Balance]]*ROUND(1-(1-IF($C$11="No",$E$8,1))^(1/12),6),MIN(IF($C$13="Yes",Table1578[[#This Row],[Payment Amount (Reamortized)]],$C$6)-Table1578[[#This Row],[Interest]],Table1578[[#This Row],[Beginning Balance]]))),2)))</f>
        <v>0</v>
      </c>
      <c r="I298" s="3">
        <f>_xlfn.SINGLE(IF($C$3="Line of Credit",0,ROUND(MAX(MIN(IF($C$10="No",$E$7,VLOOKUP(Table1578[[#This Row],[Period]],Forecast!$H$2:$L$1048576,4,FALSE))*Table1578[[#This Row],[Beginning Balance]],Table1578[[#This Row],[Beginning Balance]]-Table1578[[#This Row],[Principal]]),0),2)))</f>
        <v>0</v>
      </c>
      <c r="J298" s="3">
        <f>ROUND(MIN(Table1578[[#This Row],[Beginning Balance]]*IF($C$8="No",$E$3,VLOOKUP(Table1578[[#This Row],[Period]],Forecast!$H$2:$L$1048576,2,FALSE)),Table1578[[#This Row],[Beginning Balance]]-Table1578[[#This Row],[Principal]]-Table1578[[#This Row],[Prepayments]]),2)</f>
        <v>0</v>
      </c>
      <c r="K298" s="3">
        <f>ROUND(Table1578[[#This Row],[Defaulted Principal]]*IF($C$9="No",$E$4,VLOOKUP(Table1578[[#This Row],[Period]],Forecast!$H$2:$L$1048576,3,FALSE)),2)</f>
        <v>0</v>
      </c>
      <c r="L298" s="2">
        <f>Table1578[[#This Row],[Period]]+$E$9</f>
        <v>294</v>
      </c>
      <c r="M298" s="3">
        <f>Table1578[[#This Row],[Defaulted Principal]]-Table1578[[#This Row],[Estimated Loss]]</f>
        <v>0</v>
      </c>
      <c r="N298" s="3">
        <f>IFERROR(VLOOKUP(Table1578[[#This Row],[Period]],$L$16:$M$385,2,FALSE),0)</f>
        <v>0</v>
      </c>
      <c r="O298" s="3">
        <f>Table1578[[#This Row],[Beginning Balance]]-Table1578[[#This Row],[Principal]]-Table1578[[#This Row],[Prepayments]]-Table1578[[#This Row],[Defaulted Principal]]</f>
        <v>0</v>
      </c>
      <c r="P298" s="3">
        <f>Table1578[[#This Row],[Principal]]+Table1578[[#This Row],[Interest]]+Table1578[[#This Row],[Prepayments]]+Table1578[[#This Row],[RecoveredAmount]]</f>
        <v>0</v>
      </c>
      <c r="Q298" s="3">
        <f ca="1">ROUND(Table1578[[#This Row],[Cash Flow]]/((1+ActualRateToUse)^(IF(ISNUMBER(SEARCH("Actual",$C$7)),Table1578[[#This Row],[Running Total]]/365,Table1578[[#This Row],[Period]]/12))),2)</f>
        <v>0</v>
      </c>
      <c r="R298" s="2">
        <f>IF(MONTH(Table1578[[#This Row],[Date]])=2,28,DAY(DATE(YEAR(Table1578[[#This Row],[Date]]),MONTH(Table1578[[#This Row],[Date]])+1,1)-1))</f>
        <v>31</v>
      </c>
      <c r="S298" s="2">
        <f ca="1">SUM(OFFSET(Table1578[[#Headers],[Days in month]],1,0):Table1578[[#This Row],[Days in month]])</f>
        <v>8579</v>
      </c>
      <c r="T298" s="37">
        <f>InterestRate*AmortizationMultiplier*IF(ISNUMBER(SEARCH("Actual",$C$7)),Table1578[[#This Row],[Days in month]]/365,1/12)</f>
        <v>6.2344444444444444E-3</v>
      </c>
    </row>
    <row r="299" spans="2:20" x14ac:dyDescent="0.2">
      <c r="B299" s="1">
        <f t="shared" si="14"/>
        <v>54454</v>
      </c>
      <c r="C299" s="2">
        <f t="shared" si="16"/>
        <v>283</v>
      </c>
      <c r="D299" s="3">
        <f t="shared" si="15"/>
        <v>0</v>
      </c>
      <c r="E299" s="3">
        <f>ROUND(Table1578[[#This Row],[Beginning Balance]]*Table1578[[#This Row],[Monthly Interest Rate]],2)</f>
        <v>0</v>
      </c>
      <c r="F299" s="3">
        <f t="shared" si="17"/>
        <v>-280</v>
      </c>
      <c r="G299" s="23">
        <f>IFERROR(IF($C$13="No","N/A",IF(Table1578[[#This Row],[Period]]=1,$C$6,PMT(InterestRate*AmortizationMultiplier/12,Table1578[[#This Row],[Am Thru]],-Table1578[[#This Row],[Beginning Balance]]))),0)</f>
        <v>0</v>
      </c>
      <c r="H299" s="3">
        <f>MAX(0,IF(C299=$C$4,D299,ROUND(IF($C$3="Fixed Principal",$C$6-Table1578[[#This Row],[Interest]],IF($C$3="Interest Only",Table1578[[#This Row],[Beginning Balance]]*ROUND(1-(1-IF($C$11="No",$E$8,1))^(1/12),6),MIN(IF($C$13="Yes",Table1578[[#This Row],[Payment Amount (Reamortized)]],$C$6)-Table1578[[#This Row],[Interest]],Table1578[[#This Row],[Beginning Balance]]))),2)))</f>
        <v>0</v>
      </c>
      <c r="I299" s="3">
        <f>_xlfn.SINGLE(IF($C$3="Line of Credit",0,ROUND(MAX(MIN(IF($C$10="No",$E$7,VLOOKUP(Table1578[[#This Row],[Period]],Forecast!$H$2:$L$1048576,4,FALSE))*Table1578[[#This Row],[Beginning Balance]],Table1578[[#This Row],[Beginning Balance]]-Table1578[[#This Row],[Principal]]),0),2)))</f>
        <v>0</v>
      </c>
      <c r="J299" s="3">
        <f>ROUND(MIN(Table1578[[#This Row],[Beginning Balance]]*IF($C$8="No",$E$3,VLOOKUP(Table1578[[#This Row],[Period]],Forecast!$H$2:$L$1048576,2,FALSE)),Table1578[[#This Row],[Beginning Balance]]-Table1578[[#This Row],[Principal]]-Table1578[[#This Row],[Prepayments]]),2)</f>
        <v>0</v>
      </c>
      <c r="K299" s="3">
        <f>ROUND(Table1578[[#This Row],[Defaulted Principal]]*IF($C$9="No",$E$4,VLOOKUP(Table1578[[#This Row],[Period]],Forecast!$H$2:$L$1048576,3,FALSE)),2)</f>
        <v>0</v>
      </c>
      <c r="L299" s="2">
        <f>Table1578[[#This Row],[Period]]+$E$9</f>
        <v>295</v>
      </c>
      <c r="M299" s="3">
        <f>Table1578[[#This Row],[Defaulted Principal]]-Table1578[[#This Row],[Estimated Loss]]</f>
        <v>0</v>
      </c>
      <c r="N299" s="3">
        <f>IFERROR(VLOOKUP(Table1578[[#This Row],[Period]],$L$16:$M$385,2,FALSE),0)</f>
        <v>0</v>
      </c>
      <c r="O299" s="3">
        <f>Table1578[[#This Row],[Beginning Balance]]-Table1578[[#This Row],[Principal]]-Table1578[[#This Row],[Prepayments]]-Table1578[[#This Row],[Defaulted Principal]]</f>
        <v>0</v>
      </c>
      <c r="P299" s="3">
        <f>Table1578[[#This Row],[Principal]]+Table1578[[#This Row],[Interest]]+Table1578[[#This Row],[Prepayments]]+Table1578[[#This Row],[RecoveredAmount]]</f>
        <v>0</v>
      </c>
      <c r="Q299" s="3">
        <f ca="1">ROUND(Table1578[[#This Row],[Cash Flow]]/((1+ActualRateToUse)^(IF(ISNUMBER(SEARCH("Actual",$C$7)),Table1578[[#This Row],[Running Total]]/365,Table1578[[#This Row],[Period]]/12))),2)</f>
        <v>0</v>
      </c>
      <c r="R299" s="2">
        <f>IF(MONTH(Table1578[[#This Row],[Date]])=2,28,DAY(DATE(YEAR(Table1578[[#This Row],[Date]]),MONTH(Table1578[[#This Row],[Date]])+1,1)-1))</f>
        <v>31</v>
      </c>
      <c r="S299" s="2">
        <f ca="1">SUM(OFFSET(Table1578[[#Headers],[Days in month]],1,0):Table1578[[#This Row],[Days in month]])</f>
        <v>8610</v>
      </c>
      <c r="T299" s="37">
        <f>InterestRate*AmortizationMultiplier*IF(ISNUMBER(SEARCH("Actual",$C$7)),Table1578[[#This Row],[Days in month]]/365,1/12)</f>
        <v>6.2344444444444444E-3</v>
      </c>
    </row>
    <row r="300" spans="2:20" x14ac:dyDescent="0.2">
      <c r="B300" s="1">
        <f t="shared" si="14"/>
        <v>54482</v>
      </c>
      <c r="C300" s="2">
        <f t="shared" si="16"/>
        <v>284</v>
      </c>
      <c r="D300" s="3">
        <f t="shared" si="15"/>
        <v>0</v>
      </c>
      <c r="E300" s="3">
        <f>ROUND(Table1578[[#This Row],[Beginning Balance]]*Table1578[[#This Row],[Monthly Interest Rate]],2)</f>
        <v>0</v>
      </c>
      <c r="F300" s="3">
        <f t="shared" si="17"/>
        <v>-281</v>
      </c>
      <c r="G300" s="23">
        <f>IFERROR(IF($C$13="No","N/A",IF(Table1578[[#This Row],[Period]]=1,$C$6,PMT(InterestRate*AmortizationMultiplier/12,Table1578[[#This Row],[Am Thru]],-Table1578[[#This Row],[Beginning Balance]]))),0)</f>
        <v>0</v>
      </c>
      <c r="H300" s="3">
        <f>MAX(0,IF(C300=$C$4,D300,ROUND(IF($C$3="Fixed Principal",$C$6-Table1578[[#This Row],[Interest]],IF($C$3="Interest Only",Table1578[[#This Row],[Beginning Balance]]*ROUND(1-(1-IF($C$11="No",$E$8,1))^(1/12),6),MIN(IF($C$13="Yes",Table1578[[#This Row],[Payment Amount (Reamortized)]],$C$6)-Table1578[[#This Row],[Interest]],Table1578[[#This Row],[Beginning Balance]]))),2)))</f>
        <v>0</v>
      </c>
      <c r="I300" s="3">
        <f>_xlfn.SINGLE(IF($C$3="Line of Credit",0,ROUND(MAX(MIN(IF($C$10="No",$E$7,VLOOKUP(Table1578[[#This Row],[Period]],Forecast!$H$2:$L$1048576,4,FALSE))*Table1578[[#This Row],[Beginning Balance]],Table1578[[#This Row],[Beginning Balance]]-Table1578[[#This Row],[Principal]]),0),2)))</f>
        <v>0</v>
      </c>
      <c r="J300" s="3">
        <f>ROUND(MIN(Table1578[[#This Row],[Beginning Balance]]*IF($C$8="No",$E$3,VLOOKUP(Table1578[[#This Row],[Period]],Forecast!$H$2:$L$1048576,2,FALSE)),Table1578[[#This Row],[Beginning Balance]]-Table1578[[#This Row],[Principal]]-Table1578[[#This Row],[Prepayments]]),2)</f>
        <v>0</v>
      </c>
      <c r="K300" s="3">
        <f>ROUND(Table1578[[#This Row],[Defaulted Principal]]*IF($C$9="No",$E$4,VLOOKUP(Table1578[[#This Row],[Period]],Forecast!$H$2:$L$1048576,3,FALSE)),2)</f>
        <v>0</v>
      </c>
      <c r="L300" s="2">
        <f>Table1578[[#This Row],[Period]]+$E$9</f>
        <v>296</v>
      </c>
      <c r="M300" s="3">
        <f>Table1578[[#This Row],[Defaulted Principal]]-Table1578[[#This Row],[Estimated Loss]]</f>
        <v>0</v>
      </c>
      <c r="N300" s="3">
        <f>IFERROR(VLOOKUP(Table1578[[#This Row],[Period]],$L$16:$M$385,2,FALSE),0)</f>
        <v>0</v>
      </c>
      <c r="O300" s="3">
        <f>Table1578[[#This Row],[Beginning Balance]]-Table1578[[#This Row],[Principal]]-Table1578[[#This Row],[Prepayments]]-Table1578[[#This Row],[Defaulted Principal]]</f>
        <v>0</v>
      </c>
      <c r="P300" s="3">
        <f>Table1578[[#This Row],[Principal]]+Table1578[[#This Row],[Interest]]+Table1578[[#This Row],[Prepayments]]+Table1578[[#This Row],[RecoveredAmount]]</f>
        <v>0</v>
      </c>
      <c r="Q300" s="3">
        <f ca="1">ROUND(Table1578[[#This Row],[Cash Flow]]/((1+ActualRateToUse)^(IF(ISNUMBER(SEARCH("Actual",$C$7)),Table1578[[#This Row],[Running Total]]/365,Table1578[[#This Row],[Period]]/12))),2)</f>
        <v>0</v>
      </c>
      <c r="R300" s="2">
        <f>IF(MONTH(Table1578[[#This Row],[Date]])=2,28,DAY(DATE(YEAR(Table1578[[#This Row],[Date]]),MONTH(Table1578[[#This Row],[Date]])+1,1)-1))</f>
        <v>28</v>
      </c>
      <c r="S300" s="2">
        <f ca="1">SUM(OFFSET(Table1578[[#Headers],[Days in month]],1,0):Table1578[[#This Row],[Days in month]])</f>
        <v>8638</v>
      </c>
      <c r="T300" s="37">
        <f>InterestRate*AmortizationMultiplier*IF(ISNUMBER(SEARCH("Actual",$C$7)),Table1578[[#This Row],[Days in month]]/365,1/12)</f>
        <v>5.6311111111111119E-3</v>
      </c>
    </row>
    <row r="301" spans="2:20" x14ac:dyDescent="0.2">
      <c r="B301" s="1">
        <f t="shared" si="14"/>
        <v>54513</v>
      </c>
      <c r="C301" s="2">
        <f t="shared" si="16"/>
        <v>285</v>
      </c>
      <c r="D301" s="3">
        <f t="shared" si="15"/>
        <v>0</v>
      </c>
      <c r="E301" s="3">
        <f>ROUND(Table1578[[#This Row],[Beginning Balance]]*Table1578[[#This Row],[Monthly Interest Rate]],2)</f>
        <v>0</v>
      </c>
      <c r="F301" s="3">
        <f t="shared" si="17"/>
        <v>-282</v>
      </c>
      <c r="G301" s="23">
        <f>IFERROR(IF($C$13="No","N/A",IF(Table1578[[#This Row],[Period]]=1,$C$6,PMT(InterestRate*AmortizationMultiplier/12,Table1578[[#This Row],[Am Thru]],-Table1578[[#This Row],[Beginning Balance]]))),0)</f>
        <v>0</v>
      </c>
      <c r="H301" s="3">
        <f>MAX(0,IF(C301=$C$4,D301,ROUND(IF($C$3="Fixed Principal",$C$6-Table1578[[#This Row],[Interest]],IF($C$3="Interest Only",Table1578[[#This Row],[Beginning Balance]]*ROUND(1-(1-IF($C$11="No",$E$8,1))^(1/12),6),MIN(IF($C$13="Yes",Table1578[[#This Row],[Payment Amount (Reamortized)]],$C$6)-Table1578[[#This Row],[Interest]],Table1578[[#This Row],[Beginning Balance]]))),2)))</f>
        <v>0</v>
      </c>
      <c r="I301" s="3">
        <f>_xlfn.SINGLE(IF($C$3="Line of Credit",0,ROUND(MAX(MIN(IF($C$10="No",$E$7,VLOOKUP(Table1578[[#This Row],[Period]],Forecast!$H$2:$L$1048576,4,FALSE))*Table1578[[#This Row],[Beginning Balance]],Table1578[[#This Row],[Beginning Balance]]-Table1578[[#This Row],[Principal]]),0),2)))</f>
        <v>0</v>
      </c>
      <c r="J301" s="3">
        <f>ROUND(MIN(Table1578[[#This Row],[Beginning Balance]]*IF($C$8="No",$E$3,VLOOKUP(Table1578[[#This Row],[Period]],Forecast!$H$2:$L$1048576,2,FALSE)),Table1578[[#This Row],[Beginning Balance]]-Table1578[[#This Row],[Principal]]-Table1578[[#This Row],[Prepayments]]),2)</f>
        <v>0</v>
      </c>
      <c r="K301" s="3">
        <f>ROUND(Table1578[[#This Row],[Defaulted Principal]]*IF($C$9="No",$E$4,VLOOKUP(Table1578[[#This Row],[Period]],Forecast!$H$2:$L$1048576,3,FALSE)),2)</f>
        <v>0</v>
      </c>
      <c r="L301" s="2">
        <f>Table1578[[#This Row],[Period]]+$E$9</f>
        <v>297</v>
      </c>
      <c r="M301" s="3">
        <f>Table1578[[#This Row],[Defaulted Principal]]-Table1578[[#This Row],[Estimated Loss]]</f>
        <v>0</v>
      </c>
      <c r="N301" s="3">
        <f>IFERROR(VLOOKUP(Table1578[[#This Row],[Period]],$L$16:$M$385,2,FALSE),0)</f>
        <v>0</v>
      </c>
      <c r="O301" s="3">
        <f>Table1578[[#This Row],[Beginning Balance]]-Table1578[[#This Row],[Principal]]-Table1578[[#This Row],[Prepayments]]-Table1578[[#This Row],[Defaulted Principal]]</f>
        <v>0</v>
      </c>
      <c r="P301" s="3">
        <f>Table1578[[#This Row],[Principal]]+Table1578[[#This Row],[Interest]]+Table1578[[#This Row],[Prepayments]]+Table1578[[#This Row],[RecoveredAmount]]</f>
        <v>0</v>
      </c>
      <c r="Q301" s="3">
        <f ca="1">ROUND(Table1578[[#This Row],[Cash Flow]]/((1+ActualRateToUse)^(IF(ISNUMBER(SEARCH("Actual",$C$7)),Table1578[[#This Row],[Running Total]]/365,Table1578[[#This Row],[Period]]/12))),2)</f>
        <v>0</v>
      </c>
      <c r="R301" s="2">
        <f>IF(MONTH(Table1578[[#This Row],[Date]])=2,28,DAY(DATE(YEAR(Table1578[[#This Row],[Date]]),MONTH(Table1578[[#This Row],[Date]])+1,1)-1))</f>
        <v>31</v>
      </c>
      <c r="S301" s="2">
        <f ca="1">SUM(OFFSET(Table1578[[#Headers],[Days in month]],1,0):Table1578[[#This Row],[Days in month]])</f>
        <v>8669</v>
      </c>
      <c r="T301" s="37">
        <f>InterestRate*AmortizationMultiplier*IF(ISNUMBER(SEARCH("Actual",$C$7)),Table1578[[#This Row],[Days in month]]/365,1/12)</f>
        <v>6.2344444444444444E-3</v>
      </c>
    </row>
    <row r="302" spans="2:20" x14ac:dyDescent="0.2">
      <c r="B302" s="1">
        <f t="shared" si="14"/>
        <v>54543</v>
      </c>
      <c r="C302" s="2">
        <f t="shared" si="16"/>
        <v>286</v>
      </c>
      <c r="D302" s="3">
        <f t="shared" si="15"/>
        <v>0</v>
      </c>
      <c r="E302" s="3">
        <f>ROUND(Table1578[[#This Row],[Beginning Balance]]*Table1578[[#This Row],[Monthly Interest Rate]],2)</f>
        <v>0</v>
      </c>
      <c r="F302" s="3">
        <f t="shared" si="17"/>
        <v>-283</v>
      </c>
      <c r="G302" s="23">
        <f>IFERROR(IF($C$13="No","N/A",IF(Table1578[[#This Row],[Period]]=1,$C$6,PMT(InterestRate*AmortizationMultiplier/12,Table1578[[#This Row],[Am Thru]],-Table1578[[#This Row],[Beginning Balance]]))),0)</f>
        <v>0</v>
      </c>
      <c r="H302" s="3">
        <f>MAX(0,IF(C302=$C$4,D302,ROUND(IF($C$3="Fixed Principal",$C$6-Table1578[[#This Row],[Interest]],IF($C$3="Interest Only",Table1578[[#This Row],[Beginning Balance]]*ROUND(1-(1-IF($C$11="No",$E$8,1))^(1/12),6),MIN(IF($C$13="Yes",Table1578[[#This Row],[Payment Amount (Reamortized)]],$C$6)-Table1578[[#This Row],[Interest]],Table1578[[#This Row],[Beginning Balance]]))),2)))</f>
        <v>0</v>
      </c>
      <c r="I302" s="3">
        <f>_xlfn.SINGLE(IF($C$3="Line of Credit",0,ROUND(MAX(MIN(IF($C$10="No",$E$7,VLOOKUP(Table1578[[#This Row],[Period]],Forecast!$H$2:$L$1048576,4,FALSE))*Table1578[[#This Row],[Beginning Balance]],Table1578[[#This Row],[Beginning Balance]]-Table1578[[#This Row],[Principal]]),0),2)))</f>
        <v>0</v>
      </c>
      <c r="J302" s="3">
        <f>ROUND(MIN(Table1578[[#This Row],[Beginning Balance]]*IF($C$8="No",$E$3,VLOOKUP(Table1578[[#This Row],[Period]],Forecast!$H$2:$L$1048576,2,FALSE)),Table1578[[#This Row],[Beginning Balance]]-Table1578[[#This Row],[Principal]]-Table1578[[#This Row],[Prepayments]]),2)</f>
        <v>0</v>
      </c>
      <c r="K302" s="3">
        <f>ROUND(Table1578[[#This Row],[Defaulted Principal]]*IF($C$9="No",$E$4,VLOOKUP(Table1578[[#This Row],[Period]],Forecast!$H$2:$L$1048576,3,FALSE)),2)</f>
        <v>0</v>
      </c>
      <c r="L302" s="2">
        <f>Table1578[[#This Row],[Period]]+$E$9</f>
        <v>298</v>
      </c>
      <c r="M302" s="3">
        <f>Table1578[[#This Row],[Defaulted Principal]]-Table1578[[#This Row],[Estimated Loss]]</f>
        <v>0</v>
      </c>
      <c r="N302" s="3">
        <f>IFERROR(VLOOKUP(Table1578[[#This Row],[Period]],$L$16:$M$385,2,FALSE),0)</f>
        <v>0</v>
      </c>
      <c r="O302" s="3">
        <f>Table1578[[#This Row],[Beginning Balance]]-Table1578[[#This Row],[Principal]]-Table1578[[#This Row],[Prepayments]]-Table1578[[#This Row],[Defaulted Principal]]</f>
        <v>0</v>
      </c>
      <c r="P302" s="3">
        <f>Table1578[[#This Row],[Principal]]+Table1578[[#This Row],[Interest]]+Table1578[[#This Row],[Prepayments]]+Table1578[[#This Row],[RecoveredAmount]]</f>
        <v>0</v>
      </c>
      <c r="Q302" s="3">
        <f ca="1">ROUND(Table1578[[#This Row],[Cash Flow]]/((1+ActualRateToUse)^(IF(ISNUMBER(SEARCH("Actual",$C$7)),Table1578[[#This Row],[Running Total]]/365,Table1578[[#This Row],[Period]]/12))),2)</f>
        <v>0</v>
      </c>
      <c r="R302" s="2">
        <f>IF(MONTH(Table1578[[#This Row],[Date]])=2,28,DAY(DATE(YEAR(Table1578[[#This Row],[Date]]),MONTH(Table1578[[#This Row],[Date]])+1,1)-1))</f>
        <v>30</v>
      </c>
      <c r="S302" s="2">
        <f ca="1">SUM(OFFSET(Table1578[[#Headers],[Days in month]],1,0):Table1578[[#This Row],[Days in month]])</f>
        <v>8699</v>
      </c>
      <c r="T302" s="37">
        <f>InterestRate*AmortizationMultiplier*IF(ISNUMBER(SEARCH("Actual",$C$7)),Table1578[[#This Row],[Days in month]]/365,1/12)</f>
        <v>6.0333333333333333E-3</v>
      </c>
    </row>
    <row r="303" spans="2:20" x14ac:dyDescent="0.2">
      <c r="B303" s="1">
        <f t="shared" si="14"/>
        <v>54574</v>
      </c>
      <c r="C303" s="2">
        <f t="shared" si="16"/>
        <v>287</v>
      </c>
      <c r="D303" s="3">
        <f t="shared" si="15"/>
        <v>0</v>
      </c>
      <c r="E303" s="3">
        <f>ROUND(Table1578[[#This Row],[Beginning Balance]]*Table1578[[#This Row],[Monthly Interest Rate]],2)</f>
        <v>0</v>
      </c>
      <c r="F303" s="3">
        <f t="shared" si="17"/>
        <v>-284</v>
      </c>
      <c r="G303" s="23">
        <f>IFERROR(IF($C$13="No","N/A",IF(Table1578[[#This Row],[Period]]=1,$C$6,PMT(InterestRate*AmortizationMultiplier/12,Table1578[[#This Row],[Am Thru]],-Table1578[[#This Row],[Beginning Balance]]))),0)</f>
        <v>0</v>
      </c>
      <c r="H303" s="3">
        <f>MAX(0,IF(C303=$C$4,D303,ROUND(IF($C$3="Fixed Principal",$C$6-Table1578[[#This Row],[Interest]],IF($C$3="Interest Only",Table1578[[#This Row],[Beginning Balance]]*ROUND(1-(1-IF($C$11="No",$E$8,1))^(1/12),6),MIN(IF($C$13="Yes",Table1578[[#This Row],[Payment Amount (Reamortized)]],$C$6)-Table1578[[#This Row],[Interest]],Table1578[[#This Row],[Beginning Balance]]))),2)))</f>
        <v>0</v>
      </c>
      <c r="I303" s="3">
        <f>_xlfn.SINGLE(IF($C$3="Line of Credit",0,ROUND(MAX(MIN(IF($C$10="No",$E$7,VLOOKUP(Table1578[[#This Row],[Period]],Forecast!$H$2:$L$1048576,4,FALSE))*Table1578[[#This Row],[Beginning Balance]],Table1578[[#This Row],[Beginning Balance]]-Table1578[[#This Row],[Principal]]),0),2)))</f>
        <v>0</v>
      </c>
      <c r="J303" s="3">
        <f>ROUND(MIN(Table1578[[#This Row],[Beginning Balance]]*IF($C$8="No",$E$3,VLOOKUP(Table1578[[#This Row],[Period]],Forecast!$H$2:$L$1048576,2,FALSE)),Table1578[[#This Row],[Beginning Balance]]-Table1578[[#This Row],[Principal]]-Table1578[[#This Row],[Prepayments]]),2)</f>
        <v>0</v>
      </c>
      <c r="K303" s="3">
        <f>ROUND(Table1578[[#This Row],[Defaulted Principal]]*IF($C$9="No",$E$4,VLOOKUP(Table1578[[#This Row],[Period]],Forecast!$H$2:$L$1048576,3,FALSE)),2)</f>
        <v>0</v>
      </c>
      <c r="L303" s="2">
        <f>Table1578[[#This Row],[Period]]+$E$9</f>
        <v>299</v>
      </c>
      <c r="M303" s="3">
        <f>Table1578[[#This Row],[Defaulted Principal]]-Table1578[[#This Row],[Estimated Loss]]</f>
        <v>0</v>
      </c>
      <c r="N303" s="3">
        <f>IFERROR(VLOOKUP(Table1578[[#This Row],[Period]],$L$16:$M$385,2,FALSE),0)</f>
        <v>0</v>
      </c>
      <c r="O303" s="3">
        <f>Table1578[[#This Row],[Beginning Balance]]-Table1578[[#This Row],[Principal]]-Table1578[[#This Row],[Prepayments]]-Table1578[[#This Row],[Defaulted Principal]]</f>
        <v>0</v>
      </c>
      <c r="P303" s="3">
        <f>Table1578[[#This Row],[Principal]]+Table1578[[#This Row],[Interest]]+Table1578[[#This Row],[Prepayments]]+Table1578[[#This Row],[RecoveredAmount]]</f>
        <v>0</v>
      </c>
      <c r="Q303" s="3">
        <f ca="1">ROUND(Table1578[[#This Row],[Cash Flow]]/((1+ActualRateToUse)^(IF(ISNUMBER(SEARCH("Actual",$C$7)),Table1578[[#This Row],[Running Total]]/365,Table1578[[#This Row],[Period]]/12))),2)</f>
        <v>0</v>
      </c>
      <c r="R303" s="2">
        <f>IF(MONTH(Table1578[[#This Row],[Date]])=2,28,DAY(DATE(YEAR(Table1578[[#This Row],[Date]]),MONTH(Table1578[[#This Row],[Date]])+1,1)-1))</f>
        <v>31</v>
      </c>
      <c r="S303" s="2">
        <f ca="1">SUM(OFFSET(Table1578[[#Headers],[Days in month]],1,0):Table1578[[#This Row],[Days in month]])</f>
        <v>8730</v>
      </c>
      <c r="T303" s="37">
        <f>InterestRate*AmortizationMultiplier*IF(ISNUMBER(SEARCH("Actual",$C$7)),Table1578[[#This Row],[Days in month]]/365,1/12)</f>
        <v>6.2344444444444444E-3</v>
      </c>
    </row>
    <row r="304" spans="2:20" x14ac:dyDescent="0.2">
      <c r="B304" s="1">
        <f t="shared" si="14"/>
        <v>54604</v>
      </c>
      <c r="C304" s="2">
        <f t="shared" si="16"/>
        <v>288</v>
      </c>
      <c r="D304" s="3">
        <f t="shared" si="15"/>
        <v>0</v>
      </c>
      <c r="E304" s="3">
        <f>ROUND(Table1578[[#This Row],[Beginning Balance]]*Table1578[[#This Row],[Monthly Interest Rate]],2)</f>
        <v>0</v>
      </c>
      <c r="F304" s="3">
        <f t="shared" si="17"/>
        <v>-285</v>
      </c>
      <c r="G304" s="23">
        <f>IFERROR(IF($C$13="No","N/A",IF(Table1578[[#This Row],[Period]]=1,$C$6,PMT(InterestRate*AmortizationMultiplier/12,Table1578[[#This Row],[Am Thru]],-Table1578[[#This Row],[Beginning Balance]]))),0)</f>
        <v>0</v>
      </c>
      <c r="H304" s="3">
        <f>MAX(0,IF(C304=$C$4,D304,ROUND(IF($C$3="Fixed Principal",$C$6-Table1578[[#This Row],[Interest]],IF($C$3="Interest Only",Table1578[[#This Row],[Beginning Balance]]*ROUND(1-(1-IF($C$11="No",$E$8,1))^(1/12),6),MIN(IF($C$13="Yes",Table1578[[#This Row],[Payment Amount (Reamortized)]],$C$6)-Table1578[[#This Row],[Interest]],Table1578[[#This Row],[Beginning Balance]]))),2)))</f>
        <v>0</v>
      </c>
      <c r="I304" s="3">
        <f>_xlfn.SINGLE(IF($C$3="Line of Credit",0,ROUND(MAX(MIN(IF($C$10="No",$E$7,VLOOKUP(Table1578[[#This Row],[Period]],Forecast!$H$2:$L$1048576,4,FALSE))*Table1578[[#This Row],[Beginning Balance]],Table1578[[#This Row],[Beginning Balance]]-Table1578[[#This Row],[Principal]]),0),2)))</f>
        <v>0</v>
      </c>
      <c r="J304" s="3">
        <f>ROUND(MIN(Table1578[[#This Row],[Beginning Balance]]*IF($C$8="No",$E$3,VLOOKUP(Table1578[[#This Row],[Period]],Forecast!$H$2:$L$1048576,2,FALSE)),Table1578[[#This Row],[Beginning Balance]]-Table1578[[#This Row],[Principal]]-Table1578[[#This Row],[Prepayments]]),2)</f>
        <v>0</v>
      </c>
      <c r="K304" s="3">
        <f>ROUND(Table1578[[#This Row],[Defaulted Principal]]*IF($C$9="No",$E$4,VLOOKUP(Table1578[[#This Row],[Period]],Forecast!$H$2:$L$1048576,3,FALSE)),2)</f>
        <v>0</v>
      </c>
      <c r="L304" s="2">
        <f>Table1578[[#This Row],[Period]]+$E$9</f>
        <v>300</v>
      </c>
      <c r="M304" s="3">
        <f>Table1578[[#This Row],[Defaulted Principal]]-Table1578[[#This Row],[Estimated Loss]]</f>
        <v>0</v>
      </c>
      <c r="N304" s="3">
        <f>IFERROR(VLOOKUP(Table1578[[#This Row],[Period]],$L$16:$M$385,2,FALSE),0)</f>
        <v>0</v>
      </c>
      <c r="O304" s="3">
        <f>Table1578[[#This Row],[Beginning Balance]]-Table1578[[#This Row],[Principal]]-Table1578[[#This Row],[Prepayments]]-Table1578[[#This Row],[Defaulted Principal]]</f>
        <v>0</v>
      </c>
      <c r="P304" s="3">
        <f>Table1578[[#This Row],[Principal]]+Table1578[[#This Row],[Interest]]+Table1578[[#This Row],[Prepayments]]+Table1578[[#This Row],[RecoveredAmount]]</f>
        <v>0</v>
      </c>
      <c r="Q304" s="3">
        <f ca="1">ROUND(Table1578[[#This Row],[Cash Flow]]/((1+ActualRateToUse)^(IF(ISNUMBER(SEARCH("Actual",$C$7)),Table1578[[#This Row],[Running Total]]/365,Table1578[[#This Row],[Period]]/12))),2)</f>
        <v>0</v>
      </c>
      <c r="R304" s="2">
        <f>IF(MONTH(Table1578[[#This Row],[Date]])=2,28,DAY(DATE(YEAR(Table1578[[#This Row],[Date]]),MONTH(Table1578[[#This Row],[Date]])+1,1)-1))</f>
        <v>30</v>
      </c>
      <c r="S304" s="2">
        <f ca="1">SUM(OFFSET(Table1578[[#Headers],[Days in month]],1,0):Table1578[[#This Row],[Days in month]])</f>
        <v>8760</v>
      </c>
      <c r="T304" s="37">
        <f>InterestRate*AmortizationMultiplier*IF(ISNUMBER(SEARCH("Actual",$C$7)),Table1578[[#This Row],[Days in month]]/365,1/12)</f>
        <v>6.0333333333333333E-3</v>
      </c>
    </row>
    <row r="305" spans="2:20" x14ac:dyDescent="0.2">
      <c r="B305" s="1">
        <f t="shared" si="14"/>
        <v>54635</v>
      </c>
      <c r="C305" s="2">
        <f t="shared" si="16"/>
        <v>289</v>
      </c>
      <c r="D305" s="3">
        <f t="shared" si="15"/>
        <v>0</v>
      </c>
      <c r="E305" s="3">
        <f>ROUND(Table1578[[#This Row],[Beginning Balance]]*Table1578[[#This Row],[Monthly Interest Rate]],2)</f>
        <v>0</v>
      </c>
      <c r="F305" s="3">
        <f t="shared" si="17"/>
        <v>-286</v>
      </c>
      <c r="G305" s="23">
        <f>IFERROR(IF($C$13="No","N/A",IF(Table1578[[#This Row],[Period]]=1,$C$6,PMT(InterestRate*AmortizationMultiplier/12,Table1578[[#This Row],[Am Thru]],-Table1578[[#This Row],[Beginning Balance]]))),0)</f>
        <v>0</v>
      </c>
      <c r="H305" s="3">
        <f>MAX(0,IF(C305=$C$4,D305,ROUND(IF($C$3="Fixed Principal",$C$6-Table1578[[#This Row],[Interest]],IF($C$3="Interest Only",Table1578[[#This Row],[Beginning Balance]]*ROUND(1-(1-IF($C$11="No",$E$8,1))^(1/12),6),MIN(IF($C$13="Yes",Table1578[[#This Row],[Payment Amount (Reamortized)]],$C$6)-Table1578[[#This Row],[Interest]],Table1578[[#This Row],[Beginning Balance]]))),2)))</f>
        <v>0</v>
      </c>
      <c r="I305" s="3">
        <f>_xlfn.SINGLE(IF($C$3="Line of Credit",0,ROUND(MAX(MIN(IF($C$10="No",$E$7,VLOOKUP(Table1578[[#This Row],[Period]],Forecast!$H$2:$L$1048576,4,FALSE))*Table1578[[#This Row],[Beginning Balance]],Table1578[[#This Row],[Beginning Balance]]-Table1578[[#This Row],[Principal]]),0),2)))</f>
        <v>0</v>
      </c>
      <c r="J305" s="3">
        <f>ROUND(MIN(Table1578[[#This Row],[Beginning Balance]]*IF($C$8="No",$E$3,VLOOKUP(Table1578[[#This Row],[Period]],Forecast!$H$2:$L$1048576,2,FALSE)),Table1578[[#This Row],[Beginning Balance]]-Table1578[[#This Row],[Principal]]-Table1578[[#This Row],[Prepayments]]),2)</f>
        <v>0</v>
      </c>
      <c r="K305" s="3">
        <f>ROUND(Table1578[[#This Row],[Defaulted Principal]]*IF($C$9="No",$E$4,VLOOKUP(Table1578[[#This Row],[Period]],Forecast!$H$2:$L$1048576,3,FALSE)),2)</f>
        <v>0</v>
      </c>
      <c r="L305" s="2">
        <f>Table1578[[#This Row],[Period]]+$E$9</f>
        <v>301</v>
      </c>
      <c r="M305" s="3">
        <f>Table1578[[#This Row],[Defaulted Principal]]-Table1578[[#This Row],[Estimated Loss]]</f>
        <v>0</v>
      </c>
      <c r="N305" s="3">
        <f>IFERROR(VLOOKUP(Table1578[[#This Row],[Period]],$L$16:$M$385,2,FALSE),0)</f>
        <v>0</v>
      </c>
      <c r="O305" s="3">
        <f>Table1578[[#This Row],[Beginning Balance]]-Table1578[[#This Row],[Principal]]-Table1578[[#This Row],[Prepayments]]-Table1578[[#This Row],[Defaulted Principal]]</f>
        <v>0</v>
      </c>
      <c r="P305" s="3">
        <f>Table1578[[#This Row],[Principal]]+Table1578[[#This Row],[Interest]]+Table1578[[#This Row],[Prepayments]]+Table1578[[#This Row],[RecoveredAmount]]</f>
        <v>0</v>
      </c>
      <c r="Q305" s="3">
        <f ca="1">ROUND(Table1578[[#This Row],[Cash Flow]]/((1+ActualRateToUse)^(IF(ISNUMBER(SEARCH("Actual",$C$7)),Table1578[[#This Row],[Running Total]]/365,Table1578[[#This Row],[Period]]/12))),2)</f>
        <v>0</v>
      </c>
      <c r="R305" s="2">
        <f>IF(MONTH(Table1578[[#This Row],[Date]])=2,28,DAY(DATE(YEAR(Table1578[[#This Row],[Date]]),MONTH(Table1578[[#This Row],[Date]])+1,1)-1))</f>
        <v>31</v>
      </c>
      <c r="S305" s="2">
        <f ca="1">SUM(OFFSET(Table1578[[#Headers],[Days in month]],1,0):Table1578[[#This Row],[Days in month]])</f>
        <v>8791</v>
      </c>
      <c r="T305" s="37">
        <f>InterestRate*AmortizationMultiplier*IF(ISNUMBER(SEARCH("Actual",$C$7)),Table1578[[#This Row],[Days in month]]/365,1/12)</f>
        <v>6.2344444444444444E-3</v>
      </c>
    </row>
    <row r="306" spans="2:20" x14ac:dyDescent="0.2">
      <c r="B306" s="1">
        <f t="shared" si="14"/>
        <v>54666</v>
      </c>
      <c r="C306" s="2">
        <f t="shared" si="16"/>
        <v>290</v>
      </c>
      <c r="D306" s="3">
        <f t="shared" si="15"/>
        <v>0</v>
      </c>
      <c r="E306" s="3">
        <f>ROUND(Table1578[[#This Row],[Beginning Balance]]*Table1578[[#This Row],[Monthly Interest Rate]],2)</f>
        <v>0</v>
      </c>
      <c r="F306" s="3">
        <f t="shared" si="17"/>
        <v>-287</v>
      </c>
      <c r="G306" s="23">
        <f>IFERROR(IF($C$13="No","N/A",IF(Table1578[[#This Row],[Period]]=1,$C$6,PMT(InterestRate*AmortizationMultiplier/12,Table1578[[#This Row],[Am Thru]],-Table1578[[#This Row],[Beginning Balance]]))),0)</f>
        <v>0</v>
      </c>
      <c r="H306" s="3">
        <f>MAX(0,IF(C306=$C$4,D306,ROUND(IF($C$3="Fixed Principal",$C$6-Table1578[[#This Row],[Interest]],IF($C$3="Interest Only",Table1578[[#This Row],[Beginning Balance]]*ROUND(1-(1-IF($C$11="No",$E$8,1))^(1/12),6),MIN(IF($C$13="Yes",Table1578[[#This Row],[Payment Amount (Reamortized)]],$C$6)-Table1578[[#This Row],[Interest]],Table1578[[#This Row],[Beginning Balance]]))),2)))</f>
        <v>0</v>
      </c>
      <c r="I306" s="3">
        <f>_xlfn.SINGLE(IF($C$3="Line of Credit",0,ROUND(MAX(MIN(IF($C$10="No",$E$7,VLOOKUP(Table1578[[#This Row],[Period]],Forecast!$H$2:$L$1048576,4,FALSE))*Table1578[[#This Row],[Beginning Balance]],Table1578[[#This Row],[Beginning Balance]]-Table1578[[#This Row],[Principal]]),0),2)))</f>
        <v>0</v>
      </c>
      <c r="J306" s="3">
        <f>ROUND(MIN(Table1578[[#This Row],[Beginning Balance]]*IF($C$8="No",$E$3,VLOOKUP(Table1578[[#This Row],[Period]],Forecast!$H$2:$L$1048576,2,FALSE)),Table1578[[#This Row],[Beginning Balance]]-Table1578[[#This Row],[Principal]]-Table1578[[#This Row],[Prepayments]]),2)</f>
        <v>0</v>
      </c>
      <c r="K306" s="3">
        <f>ROUND(Table1578[[#This Row],[Defaulted Principal]]*IF($C$9="No",$E$4,VLOOKUP(Table1578[[#This Row],[Period]],Forecast!$H$2:$L$1048576,3,FALSE)),2)</f>
        <v>0</v>
      </c>
      <c r="L306" s="2">
        <f>Table1578[[#This Row],[Period]]+$E$9</f>
        <v>302</v>
      </c>
      <c r="M306" s="3">
        <f>Table1578[[#This Row],[Defaulted Principal]]-Table1578[[#This Row],[Estimated Loss]]</f>
        <v>0</v>
      </c>
      <c r="N306" s="3">
        <f>IFERROR(VLOOKUP(Table1578[[#This Row],[Period]],$L$16:$M$385,2,FALSE),0)</f>
        <v>0</v>
      </c>
      <c r="O306" s="3">
        <f>Table1578[[#This Row],[Beginning Balance]]-Table1578[[#This Row],[Principal]]-Table1578[[#This Row],[Prepayments]]-Table1578[[#This Row],[Defaulted Principal]]</f>
        <v>0</v>
      </c>
      <c r="P306" s="3">
        <f>Table1578[[#This Row],[Principal]]+Table1578[[#This Row],[Interest]]+Table1578[[#This Row],[Prepayments]]+Table1578[[#This Row],[RecoveredAmount]]</f>
        <v>0</v>
      </c>
      <c r="Q306" s="3">
        <f ca="1">ROUND(Table1578[[#This Row],[Cash Flow]]/((1+ActualRateToUse)^(IF(ISNUMBER(SEARCH("Actual",$C$7)),Table1578[[#This Row],[Running Total]]/365,Table1578[[#This Row],[Period]]/12))),2)</f>
        <v>0</v>
      </c>
      <c r="R306" s="2">
        <f>IF(MONTH(Table1578[[#This Row],[Date]])=2,28,DAY(DATE(YEAR(Table1578[[#This Row],[Date]]),MONTH(Table1578[[#This Row],[Date]])+1,1)-1))</f>
        <v>31</v>
      </c>
      <c r="S306" s="2">
        <f ca="1">SUM(OFFSET(Table1578[[#Headers],[Days in month]],1,0):Table1578[[#This Row],[Days in month]])</f>
        <v>8822</v>
      </c>
      <c r="T306" s="37">
        <f>InterestRate*AmortizationMultiplier*IF(ISNUMBER(SEARCH("Actual",$C$7)),Table1578[[#This Row],[Days in month]]/365,1/12)</f>
        <v>6.2344444444444444E-3</v>
      </c>
    </row>
    <row r="307" spans="2:20" x14ac:dyDescent="0.2">
      <c r="B307" s="1">
        <f t="shared" si="14"/>
        <v>54696</v>
      </c>
      <c r="C307" s="2">
        <f t="shared" si="16"/>
        <v>291</v>
      </c>
      <c r="D307" s="3">
        <f t="shared" si="15"/>
        <v>0</v>
      </c>
      <c r="E307" s="3">
        <f>ROUND(Table1578[[#This Row],[Beginning Balance]]*Table1578[[#This Row],[Monthly Interest Rate]],2)</f>
        <v>0</v>
      </c>
      <c r="F307" s="3">
        <f t="shared" si="17"/>
        <v>-288</v>
      </c>
      <c r="G307" s="23">
        <f>IFERROR(IF($C$13="No","N/A",IF(Table1578[[#This Row],[Period]]=1,$C$6,PMT(InterestRate*AmortizationMultiplier/12,Table1578[[#This Row],[Am Thru]],-Table1578[[#This Row],[Beginning Balance]]))),0)</f>
        <v>0</v>
      </c>
      <c r="H307" s="3">
        <f>MAX(0,IF(C307=$C$4,D307,ROUND(IF($C$3="Fixed Principal",$C$6-Table1578[[#This Row],[Interest]],IF($C$3="Interest Only",Table1578[[#This Row],[Beginning Balance]]*ROUND(1-(1-IF($C$11="No",$E$8,1))^(1/12),6),MIN(IF($C$13="Yes",Table1578[[#This Row],[Payment Amount (Reamortized)]],$C$6)-Table1578[[#This Row],[Interest]],Table1578[[#This Row],[Beginning Balance]]))),2)))</f>
        <v>0</v>
      </c>
      <c r="I307" s="3">
        <f>_xlfn.SINGLE(IF($C$3="Line of Credit",0,ROUND(MAX(MIN(IF($C$10="No",$E$7,VLOOKUP(Table1578[[#This Row],[Period]],Forecast!$H$2:$L$1048576,4,FALSE))*Table1578[[#This Row],[Beginning Balance]],Table1578[[#This Row],[Beginning Balance]]-Table1578[[#This Row],[Principal]]),0),2)))</f>
        <v>0</v>
      </c>
      <c r="J307" s="3">
        <f>ROUND(MIN(Table1578[[#This Row],[Beginning Balance]]*IF($C$8="No",$E$3,VLOOKUP(Table1578[[#This Row],[Period]],Forecast!$H$2:$L$1048576,2,FALSE)),Table1578[[#This Row],[Beginning Balance]]-Table1578[[#This Row],[Principal]]-Table1578[[#This Row],[Prepayments]]),2)</f>
        <v>0</v>
      </c>
      <c r="K307" s="3">
        <f>ROUND(Table1578[[#This Row],[Defaulted Principal]]*IF($C$9="No",$E$4,VLOOKUP(Table1578[[#This Row],[Period]],Forecast!$H$2:$L$1048576,3,FALSE)),2)</f>
        <v>0</v>
      </c>
      <c r="L307" s="2">
        <f>Table1578[[#This Row],[Period]]+$E$9</f>
        <v>303</v>
      </c>
      <c r="M307" s="3">
        <f>Table1578[[#This Row],[Defaulted Principal]]-Table1578[[#This Row],[Estimated Loss]]</f>
        <v>0</v>
      </c>
      <c r="N307" s="3">
        <f>IFERROR(VLOOKUP(Table1578[[#This Row],[Period]],$L$16:$M$385,2,FALSE),0)</f>
        <v>0</v>
      </c>
      <c r="O307" s="3">
        <f>Table1578[[#This Row],[Beginning Balance]]-Table1578[[#This Row],[Principal]]-Table1578[[#This Row],[Prepayments]]-Table1578[[#This Row],[Defaulted Principal]]</f>
        <v>0</v>
      </c>
      <c r="P307" s="3">
        <f>Table1578[[#This Row],[Principal]]+Table1578[[#This Row],[Interest]]+Table1578[[#This Row],[Prepayments]]+Table1578[[#This Row],[RecoveredAmount]]</f>
        <v>0</v>
      </c>
      <c r="Q307" s="3">
        <f ca="1">ROUND(Table1578[[#This Row],[Cash Flow]]/((1+ActualRateToUse)^(IF(ISNUMBER(SEARCH("Actual",$C$7)),Table1578[[#This Row],[Running Total]]/365,Table1578[[#This Row],[Period]]/12))),2)</f>
        <v>0</v>
      </c>
      <c r="R307" s="2">
        <f>IF(MONTH(Table1578[[#This Row],[Date]])=2,28,DAY(DATE(YEAR(Table1578[[#This Row],[Date]]),MONTH(Table1578[[#This Row],[Date]])+1,1)-1))</f>
        <v>30</v>
      </c>
      <c r="S307" s="2">
        <f ca="1">SUM(OFFSET(Table1578[[#Headers],[Days in month]],1,0):Table1578[[#This Row],[Days in month]])</f>
        <v>8852</v>
      </c>
      <c r="T307" s="37">
        <f>InterestRate*AmortizationMultiplier*IF(ISNUMBER(SEARCH("Actual",$C$7)),Table1578[[#This Row],[Days in month]]/365,1/12)</f>
        <v>6.0333333333333333E-3</v>
      </c>
    </row>
    <row r="308" spans="2:20" x14ac:dyDescent="0.2">
      <c r="B308" s="1">
        <f t="shared" si="14"/>
        <v>54727</v>
      </c>
      <c r="C308" s="2">
        <f t="shared" si="16"/>
        <v>292</v>
      </c>
      <c r="D308" s="3">
        <f t="shared" si="15"/>
        <v>0</v>
      </c>
      <c r="E308" s="3">
        <f>ROUND(Table1578[[#This Row],[Beginning Balance]]*Table1578[[#This Row],[Monthly Interest Rate]],2)</f>
        <v>0</v>
      </c>
      <c r="F308" s="3">
        <f t="shared" si="17"/>
        <v>-289</v>
      </c>
      <c r="G308" s="23">
        <f>IFERROR(IF($C$13="No","N/A",IF(Table1578[[#This Row],[Period]]=1,$C$6,PMT(InterestRate*AmortizationMultiplier/12,Table1578[[#This Row],[Am Thru]],-Table1578[[#This Row],[Beginning Balance]]))),0)</f>
        <v>0</v>
      </c>
      <c r="H308" s="3">
        <f>MAX(0,IF(C308=$C$4,D308,ROUND(IF($C$3="Fixed Principal",$C$6-Table1578[[#This Row],[Interest]],IF($C$3="Interest Only",Table1578[[#This Row],[Beginning Balance]]*ROUND(1-(1-IF($C$11="No",$E$8,1))^(1/12),6),MIN(IF($C$13="Yes",Table1578[[#This Row],[Payment Amount (Reamortized)]],$C$6)-Table1578[[#This Row],[Interest]],Table1578[[#This Row],[Beginning Balance]]))),2)))</f>
        <v>0</v>
      </c>
      <c r="I308" s="3">
        <f>_xlfn.SINGLE(IF($C$3="Line of Credit",0,ROUND(MAX(MIN(IF($C$10="No",$E$7,VLOOKUP(Table1578[[#This Row],[Period]],Forecast!$H$2:$L$1048576,4,FALSE))*Table1578[[#This Row],[Beginning Balance]],Table1578[[#This Row],[Beginning Balance]]-Table1578[[#This Row],[Principal]]),0),2)))</f>
        <v>0</v>
      </c>
      <c r="J308" s="3">
        <f>ROUND(MIN(Table1578[[#This Row],[Beginning Balance]]*IF($C$8="No",$E$3,VLOOKUP(Table1578[[#This Row],[Period]],Forecast!$H$2:$L$1048576,2,FALSE)),Table1578[[#This Row],[Beginning Balance]]-Table1578[[#This Row],[Principal]]-Table1578[[#This Row],[Prepayments]]),2)</f>
        <v>0</v>
      </c>
      <c r="K308" s="3">
        <f>ROUND(Table1578[[#This Row],[Defaulted Principal]]*IF($C$9="No",$E$4,VLOOKUP(Table1578[[#This Row],[Period]],Forecast!$H$2:$L$1048576,3,FALSE)),2)</f>
        <v>0</v>
      </c>
      <c r="L308" s="2">
        <f>Table1578[[#This Row],[Period]]+$E$9</f>
        <v>304</v>
      </c>
      <c r="M308" s="3">
        <f>Table1578[[#This Row],[Defaulted Principal]]-Table1578[[#This Row],[Estimated Loss]]</f>
        <v>0</v>
      </c>
      <c r="N308" s="3">
        <f>IFERROR(VLOOKUP(Table1578[[#This Row],[Period]],$L$16:$M$385,2,FALSE),0)</f>
        <v>0</v>
      </c>
      <c r="O308" s="3">
        <f>Table1578[[#This Row],[Beginning Balance]]-Table1578[[#This Row],[Principal]]-Table1578[[#This Row],[Prepayments]]-Table1578[[#This Row],[Defaulted Principal]]</f>
        <v>0</v>
      </c>
      <c r="P308" s="3">
        <f>Table1578[[#This Row],[Principal]]+Table1578[[#This Row],[Interest]]+Table1578[[#This Row],[Prepayments]]+Table1578[[#This Row],[RecoveredAmount]]</f>
        <v>0</v>
      </c>
      <c r="Q308" s="3">
        <f ca="1">ROUND(Table1578[[#This Row],[Cash Flow]]/((1+ActualRateToUse)^(IF(ISNUMBER(SEARCH("Actual",$C$7)),Table1578[[#This Row],[Running Total]]/365,Table1578[[#This Row],[Period]]/12))),2)</f>
        <v>0</v>
      </c>
      <c r="R308" s="2">
        <f>IF(MONTH(Table1578[[#This Row],[Date]])=2,28,DAY(DATE(YEAR(Table1578[[#This Row],[Date]]),MONTH(Table1578[[#This Row],[Date]])+1,1)-1))</f>
        <v>31</v>
      </c>
      <c r="S308" s="2">
        <f ca="1">SUM(OFFSET(Table1578[[#Headers],[Days in month]],1,0):Table1578[[#This Row],[Days in month]])</f>
        <v>8883</v>
      </c>
      <c r="T308" s="37">
        <f>InterestRate*AmortizationMultiplier*IF(ISNUMBER(SEARCH("Actual",$C$7)),Table1578[[#This Row],[Days in month]]/365,1/12)</f>
        <v>6.2344444444444444E-3</v>
      </c>
    </row>
    <row r="309" spans="2:20" x14ac:dyDescent="0.2">
      <c r="B309" s="1">
        <f t="shared" si="14"/>
        <v>54757</v>
      </c>
      <c r="C309" s="2">
        <f t="shared" si="16"/>
        <v>293</v>
      </c>
      <c r="D309" s="3">
        <f t="shared" si="15"/>
        <v>0</v>
      </c>
      <c r="E309" s="3">
        <f>ROUND(Table1578[[#This Row],[Beginning Balance]]*Table1578[[#This Row],[Monthly Interest Rate]],2)</f>
        <v>0</v>
      </c>
      <c r="F309" s="3">
        <f t="shared" si="17"/>
        <v>-290</v>
      </c>
      <c r="G309" s="23">
        <f>IFERROR(IF($C$13="No","N/A",IF(Table1578[[#This Row],[Period]]=1,$C$6,PMT(InterestRate*AmortizationMultiplier/12,Table1578[[#This Row],[Am Thru]],-Table1578[[#This Row],[Beginning Balance]]))),0)</f>
        <v>0</v>
      </c>
      <c r="H309" s="3">
        <f>MAX(0,IF(C309=$C$4,D309,ROUND(IF($C$3="Fixed Principal",$C$6-Table1578[[#This Row],[Interest]],IF($C$3="Interest Only",Table1578[[#This Row],[Beginning Balance]]*ROUND(1-(1-IF($C$11="No",$E$8,1))^(1/12),6),MIN(IF($C$13="Yes",Table1578[[#This Row],[Payment Amount (Reamortized)]],$C$6)-Table1578[[#This Row],[Interest]],Table1578[[#This Row],[Beginning Balance]]))),2)))</f>
        <v>0</v>
      </c>
      <c r="I309" s="3">
        <f>_xlfn.SINGLE(IF($C$3="Line of Credit",0,ROUND(MAX(MIN(IF($C$10="No",$E$7,VLOOKUP(Table1578[[#This Row],[Period]],Forecast!$H$2:$L$1048576,4,FALSE))*Table1578[[#This Row],[Beginning Balance]],Table1578[[#This Row],[Beginning Balance]]-Table1578[[#This Row],[Principal]]),0),2)))</f>
        <v>0</v>
      </c>
      <c r="J309" s="3">
        <f>ROUND(MIN(Table1578[[#This Row],[Beginning Balance]]*IF($C$8="No",$E$3,VLOOKUP(Table1578[[#This Row],[Period]],Forecast!$H$2:$L$1048576,2,FALSE)),Table1578[[#This Row],[Beginning Balance]]-Table1578[[#This Row],[Principal]]-Table1578[[#This Row],[Prepayments]]),2)</f>
        <v>0</v>
      </c>
      <c r="K309" s="3">
        <f>ROUND(Table1578[[#This Row],[Defaulted Principal]]*IF($C$9="No",$E$4,VLOOKUP(Table1578[[#This Row],[Period]],Forecast!$H$2:$L$1048576,3,FALSE)),2)</f>
        <v>0</v>
      </c>
      <c r="L309" s="2">
        <f>Table1578[[#This Row],[Period]]+$E$9</f>
        <v>305</v>
      </c>
      <c r="M309" s="3">
        <f>Table1578[[#This Row],[Defaulted Principal]]-Table1578[[#This Row],[Estimated Loss]]</f>
        <v>0</v>
      </c>
      <c r="N309" s="3">
        <f>IFERROR(VLOOKUP(Table1578[[#This Row],[Period]],$L$16:$M$385,2,FALSE),0)</f>
        <v>0</v>
      </c>
      <c r="O309" s="3">
        <f>Table1578[[#This Row],[Beginning Balance]]-Table1578[[#This Row],[Principal]]-Table1578[[#This Row],[Prepayments]]-Table1578[[#This Row],[Defaulted Principal]]</f>
        <v>0</v>
      </c>
      <c r="P309" s="3">
        <f>Table1578[[#This Row],[Principal]]+Table1578[[#This Row],[Interest]]+Table1578[[#This Row],[Prepayments]]+Table1578[[#This Row],[RecoveredAmount]]</f>
        <v>0</v>
      </c>
      <c r="Q309" s="3">
        <f ca="1">ROUND(Table1578[[#This Row],[Cash Flow]]/((1+ActualRateToUse)^(IF(ISNUMBER(SEARCH("Actual",$C$7)),Table1578[[#This Row],[Running Total]]/365,Table1578[[#This Row],[Period]]/12))),2)</f>
        <v>0</v>
      </c>
      <c r="R309" s="2">
        <f>IF(MONTH(Table1578[[#This Row],[Date]])=2,28,DAY(DATE(YEAR(Table1578[[#This Row],[Date]]),MONTH(Table1578[[#This Row],[Date]])+1,1)-1))</f>
        <v>30</v>
      </c>
      <c r="S309" s="2">
        <f ca="1">SUM(OFFSET(Table1578[[#Headers],[Days in month]],1,0):Table1578[[#This Row],[Days in month]])</f>
        <v>8913</v>
      </c>
      <c r="T309" s="37">
        <f>InterestRate*AmortizationMultiplier*IF(ISNUMBER(SEARCH("Actual",$C$7)),Table1578[[#This Row],[Days in month]]/365,1/12)</f>
        <v>6.0333333333333333E-3</v>
      </c>
    </row>
    <row r="310" spans="2:20" x14ac:dyDescent="0.2">
      <c r="B310" s="1">
        <f t="shared" si="14"/>
        <v>54788</v>
      </c>
      <c r="C310" s="2">
        <f t="shared" si="16"/>
        <v>294</v>
      </c>
      <c r="D310" s="3">
        <f t="shared" si="15"/>
        <v>0</v>
      </c>
      <c r="E310" s="3">
        <f>ROUND(Table1578[[#This Row],[Beginning Balance]]*Table1578[[#This Row],[Monthly Interest Rate]],2)</f>
        <v>0</v>
      </c>
      <c r="F310" s="3">
        <f t="shared" si="17"/>
        <v>-291</v>
      </c>
      <c r="G310" s="23">
        <f>IFERROR(IF($C$13="No","N/A",IF(Table1578[[#This Row],[Period]]=1,$C$6,PMT(InterestRate*AmortizationMultiplier/12,Table1578[[#This Row],[Am Thru]],-Table1578[[#This Row],[Beginning Balance]]))),0)</f>
        <v>0</v>
      </c>
      <c r="H310" s="3">
        <f>MAX(0,IF(C310=$C$4,D310,ROUND(IF($C$3="Fixed Principal",$C$6-Table1578[[#This Row],[Interest]],IF($C$3="Interest Only",Table1578[[#This Row],[Beginning Balance]]*ROUND(1-(1-IF($C$11="No",$E$8,1))^(1/12),6),MIN(IF($C$13="Yes",Table1578[[#This Row],[Payment Amount (Reamortized)]],$C$6)-Table1578[[#This Row],[Interest]],Table1578[[#This Row],[Beginning Balance]]))),2)))</f>
        <v>0</v>
      </c>
      <c r="I310" s="3">
        <f>_xlfn.SINGLE(IF($C$3="Line of Credit",0,ROUND(MAX(MIN(IF($C$10="No",$E$7,VLOOKUP(Table1578[[#This Row],[Period]],Forecast!$H$2:$L$1048576,4,FALSE))*Table1578[[#This Row],[Beginning Balance]],Table1578[[#This Row],[Beginning Balance]]-Table1578[[#This Row],[Principal]]),0),2)))</f>
        <v>0</v>
      </c>
      <c r="J310" s="3">
        <f>ROUND(MIN(Table1578[[#This Row],[Beginning Balance]]*IF($C$8="No",$E$3,VLOOKUP(Table1578[[#This Row],[Period]],Forecast!$H$2:$L$1048576,2,FALSE)),Table1578[[#This Row],[Beginning Balance]]-Table1578[[#This Row],[Principal]]-Table1578[[#This Row],[Prepayments]]),2)</f>
        <v>0</v>
      </c>
      <c r="K310" s="3">
        <f>ROUND(Table1578[[#This Row],[Defaulted Principal]]*IF($C$9="No",$E$4,VLOOKUP(Table1578[[#This Row],[Period]],Forecast!$H$2:$L$1048576,3,FALSE)),2)</f>
        <v>0</v>
      </c>
      <c r="L310" s="2">
        <f>Table1578[[#This Row],[Period]]+$E$9</f>
        <v>306</v>
      </c>
      <c r="M310" s="3">
        <f>Table1578[[#This Row],[Defaulted Principal]]-Table1578[[#This Row],[Estimated Loss]]</f>
        <v>0</v>
      </c>
      <c r="N310" s="3">
        <f>IFERROR(VLOOKUP(Table1578[[#This Row],[Period]],$L$16:$M$385,2,FALSE),0)</f>
        <v>0</v>
      </c>
      <c r="O310" s="3">
        <f>Table1578[[#This Row],[Beginning Balance]]-Table1578[[#This Row],[Principal]]-Table1578[[#This Row],[Prepayments]]-Table1578[[#This Row],[Defaulted Principal]]</f>
        <v>0</v>
      </c>
      <c r="P310" s="3">
        <f>Table1578[[#This Row],[Principal]]+Table1578[[#This Row],[Interest]]+Table1578[[#This Row],[Prepayments]]+Table1578[[#This Row],[RecoveredAmount]]</f>
        <v>0</v>
      </c>
      <c r="Q310" s="3">
        <f ca="1">ROUND(Table1578[[#This Row],[Cash Flow]]/((1+ActualRateToUse)^(IF(ISNUMBER(SEARCH("Actual",$C$7)),Table1578[[#This Row],[Running Total]]/365,Table1578[[#This Row],[Period]]/12))),2)</f>
        <v>0</v>
      </c>
      <c r="R310" s="2">
        <f>IF(MONTH(Table1578[[#This Row],[Date]])=2,28,DAY(DATE(YEAR(Table1578[[#This Row],[Date]]),MONTH(Table1578[[#This Row],[Date]])+1,1)-1))</f>
        <v>31</v>
      </c>
      <c r="S310" s="2">
        <f ca="1">SUM(OFFSET(Table1578[[#Headers],[Days in month]],1,0):Table1578[[#This Row],[Days in month]])</f>
        <v>8944</v>
      </c>
      <c r="T310" s="37">
        <f>InterestRate*AmortizationMultiplier*IF(ISNUMBER(SEARCH("Actual",$C$7)),Table1578[[#This Row],[Days in month]]/365,1/12)</f>
        <v>6.2344444444444444E-3</v>
      </c>
    </row>
    <row r="311" spans="2:20" x14ac:dyDescent="0.2">
      <c r="B311" s="1">
        <f t="shared" si="14"/>
        <v>54819</v>
      </c>
      <c r="C311" s="2">
        <f t="shared" si="16"/>
        <v>295</v>
      </c>
      <c r="D311" s="3">
        <f t="shared" si="15"/>
        <v>0</v>
      </c>
      <c r="E311" s="3">
        <f>ROUND(Table1578[[#This Row],[Beginning Balance]]*Table1578[[#This Row],[Monthly Interest Rate]],2)</f>
        <v>0</v>
      </c>
      <c r="F311" s="3">
        <f t="shared" si="17"/>
        <v>-292</v>
      </c>
      <c r="G311" s="23">
        <f>IFERROR(IF($C$13="No","N/A",IF(Table1578[[#This Row],[Period]]=1,$C$6,PMT(InterestRate*AmortizationMultiplier/12,Table1578[[#This Row],[Am Thru]],-Table1578[[#This Row],[Beginning Balance]]))),0)</f>
        <v>0</v>
      </c>
      <c r="H311" s="3">
        <f>MAX(0,IF(C311=$C$4,D311,ROUND(IF($C$3="Fixed Principal",$C$6-Table1578[[#This Row],[Interest]],IF($C$3="Interest Only",Table1578[[#This Row],[Beginning Balance]]*ROUND(1-(1-IF($C$11="No",$E$8,1))^(1/12),6),MIN(IF($C$13="Yes",Table1578[[#This Row],[Payment Amount (Reamortized)]],$C$6)-Table1578[[#This Row],[Interest]],Table1578[[#This Row],[Beginning Balance]]))),2)))</f>
        <v>0</v>
      </c>
      <c r="I311" s="3">
        <f>_xlfn.SINGLE(IF($C$3="Line of Credit",0,ROUND(MAX(MIN(IF($C$10="No",$E$7,VLOOKUP(Table1578[[#This Row],[Period]],Forecast!$H$2:$L$1048576,4,FALSE))*Table1578[[#This Row],[Beginning Balance]],Table1578[[#This Row],[Beginning Balance]]-Table1578[[#This Row],[Principal]]),0),2)))</f>
        <v>0</v>
      </c>
      <c r="J311" s="3">
        <f>ROUND(MIN(Table1578[[#This Row],[Beginning Balance]]*IF($C$8="No",$E$3,VLOOKUP(Table1578[[#This Row],[Period]],Forecast!$H$2:$L$1048576,2,FALSE)),Table1578[[#This Row],[Beginning Balance]]-Table1578[[#This Row],[Principal]]-Table1578[[#This Row],[Prepayments]]),2)</f>
        <v>0</v>
      </c>
      <c r="K311" s="3">
        <f>ROUND(Table1578[[#This Row],[Defaulted Principal]]*IF($C$9="No",$E$4,VLOOKUP(Table1578[[#This Row],[Period]],Forecast!$H$2:$L$1048576,3,FALSE)),2)</f>
        <v>0</v>
      </c>
      <c r="L311" s="2">
        <f>Table1578[[#This Row],[Period]]+$E$9</f>
        <v>307</v>
      </c>
      <c r="M311" s="3">
        <f>Table1578[[#This Row],[Defaulted Principal]]-Table1578[[#This Row],[Estimated Loss]]</f>
        <v>0</v>
      </c>
      <c r="N311" s="3">
        <f>IFERROR(VLOOKUP(Table1578[[#This Row],[Period]],$L$16:$M$385,2,FALSE),0)</f>
        <v>0</v>
      </c>
      <c r="O311" s="3">
        <f>Table1578[[#This Row],[Beginning Balance]]-Table1578[[#This Row],[Principal]]-Table1578[[#This Row],[Prepayments]]-Table1578[[#This Row],[Defaulted Principal]]</f>
        <v>0</v>
      </c>
      <c r="P311" s="3">
        <f>Table1578[[#This Row],[Principal]]+Table1578[[#This Row],[Interest]]+Table1578[[#This Row],[Prepayments]]+Table1578[[#This Row],[RecoveredAmount]]</f>
        <v>0</v>
      </c>
      <c r="Q311" s="3">
        <f ca="1">ROUND(Table1578[[#This Row],[Cash Flow]]/((1+ActualRateToUse)^(IF(ISNUMBER(SEARCH("Actual",$C$7)),Table1578[[#This Row],[Running Total]]/365,Table1578[[#This Row],[Period]]/12))),2)</f>
        <v>0</v>
      </c>
      <c r="R311" s="2">
        <f>IF(MONTH(Table1578[[#This Row],[Date]])=2,28,DAY(DATE(YEAR(Table1578[[#This Row],[Date]]),MONTH(Table1578[[#This Row],[Date]])+1,1)-1))</f>
        <v>31</v>
      </c>
      <c r="S311" s="2">
        <f ca="1">SUM(OFFSET(Table1578[[#Headers],[Days in month]],1,0):Table1578[[#This Row],[Days in month]])</f>
        <v>8975</v>
      </c>
      <c r="T311" s="37">
        <f>InterestRate*AmortizationMultiplier*IF(ISNUMBER(SEARCH("Actual",$C$7)),Table1578[[#This Row],[Days in month]]/365,1/12)</f>
        <v>6.2344444444444444E-3</v>
      </c>
    </row>
    <row r="312" spans="2:20" x14ac:dyDescent="0.2">
      <c r="B312" s="1">
        <f t="shared" si="14"/>
        <v>54847</v>
      </c>
      <c r="C312" s="2">
        <f t="shared" si="16"/>
        <v>296</v>
      </c>
      <c r="D312" s="3">
        <f t="shared" si="15"/>
        <v>0</v>
      </c>
      <c r="E312" s="3">
        <f>ROUND(Table1578[[#This Row],[Beginning Balance]]*Table1578[[#This Row],[Monthly Interest Rate]],2)</f>
        <v>0</v>
      </c>
      <c r="F312" s="3">
        <f t="shared" si="17"/>
        <v>-293</v>
      </c>
      <c r="G312" s="23">
        <f>IFERROR(IF($C$13="No","N/A",IF(Table1578[[#This Row],[Period]]=1,$C$6,PMT(InterestRate*AmortizationMultiplier/12,Table1578[[#This Row],[Am Thru]],-Table1578[[#This Row],[Beginning Balance]]))),0)</f>
        <v>0</v>
      </c>
      <c r="H312" s="3">
        <f>MAX(0,IF(C312=$C$4,D312,ROUND(IF($C$3="Fixed Principal",$C$6-Table1578[[#This Row],[Interest]],IF($C$3="Interest Only",Table1578[[#This Row],[Beginning Balance]]*ROUND(1-(1-IF($C$11="No",$E$8,1))^(1/12),6),MIN(IF($C$13="Yes",Table1578[[#This Row],[Payment Amount (Reamortized)]],$C$6)-Table1578[[#This Row],[Interest]],Table1578[[#This Row],[Beginning Balance]]))),2)))</f>
        <v>0</v>
      </c>
      <c r="I312" s="3">
        <f>_xlfn.SINGLE(IF($C$3="Line of Credit",0,ROUND(MAX(MIN(IF($C$10="No",$E$7,VLOOKUP(Table1578[[#This Row],[Period]],Forecast!$H$2:$L$1048576,4,FALSE))*Table1578[[#This Row],[Beginning Balance]],Table1578[[#This Row],[Beginning Balance]]-Table1578[[#This Row],[Principal]]),0),2)))</f>
        <v>0</v>
      </c>
      <c r="J312" s="3">
        <f>ROUND(MIN(Table1578[[#This Row],[Beginning Balance]]*IF($C$8="No",$E$3,VLOOKUP(Table1578[[#This Row],[Period]],Forecast!$H$2:$L$1048576,2,FALSE)),Table1578[[#This Row],[Beginning Balance]]-Table1578[[#This Row],[Principal]]-Table1578[[#This Row],[Prepayments]]),2)</f>
        <v>0</v>
      </c>
      <c r="K312" s="3">
        <f>ROUND(Table1578[[#This Row],[Defaulted Principal]]*IF($C$9="No",$E$4,VLOOKUP(Table1578[[#This Row],[Period]],Forecast!$H$2:$L$1048576,3,FALSE)),2)</f>
        <v>0</v>
      </c>
      <c r="L312" s="2">
        <f>Table1578[[#This Row],[Period]]+$E$9</f>
        <v>308</v>
      </c>
      <c r="M312" s="3">
        <f>Table1578[[#This Row],[Defaulted Principal]]-Table1578[[#This Row],[Estimated Loss]]</f>
        <v>0</v>
      </c>
      <c r="N312" s="3">
        <f>IFERROR(VLOOKUP(Table1578[[#This Row],[Period]],$L$16:$M$385,2,FALSE),0)</f>
        <v>0</v>
      </c>
      <c r="O312" s="3">
        <f>Table1578[[#This Row],[Beginning Balance]]-Table1578[[#This Row],[Principal]]-Table1578[[#This Row],[Prepayments]]-Table1578[[#This Row],[Defaulted Principal]]</f>
        <v>0</v>
      </c>
      <c r="P312" s="3">
        <f>Table1578[[#This Row],[Principal]]+Table1578[[#This Row],[Interest]]+Table1578[[#This Row],[Prepayments]]+Table1578[[#This Row],[RecoveredAmount]]</f>
        <v>0</v>
      </c>
      <c r="Q312" s="3">
        <f ca="1">ROUND(Table1578[[#This Row],[Cash Flow]]/((1+ActualRateToUse)^(IF(ISNUMBER(SEARCH("Actual",$C$7)),Table1578[[#This Row],[Running Total]]/365,Table1578[[#This Row],[Period]]/12))),2)</f>
        <v>0</v>
      </c>
      <c r="R312" s="2">
        <f>IF(MONTH(Table1578[[#This Row],[Date]])=2,28,DAY(DATE(YEAR(Table1578[[#This Row],[Date]]),MONTH(Table1578[[#This Row],[Date]])+1,1)-1))</f>
        <v>28</v>
      </c>
      <c r="S312" s="2">
        <f ca="1">SUM(OFFSET(Table1578[[#Headers],[Days in month]],1,0):Table1578[[#This Row],[Days in month]])</f>
        <v>9003</v>
      </c>
      <c r="T312" s="37">
        <f>InterestRate*AmortizationMultiplier*IF(ISNUMBER(SEARCH("Actual",$C$7)),Table1578[[#This Row],[Days in month]]/365,1/12)</f>
        <v>5.6311111111111119E-3</v>
      </c>
    </row>
    <row r="313" spans="2:20" x14ac:dyDescent="0.2">
      <c r="B313" s="1">
        <f t="shared" si="14"/>
        <v>54878</v>
      </c>
      <c r="C313" s="2">
        <f t="shared" si="16"/>
        <v>297</v>
      </c>
      <c r="D313" s="3">
        <f t="shared" si="15"/>
        <v>0</v>
      </c>
      <c r="E313" s="3">
        <f>ROUND(Table1578[[#This Row],[Beginning Balance]]*Table1578[[#This Row],[Monthly Interest Rate]],2)</f>
        <v>0</v>
      </c>
      <c r="F313" s="3">
        <f t="shared" si="17"/>
        <v>-294</v>
      </c>
      <c r="G313" s="23">
        <f>IFERROR(IF($C$13="No","N/A",IF(Table1578[[#This Row],[Period]]=1,$C$6,PMT(InterestRate*AmortizationMultiplier/12,Table1578[[#This Row],[Am Thru]],-Table1578[[#This Row],[Beginning Balance]]))),0)</f>
        <v>0</v>
      </c>
      <c r="H313" s="3">
        <f>MAX(0,IF(C313=$C$4,D313,ROUND(IF($C$3="Fixed Principal",$C$6-Table1578[[#This Row],[Interest]],IF($C$3="Interest Only",Table1578[[#This Row],[Beginning Balance]]*ROUND(1-(1-IF($C$11="No",$E$8,1))^(1/12),6),MIN(IF($C$13="Yes",Table1578[[#This Row],[Payment Amount (Reamortized)]],$C$6)-Table1578[[#This Row],[Interest]],Table1578[[#This Row],[Beginning Balance]]))),2)))</f>
        <v>0</v>
      </c>
      <c r="I313" s="3">
        <f>_xlfn.SINGLE(IF($C$3="Line of Credit",0,ROUND(MAX(MIN(IF($C$10="No",$E$7,VLOOKUP(Table1578[[#This Row],[Period]],Forecast!$H$2:$L$1048576,4,FALSE))*Table1578[[#This Row],[Beginning Balance]],Table1578[[#This Row],[Beginning Balance]]-Table1578[[#This Row],[Principal]]),0),2)))</f>
        <v>0</v>
      </c>
      <c r="J313" s="3">
        <f>ROUND(MIN(Table1578[[#This Row],[Beginning Balance]]*IF($C$8="No",$E$3,VLOOKUP(Table1578[[#This Row],[Period]],Forecast!$H$2:$L$1048576,2,FALSE)),Table1578[[#This Row],[Beginning Balance]]-Table1578[[#This Row],[Principal]]-Table1578[[#This Row],[Prepayments]]),2)</f>
        <v>0</v>
      </c>
      <c r="K313" s="3">
        <f>ROUND(Table1578[[#This Row],[Defaulted Principal]]*IF($C$9="No",$E$4,VLOOKUP(Table1578[[#This Row],[Period]],Forecast!$H$2:$L$1048576,3,FALSE)),2)</f>
        <v>0</v>
      </c>
      <c r="L313" s="2">
        <f>Table1578[[#This Row],[Period]]+$E$9</f>
        <v>309</v>
      </c>
      <c r="M313" s="3">
        <f>Table1578[[#This Row],[Defaulted Principal]]-Table1578[[#This Row],[Estimated Loss]]</f>
        <v>0</v>
      </c>
      <c r="N313" s="3">
        <f>IFERROR(VLOOKUP(Table1578[[#This Row],[Period]],$L$16:$M$385,2,FALSE),0)</f>
        <v>0</v>
      </c>
      <c r="O313" s="3">
        <f>Table1578[[#This Row],[Beginning Balance]]-Table1578[[#This Row],[Principal]]-Table1578[[#This Row],[Prepayments]]-Table1578[[#This Row],[Defaulted Principal]]</f>
        <v>0</v>
      </c>
      <c r="P313" s="3">
        <f>Table1578[[#This Row],[Principal]]+Table1578[[#This Row],[Interest]]+Table1578[[#This Row],[Prepayments]]+Table1578[[#This Row],[RecoveredAmount]]</f>
        <v>0</v>
      </c>
      <c r="Q313" s="3">
        <f ca="1">ROUND(Table1578[[#This Row],[Cash Flow]]/((1+ActualRateToUse)^(IF(ISNUMBER(SEARCH("Actual",$C$7)),Table1578[[#This Row],[Running Total]]/365,Table1578[[#This Row],[Period]]/12))),2)</f>
        <v>0</v>
      </c>
      <c r="R313" s="2">
        <f>IF(MONTH(Table1578[[#This Row],[Date]])=2,28,DAY(DATE(YEAR(Table1578[[#This Row],[Date]]),MONTH(Table1578[[#This Row],[Date]])+1,1)-1))</f>
        <v>31</v>
      </c>
      <c r="S313" s="2">
        <f ca="1">SUM(OFFSET(Table1578[[#Headers],[Days in month]],1,0):Table1578[[#This Row],[Days in month]])</f>
        <v>9034</v>
      </c>
      <c r="T313" s="37">
        <f>InterestRate*AmortizationMultiplier*IF(ISNUMBER(SEARCH("Actual",$C$7)),Table1578[[#This Row],[Days in month]]/365,1/12)</f>
        <v>6.2344444444444444E-3</v>
      </c>
    </row>
    <row r="314" spans="2:20" x14ac:dyDescent="0.2">
      <c r="B314" s="1">
        <f t="shared" si="14"/>
        <v>54908</v>
      </c>
      <c r="C314" s="2">
        <f t="shared" si="16"/>
        <v>298</v>
      </c>
      <c r="D314" s="3">
        <f t="shared" si="15"/>
        <v>0</v>
      </c>
      <c r="E314" s="3">
        <f>ROUND(Table1578[[#This Row],[Beginning Balance]]*Table1578[[#This Row],[Monthly Interest Rate]],2)</f>
        <v>0</v>
      </c>
      <c r="F314" s="3">
        <f t="shared" si="17"/>
        <v>-295</v>
      </c>
      <c r="G314" s="23">
        <f>IFERROR(IF($C$13="No","N/A",IF(Table1578[[#This Row],[Period]]=1,$C$6,PMT(InterestRate*AmortizationMultiplier/12,Table1578[[#This Row],[Am Thru]],-Table1578[[#This Row],[Beginning Balance]]))),0)</f>
        <v>0</v>
      </c>
      <c r="H314" s="3">
        <f>MAX(0,IF(C314=$C$4,D314,ROUND(IF($C$3="Fixed Principal",$C$6-Table1578[[#This Row],[Interest]],IF($C$3="Interest Only",Table1578[[#This Row],[Beginning Balance]]*ROUND(1-(1-IF($C$11="No",$E$8,1))^(1/12),6),MIN(IF($C$13="Yes",Table1578[[#This Row],[Payment Amount (Reamortized)]],$C$6)-Table1578[[#This Row],[Interest]],Table1578[[#This Row],[Beginning Balance]]))),2)))</f>
        <v>0</v>
      </c>
      <c r="I314" s="3">
        <f>_xlfn.SINGLE(IF($C$3="Line of Credit",0,ROUND(MAX(MIN(IF($C$10="No",$E$7,VLOOKUP(Table1578[[#This Row],[Period]],Forecast!$H$2:$L$1048576,4,FALSE))*Table1578[[#This Row],[Beginning Balance]],Table1578[[#This Row],[Beginning Balance]]-Table1578[[#This Row],[Principal]]),0),2)))</f>
        <v>0</v>
      </c>
      <c r="J314" s="3">
        <f>ROUND(MIN(Table1578[[#This Row],[Beginning Balance]]*IF($C$8="No",$E$3,VLOOKUP(Table1578[[#This Row],[Period]],Forecast!$H$2:$L$1048576,2,FALSE)),Table1578[[#This Row],[Beginning Balance]]-Table1578[[#This Row],[Principal]]-Table1578[[#This Row],[Prepayments]]),2)</f>
        <v>0</v>
      </c>
      <c r="K314" s="3">
        <f>ROUND(Table1578[[#This Row],[Defaulted Principal]]*IF($C$9="No",$E$4,VLOOKUP(Table1578[[#This Row],[Period]],Forecast!$H$2:$L$1048576,3,FALSE)),2)</f>
        <v>0</v>
      </c>
      <c r="L314" s="2">
        <f>Table1578[[#This Row],[Period]]+$E$9</f>
        <v>310</v>
      </c>
      <c r="M314" s="3">
        <f>Table1578[[#This Row],[Defaulted Principal]]-Table1578[[#This Row],[Estimated Loss]]</f>
        <v>0</v>
      </c>
      <c r="N314" s="3">
        <f>IFERROR(VLOOKUP(Table1578[[#This Row],[Period]],$L$16:$M$385,2,FALSE),0)</f>
        <v>0</v>
      </c>
      <c r="O314" s="3">
        <f>Table1578[[#This Row],[Beginning Balance]]-Table1578[[#This Row],[Principal]]-Table1578[[#This Row],[Prepayments]]-Table1578[[#This Row],[Defaulted Principal]]</f>
        <v>0</v>
      </c>
      <c r="P314" s="3">
        <f>Table1578[[#This Row],[Principal]]+Table1578[[#This Row],[Interest]]+Table1578[[#This Row],[Prepayments]]+Table1578[[#This Row],[RecoveredAmount]]</f>
        <v>0</v>
      </c>
      <c r="Q314" s="3">
        <f ca="1">ROUND(Table1578[[#This Row],[Cash Flow]]/((1+ActualRateToUse)^(IF(ISNUMBER(SEARCH("Actual",$C$7)),Table1578[[#This Row],[Running Total]]/365,Table1578[[#This Row],[Period]]/12))),2)</f>
        <v>0</v>
      </c>
      <c r="R314" s="2">
        <f>IF(MONTH(Table1578[[#This Row],[Date]])=2,28,DAY(DATE(YEAR(Table1578[[#This Row],[Date]]),MONTH(Table1578[[#This Row],[Date]])+1,1)-1))</f>
        <v>30</v>
      </c>
      <c r="S314" s="2">
        <f ca="1">SUM(OFFSET(Table1578[[#Headers],[Days in month]],1,0):Table1578[[#This Row],[Days in month]])</f>
        <v>9064</v>
      </c>
      <c r="T314" s="37">
        <f>InterestRate*AmortizationMultiplier*IF(ISNUMBER(SEARCH("Actual",$C$7)),Table1578[[#This Row],[Days in month]]/365,1/12)</f>
        <v>6.0333333333333333E-3</v>
      </c>
    </row>
    <row r="315" spans="2:20" x14ac:dyDescent="0.2">
      <c r="B315" s="1">
        <f t="shared" si="14"/>
        <v>54939</v>
      </c>
      <c r="C315" s="2">
        <f t="shared" si="16"/>
        <v>299</v>
      </c>
      <c r="D315" s="3">
        <f t="shared" si="15"/>
        <v>0</v>
      </c>
      <c r="E315" s="3">
        <f>ROUND(Table1578[[#This Row],[Beginning Balance]]*Table1578[[#This Row],[Monthly Interest Rate]],2)</f>
        <v>0</v>
      </c>
      <c r="F315" s="3">
        <f t="shared" si="17"/>
        <v>-296</v>
      </c>
      <c r="G315" s="23">
        <f>IFERROR(IF($C$13="No","N/A",IF(Table1578[[#This Row],[Period]]=1,$C$6,PMT(InterestRate*AmortizationMultiplier/12,Table1578[[#This Row],[Am Thru]],-Table1578[[#This Row],[Beginning Balance]]))),0)</f>
        <v>0</v>
      </c>
      <c r="H315" s="3">
        <f>MAX(0,IF(C315=$C$4,D315,ROUND(IF($C$3="Fixed Principal",$C$6-Table1578[[#This Row],[Interest]],IF($C$3="Interest Only",Table1578[[#This Row],[Beginning Balance]]*ROUND(1-(1-IF($C$11="No",$E$8,1))^(1/12),6),MIN(IF($C$13="Yes",Table1578[[#This Row],[Payment Amount (Reamortized)]],$C$6)-Table1578[[#This Row],[Interest]],Table1578[[#This Row],[Beginning Balance]]))),2)))</f>
        <v>0</v>
      </c>
      <c r="I315" s="3">
        <f>_xlfn.SINGLE(IF($C$3="Line of Credit",0,ROUND(MAX(MIN(IF($C$10="No",$E$7,VLOOKUP(Table1578[[#This Row],[Period]],Forecast!$H$2:$L$1048576,4,FALSE))*Table1578[[#This Row],[Beginning Balance]],Table1578[[#This Row],[Beginning Balance]]-Table1578[[#This Row],[Principal]]),0),2)))</f>
        <v>0</v>
      </c>
      <c r="J315" s="3">
        <f>ROUND(MIN(Table1578[[#This Row],[Beginning Balance]]*IF($C$8="No",$E$3,VLOOKUP(Table1578[[#This Row],[Period]],Forecast!$H$2:$L$1048576,2,FALSE)),Table1578[[#This Row],[Beginning Balance]]-Table1578[[#This Row],[Principal]]-Table1578[[#This Row],[Prepayments]]),2)</f>
        <v>0</v>
      </c>
      <c r="K315" s="3">
        <f>ROUND(Table1578[[#This Row],[Defaulted Principal]]*IF($C$9="No",$E$4,VLOOKUP(Table1578[[#This Row],[Period]],Forecast!$H$2:$L$1048576,3,FALSE)),2)</f>
        <v>0</v>
      </c>
      <c r="L315" s="2">
        <f>Table1578[[#This Row],[Period]]+$E$9</f>
        <v>311</v>
      </c>
      <c r="M315" s="3">
        <f>Table1578[[#This Row],[Defaulted Principal]]-Table1578[[#This Row],[Estimated Loss]]</f>
        <v>0</v>
      </c>
      <c r="N315" s="3">
        <f>IFERROR(VLOOKUP(Table1578[[#This Row],[Period]],$L$16:$M$385,2,FALSE),0)</f>
        <v>0</v>
      </c>
      <c r="O315" s="3">
        <f>Table1578[[#This Row],[Beginning Balance]]-Table1578[[#This Row],[Principal]]-Table1578[[#This Row],[Prepayments]]-Table1578[[#This Row],[Defaulted Principal]]</f>
        <v>0</v>
      </c>
      <c r="P315" s="3">
        <f>Table1578[[#This Row],[Principal]]+Table1578[[#This Row],[Interest]]+Table1578[[#This Row],[Prepayments]]+Table1578[[#This Row],[RecoveredAmount]]</f>
        <v>0</v>
      </c>
      <c r="Q315" s="3">
        <f ca="1">ROUND(Table1578[[#This Row],[Cash Flow]]/((1+ActualRateToUse)^(IF(ISNUMBER(SEARCH("Actual",$C$7)),Table1578[[#This Row],[Running Total]]/365,Table1578[[#This Row],[Period]]/12))),2)</f>
        <v>0</v>
      </c>
      <c r="R315" s="2">
        <f>IF(MONTH(Table1578[[#This Row],[Date]])=2,28,DAY(DATE(YEAR(Table1578[[#This Row],[Date]]),MONTH(Table1578[[#This Row],[Date]])+1,1)-1))</f>
        <v>31</v>
      </c>
      <c r="S315" s="2">
        <f ca="1">SUM(OFFSET(Table1578[[#Headers],[Days in month]],1,0):Table1578[[#This Row],[Days in month]])</f>
        <v>9095</v>
      </c>
      <c r="T315" s="37">
        <f>InterestRate*AmortizationMultiplier*IF(ISNUMBER(SEARCH("Actual",$C$7)),Table1578[[#This Row],[Days in month]]/365,1/12)</f>
        <v>6.2344444444444444E-3</v>
      </c>
    </row>
    <row r="316" spans="2:20" x14ac:dyDescent="0.2">
      <c r="B316" s="1">
        <f t="shared" si="14"/>
        <v>54969</v>
      </c>
      <c r="C316" s="2">
        <f t="shared" si="16"/>
        <v>300</v>
      </c>
      <c r="D316" s="3">
        <f t="shared" si="15"/>
        <v>0</v>
      </c>
      <c r="E316" s="3">
        <f>ROUND(Table1578[[#This Row],[Beginning Balance]]*Table1578[[#This Row],[Monthly Interest Rate]],2)</f>
        <v>0</v>
      </c>
      <c r="F316" s="3">
        <f t="shared" si="17"/>
        <v>-297</v>
      </c>
      <c r="G316" s="23">
        <f>IFERROR(IF($C$13="No","N/A",IF(Table1578[[#This Row],[Period]]=1,$C$6,PMT(InterestRate*AmortizationMultiplier/12,Table1578[[#This Row],[Am Thru]],-Table1578[[#This Row],[Beginning Balance]]))),0)</f>
        <v>0</v>
      </c>
      <c r="H316" s="3">
        <f>MAX(0,IF(C316=$C$4,D316,ROUND(IF($C$3="Fixed Principal",$C$6-Table1578[[#This Row],[Interest]],IF($C$3="Interest Only",Table1578[[#This Row],[Beginning Balance]]*ROUND(1-(1-IF($C$11="No",$E$8,1))^(1/12),6),MIN(IF($C$13="Yes",Table1578[[#This Row],[Payment Amount (Reamortized)]],$C$6)-Table1578[[#This Row],[Interest]],Table1578[[#This Row],[Beginning Balance]]))),2)))</f>
        <v>0</v>
      </c>
      <c r="I316" s="3">
        <f>_xlfn.SINGLE(IF($C$3="Line of Credit",0,ROUND(MAX(MIN(IF($C$10="No",$E$7,VLOOKUP(Table1578[[#This Row],[Period]],Forecast!$H$2:$L$1048576,4,FALSE))*Table1578[[#This Row],[Beginning Balance]],Table1578[[#This Row],[Beginning Balance]]-Table1578[[#This Row],[Principal]]),0),2)))</f>
        <v>0</v>
      </c>
      <c r="J316" s="3">
        <f>ROUND(MIN(Table1578[[#This Row],[Beginning Balance]]*IF($C$8="No",$E$3,VLOOKUP(Table1578[[#This Row],[Period]],Forecast!$H$2:$L$1048576,2,FALSE)),Table1578[[#This Row],[Beginning Balance]]-Table1578[[#This Row],[Principal]]-Table1578[[#This Row],[Prepayments]]),2)</f>
        <v>0</v>
      </c>
      <c r="K316" s="3">
        <f>ROUND(Table1578[[#This Row],[Defaulted Principal]]*IF($C$9="No",$E$4,VLOOKUP(Table1578[[#This Row],[Period]],Forecast!$H$2:$L$1048576,3,FALSE)),2)</f>
        <v>0</v>
      </c>
      <c r="L316" s="2">
        <f>Table1578[[#This Row],[Period]]+$E$9</f>
        <v>312</v>
      </c>
      <c r="M316" s="3">
        <f>Table1578[[#This Row],[Defaulted Principal]]-Table1578[[#This Row],[Estimated Loss]]</f>
        <v>0</v>
      </c>
      <c r="N316" s="3">
        <f>IFERROR(VLOOKUP(Table1578[[#This Row],[Period]],$L$16:$M$385,2,FALSE),0)</f>
        <v>0</v>
      </c>
      <c r="O316" s="3">
        <f>Table1578[[#This Row],[Beginning Balance]]-Table1578[[#This Row],[Principal]]-Table1578[[#This Row],[Prepayments]]-Table1578[[#This Row],[Defaulted Principal]]</f>
        <v>0</v>
      </c>
      <c r="P316" s="3">
        <f>Table1578[[#This Row],[Principal]]+Table1578[[#This Row],[Interest]]+Table1578[[#This Row],[Prepayments]]+Table1578[[#This Row],[RecoveredAmount]]</f>
        <v>0</v>
      </c>
      <c r="Q316" s="3">
        <f ca="1">ROUND(Table1578[[#This Row],[Cash Flow]]/((1+ActualRateToUse)^(IF(ISNUMBER(SEARCH("Actual",$C$7)),Table1578[[#This Row],[Running Total]]/365,Table1578[[#This Row],[Period]]/12))),2)</f>
        <v>0</v>
      </c>
      <c r="R316" s="2">
        <f>IF(MONTH(Table1578[[#This Row],[Date]])=2,28,DAY(DATE(YEAR(Table1578[[#This Row],[Date]]),MONTH(Table1578[[#This Row],[Date]])+1,1)-1))</f>
        <v>30</v>
      </c>
      <c r="S316" s="2">
        <f ca="1">SUM(OFFSET(Table1578[[#Headers],[Days in month]],1,0):Table1578[[#This Row],[Days in month]])</f>
        <v>9125</v>
      </c>
      <c r="T316" s="37">
        <f>InterestRate*AmortizationMultiplier*IF(ISNUMBER(SEARCH("Actual",$C$7)),Table1578[[#This Row],[Days in month]]/365,1/12)</f>
        <v>6.0333333333333333E-3</v>
      </c>
    </row>
    <row r="317" spans="2:20" x14ac:dyDescent="0.2">
      <c r="B317" s="1">
        <f t="shared" si="14"/>
        <v>55000</v>
      </c>
      <c r="C317" s="2">
        <f t="shared" si="16"/>
        <v>301</v>
      </c>
      <c r="D317" s="3">
        <f t="shared" si="15"/>
        <v>0</v>
      </c>
      <c r="E317" s="3">
        <f>ROUND(Table1578[[#This Row],[Beginning Balance]]*Table1578[[#This Row],[Monthly Interest Rate]],2)</f>
        <v>0</v>
      </c>
      <c r="F317" s="3">
        <f t="shared" si="17"/>
        <v>-298</v>
      </c>
      <c r="G317" s="23">
        <f>IFERROR(IF($C$13="No","N/A",IF(Table1578[[#This Row],[Period]]=1,$C$6,PMT(InterestRate*AmortizationMultiplier/12,Table1578[[#This Row],[Am Thru]],-Table1578[[#This Row],[Beginning Balance]]))),0)</f>
        <v>0</v>
      </c>
      <c r="H317" s="3">
        <f>MAX(0,IF(C317=$C$4,D317,ROUND(IF($C$3="Fixed Principal",$C$6-Table1578[[#This Row],[Interest]],IF($C$3="Interest Only",Table1578[[#This Row],[Beginning Balance]]*ROUND(1-(1-IF($C$11="No",$E$8,1))^(1/12),6),MIN(IF($C$13="Yes",Table1578[[#This Row],[Payment Amount (Reamortized)]],$C$6)-Table1578[[#This Row],[Interest]],Table1578[[#This Row],[Beginning Balance]]))),2)))</f>
        <v>0</v>
      </c>
      <c r="I317" s="3">
        <f>_xlfn.SINGLE(IF($C$3="Line of Credit",0,ROUND(MAX(MIN(IF($C$10="No",$E$7,VLOOKUP(Table1578[[#This Row],[Period]],Forecast!$H$2:$L$1048576,4,FALSE))*Table1578[[#This Row],[Beginning Balance]],Table1578[[#This Row],[Beginning Balance]]-Table1578[[#This Row],[Principal]]),0),2)))</f>
        <v>0</v>
      </c>
      <c r="J317" s="3">
        <f>ROUND(MIN(Table1578[[#This Row],[Beginning Balance]]*IF($C$8="No",$E$3,VLOOKUP(Table1578[[#This Row],[Period]],Forecast!$H$2:$L$1048576,2,FALSE)),Table1578[[#This Row],[Beginning Balance]]-Table1578[[#This Row],[Principal]]-Table1578[[#This Row],[Prepayments]]),2)</f>
        <v>0</v>
      </c>
      <c r="K317" s="3">
        <f>ROUND(Table1578[[#This Row],[Defaulted Principal]]*IF($C$9="No",$E$4,VLOOKUP(Table1578[[#This Row],[Period]],Forecast!$H$2:$L$1048576,3,FALSE)),2)</f>
        <v>0</v>
      </c>
      <c r="L317" s="2">
        <f>Table1578[[#This Row],[Period]]+$E$9</f>
        <v>313</v>
      </c>
      <c r="M317" s="3">
        <f>Table1578[[#This Row],[Defaulted Principal]]-Table1578[[#This Row],[Estimated Loss]]</f>
        <v>0</v>
      </c>
      <c r="N317" s="3">
        <f>IFERROR(VLOOKUP(Table1578[[#This Row],[Period]],$L$16:$M$385,2,FALSE),0)</f>
        <v>0</v>
      </c>
      <c r="O317" s="3">
        <f>Table1578[[#This Row],[Beginning Balance]]-Table1578[[#This Row],[Principal]]-Table1578[[#This Row],[Prepayments]]-Table1578[[#This Row],[Defaulted Principal]]</f>
        <v>0</v>
      </c>
      <c r="P317" s="3">
        <f>Table1578[[#This Row],[Principal]]+Table1578[[#This Row],[Interest]]+Table1578[[#This Row],[Prepayments]]+Table1578[[#This Row],[RecoveredAmount]]</f>
        <v>0</v>
      </c>
      <c r="Q317" s="3">
        <f ca="1">ROUND(Table1578[[#This Row],[Cash Flow]]/((1+ActualRateToUse)^(IF(ISNUMBER(SEARCH("Actual",$C$7)),Table1578[[#This Row],[Running Total]]/365,Table1578[[#This Row],[Period]]/12))),2)</f>
        <v>0</v>
      </c>
      <c r="R317" s="2">
        <f>IF(MONTH(Table1578[[#This Row],[Date]])=2,28,DAY(DATE(YEAR(Table1578[[#This Row],[Date]]),MONTH(Table1578[[#This Row],[Date]])+1,1)-1))</f>
        <v>31</v>
      </c>
      <c r="S317" s="2">
        <f ca="1">SUM(OFFSET(Table1578[[#Headers],[Days in month]],1,0):Table1578[[#This Row],[Days in month]])</f>
        <v>9156</v>
      </c>
      <c r="T317" s="37">
        <f>InterestRate*AmortizationMultiplier*IF(ISNUMBER(SEARCH("Actual",$C$7)),Table1578[[#This Row],[Days in month]]/365,1/12)</f>
        <v>6.2344444444444444E-3</v>
      </c>
    </row>
    <row r="318" spans="2:20" x14ac:dyDescent="0.2">
      <c r="B318" s="1">
        <f t="shared" si="14"/>
        <v>55031</v>
      </c>
      <c r="C318" s="2">
        <f t="shared" si="16"/>
        <v>302</v>
      </c>
      <c r="D318" s="3">
        <f t="shared" si="15"/>
        <v>0</v>
      </c>
      <c r="E318" s="3">
        <f>ROUND(Table1578[[#This Row],[Beginning Balance]]*Table1578[[#This Row],[Monthly Interest Rate]],2)</f>
        <v>0</v>
      </c>
      <c r="F318" s="3">
        <f t="shared" si="17"/>
        <v>-299</v>
      </c>
      <c r="G318" s="23">
        <f>IFERROR(IF($C$13="No","N/A",IF(Table1578[[#This Row],[Period]]=1,$C$6,PMT(InterestRate*AmortizationMultiplier/12,Table1578[[#This Row],[Am Thru]],-Table1578[[#This Row],[Beginning Balance]]))),0)</f>
        <v>0</v>
      </c>
      <c r="H318" s="3">
        <f>MAX(0,IF(C318=$C$4,D318,ROUND(IF($C$3="Fixed Principal",$C$6-Table1578[[#This Row],[Interest]],IF($C$3="Interest Only",Table1578[[#This Row],[Beginning Balance]]*ROUND(1-(1-IF($C$11="No",$E$8,1))^(1/12),6),MIN(IF($C$13="Yes",Table1578[[#This Row],[Payment Amount (Reamortized)]],$C$6)-Table1578[[#This Row],[Interest]],Table1578[[#This Row],[Beginning Balance]]))),2)))</f>
        <v>0</v>
      </c>
      <c r="I318" s="3">
        <f>_xlfn.SINGLE(IF($C$3="Line of Credit",0,ROUND(MAX(MIN(IF($C$10="No",$E$7,VLOOKUP(Table1578[[#This Row],[Period]],Forecast!$H$2:$L$1048576,4,FALSE))*Table1578[[#This Row],[Beginning Balance]],Table1578[[#This Row],[Beginning Balance]]-Table1578[[#This Row],[Principal]]),0),2)))</f>
        <v>0</v>
      </c>
      <c r="J318" s="3">
        <f>ROUND(MIN(Table1578[[#This Row],[Beginning Balance]]*IF($C$8="No",$E$3,VLOOKUP(Table1578[[#This Row],[Period]],Forecast!$H$2:$L$1048576,2,FALSE)),Table1578[[#This Row],[Beginning Balance]]-Table1578[[#This Row],[Principal]]-Table1578[[#This Row],[Prepayments]]),2)</f>
        <v>0</v>
      </c>
      <c r="K318" s="3">
        <f>ROUND(Table1578[[#This Row],[Defaulted Principal]]*IF($C$9="No",$E$4,VLOOKUP(Table1578[[#This Row],[Period]],Forecast!$H$2:$L$1048576,3,FALSE)),2)</f>
        <v>0</v>
      </c>
      <c r="L318" s="2">
        <f>Table1578[[#This Row],[Period]]+$E$9</f>
        <v>314</v>
      </c>
      <c r="M318" s="3">
        <f>Table1578[[#This Row],[Defaulted Principal]]-Table1578[[#This Row],[Estimated Loss]]</f>
        <v>0</v>
      </c>
      <c r="N318" s="3">
        <f>IFERROR(VLOOKUP(Table1578[[#This Row],[Period]],$L$16:$M$385,2,FALSE),0)</f>
        <v>0</v>
      </c>
      <c r="O318" s="3">
        <f>Table1578[[#This Row],[Beginning Balance]]-Table1578[[#This Row],[Principal]]-Table1578[[#This Row],[Prepayments]]-Table1578[[#This Row],[Defaulted Principal]]</f>
        <v>0</v>
      </c>
      <c r="P318" s="3">
        <f>Table1578[[#This Row],[Principal]]+Table1578[[#This Row],[Interest]]+Table1578[[#This Row],[Prepayments]]+Table1578[[#This Row],[RecoveredAmount]]</f>
        <v>0</v>
      </c>
      <c r="Q318" s="3">
        <f ca="1">ROUND(Table1578[[#This Row],[Cash Flow]]/((1+ActualRateToUse)^(IF(ISNUMBER(SEARCH("Actual",$C$7)),Table1578[[#This Row],[Running Total]]/365,Table1578[[#This Row],[Period]]/12))),2)</f>
        <v>0</v>
      </c>
      <c r="R318" s="2">
        <f>IF(MONTH(Table1578[[#This Row],[Date]])=2,28,DAY(DATE(YEAR(Table1578[[#This Row],[Date]]),MONTH(Table1578[[#This Row],[Date]])+1,1)-1))</f>
        <v>31</v>
      </c>
      <c r="S318" s="2">
        <f ca="1">SUM(OFFSET(Table1578[[#Headers],[Days in month]],1,0):Table1578[[#This Row],[Days in month]])</f>
        <v>9187</v>
      </c>
      <c r="T318" s="37">
        <f>InterestRate*AmortizationMultiplier*IF(ISNUMBER(SEARCH("Actual",$C$7)),Table1578[[#This Row],[Days in month]]/365,1/12)</f>
        <v>6.2344444444444444E-3</v>
      </c>
    </row>
    <row r="319" spans="2:20" x14ac:dyDescent="0.2">
      <c r="B319" s="1">
        <f t="shared" si="14"/>
        <v>55061</v>
      </c>
      <c r="C319" s="2">
        <f t="shared" si="16"/>
        <v>303</v>
      </c>
      <c r="D319" s="3">
        <f t="shared" si="15"/>
        <v>0</v>
      </c>
      <c r="E319" s="3">
        <f>ROUND(Table1578[[#This Row],[Beginning Balance]]*Table1578[[#This Row],[Monthly Interest Rate]],2)</f>
        <v>0</v>
      </c>
      <c r="F319" s="3">
        <f t="shared" si="17"/>
        <v>-300</v>
      </c>
      <c r="G319" s="23">
        <f>IFERROR(IF($C$13="No","N/A",IF(Table1578[[#This Row],[Period]]=1,$C$6,PMT(InterestRate*AmortizationMultiplier/12,Table1578[[#This Row],[Am Thru]],-Table1578[[#This Row],[Beginning Balance]]))),0)</f>
        <v>0</v>
      </c>
      <c r="H319" s="3">
        <f>MAX(0,IF(C319=$C$4,D319,ROUND(IF($C$3="Fixed Principal",$C$6-Table1578[[#This Row],[Interest]],IF($C$3="Interest Only",Table1578[[#This Row],[Beginning Balance]]*ROUND(1-(1-IF($C$11="No",$E$8,1))^(1/12),6),MIN(IF($C$13="Yes",Table1578[[#This Row],[Payment Amount (Reamortized)]],$C$6)-Table1578[[#This Row],[Interest]],Table1578[[#This Row],[Beginning Balance]]))),2)))</f>
        <v>0</v>
      </c>
      <c r="I319" s="3">
        <f>_xlfn.SINGLE(IF($C$3="Line of Credit",0,ROUND(MAX(MIN(IF($C$10="No",$E$7,VLOOKUP(Table1578[[#This Row],[Period]],Forecast!$H$2:$L$1048576,4,FALSE))*Table1578[[#This Row],[Beginning Balance]],Table1578[[#This Row],[Beginning Balance]]-Table1578[[#This Row],[Principal]]),0),2)))</f>
        <v>0</v>
      </c>
      <c r="J319" s="3">
        <f>ROUND(MIN(Table1578[[#This Row],[Beginning Balance]]*IF($C$8="No",$E$3,VLOOKUP(Table1578[[#This Row],[Period]],Forecast!$H$2:$L$1048576,2,FALSE)),Table1578[[#This Row],[Beginning Balance]]-Table1578[[#This Row],[Principal]]-Table1578[[#This Row],[Prepayments]]),2)</f>
        <v>0</v>
      </c>
      <c r="K319" s="3">
        <f>ROUND(Table1578[[#This Row],[Defaulted Principal]]*IF($C$9="No",$E$4,VLOOKUP(Table1578[[#This Row],[Period]],Forecast!$H$2:$L$1048576,3,FALSE)),2)</f>
        <v>0</v>
      </c>
      <c r="L319" s="2">
        <f>Table1578[[#This Row],[Period]]+$E$9</f>
        <v>315</v>
      </c>
      <c r="M319" s="3">
        <f>Table1578[[#This Row],[Defaulted Principal]]-Table1578[[#This Row],[Estimated Loss]]</f>
        <v>0</v>
      </c>
      <c r="N319" s="3">
        <f>IFERROR(VLOOKUP(Table1578[[#This Row],[Period]],$L$16:$M$385,2,FALSE),0)</f>
        <v>0</v>
      </c>
      <c r="O319" s="3">
        <f>Table1578[[#This Row],[Beginning Balance]]-Table1578[[#This Row],[Principal]]-Table1578[[#This Row],[Prepayments]]-Table1578[[#This Row],[Defaulted Principal]]</f>
        <v>0</v>
      </c>
      <c r="P319" s="3">
        <f>Table1578[[#This Row],[Principal]]+Table1578[[#This Row],[Interest]]+Table1578[[#This Row],[Prepayments]]+Table1578[[#This Row],[RecoveredAmount]]</f>
        <v>0</v>
      </c>
      <c r="Q319" s="3">
        <f ca="1">ROUND(Table1578[[#This Row],[Cash Flow]]/((1+ActualRateToUse)^(IF(ISNUMBER(SEARCH("Actual",$C$7)),Table1578[[#This Row],[Running Total]]/365,Table1578[[#This Row],[Period]]/12))),2)</f>
        <v>0</v>
      </c>
      <c r="R319" s="2">
        <f>IF(MONTH(Table1578[[#This Row],[Date]])=2,28,DAY(DATE(YEAR(Table1578[[#This Row],[Date]]),MONTH(Table1578[[#This Row],[Date]])+1,1)-1))</f>
        <v>30</v>
      </c>
      <c r="S319" s="2">
        <f ca="1">SUM(OFFSET(Table1578[[#Headers],[Days in month]],1,0):Table1578[[#This Row],[Days in month]])</f>
        <v>9217</v>
      </c>
      <c r="T319" s="37">
        <f>InterestRate*AmortizationMultiplier*IF(ISNUMBER(SEARCH("Actual",$C$7)),Table1578[[#This Row],[Days in month]]/365,1/12)</f>
        <v>6.0333333333333333E-3</v>
      </c>
    </row>
    <row r="320" spans="2:20" x14ac:dyDescent="0.2">
      <c r="B320" s="1">
        <f t="shared" si="14"/>
        <v>55092</v>
      </c>
      <c r="C320" s="2">
        <f t="shared" si="16"/>
        <v>304</v>
      </c>
      <c r="D320" s="3">
        <f t="shared" si="15"/>
        <v>0</v>
      </c>
      <c r="E320" s="3">
        <f>ROUND(Table1578[[#This Row],[Beginning Balance]]*Table1578[[#This Row],[Monthly Interest Rate]],2)</f>
        <v>0</v>
      </c>
      <c r="F320" s="3">
        <f t="shared" si="17"/>
        <v>-301</v>
      </c>
      <c r="G320" s="23">
        <f>IFERROR(IF($C$13="No","N/A",IF(Table1578[[#This Row],[Period]]=1,$C$6,PMT(InterestRate*AmortizationMultiplier/12,Table1578[[#This Row],[Am Thru]],-Table1578[[#This Row],[Beginning Balance]]))),0)</f>
        <v>0</v>
      </c>
      <c r="H320" s="3">
        <f>MAX(0,IF(C320=$C$4,D320,ROUND(IF($C$3="Fixed Principal",$C$6-Table1578[[#This Row],[Interest]],IF($C$3="Interest Only",Table1578[[#This Row],[Beginning Balance]]*ROUND(1-(1-IF($C$11="No",$E$8,1))^(1/12),6),MIN(IF($C$13="Yes",Table1578[[#This Row],[Payment Amount (Reamortized)]],$C$6)-Table1578[[#This Row],[Interest]],Table1578[[#This Row],[Beginning Balance]]))),2)))</f>
        <v>0</v>
      </c>
      <c r="I320" s="3">
        <f>_xlfn.SINGLE(IF($C$3="Line of Credit",0,ROUND(MAX(MIN(IF($C$10="No",$E$7,VLOOKUP(Table1578[[#This Row],[Period]],Forecast!$H$2:$L$1048576,4,FALSE))*Table1578[[#This Row],[Beginning Balance]],Table1578[[#This Row],[Beginning Balance]]-Table1578[[#This Row],[Principal]]),0),2)))</f>
        <v>0</v>
      </c>
      <c r="J320" s="3">
        <f>ROUND(MIN(Table1578[[#This Row],[Beginning Balance]]*IF($C$8="No",$E$3,VLOOKUP(Table1578[[#This Row],[Period]],Forecast!$H$2:$L$1048576,2,FALSE)),Table1578[[#This Row],[Beginning Balance]]-Table1578[[#This Row],[Principal]]-Table1578[[#This Row],[Prepayments]]),2)</f>
        <v>0</v>
      </c>
      <c r="K320" s="3">
        <f>ROUND(Table1578[[#This Row],[Defaulted Principal]]*IF($C$9="No",$E$4,VLOOKUP(Table1578[[#This Row],[Period]],Forecast!$H$2:$L$1048576,3,FALSE)),2)</f>
        <v>0</v>
      </c>
      <c r="L320" s="2">
        <f>Table1578[[#This Row],[Period]]+$E$9</f>
        <v>316</v>
      </c>
      <c r="M320" s="3">
        <f>Table1578[[#This Row],[Defaulted Principal]]-Table1578[[#This Row],[Estimated Loss]]</f>
        <v>0</v>
      </c>
      <c r="N320" s="3">
        <f>IFERROR(VLOOKUP(Table1578[[#This Row],[Period]],$L$16:$M$385,2,FALSE),0)</f>
        <v>0</v>
      </c>
      <c r="O320" s="3">
        <f>Table1578[[#This Row],[Beginning Balance]]-Table1578[[#This Row],[Principal]]-Table1578[[#This Row],[Prepayments]]-Table1578[[#This Row],[Defaulted Principal]]</f>
        <v>0</v>
      </c>
      <c r="P320" s="3">
        <f>Table1578[[#This Row],[Principal]]+Table1578[[#This Row],[Interest]]+Table1578[[#This Row],[Prepayments]]+Table1578[[#This Row],[RecoveredAmount]]</f>
        <v>0</v>
      </c>
      <c r="Q320" s="3">
        <f ca="1">ROUND(Table1578[[#This Row],[Cash Flow]]/((1+ActualRateToUse)^(IF(ISNUMBER(SEARCH("Actual",$C$7)),Table1578[[#This Row],[Running Total]]/365,Table1578[[#This Row],[Period]]/12))),2)</f>
        <v>0</v>
      </c>
      <c r="R320" s="2">
        <f>IF(MONTH(Table1578[[#This Row],[Date]])=2,28,DAY(DATE(YEAR(Table1578[[#This Row],[Date]]),MONTH(Table1578[[#This Row],[Date]])+1,1)-1))</f>
        <v>31</v>
      </c>
      <c r="S320" s="2">
        <f ca="1">SUM(OFFSET(Table1578[[#Headers],[Days in month]],1,0):Table1578[[#This Row],[Days in month]])</f>
        <v>9248</v>
      </c>
      <c r="T320" s="37">
        <f>InterestRate*AmortizationMultiplier*IF(ISNUMBER(SEARCH("Actual",$C$7)),Table1578[[#This Row],[Days in month]]/365,1/12)</f>
        <v>6.2344444444444444E-3</v>
      </c>
    </row>
    <row r="321" spans="2:20" x14ac:dyDescent="0.2">
      <c r="B321" s="1">
        <f t="shared" si="14"/>
        <v>55122</v>
      </c>
      <c r="C321" s="2">
        <f t="shared" si="16"/>
        <v>305</v>
      </c>
      <c r="D321" s="3">
        <f t="shared" si="15"/>
        <v>0</v>
      </c>
      <c r="E321" s="3">
        <f>ROUND(Table1578[[#This Row],[Beginning Balance]]*Table1578[[#This Row],[Monthly Interest Rate]],2)</f>
        <v>0</v>
      </c>
      <c r="F321" s="3">
        <f t="shared" si="17"/>
        <v>-302</v>
      </c>
      <c r="G321" s="23">
        <f>IFERROR(IF($C$13="No","N/A",IF(Table1578[[#This Row],[Period]]=1,$C$6,PMT(InterestRate*AmortizationMultiplier/12,Table1578[[#This Row],[Am Thru]],-Table1578[[#This Row],[Beginning Balance]]))),0)</f>
        <v>0</v>
      </c>
      <c r="H321" s="3">
        <f>MAX(0,IF(C321=$C$4,D321,ROUND(IF($C$3="Fixed Principal",$C$6-Table1578[[#This Row],[Interest]],IF($C$3="Interest Only",Table1578[[#This Row],[Beginning Balance]]*ROUND(1-(1-IF($C$11="No",$E$8,1))^(1/12),6),MIN(IF($C$13="Yes",Table1578[[#This Row],[Payment Amount (Reamortized)]],$C$6)-Table1578[[#This Row],[Interest]],Table1578[[#This Row],[Beginning Balance]]))),2)))</f>
        <v>0</v>
      </c>
      <c r="I321" s="3">
        <f>_xlfn.SINGLE(IF($C$3="Line of Credit",0,ROUND(MAX(MIN(IF($C$10="No",$E$7,VLOOKUP(Table1578[[#This Row],[Period]],Forecast!$H$2:$L$1048576,4,FALSE))*Table1578[[#This Row],[Beginning Balance]],Table1578[[#This Row],[Beginning Balance]]-Table1578[[#This Row],[Principal]]),0),2)))</f>
        <v>0</v>
      </c>
      <c r="J321" s="3">
        <f>ROUND(MIN(Table1578[[#This Row],[Beginning Balance]]*IF($C$8="No",$E$3,VLOOKUP(Table1578[[#This Row],[Period]],Forecast!$H$2:$L$1048576,2,FALSE)),Table1578[[#This Row],[Beginning Balance]]-Table1578[[#This Row],[Principal]]-Table1578[[#This Row],[Prepayments]]),2)</f>
        <v>0</v>
      </c>
      <c r="K321" s="3">
        <f>ROUND(Table1578[[#This Row],[Defaulted Principal]]*IF($C$9="No",$E$4,VLOOKUP(Table1578[[#This Row],[Period]],Forecast!$H$2:$L$1048576,3,FALSE)),2)</f>
        <v>0</v>
      </c>
      <c r="L321" s="2">
        <f>Table1578[[#This Row],[Period]]+$E$9</f>
        <v>317</v>
      </c>
      <c r="M321" s="3">
        <f>Table1578[[#This Row],[Defaulted Principal]]-Table1578[[#This Row],[Estimated Loss]]</f>
        <v>0</v>
      </c>
      <c r="N321" s="3">
        <f>IFERROR(VLOOKUP(Table1578[[#This Row],[Period]],$L$16:$M$385,2,FALSE),0)</f>
        <v>0</v>
      </c>
      <c r="O321" s="3">
        <f>Table1578[[#This Row],[Beginning Balance]]-Table1578[[#This Row],[Principal]]-Table1578[[#This Row],[Prepayments]]-Table1578[[#This Row],[Defaulted Principal]]</f>
        <v>0</v>
      </c>
      <c r="P321" s="3">
        <f>Table1578[[#This Row],[Principal]]+Table1578[[#This Row],[Interest]]+Table1578[[#This Row],[Prepayments]]+Table1578[[#This Row],[RecoveredAmount]]</f>
        <v>0</v>
      </c>
      <c r="Q321" s="3">
        <f ca="1">ROUND(Table1578[[#This Row],[Cash Flow]]/((1+ActualRateToUse)^(IF(ISNUMBER(SEARCH("Actual",$C$7)),Table1578[[#This Row],[Running Total]]/365,Table1578[[#This Row],[Period]]/12))),2)</f>
        <v>0</v>
      </c>
      <c r="R321" s="2">
        <f>IF(MONTH(Table1578[[#This Row],[Date]])=2,28,DAY(DATE(YEAR(Table1578[[#This Row],[Date]]),MONTH(Table1578[[#This Row],[Date]])+1,1)-1))</f>
        <v>30</v>
      </c>
      <c r="S321" s="2">
        <f ca="1">SUM(OFFSET(Table1578[[#Headers],[Days in month]],1,0):Table1578[[#This Row],[Days in month]])</f>
        <v>9278</v>
      </c>
      <c r="T321" s="37">
        <f>InterestRate*AmortizationMultiplier*IF(ISNUMBER(SEARCH("Actual",$C$7)),Table1578[[#This Row],[Days in month]]/365,1/12)</f>
        <v>6.0333333333333333E-3</v>
      </c>
    </row>
    <row r="322" spans="2:20" x14ac:dyDescent="0.2">
      <c r="B322" s="1">
        <f t="shared" si="14"/>
        <v>55153</v>
      </c>
      <c r="C322" s="2">
        <f t="shared" si="16"/>
        <v>306</v>
      </c>
      <c r="D322" s="3">
        <f t="shared" si="15"/>
        <v>0</v>
      </c>
      <c r="E322" s="3">
        <f>ROUND(Table1578[[#This Row],[Beginning Balance]]*Table1578[[#This Row],[Monthly Interest Rate]],2)</f>
        <v>0</v>
      </c>
      <c r="F322" s="3">
        <f t="shared" si="17"/>
        <v>-303</v>
      </c>
      <c r="G322" s="23">
        <f>IFERROR(IF($C$13="No","N/A",IF(Table1578[[#This Row],[Period]]=1,$C$6,PMT(InterestRate*AmortizationMultiplier/12,Table1578[[#This Row],[Am Thru]],-Table1578[[#This Row],[Beginning Balance]]))),0)</f>
        <v>0</v>
      </c>
      <c r="H322" s="3">
        <f>MAX(0,IF(C322=$C$4,D322,ROUND(IF($C$3="Fixed Principal",$C$6-Table1578[[#This Row],[Interest]],IF($C$3="Interest Only",Table1578[[#This Row],[Beginning Balance]]*ROUND(1-(1-IF($C$11="No",$E$8,1))^(1/12),6),MIN(IF($C$13="Yes",Table1578[[#This Row],[Payment Amount (Reamortized)]],$C$6)-Table1578[[#This Row],[Interest]],Table1578[[#This Row],[Beginning Balance]]))),2)))</f>
        <v>0</v>
      </c>
      <c r="I322" s="3">
        <f>_xlfn.SINGLE(IF($C$3="Line of Credit",0,ROUND(MAX(MIN(IF($C$10="No",$E$7,VLOOKUP(Table1578[[#This Row],[Period]],Forecast!$H$2:$L$1048576,4,FALSE))*Table1578[[#This Row],[Beginning Balance]],Table1578[[#This Row],[Beginning Balance]]-Table1578[[#This Row],[Principal]]),0),2)))</f>
        <v>0</v>
      </c>
      <c r="J322" s="3">
        <f>ROUND(MIN(Table1578[[#This Row],[Beginning Balance]]*IF($C$8="No",$E$3,VLOOKUP(Table1578[[#This Row],[Period]],Forecast!$H$2:$L$1048576,2,FALSE)),Table1578[[#This Row],[Beginning Balance]]-Table1578[[#This Row],[Principal]]-Table1578[[#This Row],[Prepayments]]),2)</f>
        <v>0</v>
      </c>
      <c r="K322" s="3">
        <f>ROUND(Table1578[[#This Row],[Defaulted Principal]]*IF($C$9="No",$E$4,VLOOKUP(Table1578[[#This Row],[Period]],Forecast!$H$2:$L$1048576,3,FALSE)),2)</f>
        <v>0</v>
      </c>
      <c r="L322" s="2">
        <f>Table1578[[#This Row],[Period]]+$E$9</f>
        <v>318</v>
      </c>
      <c r="M322" s="3">
        <f>Table1578[[#This Row],[Defaulted Principal]]-Table1578[[#This Row],[Estimated Loss]]</f>
        <v>0</v>
      </c>
      <c r="N322" s="3">
        <f>IFERROR(VLOOKUP(Table1578[[#This Row],[Period]],$L$16:$M$385,2,FALSE),0)</f>
        <v>0</v>
      </c>
      <c r="O322" s="3">
        <f>Table1578[[#This Row],[Beginning Balance]]-Table1578[[#This Row],[Principal]]-Table1578[[#This Row],[Prepayments]]-Table1578[[#This Row],[Defaulted Principal]]</f>
        <v>0</v>
      </c>
      <c r="P322" s="3">
        <f>Table1578[[#This Row],[Principal]]+Table1578[[#This Row],[Interest]]+Table1578[[#This Row],[Prepayments]]+Table1578[[#This Row],[RecoveredAmount]]</f>
        <v>0</v>
      </c>
      <c r="Q322" s="3">
        <f ca="1">ROUND(Table1578[[#This Row],[Cash Flow]]/((1+ActualRateToUse)^(IF(ISNUMBER(SEARCH("Actual",$C$7)),Table1578[[#This Row],[Running Total]]/365,Table1578[[#This Row],[Period]]/12))),2)</f>
        <v>0</v>
      </c>
      <c r="R322" s="2">
        <f>IF(MONTH(Table1578[[#This Row],[Date]])=2,28,DAY(DATE(YEAR(Table1578[[#This Row],[Date]]),MONTH(Table1578[[#This Row],[Date]])+1,1)-1))</f>
        <v>31</v>
      </c>
      <c r="S322" s="2">
        <f ca="1">SUM(OFFSET(Table1578[[#Headers],[Days in month]],1,0):Table1578[[#This Row],[Days in month]])</f>
        <v>9309</v>
      </c>
      <c r="T322" s="37">
        <f>InterestRate*AmortizationMultiplier*IF(ISNUMBER(SEARCH("Actual",$C$7)),Table1578[[#This Row],[Days in month]]/365,1/12)</f>
        <v>6.2344444444444444E-3</v>
      </c>
    </row>
    <row r="323" spans="2:20" x14ac:dyDescent="0.2">
      <c r="B323" s="1">
        <f t="shared" si="14"/>
        <v>55184</v>
      </c>
      <c r="C323" s="2">
        <f t="shared" si="16"/>
        <v>307</v>
      </c>
      <c r="D323" s="3">
        <f t="shared" si="15"/>
        <v>0</v>
      </c>
      <c r="E323" s="3">
        <f>ROUND(Table1578[[#This Row],[Beginning Balance]]*Table1578[[#This Row],[Monthly Interest Rate]],2)</f>
        <v>0</v>
      </c>
      <c r="F323" s="3">
        <f t="shared" si="17"/>
        <v>-304</v>
      </c>
      <c r="G323" s="23">
        <f>IFERROR(IF($C$13="No","N/A",IF(Table1578[[#This Row],[Period]]=1,$C$6,PMT(InterestRate*AmortizationMultiplier/12,Table1578[[#This Row],[Am Thru]],-Table1578[[#This Row],[Beginning Balance]]))),0)</f>
        <v>0</v>
      </c>
      <c r="H323" s="3">
        <f>MAX(0,IF(C323=$C$4,D323,ROUND(IF($C$3="Fixed Principal",$C$6-Table1578[[#This Row],[Interest]],IF($C$3="Interest Only",Table1578[[#This Row],[Beginning Balance]]*ROUND(1-(1-IF($C$11="No",$E$8,1))^(1/12),6),MIN(IF($C$13="Yes",Table1578[[#This Row],[Payment Amount (Reamortized)]],$C$6)-Table1578[[#This Row],[Interest]],Table1578[[#This Row],[Beginning Balance]]))),2)))</f>
        <v>0</v>
      </c>
      <c r="I323" s="3">
        <f>_xlfn.SINGLE(IF($C$3="Line of Credit",0,ROUND(MAX(MIN(IF($C$10="No",$E$7,VLOOKUP(Table1578[[#This Row],[Period]],Forecast!$H$2:$L$1048576,4,FALSE))*Table1578[[#This Row],[Beginning Balance]],Table1578[[#This Row],[Beginning Balance]]-Table1578[[#This Row],[Principal]]),0),2)))</f>
        <v>0</v>
      </c>
      <c r="J323" s="3">
        <f>ROUND(MIN(Table1578[[#This Row],[Beginning Balance]]*IF($C$8="No",$E$3,VLOOKUP(Table1578[[#This Row],[Period]],Forecast!$H$2:$L$1048576,2,FALSE)),Table1578[[#This Row],[Beginning Balance]]-Table1578[[#This Row],[Principal]]-Table1578[[#This Row],[Prepayments]]),2)</f>
        <v>0</v>
      </c>
      <c r="K323" s="3">
        <f>ROUND(Table1578[[#This Row],[Defaulted Principal]]*IF($C$9="No",$E$4,VLOOKUP(Table1578[[#This Row],[Period]],Forecast!$H$2:$L$1048576,3,FALSE)),2)</f>
        <v>0</v>
      </c>
      <c r="L323" s="2">
        <f>Table1578[[#This Row],[Period]]+$E$9</f>
        <v>319</v>
      </c>
      <c r="M323" s="3">
        <f>Table1578[[#This Row],[Defaulted Principal]]-Table1578[[#This Row],[Estimated Loss]]</f>
        <v>0</v>
      </c>
      <c r="N323" s="3">
        <f>IFERROR(VLOOKUP(Table1578[[#This Row],[Period]],$L$16:$M$385,2,FALSE),0)</f>
        <v>0</v>
      </c>
      <c r="O323" s="3">
        <f>Table1578[[#This Row],[Beginning Balance]]-Table1578[[#This Row],[Principal]]-Table1578[[#This Row],[Prepayments]]-Table1578[[#This Row],[Defaulted Principal]]</f>
        <v>0</v>
      </c>
      <c r="P323" s="3">
        <f>Table1578[[#This Row],[Principal]]+Table1578[[#This Row],[Interest]]+Table1578[[#This Row],[Prepayments]]+Table1578[[#This Row],[RecoveredAmount]]</f>
        <v>0</v>
      </c>
      <c r="Q323" s="3">
        <f ca="1">ROUND(Table1578[[#This Row],[Cash Flow]]/((1+ActualRateToUse)^(IF(ISNUMBER(SEARCH("Actual",$C$7)),Table1578[[#This Row],[Running Total]]/365,Table1578[[#This Row],[Period]]/12))),2)</f>
        <v>0</v>
      </c>
      <c r="R323" s="2">
        <f>IF(MONTH(Table1578[[#This Row],[Date]])=2,28,DAY(DATE(YEAR(Table1578[[#This Row],[Date]]),MONTH(Table1578[[#This Row],[Date]])+1,1)-1))</f>
        <v>31</v>
      </c>
      <c r="S323" s="2">
        <f ca="1">SUM(OFFSET(Table1578[[#Headers],[Days in month]],1,0):Table1578[[#This Row],[Days in month]])</f>
        <v>9340</v>
      </c>
      <c r="T323" s="37">
        <f>InterestRate*AmortizationMultiplier*IF(ISNUMBER(SEARCH("Actual",$C$7)),Table1578[[#This Row],[Days in month]]/365,1/12)</f>
        <v>6.2344444444444444E-3</v>
      </c>
    </row>
    <row r="324" spans="2:20" x14ac:dyDescent="0.2">
      <c r="B324" s="1">
        <f t="shared" si="14"/>
        <v>55212</v>
      </c>
      <c r="C324" s="2">
        <f t="shared" si="16"/>
        <v>308</v>
      </c>
      <c r="D324" s="3">
        <f t="shared" si="15"/>
        <v>0</v>
      </c>
      <c r="E324" s="3">
        <f>ROUND(Table1578[[#This Row],[Beginning Balance]]*Table1578[[#This Row],[Monthly Interest Rate]],2)</f>
        <v>0</v>
      </c>
      <c r="F324" s="3">
        <f t="shared" si="17"/>
        <v>-305</v>
      </c>
      <c r="G324" s="23">
        <f>IFERROR(IF($C$13="No","N/A",IF(Table1578[[#This Row],[Period]]=1,$C$6,PMT(InterestRate*AmortizationMultiplier/12,Table1578[[#This Row],[Am Thru]],-Table1578[[#This Row],[Beginning Balance]]))),0)</f>
        <v>0</v>
      </c>
      <c r="H324" s="3">
        <f>MAX(0,IF(C324=$C$4,D324,ROUND(IF($C$3="Fixed Principal",$C$6-Table1578[[#This Row],[Interest]],IF($C$3="Interest Only",Table1578[[#This Row],[Beginning Balance]]*ROUND(1-(1-IF($C$11="No",$E$8,1))^(1/12),6),MIN(IF($C$13="Yes",Table1578[[#This Row],[Payment Amount (Reamortized)]],$C$6)-Table1578[[#This Row],[Interest]],Table1578[[#This Row],[Beginning Balance]]))),2)))</f>
        <v>0</v>
      </c>
      <c r="I324" s="3">
        <f>_xlfn.SINGLE(IF($C$3="Line of Credit",0,ROUND(MAX(MIN(IF($C$10="No",$E$7,VLOOKUP(Table1578[[#This Row],[Period]],Forecast!$H$2:$L$1048576,4,FALSE))*Table1578[[#This Row],[Beginning Balance]],Table1578[[#This Row],[Beginning Balance]]-Table1578[[#This Row],[Principal]]),0),2)))</f>
        <v>0</v>
      </c>
      <c r="J324" s="3">
        <f>ROUND(MIN(Table1578[[#This Row],[Beginning Balance]]*IF($C$8="No",$E$3,VLOOKUP(Table1578[[#This Row],[Period]],Forecast!$H$2:$L$1048576,2,FALSE)),Table1578[[#This Row],[Beginning Balance]]-Table1578[[#This Row],[Principal]]-Table1578[[#This Row],[Prepayments]]),2)</f>
        <v>0</v>
      </c>
      <c r="K324" s="3">
        <f>ROUND(Table1578[[#This Row],[Defaulted Principal]]*IF($C$9="No",$E$4,VLOOKUP(Table1578[[#This Row],[Period]],Forecast!$H$2:$L$1048576,3,FALSE)),2)</f>
        <v>0</v>
      </c>
      <c r="L324" s="2">
        <f>Table1578[[#This Row],[Period]]+$E$9</f>
        <v>320</v>
      </c>
      <c r="M324" s="3">
        <f>Table1578[[#This Row],[Defaulted Principal]]-Table1578[[#This Row],[Estimated Loss]]</f>
        <v>0</v>
      </c>
      <c r="N324" s="3">
        <f>IFERROR(VLOOKUP(Table1578[[#This Row],[Period]],$L$16:$M$385,2,FALSE),0)</f>
        <v>0</v>
      </c>
      <c r="O324" s="3">
        <f>Table1578[[#This Row],[Beginning Balance]]-Table1578[[#This Row],[Principal]]-Table1578[[#This Row],[Prepayments]]-Table1578[[#This Row],[Defaulted Principal]]</f>
        <v>0</v>
      </c>
      <c r="P324" s="3">
        <f>Table1578[[#This Row],[Principal]]+Table1578[[#This Row],[Interest]]+Table1578[[#This Row],[Prepayments]]+Table1578[[#This Row],[RecoveredAmount]]</f>
        <v>0</v>
      </c>
      <c r="Q324" s="3">
        <f ca="1">ROUND(Table1578[[#This Row],[Cash Flow]]/((1+ActualRateToUse)^(IF(ISNUMBER(SEARCH("Actual",$C$7)),Table1578[[#This Row],[Running Total]]/365,Table1578[[#This Row],[Period]]/12))),2)</f>
        <v>0</v>
      </c>
      <c r="R324" s="2">
        <f>IF(MONTH(Table1578[[#This Row],[Date]])=2,28,DAY(DATE(YEAR(Table1578[[#This Row],[Date]]),MONTH(Table1578[[#This Row],[Date]])+1,1)-1))</f>
        <v>28</v>
      </c>
      <c r="S324" s="2">
        <f ca="1">SUM(OFFSET(Table1578[[#Headers],[Days in month]],1,0):Table1578[[#This Row],[Days in month]])</f>
        <v>9368</v>
      </c>
      <c r="T324" s="37">
        <f>InterestRate*AmortizationMultiplier*IF(ISNUMBER(SEARCH("Actual",$C$7)),Table1578[[#This Row],[Days in month]]/365,1/12)</f>
        <v>5.6311111111111119E-3</v>
      </c>
    </row>
    <row r="325" spans="2:20" x14ac:dyDescent="0.2">
      <c r="B325" s="1">
        <f t="shared" si="14"/>
        <v>55243</v>
      </c>
      <c r="C325" s="2">
        <f t="shared" si="16"/>
        <v>309</v>
      </c>
      <c r="D325" s="3">
        <f t="shared" si="15"/>
        <v>0</v>
      </c>
      <c r="E325" s="3">
        <f>ROUND(Table1578[[#This Row],[Beginning Balance]]*Table1578[[#This Row],[Monthly Interest Rate]],2)</f>
        <v>0</v>
      </c>
      <c r="F325" s="3">
        <f t="shared" si="17"/>
        <v>-306</v>
      </c>
      <c r="G325" s="23">
        <f>IFERROR(IF($C$13="No","N/A",IF(Table1578[[#This Row],[Period]]=1,$C$6,PMT(InterestRate*AmortizationMultiplier/12,Table1578[[#This Row],[Am Thru]],-Table1578[[#This Row],[Beginning Balance]]))),0)</f>
        <v>0</v>
      </c>
      <c r="H325" s="3">
        <f>MAX(0,IF(C325=$C$4,D325,ROUND(IF($C$3="Fixed Principal",$C$6-Table1578[[#This Row],[Interest]],IF($C$3="Interest Only",Table1578[[#This Row],[Beginning Balance]]*ROUND(1-(1-IF($C$11="No",$E$8,1))^(1/12),6),MIN(IF($C$13="Yes",Table1578[[#This Row],[Payment Amount (Reamortized)]],$C$6)-Table1578[[#This Row],[Interest]],Table1578[[#This Row],[Beginning Balance]]))),2)))</f>
        <v>0</v>
      </c>
      <c r="I325" s="3">
        <f>_xlfn.SINGLE(IF($C$3="Line of Credit",0,ROUND(MAX(MIN(IF($C$10="No",$E$7,VLOOKUP(Table1578[[#This Row],[Period]],Forecast!$H$2:$L$1048576,4,FALSE))*Table1578[[#This Row],[Beginning Balance]],Table1578[[#This Row],[Beginning Balance]]-Table1578[[#This Row],[Principal]]),0),2)))</f>
        <v>0</v>
      </c>
      <c r="J325" s="3">
        <f>ROUND(MIN(Table1578[[#This Row],[Beginning Balance]]*IF($C$8="No",$E$3,VLOOKUP(Table1578[[#This Row],[Period]],Forecast!$H$2:$L$1048576,2,FALSE)),Table1578[[#This Row],[Beginning Balance]]-Table1578[[#This Row],[Principal]]-Table1578[[#This Row],[Prepayments]]),2)</f>
        <v>0</v>
      </c>
      <c r="K325" s="3">
        <f>ROUND(Table1578[[#This Row],[Defaulted Principal]]*IF($C$9="No",$E$4,VLOOKUP(Table1578[[#This Row],[Period]],Forecast!$H$2:$L$1048576,3,FALSE)),2)</f>
        <v>0</v>
      </c>
      <c r="L325" s="2">
        <f>Table1578[[#This Row],[Period]]+$E$9</f>
        <v>321</v>
      </c>
      <c r="M325" s="3">
        <f>Table1578[[#This Row],[Defaulted Principal]]-Table1578[[#This Row],[Estimated Loss]]</f>
        <v>0</v>
      </c>
      <c r="N325" s="3">
        <f>IFERROR(VLOOKUP(Table1578[[#This Row],[Period]],$L$16:$M$385,2,FALSE),0)</f>
        <v>0</v>
      </c>
      <c r="O325" s="3">
        <f>Table1578[[#This Row],[Beginning Balance]]-Table1578[[#This Row],[Principal]]-Table1578[[#This Row],[Prepayments]]-Table1578[[#This Row],[Defaulted Principal]]</f>
        <v>0</v>
      </c>
      <c r="P325" s="3">
        <f>Table1578[[#This Row],[Principal]]+Table1578[[#This Row],[Interest]]+Table1578[[#This Row],[Prepayments]]+Table1578[[#This Row],[RecoveredAmount]]</f>
        <v>0</v>
      </c>
      <c r="Q325" s="3">
        <f ca="1">ROUND(Table1578[[#This Row],[Cash Flow]]/((1+ActualRateToUse)^(IF(ISNUMBER(SEARCH("Actual",$C$7)),Table1578[[#This Row],[Running Total]]/365,Table1578[[#This Row],[Period]]/12))),2)</f>
        <v>0</v>
      </c>
      <c r="R325" s="2">
        <f>IF(MONTH(Table1578[[#This Row],[Date]])=2,28,DAY(DATE(YEAR(Table1578[[#This Row],[Date]]),MONTH(Table1578[[#This Row],[Date]])+1,1)-1))</f>
        <v>31</v>
      </c>
      <c r="S325" s="2">
        <f ca="1">SUM(OFFSET(Table1578[[#Headers],[Days in month]],1,0):Table1578[[#This Row],[Days in month]])</f>
        <v>9399</v>
      </c>
      <c r="T325" s="37">
        <f>InterestRate*AmortizationMultiplier*IF(ISNUMBER(SEARCH("Actual",$C$7)),Table1578[[#This Row],[Days in month]]/365,1/12)</f>
        <v>6.2344444444444444E-3</v>
      </c>
    </row>
    <row r="326" spans="2:20" x14ac:dyDescent="0.2">
      <c r="B326" s="1">
        <f t="shared" si="14"/>
        <v>55273</v>
      </c>
      <c r="C326" s="2">
        <f t="shared" si="16"/>
        <v>310</v>
      </c>
      <c r="D326" s="3">
        <f t="shared" si="15"/>
        <v>0</v>
      </c>
      <c r="E326" s="3">
        <f>ROUND(Table1578[[#This Row],[Beginning Balance]]*Table1578[[#This Row],[Monthly Interest Rate]],2)</f>
        <v>0</v>
      </c>
      <c r="F326" s="3">
        <f t="shared" si="17"/>
        <v>-307</v>
      </c>
      <c r="G326" s="23">
        <f>IFERROR(IF($C$13="No","N/A",IF(Table1578[[#This Row],[Period]]=1,$C$6,PMT(InterestRate*AmortizationMultiplier/12,Table1578[[#This Row],[Am Thru]],-Table1578[[#This Row],[Beginning Balance]]))),0)</f>
        <v>0</v>
      </c>
      <c r="H326" s="3">
        <f>MAX(0,IF(C326=$C$4,D326,ROUND(IF($C$3="Fixed Principal",$C$6-Table1578[[#This Row],[Interest]],IF($C$3="Interest Only",Table1578[[#This Row],[Beginning Balance]]*ROUND(1-(1-IF($C$11="No",$E$8,1))^(1/12),6),MIN(IF($C$13="Yes",Table1578[[#This Row],[Payment Amount (Reamortized)]],$C$6)-Table1578[[#This Row],[Interest]],Table1578[[#This Row],[Beginning Balance]]))),2)))</f>
        <v>0</v>
      </c>
      <c r="I326" s="3">
        <f>_xlfn.SINGLE(IF($C$3="Line of Credit",0,ROUND(MAX(MIN(IF($C$10="No",$E$7,VLOOKUP(Table1578[[#This Row],[Period]],Forecast!$H$2:$L$1048576,4,FALSE))*Table1578[[#This Row],[Beginning Balance]],Table1578[[#This Row],[Beginning Balance]]-Table1578[[#This Row],[Principal]]),0),2)))</f>
        <v>0</v>
      </c>
      <c r="J326" s="3">
        <f>ROUND(MIN(Table1578[[#This Row],[Beginning Balance]]*IF($C$8="No",$E$3,VLOOKUP(Table1578[[#This Row],[Period]],Forecast!$H$2:$L$1048576,2,FALSE)),Table1578[[#This Row],[Beginning Balance]]-Table1578[[#This Row],[Principal]]-Table1578[[#This Row],[Prepayments]]),2)</f>
        <v>0</v>
      </c>
      <c r="K326" s="3">
        <f>ROUND(Table1578[[#This Row],[Defaulted Principal]]*IF($C$9="No",$E$4,VLOOKUP(Table1578[[#This Row],[Period]],Forecast!$H$2:$L$1048576,3,FALSE)),2)</f>
        <v>0</v>
      </c>
      <c r="L326" s="2">
        <f>Table1578[[#This Row],[Period]]+$E$9</f>
        <v>322</v>
      </c>
      <c r="M326" s="3">
        <f>Table1578[[#This Row],[Defaulted Principal]]-Table1578[[#This Row],[Estimated Loss]]</f>
        <v>0</v>
      </c>
      <c r="N326" s="3">
        <f>IFERROR(VLOOKUP(Table1578[[#This Row],[Period]],$L$16:$M$385,2,FALSE),0)</f>
        <v>0</v>
      </c>
      <c r="O326" s="3">
        <f>Table1578[[#This Row],[Beginning Balance]]-Table1578[[#This Row],[Principal]]-Table1578[[#This Row],[Prepayments]]-Table1578[[#This Row],[Defaulted Principal]]</f>
        <v>0</v>
      </c>
      <c r="P326" s="3">
        <f>Table1578[[#This Row],[Principal]]+Table1578[[#This Row],[Interest]]+Table1578[[#This Row],[Prepayments]]+Table1578[[#This Row],[RecoveredAmount]]</f>
        <v>0</v>
      </c>
      <c r="Q326" s="3">
        <f ca="1">ROUND(Table1578[[#This Row],[Cash Flow]]/((1+ActualRateToUse)^(IF(ISNUMBER(SEARCH("Actual",$C$7)),Table1578[[#This Row],[Running Total]]/365,Table1578[[#This Row],[Period]]/12))),2)</f>
        <v>0</v>
      </c>
      <c r="R326" s="2">
        <f>IF(MONTH(Table1578[[#This Row],[Date]])=2,28,DAY(DATE(YEAR(Table1578[[#This Row],[Date]]),MONTH(Table1578[[#This Row],[Date]])+1,1)-1))</f>
        <v>30</v>
      </c>
      <c r="S326" s="2">
        <f ca="1">SUM(OFFSET(Table1578[[#Headers],[Days in month]],1,0):Table1578[[#This Row],[Days in month]])</f>
        <v>9429</v>
      </c>
      <c r="T326" s="37">
        <f>InterestRate*AmortizationMultiplier*IF(ISNUMBER(SEARCH("Actual",$C$7)),Table1578[[#This Row],[Days in month]]/365,1/12)</f>
        <v>6.0333333333333333E-3</v>
      </c>
    </row>
    <row r="327" spans="2:20" x14ac:dyDescent="0.2">
      <c r="B327" s="1">
        <f t="shared" si="14"/>
        <v>55304</v>
      </c>
      <c r="C327" s="2">
        <f t="shared" si="16"/>
        <v>311</v>
      </c>
      <c r="D327" s="3">
        <f t="shared" si="15"/>
        <v>0</v>
      </c>
      <c r="E327" s="3">
        <f>ROUND(Table1578[[#This Row],[Beginning Balance]]*Table1578[[#This Row],[Monthly Interest Rate]],2)</f>
        <v>0</v>
      </c>
      <c r="F327" s="3">
        <f t="shared" si="17"/>
        <v>-308</v>
      </c>
      <c r="G327" s="23">
        <f>IFERROR(IF($C$13="No","N/A",IF(Table1578[[#This Row],[Period]]=1,$C$6,PMT(InterestRate*AmortizationMultiplier/12,Table1578[[#This Row],[Am Thru]],-Table1578[[#This Row],[Beginning Balance]]))),0)</f>
        <v>0</v>
      </c>
      <c r="H327" s="3">
        <f>MAX(0,IF(C327=$C$4,D327,ROUND(IF($C$3="Fixed Principal",$C$6-Table1578[[#This Row],[Interest]],IF($C$3="Interest Only",Table1578[[#This Row],[Beginning Balance]]*ROUND(1-(1-IF($C$11="No",$E$8,1))^(1/12),6),MIN(IF($C$13="Yes",Table1578[[#This Row],[Payment Amount (Reamortized)]],$C$6)-Table1578[[#This Row],[Interest]],Table1578[[#This Row],[Beginning Balance]]))),2)))</f>
        <v>0</v>
      </c>
      <c r="I327" s="3">
        <f>_xlfn.SINGLE(IF($C$3="Line of Credit",0,ROUND(MAX(MIN(IF($C$10="No",$E$7,VLOOKUP(Table1578[[#This Row],[Period]],Forecast!$H$2:$L$1048576,4,FALSE))*Table1578[[#This Row],[Beginning Balance]],Table1578[[#This Row],[Beginning Balance]]-Table1578[[#This Row],[Principal]]),0),2)))</f>
        <v>0</v>
      </c>
      <c r="J327" s="3">
        <f>ROUND(MIN(Table1578[[#This Row],[Beginning Balance]]*IF($C$8="No",$E$3,VLOOKUP(Table1578[[#This Row],[Period]],Forecast!$H$2:$L$1048576,2,FALSE)),Table1578[[#This Row],[Beginning Balance]]-Table1578[[#This Row],[Principal]]-Table1578[[#This Row],[Prepayments]]),2)</f>
        <v>0</v>
      </c>
      <c r="K327" s="3">
        <f>ROUND(Table1578[[#This Row],[Defaulted Principal]]*IF($C$9="No",$E$4,VLOOKUP(Table1578[[#This Row],[Period]],Forecast!$H$2:$L$1048576,3,FALSE)),2)</f>
        <v>0</v>
      </c>
      <c r="L327" s="2">
        <f>Table1578[[#This Row],[Period]]+$E$9</f>
        <v>323</v>
      </c>
      <c r="M327" s="3">
        <f>Table1578[[#This Row],[Defaulted Principal]]-Table1578[[#This Row],[Estimated Loss]]</f>
        <v>0</v>
      </c>
      <c r="N327" s="3">
        <f>IFERROR(VLOOKUP(Table1578[[#This Row],[Period]],$L$16:$M$385,2,FALSE),0)</f>
        <v>0</v>
      </c>
      <c r="O327" s="3">
        <f>Table1578[[#This Row],[Beginning Balance]]-Table1578[[#This Row],[Principal]]-Table1578[[#This Row],[Prepayments]]-Table1578[[#This Row],[Defaulted Principal]]</f>
        <v>0</v>
      </c>
      <c r="P327" s="3">
        <f>Table1578[[#This Row],[Principal]]+Table1578[[#This Row],[Interest]]+Table1578[[#This Row],[Prepayments]]+Table1578[[#This Row],[RecoveredAmount]]</f>
        <v>0</v>
      </c>
      <c r="Q327" s="3">
        <f ca="1">ROUND(Table1578[[#This Row],[Cash Flow]]/((1+ActualRateToUse)^(IF(ISNUMBER(SEARCH("Actual",$C$7)),Table1578[[#This Row],[Running Total]]/365,Table1578[[#This Row],[Period]]/12))),2)</f>
        <v>0</v>
      </c>
      <c r="R327" s="2">
        <f>IF(MONTH(Table1578[[#This Row],[Date]])=2,28,DAY(DATE(YEAR(Table1578[[#This Row],[Date]]),MONTH(Table1578[[#This Row],[Date]])+1,1)-1))</f>
        <v>31</v>
      </c>
      <c r="S327" s="2">
        <f ca="1">SUM(OFFSET(Table1578[[#Headers],[Days in month]],1,0):Table1578[[#This Row],[Days in month]])</f>
        <v>9460</v>
      </c>
      <c r="T327" s="37">
        <f>InterestRate*AmortizationMultiplier*IF(ISNUMBER(SEARCH("Actual",$C$7)),Table1578[[#This Row],[Days in month]]/365,1/12)</f>
        <v>6.2344444444444444E-3</v>
      </c>
    </row>
    <row r="328" spans="2:20" x14ac:dyDescent="0.2">
      <c r="B328" s="1">
        <f t="shared" si="14"/>
        <v>55334</v>
      </c>
      <c r="C328" s="2">
        <f t="shared" si="16"/>
        <v>312</v>
      </c>
      <c r="D328" s="3">
        <f t="shared" si="15"/>
        <v>0</v>
      </c>
      <c r="E328" s="3">
        <f>ROUND(Table1578[[#This Row],[Beginning Balance]]*Table1578[[#This Row],[Monthly Interest Rate]],2)</f>
        <v>0</v>
      </c>
      <c r="F328" s="3">
        <f t="shared" si="17"/>
        <v>-309</v>
      </c>
      <c r="G328" s="23">
        <f>IFERROR(IF($C$13="No","N/A",IF(Table1578[[#This Row],[Period]]=1,$C$6,PMT(InterestRate*AmortizationMultiplier/12,Table1578[[#This Row],[Am Thru]],-Table1578[[#This Row],[Beginning Balance]]))),0)</f>
        <v>0</v>
      </c>
      <c r="H328" s="3">
        <f>MAX(0,IF(C328=$C$4,D328,ROUND(IF($C$3="Fixed Principal",$C$6-Table1578[[#This Row],[Interest]],IF($C$3="Interest Only",Table1578[[#This Row],[Beginning Balance]]*ROUND(1-(1-IF($C$11="No",$E$8,1))^(1/12),6),MIN(IF($C$13="Yes",Table1578[[#This Row],[Payment Amount (Reamortized)]],$C$6)-Table1578[[#This Row],[Interest]],Table1578[[#This Row],[Beginning Balance]]))),2)))</f>
        <v>0</v>
      </c>
      <c r="I328" s="3">
        <f>_xlfn.SINGLE(IF($C$3="Line of Credit",0,ROUND(MAX(MIN(IF($C$10="No",$E$7,VLOOKUP(Table1578[[#This Row],[Period]],Forecast!$H$2:$L$1048576,4,FALSE))*Table1578[[#This Row],[Beginning Balance]],Table1578[[#This Row],[Beginning Balance]]-Table1578[[#This Row],[Principal]]),0),2)))</f>
        <v>0</v>
      </c>
      <c r="J328" s="3">
        <f>ROUND(MIN(Table1578[[#This Row],[Beginning Balance]]*IF($C$8="No",$E$3,VLOOKUP(Table1578[[#This Row],[Period]],Forecast!$H$2:$L$1048576,2,FALSE)),Table1578[[#This Row],[Beginning Balance]]-Table1578[[#This Row],[Principal]]-Table1578[[#This Row],[Prepayments]]),2)</f>
        <v>0</v>
      </c>
      <c r="K328" s="3">
        <f>ROUND(Table1578[[#This Row],[Defaulted Principal]]*IF($C$9="No",$E$4,VLOOKUP(Table1578[[#This Row],[Period]],Forecast!$H$2:$L$1048576,3,FALSE)),2)</f>
        <v>0</v>
      </c>
      <c r="L328" s="2">
        <f>Table1578[[#This Row],[Period]]+$E$9</f>
        <v>324</v>
      </c>
      <c r="M328" s="3">
        <f>Table1578[[#This Row],[Defaulted Principal]]-Table1578[[#This Row],[Estimated Loss]]</f>
        <v>0</v>
      </c>
      <c r="N328" s="3">
        <f>IFERROR(VLOOKUP(Table1578[[#This Row],[Period]],$L$16:$M$385,2,FALSE),0)</f>
        <v>0</v>
      </c>
      <c r="O328" s="3">
        <f>Table1578[[#This Row],[Beginning Balance]]-Table1578[[#This Row],[Principal]]-Table1578[[#This Row],[Prepayments]]-Table1578[[#This Row],[Defaulted Principal]]</f>
        <v>0</v>
      </c>
      <c r="P328" s="3">
        <f>Table1578[[#This Row],[Principal]]+Table1578[[#This Row],[Interest]]+Table1578[[#This Row],[Prepayments]]+Table1578[[#This Row],[RecoveredAmount]]</f>
        <v>0</v>
      </c>
      <c r="Q328" s="3">
        <f ca="1">ROUND(Table1578[[#This Row],[Cash Flow]]/((1+ActualRateToUse)^(IF(ISNUMBER(SEARCH("Actual",$C$7)),Table1578[[#This Row],[Running Total]]/365,Table1578[[#This Row],[Period]]/12))),2)</f>
        <v>0</v>
      </c>
      <c r="R328" s="2">
        <f>IF(MONTH(Table1578[[#This Row],[Date]])=2,28,DAY(DATE(YEAR(Table1578[[#This Row],[Date]]),MONTH(Table1578[[#This Row],[Date]])+1,1)-1))</f>
        <v>30</v>
      </c>
      <c r="S328" s="2">
        <f ca="1">SUM(OFFSET(Table1578[[#Headers],[Days in month]],1,0):Table1578[[#This Row],[Days in month]])</f>
        <v>9490</v>
      </c>
      <c r="T328" s="37">
        <f>InterestRate*AmortizationMultiplier*IF(ISNUMBER(SEARCH("Actual",$C$7)),Table1578[[#This Row],[Days in month]]/365,1/12)</f>
        <v>6.0333333333333333E-3</v>
      </c>
    </row>
    <row r="329" spans="2:20" x14ac:dyDescent="0.2">
      <c r="B329" s="1">
        <f t="shared" si="14"/>
        <v>55365</v>
      </c>
      <c r="C329" s="2">
        <f t="shared" si="16"/>
        <v>313</v>
      </c>
      <c r="D329" s="3">
        <f t="shared" si="15"/>
        <v>0</v>
      </c>
      <c r="E329" s="3">
        <f>ROUND(Table1578[[#This Row],[Beginning Balance]]*Table1578[[#This Row],[Monthly Interest Rate]],2)</f>
        <v>0</v>
      </c>
      <c r="F329" s="3">
        <f t="shared" si="17"/>
        <v>-310</v>
      </c>
      <c r="G329" s="23">
        <f>IFERROR(IF($C$13="No","N/A",IF(Table1578[[#This Row],[Period]]=1,$C$6,PMT(InterestRate*AmortizationMultiplier/12,Table1578[[#This Row],[Am Thru]],-Table1578[[#This Row],[Beginning Balance]]))),0)</f>
        <v>0</v>
      </c>
      <c r="H329" s="3">
        <f>MAX(0,IF(C329=$C$4,D329,ROUND(IF($C$3="Fixed Principal",$C$6-Table1578[[#This Row],[Interest]],IF($C$3="Interest Only",Table1578[[#This Row],[Beginning Balance]]*ROUND(1-(1-IF($C$11="No",$E$8,1))^(1/12),6),MIN(IF($C$13="Yes",Table1578[[#This Row],[Payment Amount (Reamortized)]],$C$6)-Table1578[[#This Row],[Interest]],Table1578[[#This Row],[Beginning Balance]]))),2)))</f>
        <v>0</v>
      </c>
      <c r="I329" s="3">
        <f>_xlfn.SINGLE(IF($C$3="Line of Credit",0,ROUND(MAX(MIN(IF($C$10="No",$E$7,VLOOKUP(Table1578[[#This Row],[Period]],Forecast!$H$2:$L$1048576,4,FALSE))*Table1578[[#This Row],[Beginning Balance]],Table1578[[#This Row],[Beginning Balance]]-Table1578[[#This Row],[Principal]]),0),2)))</f>
        <v>0</v>
      </c>
      <c r="J329" s="3">
        <f>ROUND(MIN(Table1578[[#This Row],[Beginning Balance]]*IF($C$8="No",$E$3,VLOOKUP(Table1578[[#This Row],[Period]],Forecast!$H$2:$L$1048576,2,FALSE)),Table1578[[#This Row],[Beginning Balance]]-Table1578[[#This Row],[Principal]]-Table1578[[#This Row],[Prepayments]]),2)</f>
        <v>0</v>
      </c>
      <c r="K329" s="3">
        <f>ROUND(Table1578[[#This Row],[Defaulted Principal]]*IF($C$9="No",$E$4,VLOOKUP(Table1578[[#This Row],[Period]],Forecast!$H$2:$L$1048576,3,FALSE)),2)</f>
        <v>0</v>
      </c>
      <c r="L329" s="2">
        <f>Table1578[[#This Row],[Period]]+$E$9</f>
        <v>325</v>
      </c>
      <c r="M329" s="3">
        <f>Table1578[[#This Row],[Defaulted Principal]]-Table1578[[#This Row],[Estimated Loss]]</f>
        <v>0</v>
      </c>
      <c r="N329" s="3">
        <f>IFERROR(VLOOKUP(Table1578[[#This Row],[Period]],$L$16:$M$385,2,FALSE),0)</f>
        <v>0</v>
      </c>
      <c r="O329" s="3">
        <f>Table1578[[#This Row],[Beginning Balance]]-Table1578[[#This Row],[Principal]]-Table1578[[#This Row],[Prepayments]]-Table1578[[#This Row],[Defaulted Principal]]</f>
        <v>0</v>
      </c>
      <c r="P329" s="3">
        <f>Table1578[[#This Row],[Principal]]+Table1578[[#This Row],[Interest]]+Table1578[[#This Row],[Prepayments]]+Table1578[[#This Row],[RecoveredAmount]]</f>
        <v>0</v>
      </c>
      <c r="Q329" s="3">
        <f ca="1">ROUND(Table1578[[#This Row],[Cash Flow]]/((1+ActualRateToUse)^(IF(ISNUMBER(SEARCH("Actual",$C$7)),Table1578[[#This Row],[Running Total]]/365,Table1578[[#This Row],[Period]]/12))),2)</f>
        <v>0</v>
      </c>
      <c r="R329" s="2">
        <f>IF(MONTH(Table1578[[#This Row],[Date]])=2,28,DAY(DATE(YEAR(Table1578[[#This Row],[Date]]),MONTH(Table1578[[#This Row],[Date]])+1,1)-1))</f>
        <v>31</v>
      </c>
      <c r="S329" s="2">
        <f ca="1">SUM(OFFSET(Table1578[[#Headers],[Days in month]],1,0):Table1578[[#This Row],[Days in month]])</f>
        <v>9521</v>
      </c>
      <c r="T329" s="37">
        <f>InterestRate*AmortizationMultiplier*IF(ISNUMBER(SEARCH("Actual",$C$7)),Table1578[[#This Row],[Days in month]]/365,1/12)</f>
        <v>6.2344444444444444E-3</v>
      </c>
    </row>
    <row r="330" spans="2:20" x14ac:dyDescent="0.2">
      <c r="B330" s="1">
        <f t="shared" si="14"/>
        <v>55396</v>
      </c>
      <c r="C330" s="2">
        <f t="shared" si="16"/>
        <v>314</v>
      </c>
      <c r="D330" s="3">
        <f t="shared" si="15"/>
        <v>0</v>
      </c>
      <c r="E330" s="3">
        <f>ROUND(Table1578[[#This Row],[Beginning Balance]]*Table1578[[#This Row],[Monthly Interest Rate]],2)</f>
        <v>0</v>
      </c>
      <c r="F330" s="3">
        <f t="shared" si="17"/>
        <v>-311</v>
      </c>
      <c r="G330" s="23">
        <f>IFERROR(IF($C$13="No","N/A",IF(Table1578[[#This Row],[Period]]=1,$C$6,PMT(InterestRate*AmortizationMultiplier/12,Table1578[[#This Row],[Am Thru]],-Table1578[[#This Row],[Beginning Balance]]))),0)</f>
        <v>0</v>
      </c>
      <c r="H330" s="3">
        <f>MAX(0,IF(C330=$C$4,D330,ROUND(IF($C$3="Fixed Principal",$C$6-Table1578[[#This Row],[Interest]],IF($C$3="Interest Only",Table1578[[#This Row],[Beginning Balance]]*ROUND(1-(1-IF($C$11="No",$E$8,1))^(1/12),6),MIN(IF($C$13="Yes",Table1578[[#This Row],[Payment Amount (Reamortized)]],$C$6)-Table1578[[#This Row],[Interest]],Table1578[[#This Row],[Beginning Balance]]))),2)))</f>
        <v>0</v>
      </c>
      <c r="I330" s="3">
        <f>_xlfn.SINGLE(IF($C$3="Line of Credit",0,ROUND(MAX(MIN(IF($C$10="No",$E$7,VLOOKUP(Table1578[[#This Row],[Period]],Forecast!$H$2:$L$1048576,4,FALSE))*Table1578[[#This Row],[Beginning Balance]],Table1578[[#This Row],[Beginning Balance]]-Table1578[[#This Row],[Principal]]),0),2)))</f>
        <v>0</v>
      </c>
      <c r="J330" s="3">
        <f>ROUND(MIN(Table1578[[#This Row],[Beginning Balance]]*IF($C$8="No",$E$3,VLOOKUP(Table1578[[#This Row],[Period]],Forecast!$H$2:$L$1048576,2,FALSE)),Table1578[[#This Row],[Beginning Balance]]-Table1578[[#This Row],[Principal]]-Table1578[[#This Row],[Prepayments]]),2)</f>
        <v>0</v>
      </c>
      <c r="K330" s="3">
        <f>ROUND(Table1578[[#This Row],[Defaulted Principal]]*IF($C$9="No",$E$4,VLOOKUP(Table1578[[#This Row],[Period]],Forecast!$H$2:$L$1048576,3,FALSE)),2)</f>
        <v>0</v>
      </c>
      <c r="L330" s="2">
        <f>Table1578[[#This Row],[Period]]+$E$9</f>
        <v>326</v>
      </c>
      <c r="M330" s="3">
        <f>Table1578[[#This Row],[Defaulted Principal]]-Table1578[[#This Row],[Estimated Loss]]</f>
        <v>0</v>
      </c>
      <c r="N330" s="3">
        <f>IFERROR(VLOOKUP(Table1578[[#This Row],[Period]],$L$16:$M$385,2,FALSE),0)</f>
        <v>0</v>
      </c>
      <c r="O330" s="3">
        <f>Table1578[[#This Row],[Beginning Balance]]-Table1578[[#This Row],[Principal]]-Table1578[[#This Row],[Prepayments]]-Table1578[[#This Row],[Defaulted Principal]]</f>
        <v>0</v>
      </c>
      <c r="P330" s="3">
        <f>Table1578[[#This Row],[Principal]]+Table1578[[#This Row],[Interest]]+Table1578[[#This Row],[Prepayments]]+Table1578[[#This Row],[RecoveredAmount]]</f>
        <v>0</v>
      </c>
      <c r="Q330" s="3">
        <f ca="1">ROUND(Table1578[[#This Row],[Cash Flow]]/((1+ActualRateToUse)^(IF(ISNUMBER(SEARCH("Actual",$C$7)),Table1578[[#This Row],[Running Total]]/365,Table1578[[#This Row],[Period]]/12))),2)</f>
        <v>0</v>
      </c>
      <c r="R330" s="2">
        <f>IF(MONTH(Table1578[[#This Row],[Date]])=2,28,DAY(DATE(YEAR(Table1578[[#This Row],[Date]]),MONTH(Table1578[[#This Row],[Date]])+1,1)-1))</f>
        <v>31</v>
      </c>
      <c r="S330" s="2">
        <f ca="1">SUM(OFFSET(Table1578[[#Headers],[Days in month]],1,0):Table1578[[#This Row],[Days in month]])</f>
        <v>9552</v>
      </c>
      <c r="T330" s="37">
        <f>InterestRate*AmortizationMultiplier*IF(ISNUMBER(SEARCH("Actual",$C$7)),Table1578[[#This Row],[Days in month]]/365,1/12)</f>
        <v>6.2344444444444444E-3</v>
      </c>
    </row>
    <row r="331" spans="2:20" x14ac:dyDescent="0.2">
      <c r="B331" s="1">
        <f t="shared" ref="B331:B385" si="18">EOMONTH(B330,1)</f>
        <v>55426</v>
      </c>
      <c r="C331" s="2">
        <f t="shared" si="16"/>
        <v>315</v>
      </c>
      <c r="D331" s="3">
        <f t="shared" si="15"/>
        <v>0</v>
      </c>
      <c r="E331" s="3">
        <f>ROUND(Table1578[[#This Row],[Beginning Balance]]*Table1578[[#This Row],[Monthly Interest Rate]],2)</f>
        <v>0</v>
      </c>
      <c r="F331" s="3">
        <f t="shared" si="17"/>
        <v>-312</v>
      </c>
      <c r="G331" s="23">
        <f>IFERROR(IF($C$13="No","N/A",IF(Table1578[[#This Row],[Period]]=1,$C$6,PMT(InterestRate*AmortizationMultiplier/12,Table1578[[#This Row],[Am Thru]],-Table1578[[#This Row],[Beginning Balance]]))),0)</f>
        <v>0</v>
      </c>
      <c r="H331" s="3">
        <f>MAX(0,IF(C331=$C$4,D331,ROUND(IF($C$3="Fixed Principal",$C$6-Table1578[[#This Row],[Interest]],IF($C$3="Interest Only",Table1578[[#This Row],[Beginning Balance]]*ROUND(1-(1-IF($C$11="No",$E$8,1))^(1/12),6),MIN(IF($C$13="Yes",Table1578[[#This Row],[Payment Amount (Reamortized)]],$C$6)-Table1578[[#This Row],[Interest]],Table1578[[#This Row],[Beginning Balance]]))),2)))</f>
        <v>0</v>
      </c>
      <c r="I331" s="3">
        <f>_xlfn.SINGLE(IF($C$3="Line of Credit",0,ROUND(MAX(MIN(IF($C$10="No",$E$7,VLOOKUP(Table1578[[#This Row],[Period]],Forecast!$H$2:$L$1048576,4,FALSE))*Table1578[[#This Row],[Beginning Balance]],Table1578[[#This Row],[Beginning Balance]]-Table1578[[#This Row],[Principal]]),0),2)))</f>
        <v>0</v>
      </c>
      <c r="J331" s="3">
        <f>ROUND(MIN(Table1578[[#This Row],[Beginning Balance]]*IF($C$8="No",$E$3,VLOOKUP(Table1578[[#This Row],[Period]],Forecast!$H$2:$L$1048576,2,FALSE)),Table1578[[#This Row],[Beginning Balance]]-Table1578[[#This Row],[Principal]]-Table1578[[#This Row],[Prepayments]]),2)</f>
        <v>0</v>
      </c>
      <c r="K331" s="3">
        <f>ROUND(Table1578[[#This Row],[Defaulted Principal]]*IF($C$9="No",$E$4,VLOOKUP(Table1578[[#This Row],[Period]],Forecast!$H$2:$L$1048576,3,FALSE)),2)</f>
        <v>0</v>
      </c>
      <c r="L331" s="2">
        <f>Table1578[[#This Row],[Period]]+$E$9</f>
        <v>327</v>
      </c>
      <c r="M331" s="3">
        <f>Table1578[[#This Row],[Defaulted Principal]]-Table1578[[#This Row],[Estimated Loss]]</f>
        <v>0</v>
      </c>
      <c r="N331" s="3">
        <f>IFERROR(VLOOKUP(Table1578[[#This Row],[Period]],$L$16:$M$385,2,FALSE),0)</f>
        <v>0</v>
      </c>
      <c r="O331" s="3">
        <f>Table1578[[#This Row],[Beginning Balance]]-Table1578[[#This Row],[Principal]]-Table1578[[#This Row],[Prepayments]]-Table1578[[#This Row],[Defaulted Principal]]</f>
        <v>0</v>
      </c>
      <c r="P331" s="3">
        <f>Table1578[[#This Row],[Principal]]+Table1578[[#This Row],[Interest]]+Table1578[[#This Row],[Prepayments]]+Table1578[[#This Row],[RecoveredAmount]]</f>
        <v>0</v>
      </c>
      <c r="Q331" s="3">
        <f ca="1">ROUND(Table1578[[#This Row],[Cash Flow]]/((1+ActualRateToUse)^(IF(ISNUMBER(SEARCH("Actual",$C$7)),Table1578[[#This Row],[Running Total]]/365,Table1578[[#This Row],[Period]]/12))),2)</f>
        <v>0</v>
      </c>
      <c r="R331" s="2">
        <f>IF(MONTH(Table1578[[#This Row],[Date]])=2,28,DAY(DATE(YEAR(Table1578[[#This Row],[Date]]),MONTH(Table1578[[#This Row],[Date]])+1,1)-1))</f>
        <v>30</v>
      </c>
      <c r="S331" s="2">
        <f ca="1">SUM(OFFSET(Table1578[[#Headers],[Days in month]],1,0):Table1578[[#This Row],[Days in month]])</f>
        <v>9582</v>
      </c>
      <c r="T331" s="37">
        <f>InterestRate*AmortizationMultiplier*IF(ISNUMBER(SEARCH("Actual",$C$7)),Table1578[[#This Row],[Days in month]]/365,1/12)</f>
        <v>6.0333333333333333E-3</v>
      </c>
    </row>
    <row r="332" spans="2:20" x14ac:dyDescent="0.2">
      <c r="B332" s="1">
        <f t="shared" si="18"/>
        <v>55457</v>
      </c>
      <c r="C332" s="2">
        <f t="shared" si="16"/>
        <v>316</v>
      </c>
      <c r="D332" s="3">
        <f t="shared" si="15"/>
        <v>0</v>
      </c>
      <c r="E332" s="3">
        <f>ROUND(Table1578[[#This Row],[Beginning Balance]]*Table1578[[#This Row],[Monthly Interest Rate]],2)</f>
        <v>0</v>
      </c>
      <c r="F332" s="3">
        <f t="shared" si="17"/>
        <v>-313</v>
      </c>
      <c r="G332" s="23">
        <f>IFERROR(IF($C$13="No","N/A",IF(Table1578[[#This Row],[Period]]=1,$C$6,PMT(InterestRate*AmortizationMultiplier/12,Table1578[[#This Row],[Am Thru]],-Table1578[[#This Row],[Beginning Balance]]))),0)</f>
        <v>0</v>
      </c>
      <c r="H332" s="3">
        <f>MAX(0,IF(C332=$C$4,D332,ROUND(IF($C$3="Fixed Principal",$C$6-Table1578[[#This Row],[Interest]],IF($C$3="Interest Only",Table1578[[#This Row],[Beginning Balance]]*ROUND(1-(1-IF($C$11="No",$E$8,1))^(1/12),6),MIN(IF($C$13="Yes",Table1578[[#This Row],[Payment Amount (Reamortized)]],$C$6)-Table1578[[#This Row],[Interest]],Table1578[[#This Row],[Beginning Balance]]))),2)))</f>
        <v>0</v>
      </c>
      <c r="I332" s="3">
        <f>_xlfn.SINGLE(IF($C$3="Line of Credit",0,ROUND(MAX(MIN(IF($C$10="No",$E$7,VLOOKUP(Table1578[[#This Row],[Period]],Forecast!$H$2:$L$1048576,4,FALSE))*Table1578[[#This Row],[Beginning Balance]],Table1578[[#This Row],[Beginning Balance]]-Table1578[[#This Row],[Principal]]),0),2)))</f>
        <v>0</v>
      </c>
      <c r="J332" s="3">
        <f>ROUND(MIN(Table1578[[#This Row],[Beginning Balance]]*IF($C$8="No",$E$3,VLOOKUP(Table1578[[#This Row],[Period]],Forecast!$H$2:$L$1048576,2,FALSE)),Table1578[[#This Row],[Beginning Balance]]-Table1578[[#This Row],[Principal]]-Table1578[[#This Row],[Prepayments]]),2)</f>
        <v>0</v>
      </c>
      <c r="K332" s="3">
        <f>ROUND(Table1578[[#This Row],[Defaulted Principal]]*IF($C$9="No",$E$4,VLOOKUP(Table1578[[#This Row],[Period]],Forecast!$H$2:$L$1048576,3,FALSE)),2)</f>
        <v>0</v>
      </c>
      <c r="L332" s="2">
        <f>Table1578[[#This Row],[Period]]+$E$9</f>
        <v>328</v>
      </c>
      <c r="M332" s="3">
        <f>Table1578[[#This Row],[Defaulted Principal]]-Table1578[[#This Row],[Estimated Loss]]</f>
        <v>0</v>
      </c>
      <c r="N332" s="3">
        <f>IFERROR(VLOOKUP(Table1578[[#This Row],[Period]],$L$16:$M$385,2,FALSE),0)</f>
        <v>0</v>
      </c>
      <c r="O332" s="3">
        <f>Table1578[[#This Row],[Beginning Balance]]-Table1578[[#This Row],[Principal]]-Table1578[[#This Row],[Prepayments]]-Table1578[[#This Row],[Defaulted Principal]]</f>
        <v>0</v>
      </c>
      <c r="P332" s="3">
        <f>Table1578[[#This Row],[Principal]]+Table1578[[#This Row],[Interest]]+Table1578[[#This Row],[Prepayments]]+Table1578[[#This Row],[RecoveredAmount]]</f>
        <v>0</v>
      </c>
      <c r="Q332" s="3">
        <f ca="1">ROUND(Table1578[[#This Row],[Cash Flow]]/((1+ActualRateToUse)^(IF(ISNUMBER(SEARCH("Actual",$C$7)),Table1578[[#This Row],[Running Total]]/365,Table1578[[#This Row],[Period]]/12))),2)</f>
        <v>0</v>
      </c>
      <c r="R332" s="2">
        <f>IF(MONTH(Table1578[[#This Row],[Date]])=2,28,DAY(DATE(YEAR(Table1578[[#This Row],[Date]]),MONTH(Table1578[[#This Row],[Date]])+1,1)-1))</f>
        <v>31</v>
      </c>
      <c r="S332" s="2">
        <f ca="1">SUM(OFFSET(Table1578[[#Headers],[Days in month]],1,0):Table1578[[#This Row],[Days in month]])</f>
        <v>9613</v>
      </c>
      <c r="T332" s="37">
        <f>InterestRate*AmortizationMultiplier*IF(ISNUMBER(SEARCH("Actual",$C$7)),Table1578[[#This Row],[Days in month]]/365,1/12)</f>
        <v>6.2344444444444444E-3</v>
      </c>
    </row>
    <row r="333" spans="2:20" x14ac:dyDescent="0.2">
      <c r="B333" s="1">
        <f t="shared" si="18"/>
        <v>55487</v>
      </c>
      <c r="C333" s="2">
        <f t="shared" si="16"/>
        <v>317</v>
      </c>
      <c r="D333" s="3">
        <f t="shared" si="15"/>
        <v>0</v>
      </c>
      <c r="E333" s="3">
        <f>ROUND(Table1578[[#This Row],[Beginning Balance]]*Table1578[[#This Row],[Monthly Interest Rate]],2)</f>
        <v>0</v>
      </c>
      <c r="F333" s="3">
        <f t="shared" si="17"/>
        <v>-314</v>
      </c>
      <c r="G333" s="23">
        <f>IFERROR(IF($C$13="No","N/A",IF(Table1578[[#This Row],[Period]]=1,$C$6,PMT(InterestRate*AmortizationMultiplier/12,Table1578[[#This Row],[Am Thru]],-Table1578[[#This Row],[Beginning Balance]]))),0)</f>
        <v>0</v>
      </c>
      <c r="H333" s="3">
        <f>MAX(0,IF(C333=$C$4,D333,ROUND(IF($C$3="Fixed Principal",$C$6-Table1578[[#This Row],[Interest]],IF($C$3="Interest Only",Table1578[[#This Row],[Beginning Balance]]*ROUND(1-(1-IF($C$11="No",$E$8,1))^(1/12),6),MIN(IF($C$13="Yes",Table1578[[#This Row],[Payment Amount (Reamortized)]],$C$6)-Table1578[[#This Row],[Interest]],Table1578[[#This Row],[Beginning Balance]]))),2)))</f>
        <v>0</v>
      </c>
      <c r="I333" s="3">
        <f>_xlfn.SINGLE(IF($C$3="Line of Credit",0,ROUND(MAX(MIN(IF($C$10="No",$E$7,VLOOKUP(Table1578[[#This Row],[Period]],Forecast!$H$2:$L$1048576,4,FALSE))*Table1578[[#This Row],[Beginning Balance]],Table1578[[#This Row],[Beginning Balance]]-Table1578[[#This Row],[Principal]]),0),2)))</f>
        <v>0</v>
      </c>
      <c r="J333" s="3">
        <f>ROUND(MIN(Table1578[[#This Row],[Beginning Balance]]*IF($C$8="No",$E$3,VLOOKUP(Table1578[[#This Row],[Period]],Forecast!$H$2:$L$1048576,2,FALSE)),Table1578[[#This Row],[Beginning Balance]]-Table1578[[#This Row],[Principal]]-Table1578[[#This Row],[Prepayments]]),2)</f>
        <v>0</v>
      </c>
      <c r="K333" s="3">
        <f>ROUND(Table1578[[#This Row],[Defaulted Principal]]*IF($C$9="No",$E$4,VLOOKUP(Table1578[[#This Row],[Period]],Forecast!$H$2:$L$1048576,3,FALSE)),2)</f>
        <v>0</v>
      </c>
      <c r="L333" s="2">
        <f>Table1578[[#This Row],[Period]]+$E$9</f>
        <v>329</v>
      </c>
      <c r="M333" s="3">
        <f>Table1578[[#This Row],[Defaulted Principal]]-Table1578[[#This Row],[Estimated Loss]]</f>
        <v>0</v>
      </c>
      <c r="N333" s="3">
        <f>IFERROR(VLOOKUP(Table1578[[#This Row],[Period]],$L$16:$M$385,2,FALSE),0)</f>
        <v>0</v>
      </c>
      <c r="O333" s="3">
        <f>Table1578[[#This Row],[Beginning Balance]]-Table1578[[#This Row],[Principal]]-Table1578[[#This Row],[Prepayments]]-Table1578[[#This Row],[Defaulted Principal]]</f>
        <v>0</v>
      </c>
      <c r="P333" s="3">
        <f>Table1578[[#This Row],[Principal]]+Table1578[[#This Row],[Interest]]+Table1578[[#This Row],[Prepayments]]+Table1578[[#This Row],[RecoveredAmount]]</f>
        <v>0</v>
      </c>
      <c r="Q333" s="3">
        <f ca="1">ROUND(Table1578[[#This Row],[Cash Flow]]/((1+ActualRateToUse)^(IF(ISNUMBER(SEARCH("Actual",$C$7)),Table1578[[#This Row],[Running Total]]/365,Table1578[[#This Row],[Period]]/12))),2)</f>
        <v>0</v>
      </c>
      <c r="R333" s="2">
        <f>IF(MONTH(Table1578[[#This Row],[Date]])=2,28,DAY(DATE(YEAR(Table1578[[#This Row],[Date]]),MONTH(Table1578[[#This Row],[Date]])+1,1)-1))</f>
        <v>30</v>
      </c>
      <c r="S333" s="2">
        <f ca="1">SUM(OFFSET(Table1578[[#Headers],[Days in month]],1,0):Table1578[[#This Row],[Days in month]])</f>
        <v>9643</v>
      </c>
      <c r="T333" s="37">
        <f>InterestRate*AmortizationMultiplier*IF(ISNUMBER(SEARCH("Actual",$C$7)),Table1578[[#This Row],[Days in month]]/365,1/12)</f>
        <v>6.0333333333333333E-3</v>
      </c>
    </row>
    <row r="334" spans="2:20" x14ac:dyDescent="0.2">
      <c r="B334" s="1">
        <f t="shared" si="18"/>
        <v>55518</v>
      </c>
      <c r="C334" s="2">
        <f t="shared" si="16"/>
        <v>318</v>
      </c>
      <c r="D334" s="3">
        <f t="shared" si="15"/>
        <v>0</v>
      </c>
      <c r="E334" s="3">
        <f>ROUND(Table1578[[#This Row],[Beginning Balance]]*Table1578[[#This Row],[Monthly Interest Rate]],2)</f>
        <v>0</v>
      </c>
      <c r="F334" s="3">
        <f t="shared" si="17"/>
        <v>-315</v>
      </c>
      <c r="G334" s="23">
        <f>IFERROR(IF($C$13="No","N/A",IF(Table1578[[#This Row],[Period]]=1,$C$6,PMT(InterestRate*AmortizationMultiplier/12,Table1578[[#This Row],[Am Thru]],-Table1578[[#This Row],[Beginning Balance]]))),0)</f>
        <v>0</v>
      </c>
      <c r="H334" s="3">
        <f>MAX(0,IF(C334=$C$4,D334,ROUND(IF($C$3="Fixed Principal",$C$6-Table1578[[#This Row],[Interest]],IF($C$3="Interest Only",Table1578[[#This Row],[Beginning Balance]]*ROUND(1-(1-IF($C$11="No",$E$8,1))^(1/12),6),MIN(IF($C$13="Yes",Table1578[[#This Row],[Payment Amount (Reamortized)]],$C$6)-Table1578[[#This Row],[Interest]],Table1578[[#This Row],[Beginning Balance]]))),2)))</f>
        <v>0</v>
      </c>
      <c r="I334" s="3">
        <f>_xlfn.SINGLE(IF($C$3="Line of Credit",0,ROUND(MAX(MIN(IF($C$10="No",$E$7,VLOOKUP(Table1578[[#This Row],[Period]],Forecast!$H$2:$L$1048576,4,FALSE))*Table1578[[#This Row],[Beginning Balance]],Table1578[[#This Row],[Beginning Balance]]-Table1578[[#This Row],[Principal]]),0),2)))</f>
        <v>0</v>
      </c>
      <c r="J334" s="3">
        <f>ROUND(MIN(Table1578[[#This Row],[Beginning Balance]]*IF($C$8="No",$E$3,VLOOKUP(Table1578[[#This Row],[Period]],Forecast!$H$2:$L$1048576,2,FALSE)),Table1578[[#This Row],[Beginning Balance]]-Table1578[[#This Row],[Principal]]-Table1578[[#This Row],[Prepayments]]),2)</f>
        <v>0</v>
      </c>
      <c r="K334" s="3">
        <f>ROUND(Table1578[[#This Row],[Defaulted Principal]]*IF($C$9="No",$E$4,VLOOKUP(Table1578[[#This Row],[Period]],Forecast!$H$2:$L$1048576,3,FALSE)),2)</f>
        <v>0</v>
      </c>
      <c r="L334" s="2">
        <f>Table1578[[#This Row],[Period]]+$E$9</f>
        <v>330</v>
      </c>
      <c r="M334" s="3">
        <f>Table1578[[#This Row],[Defaulted Principal]]-Table1578[[#This Row],[Estimated Loss]]</f>
        <v>0</v>
      </c>
      <c r="N334" s="3">
        <f>IFERROR(VLOOKUP(Table1578[[#This Row],[Period]],$L$16:$M$385,2,FALSE),0)</f>
        <v>0</v>
      </c>
      <c r="O334" s="3">
        <f>Table1578[[#This Row],[Beginning Balance]]-Table1578[[#This Row],[Principal]]-Table1578[[#This Row],[Prepayments]]-Table1578[[#This Row],[Defaulted Principal]]</f>
        <v>0</v>
      </c>
      <c r="P334" s="3">
        <f>Table1578[[#This Row],[Principal]]+Table1578[[#This Row],[Interest]]+Table1578[[#This Row],[Prepayments]]+Table1578[[#This Row],[RecoveredAmount]]</f>
        <v>0</v>
      </c>
      <c r="Q334" s="3">
        <f ca="1">ROUND(Table1578[[#This Row],[Cash Flow]]/((1+ActualRateToUse)^(IF(ISNUMBER(SEARCH("Actual",$C$7)),Table1578[[#This Row],[Running Total]]/365,Table1578[[#This Row],[Period]]/12))),2)</f>
        <v>0</v>
      </c>
      <c r="R334" s="2">
        <f>IF(MONTH(Table1578[[#This Row],[Date]])=2,28,DAY(DATE(YEAR(Table1578[[#This Row],[Date]]),MONTH(Table1578[[#This Row],[Date]])+1,1)-1))</f>
        <v>31</v>
      </c>
      <c r="S334" s="2">
        <f ca="1">SUM(OFFSET(Table1578[[#Headers],[Days in month]],1,0):Table1578[[#This Row],[Days in month]])</f>
        <v>9674</v>
      </c>
      <c r="T334" s="37">
        <f>InterestRate*AmortizationMultiplier*IF(ISNUMBER(SEARCH("Actual",$C$7)),Table1578[[#This Row],[Days in month]]/365,1/12)</f>
        <v>6.2344444444444444E-3</v>
      </c>
    </row>
    <row r="335" spans="2:20" x14ac:dyDescent="0.2">
      <c r="B335" s="1">
        <f t="shared" si="18"/>
        <v>55549</v>
      </c>
      <c r="C335" s="2">
        <f t="shared" si="16"/>
        <v>319</v>
      </c>
      <c r="D335" s="3">
        <f t="shared" si="15"/>
        <v>0</v>
      </c>
      <c r="E335" s="3">
        <f>ROUND(Table1578[[#This Row],[Beginning Balance]]*Table1578[[#This Row],[Monthly Interest Rate]],2)</f>
        <v>0</v>
      </c>
      <c r="F335" s="3">
        <f t="shared" si="17"/>
        <v>-316</v>
      </c>
      <c r="G335" s="23">
        <f>IFERROR(IF($C$13="No","N/A",IF(Table1578[[#This Row],[Period]]=1,$C$6,PMT(InterestRate*AmortizationMultiplier/12,Table1578[[#This Row],[Am Thru]],-Table1578[[#This Row],[Beginning Balance]]))),0)</f>
        <v>0</v>
      </c>
      <c r="H335" s="3">
        <f>MAX(0,IF(C335=$C$4,D335,ROUND(IF($C$3="Fixed Principal",$C$6-Table1578[[#This Row],[Interest]],IF($C$3="Interest Only",Table1578[[#This Row],[Beginning Balance]]*ROUND(1-(1-IF($C$11="No",$E$8,1))^(1/12),6),MIN(IF($C$13="Yes",Table1578[[#This Row],[Payment Amount (Reamortized)]],$C$6)-Table1578[[#This Row],[Interest]],Table1578[[#This Row],[Beginning Balance]]))),2)))</f>
        <v>0</v>
      </c>
      <c r="I335" s="3">
        <f>_xlfn.SINGLE(IF($C$3="Line of Credit",0,ROUND(MAX(MIN(IF($C$10="No",$E$7,VLOOKUP(Table1578[[#This Row],[Period]],Forecast!$H$2:$L$1048576,4,FALSE))*Table1578[[#This Row],[Beginning Balance]],Table1578[[#This Row],[Beginning Balance]]-Table1578[[#This Row],[Principal]]),0),2)))</f>
        <v>0</v>
      </c>
      <c r="J335" s="3">
        <f>ROUND(MIN(Table1578[[#This Row],[Beginning Balance]]*IF($C$8="No",$E$3,VLOOKUP(Table1578[[#This Row],[Period]],Forecast!$H$2:$L$1048576,2,FALSE)),Table1578[[#This Row],[Beginning Balance]]-Table1578[[#This Row],[Principal]]-Table1578[[#This Row],[Prepayments]]),2)</f>
        <v>0</v>
      </c>
      <c r="K335" s="3">
        <f>ROUND(Table1578[[#This Row],[Defaulted Principal]]*IF($C$9="No",$E$4,VLOOKUP(Table1578[[#This Row],[Period]],Forecast!$H$2:$L$1048576,3,FALSE)),2)</f>
        <v>0</v>
      </c>
      <c r="L335" s="2">
        <f>Table1578[[#This Row],[Period]]+$E$9</f>
        <v>331</v>
      </c>
      <c r="M335" s="3">
        <f>Table1578[[#This Row],[Defaulted Principal]]-Table1578[[#This Row],[Estimated Loss]]</f>
        <v>0</v>
      </c>
      <c r="N335" s="3">
        <f>IFERROR(VLOOKUP(Table1578[[#This Row],[Period]],$L$16:$M$385,2,FALSE),0)</f>
        <v>0</v>
      </c>
      <c r="O335" s="3">
        <f>Table1578[[#This Row],[Beginning Balance]]-Table1578[[#This Row],[Principal]]-Table1578[[#This Row],[Prepayments]]-Table1578[[#This Row],[Defaulted Principal]]</f>
        <v>0</v>
      </c>
      <c r="P335" s="3">
        <f>Table1578[[#This Row],[Principal]]+Table1578[[#This Row],[Interest]]+Table1578[[#This Row],[Prepayments]]+Table1578[[#This Row],[RecoveredAmount]]</f>
        <v>0</v>
      </c>
      <c r="Q335" s="3">
        <f ca="1">ROUND(Table1578[[#This Row],[Cash Flow]]/((1+ActualRateToUse)^(IF(ISNUMBER(SEARCH("Actual",$C$7)),Table1578[[#This Row],[Running Total]]/365,Table1578[[#This Row],[Period]]/12))),2)</f>
        <v>0</v>
      </c>
      <c r="R335" s="2">
        <f>IF(MONTH(Table1578[[#This Row],[Date]])=2,28,DAY(DATE(YEAR(Table1578[[#This Row],[Date]]),MONTH(Table1578[[#This Row],[Date]])+1,1)-1))</f>
        <v>31</v>
      </c>
      <c r="S335" s="2">
        <f ca="1">SUM(OFFSET(Table1578[[#Headers],[Days in month]],1,0):Table1578[[#This Row],[Days in month]])</f>
        <v>9705</v>
      </c>
      <c r="T335" s="37">
        <f>InterestRate*AmortizationMultiplier*IF(ISNUMBER(SEARCH("Actual",$C$7)),Table1578[[#This Row],[Days in month]]/365,1/12)</f>
        <v>6.2344444444444444E-3</v>
      </c>
    </row>
    <row r="336" spans="2:20" x14ac:dyDescent="0.2">
      <c r="B336" s="1">
        <f t="shared" si="18"/>
        <v>55578</v>
      </c>
      <c r="C336" s="2">
        <f t="shared" si="16"/>
        <v>320</v>
      </c>
      <c r="D336" s="3">
        <f t="shared" si="15"/>
        <v>0</v>
      </c>
      <c r="E336" s="3">
        <f>ROUND(Table1578[[#This Row],[Beginning Balance]]*Table1578[[#This Row],[Monthly Interest Rate]],2)</f>
        <v>0</v>
      </c>
      <c r="F336" s="3">
        <f t="shared" si="17"/>
        <v>-317</v>
      </c>
      <c r="G336" s="23">
        <f>IFERROR(IF($C$13="No","N/A",IF(Table1578[[#This Row],[Period]]=1,$C$6,PMT(InterestRate*AmortizationMultiplier/12,Table1578[[#This Row],[Am Thru]],-Table1578[[#This Row],[Beginning Balance]]))),0)</f>
        <v>0</v>
      </c>
      <c r="H336" s="3">
        <f>MAX(0,IF(C336=$C$4,D336,ROUND(IF($C$3="Fixed Principal",$C$6-Table1578[[#This Row],[Interest]],IF($C$3="Interest Only",Table1578[[#This Row],[Beginning Balance]]*ROUND(1-(1-IF($C$11="No",$E$8,1))^(1/12),6),MIN(IF($C$13="Yes",Table1578[[#This Row],[Payment Amount (Reamortized)]],$C$6)-Table1578[[#This Row],[Interest]],Table1578[[#This Row],[Beginning Balance]]))),2)))</f>
        <v>0</v>
      </c>
      <c r="I336" s="3">
        <f>_xlfn.SINGLE(IF($C$3="Line of Credit",0,ROUND(MAX(MIN(IF($C$10="No",$E$7,VLOOKUP(Table1578[[#This Row],[Period]],Forecast!$H$2:$L$1048576,4,FALSE))*Table1578[[#This Row],[Beginning Balance]],Table1578[[#This Row],[Beginning Balance]]-Table1578[[#This Row],[Principal]]),0),2)))</f>
        <v>0</v>
      </c>
      <c r="J336" s="3">
        <f>ROUND(MIN(Table1578[[#This Row],[Beginning Balance]]*IF($C$8="No",$E$3,VLOOKUP(Table1578[[#This Row],[Period]],Forecast!$H$2:$L$1048576,2,FALSE)),Table1578[[#This Row],[Beginning Balance]]-Table1578[[#This Row],[Principal]]-Table1578[[#This Row],[Prepayments]]),2)</f>
        <v>0</v>
      </c>
      <c r="K336" s="3">
        <f>ROUND(Table1578[[#This Row],[Defaulted Principal]]*IF($C$9="No",$E$4,VLOOKUP(Table1578[[#This Row],[Period]],Forecast!$H$2:$L$1048576,3,FALSE)),2)</f>
        <v>0</v>
      </c>
      <c r="L336" s="2">
        <f>Table1578[[#This Row],[Period]]+$E$9</f>
        <v>332</v>
      </c>
      <c r="M336" s="3">
        <f>Table1578[[#This Row],[Defaulted Principal]]-Table1578[[#This Row],[Estimated Loss]]</f>
        <v>0</v>
      </c>
      <c r="N336" s="3">
        <f>IFERROR(VLOOKUP(Table1578[[#This Row],[Period]],$L$16:$M$385,2,FALSE),0)</f>
        <v>0</v>
      </c>
      <c r="O336" s="3">
        <f>Table1578[[#This Row],[Beginning Balance]]-Table1578[[#This Row],[Principal]]-Table1578[[#This Row],[Prepayments]]-Table1578[[#This Row],[Defaulted Principal]]</f>
        <v>0</v>
      </c>
      <c r="P336" s="3">
        <f>Table1578[[#This Row],[Principal]]+Table1578[[#This Row],[Interest]]+Table1578[[#This Row],[Prepayments]]+Table1578[[#This Row],[RecoveredAmount]]</f>
        <v>0</v>
      </c>
      <c r="Q336" s="3">
        <f ca="1">ROUND(Table1578[[#This Row],[Cash Flow]]/((1+ActualRateToUse)^(IF(ISNUMBER(SEARCH("Actual",$C$7)),Table1578[[#This Row],[Running Total]]/365,Table1578[[#This Row],[Period]]/12))),2)</f>
        <v>0</v>
      </c>
      <c r="R336" s="2">
        <f>IF(MONTH(Table1578[[#This Row],[Date]])=2,28,DAY(DATE(YEAR(Table1578[[#This Row],[Date]]),MONTH(Table1578[[#This Row],[Date]])+1,1)-1))</f>
        <v>28</v>
      </c>
      <c r="S336" s="2">
        <f ca="1">SUM(OFFSET(Table1578[[#Headers],[Days in month]],1,0):Table1578[[#This Row],[Days in month]])</f>
        <v>9733</v>
      </c>
      <c r="T336" s="37">
        <f>InterestRate*AmortizationMultiplier*IF(ISNUMBER(SEARCH("Actual",$C$7)),Table1578[[#This Row],[Days in month]]/365,1/12)</f>
        <v>5.6311111111111119E-3</v>
      </c>
    </row>
    <row r="337" spans="2:20" x14ac:dyDescent="0.2">
      <c r="B337" s="1">
        <f t="shared" si="18"/>
        <v>55609</v>
      </c>
      <c r="C337" s="2">
        <f t="shared" si="16"/>
        <v>321</v>
      </c>
      <c r="D337" s="3">
        <f t="shared" si="15"/>
        <v>0</v>
      </c>
      <c r="E337" s="3">
        <f>ROUND(Table1578[[#This Row],[Beginning Balance]]*Table1578[[#This Row],[Monthly Interest Rate]],2)</f>
        <v>0</v>
      </c>
      <c r="F337" s="3">
        <f t="shared" si="17"/>
        <v>-318</v>
      </c>
      <c r="G337" s="23">
        <f>IFERROR(IF($C$13="No","N/A",IF(Table1578[[#This Row],[Period]]=1,$C$6,PMT(InterestRate*AmortizationMultiplier/12,Table1578[[#This Row],[Am Thru]],-Table1578[[#This Row],[Beginning Balance]]))),0)</f>
        <v>0</v>
      </c>
      <c r="H337" s="3">
        <f>MAX(0,IF(C337=$C$4,D337,ROUND(IF($C$3="Fixed Principal",$C$6-Table1578[[#This Row],[Interest]],IF($C$3="Interest Only",Table1578[[#This Row],[Beginning Balance]]*ROUND(1-(1-IF($C$11="No",$E$8,1))^(1/12),6),MIN(IF($C$13="Yes",Table1578[[#This Row],[Payment Amount (Reamortized)]],$C$6)-Table1578[[#This Row],[Interest]],Table1578[[#This Row],[Beginning Balance]]))),2)))</f>
        <v>0</v>
      </c>
      <c r="I337" s="3">
        <f>_xlfn.SINGLE(IF($C$3="Line of Credit",0,ROUND(MAX(MIN(IF($C$10="No",$E$7,VLOOKUP(Table1578[[#This Row],[Period]],Forecast!$H$2:$L$1048576,4,FALSE))*Table1578[[#This Row],[Beginning Balance]],Table1578[[#This Row],[Beginning Balance]]-Table1578[[#This Row],[Principal]]),0),2)))</f>
        <v>0</v>
      </c>
      <c r="J337" s="3">
        <f>ROUND(MIN(Table1578[[#This Row],[Beginning Balance]]*IF($C$8="No",$E$3,VLOOKUP(Table1578[[#This Row],[Period]],Forecast!$H$2:$L$1048576,2,FALSE)),Table1578[[#This Row],[Beginning Balance]]-Table1578[[#This Row],[Principal]]-Table1578[[#This Row],[Prepayments]]),2)</f>
        <v>0</v>
      </c>
      <c r="K337" s="3">
        <f>ROUND(Table1578[[#This Row],[Defaulted Principal]]*IF($C$9="No",$E$4,VLOOKUP(Table1578[[#This Row],[Period]],Forecast!$H$2:$L$1048576,3,FALSE)),2)</f>
        <v>0</v>
      </c>
      <c r="L337" s="2">
        <f>Table1578[[#This Row],[Period]]+$E$9</f>
        <v>333</v>
      </c>
      <c r="M337" s="3">
        <f>Table1578[[#This Row],[Defaulted Principal]]-Table1578[[#This Row],[Estimated Loss]]</f>
        <v>0</v>
      </c>
      <c r="N337" s="3">
        <f>IFERROR(VLOOKUP(Table1578[[#This Row],[Period]],$L$16:$M$385,2,FALSE),0)</f>
        <v>0</v>
      </c>
      <c r="O337" s="3">
        <f>Table1578[[#This Row],[Beginning Balance]]-Table1578[[#This Row],[Principal]]-Table1578[[#This Row],[Prepayments]]-Table1578[[#This Row],[Defaulted Principal]]</f>
        <v>0</v>
      </c>
      <c r="P337" s="3">
        <f>Table1578[[#This Row],[Principal]]+Table1578[[#This Row],[Interest]]+Table1578[[#This Row],[Prepayments]]+Table1578[[#This Row],[RecoveredAmount]]</f>
        <v>0</v>
      </c>
      <c r="Q337" s="3">
        <f ca="1">ROUND(Table1578[[#This Row],[Cash Flow]]/((1+ActualRateToUse)^(IF(ISNUMBER(SEARCH("Actual",$C$7)),Table1578[[#This Row],[Running Total]]/365,Table1578[[#This Row],[Period]]/12))),2)</f>
        <v>0</v>
      </c>
      <c r="R337" s="2">
        <f>IF(MONTH(Table1578[[#This Row],[Date]])=2,28,DAY(DATE(YEAR(Table1578[[#This Row],[Date]]),MONTH(Table1578[[#This Row],[Date]])+1,1)-1))</f>
        <v>31</v>
      </c>
      <c r="S337" s="2">
        <f ca="1">SUM(OFFSET(Table1578[[#Headers],[Days in month]],1,0):Table1578[[#This Row],[Days in month]])</f>
        <v>9764</v>
      </c>
      <c r="T337" s="37">
        <f>InterestRate*AmortizationMultiplier*IF(ISNUMBER(SEARCH("Actual",$C$7)),Table1578[[#This Row],[Days in month]]/365,1/12)</f>
        <v>6.2344444444444444E-3</v>
      </c>
    </row>
    <row r="338" spans="2:20" x14ac:dyDescent="0.2">
      <c r="B338" s="1">
        <f t="shared" si="18"/>
        <v>55639</v>
      </c>
      <c r="C338" s="2">
        <f t="shared" si="16"/>
        <v>322</v>
      </c>
      <c r="D338" s="3">
        <f t="shared" ref="D338:D385" si="19">O337</f>
        <v>0</v>
      </c>
      <c r="E338" s="3">
        <f>ROUND(Table1578[[#This Row],[Beginning Balance]]*Table1578[[#This Row],[Monthly Interest Rate]],2)</f>
        <v>0</v>
      </c>
      <c r="F338" s="3">
        <f t="shared" si="17"/>
        <v>-319</v>
      </c>
      <c r="G338" s="23">
        <f>IFERROR(IF($C$13="No","N/A",IF(Table1578[[#This Row],[Period]]=1,$C$6,PMT(InterestRate*AmortizationMultiplier/12,Table1578[[#This Row],[Am Thru]],-Table1578[[#This Row],[Beginning Balance]]))),0)</f>
        <v>0</v>
      </c>
      <c r="H338" s="3">
        <f>MAX(0,IF(C338=$C$4,D338,ROUND(IF($C$3="Fixed Principal",$C$6-Table1578[[#This Row],[Interest]],IF($C$3="Interest Only",Table1578[[#This Row],[Beginning Balance]]*ROUND(1-(1-IF($C$11="No",$E$8,1))^(1/12),6),MIN(IF($C$13="Yes",Table1578[[#This Row],[Payment Amount (Reamortized)]],$C$6)-Table1578[[#This Row],[Interest]],Table1578[[#This Row],[Beginning Balance]]))),2)))</f>
        <v>0</v>
      </c>
      <c r="I338" s="3">
        <f>_xlfn.SINGLE(IF($C$3="Line of Credit",0,ROUND(MAX(MIN(IF($C$10="No",$E$7,VLOOKUP(Table1578[[#This Row],[Period]],Forecast!$H$2:$L$1048576,4,FALSE))*Table1578[[#This Row],[Beginning Balance]],Table1578[[#This Row],[Beginning Balance]]-Table1578[[#This Row],[Principal]]),0),2)))</f>
        <v>0</v>
      </c>
      <c r="J338" s="3">
        <f>ROUND(MIN(Table1578[[#This Row],[Beginning Balance]]*IF($C$8="No",$E$3,VLOOKUP(Table1578[[#This Row],[Period]],Forecast!$H$2:$L$1048576,2,FALSE)),Table1578[[#This Row],[Beginning Balance]]-Table1578[[#This Row],[Principal]]-Table1578[[#This Row],[Prepayments]]),2)</f>
        <v>0</v>
      </c>
      <c r="K338" s="3">
        <f>ROUND(Table1578[[#This Row],[Defaulted Principal]]*IF($C$9="No",$E$4,VLOOKUP(Table1578[[#This Row],[Period]],Forecast!$H$2:$L$1048576,3,FALSE)),2)</f>
        <v>0</v>
      </c>
      <c r="L338" s="2">
        <f>Table1578[[#This Row],[Period]]+$E$9</f>
        <v>334</v>
      </c>
      <c r="M338" s="3">
        <f>Table1578[[#This Row],[Defaulted Principal]]-Table1578[[#This Row],[Estimated Loss]]</f>
        <v>0</v>
      </c>
      <c r="N338" s="3">
        <f>IFERROR(VLOOKUP(Table1578[[#This Row],[Period]],$L$16:$M$385,2,FALSE),0)</f>
        <v>0</v>
      </c>
      <c r="O338" s="3">
        <f>Table1578[[#This Row],[Beginning Balance]]-Table1578[[#This Row],[Principal]]-Table1578[[#This Row],[Prepayments]]-Table1578[[#This Row],[Defaulted Principal]]</f>
        <v>0</v>
      </c>
      <c r="P338" s="3">
        <f>Table1578[[#This Row],[Principal]]+Table1578[[#This Row],[Interest]]+Table1578[[#This Row],[Prepayments]]+Table1578[[#This Row],[RecoveredAmount]]</f>
        <v>0</v>
      </c>
      <c r="Q338" s="3">
        <f ca="1">ROUND(Table1578[[#This Row],[Cash Flow]]/((1+ActualRateToUse)^(IF(ISNUMBER(SEARCH("Actual",$C$7)),Table1578[[#This Row],[Running Total]]/365,Table1578[[#This Row],[Period]]/12))),2)</f>
        <v>0</v>
      </c>
      <c r="R338" s="2">
        <f>IF(MONTH(Table1578[[#This Row],[Date]])=2,28,DAY(DATE(YEAR(Table1578[[#This Row],[Date]]),MONTH(Table1578[[#This Row],[Date]])+1,1)-1))</f>
        <v>30</v>
      </c>
      <c r="S338" s="2">
        <f ca="1">SUM(OFFSET(Table1578[[#Headers],[Days in month]],1,0):Table1578[[#This Row],[Days in month]])</f>
        <v>9794</v>
      </c>
      <c r="T338" s="37">
        <f>InterestRate*AmortizationMultiplier*IF(ISNUMBER(SEARCH("Actual",$C$7)),Table1578[[#This Row],[Days in month]]/365,1/12)</f>
        <v>6.0333333333333333E-3</v>
      </c>
    </row>
    <row r="339" spans="2:20" x14ac:dyDescent="0.2">
      <c r="B339" s="1">
        <f t="shared" si="18"/>
        <v>55670</v>
      </c>
      <c r="C339" s="2">
        <f t="shared" ref="C339:C385" si="20">C338+1</f>
        <v>323</v>
      </c>
      <c r="D339" s="3">
        <f t="shared" si="19"/>
        <v>0</v>
      </c>
      <c r="E339" s="3">
        <f>ROUND(Table1578[[#This Row],[Beginning Balance]]*Table1578[[#This Row],[Monthly Interest Rate]],2)</f>
        <v>0</v>
      </c>
      <c r="F339" s="3">
        <f t="shared" ref="F339:F385" si="21">+F338-1</f>
        <v>-320</v>
      </c>
      <c r="G339" s="23">
        <f>IFERROR(IF($C$13="No","N/A",IF(Table1578[[#This Row],[Period]]=1,$C$6,PMT(InterestRate*AmortizationMultiplier/12,Table1578[[#This Row],[Am Thru]],-Table1578[[#This Row],[Beginning Balance]]))),0)</f>
        <v>0</v>
      </c>
      <c r="H339" s="3">
        <f>MAX(0,IF(C339=$C$4,D339,ROUND(IF($C$3="Fixed Principal",$C$6-Table1578[[#This Row],[Interest]],IF($C$3="Interest Only",Table1578[[#This Row],[Beginning Balance]]*ROUND(1-(1-IF($C$11="No",$E$8,1))^(1/12),6),MIN(IF($C$13="Yes",Table1578[[#This Row],[Payment Amount (Reamortized)]],$C$6)-Table1578[[#This Row],[Interest]],Table1578[[#This Row],[Beginning Balance]]))),2)))</f>
        <v>0</v>
      </c>
      <c r="I339" s="3">
        <f>_xlfn.SINGLE(IF($C$3="Line of Credit",0,ROUND(MAX(MIN(IF($C$10="No",$E$7,VLOOKUP(Table1578[[#This Row],[Period]],Forecast!$H$2:$L$1048576,4,FALSE))*Table1578[[#This Row],[Beginning Balance]],Table1578[[#This Row],[Beginning Balance]]-Table1578[[#This Row],[Principal]]),0),2)))</f>
        <v>0</v>
      </c>
      <c r="J339" s="3">
        <f>ROUND(MIN(Table1578[[#This Row],[Beginning Balance]]*IF($C$8="No",$E$3,VLOOKUP(Table1578[[#This Row],[Period]],Forecast!$H$2:$L$1048576,2,FALSE)),Table1578[[#This Row],[Beginning Balance]]-Table1578[[#This Row],[Principal]]-Table1578[[#This Row],[Prepayments]]),2)</f>
        <v>0</v>
      </c>
      <c r="K339" s="3">
        <f>ROUND(Table1578[[#This Row],[Defaulted Principal]]*IF($C$9="No",$E$4,VLOOKUP(Table1578[[#This Row],[Period]],Forecast!$H$2:$L$1048576,3,FALSE)),2)</f>
        <v>0</v>
      </c>
      <c r="L339" s="2">
        <f>Table1578[[#This Row],[Period]]+$E$9</f>
        <v>335</v>
      </c>
      <c r="M339" s="3">
        <f>Table1578[[#This Row],[Defaulted Principal]]-Table1578[[#This Row],[Estimated Loss]]</f>
        <v>0</v>
      </c>
      <c r="N339" s="3">
        <f>IFERROR(VLOOKUP(Table1578[[#This Row],[Period]],$L$16:$M$385,2,FALSE),0)</f>
        <v>0</v>
      </c>
      <c r="O339" s="3">
        <f>Table1578[[#This Row],[Beginning Balance]]-Table1578[[#This Row],[Principal]]-Table1578[[#This Row],[Prepayments]]-Table1578[[#This Row],[Defaulted Principal]]</f>
        <v>0</v>
      </c>
      <c r="P339" s="3">
        <f>Table1578[[#This Row],[Principal]]+Table1578[[#This Row],[Interest]]+Table1578[[#This Row],[Prepayments]]+Table1578[[#This Row],[RecoveredAmount]]</f>
        <v>0</v>
      </c>
      <c r="Q339" s="3">
        <f ca="1">ROUND(Table1578[[#This Row],[Cash Flow]]/((1+ActualRateToUse)^(IF(ISNUMBER(SEARCH("Actual",$C$7)),Table1578[[#This Row],[Running Total]]/365,Table1578[[#This Row],[Period]]/12))),2)</f>
        <v>0</v>
      </c>
      <c r="R339" s="2">
        <f>IF(MONTH(Table1578[[#This Row],[Date]])=2,28,DAY(DATE(YEAR(Table1578[[#This Row],[Date]]),MONTH(Table1578[[#This Row],[Date]])+1,1)-1))</f>
        <v>31</v>
      </c>
      <c r="S339" s="2">
        <f ca="1">SUM(OFFSET(Table1578[[#Headers],[Days in month]],1,0):Table1578[[#This Row],[Days in month]])</f>
        <v>9825</v>
      </c>
      <c r="T339" s="37">
        <f>InterestRate*AmortizationMultiplier*IF(ISNUMBER(SEARCH("Actual",$C$7)),Table1578[[#This Row],[Days in month]]/365,1/12)</f>
        <v>6.2344444444444444E-3</v>
      </c>
    </row>
    <row r="340" spans="2:20" x14ac:dyDescent="0.2">
      <c r="B340" s="1">
        <f t="shared" si="18"/>
        <v>55700</v>
      </c>
      <c r="C340" s="2">
        <f t="shared" si="20"/>
        <v>324</v>
      </c>
      <c r="D340" s="3">
        <f t="shared" si="19"/>
        <v>0</v>
      </c>
      <c r="E340" s="3">
        <f>ROUND(Table1578[[#This Row],[Beginning Balance]]*Table1578[[#This Row],[Monthly Interest Rate]],2)</f>
        <v>0</v>
      </c>
      <c r="F340" s="3">
        <f t="shared" si="21"/>
        <v>-321</v>
      </c>
      <c r="G340" s="23">
        <f>IFERROR(IF($C$13="No","N/A",IF(Table1578[[#This Row],[Period]]=1,$C$6,PMT(InterestRate*AmortizationMultiplier/12,Table1578[[#This Row],[Am Thru]],-Table1578[[#This Row],[Beginning Balance]]))),0)</f>
        <v>0</v>
      </c>
      <c r="H340" s="3">
        <f>MAX(0,IF(C340=$C$4,D340,ROUND(IF($C$3="Fixed Principal",$C$6-Table1578[[#This Row],[Interest]],IF($C$3="Interest Only",Table1578[[#This Row],[Beginning Balance]]*ROUND(1-(1-IF($C$11="No",$E$8,1))^(1/12),6),MIN(IF($C$13="Yes",Table1578[[#This Row],[Payment Amount (Reamortized)]],$C$6)-Table1578[[#This Row],[Interest]],Table1578[[#This Row],[Beginning Balance]]))),2)))</f>
        <v>0</v>
      </c>
      <c r="I340" s="3">
        <f>_xlfn.SINGLE(IF($C$3="Line of Credit",0,ROUND(MAX(MIN(IF($C$10="No",$E$7,VLOOKUP(Table1578[[#This Row],[Period]],Forecast!$H$2:$L$1048576,4,FALSE))*Table1578[[#This Row],[Beginning Balance]],Table1578[[#This Row],[Beginning Balance]]-Table1578[[#This Row],[Principal]]),0),2)))</f>
        <v>0</v>
      </c>
      <c r="J340" s="3">
        <f>ROUND(MIN(Table1578[[#This Row],[Beginning Balance]]*IF($C$8="No",$E$3,VLOOKUP(Table1578[[#This Row],[Period]],Forecast!$H$2:$L$1048576,2,FALSE)),Table1578[[#This Row],[Beginning Balance]]-Table1578[[#This Row],[Principal]]-Table1578[[#This Row],[Prepayments]]),2)</f>
        <v>0</v>
      </c>
      <c r="K340" s="3">
        <f>ROUND(Table1578[[#This Row],[Defaulted Principal]]*IF($C$9="No",$E$4,VLOOKUP(Table1578[[#This Row],[Period]],Forecast!$H$2:$L$1048576,3,FALSE)),2)</f>
        <v>0</v>
      </c>
      <c r="L340" s="2">
        <f>Table1578[[#This Row],[Period]]+$E$9</f>
        <v>336</v>
      </c>
      <c r="M340" s="3">
        <f>Table1578[[#This Row],[Defaulted Principal]]-Table1578[[#This Row],[Estimated Loss]]</f>
        <v>0</v>
      </c>
      <c r="N340" s="3">
        <f>IFERROR(VLOOKUP(Table1578[[#This Row],[Period]],$L$16:$M$385,2,FALSE),0)</f>
        <v>0</v>
      </c>
      <c r="O340" s="3">
        <f>Table1578[[#This Row],[Beginning Balance]]-Table1578[[#This Row],[Principal]]-Table1578[[#This Row],[Prepayments]]-Table1578[[#This Row],[Defaulted Principal]]</f>
        <v>0</v>
      </c>
      <c r="P340" s="3">
        <f>Table1578[[#This Row],[Principal]]+Table1578[[#This Row],[Interest]]+Table1578[[#This Row],[Prepayments]]+Table1578[[#This Row],[RecoveredAmount]]</f>
        <v>0</v>
      </c>
      <c r="Q340" s="3">
        <f ca="1">ROUND(Table1578[[#This Row],[Cash Flow]]/((1+ActualRateToUse)^(IF(ISNUMBER(SEARCH("Actual",$C$7)),Table1578[[#This Row],[Running Total]]/365,Table1578[[#This Row],[Period]]/12))),2)</f>
        <v>0</v>
      </c>
      <c r="R340" s="2">
        <f>IF(MONTH(Table1578[[#This Row],[Date]])=2,28,DAY(DATE(YEAR(Table1578[[#This Row],[Date]]),MONTH(Table1578[[#This Row],[Date]])+1,1)-1))</f>
        <v>30</v>
      </c>
      <c r="S340" s="2">
        <f ca="1">SUM(OFFSET(Table1578[[#Headers],[Days in month]],1,0):Table1578[[#This Row],[Days in month]])</f>
        <v>9855</v>
      </c>
      <c r="T340" s="37">
        <f>InterestRate*AmortizationMultiplier*IF(ISNUMBER(SEARCH("Actual",$C$7)),Table1578[[#This Row],[Days in month]]/365,1/12)</f>
        <v>6.0333333333333333E-3</v>
      </c>
    </row>
    <row r="341" spans="2:20" x14ac:dyDescent="0.2">
      <c r="B341" s="1">
        <f t="shared" si="18"/>
        <v>55731</v>
      </c>
      <c r="C341" s="2">
        <f t="shared" si="20"/>
        <v>325</v>
      </c>
      <c r="D341" s="3">
        <f t="shared" si="19"/>
        <v>0</v>
      </c>
      <c r="E341" s="3">
        <f>ROUND(Table1578[[#This Row],[Beginning Balance]]*Table1578[[#This Row],[Monthly Interest Rate]],2)</f>
        <v>0</v>
      </c>
      <c r="F341" s="3">
        <f t="shared" si="21"/>
        <v>-322</v>
      </c>
      <c r="G341" s="23">
        <f>IFERROR(IF($C$13="No","N/A",IF(Table1578[[#This Row],[Period]]=1,$C$6,PMT(InterestRate*AmortizationMultiplier/12,Table1578[[#This Row],[Am Thru]],-Table1578[[#This Row],[Beginning Balance]]))),0)</f>
        <v>0</v>
      </c>
      <c r="H341" s="3">
        <f>MAX(0,IF(C341=$C$4,D341,ROUND(IF($C$3="Fixed Principal",$C$6-Table1578[[#This Row],[Interest]],IF($C$3="Interest Only",Table1578[[#This Row],[Beginning Balance]]*ROUND(1-(1-IF($C$11="No",$E$8,1))^(1/12),6),MIN(IF($C$13="Yes",Table1578[[#This Row],[Payment Amount (Reamortized)]],$C$6)-Table1578[[#This Row],[Interest]],Table1578[[#This Row],[Beginning Balance]]))),2)))</f>
        <v>0</v>
      </c>
      <c r="I341" s="3">
        <f>_xlfn.SINGLE(IF($C$3="Line of Credit",0,ROUND(MAX(MIN(IF($C$10="No",$E$7,VLOOKUP(Table1578[[#This Row],[Period]],Forecast!$H$2:$L$1048576,4,FALSE))*Table1578[[#This Row],[Beginning Balance]],Table1578[[#This Row],[Beginning Balance]]-Table1578[[#This Row],[Principal]]),0),2)))</f>
        <v>0</v>
      </c>
      <c r="J341" s="3">
        <f>ROUND(MIN(Table1578[[#This Row],[Beginning Balance]]*IF($C$8="No",$E$3,VLOOKUP(Table1578[[#This Row],[Period]],Forecast!$H$2:$L$1048576,2,FALSE)),Table1578[[#This Row],[Beginning Balance]]-Table1578[[#This Row],[Principal]]-Table1578[[#This Row],[Prepayments]]),2)</f>
        <v>0</v>
      </c>
      <c r="K341" s="3">
        <f>ROUND(Table1578[[#This Row],[Defaulted Principal]]*IF($C$9="No",$E$4,VLOOKUP(Table1578[[#This Row],[Period]],Forecast!$H$2:$L$1048576,3,FALSE)),2)</f>
        <v>0</v>
      </c>
      <c r="L341" s="2">
        <f>Table1578[[#This Row],[Period]]+$E$9</f>
        <v>337</v>
      </c>
      <c r="M341" s="3">
        <f>Table1578[[#This Row],[Defaulted Principal]]-Table1578[[#This Row],[Estimated Loss]]</f>
        <v>0</v>
      </c>
      <c r="N341" s="3">
        <f>IFERROR(VLOOKUP(Table1578[[#This Row],[Period]],$L$16:$M$385,2,FALSE),0)</f>
        <v>0</v>
      </c>
      <c r="O341" s="3">
        <f>Table1578[[#This Row],[Beginning Balance]]-Table1578[[#This Row],[Principal]]-Table1578[[#This Row],[Prepayments]]-Table1578[[#This Row],[Defaulted Principal]]</f>
        <v>0</v>
      </c>
      <c r="P341" s="3">
        <f>Table1578[[#This Row],[Principal]]+Table1578[[#This Row],[Interest]]+Table1578[[#This Row],[Prepayments]]+Table1578[[#This Row],[RecoveredAmount]]</f>
        <v>0</v>
      </c>
      <c r="Q341" s="3">
        <f ca="1">ROUND(Table1578[[#This Row],[Cash Flow]]/((1+ActualRateToUse)^(IF(ISNUMBER(SEARCH("Actual",$C$7)),Table1578[[#This Row],[Running Total]]/365,Table1578[[#This Row],[Period]]/12))),2)</f>
        <v>0</v>
      </c>
      <c r="R341" s="2">
        <f>IF(MONTH(Table1578[[#This Row],[Date]])=2,28,DAY(DATE(YEAR(Table1578[[#This Row],[Date]]),MONTH(Table1578[[#This Row],[Date]])+1,1)-1))</f>
        <v>31</v>
      </c>
      <c r="S341" s="2">
        <f ca="1">SUM(OFFSET(Table1578[[#Headers],[Days in month]],1,0):Table1578[[#This Row],[Days in month]])</f>
        <v>9886</v>
      </c>
      <c r="T341" s="37">
        <f>InterestRate*AmortizationMultiplier*IF(ISNUMBER(SEARCH("Actual",$C$7)),Table1578[[#This Row],[Days in month]]/365,1/12)</f>
        <v>6.2344444444444444E-3</v>
      </c>
    </row>
    <row r="342" spans="2:20" x14ac:dyDescent="0.2">
      <c r="B342" s="1">
        <f t="shared" si="18"/>
        <v>55762</v>
      </c>
      <c r="C342" s="2">
        <f t="shared" si="20"/>
        <v>326</v>
      </c>
      <c r="D342" s="3">
        <f t="shared" si="19"/>
        <v>0</v>
      </c>
      <c r="E342" s="3">
        <f>ROUND(Table1578[[#This Row],[Beginning Balance]]*Table1578[[#This Row],[Monthly Interest Rate]],2)</f>
        <v>0</v>
      </c>
      <c r="F342" s="3">
        <f t="shared" si="21"/>
        <v>-323</v>
      </c>
      <c r="G342" s="23">
        <f>IFERROR(IF($C$13="No","N/A",IF(Table1578[[#This Row],[Period]]=1,$C$6,PMT(InterestRate*AmortizationMultiplier/12,Table1578[[#This Row],[Am Thru]],-Table1578[[#This Row],[Beginning Balance]]))),0)</f>
        <v>0</v>
      </c>
      <c r="H342" s="3">
        <f>MAX(0,IF(C342=$C$4,D342,ROUND(IF($C$3="Fixed Principal",$C$6-Table1578[[#This Row],[Interest]],IF($C$3="Interest Only",Table1578[[#This Row],[Beginning Balance]]*ROUND(1-(1-IF($C$11="No",$E$8,1))^(1/12),6),MIN(IF($C$13="Yes",Table1578[[#This Row],[Payment Amount (Reamortized)]],$C$6)-Table1578[[#This Row],[Interest]],Table1578[[#This Row],[Beginning Balance]]))),2)))</f>
        <v>0</v>
      </c>
      <c r="I342" s="3">
        <f>_xlfn.SINGLE(IF($C$3="Line of Credit",0,ROUND(MAX(MIN(IF($C$10="No",$E$7,VLOOKUP(Table1578[[#This Row],[Period]],Forecast!$H$2:$L$1048576,4,FALSE))*Table1578[[#This Row],[Beginning Balance]],Table1578[[#This Row],[Beginning Balance]]-Table1578[[#This Row],[Principal]]),0),2)))</f>
        <v>0</v>
      </c>
      <c r="J342" s="3">
        <f>ROUND(MIN(Table1578[[#This Row],[Beginning Balance]]*IF($C$8="No",$E$3,VLOOKUP(Table1578[[#This Row],[Period]],Forecast!$H$2:$L$1048576,2,FALSE)),Table1578[[#This Row],[Beginning Balance]]-Table1578[[#This Row],[Principal]]-Table1578[[#This Row],[Prepayments]]),2)</f>
        <v>0</v>
      </c>
      <c r="K342" s="3">
        <f>ROUND(Table1578[[#This Row],[Defaulted Principal]]*IF($C$9="No",$E$4,VLOOKUP(Table1578[[#This Row],[Period]],Forecast!$H$2:$L$1048576,3,FALSE)),2)</f>
        <v>0</v>
      </c>
      <c r="L342" s="2">
        <f>Table1578[[#This Row],[Period]]+$E$9</f>
        <v>338</v>
      </c>
      <c r="M342" s="3">
        <f>Table1578[[#This Row],[Defaulted Principal]]-Table1578[[#This Row],[Estimated Loss]]</f>
        <v>0</v>
      </c>
      <c r="N342" s="3">
        <f>IFERROR(VLOOKUP(Table1578[[#This Row],[Period]],$L$16:$M$385,2,FALSE),0)</f>
        <v>0</v>
      </c>
      <c r="O342" s="3">
        <f>Table1578[[#This Row],[Beginning Balance]]-Table1578[[#This Row],[Principal]]-Table1578[[#This Row],[Prepayments]]-Table1578[[#This Row],[Defaulted Principal]]</f>
        <v>0</v>
      </c>
      <c r="P342" s="3">
        <f>Table1578[[#This Row],[Principal]]+Table1578[[#This Row],[Interest]]+Table1578[[#This Row],[Prepayments]]+Table1578[[#This Row],[RecoveredAmount]]</f>
        <v>0</v>
      </c>
      <c r="Q342" s="3">
        <f ca="1">ROUND(Table1578[[#This Row],[Cash Flow]]/((1+ActualRateToUse)^(IF(ISNUMBER(SEARCH("Actual",$C$7)),Table1578[[#This Row],[Running Total]]/365,Table1578[[#This Row],[Period]]/12))),2)</f>
        <v>0</v>
      </c>
      <c r="R342" s="2">
        <f>IF(MONTH(Table1578[[#This Row],[Date]])=2,28,DAY(DATE(YEAR(Table1578[[#This Row],[Date]]),MONTH(Table1578[[#This Row],[Date]])+1,1)-1))</f>
        <v>31</v>
      </c>
      <c r="S342" s="2">
        <f ca="1">SUM(OFFSET(Table1578[[#Headers],[Days in month]],1,0):Table1578[[#This Row],[Days in month]])</f>
        <v>9917</v>
      </c>
      <c r="T342" s="37">
        <f>InterestRate*AmortizationMultiplier*IF(ISNUMBER(SEARCH("Actual",$C$7)),Table1578[[#This Row],[Days in month]]/365,1/12)</f>
        <v>6.2344444444444444E-3</v>
      </c>
    </row>
    <row r="343" spans="2:20" x14ac:dyDescent="0.2">
      <c r="B343" s="1">
        <f t="shared" si="18"/>
        <v>55792</v>
      </c>
      <c r="C343" s="2">
        <f t="shared" si="20"/>
        <v>327</v>
      </c>
      <c r="D343" s="3">
        <f t="shared" si="19"/>
        <v>0</v>
      </c>
      <c r="E343" s="3">
        <f>ROUND(Table1578[[#This Row],[Beginning Balance]]*Table1578[[#This Row],[Monthly Interest Rate]],2)</f>
        <v>0</v>
      </c>
      <c r="F343" s="3">
        <f t="shared" si="21"/>
        <v>-324</v>
      </c>
      <c r="G343" s="23">
        <f>IFERROR(IF($C$13="No","N/A",IF(Table1578[[#This Row],[Period]]=1,$C$6,PMT(InterestRate*AmortizationMultiplier/12,Table1578[[#This Row],[Am Thru]],-Table1578[[#This Row],[Beginning Balance]]))),0)</f>
        <v>0</v>
      </c>
      <c r="H343" s="3">
        <f>MAX(0,IF(C343=$C$4,D343,ROUND(IF($C$3="Fixed Principal",$C$6-Table1578[[#This Row],[Interest]],IF($C$3="Interest Only",Table1578[[#This Row],[Beginning Balance]]*ROUND(1-(1-IF($C$11="No",$E$8,1))^(1/12),6),MIN(IF($C$13="Yes",Table1578[[#This Row],[Payment Amount (Reamortized)]],$C$6)-Table1578[[#This Row],[Interest]],Table1578[[#This Row],[Beginning Balance]]))),2)))</f>
        <v>0</v>
      </c>
      <c r="I343" s="3">
        <f>_xlfn.SINGLE(IF($C$3="Line of Credit",0,ROUND(MAX(MIN(IF($C$10="No",$E$7,VLOOKUP(Table1578[[#This Row],[Period]],Forecast!$H$2:$L$1048576,4,FALSE))*Table1578[[#This Row],[Beginning Balance]],Table1578[[#This Row],[Beginning Balance]]-Table1578[[#This Row],[Principal]]),0),2)))</f>
        <v>0</v>
      </c>
      <c r="J343" s="3">
        <f>ROUND(MIN(Table1578[[#This Row],[Beginning Balance]]*IF($C$8="No",$E$3,VLOOKUP(Table1578[[#This Row],[Period]],Forecast!$H$2:$L$1048576,2,FALSE)),Table1578[[#This Row],[Beginning Balance]]-Table1578[[#This Row],[Principal]]-Table1578[[#This Row],[Prepayments]]),2)</f>
        <v>0</v>
      </c>
      <c r="K343" s="3">
        <f>ROUND(Table1578[[#This Row],[Defaulted Principal]]*IF($C$9="No",$E$4,VLOOKUP(Table1578[[#This Row],[Period]],Forecast!$H$2:$L$1048576,3,FALSE)),2)</f>
        <v>0</v>
      </c>
      <c r="L343" s="2">
        <f>Table1578[[#This Row],[Period]]+$E$9</f>
        <v>339</v>
      </c>
      <c r="M343" s="3">
        <f>Table1578[[#This Row],[Defaulted Principal]]-Table1578[[#This Row],[Estimated Loss]]</f>
        <v>0</v>
      </c>
      <c r="N343" s="3">
        <f>IFERROR(VLOOKUP(Table1578[[#This Row],[Period]],$L$16:$M$385,2,FALSE),0)</f>
        <v>0</v>
      </c>
      <c r="O343" s="3">
        <f>Table1578[[#This Row],[Beginning Balance]]-Table1578[[#This Row],[Principal]]-Table1578[[#This Row],[Prepayments]]-Table1578[[#This Row],[Defaulted Principal]]</f>
        <v>0</v>
      </c>
      <c r="P343" s="3">
        <f>Table1578[[#This Row],[Principal]]+Table1578[[#This Row],[Interest]]+Table1578[[#This Row],[Prepayments]]+Table1578[[#This Row],[RecoveredAmount]]</f>
        <v>0</v>
      </c>
      <c r="Q343" s="3">
        <f ca="1">ROUND(Table1578[[#This Row],[Cash Flow]]/((1+ActualRateToUse)^(IF(ISNUMBER(SEARCH("Actual",$C$7)),Table1578[[#This Row],[Running Total]]/365,Table1578[[#This Row],[Period]]/12))),2)</f>
        <v>0</v>
      </c>
      <c r="R343" s="2">
        <f>IF(MONTH(Table1578[[#This Row],[Date]])=2,28,DAY(DATE(YEAR(Table1578[[#This Row],[Date]]),MONTH(Table1578[[#This Row],[Date]])+1,1)-1))</f>
        <v>30</v>
      </c>
      <c r="S343" s="2">
        <f ca="1">SUM(OFFSET(Table1578[[#Headers],[Days in month]],1,0):Table1578[[#This Row],[Days in month]])</f>
        <v>9947</v>
      </c>
      <c r="T343" s="37">
        <f>InterestRate*AmortizationMultiplier*IF(ISNUMBER(SEARCH("Actual",$C$7)),Table1578[[#This Row],[Days in month]]/365,1/12)</f>
        <v>6.0333333333333333E-3</v>
      </c>
    </row>
    <row r="344" spans="2:20" x14ac:dyDescent="0.2">
      <c r="B344" s="1">
        <f t="shared" si="18"/>
        <v>55823</v>
      </c>
      <c r="C344" s="2">
        <f t="shared" si="20"/>
        <v>328</v>
      </c>
      <c r="D344" s="3">
        <f t="shared" si="19"/>
        <v>0</v>
      </c>
      <c r="E344" s="3">
        <f>ROUND(Table1578[[#This Row],[Beginning Balance]]*Table1578[[#This Row],[Monthly Interest Rate]],2)</f>
        <v>0</v>
      </c>
      <c r="F344" s="3">
        <f t="shared" si="21"/>
        <v>-325</v>
      </c>
      <c r="G344" s="23">
        <f>IFERROR(IF($C$13="No","N/A",IF(Table1578[[#This Row],[Period]]=1,$C$6,PMT(InterestRate*AmortizationMultiplier/12,Table1578[[#This Row],[Am Thru]],-Table1578[[#This Row],[Beginning Balance]]))),0)</f>
        <v>0</v>
      </c>
      <c r="H344" s="3">
        <f>MAX(0,IF(C344=$C$4,D344,ROUND(IF($C$3="Fixed Principal",$C$6-Table1578[[#This Row],[Interest]],IF($C$3="Interest Only",Table1578[[#This Row],[Beginning Balance]]*ROUND(1-(1-IF($C$11="No",$E$8,1))^(1/12),6),MIN(IF($C$13="Yes",Table1578[[#This Row],[Payment Amount (Reamortized)]],$C$6)-Table1578[[#This Row],[Interest]],Table1578[[#This Row],[Beginning Balance]]))),2)))</f>
        <v>0</v>
      </c>
      <c r="I344" s="3">
        <f>_xlfn.SINGLE(IF($C$3="Line of Credit",0,ROUND(MAX(MIN(IF($C$10="No",$E$7,VLOOKUP(Table1578[[#This Row],[Period]],Forecast!$H$2:$L$1048576,4,FALSE))*Table1578[[#This Row],[Beginning Balance]],Table1578[[#This Row],[Beginning Balance]]-Table1578[[#This Row],[Principal]]),0),2)))</f>
        <v>0</v>
      </c>
      <c r="J344" s="3">
        <f>ROUND(MIN(Table1578[[#This Row],[Beginning Balance]]*IF($C$8="No",$E$3,VLOOKUP(Table1578[[#This Row],[Period]],Forecast!$H$2:$L$1048576,2,FALSE)),Table1578[[#This Row],[Beginning Balance]]-Table1578[[#This Row],[Principal]]-Table1578[[#This Row],[Prepayments]]),2)</f>
        <v>0</v>
      </c>
      <c r="K344" s="3">
        <f>ROUND(Table1578[[#This Row],[Defaulted Principal]]*IF($C$9="No",$E$4,VLOOKUP(Table1578[[#This Row],[Period]],Forecast!$H$2:$L$1048576,3,FALSE)),2)</f>
        <v>0</v>
      </c>
      <c r="L344" s="2">
        <f>Table1578[[#This Row],[Period]]+$E$9</f>
        <v>340</v>
      </c>
      <c r="M344" s="3">
        <f>Table1578[[#This Row],[Defaulted Principal]]-Table1578[[#This Row],[Estimated Loss]]</f>
        <v>0</v>
      </c>
      <c r="N344" s="3">
        <f>IFERROR(VLOOKUP(Table1578[[#This Row],[Period]],$L$16:$M$385,2,FALSE),0)</f>
        <v>0</v>
      </c>
      <c r="O344" s="3">
        <f>Table1578[[#This Row],[Beginning Balance]]-Table1578[[#This Row],[Principal]]-Table1578[[#This Row],[Prepayments]]-Table1578[[#This Row],[Defaulted Principal]]</f>
        <v>0</v>
      </c>
      <c r="P344" s="3">
        <f>Table1578[[#This Row],[Principal]]+Table1578[[#This Row],[Interest]]+Table1578[[#This Row],[Prepayments]]+Table1578[[#This Row],[RecoveredAmount]]</f>
        <v>0</v>
      </c>
      <c r="Q344" s="3">
        <f ca="1">ROUND(Table1578[[#This Row],[Cash Flow]]/((1+ActualRateToUse)^(IF(ISNUMBER(SEARCH("Actual",$C$7)),Table1578[[#This Row],[Running Total]]/365,Table1578[[#This Row],[Period]]/12))),2)</f>
        <v>0</v>
      </c>
      <c r="R344" s="2">
        <f>IF(MONTH(Table1578[[#This Row],[Date]])=2,28,DAY(DATE(YEAR(Table1578[[#This Row],[Date]]),MONTH(Table1578[[#This Row],[Date]])+1,1)-1))</f>
        <v>31</v>
      </c>
      <c r="S344" s="2">
        <f ca="1">SUM(OFFSET(Table1578[[#Headers],[Days in month]],1,0):Table1578[[#This Row],[Days in month]])</f>
        <v>9978</v>
      </c>
      <c r="T344" s="37">
        <f>InterestRate*AmortizationMultiplier*IF(ISNUMBER(SEARCH("Actual",$C$7)),Table1578[[#This Row],[Days in month]]/365,1/12)</f>
        <v>6.2344444444444444E-3</v>
      </c>
    </row>
    <row r="345" spans="2:20" x14ac:dyDescent="0.2">
      <c r="B345" s="1">
        <f t="shared" si="18"/>
        <v>55853</v>
      </c>
      <c r="C345" s="2">
        <f t="shared" si="20"/>
        <v>329</v>
      </c>
      <c r="D345" s="3">
        <f t="shared" si="19"/>
        <v>0</v>
      </c>
      <c r="E345" s="3">
        <f>ROUND(Table1578[[#This Row],[Beginning Balance]]*Table1578[[#This Row],[Monthly Interest Rate]],2)</f>
        <v>0</v>
      </c>
      <c r="F345" s="3">
        <f t="shared" si="21"/>
        <v>-326</v>
      </c>
      <c r="G345" s="23">
        <f>IFERROR(IF($C$13="No","N/A",IF(Table1578[[#This Row],[Period]]=1,$C$6,PMT(InterestRate*AmortizationMultiplier/12,Table1578[[#This Row],[Am Thru]],-Table1578[[#This Row],[Beginning Balance]]))),0)</f>
        <v>0</v>
      </c>
      <c r="H345" s="3">
        <f>MAX(0,IF(C345=$C$4,D345,ROUND(IF($C$3="Fixed Principal",$C$6-Table1578[[#This Row],[Interest]],IF($C$3="Interest Only",Table1578[[#This Row],[Beginning Balance]]*ROUND(1-(1-IF($C$11="No",$E$8,1))^(1/12),6),MIN(IF($C$13="Yes",Table1578[[#This Row],[Payment Amount (Reamortized)]],$C$6)-Table1578[[#This Row],[Interest]],Table1578[[#This Row],[Beginning Balance]]))),2)))</f>
        <v>0</v>
      </c>
      <c r="I345" s="3">
        <f>_xlfn.SINGLE(IF($C$3="Line of Credit",0,ROUND(MAX(MIN(IF($C$10="No",$E$7,VLOOKUP(Table1578[[#This Row],[Period]],Forecast!$H$2:$L$1048576,4,FALSE))*Table1578[[#This Row],[Beginning Balance]],Table1578[[#This Row],[Beginning Balance]]-Table1578[[#This Row],[Principal]]),0),2)))</f>
        <v>0</v>
      </c>
      <c r="J345" s="3">
        <f>ROUND(MIN(Table1578[[#This Row],[Beginning Balance]]*IF($C$8="No",$E$3,VLOOKUP(Table1578[[#This Row],[Period]],Forecast!$H$2:$L$1048576,2,FALSE)),Table1578[[#This Row],[Beginning Balance]]-Table1578[[#This Row],[Principal]]-Table1578[[#This Row],[Prepayments]]),2)</f>
        <v>0</v>
      </c>
      <c r="K345" s="3">
        <f>ROUND(Table1578[[#This Row],[Defaulted Principal]]*IF($C$9="No",$E$4,VLOOKUP(Table1578[[#This Row],[Period]],Forecast!$H$2:$L$1048576,3,FALSE)),2)</f>
        <v>0</v>
      </c>
      <c r="L345" s="2">
        <f>Table1578[[#This Row],[Period]]+$E$9</f>
        <v>341</v>
      </c>
      <c r="M345" s="3">
        <f>Table1578[[#This Row],[Defaulted Principal]]-Table1578[[#This Row],[Estimated Loss]]</f>
        <v>0</v>
      </c>
      <c r="N345" s="3">
        <f>IFERROR(VLOOKUP(Table1578[[#This Row],[Period]],$L$16:$M$385,2,FALSE),0)</f>
        <v>0</v>
      </c>
      <c r="O345" s="3">
        <f>Table1578[[#This Row],[Beginning Balance]]-Table1578[[#This Row],[Principal]]-Table1578[[#This Row],[Prepayments]]-Table1578[[#This Row],[Defaulted Principal]]</f>
        <v>0</v>
      </c>
      <c r="P345" s="3">
        <f>Table1578[[#This Row],[Principal]]+Table1578[[#This Row],[Interest]]+Table1578[[#This Row],[Prepayments]]+Table1578[[#This Row],[RecoveredAmount]]</f>
        <v>0</v>
      </c>
      <c r="Q345" s="3">
        <f ca="1">ROUND(Table1578[[#This Row],[Cash Flow]]/((1+ActualRateToUse)^(IF(ISNUMBER(SEARCH("Actual",$C$7)),Table1578[[#This Row],[Running Total]]/365,Table1578[[#This Row],[Period]]/12))),2)</f>
        <v>0</v>
      </c>
      <c r="R345" s="2">
        <f>IF(MONTH(Table1578[[#This Row],[Date]])=2,28,DAY(DATE(YEAR(Table1578[[#This Row],[Date]]),MONTH(Table1578[[#This Row],[Date]])+1,1)-1))</f>
        <v>30</v>
      </c>
      <c r="S345" s="2">
        <f ca="1">SUM(OFFSET(Table1578[[#Headers],[Days in month]],1,0):Table1578[[#This Row],[Days in month]])</f>
        <v>10008</v>
      </c>
      <c r="T345" s="37">
        <f>InterestRate*AmortizationMultiplier*IF(ISNUMBER(SEARCH("Actual",$C$7)),Table1578[[#This Row],[Days in month]]/365,1/12)</f>
        <v>6.0333333333333333E-3</v>
      </c>
    </row>
    <row r="346" spans="2:20" x14ac:dyDescent="0.2">
      <c r="B346" s="1">
        <f t="shared" si="18"/>
        <v>55884</v>
      </c>
      <c r="C346" s="2">
        <f t="shared" si="20"/>
        <v>330</v>
      </c>
      <c r="D346" s="3">
        <f t="shared" si="19"/>
        <v>0</v>
      </c>
      <c r="E346" s="3">
        <f>ROUND(Table1578[[#This Row],[Beginning Balance]]*Table1578[[#This Row],[Monthly Interest Rate]],2)</f>
        <v>0</v>
      </c>
      <c r="F346" s="3">
        <f t="shared" si="21"/>
        <v>-327</v>
      </c>
      <c r="G346" s="23">
        <f>IFERROR(IF($C$13="No","N/A",IF(Table1578[[#This Row],[Period]]=1,$C$6,PMT(InterestRate*AmortizationMultiplier/12,Table1578[[#This Row],[Am Thru]],-Table1578[[#This Row],[Beginning Balance]]))),0)</f>
        <v>0</v>
      </c>
      <c r="H346" s="3">
        <f>MAX(0,IF(C346=$C$4,D346,ROUND(IF($C$3="Fixed Principal",$C$6-Table1578[[#This Row],[Interest]],IF($C$3="Interest Only",Table1578[[#This Row],[Beginning Balance]]*ROUND(1-(1-IF($C$11="No",$E$8,1))^(1/12),6),MIN(IF($C$13="Yes",Table1578[[#This Row],[Payment Amount (Reamortized)]],$C$6)-Table1578[[#This Row],[Interest]],Table1578[[#This Row],[Beginning Balance]]))),2)))</f>
        <v>0</v>
      </c>
      <c r="I346" s="3">
        <f>_xlfn.SINGLE(IF($C$3="Line of Credit",0,ROUND(MAX(MIN(IF($C$10="No",$E$7,VLOOKUP(Table1578[[#This Row],[Period]],Forecast!$H$2:$L$1048576,4,FALSE))*Table1578[[#This Row],[Beginning Balance]],Table1578[[#This Row],[Beginning Balance]]-Table1578[[#This Row],[Principal]]),0),2)))</f>
        <v>0</v>
      </c>
      <c r="J346" s="3">
        <f>ROUND(MIN(Table1578[[#This Row],[Beginning Balance]]*IF($C$8="No",$E$3,VLOOKUP(Table1578[[#This Row],[Period]],Forecast!$H$2:$L$1048576,2,FALSE)),Table1578[[#This Row],[Beginning Balance]]-Table1578[[#This Row],[Principal]]-Table1578[[#This Row],[Prepayments]]),2)</f>
        <v>0</v>
      </c>
      <c r="K346" s="3">
        <f>ROUND(Table1578[[#This Row],[Defaulted Principal]]*IF($C$9="No",$E$4,VLOOKUP(Table1578[[#This Row],[Period]],Forecast!$H$2:$L$1048576,3,FALSE)),2)</f>
        <v>0</v>
      </c>
      <c r="L346" s="2">
        <f>Table1578[[#This Row],[Period]]+$E$9</f>
        <v>342</v>
      </c>
      <c r="M346" s="3">
        <f>Table1578[[#This Row],[Defaulted Principal]]-Table1578[[#This Row],[Estimated Loss]]</f>
        <v>0</v>
      </c>
      <c r="N346" s="3">
        <f>IFERROR(VLOOKUP(Table1578[[#This Row],[Period]],$L$16:$M$385,2,FALSE),0)</f>
        <v>0</v>
      </c>
      <c r="O346" s="3">
        <f>Table1578[[#This Row],[Beginning Balance]]-Table1578[[#This Row],[Principal]]-Table1578[[#This Row],[Prepayments]]-Table1578[[#This Row],[Defaulted Principal]]</f>
        <v>0</v>
      </c>
      <c r="P346" s="3">
        <f>Table1578[[#This Row],[Principal]]+Table1578[[#This Row],[Interest]]+Table1578[[#This Row],[Prepayments]]+Table1578[[#This Row],[RecoveredAmount]]</f>
        <v>0</v>
      </c>
      <c r="Q346" s="3">
        <f ca="1">ROUND(Table1578[[#This Row],[Cash Flow]]/((1+ActualRateToUse)^(IF(ISNUMBER(SEARCH("Actual",$C$7)),Table1578[[#This Row],[Running Total]]/365,Table1578[[#This Row],[Period]]/12))),2)</f>
        <v>0</v>
      </c>
      <c r="R346" s="2">
        <f>IF(MONTH(Table1578[[#This Row],[Date]])=2,28,DAY(DATE(YEAR(Table1578[[#This Row],[Date]]),MONTH(Table1578[[#This Row],[Date]])+1,1)-1))</f>
        <v>31</v>
      </c>
      <c r="S346" s="2">
        <f ca="1">SUM(OFFSET(Table1578[[#Headers],[Days in month]],1,0):Table1578[[#This Row],[Days in month]])</f>
        <v>10039</v>
      </c>
      <c r="T346" s="37">
        <f>InterestRate*AmortizationMultiplier*IF(ISNUMBER(SEARCH("Actual",$C$7)),Table1578[[#This Row],[Days in month]]/365,1/12)</f>
        <v>6.2344444444444444E-3</v>
      </c>
    </row>
    <row r="347" spans="2:20" x14ac:dyDescent="0.2">
      <c r="B347" s="1">
        <f t="shared" si="18"/>
        <v>55915</v>
      </c>
      <c r="C347" s="2">
        <f t="shared" si="20"/>
        <v>331</v>
      </c>
      <c r="D347" s="3">
        <f t="shared" si="19"/>
        <v>0</v>
      </c>
      <c r="E347" s="3">
        <f>ROUND(Table1578[[#This Row],[Beginning Balance]]*Table1578[[#This Row],[Monthly Interest Rate]],2)</f>
        <v>0</v>
      </c>
      <c r="F347" s="3">
        <f t="shared" si="21"/>
        <v>-328</v>
      </c>
      <c r="G347" s="23">
        <f>IFERROR(IF($C$13="No","N/A",IF(Table1578[[#This Row],[Period]]=1,$C$6,PMT(InterestRate*AmortizationMultiplier/12,Table1578[[#This Row],[Am Thru]],-Table1578[[#This Row],[Beginning Balance]]))),0)</f>
        <v>0</v>
      </c>
      <c r="H347" s="3">
        <f>MAX(0,IF(C347=$C$4,D347,ROUND(IF($C$3="Fixed Principal",$C$6-Table1578[[#This Row],[Interest]],IF($C$3="Interest Only",Table1578[[#This Row],[Beginning Balance]]*ROUND(1-(1-IF($C$11="No",$E$8,1))^(1/12),6),MIN(IF($C$13="Yes",Table1578[[#This Row],[Payment Amount (Reamortized)]],$C$6)-Table1578[[#This Row],[Interest]],Table1578[[#This Row],[Beginning Balance]]))),2)))</f>
        <v>0</v>
      </c>
      <c r="I347" s="3">
        <f>_xlfn.SINGLE(IF($C$3="Line of Credit",0,ROUND(MAX(MIN(IF($C$10="No",$E$7,VLOOKUP(Table1578[[#This Row],[Period]],Forecast!$H$2:$L$1048576,4,FALSE))*Table1578[[#This Row],[Beginning Balance]],Table1578[[#This Row],[Beginning Balance]]-Table1578[[#This Row],[Principal]]),0),2)))</f>
        <v>0</v>
      </c>
      <c r="J347" s="3">
        <f>ROUND(MIN(Table1578[[#This Row],[Beginning Balance]]*IF($C$8="No",$E$3,VLOOKUP(Table1578[[#This Row],[Period]],Forecast!$H$2:$L$1048576,2,FALSE)),Table1578[[#This Row],[Beginning Balance]]-Table1578[[#This Row],[Principal]]-Table1578[[#This Row],[Prepayments]]),2)</f>
        <v>0</v>
      </c>
      <c r="K347" s="3">
        <f>ROUND(Table1578[[#This Row],[Defaulted Principal]]*IF($C$9="No",$E$4,VLOOKUP(Table1578[[#This Row],[Period]],Forecast!$H$2:$L$1048576,3,FALSE)),2)</f>
        <v>0</v>
      </c>
      <c r="L347" s="2">
        <f>Table1578[[#This Row],[Period]]+$E$9</f>
        <v>343</v>
      </c>
      <c r="M347" s="3">
        <f>Table1578[[#This Row],[Defaulted Principal]]-Table1578[[#This Row],[Estimated Loss]]</f>
        <v>0</v>
      </c>
      <c r="N347" s="3">
        <f>IFERROR(VLOOKUP(Table1578[[#This Row],[Period]],$L$16:$M$385,2,FALSE),0)</f>
        <v>0</v>
      </c>
      <c r="O347" s="3">
        <f>Table1578[[#This Row],[Beginning Balance]]-Table1578[[#This Row],[Principal]]-Table1578[[#This Row],[Prepayments]]-Table1578[[#This Row],[Defaulted Principal]]</f>
        <v>0</v>
      </c>
      <c r="P347" s="3">
        <f>Table1578[[#This Row],[Principal]]+Table1578[[#This Row],[Interest]]+Table1578[[#This Row],[Prepayments]]+Table1578[[#This Row],[RecoveredAmount]]</f>
        <v>0</v>
      </c>
      <c r="Q347" s="3">
        <f ca="1">ROUND(Table1578[[#This Row],[Cash Flow]]/((1+ActualRateToUse)^(IF(ISNUMBER(SEARCH("Actual",$C$7)),Table1578[[#This Row],[Running Total]]/365,Table1578[[#This Row],[Period]]/12))),2)</f>
        <v>0</v>
      </c>
      <c r="R347" s="2">
        <f>IF(MONTH(Table1578[[#This Row],[Date]])=2,28,DAY(DATE(YEAR(Table1578[[#This Row],[Date]]),MONTH(Table1578[[#This Row],[Date]])+1,1)-1))</f>
        <v>31</v>
      </c>
      <c r="S347" s="2">
        <f ca="1">SUM(OFFSET(Table1578[[#Headers],[Days in month]],1,0):Table1578[[#This Row],[Days in month]])</f>
        <v>10070</v>
      </c>
      <c r="T347" s="37">
        <f>InterestRate*AmortizationMultiplier*IF(ISNUMBER(SEARCH("Actual",$C$7)),Table1578[[#This Row],[Days in month]]/365,1/12)</f>
        <v>6.2344444444444444E-3</v>
      </c>
    </row>
    <row r="348" spans="2:20" x14ac:dyDescent="0.2">
      <c r="B348" s="1">
        <f t="shared" si="18"/>
        <v>55943</v>
      </c>
      <c r="C348" s="2">
        <f t="shared" si="20"/>
        <v>332</v>
      </c>
      <c r="D348" s="3">
        <f t="shared" si="19"/>
        <v>0</v>
      </c>
      <c r="E348" s="3">
        <f>ROUND(Table1578[[#This Row],[Beginning Balance]]*Table1578[[#This Row],[Monthly Interest Rate]],2)</f>
        <v>0</v>
      </c>
      <c r="F348" s="3">
        <f t="shared" si="21"/>
        <v>-329</v>
      </c>
      <c r="G348" s="23">
        <f>IFERROR(IF($C$13="No","N/A",IF(Table1578[[#This Row],[Period]]=1,$C$6,PMT(InterestRate*AmortizationMultiplier/12,Table1578[[#This Row],[Am Thru]],-Table1578[[#This Row],[Beginning Balance]]))),0)</f>
        <v>0</v>
      </c>
      <c r="H348" s="3">
        <f>MAX(0,IF(C348=$C$4,D348,ROUND(IF($C$3="Fixed Principal",$C$6-Table1578[[#This Row],[Interest]],IF($C$3="Interest Only",Table1578[[#This Row],[Beginning Balance]]*ROUND(1-(1-IF($C$11="No",$E$8,1))^(1/12),6),MIN(IF($C$13="Yes",Table1578[[#This Row],[Payment Amount (Reamortized)]],$C$6)-Table1578[[#This Row],[Interest]],Table1578[[#This Row],[Beginning Balance]]))),2)))</f>
        <v>0</v>
      </c>
      <c r="I348" s="3">
        <f>_xlfn.SINGLE(IF($C$3="Line of Credit",0,ROUND(MAX(MIN(IF($C$10="No",$E$7,VLOOKUP(Table1578[[#This Row],[Period]],Forecast!$H$2:$L$1048576,4,FALSE))*Table1578[[#This Row],[Beginning Balance]],Table1578[[#This Row],[Beginning Balance]]-Table1578[[#This Row],[Principal]]),0),2)))</f>
        <v>0</v>
      </c>
      <c r="J348" s="3">
        <f>ROUND(MIN(Table1578[[#This Row],[Beginning Balance]]*IF($C$8="No",$E$3,VLOOKUP(Table1578[[#This Row],[Period]],Forecast!$H$2:$L$1048576,2,FALSE)),Table1578[[#This Row],[Beginning Balance]]-Table1578[[#This Row],[Principal]]-Table1578[[#This Row],[Prepayments]]),2)</f>
        <v>0</v>
      </c>
      <c r="K348" s="3">
        <f>ROUND(Table1578[[#This Row],[Defaulted Principal]]*IF($C$9="No",$E$4,VLOOKUP(Table1578[[#This Row],[Period]],Forecast!$H$2:$L$1048576,3,FALSE)),2)</f>
        <v>0</v>
      </c>
      <c r="L348" s="2">
        <f>Table1578[[#This Row],[Period]]+$E$9</f>
        <v>344</v>
      </c>
      <c r="M348" s="3">
        <f>Table1578[[#This Row],[Defaulted Principal]]-Table1578[[#This Row],[Estimated Loss]]</f>
        <v>0</v>
      </c>
      <c r="N348" s="3">
        <f>IFERROR(VLOOKUP(Table1578[[#This Row],[Period]],$L$16:$M$385,2,FALSE),0)</f>
        <v>0</v>
      </c>
      <c r="O348" s="3">
        <f>Table1578[[#This Row],[Beginning Balance]]-Table1578[[#This Row],[Principal]]-Table1578[[#This Row],[Prepayments]]-Table1578[[#This Row],[Defaulted Principal]]</f>
        <v>0</v>
      </c>
      <c r="P348" s="3">
        <f>Table1578[[#This Row],[Principal]]+Table1578[[#This Row],[Interest]]+Table1578[[#This Row],[Prepayments]]+Table1578[[#This Row],[RecoveredAmount]]</f>
        <v>0</v>
      </c>
      <c r="Q348" s="3">
        <f ca="1">ROUND(Table1578[[#This Row],[Cash Flow]]/((1+ActualRateToUse)^(IF(ISNUMBER(SEARCH("Actual",$C$7)),Table1578[[#This Row],[Running Total]]/365,Table1578[[#This Row],[Period]]/12))),2)</f>
        <v>0</v>
      </c>
      <c r="R348" s="2">
        <f>IF(MONTH(Table1578[[#This Row],[Date]])=2,28,DAY(DATE(YEAR(Table1578[[#This Row],[Date]]),MONTH(Table1578[[#This Row],[Date]])+1,1)-1))</f>
        <v>28</v>
      </c>
      <c r="S348" s="2">
        <f ca="1">SUM(OFFSET(Table1578[[#Headers],[Days in month]],1,0):Table1578[[#This Row],[Days in month]])</f>
        <v>10098</v>
      </c>
      <c r="T348" s="37">
        <f>InterestRate*AmortizationMultiplier*IF(ISNUMBER(SEARCH("Actual",$C$7)),Table1578[[#This Row],[Days in month]]/365,1/12)</f>
        <v>5.6311111111111119E-3</v>
      </c>
    </row>
    <row r="349" spans="2:20" x14ac:dyDescent="0.2">
      <c r="B349" s="1">
        <f t="shared" si="18"/>
        <v>55974</v>
      </c>
      <c r="C349" s="2">
        <f t="shared" si="20"/>
        <v>333</v>
      </c>
      <c r="D349" s="3">
        <f t="shared" si="19"/>
        <v>0</v>
      </c>
      <c r="E349" s="3">
        <f>ROUND(Table1578[[#This Row],[Beginning Balance]]*Table1578[[#This Row],[Monthly Interest Rate]],2)</f>
        <v>0</v>
      </c>
      <c r="F349" s="3">
        <f t="shared" si="21"/>
        <v>-330</v>
      </c>
      <c r="G349" s="23">
        <f>IFERROR(IF($C$13="No","N/A",IF(Table1578[[#This Row],[Period]]=1,$C$6,PMT(InterestRate*AmortizationMultiplier/12,Table1578[[#This Row],[Am Thru]],-Table1578[[#This Row],[Beginning Balance]]))),0)</f>
        <v>0</v>
      </c>
      <c r="H349" s="3">
        <f>MAX(0,IF(C349=$C$4,D349,ROUND(IF($C$3="Fixed Principal",$C$6-Table1578[[#This Row],[Interest]],IF($C$3="Interest Only",Table1578[[#This Row],[Beginning Balance]]*ROUND(1-(1-IF($C$11="No",$E$8,1))^(1/12),6),MIN(IF($C$13="Yes",Table1578[[#This Row],[Payment Amount (Reamortized)]],$C$6)-Table1578[[#This Row],[Interest]],Table1578[[#This Row],[Beginning Balance]]))),2)))</f>
        <v>0</v>
      </c>
      <c r="I349" s="3">
        <f>_xlfn.SINGLE(IF($C$3="Line of Credit",0,ROUND(MAX(MIN(IF($C$10="No",$E$7,VLOOKUP(Table1578[[#This Row],[Period]],Forecast!$H$2:$L$1048576,4,FALSE))*Table1578[[#This Row],[Beginning Balance]],Table1578[[#This Row],[Beginning Balance]]-Table1578[[#This Row],[Principal]]),0),2)))</f>
        <v>0</v>
      </c>
      <c r="J349" s="3">
        <f>ROUND(MIN(Table1578[[#This Row],[Beginning Balance]]*IF($C$8="No",$E$3,VLOOKUP(Table1578[[#This Row],[Period]],Forecast!$H$2:$L$1048576,2,FALSE)),Table1578[[#This Row],[Beginning Balance]]-Table1578[[#This Row],[Principal]]-Table1578[[#This Row],[Prepayments]]),2)</f>
        <v>0</v>
      </c>
      <c r="K349" s="3">
        <f>ROUND(Table1578[[#This Row],[Defaulted Principal]]*IF($C$9="No",$E$4,VLOOKUP(Table1578[[#This Row],[Period]],Forecast!$H$2:$L$1048576,3,FALSE)),2)</f>
        <v>0</v>
      </c>
      <c r="L349" s="2">
        <f>Table1578[[#This Row],[Period]]+$E$9</f>
        <v>345</v>
      </c>
      <c r="M349" s="3">
        <f>Table1578[[#This Row],[Defaulted Principal]]-Table1578[[#This Row],[Estimated Loss]]</f>
        <v>0</v>
      </c>
      <c r="N349" s="3">
        <f>IFERROR(VLOOKUP(Table1578[[#This Row],[Period]],$L$16:$M$385,2,FALSE),0)</f>
        <v>0</v>
      </c>
      <c r="O349" s="3">
        <f>Table1578[[#This Row],[Beginning Balance]]-Table1578[[#This Row],[Principal]]-Table1578[[#This Row],[Prepayments]]-Table1578[[#This Row],[Defaulted Principal]]</f>
        <v>0</v>
      </c>
      <c r="P349" s="3">
        <f>Table1578[[#This Row],[Principal]]+Table1578[[#This Row],[Interest]]+Table1578[[#This Row],[Prepayments]]+Table1578[[#This Row],[RecoveredAmount]]</f>
        <v>0</v>
      </c>
      <c r="Q349" s="3">
        <f ca="1">ROUND(Table1578[[#This Row],[Cash Flow]]/((1+ActualRateToUse)^(IF(ISNUMBER(SEARCH("Actual",$C$7)),Table1578[[#This Row],[Running Total]]/365,Table1578[[#This Row],[Period]]/12))),2)</f>
        <v>0</v>
      </c>
      <c r="R349" s="2">
        <f>IF(MONTH(Table1578[[#This Row],[Date]])=2,28,DAY(DATE(YEAR(Table1578[[#This Row],[Date]]),MONTH(Table1578[[#This Row],[Date]])+1,1)-1))</f>
        <v>31</v>
      </c>
      <c r="S349" s="2">
        <f ca="1">SUM(OFFSET(Table1578[[#Headers],[Days in month]],1,0):Table1578[[#This Row],[Days in month]])</f>
        <v>10129</v>
      </c>
      <c r="T349" s="37">
        <f>InterestRate*AmortizationMultiplier*IF(ISNUMBER(SEARCH("Actual",$C$7)),Table1578[[#This Row],[Days in month]]/365,1/12)</f>
        <v>6.2344444444444444E-3</v>
      </c>
    </row>
    <row r="350" spans="2:20" x14ac:dyDescent="0.2">
      <c r="B350" s="1">
        <f t="shared" si="18"/>
        <v>56004</v>
      </c>
      <c r="C350" s="2">
        <f t="shared" si="20"/>
        <v>334</v>
      </c>
      <c r="D350" s="3">
        <f t="shared" si="19"/>
        <v>0</v>
      </c>
      <c r="E350" s="3">
        <f>ROUND(Table1578[[#This Row],[Beginning Balance]]*Table1578[[#This Row],[Monthly Interest Rate]],2)</f>
        <v>0</v>
      </c>
      <c r="F350" s="3">
        <f t="shared" si="21"/>
        <v>-331</v>
      </c>
      <c r="G350" s="23">
        <f>IFERROR(IF($C$13="No","N/A",IF(Table1578[[#This Row],[Period]]=1,$C$6,PMT(InterestRate*AmortizationMultiplier/12,Table1578[[#This Row],[Am Thru]],-Table1578[[#This Row],[Beginning Balance]]))),0)</f>
        <v>0</v>
      </c>
      <c r="H350" s="3">
        <f>MAX(0,IF(C350=$C$4,D350,ROUND(IF($C$3="Fixed Principal",$C$6-Table1578[[#This Row],[Interest]],IF($C$3="Interest Only",Table1578[[#This Row],[Beginning Balance]]*ROUND(1-(1-IF($C$11="No",$E$8,1))^(1/12),6),MIN(IF($C$13="Yes",Table1578[[#This Row],[Payment Amount (Reamortized)]],$C$6)-Table1578[[#This Row],[Interest]],Table1578[[#This Row],[Beginning Balance]]))),2)))</f>
        <v>0</v>
      </c>
      <c r="I350" s="3">
        <f>_xlfn.SINGLE(IF($C$3="Line of Credit",0,ROUND(MAX(MIN(IF($C$10="No",$E$7,VLOOKUP(Table1578[[#This Row],[Period]],Forecast!$H$2:$L$1048576,4,FALSE))*Table1578[[#This Row],[Beginning Balance]],Table1578[[#This Row],[Beginning Balance]]-Table1578[[#This Row],[Principal]]),0),2)))</f>
        <v>0</v>
      </c>
      <c r="J350" s="3">
        <f>ROUND(MIN(Table1578[[#This Row],[Beginning Balance]]*IF($C$8="No",$E$3,VLOOKUP(Table1578[[#This Row],[Period]],Forecast!$H$2:$L$1048576,2,FALSE)),Table1578[[#This Row],[Beginning Balance]]-Table1578[[#This Row],[Principal]]-Table1578[[#This Row],[Prepayments]]),2)</f>
        <v>0</v>
      </c>
      <c r="K350" s="3">
        <f>ROUND(Table1578[[#This Row],[Defaulted Principal]]*IF($C$9="No",$E$4,VLOOKUP(Table1578[[#This Row],[Period]],Forecast!$H$2:$L$1048576,3,FALSE)),2)</f>
        <v>0</v>
      </c>
      <c r="L350" s="2">
        <f>Table1578[[#This Row],[Period]]+$E$9</f>
        <v>346</v>
      </c>
      <c r="M350" s="3">
        <f>Table1578[[#This Row],[Defaulted Principal]]-Table1578[[#This Row],[Estimated Loss]]</f>
        <v>0</v>
      </c>
      <c r="N350" s="3">
        <f>IFERROR(VLOOKUP(Table1578[[#This Row],[Period]],$L$16:$M$385,2,FALSE),0)</f>
        <v>0</v>
      </c>
      <c r="O350" s="3">
        <f>Table1578[[#This Row],[Beginning Balance]]-Table1578[[#This Row],[Principal]]-Table1578[[#This Row],[Prepayments]]-Table1578[[#This Row],[Defaulted Principal]]</f>
        <v>0</v>
      </c>
      <c r="P350" s="3">
        <f>Table1578[[#This Row],[Principal]]+Table1578[[#This Row],[Interest]]+Table1578[[#This Row],[Prepayments]]+Table1578[[#This Row],[RecoveredAmount]]</f>
        <v>0</v>
      </c>
      <c r="Q350" s="3">
        <f ca="1">ROUND(Table1578[[#This Row],[Cash Flow]]/((1+ActualRateToUse)^(IF(ISNUMBER(SEARCH("Actual",$C$7)),Table1578[[#This Row],[Running Total]]/365,Table1578[[#This Row],[Period]]/12))),2)</f>
        <v>0</v>
      </c>
      <c r="R350" s="2">
        <f>IF(MONTH(Table1578[[#This Row],[Date]])=2,28,DAY(DATE(YEAR(Table1578[[#This Row],[Date]]),MONTH(Table1578[[#This Row],[Date]])+1,1)-1))</f>
        <v>30</v>
      </c>
      <c r="S350" s="2">
        <f ca="1">SUM(OFFSET(Table1578[[#Headers],[Days in month]],1,0):Table1578[[#This Row],[Days in month]])</f>
        <v>10159</v>
      </c>
      <c r="T350" s="37">
        <f>InterestRate*AmortizationMultiplier*IF(ISNUMBER(SEARCH("Actual",$C$7)),Table1578[[#This Row],[Days in month]]/365,1/12)</f>
        <v>6.0333333333333333E-3</v>
      </c>
    </row>
    <row r="351" spans="2:20" x14ac:dyDescent="0.2">
      <c r="B351" s="1">
        <f t="shared" si="18"/>
        <v>56035</v>
      </c>
      <c r="C351" s="2">
        <f t="shared" si="20"/>
        <v>335</v>
      </c>
      <c r="D351" s="3">
        <f t="shared" si="19"/>
        <v>0</v>
      </c>
      <c r="E351" s="3">
        <f>ROUND(Table1578[[#This Row],[Beginning Balance]]*Table1578[[#This Row],[Monthly Interest Rate]],2)</f>
        <v>0</v>
      </c>
      <c r="F351" s="3">
        <f t="shared" si="21"/>
        <v>-332</v>
      </c>
      <c r="G351" s="23">
        <f>IFERROR(IF($C$13="No","N/A",IF(Table1578[[#This Row],[Period]]=1,$C$6,PMT(InterestRate*AmortizationMultiplier/12,Table1578[[#This Row],[Am Thru]],-Table1578[[#This Row],[Beginning Balance]]))),0)</f>
        <v>0</v>
      </c>
      <c r="H351" s="3">
        <f>MAX(0,IF(C351=$C$4,D351,ROUND(IF($C$3="Fixed Principal",$C$6-Table1578[[#This Row],[Interest]],IF($C$3="Interest Only",Table1578[[#This Row],[Beginning Balance]]*ROUND(1-(1-IF($C$11="No",$E$8,1))^(1/12),6),MIN(IF($C$13="Yes",Table1578[[#This Row],[Payment Amount (Reamortized)]],$C$6)-Table1578[[#This Row],[Interest]],Table1578[[#This Row],[Beginning Balance]]))),2)))</f>
        <v>0</v>
      </c>
      <c r="I351" s="3">
        <f>_xlfn.SINGLE(IF($C$3="Line of Credit",0,ROUND(MAX(MIN(IF($C$10="No",$E$7,VLOOKUP(Table1578[[#This Row],[Period]],Forecast!$H$2:$L$1048576,4,FALSE))*Table1578[[#This Row],[Beginning Balance]],Table1578[[#This Row],[Beginning Balance]]-Table1578[[#This Row],[Principal]]),0),2)))</f>
        <v>0</v>
      </c>
      <c r="J351" s="3">
        <f>ROUND(MIN(Table1578[[#This Row],[Beginning Balance]]*IF($C$8="No",$E$3,VLOOKUP(Table1578[[#This Row],[Period]],Forecast!$H$2:$L$1048576,2,FALSE)),Table1578[[#This Row],[Beginning Balance]]-Table1578[[#This Row],[Principal]]-Table1578[[#This Row],[Prepayments]]),2)</f>
        <v>0</v>
      </c>
      <c r="K351" s="3">
        <f>ROUND(Table1578[[#This Row],[Defaulted Principal]]*IF($C$9="No",$E$4,VLOOKUP(Table1578[[#This Row],[Period]],Forecast!$H$2:$L$1048576,3,FALSE)),2)</f>
        <v>0</v>
      </c>
      <c r="L351" s="2">
        <f>Table1578[[#This Row],[Period]]+$E$9</f>
        <v>347</v>
      </c>
      <c r="M351" s="3">
        <f>Table1578[[#This Row],[Defaulted Principal]]-Table1578[[#This Row],[Estimated Loss]]</f>
        <v>0</v>
      </c>
      <c r="N351" s="3">
        <f>IFERROR(VLOOKUP(Table1578[[#This Row],[Period]],$L$16:$M$385,2,FALSE),0)</f>
        <v>0</v>
      </c>
      <c r="O351" s="3">
        <f>Table1578[[#This Row],[Beginning Balance]]-Table1578[[#This Row],[Principal]]-Table1578[[#This Row],[Prepayments]]-Table1578[[#This Row],[Defaulted Principal]]</f>
        <v>0</v>
      </c>
      <c r="P351" s="3">
        <f>Table1578[[#This Row],[Principal]]+Table1578[[#This Row],[Interest]]+Table1578[[#This Row],[Prepayments]]+Table1578[[#This Row],[RecoveredAmount]]</f>
        <v>0</v>
      </c>
      <c r="Q351" s="3">
        <f ca="1">ROUND(Table1578[[#This Row],[Cash Flow]]/((1+ActualRateToUse)^(IF(ISNUMBER(SEARCH("Actual",$C$7)),Table1578[[#This Row],[Running Total]]/365,Table1578[[#This Row],[Period]]/12))),2)</f>
        <v>0</v>
      </c>
      <c r="R351" s="2">
        <f>IF(MONTH(Table1578[[#This Row],[Date]])=2,28,DAY(DATE(YEAR(Table1578[[#This Row],[Date]]),MONTH(Table1578[[#This Row],[Date]])+1,1)-1))</f>
        <v>31</v>
      </c>
      <c r="S351" s="2">
        <f ca="1">SUM(OFFSET(Table1578[[#Headers],[Days in month]],1,0):Table1578[[#This Row],[Days in month]])</f>
        <v>10190</v>
      </c>
      <c r="T351" s="37">
        <f>InterestRate*AmortizationMultiplier*IF(ISNUMBER(SEARCH("Actual",$C$7)),Table1578[[#This Row],[Days in month]]/365,1/12)</f>
        <v>6.2344444444444444E-3</v>
      </c>
    </row>
    <row r="352" spans="2:20" x14ac:dyDescent="0.2">
      <c r="B352" s="1">
        <f t="shared" si="18"/>
        <v>56065</v>
      </c>
      <c r="C352" s="2">
        <f t="shared" si="20"/>
        <v>336</v>
      </c>
      <c r="D352" s="3">
        <f t="shared" si="19"/>
        <v>0</v>
      </c>
      <c r="E352" s="3">
        <f>ROUND(Table1578[[#This Row],[Beginning Balance]]*Table1578[[#This Row],[Monthly Interest Rate]],2)</f>
        <v>0</v>
      </c>
      <c r="F352" s="3">
        <f t="shared" si="21"/>
        <v>-333</v>
      </c>
      <c r="G352" s="23">
        <f>IFERROR(IF($C$13="No","N/A",IF(Table1578[[#This Row],[Period]]=1,$C$6,PMT(InterestRate*AmortizationMultiplier/12,Table1578[[#This Row],[Am Thru]],-Table1578[[#This Row],[Beginning Balance]]))),0)</f>
        <v>0</v>
      </c>
      <c r="H352" s="3">
        <f>MAX(0,IF(C352=$C$4,D352,ROUND(IF($C$3="Fixed Principal",$C$6-Table1578[[#This Row],[Interest]],IF($C$3="Interest Only",Table1578[[#This Row],[Beginning Balance]]*ROUND(1-(1-IF($C$11="No",$E$8,1))^(1/12),6),MIN(IF($C$13="Yes",Table1578[[#This Row],[Payment Amount (Reamortized)]],$C$6)-Table1578[[#This Row],[Interest]],Table1578[[#This Row],[Beginning Balance]]))),2)))</f>
        <v>0</v>
      </c>
      <c r="I352" s="3">
        <f>_xlfn.SINGLE(IF($C$3="Line of Credit",0,ROUND(MAX(MIN(IF($C$10="No",$E$7,VLOOKUP(Table1578[[#This Row],[Period]],Forecast!$H$2:$L$1048576,4,FALSE))*Table1578[[#This Row],[Beginning Balance]],Table1578[[#This Row],[Beginning Balance]]-Table1578[[#This Row],[Principal]]),0),2)))</f>
        <v>0</v>
      </c>
      <c r="J352" s="3">
        <f>ROUND(MIN(Table1578[[#This Row],[Beginning Balance]]*IF($C$8="No",$E$3,VLOOKUP(Table1578[[#This Row],[Period]],Forecast!$H$2:$L$1048576,2,FALSE)),Table1578[[#This Row],[Beginning Balance]]-Table1578[[#This Row],[Principal]]-Table1578[[#This Row],[Prepayments]]),2)</f>
        <v>0</v>
      </c>
      <c r="K352" s="3">
        <f>ROUND(Table1578[[#This Row],[Defaulted Principal]]*IF($C$9="No",$E$4,VLOOKUP(Table1578[[#This Row],[Period]],Forecast!$H$2:$L$1048576,3,FALSE)),2)</f>
        <v>0</v>
      </c>
      <c r="L352" s="2">
        <f>Table1578[[#This Row],[Period]]+$E$9</f>
        <v>348</v>
      </c>
      <c r="M352" s="3">
        <f>Table1578[[#This Row],[Defaulted Principal]]-Table1578[[#This Row],[Estimated Loss]]</f>
        <v>0</v>
      </c>
      <c r="N352" s="3">
        <f>IFERROR(VLOOKUP(Table1578[[#This Row],[Period]],$L$16:$M$385,2,FALSE),0)</f>
        <v>0</v>
      </c>
      <c r="O352" s="3">
        <f>Table1578[[#This Row],[Beginning Balance]]-Table1578[[#This Row],[Principal]]-Table1578[[#This Row],[Prepayments]]-Table1578[[#This Row],[Defaulted Principal]]</f>
        <v>0</v>
      </c>
      <c r="P352" s="3">
        <f>Table1578[[#This Row],[Principal]]+Table1578[[#This Row],[Interest]]+Table1578[[#This Row],[Prepayments]]+Table1578[[#This Row],[RecoveredAmount]]</f>
        <v>0</v>
      </c>
      <c r="Q352" s="3">
        <f ca="1">ROUND(Table1578[[#This Row],[Cash Flow]]/((1+ActualRateToUse)^(IF(ISNUMBER(SEARCH("Actual",$C$7)),Table1578[[#This Row],[Running Total]]/365,Table1578[[#This Row],[Period]]/12))),2)</f>
        <v>0</v>
      </c>
      <c r="R352" s="2">
        <f>IF(MONTH(Table1578[[#This Row],[Date]])=2,28,DAY(DATE(YEAR(Table1578[[#This Row],[Date]]),MONTH(Table1578[[#This Row],[Date]])+1,1)-1))</f>
        <v>30</v>
      </c>
      <c r="S352" s="2">
        <f ca="1">SUM(OFFSET(Table1578[[#Headers],[Days in month]],1,0):Table1578[[#This Row],[Days in month]])</f>
        <v>10220</v>
      </c>
      <c r="T352" s="37">
        <f>InterestRate*AmortizationMultiplier*IF(ISNUMBER(SEARCH("Actual",$C$7)),Table1578[[#This Row],[Days in month]]/365,1/12)</f>
        <v>6.0333333333333333E-3</v>
      </c>
    </row>
    <row r="353" spans="2:20" x14ac:dyDescent="0.2">
      <c r="B353" s="1">
        <f t="shared" si="18"/>
        <v>56096</v>
      </c>
      <c r="C353" s="2">
        <f t="shared" si="20"/>
        <v>337</v>
      </c>
      <c r="D353" s="3">
        <f t="shared" si="19"/>
        <v>0</v>
      </c>
      <c r="E353" s="3">
        <f>ROUND(Table1578[[#This Row],[Beginning Balance]]*Table1578[[#This Row],[Monthly Interest Rate]],2)</f>
        <v>0</v>
      </c>
      <c r="F353" s="3">
        <f t="shared" si="21"/>
        <v>-334</v>
      </c>
      <c r="G353" s="23">
        <f>IFERROR(IF($C$13="No","N/A",IF(Table1578[[#This Row],[Period]]=1,$C$6,PMT(InterestRate*AmortizationMultiplier/12,Table1578[[#This Row],[Am Thru]],-Table1578[[#This Row],[Beginning Balance]]))),0)</f>
        <v>0</v>
      </c>
      <c r="H353" s="3">
        <f>MAX(0,IF(C353=$C$4,D353,ROUND(IF($C$3="Fixed Principal",$C$6-Table1578[[#This Row],[Interest]],IF($C$3="Interest Only",Table1578[[#This Row],[Beginning Balance]]*ROUND(1-(1-IF($C$11="No",$E$8,1))^(1/12),6),MIN(IF($C$13="Yes",Table1578[[#This Row],[Payment Amount (Reamortized)]],$C$6)-Table1578[[#This Row],[Interest]],Table1578[[#This Row],[Beginning Balance]]))),2)))</f>
        <v>0</v>
      </c>
      <c r="I353" s="3">
        <f>_xlfn.SINGLE(IF($C$3="Line of Credit",0,ROUND(MAX(MIN(IF($C$10="No",$E$7,VLOOKUP(Table1578[[#This Row],[Period]],Forecast!$H$2:$L$1048576,4,FALSE))*Table1578[[#This Row],[Beginning Balance]],Table1578[[#This Row],[Beginning Balance]]-Table1578[[#This Row],[Principal]]),0),2)))</f>
        <v>0</v>
      </c>
      <c r="J353" s="3">
        <f>ROUND(MIN(Table1578[[#This Row],[Beginning Balance]]*IF($C$8="No",$E$3,VLOOKUP(Table1578[[#This Row],[Period]],Forecast!$H$2:$L$1048576,2,FALSE)),Table1578[[#This Row],[Beginning Balance]]-Table1578[[#This Row],[Principal]]-Table1578[[#This Row],[Prepayments]]),2)</f>
        <v>0</v>
      </c>
      <c r="K353" s="3">
        <f>ROUND(Table1578[[#This Row],[Defaulted Principal]]*IF($C$9="No",$E$4,VLOOKUP(Table1578[[#This Row],[Period]],Forecast!$H$2:$L$1048576,3,FALSE)),2)</f>
        <v>0</v>
      </c>
      <c r="L353" s="2">
        <f>Table1578[[#This Row],[Period]]+$E$9</f>
        <v>349</v>
      </c>
      <c r="M353" s="3">
        <f>Table1578[[#This Row],[Defaulted Principal]]-Table1578[[#This Row],[Estimated Loss]]</f>
        <v>0</v>
      </c>
      <c r="N353" s="3">
        <f>IFERROR(VLOOKUP(Table1578[[#This Row],[Period]],$L$16:$M$385,2,FALSE),0)</f>
        <v>0</v>
      </c>
      <c r="O353" s="3">
        <f>Table1578[[#This Row],[Beginning Balance]]-Table1578[[#This Row],[Principal]]-Table1578[[#This Row],[Prepayments]]-Table1578[[#This Row],[Defaulted Principal]]</f>
        <v>0</v>
      </c>
      <c r="P353" s="3">
        <f>Table1578[[#This Row],[Principal]]+Table1578[[#This Row],[Interest]]+Table1578[[#This Row],[Prepayments]]+Table1578[[#This Row],[RecoveredAmount]]</f>
        <v>0</v>
      </c>
      <c r="Q353" s="3">
        <f ca="1">ROUND(Table1578[[#This Row],[Cash Flow]]/((1+ActualRateToUse)^(IF(ISNUMBER(SEARCH("Actual",$C$7)),Table1578[[#This Row],[Running Total]]/365,Table1578[[#This Row],[Period]]/12))),2)</f>
        <v>0</v>
      </c>
      <c r="R353" s="2">
        <f>IF(MONTH(Table1578[[#This Row],[Date]])=2,28,DAY(DATE(YEAR(Table1578[[#This Row],[Date]]),MONTH(Table1578[[#This Row],[Date]])+1,1)-1))</f>
        <v>31</v>
      </c>
      <c r="S353" s="2">
        <f ca="1">SUM(OFFSET(Table1578[[#Headers],[Days in month]],1,0):Table1578[[#This Row],[Days in month]])</f>
        <v>10251</v>
      </c>
      <c r="T353" s="37">
        <f>InterestRate*AmortizationMultiplier*IF(ISNUMBER(SEARCH("Actual",$C$7)),Table1578[[#This Row],[Days in month]]/365,1/12)</f>
        <v>6.2344444444444444E-3</v>
      </c>
    </row>
    <row r="354" spans="2:20" x14ac:dyDescent="0.2">
      <c r="B354" s="1">
        <f t="shared" si="18"/>
        <v>56127</v>
      </c>
      <c r="C354" s="2">
        <f t="shared" si="20"/>
        <v>338</v>
      </c>
      <c r="D354" s="3">
        <f t="shared" si="19"/>
        <v>0</v>
      </c>
      <c r="E354" s="3">
        <f>ROUND(Table1578[[#This Row],[Beginning Balance]]*Table1578[[#This Row],[Monthly Interest Rate]],2)</f>
        <v>0</v>
      </c>
      <c r="F354" s="3">
        <f t="shared" si="21"/>
        <v>-335</v>
      </c>
      <c r="G354" s="23">
        <f>IFERROR(IF($C$13="No","N/A",IF(Table1578[[#This Row],[Period]]=1,$C$6,PMT(InterestRate*AmortizationMultiplier/12,Table1578[[#This Row],[Am Thru]],-Table1578[[#This Row],[Beginning Balance]]))),0)</f>
        <v>0</v>
      </c>
      <c r="H354" s="3">
        <f>MAX(0,IF(C354=$C$4,D354,ROUND(IF($C$3="Fixed Principal",$C$6-Table1578[[#This Row],[Interest]],IF($C$3="Interest Only",Table1578[[#This Row],[Beginning Balance]]*ROUND(1-(1-IF($C$11="No",$E$8,1))^(1/12),6),MIN(IF($C$13="Yes",Table1578[[#This Row],[Payment Amount (Reamortized)]],$C$6)-Table1578[[#This Row],[Interest]],Table1578[[#This Row],[Beginning Balance]]))),2)))</f>
        <v>0</v>
      </c>
      <c r="I354" s="3">
        <f>_xlfn.SINGLE(IF($C$3="Line of Credit",0,ROUND(MAX(MIN(IF($C$10="No",$E$7,VLOOKUP(Table1578[[#This Row],[Period]],Forecast!$H$2:$L$1048576,4,FALSE))*Table1578[[#This Row],[Beginning Balance]],Table1578[[#This Row],[Beginning Balance]]-Table1578[[#This Row],[Principal]]),0),2)))</f>
        <v>0</v>
      </c>
      <c r="J354" s="3">
        <f>ROUND(MIN(Table1578[[#This Row],[Beginning Balance]]*IF($C$8="No",$E$3,VLOOKUP(Table1578[[#This Row],[Period]],Forecast!$H$2:$L$1048576,2,FALSE)),Table1578[[#This Row],[Beginning Balance]]-Table1578[[#This Row],[Principal]]-Table1578[[#This Row],[Prepayments]]),2)</f>
        <v>0</v>
      </c>
      <c r="K354" s="3">
        <f>ROUND(Table1578[[#This Row],[Defaulted Principal]]*IF($C$9="No",$E$4,VLOOKUP(Table1578[[#This Row],[Period]],Forecast!$H$2:$L$1048576,3,FALSE)),2)</f>
        <v>0</v>
      </c>
      <c r="L354" s="2">
        <f>Table1578[[#This Row],[Period]]+$E$9</f>
        <v>350</v>
      </c>
      <c r="M354" s="3">
        <f>Table1578[[#This Row],[Defaulted Principal]]-Table1578[[#This Row],[Estimated Loss]]</f>
        <v>0</v>
      </c>
      <c r="N354" s="3">
        <f>IFERROR(VLOOKUP(Table1578[[#This Row],[Period]],$L$16:$M$385,2,FALSE),0)</f>
        <v>0</v>
      </c>
      <c r="O354" s="3">
        <f>Table1578[[#This Row],[Beginning Balance]]-Table1578[[#This Row],[Principal]]-Table1578[[#This Row],[Prepayments]]-Table1578[[#This Row],[Defaulted Principal]]</f>
        <v>0</v>
      </c>
      <c r="P354" s="3">
        <f>Table1578[[#This Row],[Principal]]+Table1578[[#This Row],[Interest]]+Table1578[[#This Row],[Prepayments]]+Table1578[[#This Row],[RecoveredAmount]]</f>
        <v>0</v>
      </c>
      <c r="Q354" s="3">
        <f ca="1">ROUND(Table1578[[#This Row],[Cash Flow]]/((1+ActualRateToUse)^(IF(ISNUMBER(SEARCH("Actual",$C$7)),Table1578[[#This Row],[Running Total]]/365,Table1578[[#This Row],[Period]]/12))),2)</f>
        <v>0</v>
      </c>
      <c r="R354" s="2">
        <f>IF(MONTH(Table1578[[#This Row],[Date]])=2,28,DAY(DATE(YEAR(Table1578[[#This Row],[Date]]),MONTH(Table1578[[#This Row],[Date]])+1,1)-1))</f>
        <v>31</v>
      </c>
      <c r="S354" s="2">
        <f ca="1">SUM(OFFSET(Table1578[[#Headers],[Days in month]],1,0):Table1578[[#This Row],[Days in month]])</f>
        <v>10282</v>
      </c>
      <c r="T354" s="37">
        <f>InterestRate*AmortizationMultiplier*IF(ISNUMBER(SEARCH("Actual",$C$7)),Table1578[[#This Row],[Days in month]]/365,1/12)</f>
        <v>6.2344444444444444E-3</v>
      </c>
    </row>
    <row r="355" spans="2:20" x14ac:dyDescent="0.2">
      <c r="B355" s="1">
        <f t="shared" si="18"/>
        <v>56157</v>
      </c>
      <c r="C355" s="2">
        <f t="shared" si="20"/>
        <v>339</v>
      </c>
      <c r="D355" s="3">
        <f t="shared" si="19"/>
        <v>0</v>
      </c>
      <c r="E355" s="3">
        <f>ROUND(Table1578[[#This Row],[Beginning Balance]]*Table1578[[#This Row],[Monthly Interest Rate]],2)</f>
        <v>0</v>
      </c>
      <c r="F355" s="3">
        <f t="shared" si="21"/>
        <v>-336</v>
      </c>
      <c r="G355" s="23">
        <f>IFERROR(IF($C$13="No","N/A",IF(Table1578[[#This Row],[Period]]=1,$C$6,PMT(InterestRate*AmortizationMultiplier/12,Table1578[[#This Row],[Am Thru]],-Table1578[[#This Row],[Beginning Balance]]))),0)</f>
        <v>0</v>
      </c>
      <c r="H355" s="3">
        <f>MAX(0,IF(C355=$C$4,D355,ROUND(IF($C$3="Fixed Principal",$C$6-Table1578[[#This Row],[Interest]],IF($C$3="Interest Only",Table1578[[#This Row],[Beginning Balance]]*ROUND(1-(1-IF($C$11="No",$E$8,1))^(1/12),6),MIN(IF($C$13="Yes",Table1578[[#This Row],[Payment Amount (Reamortized)]],$C$6)-Table1578[[#This Row],[Interest]],Table1578[[#This Row],[Beginning Balance]]))),2)))</f>
        <v>0</v>
      </c>
      <c r="I355" s="3">
        <f>_xlfn.SINGLE(IF($C$3="Line of Credit",0,ROUND(MAX(MIN(IF($C$10="No",$E$7,VLOOKUP(Table1578[[#This Row],[Period]],Forecast!$H$2:$L$1048576,4,FALSE))*Table1578[[#This Row],[Beginning Balance]],Table1578[[#This Row],[Beginning Balance]]-Table1578[[#This Row],[Principal]]),0),2)))</f>
        <v>0</v>
      </c>
      <c r="J355" s="3">
        <f>ROUND(MIN(Table1578[[#This Row],[Beginning Balance]]*IF($C$8="No",$E$3,VLOOKUP(Table1578[[#This Row],[Period]],Forecast!$H$2:$L$1048576,2,FALSE)),Table1578[[#This Row],[Beginning Balance]]-Table1578[[#This Row],[Principal]]-Table1578[[#This Row],[Prepayments]]),2)</f>
        <v>0</v>
      </c>
      <c r="K355" s="3">
        <f>ROUND(Table1578[[#This Row],[Defaulted Principal]]*IF($C$9="No",$E$4,VLOOKUP(Table1578[[#This Row],[Period]],Forecast!$H$2:$L$1048576,3,FALSE)),2)</f>
        <v>0</v>
      </c>
      <c r="L355" s="2">
        <f>Table1578[[#This Row],[Period]]+$E$9</f>
        <v>351</v>
      </c>
      <c r="M355" s="3">
        <f>Table1578[[#This Row],[Defaulted Principal]]-Table1578[[#This Row],[Estimated Loss]]</f>
        <v>0</v>
      </c>
      <c r="N355" s="3">
        <f>IFERROR(VLOOKUP(Table1578[[#This Row],[Period]],$L$16:$M$385,2,FALSE),0)</f>
        <v>0</v>
      </c>
      <c r="O355" s="3">
        <f>Table1578[[#This Row],[Beginning Balance]]-Table1578[[#This Row],[Principal]]-Table1578[[#This Row],[Prepayments]]-Table1578[[#This Row],[Defaulted Principal]]</f>
        <v>0</v>
      </c>
      <c r="P355" s="3">
        <f>Table1578[[#This Row],[Principal]]+Table1578[[#This Row],[Interest]]+Table1578[[#This Row],[Prepayments]]+Table1578[[#This Row],[RecoveredAmount]]</f>
        <v>0</v>
      </c>
      <c r="Q355" s="3">
        <f ca="1">ROUND(Table1578[[#This Row],[Cash Flow]]/((1+ActualRateToUse)^(IF(ISNUMBER(SEARCH("Actual",$C$7)),Table1578[[#This Row],[Running Total]]/365,Table1578[[#This Row],[Period]]/12))),2)</f>
        <v>0</v>
      </c>
      <c r="R355" s="2">
        <f>IF(MONTH(Table1578[[#This Row],[Date]])=2,28,DAY(DATE(YEAR(Table1578[[#This Row],[Date]]),MONTH(Table1578[[#This Row],[Date]])+1,1)-1))</f>
        <v>30</v>
      </c>
      <c r="S355" s="2">
        <f ca="1">SUM(OFFSET(Table1578[[#Headers],[Days in month]],1,0):Table1578[[#This Row],[Days in month]])</f>
        <v>10312</v>
      </c>
      <c r="T355" s="37">
        <f>InterestRate*AmortizationMultiplier*IF(ISNUMBER(SEARCH("Actual",$C$7)),Table1578[[#This Row],[Days in month]]/365,1/12)</f>
        <v>6.0333333333333333E-3</v>
      </c>
    </row>
    <row r="356" spans="2:20" x14ac:dyDescent="0.2">
      <c r="B356" s="1">
        <f t="shared" si="18"/>
        <v>56188</v>
      </c>
      <c r="C356" s="2">
        <f t="shared" si="20"/>
        <v>340</v>
      </c>
      <c r="D356" s="3">
        <f t="shared" si="19"/>
        <v>0</v>
      </c>
      <c r="E356" s="3">
        <f>ROUND(Table1578[[#This Row],[Beginning Balance]]*Table1578[[#This Row],[Monthly Interest Rate]],2)</f>
        <v>0</v>
      </c>
      <c r="F356" s="3">
        <f t="shared" si="21"/>
        <v>-337</v>
      </c>
      <c r="G356" s="23">
        <f>IFERROR(IF($C$13="No","N/A",IF(Table1578[[#This Row],[Period]]=1,$C$6,PMT(InterestRate*AmortizationMultiplier/12,Table1578[[#This Row],[Am Thru]],-Table1578[[#This Row],[Beginning Balance]]))),0)</f>
        <v>0</v>
      </c>
      <c r="H356" s="3">
        <f>MAX(0,IF(C356=$C$4,D356,ROUND(IF($C$3="Fixed Principal",$C$6-Table1578[[#This Row],[Interest]],IF($C$3="Interest Only",Table1578[[#This Row],[Beginning Balance]]*ROUND(1-(1-IF($C$11="No",$E$8,1))^(1/12),6),MIN(IF($C$13="Yes",Table1578[[#This Row],[Payment Amount (Reamortized)]],$C$6)-Table1578[[#This Row],[Interest]],Table1578[[#This Row],[Beginning Balance]]))),2)))</f>
        <v>0</v>
      </c>
      <c r="I356" s="3">
        <f>_xlfn.SINGLE(IF($C$3="Line of Credit",0,ROUND(MAX(MIN(IF($C$10="No",$E$7,VLOOKUP(Table1578[[#This Row],[Period]],Forecast!$H$2:$L$1048576,4,FALSE))*Table1578[[#This Row],[Beginning Balance]],Table1578[[#This Row],[Beginning Balance]]-Table1578[[#This Row],[Principal]]),0),2)))</f>
        <v>0</v>
      </c>
      <c r="J356" s="3">
        <f>ROUND(MIN(Table1578[[#This Row],[Beginning Balance]]*IF($C$8="No",$E$3,VLOOKUP(Table1578[[#This Row],[Period]],Forecast!$H$2:$L$1048576,2,FALSE)),Table1578[[#This Row],[Beginning Balance]]-Table1578[[#This Row],[Principal]]-Table1578[[#This Row],[Prepayments]]),2)</f>
        <v>0</v>
      </c>
      <c r="K356" s="3">
        <f>ROUND(Table1578[[#This Row],[Defaulted Principal]]*IF($C$9="No",$E$4,VLOOKUP(Table1578[[#This Row],[Period]],Forecast!$H$2:$L$1048576,3,FALSE)),2)</f>
        <v>0</v>
      </c>
      <c r="L356" s="2">
        <f>Table1578[[#This Row],[Period]]+$E$9</f>
        <v>352</v>
      </c>
      <c r="M356" s="3">
        <f>Table1578[[#This Row],[Defaulted Principal]]-Table1578[[#This Row],[Estimated Loss]]</f>
        <v>0</v>
      </c>
      <c r="N356" s="3">
        <f>IFERROR(VLOOKUP(Table1578[[#This Row],[Period]],$L$16:$M$385,2,FALSE),0)</f>
        <v>0</v>
      </c>
      <c r="O356" s="3">
        <f>Table1578[[#This Row],[Beginning Balance]]-Table1578[[#This Row],[Principal]]-Table1578[[#This Row],[Prepayments]]-Table1578[[#This Row],[Defaulted Principal]]</f>
        <v>0</v>
      </c>
      <c r="P356" s="3">
        <f>Table1578[[#This Row],[Principal]]+Table1578[[#This Row],[Interest]]+Table1578[[#This Row],[Prepayments]]+Table1578[[#This Row],[RecoveredAmount]]</f>
        <v>0</v>
      </c>
      <c r="Q356" s="3">
        <f ca="1">ROUND(Table1578[[#This Row],[Cash Flow]]/((1+ActualRateToUse)^(IF(ISNUMBER(SEARCH("Actual",$C$7)),Table1578[[#This Row],[Running Total]]/365,Table1578[[#This Row],[Period]]/12))),2)</f>
        <v>0</v>
      </c>
      <c r="R356" s="2">
        <f>IF(MONTH(Table1578[[#This Row],[Date]])=2,28,DAY(DATE(YEAR(Table1578[[#This Row],[Date]]),MONTH(Table1578[[#This Row],[Date]])+1,1)-1))</f>
        <v>31</v>
      </c>
      <c r="S356" s="2">
        <f ca="1">SUM(OFFSET(Table1578[[#Headers],[Days in month]],1,0):Table1578[[#This Row],[Days in month]])</f>
        <v>10343</v>
      </c>
      <c r="T356" s="37">
        <f>InterestRate*AmortizationMultiplier*IF(ISNUMBER(SEARCH("Actual",$C$7)),Table1578[[#This Row],[Days in month]]/365,1/12)</f>
        <v>6.2344444444444444E-3</v>
      </c>
    </row>
    <row r="357" spans="2:20" x14ac:dyDescent="0.2">
      <c r="B357" s="1">
        <f t="shared" si="18"/>
        <v>56218</v>
      </c>
      <c r="C357" s="2">
        <f t="shared" si="20"/>
        <v>341</v>
      </c>
      <c r="D357" s="3">
        <f t="shared" si="19"/>
        <v>0</v>
      </c>
      <c r="E357" s="3">
        <f>ROUND(Table1578[[#This Row],[Beginning Balance]]*Table1578[[#This Row],[Monthly Interest Rate]],2)</f>
        <v>0</v>
      </c>
      <c r="F357" s="3">
        <f t="shared" si="21"/>
        <v>-338</v>
      </c>
      <c r="G357" s="23">
        <f>IFERROR(IF($C$13="No","N/A",IF(Table1578[[#This Row],[Period]]=1,$C$6,PMT(InterestRate*AmortizationMultiplier/12,Table1578[[#This Row],[Am Thru]],-Table1578[[#This Row],[Beginning Balance]]))),0)</f>
        <v>0</v>
      </c>
      <c r="H357" s="3">
        <f>MAX(0,IF(C357=$C$4,D357,ROUND(IF($C$3="Fixed Principal",$C$6-Table1578[[#This Row],[Interest]],IF($C$3="Interest Only",Table1578[[#This Row],[Beginning Balance]]*ROUND(1-(1-IF($C$11="No",$E$8,1))^(1/12),6),MIN(IF($C$13="Yes",Table1578[[#This Row],[Payment Amount (Reamortized)]],$C$6)-Table1578[[#This Row],[Interest]],Table1578[[#This Row],[Beginning Balance]]))),2)))</f>
        <v>0</v>
      </c>
      <c r="I357" s="3">
        <f>_xlfn.SINGLE(IF($C$3="Line of Credit",0,ROUND(MAX(MIN(IF($C$10="No",$E$7,VLOOKUP(Table1578[[#This Row],[Period]],Forecast!$H$2:$L$1048576,4,FALSE))*Table1578[[#This Row],[Beginning Balance]],Table1578[[#This Row],[Beginning Balance]]-Table1578[[#This Row],[Principal]]),0),2)))</f>
        <v>0</v>
      </c>
      <c r="J357" s="3">
        <f>ROUND(MIN(Table1578[[#This Row],[Beginning Balance]]*IF($C$8="No",$E$3,VLOOKUP(Table1578[[#This Row],[Period]],Forecast!$H$2:$L$1048576,2,FALSE)),Table1578[[#This Row],[Beginning Balance]]-Table1578[[#This Row],[Principal]]-Table1578[[#This Row],[Prepayments]]),2)</f>
        <v>0</v>
      </c>
      <c r="K357" s="3">
        <f>ROUND(Table1578[[#This Row],[Defaulted Principal]]*IF($C$9="No",$E$4,VLOOKUP(Table1578[[#This Row],[Period]],Forecast!$H$2:$L$1048576,3,FALSE)),2)</f>
        <v>0</v>
      </c>
      <c r="L357" s="2">
        <f>Table1578[[#This Row],[Period]]+$E$9</f>
        <v>353</v>
      </c>
      <c r="M357" s="3">
        <f>Table1578[[#This Row],[Defaulted Principal]]-Table1578[[#This Row],[Estimated Loss]]</f>
        <v>0</v>
      </c>
      <c r="N357" s="3">
        <f>IFERROR(VLOOKUP(Table1578[[#This Row],[Period]],$L$16:$M$385,2,FALSE),0)</f>
        <v>0</v>
      </c>
      <c r="O357" s="3">
        <f>Table1578[[#This Row],[Beginning Balance]]-Table1578[[#This Row],[Principal]]-Table1578[[#This Row],[Prepayments]]-Table1578[[#This Row],[Defaulted Principal]]</f>
        <v>0</v>
      </c>
      <c r="P357" s="3">
        <f>Table1578[[#This Row],[Principal]]+Table1578[[#This Row],[Interest]]+Table1578[[#This Row],[Prepayments]]+Table1578[[#This Row],[RecoveredAmount]]</f>
        <v>0</v>
      </c>
      <c r="Q357" s="3">
        <f ca="1">ROUND(Table1578[[#This Row],[Cash Flow]]/((1+ActualRateToUse)^(IF(ISNUMBER(SEARCH("Actual",$C$7)),Table1578[[#This Row],[Running Total]]/365,Table1578[[#This Row],[Period]]/12))),2)</f>
        <v>0</v>
      </c>
      <c r="R357" s="2">
        <f>IF(MONTH(Table1578[[#This Row],[Date]])=2,28,DAY(DATE(YEAR(Table1578[[#This Row],[Date]]),MONTH(Table1578[[#This Row],[Date]])+1,1)-1))</f>
        <v>30</v>
      </c>
      <c r="S357" s="2">
        <f ca="1">SUM(OFFSET(Table1578[[#Headers],[Days in month]],1,0):Table1578[[#This Row],[Days in month]])</f>
        <v>10373</v>
      </c>
      <c r="T357" s="37">
        <f>InterestRate*AmortizationMultiplier*IF(ISNUMBER(SEARCH("Actual",$C$7)),Table1578[[#This Row],[Days in month]]/365,1/12)</f>
        <v>6.0333333333333333E-3</v>
      </c>
    </row>
    <row r="358" spans="2:20" x14ac:dyDescent="0.2">
      <c r="B358" s="1">
        <f t="shared" si="18"/>
        <v>56249</v>
      </c>
      <c r="C358" s="2">
        <f t="shared" si="20"/>
        <v>342</v>
      </c>
      <c r="D358" s="3">
        <f t="shared" si="19"/>
        <v>0</v>
      </c>
      <c r="E358" s="3">
        <f>ROUND(Table1578[[#This Row],[Beginning Balance]]*Table1578[[#This Row],[Monthly Interest Rate]],2)</f>
        <v>0</v>
      </c>
      <c r="F358" s="3">
        <f t="shared" si="21"/>
        <v>-339</v>
      </c>
      <c r="G358" s="23">
        <f>IFERROR(IF($C$13="No","N/A",IF(Table1578[[#This Row],[Period]]=1,$C$6,PMT(InterestRate*AmortizationMultiplier/12,Table1578[[#This Row],[Am Thru]],-Table1578[[#This Row],[Beginning Balance]]))),0)</f>
        <v>0</v>
      </c>
      <c r="H358" s="3">
        <f>MAX(0,IF(C358=$C$4,D358,ROUND(IF($C$3="Fixed Principal",$C$6-Table1578[[#This Row],[Interest]],IF($C$3="Interest Only",Table1578[[#This Row],[Beginning Balance]]*ROUND(1-(1-IF($C$11="No",$E$8,1))^(1/12),6),MIN(IF($C$13="Yes",Table1578[[#This Row],[Payment Amount (Reamortized)]],$C$6)-Table1578[[#This Row],[Interest]],Table1578[[#This Row],[Beginning Balance]]))),2)))</f>
        <v>0</v>
      </c>
      <c r="I358" s="3">
        <f>_xlfn.SINGLE(IF($C$3="Line of Credit",0,ROUND(MAX(MIN(IF($C$10="No",$E$7,VLOOKUP(Table1578[[#This Row],[Period]],Forecast!$H$2:$L$1048576,4,FALSE))*Table1578[[#This Row],[Beginning Balance]],Table1578[[#This Row],[Beginning Balance]]-Table1578[[#This Row],[Principal]]),0),2)))</f>
        <v>0</v>
      </c>
      <c r="J358" s="3">
        <f>ROUND(MIN(Table1578[[#This Row],[Beginning Balance]]*IF($C$8="No",$E$3,VLOOKUP(Table1578[[#This Row],[Period]],Forecast!$H$2:$L$1048576,2,FALSE)),Table1578[[#This Row],[Beginning Balance]]-Table1578[[#This Row],[Principal]]-Table1578[[#This Row],[Prepayments]]),2)</f>
        <v>0</v>
      </c>
      <c r="K358" s="3">
        <f>ROUND(Table1578[[#This Row],[Defaulted Principal]]*IF($C$9="No",$E$4,VLOOKUP(Table1578[[#This Row],[Period]],Forecast!$H$2:$L$1048576,3,FALSE)),2)</f>
        <v>0</v>
      </c>
      <c r="L358" s="2">
        <f>Table1578[[#This Row],[Period]]+$E$9</f>
        <v>354</v>
      </c>
      <c r="M358" s="3">
        <f>Table1578[[#This Row],[Defaulted Principal]]-Table1578[[#This Row],[Estimated Loss]]</f>
        <v>0</v>
      </c>
      <c r="N358" s="3">
        <f>IFERROR(VLOOKUP(Table1578[[#This Row],[Period]],$L$16:$M$385,2,FALSE),0)</f>
        <v>0</v>
      </c>
      <c r="O358" s="3">
        <f>Table1578[[#This Row],[Beginning Balance]]-Table1578[[#This Row],[Principal]]-Table1578[[#This Row],[Prepayments]]-Table1578[[#This Row],[Defaulted Principal]]</f>
        <v>0</v>
      </c>
      <c r="P358" s="3">
        <f>Table1578[[#This Row],[Principal]]+Table1578[[#This Row],[Interest]]+Table1578[[#This Row],[Prepayments]]+Table1578[[#This Row],[RecoveredAmount]]</f>
        <v>0</v>
      </c>
      <c r="Q358" s="3">
        <f ca="1">ROUND(Table1578[[#This Row],[Cash Flow]]/((1+ActualRateToUse)^(IF(ISNUMBER(SEARCH("Actual",$C$7)),Table1578[[#This Row],[Running Total]]/365,Table1578[[#This Row],[Period]]/12))),2)</f>
        <v>0</v>
      </c>
      <c r="R358" s="2">
        <f>IF(MONTH(Table1578[[#This Row],[Date]])=2,28,DAY(DATE(YEAR(Table1578[[#This Row],[Date]]),MONTH(Table1578[[#This Row],[Date]])+1,1)-1))</f>
        <v>31</v>
      </c>
      <c r="S358" s="2">
        <f ca="1">SUM(OFFSET(Table1578[[#Headers],[Days in month]],1,0):Table1578[[#This Row],[Days in month]])</f>
        <v>10404</v>
      </c>
      <c r="T358" s="37">
        <f>InterestRate*AmortizationMultiplier*IF(ISNUMBER(SEARCH("Actual",$C$7)),Table1578[[#This Row],[Days in month]]/365,1/12)</f>
        <v>6.2344444444444444E-3</v>
      </c>
    </row>
    <row r="359" spans="2:20" x14ac:dyDescent="0.2">
      <c r="B359" s="1">
        <f t="shared" si="18"/>
        <v>56280</v>
      </c>
      <c r="C359" s="2">
        <f t="shared" si="20"/>
        <v>343</v>
      </c>
      <c r="D359" s="3">
        <f t="shared" si="19"/>
        <v>0</v>
      </c>
      <c r="E359" s="3">
        <f>ROUND(Table1578[[#This Row],[Beginning Balance]]*Table1578[[#This Row],[Monthly Interest Rate]],2)</f>
        <v>0</v>
      </c>
      <c r="F359" s="3">
        <f t="shared" si="21"/>
        <v>-340</v>
      </c>
      <c r="G359" s="23">
        <f>IFERROR(IF($C$13="No","N/A",IF(Table1578[[#This Row],[Period]]=1,$C$6,PMT(InterestRate*AmortizationMultiplier/12,Table1578[[#This Row],[Am Thru]],-Table1578[[#This Row],[Beginning Balance]]))),0)</f>
        <v>0</v>
      </c>
      <c r="H359" s="3">
        <f>MAX(0,IF(C359=$C$4,D359,ROUND(IF($C$3="Fixed Principal",$C$6-Table1578[[#This Row],[Interest]],IF($C$3="Interest Only",Table1578[[#This Row],[Beginning Balance]]*ROUND(1-(1-IF($C$11="No",$E$8,1))^(1/12),6),MIN(IF($C$13="Yes",Table1578[[#This Row],[Payment Amount (Reamortized)]],$C$6)-Table1578[[#This Row],[Interest]],Table1578[[#This Row],[Beginning Balance]]))),2)))</f>
        <v>0</v>
      </c>
      <c r="I359" s="3">
        <f>_xlfn.SINGLE(IF($C$3="Line of Credit",0,ROUND(MAX(MIN(IF($C$10="No",$E$7,VLOOKUP(Table1578[[#This Row],[Period]],Forecast!$H$2:$L$1048576,4,FALSE))*Table1578[[#This Row],[Beginning Balance]],Table1578[[#This Row],[Beginning Balance]]-Table1578[[#This Row],[Principal]]),0),2)))</f>
        <v>0</v>
      </c>
      <c r="J359" s="3">
        <f>ROUND(MIN(Table1578[[#This Row],[Beginning Balance]]*IF($C$8="No",$E$3,VLOOKUP(Table1578[[#This Row],[Period]],Forecast!$H$2:$L$1048576,2,FALSE)),Table1578[[#This Row],[Beginning Balance]]-Table1578[[#This Row],[Principal]]-Table1578[[#This Row],[Prepayments]]),2)</f>
        <v>0</v>
      </c>
      <c r="K359" s="3">
        <f>ROUND(Table1578[[#This Row],[Defaulted Principal]]*IF($C$9="No",$E$4,VLOOKUP(Table1578[[#This Row],[Period]],Forecast!$H$2:$L$1048576,3,FALSE)),2)</f>
        <v>0</v>
      </c>
      <c r="L359" s="2">
        <f>Table1578[[#This Row],[Period]]+$E$9</f>
        <v>355</v>
      </c>
      <c r="M359" s="3">
        <f>Table1578[[#This Row],[Defaulted Principal]]-Table1578[[#This Row],[Estimated Loss]]</f>
        <v>0</v>
      </c>
      <c r="N359" s="3">
        <f>IFERROR(VLOOKUP(Table1578[[#This Row],[Period]],$L$16:$M$385,2,FALSE),0)</f>
        <v>0</v>
      </c>
      <c r="O359" s="3">
        <f>Table1578[[#This Row],[Beginning Balance]]-Table1578[[#This Row],[Principal]]-Table1578[[#This Row],[Prepayments]]-Table1578[[#This Row],[Defaulted Principal]]</f>
        <v>0</v>
      </c>
      <c r="P359" s="3">
        <f>Table1578[[#This Row],[Principal]]+Table1578[[#This Row],[Interest]]+Table1578[[#This Row],[Prepayments]]+Table1578[[#This Row],[RecoveredAmount]]</f>
        <v>0</v>
      </c>
      <c r="Q359" s="3">
        <f ca="1">ROUND(Table1578[[#This Row],[Cash Flow]]/((1+ActualRateToUse)^(IF(ISNUMBER(SEARCH("Actual",$C$7)),Table1578[[#This Row],[Running Total]]/365,Table1578[[#This Row],[Period]]/12))),2)</f>
        <v>0</v>
      </c>
      <c r="R359" s="2">
        <f>IF(MONTH(Table1578[[#This Row],[Date]])=2,28,DAY(DATE(YEAR(Table1578[[#This Row],[Date]]),MONTH(Table1578[[#This Row],[Date]])+1,1)-1))</f>
        <v>31</v>
      </c>
      <c r="S359" s="2">
        <f ca="1">SUM(OFFSET(Table1578[[#Headers],[Days in month]],1,0):Table1578[[#This Row],[Days in month]])</f>
        <v>10435</v>
      </c>
      <c r="T359" s="37">
        <f>InterestRate*AmortizationMultiplier*IF(ISNUMBER(SEARCH("Actual",$C$7)),Table1578[[#This Row],[Days in month]]/365,1/12)</f>
        <v>6.2344444444444444E-3</v>
      </c>
    </row>
    <row r="360" spans="2:20" x14ac:dyDescent="0.2">
      <c r="B360" s="1">
        <f t="shared" si="18"/>
        <v>56308</v>
      </c>
      <c r="C360" s="2">
        <f t="shared" si="20"/>
        <v>344</v>
      </c>
      <c r="D360" s="3">
        <f t="shared" si="19"/>
        <v>0</v>
      </c>
      <c r="E360" s="3">
        <f>ROUND(Table1578[[#This Row],[Beginning Balance]]*Table1578[[#This Row],[Monthly Interest Rate]],2)</f>
        <v>0</v>
      </c>
      <c r="F360" s="3">
        <f t="shared" si="21"/>
        <v>-341</v>
      </c>
      <c r="G360" s="23">
        <f>IFERROR(IF($C$13="No","N/A",IF(Table1578[[#This Row],[Period]]=1,$C$6,PMT(InterestRate*AmortizationMultiplier/12,Table1578[[#This Row],[Am Thru]],-Table1578[[#This Row],[Beginning Balance]]))),0)</f>
        <v>0</v>
      </c>
      <c r="H360" s="3">
        <f>MAX(0,IF(C360=$C$4,D360,ROUND(IF($C$3="Fixed Principal",$C$6-Table1578[[#This Row],[Interest]],IF($C$3="Interest Only",Table1578[[#This Row],[Beginning Balance]]*ROUND(1-(1-IF($C$11="No",$E$8,1))^(1/12),6),MIN(IF($C$13="Yes",Table1578[[#This Row],[Payment Amount (Reamortized)]],$C$6)-Table1578[[#This Row],[Interest]],Table1578[[#This Row],[Beginning Balance]]))),2)))</f>
        <v>0</v>
      </c>
      <c r="I360" s="3">
        <f>_xlfn.SINGLE(IF($C$3="Line of Credit",0,ROUND(MAX(MIN(IF($C$10="No",$E$7,VLOOKUP(Table1578[[#This Row],[Period]],Forecast!$H$2:$L$1048576,4,FALSE))*Table1578[[#This Row],[Beginning Balance]],Table1578[[#This Row],[Beginning Balance]]-Table1578[[#This Row],[Principal]]),0),2)))</f>
        <v>0</v>
      </c>
      <c r="J360" s="3">
        <f>ROUND(MIN(Table1578[[#This Row],[Beginning Balance]]*IF($C$8="No",$E$3,VLOOKUP(Table1578[[#This Row],[Period]],Forecast!$H$2:$L$1048576,2,FALSE)),Table1578[[#This Row],[Beginning Balance]]-Table1578[[#This Row],[Principal]]-Table1578[[#This Row],[Prepayments]]),2)</f>
        <v>0</v>
      </c>
      <c r="K360" s="3">
        <f>ROUND(Table1578[[#This Row],[Defaulted Principal]]*IF($C$9="No",$E$4,VLOOKUP(Table1578[[#This Row],[Period]],Forecast!$H$2:$L$1048576,3,FALSE)),2)</f>
        <v>0</v>
      </c>
      <c r="L360" s="2">
        <f>Table1578[[#This Row],[Period]]+$E$9</f>
        <v>356</v>
      </c>
      <c r="M360" s="3">
        <f>Table1578[[#This Row],[Defaulted Principal]]-Table1578[[#This Row],[Estimated Loss]]</f>
        <v>0</v>
      </c>
      <c r="N360" s="3">
        <f>IFERROR(VLOOKUP(Table1578[[#This Row],[Period]],$L$16:$M$385,2,FALSE),0)</f>
        <v>0</v>
      </c>
      <c r="O360" s="3">
        <f>Table1578[[#This Row],[Beginning Balance]]-Table1578[[#This Row],[Principal]]-Table1578[[#This Row],[Prepayments]]-Table1578[[#This Row],[Defaulted Principal]]</f>
        <v>0</v>
      </c>
      <c r="P360" s="3">
        <f>Table1578[[#This Row],[Principal]]+Table1578[[#This Row],[Interest]]+Table1578[[#This Row],[Prepayments]]+Table1578[[#This Row],[RecoveredAmount]]</f>
        <v>0</v>
      </c>
      <c r="Q360" s="3">
        <f ca="1">ROUND(Table1578[[#This Row],[Cash Flow]]/((1+ActualRateToUse)^(IF(ISNUMBER(SEARCH("Actual",$C$7)),Table1578[[#This Row],[Running Total]]/365,Table1578[[#This Row],[Period]]/12))),2)</f>
        <v>0</v>
      </c>
      <c r="R360" s="2">
        <f>IF(MONTH(Table1578[[#This Row],[Date]])=2,28,DAY(DATE(YEAR(Table1578[[#This Row],[Date]]),MONTH(Table1578[[#This Row],[Date]])+1,1)-1))</f>
        <v>28</v>
      </c>
      <c r="S360" s="2">
        <f ca="1">SUM(OFFSET(Table1578[[#Headers],[Days in month]],1,0):Table1578[[#This Row],[Days in month]])</f>
        <v>10463</v>
      </c>
      <c r="T360" s="37">
        <f>InterestRate*AmortizationMultiplier*IF(ISNUMBER(SEARCH("Actual",$C$7)),Table1578[[#This Row],[Days in month]]/365,1/12)</f>
        <v>5.6311111111111119E-3</v>
      </c>
    </row>
    <row r="361" spans="2:20" x14ac:dyDescent="0.2">
      <c r="B361" s="1">
        <f t="shared" si="18"/>
        <v>56339</v>
      </c>
      <c r="C361" s="2">
        <f t="shared" si="20"/>
        <v>345</v>
      </c>
      <c r="D361" s="3">
        <f t="shared" si="19"/>
        <v>0</v>
      </c>
      <c r="E361" s="3">
        <f>ROUND(Table1578[[#This Row],[Beginning Balance]]*Table1578[[#This Row],[Monthly Interest Rate]],2)</f>
        <v>0</v>
      </c>
      <c r="F361" s="3">
        <f t="shared" si="21"/>
        <v>-342</v>
      </c>
      <c r="G361" s="23">
        <f>IFERROR(IF($C$13="No","N/A",IF(Table1578[[#This Row],[Period]]=1,$C$6,PMT(InterestRate*AmortizationMultiplier/12,Table1578[[#This Row],[Am Thru]],-Table1578[[#This Row],[Beginning Balance]]))),0)</f>
        <v>0</v>
      </c>
      <c r="H361" s="3">
        <f>MAX(0,IF(C361=$C$4,D361,ROUND(IF($C$3="Fixed Principal",$C$6-Table1578[[#This Row],[Interest]],IF($C$3="Interest Only",Table1578[[#This Row],[Beginning Balance]]*ROUND(1-(1-IF($C$11="No",$E$8,1))^(1/12),6),MIN(IF($C$13="Yes",Table1578[[#This Row],[Payment Amount (Reamortized)]],$C$6)-Table1578[[#This Row],[Interest]],Table1578[[#This Row],[Beginning Balance]]))),2)))</f>
        <v>0</v>
      </c>
      <c r="I361" s="3">
        <f>_xlfn.SINGLE(IF($C$3="Line of Credit",0,ROUND(MAX(MIN(IF($C$10="No",$E$7,VLOOKUP(Table1578[[#This Row],[Period]],Forecast!$H$2:$L$1048576,4,FALSE))*Table1578[[#This Row],[Beginning Balance]],Table1578[[#This Row],[Beginning Balance]]-Table1578[[#This Row],[Principal]]),0),2)))</f>
        <v>0</v>
      </c>
      <c r="J361" s="3">
        <f>ROUND(MIN(Table1578[[#This Row],[Beginning Balance]]*IF($C$8="No",$E$3,VLOOKUP(Table1578[[#This Row],[Period]],Forecast!$H$2:$L$1048576,2,FALSE)),Table1578[[#This Row],[Beginning Balance]]-Table1578[[#This Row],[Principal]]-Table1578[[#This Row],[Prepayments]]),2)</f>
        <v>0</v>
      </c>
      <c r="K361" s="3">
        <f>ROUND(Table1578[[#This Row],[Defaulted Principal]]*IF($C$9="No",$E$4,VLOOKUP(Table1578[[#This Row],[Period]],Forecast!$H$2:$L$1048576,3,FALSE)),2)</f>
        <v>0</v>
      </c>
      <c r="L361" s="2">
        <f>Table1578[[#This Row],[Period]]+$E$9</f>
        <v>357</v>
      </c>
      <c r="M361" s="3">
        <f>Table1578[[#This Row],[Defaulted Principal]]-Table1578[[#This Row],[Estimated Loss]]</f>
        <v>0</v>
      </c>
      <c r="N361" s="3">
        <f>IFERROR(VLOOKUP(Table1578[[#This Row],[Period]],$L$16:$M$385,2,FALSE),0)</f>
        <v>0</v>
      </c>
      <c r="O361" s="3">
        <f>Table1578[[#This Row],[Beginning Balance]]-Table1578[[#This Row],[Principal]]-Table1578[[#This Row],[Prepayments]]-Table1578[[#This Row],[Defaulted Principal]]</f>
        <v>0</v>
      </c>
      <c r="P361" s="3">
        <f>Table1578[[#This Row],[Principal]]+Table1578[[#This Row],[Interest]]+Table1578[[#This Row],[Prepayments]]+Table1578[[#This Row],[RecoveredAmount]]</f>
        <v>0</v>
      </c>
      <c r="Q361" s="3">
        <f ca="1">ROUND(Table1578[[#This Row],[Cash Flow]]/((1+ActualRateToUse)^(IF(ISNUMBER(SEARCH("Actual",$C$7)),Table1578[[#This Row],[Running Total]]/365,Table1578[[#This Row],[Period]]/12))),2)</f>
        <v>0</v>
      </c>
      <c r="R361" s="2">
        <f>IF(MONTH(Table1578[[#This Row],[Date]])=2,28,DAY(DATE(YEAR(Table1578[[#This Row],[Date]]),MONTH(Table1578[[#This Row],[Date]])+1,1)-1))</f>
        <v>31</v>
      </c>
      <c r="S361" s="2">
        <f ca="1">SUM(OFFSET(Table1578[[#Headers],[Days in month]],1,0):Table1578[[#This Row],[Days in month]])</f>
        <v>10494</v>
      </c>
      <c r="T361" s="37">
        <f>InterestRate*AmortizationMultiplier*IF(ISNUMBER(SEARCH("Actual",$C$7)),Table1578[[#This Row],[Days in month]]/365,1/12)</f>
        <v>6.2344444444444444E-3</v>
      </c>
    </row>
    <row r="362" spans="2:20" x14ac:dyDescent="0.2">
      <c r="B362" s="1">
        <f t="shared" si="18"/>
        <v>56369</v>
      </c>
      <c r="C362" s="2">
        <f t="shared" si="20"/>
        <v>346</v>
      </c>
      <c r="D362" s="3">
        <f t="shared" si="19"/>
        <v>0</v>
      </c>
      <c r="E362" s="3">
        <f>ROUND(Table1578[[#This Row],[Beginning Balance]]*Table1578[[#This Row],[Monthly Interest Rate]],2)</f>
        <v>0</v>
      </c>
      <c r="F362" s="3">
        <f t="shared" si="21"/>
        <v>-343</v>
      </c>
      <c r="G362" s="23">
        <f>IFERROR(IF($C$13="No","N/A",IF(Table1578[[#This Row],[Period]]=1,$C$6,PMT(InterestRate*AmortizationMultiplier/12,Table1578[[#This Row],[Am Thru]],-Table1578[[#This Row],[Beginning Balance]]))),0)</f>
        <v>0</v>
      </c>
      <c r="H362" s="3">
        <f>MAX(0,IF(C362=$C$4,D362,ROUND(IF($C$3="Fixed Principal",$C$6-Table1578[[#This Row],[Interest]],IF($C$3="Interest Only",Table1578[[#This Row],[Beginning Balance]]*ROUND(1-(1-IF($C$11="No",$E$8,1))^(1/12),6),MIN(IF($C$13="Yes",Table1578[[#This Row],[Payment Amount (Reamortized)]],$C$6)-Table1578[[#This Row],[Interest]],Table1578[[#This Row],[Beginning Balance]]))),2)))</f>
        <v>0</v>
      </c>
      <c r="I362" s="3">
        <f>_xlfn.SINGLE(IF($C$3="Line of Credit",0,ROUND(MAX(MIN(IF($C$10="No",$E$7,VLOOKUP(Table1578[[#This Row],[Period]],Forecast!$H$2:$L$1048576,4,FALSE))*Table1578[[#This Row],[Beginning Balance]],Table1578[[#This Row],[Beginning Balance]]-Table1578[[#This Row],[Principal]]),0),2)))</f>
        <v>0</v>
      </c>
      <c r="J362" s="3">
        <f>ROUND(MIN(Table1578[[#This Row],[Beginning Balance]]*IF($C$8="No",$E$3,VLOOKUP(Table1578[[#This Row],[Period]],Forecast!$H$2:$L$1048576,2,FALSE)),Table1578[[#This Row],[Beginning Balance]]-Table1578[[#This Row],[Principal]]-Table1578[[#This Row],[Prepayments]]),2)</f>
        <v>0</v>
      </c>
      <c r="K362" s="3">
        <f>ROUND(Table1578[[#This Row],[Defaulted Principal]]*IF($C$9="No",$E$4,VLOOKUP(Table1578[[#This Row],[Period]],Forecast!$H$2:$L$1048576,3,FALSE)),2)</f>
        <v>0</v>
      </c>
      <c r="L362" s="2">
        <f>Table1578[[#This Row],[Period]]+$E$9</f>
        <v>358</v>
      </c>
      <c r="M362" s="3">
        <f>Table1578[[#This Row],[Defaulted Principal]]-Table1578[[#This Row],[Estimated Loss]]</f>
        <v>0</v>
      </c>
      <c r="N362" s="3">
        <f>IFERROR(VLOOKUP(Table1578[[#This Row],[Period]],$L$16:$M$385,2,FALSE),0)</f>
        <v>0</v>
      </c>
      <c r="O362" s="3">
        <f>Table1578[[#This Row],[Beginning Balance]]-Table1578[[#This Row],[Principal]]-Table1578[[#This Row],[Prepayments]]-Table1578[[#This Row],[Defaulted Principal]]</f>
        <v>0</v>
      </c>
      <c r="P362" s="3">
        <f>Table1578[[#This Row],[Principal]]+Table1578[[#This Row],[Interest]]+Table1578[[#This Row],[Prepayments]]+Table1578[[#This Row],[RecoveredAmount]]</f>
        <v>0</v>
      </c>
      <c r="Q362" s="3">
        <f ca="1">ROUND(Table1578[[#This Row],[Cash Flow]]/((1+ActualRateToUse)^(IF(ISNUMBER(SEARCH("Actual",$C$7)),Table1578[[#This Row],[Running Total]]/365,Table1578[[#This Row],[Period]]/12))),2)</f>
        <v>0</v>
      </c>
      <c r="R362" s="2">
        <f>IF(MONTH(Table1578[[#This Row],[Date]])=2,28,DAY(DATE(YEAR(Table1578[[#This Row],[Date]]),MONTH(Table1578[[#This Row],[Date]])+1,1)-1))</f>
        <v>30</v>
      </c>
      <c r="S362" s="2">
        <f ca="1">SUM(OFFSET(Table1578[[#Headers],[Days in month]],1,0):Table1578[[#This Row],[Days in month]])</f>
        <v>10524</v>
      </c>
      <c r="T362" s="37">
        <f>InterestRate*AmortizationMultiplier*IF(ISNUMBER(SEARCH("Actual",$C$7)),Table1578[[#This Row],[Days in month]]/365,1/12)</f>
        <v>6.0333333333333333E-3</v>
      </c>
    </row>
    <row r="363" spans="2:20" x14ac:dyDescent="0.2">
      <c r="B363" s="1">
        <f t="shared" si="18"/>
        <v>56400</v>
      </c>
      <c r="C363" s="2">
        <f t="shared" si="20"/>
        <v>347</v>
      </c>
      <c r="D363" s="3">
        <f t="shared" si="19"/>
        <v>0</v>
      </c>
      <c r="E363" s="3">
        <f>ROUND(Table1578[[#This Row],[Beginning Balance]]*Table1578[[#This Row],[Monthly Interest Rate]],2)</f>
        <v>0</v>
      </c>
      <c r="F363" s="3">
        <f t="shared" si="21"/>
        <v>-344</v>
      </c>
      <c r="G363" s="23">
        <f>IFERROR(IF($C$13="No","N/A",IF(Table1578[[#This Row],[Period]]=1,$C$6,PMT(InterestRate*AmortizationMultiplier/12,Table1578[[#This Row],[Am Thru]],-Table1578[[#This Row],[Beginning Balance]]))),0)</f>
        <v>0</v>
      </c>
      <c r="H363" s="3">
        <f>MAX(0,IF(C363=$C$4,D363,ROUND(IF($C$3="Fixed Principal",$C$6-Table1578[[#This Row],[Interest]],IF($C$3="Interest Only",Table1578[[#This Row],[Beginning Balance]]*ROUND(1-(1-IF($C$11="No",$E$8,1))^(1/12),6),MIN(IF($C$13="Yes",Table1578[[#This Row],[Payment Amount (Reamortized)]],$C$6)-Table1578[[#This Row],[Interest]],Table1578[[#This Row],[Beginning Balance]]))),2)))</f>
        <v>0</v>
      </c>
      <c r="I363" s="3">
        <f>_xlfn.SINGLE(IF($C$3="Line of Credit",0,ROUND(MAX(MIN(IF($C$10="No",$E$7,VLOOKUP(Table1578[[#This Row],[Period]],Forecast!$H$2:$L$1048576,4,FALSE))*Table1578[[#This Row],[Beginning Balance]],Table1578[[#This Row],[Beginning Balance]]-Table1578[[#This Row],[Principal]]),0),2)))</f>
        <v>0</v>
      </c>
      <c r="J363" s="3">
        <f>ROUND(MIN(Table1578[[#This Row],[Beginning Balance]]*IF($C$8="No",$E$3,VLOOKUP(Table1578[[#This Row],[Period]],Forecast!$H$2:$L$1048576,2,FALSE)),Table1578[[#This Row],[Beginning Balance]]-Table1578[[#This Row],[Principal]]-Table1578[[#This Row],[Prepayments]]),2)</f>
        <v>0</v>
      </c>
      <c r="K363" s="3">
        <f>ROUND(Table1578[[#This Row],[Defaulted Principal]]*IF($C$9="No",$E$4,VLOOKUP(Table1578[[#This Row],[Period]],Forecast!$H$2:$L$1048576,3,FALSE)),2)</f>
        <v>0</v>
      </c>
      <c r="L363" s="2">
        <f>Table1578[[#This Row],[Period]]+$E$9</f>
        <v>359</v>
      </c>
      <c r="M363" s="3">
        <f>Table1578[[#This Row],[Defaulted Principal]]-Table1578[[#This Row],[Estimated Loss]]</f>
        <v>0</v>
      </c>
      <c r="N363" s="3">
        <f>IFERROR(VLOOKUP(Table1578[[#This Row],[Period]],$L$16:$M$385,2,FALSE),0)</f>
        <v>0</v>
      </c>
      <c r="O363" s="3">
        <f>Table1578[[#This Row],[Beginning Balance]]-Table1578[[#This Row],[Principal]]-Table1578[[#This Row],[Prepayments]]-Table1578[[#This Row],[Defaulted Principal]]</f>
        <v>0</v>
      </c>
      <c r="P363" s="3">
        <f>Table1578[[#This Row],[Principal]]+Table1578[[#This Row],[Interest]]+Table1578[[#This Row],[Prepayments]]+Table1578[[#This Row],[RecoveredAmount]]</f>
        <v>0</v>
      </c>
      <c r="Q363" s="3">
        <f ca="1">ROUND(Table1578[[#This Row],[Cash Flow]]/((1+ActualRateToUse)^(IF(ISNUMBER(SEARCH("Actual",$C$7)),Table1578[[#This Row],[Running Total]]/365,Table1578[[#This Row],[Period]]/12))),2)</f>
        <v>0</v>
      </c>
      <c r="R363" s="2">
        <f>IF(MONTH(Table1578[[#This Row],[Date]])=2,28,DAY(DATE(YEAR(Table1578[[#This Row],[Date]]),MONTH(Table1578[[#This Row],[Date]])+1,1)-1))</f>
        <v>31</v>
      </c>
      <c r="S363" s="2">
        <f ca="1">SUM(OFFSET(Table1578[[#Headers],[Days in month]],1,0):Table1578[[#This Row],[Days in month]])</f>
        <v>10555</v>
      </c>
      <c r="T363" s="37">
        <f>InterestRate*AmortizationMultiplier*IF(ISNUMBER(SEARCH("Actual",$C$7)),Table1578[[#This Row],[Days in month]]/365,1/12)</f>
        <v>6.2344444444444444E-3</v>
      </c>
    </row>
    <row r="364" spans="2:20" x14ac:dyDescent="0.2">
      <c r="B364" s="1">
        <f t="shared" si="18"/>
        <v>56430</v>
      </c>
      <c r="C364" s="2">
        <f t="shared" si="20"/>
        <v>348</v>
      </c>
      <c r="D364" s="3">
        <f t="shared" si="19"/>
        <v>0</v>
      </c>
      <c r="E364" s="3">
        <f>ROUND(Table1578[[#This Row],[Beginning Balance]]*Table1578[[#This Row],[Monthly Interest Rate]],2)</f>
        <v>0</v>
      </c>
      <c r="F364" s="3">
        <f t="shared" si="21"/>
        <v>-345</v>
      </c>
      <c r="G364" s="23">
        <f>IFERROR(IF($C$13="No","N/A",IF(Table1578[[#This Row],[Period]]=1,$C$6,PMT(InterestRate*AmortizationMultiplier/12,Table1578[[#This Row],[Am Thru]],-Table1578[[#This Row],[Beginning Balance]]))),0)</f>
        <v>0</v>
      </c>
      <c r="H364" s="3">
        <f>MAX(0,IF(C364=$C$4,D364,ROUND(IF($C$3="Fixed Principal",$C$6-Table1578[[#This Row],[Interest]],IF($C$3="Interest Only",Table1578[[#This Row],[Beginning Balance]]*ROUND(1-(1-IF($C$11="No",$E$8,1))^(1/12),6),MIN(IF($C$13="Yes",Table1578[[#This Row],[Payment Amount (Reamortized)]],$C$6)-Table1578[[#This Row],[Interest]],Table1578[[#This Row],[Beginning Balance]]))),2)))</f>
        <v>0</v>
      </c>
      <c r="I364" s="3">
        <f>_xlfn.SINGLE(IF($C$3="Line of Credit",0,ROUND(MAX(MIN(IF($C$10="No",$E$7,VLOOKUP(Table1578[[#This Row],[Period]],Forecast!$H$2:$L$1048576,4,FALSE))*Table1578[[#This Row],[Beginning Balance]],Table1578[[#This Row],[Beginning Balance]]-Table1578[[#This Row],[Principal]]),0),2)))</f>
        <v>0</v>
      </c>
      <c r="J364" s="3">
        <f>ROUND(MIN(Table1578[[#This Row],[Beginning Balance]]*IF($C$8="No",$E$3,VLOOKUP(Table1578[[#This Row],[Period]],Forecast!$H$2:$L$1048576,2,FALSE)),Table1578[[#This Row],[Beginning Balance]]-Table1578[[#This Row],[Principal]]-Table1578[[#This Row],[Prepayments]]),2)</f>
        <v>0</v>
      </c>
      <c r="K364" s="3">
        <f>ROUND(Table1578[[#This Row],[Defaulted Principal]]*IF($C$9="No",$E$4,VLOOKUP(Table1578[[#This Row],[Period]],Forecast!$H$2:$L$1048576,3,FALSE)),2)</f>
        <v>0</v>
      </c>
      <c r="L364" s="2">
        <f>Table1578[[#This Row],[Period]]+$E$9</f>
        <v>360</v>
      </c>
      <c r="M364" s="3">
        <f>Table1578[[#This Row],[Defaulted Principal]]-Table1578[[#This Row],[Estimated Loss]]</f>
        <v>0</v>
      </c>
      <c r="N364" s="3">
        <f>IFERROR(VLOOKUP(Table1578[[#This Row],[Period]],$L$16:$M$385,2,FALSE),0)</f>
        <v>0</v>
      </c>
      <c r="O364" s="3">
        <f>Table1578[[#This Row],[Beginning Balance]]-Table1578[[#This Row],[Principal]]-Table1578[[#This Row],[Prepayments]]-Table1578[[#This Row],[Defaulted Principal]]</f>
        <v>0</v>
      </c>
      <c r="P364" s="3">
        <f>Table1578[[#This Row],[Principal]]+Table1578[[#This Row],[Interest]]+Table1578[[#This Row],[Prepayments]]+Table1578[[#This Row],[RecoveredAmount]]</f>
        <v>0</v>
      </c>
      <c r="Q364" s="3">
        <f ca="1">ROUND(Table1578[[#This Row],[Cash Flow]]/((1+ActualRateToUse)^(IF(ISNUMBER(SEARCH("Actual",$C$7)),Table1578[[#This Row],[Running Total]]/365,Table1578[[#This Row],[Period]]/12))),2)</f>
        <v>0</v>
      </c>
      <c r="R364" s="2">
        <f>IF(MONTH(Table1578[[#This Row],[Date]])=2,28,DAY(DATE(YEAR(Table1578[[#This Row],[Date]]),MONTH(Table1578[[#This Row],[Date]])+1,1)-1))</f>
        <v>30</v>
      </c>
      <c r="S364" s="2">
        <f ca="1">SUM(OFFSET(Table1578[[#Headers],[Days in month]],1,0):Table1578[[#This Row],[Days in month]])</f>
        <v>10585</v>
      </c>
      <c r="T364" s="37">
        <f>InterestRate*AmortizationMultiplier*IF(ISNUMBER(SEARCH("Actual",$C$7)),Table1578[[#This Row],[Days in month]]/365,1/12)</f>
        <v>6.0333333333333333E-3</v>
      </c>
    </row>
    <row r="365" spans="2:20" x14ac:dyDescent="0.2">
      <c r="B365" s="1">
        <f t="shared" si="18"/>
        <v>56461</v>
      </c>
      <c r="C365" s="2">
        <f t="shared" si="20"/>
        <v>349</v>
      </c>
      <c r="D365" s="3">
        <f t="shared" si="19"/>
        <v>0</v>
      </c>
      <c r="E365" s="3">
        <f>ROUND(Table1578[[#This Row],[Beginning Balance]]*Table1578[[#This Row],[Monthly Interest Rate]],2)</f>
        <v>0</v>
      </c>
      <c r="F365" s="3">
        <f t="shared" si="21"/>
        <v>-346</v>
      </c>
      <c r="G365" s="23">
        <f>IFERROR(IF($C$13="No","N/A",IF(Table1578[[#This Row],[Period]]=1,$C$6,PMT(InterestRate*AmortizationMultiplier/12,Table1578[[#This Row],[Am Thru]],-Table1578[[#This Row],[Beginning Balance]]))),0)</f>
        <v>0</v>
      </c>
      <c r="H365" s="3">
        <f>MAX(0,IF(C365=$C$4,D365,ROUND(IF($C$3="Fixed Principal",$C$6-Table1578[[#This Row],[Interest]],IF($C$3="Interest Only",Table1578[[#This Row],[Beginning Balance]]*ROUND(1-(1-IF($C$11="No",$E$8,1))^(1/12),6),MIN(IF($C$13="Yes",Table1578[[#This Row],[Payment Amount (Reamortized)]],$C$6)-Table1578[[#This Row],[Interest]],Table1578[[#This Row],[Beginning Balance]]))),2)))</f>
        <v>0</v>
      </c>
      <c r="I365" s="3">
        <f>_xlfn.SINGLE(IF($C$3="Line of Credit",0,ROUND(MAX(MIN(IF($C$10="No",$E$7,VLOOKUP(Table1578[[#This Row],[Period]],Forecast!$H$2:$L$1048576,4,FALSE))*Table1578[[#This Row],[Beginning Balance]],Table1578[[#This Row],[Beginning Balance]]-Table1578[[#This Row],[Principal]]),0),2)))</f>
        <v>0</v>
      </c>
      <c r="J365" s="3">
        <f>ROUND(MIN(Table1578[[#This Row],[Beginning Balance]]*IF($C$8="No",$E$3,VLOOKUP(Table1578[[#This Row],[Period]],Forecast!$H$2:$L$1048576,2,FALSE)),Table1578[[#This Row],[Beginning Balance]]-Table1578[[#This Row],[Principal]]-Table1578[[#This Row],[Prepayments]]),2)</f>
        <v>0</v>
      </c>
      <c r="K365" s="3">
        <f>ROUND(Table1578[[#This Row],[Defaulted Principal]]*IF($C$9="No",$E$4,VLOOKUP(Table1578[[#This Row],[Period]],Forecast!$H$2:$L$1048576,3,FALSE)),2)</f>
        <v>0</v>
      </c>
      <c r="L365" s="2">
        <f>Table1578[[#This Row],[Period]]+$E$9</f>
        <v>361</v>
      </c>
      <c r="M365" s="3">
        <f>Table1578[[#This Row],[Defaulted Principal]]-Table1578[[#This Row],[Estimated Loss]]</f>
        <v>0</v>
      </c>
      <c r="N365" s="3">
        <f>IFERROR(VLOOKUP(Table1578[[#This Row],[Period]],$L$16:$M$385,2,FALSE),0)</f>
        <v>0</v>
      </c>
      <c r="O365" s="3">
        <f>Table1578[[#This Row],[Beginning Balance]]-Table1578[[#This Row],[Principal]]-Table1578[[#This Row],[Prepayments]]-Table1578[[#This Row],[Defaulted Principal]]</f>
        <v>0</v>
      </c>
      <c r="P365" s="3">
        <f>Table1578[[#This Row],[Principal]]+Table1578[[#This Row],[Interest]]+Table1578[[#This Row],[Prepayments]]+Table1578[[#This Row],[RecoveredAmount]]</f>
        <v>0</v>
      </c>
      <c r="Q365" s="3">
        <f ca="1">ROUND(Table1578[[#This Row],[Cash Flow]]/((1+ActualRateToUse)^(IF(ISNUMBER(SEARCH("Actual",$C$7)),Table1578[[#This Row],[Running Total]]/365,Table1578[[#This Row],[Period]]/12))),2)</f>
        <v>0</v>
      </c>
      <c r="R365" s="2">
        <f>IF(MONTH(Table1578[[#This Row],[Date]])=2,28,DAY(DATE(YEAR(Table1578[[#This Row],[Date]]),MONTH(Table1578[[#This Row],[Date]])+1,1)-1))</f>
        <v>31</v>
      </c>
      <c r="S365" s="2">
        <f ca="1">SUM(OFFSET(Table1578[[#Headers],[Days in month]],1,0):Table1578[[#This Row],[Days in month]])</f>
        <v>10616</v>
      </c>
      <c r="T365" s="37">
        <f>InterestRate*AmortizationMultiplier*IF(ISNUMBER(SEARCH("Actual",$C$7)),Table1578[[#This Row],[Days in month]]/365,1/12)</f>
        <v>6.2344444444444444E-3</v>
      </c>
    </row>
    <row r="366" spans="2:20" x14ac:dyDescent="0.2">
      <c r="B366" s="1">
        <f t="shared" si="18"/>
        <v>56492</v>
      </c>
      <c r="C366" s="2">
        <f t="shared" si="20"/>
        <v>350</v>
      </c>
      <c r="D366" s="3">
        <f t="shared" si="19"/>
        <v>0</v>
      </c>
      <c r="E366" s="3">
        <f>ROUND(Table1578[[#This Row],[Beginning Balance]]*Table1578[[#This Row],[Monthly Interest Rate]],2)</f>
        <v>0</v>
      </c>
      <c r="F366" s="3">
        <f t="shared" si="21"/>
        <v>-347</v>
      </c>
      <c r="G366" s="23">
        <f>IFERROR(IF($C$13="No","N/A",IF(Table1578[[#This Row],[Period]]=1,$C$6,PMT(InterestRate*AmortizationMultiplier/12,Table1578[[#This Row],[Am Thru]],-Table1578[[#This Row],[Beginning Balance]]))),0)</f>
        <v>0</v>
      </c>
      <c r="H366" s="3">
        <f>MAX(0,IF(C366=$C$4,D366,ROUND(IF($C$3="Fixed Principal",$C$6-Table1578[[#This Row],[Interest]],IF($C$3="Interest Only",Table1578[[#This Row],[Beginning Balance]]*ROUND(1-(1-IF($C$11="No",$E$8,1))^(1/12),6),MIN(IF($C$13="Yes",Table1578[[#This Row],[Payment Amount (Reamortized)]],$C$6)-Table1578[[#This Row],[Interest]],Table1578[[#This Row],[Beginning Balance]]))),2)))</f>
        <v>0</v>
      </c>
      <c r="I366" s="3">
        <f>_xlfn.SINGLE(IF($C$3="Line of Credit",0,ROUND(MAX(MIN(IF($C$10="No",$E$7,VLOOKUP(Table1578[[#This Row],[Period]],Forecast!$H$2:$L$1048576,4,FALSE))*Table1578[[#This Row],[Beginning Balance]],Table1578[[#This Row],[Beginning Balance]]-Table1578[[#This Row],[Principal]]),0),2)))</f>
        <v>0</v>
      </c>
      <c r="J366" s="3">
        <f>ROUND(MIN(Table1578[[#This Row],[Beginning Balance]]*IF($C$8="No",$E$3,VLOOKUP(Table1578[[#This Row],[Period]],Forecast!$H$2:$L$1048576,2,FALSE)),Table1578[[#This Row],[Beginning Balance]]-Table1578[[#This Row],[Principal]]-Table1578[[#This Row],[Prepayments]]),2)</f>
        <v>0</v>
      </c>
      <c r="K366" s="3">
        <f>ROUND(Table1578[[#This Row],[Defaulted Principal]]*IF($C$9="No",$E$4,VLOOKUP(Table1578[[#This Row],[Period]],Forecast!$H$2:$L$1048576,3,FALSE)),2)</f>
        <v>0</v>
      </c>
      <c r="L366" s="2">
        <f>Table1578[[#This Row],[Period]]+$E$9</f>
        <v>362</v>
      </c>
      <c r="M366" s="3">
        <f>Table1578[[#This Row],[Defaulted Principal]]-Table1578[[#This Row],[Estimated Loss]]</f>
        <v>0</v>
      </c>
      <c r="N366" s="3">
        <f>IFERROR(VLOOKUP(Table1578[[#This Row],[Period]],$L$16:$M$385,2,FALSE),0)</f>
        <v>0</v>
      </c>
      <c r="O366" s="3">
        <f>Table1578[[#This Row],[Beginning Balance]]-Table1578[[#This Row],[Principal]]-Table1578[[#This Row],[Prepayments]]-Table1578[[#This Row],[Defaulted Principal]]</f>
        <v>0</v>
      </c>
      <c r="P366" s="3">
        <f>Table1578[[#This Row],[Principal]]+Table1578[[#This Row],[Interest]]+Table1578[[#This Row],[Prepayments]]+Table1578[[#This Row],[RecoveredAmount]]</f>
        <v>0</v>
      </c>
      <c r="Q366" s="3">
        <f ca="1">ROUND(Table1578[[#This Row],[Cash Flow]]/((1+ActualRateToUse)^(IF(ISNUMBER(SEARCH("Actual",$C$7)),Table1578[[#This Row],[Running Total]]/365,Table1578[[#This Row],[Period]]/12))),2)</f>
        <v>0</v>
      </c>
      <c r="R366" s="2">
        <f>IF(MONTH(Table1578[[#This Row],[Date]])=2,28,DAY(DATE(YEAR(Table1578[[#This Row],[Date]]),MONTH(Table1578[[#This Row],[Date]])+1,1)-1))</f>
        <v>31</v>
      </c>
      <c r="S366" s="2">
        <f ca="1">SUM(OFFSET(Table1578[[#Headers],[Days in month]],1,0):Table1578[[#This Row],[Days in month]])</f>
        <v>10647</v>
      </c>
      <c r="T366" s="37">
        <f>InterestRate*AmortizationMultiplier*IF(ISNUMBER(SEARCH("Actual",$C$7)),Table1578[[#This Row],[Days in month]]/365,1/12)</f>
        <v>6.2344444444444444E-3</v>
      </c>
    </row>
    <row r="367" spans="2:20" x14ac:dyDescent="0.2">
      <c r="B367" s="1">
        <f t="shared" si="18"/>
        <v>56522</v>
      </c>
      <c r="C367" s="2">
        <f t="shared" si="20"/>
        <v>351</v>
      </c>
      <c r="D367" s="3">
        <f t="shared" si="19"/>
        <v>0</v>
      </c>
      <c r="E367" s="3">
        <f>ROUND(Table1578[[#This Row],[Beginning Balance]]*Table1578[[#This Row],[Monthly Interest Rate]],2)</f>
        <v>0</v>
      </c>
      <c r="F367" s="3">
        <f t="shared" si="21"/>
        <v>-348</v>
      </c>
      <c r="G367" s="23">
        <f>IFERROR(IF($C$13="No","N/A",IF(Table1578[[#This Row],[Period]]=1,$C$6,PMT(InterestRate*AmortizationMultiplier/12,Table1578[[#This Row],[Am Thru]],-Table1578[[#This Row],[Beginning Balance]]))),0)</f>
        <v>0</v>
      </c>
      <c r="H367" s="3">
        <f>MAX(0,IF(C367=$C$4,D367,ROUND(IF($C$3="Fixed Principal",$C$6-Table1578[[#This Row],[Interest]],IF($C$3="Interest Only",Table1578[[#This Row],[Beginning Balance]]*ROUND(1-(1-IF($C$11="No",$E$8,1))^(1/12),6),MIN(IF($C$13="Yes",Table1578[[#This Row],[Payment Amount (Reamortized)]],$C$6)-Table1578[[#This Row],[Interest]],Table1578[[#This Row],[Beginning Balance]]))),2)))</f>
        <v>0</v>
      </c>
      <c r="I367" s="3">
        <f>_xlfn.SINGLE(IF($C$3="Line of Credit",0,ROUND(MAX(MIN(IF($C$10="No",$E$7,VLOOKUP(Table1578[[#This Row],[Period]],Forecast!$H$2:$L$1048576,4,FALSE))*Table1578[[#This Row],[Beginning Balance]],Table1578[[#This Row],[Beginning Balance]]-Table1578[[#This Row],[Principal]]),0),2)))</f>
        <v>0</v>
      </c>
      <c r="J367" s="3">
        <f>ROUND(MIN(Table1578[[#This Row],[Beginning Balance]]*IF($C$8="No",$E$3,VLOOKUP(Table1578[[#This Row],[Period]],Forecast!$H$2:$L$1048576,2,FALSE)),Table1578[[#This Row],[Beginning Balance]]-Table1578[[#This Row],[Principal]]-Table1578[[#This Row],[Prepayments]]),2)</f>
        <v>0</v>
      </c>
      <c r="K367" s="3">
        <f>ROUND(Table1578[[#This Row],[Defaulted Principal]]*IF($C$9="No",$E$4,VLOOKUP(Table1578[[#This Row],[Period]],Forecast!$H$2:$L$1048576,3,FALSE)),2)</f>
        <v>0</v>
      </c>
      <c r="L367" s="2">
        <f>Table1578[[#This Row],[Period]]+$E$9</f>
        <v>363</v>
      </c>
      <c r="M367" s="3">
        <f>Table1578[[#This Row],[Defaulted Principal]]-Table1578[[#This Row],[Estimated Loss]]</f>
        <v>0</v>
      </c>
      <c r="N367" s="3">
        <f>IFERROR(VLOOKUP(Table1578[[#This Row],[Period]],$L$16:$M$385,2,FALSE),0)</f>
        <v>0</v>
      </c>
      <c r="O367" s="3">
        <f>Table1578[[#This Row],[Beginning Balance]]-Table1578[[#This Row],[Principal]]-Table1578[[#This Row],[Prepayments]]-Table1578[[#This Row],[Defaulted Principal]]</f>
        <v>0</v>
      </c>
      <c r="P367" s="3">
        <f>Table1578[[#This Row],[Principal]]+Table1578[[#This Row],[Interest]]+Table1578[[#This Row],[Prepayments]]+Table1578[[#This Row],[RecoveredAmount]]</f>
        <v>0</v>
      </c>
      <c r="Q367" s="3">
        <f ca="1">ROUND(Table1578[[#This Row],[Cash Flow]]/((1+ActualRateToUse)^(IF(ISNUMBER(SEARCH("Actual",$C$7)),Table1578[[#This Row],[Running Total]]/365,Table1578[[#This Row],[Period]]/12))),2)</f>
        <v>0</v>
      </c>
      <c r="R367" s="2">
        <f>IF(MONTH(Table1578[[#This Row],[Date]])=2,28,DAY(DATE(YEAR(Table1578[[#This Row],[Date]]),MONTH(Table1578[[#This Row],[Date]])+1,1)-1))</f>
        <v>30</v>
      </c>
      <c r="S367" s="2">
        <f ca="1">SUM(OFFSET(Table1578[[#Headers],[Days in month]],1,0):Table1578[[#This Row],[Days in month]])</f>
        <v>10677</v>
      </c>
      <c r="T367" s="37">
        <f>InterestRate*AmortizationMultiplier*IF(ISNUMBER(SEARCH("Actual",$C$7)),Table1578[[#This Row],[Days in month]]/365,1/12)</f>
        <v>6.0333333333333333E-3</v>
      </c>
    </row>
    <row r="368" spans="2:20" x14ac:dyDescent="0.2">
      <c r="B368" s="1">
        <f t="shared" si="18"/>
        <v>56553</v>
      </c>
      <c r="C368" s="2">
        <f t="shared" si="20"/>
        <v>352</v>
      </c>
      <c r="D368" s="3">
        <f>O367</f>
        <v>0</v>
      </c>
      <c r="E368" s="3">
        <f>ROUND(Table1578[[#This Row],[Beginning Balance]]*Table1578[[#This Row],[Monthly Interest Rate]],2)</f>
        <v>0</v>
      </c>
      <c r="F368" s="3">
        <f>+F367-1</f>
        <v>-349</v>
      </c>
      <c r="G368" s="23">
        <f>IFERROR(IF($C$13="No","N/A",IF(Table1578[[#This Row],[Period]]=1,$C$6,PMT(InterestRate*AmortizationMultiplier/12,Table1578[[#This Row],[Am Thru]],-Table1578[[#This Row],[Beginning Balance]]))),0)</f>
        <v>0</v>
      </c>
      <c r="H368" s="3">
        <f>MAX(0,IF(C368=$C$4,D368,ROUND(IF($C$3="Fixed Principal",$C$6-Table1578[[#This Row],[Interest]],IF($C$3="Interest Only",Table1578[[#This Row],[Beginning Balance]]*ROUND(1-(1-IF($C$11="No",$E$8,1))^(1/12),6),MIN(IF($C$13="Yes",Table1578[[#This Row],[Payment Amount (Reamortized)]],$C$6)-Table1578[[#This Row],[Interest]],Table1578[[#This Row],[Beginning Balance]]))),2)))</f>
        <v>0</v>
      </c>
      <c r="I368" s="3">
        <f>_xlfn.SINGLE(IF($C$3="Line of Credit",0,ROUND(MAX(MIN(IF($C$10="No",$E$7,VLOOKUP(Table1578[[#This Row],[Period]],Forecast!$H$2:$L$1048576,4,FALSE))*Table1578[[#This Row],[Beginning Balance]],Table1578[[#This Row],[Beginning Balance]]-Table1578[[#This Row],[Principal]]),0),2)))</f>
        <v>0</v>
      </c>
      <c r="J368" s="3">
        <f>ROUND(MIN(Table1578[[#This Row],[Beginning Balance]]*IF($C$8="No",$E$3,VLOOKUP(Table1578[[#This Row],[Period]],Forecast!$H$2:$L$1048576,2,FALSE)),Table1578[[#This Row],[Beginning Balance]]-Table1578[[#This Row],[Principal]]-Table1578[[#This Row],[Prepayments]]),2)</f>
        <v>0</v>
      </c>
      <c r="K368" s="3">
        <f>ROUND(Table1578[[#This Row],[Defaulted Principal]]*IF($C$9="No",$E$4,VLOOKUP(Table1578[[#This Row],[Period]],Forecast!$H$2:$L$1048576,3,FALSE)),2)</f>
        <v>0</v>
      </c>
      <c r="L368" s="2">
        <f>Table1578[[#This Row],[Period]]+$E$9</f>
        <v>364</v>
      </c>
      <c r="M368" s="3">
        <f>Table1578[[#This Row],[Defaulted Principal]]-Table1578[[#This Row],[Estimated Loss]]</f>
        <v>0</v>
      </c>
      <c r="N368" s="3">
        <f>IFERROR(VLOOKUP(Table1578[[#This Row],[Period]],$L$16:$M$385,2,FALSE),0)</f>
        <v>0</v>
      </c>
      <c r="O368" s="3">
        <f>Table1578[[#This Row],[Beginning Balance]]-Table1578[[#This Row],[Principal]]-Table1578[[#This Row],[Prepayments]]-Table1578[[#This Row],[Defaulted Principal]]</f>
        <v>0</v>
      </c>
      <c r="P368" s="3">
        <f>Table1578[[#This Row],[Principal]]+Table1578[[#This Row],[Interest]]+Table1578[[#This Row],[Prepayments]]+Table1578[[#This Row],[RecoveredAmount]]</f>
        <v>0</v>
      </c>
      <c r="Q368" s="3">
        <f ca="1">ROUND(Table1578[[#This Row],[Cash Flow]]/((1+ActualRateToUse)^(IF(ISNUMBER(SEARCH("Actual",$C$7)),Table1578[[#This Row],[Running Total]]/365,Table1578[[#This Row],[Period]]/12))),2)</f>
        <v>0</v>
      </c>
      <c r="R368" s="2">
        <f>IF(MONTH(Table1578[[#This Row],[Date]])=2,28,DAY(DATE(YEAR(Table1578[[#This Row],[Date]]),MONTH(Table1578[[#This Row],[Date]])+1,1)-1))</f>
        <v>31</v>
      </c>
      <c r="S368" s="2">
        <f ca="1">SUM(OFFSET(Table1578[[#Headers],[Days in month]],1,0):Table1578[[#This Row],[Days in month]])</f>
        <v>10708</v>
      </c>
      <c r="T368" s="37">
        <f>InterestRate*AmortizationMultiplier*IF(ISNUMBER(SEARCH("Actual",$C$7)),Table1578[[#This Row],[Days in month]]/365,1/12)</f>
        <v>6.2344444444444444E-3</v>
      </c>
    </row>
    <row r="369" spans="2:20" x14ac:dyDescent="0.2">
      <c r="B369" s="1">
        <f t="shared" si="18"/>
        <v>56583</v>
      </c>
      <c r="C369" s="2">
        <f t="shared" si="20"/>
        <v>353</v>
      </c>
      <c r="D369" s="3">
        <f t="shared" si="19"/>
        <v>0</v>
      </c>
      <c r="E369" s="3">
        <f>ROUND(Table1578[[#This Row],[Beginning Balance]]*Table1578[[#This Row],[Monthly Interest Rate]],2)</f>
        <v>0</v>
      </c>
      <c r="F369" s="3">
        <f t="shared" si="21"/>
        <v>-350</v>
      </c>
      <c r="G369" s="23">
        <f>IFERROR(IF($C$13="No","N/A",IF(Table1578[[#This Row],[Period]]=1,$C$6,PMT(InterestRate*AmortizationMultiplier/12,Table1578[[#This Row],[Am Thru]],-Table1578[[#This Row],[Beginning Balance]]))),0)</f>
        <v>0</v>
      </c>
      <c r="H369" s="3">
        <f>MAX(0,IF(C369=$C$4,D369,ROUND(IF($C$3="Fixed Principal",$C$6-Table1578[[#This Row],[Interest]],IF($C$3="Interest Only",Table1578[[#This Row],[Beginning Balance]]*ROUND(1-(1-IF($C$11="No",$E$8,1))^(1/12),6),MIN(IF($C$13="Yes",Table1578[[#This Row],[Payment Amount (Reamortized)]],$C$6)-Table1578[[#This Row],[Interest]],Table1578[[#This Row],[Beginning Balance]]))),2)))</f>
        <v>0</v>
      </c>
      <c r="I369" s="3">
        <f>_xlfn.SINGLE(IF($C$3="Line of Credit",0,ROUND(MAX(MIN(IF($C$10="No",$E$7,VLOOKUP(Table1578[[#This Row],[Period]],Forecast!$H$2:$L$1048576,4,FALSE))*Table1578[[#This Row],[Beginning Balance]],Table1578[[#This Row],[Beginning Balance]]-Table1578[[#This Row],[Principal]]),0),2)))</f>
        <v>0</v>
      </c>
      <c r="J369" s="3">
        <f>ROUND(MIN(Table1578[[#This Row],[Beginning Balance]]*IF($C$8="No",$E$3,VLOOKUP(Table1578[[#This Row],[Period]],Forecast!$H$2:$L$1048576,2,FALSE)),Table1578[[#This Row],[Beginning Balance]]-Table1578[[#This Row],[Principal]]-Table1578[[#This Row],[Prepayments]]),2)</f>
        <v>0</v>
      </c>
      <c r="K369" s="3">
        <f>ROUND(Table1578[[#This Row],[Defaulted Principal]]*IF($C$9="No",$E$4,VLOOKUP(Table1578[[#This Row],[Period]],Forecast!$H$2:$L$1048576,3,FALSE)),2)</f>
        <v>0</v>
      </c>
      <c r="L369" s="2">
        <f>Table1578[[#This Row],[Period]]+$E$9</f>
        <v>365</v>
      </c>
      <c r="M369" s="3">
        <f>Table1578[[#This Row],[Defaulted Principal]]-Table1578[[#This Row],[Estimated Loss]]</f>
        <v>0</v>
      </c>
      <c r="N369" s="3">
        <f>IFERROR(VLOOKUP(Table1578[[#This Row],[Period]],$L$16:$M$385,2,FALSE),0)</f>
        <v>0</v>
      </c>
      <c r="O369" s="3">
        <f>Table1578[[#This Row],[Beginning Balance]]-Table1578[[#This Row],[Principal]]-Table1578[[#This Row],[Prepayments]]-Table1578[[#This Row],[Defaulted Principal]]</f>
        <v>0</v>
      </c>
      <c r="P369" s="3">
        <f>Table1578[[#This Row],[Principal]]+Table1578[[#This Row],[Interest]]+Table1578[[#This Row],[Prepayments]]+Table1578[[#This Row],[RecoveredAmount]]</f>
        <v>0</v>
      </c>
      <c r="Q369" s="3">
        <f ca="1">ROUND(Table1578[[#This Row],[Cash Flow]]/((1+ActualRateToUse)^(IF(ISNUMBER(SEARCH("Actual",$C$7)),Table1578[[#This Row],[Running Total]]/365,Table1578[[#This Row],[Period]]/12))),2)</f>
        <v>0</v>
      </c>
      <c r="R369" s="2">
        <f>IF(MONTH(Table1578[[#This Row],[Date]])=2,28,DAY(DATE(YEAR(Table1578[[#This Row],[Date]]),MONTH(Table1578[[#This Row],[Date]])+1,1)-1))</f>
        <v>30</v>
      </c>
      <c r="S369" s="2">
        <f ca="1">SUM(OFFSET(Table1578[[#Headers],[Days in month]],1,0):Table1578[[#This Row],[Days in month]])</f>
        <v>10738</v>
      </c>
      <c r="T369" s="37">
        <f>InterestRate*AmortizationMultiplier*IF(ISNUMBER(SEARCH("Actual",$C$7)),Table1578[[#This Row],[Days in month]]/365,1/12)</f>
        <v>6.0333333333333333E-3</v>
      </c>
    </row>
    <row r="370" spans="2:20" x14ac:dyDescent="0.2">
      <c r="B370" s="1">
        <f t="shared" si="18"/>
        <v>56614</v>
      </c>
      <c r="C370" s="2">
        <f t="shared" si="20"/>
        <v>354</v>
      </c>
      <c r="D370" s="3">
        <f t="shared" si="19"/>
        <v>0</v>
      </c>
      <c r="E370" s="3">
        <f>ROUND(Table1578[[#This Row],[Beginning Balance]]*Table1578[[#This Row],[Monthly Interest Rate]],2)</f>
        <v>0</v>
      </c>
      <c r="F370" s="3">
        <f t="shared" si="21"/>
        <v>-351</v>
      </c>
      <c r="G370" s="23">
        <f>IFERROR(IF($C$13="No","N/A",IF(Table1578[[#This Row],[Period]]=1,$C$6,PMT(InterestRate*AmortizationMultiplier/12,Table1578[[#This Row],[Am Thru]],-Table1578[[#This Row],[Beginning Balance]]))),0)</f>
        <v>0</v>
      </c>
      <c r="H370" s="3">
        <f>MAX(0,IF(C370=$C$4,D370,ROUND(IF($C$3="Fixed Principal",$C$6-Table1578[[#This Row],[Interest]],IF($C$3="Interest Only",Table1578[[#This Row],[Beginning Balance]]*ROUND(1-(1-IF($C$11="No",$E$8,1))^(1/12),6),MIN(IF($C$13="Yes",Table1578[[#This Row],[Payment Amount (Reamortized)]],$C$6)-Table1578[[#This Row],[Interest]],Table1578[[#This Row],[Beginning Balance]]))),2)))</f>
        <v>0</v>
      </c>
      <c r="I370" s="3">
        <f>_xlfn.SINGLE(IF($C$3="Line of Credit",0,ROUND(MAX(MIN(IF($C$10="No",$E$7,VLOOKUP(Table1578[[#This Row],[Period]],Forecast!$H$2:$L$1048576,4,FALSE))*Table1578[[#This Row],[Beginning Balance]],Table1578[[#This Row],[Beginning Balance]]-Table1578[[#This Row],[Principal]]),0),2)))</f>
        <v>0</v>
      </c>
      <c r="J370" s="3">
        <f>ROUND(MIN(Table1578[[#This Row],[Beginning Balance]]*IF($C$8="No",$E$3,VLOOKUP(Table1578[[#This Row],[Period]],Forecast!$H$2:$L$1048576,2,FALSE)),Table1578[[#This Row],[Beginning Balance]]-Table1578[[#This Row],[Principal]]-Table1578[[#This Row],[Prepayments]]),2)</f>
        <v>0</v>
      </c>
      <c r="K370" s="3">
        <f>ROUND(Table1578[[#This Row],[Defaulted Principal]]*IF($C$9="No",$E$4,VLOOKUP(Table1578[[#This Row],[Period]],Forecast!$H$2:$L$1048576,3,FALSE)),2)</f>
        <v>0</v>
      </c>
      <c r="L370" s="2">
        <f>Table1578[[#This Row],[Period]]+$E$9</f>
        <v>366</v>
      </c>
      <c r="M370" s="3">
        <f>Table1578[[#This Row],[Defaulted Principal]]-Table1578[[#This Row],[Estimated Loss]]</f>
        <v>0</v>
      </c>
      <c r="N370" s="3">
        <f>IFERROR(VLOOKUP(Table1578[[#This Row],[Period]],$L$16:$M$385,2,FALSE),0)</f>
        <v>0</v>
      </c>
      <c r="O370" s="3">
        <f>Table1578[[#This Row],[Beginning Balance]]-Table1578[[#This Row],[Principal]]-Table1578[[#This Row],[Prepayments]]-Table1578[[#This Row],[Defaulted Principal]]</f>
        <v>0</v>
      </c>
      <c r="P370" s="3">
        <f>Table1578[[#This Row],[Principal]]+Table1578[[#This Row],[Interest]]+Table1578[[#This Row],[Prepayments]]+Table1578[[#This Row],[RecoveredAmount]]</f>
        <v>0</v>
      </c>
      <c r="Q370" s="3">
        <f ca="1">ROUND(Table1578[[#This Row],[Cash Flow]]/((1+ActualRateToUse)^(IF(ISNUMBER(SEARCH("Actual",$C$7)),Table1578[[#This Row],[Running Total]]/365,Table1578[[#This Row],[Period]]/12))),2)</f>
        <v>0</v>
      </c>
      <c r="R370" s="2">
        <f>IF(MONTH(Table1578[[#This Row],[Date]])=2,28,DAY(DATE(YEAR(Table1578[[#This Row],[Date]]),MONTH(Table1578[[#This Row],[Date]])+1,1)-1))</f>
        <v>31</v>
      </c>
      <c r="S370" s="2">
        <f ca="1">SUM(OFFSET(Table1578[[#Headers],[Days in month]],1,0):Table1578[[#This Row],[Days in month]])</f>
        <v>10769</v>
      </c>
      <c r="T370" s="37">
        <f>InterestRate*AmortizationMultiplier*IF(ISNUMBER(SEARCH("Actual",$C$7)),Table1578[[#This Row],[Days in month]]/365,1/12)</f>
        <v>6.2344444444444444E-3</v>
      </c>
    </row>
    <row r="371" spans="2:20" x14ac:dyDescent="0.2">
      <c r="B371" s="1">
        <f t="shared" si="18"/>
        <v>56645</v>
      </c>
      <c r="C371" s="2">
        <f t="shared" si="20"/>
        <v>355</v>
      </c>
      <c r="D371" s="3">
        <f t="shared" si="19"/>
        <v>0</v>
      </c>
      <c r="E371" s="3">
        <f>ROUND(Table1578[[#This Row],[Beginning Balance]]*Table1578[[#This Row],[Monthly Interest Rate]],2)</f>
        <v>0</v>
      </c>
      <c r="F371" s="3">
        <f t="shared" si="21"/>
        <v>-352</v>
      </c>
      <c r="G371" s="23">
        <f>IFERROR(IF($C$13="No","N/A",IF(Table1578[[#This Row],[Period]]=1,$C$6,PMT(InterestRate*AmortizationMultiplier/12,Table1578[[#This Row],[Am Thru]],-Table1578[[#This Row],[Beginning Balance]]))),0)</f>
        <v>0</v>
      </c>
      <c r="H371" s="3">
        <f>MAX(0,IF(C371=$C$4,D371,ROUND(IF($C$3="Fixed Principal",$C$6-Table1578[[#This Row],[Interest]],IF($C$3="Interest Only",Table1578[[#This Row],[Beginning Balance]]*ROUND(1-(1-IF($C$11="No",$E$8,1))^(1/12),6),MIN(IF($C$13="Yes",Table1578[[#This Row],[Payment Amount (Reamortized)]],$C$6)-Table1578[[#This Row],[Interest]],Table1578[[#This Row],[Beginning Balance]]))),2)))</f>
        <v>0</v>
      </c>
      <c r="I371" s="3">
        <f>_xlfn.SINGLE(IF($C$3="Line of Credit",0,ROUND(MAX(MIN(IF($C$10="No",$E$7,VLOOKUP(Table1578[[#This Row],[Period]],Forecast!$H$2:$L$1048576,4,FALSE))*Table1578[[#This Row],[Beginning Balance]],Table1578[[#This Row],[Beginning Balance]]-Table1578[[#This Row],[Principal]]),0),2)))</f>
        <v>0</v>
      </c>
      <c r="J371" s="3">
        <f>ROUND(MIN(Table1578[[#This Row],[Beginning Balance]]*IF($C$8="No",$E$3,VLOOKUP(Table1578[[#This Row],[Period]],Forecast!$H$2:$L$1048576,2,FALSE)),Table1578[[#This Row],[Beginning Balance]]-Table1578[[#This Row],[Principal]]-Table1578[[#This Row],[Prepayments]]),2)</f>
        <v>0</v>
      </c>
      <c r="K371" s="3">
        <f>ROUND(Table1578[[#This Row],[Defaulted Principal]]*IF($C$9="No",$E$4,VLOOKUP(Table1578[[#This Row],[Period]],Forecast!$H$2:$L$1048576,3,FALSE)),2)</f>
        <v>0</v>
      </c>
      <c r="L371" s="2">
        <f>Table1578[[#This Row],[Period]]+$E$9</f>
        <v>367</v>
      </c>
      <c r="M371" s="3">
        <f>Table1578[[#This Row],[Defaulted Principal]]-Table1578[[#This Row],[Estimated Loss]]</f>
        <v>0</v>
      </c>
      <c r="N371" s="3">
        <f>IFERROR(VLOOKUP(Table1578[[#This Row],[Period]],$L$16:$M$385,2,FALSE),0)</f>
        <v>0</v>
      </c>
      <c r="O371" s="3">
        <f>Table1578[[#This Row],[Beginning Balance]]-Table1578[[#This Row],[Principal]]-Table1578[[#This Row],[Prepayments]]-Table1578[[#This Row],[Defaulted Principal]]</f>
        <v>0</v>
      </c>
      <c r="P371" s="3">
        <f>Table1578[[#This Row],[Principal]]+Table1578[[#This Row],[Interest]]+Table1578[[#This Row],[Prepayments]]+Table1578[[#This Row],[RecoveredAmount]]</f>
        <v>0</v>
      </c>
      <c r="Q371" s="3">
        <f ca="1">ROUND(Table1578[[#This Row],[Cash Flow]]/((1+ActualRateToUse)^(IF(ISNUMBER(SEARCH("Actual",$C$7)),Table1578[[#This Row],[Running Total]]/365,Table1578[[#This Row],[Period]]/12))),2)</f>
        <v>0</v>
      </c>
      <c r="R371" s="2">
        <f>IF(MONTH(Table1578[[#This Row],[Date]])=2,28,DAY(DATE(YEAR(Table1578[[#This Row],[Date]]),MONTH(Table1578[[#This Row],[Date]])+1,1)-1))</f>
        <v>31</v>
      </c>
      <c r="S371" s="2">
        <f ca="1">SUM(OFFSET(Table1578[[#Headers],[Days in month]],1,0):Table1578[[#This Row],[Days in month]])</f>
        <v>10800</v>
      </c>
      <c r="T371" s="37">
        <f>InterestRate*AmortizationMultiplier*IF(ISNUMBER(SEARCH("Actual",$C$7)),Table1578[[#This Row],[Days in month]]/365,1/12)</f>
        <v>6.2344444444444444E-3</v>
      </c>
    </row>
    <row r="372" spans="2:20" x14ac:dyDescent="0.2">
      <c r="B372" s="1">
        <f t="shared" si="18"/>
        <v>56673</v>
      </c>
      <c r="C372" s="2">
        <f t="shared" si="20"/>
        <v>356</v>
      </c>
      <c r="D372" s="3">
        <f t="shared" si="19"/>
        <v>0</v>
      </c>
      <c r="E372" s="3">
        <f>ROUND(Table1578[[#This Row],[Beginning Balance]]*Table1578[[#This Row],[Monthly Interest Rate]],2)</f>
        <v>0</v>
      </c>
      <c r="F372" s="3">
        <f t="shared" si="21"/>
        <v>-353</v>
      </c>
      <c r="G372" s="23">
        <f>IFERROR(IF($C$13="No","N/A",IF(Table1578[[#This Row],[Period]]=1,$C$6,PMT(InterestRate*AmortizationMultiplier/12,Table1578[[#This Row],[Am Thru]],-Table1578[[#This Row],[Beginning Balance]]))),0)</f>
        <v>0</v>
      </c>
      <c r="H372" s="3">
        <f>MAX(0,IF(C372=$C$4,D372,ROUND(IF($C$3="Fixed Principal",$C$6-Table1578[[#This Row],[Interest]],IF($C$3="Interest Only",Table1578[[#This Row],[Beginning Balance]]*ROUND(1-(1-IF($C$11="No",$E$8,1))^(1/12),6),MIN(IF($C$13="Yes",Table1578[[#This Row],[Payment Amount (Reamortized)]],$C$6)-Table1578[[#This Row],[Interest]],Table1578[[#This Row],[Beginning Balance]]))),2)))</f>
        <v>0</v>
      </c>
      <c r="I372" s="3">
        <f>_xlfn.SINGLE(IF($C$3="Line of Credit",0,ROUND(MAX(MIN(IF($C$10="No",$E$7,VLOOKUP(Table1578[[#This Row],[Period]],Forecast!$H$2:$L$1048576,4,FALSE))*Table1578[[#This Row],[Beginning Balance]],Table1578[[#This Row],[Beginning Balance]]-Table1578[[#This Row],[Principal]]),0),2)))</f>
        <v>0</v>
      </c>
      <c r="J372" s="3">
        <f>ROUND(MIN(Table1578[[#This Row],[Beginning Balance]]*IF($C$8="No",$E$3,VLOOKUP(Table1578[[#This Row],[Period]],Forecast!$H$2:$L$1048576,2,FALSE)),Table1578[[#This Row],[Beginning Balance]]-Table1578[[#This Row],[Principal]]-Table1578[[#This Row],[Prepayments]]),2)</f>
        <v>0</v>
      </c>
      <c r="K372" s="3">
        <f>ROUND(Table1578[[#This Row],[Defaulted Principal]]*IF($C$9="No",$E$4,VLOOKUP(Table1578[[#This Row],[Period]],Forecast!$H$2:$L$1048576,3,FALSE)),2)</f>
        <v>0</v>
      </c>
      <c r="L372" s="2">
        <f>Table1578[[#This Row],[Period]]+$E$9</f>
        <v>368</v>
      </c>
      <c r="M372" s="3">
        <f>Table1578[[#This Row],[Defaulted Principal]]-Table1578[[#This Row],[Estimated Loss]]</f>
        <v>0</v>
      </c>
      <c r="N372" s="3">
        <f>IFERROR(VLOOKUP(Table1578[[#This Row],[Period]],$L$16:$M$385,2,FALSE),0)</f>
        <v>0</v>
      </c>
      <c r="O372" s="3">
        <f>Table1578[[#This Row],[Beginning Balance]]-Table1578[[#This Row],[Principal]]-Table1578[[#This Row],[Prepayments]]-Table1578[[#This Row],[Defaulted Principal]]</f>
        <v>0</v>
      </c>
      <c r="P372" s="3">
        <f>Table1578[[#This Row],[Principal]]+Table1578[[#This Row],[Interest]]+Table1578[[#This Row],[Prepayments]]+Table1578[[#This Row],[RecoveredAmount]]</f>
        <v>0</v>
      </c>
      <c r="Q372" s="3">
        <f ca="1">ROUND(Table1578[[#This Row],[Cash Flow]]/((1+ActualRateToUse)^(IF(ISNUMBER(SEARCH("Actual",$C$7)),Table1578[[#This Row],[Running Total]]/365,Table1578[[#This Row],[Period]]/12))),2)</f>
        <v>0</v>
      </c>
      <c r="R372" s="2">
        <f>IF(MONTH(Table1578[[#This Row],[Date]])=2,28,DAY(DATE(YEAR(Table1578[[#This Row],[Date]]),MONTH(Table1578[[#This Row],[Date]])+1,1)-1))</f>
        <v>28</v>
      </c>
      <c r="S372" s="2">
        <f ca="1">SUM(OFFSET(Table1578[[#Headers],[Days in month]],1,0):Table1578[[#This Row],[Days in month]])</f>
        <v>10828</v>
      </c>
      <c r="T372" s="37">
        <f>InterestRate*AmortizationMultiplier*IF(ISNUMBER(SEARCH("Actual",$C$7)),Table1578[[#This Row],[Days in month]]/365,1/12)</f>
        <v>5.6311111111111119E-3</v>
      </c>
    </row>
    <row r="373" spans="2:20" x14ac:dyDescent="0.2">
      <c r="B373" s="1">
        <f t="shared" si="18"/>
        <v>56704</v>
      </c>
      <c r="C373" s="2">
        <f t="shared" si="20"/>
        <v>357</v>
      </c>
      <c r="D373" s="3">
        <f t="shared" si="19"/>
        <v>0</v>
      </c>
      <c r="E373" s="3">
        <f>ROUND(Table1578[[#This Row],[Beginning Balance]]*Table1578[[#This Row],[Monthly Interest Rate]],2)</f>
        <v>0</v>
      </c>
      <c r="F373" s="3">
        <f t="shared" si="21"/>
        <v>-354</v>
      </c>
      <c r="G373" s="23">
        <f>IFERROR(IF($C$13="No","N/A",IF(Table1578[[#This Row],[Period]]=1,$C$6,PMT(InterestRate*AmortizationMultiplier/12,Table1578[[#This Row],[Am Thru]],-Table1578[[#This Row],[Beginning Balance]]))),0)</f>
        <v>0</v>
      </c>
      <c r="H373" s="3">
        <f>MAX(0,IF(C373=$C$4,D373,ROUND(IF($C$3="Fixed Principal",$C$6-Table1578[[#This Row],[Interest]],IF($C$3="Interest Only",Table1578[[#This Row],[Beginning Balance]]*ROUND(1-(1-IF($C$11="No",$E$8,1))^(1/12),6),MIN(IF($C$13="Yes",Table1578[[#This Row],[Payment Amount (Reamortized)]],$C$6)-Table1578[[#This Row],[Interest]],Table1578[[#This Row],[Beginning Balance]]))),2)))</f>
        <v>0</v>
      </c>
      <c r="I373" s="3">
        <f>_xlfn.SINGLE(IF($C$3="Line of Credit",0,ROUND(MAX(MIN(IF($C$10="No",$E$7,VLOOKUP(Table1578[[#This Row],[Period]],Forecast!$H$2:$L$1048576,4,FALSE))*Table1578[[#This Row],[Beginning Balance]],Table1578[[#This Row],[Beginning Balance]]-Table1578[[#This Row],[Principal]]),0),2)))</f>
        <v>0</v>
      </c>
      <c r="J373" s="3">
        <f>ROUND(MIN(Table1578[[#This Row],[Beginning Balance]]*IF($C$8="No",$E$3,VLOOKUP(Table1578[[#This Row],[Period]],Forecast!$H$2:$L$1048576,2,FALSE)),Table1578[[#This Row],[Beginning Balance]]-Table1578[[#This Row],[Principal]]-Table1578[[#This Row],[Prepayments]]),2)</f>
        <v>0</v>
      </c>
      <c r="K373" s="3">
        <f>ROUND(Table1578[[#This Row],[Defaulted Principal]]*IF($C$9="No",$E$4,VLOOKUP(Table1578[[#This Row],[Period]],Forecast!$H$2:$L$1048576,3,FALSE)),2)</f>
        <v>0</v>
      </c>
      <c r="L373" s="2">
        <f>Table1578[[#This Row],[Period]]+$E$9</f>
        <v>369</v>
      </c>
      <c r="M373" s="3">
        <f>Table1578[[#This Row],[Defaulted Principal]]-Table1578[[#This Row],[Estimated Loss]]</f>
        <v>0</v>
      </c>
      <c r="N373" s="3">
        <f>IFERROR(VLOOKUP(Table1578[[#This Row],[Period]],$L$16:$M$385,2,FALSE),0)</f>
        <v>0</v>
      </c>
      <c r="O373" s="3">
        <f>Table1578[[#This Row],[Beginning Balance]]-Table1578[[#This Row],[Principal]]-Table1578[[#This Row],[Prepayments]]-Table1578[[#This Row],[Defaulted Principal]]</f>
        <v>0</v>
      </c>
      <c r="P373" s="3">
        <f>Table1578[[#This Row],[Principal]]+Table1578[[#This Row],[Interest]]+Table1578[[#This Row],[Prepayments]]+Table1578[[#This Row],[RecoveredAmount]]</f>
        <v>0</v>
      </c>
      <c r="Q373" s="3">
        <f ca="1">ROUND(Table1578[[#This Row],[Cash Flow]]/((1+ActualRateToUse)^(IF(ISNUMBER(SEARCH("Actual",$C$7)),Table1578[[#This Row],[Running Total]]/365,Table1578[[#This Row],[Period]]/12))),2)</f>
        <v>0</v>
      </c>
      <c r="R373" s="2">
        <f>IF(MONTH(Table1578[[#This Row],[Date]])=2,28,DAY(DATE(YEAR(Table1578[[#This Row],[Date]]),MONTH(Table1578[[#This Row],[Date]])+1,1)-1))</f>
        <v>31</v>
      </c>
      <c r="S373" s="2">
        <f ca="1">SUM(OFFSET(Table1578[[#Headers],[Days in month]],1,0):Table1578[[#This Row],[Days in month]])</f>
        <v>10859</v>
      </c>
      <c r="T373" s="37">
        <f>InterestRate*AmortizationMultiplier*IF(ISNUMBER(SEARCH("Actual",$C$7)),Table1578[[#This Row],[Days in month]]/365,1/12)</f>
        <v>6.2344444444444444E-3</v>
      </c>
    </row>
    <row r="374" spans="2:20" x14ac:dyDescent="0.2">
      <c r="B374" s="1">
        <f t="shared" si="18"/>
        <v>56734</v>
      </c>
      <c r="C374" s="2">
        <f t="shared" si="20"/>
        <v>358</v>
      </c>
      <c r="D374" s="3">
        <f t="shared" si="19"/>
        <v>0</v>
      </c>
      <c r="E374" s="3">
        <f>ROUND(Table1578[[#This Row],[Beginning Balance]]*Table1578[[#This Row],[Monthly Interest Rate]],2)</f>
        <v>0</v>
      </c>
      <c r="F374" s="3">
        <f t="shared" si="21"/>
        <v>-355</v>
      </c>
      <c r="G374" s="23">
        <f>IFERROR(IF($C$13="No","N/A",IF(Table1578[[#This Row],[Period]]=1,$C$6,PMT(InterestRate*AmortizationMultiplier/12,Table1578[[#This Row],[Am Thru]],-Table1578[[#This Row],[Beginning Balance]]))),0)</f>
        <v>0</v>
      </c>
      <c r="H374" s="3">
        <f>MAX(0,IF(C374=$C$4,D374,ROUND(IF($C$3="Fixed Principal",$C$6-Table1578[[#This Row],[Interest]],IF($C$3="Interest Only",Table1578[[#This Row],[Beginning Balance]]*ROUND(1-(1-IF($C$11="No",$E$8,1))^(1/12),6),MIN(IF($C$13="Yes",Table1578[[#This Row],[Payment Amount (Reamortized)]],$C$6)-Table1578[[#This Row],[Interest]],Table1578[[#This Row],[Beginning Balance]]))),2)))</f>
        <v>0</v>
      </c>
      <c r="I374" s="3">
        <f>_xlfn.SINGLE(IF($C$3="Line of Credit",0,ROUND(MAX(MIN(IF($C$10="No",$E$7,VLOOKUP(Table1578[[#This Row],[Period]],Forecast!$H$2:$L$1048576,4,FALSE))*Table1578[[#This Row],[Beginning Balance]],Table1578[[#This Row],[Beginning Balance]]-Table1578[[#This Row],[Principal]]),0),2)))</f>
        <v>0</v>
      </c>
      <c r="J374" s="3">
        <f>ROUND(MIN(Table1578[[#This Row],[Beginning Balance]]*IF($C$8="No",$E$3,VLOOKUP(Table1578[[#This Row],[Period]],Forecast!$H$2:$L$1048576,2,FALSE)),Table1578[[#This Row],[Beginning Balance]]-Table1578[[#This Row],[Principal]]-Table1578[[#This Row],[Prepayments]]),2)</f>
        <v>0</v>
      </c>
      <c r="K374" s="3">
        <f>ROUND(Table1578[[#This Row],[Defaulted Principal]]*IF($C$9="No",$E$4,VLOOKUP(Table1578[[#This Row],[Period]],Forecast!$H$2:$L$1048576,3,FALSE)),2)</f>
        <v>0</v>
      </c>
      <c r="L374" s="2">
        <f>Table1578[[#This Row],[Period]]+$E$9</f>
        <v>370</v>
      </c>
      <c r="M374" s="3">
        <f>Table1578[[#This Row],[Defaulted Principal]]-Table1578[[#This Row],[Estimated Loss]]</f>
        <v>0</v>
      </c>
      <c r="N374" s="3">
        <f>IFERROR(VLOOKUP(Table1578[[#This Row],[Period]],$L$16:$M$385,2,FALSE),0)</f>
        <v>0</v>
      </c>
      <c r="O374" s="3">
        <f>Table1578[[#This Row],[Beginning Balance]]-Table1578[[#This Row],[Principal]]-Table1578[[#This Row],[Prepayments]]-Table1578[[#This Row],[Defaulted Principal]]</f>
        <v>0</v>
      </c>
      <c r="P374" s="3">
        <f>Table1578[[#This Row],[Principal]]+Table1578[[#This Row],[Interest]]+Table1578[[#This Row],[Prepayments]]+Table1578[[#This Row],[RecoveredAmount]]</f>
        <v>0</v>
      </c>
      <c r="Q374" s="3">
        <f ca="1">ROUND(Table1578[[#This Row],[Cash Flow]]/((1+ActualRateToUse)^(IF(ISNUMBER(SEARCH("Actual",$C$7)),Table1578[[#This Row],[Running Total]]/365,Table1578[[#This Row],[Period]]/12))),2)</f>
        <v>0</v>
      </c>
      <c r="R374" s="2">
        <f>IF(MONTH(Table1578[[#This Row],[Date]])=2,28,DAY(DATE(YEAR(Table1578[[#This Row],[Date]]),MONTH(Table1578[[#This Row],[Date]])+1,1)-1))</f>
        <v>30</v>
      </c>
      <c r="S374" s="2">
        <f ca="1">SUM(OFFSET(Table1578[[#Headers],[Days in month]],1,0):Table1578[[#This Row],[Days in month]])</f>
        <v>10889</v>
      </c>
      <c r="T374" s="37">
        <f>InterestRate*AmortizationMultiplier*IF(ISNUMBER(SEARCH("Actual",$C$7)),Table1578[[#This Row],[Days in month]]/365,1/12)</f>
        <v>6.0333333333333333E-3</v>
      </c>
    </row>
    <row r="375" spans="2:20" x14ac:dyDescent="0.2">
      <c r="B375" s="1">
        <f t="shared" si="18"/>
        <v>56765</v>
      </c>
      <c r="C375" s="2">
        <f t="shared" si="20"/>
        <v>359</v>
      </c>
      <c r="D375" s="3">
        <f t="shared" si="19"/>
        <v>0</v>
      </c>
      <c r="E375" s="3">
        <f>ROUND(Table1578[[#This Row],[Beginning Balance]]*Table1578[[#This Row],[Monthly Interest Rate]],2)</f>
        <v>0</v>
      </c>
      <c r="F375" s="3">
        <f t="shared" si="21"/>
        <v>-356</v>
      </c>
      <c r="G375" s="23">
        <f>IFERROR(IF($C$13="No","N/A",IF(Table1578[[#This Row],[Period]]=1,$C$6,PMT(InterestRate*AmortizationMultiplier/12,Table1578[[#This Row],[Am Thru]],-Table1578[[#This Row],[Beginning Balance]]))),0)</f>
        <v>0</v>
      </c>
      <c r="H375" s="3">
        <f>MAX(0,IF(C375=$C$4,D375,ROUND(IF($C$3="Fixed Principal",$C$6-Table1578[[#This Row],[Interest]],IF($C$3="Interest Only",Table1578[[#This Row],[Beginning Balance]]*ROUND(1-(1-IF($C$11="No",$E$8,1))^(1/12),6),MIN(IF($C$13="Yes",Table1578[[#This Row],[Payment Amount (Reamortized)]],$C$6)-Table1578[[#This Row],[Interest]],Table1578[[#This Row],[Beginning Balance]]))),2)))</f>
        <v>0</v>
      </c>
      <c r="I375" s="3">
        <f>_xlfn.SINGLE(IF($C$3="Line of Credit",0,ROUND(MAX(MIN(IF($C$10="No",$E$7,VLOOKUP(Table1578[[#This Row],[Period]],Forecast!$H$2:$L$1048576,4,FALSE))*Table1578[[#This Row],[Beginning Balance]],Table1578[[#This Row],[Beginning Balance]]-Table1578[[#This Row],[Principal]]),0),2)))</f>
        <v>0</v>
      </c>
      <c r="J375" s="3">
        <f>ROUND(MIN(Table1578[[#This Row],[Beginning Balance]]*IF($C$8="No",$E$3,VLOOKUP(Table1578[[#This Row],[Period]],Forecast!$H$2:$L$1048576,2,FALSE)),Table1578[[#This Row],[Beginning Balance]]-Table1578[[#This Row],[Principal]]-Table1578[[#This Row],[Prepayments]]),2)</f>
        <v>0</v>
      </c>
      <c r="K375" s="3">
        <f>ROUND(Table1578[[#This Row],[Defaulted Principal]]*IF($C$9="No",$E$4,VLOOKUP(Table1578[[#This Row],[Period]],Forecast!$H$2:$L$1048576,3,FALSE)),2)</f>
        <v>0</v>
      </c>
      <c r="L375" s="2">
        <f>Table1578[[#This Row],[Period]]+$E$9</f>
        <v>371</v>
      </c>
      <c r="M375" s="3">
        <f>Table1578[[#This Row],[Defaulted Principal]]-Table1578[[#This Row],[Estimated Loss]]</f>
        <v>0</v>
      </c>
      <c r="N375" s="3">
        <f>IFERROR(VLOOKUP(Table1578[[#This Row],[Period]],$L$16:$M$385,2,FALSE),0)</f>
        <v>0</v>
      </c>
      <c r="O375" s="3">
        <f>Table1578[[#This Row],[Beginning Balance]]-Table1578[[#This Row],[Principal]]-Table1578[[#This Row],[Prepayments]]-Table1578[[#This Row],[Defaulted Principal]]</f>
        <v>0</v>
      </c>
      <c r="P375" s="3">
        <f>Table1578[[#This Row],[Principal]]+Table1578[[#This Row],[Interest]]+Table1578[[#This Row],[Prepayments]]+Table1578[[#This Row],[RecoveredAmount]]</f>
        <v>0</v>
      </c>
      <c r="Q375" s="3">
        <f ca="1">ROUND(Table1578[[#This Row],[Cash Flow]]/((1+ActualRateToUse)^(IF(ISNUMBER(SEARCH("Actual",$C$7)),Table1578[[#This Row],[Running Total]]/365,Table1578[[#This Row],[Period]]/12))),2)</f>
        <v>0</v>
      </c>
      <c r="R375" s="2">
        <f>IF(MONTH(Table1578[[#This Row],[Date]])=2,28,DAY(DATE(YEAR(Table1578[[#This Row],[Date]]),MONTH(Table1578[[#This Row],[Date]])+1,1)-1))</f>
        <v>31</v>
      </c>
      <c r="S375" s="2">
        <f ca="1">SUM(OFFSET(Table1578[[#Headers],[Days in month]],1,0):Table1578[[#This Row],[Days in month]])</f>
        <v>10920</v>
      </c>
      <c r="T375" s="37">
        <f>InterestRate*AmortizationMultiplier*IF(ISNUMBER(SEARCH("Actual",$C$7)),Table1578[[#This Row],[Days in month]]/365,1/12)</f>
        <v>6.2344444444444444E-3</v>
      </c>
    </row>
    <row r="376" spans="2:20" x14ac:dyDescent="0.2">
      <c r="B376" s="1">
        <f t="shared" si="18"/>
        <v>56795</v>
      </c>
      <c r="C376" s="2">
        <f t="shared" si="20"/>
        <v>360</v>
      </c>
      <c r="D376" s="3">
        <f t="shared" si="19"/>
        <v>0</v>
      </c>
      <c r="E376" s="3">
        <f>ROUND(Table1578[[#This Row],[Beginning Balance]]*Table1578[[#This Row],[Monthly Interest Rate]],2)</f>
        <v>0</v>
      </c>
      <c r="F376" s="3">
        <f t="shared" si="21"/>
        <v>-357</v>
      </c>
      <c r="G376" s="23">
        <f>IFERROR(IF($C$13="No","N/A",IF(Table1578[[#This Row],[Period]]=1,$C$6,PMT(InterestRate*AmortizationMultiplier/12,Table1578[[#This Row],[Am Thru]],-Table1578[[#This Row],[Beginning Balance]]))),0)</f>
        <v>0</v>
      </c>
      <c r="H376" s="3">
        <f>MAX(0,IF(C376=$C$4,D376,ROUND(IF($C$3="Fixed Principal",$C$6-Table1578[[#This Row],[Interest]],IF($C$3="Interest Only",Table1578[[#This Row],[Beginning Balance]]*ROUND(1-(1-IF($C$11="No",$E$8,1))^(1/12),6),MIN(IF($C$13="Yes",Table1578[[#This Row],[Payment Amount (Reamortized)]],$C$6)-Table1578[[#This Row],[Interest]],Table1578[[#This Row],[Beginning Balance]]))),2)))</f>
        <v>0</v>
      </c>
      <c r="I376" s="3">
        <f>_xlfn.SINGLE(IF($C$3="Line of Credit",0,ROUND(MAX(MIN(IF($C$10="No",$E$7,VLOOKUP(Table1578[[#This Row],[Period]],Forecast!$H$2:$L$1048576,4,FALSE))*Table1578[[#This Row],[Beginning Balance]],Table1578[[#This Row],[Beginning Balance]]-Table1578[[#This Row],[Principal]]),0),2)))</f>
        <v>0</v>
      </c>
      <c r="J376" s="3">
        <f>ROUND(MIN(Table1578[[#This Row],[Beginning Balance]]*IF($C$8="No",$E$3,VLOOKUP(Table1578[[#This Row],[Period]],Forecast!$H$2:$L$1048576,2,FALSE)),Table1578[[#This Row],[Beginning Balance]]-Table1578[[#This Row],[Principal]]-Table1578[[#This Row],[Prepayments]]),2)</f>
        <v>0</v>
      </c>
      <c r="K376" s="3">
        <f>ROUND(Table1578[[#This Row],[Defaulted Principal]]*IF($C$9="No",$E$4,VLOOKUP(Table1578[[#This Row],[Period]],Forecast!$H$2:$L$1048576,3,FALSE)),2)</f>
        <v>0</v>
      </c>
      <c r="L376" s="2">
        <f>Table1578[[#This Row],[Period]]+$E$9</f>
        <v>372</v>
      </c>
      <c r="M376" s="3">
        <f>Table1578[[#This Row],[Defaulted Principal]]-Table1578[[#This Row],[Estimated Loss]]</f>
        <v>0</v>
      </c>
      <c r="N376" s="3">
        <f>IFERROR(VLOOKUP(Table1578[[#This Row],[Period]],$L$16:$M$385,2,FALSE),0)</f>
        <v>0</v>
      </c>
      <c r="O376" s="3">
        <f>Table1578[[#This Row],[Beginning Balance]]-Table1578[[#This Row],[Principal]]-Table1578[[#This Row],[Prepayments]]-Table1578[[#This Row],[Defaulted Principal]]</f>
        <v>0</v>
      </c>
      <c r="P376" s="3">
        <f>Table1578[[#This Row],[Principal]]+Table1578[[#This Row],[Interest]]+Table1578[[#This Row],[Prepayments]]+Table1578[[#This Row],[RecoveredAmount]]</f>
        <v>0</v>
      </c>
      <c r="Q376" s="3">
        <f ca="1">ROUND(Table1578[[#This Row],[Cash Flow]]/((1+ActualRateToUse)^(IF(ISNUMBER(SEARCH("Actual",$C$7)),Table1578[[#This Row],[Running Total]]/365,Table1578[[#This Row],[Period]]/12))),2)</f>
        <v>0</v>
      </c>
      <c r="R376" s="2">
        <f>IF(MONTH(Table1578[[#This Row],[Date]])=2,28,DAY(DATE(YEAR(Table1578[[#This Row],[Date]]),MONTH(Table1578[[#This Row],[Date]])+1,1)-1))</f>
        <v>30</v>
      </c>
      <c r="S376" s="2">
        <f ca="1">SUM(OFFSET(Table1578[[#Headers],[Days in month]],1,0):Table1578[[#This Row],[Days in month]])</f>
        <v>10950</v>
      </c>
      <c r="T376" s="37">
        <f>InterestRate*AmortizationMultiplier*IF(ISNUMBER(SEARCH("Actual",$C$7)),Table1578[[#This Row],[Days in month]]/365,1/12)</f>
        <v>6.0333333333333333E-3</v>
      </c>
    </row>
    <row r="377" spans="2:20" x14ac:dyDescent="0.2">
      <c r="B377" s="1">
        <f t="shared" si="18"/>
        <v>56826</v>
      </c>
      <c r="C377" s="2">
        <f t="shared" si="20"/>
        <v>361</v>
      </c>
      <c r="D377" s="3">
        <f t="shared" si="19"/>
        <v>0</v>
      </c>
      <c r="E377" s="3">
        <f>ROUND(Table1578[[#This Row],[Beginning Balance]]*Table1578[[#This Row],[Monthly Interest Rate]],2)</f>
        <v>0</v>
      </c>
      <c r="F377" s="3">
        <f t="shared" si="21"/>
        <v>-358</v>
      </c>
      <c r="G377" s="23">
        <f>IFERROR(IF($C$13="No","N/A",IF(Table1578[[#This Row],[Period]]=1,$C$6,PMT(InterestRate*AmortizationMultiplier/12,Table1578[[#This Row],[Am Thru]],-Table1578[[#This Row],[Beginning Balance]]))),0)</f>
        <v>0</v>
      </c>
      <c r="H377" s="3">
        <f>MAX(0,IF(C377=$C$4,D377,ROUND(IF($C$3="Fixed Principal",$C$6-Table1578[[#This Row],[Interest]],IF($C$3="Interest Only",Table1578[[#This Row],[Beginning Balance]]*ROUND(1-(1-IF($C$11="No",$E$8,1))^(1/12),6),MIN(IF($C$13="Yes",Table1578[[#This Row],[Payment Amount (Reamortized)]],$C$6)-Table1578[[#This Row],[Interest]],Table1578[[#This Row],[Beginning Balance]]))),2)))</f>
        <v>0</v>
      </c>
      <c r="I377" s="3">
        <f>_xlfn.SINGLE(IF($C$3="Line of Credit",0,ROUND(MAX(MIN(IF($C$10="No",$E$7,VLOOKUP(Table1578[[#This Row],[Period]],Forecast!$H$2:$L$1048576,4,FALSE))*Table1578[[#This Row],[Beginning Balance]],Table1578[[#This Row],[Beginning Balance]]-Table1578[[#This Row],[Principal]]),0),2)))</f>
        <v>0</v>
      </c>
      <c r="J377" s="3">
        <f>ROUND(MIN(Table1578[[#This Row],[Beginning Balance]]*IF($C$8="No",$E$3,VLOOKUP(Table1578[[#This Row],[Period]],Forecast!$H$2:$L$1048576,2,FALSE)),Table1578[[#This Row],[Beginning Balance]]-Table1578[[#This Row],[Principal]]-Table1578[[#This Row],[Prepayments]]),2)</f>
        <v>0</v>
      </c>
      <c r="K377" s="3">
        <f>ROUND(Table1578[[#This Row],[Defaulted Principal]]*IF($C$9="No",$E$4,VLOOKUP(Table1578[[#This Row],[Period]],Forecast!$H$2:$L$1048576,3,FALSE)),2)</f>
        <v>0</v>
      </c>
      <c r="L377" s="2">
        <f>Table1578[[#This Row],[Period]]+$E$9</f>
        <v>373</v>
      </c>
      <c r="M377" s="3">
        <f>Table1578[[#This Row],[Defaulted Principal]]-Table1578[[#This Row],[Estimated Loss]]</f>
        <v>0</v>
      </c>
      <c r="N377" s="3">
        <f>IFERROR(VLOOKUP(Table1578[[#This Row],[Period]],$L$16:$M$385,2,FALSE),0)</f>
        <v>0</v>
      </c>
      <c r="O377" s="3">
        <f>Table1578[[#This Row],[Beginning Balance]]-Table1578[[#This Row],[Principal]]-Table1578[[#This Row],[Prepayments]]-Table1578[[#This Row],[Defaulted Principal]]</f>
        <v>0</v>
      </c>
      <c r="P377" s="3">
        <f>Table1578[[#This Row],[Principal]]+Table1578[[#This Row],[Interest]]+Table1578[[#This Row],[Prepayments]]+Table1578[[#This Row],[RecoveredAmount]]</f>
        <v>0</v>
      </c>
      <c r="Q377" s="3">
        <f ca="1">ROUND(Table1578[[#This Row],[Cash Flow]]/((1+ActualRateToUse)^(IF(ISNUMBER(SEARCH("Actual",$C$7)),Table1578[[#This Row],[Running Total]]/365,Table1578[[#This Row],[Period]]/12))),2)</f>
        <v>0</v>
      </c>
      <c r="R377" s="2">
        <f>IF(MONTH(Table1578[[#This Row],[Date]])=2,28,DAY(DATE(YEAR(Table1578[[#This Row],[Date]]),MONTH(Table1578[[#This Row],[Date]])+1,1)-1))</f>
        <v>31</v>
      </c>
      <c r="S377" s="2">
        <f ca="1">SUM(OFFSET(Table1578[[#Headers],[Days in month]],1,0):Table1578[[#This Row],[Days in month]])</f>
        <v>10981</v>
      </c>
      <c r="T377" s="37">
        <f>InterestRate*AmortizationMultiplier*IF(ISNUMBER(SEARCH("Actual",$C$7)),Table1578[[#This Row],[Days in month]]/365,1/12)</f>
        <v>6.2344444444444444E-3</v>
      </c>
    </row>
    <row r="378" spans="2:20" x14ac:dyDescent="0.2">
      <c r="B378" s="1">
        <f t="shared" si="18"/>
        <v>56857</v>
      </c>
      <c r="C378" s="2">
        <f t="shared" si="20"/>
        <v>362</v>
      </c>
      <c r="D378" s="3">
        <f t="shared" si="19"/>
        <v>0</v>
      </c>
      <c r="E378" s="3">
        <f>ROUND(Table1578[[#This Row],[Beginning Balance]]*Table1578[[#This Row],[Monthly Interest Rate]],2)</f>
        <v>0</v>
      </c>
      <c r="F378" s="3">
        <f t="shared" si="21"/>
        <v>-359</v>
      </c>
      <c r="G378" s="23">
        <f>IFERROR(IF($C$13="No","N/A",IF(Table1578[[#This Row],[Period]]=1,$C$6,PMT(InterestRate*AmortizationMultiplier/12,Table1578[[#This Row],[Am Thru]],-Table1578[[#This Row],[Beginning Balance]]))),0)</f>
        <v>0</v>
      </c>
      <c r="H378" s="3">
        <f>MAX(0,IF(C378=$C$4,D378,ROUND(IF($C$3="Fixed Principal",$C$6-Table1578[[#This Row],[Interest]],IF($C$3="Interest Only",Table1578[[#This Row],[Beginning Balance]]*ROUND(1-(1-IF($C$11="No",$E$8,1))^(1/12),6),MIN(IF($C$13="Yes",Table1578[[#This Row],[Payment Amount (Reamortized)]],$C$6)-Table1578[[#This Row],[Interest]],Table1578[[#This Row],[Beginning Balance]]))),2)))</f>
        <v>0</v>
      </c>
      <c r="I378" s="3">
        <f>_xlfn.SINGLE(IF($C$3="Line of Credit",0,ROUND(MAX(MIN(IF($C$10="No",$E$7,VLOOKUP(Table1578[[#This Row],[Period]],Forecast!$H$2:$L$1048576,4,FALSE))*Table1578[[#This Row],[Beginning Balance]],Table1578[[#This Row],[Beginning Balance]]-Table1578[[#This Row],[Principal]]),0),2)))</f>
        <v>0</v>
      </c>
      <c r="J378" s="3">
        <f>ROUND(MIN(Table1578[[#This Row],[Beginning Balance]]*IF($C$8="No",$E$3,VLOOKUP(Table1578[[#This Row],[Period]],Forecast!$H$2:$L$1048576,2,FALSE)),Table1578[[#This Row],[Beginning Balance]]-Table1578[[#This Row],[Principal]]-Table1578[[#This Row],[Prepayments]]),2)</f>
        <v>0</v>
      </c>
      <c r="K378" s="3">
        <f>ROUND(Table1578[[#This Row],[Defaulted Principal]]*IF($C$9="No",$E$4,VLOOKUP(Table1578[[#This Row],[Period]],Forecast!$H$2:$L$1048576,3,FALSE)),2)</f>
        <v>0</v>
      </c>
      <c r="L378" s="2">
        <f>Table1578[[#This Row],[Period]]+$E$9</f>
        <v>374</v>
      </c>
      <c r="M378" s="3">
        <f>Table1578[[#This Row],[Defaulted Principal]]-Table1578[[#This Row],[Estimated Loss]]</f>
        <v>0</v>
      </c>
      <c r="N378" s="3">
        <f>IFERROR(VLOOKUP(Table1578[[#This Row],[Period]],$L$16:$M$385,2,FALSE),0)</f>
        <v>0</v>
      </c>
      <c r="O378" s="3">
        <f>Table1578[[#This Row],[Beginning Balance]]-Table1578[[#This Row],[Principal]]-Table1578[[#This Row],[Prepayments]]-Table1578[[#This Row],[Defaulted Principal]]</f>
        <v>0</v>
      </c>
      <c r="P378" s="3">
        <f>Table1578[[#This Row],[Principal]]+Table1578[[#This Row],[Interest]]+Table1578[[#This Row],[Prepayments]]+Table1578[[#This Row],[RecoveredAmount]]</f>
        <v>0</v>
      </c>
      <c r="Q378" s="3">
        <f ca="1">ROUND(Table1578[[#This Row],[Cash Flow]]/((1+ActualRateToUse)^(IF(ISNUMBER(SEARCH("Actual",$C$7)),Table1578[[#This Row],[Running Total]]/365,Table1578[[#This Row],[Period]]/12))),2)</f>
        <v>0</v>
      </c>
      <c r="R378" s="2">
        <f>IF(MONTH(Table1578[[#This Row],[Date]])=2,28,DAY(DATE(YEAR(Table1578[[#This Row],[Date]]),MONTH(Table1578[[#This Row],[Date]])+1,1)-1))</f>
        <v>31</v>
      </c>
      <c r="S378" s="2">
        <f ca="1">SUM(OFFSET(Table1578[[#Headers],[Days in month]],1,0):Table1578[[#This Row],[Days in month]])</f>
        <v>11012</v>
      </c>
      <c r="T378" s="37">
        <f>InterestRate*AmortizationMultiplier*IF(ISNUMBER(SEARCH("Actual",$C$7)),Table1578[[#This Row],[Days in month]]/365,1/12)</f>
        <v>6.2344444444444444E-3</v>
      </c>
    </row>
    <row r="379" spans="2:20" x14ac:dyDescent="0.2">
      <c r="B379" s="1">
        <f t="shared" si="18"/>
        <v>56887</v>
      </c>
      <c r="C379" s="2">
        <f t="shared" si="20"/>
        <v>363</v>
      </c>
      <c r="D379" s="3">
        <f t="shared" si="19"/>
        <v>0</v>
      </c>
      <c r="E379" s="3">
        <f>ROUND(Table1578[[#This Row],[Beginning Balance]]*Table1578[[#This Row],[Monthly Interest Rate]],2)</f>
        <v>0</v>
      </c>
      <c r="F379" s="3">
        <f t="shared" si="21"/>
        <v>-360</v>
      </c>
      <c r="G379" s="23">
        <f>IFERROR(IF($C$13="No","N/A",IF(Table1578[[#This Row],[Period]]=1,$C$6,PMT(InterestRate*AmortizationMultiplier/12,Table1578[[#This Row],[Am Thru]],-Table1578[[#This Row],[Beginning Balance]]))),0)</f>
        <v>0</v>
      </c>
      <c r="H379" s="3">
        <f>MAX(0,IF(C379=$C$4,D379,ROUND(IF($C$3="Fixed Principal",$C$6-Table1578[[#This Row],[Interest]],IF($C$3="Interest Only",Table1578[[#This Row],[Beginning Balance]]*ROUND(1-(1-IF($C$11="No",$E$8,1))^(1/12),6),MIN(IF($C$13="Yes",Table1578[[#This Row],[Payment Amount (Reamortized)]],$C$6)-Table1578[[#This Row],[Interest]],Table1578[[#This Row],[Beginning Balance]]))),2)))</f>
        <v>0</v>
      </c>
      <c r="I379" s="3">
        <f>_xlfn.SINGLE(IF($C$3="Line of Credit",0,ROUND(MAX(MIN(IF($C$10="No",$E$7,VLOOKUP(Table1578[[#This Row],[Period]],Forecast!$H$2:$L$1048576,4,FALSE))*Table1578[[#This Row],[Beginning Balance]],Table1578[[#This Row],[Beginning Balance]]-Table1578[[#This Row],[Principal]]),0),2)))</f>
        <v>0</v>
      </c>
      <c r="J379" s="3">
        <f>ROUND(MIN(Table1578[[#This Row],[Beginning Balance]]*IF($C$8="No",$E$3,VLOOKUP(Table1578[[#This Row],[Period]],Forecast!$H$2:$L$1048576,2,FALSE)),Table1578[[#This Row],[Beginning Balance]]-Table1578[[#This Row],[Principal]]-Table1578[[#This Row],[Prepayments]]),2)</f>
        <v>0</v>
      </c>
      <c r="K379" s="3">
        <f>ROUND(Table1578[[#This Row],[Defaulted Principal]]*IF($C$9="No",$E$4,VLOOKUP(Table1578[[#This Row],[Period]],Forecast!$H$2:$L$1048576,3,FALSE)),2)</f>
        <v>0</v>
      </c>
      <c r="L379" s="2">
        <f>Table1578[[#This Row],[Period]]+$E$9</f>
        <v>375</v>
      </c>
      <c r="M379" s="3">
        <f>Table1578[[#This Row],[Defaulted Principal]]-Table1578[[#This Row],[Estimated Loss]]</f>
        <v>0</v>
      </c>
      <c r="N379" s="3">
        <f>IFERROR(VLOOKUP(Table1578[[#This Row],[Period]],$L$16:$M$385,2,FALSE),0)</f>
        <v>0</v>
      </c>
      <c r="O379" s="3">
        <f>Table1578[[#This Row],[Beginning Balance]]-Table1578[[#This Row],[Principal]]-Table1578[[#This Row],[Prepayments]]-Table1578[[#This Row],[Defaulted Principal]]</f>
        <v>0</v>
      </c>
      <c r="P379" s="3">
        <f>Table1578[[#This Row],[Principal]]+Table1578[[#This Row],[Interest]]+Table1578[[#This Row],[Prepayments]]+Table1578[[#This Row],[RecoveredAmount]]</f>
        <v>0</v>
      </c>
      <c r="Q379" s="3">
        <f ca="1">ROUND(Table1578[[#This Row],[Cash Flow]]/((1+ActualRateToUse)^(IF(ISNUMBER(SEARCH("Actual",$C$7)),Table1578[[#This Row],[Running Total]]/365,Table1578[[#This Row],[Period]]/12))),2)</f>
        <v>0</v>
      </c>
      <c r="R379" s="2">
        <f>IF(MONTH(Table1578[[#This Row],[Date]])=2,28,DAY(DATE(YEAR(Table1578[[#This Row],[Date]]),MONTH(Table1578[[#This Row],[Date]])+1,1)-1))</f>
        <v>30</v>
      </c>
      <c r="S379" s="2">
        <f ca="1">SUM(OFFSET(Table1578[[#Headers],[Days in month]],1,0):Table1578[[#This Row],[Days in month]])</f>
        <v>11042</v>
      </c>
      <c r="T379" s="37">
        <f>InterestRate*AmortizationMultiplier*IF(ISNUMBER(SEARCH("Actual",$C$7)),Table1578[[#This Row],[Days in month]]/365,1/12)</f>
        <v>6.0333333333333333E-3</v>
      </c>
    </row>
    <row r="380" spans="2:20" x14ac:dyDescent="0.2">
      <c r="B380" s="1">
        <f t="shared" si="18"/>
        <v>56918</v>
      </c>
      <c r="C380" s="2">
        <f t="shared" si="20"/>
        <v>364</v>
      </c>
      <c r="D380" s="3">
        <f t="shared" si="19"/>
        <v>0</v>
      </c>
      <c r="E380" s="3">
        <f>ROUND(Table1578[[#This Row],[Beginning Balance]]*Table1578[[#This Row],[Monthly Interest Rate]],2)</f>
        <v>0</v>
      </c>
      <c r="F380" s="3">
        <f t="shared" si="21"/>
        <v>-361</v>
      </c>
      <c r="G380" s="23">
        <f>IFERROR(IF($C$13="No","N/A",IF(Table1578[[#This Row],[Period]]=1,$C$6,PMT(InterestRate*AmortizationMultiplier/12,Table1578[[#This Row],[Am Thru]],-Table1578[[#This Row],[Beginning Balance]]))),0)</f>
        <v>0</v>
      </c>
      <c r="H380" s="3">
        <f>MAX(0,IF(C380=$C$4,D380,ROUND(IF($C$3="Fixed Principal",$C$6-Table1578[[#This Row],[Interest]],IF($C$3="Interest Only",Table1578[[#This Row],[Beginning Balance]]*ROUND(1-(1-IF($C$11="No",$E$8,1))^(1/12),6),MIN(IF($C$13="Yes",Table1578[[#This Row],[Payment Amount (Reamortized)]],$C$6)-Table1578[[#This Row],[Interest]],Table1578[[#This Row],[Beginning Balance]]))),2)))</f>
        <v>0</v>
      </c>
      <c r="I380" s="3">
        <f>_xlfn.SINGLE(IF($C$3="Line of Credit",0,ROUND(MAX(MIN(IF($C$10="No",$E$7,VLOOKUP(Table1578[[#This Row],[Period]],Forecast!$H$2:$L$1048576,4,FALSE))*Table1578[[#This Row],[Beginning Balance]],Table1578[[#This Row],[Beginning Balance]]-Table1578[[#This Row],[Principal]]),0),2)))</f>
        <v>0</v>
      </c>
      <c r="J380" s="3">
        <f>ROUND(MIN(Table1578[[#This Row],[Beginning Balance]]*IF($C$8="No",$E$3,VLOOKUP(Table1578[[#This Row],[Period]],Forecast!$H$2:$L$1048576,2,FALSE)),Table1578[[#This Row],[Beginning Balance]]-Table1578[[#This Row],[Principal]]-Table1578[[#This Row],[Prepayments]]),2)</f>
        <v>0</v>
      </c>
      <c r="K380" s="3">
        <f>ROUND(Table1578[[#This Row],[Defaulted Principal]]*IF($C$9="No",$E$4,VLOOKUP(Table1578[[#This Row],[Period]],Forecast!$H$2:$L$1048576,3,FALSE)),2)</f>
        <v>0</v>
      </c>
      <c r="L380" s="2">
        <f>Table1578[[#This Row],[Period]]+$E$9</f>
        <v>376</v>
      </c>
      <c r="M380" s="3">
        <f>Table1578[[#This Row],[Defaulted Principal]]-Table1578[[#This Row],[Estimated Loss]]</f>
        <v>0</v>
      </c>
      <c r="N380" s="3">
        <f>IFERROR(VLOOKUP(Table1578[[#This Row],[Period]],$L$16:$M$385,2,FALSE),0)</f>
        <v>0</v>
      </c>
      <c r="O380" s="3">
        <f>Table1578[[#This Row],[Beginning Balance]]-Table1578[[#This Row],[Principal]]-Table1578[[#This Row],[Prepayments]]-Table1578[[#This Row],[Defaulted Principal]]</f>
        <v>0</v>
      </c>
      <c r="P380" s="3">
        <f>Table1578[[#This Row],[Principal]]+Table1578[[#This Row],[Interest]]+Table1578[[#This Row],[Prepayments]]+Table1578[[#This Row],[RecoveredAmount]]</f>
        <v>0</v>
      </c>
      <c r="Q380" s="3">
        <f ca="1">ROUND(Table1578[[#This Row],[Cash Flow]]/((1+ActualRateToUse)^(IF(ISNUMBER(SEARCH("Actual",$C$7)),Table1578[[#This Row],[Running Total]]/365,Table1578[[#This Row],[Period]]/12))),2)</f>
        <v>0</v>
      </c>
      <c r="R380" s="2">
        <f>IF(MONTH(Table1578[[#This Row],[Date]])=2,28,DAY(DATE(YEAR(Table1578[[#This Row],[Date]]),MONTH(Table1578[[#This Row],[Date]])+1,1)-1))</f>
        <v>31</v>
      </c>
      <c r="S380" s="2">
        <f ca="1">SUM(OFFSET(Table1578[[#Headers],[Days in month]],1,0):Table1578[[#This Row],[Days in month]])</f>
        <v>11073</v>
      </c>
      <c r="T380" s="37">
        <f>InterestRate*AmortizationMultiplier*IF(ISNUMBER(SEARCH("Actual",$C$7)),Table1578[[#This Row],[Days in month]]/365,1/12)</f>
        <v>6.2344444444444444E-3</v>
      </c>
    </row>
    <row r="381" spans="2:20" x14ac:dyDescent="0.2">
      <c r="B381" s="1">
        <f t="shared" si="18"/>
        <v>56948</v>
      </c>
      <c r="C381" s="2">
        <f t="shared" si="20"/>
        <v>365</v>
      </c>
      <c r="D381" s="3">
        <f t="shared" si="19"/>
        <v>0</v>
      </c>
      <c r="E381" s="3">
        <f>ROUND(Table1578[[#This Row],[Beginning Balance]]*Table1578[[#This Row],[Monthly Interest Rate]],2)</f>
        <v>0</v>
      </c>
      <c r="F381" s="3">
        <f t="shared" si="21"/>
        <v>-362</v>
      </c>
      <c r="G381" s="23">
        <f>IFERROR(IF($C$13="No","N/A",IF(Table1578[[#This Row],[Period]]=1,$C$6,PMT(InterestRate*AmortizationMultiplier/12,Table1578[[#This Row],[Am Thru]],-Table1578[[#This Row],[Beginning Balance]]))),0)</f>
        <v>0</v>
      </c>
      <c r="H381" s="3">
        <f>MAX(0,IF(C381=$C$4,D381,ROUND(IF($C$3="Fixed Principal",$C$6-Table1578[[#This Row],[Interest]],IF($C$3="Interest Only",Table1578[[#This Row],[Beginning Balance]]*ROUND(1-(1-IF($C$11="No",$E$8,1))^(1/12),6),MIN(IF($C$13="Yes",Table1578[[#This Row],[Payment Amount (Reamortized)]],$C$6)-Table1578[[#This Row],[Interest]],Table1578[[#This Row],[Beginning Balance]]))),2)))</f>
        <v>0</v>
      </c>
      <c r="I381" s="3">
        <f>_xlfn.SINGLE(IF($C$3="Line of Credit",0,ROUND(MAX(MIN(IF($C$10="No",$E$7,VLOOKUP(Table1578[[#This Row],[Period]],Forecast!$H$2:$L$1048576,4,FALSE))*Table1578[[#This Row],[Beginning Balance]],Table1578[[#This Row],[Beginning Balance]]-Table1578[[#This Row],[Principal]]),0),2)))</f>
        <v>0</v>
      </c>
      <c r="J381" s="3">
        <f>ROUND(MIN(Table1578[[#This Row],[Beginning Balance]]*IF($C$8="No",$E$3,VLOOKUP(Table1578[[#This Row],[Period]],Forecast!$H$2:$L$1048576,2,FALSE)),Table1578[[#This Row],[Beginning Balance]]-Table1578[[#This Row],[Principal]]-Table1578[[#This Row],[Prepayments]]),2)</f>
        <v>0</v>
      </c>
      <c r="K381" s="3">
        <f>ROUND(Table1578[[#This Row],[Defaulted Principal]]*IF($C$9="No",$E$4,VLOOKUP(Table1578[[#This Row],[Period]],Forecast!$H$2:$L$1048576,3,FALSE)),2)</f>
        <v>0</v>
      </c>
      <c r="L381" s="2">
        <f>Table1578[[#This Row],[Period]]+$E$9</f>
        <v>377</v>
      </c>
      <c r="M381" s="3">
        <f>Table1578[[#This Row],[Defaulted Principal]]-Table1578[[#This Row],[Estimated Loss]]</f>
        <v>0</v>
      </c>
      <c r="N381" s="3">
        <f>IFERROR(VLOOKUP(Table1578[[#This Row],[Period]],$L$16:$M$385,2,FALSE),0)</f>
        <v>0</v>
      </c>
      <c r="O381" s="3">
        <f>Table1578[[#This Row],[Beginning Balance]]-Table1578[[#This Row],[Principal]]-Table1578[[#This Row],[Prepayments]]-Table1578[[#This Row],[Defaulted Principal]]</f>
        <v>0</v>
      </c>
      <c r="P381" s="3">
        <f>Table1578[[#This Row],[Principal]]+Table1578[[#This Row],[Interest]]+Table1578[[#This Row],[Prepayments]]+Table1578[[#This Row],[RecoveredAmount]]</f>
        <v>0</v>
      </c>
      <c r="Q381" s="3">
        <f ca="1">ROUND(Table1578[[#This Row],[Cash Flow]]/((1+ActualRateToUse)^(IF(ISNUMBER(SEARCH("Actual",$C$7)),Table1578[[#This Row],[Running Total]]/365,Table1578[[#This Row],[Period]]/12))),2)</f>
        <v>0</v>
      </c>
      <c r="R381" s="2">
        <f>IF(MONTH(Table1578[[#This Row],[Date]])=2,28,DAY(DATE(YEAR(Table1578[[#This Row],[Date]]),MONTH(Table1578[[#This Row],[Date]])+1,1)-1))</f>
        <v>30</v>
      </c>
      <c r="S381" s="2">
        <f ca="1">SUM(OFFSET(Table1578[[#Headers],[Days in month]],1,0):Table1578[[#This Row],[Days in month]])</f>
        <v>11103</v>
      </c>
      <c r="T381" s="37">
        <f>InterestRate*AmortizationMultiplier*IF(ISNUMBER(SEARCH("Actual",$C$7)),Table1578[[#This Row],[Days in month]]/365,1/12)</f>
        <v>6.0333333333333333E-3</v>
      </c>
    </row>
    <row r="382" spans="2:20" x14ac:dyDescent="0.2">
      <c r="B382" s="1">
        <f t="shared" si="18"/>
        <v>56979</v>
      </c>
      <c r="C382" s="2">
        <f t="shared" si="20"/>
        <v>366</v>
      </c>
      <c r="D382" s="3">
        <f t="shared" si="19"/>
        <v>0</v>
      </c>
      <c r="E382" s="3">
        <f>ROUND(Table1578[[#This Row],[Beginning Balance]]*Table1578[[#This Row],[Monthly Interest Rate]],2)</f>
        <v>0</v>
      </c>
      <c r="F382" s="3">
        <f t="shared" si="21"/>
        <v>-363</v>
      </c>
      <c r="G382" s="23">
        <f>IFERROR(IF($C$13="No","N/A",IF(Table1578[[#This Row],[Period]]=1,$C$6,PMT(InterestRate*AmortizationMultiplier/12,Table1578[[#This Row],[Am Thru]],-Table1578[[#This Row],[Beginning Balance]]))),0)</f>
        <v>0</v>
      </c>
      <c r="H382" s="3">
        <f>MAX(0,IF(C382=$C$4,D382,ROUND(IF($C$3="Fixed Principal",$C$6-Table1578[[#This Row],[Interest]],IF($C$3="Interest Only",Table1578[[#This Row],[Beginning Balance]]*ROUND(1-(1-IF($C$11="No",$E$8,1))^(1/12),6),MIN(IF($C$13="Yes",Table1578[[#This Row],[Payment Amount (Reamortized)]],$C$6)-Table1578[[#This Row],[Interest]],Table1578[[#This Row],[Beginning Balance]]))),2)))</f>
        <v>0</v>
      </c>
      <c r="I382" s="3">
        <f>_xlfn.SINGLE(IF($C$3="Line of Credit",0,ROUND(MAX(MIN(IF($C$10="No",$E$7,VLOOKUP(Table1578[[#This Row],[Period]],Forecast!$H$2:$L$1048576,4,FALSE))*Table1578[[#This Row],[Beginning Balance]],Table1578[[#This Row],[Beginning Balance]]-Table1578[[#This Row],[Principal]]),0),2)))</f>
        <v>0</v>
      </c>
      <c r="J382" s="3">
        <f>ROUND(MIN(Table1578[[#This Row],[Beginning Balance]]*IF($C$8="No",$E$3,VLOOKUP(Table1578[[#This Row],[Period]],Forecast!$H$2:$L$1048576,2,FALSE)),Table1578[[#This Row],[Beginning Balance]]-Table1578[[#This Row],[Principal]]-Table1578[[#This Row],[Prepayments]]),2)</f>
        <v>0</v>
      </c>
      <c r="K382" s="3">
        <f>ROUND(Table1578[[#This Row],[Defaulted Principal]]*IF($C$9="No",$E$4,VLOOKUP(Table1578[[#This Row],[Period]],Forecast!$H$2:$L$1048576,3,FALSE)),2)</f>
        <v>0</v>
      </c>
      <c r="L382" s="2">
        <f>Table1578[[#This Row],[Period]]+$E$9</f>
        <v>378</v>
      </c>
      <c r="M382" s="3">
        <f>Table1578[[#This Row],[Defaulted Principal]]-Table1578[[#This Row],[Estimated Loss]]</f>
        <v>0</v>
      </c>
      <c r="N382" s="3">
        <f>IFERROR(VLOOKUP(Table1578[[#This Row],[Period]],$L$16:$M$385,2,FALSE),0)</f>
        <v>0</v>
      </c>
      <c r="O382" s="3">
        <f>Table1578[[#This Row],[Beginning Balance]]-Table1578[[#This Row],[Principal]]-Table1578[[#This Row],[Prepayments]]-Table1578[[#This Row],[Defaulted Principal]]</f>
        <v>0</v>
      </c>
      <c r="P382" s="3">
        <f>Table1578[[#This Row],[Principal]]+Table1578[[#This Row],[Interest]]+Table1578[[#This Row],[Prepayments]]+Table1578[[#This Row],[RecoveredAmount]]</f>
        <v>0</v>
      </c>
      <c r="Q382" s="3">
        <f ca="1">ROUND(Table1578[[#This Row],[Cash Flow]]/((1+ActualRateToUse)^(IF(ISNUMBER(SEARCH("Actual",$C$7)),Table1578[[#This Row],[Running Total]]/365,Table1578[[#This Row],[Period]]/12))),2)</f>
        <v>0</v>
      </c>
      <c r="R382" s="2">
        <f>IF(MONTH(Table1578[[#This Row],[Date]])=2,28,DAY(DATE(YEAR(Table1578[[#This Row],[Date]]),MONTH(Table1578[[#This Row],[Date]])+1,1)-1))</f>
        <v>31</v>
      </c>
      <c r="S382" s="2">
        <f ca="1">SUM(OFFSET(Table1578[[#Headers],[Days in month]],1,0):Table1578[[#This Row],[Days in month]])</f>
        <v>11134</v>
      </c>
      <c r="T382" s="37">
        <f>InterestRate*AmortizationMultiplier*IF(ISNUMBER(SEARCH("Actual",$C$7)),Table1578[[#This Row],[Days in month]]/365,1/12)</f>
        <v>6.2344444444444444E-3</v>
      </c>
    </row>
    <row r="383" spans="2:20" x14ac:dyDescent="0.2">
      <c r="B383" s="1">
        <f t="shared" si="18"/>
        <v>57010</v>
      </c>
      <c r="C383" s="2">
        <f t="shared" si="20"/>
        <v>367</v>
      </c>
      <c r="D383" s="3">
        <f t="shared" si="19"/>
        <v>0</v>
      </c>
      <c r="E383" s="3">
        <f>ROUND(Table1578[[#This Row],[Beginning Balance]]*Table1578[[#This Row],[Monthly Interest Rate]],2)</f>
        <v>0</v>
      </c>
      <c r="F383" s="3">
        <f t="shared" si="21"/>
        <v>-364</v>
      </c>
      <c r="G383" s="23">
        <f>IFERROR(IF($C$13="No","N/A",IF(Table1578[[#This Row],[Period]]=1,$C$6,PMT(InterestRate*AmortizationMultiplier/12,Table1578[[#This Row],[Am Thru]],-Table1578[[#This Row],[Beginning Balance]]))),0)</f>
        <v>0</v>
      </c>
      <c r="H383" s="3">
        <f>MAX(0,IF(C383=$C$4,D383,ROUND(IF($C$3="Fixed Principal",$C$6-Table1578[[#This Row],[Interest]],IF($C$3="Interest Only",Table1578[[#This Row],[Beginning Balance]]*ROUND(1-(1-IF($C$11="No",$E$8,1))^(1/12),6),MIN(IF($C$13="Yes",Table1578[[#This Row],[Payment Amount (Reamortized)]],$C$6)-Table1578[[#This Row],[Interest]],Table1578[[#This Row],[Beginning Balance]]))),2)))</f>
        <v>0</v>
      </c>
      <c r="I383" s="3">
        <f>_xlfn.SINGLE(IF($C$3="Line of Credit",0,ROUND(MAX(MIN(IF($C$10="No",$E$7,VLOOKUP(Table1578[[#This Row],[Period]],Forecast!$H$2:$L$1048576,4,FALSE))*Table1578[[#This Row],[Beginning Balance]],Table1578[[#This Row],[Beginning Balance]]-Table1578[[#This Row],[Principal]]),0),2)))</f>
        <v>0</v>
      </c>
      <c r="J383" s="3">
        <f>ROUND(MIN(Table1578[[#This Row],[Beginning Balance]]*IF($C$8="No",$E$3,VLOOKUP(Table1578[[#This Row],[Period]],Forecast!$H$2:$L$1048576,2,FALSE)),Table1578[[#This Row],[Beginning Balance]]-Table1578[[#This Row],[Principal]]-Table1578[[#This Row],[Prepayments]]),2)</f>
        <v>0</v>
      </c>
      <c r="K383" s="3">
        <f>ROUND(Table1578[[#This Row],[Defaulted Principal]]*IF($C$9="No",$E$4,VLOOKUP(Table1578[[#This Row],[Period]],Forecast!$H$2:$L$1048576,3,FALSE)),2)</f>
        <v>0</v>
      </c>
      <c r="L383" s="2">
        <f>Table1578[[#This Row],[Period]]+$E$9</f>
        <v>379</v>
      </c>
      <c r="M383" s="3">
        <f>Table1578[[#This Row],[Defaulted Principal]]-Table1578[[#This Row],[Estimated Loss]]</f>
        <v>0</v>
      </c>
      <c r="N383" s="3">
        <f>IFERROR(VLOOKUP(Table1578[[#This Row],[Period]],$L$16:$M$385,2,FALSE),0)</f>
        <v>0</v>
      </c>
      <c r="O383" s="3">
        <f>Table1578[[#This Row],[Beginning Balance]]-Table1578[[#This Row],[Principal]]-Table1578[[#This Row],[Prepayments]]-Table1578[[#This Row],[Defaulted Principal]]</f>
        <v>0</v>
      </c>
      <c r="P383" s="3">
        <f>Table1578[[#This Row],[Principal]]+Table1578[[#This Row],[Interest]]+Table1578[[#This Row],[Prepayments]]+Table1578[[#This Row],[RecoveredAmount]]</f>
        <v>0</v>
      </c>
      <c r="Q383" s="3">
        <f ca="1">ROUND(Table1578[[#This Row],[Cash Flow]]/((1+ActualRateToUse)^(IF(ISNUMBER(SEARCH("Actual",$C$7)),Table1578[[#This Row],[Running Total]]/365,Table1578[[#This Row],[Period]]/12))),2)</f>
        <v>0</v>
      </c>
      <c r="R383" s="2">
        <f>IF(MONTH(Table1578[[#This Row],[Date]])=2,28,DAY(DATE(YEAR(Table1578[[#This Row],[Date]]),MONTH(Table1578[[#This Row],[Date]])+1,1)-1))</f>
        <v>31</v>
      </c>
      <c r="S383" s="2">
        <f ca="1">SUM(OFFSET(Table1578[[#Headers],[Days in month]],1,0):Table1578[[#This Row],[Days in month]])</f>
        <v>11165</v>
      </c>
      <c r="T383" s="37">
        <f>InterestRate*AmortizationMultiplier*IF(ISNUMBER(SEARCH("Actual",$C$7)),Table1578[[#This Row],[Days in month]]/365,1/12)</f>
        <v>6.2344444444444444E-3</v>
      </c>
    </row>
    <row r="384" spans="2:20" x14ac:dyDescent="0.2">
      <c r="B384" s="1">
        <f t="shared" si="18"/>
        <v>57039</v>
      </c>
      <c r="C384" s="2">
        <f t="shared" si="20"/>
        <v>368</v>
      </c>
      <c r="D384" s="3">
        <f t="shared" si="19"/>
        <v>0</v>
      </c>
      <c r="E384" s="3">
        <f>ROUND(Table1578[[#This Row],[Beginning Balance]]*Table1578[[#This Row],[Monthly Interest Rate]],2)</f>
        <v>0</v>
      </c>
      <c r="F384" s="3">
        <f t="shared" si="21"/>
        <v>-365</v>
      </c>
      <c r="G384" s="23">
        <f>IFERROR(IF($C$13="No","N/A",IF(Table1578[[#This Row],[Period]]=1,$C$6,PMT(InterestRate*AmortizationMultiplier/12,Table1578[[#This Row],[Am Thru]],-Table1578[[#This Row],[Beginning Balance]]))),0)</f>
        <v>0</v>
      </c>
      <c r="H384" s="3">
        <f>MAX(0,IF(C384=$C$4,D384,ROUND(IF($C$3="Fixed Principal",$C$6-Table1578[[#This Row],[Interest]],IF($C$3="Interest Only",Table1578[[#This Row],[Beginning Balance]]*ROUND(1-(1-IF($C$11="No",$E$8,1))^(1/12),6),MIN(IF($C$13="Yes",Table1578[[#This Row],[Payment Amount (Reamortized)]],$C$6)-Table1578[[#This Row],[Interest]],Table1578[[#This Row],[Beginning Balance]]))),2)))</f>
        <v>0</v>
      </c>
      <c r="I384" s="3">
        <f>_xlfn.SINGLE(IF($C$3="Line of Credit",0,ROUND(MAX(MIN(IF($C$10="No",$E$7,VLOOKUP(Table1578[[#This Row],[Period]],Forecast!$H$2:$L$1048576,4,FALSE))*Table1578[[#This Row],[Beginning Balance]],Table1578[[#This Row],[Beginning Balance]]-Table1578[[#This Row],[Principal]]),0),2)))</f>
        <v>0</v>
      </c>
      <c r="J384" s="3">
        <f>ROUND(MIN(Table1578[[#This Row],[Beginning Balance]]*IF($C$8="No",$E$3,VLOOKUP(Table1578[[#This Row],[Period]],Forecast!$H$2:$L$1048576,2,FALSE)),Table1578[[#This Row],[Beginning Balance]]-Table1578[[#This Row],[Principal]]-Table1578[[#This Row],[Prepayments]]),2)</f>
        <v>0</v>
      </c>
      <c r="K384" s="3">
        <f>ROUND(Table1578[[#This Row],[Defaulted Principal]]*IF($C$9="No",$E$4,VLOOKUP(Table1578[[#This Row],[Period]],Forecast!$H$2:$L$1048576,3,FALSE)),2)</f>
        <v>0</v>
      </c>
      <c r="L384" s="2">
        <f>Table1578[[#This Row],[Period]]+$E$9</f>
        <v>380</v>
      </c>
      <c r="M384" s="3">
        <f>Table1578[[#This Row],[Defaulted Principal]]-Table1578[[#This Row],[Estimated Loss]]</f>
        <v>0</v>
      </c>
      <c r="N384" s="3">
        <f>IFERROR(VLOOKUP(Table1578[[#This Row],[Period]],$L$16:$M$385,2,FALSE),0)</f>
        <v>0</v>
      </c>
      <c r="O384" s="3">
        <f>Table1578[[#This Row],[Beginning Balance]]-Table1578[[#This Row],[Principal]]-Table1578[[#This Row],[Prepayments]]-Table1578[[#This Row],[Defaulted Principal]]</f>
        <v>0</v>
      </c>
      <c r="P384" s="3">
        <f>Table1578[[#This Row],[Principal]]+Table1578[[#This Row],[Interest]]+Table1578[[#This Row],[Prepayments]]+Table1578[[#This Row],[RecoveredAmount]]</f>
        <v>0</v>
      </c>
      <c r="Q384" s="3">
        <f ca="1">ROUND(Table1578[[#This Row],[Cash Flow]]/((1+ActualRateToUse)^(IF(ISNUMBER(SEARCH("Actual",$C$7)),Table1578[[#This Row],[Running Total]]/365,Table1578[[#This Row],[Period]]/12))),2)</f>
        <v>0</v>
      </c>
      <c r="R384" s="2">
        <f>IF(MONTH(Table1578[[#This Row],[Date]])=2,28,DAY(DATE(YEAR(Table1578[[#This Row],[Date]]),MONTH(Table1578[[#This Row],[Date]])+1,1)-1))</f>
        <v>28</v>
      </c>
      <c r="S384" s="2">
        <f ca="1">SUM(OFFSET(Table1578[[#Headers],[Days in month]],1,0):Table1578[[#This Row],[Days in month]])</f>
        <v>11193</v>
      </c>
      <c r="T384" s="37">
        <f>InterestRate*AmortizationMultiplier*IF(ISNUMBER(SEARCH("Actual",$C$7)),Table1578[[#This Row],[Days in month]]/365,1/12)</f>
        <v>5.6311111111111119E-3</v>
      </c>
    </row>
    <row r="385" spans="2:20" x14ac:dyDescent="0.2">
      <c r="B385" s="1">
        <f t="shared" si="18"/>
        <v>57070</v>
      </c>
      <c r="C385" s="2">
        <f t="shared" si="20"/>
        <v>369</v>
      </c>
      <c r="D385" s="3">
        <f t="shared" si="19"/>
        <v>0</v>
      </c>
      <c r="E385" s="3">
        <f>ROUND(Table1578[[#This Row],[Beginning Balance]]*Table1578[[#This Row],[Monthly Interest Rate]],2)</f>
        <v>0</v>
      </c>
      <c r="F385" s="3">
        <f t="shared" si="21"/>
        <v>-366</v>
      </c>
      <c r="G385" s="23">
        <f>IFERROR(IF($C$13="No","N/A",IF(Table1578[[#This Row],[Period]]=1,$C$6,PMT(InterestRate*AmortizationMultiplier/12,Table1578[[#This Row],[Am Thru]],-Table1578[[#This Row],[Beginning Balance]]))),0)</f>
        <v>0</v>
      </c>
      <c r="H385" s="3">
        <f>MAX(0,IF(C385=$C$4,D385,ROUND(IF($C$3="Fixed Principal",$C$6-Table1578[[#This Row],[Interest]],IF($C$3="Interest Only",Table1578[[#This Row],[Beginning Balance]]*ROUND(1-(1-IF($C$11="No",$E$8,1))^(1/12),6),MIN(IF($C$13="Yes",Table1578[[#This Row],[Payment Amount (Reamortized)]],$C$6)-Table1578[[#This Row],[Interest]],Table1578[[#This Row],[Beginning Balance]]))),2)))</f>
        <v>0</v>
      </c>
      <c r="I385" s="3">
        <f>_xlfn.SINGLE(IF($C$3="Line of Credit",0,ROUND(MAX(MIN(IF($C$10="No",$E$7,VLOOKUP(Table1578[[#This Row],[Period]],Forecast!$H$2:$L$1048576,4,FALSE))*Table1578[[#This Row],[Beginning Balance]],Table1578[[#This Row],[Beginning Balance]]-Table1578[[#This Row],[Principal]]),0),2)))</f>
        <v>0</v>
      </c>
      <c r="J385" s="3">
        <f>ROUND(MIN(Table1578[[#This Row],[Beginning Balance]]*IF($C$8="No",$E$3,VLOOKUP(Table1578[[#This Row],[Period]],Forecast!$H$2:$L$1048576,2,FALSE)),Table1578[[#This Row],[Beginning Balance]]-Table1578[[#This Row],[Principal]]-Table1578[[#This Row],[Prepayments]]),2)</f>
        <v>0</v>
      </c>
      <c r="K385" s="3">
        <f>ROUND(Table1578[[#This Row],[Defaulted Principal]]*IF($C$9="No",$E$4,VLOOKUP(Table1578[[#This Row],[Period]],Forecast!$H$2:$L$1048576,3,FALSE)),2)</f>
        <v>0</v>
      </c>
      <c r="L385" s="2">
        <f>Table1578[[#This Row],[Period]]+$E$9</f>
        <v>381</v>
      </c>
      <c r="M385" s="3">
        <f>Table1578[[#This Row],[Defaulted Principal]]-Table1578[[#This Row],[Estimated Loss]]</f>
        <v>0</v>
      </c>
      <c r="N385" s="3">
        <f>IFERROR(VLOOKUP(Table1578[[#This Row],[Period]],$L$16:$M$385,2,FALSE),0)</f>
        <v>0</v>
      </c>
      <c r="O385" s="3">
        <f>Table1578[[#This Row],[Beginning Balance]]-Table1578[[#This Row],[Principal]]-Table1578[[#This Row],[Prepayments]]-Table1578[[#This Row],[Defaulted Principal]]</f>
        <v>0</v>
      </c>
      <c r="P385" s="3">
        <f>Table1578[[#This Row],[Principal]]+Table1578[[#This Row],[Interest]]+Table1578[[#This Row],[Prepayments]]+Table1578[[#This Row],[RecoveredAmount]]</f>
        <v>0</v>
      </c>
      <c r="Q385" s="3">
        <f ca="1">ROUND(Table1578[[#This Row],[Cash Flow]]/((1+ActualRateToUse)^(IF(ISNUMBER(SEARCH("Actual",$C$7)),Table1578[[#This Row],[Running Total]]/365,Table1578[[#This Row],[Period]]/12))),2)</f>
        <v>0</v>
      </c>
      <c r="R385" s="2">
        <f>IF(MONTH(Table1578[[#This Row],[Date]])=2,28,DAY(DATE(YEAR(Table1578[[#This Row],[Date]]),MONTH(Table1578[[#This Row],[Date]])+1,1)-1))</f>
        <v>31</v>
      </c>
      <c r="S385" s="2">
        <f ca="1">SUM(OFFSET(Table1578[[#Headers],[Days in month]],1,0):Table1578[[#This Row],[Days in month]])</f>
        <v>11224</v>
      </c>
      <c r="T385" s="37">
        <f>InterestRate*AmortizationMultiplier*IF(ISNUMBER(SEARCH("Actual",$C$7)),Table1578[[#This Row],[Days in month]]/365,1/12)</f>
        <v>6.2344444444444444E-3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17E55E60-B6A1-4E68-B1D5-BFAB47B204EB}">
          <x14:formula1>
            <xm:f>Inputs!$E$2:$E$3</xm:f>
          </x14:formula1>
          <xm:sqref>I8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3A365-A30E-4E24-8DAB-6353801AC315}">
  <dimension ref="A1:O127"/>
  <sheetViews>
    <sheetView topLeftCell="B1" workbookViewId="0">
      <selection activeCell="O2" sqref="O2"/>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3.5546875" bestFit="1"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2589190.33</v>
      </c>
      <c r="D2" s="43">
        <v>4531.08</v>
      </c>
      <c r="E2" s="43">
        <v>16142.16</v>
      </c>
      <c r="F2" s="43">
        <v>0</v>
      </c>
      <c r="G2" s="43">
        <v>1178.08</v>
      </c>
      <c r="H2" s="43">
        <v>91.91</v>
      </c>
      <c r="I2" s="43">
        <v>0</v>
      </c>
      <c r="J2" s="43">
        <v>2583481.17</v>
      </c>
      <c r="K2" s="43">
        <v>20673.240000000002</v>
      </c>
      <c r="L2" s="43">
        <v>20542.54</v>
      </c>
      <c r="M2" s="48">
        <f ca="1">'DCF Calc 4'!Q17</f>
        <v>20542.54</v>
      </c>
      <c r="N2" s="46">
        <f ca="1">Loan_Level_Results469[[#This Row],[NPV]]-Loan_Level_Results469[[#This Row],[DCF CALC NPV]]</f>
        <v>0</v>
      </c>
      <c r="O2" s="43">
        <f>Loan_Level_Results469[[#This Row],[Principal Payment]]+Loan_Level_Results469[[#This Row],[Interest]]</f>
        <v>20673.239999999998</v>
      </c>
    </row>
    <row r="3" spans="1:15" x14ac:dyDescent="0.3">
      <c r="A3" s="45">
        <v>45900</v>
      </c>
      <c r="B3" s="44">
        <v>2</v>
      </c>
      <c r="C3" s="43">
        <v>2583481.17</v>
      </c>
      <c r="D3" s="43">
        <v>4521.09</v>
      </c>
      <c r="E3" s="43">
        <v>16106.57</v>
      </c>
      <c r="F3" s="43">
        <v>0</v>
      </c>
      <c r="G3" s="43">
        <v>1175.48</v>
      </c>
      <c r="H3" s="43">
        <v>91.7</v>
      </c>
      <c r="I3" s="43">
        <v>0</v>
      </c>
      <c r="J3" s="43">
        <v>2577784.6</v>
      </c>
      <c r="K3" s="43">
        <v>20627.66</v>
      </c>
      <c r="L3" s="43">
        <v>20367.650000000001</v>
      </c>
      <c r="M3" s="48">
        <f ca="1">'DCF Calc 4'!Q18</f>
        <v>20367.650000000001</v>
      </c>
      <c r="N3" s="46">
        <f ca="1">Loan_Level_Results469[[#This Row],[NPV]]-Loan_Level_Results469[[#This Row],[DCF CALC NPV]]</f>
        <v>0</v>
      </c>
      <c r="O3" s="43">
        <f>Loan_Level_Results469[[#This Row],[Principal Payment]]+Loan_Level_Results469[[#This Row],[Interest]]</f>
        <v>20627.66</v>
      </c>
    </row>
    <row r="4" spans="1:15" x14ac:dyDescent="0.3">
      <c r="A4" s="45">
        <v>45930</v>
      </c>
      <c r="B4" s="44">
        <v>3</v>
      </c>
      <c r="C4" s="43">
        <v>2577784.6</v>
      </c>
      <c r="D4" s="43">
        <v>4511.12</v>
      </c>
      <c r="E4" s="43">
        <v>15552.63</v>
      </c>
      <c r="F4" s="43">
        <v>0</v>
      </c>
      <c r="G4" s="43">
        <v>1172.8900000000001</v>
      </c>
      <c r="H4" s="43">
        <v>91.5</v>
      </c>
      <c r="I4" s="43">
        <v>0</v>
      </c>
      <c r="J4" s="43">
        <v>2572100.59</v>
      </c>
      <c r="K4" s="43">
        <v>20063.75</v>
      </c>
      <c r="L4" s="43">
        <v>19689.63</v>
      </c>
      <c r="M4" s="48">
        <f ca="1">'DCF Calc 4'!Q19</f>
        <v>19689.63</v>
      </c>
      <c r="N4" s="46">
        <f ca="1">Loan_Level_Results469[[#This Row],[NPV]]-Loan_Level_Results469[[#This Row],[DCF CALC NPV]]</f>
        <v>0</v>
      </c>
      <c r="O4" s="43">
        <f>Loan_Level_Results469[[#This Row],[Principal Payment]]+Loan_Level_Results469[[#This Row],[Interest]]</f>
        <v>20063.75</v>
      </c>
    </row>
    <row r="5" spans="1:15" x14ac:dyDescent="0.3">
      <c r="A5" s="45">
        <v>45961</v>
      </c>
      <c r="B5" s="44">
        <v>4</v>
      </c>
      <c r="C5" s="43">
        <v>2572100.59</v>
      </c>
      <c r="D5" s="43">
        <v>4501.18</v>
      </c>
      <c r="E5" s="43">
        <v>16035.62</v>
      </c>
      <c r="F5" s="43">
        <v>0</v>
      </c>
      <c r="G5" s="43">
        <v>1288.6199999999999</v>
      </c>
      <c r="H5" s="43">
        <v>103.05</v>
      </c>
      <c r="I5" s="43">
        <v>0</v>
      </c>
      <c r="J5" s="43">
        <v>2566310.79</v>
      </c>
      <c r="K5" s="43">
        <v>20536.8</v>
      </c>
      <c r="L5" s="43">
        <v>20026.439999999999</v>
      </c>
      <c r="M5" s="48">
        <f ca="1">'DCF Calc 4'!Q20</f>
        <v>20026.439999999999</v>
      </c>
      <c r="N5" s="46">
        <f ca="1">Loan_Level_Results469[[#This Row],[NPV]]-Loan_Level_Results469[[#This Row],[DCF CALC NPV]]</f>
        <v>0</v>
      </c>
      <c r="O5" s="43">
        <f>Loan_Level_Results469[[#This Row],[Principal Payment]]+Loan_Level_Results469[[#This Row],[Interest]]</f>
        <v>20536.800000000003</v>
      </c>
    </row>
    <row r="6" spans="1:15" x14ac:dyDescent="0.3">
      <c r="A6" s="45">
        <v>45991</v>
      </c>
      <c r="B6" s="44">
        <v>5</v>
      </c>
      <c r="C6" s="43">
        <v>2566310.79</v>
      </c>
      <c r="D6" s="43">
        <v>4491.04</v>
      </c>
      <c r="E6" s="43">
        <v>15483.41</v>
      </c>
      <c r="F6" s="43">
        <v>0</v>
      </c>
      <c r="G6" s="43">
        <v>1285.72</v>
      </c>
      <c r="H6" s="43">
        <v>102.82</v>
      </c>
      <c r="I6" s="43">
        <v>0</v>
      </c>
      <c r="J6" s="43">
        <v>2560534.0299999998</v>
      </c>
      <c r="K6" s="43">
        <v>19974.45</v>
      </c>
      <c r="L6" s="43">
        <v>19358.87</v>
      </c>
      <c r="M6" s="48">
        <f ca="1">'DCF Calc 4'!Q21</f>
        <v>19358.88</v>
      </c>
      <c r="N6" s="46">
        <f ca="1">Loan_Level_Results469[[#This Row],[NPV]]-Loan_Level_Results469[[#This Row],[DCF CALC NPV]]</f>
        <v>-1.0000000002037268E-2</v>
      </c>
      <c r="O6" s="43">
        <f>Loan_Level_Results469[[#This Row],[Principal Payment]]+Loan_Level_Results469[[#This Row],[Interest]]</f>
        <v>19974.45</v>
      </c>
    </row>
    <row r="7" spans="1:15" x14ac:dyDescent="0.3">
      <c r="A7" s="45">
        <v>46022</v>
      </c>
      <c r="B7" s="44">
        <v>6</v>
      </c>
      <c r="C7" s="43">
        <v>2560534.0299999998</v>
      </c>
      <c r="D7" s="43">
        <v>4480.93</v>
      </c>
      <c r="E7" s="43">
        <v>15963.51</v>
      </c>
      <c r="F7" s="43">
        <v>0</v>
      </c>
      <c r="G7" s="43">
        <v>1282.83</v>
      </c>
      <c r="H7" s="43">
        <v>102.58</v>
      </c>
      <c r="I7" s="43">
        <v>0</v>
      </c>
      <c r="J7" s="43">
        <v>2554770.27</v>
      </c>
      <c r="K7" s="43">
        <v>20444.439999999999</v>
      </c>
      <c r="L7" s="43">
        <v>19689.11</v>
      </c>
      <c r="M7" s="48">
        <f ca="1">'DCF Calc 4'!Q22</f>
        <v>19689.11</v>
      </c>
      <c r="N7" s="46">
        <f ca="1">Loan_Level_Results469[[#This Row],[NPV]]-Loan_Level_Results469[[#This Row],[DCF CALC NPV]]</f>
        <v>0</v>
      </c>
      <c r="O7" s="43">
        <f>Loan_Level_Results469[[#This Row],[Principal Payment]]+Loan_Level_Results469[[#This Row],[Interest]]</f>
        <v>20444.440000000002</v>
      </c>
    </row>
    <row r="8" spans="1:15" x14ac:dyDescent="0.3">
      <c r="A8" s="45">
        <v>46053</v>
      </c>
      <c r="B8" s="44">
        <v>7</v>
      </c>
      <c r="C8" s="43">
        <v>2554770.27</v>
      </c>
      <c r="D8" s="43">
        <v>4470.8500000000004</v>
      </c>
      <c r="E8" s="43">
        <v>15927.57</v>
      </c>
      <c r="F8" s="43">
        <v>0</v>
      </c>
      <c r="G8" s="43">
        <v>1269.72</v>
      </c>
      <c r="H8" s="43">
        <v>101.3</v>
      </c>
      <c r="I8" s="43">
        <v>0</v>
      </c>
      <c r="J8" s="43">
        <v>2549029.7000000002</v>
      </c>
      <c r="K8" s="43">
        <v>20398.419999999998</v>
      </c>
      <c r="L8" s="43">
        <v>19520.580000000002</v>
      </c>
      <c r="M8" s="48">
        <f ca="1">'DCF Calc 4'!Q23</f>
        <v>19520.59</v>
      </c>
      <c r="N8" s="46">
        <f ca="1">Loan_Level_Results469[[#This Row],[NPV]]-Loan_Level_Results469[[#This Row],[DCF CALC NPV]]</f>
        <v>-9.9999999983992893E-3</v>
      </c>
      <c r="O8" s="43">
        <f>Loan_Level_Results469[[#This Row],[Principal Payment]]+Loan_Level_Results469[[#This Row],[Interest]]</f>
        <v>20398.419999999998</v>
      </c>
    </row>
    <row r="9" spans="1:15" x14ac:dyDescent="0.3">
      <c r="A9" s="45">
        <v>46081</v>
      </c>
      <c r="B9" s="44">
        <v>8</v>
      </c>
      <c r="C9" s="43">
        <v>2549029.7000000002</v>
      </c>
      <c r="D9" s="43">
        <v>4460.8</v>
      </c>
      <c r="E9" s="43">
        <v>14353.87</v>
      </c>
      <c r="F9" s="43">
        <v>0</v>
      </c>
      <c r="G9" s="43">
        <v>1266.8699999999999</v>
      </c>
      <c r="H9" s="43">
        <v>101.07</v>
      </c>
      <c r="I9" s="43">
        <v>0</v>
      </c>
      <c r="J9" s="43">
        <v>2543302.0299999998</v>
      </c>
      <c r="K9" s="43">
        <v>18814.669999999998</v>
      </c>
      <c r="L9" s="43">
        <v>17902.14</v>
      </c>
      <c r="M9" s="48">
        <f ca="1">'DCF Calc 4'!Q24</f>
        <v>17902.14</v>
      </c>
      <c r="N9" s="43">
        <f ca="1">Loan_Level_Results469[[#This Row],[NPV]]-Loan_Level_Results469[[#This Row],[DCF CALC NPV]]</f>
        <v>0</v>
      </c>
      <c r="O9" s="43">
        <f>Loan_Level_Results469[[#This Row],[Principal Payment]]+Loan_Level_Results469[[#This Row],[Interest]]</f>
        <v>18814.670000000002</v>
      </c>
    </row>
    <row r="10" spans="1:15" x14ac:dyDescent="0.3">
      <c r="A10" s="45">
        <v>46112</v>
      </c>
      <c r="B10" s="44">
        <v>9</v>
      </c>
      <c r="C10" s="43">
        <v>2543302.0299999998</v>
      </c>
      <c r="D10" s="43">
        <v>4450.78</v>
      </c>
      <c r="E10" s="43">
        <v>15856.08</v>
      </c>
      <c r="F10" s="43">
        <v>0</v>
      </c>
      <c r="G10" s="43">
        <v>1264.02</v>
      </c>
      <c r="H10" s="43">
        <v>100.84</v>
      </c>
      <c r="I10" s="43">
        <v>0</v>
      </c>
      <c r="J10" s="43">
        <v>2537587.23</v>
      </c>
      <c r="K10" s="43">
        <v>20306.86</v>
      </c>
      <c r="L10" s="43">
        <v>19199.8</v>
      </c>
      <c r="M10" s="48">
        <f ca="1">'DCF Calc 4'!Q25</f>
        <v>19199.8</v>
      </c>
      <c r="N10" s="43">
        <f ca="1">Loan_Level_Results469[[#This Row],[NPV]]-Loan_Level_Results469[[#This Row],[DCF CALC NPV]]</f>
        <v>0</v>
      </c>
      <c r="O10" s="43">
        <f>Loan_Level_Results469[[#This Row],[Principal Payment]]+Loan_Level_Results469[[#This Row],[Interest]]</f>
        <v>20306.86</v>
      </c>
    </row>
    <row r="11" spans="1:15" x14ac:dyDescent="0.3">
      <c r="A11" s="45">
        <v>46142</v>
      </c>
      <c r="B11" s="44">
        <v>10</v>
      </c>
      <c r="C11" s="43">
        <v>2537587.23</v>
      </c>
      <c r="D11" s="43">
        <v>4440.78</v>
      </c>
      <c r="E11" s="43">
        <v>15310.11</v>
      </c>
      <c r="F11" s="43">
        <v>0</v>
      </c>
      <c r="G11" s="43">
        <v>1248.49</v>
      </c>
      <c r="H11" s="43">
        <v>99.37</v>
      </c>
      <c r="I11" s="43">
        <v>0</v>
      </c>
      <c r="J11" s="43">
        <v>2531897.96</v>
      </c>
      <c r="K11" s="43">
        <v>19750.89</v>
      </c>
      <c r="L11" s="43">
        <v>18559.87</v>
      </c>
      <c r="M11" s="48">
        <f ca="1">'DCF Calc 4'!Q26</f>
        <v>18559.87</v>
      </c>
      <c r="N11" s="43">
        <f ca="1">Loan_Level_Results469[[#This Row],[NPV]]-Loan_Level_Results469[[#This Row],[DCF CALC NPV]]</f>
        <v>0</v>
      </c>
      <c r="O11" s="43">
        <f>Loan_Level_Results469[[#This Row],[Principal Payment]]+Loan_Level_Results469[[#This Row],[Interest]]</f>
        <v>19750.89</v>
      </c>
    </row>
    <row r="12" spans="1:15" x14ac:dyDescent="0.3">
      <c r="A12" s="45">
        <v>46173</v>
      </c>
      <c r="B12" s="44">
        <v>11</v>
      </c>
      <c r="C12" s="43">
        <v>2531897.96</v>
      </c>
      <c r="D12" s="43">
        <v>4430.82</v>
      </c>
      <c r="E12" s="43">
        <v>15784.98</v>
      </c>
      <c r="F12" s="43">
        <v>0</v>
      </c>
      <c r="G12" s="43">
        <v>1245.69</v>
      </c>
      <c r="H12" s="43">
        <v>99.14</v>
      </c>
      <c r="I12" s="43">
        <v>0</v>
      </c>
      <c r="J12" s="43">
        <v>2526221.4500000002</v>
      </c>
      <c r="K12" s="43">
        <v>20215.8</v>
      </c>
      <c r="L12" s="43">
        <v>18876.64</v>
      </c>
      <c r="M12" s="48">
        <f ca="1">'DCF Calc 4'!Q27</f>
        <v>18876.64</v>
      </c>
      <c r="N12" s="43">
        <f ca="1">Loan_Level_Results469[[#This Row],[NPV]]-Loan_Level_Results469[[#This Row],[DCF CALC NPV]]</f>
        <v>0</v>
      </c>
      <c r="O12" s="43">
        <f>Loan_Level_Results469[[#This Row],[Principal Payment]]+Loan_Level_Results469[[#This Row],[Interest]]</f>
        <v>20215.8</v>
      </c>
    </row>
    <row r="13" spans="1:15" x14ac:dyDescent="0.3">
      <c r="A13" s="45">
        <v>46203</v>
      </c>
      <c r="B13" s="44">
        <v>12</v>
      </c>
      <c r="C13" s="43">
        <v>2526221.4500000002</v>
      </c>
      <c r="D13" s="43">
        <v>4420.8900000000003</v>
      </c>
      <c r="E13" s="43">
        <v>15241.54</v>
      </c>
      <c r="F13" s="43">
        <v>0</v>
      </c>
      <c r="G13" s="43">
        <v>1242.9000000000001</v>
      </c>
      <c r="H13" s="43">
        <v>98.92</v>
      </c>
      <c r="I13" s="43">
        <v>0</v>
      </c>
      <c r="J13" s="43">
        <v>2520557.66</v>
      </c>
      <c r="K13" s="43">
        <v>19662.43</v>
      </c>
      <c r="L13" s="43">
        <v>18247.580000000002</v>
      </c>
      <c r="M13" s="48">
        <f ca="1">'DCF Calc 4'!Q28</f>
        <v>18247.59</v>
      </c>
      <c r="N13" s="43">
        <f ca="1">Loan_Level_Results469[[#This Row],[NPV]]-Loan_Level_Results469[[#This Row],[DCF CALC NPV]]</f>
        <v>-9.9999999983992893E-3</v>
      </c>
      <c r="O13" s="43">
        <f>Loan_Level_Results469[[#This Row],[Principal Payment]]+Loan_Level_Results469[[#This Row],[Interest]]</f>
        <v>19662.43</v>
      </c>
    </row>
    <row r="14" spans="1:15" x14ac:dyDescent="0.3">
      <c r="A14" s="45">
        <v>46234</v>
      </c>
      <c r="B14" s="44">
        <v>13</v>
      </c>
      <c r="C14" s="43">
        <v>2520557.66</v>
      </c>
      <c r="D14" s="43">
        <v>4410.9799999999996</v>
      </c>
      <c r="E14" s="43">
        <v>15714.28</v>
      </c>
      <c r="F14" s="43">
        <v>0</v>
      </c>
      <c r="G14" s="43">
        <v>1300.6099999999999</v>
      </c>
      <c r="H14" s="43">
        <v>104.78</v>
      </c>
      <c r="I14" s="43">
        <v>1086.17</v>
      </c>
      <c r="J14" s="43">
        <v>2514846.0699999998</v>
      </c>
      <c r="K14" s="43">
        <v>21211.43</v>
      </c>
      <c r="L14" s="43">
        <v>19560.66</v>
      </c>
      <c r="M14" s="48">
        <f ca="1">'DCF Calc 4'!Q29</f>
        <v>19560.669999999998</v>
      </c>
      <c r="N14" s="43">
        <f ca="1">Loan_Level_Results469[[#This Row],[NPV]]-Loan_Level_Results469[[#This Row],[DCF CALC NPV]]</f>
        <v>-9.9999999983992893E-3</v>
      </c>
      <c r="O14" s="43">
        <f>Loan_Level_Results469[[#This Row],[Principal Payment]]+Loan_Level_Results469[[#This Row],[Interest]]</f>
        <v>20125.260000000002</v>
      </c>
    </row>
    <row r="15" spans="1:15" x14ac:dyDescent="0.3">
      <c r="A15" s="45">
        <v>46265</v>
      </c>
      <c r="B15" s="44">
        <v>14</v>
      </c>
      <c r="C15" s="43">
        <v>2514846.0699999998</v>
      </c>
      <c r="D15" s="43">
        <v>4400.9799999999996</v>
      </c>
      <c r="E15" s="43">
        <v>15678.67</v>
      </c>
      <c r="F15" s="43">
        <v>0</v>
      </c>
      <c r="G15" s="43">
        <v>1297.6600000000001</v>
      </c>
      <c r="H15" s="43">
        <v>104.54</v>
      </c>
      <c r="I15" s="43">
        <v>1083.78</v>
      </c>
      <c r="J15" s="43">
        <v>2509147.4300000002</v>
      </c>
      <c r="K15" s="43">
        <v>21163.43</v>
      </c>
      <c r="L15" s="43">
        <v>19393.009999999998</v>
      </c>
      <c r="M15" s="48">
        <f ca="1">'DCF Calc 4'!Q30</f>
        <v>19393</v>
      </c>
      <c r="N15" s="43">
        <f ca="1">Loan_Level_Results469[[#This Row],[NPV]]-Loan_Level_Results469[[#This Row],[DCF CALC NPV]]</f>
        <v>9.9999999983992893E-3</v>
      </c>
      <c r="O15" s="43">
        <f>Loan_Level_Results469[[#This Row],[Principal Payment]]+Loan_Level_Results469[[#This Row],[Interest]]</f>
        <v>20079.650000000001</v>
      </c>
    </row>
    <row r="16" spans="1:15" x14ac:dyDescent="0.3">
      <c r="A16" s="45">
        <v>46295</v>
      </c>
      <c r="B16" s="44">
        <v>15</v>
      </c>
      <c r="C16" s="43">
        <v>2509147.4300000002</v>
      </c>
      <c r="D16" s="43">
        <v>4391.01</v>
      </c>
      <c r="E16" s="43">
        <v>15138.52</v>
      </c>
      <c r="F16" s="43">
        <v>0</v>
      </c>
      <c r="G16" s="43">
        <v>1294.72</v>
      </c>
      <c r="H16" s="43">
        <v>104.31</v>
      </c>
      <c r="I16" s="43">
        <v>1081.3900000000001</v>
      </c>
      <c r="J16" s="43">
        <v>2503461.7000000002</v>
      </c>
      <c r="K16" s="43">
        <v>20610.919999999998</v>
      </c>
      <c r="L16" s="43">
        <v>18771.150000000001</v>
      </c>
      <c r="M16" s="48">
        <f ca="1">'DCF Calc 4'!Q31</f>
        <v>18771.16</v>
      </c>
      <c r="N16" s="43">
        <f ca="1">Loan_Level_Results469[[#This Row],[NPV]]-Loan_Level_Results469[[#This Row],[DCF CALC NPV]]</f>
        <v>-9.9999999983992893E-3</v>
      </c>
      <c r="O16" s="43">
        <f>Loan_Level_Results469[[#This Row],[Principal Payment]]+Loan_Level_Results469[[#This Row],[Interest]]</f>
        <v>19529.53</v>
      </c>
    </row>
    <row r="17" spans="1:15" x14ac:dyDescent="0.3">
      <c r="A17" s="45">
        <v>46326</v>
      </c>
      <c r="B17" s="44">
        <v>16</v>
      </c>
      <c r="C17" s="43">
        <v>2503461.7000000002</v>
      </c>
      <c r="D17" s="43">
        <v>4381.0600000000004</v>
      </c>
      <c r="E17" s="43">
        <v>15607.69</v>
      </c>
      <c r="F17" s="43">
        <v>0</v>
      </c>
      <c r="G17" s="43">
        <v>1351.87</v>
      </c>
      <c r="H17" s="43">
        <v>110.19</v>
      </c>
      <c r="I17" s="43">
        <v>1185.57</v>
      </c>
      <c r="J17" s="43">
        <v>2497728.77</v>
      </c>
      <c r="K17" s="43">
        <v>21174.32</v>
      </c>
      <c r="L17" s="43">
        <v>19162.34</v>
      </c>
      <c r="M17" s="48">
        <f ca="1">'DCF Calc 4'!Q32</f>
        <v>19162.34</v>
      </c>
      <c r="N17" s="43">
        <f ca="1">Loan_Level_Results469[[#This Row],[NPV]]-Loan_Level_Results469[[#This Row],[DCF CALC NPV]]</f>
        <v>0</v>
      </c>
      <c r="O17" s="43">
        <f>Loan_Level_Results469[[#This Row],[Principal Payment]]+Loan_Level_Results469[[#This Row],[Interest]]</f>
        <v>19988.75</v>
      </c>
    </row>
    <row r="18" spans="1:15" x14ac:dyDescent="0.3">
      <c r="A18" s="45">
        <v>46356</v>
      </c>
      <c r="B18" s="44">
        <v>17</v>
      </c>
      <c r="C18" s="43">
        <v>2497728.77</v>
      </c>
      <c r="D18" s="43">
        <v>2497728.77</v>
      </c>
      <c r="E18" s="43">
        <v>15069.63</v>
      </c>
      <c r="F18" s="43">
        <v>0</v>
      </c>
      <c r="G18" s="43">
        <v>0</v>
      </c>
      <c r="H18" s="43">
        <v>0</v>
      </c>
      <c r="I18" s="43">
        <v>1182.9000000000001</v>
      </c>
      <c r="J18" s="43">
        <v>0</v>
      </c>
      <c r="K18" s="43">
        <v>2513981.2999999998</v>
      </c>
      <c r="L18" s="43">
        <v>2261181.37</v>
      </c>
      <c r="M18" s="48">
        <f ca="1">'DCF Calc 4'!Q33</f>
        <v>2261182.21</v>
      </c>
      <c r="N18" s="43">
        <f ca="1">Loan_Level_Results469[[#This Row],[NPV]]-Loan_Level_Results469[[#This Row],[DCF CALC NPV]]</f>
        <v>-0.83999999985098839</v>
      </c>
      <c r="O18" s="43">
        <f>Loan_Level_Results469[[#This Row],[Principal Payment]]+Loan_Level_Results469[[#This Row],[Interest]]</f>
        <v>2512798.4</v>
      </c>
    </row>
    <row r="19" spans="1:15" x14ac:dyDescent="0.3">
      <c r="A19" s="45">
        <v>46387</v>
      </c>
      <c r="B19" s="44">
        <v>18</v>
      </c>
      <c r="C19" s="43">
        <v>0</v>
      </c>
      <c r="D19" s="43">
        <v>0</v>
      </c>
      <c r="E19" s="43">
        <v>0</v>
      </c>
      <c r="F19" s="43">
        <v>0</v>
      </c>
      <c r="G19" s="43">
        <v>0</v>
      </c>
      <c r="H19" s="43">
        <v>0</v>
      </c>
      <c r="I19" s="43">
        <v>1180.25</v>
      </c>
      <c r="J19" s="43">
        <v>0</v>
      </c>
      <c r="K19" s="43">
        <v>1180.25</v>
      </c>
      <c r="L19" s="43">
        <v>1055.18</v>
      </c>
      <c r="M19" s="48">
        <f ca="1">'DCF Calc 4'!Q34</f>
        <v>1054.8599999999999</v>
      </c>
      <c r="N19" s="43">
        <f ca="1">Loan_Level_Results469[[#This Row],[NPV]]-Loan_Level_Results469[[#This Row],[DCF CALC NPV]]</f>
        <v>0.32000000000016371</v>
      </c>
      <c r="O19" s="43">
        <f>Loan_Level_Results469[[#This Row],[Principal Payment]]+Loan_Level_Results469[[#This Row],[Interest]]</f>
        <v>0</v>
      </c>
    </row>
    <row r="20" spans="1:15" x14ac:dyDescent="0.3">
      <c r="A20" s="45">
        <v>46418</v>
      </c>
      <c r="B20" s="44">
        <v>19</v>
      </c>
      <c r="C20" s="43">
        <v>0</v>
      </c>
      <c r="D20" s="43">
        <v>0</v>
      </c>
      <c r="E20" s="43">
        <v>0</v>
      </c>
      <c r="F20" s="43">
        <v>0</v>
      </c>
      <c r="G20" s="43">
        <v>0</v>
      </c>
      <c r="H20" s="43">
        <v>0</v>
      </c>
      <c r="I20" s="43">
        <v>1168.42</v>
      </c>
      <c r="J20" s="43">
        <v>0</v>
      </c>
      <c r="K20" s="43">
        <v>1168.42</v>
      </c>
      <c r="L20" s="43">
        <v>1038.1199999999999</v>
      </c>
      <c r="M20" s="48">
        <f ca="1">'DCF Calc 4'!Q35</f>
        <v>1037.68</v>
      </c>
      <c r="N20" s="43">
        <f ca="1">Loan_Level_Results469[[#This Row],[NPV]]-Loan_Level_Results469[[#This Row],[DCF CALC NPV]]</f>
        <v>0.4399999999998272</v>
      </c>
      <c r="O20" s="43">
        <f>Loan_Level_Results469[[#This Row],[Principal Payment]]+Loan_Level_Results469[[#This Row],[Interest]]</f>
        <v>0</v>
      </c>
    </row>
    <row r="21" spans="1:15" x14ac:dyDescent="0.3">
      <c r="A21" s="45">
        <v>46446</v>
      </c>
      <c r="B21" s="44">
        <v>20</v>
      </c>
      <c r="C21" s="43">
        <v>0</v>
      </c>
      <c r="D21" s="43">
        <v>0</v>
      </c>
      <c r="E21" s="43">
        <v>0</v>
      </c>
      <c r="F21" s="43">
        <v>0</v>
      </c>
      <c r="G21" s="43">
        <v>0</v>
      </c>
      <c r="H21" s="43">
        <v>0</v>
      </c>
      <c r="I21" s="43">
        <v>1165.8</v>
      </c>
      <c r="J21" s="43">
        <v>0</v>
      </c>
      <c r="K21" s="43">
        <v>1165.8</v>
      </c>
      <c r="L21" s="43">
        <v>1029.3699999999999</v>
      </c>
      <c r="M21" s="48">
        <f ca="1">'DCF Calc 4'!Q36</f>
        <v>1029.44</v>
      </c>
      <c r="N21" s="43">
        <f ca="1">Loan_Level_Results469[[#This Row],[NPV]]-Loan_Level_Results469[[#This Row],[DCF CALC NPV]]</f>
        <v>-7.0000000000163709E-2</v>
      </c>
      <c r="O21" s="43">
        <f>Loan_Level_Results469[[#This Row],[Principal Payment]]+Loan_Level_Results469[[#This Row],[Interest]]</f>
        <v>0</v>
      </c>
    </row>
    <row r="22" spans="1:15" x14ac:dyDescent="0.3">
      <c r="A22" s="45">
        <v>46477</v>
      </c>
      <c r="B22" s="44">
        <v>21</v>
      </c>
      <c r="C22" s="43">
        <v>0</v>
      </c>
      <c r="D22" s="43">
        <v>0</v>
      </c>
      <c r="E22" s="43">
        <v>0</v>
      </c>
      <c r="F22" s="43">
        <v>0</v>
      </c>
      <c r="G22" s="43">
        <v>0</v>
      </c>
      <c r="H22" s="43">
        <v>0</v>
      </c>
      <c r="I22" s="43">
        <v>1163.18</v>
      </c>
      <c r="J22" s="43">
        <v>0</v>
      </c>
      <c r="K22" s="43">
        <v>1163.18</v>
      </c>
      <c r="L22" s="43">
        <v>1020.68</v>
      </c>
      <c r="M22" s="48">
        <f ca="1">'DCF Calc 4'!Q37</f>
        <v>1020.63</v>
      </c>
      <c r="N22" s="43">
        <f ca="1">Loan_Level_Results469[[#This Row],[NPV]]-Loan_Level_Results469[[#This Row],[DCF CALC NPV]]</f>
        <v>4.9999999999954525E-2</v>
      </c>
      <c r="O22" s="43">
        <f>Loan_Level_Results469[[#This Row],[Principal Payment]]+Loan_Level_Results469[[#This Row],[Interest]]</f>
        <v>0</v>
      </c>
    </row>
    <row r="23" spans="1:15" x14ac:dyDescent="0.3">
      <c r="A23" s="45">
        <v>46507</v>
      </c>
      <c r="B23" s="44">
        <v>22</v>
      </c>
      <c r="C23" s="43">
        <v>0</v>
      </c>
      <c r="D23" s="43">
        <v>0</v>
      </c>
      <c r="E23" s="43">
        <v>0</v>
      </c>
      <c r="F23" s="43">
        <v>0</v>
      </c>
      <c r="G23" s="43">
        <v>0</v>
      </c>
      <c r="H23" s="43">
        <v>0</v>
      </c>
      <c r="I23" s="43">
        <v>1149.1199999999999</v>
      </c>
      <c r="J23" s="43">
        <v>0</v>
      </c>
      <c r="K23" s="43">
        <v>1149.1199999999999</v>
      </c>
      <c r="L23" s="43">
        <v>1002.09</v>
      </c>
      <c r="M23" s="48">
        <f ca="1">'DCF Calc 4'!Q38</f>
        <v>1002.13</v>
      </c>
      <c r="N23" s="43">
        <f ca="1">Loan_Level_Results469[[#This Row],[NPV]]-Loan_Level_Results469[[#This Row],[DCF CALC NPV]]</f>
        <v>-3.999999999996362E-2</v>
      </c>
      <c r="O23" s="43">
        <f>Loan_Level_Results469[[#This Row],[Principal Payment]]+Loan_Level_Results469[[#This Row],[Interest]]</f>
        <v>0</v>
      </c>
    </row>
    <row r="24" spans="1:15" x14ac:dyDescent="0.3">
      <c r="A24" s="45">
        <v>46538</v>
      </c>
      <c r="B24" s="44">
        <v>23</v>
      </c>
      <c r="C24" s="43">
        <v>0</v>
      </c>
      <c r="D24" s="43">
        <v>0</v>
      </c>
      <c r="E24" s="43">
        <v>0</v>
      </c>
      <c r="F24" s="43">
        <v>0</v>
      </c>
      <c r="G24" s="43">
        <v>0</v>
      </c>
      <c r="H24" s="43">
        <v>0</v>
      </c>
      <c r="I24" s="43">
        <v>1146.55</v>
      </c>
      <c r="J24" s="43">
        <v>0</v>
      </c>
      <c r="K24" s="43">
        <v>1146.55</v>
      </c>
      <c r="L24" s="43">
        <v>993.65</v>
      </c>
      <c r="M24" s="48">
        <f ca="1">'DCF Calc 4'!Q39</f>
        <v>993.56</v>
      </c>
      <c r="N24" s="43">
        <f ca="1">Loan_Level_Results469[[#This Row],[NPV]]-Loan_Level_Results469[[#This Row],[DCF CALC NPV]]</f>
        <v>9.0000000000031832E-2</v>
      </c>
      <c r="O24" s="43">
        <f>Loan_Level_Results469[[#This Row],[Principal Payment]]+Loan_Level_Results469[[#This Row],[Interest]]</f>
        <v>0</v>
      </c>
    </row>
    <row r="25" spans="1:15" x14ac:dyDescent="0.3">
      <c r="A25" s="45">
        <v>46568</v>
      </c>
      <c r="B25" s="44">
        <v>24</v>
      </c>
      <c r="C25" s="43">
        <v>0</v>
      </c>
      <c r="D25" s="43">
        <v>0</v>
      </c>
      <c r="E25" s="43">
        <v>0</v>
      </c>
      <c r="F25" s="43">
        <v>0</v>
      </c>
      <c r="G25" s="43">
        <v>0</v>
      </c>
      <c r="H25" s="43">
        <v>0</v>
      </c>
      <c r="I25" s="43">
        <v>1143.98</v>
      </c>
      <c r="J25" s="43">
        <v>0</v>
      </c>
      <c r="K25" s="43">
        <v>1143.98</v>
      </c>
      <c r="L25" s="43">
        <v>985.27</v>
      </c>
      <c r="M25" s="48">
        <f ca="1">'DCF Calc 4'!Q40</f>
        <v>985.27</v>
      </c>
      <c r="N25" s="43">
        <f ca="1">Loan_Level_Results469[[#This Row],[NPV]]-Loan_Level_Results469[[#This Row],[DCF CALC NPV]]</f>
        <v>0</v>
      </c>
      <c r="O25" s="43">
        <f>Loan_Level_Results469[[#This Row],[Principal Payment]]+Loan_Level_Results469[[#This Row],[Interest]]</f>
        <v>0</v>
      </c>
    </row>
    <row r="26" spans="1:15" x14ac:dyDescent="0.3">
      <c r="A26" s="45">
        <v>46599</v>
      </c>
      <c r="B26" s="44">
        <v>25</v>
      </c>
      <c r="C26" s="43">
        <v>0</v>
      </c>
      <c r="D26" s="43">
        <v>0</v>
      </c>
      <c r="E26" s="43">
        <v>0</v>
      </c>
      <c r="F26" s="43">
        <v>0</v>
      </c>
      <c r="G26" s="43">
        <v>0</v>
      </c>
      <c r="H26" s="43">
        <v>0</v>
      </c>
      <c r="I26" s="43">
        <v>1195.83</v>
      </c>
      <c r="J26" s="43">
        <v>0</v>
      </c>
      <c r="K26" s="43">
        <v>1195.83</v>
      </c>
      <c r="L26" s="43">
        <v>1023.54</v>
      </c>
      <c r="M26" s="48">
        <f ca="1">'DCF Calc 4'!Q41</f>
        <v>1023.41</v>
      </c>
      <c r="N26" s="43">
        <f ca="1">Loan_Level_Results469[[#This Row],[NPV]]-Loan_Level_Results469[[#This Row],[DCF CALC NPV]]</f>
        <v>0.12999999999999545</v>
      </c>
      <c r="O26" s="43">
        <f>Loan_Level_Results469[[#This Row],[Principal Payment]]+Loan_Level_Results469[[#This Row],[Interest]]</f>
        <v>0</v>
      </c>
    </row>
    <row r="27" spans="1:15" x14ac:dyDescent="0.3">
      <c r="A27" s="45">
        <v>46630</v>
      </c>
      <c r="B27" s="44">
        <v>26</v>
      </c>
      <c r="C27" s="43">
        <v>0</v>
      </c>
      <c r="D27" s="43">
        <v>0</v>
      </c>
      <c r="E27" s="43">
        <v>0</v>
      </c>
      <c r="F27" s="43">
        <v>0</v>
      </c>
      <c r="G27" s="43">
        <v>0</v>
      </c>
      <c r="H27" s="43">
        <v>0</v>
      </c>
      <c r="I27" s="43">
        <v>1193.1199999999999</v>
      </c>
      <c r="J27" s="43">
        <v>0</v>
      </c>
      <c r="K27" s="43">
        <v>1193.1199999999999</v>
      </c>
      <c r="L27" s="43">
        <v>1014.88</v>
      </c>
      <c r="M27" s="48">
        <f ca="1">'DCF Calc 4'!Q42</f>
        <v>1014.64</v>
      </c>
      <c r="N27" s="43">
        <f ca="1">Loan_Level_Results469[[#This Row],[NPV]]-Loan_Level_Results469[[#This Row],[DCF CALC NPV]]</f>
        <v>0.24000000000000909</v>
      </c>
      <c r="O27" s="43">
        <f>Loan_Level_Results469[[#This Row],[Principal Payment]]+Loan_Level_Results469[[#This Row],[Interest]]</f>
        <v>0</v>
      </c>
    </row>
    <row r="28" spans="1:15" x14ac:dyDescent="0.3">
      <c r="A28" s="45">
        <v>46660</v>
      </c>
      <c r="B28" s="44">
        <v>27</v>
      </c>
      <c r="C28" s="43">
        <v>0</v>
      </c>
      <c r="D28" s="43">
        <v>0</v>
      </c>
      <c r="E28" s="43">
        <v>0</v>
      </c>
      <c r="F28" s="43">
        <v>0</v>
      </c>
      <c r="G28" s="43">
        <v>0</v>
      </c>
      <c r="H28" s="43">
        <v>0</v>
      </c>
      <c r="I28" s="43">
        <v>1190.4100000000001</v>
      </c>
      <c r="J28" s="43">
        <v>0</v>
      </c>
      <c r="K28" s="43">
        <v>1190.4100000000001</v>
      </c>
      <c r="L28" s="43">
        <v>1006.29</v>
      </c>
      <c r="M28" s="48">
        <f ca="1">'DCF Calc 4'!Q43</f>
        <v>1006.14</v>
      </c>
      <c r="N28" s="43">
        <f ca="1">Loan_Level_Results469[[#This Row],[NPV]]-Loan_Level_Results469[[#This Row],[DCF CALC NPV]]</f>
        <v>0.14999999999997726</v>
      </c>
      <c r="O28" s="43">
        <f>Loan_Level_Results469[[#This Row],[Principal Payment]]+Loan_Level_Results469[[#This Row],[Interest]]</f>
        <v>0</v>
      </c>
    </row>
    <row r="29" spans="1:15" x14ac:dyDescent="0.3">
      <c r="A29" s="45">
        <v>46691</v>
      </c>
      <c r="B29" s="44">
        <v>28</v>
      </c>
      <c r="C29" s="43">
        <v>0</v>
      </c>
      <c r="D29" s="43">
        <v>0</v>
      </c>
      <c r="E29" s="43">
        <v>0</v>
      </c>
      <c r="F29" s="43">
        <v>0</v>
      </c>
      <c r="G29" s="43">
        <v>0</v>
      </c>
      <c r="H29" s="43">
        <v>0</v>
      </c>
      <c r="I29" s="43">
        <v>1241.68</v>
      </c>
      <c r="J29" s="43">
        <v>0</v>
      </c>
      <c r="K29" s="43">
        <v>1241.68</v>
      </c>
      <c r="L29" s="43">
        <v>1043.1199999999999</v>
      </c>
      <c r="M29" s="48">
        <f ca="1">'DCF Calc 4'!Q44</f>
        <v>1042.8399999999999</v>
      </c>
      <c r="N29" s="43">
        <f ca="1">Loan_Level_Results469[[#This Row],[NPV]]-Loan_Level_Results469[[#This Row],[DCF CALC NPV]]</f>
        <v>0.27999999999997272</v>
      </c>
      <c r="O29" s="43">
        <f>Loan_Level_Results469[[#This Row],[Principal Payment]]+Loan_Level_Results469[[#This Row],[Interest]]</f>
        <v>0</v>
      </c>
    </row>
    <row r="30" spans="1:15" x14ac:dyDescent="0.3">
      <c r="A30" s="45"/>
      <c r="B30" s="44"/>
      <c r="C30" s="43"/>
      <c r="D30" s="43"/>
      <c r="E30" s="43"/>
      <c r="F30" s="43"/>
      <c r="G30" s="43"/>
      <c r="H30" s="43"/>
      <c r="I30" s="43"/>
      <c r="J30" s="43"/>
      <c r="K30" s="43"/>
      <c r="L30" s="43"/>
      <c r="M30" s="48"/>
      <c r="N30" s="43"/>
      <c r="O30" s="43"/>
    </row>
    <row r="31" spans="1:15" x14ac:dyDescent="0.3">
      <c r="A31" s="45"/>
      <c r="B31" s="44"/>
      <c r="C31" s="43"/>
      <c r="D31" s="43"/>
      <c r="E31" s="43"/>
      <c r="F31" s="43"/>
      <c r="G31" s="43"/>
      <c r="H31" s="43"/>
      <c r="I31" s="43"/>
      <c r="J31" s="43"/>
      <c r="K31" s="43"/>
      <c r="L31" s="43"/>
      <c r="M31" s="48"/>
      <c r="N31" s="43"/>
      <c r="O31" s="43"/>
    </row>
    <row r="32" spans="1:15" x14ac:dyDescent="0.3">
      <c r="A32" s="45"/>
      <c r="B32" s="44"/>
      <c r="C32" s="43"/>
      <c r="D32" s="43"/>
      <c r="E32" s="43"/>
      <c r="F32" s="43"/>
      <c r="G32" s="43"/>
      <c r="H32" s="43"/>
      <c r="I32" s="43"/>
      <c r="J32" s="43"/>
      <c r="K32" s="43"/>
      <c r="L32" s="43"/>
      <c r="M32" s="48"/>
      <c r="N32" s="43"/>
      <c r="O32" s="43"/>
    </row>
    <row r="33" spans="1:15" x14ac:dyDescent="0.3">
      <c r="A33" s="45"/>
      <c r="B33" s="44"/>
      <c r="C33" s="43"/>
      <c r="D33" s="43"/>
      <c r="E33" s="43"/>
      <c r="F33" s="43"/>
      <c r="G33" s="43"/>
      <c r="H33" s="43"/>
      <c r="I33" s="43"/>
      <c r="J33" s="43"/>
      <c r="K33" s="43"/>
      <c r="L33" s="43"/>
      <c r="M33" s="48"/>
      <c r="N33" s="43"/>
      <c r="O33" s="43"/>
    </row>
    <row r="34" spans="1:15" x14ac:dyDescent="0.3">
      <c r="A34" s="45"/>
      <c r="B34" s="44"/>
      <c r="C34" s="43"/>
      <c r="D34" s="43"/>
      <c r="E34" s="43"/>
      <c r="F34" s="43"/>
      <c r="G34" s="43"/>
      <c r="H34" s="43"/>
      <c r="I34" s="43"/>
      <c r="J34" s="43"/>
      <c r="K34" s="43"/>
      <c r="L34" s="43"/>
      <c r="M34" s="48"/>
      <c r="N34" s="43"/>
      <c r="O34" s="43"/>
    </row>
    <row r="35" spans="1:15" x14ac:dyDescent="0.3">
      <c r="A35" s="45"/>
      <c r="B35" s="44"/>
      <c r="C35" s="43"/>
      <c r="D35" s="43"/>
      <c r="E35" s="43"/>
      <c r="F35" s="43"/>
      <c r="G35" s="43"/>
      <c r="H35" s="43"/>
      <c r="I35" s="43"/>
      <c r="J35" s="43"/>
      <c r="K35" s="43"/>
      <c r="L35" s="43"/>
      <c r="M35" s="48"/>
      <c r="N35" s="43"/>
      <c r="O35" s="43"/>
    </row>
    <row r="36" spans="1:15" x14ac:dyDescent="0.3">
      <c r="A36" s="45"/>
      <c r="B36" s="44"/>
      <c r="C36" s="43"/>
      <c r="D36" s="43"/>
      <c r="E36" s="43"/>
      <c r="F36" s="43"/>
      <c r="G36" s="43"/>
      <c r="H36" s="43"/>
      <c r="I36" s="43"/>
      <c r="J36" s="43"/>
      <c r="K36" s="43"/>
      <c r="L36" s="43"/>
      <c r="M36" s="48"/>
      <c r="N36" s="43"/>
      <c r="O36" s="43"/>
    </row>
    <row r="37" spans="1:15" x14ac:dyDescent="0.3">
      <c r="A37" s="45"/>
      <c r="B37" s="44"/>
      <c r="C37" s="43"/>
      <c r="D37" s="43"/>
      <c r="E37" s="43"/>
      <c r="F37" s="43"/>
      <c r="G37" s="43"/>
      <c r="H37" s="43"/>
      <c r="I37" s="43"/>
      <c r="J37" s="43"/>
      <c r="K37" s="43"/>
      <c r="L37" s="43"/>
      <c r="M37" s="48"/>
      <c r="N37" s="43"/>
      <c r="O37" s="43"/>
    </row>
    <row r="38" spans="1:15" x14ac:dyDescent="0.3">
      <c r="A38" s="45"/>
      <c r="B38" s="44"/>
      <c r="C38" s="43"/>
      <c r="D38" s="43"/>
      <c r="E38" s="43"/>
      <c r="F38" s="43"/>
      <c r="G38" s="43"/>
      <c r="H38" s="43"/>
      <c r="I38" s="43"/>
      <c r="J38" s="43"/>
      <c r="K38" s="43"/>
      <c r="L38" s="43"/>
      <c r="M38" s="48"/>
      <c r="N38" s="43"/>
      <c r="O38" s="43"/>
    </row>
    <row r="39" spans="1:15" x14ac:dyDescent="0.3">
      <c r="A39" s="45"/>
      <c r="B39" s="44"/>
      <c r="C39" s="43"/>
      <c r="D39" s="43"/>
      <c r="E39" s="43"/>
      <c r="F39" s="43"/>
      <c r="G39" s="43"/>
      <c r="H39" s="43"/>
      <c r="I39" s="43"/>
      <c r="J39" s="43"/>
      <c r="K39" s="43"/>
      <c r="L39" s="43"/>
      <c r="M39" s="48"/>
      <c r="N39" s="43"/>
      <c r="O39" s="43"/>
    </row>
    <row r="40" spans="1:15" x14ac:dyDescent="0.3">
      <c r="A40" s="45"/>
      <c r="B40" s="44"/>
      <c r="C40" s="43"/>
      <c r="D40" s="43"/>
      <c r="E40" s="43"/>
      <c r="F40" s="43"/>
      <c r="G40" s="43"/>
      <c r="H40" s="43"/>
      <c r="I40" s="43"/>
      <c r="J40" s="43"/>
      <c r="K40" s="43"/>
      <c r="L40" s="43"/>
      <c r="M40" s="48"/>
      <c r="N40" s="43"/>
      <c r="O40" s="43"/>
    </row>
    <row r="41" spans="1:15" x14ac:dyDescent="0.3">
      <c r="A41" s="45"/>
      <c r="B41" s="44"/>
      <c r="C41" s="43"/>
      <c r="D41" s="43"/>
      <c r="E41" s="43"/>
      <c r="F41" s="43"/>
      <c r="G41" s="43"/>
      <c r="H41" s="43"/>
      <c r="I41" s="43"/>
      <c r="J41" s="43"/>
      <c r="K41" s="43"/>
      <c r="L41" s="43"/>
      <c r="M41" s="48"/>
      <c r="N41" s="43"/>
      <c r="O41" s="43"/>
    </row>
    <row r="42" spans="1:15" x14ac:dyDescent="0.3">
      <c r="A42" s="45"/>
      <c r="B42" s="44"/>
      <c r="C42" s="43"/>
      <c r="D42" s="43"/>
      <c r="E42" s="43"/>
      <c r="F42" s="43"/>
      <c r="G42" s="43"/>
      <c r="H42" s="43"/>
      <c r="I42" s="43"/>
      <c r="J42" s="43"/>
      <c r="K42" s="43"/>
      <c r="L42" s="43"/>
      <c r="M42" s="48"/>
      <c r="N42" s="43"/>
      <c r="O42" s="43"/>
    </row>
    <row r="43" spans="1:15" x14ac:dyDescent="0.3">
      <c r="A43" s="45"/>
      <c r="B43" s="44"/>
      <c r="C43" s="43"/>
      <c r="D43" s="43"/>
      <c r="E43" s="43"/>
      <c r="F43" s="43"/>
      <c r="G43" s="43"/>
      <c r="H43" s="43"/>
      <c r="I43" s="43"/>
      <c r="J43" s="43"/>
      <c r="K43" s="43"/>
      <c r="L43" s="43"/>
      <c r="M43" s="48"/>
      <c r="N43" s="43"/>
      <c r="O43" s="43"/>
    </row>
    <row r="44" spans="1:15" x14ac:dyDescent="0.3">
      <c r="A44" s="45"/>
      <c r="B44" s="44"/>
      <c r="C44" s="43"/>
      <c r="D44" s="43"/>
      <c r="E44" s="43"/>
      <c r="F44" s="43"/>
      <c r="G44" s="43"/>
      <c r="H44" s="43"/>
      <c r="I44" s="43"/>
      <c r="J44" s="43"/>
      <c r="K44" s="43"/>
      <c r="L44" s="43"/>
      <c r="M44" s="48"/>
      <c r="N44" s="43"/>
      <c r="O44" s="43"/>
    </row>
    <row r="45" spans="1:15" x14ac:dyDescent="0.3">
      <c r="A45" s="45"/>
      <c r="B45" s="44"/>
      <c r="C45" s="43"/>
      <c r="D45" s="43"/>
      <c r="E45" s="43"/>
      <c r="F45" s="43"/>
      <c r="G45" s="43"/>
      <c r="H45" s="43"/>
      <c r="I45" s="43"/>
      <c r="J45" s="43"/>
      <c r="K45" s="43"/>
      <c r="L45" s="43"/>
      <c r="M45" s="48"/>
      <c r="N45" s="43"/>
      <c r="O45" s="43"/>
    </row>
    <row r="46" spans="1:15" x14ac:dyDescent="0.3">
      <c r="A46" s="45"/>
      <c r="B46" s="44"/>
      <c r="C46" s="43"/>
      <c r="D46" s="43"/>
      <c r="E46" s="43"/>
      <c r="F46" s="43"/>
      <c r="G46" s="43"/>
      <c r="H46" s="43"/>
      <c r="I46" s="43"/>
      <c r="J46" s="43"/>
      <c r="K46" s="43"/>
      <c r="L46" s="43"/>
      <c r="M46" s="48"/>
      <c r="N46" s="43"/>
      <c r="O46" s="43"/>
    </row>
    <row r="47" spans="1:15" x14ac:dyDescent="0.3">
      <c r="A47" s="45"/>
      <c r="B47" s="44"/>
      <c r="C47" s="43"/>
      <c r="D47" s="43"/>
      <c r="E47" s="43"/>
      <c r="F47" s="43"/>
      <c r="G47" s="43"/>
      <c r="H47" s="43"/>
      <c r="I47" s="43"/>
      <c r="J47" s="43"/>
      <c r="K47" s="43"/>
      <c r="L47" s="43"/>
      <c r="M47" s="48"/>
      <c r="N47" s="43"/>
      <c r="O47" s="43"/>
    </row>
    <row r="48" spans="1:15" x14ac:dyDescent="0.3">
      <c r="A48" s="45"/>
      <c r="B48" s="44"/>
      <c r="C48" s="43"/>
      <c r="D48" s="43"/>
      <c r="E48" s="43"/>
      <c r="F48" s="43"/>
      <c r="G48" s="43"/>
      <c r="H48" s="43"/>
      <c r="I48" s="43"/>
      <c r="J48" s="43"/>
      <c r="K48" s="43"/>
      <c r="L48" s="43"/>
      <c r="M48" s="48"/>
      <c r="N48" s="43"/>
      <c r="O48" s="43"/>
    </row>
    <row r="49" spans="1:15" x14ac:dyDescent="0.3">
      <c r="A49" s="45"/>
      <c r="B49" s="44"/>
      <c r="C49" s="43"/>
      <c r="D49" s="43"/>
      <c r="E49" s="43"/>
      <c r="F49" s="43"/>
      <c r="G49" s="43"/>
      <c r="H49" s="43"/>
      <c r="I49" s="43"/>
      <c r="J49" s="43"/>
      <c r="K49" s="43"/>
      <c r="L49" s="43"/>
      <c r="M49" s="48"/>
      <c r="N49" s="43"/>
      <c r="O49" s="43"/>
    </row>
    <row r="50" spans="1:15" x14ac:dyDescent="0.3">
      <c r="A50" s="45"/>
      <c r="B50" s="44"/>
      <c r="C50" s="43"/>
      <c r="D50" s="43"/>
      <c r="E50" s="43"/>
      <c r="F50" s="43"/>
      <c r="G50" s="43"/>
      <c r="H50" s="43"/>
      <c r="I50" s="43"/>
      <c r="J50" s="43"/>
      <c r="K50" s="43"/>
      <c r="L50" s="43"/>
      <c r="M50" s="48"/>
      <c r="N50" s="43"/>
      <c r="O50" s="43"/>
    </row>
    <row r="51" spans="1:15" x14ac:dyDescent="0.3">
      <c r="A51" s="45"/>
      <c r="B51" s="44"/>
      <c r="C51" s="43"/>
      <c r="D51" s="43"/>
      <c r="E51" s="43"/>
      <c r="F51" s="43"/>
      <c r="G51" s="43"/>
      <c r="H51" s="43"/>
      <c r="I51" s="43"/>
      <c r="J51" s="43"/>
      <c r="K51" s="43"/>
      <c r="L51" s="43"/>
      <c r="M51" s="48"/>
      <c r="N51" s="43"/>
      <c r="O51" s="43"/>
    </row>
    <row r="52" spans="1:15" x14ac:dyDescent="0.3">
      <c r="A52" s="45"/>
      <c r="B52" s="44"/>
      <c r="C52" s="43"/>
      <c r="D52" s="43"/>
      <c r="E52" s="43"/>
      <c r="F52" s="43"/>
      <c r="G52" s="43"/>
      <c r="H52" s="43"/>
      <c r="I52" s="43"/>
      <c r="J52" s="43"/>
      <c r="K52" s="43"/>
      <c r="L52" s="43"/>
      <c r="M52" s="48"/>
      <c r="N52" s="43"/>
      <c r="O52" s="43"/>
    </row>
    <row r="53" spans="1:15" x14ac:dyDescent="0.3">
      <c r="A53" s="45"/>
      <c r="B53" s="44"/>
      <c r="C53" s="43"/>
      <c r="D53" s="43"/>
      <c r="E53" s="43"/>
      <c r="F53" s="43"/>
      <c r="G53" s="43"/>
      <c r="H53" s="43"/>
      <c r="I53" s="43"/>
      <c r="J53" s="43"/>
      <c r="K53" s="43"/>
      <c r="L53" s="43"/>
      <c r="M53" s="48"/>
      <c r="N53" s="43"/>
      <c r="O53" s="43"/>
    </row>
    <row r="54" spans="1:15" x14ac:dyDescent="0.3">
      <c r="A54" s="45"/>
      <c r="B54" s="44"/>
      <c r="C54" s="43"/>
      <c r="D54" s="43"/>
      <c r="E54" s="43"/>
      <c r="F54" s="43"/>
      <c r="G54" s="43"/>
      <c r="H54" s="43"/>
      <c r="I54" s="43"/>
      <c r="J54" s="43"/>
      <c r="K54" s="43"/>
      <c r="L54" s="43"/>
      <c r="M54" s="48"/>
      <c r="N54" s="43"/>
      <c r="O54" s="43"/>
    </row>
    <row r="55" spans="1:15" x14ac:dyDescent="0.3">
      <c r="A55" s="45"/>
      <c r="B55" s="44"/>
      <c r="C55" s="43"/>
      <c r="D55" s="43"/>
      <c r="E55" s="43"/>
      <c r="F55" s="43"/>
      <c r="G55" s="43"/>
      <c r="H55" s="43"/>
      <c r="I55" s="43"/>
      <c r="J55" s="43"/>
      <c r="K55" s="43"/>
      <c r="L55" s="43"/>
      <c r="M55" s="48"/>
      <c r="N55" s="43"/>
      <c r="O55" s="43"/>
    </row>
    <row r="56" spans="1:15" x14ac:dyDescent="0.3">
      <c r="A56" s="45"/>
      <c r="B56" s="44"/>
      <c r="C56" s="43"/>
      <c r="D56" s="43"/>
      <c r="E56" s="43"/>
      <c r="F56" s="43"/>
      <c r="G56" s="43"/>
      <c r="H56" s="43"/>
      <c r="I56" s="43"/>
      <c r="J56" s="43"/>
      <c r="K56" s="43"/>
      <c r="L56" s="43"/>
      <c r="M56" s="48"/>
      <c r="N56" s="43"/>
      <c r="O56" s="43"/>
    </row>
    <row r="57" spans="1:15" x14ac:dyDescent="0.3">
      <c r="A57" s="45"/>
      <c r="B57" s="44"/>
      <c r="C57" s="43"/>
      <c r="D57" s="43"/>
      <c r="E57" s="43"/>
      <c r="F57" s="43"/>
      <c r="G57" s="43"/>
      <c r="H57" s="43"/>
      <c r="I57" s="43"/>
      <c r="J57" s="43"/>
      <c r="K57" s="43"/>
      <c r="L57" s="43"/>
      <c r="M57" s="48"/>
      <c r="N57" s="43"/>
      <c r="O57" s="43"/>
    </row>
    <row r="58" spans="1:15" x14ac:dyDescent="0.3">
      <c r="A58" s="45"/>
      <c r="B58" s="44"/>
      <c r="C58" s="43"/>
      <c r="D58" s="43"/>
      <c r="E58" s="43"/>
      <c r="F58" s="43"/>
      <c r="G58" s="43"/>
      <c r="H58" s="43"/>
      <c r="I58" s="43"/>
      <c r="J58" s="43"/>
      <c r="K58" s="43"/>
      <c r="L58" s="43"/>
      <c r="M58" s="48"/>
      <c r="N58" s="43"/>
      <c r="O58" s="43"/>
    </row>
    <row r="59" spans="1:15" x14ac:dyDescent="0.3">
      <c r="A59" s="45"/>
      <c r="B59" s="44"/>
      <c r="C59" s="43"/>
      <c r="D59" s="43"/>
      <c r="E59" s="43"/>
      <c r="F59" s="43"/>
      <c r="G59" s="43"/>
      <c r="H59" s="43"/>
      <c r="I59" s="43"/>
      <c r="J59" s="43"/>
      <c r="K59" s="43"/>
      <c r="L59" s="43"/>
      <c r="M59" s="48"/>
      <c r="N59" s="43"/>
      <c r="O59" s="43"/>
    </row>
    <row r="60" spans="1:15" x14ac:dyDescent="0.3">
      <c r="A60" s="45"/>
      <c r="B60" s="44"/>
      <c r="C60" s="43"/>
      <c r="D60" s="43"/>
      <c r="E60" s="43"/>
      <c r="F60" s="43"/>
      <c r="G60" s="43"/>
      <c r="H60" s="43"/>
      <c r="I60" s="43"/>
      <c r="J60" s="43"/>
      <c r="K60" s="43"/>
      <c r="L60" s="43"/>
      <c r="M60" s="48"/>
      <c r="N60" s="43"/>
      <c r="O60" s="43"/>
    </row>
    <row r="61" spans="1:15" x14ac:dyDescent="0.3">
      <c r="A61" s="45"/>
      <c r="B61" s="44"/>
      <c r="C61" s="43"/>
      <c r="D61" s="43"/>
      <c r="E61" s="43"/>
      <c r="F61" s="43"/>
      <c r="G61" s="43"/>
      <c r="H61" s="43"/>
      <c r="I61" s="43"/>
      <c r="J61" s="43"/>
      <c r="K61" s="43"/>
      <c r="L61" s="43"/>
      <c r="M61" s="48"/>
      <c r="N61" s="43"/>
      <c r="O61" s="43"/>
    </row>
    <row r="62" spans="1:15" x14ac:dyDescent="0.3">
      <c r="A62" s="45"/>
      <c r="B62" s="44"/>
      <c r="C62" s="43"/>
      <c r="D62" s="43"/>
      <c r="E62" s="43"/>
      <c r="F62" s="43"/>
      <c r="G62" s="43"/>
      <c r="H62" s="43"/>
      <c r="I62" s="43"/>
      <c r="J62" s="43"/>
      <c r="K62" s="43"/>
      <c r="L62" s="43"/>
      <c r="M62" s="48"/>
      <c r="N62" s="43"/>
      <c r="O62" s="43"/>
    </row>
    <row r="63" spans="1:15" x14ac:dyDescent="0.3">
      <c r="A63" s="45"/>
      <c r="B63" s="44"/>
      <c r="C63" s="43"/>
      <c r="D63" s="43"/>
      <c r="E63" s="43"/>
      <c r="F63" s="43"/>
      <c r="G63" s="43"/>
      <c r="H63" s="43"/>
      <c r="I63" s="43"/>
      <c r="J63" s="43"/>
      <c r="K63" s="43"/>
      <c r="L63" s="43"/>
      <c r="M63" s="48"/>
      <c r="N63" s="43"/>
      <c r="O63" s="43"/>
    </row>
    <row r="64" spans="1:15" x14ac:dyDescent="0.3">
      <c r="A64" s="45"/>
      <c r="B64" s="44"/>
      <c r="C64" s="43"/>
      <c r="D64" s="43"/>
      <c r="E64" s="43"/>
      <c r="F64" s="43"/>
      <c r="G64" s="43"/>
      <c r="H64" s="43"/>
      <c r="I64" s="43"/>
      <c r="J64" s="43"/>
      <c r="K64" s="43"/>
      <c r="L64" s="43"/>
      <c r="M64" s="48"/>
      <c r="N64" s="43"/>
      <c r="O64" s="43"/>
    </row>
    <row r="65" spans="1:15" x14ac:dyDescent="0.3">
      <c r="A65" s="45"/>
      <c r="B65" s="44"/>
      <c r="C65" s="43"/>
      <c r="D65" s="43"/>
      <c r="E65" s="43"/>
      <c r="F65" s="43"/>
      <c r="G65" s="43"/>
      <c r="H65" s="43"/>
      <c r="I65" s="43"/>
      <c r="J65" s="43"/>
      <c r="K65" s="43"/>
      <c r="L65" s="43"/>
      <c r="M65" s="48"/>
      <c r="N65" s="43"/>
      <c r="O65" s="43"/>
    </row>
    <row r="66" spans="1:15" x14ac:dyDescent="0.3">
      <c r="A66" s="45"/>
      <c r="B66" s="44"/>
      <c r="C66" s="43"/>
      <c r="D66" s="43"/>
      <c r="E66" s="43"/>
      <c r="F66" s="43"/>
      <c r="G66" s="43"/>
      <c r="H66" s="43"/>
      <c r="I66" s="43"/>
      <c r="J66" s="43"/>
      <c r="K66" s="43"/>
      <c r="L66" s="43"/>
      <c r="M66" s="48"/>
      <c r="N66" s="43"/>
      <c r="O66" s="43"/>
    </row>
    <row r="67" spans="1:15" x14ac:dyDescent="0.3">
      <c r="A67" s="45"/>
      <c r="B67" s="44"/>
      <c r="C67" s="43"/>
      <c r="D67" s="43"/>
      <c r="E67" s="43"/>
      <c r="F67" s="43"/>
      <c r="G67" s="43"/>
      <c r="H67" s="43"/>
      <c r="I67" s="43"/>
      <c r="J67" s="43"/>
      <c r="K67" s="43"/>
      <c r="L67" s="43"/>
      <c r="M67" s="48"/>
      <c r="N67" s="43"/>
      <c r="O67" s="43"/>
    </row>
    <row r="68" spans="1:15" x14ac:dyDescent="0.3">
      <c r="A68" s="45"/>
      <c r="B68" s="44"/>
      <c r="C68" s="43"/>
      <c r="D68" s="43"/>
      <c r="E68" s="43"/>
      <c r="F68" s="43"/>
      <c r="G68" s="43"/>
      <c r="H68" s="43"/>
      <c r="I68" s="43"/>
      <c r="J68" s="43"/>
      <c r="K68" s="43"/>
      <c r="L68" s="43"/>
      <c r="M68" s="48"/>
      <c r="N68" s="43"/>
      <c r="O68" s="43"/>
    </row>
    <row r="69" spans="1:15" x14ac:dyDescent="0.3">
      <c r="A69" s="45"/>
      <c r="B69" s="44"/>
      <c r="C69" s="43"/>
      <c r="D69" s="43"/>
      <c r="E69" s="43"/>
      <c r="F69" s="43"/>
      <c r="G69" s="43"/>
      <c r="H69" s="43"/>
      <c r="I69" s="43"/>
      <c r="J69" s="43"/>
      <c r="K69" s="43"/>
      <c r="L69" s="43"/>
      <c r="M69" s="48"/>
      <c r="N69" s="43"/>
      <c r="O69" s="43"/>
    </row>
    <row r="70" spans="1:15" x14ac:dyDescent="0.3">
      <c r="A70" s="45"/>
      <c r="B70" s="44"/>
      <c r="C70" s="43"/>
      <c r="D70" s="43"/>
      <c r="E70" s="43"/>
      <c r="F70" s="43"/>
      <c r="G70" s="43"/>
      <c r="H70" s="43"/>
      <c r="I70" s="43"/>
      <c r="J70" s="43"/>
      <c r="K70" s="43"/>
      <c r="L70" s="43"/>
      <c r="M70" s="48"/>
      <c r="N70" s="43"/>
      <c r="O70" s="43"/>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696B6-0FFE-4A7E-9ADF-3E6E3FC3EB9D}">
  <sheetPr codeName="Sheet8">
    <pageSetUpPr autoPageBreaks="0" fitToPage="1"/>
  </sheetPr>
  <dimension ref="B2:T385"/>
  <sheetViews>
    <sheetView showFormulas="1" workbookViewId="0">
      <selection activeCell="M4" sqref="M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6615575.4299999997</v>
      </c>
      <c r="D2" s="7" t="s">
        <v>1</v>
      </c>
      <c r="E2" s="24"/>
      <c r="F2" s="24"/>
      <c r="G2" s="24"/>
      <c r="I2" s="58" t="s">
        <v>9</v>
      </c>
      <c r="J2" s="58"/>
      <c r="L2" s="7" t="s">
        <v>10</v>
      </c>
      <c r="M2" s="12">
        <f ca="1">SUM(Table157810[Present Value])</f>
        <v>6555394.6499999994</v>
      </c>
    </row>
    <row r="3" spans="2:20" ht="12" x14ac:dyDescent="0.25">
      <c r="B3" s="7" t="s">
        <v>11</v>
      </c>
      <c r="C3" s="13" t="s">
        <v>76</v>
      </c>
      <c r="D3" s="7" t="s">
        <v>13</v>
      </c>
      <c r="E3" s="25"/>
      <c r="F3" s="25"/>
      <c r="G3" s="25"/>
      <c r="H3" s="20"/>
      <c r="I3" s="8" t="s">
        <v>14</v>
      </c>
      <c r="J3" s="11">
        <f>(IF(ISNUMBER(SEARCH("360",C7)),365/360,1))</f>
        <v>1.0138888888888888</v>
      </c>
      <c r="K3" s="8"/>
      <c r="L3" s="7" t="s">
        <v>15</v>
      </c>
      <c r="M3" s="16">
        <v>-34351.74</v>
      </c>
    </row>
    <row r="4" spans="2:20" ht="12" x14ac:dyDescent="0.25">
      <c r="B4" s="7" t="s">
        <v>16</v>
      </c>
      <c r="C4" s="31">
        <f>E10-E9+1</f>
        <v>58</v>
      </c>
      <c r="D4" s="7" t="s">
        <v>2</v>
      </c>
      <c r="E4" s="26"/>
      <c r="F4" s="26"/>
      <c r="G4" s="26"/>
      <c r="H4" s="8"/>
      <c r="I4" s="8" t="s">
        <v>17</v>
      </c>
      <c r="J4" s="9">
        <f>(1+C5*AmortizationMultiplier/12)^(12)-1</f>
        <v>7.2776473347432313E-2</v>
      </c>
      <c r="K4" s="8"/>
      <c r="L4" s="7" t="s">
        <v>18</v>
      </c>
      <c r="M4" s="12">
        <f ca="1">C2+M3-M2</f>
        <v>25829.040000000037</v>
      </c>
    </row>
    <row r="5" spans="2:20" ht="12" x14ac:dyDescent="0.25">
      <c r="B5" s="7" t="s">
        <v>19</v>
      </c>
      <c r="C5" s="14">
        <v>6.9490999999999997E-2</v>
      </c>
      <c r="D5" s="6"/>
      <c r="H5" s="7" t="s">
        <v>20</v>
      </c>
      <c r="I5" s="8" t="s">
        <v>21</v>
      </c>
      <c r="J5" s="9">
        <v>0</v>
      </c>
      <c r="K5" s="10"/>
      <c r="L5" s="7" t="s">
        <v>22</v>
      </c>
      <c r="M5" s="9">
        <f ca="1">M4/C2</f>
        <v>3.9042771521992968E-3</v>
      </c>
    </row>
    <row r="6" spans="2:20" ht="12" x14ac:dyDescent="0.25">
      <c r="B6" s="7" t="s">
        <v>23</v>
      </c>
      <c r="C6" s="16">
        <v>39127.65</v>
      </c>
      <c r="D6" s="7" t="s">
        <v>24</v>
      </c>
      <c r="E6" s="15">
        <v>3.3700000000000001E-2</v>
      </c>
      <c r="F6" s="27"/>
      <c r="G6" s="27"/>
      <c r="H6" s="7" t="s">
        <v>20</v>
      </c>
      <c r="I6" s="8" t="s">
        <v>25</v>
      </c>
      <c r="J6" s="15">
        <v>7.4202000000000004E-2</v>
      </c>
      <c r="K6" s="9">
        <f>(1+J6/12)^(12)-1</f>
        <v>7.6778299915101877E-2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25810.95</v>
      </c>
      <c r="O7" s="21"/>
    </row>
    <row r="8" spans="2:20" ht="12" x14ac:dyDescent="0.25">
      <c r="B8" s="7" t="s">
        <v>30</v>
      </c>
      <c r="C8" s="31" t="s">
        <v>31</v>
      </c>
      <c r="D8" s="7" t="s">
        <v>32</v>
      </c>
      <c r="E8" s="14">
        <v>2.0799999999999999E-2</v>
      </c>
      <c r="F8" s="24"/>
      <c r="G8" s="28"/>
      <c r="H8" s="7" t="s">
        <v>33</v>
      </c>
      <c r="I8" s="13" t="s">
        <v>34</v>
      </c>
      <c r="J8" s="15">
        <f>J6</f>
        <v>7.4202000000000004E-2</v>
      </c>
      <c r="K8" s="8"/>
      <c r="L8" s="7" t="s">
        <v>35</v>
      </c>
      <c r="M8" s="42">
        <f ca="1">M4-M7</f>
        <v>18.090000000036525</v>
      </c>
      <c r="O8" s="21"/>
    </row>
    <row r="9" spans="2:20" ht="12" x14ac:dyDescent="0.25">
      <c r="B9" s="7" t="s">
        <v>36</v>
      </c>
      <c r="C9" s="31" t="s">
        <v>31</v>
      </c>
      <c r="D9" s="7" t="s">
        <v>37</v>
      </c>
      <c r="E9" s="51">
        <v>12</v>
      </c>
      <c r="F9" s="8"/>
      <c r="G9" s="8"/>
      <c r="L9" s="7" t="s">
        <v>38</v>
      </c>
      <c r="M9" s="41">
        <f ca="1">M8/M4</f>
        <v>7.003744622346204E-4</v>
      </c>
      <c r="O9" s="21"/>
    </row>
    <row r="10" spans="2:20" ht="12" x14ac:dyDescent="0.25">
      <c r="B10" s="7" t="s">
        <v>39</v>
      </c>
      <c r="C10" s="31" t="s">
        <v>40</v>
      </c>
      <c r="D10" s="7" t="s">
        <v>41</v>
      </c>
      <c r="E10" s="52">
        <v>69</v>
      </c>
      <c r="G10" s="32"/>
      <c r="J10" s="37"/>
      <c r="K10" s="19"/>
      <c r="L10" s="8"/>
      <c r="M10" s="8"/>
      <c r="O10" s="21"/>
      <c r="Q10" s="3"/>
    </row>
    <row r="11" spans="2:20" ht="13.8" x14ac:dyDescent="0.3">
      <c r="B11" s="7" t="s">
        <v>42</v>
      </c>
      <c r="C11" s="31" t="s">
        <v>40</v>
      </c>
      <c r="D11" s="7" t="s">
        <v>43</v>
      </c>
      <c r="E11" s="47">
        <v>772500277</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841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6615575.4299999997</v>
      </c>
      <c r="E17" s="55">
        <f>ROUND(Table157810[[#This Row],[Beginning Balance]]*Table157810[[#This Row],[Monthly Interest Rate]],2)</f>
        <v>39587.25</v>
      </c>
      <c r="F17" s="4">
        <f>+C14</f>
        <v>841</v>
      </c>
      <c r="G17" s="4">
        <f>IFERROR(IF($C$13="No","N/A",IF(Table157810[[#This Row],[Period]]=1,$C$6,PMT(InterestRate*AmortizationMultiplier/12,Table157810[[#This Row],[Am Thru]],-Table157810[[#This Row],[Beginning Balance]]))),0)</f>
        <v>39127.65</v>
      </c>
      <c r="H17" s="55">
        <f>MAX(0,IF(C17=$C$4,D17,ROUND(IF($C$3="Fixed Principal",$C$6-Table157810[[#This Row],[Interest]],IF($C$3="Interest Only",Table157810[[#This Row],[Beginning Balance]]*ROUND(1-(1-IF($C$11="No",$E$8,1))^(1/12),6),MIN(IF($C$13="Yes",Table157810[[#This Row],[Payment Amount (Reamortized)]],$C$6)-Table157810[[#This Row],[Interest]],Table157810[[#This Row],[Beginning Balance]]))),2)))</f>
        <v>11577.26</v>
      </c>
      <c r="I17" s="4">
        <f>IF($C$3="Interest Only",0,ROUND(MAX(MIN(IF($C$10="No",$E$7,VLOOKUP(Table157810[[#This Row],[Period]],Forecast!$H$2:$L$1048576,4,FALSE))*Table157810[[#This Row],[Beginning Balance]],Table157810[[#This Row],[Beginning Balance]]-Table157810[[#This Row],[Principal]]),0),2))</f>
        <v>0</v>
      </c>
      <c r="J17" s="4">
        <f>ROUND(MIN(Table157810[[#This Row],[Beginning Balance]]*IF($C$8="No",$E$3,VLOOKUP(Table157810[[#This Row],[Period]],Forecast!$H$2:$L$1048576,2,FALSE)),Table157810[[#This Row],[Beginning Balance]]-Table157810[[#This Row],[Principal]]-Table157810[[#This Row],[Prepayments]]),2)</f>
        <v>3010.09</v>
      </c>
      <c r="K17" s="4">
        <f>ROUND(Table157810[[#This Row],[Defaulted Principal]]*IF($C$9="No",$E$4,VLOOKUP(Table157810[[#This Row],[Period]],Forecast!$H$2:$L$1048576,3,FALSE)),2)</f>
        <v>234.83</v>
      </c>
      <c r="L17" s="2">
        <f>Table157810[[#This Row],[Period]]+$E$9</f>
        <v>13</v>
      </c>
      <c r="M17" s="4">
        <f>Table157810[[#This Row],[Defaulted Principal]]-Table157810[[#This Row],[Estimated Loss]]</f>
        <v>2775.26</v>
      </c>
      <c r="N17" s="3">
        <f>IFERROR(VLOOKUP(Table157810[[#This Row],[Period]],$L$16:$M$28,2,FALSE),0)</f>
        <v>0</v>
      </c>
      <c r="O17" s="3">
        <f>Table157810[[#This Row],[Beginning Balance]]-Table157810[[#This Row],[Principal]]-Table157810[[#This Row],[Prepayments]]-Table157810[[#This Row],[Defaulted Principal]]</f>
        <v>6600988.0800000001</v>
      </c>
      <c r="P17" s="3">
        <f>Table157810[[#This Row],[Principal]]+Table157810[[#This Row],[Interest]]+Table157810[[#This Row],[Prepayments]]+Table157810[[#This Row],[RecoveredAmount]]</f>
        <v>51164.51</v>
      </c>
      <c r="Q17" s="3">
        <f ca="1">ROUND(Table157810[[#This Row],[Cash Flow]]/((1+ActualRateToUse)^(IF(ISNUMBER(SEARCH("Actual",$C$7)),Table157810[[#This Row],[Running Total]]/365,Table157810[[#This Row],[Period]]/12))),2)</f>
        <v>50854.41</v>
      </c>
      <c r="R17" s="2">
        <f>IF(MONTH(Table157810[[#This Row],[Date]])=2,28,DAY(DATE(YEAR(Table157810[[#This Row],[Date]]),MONTH(Table157810[[#This Row],[Date]])+1,1)-1))</f>
        <v>31</v>
      </c>
      <c r="S17" s="2">
        <f ca="1">SUM(OFFSET(Table157810[[#Headers],[Days in month]],1,0):Table157810[[#This Row],[Days in month]])</f>
        <v>31</v>
      </c>
      <c r="T17" s="37">
        <f>InterestRate*AmortizationMultiplier*IF(ISNUMBER(SEARCH("Actual",$C$7)),Table157810[[#This Row],[Days in month]]/365,1/12)</f>
        <v>5.9839472222222214E-3</v>
      </c>
    </row>
    <row r="18" spans="2:20" x14ac:dyDescent="0.2">
      <c r="B18" s="1">
        <v>45900</v>
      </c>
      <c r="C18" s="2">
        <f>C17+1</f>
        <v>2</v>
      </c>
      <c r="D18" s="3">
        <f t="shared" ref="D18:D81" si="0">O17</f>
        <v>6600988.0800000001</v>
      </c>
      <c r="E18" s="4">
        <f>ROUND(Table157810[[#This Row],[Beginning Balance]]*Table157810[[#This Row],[Monthly Interest Rate]],2)</f>
        <v>39499.96</v>
      </c>
      <c r="F18" s="4">
        <f>+F17-1</f>
        <v>840</v>
      </c>
      <c r="G18" s="4">
        <f>IFERROR(IF($C$13="No","N/A",IF(Table157810[[#This Row],[Period]]=1,$C$6,PMT(InterestRate*AmortizationMultiplier/12,Table157810[[#This Row],[Am Thru]],-Table157810[[#This Row],[Beginning Balance]]))),0)</f>
        <v>39042.371644440354</v>
      </c>
      <c r="H18" s="4">
        <f>MAX(0,IF(C18=$C$4,D18,ROUND(IF($C$3="Fixed Principal",$C$6-Table157810[[#This Row],[Interest]],IF($C$3="Interest Only",Table157810[[#This Row],[Beginning Balance]]*ROUND(1-(1-IF($C$11="No",$E$8,1))^(1/12),6),MIN(IF($C$13="Yes",Table157810[[#This Row],[Payment Amount (Reamortized)]],$C$6)-Table157810[[#This Row],[Interest]],Table157810[[#This Row],[Beginning Balance]]))),2)))</f>
        <v>11551.73</v>
      </c>
      <c r="I18" s="4">
        <f>IF($C$3="Interest Only",0,ROUND(MAX(MIN(IF($C$10="No",$E$7,VLOOKUP(Table157810[[#This Row],[Period]],Forecast!$H$2:$L$1048576,4,FALSE))*Table157810[[#This Row],[Beginning Balance]],Table157810[[#This Row],[Beginning Balance]]-Table157810[[#This Row],[Principal]]),0),2))</f>
        <v>0</v>
      </c>
      <c r="J18" s="4">
        <f>ROUND(MIN(Table157810[[#This Row],[Beginning Balance]]*IF($C$8="No",$E$3,VLOOKUP(Table157810[[#This Row],[Period]],Forecast!$H$2:$L$1048576,2,FALSE)),Table157810[[#This Row],[Beginning Balance]]-Table157810[[#This Row],[Principal]]-Table157810[[#This Row],[Prepayments]]),2)</f>
        <v>3003.45</v>
      </c>
      <c r="K18" s="4">
        <f>ROUND(Table157810[[#This Row],[Defaulted Principal]]*IF($C$9="No",$E$4,VLOOKUP(Table157810[[#This Row],[Period]],Forecast!$H$2:$L$1048576,3,FALSE)),2)</f>
        <v>234.31</v>
      </c>
      <c r="L18" s="2">
        <f>Table157810[[#This Row],[Period]]+$E$9</f>
        <v>14</v>
      </c>
      <c r="M18" s="4">
        <f>Table157810[[#This Row],[Defaulted Principal]]-Table157810[[#This Row],[Estimated Loss]]</f>
        <v>2769.14</v>
      </c>
      <c r="N18" s="3">
        <f>IFERROR(VLOOKUP(Table157810[[#This Row],[Period]],$L$16:$M$385,2,FALSE),0)</f>
        <v>0</v>
      </c>
      <c r="O18" s="4">
        <f>Table157810[[#This Row],[Beginning Balance]]-Table157810[[#This Row],[Principal]]-Table157810[[#This Row],[Prepayments]]-Table157810[[#This Row],[Defaulted Principal]]</f>
        <v>6586432.8999999994</v>
      </c>
      <c r="P18" s="3">
        <f>Table157810[[#This Row],[Principal]]+Table157810[[#This Row],[Interest]]+Table157810[[#This Row],[Prepayments]]+Table157810[[#This Row],[RecoveredAmount]]</f>
        <v>51051.69</v>
      </c>
      <c r="Q18" s="3">
        <f ca="1">ROUND(Table157810[[#This Row],[Cash Flow]]/((1+ActualRateToUse)^(IF(ISNUMBER(SEARCH("Actual",$C$7)),Table157810[[#This Row],[Running Total]]/365,Table157810[[#This Row],[Period]]/12))),2)</f>
        <v>50434.74</v>
      </c>
      <c r="R18" s="2">
        <f>IF(MONTH(Table157810[[#This Row],[Date]])=2,28,DAY(DATE(YEAR(Table157810[[#This Row],[Date]]),MONTH(Table157810[[#This Row],[Date]])+1,1)-1))</f>
        <v>31</v>
      </c>
      <c r="S18" s="2">
        <f ca="1">SUM(OFFSET(Table157810[[#Headers],[Days in month]],1,0):Table157810[[#This Row],[Days in month]])</f>
        <v>62</v>
      </c>
      <c r="T18" s="37">
        <f>InterestRate*AmortizationMultiplier*IF(ISNUMBER(SEARCH("Actual",$C$7)),Table157810[[#This Row],[Days in month]]/365,1/12)</f>
        <v>5.9839472222222214E-3</v>
      </c>
    </row>
    <row r="19" spans="2:20" x14ac:dyDescent="0.2">
      <c r="B19" s="1">
        <v>45930</v>
      </c>
      <c r="C19" s="2">
        <f t="shared" ref="C19:C82" si="1">C18+1</f>
        <v>3</v>
      </c>
      <c r="D19" s="3">
        <f t="shared" si="0"/>
        <v>6586432.8999999994</v>
      </c>
      <c r="E19" s="4">
        <f>ROUND(Table157810[[#This Row],[Beginning Balance]]*Table157810[[#This Row],[Monthly Interest Rate]],2)</f>
        <v>38141.480000000003</v>
      </c>
      <c r="F19" s="4">
        <f t="shared" ref="F19:F82" si="2">+F18-1</f>
        <v>839</v>
      </c>
      <c r="G19" s="50">
        <f>IFERROR(IF($C$13="No","N/A",IF(Table157810[[#This Row],[Period]]=1,$C$6,PMT(InterestRate*AmortizationMultiplier/12,Table157810[[#This Row],[Am Thru]],-Table157810[[#This Row],[Beginning Balance]]))),0)</f>
        <v>38957.969281682919</v>
      </c>
      <c r="H19" s="4">
        <f>MAX(0,IF(C19=$C$4,D19,ROUND(IF($C$3="Fixed Principal",$C$6-Table157810[[#This Row],[Interest]],IF($C$3="Interest Only",Table157810[[#This Row],[Beginning Balance]]*ROUND(1-(1-IF($C$11="No",$E$8,1))^(1/12),6),MIN(IF($C$13="Yes",Table157810[[#This Row],[Payment Amount (Reamortized)]],$C$6)-Table157810[[#This Row],[Interest]],Table157810[[#This Row],[Beginning Balance]]))),2)))</f>
        <v>11526.26</v>
      </c>
      <c r="I19" s="4">
        <f>IF($C$3="Interest Only",0,ROUND(MAX(MIN(IF($C$10="No",$E$7,VLOOKUP(Table157810[[#This Row],[Period]],Forecast!$H$2:$L$1048576,4,FALSE))*Table157810[[#This Row],[Beginning Balance]],Table157810[[#This Row],[Beginning Balance]]-Table157810[[#This Row],[Principal]]),0),2))</f>
        <v>0</v>
      </c>
      <c r="J19" s="4">
        <f>ROUND(MIN(Table157810[[#This Row],[Beginning Balance]]*IF($C$8="No",$E$3,VLOOKUP(Table157810[[#This Row],[Period]],Forecast!$H$2:$L$1048576,2,FALSE)),Table157810[[#This Row],[Beginning Balance]]-Table157810[[#This Row],[Principal]]-Table157810[[#This Row],[Prepayments]]),2)</f>
        <v>2996.83</v>
      </c>
      <c r="K19" s="4">
        <f>ROUND(Table157810[[#This Row],[Defaulted Principal]]*IF($C$9="No",$E$4,VLOOKUP(Table157810[[#This Row],[Period]],Forecast!$H$2:$L$1048576,3,FALSE)),2)</f>
        <v>233.8</v>
      </c>
      <c r="L19" s="2">
        <f>Table157810[[#This Row],[Period]]+$E$9</f>
        <v>15</v>
      </c>
      <c r="M19" s="4">
        <f>Table157810[[#This Row],[Defaulted Principal]]-Table157810[[#This Row],[Estimated Loss]]</f>
        <v>2763.0299999999997</v>
      </c>
      <c r="N19" s="3">
        <f>IFERROR(VLOOKUP(Table157810[[#This Row],[Period]],$L$16:$M$28,2,FALSE),0)</f>
        <v>0</v>
      </c>
      <c r="O19" s="3">
        <f>Table157810[[#This Row],[Beginning Balance]]-Table157810[[#This Row],[Principal]]-Table157810[[#This Row],[Prepayments]]-Table157810[[#This Row],[Defaulted Principal]]</f>
        <v>6571909.8099999996</v>
      </c>
      <c r="P19" s="3">
        <f>Table157810[[#This Row],[Principal]]+Table157810[[#This Row],[Interest]]+Table157810[[#This Row],[Prepayments]]+Table157810[[#This Row],[RecoveredAmount]]</f>
        <v>49667.740000000005</v>
      </c>
      <c r="Q19" s="3">
        <f ca="1">ROUND(Table157810[[#This Row],[Cash Flow]]/((1+ActualRateToUse)^(IF(ISNUMBER(SEARCH("Actual",$C$7)),Table157810[[#This Row],[Running Total]]/365,Table157810[[#This Row],[Period]]/12))),2)</f>
        <v>48779.69</v>
      </c>
      <c r="R19" s="2">
        <f>IF(MONTH(Table157810[[#This Row],[Date]])=2,28,DAY(DATE(YEAR(Table157810[[#This Row],[Date]]),MONTH(Table157810[[#This Row],[Date]])+1,1)-1))</f>
        <v>30</v>
      </c>
      <c r="S19" s="2">
        <f ca="1">SUM(OFFSET(Table157810[[#Headers],[Days in month]],1,0):Table157810[[#This Row],[Days in month]])</f>
        <v>92</v>
      </c>
      <c r="T19" s="37">
        <f>InterestRate*AmortizationMultiplier*IF(ISNUMBER(SEARCH("Actual",$C$7)),Table157810[[#This Row],[Days in month]]/365,1/12)</f>
        <v>5.7909166666666656E-3</v>
      </c>
    </row>
    <row r="20" spans="2:20" x14ac:dyDescent="0.2">
      <c r="B20" s="1">
        <v>45961</v>
      </c>
      <c r="C20" s="2">
        <f t="shared" si="1"/>
        <v>4</v>
      </c>
      <c r="D20" s="3">
        <f t="shared" si="0"/>
        <v>6571909.8099999996</v>
      </c>
      <c r="E20" s="4">
        <f>ROUND(Table157810[[#This Row],[Beginning Balance]]*Table157810[[#This Row],[Monthly Interest Rate]],2)</f>
        <v>39325.96</v>
      </c>
      <c r="F20" s="4">
        <f>+F19-1</f>
        <v>838</v>
      </c>
      <c r="G20" s="50">
        <f>IFERROR(IF($C$13="No","N/A",IF(Table157810[[#This Row],[Period]]=1,$C$6,PMT(InterestRate*AmortizationMultiplier/12,Table157810[[#This Row],[Am Thru]],-Table157810[[#This Row],[Beginning Balance]]))),0)</f>
        <v>38873.759308281042</v>
      </c>
      <c r="H20" s="4">
        <f>MAX(0,IF(C20=$C$4,D20,ROUND(IF($C$3="Fixed Principal",$C$6-Table157810[[#This Row],[Interest]],IF($C$3="Interest Only",Table157810[[#This Row],[Beginning Balance]]*ROUND(1-(1-IF($C$11="No",$E$8,1))^(1/12),6),MIN(IF($C$13="Yes",Table157810[[#This Row],[Payment Amount (Reamortized)]],$C$6)-Table157810[[#This Row],[Interest]],Table157810[[#This Row],[Beginning Balance]]))),2)))</f>
        <v>11500.84</v>
      </c>
      <c r="I20" s="4">
        <f>IF($C$3="Interest Only",0,ROUND(MAX(MIN(IF($C$10="No",$E$7,VLOOKUP(Table157810[[#This Row],[Period]],Forecast!$H$2:$L$1048576,4,FALSE))*Table157810[[#This Row],[Beginning Balance]],Table157810[[#This Row],[Beginning Balance]]-Table157810[[#This Row],[Principal]]),0),2))</f>
        <v>0</v>
      </c>
      <c r="J20" s="4">
        <f>ROUND(MIN(Table157810[[#This Row],[Beginning Balance]]*IF($C$8="No",$E$3,VLOOKUP(Table157810[[#This Row],[Period]],Forecast!$H$2:$L$1048576,2,FALSE)),Table157810[[#This Row],[Beginning Balance]]-Table157810[[#This Row],[Principal]]-Table157810[[#This Row],[Prepayments]]),2)</f>
        <v>3292.53</v>
      </c>
      <c r="K20" s="4">
        <f>ROUND(Table157810[[#This Row],[Defaulted Principal]]*IF($C$9="No",$E$4,VLOOKUP(Table157810[[#This Row],[Period]],Forecast!$H$2:$L$1048576,3,FALSE)),2)</f>
        <v>263.29000000000002</v>
      </c>
      <c r="L20" s="2">
        <f>Table157810[[#This Row],[Period]]+$E$9</f>
        <v>16</v>
      </c>
      <c r="M20" s="4">
        <f>Table157810[[#This Row],[Defaulted Principal]]-Table157810[[#This Row],[Estimated Loss]]</f>
        <v>3029.2400000000002</v>
      </c>
      <c r="N20" s="3">
        <f>IFERROR(VLOOKUP(Table157810[[#This Row],[Period]],$L$16:$M$28,2,FALSE),0)</f>
        <v>0</v>
      </c>
      <c r="O20" s="3">
        <f>Table157810[[#This Row],[Beginning Balance]]-Table157810[[#This Row],[Principal]]-Table157810[[#This Row],[Prepayments]]-Table157810[[#This Row],[Defaulted Principal]]</f>
        <v>6557116.4399999995</v>
      </c>
      <c r="P20" s="3">
        <f>Table157810[[#This Row],[Principal]]+Table157810[[#This Row],[Interest]]+Table157810[[#This Row],[Prepayments]]+Table157810[[#This Row],[RecoveredAmount]]</f>
        <v>50826.8</v>
      </c>
      <c r="Q20" s="3">
        <f ca="1">ROUND(Table157810[[#This Row],[Cash Flow]]/((1+ActualRateToUse)^(IF(ISNUMBER(SEARCH("Actual",$C$7)),Table157810[[#This Row],[Running Total]]/365,Table157810[[#This Row],[Period]]/12))),2)</f>
        <v>49615.48</v>
      </c>
      <c r="R20" s="2">
        <f>IF(MONTH(Table157810[[#This Row],[Date]])=2,28,DAY(DATE(YEAR(Table157810[[#This Row],[Date]]),MONTH(Table157810[[#This Row],[Date]])+1,1)-1))</f>
        <v>31</v>
      </c>
      <c r="S20" s="2">
        <f ca="1">SUM(OFFSET(Table157810[[#Headers],[Days in month]],1,0):Table157810[[#This Row],[Days in month]])</f>
        <v>123</v>
      </c>
      <c r="T20" s="37">
        <f>InterestRate*AmortizationMultiplier*IF(ISNUMBER(SEARCH("Actual",$C$7)),Table157810[[#This Row],[Days in month]]/365,1/12)</f>
        <v>5.9839472222222214E-3</v>
      </c>
    </row>
    <row r="21" spans="2:20" x14ac:dyDescent="0.2">
      <c r="B21" s="1">
        <v>45991</v>
      </c>
      <c r="C21" s="2">
        <f t="shared" si="1"/>
        <v>5</v>
      </c>
      <c r="D21" s="3">
        <f t="shared" si="0"/>
        <v>6557116.4399999995</v>
      </c>
      <c r="E21" s="3">
        <f>ROUND(Table157810[[#This Row],[Beginning Balance]]*Table157810[[#This Row],[Monthly Interest Rate]],2)</f>
        <v>37971.71</v>
      </c>
      <c r="F21" s="3">
        <f t="shared" si="2"/>
        <v>837</v>
      </c>
      <c r="G21" s="23">
        <f>IFERROR(IF($C$13="No","N/A",IF(Table157810[[#This Row],[Period]]=1,$C$6,PMT(InterestRate*AmortizationMultiplier/12,Table157810[[#This Row],[Am Thru]],-Table157810[[#This Row],[Beginning Balance]]))),0)</f>
        <v>38787.953104164437</v>
      </c>
      <c r="H21" s="3">
        <f>MAX(0,IF(C21=$C$4,D21,ROUND(IF($C$3="Fixed Principal",$C$6-Table157810[[#This Row],[Interest]],IF($C$3="Interest Only",Table157810[[#This Row],[Beginning Balance]]*ROUND(1-(1-IF($C$11="No",$E$8,1))^(1/12),6),MIN(IF($C$13="Yes",Table157810[[#This Row],[Payment Amount (Reamortized)]],$C$6)-Table157810[[#This Row],[Interest]],Table157810[[#This Row],[Beginning Balance]]))),2)))</f>
        <v>11474.95</v>
      </c>
      <c r="I21" s="4">
        <f>IF($C$3="Interest Only",0,ROUND(MAX(MIN(IF($C$10="No",$E$7,VLOOKUP(Table157810[[#This Row],[Period]],Forecast!$H$2:$L$1048576,4,FALSE))*Table157810[[#This Row],[Beginning Balance]],Table157810[[#This Row],[Beginning Balance]]-Table157810[[#This Row],[Principal]]),0),2))</f>
        <v>0</v>
      </c>
      <c r="J21" s="3">
        <f>ROUND(MIN(Table157810[[#This Row],[Beginning Balance]]*IF($C$8="No",$E$3,VLOOKUP(Table157810[[#This Row],[Period]],Forecast!$H$2:$L$1048576,2,FALSE)),Table157810[[#This Row],[Beginning Balance]]-Table157810[[#This Row],[Principal]]-Table157810[[#This Row],[Prepayments]]),2)</f>
        <v>3285.12</v>
      </c>
      <c r="K21" s="3">
        <f>ROUND(Table157810[[#This Row],[Defaulted Principal]]*IF($C$9="No",$E$4,VLOOKUP(Table157810[[#This Row],[Period]],Forecast!$H$2:$L$1048576,3,FALSE)),2)</f>
        <v>262.7</v>
      </c>
      <c r="L21" s="2">
        <f>Table157810[[#This Row],[Period]]+$E$9</f>
        <v>17</v>
      </c>
      <c r="M21" s="3">
        <f>Table157810[[#This Row],[Defaulted Principal]]-Table157810[[#This Row],[Estimated Loss]]</f>
        <v>3022.42</v>
      </c>
      <c r="N21" s="3">
        <f>IFERROR(VLOOKUP(Table157810[[#This Row],[Period]],$L$16:$M$28,2,FALSE),0)</f>
        <v>0</v>
      </c>
      <c r="O21" s="3">
        <f>Table157810[[#This Row],[Beginning Balance]]-Table157810[[#This Row],[Principal]]-Table157810[[#This Row],[Prepayments]]-Table157810[[#This Row],[Defaulted Principal]]</f>
        <v>6542356.3699999992</v>
      </c>
      <c r="P21" s="3">
        <f>Table157810[[#This Row],[Principal]]+Table157810[[#This Row],[Interest]]+Table157810[[#This Row],[Prepayments]]+Table157810[[#This Row],[RecoveredAmount]]</f>
        <v>49446.66</v>
      </c>
      <c r="Q21" s="3">
        <f ca="1">ROUND(Table157810[[#This Row],[Cash Flow]]/((1+ActualRateToUse)^(IF(ISNUMBER(SEARCH("Actual",$C$7)),Table157810[[#This Row],[Running Total]]/365,Table157810[[#This Row],[Period]]/12))),2)</f>
        <v>47985.1</v>
      </c>
      <c r="R21" s="2">
        <f>IF(MONTH(Table157810[[#This Row],[Date]])=2,28,DAY(DATE(YEAR(Table157810[[#This Row],[Date]]),MONTH(Table157810[[#This Row],[Date]])+1,1)-1))</f>
        <v>30</v>
      </c>
      <c r="S21" s="2">
        <f ca="1">SUM(OFFSET(Table157810[[#Headers],[Days in month]],1,0):Table157810[[#This Row],[Days in month]])</f>
        <v>153</v>
      </c>
      <c r="T21" s="37">
        <f>InterestRate*AmortizationMultiplier*IF(ISNUMBER(SEARCH("Actual",$C$7)),Table157810[[#This Row],[Days in month]]/365,1/12)</f>
        <v>5.7909166666666656E-3</v>
      </c>
    </row>
    <row r="22" spans="2:20" x14ac:dyDescent="0.2">
      <c r="B22" s="1">
        <v>46022</v>
      </c>
      <c r="C22" s="2">
        <f t="shared" si="1"/>
        <v>6</v>
      </c>
      <c r="D22" s="3">
        <f t="shared" si="0"/>
        <v>6542356.3699999992</v>
      </c>
      <c r="E22" s="3">
        <f>ROUND(Table157810[[#This Row],[Beginning Balance]]*Table157810[[#This Row],[Monthly Interest Rate]],2)</f>
        <v>39149.120000000003</v>
      </c>
      <c r="F22" s="3">
        <f t="shared" si="2"/>
        <v>836</v>
      </c>
      <c r="G22" s="23">
        <f>IFERROR(IF($C$13="No","N/A",IF(Table157810[[#This Row],[Period]]=1,$C$6,PMT(InterestRate*AmortizationMultiplier/12,Table157810[[#This Row],[Am Thru]],-Table157810[[#This Row],[Beginning Balance]]))),0)</f>
        <v>38702.346327504674</v>
      </c>
      <c r="H22" s="3">
        <f>MAX(0,IF(C22=$C$4,D22,ROUND(IF($C$3="Fixed Principal",$C$6-Table157810[[#This Row],[Interest]],IF($C$3="Interest Only",Table157810[[#This Row],[Beginning Balance]]*ROUND(1-(1-IF($C$11="No",$E$8,1))^(1/12),6),MIN(IF($C$13="Yes",Table157810[[#This Row],[Payment Amount (Reamortized)]],$C$6)-Table157810[[#This Row],[Interest]],Table157810[[#This Row],[Beginning Balance]]))),2)))</f>
        <v>11449.12</v>
      </c>
      <c r="I22" s="4">
        <f>IF($C$3="Interest Only",0,ROUND(MAX(MIN(IF($C$10="No",$E$7,VLOOKUP(Table157810[[#This Row],[Period]],Forecast!$H$2:$L$1048576,4,FALSE))*Table157810[[#This Row],[Beginning Balance]],Table157810[[#This Row],[Beginning Balance]]-Table157810[[#This Row],[Principal]]),0),2))</f>
        <v>0</v>
      </c>
      <c r="J22" s="3">
        <f>ROUND(MIN(Table157810[[#This Row],[Beginning Balance]]*IF($C$8="No",$E$3,VLOOKUP(Table157810[[#This Row],[Period]],Forecast!$H$2:$L$1048576,2,FALSE)),Table157810[[#This Row],[Beginning Balance]]-Table157810[[#This Row],[Principal]]-Table157810[[#This Row],[Prepayments]]),2)</f>
        <v>3277.72</v>
      </c>
      <c r="K22" s="3">
        <f>ROUND(Table157810[[#This Row],[Defaulted Principal]]*IF($C$9="No",$E$4,VLOOKUP(Table157810[[#This Row],[Period]],Forecast!$H$2:$L$1048576,3,FALSE)),2)</f>
        <v>262.11</v>
      </c>
      <c r="L22" s="2">
        <f>Table157810[[#This Row],[Period]]+$E$9</f>
        <v>18</v>
      </c>
      <c r="M22" s="3">
        <f>Table157810[[#This Row],[Defaulted Principal]]-Table157810[[#This Row],[Estimated Loss]]</f>
        <v>3015.6099999999997</v>
      </c>
      <c r="N22" s="3">
        <f>IFERROR(VLOOKUP(Table157810[[#This Row],[Period]],$L$16:$M$28,2,FALSE),0)</f>
        <v>0</v>
      </c>
      <c r="O22" s="3">
        <f>Table157810[[#This Row],[Beginning Balance]]-Table157810[[#This Row],[Principal]]-Table157810[[#This Row],[Prepayments]]-Table157810[[#This Row],[Defaulted Principal]]</f>
        <v>6527629.5299999993</v>
      </c>
      <c r="P22" s="3">
        <f>Table157810[[#This Row],[Principal]]+Table157810[[#This Row],[Interest]]+Table157810[[#This Row],[Prepayments]]+Table157810[[#This Row],[RecoveredAmount]]</f>
        <v>50598.240000000005</v>
      </c>
      <c r="Q22" s="3">
        <f ca="1">ROUND(Table157810[[#This Row],[Cash Flow]]/((1+ActualRateToUse)^(IF(ISNUMBER(SEARCH("Actual",$C$7)),Table157810[[#This Row],[Running Total]]/365,Table157810[[#This Row],[Period]]/12))),2)</f>
        <v>48805.04</v>
      </c>
      <c r="R22" s="2">
        <f>IF(MONTH(Table157810[[#This Row],[Date]])=2,28,DAY(DATE(YEAR(Table157810[[#This Row],[Date]]),MONTH(Table157810[[#This Row],[Date]])+1,1)-1))</f>
        <v>31</v>
      </c>
      <c r="S22" s="2">
        <f ca="1">SUM(OFFSET(Table157810[[#Headers],[Days in month]],1,0):Table157810[[#This Row],[Days in month]])</f>
        <v>184</v>
      </c>
      <c r="T22" s="37">
        <f>InterestRate*AmortizationMultiplier*IF(ISNUMBER(SEARCH("Actual",$C$7)),Table157810[[#This Row],[Days in month]]/365,1/12)</f>
        <v>5.9839472222222214E-3</v>
      </c>
    </row>
    <row r="23" spans="2:20" x14ac:dyDescent="0.2">
      <c r="B23" s="1">
        <v>46053</v>
      </c>
      <c r="C23" s="2">
        <f t="shared" si="1"/>
        <v>7</v>
      </c>
      <c r="D23" s="3">
        <f t="shared" si="0"/>
        <v>6527629.5299999993</v>
      </c>
      <c r="E23" s="3">
        <f>ROUND(Table157810[[#This Row],[Beginning Balance]]*Table157810[[#This Row],[Monthly Interest Rate]],2)</f>
        <v>39060.99</v>
      </c>
      <c r="F23" s="3">
        <f t="shared" si="2"/>
        <v>835</v>
      </c>
      <c r="G23" s="23">
        <f>IFERROR(IF($C$13="No","N/A",IF(Table157810[[#This Row],[Period]]=1,$C$6,PMT(InterestRate*AmortizationMultiplier/12,Table157810[[#This Row],[Am Thru]],-Table157810[[#This Row],[Beginning Balance]]))),0)</f>
        <v>38616.938582808027</v>
      </c>
      <c r="H23" s="3">
        <f>MAX(0,IF(C23=$C$4,D23,ROUND(IF($C$3="Fixed Principal",$C$6-Table157810[[#This Row],[Interest]],IF($C$3="Interest Only",Table157810[[#This Row],[Beginning Balance]]*ROUND(1-(1-IF($C$11="No",$E$8,1))^(1/12),6),MIN(IF($C$13="Yes",Table157810[[#This Row],[Payment Amount (Reamortized)]],$C$6)-Table157810[[#This Row],[Interest]],Table157810[[#This Row],[Beginning Balance]]))),2)))</f>
        <v>11423.35</v>
      </c>
      <c r="I23" s="4">
        <f>IF($C$3="Interest Only",0,ROUND(MAX(MIN(IF($C$10="No",$E$7,VLOOKUP(Table157810[[#This Row],[Period]],Forecast!$H$2:$L$1048576,4,FALSE))*Table157810[[#This Row],[Beginning Balance]],Table157810[[#This Row],[Beginning Balance]]-Table157810[[#This Row],[Principal]]),0),2))</f>
        <v>0</v>
      </c>
      <c r="J23" s="3">
        <f>ROUND(MIN(Table157810[[#This Row],[Beginning Balance]]*IF($C$8="No",$E$3,VLOOKUP(Table157810[[#This Row],[Period]],Forecast!$H$2:$L$1048576,2,FALSE)),Table157810[[#This Row],[Beginning Balance]]-Table157810[[#This Row],[Principal]]-Table157810[[#This Row],[Prepayments]]),2)</f>
        <v>3244.23</v>
      </c>
      <c r="K23" s="3">
        <f>ROUND(Table157810[[#This Row],[Defaulted Principal]]*IF($C$9="No",$E$4,VLOOKUP(Table157810[[#This Row],[Period]],Forecast!$H$2:$L$1048576,3,FALSE)),2)</f>
        <v>258.82</v>
      </c>
      <c r="L23" s="2">
        <f>Table157810[[#This Row],[Period]]+$E$9</f>
        <v>19</v>
      </c>
      <c r="M23" s="3">
        <f>Table157810[[#This Row],[Defaulted Principal]]-Table157810[[#This Row],[Estimated Loss]]</f>
        <v>2985.41</v>
      </c>
      <c r="N23" s="3">
        <f>IFERROR(VLOOKUP(Table157810[[#This Row],[Period]],$L$16:$M$28,2,FALSE),0)</f>
        <v>0</v>
      </c>
      <c r="O23" s="3">
        <f>Table157810[[#This Row],[Beginning Balance]]-Table157810[[#This Row],[Principal]]-Table157810[[#This Row],[Prepayments]]-Table157810[[#This Row],[Defaulted Principal]]</f>
        <v>6512961.9499999993</v>
      </c>
      <c r="P23" s="3">
        <f>Table157810[[#This Row],[Principal]]+Table157810[[#This Row],[Interest]]+Table157810[[#This Row],[Prepayments]]+Table157810[[#This Row],[RecoveredAmount]]</f>
        <v>50484.34</v>
      </c>
      <c r="Q23" s="3">
        <f ca="1">ROUND(Table157810[[#This Row],[Cash Flow]]/((1+ActualRateToUse)^(IF(ISNUMBER(SEARCH("Actual",$C$7)),Table157810[[#This Row],[Running Total]]/365,Table157810[[#This Row],[Period]]/12))),2)</f>
        <v>48400.05</v>
      </c>
      <c r="R23" s="2">
        <f>IF(MONTH(Table157810[[#This Row],[Date]])=2,28,DAY(DATE(YEAR(Table157810[[#This Row],[Date]]),MONTH(Table157810[[#This Row],[Date]])+1,1)-1))</f>
        <v>31</v>
      </c>
      <c r="S23" s="2">
        <f ca="1">SUM(OFFSET(Table157810[[#Headers],[Days in month]],1,0):Table157810[[#This Row],[Days in month]])</f>
        <v>215</v>
      </c>
      <c r="T23" s="37">
        <f>InterestRate*AmortizationMultiplier*IF(ISNUMBER(SEARCH("Actual",$C$7)),Table157810[[#This Row],[Days in month]]/365,1/12)</f>
        <v>5.9839472222222214E-3</v>
      </c>
    </row>
    <row r="24" spans="2:20" x14ac:dyDescent="0.2">
      <c r="B24" s="1">
        <v>46081</v>
      </c>
      <c r="C24" s="2">
        <f t="shared" si="1"/>
        <v>8</v>
      </c>
      <c r="D24" s="3">
        <f t="shared" si="0"/>
        <v>6512961.9499999993</v>
      </c>
      <c r="E24" s="3">
        <f>ROUND(Table157810[[#This Row],[Beginning Balance]]*Table157810[[#This Row],[Monthly Interest Rate]],2)</f>
        <v>35201.620000000003</v>
      </c>
      <c r="F24" s="3">
        <f t="shared" si="2"/>
        <v>834</v>
      </c>
      <c r="G24" s="23">
        <f>IFERROR(IF($C$13="No","N/A",IF(Table157810[[#This Row],[Period]]=1,$C$6,PMT(InterestRate*AmortizationMultiplier/12,Table157810[[#This Row],[Am Thru]],-Table157810[[#This Row],[Beginning Balance]]))),0)</f>
        <v>38531.883887057818</v>
      </c>
      <c r="H24" s="3">
        <f>MAX(0,IF(C24=$C$4,D24,ROUND(IF($C$3="Fixed Principal",$C$6-Table157810[[#This Row],[Interest]],IF($C$3="Interest Only",Table157810[[#This Row],[Beginning Balance]]*ROUND(1-(1-IF($C$11="No",$E$8,1))^(1/12),6),MIN(IF($C$13="Yes",Table157810[[#This Row],[Payment Amount (Reamortized)]],$C$6)-Table157810[[#This Row],[Interest]],Table157810[[#This Row],[Beginning Balance]]))),2)))</f>
        <v>11397.68</v>
      </c>
      <c r="I24" s="4">
        <f>IF($C$3="Interest Only",0,ROUND(MAX(MIN(IF($C$10="No",$E$7,VLOOKUP(Table157810[[#This Row],[Period]],Forecast!$H$2:$L$1048576,4,FALSE))*Table157810[[#This Row],[Beginning Balance]],Table157810[[#This Row],[Beginning Balance]]-Table157810[[#This Row],[Principal]]),0),2))</f>
        <v>0</v>
      </c>
      <c r="J24" s="3">
        <f>ROUND(MIN(Table157810[[#This Row],[Beginning Balance]]*IF($C$8="No",$E$3,VLOOKUP(Table157810[[#This Row],[Period]],Forecast!$H$2:$L$1048576,2,FALSE)),Table157810[[#This Row],[Beginning Balance]]-Table157810[[#This Row],[Principal]]-Table157810[[#This Row],[Prepayments]]),2)</f>
        <v>3236.94</v>
      </c>
      <c r="K24" s="3">
        <f>ROUND(Table157810[[#This Row],[Defaulted Principal]]*IF($C$9="No",$E$4,VLOOKUP(Table157810[[#This Row],[Period]],Forecast!$H$2:$L$1048576,3,FALSE)),2)</f>
        <v>258.24</v>
      </c>
      <c r="L24" s="2">
        <f>Table157810[[#This Row],[Period]]+$E$9</f>
        <v>20</v>
      </c>
      <c r="M24" s="3">
        <f>Table157810[[#This Row],[Defaulted Principal]]-Table157810[[#This Row],[Estimated Loss]]</f>
        <v>2978.7</v>
      </c>
      <c r="N24" s="3">
        <f>IFERROR(VLOOKUP(Table157810[[#This Row],[Period]],$L$16:$M$28,2,FALSE),0)</f>
        <v>0</v>
      </c>
      <c r="O24" s="3">
        <f>Table157810[[#This Row],[Beginning Balance]]-Table157810[[#This Row],[Principal]]-Table157810[[#This Row],[Prepayments]]-Table157810[[#This Row],[Defaulted Principal]]</f>
        <v>6498327.3299999991</v>
      </c>
      <c r="P24" s="3">
        <f>Table157810[[#This Row],[Principal]]+Table157810[[#This Row],[Interest]]+Table157810[[#This Row],[Prepayments]]+Table157810[[#This Row],[RecoveredAmount]]</f>
        <v>46599.3</v>
      </c>
      <c r="Q24" s="3">
        <f ca="1">ROUND(Table157810[[#This Row],[Cash Flow]]/((1+ActualRateToUse)^(IF(ISNUMBER(SEARCH("Actual",$C$7)),Table157810[[#This Row],[Running Total]]/365,Table157810[[#This Row],[Period]]/12))),2)</f>
        <v>44430.77</v>
      </c>
      <c r="R24" s="2">
        <f>IF(MONTH(Table157810[[#This Row],[Date]])=2,28,DAY(DATE(YEAR(Table157810[[#This Row],[Date]]),MONTH(Table157810[[#This Row],[Date]])+1,1)-1))</f>
        <v>28</v>
      </c>
      <c r="S24" s="2">
        <f ca="1">SUM(OFFSET(Table157810[[#Headers],[Days in month]],1,0):Table157810[[#This Row],[Days in month]])</f>
        <v>243</v>
      </c>
      <c r="T24" s="37">
        <f>InterestRate*AmortizationMultiplier*IF(ISNUMBER(SEARCH("Actual",$C$7)),Table157810[[#This Row],[Days in month]]/365,1/12)</f>
        <v>5.4048555555555548E-3</v>
      </c>
    </row>
    <row r="25" spans="2:20" x14ac:dyDescent="0.2">
      <c r="B25" s="1">
        <v>46112</v>
      </c>
      <c r="C25" s="2">
        <f t="shared" si="1"/>
        <v>9</v>
      </c>
      <c r="D25" s="3">
        <f t="shared" si="0"/>
        <v>6498327.3299999991</v>
      </c>
      <c r="E25" s="3">
        <f>ROUND(Table157810[[#This Row],[Beginning Balance]]*Table157810[[#This Row],[Monthly Interest Rate]],2)</f>
        <v>38885.65</v>
      </c>
      <c r="F25" s="3">
        <f t="shared" si="2"/>
        <v>833</v>
      </c>
      <c r="G25" s="23">
        <f>IFERROR(IF($C$13="No","N/A",IF(Table157810[[#This Row],[Period]]=1,$C$6,PMT(InterestRate*AmortizationMultiplier/12,Table157810[[#This Row],[Am Thru]],-Table157810[[#This Row],[Beginning Balance]]))),0)</f>
        <v>38447.026677185379</v>
      </c>
      <c r="H25" s="3">
        <f>MAX(0,IF(C25=$C$4,D25,ROUND(IF($C$3="Fixed Principal",$C$6-Table157810[[#This Row],[Interest]],IF($C$3="Interest Only",Table157810[[#This Row],[Beginning Balance]]*ROUND(1-(1-IF($C$11="No",$E$8,1))^(1/12),6),MIN(IF($C$13="Yes",Table157810[[#This Row],[Payment Amount (Reamortized)]],$C$6)-Table157810[[#This Row],[Interest]],Table157810[[#This Row],[Beginning Balance]]))),2)))</f>
        <v>11372.07</v>
      </c>
      <c r="I25" s="4">
        <f>IF($C$3="Interest Only",0,ROUND(MAX(MIN(IF($C$10="No",$E$7,VLOOKUP(Table157810[[#This Row],[Period]],Forecast!$H$2:$L$1048576,4,FALSE))*Table157810[[#This Row],[Beginning Balance]],Table157810[[#This Row],[Beginning Balance]]-Table157810[[#This Row],[Principal]]),0),2))</f>
        <v>0</v>
      </c>
      <c r="J25" s="3">
        <f>ROUND(MIN(Table157810[[#This Row],[Beginning Balance]]*IF($C$8="No",$E$3,VLOOKUP(Table157810[[#This Row],[Period]],Forecast!$H$2:$L$1048576,2,FALSE)),Table157810[[#This Row],[Beginning Balance]]-Table157810[[#This Row],[Principal]]-Table157810[[#This Row],[Prepayments]]),2)</f>
        <v>3229.67</v>
      </c>
      <c r="K25" s="3">
        <f>ROUND(Table157810[[#This Row],[Defaulted Principal]]*IF($C$9="No",$E$4,VLOOKUP(Table157810[[#This Row],[Period]],Forecast!$H$2:$L$1048576,3,FALSE)),2)</f>
        <v>257.66000000000003</v>
      </c>
      <c r="L25" s="2">
        <f>Table157810[[#This Row],[Period]]+$E$9</f>
        <v>21</v>
      </c>
      <c r="M25" s="3">
        <f>Table157810[[#This Row],[Defaulted Principal]]-Table157810[[#This Row],[Estimated Loss]]</f>
        <v>2972.01</v>
      </c>
      <c r="N25" s="3">
        <f>IFERROR(VLOOKUP(Table157810[[#This Row],[Period]],$L$16:$M$28,2,FALSE),0)</f>
        <v>0</v>
      </c>
      <c r="O25" s="3">
        <f>Table157810[[#This Row],[Beginning Balance]]-Table157810[[#This Row],[Principal]]-Table157810[[#This Row],[Prepayments]]-Table157810[[#This Row],[Defaulted Principal]]</f>
        <v>6483725.5899999989</v>
      </c>
      <c r="P25" s="3">
        <f>Table157810[[#This Row],[Principal]]+Table157810[[#This Row],[Interest]]+Table157810[[#This Row],[Prepayments]]+Table157810[[#This Row],[RecoveredAmount]]</f>
        <v>50257.72</v>
      </c>
      <c r="Q25" s="3">
        <f ca="1">ROUND(Table157810[[#This Row],[Cash Flow]]/((1+ActualRateToUse)^(IF(ISNUMBER(SEARCH("Actual",$C$7)),Table157810[[#This Row],[Running Total]]/365,Table157810[[#This Row],[Period]]/12))),2)</f>
        <v>47628.51</v>
      </c>
      <c r="R25" s="2">
        <f>IF(MONTH(Table157810[[#This Row],[Date]])=2,28,DAY(DATE(YEAR(Table157810[[#This Row],[Date]]),MONTH(Table157810[[#This Row],[Date]])+1,1)-1))</f>
        <v>31</v>
      </c>
      <c r="S25" s="2">
        <f ca="1">SUM(OFFSET(Table157810[[#Headers],[Days in month]],1,0):Table157810[[#This Row],[Days in month]])</f>
        <v>274</v>
      </c>
      <c r="T25" s="37">
        <f>InterestRate*AmortizationMultiplier*IF(ISNUMBER(SEARCH("Actual",$C$7)),Table157810[[#This Row],[Days in month]]/365,1/12)</f>
        <v>5.9839472222222214E-3</v>
      </c>
    </row>
    <row r="26" spans="2:20" x14ac:dyDescent="0.2">
      <c r="B26" s="1">
        <v>46142</v>
      </c>
      <c r="C26" s="2">
        <f t="shared" si="1"/>
        <v>10</v>
      </c>
      <c r="D26" s="3">
        <f t="shared" si="0"/>
        <v>6483725.5899999989</v>
      </c>
      <c r="E26" s="3">
        <f>ROUND(Table157810[[#This Row],[Beginning Balance]]*Table157810[[#This Row],[Monthly Interest Rate]],2)</f>
        <v>37546.71</v>
      </c>
      <c r="F26" s="3">
        <f t="shared" si="2"/>
        <v>832</v>
      </c>
      <c r="G26" s="23">
        <f>IFERROR(IF($C$13="No","N/A",IF(Table157810[[#This Row],[Period]]=1,$C$6,PMT(InterestRate*AmortizationMultiplier/12,Table157810[[#This Row],[Am Thru]],-Table157810[[#This Row],[Beginning Balance]]))),0)</f>
        <v>38362.366498742762</v>
      </c>
      <c r="H26" s="3">
        <f>MAX(0,IF(C26=$C$4,D26,ROUND(IF($C$3="Fixed Principal",$C$6-Table157810[[#This Row],[Interest]],IF($C$3="Interest Only",Table157810[[#This Row],[Beginning Balance]]*ROUND(1-(1-IF($C$11="No",$E$8,1))^(1/12),6),MIN(IF($C$13="Yes",Table157810[[#This Row],[Payment Amount (Reamortized)]],$C$6)-Table157810[[#This Row],[Interest]],Table157810[[#This Row],[Beginning Balance]]))),2)))</f>
        <v>11346.52</v>
      </c>
      <c r="I26" s="4">
        <f>IF($C$3="Interest Only",0,ROUND(MAX(MIN(IF($C$10="No",$E$7,VLOOKUP(Table157810[[#This Row],[Period]],Forecast!$H$2:$L$1048576,4,FALSE))*Table157810[[#This Row],[Beginning Balance]],Table157810[[#This Row],[Beginning Balance]]-Table157810[[#This Row],[Principal]]),0),2))</f>
        <v>0</v>
      </c>
      <c r="J26" s="3">
        <f>ROUND(MIN(Table157810[[#This Row],[Beginning Balance]]*IF($C$8="No",$E$3,VLOOKUP(Table157810[[#This Row],[Period]],Forecast!$H$2:$L$1048576,2,FALSE)),Table157810[[#This Row],[Beginning Balance]]-Table157810[[#This Row],[Principal]]-Table157810[[#This Row],[Prepayments]]),2)</f>
        <v>3189.99</v>
      </c>
      <c r="K26" s="3">
        <f>ROUND(Table157810[[#This Row],[Defaulted Principal]]*IF($C$9="No",$E$4,VLOOKUP(Table157810[[#This Row],[Period]],Forecast!$H$2:$L$1048576,3,FALSE)),2)</f>
        <v>253.88</v>
      </c>
      <c r="L26" s="2">
        <f>Table157810[[#This Row],[Period]]+$E$9</f>
        <v>22</v>
      </c>
      <c r="M26" s="3">
        <f>Table157810[[#This Row],[Defaulted Principal]]-Table157810[[#This Row],[Estimated Loss]]</f>
        <v>2936.1099999999997</v>
      </c>
      <c r="N26" s="3">
        <f>IFERROR(VLOOKUP(Table157810[[#This Row],[Period]],$L$16:$M$28,2,FALSE),0)</f>
        <v>0</v>
      </c>
      <c r="O26" s="3">
        <f>Table157810[[#This Row],[Beginning Balance]]-Table157810[[#This Row],[Principal]]-Table157810[[#This Row],[Prepayments]]-Table157810[[#This Row],[Defaulted Principal]]</f>
        <v>6469189.0799999991</v>
      </c>
      <c r="P26" s="3">
        <f>Table157810[[#This Row],[Principal]]+Table157810[[#This Row],[Interest]]+Table157810[[#This Row],[Prepayments]]+Table157810[[#This Row],[RecoveredAmount]]</f>
        <v>48893.229999999996</v>
      </c>
      <c r="Q26" s="3">
        <f ca="1">ROUND(Table157810[[#This Row],[Cash Flow]]/((1+ActualRateToUse)^(IF(ISNUMBER(SEARCH("Actual",$C$7)),Table157810[[#This Row],[Running Total]]/365,Table157810[[#This Row],[Period]]/12))),2)</f>
        <v>46063.61</v>
      </c>
      <c r="R26" s="2">
        <f>IF(MONTH(Table157810[[#This Row],[Date]])=2,28,DAY(DATE(YEAR(Table157810[[#This Row],[Date]]),MONTH(Table157810[[#This Row],[Date]])+1,1)-1))</f>
        <v>30</v>
      </c>
      <c r="S26" s="2">
        <f ca="1">SUM(OFFSET(Table157810[[#Headers],[Days in month]],1,0):Table157810[[#This Row],[Days in month]])</f>
        <v>304</v>
      </c>
      <c r="T26" s="37">
        <f>InterestRate*AmortizationMultiplier*IF(ISNUMBER(SEARCH("Actual",$C$7)),Table157810[[#This Row],[Days in month]]/365,1/12)</f>
        <v>5.7909166666666656E-3</v>
      </c>
    </row>
    <row r="27" spans="2:20" x14ac:dyDescent="0.2">
      <c r="B27" s="1">
        <v>46173</v>
      </c>
      <c r="C27" s="2">
        <f t="shared" si="1"/>
        <v>11</v>
      </c>
      <c r="D27" s="3">
        <f t="shared" si="0"/>
        <v>6469189.0799999991</v>
      </c>
      <c r="E27" s="3">
        <f>ROUND(Table157810[[#This Row],[Beginning Balance]]*Table157810[[#This Row],[Monthly Interest Rate]],2)</f>
        <v>38711.29</v>
      </c>
      <c r="F27" s="3">
        <f t="shared" si="2"/>
        <v>831</v>
      </c>
      <c r="G27" s="23">
        <f>IFERROR(IF($C$13="No","N/A",IF(Table157810[[#This Row],[Period]]=1,$C$6,PMT(InterestRate*AmortizationMultiplier/12,Table157810[[#This Row],[Am Thru]],-Table157810[[#This Row],[Beginning Balance]]))),0)</f>
        <v>38278.094785159599</v>
      </c>
      <c r="H27" s="3">
        <f>MAX(0,IF(C27=$C$4,D27,ROUND(IF($C$3="Fixed Principal",$C$6-Table157810[[#This Row],[Interest]],IF($C$3="Interest Only",Table157810[[#This Row],[Beginning Balance]]*ROUND(1-(1-IF($C$11="No",$E$8,1))^(1/12),6),MIN(IF($C$13="Yes",Table157810[[#This Row],[Payment Amount (Reamortized)]],$C$6)-Table157810[[#This Row],[Interest]],Table157810[[#This Row],[Beginning Balance]]))),2)))</f>
        <v>11321.08</v>
      </c>
      <c r="I27" s="4">
        <f>IF($C$3="Interest Only",0,ROUND(MAX(MIN(IF($C$10="No",$E$7,VLOOKUP(Table157810[[#This Row],[Period]],Forecast!$H$2:$L$1048576,4,FALSE))*Table157810[[#This Row],[Beginning Balance]],Table157810[[#This Row],[Beginning Balance]]-Table157810[[#This Row],[Principal]]),0),2))</f>
        <v>0</v>
      </c>
      <c r="J27" s="3">
        <f>ROUND(MIN(Table157810[[#This Row],[Beginning Balance]]*IF($C$8="No",$E$3,VLOOKUP(Table157810[[#This Row],[Period]],Forecast!$H$2:$L$1048576,2,FALSE)),Table157810[[#This Row],[Beginning Balance]]-Table157810[[#This Row],[Principal]]-Table157810[[#This Row],[Prepayments]]),2)</f>
        <v>3182.84</v>
      </c>
      <c r="K27" s="3">
        <f>ROUND(Table157810[[#This Row],[Defaulted Principal]]*IF($C$9="No",$E$4,VLOOKUP(Table157810[[#This Row],[Period]],Forecast!$H$2:$L$1048576,3,FALSE)),2)</f>
        <v>253.32</v>
      </c>
      <c r="L27" s="2">
        <f>Table157810[[#This Row],[Period]]+$E$9</f>
        <v>23</v>
      </c>
      <c r="M27" s="3">
        <f>Table157810[[#This Row],[Defaulted Principal]]-Table157810[[#This Row],[Estimated Loss]]</f>
        <v>2929.52</v>
      </c>
      <c r="N27" s="3">
        <f>IFERROR(VLOOKUP(Table157810[[#This Row],[Period]],$L$16:$M$28,2,FALSE),0)</f>
        <v>0</v>
      </c>
      <c r="O27" s="3">
        <f>Table157810[[#This Row],[Beginning Balance]]-Table157810[[#This Row],[Principal]]-Table157810[[#This Row],[Prepayments]]-Table157810[[#This Row],[Defaulted Principal]]</f>
        <v>6454685.1599999992</v>
      </c>
      <c r="P27" s="3">
        <f>Table157810[[#This Row],[Principal]]+Table157810[[#This Row],[Interest]]+Table157810[[#This Row],[Prepayments]]+Table157810[[#This Row],[RecoveredAmount]]</f>
        <v>50032.37</v>
      </c>
      <c r="Q27" s="3">
        <f ca="1">ROUND(Table157810[[#This Row],[Cash Flow]]/((1+ActualRateToUse)^(IF(ISNUMBER(SEARCH("Actual",$C$7)),Table157810[[#This Row],[Running Total]]/365,Table157810[[#This Row],[Period]]/12))),2)</f>
        <v>46851.14</v>
      </c>
      <c r="R27" s="2">
        <f>IF(MONTH(Table157810[[#This Row],[Date]])=2,28,DAY(DATE(YEAR(Table157810[[#This Row],[Date]]),MONTH(Table157810[[#This Row],[Date]])+1,1)-1))</f>
        <v>31</v>
      </c>
      <c r="S27" s="2">
        <f ca="1">SUM(OFFSET(Table157810[[#Headers],[Days in month]],1,0):Table157810[[#This Row],[Days in month]])</f>
        <v>335</v>
      </c>
      <c r="T27" s="37">
        <f>InterestRate*AmortizationMultiplier*IF(ISNUMBER(SEARCH("Actual",$C$7)),Table157810[[#This Row],[Days in month]]/365,1/12)</f>
        <v>5.9839472222222214E-3</v>
      </c>
    </row>
    <row r="28" spans="2:20" x14ac:dyDescent="0.2">
      <c r="B28" s="1">
        <v>46203</v>
      </c>
      <c r="C28" s="2">
        <f t="shared" si="1"/>
        <v>12</v>
      </c>
      <c r="D28" s="3">
        <f t="shared" si="0"/>
        <v>6454685.1599999992</v>
      </c>
      <c r="E28" s="3">
        <f>ROUND(Table157810[[#This Row],[Beginning Balance]]*Table157810[[#This Row],[Monthly Interest Rate]],2)</f>
        <v>37378.54</v>
      </c>
      <c r="F28" s="3">
        <f t="shared" si="2"/>
        <v>830</v>
      </c>
      <c r="G28" s="23">
        <f>IFERROR(IF($C$13="No","N/A",IF(Table157810[[#This Row],[Period]]=1,$C$6,PMT(InterestRate*AmortizationMultiplier/12,Table157810[[#This Row],[Am Thru]],-Table157810[[#This Row],[Beginning Balance]]))),0)</f>
        <v>38194.018442544722</v>
      </c>
      <c r="H28" s="3">
        <f>MAX(0,IF(C28=$C$4,D28,ROUND(IF($C$3="Fixed Principal",$C$6-Table157810[[#This Row],[Interest]],IF($C$3="Interest Only",Table157810[[#This Row],[Beginning Balance]]*ROUND(1-(1-IF($C$11="No",$E$8,1))^(1/12),6),MIN(IF($C$13="Yes",Table157810[[#This Row],[Payment Amount (Reamortized)]],$C$6)-Table157810[[#This Row],[Interest]],Table157810[[#This Row],[Beginning Balance]]))),2)))</f>
        <v>11295.7</v>
      </c>
      <c r="I28" s="4">
        <f>IF($C$3="Interest Only",0,ROUND(MAX(MIN(IF($C$10="No",$E$7,VLOOKUP(Table157810[[#This Row],[Period]],Forecast!$H$2:$L$1048576,4,FALSE))*Table157810[[#This Row],[Beginning Balance]],Table157810[[#This Row],[Beginning Balance]]-Table157810[[#This Row],[Principal]]),0),2))</f>
        <v>0</v>
      </c>
      <c r="J28" s="3">
        <f>ROUND(MIN(Table157810[[#This Row],[Beginning Balance]]*IF($C$8="No",$E$3,VLOOKUP(Table157810[[#This Row],[Period]],Forecast!$H$2:$L$1048576,2,FALSE)),Table157810[[#This Row],[Beginning Balance]]-Table157810[[#This Row],[Principal]]-Table157810[[#This Row],[Prepayments]]),2)</f>
        <v>3175.71</v>
      </c>
      <c r="K28" s="3">
        <f>ROUND(Table157810[[#This Row],[Defaulted Principal]]*IF($C$9="No",$E$4,VLOOKUP(Table157810[[#This Row],[Period]],Forecast!$H$2:$L$1048576,3,FALSE)),2)</f>
        <v>252.75</v>
      </c>
      <c r="L28" s="2">
        <f>Table157810[[#This Row],[Period]]+$E$9</f>
        <v>24</v>
      </c>
      <c r="M28" s="3">
        <f>Table157810[[#This Row],[Defaulted Principal]]-Table157810[[#This Row],[Estimated Loss]]</f>
        <v>2922.96</v>
      </c>
      <c r="N28" s="3">
        <f>IFERROR(VLOOKUP(Table157810[[#This Row],[Period]],$L$16:$M$28,2,FALSE),0)</f>
        <v>0</v>
      </c>
      <c r="O28" s="3">
        <f>Table157810[[#This Row],[Beginning Balance]]-Table157810[[#This Row],[Principal]]-Table157810[[#This Row],[Prepayments]]-Table157810[[#This Row],[Defaulted Principal]]</f>
        <v>6440213.7499999991</v>
      </c>
      <c r="P28" s="3">
        <f>Table157810[[#This Row],[Principal]]+Table157810[[#This Row],[Interest]]+Table157810[[#This Row],[Prepayments]]+Table157810[[#This Row],[RecoveredAmount]]</f>
        <v>48674.240000000005</v>
      </c>
      <c r="Q28" s="3">
        <f ca="1">ROUND(Table157810[[#This Row],[Cash Flow]]/((1+ActualRateToUse)^(IF(ISNUMBER(SEARCH("Actual",$C$7)),Table157810[[#This Row],[Running Total]]/365,Table157810[[#This Row],[Period]]/12))),2)</f>
        <v>45312</v>
      </c>
      <c r="R28" s="2">
        <f>IF(MONTH(Table157810[[#This Row],[Date]])=2,28,DAY(DATE(YEAR(Table157810[[#This Row],[Date]]),MONTH(Table157810[[#This Row],[Date]])+1,1)-1))</f>
        <v>30</v>
      </c>
      <c r="S28" s="2">
        <f ca="1">SUM(OFFSET(Table157810[[#Headers],[Days in month]],1,0):Table157810[[#This Row],[Days in month]])</f>
        <v>365</v>
      </c>
      <c r="T28" s="37">
        <f>InterestRate*AmortizationMultiplier*IF(ISNUMBER(SEARCH("Actual",$C$7)),Table157810[[#This Row],[Days in month]]/365,1/12)</f>
        <v>5.7909166666666656E-3</v>
      </c>
    </row>
    <row r="29" spans="2:20" x14ac:dyDescent="0.2">
      <c r="B29" s="1">
        <v>46234</v>
      </c>
      <c r="C29" s="2">
        <f t="shared" si="1"/>
        <v>13</v>
      </c>
      <c r="D29" s="3">
        <f t="shared" si="0"/>
        <v>6440213.7499999991</v>
      </c>
      <c r="E29" s="3">
        <f>ROUND(Table157810[[#This Row],[Beginning Balance]]*Table157810[[#This Row],[Monthly Interest Rate]],2)</f>
        <v>38537.9</v>
      </c>
      <c r="F29" s="3">
        <f t="shared" si="2"/>
        <v>829</v>
      </c>
      <c r="G29" s="23">
        <f>IFERROR(IF($C$13="No","N/A",IF(Table157810[[#This Row],[Period]]=1,$C$6,PMT(InterestRate*AmortizationMultiplier/12,Table157810[[#This Row],[Am Thru]],-Table157810[[#This Row],[Beginning Balance]]))),0)</f>
        <v>38110.137016662644</v>
      </c>
      <c r="H29" s="3">
        <f>MAX(0,IF(C29=$C$4,D29,ROUND(IF($C$3="Fixed Principal",$C$6-Table157810[[#This Row],[Interest]],IF($C$3="Interest Only",Table157810[[#This Row],[Beginning Balance]]*ROUND(1-(1-IF($C$11="No",$E$8,1))^(1/12),6),MIN(IF($C$13="Yes",Table157810[[#This Row],[Payment Amount (Reamortized)]],$C$6)-Table157810[[#This Row],[Interest]],Table157810[[#This Row],[Beginning Balance]]))),2)))</f>
        <v>11270.37</v>
      </c>
      <c r="I29" s="4">
        <f>IF($C$3="Interest Only",0,ROUND(MAX(MIN(IF($C$10="No",$E$7,VLOOKUP(Table157810[[#This Row],[Period]],Forecast!$H$2:$L$1048576,4,FALSE))*Table157810[[#This Row],[Beginning Balance]],Table157810[[#This Row],[Beginning Balance]]-Table157810[[#This Row],[Principal]]),0),2))</f>
        <v>0</v>
      </c>
      <c r="J29" s="3">
        <f>ROUND(MIN(Table157810[[#This Row],[Beginning Balance]]*IF($C$8="No",$E$3,VLOOKUP(Table157810[[#This Row],[Period]],Forecast!$H$2:$L$1048576,2,FALSE)),Table157810[[#This Row],[Beginning Balance]]-Table157810[[#This Row],[Principal]]-Table157810[[#This Row],[Prepayments]]),2)</f>
        <v>3323.15</v>
      </c>
      <c r="K29" s="3">
        <f>ROUND(Table157810[[#This Row],[Defaulted Principal]]*IF($C$9="No",$E$4,VLOOKUP(Table157810[[#This Row],[Period]],Forecast!$H$2:$L$1048576,3,FALSE)),2)</f>
        <v>267.72000000000003</v>
      </c>
      <c r="L29" s="2">
        <f>Table157810[[#This Row],[Period]]+$E$9</f>
        <v>25</v>
      </c>
      <c r="M29" s="3">
        <f>Table157810[[#This Row],[Defaulted Principal]]-Table157810[[#This Row],[Estimated Loss]]</f>
        <v>3055.4300000000003</v>
      </c>
      <c r="N29" s="3">
        <f>IFERROR(VLOOKUP(Table157810[[#This Row],[Period]],$L$16:$M$385,2,FALSE),0)</f>
        <v>2775.26</v>
      </c>
      <c r="O29" s="3">
        <f>Table157810[[#This Row],[Beginning Balance]]-Table157810[[#This Row],[Principal]]-Table157810[[#This Row],[Prepayments]]-Table157810[[#This Row],[Defaulted Principal]]</f>
        <v>6425620.2299999986</v>
      </c>
      <c r="P29" s="3">
        <f>Table157810[[#This Row],[Principal]]+Table157810[[#This Row],[Interest]]+Table157810[[#This Row],[Prepayments]]+Table157810[[#This Row],[RecoveredAmount]]</f>
        <v>52583.530000000006</v>
      </c>
      <c r="Q29" s="3">
        <f ca="1">ROUND(Table157810[[#This Row],[Cash Flow]]/((1+ActualRateToUse)^(IF(ISNUMBER(SEARCH("Actual",$C$7)),Table157810[[#This Row],[Running Total]]/365,Table157810[[#This Row],[Period]]/12))),2)</f>
        <v>48654.57</v>
      </c>
      <c r="R29" s="2">
        <f>IF(MONTH(Table157810[[#This Row],[Date]])=2,28,DAY(DATE(YEAR(Table157810[[#This Row],[Date]]),MONTH(Table157810[[#This Row],[Date]])+1,1)-1))</f>
        <v>31</v>
      </c>
      <c r="S29" s="2">
        <f ca="1">SUM(OFFSET(Table157810[[#Headers],[Days in month]],1,0):Table157810[[#This Row],[Days in month]])</f>
        <v>396</v>
      </c>
      <c r="T29" s="37">
        <f>InterestRate*AmortizationMultiplier*IF(ISNUMBER(SEARCH("Actual",$C$7)),Table157810[[#This Row],[Days in month]]/365,1/12)</f>
        <v>5.9839472222222214E-3</v>
      </c>
    </row>
    <row r="30" spans="2:20" x14ac:dyDescent="0.2">
      <c r="B30" s="1">
        <v>46265</v>
      </c>
      <c r="C30" s="2">
        <f t="shared" si="1"/>
        <v>14</v>
      </c>
      <c r="D30" s="3">
        <f t="shared" si="0"/>
        <v>6425620.2299999986</v>
      </c>
      <c r="E30" s="3">
        <f>ROUND(Table157810[[#This Row],[Beginning Balance]]*Table157810[[#This Row],[Monthly Interest Rate]],2)</f>
        <v>38450.57</v>
      </c>
      <c r="F30" s="3">
        <f t="shared" si="2"/>
        <v>828</v>
      </c>
      <c r="G30" s="23">
        <f>IFERROR(IF($C$13="No","N/A",IF(Table157810[[#This Row],[Period]]=1,$C$6,PMT(InterestRate*AmortizationMultiplier/12,Table157810[[#This Row],[Am Thru]],-Table157810[[#This Row],[Beginning Balance]]))),0)</f>
        <v>38025.535516517033</v>
      </c>
      <c r="H30" s="3">
        <f>MAX(0,IF(C30=$C$4,D30,ROUND(IF($C$3="Fixed Principal",$C$6-Table157810[[#This Row],[Interest]],IF($C$3="Interest Only",Table157810[[#This Row],[Beginning Balance]]*ROUND(1-(1-IF($C$11="No",$E$8,1))^(1/12),6),MIN(IF($C$13="Yes",Table157810[[#This Row],[Payment Amount (Reamortized)]],$C$6)-Table157810[[#This Row],[Interest]],Table157810[[#This Row],[Beginning Balance]]))),2)))</f>
        <v>11244.84</v>
      </c>
      <c r="I30" s="4">
        <f>IF($C$3="Interest Only",0,ROUND(MAX(MIN(IF($C$10="No",$E$7,VLOOKUP(Table157810[[#This Row],[Period]],Forecast!$H$2:$L$1048576,4,FALSE))*Table157810[[#This Row],[Beginning Balance]],Table157810[[#This Row],[Beginning Balance]]-Table157810[[#This Row],[Principal]]),0),2))</f>
        <v>0</v>
      </c>
      <c r="J30" s="3">
        <f>ROUND(MIN(Table157810[[#This Row],[Beginning Balance]]*IF($C$8="No",$E$3,VLOOKUP(Table157810[[#This Row],[Period]],Forecast!$H$2:$L$1048576,2,FALSE)),Table157810[[#This Row],[Beginning Balance]]-Table157810[[#This Row],[Principal]]-Table157810[[#This Row],[Prepayments]]),2)</f>
        <v>3315.62</v>
      </c>
      <c r="K30" s="3">
        <f>ROUND(Table157810[[#This Row],[Defaulted Principal]]*IF($C$9="No",$E$4,VLOOKUP(Table157810[[#This Row],[Period]],Forecast!$H$2:$L$1048576,3,FALSE)),2)</f>
        <v>267.12</v>
      </c>
      <c r="L30" s="2">
        <f>Table157810[[#This Row],[Period]]+$E$9</f>
        <v>26</v>
      </c>
      <c r="M30" s="3">
        <f>Table157810[[#This Row],[Defaulted Principal]]-Table157810[[#This Row],[Estimated Loss]]</f>
        <v>3048.5</v>
      </c>
      <c r="N30" s="3">
        <f>IFERROR(VLOOKUP(Table157810[[#This Row],[Period]],$L$16:$M$385,2,FALSE),0)</f>
        <v>2769.14</v>
      </c>
      <c r="O30" s="3">
        <f>Table157810[[#This Row],[Beginning Balance]]-Table157810[[#This Row],[Principal]]-Table157810[[#This Row],[Prepayments]]-Table157810[[#This Row],[Defaulted Principal]]</f>
        <v>6411059.7699999986</v>
      </c>
      <c r="P30" s="3">
        <f>Table157810[[#This Row],[Principal]]+Table157810[[#This Row],[Interest]]+Table157810[[#This Row],[Prepayments]]+Table157810[[#This Row],[RecoveredAmount]]</f>
        <v>52464.55</v>
      </c>
      <c r="Q30" s="3">
        <f ca="1">ROUND(Table157810[[#This Row],[Cash Flow]]/((1+ActualRateToUse)^(IF(ISNUMBER(SEARCH("Actual",$C$7)),Table157810[[#This Row],[Running Total]]/365,Table157810[[#This Row],[Period]]/12))),2)</f>
        <v>48250.26</v>
      </c>
      <c r="R30" s="2">
        <f>IF(MONTH(Table157810[[#This Row],[Date]])=2,28,DAY(DATE(YEAR(Table157810[[#This Row],[Date]]),MONTH(Table157810[[#This Row],[Date]])+1,1)-1))</f>
        <v>31</v>
      </c>
      <c r="S30" s="2">
        <f ca="1">SUM(OFFSET(Table157810[[#Headers],[Days in month]],1,0):Table157810[[#This Row],[Days in month]])</f>
        <v>427</v>
      </c>
      <c r="T30" s="37">
        <f>InterestRate*AmortizationMultiplier*IF(ISNUMBER(SEARCH("Actual",$C$7)),Table157810[[#This Row],[Days in month]]/365,1/12)</f>
        <v>5.9839472222222214E-3</v>
      </c>
    </row>
    <row r="31" spans="2:20" x14ac:dyDescent="0.2">
      <c r="B31" s="1">
        <v>46295</v>
      </c>
      <c r="C31" s="2">
        <f t="shared" si="1"/>
        <v>15</v>
      </c>
      <c r="D31" s="3">
        <f t="shared" si="0"/>
        <v>6411059.7699999986</v>
      </c>
      <c r="E31" s="3">
        <f>ROUND(Table157810[[#This Row],[Beginning Balance]]*Table157810[[#This Row],[Monthly Interest Rate]],2)</f>
        <v>37125.910000000003</v>
      </c>
      <c r="F31" s="3">
        <f t="shared" si="2"/>
        <v>827</v>
      </c>
      <c r="G31" s="23">
        <f>IFERROR(IF($C$13="No","N/A",IF(Table157810[[#This Row],[Period]]=1,$C$6,PMT(InterestRate*AmortizationMultiplier/12,Table157810[[#This Row],[Am Thru]],-Table157810[[#This Row],[Beginning Balance]]))),0)</f>
        <v>37941.132141656934</v>
      </c>
      <c r="H31" s="3">
        <f>MAX(0,IF(C31=$C$4,D31,ROUND(IF($C$3="Fixed Principal",$C$6-Table157810[[#This Row],[Interest]],IF($C$3="Interest Only",Table157810[[#This Row],[Beginning Balance]]*ROUND(1-(1-IF($C$11="No",$E$8,1))^(1/12),6),MIN(IF($C$13="Yes",Table157810[[#This Row],[Payment Amount (Reamortized)]],$C$6)-Table157810[[#This Row],[Interest]],Table157810[[#This Row],[Beginning Balance]]))),2)))</f>
        <v>11219.35</v>
      </c>
      <c r="I31" s="4">
        <f>IF($C$3="Interest Only",0,ROUND(MAX(MIN(IF($C$10="No",$E$7,VLOOKUP(Table157810[[#This Row],[Period]],Forecast!$H$2:$L$1048576,4,FALSE))*Table157810[[#This Row],[Beginning Balance]],Table157810[[#This Row],[Beginning Balance]]-Table157810[[#This Row],[Principal]]),0),2))</f>
        <v>0</v>
      </c>
      <c r="J31" s="3">
        <f>ROUND(MIN(Table157810[[#This Row],[Beginning Balance]]*IF($C$8="No",$E$3,VLOOKUP(Table157810[[#This Row],[Period]],Forecast!$H$2:$L$1048576,2,FALSE)),Table157810[[#This Row],[Beginning Balance]]-Table157810[[#This Row],[Principal]]-Table157810[[#This Row],[Prepayments]]),2)</f>
        <v>3308.11</v>
      </c>
      <c r="K31" s="3">
        <f>ROUND(Table157810[[#This Row],[Defaulted Principal]]*IF($C$9="No",$E$4,VLOOKUP(Table157810[[#This Row],[Period]],Forecast!$H$2:$L$1048576,3,FALSE)),2)</f>
        <v>266.51</v>
      </c>
      <c r="L31" s="2">
        <f>Table157810[[#This Row],[Period]]+$E$9</f>
        <v>27</v>
      </c>
      <c r="M31" s="3">
        <f>Table157810[[#This Row],[Defaulted Principal]]-Table157810[[#This Row],[Estimated Loss]]</f>
        <v>3041.6000000000004</v>
      </c>
      <c r="N31" s="3">
        <f>IFERROR(VLOOKUP(Table157810[[#This Row],[Period]],$L$16:$M$385,2,FALSE),0)</f>
        <v>2763.0299999999997</v>
      </c>
      <c r="O31" s="3">
        <f>Table157810[[#This Row],[Beginning Balance]]-Table157810[[#This Row],[Principal]]-Table157810[[#This Row],[Prepayments]]-Table157810[[#This Row],[Defaulted Principal]]</f>
        <v>6396532.3099999987</v>
      </c>
      <c r="P31" s="3">
        <f>Table157810[[#This Row],[Principal]]+Table157810[[#This Row],[Interest]]+Table157810[[#This Row],[Prepayments]]+Table157810[[#This Row],[RecoveredAmount]]</f>
        <v>51108.29</v>
      </c>
      <c r="Q31" s="3">
        <f ca="1">ROUND(Table157810[[#This Row],[Cash Flow]]/((1+ActualRateToUse)^(IF(ISNUMBER(SEARCH("Actual",$C$7)),Table157810[[#This Row],[Running Total]]/365,Table157810[[#This Row],[Period]]/12))),2)</f>
        <v>46727.23</v>
      </c>
      <c r="R31" s="2">
        <f>IF(MONTH(Table157810[[#This Row],[Date]])=2,28,DAY(DATE(YEAR(Table157810[[#This Row],[Date]]),MONTH(Table157810[[#This Row],[Date]])+1,1)-1))</f>
        <v>30</v>
      </c>
      <c r="S31" s="2">
        <f ca="1">SUM(OFFSET(Table157810[[#Headers],[Days in month]],1,0):Table157810[[#This Row],[Days in month]])</f>
        <v>457</v>
      </c>
      <c r="T31" s="37">
        <f>InterestRate*AmortizationMultiplier*IF(ISNUMBER(SEARCH("Actual",$C$7)),Table157810[[#This Row],[Days in month]]/365,1/12)</f>
        <v>5.7909166666666656E-3</v>
      </c>
    </row>
    <row r="32" spans="2:20" x14ac:dyDescent="0.2">
      <c r="B32" s="1">
        <v>46326</v>
      </c>
      <c r="C32" s="2">
        <f t="shared" si="1"/>
        <v>16</v>
      </c>
      <c r="D32" s="3">
        <f t="shared" si="0"/>
        <v>6396532.3099999987</v>
      </c>
      <c r="E32" s="3">
        <f>ROUND(Table157810[[#This Row],[Beginning Balance]]*Table157810[[#This Row],[Monthly Interest Rate]],2)</f>
        <v>38276.51</v>
      </c>
      <c r="F32" s="3">
        <f t="shared" si="2"/>
        <v>826</v>
      </c>
      <c r="G32" s="23">
        <f>IFERROR(IF($C$13="No","N/A",IF(Table157810[[#This Row],[Period]]=1,$C$6,PMT(InterestRate*AmortizationMultiplier/12,Table157810[[#This Row],[Am Thru]],-Table157810[[#This Row],[Beginning Balance]]))),0)</f>
        <v>37856.926556204882</v>
      </c>
      <c r="H32" s="3">
        <f>MAX(0,IF(C32=$C$4,D32,ROUND(IF($C$3="Fixed Principal",$C$6-Table157810[[#This Row],[Interest]],IF($C$3="Interest Only",Table157810[[#This Row],[Beginning Balance]]*ROUND(1-(1-IF($C$11="No",$E$8,1))^(1/12),6),MIN(IF($C$13="Yes",Table157810[[#This Row],[Payment Amount (Reamortized)]],$C$6)-Table157810[[#This Row],[Interest]],Table157810[[#This Row],[Beginning Balance]]))),2)))</f>
        <v>11193.93</v>
      </c>
      <c r="I32" s="4">
        <f>IF($C$3="Interest Only",0,ROUND(MAX(MIN(IF($C$10="No",$E$7,VLOOKUP(Table157810[[#This Row],[Period]],Forecast!$H$2:$L$1048576,4,FALSE))*Table157810[[#This Row],[Beginning Balance]],Table157810[[#This Row],[Beginning Balance]]-Table157810[[#This Row],[Principal]]),0),2))</f>
        <v>0</v>
      </c>
      <c r="J32" s="3">
        <f>ROUND(MIN(Table157810[[#This Row],[Beginning Balance]]*IF($C$8="No",$E$3,VLOOKUP(Table157810[[#This Row],[Period]],Forecast!$H$2:$L$1048576,2,FALSE)),Table157810[[#This Row],[Beginning Balance]]-Table157810[[#This Row],[Principal]]-Table157810[[#This Row],[Prepayments]]),2)</f>
        <v>3454.13</v>
      </c>
      <c r="K32" s="3">
        <f>ROUND(Table157810[[#This Row],[Defaulted Principal]]*IF($C$9="No",$E$4,VLOOKUP(Table157810[[#This Row],[Period]],Forecast!$H$2:$L$1048576,3,FALSE)),2)</f>
        <v>281.54000000000002</v>
      </c>
      <c r="L32" s="2">
        <f>Table157810[[#This Row],[Period]]+$E$9</f>
        <v>28</v>
      </c>
      <c r="M32" s="3">
        <f>Table157810[[#This Row],[Defaulted Principal]]-Table157810[[#This Row],[Estimated Loss]]</f>
        <v>3172.59</v>
      </c>
      <c r="N32" s="3">
        <f>IFERROR(VLOOKUP(Table157810[[#This Row],[Period]],$L$16:$M$385,2,FALSE),0)</f>
        <v>3029.2400000000002</v>
      </c>
      <c r="O32" s="3">
        <f>Table157810[[#This Row],[Beginning Balance]]-Table157810[[#This Row],[Principal]]-Table157810[[#This Row],[Prepayments]]-Table157810[[#This Row],[Defaulted Principal]]</f>
        <v>6381884.2499999991</v>
      </c>
      <c r="P32" s="3">
        <f>Table157810[[#This Row],[Principal]]+Table157810[[#This Row],[Interest]]+Table157810[[#This Row],[Prepayments]]+Table157810[[#This Row],[RecoveredAmount]]</f>
        <v>52499.68</v>
      </c>
      <c r="Q32" s="3">
        <f ca="1">ROUND(Table157810[[#This Row],[Cash Flow]]/((1+ActualRateToUse)^(IF(ISNUMBER(SEARCH("Actual",$C$7)),Table157810[[#This Row],[Running Total]]/365,Table157810[[#This Row],[Period]]/12))),2)</f>
        <v>47708.43</v>
      </c>
      <c r="R32" s="2">
        <f>IF(MONTH(Table157810[[#This Row],[Date]])=2,28,DAY(DATE(YEAR(Table157810[[#This Row],[Date]]),MONTH(Table157810[[#This Row],[Date]])+1,1)-1))</f>
        <v>31</v>
      </c>
      <c r="S32" s="2">
        <f ca="1">SUM(OFFSET(Table157810[[#Headers],[Days in month]],1,0):Table157810[[#This Row],[Days in month]])</f>
        <v>488</v>
      </c>
      <c r="T32" s="37">
        <f>InterestRate*AmortizationMultiplier*IF(ISNUMBER(SEARCH("Actual",$C$7)),Table157810[[#This Row],[Days in month]]/365,1/12)</f>
        <v>5.9839472222222214E-3</v>
      </c>
    </row>
    <row r="33" spans="2:20" x14ac:dyDescent="0.2">
      <c r="B33" s="1">
        <v>46356</v>
      </c>
      <c r="C33" s="2">
        <f t="shared" si="1"/>
        <v>17</v>
      </c>
      <c r="D33" s="3">
        <f t="shared" si="0"/>
        <v>6381884.2499999991</v>
      </c>
      <c r="E33" s="3">
        <f>ROUND(Table157810[[#This Row],[Beginning Balance]]*Table157810[[#This Row],[Monthly Interest Rate]],2)</f>
        <v>36956.959999999999</v>
      </c>
      <c r="F33" s="3">
        <f t="shared" si="2"/>
        <v>825</v>
      </c>
      <c r="G33" s="23">
        <f>IFERROR(IF($C$13="No","N/A",IF(Table157810[[#This Row],[Period]]=1,$C$6,PMT(InterestRate*AmortizationMultiplier/12,Table157810[[#This Row],[Am Thru]],-Table157810[[#This Row],[Beginning Balance]]))),0)</f>
        <v>37772.009677956252</v>
      </c>
      <c r="H33" s="3">
        <f>MAX(0,IF(C33=$C$4,D33,ROUND(IF($C$3="Fixed Principal",$C$6-Table157810[[#This Row],[Interest]],IF($C$3="Interest Only",Table157810[[#This Row],[Beginning Balance]]*ROUND(1-(1-IF($C$11="No",$E$8,1))^(1/12),6),MIN(IF($C$13="Yes",Table157810[[#This Row],[Payment Amount (Reamortized)]],$C$6)-Table157810[[#This Row],[Interest]],Table157810[[#This Row],[Beginning Balance]]))),2)))</f>
        <v>11168.3</v>
      </c>
      <c r="I33" s="4">
        <f>IF($C$3="Interest Only",0,ROUND(MAX(MIN(IF($C$10="No",$E$7,VLOOKUP(Table157810[[#This Row],[Period]],Forecast!$H$2:$L$1048576,4,FALSE))*Table157810[[#This Row],[Beginning Balance]],Table157810[[#This Row],[Beginning Balance]]-Table157810[[#This Row],[Principal]]),0),2))</f>
        <v>0</v>
      </c>
      <c r="J33" s="3">
        <f>ROUND(MIN(Table157810[[#This Row],[Beginning Balance]]*IF($C$8="No",$E$3,VLOOKUP(Table157810[[#This Row],[Period]],Forecast!$H$2:$L$1048576,2,FALSE)),Table157810[[#This Row],[Beginning Balance]]-Table157810[[#This Row],[Principal]]-Table157810[[#This Row],[Prepayments]]),2)</f>
        <v>3446.22</v>
      </c>
      <c r="K33" s="3">
        <f>ROUND(Table157810[[#This Row],[Defaulted Principal]]*IF($C$9="No",$E$4,VLOOKUP(Table157810[[#This Row],[Period]],Forecast!$H$2:$L$1048576,3,FALSE)),2)</f>
        <v>280.89999999999998</v>
      </c>
      <c r="L33" s="2">
        <f>Table157810[[#This Row],[Period]]+$E$9</f>
        <v>29</v>
      </c>
      <c r="M33" s="3">
        <f>Table157810[[#This Row],[Defaulted Principal]]-Table157810[[#This Row],[Estimated Loss]]</f>
        <v>3165.3199999999997</v>
      </c>
      <c r="N33" s="3">
        <f>IFERROR(VLOOKUP(Table157810[[#This Row],[Period]],$L$16:$M$385,2,FALSE),0)</f>
        <v>3022.42</v>
      </c>
      <c r="O33" s="3">
        <f>Table157810[[#This Row],[Beginning Balance]]-Table157810[[#This Row],[Principal]]-Table157810[[#This Row],[Prepayments]]-Table157810[[#This Row],[Defaulted Principal]]</f>
        <v>6367269.7299999995</v>
      </c>
      <c r="P33" s="3">
        <f>Table157810[[#This Row],[Principal]]+Table157810[[#This Row],[Interest]]+Table157810[[#This Row],[Prepayments]]+Table157810[[#This Row],[RecoveredAmount]]</f>
        <v>51147.679999999993</v>
      </c>
      <c r="Q33" s="3">
        <f ca="1">ROUND(Table157810[[#This Row],[Cash Flow]]/((1+ActualRateToUse)^(IF(ISNUMBER(SEARCH("Actual",$C$7)),Table157810[[#This Row],[Running Total]]/365,Table157810[[#This Row],[Period]]/12))),2)</f>
        <v>46207.18</v>
      </c>
      <c r="R33" s="2">
        <f>IF(MONTH(Table157810[[#This Row],[Date]])=2,28,DAY(DATE(YEAR(Table157810[[#This Row],[Date]]),MONTH(Table157810[[#This Row],[Date]])+1,1)-1))</f>
        <v>30</v>
      </c>
      <c r="S33" s="2">
        <f ca="1">SUM(OFFSET(Table157810[[#Headers],[Days in month]],1,0):Table157810[[#This Row],[Days in month]])</f>
        <v>518</v>
      </c>
      <c r="T33" s="37">
        <f>InterestRate*AmortizationMultiplier*IF(ISNUMBER(SEARCH("Actual",$C$7)),Table157810[[#This Row],[Days in month]]/365,1/12)</f>
        <v>5.7909166666666656E-3</v>
      </c>
    </row>
    <row r="34" spans="2:20" x14ac:dyDescent="0.2">
      <c r="B34" s="1">
        <v>46387</v>
      </c>
      <c r="C34" s="2">
        <f t="shared" si="1"/>
        <v>18</v>
      </c>
      <c r="D34" s="3">
        <f t="shared" si="0"/>
        <v>6367269.7299999995</v>
      </c>
      <c r="E34" s="3">
        <f>ROUND(Table157810[[#This Row],[Beginning Balance]]*Table157810[[#This Row],[Monthly Interest Rate]],2)</f>
        <v>38101.410000000003</v>
      </c>
      <c r="F34" s="3">
        <f t="shared" si="2"/>
        <v>824</v>
      </c>
      <c r="G34" s="23">
        <f>IFERROR(IF($C$13="No","N/A",IF(Table157810[[#This Row],[Period]]=1,$C$6,PMT(InterestRate*AmortizationMultiplier/12,Table157810[[#This Row],[Am Thru]],-Table157810[[#This Row],[Beginning Balance]]))),0)</f>
        <v>37687.293738131651</v>
      </c>
      <c r="H34" s="3">
        <f>MAX(0,IF(C34=$C$4,D34,ROUND(IF($C$3="Fixed Principal",$C$6-Table157810[[#This Row],[Interest]],IF($C$3="Interest Only",Table157810[[#This Row],[Beginning Balance]]*ROUND(1-(1-IF($C$11="No",$E$8,1))^(1/12),6),MIN(IF($C$13="Yes",Table157810[[#This Row],[Payment Amount (Reamortized)]],$C$6)-Table157810[[#This Row],[Interest]],Table157810[[#This Row],[Beginning Balance]]))),2)))</f>
        <v>11142.72</v>
      </c>
      <c r="I34" s="4">
        <f>IF($C$3="Interest Only",0,ROUND(MAX(MIN(IF($C$10="No",$E$7,VLOOKUP(Table157810[[#This Row],[Period]],Forecast!$H$2:$L$1048576,4,FALSE))*Table157810[[#This Row],[Beginning Balance]],Table157810[[#This Row],[Beginning Balance]]-Table157810[[#This Row],[Principal]]),0),2))</f>
        <v>0</v>
      </c>
      <c r="J34" s="3">
        <f>ROUND(MIN(Table157810[[#This Row],[Beginning Balance]]*IF($C$8="No",$E$3,VLOOKUP(Table157810[[#This Row],[Period]],Forecast!$H$2:$L$1048576,2,FALSE)),Table157810[[#This Row],[Beginning Balance]]-Table157810[[#This Row],[Principal]]-Table157810[[#This Row],[Prepayments]]),2)</f>
        <v>3438.33</v>
      </c>
      <c r="K34" s="3">
        <f>ROUND(Table157810[[#This Row],[Defaulted Principal]]*IF($C$9="No",$E$4,VLOOKUP(Table157810[[#This Row],[Period]],Forecast!$H$2:$L$1048576,3,FALSE)),2)</f>
        <v>280.25</v>
      </c>
      <c r="L34" s="2">
        <f>Table157810[[#This Row],[Period]]+$E$9</f>
        <v>30</v>
      </c>
      <c r="M34" s="3">
        <f>Table157810[[#This Row],[Defaulted Principal]]-Table157810[[#This Row],[Estimated Loss]]</f>
        <v>3158.08</v>
      </c>
      <c r="N34" s="3">
        <f>IFERROR(VLOOKUP(Table157810[[#This Row],[Period]],$L$16:$M$385,2,FALSE),0)</f>
        <v>3015.6099999999997</v>
      </c>
      <c r="O34" s="3">
        <f>Table157810[[#This Row],[Beginning Balance]]-Table157810[[#This Row],[Principal]]-Table157810[[#This Row],[Prepayments]]-Table157810[[#This Row],[Defaulted Principal]]</f>
        <v>6352688.6799999997</v>
      </c>
      <c r="P34" s="3">
        <f>Table157810[[#This Row],[Principal]]+Table157810[[#This Row],[Interest]]+Table157810[[#This Row],[Prepayments]]+Table157810[[#This Row],[RecoveredAmount]]</f>
        <v>52259.740000000005</v>
      </c>
      <c r="Q34" s="3">
        <f ca="1">ROUND(Table157810[[#This Row],[Cash Flow]]/((1+ActualRateToUse)^(IF(ISNUMBER(SEARCH("Actual",$C$7)),Table157810[[#This Row],[Running Total]]/365,Table157810[[#This Row],[Period]]/12))),2)</f>
        <v>46925.68</v>
      </c>
      <c r="R34" s="2">
        <f>IF(MONTH(Table157810[[#This Row],[Date]])=2,28,DAY(DATE(YEAR(Table157810[[#This Row],[Date]]),MONTH(Table157810[[#This Row],[Date]])+1,1)-1))</f>
        <v>31</v>
      </c>
      <c r="S34" s="2">
        <f ca="1">SUM(OFFSET(Table157810[[#Headers],[Days in month]],1,0):Table157810[[#This Row],[Days in month]])</f>
        <v>549</v>
      </c>
      <c r="T34" s="37">
        <f>InterestRate*AmortizationMultiplier*IF(ISNUMBER(SEARCH("Actual",$C$7)),Table157810[[#This Row],[Days in month]]/365,1/12)</f>
        <v>5.9839472222222214E-3</v>
      </c>
    </row>
    <row r="35" spans="2:20" x14ac:dyDescent="0.2">
      <c r="B35" s="1">
        <v>46418</v>
      </c>
      <c r="C35" s="2">
        <f t="shared" si="1"/>
        <v>19</v>
      </c>
      <c r="D35" s="3">
        <f t="shared" si="0"/>
        <v>6352688.6799999997</v>
      </c>
      <c r="E35" s="3">
        <f>ROUND(Table157810[[#This Row],[Beginning Balance]]*Table157810[[#This Row],[Monthly Interest Rate]],2)</f>
        <v>38014.15</v>
      </c>
      <c r="F35" s="3">
        <f t="shared" si="2"/>
        <v>823</v>
      </c>
      <c r="G35" s="23">
        <f>IFERROR(IF($C$13="No","N/A",IF(Table157810[[#This Row],[Period]]=1,$C$6,PMT(InterestRate*AmortizationMultiplier/12,Table157810[[#This Row],[Am Thru]],-Table157810[[#This Row],[Beginning Balance]]))),0)</f>
        <v>37602.778341683086</v>
      </c>
      <c r="H35" s="3">
        <f>MAX(0,IF(C35=$C$4,D35,ROUND(IF($C$3="Fixed Principal",$C$6-Table157810[[#This Row],[Interest]],IF($C$3="Interest Only",Table157810[[#This Row],[Beginning Balance]]*ROUND(1-(1-IF($C$11="No",$E$8,1))^(1/12),6),MIN(IF($C$13="Yes",Table157810[[#This Row],[Payment Amount (Reamortized)]],$C$6)-Table157810[[#This Row],[Interest]],Table157810[[#This Row],[Beginning Balance]]))),2)))</f>
        <v>11117.21</v>
      </c>
      <c r="I35" s="4">
        <f>IF($C$3="Interest Only",0,ROUND(MAX(MIN(IF($C$10="No",$E$7,VLOOKUP(Table157810[[#This Row],[Period]],Forecast!$H$2:$L$1048576,4,FALSE))*Table157810[[#This Row],[Beginning Balance]],Table157810[[#This Row],[Beginning Balance]]-Table157810[[#This Row],[Principal]]),0),2))</f>
        <v>0</v>
      </c>
      <c r="J35" s="3">
        <f>ROUND(MIN(Table157810[[#This Row],[Beginning Balance]]*IF($C$8="No",$E$3,VLOOKUP(Table157810[[#This Row],[Period]],Forecast!$H$2:$L$1048576,2,FALSE)),Table157810[[#This Row],[Beginning Balance]]-Table157810[[#This Row],[Principal]]-Table157810[[#This Row],[Prepayments]]),2)</f>
        <v>3582.92</v>
      </c>
      <c r="K35" s="3">
        <f>ROUND(Table157810[[#This Row],[Defaulted Principal]]*IF($C$9="No",$E$4,VLOOKUP(Table157810[[#This Row],[Period]],Forecast!$H$2:$L$1048576,3,FALSE)),2)</f>
        <v>295.33999999999997</v>
      </c>
      <c r="L35" s="2">
        <f>Table157810[[#This Row],[Period]]+$E$9</f>
        <v>31</v>
      </c>
      <c r="M35" s="3">
        <f>Table157810[[#This Row],[Defaulted Principal]]-Table157810[[#This Row],[Estimated Loss]]</f>
        <v>3287.58</v>
      </c>
      <c r="N35" s="3">
        <f>IFERROR(VLOOKUP(Table157810[[#This Row],[Period]],$L$16:$M$385,2,FALSE),0)</f>
        <v>2985.41</v>
      </c>
      <c r="O35" s="3">
        <f>Table157810[[#This Row],[Beginning Balance]]-Table157810[[#This Row],[Principal]]-Table157810[[#This Row],[Prepayments]]-Table157810[[#This Row],[Defaulted Principal]]</f>
        <v>6337988.5499999998</v>
      </c>
      <c r="P35" s="3">
        <f>Table157810[[#This Row],[Principal]]+Table157810[[#This Row],[Interest]]+Table157810[[#This Row],[Prepayments]]+Table157810[[#This Row],[RecoveredAmount]]</f>
        <v>52116.770000000004</v>
      </c>
      <c r="Q35" s="3">
        <f ca="1">ROUND(Table157810[[#This Row],[Cash Flow]]/((1+ActualRateToUse)^(IF(ISNUMBER(SEARCH("Actual",$C$7)),Table157810[[#This Row],[Running Total]]/365,Table157810[[#This Row],[Period]]/12))),2)</f>
        <v>46513.67</v>
      </c>
      <c r="R35" s="2">
        <f>IF(MONTH(Table157810[[#This Row],[Date]])=2,28,DAY(DATE(YEAR(Table157810[[#This Row],[Date]]),MONTH(Table157810[[#This Row],[Date]])+1,1)-1))</f>
        <v>31</v>
      </c>
      <c r="S35" s="2">
        <f ca="1">SUM(OFFSET(Table157810[[#Headers],[Days in month]],1,0):Table157810[[#This Row],[Days in month]])</f>
        <v>580</v>
      </c>
      <c r="T35" s="37">
        <f>InterestRate*AmortizationMultiplier*IF(ISNUMBER(SEARCH("Actual",$C$7)),Table157810[[#This Row],[Days in month]]/365,1/12)</f>
        <v>5.9839472222222214E-3</v>
      </c>
    </row>
    <row r="36" spans="2:20" x14ac:dyDescent="0.2">
      <c r="B36" s="1">
        <v>46446</v>
      </c>
      <c r="C36" s="2">
        <f t="shared" si="1"/>
        <v>20</v>
      </c>
      <c r="D36" s="3">
        <f t="shared" si="0"/>
        <v>6337988.5499999998</v>
      </c>
      <c r="E36" s="3">
        <f>ROUND(Table157810[[#This Row],[Beginning Balance]]*Table157810[[#This Row],[Monthly Interest Rate]],2)</f>
        <v>34255.910000000003</v>
      </c>
      <c r="F36" s="3">
        <f t="shared" si="2"/>
        <v>822</v>
      </c>
      <c r="G36" s="23">
        <f>IFERROR(IF($C$13="No","N/A",IF(Table157810[[#This Row],[Period]]=1,$C$6,PMT(InterestRate*AmortizationMultiplier/12,Table157810[[#This Row],[Am Thru]],-Table157810[[#This Row],[Beginning Balance]]))),0)</f>
        <v>37517.560492185112</v>
      </c>
      <c r="H36" s="3">
        <f>MAX(0,IF(C36=$C$4,D36,ROUND(IF($C$3="Fixed Principal",$C$6-Table157810[[#This Row],[Interest]],IF($C$3="Interest Only",Table157810[[#This Row],[Beginning Balance]]*ROUND(1-(1-IF($C$11="No",$E$8,1))^(1/12),6),MIN(IF($C$13="Yes",Table157810[[#This Row],[Payment Amount (Reamortized)]],$C$6)-Table157810[[#This Row],[Interest]],Table157810[[#This Row],[Beginning Balance]]))),2)))</f>
        <v>11091.48</v>
      </c>
      <c r="I36" s="4">
        <f>IF($C$3="Interest Only",0,ROUND(MAX(MIN(IF($C$10="No",$E$7,VLOOKUP(Table157810[[#This Row],[Period]],Forecast!$H$2:$L$1048576,4,FALSE))*Table157810[[#This Row],[Beginning Balance]],Table157810[[#This Row],[Beginning Balance]]-Table157810[[#This Row],[Principal]]),0),2))</f>
        <v>0</v>
      </c>
      <c r="J36" s="3">
        <f>ROUND(MIN(Table157810[[#This Row],[Beginning Balance]]*IF($C$8="No",$E$3,VLOOKUP(Table157810[[#This Row],[Period]],Forecast!$H$2:$L$1048576,2,FALSE)),Table157810[[#This Row],[Beginning Balance]]-Table157810[[#This Row],[Principal]]-Table157810[[#This Row],[Prepayments]]),2)</f>
        <v>3574.63</v>
      </c>
      <c r="K36" s="3">
        <f>ROUND(Table157810[[#This Row],[Defaulted Principal]]*IF($C$9="No",$E$4,VLOOKUP(Table157810[[#This Row],[Period]],Forecast!$H$2:$L$1048576,3,FALSE)),2)</f>
        <v>294.64999999999998</v>
      </c>
      <c r="L36" s="2">
        <f>Table157810[[#This Row],[Period]]+$E$9</f>
        <v>32</v>
      </c>
      <c r="M36" s="3">
        <f>Table157810[[#This Row],[Defaulted Principal]]-Table157810[[#This Row],[Estimated Loss]]</f>
        <v>3279.98</v>
      </c>
      <c r="N36" s="3">
        <f>IFERROR(VLOOKUP(Table157810[[#This Row],[Period]],$L$16:$M$385,2,FALSE),0)</f>
        <v>2978.7</v>
      </c>
      <c r="O36" s="3">
        <f>Table157810[[#This Row],[Beginning Balance]]-Table157810[[#This Row],[Principal]]-Table157810[[#This Row],[Prepayments]]-Table157810[[#This Row],[Defaulted Principal]]</f>
        <v>6323322.4399999995</v>
      </c>
      <c r="P36" s="3">
        <f>Table157810[[#This Row],[Principal]]+Table157810[[#This Row],[Interest]]+Table157810[[#This Row],[Prepayments]]+Table157810[[#This Row],[RecoveredAmount]]</f>
        <v>48326.09</v>
      </c>
      <c r="Q36" s="3">
        <f ca="1">ROUND(Table157810[[#This Row],[Cash Flow]]/((1+ActualRateToUse)^(IF(ISNUMBER(SEARCH("Actual",$C$7)),Table157810[[#This Row],[Running Total]]/365,Table157810[[#This Row],[Period]]/12))),2)</f>
        <v>42894.35</v>
      </c>
      <c r="R36" s="2">
        <f>IF(MONTH(Table157810[[#This Row],[Date]])=2,28,DAY(DATE(YEAR(Table157810[[#This Row],[Date]]),MONTH(Table157810[[#This Row],[Date]])+1,1)-1))</f>
        <v>28</v>
      </c>
      <c r="S36" s="2">
        <f ca="1">SUM(OFFSET(Table157810[[#Headers],[Days in month]],1,0):Table157810[[#This Row],[Days in month]])</f>
        <v>608</v>
      </c>
      <c r="T36" s="37">
        <f>InterestRate*AmortizationMultiplier*IF(ISNUMBER(SEARCH("Actual",$C$7)),Table157810[[#This Row],[Days in month]]/365,1/12)</f>
        <v>5.4048555555555548E-3</v>
      </c>
    </row>
    <row r="37" spans="2:20" x14ac:dyDescent="0.2">
      <c r="B37" s="1">
        <v>46477</v>
      </c>
      <c r="C37" s="2">
        <f t="shared" si="1"/>
        <v>21</v>
      </c>
      <c r="D37" s="3">
        <f t="shared" si="0"/>
        <v>6323322.4399999995</v>
      </c>
      <c r="E37" s="3">
        <f>ROUND(Table157810[[#This Row],[Beginning Balance]]*Table157810[[#This Row],[Monthly Interest Rate]],2)</f>
        <v>37838.43</v>
      </c>
      <c r="F37" s="3">
        <f t="shared" si="2"/>
        <v>821</v>
      </c>
      <c r="G37" s="23">
        <f>IFERROR(IF($C$13="No","N/A",IF(Table157810[[#This Row],[Period]]=1,$C$6,PMT(InterestRate*AmortizationMultiplier/12,Table157810[[#This Row],[Am Thru]],-Table157810[[#This Row],[Beginning Balance]]))),0)</f>
        <v>37432.546393918681</v>
      </c>
      <c r="H37" s="3">
        <f>MAX(0,IF(C37=$C$4,D37,ROUND(IF($C$3="Fixed Principal",$C$6-Table157810[[#This Row],[Interest]],IF($C$3="Interest Only",Table157810[[#This Row],[Beginning Balance]]*ROUND(1-(1-IF($C$11="No",$E$8,1))^(1/12),6),MIN(IF($C$13="Yes",Table157810[[#This Row],[Payment Amount (Reamortized)]],$C$6)-Table157810[[#This Row],[Interest]],Table157810[[#This Row],[Beginning Balance]]))),2)))</f>
        <v>11065.81</v>
      </c>
      <c r="I37" s="4">
        <f>IF($C$3="Interest Only",0,ROUND(MAX(MIN(IF($C$10="No",$E$7,VLOOKUP(Table157810[[#This Row],[Period]],Forecast!$H$2:$L$1048576,4,FALSE))*Table157810[[#This Row],[Beginning Balance]],Table157810[[#This Row],[Beginning Balance]]-Table157810[[#This Row],[Principal]]),0),2))</f>
        <v>0</v>
      </c>
      <c r="J37" s="3">
        <f>ROUND(MIN(Table157810[[#This Row],[Beginning Balance]]*IF($C$8="No",$E$3,VLOOKUP(Table157810[[#This Row],[Period]],Forecast!$H$2:$L$1048576,2,FALSE)),Table157810[[#This Row],[Beginning Balance]]-Table157810[[#This Row],[Principal]]-Table157810[[#This Row],[Prepayments]]),2)</f>
        <v>3566.35</v>
      </c>
      <c r="K37" s="3">
        <f>ROUND(Table157810[[#This Row],[Defaulted Principal]]*IF($C$9="No",$E$4,VLOOKUP(Table157810[[#This Row],[Period]],Forecast!$H$2:$L$1048576,3,FALSE)),2)</f>
        <v>293.97000000000003</v>
      </c>
      <c r="L37" s="2">
        <f>Table157810[[#This Row],[Period]]+$E$9</f>
        <v>33</v>
      </c>
      <c r="M37" s="3">
        <f>Table157810[[#This Row],[Defaulted Principal]]-Table157810[[#This Row],[Estimated Loss]]</f>
        <v>3272.38</v>
      </c>
      <c r="N37" s="3">
        <f>IFERROR(VLOOKUP(Table157810[[#This Row],[Period]],$L$16:$M$385,2,FALSE),0)</f>
        <v>2972.01</v>
      </c>
      <c r="O37" s="3">
        <f>Table157810[[#This Row],[Beginning Balance]]-Table157810[[#This Row],[Principal]]-Table157810[[#This Row],[Prepayments]]-Table157810[[#This Row],[Defaulted Principal]]</f>
        <v>6308690.2800000003</v>
      </c>
      <c r="P37" s="3">
        <f>Table157810[[#This Row],[Principal]]+Table157810[[#This Row],[Interest]]+Table157810[[#This Row],[Prepayments]]+Table157810[[#This Row],[RecoveredAmount]]</f>
        <v>51876.25</v>
      </c>
      <c r="Q37" s="3">
        <f ca="1">ROUND(Table157810[[#This Row],[Cash Flow]]/((1+ActualRateToUse)^(IF(ISNUMBER(SEARCH("Actual",$C$7)),Table157810[[#This Row],[Running Total]]/365,Table157810[[#This Row],[Period]]/12))),2)</f>
        <v>45766.41</v>
      </c>
      <c r="R37" s="2">
        <f>IF(MONTH(Table157810[[#This Row],[Date]])=2,28,DAY(DATE(YEAR(Table157810[[#This Row],[Date]]),MONTH(Table157810[[#This Row],[Date]])+1,1)-1))</f>
        <v>31</v>
      </c>
      <c r="S37" s="2">
        <f ca="1">SUM(OFFSET(Table157810[[#Headers],[Days in month]],1,0):Table157810[[#This Row],[Days in month]])</f>
        <v>639</v>
      </c>
      <c r="T37" s="37">
        <f>InterestRate*AmortizationMultiplier*IF(ISNUMBER(SEARCH("Actual",$C$7)),Table157810[[#This Row],[Days in month]]/365,1/12)</f>
        <v>5.9839472222222214E-3</v>
      </c>
    </row>
    <row r="38" spans="2:20" x14ac:dyDescent="0.2">
      <c r="B38" s="1">
        <v>46507</v>
      </c>
      <c r="C38" s="2">
        <f t="shared" si="1"/>
        <v>22</v>
      </c>
      <c r="D38" s="3">
        <f t="shared" si="0"/>
        <v>6308690.2800000003</v>
      </c>
      <c r="E38" s="3">
        <f>ROUND(Table157810[[#This Row],[Beginning Balance]]*Table157810[[#This Row],[Monthly Interest Rate]],2)</f>
        <v>36533.1</v>
      </c>
      <c r="F38" s="3">
        <f t="shared" si="2"/>
        <v>820</v>
      </c>
      <c r="G38" s="23">
        <f>IFERROR(IF($C$13="No","N/A",IF(Table157810[[#This Row],[Period]]=1,$C$6,PMT(InterestRate*AmortizationMultiplier/12,Table157810[[#This Row],[Am Thru]],-Table157810[[#This Row],[Beginning Balance]]))),0)</f>
        <v>37347.735651854804</v>
      </c>
      <c r="H38" s="3">
        <f>MAX(0,IF(C38=$C$4,D38,ROUND(IF($C$3="Fixed Principal",$C$6-Table157810[[#This Row],[Interest]],IF($C$3="Interest Only",Table157810[[#This Row],[Beginning Balance]]*ROUND(1-(1-IF($C$11="No",$E$8,1))^(1/12),6),MIN(IF($C$13="Yes",Table157810[[#This Row],[Payment Amount (Reamortized)]],$C$6)-Table157810[[#This Row],[Interest]],Table157810[[#This Row],[Beginning Balance]]))),2)))</f>
        <v>11040.21</v>
      </c>
      <c r="I38" s="4">
        <f>IF($C$3="Interest Only",0,ROUND(MAX(MIN(IF($C$10="No",$E$7,VLOOKUP(Table157810[[#This Row],[Period]],Forecast!$H$2:$L$1048576,4,FALSE))*Table157810[[#This Row],[Beginning Balance]],Table157810[[#This Row],[Beginning Balance]]-Table157810[[#This Row],[Principal]]),0),2))</f>
        <v>0</v>
      </c>
      <c r="J38" s="3">
        <f>ROUND(MIN(Table157810[[#This Row],[Beginning Balance]]*IF($C$8="No",$E$3,VLOOKUP(Table157810[[#This Row],[Period]],Forecast!$H$2:$L$1048576,2,FALSE)),Table157810[[#This Row],[Beginning Balance]]-Table157810[[#This Row],[Principal]]-Table157810[[#This Row],[Prepayments]]),2)</f>
        <v>3709.51</v>
      </c>
      <c r="K38" s="3">
        <f>ROUND(Table157810[[#This Row],[Defaulted Principal]]*IF($C$9="No",$E$4,VLOOKUP(Table157810[[#This Row],[Period]],Forecast!$H$2:$L$1048576,3,FALSE)),2)</f>
        <v>309.08999999999997</v>
      </c>
      <c r="L38" s="2">
        <f>Table157810[[#This Row],[Period]]+$E$9</f>
        <v>34</v>
      </c>
      <c r="M38" s="3">
        <f>Table157810[[#This Row],[Defaulted Principal]]-Table157810[[#This Row],[Estimated Loss]]</f>
        <v>3400.42</v>
      </c>
      <c r="N38" s="3">
        <f>IFERROR(VLOOKUP(Table157810[[#This Row],[Period]],$L$16:$M$385,2,FALSE),0)</f>
        <v>2936.1099999999997</v>
      </c>
      <c r="O38" s="3">
        <f>Table157810[[#This Row],[Beginning Balance]]-Table157810[[#This Row],[Principal]]-Table157810[[#This Row],[Prepayments]]-Table157810[[#This Row],[Defaulted Principal]]</f>
        <v>6293940.5600000005</v>
      </c>
      <c r="P38" s="3">
        <f>Table157810[[#This Row],[Principal]]+Table157810[[#This Row],[Interest]]+Table157810[[#This Row],[Prepayments]]+Table157810[[#This Row],[RecoveredAmount]]</f>
        <v>50509.42</v>
      </c>
      <c r="Q38" s="3">
        <f ca="1">ROUND(Table157810[[#This Row],[Cash Flow]]/((1+ActualRateToUse)^(IF(ISNUMBER(SEARCH("Actual",$C$7)),Table157810[[#This Row],[Running Total]]/365,Table157810[[#This Row],[Period]]/12))),2)</f>
        <v>44299.18</v>
      </c>
      <c r="R38" s="2">
        <f>IF(MONTH(Table157810[[#This Row],[Date]])=2,28,DAY(DATE(YEAR(Table157810[[#This Row],[Date]]),MONTH(Table157810[[#This Row],[Date]])+1,1)-1))</f>
        <v>30</v>
      </c>
      <c r="S38" s="2">
        <f ca="1">SUM(OFFSET(Table157810[[#Headers],[Days in month]],1,0):Table157810[[#This Row],[Days in month]])</f>
        <v>669</v>
      </c>
      <c r="T38" s="37">
        <f>InterestRate*AmortizationMultiplier*IF(ISNUMBER(SEARCH("Actual",$C$7)),Table157810[[#This Row],[Days in month]]/365,1/12)</f>
        <v>5.7909166666666656E-3</v>
      </c>
    </row>
    <row r="39" spans="2:20" x14ac:dyDescent="0.2">
      <c r="B39" s="1">
        <v>46538</v>
      </c>
      <c r="C39" s="2">
        <f t="shared" si="1"/>
        <v>23</v>
      </c>
      <c r="D39" s="3">
        <f t="shared" si="0"/>
        <v>6293940.5600000005</v>
      </c>
      <c r="E39" s="3">
        <f>ROUND(Table157810[[#This Row],[Beginning Balance]]*Table157810[[#This Row],[Monthly Interest Rate]],2)</f>
        <v>37662.61</v>
      </c>
      <c r="F39" s="3">
        <f t="shared" si="2"/>
        <v>819</v>
      </c>
      <c r="G39" s="23">
        <f>IFERROR(IF($C$13="No","N/A",IF(Table157810[[#This Row],[Period]]=1,$C$6,PMT(InterestRate*AmortizationMultiplier/12,Table157810[[#This Row],[Am Thru]],-Table157810[[#This Row],[Beginning Balance]]))),0)</f>
        <v>37262.231295628524</v>
      </c>
      <c r="H39" s="3">
        <f>MAX(0,IF(C39=$C$4,D39,ROUND(IF($C$3="Fixed Principal",$C$6-Table157810[[#This Row],[Interest]],IF($C$3="Interest Only",Table157810[[#This Row],[Beginning Balance]]*ROUND(1-(1-IF($C$11="No",$E$8,1))^(1/12),6),MIN(IF($C$13="Yes",Table157810[[#This Row],[Payment Amount (Reamortized)]],$C$6)-Table157810[[#This Row],[Interest]],Table157810[[#This Row],[Beginning Balance]]))),2)))</f>
        <v>11014.4</v>
      </c>
      <c r="I39" s="4">
        <f>IF($C$3="Interest Only",0,ROUND(MAX(MIN(IF($C$10="No",$E$7,VLOOKUP(Table157810[[#This Row],[Period]],Forecast!$H$2:$L$1048576,4,FALSE))*Table157810[[#This Row],[Beginning Balance]],Table157810[[#This Row],[Beginning Balance]]-Table157810[[#This Row],[Principal]]),0),2))</f>
        <v>0</v>
      </c>
      <c r="J39" s="3">
        <f>ROUND(MIN(Table157810[[#This Row],[Beginning Balance]]*IF($C$8="No",$E$3,VLOOKUP(Table157810[[#This Row],[Period]],Forecast!$H$2:$L$1048576,2,FALSE)),Table157810[[#This Row],[Beginning Balance]]-Table157810[[#This Row],[Principal]]-Table157810[[#This Row],[Prepayments]]),2)</f>
        <v>3700.84</v>
      </c>
      <c r="K39" s="3">
        <f>ROUND(Table157810[[#This Row],[Defaulted Principal]]*IF($C$9="No",$E$4,VLOOKUP(Table157810[[#This Row],[Period]],Forecast!$H$2:$L$1048576,3,FALSE)),2)</f>
        <v>308.37</v>
      </c>
      <c r="L39" s="2">
        <f>Table157810[[#This Row],[Period]]+$E$9</f>
        <v>35</v>
      </c>
      <c r="M39" s="3">
        <f>Table157810[[#This Row],[Defaulted Principal]]-Table157810[[#This Row],[Estimated Loss]]</f>
        <v>3392.4700000000003</v>
      </c>
      <c r="N39" s="3">
        <f>IFERROR(VLOOKUP(Table157810[[#This Row],[Period]],$L$16:$M$385,2,FALSE),0)</f>
        <v>2929.52</v>
      </c>
      <c r="O39" s="3">
        <f>Table157810[[#This Row],[Beginning Balance]]-Table157810[[#This Row],[Principal]]-Table157810[[#This Row],[Prepayments]]-Table157810[[#This Row],[Defaulted Principal]]</f>
        <v>6279225.3200000003</v>
      </c>
      <c r="P39" s="3">
        <f>Table157810[[#This Row],[Principal]]+Table157810[[#This Row],[Interest]]+Table157810[[#This Row],[Prepayments]]+Table157810[[#This Row],[RecoveredAmount]]</f>
        <v>51606.53</v>
      </c>
      <c r="Q39" s="3">
        <f ca="1">ROUND(Table157810[[#This Row],[Cash Flow]]/((1+ActualRateToUse)^(IF(ISNUMBER(SEARCH("Actual",$C$7)),Table157810[[#This Row],[Running Total]]/365,Table157810[[#This Row],[Period]]/12))),2)</f>
        <v>44987.07</v>
      </c>
      <c r="R39" s="2">
        <f>IF(MONTH(Table157810[[#This Row],[Date]])=2,28,DAY(DATE(YEAR(Table157810[[#This Row],[Date]]),MONTH(Table157810[[#This Row],[Date]])+1,1)-1))</f>
        <v>31</v>
      </c>
      <c r="S39" s="2">
        <f ca="1">SUM(OFFSET(Table157810[[#Headers],[Days in month]],1,0):Table157810[[#This Row],[Days in month]])</f>
        <v>700</v>
      </c>
      <c r="T39" s="37">
        <f>InterestRate*AmortizationMultiplier*IF(ISNUMBER(SEARCH("Actual",$C$7)),Table157810[[#This Row],[Days in month]]/365,1/12)</f>
        <v>5.9839472222222214E-3</v>
      </c>
    </row>
    <row r="40" spans="2:20" x14ac:dyDescent="0.2">
      <c r="B40" s="1">
        <v>46568</v>
      </c>
      <c r="C40" s="2">
        <f t="shared" si="1"/>
        <v>24</v>
      </c>
      <c r="D40" s="3">
        <f t="shared" si="0"/>
        <v>6279225.3200000003</v>
      </c>
      <c r="E40" s="3">
        <f>ROUND(Table157810[[#This Row],[Beginning Balance]]*Table157810[[#This Row],[Monthly Interest Rate]],2)</f>
        <v>36362.47</v>
      </c>
      <c r="F40" s="3">
        <f t="shared" si="2"/>
        <v>818</v>
      </c>
      <c r="G40" s="23">
        <f>IFERROR(IF($C$13="No","N/A",IF(Table157810[[#This Row],[Period]]=1,$C$6,PMT(InterestRate*AmortizationMultiplier/12,Table157810[[#This Row],[Am Thru]],-Table157810[[#This Row],[Beginning Balance]]))),0)</f>
        <v>37176.93338472546</v>
      </c>
      <c r="H40" s="3">
        <f>MAX(0,IF(C40=$C$4,D40,ROUND(IF($C$3="Fixed Principal",$C$6-Table157810[[#This Row],[Interest]],IF($C$3="Interest Only",Table157810[[#This Row],[Beginning Balance]]*ROUND(1-(1-IF($C$11="No",$E$8,1))^(1/12),6),MIN(IF($C$13="Yes",Table157810[[#This Row],[Payment Amount (Reamortized)]],$C$6)-Table157810[[#This Row],[Interest]],Table157810[[#This Row],[Beginning Balance]]))),2)))</f>
        <v>10988.64</v>
      </c>
      <c r="I40" s="4">
        <f>IF($C$3="Interest Only",0,ROUND(MAX(MIN(IF($C$10="No",$E$7,VLOOKUP(Table157810[[#This Row],[Period]],Forecast!$H$2:$L$1048576,4,FALSE))*Table157810[[#This Row],[Beginning Balance]],Table157810[[#This Row],[Beginning Balance]]-Table157810[[#This Row],[Principal]]),0),2))</f>
        <v>0</v>
      </c>
      <c r="J40" s="3">
        <f>ROUND(MIN(Table157810[[#This Row],[Beginning Balance]]*IF($C$8="No",$E$3,VLOOKUP(Table157810[[#This Row],[Period]],Forecast!$H$2:$L$1048576,2,FALSE)),Table157810[[#This Row],[Beginning Balance]]-Table157810[[#This Row],[Principal]]-Table157810[[#This Row],[Prepayments]]),2)</f>
        <v>3692.18</v>
      </c>
      <c r="K40" s="3">
        <f>ROUND(Table157810[[#This Row],[Defaulted Principal]]*IF($C$9="No",$E$4,VLOOKUP(Table157810[[#This Row],[Period]],Forecast!$H$2:$L$1048576,3,FALSE)),2)</f>
        <v>307.64999999999998</v>
      </c>
      <c r="L40" s="2">
        <f>Table157810[[#This Row],[Period]]+$E$9</f>
        <v>36</v>
      </c>
      <c r="M40" s="3">
        <f>Table157810[[#This Row],[Defaulted Principal]]-Table157810[[#This Row],[Estimated Loss]]</f>
        <v>3384.5299999999997</v>
      </c>
      <c r="N40" s="3">
        <f>IFERROR(VLOOKUP(Table157810[[#This Row],[Period]],$L$16:$M$385,2,FALSE),0)</f>
        <v>2922.96</v>
      </c>
      <c r="O40" s="3">
        <f>Table157810[[#This Row],[Beginning Balance]]-Table157810[[#This Row],[Principal]]-Table157810[[#This Row],[Prepayments]]-Table157810[[#This Row],[Defaulted Principal]]</f>
        <v>6264544.5000000009</v>
      </c>
      <c r="P40" s="3">
        <f>Table157810[[#This Row],[Principal]]+Table157810[[#This Row],[Interest]]+Table157810[[#This Row],[Prepayments]]+Table157810[[#This Row],[RecoveredAmount]]</f>
        <v>50274.07</v>
      </c>
      <c r="Q40" s="3">
        <f ca="1">ROUND(Table157810[[#This Row],[Cash Flow]]/((1+ActualRateToUse)^(IF(ISNUMBER(SEARCH("Actual",$C$7)),Table157810[[#This Row],[Running Total]]/365,Table157810[[#This Row],[Period]]/12))),2)</f>
        <v>43568.45</v>
      </c>
      <c r="R40" s="2">
        <f>IF(MONTH(Table157810[[#This Row],[Date]])=2,28,DAY(DATE(YEAR(Table157810[[#This Row],[Date]]),MONTH(Table157810[[#This Row],[Date]])+1,1)-1))</f>
        <v>30</v>
      </c>
      <c r="S40" s="2">
        <f ca="1">SUM(OFFSET(Table157810[[#Headers],[Days in month]],1,0):Table157810[[#This Row],[Days in month]])</f>
        <v>730</v>
      </c>
      <c r="T40" s="37">
        <f>InterestRate*AmortizationMultiplier*IF(ISNUMBER(SEARCH("Actual",$C$7)),Table157810[[#This Row],[Days in month]]/365,1/12)</f>
        <v>5.7909166666666656E-3</v>
      </c>
    </row>
    <row r="41" spans="2:20" x14ac:dyDescent="0.2">
      <c r="B41" s="1">
        <v>46599</v>
      </c>
      <c r="C41" s="2">
        <f t="shared" si="1"/>
        <v>25</v>
      </c>
      <c r="D41" s="3">
        <f t="shared" si="0"/>
        <v>6264544.5000000009</v>
      </c>
      <c r="E41" s="3">
        <f>ROUND(Table157810[[#This Row],[Beginning Balance]]*Table157810[[#This Row],[Monthly Interest Rate]],2)</f>
        <v>37486.699999999997</v>
      </c>
      <c r="F41" s="3">
        <f t="shared" si="2"/>
        <v>817</v>
      </c>
      <c r="G41" s="23">
        <f>IFERROR(IF($C$13="No","N/A",IF(Table157810[[#This Row],[Period]]=1,$C$6,PMT(InterestRate*AmortizationMultiplier/12,Table157810[[#This Row],[Am Thru]],-Table157810[[#This Row],[Beginning Balance]]))),0)</f>
        <v>37091.841583333866</v>
      </c>
      <c r="H41" s="3">
        <f>MAX(0,IF(C41=$C$4,D41,ROUND(IF($C$3="Fixed Principal",$C$6-Table157810[[#This Row],[Interest]],IF($C$3="Interest Only",Table157810[[#This Row],[Beginning Balance]]*ROUND(1-(1-IF($C$11="No",$E$8,1))^(1/12),6),MIN(IF($C$13="Yes",Table157810[[#This Row],[Payment Amount (Reamortized)]],$C$6)-Table157810[[#This Row],[Interest]],Table157810[[#This Row],[Beginning Balance]]))),2)))</f>
        <v>10962.95</v>
      </c>
      <c r="I41" s="4">
        <f>IF($C$3="Interest Only",0,ROUND(MAX(MIN(IF($C$10="No",$E$7,VLOOKUP(Table157810[[#This Row],[Period]],Forecast!$H$2:$L$1048576,4,FALSE))*Table157810[[#This Row],[Beginning Balance]],Table157810[[#This Row],[Beginning Balance]]-Table157810[[#This Row],[Principal]]),0),2))</f>
        <v>0</v>
      </c>
      <c r="J41" s="3">
        <f>ROUND(MIN(Table157810[[#This Row],[Beginning Balance]]*IF($C$8="No",$E$3,VLOOKUP(Table157810[[#This Row],[Period]],Forecast!$H$2:$L$1048576,2,FALSE)),Table157810[[#This Row],[Beginning Balance]]-Table157810[[#This Row],[Principal]]-Table157810[[#This Row],[Prepayments]]),2)</f>
        <v>3827.64</v>
      </c>
      <c r="K41" s="3">
        <f>ROUND(Table157810[[#This Row],[Defaulted Principal]]*IF($C$9="No",$E$4,VLOOKUP(Table157810[[#This Row],[Period]],Forecast!$H$2:$L$1048576,3,FALSE)),2)</f>
        <v>322.27999999999997</v>
      </c>
      <c r="L41" s="2">
        <f>Table157810[[#This Row],[Period]]+$E$9</f>
        <v>37</v>
      </c>
      <c r="M41" s="3">
        <f>Table157810[[#This Row],[Defaulted Principal]]-Table157810[[#This Row],[Estimated Loss]]</f>
        <v>3505.3599999999997</v>
      </c>
      <c r="N41" s="3">
        <f>IFERROR(VLOOKUP(Table157810[[#This Row],[Period]],$L$16:$M$385,2,FALSE),0)</f>
        <v>3055.4300000000003</v>
      </c>
      <c r="O41" s="3">
        <f>Table157810[[#This Row],[Beginning Balance]]-Table157810[[#This Row],[Principal]]-Table157810[[#This Row],[Prepayments]]-Table157810[[#This Row],[Defaulted Principal]]</f>
        <v>6249753.9100000011</v>
      </c>
      <c r="P41" s="3">
        <f>Table157810[[#This Row],[Principal]]+Table157810[[#This Row],[Interest]]+Table157810[[#This Row],[Prepayments]]+Table157810[[#This Row],[RecoveredAmount]]</f>
        <v>51505.079999999994</v>
      </c>
      <c r="Q41" s="3">
        <f ca="1">ROUND(Table157810[[#This Row],[Cash Flow]]/((1+ActualRateToUse)^(IF(ISNUMBER(SEARCH("Actual",$C$7)),Table157810[[#This Row],[Running Total]]/365,Table157810[[#This Row],[Period]]/12))),2)</f>
        <v>44364.74</v>
      </c>
      <c r="R41" s="2">
        <f>IF(MONTH(Table157810[[#This Row],[Date]])=2,28,DAY(DATE(YEAR(Table157810[[#This Row],[Date]]),MONTH(Table157810[[#This Row],[Date]])+1,1)-1))</f>
        <v>31</v>
      </c>
      <c r="S41" s="2">
        <f ca="1">SUM(OFFSET(Table157810[[#Headers],[Days in month]],1,0):Table157810[[#This Row],[Days in month]])</f>
        <v>761</v>
      </c>
      <c r="T41" s="37">
        <f>InterestRate*AmortizationMultiplier*IF(ISNUMBER(SEARCH("Actual",$C$7)),Table157810[[#This Row],[Days in month]]/365,1/12)</f>
        <v>5.9839472222222214E-3</v>
      </c>
    </row>
    <row r="42" spans="2:20" x14ac:dyDescent="0.2">
      <c r="B42" s="1">
        <v>46630</v>
      </c>
      <c r="C42" s="2">
        <f t="shared" si="1"/>
        <v>26</v>
      </c>
      <c r="D42" s="3">
        <f t="shared" si="0"/>
        <v>6249753.9100000011</v>
      </c>
      <c r="E42" s="3">
        <f>ROUND(Table157810[[#This Row],[Beginning Balance]]*Table157810[[#This Row],[Monthly Interest Rate]],2)</f>
        <v>37398.199999999997</v>
      </c>
      <c r="F42" s="3">
        <f t="shared" si="2"/>
        <v>816</v>
      </c>
      <c r="G42" s="23">
        <f>IFERROR(IF($C$13="No","N/A",IF(Table157810[[#This Row],[Period]]=1,$C$6,PMT(InterestRate*AmortizationMultiplier/12,Table157810[[#This Row],[Am Thru]],-Table157810[[#This Row],[Beginning Balance]]))),0)</f>
        <v>37006.102131801264</v>
      </c>
      <c r="H42" s="3">
        <f>MAX(0,IF(C42=$C$4,D42,ROUND(IF($C$3="Fixed Principal",$C$6-Table157810[[#This Row],[Interest]],IF($C$3="Interest Only",Table157810[[#This Row],[Beginning Balance]]*ROUND(1-(1-IF($C$11="No",$E$8,1))^(1/12),6),MIN(IF($C$13="Yes",Table157810[[#This Row],[Payment Amount (Reamortized)]],$C$6)-Table157810[[#This Row],[Interest]],Table157810[[#This Row],[Beginning Balance]]))),2)))</f>
        <v>10937.07</v>
      </c>
      <c r="I42" s="4">
        <f>IF($C$3="Interest Only",0,ROUND(MAX(MIN(IF($C$10="No",$E$7,VLOOKUP(Table157810[[#This Row],[Period]],Forecast!$H$2:$L$1048576,4,FALSE))*Table157810[[#This Row],[Beginning Balance]],Table157810[[#This Row],[Beginning Balance]]-Table157810[[#This Row],[Principal]]),0),2))</f>
        <v>0</v>
      </c>
      <c r="J42" s="3">
        <f>ROUND(MIN(Table157810[[#This Row],[Beginning Balance]]*IF($C$8="No",$E$3,VLOOKUP(Table157810[[#This Row],[Period]],Forecast!$H$2:$L$1048576,2,FALSE)),Table157810[[#This Row],[Beginning Balance]]-Table157810[[#This Row],[Principal]]-Table157810[[#This Row],[Prepayments]]),2)</f>
        <v>3818.6</v>
      </c>
      <c r="K42" s="3">
        <f>ROUND(Table157810[[#This Row],[Defaulted Principal]]*IF($C$9="No",$E$4,VLOOKUP(Table157810[[#This Row],[Period]],Forecast!$H$2:$L$1048576,3,FALSE)),2)</f>
        <v>321.51</v>
      </c>
      <c r="L42" s="2">
        <f>Table157810[[#This Row],[Period]]+$E$9</f>
        <v>38</v>
      </c>
      <c r="M42" s="3">
        <f>Table157810[[#This Row],[Defaulted Principal]]-Table157810[[#This Row],[Estimated Loss]]</f>
        <v>3497.09</v>
      </c>
      <c r="N42" s="3">
        <f>IFERROR(VLOOKUP(Table157810[[#This Row],[Period]],$L$16:$M$385,2,FALSE),0)</f>
        <v>3048.5</v>
      </c>
      <c r="O42" s="3">
        <f>Table157810[[#This Row],[Beginning Balance]]-Table157810[[#This Row],[Principal]]-Table157810[[#This Row],[Prepayments]]-Table157810[[#This Row],[Defaulted Principal]]</f>
        <v>6234998.2400000012</v>
      </c>
      <c r="P42" s="3">
        <f>Table157810[[#This Row],[Principal]]+Table157810[[#This Row],[Interest]]+Table157810[[#This Row],[Prepayments]]+Table157810[[#This Row],[RecoveredAmount]]</f>
        <v>51383.77</v>
      </c>
      <c r="Q42" s="3">
        <f ca="1">ROUND(Table157810[[#This Row],[Cash Flow]]/((1+ActualRateToUse)^(IF(ISNUMBER(SEARCH("Actual",$C$7)),Table157810[[#This Row],[Running Total]]/365,Table157810[[#This Row],[Period]]/12))),2)</f>
        <v>43992</v>
      </c>
      <c r="R42" s="2">
        <f>IF(MONTH(Table157810[[#This Row],[Date]])=2,28,DAY(DATE(YEAR(Table157810[[#This Row],[Date]]),MONTH(Table157810[[#This Row],[Date]])+1,1)-1))</f>
        <v>31</v>
      </c>
      <c r="S42" s="2">
        <f ca="1">SUM(OFFSET(Table157810[[#Headers],[Days in month]],1,0):Table157810[[#This Row],[Days in month]])</f>
        <v>792</v>
      </c>
      <c r="T42" s="37">
        <f>InterestRate*AmortizationMultiplier*IF(ISNUMBER(SEARCH("Actual",$C$7)),Table157810[[#This Row],[Days in month]]/365,1/12)</f>
        <v>5.9839472222222214E-3</v>
      </c>
    </row>
    <row r="43" spans="2:20" x14ac:dyDescent="0.2">
      <c r="B43" s="1">
        <v>46660</v>
      </c>
      <c r="C43" s="2">
        <f t="shared" si="1"/>
        <v>27</v>
      </c>
      <c r="D43" s="3">
        <f t="shared" si="0"/>
        <v>6234998.2400000012</v>
      </c>
      <c r="E43" s="3">
        <f>ROUND(Table157810[[#This Row],[Beginning Balance]]*Table157810[[#This Row],[Monthly Interest Rate]],2)</f>
        <v>36106.36</v>
      </c>
      <c r="F43" s="3">
        <f t="shared" si="2"/>
        <v>815</v>
      </c>
      <c r="G43" s="23">
        <f>IFERROR(IF($C$13="No","N/A",IF(Table157810[[#This Row],[Period]]=1,$C$6,PMT(InterestRate*AmortizationMultiplier/12,Table157810[[#This Row],[Am Thru]],-Table157810[[#This Row],[Beginning Balance]]))),0)</f>
        <v>36920.571704623646</v>
      </c>
      <c r="H43" s="3">
        <f>MAX(0,IF(C43=$C$4,D43,ROUND(IF($C$3="Fixed Principal",$C$6-Table157810[[#This Row],[Interest]],IF($C$3="Interest Only",Table157810[[#This Row],[Beginning Balance]]*ROUND(1-(1-IF($C$11="No",$E$8,1))^(1/12),6),MIN(IF($C$13="Yes",Table157810[[#This Row],[Payment Amount (Reamortized)]],$C$6)-Table157810[[#This Row],[Interest]],Table157810[[#This Row],[Beginning Balance]]))),2)))</f>
        <v>10911.25</v>
      </c>
      <c r="I43" s="4">
        <f>IF($C$3="Interest Only",0,ROUND(MAX(MIN(IF($C$10="No",$E$7,VLOOKUP(Table157810[[#This Row],[Period]],Forecast!$H$2:$L$1048576,4,FALSE))*Table157810[[#This Row],[Beginning Balance]],Table157810[[#This Row],[Beginning Balance]]-Table157810[[#This Row],[Principal]]),0),2))</f>
        <v>0</v>
      </c>
      <c r="J43" s="3">
        <f>ROUND(MIN(Table157810[[#This Row],[Beginning Balance]]*IF($C$8="No",$E$3,VLOOKUP(Table157810[[#This Row],[Period]],Forecast!$H$2:$L$1048576,2,FALSE)),Table157810[[#This Row],[Beginning Balance]]-Table157810[[#This Row],[Principal]]-Table157810[[#This Row],[Prepayments]]),2)</f>
        <v>3809.58</v>
      </c>
      <c r="K43" s="3">
        <f>ROUND(Table157810[[#This Row],[Defaulted Principal]]*IF($C$9="No",$E$4,VLOOKUP(Table157810[[#This Row],[Period]],Forecast!$H$2:$L$1048576,3,FALSE)),2)</f>
        <v>320.76</v>
      </c>
      <c r="L43" s="2">
        <f>Table157810[[#This Row],[Period]]+$E$9</f>
        <v>39</v>
      </c>
      <c r="M43" s="3">
        <f>Table157810[[#This Row],[Defaulted Principal]]-Table157810[[#This Row],[Estimated Loss]]</f>
        <v>3488.8199999999997</v>
      </c>
      <c r="N43" s="3">
        <f>IFERROR(VLOOKUP(Table157810[[#This Row],[Period]],$L$16:$M$385,2,FALSE),0)</f>
        <v>3041.6000000000004</v>
      </c>
      <c r="O43" s="3">
        <f>Table157810[[#This Row],[Beginning Balance]]-Table157810[[#This Row],[Principal]]-Table157810[[#This Row],[Prepayments]]-Table157810[[#This Row],[Defaulted Principal]]</f>
        <v>6220277.4100000011</v>
      </c>
      <c r="P43" s="3">
        <f>Table157810[[#This Row],[Principal]]+Table157810[[#This Row],[Interest]]+Table157810[[#This Row],[Prepayments]]+Table157810[[#This Row],[RecoveredAmount]]</f>
        <v>50059.21</v>
      </c>
      <c r="Q43" s="3">
        <f ca="1">ROUND(Table157810[[#This Row],[Cash Flow]]/((1+ActualRateToUse)^(IF(ISNUMBER(SEARCH("Actual",$C$7)),Table157810[[#This Row],[Running Total]]/365,Table157810[[#This Row],[Period]]/12))),2)</f>
        <v>42606.58</v>
      </c>
      <c r="R43" s="2">
        <f>IF(MONTH(Table157810[[#This Row],[Date]])=2,28,DAY(DATE(YEAR(Table157810[[#This Row],[Date]]),MONTH(Table157810[[#This Row],[Date]])+1,1)-1))</f>
        <v>30</v>
      </c>
      <c r="S43" s="2">
        <f ca="1">SUM(OFFSET(Table157810[[#Headers],[Days in month]],1,0):Table157810[[#This Row],[Days in month]])</f>
        <v>822</v>
      </c>
      <c r="T43" s="37">
        <f>InterestRate*AmortizationMultiplier*IF(ISNUMBER(SEARCH("Actual",$C$7)),Table157810[[#This Row],[Days in month]]/365,1/12)</f>
        <v>5.7909166666666656E-3</v>
      </c>
    </row>
    <row r="44" spans="2:20" x14ac:dyDescent="0.2">
      <c r="B44" s="1">
        <v>46691</v>
      </c>
      <c r="C44" s="2">
        <f t="shared" si="1"/>
        <v>28</v>
      </c>
      <c r="D44" s="3">
        <f t="shared" si="0"/>
        <v>6220277.4100000011</v>
      </c>
      <c r="E44" s="3">
        <f>ROUND(Table157810[[#This Row],[Beginning Balance]]*Table157810[[#This Row],[Monthly Interest Rate]],2)</f>
        <v>37221.81</v>
      </c>
      <c r="F44" s="3">
        <f t="shared" si="2"/>
        <v>814</v>
      </c>
      <c r="G44" s="23">
        <f>IFERROR(IF($C$13="No","N/A",IF(Table157810[[#This Row],[Period]]=1,$C$6,PMT(InterestRate*AmortizationMultiplier/12,Table157810[[#This Row],[Am Thru]],-Table157810[[#This Row],[Beginning Balance]]))),0)</f>
        <v>36835.249847591775</v>
      </c>
      <c r="H44" s="3">
        <f>MAX(0,IF(C44=$C$4,D44,ROUND(IF($C$3="Fixed Principal",$C$6-Table157810[[#This Row],[Interest]],IF($C$3="Interest Only",Table157810[[#This Row],[Beginning Balance]]*ROUND(1-(1-IF($C$11="No",$E$8,1))^(1/12),6),MIN(IF($C$13="Yes",Table157810[[#This Row],[Payment Amount (Reamortized)]],$C$6)-Table157810[[#This Row],[Interest]],Table157810[[#This Row],[Beginning Balance]]))),2)))</f>
        <v>10885.49</v>
      </c>
      <c r="I44" s="4">
        <f>IF($C$3="Interest Only",0,ROUND(MAX(MIN(IF($C$10="No",$E$7,VLOOKUP(Table157810[[#This Row],[Period]],Forecast!$H$2:$L$1048576,4,FALSE))*Table157810[[#This Row],[Beginning Balance]],Table157810[[#This Row],[Beginning Balance]]-Table157810[[#This Row],[Principal]]),0),2))</f>
        <v>0</v>
      </c>
      <c r="J44" s="3">
        <f>ROUND(MIN(Table157810[[#This Row],[Beginning Balance]]*IF($C$8="No",$E$3,VLOOKUP(Table157810[[#This Row],[Period]],Forecast!$H$2:$L$1048576,2,FALSE)),Table157810[[#This Row],[Beginning Balance]]-Table157810[[#This Row],[Principal]]-Table157810[[#This Row],[Prepayments]]),2)</f>
        <v>3949.88</v>
      </c>
      <c r="K44" s="3">
        <f>ROUND(Table157810[[#This Row],[Defaulted Principal]]*IF($C$9="No",$E$4,VLOOKUP(Table157810[[#This Row],[Period]],Forecast!$H$2:$L$1048576,3,FALSE)),2)</f>
        <v>335.93</v>
      </c>
      <c r="L44" s="2">
        <f>Table157810[[#This Row],[Period]]+$E$9</f>
        <v>40</v>
      </c>
      <c r="M44" s="3">
        <f>Table157810[[#This Row],[Defaulted Principal]]-Table157810[[#This Row],[Estimated Loss]]</f>
        <v>3613.9500000000003</v>
      </c>
      <c r="N44" s="3">
        <f>IFERROR(VLOOKUP(Table157810[[#This Row],[Period]],$L$16:$M$385,2,FALSE),0)</f>
        <v>3172.59</v>
      </c>
      <c r="O44" s="3">
        <f>Table157810[[#This Row],[Beginning Balance]]-Table157810[[#This Row],[Principal]]-Table157810[[#This Row],[Prepayments]]-Table157810[[#This Row],[Defaulted Principal]]</f>
        <v>6205442.040000001</v>
      </c>
      <c r="P44" s="3">
        <f>Table157810[[#This Row],[Principal]]+Table157810[[#This Row],[Interest]]+Table157810[[#This Row],[Prepayments]]+Table157810[[#This Row],[RecoveredAmount]]</f>
        <v>51279.89</v>
      </c>
      <c r="Q44" s="3">
        <f ca="1">ROUND(Table157810[[#This Row],[Cash Flow]]/((1+ActualRateToUse)^(IF(ISNUMBER(SEARCH("Actual",$C$7)),Table157810[[#This Row],[Running Total]]/365,Table157810[[#This Row],[Period]]/12))),2)</f>
        <v>43381.01</v>
      </c>
      <c r="R44" s="2">
        <f>IF(MONTH(Table157810[[#This Row],[Date]])=2,28,DAY(DATE(YEAR(Table157810[[#This Row],[Date]]),MONTH(Table157810[[#This Row],[Date]])+1,1)-1))</f>
        <v>31</v>
      </c>
      <c r="S44" s="2">
        <f ca="1">SUM(OFFSET(Table157810[[#Headers],[Days in month]],1,0):Table157810[[#This Row],[Days in month]])</f>
        <v>853</v>
      </c>
      <c r="T44" s="37">
        <f>InterestRate*AmortizationMultiplier*IF(ISNUMBER(SEARCH("Actual",$C$7)),Table157810[[#This Row],[Days in month]]/365,1/12)</f>
        <v>5.9839472222222214E-3</v>
      </c>
    </row>
    <row r="45" spans="2:20" x14ac:dyDescent="0.2">
      <c r="B45" s="1">
        <v>46721</v>
      </c>
      <c r="C45" s="2">
        <f t="shared" si="1"/>
        <v>29</v>
      </c>
      <c r="D45" s="3">
        <f t="shared" si="0"/>
        <v>6205442.040000001</v>
      </c>
      <c r="E45" s="3">
        <f>ROUND(Table157810[[#This Row],[Beginning Balance]]*Table157810[[#This Row],[Monthly Interest Rate]],2)</f>
        <v>35935.199999999997</v>
      </c>
      <c r="F45" s="3">
        <f t="shared" si="2"/>
        <v>813</v>
      </c>
      <c r="G45" s="23">
        <f>IFERROR(IF($C$13="No","N/A",IF(Table157810[[#This Row],[Period]]=1,$C$6,PMT(InterestRate*AmortizationMultiplier/12,Table157810[[#This Row],[Am Thru]],-Table157810[[#This Row],[Beginning Balance]]))),0)</f>
        <v>36749.251936939385</v>
      </c>
      <c r="H45" s="3">
        <f>MAX(0,IF(C45=$C$4,D45,ROUND(IF($C$3="Fixed Principal",$C$6-Table157810[[#This Row],[Interest]],IF($C$3="Interest Only",Table157810[[#This Row],[Beginning Balance]]*ROUND(1-(1-IF($C$11="No",$E$8,1))^(1/12),6),MIN(IF($C$13="Yes",Table157810[[#This Row],[Payment Amount (Reamortized)]],$C$6)-Table157810[[#This Row],[Interest]],Table157810[[#This Row],[Beginning Balance]]))),2)))</f>
        <v>10859.52</v>
      </c>
      <c r="I45" s="4">
        <f>IF($C$3="Interest Only",0,ROUND(MAX(MIN(IF($C$10="No",$E$7,VLOOKUP(Table157810[[#This Row],[Period]],Forecast!$H$2:$L$1048576,4,FALSE))*Table157810[[#This Row],[Beginning Balance]],Table157810[[#This Row],[Beginning Balance]]-Table157810[[#This Row],[Principal]]),0),2))</f>
        <v>0</v>
      </c>
      <c r="J45" s="3">
        <f>ROUND(MIN(Table157810[[#This Row],[Beginning Balance]]*IF($C$8="No",$E$3,VLOOKUP(Table157810[[#This Row],[Period]],Forecast!$H$2:$L$1048576,2,FALSE)),Table157810[[#This Row],[Beginning Balance]]-Table157810[[#This Row],[Principal]]-Table157810[[#This Row],[Prepayments]]),2)</f>
        <v>3940.46</v>
      </c>
      <c r="K45" s="3">
        <f>ROUND(Table157810[[#This Row],[Defaulted Principal]]*IF($C$9="No",$E$4,VLOOKUP(Table157810[[#This Row],[Period]],Forecast!$H$2:$L$1048576,3,FALSE)),2)</f>
        <v>335.13</v>
      </c>
      <c r="L45" s="2">
        <f>Table157810[[#This Row],[Period]]+$E$9</f>
        <v>41</v>
      </c>
      <c r="M45" s="3">
        <f>Table157810[[#This Row],[Defaulted Principal]]-Table157810[[#This Row],[Estimated Loss]]</f>
        <v>3605.33</v>
      </c>
      <c r="N45" s="3">
        <f>IFERROR(VLOOKUP(Table157810[[#This Row],[Period]],$L$16:$M$385,2,FALSE),0)</f>
        <v>3165.3199999999997</v>
      </c>
      <c r="O45" s="3">
        <f>Table157810[[#This Row],[Beginning Balance]]-Table157810[[#This Row],[Principal]]-Table157810[[#This Row],[Prepayments]]-Table157810[[#This Row],[Defaulted Principal]]</f>
        <v>6190642.0600000015</v>
      </c>
      <c r="P45" s="3">
        <f>Table157810[[#This Row],[Principal]]+Table157810[[#This Row],[Interest]]+Table157810[[#This Row],[Prepayments]]+Table157810[[#This Row],[RecoveredAmount]]</f>
        <v>49960.04</v>
      </c>
      <c r="Q45" s="3">
        <f ca="1">ROUND(Table157810[[#This Row],[Cash Flow]]/((1+ActualRateToUse)^(IF(ISNUMBER(SEARCH("Actual",$C$7)),Table157810[[#This Row],[Running Total]]/365,Table157810[[#This Row],[Period]]/12))),2)</f>
        <v>42016.54</v>
      </c>
      <c r="R45" s="2">
        <f>IF(MONTH(Table157810[[#This Row],[Date]])=2,28,DAY(DATE(YEAR(Table157810[[#This Row],[Date]]),MONTH(Table157810[[#This Row],[Date]])+1,1)-1))</f>
        <v>30</v>
      </c>
      <c r="S45" s="2">
        <f ca="1">SUM(OFFSET(Table157810[[#Headers],[Days in month]],1,0):Table157810[[#This Row],[Days in month]])</f>
        <v>883</v>
      </c>
      <c r="T45" s="37">
        <f>InterestRate*AmortizationMultiplier*IF(ISNUMBER(SEARCH("Actual",$C$7)),Table157810[[#This Row],[Days in month]]/365,1/12)</f>
        <v>5.7909166666666656E-3</v>
      </c>
    </row>
    <row r="46" spans="2:20" x14ac:dyDescent="0.2">
      <c r="B46" s="1">
        <v>46752</v>
      </c>
      <c r="C46" s="2">
        <f t="shared" si="1"/>
        <v>30</v>
      </c>
      <c r="D46" s="3">
        <f t="shared" si="0"/>
        <v>6190642.0600000015</v>
      </c>
      <c r="E46" s="3">
        <f>ROUND(Table157810[[#This Row],[Beginning Balance]]*Table157810[[#This Row],[Monthly Interest Rate]],2)</f>
        <v>37044.480000000003</v>
      </c>
      <c r="F46" s="3">
        <f t="shared" si="2"/>
        <v>812</v>
      </c>
      <c r="G46" s="23">
        <f>IFERROR(IF($C$13="No","N/A",IF(Table157810[[#This Row],[Period]]=1,$C$6,PMT(InterestRate*AmortizationMultiplier/12,Table157810[[#This Row],[Am Thru]],-Table157810[[#This Row],[Beginning Balance]]))),0)</f>
        <v>36663.465803344465</v>
      </c>
      <c r="H46" s="3">
        <f>MAX(0,IF(C46=$C$4,D46,ROUND(IF($C$3="Fixed Principal",$C$6-Table157810[[#This Row],[Interest]],IF($C$3="Interest Only",Table157810[[#This Row],[Beginning Balance]]*ROUND(1-(1-IF($C$11="No",$E$8,1))^(1/12),6),MIN(IF($C$13="Yes",Table157810[[#This Row],[Payment Amount (Reamortized)]],$C$6)-Table157810[[#This Row],[Interest]],Table157810[[#This Row],[Beginning Balance]]))),2)))</f>
        <v>10833.62</v>
      </c>
      <c r="I46" s="4">
        <f>IF($C$3="Interest Only",0,ROUND(MAX(MIN(IF($C$10="No",$E$7,VLOOKUP(Table157810[[#This Row],[Period]],Forecast!$H$2:$L$1048576,4,FALSE))*Table157810[[#This Row],[Beginning Balance]],Table157810[[#This Row],[Beginning Balance]]-Table157810[[#This Row],[Principal]]),0),2))</f>
        <v>0</v>
      </c>
      <c r="J46" s="3">
        <f>ROUND(MIN(Table157810[[#This Row],[Beginning Balance]]*IF($C$8="No",$E$3,VLOOKUP(Table157810[[#This Row],[Period]],Forecast!$H$2:$L$1048576,2,FALSE)),Table157810[[#This Row],[Beginning Balance]]-Table157810[[#This Row],[Principal]]-Table157810[[#This Row],[Prepayments]]),2)</f>
        <v>3931.06</v>
      </c>
      <c r="K46" s="3">
        <f>ROUND(Table157810[[#This Row],[Defaulted Principal]]*IF($C$9="No",$E$4,VLOOKUP(Table157810[[#This Row],[Period]],Forecast!$H$2:$L$1048576,3,FALSE)),2)</f>
        <v>334.33</v>
      </c>
      <c r="L46" s="2">
        <f>Table157810[[#This Row],[Period]]+$E$9</f>
        <v>42</v>
      </c>
      <c r="M46" s="3">
        <f>Table157810[[#This Row],[Defaulted Principal]]-Table157810[[#This Row],[Estimated Loss]]</f>
        <v>3596.73</v>
      </c>
      <c r="N46" s="3">
        <f>IFERROR(VLOOKUP(Table157810[[#This Row],[Period]],$L$16:$M$385,2,FALSE),0)</f>
        <v>3158.08</v>
      </c>
      <c r="O46" s="3">
        <f>Table157810[[#This Row],[Beginning Balance]]-Table157810[[#This Row],[Principal]]-Table157810[[#This Row],[Prepayments]]-Table157810[[#This Row],[Defaulted Principal]]</f>
        <v>6175877.3800000018</v>
      </c>
      <c r="P46" s="3">
        <f>Table157810[[#This Row],[Principal]]+Table157810[[#This Row],[Interest]]+Table157810[[#This Row],[Prepayments]]+Table157810[[#This Row],[RecoveredAmount]]</f>
        <v>51036.180000000008</v>
      </c>
      <c r="Q46" s="3">
        <f ca="1">ROUND(Table157810[[#This Row],[Cash Flow]]/((1+ActualRateToUse)^(IF(ISNUMBER(SEARCH("Actual",$C$7)),Table157810[[#This Row],[Running Total]]/365,Table157810[[#This Row],[Period]]/12))),2)</f>
        <v>42661.440000000002</v>
      </c>
      <c r="R46" s="2">
        <f>IF(MONTH(Table157810[[#This Row],[Date]])=2,28,DAY(DATE(YEAR(Table157810[[#This Row],[Date]]),MONTH(Table157810[[#This Row],[Date]])+1,1)-1))</f>
        <v>31</v>
      </c>
      <c r="S46" s="2">
        <f ca="1">SUM(OFFSET(Table157810[[#Headers],[Days in month]],1,0):Table157810[[#This Row],[Days in month]])</f>
        <v>914</v>
      </c>
      <c r="T46" s="37">
        <f>InterestRate*AmortizationMultiplier*IF(ISNUMBER(SEARCH("Actual",$C$7)),Table157810[[#This Row],[Days in month]]/365,1/12)</f>
        <v>5.9839472222222214E-3</v>
      </c>
    </row>
    <row r="47" spans="2:20" x14ac:dyDescent="0.2">
      <c r="B47" s="1">
        <v>46783</v>
      </c>
      <c r="C47" s="2">
        <f t="shared" si="1"/>
        <v>31</v>
      </c>
      <c r="D47" s="3">
        <f t="shared" si="0"/>
        <v>6175877.3800000018</v>
      </c>
      <c r="E47" s="3">
        <f>ROUND(Table157810[[#This Row],[Beginning Balance]]*Table157810[[#This Row],[Monthly Interest Rate]],2)</f>
        <v>36956.120000000003</v>
      </c>
      <c r="F47" s="3">
        <f t="shared" si="2"/>
        <v>811</v>
      </c>
      <c r="G47" s="23">
        <f>IFERROR(IF($C$13="No","N/A",IF(Table157810[[#This Row],[Period]]=1,$C$6,PMT(InterestRate*AmortizationMultiplier/12,Table157810[[#This Row],[Am Thru]],-Table157810[[#This Row],[Beginning Balance]]))),0)</f>
        <v>36577.890933391936</v>
      </c>
      <c r="H47" s="3">
        <f>MAX(0,IF(C47=$C$4,D47,ROUND(IF($C$3="Fixed Principal",$C$6-Table157810[[#This Row],[Interest]],IF($C$3="Interest Only",Table157810[[#This Row],[Beginning Balance]]*ROUND(1-(1-IF($C$11="No",$E$8,1))^(1/12),6),MIN(IF($C$13="Yes",Table157810[[#This Row],[Payment Amount (Reamortized)]],$C$6)-Table157810[[#This Row],[Interest]],Table157810[[#This Row],[Beginning Balance]]))),2)))</f>
        <v>10807.79</v>
      </c>
      <c r="I47" s="4">
        <f>IF($C$3="Interest Only",0,ROUND(MAX(MIN(IF($C$10="No",$E$7,VLOOKUP(Table157810[[#This Row],[Period]],Forecast!$H$2:$L$1048576,4,FALSE))*Table157810[[#This Row],[Beginning Balance]],Table157810[[#This Row],[Beginning Balance]]-Table157810[[#This Row],[Principal]]),0),2))</f>
        <v>0</v>
      </c>
      <c r="J47" s="3">
        <f>ROUND(MIN(Table157810[[#This Row],[Beginning Balance]]*IF($C$8="No",$E$3,VLOOKUP(Table157810[[#This Row],[Period]],Forecast!$H$2:$L$1048576,2,FALSE)),Table157810[[#This Row],[Beginning Balance]]-Table157810[[#This Row],[Principal]]-Table157810[[#This Row],[Prepayments]]),2)</f>
        <v>4069.9</v>
      </c>
      <c r="K47" s="3">
        <f>ROUND(Table157810[[#This Row],[Defaulted Principal]]*IF($C$9="No",$E$4,VLOOKUP(Table157810[[#This Row],[Period]],Forecast!$H$2:$L$1048576,3,FALSE)),2)</f>
        <v>349.53</v>
      </c>
      <c r="L47" s="2">
        <f>Table157810[[#This Row],[Period]]+$E$9</f>
        <v>43</v>
      </c>
      <c r="M47" s="3">
        <f>Table157810[[#This Row],[Defaulted Principal]]-Table157810[[#This Row],[Estimated Loss]]</f>
        <v>3720.37</v>
      </c>
      <c r="N47" s="3">
        <f>IFERROR(VLOOKUP(Table157810[[#This Row],[Period]],$L$16:$M$385,2,FALSE),0)</f>
        <v>3287.58</v>
      </c>
      <c r="O47" s="3">
        <f>Table157810[[#This Row],[Beginning Balance]]-Table157810[[#This Row],[Principal]]-Table157810[[#This Row],[Prepayments]]-Table157810[[#This Row],[Defaulted Principal]]</f>
        <v>6160999.6900000013</v>
      </c>
      <c r="P47" s="3">
        <f>Table157810[[#This Row],[Principal]]+Table157810[[#This Row],[Interest]]+Table157810[[#This Row],[Prepayments]]+Table157810[[#This Row],[RecoveredAmount]]</f>
        <v>51051.490000000005</v>
      </c>
      <c r="Q47" s="3">
        <f ca="1">ROUND(Table157810[[#This Row],[Cash Flow]]/((1+ActualRateToUse)^(IF(ISNUMBER(SEARCH("Actual",$C$7)),Table157810[[#This Row],[Running Total]]/365,Table157810[[#This Row],[Period]]/12))),2)</f>
        <v>42415.6</v>
      </c>
      <c r="R47" s="2">
        <f>IF(MONTH(Table157810[[#This Row],[Date]])=2,28,DAY(DATE(YEAR(Table157810[[#This Row],[Date]]),MONTH(Table157810[[#This Row],[Date]])+1,1)-1))</f>
        <v>31</v>
      </c>
      <c r="S47" s="2">
        <f ca="1">SUM(OFFSET(Table157810[[#Headers],[Days in month]],1,0):Table157810[[#This Row],[Days in month]])</f>
        <v>945</v>
      </c>
      <c r="T47" s="37">
        <f>InterestRate*AmortizationMultiplier*IF(ISNUMBER(SEARCH("Actual",$C$7)),Table157810[[#This Row],[Days in month]]/365,1/12)</f>
        <v>5.9839472222222214E-3</v>
      </c>
    </row>
    <row r="48" spans="2:20" x14ac:dyDescent="0.2">
      <c r="B48" s="1">
        <v>46812</v>
      </c>
      <c r="C48" s="2">
        <f t="shared" si="1"/>
        <v>32</v>
      </c>
      <c r="D48" s="3">
        <f t="shared" si="0"/>
        <v>6160999.6900000013</v>
      </c>
      <c r="E48" s="3">
        <f>ROUND(Table157810[[#This Row],[Beginning Balance]]*Table157810[[#This Row],[Monthly Interest Rate]],2)</f>
        <v>33299.31</v>
      </c>
      <c r="F48" s="3">
        <f t="shared" si="2"/>
        <v>810</v>
      </c>
      <c r="G48" s="23">
        <f>IFERROR(IF($C$13="No","N/A",IF(Table157810[[#This Row],[Period]]=1,$C$6,PMT(InterestRate*AmortizationMultiplier/12,Table157810[[#This Row],[Am Thru]],-Table157810[[#This Row],[Beginning Balance]]))),0)</f>
        <v>36491.648905507922</v>
      </c>
      <c r="H48" s="3">
        <f>MAX(0,IF(C48=$C$4,D48,ROUND(IF($C$3="Fixed Principal",$C$6-Table157810[[#This Row],[Interest]],IF($C$3="Interest Only",Table157810[[#This Row],[Beginning Balance]]*ROUND(1-(1-IF($C$11="No",$E$8,1))^(1/12),6),MIN(IF($C$13="Yes",Table157810[[#This Row],[Payment Amount (Reamortized)]],$C$6)-Table157810[[#This Row],[Interest]],Table157810[[#This Row],[Beginning Balance]]))),2)))</f>
        <v>10781.75</v>
      </c>
      <c r="I48" s="4">
        <f>IF($C$3="Interest Only",0,ROUND(MAX(MIN(IF($C$10="No",$E$7,VLOOKUP(Table157810[[#This Row],[Period]],Forecast!$H$2:$L$1048576,4,FALSE))*Table157810[[#This Row],[Beginning Balance]],Table157810[[#This Row],[Beginning Balance]]-Table157810[[#This Row],[Principal]]),0),2))</f>
        <v>0</v>
      </c>
      <c r="J48" s="3">
        <f>ROUND(MIN(Table157810[[#This Row],[Beginning Balance]]*IF($C$8="No",$E$3,VLOOKUP(Table157810[[#This Row],[Period]],Forecast!$H$2:$L$1048576,2,FALSE)),Table157810[[#This Row],[Beginning Balance]]-Table157810[[#This Row],[Principal]]-Table157810[[#This Row],[Prepayments]]),2)</f>
        <v>4060.1</v>
      </c>
      <c r="K48" s="3">
        <f>ROUND(Table157810[[#This Row],[Defaulted Principal]]*IF($C$9="No",$E$4,VLOOKUP(Table157810[[#This Row],[Period]],Forecast!$H$2:$L$1048576,3,FALSE)),2)</f>
        <v>348.69</v>
      </c>
      <c r="L48" s="2">
        <f>Table157810[[#This Row],[Period]]+$E$9</f>
        <v>44</v>
      </c>
      <c r="M48" s="3">
        <f>Table157810[[#This Row],[Defaulted Principal]]-Table157810[[#This Row],[Estimated Loss]]</f>
        <v>3711.41</v>
      </c>
      <c r="N48" s="3">
        <f>IFERROR(VLOOKUP(Table157810[[#This Row],[Period]],$L$16:$M$385,2,FALSE),0)</f>
        <v>3279.98</v>
      </c>
      <c r="O48" s="3">
        <f>Table157810[[#This Row],[Beginning Balance]]-Table157810[[#This Row],[Principal]]-Table157810[[#This Row],[Prepayments]]-Table157810[[#This Row],[Defaulted Principal]]</f>
        <v>6146157.8400000017</v>
      </c>
      <c r="P48" s="3">
        <f>Table157810[[#This Row],[Principal]]+Table157810[[#This Row],[Interest]]+Table157810[[#This Row],[Prepayments]]+Table157810[[#This Row],[RecoveredAmount]]</f>
        <v>47361.04</v>
      </c>
      <c r="Q48" s="3">
        <f ca="1">ROUND(Table157810[[#This Row],[Cash Flow]]/((1+ActualRateToUse)^(IF(ISNUMBER(SEARCH("Actual",$C$7)),Table157810[[#This Row],[Running Total]]/365,Table157810[[#This Row],[Period]]/12))),2)</f>
        <v>39133.949999999997</v>
      </c>
      <c r="R48" s="2">
        <f>IF(MONTH(Table157810[[#This Row],[Date]])=2,28,DAY(DATE(YEAR(Table157810[[#This Row],[Date]]),MONTH(Table157810[[#This Row],[Date]])+1,1)-1))</f>
        <v>28</v>
      </c>
      <c r="S48" s="2">
        <f ca="1">SUM(OFFSET(Table157810[[#Headers],[Days in month]],1,0):Table157810[[#This Row],[Days in month]])</f>
        <v>973</v>
      </c>
      <c r="T48" s="37">
        <f>InterestRate*AmortizationMultiplier*IF(ISNUMBER(SEARCH("Actual",$C$7)),Table157810[[#This Row],[Days in month]]/365,1/12)</f>
        <v>5.4048555555555548E-3</v>
      </c>
    </row>
    <row r="49" spans="2:20" x14ac:dyDescent="0.2">
      <c r="B49" s="1">
        <v>46843</v>
      </c>
      <c r="C49" s="2">
        <f t="shared" si="1"/>
        <v>33</v>
      </c>
      <c r="D49" s="3">
        <f t="shared" si="0"/>
        <v>6146157.8400000017</v>
      </c>
      <c r="E49" s="3">
        <f>ROUND(Table157810[[#This Row],[Beginning Balance]]*Table157810[[#This Row],[Monthly Interest Rate]],2)</f>
        <v>36778.28</v>
      </c>
      <c r="F49" s="3">
        <f t="shared" si="2"/>
        <v>809</v>
      </c>
      <c r="G49" s="23">
        <f>IFERROR(IF($C$13="No","N/A",IF(Table157810[[#This Row],[Period]]=1,$C$6,PMT(InterestRate*AmortizationMultiplier/12,Table157810[[#This Row],[Am Thru]],-Table157810[[#This Row],[Beginning Balance]]))),0)</f>
        <v>36405.621288658185</v>
      </c>
      <c r="H49" s="3">
        <f>MAX(0,IF(C49=$C$4,D49,ROUND(IF($C$3="Fixed Principal",$C$6-Table157810[[#This Row],[Interest]],IF($C$3="Interest Only",Table157810[[#This Row],[Beginning Balance]]*ROUND(1-(1-IF($C$11="No",$E$8,1))^(1/12),6),MIN(IF($C$13="Yes",Table157810[[#This Row],[Payment Amount (Reamortized)]],$C$6)-Table157810[[#This Row],[Interest]],Table157810[[#This Row],[Beginning Balance]]))),2)))</f>
        <v>10755.78</v>
      </c>
      <c r="I49" s="4">
        <f>IF($C$3="Interest Only",0,ROUND(MAX(MIN(IF($C$10="No",$E$7,VLOOKUP(Table157810[[#This Row],[Period]],Forecast!$H$2:$L$1048576,4,FALSE))*Table157810[[#This Row],[Beginning Balance]],Table157810[[#This Row],[Beginning Balance]]-Table157810[[#This Row],[Principal]]),0),2))</f>
        <v>0</v>
      </c>
      <c r="J49" s="3">
        <f>ROUND(MIN(Table157810[[#This Row],[Beginning Balance]]*IF($C$8="No",$E$3,VLOOKUP(Table157810[[#This Row],[Period]],Forecast!$H$2:$L$1048576,2,FALSE)),Table157810[[#This Row],[Beginning Balance]]-Table157810[[#This Row],[Principal]]-Table157810[[#This Row],[Prepayments]]),2)</f>
        <v>4050.32</v>
      </c>
      <c r="K49" s="3">
        <f>ROUND(Table157810[[#This Row],[Defaulted Principal]]*IF($C$9="No",$E$4,VLOOKUP(Table157810[[#This Row],[Period]],Forecast!$H$2:$L$1048576,3,FALSE)),2)</f>
        <v>347.85</v>
      </c>
      <c r="L49" s="2">
        <f>Table157810[[#This Row],[Period]]+$E$9</f>
        <v>45</v>
      </c>
      <c r="M49" s="3">
        <f>Table157810[[#This Row],[Defaulted Principal]]-Table157810[[#This Row],[Estimated Loss]]</f>
        <v>3702.4700000000003</v>
      </c>
      <c r="N49" s="3">
        <f>IFERROR(VLOOKUP(Table157810[[#This Row],[Period]],$L$16:$M$385,2,FALSE),0)</f>
        <v>3272.38</v>
      </c>
      <c r="O49" s="3">
        <f>Table157810[[#This Row],[Beginning Balance]]-Table157810[[#This Row],[Principal]]-Table157810[[#This Row],[Prepayments]]-Table157810[[#This Row],[Defaulted Principal]]</f>
        <v>6131351.7400000012</v>
      </c>
      <c r="P49" s="3">
        <f>Table157810[[#This Row],[Principal]]+Table157810[[#This Row],[Interest]]+Table157810[[#This Row],[Prepayments]]+Table157810[[#This Row],[RecoveredAmount]]</f>
        <v>50806.439999999995</v>
      </c>
      <c r="Q49" s="3">
        <f ca="1">ROUND(Table157810[[#This Row],[Cash Flow]]/((1+ActualRateToUse)^(IF(ISNUMBER(SEARCH("Actual",$C$7)),Table157810[[#This Row],[Running Total]]/365,Table157810[[#This Row],[Period]]/12))),2)</f>
        <v>41726.42</v>
      </c>
      <c r="R49" s="2">
        <f>IF(MONTH(Table157810[[#This Row],[Date]])=2,28,DAY(DATE(YEAR(Table157810[[#This Row],[Date]]),MONTH(Table157810[[#This Row],[Date]])+1,1)-1))</f>
        <v>31</v>
      </c>
      <c r="S49" s="2">
        <f ca="1">SUM(OFFSET(Table157810[[#Headers],[Days in month]],1,0):Table157810[[#This Row],[Days in month]])</f>
        <v>1004</v>
      </c>
      <c r="T49" s="37">
        <f>InterestRate*AmortizationMultiplier*IF(ISNUMBER(SEARCH("Actual",$C$7)),Table157810[[#This Row],[Days in month]]/365,1/12)</f>
        <v>5.9839472222222214E-3</v>
      </c>
    </row>
    <row r="50" spans="2:20" x14ac:dyDescent="0.2">
      <c r="B50" s="1">
        <v>46873</v>
      </c>
      <c r="C50" s="2">
        <f t="shared" si="1"/>
        <v>34</v>
      </c>
      <c r="D50" s="3">
        <f t="shared" si="0"/>
        <v>6131351.7400000012</v>
      </c>
      <c r="E50" s="3">
        <f>ROUND(Table157810[[#This Row],[Beginning Balance]]*Table157810[[#This Row],[Monthly Interest Rate]],2)</f>
        <v>35506.15</v>
      </c>
      <c r="F50" s="3">
        <f t="shared" si="2"/>
        <v>808</v>
      </c>
      <c r="G50" s="23">
        <f>IFERROR(IF($C$13="No","N/A",IF(Table157810[[#This Row],[Period]]=1,$C$6,PMT(InterestRate*AmortizationMultiplier/12,Table157810[[#This Row],[Am Thru]],-Table157810[[#This Row],[Beginning Balance]]))),0)</f>
        <v>36319.807569428689</v>
      </c>
      <c r="H50" s="3">
        <f>MAX(0,IF(C50=$C$4,D50,ROUND(IF($C$3="Fixed Principal",$C$6-Table157810[[#This Row],[Interest]],IF($C$3="Interest Only",Table157810[[#This Row],[Beginning Balance]]*ROUND(1-(1-IF($C$11="No",$E$8,1))^(1/12),6),MIN(IF($C$13="Yes",Table157810[[#This Row],[Payment Amount (Reamortized)]],$C$6)-Table157810[[#This Row],[Interest]],Table157810[[#This Row],[Beginning Balance]]))),2)))</f>
        <v>10729.87</v>
      </c>
      <c r="I50" s="4">
        <f>IF($C$3="Interest Only",0,ROUND(MAX(MIN(IF($C$10="No",$E$7,VLOOKUP(Table157810[[#This Row],[Period]],Forecast!$H$2:$L$1048576,4,FALSE))*Table157810[[#This Row],[Beginning Balance]],Table157810[[#This Row],[Beginning Balance]]-Table157810[[#This Row],[Principal]]),0),2))</f>
        <v>0</v>
      </c>
      <c r="J50" s="3">
        <f>ROUND(MIN(Table157810[[#This Row],[Beginning Balance]]*IF($C$8="No",$E$3,VLOOKUP(Table157810[[#This Row],[Period]],Forecast!$H$2:$L$1048576,2,FALSE)),Table157810[[#This Row],[Beginning Balance]]-Table157810[[#This Row],[Principal]]-Table157810[[#This Row],[Prepayments]]),2)</f>
        <v>4187.71</v>
      </c>
      <c r="K50" s="3">
        <f>ROUND(Table157810[[#This Row],[Defaulted Principal]]*IF($C$9="No",$E$4,VLOOKUP(Table157810[[#This Row],[Period]],Forecast!$H$2:$L$1048576,3,FALSE)),2)</f>
        <v>363.05</v>
      </c>
      <c r="L50" s="2">
        <f>Table157810[[#This Row],[Period]]+$E$9</f>
        <v>46</v>
      </c>
      <c r="M50" s="3">
        <f>Table157810[[#This Row],[Defaulted Principal]]-Table157810[[#This Row],[Estimated Loss]]</f>
        <v>3824.66</v>
      </c>
      <c r="N50" s="3">
        <f>IFERROR(VLOOKUP(Table157810[[#This Row],[Period]],$L$16:$M$385,2,FALSE),0)</f>
        <v>3400.42</v>
      </c>
      <c r="O50" s="3">
        <f>Table157810[[#This Row],[Beginning Balance]]-Table157810[[#This Row],[Principal]]-Table157810[[#This Row],[Prepayments]]-Table157810[[#This Row],[Defaulted Principal]]</f>
        <v>6116434.1600000011</v>
      </c>
      <c r="P50" s="3">
        <f>Table157810[[#This Row],[Principal]]+Table157810[[#This Row],[Interest]]+Table157810[[#This Row],[Prepayments]]+Table157810[[#This Row],[RecoveredAmount]]</f>
        <v>49636.44</v>
      </c>
      <c r="Q50" s="3">
        <f ca="1">ROUND(Table157810[[#This Row],[Cash Flow]]/((1+ActualRateToUse)^(IF(ISNUMBER(SEARCH("Actual",$C$7)),Table157810[[#This Row],[Running Total]]/365,Table157810[[#This Row],[Period]]/12))),2)</f>
        <v>40526.39</v>
      </c>
      <c r="R50" s="2">
        <f>IF(MONTH(Table157810[[#This Row],[Date]])=2,28,DAY(DATE(YEAR(Table157810[[#This Row],[Date]]),MONTH(Table157810[[#This Row],[Date]])+1,1)-1))</f>
        <v>30</v>
      </c>
      <c r="S50" s="2">
        <f ca="1">SUM(OFFSET(Table157810[[#Headers],[Days in month]],1,0):Table157810[[#This Row],[Days in month]])</f>
        <v>1034</v>
      </c>
      <c r="T50" s="37">
        <f>InterestRate*AmortizationMultiplier*IF(ISNUMBER(SEARCH("Actual",$C$7)),Table157810[[#This Row],[Days in month]]/365,1/12)</f>
        <v>5.7909166666666656E-3</v>
      </c>
    </row>
    <row r="51" spans="2:20" x14ac:dyDescent="0.2">
      <c r="B51" s="1">
        <v>46904</v>
      </c>
      <c r="C51" s="2">
        <f t="shared" si="1"/>
        <v>35</v>
      </c>
      <c r="D51" s="3">
        <f t="shared" si="0"/>
        <v>6116434.1600000011</v>
      </c>
      <c r="E51" s="3">
        <f>ROUND(Table157810[[#This Row],[Beginning Balance]]*Table157810[[#This Row],[Monthly Interest Rate]],2)</f>
        <v>36600.42</v>
      </c>
      <c r="F51" s="3">
        <f t="shared" si="2"/>
        <v>807</v>
      </c>
      <c r="G51" s="23">
        <f>IFERROR(IF($C$13="No","N/A",IF(Table157810[[#This Row],[Period]]=1,$C$6,PMT(InterestRate*AmortizationMultiplier/12,Table157810[[#This Row],[Am Thru]],-Table157810[[#This Row],[Beginning Balance]]))),0)</f>
        <v>36233.335587209229</v>
      </c>
      <c r="H51" s="3">
        <f>MAX(0,IF(C51=$C$4,D51,ROUND(IF($C$3="Fixed Principal",$C$6-Table157810[[#This Row],[Interest]],IF($C$3="Interest Only",Table157810[[#This Row],[Beginning Balance]]*ROUND(1-(1-IF($C$11="No",$E$8,1))^(1/12),6),MIN(IF($C$13="Yes",Table157810[[#This Row],[Payment Amount (Reamortized)]],$C$6)-Table157810[[#This Row],[Interest]],Table157810[[#This Row],[Beginning Balance]]))),2)))</f>
        <v>10703.76</v>
      </c>
      <c r="I51" s="4">
        <f>IF($C$3="Interest Only",0,ROUND(MAX(MIN(IF($C$10="No",$E$7,VLOOKUP(Table157810[[#This Row],[Period]],Forecast!$H$2:$L$1048576,4,FALSE))*Table157810[[#This Row],[Beginning Balance]],Table157810[[#This Row],[Beginning Balance]]-Table157810[[#This Row],[Principal]]),0),2))</f>
        <v>0</v>
      </c>
      <c r="J51" s="3">
        <f>ROUND(MIN(Table157810[[#This Row],[Beginning Balance]]*IF($C$8="No",$E$3,VLOOKUP(Table157810[[#This Row],[Period]],Forecast!$H$2:$L$1048576,2,FALSE)),Table157810[[#This Row],[Beginning Balance]]-Table157810[[#This Row],[Principal]]-Table157810[[#This Row],[Prepayments]]),2)</f>
        <v>4177.5200000000004</v>
      </c>
      <c r="K51" s="3">
        <f>ROUND(Table157810[[#This Row],[Defaulted Principal]]*IF($C$9="No",$E$4,VLOOKUP(Table157810[[#This Row],[Period]],Forecast!$H$2:$L$1048576,3,FALSE)),2)</f>
        <v>362.17</v>
      </c>
      <c r="L51" s="2">
        <f>Table157810[[#This Row],[Period]]+$E$9</f>
        <v>47</v>
      </c>
      <c r="M51" s="3">
        <f>Table157810[[#This Row],[Defaulted Principal]]-Table157810[[#This Row],[Estimated Loss]]</f>
        <v>3815.3500000000004</v>
      </c>
      <c r="N51" s="3">
        <f>IFERROR(VLOOKUP(Table157810[[#This Row],[Period]],$L$16:$M$385,2,FALSE),0)</f>
        <v>3392.4700000000003</v>
      </c>
      <c r="O51" s="3">
        <f>Table157810[[#This Row],[Beginning Balance]]-Table157810[[#This Row],[Principal]]-Table157810[[#This Row],[Prepayments]]-Table157810[[#This Row],[Defaulted Principal]]</f>
        <v>6101552.8800000018</v>
      </c>
      <c r="P51" s="3">
        <f>Table157810[[#This Row],[Principal]]+Table157810[[#This Row],[Interest]]+Table157810[[#This Row],[Prepayments]]+Table157810[[#This Row],[RecoveredAmount]]</f>
        <v>50696.65</v>
      </c>
      <c r="Q51" s="3">
        <f ca="1">ROUND(Table157810[[#This Row],[Cash Flow]]/((1+ActualRateToUse)^(IF(ISNUMBER(SEARCH("Actual",$C$7)),Table157810[[#This Row],[Running Total]]/365,Table157810[[#This Row],[Period]]/12))),2)</f>
        <v>41141.15</v>
      </c>
      <c r="R51" s="2">
        <f>IF(MONTH(Table157810[[#This Row],[Date]])=2,28,DAY(DATE(YEAR(Table157810[[#This Row],[Date]]),MONTH(Table157810[[#This Row],[Date]])+1,1)-1))</f>
        <v>31</v>
      </c>
      <c r="S51" s="2">
        <f ca="1">SUM(OFFSET(Table157810[[#Headers],[Days in month]],1,0):Table157810[[#This Row],[Days in month]])</f>
        <v>1065</v>
      </c>
      <c r="T51" s="37">
        <f>InterestRate*AmortizationMultiplier*IF(ISNUMBER(SEARCH("Actual",$C$7)),Table157810[[#This Row],[Days in month]]/365,1/12)</f>
        <v>5.9839472222222214E-3</v>
      </c>
    </row>
    <row r="52" spans="2:20" x14ac:dyDescent="0.2">
      <c r="B52" s="1">
        <v>46934</v>
      </c>
      <c r="C52" s="2">
        <f t="shared" si="1"/>
        <v>36</v>
      </c>
      <c r="D52" s="3">
        <f t="shared" si="0"/>
        <v>6101552.8800000018</v>
      </c>
      <c r="E52" s="3">
        <f>ROUND(Table157810[[#This Row],[Beginning Balance]]*Table157810[[#This Row],[Monthly Interest Rate]],2)</f>
        <v>35333.58</v>
      </c>
      <c r="F52" s="3">
        <f t="shared" si="2"/>
        <v>806</v>
      </c>
      <c r="G52" s="23">
        <f>IFERROR(IF($C$13="No","N/A",IF(Table157810[[#This Row],[Period]]=1,$C$6,PMT(InterestRate*AmortizationMultiplier/12,Table157810[[#This Row],[Am Thru]],-Table157810[[#This Row],[Beginning Balance]]))),0)</f>
        <v>36147.080708956011</v>
      </c>
      <c r="H52" s="3">
        <f>MAX(0,IF(C52=$C$4,D52,ROUND(IF($C$3="Fixed Principal",$C$6-Table157810[[#This Row],[Interest]],IF($C$3="Interest Only",Table157810[[#This Row],[Beginning Balance]]*ROUND(1-(1-IF($C$11="No",$E$8,1))^(1/12),6),MIN(IF($C$13="Yes",Table157810[[#This Row],[Payment Amount (Reamortized)]],$C$6)-Table157810[[#This Row],[Interest]],Table157810[[#This Row],[Beginning Balance]]))),2)))</f>
        <v>10677.72</v>
      </c>
      <c r="I52" s="4">
        <f>IF($C$3="Interest Only",0,ROUND(MAX(MIN(IF($C$10="No",$E$7,VLOOKUP(Table157810[[#This Row],[Period]],Forecast!$H$2:$L$1048576,4,FALSE))*Table157810[[#This Row],[Beginning Balance]],Table157810[[#This Row],[Beginning Balance]]-Table157810[[#This Row],[Principal]]),0),2))</f>
        <v>0</v>
      </c>
      <c r="J52" s="3">
        <f>ROUND(MIN(Table157810[[#This Row],[Beginning Balance]]*IF($C$8="No",$E$3,VLOOKUP(Table157810[[#This Row],[Period]],Forecast!$H$2:$L$1048576,2,FALSE)),Table157810[[#This Row],[Beginning Balance]]-Table157810[[#This Row],[Principal]]-Table157810[[#This Row],[Prepayments]]),2)</f>
        <v>4167.3599999999997</v>
      </c>
      <c r="K52" s="3">
        <f>ROUND(Table157810[[#This Row],[Defaulted Principal]]*IF($C$9="No",$E$4,VLOOKUP(Table157810[[#This Row],[Period]],Forecast!$H$2:$L$1048576,3,FALSE)),2)</f>
        <v>361.29</v>
      </c>
      <c r="L52" s="2">
        <f>Table157810[[#This Row],[Period]]+$E$9</f>
        <v>48</v>
      </c>
      <c r="M52" s="3">
        <f>Table157810[[#This Row],[Defaulted Principal]]-Table157810[[#This Row],[Estimated Loss]]</f>
        <v>3806.0699999999997</v>
      </c>
      <c r="N52" s="3">
        <f>IFERROR(VLOOKUP(Table157810[[#This Row],[Period]],$L$16:$M$385,2,FALSE),0)</f>
        <v>3384.5299999999997</v>
      </c>
      <c r="O52" s="3">
        <f>Table157810[[#This Row],[Beginning Balance]]-Table157810[[#This Row],[Principal]]-Table157810[[#This Row],[Prepayments]]-Table157810[[#This Row],[Defaulted Principal]]</f>
        <v>6086707.8000000017</v>
      </c>
      <c r="P52" s="3">
        <f>Table157810[[#This Row],[Principal]]+Table157810[[#This Row],[Interest]]+Table157810[[#This Row],[Prepayments]]+Table157810[[#This Row],[RecoveredAmount]]</f>
        <v>49395.83</v>
      </c>
      <c r="Q52" s="3">
        <f ca="1">ROUND(Table157810[[#This Row],[Cash Flow]]/((1+ActualRateToUse)^(IF(ISNUMBER(SEARCH("Actual",$C$7)),Table157810[[#This Row],[Running Total]]/365,Table157810[[#This Row],[Period]]/12))),2)</f>
        <v>39850.379999999997</v>
      </c>
      <c r="R52" s="2">
        <f>IF(MONTH(Table157810[[#This Row],[Date]])=2,28,DAY(DATE(YEAR(Table157810[[#This Row],[Date]]),MONTH(Table157810[[#This Row],[Date]])+1,1)-1))</f>
        <v>30</v>
      </c>
      <c r="S52" s="2">
        <f ca="1">SUM(OFFSET(Table157810[[#Headers],[Days in month]],1,0):Table157810[[#This Row],[Days in month]])</f>
        <v>1095</v>
      </c>
      <c r="T52" s="37">
        <f>InterestRate*AmortizationMultiplier*IF(ISNUMBER(SEARCH("Actual",$C$7)),Table157810[[#This Row],[Days in month]]/365,1/12)</f>
        <v>5.7909166666666656E-3</v>
      </c>
    </row>
    <row r="53" spans="2:20" x14ac:dyDescent="0.2">
      <c r="B53" s="1">
        <v>46965</v>
      </c>
      <c r="C53" s="2">
        <f t="shared" si="1"/>
        <v>37</v>
      </c>
      <c r="D53" s="3">
        <f t="shared" si="0"/>
        <v>6086707.8000000017</v>
      </c>
      <c r="E53" s="3">
        <f>ROUND(Table157810[[#This Row],[Beginning Balance]]*Table157810[[#This Row],[Monthly Interest Rate]],2)</f>
        <v>36422.54</v>
      </c>
      <c r="F53" s="3">
        <f t="shared" si="2"/>
        <v>805</v>
      </c>
      <c r="G53" s="23">
        <f>IFERROR(IF($C$13="No","N/A",IF(Table157810[[#This Row],[Period]]=1,$C$6,PMT(InterestRate*AmortizationMultiplier/12,Table157810[[#This Row],[Am Thru]],-Table157810[[#This Row],[Beginning Balance]]))),0)</f>
        <v>36061.042362026907</v>
      </c>
      <c r="H53" s="3">
        <f>MAX(0,IF(C53=$C$4,D53,ROUND(IF($C$3="Fixed Principal",$C$6-Table157810[[#This Row],[Interest]],IF($C$3="Interest Only",Table157810[[#This Row],[Beginning Balance]]*ROUND(1-(1-IF($C$11="No",$E$8,1))^(1/12),6),MIN(IF($C$13="Yes",Table157810[[#This Row],[Payment Amount (Reamortized)]],$C$6)-Table157810[[#This Row],[Interest]],Table157810[[#This Row],[Beginning Balance]]))),2)))</f>
        <v>10651.74</v>
      </c>
      <c r="I53" s="4">
        <f>IF($C$3="Interest Only",0,ROUND(MAX(MIN(IF($C$10="No",$E$7,VLOOKUP(Table157810[[#This Row],[Period]],Forecast!$H$2:$L$1048576,4,FALSE))*Table157810[[#This Row],[Beginning Balance]],Table157810[[#This Row],[Beginning Balance]]-Table157810[[#This Row],[Principal]]),0),2))</f>
        <v>0</v>
      </c>
      <c r="J53" s="3">
        <f>ROUND(MIN(Table157810[[#This Row],[Beginning Balance]]*IF($C$8="No",$E$3,VLOOKUP(Table157810[[#This Row],[Period]],Forecast!$H$2:$L$1048576,2,FALSE)),Table157810[[#This Row],[Beginning Balance]]-Table157810[[#This Row],[Principal]]-Table157810[[#This Row],[Prepayments]]),2)</f>
        <v>4157.22</v>
      </c>
      <c r="K53" s="3">
        <f>ROUND(Table157810[[#This Row],[Defaulted Principal]]*IF($C$9="No",$E$4,VLOOKUP(Table157810[[#This Row],[Period]],Forecast!$H$2:$L$1048576,3,FALSE)),2)</f>
        <v>360.41</v>
      </c>
      <c r="L53" s="2">
        <f>Table157810[[#This Row],[Period]]+$E$9</f>
        <v>49</v>
      </c>
      <c r="M53" s="3">
        <f>Table157810[[#This Row],[Defaulted Principal]]-Table157810[[#This Row],[Estimated Loss]]</f>
        <v>3796.8100000000004</v>
      </c>
      <c r="N53" s="3">
        <f>IFERROR(VLOOKUP(Table157810[[#This Row],[Period]],$L$16:$M$385,2,FALSE),0)</f>
        <v>3505.3599999999997</v>
      </c>
      <c r="O53" s="3">
        <f>Table157810[[#This Row],[Beginning Balance]]-Table157810[[#This Row],[Principal]]-Table157810[[#This Row],[Prepayments]]-Table157810[[#This Row],[Defaulted Principal]]</f>
        <v>6071898.8400000017</v>
      </c>
      <c r="P53" s="3">
        <f>Table157810[[#This Row],[Principal]]+Table157810[[#This Row],[Interest]]+Table157810[[#This Row],[Prepayments]]+Table157810[[#This Row],[RecoveredAmount]]</f>
        <v>50579.64</v>
      </c>
      <c r="Q53" s="3">
        <f ca="1">ROUND(Table157810[[#This Row],[Cash Flow]]/((1+ActualRateToUse)^(IF(ISNUMBER(SEARCH("Actual",$C$7)),Table157810[[#This Row],[Running Total]]/365,Table157810[[#This Row],[Period]]/12))),2)</f>
        <v>40558.11</v>
      </c>
      <c r="R53" s="2">
        <f>IF(MONTH(Table157810[[#This Row],[Date]])=2,28,DAY(DATE(YEAR(Table157810[[#This Row],[Date]]),MONTH(Table157810[[#This Row],[Date]])+1,1)-1))</f>
        <v>31</v>
      </c>
      <c r="S53" s="2">
        <f ca="1">SUM(OFFSET(Table157810[[#Headers],[Days in month]],1,0):Table157810[[#This Row],[Days in month]])</f>
        <v>1126</v>
      </c>
      <c r="T53" s="37">
        <f>InterestRate*AmortizationMultiplier*IF(ISNUMBER(SEARCH("Actual",$C$7)),Table157810[[#This Row],[Days in month]]/365,1/12)</f>
        <v>5.9839472222222214E-3</v>
      </c>
    </row>
    <row r="54" spans="2:20" x14ac:dyDescent="0.2">
      <c r="B54" s="1">
        <v>46996</v>
      </c>
      <c r="C54" s="2">
        <f t="shared" si="1"/>
        <v>38</v>
      </c>
      <c r="D54" s="3">
        <f t="shared" si="0"/>
        <v>6071898.8400000017</v>
      </c>
      <c r="E54" s="3">
        <f>ROUND(Table157810[[#This Row],[Beginning Balance]]*Table157810[[#This Row],[Monthly Interest Rate]],2)</f>
        <v>36333.919999999998</v>
      </c>
      <c r="F54" s="3">
        <f t="shared" si="2"/>
        <v>804</v>
      </c>
      <c r="G54" s="23">
        <f>IFERROR(IF($C$13="No","N/A",IF(Table157810[[#This Row],[Period]]=1,$C$6,PMT(InterestRate*AmortizationMultiplier/12,Table157810[[#This Row],[Am Thru]],-Table157810[[#This Row],[Beginning Balance]]))),0)</f>
        <v>35975.220092317228</v>
      </c>
      <c r="H54" s="3">
        <f>MAX(0,IF(C54=$C$4,D54,ROUND(IF($C$3="Fixed Principal",$C$6-Table157810[[#This Row],[Interest]],IF($C$3="Interest Only",Table157810[[#This Row],[Beginning Balance]]*ROUND(1-(1-IF($C$11="No",$E$8,1))^(1/12),6),MIN(IF($C$13="Yes",Table157810[[#This Row],[Payment Amount (Reamortized)]],$C$6)-Table157810[[#This Row],[Interest]],Table157810[[#This Row],[Beginning Balance]]))),2)))</f>
        <v>10625.82</v>
      </c>
      <c r="I54" s="4">
        <f>IF($C$3="Interest Only",0,ROUND(MAX(MIN(IF($C$10="No",$E$7,VLOOKUP(Table157810[[#This Row],[Period]],Forecast!$H$2:$L$1048576,4,FALSE))*Table157810[[#This Row],[Beginning Balance]],Table157810[[#This Row],[Beginning Balance]]-Table157810[[#This Row],[Principal]]),0),2))</f>
        <v>0</v>
      </c>
      <c r="J54" s="3">
        <f>ROUND(MIN(Table157810[[#This Row],[Beginning Balance]]*IF($C$8="No",$E$3,VLOOKUP(Table157810[[#This Row],[Period]],Forecast!$H$2:$L$1048576,2,FALSE)),Table157810[[#This Row],[Beginning Balance]]-Table157810[[#This Row],[Principal]]-Table157810[[#This Row],[Prepayments]]),2)</f>
        <v>4147.1099999999997</v>
      </c>
      <c r="K54" s="3">
        <f>ROUND(Table157810[[#This Row],[Defaulted Principal]]*IF($C$9="No",$E$4,VLOOKUP(Table157810[[#This Row],[Period]],Forecast!$H$2:$L$1048576,3,FALSE)),2)</f>
        <v>359.53</v>
      </c>
      <c r="L54" s="2">
        <f>Table157810[[#This Row],[Period]]+$E$9</f>
        <v>50</v>
      </c>
      <c r="M54" s="3">
        <f>Table157810[[#This Row],[Defaulted Principal]]-Table157810[[#This Row],[Estimated Loss]]</f>
        <v>3787.58</v>
      </c>
      <c r="N54" s="3">
        <f>IFERROR(VLOOKUP(Table157810[[#This Row],[Period]],$L$16:$M$385,2,FALSE),0)</f>
        <v>3497.09</v>
      </c>
      <c r="O54" s="3">
        <f>Table157810[[#This Row],[Beginning Balance]]-Table157810[[#This Row],[Principal]]-Table157810[[#This Row],[Prepayments]]-Table157810[[#This Row],[Defaulted Principal]]</f>
        <v>6057125.9100000011</v>
      </c>
      <c r="P54" s="3">
        <f>Table157810[[#This Row],[Principal]]+Table157810[[#This Row],[Interest]]+Table157810[[#This Row],[Prepayments]]+Table157810[[#This Row],[RecoveredAmount]]</f>
        <v>50456.83</v>
      </c>
      <c r="Q54" s="3">
        <f ca="1">ROUND(Table157810[[#This Row],[Cash Flow]]/((1+ActualRateToUse)^(IF(ISNUMBER(SEARCH("Actual",$C$7)),Table157810[[#This Row],[Running Total]]/365,Table157810[[#This Row],[Period]]/12))),2)</f>
        <v>40214.410000000003</v>
      </c>
      <c r="R54" s="2">
        <f>IF(MONTH(Table157810[[#This Row],[Date]])=2,28,DAY(DATE(YEAR(Table157810[[#This Row],[Date]]),MONTH(Table157810[[#This Row],[Date]])+1,1)-1))</f>
        <v>31</v>
      </c>
      <c r="S54" s="2">
        <f ca="1">SUM(OFFSET(Table157810[[#Headers],[Days in month]],1,0):Table157810[[#This Row],[Days in month]])</f>
        <v>1157</v>
      </c>
      <c r="T54" s="37">
        <f>InterestRate*AmortizationMultiplier*IF(ISNUMBER(SEARCH("Actual",$C$7)),Table157810[[#This Row],[Days in month]]/365,1/12)</f>
        <v>5.9839472222222214E-3</v>
      </c>
    </row>
    <row r="55" spans="2:20" x14ac:dyDescent="0.2">
      <c r="B55" s="1">
        <v>47026</v>
      </c>
      <c r="C55" s="2">
        <f t="shared" si="1"/>
        <v>39</v>
      </c>
      <c r="D55" s="3">
        <f t="shared" si="0"/>
        <v>6057125.9100000011</v>
      </c>
      <c r="E55" s="3">
        <f>ROUND(Table157810[[#This Row],[Beginning Balance]]*Table157810[[#This Row],[Monthly Interest Rate]],2)</f>
        <v>35076.31</v>
      </c>
      <c r="F55" s="3">
        <f t="shared" si="2"/>
        <v>803</v>
      </c>
      <c r="G55" s="23">
        <f>IFERROR(IF($C$13="No","N/A",IF(Table157810[[#This Row],[Period]]=1,$C$6,PMT(InterestRate*AmortizationMultiplier/12,Table157810[[#This Row],[Am Thru]],-Table157810[[#This Row],[Beginning Balance]]))),0)</f>
        <v>35889.613386535559</v>
      </c>
      <c r="H55" s="3">
        <f>MAX(0,IF(C55=$C$4,D55,ROUND(IF($C$3="Fixed Principal",$C$6-Table157810[[#This Row],[Interest]],IF($C$3="Interest Only",Table157810[[#This Row],[Beginning Balance]]*ROUND(1-(1-IF($C$11="No",$E$8,1))^(1/12),6),MIN(IF($C$13="Yes",Table157810[[#This Row],[Payment Amount (Reamortized)]],$C$6)-Table157810[[#This Row],[Interest]],Table157810[[#This Row],[Beginning Balance]]))),2)))</f>
        <v>10599.97</v>
      </c>
      <c r="I55" s="4">
        <f>IF($C$3="Interest Only",0,ROUND(MAX(MIN(IF($C$10="No",$E$7,VLOOKUP(Table157810[[#This Row],[Period]],Forecast!$H$2:$L$1048576,4,FALSE))*Table157810[[#This Row],[Beginning Balance]],Table157810[[#This Row],[Beginning Balance]]-Table157810[[#This Row],[Principal]]),0),2))</f>
        <v>0</v>
      </c>
      <c r="J55" s="3">
        <f>ROUND(MIN(Table157810[[#This Row],[Beginning Balance]]*IF($C$8="No",$E$3,VLOOKUP(Table157810[[#This Row],[Period]],Forecast!$H$2:$L$1048576,2,FALSE)),Table157810[[#This Row],[Beginning Balance]]-Table157810[[#This Row],[Principal]]-Table157810[[#This Row],[Prepayments]]),2)</f>
        <v>4137.0200000000004</v>
      </c>
      <c r="K55" s="3">
        <f>ROUND(Table157810[[#This Row],[Defaulted Principal]]*IF($C$9="No",$E$4,VLOOKUP(Table157810[[#This Row],[Period]],Forecast!$H$2:$L$1048576,3,FALSE)),2)</f>
        <v>358.65</v>
      </c>
      <c r="L55" s="2">
        <f>Table157810[[#This Row],[Period]]+$E$9</f>
        <v>51</v>
      </c>
      <c r="M55" s="3">
        <f>Table157810[[#This Row],[Defaulted Principal]]-Table157810[[#This Row],[Estimated Loss]]</f>
        <v>3778.3700000000003</v>
      </c>
      <c r="N55" s="3">
        <f>IFERROR(VLOOKUP(Table157810[[#This Row],[Period]],$L$16:$M$385,2,FALSE),0)</f>
        <v>3488.8199999999997</v>
      </c>
      <c r="O55" s="3">
        <f>Table157810[[#This Row],[Beginning Balance]]-Table157810[[#This Row],[Principal]]-Table157810[[#This Row],[Prepayments]]-Table157810[[#This Row],[Defaulted Principal]]</f>
        <v>6042388.9200000018</v>
      </c>
      <c r="P55" s="3">
        <f>Table157810[[#This Row],[Principal]]+Table157810[[#This Row],[Interest]]+Table157810[[#This Row],[Prepayments]]+Table157810[[#This Row],[RecoveredAmount]]</f>
        <v>49165.1</v>
      </c>
      <c r="Q55" s="3">
        <f ca="1">ROUND(Table157810[[#This Row],[Cash Flow]]/((1+ActualRateToUse)^(IF(ISNUMBER(SEARCH("Actual",$C$7)),Table157810[[#This Row],[Running Total]]/365,Table157810[[#This Row],[Period]]/12))),2)</f>
        <v>38955.040000000001</v>
      </c>
      <c r="R55" s="2">
        <f>IF(MONTH(Table157810[[#This Row],[Date]])=2,28,DAY(DATE(YEAR(Table157810[[#This Row],[Date]]),MONTH(Table157810[[#This Row],[Date]])+1,1)-1))</f>
        <v>30</v>
      </c>
      <c r="S55" s="2">
        <f ca="1">SUM(OFFSET(Table157810[[#Headers],[Days in month]],1,0):Table157810[[#This Row],[Days in month]])</f>
        <v>1187</v>
      </c>
      <c r="T55" s="37">
        <f>InterestRate*AmortizationMultiplier*IF(ISNUMBER(SEARCH("Actual",$C$7)),Table157810[[#This Row],[Days in month]]/365,1/12)</f>
        <v>5.7909166666666656E-3</v>
      </c>
    </row>
    <row r="56" spans="2:20" x14ac:dyDescent="0.2">
      <c r="B56" s="1">
        <v>47057</v>
      </c>
      <c r="C56" s="2">
        <f t="shared" si="1"/>
        <v>40</v>
      </c>
      <c r="D56" s="3">
        <f t="shared" si="0"/>
        <v>6042388.9200000018</v>
      </c>
      <c r="E56" s="3">
        <f>ROUND(Table157810[[#This Row],[Beginning Balance]]*Table157810[[#This Row],[Monthly Interest Rate]],2)</f>
        <v>36157.339999999997</v>
      </c>
      <c r="F56" s="3">
        <f t="shared" si="2"/>
        <v>802</v>
      </c>
      <c r="G56" s="23">
        <f>IFERROR(IF($C$13="No","N/A",IF(Table157810[[#This Row],[Period]]=1,$C$6,PMT(InterestRate*AmortizationMultiplier/12,Table157810[[#This Row],[Am Thru]],-Table157810[[#This Row],[Beginning Balance]]))),0)</f>
        <v>35804.221731443125</v>
      </c>
      <c r="H56" s="3">
        <f>MAX(0,IF(C56=$C$4,D56,ROUND(IF($C$3="Fixed Principal",$C$6-Table157810[[#This Row],[Interest]],IF($C$3="Interest Only",Table157810[[#This Row],[Beginning Balance]]*ROUND(1-(1-IF($C$11="No",$E$8,1))^(1/12),6),MIN(IF($C$13="Yes",Table157810[[#This Row],[Payment Amount (Reamortized)]],$C$6)-Table157810[[#This Row],[Interest]],Table157810[[#This Row],[Beginning Balance]]))),2)))</f>
        <v>10574.18</v>
      </c>
      <c r="I56" s="4">
        <f>IF($C$3="Interest Only",0,ROUND(MAX(MIN(IF($C$10="No",$E$7,VLOOKUP(Table157810[[#This Row],[Period]],Forecast!$H$2:$L$1048576,4,FALSE))*Table157810[[#This Row],[Beginning Balance]],Table157810[[#This Row],[Beginning Balance]]-Table157810[[#This Row],[Principal]]),0),2))</f>
        <v>0</v>
      </c>
      <c r="J56" s="3">
        <f>ROUND(MIN(Table157810[[#This Row],[Beginning Balance]]*IF($C$8="No",$E$3,VLOOKUP(Table157810[[#This Row],[Period]],Forecast!$H$2:$L$1048576,2,FALSE)),Table157810[[#This Row],[Beginning Balance]]-Table157810[[#This Row],[Principal]]-Table157810[[#This Row],[Prepayments]]),2)</f>
        <v>4126.95</v>
      </c>
      <c r="K56" s="3">
        <f>ROUND(Table157810[[#This Row],[Defaulted Principal]]*IF($C$9="No",$E$4,VLOOKUP(Table157810[[#This Row],[Period]],Forecast!$H$2:$L$1048576,3,FALSE)),2)</f>
        <v>357.78</v>
      </c>
      <c r="L56" s="2">
        <f>Table157810[[#This Row],[Period]]+$E$9</f>
        <v>52</v>
      </c>
      <c r="M56" s="3">
        <f>Table157810[[#This Row],[Defaulted Principal]]-Table157810[[#This Row],[Estimated Loss]]</f>
        <v>3769.17</v>
      </c>
      <c r="N56" s="3">
        <f>IFERROR(VLOOKUP(Table157810[[#This Row],[Period]],$L$16:$M$385,2,FALSE),0)</f>
        <v>3613.9500000000003</v>
      </c>
      <c r="O56" s="3">
        <f>Table157810[[#This Row],[Beginning Balance]]-Table157810[[#This Row],[Principal]]-Table157810[[#This Row],[Prepayments]]-Table157810[[#This Row],[Defaulted Principal]]</f>
        <v>6027687.7900000019</v>
      </c>
      <c r="P56" s="3">
        <f>Table157810[[#This Row],[Principal]]+Table157810[[#This Row],[Interest]]+Table157810[[#This Row],[Prepayments]]+Table157810[[#This Row],[RecoveredAmount]]</f>
        <v>50345.469999999994</v>
      </c>
      <c r="Q56" s="3">
        <f ca="1">ROUND(Table157810[[#This Row],[Cash Flow]]/((1+ActualRateToUse)^(IF(ISNUMBER(SEARCH("Actual",$C$7)),Table157810[[#This Row],[Running Total]]/365,Table157810[[#This Row],[Period]]/12))),2)</f>
        <v>39648.519999999997</v>
      </c>
      <c r="R56" s="2">
        <f>IF(MONTH(Table157810[[#This Row],[Date]])=2,28,DAY(DATE(YEAR(Table157810[[#This Row],[Date]]),MONTH(Table157810[[#This Row],[Date]])+1,1)-1))</f>
        <v>31</v>
      </c>
      <c r="S56" s="2">
        <f ca="1">SUM(OFFSET(Table157810[[#Headers],[Days in month]],1,0):Table157810[[#This Row],[Days in month]])</f>
        <v>1218</v>
      </c>
      <c r="T56" s="37">
        <f>InterestRate*AmortizationMultiplier*IF(ISNUMBER(SEARCH("Actual",$C$7)),Table157810[[#This Row],[Days in month]]/365,1/12)</f>
        <v>5.9839472222222214E-3</v>
      </c>
    </row>
    <row r="57" spans="2:20" x14ac:dyDescent="0.2">
      <c r="B57" s="1">
        <v>47087</v>
      </c>
      <c r="C57" s="2">
        <f t="shared" si="1"/>
        <v>41</v>
      </c>
      <c r="D57" s="3">
        <f t="shared" si="0"/>
        <v>6027687.7900000019</v>
      </c>
      <c r="E57" s="3">
        <f>ROUND(Table157810[[#This Row],[Beginning Balance]]*Table157810[[#This Row],[Monthly Interest Rate]],2)</f>
        <v>34905.839999999997</v>
      </c>
      <c r="F57" s="3">
        <f t="shared" si="2"/>
        <v>801</v>
      </c>
      <c r="G57" s="23">
        <f>IFERROR(IF($C$13="No","N/A",IF(Table157810[[#This Row],[Period]]=1,$C$6,PMT(InterestRate*AmortizationMultiplier/12,Table157810[[#This Row],[Am Thru]],-Table157810[[#This Row],[Beginning Balance]]))),0)</f>
        <v>35719.044673112083</v>
      </c>
      <c r="H57" s="3">
        <f>MAX(0,IF(C57=$C$4,D57,ROUND(IF($C$3="Fixed Principal",$C$6-Table157810[[#This Row],[Interest]],IF($C$3="Interest Only",Table157810[[#This Row],[Beginning Balance]]*ROUND(1-(1-IF($C$11="No",$E$8,1))^(1/12),6),MIN(IF($C$13="Yes",Table157810[[#This Row],[Payment Amount (Reamortized)]],$C$6)-Table157810[[#This Row],[Interest]],Table157810[[#This Row],[Beginning Balance]]))),2)))</f>
        <v>10548.45</v>
      </c>
      <c r="I57" s="4">
        <f>IF($C$3="Interest Only",0,ROUND(MAX(MIN(IF($C$10="No",$E$7,VLOOKUP(Table157810[[#This Row],[Period]],Forecast!$H$2:$L$1048576,4,FALSE))*Table157810[[#This Row],[Beginning Balance]],Table157810[[#This Row],[Beginning Balance]]-Table157810[[#This Row],[Principal]]),0),2))</f>
        <v>0</v>
      </c>
      <c r="J57" s="3">
        <f>ROUND(MIN(Table157810[[#This Row],[Beginning Balance]]*IF($C$8="No",$E$3,VLOOKUP(Table157810[[#This Row],[Period]],Forecast!$H$2:$L$1048576,2,FALSE)),Table157810[[#This Row],[Beginning Balance]]-Table157810[[#This Row],[Principal]]-Table157810[[#This Row],[Prepayments]]),2)</f>
        <v>4116.91</v>
      </c>
      <c r="K57" s="3">
        <f>ROUND(Table157810[[#This Row],[Defaulted Principal]]*IF($C$9="No",$E$4,VLOOKUP(Table157810[[#This Row],[Period]],Forecast!$H$2:$L$1048576,3,FALSE)),2)</f>
        <v>356.91</v>
      </c>
      <c r="L57" s="2">
        <f>Table157810[[#This Row],[Period]]+$E$9</f>
        <v>53</v>
      </c>
      <c r="M57" s="3">
        <f>Table157810[[#This Row],[Defaulted Principal]]-Table157810[[#This Row],[Estimated Loss]]</f>
        <v>3760</v>
      </c>
      <c r="N57" s="3">
        <f>IFERROR(VLOOKUP(Table157810[[#This Row],[Period]],$L$16:$M$385,2,FALSE),0)</f>
        <v>3605.33</v>
      </c>
      <c r="O57" s="3">
        <f>Table157810[[#This Row],[Beginning Balance]]-Table157810[[#This Row],[Principal]]-Table157810[[#This Row],[Prepayments]]-Table157810[[#This Row],[Defaulted Principal]]</f>
        <v>6013022.4300000016</v>
      </c>
      <c r="P57" s="3">
        <f>Table157810[[#This Row],[Principal]]+Table157810[[#This Row],[Interest]]+Table157810[[#This Row],[Prepayments]]+Table157810[[#This Row],[RecoveredAmount]]</f>
        <v>49059.619999999995</v>
      </c>
      <c r="Q57" s="3">
        <f ca="1">ROUND(Table157810[[#This Row],[Cash Flow]]/((1+ActualRateToUse)^(IF(ISNUMBER(SEARCH("Actual",$C$7)),Table157810[[#This Row],[Running Total]]/365,Table157810[[#This Row],[Period]]/12))),2)</f>
        <v>38409.24</v>
      </c>
      <c r="R57" s="2">
        <f>IF(MONTH(Table157810[[#This Row],[Date]])=2,28,DAY(DATE(YEAR(Table157810[[#This Row],[Date]]),MONTH(Table157810[[#This Row],[Date]])+1,1)-1))</f>
        <v>30</v>
      </c>
      <c r="S57" s="2">
        <f ca="1">SUM(OFFSET(Table157810[[#Headers],[Days in month]],1,0):Table157810[[#This Row],[Days in month]])</f>
        <v>1248</v>
      </c>
      <c r="T57" s="37">
        <f>InterestRate*AmortizationMultiplier*IF(ISNUMBER(SEARCH("Actual",$C$7)),Table157810[[#This Row],[Days in month]]/365,1/12)</f>
        <v>5.7909166666666656E-3</v>
      </c>
    </row>
    <row r="58" spans="2:20" x14ac:dyDescent="0.2">
      <c r="B58" s="1">
        <v>47118</v>
      </c>
      <c r="C58" s="2">
        <f t="shared" si="1"/>
        <v>42</v>
      </c>
      <c r="D58" s="3">
        <f t="shared" si="0"/>
        <v>6013022.4300000016</v>
      </c>
      <c r="E58" s="3">
        <f>ROUND(Table157810[[#This Row],[Beginning Balance]]*Table157810[[#This Row],[Monthly Interest Rate]],2)</f>
        <v>35981.61</v>
      </c>
      <c r="F58" s="3">
        <f t="shared" si="2"/>
        <v>800</v>
      </c>
      <c r="G58" s="23">
        <f>IFERROR(IF($C$13="No","N/A",IF(Table157810[[#This Row],[Period]]=1,$C$6,PMT(InterestRate*AmortizationMultiplier/12,Table157810[[#This Row],[Am Thru]],-Table157810[[#This Row],[Beginning Balance]]))),0)</f>
        <v>35634.081698418646</v>
      </c>
      <c r="H58" s="3">
        <f>MAX(0,IF(C58=$C$4,D58,ROUND(IF($C$3="Fixed Principal",$C$6-Table157810[[#This Row],[Interest]],IF($C$3="Interest Only",Table157810[[#This Row],[Beginning Balance]]*ROUND(1-(1-IF($C$11="No",$E$8,1))^(1/12),6),MIN(IF($C$13="Yes",Table157810[[#This Row],[Payment Amount (Reamortized)]],$C$6)-Table157810[[#This Row],[Interest]],Table157810[[#This Row],[Beginning Balance]]))),2)))</f>
        <v>10522.79</v>
      </c>
      <c r="I58" s="4">
        <f>IF($C$3="Interest Only",0,ROUND(MAX(MIN(IF($C$10="No",$E$7,VLOOKUP(Table157810[[#This Row],[Period]],Forecast!$H$2:$L$1048576,4,FALSE))*Table157810[[#This Row],[Beginning Balance]],Table157810[[#This Row],[Beginning Balance]]-Table157810[[#This Row],[Principal]]),0),2))</f>
        <v>0</v>
      </c>
      <c r="J58" s="3">
        <f>ROUND(MIN(Table157810[[#This Row],[Beginning Balance]]*IF($C$8="No",$E$3,VLOOKUP(Table157810[[#This Row],[Period]],Forecast!$H$2:$L$1048576,2,FALSE)),Table157810[[#This Row],[Beginning Balance]]-Table157810[[#This Row],[Principal]]-Table157810[[#This Row],[Prepayments]]),2)</f>
        <v>4106.8900000000003</v>
      </c>
      <c r="K58" s="3">
        <f>ROUND(Table157810[[#This Row],[Defaulted Principal]]*IF($C$9="No",$E$4,VLOOKUP(Table157810[[#This Row],[Period]],Forecast!$H$2:$L$1048576,3,FALSE)),2)</f>
        <v>356.04</v>
      </c>
      <c r="L58" s="2">
        <f>Table157810[[#This Row],[Period]]+$E$9</f>
        <v>54</v>
      </c>
      <c r="M58" s="3">
        <f>Table157810[[#This Row],[Defaulted Principal]]-Table157810[[#This Row],[Estimated Loss]]</f>
        <v>3750.8500000000004</v>
      </c>
      <c r="N58" s="3">
        <f>IFERROR(VLOOKUP(Table157810[[#This Row],[Period]],$L$16:$M$385,2,FALSE),0)</f>
        <v>3596.73</v>
      </c>
      <c r="O58" s="3">
        <f>Table157810[[#This Row],[Beginning Balance]]-Table157810[[#This Row],[Principal]]-Table157810[[#This Row],[Prepayments]]-Table157810[[#This Row],[Defaulted Principal]]</f>
        <v>5998392.7500000019</v>
      </c>
      <c r="P58" s="3">
        <f>Table157810[[#This Row],[Principal]]+Table157810[[#This Row],[Interest]]+Table157810[[#This Row],[Prepayments]]+Table157810[[#This Row],[RecoveredAmount]]</f>
        <v>50101.130000000005</v>
      </c>
      <c r="Q58" s="3">
        <f ca="1">ROUND(Table157810[[#This Row],[Cash Flow]]/((1+ActualRateToUse)^(IF(ISNUMBER(SEARCH("Actual",$C$7)),Table157810[[#This Row],[Running Total]]/365,Table157810[[#This Row],[Period]]/12))),2)</f>
        <v>38986.92</v>
      </c>
      <c r="R58" s="2">
        <f>IF(MONTH(Table157810[[#This Row],[Date]])=2,28,DAY(DATE(YEAR(Table157810[[#This Row],[Date]]),MONTH(Table157810[[#This Row],[Date]])+1,1)-1))</f>
        <v>31</v>
      </c>
      <c r="S58" s="2">
        <f ca="1">SUM(OFFSET(Table157810[[#Headers],[Days in month]],1,0):Table157810[[#This Row],[Days in month]])</f>
        <v>1279</v>
      </c>
      <c r="T58" s="37">
        <f>InterestRate*AmortizationMultiplier*IF(ISNUMBER(SEARCH("Actual",$C$7)),Table157810[[#This Row],[Days in month]]/365,1/12)</f>
        <v>5.9839472222222214E-3</v>
      </c>
    </row>
    <row r="59" spans="2:20" x14ac:dyDescent="0.2">
      <c r="B59" s="1">
        <v>47149</v>
      </c>
      <c r="C59" s="2">
        <f t="shared" si="1"/>
        <v>43</v>
      </c>
      <c r="D59" s="3">
        <f t="shared" si="0"/>
        <v>5998392.7500000019</v>
      </c>
      <c r="E59" s="3">
        <f>ROUND(Table157810[[#This Row],[Beginning Balance]]*Table157810[[#This Row],[Monthly Interest Rate]],2)</f>
        <v>35894.07</v>
      </c>
      <c r="F59" s="3">
        <f t="shared" si="2"/>
        <v>799</v>
      </c>
      <c r="G59" s="23">
        <f>IFERROR(IF($C$13="No","N/A",IF(Table157810[[#This Row],[Period]]=1,$C$6,PMT(InterestRate*AmortizationMultiplier/12,Table157810[[#This Row],[Am Thru]],-Table157810[[#This Row],[Beginning Balance]]))),0)</f>
        <v>35549.332294291831</v>
      </c>
      <c r="H59" s="3">
        <f>MAX(0,IF(C59=$C$4,D59,ROUND(IF($C$3="Fixed Principal",$C$6-Table157810[[#This Row],[Interest]],IF($C$3="Interest Only",Table157810[[#This Row],[Beginning Balance]]*ROUND(1-(1-IF($C$11="No",$E$8,1))^(1/12),6),MIN(IF($C$13="Yes",Table157810[[#This Row],[Payment Amount (Reamortized)]],$C$6)-Table157810[[#This Row],[Interest]],Table157810[[#This Row],[Beginning Balance]]))),2)))</f>
        <v>10497.19</v>
      </c>
      <c r="I59" s="4">
        <f>IF($C$3="Interest Only",0,ROUND(MAX(MIN(IF($C$10="No",$E$7,VLOOKUP(Table157810[[#This Row],[Period]],Forecast!$H$2:$L$1048576,4,FALSE))*Table157810[[#This Row],[Beginning Balance]],Table157810[[#This Row],[Beginning Balance]]-Table157810[[#This Row],[Principal]]),0),2))</f>
        <v>0</v>
      </c>
      <c r="J59" s="3">
        <f>ROUND(MIN(Table157810[[#This Row],[Beginning Balance]]*IF($C$8="No",$E$3,VLOOKUP(Table157810[[#This Row],[Period]],Forecast!$H$2:$L$1048576,2,FALSE)),Table157810[[#This Row],[Beginning Balance]]-Table157810[[#This Row],[Principal]]-Table157810[[#This Row],[Prepayments]]),2)</f>
        <v>4096.8999999999996</v>
      </c>
      <c r="K59" s="3">
        <f>ROUND(Table157810[[#This Row],[Defaulted Principal]]*IF($C$9="No",$E$4,VLOOKUP(Table157810[[#This Row],[Period]],Forecast!$H$2:$L$1048576,3,FALSE)),2)</f>
        <v>355.18</v>
      </c>
      <c r="L59" s="2">
        <f>Table157810[[#This Row],[Period]]+$E$9</f>
        <v>55</v>
      </c>
      <c r="M59" s="3">
        <f>Table157810[[#This Row],[Defaulted Principal]]-Table157810[[#This Row],[Estimated Loss]]</f>
        <v>3741.72</v>
      </c>
      <c r="N59" s="3">
        <f>IFERROR(VLOOKUP(Table157810[[#This Row],[Period]],$L$16:$M$385,2,FALSE),0)</f>
        <v>3720.37</v>
      </c>
      <c r="O59" s="3">
        <f>Table157810[[#This Row],[Beginning Balance]]-Table157810[[#This Row],[Principal]]-Table157810[[#This Row],[Prepayments]]-Table157810[[#This Row],[Defaulted Principal]]</f>
        <v>5983798.6600000011</v>
      </c>
      <c r="P59" s="3">
        <f>Table157810[[#This Row],[Principal]]+Table157810[[#This Row],[Interest]]+Table157810[[#This Row],[Prepayments]]+Table157810[[#This Row],[RecoveredAmount]]</f>
        <v>50111.630000000005</v>
      </c>
      <c r="Q59" s="3">
        <f ca="1">ROUND(Table157810[[#This Row],[Cash Flow]]/((1+ActualRateToUse)^(IF(ISNUMBER(SEARCH("Actual",$C$7)),Table157810[[#This Row],[Running Total]]/365,Table157810[[#This Row],[Period]]/12))),2)</f>
        <v>38758.75</v>
      </c>
      <c r="R59" s="2">
        <f>IF(MONTH(Table157810[[#This Row],[Date]])=2,28,DAY(DATE(YEAR(Table157810[[#This Row],[Date]]),MONTH(Table157810[[#This Row],[Date]])+1,1)-1))</f>
        <v>31</v>
      </c>
      <c r="S59" s="2">
        <f ca="1">SUM(OFFSET(Table157810[[#Headers],[Days in month]],1,0):Table157810[[#This Row],[Days in month]])</f>
        <v>1310</v>
      </c>
      <c r="T59" s="37">
        <f>InterestRate*AmortizationMultiplier*IF(ISNUMBER(SEARCH("Actual",$C$7)),Table157810[[#This Row],[Days in month]]/365,1/12)</f>
        <v>5.9839472222222214E-3</v>
      </c>
    </row>
    <row r="60" spans="2:20" x14ac:dyDescent="0.2">
      <c r="B60" s="1">
        <v>47177</v>
      </c>
      <c r="C60" s="2">
        <f t="shared" si="1"/>
        <v>44</v>
      </c>
      <c r="D60" s="3">
        <f t="shared" si="0"/>
        <v>5983798.6600000011</v>
      </c>
      <c r="E60" s="3">
        <f>ROUND(Table157810[[#This Row],[Beginning Balance]]*Table157810[[#This Row],[Monthly Interest Rate]],2)</f>
        <v>32341.57</v>
      </c>
      <c r="F60" s="3">
        <f t="shared" si="2"/>
        <v>798</v>
      </c>
      <c r="G60" s="23">
        <f>IFERROR(IF($C$13="No","N/A",IF(Table157810[[#This Row],[Period]]=1,$C$6,PMT(InterestRate*AmortizationMultiplier/12,Table157810[[#This Row],[Am Thru]],-Table157810[[#This Row],[Beginning Balance]]))),0)</f>
        <v>35464.795947713428</v>
      </c>
      <c r="H60" s="3">
        <f>MAX(0,IF(C60=$C$4,D60,ROUND(IF($C$3="Fixed Principal",$C$6-Table157810[[#This Row],[Interest]],IF($C$3="Interest Only",Table157810[[#This Row],[Beginning Balance]]*ROUND(1-(1-IF($C$11="No",$E$8,1))^(1/12),6),MIN(IF($C$13="Yes",Table157810[[#This Row],[Payment Amount (Reamortized)]],$C$6)-Table157810[[#This Row],[Interest]],Table157810[[#This Row],[Beginning Balance]]))),2)))</f>
        <v>10471.65</v>
      </c>
      <c r="I60" s="4">
        <f>IF($C$3="Interest Only",0,ROUND(MAX(MIN(IF($C$10="No",$E$7,VLOOKUP(Table157810[[#This Row],[Period]],Forecast!$H$2:$L$1048576,4,FALSE))*Table157810[[#This Row],[Beginning Balance]],Table157810[[#This Row],[Beginning Balance]]-Table157810[[#This Row],[Principal]]),0),2))</f>
        <v>0</v>
      </c>
      <c r="J60" s="3">
        <f>ROUND(MIN(Table157810[[#This Row],[Beginning Balance]]*IF($C$8="No",$E$3,VLOOKUP(Table157810[[#This Row],[Period]],Forecast!$H$2:$L$1048576,2,FALSE)),Table157810[[#This Row],[Beginning Balance]]-Table157810[[#This Row],[Principal]]-Table157810[[#This Row],[Prepayments]]),2)</f>
        <v>4086.93</v>
      </c>
      <c r="K60" s="3">
        <f>ROUND(Table157810[[#This Row],[Defaulted Principal]]*IF($C$9="No",$E$4,VLOOKUP(Table157810[[#This Row],[Period]],Forecast!$H$2:$L$1048576,3,FALSE)),2)</f>
        <v>354.31</v>
      </c>
      <c r="L60" s="2">
        <f>Table157810[[#This Row],[Period]]+$E$9</f>
        <v>56</v>
      </c>
      <c r="M60" s="3">
        <f>Table157810[[#This Row],[Defaulted Principal]]-Table157810[[#This Row],[Estimated Loss]]</f>
        <v>3732.62</v>
      </c>
      <c r="N60" s="3">
        <f>IFERROR(VLOOKUP(Table157810[[#This Row],[Period]],$L$16:$M$385,2,FALSE),0)</f>
        <v>3711.41</v>
      </c>
      <c r="O60" s="3">
        <f>Table157810[[#This Row],[Beginning Balance]]-Table157810[[#This Row],[Principal]]-Table157810[[#This Row],[Prepayments]]-Table157810[[#This Row],[Defaulted Principal]]</f>
        <v>5969240.080000001</v>
      </c>
      <c r="P60" s="3">
        <f>Table157810[[#This Row],[Principal]]+Table157810[[#This Row],[Interest]]+Table157810[[#This Row],[Prepayments]]+Table157810[[#This Row],[RecoveredAmount]]</f>
        <v>46524.630000000005</v>
      </c>
      <c r="Q60" s="3">
        <f ca="1">ROUND(Table157810[[#This Row],[Cash Flow]]/((1+ActualRateToUse)^(IF(ISNUMBER(SEARCH("Actual",$C$7)),Table157810[[#This Row],[Running Total]]/365,Table157810[[#This Row],[Period]]/12))),2)</f>
        <v>35787.339999999997</v>
      </c>
      <c r="R60" s="2">
        <f>IF(MONTH(Table157810[[#This Row],[Date]])=2,28,DAY(DATE(YEAR(Table157810[[#This Row],[Date]]),MONTH(Table157810[[#This Row],[Date]])+1,1)-1))</f>
        <v>28</v>
      </c>
      <c r="S60" s="2">
        <f ca="1">SUM(OFFSET(Table157810[[#Headers],[Days in month]],1,0):Table157810[[#This Row],[Days in month]])</f>
        <v>1338</v>
      </c>
      <c r="T60" s="37">
        <f>InterestRate*AmortizationMultiplier*IF(ISNUMBER(SEARCH("Actual",$C$7)),Table157810[[#This Row],[Days in month]]/365,1/12)</f>
        <v>5.4048555555555548E-3</v>
      </c>
    </row>
    <row r="61" spans="2:20" x14ac:dyDescent="0.2">
      <c r="B61" s="1">
        <v>47208</v>
      </c>
      <c r="C61" s="2">
        <f t="shared" si="1"/>
        <v>45</v>
      </c>
      <c r="D61" s="3">
        <f t="shared" si="0"/>
        <v>5969240.080000001</v>
      </c>
      <c r="E61" s="3">
        <f>ROUND(Table157810[[#This Row],[Beginning Balance]]*Table157810[[#This Row],[Monthly Interest Rate]],2)</f>
        <v>35719.620000000003</v>
      </c>
      <c r="F61" s="3">
        <f t="shared" si="2"/>
        <v>797</v>
      </c>
      <c r="G61" s="23">
        <f>IFERROR(IF($C$13="No","N/A",IF(Table157810[[#This Row],[Period]]=1,$C$6,PMT(InterestRate*AmortizationMultiplier/12,Table157810[[#This Row],[Am Thru]],-Table157810[[#This Row],[Beginning Balance]]))),0)</f>
        <v>35380.47220498939</v>
      </c>
      <c r="H61" s="3">
        <f>MAX(0,IF(C61=$C$4,D61,ROUND(IF($C$3="Fixed Principal",$C$6-Table157810[[#This Row],[Interest]],IF($C$3="Interest Only",Table157810[[#This Row],[Beginning Balance]]*ROUND(1-(1-IF($C$11="No",$E$8,1))^(1/12),6),MIN(IF($C$13="Yes",Table157810[[#This Row],[Payment Amount (Reamortized)]],$C$6)-Table157810[[#This Row],[Interest]],Table157810[[#This Row],[Beginning Balance]]))),2)))</f>
        <v>10446.17</v>
      </c>
      <c r="I61" s="4">
        <f>IF($C$3="Interest Only",0,ROUND(MAX(MIN(IF($C$10="No",$E$7,VLOOKUP(Table157810[[#This Row],[Period]],Forecast!$H$2:$L$1048576,4,FALSE))*Table157810[[#This Row],[Beginning Balance]],Table157810[[#This Row],[Beginning Balance]]-Table157810[[#This Row],[Principal]]),0),2))</f>
        <v>0</v>
      </c>
      <c r="J61" s="3">
        <f>ROUND(MIN(Table157810[[#This Row],[Beginning Balance]]*IF($C$8="No",$E$3,VLOOKUP(Table157810[[#This Row],[Period]],Forecast!$H$2:$L$1048576,2,FALSE)),Table157810[[#This Row],[Beginning Balance]]-Table157810[[#This Row],[Principal]]-Table157810[[#This Row],[Prepayments]]),2)</f>
        <v>4076.99</v>
      </c>
      <c r="K61" s="3">
        <f>ROUND(Table157810[[#This Row],[Defaulted Principal]]*IF($C$9="No",$E$4,VLOOKUP(Table157810[[#This Row],[Period]],Forecast!$H$2:$L$1048576,3,FALSE)),2)</f>
        <v>353.45</v>
      </c>
      <c r="L61" s="2">
        <f>Table157810[[#This Row],[Period]]+$E$9</f>
        <v>57</v>
      </c>
      <c r="M61" s="3">
        <f>Table157810[[#This Row],[Defaulted Principal]]-Table157810[[#This Row],[Estimated Loss]]</f>
        <v>3723.54</v>
      </c>
      <c r="N61" s="3">
        <f>IFERROR(VLOOKUP(Table157810[[#This Row],[Period]],$L$16:$M$385,2,FALSE),0)</f>
        <v>3702.4700000000003</v>
      </c>
      <c r="O61" s="3">
        <f>Table157810[[#This Row],[Beginning Balance]]-Table157810[[#This Row],[Principal]]-Table157810[[#This Row],[Prepayments]]-Table157810[[#This Row],[Defaulted Principal]]</f>
        <v>5954716.9200000009</v>
      </c>
      <c r="P61" s="3">
        <f>Table157810[[#This Row],[Principal]]+Table157810[[#This Row],[Interest]]+Table157810[[#This Row],[Prepayments]]+Table157810[[#This Row],[RecoveredAmount]]</f>
        <v>49868.26</v>
      </c>
      <c r="Q61" s="3">
        <f ca="1">ROUND(Table157810[[#This Row],[Cash Flow]]/((1+ActualRateToUse)^(IF(ISNUMBER(SEARCH("Actual",$C$7)),Table157810[[#This Row],[Running Total]]/365,Table157810[[#This Row],[Period]]/12))),2)</f>
        <v>38126.82</v>
      </c>
      <c r="R61" s="2">
        <f>IF(MONTH(Table157810[[#This Row],[Date]])=2,28,DAY(DATE(YEAR(Table157810[[#This Row],[Date]]),MONTH(Table157810[[#This Row],[Date]])+1,1)-1))</f>
        <v>31</v>
      </c>
      <c r="S61" s="2">
        <f ca="1">SUM(OFFSET(Table157810[[#Headers],[Days in month]],1,0):Table157810[[#This Row],[Days in month]])</f>
        <v>1369</v>
      </c>
      <c r="T61" s="37">
        <f>InterestRate*AmortizationMultiplier*IF(ISNUMBER(SEARCH("Actual",$C$7)),Table157810[[#This Row],[Days in month]]/365,1/12)</f>
        <v>5.9839472222222214E-3</v>
      </c>
    </row>
    <row r="62" spans="2:20" x14ac:dyDescent="0.2">
      <c r="B62" s="1">
        <v>47238</v>
      </c>
      <c r="C62" s="2">
        <f t="shared" si="1"/>
        <v>46</v>
      </c>
      <c r="D62" s="3">
        <f t="shared" si="0"/>
        <v>5954716.9200000009</v>
      </c>
      <c r="E62" s="3">
        <f>ROUND(Table157810[[#This Row],[Beginning Balance]]*Table157810[[#This Row],[Monthly Interest Rate]],2)</f>
        <v>34483.269999999997</v>
      </c>
      <c r="F62" s="3">
        <f t="shared" si="2"/>
        <v>796</v>
      </c>
      <c r="G62" s="23">
        <f>IFERROR(IF($C$13="No","N/A",IF(Table157810[[#This Row],[Period]]=1,$C$6,PMT(InterestRate*AmortizationMultiplier/12,Table157810[[#This Row],[Am Thru]],-Table157810[[#This Row],[Beginning Balance]]))),0)</f>
        <v>35296.360553217062</v>
      </c>
      <c r="H62" s="3">
        <f>MAX(0,IF(C62=$C$4,D62,ROUND(IF($C$3="Fixed Principal",$C$6-Table157810[[#This Row],[Interest]],IF($C$3="Interest Only",Table157810[[#This Row],[Beginning Balance]]*ROUND(1-(1-IF($C$11="No",$E$8,1))^(1/12),6),MIN(IF($C$13="Yes",Table157810[[#This Row],[Payment Amount (Reamortized)]],$C$6)-Table157810[[#This Row],[Interest]],Table157810[[#This Row],[Beginning Balance]]))),2)))</f>
        <v>10420.75</v>
      </c>
      <c r="I62" s="4">
        <f>IF($C$3="Interest Only",0,ROUND(MAX(MIN(IF($C$10="No",$E$7,VLOOKUP(Table157810[[#This Row],[Period]],Forecast!$H$2:$L$1048576,4,FALSE))*Table157810[[#This Row],[Beginning Balance]],Table157810[[#This Row],[Beginning Balance]]-Table157810[[#This Row],[Principal]]),0),2))</f>
        <v>0</v>
      </c>
      <c r="J62" s="3">
        <f>ROUND(MIN(Table157810[[#This Row],[Beginning Balance]]*IF($C$8="No",$E$3,VLOOKUP(Table157810[[#This Row],[Period]],Forecast!$H$2:$L$1048576,2,FALSE)),Table157810[[#This Row],[Beginning Balance]]-Table157810[[#This Row],[Principal]]-Table157810[[#This Row],[Prepayments]]),2)</f>
        <v>4067.07</v>
      </c>
      <c r="K62" s="3">
        <f>ROUND(Table157810[[#This Row],[Defaulted Principal]]*IF($C$9="No",$E$4,VLOOKUP(Table157810[[#This Row],[Period]],Forecast!$H$2:$L$1048576,3,FALSE)),2)</f>
        <v>352.59</v>
      </c>
      <c r="L62" s="2">
        <f>Table157810[[#This Row],[Period]]+$E$9</f>
        <v>58</v>
      </c>
      <c r="M62" s="3">
        <f>Table157810[[#This Row],[Defaulted Principal]]-Table157810[[#This Row],[Estimated Loss]]</f>
        <v>3714.48</v>
      </c>
      <c r="N62" s="3">
        <f>IFERROR(VLOOKUP(Table157810[[#This Row],[Period]],$L$16:$M$385,2,FALSE),0)</f>
        <v>3824.66</v>
      </c>
      <c r="O62" s="3">
        <f>Table157810[[#This Row],[Beginning Balance]]-Table157810[[#This Row],[Principal]]-Table157810[[#This Row],[Prepayments]]-Table157810[[#This Row],[Defaulted Principal]]</f>
        <v>5940229.1000000006</v>
      </c>
      <c r="P62" s="3">
        <f>Table157810[[#This Row],[Principal]]+Table157810[[#This Row],[Interest]]+Table157810[[#This Row],[Prepayments]]+Table157810[[#This Row],[RecoveredAmount]]</f>
        <v>48728.679999999993</v>
      </c>
      <c r="Q62" s="3">
        <f ca="1">ROUND(Table157810[[#This Row],[Cash Flow]]/((1+ActualRateToUse)^(IF(ISNUMBER(SEARCH("Actual",$C$7)),Table157810[[#This Row],[Running Total]]/365,Table157810[[#This Row],[Period]]/12))),2)</f>
        <v>37037.019999999997</v>
      </c>
      <c r="R62" s="2">
        <f>IF(MONTH(Table157810[[#This Row],[Date]])=2,28,DAY(DATE(YEAR(Table157810[[#This Row],[Date]]),MONTH(Table157810[[#This Row],[Date]])+1,1)-1))</f>
        <v>30</v>
      </c>
      <c r="S62" s="2">
        <f ca="1">SUM(OFFSET(Table157810[[#Headers],[Days in month]],1,0):Table157810[[#This Row],[Days in month]])</f>
        <v>1399</v>
      </c>
      <c r="T62" s="37">
        <f>InterestRate*AmortizationMultiplier*IF(ISNUMBER(SEARCH("Actual",$C$7)),Table157810[[#This Row],[Days in month]]/365,1/12)</f>
        <v>5.7909166666666656E-3</v>
      </c>
    </row>
    <row r="63" spans="2:20" x14ac:dyDescent="0.2">
      <c r="B63" s="1">
        <v>47269</v>
      </c>
      <c r="C63" s="2">
        <f t="shared" si="1"/>
        <v>47</v>
      </c>
      <c r="D63" s="3">
        <f t="shared" si="0"/>
        <v>5940229.1000000006</v>
      </c>
      <c r="E63" s="3">
        <f>ROUND(Table157810[[#This Row],[Beginning Balance]]*Table157810[[#This Row],[Monthly Interest Rate]],2)</f>
        <v>35546.019999999997</v>
      </c>
      <c r="F63" s="3">
        <f t="shared" si="2"/>
        <v>795</v>
      </c>
      <c r="G63" s="23">
        <f>IFERROR(IF($C$13="No","N/A",IF(Table157810[[#This Row],[Period]]=1,$C$6,PMT(InterestRate*AmortizationMultiplier/12,Table157810[[#This Row],[Am Thru]],-Table157810[[#This Row],[Beginning Balance]]))),0)</f>
        <v>35212.460538824656</v>
      </c>
      <c r="H63" s="3">
        <f>MAX(0,IF(C63=$C$4,D63,ROUND(IF($C$3="Fixed Principal",$C$6-Table157810[[#This Row],[Interest]],IF($C$3="Interest Only",Table157810[[#This Row],[Beginning Balance]]*ROUND(1-(1-IF($C$11="No",$E$8,1))^(1/12),6),MIN(IF($C$13="Yes",Table157810[[#This Row],[Payment Amount (Reamortized)]],$C$6)-Table157810[[#This Row],[Interest]],Table157810[[#This Row],[Beginning Balance]]))),2)))</f>
        <v>10395.4</v>
      </c>
      <c r="I63" s="4">
        <f>IF($C$3="Interest Only",0,ROUND(MAX(MIN(IF($C$10="No",$E$7,VLOOKUP(Table157810[[#This Row],[Period]],Forecast!$H$2:$L$1048576,4,FALSE))*Table157810[[#This Row],[Beginning Balance]],Table157810[[#This Row],[Beginning Balance]]-Table157810[[#This Row],[Principal]]),0),2))</f>
        <v>0</v>
      </c>
      <c r="J63" s="3">
        <f>ROUND(MIN(Table157810[[#This Row],[Beginning Balance]]*IF($C$8="No",$E$3,VLOOKUP(Table157810[[#This Row],[Period]],Forecast!$H$2:$L$1048576,2,FALSE)),Table157810[[#This Row],[Beginning Balance]]-Table157810[[#This Row],[Principal]]-Table157810[[#This Row],[Prepayments]]),2)</f>
        <v>4057.18</v>
      </c>
      <c r="K63" s="3">
        <f>ROUND(Table157810[[#This Row],[Defaulted Principal]]*IF($C$9="No",$E$4,VLOOKUP(Table157810[[#This Row],[Period]],Forecast!$H$2:$L$1048576,3,FALSE)),2)</f>
        <v>351.73</v>
      </c>
      <c r="L63" s="2">
        <f>Table157810[[#This Row],[Period]]+$E$9</f>
        <v>59</v>
      </c>
      <c r="M63" s="3">
        <f>Table157810[[#This Row],[Defaulted Principal]]-Table157810[[#This Row],[Estimated Loss]]</f>
        <v>3705.45</v>
      </c>
      <c r="N63" s="3">
        <f>IFERROR(VLOOKUP(Table157810[[#This Row],[Period]],$L$16:$M$385,2,FALSE),0)</f>
        <v>3815.3500000000004</v>
      </c>
      <c r="O63" s="3">
        <f>Table157810[[#This Row],[Beginning Balance]]-Table157810[[#This Row],[Principal]]-Table157810[[#This Row],[Prepayments]]-Table157810[[#This Row],[Defaulted Principal]]</f>
        <v>5925776.5200000005</v>
      </c>
      <c r="P63" s="3">
        <f>Table157810[[#This Row],[Principal]]+Table157810[[#This Row],[Interest]]+Table157810[[#This Row],[Prepayments]]+Table157810[[#This Row],[RecoveredAmount]]</f>
        <v>49756.77</v>
      </c>
      <c r="Q63" s="3">
        <f ca="1">ROUND(Table157810[[#This Row],[Cash Flow]]/((1+ActualRateToUse)^(IF(ISNUMBER(SEARCH("Actual",$C$7)),Table157810[[#This Row],[Running Total]]/365,Table157810[[#This Row],[Period]]/12))),2)</f>
        <v>37589.22</v>
      </c>
      <c r="R63" s="2">
        <f>IF(MONTH(Table157810[[#This Row],[Date]])=2,28,DAY(DATE(YEAR(Table157810[[#This Row],[Date]]),MONTH(Table157810[[#This Row],[Date]])+1,1)-1))</f>
        <v>31</v>
      </c>
      <c r="S63" s="2">
        <f ca="1">SUM(OFFSET(Table157810[[#Headers],[Days in month]],1,0):Table157810[[#This Row],[Days in month]])</f>
        <v>1430</v>
      </c>
      <c r="T63" s="37">
        <f>InterestRate*AmortizationMultiplier*IF(ISNUMBER(SEARCH("Actual",$C$7)),Table157810[[#This Row],[Days in month]]/365,1/12)</f>
        <v>5.9839472222222214E-3</v>
      </c>
    </row>
    <row r="64" spans="2:20" x14ac:dyDescent="0.2">
      <c r="B64" s="1">
        <v>47299</v>
      </c>
      <c r="C64" s="2">
        <f t="shared" si="1"/>
        <v>48</v>
      </c>
      <c r="D64" s="3">
        <f t="shared" si="0"/>
        <v>5925776.5200000005</v>
      </c>
      <c r="E64" s="3">
        <f>ROUND(Table157810[[#This Row],[Beginning Balance]]*Table157810[[#This Row],[Monthly Interest Rate]],2)</f>
        <v>34315.68</v>
      </c>
      <c r="F64" s="3">
        <f t="shared" si="2"/>
        <v>794</v>
      </c>
      <c r="G64" s="23">
        <f>IFERROR(IF($C$13="No","N/A",IF(Table157810[[#This Row],[Period]]=1,$C$6,PMT(InterestRate*AmortizationMultiplier/12,Table157810[[#This Row],[Am Thru]],-Table157810[[#This Row],[Beginning Balance]]))),0)</f>
        <v>35128.771589744138</v>
      </c>
      <c r="H64" s="3">
        <f>MAX(0,IF(C64=$C$4,D64,ROUND(IF($C$3="Fixed Principal",$C$6-Table157810[[#This Row],[Interest]],IF($C$3="Interest Only",Table157810[[#This Row],[Beginning Balance]]*ROUND(1-(1-IF($C$11="No",$E$8,1))^(1/12),6),MIN(IF($C$13="Yes",Table157810[[#This Row],[Payment Amount (Reamortized)]],$C$6)-Table157810[[#This Row],[Interest]],Table157810[[#This Row],[Beginning Balance]]))),2)))</f>
        <v>10370.11</v>
      </c>
      <c r="I64" s="4">
        <f>IF($C$3="Interest Only",0,ROUND(MAX(MIN(IF($C$10="No",$E$7,VLOOKUP(Table157810[[#This Row],[Period]],Forecast!$H$2:$L$1048576,4,FALSE))*Table157810[[#This Row],[Beginning Balance]],Table157810[[#This Row],[Beginning Balance]]-Table157810[[#This Row],[Principal]]),0),2))</f>
        <v>0</v>
      </c>
      <c r="J64" s="3">
        <f>ROUND(MIN(Table157810[[#This Row],[Beginning Balance]]*IF($C$8="No",$E$3,VLOOKUP(Table157810[[#This Row],[Period]],Forecast!$H$2:$L$1048576,2,FALSE)),Table157810[[#This Row],[Beginning Balance]]-Table157810[[#This Row],[Principal]]-Table157810[[#This Row],[Prepayments]]),2)</f>
        <v>4047.31</v>
      </c>
      <c r="K64" s="3">
        <f>ROUND(Table157810[[#This Row],[Defaulted Principal]]*IF($C$9="No",$E$4,VLOOKUP(Table157810[[#This Row],[Period]],Forecast!$H$2:$L$1048576,3,FALSE)),2)</f>
        <v>350.88</v>
      </c>
      <c r="L64" s="2">
        <f>Table157810[[#This Row],[Period]]+$E$9</f>
        <v>60</v>
      </c>
      <c r="M64" s="3">
        <f>Table157810[[#This Row],[Defaulted Principal]]-Table157810[[#This Row],[Estimated Loss]]</f>
        <v>3696.43</v>
      </c>
      <c r="N64" s="3">
        <f>IFERROR(VLOOKUP(Table157810[[#This Row],[Period]],$L$16:$M$385,2,FALSE),0)</f>
        <v>3806.0699999999997</v>
      </c>
      <c r="O64" s="3">
        <f>Table157810[[#This Row],[Beginning Balance]]-Table157810[[#This Row],[Principal]]-Table157810[[#This Row],[Prepayments]]-Table157810[[#This Row],[Defaulted Principal]]</f>
        <v>5911359.1000000006</v>
      </c>
      <c r="P64" s="3">
        <f>Table157810[[#This Row],[Principal]]+Table157810[[#This Row],[Interest]]+Table157810[[#This Row],[Prepayments]]+Table157810[[#This Row],[RecoveredAmount]]</f>
        <v>48491.86</v>
      </c>
      <c r="Q64" s="3">
        <f ca="1">ROUND(Table157810[[#This Row],[Cash Flow]]/((1+ActualRateToUse)^(IF(ISNUMBER(SEARCH("Actual",$C$7)),Table157810[[#This Row],[Running Total]]/365,Table157810[[#This Row],[Period]]/12))),2)</f>
        <v>36418.75</v>
      </c>
      <c r="R64" s="2">
        <f>IF(MONTH(Table157810[[#This Row],[Date]])=2,28,DAY(DATE(YEAR(Table157810[[#This Row],[Date]]),MONTH(Table157810[[#This Row],[Date]])+1,1)-1))</f>
        <v>30</v>
      </c>
      <c r="S64" s="2">
        <f ca="1">SUM(OFFSET(Table157810[[#Headers],[Days in month]],1,0):Table157810[[#This Row],[Days in month]])</f>
        <v>1460</v>
      </c>
      <c r="T64" s="37">
        <f>InterestRate*AmortizationMultiplier*IF(ISNUMBER(SEARCH("Actual",$C$7)),Table157810[[#This Row],[Days in month]]/365,1/12)</f>
        <v>5.7909166666666656E-3</v>
      </c>
    </row>
    <row r="65" spans="2:20" x14ac:dyDescent="0.2">
      <c r="B65" s="1">
        <v>47330</v>
      </c>
      <c r="C65" s="2">
        <f t="shared" si="1"/>
        <v>49</v>
      </c>
      <c r="D65" s="3">
        <f t="shared" si="0"/>
        <v>5911359.1000000006</v>
      </c>
      <c r="E65" s="3">
        <f>ROUND(Table157810[[#This Row],[Beginning Balance]]*Table157810[[#This Row],[Monthly Interest Rate]],2)</f>
        <v>35373.26</v>
      </c>
      <c r="F65" s="3">
        <f t="shared" si="2"/>
        <v>793</v>
      </c>
      <c r="G65" s="23">
        <f>IFERROR(IF($C$13="No","N/A",IF(Table157810[[#This Row],[Period]]=1,$C$6,PMT(InterestRate*AmortizationMultiplier/12,Table157810[[#This Row],[Am Thru]],-Table157810[[#This Row],[Beginning Balance]]))),0)</f>
        <v>35045.293252516349</v>
      </c>
      <c r="H65" s="3">
        <f>MAX(0,IF(C65=$C$4,D65,ROUND(IF($C$3="Fixed Principal",$C$6-Table157810[[#This Row],[Interest]],IF($C$3="Interest Only",Table157810[[#This Row],[Beginning Balance]]*ROUND(1-(1-IF($C$11="No",$E$8,1))^(1/12),6),MIN(IF($C$13="Yes",Table157810[[#This Row],[Payment Amount (Reamortized)]],$C$6)-Table157810[[#This Row],[Interest]],Table157810[[#This Row],[Beginning Balance]]))),2)))</f>
        <v>10344.879999999999</v>
      </c>
      <c r="I65" s="4">
        <f>IF($C$3="Interest Only",0,ROUND(MAX(MIN(IF($C$10="No",$E$7,VLOOKUP(Table157810[[#This Row],[Period]],Forecast!$H$2:$L$1048576,4,FALSE))*Table157810[[#This Row],[Beginning Balance]],Table157810[[#This Row],[Beginning Balance]]-Table157810[[#This Row],[Principal]]),0),2))</f>
        <v>0</v>
      </c>
      <c r="J65" s="3">
        <f>ROUND(MIN(Table157810[[#This Row],[Beginning Balance]]*IF($C$8="No",$E$3,VLOOKUP(Table157810[[#This Row],[Period]],Forecast!$H$2:$L$1048576,2,FALSE)),Table157810[[#This Row],[Beginning Balance]]-Table157810[[#This Row],[Principal]]-Table157810[[#This Row],[Prepayments]]),2)</f>
        <v>4037.46</v>
      </c>
      <c r="K65" s="3">
        <f>ROUND(Table157810[[#This Row],[Defaulted Principal]]*IF($C$9="No",$E$4,VLOOKUP(Table157810[[#This Row],[Period]],Forecast!$H$2:$L$1048576,3,FALSE)),2)</f>
        <v>350.02</v>
      </c>
      <c r="L65" s="2">
        <f>Table157810[[#This Row],[Period]]+$E$9</f>
        <v>61</v>
      </c>
      <c r="M65" s="3">
        <f>Table157810[[#This Row],[Defaulted Principal]]-Table157810[[#This Row],[Estimated Loss]]</f>
        <v>3687.44</v>
      </c>
      <c r="N65" s="3">
        <f>IFERROR(VLOOKUP(Table157810[[#This Row],[Period]],$L$16:$M$385,2,FALSE),0)</f>
        <v>3796.8100000000004</v>
      </c>
      <c r="O65" s="3">
        <f>Table157810[[#This Row],[Beginning Balance]]-Table157810[[#This Row],[Principal]]-Table157810[[#This Row],[Prepayments]]-Table157810[[#This Row],[Defaulted Principal]]</f>
        <v>5896976.7600000007</v>
      </c>
      <c r="P65" s="3">
        <f>Table157810[[#This Row],[Principal]]+Table157810[[#This Row],[Interest]]+Table157810[[#This Row],[Prepayments]]+Table157810[[#This Row],[RecoveredAmount]]</f>
        <v>49514.95</v>
      </c>
      <c r="Q65" s="3">
        <f ca="1">ROUND(Table157810[[#This Row],[Cash Flow]]/((1+ActualRateToUse)^(IF(ISNUMBER(SEARCH("Actual",$C$7)),Table157810[[#This Row],[Running Total]]/365,Table157810[[#This Row],[Period]]/12))),2)</f>
        <v>36961.730000000003</v>
      </c>
      <c r="R65" s="2">
        <f>IF(MONTH(Table157810[[#This Row],[Date]])=2,28,DAY(DATE(YEAR(Table157810[[#This Row],[Date]]),MONTH(Table157810[[#This Row],[Date]])+1,1)-1))</f>
        <v>31</v>
      </c>
      <c r="S65" s="2">
        <f ca="1">SUM(OFFSET(Table157810[[#Headers],[Days in month]],1,0):Table157810[[#This Row],[Days in month]])</f>
        <v>1491</v>
      </c>
      <c r="T65" s="37">
        <f>InterestRate*AmortizationMultiplier*IF(ISNUMBER(SEARCH("Actual",$C$7)),Table157810[[#This Row],[Days in month]]/365,1/12)</f>
        <v>5.9839472222222214E-3</v>
      </c>
    </row>
    <row r="66" spans="2:20" x14ac:dyDescent="0.2">
      <c r="B66" s="1">
        <v>47361</v>
      </c>
      <c r="C66" s="2">
        <f t="shared" si="1"/>
        <v>50</v>
      </c>
      <c r="D66" s="3">
        <f t="shared" si="0"/>
        <v>5896976.7600000007</v>
      </c>
      <c r="E66" s="3">
        <f>ROUND(Table157810[[#This Row],[Beginning Balance]]*Table157810[[#This Row],[Monthly Interest Rate]],2)</f>
        <v>35287.199999999997</v>
      </c>
      <c r="F66" s="3">
        <f t="shared" si="2"/>
        <v>792</v>
      </c>
      <c r="G66" s="23">
        <f>IFERROR(IF($C$13="No","N/A",IF(Table157810[[#This Row],[Period]]=1,$C$6,PMT(InterestRate*AmortizationMultiplier/12,Table157810[[#This Row],[Am Thru]],-Table157810[[#This Row],[Beginning Balance]]))),0)</f>
        <v>34962.025073748591</v>
      </c>
      <c r="H66" s="3">
        <f>MAX(0,IF(C66=$C$4,D66,ROUND(IF($C$3="Fixed Principal",$C$6-Table157810[[#This Row],[Interest]],IF($C$3="Interest Only",Table157810[[#This Row],[Beginning Balance]]*ROUND(1-(1-IF($C$11="No",$E$8,1))^(1/12),6),MIN(IF($C$13="Yes",Table157810[[#This Row],[Payment Amount (Reamortized)]],$C$6)-Table157810[[#This Row],[Interest]],Table157810[[#This Row],[Beginning Balance]]))),2)))</f>
        <v>10319.709999999999</v>
      </c>
      <c r="I66" s="4">
        <f>IF($C$3="Interest Only",0,ROUND(MAX(MIN(IF($C$10="No",$E$7,VLOOKUP(Table157810[[#This Row],[Period]],Forecast!$H$2:$L$1048576,4,FALSE))*Table157810[[#This Row],[Beginning Balance]],Table157810[[#This Row],[Beginning Balance]]-Table157810[[#This Row],[Principal]]),0),2))</f>
        <v>0</v>
      </c>
      <c r="J66" s="3">
        <f>ROUND(MIN(Table157810[[#This Row],[Beginning Balance]]*IF($C$8="No",$E$3,VLOOKUP(Table157810[[#This Row],[Period]],Forecast!$H$2:$L$1048576,2,FALSE)),Table157810[[#This Row],[Beginning Balance]]-Table157810[[#This Row],[Principal]]-Table157810[[#This Row],[Prepayments]]),2)</f>
        <v>4027.64</v>
      </c>
      <c r="K66" s="3">
        <f>ROUND(Table157810[[#This Row],[Defaulted Principal]]*IF($C$9="No",$E$4,VLOOKUP(Table157810[[#This Row],[Period]],Forecast!$H$2:$L$1048576,3,FALSE)),2)</f>
        <v>349.17</v>
      </c>
      <c r="L66" s="2">
        <f>Table157810[[#This Row],[Period]]+$E$9</f>
        <v>62</v>
      </c>
      <c r="M66" s="3">
        <f>Table157810[[#This Row],[Defaulted Principal]]-Table157810[[#This Row],[Estimated Loss]]</f>
        <v>3678.47</v>
      </c>
      <c r="N66" s="3">
        <f>IFERROR(VLOOKUP(Table157810[[#This Row],[Period]],$L$16:$M$385,2,FALSE),0)</f>
        <v>3787.58</v>
      </c>
      <c r="O66" s="3">
        <f>Table157810[[#This Row],[Beginning Balance]]-Table157810[[#This Row],[Principal]]-Table157810[[#This Row],[Prepayments]]-Table157810[[#This Row],[Defaulted Principal]]</f>
        <v>5882629.4100000011</v>
      </c>
      <c r="P66" s="3">
        <f>Table157810[[#This Row],[Principal]]+Table157810[[#This Row],[Interest]]+Table157810[[#This Row],[Prepayments]]+Table157810[[#This Row],[RecoveredAmount]]</f>
        <v>49394.49</v>
      </c>
      <c r="Q66" s="3">
        <f ca="1">ROUND(Table157810[[#This Row],[Cash Flow]]/((1+ActualRateToUse)^(IF(ISNUMBER(SEARCH("Actual",$C$7)),Table157810[[#This Row],[Running Total]]/365,Table157810[[#This Row],[Period]]/12))),2)</f>
        <v>36648.339999999997</v>
      </c>
      <c r="R66" s="2">
        <f>IF(MONTH(Table157810[[#This Row],[Date]])=2,28,DAY(DATE(YEAR(Table157810[[#This Row],[Date]]),MONTH(Table157810[[#This Row],[Date]])+1,1)-1))</f>
        <v>31</v>
      </c>
      <c r="S66" s="2">
        <f ca="1">SUM(OFFSET(Table157810[[#Headers],[Days in month]],1,0):Table157810[[#This Row],[Days in month]])</f>
        <v>1522</v>
      </c>
      <c r="T66" s="37">
        <f>InterestRate*AmortizationMultiplier*IF(ISNUMBER(SEARCH("Actual",$C$7)),Table157810[[#This Row],[Days in month]]/365,1/12)</f>
        <v>5.9839472222222214E-3</v>
      </c>
    </row>
    <row r="67" spans="2:20" x14ac:dyDescent="0.2">
      <c r="B67" s="1">
        <v>47391</v>
      </c>
      <c r="C67" s="2">
        <f t="shared" si="1"/>
        <v>51</v>
      </c>
      <c r="D67" s="3">
        <f t="shared" si="0"/>
        <v>5882629.4100000011</v>
      </c>
      <c r="E67" s="3">
        <f>ROUND(Table157810[[#This Row],[Beginning Balance]]*Table157810[[#This Row],[Monthly Interest Rate]],2)</f>
        <v>34065.82</v>
      </c>
      <c r="F67" s="3">
        <f t="shared" si="2"/>
        <v>791</v>
      </c>
      <c r="G67" s="23">
        <f>IFERROR(IF($C$13="No","N/A",IF(Table157810[[#This Row],[Period]]=1,$C$6,PMT(InterestRate*AmortizationMultiplier/12,Table157810[[#This Row],[Am Thru]],-Table157810[[#This Row],[Beginning Balance]]))),0)</f>
        <v>34878.966540823385</v>
      </c>
      <c r="H67" s="3">
        <f>MAX(0,IF(C67=$C$4,D67,ROUND(IF($C$3="Fixed Principal",$C$6-Table157810[[#This Row],[Interest]],IF($C$3="Interest Only",Table157810[[#This Row],[Beginning Balance]]*ROUND(1-(1-IF($C$11="No",$E$8,1))^(1/12),6),MIN(IF($C$13="Yes",Table157810[[#This Row],[Payment Amount (Reamortized)]],$C$6)-Table157810[[#This Row],[Interest]],Table157810[[#This Row],[Beginning Balance]]))),2)))</f>
        <v>10294.6</v>
      </c>
      <c r="I67" s="4">
        <f>IF($C$3="Interest Only",0,ROUND(MAX(MIN(IF($C$10="No",$E$7,VLOOKUP(Table157810[[#This Row],[Period]],Forecast!$H$2:$L$1048576,4,FALSE))*Table157810[[#This Row],[Beginning Balance]],Table157810[[#This Row],[Beginning Balance]]-Table157810[[#This Row],[Principal]]),0),2))</f>
        <v>0</v>
      </c>
      <c r="J67" s="3">
        <f>ROUND(MIN(Table157810[[#This Row],[Beginning Balance]]*IF($C$8="No",$E$3,VLOOKUP(Table157810[[#This Row],[Period]],Forecast!$H$2:$L$1048576,2,FALSE)),Table157810[[#This Row],[Beginning Balance]]-Table157810[[#This Row],[Principal]]-Table157810[[#This Row],[Prepayments]]),2)</f>
        <v>4017.84</v>
      </c>
      <c r="K67" s="3">
        <f>ROUND(Table157810[[#This Row],[Defaulted Principal]]*IF($C$9="No",$E$4,VLOOKUP(Table157810[[#This Row],[Period]],Forecast!$H$2:$L$1048576,3,FALSE)),2)</f>
        <v>348.32</v>
      </c>
      <c r="L67" s="2">
        <f>Table157810[[#This Row],[Period]]+$E$9</f>
        <v>63</v>
      </c>
      <c r="M67" s="3">
        <f>Table157810[[#This Row],[Defaulted Principal]]-Table157810[[#This Row],[Estimated Loss]]</f>
        <v>3669.52</v>
      </c>
      <c r="N67" s="3">
        <f>IFERROR(VLOOKUP(Table157810[[#This Row],[Period]],$L$16:$M$385,2,FALSE),0)</f>
        <v>3778.3700000000003</v>
      </c>
      <c r="O67" s="3">
        <f>Table157810[[#This Row],[Beginning Balance]]-Table157810[[#This Row],[Principal]]-Table157810[[#This Row],[Prepayments]]-Table157810[[#This Row],[Defaulted Principal]]</f>
        <v>5868316.9700000016</v>
      </c>
      <c r="P67" s="3">
        <f>Table157810[[#This Row],[Principal]]+Table157810[[#This Row],[Interest]]+Table157810[[#This Row],[Prepayments]]+Table157810[[#This Row],[RecoveredAmount]]</f>
        <v>48138.79</v>
      </c>
      <c r="Q67" s="3">
        <f ca="1">ROUND(Table157810[[#This Row],[Cash Flow]]/((1+ActualRateToUse)^(IF(ISNUMBER(SEARCH("Actual",$C$7)),Table157810[[#This Row],[Running Total]]/365,Table157810[[#This Row],[Period]]/12))),2)</f>
        <v>35507.160000000003</v>
      </c>
      <c r="R67" s="2">
        <f>IF(MONTH(Table157810[[#This Row],[Date]])=2,28,DAY(DATE(YEAR(Table157810[[#This Row],[Date]]),MONTH(Table157810[[#This Row],[Date]])+1,1)-1))</f>
        <v>30</v>
      </c>
      <c r="S67" s="2">
        <f ca="1">SUM(OFFSET(Table157810[[#Headers],[Days in month]],1,0):Table157810[[#This Row],[Days in month]])</f>
        <v>1552</v>
      </c>
      <c r="T67" s="37">
        <f>InterestRate*AmortizationMultiplier*IF(ISNUMBER(SEARCH("Actual",$C$7)),Table157810[[#This Row],[Days in month]]/365,1/12)</f>
        <v>5.7909166666666656E-3</v>
      </c>
    </row>
    <row r="68" spans="2:20" x14ac:dyDescent="0.2">
      <c r="B68" s="1">
        <v>47422</v>
      </c>
      <c r="C68" s="2">
        <f t="shared" si="1"/>
        <v>52</v>
      </c>
      <c r="D68" s="3">
        <f t="shared" si="0"/>
        <v>5868316.9700000016</v>
      </c>
      <c r="E68" s="3">
        <f>ROUND(Table157810[[#This Row],[Beginning Balance]]*Table157810[[#This Row],[Monthly Interest Rate]],2)</f>
        <v>35115.699999999997</v>
      </c>
      <c r="F68" s="3">
        <f t="shared" si="2"/>
        <v>790</v>
      </c>
      <c r="G68" s="23">
        <f>IFERROR(IF($C$13="No","N/A",IF(Table157810[[#This Row],[Period]]=1,$C$6,PMT(InterestRate*AmortizationMultiplier/12,Table157810[[#This Row],[Am Thru]],-Table157810[[#This Row],[Beginning Balance]]))),0)</f>
        <v>34796.11720047125</v>
      </c>
      <c r="H68" s="3">
        <f>MAX(0,IF(C68=$C$4,D68,ROUND(IF($C$3="Fixed Principal",$C$6-Table157810[[#This Row],[Interest]],IF($C$3="Interest Only",Table157810[[#This Row],[Beginning Balance]]*ROUND(1-(1-IF($C$11="No",$E$8,1))^(1/12),6),MIN(IF($C$13="Yes",Table157810[[#This Row],[Payment Amount (Reamortized)]],$C$6)-Table157810[[#This Row],[Interest]],Table157810[[#This Row],[Beginning Balance]]))),2)))</f>
        <v>10269.549999999999</v>
      </c>
      <c r="I68" s="4">
        <f>IF($C$3="Interest Only",0,ROUND(MAX(MIN(IF($C$10="No",$E$7,VLOOKUP(Table157810[[#This Row],[Period]],Forecast!$H$2:$L$1048576,4,FALSE))*Table157810[[#This Row],[Beginning Balance]],Table157810[[#This Row],[Beginning Balance]]-Table157810[[#This Row],[Principal]]),0),2))</f>
        <v>0</v>
      </c>
      <c r="J68" s="3">
        <f>ROUND(MIN(Table157810[[#This Row],[Beginning Balance]]*IF($C$8="No",$E$3,VLOOKUP(Table157810[[#This Row],[Period]],Forecast!$H$2:$L$1048576,2,FALSE)),Table157810[[#This Row],[Beginning Balance]]-Table157810[[#This Row],[Principal]]-Table157810[[#This Row],[Prepayments]]),2)</f>
        <v>4008.06</v>
      </c>
      <c r="K68" s="3">
        <f>ROUND(Table157810[[#This Row],[Defaulted Principal]]*IF($C$9="No",$E$4,VLOOKUP(Table157810[[#This Row],[Period]],Forecast!$H$2:$L$1048576,3,FALSE)),2)</f>
        <v>347.47</v>
      </c>
      <c r="L68" s="2">
        <f>Table157810[[#This Row],[Period]]+$E$9</f>
        <v>64</v>
      </c>
      <c r="M68" s="3">
        <f>Table157810[[#This Row],[Defaulted Principal]]-Table157810[[#This Row],[Estimated Loss]]</f>
        <v>3660.59</v>
      </c>
      <c r="N68" s="3">
        <f>IFERROR(VLOOKUP(Table157810[[#This Row],[Period]],$L$16:$M$385,2,FALSE),0)</f>
        <v>3769.17</v>
      </c>
      <c r="O68" s="3">
        <f>Table157810[[#This Row],[Beginning Balance]]-Table157810[[#This Row],[Principal]]-Table157810[[#This Row],[Prepayments]]-Table157810[[#This Row],[Defaulted Principal]]</f>
        <v>5854039.3600000022</v>
      </c>
      <c r="P68" s="3">
        <f>Table157810[[#This Row],[Principal]]+Table157810[[#This Row],[Interest]]+Table157810[[#This Row],[Prepayments]]+Table157810[[#This Row],[RecoveredAmount]]</f>
        <v>49154.42</v>
      </c>
      <c r="Q68" s="3">
        <f ca="1">ROUND(Table157810[[#This Row],[Cash Flow]]/((1+ActualRateToUse)^(IF(ISNUMBER(SEARCH("Actual",$C$7)),Table157810[[#This Row],[Running Total]]/365,Table157810[[#This Row],[Period]]/12))),2)</f>
        <v>36036.550000000003</v>
      </c>
      <c r="R68" s="2">
        <f>IF(MONTH(Table157810[[#This Row],[Date]])=2,28,DAY(DATE(YEAR(Table157810[[#This Row],[Date]]),MONTH(Table157810[[#This Row],[Date]])+1,1)-1))</f>
        <v>31</v>
      </c>
      <c r="S68" s="2">
        <f ca="1">SUM(OFFSET(Table157810[[#Headers],[Days in month]],1,0):Table157810[[#This Row],[Days in month]])</f>
        <v>1583</v>
      </c>
      <c r="T68" s="37">
        <f>InterestRate*AmortizationMultiplier*IF(ISNUMBER(SEARCH("Actual",$C$7)),Table157810[[#This Row],[Days in month]]/365,1/12)</f>
        <v>5.9839472222222214E-3</v>
      </c>
    </row>
    <row r="69" spans="2:20" x14ac:dyDescent="0.2">
      <c r="B69" s="1">
        <v>47452</v>
      </c>
      <c r="C69" s="2">
        <f t="shared" si="1"/>
        <v>53</v>
      </c>
      <c r="D69" s="3">
        <f t="shared" si="0"/>
        <v>5854039.3600000022</v>
      </c>
      <c r="E69" s="3">
        <f>ROUND(Table157810[[#This Row],[Beginning Balance]]*Table157810[[#This Row],[Monthly Interest Rate]],2)</f>
        <v>33900.25</v>
      </c>
      <c r="F69" s="3">
        <f t="shared" si="2"/>
        <v>789</v>
      </c>
      <c r="G69" s="23">
        <f>IFERROR(IF($C$13="No","N/A",IF(Table157810[[#This Row],[Period]]=1,$C$6,PMT(InterestRate*AmortizationMultiplier/12,Table157810[[#This Row],[Am Thru]],-Table157810[[#This Row],[Beginning Balance]]))),0)</f>
        <v>34713.476599489615</v>
      </c>
      <c r="H69" s="3">
        <f>MAX(0,IF(C69=$C$4,D69,ROUND(IF($C$3="Fixed Principal",$C$6-Table157810[[#This Row],[Interest]],IF($C$3="Interest Only",Table157810[[#This Row],[Beginning Balance]]*ROUND(1-(1-IF($C$11="No",$E$8,1))^(1/12),6),MIN(IF($C$13="Yes",Table157810[[#This Row],[Payment Amount (Reamortized)]],$C$6)-Table157810[[#This Row],[Interest]],Table157810[[#This Row],[Beginning Balance]]))),2)))</f>
        <v>10244.57</v>
      </c>
      <c r="I69" s="4">
        <f>IF($C$3="Interest Only",0,ROUND(MAX(MIN(IF($C$10="No",$E$7,VLOOKUP(Table157810[[#This Row],[Period]],Forecast!$H$2:$L$1048576,4,FALSE))*Table157810[[#This Row],[Beginning Balance]],Table157810[[#This Row],[Beginning Balance]]-Table157810[[#This Row],[Principal]]),0),2))</f>
        <v>0</v>
      </c>
      <c r="J69" s="3">
        <f>ROUND(MIN(Table157810[[#This Row],[Beginning Balance]]*IF($C$8="No",$E$3,VLOOKUP(Table157810[[#This Row],[Period]],Forecast!$H$2:$L$1048576,2,FALSE)),Table157810[[#This Row],[Beginning Balance]]-Table157810[[#This Row],[Principal]]-Table157810[[#This Row],[Prepayments]]),2)</f>
        <v>3998.31</v>
      </c>
      <c r="K69" s="3">
        <f>ROUND(Table157810[[#This Row],[Defaulted Principal]]*IF($C$9="No",$E$4,VLOOKUP(Table157810[[#This Row],[Period]],Forecast!$H$2:$L$1048576,3,FALSE)),2)</f>
        <v>346.63</v>
      </c>
      <c r="L69" s="2">
        <f>Table157810[[#This Row],[Period]]+$E$9</f>
        <v>65</v>
      </c>
      <c r="M69" s="3">
        <f>Table157810[[#This Row],[Defaulted Principal]]-Table157810[[#This Row],[Estimated Loss]]</f>
        <v>3651.68</v>
      </c>
      <c r="N69" s="3">
        <f>IFERROR(VLOOKUP(Table157810[[#This Row],[Period]],$L$16:$M$385,2,FALSE),0)</f>
        <v>3760</v>
      </c>
      <c r="O69" s="3">
        <f>Table157810[[#This Row],[Beginning Balance]]-Table157810[[#This Row],[Principal]]-Table157810[[#This Row],[Prepayments]]-Table157810[[#This Row],[Defaulted Principal]]</f>
        <v>5839796.4800000023</v>
      </c>
      <c r="P69" s="3">
        <f>Table157810[[#This Row],[Principal]]+Table157810[[#This Row],[Interest]]+Table157810[[#This Row],[Prepayments]]+Table157810[[#This Row],[RecoveredAmount]]</f>
        <v>47904.82</v>
      </c>
      <c r="Q69" s="3">
        <f ca="1">ROUND(Table157810[[#This Row],[Cash Flow]]/((1+ActualRateToUse)^(IF(ISNUMBER(SEARCH("Actual",$C$7)),Table157810[[#This Row],[Running Total]]/365,Table157810[[#This Row],[Period]]/12))),2)</f>
        <v>34914.42</v>
      </c>
      <c r="R69" s="2">
        <f>IF(MONTH(Table157810[[#This Row],[Date]])=2,28,DAY(DATE(YEAR(Table157810[[#This Row],[Date]]),MONTH(Table157810[[#This Row],[Date]])+1,1)-1))</f>
        <v>30</v>
      </c>
      <c r="S69" s="2">
        <f ca="1">SUM(OFFSET(Table157810[[#Headers],[Days in month]],1,0):Table157810[[#This Row],[Days in month]])</f>
        <v>1613</v>
      </c>
      <c r="T69" s="37">
        <f>InterestRate*AmortizationMultiplier*IF(ISNUMBER(SEARCH("Actual",$C$7)),Table157810[[#This Row],[Days in month]]/365,1/12)</f>
        <v>5.7909166666666656E-3</v>
      </c>
    </row>
    <row r="70" spans="2:20" x14ac:dyDescent="0.2">
      <c r="B70" s="1">
        <v>47483</v>
      </c>
      <c r="C70" s="2">
        <f t="shared" si="1"/>
        <v>54</v>
      </c>
      <c r="D70" s="3">
        <f t="shared" si="0"/>
        <v>5839796.4800000023</v>
      </c>
      <c r="E70" s="3">
        <f>ROUND(Table157810[[#This Row],[Beginning Balance]]*Table157810[[#This Row],[Monthly Interest Rate]],2)</f>
        <v>34945.03</v>
      </c>
      <c r="F70" s="3">
        <f t="shared" si="2"/>
        <v>788</v>
      </c>
      <c r="G70" s="23">
        <f>IFERROR(IF($C$13="No","N/A",IF(Table157810[[#This Row],[Period]]=1,$C$6,PMT(InterestRate*AmortizationMultiplier/12,Table157810[[#This Row],[Am Thru]],-Table157810[[#This Row],[Beginning Balance]]))),0)</f>
        <v>34631.044166139407</v>
      </c>
      <c r="H70" s="3">
        <f>MAX(0,IF(C70=$C$4,D70,ROUND(IF($C$3="Fixed Principal",$C$6-Table157810[[#This Row],[Interest]],IF($C$3="Interest Only",Table157810[[#This Row],[Beginning Balance]]*ROUND(1-(1-IF($C$11="No",$E$8,1))^(1/12),6),MIN(IF($C$13="Yes",Table157810[[#This Row],[Payment Amount (Reamortized)]],$C$6)-Table157810[[#This Row],[Interest]],Table157810[[#This Row],[Beginning Balance]]))),2)))</f>
        <v>10219.64</v>
      </c>
      <c r="I70" s="4">
        <f>IF($C$3="Interest Only",0,ROUND(MAX(MIN(IF($C$10="No",$E$7,VLOOKUP(Table157810[[#This Row],[Period]],Forecast!$H$2:$L$1048576,4,FALSE))*Table157810[[#This Row],[Beginning Balance]],Table157810[[#This Row],[Beginning Balance]]-Table157810[[#This Row],[Principal]]),0),2))</f>
        <v>0</v>
      </c>
      <c r="J70" s="3">
        <f>ROUND(MIN(Table157810[[#This Row],[Beginning Balance]]*IF($C$8="No",$E$3,VLOOKUP(Table157810[[#This Row],[Period]],Forecast!$H$2:$L$1048576,2,FALSE)),Table157810[[#This Row],[Beginning Balance]]-Table157810[[#This Row],[Principal]]-Table157810[[#This Row],[Prepayments]]),2)</f>
        <v>3988.58</v>
      </c>
      <c r="K70" s="3">
        <f>ROUND(Table157810[[#This Row],[Defaulted Principal]]*IF($C$9="No",$E$4,VLOOKUP(Table157810[[#This Row],[Period]],Forecast!$H$2:$L$1048576,3,FALSE)),2)</f>
        <v>345.79</v>
      </c>
      <c r="L70" s="2">
        <f>Table157810[[#This Row],[Period]]+$E$9</f>
        <v>66</v>
      </c>
      <c r="M70" s="3">
        <f>Table157810[[#This Row],[Defaulted Principal]]-Table157810[[#This Row],[Estimated Loss]]</f>
        <v>3642.79</v>
      </c>
      <c r="N70" s="3">
        <f>IFERROR(VLOOKUP(Table157810[[#This Row],[Period]],$L$16:$M$385,2,FALSE),0)</f>
        <v>3750.8500000000004</v>
      </c>
      <c r="O70" s="3">
        <f>Table157810[[#This Row],[Beginning Balance]]-Table157810[[#This Row],[Principal]]-Table157810[[#This Row],[Prepayments]]-Table157810[[#This Row],[Defaulted Principal]]</f>
        <v>5825588.2600000026</v>
      </c>
      <c r="P70" s="3">
        <f>Table157810[[#This Row],[Principal]]+Table157810[[#This Row],[Interest]]+Table157810[[#This Row],[Prepayments]]+Table157810[[#This Row],[RecoveredAmount]]</f>
        <v>48915.519999999997</v>
      </c>
      <c r="Q70" s="3">
        <f ca="1">ROUND(Table157810[[#This Row],[Cash Flow]]/((1+ActualRateToUse)^(IF(ISNUMBER(SEARCH("Actual",$C$7)),Table157810[[#This Row],[Running Total]]/365,Table157810[[#This Row],[Period]]/12))),2)</f>
        <v>35434.97</v>
      </c>
      <c r="R70" s="2">
        <f>IF(MONTH(Table157810[[#This Row],[Date]])=2,28,DAY(DATE(YEAR(Table157810[[#This Row],[Date]]),MONTH(Table157810[[#This Row],[Date]])+1,1)-1))</f>
        <v>31</v>
      </c>
      <c r="S70" s="2">
        <f ca="1">SUM(OFFSET(Table157810[[#Headers],[Days in month]],1,0):Table157810[[#This Row],[Days in month]])</f>
        <v>1644</v>
      </c>
      <c r="T70" s="37">
        <f>InterestRate*AmortizationMultiplier*IF(ISNUMBER(SEARCH("Actual",$C$7)),Table157810[[#This Row],[Days in month]]/365,1/12)</f>
        <v>5.9839472222222214E-3</v>
      </c>
    </row>
    <row r="71" spans="2:20" x14ac:dyDescent="0.2">
      <c r="B71" s="1">
        <v>47514</v>
      </c>
      <c r="C71" s="2">
        <f t="shared" si="1"/>
        <v>55</v>
      </c>
      <c r="D71" s="3">
        <f t="shared" si="0"/>
        <v>5825588.2600000026</v>
      </c>
      <c r="E71" s="3">
        <f>ROUND(Table157810[[#This Row],[Beginning Balance]]*Table157810[[#This Row],[Monthly Interest Rate]],2)</f>
        <v>34860.01</v>
      </c>
      <c r="F71" s="3">
        <f t="shared" si="2"/>
        <v>787</v>
      </c>
      <c r="G71" s="23">
        <f>IFERROR(IF($C$13="No","N/A",IF(Table157810[[#This Row],[Period]]=1,$C$6,PMT(InterestRate*AmortizationMultiplier/12,Table157810[[#This Row],[Am Thru]],-Table157810[[#This Row],[Beginning Balance]]))),0)</f>
        <v>34548.819506636784</v>
      </c>
      <c r="H71" s="3">
        <f>MAX(0,IF(C71=$C$4,D71,ROUND(IF($C$3="Fixed Principal",$C$6-Table157810[[#This Row],[Interest]],IF($C$3="Interest Only",Table157810[[#This Row],[Beginning Balance]]*ROUND(1-(1-IF($C$11="No",$E$8,1))^(1/12),6),MIN(IF($C$13="Yes",Table157810[[#This Row],[Payment Amount (Reamortized)]],$C$6)-Table157810[[#This Row],[Interest]],Table157810[[#This Row],[Beginning Balance]]))),2)))</f>
        <v>10194.780000000001</v>
      </c>
      <c r="I71" s="4">
        <f>IF($C$3="Interest Only",0,ROUND(MAX(MIN(IF($C$10="No",$E$7,VLOOKUP(Table157810[[#This Row],[Period]],Forecast!$H$2:$L$1048576,4,FALSE))*Table157810[[#This Row],[Beginning Balance]],Table157810[[#This Row],[Beginning Balance]]-Table157810[[#This Row],[Principal]]),0),2))</f>
        <v>0</v>
      </c>
      <c r="J71" s="3">
        <f>ROUND(MIN(Table157810[[#This Row],[Beginning Balance]]*IF($C$8="No",$E$3,VLOOKUP(Table157810[[#This Row],[Period]],Forecast!$H$2:$L$1048576,2,FALSE)),Table157810[[#This Row],[Beginning Balance]]-Table157810[[#This Row],[Principal]]-Table157810[[#This Row],[Prepayments]]),2)</f>
        <v>3978.88</v>
      </c>
      <c r="K71" s="3">
        <f>ROUND(Table157810[[#This Row],[Defaulted Principal]]*IF($C$9="No",$E$4,VLOOKUP(Table157810[[#This Row],[Period]],Forecast!$H$2:$L$1048576,3,FALSE)),2)</f>
        <v>344.95</v>
      </c>
      <c r="L71" s="2">
        <f>Table157810[[#This Row],[Period]]+$E$9</f>
        <v>67</v>
      </c>
      <c r="M71" s="3">
        <f>Table157810[[#This Row],[Defaulted Principal]]-Table157810[[#This Row],[Estimated Loss]]</f>
        <v>3633.9300000000003</v>
      </c>
      <c r="N71" s="3">
        <f>IFERROR(VLOOKUP(Table157810[[#This Row],[Period]],$L$16:$M$385,2,FALSE),0)</f>
        <v>3741.72</v>
      </c>
      <c r="O71" s="3">
        <f>Table157810[[#This Row],[Beginning Balance]]-Table157810[[#This Row],[Principal]]-Table157810[[#This Row],[Prepayments]]-Table157810[[#This Row],[Defaulted Principal]]</f>
        <v>5811414.6000000024</v>
      </c>
      <c r="P71" s="3">
        <f>Table157810[[#This Row],[Principal]]+Table157810[[#This Row],[Interest]]+Table157810[[#This Row],[Prepayments]]+Table157810[[#This Row],[RecoveredAmount]]</f>
        <v>48796.51</v>
      </c>
      <c r="Q71" s="3">
        <f ca="1">ROUND(Table157810[[#This Row],[Cash Flow]]/((1+ActualRateToUse)^(IF(ISNUMBER(SEARCH("Actual",$C$7)),Table157810[[#This Row],[Running Total]]/365,Table157810[[#This Row],[Period]]/12))),2)</f>
        <v>35134.519999999997</v>
      </c>
      <c r="R71" s="2">
        <f>IF(MONTH(Table157810[[#This Row],[Date]])=2,28,DAY(DATE(YEAR(Table157810[[#This Row],[Date]]),MONTH(Table157810[[#This Row],[Date]])+1,1)-1))</f>
        <v>31</v>
      </c>
      <c r="S71" s="2">
        <f ca="1">SUM(OFFSET(Table157810[[#Headers],[Days in month]],1,0):Table157810[[#This Row],[Days in month]])</f>
        <v>1675</v>
      </c>
      <c r="T71" s="37">
        <f>InterestRate*AmortizationMultiplier*IF(ISNUMBER(SEARCH("Actual",$C$7)),Table157810[[#This Row],[Days in month]]/365,1/12)</f>
        <v>5.9839472222222214E-3</v>
      </c>
    </row>
    <row r="72" spans="2:20" x14ac:dyDescent="0.2">
      <c r="B72" s="1">
        <v>47542</v>
      </c>
      <c r="C72" s="2">
        <f t="shared" si="1"/>
        <v>56</v>
      </c>
      <c r="D72" s="3">
        <f t="shared" si="0"/>
        <v>5811414.6000000024</v>
      </c>
      <c r="E72" s="3">
        <f>ROUND(Table157810[[#This Row],[Beginning Balance]]*Table157810[[#This Row],[Monthly Interest Rate]],2)</f>
        <v>31409.86</v>
      </c>
      <c r="F72" s="3">
        <f t="shared" si="2"/>
        <v>786</v>
      </c>
      <c r="G72" s="23">
        <f>IFERROR(IF($C$13="No","N/A",IF(Table157810[[#This Row],[Period]]=1,$C$6,PMT(InterestRate*AmortizationMultiplier/12,Table157810[[#This Row],[Am Thru]],-Table157810[[#This Row],[Beginning Balance]]))),0)</f>
        <v>34466.802049352751</v>
      </c>
      <c r="H72" s="3">
        <f>MAX(0,IF(C72=$C$4,D72,ROUND(IF($C$3="Fixed Principal",$C$6-Table157810[[#This Row],[Interest]],IF($C$3="Interest Only",Table157810[[#This Row],[Beginning Balance]]*ROUND(1-(1-IF($C$11="No",$E$8,1))^(1/12),6),MIN(IF($C$13="Yes",Table157810[[#This Row],[Payment Amount (Reamortized)]],$C$6)-Table157810[[#This Row],[Interest]],Table157810[[#This Row],[Beginning Balance]]))),2)))</f>
        <v>10169.98</v>
      </c>
      <c r="I72" s="4">
        <f>IF($C$3="Interest Only",0,ROUND(MAX(MIN(IF($C$10="No",$E$7,VLOOKUP(Table157810[[#This Row],[Period]],Forecast!$H$2:$L$1048576,4,FALSE))*Table157810[[#This Row],[Beginning Balance]],Table157810[[#This Row],[Beginning Balance]]-Table157810[[#This Row],[Principal]]),0),2))</f>
        <v>0</v>
      </c>
      <c r="J72" s="3">
        <f>ROUND(MIN(Table157810[[#This Row],[Beginning Balance]]*IF($C$8="No",$E$3,VLOOKUP(Table157810[[#This Row],[Period]],Forecast!$H$2:$L$1048576,2,FALSE)),Table157810[[#This Row],[Beginning Balance]]-Table157810[[#This Row],[Principal]]-Table157810[[#This Row],[Prepayments]]),2)</f>
        <v>3969.2</v>
      </c>
      <c r="K72" s="3">
        <f>ROUND(Table157810[[#This Row],[Defaulted Principal]]*IF($C$9="No",$E$4,VLOOKUP(Table157810[[#This Row],[Period]],Forecast!$H$2:$L$1048576,3,FALSE)),2)</f>
        <v>344.11</v>
      </c>
      <c r="L72" s="2">
        <f>Table157810[[#This Row],[Period]]+$E$9</f>
        <v>68</v>
      </c>
      <c r="M72" s="3">
        <f>Table157810[[#This Row],[Defaulted Principal]]-Table157810[[#This Row],[Estimated Loss]]</f>
        <v>3625.0899999999997</v>
      </c>
      <c r="N72" s="3">
        <f>IFERROR(VLOOKUP(Table157810[[#This Row],[Period]],$L$16:$M$385,2,FALSE),0)</f>
        <v>3732.62</v>
      </c>
      <c r="O72" s="3">
        <f>Table157810[[#This Row],[Beginning Balance]]-Table157810[[#This Row],[Principal]]-Table157810[[#This Row],[Prepayments]]-Table157810[[#This Row],[Defaulted Principal]]</f>
        <v>5797275.4200000018</v>
      </c>
      <c r="P72" s="3">
        <f>Table157810[[#This Row],[Principal]]+Table157810[[#This Row],[Interest]]+Table157810[[#This Row],[Prepayments]]+Table157810[[#This Row],[RecoveredAmount]]</f>
        <v>45312.46</v>
      </c>
      <c r="Q72" s="3">
        <f ca="1">ROUND(Table157810[[#This Row],[Cash Flow]]/((1+ActualRateToUse)^(IF(ISNUMBER(SEARCH("Actual",$C$7)),Table157810[[#This Row],[Running Total]]/365,Table157810[[#This Row],[Period]]/12))),2)</f>
        <v>32447.279999999999</v>
      </c>
      <c r="R72" s="2">
        <f>IF(MONTH(Table157810[[#This Row],[Date]])=2,28,DAY(DATE(YEAR(Table157810[[#This Row],[Date]]),MONTH(Table157810[[#This Row],[Date]])+1,1)-1))</f>
        <v>28</v>
      </c>
      <c r="S72" s="2">
        <f ca="1">SUM(OFFSET(Table157810[[#Headers],[Days in month]],1,0):Table157810[[#This Row],[Days in month]])</f>
        <v>1703</v>
      </c>
      <c r="T72" s="37">
        <f>InterestRate*AmortizationMultiplier*IF(ISNUMBER(SEARCH("Actual",$C$7)),Table157810[[#This Row],[Days in month]]/365,1/12)</f>
        <v>5.4048555555555548E-3</v>
      </c>
    </row>
    <row r="73" spans="2:20" x14ac:dyDescent="0.2">
      <c r="B73" s="1">
        <v>47573</v>
      </c>
      <c r="C73" s="2">
        <f t="shared" si="1"/>
        <v>57</v>
      </c>
      <c r="D73" s="3">
        <f t="shared" si="0"/>
        <v>5797275.4200000018</v>
      </c>
      <c r="E73" s="3">
        <f>ROUND(Table157810[[#This Row],[Beginning Balance]]*Table157810[[#This Row],[Monthly Interest Rate]],2)</f>
        <v>34690.589999999997</v>
      </c>
      <c r="F73" s="3">
        <f t="shared" si="2"/>
        <v>785</v>
      </c>
      <c r="G73" s="23">
        <f>IFERROR(IF($C$13="No","N/A",IF(Table157810[[#This Row],[Period]]=1,$C$6,PMT(InterestRate*AmortizationMultiplier/12,Table157810[[#This Row],[Am Thru]],-Table157810[[#This Row],[Beginning Balance]]))),0)</f>
        <v>34384.99134132226</v>
      </c>
      <c r="H73" s="3">
        <f>MAX(0,IF(C73=$C$4,D73,ROUND(IF($C$3="Fixed Principal",$C$6-Table157810[[#This Row],[Interest]],IF($C$3="Interest Only",Table157810[[#This Row],[Beginning Balance]]*ROUND(1-(1-IF($C$11="No",$E$8,1))^(1/12),6),MIN(IF($C$13="Yes",Table157810[[#This Row],[Payment Amount (Reamortized)]],$C$6)-Table157810[[#This Row],[Interest]],Table157810[[#This Row],[Beginning Balance]]))),2)))</f>
        <v>10145.23</v>
      </c>
      <c r="I73" s="4">
        <f>IF($C$3="Interest Only",0,ROUND(MAX(MIN(IF($C$10="No",$E$7,VLOOKUP(Table157810[[#This Row],[Period]],Forecast!$H$2:$L$1048576,4,FALSE))*Table157810[[#This Row],[Beginning Balance]],Table157810[[#This Row],[Beginning Balance]]-Table157810[[#This Row],[Principal]]),0),2))</f>
        <v>0</v>
      </c>
      <c r="J73" s="3">
        <f>ROUND(MIN(Table157810[[#This Row],[Beginning Balance]]*IF($C$8="No",$E$3,VLOOKUP(Table157810[[#This Row],[Period]],Forecast!$H$2:$L$1048576,2,FALSE)),Table157810[[#This Row],[Beginning Balance]]-Table157810[[#This Row],[Principal]]-Table157810[[#This Row],[Prepayments]]),2)</f>
        <v>3959.54</v>
      </c>
      <c r="K73" s="3">
        <f>ROUND(Table157810[[#This Row],[Defaulted Principal]]*IF($C$9="No",$E$4,VLOOKUP(Table157810[[#This Row],[Period]],Forecast!$H$2:$L$1048576,3,FALSE)),2)</f>
        <v>343.27</v>
      </c>
      <c r="L73" s="2">
        <f>Table157810[[#This Row],[Period]]+$E$9</f>
        <v>69</v>
      </c>
      <c r="M73" s="3">
        <f>Table157810[[#This Row],[Defaulted Principal]]-Table157810[[#This Row],[Estimated Loss]]</f>
        <v>3616.27</v>
      </c>
      <c r="N73" s="3">
        <f>IFERROR(VLOOKUP(Table157810[[#This Row],[Period]],$L$16:$M$385,2,FALSE),0)</f>
        <v>3723.54</v>
      </c>
      <c r="O73" s="3">
        <f>Table157810[[#This Row],[Beginning Balance]]-Table157810[[#This Row],[Principal]]-Table157810[[#This Row],[Prepayments]]-Table157810[[#This Row],[Defaulted Principal]]</f>
        <v>5783170.6500000013</v>
      </c>
      <c r="P73" s="3">
        <f>Table157810[[#This Row],[Principal]]+Table157810[[#This Row],[Interest]]+Table157810[[#This Row],[Prepayments]]+Table157810[[#This Row],[RecoveredAmount]]</f>
        <v>48559.359999999993</v>
      </c>
      <c r="Q73" s="3">
        <f ca="1">ROUND(Table157810[[#This Row],[Cash Flow]]/((1+ActualRateToUse)^(IF(ISNUMBER(SEARCH("Actual",$C$7)),Table157810[[#This Row],[Running Total]]/365,Table157810[[#This Row],[Period]]/12))),2)</f>
        <v>34561.56</v>
      </c>
      <c r="R73" s="2">
        <f>IF(MONTH(Table157810[[#This Row],[Date]])=2,28,DAY(DATE(YEAR(Table157810[[#This Row],[Date]]),MONTH(Table157810[[#This Row],[Date]])+1,1)-1))</f>
        <v>31</v>
      </c>
      <c r="S73" s="2">
        <f ca="1">SUM(OFFSET(Table157810[[#Headers],[Days in month]],1,0):Table157810[[#This Row],[Days in month]])</f>
        <v>1734</v>
      </c>
      <c r="T73" s="37">
        <f>InterestRate*AmortizationMultiplier*IF(ISNUMBER(SEARCH("Actual",$C$7)),Table157810[[#This Row],[Days in month]]/365,1/12)</f>
        <v>5.9839472222222214E-3</v>
      </c>
    </row>
    <row r="74" spans="2:20" x14ac:dyDescent="0.2">
      <c r="B74" s="1">
        <v>47603</v>
      </c>
      <c r="C74" s="2">
        <f t="shared" si="1"/>
        <v>58</v>
      </c>
      <c r="D74" s="3">
        <f t="shared" si="0"/>
        <v>5783170.6500000013</v>
      </c>
      <c r="E74" s="3">
        <f>ROUND(Table157810[[#This Row],[Beginning Balance]]*Table157810[[#This Row],[Monthly Interest Rate]],2)</f>
        <v>33489.86</v>
      </c>
      <c r="F74" s="3">
        <f t="shared" si="2"/>
        <v>784</v>
      </c>
      <c r="G74" s="23">
        <f>IFERROR(IF($C$13="No","N/A",IF(Table157810[[#This Row],[Period]]=1,$C$6,PMT(InterestRate*AmortizationMultiplier/12,Table157810[[#This Row],[Am Thru]],-Table157810[[#This Row],[Beginning Balance]]))),0)</f>
        <v>34303.38698896359</v>
      </c>
      <c r="H74" s="3">
        <f>MAX(0,IF(C74=$C$4,D74,ROUND(IF($C$3="Fixed Principal",$C$6-Table157810[[#This Row],[Interest]],IF($C$3="Interest Only",Table157810[[#This Row],[Beginning Balance]]*ROUND(1-(1-IF($C$11="No",$E$8,1))^(1/12),6),MIN(IF($C$13="Yes",Table157810[[#This Row],[Payment Amount (Reamortized)]],$C$6)-Table157810[[#This Row],[Interest]],Table157810[[#This Row],[Beginning Balance]]))),2)))</f>
        <v>5783170.6500000013</v>
      </c>
      <c r="I74" s="4">
        <f>IF($C$3="Interest Only",0,ROUND(MAX(MIN(IF($C$10="No",$E$7,VLOOKUP(Table157810[[#This Row],[Period]],Forecast!$H$2:$L$1048576,4,FALSE))*Table157810[[#This Row],[Beginning Balance]],Table157810[[#This Row],[Beginning Balance]]-Table157810[[#This Row],[Principal]]),0),2))</f>
        <v>0</v>
      </c>
      <c r="J74" s="3">
        <f>ROUND(MIN(Table157810[[#This Row],[Beginning Balance]]*IF($C$8="No",$E$3,VLOOKUP(Table157810[[#This Row],[Period]],Forecast!$H$2:$L$1048576,2,FALSE)),Table157810[[#This Row],[Beginning Balance]]-Table157810[[#This Row],[Principal]]-Table157810[[#This Row],[Prepayments]]),2)</f>
        <v>0</v>
      </c>
      <c r="K74" s="3">
        <f>ROUND(Table157810[[#This Row],[Defaulted Principal]]*IF($C$9="No",$E$4,VLOOKUP(Table157810[[#This Row],[Period]],Forecast!$H$2:$L$1048576,3,FALSE)),2)</f>
        <v>0</v>
      </c>
      <c r="L74" s="2">
        <f>Table157810[[#This Row],[Period]]+$E$9</f>
        <v>70</v>
      </c>
      <c r="M74" s="3">
        <f>Table157810[[#This Row],[Defaulted Principal]]-Table157810[[#This Row],[Estimated Loss]]</f>
        <v>0</v>
      </c>
      <c r="N74" s="3">
        <f>IFERROR(VLOOKUP(Table157810[[#This Row],[Period]],$L$16:$M$385,2,FALSE),0)</f>
        <v>3714.48</v>
      </c>
      <c r="O74" s="3">
        <f>Table157810[[#This Row],[Beginning Balance]]-Table157810[[#This Row],[Principal]]-Table157810[[#This Row],[Prepayments]]-Table157810[[#This Row],[Defaulted Principal]]</f>
        <v>0</v>
      </c>
      <c r="P74" s="3">
        <f>Table157810[[#This Row],[Principal]]+Table157810[[#This Row],[Interest]]+Table157810[[#This Row],[Prepayments]]+Table157810[[#This Row],[RecoveredAmount]]</f>
        <v>5820374.9900000021</v>
      </c>
      <c r="Q74" s="3">
        <f ca="1">ROUND(Table157810[[#This Row],[Cash Flow]]/((1+ActualRateToUse)^(IF(ISNUMBER(SEARCH("Actual",$C$7)),Table157810[[#This Row],[Running Total]]/365,Table157810[[#This Row],[Period]]/12))),2)</f>
        <v>4118284.73</v>
      </c>
      <c r="R74" s="2">
        <f>IF(MONTH(Table157810[[#This Row],[Date]])=2,28,DAY(DATE(YEAR(Table157810[[#This Row],[Date]]),MONTH(Table157810[[#This Row],[Date]])+1,1)-1))</f>
        <v>30</v>
      </c>
      <c r="S74" s="2">
        <f ca="1">SUM(OFFSET(Table157810[[#Headers],[Days in month]],1,0):Table157810[[#This Row],[Days in month]])</f>
        <v>1764</v>
      </c>
      <c r="T74" s="37">
        <f>InterestRate*AmortizationMultiplier*IF(ISNUMBER(SEARCH("Actual",$C$7)),Table157810[[#This Row],[Days in month]]/365,1/12)</f>
        <v>5.7909166666666656E-3</v>
      </c>
    </row>
    <row r="75" spans="2:20" x14ac:dyDescent="0.2">
      <c r="B75" s="1">
        <v>47634</v>
      </c>
      <c r="C75" s="2">
        <f t="shared" si="1"/>
        <v>59</v>
      </c>
      <c r="D75" s="3">
        <f t="shared" si="0"/>
        <v>0</v>
      </c>
      <c r="E75" s="3">
        <f>ROUND(Table157810[[#This Row],[Beginning Balance]]*Table157810[[#This Row],[Monthly Interest Rate]],2)</f>
        <v>0</v>
      </c>
      <c r="F75" s="3">
        <f t="shared" si="2"/>
        <v>783</v>
      </c>
      <c r="G75" s="23">
        <f>IFERROR(IF($C$13="No","N/A",IF(Table157810[[#This Row],[Period]]=1,$C$6,PMT(InterestRate*AmortizationMultiplier/12,Table157810[[#This Row],[Am Thru]],-Table157810[[#This Row],[Beginning Balance]]))),0)</f>
        <v>0</v>
      </c>
      <c r="H75" s="3">
        <f>MAX(0,IF(C75=$C$4,D75,ROUND(IF($C$3="Fixed Principal",$C$6-Table157810[[#This Row],[Interest]],IF($C$3="Interest Only",Table157810[[#This Row],[Beginning Balance]]*ROUND(1-(1-IF($C$11="No",$E$8,1))^(1/12),6),MIN(IF($C$13="Yes",Table157810[[#This Row],[Payment Amount (Reamortized)]],$C$6)-Table157810[[#This Row],[Interest]],Table157810[[#This Row],[Beginning Balance]]))),2)))</f>
        <v>0</v>
      </c>
      <c r="I75" s="3">
        <f>_xlfn.SINGLE(IF($C$3="Line of Credit",0,ROUND(MAX(MIN(IF($C$10="No",$E$7,VLOOKUP(Table157810[[#This Row],[Period]],Forecast!$H$2:$L$1048576,4,FALSE))*Table157810[[#This Row],[Beginning Balance]],Table157810[[#This Row],[Beginning Balance]]-Table157810[[#This Row],[Principal]]),0),2)))</f>
        <v>0</v>
      </c>
      <c r="J75" s="3">
        <f>ROUND(MIN(Table157810[[#This Row],[Beginning Balance]]*IF($C$8="No",$E$3,VLOOKUP(Table157810[[#This Row],[Period]],Forecast!$H$2:$L$1048576,2,FALSE)),Table157810[[#This Row],[Beginning Balance]]-Table157810[[#This Row],[Principal]]-Table157810[[#This Row],[Prepayments]]),2)</f>
        <v>0</v>
      </c>
      <c r="K75" s="3">
        <f>ROUND(Table157810[[#This Row],[Defaulted Principal]]*IF($C$9="No",$E$4,VLOOKUP(Table157810[[#This Row],[Period]],Forecast!$H$2:$L$1048576,3,FALSE)),2)</f>
        <v>0</v>
      </c>
      <c r="L75" s="2">
        <f>Table157810[[#This Row],[Period]]+$E$9</f>
        <v>71</v>
      </c>
      <c r="M75" s="3">
        <f>Table157810[[#This Row],[Defaulted Principal]]-Table157810[[#This Row],[Estimated Loss]]</f>
        <v>0</v>
      </c>
      <c r="N75" s="3">
        <f>IFERROR(VLOOKUP(Table157810[[#This Row],[Period]],$L$16:$M$385,2,FALSE),0)</f>
        <v>3705.45</v>
      </c>
      <c r="O75" s="3">
        <f>Table157810[[#This Row],[Beginning Balance]]-Table157810[[#This Row],[Principal]]-Table157810[[#This Row],[Prepayments]]-Table157810[[#This Row],[Defaulted Principal]]</f>
        <v>0</v>
      </c>
      <c r="P75" s="3">
        <f>Table157810[[#This Row],[Principal]]+Table157810[[#This Row],[Interest]]+Table157810[[#This Row],[Prepayments]]+Table157810[[#This Row],[RecoveredAmount]]</f>
        <v>3705.45</v>
      </c>
      <c r="Q75" s="3">
        <f ca="1">ROUND(Table157810[[#This Row],[Cash Flow]]/((1+ActualRateToUse)^(IF(ISNUMBER(SEARCH("Actual",$C$7)),Table157810[[#This Row],[Running Total]]/365,Table157810[[#This Row],[Period]]/12))),2)</f>
        <v>2605.9499999999998</v>
      </c>
      <c r="R75" s="2">
        <f>IF(MONTH(Table157810[[#This Row],[Date]])=2,28,DAY(DATE(YEAR(Table157810[[#This Row],[Date]]),MONTH(Table157810[[#This Row],[Date]])+1,1)-1))</f>
        <v>31</v>
      </c>
      <c r="S75" s="2">
        <f ca="1">SUM(OFFSET(Table157810[[#Headers],[Days in month]],1,0):Table157810[[#This Row],[Days in month]])</f>
        <v>1795</v>
      </c>
      <c r="T75" s="37">
        <f>InterestRate*AmortizationMultiplier*IF(ISNUMBER(SEARCH("Actual",$C$7)),Table157810[[#This Row],[Days in month]]/365,1/12)</f>
        <v>5.9839472222222214E-3</v>
      </c>
    </row>
    <row r="76" spans="2:20" x14ac:dyDescent="0.2">
      <c r="B76" s="1">
        <v>47664</v>
      </c>
      <c r="C76" s="2">
        <f t="shared" si="1"/>
        <v>60</v>
      </c>
      <c r="D76" s="3">
        <f t="shared" si="0"/>
        <v>0</v>
      </c>
      <c r="E76" s="3">
        <f>ROUND(Table157810[[#This Row],[Beginning Balance]]*Table157810[[#This Row],[Monthly Interest Rate]],2)</f>
        <v>0</v>
      </c>
      <c r="F76" s="3">
        <f t="shared" si="2"/>
        <v>782</v>
      </c>
      <c r="G76" s="23">
        <f>IFERROR(IF($C$13="No","N/A",IF(Table157810[[#This Row],[Period]]=1,$C$6,PMT(InterestRate*AmortizationMultiplier/12,Table157810[[#This Row],[Am Thru]],-Table157810[[#This Row],[Beginning Balance]]))),0)</f>
        <v>0</v>
      </c>
      <c r="H76" s="3">
        <f>MAX(0,IF(C76=$C$4,D76,ROUND(IF($C$3="Fixed Principal",$C$6-Table157810[[#This Row],[Interest]],IF($C$3="Interest Only",Table157810[[#This Row],[Beginning Balance]]*ROUND(1-(1-IF($C$11="No",$E$8,1))^(1/12),6),MIN(IF($C$13="Yes",Table157810[[#This Row],[Payment Amount (Reamortized)]],$C$6)-Table157810[[#This Row],[Interest]],Table157810[[#This Row],[Beginning Balance]]))),2)))</f>
        <v>0</v>
      </c>
      <c r="I76" s="3">
        <f>_xlfn.SINGLE(IF($C$3="Line of Credit",0,ROUND(MAX(MIN(IF($C$10="No",$E$7,VLOOKUP(Table157810[[#This Row],[Period]],Forecast!$H$2:$L$1048576,4,FALSE))*Table157810[[#This Row],[Beginning Balance]],Table157810[[#This Row],[Beginning Balance]]-Table157810[[#This Row],[Principal]]),0),2)))</f>
        <v>0</v>
      </c>
      <c r="J76" s="3">
        <f>ROUND(MIN(Table157810[[#This Row],[Beginning Balance]]*IF($C$8="No",$E$3,VLOOKUP(Table157810[[#This Row],[Period]],Forecast!$H$2:$L$1048576,2,FALSE)),Table157810[[#This Row],[Beginning Balance]]-Table157810[[#This Row],[Principal]]-Table157810[[#This Row],[Prepayments]]),2)</f>
        <v>0</v>
      </c>
      <c r="K76" s="3">
        <f>ROUND(Table157810[[#This Row],[Defaulted Principal]]*IF($C$9="No",$E$4,VLOOKUP(Table157810[[#This Row],[Period]],Forecast!$H$2:$L$1048576,3,FALSE)),2)</f>
        <v>0</v>
      </c>
      <c r="L76" s="2">
        <f>Table157810[[#This Row],[Period]]+$E$9</f>
        <v>72</v>
      </c>
      <c r="M76" s="3">
        <f>Table157810[[#This Row],[Defaulted Principal]]-Table157810[[#This Row],[Estimated Loss]]</f>
        <v>0</v>
      </c>
      <c r="N76" s="3">
        <f>IFERROR(VLOOKUP(Table157810[[#This Row],[Period]],$L$16:$M$385,2,FALSE),0)</f>
        <v>3696.43</v>
      </c>
      <c r="O76" s="3">
        <f>Table157810[[#This Row],[Beginning Balance]]-Table157810[[#This Row],[Principal]]-Table157810[[#This Row],[Prepayments]]-Table157810[[#This Row],[Defaulted Principal]]</f>
        <v>0</v>
      </c>
      <c r="P76" s="3">
        <f>Table157810[[#This Row],[Principal]]+Table157810[[#This Row],[Interest]]+Table157810[[#This Row],[Prepayments]]+Table157810[[#This Row],[RecoveredAmount]]</f>
        <v>3696.43</v>
      </c>
      <c r="Q76" s="3">
        <f ca="1">ROUND(Table157810[[#This Row],[Cash Flow]]/((1+ActualRateToUse)^(IF(ISNUMBER(SEARCH("Actual",$C$7)),Table157810[[#This Row],[Running Total]]/365,Table157810[[#This Row],[Period]]/12))),2)</f>
        <v>2584.36</v>
      </c>
      <c r="R76" s="2">
        <f>IF(MONTH(Table157810[[#This Row],[Date]])=2,28,DAY(DATE(YEAR(Table157810[[#This Row],[Date]]),MONTH(Table157810[[#This Row],[Date]])+1,1)-1))</f>
        <v>30</v>
      </c>
      <c r="S76" s="2">
        <f ca="1">SUM(OFFSET(Table157810[[#Headers],[Days in month]],1,0):Table157810[[#This Row],[Days in month]])</f>
        <v>1825</v>
      </c>
      <c r="T76" s="37">
        <f>InterestRate*AmortizationMultiplier*IF(ISNUMBER(SEARCH("Actual",$C$7)),Table157810[[#This Row],[Days in month]]/365,1/12)</f>
        <v>5.7909166666666656E-3</v>
      </c>
    </row>
    <row r="77" spans="2:20" x14ac:dyDescent="0.2">
      <c r="B77" s="1">
        <v>47695</v>
      </c>
      <c r="C77" s="2">
        <f t="shared" si="1"/>
        <v>61</v>
      </c>
      <c r="D77" s="3">
        <f t="shared" si="0"/>
        <v>0</v>
      </c>
      <c r="E77" s="3">
        <f>ROUND(Table157810[[#This Row],[Beginning Balance]]*Table157810[[#This Row],[Monthly Interest Rate]],2)</f>
        <v>0</v>
      </c>
      <c r="F77" s="3">
        <f t="shared" si="2"/>
        <v>781</v>
      </c>
      <c r="G77" s="23">
        <f>IFERROR(IF($C$13="No","N/A",IF(Table157810[[#This Row],[Period]]=1,$C$6,PMT(InterestRate*AmortizationMultiplier/12,Table157810[[#This Row],[Am Thru]],-Table157810[[#This Row],[Beginning Balance]]))),0)</f>
        <v>0</v>
      </c>
      <c r="H77" s="3">
        <f>MAX(0,IF(C77=$C$4,D77,ROUND(IF($C$3="Fixed Principal",$C$6-Table157810[[#This Row],[Interest]],IF($C$3="Interest Only",Table157810[[#This Row],[Beginning Balance]]*ROUND(1-(1-IF($C$11="No",$E$8,1))^(1/12),6),MIN(IF($C$13="Yes",Table157810[[#This Row],[Payment Amount (Reamortized)]],$C$6)-Table157810[[#This Row],[Interest]],Table157810[[#This Row],[Beginning Balance]]))),2)))</f>
        <v>0</v>
      </c>
      <c r="I77" s="3">
        <f>_xlfn.SINGLE(IF($C$3="Line of Credit",0,ROUND(MAX(MIN(IF($C$10="No",$E$7,VLOOKUP(Table157810[[#This Row],[Period]],Forecast!$H$2:$L$1048576,4,FALSE))*Table157810[[#This Row],[Beginning Balance]],Table157810[[#This Row],[Beginning Balance]]-Table157810[[#This Row],[Principal]]),0),2)))</f>
        <v>0</v>
      </c>
      <c r="J77" s="3">
        <f>ROUND(MIN(Table157810[[#This Row],[Beginning Balance]]*IF($C$8="No",$E$3,VLOOKUP(Table157810[[#This Row],[Period]],Forecast!$H$2:$L$1048576,2,FALSE)),Table157810[[#This Row],[Beginning Balance]]-Table157810[[#This Row],[Principal]]-Table157810[[#This Row],[Prepayments]]),2)</f>
        <v>0</v>
      </c>
      <c r="K77" s="3">
        <f>ROUND(Table157810[[#This Row],[Defaulted Principal]]*IF($C$9="No",$E$4,VLOOKUP(Table157810[[#This Row],[Period]],Forecast!$H$2:$L$1048576,3,FALSE)),2)</f>
        <v>0</v>
      </c>
      <c r="L77" s="2">
        <f>Table157810[[#This Row],[Period]]+$E$9</f>
        <v>73</v>
      </c>
      <c r="M77" s="3">
        <f>Table157810[[#This Row],[Defaulted Principal]]-Table157810[[#This Row],[Estimated Loss]]</f>
        <v>0</v>
      </c>
      <c r="N77" s="3">
        <f>IFERROR(VLOOKUP(Table157810[[#This Row],[Period]],$L$16:$M$385,2,FALSE),0)</f>
        <v>3687.44</v>
      </c>
      <c r="O77" s="3">
        <f>Table157810[[#This Row],[Beginning Balance]]-Table157810[[#This Row],[Principal]]-Table157810[[#This Row],[Prepayments]]-Table157810[[#This Row],[Defaulted Principal]]</f>
        <v>0</v>
      </c>
      <c r="P77" s="3">
        <f>Table157810[[#This Row],[Principal]]+Table157810[[#This Row],[Interest]]+Table157810[[#This Row],[Prepayments]]+Table157810[[#This Row],[RecoveredAmount]]</f>
        <v>3687.44</v>
      </c>
      <c r="Q77" s="3">
        <f ca="1">ROUND(Table157810[[#This Row],[Cash Flow]]/((1+ActualRateToUse)^(IF(ISNUMBER(SEARCH("Actual",$C$7)),Table157810[[#This Row],[Running Total]]/365,Table157810[[#This Row],[Period]]/12))),2)</f>
        <v>2562.4499999999998</v>
      </c>
      <c r="R77" s="2">
        <f>IF(MONTH(Table157810[[#This Row],[Date]])=2,28,DAY(DATE(YEAR(Table157810[[#This Row],[Date]]),MONTH(Table157810[[#This Row],[Date]])+1,1)-1))</f>
        <v>31</v>
      </c>
      <c r="S77" s="2">
        <f ca="1">SUM(OFFSET(Table157810[[#Headers],[Days in month]],1,0):Table157810[[#This Row],[Days in month]])</f>
        <v>1856</v>
      </c>
      <c r="T77" s="37">
        <f>InterestRate*AmortizationMultiplier*IF(ISNUMBER(SEARCH("Actual",$C$7)),Table157810[[#This Row],[Days in month]]/365,1/12)</f>
        <v>5.9839472222222214E-3</v>
      </c>
    </row>
    <row r="78" spans="2:20" x14ac:dyDescent="0.2">
      <c r="B78" s="1">
        <v>47726</v>
      </c>
      <c r="C78" s="2">
        <f t="shared" si="1"/>
        <v>62</v>
      </c>
      <c r="D78" s="3">
        <f t="shared" si="0"/>
        <v>0</v>
      </c>
      <c r="E78" s="3">
        <f>ROUND(Table157810[[#This Row],[Beginning Balance]]*Table157810[[#This Row],[Monthly Interest Rate]],2)</f>
        <v>0</v>
      </c>
      <c r="F78" s="3">
        <f t="shared" si="2"/>
        <v>780</v>
      </c>
      <c r="G78" s="23">
        <f>IFERROR(IF($C$13="No","N/A",IF(Table157810[[#This Row],[Period]]=1,$C$6,PMT(InterestRate*AmortizationMultiplier/12,Table157810[[#This Row],[Am Thru]],-Table157810[[#This Row],[Beginning Balance]]))),0)</f>
        <v>0</v>
      </c>
      <c r="H78" s="3">
        <f>MAX(0,IF(C78=$C$4,D78,ROUND(IF($C$3="Fixed Principal",$C$6-Table157810[[#This Row],[Interest]],IF($C$3="Interest Only",Table157810[[#This Row],[Beginning Balance]]*ROUND(1-(1-IF($C$11="No",$E$8,1))^(1/12),6),MIN(IF($C$13="Yes",Table157810[[#This Row],[Payment Amount (Reamortized)]],$C$6)-Table157810[[#This Row],[Interest]],Table157810[[#This Row],[Beginning Balance]]))),2)))</f>
        <v>0</v>
      </c>
      <c r="I78" s="3">
        <f>_xlfn.SINGLE(IF($C$3="Line of Credit",0,ROUND(MAX(MIN(IF($C$10="No",$E$7,VLOOKUP(Table157810[[#This Row],[Period]],Forecast!$H$2:$L$1048576,4,FALSE))*Table157810[[#This Row],[Beginning Balance]],Table157810[[#This Row],[Beginning Balance]]-Table157810[[#This Row],[Principal]]),0),2)))</f>
        <v>0</v>
      </c>
      <c r="J78" s="3">
        <f>ROUND(MIN(Table157810[[#This Row],[Beginning Balance]]*IF($C$8="No",$E$3,VLOOKUP(Table157810[[#This Row],[Period]],Forecast!$H$2:$L$1048576,2,FALSE)),Table157810[[#This Row],[Beginning Balance]]-Table157810[[#This Row],[Principal]]-Table157810[[#This Row],[Prepayments]]),2)</f>
        <v>0</v>
      </c>
      <c r="K78" s="3">
        <f>ROUND(Table157810[[#This Row],[Defaulted Principal]]*IF($C$9="No",$E$4,VLOOKUP(Table157810[[#This Row],[Period]],Forecast!$H$2:$L$1048576,3,FALSE)),2)</f>
        <v>0</v>
      </c>
      <c r="L78" s="2">
        <f>Table157810[[#This Row],[Period]]+$E$9</f>
        <v>74</v>
      </c>
      <c r="M78" s="3">
        <f>Table157810[[#This Row],[Defaulted Principal]]-Table157810[[#This Row],[Estimated Loss]]</f>
        <v>0</v>
      </c>
      <c r="N78" s="3">
        <f>IFERROR(VLOOKUP(Table157810[[#This Row],[Period]],$L$16:$M$385,2,FALSE),0)</f>
        <v>3678.47</v>
      </c>
      <c r="O78" s="3">
        <f>Table157810[[#This Row],[Beginning Balance]]-Table157810[[#This Row],[Principal]]-Table157810[[#This Row],[Prepayments]]-Table157810[[#This Row],[Defaulted Principal]]</f>
        <v>0</v>
      </c>
      <c r="P78" s="3">
        <f>Table157810[[#This Row],[Principal]]+Table157810[[#This Row],[Interest]]+Table157810[[#This Row],[Prepayments]]+Table157810[[#This Row],[RecoveredAmount]]</f>
        <v>3678.47</v>
      </c>
      <c r="Q78" s="3">
        <f ca="1">ROUND(Table157810[[#This Row],[Cash Flow]]/((1+ActualRateToUse)^(IF(ISNUMBER(SEARCH("Actual",$C$7)),Table157810[[#This Row],[Running Total]]/365,Table157810[[#This Row],[Period]]/12))),2)</f>
        <v>2540.7199999999998</v>
      </c>
      <c r="R78" s="2">
        <f>IF(MONTH(Table157810[[#This Row],[Date]])=2,28,DAY(DATE(YEAR(Table157810[[#This Row],[Date]]),MONTH(Table157810[[#This Row],[Date]])+1,1)-1))</f>
        <v>31</v>
      </c>
      <c r="S78" s="2">
        <f ca="1">SUM(OFFSET(Table157810[[#Headers],[Days in month]],1,0):Table157810[[#This Row],[Days in month]])</f>
        <v>1887</v>
      </c>
      <c r="T78" s="37">
        <f>InterestRate*AmortizationMultiplier*IF(ISNUMBER(SEARCH("Actual",$C$7)),Table157810[[#This Row],[Days in month]]/365,1/12)</f>
        <v>5.9839472222222214E-3</v>
      </c>
    </row>
    <row r="79" spans="2:20" x14ac:dyDescent="0.2">
      <c r="B79" s="1">
        <v>47756</v>
      </c>
      <c r="C79" s="2">
        <f t="shared" si="1"/>
        <v>63</v>
      </c>
      <c r="D79" s="3">
        <f t="shared" si="0"/>
        <v>0</v>
      </c>
      <c r="E79" s="3">
        <f>ROUND(Table157810[[#This Row],[Beginning Balance]]*Table157810[[#This Row],[Monthly Interest Rate]],2)</f>
        <v>0</v>
      </c>
      <c r="F79" s="3">
        <f t="shared" si="2"/>
        <v>779</v>
      </c>
      <c r="G79" s="23">
        <f>IFERROR(IF($C$13="No","N/A",IF(Table157810[[#This Row],[Period]]=1,$C$6,PMT(InterestRate*AmortizationMultiplier/12,Table157810[[#This Row],[Am Thru]],-Table157810[[#This Row],[Beginning Balance]]))),0)</f>
        <v>0</v>
      </c>
      <c r="H79" s="3">
        <f>MAX(0,IF(C79=$C$4,D79,ROUND(IF($C$3="Fixed Principal",$C$6-Table157810[[#This Row],[Interest]],IF($C$3="Interest Only",Table157810[[#This Row],[Beginning Balance]]*ROUND(1-(1-IF($C$11="No",$E$8,1))^(1/12),6),MIN(IF($C$13="Yes",Table157810[[#This Row],[Payment Amount (Reamortized)]],$C$6)-Table157810[[#This Row],[Interest]],Table157810[[#This Row],[Beginning Balance]]))),2)))</f>
        <v>0</v>
      </c>
      <c r="I79" s="3">
        <f>_xlfn.SINGLE(IF($C$3="Line of Credit",0,ROUND(MAX(MIN(IF($C$10="No",$E$7,VLOOKUP(Table157810[[#This Row],[Period]],Forecast!$H$2:$L$1048576,4,FALSE))*Table157810[[#This Row],[Beginning Balance]],Table157810[[#This Row],[Beginning Balance]]-Table157810[[#This Row],[Principal]]),0),2)))</f>
        <v>0</v>
      </c>
      <c r="J79" s="3">
        <f>ROUND(MIN(Table157810[[#This Row],[Beginning Balance]]*IF($C$8="No",$E$3,VLOOKUP(Table157810[[#This Row],[Period]],Forecast!$H$2:$L$1048576,2,FALSE)),Table157810[[#This Row],[Beginning Balance]]-Table157810[[#This Row],[Principal]]-Table157810[[#This Row],[Prepayments]]),2)</f>
        <v>0</v>
      </c>
      <c r="K79" s="3">
        <f>ROUND(Table157810[[#This Row],[Defaulted Principal]]*IF($C$9="No",$E$4,VLOOKUP(Table157810[[#This Row],[Period]],Forecast!$H$2:$L$1048576,3,FALSE)),2)</f>
        <v>0</v>
      </c>
      <c r="L79" s="2">
        <f>Table157810[[#This Row],[Period]]+$E$9</f>
        <v>75</v>
      </c>
      <c r="M79" s="3">
        <f>Table157810[[#This Row],[Defaulted Principal]]-Table157810[[#This Row],[Estimated Loss]]</f>
        <v>0</v>
      </c>
      <c r="N79" s="3">
        <f>IFERROR(VLOOKUP(Table157810[[#This Row],[Period]],$L$16:$M$385,2,FALSE),0)</f>
        <v>3669.52</v>
      </c>
      <c r="O79" s="3">
        <f>Table157810[[#This Row],[Beginning Balance]]-Table157810[[#This Row],[Principal]]-Table157810[[#This Row],[Prepayments]]-Table157810[[#This Row],[Defaulted Principal]]</f>
        <v>0</v>
      </c>
      <c r="P79" s="3">
        <f>Table157810[[#This Row],[Principal]]+Table157810[[#This Row],[Interest]]+Table157810[[#This Row],[Prepayments]]+Table157810[[#This Row],[RecoveredAmount]]</f>
        <v>3669.52</v>
      </c>
      <c r="Q79" s="3">
        <f ca="1">ROUND(Table157810[[#This Row],[Cash Flow]]/((1+ActualRateToUse)^(IF(ISNUMBER(SEARCH("Actual",$C$7)),Table157810[[#This Row],[Running Total]]/365,Table157810[[#This Row],[Period]]/12))),2)</f>
        <v>2519.67</v>
      </c>
      <c r="R79" s="2">
        <f>IF(MONTH(Table157810[[#This Row],[Date]])=2,28,DAY(DATE(YEAR(Table157810[[#This Row],[Date]]),MONTH(Table157810[[#This Row],[Date]])+1,1)-1))</f>
        <v>30</v>
      </c>
      <c r="S79" s="2">
        <f ca="1">SUM(OFFSET(Table157810[[#Headers],[Days in month]],1,0):Table157810[[#This Row],[Days in month]])</f>
        <v>1917</v>
      </c>
      <c r="T79" s="37">
        <f>InterestRate*AmortizationMultiplier*IF(ISNUMBER(SEARCH("Actual",$C$7)),Table157810[[#This Row],[Days in month]]/365,1/12)</f>
        <v>5.7909166666666656E-3</v>
      </c>
    </row>
    <row r="80" spans="2:20" x14ac:dyDescent="0.2">
      <c r="B80" s="1">
        <v>47787</v>
      </c>
      <c r="C80" s="2">
        <f t="shared" si="1"/>
        <v>64</v>
      </c>
      <c r="D80" s="3">
        <f t="shared" si="0"/>
        <v>0</v>
      </c>
      <c r="E80" s="3">
        <f>ROUND(Table157810[[#This Row],[Beginning Balance]]*Table157810[[#This Row],[Monthly Interest Rate]],2)</f>
        <v>0</v>
      </c>
      <c r="F80" s="3">
        <f t="shared" si="2"/>
        <v>778</v>
      </c>
      <c r="G80" s="23">
        <f>IFERROR(IF($C$13="No","N/A",IF(Table157810[[#This Row],[Period]]=1,$C$6,PMT(InterestRate*AmortizationMultiplier/12,Table157810[[#This Row],[Am Thru]],-Table157810[[#This Row],[Beginning Balance]]))),0)</f>
        <v>0</v>
      </c>
      <c r="H80" s="3">
        <f>MAX(0,IF(C80=$C$4,D80,ROUND(IF($C$3="Fixed Principal",$C$6-Table157810[[#This Row],[Interest]],IF($C$3="Interest Only",Table157810[[#This Row],[Beginning Balance]]*ROUND(1-(1-IF($C$11="No",$E$8,1))^(1/12),6),MIN(IF($C$13="Yes",Table157810[[#This Row],[Payment Amount (Reamortized)]],$C$6)-Table157810[[#This Row],[Interest]],Table157810[[#This Row],[Beginning Balance]]))),2)))</f>
        <v>0</v>
      </c>
      <c r="I80" s="3">
        <f>_xlfn.SINGLE(IF($C$3="Line of Credit",0,ROUND(MAX(MIN(IF($C$10="No",$E$7,VLOOKUP(Table157810[[#This Row],[Period]],Forecast!$H$2:$L$1048576,4,FALSE))*Table157810[[#This Row],[Beginning Balance]],Table157810[[#This Row],[Beginning Balance]]-Table157810[[#This Row],[Principal]]),0),2)))</f>
        <v>0</v>
      </c>
      <c r="J80" s="3">
        <f>ROUND(MIN(Table157810[[#This Row],[Beginning Balance]]*IF($C$8="No",$E$3,VLOOKUP(Table157810[[#This Row],[Period]],Forecast!$H$2:$L$1048576,2,FALSE)),Table157810[[#This Row],[Beginning Balance]]-Table157810[[#This Row],[Principal]]-Table157810[[#This Row],[Prepayments]]),2)</f>
        <v>0</v>
      </c>
      <c r="K80" s="3">
        <f>ROUND(Table157810[[#This Row],[Defaulted Principal]]*IF($C$9="No",$E$4,VLOOKUP(Table157810[[#This Row],[Period]],Forecast!$H$2:$L$1048576,3,FALSE)),2)</f>
        <v>0</v>
      </c>
      <c r="L80" s="2">
        <f>Table157810[[#This Row],[Period]]+$E$9</f>
        <v>76</v>
      </c>
      <c r="M80" s="3">
        <f>Table157810[[#This Row],[Defaulted Principal]]-Table157810[[#This Row],[Estimated Loss]]</f>
        <v>0</v>
      </c>
      <c r="N80" s="3">
        <f>IFERROR(VLOOKUP(Table157810[[#This Row],[Period]],$L$16:$M$385,2,FALSE),0)</f>
        <v>3660.59</v>
      </c>
      <c r="O80" s="3">
        <f>Table157810[[#This Row],[Beginning Balance]]-Table157810[[#This Row],[Principal]]-Table157810[[#This Row],[Prepayments]]-Table157810[[#This Row],[Defaulted Principal]]</f>
        <v>0</v>
      </c>
      <c r="P80" s="3">
        <f>Table157810[[#This Row],[Principal]]+Table157810[[#This Row],[Interest]]+Table157810[[#This Row],[Prepayments]]+Table157810[[#This Row],[RecoveredAmount]]</f>
        <v>3660.59</v>
      </c>
      <c r="Q80" s="3">
        <f ca="1">ROUND(Table157810[[#This Row],[Cash Flow]]/((1+ActualRateToUse)^(IF(ISNUMBER(SEARCH("Actual",$C$7)),Table157810[[#This Row],[Running Total]]/365,Table157810[[#This Row],[Period]]/12))),2)</f>
        <v>2498.31</v>
      </c>
      <c r="R80" s="2">
        <f>IF(MONTH(Table157810[[#This Row],[Date]])=2,28,DAY(DATE(YEAR(Table157810[[#This Row],[Date]]),MONTH(Table157810[[#This Row],[Date]])+1,1)-1))</f>
        <v>31</v>
      </c>
      <c r="S80" s="2">
        <f ca="1">SUM(OFFSET(Table157810[[#Headers],[Days in month]],1,0):Table157810[[#This Row],[Days in month]])</f>
        <v>1948</v>
      </c>
      <c r="T80" s="37">
        <f>InterestRate*AmortizationMultiplier*IF(ISNUMBER(SEARCH("Actual",$C$7)),Table157810[[#This Row],[Days in month]]/365,1/12)</f>
        <v>5.9839472222222214E-3</v>
      </c>
    </row>
    <row r="81" spans="2:20" x14ac:dyDescent="0.2">
      <c r="B81" s="1">
        <v>47817</v>
      </c>
      <c r="C81" s="2">
        <f t="shared" si="1"/>
        <v>65</v>
      </c>
      <c r="D81" s="3">
        <f t="shared" si="0"/>
        <v>0</v>
      </c>
      <c r="E81" s="3">
        <f>ROUND(Table157810[[#This Row],[Beginning Balance]]*Table157810[[#This Row],[Monthly Interest Rate]],2)</f>
        <v>0</v>
      </c>
      <c r="F81" s="3">
        <f t="shared" si="2"/>
        <v>777</v>
      </c>
      <c r="G81" s="23">
        <f>IFERROR(IF($C$13="No","N/A",IF(Table157810[[#This Row],[Period]]=1,$C$6,PMT(InterestRate*AmortizationMultiplier/12,Table157810[[#This Row],[Am Thru]],-Table157810[[#This Row],[Beginning Balance]]))),0)</f>
        <v>0</v>
      </c>
      <c r="H81" s="3">
        <f>MAX(0,IF(C81=$C$4,D81,ROUND(IF($C$3="Fixed Principal",$C$6-Table157810[[#This Row],[Interest]],IF($C$3="Interest Only",Table157810[[#This Row],[Beginning Balance]]*ROUND(1-(1-IF($C$11="No",$E$8,1))^(1/12),6),MIN(IF($C$13="Yes",Table157810[[#This Row],[Payment Amount (Reamortized)]],$C$6)-Table157810[[#This Row],[Interest]],Table157810[[#This Row],[Beginning Balance]]))),2)))</f>
        <v>0</v>
      </c>
      <c r="I81" s="3">
        <f>_xlfn.SINGLE(IF($C$3="Line of Credit",0,ROUND(MAX(MIN(IF($C$10="No",$E$7,VLOOKUP(Table157810[[#This Row],[Period]],Forecast!$H$2:$L$1048576,4,FALSE))*Table157810[[#This Row],[Beginning Balance]],Table157810[[#This Row],[Beginning Balance]]-Table157810[[#This Row],[Principal]]),0),2)))</f>
        <v>0</v>
      </c>
      <c r="J81" s="3">
        <f>ROUND(MIN(Table157810[[#This Row],[Beginning Balance]]*IF($C$8="No",$E$3,VLOOKUP(Table157810[[#This Row],[Period]],Forecast!$H$2:$L$1048576,2,FALSE)),Table157810[[#This Row],[Beginning Balance]]-Table157810[[#This Row],[Principal]]-Table157810[[#This Row],[Prepayments]]),2)</f>
        <v>0</v>
      </c>
      <c r="K81" s="3">
        <f>ROUND(Table157810[[#This Row],[Defaulted Principal]]*IF($C$9="No",$E$4,VLOOKUP(Table157810[[#This Row],[Period]],Forecast!$H$2:$L$1048576,3,FALSE)),2)</f>
        <v>0</v>
      </c>
      <c r="L81" s="2">
        <f>Table157810[[#This Row],[Period]]+$E$9</f>
        <v>77</v>
      </c>
      <c r="M81" s="3">
        <f>Table157810[[#This Row],[Defaulted Principal]]-Table157810[[#This Row],[Estimated Loss]]</f>
        <v>0</v>
      </c>
      <c r="N81" s="3">
        <f>IFERROR(VLOOKUP(Table157810[[#This Row],[Period]],$L$16:$M$385,2,FALSE),0)</f>
        <v>3651.68</v>
      </c>
      <c r="O81" s="3">
        <f>Table157810[[#This Row],[Beginning Balance]]-Table157810[[#This Row],[Principal]]-Table157810[[#This Row],[Prepayments]]-Table157810[[#This Row],[Defaulted Principal]]</f>
        <v>0</v>
      </c>
      <c r="P81" s="3">
        <f>Table157810[[#This Row],[Principal]]+Table157810[[#This Row],[Interest]]+Table157810[[#This Row],[Prepayments]]+Table157810[[#This Row],[RecoveredAmount]]</f>
        <v>3651.68</v>
      </c>
      <c r="Q81" s="3">
        <f ca="1">ROUND(Table157810[[#This Row],[Cash Flow]]/((1+ActualRateToUse)^(IF(ISNUMBER(SEARCH("Actual",$C$7)),Table157810[[#This Row],[Running Total]]/365,Table157810[[#This Row],[Period]]/12))),2)</f>
        <v>2477.61</v>
      </c>
      <c r="R81" s="2">
        <f>IF(MONTH(Table157810[[#This Row],[Date]])=2,28,DAY(DATE(YEAR(Table157810[[#This Row],[Date]]),MONTH(Table157810[[#This Row],[Date]])+1,1)-1))</f>
        <v>30</v>
      </c>
      <c r="S81" s="2">
        <f ca="1">SUM(OFFSET(Table157810[[#Headers],[Days in month]],1,0):Table157810[[#This Row],[Days in month]])</f>
        <v>1978</v>
      </c>
      <c r="T81" s="37">
        <f>InterestRate*AmortizationMultiplier*IF(ISNUMBER(SEARCH("Actual",$C$7)),Table157810[[#This Row],[Days in month]]/365,1/12)</f>
        <v>5.7909166666666656E-3</v>
      </c>
    </row>
    <row r="82" spans="2:20" x14ac:dyDescent="0.2">
      <c r="B82" s="1">
        <v>47848</v>
      </c>
      <c r="C82" s="2">
        <f t="shared" si="1"/>
        <v>66</v>
      </c>
      <c r="D82" s="3">
        <f t="shared" ref="D82:D145" si="3">O81</f>
        <v>0</v>
      </c>
      <c r="E82" s="3">
        <f>ROUND(Table157810[[#This Row],[Beginning Balance]]*Table157810[[#This Row],[Monthly Interest Rate]],2)</f>
        <v>0</v>
      </c>
      <c r="F82" s="3">
        <f t="shared" si="2"/>
        <v>776</v>
      </c>
      <c r="G82" s="23">
        <f>IFERROR(IF($C$13="No","N/A",IF(Table157810[[#This Row],[Period]]=1,$C$6,PMT(InterestRate*AmortizationMultiplier/12,Table157810[[#This Row],[Am Thru]],-Table157810[[#This Row],[Beginning Balance]]))),0)</f>
        <v>0</v>
      </c>
      <c r="H82" s="3">
        <f>MAX(0,IF(C82=$C$4,D82,ROUND(IF($C$3="Fixed Principal",$C$6-Table157810[[#This Row],[Interest]],IF($C$3="Interest Only",Table157810[[#This Row],[Beginning Balance]]*ROUND(1-(1-IF($C$11="No",$E$8,1))^(1/12),6),MIN(IF($C$13="Yes",Table157810[[#This Row],[Payment Amount (Reamortized)]],$C$6)-Table157810[[#This Row],[Interest]],Table157810[[#This Row],[Beginning Balance]]))),2)))</f>
        <v>0</v>
      </c>
      <c r="I82" s="3">
        <f>_xlfn.SINGLE(IF($C$3="Line of Credit",0,ROUND(MAX(MIN(IF($C$10="No",$E$7,VLOOKUP(Table157810[[#This Row],[Period]],Forecast!$H$2:$L$1048576,4,FALSE))*Table157810[[#This Row],[Beginning Balance]],Table157810[[#This Row],[Beginning Balance]]-Table157810[[#This Row],[Principal]]),0),2)))</f>
        <v>0</v>
      </c>
      <c r="J82" s="3">
        <f>ROUND(MIN(Table157810[[#This Row],[Beginning Balance]]*IF($C$8="No",$E$3,VLOOKUP(Table157810[[#This Row],[Period]],Forecast!$H$2:$L$1048576,2,FALSE)),Table157810[[#This Row],[Beginning Balance]]-Table157810[[#This Row],[Principal]]-Table157810[[#This Row],[Prepayments]]),2)</f>
        <v>0</v>
      </c>
      <c r="K82" s="3">
        <f>ROUND(Table157810[[#This Row],[Defaulted Principal]]*IF($C$9="No",$E$4,VLOOKUP(Table157810[[#This Row],[Period]],Forecast!$H$2:$L$1048576,3,FALSE)),2)</f>
        <v>0</v>
      </c>
      <c r="L82" s="2">
        <f>Table157810[[#This Row],[Period]]+$E$9</f>
        <v>78</v>
      </c>
      <c r="M82" s="3">
        <f>Table157810[[#This Row],[Defaulted Principal]]-Table157810[[#This Row],[Estimated Loss]]</f>
        <v>0</v>
      </c>
      <c r="N82" s="3">
        <f>IFERROR(VLOOKUP(Table157810[[#This Row],[Period]],$L$16:$M$385,2,FALSE),0)</f>
        <v>3642.79</v>
      </c>
      <c r="O82" s="3">
        <f>Table157810[[#This Row],[Beginning Balance]]-Table157810[[#This Row],[Principal]]-Table157810[[#This Row],[Prepayments]]-Table157810[[#This Row],[Defaulted Principal]]</f>
        <v>0</v>
      </c>
      <c r="P82" s="3">
        <f>Table157810[[#This Row],[Principal]]+Table157810[[#This Row],[Interest]]+Table157810[[#This Row],[Prepayments]]+Table157810[[#This Row],[RecoveredAmount]]</f>
        <v>3642.79</v>
      </c>
      <c r="Q82" s="3">
        <f ca="1">ROUND(Table157810[[#This Row],[Cash Flow]]/((1+ActualRateToUse)^(IF(ISNUMBER(SEARCH("Actual",$C$7)),Table157810[[#This Row],[Running Total]]/365,Table157810[[#This Row],[Period]]/12))),2)</f>
        <v>2456.6</v>
      </c>
      <c r="R82" s="2">
        <f>IF(MONTH(Table157810[[#This Row],[Date]])=2,28,DAY(DATE(YEAR(Table157810[[#This Row],[Date]]),MONTH(Table157810[[#This Row],[Date]])+1,1)-1))</f>
        <v>31</v>
      </c>
      <c r="S82" s="2">
        <f ca="1">SUM(OFFSET(Table157810[[#Headers],[Days in month]],1,0):Table157810[[#This Row],[Days in month]])</f>
        <v>2009</v>
      </c>
      <c r="T82" s="37">
        <f>InterestRate*AmortizationMultiplier*IF(ISNUMBER(SEARCH("Actual",$C$7)),Table157810[[#This Row],[Days in month]]/365,1/12)</f>
        <v>5.9839472222222214E-3</v>
      </c>
    </row>
    <row r="83" spans="2:20" x14ac:dyDescent="0.2">
      <c r="B83" s="1">
        <v>47879</v>
      </c>
      <c r="C83" s="2">
        <f t="shared" ref="C83:C146" si="4">C82+1</f>
        <v>67</v>
      </c>
      <c r="D83" s="3">
        <f t="shared" si="3"/>
        <v>0</v>
      </c>
      <c r="E83" s="3">
        <f>ROUND(Table157810[[#This Row],[Beginning Balance]]*Table157810[[#This Row],[Monthly Interest Rate]],2)</f>
        <v>0</v>
      </c>
      <c r="F83" s="3">
        <f t="shared" ref="F83:F146" si="5">+F82-1</f>
        <v>775</v>
      </c>
      <c r="G83" s="23">
        <f>IFERROR(IF($C$13="No","N/A",IF(Table157810[[#This Row],[Period]]=1,$C$6,PMT(InterestRate*AmortizationMultiplier/12,Table157810[[#This Row],[Am Thru]],-Table157810[[#This Row],[Beginning Balance]]))),0)</f>
        <v>0</v>
      </c>
      <c r="H83" s="3">
        <f>MAX(0,IF(C83=$C$4,D83,ROUND(IF($C$3="Fixed Principal",$C$6-Table157810[[#This Row],[Interest]],IF($C$3="Interest Only",Table157810[[#This Row],[Beginning Balance]]*ROUND(1-(1-IF($C$11="No",$E$8,1))^(1/12),6),MIN(IF($C$13="Yes",Table157810[[#This Row],[Payment Amount (Reamortized)]],$C$6)-Table157810[[#This Row],[Interest]],Table157810[[#This Row],[Beginning Balance]]))),2)))</f>
        <v>0</v>
      </c>
      <c r="I83" s="3">
        <f>_xlfn.SINGLE(IF($C$3="Line of Credit",0,ROUND(MAX(MIN(IF($C$10="No",$E$7,VLOOKUP(Table157810[[#This Row],[Period]],Forecast!$H$2:$L$1048576,4,FALSE))*Table157810[[#This Row],[Beginning Balance]],Table157810[[#This Row],[Beginning Balance]]-Table157810[[#This Row],[Principal]]),0),2)))</f>
        <v>0</v>
      </c>
      <c r="J83" s="3">
        <f>ROUND(MIN(Table157810[[#This Row],[Beginning Balance]]*IF($C$8="No",$E$3,VLOOKUP(Table157810[[#This Row],[Period]],Forecast!$H$2:$L$1048576,2,FALSE)),Table157810[[#This Row],[Beginning Balance]]-Table157810[[#This Row],[Principal]]-Table157810[[#This Row],[Prepayments]]),2)</f>
        <v>0</v>
      </c>
      <c r="K83" s="3">
        <f>ROUND(Table157810[[#This Row],[Defaulted Principal]]*IF($C$9="No",$E$4,VLOOKUP(Table157810[[#This Row],[Period]],Forecast!$H$2:$L$1048576,3,FALSE)),2)</f>
        <v>0</v>
      </c>
      <c r="L83" s="2">
        <f>Table157810[[#This Row],[Period]]+$E$9</f>
        <v>79</v>
      </c>
      <c r="M83" s="3">
        <f>Table157810[[#This Row],[Defaulted Principal]]-Table157810[[#This Row],[Estimated Loss]]</f>
        <v>0</v>
      </c>
      <c r="N83" s="3">
        <f>IFERROR(VLOOKUP(Table157810[[#This Row],[Period]],$L$16:$M$385,2,FALSE),0)</f>
        <v>3633.9300000000003</v>
      </c>
      <c r="O83" s="3">
        <f>Table157810[[#This Row],[Beginning Balance]]-Table157810[[#This Row],[Principal]]-Table157810[[#This Row],[Prepayments]]-Table157810[[#This Row],[Defaulted Principal]]</f>
        <v>0</v>
      </c>
      <c r="P83" s="3">
        <f>Table157810[[#This Row],[Principal]]+Table157810[[#This Row],[Interest]]+Table157810[[#This Row],[Prepayments]]+Table157810[[#This Row],[RecoveredAmount]]</f>
        <v>3633.9300000000003</v>
      </c>
      <c r="Q83" s="3">
        <f ca="1">ROUND(Table157810[[#This Row],[Cash Flow]]/((1+ActualRateToUse)^(IF(ISNUMBER(SEARCH("Actual",$C$7)),Table157810[[#This Row],[Running Total]]/365,Table157810[[#This Row],[Period]]/12))),2)</f>
        <v>2435.77</v>
      </c>
      <c r="R83" s="2">
        <f>IF(MONTH(Table157810[[#This Row],[Date]])=2,28,DAY(DATE(YEAR(Table157810[[#This Row],[Date]]),MONTH(Table157810[[#This Row],[Date]])+1,1)-1))</f>
        <v>31</v>
      </c>
      <c r="S83" s="2">
        <f ca="1">SUM(OFFSET(Table157810[[#Headers],[Days in month]],1,0):Table157810[[#This Row],[Days in month]])</f>
        <v>2040</v>
      </c>
      <c r="T83" s="37">
        <f>InterestRate*AmortizationMultiplier*IF(ISNUMBER(SEARCH("Actual",$C$7)),Table157810[[#This Row],[Days in month]]/365,1/12)</f>
        <v>5.9839472222222214E-3</v>
      </c>
    </row>
    <row r="84" spans="2:20" x14ac:dyDescent="0.2">
      <c r="B84" s="1">
        <v>47907</v>
      </c>
      <c r="C84" s="2">
        <f t="shared" si="4"/>
        <v>68</v>
      </c>
      <c r="D84" s="3">
        <f t="shared" si="3"/>
        <v>0</v>
      </c>
      <c r="E84" s="3">
        <f>ROUND(Table157810[[#This Row],[Beginning Balance]]*Table157810[[#This Row],[Monthly Interest Rate]],2)</f>
        <v>0</v>
      </c>
      <c r="F84" s="3">
        <f t="shared" si="5"/>
        <v>774</v>
      </c>
      <c r="G84" s="23">
        <f>IFERROR(IF($C$13="No","N/A",IF(Table157810[[#This Row],[Period]]=1,$C$6,PMT(InterestRate*AmortizationMultiplier/12,Table157810[[#This Row],[Am Thru]],-Table157810[[#This Row],[Beginning Balance]]))),0)</f>
        <v>0</v>
      </c>
      <c r="H84" s="3">
        <f>MAX(0,IF(C84=$C$4,D84,ROUND(IF($C$3="Fixed Principal",$C$6-Table157810[[#This Row],[Interest]],IF($C$3="Interest Only",Table157810[[#This Row],[Beginning Balance]]*ROUND(1-(1-IF($C$11="No",$E$8,1))^(1/12),6),MIN(IF($C$13="Yes",Table157810[[#This Row],[Payment Amount (Reamortized)]],$C$6)-Table157810[[#This Row],[Interest]],Table157810[[#This Row],[Beginning Balance]]))),2)))</f>
        <v>0</v>
      </c>
      <c r="I84" s="3">
        <f>_xlfn.SINGLE(IF($C$3="Line of Credit",0,ROUND(MAX(MIN(IF($C$10="No",$E$7,VLOOKUP(Table157810[[#This Row],[Period]],Forecast!$H$2:$L$1048576,4,FALSE))*Table157810[[#This Row],[Beginning Balance]],Table157810[[#This Row],[Beginning Balance]]-Table157810[[#This Row],[Principal]]),0),2)))</f>
        <v>0</v>
      </c>
      <c r="J84" s="3">
        <f>ROUND(MIN(Table157810[[#This Row],[Beginning Balance]]*IF($C$8="No",$E$3,VLOOKUP(Table157810[[#This Row],[Period]],Forecast!$H$2:$L$1048576,2,FALSE)),Table157810[[#This Row],[Beginning Balance]]-Table157810[[#This Row],[Principal]]-Table157810[[#This Row],[Prepayments]]),2)</f>
        <v>0</v>
      </c>
      <c r="K84" s="3">
        <f>ROUND(Table157810[[#This Row],[Defaulted Principal]]*IF($C$9="No",$E$4,VLOOKUP(Table157810[[#This Row],[Period]],Forecast!$H$2:$L$1048576,3,FALSE)),2)</f>
        <v>0</v>
      </c>
      <c r="L84" s="2">
        <f>Table157810[[#This Row],[Period]]+$E$9</f>
        <v>80</v>
      </c>
      <c r="M84" s="3">
        <f>Table157810[[#This Row],[Defaulted Principal]]-Table157810[[#This Row],[Estimated Loss]]</f>
        <v>0</v>
      </c>
      <c r="N84" s="3">
        <f>IFERROR(VLOOKUP(Table157810[[#This Row],[Period]],$L$16:$M$385,2,FALSE),0)</f>
        <v>3625.0899999999997</v>
      </c>
      <c r="O84" s="3">
        <f>Table157810[[#This Row],[Beginning Balance]]-Table157810[[#This Row],[Principal]]-Table157810[[#This Row],[Prepayments]]-Table157810[[#This Row],[Defaulted Principal]]</f>
        <v>0</v>
      </c>
      <c r="P84" s="3">
        <f>Table157810[[#This Row],[Principal]]+Table157810[[#This Row],[Interest]]+Table157810[[#This Row],[Prepayments]]+Table157810[[#This Row],[RecoveredAmount]]</f>
        <v>3625.0899999999997</v>
      </c>
      <c r="Q84" s="3">
        <f ca="1">ROUND(Table157810[[#This Row],[Cash Flow]]/((1+ActualRateToUse)^(IF(ISNUMBER(SEARCH("Actual",$C$7)),Table157810[[#This Row],[Running Total]]/365,Table157810[[#This Row],[Period]]/12))),2)</f>
        <v>2416.54</v>
      </c>
      <c r="R84" s="2">
        <f>IF(MONTH(Table157810[[#This Row],[Date]])=2,28,DAY(DATE(YEAR(Table157810[[#This Row],[Date]]),MONTH(Table157810[[#This Row],[Date]])+1,1)-1))</f>
        <v>28</v>
      </c>
      <c r="S84" s="2">
        <f ca="1">SUM(OFFSET(Table157810[[#Headers],[Days in month]],1,0):Table157810[[#This Row],[Days in month]])</f>
        <v>2068</v>
      </c>
      <c r="T84" s="37">
        <f>InterestRate*AmortizationMultiplier*IF(ISNUMBER(SEARCH("Actual",$C$7)),Table157810[[#This Row],[Days in month]]/365,1/12)</f>
        <v>5.4048555555555548E-3</v>
      </c>
    </row>
    <row r="85" spans="2:20" x14ac:dyDescent="0.2">
      <c r="B85" s="1">
        <v>47938</v>
      </c>
      <c r="C85" s="2">
        <f t="shared" si="4"/>
        <v>69</v>
      </c>
      <c r="D85" s="3">
        <f t="shared" si="3"/>
        <v>0</v>
      </c>
      <c r="E85" s="3">
        <f>ROUND(Table157810[[#This Row],[Beginning Balance]]*Table157810[[#This Row],[Monthly Interest Rate]],2)</f>
        <v>0</v>
      </c>
      <c r="F85" s="3">
        <f t="shared" si="5"/>
        <v>773</v>
      </c>
      <c r="G85" s="23">
        <f>IFERROR(IF($C$13="No","N/A",IF(Table157810[[#This Row],[Period]]=1,$C$6,PMT(InterestRate*AmortizationMultiplier/12,Table157810[[#This Row],[Am Thru]],-Table157810[[#This Row],[Beginning Balance]]))),0)</f>
        <v>0</v>
      </c>
      <c r="H85" s="3">
        <f>MAX(0,IF(C85=$C$4,D85,ROUND(IF($C$3="Fixed Principal",$C$6-Table157810[[#This Row],[Interest]],IF($C$3="Interest Only",Table157810[[#This Row],[Beginning Balance]]*ROUND(1-(1-IF($C$11="No",$E$8,1))^(1/12),6),MIN(IF($C$13="Yes",Table157810[[#This Row],[Payment Amount (Reamortized)]],$C$6)-Table157810[[#This Row],[Interest]],Table157810[[#This Row],[Beginning Balance]]))),2)))</f>
        <v>0</v>
      </c>
      <c r="I85" s="3">
        <f>_xlfn.SINGLE(IF($C$3="Line of Credit",0,ROUND(MAX(MIN(IF($C$10="No",$E$7,VLOOKUP(Table157810[[#This Row],[Period]],Forecast!$H$2:$L$1048576,4,FALSE))*Table157810[[#This Row],[Beginning Balance]],Table157810[[#This Row],[Beginning Balance]]-Table157810[[#This Row],[Principal]]),0),2)))</f>
        <v>0</v>
      </c>
      <c r="J85" s="3">
        <f>ROUND(MIN(Table157810[[#This Row],[Beginning Balance]]*IF($C$8="No",$E$3,VLOOKUP(Table157810[[#This Row],[Period]],Forecast!$H$2:$L$1048576,2,FALSE)),Table157810[[#This Row],[Beginning Balance]]-Table157810[[#This Row],[Principal]]-Table157810[[#This Row],[Prepayments]]),2)</f>
        <v>0</v>
      </c>
      <c r="K85" s="3">
        <f>ROUND(Table157810[[#This Row],[Defaulted Principal]]*IF($C$9="No",$E$4,VLOOKUP(Table157810[[#This Row],[Period]],Forecast!$H$2:$L$1048576,3,FALSE)),2)</f>
        <v>0</v>
      </c>
      <c r="L85" s="2">
        <f>Table157810[[#This Row],[Period]]+$E$9</f>
        <v>81</v>
      </c>
      <c r="M85" s="3">
        <f>Table157810[[#This Row],[Defaulted Principal]]-Table157810[[#This Row],[Estimated Loss]]</f>
        <v>0</v>
      </c>
      <c r="N85" s="3">
        <f>IFERROR(VLOOKUP(Table157810[[#This Row],[Period]],$L$16:$M$385,2,FALSE),0)</f>
        <v>3616.27</v>
      </c>
      <c r="O85" s="3">
        <f>Table157810[[#This Row],[Beginning Balance]]-Table157810[[#This Row],[Principal]]-Table157810[[#This Row],[Prepayments]]-Table157810[[#This Row],[Defaulted Principal]]</f>
        <v>0</v>
      </c>
      <c r="P85" s="3">
        <f>Table157810[[#This Row],[Principal]]+Table157810[[#This Row],[Interest]]+Table157810[[#This Row],[Prepayments]]+Table157810[[#This Row],[RecoveredAmount]]</f>
        <v>3616.27</v>
      </c>
      <c r="Q85" s="3">
        <f ca="1">ROUND(Table157810[[#This Row],[Cash Flow]]/((1+ActualRateToUse)^(IF(ISNUMBER(SEARCH("Actual",$C$7)),Table157810[[#This Row],[Running Total]]/365,Table157810[[#This Row],[Period]]/12))),2)</f>
        <v>2396.0500000000002</v>
      </c>
      <c r="R85" s="2">
        <f>IF(MONTH(Table157810[[#This Row],[Date]])=2,28,DAY(DATE(YEAR(Table157810[[#This Row],[Date]]),MONTH(Table157810[[#This Row],[Date]])+1,1)-1))</f>
        <v>31</v>
      </c>
      <c r="S85" s="2">
        <f ca="1">SUM(OFFSET(Table157810[[#Headers],[Days in month]],1,0):Table157810[[#This Row],[Days in month]])</f>
        <v>2099</v>
      </c>
      <c r="T85" s="37">
        <f>InterestRate*AmortizationMultiplier*IF(ISNUMBER(SEARCH("Actual",$C$7)),Table157810[[#This Row],[Days in month]]/365,1/12)</f>
        <v>5.9839472222222214E-3</v>
      </c>
    </row>
    <row r="86" spans="2:20" x14ac:dyDescent="0.2">
      <c r="B86" s="1">
        <v>47968</v>
      </c>
      <c r="C86" s="2">
        <f t="shared" si="4"/>
        <v>70</v>
      </c>
      <c r="D86" s="3">
        <f t="shared" si="3"/>
        <v>0</v>
      </c>
      <c r="E86" s="3">
        <f>ROUND(Table157810[[#This Row],[Beginning Balance]]*Table157810[[#This Row],[Monthly Interest Rate]],2)</f>
        <v>0</v>
      </c>
      <c r="F86" s="3">
        <f t="shared" si="5"/>
        <v>772</v>
      </c>
      <c r="G86" s="23">
        <f>IFERROR(IF($C$13="No","N/A",IF(Table157810[[#This Row],[Period]]=1,$C$6,PMT(InterestRate*AmortizationMultiplier/12,Table157810[[#This Row],[Am Thru]],-Table157810[[#This Row],[Beginning Balance]]))),0)</f>
        <v>0</v>
      </c>
      <c r="H86" s="3">
        <f>MAX(0,IF(C86=$C$4,D86,ROUND(IF($C$3="Fixed Principal",$C$6-Table157810[[#This Row],[Interest]],IF($C$3="Interest Only",Table157810[[#This Row],[Beginning Balance]]*ROUND(1-(1-IF($C$11="No",$E$8,1))^(1/12),6),MIN(IF($C$13="Yes",Table157810[[#This Row],[Payment Amount (Reamortized)]],$C$6)-Table157810[[#This Row],[Interest]],Table157810[[#This Row],[Beginning Balance]]))),2)))</f>
        <v>0</v>
      </c>
      <c r="I86" s="3">
        <f>_xlfn.SINGLE(IF($C$3="Line of Credit",0,ROUND(MAX(MIN(IF($C$10="No",$E$7,VLOOKUP(Table157810[[#This Row],[Period]],Forecast!$H$2:$L$1048576,4,FALSE))*Table157810[[#This Row],[Beginning Balance]],Table157810[[#This Row],[Beginning Balance]]-Table157810[[#This Row],[Principal]]),0),2)))</f>
        <v>0</v>
      </c>
      <c r="J86" s="3">
        <f>ROUND(MIN(Table157810[[#This Row],[Beginning Balance]]*IF($C$8="No",$E$3,VLOOKUP(Table157810[[#This Row],[Period]],Forecast!$H$2:$L$1048576,2,FALSE)),Table157810[[#This Row],[Beginning Balance]]-Table157810[[#This Row],[Principal]]-Table157810[[#This Row],[Prepayments]]),2)</f>
        <v>0</v>
      </c>
      <c r="K86" s="3">
        <f>ROUND(Table157810[[#This Row],[Defaulted Principal]]*IF($C$9="No",$E$4,VLOOKUP(Table157810[[#This Row],[Period]],Forecast!$H$2:$L$1048576,3,FALSE)),2)</f>
        <v>0</v>
      </c>
      <c r="L86" s="2">
        <f>Table157810[[#This Row],[Period]]+$E$9</f>
        <v>82</v>
      </c>
      <c r="M86" s="3">
        <f>Table157810[[#This Row],[Defaulted Principal]]-Table157810[[#This Row],[Estimated Loss]]</f>
        <v>0</v>
      </c>
      <c r="N86" s="3">
        <f>IFERROR(VLOOKUP(Table157810[[#This Row],[Period]],$L$16:$M$385,2,FALSE),0)</f>
        <v>0</v>
      </c>
      <c r="O86" s="3">
        <f>Table157810[[#This Row],[Beginning Balance]]-Table157810[[#This Row],[Principal]]-Table157810[[#This Row],[Prepayments]]-Table157810[[#This Row],[Defaulted Principal]]</f>
        <v>0</v>
      </c>
      <c r="P86" s="3">
        <f>Table157810[[#This Row],[Principal]]+Table157810[[#This Row],[Interest]]+Table157810[[#This Row],[Prepayments]]+Table157810[[#This Row],[RecoveredAmount]]</f>
        <v>0</v>
      </c>
      <c r="Q86" s="3">
        <f ca="1">ROUND(Table157810[[#This Row],[Cash Flow]]/((1+ActualRateToUse)^(IF(ISNUMBER(SEARCH("Actual",$C$7)),Table157810[[#This Row],[Running Total]]/365,Table157810[[#This Row],[Period]]/12))),2)</f>
        <v>0</v>
      </c>
      <c r="R86" s="2">
        <f>IF(MONTH(Table157810[[#This Row],[Date]])=2,28,DAY(DATE(YEAR(Table157810[[#This Row],[Date]]),MONTH(Table157810[[#This Row],[Date]])+1,1)-1))</f>
        <v>30</v>
      </c>
      <c r="S86" s="2">
        <f ca="1">SUM(OFFSET(Table157810[[#Headers],[Days in month]],1,0):Table157810[[#This Row],[Days in month]])</f>
        <v>2129</v>
      </c>
      <c r="T86" s="37">
        <f>InterestRate*AmortizationMultiplier*IF(ISNUMBER(SEARCH("Actual",$C$7)),Table157810[[#This Row],[Days in month]]/365,1/12)</f>
        <v>5.7909166666666656E-3</v>
      </c>
    </row>
    <row r="87" spans="2:20" x14ac:dyDescent="0.2">
      <c r="B87" s="1">
        <v>47999</v>
      </c>
      <c r="C87" s="2">
        <f t="shared" si="4"/>
        <v>71</v>
      </c>
      <c r="D87" s="3">
        <f t="shared" si="3"/>
        <v>0</v>
      </c>
      <c r="E87" s="3">
        <f>ROUND(Table157810[[#This Row],[Beginning Balance]]*Table157810[[#This Row],[Monthly Interest Rate]],2)</f>
        <v>0</v>
      </c>
      <c r="F87" s="3">
        <f t="shared" si="5"/>
        <v>771</v>
      </c>
      <c r="G87" s="23">
        <f>IFERROR(IF($C$13="No","N/A",IF(Table157810[[#This Row],[Period]]=1,$C$6,PMT(InterestRate*AmortizationMultiplier/12,Table157810[[#This Row],[Am Thru]],-Table157810[[#This Row],[Beginning Balance]]))),0)</f>
        <v>0</v>
      </c>
      <c r="H87" s="3">
        <f>MAX(0,IF(C87=$C$4,D87,ROUND(IF($C$3="Fixed Principal",$C$6-Table157810[[#This Row],[Interest]],IF($C$3="Interest Only",Table157810[[#This Row],[Beginning Balance]]*ROUND(1-(1-IF($C$11="No",$E$8,1))^(1/12),6),MIN(IF($C$13="Yes",Table157810[[#This Row],[Payment Amount (Reamortized)]],$C$6)-Table157810[[#This Row],[Interest]],Table157810[[#This Row],[Beginning Balance]]))),2)))</f>
        <v>0</v>
      </c>
      <c r="I87" s="3">
        <f>_xlfn.SINGLE(IF($C$3="Line of Credit",0,ROUND(MAX(MIN(IF($C$10="No",$E$7,VLOOKUP(Table157810[[#This Row],[Period]],Forecast!$H$2:$L$1048576,4,FALSE))*Table157810[[#This Row],[Beginning Balance]],Table157810[[#This Row],[Beginning Balance]]-Table157810[[#This Row],[Principal]]),0),2)))</f>
        <v>0</v>
      </c>
      <c r="J87" s="3">
        <f>ROUND(MIN(Table157810[[#This Row],[Beginning Balance]]*IF($C$8="No",$E$3,VLOOKUP(Table157810[[#This Row],[Period]],Forecast!$H$2:$L$1048576,2,FALSE)),Table157810[[#This Row],[Beginning Balance]]-Table157810[[#This Row],[Principal]]-Table157810[[#This Row],[Prepayments]]),2)</f>
        <v>0</v>
      </c>
      <c r="K87" s="3">
        <f>ROUND(Table157810[[#This Row],[Defaulted Principal]]*IF($C$9="No",$E$4,VLOOKUP(Table157810[[#This Row],[Period]],Forecast!$H$2:$L$1048576,3,FALSE)),2)</f>
        <v>0</v>
      </c>
      <c r="L87" s="2">
        <f>Table157810[[#This Row],[Period]]+$E$9</f>
        <v>83</v>
      </c>
      <c r="M87" s="3">
        <f>Table157810[[#This Row],[Defaulted Principal]]-Table157810[[#This Row],[Estimated Loss]]</f>
        <v>0</v>
      </c>
      <c r="N87" s="3">
        <f>IFERROR(VLOOKUP(Table157810[[#This Row],[Period]],$L$16:$M$385,2,FALSE),0)</f>
        <v>0</v>
      </c>
      <c r="O87" s="3">
        <f>Table157810[[#This Row],[Beginning Balance]]-Table157810[[#This Row],[Principal]]-Table157810[[#This Row],[Prepayments]]-Table157810[[#This Row],[Defaulted Principal]]</f>
        <v>0</v>
      </c>
      <c r="P87" s="3">
        <f>Table157810[[#This Row],[Principal]]+Table157810[[#This Row],[Interest]]+Table157810[[#This Row],[Prepayments]]+Table157810[[#This Row],[RecoveredAmount]]</f>
        <v>0</v>
      </c>
      <c r="Q87" s="3">
        <f ca="1">ROUND(Table157810[[#This Row],[Cash Flow]]/((1+ActualRateToUse)^(IF(ISNUMBER(SEARCH("Actual",$C$7)),Table157810[[#This Row],[Running Total]]/365,Table157810[[#This Row],[Period]]/12))),2)</f>
        <v>0</v>
      </c>
      <c r="R87" s="2">
        <f>IF(MONTH(Table157810[[#This Row],[Date]])=2,28,DAY(DATE(YEAR(Table157810[[#This Row],[Date]]),MONTH(Table157810[[#This Row],[Date]])+1,1)-1))</f>
        <v>31</v>
      </c>
      <c r="S87" s="2">
        <f ca="1">SUM(OFFSET(Table157810[[#Headers],[Days in month]],1,0):Table157810[[#This Row],[Days in month]])</f>
        <v>2160</v>
      </c>
      <c r="T87" s="37">
        <f>InterestRate*AmortizationMultiplier*IF(ISNUMBER(SEARCH("Actual",$C$7)),Table157810[[#This Row],[Days in month]]/365,1/12)</f>
        <v>5.9839472222222214E-3</v>
      </c>
    </row>
    <row r="88" spans="2:20" x14ac:dyDescent="0.2">
      <c r="B88" s="1">
        <v>48029</v>
      </c>
      <c r="C88" s="2">
        <f t="shared" si="4"/>
        <v>72</v>
      </c>
      <c r="D88" s="3">
        <f t="shared" si="3"/>
        <v>0</v>
      </c>
      <c r="E88" s="3">
        <f>ROUND(Table157810[[#This Row],[Beginning Balance]]*Table157810[[#This Row],[Monthly Interest Rate]],2)</f>
        <v>0</v>
      </c>
      <c r="F88" s="3">
        <f t="shared" si="5"/>
        <v>770</v>
      </c>
      <c r="G88" s="23">
        <f>IFERROR(IF($C$13="No","N/A",IF(Table157810[[#This Row],[Period]]=1,$C$6,PMT(InterestRate*AmortizationMultiplier/12,Table157810[[#This Row],[Am Thru]],-Table157810[[#This Row],[Beginning Balance]]))),0)</f>
        <v>0</v>
      </c>
      <c r="H88" s="3">
        <f>MAX(0,IF(C88=$C$4,D88,ROUND(IF($C$3="Fixed Principal",$C$6-Table157810[[#This Row],[Interest]],IF($C$3="Interest Only",Table157810[[#This Row],[Beginning Balance]]*ROUND(1-(1-IF($C$11="No",$E$8,1))^(1/12),6),MIN(IF($C$13="Yes",Table157810[[#This Row],[Payment Amount (Reamortized)]],$C$6)-Table157810[[#This Row],[Interest]],Table157810[[#This Row],[Beginning Balance]]))),2)))</f>
        <v>0</v>
      </c>
      <c r="I88" s="3">
        <f>_xlfn.SINGLE(IF($C$3="Line of Credit",0,ROUND(MAX(MIN(IF($C$10="No",$E$7,VLOOKUP(Table157810[[#This Row],[Period]],Forecast!$H$2:$L$1048576,4,FALSE))*Table157810[[#This Row],[Beginning Balance]],Table157810[[#This Row],[Beginning Balance]]-Table157810[[#This Row],[Principal]]),0),2)))</f>
        <v>0</v>
      </c>
      <c r="J88" s="3">
        <f>ROUND(MIN(Table157810[[#This Row],[Beginning Balance]]*IF($C$8="No",$E$3,VLOOKUP(Table157810[[#This Row],[Period]],Forecast!$H$2:$L$1048576,2,FALSE)),Table157810[[#This Row],[Beginning Balance]]-Table157810[[#This Row],[Principal]]-Table157810[[#This Row],[Prepayments]]),2)</f>
        <v>0</v>
      </c>
      <c r="K88" s="3">
        <f>ROUND(Table157810[[#This Row],[Defaulted Principal]]*IF($C$9="No",$E$4,VLOOKUP(Table157810[[#This Row],[Period]],Forecast!$H$2:$L$1048576,3,FALSE)),2)</f>
        <v>0</v>
      </c>
      <c r="L88" s="2">
        <f>Table157810[[#This Row],[Period]]+$E$9</f>
        <v>84</v>
      </c>
      <c r="M88" s="3">
        <f>Table157810[[#This Row],[Defaulted Principal]]-Table157810[[#This Row],[Estimated Loss]]</f>
        <v>0</v>
      </c>
      <c r="N88" s="3">
        <f>IFERROR(VLOOKUP(Table157810[[#This Row],[Period]],$L$16:$M$385,2,FALSE),0)</f>
        <v>0</v>
      </c>
      <c r="O88" s="3">
        <f>Table157810[[#This Row],[Beginning Balance]]-Table157810[[#This Row],[Principal]]-Table157810[[#This Row],[Prepayments]]-Table157810[[#This Row],[Defaulted Principal]]</f>
        <v>0</v>
      </c>
      <c r="P88" s="3">
        <f>Table157810[[#This Row],[Principal]]+Table157810[[#This Row],[Interest]]+Table157810[[#This Row],[Prepayments]]+Table157810[[#This Row],[RecoveredAmount]]</f>
        <v>0</v>
      </c>
      <c r="Q88" s="3">
        <f ca="1">ROUND(Table157810[[#This Row],[Cash Flow]]/((1+ActualRateToUse)^(IF(ISNUMBER(SEARCH("Actual",$C$7)),Table157810[[#This Row],[Running Total]]/365,Table157810[[#This Row],[Period]]/12))),2)</f>
        <v>0</v>
      </c>
      <c r="R88" s="2">
        <f>IF(MONTH(Table157810[[#This Row],[Date]])=2,28,DAY(DATE(YEAR(Table157810[[#This Row],[Date]]),MONTH(Table157810[[#This Row],[Date]])+1,1)-1))</f>
        <v>30</v>
      </c>
      <c r="S88" s="2">
        <f ca="1">SUM(OFFSET(Table157810[[#Headers],[Days in month]],1,0):Table157810[[#This Row],[Days in month]])</f>
        <v>2190</v>
      </c>
      <c r="T88" s="37">
        <f>InterestRate*AmortizationMultiplier*IF(ISNUMBER(SEARCH("Actual",$C$7)),Table157810[[#This Row],[Days in month]]/365,1/12)</f>
        <v>5.7909166666666656E-3</v>
      </c>
    </row>
    <row r="89" spans="2:20" x14ac:dyDescent="0.2">
      <c r="B89" s="1">
        <v>48060</v>
      </c>
      <c r="C89" s="2">
        <f t="shared" si="4"/>
        <v>73</v>
      </c>
      <c r="D89" s="3">
        <f t="shared" si="3"/>
        <v>0</v>
      </c>
      <c r="E89" s="3">
        <f>ROUND(Table157810[[#This Row],[Beginning Balance]]*Table157810[[#This Row],[Monthly Interest Rate]],2)</f>
        <v>0</v>
      </c>
      <c r="F89" s="3">
        <f t="shared" si="5"/>
        <v>769</v>
      </c>
      <c r="G89" s="23">
        <f>IFERROR(IF($C$13="No","N/A",IF(Table157810[[#This Row],[Period]]=1,$C$6,PMT(InterestRate*AmortizationMultiplier/12,Table157810[[#This Row],[Am Thru]],-Table157810[[#This Row],[Beginning Balance]]))),0)</f>
        <v>0</v>
      </c>
      <c r="H89" s="3">
        <f>MAX(0,IF(C89=$C$4,D89,ROUND(IF($C$3="Fixed Principal",$C$6-Table157810[[#This Row],[Interest]],IF($C$3="Interest Only",Table157810[[#This Row],[Beginning Balance]]*ROUND(1-(1-IF($C$11="No",$E$8,1))^(1/12),6),MIN(IF($C$13="Yes",Table157810[[#This Row],[Payment Amount (Reamortized)]],$C$6)-Table157810[[#This Row],[Interest]],Table157810[[#This Row],[Beginning Balance]]))),2)))</f>
        <v>0</v>
      </c>
      <c r="I89" s="3">
        <f>_xlfn.SINGLE(IF($C$3="Line of Credit",0,ROUND(MAX(MIN(IF($C$10="No",$E$7,VLOOKUP(Table157810[[#This Row],[Period]],Forecast!$H$2:$L$1048576,4,FALSE))*Table157810[[#This Row],[Beginning Balance]],Table157810[[#This Row],[Beginning Balance]]-Table157810[[#This Row],[Principal]]),0),2)))</f>
        <v>0</v>
      </c>
      <c r="J89" s="3">
        <f>ROUND(MIN(Table157810[[#This Row],[Beginning Balance]]*IF($C$8="No",$E$3,VLOOKUP(Table157810[[#This Row],[Period]],Forecast!$H$2:$L$1048576,2,FALSE)),Table157810[[#This Row],[Beginning Balance]]-Table157810[[#This Row],[Principal]]-Table157810[[#This Row],[Prepayments]]),2)</f>
        <v>0</v>
      </c>
      <c r="K89" s="3">
        <f>ROUND(Table157810[[#This Row],[Defaulted Principal]]*IF($C$9="No",$E$4,VLOOKUP(Table157810[[#This Row],[Period]],Forecast!$H$2:$L$1048576,3,FALSE)),2)</f>
        <v>0</v>
      </c>
      <c r="L89" s="2">
        <f>Table157810[[#This Row],[Period]]+$E$9</f>
        <v>85</v>
      </c>
      <c r="M89" s="3">
        <f>Table157810[[#This Row],[Defaulted Principal]]-Table157810[[#This Row],[Estimated Loss]]</f>
        <v>0</v>
      </c>
      <c r="N89" s="3">
        <f>IFERROR(VLOOKUP(Table157810[[#This Row],[Period]],$L$16:$M$385,2,FALSE),0)</f>
        <v>0</v>
      </c>
      <c r="O89" s="3">
        <f>Table157810[[#This Row],[Beginning Balance]]-Table157810[[#This Row],[Principal]]-Table157810[[#This Row],[Prepayments]]-Table157810[[#This Row],[Defaulted Principal]]</f>
        <v>0</v>
      </c>
      <c r="P89" s="3">
        <f>Table157810[[#This Row],[Principal]]+Table157810[[#This Row],[Interest]]+Table157810[[#This Row],[Prepayments]]+Table157810[[#This Row],[RecoveredAmount]]</f>
        <v>0</v>
      </c>
      <c r="Q89" s="3">
        <f ca="1">ROUND(Table157810[[#This Row],[Cash Flow]]/((1+ActualRateToUse)^(IF(ISNUMBER(SEARCH("Actual",$C$7)),Table157810[[#This Row],[Running Total]]/365,Table157810[[#This Row],[Period]]/12))),2)</f>
        <v>0</v>
      </c>
      <c r="R89" s="2">
        <f>IF(MONTH(Table157810[[#This Row],[Date]])=2,28,DAY(DATE(YEAR(Table157810[[#This Row],[Date]]),MONTH(Table157810[[#This Row],[Date]])+1,1)-1))</f>
        <v>31</v>
      </c>
      <c r="S89" s="2">
        <f ca="1">SUM(OFFSET(Table157810[[#Headers],[Days in month]],1,0):Table157810[[#This Row],[Days in month]])</f>
        <v>2221</v>
      </c>
      <c r="T89" s="37">
        <f>InterestRate*AmortizationMultiplier*IF(ISNUMBER(SEARCH("Actual",$C$7)),Table157810[[#This Row],[Days in month]]/365,1/12)</f>
        <v>5.9839472222222214E-3</v>
      </c>
    </row>
    <row r="90" spans="2:20" x14ac:dyDescent="0.2">
      <c r="B90" s="1">
        <v>48091</v>
      </c>
      <c r="C90" s="2">
        <f t="shared" si="4"/>
        <v>74</v>
      </c>
      <c r="D90" s="3">
        <f t="shared" si="3"/>
        <v>0</v>
      </c>
      <c r="E90" s="3">
        <f>ROUND(Table157810[[#This Row],[Beginning Balance]]*Table157810[[#This Row],[Monthly Interest Rate]],2)</f>
        <v>0</v>
      </c>
      <c r="F90" s="3">
        <f t="shared" si="5"/>
        <v>768</v>
      </c>
      <c r="G90" s="23">
        <f>IFERROR(IF($C$13="No","N/A",IF(Table157810[[#This Row],[Period]]=1,$C$6,PMT(InterestRate*AmortizationMultiplier/12,Table157810[[#This Row],[Am Thru]],-Table157810[[#This Row],[Beginning Balance]]))),0)</f>
        <v>0</v>
      </c>
      <c r="H90" s="3">
        <f>MAX(0,IF(C90=$C$4,D90,ROUND(IF($C$3="Fixed Principal",$C$6-Table157810[[#This Row],[Interest]],IF($C$3="Interest Only",Table157810[[#This Row],[Beginning Balance]]*ROUND(1-(1-IF($C$11="No",$E$8,1))^(1/12),6),MIN(IF($C$13="Yes",Table157810[[#This Row],[Payment Amount (Reamortized)]],$C$6)-Table157810[[#This Row],[Interest]],Table157810[[#This Row],[Beginning Balance]]))),2)))</f>
        <v>0</v>
      </c>
      <c r="I90" s="3">
        <f>_xlfn.SINGLE(IF($C$3="Line of Credit",0,ROUND(MAX(MIN(IF($C$10="No",$E$7,VLOOKUP(Table157810[[#This Row],[Period]],Forecast!$H$2:$L$1048576,4,FALSE))*Table157810[[#This Row],[Beginning Balance]],Table157810[[#This Row],[Beginning Balance]]-Table157810[[#This Row],[Principal]]),0),2)))</f>
        <v>0</v>
      </c>
      <c r="J90" s="3">
        <f>ROUND(MIN(Table157810[[#This Row],[Beginning Balance]]*IF($C$8="No",$E$3,VLOOKUP(Table157810[[#This Row],[Period]],Forecast!$H$2:$L$1048576,2,FALSE)),Table157810[[#This Row],[Beginning Balance]]-Table157810[[#This Row],[Principal]]-Table157810[[#This Row],[Prepayments]]),2)</f>
        <v>0</v>
      </c>
      <c r="K90" s="3">
        <f>ROUND(Table157810[[#This Row],[Defaulted Principal]]*IF($C$9="No",$E$4,VLOOKUP(Table157810[[#This Row],[Period]],Forecast!$H$2:$L$1048576,3,FALSE)),2)</f>
        <v>0</v>
      </c>
      <c r="L90" s="2">
        <f>Table157810[[#This Row],[Period]]+$E$9</f>
        <v>86</v>
      </c>
      <c r="M90" s="3">
        <f>Table157810[[#This Row],[Defaulted Principal]]-Table157810[[#This Row],[Estimated Loss]]</f>
        <v>0</v>
      </c>
      <c r="N90" s="3">
        <f>IFERROR(VLOOKUP(Table157810[[#This Row],[Period]],$L$16:$M$385,2,FALSE),0)</f>
        <v>0</v>
      </c>
      <c r="O90" s="3">
        <f>Table157810[[#This Row],[Beginning Balance]]-Table157810[[#This Row],[Principal]]-Table157810[[#This Row],[Prepayments]]-Table157810[[#This Row],[Defaulted Principal]]</f>
        <v>0</v>
      </c>
      <c r="P90" s="3">
        <f>Table157810[[#This Row],[Principal]]+Table157810[[#This Row],[Interest]]+Table157810[[#This Row],[Prepayments]]+Table157810[[#This Row],[RecoveredAmount]]</f>
        <v>0</v>
      </c>
      <c r="Q90" s="3">
        <f ca="1">ROUND(Table157810[[#This Row],[Cash Flow]]/((1+ActualRateToUse)^(IF(ISNUMBER(SEARCH("Actual",$C$7)),Table157810[[#This Row],[Running Total]]/365,Table157810[[#This Row],[Period]]/12))),2)</f>
        <v>0</v>
      </c>
      <c r="R90" s="2">
        <f>IF(MONTH(Table157810[[#This Row],[Date]])=2,28,DAY(DATE(YEAR(Table157810[[#This Row],[Date]]),MONTH(Table157810[[#This Row],[Date]])+1,1)-1))</f>
        <v>31</v>
      </c>
      <c r="S90" s="2">
        <f ca="1">SUM(OFFSET(Table157810[[#Headers],[Days in month]],1,0):Table157810[[#This Row],[Days in month]])</f>
        <v>2252</v>
      </c>
      <c r="T90" s="37">
        <f>InterestRate*AmortizationMultiplier*IF(ISNUMBER(SEARCH("Actual",$C$7)),Table157810[[#This Row],[Days in month]]/365,1/12)</f>
        <v>5.9839472222222214E-3</v>
      </c>
    </row>
    <row r="91" spans="2:20" x14ac:dyDescent="0.2">
      <c r="B91" s="1">
        <v>48121</v>
      </c>
      <c r="C91" s="2">
        <f t="shared" si="4"/>
        <v>75</v>
      </c>
      <c r="D91" s="3">
        <f t="shared" si="3"/>
        <v>0</v>
      </c>
      <c r="E91" s="3">
        <f>ROUND(Table157810[[#This Row],[Beginning Balance]]*Table157810[[#This Row],[Monthly Interest Rate]],2)</f>
        <v>0</v>
      </c>
      <c r="F91" s="3">
        <f t="shared" si="5"/>
        <v>767</v>
      </c>
      <c r="G91" s="23">
        <f>IFERROR(IF($C$13="No","N/A",IF(Table157810[[#This Row],[Period]]=1,$C$6,PMT(InterestRate*AmortizationMultiplier/12,Table157810[[#This Row],[Am Thru]],-Table157810[[#This Row],[Beginning Balance]]))),0)</f>
        <v>0</v>
      </c>
      <c r="H91" s="3">
        <f>MAX(0,IF(C91=$C$4,D91,ROUND(IF($C$3="Fixed Principal",$C$6-Table157810[[#This Row],[Interest]],IF($C$3="Interest Only",Table157810[[#This Row],[Beginning Balance]]*ROUND(1-(1-IF($C$11="No",$E$8,1))^(1/12),6),MIN(IF($C$13="Yes",Table157810[[#This Row],[Payment Amount (Reamortized)]],$C$6)-Table157810[[#This Row],[Interest]],Table157810[[#This Row],[Beginning Balance]]))),2)))</f>
        <v>0</v>
      </c>
      <c r="I91" s="3">
        <f>_xlfn.SINGLE(IF($C$3="Line of Credit",0,ROUND(MAX(MIN(IF($C$10="No",$E$7,VLOOKUP(Table157810[[#This Row],[Period]],Forecast!$H$2:$L$1048576,4,FALSE))*Table157810[[#This Row],[Beginning Balance]],Table157810[[#This Row],[Beginning Balance]]-Table157810[[#This Row],[Principal]]),0),2)))</f>
        <v>0</v>
      </c>
      <c r="J91" s="3">
        <f>ROUND(MIN(Table157810[[#This Row],[Beginning Balance]]*IF($C$8="No",$E$3,VLOOKUP(Table157810[[#This Row],[Period]],Forecast!$H$2:$L$1048576,2,FALSE)),Table157810[[#This Row],[Beginning Balance]]-Table157810[[#This Row],[Principal]]-Table157810[[#This Row],[Prepayments]]),2)</f>
        <v>0</v>
      </c>
      <c r="K91" s="3">
        <f>ROUND(Table157810[[#This Row],[Defaulted Principal]]*IF($C$9="No",$E$4,VLOOKUP(Table157810[[#This Row],[Period]],Forecast!$H$2:$L$1048576,3,FALSE)),2)</f>
        <v>0</v>
      </c>
      <c r="L91" s="2">
        <f>Table157810[[#This Row],[Period]]+$E$9</f>
        <v>87</v>
      </c>
      <c r="M91" s="3">
        <f>Table157810[[#This Row],[Defaulted Principal]]-Table157810[[#This Row],[Estimated Loss]]</f>
        <v>0</v>
      </c>
      <c r="N91" s="3">
        <f>IFERROR(VLOOKUP(Table157810[[#This Row],[Period]],$L$16:$M$385,2,FALSE),0)</f>
        <v>0</v>
      </c>
      <c r="O91" s="3">
        <f>Table157810[[#This Row],[Beginning Balance]]-Table157810[[#This Row],[Principal]]-Table157810[[#This Row],[Prepayments]]-Table157810[[#This Row],[Defaulted Principal]]</f>
        <v>0</v>
      </c>
      <c r="P91" s="3">
        <f>Table157810[[#This Row],[Principal]]+Table157810[[#This Row],[Interest]]+Table157810[[#This Row],[Prepayments]]+Table157810[[#This Row],[RecoveredAmount]]</f>
        <v>0</v>
      </c>
      <c r="Q91" s="3">
        <f ca="1">ROUND(Table157810[[#This Row],[Cash Flow]]/((1+ActualRateToUse)^(IF(ISNUMBER(SEARCH("Actual",$C$7)),Table157810[[#This Row],[Running Total]]/365,Table157810[[#This Row],[Period]]/12))),2)</f>
        <v>0</v>
      </c>
      <c r="R91" s="2">
        <f>IF(MONTH(Table157810[[#This Row],[Date]])=2,28,DAY(DATE(YEAR(Table157810[[#This Row],[Date]]),MONTH(Table157810[[#This Row],[Date]])+1,1)-1))</f>
        <v>30</v>
      </c>
      <c r="S91" s="2">
        <f ca="1">SUM(OFFSET(Table157810[[#Headers],[Days in month]],1,0):Table157810[[#This Row],[Days in month]])</f>
        <v>2282</v>
      </c>
      <c r="T91" s="37">
        <f>InterestRate*AmortizationMultiplier*IF(ISNUMBER(SEARCH("Actual",$C$7)),Table157810[[#This Row],[Days in month]]/365,1/12)</f>
        <v>5.7909166666666656E-3</v>
      </c>
    </row>
    <row r="92" spans="2:20" x14ac:dyDescent="0.2">
      <c r="B92" s="1">
        <v>48152</v>
      </c>
      <c r="C92" s="2">
        <f t="shared" si="4"/>
        <v>76</v>
      </c>
      <c r="D92" s="3">
        <f t="shared" si="3"/>
        <v>0</v>
      </c>
      <c r="E92" s="3">
        <f>ROUND(Table157810[[#This Row],[Beginning Balance]]*Table157810[[#This Row],[Monthly Interest Rate]],2)</f>
        <v>0</v>
      </c>
      <c r="F92" s="3">
        <f t="shared" si="5"/>
        <v>766</v>
      </c>
      <c r="G92" s="23">
        <f>IFERROR(IF($C$13="No","N/A",IF(Table157810[[#This Row],[Period]]=1,$C$6,PMT(InterestRate*AmortizationMultiplier/12,Table157810[[#This Row],[Am Thru]],-Table157810[[#This Row],[Beginning Balance]]))),0)</f>
        <v>0</v>
      </c>
      <c r="H92" s="3">
        <f>MAX(0,IF(C92=$C$4,D92,ROUND(IF($C$3="Fixed Principal",$C$6-Table157810[[#This Row],[Interest]],IF($C$3="Interest Only",Table157810[[#This Row],[Beginning Balance]]*ROUND(1-(1-IF($C$11="No",$E$8,1))^(1/12),6),MIN(IF($C$13="Yes",Table157810[[#This Row],[Payment Amount (Reamortized)]],$C$6)-Table157810[[#This Row],[Interest]],Table157810[[#This Row],[Beginning Balance]]))),2)))</f>
        <v>0</v>
      </c>
      <c r="I92" s="3">
        <f>_xlfn.SINGLE(IF($C$3="Line of Credit",0,ROUND(MAX(MIN(IF($C$10="No",$E$7,VLOOKUP(Table157810[[#This Row],[Period]],Forecast!$H$2:$L$1048576,4,FALSE))*Table157810[[#This Row],[Beginning Balance]],Table157810[[#This Row],[Beginning Balance]]-Table157810[[#This Row],[Principal]]),0),2)))</f>
        <v>0</v>
      </c>
      <c r="J92" s="3">
        <f>ROUND(MIN(Table157810[[#This Row],[Beginning Balance]]*IF($C$8="No",$E$3,VLOOKUP(Table157810[[#This Row],[Period]],Forecast!$H$2:$L$1048576,2,FALSE)),Table157810[[#This Row],[Beginning Balance]]-Table157810[[#This Row],[Principal]]-Table157810[[#This Row],[Prepayments]]),2)</f>
        <v>0</v>
      </c>
      <c r="K92" s="3">
        <f>ROUND(Table157810[[#This Row],[Defaulted Principal]]*IF($C$9="No",$E$4,VLOOKUP(Table157810[[#This Row],[Period]],Forecast!$H$2:$L$1048576,3,FALSE)),2)</f>
        <v>0</v>
      </c>
      <c r="L92" s="2">
        <f>Table157810[[#This Row],[Period]]+$E$9</f>
        <v>88</v>
      </c>
      <c r="M92" s="3">
        <f>Table157810[[#This Row],[Defaulted Principal]]-Table157810[[#This Row],[Estimated Loss]]</f>
        <v>0</v>
      </c>
      <c r="N92" s="3">
        <f>IFERROR(VLOOKUP(Table157810[[#This Row],[Period]],$L$16:$M$385,2,FALSE),0)</f>
        <v>0</v>
      </c>
      <c r="O92" s="3">
        <f>Table157810[[#This Row],[Beginning Balance]]-Table157810[[#This Row],[Principal]]-Table157810[[#This Row],[Prepayments]]-Table157810[[#This Row],[Defaulted Principal]]</f>
        <v>0</v>
      </c>
      <c r="P92" s="3">
        <f>Table157810[[#This Row],[Principal]]+Table157810[[#This Row],[Interest]]+Table157810[[#This Row],[Prepayments]]+Table157810[[#This Row],[RecoveredAmount]]</f>
        <v>0</v>
      </c>
      <c r="Q92" s="3">
        <f ca="1">ROUND(Table157810[[#This Row],[Cash Flow]]/((1+ActualRateToUse)^(IF(ISNUMBER(SEARCH("Actual",$C$7)),Table157810[[#This Row],[Running Total]]/365,Table157810[[#This Row],[Period]]/12))),2)</f>
        <v>0</v>
      </c>
      <c r="R92" s="2">
        <f>IF(MONTH(Table157810[[#This Row],[Date]])=2,28,DAY(DATE(YEAR(Table157810[[#This Row],[Date]]),MONTH(Table157810[[#This Row],[Date]])+1,1)-1))</f>
        <v>31</v>
      </c>
      <c r="S92" s="2">
        <f ca="1">SUM(OFFSET(Table157810[[#Headers],[Days in month]],1,0):Table157810[[#This Row],[Days in month]])</f>
        <v>2313</v>
      </c>
      <c r="T92" s="37">
        <f>InterestRate*AmortizationMultiplier*IF(ISNUMBER(SEARCH("Actual",$C$7)),Table157810[[#This Row],[Days in month]]/365,1/12)</f>
        <v>5.9839472222222214E-3</v>
      </c>
    </row>
    <row r="93" spans="2:20" x14ac:dyDescent="0.2">
      <c r="B93" s="1">
        <v>48182</v>
      </c>
      <c r="C93" s="2">
        <f t="shared" si="4"/>
        <v>77</v>
      </c>
      <c r="D93" s="3">
        <f t="shared" si="3"/>
        <v>0</v>
      </c>
      <c r="E93" s="3">
        <f>ROUND(Table157810[[#This Row],[Beginning Balance]]*Table157810[[#This Row],[Monthly Interest Rate]],2)</f>
        <v>0</v>
      </c>
      <c r="F93" s="3">
        <f t="shared" si="5"/>
        <v>765</v>
      </c>
      <c r="G93" s="23">
        <f>IFERROR(IF($C$13="No","N/A",IF(Table157810[[#This Row],[Period]]=1,$C$6,PMT(InterestRate*AmortizationMultiplier/12,Table157810[[#This Row],[Am Thru]],-Table157810[[#This Row],[Beginning Balance]]))),0)</f>
        <v>0</v>
      </c>
      <c r="H93" s="3">
        <f>MAX(0,IF(C93=$C$4,D93,ROUND(IF($C$3="Fixed Principal",$C$6-Table157810[[#This Row],[Interest]],IF($C$3="Interest Only",Table157810[[#This Row],[Beginning Balance]]*ROUND(1-(1-IF($C$11="No",$E$8,1))^(1/12),6),MIN(IF($C$13="Yes",Table157810[[#This Row],[Payment Amount (Reamortized)]],$C$6)-Table157810[[#This Row],[Interest]],Table157810[[#This Row],[Beginning Balance]]))),2)))</f>
        <v>0</v>
      </c>
      <c r="I93" s="3">
        <f>_xlfn.SINGLE(IF($C$3="Line of Credit",0,ROUND(MAX(MIN(IF($C$10="No",$E$7,VLOOKUP(Table157810[[#This Row],[Period]],Forecast!$H$2:$L$1048576,4,FALSE))*Table157810[[#This Row],[Beginning Balance]],Table157810[[#This Row],[Beginning Balance]]-Table157810[[#This Row],[Principal]]),0),2)))</f>
        <v>0</v>
      </c>
      <c r="J93" s="3">
        <f>ROUND(MIN(Table157810[[#This Row],[Beginning Balance]]*IF($C$8="No",$E$3,VLOOKUP(Table157810[[#This Row],[Period]],Forecast!$H$2:$L$1048576,2,FALSE)),Table157810[[#This Row],[Beginning Balance]]-Table157810[[#This Row],[Principal]]-Table157810[[#This Row],[Prepayments]]),2)</f>
        <v>0</v>
      </c>
      <c r="K93" s="3">
        <f>ROUND(Table157810[[#This Row],[Defaulted Principal]]*IF($C$9="No",$E$4,VLOOKUP(Table157810[[#This Row],[Period]],Forecast!$H$2:$L$1048576,3,FALSE)),2)</f>
        <v>0</v>
      </c>
      <c r="L93" s="2">
        <f>Table157810[[#This Row],[Period]]+$E$9</f>
        <v>89</v>
      </c>
      <c r="M93" s="3">
        <f>Table157810[[#This Row],[Defaulted Principal]]-Table157810[[#This Row],[Estimated Loss]]</f>
        <v>0</v>
      </c>
      <c r="N93" s="3">
        <f>IFERROR(VLOOKUP(Table157810[[#This Row],[Period]],$L$16:$M$385,2,FALSE),0)</f>
        <v>0</v>
      </c>
      <c r="O93" s="3">
        <f>Table157810[[#This Row],[Beginning Balance]]-Table157810[[#This Row],[Principal]]-Table157810[[#This Row],[Prepayments]]-Table157810[[#This Row],[Defaulted Principal]]</f>
        <v>0</v>
      </c>
      <c r="P93" s="3">
        <f>Table157810[[#This Row],[Principal]]+Table157810[[#This Row],[Interest]]+Table157810[[#This Row],[Prepayments]]+Table157810[[#This Row],[RecoveredAmount]]</f>
        <v>0</v>
      </c>
      <c r="Q93" s="3">
        <f ca="1">ROUND(Table157810[[#This Row],[Cash Flow]]/((1+ActualRateToUse)^(IF(ISNUMBER(SEARCH("Actual",$C$7)),Table157810[[#This Row],[Running Total]]/365,Table157810[[#This Row],[Period]]/12))),2)</f>
        <v>0</v>
      </c>
      <c r="R93" s="2">
        <f>IF(MONTH(Table157810[[#This Row],[Date]])=2,28,DAY(DATE(YEAR(Table157810[[#This Row],[Date]]),MONTH(Table157810[[#This Row],[Date]])+1,1)-1))</f>
        <v>30</v>
      </c>
      <c r="S93" s="2">
        <f ca="1">SUM(OFFSET(Table157810[[#Headers],[Days in month]],1,0):Table157810[[#This Row],[Days in month]])</f>
        <v>2343</v>
      </c>
      <c r="T93" s="37">
        <f>InterestRate*AmortizationMultiplier*IF(ISNUMBER(SEARCH("Actual",$C$7)),Table157810[[#This Row],[Days in month]]/365,1/12)</f>
        <v>5.7909166666666656E-3</v>
      </c>
    </row>
    <row r="94" spans="2:20" x14ac:dyDescent="0.2">
      <c r="B94" s="1">
        <v>48213</v>
      </c>
      <c r="C94" s="2">
        <f t="shared" si="4"/>
        <v>78</v>
      </c>
      <c r="D94" s="3">
        <f t="shared" si="3"/>
        <v>0</v>
      </c>
      <c r="E94" s="3">
        <f>ROUND(Table157810[[#This Row],[Beginning Balance]]*Table157810[[#This Row],[Monthly Interest Rate]],2)</f>
        <v>0</v>
      </c>
      <c r="F94" s="3">
        <f t="shared" si="5"/>
        <v>764</v>
      </c>
      <c r="G94" s="23">
        <f>IFERROR(IF($C$13="No","N/A",IF(Table157810[[#This Row],[Period]]=1,$C$6,PMT(InterestRate*AmortizationMultiplier/12,Table157810[[#This Row],[Am Thru]],-Table157810[[#This Row],[Beginning Balance]]))),0)</f>
        <v>0</v>
      </c>
      <c r="H94" s="3">
        <f>MAX(0,IF(C94=$C$4,D94,ROUND(IF($C$3="Fixed Principal",$C$6-Table157810[[#This Row],[Interest]],IF($C$3="Interest Only",Table157810[[#This Row],[Beginning Balance]]*ROUND(1-(1-IF($C$11="No",$E$8,1))^(1/12),6),MIN(IF($C$13="Yes",Table157810[[#This Row],[Payment Amount (Reamortized)]],$C$6)-Table157810[[#This Row],[Interest]],Table157810[[#This Row],[Beginning Balance]]))),2)))</f>
        <v>0</v>
      </c>
      <c r="I94" s="3">
        <f>_xlfn.SINGLE(IF($C$3="Line of Credit",0,ROUND(MAX(MIN(IF($C$10="No",$E$7,VLOOKUP(Table157810[[#This Row],[Period]],Forecast!$H$2:$L$1048576,4,FALSE))*Table157810[[#This Row],[Beginning Balance]],Table157810[[#This Row],[Beginning Balance]]-Table157810[[#This Row],[Principal]]),0),2)))</f>
        <v>0</v>
      </c>
      <c r="J94" s="3">
        <f>ROUND(MIN(Table157810[[#This Row],[Beginning Balance]]*IF($C$8="No",$E$3,VLOOKUP(Table157810[[#This Row],[Period]],Forecast!$H$2:$L$1048576,2,FALSE)),Table157810[[#This Row],[Beginning Balance]]-Table157810[[#This Row],[Principal]]-Table157810[[#This Row],[Prepayments]]),2)</f>
        <v>0</v>
      </c>
      <c r="K94" s="3">
        <f>ROUND(Table157810[[#This Row],[Defaulted Principal]]*IF($C$9="No",$E$4,VLOOKUP(Table157810[[#This Row],[Period]],Forecast!$H$2:$L$1048576,3,FALSE)),2)</f>
        <v>0</v>
      </c>
      <c r="L94" s="2">
        <f>Table157810[[#This Row],[Period]]+$E$9</f>
        <v>90</v>
      </c>
      <c r="M94" s="3">
        <f>Table157810[[#This Row],[Defaulted Principal]]-Table157810[[#This Row],[Estimated Loss]]</f>
        <v>0</v>
      </c>
      <c r="N94" s="3">
        <f>IFERROR(VLOOKUP(Table157810[[#This Row],[Period]],$L$16:$M$385,2,FALSE),0)</f>
        <v>0</v>
      </c>
      <c r="O94" s="3">
        <f>Table157810[[#This Row],[Beginning Balance]]-Table157810[[#This Row],[Principal]]-Table157810[[#This Row],[Prepayments]]-Table157810[[#This Row],[Defaulted Principal]]</f>
        <v>0</v>
      </c>
      <c r="P94" s="3">
        <f>Table157810[[#This Row],[Principal]]+Table157810[[#This Row],[Interest]]+Table157810[[#This Row],[Prepayments]]+Table157810[[#This Row],[RecoveredAmount]]</f>
        <v>0</v>
      </c>
      <c r="Q94" s="3">
        <f ca="1">ROUND(Table157810[[#This Row],[Cash Flow]]/((1+ActualRateToUse)^(IF(ISNUMBER(SEARCH("Actual",$C$7)),Table157810[[#This Row],[Running Total]]/365,Table157810[[#This Row],[Period]]/12))),2)</f>
        <v>0</v>
      </c>
      <c r="R94" s="2">
        <f>IF(MONTH(Table157810[[#This Row],[Date]])=2,28,DAY(DATE(YEAR(Table157810[[#This Row],[Date]]),MONTH(Table157810[[#This Row],[Date]])+1,1)-1))</f>
        <v>31</v>
      </c>
      <c r="S94" s="2">
        <f ca="1">SUM(OFFSET(Table157810[[#Headers],[Days in month]],1,0):Table157810[[#This Row],[Days in month]])</f>
        <v>2374</v>
      </c>
      <c r="T94" s="37">
        <f>InterestRate*AmortizationMultiplier*IF(ISNUMBER(SEARCH("Actual",$C$7)),Table157810[[#This Row],[Days in month]]/365,1/12)</f>
        <v>5.9839472222222214E-3</v>
      </c>
    </row>
    <row r="95" spans="2:20" x14ac:dyDescent="0.2">
      <c r="B95" s="1">
        <v>48244</v>
      </c>
      <c r="C95" s="2">
        <f t="shared" si="4"/>
        <v>79</v>
      </c>
      <c r="D95" s="3">
        <f t="shared" si="3"/>
        <v>0</v>
      </c>
      <c r="E95" s="3">
        <f>ROUND(Table157810[[#This Row],[Beginning Balance]]*Table157810[[#This Row],[Monthly Interest Rate]],2)</f>
        <v>0</v>
      </c>
      <c r="F95" s="3">
        <f t="shared" si="5"/>
        <v>763</v>
      </c>
      <c r="G95" s="23">
        <f>IFERROR(IF($C$13="No","N/A",IF(Table157810[[#This Row],[Period]]=1,$C$6,PMT(InterestRate*AmortizationMultiplier/12,Table157810[[#This Row],[Am Thru]],-Table157810[[#This Row],[Beginning Balance]]))),0)</f>
        <v>0</v>
      </c>
      <c r="H95" s="3">
        <f>MAX(0,IF(C95=$C$4,D95,ROUND(IF($C$3="Fixed Principal",$C$6-Table157810[[#This Row],[Interest]],IF($C$3="Interest Only",Table157810[[#This Row],[Beginning Balance]]*ROUND(1-(1-IF($C$11="No",$E$8,1))^(1/12),6),MIN(IF($C$13="Yes",Table157810[[#This Row],[Payment Amount (Reamortized)]],$C$6)-Table157810[[#This Row],[Interest]],Table157810[[#This Row],[Beginning Balance]]))),2)))</f>
        <v>0</v>
      </c>
      <c r="I95" s="3">
        <f>_xlfn.SINGLE(IF($C$3="Line of Credit",0,ROUND(MAX(MIN(IF($C$10="No",$E$7,VLOOKUP(Table157810[[#This Row],[Period]],Forecast!$H$2:$L$1048576,4,FALSE))*Table157810[[#This Row],[Beginning Balance]],Table157810[[#This Row],[Beginning Balance]]-Table157810[[#This Row],[Principal]]),0),2)))</f>
        <v>0</v>
      </c>
      <c r="J95" s="3">
        <f>ROUND(MIN(Table157810[[#This Row],[Beginning Balance]]*IF($C$8="No",$E$3,VLOOKUP(Table157810[[#This Row],[Period]],Forecast!$H$2:$L$1048576,2,FALSE)),Table157810[[#This Row],[Beginning Balance]]-Table157810[[#This Row],[Principal]]-Table157810[[#This Row],[Prepayments]]),2)</f>
        <v>0</v>
      </c>
      <c r="K95" s="3">
        <f>ROUND(Table157810[[#This Row],[Defaulted Principal]]*IF($C$9="No",$E$4,VLOOKUP(Table157810[[#This Row],[Period]],Forecast!$H$2:$L$1048576,3,FALSE)),2)</f>
        <v>0</v>
      </c>
      <c r="L95" s="2">
        <f>Table157810[[#This Row],[Period]]+$E$9</f>
        <v>91</v>
      </c>
      <c r="M95" s="3">
        <f>Table157810[[#This Row],[Defaulted Principal]]-Table157810[[#This Row],[Estimated Loss]]</f>
        <v>0</v>
      </c>
      <c r="N95" s="3">
        <f>IFERROR(VLOOKUP(Table157810[[#This Row],[Period]],$L$16:$M$385,2,FALSE),0)</f>
        <v>0</v>
      </c>
      <c r="O95" s="3">
        <f>Table157810[[#This Row],[Beginning Balance]]-Table157810[[#This Row],[Principal]]-Table157810[[#This Row],[Prepayments]]-Table157810[[#This Row],[Defaulted Principal]]</f>
        <v>0</v>
      </c>
      <c r="P95" s="3">
        <f>Table157810[[#This Row],[Principal]]+Table157810[[#This Row],[Interest]]+Table157810[[#This Row],[Prepayments]]+Table157810[[#This Row],[RecoveredAmount]]</f>
        <v>0</v>
      </c>
      <c r="Q95" s="3">
        <f ca="1">ROUND(Table157810[[#This Row],[Cash Flow]]/((1+ActualRateToUse)^(IF(ISNUMBER(SEARCH("Actual",$C$7)),Table157810[[#This Row],[Running Total]]/365,Table157810[[#This Row],[Period]]/12))),2)</f>
        <v>0</v>
      </c>
      <c r="R95" s="2">
        <f>IF(MONTH(Table157810[[#This Row],[Date]])=2,28,DAY(DATE(YEAR(Table157810[[#This Row],[Date]]),MONTH(Table157810[[#This Row],[Date]])+1,1)-1))</f>
        <v>31</v>
      </c>
      <c r="S95" s="2">
        <f ca="1">SUM(OFFSET(Table157810[[#Headers],[Days in month]],1,0):Table157810[[#This Row],[Days in month]])</f>
        <v>2405</v>
      </c>
      <c r="T95" s="37">
        <f>InterestRate*AmortizationMultiplier*IF(ISNUMBER(SEARCH("Actual",$C$7)),Table157810[[#This Row],[Days in month]]/365,1/12)</f>
        <v>5.9839472222222214E-3</v>
      </c>
    </row>
    <row r="96" spans="2:20" x14ac:dyDescent="0.2">
      <c r="B96" s="1">
        <v>48273</v>
      </c>
      <c r="C96" s="2">
        <f t="shared" si="4"/>
        <v>80</v>
      </c>
      <c r="D96" s="3">
        <f t="shared" si="3"/>
        <v>0</v>
      </c>
      <c r="E96" s="3">
        <f>ROUND(Table157810[[#This Row],[Beginning Balance]]*Table157810[[#This Row],[Monthly Interest Rate]],2)</f>
        <v>0</v>
      </c>
      <c r="F96" s="3">
        <f t="shared" si="5"/>
        <v>762</v>
      </c>
      <c r="G96" s="23">
        <f>IFERROR(IF($C$13="No","N/A",IF(Table157810[[#This Row],[Period]]=1,$C$6,PMT(InterestRate*AmortizationMultiplier/12,Table157810[[#This Row],[Am Thru]],-Table157810[[#This Row],[Beginning Balance]]))),0)</f>
        <v>0</v>
      </c>
      <c r="H96" s="3">
        <f>MAX(0,IF(C96=$C$4,D96,ROUND(IF($C$3="Fixed Principal",$C$6-Table157810[[#This Row],[Interest]],IF($C$3="Interest Only",Table157810[[#This Row],[Beginning Balance]]*ROUND(1-(1-IF($C$11="No",$E$8,1))^(1/12),6),MIN(IF($C$13="Yes",Table157810[[#This Row],[Payment Amount (Reamortized)]],$C$6)-Table157810[[#This Row],[Interest]],Table157810[[#This Row],[Beginning Balance]]))),2)))</f>
        <v>0</v>
      </c>
      <c r="I96" s="3">
        <f>_xlfn.SINGLE(IF($C$3="Line of Credit",0,ROUND(MAX(MIN(IF($C$10="No",$E$7,VLOOKUP(Table157810[[#This Row],[Period]],Forecast!$H$2:$L$1048576,4,FALSE))*Table157810[[#This Row],[Beginning Balance]],Table157810[[#This Row],[Beginning Balance]]-Table157810[[#This Row],[Principal]]),0),2)))</f>
        <v>0</v>
      </c>
      <c r="J96" s="3">
        <f>ROUND(MIN(Table157810[[#This Row],[Beginning Balance]]*IF($C$8="No",$E$3,VLOOKUP(Table157810[[#This Row],[Period]],Forecast!$H$2:$L$1048576,2,FALSE)),Table157810[[#This Row],[Beginning Balance]]-Table157810[[#This Row],[Principal]]-Table157810[[#This Row],[Prepayments]]),2)</f>
        <v>0</v>
      </c>
      <c r="K96" s="3">
        <f>ROUND(Table157810[[#This Row],[Defaulted Principal]]*IF($C$9="No",$E$4,VLOOKUP(Table157810[[#This Row],[Period]],Forecast!$H$2:$L$1048576,3,FALSE)),2)</f>
        <v>0</v>
      </c>
      <c r="L96" s="2">
        <f>Table157810[[#This Row],[Period]]+$E$9</f>
        <v>92</v>
      </c>
      <c r="M96" s="3">
        <f>Table157810[[#This Row],[Defaulted Principal]]-Table157810[[#This Row],[Estimated Loss]]</f>
        <v>0</v>
      </c>
      <c r="N96" s="3">
        <f>IFERROR(VLOOKUP(Table157810[[#This Row],[Period]],$L$16:$M$385,2,FALSE),0)</f>
        <v>0</v>
      </c>
      <c r="O96" s="3">
        <f>Table157810[[#This Row],[Beginning Balance]]-Table157810[[#This Row],[Principal]]-Table157810[[#This Row],[Prepayments]]-Table157810[[#This Row],[Defaulted Principal]]</f>
        <v>0</v>
      </c>
      <c r="P96" s="3">
        <f>Table157810[[#This Row],[Principal]]+Table157810[[#This Row],[Interest]]+Table157810[[#This Row],[Prepayments]]+Table157810[[#This Row],[RecoveredAmount]]</f>
        <v>0</v>
      </c>
      <c r="Q96" s="3">
        <f ca="1">ROUND(Table157810[[#This Row],[Cash Flow]]/((1+ActualRateToUse)^(IF(ISNUMBER(SEARCH("Actual",$C$7)),Table157810[[#This Row],[Running Total]]/365,Table157810[[#This Row],[Period]]/12))),2)</f>
        <v>0</v>
      </c>
      <c r="R96" s="2">
        <f>IF(MONTH(Table157810[[#This Row],[Date]])=2,28,DAY(DATE(YEAR(Table157810[[#This Row],[Date]]),MONTH(Table157810[[#This Row],[Date]])+1,1)-1))</f>
        <v>28</v>
      </c>
      <c r="S96" s="2">
        <f ca="1">SUM(OFFSET(Table157810[[#Headers],[Days in month]],1,0):Table157810[[#This Row],[Days in month]])</f>
        <v>2433</v>
      </c>
      <c r="T96" s="37">
        <f>InterestRate*AmortizationMultiplier*IF(ISNUMBER(SEARCH("Actual",$C$7)),Table157810[[#This Row],[Days in month]]/365,1/12)</f>
        <v>5.4048555555555548E-3</v>
      </c>
    </row>
    <row r="97" spans="2:20" x14ac:dyDescent="0.2">
      <c r="B97" s="1">
        <v>48304</v>
      </c>
      <c r="C97" s="2">
        <f t="shared" si="4"/>
        <v>81</v>
      </c>
      <c r="D97" s="3">
        <f t="shared" si="3"/>
        <v>0</v>
      </c>
      <c r="E97" s="3">
        <f>ROUND(Table157810[[#This Row],[Beginning Balance]]*Table157810[[#This Row],[Monthly Interest Rate]],2)</f>
        <v>0</v>
      </c>
      <c r="F97" s="3">
        <f t="shared" si="5"/>
        <v>761</v>
      </c>
      <c r="G97" s="23">
        <f>IFERROR(IF($C$13="No","N/A",IF(Table157810[[#This Row],[Period]]=1,$C$6,PMT(InterestRate*AmortizationMultiplier/12,Table157810[[#This Row],[Am Thru]],-Table157810[[#This Row],[Beginning Balance]]))),0)</f>
        <v>0</v>
      </c>
      <c r="H97" s="3">
        <f>MAX(0,IF(C97=$C$4,D97,ROUND(IF($C$3="Fixed Principal",$C$6-Table157810[[#This Row],[Interest]],IF($C$3="Interest Only",Table157810[[#This Row],[Beginning Balance]]*ROUND(1-(1-IF($C$11="No",$E$8,1))^(1/12),6),MIN(IF($C$13="Yes",Table157810[[#This Row],[Payment Amount (Reamortized)]],$C$6)-Table157810[[#This Row],[Interest]],Table157810[[#This Row],[Beginning Balance]]))),2)))</f>
        <v>0</v>
      </c>
      <c r="I97" s="3">
        <f>_xlfn.SINGLE(IF($C$3="Line of Credit",0,ROUND(MAX(MIN(IF($C$10="No",$E$7,VLOOKUP(Table157810[[#This Row],[Period]],Forecast!$H$2:$L$1048576,4,FALSE))*Table157810[[#This Row],[Beginning Balance]],Table157810[[#This Row],[Beginning Balance]]-Table157810[[#This Row],[Principal]]),0),2)))</f>
        <v>0</v>
      </c>
      <c r="J97" s="3">
        <f>ROUND(MIN(Table157810[[#This Row],[Beginning Balance]]*IF($C$8="No",$E$3,VLOOKUP(Table157810[[#This Row],[Period]],Forecast!$H$2:$L$1048576,2,FALSE)),Table157810[[#This Row],[Beginning Balance]]-Table157810[[#This Row],[Principal]]-Table157810[[#This Row],[Prepayments]]),2)</f>
        <v>0</v>
      </c>
      <c r="K97" s="3">
        <f>ROUND(Table157810[[#This Row],[Defaulted Principal]]*IF($C$9="No",$E$4,VLOOKUP(Table157810[[#This Row],[Period]],Forecast!$H$2:$L$1048576,3,FALSE)),2)</f>
        <v>0</v>
      </c>
      <c r="L97" s="2">
        <f>Table157810[[#This Row],[Period]]+$E$9</f>
        <v>93</v>
      </c>
      <c r="M97" s="3">
        <f>Table157810[[#This Row],[Defaulted Principal]]-Table157810[[#This Row],[Estimated Loss]]</f>
        <v>0</v>
      </c>
      <c r="N97" s="3">
        <f>IFERROR(VLOOKUP(Table157810[[#This Row],[Period]],$L$16:$M$385,2,FALSE),0)</f>
        <v>0</v>
      </c>
      <c r="O97" s="3">
        <f>Table157810[[#This Row],[Beginning Balance]]-Table157810[[#This Row],[Principal]]-Table157810[[#This Row],[Prepayments]]-Table157810[[#This Row],[Defaulted Principal]]</f>
        <v>0</v>
      </c>
      <c r="P97" s="3">
        <f>Table157810[[#This Row],[Principal]]+Table157810[[#This Row],[Interest]]+Table157810[[#This Row],[Prepayments]]+Table157810[[#This Row],[RecoveredAmount]]</f>
        <v>0</v>
      </c>
      <c r="Q97" s="3">
        <f ca="1">ROUND(Table157810[[#This Row],[Cash Flow]]/((1+ActualRateToUse)^(IF(ISNUMBER(SEARCH("Actual",$C$7)),Table157810[[#This Row],[Running Total]]/365,Table157810[[#This Row],[Period]]/12))),2)</f>
        <v>0</v>
      </c>
      <c r="R97" s="2">
        <f>IF(MONTH(Table157810[[#This Row],[Date]])=2,28,DAY(DATE(YEAR(Table157810[[#This Row],[Date]]),MONTH(Table157810[[#This Row],[Date]])+1,1)-1))</f>
        <v>31</v>
      </c>
      <c r="S97" s="2">
        <f ca="1">SUM(OFFSET(Table157810[[#Headers],[Days in month]],1,0):Table157810[[#This Row],[Days in month]])</f>
        <v>2464</v>
      </c>
      <c r="T97" s="37">
        <f>InterestRate*AmortizationMultiplier*IF(ISNUMBER(SEARCH("Actual",$C$7)),Table157810[[#This Row],[Days in month]]/365,1/12)</f>
        <v>5.9839472222222214E-3</v>
      </c>
    </row>
    <row r="98" spans="2:20" x14ac:dyDescent="0.2">
      <c r="B98" s="1">
        <v>48334</v>
      </c>
      <c r="C98" s="2">
        <f t="shared" si="4"/>
        <v>82</v>
      </c>
      <c r="D98" s="3">
        <f t="shared" si="3"/>
        <v>0</v>
      </c>
      <c r="E98" s="3">
        <f>ROUND(Table157810[[#This Row],[Beginning Balance]]*Table157810[[#This Row],[Monthly Interest Rate]],2)</f>
        <v>0</v>
      </c>
      <c r="F98" s="3">
        <f t="shared" si="5"/>
        <v>760</v>
      </c>
      <c r="G98" s="23">
        <f>IFERROR(IF($C$13="No","N/A",IF(Table157810[[#This Row],[Period]]=1,$C$6,PMT(InterestRate*AmortizationMultiplier/12,Table157810[[#This Row],[Am Thru]],-Table157810[[#This Row],[Beginning Balance]]))),0)</f>
        <v>0</v>
      </c>
      <c r="H98" s="3">
        <f>MAX(0,IF(C98=$C$4,D98,ROUND(IF($C$3="Fixed Principal",$C$6-Table157810[[#This Row],[Interest]],IF($C$3="Interest Only",Table157810[[#This Row],[Beginning Balance]]*ROUND(1-(1-IF($C$11="No",$E$8,1))^(1/12),6),MIN(IF($C$13="Yes",Table157810[[#This Row],[Payment Amount (Reamortized)]],$C$6)-Table157810[[#This Row],[Interest]],Table157810[[#This Row],[Beginning Balance]]))),2)))</f>
        <v>0</v>
      </c>
      <c r="I98" s="3">
        <f>_xlfn.SINGLE(IF($C$3="Line of Credit",0,ROUND(MAX(MIN(IF($C$10="No",$E$7,VLOOKUP(Table157810[[#This Row],[Period]],Forecast!$H$2:$L$1048576,4,FALSE))*Table157810[[#This Row],[Beginning Balance]],Table157810[[#This Row],[Beginning Balance]]-Table157810[[#This Row],[Principal]]),0),2)))</f>
        <v>0</v>
      </c>
      <c r="J98" s="3">
        <f>ROUND(MIN(Table157810[[#This Row],[Beginning Balance]]*IF($C$8="No",$E$3,VLOOKUP(Table157810[[#This Row],[Period]],Forecast!$H$2:$L$1048576,2,FALSE)),Table157810[[#This Row],[Beginning Balance]]-Table157810[[#This Row],[Principal]]-Table157810[[#This Row],[Prepayments]]),2)</f>
        <v>0</v>
      </c>
      <c r="K98" s="3">
        <f>ROUND(Table157810[[#This Row],[Defaulted Principal]]*IF($C$9="No",$E$4,VLOOKUP(Table157810[[#This Row],[Period]],Forecast!$H$2:$L$1048576,3,FALSE)),2)</f>
        <v>0</v>
      </c>
      <c r="L98" s="2">
        <f>Table157810[[#This Row],[Period]]+$E$9</f>
        <v>94</v>
      </c>
      <c r="M98" s="3">
        <f>Table157810[[#This Row],[Defaulted Principal]]-Table157810[[#This Row],[Estimated Loss]]</f>
        <v>0</v>
      </c>
      <c r="N98" s="3">
        <f>IFERROR(VLOOKUP(Table157810[[#This Row],[Period]],$L$16:$M$385,2,FALSE),0)</f>
        <v>0</v>
      </c>
      <c r="O98" s="3">
        <f>Table157810[[#This Row],[Beginning Balance]]-Table157810[[#This Row],[Principal]]-Table157810[[#This Row],[Prepayments]]-Table157810[[#This Row],[Defaulted Principal]]</f>
        <v>0</v>
      </c>
      <c r="P98" s="3">
        <f>Table157810[[#This Row],[Principal]]+Table157810[[#This Row],[Interest]]+Table157810[[#This Row],[Prepayments]]+Table157810[[#This Row],[RecoveredAmount]]</f>
        <v>0</v>
      </c>
      <c r="Q98" s="3">
        <f ca="1">ROUND(Table157810[[#This Row],[Cash Flow]]/((1+ActualRateToUse)^(IF(ISNUMBER(SEARCH("Actual",$C$7)),Table157810[[#This Row],[Running Total]]/365,Table157810[[#This Row],[Period]]/12))),2)</f>
        <v>0</v>
      </c>
      <c r="R98" s="2">
        <f>IF(MONTH(Table157810[[#This Row],[Date]])=2,28,DAY(DATE(YEAR(Table157810[[#This Row],[Date]]),MONTH(Table157810[[#This Row],[Date]])+1,1)-1))</f>
        <v>30</v>
      </c>
      <c r="S98" s="2">
        <f ca="1">SUM(OFFSET(Table157810[[#Headers],[Days in month]],1,0):Table157810[[#This Row],[Days in month]])</f>
        <v>2494</v>
      </c>
      <c r="T98" s="37">
        <f>InterestRate*AmortizationMultiplier*IF(ISNUMBER(SEARCH("Actual",$C$7)),Table157810[[#This Row],[Days in month]]/365,1/12)</f>
        <v>5.7909166666666656E-3</v>
      </c>
    </row>
    <row r="99" spans="2:20" x14ac:dyDescent="0.2">
      <c r="B99" s="1">
        <v>48365</v>
      </c>
      <c r="C99" s="2">
        <f t="shared" si="4"/>
        <v>83</v>
      </c>
      <c r="D99" s="3">
        <f t="shared" si="3"/>
        <v>0</v>
      </c>
      <c r="E99" s="3">
        <f>ROUND(Table157810[[#This Row],[Beginning Balance]]*Table157810[[#This Row],[Monthly Interest Rate]],2)</f>
        <v>0</v>
      </c>
      <c r="F99" s="3">
        <f t="shared" si="5"/>
        <v>759</v>
      </c>
      <c r="G99" s="23">
        <f>IFERROR(IF($C$13="No","N/A",IF(Table157810[[#This Row],[Period]]=1,$C$6,PMT(InterestRate*AmortizationMultiplier/12,Table157810[[#This Row],[Am Thru]],-Table157810[[#This Row],[Beginning Balance]]))),0)</f>
        <v>0</v>
      </c>
      <c r="H99" s="3">
        <f>MAX(0,IF(C99=$C$4,D99,ROUND(IF($C$3="Fixed Principal",$C$6-Table157810[[#This Row],[Interest]],IF($C$3="Interest Only",Table157810[[#This Row],[Beginning Balance]]*ROUND(1-(1-IF($C$11="No",$E$8,1))^(1/12),6),MIN(IF($C$13="Yes",Table157810[[#This Row],[Payment Amount (Reamortized)]],$C$6)-Table157810[[#This Row],[Interest]],Table157810[[#This Row],[Beginning Balance]]))),2)))</f>
        <v>0</v>
      </c>
      <c r="I99" s="3">
        <f>_xlfn.SINGLE(IF($C$3="Line of Credit",0,ROUND(MAX(MIN(IF($C$10="No",$E$7,VLOOKUP(Table157810[[#This Row],[Period]],Forecast!$H$2:$L$1048576,4,FALSE))*Table157810[[#This Row],[Beginning Balance]],Table157810[[#This Row],[Beginning Balance]]-Table157810[[#This Row],[Principal]]),0),2)))</f>
        <v>0</v>
      </c>
      <c r="J99" s="3">
        <f>ROUND(MIN(Table157810[[#This Row],[Beginning Balance]]*IF($C$8="No",$E$3,VLOOKUP(Table157810[[#This Row],[Period]],Forecast!$H$2:$L$1048576,2,FALSE)),Table157810[[#This Row],[Beginning Balance]]-Table157810[[#This Row],[Principal]]-Table157810[[#This Row],[Prepayments]]),2)</f>
        <v>0</v>
      </c>
      <c r="K99" s="3">
        <f>ROUND(Table157810[[#This Row],[Defaulted Principal]]*IF($C$9="No",$E$4,VLOOKUP(Table157810[[#This Row],[Period]],Forecast!$H$2:$L$1048576,3,FALSE)),2)</f>
        <v>0</v>
      </c>
      <c r="L99" s="2">
        <f>Table157810[[#This Row],[Period]]+$E$9</f>
        <v>95</v>
      </c>
      <c r="M99" s="3">
        <f>Table157810[[#This Row],[Defaulted Principal]]-Table157810[[#This Row],[Estimated Loss]]</f>
        <v>0</v>
      </c>
      <c r="N99" s="3">
        <f>IFERROR(VLOOKUP(Table157810[[#This Row],[Period]],$L$16:$M$385,2,FALSE),0)</f>
        <v>0</v>
      </c>
      <c r="O99" s="3">
        <f>Table157810[[#This Row],[Beginning Balance]]-Table157810[[#This Row],[Principal]]-Table157810[[#This Row],[Prepayments]]-Table157810[[#This Row],[Defaulted Principal]]</f>
        <v>0</v>
      </c>
      <c r="P99" s="3">
        <f>Table157810[[#This Row],[Principal]]+Table157810[[#This Row],[Interest]]+Table157810[[#This Row],[Prepayments]]+Table157810[[#This Row],[RecoveredAmount]]</f>
        <v>0</v>
      </c>
      <c r="Q99" s="3">
        <f ca="1">ROUND(Table157810[[#This Row],[Cash Flow]]/((1+ActualRateToUse)^(IF(ISNUMBER(SEARCH("Actual",$C$7)),Table157810[[#This Row],[Running Total]]/365,Table157810[[#This Row],[Period]]/12))),2)</f>
        <v>0</v>
      </c>
      <c r="R99" s="2">
        <f>IF(MONTH(Table157810[[#This Row],[Date]])=2,28,DAY(DATE(YEAR(Table157810[[#This Row],[Date]]),MONTH(Table157810[[#This Row],[Date]])+1,1)-1))</f>
        <v>31</v>
      </c>
      <c r="S99" s="2">
        <f ca="1">SUM(OFFSET(Table157810[[#Headers],[Days in month]],1,0):Table157810[[#This Row],[Days in month]])</f>
        <v>2525</v>
      </c>
      <c r="T99" s="37">
        <f>InterestRate*AmortizationMultiplier*IF(ISNUMBER(SEARCH("Actual",$C$7)),Table157810[[#This Row],[Days in month]]/365,1/12)</f>
        <v>5.9839472222222214E-3</v>
      </c>
    </row>
    <row r="100" spans="2:20" x14ac:dyDescent="0.2">
      <c r="B100" s="1">
        <v>48395</v>
      </c>
      <c r="C100" s="2">
        <f t="shared" si="4"/>
        <v>84</v>
      </c>
      <c r="D100" s="3">
        <f t="shared" si="3"/>
        <v>0</v>
      </c>
      <c r="E100" s="3">
        <f>ROUND(Table157810[[#This Row],[Beginning Balance]]*Table157810[[#This Row],[Monthly Interest Rate]],2)</f>
        <v>0</v>
      </c>
      <c r="F100" s="3">
        <f t="shared" si="5"/>
        <v>758</v>
      </c>
      <c r="G100" s="23">
        <f>IFERROR(IF($C$13="No","N/A",IF(Table157810[[#This Row],[Period]]=1,$C$6,PMT(InterestRate*AmortizationMultiplier/12,Table157810[[#This Row],[Am Thru]],-Table157810[[#This Row],[Beginning Balance]]))),0)</f>
        <v>0</v>
      </c>
      <c r="H100" s="3">
        <f>MAX(0,IF(C100=$C$4,D100,ROUND(IF($C$3="Fixed Principal",$C$6-Table157810[[#This Row],[Interest]],IF($C$3="Interest Only",Table157810[[#This Row],[Beginning Balance]]*ROUND(1-(1-IF($C$11="No",$E$8,1))^(1/12),6),MIN(IF($C$13="Yes",Table157810[[#This Row],[Payment Amount (Reamortized)]],$C$6)-Table157810[[#This Row],[Interest]],Table157810[[#This Row],[Beginning Balance]]))),2)))</f>
        <v>0</v>
      </c>
      <c r="I100" s="3">
        <f>_xlfn.SINGLE(IF($C$3="Line of Credit",0,ROUND(MAX(MIN(IF($C$10="No",$E$7,VLOOKUP(Table157810[[#This Row],[Period]],Forecast!$H$2:$L$1048576,4,FALSE))*Table157810[[#This Row],[Beginning Balance]],Table157810[[#This Row],[Beginning Balance]]-Table157810[[#This Row],[Principal]]),0),2)))</f>
        <v>0</v>
      </c>
      <c r="J100" s="3">
        <f>ROUND(MIN(Table157810[[#This Row],[Beginning Balance]]*IF($C$8="No",$E$3,VLOOKUP(Table157810[[#This Row],[Period]],Forecast!$H$2:$L$1048576,2,FALSE)),Table157810[[#This Row],[Beginning Balance]]-Table157810[[#This Row],[Principal]]-Table157810[[#This Row],[Prepayments]]),2)</f>
        <v>0</v>
      </c>
      <c r="K100" s="3">
        <f>ROUND(Table157810[[#This Row],[Defaulted Principal]]*IF($C$9="No",$E$4,VLOOKUP(Table157810[[#This Row],[Period]],Forecast!$H$2:$L$1048576,3,FALSE)),2)</f>
        <v>0</v>
      </c>
      <c r="L100" s="2">
        <f>Table157810[[#This Row],[Period]]+$E$9</f>
        <v>96</v>
      </c>
      <c r="M100" s="3">
        <f>Table157810[[#This Row],[Defaulted Principal]]-Table157810[[#This Row],[Estimated Loss]]</f>
        <v>0</v>
      </c>
      <c r="N100" s="3">
        <f>IFERROR(VLOOKUP(Table157810[[#This Row],[Period]],$L$16:$M$385,2,FALSE),0)</f>
        <v>0</v>
      </c>
      <c r="O100" s="3">
        <f>Table157810[[#This Row],[Beginning Balance]]-Table157810[[#This Row],[Principal]]-Table157810[[#This Row],[Prepayments]]-Table157810[[#This Row],[Defaulted Principal]]</f>
        <v>0</v>
      </c>
      <c r="P100" s="3">
        <f>Table157810[[#This Row],[Principal]]+Table157810[[#This Row],[Interest]]+Table157810[[#This Row],[Prepayments]]+Table157810[[#This Row],[RecoveredAmount]]</f>
        <v>0</v>
      </c>
      <c r="Q100" s="3">
        <f ca="1">ROUND(Table157810[[#This Row],[Cash Flow]]/((1+ActualRateToUse)^(IF(ISNUMBER(SEARCH("Actual",$C$7)),Table157810[[#This Row],[Running Total]]/365,Table157810[[#This Row],[Period]]/12))),2)</f>
        <v>0</v>
      </c>
      <c r="R100" s="2">
        <f>IF(MONTH(Table157810[[#This Row],[Date]])=2,28,DAY(DATE(YEAR(Table157810[[#This Row],[Date]]),MONTH(Table157810[[#This Row],[Date]])+1,1)-1))</f>
        <v>30</v>
      </c>
      <c r="S100" s="2">
        <f ca="1">SUM(OFFSET(Table157810[[#Headers],[Days in month]],1,0):Table157810[[#This Row],[Days in month]])</f>
        <v>2555</v>
      </c>
      <c r="T100" s="37">
        <f>InterestRate*AmortizationMultiplier*IF(ISNUMBER(SEARCH("Actual",$C$7)),Table157810[[#This Row],[Days in month]]/365,1/12)</f>
        <v>5.7909166666666656E-3</v>
      </c>
    </row>
    <row r="101" spans="2:20" x14ac:dyDescent="0.2">
      <c r="B101" s="1">
        <v>48426</v>
      </c>
      <c r="C101" s="2">
        <f t="shared" si="4"/>
        <v>85</v>
      </c>
      <c r="D101" s="3">
        <f t="shared" si="3"/>
        <v>0</v>
      </c>
      <c r="E101" s="3">
        <f>ROUND(Table157810[[#This Row],[Beginning Balance]]*Table157810[[#This Row],[Monthly Interest Rate]],2)</f>
        <v>0</v>
      </c>
      <c r="F101" s="3">
        <f t="shared" si="5"/>
        <v>757</v>
      </c>
      <c r="G101" s="23">
        <f>IFERROR(IF($C$13="No","N/A",IF(Table157810[[#This Row],[Period]]=1,$C$6,PMT(InterestRate*AmortizationMultiplier/12,Table157810[[#This Row],[Am Thru]],-Table157810[[#This Row],[Beginning Balance]]))),0)</f>
        <v>0</v>
      </c>
      <c r="H101" s="3">
        <f>MAX(0,IF(C101=$C$4,D101,ROUND(IF($C$3="Fixed Principal",$C$6-Table157810[[#This Row],[Interest]],IF($C$3="Interest Only",Table157810[[#This Row],[Beginning Balance]]*ROUND(1-(1-IF($C$11="No",$E$8,1))^(1/12),6),MIN(IF($C$13="Yes",Table157810[[#This Row],[Payment Amount (Reamortized)]],$C$6)-Table157810[[#This Row],[Interest]],Table157810[[#This Row],[Beginning Balance]]))),2)))</f>
        <v>0</v>
      </c>
      <c r="I101" s="3">
        <f>_xlfn.SINGLE(IF($C$3="Line of Credit",0,ROUND(MAX(MIN(IF($C$10="No",$E$7,VLOOKUP(Table157810[[#This Row],[Period]],Forecast!$H$2:$L$1048576,4,FALSE))*Table157810[[#This Row],[Beginning Balance]],Table157810[[#This Row],[Beginning Balance]]-Table157810[[#This Row],[Principal]]),0),2)))</f>
        <v>0</v>
      </c>
      <c r="J101" s="3">
        <f>ROUND(MIN(Table157810[[#This Row],[Beginning Balance]]*IF($C$8="No",$E$3,VLOOKUP(Table157810[[#This Row],[Period]],Forecast!$H$2:$L$1048576,2,FALSE)),Table157810[[#This Row],[Beginning Balance]]-Table157810[[#This Row],[Principal]]-Table157810[[#This Row],[Prepayments]]),2)</f>
        <v>0</v>
      </c>
      <c r="K101" s="3">
        <f>ROUND(Table157810[[#This Row],[Defaulted Principal]]*IF($C$9="No",$E$4,VLOOKUP(Table157810[[#This Row],[Period]],Forecast!$H$2:$L$1048576,3,FALSE)),2)</f>
        <v>0</v>
      </c>
      <c r="L101" s="2">
        <f>Table157810[[#This Row],[Period]]+$E$9</f>
        <v>97</v>
      </c>
      <c r="M101" s="3">
        <f>Table157810[[#This Row],[Defaulted Principal]]-Table157810[[#This Row],[Estimated Loss]]</f>
        <v>0</v>
      </c>
      <c r="N101" s="3">
        <f>IFERROR(VLOOKUP(Table157810[[#This Row],[Period]],$L$16:$M$385,2,FALSE),0)</f>
        <v>0</v>
      </c>
      <c r="O101" s="3">
        <f>Table157810[[#This Row],[Beginning Balance]]-Table157810[[#This Row],[Principal]]-Table157810[[#This Row],[Prepayments]]-Table157810[[#This Row],[Defaulted Principal]]</f>
        <v>0</v>
      </c>
      <c r="P101" s="3">
        <f>Table157810[[#This Row],[Principal]]+Table157810[[#This Row],[Interest]]+Table157810[[#This Row],[Prepayments]]+Table157810[[#This Row],[RecoveredAmount]]</f>
        <v>0</v>
      </c>
      <c r="Q101" s="3">
        <f ca="1">ROUND(Table157810[[#This Row],[Cash Flow]]/((1+ActualRateToUse)^(IF(ISNUMBER(SEARCH("Actual",$C$7)),Table157810[[#This Row],[Running Total]]/365,Table157810[[#This Row],[Period]]/12))),2)</f>
        <v>0</v>
      </c>
      <c r="R101" s="2">
        <f>IF(MONTH(Table157810[[#This Row],[Date]])=2,28,DAY(DATE(YEAR(Table157810[[#This Row],[Date]]),MONTH(Table157810[[#This Row],[Date]])+1,1)-1))</f>
        <v>31</v>
      </c>
      <c r="S101" s="2">
        <f ca="1">SUM(OFFSET(Table157810[[#Headers],[Days in month]],1,0):Table157810[[#This Row],[Days in month]])</f>
        <v>2586</v>
      </c>
      <c r="T101" s="37">
        <f>InterestRate*AmortizationMultiplier*IF(ISNUMBER(SEARCH("Actual",$C$7)),Table157810[[#This Row],[Days in month]]/365,1/12)</f>
        <v>5.9839472222222214E-3</v>
      </c>
    </row>
    <row r="102" spans="2:20" x14ac:dyDescent="0.2">
      <c r="B102" s="1">
        <v>48457</v>
      </c>
      <c r="C102" s="2">
        <f t="shared" si="4"/>
        <v>86</v>
      </c>
      <c r="D102" s="3">
        <f t="shared" si="3"/>
        <v>0</v>
      </c>
      <c r="E102" s="3">
        <f>ROUND(Table157810[[#This Row],[Beginning Balance]]*Table157810[[#This Row],[Monthly Interest Rate]],2)</f>
        <v>0</v>
      </c>
      <c r="F102" s="3">
        <f t="shared" si="5"/>
        <v>756</v>
      </c>
      <c r="G102" s="23">
        <f>IFERROR(IF($C$13="No","N/A",IF(Table157810[[#This Row],[Period]]=1,$C$6,PMT(InterestRate*AmortizationMultiplier/12,Table157810[[#This Row],[Am Thru]],-Table157810[[#This Row],[Beginning Balance]]))),0)</f>
        <v>0</v>
      </c>
      <c r="H102" s="3">
        <f>MAX(0,IF(C102=$C$4,D102,ROUND(IF($C$3="Fixed Principal",$C$6-Table157810[[#This Row],[Interest]],IF($C$3="Interest Only",Table157810[[#This Row],[Beginning Balance]]*ROUND(1-(1-IF($C$11="No",$E$8,1))^(1/12),6),MIN(IF($C$13="Yes",Table157810[[#This Row],[Payment Amount (Reamortized)]],$C$6)-Table157810[[#This Row],[Interest]],Table157810[[#This Row],[Beginning Balance]]))),2)))</f>
        <v>0</v>
      </c>
      <c r="I102" s="3">
        <f>_xlfn.SINGLE(IF($C$3="Line of Credit",0,ROUND(MAX(MIN(IF($C$10="No",$E$7,VLOOKUP(Table157810[[#This Row],[Period]],Forecast!$H$2:$L$1048576,4,FALSE))*Table157810[[#This Row],[Beginning Balance]],Table157810[[#This Row],[Beginning Balance]]-Table157810[[#This Row],[Principal]]),0),2)))</f>
        <v>0</v>
      </c>
      <c r="J102" s="3">
        <f>ROUND(MIN(Table157810[[#This Row],[Beginning Balance]]*IF($C$8="No",$E$3,VLOOKUP(Table157810[[#This Row],[Period]],Forecast!$H$2:$L$1048576,2,FALSE)),Table157810[[#This Row],[Beginning Balance]]-Table157810[[#This Row],[Principal]]-Table157810[[#This Row],[Prepayments]]),2)</f>
        <v>0</v>
      </c>
      <c r="K102" s="3">
        <f>ROUND(Table157810[[#This Row],[Defaulted Principal]]*IF($C$9="No",$E$4,VLOOKUP(Table157810[[#This Row],[Period]],Forecast!$H$2:$L$1048576,3,FALSE)),2)</f>
        <v>0</v>
      </c>
      <c r="L102" s="2">
        <f>Table157810[[#This Row],[Period]]+$E$9</f>
        <v>98</v>
      </c>
      <c r="M102" s="3">
        <f>Table157810[[#This Row],[Defaulted Principal]]-Table157810[[#This Row],[Estimated Loss]]</f>
        <v>0</v>
      </c>
      <c r="N102" s="3">
        <f>IFERROR(VLOOKUP(Table157810[[#This Row],[Period]],$L$16:$M$385,2,FALSE),0)</f>
        <v>0</v>
      </c>
      <c r="O102" s="3">
        <f>Table157810[[#This Row],[Beginning Balance]]-Table157810[[#This Row],[Principal]]-Table157810[[#This Row],[Prepayments]]-Table157810[[#This Row],[Defaulted Principal]]</f>
        <v>0</v>
      </c>
      <c r="P102" s="3">
        <f>Table157810[[#This Row],[Principal]]+Table157810[[#This Row],[Interest]]+Table157810[[#This Row],[Prepayments]]+Table157810[[#This Row],[RecoveredAmount]]</f>
        <v>0</v>
      </c>
      <c r="Q102" s="3">
        <f ca="1">ROUND(Table157810[[#This Row],[Cash Flow]]/((1+ActualRateToUse)^(IF(ISNUMBER(SEARCH("Actual",$C$7)),Table157810[[#This Row],[Running Total]]/365,Table157810[[#This Row],[Period]]/12))),2)</f>
        <v>0</v>
      </c>
      <c r="R102" s="2">
        <f>IF(MONTH(Table157810[[#This Row],[Date]])=2,28,DAY(DATE(YEAR(Table157810[[#This Row],[Date]]),MONTH(Table157810[[#This Row],[Date]])+1,1)-1))</f>
        <v>31</v>
      </c>
      <c r="S102" s="2">
        <f ca="1">SUM(OFFSET(Table157810[[#Headers],[Days in month]],1,0):Table157810[[#This Row],[Days in month]])</f>
        <v>2617</v>
      </c>
      <c r="T102" s="37">
        <f>InterestRate*AmortizationMultiplier*IF(ISNUMBER(SEARCH("Actual",$C$7)),Table157810[[#This Row],[Days in month]]/365,1/12)</f>
        <v>5.9839472222222214E-3</v>
      </c>
    </row>
    <row r="103" spans="2:20" x14ac:dyDescent="0.2">
      <c r="B103" s="1">
        <v>48487</v>
      </c>
      <c r="C103" s="2">
        <f t="shared" si="4"/>
        <v>87</v>
      </c>
      <c r="D103" s="3">
        <f t="shared" si="3"/>
        <v>0</v>
      </c>
      <c r="E103" s="3">
        <f>ROUND(Table157810[[#This Row],[Beginning Balance]]*Table157810[[#This Row],[Monthly Interest Rate]],2)</f>
        <v>0</v>
      </c>
      <c r="F103" s="3">
        <f t="shared" si="5"/>
        <v>755</v>
      </c>
      <c r="G103" s="23">
        <f>IFERROR(IF($C$13="No","N/A",IF(Table157810[[#This Row],[Period]]=1,$C$6,PMT(InterestRate*AmortizationMultiplier/12,Table157810[[#This Row],[Am Thru]],-Table157810[[#This Row],[Beginning Balance]]))),0)</f>
        <v>0</v>
      </c>
      <c r="H103" s="3">
        <f>MAX(0,IF(C103=$C$4,D103,ROUND(IF($C$3="Fixed Principal",$C$6-Table157810[[#This Row],[Interest]],IF($C$3="Interest Only",Table157810[[#This Row],[Beginning Balance]]*ROUND(1-(1-IF($C$11="No",$E$8,1))^(1/12),6),MIN(IF($C$13="Yes",Table157810[[#This Row],[Payment Amount (Reamortized)]],$C$6)-Table157810[[#This Row],[Interest]],Table157810[[#This Row],[Beginning Balance]]))),2)))</f>
        <v>0</v>
      </c>
      <c r="I103" s="3">
        <f>_xlfn.SINGLE(IF($C$3="Line of Credit",0,ROUND(MAX(MIN(IF($C$10="No",$E$7,VLOOKUP(Table157810[[#This Row],[Period]],Forecast!$H$2:$L$1048576,4,FALSE))*Table157810[[#This Row],[Beginning Balance]],Table157810[[#This Row],[Beginning Balance]]-Table157810[[#This Row],[Principal]]),0),2)))</f>
        <v>0</v>
      </c>
      <c r="J103" s="3">
        <f>ROUND(MIN(Table157810[[#This Row],[Beginning Balance]]*IF($C$8="No",$E$3,VLOOKUP(Table157810[[#This Row],[Period]],Forecast!$H$2:$L$1048576,2,FALSE)),Table157810[[#This Row],[Beginning Balance]]-Table157810[[#This Row],[Principal]]-Table157810[[#This Row],[Prepayments]]),2)</f>
        <v>0</v>
      </c>
      <c r="K103" s="3">
        <f>ROUND(Table157810[[#This Row],[Defaulted Principal]]*IF($C$9="No",$E$4,VLOOKUP(Table157810[[#This Row],[Period]],Forecast!$H$2:$L$1048576,3,FALSE)),2)</f>
        <v>0</v>
      </c>
      <c r="L103" s="2">
        <f>Table157810[[#This Row],[Period]]+$E$9</f>
        <v>99</v>
      </c>
      <c r="M103" s="3">
        <f>Table157810[[#This Row],[Defaulted Principal]]-Table157810[[#This Row],[Estimated Loss]]</f>
        <v>0</v>
      </c>
      <c r="N103" s="3">
        <f>IFERROR(VLOOKUP(Table157810[[#This Row],[Period]],$L$16:$M$385,2,FALSE),0)</f>
        <v>0</v>
      </c>
      <c r="O103" s="3">
        <f>Table157810[[#This Row],[Beginning Balance]]-Table157810[[#This Row],[Principal]]-Table157810[[#This Row],[Prepayments]]-Table157810[[#This Row],[Defaulted Principal]]</f>
        <v>0</v>
      </c>
      <c r="P103" s="3">
        <f>Table157810[[#This Row],[Principal]]+Table157810[[#This Row],[Interest]]+Table157810[[#This Row],[Prepayments]]+Table157810[[#This Row],[RecoveredAmount]]</f>
        <v>0</v>
      </c>
      <c r="Q103" s="3">
        <f ca="1">ROUND(Table157810[[#This Row],[Cash Flow]]/((1+ActualRateToUse)^(IF(ISNUMBER(SEARCH("Actual",$C$7)),Table157810[[#This Row],[Running Total]]/365,Table157810[[#This Row],[Period]]/12))),2)</f>
        <v>0</v>
      </c>
      <c r="R103" s="2">
        <f>IF(MONTH(Table157810[[#This Row],[Date]])=2,28,DAY(DATE(YEAR(Table157810[[#This Row],[Date]]),MONTH(Table157810[[#This Row],[Date]])+1,1)-1))</f>
        <v>30</v>
      </c>
      <c r="S103" s="2">
        <f ca="1">SUM(OFFSET(Table157810[[#Headers],[Days in month]],1,0):Table157810[[#This Row],[Days in month]])</f>
        <v>2647</v>
      </c>
      <c r="T103" s="37">
        <f>InterestRate*AmortizationMultiplier*IF(ISNUMBER(SEARCH("Actual",$C$7)),Table157810[[#This Row],[Days in month]]/365,1/12)</f>
        <v>5.7909166666666656E-3</v>
      </c>
    </row>
    <row r="104" spans="2:20" x14ac:dyDescent="0.2">
      <c r="B104" s="1">
        <v>48518</v>
      </c>
      <c r="C104" s="2">
        <f t="shared" si="4"/>
        <v>88</v>
      </c>
      <c r="D104" s="3">
        <f t="shared" si="3"/>
        <v>0</v>
      </c>
      <c r="E104" s="3">
        <f>ROUND(Table157810[[#This Row],[Beginning Balance]]*Table157810[[#This Row],[Monthly Interest Rate]],2)</f>
        <v>0</v>
      </c>
      <c r="F104" s="3">
        <f t="shared" si="5"/>
        <v>754</v>
      </c>
      <c r="G104" s="23">
        <f>IFERROR(IF($C$13="No","N/A",IF(Table157810[[#This Row],[Period]]=1,$C$6,PMT(InterestRate*AmortizationMultiplier/12,Table157810[[#This Row],[Am Thru]],-Table157810[[#This Row],[Beginning Balance]]))),0)</f>
        <v>0</v>
      </c>
      <c r="H104" s="3">
        <f>MAX(0,IF(C104=$C$4,D104,ROUND(IF($C$3="Fixed Principal",$C$6-Table157810[[#This Row],[Interest]],IF($C$3="Interest Only",Table157810[[#This Row],[Beginning Balance]]*ROUND(1-(1-IF($C$11="No",$E$8,1))^(1/12),6),MIN(IF($C$13="Yes",Table157810[[#This Row],[Payment Amount (Reamortized)]],$C$6)-Table157810[[#This Row],[Interest]],Table157810[[#This Row],[Beginning Balance]]))),2)))</f>
        <v>0</v>
      </c>
      <c r="I104" s="3">
        <f>_xlfn.SINGLE(IF($C$3="Line of Credit",0,ROUND(MAX(MIN(IF($C$10="No",$E$7,VLOOKUP(Table157810[[#This Row],[Period]],Forecast!$H$2:$L$1048576,4,FALSE))*Table157810[[#This Row],[Beginning Balance]],Table157810[[#This Row],[Beginning Balance]]-Table157810[[#This Row],[Principal]]),0),2)))</f>
        <v>0</v>
      </c>
      <c r="J104" s="3">
        <f>ROUND(MIN(Table157810[[#This Row],[Beginning Balance]]*IF($C$8="No",$E$3,VLOOKUP(Table157810[[#This Row],[Period]],Forecast!$H$2:$L$1048576,2,FALSE)),Table157810[[#This Row],[Beginning Balance]]-Table157810[[#This Row],[Principal]]-Table157810[[#This Row],[Prepayments]]),2)</f>
        <v>0</v>
      </c>
      <c r="K104" s="3">
        <f>ROUND(Table157810[[#This Row],[Defaulted Principal]]*IF($C$9="No",$E$4,VLOOKUP(Table157810[[#This Row],[Period]],Forecast!$H$2:$L$1048576,3,FALSE)),2)</f>
        <v>0</v>
      </c>
      <c r="L104" s="2">
        <f>Table157810[[#This Row],[Period]]+$E$9</f>
        <v>100</v>
      </c>
      <c r="M104" s="3">
        <f>Table157810[[#This Row],[Defaulted Principal]]-Table157810[[#This Row],[Estimated Loss]]</f>
        <v>0</v>
      </c>
      <c r="N104" s="3">
        <f>IFERROR(VLOOKUP(Table157810[[#This Row],[Period]],$L$16:$M$385,2,FALSE),0)</f>
        <v>0</v>
      </c>
      <c r="O104" s="3">
        <f>Table157810[[#This Row],[Beginning Balance]]-Table157810[[#This Row],[Principal]]-Table157810[[#This Row],[Prepayments]]-Table157810[[#This Row],[Defaulted Principal]]</f>
        <v>0</v>
      </c>
      <c r="P104" s="3">
        <f>Table157810[[#This Row],[Principal]]+Table157810[[#This Row],[Interest]]+Table157810[[#This Row],[Prepayments]]+Table157810[[#This Row],[RecoveredAmount]]</f>
        <v>0</v>
      </c>
      <c r="Q104" s="3">
        <f ca="1">ROUND(Table157810[[#This Row],[Cash Flow]]/((1+ActualRateToUse)^(IF(ISNUMBER(SEARCH("Actual",$C$7)),Table157810[[#This Row],[Running Total]]/365,Table157810[[#This Row],[Period]]/12))),2)</f>
        <v>0</v>
      </c>
      <c r="R104" s="2">
        <f>IF(MONTH(Table157810[[#This Row],[Date]])=2,28,DAY(DATE(YEAR(Table157810[[#This Row],[Date]]),MONTH(Table157810[[#This Row],[Date]])+1,1)-1))</f>
        <v>31</v>
      </c>
      <c r="S104" s="2">
        <f ca="1">SUM(OFFSET(Table157810[[#Headers],[Days in month]],1,0):Table157810[[#This Row],[Days in month]])</f>
        <v>2678</v>
      </c>
      <c r="T104" s="37">
        <f>InterestRate*AmortizationMultiplier*IF(ISNUMBER(SEARCH("Actual",$C$7)),Table157810[[#This Row],[Days in month]]/365,1/12)</f>
        <v>5.9839472222222214E-3</v>
      </c>
    </row>
    <row r="105" spans="2:20" x14ac:dyDescent="0.2">
      <c r="B105" s="1">
        <v>48548</v>
      </c>
      <c r="C105" s="2">
        <f t="shared" si="4"/>
        <v>89</v>
      </c>
      <c r="D105" s="3">
        <f t="shared" si="3"/>
        <v>0</v>
      </c>
      <c r="E105" s="3">
        <f>ROUND(Table157810[[#This Row],[Beginning Balance]]*Table157810[[#This Row],[Monthly Interest Rate]],2)</f>
        <v>0</v>
      </c>
      <c r="F105" s="3">
        <f t="shared" si="5"/>
        <v>753</v>
      </c>
      <c r="G105" s="23">
        <f>IFERROR(IF($C$13="No","N/A",IF(Table157810[[#This Row],[Period]]=1,$C$6,PMT(InterestRate*AmortizationMultiplier/12,Table157810[[#This Row],[Am Thru]],-Table157810[[#This Row],[Beginning Balance]]))),0)</f>
        <v>0</v>
      </c>
      <c r="H105" s="3">
        <f>MAX(0,IF(C105=$C$4,D105,ROUND(IF($C$3="Fixed Principal",$C$6-Table157810[[#This Row],[Interest]],IF($C$3="Interest Only",Table157810[[#This Row],[Beginning Balance]]*ROUND(1-(1-IF($C$11="No",$E$8,1))^(1/12),6),MIN(IF($C$13="Yes",Table157810[[#This Row],[Payment Amount (Reamortized)]],$C$6)-Table157810[[#This Row],[Interest]],Table157810[[#This Row],[Beginning Balance]]))),2)))</f>
        <v>0</v>
      </c>
      <c r="I105" s="3">
        <f>_xlfn.SINGLE(IF($C$3="Line of Credit",0,ROUND(MAX(MIN(IF($C$10="No",$E$7,VLOOKUP(Table157810[[#This Row],[Period]],Forecast!$H$2:$L$1048576,4,FALSE))*Table157810[[#This Row],[Beginning Balance]],Table157810[[#This Row],[Beginning Balance]]-Table157810[[#This Row],[Principal]]),0),2)))</f>
        <v>0</v>
      </c>
      <c r="J105" s="3">
        <f>ROUND(MIN(Table157810[[#This Row],[Beginning Balance]]*IF($C$8="No",$E$3,VLOOKUP(Table157810[[#This Row],[Period]],Forecast!$H$2:$L$1048576,2,FALSE)),Table157810[[#This Row],[Beginning Balance]]-Table157810[[#This Row],[Principal]]-Table157810[[#This Row],[Prepayments]]),2)</f>
        <v>0</v>
      </c>
      <c r="K105" s="3">
        <f>ROUND(Table157810[[#This Row],[Defaulted Principal]]*IF($C$9="No",$E$4,VLOOKUP(Table157810[[#This Row],[Period]],Forecast!$H$2:$L$1048576,3,FALSE)),2)</f>
        <v>0</v>
      </c>
      <c r="L105" s="2">
        <f>Table157810[[#This Row],[Period]]+$E$9</f>
        <v>101</v>
      </c>
      <c r="M105" s="3">
        <f>Table157810[[#This Row],[Defaulted Principal]]-Table157810[[#This Row],[Estimated Loss]]</f>
        <v>0</v>
      </c>
      <c r="N105" s="3">
        <f>IFERROR(VLOOKUP(Table157810[[#This Row],[Period]],$L$16:$M$385,2,FALSE),0)</f>
        <v>0</v>
      </c>
      <c r="O105" s="3">
        <f>Table157810[[#This Row],[Beginning Balance]]-Table157810[[#This Row],[Principal]]-Table157810[[#This Row],[Prepayments]]-Table157810[[#This Row],[Defaulted Principal]]</f>
        <v>0</v>
      </c>
      <c r="P105" s="3">
        <f>Table157810[[#This Row],[Principal]]+Table157810[[#This Row],[Interest]]+Table157810[[#This Row],[Prepayments]]+Table157810[[#This Row],[RecoveredAmount]]</f>
        <v>0</v>
      </c>
      <c r="Q105" s="3">
        <f ca="1">ROUND(Table157810[[#This Row],[Cash Flow]]/((1+ActualRateToUse)^(IF(ISNUMBER(SEARCH("Actual",$C$7)),Table157810[[#This Row],[Running Total]]/365,Table157810[[#This Row],[Period]]/12))),2)</f>
        <v>0</v>
      </c>
      <c r="R105" s="2">
        <f>IF(MONTH(Table157810[[#This Row],[Date]])=2,28,DAY(DATE(YEAR(Table157810[[#This Row],[Date]]),MONTH(Table157810[[#This Row],[Date]])+1,1)-1))</f>
        <v>30</v>
      </c>
      <c r="S105" s="2">
        <f ca="1">SUM(OFFSET(Table157810[[#Headers],[Days in month]],1,0):Table157810[[#This Row],[Days in month]])</f>
        <v>2708</v>
      </c>
      <c r="T105" s="37">
        <f>InterestRate*AmortizationMultiplier*IF(ISNUMBER(SEARCH("Actual",$C$7)),Table157810[[#This Row],[Days in month]]/365,1/12)</f>
        <v>5.7909166666666656E-3</v>
      </c>
    </row>
    <row r="106" spans="2:20" x14ac:dyDescent="0.2">
      <c r="B106" s="1">
        <v>48579</v>
      </c>
      <c r="C106" s="2">
        <f t="shared" si="4"/>
        <v>90</v>
      </c>
      <c r="D106" s="3">
        <f t="shared" si="3"/>
        <v>0</v>
      </c>
      <c r="E106" s="3">
        <f>ROUND(Table157810[[#This Row],[Beginning Balance]]*Table157810[[#This Row],[Monthly Interest Rate]],2)</f>
        <v>0</v>
      </c>
      <c r="F106" s="3">
        <f t="shared" si="5"/>
        <v>752</v>
      </c>
      <c r="G106" s="23">
        <f>IFERROR(IF($C$13="No","N/A",IF(Table157810[[#This Row],[Period]]=1,$C$6,PMT(InterestRate*AmortizationMultiplier/12,Table157810[[#This Row],[Am Thru]],-Table157810[[#This Row],[Beginning Balance]]))),0)</f>
        <v>0</v>
      </c>
      <c r="H106" s="3">
        <f>MAX(0,IF(C106=$C$4,D106,ROUND(IF($C$3="Fixed Principal",$C$6-Table157810[[#This Row],[Interest]],IF($C$3="Interest Only",Table157810[[#This Row],[Beginning Balance]]*ROUND(1-(1-IF($C$11="No",$E$8,1))^(1/12),6),MIN(IF($C$13="Yes",Table157810[[#This Row],[Payment Amount (Reamortized)]],$C$6)-Table157810[[#This Row],[Interest]],Table157810[[#This Row],[Beginning Balance]]))),2)))</f>
        <v>0</v>
      </c>
      <c r="I106" s="3">
        <f>_xlfn.SINGLE(IF($C$3="Line of Credit",0,ROUND(MAX(MIN(IF($C$10="No",$E$7,VLOOKUP(Table157810[[#This Row],[Period]],Forecast!$H$2:$L$1048576,4,FALSE))*Table157810[[#This Row],[Beginning Balance]],Table157810[[#This Row],[Beginning Balance]]-Table157810[[#This Row],[Principal]]),0),2)))</f>
        <v>0</v>
      </c>
      <c r="J106" s="3">
        <f>ROUND(MIN(Table157810[[#This Row],[Beginning Balance]]*IF($C$8="No",$E$3,VLOOKUP(Table157810[[#This Row],[Period]],Forecast!$H$2:$L$1048576,2,FALSE)),Table157810[[#This Row],[Beginning Balance]]-Table157810[[#This Row],[Principal]]-Table157810[[#This Row],[Prepayments]]),2)</f>
        <v>0</v>
      </c>
      <c r="K106" s="3">
        <f>ROUND(Table157810[[#This Row],[Defaulted Principal]]*IF($C$9="No",$E$4,VLOOKUP(Table157810[[#This Row],[Period]],Forecast!$H$2:$L$1048576,3,FALSE)),2)</f>
        <v>0</v>
      </c>
      <c r="L106" s="2">
        <f>Table157810[[#This Row],[Period]]+$E$9</f>
        <v>102</v>
      </c>
      <c r="M106" s="3">
        <f>Table157810[[#This Row],[Defaulted Principal]]-Table157810[[#This Row],[Estimated Loss]]</f>
        <v>0</v>
      </c>
      <c r="N106" s="3">
        <f>IFERROR(VLOOKUP(Table157810[[#This Row],[Period]],$L$16:$M$385,2,FALSE),0)</f>
        <v>0</v>
      </c>
      <c r="O106" s="3">
        <f>Table157810[[#This Row],[Beginning Balance]]-Table157810[[#This Row],[Principal]]-Table157810[[#This Row],[Prepayments]]-Table157810[[#This Row],[Defaulted Principal]]</f>
        <v>0</v>
      </c>
      <c r="P106" s="3">
        <f>Table157810[[#This Row],[Principal]]+Table157810[[#This Row],[Interest]]+Table157810[[#This Row],[Prepayments]]+Table157810[[#This Row],[RecoveredAmount]]</f>
        <v>0</v>
      </c>
      <c r="Q106" s="3">
        <f ca="1">ROUND(Table157810[[#This Row],[Cash Flow]]/((1+ActualRateToUse)^(IF(ISNUMBER(SEARCH("Actual",$C$7)),Table157810[[#This Row],[Running Total]]/365,Table157810[[#This Row],[Period]]/12))),2)</f>
        <v>0</v>
      </c>
      <c r="R106" s="2">
        <f>IF(MONTH(Table157810[[#This Row],[Date]])=2,28,DAY(DATE(YEAR(Table157810[[#This Row],[Date]]),MONTH(Table157810[[#This Row],[Date]])+1,1)-1))</f>
        <v>31</v>
      </c>
      <c r="S106" s="2">
        <f ca="1">SUM(OFFSET(Table157810[[#Headers],[Days in month]],1,0):Table157810[[#This Row],[Days in month]])</f>
        <v>2739</v>
      </c>
      <c r="T106" s="37">
        <f>InterestRate*AmortizationMultiplier*IF(ISNUMBER(SEARCH("Actual",$C$7)),Table157810[[#This Row],[Days in month]]/365,1/12)</f>
        <v>5.9839472222222214E-3</v>
      </c>
    </row>
    <row r="107" spans="2:20" x14ac:dyDescent="0.2">
      <c r="B107" s="1">
        <v>48610</v>
      </c>
      <c r="C107" s="2">
        <f t="shared" si="4"/>
        <v>91</v>
      </c>
      <c r="D107" s="3">
        <f t="shared" si="3"/>
        <v>0</v>
      </c>
      <c r="E107" s="3">
        <f>ROUND(Table157810[[#This Row],[Beginning Balance]]*Table157810[[#This Row],[Monthly Interest Rate]],2)</f>
        <v>0</v>
      </c>
      <c r="F107" s="3">
        <f t="shared" si="5"/>
        <v>751</v>
      </c>
      <c r="G107" s="23">
        <f>IFERROR(IF($C$13="No","N/A",IF(Table157810[[#This Row],[Period]]=1,$C$6,PMT(InterestRate*AmortizationMultiplier/12,Table157810[[#This Row],[Am Thru]],-Table157810[[#This Row],[Beginning Balance]]))),0)</f>
        <v>0</v>
      </c>
      <c r="H107" s="3">
        <f>MAX(0,IF(C107=$C$4,D107,ROUND(IF($C$3="Fixed Principal",$C$6-Table157810[[#This Row],[Interest]],IF($C$3="Interest Only",Table157810[[#This Row],[Beginning Balance]]*ROUND(1-(1-IF($C$11="No",$E$8,1))^(1/12),6),MIN(IF($C$13="Yes",Table157810[[#This Row],[Payment Amount (Reamortized)]],$C$6)-Table157810[[#This Row],[Interest]],Table157810[[#This Row],[Beginning Balance]]))),2)))</f>
        <v>0</v>
      </c>
      <c r="I107" s="3">
        <f>_xlfn.SINGLE(IF($C$3="Line of Credit",0,ROUND(MAX(MIN(IF($C$10="No",$E$7,VLOOKUP(Table157810[[#This Row],[Period]],Forecast!$H$2:$L$1048576,4,FALSE))*Table157810[[#This Row],[Beginning Balance]],Table157810[[#This Row],[Beginning Balance]]-Table157810[[#This Row],[Principal]]),0),2)))</f>
        <v>0</v>
      </c>
      <c r="J107" s="3">
        <f>ROUND(MIN(Table157810[[#This Row],[Beginning Balance]]*IF($C$8="No",$E$3,VLOOKUP(Table157810[[#This Row],[Period]],Forecast!$H$2:$L$1048576,2,FALSE)),Table157810[[#This Row],[Beginning Balance]]-Table157810[[#This Row],[Principal]]-Table157810[[#This Row],[Prepayments]]),2)</f>
        <v>0</v>
      </c>
      <c r="K107" s="3">
        <f>ROUND(Table157810[[#This Row],[Defaulted Principal]]*IF($C$9="No",$E$4,VLOOKUP(Table157810[[#This Row],[Period]],Forecast!$H$2:$L$1048576,3,FALSE)),2)</f>
        <v>0</v>
      </c>
      <c r="L107" s="2">
        <f>Table157810[[#This Row],[Period]]+$E$9</f>
        <v>103</v>
      </c>
      <c r="M107" s="3">
        <f>Table157810[[#This Row],[Defaulted Principal]]-Table157810[[#This Row],[Estimated Loss]]</f>
        <v>0</v>
      </c>
      <c r="N107" s="3">
        <f>IFERROR(VLOOKUP(Table157810[[#This Row],[Period]],$L$16:$M$385,2,FALSE),0)</f>
        <v>0</v>
      </c>
      <c r="O107" s="3">
        <f>Table157810[[#This Row],[Beginning Balance]]-Table157810[[#This Row],[Principal]]-Table157810[[#This Row],[Prepayments]]-Table157810[[#This Row],[Defaulted Principal]]</f>
        <v>0</v>
      </c>
      <c r="P107" s="3">
        <f>Table157810[[#This Row],[Principal]]+Table157810[[#This Row],[Interest]]+Table157810[[#This Row],[Prepayments]]+Table157810[[#This Row],[RecoveredAmount]]</f>
        <v>0</v>
      </c>
      <c r="Q107" s="3">
        <f ca="1">ROUND(Table157810[[#This Row],[Cash Flow]]/((1+ActualRateToUse)^(IF(ISNUMBER(SEARCH("Actual",$C$7)),Table157810[[#This Row],[Running Total]]/365,Table157810[[#This Row],[Period]]/12))),2)</f>
        <v>0</v>
      </c>
      <c r="R107" s="2">
        <f>IF(MONTH(Table157810[[#This Row],[Date]])=2,28,DAY(DATE(YEAR(Table157810[[#This Row],[Date]]),MONTH(Table157810[[#This Row],[Date]])+1,1)-1))</f>
        <v>31</v>
      </c>
      <c r="S107" s="2">
        <f ca="1">SUM(OFFSET(Table157810[[#Headers],[Days in month]],1,0):Table157810[[#This Row],[Days in month]])</f>
        <v>2770</v>
      </c>
      <c r="T107" s="37">
        <f>InterestRate*AmortizationMultiplier*IF(ISNUMBER(SEARCH("Actual",$C$7)),Table157810[[#This Row],[Days in month]]/365,1/12)</f>
        <v>5.9839472222222214E-3</v>
      </c>
    </row>
    <row r="108" spans="2:20" x14ac:dyDescent="0.2">
      <c r="B108" s="1">
        <v>48638</v>
      </c>
      <c r="C108" s="2">
        <f t="shared" si="4"/>
        <v>92</v>
      </c>
      <c r="D108" s="3">
        <f t="shared" si="3"/>
        <v>0</v>
      </c>
      <c r="E108" s="3">
        <f>ROUND(Table157810[[#This Row],[Beginning Balance]]*Table157810[[#This Row],[Monthly Interest Rate]],2)</f>
        <v>0</v>
      </c>
      <c r="F108" s="3">
        <f t="shared" si="5"/>
        <v>750</v>
      </c>
      <c r="G108" s="23">
        <f>IFERROR(IF($C$13="No","N/A",IF(Table157810[[#This Row],[Period]]=1,$C$6,PMT(InterestRate*AmortizationMultiplier/12,Table157810[[#This Row],[Am Thru]],-Table157810[[#This Row],[Beginning Balance]]))),0)</f>
        <v>0</v>
      </c>
      <c r="H108" s="3">
        <f>MAX(0,IF(C108=$C$4,D108,ROUND(IF($C$3="Fixed Principal",$C$6-Table157810[[#This Row],[Interest]],IF($C$3="Interest Only",Table157810[[#This Row],[Beginning Balance]]*ROUND(1-(1-IF($C$11="No",$E$8,1))^(1/12),6),MIN(IF($C$13="Yes",Table157810[[#This Row],[Payment Amount (Reamortized)]],$C$6)-Table157810[[#This Row],[Interest]],Table157810[[#This Row],[Beginning Balance]]))),2)))</f>
        <v>0</v>
      </c>
      <c r="I108" s="3">
        <f>_xlfn.SINGLE(IF($C$3="Line of Credit",0,ROUND(MAX(MIN(IF($C$10="No",$E$7,VLOOKUP(Table157810[[#This Row],[Period]],Forecast!$H$2:$L$1048576,4,FALSE))*Table157810[[#This Row],[Beginning Balance]],Table157810[[#This Row],[Beginning Balance]]-Table157810[[#This Row],[Principal]]),0),2)))</f>
        <v>0</v>
      </c>
      <c r="J108" s="3">
        <f>ROUND(MIN(Table157810[[#This Row],[Beginning Balance]]*IF($C$8="No",$E$3,VLOOKUP(Table157810[[#This Row],[Period]],Forecast!$H$2:$L$1048576,2,FALSE)),Table157810[[#This Row],[Beginning Balance]]-Table157810[[#This Row],[Principal]]-Table157810[[#This Row],[Prepayments]]),2)</f>
        <v>0</v>
      </c>
      <c r="K108" s="3">
        <f>ROUND(Table157810[[#This Row],[Defaulted Principal]]*IF($C$9="No",$E$4,VLOOKUP(Table157810[[#This Row],[Period]],Forecast!$H$2:$L$1048576,3,FALSE)),2)</f>
        <v>0</v>
      </c>
      <c r="L108" s="2">
        <f>Table157810[[#This Row],[Period]]+$E$9</f>
        <v>104</v>
      </c>
      <c r="M108" s="3">
        <f>Table157810[[#This Row],[Defaulted Principal]]-Table157810[[#This Row],[Estimated Loss]]</f>
        <v>0</v>
      </c>
      <c r="N108" s="3">
        <f>IFERROR(VLOOKUP(Table157810[[#This Row],[Period]],$L$16:$M$385,2,FALSE),0)</f>
        <v>0</v>
      </c>
      <c r="O108" s="3">
        <f>Table157810[[#This Row],[Beginning Balance]]-Table157810[[#This Row],[Principal]]-Table157810[[#This Row],[Prepayments]]-Table157810[[#This Row],[Defaulted Principal]]</f>
        <v>0</v>
      </c>
      <c r="P108" s="3">
        <f>Table157810[[#This Row],[Principal]]+Table157810[[#This Row],[Interest]]+Table157810[[#This Row],[Prepayments]]+Table157810[[#This Row],[RecoveredAmount]]</f>
        <v>0</v>
      </c>
      <c r="Q108" s="3">
        <f ca="1">ROUND(Table157810[[#This Row],[Cash Flow]]/((1+ActualRateToUse)^(IF(ISNUMBER(SEARCH("Actual",$C$7)),Table157810[[#This Row],[Running Total]]/365,Table157810[[#This Row],[Period]]/12))),2)</f>
        <v>0</v>
      </c>
      <c r="R108" s="2">
        <f>IF(MONTH(Table157810[[#This Row],[Date]])=2,28,DAY(DATE(YEAR(Table157810[[#This Row],[Date]]),MONTH(Table157810[[#This Row],[Date]])+1,1)-1))</f>
        <v>28</v>
      </c>
      <c r="S108" s="2">
        <f ca="1">SUM(OFFSET(Table157810[[#Headers],[Days in month]],1,0):Table157810[[#This Row],[Days in month]])</f>
        <v>2798</v>
      </c>
      <c r="T108" s="37">
        <f>InterestRate*AmortizationMultiplier*IF(ISNUMBER(SEARCH("Actual",$C$7)),Table157810[[#This Row],[Days in month]]/365,1/12)</f>
        <v>5.4048555555555548E-3</v>
      </c>
    </row>
    <row r="109" spans="2:20" x14ac:dyDescent="0.2">
      <c r="B109" s="1">
        <v>48669</v>
      </c>
      <c r="C109" s="2">
        <f t="shared" si="4"/>
        <v>93</v>
      </c>
      <c r="D109" s="3">
        <f t="shared" si="3"/>
        <v>0</v>
      </c>
      <c r="E109" s="3">
        <f>ROUND(Table157810[[#This Row],[Beginning Balance]]*Table157810[[#This Row],[Monthly Interest Rate]],2)</f>
        <v>0</v>
      </c>
      <c r="F109" s="3">
        <f t="shared" si="5"/>
        <v>749</v>
      </c>
      <c r="G109" s="23">
        <f>IFERROR(IF($C$13="No","N/A",IF(Table157810[[#This Row],[Period]]=1,$C$6,PMT(InterestRate*AmortizationMultiplier/12,Table157810[[#This Row],[Am Thru]],-Table157810[[#This Row],[Beginning Balance]]))),0)</f>
        <v>0</v>
      </c>
      <c r="H109" s="3">
        <f>MAX(0,IF(C109=$C$4,D109,ROUND(IF($C$3="Fixed Principal",$C$6-Table157810[[#This Row],[Interest]],IF($C$3="Interest Only",Table157810[[#This Row],[Beginning Balance]]*ROUND(1-(1-IF($C$11="No",$E$8,1))^(1/12),6),MIN(IF($C$13="Yes",Table157810[[#This Row],[Payment Amount (Reamortized)]],$C$6)-Table157810[[#This Row],[Interest]],Table157810[[#This Row],[Beginning Balance]]))),2)))</f>
        <v>0</v>
      </c>
      <c r="I109" s="3">
        <f>_xlfn.SINGLE(IF($C$3="Line of Credit",0,ROUND(MAX(MIN(IF($C$10="No",$E$7,VLOOKUP(Table157810[[#This Row],[Period]],Forecast!$H$2:$L$1048576,4,FALSE))*Table157810[[#This Row],[Beginning Balance]],Table157810[[#This Row],[Beginning Balance]]-Table157810[[#This Row],[Principal]]),0),2)))</f>
        <v>0</v>
      </c>
      <c r="J109" s="3">
        <f>ROUND(MIN(Table157810[[#This Row],[Beginning Balance]]*IF($C$8="No",$E$3,VLOOKUP(Table157810[[#This Row],[Period]],Forecast!$H$2:$L$1048576,2,FALSE)),Table157810[[#This Row],[Beginning Balance]]-Table157810[[#This Row],[Principal]]-Table157810[[#This Row],[Prepayments]]),2)</f>
        <v>0</v>
      </c>
      <c r="K109" s="3">
        <f>ROUND(Table157810[[#This Row],[Defaulted Principal]]*IF($C$9="No",$E$4,VLOOKUP(Table157810[[#This Row],[Period]],Forecast!$H$2:$L$1048576,3,FALSE)),2)</f>
        <v>0</v>
      </c>
      <c r="L109" s="2">
        <f>Table157810[[#This Row],[Period]]+$E$9</f>
        <v>105</v>
      </c>
      <c r="M109" s="3">
        <f>Table157810[[#This Row],[Defaulted Principal]]-Table157810[[#This Row],[Estimated Loss]]</f>
        <v>0</v>
      </c>
      <c r="N109" s="3">
        <f>IFERROR(VLOOKUP(Table157810[[#This Row],[Period]],$L$16:$M$385,2,FALSE),0)</f>
        <v>0</v>
      </c>
      <c r="O109" s="3">
        <f>Table157810[[#This Row],[Beginning Balance]]-Table157810[[#This Row],[Principal]]-Table157810[[#This Row],[Prepayments]]-Table157810[[#This Row],[Defaulted Principal]]</f>
        <v>0</v>
      </c>
      <c r="P109" s="3">
        <f>Table157810[[#This Row],[Principal]]+Table157810[[#This Row],[Interest]]+Table157810[[#This Row],[Prepayments]]+Table157810[[#This Row],[RecoveredAmount]]</f>
        <v>0</v>
      </c>
      <c r="Q109" s="3">
        <f ca="1">ROUND(Table157810[[#This Row],[Cash Flow]]/((1+ActualRateToUse)^(IF(ISNUMBER(SEARCH("Actual",$C$7)),Table157810[[#This Row],[Running Total]]/365,Table157810[[#This Row],[Period]]/12))),2)</f>
        <v>0</v>
      </c>
      <c r="R109" s="2">
        <f>IF(MONTH(Table157810[[#This Row],[Date]])=2,28,DAY(DATE(YEAR(Table157810[[#This Row],[Date]]),MONTH(Table157810[[#This Row],[Date]])+1,1)-1))</f>
        <v>31</v>
      </c>
      <c r="S109" s="2">
        <f ca="1">SUM(OFFSET(Table157810[[#Headers],[Days in month]],1,0):Table157810[[#This Row],[Days in month]])</f>
        <v>2829</v>
      </c>
      <c r="T109" s="37">
        <f>InterestRate*AmortizationMultiplier*IF(ISNUMBER(SEARCH("Actual",$C$7)),Table157810[[#This Row],[Days in month]]/365,1/12)</f>
        <v>5.9839472222222214E-3</v>
      </c>
    </row>
    <row r="110" spans="2:20" x14ac:dyDescent="0.2">
      <c r="B110" s="1">
        <v>48699</v>
      </c>
      <c r="C110" s="2">
        <f t="shared" si="4"/>
        <v>94</v>
      </c>
      <c r="D110" s="3">
        <f t="shared" si="3"/>
        <v>0</v>
      </c>
      <c r="E110" s="3">
        <f>ROUND(Table157810[[#This Row],[Beginning Balance]]*Table157810[[#This Row],[Monthly Interest Rate]],2)</f>
        <v>0</v>
      </c>
      <c r="F110" s="3">
        <f t="shared" si="5"/>
        <v>748</v>
      </c>
      <c r="G110" s="23">
        <f>IFERROR(IF($C$13="No","N/A",IF(Table157810[[#This Row],[Period]]=1,$C$6,PMT(InterestRate*AmortizationMultiplier/12,Table157810[[#This Row],[Am Thru]],-Table157810[[#This Row],[Beginning Balance]]))),0)</f>
        <v>0</v>
      </c>
      <c r="H110" s="3">
        <f>MAX(0,IF(C110=$C$4,D110,ROUND(IF($C$3="Fixed Principal",$C$6-Table157810[[#This Row],[Interest]],IF($C$3="Interest Only",Table157810[[#This Row],[Beginning Balance]]*ROUND(1-(1-IF($C$11="No",$E$8,1))^(1/12),6),MIN(IF($C$13="Yes",Table157810[[#This Row],[Payment Amount (Reamortized)]],$C$6)-Table157810[[#This Row],[Interest]],Table157810[[#This Row],[Beginning Balance]]))),2)))</f>
        <v>0</v>
      </c>
      <c r="I110" s="3">
        <f>_xlfn.SINGLE(IF($C$3="Line of Credit",0,ROUND(MAX(MIN(IF($C$10="No",$E$7,VLOOKUP(Table157810[[#This Row],[Period]],Forecast!$H$2:$L$1048576,4,FALSE))*Table157810[[#This Row],[Beginning Balance]],Table157810[[#This Row],[Beginning Balance]]-Table157810[[#This Row],[Principal]]),0),2)))</f>
        <v>0</v>
      </c>
      <c r="J110" s="3">
        <f>ROUND(MIN(Table157810[[#This Row],[Beginning Balance]]*IF($C$8="No",$E$3,VLOOKUP(Table157810[[#This Row],[Period]],Forecast!$H$2:$L$1048576,2,FALSE)),Table157810[[#This Row],[Beginning Balance]]-Table157810[[#This Row],[Principal]]-Table157810[[#This Row],[Prepayments]]),2)</f>
        <v>0</v>
      </c>
      <c r="K110" s="3">
        <f>ROUND(Table157810[[#This Row],[Defaulted Principal]]*IF($C$9="No",$E$4,VLOOKUP(Table157810[[#This Row],[Period]],Forecast!$H$2:$L$1048576,3,FALSE)),2)</f>
        <v>0</v>
      </c>
      <c r="L110" s="2">
        <f>Table157810[[#This Row],[Period]]+$E$9</f>
        <v>106</v>
      </c>
      <c r="M110" s="3">
        <f>Table157810[[#This Row],[Defaulted Principal]]-Table157810[[#This Row],[Estimated Loss]]</f>
        <v>0</v>
      </c>
      <c r="N110" s="3">
        <f>IFERROR(VLOOKUP(Table157810[[#This Row],[Period]],$L$16:$M$385,2,FALSE),0)</f>
        <v>0</v>
      </c>
      <c r="O110" s="3">
        <f>Table157810[[#This Row],[Beginning Balance]]-Table157810[[#This Row],[Principal]]-Table157810[[#This Row],[Prepayments]]-Table157810[[#This Row],[Defaulted Principal]]</f>
        <v>0</v>
      </c>
      <c r="P110" s="3">
        <f>Table157810[[#This Row],[Principal]]+Table157810[[#This Row],[Interest]]+Table157810[[#This Row],[Prepayments]]+Table157810[[#This Row],[RecoveredAmount]]</f>
        <v>0</v>
      </c>
      <c r="Q110" s="3">
        <f ca="1">ROUND(Table157810[[#This Row],[Cash Flow]]/((1+ActualRateToUse)^(IF(ISNUMBER(SEARCH("Actual",$C$7)),Table157810[[#This Row],[Running Total]]/365,Table157810[[#This Row],[Period]]/12))),2)</f>
        <v>0</v>
      </c>
      <c r="R110" s="2">
        <f>IF(MONTH(Table157810[[#This Row],[Date]])=2,28,DAY(DATE(YEAR(Table157810[[#This Row],[Date]]),MONTH(Table157810[[#This Row],[Date]])+1,1)-1))</f>
        <v>30</v>
      </c>
      <c r="S110" s="2">
        <f ca="1">SUM(OFFSET(Table157810[[#Headers],[Days in month]],1,0):Table157810[[#This Row],[Days in month]])</f>
        <v>2859</v>
      </c>
      <c r="T110" s="37">
        <f>InterestRate*AmortizationMultiplier*IF(ISNUMBER(SEARCH("Actual",$C$7)),Table157810[[#This Row],[Days in month]]/365,1/12)</f>
        <v>5.7909166666666656E-3</v>
      </c>
    </row>
    <row r="111" spans="2:20" x14ac:dyDescent="0.2">
      <c r="B111" s="1">
        <v>48730</v>
      </c>
      <c r="C111" s="2">
        <f t="shared" si="4"/>
        <v>95</v>
      </c>
      <c r="D111" s="3">
        <f t="shared" si="3"/>
        <v>0</v>
      </c>
      <c r="E111" s="3">
        <f>ROUND(Table157810[[#This Row],[Beginning Balance]]*Table157810[[#This Row],[Monthly Interest Rate]],2)</f>
        <v>0</v>
      </c>
      <c r="F111" s="3">
        <f t="shared" si="5"/>
        <v>747</v>
      </c>
      <c r="G111" s="23">
        <f>IFERROR(IF($C$13="No","N/A",IF(Table157810[[#This Row],[Period]]=1,$C$6,PMT(InterestRate*AmortizationMultiplier/12,Table157810[[#This Row],[Am Thru]],-Table157810[[#This Row],[Beginning Balance]]))),0)</f>
        <v>0</v>
      </c>
      <c r="H111" s="3">
        <f>MAX(0,IF(C111=$C$4,D111,ROUND(IF($C$3="Fixed Principal",$C$6-Table157810[[#This Row],[Interest]],IF($C$3="Interest Only",Table157810[[#This Row],[Beginning Balance]]*ROUND(1-(1-IF($C$11="No",$E$8,1))^(1/12),6),MIN(IF($C$13="Yes",Table157810[[#This Row],[Payment Amount (Reamortized)]],$C$6)-Table157810[[#This Row],[Interest]],Table157810[[#This Row],[Beginning Balance]]))),2)))</f>
        <v>0</v>
      </c>
      <c r="I111" s="3">
        <f>_xlfn.SINGLE(IF($C$3="Line of Credit",0,ROUND(MAX(MIN(IF($C$10="No",$E$7,VLOOKUP(Table157810[[#This Row],[Period]],Forecast!$H$2:$L$1048576,4,FALSE))*Table157810[[#This Row],[Beginning Balance]],Table157810[[#This Row],[Beginning Balance]]-Table157810[[#This Row],[Principal]]),0),2)))</f>
        <v>0</v>
      </c>
      <c r="J111" s="3">
        <f>ROUND(MIN(Table157810[[#This Row],[Beginning Balance]]*IF($C$8="No",$E$3,VLOOKUP(Table157810[[#This Row],[Period]],Forecast!$H$2:$L$1048576,2,FALSE)),Table157810[[#This Row],[Beginning Balance]]-Table157810[[#This Row],[Principal]]-Table157810[[#This Row],[Prepayments]]),2)</f>
        <v>0</v>
      </c>
      <c r="K111" s="3">
        <f>ROUND(Table157810[[#This Row],[Defaulted Principal]]*IF($C$9="No",$E$4,VLOOKUP(Table157810[[#This Row],[Period]],Forecast!$H$2:$L$1048576,3,FALSE)),2)</f>
        <v>0</v>
      </c>
      <c r="L111" s="2">
        <f>Table157810[[#This Row],[Period]]+$E$9</f>
        <v>107</v>
      </c>
      <c r="M111" s="3">
        <f>Table157810[[#This Row],[Defaulted Principal]]-Table157810[[#This Row],[Estimated Loss]]</f>
        <v>0</v>
      </c>
      <c r="N111" s="3">
        <f>IFERROR(VLOOKUP(Table157810[[#This Row],[Period]],$L$16:$M$385,2,FALSE),0)</f>
        <v>0</v>
      </c>
      <c r="O111" s="3">
        <f>Table157810[[#This Row],[Beginning Balance]]-Table157810[[#This Row],[Principal]]-Table157810[[#This Row],[Prepayments]]-Table157810[[#This Row],[Defaulted Principal]]</f>
        <v>0</v>
      </c>
      <c r="P111" s="3">
        <f>Table157810[[#This Row],[Principal]]+Table157810[[#This Row],[Interest]]+Table157810[[#This Row],[Prepayments]]+Table157810[[#This Row],[RecoveredAmount]]</f>
        <v>0</v>
      </c>
      <c r="Q111" s="3">
        <f ca="1">ROUND(Table157810[[#This Row],[Cash Flow]]/((1+ActualRateToUse)^(IF(ISNUMBER(SEARCH("Actual",$C$7)),Table157810[[#This Row],[Running Total]]/365,Table157810[[#This Row],[Period]]/12))),2)</f>
        <v>0</v>
      </c>
      <c r="R111" s="2">
        <f>IF(MONTH(Table157810[[#This Row],[Date]])=2,28,DAY(DATE(YEAR(Table157810[[#This Row],[Date]]),MONTH(Table157810[[#This Row],[Date]])+1,1)-1))</f>
        <v>31</v>
      </c>
      <c r="S111" s="2">
        <f ca="1">SUM(OFFSET(Table157810[[#Headers],[Days in month]],1,0):Table157810[[#This Row],[Days in month]])</f>
        <v>2890</v>
      </c>
      <c r="T111" s="37">
        <f>InterestRate*AmortizationMultiplier*IF(ISNUMBER(SEARCH("Actual",$C$7)),Table157810[[#This Row],[Days in month]]/365,1/12)</f>
        <v>5.9839472222222214E-3</v>
      </c>
    </row>
    <row r="112" spans="2:20" x14ac:dyDescent="0.2">
      <c r="B112" s="1">
        <v>48760</v>
      </c>
      <c r="C112" s="2">
        <f t="shared" si="4"/>
        <v>96</v>
      </c>
      <c r="D112" s="3">
        <f t="shared" si="3"/>
        <v>0</v>
      </c>
      <c r="E112" s="3">
        <f>ROUND(Table157810[[#This Row],[Beginning Balance]]*Table157810[[#This Row],[Monthly Interest Rate]],2)</f>
        <v>0</v>
      </c>
      <c r="F112" s="3">
        <f t="shared" si="5"/>
        <v>746</v>
      </c>
      <c r="G112" s="23">
        <f>IFERROR(IF($C$13="No","N/A",IF(Table157810[[#This Row],[Period]]=1,$C$6,PMT(InterestRate*AmortizationMultiplier/12,Table157810[[#This Row],[Am Thru]],-Table157810[[#This Row],[Beginning Balance]]))),0)</f>
        <v>0</v>
      </c>
      <c r="H112" s="3">
        <f>MAX(0,IF(C112=$C$4,D112,ROUND(IF($C$3="Fixed Principal",$C$6-Table157810[[#This Row],[Interest]],IF($C$3="Interest Only",Table157810[[#This Row],[Beginning Balance]]*ROUND(1-(1-IF($C$11="No",$E$8,1))^(1/12),6),MIN(IF($C$13="Yes",Table157810[[#This Row],[Payment Amount (Reamortized)]],$C$6)-Table157810[[#This Row],[Interest]],Table157810[[#This Row],[Beginning Balance]]))),2)))</f>
        <v>0</v>
      </c>
      <c r="I112" s="3">
        <f>_xlfn.SINGLE(IF($C$3="Line of Credit",0,ROUND(MAX(MIN(IF($C$10="No",$E$7,VLOOKUP(Table157810[[#This Row],[Period]],Forecast!$H$2:$L$1048576,4,FALSE))*Table157810[[#This Row],[Beginning Balance]],Table157810[[#This Row],[Beginning Balance]]-Table157810[[#This Row],[Principal]]),0),2)))</f>
        <v>0</v>
      </c>
      <c r="J112" s="3">
        <f>ROUND(MIN(Table157810[[#This Row],[Beginning Balance]]*IF($C$8="No",$E$3,VLOOKUP(Table157810[[#This Row],[Period]],Forecast!$H$2:$L$1048576,2,FALSE)),Table157810[[#This Row],[Beginning Balance]]-Table157810[[#This Row],[Principal]]-Table157810[[#This Row],[Prepayments]]),2)</f>
        <v>0</v>
      </c>
      <c r="K112" s="3">
        <f>ROUND(Table157810[[#This Row],[Defaulted Principal]]*IF($C$9="No",$E$4,VLOOKUP(Table157810[[#This Row],[Period]],Forecast!$H$2:$L$1048576,3,FALSE)),2)</f>
        <v>0</v>
      </c>
      <c r="L112" s="2">
        <f>Table157810[[#This Row],[Period]]+$E$9</f>
        <v>108</v>
      </c>
      <c r="M112" s="3">
        <f>Table157810[[#This Row],[Defaulted Principal]]-Table157810[[#This Row],[Estimated Loss]]</f>
        <v>0</v>
      </c>
      <c r="N112" s="3">
        <f>IFERROR(VLOOKUP(Table157810[[#This Row],[Period]],$L$16:$M$385,2,FALSE),0)</f>
        <v>0</v>
      </c>
      <c r="O112" s="3">
        <f>Table157810[[#This Row],[Beginning Balance]]-Table157810[[#This Row],[Principal]]-Table157810[[#This Row],[Prepayments]]-Table157810[[#This Row],[Defaulted Principal]]</f>
        <v>0</v>
      </c>
      <c r="P112" s="3">
        <f>Table157810[[#This Row],[Principal]]+Table157810[[#This Row],[Interest]]+Table157810[[#This Row],[Prepayments]]+Table157810[[#This Row],[RecoveredAmount]]</f>
        <v>0</v>
      </c>
      <c r="Q112" s="3">
        <f ca="1">ROUND(Table157810[[#This Row],[Cash Flow]]/((1+ActualRateToUse)^(IF(ISNUMBER(SEARCH("Actual",$C$7)),Table157810[[#This Row],[Running Total]]/365,Table157810[[#This Row],[Period]]/12))),2)</f>
        <v>0</v>
      </c>
      <c r="R112" s="2">
        <f>IF(MONTH(Table157810[[#This Row],[Date]])=2,28,DAY(DATE(YEAR(Table157810[[#This Row],[Date]]),MONTH(Table157810[[#This Row],[Date]])+1,1)-1))</f>
        <v>30</v>
      </c>
      <c r="S112" s="2">
        <f ca="1">SUM(OFFSET(Table157810[[#Headers],[Days in month]],1,0):Table157810[[#This Row],[Days in month]])</f>
        <v>2920</v>
      </c>
      <c r="T112" s="37">
        <f>InterestRate*AmortizationMultiplier*IF(ISNUMBER(SEARCH("Actual",$C$7)),Table157810[[#This Row],[Days in month]]/365,1/12)</f>
        <v>5.7909166666666656E-3</v>
      </c>
    </row>
    <row r="113" spans="2:20" x14ac:dyDescent="0.2">
      <c r="B113" s="1">
        <v>48791</v>
      </c>
      <c r="C113" s="2">
        <f t="shared" si="4"/>
        <v>97</v>
      </c>
      <c r="D113" s="3">
        <f t="shared" si="3"/>
        <v>0</v>
      </c>
      <c r="E113" s="3">
        <f>ROUND(Table157810[[#This Row],[Beginning Balance]]*Table157810[[#This Row],[Monthly Interest Rate]],2)</f>
        <v>0</v>
      </c>
      <c r="F113" s="3">
        <f t="shared" si="5"/>
        <v>745</v>
      </c>
      <c r="G113" s="23">
        <f>IFERROR(IF($C$13="No","N/A",IF(Table157810[[#This Row],[Period]]=1,$C$6,PMT(InterestRate*AmortizationMultiplier/12,Table157810[[#This Row],[Am Thru]],-Table157810[[#This Row],[Beginning Balance]]))),0)</f>
        <v>0</v>
      </c>
      <c r="H113" s="3">
        <f>MAX(0,IF(C113=$C$4,D113,ROUND(IF($C$3="Fixed Principal",$C$6-Table157810[[#This Row],[Interest]],IF($C$3="Interest Only",Table157810[[#This Row],[Beginning Balance]]*ROUND(1-(1-IF($C$11="No",$E$8,1))^(1/12),6),MIN(IF($C$13="Yes",Table157810[[#This Row],[Payment Amount (Reamortized)]],$C$6)-Table157810[[#This Row],[Interest]],Table157810[[#This Row],[Beginning Balance]]))),2)))</f>
        <v>0</v>
      </c>
      <c r="I113" s="3">
        <f>_xlfn.SINGLE(IF($C$3="Line of Credit",0,ROUND(MAX(MIN(IF($C$10="No",$E$7,VLOOKUP(Table157810[[#This Row],[Period]],Forecast!$H$2:$L$1048576,4,FALSE))*Table157810[[#This Row],[Beginning Balance]],Table157810[[#This Row],[Beginning Balance]]-Table157810[[#This Row],[Principal]]),0),2)))</f>
        <v>0</v>
      </c>
      <c r="J113" s="3">
        <f>ROUND(MIN(Table157810[[#This Row],[Beginning Balance]]*IF($C$8="No",$E$3,VLOOKUP(Table157810[[#This Row],[Period]],Forecast!$H$2:$L$1048576,2,FALSE)),Table157810[[#This Row],[Beginning Balance]]-Table157810[[#This Row],[Principal]]-Table157810[[#This Row],[Prepayments]]),2)</f>
        <v>0</v>
      </c>
      <c r="K113" s="3">
        <f>ROUND(Table157810[[#This Row],[Defaulted Principal]]*IF($C$9="No",$E$4,VLOOKUP(Table157810[[#This Row],[Period]],Forecast!$H$2:$L$1048576,3,FALSE)),2)</f>
        <v>0</v>
      </c>
      <c r="L113" s="2">
        <f>Table157810[[#This Row],[Period]]+$E$9</f>
        <v>109</v>
      </c>
      <c r="M113" s="3">
        <f>Table157810[[#This Row],[Defaulted Principal]]-Table157810[[#This Row],[Estimated Loss]]</f>
        <v>0</v>
      </c>
      <c r="N113" s="3">
        <f>IFERROR(VLOOKUP(Table157810[[#This Row],[Period]],$L$16:$M$385,2,FALSE),0)</f>
        <v>0</v>
      </c>
      <c r="O113" s="3">
        <f>Table157810[[#This Row],[Beginning Balance]]-Table157810[[#This Row],[Principal]]-Table157810[[#This Row],[Prepayments]]-Table157810[[#This Row],[Defaulted Principal]]</f>
        <v>0</v>
      </c>
      <c r="P113" s="3">
        <f>Table157810[[#This Row],[Principal]]+Table157810[[#This Row],[Interest]]+Table157810[[#This Row],[Prepayments]]+Table157810[[#This Row],[RecoveredAmount]]</f>
        <v>0</v>
      </c>
      <c r="Q113" s="3">
        <f ca="1">ROUND(Table157810[[#This Row],[Cash Flow]]/((1+ActualRateToUse)^(IF(ISNUMBER(SEARCH("Actual",$C$7)),Table157810[[#This Row],[Running Total]]/365,Table157810[[#This Row],[Period]]/12))),2)</f>
        <v>0</v>
      </c>
      <c r="R113" s="2">
        <f>IF(MONTH(Table157810[[#This Row],[Date]])=2,28,DAY(DATE(YEAR(Table157810[[#This Row],[Date]]),MONTH(Table157810[[#This Row],[Date]])+1,1)-1))</f>
        <v>31</v>
      </c>
      <c r="S113" s="2">
        <f ca="1">SUM(OFFSET(Table157810[[#Headers],[Days in month]],1,0):Table157810[[#This Row],[Days in month]])</f>
        <v>2951</v>
      </c>
      <c r="T113" s="37">
        <f>InterestRate*AmortizationMultiplier*IF(ISNUMBER(SEARCH("Actual",$C$7)),Table157810[[#This Row],[Days in month]]/365,1/12)</f>
        <v>5.9839472222222214E-3</v>
      </c>
    </row>
    <row r="114" spans="2:20" x14ac:dyDescent="0.2">
      <c r="B114" s="1">
        <v>48822</v>
      </c>
      <c r="C114" s="2">
        <f t="shared" si="4"/>
        <v>98</v>
      </c>
      <c r="D114" s="3">
        <f t="shared" si="3"/>
        <v>0</v>
      </c>
      <c r="E114" s="3">
        <f>ROUND(Table157810[[#This Row],[Beginning Balance]]*Table157810[[#This Row],[Monthly Interest Rate]],2)</f>
        <v>0</v>
      </c>
      <c r="F114" s="3">
        <f t="shared" si="5"/>
        <v>744</v>
      </c>
      <c r="G114" s="23">
        <f>IFERROR(IF($C$13="No","N/A",IF(Table157810[[#This Row],[Period]]=1,$C$6,PMT(InterestRate*AmortizationMultiplier/12,Table157810[[#This Row],[Am Thru]],-Table157810[[#This Row],[Beginning Balance]]))),0)</f>
        <v>0</v>
      </c>
      <c r="H114" s="3">
        <f>MAX(0,IF(C114=$C$4,D114,ROUND(IF($C$3="Fixed Principal",$C$6-Table157810[[#This Row],[Interest]],IF($C$3="Interest Only",Table157810[[#This Row],[Beginning Balance]]*ROUND(1-(1-IF($C$11="No",$E$8,1))^(1/12),6),MIN(IF($C$13="Yes",Table157810[[#This Row],[Payment Amount (Reamortized)]],$C$6)-Table157810[[#This Row],[Interest]],Table157810[[#This Row],[Beginning Balance]]))),2)))</f>
        <v>0</v>
      </c>
      <c r="I114" s="3">
        <f>_xlfn.SINGLE(IF($C$3="Line of Credit",0,ROUND(MAX(MIN(IF($C$10="No",$E$7,VLOOKUP(Table157810[[#This Row],[Period]],Forecast!$H$2:$L$1048576,4,FALSE))*Table157810[[#This Row],[Beginning Balance]],Table157810[[#This Row],[Beginning Balance]]-Table157810[[#This Row],[Principal]]),0),2)))</f>
        <v>0</v>
      </c>
      <c r="J114" s="3">
        <f>ROUND(MIN(Table157810[[#This Row],[Beginning Balance]]*IF($C$8="No",$E$3,VLOOKUP(Table157810[[#This Row],[Period]],Forecast!$H$2:$L$1048576,2,FALSE)),Table157810[[#This Row],[Beginning Balance]]-Table157810[[#This Row],[Principal]]-Table157810[[#This Row],[Prepayments]]),2)</f>
        <v>0</v>
      </c>
      <c r="K114" s="3">
        <f>ROUND(Table157810[[#This Row],[Defaulted Principal]]*IF($C$9="No",$E$4,VLOOKUP(Table157810[[#This Row],[Period]],Forecast!$H$2:$L$1048576,3,FALSE)),2)</f>
        <v>0</v>
      </c>
      <c r="L114" s="2">
        <f>Table157810[[#This Row],[Period]]+$E$9</f>
        <v>110</v>
      </c>
      <c r="M114" s="3">
        <f>Table157810[[#This Row],[Defaulted Principal]]-Table157810[[#This Row],[Estimated Loss]]</f>
        <v>0</v>
      </c>
      <c r="N114" s="3">
        <f>IFERROR(VLOOKUP(Table157810[[#This Row],[Period]],$L$16:$M$385,2,FALSE),0)</f>
        <v>0</v>
      </c>
      <c r="O114" s="3">
        <f>Table157810[[#This Row],[Beginning Balance]]-Table157810[[#This Row],[Principal]]-Table157810[[#This Row],[Prepayments]]-Table157810[[#This Row],[Defaulted Principal]]</f>
        <v>0</v>
      </c>
      <c r="P114" s="3">
        <f>Table157810[[#This Row],[Principal]]+Table157810[[#This Row],[Interest]]+Table157810[[#This Row],[Prepayments]]+Table157810[[#This Row],[RecoveredAmount]]</f>
        <v>0</v>
      </c>
      <c r="Q114" s="3">
        <f ca="1">ROUND(Table157810[[#This Row],[Cash Flow]]/((1+ActualRateToUse)^(IF(ISNUMBER(SEARCH("Actual",$C$7)),Table157810[[#This Row],[Running Total]]/365,Table157810[[#This Row],[Period]]/12))),2)</f>
        <v>0</v>
      </c>
      <c r="R114" s="2">
        <f>IF(MONTH(Table157810[[#This Row],[Date]])=2,28,DAY(DATE(YEAR(Table157810[[#This Row],[Date]]),MONTH(Table157810[[#This Row],[Date]])+1,1)-1))</f>
        <v>31</v>
      </c>
      <c r="S114" s="2">
        <f ca="1">SUM(OFFSET(Table157810[[#Headers],[Days in month]],1,0):Table157810[[#This Row],[Days in month]])</f>
        <v>2982</v>
      </c>
      <c r="T114" s="37">
        <f>InterestRate*AmortizationMultiplier*IF(ISNUMBER(SEARCH("Actual",$C$7)),Table157810[[#This Row],[Days in month]]/365,1/12)</f>
        <v>5.9839472222222214E-3</v>
      </c>
    </row>
    <row r="115" spans="2:20" x14ac:dyDescent="0.2">
      <c r="B115" s="1">
        <v>48852</v>
      </c>
      <c r="C115" s="2">
        <f t="shared" si="4"/>
        <v>99</v>
      </c>
      <c r="D115" s="3">
        <f t="shared" si="3"/>
        <v>0</v>
      </c>
      <c r="E115" s="3">
        <f>ROUND(Table157810[[#This Row],[Beginning Balance]]*Table157810[[#This Row],[Monthly Interest Rate]],2)</f>
        <v>0</v>
      </c>
      <c r="F115" s="3">
        <f t="shared" si="5"/>
        <v>743</v>
      </c>
      <c r="G115" s="23">
        <f>IFERROR(IF($C$13="No","N/A",IF(Table157810[[#This Row],[Period]]=1,$C$6,PMT(InterestRate*AmortizationMultiplier/12,Table157810[[#This Row],[Am Thru]],-Table157810[[#This Row],[Beginning Balance]]))),0)</f>
        <v>0</v>
      </c>
      <c r="H115" s="3">
        <f>MAX(0,IF(C115=$C$4,D115,ROUND(IF($C$3="Fixed Principal",$C$6-Table157810[[#This Row],[Interest]],IF($C$3="Interest Only",Table157810[[#This Row],[Beginning Balance]]*ROUND(1-(1-IF($C$11="No",$E$8,1))^(1/12),6),MIN(IF($C$13="Yes",Table157810[[#This Row],[Payment Amount (Reamortized)]],$C$6)-Table157810[[#This Row],[Interest]],Table157810[[#This Row],[Beginning Balance]]))),2)))</f>
        <v>0</v>
      </c>
      <c r="I115" s="3">
        <f>_xlfn.SINGLE(IF($C$3="Line of Credit",0,ROUND(MAX(MIN(IF($C$10="No",$E$7,VLOOKUP(Table157810[[#This Row],[Period]],Forecast!$H$2:$L$1048576,4,FALSE))*Table157810[[#This Row],[Beginning Balance]],Table157810[[#This Row],[Beginning Balance]]-Table157810[[#This Row],[Principal]]),0),2)))</f>
        <v>0</v>
      </c>
      <c r="J115" s="3">
        <f>ROUND(MIN(Table157810[[#This Row],[Beginning Balance]]*IF($C$8="No",$E$3,VLOOKUP(Table157810[[#This Row],[Period]],Forecast!$H$2:$L$1048576,2,FALSE)),Table157810[[#This Row],[Beginning Balance]]-Table157810[[#This Row],[Principal]]-Table157810[[#This Row],[Prepayments]]),2)</f>
        <v>0</v>
      </c>
      <c r="K115" s="3">
        <f>ROUND(Table157810[[#This Row],[Defaulted Principal]]*IF($C$9="No",$E$4,VLOOKUP(Table157810[[#This Row],[Period]],Forecast!$H$2:$L$1048576,3,FALSE)),2)</f>
        <v>0</v>
      </c>
      <c r="L115" s="2">
        <f>Table157810[[#This Row],[Period]]+$E$9</f>
        <v>111</v>
      </c>
      <c r="M115" s="3">
        <f>Table157810[[#This Row],[Defaulted Principal]]-Table157810[[#This Row],[Estimated Loss]]</f>
        <v>0</v>
      </c>
      <c r="N115" s="3">
        <f>IFERROR(VLOOKUP(Table157810[[#This Row],[Period]],$L$16:$M$385,2,FALSE),0)</f>
        <v>0</v>
      </c>
      <c r="O115" s="3">
        <f>Table157810[[#This Row],[Beginning Balance]]-Table157810[[#This Row],[Principal]]-Table157810[[#This Row],[Prepayments]]-Table157810[[#This Row],[Defaulted Principal]]</f>
        <v>0</v>
      </c>
      <c r="P115" s="3">
        <f>Table157810[[#This Row],[Principal]]+Table157810[[#This Row],[Interest]]+Table157810[[#This Row],[Prepayments]]+Table157810[[#This Row],[RecoveredAmount]]</f>
        <v>0</v>
      </c>
      <c r="Q115" s="3">
        <f ca="1">ROUND(Table157810[[#This Row],[Cash Flow]]/((1+ActualRateToUse)^(IF(ISNUMBER(SEARCH("Actual",$C$7)),Table157810[[#This Row],[Running Total]]/365,Table157810[[#This Row],[Period]]/12))),2)</f>
        <v>0</v>
      </c>
      <c r="R115" s="2">
        <f>IF(MONTH(Table157810[[#This Row],[Date]])=2,28,DAY(DATE(YEAR(Table157810[[#This Row],[Date]]),MONTH(Table157810[[#This Row],[Date]])+1,1)-1))</f>
        <v>30</v>
      </c>
      <c r="S115" s="2">
        <f ca="1">SUM(OFFSET(Table157810[[#Headers],[Days in month]],1,0):Table157810[[#This Row],[Days in month]])</f>
        <v>3012</v>
      </c>
      <c r="T115" s="37">
        <f>InterestRate*AmortizationMultiplier*IF(ISNUMBER(SEARCH("Actual",$C$7)),Table157810[[#This Row],[Days in month]]/365,1/12)</f>
        <v>5.7909166666666656E-3</v>
      </c>
    </row>
    <row r="116" spans="2:20" x14ac:dyDescent="0.2">
      <c r="B116" s="1">
        <v>48883</v>
      </c>
      <c r="C116" s="2">
        <f t="shared" si="4"/>
        <v>100</v>
      </c>
      <c r="D116" s="3">
        <f t="shared" si="3"/>
        <v>0</v>
      </c>
      <c r="E116" s="3">
        <f>ROUND(Table157810[[#This Row],[Beginning Balance]]*Table157810[[#This Row],[Monthly Interest Rate]],2)</f>
        <v>0</v>
      </c>
      <c r="F116" s="3">
        <f t="shared" si="5"/>
        <v>742</v>
      </c>
      <c r="G116" s="23">
        <f>IFERROR(IF($C$13="No","N/A",IF(Table157810[[#This Row],[Period]]=1,$C$6,PMT(InterestRate*AmortizationMultiplier/12,Table157810[[#This Row],[Am Thru]],-Table157810[[#This Row],[Beginning Balance]]))),0)</f>
        <v>0</v>
      </c>
      <c r="H116" s="3">
        <f>MAX(0,IF(C116=$C$4,D116,ROUND(IF($C$3="Fixed Principal",$C$6-Table157810[[#This Row],[Interest]],IF($C$3="Interest Only",Table157810[[#This Row],[Beginning Balance]]*ROUND(1-(1-IF($C$11="No",$E$8,1))^(1/12),6),MIN(IF($C$13="Yes",Table157810[[#This Row],[Payment Amount (Reamortized)]],$C$6)-Table157810[[#This Row],[Interest]],Table157810[[#This Row],[Beginning Balance]]))),2)))</f>
        <v>0</v>
      </c>
      <c r="I116" s="3">
        <f>_xlfn.SINGLE(IF($C$3="Line of Credit",0,ROUND(MAX(MIN(IF($C$10="No",$E$7,VLOOKUP(Table157810[[#This Row],[Period]],Forecast!$H$2:$L$1048576,4,FALSE))*Table157810[[#This Row],[Beginning Balance]],Table157810[[#This Row],[Beginning Balance]]-Table157810[[#This Row],[Principal]]),0),2)))</f>
        <v>0</v>
      </c>
      <c r="J116" s="3">
        <f>ROUND(MIN(Table157810[[#This Row],[Beginning Balance]]*IF($C$8="No",$E$3,VLOOKUP(Table157810[[#This Row],[Period]],Forecast!$H$2:$L$1048576,2,FALSE)),Table157810[[#This Row],[Beginning Balance]]-Table157810[[#This Row],[Principal]]-Table157810[[#This Row],[Prepayments]]),2)</f>
        <v>0</v>
      </c>
      <c r="K116" s="3">
        <f>ROUND(Table157810[[#This Row],[Defaulted Principal]]*IF($C$9="No",$E$4,VLOOKUP(Table157810[[#This Row],[Period]],Forecast!$H$2:$L$1048576,3,FALSE)),2)</f>
        <v>0</v>
      </c>
      <c r="L116" s="2">
        <f>Table157810[[#This Row],[Period]]+$E$9</f>
        <v>112</v>
      </c>
      <c r="M116" s="3">
        <f>Table157810[[#This Row],[Defaulted Principal]]-Table157810[[#This Row],[Estimated Loss]]</f>
        <v>0</v>
      </c>
      <c r="N116" s="3">
        <f>IFERROR(VLOOKUP(Table157810[[#This Row],[Period]],$L$16:$M$385,2,FALSE),0)</f>
        <v>0</v>
      </c>
      <c r="O116" s="3">
        <f>Table157810[[#This Row],[Beginning Balance]]-Table157810[[#This Row],[Principal]]-Table157810[[#This Row],[Prepayments]]-Table157810[[#This Row],[Defaulted Principal]]</f>
        <v>0</v>
      </c>
      <c r="P116" s="3">
        <f>Table157810[[#This Row],[Principal]]+Table157810[[#This Row],[Interest]]+Table157810[[#This Row],[Prepayments]]+Table157810[[#This Row],[RecoveredAmount]]</f>
        <v>0</v>
      </c>
      <c r="Q116" s="3">
        <f ca="1">ROUND(Table157810[[#This Row],[Cash Flow]]/((1+ActualRateToUse)^(IF(ISNUMBER(SEARCH("Actual",$C$7)),Table157810[[#This Row],[Running Total]]/365,Table157810[[#This Row],[Period]]/12))),2)</f>
        <v>0</v>
      </c>
      <c r="R116" s="2">
        <f>IF(MONTH(Table157810[[#This Row],[Date]])=2,28,DAY(DATE(YEAR(Table157810[[#This Row],[Date]]),MONTH(Table157810[[#This Row],[Date]])+1,1)-1))</f>
        <v>31</v>
      </c>
      <c r="S116" s="2">
        <f ca="1">SUM(OFFSET(Table157810[[#Headers],[Days in month]],1,0):Table157810[[#This Row],[Days in month]])</f>
        <v>3043</v>
      </c>
      <c r="T116" s="37">
        <f>InterestRate*AmortizationMultiplier*IF(ISNUMBER(SEARCH("Actual",$C$7)),Table157810[[#This Row],[Days in month]]/365,1/12)</f>
        <v>5.9839472222222214E-3</v>
      </c>
    </row>
    <row r="117" spans="2:20" x14ac:dyDescent="0.2">
      <c r="B117" s="1">
        <v>48913</v>
      </c>
      <c r="C117" s="2">
        <f t="shared" si="4"/>
        <v>101</v>
      </c>
      <c r="D117" s="3">
        <f t="shared" si="3"/>
        <v>0</v>
      </c>
      <c r="E117" s="3">
        <f>ROUND(Table157810[[#This Row],[Beginning Balance]]*Table157810[[#This Row],[Monthly Interest Rate]],2)</f>
        <v>0</v>
      </c>
      <c r="F117" s="3">
        <f t="shared" si="5"/>
        <v>741</v>
      </c>
      <c r="G117" s="23">
        <f>IFERROR(IF($C$13="No","N/A",IF(Table157810[[#This Row],[Period]]=1,$C$6,PMT(InterestRate*AmortizationMultiplier/12,Table157810[[#This Row],[Am Thru]],-Table157810[[#This Row],[Beginning Balance]]))),0)</f>
        <v>0</v>
      </c>
      <c r="H117" s="3">
        <f>MAX(0,IF(C117=$C$4,D117,ROUND(IF($C$3="Fixed Principal",$C$6-Table157810[[#This Row],[Interest]],IF($C$3="Interest Only",Table157810[[#This Row],[Beginning Balance]]*ROUND(1-(1-IF($C$11="No",$E$8,1))^(1/12),6),MIN(IF($C$13="Yes",Table157810[[#This Row],[Payment Amount (Reamortized)]],$C$6)-Table157810[[#This Row],[Interest]],Table157810[[#This Row],[Beginning Balance]]))),2)))</f>
        <v>0</v>
      </c>
      <c r="I117" s="3">
        <f>_xlfn.SINGLE(IF($C$3="Line of Credit",0,ROUND(MAX(MIN(IF($C$10="No",$E$7,VLOOKUP(Table157810[[#This Row],[Period]],Forecast!$H$2:$L$1048576,4,FALSE))*Table157810[[#This Row],[Beginning Balance]],Table157810[[#This Row],[Beginning Balance]]-Table157810[[#This Row],[Principal]]),0),2)))</f>
        <v>0</v>
      </c>
      <c r="J117" s="3">
        <f>ROUND(MIN(Table157810[[#This Row],[Beginning Balance]]*IF($C$8="No",$E$3,VLOOKUP(Table157810[[#This Row],[Period]],Forecast!$H$2:$L$1048576,2,FALSE)),Table157810[[#This Row],[Beginning Balance]]-Table157810[[#This Row],[Principal]]-Table157810[[#This Row],[Prepayments]]),2)</f>
        <v>0</v>
      </c>
      <c r="K117" s="3">
        <f>ROUND(Table157810[[#This Row],[Defaulted Principal]]*IF($C$9="No",$E$4,VLOOKUP(Table157810[[#This Row],[Period]],Forecast!$H$2:$L$1048576,3,FALSE)),2)</f>
        <v>0</v>
      </c>
      <c r="L117" s="2">
        <f>Table157810[[#This Row],[Period]]+$E$9</f>
        <v>113</v>
      </c>
      <c r="M117" s="3">
        <f>Table157810[[#This Row],[Defaulted Principal]]-Table157810[[#This Row],[Estimated Loss]]</f>
        <v>0</v>
      </c>
      <c r="N117" s="3">
        <f>IFERROR(VLOOKUP(Table157810[[#This Row],[Period]],$L$16:$M$385,2,FALSE),0)</f>
        <v>0</v>
      </c>
      <c r="O117" s="3">
        <f>Table157810[[#This Row],[Beginning Balance]]-Table157810[[#This Row],[Principal]]-Table157810[[#This Row],[Prepayments]]-Table157810[[#This Row],[Defaulted Principal]]</f>
        <v>0</v>
      </c>
      <c r="P117" s="3">
        <f>Table157810[[#This Row],[Principal]]+Table157810[[#This Row],[Interest]]+Table157810[[#This Row],[Prepayments]]+Table157810[[#This Row],[RecoveredAmount]]</f>
        <v>0</v>
      </c>
      <c r="Q117" s="3">
        <f ca="1">ROUND(Table157810[[#This Row],[Cash Flow]]/((1+ActualRateToUse)^(IF(ISNUMBER(SEARCH("Actual",$C$7)),Table157810[[#This Row],[Running Total]]/365,Table157810[[#This Row],[Period]]/12))),2)</f>
        <v>0</v>
      </c>
      <c r="R117" s="2">
        <f>IF(MONTH(Table157810[[#This Row],[Date]])=2,28,DAY(DATE(YEAR(Table157810[[#This Row],[Date]]),MONTH(Table157810[[#This Row],[Date]])+1,1)-1))</f>
        <v>30</v>
      </c>
      <c r="S117" s="2">
        <f ca="1">SUM(OFFSET(Table157810[[#Headers],[Days in month]],1,0):Table157810[[#This Row],[Days in month]])</f>
        <v>3073</v>
      </c>
      <c r="T117" s="37">
        <f>InterestRate*AmortizationMultiplier*IF(ISNUMBER(SEARCH("Actual",$C$7)),Table157810[[#This Row],[Days in month]]/365,1/12)</f>
        <v>5.7909166666666656E-3</v>
      </c>
    </row>
    <row r="118" spans="2:20" x14ac:dyDescent="0.2">
      <c r="B118" s="1">
        <v>48944</v>
      </c>
      <c r="C118" s="2">
        <f t="shared" si="4"/>
        <v>102</v>
      </c>
      <c r="D118" s="3">
        <f t="shared" si="3"/>
        <v>0</v>
      </c>
      <c r="E118" s="3">
        <f>ROUND(Table157810[[#This Row],[Beginning Balance]]*Table157810[[#This Row],[Monthly Interest Rate]],2)</f>
        <v>0</v>
      </c>
      <c r="F118" s="3">
        <f t="shared" si="5"/>
        <v>740</v>
      </c>
      <c r="G118" s="23">
        <f>IFERROR(IF($C$13="No","N/A",IF(Table157810[[#This Row],[Period]]=1,$C$6,PMT(InterestRate*AmortizationMultiplier/12,Table157810[[#This Row],[Am Thru]],-Table157810[[#This Row],[Beginning Balance]]))),0)</f>
        <v>0</v>
      </c>
      <c r="H118" s="3">
        <f>MAX(0,IF(C118=$C$4,D118,ROUND(IF($C$3="Fixed Principal",$C$6-Table157810[[#This Row],[Interest]],IF($C$3="Interest Only",Table157810[[#This Row],[Beginning Balance]]*ROUND(1-(1-IF($C$11="No",$E$8,1))^(1/12),6),MIN(IF($C$13="Yes",Table157810[[#This Row],[Payment Amount (Reamortized)]],$C$6)-Table157810[[#This Row],[Interest]],Table157810[[#This Row],[Beginning Balance]]))),2)))</f>
        <v>0</v>
      </c>
      <c r="I118" s="3">
        <f>_xlfn.SINGLE(IF($C$3="Line of Credit",0,ROUND(MAX(MIN(IF($C$10="No",$E$7,VLOOKUP(Table157810[[#This Row],[Period]],Forecast!$H$2:$L$1048576,4,FALSE))*Table157810[[#This Row],[Beginning Balance]],Table157810[[#This Row],[Beginning Balance]]-Table157810[[#This Row],[Principal]]),0),2)))</f>
        <v>0</v>
      </c>
      <c r="J118" s="3">
        <f>ROUND(MIN(Table157810[[#This Row],[Beginning Balance]]*IF($C$8="No",$E$3,VLOOKUP(Table157810[[#This Row],[Period]],Forecast!$H$2:$L$1048576,2,FALSE)),Table157810[[#This Row],[Beginning Balance]]-Table157810[[#This Row],[Principal]]-Table157810[[#This Row],[Prepayments]]),2)</f>
        <v>0</v>
      </c>
      <c r="K118" s="3">
        <f>ROUND(Table157810[[#This Row],[Defaulted Principal]]*IF($C$9="No",$E$4,VLOOKUP(Table157810[[#This Row],[Period]],Forecast!$H$2:$L$1048576,3,FALSE)),2)</f>
        <v>0</v>
      </c>
      <c r="L118" s="2">
        <f>Table157810[[#This Row],[Period]]+$E$9</f>
        <v>114</v>
      </c>
      <c r="M118" s="3">
        <f>Table157810[[#This Row],[Defaulted Principal]]-Table157810[[#This Row],[Estimated Loss]]</f>
        <v>0</v>
      </c>
      <c r="N118" s="3">
        <f>IFERROR(VLOOKUP(Table157810[[#This Row],[Period]],$L$16:$M$385,2,FALSE),0)</f>
        <v>0</v>
      </c>
      <c r="O118" s="3">
        <f>Table157810[[#This Row],[Beginning Balance]]-Table157810[[#This Row],[Principal]]-Table157810[[#This Row],[Prepayments]]-Table157810[[#This Row],[Defaulted Principal]]</f>
        <v>0</v>
      </c>
      <c r="P118" s="3">
        <f>Table157810[[#This Row],[Principal]]+Table157810[[#This Row],[Interest]]+Table157810[[#This Row],[Prepayments]]+Table157810[[#This Row],[RecoveredAmount]]</f>
        <v>0</v>
      </c>
      <c r="Q118" s="3">
        <f ca="1">ROUND(Table157810[[#This Row],[Cash Flow]]/((1+ActualRateToUse)^(IF(ISNUMBER(SEARCH("Actual",$C$7)),Table157810[[#This Row],[Running Total]]/365,Table157810[[#This Row],[Period]]/12))),2)</f>
        <v>0</v>
      </c>
      <c r="R118" s="2">
        <f>IF(MONTH(Table157810[[#This Row],[Date]])=2,28,DAY(DATE(YEAR(Table157810[[#This Row],[Date]]),MONTH(Table157810[[#This Row],[Date]])+1,1)-1))</f>
        <v>31</v>
      </c>
      <c r="S118" s="2">
        <f ca="1">SUM(OFFSET(Table157810[[#Headers],[Days in month]],1,0):Table157810[[#This Row],[Days in month]])</f>
        <v>3104</v>
      </c>
      <c r="T118" s="37">
        <f>InterestRate*AmortizationMultiplier*IF(ISNUMBER(SEARCH("Actual",$C$7)),Table157810[[#This Row],[Days in month]]/365,1/12)</f>
        <v>5.9839472222222214E-3</v>
      </c>
    </row>
    <row r="119" spans="2:20" x14ac:dyDescent="0.2">
      <c r="B119" s="1">
        <v>48975</v>
      </c>
      <c r="C119" s="2">
        <f t="shared" si="4"/>
        <v>103</v>
      </c>
      <c r="D119" s="3">
        <f t="shared" si="3"/>
        <v>0</v>
      </c>
      <c r="E119" s="3">
        <f>ROUND(Table157810[[#This Row],[Beginning Balance]]*Table157810[[#This Row],[Monthly Interest Rate]],2)</f>
        <v>0</v>
      </c>
      <c r="F119" s="3">
        <f t="shared" si="5"/>
        <v>739</v>
      </c>
      <c r="G119" s="23">
        <f>IFERROR(IF($C$13="No","N/A",IF(Table157810[[#This Row],[Period]]=1,$C$6,PMT(InterestRate*AmortizationMultiplier/12,Table157810[[#This Row],[Am Thru]],-Table157810[[#This Row],[Beginning Balance]]))),0)</f>
        <v>0</v>
      </c>
      <c r="H119" s="3">
        <f>MAX(0,IF(C119=$C$4,D119,ROUND(IF($C$3="Fixed Principal",$C$6-Table157810[[#This Row],[Interest]],IF($C$3="Interest Only",Table157810[[#This Row],[Beginning Balance]]*ROUND(1-(1-IF($C$11="No",$E$8,1))^(1/12),6),MIN(IF($C$13="Yes",Table157810[[#This Row],[Payment Amount (Reamortized)]],$C$6)-Table157810[[#This Row],[Interest]],Table157810[[#This Row],[Beginning Balance]]))),2)))</f>
        <v>0</v>
      </c>
      <c r="I119" s="3">
        <f>_xlfn.SINGLE(IF($C$3="Line of Credit",0,ROUND(MAX(MIN(IF($C$10="No",$E$7,VLOOKUP(Table157810[[#This Row],[Period]],Forecast!$H$2:$L$1048576,4,FALSE))*Table157810[[#This Row],[Beginning Balance]],Table157810[[#This Row],[Beginning Balance]]-Table157810[[#This Row],[Principal]]),0),2)))</f>
        <v>0</v>
      </c>
      <c r="J119" s="3">
        <f>ROUND(MIN(Table157810[[#This Row],[Beginning Balance]]*IF($C$8="No",$E$3,VLOOKUP(Table157810[[#This Row],[Period]],Forecast!$H$2:$L$1048576,2,FALSE)),Table157810[[#This Row],[Beginning Balance]]-Table157810[[#This Row],[Principal]]-Table157810[[#This Row],[Prepayments]]),2)</f>
        <v>0</v>
      </c>
      <c r="K119" s="3">
        <f>ROUND(Table157810[[#This Row],[Defaulted Principal]]*IF($C$9="No",$E$4,VLOOKUP(Table157810[[#This Row],[Period]],Forecast!$H$2:$L$1048576,3,FALSE)),2)</f>
        <v>0</v>
      </c>
      <c r="L119" s="2">
        <f>Table157810[[#This Row],[Period]]+$E$9</f>
        <v>115</v>
      </c>
      <c r="M119" s="3">
        <f>Table157810[[#This Row],[Defaulted Principal]]-Table157810[[#This Row],[Estimated Loss]]</f>
        <v>0</v>
      </c>
      <c r="N119" s="3">
        <f>IFERROR(VLOOKUP(Table157810[[#This Row],[Period]],$L$16:$M$385,2,FALSE),0)</f>
        <v>0</v>
      </c>
      <c r="O119" s="3">
        <f>Table157810[[#This Row],[Beginning Balance]]-Table157810[[#This Row],[Principal]]-Table157810[[#This Row],[Prepayments]]-Table157810[[#This Row],[Defaulted Principal]]</f>
        <v>0</v>
      </c>
      <c r="P119" s="3">
        <f>Table157810[[#This Row],[Principal]]+Table157810[[#This Row],[Interest]]+Table157810[[#This Row],[Prepayments]]+Table157810[[#This Row],[RecoveredAmount]]</f>
        <v>0</v>
      </c>
      <c r="Q119" s="3">
        <f ca="1">ROUND(Table157810[[#This Row],[Cash Flow]]/((1+ActualRateToUse)^(IF(ISNUMBER(SEARCH("Actual",$C$7)),Table157810[[#This Row],[Running Total]]/365,Table157810[[#This Row],[Period]]/12))),2)</f>
        <v>0</v>
      </c>
      <c r="R119" s="2">
        <f>IF(MONTH(Table157810[[#This Row],[Date]])=2,28,DAY(DATE(YEAR(Table157810[[#This Row],[Date]]),MONTH(Table157810[[#This Row],[Date]])+1,1)-1))</f>
        <v>31</v>
      </c>
      <c r="S119" s="2">
        <f ca="1">SUM(OFFSET(Table157810[[#Headers],[Days in month]],1,0):Table157810[[#This Row],[Days in month]])</f>
        <v>3135</v>
      </c>
      <c r="T119" s="37">
        <f>InterestRate*AmortizationMultiplier*IF(ISNUMBER(SEARCH("Actual",$C$7)),Table157810[[#This Row],[Days in month]]/365,1/12)</f>
        <v>5.9839472222222214E-3</v>
      </c>
    </row>
    <row r="120" spans="2:20" x14ac:dyDescent="0.2">
      <c r="B120" s="1">
        <v>49003</v>
      </c>
      <c r="C120" s="2">
        <f t="shared" si="4"/>
        <v>104</v>
      </c>
      <c r="D120" s="3">
        <f t="shared" si="3"/>
        <v>0</v>
      </c>
      <c r="E120" s="3">
        <f>ROUND(Table157810[[#This Row],[Beginning Balance]]*Table157810[[#This Row],[Monthly Interest Rate]],2)</f>
        <v>0</v>
      </c>
      <c r="F120" s="3">
        <f t="shared" si="5"/>
        <v>738</v>
      </c>
      <c r="G120" s="23">
        <f>IFERROR(IF($C$13="No","N/A",IF(Table157810[[#This Row],[Period]]=1,$C$6,PMT(InterestRate*AmortizationMultiplier/12,Table157810[[#This Row],[Am Thru]],-Table157810[[#This Row],[Beginning Balance]]))),0)</f>
        <v>0</v>
      </c>
      <c r="H120" s="3">
        <f>MAX(0,IF(C120=$C$4,D120,ROUND(IF($C$3="Fixed Principal",$C$6-Table157810[[#This Row],[Interest]],IF($C$3="Interest Only",Table157810[[#This Row],[Beginning Balance]]*ROUND(1-(1-IF($C$11="No",$E$8,1))^(1/12),6),MIN(IF($C$13="Yes",Table157810[[#This Row],[Payment Amount (Reamortized)]],$C$6)-Table157810[[#This Row],[Interest]],Table157810[[#This Row],[Beginning Balance]]))),2)))</f>
        <v>0</v>
      </c>
      <c r="I120" s="3">
        <f>_xlfn.SINGLE(IF($C$3="Line of Credit",0,ROUND(MAX(MIN(IF($C$10="No",$E$7,VLOOKUP(Table157810[[#This Row],[Period]],Forecast!$H$2:$L$1048576,4,FALSE))*Table157810[[#This Row],[Beginning Balance]],Table157810[[#This Row],[Beginning Balance]]-Table157810[[#This Row],[Principal]]),0),2)))</f>
        <v>0</v>
      </c>
      <c r="J120" s="3">
        <f>ROUND(MIN(Table157810[[#This Row],[Beginning Balance]]*IF($C$8="No",$E$3,VLOOKUP(Table157810[[#This Row],[Period]],Forecast!$H$2:$L$1048576,2,FALSE)),Table157810[[#This Row],[Beginning Balance]]-Table157810[[#This Row],[Principal]]-Table157810[[#This Row],[Prepayments]]),2)</f>
        <v>0</v>
      </c>
      <c r="K120" s="3">
        <f>ROUND(Table157810[[#This Row],[Defaulted Principal]]*IF($C$9="No",$E$4,VLOOKUP(Table157810[[#This Row],[Period]],Forecast!$H$2:$L$1048576,3,FALSE)),2)</f>
        <v>0</v>
      </c>
      <c r="L120" s="2">
        <f>Table157810[[#This Row],[Period]]+$E$9</f>
        <v>116</v>
      </c>
      <c r="M120" s="3">
        <f>Table157810[[#This Row],[Defaulted Principal]]-Table157810[[#This Row],[Estimated Loss]]</f>
        <v>0</v>
      </c>
      <c r="N120" s="3">
        <f>IFERROR(VLOOKUP(Table157810[[#This Row],[Period]],$L$16:$M$385,2,FALSE),0)</f>
        <v>0</v>
      </c>
      <c r="O120" s="3">
        <f>Table157810[[#This Row],[Beginning Balance]]-Table157810[[#This Row],[Principal]]-Table157810[[#This Row],[Prepayments]]-Table157810[[#This Row],[Defaulted Principal]]</f>
        <v>0</v>
      </c>
      <c r="P120" s="3">
        <f>Table157810[[#This Row],[Principal]]+Table157810[[#This Row],[Interest]]+Table157810[[#This Row],[Prepayments]]+Table157810[[#This Row],[RecoveredAmount]]</f>
        <v>0</v>
      </c>
      <c r="Q120" s="3">
        <f ca="1">ROUND(Table157810[[#This Row],[Cash Flow]]/((1+ActualRateToUse)^(IF(ISNUMBER(SEARCH("Actual",$C$7)),Table157810[[#This Row],[Running Total]]/365,Table157810[[#This Row],[Period]]/12))),2)</f>
        <v>0</v>
      </c>
      <c r="R120" s="2">
        <f>IF(MONTH(Table157810[[#This Row],[Date]])=2,28,DAY(DATE(YEAR(Table157810[[#This Row],[Date]]),MONTH(Table157810[[#This Row],[Date]])+1,1)-1))</f>
        <v>28</v>
      </c>
      <c r="S120" s="2">
        <f ca="1">SUM(OFFSET(Table157810[[#Headers],[Days in month]],1,0):Table157810[[#This Row],[Days in month]])</f>
        <v>3163</v>
      </c>
      <c r="T120" s="37">
        <f>InterestRate*AmortizationMultiplier*IF(ISNUMBER(SEARCH("Actual",$C$7)),Table157810[[#This Row],[Days in month]]/365,1/12)</f>
        <v>5.4048555555555548E-3</v>
      </c>
    </row>
    <row r="121" spans="2:20" x14ac:dyDescent="0.2">
      <c r="B121" s="1">
        <v>49034</v>
      </c>
      <c r="C121" s="2">
        <f t="shared" si="4"/>
        <v>105</v>
      </c>
      <c r="D121" s="3">
        <f t="shared" si="3"/>
        <v>0</v>
      </c>
      <c r="E121" s="3">
        <f>ROUND(Table157810[[#This Row],[Beginning Balance]]*Table157810[[#This Row],[Monthly Interest Rate]],2)</f>
        <v>0</v>
      </c>
      <c r="F121" s="3">
        <f t="shared" si="5"/>
        <v>737</v>
      </c>
      <c r="G121" s="23">
        <f>IFERROR(IF($C$13="No","N/A",IF(Table157810[[#This Row],[Period]]=1,$C$6,PMT(InterestRate*AmortizationMultiplier/12,Table157810[[#This Row],[Am Thru]],-Table157810[[#This Row],[Beginning Balance]]))),0)</f>
        <v>0</v>
      </c>
      <c r="H121" s="3">
        <f>MAX(0,IF(C121=$C$4,D121,ROUND(IF($C$3="Fixed Principal",$C$6-Table157810[[#This Row],[Interest]],IF($C$3="Interest Only",Table157810[[#This Row],[Beginning Balance]]*ROUND(1-(1-IF($C$11="No",$E$8,1))^(1/12),6),MIN(IF($C$13="Yes",Table157810[[#This Row],[Payment Amount (Reamortized)]],$C$6)-Table157810[[#This Row],[Interest]],Table157810[[#This Row],[Beginning Balance]]))),2)))</f>
        <v>0</v>
      </c>
      <c r="I121" s="3">
        <f>_xlfn.SINGLE(IF($C$3="Line of Credit",0,ROUND(MAX(MIN(IF($C$10="No",$E$7,VLOOKUP(Table157810[[#This Row],[Period]],Forecast!$H$2:$L$1048576,4,FALSE))*Table157810[[#This Row],[Beginning Balance]],Table157810[[#This Row],[Beginning Balance]]-Table157810[[#This Row],[Principal]]),0),2)))</f>
        <v>0</v>
      </c>
      <c r="J121" s="3">
        <f>ROUND(MIN(Table157810[[#This Row],[Beginning Balance]]*IF($C$8="No",$E$3,VLOOKUP(Table157810[[#This Row],[Period]],Forecast!$H$2:$L$1048576,2,FALSE)),Table157810[[#This Row],[Beginning Balance]]-Table157810[[#This Row],[Principal]]-Table157810[[#This Row],[Prepayments]]),2)</f>
        <v>0</v>
      </c>
      <c r="K121" s="3">
        <f>ROUND(Table157810[[#This Row],[Defaulted Principal]]*IF($C$9="No",$E$4,VLOOKUP(Table157810[[#This Row],[Period]],Forecast!$H$2:$L$1048576,3,FALSE)),2)</f>
        <v>0</v>
      </c>
      <c r="L121" s="2">
        <f>Table157810[[#This Row],[Period]]+$E$9</f>
        <v>117</v>
      </c>
      <c r="M121" s="3">
        <f>Table157810[[#This Row],[Defaulted Principal]]-Table157810[[#This Row],[Estimated Loss]]</f>
        <v>0</v>
      </c>
      <c r="N121" s="3">
        <f>IFERROR(VLOOKUP(Table157810[[#This Row],[Period]],$L$16:$M$385,2,FALSE),0)</f>
        <v>0</v>
      </c>
      <c r="O121" s="3">
        <f>Table157810[[#This Row],[Beginning Balance]]-Table157810[[#This Row],[Principal]]-Table157810[[#This Row],[Prepayments]]-Table157810[[#This Row],[Defaulted Principal]]</f>
        <v>0</v>
      </c>
      <c r="P121" s="3">
        <f>Table157810[[#This Row],[Principal]]+Table157810[[#This Row],[Interest]]+Table157810[[#This Row],[Prepayments]]+Table157810[[#This Row],[RecoveredAmount]]</f>
        <v>0</v>
      </c>
      <c r="Q121" s="3">
        <f ca="1">ROUND(Table157810[[#This Row],[Cash Flow]]/((1+ActualRateToUse)^(IF(ISNUMBER(SEARCH("Actual",$C$7)),Table157810[[#This Row],[Running Total]]/365,Table157810[[#This Row],[Period]]/12))),2)</f>
        <v>0</v>
      </c>
      <c r="R121" s="2">
        <f>IF(MONTH(Table157810[[#This Row],[Date]])=2,28,DAY(DATE(YEAR(Table157810[[#This Row],[Date]]),MONTH(Table157810[[#This Row],[Date]])+1,1)-1))</f>
        <v>31</v>
      </c>
      <c r="S121" s="2">
        <f ca="1">SUM(OFFSET(Table157810[[#Headers],[Days in month]],1,0):Table157810[[#This Row],[Days in month]])</f>
        <v>3194</v>
      </c>
      <c r="T121" s="37">
        <f>InterestRate*AmortizationMultiplier*IF(ISNUMBER(SEARCH("Actual",$C$7)),Table157810[[#This Row],[Days in month]]/365,1/12)</f>
        <v>5.9839472222222214E-3</v>
      </c>
    </row>
    <row r="122" spans="2:20" x14ac:dyDescent="0.2">
      <c r="B122" s="1">
        <v>49064</v>
      </c>
      <c r="C122" s="2">
        <f t="shared" si="4"/>
        <v>106</v>
      </c>
      <c r="D122" s="3">
        <f t="shared" si="3"/>
        <v>0</v>
      </c>
      <c r="E122" s="3">
        <f>ROUND(Table157810[[#This Row],[Beginning Balance]]*Table157810[[#This Row],[Monthly Interest Rate]],2)</f>
        <v>0</v>
      </c>
      <c r="F122" s="3">
        <f t="shared" si="5"/>
        <v>736</v>
      </c>
      <c r="G122" s="23">
        <f>IFERROR(IF($C$13="No","N/A",IF(Table157810[[#This Row],[Period]]=1,$C$6,PMT(InterestRate*AmortizationMultiplier/12,Table157810[[#This Row],[Am Thru]],-Table157810[[#This Row],[Beginning Balance]]))),0)</f>
        <v>0</v>
      </c>
      <c r="H122" s="3">
        <f>MAX(0,IF(C122=$C$4,D122,ROUND(IF($C$3="Fixed Principal",$C$6-Table157810[[#This Row],[Interest]],IF($C$3="Interest Only",Table157810[[#This Row],[Beginning Balance]]*ROUND(1-(1-IF($C$11="No",$E$8,1))^(1/12),6),MIN(IF($C$13="Yes",Table157810[[#This Row],[Payment Amount (Reamortized)]],$C$6)-Table157810[[#This Row],[Interest]],Table157810[[#This Row],[Beginning Balance]]))),2)))</f>
        <v>0</v>
      </c>
      <c r="I122" s="3">
        <f>_xlfn.SINGLE(IF($C$3="Line of Credit",0,ROUND(MAX(MIN(IF($C$10="No",$E$7,VLOOKUP(Table157810[[#This Row],[Period]],Forecast!$H$2:$L$1048576,4,FALSE))*Table157810[[#This Row],[Beginning Balance]],Table157810[[#This Row],[Beginning Balance]]-Table157810[[#This Row],[Principal]]),0),2)))</f>
        <v>0</v>
      </c>
      <c r="J122" s="3">
        <f>ROUND(MIN(Table157810[[#This Row],[Beginning Balance]]*IF($C$8="No",$E$3,VLOOKUP(Table157810[[#This Row],[Period]],Forecast!$H$2:$L$1048576,2,FALSE)),Table157810[[#This Row],[Beginning Balance]]-Table157810[[#This Row],[Principal]]-Table157810[[#This Row],[Prepayments]]),2)</f>
        <v>0</v>
      </c>
      <c r="K122" s="3">
        <f>ROUND(Table157810[[#This Row],[Defaulted Principal]]*IF($C$9="No",$E$4,VLOOKUP(Table157810[[#This Row],[Period]],Forecast!$H$2:$L$1048576,3,FALSE)),2)</f>
        <v>0</v>
      </c>
      <c r="L122" s="2">
        <f>Table157810[[#This Row],[Period]]+$E$9</f>
        <v>118</v>
      </c>
      <c r="M122" s="3">
        <f>Table157810[[#This Row],[Defaulted Principal]]-Table157810[[#This Row],[Estimated Loss]]</f>
        <v>0</v>
      </c>
      <c r="N122" s="3">
        <f>IFERROR(VLOOKUP(Table157810[[#This Row],[Period]],$L$16:$M$385,2,FALSE),0)</f>
        <v>0</v>
      </c>
      <c r="O122" s="3">
        <f>Table157810[[#This Row],[Beginning Balance]]-Table157810[[#This Row],[Principal]]-Table157810[[#This Row],[Prepayments]]-Table157810[[#This Row],[Defaulted Principal]]</f>
        <v>0</v>
      </c>
      <c r="P122" s="3">
        <f>Table157810[[#This Row],[Principal]]+Table157810[[#This Row],[Interest]]+Table157810[[#This Row],[Prepayments]]+Table157810[[#This Row],[RecoveredAmount]]</f>
        <v>0</v>
      </c>
      <c r="Q122" s="3">
        <f ca="1">ROUND(Table157810[[#This Row],[Cash Flow]]/((1+ActualRateToUse)^(IF(ISNUMBER(SEARCH("Actual",$C$7)),Table157810[[#This Row],[Running Total]]/365,Table157810[[#This Row],[Period]]/12))),2)</f>
        <v>0</v>
      </c>
      <c r="R122" s="2">
        <f>IF(MONTH(Table157810[[#This Row],[Date]])=2,28,DAY(DATE(YEAR(Table157810[[#This Row],[Date]]),MONTH(Table157810[[#This Row],[Date]])+1,1)-1))</f>
        <v>30</v>
      </c>
      <c r="S122" s="2">
        <f ca="1">SUM(OFFSET(Table157810[[#Headers],[Days in month]],1,0):Table157810[[#This Row],[Days in month]])</f>
        <v>3224</v>
      </c>
      <c r="T122" s="37">
        <f>InterestRate*AmortizationMultiplier*IF(ISNUMBER(SEARCH("Actual",$C$7)),Table157810[[#This Row],[Days in month]]/365,1/12)</f>
        <v>5.7909166666666656E-3</v>
      </c>
    </row>
    <row r="123" spans="2:20" x14ac:dyDescent="0.2">
      <c r="B123" s="1">
        <v>49095</v>
      </c>
      <c r="C123" s="2">
        <f t="shared" si="4"/>
        <v>107</v>
      </c>
      <c r="D123" s="3">
        <f t="shared" si="3"/>
        <v>0</v>
      </c>
      <c r="E123" s="3">
        <f>ROUND(Table157810[[#This Row],[Beginning Balance]]*Table157810[[#This Row],[Monthly Interest Rate]],2)</f>
        <v>0</v>
      </c>
      <c r="F123" s="3">
        <f t="shared" si="5"/>
        <v>735</v>
      </c>
      <c r="G123" s="23">
        <f>IFERROR(IF($C$13="No","N/A",IF(Table157810[[#This Row],[Period]]=1,$C$6,PMT(InterestRate*AmortizationMultiplier/12,Table157810[[#This Row],[Am Thru]],-Table157810[[#This Row],[Beginning Balance]]))),0)</f>
        <v>0</v>
      </c>
      <c r="H123" s="3">
        <f>MAX(0,IF(C123=$C$4,D123,ROUND(IF($C$3="Fixed Principal",$C$6-Table157810[[#This Row],[Interest]],IF($C$3="Interest Only",Table157810[[#This Row],[Beginning Balance]]*ROUND(1-(1-IF($C$11="No",$E$8,1))^(1/12),6),MIN(IF($C$13="Yes",Table157810[[#This Row],[Payment Amount (Reamortized)]],$C$6)-Table157810[[#This Row],[Interest]],Table157810[[#This Row],[Beginning Balance]]))),2)))</f>
        <v>0</v>
      </c>
      <c r="I123" s="3">
        <f>_xlfn.SINGLE(IF($C$3="Line of Credit",0,ROUND(MAX(MIN(IF($C$10="No",$E$7,VLOOKUP(Table157810[[#This Row],[Period]],Forecast!$H$2:$L$1048576,4,FALSE))*Table157810[[#This Row],[Beginning Balance]],Table157810[[#This Row],[Beginning Balance]]-Table157810[[#This Row],[Principal]]),0),2)))</f>
        <v>0</v>
      </c>
      <c r="J123" s="3">
        <f>ROUND(MIN(Table157810[[#This Row],[Beginning Balance]]*IF($C$8="No",$E$3,VLOOKUP(Table157810[[#This Row],[Period]],Forecast!$H$2:$L$1048576,2,FALSE)),Table157810[[#This Row],[Beginning Balance]]-Table157810[[#This Row],[Principal]]-Table157810[[#This Row],[Prepayments]]),2)</f>
        <v>0</v>
      </c>
      <c r="K123" s="3">
        <f>ROUND(Table157810[[#This Row],[Defaulted Principal]]*IF($C$9="No",$E$4,VLOOKUP(Table157810[[#This Row],[Period]],Forecast!$H$2:$L$1048576,3,FALSE)),2)</f>
        <v>0</v>
      </c>
      <c r="L123" s="2">
        <f>Table157810[[#This Row],[Period]]+$E$9</f>
        <v>119</v>
      </c>
      <c r="M123" s="3">
        <f>Table157810[[#This Row],[Defaulted Principal]]-Table157810[[#This Row],[Estimated Loss]]</f>
        <v>0</v>
      </c>
      <c r="N123" s="3">
        <f>IFERROR(VLOOKUP(Table157810[[#This Row],[Period]],$L$16:$M$385,2,FALSE),0)</f>
        <v>0</v>
      </c>
      <c r="O123" s="3">
        <f>Table157810[[#This Row],[Beginning Balance]]-Table157810[[#This Row],[Principal]]-Table157810[[#This Row],[Prepayments]]-Table157810[[#This Row],[Defaulted Principal]]</f>
        <v>0</v>
      </c>
      <c r="P123" s="3">
        <f>Table157810[[#This Row],[Principal]]+Table157810[[#This Row],[Interest]]+Table157810[[#This Row],[Prepayments]]+Table157810[[#This Row],[RecoveredAmount]]</f>
        <v>0</v>
      </c>
      <c r="Q123" s="3">
        <f ca="1">ROUND(Table157810[[#This Row],[Cash Flow]]/((1+ActualRateToUse)^(IF(ISNUMBER(SEARCH("Actual",$C$7)),Table157810[[#This Row],[Running Total]]/365,Table157810[[#This Row],[Period]]/12))),2)</f>
        <v>0</v>
      </c>
      <c r="R123" s="2">
        <f>IF(MONTH(Table157810[[#This Row],[Date]])=2,28,DAY(DATE(YEAR(Table157810[[#This Row],[Date]]),MONTH(Table157810[[#This Row],[Date]])+1,1)-1))</f>
        <v>31</v>
      </c>
      <c r="S123" s="2">
        <f ca="1">SUM(OFFSET(Table157810[[#Headers],[Days in month]],1,0):Table157810[[#This Row],[Days in month]])</f>
        <v>3255</v>
      </c>
      <c r="T123" s="37">
        <f>InterestRate*AmortizationMultiplier*IF(ISNUMBER(SEARCH("Actual",$C$7)),Table157810[[#This Row],[Days in month]]/365,1/12)</f>
        <v>5.9839472222222214E-3</v>
      </c>
    </row>
    <row r="124" spans="2:20" x14ac:dyDescent="0.2">
      <c r="B124" s="1">
        <v>49125</v>
      </c>
      <c r="C124" s="2">
        <f t="shared" si="4"/>
        <v>108</v>
      </c>
      <c r="D124" s="3">
        <f t="shared" si="3"/>
        <v>0</v>
      </c>
      <c r="E124" s="3">
        <f>ROUND(Table157810[[#This Row],[Beginning Balance]]*Table157810[[#This Row],[Monthly Interest Rate]],2)</f>
        <v>0</v>
      </c>
      <c r="F124" s="3">
        <f t="shared" si="5"/>
        <v>734</v>
      </c>
      <c r="G124" s="23">
        <f>IFERROR(IF($C$13="No","N/A",IF(Table157810[[#This Row],[Period]]=1,$C$6,PMT(InterestRate*AmortizationMultiplier/12,Table157810[[#This Row],[Am Thru]],-Table157810[[#This Row],[Beginning Balance]]))),0)</f>
        <v>0</v>
      </c>
      <c r="H124" s="3">
        <f>MAX(0,IF(C124=$C$4,D124,ROUND(IF($C$3="Fixed Principal",$C$6-Table157810[[#This Row],[Interest]],IF($C$3="Interest Only",Table157810[[#This Row],[Beginning Balance]]*ROUND(1-(1-IF($C$11="No",$E$8,1))^(1/12),6),MIN(IF($C$13="Yes",Table157810[[#This Row],[Payment Amount (Reamortized)]],$C$6)-Table157810[[#This Row],[Interest]],Table157810[[#This Row],[Beginning Balance]]))),2)))</f>
        <v>0</v>
      </c>
      <c r="I124" s="3">
        <f>_xlfn.SINGLE(IF($C$3="Line of Credit",0,ROUND(MAX(MIN(IF($C$10="No",$E$7,VLOOKUP(Table157810[[#This Row],[Period]],Forecast!$H$2:$L$1048576,4,FALSE))*Table157810[[#This Row],[Beginning Balance]],Table157810[[#This Row],[Beginning Balance]]-Table157810[[#This Row],[Principal]]),0),2)))</f>
        <v>0</v>
      </c>
      <c r="J124" s="3">
        <f>ROUND(MIN(Table157810[[#This Row],[Beginning Balance]]*IF($C$8="No",$E$3,VLOOKUP(Table157810[[#This Row],[Period]],Forecast!$H$2:$L$1048576,2,FALSE)),Table157810[[#This Row],[Beginning Balance]]-Table157810[[#This Row],[Principal]]-Table157810[[#This Row],[Prepayments]]),2)</f>
        <v>0</v>
      </c>
      <c r="K124" s="3">
        <f>ROUND(Table157810[[#This Row],[Defaulted Principal]]*IF($C$9="No",$E$4,VLOOKUP(Table157810[[#This Row],[Period]],Forecast!$H$2:$L$1048576,3,FALSE)),2)</f>
        <v>0</v>
      </c>
      <c r="L124" s="2">
        <f>Table157810[[#This Row],[Period]]+$E$9</f>
        <v>120</v>
      </c>
      <c r="M124" s="3">
        <f>Table157810[[#This Row],[Defaulted Principal]]-Table157810[[#This Row],[Estimated Loss]]</f>
        <v>0</v>
      </c>
      <c r="N124" s="3">
        <f>IFERROR(VLOOKUP(Table157810[[#This Row],[Period]],$L$16:$M$385,2,FALSE),0)</f>
        <v>0</v>
      </c>
      <c r="O124" s="3">
        <f>Table157810[[#This Row],[Beginning Balance]]-Table157810[[#This Row],[Principal]]-Table157810[[#This Row],[Prepayments]]-Table157810[[#This Row],[Defaulted Principal]]</f>
        <v>0</v>
      </c>
      <c r="P124" s="3">
        <f>Table157810[[#This Row],[Principal]]+Table157810[[#This Row],[Interest]]+Table157810[[#This Row],[Prepayments]]+Table157810[[#This Row],[RecoveredAmount]]</f>
        <v>0</v>
      </c>
      <c r="Q124" s="3">
        <f ca="1">ROUND(Table157810[[#This Row],[Cash Flow]]/((1+ActualRateToUse)^(IF(ISNUMBER(SEARCH("Actual",$C$7)),Table157810[[#This Row],[Running Total]]/365,Table157810[[#This Row],[Period]]/12))),2)</f>
        <v>0</v>
      </c>
      <c r="R124" s="2">
        <f>IF(MONTH(Table157810[[#This Row],[Date]])=2,28,DAY(DATE(YEAR(Table157810[[#This Row],[Date]]),MONTH(Table157810[[#This Row],[Date]])+1,1)-1))</f>
        <v>30</v>
      </c>
      <c r="S124" s="2">
        <f ca="1">SUM(OFFSET(Table157810[[#Headers],[Days in month]],1,0):Table157810[[#This Row],[Days in month]])</f>
        <v>3285</v>
      </c>
      <c r="T124" s="37">
        <f>InterestRate*AmortizationMultiplier*IF(ISNUMBER(SEARCH("Actual",$C$7)),Table157810[[#This Row],[Days in month]]/365,1/12)</f>
        <v>5.7909166666666656E-3</v>
      </c>
    </row>
    <row r="125" spans="2:20" x14ac:dyDescent="0.2">
      <c r="B125" s="1">
        <v>49156</v>
      </c>
      <c r="C125" s="2">
        <f t="shared" si="4"/>
        <v>109</v>
      </c>
      <c r="D125" s="3">
        <f t="shared" si="3"/>
        <v>0</v>
      </c>
      <c r="E125" s="3">
        <f>ROUND(Table157810[[#This Row],[Beginning Balance]]*Table157810[[#This Row],[Monthly Interest Rate]],2)</f>
        <v>0</v>
      </c>
      <c r="F125" s="3">
        <f t="shared" si="5"/>
        <v>733</v>
      </c>
      <c r="G125" s="23">
        <f>IFERROR(IF($C$13="No","N/A",IF(Table157810[[#This Row],[Period]]=1,$C$6,PMT(InterestRate*AmortizationMultiplier/12,Table157810[[#This Row],[Am Thru]],-Table157810[[#This Row],[Beginning Balance]]))),0)</f>
        <v>0</v>
      </c>
      <c r="H125" s="3">
        <f>MAX(0,IF(C125=$C$4,D125,ROUND(IF($C$3="Fixed Principal",$C$6-Table157810[[#This Row],[Interest]],IF($C$3="Interest Only",Table157810[[#This Row],[Beginning Balance]]*ROUND(1-(1-IF($C$11="No",$E$8,1))^(1/12),6),MIN(IF($C$13="Yes",Table157810[[#This Row],[Payment Amount (Reamortized)]],$C$6)-Table157810[[#This Row],[Interest]],Table157810[[#This Row],[Beginning Balance]]))),2)))</f>
        <v>0</v>
      </c>
      <c r="I125" s="3">
        <f>_xlfn.SINGLE(IF($C$3="Line of Credit",0,ROUND(MAX(MIN(IF($C$10="No",$E$7,VLOOKUP(Table157810[[#This Row],[Period]],Forecast!$H$2:$L$1048576,4,FALSE))*Table157810[[#This Row],[Beginning Balance]],Table157810[[#This Row],[Beginning Balance]]-Table157810[[#This Row],[Principal]]),0),2)))</f>
        <v>0</v>
      </c>
      <c r="J125" s="3">
        <f>ROUND(MIN(Table157810[[#This Row],[Beginning Balance]]*IF($C$8="No",$E$3,VLOOKUP(Table157810[[#This Row],[Period]],Forecast!$H$2:$L$1048576,2,FALSE)),Table157810[[#This Row],[Beginning Balance]]-Table157810[[#This Row],[Principal]]-Table157810[[#This Row],[Prepayments]]),2)</f>
        <v>0</v>
      </c>
      <c r="K125" s="3">
        <f>ROUND(Table157810[[#This Row],[Defaulted Principal]]*IF($C$9="No",$E$4,VLOOKUP(Table157810[[#This Row],[Period]],Forecast!$H$2:$L$1048576,3,FALSE)),2)</f>
        <v>0</v>
      </c>
      <c r="L125" s="2">
        <f>Table157810[[#This Row],[Period]]+$E$9</f>
        <v>121</v>
      </c>
      <c r="M125" s="3">
        <f>Table157810[[#This Row],[Defaulted Principal]]-Table157810[[#This Row],[Estimated Loss]]</f>
        <v>0</v>
      </c>
      <c r="N125" s="3">
        <f>IFERROR(VLOOKUP(Table157810[[#This Row],[Period]],$L$16:$M$385,2,FALSE),0)</f>
        <v>0</v>
      </c>
      <c r="O125" s="3">
        <f>Table157810[[#This Row],[Beginning Balance]]-Table157810[[#This Row],[Principal]]-Table157810[[#This Row],[Prepayments]]-Table157810[[#This Row],[Defaulted Principal]]</f>
        <v>0</v>
      </c>
      <c r="P125" s="3">
        <f>Table157810[[#This Row],[Principal]]+Table157810[[#This Row],[Interest]]+Table157810[[#This Row],[Prepayments]]+Table157810[[#This Row],[RecoveredAmount]]</f>
        <v>0</v>
      </c>
      <c r="Q125" s="3">
        <f ca="1">ROUND(Table157810[[#This Row],[Cash Flow]]/((1+ActualRateToUse)^(IF(ISNUMBER(SEARCH("Actual",$C$7)),Table157810[[#This Row],[Running Total]]/365,Table157810[[#This Row],[Period]]/12))),2)</f>
        <v>0</v>
      </c>
      <c r="R125" s="2">
        <f>IF(MONTH(Table157810[[#This Row],[Date]])=2,28,DAY(DATE(YEAR(Table157810[[#This Row],[Date]]),MONTH(Table157810[[#This Row],[Date]])+1,1)-1))</f>
        <v>31</v>
      </c>
      <c r="S125" s="2">
        <f ca="1">SUM(OFFSET(Table157810[[#Headers],[Days in month]],1,0):Table157810[[#This Row],[Days in month]])</f>
        <v>3316</v>
      </c>
      <c r="T125" s="37">
        <f>InterestRate*AmortizationMultiplier*IF(ISNUMBER(SEARCH("Actual",$C$7)),Table157810[[#This Row],[Days in month]]/365,1/12)</f>
        <v>5.9839472222222214E-3</v>
      </c>
    </row>
    <row r="126" spans="2:20" x14ac:dyDescent="0.2">
      <c r="B126" s="1">
        <v>49187</v>
      </c>
      <c r="C126" s="2">
        <f t="shared" si="4"/>
        <v>110</v>
      </c>
      <c r="D126" s="3">
        <f t="shared" si="3"/>
        <v>0</v>
      </c>
      <c r="E126" s="3">
        <f>ROUND(Table157810[[#This Row],[Beginning Balance]]*Table157810[[#This Row],[Monthly Interest Rate]],2)</f>
        <v>0</v>
      </c>
      <c r="F126" s="3">
        <f t="shared" si="5"/>
        <v>732</v>
      </c>
      <c r="G126" s="23">
        <f>IFERROR(IF($C$13="No","N/A",IF(Table157810[[#This Row],[Period]]=1,$C$6,PMT(InterestRate*AmortizationMultiplier/12,Table157810[[#This Row],[Am Thru]],-Table157810[[#This Row],[Beginning Balance]]))),0)</f>
        <v>0</v>
      </c>
      <c r="H126" s="3">
        <f>MAX(0,IF(C126=$C$4,D126,ROUND(IF($C$3="Fixed Principal",$C$6-Table157810[[#This Row],[Interest]],IF($C$3="Interest Only",Table157810[[#This Row],[Beginning Balance]]*ROUND(1-(1-IF($C$11="No",$E$8,1))^(1/12),6),MIN(IF($C$13="Yes",Table157810[[#This Row],[Payment Amount (Reamortized)]],$C$6)-Table157810[[#This Row],[Interest]],Table157810[[#This Row],[Beginning Balance]]))),2)))</f>
        <v>0</v>
      </c>
      <c r="I126" s="3">
        <f>_xlfn.SINGLE(IF($C$3="Line of Credit",0,ROUND(MAX(MIN(IF($C$10="No",$E$7,VLOOKUP(Table157810[[#This Row],[Period]],Forecast!$H$2:$L$1048576,4,FALSE))*Table157810[[#This Row],[Beginning Balance]],Table157810[[#This Row],[Beginning Balance]]-Table157810[[#This Row],[Principal]]),0),2)))</f>
        <v>0</v>
      </c>
      <c r="J126" s="3">
        <f>ROUND(MIN(Table157810[[#This Row],[Beginning Balance]]*IF($C$8="No",$E$3,VLOOKUP(Table157810[[#This Row],[Period]],Forecast!$H$2:$L$1048576,2,FALSE)),Table157810[[#This Row],[Beginning Balance]]-Table157810[[#This Row],[Principal]]-Table157810[[#This Row],[Prepayments]]),2)</f>
        <v>0</v>
      </c>
      <c r="K126" s="3">
        <f>ROUND(Table157810[[#This Row],[Defaulted Principal]]*IF($C$9="No",$E$4,VLOOKUP(Table157810[[#This Row],[Period]],Forecast!$H$2:$L$1048576,3,FALSE)),2)</f>
        <v>0</v>
      </c>
      <c r="L126" s="2">
        <f>Table157810[[#This Row],[Period]]+$E$9</f>
        <v>122</v>
      </c>
      <c r="M126" s="3">
        <f>Table157810[[#This Row],[Defaulted Principal]]-Table157810[[#This Row],[Estimated Loss]]</f>
        <v>0</v>
      </c>
      <c r="N126" s="3">
        <f>IFERROR(VLOOKUP(Table157810[[#This Row],[Period]],$L$16:$M$385,2,FALSE),0)</f>
        <v>0</v>
      </c>
      <c r="O126" s="3">
        <f>Table157810[[#This Row],[Beginning Balance]]-Table157810[[#This Row],[Principal]]-Table157810[[#This Row],[Prepayments]]-Table157810[[#This Row],[Defaulted Principal]]</f>
        <v>0</v>
      </c>
      <c r="P126" s="3">
        <f>Table157810[[#This Row],[Principal]]+Table157810[[#This Row],[Interest]]+Table157810[[#This Row],[Prepayments]]+Table157810[[#This Row],[RecoveredAmount]]</f>
        <v>0</v>
      </c>
      <c r="Q126" s="3">
        <f ca="1">ROUND(Table157810[[#This Row],[Cash Flow]]/((1+ActualRateToUse)^(IF(ISNUMBER(SEARCH("Actual",$C$7)),Table157810[[#This Row],[Running Total]]/365,Table157810[[#This Row],[Period]]/12))),2)</f>
        <v>0</v>
      </c>
      <c r="R126" s="2">
        <f>IF(MONTH(Table157810[[#This Row],[Date]])=2,28,DAY(DATE(YEAR(Table157810[[#This Row],[Date]]),MONTH(Table157810[[#This Row],[Date]])+1,1)-1))</f>
        <v>31</v>
      </c>
      <c r="S126" s="2">
        <f ca="1">SUM(OFFSET(Table157810[[#Headers],[Days in month]],1,0):Table157810[[#This Row],[Days in month]])</f>
        <v>3347</v>
      </c>
      <c r="T126" s="37">
        <f>InterestRate*AmortizationMultiplier*IF(ISNUMBER(SEARCH("Actual",$C$7)),Table157810[[#This Row],[Days in month]]/365,1/12)</f>
        <v>5.9839472222222214E-3</v>
      </c>
    </row>
    <row r="127" spans="2:20" x14ac:dyDescent="0.2">
      <c r="B127" s="1">
        <v>49217</v>
      </c>
      <c r="C127" s="2">
        <f t="shared" si="4"/>
        <v>111</v>
      </c>
      <c r="D127" s="3">
        <f t="shared" si="3"/>
        <v>0</v>
      </c>
      <c r="E127" s="3">
        <f>ROUND(Table157810[[#This Row],[Beginning Balance]]*Table157810[[#This Row],[Monthly Interest Rate]],2)</f>
        <v>0</v>
      </c>
      <c r="F127" s="3">
        <f t="shared" si="5"/>
        <v>731</v>
      </c>
      <c r="G127" s="23">
        <f>IFERROR(IF($C$13="No","N/A",IF(Table157810[[#This Row],[Period]]=1,$C$6,PMT(InterestRate*AmortizationMultiplier/12,Table157810[[#This Row],[Am Thru]],-Table157810[[#This Row],[Beginning Balance]]))),0)</f>
        <v>0</v>
      </c>
      <c r="H127" s="3">
        <f>MAX(0,IF(C127=$C$4,D127,ROUND(IF($C$3="Fixed Principal",$C$6-Table157810[[#This Row],[Interest]],IF($C$3="Interest Only",Table157810[[#This Row],[Beginning Balance]]*ROUND(1-(1-IF($C$11="No",$E$8,1))^(1/12),6),MIN(IF($C$13="Yes",Table157810[[#This Row],[Payment Amount (Reamortized)]],$C$6)-Table157810[[#This Row],[Interest]],Table157810[[#This Row],[Beginning Balance]]))),2)))</f>
        <v>0</v>
      </c>
      <c r="I127" s="3">
        <f>_xlfn.SINGLE(IF($C$3="Line of Credit",0,ROUND(MAX(MIN(IF($C$10="No",$E$7,VLOOKUP(Table157810[[#This Row],[Period]],Forecast!$H$2:$L$1048576,4,FALSE))*Table157810[[#This Row],[Beginning Balance]],Table157810[[#This Row],[Beginning Balance]]-Table157810[[#This Row],[Principal]]),0),2)))</f>
        <v>0</v>
      </c>
      <c r="J127" s="3">
        <f>ROUND(MIN(Table157810[[#This Row],[Beginning Balance]]*IF($C$8="No",$E$3,VLOOKUP(Table157810[[#This Row],[Period]],Forecast!$H$2:$L$1048576,2,FALSE)),Table157810[[#This Row],[Beginning Balance]]-Table157810[[#This Row],[Principal]]-Table157810[[#This Row],[Prepayments]]),2)</f>
        <v>0</v>
      </c>
      <c r="K127" s="3">
        <f>ROUND(Table157810[[#This Row],[Defaulted Principal]]*IF($C$9="No",$E$4,VLOOKUP(Table157810[[#This Row],[Period]],Forecast!$H$2:$L$1048576,3,FALSE)),2)</f>
        <v>0</v>
      </c>
      <c r="L127" s="2">
        <f>Table157810[[#This Row],[Period]]+$E$9</f>
        <v>123</v>
      </c>
      <c r="M127" s="3">
        <f>Table157810[[#This Row],[Defaulted Principal]]-Table157810[[#This Row],[Estimated Loss]]</f>
        <v>0</v>
      </c>
      <c r="N127" s="3">
        <f>IFERROR(VLOOKUP(Table157810[[#This Row],[Period]],$L$16:$M$385,2,FALSE),0)</f>
        <v>0</v>
      </c>
      <c r="O127" s="3">
        <f>Table157810[[#This Row],[Beginning Balance]]-Table157810[[#This Row],[Principal]]-Table157810[[#This Row],[Prepayments]]-Table157810[[#This Row],[Defaulted Principal]]</f>
        <v>0</v>
      </c>
      <c r="P127" s="3">
        <f>Table157810[[#This Row],[Principal]]+Table157810[[#This Row],[Interest]]+Table157810[[#This Row],[Prepayments]]+Table157810[[#This Row],[RecoveredAmount]]</f>
        <v>0</v>
      </c>
      <c r="Q127" s="3">
        <f ca="1">ROUND(Table157810[[#This Row],[Cash Flow]]/((1+ActualRateToUse)^(IF(ISNUMBER(SEARCH("Actual",$C$7)),Table157810[[#This Row],[Running Total]]/365,Table157810[[#This Row],[Period]]/12))),2)</f>
        <v>0</v>
      </c>
      <c r="R127" s="2">
        <f>IF(MONTH(Table157810[[#This Row],[Date]])=2,28,DAY(DATE(YEAR(Table157810[[#This Row],[Date]]),MONTH(Table157810[[#This Row],[Date]])+1,1)-1))</f>
        <v>30</v>
      </c>
      <c r="S127" s="2">
        <f ca="1">SUM(OFFSET(Table157810[[#Headers],[Days in month]],1,0):Table157810[[#This Row],[Days in month]])</f>
        <v>3377</v>
      </c>
      <c r="T127" s="37">
        <f>InterestRate*AmortizationMultiplier*IF(ISNUMBER(SEARCH("Actual",$C$7)),Table157810[[#This Row],[Days in month]]/365,1/12)</f>
        <v>5.7909166666666656E-3</v>
      </c>
    </row>
    <row r="128" spans="2:20" x14ac:dyDescent="0.2">
      <c r="B128" s="1">
        <v>49248</v>
      </c>
      <c r="C128" s="2">
        <f t="shared" si="4"/>
        <v>112</v>
      </c>
      <c r="D128" s="3">
        <f t="shared" si="3"/>
        <v>0</v>
      </c>
      <c r="E128" s="3">
        <f>ROUND(Table157810[[#This Row],[Beginning Balance]]*Table157810[[#This Row],[Monthly Interest Rate]],2)</f>
        <v>0</v>
      </c>
      <c r="F128" s="3">
        <f t="shared" si="5"/>
        <v>730</v>
      </c>
      <c r="G128" s="23">
        <f>IFERROR(IF($C$13="No","N/A",IF(Table157810[[#This Row],[Period]]=1,$C$6,PMT(InterestRate*AmortizationMultiplier/12,Table157810[[#This Row],[Am Thru]],-Table157810[[#This Row],[Beginning Balance]]))),0)</f>
        <v>0</v>
      </c>
      <c r="H128" s="3">
        <f>MAX(0,IF(C128=$C$4,D128,ROUND(IF($C$3="Fixed Principal",$C$6-Table157810[[#This Row],[Interest]],IF($C$3="Interest Only",Table157810[[#This Row],[Beginning Balance]]*ROUND(1-(1-IF($C$11="No",$E$8,1))^(1/12),6),MIN(IF($C$13="Yes",Table157810[[#This Row],[Payment Amount (Reamortized)]],$C$6)-Table157810[[#This Row],[Interest]],Table157810[[#This Row],[Beginning Balance]]))),2)))</f>
        <v>0</v>
      </c>
      <c r="I128" s="3">
        <f>_xlfn.SINGLE(IF($C$3="Line of Credit",0,ROUND(MAX(MIN(IF($C$10="No",$E$7,VLOOKUP(Table157810[[#This Row],[Period]],Forecast!$H$2:$L$1048576,4,FALSE))*Table157810[[#This Row],[Beginning Balance]],Table157810[[#This Row],[Beginning Balance]]-Table157810[[#This Row],[Principal]]),0),2)))</f>
        <v>0</v>
      </c>
      <c r="J128" s="3">
        <f>ROUND(MIN(Table157810[[#This Row],[Beginning Balance]]*IF($C$8="No",$E$3,VLOOKUP(Table157810[[#This Row],[Period]],Forecast!$H$2:$L$1048576,2,FALSE)),Table157810[[#This Row],[Beginning Balance]]-Table157810[[#This Row],[Principal]]-Table157810[[#This Row],[Prepayments]]),2)</f>
        <v>0</v>
      </c>
      <c r="K128" s="3">
        <f>ROUND(Table157810[[#This Row],[Defaulted Principal]]*IF($C$9="No",$E$4,VLOOKUP(Table157810[[#This Row],[Period]],Forecast!$H$2:$L$1048576,3,FALSE)),2)</f>
        <v>0</v>
      </c>
      <c r="L128" s="2">
        <f>Table157810[[#This Row],[Period]]+$E$9</f>
        <v>124</v>
      </c>
      <c r="M128" s="3">
        <f>Table157810[[#This Row],[Defaulted Principal]]-Table157810[[#This Row],[Estimated Loss]]</f>
        <v>0</v>
      </c>
      <c r="N128" s="3">
        <f>IFERROR(VLOOKUP(Table157810[[#This Row],[Period]],$L$16:$M$385,2,FALSE),0)</f>
        <v>0</v>
      </c>
      <c r="O128" s="3">
        <f>Table157810[[#This Row],[Beginning Balance]]-Table157810[[#This Row],[Principal]]-Table157810[[#This Row],[Prepayments]]-Table157810[[#This Row],[Defaulted Principal]]</f>
        <v>0</v>
      </c>
      <c r="P128" s="3">
        <f>Table157810[[#This Row],[Principal]]+Table157810[[#This Row],[Interest]]+Table157810[[#This Row],[Prepayments]]+Table157810[[#This Row],[RecoveredAmount]]</f>
        <v>0</v>
      </c>
      <c r="Q128" s="3">
        <f ca="1">ROUND(Table157810[[#This Row],[Cash Flow]]/((1+ActualRateToUse)^(IF(ISNUMBER(SEARCH("Actual",$C$7)),Table157810[[#This Row],[Running Total]]/365,Table157810[[#This Row],[Period]]/12))),2)</f>
        <v>0</v>
      </c>
      <c r="R128" s="2">
        <f>IF(MONTH(Table157810[[#This Row],[Date]])=2,28,DAY(DATE(YEAR(Table157810[[#This Row],[Date]]),MONTH(Table157810[[#This Row],[Date]])+1,1)-1))</f>
        <v>31</v>
      </c>
      <c r="S128" s="2">
        <f ca="1">SUM(OFFSET(Table157810[[#Headers],[Days in month]],1,0):Table157810[[#This Row],[Days in month]])</f>
        <v>3408</v>
      </c>
      <c r="T128" s="37">
        <f>InterestRate*AmortizationMultiplier*IF(ISNUMBER(SEARCH("Actual",$C$7)),Table157810[[#This Row],[Days in month]]/365,1/12)</f>
        <v>5.9839472222222214E-3</v>
      </c>
    </row>
    <row r="129" spans="2:20" x14ac:dyDescent="0.2">
      <c r="B129" s="1">
        <v>49278</v>
      </c>
      <c r="C129" s="2">
        <f t="shared" si="4"/>
        <v>113</v>
      </c>
      <c r="D129" s="3">
        <f t="shared" si="3"/>
        <v>0</v>
      </c>
      <c r="E129" s="3">
        <f>ROUND(Table157810[[#This Row],[Beginning Balance]]*Table157810[[#This Row],[Monthly Interest Rate]],2)</f>
        <v>0</v>
      </c>
      <c r="F129" s="3">
        <f t="shared" si="5"/>
        <v>729</v>
      </c>
      <c r="G129" s="23">
        <f>IFERROR(IF($C$13="No","N/A",IF(Table157810[[#This Row],[Period]]=1,$C$6,PMT(InterestRate*AmortizationMultiplier/12,Table157810[[#This Row],[Am Thru]],-Table157810[[#This Row],[Beginning Balance]]))),0)</f>
        <v>0</v>
      </c>
      <c r="H129" s="3">
        <f>MAX(0,IF(C129=$C$4,D129,ROUND(IF($C$3="Fixed Principal",$C$6-Table157810[[#This Row],[Interest]],IF($C$3="Interest Only",Table157810[[#This Row],[Beginning Balance]]*ROUND(1-(1-IF($C$11="No",$E$8,1))^(1/12),6),MIN(IF($C$13="Yes",Table157810[[#This Row],[Payment Amount (Reamortized)]],$C$6)-Table157810[[#This Row],[Interest]],Table157810[[#This Row],[Beginning Balance]]))),2)))</f>
        <v>0</v>
      </c>
      <c r="I129" s="3">
        <f>_xlfn.SINGLE(IF($C$3="Line of Credit",0,ROUND(MAX(MIN(IF($C$10="No",$E$7,VLOOKUP(Table157810[[#This Row],[Period]],Forecast!$H$2:$L$1048576,4,FALSE))*Table157810[[#This Row],[Beginning Balance]],Table157810[[#This Row],[Beginning Balance]]-Table157810[[#This Row],[Principal]]),0),2)))</f>
        <v>0</v>
      </c>
      <c r="J129" s="3">
        <f>ROUND(MIN(Table157810[[#This Row],[Beginning Balance]]*IF($C$8="No",$E$3,VLOOKUP(Table157810[[#This Row],[Period]],Forecast!$H$2:$L$1048576,2,FALSE)),Table157810[[#This Row],[Beginning Balance]]-Table157810[[#This Row],[Principal]]-Table157810[[#This Row],[Prepayments]]),2)</f>
        <v>0</v>
      </c>
      <c r="K129" s="3">
        <f>ROUND(Table157810[[#This Row],[Defaulted Principal]]*IF($C$9="No",$E$4,VLOOKUP(Table157810[[#This Row],[Period]],Forecast!$H$2:$L$1048576,3,FALSE)),2)</f>
        <v>0</v>
      </c>
      <c r="L129" s="2">
        <f>Table157810[[#This Row],[Period]]+$E$9</f>
        <v>125</v>
      </c>
      <c r="M129" s="3">
        <f>Table157810[[#This Row],[Defaulted Principal]]-Table157810[[#This Row],[Estimated Loss]]</f>
        <v>0</v>
      </c>
      <c r="N129" s="3">
        <f>IFERROR(VLOOKUP(Table157810[[#This Row],[Period]],$L$16:$M$385,2,FALSE),0)</f>
        <v>0</v>
      </c>
      <c r="O129" s="3">
        <f>Table157810[[#This Row],[Beginning Balance]]-Table157810[[#This Row],[Principal]]-Table157810[[#This Row],[Prepayments]]-Table157810[[#This Row],[Defaulted Principal]]</f>
        <v>0</v>
      </c>
      <c r="P129" s="3">
        <f>Table157810[[#This Row],[Principal]]+Table157810[[#This Row],[Interest]]+Table157810[[#This Row],[Prepayments]]+Table157810[[#This Row],[RecoveredAmount]]</f>
        <v>0</v>
      </c>
      <c r="Q129" s="3">
        <f ca="1">ROUND(Table157810[[#This Row],[Cash Flow]]/((1+ActualRateToUse)^(IF(ISNUMBER(SEARCH("Actual",$C$7)),Table157810[[#This Row],[Running Total]]/365,Table157810[[#This Row],[Period]]/12))),2)</f>
        <v>0</v>
      </c>
      <c r="R129" s="2">
        <f>IF(MONTH(Table157810[[#This Row],[Date]])=2,28,DAY(DATE(YEAR(Table157810[[#This Row],[Date]]),MONTH(Table157810[[#This Row],[Date]])+1,1)-1))</f>
        <v>30</v>
      </c>
      <c r="S129" s="2">
        <f ca="1">SUM(OFFSET(Table157810[[#Headers],[Days in month]],1,0):Table157810[[#This Row],[Days in month]])</f>
        <v>3438</v>
      </c>
      <c r="T129" s="37">
        <f>InterestRate*AmortizationMultiplier*IF(ISNUMBER(SEARCH("Actual",$C$7)),Table157810[[#This Row],[Days in month]]/365,1/12)</f>
        <v>5.7909166666666656E-3</v>
      </c>
    </row>
    <row r="130" spans="2:20" x14ac:dyDescent="0.2">
      <c r="B130" s="1">
        <v>49309</v>
      </c>
      <c r="C130" s="2">
        <f t="shared" si="4"/>
        <v>114</v>
      </c>
      <c r="D130" s="3">
        <f t="shared" si="3"/>
        <v>0</v>
      </c>
      <c r="E130" s="3">
        <f>ROUND(Table157810[[#This Row],[Beginning Balance]]*Table157810[[#This Row],[Monthly Interest Rate]],2)</f>
        <v>0</v>
      </c>
      <c r="F130" s="3">
        <f t="shared" si="5"/>
        <v>728</v>
      </c>
      <c r="G130" s="23">
        <f>IFERROR(IF($C$13="No","N/A",IF(Table157810[[#This Row],[Period]]=1,$C$6,PMT(InterestRate*AmortizationMultiplier/12,Table157810[[#This Row],[Am Thru]],-Table157810[[#This Row],[Beginning Balance]]))),0)</f>
        <v>0</v>
      </c>
      <c r="H130" s="3">
        <f>MAX(0,IF(C130=$C$4,D130,ROUND(IF($C$3="Fixed Principal",$C$6-Table157810[[#This Row],[Interest]],IF($C$3="Interest Only",Table157810[[#This Row],[Beginning Balance]]*ROUND(1-(1-IF($C$11="No",$E$8,1))^(1/12),6),MIN(IF($C$13="Yes",Table157810[[#This Row],[Payment Amount (Reamortized)]],$C$6)-Table157810[[#This Row],[Interest]],Table157810[[#This Row],[Beginning Balance]]))),2)))</f>
        <v>0</v>
      </c>
      <c r="I130" s="3">
        <f>_xlfn.SINGLE(IF($C$3="Line of Credit",0,ROUND(MAX(MIN(IF($C$10="No",$E$7,VLOOKUP(Table157810[[#This Row],[Period]],Forecast!$H$2:$L$1048576,4,FALSE))*Table157810[[#This Row],[Beginning Balance]],Table157810[[#This Row],[Beginning Balance]]-Table157810[[#This Row],[Principal]]),0),2)))</f>
        <v>0</v>
      </c>
      <c r="J130" s="3">
        <f>ROUND(MIN(Table157810[[#This Row],[Beginning Balance]]*IF($C$8="No",$E$3,VLOOKUP(Table157810[[#This Row],[Period]],Forecast!$H$2:$L$1048576,2,FALSE)),Table157810[[#This Row],[Beginning Balance]]-Table157810[[#This Row],[Principal]]-Table157810[[#This Row],[Prepayments]]),2)</f>
        <v>0</v>
      </c>
      <c r="K130" s="3">
        <f>ROUND(Table157810[[#This Row],[Defaulted Principal]]*IF($C$9="No",$E$4,VLOOKUP(Table157810[[#This Row],[Period]],Forecast!$H$2:$L$1048576,3,FALSE)),2)</f>
        <v>0</v>
      </c>
      <c r="L130" s="2">
        <f>Table157810[[#This Row],[Period]]+$E$9</f>
        <v>126</v>
      </c>
      <c r="M130" s="3">
        <f>Table157810[[#This Row],[Defaulted Principal]]-Table157810[[#This Row],[Estimated Loss]]</f>
        <v>0</v>
      </c>
      <c r="N130" s="3">
        <f>IFERROR(VLOOKUP(Table157810[[#This Row],[Period]],$L$16:$M$385,2,FALSE),0)</f>
        <v>0</v>
      </c>
      <c r="O130" s="3">
        <f>Table157810[[#This Row],[Beginning Balance]]-Table157810[[#This Row],[Principal]]-Table157810[[#This Row],[Prepayments]]-Table157810[[#This Row],[Defaulted Principal]]</f>
        <v>0</v>
      </c>
      <c r="P130" s="3">
        <f>Table157810[[#This Row],[Principal]]+Table157810[[#This Row],[Interest]]+Table157810[[#This Row],[Prepayments]]+Table157810[[#This Row],[RecoveredAmount]]</f>
        <v>0</v>
      </c>
      <c r="Q130" s="3">
        <f ca="1">ROUND(Table157810[[#This Row],[Cash Flow]]/((1+ActualRateToUse)^(IF(ISNUMBER(SEARCH("Actual",$C$7)),Table157810[[#This Row],[Running Total]]/365,Table157810[[#This Row],[Period]]/12))),2)</f>
        <v>0</v>
      </c>
      <c r="R130" s="2">
        <f>IF(MONTH(Table157810[[#This Row],[Date]])=2,28,DAY(DATE(YEAR(Table157810[[#This Row],[Date]]),MONTH(Table157810[[#This Row],[Date]])+1,1)-1))</f>
        <v>31</v>
      </c>
      <c r="S130" s="2">
        <f ca="1">SUM(OFFSET(Table157810[[#Headers],[Days in month]],1,0):Table157810[[#This Row],[Days in month]])</f>
        <v>3469</v>
      </c>
      <c r="T130" s="37">
        <f>InterestRate*AmortizationMultiplier*IF(ISNUMBER(SEARCH("Actual",$C$7)),Table157810[[#This Row],[Days in month]]/365,1/12)</f>
        <v>5.9839472222222214E-3</v>
      </c>
    </row>
    <row r="131" spans="2:20" x14ac:dyDescent="0.2">
      <c r="B131" s="1">
        <v>49340</v>
      </c>
      <c r="C131" s="2">
        <f t="shared" si="4"/>
        <v>115</v>
      </c>
      <c r="D131" s="3">
        <f t="shared" si="3"/>
        <v>0</v>
      </c>
      <c r="E131" s="3">
        <f>ROUND(Table157810[[#This Row],[Beginning Balance]]*Table157810[[#This Row],[Monthly Interest Rate]],2)</f>
        <v>0</v>
      </c>
      <c r="F131" s="3">
        <f t="shared" si="5"/>
        <v>727</v>
      </c>
      <c r="G131" s="23">
        <f>IFERROR(IF($C$13="No","N/A",IF(Table157810[[#This Row],[Period]]=1,$C$6,PMT(InterestRate*AmortizationMultiplier/12,Table157810[[#This Row],[Am Thru]],-Table157810[[#This Row],[Beginning Balance]]))),0)</f>
        <v>0</v>
      </c>
      <c r="H131" s="3">
        <f>MAX(0,IF(C131=$C$4,D131,ROUND(IF($C$3="Fixed Principal",$C$6-Table157810[[#This Row],[Interest]],IF($C$3="Interest Only",Table157810[[#This Row],[Beginning Balance]]*ROUND(1-(1-IF($C$11="No",$E$8,1))^(1/12),6),MIN(IF($C$13="Yes",Table157810[[#This Row],[Payment Amount (Reamortized)]],$C$6)-Table157810[[#This Row],[Interest]],Table157810[[#This Row],[Beginning Balance]]))),2)))</f>
        <v>0</v>
      </c>
      <c r="I131" s="3">
        <f>_xlfn.SINGLE(IF($C$3="Line of Credit",0,ROUND(MAX(MIN(IF($C$10="No",$E$7,VLOOKUP(Table157810[[#This Row],[Period]],Forecast!$H$2:$L$1048576,4,FALSE))*Table157810[[#This Row],[Beginning Balance]],Table157810[[#This Row],[Beginning Balance]]-Table157810[[#This Row],[Principal]]),0),2)))</f>
        <v>0</v>
      </c>
      <c r="J131" s="3">
        <f>ROUND(MIN(Table157810[[#This Row],[Beginning Balance]]*IF($C$8="No",$E$3,VLOOKUP(Table157810[[#This Row],[Period]],Forecast!$H$2:$L$1048576,2,FALSE)),Table157810[[#This Row],[Beginning Balance]]-Table157810[[#This Row],[Principal]]-Table157810[[#This Row],[Prepayments]]),2)</f>
        <v>0</v>
      </c>
      <c r="K131" s="3">
        <f>ROUND(Table157810[[#This Row],[Defaulted Principal]]*IF($C$9="No",$E$4,VLOOKUP(Table157810[[#This Row],[Period]],Forecast!$H$2:$L$1048576,3,FALSE)),2)</f>
        <v>0</v>
      </c>
      <c r="L131" s="2">
        <f>Table157810[[#This Row],[Period]]+$E$9</f>
        <v>127</v>
      </c>
      <c r="M131" s="3">
        <f>Table157810[[#This Row],[Defaulted Principal]]-Table157810[[#This Row],[Estimated Loss]]</f>
        <v>0</v>
      </c>
      <c r="N131" s="3">
        <f>IFERROR(VLOOKUP(Table157810[[#This Row],[Period]],$L$16:$M$385,2,FALSE),0)</f>
        <v>0</v>
      </c>
      <c r="O131" s="3">
        <f>Table157810[[#This Row],[Beginning Balance]]-Table157810[[#This Row],[Principal]]-Table157810[[#This Row],[Prepayments]]-Table157810[[#This Row],[Defaulted Principal]]</f>
        <v>0</v>
      </c>
      <c r="P131" s="3">
        <f>Table157810[[#This Row],[Principal]]+Table157810[[#This Row],[Interest]]+Table157810[[#This Row],[Prepayments]]+Table157810[[#This Row],[RecoveredAmount]]</f>
        <v>0</v>
      </c>
      <c r="Q131" s="3">
        <f ca="1">ROUND(Table157810[[#This Row],[Cash Flow]]/((1+ActualRateToUse)^(IF(ISNUMBER(SEARCH("Actual",$C$7)),Table157810[[#This Row],[Running Total]]/365,Table157810[[#This Row],[Period]]/12))),2)</f>
        <v>0</v>
      </c>
      <c r="R131" s="2">
        <f>IF(MONTH(Table157810[[#This Row],[Date]])=2,28,DAY(DATE(YEAR(Table157810[[#This Row],[Date]]),MONTH(Table157810[[#This Row],[Date]])+1,1)-1))</f>
        <v>31</v>
      </c>
      <c r="S131" s="2">
        <f ca="1">SUM(OFFSET(Table157810[[#Headers],[Days in month]],1,0):Table157810[[#This Row],[Days in month]])</f>
        <v>3500</v>
      </c>
      <c r="T131" s="37">
        <f>InterestRate*AmortizationMultiplier*IF(ISNUMBER(SEARCH("Actual",$C$7)),Table157810[[#This Row],[Days in month]]/365,1/12)</f>
        <v>5.9839472222222214E-3</v>
      </c>
    </row>
    <row r="132" spans="2:20" x14ac:dyDescent="0.2">
      <c r="B132" s="1">
        <v>49368</v>
      </c>
      <c r="C132" s="2">
        <f t="shared" si="4"/>
        <v>116</v>
      </c>
      <c r="D132" s="3">
        <f t="shared" si="3"/>
        <v>0</v>
      </c>
      <c r="E132" s="3">
        <f>ROUND(Table157810[[#This Row],[Beginning Balance]]*Table157810[[#This Row],[Monthly Interest Rate]],2)</f>
        <v>0</v>
      </c>
      <c r="F132" s="3">
        <f t="shared" si="5"/>
        <v>726</v>
      </c>
      <c r="G132" s="23">
        <f>IFERROR(IF($C$13="No","N/A",IF(Table157810[[#This Row],[Period]]=1,$C$6,PMT(InterestRate*AmortizationMultiplier/12,Table157810[[#This Row],[Am Thru]],-Table157810[[#This Row],[Beginning Balance]]))),0)</f>
        <v>0</v>
      </c>
      <c r="H132" s="3">
        <f>MAX(0,IF(C132=$C$4,D132,ROUND(IF($C$3="Fixed Principal",$C$6-Table157810[[#This Row],[Interest]],IF($C$3="Interest Only",Table157810[[#This Row],[Beginning Balance]]*ROUND(1-(1-IF($C$11="No",$E$8,1))^(1/12),6),MIN(IF($C$13="Yes",Table157810[[#This Row],[Payment Amount (Reamortized)]],$C$6)-Table157810[[#This Row],[Interest]],Table157810[[#This Row],[Beginning Balance]]))),2)))</f>
        <v>0</v>
      </c>
      <c r="I132" s="3">
        <f>_xlfn.SINGLE(IF($C$3="Line of Credit",0,ROUND(MAX(MIN(IF($C$10="No",$E$7,VLOOKUP(Table157810[[#This Row],[Period]],Forecast!$H$2:$L$1048576,4,FALSE))*Table157810[[#This Row],[Beginning Balance]],Table157810[[#This Row],[Beginning Balance]]-Table157810[[#This Row],[Principal]]),0),2)))</f>
        <v>0</v>
      </c>
      <c r="J132" s="3">
        <f>ROUND(MIN(Table157810[[#This Row],[Beginning Balance]]*IF($C$8="No",$E$3,VLOOKUP(Table157810[[#This Row],[Period]],Forecast!$H$2:$L$1048576,2,FALSE)),Table157810[[#This Row],[Beginning Balance]]-Table157810[[#This Row],[Principal]]-Table157810[[#This Row],[Prepayments]]),2)</f>
        <v>0</v>
      </c>
      <c r="K132" s="3">
        <f>ROUND(Table157810[[#This Row],[Defaulted Principal]]*IF($C$9="No",$E$4,VLOOKUP(Table157810[[#This Row],[Period]],Forecast!$H$2:$L$1048576,3,FALSE)),2)</f>
        <v>0</v>
      </c>
      <c r="L132" s="2">
        <f>Table157810[[#This Row],[Period]]+$E$9</f>
        <v>128</v>
      </c>
      <c r="M132" s="3">
        <f>Table157810[[#This Row],[Defaulted Principal]]-Table157810[[#This Row],[Estimated Loss]]</f>
        <v>0</v>
      </c>
      <c r="N132" s="3">
        <f>IFERROR(VLOOKUP(Table157810[[#This Row],[Period]],$L$16:$M$385,2,FALSE),0)</f>
        <v>0</v>
      </c>
      <c r="O132" s="3">
        <f>Table157810[[#This Row],[Beginning Balance]]-Table157810[[#This Row],[Principal]]-Table157810[[#This Row],[Prepayments]]-Table157810[[#This Row],[Defaulted Principal]]</f>
        <v>0</v>
      </c>
      <c r="P132" s="3">
        <f>Table157810[[#This Row],[Principal]]+Table157810[[#This Row],[Interest]]+Table157810[[#This Row],[Prepayments]]+Table157810[[#This Row],[RecoveredAmount]]</f>
        <v>0</v>
      </c>
      <c r="Q132" s="3">
        <f ca="1">ROUND(Table157810[[#This Row],[Cash Flow]]/((1+ActualRateToUse)^(IF(ISNUMBER(SEARCH("Actual",$C$7)),Table157810[[#This Row],[Running Total]]/365,Table157810[[#This Row],[Period]]/12))),2)</f>
        <v>0</v>
      </c>
      <c r="R132" s="2">
        <f>IF(MONTH(Table157810[[#This Row],[Date]])=2,28,DAY(DATE(YEAR(Table157810[[#This Row],[Date]]),MONTH(Table157810[[#This Row],[Date]])+1,1)-1))</f>
        <v>28</v>
      </c>
      <c r="S132" s="2">
        <f ca="1">SUM(OFFSET(Table157810[[#Headers],[Days in month]],1,0):Table157810[[#This Row],[Days in month]])</f>
        <v>3528</v>
      </c>
      <c r="T132" s="37">
        <f>InterestRate*AmortizationMultiplier*IF(ISNUMBER(SEARCH("Actual",$C$7)),Table157810[[#This Row],[Days in month]]/365,1/12)</f>
        <v>5.4048555555555548E-3</v>
      </c>
    </row>
    <row r="133" spans="2:20" x14ac:dyDescent="0.2">
      <c r="B133" s="1">
        <v>49399</v>
      </c>
      <c r="C133" s="2">
        <f t="shared" si="4"/>
        <v>117</v>
      </c>
      <c r="D133" s="3">
        <f t="shared" si="3"/>
        <v>0</v>
      </c>
      <c r="E133" s="3">
        <f>ROUND(Table157810[[#This Row],[Beginning Balance]]*Table157810[[#This Row],[Monthly Interest Rate]],2)</f>
        <v>0</v>
      </c>
      <c r="F133" s="3">
        <f t="shared" si="5"/>
        <v>725</v>
      </c>
      <c r="G133" s="23">
        <f>IFERROR(IF($C$13="No","N/A",IF(Table157810[[#This Row],[Period]]=1,$C$6,PMT(InterestRate*AmortizationMultiplier/12,Table157810[[#This Row],[Am Thru]],-Table157810[[#This Row],[Beginning Balance]]))),0)</f>
        <v>0</v>
      </c>
      <c r="H133" s="3">
        <f>MAX(0,IF(C133=$C$4,D133,ROUND(IF($C$3="Fixed Principal",$C$6-Table157810[[#This Row],[Interest]],IF($C$3="Interest Only",Table157810[[#This Row],[Beginning Balance]]*ROUND(1-(1-IF($C$11="No",$E$8,1))^(1/12),6),MIN(IF($C$13="Yes",Table157810[[#This Row],[Payment Amount (Reamortized)]],$C$6)-Table157810[[#This Row],[Interest]],Table157810[[#This Row],[Beginning Balance]]))),2)))</f>
        <v>0</v>
      </c>
      <c r="I133" s="3">
        <f>_xlfn.SINGLE(IF($C$3="Line of Credit",0,ROUND(MAX(MIN(IF($C$10="No",$E$7,VLOOKUP(Table157810[[#This Row],[Period]],Forecast!$H$2:$L$1048576,4,FALSE))*Table157810[[#This Row],[Beginning Balance]],Table157810[[#This Row],[Beginning Balance]]-Table157810[[#This Row],[Principal]]),0),2)))</f>
        <v>0</v>
      </c>
      <c r="J133" s="3">
        <f>ROUND(MIN(Table157810[[#This Row],[Beginning Balance]]*IF($C$8="No",$E$3,VLOOKUP(Table157810[[#This Row],[Period]],Forecast!$H$2:$L$1048576,2,FALSE)),Table157810[[#This Row],[Beginning Balance]]-Table157810[[#This Row],[Principal]]-Table157810[[#This Row],[Prepayments]]),2)</f>
        <v>0</v>
      </c>
      <c r="K133" s="3">
        <f>ROUND(Table157810[[#This Row],[Defaulted Principal]]*IF($C$9="No",$E$4,VLOOKUP(Table157810[[#This Row],[Period]],Forecast!$H$2:$L$1048576,3,FALSE)),2)</f>
        <v>0</v>
      </c>
      <c r="L133" s="2">
        <f>Table157810[[#This Row],[Period]]+$E$9</f>
        <v>129</v>
      </c>
      <c r="M133" s="3">
        <f>Table157810[[#This Row],[Defaulted Principal]]-Table157810[[#This Row],[Estimated Loss]]</f>
        <v>0</v>
      </c>
      <c r="N133" s="3">
        <f>IFERROR(VLOOKUP(Table157810[[#This Row],[Period]],$L$16:$M$385,2,FALSE),0)</f>
        <v>0</v>
      </c>
      <c r="O133" s="3">
        <f>Table157810[[#This Row],[Beginning Balance]]-Table157810[[#This Row],[Principal]]-Table157810[[#This Row],[Prepayments]]-Table157810[[#This Row],[Defaulted Principal]]</f>
        <v>0</v>
      </c>
      <c r="P133" s="3">
        <f>Table157810[[#This Row],[Principal]]+Table157810[[#This Row],[Interest]]+Table157810[[#This Row],[Prepayments]]+Table157810[[#This Row],[RecoveredAmount]]</f>
        <v>0</v>
      </c>
      <c r="Q133" s="3">
        <f ca="1">ROUND(Table157810[[#This Row],[Cash Flow]]/((1+ActualRateToUse)^(IF(ISNUMBER(SEARCH("Actual",$C$7)),Table157810[[#This Row],[Running Total]]/365,Table157810[[#This Row],[Period]]/12))),2)</f>
        <v>0</v>
      </c>
      <c r="R133" s="2">
        <f>IF(MONTH(Table157810[[#This Row],[Date]])=2,28,DAY(DATE(YEAR(Table157810[[#This Row],[Date]]),MONTH(Table157810[[#This Row],[Date]])+1,1)-1))</f>
        <v>31</v>
      </c>
      <c r="S133" s="2">
        <f ca="1">SUM(OFFSET(Table157810[[#Headers],[Days in month]],1,0):Table157810[[#This Row],[Days in month]])</f>
        <v>3559</v>
      </c>
      <c r="T133" s="37">
        <f>InterestRate*AmortizationMultiplier*IF(ISNUMBER(SEARCH("Actual",$C$7)),Table157810[[#This Row],[Days in month]]/365,1/12)</f>
        <v>5.9839472222222214E-3</v>
      </c>
    </row>
    <row r="134" spans="2:20" x14ac:dyDescent="0.2">
      <c r="B134" s="1">
        <v>49429</v>
      </c>
      <c r="C134" s="2">
        <f t="shared" si="4"/>
        <v>118</v>
      </c>
      <c r="D134" s="3">
        <f t="shared" si="3"/>
        <v>0</v>
      </c>
      <c r="E134" s="3">
        <f>ROUND(Table157810[[#This Row],[Beginning Balance]]*Table157810[[#This Row],[Monthly Interest Rate]],2)</f>
        <v>0</v>
      </c>
      <c r="F134" s="3">
        <f t="shared" si="5"/>
        <v>724</v>
      </c>
      <c r="G134" s="23">
        <f>IFERROR(IF($C$13="No","N/A",IF(Table157810[[#This Row],[Period]]=1,$C$6,PMT(InterestRate*AmortizationMultiplier/12,Table157810[[#This Row],[Am Thru]],-Table157810[[#This Row],[Beginning Balance]]))),0)</f>
        <v>0</v>
      </c>
      <c r="H134" s="3">
        <f>MAX(0,IF(C134=$C$4,D134,ROUND(IF($C$3="Fixed Principal",$C$6-Table157810[[#This Row],[Interest]],IF($C$3="Interest Only",Table157810[[#This Row],[Beginning Balance]]*ROUND(1-(1-IF($C$11="No",$E$8,1))^(1/12),6),MIN(IF($C$13="Yes",Table157810[[#This Row],[Payment Amount (Reamortized)]],$C$6)-Table157810[[#This Row],[Interest]],Table157810[[#This Row],[Beginning Balance]]))),2)))</f>
        <v>0</v>
      </c>
      <c r="I134" s="3">
        <f>_xlfn.SINGLE(IF($C$3="Line of Credit",0,ROUND(MAX(MIN(IF($C$10="No",$E$7,VLOOKUP(Table157810[[#This Row],[Period]],Forecast!$H$2:$L$1048576,4,FALSE))*Table157810[[#This Row],[Beginning Balance]],Table157810[[#This Row],[Beginning Balance]]-Table157810[[#This Row],[Principal]]),0),2)))</f>
        <v>0</v>
      </c>
      <c r="J134" s="3">
        <f>ROUND(MIN(Table157810[[#This Row],[Beginning Balance]]*IF($C$8="No",$E$3,VLOOKUP(Table157810[[#This Row],[Period]],Forecast!$H$2:$L$1048576,2,FALSE)),Table157810[[#This Row],[Beginning Balance]]-Table157810[[#This Row],[Principal]]-Table157810[[#This Row],[Prepayments]]),2)</f>
        <v>0</v>
      </c>
      <c r="K134" s="3">
        <f>ROUND(Table157810[[#This Row],[Defaulted Principal]]*IF($C$9="No",$E$4,VLOOKUP(Table157810[[#This Row],[Period]],Forecast!$H$2:$L$1048576,3,FALSE)),2)</f>
        <v>0</v>
      </c>
      <c r="L134" s="2">
        <f>Table157810[[#This Row],[Period]]+$E$9</f>
        <v>130</v>
      </c>
      <c r="M134" s="3">
        <f>Table157810[[#This Row],[Defaulted Principal]]-Table157810[[#This Row],[Estimated Loss]]</f>
        <v>0</v>
      </c>
      <c r="N134" s="3">
        <f>IFERROR(VLOOKUP(Table157810[[#This Row],[Period]],$L$16:$M$385,2,FALSE),0)</f>
        <v>0</v>
      </c>
      <c r="O134" s="3">
        <f>Table157810[[#This Row],[Beginning Balance]]-Table157810[[#This Row],[Principal]]-Table157810[[#This Row],[Prepayments]]-Table157810[[#This Row],[Defaulted Principal]]</f>
        <v>0</v>
      </c>
      <c r="P134" s="3">
        <f>Table157810[[#This Row],[Principal]]+Table157810[[#This Row],[Interest]]+Table157810[[#This Row],[Prepayments]]+Table157810[[#This Row],[RecoveredAmount]]</f>
        <v>0</v>
      </c>
      <c r="Q134" s="3">
        <f ca="1">ROUND(Table157810[[#This Row],[Cash Flow]]/((1+ActualRateToUse)^(IF(ISNUMBER(SEARCH("Actual",$C$7)),Table157810[[#This Row],[Running Total]]/365,Table157810[[#This Row],[Period]]/12))),2)</f>
        <v>0</v>
      </c>
      <c r="R134" s="2">
        <f>IF(MONTH(Table157810[[#This Row],[Date]])=2,28,DAY(DATE(YEAR(Table157810[[#This Row],[Date]]),MONTH(Table157810[[#This Row],[Date]])+1,1)-1))</f>
        <v>30</v>
      </c>
      <c r="S134" s="2">
        <f ca="1">SUM(OFFSET(Table157810[[#Headers],[Days in month]],1,0):Table157810[[#This Row],[Days in month]])</f>
        <v>3589</v>
      </c>
      <c r="T134" s="37">
        <f>InterestRate*AmortizationMultiplier*IF(ISNUMBER(SEARCH("Actual",$C$7)),Table157810[[#This Row],[Days in month]]/365,1/12)</f>
        <v>5.7909166666666656E-3</v>
      </c>
    </row>
    <row r="135" spans="2:20" x14ac:dyDescent="0.2">
      <c r="B135" s="1">
        <v>49460</v>
      </c>
      <c r="C135" s="2">
        <f t="shared" si="4"/>
        <v>119</v>
      </c>
      <c r="D135" s="3">
        <f t="shared" si="3"/>
        <v>0</v>
      </c>
      <c r="E135" s="3">
        <f>ROUND(Table157810[[#This Row],[Beginning Balance]]*Table157810[[#This Row],[Monthly Interest Rate]],2)</f>
        <v>0</v>
      </c>
      <c r="F135" s="3">
        <f t="shared" si="5"/>
        <v>723</v>
      </c>
      <c r="G135" s="23">
        <f>IFERROR(IF($C$13="No","N/A",IF(Table157810[[#This Row],[Period]]=1,$C$6,PMT(InterestRate*AmortizationMultiplier/12,Table157810[[#This Row],[Am Thru]],-Table157810[[#This Row],[Beginning Balance]]))),0)</f>
        <v>0</v>
      </c>
      <c r="H135" s="3">
        <f>MAX(0,IF(C135=$C$4,D135,ROUND(IF($C$3="Fixed Principal",$C$6-Table157810[[#This Row],[Interest]],IF($C$3="Interest Only",Table157810[[#This Row],[Beginning Balance]]*ROUND(1-(1-IF($C$11="No",$E$8,1))^(1/12),6),MIN(IF($C$13="Yes",Table157810[[#This Row],[Payment Amount (Reamortized)]],$C$6)-Table157810[[#This Row],[Interest]],Table157810[[#This Row],[Beginning Balance]]))),2)))</f>
        <v>0</v>
      </c>
      <c r="I135" s="3">
        <f>_xlfn.SINGLE(IF($C$3="Line of Credit",0,ROUND(MAX(MIN(IF($C$10="No",$E$7,VLOOKUP(Table157810[[#This Row],[Period]],Forecast!$H$2:$L$1048576,4,FALSE))*Table157810[[#This Row],[Beginning Balance]],Table157810[[#This Row],[Beginning Balance]]-Table157810[[#This Row],[Principal]]),0),2)))</f>
        <v>0</v>
      </c>
      <c r="J135" s="3">
        <f>ROUND(MIN(Table157810[[#This Row],[Beginning Balance]]*IF($C$8="No",$E$3,VLOOKUP(Table157810[[#This Row],[Period]],Forecast!$H$2:$L$1048576,2,FALSE)),Table157810[[#This Row],[Beginning Balance]]-Table157810[[#This Row],[Principal]]-Table157810[[#This Row],[Prepayments]]),2)</f>
        <v>0</v>
      </c>
      <c r="K135" s="3">
        <f>ROUND(Table157810[[#This Row],[Defaulted Principal]]*IF($C$9="No",$E$4,VLOOKUP(Table157810[[#This Row],[Period]],Forecast!$H$2:$L$1048576,3,FALSE)),2)</f>
        <v>0</v>
      </c>
      <c r="L135" s="2">
        <f>Table157810[[#This Row],[Period]]+$E$9</f>
        <v>131</v>
      </c>
      <c r="M135" s="3">
        <f>Table157810[[#This Row],[Defaulted Principal]]-Table157810[[#This Row],[Estimated Loss]]</f>
        <v>0</v>
      </c>
      <c r="N135" s="3">
        <f>IFERROR(VLOOKUP(Table157810[[#This Row],[Period]],$L$16:$M$385,2,FALSE),0)</f>
        <v>0</v>
      </c>
      <c r="O135" s="3">
        <f>Table157810[[#This Row],[Beginning Balance]]-Table157810[[#This Row],[Principal]]-Table157810[[#This Row],[Prepayments]]-Table157810[[#This Row],[Defaulted Principal]]</f>
        <v>0</v>
      </c>
      <c r="P135" s="3">
        <f>Table157810[[#This Row],[Principal]]+Table157810[[#This Row],[Interest]]+Table157810[[#This Row],[Prepayments]]+Table157810[[#This Row],[RecoveredAmount]]</f>
        <v>0</v>
      </c>
      <c r="Q135" s="3">
        <f ca="1">ROUND(Table157810[[#This Row],[Cash Flow]]/((1+ActualRateToUse)^(IF(ISNUMBER(SEARCH("Actual",$C$7)),Table157810[[#This Row],[Running Total]]/365,Table157810[[#This Row],[Period]]/12))),2)</f>
        <v>0</v>
      </c>
      <c r="R135" s="2">
        <f>IF(MONTH(Table157810[[#This Row],[Date]])=2,28,DAY(DATE(YEAR(Table157810[[#This Row],[Date]]),MONTH(Table157810[[#This Row],[Date]])+1,1)-1))</f>
        <v>31</v>
      </c>
      <c r="S135" s="2">
        <f ca="1">SUM(OFFSET(Table157810[[#Headers],[Days in month]],1,0):Table157810[[#This Row],[Days in month]])</f>
        <v>3620</v>
      </c>
      <c r="T135" s="37">
        <f>InterestRate*AmortizationMultiplier*IF(ISNUMBER(SEARCH("Actual",$C$7)),Table157810[[#This Row],[Days in month]]/365,1/12)</f>
        <v>5.9839472222222214E-3</v>
      </c>
    </row>
    <row r="136" spans="2:20" x14ac:dyDescent="0.2">
      <c r="B136" s="1">
        <v>49490</v>
      </c>
      <c r="C136" s="2">
        <f t="shared" si="4"/>
        <v>120</v>
      </c>
      <c r="D136" s="3">
        <f t="shared" si="3"/>
        <v>0</v>
      </c>
      <c r="E136" s="3">
        <f>ROUND(Table157810[[#This Row],[Beginning Balance]]*Table157810[[#This Row],[Monthly Interest Rate]],2)</f>
        <v>0</v>
      </c>
      <c r="F136" s="3">
        <f t="shared" si="5"/>
        <v>722</v>
      </c>
      <c r="G136" s="23">
        <f>IFERROR(IF($C$13="No","N/A",IF(Table157810[[#This Row],[Period]]=1,$C$6,PMT(InterestRate*AmortizationMultiplier/12,Table157810[[#This Row],[Am Thru]],-Table157810[[#This Row],[Beginning Balance]]))),0)</f>
        <v>0</v>
      </c>
      <c r="H136" s="3">
        <f>MAX(0,IF(C136=$C$4,D136,ROUND(IF($C$3="Fixed Principal",$C$6-Table157810[[#This Row],[Interest]],IF($C$3="Interest Only",Table157810[[#This Row],[Beginning Balance]]*ROUND(1-(1-IF($C$11="No",$E$8,1))^(1/12),6),MIN(IF($C$13="Yes",Table157810[[#This Row],[Payment Amount (Reamortized)]],$C$6)-Table157810[[#This Row],[Interest]],Table157810[[#This Row],[Beginning Balance]]))),2)))</f>
        <v>0</v>
      </c>
      <c r="I136" s="3">
        <f>_xlfn.SINGLE(IF($C$3="Line of Credit",0,ROUND(MAX(MIN(IF($C$10="No",$E$7,VLOOKUP(Table157810[[#This Row],[Period]],Forecast!$H$2:$L$1048576,4,FALSE))*Table157810[[#This Row],[Beginning Balance]],Table157810[[#This Row],[Beginning Balance]]-Table157810[[#This Row],[Principal]]),0),2)))</f>
        <v>0</v>
      </c>
      <c r="J136" s="3">
        <f>ROUND(MIN(Table157810[[#This Row],[Beginning Balance]]*IF($C$8="No",$E$3,VLOOKUP(Table157810[[#This Row],[Period]],Forecast!$H$2:$L$1048576,2,FALSE)),Table157810[[#This Row],[Beginning Balance]]-Table157810[[#This Row],[Principal]]-Table157810[[#This Row],[Prepayments]]),2)</f>
        <v>0</v>
      </c>
      <c r="K136" s="3">
        <f>ROUND(Table157810[[#This Row],[Defaulted Principal]]*IF($C$9="No",$E$4,VLOOKUP(Table157810[[#This Row],[Period]],Forecast!$H$2:$L$1048576,3,FALSE)),2)</f>
        <v>0</v>
      </c>
      <c r="L136" s="2">
        <f>Table157810[[#This Row],[Period]]+$E$9</f>
        <v>132</v>
      </c>
      <c r="M136" s="3">
        <f>Table157810[[#This Row],[Defaulted Principal]]-Table157810[[#This Row],[Estimated Loss]]</f>
        <v>0</v>
      </c>
      <c r="N136" s="3">
        <f>IFERROR(VLOOKUP(Table157810[[#This Row],[Period]],$L$16:$M$385,2,FALSE),0)</f>
        <v>0</v>
      </c>
      <c r="O136" s="3">
        <f>Table157810[[#This Row],[Beginning Balance]]-Table157810[[#This Row],[Principal]]-Table157810[[#This Row],[Prepayments]]-Table157810[[#This Row],[Defaulted Principal]]</f>
        <v>0</v>
      </c>
      <c r="P136" s="3">
        <f>Table157810[[#This Row],[Principal]]+Table157810[[#This Row],[Interest]]+Table157810[[#This Row],[Prepayments]]+Table157810[[#This Row],[RecoveredAmount]]</f>
        <v>0</v>
      </c>
      <c r="Q136" s="3">
        <f ca="1">ROUND(Table157810[[#This Row],[Cash Flow]]/((1+ActualRateToUse)^(IF(ISNUMBER(SEARCH("Actual",$C$7)),Table157810[[#This Row],[Running Total]]/365,Table157810[[#This Row],[Period]]/12))),2)</f>
        <v>0</v>
      </c>
      <c r="R136" s="2">
        <f>IF(MONTH(Table157810[[#This Row],[Date]])=2,28,DAY(DATE(YEAR(Table157810[[#This Row],[Date]]),MONTH(Table157810[[#This Row],[Date]])+1,1)-1))</f>
        <v>30</v>
      </c>
      <c r="S136" s="2">
        <f ca="1">SUM(OFFSET(Table157810[[#Headers],[Days in month]],1,0):Table157810[[#This Row],[Days in month]])</f>
        <v>3650</v>
      </c>
      <c r="T136" s="37">
        <f>InterestRate*AmortizationMultiplier*IF(ISNUMBER(SEARCH("Actual",$C$7)),Table157810[[#This Row],[Days in month]]/365,1/12)</f>
        <v>5.7909166666666656E-3</v>
      </c>
    </row>
    <row r="137" spans="2:20" x14ac:dyDescent="0.2">
      <c r="B137" s="1">
        <v>49521</v>
      </c>
      <c r="C137" s="2">
        <f t="shared" si="4"/>
        <v>121</v>
      </c>
      <c r="D137" s="3">
        <f t="shared" si="3"/>
        <v>0</v>
      </c>
      <c r="E137" s="3">
        <f>ROUND(Table157810[[#This Row],[Beginning Balance]]*Table157810[[#This Row],[Monthly Interest Rate]],2)</f>
        <v>0</v>
      </c>
      <c r="F137" s="3">
        <f t="shared" si="5"/>
        <v>721</v>
      </c>
      <c r="G137" s="23">
        <f>IFERROR(IF($C$13="No","N/A",IF(Table157810[[#This Row],[Period]]=1,$C$6,PMT(InterestRate*AmortizationMultiplier/12,Table157810[[#This Row],[Am Thru]],-Table157810[[#This Row],[Beginning Balance]]))),0)</f>
        <v>0</v>
      </c>
      <c r="H137" s="3">
        <f>MAX(0,IF(C137=$C$4,D137,ROUND(IF($C$3="Fixed Principal",$C$6-Table157810[[#This Row],[Interest]],IF($C$3="Interest Only",Table157810[[#This Row],[Beginning Balance]]*ROUND(1-(1-IF($C$11="No",$E$8,1))^(1/12),6),MIN(IF($C$13="Yes",Table157810[[#This Row],[Payment Amount (Reamortized)]],$C$6)-Table157810[[#This Row],[Interest]],Table157810[[#This Row],[Beginning Balance]]))),2)))</f>
        <v>0</v>
      </c>
      <c r="I137" s="3">
        <f>_xlfn.SINGLE(IF($C$3="Line of Credit",0,ROUND(MAX(MIN(IF($C$10="No",$E$7,VLOOKUP(Table157810[[#This Row],[Period]],Forecast!$H$2:$L$1048576,4,FALSE))*Table157810[[#This Row],[Beginning Balance]],Table157810[[#This Row],[Beginning Balance]]-Table157810[[#This Row],[Principal]]),0),2)))</f>
        <v>0</v>
      </c>
      <c r="J137" s="3">
        <f>ROUND(MIN(Table157810[[#This Row],[Beginning Balance]]*IF($C$8="No",$E$3,VLOOKUP(Table157810[[#This Row],[Period]],Forecast!$H$2:$L$1048576,2,FALSE)),Table157810[[#This Row],[Beginning Balance]]-Table157810[[#This Row],[Principal]]-Table157810[[#This Row],[Prepayments]]),2)</f>
        <v>0</v>
      </c>
      <c r="K137" s="3">
        <f>ROUND(Table157810[[#This Row],[Defaulted Principal]]*IF($C$9="No",$E$4,VLOOKUP(Table157810[[#This Row],[Period]],Forecast!$H$2:$L$1048576,3,FALSE)),2)</f>
        <v>0</v>
      </c>
      <c r="L137" s="2">
        <f>Table157810[[#This Row],[Period]]+$E$9</f>
        <v>133</v>
      </c>
      <c r="M137" s="3">
        <f>Table157810[[#This Row],[Defaulted Principal]]-Table157810[[#This Row],[Estimated Loss]]</f>
        <v>0</v>
      </c>
      <c r="N137" s="3">
        <f>IFERROR(VLOOKUP(Table157810[[#This Row],[Period]],$L$16:$M$385,2,FALSE),0)</f>
        <v>0</v>
      </c>
      <c r="O137" s="3">
        <f>Table157810[[#This Row],[Beginning Balance]]-Table157810[[#This Row],[Principal]]-Table157810[[#This Row],[Prepayments]]-Table157810[[#This Row],[Defaulted Principal]]</f>
        <v>0</v>
      </c>
      <c r="P137" s="3">
        <f>Table157810[[#This Row],[Principal]]+Table157810[[#This Row],[Interest]]+Table157810[[#This Row],[Prepayments]]+Table157810[[#This Row],[RecoveredAmount]]</f>
        <v>0</v>
      </c>
      <c r="Q137" s="3">
        <f ca="1">ROUND(Table157810[[#This Row],[Cash Flow]]/((1+ActualRateToUse)^(IF(ISNUMBER(SEARCH("Actual",$C$7)),Table157810[[#This Row],[Running Total]]/365,Table157810[[#This Row],[Period]]/12))),2)</f>
        <v>0</v>
      </c>
      <c r="R137" s="2">
        <f>IF(MONTH(Table157810[[#This Row],[Date]])=2,28,DAY(DATE(YEAR(Table157810[[#This Row],[Date]]),MONTH(Table157810[[#This Row],[Date]])+1,1)-1))</f>
        <v>31</v>
      </c>
      <c r="S137" s="2">
        <f ca="1">SUM(OFFSET(Table157810[[#Headers],[Days in month]],1,0):Table157810[[#This Row],[Days in month]])</f>
        <v>3681</v>
      </c>
      <c r="T137" s="37">
        <f>InterestRate*AmortizationMultiplier*IF(ISNUMBER(SEARCH("Actual",$C$7)),Table157810[[#This Row],[Days in month]]/365,1/12)</f>
        <v>5.9839472222222214E-3</v>
      </c>
    </row>
    <row r="138" spans="2:20" x14ac:dyDescent="0.2">
      <c r="B138" s="1">
        <v>49552</v>
      </c>
      <c r="C138" s="2">
        <f t="shared" si="4"/>
        <v>122</v>
      </c>
      <c r="D138" s="3">
        <f t="shared" si="3"/>
        <v>0</v>
      </c>
      <c r="E138" s="3">
        <f>ROUND(Table157810[[#This Row],[Beginning Balance]]*Table157810[[#This Row],[Monthly Interest Rate]],2)</f>
        <v>0</v>
      </c>
      <c r="F138" s="3">
        <f t="shared" si="5"/>
        <v>720</v>
      </c>
      <c r="G138" s="23">
        <f>IFERROR(IF($C$13="No","N/A",IF(Table157810[[#This Row],[Period]]=1,$C$6,PMT(InterestRate*AmortizationMultiplier/12,Table157810[[#This Row],[Am Thru]],-Table157810[[#This Row],[Beginning Balance]]))),0)</f>
        <v>0</v>
      </c>
      <c r="H138" s="3">
        <f>MAX(0,IF(C138=$C$4,D138,ROUND(IF($C$3="Fixed Principal",$C$6-Table157810[[#This Row],[Interest]],IF($C$3="Interest Only",Table157810[[#This Row],[Beginning Balance]]*ROUND(1-(1-IF($C$11="No",$E$8,1))^(1/12),6),MIN(IF($C$13="Yes",Table157810[[#This Row],[Payment Amount (Reamortized)]],$C$6)-Table157810[[#This Row],[Interest]],Table157810[[#This Row],[Beginning Balance]]))),2)))</f>
        <v>0</v>
      </c>
      <c r="I138" s="3">
        <f>_xlfn.SINGLE(IF($C$3="Line of Credit",0,ROUND(MAX(MIN(IF($C$10="No",$E$7,VLOOKUP(Table157810[[#This Row],[Period]],Forecast!$H$2:$L$1048576,4,FALSE))*Table157810[[#This Row],[Beginning Balance]],Table157810[[#This Row],[Beginning Balance]]-Table157810[[#This Row],[Principal]]),0),2)))</f>
        <v>0</v>
      </c>
      <c r="J138" s="3">
        <f>ROUND(MIN(Table157810[[#This Row],[Beginning Balance]]*IF($C$8="No",$E$3,VLOOKUP(Table157810[[#This Row],[Period]],Forecast!$H$2:$L$1048576,2,FALSE)),Table157810[[#This Row],[Beginning Balance]]-Table157810[[#This Row],[Principal]]-Table157810[[#This Row],[Prepayments]]),2)</f>
        <v>0</v>
      </c>
      <c r="K138" s="3">
        <f>ROUND(Table157810[[#This Row],[Defaulted Principal]]*IF($C$9="No",$E$4,VLOOKUP(Table157810[[#This Row],[Period]],Forecast!$H$2:$L$1048576,3,FALSE)),2)</f>
        <v>0</v>
      </c>
      <c r="L138" s="2">
        <f>Table157810[[#This Row],[Period]]+$E$9</f>
        <v>134</v>
      </c>
      <c r="M138" s="3">
        <f>Table157810[[#This Row],[Defaulted Principal]]-Table157810[[#This Row],[Estimated Loss]]</f>
        <v>0</v>
      </c>
      <c r="N138" s="3">
        <f>IFERROR(VLOOKUP(Table157810[[#This Row],[Period]],$L$16:$M$385,2,FALSE),0)</f>
        <v>0</v>
      </c>
      <c r="O138" s="3">
        <f>Table157810[[#This Row],[Beginning Balance]]-Table157810[[#This Row],[Principal]]-Table157810[[#This Row],[Prepayments]]-Table157810[[#This Row],[Defaulted Principal]]</f>
        <v>0</v>
      </c>
      <c r="P138" s="3">
        <f>Table157810[[#This Row],[Principal]]+Table157810[[#This Row],[Interest]]+Table157810[[#This Row],[Prepayments]]+Table157810[[#This Row],[RecoveredAmount]]</f>
        <v>0</v>
      </c>
      <c r="Q138" s="3">
        <f ca="1">ROUND(Table157810[[#This Row],[Cash Flow]]/((1+ActualRateToUse)^(IF(ISNUMBER(SEARCH("Actual",$C$7)),Table157810[[#This Row],[Running Total]]/365,Table157810[[#This Row],[Period]]/12))),2)</f>
        <v>0</v>
      </c>
      <c r="R138" s="2">
        <f>IF(MONTH(Table157810[[#This Row],[Date]])=2,28,DAY(DATE(YEAR(Table157810[[#This Row],[Date]]),MONTH(Table157810[[#This Row],[Date]])+1,1)-1))</f>
        <v>31</v>
      </c>
      <c r="S138" s="2">
        <f ca="1">SUM(OFFSET(Table157810[[#Headers],[Days in month]],1,0):Table157810[[#This Row],[Days in month]])</f>
        <v>3712</v>
      </c>
      <c r="T138" s="37">
        <f>InterestRate*AmortizationMultiplier*IF(ISNUMBER(SEARCH("Actual",$C$7)),Table157810[[#This Row],[Days in month]]/365,1/12)</f>
        <v>5.9839472222222214E-3</v>
      </c>
    </row>
    <row r="139" spans="2:20" x14ac:dyDescent="0.2">
      <c r="B139" s="1">
        <f t="shared" ref="B139:B202" si="6">EOMONTH(B138,1)</f>
        <v>49582</v>
      </c>
      <c r="C139" s="2">
        <f t="shared" si="4"/>
        <v>123</v>
      </c>
      <c r="D139" s="3">
        <f t="shared" si="3"/>
        <v>0</v>
      </c>
      <c r="E139" s="3">
        <f>ROUND(Table157810[[#This Row],[Beginning Balance]]*Table157810[[#This Row],[Monthly Interest Rate]],2)</f>
        <v>0</v>
      </c>
      <c r="F139" s="3">
        <f t="shared" si="5"/>
        <v>719</v>
      </c>
      <c r="G139" s="23">
        <f>IFERROR(IF($C$13="No","N/A",IF(Table157810[[#This Row],[Period]]=1,$C$6,PMT(InterestRate*AmortizationMultiplier/12,Table157810[[#This Row],[Am Thru]],-Table157810[[#This Row],[Beginning Balance]]))),0)</f>
        <v>0</v>
      </c>
      <c r="H139" s="3">
        <f>MAX(0,IF(C139=$C$4,D139,ROUND(IF($C$3="Fixed Principal",$C$6-Table157810[[#This Row],[Interest]],IF($C$3="Interest Only",Table157810[[#This Row],[Beginning Balance]]*ROUND(1-(1-IF($C$11="No",$E$8,1))^(1/12),6),MIN(IF($C$13="Yes",Table157810[[#This Row],[Payment Amount (Reamortized)]],$C$6)-Table157810[[#This Row],[Interest]],Table157810[[#This Row],[Beginning Balance]]))),2)))</f>
        <v>0</v>
      </c>
      <c r="I139" s="3">
        <f>_xlfn.SINGLE(IF($C$3="Line of Credit",0,ROUND(MAX(MIN(IF($C$10="No",$E$7,VLOOKUP(Table157810[[#This Row],[Period]],Forecast!$H$2:$L$1048576,4,FALSE))*Table157810[[#This Row],[Beginning Balance]],Table157810[[#This Row],[Beginning Balance]]-Table157810[[#This Row],[Principal]]),0),2)))</f>
        <v>0</v>
      </c>
      <c r="J139" s="3">
        <f>ROUND(MIN(Table157810[[#This Row],[Beginning Balance]]*IF($C$8="No",$E$3,VLOOKUP(Table157810[[#This Row],[Period]],Forecast!$H$2:$L$1048576,2,FALSE)),Table157810[[#This Row],[Beginning Balance]]-Table157810[[#This Row],[Principal]]-Table157810[[#This Row],[Prepayments]]),2)</f>
        <v>0</v>
      </c>
      <c r="K139" s="3">
        <f>ROUND(Table157810[[#This Row],[Defaulted Principal]]*IF($C$9="No",$E$4,VLOOKUP(Table157810[[#This Row],[Period]],Forecast!$H$2:$L$1048576,3,FALSE)),2)</f>
        <v>0</v>
      </c>
      <c r="L139" s="2">
        <f>Table157810[[#This Row],[Period]]+$E$9</f>
        <v>135</v>
      </c>
      <c r="M139" s="3">
        <f>Table157810[[#This Row],[Defaulted Principal]]-Table157810[[#This Row],[Estimated Loss]]</f>
        <v>0</v>
      </c>
      <c r="N139" s="3">
        <f>IFERROR(VLOOKUP(Table157810[[#This Row],[Period]],$L$16:$M$385,2,FALSE),0)</f>
        <v>0</v>
      </c>
      <c r="O139" s="3">
        <f>Table157810[[#This Row],[Beginning Balance]]-Table157810[[#This Row],[Principal]]-Table157810[[#This Row],[Prepayments]]-Table157810[[#This Row],[Defaulted Principal]]</f>
        <v>0</v>
      </c>
      <c r="P139" s="3">
        <f>Table157810[[#This Row],[Principal]]+Table157810[[#This Row],[Interest]]+Table157810[[#This Row],[Prepayments]]+Table157810[[#This Row],[RecoveredAmount]]</f>
        <v>0</v>
      </c>
      <c r="Q139" s="3">
        <f ca="1">ROUND(Table157810[[#This Row],[Cash Flow]]/((1+ActualRateToUse)^(IF(ISNUMBER(SEARCH("Actual",$C$7)),Table157810[[#This Row],[Running Total]]/365,Table157810[[#This Row],[Period]]/12))),2)</f>
        <v>0</v>
      </c>
      <c r="R139" s="2">
        <f>IF(MONTH(Table157810[[#This Row],[Date]])=2,28,DAY(DATE(YEAR(Table157810[[#This Row],[Date]]),MONTH(Table157810[[#This Row],[Date]])+1,1)-1))</f>
        <v>30</v>
      </c>
      <c r="S139" s="2">
        <f ca="1">SUM(OFFSET(Table157810[[#Headers],[Days in month]],1,0):Table157810[[#This Row],[Days in month]])</f>
        <v>3742</v>
      </c>
      <c r="T139" s="37">
        <f>InterestRate*AmortizationMultiplier*IF(ISNUMBER(SEARCH("Actual",$C$7)),Table157810[[#This Row],[Days in month]]/365,1/12)</f>
        <v>5.7909166666666656E-3</v>
      </c>
    </row>
    <row r="140" spans="2:20" x14ac:dyDescent="0.2">
      <c r="B140" s="1">
        <f t="shared" si="6"/>
        <v>49613</v>
      </c>
      <c r="C140" s="2">
        <f t="shared" si="4"/>
        <v>124</v>
      </c>
      <c r="D140" s="3">
        <f t="shared" si="3"/>
        <v>0</v>
      </c>
      <c r="E140" s="3">
        <f>ROUND(Table157810[[#This Row],[Beginning Balance]]*Table157810[[#This Row],[Monthly Interest Rate]],2)</f>
        <v>0</v>
      </c>
      <c r="F140" s="3">
        <f t="shared" si="5"/>
        <v>718</v>
      </c>
      <c r="G140" s="23">
        <f>IFERROR(IF($C$13="No","N/A",IF(Table157810[[#This Row],[Period]]=1,$C$6,PMT(InterestRate*AmortizationMultiplier/12,Table157810[[#This Row],[Am Thru]],-Table157810[[#This Row],[Beginning Balance]]))),0)</f>
        <v>0</v>
      </c>
      <c r="H140" s="3">
        <f>MAX(0,IF(C140=$C$4,D140,ROUND(IF($C$3="Fixed Principal",$C$6-Table157810[[#This Row],[Interest]],IF($C$3="Interest Only",Table157810[[#This Row],[Beginning Balance]]*ROUND(1-(1-IF($C$11="No",$E$8,1))^(1/12),6),MIN(IF($C$13="Yes",Table157810[[#This Row],[Payment Amount (Reamortized)]],$C$6)-Table157810[[#This Row],[Interest]],Table157810[[#This Row],[Beginning Balance]]))),2)))</f>
        <v>0</v>
      </c>
      <c r="I140" s="3">
        <f>_xlfn.SINGLE(IF($C$3="Line of Credit",0,ROUND(MAX(MIN(IF($C$10="No",$E$7,VLOOKUP(Table157810[[#This Row],[Period]],Forecast!$H$2:$L$1048576,4,FALSE))*Table157810[[#This Row],[Beginning Balance]],Table157810[[#This Row],[Beginning Balance]]-Table157810[[#This Row],[Principal]]),0),2)))</f>
        <v>0</v>
      </c>
      <c r="J140" s="3">
        <f>ROUND(MIN(Table157810[[#This Row],[Beginning Balance]]*IF($C$8="No",$E$3,VLOOKUP(Table157810[[#This Row],[Period]],Forecast!$H$2:$L$1048576,2,FALSE)),Table157810[[#This Row],[Beginning Balance]]-Table157810[[#This Row],[Principal]]-Table157810[[#This Row],[Prepayments]]),2)</f>
        <v>0</v>
      </c>
      <c r="K140" s="3">
        <f>ROUND(Table157810[[#This Row],[Defaulted Principal]]*IF($C$9="No",$E$4,VLOOKUP(Table157810[[#This Row],[Period]],Forecast!$H$2:$L$1048576,3,FALSE)),2)</f>
        <v>0</v>
      </c>
      <c r="L140" s="2">
        <f>Table157810[[#This Row],[Period]]+$E$9</f>
        <v>136</v>
      </c>
      <c r="M140" s="3">
        <f>Table157810[[#This Row],[Defaulted Principal]]-Table157810[[#This Row],[Estimated Loss]]</f>
        <v>0</v>
      </c>
      <c r="N140" s="3">
        <f>IFERROR(VLOOKUP(Table157810[[#This Row],[Period]],$L$16:$M$385,2,FALSE),0)</f>
        <v>0</v>
      </c>
      <c r="O140" s="3">
        <f>Table157810[[#This Row],[Beginning Balance]]-Table157810[[#This Row],[Principal]]-Table157810[[#This Row],[Prepayments]]-Table157810[[#This Row],[Defaulted Principal]]</f>
        <v>0</v>
      </c>
      <c r="P140" s="3">
        <f>Table157810[[#This Row],[Principal]]+Table157810[[#This Row],[Interest]]+Table157810[[#This Row],[Prepayments]]+Table157810[[#This Row],[RecoveredAmount]]</f>
        <v>0</v>
      </c>
      <c r="Q140" s="3">
        <f ca="1">ROUND(Table157810[[#This Row],[Cash Flow]]/((1+ActualRateToUse)^(IF(ISNUMBER(SEARCH("Actual",$C$7)),Table157810[[#This Row],[Running Total]]/365,Table157810[[#This Row],[Period]]/12))),2)</f>
        <v>0</v>
      </c>
      <c r="R140" s="2">
        <f>IF(MONTH(Table157810[[#This Row],[Date]])=2,28,DAY(DATE(YEAR(Table157810[[#This Row],[Date]]),MONTH(Table157810[[#This Row],[Date]])+1,1)-1))</f>
        <v>31</v>
      </c>
      <c r="S140" s="2">
        <f ca="1">SUM(OFFSET(Table157810[[#Headers],[Days in month]],1,0):Table157810[[#This Row],[Days in month]])</f>
        <v>3773</v>
      </c>
      <c r="T140" s="37">
        <f>InterestRate*AmortizationMultiplier*IF(ISNUMBER(SEARCH("Actual",$C$7)),Table157810[[#This Row],[Days in month]]/365,1/12)</f>
        <v>5.9839472222222214E-3</v>
      </c>
    </row>
    <row r="141" spans="2:20" x14ac:dyDescent="0.2">
      <c r="B141" s="1">
        <f t="shared" si="6"/>
        <v>49643</v>
      </c>
      <c r="C141" s="2">
        <f t="shared" si="4"/>
        <v>125</v>
      </c>
      <c r="D141" s="3">
        <f t="shared" si="3"/>
        <v>0</v>
      </c>
      <c r="E141" s="3">
        <f>ROUND(Table157810[[#This Row],[Beginning Balance]]*Table157810[[#This Row],[Monthly Interest Rate]],2)</f>
        <v>0</v>
      </c>
      <c r="F141" s="3">
        <f t="shared" si="5"/>
        <v>717</v>
      </c>
      <c r="G141" s="23">
        <f>IFERROR(IF($C$13="No","N/A",IF(Table157810[[#This Row],[Period]]=1,$C$6,PMT(InterestRate*AmortizationMultiplier/12,Table157810[[#This Row],[Am Thru]],-Table157810[[#This Row],[Beginning Balance]]))),0)</f>
        <v>0</v>
      </c>
      <c r="H141" s="3">
        <f>MAX(0,IF(C141=$C$4,D141,ROUND(IF($C$3="Fixed Principal",$C$6-Table157810[[#This Row],[Interest]],IF($C$3="Interest Only",Table157810[[#This Row],[Beginning Balance]]*ROUND(1-(1-IF($C$11="No",$E$8,1))^(1/12),6),MIN(IF($C$13="Yes",Table157810[[#This Row],[Payment Amount (Reamortized)]],$C$6)-Table157810[[#This Row],[Interest]],Table157810[[#This Row],[Beginning Balance]]))),2)))</f>
        <v>0</v>
      </c>
      <c r="I141" s="3">
        <f>_xlfn.SINGLE(IF($C$3="Line of Credit",0,ROUND(MAX(MIN(IF($C$10="No",$E$7,VLOOKUP(Table157810[[#This Row],[Period]],Forecast!$H$2:$L$1048576,4,FALSE))*Table157810[[#This Row],[Beginning Balance]],Table157810[[#This Row],[Beginning Balance]]-Table157810[[#This Row],[Principal]]),0),2)))</f>
        <v>0</v>
      </c>
      <c r="J141" s="3">
        <f>ROUND(MIN(Table157810[[#This Row],[Beginning Balance]]*IF($C$8="No",$E$3,VLOOKUP(Table157810[[#This Row],[Period]],Forecast!$H$2:$L$1048576,2,FALSE)),Table157810[[#This Row],[Beginning Balance]]-Table157810[[#This Row],[Principal]]-Table157810[[#This Row],[Prepayments]]),2)</f>
        <v>0</v>
      </c>
      <c r="K141" s="3">
        <f>ROUND(Table157810[[#This Row],[Defaulted Principal]]*IF($C$9="No",$E$4,VLOOKUP(Table157810[[#This Row],[Period]],Forecast!$H$2:$L$1048576,3,FALSE)),2)</f>
        <v>0</v>
      </c>
      <c r="L141" s="2">
        <f>Table157810[[#This Row],[Period]]+$E$9</f>
        <v>137</v>
      </c>
      <c r="M141" s="3">
        <f>Table157810[[#This Row],[Defaulted Principal]]-Table157810[[#This Row],[Estimated Loss]]</f>
        <v>0</v>
      </c>
      <c r="N141" s="3">
        <f>IFERROR(VLOOKUP(Table157810[[#This Row],[Period]],$L$16:$M$385,2,FALSE),0)</f>
        <v>0</v>
      </c>
      <c r="O141" s="3">
        <f>Table157810[[#This Row],[Beginning Balance]]-Table157810[[#This Row],[Principal]]-Table157810[[#This Row],[Prepayments]]-Table157810[[#This Row],[Defaulted Principal]]</f>
        <v>0</v>
      </c>
      <c r="P141" s="3">
        <f>Table157810[[#This Row],[Principal]]+Table157810[[#This Row],[Interest]]+Table157810[[#This Row],[Prepayments]]+Table157810[[#This Row],[RecoveredAmount]]</f>
        <v>0</v>
      </c>
      <c r="Q141" s="3">
        <f ca="1">ROUND(Table157810[[#This Row],[Cash Flow]]/((1+ActualRateToUse)^(IF(ISNUMBER(SEARCH("Actual",$C$7)),Table157810[[#This Row],[Running Total]]/365,Table157810[[#This Row],[Period]]/12))),2)</f>
        <v>0</v>
      </c>
      <c r="R141" s="2">
        <f>IF(MONTH(Table157810[[#This Row],[Date]])=2,28,DAY(DATE(YEAR(Table157810[[#This Row],[Date]]),MONTH(Table157810[[#This Row],[Date]])+1,1)-1))</f>
        <v>30</v>
      </c>
      <c r="S141" s="2">
        <f ca="1">SUM(OFFSET(Table157810[[#Headers],[Days in month]],1,0):Table157810[[#This Row],[Days in month]])</f>
        <v>3803</v>
      </c>
      <c r="T141" s="37">
        <f>InterestRate*AmortizationMultiplier*IF(ISNUMBER(SEARCH("Actual",$C$7)),Table157810[[#This Row],[Days in month]]/365,1/12)</f>
        <v>5.7909166666666656E-3</v>
      </c>
    </row>
    <row r="142" spans="2:20" x14ac:dyDescent="0.2">
      <c r="B142" s="1">
        <f t="shared" si="6"/>
        <v>49674</v>
      </c>
      <c r="C142" s="2">
        <f t="shared" si="4"/>
        <v>126</v>
      </c>
      <c r="D142" s="3">
        <f t="shared" si="3"/>
        <v>0</v>
      </c>
      <c r="E142" s="3">
        <f>ROUND(Table157810[[#This Row],[Beginning Balance]]*Table157810[[#This Row],[Monthly Interest Rate]],2)</f>
        <v>0</v>
      </c>
      <c r="F142" s="3">
        <f t="shared" si="5"/>
        <v>716</v>
      </c>
      <c r="G142" s="23">
        <f>IFERROR(IF($C$13="No","N/A",IF(Table157810[[#This Row],[Period]]=1,$C$6,PMT(InterestRate*AmortizationMultiplier/12,Table157810[[#This Row],[Am Thru]],-Table157810[[#This Row],[Beginning Balance]]))),0)</f>
        <v>0</v>
      </c>
      <c r="H142" s="3">
        <f>MAX(0,IF(C142=$C$4,D142,ROUND(IF($C$3="Fixed Principal",$C$6-Table157810[[#This Row],[Interest]],IF($C$3="Interest Only",Table157810[[#This Row],[Beginning Balance]]*ROUND(1-(1-IF($C$11="No",$E$8,1))^(1/12),6),MIN(IF($C$13="Yes",Table157810[[#This Row],[Payment Amount (Reamortized)]],$C$6)-Table157810[[#This Row],[Interest]],Table157810[[#This Row],[Beginning Balance]]))),2)))</f>
        <v>0</v>
      </c>
      <c r="I142" s="3">
        <f>_xlfn.SINGLE(IF($C$3="Line of Credit",0,ROUND(MAX(MIN(IF($C$10="No",$E$7,VLOOKUP(Table157810[[#This Row],[Period]],Forecast!$H$2:$L$1048576,4,FALSE))*Table157810[[#This Row],[Beginning Balance]],Table157810[[#This Row],[Beginning Balance]]-Table157810[[#This Row],[Principal]]),0),2)))</f>
        <v>0</v>
      </c>
      <c r="J142" s="3">
        <f>ROUND(MIN(Table157810[[#This Row],[Beginning Balance]]*IF($C$8="No",$E$3,VLOOKUP(Table157810[[#This Row],[Period]],Forecast!$H$2:$L$1048576,2,FALSE)),Table157810[[#This Row],[Beginning Balance]]-Table157810[[#This Row],[Principal]]-Table157810[[#This Row],[Prepayments]]),2)</f>
        <v>0</v>
      </c>
      <c r="K142" s="3">
        <f>ROUND(Table157810[[#This Row],[Defaulted Principal]]*IF($C$9="No",$E$4,VLOOKUP(Table157810[[#This Row],[Period]],Forecast!$H$2:$L$1048576,3,FALSE)),2)</f>
        <v>0</v>
      </c>
      <c r="L142" s="2">
        <f>Table157810[[#This Row],[Period]]+$E$9</f>
        <v>138</v>
      </c>
      <c r="M142" s="3">
        <f>Table157810[[#This Row],[Defaulted Principal]]-Table157810[[#This Row],[Estimated Loss]]</f>
        <v>0</v>
      </c>
      <c r="N142" s="3">
        <f>IFERROR(VLOOKUP(Table157810[[#This Row],[Period]],$L$16:$M$385,2,FALSE),0)</f>
        <v>0</v>
      </c>
      <c r="O142" s="3">
        <f>Table157810[[#This Row],[Beginning Balance]]-Table157810[[#This Row],[Principal]]-Table157810[[#This Row],[Prepayments]]-Table157810[[#This Row],[Defaulted Principal]]</f>
        <v>0</v>
      </c>
      <c r="P142" s="3">
        <f>Table157810[[#This Row],[Principal]]+Table157810[[#This Row],[Interest]]+Table157810[[#This Row],[Prepayments]]+Table157810[[#This Row],[RecoveredAmount]]</f>
        <v>0</v>
      </c>
      <c r="Q142" s="3">
        <f ca="1">ROUND(Table157810[[#This Row],[Cash Flow]]/((1+ActualRateToUse)^(IF(ISNUMBER(SEARCH("Actual",$C$7)),Table157810[[#This Row],[Running Total]]/365,Table157810[[#This Row],[Period]]/12))),2)</f>
        <v>0</v>
      </c>
      <c r="R142" s="2">
        <f>IF(MONTH(Table157810[[#This Row],[Date]])=2,28,DAY(DATE(YEAR(Table157810[[#This Row],[Date]]),MONTH(Table157810[[#This Row],[Date]])+1,1)-1))</f>
        <v>31</v>
      </c>
      <c r="S142" s="2">
        <f ca="1">SUM(OFFSET(Table157810[[#Headers],[Days in month]],1,0):Table157810[[#This Row],[Days in month]])</f>
        <v>3834</v>
      </c>
      <c r="T142" s="37">
        <f>InterestRate*AmortizationMultiplier*IF(ISNUMBER(SEARCH("Actual",$C$7)),Table157810[[#This Row],[Days in month]]/365,1/12)</f>
        <v>5.9839472222222214E-3</v>
      </c>
    </row>
    <row r="143" spans="2:20" x14ac:dyDescent="0.2">
      <c r="B143" s="1">
        <f t="shared" si="6"/>
        <v>49705</v>
      </c>
      <c r="C143" s="2">
        <f t="shared" si="4"/>
        <v>127</v>
      </c>
      <c r="D143" s="3">
        <f t="shared" si="3"/>
        <v>0</v>
      </c>
      <c r="E143" s="3">
        <f>ROUND(Table157810[[#This Row],[Beginning Balance]]*Table157810[[#This Row],[Monthly Interest Rate]],2)</f>
        <v>0</v>
      </c>
      <c r="F143" s="3">
        <f t="shared" si="5"/>
        <v>715</v>
      </c>
      <c r="G143" s="23">
        <f>IFERROR(IF($C$13="No","N/A",IF(Table157810[[#This Row],[Period]]=1,$C$6,PMT(InterestRate*AmortizationMultiplier/12,Table157810[[#This Row],[Am Thru]],-Table157810[[#This Row],[Beginning Balance]]))),0)</f>
        <v>0</v>
      </c>
      <c r="H143" s="3">
        <f>MAX(0,IF(C143=$C$4,D143,ROUND(IF($C$3="Fixed Principal",$C$6-Table157810[[#This Row],[Interest]],IF($C$3="Interest Only",Table157810[[#This Row],[Beginning Balance]]*ROUND(1-(1-IF($C$11="No",$E$8,1))^(1/12),6),MIN(IF($C$13="Yes",Table157810[[#This Row],[Payment Amount (Reamortized)]],$C$6)-Table157810[[#This Row],[Interest]],Table157810[[#This Row],[Beginning Balance]]))),2)))</f>
        <v>0</v>
      </c>
      <c r="I143" s="3">
        <f>_xlfn.SINGLE(IF($C$3="Line of Credit",0,ROUND(MAX(MIN(IF($C$10="No",$E$7,VLOOKUP(Table157810[[#This Row],[Period]],Forecast!$H$2:$L$1048576,4,FALSE))*Table157810[[#This Row],[Beginning Balance]],Table157810[[#This Row],[Beginning Balance]]-Table157810[[#This Row],[Principal]]),0),2)))</f>
        <v>0</v>
      </c>
      <c r="J143" s="3">
        <f>ROUND(MIN(Table157810[[#This Row],[Beginning Balance]]*IF($C$8="No",$E$3,VLOOKUP(Table157810[[#This Row],[Period]],Forecast!$H$2:$L$1048576,2,FALSE)),Table157810[[#This Row],[Beginning Balance]]-Table157810[[#This Row],[Principal]]-Table157810[[#This Row],[Prepayments]]),2)</f>
        <v>0</v>
      </c>
      <c r="K143" s="3">
        <f>ROUND(Table157810[[#This Row],[Defaulted Principal]]*IF($C$9="No",$E$4,VLOOKUP(Table157810[[#This Row],[Period]],Forecast!$H$2:$L$1048576,3,FALSE)),2)</f>
        <v>0</v>
      </c>
      <c r="L143" s="2">
        <f>Table157810[[#This Row],[Period]]+$E$9</f>
        <v>139</v>
      </c>
      <c r="M143" s="3">
        <f>Table157810[[#This Row],[Defaulted Principal]]-Table157810[[#This Row],[Estimated Loss]]</f>
        <v>0</v>
      </c>
      <c r="N143" s="3">
        <f>IFERROR(VLOOKUP(Table157810[[#This Row],[Period]],$L$16:$M$385,2,FALSE),0)</f>
        <v>0</v>
      </c>
      <c r="O143" s="3">
        <f>Table157810[[#This Row],[Beginning Balance]]-Table157810[[#This Row],[Principal]]-Table157810[[#This Row],[Prepayments]]-Table157810[[#This Row],[Defaulted Principal]]</f>
        <v>0</v>
      </c>
      <c r="P143" s="3">
        <f>Table157810[[#This Row],[Principal]]+Table157810[[#This Row],[Interest]]+Table157810[[#This Row],[Prepayments]]+Table157810[[#This Row],[RecoveredAmount]]</f>
        <v>0</v>
      </c>
      <c r="Q143" s="3">
        <f ca="1">ROUND(Table157810[[#This Row],[Cash Flow]]/((1+ActualRateToUse)^(IF(ISNUMBER(SEARCH("Actual",$C$7)),Table157810[[#This Row],[Running Total]]/365,Table157810[[#This Row],[Period]]/12))),2)</f>
        <v>0</v>
      </c>
      <c r="R143" s="2">
        <f>IF(MONTH(Table157810[[#This Row],[Date]])=2,28,DAY(DATE(YEAR(Table157810[[#This Row],[Date]]),MONTH(Table157810[[#This Row],[Date]])+1,1)-1))</f>
        <v>31</v>
      </c>
      <c r="S143" s="2">
        <f ca="1">SUM(OFFSET(Table157810[[#Headers],[Days in month]],1,0):Table157810[[#This Row],[Days in month]])</f>
        <v>3865</v>
      </c>
      <c r="T143" s="37">
        <f>InterestRate*AmortizationMultiplier*IF(ISNUMBER(SEARCH("Actual",$C$7)),Table157810[[#This Row],[Days in month]]/365,1/12)</f>
        <v>5.9839472222222214E-3</v>
      </c>
    </row>
    <row r="144" spans="2:20" x14ac:dyDescent="0.2">
      <c r="B144" s="1">
        <f t="shared" si="6"/>
        <v>49734</v>
      </c>
      <c r="C144" s="2">
        <f t="shared" si="4"/>
        <v>128</v>
      </c>
      <c r="D144" s="3">
        <f t="shared" si="3"/>
        <v>0</v>
      </c>
      <c r="E144" s="3">
        <f>ROUND(Table157810[[#This Row],[Beginning Balance]]*Table157810[[#This Row],[Monthly Interest Rate]],2)</f>
        <v>0</v>
      </c>
      <c r="F144" s="3">
        <f t="shared" si="5"/>
        <v>714</v>
      </c>
      <c r="G144" s="23">
        <f>IFERROR(IF($C$13="No","N/A",IF(Table157810[[#This Row],[Period]]=1,$C$6,PMT(InterestRate*AmortizationMultiplier/12,Table157810[[#This Row],[Am Thru]],-Table157810[[#This Row],[Beginning Balance]]))),0)</f>
        <v>0</v>
      </c>
      <c r="H144" s="3">
        <f>MAX(0,IF(C144=$C$4,D144,ROUND(IF($C$3="Fixed Principal",$C$6-Table157810[[#This Row],[Interest]],IF($C$3="Interest Only",Table157810[[#This Row],[Beginning Balance]]*ROUND(1-(1-IF($C$11="No",$E$8,1))^(1/12),6),MIN(IF($C$13="Yes",Table157810[[#This Row],[Payment Amount (Reamortized)]],$C$6)-Table157810[[#This Row],[Interest]],Table157810[[#This Row],[Beginning Balance]]))),2)))</f>
        <v>0</v>
      </c>
      <c r="I144" s="3">
        <f>_xlfn.SINGLE(IF($C$3="Line of Credit",0,ROUND(MAX(MIN(IF($C$10="No",$E$7,VLOOKUP(Table157810[[#This Row],[Period]],Forecast!$H$2:$L$1048576,4,FALSE))*Table157810[[#This Row],[Beginning Balance]],Table157810[[#This Row],[Beginning Balance]]-Table157810[[#This Row],[Principal]]),0),2)))</f>
        <v>0</v>
      </c>
      <c r="J144" s="3">
        <f>ROUND(MIN(Table157810[[#This Row],[Beginning Balance]]*IF($C$8="No",$E$3,VLOOKUP(Table157810[[#This Row],[Period]],Forecast!$H$2:$L$1048576,2,FALSE)),Table157810[[#This Row],[Beginning Balance]]-Table157810[[#This Row],[Principal]]-Table157810[[#This Row],[Prepayments]]),2)</f>
        <v>0</v>
      </c>
      <c r="K144" s="3">
        <f>ROUND(Table157810[[#This Row],[Defaulted Principal]]*IF($C$9="No",$E$4,VLOOKUP(Table157810[[#This Row],[Period]],Forecast!$H$2:$L$1048576,3,FALSE)),2)</f>
        <v>0</v>
      </c>
      <c r="L144" s="2">
        <f>Table157810[[#This Row],[Period]]+$E$9</f>
        <v>140</v>
      </c>
      <c r="M144" s="3">
        <f>Table157810[[#This Row],[Defaulted Principal]]-Table157810[[#This Row],[Estimated Loss]]</f>
        <v>0</v>
      </c>
      <c r="N144" s="3">
        <f>IFERROR(VLOOKUP(Table157810[[#This Row],[Period]],$L$16:$M$385,2,FALSE),0)</f>
        <v>0</v>
      </c>
      <c r="O144" s="3">
        <f>Table157810[[#This Row],[Beginning Balance]]-Table157810[[#This Row],[Principal]]-Table157810[[#This Row],[Prepayments]]-Table157810[[#This Row],[Defaulted Principal]]</f>
        <v>0</v>
      </c>
      <c r="P144" s="3">
        <f>Table157810[[#This Row],[Principal]]+Table157810[[#This Row],[Interest]]+Table157810[[#This Row],[Prepayments]]+Table157810[[#This Row],[RecoveredAmount]]</f>
        <v>0</v>
      </c>
      <c r="Q144" s="3">
        <f ca="1">ROUND(Table157810[[#This Row],[Cash Flow]]/((1+ActualRateToUse)^(IF(ISNUMBER(SEARCH("Actual",$C$7)),Table157810[[#This Row],[Running Total]]/365,Table157810[[#This Row],[Period]]/12))),2)</f>
        <v>0</v>
      </c>
      <c r="R144" s="2">
        <f>IF(MONTH(Table157810[[#This Row],[Date]])=2,28,DAY(DATE(YEAR(Table157810[[#This Row],[Date]]),MONTH(Table157810[[#This Row],[Date]])+1,1)-1))</f>
        <v>28</v>
      </c>
      <c r="S144" s="2">
        <f ca="1">SUM(OFFSET(Table157810[[#Headers],[Days in month]],1,0):Table157810[[#This Row],[Days in month]])</f>
        <v>3893</v>
      </c>
      <c r="T144" s="37">
        <f>InterestRate*AmortizationMultiplier*IF(ISNUMBER(SEARCH("Actual",$C$7)),Table157810[[#This Row],[Days in month]]/365,1/12)</f>
        <v>5.4048555555555548E-3</v>
      </c>
    </row>
    <row r="145" spans="2:20" x14ac:dyDescent="0.2">
      <c r="B145" s="1">
        <f t="shared" si="6"/>
        <v>49765</v>
      </c>
      <c r="C145" s="2">
        <f t="shared" si="4"/>
        <v>129</v>
      </c>
      <c r="D145" s="3">
        <f t="shared" si="3"/>
        <v>0</v>
      </c>
      <c r="E145" s="3">
        <f>ROUND(Table157810[[#This Row],[Beginning Balance]]*Table157810[[#This Row],[Monthly Interest Rate]],2)</f>
        <v>0</v>
      </c>
      <c r="F145" s="3">
        <f t="shared" si="5"/>
        <v>713</v>
      </c>
      <c r="G145" s="23">
        <f>IFERROR(IF($C$13="No","N/A",IF(Table157810[[#This Row],[Period]]=1,$C$6,PMT(InterestRate*AmortizationMultiplier/12,Table157810[[#This Row],[Am Thru]],-Table157810[[#This Row],[Beginning Balance]]))),0)</f>
        <v>0</v>
      </c>
      <c r="H145" s="3">
        <f>MAX(0,IF(C145=$C$4,D145,ROUND(IF($C$3="Fixed Principal",$C$6-Table157810[[#This Row],[Interest]],IF($C$3="Interest Only",Table157810[[#This Row],[Beginning Balance]]*ROUND(1-(1-IF($C$11="No",$E$8,1))^(1/12),6),MIN(IF($C$13="Yes",Table157810[[#This Row],[Payment Amount (Reamortized)]],$C$6)-Table157810[[#This Row],[Interest]],Table157810[[#This Row],[Beginning Balance]]))),2)))</f>
        <v>0</v>
      </c>
      <c r="I145" s="3">
        <f>_xlfn.SINGLE(IF($C$3="Line of Credit",0,ROUND(MAX(MIN(IF($C$10="No",$E$7,VLOOKUP(Table157810[[#This Row],[Period]],Forecast!$H$2:$L$1048576,4,FALSE))*Table157810[[#This Row],[Beginning Balance]],Table157810[[#This Row],[Beginning Balance]]-Table157810[[#This Row],[Principal]]),0),2)))</f>
        <v>0</v>
      </c>
      <c r="J145" s="3">
        <f>ROUND(MIN(Table157810[[#This Row],[Beginning Balance]]*IF($C$8="No",$E$3,VLOOKUP(Table157810[[#This Row],[Period]],Forecast!$H$2:$L$1048576,2,FALSE)),Table157810[[#This Row],[Beginning Balance]]-Table157810[[#This Row],[Principal]]-Table157810[[#This Row],[Prepayments]]),2)</f>
        <v>0</v>
      </c>
      <c r="K145" s="3">
        <f>ROUND(Table157810[[#This Row],[Defaulted Principal]]*IF($C$9="No",$E$4,VLOOKUP(Table157810[[#This Row],[Period]],Forecast!$H$2:$L$1048576,3,FALSE)),2)</f>
        <v>0</v>
      </c>
      <c r="L145" s="2">
        <f>Table157810[[#This Row],[Period]]+$E$9</f>
        <v>141</v>
      </c>
      <c r="M145" s="3">
        <f>Table157810[[#This Row],[Defaulted Principal]]-Table157810[[#This Row],[Estimated Loss]]</f>
        <v>0</v>
      </c>
      <c r="N145" s="3">
        <f>IFERROR(VLOOKUP(Table157810[[#This Row],[Period]],$L$16:$M$385,2,FALSE),0)</f>
        <v>0</v>
      </c>
      <c r="O145" s="3">
        <f>Table157810[[#This Row],[Beginning Balance]]-Table157810[[#This Row],[Principal]]-Table157810[[#This Row],[Prepayments]]-Table157810[[#This Row],[Defaulted Principal]]</f>
        <v>0</v>
      </c>
      <c r="P145" s="3">
        <f>Table157810[[#This Row],[Principal]]+Table157810[[#This Row],[Interest]]+Table157810[[#This Row],[Prepayments]]+Table157810[[#This Row],[RecoveredAmount]]</f>
        <v>0</v>
      </c>
      <c r="Q145" s="3">
        <f ca="1">ROUND(Table157810[[#This Row],[Cash Flow]]/((1+ActualRateToUse)^(IF(ISNUMBER(SEARCH("Actual",$C$7)),Table157810[[#This Row],[Running Total]]/365,Table157810[[#This Row],[Period]]/12))),2)</f>
        <v>0</v>
      </c>
      <c r="R145" s="2">
        <f>IF(MONTH(Table157810[[#This Row],[Date]])=2,28,DAY(DATE(YEAR(Table157810[[#This Row],[Date]]),MONTH(Table157810[[#This Row],[Date]])+1,1)-1))</f>
        <v>31</v>
      </c>
      <c r="S145" s="2">
        <f ca="1">SUM(OFFSET(Table157810[[#Headers],[Days in month]],1,0):Table157810[[#This Row],[Days in month]])</f>
        <v>3924</v>
      </c>
      <c r="T145" s="37">
        <f>InterestRate*AmortizationMultiplier*IF(ISNUMBER(SEARCH("Actual",$C$7)),Table157810[[#This Row],[Days in month]]/365,1/12)</f>
        <v>5.9839472222222214E-3</v>
      </c>
    </row>
    <row r="146" spans="2:20" x14ac:dyDescent="0.2">
      <c r="B146" s="1">
        <f t="shared" si="6"/>
        <v>49795</v>
      </c>
      <c r="C146" s="2">
        <f t="shared" si="4"/>
        <v>130</v>
      </c>
      <c r="D146" s="3">
        <f t="shared" ref="D146:D209" si="7">O145</f>
        <v>0</v>
      </c>
      <c r="E146" s="3">
        <f>ROUND(Table157810[[#This Row],[Beginning Balance]]*Table157810[[#This Row],[Monthly Interest Rate]],2)</f>
        <v>0</v>
      </c>
      <c r="F146" s="3">
        <f t="shared" si="5"/>
        <v>712</v>
      </c>
      <c r="G146" s="23">
        <f>IFERROR(IF($C$13="No","N/A",IF(Table157810[[#This Row],[Period]]=1,$C$6,PMT(InterestRate*AmortizationMultiplier/12,Table157810[[#This Row],[Am Thru]],-Table157810[[#This Row],[Beginning Balance]]))),0)</f>
        <v>0</v>
      </c>
      <c r="H146" s="3">
        <f>MAX(0,IF(C146=$C$4,D146,ROUND(IF($C$3="Fixed Principal",$C$6-Table157810[[#This Row],[Interest]],IF($C$3="Interest Only",Table157810[[#This Row],[Beginning Balance]]*ROUND(1-(1-IF($C$11="No",$E$8,1))^(1/12),6),MIN(IF($C$13="Yes",Table157810[[#This Row],[Payment Amount (Reamortized)]],$C$6)-Table157810[[#This Row],[Interest]],Table157810[[#This Row],[Beginning Balance]]))),2)))</f>
        <v>0</v>
      </c>
      <c r="I146" s="3">
        <f>_xlfn.SINGLE(IF($C$3="Line of Credit",0,ROUND(MAX(MIN(IF($C$10="No",$E$7,VLOOKUP(Table157810[[#This Row],[Period]],Forecast!$H$2:$L$1048576,4,FALSE))*Table157810[[#This Row],[Beginning Balance]],Table157810[[#This Row],[Beginning Balance]]-Table157810[[#This Row],[Principal]]),0),2)))</f>
        <v>0</v>
      </c>
      <c r="J146" s="3">
        <f>ROUND(MIN(Table157810[[#This Row],[Beginning Balance]]*IF($C$8="No",$E$3,VLOOKUP(Table157810[[#This Row],[Period]],Forecast!$H$2:$L$1048576,2,FALSE)),Table157810[[#This Row],[Beginning Balance]]-Table157810[[#This Row],[Principal]]-Table157810[[#This Row],[Prepayments]]),2)</f>
        <v>0</v>
      </c>
      <c r="K146" s="3">
        <f>ROUND(Table157810[[#This Row],[Defaulted Principal]]*IF($C$9="No",$E$4,VLOOKUP(Table157810[[#This Row],[Period]],Forecast!$H$2:$L$1048576,3,FALSE)),2)</f>
        <v>0</v>
      </c>
      <c r="L146" s="2">
        <f>Table157810[[#This Row],[Period]]+$E$9</f>
        <v>142</v>
      </c>
      <c r="M146" s="3">
        <f>Table157810[[#This Row],[Defaulted Principal]]-Table157810[[#This Row],[Estimated Loss]]</f>
        <v>0</v>
      </c>
      <c r="N146" s="3">
        <f>IFERROR(VLOOKUP(Table157810[[#This Row],[Period]],$L$16:$M$385,2,FALSE),0)</f>
        <v>0</v>
      </c>
      <c r="O146" s="3">
        <f>Table157810[[#This Row],[Beginning Balance]]-Table157810[[#This Row],[Principal]]-Table157810[[#This Row],[Prepayments]]-Table157810[[#This Row],[Defaulted Principal]]</f>
        <v>0</v>
      </c>
      <c r="P146" s="3">
        <f>Table157810[[#This Row],[Principal]]+Table157810[[#This Row],[Interest]]+Table157810[[#This Row],[Prepayments]]+Table157810[[#This Row],[RecoveredAmount]]</f>
        <v>0</v>
      </c>
      <c r="Q146" s="3">
        <f ca="1">ROUND(Table157810[[#This Row],[Cash Flow]]/((1+ActualRateToUse)^(IF(ISNUMBER(SEARCH("Actual",$C$7)),Table157810[[#This Row],[Running Total]]/365,Table157810[[#This Row],[Period]]/12))),2)</f>
        <v>0</v>
      </c>
      <c r="R146" s="2">
        <f>IF(MONTH(Table157810[[#This Row],[Date]])=2,28,DAY(DATE(YEAR(Table157810[[#This Row],[Date]]),MONTH(Table157810[[#This Row],[Date]])+1,1)-1))</f>
        <v>30</v>
      </c>
      <c r="S146" s="2">
        <f ca="1">SUM(OFFSET(Table157810[[#Headers],[Days in month]],1,0):Table157810[[#This Row],[Days in month]])</f>
        <v>3954</v>
      </c>
      <c r="T146" s="37">
        <f>InterestRate*AmortizationMultiplier*IF(ISNUMBER(SEARCH("Actual",$C$7)),Table157810[[#This Row],[Days in month]]/365,1/12)</f>
        <v>5.7909166666666656E-3</v>
      </c>
    </row>
    <row r="147" spans="2:20" x14ac:dyDescent="0.2">
      <c r="B147" s="1">
        <f t="shared" si="6"/>
        <v>49826</v>
      </c>
      <c r="C147" s="2">
        <f t="shared" ref="C147:C210" si="8">C146+1</f>
        <v>131</v>
      </c>
      <c r="D147" s="3">
        <f t="shared" si="7"/>
        <v>0</v>
      </c>
      <c r="E147" s="3">
        <f>ROUND(Table157810[[#This Row],[Beginning Balance]]*Table157810[[#This Row],[Monthly Interest Rate]],2)</f>
        <v>0</v>
      </c>
      <c r="F147" s="3">
        <f t="shared" ref="F147:F210" si="9">+F146-1</f>
        <v>711</v>
      </c>
      <c r="G147" s="23">
        <f>IFERROR(IF($C$13="No","N/A",IF(Table157810[[#This Row],[Period]]=1,$C$6,PMT(InterestRate*AmortizationMultiplier/12,Table157810[[#This Row],[Am Thru]],-Table157810[[#This Row],[Beginning Balance]]))),0)</f>
        <v>0</v>
      </c>
      <c r="H147" s="3">
        <f>MAX(0,IF(C147=$C$4,D147,ROUND(IF($C$3="Fixed Principal",$C$6-Table157810[[#This Row],[Interest]],IF($C$3="Interest Only",Table157810[[#This Row],[Beginning Balance]]*ROUND(1-(1-IF($C$11="No",$E$8,1))^(1/12),6),MIN(IF($C$13="Yes",Table157810[[#This Row],[Payment Amount (Reamortized)]],$C$6)-Table157810[[#This Row],[Interest]],Table157810[[#This Row],[Beginning Balance]]))),2)))</f>
        <v>0</v>
      </c>
      <c r="I147" s="3">
        <f>_xlfn.SINGLE(IF($C$3="Line of Credit",0,ROUND(MAX(MIN(IF($C$10="No",$E$7,VLOOKUP(Table157810[[#This Row],[Period]],Forecast!$H$2:$L$1048576,4,FALSE))*Table157810[[#This Row],[Beginning Balance]],Table157810[[#This Row],[Beginning Balance]]-Table157810[[#This Row],[Principal]]),0),2)))</f>
        <v>0</v>
      </c>
      <c r="J147" s="3">
        <f>ROUND(MIN(Table157810[[#This Row],[Beginning Balance]]*IF($C$8="No",$E$3,VLOOKUP(Table157810[[#This Row],[Period]],Forecast!$H$2:$L$1048576,2,FALSE)),Table157810[[#This Row],[Beginning Balance]]-Table157810[[#This Row],[Principal]]-Table157810[[#This Row],[Prepayments]]),2)</f>
        <v>0</v>
      </c>
      <c r="K147" s="3">
        <f>ROUND(Table157810[[#This Row],[Defaulted Principal]]*IF($C$9="No",$E$4,VLOOKUP(Table157810[[#This Row],[Period]],Forecast!$H$2:$L$1048576,3,FALSE)),2)</f>
        <v>0</v>
      </c>
      <c r="L147" s="2">
        <f>Table157810[[#This Row],[Period]]+$E$9</f>
        <v>143</v>
      </c>
      <c r="M147" s="3">
        <f>Table157810[[#This Row],[Defaulted Principal]]-Table157810[[#This Row],[Estimated Loss]]</f>
        <v>0</v>
      </c>
      <c r="N147" s="3">
        <f>IFERROR(VLOOKUP(Table157810[[#This Row],[Period]],$L$16:$M$385,2,FALSE),0)</f>
        <v>0</v>
      </c>
      <c r="O147" s="3">
        <f>Table157810[[#This Row],[Beginning Balance]]-Table157810[[#This Row],[Principal]]-Table157810[[#This Row],[Prepayments]]-Table157810[[#This Row],[Defaulted Principal]]</f>
        <v>0</v>
      </c>
      <c r="P147" s="3">
        <f>Table157810[[#This Row],[Principal]]+Table157810[[#This Row],[Interest]]+Table157810[[#This Row],[Prepayments]]+Table157810[[#This Row],[RecoveredAmount]]</f>
        <v>0</v>
      </c>
      <c r="Q147" s="3">
        <f ca="1">ROUND(Table157810[[#This Row],[Cash Flow]]/((1+ActualRateToUse)^(IF(ISNUMBER(SEARCH("Actual",$C$7)),Table157810[[#This Row],[Running Total]]/365,Table157810[[#This Row],[Period]]/12))),2)</f>
        <v>0</v>
      </c>
      <c r="R147" s="2">
        <f>IF(MONTH(Table157810[[#This Row],[Date]])=2,28,DAY(DATE(YEAR(Table157810[[#This Row],[Date]]),MONTH(Table157810[[#This Row],[Date]])+1,1)-1))</f>
        <v>31</v>
      </c>
      <c r="S147" s="2">
        <f ca="1">SUM(OFFSET(Table157810[[#Headers],[Days in month]],1,0):Table157810[[#This Row],[Days in month]])</f>
        <v>3985</v>
      </c>
      <c r="T147" s="37">
        <f>InterestRate*AmortizationMultiplier*IF(ISNUMBER(SEARCH("Actual",$C$7)),Table157810[[#This Row],[Days in month]]/365,1/12)</f>
        <v>5.9839472222222214E-3</v>
      </c>
    </row>
    <row r="148" spans="2:20" x14ac:dyDescent="0.2">
      <c r="B148" s="1">
        <f t="shared" si="6"/>
        <v>49856</v>
      </c>
      <c r="C148" s="2">
        <f t="shared" si="8"/>
        <v>132</v>
      </c>
      <c r="D148" s="3">
        <f t="shared" si="7"/>
        <v>0</v>
      </c>
      <c r="E148" s="3">
        <f>ROUND(Table157810[[#This Row],[Beginning Balance]]*Table157810[[#This Row],[Monthly Interest Rate]],2)</f>
        <v>0</v>
      </c>
      <c r="F148" s="3">
        <f t="shared" si="9"/>
        <v>710</v>
      </c>
      <c r="G148" s="23">
        <f>IFERROR(IF($C$13="No","N/A",IF(Table157810[[#This Row],[Period]]=1,$C$6,PMT(InterestRate*AmortizationMultiplier/12,Table157810[[#This Row],[Am Thru]],-Table157810[[#This Row],[Beginning Balance]]))),0)</f>
        <v>0</v>
      </c>
      <c r="H148" s="3">
        <f>MAX(0,IF(C148=$C$4,D148,ROUND(IF($C$3="Fixed Principal",$C$6-Table157810[[#This Row],[Interest]],IF($C$3="Interest Only",Table157810[[#This Row],[Beginning Balance]]*ROUND(1-(1-IF($C$11="No",$E$8,1))^(1/12),6),MIN(IF($C$13="Yes",Table157810[[#This Row],[Payment Amount (Reamortized)]],$C$6)-Table157810[[#This Row],[Interest]],Table157810[[#This Row],[Beginning Balance]]))),2)))</f>
        <v>0</v>
      </c>
      <c r="I148" s="3">
        <f>_xlfn.SINGLE(IF($C$3="Line of Credit",0,ROUND(MAX(MIN(IF($C$10="No",$E$7,VLOOKUP(Table157810[[#This Row],[Period]],Forecast!$H$2:$L$1048576,4,FALSE))*Table157810[[#This Row],[Beginning Balance]],Table157810[[#This Row],[Beginning Balance]]-Table157810[[#This Row],[Principal]]),0),2)))</f>
        <v>0</v>
      </c>
      <c r="J148" s="3">
        <f>ROUND(MIN(Table157810[[#This Row],[Beginning Balance]]*IF($C$8="No",$E$3,VLOOKUP(Table157810[[#This Row],[Period]],Forecast!$H$2:$L$1048576,2,FALSE)),Table157810[[#This Row],[Beginning Balance]]-Table157810[[#This Row],[Principal]]-Table157810[[#This Row],[Prepayments]]),2)</f>
        <v>0</v>
      </c>
      <c r="K148" s="3">
        <f>ROUND(Table157810[[#This Row],[Defaulted Principal]]*IF($C$9="No",$E$4,VLOOKUP(Table157810[[#This Row],[Period]],Forecast!$H$2:$L$1048576,3,FALSE)),2)</f>
        <v>0</v>
      </c>
      <c r="L148" s="2">
        <f>Table157810[[#This Row],[Period]]+$E$9</f>
        <v>144</v>
      </c>
      <c r="M148" s="3">
        <f>Table157810[[#This Row],[Defaulted Principal]]-Table157810[[#This Row],[Estimated Loss]]</f>
        <v>0</v>
      </c>
      <c r="N148" s="3">
        <f>IFERROR(VLOOKUP(Table157810[[#This Row],[Period]],$L$16:$M$385,2,FALSE),0)</f>
        <v>0</v>
      </c>
      <c r="O148" s="3">
        <f>Table157810[[#This Row],[Beginning Balance]]-Table157810[[#This Row],[Principal]]-Table157810[[#This Row],[Prepayments]]-Table157810[[#This Row],[Defaulted Principal]]</f>
        <v>0</v>
      </c>
      <c r="P148" s="3">
        <f>Table157810[[#This Row],[Principal]]+Table157810[[#This Row],[Interest]]+Table157810[[#This Row],[Prepayments]]+Table157810[[#This Row],[RecoveredAmount]]</f>
        <v>0</v>
      </c>
      <c r="Q148" s="3">
        <f ca="1">ROUND(Table157810[[#This Row],[Cash Flow]]/((1+ActualRateToUse)^(IF(ISNUMBER(SEARCH("Actual",$C$7)),Table157810[[#This Row],[Running Total]]/365,Table157810[[#This Row],[Period]]/12))),2)</f>
        <v>0</v>
      </c>
      <c r="R148" s="2">
        <f>IF(MONTH(Table157810[[#This Row],[Date]])=2,28,DAY(DATE(YEAR(Table157810[[#This Row],[Date]]),MONTH(Table157810[[#This Row],[Date]])+1,1)-1))</f>
        <v>30</v>
      </c>
      <c r="S148" s="2">
        <f ca="1">SUM(OFFSET(Table157810[[#Headers],[Days in month]],1,0):Table157810[[#This Row],[Days in month]])</f>
        <v>4015</v>
      </c>
      <c r="T148" s="37">
        <f>InterestRate*AmortizationMultiplier*IF(ISNUMBER(SEARCH("Actual",$C$7)),Table157810[[#This Row],[Days in month]]/365,1/12)</f>
        <v>5.7909166666666656E-3</v>
      </c>
    </row>
    <row r="149" spans="2:20" x14ac:dyDescent="0.2">
      <c r="B149" s="1">
        <f t="shared" si="6"/>
        <v>49887</v>
      </c>
      <c r="C149" s="2">
        <f t="shared" si="8"/>
        <v>133</v>
      </c>
      <c r="D149" s="3">
        <f t="shared" si="7"/>
        <v>0</v>
      </c>
      <c r="E149" s="3">
        <f>ROUND(Table157810[[#This Row],[Beginning Balance]]*Table157810[[#This Row],[Monthly Interest Rate]],2)</f>
        <v>0</v>
      </c>
      <c r="F149" s="3">
        <f t="shared" si="9"/>
        <v>709</v>
      </c>
      <c r="G149" s="23">
        <f>IFERROR(IF($C$13="No","N/A",IF(Table157810[[#This Row],[Period]]=1,$C$6,PMT(InterestRate*AmortizationMultiplier/12,Table157810[[#This Row],[Am Thru]],-Table157810[[#This Row],[Beginning Balance]]))),0)</f>
        <v>0</v>
      </c>
      <c r="H149" s="3">
        <f>MAX(0,IF(C149=$C$4,D149,ROUND(IF($C$3="Fixed Principal",$C$6-Table157810[[#This Row],[Interest]],IF($C$3="Interest Only",Table157810[[#This Row],[Beginning Balance]]*ROUND(1-(1-IF($C$11="No",$E$8,1))^(1/12),6),MIN(IF($C$13="Yes",Table157810[[#This Row],[Payment Amount (Reamortized)]],$C$6)-Table157810[[#This Row],[Interest]],Table157810[[#This Row],[Beginning Balance]]))),2)))</f>
        <v>0</v>
      </c>
      <c r="I149" s="3">
        <f>_xlfn.SINGLE(IF($C$3="Line of Credit",0,ROUND(MAX(MIN(IF($C$10="No",$E$7,VLOOKUP(Table157810[[#This Row],[Period]],Forecast!$H$2:$L$1048576,4,FALSE))*Table157810[[#This Row],[Beginning Balance]],Table157810[[#This Row],[Beginning Balance]]-Table157810[[#This Row],[Principal]]),0),2)))</f>
        <v>0</v>
      </c>
      <c r="J149" s="3">
        <f>ROUND(MIN(Table157810[[#This Row],[Beginning Balance]]*IF($C$8="No",$E$3,VLOOKUP(Table157810[[#This Row],[Period]],Forecast!$H$2:$L$1048576,2,FALSE)),Table157810[[#This Row],[Beginning Balance]]-Table157810[[#This Row],[Principal]]-Table157810[[#This Row],[Prepayments]]),2)</f>
        <v>0</v>
      </c>
      <c r="K149" s="3">
        <f>ROUND(Table157810[[#This Row],[Defaulted Principal]]*IF($C$9="No",$E$4,VLOOKUP(Table157810[[#This Row],[Period]],Forecast!$H$2:$L$1048576,3,FALSE)),2)</f>
        <v>0</v>
      </c>
      <c r="L149" s="2">
        <f>Table157810[[#This Row],[Period]]+$E$9</f>
        <v>145</v>
      </c>
      <c r="M149" s="3">
        <f>Table157810[[#This Row],[Defaulted Principal]]-Table157810[[#This Row],[Estimated Loss]]</f>
        <v>0</v>
      </c>
      <c r="N149" s="3">
        <f>IFERROR(VLOOKUP(Table157810[[#This Row],[Period]],$L$16:$M$385,2,FALSE),0)</f>
        <v>0</v>
      </c>
      <c r="O149" s="3">
        <f>Table157810[[#This Row],[Beginning Balance]]-Table157810[[#This Row],[Principal]]-Table157810[[#This Row],[Prepayments]]-Table157810[[#This Row],[Defaulted Principal]]</f>
        <v>0</v>
      </c>
      <c r="P149" s="3">
        <f>Table157810[[#This Row],[Principal]]+Table157810[[#This Row],[Interest]]+Table157810[[#This Row],[Prepayments]]+Table157810[[#This Row],[RecoveredAmount]]</f>
        <v>0</v>
      </c>
      <c r="Q149" s="3">
        <f ca="1">ROUND(Table157810[[#This Row],[Cash Flow]]/((1+ActualRateToUse)^(IF(ISNUMBER(SEARCH("Actual",$C$7)),Table157810[[#This Row],[Running Total]]/365,Table157810[[#This Row],[Period]]/12))),2)</f>
        <v>0</v>
      </c>
      <c r="R149" s="2">
        <f>IF(MONTH(Table157810[[#This Row],[Date]])=2,28,DAY(DATE(YEAR(Table157810[[#This Row],[Date]]),MONTH(Table157810[[#This Row],[Date]])+1,1)-1))</f>
        <v>31</v>
      </c>
      <c r="S149" s="2">
        <f ca="1">SUM(OFFSET(Table157810[[#Headers],[Days in month]],1,0):Table157810[[#This Row],[Days in month]])</f>
        <v>4046</v>
      </c>
      <c r="T149" s="37">
        <f>InterestRate*AmortizationMultiplier*IF(ISNUMBER(SEARCH("Actual",$C$7)),Table157810[[#This Row],[Days in month]]/365,1/12)</f>
        <v>5.9839472222222214E-3</v>
      </c>
    </row>
    <row r="150" spans="2:20" x14ac:dyDescent="0.2">
      <c r="B150" s="1">
        <f t="shared" si="6"/>
        <v>49918</v>
      </c>
      <c r="C150" s="2">
        <f t="shared" si="8"/>
        <v>134</v>
      </c>
      <c r="D150" s="3">
        <f t="shared" si="7"/>
        <v>0</v>
      </c>
      <c r="E150" s="3">
        <f>ROUND(Table157810[[#This Row],[Beginning Balance]]*Table157810[[#This Row],[Monthly Interest Rate]],2)</f>
        <v>0</v>
      </c>
      <c r="F150" s="3">
        <f t="shared" si="9"/>
        <v>708</v>
      </c>
      <c r="G150" s="23">
        <f>IFERROR(IF($C$13="No","N/A",IF(Table157810[[#This Row],[Period]]=1,$C$6,PMT(InterestRate*AmortizationMultiplier/12,Table157810[[#This Row],[Am Thru]],-Table157810[[#This Row],[Beginning Balance]]))),0)</f>
        <v>0</v>
      </c>
      <c r="H150" s="3">
        <f>MAX(0,IF(C150=$C$4,D150,ROUND(IF($C$3="Fixed Principal",$C$6-Table157810[[#This Row],[Interest]],IF($C$3="Interest Only",Table157810[[#This Row],[Beginning Balance]]*ROUND(1-(1-IF($C$11="No",$E$8,1))^(1/12),6),MIN(IF($C$13="Yes",Table157810[[#This Row],[Payment Amount (Reamortized)]],$C$6)-Table157810[[#This Row],[Interest]],Table157810[[#This Row],[Beginning Balance]]))),2)))</f>
        <v>0</v>
      </c>
      <c r="I150" s="3">
        <f>_xlfn.SINGLE(IF($C$3="Line of Credit",0,ROUND(MAX(MIN(IF($C$10="No",$E$7,VLOOKUP(Table157810[[#This Row],[Period]],Forecast!$H$2:$L$1048576,4,FALSE))*Table157810[[#This Row],[Beginning Balance]],Table157810[[#This Row],[Beginning Balance]]-Table157810[[#This Row],[Principal]]),0),2)))</f>
        <v>0</v>
      </c>
      <c r="J150" s="3">
        <f>ROUND(MIN(Table157810[[#This Row],[Beginning Balance]]*IF($C$8="No",$E$3,VLOOKUP(Table157810[[#This Row],[Period]],Forecast!$H$2:$L$1048576,2,FALSE)),Table157810[[#This Row],[Beginning Balance]]-Table157810[[#This Row],[Principal]]-Table157810[[#This Row],[Prepayments]]),2)</f>
        <v>0</v>
      </c>
      <c r="K150" s="3">
        <f>ROUND(Table157810[[#This Row],[Defaulted Principal]]*IF($C$9="No",$E$4,VLOOKUP(Table157810[[#This Row],[Period]],Forecast!$H$2:$L$1048576,3,FALSE)),2)</f>
        <v>0</v>
      </c>
      <c r="L150" s="2">
        <f>Table157810[[#This Row],[Period]]+$E$9</f>
        <v>146</v>
      </c>
      <c r="M150" s="3">
        <f>Table157810[[#This Row],[Defaulted Principal]]-Table157810[[#This Row],[Estimated Loss]]</f>
        <v>0</v>
      </c>
      <c r="N150" s="3">
        <f>IFERROR(VLOOKUP(Table157810[[#This Row],[Period]],$L$16:$M$385,2,FALSE),0)</f>
        <v>0</v>
      </c>
      <c r="O150" s="3">
        <f>Table157810[[#This Row],[Beginning Balance]]-Table157810[[#This Row],[Principal]]-Table157810[[#This Row],[Prepayments]]-Table157810[[#This Row],[Defaulted Principal]]</f>
        <v>0</v>
      </c>
      <c r="P150" s="3">
        <f>Table157810[[#This Row],[Principal]]+Table157810[[#This Row],[Interest]]+Table157810[[#This Row],[Prepayments]]+Table157810[[#This Row],[RecoveredAmount]]</f>
        <v>0</v>
      </c>
      <c r="Q150" s="3">
        <f ca="1">ROUND(Table157810[[#This Row],[Cash Flow]]/((1+ActualRateToUse)^(IF(ISNUMBER(SEARCH("Actual",$C$7)),Table157810[[#This Row],[Running Total]]/365,Table157810[[#This Row],[Period]]/12))),2)</f>
        <v>0</v>
      </c>
      <c r="R150" s="2">
        <f>IF(MONTH(Table157810[[#This Row],[Date]])=2,28,DAY(DATE(YEAR(Table157810[[#This Row],[Date]]),MONTH(Table157810[[#This Row],[Date]])+1,1)-1))</f>
        <v>31</v>
      </c>
      <c r="S150" s="2">
        <f ca="1">SUM(OFFSET(Table157810[[#Headers],[Days in month]],1,0):Table157810[[#This Row],[Days in month]])</f>
        <v>4077</v>
      </c>
      <c r="T150" s="37">
        <f>InterestRate*AmortizationMultiplier*IF(ISNUMBER(SEARCH("Actual",$C$7)),Table157810[[#This Row],[Days in month]]/365,1/12)</f>
        <v>5.9839472222222214E-3</v>
      </c>
    </row>
    <row r="151" spans="2:20" x14ac:dyDescent="0.2">
      <c r="B151" s="1">
        <f t="shared" si="6"/>
        <v>49948</v>
      </c>
      <c r="C151" s="2">
        <f t="shared" si="8"/>
        <v>135</v>
      </c>
      <c r="D151" s="3">
        <f t="shared" si="7"/>
        <v>0</v>
      </c>
      <c r="E151" s="3">
        <f>ROUND(Table157810[[#This Row],[Beginning Balance]]*Table157810[[#This Row],[Monthly Interest Rate]],2)</f>
        <v>0</v>
      </c>
      <c r="F151" s="3">
        <f t="shared" si="9"/>
        <v>707</v>
      </c>
      <c r="G151" s="23">
        <f>IFERROR(IF($C$13="No","N/A",IF(Table157810[[#This Row],[Period]]=1,$C$6,PMT(InterestRate*AmortizationMultiplier/12,Table157810[[#This Row],[Am Thru]],-Table157810[[#This Row],[Beginning Balance]]))),0)</f>
        <v>0</v>
      </c>
      <c r="H151" s="3">
        <f>MAX(0,IF(C151=$C$4,D151,ROUND(IF($C$3="Fixed Principal",$C$6-Table157810[[#This Row],[Interest]],IF($C$3="Interest Only",Table157810[[#This Row],[Beginning Balance]]*ROUND(1-(1-IF($C$11="No",$E$8,1))^(1/12),6),MIN(IF($C$13="Yes",Table157810[[#This Row],[Payment Amount (Reamortized)]],$C$6)-Table157810[[#This Row],[Interest]],Table157810[[#This Row],[Beginning Balance]]))),2)))</f>
        <v>0</v>
      </c>
      <c r="I151" s="3">
        <f>_xlfn.SINGLE(IF($C$3="Line of Credit",0,ROUND(MAX(MIN(IF($C$10="No",$E$7,VLOOKUP(Table157810[[#This Row],[Period]],Forecast!$H$2:$L$1048576,4,FALSE))*Table157810[[#This Row],[Beginning Balance]],Table157810[[#This Row],[Beginning Balance]]-Table157810[[#This Row],[Principal]]),0),2)))</f>
        <v>0</v>
      </c>
      <c r="J151" s="3">
        <f>ROUND(MIN(Table157810[[#This Row],[Beginning Balance]]*IF($C$8="No",$E$3,VLOOKUP(Table157810[[#This Row],[Period]],Forecast!$H$2:$L$1048576,2,FALSE)),Table157810[[#This Row],[Beginning Balance]]-Table157810[[#This Row],[Principal]]-Table157810[[#This Row],[Prepayments]]),2)</f>
        <v>0</v>
      </c>
      <c r="K151" s="3">
        <f>ROUND(Table157810[[#This Row],[Defaulted Principal]]*IF($C$9="No",$E$4,VLOOKUP(Table157810[[#This Row],[Period]],Forecast!$H$2:$L$1048576,3,FALSE)),2)</f>
        <v>0</v>
      </c>
      <c r="L151" s="2">
        <f>Table157810[[#This Row],[Period]]+$E$9</f>
        <v>147</v>
      </c>
      <c r="M151" s="3">
        <f>Table157810[[#This Row],[Defaulted Principal]]-Table157810[[#This Row],[Estimated Loss]]</f>
        <v>0</v>
      </c>
      <c r="N151" s="3">
        <f>IFERROR(VLOOKUP(Table157810[[#This Row],[Period]],$L$16:$M$385,2,FALSE),0)</f>
        <v>0</v>
      </c>
      <c r="O151" s="3">
        <f>Table157810[[#This Row],[Beginning Balance]]-Table157810[[#This Row],[Principal]]-Table157810[[#This Row],[Prepayments]]-Table157810[[#This Row],[Defaulted Principal]]</f>
        <v>0</v>
      </c>
      <c r="P151" s="3">
        <f>Table157810[[#This Row],[Principal]]+Table157810[[#This Row],[Interest]]+Table157810[[#This Row],[Prepayments]]+Table157810[[#This Row],[RecoveredAmount]]</f>
        <v>0</v>
      </c>
      <c r="Q151" s="3">
        <f ca="1">ROUND(Table157810[[#This Row],[Cash Flow]]/((1+ActualRateToUse)^(IF(ISNUMBER(SEARCH("Actual",$C$7)),Table157810[[#This Row],[Running Total]]/365,Table157810[[#This Row],[Period]]/12))),2)</f>
        <v>0</v>
      </c>
      <c r="R151" s="2">
        <f>IF(MONTH(Table157810[[#This Row],[Date]])=2,28,DAY(DATE(YEAR(Table157810[[#This Row],[Date]]),MONTH(Table157810[[#This Row],[Date]])+1,1)-1))</f>
        <v>30</v>
      </c>
      <c r="S151" s="2">
        <f ca="1">SUM(OFFSET(Table157810[[#Headers],[Days in month]],1,0):Table157810[[#This Row],[Days in month]])</f>
        <v>4107</v>
      </c>
      <c r="T151" s="37">
        <f>InterestRate*AmortizationMultiplier*IF(ISNUMBER(SEARCH("Actual",$C$7)),Table157810[[#This Row],[Days in month]]/365,1/12)</f>
        <v>5.7909166666666656E-3</v>
      </c>
    </row>
    <row r="152" spans="2:20" x14ac:dyDescent="0.2">
      <c r="B152" s="1">
        <f t="shared" si="6"/>
        <v>49979</v>
      </c>
      <c r="C152" s="2">
        <f t="shared" si="8"/>
        <v>136</v>
      </c>
      <c r="D152" s="3">
        <f t="shared" si="7"/>
        <v>0</v>
      </c>
      <c r="E152" s="3">
        <f>ROUND(Table157810[[#This Row],[Beginning Balance]]*Table157810[[#This Row],[Monthly Interest Rate]],2)</f>
        <v>0</v>
      </c>
      <c r="F152" s="3">
        <f t="shared" si="9"/>
        <v>706</v>
      </c>
      <c r="G152" s="23">
        <f>IFERROR(IF($C$13="No","N/A",IF(Table157810[[#This Row],[Period]]=1,$C$6,PMT(InterestRate*AmortizationMultiplier/12,Table157810[[#This Row],[Am Thru]],-Table157810[[#This Row],[Beginning Balance]]))),0)</f>
        <v>0</v>
      </c>
      <c r="H152" s="3">
        <f>MAX(0,IF(C152=$C$4,D152,ROUND(IF($C$3="Fixed Principal",$C$6-Table157810[[#This Row],[Interest]],IF($C$3="Interest Only",Table157810[[#This Row],[Beginning Balance]]*ROUND(1-(1-IF($C$11="No",$E$8,1))^(1/12),6),MIN(IF($C$13="Yes",Table157810[[#This Row],[Payment Amount (Reamortized)]],$C$6)-Table157810[[#This Row],[Interest]],Table157810[[#This Row],[Beginning Balance]]))),2)))</f>
        <v>0</v>
      </c>
      <c r="I152" s="3">
        <f>_xlfn.SINGLE(IF($C$3="Line of Credit",0,ROUND(MAX(MIN(IF($C$10="No",$E$7,VLOOKUP(Table157810[[#This Row],[Period]],Forecast!$H$2:$L$1048576,4,FALSE))*Table157810[[#This Row],[Beginning Balance]],Table157810[[#This Row],[Beginning Balance]]-Table157810[[#This Row],[Principal]]),0),2)))</f>
        <v>0</v>
      </c>
      <c r="J152" s="3">
        <f>ROUND(MIN(Table157810[[#This Row],[Beginning Balance]]*IF($C$8="No",$E$3,VLOOKUP(Table157810[[#This Row],[Period]],Forecast!$H$2:$L$1048576,2,FALSE)),Table157810[[#This Row],[Beginning Balance]]-Table157810[[#This Row],[Principal]]-Table157810[[#This Row],[Prepayments]]),2)</f>
        <v>0</v>
      </c>
      <c r="K152" s="3">
        <f>ROUND(Table157810[[#This Row],[Defaulted Principal]]*IF($C$9="No",$E$4,VLOOKUP(Table157810[[#This Row],[Period]],Forecast!$H$2:$L$1048576,3,FALSE)),2)</f>
        <v>0</v>
      </c>
      <c r="L152" s="2">
        <f>Table157810[[#This Row],[Period]]+$E$9</f>
        <v>148</v>
      </c>
      <c r="M152" s="3">
        <f>Table157810[[#This Row],[Defaulted Principal]]-Table157810[[#This Row],[Estimated Loss]]</f>
        <v>0</v>
      </c>
      <c r="N152" s="3">
        <f>IFERROR(VLOOKUP(Table157810[[#This Row],[Period]],$L$16:$M$385,2,FALSE),0)</f>
        <v>0</v>
      </c>
      <c r="O152" s="3">
        <f>Table157810[[#This Row],[Beginning Balance]]-Table157810[[#This Row],[Principal]]-Table157810[[#This Row],[Prepayments]]-Table157810[[#This Row],[Defaulted Principal]]</f>
        <v>0</v>
      </c>
      <c r="P152" s="3">
        <f>Table157810[[#This Row],[Principal]]+Table157810[[#This Row],[Interest]]+Table157810[[#This Row],[Prepayments]]+Table157810[[#This Row],[RecoveredAmount]]</f>
        <v>0</v>
      </c>
      <c r="Q152" s="3">
        <f ca="1">ROUND(Table157810[[#This Row],[Cash Flow]]/((1+ActualRateToUse)^(IF(ISNUMBER(SEARCH("Actual",$C$7)),Table157810[[#This Row],[Running Total]]/365,Table157810[[#This Row],[Period]]/12))),2)</f>
        <v>0</v>
      </c>
      <c r="R152" s="2">
        <f>IF(MONTH(Table157810[[#This Row],[Date]])=2,28,DAY(DATE(YEAR(Table157810[[#This Row],[Date]]),MONTH(Table157810[[#This Row],[Date]])+1,1)-1))</f>
        <v>31</v>
      </c>
      <c r="S152" s="2">
        <f ca="1">SUM(OFFSET(Table157810[[#Headers],[Days in month]],1,0):Table157810[[#This Row],[Days in month]])</f>
        <v>4138</v>
      </c>
      <c r="T152" s="37">
        <f>InterestRate*AmortizationMultiplier*IF(ISNUMBER(SEARCH("Actual",$C$7)),Table157810[[#This Row],[Days in month]]/365,1/12)</f>
        <v>5.9839472222222214E-3</v>
      </c>
    </row>
    <row r="153" spans="2:20" x14ac:dyDescent="0.2">
      <c r="B153" s="1">
        <f t="shared" si="6"/>
        <v>50009</v>
      </c>
      <c r="C153" s="2">
        <f t="shared" si="8"/>
        <v>137</v>
      </c>
      <c r="D153" s="3">
        <f t="shared" si="7"/>
        <v>0</v>
      </c>
      <c r="E153" s="3">
        <f>ROUND(Table157810[[#This Row],[Beginning Balance]]*Table157810[[#This Row],[Monthly Interest Rate]],2)</f>
        <v>0</v>
      </c>
      <c r="F153" s="3">
        <f t="shared" si="9"/>
        <v>705</v>
      </c>
      <c r="G153" s="23">
        <f>IFERROR(IF($C$13="No","N/A",IF(Table157810[[#This Row],[Period]]=1,$C$6,PMT(InterestRate*AmortizationMultiplier/12,Table157810[[#This Row],[Am Thru]],-Table157810[[#This Row],[Beginning Balance]]))),0)</f>
        <v>0</v>
      </c>
      <c r="H153" s="3">
        <f>MAX(0,IF(C153=$C$4,D153,ROUND(IF($C$3="Fixed Principal",$C$6-Table157810[[#This Row],[Interest]],IF($C$3="Interest Only",Table157810[[#This Row],[Beginning Balance]]*ROUND(1-(1-IF($C$11="No",$E$8,1))^(1/12),6),MIN(IF($C$13="Yes",Table157810[[#This Row],[Payment Amount (Reamortized)]],$C$6)-Table157810[[#This Row],[Interest]],Table157810[[#This Row],[Beginning Balance]]))),2)))</f>
        <v>0</v>
      </c>
      <c r="I153" s="3">
        <f>_xlfn.SINGLE(IF($C$3="Line of Credit",0,ROUND(MAX(MIN(IF($C$10="No",$E$7,VLOOKUP(Table157810[[#This Row],[Period]],Forecast!$H$2:$L$1048576,4,FALSE))*Table157810[[#This Row],[Beginning Balance]],Table157810[[#This Row],[Beginning Balance]]-Table157810[[#This Row],[Principal]]),0),2)))</f>
        <v>0</v>
      </c>
      <c r="J153" s="3">
        <f>ROUND(MIN(Table157810[[#This Row],[Beginning Balance]]*IF($C$8="No",$E$3,VLOOKUP(Table157810[[#This Row],[Period]],Forecast!$H$2:$L$1048576,2,FALSE)),Table157810[[#This Row],[Beginning Balance]]-Table157810[[#This Row],[Principal]]-Table157810[[#This Row],[Prepayments]]),2)</f>
        <v>0</v>
      </c>
      <c r="K153" s="3">
        <f>ROUND(Table157810[[#This Row],[Defaulted Principal]]*IF($C$9="No",$E$4,VLOOKUP(Table157810[[#This Row],[Period]],Forecast!$H$2:$L$1048576,3,FALSE)),2)</f>
        <v>0</v>
      </c>
      <c r="L153" s="2">
        <f>Table157810[[#This Row],[Period]]+$E$9</f>
        <v>149</v>
      </c>
      <c r="M153" s="3">
        <f>Table157810[[#This Row],[Defaulted Principal]]-Table157810[[#This Row],[Estimated Loss]]</f>
        <v>0</v>
      </c>
      <c r="N153" s="3">
        <f>IFERROR(VLOOKUP(Table157810[[#This Row],[Period]],$L$16:$M$385,2,FALSE),0)</f>
        <v>0</v>
      </c>
      <c r="O153" s="3">
        <f>Table157810[[#This Row],[Beginning Balance]]-Table157810[[#This Row],[Principal]]-Table157810[[#This Row],[Prepayments]]-Table157810[[#This Row],[Defaulted Principal]]</f>
        <v>0</v>
      </c>
      <c r="P153" s="3">
        <f>Table157810[[#This Row],[Principal]]+Table157810[[#This Row],[Interest]]+Table157810[[#This Row],[Prepayments]]+Table157810[[#This Row],[RecoveredAmount]]</f>
        <v>0</v>
      </c>
      <c r="Q153" s="3">
        <f ca="1">ROUND(Table157810[[#This Row],[Cash Flow]]/((1+ActualRateToUse)^(IF(ISNUMBER(SEARCH("Actual",$C$7)),Table157810[[#This Row],[Running Total]]/365,Table157810[[#This Row],[Period]]/12))),2)</f>
        <v>0</v>
      </c>
      <c r="R153" s="2">
        <f>IF(MONTH(Table157810[[#This Row],[Date]])=2,28,DAY(DATE(YEAR(Table157810[[#This Row],[Date]]),MONTH(Table157810[[#This Row],[Date]])+1,1)-1))</f>
        <v>30</v>
      </c>
      <c r="S153" s="2">
        <f ca="1">SUM(OFFSET(Table157810[[#Headers],[Days in month]],1,0):Table157810[[#This Row],[Days in month]])</f>
        <v>4168</v>
      </c>
      <c r="T153" s="37">
        <f>InterestRate*AmortizationMultiplier*IF(ISNUMBER(SEARCH("Actual",$C$7)),Table157810[[#This Row],[Days in month]]/365,1/12)</f>
        <v>5.7909166666666656E-3</v>
      </c>
    </row>
    <row r="154" spans="2:20" x14ac:dyDescent="0.2">
      <c r="B154" s="1">
        <f t="shared" si="6"/>
        <v>50040</v>
      </c>
      <c r="C154" s="2">
        <f t="shared" si="8"/>
        <v>138</v>
      </c>
      <c r="D154" s="3">
        <f t="shared" si="7"/>
        <v>0</v>
      </c>
      <c r="E154" s="3">
        <f>ROUND(Table157810[[#This Row],[Beginning Balance]]*Table157810[[#This Row],[Monthly Interest Rate]],2)</f>
        <v>0</v>
      </c>
      <c r="F154" s="3">
        <f t="shared" si="9"/>
        <v>704</v>
      </c>
      <c r="G154" s="23">
        <f>IFERROR(IF($C$13="No","N/A",IF(Table157810[[#This Row],[Period]]=1,$C$6,PMT(InterestRate*AmortizationMultiplier/12,Table157810[[#This Row],[Am Thru]],-Table157810[[#This Row],[Beginning Balance]]))),0)</f>
        <v>0</v>
      </c>
      <c r="H154" s="3">
        <f>MAX(0,IF(C154=$C$4,D154,ROUND(IF($C$3="Fixed Principal",$C$6-Table157810[[#This Row],[Interest]],IF($C$3="Interest Only",Table157810[[#This Row],[Beginning Balance]]*ROUND(1-(1-IF($C$11="No",$E$8,1))^(1/12),6),MIN(IF($C$13="Yes",Table157810[[#This Row],[Payment Amount (Reamortized)]],$C$6)-Table157810[[#This Row],[Interest]],Table157810[[#This Row],[Beginning Balance]]))),2)))</f>
        <v>0</v>
      </c>
      <c r="I154" s="3">
        <f>_xlfn.SINGLE(IF($C$3="Line of Credit",0,ROUND(MAX(MIN(IF($C$10="No",$E$7,VLOOKUP(Table157810[[#This Row],[Period]],Forecast!$H$2:$L$1048576,4,FALSE))*Table157810[[#This Row],[Beginning Balance]],Table157810[[#This Row],[Beginning Balance]]-Table157810[[#This Row],[Principal]]),0),2)))</f>
        <v>0</v>
      </c>
      <c r="J154" s="3">
        <f>ROUND(MIN(Table157810[[#This Row],[Beginning Balance]]*IF($C$8="No",$E$3,VLOOKUP(Table157810[[#This Row],[Period]],Forecast!$H$2:$L$1048576,2,FALSE)),Table157810[[#This Row],[Beginning Balance]]-Table157810[[#This Row],[Principal]]-Table157810[[#This Row],[Prepayments]]),2)</f>
        <v>0</v>
      </c>
      <c r="K154" s="3">
        <f>ROUND(Table157810[[#This Row],[Defaulted Principal]]*IF($C$9="No",$E$4,VLOOKUP(Table157810[[#This Row],[Period]],Forecast!$H$2:$L$1048576,3,FALSE)),2)</f>
        <v>0</v>
      </c>
      <c r="L154" s="2">
        <f>Table157810[[#This Row],[Period]]+$E$9</f>
        <v>150</v>
      </c>
      <c r="M154" s="3">
        <f>Table157810[[#This Row],[Defaulted Principal]]-Table157810[[#This Row],[Estimated Loss]]</f>
        <v>0</v>
      </c>
      <c r="N154" s="3">
        <f>IFERROR(VLOOKUP(Table157810[[#This Row],[Period]],$L$16:$M$385,2,FALSE),0)</f>
        <v>0</v>
      </c>
      <c r="O154" s="3">
        <f>Table157810[[#This Row],[Beginning Balance]]-Table157810[[#This Row],[Principal]]-Table157810[[#This Row],[Prepayments]]-Table157810[[#This Row],[Defaulted Principal]]</f>
        <v>0</v>
      </c>
      <c r="P154" s="3">
        <f>Table157810[[#This Row],[Principal]]+Table157810[[#This Row],[Interest]]+Table157810[[#This Row],[Prepayments]]+Table157810[[#This Row],[RecoveredAmount]]</f>
        <v>0</v>
      </c>
      <c r="Q154" s="3">
        <f ca="1">ROUND(Table157810[[#This Row],[Cash Flow]]/((1+ActualRateToUse)^(IF(ISNUMBER(SEARCH("Actual",$C$7)),Table157810[[#This Row],[Running Total]]/365,Table157810[[#This Row],[Period]]/12))),2)</f>
        <v>0</v>
      </c>
      <c r="R154" s="2">
        <f>IF(MONTH(Table157810[[#This Row],[Date]])=2,28,DAY(DATE(YEAR(Table157810[[#This Row],[Date]]),MONTH(Table157810[[#This Row],[Date]])+1,1)-1))</f>
        <v>31</v>
      </c>
      <c r="S154" s="2">
        <f ca="1">SUM(OFFSET(Table157810[[#Headers],[Days in month]],1,0):Table157810[[#This Row],[Days in month]])</f>
        <v>4199</v>
      </c>
      <c r="T154" s="37">
        <f>InterestRate*AmortizationMultiplier*IF(ISNUMBER(SEARCH("Actual",$C$7)),Table157810[[#This Row],[Days in month]]/365,1/12)</f>
        <v>5.9839472222222214E-3</v>
      </c>
    </row>
    <row r="155" spans="2:20" x14ac:dyDescent="0.2">
      <c r="B155" s="1">
        <f t="shared" si="6"/>
        <v>50071</v>
      </c>
      <c r="C155" s="2">
        <f t="shared" si="8"/>
        <v>139</v>
      </c>
      <c r="D155" s="3">
        <f t="shared" si="7"/>
        <v>0</v>
      </c>
      <c r="E155" s="3">
        <f>ROUND(Table157810[[#This Row],[Beginning Balance]]*Table157810[[#This Row],[Monthly Interest Rate]],2)</f>
        <v>0</v>
      </c>
      <c r="F155" s="3">
        <f t="shared" si="9"/>
        <v>703</v>
      </c>
      <c r="G155" s="23">
        <f>IFERROR(IF($C$13="No","N/A",IF(Table157810[[#This Row],[Period]]=1,$C$6,PMT(InterestRate*AmortizationMultiplier/12,Table157810[[#This Row],[Am Thru]],-Table157810[[#This Row],[Beginning Balance]]))),0)</f>
        <v>0</v>
      </c>
      <c r="H155" s="3">
        <f>MAX(0,IF(C155=$C$4,D155,ROUND(IF($C$3="Fixed Principal",$C$6-Table157810[[#This Row],[Interest]],IF($C$3="Interest Only",Table157810[[#This Row],[Beginning Balance]]*ROUND(1-(1-IF($C$11="No",$E$8,1))^(1/12),6),MIN(IF($C$13="Yes",Table157810[[#This Row],[Payment Amount (Reamortized)]],$C$6)-Table157810[[#This Row],[Interest]],Table157810[[#This Row],[Beginning Balance]]))),2)))</f>
        <v>0</v>
      </c>
      <c r="I155" s="3">
        <f>_xlfn.SINGLE(IF($C$3="Line of Credit",0,ROUND(MAX(MIN(IF($C$10="No",$E$7,VLOOKUP(Table157810[[#This Row],[Period]],Forecast!$H$2:$L$1048576,4,FALSE))*Table157810[[#This Row],[Beginning Balance]],Table157810[[#This Row],[Beginning Balance]]-Table157810[[#This Row],[Principal]]),0),2)))</f>
        <v>0</v>
      </c>
      <c r="J155" s="3">
        <f>ROUND(MIN(Table157810[[#This Row],[Beginning Balance]]*IF($C$8="No",$E$3,VLOOKUP(Table157810[[#This Row],[Period]],Forecast!$H$2:$L$1048576,2,FALSE)),Table157810[[#This Row],[Beginning Balance]]-Table157810[[#This Row],[Principal]]-Table157810[[#This Row],[Prepayments]]),2)</f>
        <v>0</v>
      </c>
      <c r="K155" s="3">
        <f>ROUND(Table157810[[#This Row],[Defaulted Principal]]*IF($C$9="No",$E$4,VLOOKUP(Table157810[[#This Row],[Period]],Forecast!$H$2:$L$1048576,3,FALSE)),2)</f>
        <v>0</v>
      </c>
      <c r="L155" s="2">
        <f>Table157810[[#This Row],[Period]]+$E$9</f>
        <v>151</v>
      </c>
      <c r="M155" s="3">
        <f>Table157810[[#This Row],[Defaulted Principal]]-Table157810[[#This Row],[Estimated Loss]]</f>
        <v>0</v>
      </c>
      <c r="N155" s="3">
        <f>IFERROR(VLOOKUP(Table157810[[#This Row],[Period]],$L$16:$M$385,2,FALSE),0)</f>
        <v>0</v>
      </c>
      <c r="O155" s="3">
        <f>Table157810[[#This Row],[Beginning Balance]]-Table157810[[#This Row],[Principal]]-Table157810[[#This Row],[Prepayments]]-Table157810[[#This Row],[Defaulted Principal]]</f>
        <v>0</v>
      </c>
      <c r="P155" s="3">
        <f>Table157810[[#This Row],[Principal]]+Table157810[[#This Row],[Interest]]+Table157810[[#This Row],[Prepayments]]+Table157810[[#This Row],[RecoveredAmount]]</f>
        <v>0</v>
      </c>
      <c r="Q155" s="3">
        <f ca="1">ROUND(Table157810[[#This Row],[Cash Flow]]/((1+ActualRateToUse)^(IF(ISNUMBER(SEARCH("Actual",$C$7)),Table157810[[#This Row],[Running Total]]/365,Table157810[[#This Row],[Period]]/12))),2)</f>
        <v>0</v>
      </c>
      <c r="R155" s="2">
        <f>IF(MONTH(Table157810[[#This Row],[Date]])=2,28,DAY(DATE(YEAR(Table157810[[#This Row],[Date]]),MONTH(Table157810[[#This Row],[Date]])+1,1)-1))</f>
        <v>31</v>
      </c>
      <c r="S155" s="2">
        <f ca="1">SUM(OFFSET(Table157810[[#Headers],[Days in month]],1,0):Table157810[[#This Row],[Days in month]])</f>
        <v>4230</v>
      </c>
      <c r="T155" s="37">
        <f>InterestRate*AmortizationMultiplier*IF(ISNUMBER(SEARCH("Actual",$C$7)),Table157810[[#This Row],[Days in month]]/365,1/12)</f>
        <v>5.9839472222222214E-3</v>
      </c>
    </row>
    <row r="156" spans="2:20" x14ac:dyDescent="0.2">
      <c r="B156" s="1">
        <f t="shared" si="6"/>
        <v>50099</v>
      </c>
      <c r="C156" s="2">
        <f t="shared" si="8"/>
        <v>140</v>
      </c>
      <c r="D156" s="3">
        <f t="shared" si="7"/>
        <v>0</v>
      </c>
      <c r="E156" s="3">
        <f>ROUND(Table157810[[#This Row],[Beginning Balance]]*Table157810[[#This Row],[Monthly Interest Rate]],2)</f>
        <v>0</v>
      </c>
      <c r="F156" s="3">
        <f t="shared" si="9"/>
        <v>702</v>
      </c>
      <c r="G156" s="23">
        <f>IFERROR(IF($C$13="No","N/A",IF(Table157810[[#This Row],[Period]]=1,$C$6,PMT(InterestRate*AmortizationMultiplier/12,Table157810[[#This Row],[Am Thru]],-Table157810[[#This Row],[Beginning Balance]]))),0)</f>
        <v>0</v>
      </c>
      <c r="H156" s="3">
        <f>MAX(0,IF(C156=$C$4,D156,ROUND(IF($C$3="Fixed Principal",$C$6-Table157810[[#This Row],[Interest]],IF($C$3="Interest Only",Table157810[[#This Row],[Beginning Balance]]*ROUND(1-(1-IF($C$11="No",$E$8,1))^(1/12),6),MIN(IF($C$13="Yes",Table157810[[#This Row],[Payment Amount (Reamortized)]],$C$6)-Table157810[[#This Row],[Interest]],Table157810[[#This Row],[Beginning Balance]]))),2)))</f>
        <v>0</v>
      </c>
      <c r="I156" s="3">
        <f>_xlfn.SINGLE(IF($C$3="Line of Credit",0,ROUND(MAX(MIN(IF($C$10="No",$E$7,VLOOKUP(Table157810[[#This Row],[Period]],Forecast!$H$2:$L$1048576,4,FALSE))*Table157810[[#This Row],[Beginning Balance]],Table157810[[#This Row],[Beginning Balance]]-Table157810[[#This Row],[Principal]]),0),2)))</f>
        <v>0</v>
      </c>
      <c r="J156" s="3">
        <f>ROUND(MIN(Table157810[[#This Row],[Beginning Balance]]*IF($C$8="No",$E$3,VLOOKUP(Table157810[[#This Row],[Period]],Forecast!$H$2:$L$1048576,2,FALSE)),Table157810[[#This Row],[Beginning Balance]]-Table157810[[#This Row],[Principal]]-Table157810[[#This Row],[Prepayments]]),2)</f>
        <v>0</v>
      </c>
      <c r="K156" s="3">
        <f>ROUND(Table157810[[#This Row],[Defaulted Principal]]*IF($C$9="No",$E$4,VLOOKUP(Table157810[[#This Row],[Period]],Forecast!$H$2:$L$1048576,3,FALSE)),2)</f>
        <v>0</v>
      </c>
      <c r="L156" s="2">
        <f>Table157810[[#This Row],[Period]]+$E$9</f>
        <v>152</v>
      </c>
      <c r="M156" s="3">
        <f>Table157810[[#This Row],[Defaulted Principal]]-Table157810[[#This Row],[Estimated Loss]]</f>
        <v>0</v>
      </c>
      <c r="N156" s="3">
        <f>IFERROR(VLOOKUP(Table157810[[#This Row],[Period]],$L$16:$M$385,2,FALSE),0)</f>
        <v>0</v>
      </c>
      <c r="O156" s="3">
        <f>Table157810[[#This Row],[Beginning Balance]]-Table157810[[#This Row],[Principal]]-Table157810[[#This Row],[Prepayments]]-Table157810[[#This Row],[Defaulted Principal]]</f>
        <v>0</v>
      </c>
      <c r="P156" s="3">
        <f>Table157810[[#This Row],[Principal]]+Table157810[[#This Row],[Interest]]+Table157810[[#This Row],[Prepayments]]+Table157810[[#This Row],[RecoveredAmount]]</f>
        <v>0</v>
      </c>
      <c r="Q156" s="3">
        <f ca="1">ROUND(Table157810[[#This Row],[Cash Flow]]/((1+ActualRateToUse)^(IF(ISNUMBER(SEARCH("Actual",$C$7)),Table157810[[#This Row],[Running Total]]/365,Table157810[[#This Row],[Period]]/12))),2)</f>
        <v>0</v>
      </c>
      <c r="R156" s="2">
        <f>IF(MONTH(Table157810[[#This Row],[Date]])=2,28,DAY(DATE(YEAR(Table157810[[#This Row],[Date]]),MONTH(Table157810[[#This Row],[Date]])+1,1)-1))</f>
        <v>28</v>
      </c>
      <c r="S156" s="2">
        <f ca="1">SUM(OFFSET(Table157810[[#Headers],[Days in month]],1,0):Table157810[[#This Row],[Days in month]])</f>
        <v>4258</v>
      </c>
      <c r="T156" s="37">
        <f>InterestRate*AmortizationMultiplier*IF(ISNUMBER(SEARCH("Actual",$C$7)),Table157810[[#This Row],[Days in month]]/365,1/12)</f>
        <v>5.4048555555555548E-3</v>
      </c>
    </row>
    <row r="157" spans="2:20" x14ac:dyDescent="0.2">
      <c r="B157" s="1">
        <f t="shared" si="6"/>
        <v>50130</v>
      </c>
      <c r="C157" s="2">
        <f t="shared" si="8"/>
        <v>141</v>
      </c>
      <c r="D157" s="3">
        <f t="shared" si="7"/>
        <v>0</v>
      </c>
      <c r="E157" s="3">
        <f>ROUND(Table157810[[#This Row],[Beginning Balance]]*Table157810[[#This Row],[Monthly Interest Rate]],2)</f>
        <v>0</v>
      </c>
      <c r="F157" s="3">
        <f t="shared" si="9"/>
        <v>701</v>
      </c>
      <c r="G157" s="23">
        <f>IFERROR(IF($C$13="No","N/A",IF(Table157810[[#This Row],[Period]]=1,$C$6,PMT(InterestRate*AmortizationMultiplier/12,Table157810[[#This Row],[Am Thru]],-Table157810[[#This Row],[Beginning Balance]]))),0)</f>
        <v>0</v>
      </c>
      <c r="H157" s="3">
        <f>MAX(0,IF(C157=$C$4,D157,ROUND(IF($C$3="Fixed Principal",$C$6-Table157810[[#This Row],[Interest]],IF($C$3="Interest Only",Table157810[[#This Row],[Beginning Balance]]*ROUND(1-(1-IF($C$11="No",$E$8,1))^(1/12),6),MIN(IF($C$13="Yes",Table157810[[#This Row],[Payment Amount (Reamortized)]],$C$6)-Table157810[[#This Row],[Interest]],Table157810[[#This Row],[Beginning Balance]]))),2)))</f>
        <v>0</v>
      </c>
      <c r="I157" s="3">
        <f>_xlfn.SINGLE(IF($C$3="Line of Credit",0,ROUND(MAX(MIN(IF($C$10="No",$E$7,VLOOKUP(Table157810[[#This Row],[Period]],Forecast!$H$2:$L$1048576,4,FALSE))*Table157810[[#This Row],[Beginning Balance]],Table157810[[#This Row],[Beginning Balance]]-Table157810[[#This Row],[Principal]]),0),2)))</f>
        <v>0</v>
      </c>
      <c r="J157" s="3">
        <f>ROUND(MIN(Table157810[[#This Row],[Beginning Balance]]*IF($C$8="No",$E$3,VLOOKUP(Table157810[[#This Row],[Period]],Forecast!$H$2:$L$1048576,2,FALSE)),Table157810[[#This Row],[Beginning Balance]]-Table157810[[#This Row],[Principal]]-Table157810[[#This Row],[Prepayments]]),2)</f>
        <v>0</v>
      </c>
      <c r="K157" s="3">
        <f>ROUND(Table157810[[#This Row],[Defaulted Principal]]*IF($C$9="No",$E$4,VLOOKUP(Table157810[[#This Row],[Period]],Forecast!$H$2:$L$1048576,3,FALSE)),2)</f>
        <v>0</v>
      </c>
      <c r="L157" s="2">
        <f>Table157810[[#This Row],[Period]]+$E$9</f>
        <v>153</v>
      </c>
      <c r="M157" s="3">
        <f>Table157810[[#This Row],[Defaulted Principal]]-Table157810[[#This Row],[Estimated Loss]]</f>
        <v>0</v>
      </c>
      <c r="N157" s="3">
        <f>IFERROR(VLOOKUP(Table157810[[#This Row],[Period]],$L$16:$M$385,2,FALSE),0)</f>
        <v>0</v>
      </c>
      <c r="O157" s="3">
        <f>Table157810[[#This Row],[Beginning Balance]]-Table157810[[#This Row],[Principal]]-Table157810[[#This Row],[Prepayments]]-Table157810[[#This Row],[Defaulted Principal]]</f>
        <v>0</v>
      </c>
      <c r="P157" s="3">
        <f>Table157810[[#This Row],[Principal]]+Table157810[[#This Row],[Interest]]+Table157810[[#This Row],[Prepayments]]+Table157810[[#This Row],[RecoveredAmount]]</f>
        <v>0</v>
      </c>
      <c r="Q157" s="3">
        <f ca="1">ROUND(Table157810[[#This Row],[Cash Flow]]/((1+ActualRateToUse)^(IF(ISNUMBER(SEARCH("Actual",$C$7)),Table157810[[#This Row],[Running Total]]/365,Table157810[[#This Row],[Period]]/12))),2)</f>
        <v>0</v>
      </c>
      <c r="R157" s="2">
        <f>IF(MONTH(Table157810[[#This Row],[Date]])=2,28,DAY(DATE(YEAR(Table157810[[#This Row],[Date]]),MONTH(Table157810[[#This Row],[Date]])+1,1)-1))</f>
        <v>31</v>
      </c>
      <c r="S157" s="2">
        <f ca="1">SUM(OFFSET(Table157810[[#Headers],[Days in month]],1,0):Table157810[[#This Row],[Days in month]])</f>
        <v>4289</v>
      </c>
      <c r="T157" s="37">
        <f>InterestRate*AmortizationMultiplier*IF(ISNUMBER(SEARCH("Actual",$C$7)),Table157810[[#This Row],[Days in month]]/365,1/12)</f>
        <v>5.9839472222222214E-3</v>
      </c>
    </row>
    <row r="158" spans="2:20" x14ac:dyDescent="0.2">
      <c r="B158" s="1">
        <f t="shared" si="6"/>
        <v>50160</v>
      </c>
      <c r="C158" s="2">
        <f t="shared" si="8"/>
        <v>142</v>
      </c>
      <c r="D158" s="3">
        <f t="shared" si="7"/>
        <v>0</v>
      </c>
      <c r="E158" s="3">
        <f>ROUND(Table157810[[#This Row],[Beginning Balance]]*Table157810[[#This Row],[Monthly Interest Rate]],2)</f>
        <v>0</v>
      </c>
      <c r="F158" s="3">
        <f t="shared" si="9"/>
        <v>700</v>
      </c>
      <c r="G158" s="23">
        <f>IFERROR(IF($C$13="No","N/A",IF(Table157810[[#This Row],[Period]]=1,$C$6,PMT(InterestRate*AmortizationMultiplier/12,Table157810[[#This Row],[Am Thru]],-Table157810[[#This Row],[Beginning Balance]]))),0)</f>
        <v>0</v>
      </c>
      <c r="H158" s="3">
        <f>MAX(0,IF(C158=$C$4,D158,ROUND(IF($C$3="Fixed Principal",$C$6-Table157810[[#This Row],[Interest]],IF($C$3="Interest Only",Table157810[[#This Row],[Beginning Balance]]*ROUND(1-(1-IF($C$11="No",$E$8,1))^(1/12),6),MIN(IF($C$13="Yes",Table157810[[#This Row],[Payment Amount (Reamortized)]],$C$6)-Table157810[[#This Row],[Interest]],Table157810[[#This Row],[Beginning Balance]]))),2)))</f>
        <v>0</v>
      </c>
      <c r="I158" s="3">
        <f>_xlfn.SINGLE(IF($C$3="Line of Credit",0,ROUND(MAX(MIN(IF($C$10="No",$E$7,VLOOKUP(Table157810[[#This Row],[Period]],Forecast!$H$2:$L$1048576,4,FALSE))*Table157810[[#This Row],[Beginning Balance]],Table157810[[#This Row],[Beginning Balance]]-Table157810[[#This Row],[Principal]]),0),2)))</f>
        <v>0</v>
      </c>
      <c r="J158" s="3">
        <f>ROUND(MIN(Table157810[[#This Row],[Beginning Balance]]*IF($C$8="No",$E$3,VLOOKUP(Table157810[[#This Row],[Period]],Forecast!$H$2:$L$1048576,2,FALSE)),Table157810[[#This Row],[Beginning Balance]]-Table157810[[#This Row],[Principal]]-Table157810[[#This Row],[Prepayments]]),2)</f>
        <v>0</v>
      </c>
      <c r="K158" s="3">
        <f>ROUND(Table157810[[#This Row],[Defaulted Principal]]*IF($C$9="No",$E$4,VLOOKUP(Table157810[[#This Row],[Period]],Forecast!$H$2:$L$1048576,3,FALSE)),2)</f>
        <v>0</v>
      </c>
      <c r="L158" s="2">
        <f>Table157810[[#This Row],[Period]]+$E$9</f>
        <v>154</v>
      </c>
      <c r="M158" s="3">
        <f>Table157810[[#This Row],[Defaulted Principal]]-Table157810[[#This Row],[Estimated Loss]]</f>
        <v>0</v>
      </c>
      <c r="N158" s="3">
        <f>IFERROR(VLOOKUP(Table157810[[#This Row],[Period]],$L$16:$M$385,2,FALSE),0)</f>
        <v>0</v>
      </c>
      <c r="O158" s="3">
        <f>Table157810[[#This Row],[Beginning Balance]]-Table157810[[#This Row],[Principal]]-Table157810[[#This Row],[Prepayments]]-Table157810[[#This Row],[Defaulted Principal]]</f>
        <v>0</v>
      </c>
      <c r="P158" s="3">
        <f>Table157810[[#This Row],[Principal]]+Table157810[[#This Row],[Interest]]+Table157810[[#This Row],[Prepayments]]+Table157810[[#This Row],[RecoveredAmount]]</f>
        <v>0</v>
      </c>
      <c r="Q158" s="3">
        <f ca="1">ROUND(Table157810[[#This Row],[Cash Flow]]/((1+ActualRateToUse)^(IF(ISNUMBER(SEARCH("Actual",$C$7)),Table157810[[#This Row],[Running Total]]/365,Table157810[[#This Row],[Period]]/12))),2)</f>
        <v>0</v>
      </c>
      <c r="R158" s="2">
        <f>IF(MONTH(Table157810[[#This Row],[Date]])=2,28,DAY(DATE(YEAR(Table157810[[#This Row],[Date]]),MONTH(Table157810[[#This Row],[Date]])+1,1)-1))</f>
        <v>30</v>
      </c>
      <c r="S158" s="2">
        <f ca="1">SUM(OFFSET(Table157810[[#Headers],[Days in month]],1,0):Table157810[[#This Row],[Days in month]])</f>
        <v>4319</v>
      </c>
      <c r="T158" s="37">
        <f>InterestRate*AmortizationMultiplier*IF(ISNUMBER(SEARCH("Actual",$C$7)),Table157810[[#This Row],[Days in month]]/365,1/12)</f>
        <v>5.7909166666666656E-3</v>
      </c>
    </row>
    <row r="159" spans="2:20" x14ac:dyDescent="0.2">
      <c r="B159" s="1">
        <f t="shared" si="6"/>
        <v>50191</v>
      </c>
      <c r="C159" s="2">
        <f t="shared" si="8"/>
        <v>143</v>
      </c>
      <c r="D159" s="3">
        <f t="shared" si="7"/>
        <v>0</v>
      </c>
      <c r="E159" s="3">
        <f>ROUND(Table157810[[#This Row],[Beginning Balance]]*Table157810[[#This Row],[Monthly Interest Rate]],2)</f>
        <v>0</v>
      </c>
      <c r="F159" s="3">
        <f t="shared" si="9"/>
        <v>699</v>
      </c>
      <c r="G159" s="23">
        <f>IFERROR(IF($C$13="No","N/A",IF(Table157810[[#This Row],[Period]]=1,$C$6,PMT(InterestRate*AmortizationMultiplier/12,Table157810[[#This Row],[Am Thru]],-Table157810[[#This Row],[Beginning Balance]]))),0)</f>
        <v>0</v>
      </c>
      <c r="H159" s="3">
        <f>MAX(0,IF(C159=$C$4,D159,ROUND(IF($C$3="Fixed Principal",$C$6-Table157810[[#This Row],[Interest]],IF($C$3="Interest Only",Table157810[[#This Row],[Beginning Balance]]*ROUND(1-(1-IF($C$11="No",$E$8,1))^(1/12),6),MIN(IF($C$13="Yes",Table157810[[#This Row],[Payment Amount (Reamortized)]],$C$6)-Table157810[[#This Row],[Interest]],Table157810[[#This Row],[Beginning Balance]]))),2)))</f>
        <v>0</v>
      </c>
      <c r="I159" s="3">
        <f>_xlfn.SINGLE(IF($C$3="Line of Credit",0,ROUND(MAX(MIN(IF($C$10="No",$E$7,VLOOKUP(Table157810[[#This Row],[Period]],Forecast!$H$2:$L$1048576,4,FALSE))*Table157810[[#This Row],[Beginning Balance]],Table157810[[#This Row],[Beginning Balance]]-Table157810[[#This Row],[Principal]]),0),2)))</f>
        <v>0</v>
      </c>
      <c r="J159" s="3">
        <f>ROUND(MIN(Table157810[[#This Row],[Beginning Balance]]*IF($C$8="No",$E$3,VLOOKUP(Table157810[[#This Row],[Period]],Forecast!$H$2:$L$1048576,2,FALSE)),Table157810[[#This Row],[Beginning Balance]]-Table157810[[#This Row],[Principal]]-Table157810[[#This Row],[Prepayments]]),2)</f>
        <v>0</v>
      </c>
      <c r="K159" s="3">
        <f>ROUND(Table157810[[#This Row],[Defaulted Principal]]*IF($C$9="No",$E$4,VLOOKUP(Table157810[[#This Row],[Period]],Forecast!$H$2:$L$1048576,3,FALSE)),2)</f>
        <v>0</v>
      </c>
      <c r="L159" s="2">
        <f>Table157810[[#This Row],[Period]]+$E$9</f>
        <v>155</v>
      </c>
      <c r="M159" s="3">
        <f>Table157810[[#This Row],[Defaulted Principal]]-Table157810[[#This Row],[Estimated Loss]]</f>
        <v>0</v>
      </c>
      <c r="N159" s="3">
        <f>IFERROR(VLOOKUP(Table157810[[#This Row],[Period]],$L$16:$M$385,2,FALSE),0)</f>
        <v>0</v>
      </c>
      <c r="O159" s="3">
        <f>Table157810[[#This Row],[Beginning Balance]]-Table157810[[#This Row],[Principal]]-Table157810[[#This Row],[Prepayments]]-Table157810[[#This Row],[Defaulted Principal]]</f>
        <v>0</v>
      </c>
      <c r="P159" s="3">
        <f>Table157810[[#This Row],[Principal]]+Table157810[[#This Row],[Interest]]+Table157810[[#This Row],[Prepayments]]+Table157810[[#This Row],[RecoveredAmount]]</f>
        <v>0</v>
      </c>
      <c r="Q159" s="3">
        <f ca="1">ROUND(Table157810[[#This Row],[Cash Flow]]/((1+ActualRateToUse)^(IF(ISNUMBER(SEARCH("Actual",$C$7)),Table157810[[#This Row],[Running Total]]/365,Table157810[[#This Row],[Period]]/12))),2)</f>
        <v>0</v>
      </c>
      <c r="R159" s="2">
        <f>IF(MONTH(Table157810[[#This Row],[Date]])=2,28,DAY(DATE(YEAR(Table157810[[#This Row],[Date]]),MONTH(Table157810[[#This Row],[Date]])+1,1)-1))</f>
        <v>31</v>
      </c>
      <c r="S159" s="2">
        <f ca="1">SUM(OFFSET(Table157810[[#Headers],[Days in month]],1,0):Table157810[[#This Row],[Days in month]])</f>
        <v>4350</v>
      </c>
      <c r="T159" s="37">
        <f>InterestRate*AmortizationMultiplier*IF(ISNUMBER(SEARCH("Actual",$C$7)),Table157810[[#This Row],[Days in month]]/365,1/12)</f>
        <v>5.9839472222222214E-3</v>
      </c>
    </row>
    <row r="160" spans="2:20" x14ac:dyDescent="0.2">
      <c r="B160" s="1">
        <f t="shared" si="6"/>
        <v>50221</v>
      </c>
      <c r="C160" s="2">
        <f t="shared" si="8"/>
        <v>144</v>
      </c>
      <c r="D160" s="3">
        <f t="shared" si="7"/>
        <v>0</v>
      </c>
      <c r="E160" s="3">
        <f>ROUND(Table157810[[#This Row],[Beginning Balance]]*Table157810[[#This Row],[Monthly Interest Rate]],2)</f>
        <v>0</v>
      </c>
      <c r="F160" s="3">
        <f t="shared" si="9"/>
        <v>698</v>
      </c>
      <c r="G160" s="23">
        <f>IFERROR(IF($C$13="No","N/A",IF(Table157810[[#This Row],[Period]]=1,$C$6,PMT(InterestRate*AmortizationMultiplier/12,Table157810[[#This Row],[Am Thru]],-Table157810[[#This Row],[Beginning Balance]]))),0)</f>
        <v>0</v>
      </c>
      <c r="H160" s="3">
        <f>MAX(0,IF(C160=$C$4,D160,ROUND(IF($C$3="Fixed Principal",$C$6-Table157810[[#This Row],[Interest]],IF($C$3="Interest Only",Table157810[[#This Row],[Beginning Balance]]*ROUND(1-(1-IF($C$11="No",$E$8,1))^(1/12),6),MIN(IF($C$13="Yes",Table157810[[#This Row],[Payment Amount (Reamortized)]],$C$6)-Table157810[[#This Row],[Interest]],Table157810[[#This Row],[Beginning Balance]]))),2)))</f>
        <v>0</v>
      </c>
      <c r="I160" s="3">
        <f>_xlfn.SINGLE(IF($C$3="Line of Credit",0,ROUND(MAX(MIN(IF($C$10="No",$E$7,VLOOKUP(Table157810[[#This Row],[Period]],Forecast!$H$2:$L$1048576,4,FALSE))*Table157810[[#This Row],[Beginning Balance]],Table157810[[#This Row],[Beginning Balance]]-Table157810[[#This Row],[Principal]]),0),2)))</f>
        <v>0</v>
      </c>
      <c r="J160" s="3">
        <f>ROUND(MIN(Table157810[[#This Row],[Beginning Balance]]*IF($C$8="No",$E$3,VLOOKUP(Table157810[[#This Row],[Period]],Forecast!$H$2:$L$1048576,2,FALSE)),Table157810[[#This Row],[Beginning Balance]]-Table157810[[#This Row],[Principal]]-Table157810[[#This Row],[Prepayments]]),2)</f>
        <v>0</v>
      </c>
      <c r="K160" s="3">
        <f>ROUND(Table157810[[#This Row],[Defaulted Principal]]*IF($C$9="No",$E$4,VLOOKUP(Table157810[[#This Row],[Period]],Forecast!$H$2:$L$1048576,3,FALSE)),2)</f>
        <v>0</v>
      </c>
      <c r="L160" s="2">
        <f>Table157810[[#This Row],[Period]]+$E$9</f>
        <v>156</v>
      </c>
      <c r="M160" s="3">
        <f>Table157810[[#This Row],[Defaulted Principal]]-Table157810[[#This Row],[Estimated Loss]]</f>
        <v>0</v>
      </c>
      <c r="N160" s="3">
        <f>IFERROR(VLOOKUP(Table157810[[#This Row],[Period]],$L$16:$M$385,2,FALSE),0)</f>
        <v>0</v>
      </c>
      <c r="O160" s="3">
        <f>Table157810[[#This Row],[Beginning Balance]]-Table157810[[#This Row],[Principal]]-Table157810[[#This Row],[Prepayments]]-Table157810[[#This Row],[Defaulted Principal]]</f>
        <v>0</v>
      </c>
      <c r="P160" s="3">
        <f>Table157810[[#This Row],[Principal]]+Table157810[[#This Row],[Interest]]+Table157810[[#This Row],[Prepayments]]+Table157810[[#This Row],[RecoveredAmount]]</f>
        <v>0</v>
      </c>
      <c r="Q160" s="3">
        <f ca="1">ROUND(Table157810[[#This Row],[Cash Flow]]/((1+ActualRateToUse)^(IF(ISNUMBER(SEARCH("Actual",$C$7)),Table157810[[#This Row],[Running Total]]/365,Table157810[[#This Row],[Period]]/12))),2)</f>
        <v>0</v>
      </c>
      <c r="R160" s="2">
        <f>IF(MONTH(Table157810[[#This Row],[Date]])=2,28,DAY(DATE(YEAR(Table157810[[#This Row],[Date]]),MONTH(Table157810[[#This Row],[Date]])+1,1)-1))</f>
        <v>30</v>
      </c>
      <c r="S160" s="2">
        <f ca="1">SUM(OFFSET(Table157810[[#Headers],[Days in month]],1,0):Table157810[[#This Row],[Days in month]])</f>
        <v>4380</v>
      </c>
      <c r="T160" s="37">
        <f>InterestRate*AmortizationMultiplier*IF(ISNUMBER(SEARCH("Actual",$C$7)),Table157810[[#This Row],[Days in month]]/365,1/12)</f>
        <v>5.7909166666666656E-3</v>
      </c>
    </row>
    <row r="161" spans="2:20" x14ac:dyDescent="0.2">
      <c r="B161" s="1">
        <f t="shared" si="6"/>
        <v>50252</v>
      </c>
      <c r="C161" s="2">
        <f t="shared" si="8"/>
        <v>145</v>
      </c>
      <c r="D161" s="3">
        <f t="shared" si="7"/>
        <v>0</v>
      </c>
      <c r="E161" s="3">
        <f>ROUND(Table157810[[#This Row],[Beginning Balance]]*Table157810[[#This Row],[Monthly Interest Rate]],2)</f>
        <v>0</v>
      </c>
      <c r="F161" s="3">
        <f t="shared" si="9"/>
        <v>697</v>
      </c>
      <c r="G161" s="23">
        <f>IFERROR(IF($C$13="No","N/A",IF(Table157810[[#This Row],[Period]]=1,$C$6,PMT(InterestRate*AmortizationMultiplier/12,Table157810[[#This Row],[Am Thru]],-Table157810[[#This Row],[Beginning Balance]]))),0)</f>
        <v>0</v>
      </c>
      <c r="H161" s="3">
        <f>MAX(0,IF(C161=$C$4,D161,ROUND(IF($C$3="Fixed Principal",$C$6-Table157810[[#This Row],[Interest]],IF($C$3="Interest Only",Table157810[[#This Row],[Beginning Balance]]*ROUND(1-(1-IF($C$11="No",$E$8,1))^(1/12),6),MIN(IF($C$13="Yes",Table157810[[#This Row],[Payment Amount (Reamortized)]],$C$6)-Table157810[[#This Row],[Interest]],Table157810[[#This Row],[Beginning Balance]]))),2)))</f>
        <v>0</v>
      </c>
      <c r="I161" s="3">
        <f>_xlfn.SINGLE(IF($C$3="Line of Credit",0,ROUND(MAX(MIN(IF($C$10="No",$E$7,VLOOKUP(Table157810[[#This Row],[Period]],Forecast!$H$2:$L$1048576,4,FALSE))*Table157810[[#This Row],[Beginning Balance]],Table157810[[#This Row],[Beginning Balance]]-Table157810[[#This Row],[Principal]]),0),2)))</f>
        <v>0</v>
      </c>
      <c r="J161" s="3">
        <f>ROUND(MIN(Table157810[[#This Row],[Beginning Balance]]*IF($C$8="No",$E$3,VLOOKUP(Table157810[[#This Row],[Period]],Forecast!$H$2:$L$1048576,2,FALSE)),Table157810[[#This Row],[Beginning Balance]]-Table157810[[#This Row],[Principal]]-Table157810[[#This Row],[Prepayments]]),2)</f>
        <v>0</v>
      </c>
      <c r="K161" s="3">
        <f>ROUND(Table157810[[#This Row],[Defaulted Principal]]*IF($C$9="No",$E$4,VLOOKUP(Table157810[[#This Row],[Period]],Forecast!$H$2:$L$1048576,3,FALSE)),2)</f>
        <v>0</v>
      </c>
      <c r="L161" s="2">
        <f>Table157810[[#This Row],[Period]]+$E$9</f>
        <v>157</v>
      </c>
      <c r="M161" s="3">
        <f>Table157810[[#This Row],[Defaulted Principal]]-Table157810[[#This Row],[Estimated Loss]]</f>
        <v>0</v>
      </c>
      <c r="N161" s="3">
        <f>IFERROR(VLOOKUP(Table157810[[#This Row],[Period]],$L$16:$M$385,2,FALSE),0)</f>
        <v>0</v>
      </c>
      <c r="O161" s="3">
        <f>Table157810[[#This Row],[Beginning Balance]]-Table157810[[#This Row],[Principal]]-Table157810[[#This Row],[Prepayments]]-Table157810[[#This Row],[Defaulted Principal]]</f>
        <v>0</v>
      </c>
      <c r="P161" s="3">
        <f>Table157810[[#This Row],[Principal]]+Table157810[[#This Row],[Interest]]+Table157810[[#This Row],[Prepayments]]+Table157810[[#This Row],[RecoveredAmount]]</f>
        <v>0</v>
      </c>
      <c r="Q161" s="3">
        <f ca="1">ROUND(Table157810[[#This Row],[Cash Flow]]/((1+ActualRateToUse)^(IF(ISNUMBER(SEARCH("Actual",$C$7)),Table157810[[#This Row],[Running Total]]/365,Table157810[[#This Row],[Period]]/12))),2)</f>
        <v>0</v>
      </c>
      <c r="R161" s="2">
        <f>IF(MONTH(Table157810[[#This Row],[Date]])=2,28,DAY(DATE(YEAR(Table157810[[#This Row],[Date]]),MONTH(Table157810[[#This Row],[Date]])+1,1)-1))</f>
        <v>31</v>
      </c>
      <c r="S161" s="2">
        <f ca="1">SUM(OFFSET(Table157810[[#Headers],[Days in month]],1,0):Table157810[[#This Row],[Days in month]])</f>
        <v>4411</v>
      </c>
      <c r="T161" s="37">
        <f>InterestRate*AmortizationMultiplier*IF(ISNUMBER(SEARCH("Actual",$C$7)),Table157810[[#This Row],[Days in month]]/365,1/12)</f>
        <v>5.9839472222222214E-3</v>
      </c>
    </row>
    <row r="162" spans="2:20" x14ac:dyDescent="0.2">
      <c r="B162" s="1">
        <f t="shared" si="6"/>
        <v>50283</v>
      </c>
      <c r="C162" s="2">
        <f t="shared" si="8"/>
        <v>146</v>
      </c>
      <c r="D162" s="3">
        <f t="shared" si="7"/>
        <v>0</v>
      </c>
      <c r="E162" s="3">
        <f>ROUND(Table157810[[#This Row],[Beginning Balance]]*Table157810[[#This Row],[Monthly Interest Rate]],2)</f>
        <v>0</v>
      </c>
      <c r="F162" s="3">
        <f t="shared" si="9"/>
        <v>696</v>
      </c>
      <c r="G162" s="23">
        <f>IFERROR(IF($C$13="No","N/A",IF(Table157810[[#This Row],[Period]]=1,$C$6,PMT(InterestRate*AmortizationMultiplier/12,Table157810[[#This Row],[Am Thru]],-Table157810[[#This Row],[Beginning Balance]]))),0)</f>
        <v>0</v>
      </c>
      <c r="H162" s="3">
        <f>MAX(0,IF(C162=$C$4,D162,ROUND(IF($C$3="Fixed Principal",$C$6-Table157810[[#This Row],[Interest]],IF($C$3="Interest Only",Table157810[[#This Row],[Beginning Balance]]*ROUND(1-(1-IF($C$11="No",$E$8,1))^(1/12),6),MIN(IF($C$13="Yes",Table157810[[#This Row],[Payment Amount (Reamortized)]],$C$6)-Table157810[[#This Row],[Interest]],Table157810[[#This Row],[Beginning Balance]]))),2)))</f>
        <v>0</v>
      </c>
      <c r="I162" s="3">
        <f>_xlfn.SINGLE(IF($C$3="Line of Credit",0,ROUND(MAX(MIN(IF($C$10="No",$E$7,VLOOKUP(Table157810[[#This Row],[Period]],Forecast!$H$2:$L$1048576,4,FALSE))*Table157810[[#This Row],[Beginning Balance]],Table157810[[#This Row],[Beginning Balance]]-Table157810[[#This Row],[Principal]]),0),2)))</f>
        <v>0</v>
      </c>
      <c r="J162" s="3">
        <f>ROUND(MIN(Table157810[[#This Row],[Beginning Balance]]*IF($C$8="No",$E$3,VLOOKUP(Table157810[[#This Row],[Period]],Forecast!$H$2:$L$1048576,2,FALSE)),Table157810[[#This Row],[Beginning Balance]]-Table157810[[#This Row],[Principal]]-Table157810[[#This Row],[Prepayments]]),2)</f>
        <v>0</v>
      </c>
      <c r="K162" s="3">
        <f>ROUND(Table157810[[#This Row],[Defaulted Principal]]*IF($C$9="No",$E$4,VLOOKUP(Table157810[[#This Row],[Period]],Forecast!$H$2:$L$1048576,3,FALSE)),2)</f>
        <v>0</v>
      </c>
      <c r="L162" s="2">
        <f>Table157810[[#This Row],[Period]]+$E$9</f>
        <v>158</v>
      </c>
      <c r="M162" s="3">
        <f>Table157810[[#This Row],[Defaulted Principal]]-Table157810[[#This Row],[Estimated Loss]]</f>
        <v>0</v>
      </c>
      <c r="N162" s="3">
        <f>IFERROR(VLOOKUP(Table157810[[#This Row],[Period]],$L$16:$M$385,2,FALSE),0)</f>
        <v>0</v>
      </c>
      <c r="O162" s="3">
        <f>Table157810[[#This Row],[Beginning Balance]]-Table157810[[#This Row],[Principal]]-Table157810[[#This Row],[Prepayments]]-Table157810[[#This Row],[Defaulted Principal]]</f>
        <v>0</v>
      </c>
      <c r="P162" s="3">
        <f>Table157810[[#This Row],[Principal]]+Table157810[[#This Row],[Interest]]+Table157810[[#This Row],[Prepayments]]+Table157810[[#This Row],[RecoveredAmount]]</f>
        <v>0</v>
      </c>
      <c r="Q162" s="3">
        <f ca="1">ROUND(Table157810[[#This Row],[Cash Flow]]/((1+ActualRateToUse)^(IF(ISNUMBER(SEARCH("Actual",$C$7)),Table157810[[#This Row],[Running Total]]/365,Table157810[[#This Row],[Period]]/12))),2)</f>
        <v>0</v>
      </c>
      <c r="R162" s="2">
        <f>IF(MONTH(Table157810[[#This Row],[Date]])=2,28,DAY(DATE(YEAR(Table157810[[#This Row],[Date]]),MONTH(Table157810[[#This Row],[Date]])+1,1)-1))</f>
        <v>31</v>
      </c>
      <c r="S162" s="2">
        <f ca="1">SUM(OFFSET(Table157810[[#Headers],[Days in month]],1,0):Table157810[[#This Row],[Days in month]])</f>
        <v>4442</v>
      </c>
      <c r="T162" s="37">
        <f>InterestRate*AmortizationMultiplier*IF(ISNUMBER(SEARCH("Actual",$C$7)),Table157810[[#This Row],[Days in month]]/365,1/12)</f>
        <v>5.9839472222222214E-3</v>
      </c>
    </row>
    <row r="163" spans="2:20" x14ac:dyDescent="0.2">
      <c r="B163" s="1">
        <f t="shared" si="6"/>
        <v>50313</v>
      </c>
      <c r="C163" s="2">
        <f t="shared" si="8"/>
        <v>147</v>
      </c>
      <c r="D163" s="3">
        <f t="shared" si="7"/>
        <v>0</v>
      </c>
      <c r="E163" s="3">
        <f>ROUND(Table157810[[#This Row],[Beginning Balance]]*Table157810[[#This Row],[Monthly Interest Rate]],2)</f>
        <v>0</v>
      </c>
      <c r="F163" s="3">
        <f t="shared" si="9"/>
        <v>695</v>
      </c>
      <c r="G163" s="23">
        <f>IFERROR(IF($C$13="No","N/A",IF(Table157810[[#This Row],[Period]]=1,$C$6,PMT(InterestRate*AmortizationMultiplier/12,Table157810[[#This Row],[Am Thru]],-Table157810[[#This Row],[Beginning Balance]]))),0)</f>
        <v>0</v>
      </c>
      <c r="H163" s="3">
        <f>MAX(0,IF(C163=$C$4,D163,ROUND(IF($C$3="Fixed Principal",$C$6-Table157810[[#This Row],[Interest]],IF($C$3="Interest Only",Table157810[[#This Row],[Beginning Balance]]*ROUND(1-(1-IF($C$11="No",$E$8,1))^(1/12),6),MIN(IF($C$13="Yes",Table157810[[#This Row],[Payment Amount (Reamortized)]],$C$6)-Table157810[[#This Row],[Interest]],Table157810[[#This Row],[Beginning Balance]]))),2)))</f>
        <v>0</v>
      </c>
      <c r="I163" s="3">
        <f>_xlfn.SINGLE(IF($C$3="Line of Credit",0,ROUND(MAX(MIN(IF($C$10="No",$E$7,VLOOKUP(Table157810[[#This Row],[Period]],Forecast!$H$2:$L$1048576,4,FALSE))*Table157810[[#This Row],[Beginning Balance]],Table157810[[#This Row],[Beginning Balance]]-Table157810[[#This Row],[Principal]]),0),2)))</f>
        <v>0</v>
      </c>
      <c r="J163" s="3">
        <f>ROUND(MIN(Table157810[[#This Row],[Beginning Balance]]*IF($C$8="No",$E$3,VLOOKUP(Table157810[[#This Row],[Period]],Forecast!$H$2:$L$1048576,2,FALSE)),Table157810[[#This Row],[Beginning Balance]]-Table157810[[#This Row],[Principal]]-Table157810[[#This Row],[Prepayments]]),2)</f>
        <v>0</v>
      </c>
      <c r="K163" s="3">
        <f>ROUND(Table157810[[#This Row],[Defaulted Principal]]*IF($C$9="No",$E$4,VLOOKUP(Table157810[[#This Row],[Period]],Forecast!$H$2:$L$1048576,3,FALSE)),2)</f>
        <v>0</v>
      </c>
      <c r="L163" s="2">
        <f>Table157810[[#This Row],[Period]]+$E$9</f>
        <v>159</v>
      </c>
      <c r="M163" s="3">
        <f>Table157810[[#This Row],[Defaulted Principal]]-Table157810[[#This Row],[Estimated Loss]]</f>
        <v>0</v>
      </c>
      <c r="N163" s="3">
        <f>IFERROR(VLOOKUP(Table157810[[#This Row],[Period]],$L$16:$M$385,2,FALSE),0)</f>
        <v>0</v>
      </c>
      <c r="O163" s="3">
        <f>Table157810[[#This Row],[Beginning Balance]]-Table157810[[#This Row],[Principal]]-Table157810[[#This Row],[Prepayments]]-Table157810[[#This Row],[Defaulted Principal]]</f>
        <v>0</v>
      </c>
      <c r="P163" s="3">
        <f>Table157810[[#This Row],[Principal]]+Table157810[[#This Row],[Interest]]+Table157810[[#This Row],[Prepayments]]+Table157810[[#This Row],[RecoveredAmount]]</f>
        <v>0</v>
      </c>
      <c r="Q163" s="3">
        <f ca="1">ROUND(Table157810[[#This Row],[Cash Flow]]/((1+ActualRateToUse)^(IF(ISNUMBER(SEARCH("Actual",$C$7)),Table157810[[#This Row],[Running Total]]/365,Table157810[[#This Row],[Period]]/12))),2)</f>
        <v>0</v>
      </c>
      <c r="R163" s="2">
        <f>IF(MONTH(Table157810[[#This Row],[Date]])=2,28,DAY(DATE(YEAR(Table157810[[#This Row],[Date]]),MONTH(Table157810[[#This Row],[Date]])+1,1)-1))</f>
        <v>30</v>
      </c>
      <c r="S163" s="2">
        <f ca="1">SUM(OFFSET(Table157810[[#Headers],[Days in month]],1,0):Table157810[[#This Row],[Days in month]])</f>
        <v>4472</v>
      </c>
      <c r="T163" s="37">
        <f>InterestRate*AmortizationMultiplier*IF(ISNUMBER(SEARCH("Actual",$C$7)),Table157810[[#This Row],[Days in month]]/365,1/12)</f>
        <v>5.7909166666666656E-3</v>
      </c>
    </row>
    <row r="164" spans="2:20" x14ac:dyDescent="0.2">
      <c r="B164" s="1">
        <f t="shared" si="6"/>
        <v>50344</v>
      </c>
      <c r="C164" s="2">
        <f t="shared" si="8"/>
        <v>148</v>
      </c>
      <c r="D164" s="3">
        <f t="shared" si="7"/>
        <v>0</v>
      </c>
      <c r="E164" s="3">
        <f>ROUND(Table157810[[#This Row],[Beginning Balance]]*Table157810[[#This Row],[Monthly Interest Rate]],2)</f>
        <v>0</v>
      </c>
      <c r="F164" s="3">
        <f t="shared" si="9"/>
        <v>694</v>
      </c>
      <c r="G164" s="23">
        <f>IFERROR(IF($C$13="No","N/A",IF(Table157810[[#This Row],[Period]]=1,$C$6,PMT(InterestRate*AmortizationMultiplier/12,Table157810[[#This Row],[Am Thru]],-Table157810[[#This Row],[Beginning Balance]]))),0)</f>
        <v>0</v>
      </c>
      <c r="H164" s="3">
        <f>MAX(0,IF(C164=$C$4,D164,ROUND(IF($C$3="Fixed Principal",$C$6-Table157810[[#This Row],[Interest]],IF($C$3="Interest Only",Table157810[[#This Row],[Beginning Balance]]*ROUND(1-(1-IF($C$11="No",$E$8,1))^(1/12),6),MIN(IF($C$13="Yes",Table157810[[#This Row],[Payment Amount (Reamortized)]],$C$6)-Table157810[[#This Row],[Interest]],Table157810[[#This Row],[Beginning Balance]]))),2)))</f>
        <v>0</v>
      </c>
      <c r="I164" s="3">
        <f>_xlfn.SINGLE(IF($C$3="Line of Credit",0,ROUND(MAX(MIN(IF($C$10="No",$E$7,VLOOKUP(Table157810[[#This Row],[Period]],Forecast!$H$2:$L$1048576,4,FALSE))*Table157810[[#This Row],[Beginning Balance]],Table157810[[#This Row],[Beginning Balance]]-Table157810[[#This Row],[Principal]]),0),2)))</f>
        <v>0</v>
      </c>
      <c r="J164" s="3">
        <f>ROUND(MIN(Table157810[[#This Row],[Beginning Balance]]*IF($C$8="No",$E$3,VLOOKUP(Table157810[[#This Row],[Period]],Forecast!$H$2:$L$1048576,2,FALSE)),Table157810[[#This Row],[Beginning Balance]]-Table157810[[#This Row],[Principal]]-Table157810[[#This Row],[Prepayments]]),2)</f>
        <v>0</v>
      </c>
      <c r="K164" s="3">
        <f>ROUND(Table157810[[#This Row],[Defaulted Principal]]*IF($C$9="No",$E$4,VLOOKUP(Table157810[[#This Row],[Period]],Forecast!$H$2:$L$1048576,3,FALSE)),2)</f>
        <v>0</v>
      </c>
      <c r="L164" s="2">
        <f>Table157810[[#This Row],[Period]]+$E$9</f>
        <v>160</v>
      </c>
      <c r="M164" s="3">
        <f>Table157810[[#This Row],[Defaulted Principal]]-Table157810[[#This Row],[Estimated Loss]]</f>
        <v>0</v>
      </c>
      <c r="N164" s="3">
        <f>IFERROR(VLOOKUP(Table157810[[#This Row],[Period]],$L$16:$M$385,2,FALSE),0)</f>
        <v>0</v>
      </c>
      <c r="O164" s="3">
        <f>Table157810[[#This Row],[Beginning Balance]]-Table157810[[#This Row],[Principal]]-Table157810[[#This Row],[Prepayments]]-Table157810[[#This Row],[Defaulted Principal]]</f>
        <v>0</v>
      </c>
      <c r="P164" s="3">
        <f>Table157810[[#This Row],[Principal]]+Table157810[[#This Row],[Interest]]+Table157810[[#This Row],[Prepayments]]+Table157810[[#This Row],[RecoveredAmount]]</f>
        <v>0</v>
      </c>
      <c r="Q164" s="3">
        <f ca="1">ROUND(Table157810[[#This Row],[Cash Flow]]/((1+ActualRateToUse)^(IF(ISNUMBER(SEARCH("Actual",$C$7)),Table157810[[#This Row],[Running Total]]/365,Table157810[[#This Row],[Period]]/12))),2)</f>
        <v>0</v>
      </c>
      <c r="R164" s="2">
        <f>IF(MONTH(Table157810[[#This Row],[Date]])=2,28,DAY(DATE(YEAR(Table157810[[#This Row],[Date]]),MONTH(Table157810[[#This Row],[Date]])+1,1)-1))</f>
        <v>31</v>
      </c>
      <c r="S164" s="2">
        <f ca="1">SUM(OFFSET(Table157810[[#Headers],[Days in month]],1,0):Table157810[[#This Row],[Days in month]])</f>
        <v>4503</v>
      </c>
      <c r="T164" s="37">
        <f>InterestRate*AmortizationMultiplier*IF(ISNUMBER(SEARCH("Actual",$C$7)),Table157810[[#This Row],[Days in month]]/365,1/12)</f>
        <v>5.9839472222222214E-3</v>
      </c>
    </row>
    <row r="165" spans="2:20" x14ac:dyDescent="0.2">
      <c r="B165" s="1">
        <f t="shared" si="6"/>
        <v>50374</v>
      </c>
      <c r="C165" s="2">
        <f t="shared" si="8"/>
        <v>149</v>
      </c>
      <c r="D165" s="3">
        <f t="shared" si="7"/>
        <v>0</v>
      </c>
      <c r="E165" s="3">
        <f>ROUND(Table157810[[#This Row],[Beginning Balance]]*Table157810[[#This Row],[Monthly Interest Rate]],2)</f>
        <v>0</v>
      </c>
      <c r="F165" s="3">
        <f t="shared" si="9"/>
        <v>693</v>
      </c>
      <c r="G165" s="23">
        <f>IFERROR(IF($C$13="No","N/A",IF(Table157810[[#This Row],[Period]]=1,$C$6,PMT(InterestRate*AmortizationMultiplier/12,Table157810[[#This Row],[Am Thru]],-Table157810[[#This Row],[Beginning Balance]]))),0)</f>
        <v>0</v>
      </c>
      <c r="H165" s="3">
        <f>MAX(0,IF(C165=$C$4,D165,ROUND(IF($C$3="Fixed Principal",$C$6-Table157810[[#This Row],[Interest]],IF($C$3="Interest Only",Table157810[[#This Row],[Beginning Balance]]*ROUND(1-(1-IF($C$11="No",$E$8,1))^(1/12),6),MIN(IF($C$13="Yes",Table157810[[#This Row],[Payment Amount (Reamortized)]],$C$6)-Table157810[[#This Row],[Interest]],Table157810[[#This Row],[Beginning Balance]]))),2)))</f>
        <v>0</v>
      </c>
      <c r="I165" s="3">
        <f>_xlfn.SINGLE(IF($C$3="Line of Credit",0,ROUND(MAX(MIN(IF($C$10="No",$E$7,VLOOKUP(Table157810[[#This Row],[Period]],Forecast!$H$2:$L$1048576,4,FALSE))*Table157810[[#This Row],[Beginning Balance]],Table157810[[#This Row],[Beginning Balance]]-Table157810[[#This Row],[Principal]]),0),2)))</f>
        <v>0</v>
      </c>
      <c r="J165" s="3">
        <f>ROUND(MIN(Table157810[[#This Row],[Beginning Balance]]*IF($C$8="No",$E$3,VLOOKUP(Table157810[[#This Row],[Period]],Forecast!$H$2:$L$1048576,2,FALSE)),Table157810[[#This Row],[Beginning Balance]]-Table157810[[#This Row],[Principal]]-Table157810[[#This Row],[Prepayments]]),2)</f>
        <v>0</v>
      </c>
      <c r="K165" s="3">
        <f>ROUND(Table157810[[#This Row],[Defaulted Principal]]*IF($C$9="No",$E$4,VLOOKUP(Table157810[[#This Row],[Period]],Forecast!$H$2:$L$1048576,3,FALSE)),2)</f>
        <v>0</v>
      </c>
      <c r="L165" s="2">
        <f>Table157810[[#This Row],[Period]]+$E$9</f>
        <v>161</v>
      </c>
      <c r="M165" s="3">
        <f>Table157810[[#This Row],[Defaulted Principal]]-Table157810[[#This Row],[Estimated Loss]]</f>
        <v>0</v>
      </c>
      <c r="N165" s="3">
        <f>IFERROR(VLOOKUP(Table157810[[#This Row],[Period]],$L$16:$M$385,2,FALSE),0)</f>
        <v>0</v>
      </c>
      <c r="O165" s="3">
        <f>Table157810[[#This Row],[Beginning Balance]]-Table157810[[#This Row],[Principal]]-Table157810[[#This Row],[Prepayments]]-Table157810[[#This Row],[Defaulted Principal]]</f>
        <v>0</v>
      </c>
      <c r="P165" s="3">
        <f>Table157810[[#This Row],[Principal]]+Table157810[[#This Row],[Interest]]+Table157810[[#This Row],[Prepayments]]+Table157810[[#This Row],[RecoveredAmount]]</f>
        <v>0</v>
      </c>
      <c r="Q165" s="3">
        <f ca="1">ROUND(Table157810[[#This Row],[Cash Flow]]/((1+ActualRateToUse)^(IF(ISNUMBER(SEARCH("Actual",$C$7)),Table157810[[#This Row],[Running Total]]/365,Table157810[[#This Row],[Period]]/12))),2)</f>
        <v>0</v>
      </c>
      <c r="R165" s="2">
        <f>IF(MONTH(Table157810[[#This Row],[Date]])=2,28,DAY(DATE(YEAR(Table157810[[#This Row],[Date]]),MONTH(Table157810[[#This Row],[Date]])+1,1)-1))</f>
        <v>30</v>
      </c>
      <c r="S165" s="2">
        <f ca="1">SUM(OFFSET(Table157810[[#Headers],[Days in month]],1,0):Table157810[[#This Row],[Days in month]])</f>
        <v>4533</v>
      </c>
      <c r="T165" s="37">
        <f>InterestRate*AmortizationMultiplier*IF(ISNUMBER(SEARCH("Actual",$C$7)),Table157810[[#This Row],[Days in month]]/365,1/12)</f>
        <v>5.7909166666666656E-3</v>
      </c>
    </row>
    <row r="166" spans="2:20" x14ac:dyDescent="0.2">
      <c r="B166" s="1">
        <f t="shared" si="6"/>
        <v>50405</v>
      </c>
      <c r="C166" s="2">
        <f t="shared" si="8"/>
        <v>150</v>
      </c>
      <c r="D166" s="3">
        <f t="shared" si="7"/>
        <v>0</v>
      </c>
      <c r="E166" s="3">
        <f>ROUND(Table157810[[#This Row],[Beginning Balance]]*Table157810[[#This Row],[Monthly Interest Rate]],2)</f>
        <v>0</v>
      </c>
      <c r="F166" s="3">
        <f t="shared" si="9"/>
        <v>692</v>
      </c>
      <c r="G166" s="23">
        <f>IFERROR(IF($C$13="No","N/A",IF(Table157810[[#This Row],[Period]]=1,$C$6,PMT(InterestRate*AmortizationMultiplier/12,Table157810[[#This Row],[Am Thru]],-Table157810[[#This Row],[Beginning Balance]]))),0)</f>
        <v>0</v>
      </c>
      <c r="H166" s="3">
        <f>MAX(0,IF(C166=$C$4,D166,ROUND(IF($C$3="Fixed Principal",$C$6-Table157810[[#This Row],[Interest]],IF($C$3="Interest Only",Table157810[[#This Row],[Beginning Balance]]*ROUND(1-(1-IF($C$11="No",$E$8,1))^(1/12),6),MIN(IF($C$13="Yes",Table157810[[#This Row],[Payment Amount (Reamortized)]],$C$6)-Table157810[[#This Row],[Interest]],Table157810[[#This Row],[Beginning Balance]]))),2)))</f>
        <v>0</v>
      </c>
      <c r="I166" s="3">
        <f>_xlfn.SINGLE(IF($C$3="Line of Credit",0,ROUND(MAX(MIN(IF($C$10="No",$E$7,VLOOKUP(Table157810[[#This Row],[Period]],Forecast!$H$2:$L$1048576,4,FALSE))*Table157810[[#This Row],[Beginning Balance]],Table157810[[#This Row],[Beginning Balance]]-Table157810[[#This Row],[Principal]]),0),2)))</f>
        <v>0</v>
      </c>
      <c r="J166" s="3">
        <f>ROUND(MIN(Table157810[[#This Row],[Beginning Balance]]*IF($C$8="No",$E$3,VLOOKUP(Table157810[[#This Row],[Period]],Forecast!$H$2:$L$1048576,2,FALSE)),Table157810[[#This Row],[Beginning Balance]]-Table157810[[#This Row],[Principal]]-Table157810[[#This Row],[Prepayments]]),2)</f>
        <v>0</v>
      </c>
      <c r="K166" s="3">
        <f>ROUND(Table157810[[#This Row],[Defaulted Principal]]*IF($C$9="No",$E$4,VLOOKUP(Table157810[[#This Row],[Period]],Forecast!$H$2:$L$1048576,3,FALSE)),2)</f>
        <v>0</v>
      </c>
      <c r="L166" s="2">
        <f>Table157810[[#This Row],[Period]]+$E$9</f>
        <v>162</v>
      </c>
      <c r="M166" s="3">
        <f>Table157810[[#This Row],[Defaulted Principal]]-Table157810[[#This Row],[Estimated Loss]]</f>
        <v>0</v>
      </c>
      <c r="N166" s="3">
        <f>IFERROR(VLOOKUP(Table157810[[#This Row],[Period]],$L$16:$M$385,2,FALSE),0)</f>
        <v>0</v>
      </c>
      <c r="O166" s="3">
        <f>Table157810[[#This Row],[Beginning Balance]]-Table157810[[#This Row],[Principal]]-Table157810[[#This Row],[Prepayments]]-Table157810[[#This Row],[Defaulted Principal]]</f>
        <v>0</v>
      </c>
      <c r="P166" s="3">
        <f>Table157810[[#This Row],[Principal]]+Table157810[[#This Row],[Interest]]+Table157810[[#This Row],[Prepayments]]+Table157810[[#This Row],[RecoveredAmount]]</f>
        <v>0</v>
      </c>
      <c r="Q166" s="3">
        <f ca="1">ROUND(Table157810[[#This Row],[Cash Flow]]/((1+ActualRateToUse)^(IF(ISNUMBER(SEARCH("Actual",$C$7)),Table157810[[#This Row],[Running Total]]/365,Table157810[[#This Row],[Period]]/12))),2)</f>
        <v>0</v>
      </c>
      <c r="R166" s="2">
        <f>IF(MONTH(Table157810[[#This Row],[Date]])=2,28,DAY(DATE(YEAR(Table157810[[#This Row],[Date]]),MONTH(Table157810[[#This Row],[Date]])+1,1)-1))</f>
        <v>31</v>
      </c>
      <c r="S166" s="2">
        <f ca="1">SUM(OFFSET(Table157810[[#Headers],[Days in month]],1,0):Table157810[[#This Row],[Days in month]])</f>
        <v>4564</v>
      </c>
      <c r="T166" s="37">
        <f>InterestRate*AmortizationMultiplier*IF(ISNUMBER(SEARCH("Actual",$C$7)),Table157810[[#This Row],[Days in month]]/365,1/12)</f>
        <v>5.9839472222222214E-3</v>
      </c>
    </row>
    <row r="167" spans="2:20" x14ac:dyDescent="0.2">
      <c r="B167" s="1">
        <f t="shared" si="6"/>
        <v>50436</v>
      </c>
      <c r="C167" s="2">
        <f t="shared" si="8"/>
        <v>151</v>
      </c>
      <c r="D167" s="3">
        <f t="shared" si="7"/>
        <v>0</v>
      </c>
      <c r="E167" s="3">
        <f>ROUND(Table157810[[#This Row],[Beginning Balance]]*Table157810[[#This Row],[Monthly Interest Rate]],2)</f>
        <v>0</v>
      </c>
      <c r="F167" s="3">
        <f t="shared" si="9"/>
        <v>691</v>
      </c>
      <c r="G167" s="23">
        <f>IFERROR(IF($C$13="No","N/A",IF(Table157810[[#This Row],[Period]]=1,$C$6,PMT(InterestRate*AmortizationMultiplier/12,Table157810[[#This Row],[Am Thru]],-Table157810[[#This Row],[Beginning Balance]]))),0)</f>
        <v>0</v>
      </c>
      <c r="H167" s="3">
        <f>MAX(0,IF(C167=$C$4,D167,ROUND(IF($C$3="Fixed Principal",$C$6-Table157810[[#This Row],[Interest]],IF($C$3="Interest Only",Table157810[[#This Row],[Beginning Balance]]*ROUND(1-(1-IF($C$11="No",$E$8,1))^(1/12),6),MIN(IF($C$13="Yes",Table157810[[#This Row],[Payment Amount (Reamortized)]],$C$6)-Table157810[[#This Row],[Interest]],Table157810[[#This Row],[Beginning Balance]]))),2)))</f>
        <v>0</v>
      </c>
      <c r="I167" s="3">
        <f>_xlfn.SINGLE(IF($C$3="Line of Credit",0,ROUND(MAX(MIN(IF($C$10="No",$E$7,VLOOKUP(Table157810[[#This Row],[Period]],Forecast!$H$2:$L$1048576,4,FALSE))*Table157810[[#This Row],[Beginning Balance]],Table157810[[#This Row],[Beginning Balance]]-Table157810[[#This Row],[Principal]]),0),2)))</f>
        <v>0</v>
      </c>
      <c r="J167" s="3">
        <f>ROUND(MIN(Table157810[[#This Row],[Beginning Balance]]*IF($C$8="No",$E$3,VLOOKUP(Table157810[[#This Row],[Period]],Forecast!$H$2:$L$1048576,2,FALSE)),Table157810[[#This Row],[Beginning Balance]]-Table157810[[#This Row],[Principal]]-Table157810[[#This Row],[Prepayments]]),2)</f>
        <v>0</v>
      </c>
      <c r="K167" s="3">
        <f>ROUND(Table157810[[#This Row],[Defaulted Principal]]*IF($C$9="No",$E$4,VLOOKUP(Table157810[[#This Row],[Period]],Forecast!$H$2:$L$1048576,3,FALSE)),2)</f>
        <v>0</v>
      </c>
      <c r="L167" s="2">
        <f>Table157810[[#This Row],[Period]]+$E$9</f>
        <v>163</v>
      </c>
      <c r="M167" s="3">
        <f>Table157810[[#This Row],[Defaulted Principal]]-Table157810[[#This Row],[Estimated Loss]]</f>
        <v>0</v>
      </c>
      <c r="N167" s="3">
        <f>IFERROR(VLOOKUP(Table157810[[#This Row],[Period]],$L$16:$M$385,2,FALSE),0)</f>
        <v>0</v>
      </c>
      <c r="O167" s="3">
        <f>Table157810[[#This Row],[Beginning Balance]]-Table157810[[#This Row],[Principal]]-Table157810[[#This Row],[Prepayments]]-Table157810[[#This Row],[Defaulted Principal]]</f>
        <v>0</v>
      </c>
      <c r="P167" s="3">
        <f>Table157810[[#This Row],[Principal]]+Table157810[[#This Row],[Interest]]+Table157810[[#This Row],[Prepayments]]+Table157810[[#This Row],[RecoveredAmount]]</f>
        <v>0</v>
      </c>
      <c r="Q167" s="3">
        <f ca="1">ROUND(Table157810[[#This Row],[Cash Flow]]/((1+ActualRateToUse)^(IF(ISNUMBER(SEARCH("Actual",$C$7)),Table157810[[#This Row],[Running Total]]/365,Table157810[[#This Row],[Period]]/12))),2)</f>
        <v>0</v>
      </c>
      <c r="R167" s="2">
        <f>IF(MONTH(Table157810[[#This Row],[Date]])=2,28,DAY(DATE(YEAR(Table157810[[#This Row],[Date]]),MONTH(Table157810[[#This Row],[Date]])+1,1)-1))</f>
        <v>31</v>
      </c>
      <c r="S167" s="2">
        <f ca="1">SUM(OFFSET(Table157810[[#Headers],[Days in month]],1,0):Table157810[[#This Row],[Days in month]])</f>
        <v>4595</v>
      </c>
      <c r="T167" s="37">
        <f>InterestRate*AmortizationMultiplier*IF(ISNUMBER(SEARCH("Actual",$C$7)),Table157810[[#This Row],[Days in month]]/365,1/12)</f>
        <v>5.9839472222222214E-3</v>
      </c>
    </row>
    <row r="168" spans="2:20" x14ac:dyDescent="0.2">
      <c r="B168" s="1">
        <f t="shared" si="6"/>
        <v>50464</v>
      </c>
      <c r="C168" s="2">
        <f t="shared" si="8"/>
        <v>152</v>
      </c>
      <c r="D168" s="3">
        <f t="shared" si="7"/>
        <v>0</v>
      </c>
      <c r="E168" s="3">
        <f>ROUND(Table157810[[#This Row],[Beginning Balance]]*Table157810[[#This Row],[Monthly Interest Rate]],2)</f>
        <v>0</v>
      </c>
      <c r="F168" s="3">
        <f t="shared" si="9"/>
        <v>690</v>
      </c>
      <c r="G168" s="23">
        <f>IFERROR(IF($C$13="No","N/A",IF(Table157810[[#This Row],[Period]]=1,$C$6,PMT(InterestRate*AmortizationMultiplier/12,Table157810[[#This Row],[Am Thru]],-Table157810[[#This Row],[Beginning Balance]]))),0)</f>
        <v>0</v>
      </c>
      <c r="H168" s="3">
        <f>MAX(0,IF(C168=$C$4,D168,ROUND(IF($C$3="Fixed Principal",$C$6-Table157810[[#This Row],[Interest]],IF($C$3="Interest Only",Table157810[[#This Row],[Beginning Balance]]*ROUND(1-(1-IF($C$11="No",$E$8,1))^(1/12),6),MIN(IF($C$13="Yes",Table157810[[#This Row],[Payment Amount (Reamortized)]],$C$6)-Table157810[[#This Row],[Interest]],Table157810[[#This Row],[Beginning Balance]]))),2)))</f>
        <v>0</v>
      </c>
      <c r="I168" s="3">
        <f>_xlfn.SINGLE(IF($C$3="Line of Credit",0,ROUND(MAX(MIN(IF($C$10="No",$E$7,VLOOKUP(Table157810[[#This Row],[Period]],Forecast!$H$2:$L$1048576,4,FALSE))*Table157810[[#This Row],[Beginning Balance]],Table157810[[#This Row],[Beginning Balance]]-Table157810[[#This Row],[Principal]]),0),2)))</f>
        <v>0</v>
      </c>
      <c r="J168" s="3">
        <f>ROUND(MIN(Table157810[[#This Row],[Beginning Balance]]*IF($C$8="No",$E$3,VLOOKUP(Table157810[[#This Row],[Period]],Forecast!$H$2:$L$1048576,2,FALSE)),Table157810[[#This Row],[Beginning Balance]]-Table157810[[#This Row],[Principal]]-Table157810[[#This Row],[Prepayments]]),2)</f>
        <v>0</v>
      </c>
      <c r="K168" s="3">
        <f>ROUND(Table157810[[#This Row],[Defaulted Principal]]*IF($C$9="No",$E$4,VLOOKUP(Table157810[[#This Row],[Period]],Forecast!$H$2:$L$1048576,3,FALSE)),2)</f>
        <v>0</v>
      </c>
      <c r="L168" s="2">
        <f>Table157810[[#This Row],[Period]]+$E$9</f>
        <v>164</v>
      </c>
      <c r="M168" s="3">
        <f>Table157810[[#This Row],[Defaulted Principal]]-Table157810[[#This Row],[Estimated Loss]]</f>
        <v>0</v>
      </c>
      <c r="N168" s="3">
        <f>IFERROR(VLOOKUP(Table157810[[#This Row],[Period]],$L$16:$M$385,2,FALSE),0)</f>
        <v>0</v>
      </c>
      <c r="O168" s="3">
        <f>Table157810[[#This Row],[Beginning Balance]]-Table157810[[#This Row],[Principal]]-Table157810[[#This Row],[Prepayments]]-Table157810[[#This Row],[Defaulted Principal]]</f>
        <v>0</v>
      </c>
      <c r="P168" s="3">
        <f>Table157810[[#This Row],[Principal]]+Table157810[[#This Row],[Interest]]+Table157810[[#This Row],[Prepayments]]+Table157810[[#This Row],[RecoveredAmount]]</f>
        <v>0</v>
      </c>
      <c r="Q168" s="3">
        <f ca="1">ROUND(Table157810[[#This Row],[Cash Flow]]/((1+ActualRateToUse)^(IF(ISNUMBER(SEARCH("Actual",$C$7)),Table157810[[#This Row],[Running Total]]/365,Table157810[[#This Row],[Period]]/12))),2)</f>
        <v>0</v>
      </c>
      <c r="R168" s="2">
        <f>IF(MONTH(Table157810[[#This Row],[Date]])=2,28,DAY(DATE(YEAR(Table157810[[#This Row],[Date]]),MONTH(Table157810[[#This Row],[Date]])+1,1)-1))</f>
        <v>28</v>
      </c>
      <c r="S168" s="2">
        <f ca="1">SUM(OFFSET(Table157810[[#Headers],[Days in month]],1,0):Table157810[[#This Row],[Days in month]])</f>
        <v>4623</v>
      </c>
      <c r="T168" s="37">
        <f>InterestRate*AmortizationMultiplier*IF(ISNUMBER(SEARCH("Actual",$C$7)),Table157810[[#This Row],[Days in month]]/365,1/12)</f>
        <v>5.4048555555555548E-3</v>
      </c>
    </row>
    <row r="169" spans="2:20" x14ac:dyDescent="0.2">
      <c r="B169" s="1">
        <f t="shared" si="6"/>
        <v>50495</v>
      </c>
      <c r="C169" s="2">
        <f t="shared" si="8"/>
        <v>153</v>
      </c>
      <c r="D169" s="3">
        <f t="shared" si="7"/>
        <v>0</v>
      </c>
      <c r="E169" s="3">
        <f>ROUND(Table157810[[#This Row],[Beginning Balance]]*Table157810[[#This Row],[Monthly Interest Rate]],2)</f>
        <v>0</v>
      </c>
      <c r="F169" s="3">
        <f t="shared" si="9"/>
        <v>689</v>
      </c>
      <c r="G169" s="23">
        <f>IFERROR(IF($C$13="No","N/A",IF(Table157810[[#This Row],[Period]]=1,$C$6,PMT(InterestRate*AmortizationMultiplier/12,Table157810[[#This Row],[Am Thru]],-Table157810[[#This Row],[Beginning Balance]]))),0)</f>
        <v>0</v>
      </c>
      <c r="H169" s="3">
        <f>MAX(0,IF(C169=$C$4,D169,ROUND(IF($C$3="Fixed Principal",$C$6-Table157810[[#This Row],[Interest]],IF($C$3="Interest Only",Table157810[[#This Row],[Beginning Balance]]*ROUND(1-(1-IF($C$11="No",$E$8,1))^(1/12),6),MIN(IF($C$13="Yes",Table157810[[#This Row],[Payment Amount (Reamortized)]],$C$6)-Table157810[[#This Row],[Interest]],Table157810[[#This Row],[Beginning Balance]]))),2)))</f>
        <v>0</v>
      </c>
      <c r="I169" s="3">
        <f>_xlfn.SINGLE(IF($C$3="Line of Credit",0,ROUND(MAX(MIN(IF($C$10="No",$E$7,VLOOKUP(Table157810[[#This Row],[Period]],Forecast!$H$2:$L$1048576,4,FALSE))*Table157810[[#This Row],[Beginning Balance]],Table157810[[#This Row],[Beginning Balance]]-Table157810[[#This Row],[Principal]]),0),2)))</f>
        <v>0</v>
      </c>
      <c r="J169" s="3">
        <f>ROUND(MIN(Table157810[[#This Row],[Beginning Balance]]*IF($C$8="No",$E$3,VLOOKUP(Table157810[[#This Row],[Period]],Forecast!$H$2:$L$1048576,2,FALSE)),Table157810[[#This Row],[Beginning Balance]]-Table157810[[#This Row],[Principal]]-Table157810[[#This Row],[Prepayments]]),2)</f>
        <v>0</v>
      </c>
      <c r="K169" s="3">
        <f>ROUND(Table157810[[#This Row],[Defaulted Principal]]*IF($C$9="No",$E$4,VLOOKUP(Table157810[[#This Row],[Period]],Forecast!$H$2:$L$1048576,3,FALSE)),2)</f>
        <v>0</v>
      </c>
      <c r="L169" s="2">
        <f>Table157810[[#This Row],[Period]]+$E$9</f>
        <v>165</v>
      </c>
      <c r="M169" s="3">
        <f>Table157810[[#This Row],[Defaulted Principal]]-Table157810[[#This Row],[Estimated Loss]]</f>
        <v>0</v>
      </c>
      <c r="N169" s="3">
        <f>IFERROR(VLOOKUP(Table157810[[#This Row],[Period]],$L$16:$M$385,2,FALSE),0)</f>
        <v>0</v>
      </c>
      <c r="O169" s="3">
        <f>Table157810[[#This Row],[Beginning Balance]]-Table157810[[#This Row],[Principal]]-Table157810[[#This Row],[Prepayments]]-Table157810[[#This Row],[Defaulted Principal]]</f>
        <v>0</v>
      </c>
      <c r="P169" s="3">
        <f>Table157810[[#This Row],[Principal]]+Table157810[[#This Row],[Interest]]+Table157810[[#This Row],[Prepayments]]+Table157810[[#This Row],[RecoveredAmount]]</f>
        <v>0</v>
      </c>
      <c r="Q169" s="3">
        <f ca="1">ROUND(Table157810[[#This Row],[Cash Flow]]/((1+ActualRateToUse)^(IF(ISNUMBER(SEARCH("Actual",$C$7)),Table157810[[#This Row],[Running Total]]/365,Table157810[[#This Row],[Period]]/12))),2)</f>
        <v>0</v>
      </c>
      <c r="R169" s="2">
        <f>IF(MONTH(Table157810[[#This Row],[Date]])=2,28,DAY(DATE(YEAR(Table157810[[#This Row],[Date]]),MONTH(Table157810[[#This Row],[Date]])+1,1)-1))</f>
        <v>31</v>
      </c>
      <c r="S169" s="2">
        <f ca="1">SUM(OFFSET(Table157810[[#Headers],[Days in month]],1,0):Table157810[[#This Row],[Days in month]])</f>
        <v>4654</v>
      </c>
      <c r="T169" s="37">
        <f>InterestRate*AmortizationMultiplier*IF(ISNUMBER(SEARCH("Actual",$C$7)),Table157810[[#This Row],[Days in month]]/365,1/12)</f>
        <v>5.9839472222222214E-3</v>
      </c>
    </row>
    <row r="170" spans="2:20" x14ac:dyDescent="0.2">
      <c r="B170" s="1">
        <f t="shared" si="6"/>
        <v>50525</v>
      </c>
      <c r="C170" s="2">
        <f t="shared" si="8"/>
        <v>154</v>
      </c>
      <c r="D170" s="3">
        <f t="shared" si="7"/>
        <v>0</v>
      </c>
      <c r="E170" s="3">
        <f>ROUND(Table157810[[#This Row],[Beginning Balance]]*Table157810[[#This Row],[Monthly Interest Rate]],2)</f>
        <v>0</v>
      </c>
      <c r="F170" s="3">
        <f t="shared" si="9"/>
        <v>688</v>
      </c>
      <c r="G170" s="23">
        <f>IFERROR(IF($C$13="No","N/A",IF(Table157810[[#This Row],[Period]]=1,$C$6,PMT(InterestRate*AmortizationMultiplier/12,Table157810[[#This Row],[Am Thru]],-Table157810[[#This Row],[Beginning Balance]]))),0)</f>
        <v>0</v>
      </c>
      <c r="H170" s="3">
        <f>MAX(0,IF(C170=$C$4,D170,ROUND(IF($C$3="Fixed Principal",$C$6-Table157810[[#This Row],[Interest]],IF($C$3="Interest Only",Table157810[[#This Row],[Beginning Balance]]*ROUND(1-(1-IF($C$11="No",$E$8,1))^(1/12),6),MIN(IF($C$13="Yes",Table157810[[#This Row],[Payment Amount (Reamortized)]],$C$6)-Table157810[[#This Row],[Interest]],Table157810[[#This Row],[Beginning Balance]]))),2)))</f>
        <v>0</v>
      </c>
      <c r="I170" s="3">
        <f>_xlfn.SINGLE(IF($C$3="Line of Credit",0,ROUND(MAX(MIN(IF($C$10="No",$E$7,VLOOKUP(Table157810[[#This Row],[Period]],Forecast!$H$2:$L$1048576,4,FALSE))*Table157810[[#This Row],[Beginning Balance]],Table157810[[#This Row],[Beginning Balance]]-Table157810[[#This Row],[Principal]]),0),2)))</f>
        <v>0</v>
      </c>
      <c r="J170" s="3">
        <f>ROUND(MIN(Table157810[[#This Row],[Beginning Balance]]*IF($C$8="No",$E$3,VLOOKUP(Table157810[[#This Row],[Period]],Forecast!$H$2:$L$1048576,2,FALSE)),Table157810[[#This Row],[Beginning Balance]]-Table157810[[#This Row],[Principal]]-Table157810[[#This Row],[Prepayments]]),2)</f>
        <v>0</v>
      </c>
      <c r="K170" s="3">
        <f>ROUND(Table157810[[#This Row],[Defaulted Principal]]*IF($C$9="No",$E$4,VLOOKUP(Table157810[[#This Row],[Period]],Forecast!$H$2:$L$1048576,3,FALSE)),2)</f>
        <v>0</v>
      </c>
      <c r="L170" s="2">
        <f>Table157810[[#This Row],[Period]]+$E$9</f>
        <v>166</v>
      </c>
      <c r="M170" s="3">
        <f>Table157810[[#This Row],[Defaulted Principal]]-Table157810[[#This Row],[Estimated Loss]]</f>
        <v>0</v>
      </c>
      <c r="N170" s="3">
        <f>IFERROR(VLOOKUP(Table157810[[#This Row],[Period]],$L$16:$M$385,2,FALSE),0)</f>
        <v>0</v>
      </c>
      <c r="O170" s="3">
        <f>Table157810[[#This Row],[Beginning Balance]]-Table157810[[#This Row],[Principal]]-Table157810[[#This Row],[Prepayments]]-Table157810[[#This Row],[Defaulted Principal]]</f>
        <v>0</v>
      </c>
      <c r="P170" s="3">
        <f>Table157810[[#This Row],[Principal]]+Table157810[[#This Row],[Interest]]+Table157810[[#This Row],[Prepayments]]+Table157810[[#This Row],[RecoveredAmount]]</f>
        <v>0</v>
      </c>
      <c r="Q170" s="3">
        <f ca="1">ROUND(Table157810[[#This Row],[Cash Flow]]/((1+ActualRateToUse)^(IF(ISNUMBER(SEARCH("Actual",$C$7)),Table157810[[#This Row],[Running Total]]/365,Table157810[[#This Row],[Period]]/12))),2)</f>
        <v>0</v>
      </c>
      <c r="R170" s="2">
        <f>IF(MONTH(Table157810[[#This Row],[Date]])=2,28,DAY(DATE(YEAR(Table157810[[#This Row],[Date]]),MONTH(Table157810[[#This Row],[Date]])+1,1)-1))</f>
        <v>30</v>
      </c>
      <c r="S170" s="2">
        <f ca="1">SUM(OFFSET(Table157810[[#Headers],[Days in month]],1,0):Table157810[[#This Row],[Days in month]])</f>
        <v>4684</v>
      </c>
      <c r="T170" s="37">
        <f>InterestRate*AmortizationMultiplier*IF(ISNUMBER(SEARCH("Actual",$C$7)),Table157810[[#This Row],[Days in month]]/365,1/12)</f>
        <v>5.7909166666666656E-3</v>
      </c>
    </row>
    <row r="171" spans="2:20" x14ac:dyDescent="0.2">
      <c r="B171" s="1">
        <f t="shared" si="6"/>
        <v>50556</v>
      </c>
      <c r="C171" s="2">
        <f t="shared" si="8"/>
        <v>155</v>
      </c>
      <c r="D171" s="3">
        <f t="shared" si="7"/>
        <v>0</v>
      </c>
      <c r="E171" s="3">
        <f>ROUND(Table157810[[#This Row],[Beginning Balance]]*Table157810[[#This Row],[Monthly Interest Rate]],2)</f>
        <v>0</v>
      </c>
      <c r="F171" s="3">
        <f t="shared" si="9"/>
        <v>687</v>
      </c>
      <c r="G171" s="23">
        <f>IFERROR(IF($C$13="No","N/A",IF(Table157810[[#This Row],[Period]]=1,$C$6,PMT(InterestRate*AmortizationMultiplier/12,Table157810[[#This Row],[Am Thru]],-Table157810[[#This Row],[Beginning Balance]]))),0)</f>
        <v>0</v>
      </c>
      <c r="H171" s="3">
        <f>MAX(0,IF(C171=$C$4,D171,ROUND(IF($C$3="Fixed Principal",$C$6-Table157810[[#This Row],[Interest]],IF($C$3="Interest Only",Table157810[[#This Row],[Beginning Balance]]*ROUND(1-(1-IF($C$11="No",$E$8,1))^(1/12),6),MIN(IF($C$13="Yes",Table157810[[#This Row],[Payment Amount (Reamortized)]],$C$6)-Table157810[[#This Row],[Interest]],Table157810[[#This Row],[Beginning Balance]]))),2)))</f>
        <v>0</v>
      </c>
      <c r="I171" s="3">
        <f>_xlfn.SINGLE(IF($C$3="Line of Credit",0,ROUND(MAX(MIN(IF($C$10="No",$E$7,VLOOKUP(Table157810[[#This Row],[Period]],Forecast!$H$2:$L$1048576,4,FALSE))*Table157810[[#This Row],[Beginning Balance]],Table157810[[#This Row],[Beginning Balance]]-Table157810[[#This Row],[Principal]]),0),2)))</f>
        <v>0</v>
      </c>
      <c r="J171" s="3">
        <f>ROUND(MIN(Table157810[[#This Row],[Beginning Balance]]*IF($C$8="No",$E$3,VLOOKUP(Table157810[[#This Row],[Period]],Forecast!$H$2:$L$1048576,2,FALSE)),Table157810[[#This Row],[Beginning Balance]]-Table157810[[#This Row],[Principal]]-Table157810[[#This Row],[Prepayments]]),2)</f>
        <v>0</v>
      </c>
      <c r="K171" s="3">
        <f>ROUND(Table157810[[#This Row],[Defaulted Principal]]*IF($C$9="No",$E$4,VLOOKUP(Table157810[[#This Row],[Period]],Forecast!$H$2:$L$1048576,3,FALSE)),2)</f>
        <v>0</v>
      </c>
      <c r="L171" s="2">
        <f>Table157810[[#This Row],[Period]]+$E$9</f>
        <v>167</v>
      </c>
      <c r="M171" s="3">
        <f>Table157810[[#This Row],[Defaulted Principal]]-Table157810[[#This Row],[Estimated Loss]]</f>
        <v>0</v>
      </c>
      <c r="N171" s="3">
        <f>IFERROR(VLOOKUP(Table157810[[#This Row],[Period]],$L$16:$M$385,2,FALSE),0)</f>
        <v>0</v>
      </c>
      <c r="O171" s="3">
        <f>Table157810[[#This Row],[Beginning Balance]]-Table157810[[#This Row],[Principal]]-Table157810[[#This Row],[Prepayments]]-Table157810[[#This Row],[Defaulted Principal]]</f>
        <v>0</v>
      </c>
      <c r="P171" s="3">
        <f>Table157810[[#This Row],[Principal]]+Table157810[[#This Row],[Interest]]+Table157810[[#This Row],[Prepayments]]+Table157810[[#This Row],[RecoveredAmount]]</f>
        <v>0</v>
      </c>
      <c r="Q171" s="3">
        <f ca="1">ROUND(Table157810[[#This Row],[Cash Flow]]/((1+ActualRateToUse)^(IF(ISNUMBER(SEARCH("Actual",$C$7)),Table157810[[#This Row],[Running Total]]/365,Table157810[[#This Row],[Period]]/12))),2)</f>
        <v>0</v>
      </c>
      <c r="R171" s="2">
        <f>IF(MONTH(Table157810[[#This Row],[Date]])=2,28,DAY(DATE(YEAR(Table157810[[#This Row],[Date]]),MONTH(Table157810[[#This Row],[Date]])+1,1)-1))</f>
        <v>31</v>
      </c>
      <c r="S171" s="2">
        <f ca="1">SUM(OFFSET(Table157810[[#Headers],[Days in month]],1,0):Table157810[[#This Row],[Days in month]])</f>
        <v>4715</v>
      </c>
      <c r="T171" s="37">
        <f>InterestRate*AmortizationMultiplier*IF(ISNUMBER(SEARCH("Actual",$C$7)),Table157810[[#This Row],[Days in month]]/365,1/12)</f>
        <v>5.9839472222222214E-3</v>
      </c>
    </row>
    <row r="172" spans="2:20" x14ac:dyDescent="0.2">
      <c r="B172" s="1">
        <f t="shared" si="6"/>
        <v>50586</v>
      </c>
      <c r="C172" s="2">
        <f t="shared" si="8"/>
        <v>156</v>
      </c>
      <c r="D172" s="3">
        <f t="shared" si="7"/>
        <v>0</v>
      </c>
      <c r="E172" s="3">
        <f>ROUND(Table157810[[#This Row],[Beginning Balance]]*Table157810[[#This Row],[Monthly Interest Rate]],2)</f>
        <v>0</v>
      </c>
      <c r="F172" s="3">
        <f t="shared" si="9"/>
        <v>686</v>
      </c>
      <c r="G172" s="23">
        <f>IFERROR(IF($C$13="No","N/A",IF(Table157810[[#This Row],[Period]]=1,$C$6,PMT(InterestRate*AmortizationMultiplier/12,Table157810[[#This Row],[Am Thru]],-Table157810[[#This Row],[Beginning Balance]]))),0)</f>
        <v>0</v>
      </c>
      <c r="H172" s="3">
        <f>MAX(0,IF(C172=$C$4,D172,ROUND(IF($C$3="Fixed Principal",$C$6-Table157810[[#This Row],[Interest]],IF($C$3="Interest Only",Table157810[[#This Row],[Beginning Balance]]*ROUND(1-(1-IF($C$11="No",$E$8,1))^(1/12),6),MIN(IF($C$13="Yes",Table157810[[#This Row],[Payment Amount (Reamortized)]],$C$6)-Table157810[[#This Row],[Interest]],Table157810[[#This Row],[Beginning Balance]]))),2)))</f>
        <v>0</v>
      </c>
      <c r="I172" s="3">
        <f>_xlfn.SINGLE(IF($C$3="Line of Credit",0,ROUND(MAX(MIN(IF($C$10="No",$E$7,VLOOKUP(Table157810[[#This Row],[Period]],Forecast!$H$2:$L$1048576,4,FALSE))*Table157810[[#This Row],[Beginning Balance]],Table157810[[#This Row],[Beginning Balance]]-Table157810[[#This Row],[Principal]]),0),2)))</f>
        <v>0</v>
      </c>
      <c r="J172" s="3">
        <f>ROUND(MIN(Table157810[[#This Row],[Beginning Balance]]*IF($C$8="No",$E$3,VLOOKUP(Table157810[[#This Row],[Period]],Forecast!$H$2:$L$1048576,2,FALSE)),Table157810[[#This Row],[Beginning Balance]]-Table157810[[#This Row],[Principal]]-Table157810[[#This Row],[Prepayments]]),2)</f>
        <v>0</v>
      </c>
      <c r="K172" s="3">
        <f>ROUND(Table157810[[#This Row],[Defaulted Principal]]*IF($C$9="No",$E$4,VLOOKUP(Table157810[[#This Row],[Period]],Forecast!$H$2:$L$1048576,3,FALSE)),2)</f>
        <v>0</v>
      </c>
      <c r="L172" s="2">
        <f>Table157810[[#This Row],[Period]]+$E$9</f>
        <v>168</v>
      </c>
      <c r="M172" s="3">
        <f>Table157810[[#This Row],[Defaulted Principal]]-Table157810[[#This Row],[Estimated Loss]]</f>
        <v>0</v>
      </c>
      <c r="N172" s="3">
        <f>IFERROR(VLOOKUP(Table157810[[#This Row],[Period]],$L$16:$M$385,2,FALSE),0)</f>
        <v>0</v>
      </c>
      <c r="O172" s="3">
        <f>Table157810[[#This Row],[Beginning Balance]]-Table157810[[#This Row],[Principal]]-Table157810[[#This Row],[Prepayments]]-Table157810[[#This Row],[Defaulted Principal]]</f>
        <v>0</v>
      </c>
      <c r="P172" s="3">
        <f>Table157810[[#This Row],[Principal]]+Table157810[[#This Row],[Interest]]+Table157810[[#This Row],[Prepayments]]+Table157810[[#This Row],[RecoveredAmount]]</f>
        <v>0</v>
      </c>
      <c r="Q172" s="3">
        <f ca="1">ROUND(Table157810[[#This Row],[Cash Flow]]/((1+ActualRateToUse)^(IF(ISNUMBER(SEARCH("Actual",$C$7)),Table157810[[#This Row],[Running Total]]/365,Table157810[[#This Row],[Period]]/12))),2)</f>
        <v>0</v>
      </c>
      <c r="R172" s="2">
        <f>IF(MONTH(Table157810[[#This Row],[Date]])=2,28,DAY(DATE(YEAR(Table157810[[#This Row],[Date]]),MONTH(Table157810[[#This Row],[Date]])+1,1)-1))</f>
        <v>30</v>
      </c>
      <c r="S172" s="2">
        <f ca="1">SUM(OFFSET(Table157810[[#Headers],[Days in month]],1,0):Table157810[[#This Row],[Days in month]])</f>
        <v>4745</v>
      </c>
      <c r="T172" s="37">
        <f>InterestRate*AmortizationMultiplier*IF(ISNUMBER(SEARCH("Actual",$C$7)),Table157810[[#This Row],[Days in month]]/365,1/12)</f>
        <v>5.7909166666666656E-3</v>
      </c>
    </row>
    <row r="173" spans="2:20" x14ac:dyDescent="0.2">
      <c r="B173" s="1">
        <f t="shared" si="6"/>
        <v>50617</v>
      </c>
      <c r="C173" s="2">
        <f t="shared" si="8"/>
        <v>157</v>
      </c>
      <c r="D173" s="3">
        <f t="shared" si="7"/>
        <v>0</v>
      </c>
      <c r="E173" s="3">
        <f>ROUND(Table157810[[#This Row],[Beginning Balance]]*Table157810[[#This Row],[Monthly Interest Rate]],2)</f>
        <v>0</v>
      </c>
      <c r="F173" s="3">
        <f t="shared" si="9"/>
        <v>685</v>
      </c>
      <c r="G173" s="23">
        <f>IFERROR(IF($C$13="No","N/A",IF(Table157810[[#This Row],[Period]]=1,$C$6,PMT(InterestRate*AmortizationMultiplier/12,Table157810[[#This Row],[Am Thru]],-Table157810[[#This Row],[Beginning Balance]]))),0)</f>
        <v>0</v>
      </c>
      <c r="H173" s="3">
        <f>MAX(0,IF(C173=$C$4,D173,ROUND(IF($C$3="Fixed Principal",$C$6-Table157810[[#This Row],[Interest]],IF($C$3="Interest Only",Table157810[[#This Row],[Beginning Balance]]*ROUND(1-(1-IF($C$11="No",$E$8,1))^(1/12),6),MIN(IF($C$13="Yes",Table157810[[#This Row],[Payment Amount (Reamortized)]],$C$6)-Table157810[[#This Row],[Interest]],Table157810[[#This Row],[Beginning Balance]]))),2)))</f>
        <v>0</v>
      </c>
      <c r="I173" s="3">
        <f>_xlfn.SINGLE(IF($C$3="Line of Credit",0,ROUND(MAX(MIN(IF($C$10="No",$E$7,VLOOKUP(Table157810[[#This Row],[Period]],Forecast!$H$2:$L$1048576,4,FALSE))*Table157810[[#This Row],[Beginning Balance]],Table157810[[#This Row],[Beginning Balance]]-Table157810[[#This Row],[Principal]]),0),2)))</f>
        <v>0</v>
      </c>
      <c r="J173" s="3">
        <f>ROUND(MIN(Table157810[[#This Row],[Beginning Balance]]*IF($C$8="No",$E$3,VLOOKUP(Table157810[[#This Row],[Period]],Forecast!$H$2:$L$1048576,2,FALSE)),Table157810[[#This Row],[Beginning Balance]]-Table157810[[#This Row],[Principal]]-Table157810[[#This Row],[Prepayments]]),2)</f>
        <v>0</v>
      </c>
      <c r="K173" s="3">
        <f>ROUND(Table157810[[#This Row],[Defaulted Principal]]*IF($C$9="No",$E$4,VLOOKUP(Table157810[[#This Row],[Period]],Forecast!$H$2:$L$1048576,3,FALSE)),2)</f>
        <v>0</v>
      </c>
      <c r="L173" s="2">
        <f>Table157810[[#This Row],[Period]]+$E$9</f>
        <v>169</v>
      </c>
      <c r="M173" s="3">
        <f>Table157810[[#This Row],[Defaulted Principal]]-Table157810[[#This Row],[Estimated Loss]]</f>
        <v>0</v>
      </c>
      <c r="N173" s="3">
        <f>IFERROR(VLOOKUP(Table157810[[#This Row],[Period]],$L$16:$M$385,2,FALSE),0)</f>
        <v>0</v>
      </c>
      <c r="O173" s="3">
        <f>Table157810[[#This Row],[Beginning Balance]]-Table157810[[#This Row],[Principal]]-Table157810[[#This Row],[Prepayments]]-Table157810[[#This Row],[Defaulted Principal]]</f>
        <v>0</v>
      </c>
      <c r="P173" s="3">
        <f>Table157810[[#This Row],[Principal]]+Table157810[[#This Row],[Interest]]+Table157810[[#This Row],[Prepayments]]+Table157810[[#This Row],[RecoveredAmount]]</f>
        <v>0</v>
      </c>
      <c r="Q173" s="3">
        <f ca="1">ROUND(Table157810[[#This Row],[Cash Flow]]/((1+ActualRateToUse)^(IF(ISNUMBER(SEARCH("Actual",$C$7)),Table157810[[#This Row],[Running Total]]/365,Table157810[[#This Row],[Period]]/12))),2)</f>
        <v>0</v>
      </c>
      <c r="R173" s="2">
        <f>IF(MONTH(Table157810[[#This Row],[Date]])=2,28,DAY(DATE(YEAR(Table157810[[#This Row],[Date]]),MONTH(Table157810[[#This Row],[Date]])+1,1)-1))</f>
        <v>31</v>
      </c>
      <c r="S173" s="2">
        <f ca="1">SUM(OFFSET(Table157810[[#Headers],[Days in month]],1,0):Table157810[[#This Row],[Days in month]])</f>
        <v>4776</v>
      </c>
      <c r="T173" s="37">
        <f>InterestRate*AmortizationMultiplier*IF(ISNUMBER(SEARCH("Actual",$C$7)),Table157810[[#This Row],[Days in month]]/365,1/12)</f>
        <v>5.9839472222222214E-3</v>
      </c>
    </row>
    <row r="174" spans="2:20" x14ac:dyDescent="0.2">
      <c r="B174" s="1">
        <f t="shared" si="6"/>
        <v>50648</v>
      </c>
      <c r="C174" s="2">
        <f t="shared" si="8"/>
        <v>158</v>
      </c>
      <c r="D174" s="3">
        <f t="shared" si="7"/>
        <v>0</v>
      </c>
      <c r="E174" s="3">
        <f>ROUND(Table157810[[#This Row],[Beginning Balance]]*Table157810[[#This Row],[Monthly Interest Rate]],2)</f>
        <v>0</v>
      </c>
      <c r="F174" s="3">
        <f t="shared" si="9"/>
        <v>684</v>
      </c>
      <c r="G174" s="23">
        <f>IFERROR(IF($C$13="No","N/A",IF(Table157810[[#This Row],[Period]]=1,$C$6,PMT(InterestRate*AmortizationMultiplier/12,Table157810[[#This Row],[Am Thru]],-Table157810[[#This Row],[Beginning Balance]]))),0)</f>
        <v>0</v>
      </c>
      <c r="H174" s="3">
        <f>MAX(0,IF(C174=$C$4,D174,ROUND(IF($C$3="Fixed Principal",$C$6-Table157810[[#This Row],[Interest]],IF($C$3="Interest Only",Table157810[[#This Row],[Beginning Balance]]*ROUND(1-(1-IF($C$11="No",$E$8,1))^(1/12),6),MIN(IF($C$13="Yes",Table157810[[#This Row],[Payment Amount (Reamortized)]],$C$6)-Table157810[[#This Row],[Interest]],Table157810[[#This Row],[Beginning Balance]]))),2)))</f>
        <v>0</v>
      </c>
      <c r="I174" s="3">
        <f>_xlfn.SINGLE(IF($C$3="Line of Credit",0,ROUND(MAX(MIN(IF($C$10="No",$E$7,VLOOKUP(Table157810[[#This Row],[Period]],Forecast!$H$2:$L$1048576,4,FALSE))*Table157810[[#This Row],[Beginning Balance]],Table157810[[#This Row],[Beginning Balance]]-Table157810[[#This Row],[Principal]]),0),2)))</f>
        <v>0</v>
      </c>
      <c r="J174" s="3">
        <f>ROUND(MIN(Table157810[[#This Row],[Beginning Balance]]*IF($C$8="No",$E$3,VLOOKUP(Table157810[[#This Row],[Period]],Forecast!$H$2:$L$1048576,2,FALSE)),Table157810[[#This Row],[Beginning Balance]]-Table157810[[#This Row],[Principal]]-Table157810[[#This Row],[Prepayments]]),2)</f>
        <v>0</v>
      </c>
      <c r="K174" s="3">
        <f>ROUND(Table157810[[#This Row],[Defaulted Principal]]*IF($C$9="No",$E$4,VLOOKUP(Table157810[[#This Row],[Period]],Forecast!$H$2:$L$1048576,3,FALSE)),2)</f>
        <v>0</v>
      </c>
      <c r="L174" s="2">
        <f>Table157810[[#This Row],[Period]]+$E$9</f>
        <v>170</v>
      </c>
      <c r="M174" s="3">
        <f>Table157810[[#This Row],[Defaulted Principal]]-Table157810[[#This Row],[Estimated Loss]]</f>
        <v>0</v>
      </c>
      <c r="N174" s="3">
        <f>IFERROR(VLOOKUP(Table157810[[#This Row],[Period]],$L$16:$M$385,2,FALSE),0)</f>
        <v>0</v>
      </c>
      <c r="O174" s="3">
        <f>Table157810[[#This Row],[Beginning Balance]]-Table157810[[#This Row],[Principal]]-Table157810[[#This Row],[Prepayments]]-Table157810[[#This Row],[Defaulted Principal]]</f>
        <v>0</v>
      </c>
      <c r="P174" s="3">
        <f>Table157810[[#This Row],[Principal]]+Table157810[[#This Row],[Interest]]+Table157810[[#This Row],[Prepayments]]+Table157810[[#This Row],[RecoveredAmount]]</f>
        <v>0</v>
      </c>
      <c r="Q174" s="3">
        <f ca="1">ROUND(Table157810[[#This Row],[Cash Flow]]/((1+ActualRateToUse)^(IF(ISNUMBER(SEARCH("Actual",$C$7)),Table157810[[#This Row],[Running Total]]/365,Table157810[[#This Row],[Period]]/12))),2)</f>
        <v>0</v>
      </c>
      <c r="R174" s="2">
        <f>IF(MONTH(Table157810[[#This Row],[Date]])=2,28,DAY(DATE(YEAR(Table157810[[#This Row],[Date]]),MONTH(Table157810[[#This Row],[Date]])+1,1)-1))</f>
        <v>31</v>
      </c>
      <c r="S174" s="2">
        <f ca="1">SUM(OFFSET(Table157810[[#Headers],[Days in month]],1,0):Table157810[[#This Row],[Days in month]])</f>
        <v>4807</v>
      </c>
      <c r="T174" s="37">
        <f>InterestRate*AmortizationMultiplier*IF(ISNUMBER(SEARCH("Actual",$C$7)),Table157810[[#This Row],[Days in month]]/365,1/12)</f>
        <v>5.9839472222222214E-3</v>
      </c>
    </row>
    <row r="175" spans="2:20" x14ac:dyDescent="0.2">
      <c r="B175" s="1">
        <f t="shared" si="6"/>
        <v>50678</v>
      </c>
      <c r="C175" s="2">
        <f t="shared" si="8"/>
        <v>159</v>
      </c>
      <c r="D175" s="3">
        <f t="shared" si="7"/>
        <v>0</v>
      </c>
      <c r="E175" s="3">
        <f>ROUND(Table157810[[#This Row],[Beginning Balance]]*Table157810[[#This Row],[Monthly Interest Rate]],2)</f>
        <v>0</v>
      </c>
      <c r="F175" s="3">
        <f t="shared" si="9"/>
        <v>683</v>
      </c>
      <c r="G175" s="23">
        <f>IFERROR(IF($C$13="No","N/A",IF(Table157810[[#This Row],[Period]]=1,$C$6,PMT(InterestRate*AmortizationMultiplier/12,Table157810[[#This Row],[Am Thru]],-Table157810[[#This Row],[Beginning Balance]]))),0)</f>
        <v>0</v>
      </c>
      <c r="H175" s="3">
        <f>MAX(0,IF(C175=$C$4,D175,ROUND(IF($C$3="Fixed Principal",$C$6-Table157810[[#This Row],[Interest]],IF($C$3="Interest Only",Table157810[[#This Row],[Beginning Balance]]*ROUND(1-(1-IF($C$11="No",$E$8,1))^(1/12),6),MIN(IF($C$13="Yes",Table157810[[#This Row],[Payment Amount (Reamortized)]],$C$6)-Table157810[[#This Row],[Interest]],Table157810[[#This Row],[Beginning Balance]]))),2)))</f>
        <v>0</v>
      </c>
      <c r="I175" s="3">
        <f>_xlfn.SINGLE(IF($C$3="Line of Credit",0,ROUND(MAX(MIN(IF($C$10="No",$E$7,VLOOKUP(Table157810[[#This Row],[Period]],Forecast!$H$2:$L$1048576,4,FALSE))*Table157810[[#This Row],[Beginning Balance]],Table157810[[#This Row],[Beginning Balance]]-Table157810[[#This Row],[Principal]]),0),2)))</f>
        <v>0</v>
      </c>
      <c r="J175" s="3">
        <f>ROUND(MIN(Table157810[[#This Row],[Beginning Balance]]*IF($C$8="No",$E$3,VLOOKUP(Table157810[[#This Row],[Period]],Forecast!$H$2:$L$1048576,2,FALSE)),Table157810[[#This Row],[Beginning Balance]]-Table157810[[#This Row],[Principal]]-Table157810[[#This Row],[Prepayments]]),2)</f>
        <v>0</v>
      </c>
      <c r="K175" s="3">
        <f>ROUND(Table157810[[#This Row],[Defaulted Principal]]*IF($C$9="No",$E$4,VLOOKUP(Table157810[[#This Row],[Period]],Forecast!$H$2:$L$1048576,3,FALSE)),2)</f>
        <v>0</v>
      </c>
      <c r="L175" s="2">
        <f>Table157810[[#This Row],[Period]]+$E$9</f>
        <v>171</v>
      </c>
      <c r="M175" s="3">
        <f>Table157810[[#This Row],[Defaulted Principal]]-Table157810[[#This Row],[Estimated Loss]]</f>
        <v>0</v>
      </c>
      <c r="N175" s="3">
        <f>IFERROR(VLOOKUP(Table157810[[#This Row],[Period]],$L$16:$M$385,2,FALSE),0)</f>
        <v>0</v>
      </c>
      <c r="O175" s="3">
        <f>Table157810[[#This Row],[Beginning Balance]]-Table157810[[#This Row],[Principal]]-Table157810[[#This Row],[Prepayments]]-Table157810[[#This Row],[Defaulted Principal]]</f>
        <v>0</v>
      </c>
      <c r="P175" s="3">
        <f>Table157810[[#This Row],[Principal]]+Table157810[[#This Row],[Interest]]+Table157810[[#This Row],[Prepayments]]+Table157810[[#This Row],[RecoveredAmount]]</f>
        <v>0</v>
      </c>
      <c r="Q175" s="3">
        <f ca="1">ROUND(Table157810[[#This Row],[Cash Flow]]/((1+ActualRateToUse)^(IF(ISNUMBER(SEARCH("Actual",$C$7)),Table157810[[#This Row],[Running Total]]/365,Table157810[[#This Row],[Period]]/12))),2)</f>
        <v>0</v>
      </c>
      <c r="R175" s="2">
        <f>IF(MONTH(Table157810[[#This Row],[Date]])=2,28,DAY(DATE(YEAR(Table157810[[#This Row],[Date]]),MONTH(Table157810[[#This Row],[Date]])+1,1)-1))</f>
        <v>30</v>
      </c>
      <c r="S175" s="2">
        <f ca="1">SUM(OFFSET(Table157810[[#Headers],[Days in month]],1,0):Table157810[[#This Row],[Days in month]])</f>
        <v>4837</v>
      </c>
      <c r="T175" s="37">
        <f>InterestRate*AmortizationMultiplier*IF(ISNUMBER(SEARCH("Actual",$C$7)),Table157810[[#This Row],[Days in month]]/365,1/12)</f>
        <v>5.7909166666666656E-3</v>
      </c>
    </row>
    <row r="176" spans="2:20" x14ac:dyDescent="0.2">
      <c r="B176" s="1">
        <f t="shared" si="6"/>
        <v>50709</v>
      </c>
      <c r="C176" s="2">
        <f t="shared" si="8"/>
        <v>160</v>
      </c>
      <c r="D176" s="3">
        <f t="shared" si="7"/>
        <v>0</v>
      </c>
      <c r="E176" s="3">
        <f>ROUND(Table157810[[#This Row],[Beginning Balance]]*Table157810[[#This Row],[Monthly Interest Rate]],2)</f>
        <v>0</v>
      </c>
      <c r="F176" s="3">
        <f t="shared" si="9"/>
        <v>682</v>
      </c>
      <c r="G176" s="23">
        <f>IFERROR(IF($C$13="No","N/A",IF(Table157810[[#This Row],[Period]]=1,$C$6,PMT(InterestRate*AmortizationMultiplier/12,Table157810[[#This Row],[Am Thru]],-Table157810[[#This Row],[Beginning Balance]]))),0)</f>
        <v>0</v>
      </c>
      <c r="H176" s="3">
        <f>MAX(0,IF(C176=$C$4,D176,ROUND(IF($C$3="Fixed Principal",$C$6-Table157810[[#This Row],[Interest]],IF($C$3="Interest Only",Table157810[[#This Row],[Beginning Balance]]*ROUND(1-(1-IF($C$11="No",$E$8,1))^(1/12),6),MIN(IF($C$13="Yes",Table157810[[#This Row],[Payment Amount (Reamortized)]],$C$6)-Table157810[[#This Row],[Interest]],Table157810[[#This Row],[Beginning Balance]]))),2)))</f>
        <v>0</v>
      </c>
      <c r="I176" s="3">
        <f>_xlfn.SINGLE(IF($C$3="Line of Credit",0,ROUND(MAX(MIN(IF($C$10="No",$E$7,VLOOKUP(Table157810[[#This Row],[Period]],Forecast!$H$2:$L$1048576,4,FALSE))*Table157810[[#This Row],[Beginning Balance]],Table157810[[#This Row],[Beginning Balance]]-Table157810[[#This Row],[Principal]]),0),2)))</f>
        <v>0</v>
      </c>
      <c r="J176" s="3">
        <f>ROUND(MIN(Table157810[[#This Row],[Beginning Balance]]*IF($C$8="No",$E$3,VLOOKUP(Table157810[[#This Row],[Period]],Forecast!$H$2:$L$1048576,2,FALSE)),Table157810[[#This Row],[Beginning Balance]]-Table157810[[#This Row],[Principal]]-Table157810[[#This Row],[Prepayments]]),2)</f>
        <v>0</v>
      </c>
      <c r="K176" s="3">
        <f>ROUND(Table157810[[#This Row],[Defaulted Principal]]*IF($C$9="No",$E$4,VLOOKUP(Table157810[[#This Row],[Period]],Forecast!$H$2:$L$1048576,3,FALSE)),2)</f>
        <v>0</v>
      </c>
      <c r="L176" s="2">
        <f>Table157810[[#This Row],[Period]]+$E$9</f>
        <v>172</v>
      </c>
      <c r="M176" s="3">
        <f>Table157810[[#This Row],[Defaulted Principal]]-Table157810[[#This Row],[Estimated Loss]]</f>
        <v>0</v>
      </c>
      <c r="N176" s="3">
        <f>IFERROR(VLOOKUP(Table157810[[#This Row],[Period]],$L$16:$M$385,2,FALSE),0)</f>
        <v>0</v>
      </c>
      <c r="O176" s="3">
        <f>Table157810[[#This Row],[Beginning Balance]]-Table157810[[#This Row],[Principal]]-Table157810[[#This Row],[Prepayments]]-Table157810[[#This Row],[Defaulted Principal]]</f>
        <v>0</v>
      </c>
      <c r="P176" s="3">
        <f>Table157810[[#This Row],[Principal]]+Table157810[[#This Row],[Interest]]+Table157810[[#This Row],[Prepayments]]+Table157810[[#This Row],[RecoveredAmount]]</f>
        <v>0</v>
      </c>
      <c r="Q176" s="3">
        <f ca="1">ROUND(Table157810[[#This Row],[Cash Flow]]/((1+ActualRateToUse)^(IF(ISNUMBER(SEARCH("Actual",$C$7)),Table157810[[#This Row],[Running Total]]/365,Table157810[[#This Row],[Period]]/12))),2)</f>
        <v>0</v>
      </c>
      <c r="R176" s="2">
        <f>IF(MONTH(Table157810[[#This Row],[Date]])=2,28,DAY(DATE(YEAR(Table157810[[#This Row],[Date]]),MONTH(Table157810[[#This Row],[Date]])+1,1)-1))</f>
        <v>31</v>
      </c>
      <c r="S176" s="2">
        <f ca="1">SUM(OFFSET(Table157810[[#Headers],[Days in month]],1,0):Table157810[[#This Row],[Days in month]])</f>
        <v>4868</v>
      </c>
      <c r="T176" s="37">
        <f>InterestRate*AmortizationMultiplier*IF(ISNUMBER(SEARCH("Actual",$C$7)),Table157810[[#This Row],[Days in month]]/365,1/12)</f>
        <v>5.9839472222222214E-3</v>
      </c>
    </row>
    <row r="177" spans="2:20" x14ac:dyDescent="0.2">
      <c r="B177" s="1">
        <f t="shared" si="6"/>
        <v>50739</v>
      </c>
      <c r="C177" s="2">
        <f t="shared" si="8"/>
        <v>161</v>
      </c>
      <c r="D177" s="3">
        <f t="shared" si="7"/>
        <v>0</v>
      </c>
      <c r="E177" s="3">
        <f>ROUND(Table157810[[#This Row],[Beginning Balance]]*Table157810[[#This Row],[Monthly Interest Rate]],2)</f>
        <v>0</v>
      </c>
      <c r="F177" s="3">
        <f t="shared" si="9"/>
        <v>681</v>
      </c>
      <c r="G177" s="23">
        <f>IFERROR(IF($C$13="No","N/A",IF(Table157810[[#This Row],[Period]]=1,$C$6,PMT(InterestRate*AmortizationMultiplier/12,Table157810[[#This Row],[Am Thru]],-Table157810[[#This Row],[Beginning Balance]]))),0)</f>
        <v>0</v>
      </c>
      <c r="H177" s="3">
        <f>MAX(0,IF(C177=$C$4,D177,ROUND(IF($C$3="Fixed Principal",$C$6-Table157810[[#This Row],[Interest]],IF($C$3="Interest Only",Table157810[[#This Row],[Beginning Balance]]*ROUND(1-(1-IF($C$11="No",$E$8,1))^(1/12),6),MIN(IF($C$13="Yes",Table157810[[#This Row],[Payment Amount (Reamortized)]],$C$6)-Table157810[[#This Row],[Interest]],Table157810[[#This Row],[Beginning Balance]]))),2)))</f>
        <v>0</v>
      </c>
      <c r="I177" s="3">
        <f>_xlfn.SINGLE(IF($C$3="Line of Credit",0,ROUND(MAX(MIN(IF($C$10="No",$E$7,VLOOKUP(Table157810[[#This Row],[Period]],Forecast!$H$2:$L$1048576,4,FALSE))*Table157810[[#This Row],[Beginning Balance]],Table157810[[#This Row],[Beginning Balance]]-Table157810[[#This Row],[Principal]]),0),2)))</f>
        <v>0</v>
      </c>
      <c r="J177" s="3">
        <f>ROUND(MIN(Table157810[[#This Row],[Beginning Balance]]*IF($C$8="No",$E$3,VLOOKUP(Table157810[[#This Row],[Period]],Forecast!$H$2:$L$1048576,2,FALSE)),Table157810[[#This Row],[Beginning Balance]]-Table157810[[#This Row],[Principal]]-Table157810[[#This Row],[Prepayments]]),2)</f>
        <v>0</v>
      </c>
      <c r="K177" s="3">
        <f>ROUND(Table157810[[#This Row],[Defaulted Principal]]*IF($C$9="No",$E$4,VLOOKUP(Table157810[[#This Row],[Period]],Forecast!$H$2:$L$1048576,3,FALSE)),2)</f>
        <v>0</v>
      </c>
      <c r="L177" s="2">
        <f>Table157810[[#This Row],[Period]]+$E$9</f>
        <v>173</v>
      </c>
      <c r="M177" s="3">
        <f>Table157810[[#This Row],[Defaulted Principal]]-Table157810[[#This Row],[Estimated Loss]]</f>
        <v>0</v>
      </c>
      <c r="N177" s="3">
        <f>IFERROR(VLOOKUP(Table157810[[#This Row],[Period]],$L$16:$M$385,2,FALSE),0)</f>
        <v>0</v>
      </c>
      <c r="O177" s="3">
        <f>Table157810[[#This Row],[Beginning Balance]]-Table157810[[#This Row],[Principal]]-Table157810[[#This Row],[Prepayments]]-Table157810[[#This Row],[Defaulted Principal]]</f>
        <v>0</v>
      </c>
      <c r="P177" s="3">
        <f>Table157810[[#This Row],[Principal]]+Table157810[[#This Row],[Interest]]+Table157810[[#This Row],[Prepayments]]+Table157810[[#This Row],[RecoveredAmount]]</f>
        <v>0</v>
      </c>
      <c r="Q177" s="3">
        <f ca="1">ROUND(Table157810[[#This Row],[Cash Flow]]/((1+ActualRateToUse)^(IF(ISNUMBER(SEARCH("Actual",$C$7)),Table157810[[#This Row],[Running Total]]/365,Table157810[[#This Row],[Period]]/12))),2)</f>
        <v>0</v>
      </c>
      <c r="R177" s="2">
        <f>IF(MONTH(Table157810[[#This Row],[Date]])=2,28,DAY(DATE(YEAR(Table157810[[#This Row],[Date]]),MONTH(Table157810[[#This Row],[Date]])+1,1)-1))</f>
        <v>30</v>
      </c>
      <c r="S177" s="2">
        <f ca="1">SUM(OFFSET(Table157810[[#Headers],[Days in month]],1,0):Table157810[[#This Row],[Days in month]])</f>
        <v>4898</v>
      </c>
      <c r="T177" s="37">
        <f>InterestRate*AmortizationMultiplier*IF(ISNUMBER(SEARCH("Actual",$C$7)),Table157810[[#This Row],[Days in month]]/365,1/12)</f>
        <v>5.7909166666666656E-3</v>
      </c>
    </row>
    <row r="178" spans="2:20" x14ac:dyDescent="0.2">
      <c r="B178" s="1">
        <f t="shared" si="6"/>
        <v>50770</v>
      </c>
      <c r="C178" s="2">
        <f t="shared" si="8"/>
        <v>162</v>
      </c>
      <c r="D178" s="3">
        <f t="shared" si="7"/>
        <v>0</v>
      </c>
      <c r="E178" s="3">
        <f>ROUND(Table157810[[#This Row],[Beginning Balance]]*Table157810[[#This Row],[Monthly Interest Rate]],2)</f>
        <v>0</v>
      </c>
      <c r="F178" s="3">
        <f t="shared" si="9"/>
        <v>680</v>
      </c>
      <c r="G178" s="23">
        <f>IFERROR(IF($C$13="No","N/A",IF(Table157810[[#This Row],[Period]]=1,$C$6,PMT(InterestRate*AmortizationMultiplier/12,Table157810[[#This Row],[Am Thru]],-Table157810[[#This Row],[Beginning Balance]]))),0)</f>
        <v>0</v>
      </c>
      <c r="H178" s="3">
        <f>MAX(0,IF(C178=$C$4,D178,ROUND(IF($C$3="Fixed Principal",$C$6-Table157810[[#This Row],[Interest]],IF($C$3="Interest Only",Table157810[[#This Row],[Beginning Balance]]*ROUND(1-(1-IF($C$11="No",$E$8,1))^(1/12),6),MIN(IF($C$13="Yes",Table157810[[#This Row],[Payment Amount (Reamortized)]],$C$6)-Table157810[[#This Row],[Interest]],Table157810[[#This Row],[Beginning Balance]]))),2)))</f>
        <v>0</v>
      </c>
      <c r="I178" s="3">
        <f>_xlfn.SINGLE(IF($C$3="Line of Credit",0,ROUND(MAX(MIN(IF($C$10="No",$E$7,VLOOKUP(Table157810[[#This Row],[Period]],Forecast!$H$2:$L$1048576,4,FALSE))*Table157810[[#This Row],[Beginning Balance]],Table157810[[#This Row],[Beginning Balance]]-Table157810[[#This Row],[Principal]]),0),2)))</f>
        <v>0</v>
      </c>
      <c r="J178" s="3">
        <f>ROUND(MIN(Table157810[[#This Row],[Beginning Balance]]*IF($C$8="No",$E$3,VLOOKUP(Table157810[[#This Row],[Period]],Forecast!$H$2:$L$1048576,2,FALSE)),Table157810[[#This Row],[Beginning Balance]]-Table157810[[#This Row],[Principal]]-Table157810[[#This Row],[Prepayments]]),2)</f>
        <v>0</v>
      </c>
      <c r="K178" s="3">
        <f>ROUND(Table157810[[#This Row],[Defaulted Principal]]*IF($C$9="No",$E$4,VLOOKUP(Table157810[[#This Row],[Period]],Forecast!$H$2:$L$1048576,3,FALSE)),2)</f>
        <v>0</v>
      </c>
      <c r="L178" s="2">
        <f>Table157810[[#This Row],[Period]]+$E$9</f>
        <v>174</v>
      </c>
      <c r="M178" s="3">
        <f>Table157810[[#This Row],[Defaulted Principal]]-Table157810[[#This Row],[Estimated Loss]]</f>
        <v>0</v>
      </c>
      <c r="N178" s="3">
        <f>IFERROR(VLOOKUP(Table157810[[#This Row],[Period]],$L$16:$M$385,2,FALSE),0)</f>
        <v>0</v>
      </c>
      <c r="O178" s="3">
        <f>Table157810[[#This Row],[Beginning Balance]]-Table157810[[#This Row],[Principal]]-Table157810[[#This Row],[Prepayments]]-Table157810[[#This Row],[Defaulted Principal]]</f>
        <v>0</v>
      </c>
      <c r="P178" s="3">
        <f>Table157810[[#This Row],[Principal]]+Table157810[[#This Row],[Interest]]+Table157810[[#This Row],[Prepayments]]+Table157810[[#This Row],[RecoveredAmount]]</f>
        <v>0</v>
      </c>
      <c r="Q178" s="3">
        <f ca="1">ROUND(Table157810[[#This Row],[Cash Flow]]/((1+ActualRateToUse)^(IF(ISNUMBER(SEARCH("Actual",$C$7)),Table157810[[#This Row],[Running Total]]/365,Table157810[[#This Row],[Period]]/12))),2)</f>
        <v>0</v>
      </c>
      <c r="R178" s="2">
        <f>IF(MONTH(Table157810[[#This Row],[Date]])=2,28,DAY(DATE(YEAR(Table157810[[#This Row],[Date]]),MONTH(Table157810[[#This Row],[Date]])+1,1)-1))</f>
        <v>31</v>
      </c>
      <c r="S178" s="2">
        <f ca="1">SUM(OFFSET(Table157810[[#Headers],[Days in month]],1,0):Table157810[[#This Row],[Days in month]])</f>
        <v>4929</v>
      </c>
      <c r="T178" s="37">
        <f>InterestRate*AmortizationMultiplier*IF(ISNUMBER(SEARCH("Actual",$C$7)),Table157810[[#This Row],[Days in month]]/365,1/12)</f>
        <v>5.9839472222222214E-3</v>
      </c>
    </row>
    <row r="179" spans="2:20" x14ac:dyDescent="0.2">
      <c r="B179" s="1">
        <f t="shared" si="6"/>
        <v>50801</v>
      </c>
      <c r="C179" s="2">
        <f t="shared" si="8"/>
        <v>163</v>
      </c>
      <c r="D179" s="3">
        <f t="shared" si="7"/>
        <v>0</v>
      </c>
      <c r="E179" s="3">
        <f>ROUND(Table157810[[#This Row],[Beginning Balance]]*Table157810[[#This Row],[Monthly Interest Rate]],2)</f>
        <v>0</v>
      </c>
      <c r="F179" s="3">
        <f t="shared" si="9"/>
        <v>679</v>
      </c>
      <c r="G179" s="23">
        <f>IFERROR(IF($C$13="No","N/A",IF(Table157810[[#This Row],[Period]]=1,$C$6,PMT(InterestRate*AmortizationMultiplier/12,Table157810[[#This Row],[Am Thru]],-Table157810[[#This Row],[Beginning Balance]]))),0)</f>
        <v>0</v>
      </c>
      <c r="H179" s="3">
        <f>MAX(0,IF(C179=$C$4,D179,ROUND(IF($C$3="Fixed Principal",$C$6-Table157810[[#This Row],[Interest]],IF($C$3="Interest Only",Table157810[[#This Row],[Beginning Balance]]*ROUND(1-(1-IF($C$11="No",$E$8,1))^(1/12),6),MIN(IF($C$13="Yes",Table157810[[#This Row],[Payment Amount (Reamortized)]],$C$6)-Table157810[[#This Row],[Interest]],Table157810[[#This Row],[Beginning Balance]]))),2)))</f>
        <v>0</v>
      </c>
      <c r="I179" s="3">
        <f>_xlfn.SINGLE(IF($C$3="Line of Credit",0,ROUND(MAX(MIN(IF($C$10="No",$E$7,VLOOKUP(Table157810[[#This Row],[Period]],Forecast!$H$2:$L$1048576,4,FALSE))*Table157810[[#This Row],[Beginning Balance]],Table157810[[#This Row],[Beginning Balance]]-Table157810[[#This Row],[Principal]]),0),2)))</f>
        <v>0</v>
      </c>
      <c r="J179" s="3">
        <f>ROUND(MIN(Table157810[[#This Row],[Beginning Balance]]*IF($C$8="No",$E$3,VLOOKUP(Table157810[[#This Row],[Period]],Forecast!$H$2:$L$1048576,2,FALSE)),Table157810[[#This Row],[Beginning Balance]]-Table157810[[#This Row],[Principal]]-Table157810[[#This Row],[Prepayments]]),2)</f>
        <v>0</v>
      </c>
      <c r="K179" s="3">
        <f>ROUND(Table157810[[#This Row],[Defaulted Principal]]*IF($C$9="No",$E$4,VLOOKUP(Table157810[[#This Row],[Period]],Forecast!$H$2:$L$1048576,3,FALSE)),2)</f>
        <v>0</v>
      </c>
      <c r="L179" s="2">
        <f>Table157810[[#This Row],[Period]]+$E$9</f>
        <v>175</v>
      </c>
      <c r="M179" s="3">
        <f>Table157810[[#This Row],[Defaulted Principal]]-Table157810[[#This Row],[Estimated Loss]]</f>
        <v>0</v>
      </c>
      <c r="N179" s="3">
        <f>IFERROR(VLOOKUP(Table157810[[#This Row],[Period]],$L$16:$M$385,2,FALSE),0)</f>
        <v>0</v>
      </c>
      <c r="O179" s="3">
        <f>Table157810[[#This Row],[Beginning Balance]]-Table157810[[#This Row],[Principal]]-Table157810[[#This Row],[Prepayments]]-Table157810[[#This Row],[Defaulted Principal]]</f>
        <v>0</v>
      </c>
      <c r="P179" s="3">
        <f>Table157810[[#This Row],[Principal]]+Table157810[[#This Row],[Interest]]+Table157810[[#This Row],[Prepayments]]+Table157810[[#This Row],[RecoveredAmount]]</f>
        <v>0</v>
      </c>
      <c r="Q179" s="3">
        <f ca="1">ROUND(Table157810[[#This Row],[Cash Flow]]/((1+ActualRateToUse)^(IF(ISNUMBER(SEARCH("Actual",$C$7)),Table157810[[#This Row],[Running Total]]/365,Table157810[[#This Row],[Period]]/12))),2)</f>
        <v>0</v>
      </c>
      <c r="R179" s="2">
        <f>IF(MONTH(Table157810[[#This Row],[Date]])=2,28,DAY(DATE(YEAR(Table157810[[#This Row],[Date]]),MONTH(Table157810[[#This Row],[Date]])+1,1)-1))</f>
        <v>31</v>
      </c>
      <c r="S179" s="2">
        <f ca="1">SUM(OFFSET(Table157810[[#Headers],[Days in month]],1,0):Table157810[[#This Row],[Days in month]])</f>
        <v>4960</v>
      </c>
      <c r="T179" s="37">
        <f>InterestRate*AmortizationMultiplier*IF(ISNUMBER(SEARCH("Actual",$C$7)),Table157810[[#This Row],[Days in month]]/365,1/12)</f>
        <v>5.9839472222222214E-3</v>
      </c>
    </row>
    <row r="180" spans="2:20" x14ac:dyDescent="0.2">
      <c r="B180" s="1">
        <f t="shared" si="6"/>
        <v>50829</v>
      </c>
      <c r="C180" s="2">
        <f t="shared" si="8"/>
        <v>164</v>
      </c>
      <c r="D180" s="3">
        <f t="shared" si="7"/>
        <v>0</v>
      </c>
      <c r="E180" s="3">
        <f>ROUND(Table157810[[#This Row],[Beginning Balance]]*Table157810[[#This Row],[Monthly Interest Rate]],2)</f>
        <v>0</v>
      </c>
      <c r="F180" s="3">
        <f t="shared" si="9"/>
        <v>678</v>
      </c>
      <c r="G180" s="23">
        <f>IFERROR(IF($C$13="No","N/A",IF(Table157810[[#This Row],[Period]]=1,$C$6,PMT(InterestRate*AmortizationMultiplier/12,Table157810[[#This Row],[Am Thru]],-Table157810[[#This Row],[Beginning Balance]]))),0)</f>
        <v>0</v>
      </c>
      <c r="H180" s="3">
        <f>MAX(0,IF(C180=$C$4,D180,ROUND(IF($C$3="Fixed Principal",$C$6-Table157810[[#This Row],[Interest]],IF($C$3="Interest Only",Table157810[[#This Row],[Beginning Balance]]*ROUND(1-(1-IF($C$11="No",$E$8,1))^(1/12),6),MIN(IF($C$13="Yes",Table157810[[#This Row],[Payment Amount (Reamortized)]],$C$6)-Table157810[[#This Row],[Interest]],Table157810[[#This Row],[Beginning Balance]]))),2)))</f>
        <v>0</v>
      </c>
      <c r="I180" s="3">
        <f>_xlfn.SINGLE(IF($C$3="Line of Credit",0,ROUND(MAX(MIN(IF($C$10="No",$E$7,VLOOKUP(Table157810[[#This Row],[Period]],Forecast!$H$2:$L$1048576,4,FALSE))*Table157810[[#This Row],[Beginning Balance]],Table157810[[#This Row],[Beginning Balance]]-Table157810[[#This Row],[Principal]]),0),2)))</f>
        <v>0</v>
      </c>
      <c r="J180" s="3">
        <f>ROUND(MIN(Table157810[[#This Row],[Beginning Balance]]*IF($C$8="No",$E$3,VLOOKUP(Table157810[[#This Row],[Period]],Forecast!$H$2:$L$1048576,2,FALSE)),Table157810[[#This Row],[Beginning Balance]]-Table157810[[#This Row],[Principal]]-Table157810[[#This Row],[Prepayments]]),2)</f>
        <v>0</v>
      </c>
      <c r="K180" s="3">
        <f>ROUND(Table157810[[#This Row],[Defaulted Principal]]*IF($C$9="No",$E$4,VLOOKUP(Table157810[[#This Row],[Period]],Forecast!$H$2:$L$1048576,3,FALSE)),2)</f>
        <v>0</v>
      </c>
      <c r="L180" s="2">
        <f>Table157810[[#This Row],[Period]]+$E$9</f>
        <v>176</v>
      </c>
      <c r="M180" s="3">
        <f>Table157810[[#This Row],[Defaulted Principal]]-Table157810[[#This Row],[Estimated Loss]]</f>
        <v>0</v>
      </c>
      <c r="N180" s="3">
        <f>IFERROR(VLOOKUP(Table157810[[#This Row],[Period]],$L$16:$M$385,2,FALSE),0)</f>
        <v>0</v>
      </c>
      <c r="O180" s="3">
        <f>Table157810[[#This Row],[Beginning Balance]]-Table157810[[#This Row],[Principal]]-Table157810[[#This Row],[Prepayments]]-Table157810[[#This Row],[Defaulted Principal]]</f>
        <v>0</v>
      </c>
      <c r="P180" s="3">
        <f>Table157810[[#This Row],[Principal]]+Table157810[[#This Row],[Interest]]+Table157810[[#This Row],[Prepayments]]+Table157810[[#This Row],[RecoveredAmount]]</f>
        <v>0</v>
      </c>
      <c r="Q180" s="3">
        <f ca="1">ROUND(Table157810[[#This Row],[Cash Flow]]/((1+ActualRateToUse)^(IF(ISNUMBER(SEARCH("Actual",$C$7)),Table157810[[#This Row],[Running Total]]/365,Table157810[[#This Row],[Period]]/12))),2)</f>
        <v>0</v>
      </c>
      <c r="R180" s="2">
        <f>IF(MONTH(Table157810[[#This Row],[Date]])=2,28,DAY(DATE(YEAR(Table157810[[#This Row],[Date]]),MONTH(Table157810[[#This Row],[Date]])+1,1)-1))</f>
        <v>28</v>
      </c>
      <c r="S180" s="2">
        <f ca="1">SUM(OFFSET(Table157810[[#Headers],[Days in month]],1,0):Table157810[[#This Row],[Days in month]])</f>
        <v>4988</v>
      </c>
      <c r="T180" s="37">
        <f>InterestRate*AmortizationMultiplier*IF(ISNUMBER(SEARCH("Actual",$C$7)),Table157810[[#This Row],[Days in month]]/365,1/12)</f>
        <v>5.4048555555555548E-3</v>
      </c>
    </row>
    <row r="181" spans="2:20" x14ac:dyDescent="0.2">
      <c r="B181" s="1">
        <f t="shared" si="6"/>
        <v>50860</v>
      </c>
      <c r="C181" s="2">
        <f t="shared" si="8"/>
        <v>165</v>
      </c>
      <c r="D181" s="3">
        <f t="shared" si="7"/>
        <v>0</v>
      </c>
      <c r="E181" s="3">
        <f>ROUND(Table157810[[#This Row],[Beginning Balance]]*Table157810[[#This Row],[Monthly Interest Rate]],2)</f>
        <v>0</v>
      </c>
      <c r="F181" s="3">
        <f t="shared" si="9"/>
        <v>677</v>
      </c>
      <c r="G181" s="23">
        <f>IFERROR(IF($C$13="No","N/A",IF(Table157810[[#This Row],[Period]]=1,$C$6,PMT(InterestRate*AmortizationMultiplier/12,Table157810[[#This Row],[Am Thru]],-Table157810[[#This Row],[Beginning Balance]]))),0)</f>
        <v>0</v>
      </c>
      <c r="H181" s="3">
        <f>MAX(0,IF(C181=$C$4,D181,ROUND(IF($C$3="Fixed Principal",$C$6-Table157810[[#This Row],[Interest]],IF($C$3="Interest Only",Table157810[[#This Row],[Beginning Balance]]*ROUND(1-(1-IF($C$11="No",$E$8,1))^(1/12),6),MIN(IF($C$13="Yes",Table157810[[#This Row],[Payment Amount (Reamortized)]],$C$6)-Table157810[[#This Row],[Interest]],Table157810[[#This Row],[Beginning Balance]]))),2)))</f>
        <v>0</v>
      </c>
      <c r="I181" s="3">
        <f>_xlfn.SINGLE(IF($C$3="Line of Credit",0,ROUND(MAX(MIN(IF($C$10="No",$E$7,VLOOKUP(Table157810[[#This Row],[Period]],Forecast!$H$2:$L$1048576,4,FALSE))*Table157810[[#This Row],[Beginning Balance]],Table157810[[#This Row],[Beginning Balance]]-Table157810[[#This Row],[Principal]]),0),2)))</f>
        <v>0</v>
      </c>
      <c r="J181" s="3">
        <f>ROUND(MIN(Table157810[[#This Row],[Beginning Balance]]*IF($C$8="No",$E$3,VLOOKUP(Table157810[[#This Row],[Period]],Forecast!$H$2:$L$1048576,2,FALSE)),Table157810[[#This Row],[Beginning Balance]]-Table157810[[#This Row],[Principal]]-Table157810[[#This Row],[Prepayments]]),2)</f>
        <v>0</v>
      </c>
      <c r="K181" s="3">
        <f>ROUND(Table157810[[#This Row],[Defaulted Principal]]*IF($C$9="No",$E$4,VLOOKUP(Table157810[[#This Row],[Period]],Forecast!$H$2:$L$1048576,3,FALSE)),2)</f>
        <v>0</v>
      </c>
      <c r="L181" s="2">
        <f>Table157810[[#This Row],[Period]]+$E$9</f>
        <v>177</v>
      </c>
      <c r="M181" s="3">
        <f>Table157810[[#This Row],[Defaulted Principal]]-Table157810[[#This Row],[Estimated Loss]]</f>
        <v>0</v>
      </c>
      <c r="N181" s="3">
        <f>IFERROR(VLOOKUP(Table157810[[#This Row],[Period]],$L$16:$M$385,2,FALSE),0)</f>
        <v>0</v>
      </c>
      <c r="O181" s="3">
        <f>Table157810[[#This Row],[Beginning Balance]]-Table157810[[#This Row],[Principal]]-Table157810[[#This Row],[Prepayments]]-Table157810[[#This Row],[Defaulted Principal]]</f>
        <v>0</v>
      </c>
      <c r="P181" s="3">
        <f>Table157810[[#This Row],[Principal]]+Table157810[[#This Row],[Interest]]+Table157810[[#This Row],[Prepayments]]+Table157810[[#This Row],[RecoveredAmount]]</f>
        <v>0</v>
      </c>
      <c r="Q181" s="3">
        <f ca="1">ROUND(Table157810[[#This Row],[Cash Flow]]/((1+ActualRateToUse)^(IF(ISNUMBER(SEARCH("Actual",$C$7)),Table157810[[#This Row],[Running Total]]/365,Table157810[[#This Row],[Period]]/12))),2)</f>
        <v>0</v>
      </c>
      <c r="R181" s="2">
        <f>IF(MONTH(Table157810[[#This Row],[Date]])=2,28,DAY(DATE(YEAR(Table157810[[#This Row],[Date]]),MONTH(Table157810[[#This Row],[Date]])+1,1)-1))</f>
        <v>31</v>
      </c>
      <c r="S181" s="2">
        <f ca="1">SUM(OFFSET(Table157810[[#Headers],[Days in month]],1,0):Table157810[[#This Row],[Days in month]])</f>
        <v>5019</v>
      </c>
      <c r="T181" s="37">
        <f>InterestRate*AmortizationMultiplier*IF(ISNUMBER(SEARCH("Actual",$C$7)),Table157810[[#This Row],[Days in month]]/365,1/12)</f>
        <v>5.9839472222222214E-3</v>
      </c>
    </row>
    <row r="182" spans="2:20" x14ac:dyDescent="0.2">
      <c r="B182" s="1">
        <f t="shared" si="6"/>
        <v>50890</v>
      </c>
      <c r="C182" s="2">
        <f t="shared" si="8"/>
        <v>166</v>
      </c>
      <c r="D182" s="3">
        <f t="shared" si="7"/>
        <v>0</v>
      </c>
      <c r="E182" s="3">
        <f>ROUND(Table157810[[#This Row],[Beginning Balance]]*Table157810[[#This Row],[Monthly Interest Rate]],2)</f>
        <v>0</v>
      </c>
      <c r="F182" s="3">
        <f t="shared" si="9"/>
        <v>676</v>
      </c>
      <c r="G182" s="23">
        <f>IFERROR(IF($C$13="No","N/A",IF(Table157810[[#This Row],[Period]]=1,$C$6,PMT(InterestRate*AmortizationMultiplier/12,Table157810[[#This Row],[Am Thru]],-Table157810[[#This Row],[Beginning Balance]]))),0)</f>
        <v>0</v>
      </c>
      <c r="H182" s="3">
        <f>MAX(0,IF(C182=$C$4,D182,ROUND(IF($C$3="Fixed Principal",$C$6-Table157810[[#This Row],[Interest]],IF($C$3="Interest Only",Table157810[[#This Row],[Beginning Balance]]*ROUND(1-(1-IF($C$11="No",$E$8,1))^(1/12),6),MIN(IF($C$13="Yes",Table157810[[#This Row],[Payment Amount (Reamortized)]],$C$6)-Table157810[[#This Row],[Interest]],Table157810[[#This Row],[Beginning Balance]]))),2)))</f>
        <v>0</v>
      </c>
      <c r="I182" s="3">
        <f>_xlfn.SINGLE(IF($C$3="Line of Credit",0,ROUND(MAX(MIN(IF($C$10="No",$E$7,VLOOKUP(Table157810[[#This Row],[Period]],Forecast!$H$2:$L$1048576,4,FALSE))*Table157810[[#This Row],[Beginning Balance]],Table157810[[#This Row],[Beginning Balance]]-Table157810[[#This Row],[Principal]]),0),2)))</f>
        <v>0</v>
      </c>
      <c r="J182" s="3">
        <f>ROUND(MIN(Table157810[[#This Row],[Beginning Balance]]*IF($C$8="No",$E$3,VLOOKUP(Table157810[[#This Row],[Period]],Forecast!$H$2:$L$1048576,2,FALSE)),Table157810[[#This Row],[Beginning Balance]]-Table157810[[#This Row],[Principal]]-Table157810[[#This Row],[Prepayments]]),2)</f>
        <v>0</v>
      </c>
      <c r="K182" s="3">
        <f>ROUND(Table157810[[#This Row],[Defaulted Principal]]*IF($C$9="No",$E$4,VLOOKUP(Table157810[[#This Row],[Period]],Forecast!$H$2:$L$1048576,3,FALSE)),2)</f>
        <v>0</v>
      </c>
      <c r="L182" s="2">
        <f>Table157810[[#This Row],[Period]]+$E$9</f>
        <v>178</v>
      </c>
      <c r="M182" s="3">
        <f>Table157810[[#This Row],[Defaulted Principal]]-Table157810[[#This Row],[Estimated Loss]]</f>
        <v>0</v>
      </c>
      <c r="N182" s="3">
        <f>IFERROR(VLOOKUP(Table157810[[#This Row],[Period]],$L$16:$M$385,2,FALSE),0)</f>
        <v>0</v>
      </c>
      <c r="O182" s="3">
        <f>Table157810[[#This Row],[Beginning Balance]]-Table157810[[#This Row],[Principal]]-Table157810[[#This Row],[Prepayments]]-Table157810[[#This Row],[Defaulted Principal]]</f>
        <v>0</v>
      </c>
      <c r="P182" s="3">
        <f>Table157810[[#This Row],[Principal]]+Table157810[[#This Row],[Interest]]+Table157810[[#This Row],[Prepayments]]+Table157810[[#This Row],[RecoveredAmount]]</f>
        <v>0</v>
      </c>
      <c r="Q182" s="3">
        <f ca="1">ROUND(Table157810[[#This Row],[Cash Flow]]/((1+ActualRateToUse)^(IF(ISNUMBER(SEARCH("Actual",$C$7)),Table157810[[#This Row],[Running Total]]/365,Table157810[[#This Row],[Period]]/12))),2)</f>
        <v>0</v>
      </c>
      <c r="R182" s="2">
        <f>IF(MONTH(Table157810[[#This Row],[Date]])=2,28,DAY(DATE(YEAR(Table157810[[#This Row],[Date]]),MONTH(Table157810[[#This Row],[Date]])+1,1)-1))</f>
        <v>30</v>
      </c>
      <c r="S182" s="2">
        <f ca="1">SUM(OFFSET(Table157810[[#Headers],[Days in month]],1,0):Table157810[[#This Row],[Days in month]])</f>
        <v>5049</v>
      </c>
      <c r="T182" s="37">
        <f>InterestRate*AmortizationMultiplier*IF(ISNUMBER(SEARCH("Actual",$C$7)),Table157810[[#This Row],[Days in month]]/365,1/12)</f>
        <v>5.7909166666666656E-3</v>
      </c>
    </row>
    <row r="183" spans="2:20" x14ac:dyDescent="0.2">
      <c r="B183" s="1">
        <f t="shared" si="6"/>
        <v>50921</v>
      </c>
      <c r="C183" s="2">
        <f t="shared" si="8"/>
        <v>167</v>
      </c>
      <c r="D183" s="3">
        <f t="shared" si="7"/>
        <v>0</v>
      </c>
      <c r="E183" s="3">
        <f>ROUND(Table157810[[#This Row],[Beginning Balance]]*Table157810[[#This Row],[Monthly Interest Rate]],2)</f>
        <v>0</v>
      </c>
      <c r="F183" s="3">
        <f t="shared" si="9"/>
        <v>675</v>
      </c>
      <c r="G183" s="23">
        <f>IFERROR(IF($C$13="No","N/A",IF(Table157810[[#This Row],[Period]]=1,$C$6,PMT(InterestRate*AmortizationMultiplier/12,Table157810[[#This Row],[Am Thru]],-Table157810[[#This Row],[Beginning Balance]]))),0)</f>
        <v>0</v>
      </c>
      <c r="H183" s="3">
        <f>MAX(0,IF(C183=$C$4,D183,ROUND(IF($C$3="Fixed Principal",$C$6-Table157810[[#This Row],[Interest]],IF($C$3="Interest Only",Table157810[[#This Row],[Beginning Balance]]*ROUND(1-(1-IF($C$11="No",$E$8,1))^(1/12),6),MIN(IF($C$13="Yes",Table157810[[#This Row],[Payment Amount (Reamortized)]],$C$6)-Table157810[[#This Row],[Interest]],Table157810[[#This Row],[Beginning Balance]]))),2)))</f>
        <v>0</v>
      </c>
      <c r="I183" s="3">
        <f>_xlfn.SINGLE(IF($C$3="Line of Credit",0,ROUND(MAX(MIN(IF($C$10="No",$E$7,VLOOKUP(Table157810[[#This Row],[Period]],Forecast!$H$2:$L$1048576,4,FALSE))*Table157810[[#This Row],[Beginning Balance]],Table157810[[#This Row],[Beginning Balance]]-Table157810[[#This Row],[Principal]]),0),2)))</f>
        <v>0</v>
      </c>
      <c r="J183" s="3">
        <f>ROUND(MIN(Table157810[[#This Row],[Beginning Balance]]*IF($C$8="No",$E$3,VLOOKUP(Table157810[[#This Row],[Period]],Forecast!$H$2:$L$1048576,2,FALSE)),Table157810[[#This Row],[Beginning Balance]]-Table157810[[#This Row],[Principal]]-Table157810[[#This Row],[Prepayments]]),2)</f>
        <v>0</v>
      </c>
      <c r="K183" s="3">
        <f>ROUND(Table157810[[#This Row],[Defaulted Principal]]*IF($C$9="No",$E$4,VLOOKUP(Table157810[[#This Row],[Period]],Forecast!$H$2:$L$1048576,3,FALSE)),2)</f>
        <v>0</v>
      </c>
      <c r="L183" s="2">
        <f>Table157810[[#This Row],[Period]]+$E$9</f>
        <v>179</v>
      </c>
      <c r="M183" s="3">
        <f>Table157810[[#This Row],[Defaulted Principal]]-Table157810[[#This Row],[Estimated Loss]]</f>
        <v>0</v>
      </c>
      <c r="N183" s="3">
        <f>IFERROR(VLOOKUP(Table157810[[#This Row],[Period]],$L$16:$M$385,2,FALSE),0)</f>
        <v>0</v>
      </c>
      <c r="O183" s="3">
        <f>Table157810[[#This Row],[Beginning Balance]]-Table157810[[#This Row],[Principal]]-Table157810[[#This Row],[Prepayments]]-Table157810[[#This Row],[Defaulted Principal]]</f>
        <v>0</v>
      </c>
      <c r="P183" s="3">
        <f>Table157810[[#This Row],[Principal]]+Table157810[[#This Row],[Interest]]+Table157810[[#This Row],[Prepayments]]+Table157810[[#This Row],[RecoveredAmount]]</f>
        <v>0</v>
      </c>
      <c r="Q183" s="3">
        <f ca="1">ROUND(Table157810[[#This Row],[Cash Flow]]/((1+ActualRateToUse)^(IF(ISNUMBER(SEARCH("Actual",$C$7)),Table157810[[#This Row],[Running Total]]/365,Table157810[[#This Row],[Period]]/12))),2)</f>
        <v>0</v>
      </c>
      <c r="R183" s="2">
        <f>IF(MONTH(Table157810[[#This Row],[Date]])=2,28,DAY(DATE(YEAR(Table157810[[#This Row],[Date]]),MONTH(Table157810[[#This Row],[Date]])+1,1)-1))</f>
        <v>31</v>
      </c>
      <c r="S183" s="2">
        <f ca="1">SUM(OFFSET(Table157810[[#Headers],[Days in month]],1,0):Table157810[[#This Row],[Days in month]])</f>
        <v>5080</v>
      </c>
      <c r="T183" s="37">
        <f>InterestRate*AmortizationMultiplier*IF(ISNUMBER(SEARCH("Actual",$C$7)),Table157810[[#This Row],[Days in month]]/365,1/12)</f>
        <v>5.9839472222222214E-3</v>
      </c>
    </row>
    <row r="184" spans="2:20" x14ac:dyDescent="0.2">
      <c r="B184" s="1">
        <f t="shared" si="6"/>
        <v>50951</v>
      </c>
      <c r="C184" s="2">
        <f t="shared" si="8"/>
        <v>168</v>
      </c>
      <c r="D184" s="3">
        <f t="shared" si="7"/>
        <v>0</v>
      </c>
      <c r="E184" s="3">
        <f>ROUND(Table157810[[#This Row],[Beginning Balance]]*Table157810[[#This Row],[Monthly Interest Rate]],2)</f>
        <v>0</v>
      </c>
      <c r="F184" s="3">
        <f t="shared" si="9"/>
        <v>674</v>
      </c>
      <c r="G184" s="23">
        <f>IFERROR(IF($C$13="No","N/A",IF(Table157810[[#This Row],[Period]]=1,$C$6,PMT(InterestRate*AmortizationMultiplier/12,Table157810[[#This Row],[Am Thru]],-Table157810[[#This Row],[Beginning Balance]]))),0)</f>
        <v>0</v>
      </c>
      <c r="H184" s="3">
        <f>MAX(0,IF(C184=$C$4,D184,ROUND(IF($C$3="Fixed Principal",$C$6-Table157810[[#This Row],[Interest]],IF($C$3="Interest Only",Table157810[[#This Row],[Beginning Balance]]*ROUND(1-(1-IF($C$11="No",$E$8,1))^(1/12),6),MIN(IF($C$13="Yes",Table157810[[#This Row],[Payment Amount (Reamortized)]],$C$6)-Table157810[[#This Row],[Interest]],Table157810[[#This Row],[Beginning Balance]]))),2)))</f>
        <v>0</v>
      </c>
      <c r="I184" s="3">
        <f>_xlfn.SINGLE(IF($C$3="Line of Credit",0,ROUND(MAX(MIN(IF($C$10="No",$E$7,VLOOKUP(Table157810[[#This Row],[Period]],Forecast!$H$2:$L$1048576,4,FALSE))*Table157810[[#This Row],[Beginning Balance]],Table157810[[#This Row],[Beginning Balance]]-Table157810[[#This Row],[Principal]]),0),2)))</f>
        <v>0</v>
      </c>
      <c r="J184" s="3">
        <f>ROUND(MIN(Table157810[[#This Row],[Beginning Balance]]*IF($C$8="No",$E$3,VLOOKUP(Table157810[[#This Row],[Period]],Forecast!$H$2:$L$1048576,2,FALSE)),Table157810[[#This Row],[Beginning Balance]]-Table157810[[#This Row],[Principal]]-Table157810[[#This Row],[Prepayments]]),2)</f>
        <v>0</v>
      </c>
      <c r="K184" s="3">
        <f>ROUND(Table157810[[#This Row],[Defaulted Principal]]*IF($C$9="No",$E$4,VLOOKUP(Table157810[[#This Row],[Period]],Forecast!$H$2:$L$1048576,3,FALSE)),2)</f>
        <v>0</v>
      </c>
      <c r="L184" s="2">
        <f>Table157810[[#This Row],[Period]]+$E$9</f>
        <v>180</v>
      </c>
      <c r="M184" s="3">
        <f>Table157810[[#This Row],[Defaulted Principal]]-Table157810[[#This Row],[Estimated Loss]]</f>
        <v>0</v>
      </c>
      <c r="N184" s="3">
        <f>IFERROR(VLOOKUP(Table157810[[#This Row],[Period]],$L$16:$M$385,2,FALSE),0)</f>
        <v>0</v>
      </c>
      <c r="O184" s="3">
        <f>Table157810[[#This Row],[Beginning Balance]]-Table157810[[#This Row],[Principal]]-Table157810[[#This Row],[Prepayments]]-Table157810[[#This Row],[Defaulted Principal]]</f>
        <v>0</v>
      </c>
      <c r="P184" s="3">
        <f>Table157810[[#This Row],[Principal]]+Table157810[[#This Row],[Interest]]+Table157810[[#This Row],[Prepayments]]+Table157810[[#This Row],[RecoveredAmount]]</f>
        <v>0</v>
      </c>
      <c r="Q184" s="3">
        <f ca="1">ROUND(Table157810[[#This Row],[Cash Flow]]/((1+ActualRateToUse)^(IF(ISNUMBER(SEARCH("Actual",$C$7)),Table157810[[#This Row],[Running Total]]/365,Table157810[[#This Row],[Period]]/12))),2)</f>
        <v>0</v>
      </c>
      <c r="R184" s="2">
        <f>IF(MONTH(Table157810[[#This Row],[Date]])=2,28,DAY(DATE(YEAR(Table157810[[#This Row],[Date]]),MONTH(Table157810[[#This Row],[Date]])+1,1)-1))</f>
        <v>30</v>
      </c>
      <c r="S184" s="2">
        <f ca="1">SUM(OFFSET(Table157810[[#Headers],[Days in month]],1,0):Table157810[[#This Row],[Days in month]])</f>
        <v>5110</v>
      </c>
      <c r="T184" s="37">
        <f>InterestRate*AmortizationMultiplier*IF(ISNUMBER(SEARCH("Actual",$C$7)),Table157810[[#This Row],[Days in month]]/365,1/12)</f>
        <v>5.7909166666666656E-3</v>
      </c>
    </row>
    <row r="185" spans="2:20" x14ac:dyDescent="0.2">
      <c r="B185" s="1">
        <f t="shared" si="6"/>
        <v>50982</v>
      </c>
      <c r="C185" s="2">
        <f t="shared" si="8"/>
        <v>169</v>
      </c>
      <c r="D185" s="3">
        <f t="shared" si="7"/>
        <v>0</v>
      </c>
      <c r="E185" s="3">
        <f>ROUND(Table157810[[#This Row],[Beginning Balance]]*Table157810[[#This Row],[Monthly Interest Rate]],2)</f>
        <v>0</v>
      </c>
      <c r="F185" s="3">
        <f t="shared" si="9"/>
        <v>673</v>
      </c>
      <c r="G185" s="23">
        <f>IFERROR(IF($C$13="No","N/A",IF(Table157810[[#This Row],[Period]]=1,$C$6,PMT(InterestRate*AmortizationMultiplier/12,Table157810[[#This Row],[Am Thru]],-Table157810[[#This Row],[Beginning Balance]]))),0)</f>
        <v>0</v>
      </c>
      <c r="H185" s="3">
        <f>MAX(0,IF(C185=$C$4,D185,ROUND(IF($C$3="Fixed Principal",$C$6-Table157810[[#This Row],[Interest]],IF($C$3="Interest Only",Table157810[[#This Row],[Beginning Balance]]*ROUND(1-(1-IF($C$11="No",$E$8,1))^(1/12),6),MIN(IF($C$13="Yes",Table157810[[#This Row],[Payment Amount (Reamortized)]],$C$6)-Table157810[[#This Row],[Interest]],Table157810[[#This Row],[Beginning Balance]]))),2)))</f>
        <v>0</v>
      </c>
      <c r="I185" s="3">
        <f>_xlfn.SINGLE(IF($C$3="Line of Credit",0,ROUND(MAX(MIN(IF($C$10="No",$E$7,VLOOKUP(Table157810[[#This Row],[Period]],Forecast!$H$2:$L$1048576,4,FALSE))*Table157810[[#This Row],[Beginning Balance]],Table157810[[#This Row],[Beginning Balance]]-Table157810[[#This Row],[Principal]]),0),2)))</f>
        <v>0</v>
      </c>
      <c r="J185" s="3">
        <f>ROUND(MIN(Table157810[[#This Row],[Beginning Balance]]*IF($C$8="No",$E$3,VLOOKUP(Table157810[[#This Row],[Period]],Forecast!$H$2:$L$1048576,2,FALSE)),Table157810[[#This Row],[Beginning Balance]]-Table157810[[#This Row],[Principal]]-Table157810[[#This Row],[Prepayments]]),2)</f>
        <v>0</v>
      </c>
      <c r="K185" s="3">
        <f>ROUND(Table157810[[#This Row],[Defaulted Principal]]*IF($C$9="No",$E$4,VLOOKUP(Table157810[[#This Row],[Period]],Forecast!$H$2:$L$1048576,3,FALSE)),2)</f>
        <v>0</v>
      </c>
      <c r="L185" s="2">
        <f>Table157810[[#This Row],[Period]]+$E$9</f>
        <v>181</v>
      </c>
      <c r="M185" s="3">
        <f>Table157810[[#This Row],[Defaulted Principal]]-Table157810[[#This Row],[Estimated Loss]]</f>
        <v>0</v>
      </c>
      <c r="N185" s="3">
        <f>IFERROR(VLOOKUP(Table157810[[#This Row],[Period]],$L$16:$M$385,2,FALSE),0)</f>
        <v>0</v>
      </c>
      <c r="O185" s="3">
        <f>Table157810[[#This Row],[Beginning Balance]]-Table157810[[#This Row],[Principal]]-Table157810[[#This Row],[Prepayments]]-Table157810[[#This Row],[Defaulted Principal]]</f>
        <v>0</v>
      </c>
      <c r="P185" s="3">
        <f>Table157810[[#This Row],[Principal]]+Table157810[[#This Row],[Interest]]+Table157810[[#This Row],[Prepayments]]+Table157810[[#This Row],[RecoveredAmount]]</f>
        <v>0</v>
      </c>
      <c r="Q185" s="3">
        <f ca="1">ROUND(Table157810[[#This Row],[Cash Flow]]/((1+ActualRateToUse)^(IF(ISNUMBER(SEARCH("Actual",$C$7)),Table157810[[#This Row],[Running Total]]/365,Table157810[[#This Row],[Period]]/12))),2)</f>
        <v>0</v>
      </c>
      <c r="R185" s="2">
        <f>IF(MONTH(Table157810[[#This Row],[Date]])=2,28,DAY(DATE(YEAR(Table157810[[#This Row],[Date]]),MONTH(Table157810[[#This Row],[Date]])+1,1)-1))</f>
        <v>31</v>
      </c>
      <c r="S185" s="2">
        <f ca="1">SUM(OFFSET(Table157810[[#Headers],[Days in month]],1,0):Table157810[[#This Row],[Days in month]])</f>
        <v>5141</v>
      </c>
      <c r="T185" s="37">
        <f>InterestRate*AmortizationMultiplier*IF(ISNUMBER(SEARCH("Actual",$C$7)),Table157810[[#This Row],[Days in month]]/365,1/12)</f>
        <v>5.9839472222222214E-3</v>
      </c>
    </row>
    <row r="186" spans="2:20" x14ac:dyDescent="0.2">
      <c r="B186" s="1">
        <f t="shared" si="6"/>
        <v>51013</v>
      </c>
      <c r="C186" s="2">
        <f t="shared" si="8"/>
        <v>170</v>
      </c>
      <c r="D186" s="3">
        <f t="shared" si="7"/>
        <v>0</v>
      </c>
      <c r="E186" s="3">
        <f>ROUND(Table157810[[#This Row],[Beginning Balance]]*Table157810[[#This Row],[Monthly Interest Rate]],2)</f>
        <v>0</v>
      </c>
      <c r="F186" s="3">
        <f t="shared" si="9"/>
        <v>672</v>
      </c>
      <c r="G186" s="23">
        <f>IFERROR(IF($C$13="No","N/A",IF(Table157810[[#This Row],[Period]]=1,$C$6,PMT(InterestRate*AmortizationMultiplier/12,Table157810[[#This Row],[Am Thru]],-Table157810[[#This Row],[Beginning Balance]]))),0)</f>
        <v>0</v>
      </c>
      <c r="H186" s="3">
        <f>MAX(0,IF(C186=$C$4,D186,ROUND(IF($C$3="Fixed Principal",$C$6-Table157810[[#This Row],[Interest]],IF($C$3="Interest Only",Table157810[[#This Row],[Beginning Balance]]*ROUND(1-(1-IF($C$11="No",$E$8,1))^(1/12),6),MIN(IF($C$13="Yes",Table157810[[#This Row],[Payment Amount (Reamortized)]],$C$6)-Table157810[[#This Row],[Interest]],Table157810[[#This Row],[Beginning Balance]]))),2)))</f>
        <v>0</v>
      </c>
      <c r="I186" s="3">
        <f>_xlfn.SINGLE(IF($C$3="Line of Credit",0,ROUND(MAX(MIN(IF($C$10="No",$E$7,VLOOKUP(Table157810[[#This Row],[Period]],Forecast!$H$2:$L$1048576,4,FALSE))*Table157810[[#This Row],[Beginning Balance]],Table157810[[#This Row],[Beginning Balance]]-Table157810[[#This Row],[Principal]]),0),2)))</f>
        <v>0</v>
      </c>
      <c r="J186" s="3">
        <f>ROUND(MIN(Table157810[[#This Row],[Beginning Balance]]*IF($C$8="No",$E$3,VLOOKUP(Table157810[[#This Row],[Period]],Forecast!$H$2:$L$1048576,2,FALSE)),Table157810[[#This Row],[Beginning Balance]]-Table157810[[#This Row],[Principal]]-Table157810[[#This Row],[Prepayments]]),2)</f>
        <v>0</v>
      </c>
      <c r="K186" s="3">
        <f>ROUND(Table157810[[#This Row],[Defaulted Principal]]*IF($C$9="No",$E$4,VLOOKUP(Table157810[[#This Row],[Period]],Forecast!$H$2:$L$1048576,3,FALSE)),2)</f>
        <v>0</v>
      </c>
      <c r="L186" s="2">
        <f>Table157810[[#This Row],[Period]]+$E$9</f>
        <v>182</v>
      </c>
      <c r="M186" s="3">
        <f>Table157810[[#This Row],[Defaulted Principal]]-Table157810[[#This Row],[Estimated Loss]]</f>
        <v>0</v>
      </c>
      <c r="N186" s="3">
        <f>IFERROR(VLOOKUP(Table157810[[#This Row],[Period]],$L$16:$M$385,2,FALSE),0)</f>
        <v>0</v>
      </c>
      <c r="O186" s="3">
        <f>Table157810[[#This Row],[Beginning Balance]]-Table157810[[#This Row],[Principal]]-Table157810[[#This Row],[Prepayments]]-Table157810[[#This Row],[Defaulted Principal]]</f>
        <v>0</v>
      </c>
      <c r="P186" s="3">
        <f>Table157810[[#This Row],[Principal]]+Table157810[[#This Row],[Interest]]+Table157810[[#This Row],[Prepayments]]+Table157810[[#This Row],[RecoveredAmount]]</f>
        <v>0</v>
      </c>
      <c r="Q186" s="3">
        <f ca="1">ROUND(Table157810[[#This Row],[Cash Flow]]/((1+ActualRateToUse)^(IF(ISNUMBER(SEARCH("Actual",$C$7)),Table157810[[#This Row],[Running Total]]/365,Table157810[[#This Row],[Period]]/12))),2)</f>
        <v>0</v>
      </c>
      <c r="R186" s="2">
        <f>IF(MONTH(Table157810[[#This Row],[Date]])=2,28,DAY(DATE(YEAR(Table157810[[#This Row],[Date]]),MONTH(Table157810[[#This Row],[Date]])+1,1)-1))</f>
        <v>31</v>
      </c>
      <c r="S186" s="2">
        <f ca="1">SUM(OFFSET(Table157810[[#Headers],[Days in month]],1,0):Table157810[[#This Row],[Days in month]])</f>
        <v>5172</v>
      </c>
      <c r="T186" s="37">
        <f>InterestRate*AmortizationMultiplier*IF(ISNUMBER(SEARCH("Actual",$C$7)),Table157810[[#This Row],[Days in month]]/365,1/12)</f>
        <v>5.9839472222222214E-3</v>
      </c>
    </row>
    <row r="187" spans="2:20" x14ac:dyDescent="0.2">
      <c r="B187" s="1">
        <f t="shared" si="6"/>
        <v>51043</v>
      </c>
      <c r="C187" s="2">
        <f t="shared" si="8"/>
        <v>171</v>
      </c>
      <c r="D187" s="3">
        <f t="shared" si="7"/>
        <v>0</v>
      </c>
      <c r="E187" s="3">
        <f>ROUND(Table157810[[#This Row],[Beginning Balance]]*Table157810[[#This Row],[Monthly Interest Rate]],2)</f>
        <v>0</v>
      </c>
      <c r="F187" s="3">
        <f t="shared" si="9"/>
        <v>671</v>
      </c>
      <c r="G187" s="23">
        <f>IFERROR(IF($C$13="No","N/A",IF(Table157810[[#This Row],[Period]]=1,$C$6,PMT(InterestRate*AmortizationMultiplier/12,Table157810[[#This Row],[Am Thru]],-Table157810[[#This Row],[Beginning Balance]]))),0)</f>
        <v>0</v>
      </c>
      <c r="H187" s="3">
        <f>MAX(0,IF(C187=$C$4,D187,ROUND(IF($C$3="Fixed Principal",$C$6-Table157810[[#This Row],[Interest]],IF($C$3="Interest Only",Table157810[[#This Row],[Beginning Balance]]*ROUND(1-(1-IF($C$11="No",$E$8,1))^(1/12),6),MIN(IF($C$13="Yes",Table157810[[#This Row],[Payment Amount (Reamortized)]],$C$6)-Table157810[[#This Row],[Interest]],Table157810[[#This Row],[Beginning Balance]]))),2)))</f>
        <v>0</v>
      </c>
      <c r="I187" s="3">
        <f>_xlfn.SINGLE(IF($C$3="Line of Credit",0,ROUND(MAX(MIN(IF($C$10="No",$E$7,VLOOKUP(Table157810[[#This Row],[Period]],Forecast!$H$2:$L$1048576,4,FALSE))*Table157810[[#This Row],[Beginning Balance]],Table157810[[#This Row],[Beginning Balance]]-Table157810[[#This Row],[Principal]]),0),2)))</f>
        <v>0</v>
      </c>
      <c r="J187" s="3">
        <f>ROUND(MIN(Table157810[[#This Row],[Beginning Balance]]*IF($C$8="No",$E$3,VLOOKUP(Table157810[[#This Row],[Period]],Forecast!$H$2:$L$1048576,2,FALSE)),Table157810[[#This Row],[Beginning Balance]]-Table157810[[#This Row],[Principal]]-Table157810[[#This Row],[Prepayments]]),2)</f>
        <v>0</v>
      </c>
      <c r="K187" s="3">
        <f>ROUND(Table157810[[#This Row],[Defaulted Principal]]*IF($C$9="No",$E$4,VLOOKUP(Table157810[[#This Row],[Period]],Forecast!$H$2:$L$1048576,3,FALSE)),2)</f>
        <v>0</v>
      </c>
      <c r="L187" s="2">
        <f>Table157810[[#This Row],[Period]]+$E$9</f>
        <v>183</v>
      </c>
      <c r="M187" s="3">
        <f>Table157810[[#This Row],[Defaulted Principal]]-Table157810[[#This Row],[Estimated Loss]]</f>
        <v>0</v>
      </c>
      <c r="N187" s="3">
        <f>IFERROR(VLOOKUP(Table157810[[#This Row],[Period]],$L$16:$M$385,2,FALSE),0)</f>
        <v>0</v>
      </c>
      <c r="O187" s="3">
        <f>Table157810[[#This Row],[Beginning Balance]]-Table157810[[#This Row],[Principal]]-Table157810[[#This Row],[Prepayments]]-Table157810[[#This Row],[Defaulted Principal]]</f>
        <v>0</v>
      </c>
      <c r="P187" s="3">
        <f>Table157810[[#This Row],[Principal]]+Table157810[[#This Row],[Interest]]+Table157810[[#This Row],[Prepayments]]+Table157810[[#This Row],[RecoveredAmount]]</f>
        <v>0</v>
      </c>
      <c r="Q187" s="3">
        <f ca="1">ROUND(Table157810[[#This Row],[Cash Flow]]/((1+ActualRateToUse)^(IF(ISNUMBER(SEARCH("Actual",$C$7)),Table157810[[#This Row],[Running Total]]/365,Table157810[[#This Row],[Period]]/12))),2)</f>
        <v>0</v>
      </c>
      <c r="R187" s="2">
        <f>IF(MONTH(Table157810[[#This Row],[Date]])=2,28,DAY(DATE(YEAR(Table157810[[#This Row],[Date]]),MONTH(Table157810[[#This Row],[Date]])+1,1)-1))</f>
        <v>30</v>
      </c>
      <c r="S187" s="2">
        <f ca="1">SUM(OFFSET(Table157810[[#Headers],[Days in month]],1,0):Table157810[[#This Row],[Days in month]])</f>
        <v>5202</v>
      </c>
      <c r="T187" s="37">
        <f>InterestRate*AmortizationMultiplier*IF(ISNUMBER(SEARCH("Actual",$C$7)),Table157810[[#This Row],[Days in month]]/365,1/12)</f>
        <v>5.7909166666666656E-3</v>
      </c>
    </row>
    <row r="188" spans="2:20" x14ac:dyDescent="0.2">
      <c r="B188" s="1">
        <f t="shared" si="6"/>
        <v>51074</v>
      </c>
      <c r="C188" s="2">
        <f t="shared" si="8"/>
        <v>172</v>
      </c>
      <c r="D188" s="3">
        <f t="shared" si="7"/>
        <v>0</v>
      </c>
      <c r="E188" s="3">
        <f>ROUND(Table157810[[#This Row],[Beginning Balance]]*Table157810[[#This Row],[Monthly Interest Rate]],2)</f>
        <v>0</v>
      </c>
      <c r="F188" s="3">
        <f t="shared" si="9"/>
        <v>670</v>
      </c>
      <c r="G188" s="23">
        <f>IFERROR(IF($C$13="No","N/A",IF(Table157810[[#This Row],[Period]]=1,$C$6,PMT(InterestRate*AmortizationMultiplier/12,Table157810[[#This Row],[Am Thru]],-Table157810[[#This Row],[Beginning Balance]]))),0)</f>
        <v>0</v>
      </c>
      <c r="H188" s="3">
        <f>MAX(0,IF(C188=$C$4,D188,ROUND(IF($C$3="Fixed Principal",$C$6-Table157810[[#This Row],[Interest]],IF($C$3="Interest Only",Table157810[[#This Row],[Beginning Balance]]*ROUND(1-(1-IF($C$11="No",$E$8,1))^(1/12),6),MIN(IF($C$13="Yes",Table157810[[#This Row],[Payment Amount (Reamortized)]],$C$6)-Table157810[[#This Row],[Interest]],Table157810[[#This Row],[Beginning Balance]]))),2)))</f>
        <v>0</v>
      </c>
      <c r="I188" s="3">
        <f>_xlfn.SINGLE(IF($C$3="Line of Credit",0,ROUND(MAX(MIN(IF($C$10="No",$E$7,VLOOKUP(Table157810[[#This Row],[Period]],Forecast!$H$2:$L$1048576,4,FALSE))*Table157810[[#This Row],[Beginning Balance]],Table157810[[#This Row],[Beginning Balance]]-Table157810[[#This Row],[Principal]]),0),2)))</f>
        <v>0</v>
      </c>
      <c r="J188" s="3">
        <f>ROUND(MIN(Table157810[[#This Row],[Beginning Balance]]*IF($C$8="No",$E$3,VLOOKUP(Table157810[[#This Row],[Period]],Forecast!$H$2:$L$1048576,2,FALSE)),Table157810[[#This Row],[Beginning Balance]]-Table157810[[#This Row],[Principal]]-Table157810[[#This Row],[Prepayments]]),2)</f>
        <v>0</v>
      </c>
      <c r="K188" s="3">
        <f>ROUND(Table157810[[#This Row],[Defaulted Principal]]*IF($C$9="No",$E$4,VLOOKUP(Table157810[[#This Row],[Period]],Forecast!$H$2:$L$1048576,3,FALSE)),2)</f>
        <v>0</v>
      </c>
      <c r="L188" s="2">
        <f>Table157810[[#This Row],[Period]]+$E$9</f>
        <v>184</v>
      </c>
      <c r="M188" s="3">
        <f>Table157810[[#This Row],[Defaulted Principal]]-Table157810[[#This Row],[Estimated Loss]]</f>
        <v>0</v>
      </c>
      <c r="N188" s="3">
        <f>IFERROR(VLOOKUP(Table157810[[#This Row],[Period]],$L$16:$M$385,2,FALSE),0)</f>
        <v>0</v>
      </c>
      <c r="O188" s="3">
        <f>Table157810[[#This Row],[Beginning Balance]]-Table157810[[#This Row],[Principal]]-Table157810[[#This Row],[Prepayments]]-Table157810[[#This Row],[Defaulted Principal]]</f>
        <v>0</v>
      </c>
      <c r="P188" s="3">
        <f>Table157810[[#This Row],[Principal]]+Table157810[[#This Row],[Interest]]+Table157810[[#This Row],[Prepayments]]+Table157810[[#This Row],[RecoveredAmount]]</f>
        <v>0</v>
      </c>
      <c r="Q188" s="3">
        <f ca="1">ROUND(Table157810[[#This Row],[Cash Flow]]/((1+ActualRateToUse)^(IF(ISNUMBER(SEARCH("Actual",$C$7)),Table157810[[#This Row],[Running Total]]/365,Table157810[[#This Row],[Period]]/12))),2)</f>
        <v>0</v>
      </c>
      <c r="R188" s="2">
        <f>IF(MONTH(Table157810[[#This Row],[Date]])=2,28,DAY(DATE(YEAR(Table157810[[#This Row],[Date]]),MONTH(Table157810[[#This Row],[Date]])+1,1)-1))</f>
        <v>31</v>
      </c>
      <c r="S188" s="2">
        <f ca="1">SUM(OFFSET(Table157810[[#Headers],[Days in month]],1,0):Table157810[[#This Row],[Days in month]])</f>
        <v>5233</v>
      </c>
      <c r="T188" s="37">
        <f>InterestRate*AmortizationMultiplier*IF(ISNUMBER(SEARCH("Actual",$C$7)),Table157810[[#This Row],[Days in month]]/365,1/12)</f>
        <v>5.9839472222222214E-3</v>
      </c>
    </row>
    <row r="189" spans="2:20" x14ac:dyDescent="0.2">
      <c r="B189" s="1">
        <f t="shared" si="6"/>
        <v>51104</v>
      </c>
      <c r="C189" s="2">
        <f t="shared" si="8"/>
        <v>173</v>
      </c>
      <c r="D189" s="3">
        <f t="shared" si="7"/>
        <v>0</v>
      </c>
      <c r="E189" s="3">
        <f>ROUND(Table157810[[#This Row],[Beginning Balance]]*Table157810[[#This Row],[Monthly Interest Rate]],2)</f>
        <v>0</v>
      </c>
      <c r="F189" s="3">
        <f t="shared" si="9"/>
        <v>669</v>
      </c>
      <c r="G189" s="23">
        <f>IFERROR(IF($C$13="No","N/A",IF(Table157810[[#This Row],[Period]]=1,$C$6,PMT(InterestRate*AmortizationMultiplier/12,Table157810[[#This Row],[Am Thru]],-Table157810[[#This Row],[Beginning Balance]]))),0)</f>
        <v>0</v>
      </c>
      <c r="H189" s="3">
        <f>MAX(0,IF(C189=$C$4,D189,ROUND(IF($C$3="Fixed Principal",$C$6-Table157810[[#This Row],[Interest]],IF($C$3="Interest Only",Table157810[[#This Row],[Beginning Balance]]*ROUND(1-(1-IF($C$11="No",$E$8,1))^(1/12),6),MIN(IF($C$13="Yes",Table157810[[#This Row],[Payment Amount (Reamortized)]],$C$6)-Table157810[[#This Row],[Interest]],Table157810[[#This Row],[Beginning Balance]]))),2)))</f>
        <v>0</v>
      </c>
      <c r="I189" s="3">
        <f>_xlfn.SINGLE(IF($C$3="Line of Credit",0,ROUND(MAX(MIN(IF($C$10="No",$E$7,VLOOKUP(Table157810[[#This Row],[Period]],Forecast!$H$2:$L$1048576,4,FALSE))*Table157810[[#This Row],[Beginning Balance]],Table157810[[#This Row],[Beginning Balance]]-Table157810[[#This Row],[Principal]]),0),2)))</f>
        <v>0</v>
      </c>
      <c r="J189" s="3">
        <f>ROUND(MIN(Table157810[[#This Row],[Beginning Balance]]*IF($C$8="No",$E$3,VLOOKUP(Table157810[[#This Row],[Period]],Forecast!$H$2:$L$1048576,2,FALSE)),Table157810[[#This Row],[Beginning Balance]]-Table157810[[#This Row],[Principal]]-Table157810[[#This Row],[Prepayments]]),2)</f>
        <v>0</v>
      </c>
      <c r="K189" s="3">
        <f>ROUND(Table157810[[#This Row],[Defaulted Principal]]*IF($C$9="No",$E$4,VLOOKUP(Table157810[[#This Row],[Period]],Forecast!$H$2:$L$1048576,3,FALSE)),2)</f>
        <v>0</v>
      </c>
      <c r="L189" s="2">
        <f>Table157810[[#This Row],[Period]]+$E$9</f>
        <v>185</v>
      </c>
      <c r="M189" s="3">
        <f>Table157810[[#This Row],[Defaulted Principal]]-Table157810[[#This Row],[Estimated Loss]]</f>
        <v>0</v>
      </c>
      <c r="N189" s="3">
        <f>IFERROR(VLOOKUP(Table157810[[#This Row],[Period]],$L$16:$M$385,2,FALSE),0)</f>
        <v>0</v>
      </c>
      <c r="O189" s="3">
        <f>Table157810[[#This Row],[Beginning Balance]]-Table157810[[#This Row],[Principal]]-Table157810[[#This Row],[Prepayments]]-Table157810[[#This Row],[Defaulted Principal]]</f>
        <v>0</v>
      </c>
      <c r="P189" s="3">
        <f>Table157810[[#This Row],[Principal]]+Table157810[[#This Row],[Interest]]+Table157810[[#This Row],[Prepayments]]+Table157810[[#This Row],[RecoveredAmount]]</f>
        <v>0</v>
      </c>
      <c r="Q189" s="3">
        <f ca="1">ROUND(Table157810[[#This Row],[Cash Flow]]/((1+ActualRateToUse)^(IF(ISNUMBER(SEARCH("Actual",$C$7)),Table157810[[#This Row],[Running Total]]/365,Table157810[[#This Row],[Period]]/12))),2)</f>
        <v>0</v>
      </c>
      <c r="R189" s="2">
        <f>IF(MONTH(Table157810[[#This Row],[Date]])=2,28,DAY(DATE(YEAR(Table157810[[#This Row],[Date]]),MONTH(Table157810[[#This Row],[Date]])+1,1)-1))</f>
        <v>30</v>
      </c>
      <c r="S189" s="2">
        <f ca="1">SUM(OFFSET(Table157810[[#Headers],[Days in month]],1,0):Table157810[[#This Row],[Days in month]])</f>
        <v>5263</v>
      </c>
      <c r="T189" s="37">
        <f>InterestRate*AmortizationMultiplier*IF(ISNUMBER(SEARCH("Actual",$C$7)),Table157810[[#This Row],[Days in month]]/365,1/12)</f>
        <v>5.7909166666666656E-3</v>
      </c>
    </row>
    <row r="190" spans="2:20" x14ac:dyDescent="0.2">
      <c r="B190" s="1">
        <f t="shared" si="6"/>
        <v>51135</v>
      </c>
      <c r="C190" s="2">
        <f t="shared" si="8"/>
        <v>174</v>
      </c>
      <c r="D190" s="3">
        <f t="shared" si="7"/>
        <v>0</v>
      </c>
      <c r="E190" s="3">
        <f>ROUND(Table157810[[#This Row],[Beginning Balance]]*Table157810[[#This Row],[Monthly Interest Rate]],2)</f>
        <v>0</v>
      </c>
      <c r="F190" s="3">
        <f t="shared" si="9"/>
        <v>668</v>
      </c>
      <c r="G190" s="23">
        <f>IFERROR(IF($C$13="No","N/A",IF(Table157810[[#This Row],[Period]]=1,$C$6,PMT(InterestRate*AmortizationMultiplier/12,Table157810[[#This Row],[Am Thru]],-Table157810[[#This Row],[Beginning Balance]]))),0)</f>
        <v>0</v>
      </c>
      <c r="H190" s="3">
        <f>MAX(0,IF(C190=$C$4,D190,ROUND(IF($C$3="Fixed Principal",$C$6-Table157810[[#This Row],[Interest]],IF($C$3="Interest Only",Table157810[[#This Row],[Beginning Balance]]*ROUND(1-(1-IF($C$11="No",$E$8,1))^(1/12),6),MIN(IF($C$13="Yes",Table157810[[#This Row],[Payment Amount (Reamortized)]],$C$6)-Table157810[[#This Row],[Interest]],Table157810[[#This Row],[Beginning Balance]]))),2)))</f>
        <v>0</v>
      </c>
      <c r="I190" s="3">
        <f>_xlfn.SINGLE(IF($C$3="Line of Credit",0,ROUND(MAX(MIN(IF($C$10="No",$E$7,VLOOKUP(Table157810[[#This Row],[Period]],Forecast!$H$2:$L$1048576,4,FALSE))*Table157810[[#This Row],[Beginning Balance]],Table157810[[#This Row],[Beginning Balance]]-Table157810[[#This Row],[Principal]]),0),2)))</f>
        <v>0</v>
      </c>
      <c r="J190" s="3">
        <f>ROUND(MIN(Table157810[[#This Row],[Beginning Balance]]*IF($C$8="No",$E$3,VLOOKUP(Table157810[[#This Row],[Period]],Forecast!$H$2:$L$1048576,2,FALSE)),Table157810[[#This Row],[Beginning Balance]]-Table157810[[#This Row],[Principal]]-Table157810[[#This Row],[Prepayments]]),2)</f>
        <v>0</v>
      </c>
      <c r="K190" s="3">
        <f>ROUND(Table157810[[#This Row],[Defaulted Principal]]*IF($C$9="No",$E$4,VLOOKUP(Table157810[[#This Row],[Period]],Forecast!$H$2:$L$1048576,3,FALSE)),2)</f>
        <v>0</v>
      </c>
      <c r="L190" s="2">
        <f>Table157810[[#This Row],[Period]]+$E$9</f>
        <v>186</v>
      </c>
      <c r="M190" s="3">
        <f>Table157810[[#This Row],[Defaulted Principal]]-Table157810[[#This Row],[Estimated Loss]]</f>
        <v>0</v>
      </c>
      <c r="N190" s="3">
        <f>IFERROR(VLOOKUP(Table157810[[#This Row],[Period]],$L$16:$M$385,2,FALSE),0)</f>
        <v>0</v>
      </c>
      <c r="O190" s="3">
        <f>Table157810[[#This Row],[Beginning Balance]]-Table157810[[#This Row],[Principal]]-Table157810[[#This Row],[Prepayments]]-Table157810[[#This Row],[Defaulted Principal]]</f>
        <v>0</v>
      </c>
      <c r="P190" s="3">
        <f>Table157810[[#This Row],[Principal]]+Table157810[[#This Row],[Interest]]+Table157810[[#This Row],[Prepayments]]+Table157810[[#This Row],[RecoveredAmount]]</f>
        <v>0</v>
      </c>
      <c r="Q190" s="3">
        <f ca="1">ROUND(Table157810[[#This Row],[Cash Flow]]/((1+ActualRateToUse)^(IF(ISNUMBER(SEARCH("Actual",$C$7)),Table157810[[#This Row],[Running Total]]/365,Table157810[[#This Row],[Period]]/12))),2)</f>
        <v>0</v>
      </c>
      <c r="R190" s="2">
        <f>IF(MONTH(Table157810[[#This Row],[Date]])=2,28,DAY(DATE(YEAR(Table157810[[#This Row],[Date]]),MONTH(Table157810[[#This Row],[Date]])+1,1)-1))</f>
        <v>31</v>
      </c>
      <c r="S190" s="2">
        <f ca="1">SUM(OFFSET(Table157810[[#Headers],[Days in month]],1,0):Table157810[[#This Row],[Days in month]])</f>
        <v>5294</v>
      </c>
      <c r="T190" s="37">
        <f>InterestRate*AmortizationMultiplier*IF(ISNUMBER(SEARCH("Actual",$C$7)),Table157810[[#This Row],[Days in month]]/365,1/12)</f>
        <v>5.9839472222222214E-3</v>
      </c>
    </row>
    <row r="191" spans="2:20" x14ac:dyDescent="0.2">
      <c r="B191" s="1">
        <f t="shared" si="6"/>
        <v>51166</v>
      </c>
      <c r="C191" s="2">
        <f t="shared" si="8"/>
        <v>175</v>
      </c>
      <c r="D191" s="3">
        <f t="shared" si="7"/>
        <v>0</v>
      </c>
      <c r="E191" s="3">
        <f>ROUND(Table157810[[#This Row],[Beginning Balance]]*Table157810[[#This Row],[Monthly Interest Rate]],2)</f>
        <v>0</v>
      </c>
      <c r="F191" s="3">
        <f t="shared" si="9"/>
        <v>667</v>
      </c>
      <c r="G191" s="23">
        <f>IFERROR(IF($C$13="No","N/A",IF(Table157810[[#This Row],[Period]]=1,$C$6,PMT(InterestRate*AmortizationMultiplier/12,Table157810[[#This Row],[Am Thru]],-Table157810[[#This Row],[Beginning Balance]]))),0)</f>
        <v>0</v>
      </c>
      <c r="H191" s="3">
        <f>MAX(0,IF(C191=$C$4,D191,ROUND(IF($C$3="Fixed Principal",$C$6-Table157810[[#This Row],[Interest]],IF($C$3="Interest Only",Table157810[[#This Row],[Beginning Balance]]*ROUND(1-(1-IF($C$11="No",$E$8,1))^(1/12),6),MIN(IF($C$13="Yes",Table157810[[#This Row],[Payment Amount (Reamortized)]],$C$6)-Table157810[[#This Row],[Interest]],Table157810[[#This Row],[Beginning Balance]]))),2)))</f>
        <v>0</v>
      </c>
      <c r="I191" s="3">
        <f>_xlfn.SINGLE(IF($C$3="Line of Credit",0,ROUND(MAX(MIN(IF($C$10="No",$E$7,VLOOKUP(Table157810[[#This Row],[Period]],Forecast!$H$2:$L$1048576,4,FALSE))*Table157810[[#This Row],[Beginning Balance]],Table157810[[#This Row],[Beginning Balance]]-Table157810[[#This Row],[Principal]]),0),2)))</f>
        <v>0</v>
      </c>
      <c r="J191" s="3">
        <f>ROUND(MIN(Table157810[[#This Row],[Beginning Balance]]*IF($C$8="No",$E$3,VLOOKUP(Table157810[[#This Row],[Period]],Forecast!$H$2:$L$1048576,2,FALSE)),Table157810[[#This Row],[Beginning Balance]]-Table157810[[#This Row],[Principal]]-Table157810[[#This Row],[Prepayments]]),2)</f>
        <v>0</v>
      </c>
      <c r="K191" s="3">
        <f>ROUND(Table157810[[#This Row],[Defaulted Principal]]*IF($C$9="No",$E$4,VLOOKUP(Table157810[[#This Row],[Period]],Forecast!$H$2:$L$1048576,3,FALSE)),2)</f>
        <v>0</v>
      </c>
      <c r="L191" s="2">
        <f>Table157810[[#This Row],[Period]]+$E$9</f>
        <v>187</v>
      </c>
      <c r="M191" s="3">
        <f>Table157810[[#This Row],[Defaulted Principal]]-Table157810[[#This Row],[Estimated Loss]]</f>
        <v>0</v>
      </c>
      <c r="N191" s="3">
        <f>IFERROR(VLOOKUP(Table157810[[#This Row],[Period]],$L$16:$M$385,2,FALSE),0)</f>
        <v>0</v>
      </c>
      <c r="O191" s="3">
        <f>Table157810[[#This Row],[Beginning Balance]]-Table157810[[#This Row],[Principal]]-Table157810[[#This Row],[Prepayments]]-Table157810[[#This Row],[Defaulted Principal]]</f>
        <v>0</v>
      </c>
      <c r="P191" s="3">
        <f>Table157810[[#This Row],[Principal]]+Table157810[[#This Row],[Interest]]+Table157810[[#This Row],[Prepayments]]+Table157810[[#This Row],[RecoveredAmount]]</f>
        <v>0</v>
      </c>
      <c r="Q191" s="3">
        <f ca="1">ROUND(Table157810[[#This Row],[Cash Flow]]/((1+ActualRateToUse)^(IF(ISNUMBER(SEARCH("Actual",$C$7)),Table157810[[#This Row],[Running Total]]/365,Table157810[[#This Row],[Period]]/12))),2)</f>
        <v>0</v>
      </c>
      <c r="R191" s="2">
        <f>IF(MONTH(Table157810[[#This Row],[Date]])=2,28,DAY(DATE(YEAR(Table157810[[#This Row],[Date]]),MONTH(Table157810[[#This Row],[Date]])+1,1)-1))</f>
        <v>31</v>
      </c>
      <c r="S191" s="2">
        <f ca="1">SUM(OFFSET(Table157810[[#Headers],[Days in month]],1,0):Table157810[[#This Row],[Days in month]])</f>
        <v>5325</v>
      </c>
      <c r="T191" s="37">
        <f>InterestRate*AmortizationMultiplier*IF(ISNUMBER(SEARCH("Actual",$C$7)),Table157810[[#This Row],[Days in month]]/365,1/12)</f>
        <v>5.9839472222222214E-3</v>
      </c>
    </row>
    <row r="192" spans="2:20" x14ac:dyDescent="0.2">
      <c r="B192" s="1">
        <f t="shared" si="6"/>
        <v>51195</v>
      </c>
      <c r="C192" s="2">
        <f t="shared" si="8"/>
        <v>176</v>
      </c>
      <c r="D192" s="3">
        <f t="shared" si="7"/>
        <v>0</v>
      </c>
      <c r="E192" s="3">
        <f>ROUND(Table157810[[#This Row],[Beginning Balance]]*Table157810[[#This Row],[Monthly Interest Rate]],2)</f>
        <v>0</v>
      </c>
      <c r="F192" s="3">
        <f t="shared" si="9"/>
        <v>666</v>
      </c>
      <c r="G192" s="23">
        <f>IFERROR(IF($C$13="No","N/A",IF(Table157810[[#This Row],[Period]]=1,$C$6,PMT(InterestRate*AmortizationMultiplier/12,Table157810[[#This Row],[Am Thru]],-Table157810[[#This Row],[Beginning Balance]]))),0)</f>
        <v>0</v>
      </c>
      <c r="H192" s="3">
        <f>MAX(0,IF(C192=$C$4,D192,ROUND(IF($C$3="Fixed Principal",$C$6-Table157810[[#This Row],[Interest]],IF($C$3="Interest Only",Table157810[[#This Row],[Beginning Balance]]*ROUND(1-(1-IF($C$11="No",$E$8,1))^(1/12),6),MIN(IF($C$13="Yes",Table157810[[#This Row],[Payment Amount (Reamortized)]],$C$6)-Table157810[[#This Row],[Interest]],Table157810[[#This Row],[Beginning Balance]]))),2)))</f>
        <v>0</v>
      </c>
      <c r="I192" s="3">
        <f>_xlfn.SINGLE(IF($C$3="Line of Credit",0,ROUND(MAX(MIN(IF($C$10="No",$E$7,VLOOKUP(Table157810[[#This Row],[Period]],Forecast!$H$2:$L$1048576,4,FALSE))*Table157810[[#This Row],[Beginning Balance]],Table157810[[#This Row],[Beginning Balance]]-Table157810[[#This Row],[Principal]]),0),2)))</f>
        <v>0</v>
      </c>
      <c r="J192" s="3">
        <f>ROUND(MIN(Table157810[[#This Row],[Beginning Balance]]*IF($C$8="No",$E$3,VLOOKUP(Table157810[[#This Row],[Period]],Forecast!$H$2:$L$1048576,2,FALSE)),Table157810[[#This Row],[Beginning Balance]]-Table157810[[#This Row],[Principal]]-Table157810[[#This Row],[Prepayments]]),2)</f>
        <v>0</v>
      </c>
      <c r="K192" s="3">
        <f>ROUND(Table157810[[#This Row],[Defaulted Principal]]*IF($C$9="No",$E$4,VLOOKUP(Table157810[[#This Row],[Period]],Forecast!$H$2:$L$1048576,3,FALSE)),2)</f>
        <v>0</v>
      </c>
      <c r="L192" s="2">
        <f>Table157810[[#This Row],[Period]]+$E$9</f>
        <v>188</v>
      </c>
      <c r="M192" s="3">
        <f>Table157810[[#This Row],[Defaulted Principal]]-Table157810[[#This Row],[Estimated Loss]]</f>
        <v>0</v>
      </c>
      <c r="N192" s="3">
        <f>IFERROR(VLOOKUP(Table157810[[#This Row],[Period]],$L$16:$M$385,2,FALSE),0)</f>
        <v>0</v>
      </c>
      <c r="O192" s="3">
        <f>Table157810[[#This Row],[Beginning Balance]]-Table157810[[#This Row],[Principal]]-Table157810[[#This Row],[Prepayments]]-Table157810[[#This Row],[Defaulted Principal]]</f>
        <v>0</v>
      </c>
      <c r="P192" s="3">
        <f>Table157810[[#This Row],[Principal]]+Table157810[[#This Row],[Interest]]+Table157810[[#This Row],[Prepayments]]+Table157810[[#This Row],[RecoveredAmount]]</f>
        <v>0</v>
      </c>
      <c r="Q192" s="3">
        <f ca="1">ROUND(Table157810[[#This Row],[Cash Flow]]/((1+ActualRateToUse)^(IF(ISNUMBER(SEARCH("Actual",$C$7)),Table157810[[#This Row],[Running Total]]/365,Table157810[[#This Row],[Period]]/12))),2)</f>
        <v>0</v>
      </c>
      <c r="R192" s="2">
        <f>IF(MONTH(Table157810[[#This Row],[Date]])=2,28,DAY(DATE(YEAR(Table157810[[#This Row],[Date]]),MONTH(Table157810[[#This Row],[Date]])+1,1)-1))</f>
        <v>28</v>
      </c>
      <c r="S192" s="2">
        <f ca="1">SUM(OFFSET(Table157810[[#Headers],[Days in month]],1,0):Table157810[[#This Row],[Days in month]])</f>
        <v>5353</v>
      </c>
      <c r="T192" s="37">
        <f>InterestRate*AmortizationMultiplier*IF(ISNUMBER(SEARCH("Actual",$C$7)),Table157810[[#This Row],[Days in month]]/365,1/12)</f>
        <v>5.4048555555555548E-3</v>
      </c>
    </row>
    <row r="193" spans="2:20" x14ac:dyDescent="0.2">
      <c r="B193" s="1">
        <f t="shared" si="6"/>
        <v>51226</v>
      </c>
      <c r="C193" s="2">
        <f t="shared" si="8"/>
        <v>177</v>
      </c>
      <c r="D193" s="3">
        <f t="shared" si="7"/>
        <v>0</v>
      </c>
      <c r="E193" s="3">
        <f>ROUND(Table157810[[#This Row],[Beginning Balance]]*Table157810[[#This Row],[Monthly Interest Rate]],2)</f>
        <v>0</v>
      </c>
      <c r="F193" s="3">
        <f t="shared" si="9"/>
        <v>665</v>
      </c>
      <c r="G193" s="23">
        <f>IFERROR(IF($C$13="No","N/A",IF(Table157810[[#This Row],[Period]]=1,$C$6,PMT(InterestRate*AmortizationMultiplier/12,Table157810[[#This Row],[Am Thru]],-Table157810[[#This Row],[Beginning Balance]]))),0)</f>
        <v>0</v>
      </c>
      <c r="H193" s="3">
        <f>MAX(0,IF(C193=$C$4,D193,ROUND(IF($C$3="Fixed Principal",$C$6-Table157810[[#This Row],[Interest]],IF($C$3="Interest Only",Table157810[[#This Row],[Beginning Balance]]*ROUND(1-(1-IF($C$11="No",$E$8,1))^(1/12),6),MIN(IF($C$13="Yes",Table157810[[#This Row],[Payment Amount (Reamortized)]],$C$6)-Table157810[[#This Row],[Interest]],Table157810[[#This Row],[Beginning Balance]]))),2)))</f>
        <v>0</v>
      </c>
      <c r="I193" s="3">
        <f>_xlfn.SINGLE(IF($C$3="Line of Credit",0,ROUND(MAX(MIN(IF($C$10="No",$E$7,VLOOKUP(Table157810[[#This Row],[Period]],Forecast!$H$2:$L$1048576,4,FALSE))*Table157810[[#This Row],[Beginning Balance]],Table157810[[#This Row],[Beginning Balance]]-Table157810[[#This Row],[Principal]]),0),2)))</f>
        <v>0</v>
      </c>
      <c r="J193" s="3">
        <f>ROUND(MIN(Table157810[[#This Row],[Beginning Balance]]*IF($C$8="No",$E$3,VLOOKUP(Table157810[[#This Row],[Period]],Forecast!$H$2:$L$1048576,2,FALSE)),Table157810[[#This Row],[Beginning Balance]]-Table157810[[#This Row],[Principal]]-Table157810[[#This Row],[Prepayments]]),2)</f>
        <v>0</v>
      </c>
      <c r="K193" s="3">
        <f>ROUND(Table157810[[#This Row],[Defaulted Principal]]*IF($C$9="No",$E$4,VLOOKUP(Table157810[[#This Row],[Period]],Forecast!$H$2:$L$1048576,3,FALSE)),2)</f>
        <v>0</v>
      </c>
      <c r="L193" s="2">
        <f>Table157810[[#This Row],[Period]]+$E$9</f>
        <v>189</v>
      </c>
      <c r="M193" s="3">
        <f>Table157810[[#This Row],[Defaulted Principal]]-Table157810[[#This Row],[Estimated Loss]]</f>
        <v>0</v>
      </c>
      <c r="N193" s="3">
        <f>IFERROR(VLOOKUP(Table157810[[#This Row],[Period]],$L$16:$M$385,2,FALSE),0)</f>
        <v>0</v>
      </c>
      <c r="O193" s="3">
        <f>Table157810[[#This Row],[Beginning Balance]]-Table157810[[#This Row],[Principal]]-Table157810[[#This Row],[Prepayments]]-Table157810[[#This Row],[Defaulted Principal]]</f>
        <v>0</v>
      </c>
      <c r="P193" s="3">
        <f>Table157810[[#This Row],[Principal]]+Table157810[[#This Row],[Interest]]+Table157810[[#This Row],[Prepayments]]+Table157810[[#This Row],[RecoveredAmount]]</f>
        <v>0</v>
      </c>
      <c r="Q193" s="3">
        <f ca="1">ROUND(Table157810[[#This Row],[Cash Flow]]/((1+ActualRateToUse)^(IF(ISNUMBER(SEARCH("Actual",$C$7)),Table157810[[#This Row],[Running Total]]/365,Table157810[[#This Row],[Period]]/12))),2)</f>
        <v>0</v>
      </c>
      <c r="R193" s="2">
        <f>IF(MONTH(Table157810[[#This Row],[Date]])=2,28,DAY(DATE(YEAR(Table157810[[#This Row],[Date]]),MONTH(Table157810[[#This Row],[Date]])+1,1)-1))</f>
        <v>31</v>
      </c>
      <c r="S193" s="2">
        <f ca="1">SUM(OFFSET(Table157810[[#Headers],[Days in month]],1,0):Table157810[[#This Row],[Days in month]])</f>
        <v>5384</v>
      </c>
      <c r="T193" s="37">
        <f>InterestRate*AmortizationMultiplier*IF(ISNUMBER(SEARCH("Actual",$C$7)),Table157810[[#This Row],[Days in month]]/365,1/12)</f>
        <v>5.9839472222222214E-3</v>
      </c>
    </row>
    <row r="194" spans="2:20" x14ac:dyDescent="0.2">
      <c r="B194" s="1">
        <f t="shared" si="6"/>
        <v>51256</v>
      </c>
      <c r="C194" s="2">
        <f t="shared" si="8"/>
        <v>178</v>
      </c>
      <c r="D194" s="3">
        <f t="shared" si="7"/>
        <v>0</v>
      </c>
      <c r="E194" s="3">
        <f>ROUND(Table157810[[#This Row],[Beginning Balance]]*Table157810[[#This Row],[Monthly Interest Rate]],2)</f>
        <v>0</v>
      </c>
      <c r="F194" s="3">
        <f t="shared" si="9"/>
        <v>664</v>
      </c>
      <c r="G194" s="23">
        <f>IFERROR(IF($C$13="No","N/A",IF(Table157810[[#This Row],[Period]]=1,$C$6,PMT(InterestRate*AmortizationMultiplier/12,Table157810[[#This Row],[Am Thru]],-Table157810[[#This Row],[Beginning Balance]]))),0)</f>
        <v>0</v>
      </c>
      <c r="H194" s="3">
        <f>MAX(0,IF(C194=$C$4,D194,ROUND(IF($C$3="Fixed Principal",$C$6-Table157810[[#This Row],[Interest]],IF($C$3="Interest Only",Table157810[[#This Row],[Beginning Balance]]*ROUND(1-(1-IF($C$11="No",$E$8,1))^(1/12),6),MIN(IF($C$13="Yes",Table157810[[#This Row],[Payment Amount (Reamortized)]],$C$6)-Table157810[[#This Row],[Interest]],Table157810[[#This Row],[Beginning Balance]]))),2)))</f>
        <v>0</v>
      </c>
      <c r="I194" s="3">
        <f>_xlfn.SINGLE(IF($C$3="Line of Credit",0,ROUND(MAX(MIN(IF($C$10="No",$E$7,VLOOKUP(Table157810[[#This Row],[Period]],Forecast!$H$2:$L$1048576,4,FALSE))*Table157810[[#This Row],[Beginning Balance]],Table157810[[#This Row],[Beginning Balance]]-Table157810[[#This Row],[Principal]]),0),2)))</f>
        <v>0</v>
      </c>
      <c r="J194" s="3">
        <f>ROUND(MIN(Table157810[[#This Row],[Beginning Balance]]*IF($C$8="No",$E$3,VLOOKUP(Table157810[[#This Row],[Period]],Forecast!$H$2:$L$1048576,2,FALSE)),Table157810[[#This Row],[Beginning Balance]]-Table157810[[#This Row],[Principal]]-Table157810[[#This Row],[Prepayments]]),2)</f>
        <v>0</v>
      </c>
      <c r="K194" s="3">
        <f>ROUND(Table157810[[#This Row],[Defaulted Principal]]*IF($C$9="No",$E$4,VLOOKUP(Table157810[[#This Row],[Period]],Forecast!$H$2:$L$1048576,3,FALSE)),2)</f>
        <v>0</v>
      </c>
      <c r="L194" s="2">
        <f>Table157810[[#This Row],[Period]]+$E$9</f>
        <v>190</v>
      </c>
      <c r="M194" s="3">
        <f>Table157810[[#This Row],[Defaulted Principal]]-Table157810[[#This Row],[Estimated Loss]]</f>
        <v>0</v>
      </c>
      <c r="N194" s="3">
        <f>IFERROR(VLOOKUP(Table157810[[#This Row],[Period]],$L$16:$M$385,2,FALSE),0)</f>
        <v>0</v>
      </c>
      <c r="O194" s="3">
        <f>Table157810[[#This Row],[Beginning Balance]]-Table157810[[#This Row],[Principal]]-Table157810[[#This Row],[Prepayments]]-Table157810[[#This Row],[Defaulted Principal]]</f>
        <v>0</v>
      </c>
      <c r="P194" s="3">
        <f>Table157810[[#This Row],[Principal]]+Table157810[[#This Row],[Interest]]+Table157810[[#This Row],[Prepayments]]+Table157810[[#This Row],[RecoveredAmount]]</f>
        <v>0</v>
      </c>
      <c r="Q194" s="3">
        <f ca="1">ROUND(Table157810[[#This Row],[Cash Flow]]/((1+ActualRateToUse)^(IF(ISNUMBER(SEARCH("Actual",$C$7)),Table157810[[#This Row],[Running Total]]/365,Table157810[[#This Row],[Period]]/12))),2)</f>
        <v>0</v>
      </c>
      <c r="R194" s="2">
        <f>IF(MONTH(Table157810[[#This Row],[Date]])=2,28,DAY(DATE(YEAR(Table157810[[#This Row],[Date]]),MONTH(Table157810[[#This Row],[Date]])+1,1)-1))</f>
        <v>30</v>
      </c>
      <c r="S194" s="2">
        <f ca="1">SUM(OFFSET(Table157810[[#Headers],[Days in month]],1,0):Table157810[[#This Row],[Days in month]])</f>
        <v>5414</v>
      </c>
      <c r="T194" s="37">
        <f>InterestRate*AmortizationMultiplier*IF(ISNUMBER(SEARCH("Actual",$C$7)),Table157810[[#This Row],[Days in month]]/365,1/12)</f>
        <v>5.7909166666666656E-3</v>
      </c>
    </row>
    <row r="195" spans="2:20" x14ac:dyDescent="0.2">
      <c r="B195" s="1">
        <f t="shared" si="6"/>
        <v>51287</v>
      </c>
      <c r="C195" s="2">
        <f t="shared" si="8"/>
        <v>179</v>
      </c>
      <c r="D195" s="3">
        <f t="shared" si="7"/>
        <v>0</v>
      </c>
      <c r="E195" s="3">
        <f>ROUND(Table157810[[#This Row],[Beginning Balance]]*Table157810[[#This Row],[Monthly Interest Rate]],2)</f>
        <v>0</v>
      </c>
      <c r="F195" s="3">
        <f t="shared" si="9"/>
        <v>663</v>
      </c>
      <c r="G195" s="23">
        <f>IFERROR(IF($C$13="No","N/A",IF(Table157810[[#This Row],[Period]]=1,$C$6,PMT(InterestRate*AmortizationMultiplier/12,Table157810[[#This Row],[Am Thru]],-Table157810[[#This Row],[Beginning Balance]]))),0)</f>
        <v>0</v>
      </c>
      <c r="H195" s="3">
        <f>MAX(0,IF(C195=$C$4,D195,ROUND(IF($C$3="Fixed Principal",$C$6-Table157810[[#This Row],[Interest]],IF($C$3="Interest Only",Table157810[[#This Row],[Beginning Balance]]*ROUND(1-(1-IF($C$11="No",$E$8,1))^(1/12),6),MIN(IF($C$13="Yes",Table157810[[#This Row],[Payment Amount (Reamortized)]],$C$6)-Table157810[[#This Row],[Interest]],Table157810[[#This Row],[Beginning Balance]]))),2)))</f>
        <v>0</v>
      </c>
      <c r="I195" s="3">
        <f>_xlfn.SINGLE(IF($C$3="Line of Credit",0,ROUND(MAX(MIN(IF($C$10="No",$E$7,VLOOKUP(Table157810[[#This Row],[Period]],Forecast!$H$2:$L$1048576,4,FALSE))*Table157810[[#This Row],[Beginning Balance]],Table157810[[#This Row],[Beginning Balance]]-Table157810[[#This Row],[Principal]]),0),2)))</f>
        <v>0</v>
      </c>
      <c r="J195" s="3">
        <f>ROUND(MIN(Table157810[[#This Row],[Beginning Balance]]*IF($C$8="No",$E$3,VLOOKUP(Table157810[[#This Row],[Period]],Forecast!$H$2:$L$1048576,2,FALSE)),Table157810[[#This Row],[Beginning Balance]]-Table157810[[#This Row],[Principal]]-Table157810[[#This Row],[Prepayments]]),2)</f>
        <v>0</v>
      </c>
      <c r="K195" s="3">
        <f>ROUND(Table157810[[#This Row],[Defaulted Principal]]*IF($C$9="No",$E$4,VLOOKUP(Table157810[[#This Row],[Period]],Forecast!$H$2:$L$1048576,3,FALSE)),2)</f>
        <v>0</v>
      </c>
      <c r="L195" s="2">
        <f>Table157810[[#This Row],[Period]]+$E$9</f>
        <v>191</v>
      </c>
      <c r="M195" s="3">
        <f>Table157810[[#This Row],[Defaulted Principal]]-Table157810[[#This Row],[Estimated Loss]]</f>
        <v>0</v>
      </c>
      <c r="N195" s="3">
        <f>IFERROR(VLOOKUP(Table157810[[#This Row],[Period]],$L$16:$M$385,2,FALSE),0)</f>
        <v>0</v>
      </c>
      <c r="O195" s="3">
        <f>Table157810[[#This Row],[Beginning Balance]]-Table157810[[#This Row],[Principal]]-Table157810[[#This Row],[Prepayments]]-Table157810[[#This Row],[Defaulted Principal]]</f>
        <v>0</v>
      </c>
      <c r="P195" s="3">
        <f>Table157810[[#This Row],[Principal]]+Table157810[[#This Row],[Interest]]+Table157810[[#This Row],[Prepayments]]+Table157810[[#This Row],[RecoveredAmount]]</f>
        <v>0</v>
      </c>
      <c r="Q195" s="3">
        <f ca="1">ROUND(Table157810[[#This Row],[Cash Flow]]/((1+ActualRateToUse)^(IF(ISNUMBER(SEARCH("Actual",$C$7)),Table157810[[#This Row],[Running Total]]/365,Table157810[[#This Row],[Period]]/12))),2)</f>
        <v>0</v>
      </c>
      <c r="R195" s="2">
        <f>IF(MONTH(Table157810[[#This Row],[Date]])=2,28,DAY(DATE(YEAR(Table157810[[#This Row],[Date]]),MONTH(Table157810[[#This Row],[Date]])+1,1)-1))</f>
        <v>31</v>
      </c>
      <c r="S195" s="2">
        <f ca="1">SUM(OFFSET(Table157810[[#Headers],[Days in month]],1,0):Table157810[[#This Row],[Days in month]])</f>
        <v>5445</v>
      </c>
      <c r="T195" s="37">
        <f>InterestRate*AmortizationMultiplier*IF(ISNUMBER(SEARCH("Actual",$C$7)),Table157810[[#This Row],[Days in month]]/365,1/12)</f>
        <v>5.9839472222222214E-3</v>
      </c>
    </row>
    <row r="196" spans="2:20" x14ac:dyDescent="0.2">
      <c r="B196" s="1">
        <f t="shared" si="6"/>
        <v>51317</v>
      </c>
      <c r="C196" s="2">
        <f t="shared" si="8"/>
        <v>180</v>
      </c>
      <c r="D196" s="3">
        <f t="shared" si="7"/>
        <v>0</v>
      </c>
      <c r="E196" s="3">
        <f>ROUND(Table157810[[#This Row],[Beginning Balance]]*Table157810[[#This Row],[Monthly Interest Rate]],2)</f>
        <v>0</v>
      </c>
      <c r="F196" s="3">
        <f t="shared" si="9"/>
        <v>662</v>
      </c>
      <c r="G196" s="23">
        <f>IFERROR(IF($C$13="No","N/A",IF(Table157810[[#This Row],[Period]]=1,$C$6,PMT(InterestRate*AmortizationMultiplier/12,Table157810[[#This Row],[Am Thru]],-Table157810[[#This Row],[Beginning Balance]]))),0)</f>
        <v>0</v>
      </c>
      <c r="H196" s="3">
        <f>MAX(0,IF(C196=$C$4,D196,ROUND(IF($C$3="Fixed Principal",$C$6-Table157810[[#This Row],[Interest]],IF($C$3="Interest Only",Table157810[[#This Row],[Beginning Balance]]*ROUND(1-(1-IF($C$11="No",$E$8,1))^(1/12),6),MIN(IF($C$13="Yes",Table157810[[#This Row],[Payment Amount (Reamortized)]],$C$6)-Table157810[[#This Row],[Interest]],Table157810[[#This Row],[Beginning Balance]]))),2)))</f>
        <v>0</v>
      </c>
      <c r="I196" s="3">
        <f>_xlfn.SINGLE(IF($C$3="Line of Credit",0,ROUND(MAX(MIN(IF($C$10="No",$E$7,VLOOKUP(Table157810[[#This Row],[Period]],Forecast!$H$2:$L$1048576,4,FALSE))*Table157810[[#This Row],[Beginning Balance]],Table157810[[#This Row],[Beginning Balance]]-Table157810[[#This Row],[Principal]]),0),2)))</f>
        <v>0</v>
      </c>
      <c r="J196" s="3">
        <f>ROUND(MIN(Table157810[[#This Row],[Beginning Balance]]*IF($C$8="No",$E$3,VLOOKUP(Table157810[[#This Row],[Period]],Forecast!$H$2:$L$1048576,2,FALSE)),Table157810[[#This Row],[Beginning Balance]]-Table157810[[#This Row],[Principal]]-Table157810[[#This Row],[Prepayments]]),2)</f>
        <v>0</v>
      </c>
      <c r="K196" s="3">
        <f>ROUND(Table157810[[#This Row],[Defaulted Principal]]*IF($C$9="No",$E$4,VLOOKUP(Table157810[[#This Row],[Period]],Forecast!$H$2:$L$1048576,3,FALSE)),2)</f>
        <v>0</v>
      </c>
      <c r="L196" s="2">
        <f>Table157810[[#This Row],[Period]]+$E$9</f>
        <v>192</v>
      </c>
      <c r="M196" s="3">
        <f>Table157810[[#This Row],[Defaulted Principal]]-Table157810[[#This Row],[Estimated Loss]]</f>
        <v>0</v>
      </c>
      <c r="N196" s="3">
        <f>IFERROR(VLOOKUP(Table157810[[#This Row],[Period]],$L$16:$M$385,2,FALSE),0)</f>
        <v>0</v>
      </c>
      <c r="O196" s="3">
        <f>Table157810[[#This Row],[Beginning Balance]]-Table157810[[#This Row],[Principal]]-Table157810[[#This Row],[Prepayments]]-Table157810[[#This Row],[Defaulted Principal]]</f>
        <v>0</v>
      </c>
      <c r="P196" s="3">
        <f>Table157810[[#This Row],[Principal]]+Table157810[[#This Row],[Interest]]+Table157810[[#This Row],[Prepayments]]+Table157810[[#This Row],[RecoveredAmount]]</f>
        <v>0</v>
      </c>
      <c r="Q196" s="3">
        <f ca="1">ROUND(Table157810[[#This Row],[Cash Flow]]/((1+ActualRateToUse)^(IF(ISNUMBER(SEARCH("Actual",$C$7)),Table157810[[#This Row],[Running Total]]/365,Table157810[[#This Row],[Period]]/12))),2)</f>
        <v>0</v>
      </c>
      <c r="R196" s="2">
        <f>IF(MONTH(Table157810[[#This Row],[Date]])=2,28,DAY(DATE(YEAR(Table157810[[#This Row],[Date]]),MONTH(Table157810[[#This Row],[Date]])+1,1)-1))</f>
        <v>30</v>
      </c>
      <c r="S196" s="2">
        <f ca="1">SUM(OFFSET(Table157810[[#Headers],[Days in month]],1,0):Table157810[[#This Row],[Days in month]])</f>
        <v>5475</v>
      </c>
      <c r="T196" s="37">
        <f>InterestRate*AmortizationMultiplier*IF(ISNUMBER(SEARCH("Actual",$C$7)),Table157810[[#This Row],[Days in month]]/365,1/12)</f>
        <v>5.7909166666666656E-3</v>
      </c>
    </row>
    <row r="197" spans="2:20" x14ac:dyDescent="0.2">
      <c r="B197" s="1">
        <f t="shared" si="6"/>
        <v>51348</v>
      </c>
      <c r="C197" s="2">
        <f t="shared" si="8"/>
        <v>181</v>
      </c>
      <c r="D197" s="3">
        <f t="shared" si="7"/>
        <v>0</v>
      </c>
      <c r="E197" s="3">
        <f>ROUND(Table157810[[#This Row],[Beginning Balance]]*Table157810[[#This Row],[Monthly Interest Rate]],2)</f>
        <v>0</v>
      </c>
      <c r="F197" s="3">
        <f t="shared" si="9"/>
        <v>661</v>
      </c>
      <c r="G197" s="23">
        <f>IFERROR(IF($C$13="No","N/A",IF(Table157810[[#This Row],[Period]]=1,$C$6,PMT(InterestRate*AmortizationMultiplier/12,Table157810[[#This Row],[Am Thru]],-Table157810[[#This Row],[Beginning Balance]]))),0)</f>
        <v>0</v>
      </c>
      <c r="H197" s="3">
        <f>MAX(0,IF(C197=$C$4,D197,ROUND(IF($C$3="Fixed Principal",$C$6-Table157810[[#This Row],[Interest]],IF($C$3="Interest Only",Table157810[[#This Row],[Beginning Balance]]*ROUND(1-(1-IF($C$11="No",$E$8,1))^(1/12),6),MIN(IF($C$13="Yes",Table157810[[#This Row],[Payment Amount (Reamortized)]],$C$6)-Table157810[[#This Row],[Interest]],Table157810[[#This Row],[Beginning Balance]]))),2)))</f>
        <v>0</v>
      </c>
      <c r="I197" s="3">
        <f>_xlfn.SINGLE(IF($C$3="Line of Credit",0,ROUND(MAX(MIN(IF($C$10="No",$E$7,VLOOKUP(Table157810[[#This Row],[Period]],Forecast!$H$2:$L$1048576,4,FALSE))*Table157810[[#This Row],[Beginning Balance]],Table157810[[#This Row],[Beginning Balance]]-Table157810[[#This Row],[Principal]]),0),2)))</f>
        <v>0</v>
      </c>
      <c r="J197" s="3">
        <f>ROUND(MIN(Table157810[[#This Row],[Beginning Balance]]*IF($C$8="No",$E$3,VLOOKUP(Table157810[[#This Row],[Period]],Forecast!$H$2:$L$1048576,2,FALSE)),Table157810[[#This Row],[Beginning Balance]]-Table157810[[#This Row],[Principal]]-Table157810[[#This Row],[Prepayments]]),2)</f>
        <v>0</v>
      </c>
      <c r="K197" s="3">
        <f>ROUND(Table157810[[#This Row],[Defaulted Principal]]*IF($C$9="No",$E$4,VLOOKUP(Table157810[[#This Row],[Period]],Forecast!$H$2:$L$1048576,3,FALSE)),2)</f>
        <v>0</v>
      </c>
      <c r="L197" s="2">
        <f>Table157810[[#This Row],[Period]]+$E$9</f>
        <v>193</v>
      </c>
      <c r="M197" s="3">
        <f>Table157810[[#This Row],[Defaulted Principal]]-Table157810[[#This Row],[Estimated Loss]]</f>
        <v>0</v>
      </c>
      <c r="N197" s="3">
        <f>IFERROR(VLOOKUP(Table157810[[#This Row],[Period]],$L$16:$M$385,2,FALSE),0)</f>
        <v>0</v>
      </c>
      <c r="O197" s="3">
        <f>Table157810[[#This Row],[Beginning Balance]]-Table157810[[#This Row],[Principal]]-Table157810[[#This Row],[Prepayments]]-Table157810[[#This Row],[Defaulted Principal]]</f>
        <v>0</v>
      </c>
      <c r="P197" s="3">
        <f>Table157810[[#This Row],[Principal]]+Table157810[[#This Row],[Interest]]+Table157810[[#This Row],[Prepayments]]+Table157810[[#This Row],[RecoveredAmount]]</f>
        <v>0</v>
      </c>
      <c r="Q197" s="3">
        <f ca="1">ROUND(Table157810[[#This Row],[Cash Flow]]/((1+ActualRateToUse)^(IF(ISNUMBER(SEARCH("Actual",$C$7)),Table157810[[#This Row],[Running Total]]/365,Table157810[[#This Row],[Period]]/12))),2)</f>
        <v>0</v>
      </c>
      <c r="R197" s="2">
        <f>IF(MONTH(Table157810[[#This Row],[Date]])=2,28,DAY(DATE(YEAR(Table157810[[#This Row],[Date]]),MONTH(Table157810[[#This Row],[Date]])+1,1)-1))</f>
        <v>31</v>
      </c>
      <c r="S197" s="2">
        <f ca="1">SUM(OFFSET(Table157810[[#Headers],[Days in month]],1,0):Table157810[[#This Row],[Days in month]])</f>
        <v>5506</v>
      </c>
      <c r="T197" s="37">
        <f>InterestRate*AmortizationMultiplier*IF(ISNUMBER(SEARCH("Actual",$C$7)),Table157810[[#This Row],[Days in month]]/365,1/12)</f>
        <v>5.9839472222222214E-3</v>
      </c>
    </row>
    <row r="198" spans="2:20" x14ac:dyDescent="0.2">
      <c r="B198" s="1">
        <f t="shared" si="6"/>
        <v>51379</v>
      </c>
      <c r="C198" s="2">
        <f t="shared" si="8"/>
        <v>182</v>
      </c>
      <c r="D198" s="3">
        <f t="shared" si="7"/>
        <v>0</v>
      </c>
      <c r="E198" s="3">
        <f>ROUND(Table157810[[#This Row],[Beginning Balance]]*Table157810[[#This Row],[Monthly Interest Rate]],2)</f>
        <v>0</v>
      </c>
      <c r="F198" s="3">
        <f t="shared" si="9"/>
        <v>660</v>
      </c>
      <c r="G198" s="23">
        <f>IFERROR(IF($C$13="No","N/A",IF(Table157810[[#This Row],[Period]]=1,$C$6,PMT(InterestRate*AmortizationMultiplier/12,Table157810[[#This Row],[Am Thru]],-Table157810[[#This Row],[Beginning Balance]]))),0)</f>
        <v>0</v>
      </c>
      <c r="H198" s="3">
        <f>MAX(0,IF(C198=$C$4,D198,ROUND(IF($C$3="Fixed Principal",$C$6-Table157810[[#This Row],[Interest]],IF($C$3="Interest Only",Table157810[[#This Row],[Beginning Balance]]*ROUND(1-(1-IF($C$11="No",$E$8,1))^(1/12),6),MIN(IF($C$13="Yes",Table157810[[#This Row],[Payment Amount (Reamortized)]],$C$6)-Table157810[[#This Row],[Interest]],Table157810[[#This Row],[Beginning Balance]]))),2)))</f>
        <v>0</v>
      </c>
      <c r="I198" s="3">
        <f>_xlfn.SINGLE(IF($C$3="Line of Credit",0,ROUND(MAX(MIN(IF($C$10="No",$E$7,VLOOKUP(Table157810[[#This Row],[Period]],Forecast!$H$2:$L$1048576,4,FALSE))*Table157810[[#This Row],[Beginning Balance]],Table157810[[#This Row],[Beginning Balance]]-Table157810[[#This Row],[Principal]]),0),2)))</f>
        <v>0</v>
      </c>
      <c r="J198" s="3">
        <f>ROUND(MIN(Table157810[[#This Row],[Beginning Balance]]*IF($C$8="No",$E$3,VLOOKUP(Table157810[[#This Row],[Period]],Forecast!$H$2:$L$1048576,2,FALSE)),Table157810[[#This Row],[Beginning Balance]]-Table157810[[#This Row],[Principal]]-Table157810[[#This Row],[Prepayments]]),2)</f>
        <v>0</v>
      </c>
      <c r="K198" s="3">
        <f>ROUND(Table157810[[#This Row],[Defaulted Principal]]*IF($C$9="No",$E$4,VLOOKUP(Table157810[[#This Row],[Period]],Forecast!$H$2:$L$1048576,3,FALSE)),2)</f>
        <v>0</v>
      </c>
      <c r="L198" s="2">
        <f>Table157810[[#This Row],[Period]]+$E$9</f>
        <v>194</v>
      </c>
      <c r="M198" s="3">
        <f>Table157810[[#This Row],[Defaulted Principal]]-Table157810[[#This Row],[Estimated Loss]]</f>
        <v>0</v>
      </c>
      <c r="N198" s="3">
        <f>IFERROR(VLOOKUP(Table157810[[#This Row],[Period]],$L$16:$M$385,2,FALSE),0)</f>
        <v>0</v>
      </c>
      <c r="O198" s="3">
        <f>Table157810[[#This Row],[Beginning Balance]]-Table157810[[#This Row],[Principal]]-Table157810[[#This Row],[Prepayments]]-Table157810[[#This Row],[Defaulted Principal]]</f>
        <v>0</v>
      </c>
      <c r="P198" s="3">
        <f>Table157810[[#This Row],[Principal]]+Table157810[[#This Row],[Interest]]+Table157810[[#This Row],[Prepayments]]+Table157810[[#This Row],[RecoveredAmount]]</f>
        <v>0</v>
      </c>
      <c r="Q198" s="3">
        <f ca="1">ROUND(Table157810[[#This Row],[Cash Flow]]/((1+ActualRateToUse)^(IF(ISNUMBER(SEARCH("Actual",$C$7)),Table157810[[#This Row],[Running Total]]/365,Table157810[[#This Row],[Period]]/12))),2)</f>
        <v>0</v>
      </c>
      <c r="R198" s="2">
        <f>IF(MONTH(Table157810[[#This Row],[Date]])=2,28,DAY(DATE(YEAR(Table157810[[#This Row],[Date]]),MONTH(Table157810[[#This Row],[Date]])+1,1)-1))</f>
        <v>31</v>
      </c>
      <c r="S198" s="2">
        <f ca="1">SUM(OFFSET(Table157810[[#Headers],[Days in month]],1,0):Table157810[[#This Row],[Days in month]])</f>
        <v>5537</v>
      </c>
      <c r="T198" s="37">
        <f>InterestRate*AmortizationMultiplier*IF(ISNUMBER(SEARCH("Actual",$C$7)),Table157810[[#This Row],[Days in month]]/365,1/12)</f>
        <v>5.9839472222222214E-3</v>
      </c>
    </row>
    <row r="199" spans="2:20" x14ac:dyDescent="0.2">
      <c r="B199" s="1">
        <f t="shared" si="6"/>
        <v>51409</v>
      </c>
      <c r="C199" s="2">
        <f t="shared" si="8"/>
        <v>183</v>
      </c>
      <c r="D199" s="3">
        <f t="shared" si="7"/>
        <v>0</v>
      </c>
      <c r="E199" s="3">
        <f>ROUND(Table157810[[#This Row],[Beginning Balance]]*Table157810[[#This Row],[Monthly Interest Rate]],2)</f>
        <v>0</v>
      </c>
      <c r="F199" s="3">
        <f t="shared" si="9"/>
        <v>659</v>
      </c>
      <c r="G199" s="23">
        <f>IFERROR(IF($C$13="No","N/A",IF(Table157810[[#This Row],[Period]]=1,$C$6,PMT(InterestRate*AmortizationMultiplier/12,Table157810[[#This Row],[Am Thru]],-Table157810[[#This Row],[Beginning Balance]]))),0)</f>
        <v>0</v>
      </c>
      <c r="H199" s="3">
        <f>MAX(0,IF(C199=$C$4,D199,ROUND(IF($C$3="Fixed Principal",$C$6-Table157810[[#This Row],[Interest]],IF($C$3="Interest Only",Table157810[[#This Row],[Beginning Balance]]*ROUND(1-(1-IF($C$11="No",$E$8,1))^(1/12),6),MIN(IF($C$13="Yes",Table157810[[#This Row],[Payment Amount (Reamortized)]],$C$6)-Table157810[[#This Row],[Interest]],Table157810[[#This Row],[Beginning Balance]]))),2)))</f>
        <v>0</v>
      </c>
      <c r="I199" s="3">
        <f>_xlfn.SINGLE(IF($C$3="Line of Credit",0,ROUND(MAX(MIN(IF($C$10="No",$E$7,VLOOKUP(Table157810[[#This Row],[Period]],Forecast!$H$2:$L$1048576,4,FALSE))*Table157810[[#This Row],[Beginning Balance]],Table157810[[#This Row],[Beginning Balance]]-Table157810[[#This Row],[Principal]]),0),2)))</f>
        <v>0</v>
      </c>
      <c r="J199" s="3">
        <f>ROUND(MIN(Table157810[[#This Row],[Beginning Balance]]*IF($C$8="No",$E$3,VLOOKUP(Table157810[[#This Row],[Period]],Forecast!$H$2:$L$1048576,2,FALSE)),Table157810[[#This Row],[Beginning Balance]]-Table157810[[#This Row],[Principal]]-Table157810[[#This Row],[Prepayments]]),2)</f>
        <v>0</v>
      </c>
      <c r="K199" s="3">
        <f>ROUND(Table157810[[#This Row],[Defaulted Principal]]*IF($C$9="No",$E$4,VLOOKUP(Table157810[[#This Row],[Period]],Forecast!$H$2:$L$1048576,3,FALSE)),2)</f>
        <v>0</v>
      </c>
      <c r="L199" s="2">
        <f>Table157810[[#This Row],[Period]]+$E$9</f>
        <v>195</v>
      </c>
      <c r="M199" s="3">
        <f>Table157810[[#This Row],[Defaulted Principal]]-Table157810[[#This Row],[Estimated Loss]]</f>
        <v>0</v>
      </c>
      <c r="N199" s="3">
        <f>IFERROR(VLOOKUP(Table157810[[#This Row],[Period]],$L$16:$M$385,2,FALSE),0)</f>
        <v>0</v>
      </c>
      <c r="O199" s="3">
        <f>Table157810[[#This Row],[Beginning Balance]]-Table157810[[#This Row],[Principal]]-Table157810[[#This Row],[Prepayments]]-Table157810[[#This Row],[Defaulted Principal]]</f>
        <v>0</v>
      </c>
      <c r="P199" s="3">
        <f>Table157810[[#This Row],[Principal]]+Table157810[[#This Row],[Interest]]+Table157810[[#This Row],[Prepayments]]+Table157810[[#This Row],[RecoveredAmount]]</f>
        <v>0</v>
      </c>
      <c r="Q199" s="3">
        <f ca="1">ROUND(Table157810[[#This Row],[Cash Flow]]/((1+ActualRateToUse)^(IF(ISNUMBER(SEARCH("Actual",$C$7)),Table157810[[#This Row],[Running Total]]/365,Table157810[[#This Row],[Period]]/12))),2)</f>
        <v>0</v>
      </c>
      <c r="R199" s="2">
        <f>IF(MONTH(Table157810[[#This Row],[Date]])=2,28,DAY(DATE(YEAR(Table157810[[#This Row],[Date]]),MONTH(Table157810[[#This Row],[Date]])+1,1)-1))</f>
        <v>30</v>
      </c>
      <c r="S199" s="2">
        <f ca="1">SUM(OFFSET(Table157810[[#Headers],[Days in month]],1,0):Table157810[[#This Row],[Days in month]])</f>
        <v>5567</v>
      </c>
      <c r="T199" s="37">
        <f>InterestRate*AmortizationMultiplier*IF(ISNUMBER(SEARCH("Actual",$C$7)),Table157810[[#This Row],[Days in month]]/365,1/12)</f>
        <v>5.7909166666666656E-3</v>
      </c>
    </row>
    <row r="200" spans="2:20" x14ac:dyDescent="0.2">
      <c r="B200" s="1">
        <f t="shared" si="6"/>
        <v>51440</v>
      </c>
      <c r="C200" s="2">
        <f t="shared" si="8"/>
        <v>184</v>
      </c>
      <c r="D200" s="3">
        <f t="shared" si="7"/>
        <v>0</v>
      </c>
      <c r="E200" s="3">
        <f>ROUND(Table157810[[#This Row],[Beginning Balance]]*Table157810[[#This Row],[Monthly Interest Rate]],2)</f>
        <v>0</v>
      </c>
      <c r="F200" s="3">
        <f t="shared" si="9"/>
        <v>658</v>
      </c>
      <c r="G200" s="23">
        <f>IFERROR(IF($C$13="No","N/A",IF(Table157810[[#This Row],[Period]]=1,$C$6,PMT(InterestRate*AmortizationMultiplier/12,Table157810[[#This Row],[Am Thru]],-Table157810[[#This Row],[Beginning Balance]]))),0)</f>
        <v>0</v>
      </c>
      <c r="H200" s="3">
        <f>MAX(0,IF(C200=$C$4,D200,ROUND(IF($C$3="Fixed Principal",$C$6-Table157810[[#This Row],[Interest]],IF($C$3="Interest Only",Table157810[[#This Row],[Beginning Balance]]*ROUND(1-(1-IF($C$11="No",$E$8,1))^(1/12),6),MIN(IF($C$13="Yes",Table157810[[#This Row],[Payment Amount (Reamortized)]],$C$6)-Table157810[[#This Row],[Interest]],Table157810[[#This Row],[Beginning Balance]]))),2)))</f>
        <v>0</v>
      </c>
      <c r="I200" s="3">
        <f>_xlfn.SINGLE(IF($C$3="Line of Credit",0,ROUND(MAX(MIN(IF($C$10="No",$E$7,VLOOKUP(Table157810[[#This Row],[Period]],Forecast!$H$2:$L$1048576,4,FALSE))*Table157810[[#This Row],[Beginning Balance]],Table157810[[#This Row],[Beginning Balance]]-Table157810[[#This Row],[Principal]]),0),2)))</f>
        <v>0</v>
      </c>
      <c r="J200" s="3">
        <f>ROUND(MIN(Table157810[[#This Row],[Beginning Balance]]*IF($C$8="No",$E$3,VLOOKUP(Table157810[[#This Row],[Period]],Forecast!$H$2:$L$1048576,2,FALSE)),Table157810[[#This Row],[Beginning Balance]]-Table157810[[#This Row],[Principal]]-Table157810[[#This Row],[Prepayments]]),2)</f>
        <v>0</v>
      </c>
      <c r="K200" s="3">
        <f>ROUND(Table157810[[#This Row],[Defaulted Principal]]*IF($C$9="No",$E$4,VLOOKUP(Table157810[[#This Row],[Period]],Forecast!$H$2:$L$1048576,3,FALSE)),2)</f>
        <v>0</v>
      </c>
      <c r="L200" s="2">
        <f>Table157810[[#This Row],[Period]]+$E$9</f>
        <v>196</v>
      </c>
      <c r="M200" s="3">
        <f>Table157810[[#This Row],[Defaulted Principal]]-Table157810[[#This Row],[Estimated Loss]]</f>
        <v>0</v>
      </c>
      <c r="N200" s="3">
        <f>IFERROR(VLOOKUP(Table157810[[#This Row],[Period]],$L$16:$M$385,2,FALSE),0)</f>
        <v>0</v>
      </c>
      <c r="O200" s="3">
        <f>Table157810[[#This Row],[Beginning Balance]]-Table157810[[#This Row],[Principal]]-Table157810[[#This Row],[Prepayments]]-Table157810[[#This Row],[Defaulted Principal]]</f>
        <v>0</v>
      </c>
      <c r="P200" s="3">
        <f>Table157810[[#This Row],[Principal]]+Table157810[[#This Row],[Interest]]+Table157810[[#This Row],[Prepayments]]+Table157810[[#This Row],[RecoveredAmount]]</f>
        <v>0</v>
      </c>
      <c r="Q200" s="3">
        <f ca="1">ROUND(Table157810[[#This Row],[Cash Flow]]/((1+ActualRateToUse)^(IF(ISNUMBER(SEARCH("Actual",$C$7)),Table157810[[#This Row],[Running Total]]/365,Table157810[[#This Row],[Period]]/12))),2)</f>
        <v>0</v>
      </c>
      <c r="R200" s="2">
        <f>IF(MONTH(Table157810[[#This Row],[Date]])=2,28,DAY(DATE(YEAR(Table157810[[#This Row],[Date]]),MONTH(Table157810[[#This Row],[Date]])+1,1)-1))</f>
        <v>31</v>
      </c>
      <c r="S200" s="2">
        <f ca="1">SUM(OFFSET(Table157810[[#Headers],[Days in month]],1,0):Table157810[[#This Row],[Days in month]])</f>
        <v>5598</v>
      </c>
      <c r="T200" s="37">
        <f>InterestRate*AmortizationMultiplier*IF(ISNUMBER(SEARCH("Actual",$C$7)),Table157810[[#This Row],[Days in month]]/365,1/12)</f>
        <v>5.9839472222222214E-3</v>
      </c>
    </row>
    <row r="201" spans="2:20" x14ac:dyDescent="0.2">
      <c r="B201" s="1">
        <f t="shared" si="6"/>
        <v>51470</v>
      </c>
      <c r="C201" s="2">
        <f t="shared" si="8"/>
        <v>185</v>
      </c>
      <c r="D201" s="3">
        <f t="shared" si="7"/>
        <v>0</v>
      </c>
      <c r="E201" s="3">
        <f>ROUND(Table157810[[#This Row],[Beginning Balance]]*Table157810[[#This Row],[Monthly Interest Rate]],2)</f>
        <v>0</v>
      </c>
      <c r="F201" s="3">
        <f t="shared" si="9"/>
        <v>657</v>
      </c>
      <c r="G201" s="23">
        <f>IFERROR(IF($C$13="No","N/A",IF(Table157810[[#This Row],[Period]]=1,$C$6,PMT(InterestRate*AmortizationMultiplier/12,Table157810[[#This Row],[Am Thru]],-Table157810[[#This Row],[Beginning Balance]]))),0)</f>
        <v>0</v>
      </c>
      <c r="H201" s="3">
        <f>MAX(0,IF(C201=$C$4,D201,ROUND(IF($C$3="Fixed Principal",$C$6-Table157810[[#This Row],[Interest]],IF($C$3="Interest Only",Table157810[[#This Row],[Beginning Balance]]*ROUND(1-(1-IF($C$11="No",$E$8,1))^(1/12),6),MIN(IF($C$13="Yes",Table157810[[#This Row],[Payment Amount (Reamortized)]],$C$6)-Table157810[[#This Row],[Interest]],Table157810[[#This Row],[Beginning Balance]]))),2)))</f>
        <v>0</v>
      </c>
      <c r="I201" s="3">
        <f>_xlfn.SINGLE(IF($C$3="Line of Credit",0,ROUND(MAX(MIN(IF($C$10="No",$E$7,VLOOKUP(Table157810[[#This Row],[Period]],Forecast!$H$2:$L$1048576,4,FALSE))*Table157810[[#This Row],[Beginning Balance]],Table157810[[#This Row],[Beginning Balance]]-Table157810[[#This Row],[Principal]]),0),2)))</f>
        <v>0</v>
      </c>
      <c r="J201" s="3">
        <f>ROUND(MIN(Table157810[[#This Row],[Beginning Balance]]*IF($C$8="No",$E$3,VLOOKUP(Table157810[[#This Row],[Period]],Forecast!$H$2:$L$1048576,2,FALSE)),Table157810[[#This Row],[Beginning Balance]]-Table157810[[#This Row],[Principal]]-Table157810[[#This Row],[Prepayments]]),2)</f>
        <v>0</v>
      </c>
      <c r="K201" s="3">
        <f>ROUND(Table157810[[#This Row],[Defaulted Principal]]*IF($C$9="No",$E$4,VLOOKUP(Table157810[[#This Row],[Period]],Forecast!$H$2:$L$1048576,3,FALSE)),2)</f>
        <v>0</v>
      </c>
      <c r="L201" s="2">
        <f>Table157810[[#This Row],[Period]]+$E$9</f>
        <v>197</v>
      </c>
      <c r="M201" s="3">
        <f>Table157810[[#This Row],[Defaulted Principal]]-Table157810[[#This Row],[Estimated Loss]]</f>
        <v>0</v>
      </c>
      <c r="N201" s="3">
        <f>IFERROR(VLOOKUP(Table157810[[#This Row],[Period]],$L$16:$M$385,2,FALSE),0)</f>
        <v>0</v>
      </c>
      <c r="O201" s="3">
        <f>Table157810[[#This Row],[Beginning Balance]]-Table157810[[#This Row],[Principal]]-Table157810[[#This Row],[Prepayments]]-Table157810[[#This Row],[Defaulted Principal]]</f>
        <v>0</v>
      </c>
      <c r="P201" s="3">
        <f>Table157810[[#This Row],[Principal]]+Table157810[[#This Row],[Interest]]+Table157810[[#This Row],[Prepayments]]+Table157810[[#This Row],[RecoveredAmount]]</f>
        <v>0</v>
      </c>
      <c r="Q201" s="3">
        <f ca="1">ROUND(Table157810[[#This Row],[Cash Flow]]/((1+ActualRateToUse)^(IF(ISNUMBER(SEARCH("Actual",$C$7)),Table157810[[#This Row],[Running Total]]/365,Table157810[[#This Row],[Period]]/12))),2)</f>
        <v>0</v>
      </c>
      <c r="R201" s="2">
        <f>IF(MONTH(Table157810[[#This Row],[Date]])=2,28,DAY(DATE(YEAR(Table157810[[#This Row],[Date]]),MONTH(Table157810[[#This Row],[Date]])+1,1)-1))</f>
        <v>30</v>
      </c>
      <c r="S201" s="2">
        <f ca="1">SUM(OFFSET(Table157810[[#Headers],[Days in month]],1,0):Table157810[[#This Row],[Days in month]])</f>
        <v>5628</v>
      </c>
      <c r="T201" s="37">
        <f>InterestRate*AmortizationMultiplier*IF(ISNUMBER(SEARCH("Actual",$C$7)),Table157810[[#This Row],[Days in month]]/365,1/12)</f>
        <v>5.7909166666666656E-3</v>
      </c>
    </row>
    <row r="202" spans="2:20" x14ac:dyDescent="0.2">
      <c r="B202" s="1">
        <f t="shared" si="6"/>
        <v>51501</v>
      </c>
      <c r="C202" s="2">
        <f t="shared" si="8"/>
        <v>186</v>
      </c>
      <c r="D202" s="3">
        <f t="shared" si="7"/>
        <v>0</v>
      </c>
      <c r="E202" s="3">
        <f>ROUND(Table157810[[#This Row],[Beginning Balance]]*Table157810[[#This Row],[Monthly Interest Rate]],2)</f>
        <v>0</v>
      </c>
      <c r="F202" s="3">
        <f t="shared" si="9"/>
        <v>656</v>
      </c>
      <c r="G202" s="23">
        <f>IFERROR(IF($C$13="No","N/A",IF(Table157810[[#This Row],[Period]]=1,$C$6,PMT(InterestRate*AmortizationMultiplier/12,Table157810[[#This Row],[Am Thru]],-Table157810[[#This Row],[Beginning Balance]]))),0)</f>
        <v>0</v>
      </c>
      <c r="H202" s="3">
        <f>MAX(0,IF(C202=$C$4,D202,ROUND(IF($C$3="Fixed Principal",$C$6-Table157810[[#This Row],[Interest]],IF($C$3="Interest Only",Table157810[[#This Row],[Beginning Balance]]*ROUND(1-(1-IF($C$11="No",$E$8,1))^(1/12),6),MIN(IF($C$13="Yes",Table157810[[#This Row],[Payment Amount (Reamortized)]],$C$6)-Table157810[[#This Row],[Interest]],Table157810[[#This Row],[Beginning Balance]]))),2)))</f>
        <v>0</v>
      </c>
      <c r="I202" s="3">
        <f>_xlfn.SINGLE(IF($C$3="Line of Credit",0,ROUND(MAX(MIN(IF($C$10="No",$E$7,VLOOKUP(Table157810[[#This Row],[Period]],Forecast!$H$2:$L$1048576,4,FALSE))*Table157810[[#This Row],[Beginning Balance]],Table157810[[#This Row],[Beginning Balance]]-Table157810[[#This Row],[Principal]]),0),2)))</f>
        <v>0</v>
      </c>
      <c r="J202" s="3">
        <f>ROUND(MIN(Table157810[[#This Row],[Beginning Balance]]*IF($C$8="No",$E$3,VLOOKUP(Table157810[[#This Row],[Period]],Forecast!$H$2:$L$1048576,2,FALSE)),Table157810[[#This Row],[Beginning Balance]]-Table157810[[#This Row],[Principal]]-Table157810[[#This Row],[Prepayments]]),2)</f>
        <v>0</v>
      </c>
      <c r="K202" s="3">
        <f>ROUND(Table157810[[#This Row],[Defaulted Principal]]*IF($C$9="No",$E$4,VLOOKUP(Table157810[[#This Row],[Period]],Forecast!$H$2:$L$1048576,3,FALSE)),2)</f>
        <v>0</v>
      </c>
      <c r="L202" s="2">
        <f>Table157810[[#This Row],[Period]]+$E$9</f>
        <v>198</v>
      </c>
      <c r="M202" s="3">
        <f>Table157810[[#This Row],[Defaulted Principal]]-Table157810[[#This Row],[Estimated Loss]]</f>
        <v>0</v>
      </c>
      <c r="N202" s="3">
        <f>IFERROR(VLOOKUP(Table157810[[#This Row],[Period]],$L$16:$M$385,2,FALSE),0)</f>
        <v>0</v>
      </c>
      <c r="O202" s="3">
        <f>Table157810[[#This Row],[Beginning Balance]]-Table157810[[#This Row],[Principal]]-Table157810[[#This Row],[Prepayments]]-Table157810[[#This Row],[Defaulted Principal]]</f>
        <v>0</v>
      </c>
      <c r="P202" s="3">
        <f>Table157810[[#This Row],[Principal]]+Table157810[[#This Row],[Interest]]+Table157810[[#This Row],[Prepayments]]+Table157810[[#This Row],[RecoveredAmount]]</f>
        <v>0</v>
      </c>
      <c r="Q202" s="3">
        <f ca="1">ROUND(Table157810[[#This Row],[Cash Flow]]/((1+ActualRateToUse)^(IF(ISNUMBER(SEARCH("Actual",$C$7)),Table157810[[#This Row],[Running Total]]/365,Table157810[[#This Row],[Period]]/12))),2)</f>
        <v>0</v>
      </c>
      <c r="R202" s="2">
        <f>IF(MONTH(Table157810[[#This Row],[Date]])=2,28,DAY(DATE(YEAR(Table157810[[#This Row],[Date]]),MONTH(Table157810[[#This Row],[Date]])+1,1)-1))</f>
        <v>31</v>
      </c>
      <c r="S202" s="2">
        <f ca="1">SUM(OFFSET(Table157810[[#Headers],[Days in month]],1,0):Table157810[[#This Row],[Days in month]])</f>
        <v>5659</v>
      </c>
      <c r="T202" s="37">
        <f>InterestRate*AmortizationMultiplier*IF(ISNUMBER(SEARCH("Actual",$C$7)),Table157810[[#This Row],[Days in month]]/365,1/12)</f>
        <v>5.9839472222222214E-3</v>
      </c>
    </row>
    <row r="203" spans="2:20" x14ac:dyDescent="0.2">
      <c r="B203" s="1">
        <f t="shared" ref="B203:B266" si="10">EOMONTH(B202,1)</f>
        <v>51532</v>
      </c>
      <c r="C203" s="2">
        <f t="shared" si="8"/>
        <v>187</v>
      </c>
      <c r="D203" s="3">
        <f t="shared" si="7"/>
        <v>0</v>
      </c>
      <c r="E203" s="3">
        <f>ROUND(Table157810[[#This Row],[Beginning Balance]]*Table157810[[#This Row],[Monthly Interest Rate]],2)</f>
        <v>0</v>
      </c>
      <c r="F203" s="3">
        <f t="shared" si="9"/>
        <v>655</v>
      </c>
      <c r="G203" s="23">
        <f>IFERROR(IF($C$13="No","N/A",IF(Table157810[[#This Row],[Period]]=1,$C$6,PMT(InterestRate*AmortizationMultiplier/12,Table157810[[#This Row],[Am Thru]],-Table157810[[#This Row],[Beginning Balance]]))),0)</f>
        <v>0</v>
      </c>
      <c r="H203" s="3">
        <f>MAX(0,IF(C203=$C$4,D203,ROUND(IF($C$3="Fixed Principal",$C$6-Table157810[[#This Row],[Interest]],IF($C$3="Interest Only",Table157810[[#This Row],[Beginning Balance]]*ROUND(1-(1-IF($C$11="No",$E$8,1))^(1/12),6),MIN(IF($C$13="Yes",Table157810[[#This Row],[Payment Amount (Reamortized)]],$C$6)-Table157810[[#This Row],[Interest]],Table157810[[#This Row],[Beginning Balance]]))),2)))</f>
        <v>0</v>
      </c>
      <c r="I203" s="3">
        <f>_xlfn.SINGLE(IF($C$3="Line of Credit",0,ROUND(MAX(MIN(IF($C$10="No",$E$7,VLOOKUP(Table157810[[#This Row],[Period]],Forecast!$H$2:$L$1048576,4,FALSE))*Table157810[[#This Row],[Beginning Balance]],Table157810[[#This Row],[Beginning Balance]]-Table157810[[#This Row],[Principal]]),0),2)))</f>
        <v>0</v>
      </c>
      <c r="J203" s="3">
        <f>ROUND(MIN(Table157810[[#This Row],[Beginning Balance]]*IF($C$8="No",$E$3,VLOOKUP(Table157810[[#This Row],[Period]],Forecast!$H$2:$L$1048576,2,FALSE)),Table157810[[#This Row],[Beginning Balance]]-Table157810[[#This Row],[Principal]]-Table157810[[#This Row],[Prepayments]]),2)</f>
        <v>0</v>
      </c>
      <c r="K203" s="3">
        <f>ROUND(Table157810[[#This Row],[Defaulted Principal]]*IF($C$9="No",$E$4,VLOOKUP(Table157810[[#This Row],[Period]],Forecast!$H$2:$L$1048576,3,FALSE)),2)</f>
        <v>0</v>
      </c>
      <c r="L203" s="2">
        <f>Table157810[[#This Row],[Period]]+$E$9</f>
        <v>199</v>
      </c>
      <c r="M203" s="3">
        <f>Table157810[[#This Row],[Defaulted Principal]]-Table157810[[#This Row],[Estimated Loss]]</f>
        <v>0</v>
      </c>
      <c r="N203" s="3">
        <f>IFERROR(VLOOKUP(Table157810[[#This Row],[Period]],$L$16:$M$385,2,FALSE),0)</f>
        <v>0</v>
      </c>
      <c r="O203" s="3">
        <f>Table157810[[#This Row],[Beginning Balance]]-Table157810[[#This Row],[Principal]]-Table157810[[#This Row],[Prepayments]]-Table157810[[#This Row],[Defaulted Principal]]</f>
        <v>0</v>
      </c>
      <c r="P203" s="3">
        <f>Table157810[[#This Row],[Principal]]+Table157810[[#This Row],[Interest]]+Table157810[[#This Row],[Prepayments]]+Table157810[[#This Row],[RecoveredAmount]]</f>
        <v>0</v>
      </c>
      <c r="Q203" s="3">
        <f ca="1">ROUND(Table157810[[#This Row],[Cash Flow]]/((1+ActualRateToUse)^(IF(ISNUMBER(SEARCH("Actual",$C$7)),Table157810[[#This Row],[Running Total]]/365,Table157810[[#This Row],[Period]]/12))),2)</f>
        <v>0</v>
      </c>
      <c r="R203" s="2">
        <f>IF(MONTH(Table157810[[#This Row],[Date]])=2,28,DAY(DATE(YEAR(Table157810[[#This Row],[Date]]),MONTH(Table157810[[#This Row],[Date]])+1,1)-1))</f>
        <v>31</v>
      </c>
      <c r="S203" s="2">
        <f ca="1">SUM(OFFSET(Table157810[[#Headers],[Days in month]],1,0):Table157810[[#This Row],[Days in month]])</f>
        <v>5690</v>
      </c>
      <c r="T203" s="37">
        <f>InterestRate*AmortizationMultiplier*IF(ISNUMBER(SEARCH("Actual",$C$7)),Table157810[[#This Row],[Days in month]]/365,1/12)</f>
        <v>5.9839472222222214E-3</v>
      </c>
    </row>
    <row r="204" spans="2:20" x14ac:dyDescent="0.2">
      <c r="B204" s="1">
        <f t="shared" si="10"/>
        <v>51560</v>
      </c>
      <c r="C204" s="2">
        <f t="shared" si="8"/>
        <v>188</v>
      </c>
      <c r="D204" s="3">
        <f t="shared" si="7"/>
        <v>0</v>
      </c>
      <c r="E204" s="3">
        <f>ROUND(Table157810[[#This Row],[Beginning Balance]]*Table157810[[#This Row],[Monthly Interest Rate]],2)</f>
        <v>0</v>
      </c>
      <c r="F204" s="3">
        <f t="shared" si="9"/>
        <v>654</v>
      </c>
      <c r="G204" s="23">
        <f>IFERROR(IF($C$13="No","N/A",IF(Table157810[[#This Row],[Period]]=1,$C$6,PMT(InterestRate*AmortizationMultiplier/12,Table157810[[#This Row],[Am Thru]],-Table157810[[#This Row],[Beginning Balance]]))),0)</f>
        <v>0</v>
      </c>
      <c r="H204" s="3">
        <f>MAX(0,IF(C204=$C$4,D204,ROUND(IF($C$3="Fixed Principal",$C$6-Table157810[[#This Row],[Interest]],IF($C$3="Interest Only",Table157810[[#This Row],[Beginning Balance]]*ROUND(1-(1-IF($C$11="No",$E$8,1))^(1/12),6),MIN(IF($C$13="Yes",Table157810[[#This Row],[Payment Amount (Reamortized)]],$C$6)-Table157810[[#This Row],[Interest]],Table157810[[#This Row],[Beginning Balance]]))),2)))</f>
        <v>0</v>
      </c>
      <c r="I204" s="3">
        <f>_xlfn.SINGLE(IF($C$3="Line of Credit",0,ROUND(MAX(MIN(IF($C$10="No",$E$7,VLOOKUP(Table157810[[#This Row],[Period]],Forecast!$H$2:$L$1048576,4,FALSE))*Table157810[[#This Row],[Beginning Balance]],Table157810[[#This Row],[Beginning Balance]]-Table157810[[#This Row],[Principal]]),0),2)))</f>
        <v>0</v>
      </c>
      <c r="J204" s="3">
        <f>ROUND(MIN(Table157810[[#This Row],[Beginning Balance]]*IF($C$8="No",$E$3,VLOOKUP(Table157810[[#This Row],[Period]],Forecast!$H$2:$L$1048576,2,FALSE)),Table157810[[#This Row],[Beginning Balance]]-Table157810[[#This Row],[Principal]]-Table157810[[#This Row],[Prepayments]]),2)</f>
        <v>0</v>
      </c>
      <c r="K204" s="3">
        <f>ROUND(Table157810[[#This Row],[Defaulted Principal]]*IF($C$9="No",$E$4,VLOOKUP(Table157810[[#This Row],[Period]],Forecast!$H$2:$L$1048576,3,FALSE)),2)</f>
        <v>0</v>
      </c>
      <c r="L204" s="2">
        <f>Table157810[[#This Row],[Period]]+$E$9</f>
        <v>200</v>
      </c>
      <c r="M204" s="3">
        <f>Table157810[[#This Row],[Defaulted Principal]]-Table157810[[#This Row],[Estimated Loss]]</f>
        <v>0</v>
      </c>
      <c r="N204" s="3">
        <f>IFERROR(VLOOKUP(Table157810[[#This Row],[Period]],$L$16:$M$385,2,FALSE),0)</f>
        <v>0</v>
      </c>
      <c r="O204" s="3">
        <f>Table157810[[#This Row],[Beginning Balance]]-Table157810[[#This Row],[Principal]]-Table157810[[#This Row],[Prepayments]]-Table157810[[#This Row],[Defaulted Principal]]</f>
        <v>0</v>
      </c>
      <c r="P204" s="3">
        <f>Table157810[[#This Row],[Principal]]+Table157810[[#This Row],[Interest]]+Table157810[[#This Row],[Prepayments]]+Table157810[[#This Row],[RecoveredAmount]]</f>
        <v>0</v>
      </c>
      <c r="Q204" s="3">
        <f ca="1">ROUND(Table157810[[#This Row],[Cash Flow]]/((1+ActualRateToUse)^(IF(ISNUMBER(SEARCH("Actual",$C$7)),Table157810[[#This Row],[Running Total]]/365,Table157810[[#This Row],[Period]]/12))),2)</f>
        <v>0</v>
      </c>
      <c r="R204" s="2">
        <f>IF(MONTH(Table157810[[#This Row],[Date]])=2,28,DAY(DATE(YEAR(Table157810[[#This Row],[Date]]),MONTH(Table157810[[#This Row],[Date]])+1,1)-1))</f>
        <v>28</v>
      </c>
      <c r="S204" s="2">
        <f ca="1">SUM(OFFSET(Table157810[[#Headers],[Days in month]],1,0):Table157810[[#This Row],[Days in month]])</f>
        <v>5718</v>
      </c>
      <c r="T204" s="37">
        <f>InterestRate*AmortizationMultiplier*IF(ISNUMBER(SEARCH("Actual",$C$7)),Table157810[[#This Row],[Days in month]]/365,1/12)</f>
        <v>5.4048555555555548E-3</v>
      </c>
    </row>
    <row r="205" spans="2:20" x14ac:dyDescent="0.2">
      <c r="B205" s="1">
        <f t="shared" si="10"/>
        <v>51591</v>
      </c>
      <c r="C205" s="2">
        <f t="shared" si="8"/>
        <v>189</v>
      </c>
      <c r="D205" s="3">
        <f t="shared" si="7"/>
        <v>0</v>
      </c>
      <c r="E205" s="3">
        <f>ROUND(Table157810[[#This Row],[Beginning Balance]]*Table157810[[#This Row],[Monthly Interest Rate]],2)</f>
        <v>0</v>
      </c>
      <c r="F205" s="3">
        <f t="shared" si="9"/>
        <v>653</v>
      </c>
      <c r="G205" s="23">
        <f>IFERROR(IF($C$13="No","N/A",IF(Table157810[[#This Row],[Period]]=1,$C$6,PMT(InterestRate*AmortizationMultiplier/12,Table157810[[#This Row],[Am Thru]],-Table157810[[#This Row],[Beginning Balance]]))),0)</f>
        <v>0</v>
      </c>
      <c r="H205" s="3">
        <f>MAX(0,IF(C205=$C$4,D205,ROUND(IF($C$3="Fixed Principal",$C$6-Table157810[[#This Row],[Interest]],IF($C$3="Interest Only",Table157810[[#This Row],[Beginning Balance]]*ROUND(1-(1-IF($C$11="No",$E$8,1))^(1/12),6),MIN(IF($C$13="Yes",Table157810[[#This Row],[Payment Amount (Reamortized)]],$C$6)-Table157810[[#This Row],[Interest]],Table157810[[#This Row],[Beginning Balance]]))),2)))</f>
        <v>0</v>
      </c>
      <c r="I205" s="3">
        <f>_xlfn.SINGLE(IF($C$3="Line of Credit",0,ROUND(MAX(MIN(IF($C$10="No",$E$7,VLOOKUP(Table157810[[#This Row],[Period]],Forecast!$H$2:$L$1048576,4,FALSE))*Table157810[[#This Row],[Beginning Balance]],Table157810[[#This Row],[Beginning Balance]]-Table157810[[#This Row],[Principal]]),0),2)))</f>
        <v>0</v>
      </c>
      <c r="J205" s="3">
        <f>ROUND(MIN(Table157810[[#This Row],[Beginning Balance]]*IF($C$8="No",$E$3,VLOOKUP(Table157810[[#This Row],[Period]],Forecast!$H$2:$L$1048576,2,FALSE)),Table157810[[#This Row],[Beginning Balance]]-Table157810[[#This Row],[Principal]]-Table157810[[#This Row],[Prepayments]]),2)</f>
        <v>0</v>
      </c>
      <c r="K205" s="3">
        <f>ROUND(Table157810[[#This Row],[Defaulted Principal]]*IF($C$9="No",$E$4,VLOOKUP(Table157810[[#This Row],[Period]],Forecast!$H$2:$L$1048576,3,FALSE)),2)</f>
        <v>0</v>
      </c>
      <c r="L205" s="2">
        <f>Table157810[[#This Row],[Period]]+$E$9</f>
        <v>201</v>
      </c>
      <c r="M205" s="3">
        <f>Table157810[[#This Row],[Defaulted Principal]]-Table157810[[#This Row],[Estimated Loss]]</f>
        <v>0</v>
      </c>
      <c r="N205" s="3">
        <f>IFERROR(VLOOKUP(Table157810[[#This Row],[Period]],$L$16:$M$385,2,FALSE),0)</f>
        <v>0</v>
      </c>
      <c r="O205" s="3">
        <f>Table157810[[#This Row],[Beginning Balance]]-Table157810[[#This Row],[Principal]]-Table157810[[#This Row],[Prepayments]]-Table157810[[#This Row],[Defaulted Principal]]</f>
        <v>0</v>
      </c>
      <c r="P205" s="3">
        <f>Table157810[[#This Row],[Principal]]+Table157810[[#This Row],[Interest]]+Table157810[[#This Row],[Prepayments]]+Table157810[[#This Row],[RecoveredAmount]]</f>
        <v>0</v>
      </c>
      <c r="Q205" s="3">
        <f ca="1">ROUND(Table157810[[#This Row],[Cash Flow]]/((1+ActualRateToUse)^(IF(ISNUMBER(SEARCH("Actual",$C$7)),Table157810[[#This Row],[Running Total]]/365,Table157810[[#This Row],[Period]]/12))),2)</f>
        <v>0</v>
      </c>
      <c r="R205" s="2">
        <f>IF(MONTH(Table157810[[#This Row],[Date]])=2,28,DAY(DATE(YEAR(Table157810[[#This Row],[Date]]),MONTH(Table157810[[#This Row],[Date]])+1,1)-1))</f>
        <v>31</v>
      </c>
      <c r="S205" s="2">
        <f ca="1">SUM(OFFSET(Table157810[[#Headers],[Days in month]],1,0):Table157810[[#This Row],[Days in month]])</f>
        <v>5749</v>
      </c>
      <c r="T205" s="37">
        <f>InterestRate*AmortizationMultiplier*IF(ISNUMBER(SEARCH("Actual",$C$7)),Table157810[[#This Row],[Days in month]]/365,1/12)</f>
        <v>5.9839472222222214E-3</v>
      </c>
    </row>
    <row r="206" spans="2:20" x14ac:dyDescent="0.2">
      <c r="B206" s="1">
        <f t="shared" si="10"/>
        <v>51621</v>
      </c>
      <c r="C206" s="2">
        <f t="shared" si="8"/>
        <v>190</v>
      </c>
      <c r="D206" s="3">
        <f t="shared" si="7"/>
        <v>0</v>
      </c>
      <c r="E206" s="3">
        <f>ROUND(Table157810[[#This Row],[Beginning Balance]]*Table157810[[#This Row],[Monthly Interest Rate]],2)</f>
        <v>0</v>
      </c>
      <c r="F206" s="3">
        <f t="shared" si="9"/>
        <v>652</v>
      </c>
      <c r="G206" s="23">
        <f>IFERROR(IF($C$13="No","N/A",IF(Table157810[[#This Row],[Period]]=1,$C$6,PMT(InterestRate*AmortizationMultiplier/12,Table157810[[#This Row],[Am Thru]],-Table157810[[#This Row],[Beginning Balance]]))),0)</f>
        <v>0</v>
      </c>
      <c r="H206" s="3">
        <f>MAX(0,IF(C206=$C$4,D206,ROUND(IF($C$3="Fixed Principal",$C$6-Table157810[[#This Row],[Interest]],IF($C$3="Interest Only",Table157810[[#This Row],[Beginning Balance]]*ROUND(1-(1-IF($C$11="No",$E$8,1))^(1/12),6),MIN(IF($C$13="Yes",Table157810[[#This Row],[Payment Amount (Reamortized)]],$C$6)-Table157810[[#This Row],[Interest]],Table157810[[#This Row],[Beginning Balance]]))),2)))</f>
        <v>0</v>
      </c>
      <c r="I206" s="3">
        <f>_xlfn.SINGLE(IF($C$3="Line of Credit",0,ROUND(MAX(MIN(IF($C$10="No",$E$7,VLOOKUP(Table157810[[#This Row],[Period]],Forecast!$H$2:$L$1048576,4,FALSE))*Table157810[[#This Row],[Beginning Balance]],Table157810[[#This Row],[Beginning Balance]]-Table157810[[#This Row],[Principal]]),0),2)))</f>
        <v>0</v>
      </c>
      <c r="J206" s="3">
        <f>ROUND(MIN(Table157810[[#This Row],[Beginning Balance]]*IF($C$8="No",$E$3,VLOOKUP(Table157810[[#This Row],[Period]],Forecast!$H$2:$L$1048576,2,FALSE)),Table157810[[#This Row],[Beginning Balance]]-Table157810[[#This Row],[Principal]]-Table157810[[#This Row],[Prepayments]]),2)</f>
        <v>0</v>
      </c>
      <c r="K206" s="3">
        <f>ROUND(Table157810[[#This Row],[Defaulted Principal]]*IF($C$9="No",$E$4,VLOOKUP(Table157810[[#This Row],[Period]],Forecast!$H$2:$L$1048576,3,FALSE)),2)</f>
        <v>0</v>
      </c>
      <c r="L206" s="2">
        <f>Table157810[[#This Row],[Period]]+$E$9</f>
        <v>202</v>
      </c>
      <c r="M206" s="3">
        <f>Table157810[[#This Row],[Defaulted Principal]]-Table157810[[#This Row],[Estimated Loss]]</f>
        <v>0</v>
      </c>
      <c r="N206" s="3">
        <f>IFERROR(VLOOKUP(Table157810[[#This Row],[Period]],$L$16:$M$385,2,FALSE),0)</f>
        <v>0</v>
      </c>
      <c r="O206" s="3">
        <f>Table157810[[#This Row],[Beginning Balance]]-Table157810[[#This Row],[Principal]]-Table157810[[#This Row],[Prepayments]]-Table157810[[#This Row],[Defaulted Principal]]</f>
        <v>0</v>
      </c>
      <c r="P206" s="3">
        <f>Table157810[[#This Row],[Principal]]+Table157810[[#This Row],[Interest]]+Table157810[[#This Row],[Prepayments]]+Table157810[[#This Row],[RecoveredAmount]]</f>
        <v>0</v>
      </c>
      <c r="Q206" s="3">
        <f ca="1">ROUND(Table157810[[#This Row],[Cash Flow]]/((1+ActualRateToUse)^(IF(ISNUMBER(SEARCH("Actual",$C$7)),Table157810[[#This Row],[Running Total]]/365,Table157810[[#This Row],[Period]]/12))),2)</f>
        <v>0</v>
      </c>
      <c r="R206" s="2">
        <f>IF(MONTH(Table157810[[#This Row],[Date]])=2,28,DAY(DATE(YEAR(Table157810[[#This Row],[Date]]),MONTH(Table157810[[#This Row],[Date]])+1,1)-1))</f>
        <v>30</v>
      </c>
      <c r="S206" s="2">
        <f ca="1">SUM(OFFSET(Table157810[[#Headers],[Days in month]],1,0):Table157810[[#This Row],[Days in month]])</f>
        <v>5779</v>
      </c>
      <c r="T206" s="37">
        <f>InterestRate*AmortizationMultiplier*IF(ISNUMBER(SEARCH("Actual",$C$7)),Table157810[[#This Row],[Days in month]]/365,1/12)</f>
        <v>5.7909166666666656E-3</v>
      </c>
    </row>
    <row r="207" spans="2:20" x14ac:dyDescent="0.2">
      <c r="B207" s="1">
        <f t="shared" si="10"/>
        <v>51652</v>
      </c>
      <c r="C207" s="2">
        <f t="shared" si="8"/>
        <v>191</v>
      </c>
      <c r="D207" s="3">
        <f t="shared" si="7"/>
        <v>0</v>
      </c>
      <c r="E207" s="3">
        <f>ROUND(Table157810[[#This Row],[Beginning Balance]]*Table157810[[#This Row],[Monthly Interest Rate]],2)</f>
        <v>0</v>
      </c>
      <c r="F207" s="3">
        <f t="shared" si="9"/>
        <v>651</v>
      </c>
      <c r="G207" s="23">
        <f>IFERROR(IF($C$13="No","N/A",IF(Table157810[[#This Row],[Period]]=1,$C$6,PMT(InterestRate*AmortizationMultiplier/12,Table157810[[#This Row],[Am Thru]],-Table157810[[#This Row],[Beginning Balance]]))),0)</f>
        <v>0</v>
      </c>
      <c r="H207" s="3">
        <f>MAX(0,IF(C207=$C$4,D207,ROUND(IF($C$3="Fixed Principal",$C$6-Table157810[[#This Row],[Interest]],IF($C$3="Interest Only",Table157810[[#This Row],[Beginning Balance]]*ROUND(1-(1-IF($C$11="No",$E$8,1))^(1/12),6),MIN(IF($C$13="Yes",Table157810[[#This Row],[Payment Amount (Reamortized)]],$C$6)-Table157810[[#This Row],[Interest]],Table157810[[#This Row],[Beginning Balance]]))),2)))</f>
        <v>0</v>
      </c>
      <c r="I207" s="3">
        <f>_xlfn.SINGLE(IF($C$3="Line of Credit",0,ROUND(MAX(MIN(IF($C$10="No",$E$7,VLOOKUP(Table157810[[#This Row],[Period]],Forecast!$H$2:$L$1048576,4,FALSE))*Table157810[[#This Row],[Beginning Balance]],Table157810[[#This Row],[Beginning Balance]]-Table157810[[#This Row],[Principal]]),0),2)))</f>
        <v>0</v>
      </c>
      <c r="J207" s="3">
        <f>ROUND(MIN(Table157810[[#This Row],[Beginning Balance]]*IF($C$8="No",$E$3,VLOOKUP(Table157810[[#This Row],[Period]],Forecast!$H$2:$L$1048576,2,FALSE)),Table157810[[#This Row],[Beginning Balance]]-Table157810[[#This Row],[Principal]]-Table157810[[#This Row],[Prepayments]]),2)</f>
        <v>0</v>
      </c>
      <c r="K207" s="3">
        <f>ROUND(Table157810[[#This Row],[Defaulted Principal]]*IF($C$9="No",$E$4,VLOOKUP(Table157810[[#This Row],[Period]],Forecast!$H$2:$L$1048576,3,FALSE)),2)</f>
        <v>0</v>
      </c>
      <c r="L207" s="2">
        <f>Table157810[[#This Row],[Period]]+$E$9</f>
        <v>203</v>
      </c>
      <c r="M207" s="3">
        <f>Table157810[[#This Row],[Defaulted Principal]]-Table157810[[#This Row],[Estimated Loss]]</f>
        <v>0</v>
      </c>
      <c r="N207" s="3">
        <f>IFERROR(VLOOKUP(Table157810[[#This Row],[Period]],$L$16:$M$385,2,FALSE),0)</f>
        <v>0</v>
      </c>
      <c r="O207" s="3">
        <f>Table157810[[#This Row],[Beginning Balance]]-Table157810[[#This Row],[Principal]]-Table157810[[#This Row],[Prepayments]]-Table157810[[#This Row],[Defaulted Principal]]</f>
        <v>0</v>
      </c>
      <c r="P207" s="3">
        <f>Table157810[[#This Row],[Principal]]+Table157810[[#This Row],[Interest]]+Table157810[[#This Row],[Prepayments]]+Table157810[[#This Row],[RecoveredAmount]]</f>
        <v>0</v>
      </c>
      <c r="Q207" s="3">
        <f ca="1">ROUND(Table157810[[#This Row],[Cash Flow]]/((1+ActualRateToUse)^(IF(ISNUMBER(SEARCH("Actual",$C$7)),Table157810[[#This Row],[Running Total]]/365,Table157810[[#This Row],[Period]]/12))),2)</f>
        <v>0</v>
      </c>
      <c r="R207" s="2">
        <f>IF(MONTH(Table157810[[#This Row],[Date]])=2,28,DAY(DATE(YEAR(Table157810[[#This Row],[Date]]),MONTH(Table157810[[#This Row],[Date]])+1,1)-1))</f>
        <v>31</v>
      </c>
      <c r="S207" s="2">
        <f ca="1">SUM(OFFSET(Table157810[[#Headers],[Days in month]],1,0):Table157810[[#This Row],[Days in month]])</f>
        <v>5810</v>
      </c>
      <c r="T207" s="37">
        <f>InterestRate*AmortizationMultiplier*IF(ISNUMBER(SEARCH("Actual",$C$7)),Table157810[[#This Row],[Days in month]]/365,1/12)</f>
        <v>5.9839472222222214E-3</v>
      </c>
    </row>
    <row r="208" spans="2:20" x14ac:dyDescent="0.2">
      <c r="B208" s="1">
        <f t="shared" si="10"/>
        <v>51682</v>
      </c>
      <c r="C208" s="2">
        <f t="shared" si="8"/>
        <v>192</v>
      </c>
      <c r="D208" s="3">
        <f t="shared" si="7"/>
        <v>0</v>
      </c>
      <c r="E208" s="3">
        <f>ROUND(Table157810[[#This Row],[Beginning Balance]]*Table157810[[#This Row],[Monthly Interest Rate]],2)</f>
        <v>0</v>
      </c>
      <c r="F208" s="3">
        <f t="shared" si="9"/>
        <v>650</v>
      </c>
      <c r="G208" s="23">
        <f>IFERROR(IF($C$13="No","N/A",IF(Table157810[[#This Row],[Period]]=1,$C$6,PMT(InterestRate*AmortizationMultiplier/12,Table157810[[#This Row],[Am Thru]],-Table157810[[#This Row],[Beginning Balance]]))),0)</f>
        <v>0</v>
      </c>
      <c r="H208" s="3">
        <f>MAX(0,IF(C208=$C$4,D208,ROUND(IF($C$3="Fixed Principal",$C$6-Table157810[[#This Row],[Interest]],IF($C$3="Interest Only",Table157810[[#This Row],[Beginning Balance]]*ROUND(1-(1-IF($C$11="No",$E$8,1))^(1/12),6),MIN(IF($C$13="Yes",Table157810[[#This Row],[Payment Amount (Reamortized)]],$C$6)-Table157810[[#This Row],[Interest]],Table157810[[#This Row],[Beginning Balance]]))),2)))</f>
        <v>0</v>
      </c>
      <c r="I208" s="3">
        <f>_xlfn.SINGLE(IF($C$3="Line of Credit",0,ROUND(MAX(MIN(IF($C$10="No",$E$7,VLOOKUP(Table157810[[#This Row],[Period]],Forecast!$H$2:$L$1048576,4,FALSE))*Table157810[[#This Row],[Beginning Balance]],Table157810[[#This Row],[Beginning Balance]]-Table157810[[#This Row],[Principal]]),0),2)))</f>
        <v>0</v>
      </c>
      <c r="J208" s="3">
        <f>ROUND(MIN(Table157810[[#This Row],[Beginning Balance]]*IF($C$8="No",$E$3,VLOOKUP(Table157810[[#This Row],[Period]],Forecast!$H$2:$L$1048576,2,FALSE)),Table157810[[#This Row],[Beginning Balance]]-Table157810[[#This Row],[Principal]]-Table157810[[#This Row],[Prepayments]]),2)</f>
        <v>0</v>
      </c>
      <c r="K208" s="3">
        <f>ROUND(Table157810[[#This Row],[Defaulted Principal]]*IF($C$9="No",$E$4,VLOOKUP(Table157810[[#This Row],[Period]],Forecast!$H$2:$L$1048576,3,FALSE)),2)</f>
        <v>0</v>
      </c>
      <c r="L208" s="2">
        <f>Table157810[[#This Row],[Period]]+$E$9</f>
        <v>204</v>
      </c>
      <c r="M208" s="3">
        <f>Table157810[[#This Row],[Defaulted Principal]]-Table157810[[#This Row],[Estimated Loss]]</f>
        <v>0</v>
      </c>
      <c r="N208" s="3">
        <f>IFERROR(VLOOKUP(Table157810[[#This Row],[Period]],$L$16:$M$385,2,FALSE),0)</f>
        <v>0</v>
      </c>
      <c r="O208" s="3">
        <f>Table157810[[#This Row],[Beginning Balance]]-Table157810[[#This Row],[Principal]]-Table157810[[#This Row],[Prepayments]]-Table157810[[#This Row],[Defaulted Principal]]</f>
        <v>0</v>
      </c>
      <c r="P208" s="3">
        <f>Table157810[[#This Row],[Principal]]+Table157810[[#This Row],[Interest]]+Table157810[[#This Row],[Prepayments]]+Table157810[[#This Row],[RecoveredAmount]]</f>
        <v>0</v>
      </c>
      <c r="Q208" s="3">
        <f ca="1">ROUND(Table157810[[#This Row],[Cash Flow]]/((1+ActualRateToUse)^(IF(ISNUMBER(SEARCH("Actual",$C$7)),Table157810[[#This Row],[Running Total]]/365,Table157810[[#This Row],[Period]]/12))),2)</f>
        <v>0</v>
      </c>
      <c r="R208" s="2">
        <f>IF(MONTH(Table157810[[#This Row],[Date]])=2,28,DAY(DATE(YEAR(Table157810[[#This Row],[Date]]),MONTH(Table157810[[#This Row],[Date]])+1,1)-1))</f>
        <v>30</v>
      </c>
      <c r="S208" s="2">
        <f ca="1">SUM(OFFSET(Table157810[[#Headers],[Days in month]],1,0):Table157810[[#This Row],[Days in month]])</f>
        <v>5840</v>
      </c>
      <c r="T208" s="37">
        <f>InterestRate*AmortizationMultiplier*IF(ISNUMBER(SEARCH("Actual",$C$7)),Table157810[[#This Row],[Days in month]]/365,1/12)</f>
        <v>5.7909166666666656E-3</v>
      </c>
    </row>
    <row r="209" spans="2:20" x14ac:dyDescent="0.2">
      <c r="B209" s="1">
        <f t="shared" si="10"/>
        <v>51713</v>
      </c>
      <c r="C209" s="2">
        <f t="shared" si="8"/>
        <v>193</v>
      </c>
      <c r="D209" s="3">
        <f t="shared" si="7"/>
        <v>0</v>
      </c>
      <c r="E209" s="3">
        <f>ROUND(Table157810[[#This Row],[Beginning Balance]]*Table157810[[#This Row],[Monthly Interest Rate]],2)</f>
        <v>0</v>
      </c>
      <c r="F209" s="3">
        <f t="shared" si="9"/>
        <v>649</v>
      </c>
      <c r="G209" s="23">
        <f>IFERROR(IF($C$13="No","N/A",IF(Table157810[[#This Row],[Period]]=1,$C$6,PMT(InterestRate*AmortizationMultiplier/12,Table157810[[#This Row],[Am Thru]],-Table157810[[#This Row],[Beginning Balance]]))),0)</f>
        <v>0</v>
      </c>
      <c r="H209" s="3">
        <f>MAX(0,IF(C209=$C$4,D209,ROUND(IF($C$3="Fixed Principal",$C$6-Table157810[[#This Row],[Interest]],IF($C$3="Interest Only",Table157810[[#This Row],[Beginning Balance]]*ROUND(1-(1-IF($C$11="No",$E$8,1))^(1/12),6),MIN(IF($C$13="Yes",Table157810[[#This Row],[Payment Amount (Reamortized)]],$C$6)-Table157810[[#This Row],[Interest]],Table157810[[#This Row],[Beginning Balance]]))),2)))</f>
        <v>0</v>
      </c>
      <c r="I209" s="3">
        <f>_xlfn.SINGLE(IF($C$3="Line of Credit",0,ROUND(MAX(MIN(IF($C$10="No",$E$7,VLOOKUP(Table157810[[#This Row],[Period]],Forecast!$H$2:$L$1048576,4,FALSE))*Table157810[[#This Row],[Beginning Balance]],Table157810[[#This Row],[Beginning Balance]]-Table157810[[#This Row],[Principal]]),0),2)))</f>
        <v>0</v>
      </c>
      <c r="J209" s="3">
        <f>ROUND(MIN(Table157810[[#This Row],[Beginning Balance]]*IF($C$8="No",$E$3,VLOOKUP(Table157810[[#This Row],[Period]],Forecast!$H$2:$L$1048576,2,FALSE)),Table157810[[#This Row],[Beginning Balance]]-Table157810[[#This Row],[Principal]]-Table157810[[#This Row],[Prepayments]]),2)</f>
        <v>0</v>
      </c>
      <c r="K209" s="3">
        <f>ROUND(Table157810[[#This Row],[Defaulted Principal]]*IF($C$9="No",$E$4,VLOOKUP(Table157810[[#This Row],[Period]],Forecast!$H$2:$L$1048576,3,FALSE)),2)</f>
        <v>0</v>
      </c>
      <c r="L209" s="2">
        <f>Table157810[[#This Row],[Period]]+$E$9</f>
        <v>205</v>
      </c>
      <c r="M209" s="3">
        <f>Table157810[[#This Row],[Defaulted Principal]]-Table157810[[#This Row],[Estimated Loss]]</f>
        <v>0</v>
      </c>
      <c r="N209" s="3">
        <f>IFERROR(VLOOKUP(Table157810[[#This Row],[Period]],$L$16:$M$385,2,FALSE),0)</f>
        <v>0</v>
      </c>
      <c r="O209" s="3">
        <f>Table157810[[#This Row],[Beginning Balance]]-Table157810[[#This Row],[Principal]]-Table157810[[#This Row],[Prepayments]]-Table157810[[#This Row],[Defaulted Principal]]</f>
        <v>0</v>
      </c>
      <c r="P209" s="3">
        <f>Table157810[[#This Row],[Principal]]+Table157810[[#This Row],[Interest]]+Table157810[[#This Row],[Prepayments]]+Table157810[[#This Row],[RecoveredAmount]]</f>
        <v>0</v>
      </c>
      <c r="Q209" s="3">
        <f ca="1">ROUND(Table157810[[#This Row],[Cash Flow]]/((1+ActualRateToUse)^(IF(ISNUMBER(SEARCH("Actual",$C$7)),Table157810[[#This Row],[Running Total]]/365,Table157810[[#This Row],[Period]]/12))),2)</f>
        <v>0</v>
      </c>
      <c r="R209" s="2">
        <f>IF(MONTH(Table157810[[#This Row],[Date]])=2,28,DAY(DATE(YEAR(Table157810[[#This Row],[Date]]),MONTH(Table157810[[#This Row],[Date]])+1,1)-1))</f>
        <v>31</v>
      </c>
      <c r="S209" s="2">
        <f ca="1">SUM(OFFSET(Table157810[[#Headers],[Days in month]],1,0):Table157810[[#This Row],[Days in month]])</f>
        <v>5871</v>
      </c>
      <c r="T209" s="37">
        <f>InterestRate*AmortizationMultiplier*IF(ISNUMBER(SEARCH("Actual",$C$7)),Table157810[[#This Row],[Days in month]]/365,1/12)</f>
        <v>5.9839472222222214E-3</v>
      </c>
    </row>
    <row r="210" spans="2:20" x14ac:dyDescent="0.2">
      <c r="B210" s="1">
        <f t="shared" si="10"/>
        <v>51744</v>
      </c>
      <c r="C210" s="2">
        <f t="shared" si="8"/>
        <v>194</v>
      </c>
      <c r="D210" s="3">
        <f t="shared" ref="D210:D273" si="11">O209</f>
        <v>0</v>
      </c>
      <c r="E210" s="3">
        <f>ROUND(Table157810[[#This Row],[Beginning Balance]]*Table157810[[#This Row],[Monthly Interest Rate]],2)</f>
        <v>0</v>
      </c>
      <c r="F210" s="3">
        <f t="shared" si="9"/>
        <v>648</v>
      </c>
      <c r="G210" s="23">
        <f>IFERROR(IF($C$13="No","N/A",IF(Table157810[[#This Row],[Period]]=1,$C$6,PMT(InterestRate*AmortizationMultiplier/12,Table157810[[#This Row],[Am Thru]],-Table157810[[#This Row],[Beginning Balance]]))),0)</f>
        <v>0</v>
      </c>
      <c r="H210" s="3">
        <f>MAX(0,IF(C210=$C$4,D210,ROUND(IF($C$3="Fixed Principal",$C$6-Table157810[[#This Row],[Interest]],IF($C$3="Interest Only",Table157810[[#This Row],[Beginning Balance]]*ROUND(1-(1-IF($C$11="No",$E$8,1))^(1/12),6),MIN(IF($C$13="Yes",Table157810[[#This Row],[Payment Amount (Reamortized)]],$C$6)-Table157810[[#This Row],[Interest]],Table157810[[#This Row],[Beginning Balance]]))),2)))</f>
        <v>0</v>
      </c>
      <c r="I210" s="3">
        <f>_xlfn.SINGLE(IF($C$3="Line of Credit",0,ROUND(MAX(MIN(IF($C$10="No",$E$7,VLOOKUP(Table157810[[#This Row],[Period]],Forecast!$H$2:$L$1048576,4,FALSE))*Table157810[[#This Row],[Beginning Balance]],Table157810[[#This Row],[Beginning Balance]]-Table157810[[#This Row],[Principal]]),0),2)))</f>
        <v>0</v>
      </c>
      <c r="J210" s="3">
        <f>ROUND(MIN(Table157810[[#This Row],[Beginning Balance]]*IF($C$8="No",$E$3,VLOOKUP(Table157810[[#This Row],[Period]],Forecast!$H$2:$L$1048576,2,FALSE)),Table157810[[#This Row],[Beginning Balance]]-Table157810[[#This Row],[Principal]]-Table157810[[#This Row],[Prepayments]]),2)</f>
        <v>0</v>
      </c>
      <c r="K210" s="3">
        <f>ROUND(Table157810[[#This Row],[Defaulted Principal]]*IF($C$9="No",$E$4,VLOOKUP(Table157810[[#This Row],[Period]],Forecast!$H$2:$L$1048576,3,FALSE)),2)</f>
        <v>0</v>
      </c>
      <c r="L210" s="2">
        <f>Table157810[[#This Row],[Period]]+$E$9</f>
        <v>206</v>
      </c>
      <c r="M210" s="3">
        <f>Table157810[[#This Row],[Defaulted Principal]]-Table157810[[#This Row],[Estimated Loss]]</f>
        <v>0</v>
      </c>
      <c r="N210" s="3">
        <f>IFERROR(VLOOKUP(Table157810[[#This Row],[Period]],$L$16:$M$385,2,FALSE),0)</f>
        <v>0</v>
      </c>
      <c r="O210" s="3">
        <f>Table157810[[#This Row],[Beginning Balance]]-Table157810[[#This Row],[Principal]]-Table157810[[#This Row],[Prepayments]]-Table157810[[#This Row],[Defaulted Principal]]</f>
        <v>0</v>
      </c>
      <c r="P210" s="3">
        <f>Table157810[[#This Row],[Principal]]+Table157810[[#This Row],[Interest]]+Table157810[[#This Row],[Prepayments]]+Table157810[[#This Row],[RecoveredAmount]]</f>
        <v>0</v>
      </c>
      <c r="Q210" s="3">
        <f ca="1">ROUND(Table157810[[#This Row],[Cash Flow]]/((1+ActualRateToUse)^(IF(ISNUMBER(SEARCH("Actual",$C$7)),Table157810[[#This Row],[Running Total]]/365,Table157810[[#This Row],[Period]]/12))),2)</f>
        <v>0</v>
      </c>
      <c r="R210" s="2">
        <f>IF(MONTH(Table157810[[#This Row],[Date]])=2,28,DAY(DATE(YEAR(Table157810[[#This Row],[Date]]),MONTH(Table157810[[#This Row],[Date]])+1,1)-1))</f>
        <v>31</v>
      </c>
      <c r="S210" s="2">
        <f ca="1">SUM(OFFSET(Table157810[[#Headers],[Days in month]],1,0):Table157810[[#This Row],[Days in month]])</f>
        <v>5902</v>
      </c>
      <c r="T210" s="37">
        <f>InterestRate*AmortizationMultiplier*IF(ISNUMBER(SEARCH("Actual",$C$7)),Table157810[[#This Row],[Days in month]]/365,1/12)</f>
        <v>5.9839472222222214E-3</v>
      </c>
    </row>
    <row r="211" spans="2:20" x14ac:dyDescent="0.2">
      <c r="B211" s="1">
        <f t="shared" si="10"/>
        <v>51774</v>
      </c>
      <c r="C211" s="2">
        <f t="shared" ref="C211:C274" si="12">C210+1</f>
        <v>195</v>
      </c>
      <c r="D211" s="3">
        <f t="shared" si="11"/>
        <v>0</v>
      </c>
      <c r="E211" s="3">
        <f>ROUND(Table157810[[#This Row],[Beginning Balance]]*Table157810[[#This Row],[Monthly Interest Rate]],2)</f>
        <v>0</v>
      </c>
      <c r="F211" s="3">
        <f t="shared" ref="F211:F274" si="13">+F210-1</f>
        <v>647</v>
      </c>
      <c r="G211" s="23">
        <f>IFERROR(IF($C$13="No","N/A",IF(Table157810[[#This Row],[Period]]=1,$C$6,PMT(InterestRate*AmortizationMultiplier/12,Table157810[[#This Row],[Am Thru]],-Table157810[[#This Row],[Beginning Balance]]))),0)</f>
        <v>0</v>
      </c>
      <c r="H211" s="3">
        <f>MAX(0,IF(C211=$C$4,D211,ROUND(IF($C$3="Fixed Principal",$C$6-Table157810[[#This Row],[Interest]],IF($C$3="Interest Only",Table157810[[#This Row],[Beginning Balance]]*ROUND(1-(1-IF($C$11="No",$E$8,1))^(1/12),6),MIN(IF($C$13="Yes",Table157810[[#This Row],[Payment Amount (Reamortized)]],$C$6)-Table157810[[#This Row],[Interest]],Table157810[[#This Row],[Beginning Balance]]))),2)))</f>
        <v>0</v>
      </c>
      <c r="I211" s="3">
        <f>_xlfn.SINGLE(IF($C$3="Line of Credit",0,ROUND(MAX(MIN(IF($C$10="No",$E$7,VLOOKUP(Table157810[[#This Row],[Period]],Forecast!$H$2:$L$1048576,4,FALSE))*Table157810[[#This Row],[Beginning Balance]],Table157810[[#This Row],[Beginning Balance]]-Table157810[[#This Row],[Principal]]),0),2)))</f>
        <v>0</v>
      </c>
      <c r="J211" s="3">
        <f>ROUND(MIN(Table157810[[#This Row],[Beginning Balance]]*IF($C$8="No",$E$3,VLOOKUP(Table157810[[#This Row],[Period]],Forecast!$H$2:$L$1048576,2,FALSE)),Table157810[[#This Row],[Beginning Balance]]-Table157810[[#This Row],[Principal]]-Table157810[[#This Row],[Prepayments]]),2)</f>
        <v>0</v>
      </c>
      <c r="K211" s="3">
        <f>ROUND(Table157810[[#This Row],[Defaulted Principal]]*IF($C$9="No",$E$4,VLOOKUP(Table157810[[#This Row],[Period]],Forecast!$H$2:$L$1048576,3,FALSE)),2)</f>
        <v>0</v>
      </c>
      <c r="L211" s="2">
        <f>Table157810[[#This Row],[Period]]+$E$9</f>
        <v>207</v>
      </c>
      <c r="M211" s="3">
        <f>Table157810[[#This Row],[Defaulted Principal]]-Table157810[[#This Row],[Estimated Loss]]</f>
        <v>0</v>
      </c>
      <c r="N211" s="3">
        <f>IFERROR(VLOOKUP(Table157810[[#This Row],[Period]],$L$16:$M$385,2,FALSE),0)</f>
        <v>0</v>
      </c>
      <c r="O211" s="3">
        <f>Table157810[[#This Row],[Beginning Balance]]-Table157810[[#This Row],[Principal]]-Table157810[[#This Row],[Prepayments]]-Table157810[[#This Row],[Defaulted Principal]]</f>
        <v>0</v>
      </c>
      <c r="P211" s="3">
        <f>Table157810[[#This Row],[Principal]]+Table157810[[#This Row],[Interest]]+Table157810[[#This Row],[Prepayments]]+Table157810[[#This Row],[RecoveredAmount]]</f>
        <v>0</v>
      </c>
      <c r="Q211" s="3">
        <f ca="1">ROUND(Table157810[[#This Row],[Cash Flow]]/((1+ActualRateToUse)^(IF(ISNUMBER(SEARCH("Actual",$C$7)),Table157810[[#This Row],[Running Total]]/365,Table157810[[#This Row],[Period]]/12))),2)</f>
        <v>0</v>
      </c>
      <c r="R211" s="2">
        <f>IF(MONTH(Table157810[[#This Row],[Date]])=2,28,DAY(DATE(YEAR(Table157810[[#This Row],[Date]]),MONTH(Table157810[[#This Row],[Date]])+1,1)-1))</f>
        <v>30</v>
      </c>
      <c r="S211" s="2">
        <f ca="1">SUM(OFFSET(Table157810[[#Headers],[Days in month]],1,0):Table157810[[#This Row],[Days in month]])</f>
        <v>5932</v>
      </c>
      <c r="T211" s="37">
        <f>InterestRate*AmortizationMultiplier*IF(ISNUMBER(SEARCH("Actual",$C$7)),Table157810[[#This Row],[Days in month]]/365,1/12)</f>
        <v>5.7909166666666656E-3</v>
      </c>
    </row>
    <row r="212" spans="2:20" x14ac:dyDescent="0.2">
      <c r="B212" s="1">
        <f t="shared" si="10"/>
        <v>51805</v>
      </c>
      <c r="C212" s="2">
        <f t="shared" si="12"/>
        <v>196</v>
      </c>
      <c r="D212" s="3">
        <f t="shared" si="11"/>
        <v>0</v>
      </c>
      <c r="E212" s="3">
        <f>ROUND(Table157810[[#This Row],[Beginning Balance]]*Table157810[[#This Row],[Monthly Interest Rate]],2)</f>
        <v>0</v>
      </c>
      <c r="F212" s="3">
        <f t="shared" si="13"/>
        <v>646</v>
      </c>
      <c r="G212" s="23">
        <f>IFERROR(IF($C$13="No","N/A",IF(Table157810[[#This Row],[Period]]=1,$C$6,PMT(InterestRate*AmortizationMultiplier/12,Table157810[[#This Row],[Am Thru]],-Table157810[[#This Row],[Beginning Balance]]))),0)</f>
        <v>0</v>
      </c>
      <c r="H212" s="3">
        <f>MAX(0,IF(C212=$C$4,D212,ROUND(IF($C$3="Fixed Principal",$C$6-Table157810[[#This Row],[Interest]],IF($C$3="Interest Only",Table157810[[#This Row],[Beginning Balance]]*ROUND(1-(1-IF($C$11="No",$E$8,1))^(1/12),6),MIN(IF($C$13="Yes",Table157810[[#This Row],[Payment Amount (Reamortized)]],$C$6)-Table157810[[#This Row],[Interest]],Table157810[[#This Row],[Beginning Balance]]))),2)))</f>
        <v>0</v>
      </c>
      <c r="I212" s="3">
        <f>_xlfn.SINGLE(IF($C$3="Line of Credit",0,ROUND(MAX(MIN(IF($C$10="No",$E$7,VLOOKUP(Table157810[[#This Row],[Period]],Forecast!$H$2:$L$1048576,4,FALSE))*Table157810[[#This Row],[Beginning Balance]],Table157810[[#This Row],[Beginning Balance]]-Table157810[[#This Row],[Principal]]),0),2)))</f>
        <v>0</v>
      </c>
      <c r="J212" s="3">
        <f>ROUND(MIN(Table157810[[#This Row],[Beginning Balance]]*IF($C$8="No",$E$3,VLOOKUP(Table157810[[#This Row],[Period]],Forecast!$H$2:$L$1048576,2,FALSE)),Table157810[[#This Row],[Beginning Balance]]-Table157810[[#This Row],[Principal]]-Table157810[[#This Row],[Prepayments]]),2)</f>
        <v>0</v>
      </c>
      <c r="K212" s="3">
        <f>ROUND(Table157810[[#This Row],[Defaulted Principal]]*IF($C$9="No",$E$4,VLOOKUP(Table157810[[#This Row],[Period]],Forecast!$H$2:$L$1048576,3,FALSE)),2)</f>
        <v>0</v>
      </c>
      <c r="L212" s="2">
        <f>Table157810[[#This Row],[Period]]+$E$9</f>
        <v>208</v>
      </c>
      <c r="M212" s="3">
        <f>Table157810[[#This Row],[Defaulted Principal]]-Table157810[[#This Row],[Estimated Loss]]</f>
        <v>0</v>
      </c>
      <c r="N212" s="3">
        <f>IFERROR(VLOOKUP(Table157810[[#This Row],[Period]],$L$16:$M$385,2,FALSE),0)</f>
        <v>0</v>
      </c>
      <c r="O212" s="3">
        <f>Table157810[[#This Row],[Beginning Balance]]-Table157810[[#This Row],[Principal]]-Table157810[[#This Row],[Prepayments]]-Table157810[[#This Row],[Defaulted Principal]]</f>
        <v>0</v>
      </c>
      <c r="P212" s="3">
        <f>Table157810[[#This Row],[Principal]]+Table157810[[#This Row],[Interest]]+Table157810[[#This Row],[Prepayments]]+Table157810[[#This Row],[RecoveredAmount]]</f>
        <v>0</v>
      </c>
      <c r="Q212" s="3">
        <f ca="1">ROUND(Table157810[[#This Row],[Cash Flow]]/((1+ActualRateToUse)^(IF(ISNUMBER(SEARCH("Actual",$C$7)),Table157810[[#This Row],[Running Total]]/365,Table157810[[#This Row],[Period]]/12))),2)</f>
        <v>0</v>
      </c>
      <c r="R212" s="2">
        <f>IF(MONTH(Table157810[[#This Row],[Date]])=2,28,DAY(DATE(YEAR(Table157810[[#This Row],[Date]]),MONTH(Table157810[[#This Row],[Date]])+1,1)-1))</f>
        <v>31</v>
      </c>
      <c r="S212" s="2">
        <f ca="1">SUM(OFFSET(Table157810[[#Headers],[Days in month]],1,0):Table157810[[#This Row],[Days in month]])</f>
        <v>5963</v>
      </c>
      <c r="T212" s="37">
        <f>InterestRate*AmortizationMultiplier*IF(ISNUMBER(SEARCH("Actual",$C$7)),Table157810[[#This Row],[Days in month]]/365,1/12)</f>
        <v>5.9839472222222214E-3</v>
      </c>
    </row>
    <row r="213" spans="2:20" x14ac:dyDescent="0.2">
      <c r="B213" s="1">
        <f t="shared" si="10"/>
        <v>51835</v>
      </c>
      <c r="C213" s="2">
        <f t="shared" si="12"/>
        <v>197</v>
      </c>
      <c r="D213" s="3">
        <f t="shared" si="11"/>
        <v>0</v>
      </c>
      <c r="E213" s="3">
        <f>ROUND(Table157810[[#This Row],[Beginning Balance]]*Table157810[[#This Row],[Monthly Interest Rate]],2)</f>
        <v>0</v>
      </c>
      <c r="F213" s="3">
        <f t="shared" si="13"/>
        <v>645</v>
      </c>
      <c r="G213" s="23">
        <f>IFERROR(IF($C$13="No","N/A",IF(Table157810[[#This Row],[Period]]=1,$C$6,PMT(InterestRate*AmortizationMultiplier/12,Table157810[[#This Row],[Am Thru]],-Table157810[[#This Row],[Beginning Balance]]))),0)</f>
        <v>0</v>
      </c>
      <c r="H213" s="3">
        <f>MAX(0,IF(C213=$C$4,D213,ROUND(IF($C$3="Fixed Principal",$C$6-Table157810[[#This Row],[Interest]],IF($C$3="Interest Only",Table157810[[#This Row],[Beginning Balance]]*ROUND(1-(1-IF($C$11="No",$E$8,1))^(1/12),6),MIN(IF($C$13="Yes",Table157810[[#This Row],[Payment Amount (Reamortized)]],$C$6)-Table157810[[#This Row],[Interest]],Table157810[[#This Row],[Beginning Balance]]))),2)))</f>
        <v>0</v>
      </c>
      <c r="I213" s="3">
        <f>_xlfn.SINGLE(IF($C$3="Line of Credit",0,ROUND(MAX(MIN(IF($C$10="No",$E$7,VLOOKUP(Table157810[[#This Row],[Period]],Forecast!$H$2:$L$1048576,4,FALSE))*Table157810[[#This Row],[Beginning Balance]],Table157810[[#This Row],[Beginning Balance]]-Table157810[[#This Row],[Principal]]),0),2)))</f>
        <v>0</v>
      </c>
      <c r="J213" s="3">
        <f>ROUND(MIN(Table157810[[#This Row],[Beginning Balance]]*IF($C$8="No",$E$3,VLOOKUP(Table157810[[#This Row],[Period]],Forecast!$H$2:$L$1048576,2,FALSE)),Table157810[[#This Row],[Beginning Balance]]-Table157810[[#This Row],[Principal]]-Table157810[[#This Row],[Prepayments]]),2)</f>
        <v>0</v>
      </c>
      <c r="K213" s="3">
        <f>ROUND(Table157810[[#This Row],[Defaulted Principal]]*IF($C$9="No",$E$4,VLOOKUP(Table157810[[#This Row],[Period]],Forecast!$H$2:$L$1048576,3,FALSE)),2)</f>
        <v>0</v>
      </c>
      <c r="L213" s="2">
        <f>Table157810[[#This Row],[Period]]+$E$9</f>
        <v>209</v>
      </c>
      <c r="M213" s="3">
        <f>Table157810[[#This Row],[Defaulted Principal]]-Table157810[[#This Row],[Estimated Loss]]</f>
        <v>0</v>
      </c>
      <c r="N213" s="3">
        <f>IFERROR(VLOOKUP(Table157810[[#This Row],[Period]],$L$16:$M$385,2,FALSE),0)</f>
        <v>0</v>
      </c>
      <c r="O213" s="3">
        <f>Table157810[[#This Row],[Beginning Balance]]-Table157810[[#This Row],[Principal]]-Table157810[[#This Row],[Prepayments]]-Table157810[[#This Row],[Defaulted Principal]]</f>
        <v>0</v>
      </c>
      <c r="P213" s="3">
        <f>Table157810[[#This Row],[Principal]]+Table157810[[#This Row],[Interest]]+Table157810[[#This Row],[Prepayments]]+Table157810[[#This Row],[RecoveredAmount]]</f>
        <v>0</v>
      </c>
      <c r="Q213" s="3">
        <f ca="1">ROUND(Table157810[[#This Row],[Cash Flow]]/((1+ActualRateToUse)^(IF(ISNUMBER(SEARCH("Actual",$C$7)),Table157810[[#This Row],[Running Total]]/365,Table157810[[#This Row],[Period]]/12))),2)</f>
        <v>0</v>
      </c>
      <c r="R213" s="2">
        <f>IF(MONTH(Table157810[[#This Row],[Date]])=2,28,DAY(DATE(YEAR(Table157810[[#This Row],[Date]]),MONTH(Table157810[[#This Row],[Date]])+1,1)-1))</f>
        <v>30</v>
      </c>
      <c r="S213" s="2">
        <f ca="1">SUM(OFFSET(Table157810[[#Headers],[Days in month]],1,0):Table157810[[#This Row],[Days in month]])</f>
        <v>5993</v>
      </c>
      <c r="T213" s="37">
        <f>InterestRate*AmortizationMultiplier*IF(ISNUMBER(SEARCH("Actual",$C$7)),Table157810[[#This Row],[Days in month]]/365,1/12)</f>
        <v>5.7909166666666656E-3</v>
      </c>
    </row>
    <row r="214" spans="2:20" x14ac:dyDescent="0.2">
      <c r="B214" s="1">
        <f t="shared" si="10"/>
        <v>51866</v>
      </c>
      <c r="C214" s="2">
        <f t="shared" si="12"/>
        <v>198</v>
      </c>
      <c r="D214" s="3">
        <f t="shared" si="11"/>
        <v>0</v>
      </c>
      <c r="E214" s="3">
        <f>ROUND(Table157810[[#This Row],[Beginning Balance]]*Table157810[[#This Row],[Monthly Interest Rate]],2)</f>
        <v>0</v>
      </c>
      <c r="F214" s="3">
        <f t="shared" si="13"/>
        <v>644</v>
      </c>
      <c r="G214" s="23">
        <f>IFERROR(IF($C$13="No","N/A",IF(Table157810[[#This Row],[Period]]=1,$C$6,PMT(InterestRate*AmortizationMultiplier/12,Table157810[[#This Row],[Am Thru]],-Table157810[[#This Row],[Beginning Balance]]))),0)</f>
        <v>0</v>
      </c>
      <c r="H214" s="3">
        <f>MAX(0,IF(C214=$C$4,D214,ROUND(IF($C$3="Fixed Principal",$C$6-Table157810[[#This Row],[Interest]],IF($C$3="Interest Only",Table157810[[#This Row],[Beginning Balance]]*ROUND(1-(1-IF($C$11="No",$E$8,1))^(1/12),6),MIN(IF($C$13="Yes",Table157810[[#This Row],[Payment Amount (Reamortized)]],$C$6)-Table157810[[#This Row],[Interest]],Table157810[[#This Row],[Beginning Balance]]))),2)))</f>
        <v>0</v>
      </c>
      <c r="I214" s="3">
        <f>_xlfn.SINGLE(IF($C$3="Line of Credit",0,ROUND(MAX(MIN(IF($C$10="No",$E$7,VLOOKUP(Table157810[[#This Row],[Period]],Forecast!$H$2:$L$1048576,4,FALSE))*Table157810[[#This Row],[Beginning Balance]],Table157810[[#This Row],[Beginning Balance]]-Table157810[[#This Row],[Principal]]),0),2)))</f>
        <v>0</v>
      </c>
      <c r="J214" s="3">
        <f>ROUND(MIN(Table157810[[#This Row],[Beginning Balance]]*IF($C$8="No",$E$3,VLOOKUP(Table157810[[#This Row],[Period]],Forecast!$H$2:$L$1048576,2,FALSE)),Table157810[[#This Row],[Beginning Balance]]-Table157810[[#This Row],[Principal]]-Table157810[[#This Row],[Prepayments]]),2)</f>
        <v>0</v>
      </c>
      <c r="K214" s="3">
        <f>ROUND(Table157810[[#This Row],[Defaulted Principal]]*IF($C$9="No",$E$4,VLOOKUP(Table157810[[#This Row],[Period]],Forecast!$H$2:$L$1048576,3,FALSE)),2)</f>
        <v>0</v>
      </c>
      <c r="L214" s="2">
        <f>Table157810[[#This Row],[Period]]+$E$9</f>
        <v>210</v>
      </c>
      <c r="M214" s="3">
        <f>Table157810[[#This Row],[Defaulted Principal]]-Table157810[[#This Row],[Estimated Loss]]</f>
        <v>0</v>
      </c>
      <c r="N214" s="3">
        <f>IFERROR(VLOOKUP(Table157810[[#This Row],[Period]],$L$16:$M$385,2,FALSE),0)</f>
        <v>0</v>
      </c>
      <c r="O214" s="3">
        <f>Table157810[[#This Row],[Beginning Balance]]-Table157810[[#This Row],[Principal]]-Table157810[[#This Row],[Prepayments]]-Table157810[[#This Row],[Defaulted Principal]]</f>
        <v>0</v>
      </c>
      <c r="P214" s="3">
        <f>Table157810[[#This Row],[Principal]]+Table157810[[#This Row],[Interest]]+Table157810[[#This Row],[Prepayments]]+Table157810[[#This Row],[RecoveredAmount]]</f>
        <v>0</v>
      </c>
      <c r="Q214" s="3">
        <f ca="1">ROUND(Table157810[[#This Row],[Cash Flow]]/((1+ActualRateToUse)^(IF(ISNUMBER(SEARCH("Actual",$C$7)),Table157810[[#This Row],[Running Total]]/365,Table157810[[#This Row],[Period]]/12))),2)</f>
        <v>0</v>
      </c>
      <c r="R214" s="2">
        <f>IF(MONTH(Table157810[[#This Row],[Date]])=2,28,DAY(DATE(YEAR(Table157810[[#This Row],[Date]]),MONTH(Table157810[[#This Row],[Date]])+1,1)-1))</f>
        <v>31</v>
      </c>
      <c r="S214" s="2">
        <f ca="1">SUM(OFFSET(Table157810[[#Headers],[Days in month]],1,0):Table157810[[#This Row],[Days in month]])</f>
        <v>6024</v>
      </c>
      <c r="T214" s="37">
        <f>InterestRate*AmortizationMultiplier*IF(ISNUMBER(SEARCH("Actual",$C$7)),Table157810[[#This Row],[Days in month]]/365,1/12)</f>
        <v>5.9839472222222214E-3</v>
      </c>
    </row>
    <row r="215" spans="2:20" x14ac:dyDescent="0.2">
      <c r="B215" s="1">
        <f t="shared" si="10"/>
        <v>51897</v>
      </c>
      <c r="C215" s="2">
        <f t="shared" si="12"/>
        <v>199</v>
      </c>
      <c r="D215" s="3">
        <f t="shared" si="11"/>
        <v>0</v>
      </c>
      <c r="E215" s="3">
        <f>ROUND(Table157810[[#This Row],[Beginning Balance]]*Table157810[[#This Row],[Monthly Interest Rate]],2)</f>
        <v>0</v>
      </c>
      <c r="F215" s="3">
        <f t="shared" si="13"/>
        <v>643</v>
      </c>
      <c r="G215" s="23">
        <f>IFERROR(IF($C$13="No","N/A",IF(Table157810[[#This Row],[Period]]=1,$C$6,PMT(InterestRate*AmortizationMultiplier/12,Table157810[[#This Row],[Am Thru]],-Table157810[[#This Row],[Beginning Balance]]))),0)</f>
        <v>0</v>
      </c>
      <c r="H215" s="3">
        <f>MAX(0,IF(C215=$C$4,D215,ROUND(IF($C$3="Fixed Principal",$C$6-Table157810[[#This Row],[Interest]],IF($C$3="Interest Only",Table157810[[#This Row],[Beginning Balance]]*ROUND(1-(1-IF($C$11="No",$E$8,1))^(1/12),6),MIN(IF($C$13="Yes",Table157810[[#This Row],[Payment Amount (Reamortized)]],$C$6)-Table157810[[#This Row],[Interest]],Table157810[[#This Row],[Beginning Balance]]))),2)))</f>
        <v>0</v>
      </c>
      <c r="I215" s="3">
        <f>_xlfn.SINGLE(IF($C$3="Line of Credit",0,ROUND(MAX(MIN(IF($C$10="No",$E$7,VLOOKUP(Table157810[[#This Row],[Period]],Forecast!$H$2:$L$1048576,4,FALSE))*Table157810[[#This Row],[Beginning Balance]],Table157810[[#This Row],[Beginning Balance]]-Table157810[[#This Row],[Principal]]),0),2)))</f>
        <v>0</v>
      </c>
      <c r="J215" s="3">
        <f>ROUND(MIN(Table157810[[#This Row],[Beginning Balance]]*IF($C$8="No",$E$3,VLOOKUP(Table157810[[#This Row],[Period]],Forecast!$H$2:$L$1048576,2,FALSE)),Table157810[[#This Row],[Beginning Balance]]-Table157810[[#This Row],[Principal]]-Table157810[[#This Row],[Prepayments]]),2)</f>
        <v>0</v>
      </c>
      <c r="K215" s="3">
        <f>ROUND(Table157810[[#This Row],[Defaulted Principal]]*IF($C$9="No",$E$4,VLOOKUP(Table157810[[#This Row],[Period]],Forecast!$H$2:$L$1048576,3,FALSE)),2)</f>
        <v>0</v>
      </c>
      <c r="L215" s="2">
        <f>Table157810[[#This Row],[Period]]+$E$9</f>
        <v>211</v>
      </c>
      <c r="M215" s="3">
        <f>Table157810[[#This Row],[Defaulted Principal]]-Table157810[[#This Row],[Estimated Loss]]</f>
        <v>0</v>
      </c>
      <c r="N215" s="3">
        <f>IFERROR(VLOOKUP(Table157810[[#This Row],[Period]],$L$16:$M$385,2,FALSE),0)</f>
        <v>0</v>
      </c>
      <c r="O215" s="3">
        <f>Table157810[[#This Row],[Beginning Balance]]-Table157810[[#This Row],[Principal]]-Table157810[[#This Row],[Prepayments]]-Table157810[[#This Row],[Defaulted Principal]]</f>
        <v>0</v>
      </c>
      <c r="P215" s="3">
        <f>Table157810[[#This Row],[Principal]]+Table157810[[#This Row],[Interest]]+Table157810[[#This Row],[Prepayments]]+Table157810[[#This Row],[RecoveredAmount]]</f>
        <v>0</v>
      </c>
      <c r="Q215" s="3">
        <f ca="1">ROUND(Table157810[[#This Row],[Cash Flow]]/((1+ActualRateToUse)^(IF(ISNUMBER(SEARCH("Actual",$C$7)),Table157810[[#This Row],[Running Total]]/365,Table157810[[#This Row],[Period]]/12))),2)</f>
        <v>0</v>
      </c>
      <c r="R215" s="2">
        <f>IF(MONTH(Table157810[[#This Row],[Date]])=2,28,DAY(DATE(YEAR(Table157810[[#This Row],[Date]]),MONTH(Table157810[[#This Row],[Date]])+1,1)-1))</f>
        <v>31</v>
      </c>
      <c r="S215" s="2">
        <f ca="1">SUM(OFFSET(Table157810[[#Headers],[Days in month]],1,0):Table157810[[#This Row],[Days in month]])</f>
        <v>6055</v>
      </c>
      <c r="T215" s="37">
        <f>InterestRate*AmortizationMultiplier*IF(ISNUMBER(SEARCH("Actual",$C$7)),Table157810[[#This Row],[Days in month]]/365,1/12)</f>
        <v>5.9839472222222214E-3</v>
      </c>
    </row>
    <row r="216" spans="2:20" x14ac:dyDescent="0.2">
      <c r="B216" s="1">
        <f t="shared" si="10"/>
        <v>51925</v>
      </c>
      <c r="C216" s="2">
        <f t="shared" si="12"/>
        <v>200</v>
      </c>
      <c r="D216" s="3">
        <f t="shared" si="11"/>
        <v>0</v>
      </c>
      <c r="E216" s="3">
        <f>ROUND(Table157810[[#This Row],[Beginning Balance]]*Table157810[[#This Row],[Monthly Interest Rate]],2)</f>
        <v>0</v>
      </c>
      <c r="F216" s="3">
        <f t="shared" si="13"/>
        <v>642</v>
      </c>
      <c r="G216" s="23">
        <f>IFERROR(IF($C$13="No","N/A",IF(Table157810[[#This Row],[Period]]=1,$C$6,PMT(InterestRate*AmortizationMultiplier/12,Table157810[[#This Row],[Am Thru]],-Table157810[[#This Row],[Beginning Balance]]))),0)</f>
        <v>0</v>
      </c>
      <c r="H216" s="3">
        <f>MAX(0,IF(C216=$C$4,D216,ROUND(IF($C$3="Fixed Principal",$C$6-Table157810[[#This Row],[Interest]],IF($C$3="Interest Only",Table157810[[#This Row],[Beginning Balance]]*ROUND(1-(1-IF($C$11="No",$E$8,1))^(1/12),6),MIN(IF($C$13="Yes",Table157810[[#This Row],[Payment Amount (Reamortized)]],$C$6)-Table157810[[#This Row],[Interest]],Table157810[[#This Row],[Beginning Balance]]))),2)))</f>
        <v>0</v>
      </c>
      <c r="I216" s="3">
        <f>_xlfn.SINGLE(IF($C$3="Line of Credit",0,ROUND(MAX(MIN(IF($C$10="No",$E$7,VLOOKUP(Table157810[[#This Row],[Period]],Forecast!$H$2:$L$1048576,4,FALSE))*Table157810[[#This Row],[Beginning Balance]],Table157810[[#This Row],[Beginning Balance]]-Table157810[[#This Row],[Principal]]),0),2)))</f>
        <v>0</v>
      </c>
      <c r="J216" s="3">
        <f>ROUND(MIN(Table157810[[#This Row],[Beginning Balance]]*IF($C$8="No",$E$3,VLOOKUP(Table157810[[#This Row],[Period]],Forecast!$H$2:$L$1048576,2,FALSE)),Table157810[[#This Row],[Beginning Balance]]-Table157810[[#This Row],[Principal]]-Table157810[[#This Row],[Prepayments]]),2)</f>
        <v>0</v>
      </c>
      <c r="K216" s="3">
        <f>ROUND(Table157810[[#This Row],[Defaulted Principal]]*IF($C$9="No",$E$4,VLOOKUP(Table157810[[#This Row],[Period]],Forecast!$H$2:$L$1048576,3,FALSE)),2)</f>
        <v>0</v>
      </c>
      <c r="L216" s="2">
        <f>Table157810[[#This Row],[Period]]+$E$9</f>
        <v>212</v>
      </c>
      <c r="M216" s="3">
        <f>Table157810[[#This Row],[Defaulted Principal]]-Table157810[[#This Row],[Estimated Loss]]</f>
        <v>0</v>
      </c>
      <c r="N216" s="3">
        <f>IFERROR(VLOOKUP(Table157810[[#This Row],[Period]],$L$16:$M$385,2,FALSE),0)</f>
        <v>0</v>
      </c>
      <c r="O216" s="3">
        <f>Table157810[[#This Row],[Beginning Balance]]-Table157810[[#This Row],[Principal]]-Table157810[[#This Row],[Prepayments]]-Table157810[[#This Row],[Defaulted Principal]]</f>
        <v>0</v>
      </c>
      <c r="P216" s="3">
        <f>Table157810[[#This Row],[Principal]]+Table157810[[#This Row],[Interest]]+Table157810[[#This Row],[Prepayments]]+Table157810[[#This Row],[RecoveredAmount]]</f>
        <v>0</v>
      </c>
      <c r="Q216" s="3">
        <f ca="1">ROUND(Table157810[[#This Row],[Cash Flow]]/((1+ActualRateToUse)^(IF(ISNUMBER(SEARCH("Actual",$C$7)),Table157810[[#This Row],[Running Total]]/365,Table157810[[#This Row],[Period]]/12))),2)</f>
        <v>0</v>
      </c>
      <c r="R216" s="2">
        <f>IF(MONTH(Table157810[[#This Row],[Date]])=2,28,DAY(DATE(YEAR(Table157810[[#This Row],[Date]]),MONTH(Table157810[[#This Row],[Date]])+1,1)-1))</f>
        <v>28</v>
      </c>
      <c r="S216" s="2">
        <f ca="1">SUM(OFFSET(Table157810[[#Headers],[Days in month]],1,0):Table157810[[#This Row],[Days in month]])</f>
        <v>6083</v>
      </c>
      <c r="T216" s="37">
        <f>InterestRate*AmortizationMultiplier*IF(ISNUMBER(SEARCH("Actual",$C$7)),Table157810[[#This Row],[Days in month]]/365,1/12)</f>
        <v>5.4048555555555548E-3</v>
      </c>
    </row>
    <row r="217" spans="2:20" x14ac:dyDescent="0.2">
      <c r="B217" s="1">
        <f t="shared" si="10"/>
        <v>51956</v>
      </c>
      <c r="C217" s="2">
        <f t="shared" si="12"/>
        <v>201</v>
      </c>
      <c r="D217" s="3">
        <f t="shared" si="11"/>
        <v>0</v>
      </c>
      <c r="E217" s="3">
        <f>ROUND(Table157810[[#This Row],[Beginning Balance]]*Table157810[[#This Row],[Monthly Interest Rate]],2)</f>
        <v>0</v>
      </c>
      <c r="F217" s="3">
        <f t="shared" si="13"/>
        <v>641</v>
      </c>
      <c r="G217" s="23">
        <f>IFERROR(IF($C$13="No","N/A",IF(Table157810[[#This Row],[Period]]=1,$C$6,PMT(InterestRate*AmortizationMultiplier/12,Table157810[[#This Row],[Am Thru]],-Table157810[[#This Row],[Beginning Balance]]))),0)</f>
        <v>0</v>
      </c>
      <c r="H217" s="3">
        <f>MAX(0,IF(C217=$C$4,D217,ROUND(IF($C$3="Fixed Principal",$C$6-Table157810[[#This Row],[Interest]],IF($C$3="Interest Only",Table157810[[#This Row],[Beginning Balance]]*ROUND(1-(1-IF($C$11="No",$E$8,1))^(1/12),6),MIN(IF($C$13="Yes",Table157810[[#This Row],[Payment Amount (Reamortized)]],$C$6)-Table157810[[#This Row],[Interest]],Table157810[[#This Row],[Beginning Balance]]))),2)))</f>
        <v>0</v>
      </c>
      <c r="I217" s="3">
        <f>_xlfn.SINGLE(IF($C$3="Line of Credit",0,ROUND(MAX(MIN(IF($C$10="No",$E$7,VLOOKUP(Table157810[[#This Row],[Period]],Forecast!$H$2:$L$1048576,4,FALSE))*Table157810[[#This Row],[Beginning Balance]],Table157810[[#This Row],[Beginning Balance]]-Table157810[[#This Row],[Principal]]),0),2)))</f>
        <v>0</v>
      </c>
      <c r="J217" s="3">
        <f>ROUND(MIN(Table157810[[#This Row],[Beginning Balance]]*IF($C$8="No",$E$3,VLOOKUP(Table157810[[#This Row],[Period]],Forecast!$H$2:$L$1048576,2,FALSE)),Table157810[[#This Row],[Beginning Balance]]-Table157810[[#This Row],[Principal]]-Table157810[[#This Row],[Prepayments]]),2)</f>
        <v>0</v>
      </c>
      <c r="K217" s="3">
        <f>ROUND(Table157810[[#This Row],[Defaulted Principal]]*IF($C$9="No",$E$4,VLOOKUP(Table157810[[#This Row],[Period]],Forecast!$H$2:$L$1048576,3,FALSE)),2)</f>
        <v>0</v>
      </c>
      <c r="L217" s="2">
        <f>Table157810[[#This Row],[Period]]+$E$9</f>
        <v>213</v>
      </c>
      <c r="M217" s="3">
        <f>Table157810[[#This Row],[Defaulted Principal]]-Table157810[[#This Row],[Estimated Loss]]</f>
        <v>0</v>
      </c>
      <c r="N217" s="3">
        <f>IFERROR(VLOOKUP(Table157810[[#This Row],[Period]],$L$16:$M$385,2,FALSE),0)</f>
        <v>0</v>
      </c>
      <c r="O217" s="3">
        <f>Table157810[[#This Row],[Beginning Balance]]-Table157810[[#This Row],[Principal]]-Table157810[[#This Row],[Prepayments]]-Table157810[[#This Row],[Defaulted Principal]]</f>
        <v>0</v>
      </c>
      <c r="P217" s="3">
        <f>Table157810[[#This Row],[Principal]]+Table157810[[#This Row],[Interest]]+Table157810[[#This Row],[Prepayments]]+Table157810[[#This Row],[RecoveredAmount]]</f>
        <v>0</v>
      </c>
      <c r="Q217" s="3">
        <f ca="1">ROUND(Table157810[[#This Row],[Cash Flow]]/((1+ActualRateToUse)^(IF(ISNUMBER(SEARCH("Actual",$C$7)),Table157810[[#This Row],[Running Total]]/365,Table157810[[#This Row],[Period]]/12))),2)</f>
        <v>0</v>
      </c>
      <c r="R217" s="2">
        <f>IF(MONTH(Table157810[[#This Row],[Date]])=2,28,DAY(DATE(YEAR(Table157810[[#This Row],[Date]]),MONTH(Table157810[[#This Row],[Date]])+1,1)-1))</f>
        <v>31</v>
      </c>
      <c r="S217" s="2">
        <f ca="1">SUM(OFFSET(Table157810[[#Headers],[Days in month]],1,0):Table157810[[#This Row],[Days in month]])</f>
        <v>6114</v>
      </c>
      <c r="T217" s="37">
        <f>InterestRate*AmortizationMultiplier*IF(ISNUMBER(SEARCH("Actual",$C$7)),Table157810[[#This Row],[Days in month]]/365,1/12)</f>
        <v>5.9839472222222214E-3</v>
      </c>
    </row>
    <row r="218" spans="2:20" x14ac:dyDescent="0.2">
      <c r="B218" s="1">
        <f t="shared" si="10"/>
        <v>51986</v>
      </c>
      <c r="C218" s="2">
        <f t="shared" si="12"/>
        <v>202</v>
      </c>
      <c r="D218" s="3">
        <f t="shared" si="11"/>
        <v>0</v>
      </c>
      <c r="E218" s="3">
        <f>ROUND(Table157810[[#This Row],[Beginning Balance]]*Table157810[[#This Row],[Monthly Interest Rate]],2)</f>
        <v>0</v>
      </c>
      <c r="F218" s="3">
        <f t="shared" si="13"/>
        <v>640</v>
      </c>
      <c r="G218" s="23">
        <f>IFERROR(IF($C$13="No","N/A",IF(Table157810[[#This Row],[Period]]=1,$C$6,PMT(InterestRate*AmortizationMultiplier/12,Table157810[[#This Row],[Am Thru]],-Table157810[[#This Row],[Beginning Balance]]))),0)</f>
        <v>0</v>
      </c>
      <c r="H218" s="3">
        <f>MAX(0,IF(C218=$C$4,D218,ROUND(IF($C$3="Fixed Principal",$C$6-Table157810[[#This Row],[Interest]],IF($C$3="Interest Only",Table157810[[#This Row],[Beginning Balance]]*ROUND(1-(1-IF($C$11="No",$E$8,1))^(1/12),6),MIN(IF($C$13="Yes",Table157810[[#This Row],[Payment Amount (Reamortized)]],$C$6)-Table157810[[#This Row],[Interest]],Table157810[[#This Row],[Beginning Balance]]))),2)))</f>
        <v>0</v>
      </c>
      <c r="I218" s="3">
        <f>_xlfn.SINGLE(IF($C$3="Line of Credit",0,ROUND(MAX(MIN(IF($C$10="No",$E$7,VLOOKUP(Table157810[[#This Row],[Period]],Forecast!$H$2:$L$1048576,4,FALSE))*Table157810[[#This Row],[Beginning Balance]],Table157810[[#This Row],[Beginning Balance]]-Table157810[[#This Row],[Principal]]),0),2)))</f>
        <v>0</v>
      </c>
      <c r="J218" s="3">
        <f>ROUND(MIN(Table157810[[#This Row],[Beginning Balance]]*IF($C$8="No",$E$3,VLOOKUP(Table157810[[#This Row],[Period]],Forecast!$H$2:$L$1048576,2,FALSE)),Table157810[[#This Row],[Beginning Balance]]-Table157810[[#This Row],[Principal]]-Table157810[[#This Row],[Prepayments]]),2)</f>
        <v>0</v>
      </c>
      <c r="K218" s="3">
        <f>ROUND(Table157810[[#This Row],[Defaulted Principal]]*IF($C$9="No",$E$4,VLOOKUP(Table157810[[#This Row],[Period]],Forecast!$H$2:$L$1048576,3,FALSE)),2)</f>
        <v>0</v>
      </c>
      <c r="L218" s="2">
        <f>Table157810[[#This Row],[Period]]+$E$9</f>
        <v>214</v>
      </c>
      <c r="M218" s="3">
        <f>Table157810[[#This Row],[Defaulted Principal]]-Table157810[[#This Row],[Estimated Loss]]</f>
        <v>0</v>
      </c>
      <c r="N218" s="3">
        <f>IFERROR(VLOOKUP(Table157810[[#This Row],[Period]],$L$16:$M$385,2,FALSE),0)</f>
        <v>0</v>
      </c>
      <c r="O218" s="3">
        <f>Table157810[[#This Row],[Beginning Balance]]-Table157810[[#This Row],[Principal]]-Table157810[[#This Row],[Prepayments]]-Table157810[[#This Row],[Defaulted Principal]]</f>
        <v>0</v>
      </c>
      <c r="P218" s="3">
        <f>Table157810[[#This Row],[Principal]]+Table157810[[#This Row],[Interest]]+Table157810[[#This Row],[Prepayments]]+Table157810[[#This Row],[RecoveredAmount]]</f>
        <v>0</v>
      </c>
      <c r="Q218" s="3">
        <f ca="1">ROUND(Table157810[[#This Row],[Cash Flow]]/((1+ActualRateToUse)^(IF(ISNUMBER(SEARCH("Actual",$C$7)),Table157810[[#This Row],[Running Total]]/365,Table157810[[#This Row],[Period]]/12))),2)</f>
        <v>0</v>
      </c>
      <c r="R218" s="2">
        <f>IF(MONTH(Table157810[[#This Row],[Date]])=2,28,DAY(DATE(YEAR(Table157810[[#This Row],[Date]]),MONTH(Table157810[[#This Row],[Date]])+1,1)-1))</f>
        <v>30</v>
      </c>
      <c r="S218" s="2">
        <f ca="1">SUM(OFFSET(Table157810[[#Headers],[Days in month]],1,0):Table157810[[#This Row],[Days in month]])</f>
        <v>6144</v>
      </c>
      <c r="T218" s="37">
        <f>InterestRate*AmortizationMultiplier*IF(ISNUMBER(SEARCH("Actual",$C$7)),Table157810[[#This Row],[Days in month]]/365,1/12)</f>
        <v>5.7909166666666656E-3</v>
      </c>
    </row>
    <row r="219" spans="2:20" x14ac:dyDescent="0.2">
      <c r="B219" s="1">
        <f t="shared" si="10"/>
        <v>52017</v>
      </c>
      <c r="C219" s="2">
        <f t="shared" si="12"/>
        <v>203</v>
      </c>
      <c r="D219" s="3">
        <f t="shared" si="11"/>
        <v>0</v>
      </c>
      <c r="E219" s="3">
        <f>ROUND(Table157810[[#This Row],[Beginning Balance]]*Table157810[[#This Row],[Monthly Interest Rate]],2)</f>
        <v>0</v>
      </c>
      <c r="F219" s="3">
        <f t="shared" si="13"/>
        <v>639</v>
      </c>
      <c r="G219" s="23">
        <f>IFERROR(IF($C$13="No","N/A",IF(Table157810[[#This Row],[Period]]=1,$C$6,PMT(InterestRate*AmortizationMultiplier/12,Table157810[[#This Row],[Am Thru]],-Table157810[[#This Row],[Beginning Balance]]))),0)</f>
        <v>0</v>
      </c>
      <c r="H219" s="3">
        <f>MAX(0,IF(C219=$C$4,D219,ROUND(IF($C$3="Fixed Principal",$C$6-Table157810[[#This Row],[Interest]],IF($C$3="Interest Only",Table157810[[#This Row],[Beginning Balance]]*ROUND(1-(1-IF($C$11="No",$E$8,1))^(1/12),6),MIN(IF($C$13="Yes",Table157810[[#This Row],[Payment Amount (Reamortized)]],$C$6)-Table157810[[#This Row],[Interest]],Table157810[[#This Row],[Beginning Balance]]))),2)))</f>
        <v>0</v>
      </c>
      <c r="I219" s="3">
        <f>_xlfn.SINGLE(IF($C$3="Line of Credit",0,ROUND(MAX(MIN(IF($C$10="No",$E$7,VLOOKUP(Table157810[[#This Row],[Period]],Forecast!$H$2:$L$1048576,4,FALSE))*Table157810[[#This Row],[Beginning Balance]],Table157810[[#This Row],[Beginning Balance]]-Table157810[[#This Row],[Principal]]),0),2)))</f>
        <v>0</v>
      </c>
      <c r="J219" s="3">
        <f>ROUND(MIN(Table157810[[#This Row],[Beginning Balance]]*IF($C$8="No",$E$3,VLOOKUP(Table157810[[#This Row],[Period]],Forecast!$H$2:$L$1048576,2,FALSE)),Table157810[[#This Row],[Beginning Balance]]-Table157810[[#This Row],[Principal]]-Table157810[[#This Row],[Prepayments]]),2)</f>
        <v>0</v>
      </c>
      <c r="K219" s="3">
        <f>ROUND(Table157810[[#This Row],[Defaulted Principal]]*IF($C$9="No",$E$4,VLOOKUP(Table157810[[#This Row],[Period]],Forecast!$H$2:$L$1048576,3,FALSE)),2)</f>
        <v>0</v>
      </c>
      <c r="L219" s="2">
        <f>Table157810[[#This Row],[Period]]+$E$9</f>
        <v>215</v>
      </c>
      <c r="M219" s="3">
        <f>Table157810[[#This Row],[Defaulted Principal]]-Table157810[[#This Row],[Estimated Loss]]</f>
        <v>0</v>
      </c>
      <c r="N219" s="3">
        <f>IFERROR(VLOOKUP(Table157810[[#This Row],[Period]],$L$16:$M$385,2,FALSE),0)</f>
        <v>0</v>
      </c>
      <c r="O219" s="3">
        <f>Table157810[[#This Row],[Beginning Balance]]-Table157810[[#This Row],[Principal]]-Table157810[[#This Row],[Prepayments]]-Table157810[[#This Row],[Defaulted Principal]]</f>
        <v>0</v>
      </c>
      <c r="P219" s="3">
        <f>Table157810[[#This Row],[Principal]]+Table157810[[#This Row],[Interest]]+Table157810[[#This Row],[Prepayments]]+Table157810[[#This Row],[RecoveredAmount]]</f>
        <v>0</v>
      </c>
      <c r="Q219" s="3">
        <f ca="1">ROUND(Table157810[[#This Row],[Cash Flow]]/((1+ActualRateToUse)^(IF(ISNUMBER(SEARCH("Actual",$C$7)),Table157810[[#This Row],[Running Total]]/365,Table157810[[#This Row],[Period]]/12))),2)</f>
        <v>0</v>
      </c>
      <c r="R219" s="2">
        <f>IF(MONTH(Table157810[[#This Row],[Date]])=2,28,DAY(DATE(YEAR(Table157810[[#This Row],[Date]]),MONTH(Table157810[[#This Row],[Date]])+1,1)-1))</f>
        <v>31</v>
      </c>
      <c r="S219" s="2">
        <f ca="1">SUM(OFFSET(Table157810[[#Headers],[Days in month]],1,0):Table157810[[#This Row],[Days in month]])</f>
        <v>6175</v>
      </c>
      <c r="T219" s="37">
        <f>InterestRate*AmortizationMultiplier*IF(ISNUMBER(SEARCH("Actual",$C$7)),Table157810[[#This Row],[Days in month]]/365,1/12)</f>
        <v>5.9839472222222214E-3</v>
      </c>
    </row>
    <row r="220" spans="2:20" x14ac:dyDescent="0.2">
      <c r="B220" s="1">
        <f t="shared" si="10"/>
        <v>52047</v>
      </c>
      <c r="C220" s="2">
        <f t="shared" si="12"/>
        <v>204</v>
      </c>
      <c r="D220" s="3">
        <f t="shared" si="11"/>
        <v>0</v>
      </c>
      <c r="E220" s="3">
        <f>ROUND(Table157810[[#This Row],[Beginning Balance]]*Table157810[[#This Row],[Monthly Interest Rate]],2)</f>
        <v>0</v>
      </c>
      <c r="F220" s="3">
        <f t="shared" si="13"/>
        <v>638</v>
      </c>
      <c r="G220" s="23">
        <f>IFERROR(IF($C$13="No","N/A",IF(Table157810[[#This Row],[Period]]=1,$C$6,PMT(InterestRate*AmortizationMultiplier/12,Table157810[[#This Row],[Am Thru]],-Table157810[[#This Row],[Beginning Balance]]))),0)</f>
        <v>0</v>
      </c>
      <c r="H220" s="3">
        <f>MAX(0,IF(C220=$C$4,D220,ROUND(IF($C$3="Fixed Principal",$C$6-Table157810[[#This Row],[Interest]],IF($C$3="Interest Only",Table157810[[#This Row],[Beginning Balance]]*ROUND(1-(1-IF($C$11="No",$E$8,1))^(1/12),6),MIN(IF($C$13="Yes",Table157810[[#This Row],[Payment Amount (Reamortized)]],$C$6)-Table157810[[#This Row],[Interest]],Table157810[[#This Row],[Beginning Balance]]))),2)))</f>
        <v>0</v>
      </c>
      <c r="I220" s="3">
        <f>_xlfn.SINGLE(IF($C$3="Line of Credit",0,ROUND(MAX(MIN(IF($C$10="No",$E$7,VLOOKUP(Table157810[[#This Row],[Period]],Forecast!$H$2:$L$1048576,4,FALSE))*Table157810[[#This Row],[Beginning Balance]],Table157810[[#This Row],[Beginning Balance]]-Table157810[[#This Row],[Principal]]),0),2)))</f>
        <v>0</v>
      </c>
      <c r="J220" s="3">
        <f>ROUND(MIN(Table157810[[#This Row],[Beginning Balance]]*IF($C$8="No",$E$3,VLOOKUP(Table157810[[#This Row],[Period]],Forecast!$H$2:$L$1048576,2,FALSE)),Table157810[[#This Row],[Beginning Balance]]-Table157810[[#This Row],[Principal]]-Table157810[[#This Row],[Prepayments]]),2)</f>
        <v>0</v>
      </c>
      <c r="K220" s="3">
        <f>ROUND(Table157810[[#This Row],[Defaulted Principal]]*IF($C$9="No",$E$4,VLOOKUP(Table157810[[#This Row],[Period]],Forecast!$H$2:$L$1048576,3,FALSE)),2)</f>
        <v>0</v>
      </c>
      <c r="L220" s="2">
        <f>Table157810[[#This Row],[Period]]+$E$9</f>
        <v>216</v>
      </c>
      <c r="M220" s="3">
        <f>Table157810[[#This Row],[Defaulted Principal]]-Table157810[[#This Row],[Estimated Loss]]</f>
        <v>0</v>
      </c>
      <c r="N220" s="3">
        <f>IFERROR(VLOOKUP(Table157810[[#This Row],[Period]],$L$16:$M$385,2,FALSE),0)</f>
        <v>0</v>
      </c>
      <c r="O220" s="3">
        <f>Table157810[[#This Row],[Beginning Balance]]-Table157810[[#This Row],[Principal]]-Table157810[[#This Row],[Prepayments]]-Table157810[[#This Row],[Defaulted Principal]]</f>
        <v>0</v>
      </c>
      <c r="P220" s="3">
        <f>Table157810[[#This Row],[Principal]]+Table157810[[#This Row],[Interest]]+Table157810[[#This Row],[Prepayments]]+Table157810[[#This Row],[RecoveredAmount]]</f>
        <v>0</v>
      </c>
      <c r="Q220" s="3">
        <f ca="1">ROUND(Table157810[[#This Row],[Cash Flow]]/((1+ActualRateToUse)^(IF(ISNUMBER(SEARCH("Actual",$C$7)),Table157810[[#This Row],[Running Total]]/365,Table157810[[#This Row],[Period]]/12))),2)</f>
        <v>0</v>
      </c>
      <c r="R220" s="2">
        <f>IF(MONTH(Table157810[[#This Row],[Date]])=2,28,DAY(DATE(YEAR(Table157810[[#This Row],[Date]]),MONTH(Table157810[[#This Row],[Date]])+1,1)-1))</f>
        <v>30</v>
      </c>
      <c r="S220" s="2">
        <f ca="1">SUM(OFFSET(Table157810[[#Headers],[Days in month]],1,0):Table157810[[#This Row],[Days in month]])</f>
        <v>6205</v>
      </c>
      <c r="T220" s="37">
        <f>InterestRate*AmortizationMultiplier*IF(ISNUMBER(SEARCH("Actual",$C$7)),Table157810[[#This Row],[Days in month]]/365,1/12)</f>
        <v>5.7909166666666656E-3</v>
      </c>
    </row>
    <row r="221" spans="2:20" x14ac:dyDescent="0.2">
      <c r="B221" s="1">
        <f t="shared" si="10"/>
        <v>52078</v>
      </c>
      <c r="C221" s="2">
        <f t="shared" si="12"/>
        <v>205</v>
      </c>
      <c r="D221" s="3">
        <f t="shared" si="11"/>
        <v>0</v>
      </c>
      <c r="E221" s="3">
        <f>ROUND(Table157810[[#This Row],[Beginning Balance]]*Table157810[[#This Row],[Monthly Interest Rate]],2)</f>
        <v>0</v>
      </c>
      <c r="F221" s="3">
        <f t="shared" si="13"/>
        <v>637</v>
      </c>
      <c r="G221" s="23">
        <f>IFERROR(IF($C$13="No","N/A",IF(Table157810[[#This Row],[Period]]=1,$C$6,PMT(InterestRate*AmortizationMultiplier/12,Table157810[[#This Row],[Am Thru]],-Table157810[[#This Row],[Beginning Balance]]))),0)</f>
        <v>0</v>
      </c>
      <c r="H221" s="3">
        <f>MAX(0,IF(C221=$C$4,D221,ROUND(IF($C$3="Fixed Principal",$C$6-Table157810[[#This Row],[Interest]],IF($C$3="Interest Only",Table157810[[#This Row],[Beginning Balance]]*ROUND(1-(1-IF($C$11="No",$E$8,1))^(1/12),6),MIN(IF($C$13="Yes",Table157810[[#This Row],[Payment Amount (Reamortized)]],$C$6)-Table157810[[#This Row],[Interest]],Table157810[[#This Row],[Beginning Balance]]))),2)))</f>
        <v>0</v>
      </c>
      <c r="I221" s="3">
        <f>_xlfn.SINGLE(IF($C$3="Line of Credit",0,ROUND(MAX(MIN(IF($C$10="No",$E$7,VLOOKUP(Table157810[[#This Row],[Period]],Forecast!$H$2:$L$1048576,4,FALSE))*Table157810[[#This Row],[Beginning Balance]],Table157810[[#This Row],[Beginning Balance]]-Table157810[[#This Row],[Principal]]),0),2)))</f>
        <v>0</v>
      </c>
      <c r="J221" s="3">
        <f>ROUND(MIN(Table157810[[#This Row],[Beginning Balance]]*IF($C$8="No",$E$3,VLOOKUP(Table157810[[#This Row],[Period]],Forecast!$H$2:$L$1048576,2,FALSE)),Table157810[[#This Row],[Beginning Balance]]-Table157810[[#This Row],[Principal]]-Table157810[[#This Row],[Prepayments]]),2)</f>
        <v>0</v>
      </c>
      <c r="K221" s="3">
        <f>ROUND(Table157810[[#This Row],[Defaulted Principal]]*IF($C$9="No",$E$4,VLOOKUP(Table157810[[#This Row],[Period]],Forecast!$H$2:$L$1048576,3,FALSE)),2)</f>
        <v>0</v>
      </c>
      <c r="L221" s="2">
        <f>Table157810[[#This Row],[Period]]+$E$9</f>
        <v>217</v>
      </c>
      <c r="M221" s="3">
        <f>Table157810[[#This Row],[Defaulted Principal]]-Table157810[[#This Row],[Estimated Loss]]</f>
        <v>0</v>
      </c>
      <c r="N221" s="3">
        <f>IFERROR(VLOOKUP(Table157810[[#This Row],[Period]],$L$16:$M$385,2,FALSE),0)</f>
        <v>0</v>
      </c>
      <c r="O221" s="3">
        <f>Table157810[[#This Row],[Beginning Balance]]-Table157810[[#This Row],[Principal]]-Table157810[[#This Row],[Prepayments]]-Table157810[[#This Row],[Defaulted Principal]]</f>
        <v>0</v>
      </c>
      <c r="P221" s="3">
        <f>Table157810[[#This Row],[Principal]]+Table157810[[#This Row],[Interest]]+Table157810[[#This Row],[Prepayments]]+Table157810[[#This Row],[RecoveredAmount]]</f>
        <v>0</v>
      </c>
      <c r="Q221" s="3">
        <f ca="1">ROUND(Table157810[[#This Row],[Cash Flow]]/((1+ActualRateToUse)^(IF(ISNUMBER(SEARCH("Actual",$C$7)),Table157810[[#This Row],[Running Total]]/365,Table157810[[#This Row],[Period]]/12))),2)</f>
        <v>0</v>
      </c>
      <c r="R221" s="2">
        <f>IF(MONTH(Table157810[[#This Row],[Date]])=2,28,DAY(DATE(YEAR(Table157810[[#This Row],[Date]]),MONTH(Table157810[[#This Row],[Date]])+1,1)-1))</f>
        <v>31</v>
      </c>
      <c r="S221" s="2">
        <f ca="1">SUM(OFFSET(Table157810[[#Headers],[Days in month]],1,0):Table157810[[#This Row],[Days in month]])</f>
        <v>6236</v>
      </c>
      <c r="T221" s="37">
        <f>InterestRate*AmortizationMultiplier*IF(ISNUMBER(SEARCH("Actual",$C$7)),Table157810[[#This Row],[Days in month]]/365,1/12)</f>
        <v>5.9839472222222214E-3</v>
      </c>
    </row>
    <row r="222" spans="2:20" x14ac:dyDescent="0.2">
      <c r="B222" s="1">
        <f t="shared" si="10"/>
        <v>52109</v>
      </c>
      <c r="C222" s="2">
        <f t="shared" si="12"/>
        <v>206</v>
      </c>
      <c r="D222" s="3">
        <f t="shared" si="11"/>
        <v>0</v>
      </c>
      <c r="E222" s="3">
        <f>ROUND(Table157810[[#This Row],[Beginning Balance]]*Table157810[[#This Row],[Monthly Interest Rate]],2)</f>
        <v>0</v>
      </c>
      <c r="F222" s="3">
        <f t="shared" si="13"/>
        <v>636</v>
      </c>
      <c r="G222" s="23">
        <f>IFERROR(IF($C$13="No","N/A",IF(Table157810[[#This Row],[Period]]=1,$C$6,PMT(InterestRate*AmortizationMultiplier/12,Table157810[[#This Row],[Am Thru]],-Table157810[[#This Row],[Beginning Balance]]))),0)</f>
        <v>0</v>
      </c>
      <c r="H222" s="3">
        <f>MAX(0,IF(C222=$C$4,D222,ROUND(IF($C$3="Fixed Principal",$C$6-Table157810[[#This Row],[Interest]],IF($C$3="Interest Only",Table157810[[#This Row],[Beginning Balance]]*ROUND(1-(1-IF($C$11="No",$E$8,1))^(1/12),6),MIN(IF($C$13="Yes",Table157810[[#This Row],[Payment Amount (Reamortized)]],$C$6)-Table157810[[#This Row],[Interest]],Table157810[[#This Row],[Beginning Balance]]))),2)))</f>
        <v>0</v>
      </c>
      <c r="I222" s="3">
        <f>_xlfn.SINGLE(IF($C$3="Line of Credit",0,ROUND(MAX(MIN(IF($C$10="No",$E$7,VLOOKUP(Table157810[[#This Row],[Period]],Forecast!$H$2:$L$1048576,4,FALSE))*Table157810[[#This Row],[Beginning Balance]],Table157810[[#This Row],[Beginning Balance]]-Table157810[[#This Row],[Principal]]),0),2)))</f>
        <v>0</v>
      </c>
      <c r="J222" s="3">
        <f>ROUND(MIN(Table157810[[#This Row],[Beginning Balance]]*IF($C$8="No",$E$3,VLOOKUP(Table157810[[#This Row],[Period]],Forecast!$H$2:$L$1048576,2,FALSE)),Table157810[[#This Row],[Beginning Balance]]-Table157810[[#This Row],[Principal]]-Table157810[[#This Row],[Prepayments]]),2)</f>
        <v>0</v>
      </c>
      <c r="K222" s="3">
        <f>ROUND(Table157810[[#This Row],[Defaulted Principal]]*IF($C$9="No",$E$4,VLOOKUP(Table157810[[#This Row],[Period]],Forecast!$H$2:$L$1048576,3,FALSE)),2)</f>
        <v>0</v>
      </c>
      <c r="L222" s="2">
        <f>Table157810[[#This Row],[Period]]+$E$9</f>
        <v>218</v>
      </c>
      <c r="M222" s="3">
        <f>Table157810[[#This Row],[Defaulted Principal]]-Table157810[[#This Row],[Estimated Loss]]</f>
        <v>0</v>
      </c>
      <c r="N222" s="3">
        <f>IFERROR(VLOOKUP(Table157810[[#This Row],[Period]],$L$16:$M$385,2,FALSE),0)</f>
        <v>0</v>
      </c>
      <c r="O222" s="3">
        <f>Table157810[[#This Row],[Beginning Balance]]-Table157810[[#This Row],[Principal]]-Table157810[[#This Row],[Prepayments]]-Table157810[[#This Row],[Defaulted Principal]]</f>
        <v>0</v>
      </c>
      <c r="P222" s="3">
        <f>Table157810[[#This Row],[Principal]]+Table157810[[#This Row],[Interest]]+Table157810[[#This Row],[Prepayments]]+Table157810[[#This Row],[RecoveredAmount]]</f>
        <v>0</v>
      </c>
      <c r="Q222" s="3">
        <f ca="1">ROUND(Table157810[[#This Row],[Cash Flow]]/((1+ActualRateToUse)^(IF(ISNUMBER(SEARCH("Actual",$C$7)),Table157810[[#This Row],[Running Total]]/365,Table157810[[#This Row],[Period]]/12))),2)</f>
        <v>0</v>
      </c>
      <c r="R222" s="2">
        <f>IF(MONTH(Table157810[[#This Row],[Date]])=2,28,DAY(DATE(YEAR(Table157810[[#This Row],[Date]]),MONTH(Table157810[[#This Row],[Date]])+1,1)-1))</f>
        <v>31</v>
      </c>
      <c r="S222" s="2">
        <f ca="1">SUM(OFFSET(Table157810[[#Headers],[Days in month]],1,0):Table157810[[#This Row],[Days in month]])</f>
        <v>6267</v>
      </c>
      <c r="T222" s="37">
        <f>InterestRate*AmortizationMultiplier*IF(ISNUMBER(SEARCH("Actual",$C$7)),Table157810[[#This Row],[Days in month]]/365,1/12)</f>
        <v>5.9839472222222214E-3</v>
      </c>
    </row>
    <row r="223" spans="2:20" x14ac:dyDescent="0.2">
      <c r="B223" s="1">
        <f t="shared" si="10"/>
        <v>52139</v>
      </c>
      <c r="C223" s="2">
        <f t="shared" si="12"/>
        <v>207</v>
      </c>
      <c r="D223" s="3">
        <f t="shared" si="11"/>
        <v>0</v>
      </c>
      <c r="E223" s="3">
        <f>ROUND(Table157810[[#This Row],[Beginning Balance]]*Table157810[[#This Row],[Monthly Interest Rate]],2)</f>
        <v>0</v>
      </c>
      <c r="F223" s="3">
        <f t="shared" si="13"/>
        <v>635</v>
      </c>
      <c r="G223" s="23">
        <f>IFERROR(IF($C$13="No","N/A",IF(Table157810[[#This Row],[Period]]=1,$C$6,PMT(InterestRate*AmortizationMultiplier/12,Table157810[[#This Row],[Am Thru]],-Table157810[[#This Row],[Beginning Balance]]))),0)</f>
        <v>0</v>
      </c>
      <c r="H223" s="3">
        <f>MAX(0,IF(C223=$C$4,D223,ROUND(IF($C$3="Fixed Principal",$C$6-Table157810[[#This Row],[Interest]],IF($C$3="Interest Only",Table157810[[#This Row],[Beginning Balance]]*ROUND(1-(1-IF($C$11="No",$E$8,1))^(1/12),6),MIN(IF($C$13="Yes",Table157810[[#This Row],[Payment Amount (Reamortized)]],$C$6)-Table157810[[#This Row],[Interest]],Table157810[[#This Row],[Beginning Balance]]))),2)))</f>
        <v>0</v>
      </c>
      <c r="I223" s="3">
        <f>_xlfn.SINGLE(IF($C$3="Line of Credit",0,ROUND(MAX(MIN(IF($C$10="No",$E$7,VLOOKUP(Table157810[[#This Row],[Period]],Forecast!$H$2:$L$1048576,4,FALSE))*Table157810[[#This Row],[Beginning Balance]],Table157810[[#This Row],[Beginning Balance]]-Table157810[[#This Row],[Principal]]),0),2)))</f>
        <v>0</v>
      </c>
      <c r="J223" s="3">
        <f>ROUND(MIN(Table157810[[#This Row],[Beginning Balance]]*IF($C$8="No",$E$3,VLOOKUP(Table157810[[#This Row],[Period]],Forecast!$H$2:$L$1048576,2,FALSE)),Table157810[[#This Row],[Beginning Balance]]-Table157810[[#This Row],[Principal]]-Table157810[[#This Row],[Prepayments]]),2)</f>
        <v>0</v>
      </c>
      <c r="K223" s="3">
        <f>ROUND(Table157810[[#This Row],[Defaulted Principal]]*IF($C$9="No",$E$4,VLOOKUP(Table157810[[#This Row],[Period]],Forecast!$H$2:$L$1048576,3,FALSE)),2)</f>
        <v>0</v>
      </c>
      <c r="L223" s="2">
        <f>Table157810[[#This Row],[Period]]+$E$9</f>
        <v>219</v>
      </c>
      <c r="M223" s="3">
        <f>Table157810[[#This Row],[Defaulted Principal]]-Table157810[[#This Row],[Estimated Loss]]</f>
        <v>0</v>
      </c>
      <c r="N223" s="3">
        <f>IFERROR(VLOOKUP(Table157810[[#This Row],[Period]],$L$16:$M$385,2,FALSE),0)</f>
        <v>0</v>
      </c>
      <c r="O223" s="3">
        <f>Table157810[[#This Row],[Beginning Balance]]-Table157810[[#This Row],[Principal]]-Table157810[[#This Row],[Prepayments]]-Table157810[[#This Row],[Defaulted Principal]]</f>
        <v>0</v>
      </c>
      <c r="P223" s="3">
        <f>Table157810[[#This Row],[Principal]]+Table157810[[#This Row],[Interest]]+Table157810[[#This Row],[Prepayments]]+Table157810[[#This Row],[RecoveredAmount]]</f>
        <v>0</v>
      </c>
      <c r="Q223" s="3">
        <f ca="1">ROUND(Table157810[[#This Row],[Cash Flow]]/((1+ActualRateToUse)^(IF(ISNUMBER(SEARCH("Actual",$C$7)),Table157810[[#This Row],[Running Total]]/365,Table157810[[#This Row],[Period]]/12))),2)</f>
        <v>0</v>
      </c>
      <c r="R223" s="2">
        <f>IF(MONTH(Table157810[[#This Row],[Date]])=2,28,DAY(DATE(YEAR(Table157810[[#This Row],[Date]]),MONTH(Table157810[[#This Row],[Date]])+1,1)-1))</f>
        <v>30</v>
      </c>
      <c r="S223" s="2">
        <f ca="1">SUM(OFFSET(Table157810[[#Headers],[Days in month]],1,0):Table157810[[#This Row],[Days in month]])</f>
        <v>6297</v>
      </c>
      <c r="T223" s="37">
        <f>InterestRate*AmortizationMultiplier*IF(ISNUMBER(SEARCH("Actual",$C$7)),Table157810[[#This Row],[Days in month]]/365,1/12)</f>
        <v>5.7909166666666656E-3</v>
      </c>
    </row>
    <row r="224" spans="2:20" x14ac:dyDescent="0.2">
      <c r="B224" s="1">
        <f t="shared" si="10"/>
        <v>52170</v>
      </c>
      <c r="C224" s="2">
        <f t="shared" si="12"/>
        <v>208</v>
      </c>
      <c r="D224" s="3">
        <f t="shared" si="11"/>
        <v>0</v>
      </c>
      <c r="E224" s="3">
        <f>ROUND(Table157810[[#This Row],[Beginning Balance]]*Table157810[[#This Row],[Monthly Interest Rate]],2)</f>
        <v>0</v>
      </c>
      <c r="F224" s="3">
        <f t="shared" si="13"/>
        <v>634</v>
      </c>
      <c r="G224" s="23">
        <f>IFERROR(IF($C$13="No","N/A",IF(Table157810[[#This Row],[Period]]=1,$C$6,PMT(InterestRate*AmortizationMultiplier/12,Table157810[[#This Row],[Am Thru]],-Table157810[[#This Row],[Beginning Balance]]))),0)</f>
        <v>0</v>
      </c>
      <c r="H224" s="3">
        <f>MAX(0,IF(C224=$C$4,D224,ROUND(IF($C$3="Fixed Principal",$C$6-Table157810[[#This Row],[Interest]],IF($C$3="Interest Only",Table157810[[#This Row],[Beginning Balance]]*ROUND(1-(1-IF($C$11="No",$E$8,1))^(1/12),6),MIN(IF($C$13="Yes",Table157810[[#This Row],[Payment Amount (Reamortized)]],$C$6)-Table157810[[#This Row],[Interest]],Table157810[[#This Row],[Beginning Balance]]))),2)))</f>
        <v>0</v>
      </c>
      <c r="I224" s="3">
        <f>_xlfn.SINGLE(IF($C$3="Line of Credit",0,ROUND(MAX(MIN(IF($C$10="No",$E$7,VLOOKUP(Table157810[[#This Row],[Period]],Forecast!$H$2:$L$1048576,4,FALSE))*Table157810[[#This Row],[Beginning Balance]],Table157810[[#This Row],[Beginning Balance]]-Table157810[[#This Row],[Principal]]),0),2)))</f>
        <v>0</v>
      </c>
      <c r="J224" s="3">
        <f>ROUND(MIN(Table157810[[#This Row],[Beginning Balance]]*IF($C$8="No",$E$3,VLOOKUP(Table157810[[#This Row],[Period]],Forecast!$H$2:$L$1048576,2,FALSE)),Table157810[[#This Row],[Beginning Balance]]-Table157810[[#This Row],[Principal]]-Table157810[[#This Row],[Prepayments]]),2)</f>
        <v>0</v>
      </c>
      <c r="K224" s="3">
        <f>ROUND(Table157810[[#This Row],[Defaulted Principal]]*IF($C$9="No",$E$4,VLOOKUP(Table157810[[#This Row],[Period]],Forecast!$H$2:$L$1048576,3,FALSE)),2)</f>
        <v>0</v>
      </c>
      <c r="L224" s="2">
        <f>Table157810[[#This Row],[Period]]+$E$9</f>
        <v>220</v>
      </c>
      <c r="M224" s="3">
        <f>Table157810[[#This Row],[Defaulted Principal]]-Table157810[[#This Row],[Estimated Loss]]</f>
        <v>0</v>
      </c>
      <c r="N224" s="3">
        <f>IFERROR(VLOOKUP(Table157810[[#This Row],[Period]],$L$16:$M$385,2,FALSE),0)</f>
        <v>0</v>
      </c>
      <c r="O224" s="3">
        <f>Table157810[[#This Row],[Beginning Balance]]-Table157810[[#This Row],[Principal]]-Table157810[[#This Row],[Prepayments]]-Table157810[[#This Row],[Defaulted Principal]]</f>
        <v>0</v>
      </c>
      <c r="P224" s="3">
        <f>Table157810[[#This Row],[Principal]]+Table157810[[#This Row],[Interest]]+Table157810[[#This Row],[Prepayments]]+Table157810[[#This Row],[RecoveredAmount]]</f>
        <v>0</v>
      </c>
      <c r="Q224" s="3">
        <f ca="1">ROUND(Table157810[[#This Row],[Cash Flow]]/((1+ActualRateToUse)^(IF(ISNUMBER(SEARCH("Actual",$C$7)),Table157810[[#This Row],[Running Total]]/365,Table157810[[#This Row],[Period]]/12))),2)</f>
        <v>0</v>
      </c>
      <c r="R224" s="2">
        <f>IF(MONTH(Table157810[[#This Row],[Date]])=2,28,DAY(DATE(YEAR(Table157810[[#This Row],[Date]]),MONTH(Table157810[[#This Row],[Date]])+1,1)-1))</f>
        <v>31</v>
      </c>
      <c r="S224" s="2">
        <f ca="1">SUM(OFFSET(Table157810[[#Headers],[Days in month]],1,0):Table157810[[#This Row],[Days in month]])</f>
        <v>6328</v>
      </c>
      <c r="T224" s="37">
        <f>InterestRate*AmortizationMultiplier*IF(ISNUMBER(SEARCH("Actual",$C$7)),Table157810[[#This Row],[Days in month]]/365,1/12)</f>
        <v>5.9839472222222214E-3</v>
      </c>
    </row>
    <row r="225" spans="2:20" x14ac:dyDescent="0.2">
      <c r="B225" s="1">
        <f t="shared" si="10"/>
        <v>52200</v>
      </c>
      <c r="C225" s="2">
        <f t="shared" si="12"/>
        <v>209</v>
      </c>
      <c r="D225" s="3">
        <f t="shared" si="11"/>
        <v>0</v>
      </c>
      <c r="E225" s="3">
        <f>ROUND(Table157810[[#This Row],[Beginning Balance]]*Table157810[[#This Row],[Monthly Interest Rate]],2)</f>
        <v>0</v>
      </c>
      <c r="F225" s="3">
        <f t="shared" si="13"/>
        <v>633</v>
      </c>
      <c r="G225" s="23">
        <f>IFERROR(IF($C$13="No","N/A",IF(Table157810[[#This Row],[Period]]=1,$C$6,PMT(InterestRate*AmortizationMultiplier/12,Table157810[[#This Row],[Am Thru]],-Table157810[[#This Row],[Beginning Balance]]))),0)</f>
        <v>0</v>
      </c>
      <c r="H225" s="3">
        <f>MAX(0,IF(C225=$C$4,D225,ROUND(IF($C$3="Fixed Principal",$C$6-Table157810[[#This Row],[Interest]],IF($C$3="Interest Only",Table157810[[#This Row],[Beginning Balance]]*ROUND(1-(1-IF($C$11="No",$E$8,1))^(1/12),6),MIN(IF($C$13="Yes",Table157810[[#This Row],[Payment Amount (Reamortized)]],$C$6)-Table157810[[#This Row],[Interest]],Table157810[[#This Row],[Beginning Balance]]))),2)))</f>
        <v>0</v>
      </c>
      <c r="I225" s="3">
        <f>_xlfn.SINGLE(IF($C$3="Line of Credit",0,ROUND(MAX(MIN(IF($C$10="No",$E$7,VLOOKUP(Table157810[[#This Row],[Period]],Forecast!$H$2:$L$1048576,4,FALSE))*Table157810[[#This Row],[Beginning Balance]],Table157810[[#This Row],[Beginning Balance]]-Table157810[[#This Row],[Principal]]),0),2)))</f>
        <v>0</v>
      </c>
      <c r="J225" s="3">
        <f>ROUND(MIN(Table157810[[#This Row],[Beginning Balance]]*IF($C$8="No",$E$3,VLOOKUP(Table157810[[#This Row],[Period]],Forecast!$H$2:$L$1048576,2,FALSE)),Table157810[[#This Row],[Beginning Balance]]-Table157810[[#This Row],[Principal]]-Table157810[[#This Row],[Prepayments]]),2)</f>
        <v>0</v>
      </c>
      <c r="K225" s="3">
        <f>ROUND(Table157810[[#This Row],[Defaulted Principal]]*IF($C$9="No",$E$4,VLOOKUP(Table157810[[#This Row],[Period]],Forecast!$H$2:$L$1048576,3,FALSE)),2)</f>
        <v>0</v>
      </c>
      <c r="L225" s="2">
        <f>Table157810[[#This Row],[Period]]+$E$9</f>
        <v>221</v>
      </c>
      <c r="M225" s="3">
        <f>Table157810[[#This Row],[Defaulted Principal]]-Table157810[[#This Row],[Estimated Loss]]</f>
        <v>0</v>
      </c>
      <c r="N225" s="3">
        <f>IFERROR(VLOOKUP(Table157810[[#This Row],[Period]],$L$16:$M$385,2,FALSE),0)</f>
        <v>0</v>
      </c>
      <c r="O225" s="3">
        <f>Table157810[[#This Row],[Beginning Balance]]-Table157810[[#This Row],[Principal]]-Table157810[[#This Row],[Prepayments]]-Table157810[[#This Row],[Defaulted Principal]]</f>
        <v>0</v>
      </c>
      <c r="P225" s="3">
        <f>Table157810[[#This Row],[Principal]]+Table157810[[#This Row],[Interest]]+Table157810[[#This Row],[Prepayments]]+Table157810[[#This Row],[RecoveredAmount]]</f>
        <v>0</v>
      </c>
      <c r="Q225" s="3">
        <f ca="1">ROUND(Table157810[[#This Row],[Cash Flow]]/((1+ActualRateToUse)^(IF(ISNUMBER(SEARCH("Actual",$C$7)),Table157810[[#This Row],[Running Total]]/365,Table157810[[#This Row],[Period]]/12))),2)</f>
        <v>0</v>
      </c>
      <c r="R225" s="2">
        <f>IF(MONTH(Table157810[[#This Row],[Date]])=2,28,DAY(DATE(YEAR(Table157810[[#This Row],[Date]]),MONTH(Table157810[[#This Row],[Date]])+1,1)-1))</f>
        <v>30</v>
      </c>
      <c r="S225" s="2">
        <f ca="1">SUM(OFFSET(Table157810[[#Headers],[Days in month]],1,0):Table157810[[#This Row],[Days in month]])</f>
        <v>6358</v>
      </c>
      <c r="T225" s="37">
        <f>InterestRate*AmortizationMultiplier*IF(ISNUMBER(SEARCH("Actual",$C$7)),Table157810[[#This Row],[Days in month]]/365,1/12)</f>
        <v>5.7909166666666656E-3</v>
      </c>
    </row>
    <row r="226" spans="2:20" x14ac:dyDescent="0.2">
      <c r="B226" s="1">
        <f t="shared" si="10"/>
        <v>52231</v>
      </c>
      <c r="C226" s="2">
        <f t="shared" si="12"/>
        <v>210</v>
      </c>
      <c r="D226" s="3">
        <f t="shared" si="11"/>
        <v>0</v>
      </c>
      <c r="E226" s="3">
        <f>ROUND(Table157810[[#This Row],[Beginning Balance]]*Table157810[[#This Row],[Monthly Interest Rate]],2)</f>
        <v>0</v>
      </c>
      <c r="F226" s="3">
        <f t="shared" si="13"/>
        <v>632</v>
      </c>
      <c r="G226" s="23">
        <f>IFERROR(IF($C$13="No","N/A",IF(Table157810[[#This Row],[Period]]=1,$C$6,PMT(InterestRate*AmortizationMultiplier/12,Table157810[[#This Row],[Am Thru]],-Table157810[[#This Row],[Beginning Balance]]))),0)</f>
        <v>0</v>
      </c>
      <c r="H226" s="3">
        <f>MAX(0,IF(C226=$C$4,D226,ROUND(IF($C$3="Fixed Principal",$C$6-Table157810[[#This Row],[Interest]],IF($C$3="Interest Only",Table157810[[#This Row],[Beginning Balance]]*ROUND(1-(1-IF($C$11="No",$E$8,1))^(1/12),6),MIN(IF($C$13="Yes",Table157810[[#This Row],[Payment Amount (Reamortized)]],$C$6)-Table157810[[#This Row],[Interest]],Table157810[[#This Row],[Beginning Balance]]))),2)))</f>
        <v>0</v>
      </c>
      <c r="I226" s="3">
        <f>_xlfn.SINGLE(IF($C$3="Line of Credit",0,ROUND(MAX(MIN(IF($C$10="No",$E$7,VLOOKUP(Table157810[[#This Row],[Period]],Forecast!$H$2:$L$1048576,4,FALSE))*Table157810[[#This Row],[Beginning Balance]],Table157810[[#This Row],[Beginning Balance]]-Table157810[[#This Row],[Principal]]),0),2)))</f>
        <v>0</v>
      </c>
      <c r="J226" s="3">
        <f>ROUND(MIN(Table157810[[#This Row],[Beginning Balance]]*IF($C$8="No",$E$3,VLOOKUP(Table157810[[#This Row],[Period]],Forecast!$H$2:$L$1048576,2,FALSE)),Table157810[[#This Row],[Beginning Balance]]-Table157810[[#This Row],[Principal]]-Table157810[[#This Row],[Prepayments]]),2)</f>
        <v>0</v>
      </c>
      <c r="K226" s="3">
        <f>ROUND(Table157810[[#This Row],[Defaulted Principal]]*IF($C$9="No",$E$4,VLOOKUP(Table157810[[#This Row],[Period]],Forecast!$H$2:$L$1048576,3,FALSE)),2)</f>
        <v>0</v>
      </c>
      <c r="L226" s="2">
        <f>Table157810[[#This Row],[Period]]+$E$9</f>
        <v>222</v>
      </c>
      <c r="M226" s="3">
        <f>Table157810[[#This Row],[Defaulted Principal]]-Table157810[[#This Row],[Estimated Loss]]</f>
        <v>0</v>
      </c>
      <c r="N226" s="3">
        <f>IFERROR(VLOOKUP(Table157810[[#This Row],[Period]],$L$16:$M$385,2,FALSE),0)</f>
        <v>0</v>
      </c>
      <c r="O226" s="3">
        <f>Table157810[[#This Row],[Beginning Balance]]-Table157810[[#This Row],[Principal]]-Table157810[[#This Row],[Prepayments]]-Table157810[[#This Row],[Defaulted Principal]]</f>
        <v>0</v>
      </c>
      <c r="P226" s="3">
        <f>Table157810[[#This Row],[Principal]]+Table157810[[#This Row],[Interest]]+Table157810[[#This Row],[Prepayments]]+Table157810[[#This Row],[RecoveredAmount]]</f>
        <v>0</v>
      </c>
      <c r="Q226" s="3">
        <f ca="1">ROUND(Table157810[[#This Row],[Cash Flow]]/((1+ActualRateToUse)^(IF(ISNUMBER(SEARCH("Actual",$C$7)),Table157810[[#This Row],[Running Total]]/365,Table157810[[#This Row],[Period]]/12))),2)</f>
        <v>0</v>
      </c>
      <c r="R226" s="2">
        <f>IF(MONTH(Table157810[[#This Row],[Date]])=2,28,DAY(DATE(YEAR(Table157810[[#This Row],[Date]]),MONTH(Table157810[[#This Row],[Date]])+1,1)-1))</f>
        <v>31</v>
      </c>
      <c r="S226" s="2">
        <f ca="1">SUM(OFFSET(Table157810[[#Headers],[Days in month]],1,0):Table157810[[#This Row],[Days in month]])</f>
        <v>6389</v>
      </c>
      <c r="T226" s="37">
        <f>InterestRate*AmortizationMultiplier*IF(ISNUMBER(SEARCH("Actual",$C$7)),Table157810[[#This Row],[Days in month]]/365,1/12)</f>
        <v>5.9839472222222214E-3</v>
      </c>
    </row>
    <row r="227" spans="2:20" x14ac:dyDescent="0.2">
      <c r="B227" s="1">
        <f t="shared" si="10"/>
        <v>52262</v>
      </c>
      <c r="C227" s="2">
        <f t="shared" si="12"/>
        <v>211</v>
      </c>
      <c r="D227" s="3">
        <f t="shared" si="11"/>
        <v>0</v>
      </c>
      <c r="E227" s="3">
        <f>ROUND(Table157810[[#This Row],[Beginning Balance]]*Table157810[[#This Row],[Monthly Interest Rate]],2)</f>
        <v>0</v>
      </c>
      <c r="F227" s="3">
        <f t="shared" si="13"/>
        <v>631</v>
      </c>
      <c r="G227" s="23">
        <f>IFERROR(IF($C$13="No","N/A",IF(Table157810[[#This Row],[Period]]=1,$C$6,PMT(InterestRate*AmortizationMultiplier/12,Table157810[[#This Row],[Am Thru]],-Table157810[[#This Row],[Beginning Balance]]))),0)</f>
        <v>0</v>
      </c>
      <c r="H227" s="3">
        <f>MAX(0,IF(C227=$C$4,D227,ROUND(IF($C$3="Fixed Principal",$C$6-Table157810[[#This Row],[Interest]],IF($C$3="Interest Only",Table157810[[#This Row],[Beginning Balance]]*ROUND(1-(1-IF($C$11="No",$E$8,1))^(1/12),6),MIN(IF($C$13="Yes",Table157810[[#This Row],[Payment Amount (Reamortized)]],$C$6)-Table157810[[#This Row],[Interest]],Table157810[[#This Row],[Beginning Balance]]))),2)))</f>
        <v>0</v>
      </c>
      <c r="I227" s="3">
        <f>_xlfn.SINGLE(IF($C$3="Line of Credit",0,ROUND(MAX(MIN(IF($C$10="No",$E$7,VLOOKUP(Table157810[[#This Row],[Period]],Forecast!$H$2:$L$1048576,4,FALSE))*Table157810[[#This Row],[Beginning Balance]],Table157810[[#This Row],[Beginning Balance]]-Table157810[[#This Row],[Principal]]),0),2)))</f>
        <v>0</v>
      </c>
      <c r="J227" s="3">
        <f>ROUND(MIN(Table157810[[#This Row],[Beginning Balance]]*IF($C$8="No",$E$3,VLOOKUP(Table157810[[#This Row],[Period]],Forecast!$H$2:$L$1048576,2,FALSE)),Table157810[[#This Row],[Beginning Balance]]-Table157810[[#This Row],[Principal]]-Table157810[[#This Row],[Prepayments]]),2)</f>
        <v>0</v>
      </c>
      <c r="K227" s="3">
        <f>ROUND(Table157810[[#This Row],[Defaulted Principal]]*IF($C$9="No",$E$4,VLOOKUP(Table157810[[#This Row],[Period]],Forecast!$H$2:$L$1048576,3,FALSE)),2)</f>
        <v>0</v>
      </c>
      <c r="L227" s="2">
        <f>Table157810[[#This Row],[Period]]+$E$9</f>
        <v>223</v>
      </c>
      <c r="M227" s="3">
        <f>Table157810[[#This Row],[Defaulted Principal]]-Table157810[[#This Row],[Estimated Loss]]</f>
        <v>0</v>
      </c>
      <c r="N227" s="3">
        <f>IFERROR(VLOOKUP(Table157810[[#This Row],[Period]],$L$16:$M$385,2,FALSE),0)</f>
        <v>0</v>
      </c>
      <c r="O227" s="3">
        <f>Table157810[[#This Row],[Beginning Balance]]-Table157810[[#This Row],[Principal]]-Table157810[[#This Row],[Prepayments]]-Table157810[[#This Row],[Defaulted Principal]]</f>
        <v>0</v>
      </c>
      <c r="P227" s="3">
        <f>Table157810[[#This Row],[Principal]]+Table157810[[#This Row],[Interest]]+Table157810[[#This Row],[Prepayments]]+Table157810[[#This Row],[RecoveredAmount]]</f>
        <v>0</v>
      </c>
      <c r="Q227" s="3">
        <f ca="1">ROUND(Table157810[[#This Row],[Cash Flow]]/((1+ActualRateToUse)^(IF(ISNUMBER(SEARCH("Actual",$C$7)),Table157810[[#This Row],[Running Total]]/365,Table157810[[#This Row],[Period]]/12))),2)</f>
        <v>0</v>
      </c>
      <c r="R227" s="2">
        <f>IF(MONTH(Table157810[[#This Row],[Date]])=2,28,DAY(DATE(YEAR(Table157810[[#This Row],[Date]]),MONTH(Table157810[[#This Row],[Date]])+1,1)-1))</f>
        <v>31</v>
      </c>
      <c r="S227" s="2">
        <f ca="1">SUM(OFFSET(Table157810[[#Headers],[Days in month]],1,0):Table157810[[#This Row],[Days in month]])</f>
        <v>6420</v>
      </c>
      <c r="T227" s="37">
        <f>InterestRate*AmortizationMultiplier*IF(ISNUMBER(SEARCH("Actual",$C$7)),Table157810[[#This Row],[Days in month]]/365,1/12)</f>
        <v>5.9839472222222214E-3</v>
      </c>
    </row>
    <row r="228" spans="2:20" x14ac:dyDescent="0.2">
      <c r="B228" s="1">
        <f t="shared" si="10"/>
        <v>52290</v>
      </c>
      <c r="C228" s="2">
        <f t="shared" si="12"/>
        <v>212</v>
      </c>
      <c r="D228" s="3">
        <f t="shared" si="11"/>
        <v>0</v>
      </c>
      <c r="E228" s="3">
        <f>ROUND(Table157810[[#This Row],[Beginning Balance]]*Table157810[[#This Row],[Monthly Interest Rate]],2)</f>
        <v>0</v>
      </c>
      <c r="F228" s="3">
        <f t="shared" si="13"/>
        <v>630</v>
      </c>
      <c r="G228" s="23">
        <f>IFERROR(IF($C$13="No","N/A",IF(Table157810[[#This Row],[Period]]=1,$C$6,PMT(InterestRate*AmortizationMultiplier/12,Table157810[[#This Row],[Am Thru]],-Table157810[[#This Row],[Beginning Balance]]))),0)</f>
        <v>0</v>
      </c>
      <c r="H228" s="3">
        <f>MAX(0,IF(C228=$C$4,D228,ROUND(IF($C$3="Fixed Principal",$C$6-Table157810[[#This Row],[Interest]],IF($C$3="Interest Only",Table157810[[#This Row],[Beginning Balance]]*ROUND(1-(1-IF($C$11="No",$E$8,1))^(1/12),6),MIN(IF($C$13="Yes",Table157810[[#This Row],[Payment Amount (Reamortized)]],$C$6)-Table157810[[#This Row],[Interest]],Table157810[[#This Row],[Beginning Balance]]))),2)))</f>
        <v>0</v>
      </c>
      <c r="I228" s="3">
        <f>_xlfn.SINGLE(IF($C$3="Line of Credit",0,ROUND(MAX(MIN(IF($C$10="No",$E$7,VLOOKUP(Table157810[[#This Row],[Period]],Forecast!$H$2:$L$1048576,4,FALSE))*Table157810[[#This Row],[Beginning Balance]],Table157810[[#This Row],[Beginning Balance]]-Table157810[[#This Row],[Principal]]),0),2)))</f>
        <v>0</v>
      </c>
      <c r="J228" s="3">
        <f>ROUND(MIN(Table157810[[#This Row],[Beginning Balance]]*IF($C$8="No",$E$3,VLOOKUP(Table157810[[#This Row],[Period]],Forecast!$H$2:$L$1048576,2,FALSE)),Table157810[[#This Row],[Beginning Balance]]-Table157810[[#This Row],[Principal]]-Table157810[[#This Row],[Prepayments]]),2)</f>
        <v>0</v>
      </c>
      <c r="K228" s="3">
        <f>ROUND(Table157810[[#This Row],[Defaulted Principal]]*IF($C$9="No",$E$4,VLOOKUP(Table157810[[#This Row],[Period]],Forecast!$H$2:$L$1048576,3,FALSE)),2)</f>
        <v>0</v>
      </c>
      <c r="L228" s="2">
        <f>Table157810[[#This Row],[Period]]+$E$9</f>
        <v>224</v>
      </c>
      <c r="M228" s="3">
        <f>Table157810[[#This Row],[Defaulted Principal]]-Table157810[[#This Row],[Estimated Loss]]</f>
        <v>0</v>
      </c>
      <c r="N228" s="3">
        <f>IFERROR(VLOOKUP(Table157810[[#This Row],[Period]],$L$16:$M$385,2,FALSE),0)</f>
        <v>0</v>
      </c>
      <c r="O228" s="3">
        <f>Table157810[[#This Row],[Beginning Balance]]-Table157810[[#This Row],[Principal]]-Table157810[[#This Row],[Prepayments]]-Table157810[[#This Row],[Defaulted Principal]]</f>
        <v>0</v>
      </c>
      <c r="P228" s="3">
        <f>Table157810[[#This Row],[Principal]]+Table157810[[#This Row],[Interest]]+Table157810[[#This Row],[Prepayments]]+Table157810[[#This Row],[RecoveredAmount]]</f>
        <v>0</v>
      </c>
      <c r="Q228" s="3">
        <f ca="1">ROUND(Table157810[[#This Row],[Cash Flow]]/((1+ActualRateToUse)^(IF(ISNUMBER(SEARCH("Actual",$C$7)),Table157810[[#This Row],[Running Total]]/365,Table157810[[#This Row],[Period]]/12))),2)</f>
        <v>0</v>
      </c>
      <c r="R228" s="2">
        <f>IF(MONTH(Table157810[[#This Row],[Date]])=2,28,DAY(DATE(YEAR(Table157810[[#This Row],[Date]]),MONTH(Table157810[[#This Row],[Date]])+1,1)-1))</f>
        <v>28</v>
      </c>
      <c r="S228" s="2">
        <f ca="1">SUM(OFFSET(Table157810[[#Headers],[Days in month]],1,0):Table157810[[#This Row],[Days in month]])</f>
        <v>6448</v>
      </c>
      <c r="T228" s="37">
        <f>InterestRate*AmortizationMultiplier*IF(ISNUMBER(SEARCH("Actual",$C$7)),Table157810[[#This Row],[Days in month]]/365,1/12)</f>
        <v>5.4048555555555548E-3</v>
      </c>
    </row>
    <row r="229" spans="2:20" x14ac:dyDescent="0.2">
      <c r="B229" s="1">
        <f t="shared" si="10"/>
        <v>52321</v>
      </c>
      <c r="C229" s="2">
        <f t="shared" si="12"/>
        <v>213</v>
      </c>
      <c r="D229" s="3">
        <f t="shared" si="11"/>
        <v>0</v>
      </c>
      <c r="E229" s="3">
        <f>ROUND(Table157810[[#This Row],[Beginning Balance]]*Table157810[[#This Row],[Monthly Interest Rate]],2)</f>
        <v>0</v>
      </c>
      <c r="F229" s="3">
        <f t="shared" si="13"/>
        <v>629</v>
      </c>
      <c r="G229" s="23">
        <f>IFERROR(IF($C$13="No","N/A",IF(Table157810[[#This Row],[Period]]=1,$C$6,PMT(InterestRate*AmortizationMultiplier/12,Table157810[[#This Row],[Am Thru]],-Table157810[[#This Row],[Beginning Balance]]))),0)</f>
        <v>0</v>
      </c>
      <c r="H229" s="3">
        <f>MAX(0,IF(C229=$C$4,D229,ROUND(IF($C$3="Fixed Principal",$C$6-Table157810[[#This Row],[Interest]],IF($C$3="Interest Only",Table157810[[#This Row],[Beginning Balance]]*ROUND(1-(1-IF($C$11="No",$E$8,1))^(1/12),6),MIN(IF($C$13="Yes",Table157810[[#This Row],[Payment Amount (Reamortized)]],$C$6)-Table157810[[#This Row],[Interest]],Table157810[[#This Row],[Beginning Balance]]))),2)))</f>
        <v>0</v>
      </c>
      <c r="I229" s="3">
        <f>_xlfn.SINGLE(IF($C$3="Line of Credit",0,ROUND(MAX(MIN(IF($C$10="No",$E$7,VLOOKUP(Table157810[[#This Row],[Period]],Forecast!$H$2:$L$1048576,4,FALSE))*Table157810[[#This Row],[Beginning Balance]],Table157810[[#This Row],[Beginning Balance]]-Table157810[[#This Row],[Principal]]),0),2)))</f>
        <v>0</v>
      </c>
      <c r="J229" s="3">
        <f>ROUND(MIN(Table157810[[#This Row],[Beginning Balance]]*IF($C$8="No",$E$3,VLOOKUP(Table157810[[#This Row],[Period]],Forecast!$H$2:$L$1048576,2,FALSE)),Table157810[[#This Row],[Beginning Balance]]-Table157810[[#This Row],[Principal]]-Table157810[[#This Row],[Prepayments]]),2)</f>
        <v>0</v>
      </c>
      <c r="K229" s="3">
        <f>ROUND(Table157810[[#This Row],[Defaulted Principal]]*IF($C$9="No",$E$4,VLOOKUP(Table157810[[#This Row],[Period]],Forecast!$H$2:$L$1048576,3,FALSE)),2)</f>
        <v>0</v>
      </c>
      <c r="L229" s="2">
        <f>Table157810[[#This Row],[Period]]+$E$9</f>
        <v>225</v>
      </c>
      <c r="M229" s="3">
        <f>Table157810[[#This Row],[Defaulted Principal]]-Table157810[[#This Row],[Estimated Loss]]</f>
        <v>0</v>
      </c>
      <c r="N229" s="3">
        <f>IFERROR(VLOOKUP(Table157810[[#This Row],[Period]],$L$16:$M$385,2,FALSE),0)</f>
        <v>0</v>
      </c>
      <c r="O229" s="3">
        <f>Table157810[[#This Row],[Beginning Balance]]-Table157810[[#This Row],[Principal]]-Table157810[[#This Row],[Prepayments]]-Table157810[[#This Row],[Defaulted Principal]]</f>
        <v>0</v>
      </c>
      <c r="P229" s="3">
        <f>Table157810[[#This Row],[Principal]]+Table157810[[#This Row],[Interest]]+Table157810[[#This Row],[Prepayments]]+Table157810[[#This Row],[RecoveredAmount]]</f>
        <v>0</v>
      </c>
      <c r="Q229" s="3">
        <f ca="1">ROUND(Table157810[[#This Row],[Cash Flow]]/((1+ActualRateToUse)^(IF(ISNUMBER(SEARCH("Actual",$C$7)),Table157810[[#This Row],[Running Total]]/365,Table157810[[#This Row],[Period]]/12))),2)</f>
        <v>0</v>
      </c>
      <c r="R229" s="2">
        <f>IF(MONTH(Table157810[[#This Row],[Date]])=2,28,DAY(DATE(YEAR(Table157810[[#This Row],[Date]]),MONTH(Table157810[[#This Row],[Date]])+1,1)-1))</f>
        <v>31</v>
      </c>
      <c r="S229" s="2">
        <f ca="1">SUM(OFFSET(Table157810[[#Headers],[Days in month]],1,0):Table157810[[#This Row],[Days in month]])</f>
        <v>6479</v>
      </c>
      <c r="T229" s="37">
        <f>InterestRate*AmortizationMultiplier*IF(ISNUMBER(SEARCH("Actual",$C$7)),Table157810[[#This Row],[Days in month]]/365,1/12)</f>
        <v>5.9839472222222214E-3</v>
      </c>
    </row>
    <row r="230" spans="2:20" x14ac:dyDescent="0.2">
      <c r="B230" s="1">
        <f t="shared" si="10"/>
        <v>52351</v>
      </c>
      <c r="C230" s="2">
        <f t="shared" si="12"/>
        <v>214</v>
      </c>
      <c r="D230" s="3">
        <f t="shared" si="11"/>
        <v>0</v>
      </c>
      <c r="E230" s="3">
        <f>ROUND(Table157810[[#This Row],[Beginning Balance]]*Table157810[[#This Row],[Monthly Interest Rate]],2)</f>
        <v>0</v>
      </c>
      <c r="F230" s="3">
        <f t="shared" si="13"/>
        <v>628</v>
      </c>
      <c r="G230" s="23">
        <f>IFERROR(IF($C$13="No","N/A",IF(Table157810[[#This Row],[Period]]=1,$C$6,PMT(InterestRate*AmortizationMultiplier/12,Table157810[[#This Row],[Am Thru]],-Table157810[[#This Row],[Beginning Balance]]))),0)</f>
        <v>0</v>
      </c>
      <c r="H230" s="3">
        <f>MAX(0,IF(C230=$C$4,D230,ROUND(IF($C$3="Fixed Principal",$C$6-Table157810[[#This Row],[Interest]],IF($C$3="Interest Only",Table157810[[#This Row],[Beginning Balance]]*ROUND(1-(1-IF($C$11="No",$E$8,1))^(1/12),6),MIN(IF($C$13="Yes",Table157810[[#This Row],[Payment Amount (Reamortized)]],$C$6)-Table157810[[#This Row],[Interest]],Table157810[[#This Row],[Beginning Balance]]))),2)))</f>
        <v>0</v>
      </c>
      <c r="I230" s="3">
        <f>_xlfn.SINGLE(IF($C$3="Line of Credit",0,ROUND(MAX(MIN(IF($C$10="No",$E$7,VLOOKUP(Table157810[[#This Row],[Period]],Forecast!$H$2:$L$1048576,4,FALSE))*Table157810[[#This Row],[Beginning Balance]],Table157810[[#This Row],[Beginning Balance]]-Table157810[[#This Row],[Principal]]),0),2)))</f>
        <v>0</v>
      </c>
      <c r="J230" s="3">
        <f>ROUND(MIN(Table157810[[#This Row],[Beginning Balance]]*IF($C$8="No",$E$3,VLOOKUP(Table157810[[#This Row],[Period]],Forecast!$H$2:$L$1048576,2,FALSE)),Table157810[[#This Row],[Beginning Balance]]-Table157810[[#This Row],[Principal]]-Table157810[[#This Row],[Prepayments]]),2)</f>
        <v>0</v>
      </c>
      <c r="K230" s="3">
        <f>ROUND(Table157810[[#This Row],[Defaulted Principal]]*IF($C$9="No",$E$4,VLOOKUP(Table157810[[#This Row],[Period]],Forecast!$H$2:$L$1048576,3,FALSE)),2)</f>
        <v>0</v>
      </c>
      <c r="L230" s="2">
        <f>Table157810[[#This Row],[Period]]+$E$9</f>
        <v>226</v>
      </c>
      <c r="M230" s="3">
        <f>Table157810[[#This Row],[Defaulted Principal]]-Table157810[[#This Row],[Estimated Loss]]</f>
        <v>0</v>
      </c>
      <c r="N230" s="3">
        <f>IFERROR(VLOOKUP(Table157810[[#This Row],[Period]],$L$16:$M$385,2,FALSE),0)</f>
        <v>0</v>
      </c>
      <c r="O230" s="3">
        <f>Table157810[[#This Row],[Beginning Balance]]-Table157810[[#This Row],[Principal]]-Table157810[[#This Row],[Prepayments]]-Table157810[[#This Row],[Defaulted Principal]]</f>
        <v>0</v>
      </c>
      <c r="P230" s="3">
        <f>Table157810[[#This Row],[Principal]]+Table157810[[#This Row],[Interest]]+Table157810[[#This Row],[Prepayments]]+Table157810[[#This Row],[RecoveredAmount]]</f>
        <v>0</v>
      </c>
      <c r="Q230" s="3">
        <f ca="1">ROUND(Table157810[[#This Row],[Cash Flow]]/((1+ActualRateToUse)^(IF(ISNUMBER(SEARCH("Actual",$C$7)),Table157810[[#This Row],[Running Total]]/365,Table157810[[#This Row],[Period]]/12))),2)</f>
        <v>0</v>
      </c>
      <c r="R230" s="2">
        <f>IF(MONTH(Table157810[[#This Row],[Date]])=2,28,DAY(DATE(YEAR(Table157810[[#This Row],[Date]]),MONTH(Table157810[[#This Row],[Date]])+1,1)-1))</f>
        <v>30</v>
      </c>
      <c r="S230" s="2">
        <f ca="1">SUM(OFFSET(Table157810[[#Headers],[Days in month]],1,0):Table157810[[#This Row],[Days in month]])</f>
        <v>6509</v>
      </c>
      <c r="T230" s="37">
        <f>InterestRate*AmortizationMultiplier*IF(ISNUMBER(SEARCH("Actual",$C$7)),Table157810[[#This Row],[Days in month]]/365,1/12)</f>
        <v>5.7909166666666656E-3</v>
      </c>
    </row>
    <row r="231" spans="2:20" x14ac:dyDescent="0.2">
      <c r="B231" s="1">
        <f t="shared" si="10"/>
        <v>52382</v>
      </c>
      <c r="C231" s="2">
        <f t="shared" si="12"/>
        <v>215</v>
      </c>
      <c r="D231" s="3">
        <f t="shared" si="11"/>
        <v>0</v>
      </c>
      <c r="E231" s="3">
        <f>ROUND(Table157810[[#This Row],[Beginning Balance]]*Table157810[[#This Row],[Monthly Interest Rate]],2)</f>
        <v>0</v>
      </c>
      <c r="F231" s="3">
        <f t="shared" si="13"/>
        <v>627</v>
      </c>
      <c r="G231" s="23">
        <f>IFERROR(IF($C$13="No","N/A",IF(Table157810[[#This Row],[Period]]=1,$C$6,PMT(InterestRate*AmortizationMultiplier/12,Table157810[[#This Row],[Am Thru]],-Table157810[[#This Row],[Beginning Balance]]))),0)</f>
        <v>0</v>
      </c>
      <c r="H231" s="3">
        <f>MAX(0,IF(C231=$C$4,D231,ROUND(IF($C$3="Fixed Principal",$C$6-Table157810[[#This Row],[Interest]],IF($C$3="Interest Only",Table157810[[#This Row],[Beginning Balance]]*ROUND(1-(1-IF($C$11="No",$E$8,1))^(1/12),6),MIN(IF($C$13="Yes",Table157810[[#This Row],[Payment Amount (Reamortized)]],$C$6)-Table157810[[#This Row],[Interest]],Table157810[[#This Row],[Beginning Balance]]))),2)))</f>
        <v>0</v>
      </c>
      <c r="I231" s="3">
        <f>_xlfn.SINGLE(IF($C$3="Line of Credit",0,ROUND(MAX(MIN(IF($C$10="No",$E$7,VLOOKUP(Table157810[[#This Row],[Period]],Forecast!$H$2:$L$1048576,4,FALSE))*Table157810[[#This Row],[Beginning Balance]],Table157810[[#This Row],[Beginning Balance]]-Table157810[[#This Row],[Principal]]),0),2)))</f>
        <v>0</v>
      </c>
      <c r="J231" s="3">
        <f>ROUND(MIN(Table157810[[#This Row],[Beginning Balance]]*IF($C$8="No",$E$3,VLOOKUP(Table157810[[#This Row],[Period]],Forecast!$H$2:$L$1048576,2,FALSE)),Table157810[[#This Row],[Beginning Balance]]-Table157810[[#This Row],[Principal]]-Table157810[[#This Row],[Prepayments]]),2)</f>
        <v>0</v>
      </c>
      <c r="K231" s="3">
        <f>ROUND(Table157810[[#This Row],[Defaulted Principal]]*IF($C$9="No",$E$4,VLOOKUP(Table157810[[#This Row],[Period]],Forecast!$H$2:$L$1048576,3,FALSE)),2)</f>
        <v>0</v>
      </c>
      <c r="L231" s="2">
        <f>Table157810[[#This Row],[Period]]+$E$9</f>
        <v>227</v>
      </c>
      <c r="M231" s="3">
        <f>Table157810[[#This Row],[Defaulted Principal]]-Table157810[[#This Row],[Estimated Loss]]</f>
        <v>0</v>
      </c>
      <c r="N231" s="3">
        <f>IFERROR(VLOOKUP(Table157810[[#This Row],[Period]],$L$16:$M$385,2,FALSE),0)</f>
        <v>0</v>
      </c>
      <c r="O231" s="3">
        <f>Table157810[[#This Row],[Beginning Balance]]-Table157810[[#This Row],[Principal]]-Table157810[[#This Row],[Prepayments]]-Table157810[[#This Row],[Defaulted Principal]]</f>
        <v>0</v>
      </c>
      <c r="P231" s="3">
        <f>Table157810[[#This Row],[Principal]]+Table157810[[#This Row],[Interest]]+Table157810[[#This Row],[Prepayments]]+Table157810[[#This Row],[RecoveredAmount]]</f>
        <v>0</v>
      </c>
      <c r="Q231" s="3">
        <f ca="1">ROUND(Table157810[[#This Row],[Cash Flow]]/((1+ActualRateToUse)^(IF(ISNUMBER(SEARCH("Actual",$C$7)),Table157810[[#This Row],[Running Total]]/365,Table157810[[#This Row],[Period]]/12))),2)</f>
        <v>0</v>
      </c>
      <c r="R231" s="2">
        <f>IF(MONTH(Table157810[[#This Row],[Date]])=2,28,DAY(DATE(YEAR(Table157810[[#This Row],[Date]]),MONTH(Table157810[[#This Row],[Date]])+1,1)-1))</f>
        <v>31</v>
      </c>
      <c r="S231" s="2">
        <f ca="1">SUM(OFFSET(Table157810[[#Headers],[Days in month]],1,0):Table157810[[#This Row],[Days in month]])</f>
        <v>6540</v>
      </c>
      <c r="T231" s="37">
        <f>InterestRate*AmortizationMultiplier*IF(ISNUMBER(SEARCH("Actual",$C$7)),Table157810[[#This Row],[Days in month]]/365,1/12)</f>
        <v>5.9839472222222214E-3</v>
      </c>
    </row>
    <row r="232" spans="2:20" x14ac:dyDescent="0.2">
      <c r="B232" s="1">
        <f t="shared" si="10"/>
        <v>52412</v>
      </c>
      <c r="C232" s="2">
        <f t="shared" si="12"/>
        <v>216</v>
      </c>
      <c r="D232" s="3">
        <f t="shared" si="11"/>
        <v>0</v>
      </c>
      <c r="E232" s="3">
        <f>ROUND(Table157810[[#This Row],[Beginning Balance]]*Table157810[[#This Row],[Monthly Interest Rate]],2)</f>
        <v>0</v>
      </c>
      <c r="F232" s="3">
        <f t="shared" si="13"/>
        <v>626</v>
      </c>
      <c r="G232" s="23">
        <f>IFERROR(IF($C$13="No","N/A",IF(Table157810[[#This Row],[Period]]=1,$C$6,PMT(InterestRate*AmortizationMultiplier/12,Table157810[[#This Row],[Am Thru]],-Table157810[[#This Row],[Beginning Balance]]))),0)</f>
        <v>0</v>
      </c>
      <c r="H232" s="3">
        <f>MAX(0,IF(C232=$C$4,D232,ROUND(IF($C$3="Fixed Principal",$C$6-Table157810[[#This Row],[Interest]],IF($C$3="Interest Only",Table157810[[#This Row],[Beginning Balance]]*ROUND(1-(1-IF($C$11="No",$E$8,1))^(1/12),6),MIN(IF($C$13="Yes",Table157810[[#This Row],[Payment Amount (Reamortized)]],$C$6)-Table157810[[#This Row],[Interest]],Table157810[[#This Row],[Beginning Balance]]))),2)))</f>
        <v>0</v>
      </c>
      <c r="I232" s="3">
        <f>_xlfn.SINGLE(IF($C$3="Line of Credit",0,ROUND(MAX(MIN(IF($C$10="No",$E$7,VLOOKUP(Table157810[[#This Row],[Period]],Forecast!$H$2:$L$1048576,4,FALSE))*Table157810[[#This Row],[Beginning Balance]],Table157810[[#This Row],[Beginning Balance]]-Table157810[[#This Row],[Principal]]),0),2)))</f>
        <v>0</v>
      </c>
      <c r="J232" s="3">
        <f>ROUND(MIN(Table157810[[#This Row],[Beginning Balance]]*IF($C$8="No",$E$3,VLOOKUP(Table157810[[#This Row],[Period]],Forecast!$H$2:$L$1048576,2,FALSE)),Table157810[[#This Row],[Beginning Balance]]-Table157810[[#This Row],[Principal]]-Table157810[[#This Row],[Prepayments]]),2)</f>
        <v>0</v>
      </c>
      <c r="K232" s="3">
        <f>ROUND(Table157810[[#This Row],[Defaulted Principal]]*IF($C$9="No",$E$4,VLOOKUP(Table157810[[#This Row],[Period]],Forecast!$H$2:$L$1048576,3,FALSE)),2)</f>
        <v>0</v>
      </c>
      <c r="L232" s="2">
        <f>Table157810[[#This Row],[Period]]+$E$9</f>
        <v>228</v>
      </c>
      <c r="M232" s="3">
        <f>Table157810[[#This Row],[Defaulted Principal]]-Table157810[[#This Row],[Estimated Loss]]</f>
        <v>0</v>
      </c>
      <c r="N232" s="3">
        <f>IFERROR(VLOOKUP(Table157810[[#This Row],[Period]],$L$16:$M$385,2,FALSE),0)</f>
        <v>0</v>
      </c>
      <c r="O232" s="3">
        <f>Table157810[[#This Row],[Beginning Balance]]-Table157810[[#This Row],[Principal]]-Table157810[[#This Row],[Prepayments]]-Table157810[[#This Row],[Defaulted Principal]]</f>
        <v>0</v>
      </c>
      <c r="P232" s="3">
        <f>Table157810[[#This Row],[Principal]]+Table157810[[#This Row],[Interest]]+Table157810[[#This Row],[Prepayments]]+Table157810[[#This Row],[RecoveredAmount]]</f>
        <v>0</v>
      </c>
      <c r="Q232" s="3">
        <f ca="1">ROUND(Table157810[[#This Row],[Cash Flow]]/((1+ActualRateToUse)^(IF(ISNUMBER(SEARCH("Actual",$C$7)),Table157810[[#This Row],[Running Total]]/365,Table157810[[#This Row],[Period]]/12))),2)</f>
        <v>0</v>
      </c>
      <c r="R232" s="2">
        <f>IF(MONTH(Table157810[[#This Row],[Date]])=2,28,DAY(DATE(YEAR(Table157810[[#This Row],[Date]]),MONTH(Table157810[[#This Row],[Date]])+1,1)-1))</f>
        <v>30</v>
      </c>
      <c r="S232" s="2">
        <f ca="1">SUM(OFFSET(Table157810[[#Headers],[Days in month]],1,0):Table157810[[#This Row],[Days in month]])</f>
        <v>6570</v>
      </c>
      <c r="T232" s="37">
        <f>InterestRate*AmortizationMultiplier*IF(ISNUMBER(SEARCH("Actual",$C$7)),Table157810[[#This Row],[Days in month]]/365,1/12)</f>
        <v>5.7909166666666656E-3</v>
      </c>
    </row>
    <row r="233" spans="2:20" x14ac:dyDescent="0.2">
      <c r="B233" s="1">
        <f t="shared" si="10"/>
        <v>52443</v>
      </c>
      <c r="C233" s="2">
        <f t="shared" si="12"/>
        <v>217</v>
      </c>
      <c r="D233" s="3">
        <f t="shared" si="11"/>
        <v>0</v>
      </c>
      <c r="E233" s="3">
        <f>ROUND(Table157810[[#This Row],[Beginning Balance]]*Table157810[[#This Row],[Monthly Interest Rate]],2)</f>
        <v>0</v>
      </c>
      <c r="F233" s="3">
        <f t="shared" si="13"/>
        <v>625</v>
      </c>
      <c r="G233" s="23">
        <f>IFERROR(IF($C$13="No","N/A",IF(Table157810[[#This Row],[Period]]=1,$C$6,PMT(InterestRate*AmortizationMultiplier/12,Table157810[[#This Row],[Am Thru]],-Table157810[[#This Row],[Beginning Balance]]))),0)</f>
        <v>0</v>
      </c>
      <c r="H233" s="3">
        <f>MAX(0,IF(C233=$C$4,D233,ROUND(IF($C$3="Fixed Principal",$C$6-Table157810[[#This Row],[Interest]],IF($C$3="Interest Only",Table157810[[#This Row],[Beginning Balance]]*ROUND(1-(1-IF($C$11="No",$E$8,1))^(1/12),6),MIN(IF($C$13="Yes",Table157810[[#This Row],[Payment Amount (Reamortized)]],$C$6)-Table157810[[#This Row],[Interest]],Table157810[[#This Row],[Beginning Balance]]))),2)))</f>
        <v>0</v>
      </c>
      <c r="I233" s="3">
        <f>_xlfn.SINGLE(IF($C$3="Line of Credit",0,ROUND(MAX(MIN(IF($C$10="No",$E$7,VLOOKUP(Table157810[[#This Row],[Period]],Forecast!$H$2:$L$1048576,4,FALSE))*Table157810[[#This Row],[Beginning Balance]],Table157810[[#This Row],[Beginning Balance]]-Table157810[[#This Row],[Principal]]),0),2)))</f>
        <v>0</v>
      </c>
      <c r="J233" s="3">
        <f>ROUND(MIN(Table157810[[#This Row],[Beginning Balance]]*IF($C$8="No",$E$3,VLOOKUP(Table157810[[#This Row],[Period]],Forecast!$H$2:$L$1048576,2,FALSE)),Table157810[[#This Row],[Beginning Balance]]-Table157810[[#This Row],[Principal]]-Table157810[[#This Row],[Prepayments]]),2)</f>
        <v>0</v>
      </c>
      <c r="K233" s="3">
        <f>ROUND(Table157810[[#This Row],[Defaulted Principal]]*IF($C$9="No",$E$4,VLOOKUP(Table157810[[#This Row],[Period]],Forecast!$H$2:$L$1048576,3,FALSE)),2)</f>
        <v>0</v>
      </c>
      <c r="L233" s="2">
        <f>Table157810[[#This Row],[Period]]+$E$9</f>
        <v>229</v>
      </c>
      <c r="M233" s="3">
        <f>Table157810[[#This Row],[Defaulted Principal]]-Table157810[[#This Row],[Estimated Loss]]</f>
        <v>0</v>
      </c>
      <c r="N233" s="3">
        <f>IFERROR(VLOOKUP(Table157810[[#This Row],[Period]],$L$16:$M$385,2,FALSE),0)</f>
        <v>0</v>
      </c>
      <c r="O233" s="3">
        <f>Table157810[[#This Row],[Beginning Balance]]-Table157810[[#This Row],[Principal]]-Table157810[[#This Row],[Prepayments]]-Table157810[[#This Row],[Defaulted Principal]]</f>
        <v>0</v>
      </c>
      <c r="P233" s="3">
        <f>Table157810[[#This Row],[Principal]]+Table157810[[#This Row],[Interest]]+Table157810[[#This Row],[Prepayments]]+Table157810[[#This Row],[RecoveredAmount]]</f>
        <v>0</v>
      </c>
      <c r="Q233" s="3">
        <f ca="1">ROUND(Table157810[[#This Row],[Cash Flow]]/((1+ActualRateToUse)^(IF(ISNUMBER(SEARCH("Actual",$C$7)),Table157810[[#This Row],[Running Total]]/365,Table157810[[#This Row],[Period]]/12))),2)</f>
        <v>0</v>
      </c>
      <c r="R233" s="2">
        <f>IF(MONTH(Table157810[[#This Row],[Date]])=2,28,DAY(DATE(YEAR(Table157810[[#This Row],[Date]]),MONTH(Table157810[[#This Row],[Date]])+1,1)-1))</f>
        <v>31</v>
      </c>
      <c r="S233" s="2">
        <f ca="1">SUM(OFFSET(Table157810[[#Headers],[Days in month]],1,0):Table157810[[#This Row],[Days in month]])</f>
        <v>6601</v>
      </c>
      <c r="T233" s="37">
        <f>InterestRate*AmortizationMultiplier*IF(ISNUMBER(SEARCH("Actual",$C$7)),Table157810[[#This Row],[Days in month]]/365,1/12)</f>
        <v>5.9839472222222214E-3</v>
      </c>
    </row>
    <row r="234" spans="2:20" x14ac:dyDescent="0.2">
      <c r="B234" s="1">
        <f t="shared" si="10"/>
        <v>52474</v>
      </c>
      <c r="C234" s="2">
        <f t="shared" si="12"/>
        <v>218</v>
      </c>
      <c r="D234" s="3">
        <f t="shared" si="11"/>
        <v>0</v>
      </c>
      <c r="E234" s="3">
        <f>ROUND(Table157810[[#This Row],[Beginning Balance]]*Table157810[[#This Row],[Monthly Interest Rate]],2)</f>
        <v>0</v>
      </c>
      <c r="F234" s="3">
        <f t="shared" si="13"/>
        <v>624</v>
      </c>
      <c r="G234" s="23">
        <f>IFERROR(IF($C$13="No","N/A",IF(Table157810[[#This Row],[Period]]=1,$C$6,PMT(InterestRate*AmortizationMultiplier/12,Table157810[[#This Row],[Am Thru]],-Table157810[[#This Row],[Beginning Balance]]))),0)</f>
        <v>0</v>
      </c>
      <c r="H234" s="3">
        <f>MAX(0,IF(C234=$C$4,D234,ROUND(IF($C$3="Fixed Principal",$C$6-Table157810[[#This Row],[Interest]],IF($C$3="Interest Only",Table157810[[#This Row],[Beginning Balance]]*ROUND(1-(1-IF($C$11="No",$E$8,1))^(1/12),6),MIN(IF($C$13="Yes",Table157810[[#This Row],[Payment Amount (Reamortized)]],$C$6)-Table157810[[#This Row],[Interest]],Table157810[[#This Row],[Beginning Balance]]))),2)))</f>
        <v>0</v>
      </c>
      <c r="I234" s="3">
        <f>_xlfn.SINGLE(IF($C$3="Line of Credit",0,ROUND(MAX(MIN(IF($C$10="No",$E$7,VLOOKUP(Table157810[[#This Row],[Period]],Forecast!$H$2:$L$1048576,4,FALSE))*Table157810[[#This Row],[Beginning Balance]],Table157810[[#This Row],[Beginning Balance]]-Table157810[[#This Row],[Principal]]),0),2)))</f>
        <v>0</v>
      </c>
      <c r="J234" s="3">
        <f>ROUND(MIN(Table157810[[#This Row],[Beginning Balance]]*IF($C$8="No",$E$3,VLOOKUP(Table157810[[#This Row],[Period]],Forecast!$H$2:$L$1048576,2,FALSE)),Table157810[[#This Row],[Beginning Balance]]-Table157810[[#This Row],[Principal]]-Table157810[[#This Row],[Prepayments]]),2)</f>
        <v>0</v>
      </c>
      <c r="K234" s="3">
        <f>ROUND(Table157810[[#This Row],[Defaulted Principal]]*IF($C$9="No",$E$4,VLOOKUP(Table157810[[#This Row],[Period]],Forecast!$H$2:$L$1048576,3,FALSE)),2)</f>
        <v>0</v>
      </c>
      <c r="L234" s="2">
        <f>Table157810[[#This Row],[Period]]+$E$9</f>
        <v>230</v>
      </c>
      <c r="M234" s="3">
        <f>Table157810[[#This Row],[Defaulted Principal]]-Table157810[[#This Row],[Estimated Loss]]</f>
        <v>0</v>
      </c>
      <c r="N234" s="3">
        <f>IFERROR(VLOOKUP(Table157810[[#This Row],[Period]],$L$16:$M$385,2,FALSE),0)</f>
        <v>0</v>
      </c>
      <c r="O234" s="3">
        <f>Table157810[[#This Row],[Beginning Balance]]-Table157810[[#This Row],[Principal]]-Table157810[[#This Row],[Prepayments]]-Table157810[[#This Row],[Defaulted Principal]]</f>
        <v>0</v>
      </c>
      <c r="P234" s="3">
        <f>Table157810[[#This Row],[Principal]]+Table157810[[#This Row],[Interest]]+Table157810[[#This Row],[Prepayments]]+Table157810[[#This Row],[RecoveredAmount]]</f>
        <v>0</v>
      </c>
      <c r="Q234" s="3">
        <f ca="1">ROUND(Table157810[[#This Row],[Cash Flow]]/((1+ActualRateToUse)^(IF(ISNUMBER(SEARCH("Actual",$C$7)),Table157810[[#This Row],[Running Total]]/365,Table157810[[#This Row],[Period]]/12))),2)</f>
        <v>0</v>
      </c>
      <c r="R234" s="2">
        <f>IF(MONTH(Table157810[[#This Row],[Date]])=2,28,DAY(DATE(YEAR(Table157810[[#This Row],[Date]]),MONTH(Table157810[[#This Row],[Date]])+1,1)-1))</f>
        <v>31</v>
      </c>
      <c r="S234" s="2">
        <f ca="1">SUM(OFFSET(Table157810[[#Headers],[Days in month]],1,0):Table157810[[#This Row],[Days in month]])</f>
        <v>6632</v>
      </c>
      <c r="T234" s="37">
        <f>InterestRate*AmortizationMultiplier*IF(ISNUMBER(SEARCH("Actual",$C$7)),Table157810[[#This Row],[Days in month]]/365,1/12)</f>
        <v>5.9839472222222214E-3</v>
      </c>
    </row>
    <row r="235" spans="2:20" x14ac:dyDescent="0.2">
      <c r="B235" s="1">
        <f t="shared" si="10"/>
        <v>52504</v>
      </c>
      <c r="C235" s="2">
        <f t="shared" si="12"/>
        <v>219</v>
      </c>
      <c r="D235" s="3">
        <f t="shared" si="11"/>
        <v>0</v>
      </c>
      <c r="E235" s="3">
        <f>ROUND(Table157810[[#This Row],[Beginning Balance]]*Table157810[[#This Row],[Monthly Interest Rate]],2)</f>
        <v>0</v>
      </c>
      <c r="F235" s="3">
        <f t="shared" si="13"/>
        <v>623</v>
      </c>
      <c r="G235" s="23">
        <f>IFERROR(IF($C$13="No","N/A",IF(Table157810[[#This Row],[Period]]=1,$C$6,PMT(InterestRate*AmortizationMultiplier/12,Table157810[[#This Row],[Am Thru]],-Table157810[[#This Row],[Beginning Balance]]))),0)</f>
        <v>0</v>
      </c>
      <c r="H235" s="3">
        <f>MAX(0,IF(C235=$C$4,D235,ROUND(IF($C$3="Fixed Principal",$C$6-Table157810[[#This Row],[Interest]],IF($C$3="Interest Only",Table157810[[#This Row],[Beginning Balance]]*ROUND(1-(1-IF($C$11="No",$E$8,1))^(1/12),6),MIN(IF($C$13="Yes",Table157810[[#This Row],[Payment Amount (Reamortized)]],$C$6)-Table157810[[#This Row],[Interest]],Table157810[[#This Row],[Beginning Balance]]))),2)))</f>
        <v>0</v>
      </c>
      <c r="I235" s="3">
        <f>_xlfn.SINGLE(IF($C$3="Line of Credit",0,ROUND(MAX(MIN(IF($C$10="No",$E$7,VLOOKUP(Table157810[[#This Row],[Period]],Forecast!$H$2:$L$1048576,4,FALSE))*Table157810[[#This Row],[Beginning Balance]],Table157810[[#This Row],[Beginning Balance]]-Table157810[[#This Row],[Principal]]),0),2)))</f>
        <v>0</v>
      </c>
      <c r="J235" s="3">
        <f>ROUND(MIN(Table157810[[#This Row],[Beginning Balance]]*IF($C$8="No",$E$3,VLOOKUP(Table157810[[#This Row],[Period]],Forecast!$H$2:$L$1048576,2,FALSE)),Table157810[[#This Row],[Beginning Balance]]-Table157810[[#This Row],[Principal]]-Table157810[[#This Row],[Prepayments]]),2)</f>
        <v>0</v>
      </c>
      <c r="K235" s="3">
        <f>ROUND(Table157810[[#This Row],[Defaulted Principal]]*IF($C$9="No",$E$4,VLOOKUP(Table157810[[#This Row],[Period]],Forecast!$H$2:$L$1048576,3,FALSE)),2)</f>
        <v>0</v>
      </c>
      <c r="L235" s="2">
        <f>Table157810[[#This Row],[Period]]+$E$9</f>
        <v>231</v>
      </c>
      <c r="M235" s="3">
        <f>Table157810[[#This Row],[Defaulted Principal]]-Table157810[[#This Row],[Estimated Loss]]</f>
        <v>0</v>
      </c>
      <c r="N235" s="3">
        <f>IFERROR(VLOOKUP(Table157810[[#This Row],[Period]],$L$16:$M$385,2,FALSE),0)</f>
        <v>0</v>
      </c>
      <c r="O235" s="3">
        <f>Table157810[[#This Row],[Beginning Balance]]-Table157810[[#This Row],[Principal]]-Table157810[[#This Row],[Prepayments]]-Table157810[[#This Row],[Defaulted Principal]]</f>
        <v>0</v>
      </c>
      <c r="P235" s="3">
        <f>Table157810[[#This Row],[Principal]]+Table157810[[#This Row],[Interest]]+Table157810[[#This Row],[Prepayments]]+Table157810[[#This Row],[RecoveredAmount]]</f>
        <v>0</v>
      </c>
      <c r="Q235" s="3">
        <f ca="1">ROUND(Table157810[[#This Row],[Cash Flow]]/((1+ActualRateToUse)^(IF(ISNUMBER(SEARCH("Actual",$C$7)),Table157810[[#This Row],[Running Total]]/365,Table157810[[#This Row],[Period]]/12))),2)</f>
        <v>0</v>
      </c>
      <c r="R235" s="2">
        <f>IF(MONTH(Table157810[[#This Row],[Date]])=2,28,DAY(DATE(YEAR(Table157810[[#This Row],[Date]]),MONTH(Table157810[[#This Row],[Date]])+1,1)-1))</f>
        <v>30</v>
      </c>
      <c r="S235" s="2">
        <f ca="1">SUM(OFFSET(Table157810[[#Headers],[Days in month]],1,0):Table157810[[#This Row],[Days in month]])</f>
        <v>6662</v>
      </c>
      <c r="T235" s="37">
        <f>InterestRate*AmortizationMultiplier*IF(ISNUMBER(SEARCH("Actual",$C$7)),Table157810[[#This Row],[Days in month]]/365,1/12)</f>
        <v>5.7909166666666656E-3</v>
      </c>
    </row>
    <row r="236" spans="2:20" x14ac:dyDescent="0.2">
      <c r="B236" s="1">
        <f t="shared" si="10"/>
        <v>52535</v>
      </c>
      <c r="C236" s="2">
        <f t="shared" si="12"/>
        <v>220</v>
      </c>
      <c r="D236" s="3">
        <f t="shared" si="11"/>
        <v>0</v>
      </c>
      <c r="E236" s="3">
        <f>ROUND(Table157810[[#This Row],[Beginning Balance]]*Table157810[[#This Row],[Monthly Interest Rate]],2)</f>
        <v>0</v>
      </c>
      <c r="F236" s="3">
        <f t="shared" si="13"/>
        <v>622</v>
      </c>
      <c r="G236" s="23">
        <f>IFERROR(IF($C$13="No","N/A",IF(Table157810[[#This Row],[Period]]=1,$C$6,PMT(InterestRate*AmortizationMultiplier/12,Table157810[[#This Row],[Am Thru]],-Table157810[[#This Row],[Beginning Balance]]))),0)</f>
        <v>0</v>
      </c>
      <c r="H236" s="3">
        <f>MAX(0,IF(C236=$C$4,D236,ROUND(IF($C$3="Fixed Principal",$C$6-Table157810[[#This Row],[Interest]],IF($C$3="Interest Only",Table157810[[#This Row],[Beginning Balance]]*ROUND(1-(1-IF($C$11="No",$E$8,1))^(1/12),6),MIN(IF($C$13="Yes",Table157810[[#This Row],[Payment Amount (Reamortized)]],$C$6)-Table157810[[#This Row],[Interest]],Table157810[[#This Row],[Beginning Balance]]))),2)))</f>
        <v>0</v>
      </c>
      <c r="I236" s="3">
        <f>_xlfn.SINGLE(IF($C$3="Line of Credit",0,ROUND(MAX(MIN(IF($C$10="No",$E$7,VLOOKUP(Table157810[[#This Row],[Period]],Forecast!$H$2:$L$1048576,4,FALSE))*Table157810[[#This Row],[Beginning Balance]],Table157810[[#This Row],[Beginning Balance]]-Table157810[[#This Row],[Principal]]),0),2)))</f>
        <v>0</v>
      </c>
      <c r="J236" s="3">
        <f>ROUND(MIN(Table157810[[#This Row],[Beginning Balance]]*IF($C$8="No",$E$3,VLOOKUP(Table157810[[#This Row],[Period]],Forecast!$H$2:$L$1048576,2,FALSE)),Table157810[[#This Row],[Beginning Balance]]-Table157810[[#This Row],[Principal]]-Table157810[[#This Row],[Prepayments]]),2)</f>
        <v>0</v>
      </c>
      <c r="K236" s="3">
        <f>ROUND(Table157810[[#This Row],[Defaulted Principal]]*IF($C$9="No",$E$4,VLOOKUP(Table157810[[#This Row],[Period]],Forecast!$H$2:$L$1048576,3,FALSE)),2)</f>
        <v>0</v>
      </c>
      <c r="L236" s="2">
        <f>Table157810[[#This Row],[Period]]+$E$9</f>
        <v>232</v>
      </c>
      <c r="M236" s="3">
        <f>Table157810[[#This Row],[Defaulted Principal]]-Table157810[[#This Row],[Estimated Loss]]</f>
        <v>0</v>
      </c>
      <c r="N236" s="3">
        <f>IFERROR(VLOOKUP(Table157810[[#This Row],[Period]],$L$16:$M$385,2,FALSE),0)</f>
        <v>0</v>
      </c>
      <c r="O236" s="3">
        <f>Table157810[[#This Row],[Beginning Balance]]-Table157810[[#This Row],[Principal]]-Table157810[[#This Row],[Prepayments]]-Table157810[[#This Row],[Defaulted Principal]]</f>
        <v>0</v>
      </c>
      <c r="P236" s="3">
        <f>Table157810[[#This Row],[Principal]]+Table157810[[#This Row],[Interest]]+Table157810[[#This Row],[Prepayments]]+Table157810[[#This Row],[RecoveredAmount]]</f>
        <v>0</v>
      </c>
      <c r="Q236" s="3">
        <f ca="1">ROUND(Table157810[[#This Row],[Cash Flow]]/((1+ActualRateToUse)^(IF(ISNUMBER(SEARCH("Actual",$C$7)),Table157810[[#This Row],[Running Total]]/365,Table157810[[#This Row],[Period]]/12))),2)</f>
        <v>0</v>
      </c>
      <c r="R236" s="2">
        <f>IF(MONTH(Table157810[[#This Row],[Date]])=2,28,DAY(DATE(YEAR(Table157810[[#This Row],[Date]]),MONTH(Table157810[[#This Row],[Date]])+1,1)-1))</f>
        <v>31</v>
      </c>
      <c r="S236" s="2">
        <f ca="1">SUM(OFFSET(Table157810[[#Headers],[Days in month]],1,0):Table157810[[#This Row],[Days in month]])</f>
        <v>6693</v>
      </c>
      <c r="T236" s="37">
        <f>InterestRate*AmortizationMultiplier*IF(ISNUMBER(SEARCH("Actual",$C$7)),Table157810[[#This Row],[Days in month]]/365,1/12)</f>
        <v>5.9839472222222214E-3</v>
      </c>
    </row>
    <row r="237" spans="2:20" x14ac:dyDescent="0.2">
      <c r="B237" s="1">
        <f t="shared" si="10"/>
        <v>52565</v>
      </c>
      <c r="C237" s="2">
        <f t="shared" si="12"/>
        <v>221</v>
      </c>
      <c r="D237" s="3">
        <f t="shared" si="11"/>
        <v>0</v>
      </c>
      <c r="E237" s="3">
        <f>ROUND(Table157810[[#This Row],[Beginning Balance]]*Table157810[[#This Row],[Monthly Interest Rate]],2)</f>
        <v>0</v>
      </c>
      <c r="F237" s="3">
        <f t="shared" si="13"/>
        <v>621</v>
      </c>
      <c r="G237" s="23">
        <f>IFERROR(IF($C$13="No","N/A",IF(Table157810[[#This Row],[Period]]=1,$C$6,PMT(InterestRate*AmortizationMultiplier/12,Table157810[[#This Row],[Am Thru]],-Table157810[[#This Row],[Beginning Balance]]))),0)</f>
        <v>0</v>
      </c>
      <c r="H237" s="3">
        <f>MAX(0,IF(C237=$C$4,D237,ROUND(IF($C$3="Fixed Principal",$C$6-Table157810[[#This Row],[Interest]],IF($C$3="Interest Only",Table157810[[#This Row],[Beginning Balance]]*ROUND(1-(1-IF($C$11="No",$E$8,1))^(1/12),6),MIN(IF($C$13="Yes",Table157810[[#This Row],[Payment Amount (Reamortized)]],$C$6)-Table157810[[#This Row],[Interest]],Table157810[[#This Row],[Beginning Balance]]))),2)))</f>
        <v>0</v>
      </c>
      <c r="I237" s="3">
        <f>_xlfn.SINGLE(IF($C$3="Line of Credit",0,ROUND(MAX(MIN(IF($C$10="No",$E$7,VLOOKUP(Table157810[[#This Row],[Period]],Forecast!$H$2:$L$1048576,4,FALSE))*Table157810[[#This Row],[Beginning Balance]],Table157810[[#This Row],[Beginning Balance]]-Table157810[[#This Row],[Principal]]),0),2)))</f>
        <v>0</v>
      </c>
      <c r="J237" s="3">
        <f>ROUND(MIN(Table157810[[#This Row],[Beginning Balance]]*IF($C$8="No",$E$3,VLOOKUP(Table157810[[#This Row],[Period]],Forecast!$H$2:$L$1048576,2,FALSE)),Table157810[[#This Row],[Beginning Balance]]-Table157810[[#This Row],[Principal]]-Table157810[[#This Row],[Prepayments]]),2)</f>
        <v>0</v>
      </c>
      <c r="K237" s="3">
        <f>ROUND(Table157810[[#This Row],[Defaulted Principal]]*IF($C$9="No",$E$4,VLOOKUP(Table157810[[#This Row],[Period]],Forecast!$H$2:$L$1048576,3,FALSE)),2)</f>
        <v>0</v>
      </c>
      <c r="L237" s="2">
        <f>Table157810[[#This Row],[Period]]+$E$9</f>
        <v>233</v>
      </c>
      <c r="M237" s="3">
        <f>Table157810[[#This Row],[Defaulted Principal]]-Table157810[[#This Row],[Estimated Loss]]</f>
        <v>0</v>
      </c>
      <c r="N237" s="3">
        <f>IFERROR(VLOOKUP(Table157810[[#This Row],[Period]],$L$16:$M$385,2,FALSE),0)</f>
        <v>0</v>
      </c>
      <c r="O237" s="3">
        <f>Table157810[[#This Row],[Beginning Balance]]-Table157810[[#This Row],[Principal]]-Table157810[[#This Row],[Prepayments]]-Table157810[[#This Row],[Defaulted Principal]]</f>
        <v>0</v>
      </c>
      <c r="P237" s="3">
        <f>Table157810[[#This Row],[Principal]]+Table157810[[#This Row],[Interest]]+Table157810[[#This Row],[Prepayments]]+Table157810[[#This Row],[RecoveredAmount]]</f>
        <v>0</v>
      </c>
      <c r="Q237" s="3">
        <f ca="1">ROUND(Table157810[[#This Row],[Cash Flow]]/((1+ActualRateToUse)^(IF(ISNUMBER(SEARCH("Actual",$C$7)),Table157810[[#This Row],[Running Total]]/365,Table157810[[#This Row],[Period]]/12))),2)</f>
        <v>0</v>
      </c>
      <c r="R237" s="2">
        <f>IF(MONTH(Table157810[[#This Row],[Date]])=2,28,DAY(DATE(YEAR(Table157810[[#This Row],[Date]]),MONTH(Table157810[[#This Row],[Date]])+1,1)-1))</f>
        <v>30</v>
      </c>
      <c r="S237" s="2">
        <f ca="1">SUM(OFFSET(Table157810[[#Headers],[Days in month]],1,0):Table157810[[#This Row],[Days in month]])</f>
        <v>6723</v>
      </c>
      <c r="T237" s="37">
        <f>InterestRate*AmortizationMultiplier*IF(ISNUMBER(SEARCH("Actual",$C$7)),Table157810[[#This Row],[Days in month]]/365,1/12)</f>
        <v>5.7909166666666656E-3</v>
      </c>
    </row>
    <row r="238" spans="2:20" x14ac:dyDescent="0.2">
      <c r="B238" s="1">
        <f t="shared" si="10"/>
        <v>52596</v>
      </c>
      <c r="C238" s="2">
        <f t="shared" si="12"/>
        <v>222</v>
      </c>
      <c r="D238" s="3">
        <f t="shared" si="11"/>
        <v>0</v>
      </c>
      <c r="E238" s="3">
        <f>ROUND(Table157810[[#This Row],[Beginning Balance]]*Table157810[[#This Row],[Monthly Interest Rate]],2)</f>
        <v>0</v>
      </c>
      <c r="F238" s="3">
        <f t="shared" si="13"/>
        <v>620</v>
      </c>
      <c r="G238" s="23">
        <f>IFERROR(IF($C$13="No","N/A",IF(Table157810[[#This Row],[Period]]=1,$C$6,PMT(InterestRate*AmortizationMultiplier/12,Table157810[[#This Row],[Am Thru]],-Table157810[[#This Row],[Beginning Balance]]))),0)</f>
        <v>0</v>
      </c>
      <c r="H238" s="3">
        <f>MAX(0,IF(C238=$C$4,D238,ROUND(IF($C$3="Fixed Principal",$C$6-Table157810[[#This Row],[Interest]],IF($C$3="Interest Only",Table157810[[#This Row],[Beginning Balance]]*ROUND(1-(1-IF($C$11="No",$E$8,1))^(1/12),6),MIN(IF($C$13="Yes",Table157810[[#This Row],[Payment Amount (Reamortized)]],$C$6)-Table157810[[#This Row],[Interest]],Table157810[[#This Row],[Beginning Balance]]))),2)))</f>
        <v>0</v>
      </c>
      <c r="I238" s="3">
        <f>_xlfn.SINGLE(IF($C$3="Line of Credit",0,ROUND(MAX(MIN(IF($C$10="No",$E$7,VLOOKUP(Table157810[[#This Row],[Period]],Forecast!$H$2:$L$1048576,4,FALSE))*Table157810[[#This Row],[Beginning Balance]],Table157810[[#This Row],[Beginning Balance]]-Table157810[[#This Row],[Principal]]),0),2)))</f>
        <v>0</v>
      </c>
      <c r="J238" s="3">
        <f>ROUND(MIN(Table157810[[#This Row],[Beginning Balance]]*IF($C$8="No",$E$3,VLOOKUP(Table157810[[#This Row],[Period]],Forecast!$H$2:$L$1048576,2,FALSE)),Table157810[[#This Row],[Beginning Balance]]-Table157810[[#This Row],[Principal]]-Table157810[[#This Row],[Prepayments]]),2)</f>
        <v>0</v>
      </c>
      <c r="K238" s="3">
        <f>ROUND(Table157810[[#This Row],[Defaulted Principal]]*IF($C$9="No",$E$4,VLOOKUP(Table157810[[#This Row],[Period]],Forecast!$H$2:$L$1048576,3,FALSE)),2)</f>
        <v>0</v>
      </c>
      <c r="L238" s="2">
        <f>Table157810[[#This Row],[Period]]+$E$9</f>
        <v>234</v>
      </c>
      <c r="M238" s="3">
        <f>Table157810[[#This Row],[Defaulted Principal]]-Table157810[[#This Row],[Estimated Loss]]</f>
        <v>0</v>
      </c>
      <c r="N238" s="3">
        <f>IFERROR(VLOOKUP(Table157810[[#This Row],[Period]],$L$16:$M$385,2,FALSE),0)</f>
        <v>0</v>
      </c>
      <c r="O238" s="3">
        <f>Table157810[[#This Row],[Beginning Balance]]-Table157810[[#This Row],[Principal]]-Table157810[[#This Row],[Prepayments]]-Table157810[[#This Row],[Defaulted Principal]]</f>
        <v>0</v>
      </c>
      <c r="P238" s="3">
        <f>Table157810[[#This Row],[Principal]]+Table157810[[#This Row],[Interest]]+Table157810[[#This Row],[Prepayments]]+Table157810[[#This Row],[RecoveredAmount]]</f>
        <v>0</v>
      </c>
      <c r="Q238" s="3">
        <f ca="1">ROUND(Table157810[[#This Row],[Cash Flow]]/((1+ActualRateToUse)^(IF(ISNUMBER(SEARCH("Actual",$C$7)),Table157810[[#This Row],[Running Total]]/365,Table157810[[#This Row],[Period]]/12))),2)</f>
        <v>0</v>
      </c>
      <c r="R238" s="2">
        <f>IF(MONTH(Table157810[[#This Row],[Date]])=2,28,DAY(DATE(YEAR(Table157810[[#This Row],[Date]]),MONTH(Table157810[[#This Row],[Date]])+1,1)-1))</f>
        <v>31</v>
      </c>
      <c r="S238" s="2">
        <f ca="1">SUM(OFFSET(Table157810[[#Headers],[Days in month]],1,0):Table157810[[#This Row],[Days in month]])</f>
        <v>6754</v>
      </c>
      <c r="T238" s="37">
        <f>InterestRate*AmortizationMultiplier*IF(ISNUMBER(SEARCH("Actual",$C$7)),Table157810[[#This Row],[Days in month]]/365,1/12)</f>
        <v>5.9839472222222214E-3</v>
      </c>
    </row>
    <row r="239" spans="2:20" x14ac:dyDescent="0.2">
      <c r="B239" s="1">
        <f t="shared" si="10"/>
        <v>52627</v>
      </c>
      <c r="C239" s="2">
        <f t="shared" si="12"/>
        <v>223</v>
      </c>
      <c r="D239" s="3">
        <f t="shared" si="11"/>
        <v>0</v>
      </c>
      <c r="E239" s="3">
        <f>ROUND(Table157810[[#This Row],[Beginning Balance]]*Table157810[[#This Row],[Monthly Interest Rate]],2)</f>
        <v>0</v>
      </c>
      <c r="F239" s="3">
        <f t="shared" si="13"/>
        <v>619</v>
      </c>
      <c r="G239" s="23">
        <f>IFERROR(IF($C$13="No","N/A",IF(Table157810[[#This Row],[Period]]=1,$C$6,PMT(InterestRate*AmortizationMultiplier/12,Table157810[[#This Row],[Am Thru]],-Table157810[[#This Row],[Beginning Balance]]))),0)</f>
        <v>0</v>
      </c>
      <c r="H239" s="3">
        <f>MAX(0,IF(C239=$C$4,D239,ROUND(IF($C$3="Fixed Principal",$C$6-Table157810[[#This Row],[Interest]],IF($C$3="Interest Only",Table157810[[#This Row],[Beginning Balance]]*ROUND(1-(1-IF($C$11="No",$E$8,1))^(1/12),6),MIN(IF($C$13="Yes",Table157810[[#This Row],[Payment Amount (Reamortized)]],$C$6)-Table157810[[#This Row],[Interest]],Table157810[[#This Row],[Beginning Balance]]))),2)))</f>
        <v>0</v>
      </c>
      <c r="I239" s="3">
        <f>_xlfn.SINGLE(IF($C$3="Line of Credit",0,ROUND(MAX(MIN(IF($C$10="No",$E$7,VLOOKUP(Table157810[[#This Row],[Period]],Forecast!$H$2:$L$1048576,4,FALSE))*Table157810[[#This Row],[Beginning Balance]],Table157810[[#This Row],[Beginning Balance]]-Table157810[[#This Row],[Principal]]),0),2)))</f>
        <v>0</v>
      </c>
      <c r="J239" s="3">
        <f>ROUND(MIN(Table157810[[#This Row],[Beginning Balance]]*IF($C$8="No",$E$3,VLOOKUP(Table157810[[#This Row],[Period]],Forecast!$H$2:$L$1048576,2,FALSE)),Table157810[[#This Row],[Beginning Balance]]-Table157810[[#This Row],[Principal]]-Table157810[[#This Row],[Prepayments]]),2)</f>
        <v>0</v>
      </c>
      <c r="K239" s="3">
        <f>ROUND(Table157810[[#This Row],[Defaulted Principal]]*IF($C$9="No",$E$4,VLOOKUP(Table157810[[#This Row],[Period]],Forecast!$H$2:$L$1048576,3,FALSE)),2)</f>
        <v>0</v>
      </c>
      <c r="L239" s="2">
        <f>Table157810[[#This Row],[Period]]+$E$9</f>
        <v>235</v>
      </c>
      <c r="M239" s="3">
        <f>Table157810[[#This Row],[Defaulted Principal]]-Table157810[[#This Row],[Estimated Loss]]</f>
        <v>0</v>
      </c>
      <c r="N239" s="3">
        <f>IFERROR(VLOOKUP(Table157810[[#This Row],[Period]],$L$16:$M$385,2,FALSE),0)</f>
        <v>0</v>
      </c>
      <c r="O239" s="3">
        <f>Table157810[[#This Row],[Beginning Balance]]-Table157810[[#This Row],[Principal]]-Table157810[[#This Row],[Prepayments]]-Table157810[[#This Row],[Defaulted Principal]]</f>
        <v>0</v>
      </c>
      <c r="P239" s="3">
        <f>Table157810[[#This Row],[Principal]]+Table157810[[#This Row],[Interest]]+Table157810[[#This Row],[Prepayments]]+Table157810[[#This Row],[RecoveredAmount]]</f>
        <v>0</v>
      </c>
      <c r="Q239" s="3">
        <f ca="1">ROUND(Table157810[[#This Row],[Cash Flow]]/((1+ActualRateToUse)^(IF(ISNUMBER(SEARCH("Actual",$C$7)),Table157810[[#This Row],[Running Total]]/365,Table157810[[#This Row],[Period]]/12))),2)</f>
        <v>0</v>
      </c>
      <c r="R239" s="2">
        <f>IF(MONTH(Table157810[[#This Row],[Date]])=2,28,DAY(DATE(YEAR(Table157810[[#This Row],[Date]]),MONTH(Table157810[[#This Row],[Date]])+1,1)-1))</f>
        <v>31</v>
      </c>
      <c r="S239" s="2">
        <f ca="1">SUM(OFFSET(Table157810[[#Headers],[Days in month]],1,0):Table157810[[#This Row],[Days in month]])</f>
        <v>6785</v>
      </c>
      <c r="T239" s="37">
        <f>InterestRate*AmortizationMultiplier*IF(ISNUMBER(SEARCH("Actual",$C$7)),Table157810[[#This Row],[Days in month]]/365,1/12)</f>
        <v>5.9839472222222214E-3</v>
      </c>
    </row>
    <row r="240" spans="2:20" x14ac:dyDescent="0.2">
      <c r="B240" s="1">
        <f t="shared" si="10"/>
        <v>52656</v>
      </c>
      <c r="C240" s="2">
        <f t="shared" si="12"/>
        <v>224</v>
      </c>
      <c r="D240" s="3">
        <f t="shared" si="11"/>
        <v>0</v>
      </c>
      <c r="E240" s="3">
        <f>ROUND(Table157810[[#This Row],[Beginning Balance]]*Table157810[[#This Row],[Monthly Interest Rate]],2)</f>
        <v>0</v>
      </c>
      <c r="F240" s="3">
        <f t="shared" si="13"/>
        <v>618</v>
      </c>
      <c r="G240" s="23">
        <f>IFERROR(IF($C$13="No","N/A",IF(Table157810[[#This Row],[Period]]=1,$C$6,PMT(InterestRate*AmortizationMultiplier/12,Table157810[[#This Row],[Am Thru]],-Table157810[[#This Row],[Beginning Balance]]))),0)</f>
        <v>0</v>
      </c>
      <c r="H240" s="3">
        <f>MAX(0,IF(C240=$C$4,D240,ROUND(IF($C$3="Fixed Principal",$C$6-Table157810[[#This Row],[Interest]],IF($C$3="Interest Only",Table157810[[#This Row],[Beginning Balance]]*ROUND(1-(1-IF($C$11="No",$E$8,1))^(1/12),6),MIN(IF($C$13="Yes",Table157810[[#This Row],[Payment Amount (Reamortized)]],$C$6)-Table157810[[#This Row],[Interest]],Table157810[[#This Row],[Beginning Balance]]))),2)))</f>
        <v>0</v>
      </c>
      <c r="I240" s="3">
        <f>_xlfn.SINGLE(IF($C$3="Line of Credit",0,ROUND(MAX(MIN(IF($C$10="No",$E$7,VLOOKUP(Table157810[[#This Row],[Period]],Forecast!$H$2:$L$1048576,4,FALSE))*Table157810[[#This Row],[Beginning Balance]],Table157810[[#This Row],[Beginning Balance]]-Table157810[[#This Row],[Principal]]),0),2)))</f>
        <v>0</v>
      </c>
      <c r="J240" s="3">
        <f>ROUND(MIN(Table157810[[#This Row],[Beginning Balance]]*IF($C$8="No",$E$3,VLOOKUP(Table157810[[#This Row],[Period]],Forecast!$H$2:$L$1048576,2,FALSE)),Table157810[[#This Row],[Beginning Balance]]-Table157810[[#This Row],[Principal]]-Table157810[[#This Row],[Prepayments]]),2)</f>
        <v>0</v>
      </c>
      <c r="K240" s="3">
        <f>ROUND(Table157810[[#This Row],[Defaulted Principal]]*IF($C$9="No",$E$4,VLOOKUP(Table157810[[#This Row],[Period]],Forecast!$H$2:$L$1048576,3,FALSE)),2)</f>
        <v>0</v>
      </c>
      <c r="L240" s="2">
        <f>Table157810[[#This Row],[Period]]+$E$9</f>
        <v>236</v>
      </c>
      <c r="M240" s="3">
        <f>Table157810[[#This Row],[Defaulted Principal]]-Table157810[[#This Row],[Estimated Loss]]</f>
        <v>0</v>
      </c>
      <c r="N240" s="3">
        <f>IFERROR(VLOOKUP(Table157810[[#This Row],[Period]],$L$16:$M$385,2,FALSE),0)</f>
        <v>0</v>
      </c>
      <c r="O240" s="3">
        <f>Table157810[[#This Row],[Beginning Balance]]-Table157810[[#This Row],[Principal]]-Table157810[[#This Row],[Prepayments]]-Table157810[[#This Row],[Defaulted Principal]]</f>
        <v>0</v>
      </c>
      <c r="P240" s="3">
        <f>Table157810[[#This Row],[Principal]]+Table157810[[#This Row],[Interest]]+Table157810[[#This Row],[Prepayments]]+Table157810[[#This Row],[RecoveredAmount]]</f>
        <v>0</v>
      </c>
      <c r="Q240" s="3">
        <f ca="1">ROUND(Table157810[[#This Row],[Cash Flow]]/((1+ActualRateToUse)^(IF(ISNUMBER(SEARCH("Actual",$C$7)),Table157810[[#This Row],[Running Total]]/365,Table157810[[#This Row],[Period]]/12))),2)</f>
        <v>0</v>
      </c>
      <c r="R240" s="2">
        <f>IF(MONTH(Table157810[[#This Row],[Date]])=2,28,DAY(DATE(YEAR(Table157810[[#This Row],[Date]]),MONTH(Table157810[[#This Row],[Date]])+1,1)-1))</f>
        <v>28</v>
      </c>
      <c r="S240" s="2">
        <f ca="1">SUM(OFFSET(Table157810[[#Headers],[Days in month]],1,0):Table157810[[#This Row],[Days in month]])</f>
        <v>6813</v>
      </c>
      <c r="T240" s="37">
        <f>InterestRate*AmortizationMultiplier*IF(ISNUMBER(SEARCH("Actual",$C$7)),Table157810[[#This Row],[Days in month]]/365,1/12)</f>
        <v>5.4048555555555548E-3</v>
      </c>
    </row>
    <row r="241" spans="2:20" x14ac:dyDescent="0.2">
      <c r="B241" s="1">
        <f t="shared" si="10"/>
        <v>52687</v>
      </c>
      <c r="C241" s="2">
        <f t="shared" si="12"/>
        <v>225</v>
      </c>
      <c r="D241" s="3">
        <f t="shared" si="11"/>
        <v>0</v>
      </c>
      <c r="E241" s="3">
        <f>ROUND(Table157810[[#This Row],[Beginning Balance]]*Table157810[[#This Row],[Monthly Interest Rate]],2)</f>
        <v>0</v>
      </c>
      <c r="F241" s="3">
        <f t="shared" si="13"/>
        <v>617</v>
      </c>
      <c r="G241" s="23">
        <f>IFERROR(IF($C$13="No","N/A",IF(Table157810[[#This Row],[Period]]=1,$C$6,PMT(InterestRate*AmortizationMultiplier/12,Table157810[[#This Row],[Am Thru]],-Table157810[[#This Row],[Beginning Balance]]))),0)</f>
        <v>0</v>
      </c>
      <c r="H241" s="3">
        <f>MAX(0,IF(C241=$C$4,D241,ROUND(IF($C$3="Fixed Principal",$C$6-Table157810[[#This Row],[Interest]],IF($C$3="Interest Only",Table157810[[#This Row],[Beginning Balance]]*ROUND(1-(1-IF($C$11="No",$E$8,1))^(1/12),6),MIN(IF($C$13="Yes",Table157810[[#This Row],[Payment Amount (Reamortized)]],$C$6)-Table157810[[#This Row],[Interest]],Table157810[[#This Row],[Beginning Balance]]))),2)))</f>
        <v>0</v>
      </c>
      <c r="I241" s="3">
        <f>_xlfn.SINGLE(IF($C$3="Line of Credit",0,ROUND(MAX(MIN(IF($C$10="No",$E$7,VLOOKUP(Table157810[[#This Row],[Period]],Forecast!$H$2:$L$1048576,4,FALSE))*Table157810[[#This Row],[Beginning Balance]],Table157810[[#This Row],[Beginning Balance]]-Table157810[[#This Row],[Principal]]),0),2)))</f>
        <v>0</v>
      </c>
      <c r="J241" s="3">
        <f>ROUND(MIN(Table157810[[#This Row],[Beginning Balance]]*IF($C$8="No",$E$3,VLOOKUP(Table157810[[#This Row],[Period]],Forecast!$H$2:$L$1048576,2,FALSE)),Table157810[[#This Row],[Beginning Balance]]-Table157810[[#This Row],[Principal]]-Table157810[[#This Row],[Prepayments]]),2)</f>
        <v>0</v>
      </c>
      <c r="K241" s="3">
        <f>ROUND(Table157810[[#This Row],[Defaulted Principal]]*IF($C$9="No",$E$4,VLOOKUP(Table157810[[#This Row],[Period]],Forecast!$H$2:$L$1048576,3,FALSE)),2)</f>
        <v>0</v>
      </c>
      <c r="L241" s="2">
        <f>Table157810[[#This Row],[Period]]+$E$9</f>
        <v>237</v>
      </c>
      <c r="M241" s="3">
        <f>Table157810[[#This Row],[Defaulted Principal]]-Table157810[[#This Row],[Estimated Loss]]</f>
        <v>0</v>
      </c>
      <c r="N241" s="3">
        <f>IFERROR(VLOOKUP(Table157810[[#This Row],[Period]],$L$16:$M$385,2,FALSE),0)</f>
        <v>0</v>
      </c>
      <c r="O241" s="3">
        <f>Table157810[[#This Row],[Beginning Balance]]-Table157810[[#This Row],[Principal]]-Table157810[[#This Row],[Prepayments]]-Table157810[[#This Row],[Defaulted Principal]]</f>
        <v>0</v>
      </c>
      <c r="P241" s="3">
        <f>Table157810[[#This Row],[Principal]]+Table157810[[#This Row],[Interest]]+Table157810[[#This Row],[Prepayments]]+Table157810[[#This Row],[RecoveredAmount]]</f>
        <v>0</v>
      </c>
      <c r="Q241" s="3">
        <f ca="1">ROUND(Table157810[[#This Row],[Cash Flow]]/((1+ActualRateToUse)^(IF(ISNUMBER(SEARCH("Actual",$C$7)),Table157810[[#This Row],[Running Total]]/365,Table157810[[#This Row],[Period]]/12))),2)</f>
        <v>0</v>
      </c>
      <c r="R241" s="2">
        <f>IF(MONTH(Table157810[[#This Row],[Date]])=2,28,DAY(DATE(YEAR(Table157810[[#This Row],[Date]]),MONTH(Table157810[[#This Row],[Date]])+1,1)-1))</f>
        <v>31</v>
      </c>
      <c r="S241" s="2">
        <f ca="1">SUM(OFFSET(Table157810[[#Headers],[Days in month]],1,0):Table157810[[#This Row],[Days in month]])</f>
        <v>6844</v>
      </c>
      <c r="T241" s="37">
        <f>InterestRate*AmortizationMultiplier*IF(ISNUMBER(SEARCH("Actual",$C$7)),Table157810[[#This Row],[Days in month]]/365,1/12)</f>
        <v>5.9839472222222214E-3</v>
      </c>
    </row>
    <row r="242" spans="2:20" x14ac:dyDescent="0.2">
      <c r="B242" s="1">
        <f t="shared" si="10"/>
        <v>52717</v>
      </c>
      <c r="C242" s="2">
        <f t="shared" si="12"/>
        <v>226</v>
      </c>
      <c r="D242" s="3">
        <f t="shared" si="11"/>
        <v>0</v>
      </c>
      <c r="E242" s="3">
        <f>ROUND(Table157810[[#This Row],[Beginning Balance]]*Table157810[[#This Row],[Monthly Interest Rate]],2)</f>
        <v>0</v>
      </c>
      <c r="F242" s="3">
        <f t="shared" si="13"/>
        <v>616</v>
      </c>
      <c r="G242" s="23">
        <f>IFERROR(IF($C$13="No","N/A",IF(Table157810[[#This Row],[Period]]=1,$C$6,PMT(InterestRate*AmortizationMultiplier/12,Table157810[[#This Row],[Am Thru]],-Table157810[[#This Row],[Beginning Balance]]))),0)</f>
        <v>0</v>
      </c>
      <c r="H242" s="3">
        <f>MAX(0,IF(C242=$C$4,D242,ROUND(IF($C$3="Fixed Principal",$C$6-Table157810[[#This Row],[Interest]],IF($C$3="Interest Only",Table157810[[#This Row],[Beginning Balance]]*ROUND(1-(1-IF($C$11="No",$E$8,1))^(1/12),6),MIN(IF($C$13="Yes",Table157810[[#This Row],[Payment Amount (Reamortized)]],$C$6)-Table157810[[#This Row],[Interest]],Table157810[[#This Row],[Beginning Balance]]))),2)))</f>
        <v>0</v>
      </c>
      <c r="I242" s="3">
        <f>_xlfn.SINGLE(IF($C$3="Line of Credit",0,ROUND(MAX(MIN(IF($C$10="No",$E$7,VLOOKUP(Table157810[[#This Row],[Period]],Forecast!$H$2:$L$1048576,4,FALSE))*Table157810[[#This Row],[Beginning Balance]],Table157810[[#This Row],[Beginning Balance]]-Table157810[[#This Row],[Principal]]),0),2)))</f>
        <v>0</v>
      </c>
      <c r="J242" s="3">
        <f>ROUND(MIN(Table157810[[#This Row],[Beginning Balance]]*IF($C$8="No",$E$3,VLOOKUP(Table157810[[#This Row],[Period]],Forecast!$H$2:$L$1048576,2,FALSE)),Table157810[[#This Row],[Beginning Balance]]-Table157810[[#This Row],[Principal]]-Table157810[[#This Row],[Prepayments]]),2)</f>
        <v>0</v>
      </c>
      <c r="K242" s="3">
        <f>ROUND(Table157810[[#This Row],[Defaulted Principal]]*IF($C$9="No",$E$4,VLOOKUP(Table157810[[#This Row],[Period]],Forecast!$H$2:$L$1048576,3,FALSE)),2)</f>
        <v>0</v>
      </c>
      <c r="L242" s="2">
        <f>Table157810[[#This Row],[Period]]+$E$9</f>
        <v>238</v>
      </c>
      <c r="M242" s="3">
        <f>Table157810[[#This Row],[Defaulted Principal]]-Table157810[[#This Row],[Estimated Loss]]</f>
        <v>0</v>
      </c>
      <c r="N242" s="3">
        <f>IFERROR(VLOOKUP(Table157810[[#This Row],[Period]],$L$16:$M$385,2,FALSE),0)</f>
        <v>0</v>
      </c>
      <c r="O242" s="3">
        <f>Table157810[[#This Row],[Beginning Balance]]-Table157810[[#This Row],[Principal]]-Table157810[[#This Row],[Prepayments]]-Table157810[[#This Row],[Defaulted Principal]]</f>
        <v>0</v>
      </c>
      <c r="P242" s="3">
        <f>Table157810[[#This Row],[Principal]]+Table157810[[#This Row],[Interest]]+Table157810[[#This Row],[Prepayments]]+Table157810[[#This Row],[RecoveredAmount]]</f>
        <v>0</v>
      </c>
      <c r="Q242" s="3">
        <f ca="1">ROUND(Table157810[[#This Row],[Cash Flow]]/((1+ActualRateToUse)^(IF(ISNUMBER(SEARCH("Actual",$C$7)),Table157810[[#This Row],[Running Total]]/365,Table157810[[#This Row],[Period]]/12))),2)</f>
        <v>0</v>
      </c>
      <c r="R242" s="2">
        <f>IF(MONTH(Table157810[[#This Row],[Date]])=2,28,DAY(DATE(YEAR(Table157810[[#This Row],[Date]]),MONTH(Table157810[[#This Row],[Date]])+1,1)-1))</f>
        <v>30</v>
      </c>
      <c r="S242" s="2">
        <f ca="1">SUM(OFFSET(Table157810[[#Headers],[Days in month]],1,0):Table157810[[#This Row],[Days in month]])</f>
        <v>6874</v>
      </c>
      <c r="T242" s="37">
        <f>InterestRate*AmortizationMultiplier*IF(ISNUMBER(SEARCH("Actual",$C$7)),Table157810[[#This Row],[Days in month]]/365,1/12)</f>
        <v>5.7909166666666656E-3</v>
      </c>
    </row>
    <row r="243" spans="2:20" x14ac:dyDescent="0.2">
      <c r="B243" s="1">
        <f t="shared" si="10"/>
        <v>52748</v>
      </c>
      <c r="C243" s="2">
        <f t="shared" si="12"/>
        <v>227</v>
      </c>
      <c r="D243" s="3">
        <f t="shared" si="11"/>
        <v>0</v>
      </c>
      <c r="E243" s="3">
        <f>ROUND(Table157810[[#This Row],[Beginning Balance]]*Table157810[[#This Row],[Monthly Interest Rate]],2)</f>
        <v>0</v>
      </c>
      <c r="F243" s="3">
        <f t="shared" si="13"/>
        <v>615</v>
      </c>
      <c r="G243" s="23">
        <f>IFERROR(IF($C$13="No","N/A",IF(Table157810[[#This Row],[Period]]=1,$C$6,PMT(InterestRate*AmortizationMultiplier/12,Table157810[[#This Row],[Am Thru]],-Table157810[[#This Row],[Beginning Balance]]))),0)</f>
        <v>0</v>
      </c>
      <c r="H243" s="3">
        <f>MAX(0,IF(C243=$C$4,D243,ROUND(IF($C$3="Fixed Principal",$C$6-Table157810[[#This Row],[Interest]],IF($C$3="Interest Only",Table157810[[#This Row],[Beginning Balance]]*ROUND(1-(1-IF($C$11="No",$E$8,1))^(1/12),6),MIN(IF($C$13="Yes",Table157810[[#This Row],[Payment Amount (Reamortized)]],$C$6)-Table157810[[#This Row],[Interest]],Table157810[[#This Row],[Beginning Balance]]))),2)))</f>
        <v>0</v>
      </c>
      <c r="I243" s="3">
        <f>_xlfn.SINGLE(IF($C$3="Line of Credit",0,ROUND(MAX(MIN(IF($C$10="No",$E$7,VLOOKUP(Table157810[[#This Row],[Period]],Forecast!$H$2:$L$1048576,4,FALSE))*Table157810[[#This Row],[Beginning Balance]],Table157810[[#This Row],[Beginning Balance]]-Table157810[[#This Row],[Principal]]),0),2)))</f>
        <v>0</v>
      </c>
      <c r="J243" s="3">
        <f>ROUND(MIN(Table157810[[#This Row],[Beginning Balance]]*IF($C$8="No",$E$3,VLOOKUP(Table157810[[#This Row],[Period]],Forecast!$H$2:$L$1048576,2,FALSE)),Table157810[[#This Row],[Beginning Balance]]-Table157810[[#This Row],[Principal]]-Table157810[[#This Row],[Prepayments]]),2)</f>
        <v>0</v>
      </c>
      <c r="K243" s="3">
        <f>ROUND(Table157810[[#This Row],[Defaulted Principal]]*IF($C$9="No",$E$4,VLOOKUP(Table157810[[#This Row],[Period]],Forecast!$H$2:$L$1048576,3,FALSE)),2)</f>
        <v>0</v>
      </c>
      <c r="L243" s="2">
        <f>Table157810[[#This Row],[Period]]+$E$9</f>
        <v>239</v>
      </c>
      <c r="M243" s="3">
        <f>Table157810[[#This Row],[Defaulted Principal]]-Table157810[[#This Row],[Estimated Loss]]</f>
        <v>0</v>
      </c>
      <c r="N243" s="3">
        <f>IFERROR(VLOOKUP(Table157810[[#This Row],[Period]],$L$16:$M$385,2,FALSE),0)</f>
        <v>0</v>
      </c>
      <c r="O243" s="3">
        <f>Table157810[[#This Row],[Beginning Balance]]-Table157810[[#This Row],[Principal]]-Table157810[[#This Row],[Prepayments]]-Table157810[[#This Row],[Defaulted Principal]]</f>
        <v>0</v>
      </c>
      <c r="P243" s="3">
        <f>Table157810[[#This Row],[Principal]]+Table157810[[#This Row],[Interest]]+Table157810[[#This Row],[Prepayments]]+Table157810[[#This Row],[RecoveredAmount]]</f>
        <v>0</v>
      </c>
      <c r="Q243" s="3">
        <f ca="1">ROUND(Table157810[[#This Row],[Cash Flow]]/((1+ActualRateToUse)^(IF(ISNUMBER(SEARCH("Actual",$C$7)),Table157810[[#This Row],[Running Total]]/365,Table157810[[#This Row],[Period]]/12))),2)</f>
        <v>0</v>
      </c>
      <c r="R243" s="2">
        <f>IF(MONTH(Table157810[[#This Row],[Date]])=2,28,DAY(DATE(YEAR(Table157810[[#This Row],[Date]]),MONTH(Table157810[[#This Row],[Date]])+1,1)-1))</f>
        <v>31</v>
      </c>
      <c r="S243" s="2">
        <f ca="1">SUM(OFFSET(Table157810[[#Headers],[Days in month]],1,0):Table157810[[#This Row],[Days in month]])</f>
        <v>6905</v>
      </c>
      <c r="T243" s="37">
        <f>InterestRate*AmortizationMultiplier*IF(ISNUMBER(SEARCH("Actual",$C$7)),Table157810[[#This Row],[Days in month]]/365,1/12)</f>
        <v>5.9839472222222214E-3</v>
      </c>
    </row>
    <row r="244" spans="2:20" x14ac:dyDescent="0.2">
      <c r="B244" s="1">
        <f t="shared" si="10"/>
        <v>52778</v>
      </c>
      <c r="C244" s="2">
        <f t="shared" si="12"/>
        <v>228</v>
      </c>
      <c r="D244" s="3">
        <f t="shared" si="11"/>
        <v>0</v>
      </c>
      <c r="E244" s="3">
        <f>ROUND(Table157810[[#This Row],[Beginning Balance]]*Table157810[[#This Row],[Monthly Interest Rate]],2)</f>
        <v>0</v>
      </c>
      <c r="F244" s="3">
        <f t="shared" si="13"/>
        <v>614</v>
      </c>
      <c r="G244" s="23">
        <f>IFERROR(IF($C$13="No","N/A",IF(Table157810[[#This Row],[Period]]=1,$C$6,PMT(InterestRate*AmortizationMultiplier/12,Table157810[[#This Row],[Am Thru]],-Table157810[[#This Row],[Beginning Balance]]))),0)</f>
        <v>0</v>
      </c>
      <c r="H244" s="3">
        <f>MAX(0,IF(C244=$C$4,D244,ROUND(IF($C$3="Fixed Principal",$C$6-Table157810[[#This Row],[Interest]],IF($C$3="Interest Only",Table157810[[#This Row],[Beginning Balance]]*ROUND(1-(1-IF($C$11="No",$E$8,1))^(1/12),6),MIN(IF($C$13="Yes",Table157810[[#This Row],[Payment Amount (Reamortized)]],$C$6)-Table157810[[#This Row],[Interest]],Table157810[[#This Row],[Beginning Balance]]))),2)))</f>
        <v>0</v>
      </c>
      <c r="I244" s="3">
        <f>_xlfn.SINGLE(IF($C$3="Line of Credit",0,ROUND(MAX(MIN(IF($C$10="No",$E$7,VLOOKUP(Table157810[[#This Row],[Period]],Forecast!$H$2:$L$1048576,4,FALSE))*Table157810[[#This Row],[Beginning Balance]],Table157810[[#This Row],[Beginning Balance]]-Table157810[[#This Row],[Principal]]),0),2)))</f>
        <v>0</v>
      </c>
      <c r="J244" s="3">
        <f>ROUND(MIN(Table157810[[#This Row],[Beginning Balance]]*IF($C$8="No",$E$3,VLOOKUP(Table157810[[#This Row],[Period]],Forecast!$H$2:$L$1048576,2,FALSE)),Table157810[[#This Row],[Beginning Balance]]-Table157810[[#This Row],[Principal]]-Table157810[[#This Row],[Prepayments]]),2)</f>
        <v>0</v>
      </c>
      <c r="K244" s="3">
        <f>ROUND(Table157810[[#This Row],[Defaulted Principal]]*IF($C$9="No",$E$4,VLOOKUP(Table157810[[#This Row],[Period]],Forecast!$H$2:$L$1048576,3,FALSE)),2)</f>
        <v>0</v>
      </c>
      <c r="L244" s="2">
        <f>Table157810[[#This Row],[Period]]+$E$9</f>
        <v>240</v>
      </c>
      <c r="M244" s="3">
        <f>Table157810[[#This Row],[Defaulted Principal]]-Table157810[[#This Row],[Estimated Loss]]</f>
        <v>0</v>
      </c>
      <c r="N244" s="3">
        <f>IFERROR(VLOOKUP(Table157810[[#This Row],[Period]],$L$16:$M$385,2,FALSE),0)</f>
        <v>0</v>
      </c>
      <c r="O244" s="3">
        <f>Table157810[[#This Row],[Beginning Balance]]-Table157810[[#This Row],[Principal]]-Table157810[[#This Row],[Prepayments]]-Table157810[[#This Row],[Defaulted Principal]]</f>
        <v>0</v>
      </c>
      <c r="P244" s="3">
        <f>Table157810[[#This Row],[Principal]]+Table157810[[#This Row],[Interest]]+Table157810[[#This Row],[Prepayments]]+Table157810[[#This Row],[RecoveredAmount]]</f>
        <v>0</v>
      </c>
      <c r="Q244" s="3">
        <f ca="1">ROUND(Table157810[[#This Row],[Cash Flow]]/((1+ActualRateToUse)^(IF(ISNUMBER(SEARCH("Actual",$C$7)),Table157810[[#This Row],[Running Total]]/365,Table157810[[#This Row],[Period]]/12))),2)</f>
        <v>0</v>
      </c>
      <c r="R244" s="2">
        <f>IF(MONTH(Table157810[[#This Row],[Date]])=2,28,DAY(DATE(YEAR(Table157810[[#This Row],[Date]]),MONTH(Table157810[[#This Row],[Date]])+1,1)-1))</f>
        <v>30</v>
      </c>
      <c r="S244" s="2">
        <f ca="1">SUM(OFFSET(Table157810[[#Headers],[Days in month]],1,0):Table157810[[#This Row],[Days in month]])</f>
        <v>6935</v>
      </c>
      <c r="T244" s="37">
        <f>InterestRate*AmortizationMultiplier*IF(ISNUMBER(SEARCH("Actual",$C$7)),Table157810[[#This Row],[Days in month]]/365,1/12)</f>
        <v>5.7909166666666656E-3</v>
      </c>
    </row>
    <row r="245" spans="2:20" x14ac:dyDescent="0.2">
      <c r="B245" s="1">
        <f t="shared" si="10"/>
        <v>52809</v>
      </c>
      <c r="C245" s="2">
        <f t="shared" si="12"/>
        <v>229</v>
      </c>
      <c r="D245" s="3">
        <f t="shared" si="11"/>
        <v>0</v>
      </c>
      <c r="E245" s="3">
        <f>ROUND(Table157810[[#This Row],[Beginning Balance]]*Table157810[[#This Row],[Monthly Interest Rate]],2)</f>
        <v>0</v>
      </c>
      <c r="F245" s="3">
        <f t="shared" si="13"/>
        <v>613</v>
      </c>
      <c r="G245" s="23">
        <f>IFERROR(IF($C$13="No","N/A",IF(Table157810[[#This Row],[Period]]=1,$C$6,PMT(InterestRate*AmortizationMultiplier/12,Table157810[[#This Row],[Am Thru]],-Table157810[[#This Row],[Beginning Balance]]))),0)</f>
        <v>0</v>
      </c>
      <c r="H245" s="3">
        <f>MAX(0,IF(C245=$C$4,D245,ROUND(IF($C$3="Fixed Principal",$C$6-Table157810[[#This Row],[Interest]],IF($C$3="Interest Only",Table157810[[#This Row],[Beginning Balance]]*ROUND(1-(1-IF($C$11="No",$E$8,1))^(1/12),6),MIN(IF($C$13="Yes",Table157810[[#This Row],[Payment Amount (Reamortized)]],$C$6)-Table157810[[#This Row],[Interest]],Table157810[[#This Row],[Beginning Balance]]))),2)))</f>
        <v>0</v>
      </c>
      <c r="I245" s="3">
        <f>_xlfn.SINGLE(IF($C$3="Line of Credit",0,ROUND(MAX(MIN(IF($C$10="No",$E$7,VLOOKUP(Table157810[[#This Row],[Period]],Forecast!$H$2:$L$1048576,4,FALSE))*Table157810[[#This Row],[Beginning Balance]],Table157810[[#This Row],[Beginning Balance]]-Table157810[[#This Row],[Principal]]),0),2)))</f>
        <v>0</v>
      </c>
      <c r="J245" s="3">
        <f>ROUND(MIN(Table157810[[#This Row],[Beginning Balance]]*IF($C$8="No",$E$3,VLOOKUP(Table157810[[#This Row],[Period]],Forecast!$H$2:$L$1048576,2,FALSE)),Table157810[[#This Row],[Beginning Balance]]-Table157810[[#This Row],[Principal]]-Table157810[[#This Row],[Prepayments]]),2)</f>
        <v>0</v>
      </c>
      <c r="K245" s="3">
        <f>ROUND(Table157810[[#This Row],[Defaulted Principal]]*IF($C$9="No",$E$4,VLOOKUP(Table157810[[#This Row],[Period]],Forecast!$H$2:$L$1048576,3,FALSE)),2)</f>
        <v>0</v>
      </c>
      <c r="L245" s="2">
        <f>Table157810[[#This Row],[Period]]+$E$9</f>
        <v>241</v>
      </c>
      <c r="M245" s="3">
        <f>Table157810[[#This Row],[Defaulted Principal]]-Table157810[[#This Row],[Estimated Loss]]</f>
        <v>0</v>
      </c>
      <c r="N245" s="3">
        <f>IFERROR(VLOOKUP(Table157810[[#This Row],[Period]],$L$16:$M$385,2,FALSE),0)</f>
        <v>0</v>
      </c>
      <c r="O245" s="3">
        <f>Table157810[[#This Row],[Beginning Balance]]-Table157810[[#This Row],[Principal]]-Table157810[[#This Row],[Prepayments]]-Table157810[[#This Row],[Defaulted Principal]]</f>
        <v>0</v>
      </c>
      <c r="P245" s="3">
        <f>Table157810[[#This Row],[Principal]]+Table157810[[#This Row],[Interest]]+Table157810[[#This Row],[Prepayments]]+Table157810[[#This Row],[RecoveredAmount]]</f>
        <v>0</v>
      </c>
      <c r="Q245" s="3">
        <f ca="1">ROUND(Table157810[[#This Row],[Cash Flow]]/((1+ActualRateToUse)^(IF(ISNUMBER(SEARCH("Actual",$C$7)),Table157810[[#This Row],[Running Total]]/365,Table157810[[#This Row],[Period]]/12))),2)</f>
        <v>0</v>
      </c>
      <c r="R245" s="2">
        <f>IF(MONTH(Table157810[[#This Row],[Date]])=2,28,DAY(DATE(YEAR(Table157810[[#This Row],[Date]]),MONTH(Table157810[[#This Row],[Date]])+1,1)-1))</f>
        <v>31</v>
      </c>
      <c r="S245" s="2">
        <f ca="1">SUM(OFFSET(Table157810[[#Headers],[Days in month]],1,0):Table157810[[#This Row],[Days in month]])</f>
        <v>6966</v>
      </c>
      <c r="T245" s="37">
        <f>InterestRate*AmortizationMultiplier*IF(ISNUMBER(SEARCH("Actual",$C$7)),Table157810[[#This Row],[Days in month]]/365,1/12)</f>
        <v>5.9839472222222214E-3</v>
      </c>
    </row>
    <row r="246" spans="2:20" x14ac:dyDescent="0.2">
      <c r="B246" s="1">
        <f t="shared" si="10"/>
        <v>52840</v>
      </c>
      <c r="C246" s="2">
        <f t="shared" si="12"/>
        <v>230</v>
      </c>
      <c r="D246" s="3">
        <f t="shared" si="11"/>
        <v>0</v>
      </c>
      <c r="E246" s="3">
        <f>ROUND(Table157810[[#This Row],[Beginning Balance]]*Table157810[[#This Row],[Monthly Interest Rate]],2)</f>
        <v>0</v>
      </c>
      <c r="F246" s="3">
        <f t="shared" si="13"/>
        <v>612</v>
      </c>
      <c r="G246" s="23">
        <f>IFERROR(IF($C$13="No","N/A",IF(Table157810[[#This Row],[Period]]=1,$C$6,PMT(InterestRate*AmortizationMultiplier/12,Table157810[[#This Row],[Am Thru]],-Table157810[[#This Row],[Beginning Balance]]))),0)</f>
        <v>0</v>
      </c>
      <c r="H246" s="3">
        <f>MAX(0,IF(C246=$C$4,D246,ROUND(IF($C$3="Fixed Principal",$C$6-Table157810[[#This Row],[Interest]],IF($C$3="Interest Only",Table157810[[#This Row],[Beginning Balance]]*ROUND(1-(1-IF($C$11="No",$E$8,1))^(1/12),6),MIN(IF($C$13="Yes",Table157810[[#This Row],[Payment Amount (Reamortized)]],$C$6)-Table157810[[#This Row],[Interest]],Table157810[[#This Row],[Beginning Balance]]))),2)))</f>
        <v>0</v>
      </c>
      <c r="I246" s="3">
        <f>_xlfn.SINGLE(IF($C$3="Line of Credit",0,ROUND(MAX(MIN(IF($C$10="No",$E$7,VLOOKUP(Table157810[[#This Row],[Period]],Forecast!$H$2:$L$1048576,4,FALSE))*Table157810[[#This Row],[Beginning Balance]],Table157810[[#This Row],[Beginning Balance]]-Table157810[[#This Row],[Principal]]),0),2)))</f>
        <v>0</v>
      </c>
      <c r="J246" s="3">
        <f>ROUND(MIN(Table157810[[#This Row],[Beginning Balance]]*IF($C$8="No",$E$3,VLOOKUP(Table157810[[#This Row],[Period]],Forecast!$H$2:$L$1048576,2,FALSE)),Table157810[[#This Row],[Beginning Balance]]-Table157810[[#This Row],[Principal]]-Table157810[[#This Row],[Prepayments]]),2)</f>
        <v>0</v>
      </c>
      <c r="K246" s="3">
        <f>ROUND(Table157810[[#This Row],[Defaulted Principal]]*IF($C$9="No",$E$4,VLOOKUP(Table157810[[#This Row],[Period]],Forecast!$H$2:$L$1048576,3,FALSE)),2)</f>
        <v>0</v>
      </c>
      <c r="L246" s="2">
        <f>Table157810[[#This Row],[Period]]+$E$9</f>
        <v>242</v>
      </c>
      <c r="M246" s="3">
        <f>Table157810[[#This Row],[Defaulted Principal]]-Table157810[[#This Row],[Estimated Loss]]</f>
        <v>0</v>
      </c>
      <c r="N246" s="3">
        <f>IFERROR(VLOOKUP(Table157810[[#This Row],[Period]],$L$16:$M$385,2,FALSE),0)</f>
        <v>0</v>
      </c>
      <c r="O246" s="3">
        <f>Table157810[[#This Row],[Beginning Balance]]-Table157810[[#This Row],[Principal]]-Table157810[[#This Row],[Prepayments]]-Table157810[[#This Row],[Defaulted Principal]]</f>
        <v>0</v>
      </c>
      <c r="P246" s="3">
        <f>Table157810[[#This Row],[Principal]]+Table157810[[#This Row],[Interest]]+Table157810[[#This Row],[Prepayments]]+Table157810[[#This Row],[RecoveredAmount]]</f>
        <v>0</v>
      </c>
      <c r="Q246" s="3">
        <f ca="1">ROUND(Table157810[[#This Row],[Cash Flow]]/((1+ActualRateToUse)^(IF(ISNUMBER(SEARCH("Actual",$C$7)),Table157810[[#This Row],[Running Total]]/365,Table157810[[#This Row],[Period]]/12))),2)</f>
        <v>0</v>
      </c>
      <c r="R246" s="2">
        <f>IF(MONTH(Table157810[[#This Row],[Date]])=2,28,DAY(DATE(YEAR(Table157810[[#This Row],[Date]]),MONTH(Table157810[[#This Row],[Date]])+1,1)-1))</f>
        <v>31</v>
      </c>
      <c r="S246" s="2">
        <f ca="1">SUM(OFFSET(Table157810[[#Headers],[Days in month]],1,0):Table157810[[#This Row],[Days in month]])</f>
        <v>6997</v>
      </c>
      <c r="T246" s="37">
        <f>InterestRate*AmortizationMultiplier*IF(ISNUMBER(SEARCH("Actual",$C$7)),Table157810[[#This Row],[Days in month]]/365,1/12)</f>
        <v>5.9839472222222214E-3</v>
      </c>
    </row>
    <row r="247" spans="2:20" x14ac:dyDescent="0.2">
      <c r="B247" s="1">
        <f t="shared" si="10"/>
        <v>52870</v>
      </c>
      <c r="C247" s="2">
        <f t="shared" si="12"/>
        <v>231</v>
      </c>
      <c r="D247" s="3">
        <f t="shared" si="11"/>
        <v>0</v>
      </c>
      <c r="E247" s="3">
        <f>ROUND(Table157810[[#This Row],[Beginning Balance]]*Table157810[[#This Row],[Monthly Interest Rate]],2)</f>
        <v>0</v>
      </c>
      <c r="F247" s="3">
        <f t="shared" si="13"/>
        <v>611</v>
      </c>
      <c r="G247" s="23">
        <f>IFERROR(IF($C$13="No","N/A",IF(Table157810[[#This Row],[Period]]=1,$C$6,PMT(InterestRate*AmortizationMultiplier/12,Table157810[[#This Row],[Am Thru]],-Table157810[[#This Row],[Beginning Balance]]))),0)</f>
        <v>0</v>
      </c>
      <c r="H247" s="3">
        <f>MAX(0,IF(C247=$C$4,D247,ROUND(IF($C$3="Fixed Principal",$C$6-Table157810[[#This Row],[Interest]],IF($C$3="Interest Only",Table157810[[#This Row],[Beginning Balance]]*ROUND(1-(1-IF($C$11="No",$E$8,1))^(1/12),6),MIN(IF($C$13="Yes",Table157810[[#This Row],[Payment Amount (Reamortized)]],$C$6)-Table157810[[#This Row],[Interest]],Table157810[[#This Row],[Beginning Balance]]))),2)))</f>
        <v>0</v>
      </c>
      <c r="I247" s="3">
        <f>_xlfn.SINGLE(IF($C$3="Line of Credit",0,ROUND(MAX(MIN(IF($C$10="No",$E$7,VLOOKUP(Table157810[[#This Row],[Period]],Forecast!$H$2:$L$1048576,4,FALSE))*Table157810[[#This Row],[Beginning Balance]],Table157810[[#This Row],[Beginning Balance]]-Table157810[[#This Row],[Principal]]),0),2)))</f>
        <v>0</v>
      </c>
      <c r="J247" s="3">
        <f>ROUND(MIN(Table157810[[#This Row],[Beginning Balance]]*IF($C$8="No",$E$3,VLOOKUP(Table157810[[#This Row],[Period]],Forecast!$H$2:$L$1048576,2,FALSE)),Table157810[[#This Row],[Beginning Balance]]-Table157810[[#This Row],[Principal]]-Table157810[[#This Row],[Prepayments]]),2)</f>
        <v>0</v>
      </c>
      <c r="K247" s="3">
        <f>ROUND(Table157810[[#This Row],[Defaulted Principal]]*IF($C$9="No",$E$4,VLOOKUP(Table157810[[#This Row],[Period]],Forecast!$H$2:$L$1048576,3,FALSE)),2)</f>
        <v>0</v>
      </c>
      <c r="L247" s="2">
        <f>Table157810[[#This Row],[Period]]+$E$9</f>
        <v>243</v>
      </c>
      <c r="M247" s="3">
        <f>Table157810[[#This Row],[Defaulted Principal]]-Table157810[[#This Row],[Estimated Loss]]</f>
        <v>0</v>
      </c>
      <c r="N247" s="3">
        <f>IFERROR(VLOOKUP(Table157810[[#This Row],[Period]],$L$16:$M$385,2,FALSE),0)</f>
        <v>0</v>
      </c>
      <c r="O247" s="3">
        <f>Table157810[[#This Row],[Beginning Balance]]-Table157810[[#This Row],[Principal]]-Table157810[[#This Row],[Prepayments]]-Table157810[[#This Row],[Defaulted Principal]]</f>
        <v>0</v>
      </c>
      <c r="P247" s="3">
        <f>Table157810[[#This Row],[Principal]]+Table157810[[#This Row],[Interest]]+Table157810[[#This Row],[Prepayments]]+Table157810[[#This Row],[RecoveredAmount]]</f>
        <v>0</v>
      </c>
      <c r="Q247" s="3">
        <f ca="1">ROUND(Table157810[[#This Row],[Cash Flow]]/((1+ActualRateToUse)^(IF(ISNUMBER(SEARCH("Actual",$C$7)),Table157810[[#This Row],[Running Total]]/365,Table157810[[#This Row],[Period]]/12))),2)</f>
        <v>0</v>
      </c>
      <c r="R247" s="2">
        <f>IF(MONTH(Table157810[[#This Row],[Date]])=2,28,DAY(DATE(YEAR(Table157810[[#This Row],[Date]]),MONTH(Table157810[[#This Row],[Date]])+1,1)-1))</f>
        <v>30</v>
      </c>
      <c r="S247" s="2">
        <f ca="1">SUM(OFFSET(Table157810[[#Headers],[Days in month]],1,0):Table157810[[#This Row],[Days in month]])</f>
        <v>7027</v>
      </c>
      <c r="T247" s="37">
        <f>InterestRate*AmortizationMultiplier*IF(ISNUMBER(SEARCH("Actual",$C$7)),Table157810[[#This Row],[Days in month]]/365,1/12)</f>
        <v>5.7909166666666656E-3</v>
      </c>
    </row>
    <row r="248" spans="2:20" x14ac:dyDescent="0.2">
      <c r="B248" s="1">
        <f t="shared" si="10"/>
        <v>52901</v>
      </c>
      <c r="C248" s="2">
        <f t="shared" si="12"/>
        <v>232</v>
      </c>
      <c r="D248" s="3">
        <f t="shared" si="11"/>
        <v>0</v>
      </c>
      <c r="E248" s="3">
        <f>ROUND(Table157810[[#This Row],[Beginning Balance]]*Table157810[[#This Row],[Monthly Interest Rate]],2)</f>
        <v>0</v>
      </c>
      <c r="F248" s="3">
        <f t="shared" si="13"/>
        <v>610</v>
      </c>
      <c r="G248" s="23">
        <f>IFERROR(IF($C$13="No","N/A",IF(Table157810[[#This Row],[Period]]=1,$C$6,PMT(InterestRate*AmortizationMultiplier/12,Table157810[[#This Row],[Am Thru]],-Table157810[[#This Row],[Beginning Balance]]))),0)</f>
        <v>0</v>
      </c>
      <c r="H248" s="3">
        <f>MAX(0,IF(C248=$C$4,D248,ROUND(IF($C$3="Fixed Principal",$C$6-Table157810[[#This Row],[Interest]],IF($C$3="Interest Only",Table157810[[#This Row],[Beginning Balance]]*ROUND(1-(1-IF($C$11="No",$E$8,1))^(1/12),6),MIN(IF($C$13="Yes",Table157810[[#This Row],[Payment Amount (Reamortized)]],$C$6)-Table157810[[#This Row],[Interest]],Table157810[[#This Row],[Beginning Balance]]))),2)))</f>
        <v>0</v>
      </c>
      <c r="I248" s="3">
        <f>_xlfn.SINGLE(IF($C$3="Line of Credit",0,ROUND(MAX(MIN(IF($C$10="No",$E$7,VLOOKUP(Table157810[[#This Row],[Period]],Forecast!$H$2:$L$1048576,4,FALSE))*Table157810[[#This Row],[Beginning Balance]],Table157810[[#This Row],[Beginning Balance]]-Table157810[[#This Row],[Principal]]),0),2)))</f>
        <v>0</v>
      </c>
      <c r="J248" s="3">
        <f>ROUND(MIN(Table157810[[#This Row],[Beginning Balance]]*IF($C$8="No",$E$3,VLOOKUP(Table157810[[#This Row],[Period]],Forecast!$H$2:$L$1048576,2,FALSE)),Table157810[[#This Row],[Beginning Balance]]-Table157810[[#This Row],[Principal]]-Table157810[[#This Row],[Prepayments]]),2)</f>
        <v>0</v>
      </c>
      <c r="K248" s="3">
        <f>ROUND(Table157810[[#This Row],[Defaulted Principal]]*IF($C$9="No",$E$4,VLOOKUP(Table157810[[#This Row],[Period]],Forecast!$H$2:$L$1048576,3,FALSE)),2)</f>
        <v>0</v>
      </c>
      <c r="L248" s="2">
        <f>Table157810[[#This Row],[Period]]+$E$9</f>
        <v>244</v>
      </c>
      <c r="M248" s="3">
        <f>Table157810[[#This Row],[Defaulted Principal]]-Table157810[[#This Row],[Estimated Loss]]</f>
        <v>0</v>
      </c>
      <c r="N248" s="3">
        <f>IFERROR(VLOOKUP(Table157810[[#This Row],[Period]],$L$16:$M$385,2,FALSE),0)</f>
        <v>0</v>
      </c>
      <c r="O248" s="3">
        <f>Table157810[[#This Row],[Beginning Balance]]-Table157810[[#This Row],[Principal]]-Table157810[[#This Row],[Prepayments]]-Table157810[[#This Row],[Defaulted Principal]]</f>
        <v>0</v>
      </c>
      <c r="P248" s="3">
        <f>Table157810[[#This Row],[Principal]]+Table157810[[#This Row],[Interest]]+Table157810[[#This Row],[Prepayments]]+Table157810[[#This Row],[RecoveredAmount]]</f>
        <v>0</v>
      </c>
      <c r="Q248" s="3">
        <f ca="1">ROUND(Table157810[[#This Row],[Cash Flow]]/((1+ActualRateToUse)^(IF(ISNUMBER(SEARCH("Actual",$C$7)),Table157810[[#This Row],[Running Total]]/365,Table157810[[#This Row],[Period]]/12))),2)</f>
        <v>0</v>
      </c>
      <c r="R248" s="2">
        <f>IF(MONTH(Table157810[[#This Row],[Date]])=2,28,DAY(DATE(YEAR(Table157810[[#This Row],[Date]]),MONTH(Table157810[[#This Row],[Date]])+1,1)-1))</f>
        <v>31</v>
      </c>
      <c r="S248" s="2">
        <f ca="1">SUM(OFFSET(Table157810[[#Headers],[Days in month]],1,0):Table157810[[#This Row],[Days in month]])</f>
        <v>7058</v>
      </c>
      <c r="T248" s="37">
        <f>InterestRate*AmortizationMultiplier*IF(ISNUMBER(SEARCH("Actual",$C$7)),Table157810[[#This Row],[Days in month]]/365,1/12)</f>
        <v>5.9839472222222214E-3</v>
      </c>
    </row>
    <row r="249" spans="2:20" x14ac:dyDescent="0.2">
      <c r="B249" s="1">
        <f t="shared" si="10"/>
        <v>52931</v>
      </c>
      <c r="C249" s="2">
        <f t="shared" si="12"/>
        <v>233</v>
      </c>
      <c r="D249" s="3">
        <f t="shared" si="11"/>
        <v>0</v>
      </c>
      <c r="E249" s="3">
        <f>ROUND(Table157810[[#This Row],[Beginning Balance]]*Table157810[[#This Row],[Monthly Interest Rate]],2)</f>
        <v>0</v>
      </c>
      <c r="F249" s="3">
        <f t="shared" si="13"/>
        <v>609</v>
      </c>
      <c r="G249" s="23">
        <f>IFERROR(IF($C$13="No","N/A",IF(Table157810[[#This Row],[Period]]=1,$C$6,PMT(InterestRate*AmortizationMultiplier/12,Table157810[[#This Row],[Am Thru]],-Table157810[[#This Row],[Beginning Balance]]))),0)</f>
        <v>0</v>
      </c>
      <c r="H249" s="3">
        <f>MAX(0,IF(C249=$C$4,D249,ROUND(IF($C$3="Fixed Principal",$C$6-Table157810[[#This Row],[Interest]],IF($C$3="Interest Only",Table157810[[#This Row],[Beginning Balance]]*ROUND(1-(1-IF($C$11="No",$E$8,1))^(1/12),6),MIN(IF($C$13="Yes",Table157810[[#This Row],[Payment Amount (Reamortized)]],$C$6)-Table157810[[#This Row],[Interest]],Table157810[[#This Row],[Beginning Balance]]))),2)))</f>
        <v>0</v>
      </c>
      <c r="I249" s="3">
        <f>_xlfn.SINGLE(IF($C$3="Line of Credit",0,ROUND(MAX(MIN(IF($C$10="No",$E$7,VLOOKUP(Table157810[[#This Row],[Period]],Forecast!$H$2:$L$1048576,4,FALSE))*Table157810[[#This Row],[Beginning Balance]],Table157810[[#This Row],[Beginning Balance]]-Table157810[[#This Row],[Principal]]),0),2)))</f>
        <v>0</v>
      </c>
      <c r="J249" s="3">
        <f>ROUND(MIN(Table157810[[#This Row],[Beginning Balance]]*IF($C$8="No",$E$3,VLOOKUP(Table157810[[#This Row],[Period]],Forecast!$H$2:$L$1048576,2,FALSE)),Table157810[[#This Row],[Beginning Balance]]-Table157810[[#This Row],[Principal]]-Table157810[[#This Row],[Prepayments]]),2)</f>
        <v>0</v>
      </c>
      <c r="K249" s="3">
        <f>ROUND(Table157810[[#This Row],[Defaulted Principal]]*IF($C$9="No",$E$4,VLOOKUP(Table157810[[#This Row],[Period]],Forecast!$H$2:$L$1048576,3,FALSE)),2)</f>
        <v>0</v>
      </c>
      <c r="L249" s="2">
        <f>Table157810[[#This Row],[Period]]+$E$9</f>
        <v>245</v>
      </c>
      <c r="M249" s="3">
        <f>Table157810[[#This Row],[Defaulted Principal]]-Table157810[[#This Row],[Estimated Loss]]</f>
        <v>0</v>
      </c>
      <c r="N249" s="3">
        <f>IFERROR(VLOOKUP(Table157810[[#This Row],[Period]],$L$16:$M$385,2,FALSE),0)</f>
        <v>0</v>
      </c>
      <c r="O249" s="3">
        <f>Table157810[[#This Row],[Beginning Balance]]-Table157810[[#This Row],[Principal]]-Table157810[[#This Row],[Prepayments]]-Table157810[[#This Row],[Defaulted Principal]]</f>
        <v>0</v>
      </c>
      <c r="P249" s="3">
        <f>Table157810[[#This Row],[Principal]]+Table157810[[#This Row],[Interest]]+Table157810[[#This Row],[Prepayments]]+Table157810[[#This Row],[RecoveredAmount]]</f>
        <v>0</v>
      </c>
      <c r="Q249" s="3">
        <f ca="1">ROUND(Table157810[[#This Row],[Cash Flow]]/((1+ActualRateToUse)^(IF(ISNUMBER(SEARCH("Actual",$C$7)),Table157810[[#This Row],[Running Total]]/365,Table157810[[#This Row],[Period]]/12))),2)</f>
        <v>0</v>
      </c>
      <c r="R249" s="2">
        <f>IF(MONTH(Table157810[[#This Row],[Date]])=2,28,DAY(DATE(YEAR(Table157810[[#This Row],[Date]]),MONTH(Table157810[[#This Row],[Date]])+1,1)-1))</f>
        <v>30</v>
      </c>
      <c r="S249" s="2">
        <f ca="1">SUM(OFFSET(Table157810[[#Headers],[Days in month]],1,0):Table157810[[#This Row],[Days in month]])</f>
        <v>7088</v>
      </c>
      <c r="T249" s="37">
        <f>InterestRate*AmortizationMultiplier*IF(ISNUMBER(SEARCH("Actual",$C$7)),Table157810[[#This Row],[Days in month]]/365,1/12)</f>
        <v>5.7909166666666656E-3</v>
      </c>
    </row>
    <row r="250" spans="2:20" x14ac:dyDescent="0.2">
      <c r="B250" s="1">
        <f t="shared" si="10"/>
        <v>52962</v>
      </c>
      <c r="C250" s="2">
        <f t="shared" si="12"/>
        <v>234</v>
      </c>
      <c r="D250" s="3">
        <f t="shared" si="11"/>
        <v>0</v>
      </c>
      <c r="E250" s="3">
        <f>ROUND(Table157810[[#This Row],[Beginning Balance]]*Table157810[[#This Row],[Monthly Interest Rate]],2)</f>
        <v>0</v>
      </c>
      <c r="F250" s="3">
        <f t="shared" si="13"/>
        <v>608</v>
      </c>
      <c r="G250" s="23">
        <f>IFERROR(IF($C$13="No","N/A",IF(Table157810[[#This Row],[Period]]=1,$C$6,PMT(InterestRate*AmortizationMultiplier/12,Table157810[[#This Row],[Am Thru]],-Table157810[[#This Row],[Beginning Balance]]))),0)</f>
        <v>0</v>
      </c>
      <c r="H250" s="3">
        <f>MAX(0,IF(C250=$C$4,D250,ROUND(IF($C$3="Fixed Principal",$C$6-Table157810[[#This Row],[Interest]],IF($C$3="Interest Only",Table157810[[#This Row],[Beginning Balance]]*ROUND(1-(1-IF($C$11="No",$E$8,1))^(1/12),6),MIN(IF($C$13="Yes",Table157810[[#This Row],[Payment Amount (Reamortized)]],$C$6)-Table157810[[#This Row],[Interest]],Table157810[[#This Row],[Beginning Balance]]))),2)))</f>
        <v>0</v>
      </c>
      <c r="I250" s="3">
        <f>_xlfn.SINGLE(IF($C$3="Line of Credit",0,ROUND(MAX(MIN(IF($C$10="No",$E$7,VLOOKUP(Table157810[[#This Row],[Period]],Forecast!$H$2:$L$1048576,4,FALSE))*Table157810[[#This Row],[Beginning Balance]],Table157810[[#This Row],[Beginning Balance]]-Table157810[[#This Row],[Principal]]),0),2)))</f>
        <v>0</v>
      </c>
      <c r="J250" s="3">
        <f>ROUND(MIN(Table157810[[#This Row],[Beginning Balance]]*IF($C$8="No",$E$3,VLOOKUP(Table157810[[#This Row],[Period]],Forecast!$H$2:$L$1048576,2,FALSE)),Table157810[[#This Row],[Beginning Balance]]-Table157810[[#This Row],[Principal]]-Table157810[[#This Row],[Prepayments]]),2)</f>
        <v>0</v>
      </c>
      <c r="K250" s="3">
        <f>ROUND(Table157810[[#This Row],[Defaulted Principal]]*IF($C$9="No",$E$4,VLOOKUP(Table157810[[#This Row],[Period]],Forecast!$H$2:$L$1048576,3,FALSE)),2)</f>
        <v>0</v>
      </c>
      <c r="L250" s="2">
        <f>Table157810[[#This Row],[Period]]+$E$9</f>
        <v>246</v>
      </c>
      <c r="M250" s="3">
        <f>Table157810[[#This Row],[Defaulted Principal]]-Table157810[[#This Row],[Estimated Loss]]</f>
        <v>0</v>
      </c>
      <c r="N250" s="3">
        <f>IFERROR(VLOOKUP(Table157810[[#This Row],[Period]],$L$16:$M$385,2,FALSE),0)</f>
        <v>0</v>
      </c>
      <c r="O250" s="3">
        <f>Table157810[[#This Row],[Beginning Balance]]-Table157810[[#This Row],[Principal]]-Table157810[[#This Row],[Prepayments]]-Table157810[[#This Row],[Defaulted Principal]]</f>
        <v>0</v>
      </c>
      <c r="P250" s="3">
        <f>Table157810[[#This Row],[Principal]]+Table157810[[#This Row],[Interest]]+Table157810[[#This Row],[Prepayments]]+Table157810[[#This Row],[RecoveredAmount]]</f>
        <v>0</v>
      </c>
      <c r="Q250" s="3">
        <f ca="1">ROUND(Table157810[[#This Row],[Cash Flow]]/((1+ActualRateToUse)^(IF(ISNUMBER(SEARCH("Actual",$C$7)),Table157810[[#This Row],[Running Total]]/365,Table157810[[#This Row],[Period]]/12))),2)</f>
        <v>0</v>
      </c>
      <c r="R250" s="2">
        <f>IF(MONTH(Table157810[[#This Row],[Date]])=2,28,DAY(DATE(YEAR(Table157810[[#This Row],[Date]]),MONTH(Table157810[[#This Row],[Date]])+1,1)-1))</f>
        <v>31</v>
      </c>
      <c r="S250" s="2">
        <f ca="1">SUM(OFFSET(Table157810[[#Headers],[Days in month]],1,0):Table157810[[#This Row],[Days in month]])</f>
        <v>7119</v>
      </c>
      <c r="T250" s="37">
        <f>InterestRate*AmortizationMultiplier*IF(ISNUMBER(SEARCH("Actual",$C$7)),Table157810[[#This Row],[Days in month]]/365,1/12)</f>
        <v>5.9839472222222214E-3</v>
      </c>
    </row>
    <row r="251" spans="2:20" x14ac:dyDescent="0.2">
      <c r="B251" s="1">
        <f t="shared" si="10"/>
        <v>52993</v>
      </c>
      <c r="C251" s="2">
        <f t="shared" si="12"/>
        <v>235</v>
      </c>
      <c r="D251" s="3">
        <f t="shared" si="11"/>
        <v>0</v>
      </c>
      <c r="E251" s="3">
        <f>ROUND(Table157810[[#This Row],[Beginning Balance]]*Table157810[[#This Row],[Monthly Interest Rate]],2)</f>
        <v>0</v>
      </c>
      <c r="F251" s="3">
        <f t="shared" si="13"/>
        <v>607</v>
      </c>
      <c r="G251" s="23">
        <f>IFERROR(IF($C$13="No","N/A",IF(Table157810[[#This Row],[Period]]=1,$C$6,PMT(InterestRate*AmortizationMultiplier/12,Table157810[[#This Row],[Am Thru]],-Table157810[[#This Row],[Beginning Balance]]))),0)</f>
        <v>0</v>
      </c>
      <c r="H251" s="3">
        <f>MAX(0,IF(C251=$C$4,D251,ROUND(IF($C$3="Fixed Principal",$C$6-Table157810[[#This Row],[Interest]],IF($C$3="Interest Only",Table157810[[#This Row],[Beginning Balance]]*ROUND(1-(1-IF($C$11="No",$E$8,1))^(1/12),6),MIN(IF($C$13="Yes",Table157810[[#This Row],[Payment Amount (Reamortized)]],$C$6)-Table157810[[#This Row],[Interest]],Table157810[[#This Row],[Beginning Balance]]))),2)))</f>
        <v>0</v>
      </c>
      <c r="I251" s="3">
        <f>_xlfn.SINGLE(IF($C$3="Line of Credit",0,ROUND(MAX(MIN(IF($C$10="No",$E$7,VLOOKUP(Table157810[[#This Row],[Period]],Forecast!$H$2:$L$1048576,4,FALSE))*Table157810[[#This Row],[Beginning Balance]],Table157810[[#This Row],[Beginning Balance]]-Table157810[[#This Row],[Principal]]),0),2)))</f>
        <v>0</v>
      </c>
      <c r="J251" s="3">
        <f>ROUND(MIN(Table157810[[#This Row],[Beginning Balance]]*IF($C$8="No",$E$3,VLOOKUP(Table157810[[#This Row],[Period]],Forecast!$H$2:$L$1048576,2,FALSE)),Table157810[[#This Row],[Beginning Balance]]-Table157810[[#This Row],[Principal]]-Table157810[[#This Row],[Prepayments]]),2)</f>
        <v>0</v>
      </c>
      <c r="K251" s="3">
        <f>ROUND(Table157810[[#This Row],[Defaulted Principal]]*IF($C$9="No",$E$4,VLOOKUP(Table157810[[#This Row],[Period]],Forecast!$H$2:$L$1048576,3,FALSE)),2)</f>
        <v>0</v>
      </c>
      <c r="L251" s="2">
        <f>Table157810[[#This Row],[Period]]+$E$9</f>
        <v>247</v>
      </c>
      <c r="M251" s="3">
        <f>Table157810[[#This Row],[Defaulted Principal]]-Table157810[[#This Row],[Estimated Loss]]</f>
        <v>0</v>
      </c>
      <c r="N251" s="3">
        <f>IFERROR(VLOOKUP(Table157810[[#This Row],[Period]],$L$16:$M$385,2,FALSE),0)</f>
        <v>0</v>
      </c>
      <c r="O251" s="3">
        <f>Table157810[[#This Row],[Beginning Balance]]-Table157810[[#This Row],[Principal]]-Table157810[[#This Row],[Prepayments]]-Table157810[[#This Row],[Defaulted Principal]]</f>
        <v>0</v>
      </c>
      <c r="P251" s="3">
        <f>Table157810[[#This Row],[Principal]]+Table157810[[#This Row],[Interest]]+Table157810[[#This Row],[Prepayments]]+Table157810[[#This Row],[RecoveredAmount]]</f>
        <v>0</v>
      </c>
      <c r="Q251" s="3">
        <f ca="1">ROUND(Table157810[[#This Row],[Cash Flow]]/((1+ActualRateToUse)^(IF(ISNUMBER(SEARCH("Actual",$C$7)),Table157810[[#This Row],[Running Total]]/365,Table157810[[#This Row],[Period]]/12))),2)</f>
        <v>0</v>
      </c>
      <c r="R251" s="2">
        <f>IF(MONTH(Table157810[[#This Row],[Date]])=2,28,DAY(DATE(YEAR(Table157810[[#This Row],[Date]]),MONTH(Table157810[[#This Row],[Date]])+1,1)-1))</f>
        <v>31</v>
      </c>
      <c r="S251" s="2">
        <f ca="1">SUM(OFFSET(Table157810[[#Headers],[Days in month]],1,0):Table157810[[#This Row],[Days in month]])</f>
        <v>7150</v>
      </c>
      <c r="T251" s="37">
        <f>InterestRate*AmortizationMultiplier*IF(ISNUMBER(SEARCH("Actual",$C$7)),Table157810[[#This Row],[Days in month]]/365,1/12)</f>
        <v>5.9839472222222214E-3</v>
      </c>
    </row>
    <row r="252" spans="2:20" x14ac:dyDescent="0.2">
      <c r="B252" s="1">
        <f t="shared" si="10"/>
        <v>53021</v>
      </c>
      <c r="C252" s="2">
        <f t="shared" si="12"/>
        <v>236</v>
      </c>
      <c r="D252" s="3">
        <f t="shared" si="11"/>
        <v>0</v>
      </c>
      <c r="E252" s="3">
        <f>ROUND(Table157810[[#This Row],[Beginning Balance]]*Table157810[[#This Row],[Monthly Interest Rate]],2)</f>
        <v>0</v>
      </c>
      <c r="F252" s="3">
        <f t="shared" si="13"/>
        <v>606</v>
      </c>
      <c r="G252" s="23">
        <f>IFERROR(IF($C$13="No","N/A",IF(Table157810[[#This Row],[Period]]=1,$C$6,PMT(InterestRate*AmortizationMultiplier/12,Table157810[[#This Row],[Am Thru]],-Table157810[[#This Row],[Beginning Balance]]))),0)</f>
        <v>0</v>
      </c>
      <c r="H252" s="3">
        <f>MAX(0,IF(C252=$C$4,D252,ROUND(IF($C$3="Fixed Principal",$C$6-Table157810[[#This Row],[Interest]],IF($C$3="Interest Only",Table157810[[#This Row],[Beginning Balance]]*ROUND(1-(1-IF($C$11="No",$E$8,1))^(1/12),6),MIN(IF($C$13="Yes",Table157810[[#This Row],[Payment Amount (Reamortized)]],$C$6)-Table157810[[#This Row],[Interest]],Table157810[[#This Row],[Beginning Balance]]))),2)))</f>
        <v>0</v>
      </c>
      <c r="I252" s="3">
        <f>_xlfn.SINGLE(IF($C$3="Line of Credit",0,ROUND(MAX(MIN(IF($C$10="No",$E$7,VLOOKUP(Table157810[[#This Row],[Period]],Forecast!$H$2:$L$1048576,4,FALSE))*Table157810[[#This Row],[Beginning Balance]],Table157810[[#This Row],[Beginning Balance]]-Table157810[[#This Row],[Principal]]),0),2)))</f>
        <v>0</v>
      </c>
      <c r="J252" s="3">
        <f>ROUND(MIN(Table157810[[#This Row],[Beginning Balance]]*IF($C$8="No",$E$3,VLOOKUP(Table157810[[#This Row],[Period]],Forecast!$H$2:$L$1048576,2,FALSE)),Table157810[[#This Row],[Beginning Balance]]-Table157810[[#This Row],[Principal]]-Table157810[[#This Row],[Prepayments]]),2)</f>
        <v>0</v>
      </c>
      <c r="K252" s="3">
        <f>ROUND(Table157810[[#This Row],[Defaulted Principal]]*IF($C$9="No",$E$4,VLOOKUP(Table157810[[#This Row],[Period]],Forecast!$H$2:$L$1048576,3,FALSE)),2)</f>
        <v>0</v>
      </c>
      <c r="L252" s="2">
        <f>Table157810[[#This Row],[Period]]+$E$9</f>
        <v>248</v>
      </c>
      <c r="M252" s="3">
        <f>Table157810[[#This Row],[Defaulted Principal]]-Table157810[[#This Row],[Estimated Loss]]</f>
        <v>0</v>
      </c>
      <c r="N252" s="3">
        <f>IFERROR(VLOOKUP(Table157810[[#This Row],[Period]],$L$16:$M$385,2,FALSE),0)</f>
        <v>0</v>
      </c>
      <c r="O252" s="3">
        <f>Table157810[[#This Row],[Beginning Balance]]-Table157810[[#This Row],[Principal]]-Table157810[[#This Row],[Prepayments]]-Table157810[[#This Row],[Defaulted Principal]]</f>
        <v>0</v>
      </c>
      <c r="P252" s="3">
        <f>Table157810[[#This Row],[Principal]]+Table157810[[#This Row],[Interest]]+Table157810[[#This Row],[Prepayments]]+Table157810[[#This Row],[RecoveredAmount]]</f>
        <v>0</v>
      </c>
      <c r="Q252" s="3">
        <f ca="1">ROUND(Table157810[[#This Row],[Cash Flow]]/((1+ActualRateToUse)^(IF(ISNUMBER(SEARCH("Actual",$C$7)),Table157810[[#This Row],[Running Total]]/365,Table157810[[#This Row],[Period]]/12))),2)</f>
        <v>0</v>
      </c>
      <c r="R252" s="2">
        <f>IF(MONTH(Table157810[[#This Row],[Date]])=2,28,DAY(DATE(YEAR(Table157810[[#This Row],[Date]]),MONTH(Table157810[[#This Row],[Date]])+1,1)-1))</f>
        <v>28</v>
      </c>
      <c r="S252" s="2">
        <f ca="1">SUM(OFFSET(Table157810[[#Headers],[Days in month]],1,0):Table157810[[#This Row],[Days in month]])</f>
        <v>7178</v>
      </c>
      <c r="T252" s="37">
        <f>InterestRate*AmortizationMultiplier*IF(ISNUMBER(SEARCH("Actual",$C$7)),Table157810[[#This Row],[Days in month]]/365,1/12)</f>
        <v>5.4048555555555548E-3</v>
      </c>
    </row>
    <row r="253" spans="2:20" x14ac:dyDescent="0.2">
      <c r="B253" s="1">
        <f t="shared" si="10"/>
        <v>53052</v>
      </c>
      <c r="C253" s="2">
        <f t="shared" si="12"/>
        <v>237</v>
      </c>
      <c r="D253" s="3">
        <f t="shared" si="11"/>
        <v>0</v>
      </c>
      <c r="E253" s="3">
        <f>ROUND(Table157810[[#This Row],[Beginning Balance]]*Table157810[[#This Row],[Monthly Interest Rate]],2)</f>
        <v>0</v>
      </c>
      <c r="F253" s="3">
        <f t="shared" si="13"/>
        <v>605</v>
      </c>
      <c r="G253" s="23">
        <f>IFERROR(IF($C$13="No","N/A",IF(Table157810[[#This Row],[Period]]=1,$C$6,PMT(InterestRate*AmortizationMultiplier/12,Table157810[[#This Row],[Am Thru]],-Table157810[[#This Row],[Beginning Balance]]))),0)</f>
        <v>0</v>
      </c>
      <c r="H253" s="3">
        <f>MAX(0,IF(C253=$C$4,D253,ROUND(IF($C$3="Fixed Principal",$C$6-Table157810[[#This Row],[Interest]],IF($C$3="Interest Only",Table157810[[#This Row],[Beginning Balance]]*ROUND(1-(1-IF($C$11="No",$E$8,1))^(1/12),6),MIN(IF($C$13="Yes",Table157810[[#This Row],[Payment Amount (Reamortized)]],$C$6)-Table157810[[#This Row],[Interest]],Table157810[[#This Row],[Beginning Balance]]))),2)))</f>
        <v>0</v>
      </c>
      <c r="I253" s="3">
        <f>_xlfn.SINGLE(IF($C$3="Line of Credit",0,ROUND(MAX(MIN(IF($C$10="No",$E$7,VLOOKUP(Table157810[[#This Row],[Period]],Forecast!$H$2:$L$1048576,4,FALSE))*Table157810[[#This Row],[Beginning Balance]],Table157810[[#This Row],[Beginning Balance]]-Table157810[[#This Row],[Principal]]),0),2)))</f>
        <v>0</v>
      </c>
      <c r="J253" s="3">
        <f>ROUND(MIN(Table157810[[#This Row],[Beginning Balance]]*IF($C$8="No",$E$3,VLOOKUP(Table157810[[#This Row],[Period]],Forecast!$H$2:$L$1048576,2,FALSE)),Table157810[[#This Row],[Beginning Balance]]-Table157810[[#This Row],[Principal]]-Table157810[[#This Row],[Prepayments]]),2)</f>
        <v>0</v>
      </c>
      <c r="K253" s="3">
        <f>ROUND(Table157810[[#This Row],[Defaulted Principal]]*IF($C$9="No",$E$4,VLOOKUP(Table157810[[#This Row],[Period]],Forecast!$H$2:$L$1048576,3,FALSE)),2)</f>
        <v>0</v>
      </c>
      <c r="L253" s="2">
        <f>Table157810[[#This Row],[Period]]+$E$9</f>
        <v>249</v>
      </c>
      <c r="M253" s="3">
        <f>Table157810[[#This Row],[Defaulted Principal]]-Table157810[[#This Row],[Estimated Loss]]</f>
        <v>0</v>
      </c>
      <c r="N253" s="3">
        <f>IFERROR(VLOOKUP(Table157810[[#This Row],[Period]],$L$16:$M$385,2,FALSE),0)</f>
        <v>0</v>
      </c>
      <c r="O253" s="3">
        <f>Table157810[[#This Row],[Beginning Balance]]-Table157810[[#This Row],[Principal]]-Table157810[[#This Row],[Prepayments]]-Table157810[[#This Row],[Defaulted Principal]]</f>
        <v>0</v>
      </c>
      <c r="P253" s="3">
        <f>Table157810[[#This Row],[Principal]]+Table157810[[#This Row],[Interest]]+Table157810[[#This Row],[Prepayments]]+Table157810[[#This Row],[RecoveredAmount]]</f>
        <v>0</v>
      </c>
      <c r="Q253" s="3">
        <f ca="1">ROUND(Table157810[[#This Row],[Cash Flow]]/((1+ActualRateToUse)^(IF(ISNUMBER(SEARCH("Actual",$C$7)),Table157810[[#This Row],[Running Total]]/365,Table157810[[#This Row],[Period]]/12))),2)</f>
        <v>0</v>
      </c>
      <c r="R253" s="2">
        <f>IF(MONTH(Table157810[[#This Row],[Date]])=2,28,DAY(DATE(YEAR(Table157810[[#This Row],[Date]]),MONTH(Table157810[[#This Row],[Date]])+1,1)-1))</f>
        <v>31</v>
      </c>
      <c r="S253" s="2">
        <f ca="1">SUM(OFFSET(Table157810[[#Headers],[Days in month]],1,0):Table157810[[#This Row],[Days in month]])</f>
        <v>7209</v>
      </c>
      <c r="T253" s="37">
        <f>InterestRate*AmortizationMultiplier*IF(ISNUMBER(SEARCH("Actual",$C$7)),Table157810[[#This Row],[Days in month]]/365,1/12)</f>
        <v>5.9839472222222214E-3</v>
      </c>
    </row>
    <row r="254" spans="2:20" x14ac:dyDescent="0.2">
      <c r="B254" s="1">
        <f t="shared" si="10"/>
        <v>53082</v>
      </c>
      <c r="C254" s="2">
        <f t="shared" si="12"/>
        <v>238</v>
      </c>
      <c r="D254" s="3">
        <f t="shared" si="11"/>
        <v>0</v>
      </c>
      <c r="E254" s="3">
        <f>ROUND(Table157810[[#This Row],[Beginning Balance]]*Table157810[[#This Row],[Monthly Interest Rate]],2)</f>
        <v>0</v>
      </c>
      <c r="F254" s="3">
        <f t="shared" si="13"/>
        <v>604</v>
      </c>
      <c r="G254" s="23">
        <f>IFERROR(IF($C$13="No","N/A",IF(Table157810[[#This Row],[Period]]=1,$C$6,PMT(InterestRate*AmortizationMultiplier/12,Table157810[[#This Row],[Am Thru]],-Table157810[[#This Row],[Beginning Balance]]))),0)</f>
        <v>0</v>
      </c>
      <c r="H254" s="3">
        <f>MAX(0,IF(C254=$C$4,D254,ROUND(IF($C$3="Fixed Principal",$C$6-Table157810[[#This Row],[Interest]],IF($C$3="Interest Only",Table157810[[#This Row],[Beginning Balance]]*ROUND(1-(1-IF($C$11="No",$E$8,1))^(1/12),6),MIN(IF($C$13="Yes",Table157810[[#This Row],[Payment Amount (Reamortized)]],$C$6)-Table157810[[#This Row],[Interest]],Table157810[[#This Row],[Beginning Balance]]))),2)))</f>
        <v>0</v>
      </c>
      <c r="I254" s="3">
        <f>_xlfn.SINGLE(IF($C$3="Line of Credit",0,ROUND(MAX(MIN(IF($C$10="No",$E$7,VLOOKUP(Table157810[[#This Row],[Period]],Forecast!$H$2:$L$1048576,4,FALSE))*Table157810[[#This Row],[Beginning Balance]],Table157810[[#This Row],[Beginning Balance]]-Table157810[[#This Row],[Principal]]),0),2)))</f>
        <v>0</v>
      </c>
      <c r="J254" s="3">
        <f>ROUND(MIN(Table157810[[#This Row],[Beginning Balance]]*IF($C$8="No",$E$3,VLOOKUP(Table157810[[#This Row],[Period]],Forecast!$H$2:$L$1048576,2,FALSE)),Table157810[[#This Row],[Beginning Balance]]-Table157810[[#This Row],[Principal]]-Table157810[[#This Row],[Prepayments]]),2)</f>
        <v>0</v>
      </c>
      <c r="K254" s="3">
        <f>ROUND(Table157810[[#This Row],[Defaulted Principal]]*IF($C$9="No",$E$4,VLOOKUP(Table157810[[#This Row],[Period]],Forecast!$H$2:$L$1048576,3,FALSE)),2)</f>
        <v>0</v>
      </c>
      <c r="L254" s="2">
        <f>Table157810[[#This Row],[Period]]+$E$9</f>
        <v>250</v>
      </c>
      <c r="M254" s="3">
        <f>Table157810[[#This Row],[Defaulted Principal]]-Table157810[[#This Row],[Estimated Loss]]</f>
        <v>0</v>
      </c>
      <c r="N254" s="3">
        <f>IFERROR(VLOOKUP(Table157810[[#This Row],[Period]],$L$16:$M$385,2,FALSE),0)</f>
        <v>0</v>
      </c>
      <c r="O254" s="3">
        <f>Table157810[[#This Row],[Beginning Balance]]-Table157810[[#This Row],[Principal]]-Table157810[[#This Row],[Prepayments]]-Table157810[[#This Row],[Defaulted Principal]]</f>
        <v>0</v>
      </c>
      <c r="P254" s="3">
        <f>Table157810[[#This Row],[Principal]]+Table157810[[#This Row],[Interest]]+Table157810[[#This Row],[Prepayments]]+Table157810[[#This Row],[RecoveredAmount]]</f>
        <v>0</v>
      </c>
      <c r="Q254" s="3">
        <f ca="1">ROUND(Table157810[[#This Row],[Cash Flow]]/((1+ActualRateToUse)^(IF(ISNUMBER(SEARCH("Actual",$C$7)),Table157810[[#This Row],[Running Total]]/365,Table157810[[#This Row],[Period]]/12))),2)</f>
        <v>0</v>
      </c>
      <c r="R254" s="2">
        <f>IF(MONTH(Table157810[[#This Row],[Date]])=2,28,DAY(DATE(YEAR(Table157810[[#This Row],[Date]]),MONTH(Table157810[[#This Row],[Date]])+1,1)-1))</f>
        <v>30</v>
      </c>
      <c r="S254" s="2">
        <f ca="1">SUM(OFFSET(Table157810[[#Headers],[Days in month]],1,0):Table157810[[#This Row],[Days in month]])</f>
        <v>7239</v>
      </c>
      <c r="T254" s="37">
        <f>InterestRate*AmortizationMultiplier*IF(ISNUMBER(SEARCH("Actual",$C$7)),Table157810[[#This Row],[Days in month]]/365,1/12)</f>
        <v>5.7909166666666656E-3</v>
      </c>
    </row>
    <row r="255" spans="2:20" x14ac:dyDescent="0.2">
      <c r="B255" s="1">
        <f t="shared" si="10"/>
        <v>53113</v>
      </c>
      <c r="C255" s="2">
        <f t="shared" si="12"/>
        <v>239</v>
      </c>
      <c r="D255" s="3">
        <f t="shared" si="11"/>
        <v>0</v>
      </c>
      <c r="E255" s="3">
        <f>ROUND(Table157810[[#This Row],[Beginning Balance]]*Table157810[[#This Row],[Monthly Interest Rate]],2)</f>
        <v>0</v>
      </c>
      <c r="F255" s="3">
        <f t="shared" si="13"/>
        <v>603</v>
      </c>
      <c r="G255" s="23">
        <f>IFERROR(IF($C$13="No","N/A",IF(Table157810[[#This Row],[Period]]=1,$C$6,PMT(InterestRate*AmortizationMultiplier/12,Table157810[[#This Row],[Am Thru]],-Table157810[[#This Row],[Beginning Balance]]))),0)</f>
        <v>0</v>
      </c>
      <c r="H255" s="3">
        <f>MAX(0,IF(C255=$C$4,D255,ROUND(IF($C$3="Fixed Principal",$C$6-Table157810[[#This Row],[Interest]],IF($C$3="Interest Only",Table157810[[#This Row],[Beginning Balance]]*ROUND(1-(1-IF($C$11="No",$E$8,1))^(1/12),6),MIN(IF($C$13="Yes",Table157810[[#This Row],[Payment Amount (Reamortized)]],$C$6)-Table157810[[#This Row],[Interest]],Table157810[[#This Row],[Beginning Balance]]))),2)))</f>
        <v>0</v>
      </c>
      <c r="I255" s="3">
        <f>_xlfn.SINGLE(IF($C$3="Line of Credit",0,ROUND(MAX(MIN(IF($C$10="No",$E$7,VLOOKUP(Table157810[[#This Row],[Period]],Forecast!$H$2:$L$1048576,4,FALSE))*Table157810[[#This Row],[Beginning Balance]],Table157810[[#This Row],[Beginning Balance]]-Table157810[[#This Row],[Principal]]),0),2)))</f>
        <v>0</v>
      </c>
      <c r="J255" s="3">
        <f>ROUND(MIN(Table157810[[#This Row],[Beginning Balance]]*IF($C$8="No",$E$3,VLOOKUP(Table157810[[#This Row],[Period]],Forecast!$H$2:$L$1048576,2,FALSE)),Table157810[[#This Row],[Beginning Balance]]-Table157810[[#This Row],[Principal]]-Table157810[[#This Row],[Prepayments]]),2)</f>
        <v>0</v>
      </c>
      <c r="K255" s="3">
        <f>ROUND(Table157810[[#This Row],[Defaulted Principal]]*IF($C$9="No",$E$4,VLOOKUP(Table157810[[#This Row],[Period]],Forecast!$H$2:$L$1048576,3,FALSE)),2)</f>
        <v>0</v>
      </c>
      <c r="L255" s="2">
        <f>Table157810[[#This Row],[Period]]+$E$9</f>
        <v>251</v>
      </c>
      <c r="M255" s="3">
        <f>Table157810[[#This Row],[Defaulted Principal]]-Table157810[[#This Row],[Estimated Loss]]</f>
        <v>0</v>
      </c>
      <c r="N255" s="3">
        <f>IFERROR(VLOOKUP(Table157810[[#This Row],[Period]],$L$16:$M$385,2,FALSE),0)</f>
        <v>0</v>
      </c>
      <c r="O255" s="3">
        <f>Table157810[[#This Row],[Beginning Balance]]-Table157810[[#This Row],[Principal]]-Table157810[[#This Row],[Prepayments]]-Table157810[[#This Row],[Defaulted Principal]]</f>
        <v>0</v>
      </c>
      <c r="P255" s="3">
        <f>Table157810[[#This Row],[Principal]]+Table157810[[#This Row],[Interest]]+Table157810[[#This Row],[Prepayments]]+Table157810[[#This Row],[RecoveredAmount]]</f>
        <v>0</v>
      </c>
      <c r="Q255" s="3">
        <f ca="1">ROUND(Table157810[[#This Row],[Cash Flow]]/((1+ActualRateToUse)^(IF(ISNUMBER(SEARCH("Actual",$C$7)),Table157810[[#This Row],[Running Total]]/365,Table157810[[#This Row],[Period]]/12))),2)</f>
        <v>0</v>
      </c>
      <c r="R255" s="2">
        <f>IF(MONTH(Table157810[[#This Row],[Date]])=2,28,DAY(DATE(YEAR(Table157810[[#This Row],[Date]]),MONTH(Table157810[[#This Row],[Date]])+1,1)-1))</f>
        <v>31</v>
      </c>
      <c r="S255" s="2">
        <f ca="1">SUM(OFFSET(Table157810[[#Headers],[Days in month]],1,0):Table157810[[#This Row],[Days in month]])</f>
        <v>7270</v>
      </c>
      <c r="T255" s="37">
        <f>InterestRate*AmortizationMultiplier*IF(ISNUMBER(SEARCH("Actual",$C$7)),Table157810[[#This Row],[Days in month]]/365,1/12)</f>
        <v>5.9839472222222214E-3</v>
      </c>
    </row>
    <row r="256" spans="2:20" x14ac:dyDescent="0.2">
      <c r="B256" s="1">
        <f t="shared" si="10"/>
        <v>53143</v>
      </c>
      <c r="C256" s="2">
        <f t="shared" si="12"/>
        <v>240</v>
      </c>
      <c r="D256" s="3">
        <f t="shared" si="11"/>
        <v>0</v>
      </c>
      <c r="E256" s="3">
        <f>ROUND(Table157810[[#This Row],[Beginning Balance]]*Table157810[[#This Row],[Monthly Interest Rate]],2)</f>
        <v>0</v>
      </c>
      <c r="F256" s="3">
        <f t="shared" si="13"/>
        <v>602</v>
      </c>
      <c r="G256" s="23">
        <f>IFERROR(IF($C$13="No","N/A",IF(Table157810[[#This Row],[Period]]=1,$C$6,PMT(InterestRate*AmortizationMultiplier/12,Table157810[[#This Row],[Am Thru]],-Table157810[[#This Row],[Beginning Balance]]))),0)</f>
        <v>0</v>
      </c>
      <c r="H256" s="3">
        <f>MAX(0,IF(C256=$C$4,D256,ROUND(IF($C$3="Fixed Principal",$C$6-Table157810[[#This Row],[Interest]],IF($C$3="Interest Only",Table157810[[#This Row],[Beginning Balance]]*ROUND(1-(1-IF($C$11="No",$E$8,1))^(1/12),6),MIN(IF($C$13="Yes",Table157810[[#This Row],[Payment Amount (Reamortized)]],$C$6)-Table157810[[#This Row],[Interest]],Table157810[[#This Row],[Beginning Balance]]))),2)))</f>
        <v>0</v>
      </c>
      <c r="I256" s="3">
        <f>_xlfn.SINGLE(IF($C$3="Line of Credit",0,ROUND(MAX(MIN(IF($C$10="No",$E$7,VLOOKUP(Table157810[[#This Row],[Period]],Forecast!$H$2:$L$1048576,4,FALSE))*Table157810[[#This Row],[Beginning Balance]],Table157810[[#This Row],[Beginning Balance]]-Table157810[[#This Row],[Principal]]),0),2)))</f>
        <v>0</v>
      </c>
      <c r="J256" s="3">
        <f>ROUND(MIN(Table157810[[#This Row],[Beginning Balance]]*IF($C$8="No",$E$3,VLOOKUP(Table157810[[#This Row],[Period]],Forecast!$H$2:$L$1048576,2,FALSE)),Table157810[[#This Row],[Beginning Balance]]-Table157810[[#This Row],[Principal]]-Table157810[[#This Row],[Prepayments]]),2)</f>
        <v>0</v>
      </c>
      <c r="K256" s="3">
        <f>ROUND(Table157810[[#This Row],[Defaulted Principal]]*IF($C$9="No",$E$4,VLOOKUP(Table157810[[#This Row],[Period]],Forecast!$H$2:$L$1048576,3,FALSE)),2)</f>
        <v>0</v>
      </c>
      <c r="L256" s="2">
        <f>Table157810[[#This Row],[Period]]+$E$9</f>
        <v>252</v>
      </c>
      <c r="M256" s="3">
        <f>Table157810[[#This Row],[Defaulted Principal]]-Table157810[[#This Row],[Estimated Loss]]</f>
        <v>0</v>
      </c>
      <c r="N256" s="3">
        <f>IFERROR(VLOOKUP(Table157810[[#This Row],[Period]],$L$16:$M$385,2,FALSE),0)</f>
        <v>0</v>
      </c>
      <c r="O256" s="3">
        <f>Table157810[[#This Row],[Beginning Balance]]-Table157810[[#This Row],[Principal]]-Table157810[[#This Row],[Prepayments]]-Table157810[[#This Row],[Defaulted Principal]]</f>
        <v>0</v>
      </c>
      <c r="P256" s="3">
        <f>Table157810[[#This Row],[Principal]]+Table157810[[#This Row],[Interest]]+Table157810[[#This Row],[Prepayments]]+Table157810[[#This Row],[RecoveredAmount]]</f>
        <v>0</v>
      </c>
      <c r="Q256" s="3">
        <f ca="1">ROUND(Table157810[[#This Row],[Cash Flow]]/((1+ActualRateToUse)^(IF(ISNUMBER(SEARCH("Actual",$C$7)),Table157810[[#This Row],[Running Total]]/365,Table157810[[#This Row],[Period]]/12))),2)</f>
        <v>0</v>
      </c>
      <c r="R256" s="2">
        <f>IF(MONTH(Table157810[[#This Row],[Date]])=2,28,DAY(DATE(YEAR(Table157810[[#This Row],[Date]]),MONTH(Table157810[[#This Row],[Date]])+1,1)-1))</f>
        <v>30</v>
      </c>
      <c r="S256" s="2">
        <f ca="1">SUM(OFFSET(Table157810[[#Headers],[Days in month]],1,0):Table157810[[#This Row],[Days in month]])</f>
        <v>7300</v>
      </c>
      <c r="T256" s="37">
        <f>InterestRate*AmortizationMultiplier*IF(ISNUMBER(SEARCH("Actual",$C$7)),Table157810[[#This Row],[Days in month]]/365,1/12)</f>
        <v>5.7909166666666656E-3</v>
      </c>
    </row>
    <row r="257" spans="2:20" x14ac:dyDescent="0.2">
      <c r="B257" s="1">
        <f t="shared" si="10"/>
        <v>53174</v>
      </c>
      <c r="C257" s="2">
        <f t="shared" si="12"/>
        <v>241</v>
      </c>
      <c r="D257" s="3">
        <f t="shared" si="11"/>
        <v>0</v>
      </c>
      <c r="E257" s="3">
        <f>ROUND(Table157810[[#This Row],[Beginning Balance]]*Table157810[[#This Row],[Monthly Interest Rate]],2)</f>
        <v>0</v>
      </c>
      <c r="F257" s="3">
        <f t="shared" si="13"/>
        <v>601</v>
      </c>
      <c r="G257" s="23">
        <f>IFERROR(IF($C$13="No","N/A",IF(Table157810[[#This Row],[Period]]=1,$C$6,PMT(InterestRate*AmortizationMultiplier/12,Table157810[[#This Row],[Am Thru]],-Table157810[[#This Row],[Beginning Balance]]))),0)</f>
        <v>0</v>
      </c>
      <c r="H257" s="3">
        <f>MAX(0,IF(C257=$C$4,D257,ROUND(IF($C$3="Fixed Principal",$C$6-Table157810[[#This Row],[Interest]],IF($C$3="Interest Only",Table157810[[#This Row],[Beginning Balance]]*ROUND(1-(1-IF($C$11="No",$E$8,1))^(1/12),6),MIN(IF($C$13="Yes",Table157810[[#This Row],[Payment Amount (Reamortized)]],$C$6)-Table157810[[#This Row],[Interest]],Table157810[[#This Row],[Beginning Balance]]))),2)))</f>
        <v>0</v>
      </c>
      <c r="I257" s="3">
        <f>_xlfn.SINGLE(IF($C$3="Line of Credit",0,ROUND(MAX(MIN(IF($C$10="No",$E$7,VLOOKUP(Table157810[[#This Row],[Period]],Forecast!$H$2:$L$1048576,4,FALSE))*Table157810[[#This Row],[Beginning Balance]],Table157810[[#This Row],[Beginning Balance]]-Table157810[[#This Row],[Principal]]),0),2)))</f>
        <v>0</v>
      </c>
      <c r="J257" s="3">
        <f>ROUND(MIN(Table157810[[#This Row],[Beginning Balance]]*IF($C$8="No",$E$3,VLOOKUP(Table157810[[#This Row],[Period]],Forecast!$H$2:$L$1048576,2,FALSE)),Table157810[[#This Row],[Beginning Balance]]-Table157810[[#This Row],[Principal]]-Table157810[[#This Row],[Prepayments]]),2)</f>
        <v>0</v>
      </c>
      <c r="K257" s="3">
        <f>ROUND(Table157810[[#This Row],[Defaulted Principal]]*IF($C$9="No",$E$4,VLOOKUP(Table157810[[#This Row],[Period]],Forecast!$H$2:$L$1048576,3,FALSE)),2)</f>
        <v>0</v>
      </c>
      <c r="L257" s="2">
        <f>Table157810[[#This Row],[Period]]+$E$9</f>
        <v>253</v>
      </c>
      <c r="M257" s="3">
        <f>Table157810[[#This Row],[Defaulted Principal]]-Table157810[[#This Row],[Estimated Loss]]</f>
        <v>0</v>
      </c>
      <c r="N257" s="3">
        <f>IFERROR(VLOOKUP(Table157810[[#This Row],[Period]],$L$16:$M$385,2,FALSE),0)</f>
        <v>0</v>
      </c>
      <c r="O257" s="3">
        <f>Table157810[[#This Row],[Beginning Balance]]-Table157810[[#This Row],[Principal]]-Table157810[[#This Row],[Prepayments]]-Table157810[[#This Row],[Defaulted Principal]]</f>
        <v>0</v>
      </c>
      <c r="P257" s="3">
        <f>Table157810[[#This Row],[Principal]]+Table157810[[#This Row],[Interest]]+Table157810[[#This Row],[Prepayments]]+Table157810[[#This Row],[RecoveredAmount]]</f>
        <v>0</v>
      </c>
      <c r="Q257" s="3">
        <f ca="1">ROUND(Table157810[[#This Row],[Cash Flow]]/((1+ActualRateToUse)^(IF(ISNUMBER(SEARCH("Actual",$C$7)),Table157810[[#This Row],[Running Total]]/365,Table157810[[#This Row],[Period]]/12))),2)</f>
        <v>0</v>
      </c>
      <c r="R257" s="2">
        <f>IF(MONTH(Table157810[[#This Row],[Date]])=2,28,DAY(DATE(YEAR(Table157810[[#This Row],[Date]]),MONTH(Table157810[[#This Row],[Date]])+1,1)-1))</f>
        <v>31</v>
      </c>
      <c r="S257" s="2">
        <f ca="1">SUM(OFFSET(Table157810[[#Headers],[Days in month]],1,0):Table157810[[#This Row],[Days in month]])</f>
        <v>7331</v>
      </c>
      <c r="T257" s="37">
        <f>InterestRate*AmortizationMultiplier*IF(ISNUMBER(SEARCH("Actual",$C$7)),Table157810[[#This Row],[Days in month]]/365,1/12)</f>
        <v>5.9839472222222214E-3</v>
      </c>
    </row>
    <row r="258" spans="2:20" x14ac:dyDescent="0.2">
      <c r="B258" s="1">
        <f t="shared" si="10"/>
        <v>53205</v>
      </c>
      <c r="C258" s="2">
        <f t="shared" si="12"/>
        <v>242</v>
      </c>
      <c r="D258" s="3">
        <f t="shared" si="11"/>
        <v>0</v>
      </c>
      <c r="E258" s="3">
        <f>ROUND(Table157810[[#This Row],[Beginning Balance]]*Table157810[[#This Row],[Monthly Interest Rate]],2)</f>
        <v>0</v>
      </c>
      <c r="F258" s="3">
        <f t="shared" si="13"/>
        <v>600</v>
      </c>
      <c r="G258" s="23">
        <f>IFERROR(IF($C$13="No","N/A",IF(Table157810[[#This Row],[Period]]=1,$C$6,PMT(InterestRate*AmortizationMultiplier/12,Table157810[[#This Row],[Am Thru]],-Table157810[[#This Row],[Beginning Balance]]))),0)</f>
        <v>0</v>
      </c>
      <c r="H258" s="3">
        <f>MAX(0,IF(C258=$C$4,D258,ROUND(IF($C$3="Fixed Principal",$C$6-Table157810[[#This Row],[Interest]],IF($C$3="Interest Only",Table157810[[#This Row],[Beginning Balance]]*ROUND(1-(1-IF($C$11="No",$E$8,1))^(1/12),6),MIN(IF($C$13="Yes",Table157810[[#This Row],[Payment Amount (Reamortized)]],$C$6)-Table157810[[#This Row],[Interest]],Table157810[[#This Row],[Beginning Balance]]))),2)))</f>
        <v>0</v>
      </c>
      <c r="I258" s="3">
        <f>_xlfn.SINGLE(IF($C$3="Line of Credit",0,ROUND(MAX(MIN(IF($C$10="No",$E$7,VLOOKUP(Table157810[[#This Row],[Period]],Forecast!$H$2:$L$1048576,4,FALSE))*Table157810[[#This Row],[Beginning Balance]],Table157810[[#This Row],[Beginning Balance]]-Table157810[[#This Row],[Principal]]),0),2)))</f>
        <v>0</v>
      </c>
      <c r="J258" s="3">
        <f>ROUND(MIN(Table157810[[#This Row],[Beginning Balance]]*IF($C$8="No",$E$3,VLOOKUP(Table157810[[#This Row],[Period]],Forecast!$H$2:$L$1048576,2,FALSE)),Table157810[[#This Row],[Beginning Balance]]-Table157810[[#This Row],[Principal]]-Table157810[[#This Row],[Prepayments]]),2)</f>
        <v>0</v>
      </c>
      <c r="K258" s="3">
        <f>ROUND(Table157810[[#This Row],[Defaulted Principal]]*IF($C$9="No",$E$4,VLOOKUP(Table157810[[#This Row],[Period]],Forecast!$H$2:$L$1048576,3,FALSE)),2)</f>
        <v>0</v>
      </c>
      <c r="L258" s="2">
        <f>Table157810[[#This Row],[Period]]+$E$9</f>
        <v>254</v>
      </c>
      <c r="M258" s="3">
        <f>Table157810[[#This Row],[Defaulted Principal]]-Table157810[[#This Row],[Estimated Loss]]</f>
        <v>0</v>
      </c>
      <c r="N258" s="3">
        <f>IFERROR(VLOOKUP(Table157810[[#This Row],[Period]],$L$16:$M$385,2,FALSE),0)</f>
        <v>0</v>
      </c>
      <c r="O258" s="3">
        <f>Table157810[[#This Row],[Beginning Balance]]-Table157810[[#This Row],[Principal]]-Table157810[[#This Row],[Prepayments]]-Table157810[[#This Row],[Defaulted Principal]]</f>
        <v>0</v>
      </c>
      <c r="P258" s="3">
        <f>Table157810[[#This Row],[Principal]]+Table157810[[#This Row],[Interest]]+Table157810[[#This Row],[Prepayments]]+Table157810[[#This Row],[RecoveredAmount]]</f>
        <v>0</v>
      </c>
      <c r="Q258" s="3">
        <f ca="1">ROUND(Table157810[[#This Row],[Cash Flow]]/((1+ActualRateToUse)^(IF(ISNUMBER(SEARCH("Actual",$C$7)),Table157810[[#This Row],[Running Total]]/365,Table157810[[#This Row],[Period]]/12))),2)</f>
        <v>0</v>
      </c>
      <c r="R258" s="2">
        <f>IF(MONTH(Table157810[[#This Row],[Date]])=2,28,DAY(DATE(YEAR(Table157810[[#This Row],[Date]]),MONTH(Table157810[[#This Row],[Date]])+1,1)-1))</f>
        <v>31</v>
      </c>
      <c r="S258" s="2">
        <f ca="1">SUM(OFFSET(Table157810[[#Headers],[Days in month]],1,0):Table157810[[#This Row],[Days in month]])</f>
        <v>7362</v>
      </c>
      <c r="T258" s="37">
        <f>InterestRate*AmortizationMultiplier*IF(ISNUMBER(SEARCH("Actual",$C$7)),Table157810[[#This Row],[Days in month]]/365,1/12)</f>
        <v>5.9839472222222214E-3</v>
      </c>
    </row>
    <row r="259" spans="2:20" x14ac:dyDescent="0.2">
      <c r="B259" s="1">
        <f t="shared" si="10"/>
        <v>53235</v>
      </c>
      <c r="C259" s="2">
        <f t="shared" si="12"/>
        <v>243</v>
      </c>
      <c r="D259" s="3">
        <f t="shared" si="11"/>
        <v>0</v>
      </c>
      <c r="E259" s="3">
        <f>ROUND(Table157810[[#This Row],[Beginning Balance]]*Table157810[[#This Row],[Monthly Interest Rate]],2)</f>
        <v>0</v>
      </c>
      <c r="F259" s="3">
        <f t="shared" si="13"/>
        <v>599</v>
      </c>
      <c r="G259" s="23">
        <f>IFERROR(IF($C$13="No","N/A",IF(Table157810[[#This Row],[Period]]=1,$C$6,PMT(InterestRate*AmortizationMultiplier/12,Table157810[[#This Row],[Am Thru]],-Table157810[[#This Row],[Beginning Balance]]))),0)</f>
        <v>0</v>
      </c>
      <c r="H259" s="3">
        <f>MAX(0,IF(C259=$C$4,D259,ROUND(IF($C$3="Fixed Principal",$C$6-Table157810[[#This Row],[Interest]],IF($C$3="Interest Only",Table157810[[#This Row],[Beginning Balance]]*ROUND(1-(1-IF($C$11="No",$E$8,1))^(1/12),6),MIN(IF($C$13="Yes",Table157810[[#This Row],[Payment Amount (Reamortized)]],$C$6)-Table157810[[#This Row],[Interest]],Table157810[[#This Row],[Beginning Balance]]))),2)))</f>
        <v>0</v>
      </c>
      <c r="I259" s="3">
        <f>_xlfn.SINGLE(IF($C$3="Line of Credit",0,ROUND(MAX(MIN(IF($C$10="No",$E$7,VLOOKUP(Table157810[[#This Row],[Period]],Forecast!$H$2:$L$1048576,4,FALSE))*Table157810[[#This Row],[Beginning Balance]],Table157810[[#This Row],[Beginning Balance]]-Table157810[[#This Row],[Principal]]),0),2)))</f>
        <v>0</v>
      </c>
      <c r="J259" s="3">
        <f>ROUND(MIN(Table157810[[#This Row],[Beginning Balance]]*IF($C$8="No",$E$3,VLOOKUP(Table157810[[#This Row],[Period]],Forecast!$H$2:$L$1048576,2,FALSE)),Table157810[[#This Row],[Beginning Balance]]-Table157810[[#This Row],[Principal]]-Table157810[[#This Row],[Prepayments]]),2)</f>
        <v>0</v>
      </c>
      <c r="K259" s="3">
        <f>ROUND(Table157810[[#This Row],[Defaulted Principal]]*IF($C$9="No",$E$4,VLOOKUP(Table157810[[#This Row],[Period]],Forecast!$H$2:$L$1048576,3,FALSE)),2)</f>
        <v>0</v>
      </c>
      <c r="L259" s="2">
        <f>Table157810[[#This Row],[Period]]+$E$9</f>
        <v>255</v>
      </c>
      <c r="M259" s="3">
        <f>Table157810[[#This Row],[Defaulted Principal]]-Table157810[[#This Row],[Estimated Loss]]</f>
        <v>0</v>
      </c>
      <c r="N259" s="3">
        <f>IFERROR(VLOOKUP(Table157810[[#This Row],[Period]],$L$16:$M$385,2,FALSE),0)</f>
        <v>0</v>
      </c>
      <c r="O259" s="3">
        <f>Table157810[[#This Row],[Beginning Balance]]-Table157810[[#This Row],[Principal]]-Table157810[[#This Row],[Prepayments]]-Table157810[[#This Row],[Defaulted Principal]]</f>
        <v>0</v>
      </c>
      <c r="P259" s="3">
        <f>Table157810[[#This Row],[Principal]]+Table157810[[#This Row],[Interest]]+Table157810[[#This Row],[Prepayments]]+Table157810[[#This Row],[RecoveredAmount]]</f>
        <v>0</v>
      </c>
      <c r="Q259" s="3">
        <f ca="1">ROUND(Table157810[[#This Row],[Cash Flow]]/((1+ActualRateToUse)^(IF(ISNUMBER(SEARCH("Actual",$C$7)),Table157810[[#This Row],[Running Total]]/365,Table157810[[#This Row],[Period]]/12))),2)</f>
        <v>0</v>
      </c>
      <c r="R259" s="2">
        <f>IF(MONTH(Table157810[[#This Row],[Date]])=2,28,DAY(DATE(YEAR(Table157810[[#This Row],[Date]]),MONTH(Table157810[[#This Row],[Date]])+1,1)-1))</f>
        <v>30</v>
      </c>
      <c r="S259" s="2">
        <f ca="1">SUM(OFFSET(Table157810[[#Headers],[Days in month]],1,0):Table157810[[#This Row],[Days in month]])</f>
        <v>7392</v>
      </c>
      <c r="T259" s="37">
        <f>InterestRate*AmortizationMultiplier*IF(ISNUMBER(SEARCH("Actual",$C$7)),Table157810[[#This Row],[Days in month]]/365,1/12)</f>
        <v>5.7909166666666656E-3</v>
      </c>
    </row>
    <row r="260" spans="2:20" x14ac:dyDescent="0.2">
      <c r="B260" s="1">
        <f t="shared" si="10"/>
        <v>53266</v>
      </c>
      <c r="C260" s="2">
        <f t="shared" si="12"/>
        <v>244</v>
      </c>
      <c r="D260" s="3">
        <f t="shared" si="11"/>
        <v>0</v>
      </c>
      <c r="E260" s="3">
        <f>ROUND(Table157810[[#This Row],[Beginning Balance]]*Table157810[[#This Row],[Monthly Interest Rate]],2)</f>
        <v>0</v>
      </c>
      <c r="F260" s="3">
        <f t="shared" si="13"/>
        <v>598</v>
      </c>
      <c r="G260" s="23">
        <f>IFERROR(IF($C$13="No","N/A",IF(Table157810[[#This Row],[Period]]=1,$C$6,PMT(InterestRate*AmortizationMultiplier/12,Table157810[[#This Row],[Am Thru]],-Table157810[[#This Row],[Beginning Balance]]))),0)</f>
        <v>0</v>
      </c>
      <c r="H260" s="3">
        <f>MAX(0,IF(C260=$C$4,D260,ROUND(IF($C$3="Fixed Principal",$C$6-Table157810[[#This Row],[Interest]],IF($C$3="Interest Only",Table157810[[#This Row],[Beginning Balance]]*ROUND(1-(1-IF($C$11="No",$E$8,1))^(1/12),6),MIN(IF($C$13="Yes",Table157810[[#This Row],[Payment Amount (Reamortized)]],$C$6)-Table157810[[#This Row],[Interest]],Table157810[[#This Row],[Beginning Balance]]))),2)))</f>
        <v>0</v>
      </c>
      <c r="I260" s="3">
        <f>_xlfn.SINGLE(IF($C$3="Line of Credit",0,ROUND(MAX(MIN(IF($C$10="No",$E$7,VLOOKUP(Table157810[[#This Row],[Period]],Forecast!$H$2:$L$1048576,4,FALSE))*Table157810[[#This Row],[Beginning Balance]],Table157810[[#This Row],[Beginning Balance]]-Table157810[[#This Row],[Principal]]),0),2)))</f>
        <v>0</v>
      </c>
      <c r="J260" s="3">
        <f>ROUND(MIN(Table157810[[#This Row],[Beginning Balance]]*IF($C$8="No",$E$3,VLOOKUP(Table157810[[#This Row],[Period]],Forecast!$H$2:$L$1048576,2,FALSE)),Table157810[[#This Row],[Beginning Balance]]-Table157810[[#This Row],[Principal]]-Table157810[[#This Row],[Prepayments]]),2)</f>
        <v>0</v>
      </c>
      <c r="K260" s="3">
        <f>ROUND(Table157810[[#This Row],[Defaulted Principal]]*IF($C$9="No",$E$4,VLOOKUP(Table157810[[#This Row],[Period]],Forecast!$H$2:$L$1048576,3,FALSE)),2)</f>
        <v>0</v>
      </c>
      <c r="L260" s="2">
        <f>Table157810[[#This Row],[Period]]+$E$9</f>
        <v>256</v>
      </c>
      <c r="M260" s="3">
        <f>Table157810[[#This Row],[Defaulted Principal]]-Table157810[[#This Row],[Estimated Loss]]</f>
        <v>0</v>
      </c>
      <c r="N260" s="3">
        <f>IFERROR(VLOOKUP(Table157810[[#This Row],[Period]],$L$16:$M$385,2,FALSE),0)</f>
        <v>0</v>
      </c>
      <c r="O260" s="3">
        <f>Table157810[[#This Row],[Beginning Balance]]-Table157810[[#This Row],[Principal]]-Table157810[[#This Row],[Prepayments]]-Table157810[[#This Row],[Defaulted Principal]]</f>
        <v>0</v>
      </c>
      <c r="P260" s="3">
        <f>Table157810[[#This Row],[Principal]]+Table157810[[#This Row],[Interest]]+Table157810[[#This Row],[Prepayments]]+Table157810[[#This Row],[RecoveredAmount]]</f>
        <v>0</v>
      </c>
      <c r="Q260" s="3">
        <f ca="1">ROUND(Table157810[[#This Row],[Cash Flow]]/((1+ActualRateToUse)^(IF(ISNUMBER(SEARCH("Actual",$C$7)),Table157810[[#This Row],[Running Total]]/365,Table157810[[#This Row],[Period]]/12))),2)</f>
        <v>0</v>
      </c>
      <c r="R260" s="2">
        <f>IF(MONTH(Table157810[[#This Row],[Date]])=2,28,DAY(DATE(YEAR(Table157810[[#This Row],[Date]]),MONTH(Table157810[[#This Row],[Date]])+1,1)-1))</f>
        <v>31</v>
      </c>
      <c r="S260" s="2">
        <f ca="1">SUM(OFFSET(Table157810[[#Headers],[Days in month]],1,0):Table157810[[#This Row],[Days in month]])</f>
        <v>7423</v>
      </c>
      <c r="T260" s="37">
        <f>InterestRate*AmortizationMultiplier*IF(ISNUMBER(SEARCH("Actual",$C$7)),Table157810[[#This Row],[Days in month]]/365,1/12)</f>
        <v>5.9839472222222214E-3</v>
      </c>
    </row>
    <row r="261" spans="2:20" x14ac:dyDescent="0.2">
      <c r="B261" s="1">
        <f t="shared" si="10"/>
        <v>53296</v>
      </c>
      <c r="C261" s="2">
        <f t="shared" si="12"/>
        <v>245</v>
      </c>
      <c r="D261" s="3">
        <f t="shared" si="11"/>
        <v>0</v>
      </c>
      <c r="E261" s="3">
        <f>ROUND(Table157810[[#This Row],[Beginning Balance]]*Table157810[[#This Row],[Monthly Interest Rate]],2)</f>
        <v>0</v>
      </c>
      <c r="F261" s="3">
        <f t="shared" si="13"/>
        <v>597</v>
      </c>
      <c r="G261" s="23">
        <f>IFERROR(IF($C$13="No","N/A",IF(Table157810[[#This Row],[Period]]=1,$C$6,PMT(InterestRate*AmortizationMultiplier/12,Table157810[[#This Row],[Am Thru]],-Table157810[[#This Row],[Beginning Balance]]))),0)</f>
        <v>0</v>
      </c>
      <c r="H261" s="3">
        <f>MAX(0,IF(C261=$C$4,D261,ROUND(IF($C$3="Fixed Principal",$C$6-Table157810[[#This Row],[Interest]],IF($C$3="Interest Only",Table157810[[#This Row],[Beginning Balance]]*ROUND(1-(1-IF($C$11="No",$E$8,1))^(1/12),6),MIN(IF($C$13="Yes",Table157810[[#This Row],[Payment Amount (Reamortized)]],$C$6)-Table157810[[#This Row],[Interest]],Table157810[[#This Row],[Beginning Balance]]))),2)))</f>
        <v>0</v>
      </c>
      <c r="I261" s="3">
        <f>_xlfn.SINGLE(IF($C$3="Line of Credit",0,ROUND(MAX(MIN(IF($C$10="No",$E$7,VLOOKUP(Table157810[[#This Row],[Period]],Forecast!$H$2:$L$1048576,4,FALSE))*Table157810[[#This Row],[Beginning Balance]],Table157810[[#This Row],[Beginning Balance]]-Table157810[[#This Row],[Principal]]),0),2)))</f>
        <v>0</v>
      </c>
      <c r="J261" s="3">
        <f>ROUND(MIN(Table157810[[#This Row],[Beginning Balance]]*IF($C$8="No",$E$3,VLOOKUP(Table157810[[#This Row],[Period]],Forecast!$H$2:$L$1048576,2,FALSE)),Table157810[[#This Row],[Beginning Balance]]-Table157810[[#This Row],[Principal]]-Table157810[[#This Row],[Prepayments]]),2)</f>
        <v>0</v>
      </c>
      <c r="K261" s="3">
        <f>ROUND(Table157810[[#This Row],[Defaulted Principal]]*IF($C$9="No",$E$4,VLOOKUP(Table157810[[#This Row],[Period]],Forecast!$H$2:$L$1048576,3,FALSE)),2)</f>
        <v>0</v>
      </c>
      <c r="L261" s="2">
        <f>Table157810[[#This Row],[Period]]+$E$9</f>
        <v>257</v>
      </c>
      <c r="M261" s="3">
        <f>Table157810[[#This Row],[Defaulted Principal]]-Table157810[[#This Row],[Estimated Loss]]</f>
        <v>0</v>
      </c>
      <c r="N261" s="3">
        <f>IFERROR(VLOOKUP(Table157810[[#This Row],[Period]],$L$16:$M$385,2,FALSE),0)</f>
        <v>0</v>
      </c>
      <c r="O261" s="3">
        <f>Table157810[[#This Row],[Beginning Balance]]-Table157810[[#This Row],[Principal]]-Table157810[[#This Row],[Prepayments]]-Table157810[[#This Row],[Defaulted Principal]]</f>
        <v>0</v>
      </c>
      <c r="P261" s="3">
        <f>Table157810[[#This Row],[Principal]]+Table157810[[#This Row],[Interest]]+Table157810[[#This Row],[Prepayments]]+Table157810[[#This Row],[RecoveredAmount]]</f>
        <v>0</v>
      </c>
      <c r="Q261" s="3">
        <f ca="1">ROUND(Table157810[[#This Row],[Cash Flow]]/((1+ActualRateToUse)^(IF(ISNUMBER(SEARCH("Actual",$C$7)),Table157810[[#This Row],[Running Total]]/365,Table157810[[#This Row],[Period]]/12))),2)</f>
        <v>0</v>
      </c>
      <c r="R261" s="2">
        <f>IF(MONTH(Table157810[[#This Row],[Date]])=2,28,DAY(DATE(YEAR(Table157810[[#This Row],[Date]]),MONTH(Table157810[[#This Row],[Date]])+1,1)-1))</f>
        <v>30</v>
      </c>
      <c r="S261" s="2">
        <f ca="1">SUM(OFFSET(Table157810[[#Headers],[Days in month]],1,0):Table157810[[#This Row],[Days in month]])</f>
        <v>7453</v>
      </c>
      <c r="T261" s="37">
        <f>InterestRate*AmortizationMultiplier*IF(ISNUMBER(SEARCH("Actual",$C$7)),Table157810[[#This Row],[Days in month]]/365,1/12)</f>
        <v>5.7909166666666656E-3</v>
      </c>
    </row>
    <row r="262" spans="2:20" x14ac:dyDescent="0.2">
      <c r="B262" s="1">
        <f t="shared" si="10"/>
        <v>53327</v>
      </c>
      <c r="C262" s="2">
        <f t="shared" si="12"/>
        <v>246</v>
      </c>
      <c r="D262" s="3">
        <f t="shared" si="11"/>
        <v>0</v>
      </c>
      <c r="E262" s="3">
        <f>ROUND(Table157810[[#This Row],[Beginning Balance]]*Table157810[[#This Row],[Monthly Interest Rate]],2)</f>
        <v>0</v>
      </c>
      <c r="F262" s="3">
        <f t="shared" si="13"/>
        <v>596</v>
      </c>
      <c r="G262" s="23">
        <f>IFERROR(IF($C$13="No","N/A",IF(Table157810[[#This Row],[Period]]=1,$C$6,PMT(InterestRate*AmortizationMultiplier/12,Table157810[[#This Row],[Am Thru]],-Table157810[[#This Row],[Beginning Balance]]))),0)</f>
        <v>0</v>
      </c>
      <c r="H262" s="3">
        <f>MAX(0,IF(C262=$C$4,D262,ROUND(IF($C$3="Fixed Principal",$C$6-Table157810[[#This Row],[Interest]],IF($C$3="Interest Only",Table157810[[#This Row],[Beginning Balance]]*ROUND(1-(1-IF($C$11="No",$E$8,1))^(1/12),6),MIN(IF($C$13="Yes",Table157810[[#This Row],[Payment Amount (Reamortized)]],$C$6)-Table157810[[#This Row],[Interest]],Table157810[[#This Row],[Beginning Balance]]))),2)))</f>
        <v>0</v>
      </c>
      <c r="I262" s="3">
        <f>_xlfn.SINGLE(IF($C$3="Line of Credit",0,ROUND(MAX(MIN(IF($C$10="No",$E$7,VLOOKUP(Table157810[[#This Row],[Period]],Forecast!$H$2:$L$1048576,4,FALSE))*Table157810[[#This Row],[Beginning Balance]],Table157810[[#This Row],[Beginning Balance]]-Table157810[[#This Row],[Principal]]),0),2)))</f>
        <v>0</v>
      </c>
      <c r="J262" s="3">
        <f>ROUND(MIN(Table157810[[#This Row],[Beginning Balance]]*IF($C$8="No",$E$3,VLOOKUP(Table157810[[#This Row],[Period]],Forecast!$H$2:$L$1048576,2,FALSE)),Table157810[[#This Row],[Beginning Balance]]-Table157810[[#This Row],[Principal]]-Table157810[[#This Row],[Prepayments]]),2)</f>
        <v>0</v>
      </c>
      <c r="K262" s="3">
        <f>ROUND(Table157810[[#This Row],[Defaulted Principal]]*IF($C$9="No",$E$4,VLOOKUP(Table157810[[#This Row],[Period]],Forecast!$H$2:$L$1048576,3,FALSE)),2)</f>
        <v>0</v>
      </c>
      <c r="L262" s="2">
        <f>Table157810[[#This Row],[Period]]+$E$9</f>
        <v>258</v>
      </c>
      <c r="M262" s="3">
        <f>Table157810[[#This Row],[Defaulted Principal]]-Table157810[[#This Row],[Estimated Loss]]</f>
        <v>0</v>
      </c>
      <c r="N262" s="3">
        <f>IFERROR(VLOOKUP(Table157810[[#This Row],[Period]],$L$16:$M$385,2,FALSE),0)</f>
        <v>0</v>
      </c>
      <c r="O262" s="3">
        <f>Table157810[[#This Row],[Beginning Balance]]-Table157810[[#This Row],[Principal]]-Table157810[[#This Row],[Prepayments]]-Table157810[[#This Row],[Defaulted Principal]]</f>
        <v>0</v>
      </c>
      <c r="P262" s="3">
        <f>Table157810[[#This Row],[Principal]]+Table157810[[#This Row],[Interest]]+Table157810[[#This Row],[Prepayments]]+Table157810[[#This Row],[RecoveredAmount]]</f>
        <v>0</v>
      </c>
      <c r="Q262" s="3">
        <f ca="1">ROUND(Table157810[[#This Row],[Cash Flow]]/((1+ActualRateToUse)^(IF(ISNUMBER(SEARCH("Actual",$C$7)),Table157810[[#This Row],[Running Total]]/365,Table157810[[#This Row],[Period]]/12))),2)</f>
        <v>0</v>
      </c>
      <c r="R262" s="2">
        <f>IF(MONTH(Table157810[[#This Row],[Date]])=2,28,DAY(DATE(YEAR(Table157810[[#This Row],[Date]]),MONTH(Table157810[[#This Row],[Date]])+1,1)-1))</f>
        <v>31</v>
      </c>
      <c r="S262" s="2">
        <f ca="1">SUM(OFFSET(Table157810[[#Headers],[Days in month]],1,0):Table157810[[#This Row],[Days in month]])</f>
        <v>7484</v>
      </c>
      <c r="T262" s="37">
        <f>InterestRate*AmortizationMultiplier*IF(ISNUMBER(SEARCH("Actual",$C$7)),Table157810[[#This Row],[Days in month]]/365,1/12)</f>
        <v>5.9839472222222214E-3</v>
      </c>
    </row>
    <row r="263" spans="2:20" x14ac:dyDescent="0.2">
      <c r="B263" s="1">
        <f t="shared" si="10"/>
        <v>53358</v>
      </c>
      <c r="C263" s="2">
        <f t="shared" si="12"/>
        <v>247</v>
      </c>
      <c r="D263" s="3">
        <f t="shared" si="11"/>
        <v>0</v>
      </c>
      <c r="E263" s="3">
        <f>ROUND(Table157810[[#This Row],[Beginning Balance]]*Table157810[[#This Row],[Monthly Interest Rate]],2)</f>
        <v>0</v>
      </c>
      <c r="F263" s="3">
        <f t="shared" si="13"/>
        <v>595</v>
      </c>
      <c r="G263" s="23">
        <f>IFERROR(IF($C$13="No","N/A",IF(Table157810[[#This Row],[Period]]=1,$C$6,PMT(InterestRate*AmortizationMultiplier/12,Table157810[[#This Row],[Am Thru]],-Table157810[[#This Row],[Beginning Balance]]))),0)</f>
        <v>0</v>
      </c>
      <c r="H263" s="3">
        <f>MAX(0,IF(C263=$C$4,D263,ROUND(IF($C$3="Fixed Principal",$C$6-Table157810[[#This Row],[Interest]],IF($C$3="Interest Only",Table157810[[#This Row],[Beginning Balance]]*ROUND(1-(1-IF($C$11="No",$E$8,1))^(1/12),6),MIN(IF($C$13="Yes",Table157810[[#This Row],[Payment Amount (Reamortized)]],$C$6)-Table157810[[#This Row],[Interest]],Table157810[[#This Row],[Beginning Balance]]))),2)))</f>
        <v>0</v>
      </c>
      <c r="I263" s="3">
        <f>_xlfn.SINGLE(IF($C$3="Line of Credit",0,ROUND(MAX(MIN(IF($C$10="No",$E$7,VLOOKUP(Table157810[[#This Row],[Period]],Forecast!$H$2:$L$1048576,4,FALSE))*Table157810[[#This Row],[Beginning Balance]],Table157810[[#This Row],[Beginning Balance]]-Table157810[[#This Row],[Principal]]),0),2)))</f>
        <v>0</v>
      </c>
      <c r="J263" s="3">
        <f>ROUND(MIN(Table157810[[#This Row],[Beginning Balance]]*IF($C$8="No",$E$3,VLOOKUP(Table157810[[#This Row],[Period]],Forecast!$H$2:$L$1048576,2,FALSE)),Table157810[[#This Row],[Beginning Balance]]-Table157810[[#This Row],[Principal]]-Table157810[[#This Row],[Prepayments]]),2)</f>
        <v>0</v>
      </c>
      <c r="K263" s="3">
        <f>ROUND(Table157810[[#This Row],[Defaulted Principal]]*IF($C$9="No",$E$4,VLOOKUP(Table157810[[#This Row],[Period]],Forecast!$H$2:$L$1048576,3,FALSE)),2)</f>
        <v>0</v>
      </c>
      <c r="L263" s="2">
        <f>Table157810[[#This Row],[Period]]+$E$9</f>
        <v>259</v>
      </c>
      <c r="M263" s="3">
        <f>Table157810[[#This Row],[Defaulted Principal]]-Table157810[[#This Row],[Estimated Loss]]</f>
        <v>0</v>
      </c>
      <c r="N263" s="3">
        <f>IFERROR(VLOOKUP(Table157810[[#This Row],[Period]],$L$16:$M$385,2,FALSE),0)</f>
        <v>0</v>
      </c>
      <c r="O263" s="3">
        <f>Table157810[[#This Row],[Beginning Balance]]-Table157810[[#This Row],[Principal]]-Table157810[[#This Row],[Prepayments]]-Table157810[[#This Row],[Defaulted Principal]]</f>
        <v>0</v>
      </c>
      <c r="P263" s="3">
        <f>Table157810[[#This Row],[Principal]]+Table157810[[#This Row],[Interest]]+Table157810[[#This Row],[Prepayments]]+Table157810[[#This Row],[RecoveredAmount]]</f>
        <v>0</v>
      </c>
      <c r="Q263" s="3">
        <f ca="1">ROUND(Table157810[[#This Row],[Cash Flow]]/((1+ActualRateToUse)^(IF(ISNUMBER(SEARCH("Actual",$C$7)),Table157810[[#This Row],[Running Total]]/365,Table157810[[#This Row],[Period]]/12))),2)</f>
        <v>0</v>
      </c>
      <c r="R263" s="2">
        <f>IF(MONTH(Table157810[[#This Row],[Date]])=2,28,DAY(DATE(YEAR(Table157810[[#This Row],[Date]]),MONTH(Table157810[[#This Row],[Date]])+1,1)-1))</f>
        <v>31</v>
      </c>
      <c r="S263" s="2">
        <f ca="1">SUM(OFFSET(Table157810[[#Headers],[Days in month]],1,0):Table157810[[#This Row],[Days in month]])</f>
        <v>7515</v>
      </c>
      <c r="T263" s="37">
        <f>InterestRate*AmortizationMultiplier*IF(ISNUMBER(SEARCH("Actual",$C$7)),Table157810[[#This Row],[Days in month]]/365,1/12)</f>
        <v>5.9839472222222214E-3</v>
      </c>
    </row>
    <row r="264" spans="2:20" x14ac:dyDescent="0.2">
      <c r="B264" s="1">
        <f t="shared" si="10"/>
        <v>53386</v>
      </c>
      <c r="C264" s="2">
        <f t="shared" si="12"/>
        <v>248</v>
      </c>
      <c r="D264" s="3">
        <f t="shared" si="11"/>
        <v>0</v>
      </c>
      <c r="E264" s="3">
        <f>ROUND(Table157810[[#This Row],[Beginning Balance]]*Table157810[[#This Row],[Monthly Interest Rate]],2)</f>
        <v>0</v>
      </c>
      <c r="F264" s="3">
        <f t="shared" si="13"/>
        <v>594</v>
      </c>
      <c r="G264" s="23">
        <f>IFERROR(IF($C$13="No","N/A",IF(Table157810[[#This Row],[Period]]=1,$C$6,PMT(InterestRate*AmortizationMultiplier/12,Table157810[[#This Row],[Am Thru]],-Table157810[[#This Row],[Beginning Balance]]))),0)</f>
        <v>0</v>
      </c>
      <c r="H264" s="3">
        <f>MAX(0,IF(C264=$C$4,D264,ROUND(IF($C$3="Fixed Principal",$C$6-Table157810[[#This Row],[Interest]],IF($C$3="Interest Only",Table157810[[#This Row],[Beginning Balance]]*ROUND(1-(1-IF($C$11="No",$E$8,1))^(1/12),6),MIN(IF($C$13="Yes",Table157810[[#This Row],[Payment Amount (Reamortized)]],$C$6)-Table157810[[#This Row],[Interest]],Table157810[[#This Row],[Beginning Balance]]))),2)))</f>
        <v>0</v>
      </c>
      <c r="I264" s="3">
        <f>_xlfn.SINGLE(IF($C$3="Line of Credit",0,ROUND(MAX(MIN(IF($C$10="No",$E$7,VLOOKUP(Table157810[[#This Row],[Period]],Forecast!$H$2:$L$1048576,4,FALSE))*Table157810[[#This Row],[Beginning Balance]],Table157810[[#This Row],[Beginning Balance]]-Table157810[[#This Row],[Principal]]),0),2)))</f>
        <v>0</v>
      </c>
      <c r="J264" s="3">
        <f>ROUND(MIN(Table157810[[#This Row],[Beginning Balance]]*IF($C$8="No",$E$3,VLOOKUP(Table157810[[#This Row],[Period]],Forecast!$H$2:$L$1048576,2,FALSE)),Table157810[[#This Row],[Beginning Balance]]-Table157810[[#This Row],[Principal]]-Table157810[[#This Row],[Prepayments]]),2)</f>
        <v>0</v>
      </c>
      <c r="K264" s="3">
        <f>ROUND(Table157810[[#This Row],[Defaulted Principal]]*IF($C$9="No",$E$4,VLOOKUP(Table157810[[#This Row],[Period]],Forecast!$H$2:$L$1048576,3,FALSE)),2)</f>
        <v>0</v>
      </c>
      <c r="L264" s="2">
        <f>Table157810[[#This Row],[Period]]+$E$9</f>
        <v>260</v>
      </c>
      <c r="M264" s="3">
        <f>Table157810[[#This Row],[Defaulted Principal]]-Table157810[[#This Row],[Estimated Loss]]</f>
        <v>0</v>
      </c>
      <c r="N264" s="3">
        <f>IFERROR(VLOOKUP(Table157810[[#This Row],[Period]],$L$16:$M$385,2,FALSE),0)</f>
        <v>0</v>
      </c>
      <c r="O264" s="3">
        <f>Table157810[[#This Row],[Beginning Balance]]-Table157810[[#This Row],[Principal]]-Table157810[[#This Row],[Prepayments]]-Table157810[[#This Row],[Defaulted Principal]]</f>
        <v>0</v>
      </c>
      <c r="P264" s="3">
        <f>Table157810[[#This Row],[Principal]]+Table157810[[#This Row],[Interest]]+Table157810[[#This Row],[Prepayments]]+Table157810[[#This Row],[RecoveredAmount]]</f>
        <v>0</v>
      </c>
      <c r="Q264" s="3">
        <f ca="1">ROUND(Table157810[[#This Row],[Cash Flow]]/((1+ActualRateToUse)^(IF(ISNUMBER(SEARCH("Actual",$C$7)),Table157810[[#This Row],[Running Total]]/365,Table157810[[#This Row],[Period]]/12))),2)</f>
        <v>0</v>
      </c>
      <c r="R264" s="2">
        <f>IF(MONTH(Table157810[[#This Row],[Date]])=2,28,DAY(DATE(YEAR(Table157810[[#This Row],[Date]]),MONTH(Table157810[[#This Row],[Date]])+1,1)-1))</f>
        <v>28</v>
      </c>
      <c r="S264" s="2">
        <f ca="1">SUM(OFFSET(Table157810[[#Headers],[Days in month]],1,0):Table157810[[#This Row],[Days in month]])</f>
        <v>7543</v>
      </c>
      <c r="T264" s="37">
        <f>InterestRate*AmortizationMultiplier*IF(ISNUMBER(SEARCH("Actual",$C$7)),Table157810[[#This Row],[Days in month]]/365,1/12)</f>
        <v>5.4048555555555548E-3</v>
      </c>
    </row>
    <row r="265" spans="2:20" x14ac:dyDescent="0.2">
      <c r="B265" s="1">
        <f t="shared" si="10"/>
        <v>53417</v>
      </c>
      <c r="C265" s="2">
        <f t="shared" si="12"/>
        <v>249</v>
      </c>
      <c r="D265" s="3">
        <f t="shared" si="11"/>
        <v>0</v>
      </c>
      <c r="E265" s="3">
        <f>ROUND(Table157810[[#This Row],[Beginning Balance]]*Table157810[[#This Row],[Monthly Interest Rate]],2)</f>
        <v>0</v>
      </c>
      <c r="F265" s="3">
        <f t="shared" si="13"/>
        <v>593</v>
      </c>
      <c r="G265" s="23">
        <f>IFERROR(IF($C$13="No","N/A",IF(Table157810[[#This Row],[Period]]=1,$C$6,PMT(InterestRate*AmortizationMultiplier/12,Table157810[[#This Row],[Am Thru]],-Table157810[[#This Row],[Beginning Balance]]))),0)</f>
        <v>0</v>
      </c>
      <c r="H265" s="3">
        <f>MAX(0,IF(C265=$C$4,D265,ROUND(IF($C$3="Fixed Principal",$C$6-Table157810[[#This Row],[Interest]],IF($C$3="Interest Only",Table157810[[#This Row],[Beginning Balance]]*ROUND(1-(1-IF($C$11="No",$E$8,1))^(1/12),6),MIN(IF($C$13="Yes",Table157810[[#This Row],[Payment Amount (Reamortized)]],$C$6)-Table157810[[#This Row],[Interest]],Table157810[[#This Row],[Beginning Balance]]))),2)))</f>
        <v>0</v>
      </c>
      <c r="I265" s="3">
        <f>_xlfn.SINGLE(IF($C$3="Line of Credit",0,ROUND(MAX(MIN(IF($C$10="No",$E$7,VLOOKUP(Table157810[[#This Row],[Period]],Forecast!$H$2:$L$1048576,4,FALSE))*Table157810[[#This Row],[Beginning Balance]],Table157810[[#This Row],[Beginning Balance]]-Table157810[[#This Row],[Principal]]),0),2)))</f>
        <v>0</v>
      </c>
      <c r="J265" s="3">
        <f>ROUND(MIN(Table157810[[#This Row],[Beginning Balance]]*IF($C$8="No",$E$3,VLOOKUP(Table157810[[#This Row],[Period]],Forecast!$H$2:$L$1048576,2,FALSE)),Table157810[[#This Row],[Beginning Balance]]-Table157810[[#This Row],[Principal]]-Table157810[[#This Row],[Prepayments]]),2)</f>
        <v>0</v>
      </c>
      <c r="K265" s="3">
        <f>ROUND(Table157810[[#This Row],[Defaulted Principal]]*IF($C$9="No",$E$4,VLOOKUP(Table157810[[#This Row],[Period]],Forecast!$H$2:$L$1048576,3,FALSE)),2)</f>
        <v>0</v>
      </c>
      <c r="L265" s="2">
        <f>Table157810[[#This Row],[Period]]+$E$9</f>
        <v>261</v>
      </c>
      <c r="M265" s="3">
        <f>Table157810[[#This Row],[Defaulted Principal]]-Table157810[[#This Row],[Estimated Loss]]</f>
        <v>0</v>
      </c>
      <c r="N265" s="3">
        <f>IFERROR(VLOOKUP(Table157810[[#This Row],[Period]],$L$16:$M$385,2,FALSE),0)</f>
        <v>0</v>
      </c>
      <c r="O265" s="3">
        <f>Table157810[[#This Row],[Beginning Balance]]-Table157810[[#This Row],[Principal]]-Table157810[[#This Row],[Prepayments]]-Table157810[[#This Row],[Defaulted Principal]]</f>
        <v>0</v>
      </c>
      <c r="P265" s="3">
        <f>Table157810[[#This Row],[Principal]]+Table157810[[#This Row],[Interest]]+Table157810[[#This Row],[Prepayments]]+Table157810[[#This Row],[RecoveredAmount]]</f>
        <v>0</v>
      </c>
      <c r="Q265" s="3">
        <f ca="1">ROUND(Table157810[[#This Row],[Cash Flow]]/((1+ActualRateToUse)^(IF(ISNUMBER(SEARCH("Actual",$C$7)),Table157810[[#This Row],[Running Total]]/365,Table157810[[#This Row],[Period]]/12))),2)</f>
        <v>0</v>
      </c>
      <c r="R265" s="2">
        <f>IF(MONTH(Table157810[[#This Row],[Date]])=2,28,DAY(DATE(YEAR(Table157810[[#This Row],[Date]]),MONTH(Table157810[[#This Row],[Date]])+1,1)-1))</f>
        <v>31</v>
      </c>
      <c r="S265" s="2">
        <f ca="1">SUM(OFFSET(Table157810[[#Headers],[Days in month]],1,0):Table157810[[#This Row],[Days in month]])</f>
        <v>7574</v>
      </c>
      <c r="T265" s="37">
        <f>InterestRate*AmortizationMultiplier*IF(ISNUMBER(SEARCH("Actual",$C$7)),Table157810[[#This Row],[Days in month]]/365,1/12)</f>
        <v>5.9839472222222214E-3</v>
      </c>
    </row>
    <row r="266" spans="2:20" x14ac:dyDescent="0.2">
      <c r="B266" s="1">
        <f t="shared" si="10"/>
        <v>53447</v>
      </c>
      <c r="C266" s="2">
        <f t="shared" si="12"/>
        <v>250</v>
      </c>
      <c r="D266" s="3">
        <f t="shared" si="11"/>
        <v>0</v>
      </c>
      <c r="E266" s="3">
        <f>ROUND(Table157810[[#This Row],[Beginning Balance]]*Table157810[[#This Row],[Monthly Interest Rate]],2)</f>
        <v>0</v>
      </c>
      <c r="F266" s="3">
        <f t="shared" si="13"/>
        <v>592</v>
      </c>
      <c r="G266" s="23">
        <f>IFERROR(IF($C$13="No","N/A",IF(Table157810[[#This Row],[Period]]=1,$C$6,PMT(InterestRate*AmortizationMultiplier/12,Table157810[[#This Row],[Am Thru]],-Table157810[[#This Row],[Beginning Balance]]))),0)</f>
        <v>0</v>
      </c>
      <c r="H266" s="3">
        <f>MAX(0,IF(C266=$C$4,D266,ROUND(IF($C$3="Fixed Principal",$C$6-Table157810[[#This Row],[Interest]],IF($C$3="Interest Only",Table157810[[#This Row],[Beginning Balance]]*ROUND(1-(1-IF($C$11="No",$E$8,1))^(1/12),6),MIN(IF($C$13="Yes",Table157810[[#This Row],[Payment Amount (Reamortized)]],$C$6)-Table157810[[#This Row],[Interest]],Table157810[[#This Row],[Beginning Balance]]))),2)))</f>
        <v>0</v>
      </c>
      <c r="I266" s="3">
        <f>_xlfn.SINGLE(IF($C$3="Line of Credit",0,ROUND(MAX(MIN(IF($C$10="No",$E$7,VLOOKUP(Table157810[[#This Row],[Period]],Forecast!$H$2:$L$1048576,4,FALSE))*Table157810[[#This Row],[Beginning Balance]],Table157810[[#This Row],[Beginning Balance]]-Table157810[[#This Row],[Principal]]),0),2)))</f>
        <v>0</v>
      </c>
      <c r="J266" s="3">
        <f>ROUND(MIN(Table157810[[#This Row],[Beginning Balance]]*IF($C$8="No",$E$3,VLOOKUP(Table157810[[#This Row],[Period]],Forecast!$H$2:$L$1048576,2,FALSE)),Table157810[[#This Row],[Beginning Balance]]-Table157810[[#This Row],[Principal]]-Table157810[[#This Row],[Prepayments]]),2)</f>
        <v>0</v>
      </c>
      <c r="K266" s="3">
        <f>ROUND(Table157810[[#This Row],[Defaulted Principal]]*IF($C$9="No",$E$4,VLOOKUP(Table157810[[#This Row],[Period]],Forecast!$H$2:$L$1048576,3,FALSE)),2)</f>
        <v>0</v>
      </c>
      <c r="L266" s="2">
        <f>Table157810[[#This Row],[Period]]+$E$9</f>
        <v>262</v>
      </c>
      <c r="M266" s="3">
        <f>Table157810[[#This Row],[Defaulted Principal]]-Table157810[[#This Row],[Estimated Loss]]</f>
        <v>0</v>
      </c>
      <c r="N266" s="3">
        <f>IFERROR(VLOOKUP(Table157810[[#This Row],[Period]],$L$16:$M$385,2,FALSE),0)</f>
        <v>0</v>
      </c>
      <c r="O266" s="3">
        <f>Table157810[[#This Row],[Beginning Balance]]-Table157810[[#This Row],[Principal]]-Table157810[[#This Row],[Prepayments]]-Table157810[[#This Row],[Defaulted Principal]]</f>
        <v>0</v>
      </c>
      <c r="P266" s="3">
        <f>Table157810[[#This Row],[Principal]]+Table157810[[#This Row],[Interest]]+Table157810[[#This Row],[Prepayments]]+Table157810[[#This Row],[RecoveredAmount]]</f>
        <v>0</v>
      </c>
      <c r="Q266" s="3">
        <f ca="1">ROUND(Table157810[[#This Row],[Cash Flow]]/((1+ActualRateToUse)^(IF(ISNUMBER(SEARCH("Actual",$C$7)),Table157810[[#This Row],[Running Total]]/365,Table157810[[#This Row],[Period]]/12))),2)</f>
        <v>0</v>
      </c>
      <c r="R266" s="2">
        <f>IF(MONTH(Table157810[[#This Row],[Date]])=2,28,DAY(DATE(YEAR(Table157810[[#This Row],[Date]]),MONTH(Table157810[[#This Row],[Date]])+1,1)-1))</f>
        <v>30</v>
      </c>
      <c r="S266" s="2">
        <f ca="1">SUM(OFFSET(Table157810[[#Headers],[Days in month]],1,0):Table157810[[#This Row],[Days in month]])</f>
        <v>7604</v>
      </c>
      <c r="T266" s="37">
        <f>InterestRate*AmortizationMultiplier*IF(ISNUMBER(SEARCH("Actual",$C$7)),Table157810[[#This Row],[Days in month]]/365,1/12)</f>
        <v>5.7909166666666656E-3</v>
      </c>
    </row>
    <row r="267" spans="2:20" x14ac:dyDescent="0.2">
      <c r="B267" s="1">
        <f t="shared" ref="B267:B330" si="14">EOMONTH(B266,1)</f>
        <v>53478</v>
      </c>
      <c r="C267" s="2">
        <f t="shared" si="12"/>
        <v>251</v>
      </c>
      <c r="D267" s="3">
        <f t="shared" si="11"/>
        <v>0</v>
      </c>
      <c r="E267" s="3">
        <f>ROUND(Table157810[[#This Row],[Beginning Balance]]*Table157810[[#This Row],[Monthly Interest Rate]],2)</f>
        <v>0</v>
      </c>
      <c r="F267" s="3">
        <f t="shared" si="13"/>
        <v>591</v>
      </c>
      <c r="G267" s="23">
        <f>IFERROR(IF($C$13="No","N/A",IF(Table157810[[#This Row],[Period]]=1,$C$6,PMT(InterestRate*AmortizationMultiplier/12,Table157810[[#This Row],[Am Thru]],-Table157810[[#This Row],[Beginning Balance]]))),0)</f>
        <v>0</v>
      </c>
      <c r="H267" s="3">
        <f>MAX(0,IF(C267=$C$4,D267,ROUND(IF($C$3="Fixed Principal",$C$6-Table157810[[#This Row],[Interest]],IF($C$3="Interest Only",Table157810[[#This Row],[Beginning Balance]]*ROUND(1-(1-IF($C$11="No",$E$8,1))^(1/12),6),MIN(IF($C$13="Yes",Table157810[[#This Row],[Payment Amount (Reamortized)]],$C$6)-Table157810[[#This Row],[Interest]],Table157810[[#This Row],[Beginning Balance]]))),2)))</f>
        <v>0</v>
      </c>
      <c r="I267" s="3">
        <f>_xlfn.SINGLE(IF($C$3="Line of Credit",0,ROUND(MAX(MIN(IF($C$10="No",$E$7,VLOOKUP(Table157810[[#This Row],[Period]],Forecast!$H$2:$L$1048576,4,FALSE))*Table157810[[#This Row],[Beginning Balance]],Table157810[[#This Row],[Beginning Balance]]-Table157810[[#This Row],[Principal]]),0),2)))</f>
        <v>0</v>
      </c>
      <c r="J267" s="3">
        <f>ROUND(MIN(Table157810[[#This Row],[Beginning Balance]]*IF($C$8="No",$E$3,VLOOKUP(Table157810[[#This Row],[Period]],Forecast!$H$2:$L$1048576,2,FALSE)),Table157810[[#This Row],[Beginning Balance]]-Table157810[[#This Row],[Principal]]-Table157810[[#This Row],[Prepayments]]),2)</f>
        <v>0</v>
      </c>
      <c r="K267" s="3">
        <f>ROUND(Table157810[[#This Row],[Defaulted Principal]]*IF($C$9="No",$E$4,VLOOKUP(Table157810[[#This Row],[Period]],Forecast!$H$2:$L$1048576,3,FALSE)),2)</f>
        <v>0</v>
      </c>
      <c r="L267" s="2">
        <f>Table157810[[#This Row],[Period]]+$E$9</f>
        <v>263</v>
      </c>
      <c r="M267" s="3">
        <f>Table157810[[#This Row],[Defaulted Principal]]-Table157810[[#This Row],[Estimated Loss]]</f>
        <v>0</v>
      </c>
      <c r="N267" s="3">
        <f>IFERROR(VLOOKUP(Table157810[[#This Row],[Period]],$L$16:$M$385,2,FALSE),0)</f>
        <v>0</v>
      </c>
      <c r="O267" s="3">
        <f>Table157810[[#This Row],[Beginning Balance]]-Table157810[[#This Row],[Principal]]-Table157810[[#This Row],[Prepayments]]-Table157810[[#This Row],[Defaulted Principal]]</f>
        <v>0</v>
      </c>
      <c r="P267" s="3">
        <f>Table157810[[#This Row],[Principal]]+Table157810[[#This Row],[Interest]]+Table157810[[#This Row],[Prepayments]]+Table157810[[#This Row],[RecoveredAmount]]</f>
        <v>0</v>
      </c>
      <c r="Q267" s="3">
        <f ca="1">ROUND(Table157810[[#This Row],[Cash Flow]]/((1+ActualRateToUse)^(IF(ISNUMBER(SEARCH("Actual",$C$7)),Table157810[[#This Row],[Running Total]]/365,Table157810[[#This Row],[Period]]/12))),2)</f>
        <v>0</v>
      </c>
      <c r="R267" s="2">
        <f>IF(MONTH(Table157810[[#This Row],[Date]])=2,28,DAY(DATE(YEAR(Table157810[[#This Row],[Date]]),MONTH(Table157810[[#This Row],[Date]])+1,1)-1))</f>
        <v>31</v>
      </c>
      <c r="S267" s="2">
        <f ca="1">SUM(OFFSET(Table157810[[#Headers],[Days in month]],1,0):Table157810[[#This Row],[Days in month]])</f>
        <v>7635</v>
      </c>
      <c r="T267" s="37">
        <f>InterestRate*AmortizationMultiplier*IF(ISNUMBER(SEARCH("Actual",$C$7)),Table157810[[#This Row],[Days in month]]/365,1/12)</f>
        <v>5.9839472222222214E-3</v>
      </c>
    </row>
    <row r="268" spans="2:20" x14ac:dyDescent="0.2">
      <c r="B268" s="1">
        <f t="shared" si="14"/>
        <v>53508</v>
      </c>
      <c r="C268" s="2">
        <f t="shared" si="12"/>
        <v>252</v>
      </c>
      <c r="D268" s="3">
        <f t="shared" si="11"/>
        <v>0</v>
      </c>
      <c r="E268" s="3">
        <f>ROUND(Table157810[[#This Row],[Beginning Balance]]*Table157810[[#This Row],[Monthly Interest Rate]],2)</f>
        <v>0</v>
      </c>
      <c r="F268" s="3">
        <f t="shared" si="13"/>
        <v>590</v>
      </c>
      <c r="G268" s="23">
        <f>IFERROR(IF($C$13="No","N/A",IF(Table157810[[#This Row],[Period]]=1,$C$6,PMT(InterestRate*AmortizationMultiplier/12,Table157810[[#This Row],[Am Thru]],-Table157810[[#This Row],[Beginning Balance]]))),0)</f>
        <v>0</v>
      </c>
      <c r="H268" s="3">
        <f>MAX(0,IF(C268=$C$4,D268,ROUND(IF($C$3="Fixed Principal",$C$6-Table157810[[#This Row],[Interest]],IF($C$3="Interest Only",Table157810[[#This Row],[Beginning Balance]]*ROUND(1-(1-IF($C$11="No",$E$8,1))^(1/12),6),MIN(IF($C$13="Yes",Table157810[[#This Row],[Payment Amount (Reamortized)]],$C$6)-Table157810[[#This Row],[Interest]],Table157810[[#This Row],[Beginning Balance]]))),2)))</f>
        <v>0</v>
      </c>
      <c r="I268" s="3">
        <f>_xlfn.SINGLE(IF($C$3="Line of Credit",0,ROUND(MAX(MIN(IF($C$10="No",$E$7,VLOOKUP(Table157810[[#This Row],[Period]],Forecast!$H$2:$L$1048576,4,FALSE))*Table157810[[#This Row],[Beginning Balance]],Table157810[[#This Row],[Beginning Balance]]-Table157810[[#This Row],[Principal]]),0),2)))</f>
        <v>0</v>
      </c>
      <c r="J268" s="3">
        <f>ROUND(MIN(Table157810[[#This Row],[Beginning Balance]]*IF($C$8="No",$E$3,VLOOKUP(Table157810[[#This Row],[Period]],Forecast!$H$2:$L$1048576,2,FALSE)),Table157810[[#This Row],[Beginning Balance]]-Table157810[[#This Row],[Principal]]-Table157810[[#This Row],[Prepayments]]),2)</f>
        <v>0</v>
      </c>
      <c r="K268" s="3">
        <f>ROUND(Table157810[[#This Row],[Defaulted Principal]]*IF($C$9="No",$E$4,VLOOKUP(Table157810[[#This Row],[Period]],Forecast!$H$2:$L$1048576,3,FALSE)),2)</f>
        <v>0</v>
      </c>
      <c r="L268" s="2">
        <f>Table157810[[#This Row],[Period]]+$E$9</f>
        <v>264</v>
      </c>
      <c r="M268" s="3">
        <f>Table157810[[#This Row],[Defaulted Principal]]-Table157810[[#This Row],[Estimated Loss]]</f>
        <v>0</v>
      </c>
      <c r="N268" s="3">
        <f>IFERROR(VLOOKUP(Table157810[[#This Row],[Period]],$L$16:$M$385,2,FALSE),0)</f>
        <v>0</v>
      </c>
      <c r="O268" s="3">
        <f>Table157810[[#This Row],[Beginning Balance]]-Table157810[[#This Row],[Principal]]-Table157810[[#This Row],[Prepayments]]-Table157810[[#This Row],[Defaulted Principal]]</f>
        <v>0</v>
      </c>
      <c r="P268" s="3">
        <f>Table157810[[#This Row],[Principal]]+Table157810[[#This Row],[Interest]]+Table157810[[#This Row],[Prepayments]]+Table157810[[#This Row],[RecoveredAmount]]</f>
        <v>0</v>
      </c>
      <c r="Q268" s="3">
        <f ca="1">ROUND(Table157810[[#This Row],[Cash Flow]]/((1+ActualRateToUse)^(IF(ISNUMBER(SEARCH("Actual",$C$7)),Table157810[[#This Row],[Running Total]]/365,Table157810[[#This Row],[Period]]/12))),2)</f>
        <v>0</v>
      </c>
      <c r="R268" s="2">
        <f>IF(MONTH(Table157810[[#This Row],[Date]])=2,28,DAY(DATE(YEAR(Table157810[[#This Row],[Date]]),MONTH(Table157810[[#This Row],[Date]])+1,1)-1))</f>
        <v>30</v>
      </c>
      <c r="S268" s="2">
        <f ca="1">SUM(OFFSET(Table157810[[#Headers],[Days in month]],1,0):Table157810[[#This Row],[Days in month]])</f>
        <v>7665</v>
      </c>
      <c r="T268" s="37">
        <f>InterestRate*AmortizationMultiplier*IF(ISNUMBER(SEARCH("Actual",$C$7)),Table157810[[#This Row],[Days in month]]/365,1/12)</f>
        <v>5.7909166666666656E-3</v>
      </c>
    </row>
    <row r="269" spans="2:20" x14ac:dyDescent="0.2">
      <c r="B269" s="1">
        <f t="shared" si="14"/>
        <v>53539</v>
      </c>
      <c r="C269" s="2">
        <f t="shared" si="12"/>
        <v>253</v>
      </c>
      <c r="D269" s="3">
        <f t="shared" si="11"/>
        <v>0</v>
      </c>
      <c r="E269" s="3">
        <f>ROUND(Table157810[[#This Row],[Beginning Balance]]*Table157810[[#This Row],[Monthly Interest Rate]],2)</f>
        <v>0</v>
      </c>
      <c r="F269" s="3">
        <f t="shared" si="13"/>
        <v>589</v>
      </c>
      <c r="G269" s="23">
        <f>IFERROR(IF($C$13="No","N/A",IF(Table157810[[#This Row],[Period]]=1,$C$6,PMT(InterestRate*AmortizationMultiplier/12,Table157810[[#This Row],[Am Thru]],-Table157810[[#This Row],[Beginning Balance]]))),0)</f>
        <v>0</v>
      </c>
      <c r="H269" s="3">
        <f>MAX(0,IF(C269=$C$4,D269,ROUND(IF($C$3="Fixed Principal",$C$6-Table157810[[#This Row],[Interest]],IF($C$3="Interest Only",Table157810[[#This Row],[Beginning Balance]]*ROUND(1-(1-IF($C$11="No",$E$8,1))^(1/12),6),MIN(IF($C$13="Yes",Table157810[[#This Row],[Payment Amount (Reamortized)]],$C$6)-Table157810[[#This Row],[Interest]],Table157810[[#This Row],[Beginning Balance]]))),2)))</f>
        <v>0</v>
      </c>
      <c r="I269" s="3">
        <f>_xlfn.SINGLE(IF($C$3="Line of Credit",0,ROUND(MAX(MIN(IF($C$10="No",$E$7,VLOOKUP(Table157810[[#This Row],[Period]],Forecast!$H$2:$L$1048576,4,FALSE))*Table157810[[#This Row],[Beginning Balance]],Table157810[[#This Row],[Beginning Balance]]-Table157810[[#This Row],[Principal]]),0),2)))</f>
        <v>0</v>
      </c>
      <c r="J269" s="3">
        <f>ROUND(MIN(Table157810[[#This Row],[Beginning Balance]]*IF($C$8="No",$E$3,VLOOKUP(Table157810[[#This Row],[Period]],Forecast!$H$2:$L$1048576,2,FALSE)),Table157810[[#This Row],[Beginning Balance]]-Table157810[[#This Row],[Principal]]-Table157810[[#This Row],[Prepayments]]),2)</f>
        <v>0</v>
      </c>
      <c r="K269" s="3">
        <f>ROUND(Table157810[[#This Row],[Defaulted Principal]]*IF($C$9="No",$E$4,VLOOKUP(Table157810[[#This Row],[Period]],Forecast!$H$2:$L$1048576,3,FALSE)),2)</f>
        <v>0</v>
      </c>
      <c r="L269" s="2">
        <f>Table157810[[#This Row],[Period]]+$E$9</f>
        <v>265</v>
      </c>
      <c r="M269" s="3">
        <f>Table157810[[#This Row],[Defaulted Principal]]-Table157810[[#This Row],[Estimated Loss]]</f>
        <v>0</v>
      </c>
      <c r="N269" s="3">
        <f>IFERROR(VLOOKUP(Table157810[[#This Row],[Period]],$L$16:$M$385,2,FALSE),0)</f>
        <v>0</v>
      </c>
      <c r="O269" s="3">
        <f>Table157810[[#This Row],[Beginning Balance]]-Table157810[[#This Row],[Principal]]-Table157810[[#This Row],[Prepayments]]-Table157810[[#This Row],[Defaulted Principal]]</f>
        <v>0</v>
      </c>
      <c r="P269" s="3">
        <f>Table157810[[#This Row],[Principal]]+Table157810[[#This Row],[Interest]]+Table157810[[#This Row],[Prepayments]]+Table157810[[#This Row],[RecoveredAmount]]</f>
        <v>0</v>
      </c>
      <c r="Q269" s="3">
        <f ca="1">ROUND(Table157810[[#This Row],[Cash Flow]]/((1+ActualRateToUse)^(IF(ISNUMBER(SEARCH("Actual",$C$7)),Table157810[[#This Row],[Running Total]]/365,Table157810[[#This Row],[Period]]/12))),2)</f>
        <v>0</v>
      </c>
      <c r="R269" s="2">
        <f>IF(MONTH(Table157810[[#This Row],[Date]])=2,28,DAY(DATE(YEAR(Table157810[[#This Row],[Date]]),MONTH(Table157810[[#This Row],[Date]])+1,1)-1))</f>
        <v>31</v>
      </c>
      <c r="S269" s="2">
        <f ca="1">SUM(OFFSET(Table157810[[#Headers],[Days in month]],1,0):Table157810[[#This Row],[Days in month]])</f>
        <v>7696</v>
      </c>
      <c r="T269" s="37">
        <f>InterestRate*AmortizationMultiplier*IF(ISNUMBER(SEARCH("Actual",$C$7)),Table157810[[#This Row],[Days in month]]/365,1/12)</f>
        <v>5.9839472222222214E-3</v>
      </c>
    </row>
    <row r="270" spans="2:20" x14ac:dyDescent="0.2">
      <c r="B270" s="1">
        <f t="shared" si="14"/>
        <v>53570</v>
      </c>
      <c r="C270" s="2">
        <f t="shared" si="12"/>
        <v>254</v>
      </c>
      <c r="D270" s="3">
        <f t="shared" si="11"/>
        <v>0</v>
      </c>
      <c r="E270" s="3">
        <f>ROUND(Table157810[[#This Row],[Beginning Balance]]*Table157810[[#This Row],[Monthly Interest Rate]],2)</f>
        <v>0</v>
      </c>
      <c r="F270" s="3">
        <f t="shared" si="13"/>
        <v>588</v>
      </c>
      <c r="G270" s="23">
        <f>IFERROR(IF($C$13="No","N/A",IF(Table157810[[#This Row],[Period]]=1,$C$6,PMT(InterestRate*AmortizationMultiplier/12,Table157810[[#This Row],[Am Thru]],-Table157810[[#This Row],[Beginning Balance]]))),0)</f>
        <v>0</v>
      </c>
      <c r="H270" s="3">
        <f>MAX(0,IF(C270=$C$4,D270,ROUND(IF($C$3="Fixed Principal",$C$6-Table157810[[#This Row],[Interest]],IF($C$3="Interest Only",Table157810[[#This Row],[Beginning Balance]]*ROUND(1-(1-IF($C$11="No",$E$8,1))^(1/12),6),MIN(IF($C$13="Yes",Table157810[[#This Row],[Payment Amount (Reamortized)]],$C$6)-Table157810[[#This Row],[Interest]],Table157810[[#This Row],[Beginning Balance]]))),2)))</f>
        <v>0</v>
      </c>
      <c r="I270" s="3">
        <f>_xlfn.SINGLE(IF($C$3="Line of Credit",0,ROUND(MAX(MIN(IF($C$10="No",$E$7,VLOOKUP(Table157810[[#This Row],[Period]],Forecast!$H$2:$L$1048576,4,FALSE))*Table157810[[#This Row],[Beginning Balance]],Table157810[[#This Row],[Beginning Balance]]-Table157810[[#This Row],[Principal]]),0),2)))</f>
        <v>0</v>
      </c>
      <c r="J270" s="3">
        <f>ROUND(MIN(Table157810[[#This Row],[Beginning Balance]]*IF($C$8="No",$E$3,VLOOKUP(Table157810[[#This Row],[Period]],Forecast!$H$2:$L$1048576,2,FALSE)),Table157810[[#This Row],[Beginning Balance]]-Table157810[[#This Row],[Principal]]-Table157810[[#This Row],[Prepayments]]),2)</f>
        <v>0</v>
      </c>
      <c r="K270" s="3">
        <f>ROUND(Table157810[[#This Row],[Defaulted Principal]]*IF($C$9="No",$E$4,VLOOKUP(Table157810[[#This Row],[Period]],Forecast!$H$2:$L$1048576,3,FALSE)),2)</f>
        <v>0</v>
      </c>
      <c r="L270" s="2">
        <f>Table157810[[#This Row],[Period]]+$E$9</f>
        <v>266</v>
      </c>
      <c r="M270" s="3">
        <f>Table157810[[#This Row],[Defaulted Principal]]-Table157810[[#This Row],[Estimated Loss]]</f>
        <v>0</v>
      </c>
      <c r="N270" s="3">
        <f>IFERROR(VLOOKUP(Table157810[[#This Row],[Period]],$L$16:$M$385,2,FALSE),0)</f>
        <v>0</v>
      </c>
      <c r="O270" s="3">
        <f>Table157810[[#This Row],[Beginning Balance]]-Table157810[[#This Row],[Principal]]-Table157810[[#This Row],[Prepayments]]-Table157810[[#This Row],[Defaulted Principal]]</f>
        <v>0</v>
      </c>
      <c r="P270" s="3">
        <f>Table157810[[#This Row],[Principal]]+Table157810[[#This Row],[Interest]]+Table157810[[#This Row],[Prepayments]]+Table157810[[#This Row],[RecoveredAmount]]</f>
        <v>0</v>
      </c>
      <c r="Q270" s="3">
        <f ca="1">ROUND(Table157810[[#This Row],[Cash Flow]]/((1+ActualRateToUse)^(IF(ISNUMBER(SEARCH("Actual",$C$7)),Table157810[[#This Row],[Running Total]]/365,Table157810[[#This Row],[Period]]/12))),2)</f>
        <v>0</v>
      </c>
      <c r="R270" s="2">
        <f>IF(MONTH(Table157810[[#This Row],[Date]])=2,28,DAY(DATE(YEAR(Table157810[[#This Row],[Date]]),MONTH(Table157810[[#This Row],[Date]])+1,1)-1))</f>
        <v>31</v>
      </c>
      <c r="S270" s="2">
        <f ca="1">SUM(OFFSET(Table157810[[#Headers],[Days in month]],1,0):Table157810[[#This Row],[Days in month]])</f>
        <v>7727</v>
      </c>
      <c r="T270" s="37">
        <f>InterestRate*AmortizationMultiplier*IF(ISNUMBER(SEARCH("Actual",$C$7)),Table157810[[#This Row],[Days in month]]/365,1/12)</f>
        <v>5.9839472222222214E-3</v>
      </c>
    </row>
    <row r="271" spans="2:20" x14ac:dyDescent="0.2">
      <c r="B271" s="1">
        <f t="shared" si="14"/>
        <v>53600</v>
      </c>
      <c r="C271" s="2">
        <f t="shared" si="12"/>
        <v>255</v>
      </c>
      <c r="D271" s="3">
        <f t="shared" si="11"/>
        <v>0</v>
      </c>
      <c r="E271" s="3">
        <f>ROUND(Table157810[[#This Row],[Beginning Balance]]*Table157810[[#This Row],[Monthly Interest Rate]],2)</f>
        <v>0</v>
      </c>
      <c r="F271" s="3">
        <f t="shared" si="13"/>
        <v>587</v>
      </c>
      <c r="G271" s="23">
        <f>IFERROR(IF($C$13="No","N/A",IF(Table157810[[#This Row],[Period]]=1,$C$6,PMT(InterestRate*AmortizationMultiplier/12,Table157810[[#This Row],[Am Thru]],-Table157810[[#This Row],[Beginning Balance]]))),0)</f>
        <v>0</v>
      </c>
      <c r="H271" s="3">
        <f>MAX(0,IF(C271=$C$4,D271,ROUND(IF($C$3="Fixed Principal",$C$6-Table157810[[#This Row],[Interest]],IF($C$3="Interest Only",Table157810[[#This Row],[Beginning Balance]]*ROUND(1-(1-IF($C$11="No",$E$8,1))^(1/12),6),MIN(IF($C$13="Yes",Table157810[[#This Row],[Payment Amount (Reamortized)]],$C$6)-Table157810[[#This Row],[Interest]],Table157810[[#This Row],[Beginning Balance]]))),2)))</f>
        <v>0</v>
      </c>
      <c r="I271" s="3">
        <f>_xlfn.SINGLE(IF($C$3="Line of Credit",0,ROUND(MAX(MIN(IF($C$10="No",$E$7,VLOOKUP(Table157810[[#This Row],[Period]],Forecast!$H$2:$L$1048576,4,FALSE))*Table157810[[#This Row],[Beginning Balance]],Table157810[[#This Row],[Beginning Balance]]-Table157810[[#This Row],[Principal]]),0),2)))</f>
        <v>0</v>
      </c>
      <c r="J271" s="3">
        <f>ROUND(MIN(Table157810[[#This Row],[Beginning Balance]]*IF($C$8="No",$E$3,VLOOKUP(Table157810[[#This Row],[Period]],Forecast!$H$2:$L$1048576,2,FALSE)),Table157810[[#This Row],[Beginning Balance]]-Table157810[[#This Row],[Principal]]-Table157810[[#This Row],[Prepayments]]),2)</f>
        <v>0</v>
      </c>
      <c r="K271" s="3">
        <f>ROUND(Table157810[[#This Row],[Defaulted Principal]]*IF($C$9="No",$E$4,VLOOKUP(Table157810[[#This Row],[Period]],Forecast!$H$2:$L$1048576,3,FALSE)),2)</f>
        <v>0</v>
      </c>
      <c r="L271" s="2">
        <f>Table157810[[#This Row],[Period]]+$E$9</f>
        <v>267</v>
      </c>
      <c r="M271" s="3">
        <f>Table157810[[#This Row],[Defaulted Principal]]-Table157810[[#This Row],[Estimated Loss]]</f>
        <v>0</v>
      </c>
      <c r="N271" s="3">
        <f>IFERROR(VLOOKUP(Table157810[[#This Row],[Period]],$L$16:$M$385,2,FALSE),0)</f>
        <v>0</v>
      </c>
      <c r="O271" s="3">
        <f>Table157810[[#This Row],[Beginning Balance]]-Table157810[[#This Row],[Principal]]-Table157810[[#This Row],[Prepayments]]-Table157810[[#This Row],[Defaulted Principal]]</f>
        <v>0</v>
      </c>
      <c r="P271" s="3">
        <f>Table157810[[#This Row],[Principal]]+Table157810[[#This Row],[Interest]]+Table157810[[#This Row],[Prepayments]]+Table157810[[#This Row],[RecoveredAmount]]</f>
        <v>0</v>
      </c>
      <c r="Q271" s="3">
        <f ca="1">ROUND(Table157810[[#This Row],[Cash Flow]]/((1+ActualRateToUse)^(IF(ISNUMBER(SEARCH("Actual",$C$7)),Table157810[[#This Row],[Running Total]]/365,Table157810[[#This Row],[Period]]/12))),2)</f>
        <v>0</v>
      </c>
      <c r="R271" s="2">
        <f>IF(MONTH(Table157810[[#This Row],[Date]])=2,28,DAY(DATE(YEAR(Table157810[[#This Row],[Date]]),MONTH(Table157810[[#This Row],[Date]])+1,1)-1))</f>
        <v>30</v>
      </c>
      <c r="S271" s="2">
        <f ca="1">SUM(OFFSET(Table157810[[#Headers],[Days in month]],1,0):Table157810[[#This Row],[Days in month]])</f>
        <v>7757</v>
      </c>
      <c r="T271" s="37">
        <f>InterestRate*AmortizationMultiplier*IF(ISNUMBER(SEARCH("Actual",$C$7)),Table157810[[#This Row],[Days in month]]/365,1/12)</f>
        <v>5.7909166666666656E-3</v>
      </c>
    </row>
    <row r="272" spans="2:20" x14ac:dyDescent="0.2">
      <c r="B272" s="1">
        <f t="shared" si="14"/>
        <v>53631</v>
      </c>
      <c r="C272" s="2">
        <f t="shared" si="12"/>
        <v>256</v>
      </c>
      <c r="D272" s="3">
        <f t="shared" si="11"/>
        <v>0</v>
      </c>
      <c r="E272" s="3">
        <f>ROUND(Table157810[[#This Row],[Beginning Balance]]*Table157810[[#This Row],[Monthly Interest Rate]],2)</f>
        <v>0</v>
      </c>
      <c r="F272" s="3">
        <f t="shared" si="13"/>
        <v>586</v>
      </c>
      <c r="G272" s="23">
        <f>IFERROR(IF($C$13="No","N/A",IF(Table157810[[#This Row],[Period]]=1,$C$6,PMT(InterestRate*AmortizationMultiplier/12,Table157810[[#This Row],[Am Thru]],-Table157810[[#This Row],[Beginning Balance]]))),0)</f>
        <v>0</v>
      </c>
      <c r="H272" s="3">
        <f>MAX(0,IF(C272=$C$4,D272,ROUND(IF($C$3="Fixed Principal",$C$6-Table157810[[#This Row],[Interest]],IF($C$3="Interest Only",Table157810[[#This Row],[Beginning Balance]]*ROUND(1-(1-IF($C$11="No",$E$8,1))^(1/12),6),MIN(IF($C$13="Yes",Table157810[[#This Row],[Payment Amount (Reamortized)]],$C$6)-Table157810[[#This Row],[Interest]],Table157810[[#This Row],[Beginning Balance]]))),2)))</f>
        <v>0</v>
      </c>
      <c r="I272" s="3">
        <f>_xlfn.SINGLE(IF($C$3="Line of Credit",0,ROUND(MAX(MIN(IF($C$10="No",$E$7,VLOOKUP(Table157810[[#This Row],[Period]],Forecast!$H$2:$L$1048576,4,FALSE))*Table157810[[#This Row],[Beginning Balance]],Table157810[[#This Row],[Beginning Balance]]-Table157810[[#This Row],[Principal]]),0),2)))</f>
        <v>0</v>
      </c>
      <c r="J272" s="3">
        <f>ROUND(MIN(Table157810[[#This Row],[Beginning Balance]]*IF($C$8="No",$E$3,VLOOKUP(Table157810[[#This Row],[Period]],Forecast!$H$2:$L$1048576,2,FALSE)),Table157810[[#This Row],[Beginning Balance]]-Table157810[[#This Row],[Principal]]-Table157810[[#This Row],[Prepayments]]),2)</f>
        <v>0</v>
      </c>
      <c r="K272" s="3">
        <f>ROUND(Table157810[[#This Row],[Defaulted Principal]]*IF($C$9="No",$E$4,VLOOKUP(Table157810[[#This Row],[Period]],Forecast!$H$2:$L$1048576,3,FALSE)),2)</f>
        <v>0</v>
      </c>
      <c r="L272" s="2">
        <f>Table157810[[#This Row],[Period]]+$E$9</f>
        <v>268</v>
      </c>
      <c r="M272" s="3">
        <f>Table157810[[#This Row],[Defaulted Principal]]-Table157810[[#This Row],[Estimated Loss]]</f>
        <v>0</v>
      </c>
      <c r="N272" s="3">
        <f>IFERROR(VLOOKUP(Table157810[[#This Row],[Period]],$L$16:$M$385,2,FALSE),0)</f>
        <v>0</v>
      </c>
      <c r="O272" s="3">
        <f>Table157810[[#This Row],[Beginning Balance]]-Table157810[[#This Row],[Principal]]-Table157810[[#This Row],[Prepayments]]-Table157810[[#This Row],[Defaulted Principal]]</f>
        <v>0</v>
      </c>
      <c r="P272" s="3">
        <f>Table157810[[#This Row],[Principal]]+Table157810[[#This Row],[Interest]]+Table157810[[#This Row],[Prepayments]]+Table157810[[#This Row],[RecoveredAmount]]</f>
        <v>0</v>
      </c>
      <c r="Q272" s="3">
        <f ca="1">ROUND(Table157810[[#This Row],[Cash Flow]]/((1+ActualRateToUse)^(IF(ISNUMBER(SEARCH("Actual",$C$7)),Table157810[[#This Row],[Running Total]]/365,Table157810[[#This Row],[Period]]/12))),2)</f>
        <v>0</v>
      </c>
      <c r="R272" s="2">
        <f>IF(MONTH(Table157810[[#This Row],[Date]])=2,28,DAY(DATE(YEAR(Table157810[[#This Row],[Date]]),MONTH(Table157810[[#This Row],[Date]])+1,1)-1))</f>
        <v>31</v>
      </c>
      <c r="S272" s="2">
        <f ca="1">SUM(OFFSET(Table157810[[#Headers],[Days in month]],1,0):Table157810[[#This Row],[Days in month]])</f>
        <v>7788</v>
      </c>
      <c r="T272" s="37">
        <f>InterestRate*AmortizationMultiplier*IF(ISNUMBER(SEARCH("Actual",$C$7)),Table157810[[#This Row],[Days in month]]/365,1/12)</f>
        <v>5.9839472222222214E-3</v>
      </c>
    </row>
    <row r="273" spans="2:20" x14ac:dyDescent="0.2">
      <c r="B273" s="1">
        <f t="shared" si="14"/>
        <v>53661</v>
      </c>
      <c r="C273" s="2">
        <f t="shared" si="12"/>
        <v>257</v>
      </c>
      <c r="D273" s="3">
        <f t="shared" si="11"/>
        <v>0</v>
      </c>
      <c r="E273" s="3">
        <f>ROUND(Table157810[[#This Row],[Beginning Balance]]*Table157810[[#This Row],[Monthly Interest Rate]],2)</f>
        <v>0</v>
      </c>
      <c r="F273" s="3">
        <f t="shared" si="13"/>
        <v>585</v>
      </c>
      <c r="G273" s="23">
        <f>IFERROR(IF($C$13="No","N/A",IF(Table157810[[#This Row],[Period]]=1,$C$6,PMT(InterestRate*AmortizationMultiplier/12,Table157810[[#This Row],[Am Thru]],-Table157810[[#This Row],[Beginning Balance]]))),0)</f>
        <v>0</v>
      </c>
      <c r="H273" s="3">
        <f>MAX(0,IF(C273=$C$4,D273,ROUND(IF($C$3="Fixed Principal",$C$6-Table157810[[#This Row],[Interest]],IF($C$3="Interest Only",Table157810[[#This Row],[Beginning Balance]]*ROUND(1-(1-IF($C$11="No",$E$8,1))^(1/12),6),MIN(IF($C$13="Yes",Table157810[[#This Row],[Payment Amount (Reamortized)]],$C$6)-Table157810[[#This Row],[Interest]],Table157810[[#This Row],[Beginning Balance]]))),2)))</f>
        <v>0</v>
      </c>
      <c r="I273" s="3">
        <f>_xlfn.SINGLE(IF($C$3="Line of Credit",0,ROUND(MAX(MIN(IF($C$10="No",$E$7,VLOOKUP(Table157810[[#This Row],[Period]],Forecast!$H$2:$L$1048576,4,FALSE))*Table157810[[#This Row],[Beginning Balance]],Table157810[[#This Row],[Beginning Balance]]-Table157810[[#This Row],[Principal]]),0),2)))</f>
        <v>0</v>
      </c>
      <c r="J273" s="3">
        <f>ROUND(MIN(Table157810[[#This Row],[Beginning Balance]]*IF($C$8="No",$E$3,VLOOKUP(Table157810[[#This Row],[Period]],Forecast!$H$2:$L$1048576,2,FALSE)),Table157810[[#This Row],[Beginning Balance]]-Table157810[[#This Row],[Principal]]-Table157810[[#This Row],[Prepayments]]),2)</f>
        <v>0</v>
      </c>
      <c r="K273" s="3">
        <f>ROUND(Table157810[[#This Row],[Defaulted Principal]]*IF($C$9="No",$E$4,VLOOKUP(Table157810[[#This Row],[Period]],Forecast!$H$2:$L$1048576,3,FALSE)),2)</f>
        <v>0</v>
      </c>
      <c r="L273" s="2">
        <f>Table157810[[#This Row],[Period]]+$E$9</f>
        <v>269</v>
      </c>
      <c r="M273" s="3">
        <f>Table157810[[#This Row],[Defaulted Principal]]-Table157810[[#This Row],[Estimated Loss]]</f>
        <v>0</v>
      </c>
      <c r="N273" s="3">
        <f>IFERROR(VLOOKUP(Table157810[[#This Row],[Period]],$L$16:$M$385,2,FALSE),0)</f>
        <v>0</v>
      </c>
      <c r="O273" s="3">
        <f>Table157810[[#This Row],[Beginning Balance]]-Table157810[[#This Row],[Principal]]-Table157810[[#This Row],[Prepayments]]-Table157810[[#This Row],[Defaulted Principal]]</f>
        <v>0</v>
      </c>
      <c r="P273" s="3">
        <f>Table157810[[#This Row],[Principal]]+Table157810[[#This Row],[Interest]]+Table157810[[#This Row],[Prepayments]]+Table157810[[#This Row],[RecoveredAmount]]</f>
        <v>0</v>
      </c>
      <c r="Q273" s="3">
        <f ca="1">ROUND(Table157810[[#This Row],[Cash Flow]]/((1+ActualRateToUse)^(IF(ISNUMBER(SEARCH("Actual",$C$7)),Table157810[[#This Row],[Running Total]]/365,Table157810[[#This Row],[Period]]/12))),2)</f>
        <v>0</v>
      </c>
      <c r="R273" s="2">
        <f>IF(MONTH(Table157810[[#This Row],[Date]])=2,28,DAY(DATE(YEAR(Table157810[[#This Row],[Date]]),MONTH(Table157810[[#This Row],[Date]])+1,1)-1))</f>
        <v>30</v>
      </c>
      <c r="S273" s="2">
        <f ca="1">SUM(OFFSET(Table157810[[#Headers],[Days in month]],1,0):Table157810[[#This Row],[Days in month]])</f>
        <v>7818</v>
      </c>
      <c r="T273" s="37">
        <f>InterestRate*AmortizationMultiplier*IF(ISNUMBER(SEARCH("Actual",$C$7)),Table157810[[#This Row],[Days in month]]/365,1/12)</f>
        <v>5.7909166666666656E-3</v>
      </c>
    </row>
    <row r="274" spans="2:20" x14ac:dyDescent="0.2">
      <c r="B274" s="1">
        <f t="shared" si="14"/>
        <v>53692</v>
      </c>
      <c r="C274" s="2">
        <f t="shared" si="12"/>
        <v>258</v>
      </c>
      <c r="D274" s="3">
        <f t="shared" ref="D274:D337" si="15">O273</f>
        <v>0</v>
      </c>
      <c r="E274" s="3">
        <f>ROUND(Table157810[[#This Row],[Beginning Balance]]*Table157810[[#This Row],[Monthly Interest Rate]],2)</f>
        <v>0</v>
      </c>
      <c r="F274" s="3">
        <f t="shared" si="13"/>
        <v>584</v>
      </c>
      <c r="G274" s="23">
        <f>IFERROR(IF($C$13="No","N/A",IF(Table157810[[#This Row],[Period]]=1,$C$6,PMT(InterestRate*AmortizationMultiplier/12,Table157810[[#This Row],[Am Thru]],-Table157810[[#This Row],[Beginning Balance]]))),0)</f>
        <v>0</v>
      </c>
      <c r="H274" s="3">
        <f>MAX(0,IF(C274=$C$4,D274,ROUND(IF($C$3="Fixed Principal",$C$6-Table157810[[#This Row],[Interest]],IF($C$3="Interest Only",Table157810[[#This Row],[Beginning Balance]]*ROUND(1-(1-IF($C$11="No",$E$8,1))^(1/12),6),MIN(IF($C$13="Yes",Table157810[[#This Row],[Payment Amount (Reamortized)]],$C$6)-Table157810[[#This Row],[Interest]],Table157810[[#This Row],[Beginning Balance]]))),2)))</f>
        <v>0</v>
      </c>
      <c r="I274" s="3">
        <f>_xlfn.SINGLE(IF($C$3="Line of Credit",0,ROUND(MAX(MIN(IF($C$10="No",$E$7,VLOOKUP(Table157810[[#This Row],[Period]],Forecast!$H$2:$L$1048576,4,FALSE))*Table157810[[#This Row],[Beginning Balance]],Table157810[[#This Row],[Beginning Balance]]-Table157810[[#This Row],[Principal]]),0),2)))</f>
        <v>0</v>
      </c>
      <c r="J274" s="3">
        <f>ROUND(MIN(Table157810[[#This Row],[Beginning Balance]]*IF($C$8="No",$E$3,VLOOKUP(Table157810[[#This Row],[Period]],Forecast!$H$2:$L$1048576,2,FALSE)),Table157810[[#This Row],[Beginning Balance]]-Table157810[[#This Row],[Principal]]-Table157810[[#This Row],[Prepayments]]),2)</f>
        <v>0</v>
      </c>
      <c r="K274" s="3">
        <f>ROUND(Table157810[[#This Row],[Defaulted Principal]]*IF($C$9="No",$E$4,VLOOKUP(Table157810[[#This Row],[Period]],Forecast!$H$2:$L$1048576,3,FALSE)),2)</f>
        <v>0</v>
      </c>
      <c r="L274" s="2">
        <f>Table157810[[#This Row],[Period]]+$E$9</f>
        <v>270</v>
      </c>
      <c r="M274" s="3">
        <f>Table157810[[#This Row],[Defaulted Principal]]-Table157810[[#This Row],[Estimated Loss]]</f>
        <v>0</v>
      </c>
      <c r="N274" s="3">
        <f>IFERROR(VLOOKUP(Table157810[[#This Row],[Period]],$L$16:$M$385,2,FALSE),0)</f>
        <v>0</v>
      </c>
      <c r="O274" s="3">
        <f>Table157810[[#This Row],[Beginning Balance]]-Table157810[[#This Row],[Principal]]-Table157810[[#This Row],[Prepayments]]-Table157810[[#This Row],[Defaulted Principal]]</f>
        <v>0</v>
      </c>
      <c r="P274" s="3">
        <f>Table157810[[#This Row],[Principal]]+Table157810[[#This Row],[Interest]]+Table157810[[#This Row],[Prepayments]]+Table157810[[#This Row],[RecoveredAmount]]</f>
        <v>0</v>
      </c>
      <c r="Q274" s="3">
        <f ca="1">ROUND(Table157810[[#This Row],[Cash Flow]]/((1+ActualRateToUse)^(IF(ISNUMBER(SEARCH("Actual",$C$7)),Table157810[[#This Row],[Running Total]]/365,Table157810[[#This Row],[Period]]/12))),2)</f>
        <v>0</v>
      </c>
      <c r="R274" s="2">
        <f>IF(MONTH(Table157810[[#This Row],[Date]])=2,28,DAY(DATE(YEAR(Table157810[[#This Row],[Date]]),MONTH(Table157810[[#This Row],[Date]])+1,1)-1))</f>
        <v>31</v>
      </c>
      <c r="S274" s="2">
        <f ca="1">SUM(OFFSET(Table157810[[#Headers],[Days in month]],1,0):Table157810[[#This Row],[Days in month]])</f>
        <v>7849</v>
      </c>
      <c r="T274" s="37">
        <f>InterestRate*AmortizationMultiplier*IF(ISNUMBER(SEARCH("Actual",$C$7)),Table157810[[#This Row],[Days in month]]/365,1/12)</f>
        <v>5.9839472222222214E-3</v>
      </c>
    </row>
    <row r="275" spans="2:20" x14ac:dyDescent="0.2">
      <c r="B275" s="1">
        <f t="shared" si="14"/>
        <v>53723</v>
      </c>
      <c r="C275" s="2">
        <f t="shared" ref="C275:C338" si="16">C274+1</f>
        <v>259</v>
      </c>
      <c r="D275" s="3">
        <f t="shared" si="15"/>
        <v>0</v>
      </c>
      <c r="E275" s="3">
        <f>ROUND(Table157810[[#This Row],[Beginning Balance]]*Table157810[[#This Row],[Monthly Interest Rate]],2)</f>
        <v>0</v>
      </c>
      <c r="F275" s="3">
        <f t="shared" ref="F275:F338" si="17">+F274-1</f>
        <v>583</v>
      </c>
      <c r="G275" s="23">
        <f>IFERROR(IF($C$13="No","N/A",IF(Table157810[[#This Row],[Period]]=1,$C$6,PMT(InterestRate*AmortizationMultiplier/12,Table157810[[#This Row],[Am Thru]],-Table157810[[#This Row],[Beginning Balance]]))),0)</f>
        <v>0</v>
      </c>
      <c r="H275" s="3">
        <f>MAX(0,IF(C275=$C$4,D275,ROUND(IF($C$3="Fixed Principal",$C$6-Table157810[[#This Row],[Interest]],IF($C$3="Interest Only",Table157810[[#This Row],[Beginning Balance]]*ROUND(1-(1-IF($C$11="No",$E$8,1))^(1/12),6),MIN(IF($C$13="Yes",Table157810[[#This Row],[Payment Amount (Reamortized)]],$C$6)-Table157810[[#This Row],[Interest]],Table157810[[#This Row],[Beginning Balance]]))),2)))</f>
        <v>0</v>
      </c>
      <c r="I275" s="3">
        <f>_xlfn.SINGLE(IF($C$3="Line of Credit",0,ROUND(MAX(MIN(IF($C$10="No",$E$7,VLOOKUP(Table157810[[#This Row],[Period]],Forecast!$H$2:$L$1048576,4,FALSE))*Table157810[[#This Row],[Beginning Balance]],Table157810[[#This Row],[Beginning Balance]]-Table157810[[#This Row],[Principal]]),0),2)))</f>
        <v>0</v>
      </c>
      <c r="J275" s="3">
        <f>ROUND(MIN(Table157810[[#This Row],[Beginning Balance]]*IF($C$8="No",$E$3,VLOOKUP(Table157810[[#This Row],[Period]],Forecast!$H$2:$L$1048576,2,FALSE)),Table157810[[#This Row],[Beginning Balance]]-Table157810[[#This Row],[Principal]]-Table157810[[#This Row],[Prepayments]]),2)</f>
        <v>0</v>
      </c>
      <c r="K275" s="3">
        <f>ROUND(Table157810[[#This Row],[Defaulted Principal]]*IF($C$9="No",$E$4,VLOOKUP(Table157810[[#This Row],[Period]],Forecast!$H$2:$L$1048576,3,FALSE)),2)</f>
        <v>0</v>
      </c>
      <c r="L275" s="2">
        <f>Table157810[[#This Row],[Period]]+$E$9</f>
        <v>271</v>
      </c>
      <c r="M275" s="3">
        <f>Table157810[[#This Row],[Defaulted Principal]]-Table157810[[#This Row],[Estimated Loss]]</f>
        <v>0</v>
      </c>
      <c r="N275" s="3">
        <f>IFERROR(VLOOKUP(Table157810[[#This Row],[Period]],$L$16:$M$385,2,FALSE),0)</f>
        <v>0</v>
      </c>
      <c r="O275" s="3">
        <f>Table157810[[#This Row],[Beginning Balance]]-Table157810[[#This Row],[Principal]]-Table157810[[#This Row],[Prepayments]]-Table157810[[#This Row],[Defaulted Principal]]</f>
        <v>0</v>
      </c>
      <c r="P275" s="3">
        <f>Table157810[[#This Row],[Principal]]+Table157810[[#This Row],[Interest]]+Table157810[[#This Row],[Prepayments]]+Table157810[[#This Row],[RecoveredAmount]]</f>
        <v>0</v>
      </c>
      <c r="Q275" s="3">
        <f ca="1">ROUND(Table157810[[#This Row],[Cash Flow]]/((1+ActualRateToUse)^(IF(ISNUMBER(SEARCH("Actual",$C$7)),Table157810[[#This Row],[Running Total]]/365,Table157810[[#This Row],[Period]]/12))),2)</f>
        <v>0</v>
      </c>
      <c r="R275" s="2">
        <f>IF(MONTH(Table157810[[#This Row],[Date]])=2,28,DAY(DATE(YEAR(Table157810[[#This Row],[Date]]),MONTH(Table157810[[#This Row],[Date]])+1,1)-1))</f>
        <v>31</v>
      </c>
      <c r="S275" s="2">
        <f ca="1">SUM(OFFSET(Table157810[[#Headers],[Days in month]],1,0):Table157810[[#This Row],[Days in month]])</f>
        <v>7880</v>
      </c>
      <c r="T275" s="37">
        <f>InterestRate*AmortizationMultiplier*IF(ISNUMBER(SEARCH("Actual",$C$7)),Table157810[[#This Row],[Days in month]]/365,1/12)</f>
        <v>5.9839472222222214E-3</v>
      </c>
    </row>
    <row r="276" spans="2:20" x14ac:dyDescent="0.2">
      <c r="B276" s="1">
        <f t="shared" si="14"/>
        <v>53751</v>
      </c>
      <c r="C276" s="2">
        <f t="shared" si="16"/>
        <v>260</v>
      </c>
      <c r="D276" s="3">
        <f t="shared" si="15"/>
        <v>0</v>
      </c>
      <c r="E276" s="3">
        <f>ROUND(Table157810[[#This Row],[Beginning Balance]]*Table157810[[#This Row],[Monthly Interest Rate]],2)</f>
        <v>0</v>
      </c>
      <c r="F276" s="3">
        <f t="shared" si="17"/>
        <v>582</v>
      </c>
      <c r="G276" s="23">
        <f>IFERROR(IF($C$13="No","N/A",IF(Table157810[[#This Row],[Period]]=1,$C$6,PMT(InterestRate*AmortizationMultiplier/12,Table157810[[#This Row],[Am Thru]],-Table157810[[#This Row],[Beginning Balance]]))),0)</f>
        <v>0</v>
      </c>
      <c r="H276" s="3">
        <f>MAX(0,IF(C276=$C$4,D276,ROUND(IF($C$3="Fixed Principal",$C$6-Table157810[[#This Row],[Interest]],IF($C$3="Interest Only",Table157810[[#This Row],[Beginning Balance]]*ROUND(1-(1-IF($C$11="No",$E$8,1))^(1/12),6),MIN(IF($C$13="Yes",Table157810[[#This Row],[Payment Amount (Reamortized)]],$C$6)-Table157810[[#This Row],[Interest]],Table157810[[#This Row],[Beginning Balance]]))),2)))</f>
        <v>0</v>
      </c>
      <c r="I276" s="3">
        <f>_xlfn.SINGLE(IF($C$3="Line of Credit",0,ROUND(MAX(MIN(IF($C$10="No",$E$7,VLOOKUP(Table157810[[#This Row],[Period]],Forecast!$H$2:$L$1048576,4,FALSE))*Table157810[[#This Row],[Beginning Balance]],Table157810[[#This Row],[Beginning Balance]]-Table157810[[#This Row],[Principal]]),0),2)))</f>
        <v>0</v>
      </c>
      <c r="J276" s="3">
        <f>ROUND(MIN(Table157810[[#This Row],[Beginning Balance]]*IF($C$8="No",$E$3,VLOOKUP(Table157810[[#This Row],[Period]],Forecast!$H$2:$L$1048576,2,FALSE)),Table157810[[#This Row],[Beginning Balance]]-Table157810[[#This Row],[Principal]]-Table157810[[#This Row],[Prepayments]]),2)</f>
        <v>0</v>
      </c>
      <c r="K276" s="3">
        <f>ROUND(Table157810[[#This Row],[Defaulted Principal]]*IF($C$9="No",$E$4,VLOOKUP(Table157810[[#This Row],[Period]],Forecast!$H$2:$L$1048576,3,FALSE)),2)</f>
        <v>0</v>
      </c>
      <c r="L276" s="2">
        <f>Table157810[[#This Row],[Period]]+$E$9</f>
        <v>272</v>
      </c>
      <c r="M276" s="3">
        <f>Table157810[[#This Row],[Defaulted Principal]]-Table157810[[#This Row],[Estimated Loss]]</f>
        <v>0</v>
      </c>
      <c r="N276" s="3">
        <f>IFERROR(VLOOKUP(Table157810[[#This Row],[Period]],$L$16:$M$385,2,FALSE),0)</f>
        <v>0</v>
      </c>
      <c r="O276" s="3">
        <f>Table157810[[#This Row],[Beginning Balance]]-Table157810[[#This Row],[Principal]]-Table157810[[#This Row],[Prepayments]]-Table157810[[#This Row],[Defaulted Principal]]</f>
        <v>0</v>
      </c>
      <c r="P276" s="3">
        <f>Table157810[[#This Row],[Principal]]+Table157810[[#This Row],[Interest]]+Table157810[[#This Row],[Prepayments]]+Table157810[[#This Row],[RecoveredAmount]]</f>
        <v>0</v>
      </c>
      <c r="Q276" s="3">
        <f ca="1">ROUND(Table157810[[#This Row],[Cash Flow]]/((1+ActualRateToUse)^(IF(ISNUMBER(SEARCH("Actual",$C$7)),Table157810[[#This Row],[Running Total]]/365,Table157810[[#This Row],[Period]]/12))),2)</f>
        <v>0</v>
      </c>
      <c r="R276" s="2">
        <f>IF(MONTH(Table157810[[#This Row],[Date]])=2,28,DAY(DATE(YEAR(Table157810[[#This Row],[Date]]),MONTH(Table157810[[#This Row],[Date]])+1,1)-1))</f>
        <v>28</v>
      </c>
      <c r="S276" s="2">
        <f ca="1">SUM(OFFSET(Table157810[[#Headers],[Days in month]],1,0):Table157810[[#This Row],[Days in month]])</f>
        <v>7908</v>
      </c>
      <c r="T276" s="37">
        <f>InterestRate*AmortizationMultiplier*IF(ISNUMBER(SEARCH("Actual",$C$7)),Table157810[[#This Row],[Days in month]]/365,1/12)</f>
        <v>5.4048555555555548E-3</v>
      </c>
    </row>
    <row r="277" spans="2:20" x14ac:dyDescent="0.2">
      <c r="B277" s="1">
        <f t="shared" si="14"/>
        <v>53782</v>
      </c>
      <c r="C277" s="2">
        <f t="shared" si="16"/>
        <v>261</v>
      </c>
      <c r="D277" s="3">
        <f t="shared" si="15"/>
        <v>0</v>
      </c>
      <c r="E277" s="3">
        <f>ROUND(Table157810[[#This Row],[Beginning Balance]]*Table157810[[#This Row],[Monthly Interest Rate]],2)</f>
        <v>0</v>
      </c>
      <c r="F277" s="3">
        <f t="shared" si="17"/>
        <v>581</v>
      </c>
      <c r="G277" s="23">
        <f>IFERROR(IF($C$13="No","N/A",IF(Table157810[[#This Row],[Period]]=1,$C$6,PMT(InterestRate*AmortizationMultiplier/12,Table157810[[#This Row],[Am Thru]],-Table157810[[#This Row],[Beginning Balance]]))),0)</f>
        <v>0</v>
      </c>
      <c r="H277" s="3">
        <f>MAX(0,IF(C277=$C$4,D277,ROUND(IF($C$3="Fixed Principal",$C$6-Table157810[[#This Row],[Interest]],IF($C$3="Interest Only",Table157810[[#This Row],[Beginning Balance]]*ROUND(1-(1-IF($C$11="No",$E$8,1))^(1/12),6),MIN(IF($C$13="Yes",Table157810[[#This Row],[Payment Amount (Reamortized)]],$C$6)-Table157810[[#This Row],[Interest]],Table157810[[#This Row],[Beginning Balance]]))),2)))</f>
        <v>0</v>
      </c>
      <c r="I277" s="3">
        <f>_xlfn.SINGLE(IF($C$3="Line of Credit",0,ROUND(MAX(MIN(IF($C$10="No",$E$7,VLOOKUP(Table157810[[#This Row],[Period]],Forecast!$H$2:$L$1048576,4,FALSE))*Table157810[[#This Row],[Beginning Balance]],Table157810[[#This Row],[Beginning Balance]]-Table157810[[#This Row],[Principal]]),0),2)))</f>
        <v>0</v>
      </c>
      <c r="J277" s="3">
        <f>ROUND(MIN(Table157810[[#This Row],[Beginning Balance]]*IF($C$8="No",$E$3,VLOOKUP(Table157810[[#This Row],[Period]],Forecast!$H$2:$L$1048576,2,FALSE)),Table157810[[#This Row],[Beginning Balance]]-Table157810[[#This Row],[Principal]]-Table157810[[#This Row],[Prepayments]]),2)</f>
        <v>0</v>
      </c>
      <c r="K277" s="3">
        <f>ROUND(Table157810[[#This Row],[Defaulted Principal]]*IF($C$9="No",$E$4,VLOOKUP(Table157810[[#This Row],[Period]],Forecast!$H$2:$L$1048576,3,FALSE)),2)</f>
        <v>0</v>
      </c>
      <c r="L277" s="2">
        <f>Table157810[[#This Row],[Period]]+$E$9</f>
        <v>273</v>
      </c>
      <c r="M277" s="3">
        <f>Table157810[[#This Row],[Defaulted Principal]]-Table157810[[#This Row],[Estimated Loss]]</f>
        <v>0</v>
      </c>
      <c r="N277" s="3">
        <f>IFERROR(VLOOKUP(Table157810[[#This Row],[Period]],$L$16:$M$385,2,FALSE),0)</f>
        <v>0</v>
      </c>
      <c r="O277" s="3">
        <f>Table157810[[#This Row],[Beginning Balance]]-Table157810[[#This Row],[Principal]]-Table157810[[#This Row],[Prepayments]]-Table157810[[#This Row],[Defaulted Principal]]</f>
        <v>0</v>
      </c>
      <c r="P277" s="3">
        <f>Table157810[[#This Row],[Principal]]+Table157810[[#This Row],[Interest]]+Table157810[[#This Row],[Prepayments]]+Table157810[[#This Row],[RecoveredAmount]]</f>
        <v>0</v>
      </c>
      <c r="Q277" s="3">
        <f ca="1">ROUND(Table157810[[#This Row],[Cash Flow]]/((1+ActualRateToUse)^(IF(ISNUMBER(SEARCH("Actual",$C$7)),Table157810[[#This Row],[Running Total]]/365,Table157810[[#This Row],[Period]]/12))),2)</f>
        <v>0</v>
      </c>
      <c r="R277" s="2">
        <f>IF(MONTH(Table157810[[#This Row],[Date]])=2,28,DAY(DATE(YEAR(Table157810[[#This Row],[Date]]),MONTH(Table157810[[#This Row],[Date]])+1,1)-1))</f>
        <v>31</v>
      </c>
      <c r="S277" s="2">
        <f ca="1">SUM(OFFSET(Table157810[[#Headers],[Days in month]],1,0):Table157810[[#This Row],[Days in month]])</f>
        <v>7939</v>
      </c>
      <c r="T277" s="37">
        <f>InterestRate*AmortizationMultiplier*IF(ISNUMBER(SEARCH("Actual",$C$7)),Table157810[[#This Row],[Days in month]]/365,1/12)</f>
        <v>5.9839472222222214E-3</v>
      </c>
    </row>
    <row r="278" spans="2:20" x14ac:dyDescent="0.2">
      <c r="B278" s="1">
        <f t="shared" si="14"/>
        <v>53812</v>
      </c>
      <c r="C278" s="2">
        <f t="shared" si="16"/>
        <v>262</v>
      </c>
      <c r="D278" s="3">
        <f t="shared" si="15"/>
        <v>0</v>
      </c>
      <c r="E278" s="3">
        <f>ROUND(Table157810[[#This Row],[Beginning Balance]]*Table157810[[#This Row],[Monthly Interest Rate]],2)</f>
        <v>0</v>
      </c>
      <c r="F278" s="3">
        <f t="shared" si="17"/>
        <v>580</v>
      </c>
      <c r="G278" s="23">
        <f>IFERROR(IF($C$13="No","N/A",IF(Table157810[[#This Row],[Period]]=1,$C$6,PMT(InterestRate*AmortizationMultiplier/12,Table157810[[#This Row],[Am Thru]],-Table157810[[#This Row],[Beginning Balance]]))),0)</f>
        <v>0</v>
      </c>
      <c r="H278" s="3">
        <f>MAX(0,IF(C278=$C$4,D278,ROUND(IF($C$3="Fixed Principal",$C$6-Table157810[[#This Row],[Interest]],IF($C$3="Interest Only",Table157810[[#This Row],[Beginning Balance]]*ROUND(1-(1-IF($C$11="No",$E$8,1))^(1/12),6),MIN(IF($C$13="Yes",Table157810[[#This Row],[Payment Amount (Reamortized)]],$C$6)-Table157810[[#This Row],[Interest]],Table157810[[#This Row],[Beginning Balance]]))),2)))</f>
        <v>0</v>
      </c>
      <c r="I278" s="3">
        <f>_xlfn.SINGLE(IF($C$3="Line of Credit",0,ROUND(MAX(MIN(IF($C$10="No",$E$7,VLOOKUP(Table157810[[#This Row],[Period]],Forecast!$H$2:$L$1048576,4,FALSE))*Table157810[[#This Row],[Beginning Balance]],Table157810[[#This Row],[Beginning Balance]]-Table157810[[#This Row],[Principal]]),0),2)))</f>
        <v>0</v>
      </c>
      <c r="J278" s="3">
        <f>ROUND(MIN(Table157810[[#This Row],[Beginning Balance]]*IF($C$8="No",$E$3,VLOOKUP(Table157810[[#This Row],[Period]],Forecast!$H$2:$L$1048576,2,FALSE)),Table157810[[#This Row],[Beginning Balance]]-Table157810[[#This Row],[Principal]]-Table157810[[#This Row],[Prepayments]]),2)</f>
        <v>0</v>
      </c>
      <c r="K278" s="3">
        <f>ROUND(Table157810[[#This Row],[Defaulted Principal]]*IF($C$9="No",$E$4,VLOOKUP(Table157810[[#This Row],[Period]],Forecast!$H$2:$L$1048576,3,FALSE)),2)</f>
        <v>0</v>
      </c>
      <c r="L278" s="2">
        <f>Table157810[[#This Row],[Period]]+$E$9</f>
        <v>274</v>
      </c>
      <c r="M278" s="3">
        <f>Table157810[[#This Row],[Defaulted Principal]]-Table157810[[#This Row],[Estimated Loss]]</f>
        <v>0</v>
      </c>
      <c r="N278" s="3">
        <f>IFERROR(VLOOKUP(Table157810[[#This Row],[Period]],$L$16:$M$385,2,FALSE),0)</f>
        <v>0</v>
      </c>
      <c r="O278" s="3">
        <f>Table157810[[#This Row],[Beginning Balance]]-Table157810[[#This Row],[Principal]]-Table157810[[#This Row],[Prepayments]]-Table157810[[#This Row],[Defaulted Principal]]</f>
        <v>0</v>
      </c>
      <c r="P278" s="3">
        <f>Table157810[[#This Row],[Principal]]+Table157810[[#This Row],[Interest]]+Table157810[[#This Row],[Prepayments]]+Table157810[[#This Row],[RecoveredAmount]]</f>
        <v>0</v>
      </c>
      <c r="Q278" s="3">
        <f ca="1">ROUND(Table157810[[#This Row],[Cash Flow]]/((1+ActualRateToUse)^(IF(ISNUMBER(SEARCH("Actual",$C$7)),Table157810[[#This Row],[Running Total]]/365,Table157810[[#This Row],[Period]]/12))),2)</f>
        <v>0</v>
      </c>
      <c r="R278" s="2">
        <f>IF(MONTH(Table157810[[#This Row],[Date]])=2,28,DAY(DATE(YEAR(Table157810[[#This Row],[Date]]),MONTH(Table157810[[#This Row],[Date]])+1,1)-1))</f>
        <v>30</v>
      </c>
      <c r="S278" s="2">
        <f ca="1">SUM(OFFSET(Table157810[[#Headers],[Days in month]],1,0):Table157810[[#This Row],[Days in month]])</f>
        <v>7969</v>
      </c>
      <c r="T278" s="37">
        <f>InterestRate*AmortizationMultiplier*IF(ISNUMBER(SEARCH("Actual",$C$7)),Table157810[[#This Row],[Days in month]]/365,1/12)</f>
        <v>5.7909166666666656E-3</v>
      </c>
    </row>
    <row r="279" spans="2:20" x14ac:dyDescent="0.2">
      <c r="B279" s="1">
        <f t="shared" si="14"/>
        <v>53843</v>
      </c>
      <c r="C279" s="2">
        <f t="shared" si="16"/>
        <v>263</v>
      </c>
      <c r="D279" s="3">
        <f t="shared" si="15"/>
        <v>0</v>
      </c>
      <c r="E279" s="3">
        <f>ROUND(Table157810[[#This Row],[Beginning Balance]]*Table157810[[#This Row],[Monthly Interest Rate]],2)</f>
        <v>0</v>
      </c>
      <c r="F279" s="3">
        <f t="shared" si="17"/>
        <v>579</v>
      </c>
      <c r="G279" s="23">
        <f>IFERROR(IF($C$13="No","N/A",IF(Table157810[[#This Row],[Period]]=1,$C$6,PMT(InterestRate*AmortizationMultiplier/12,Table157810[[#This Row],[Am Thru]],-Table157810[[#This Row],[Beginning Balance]]))),0)</f>
        <v>0</v>
      </c>
      <c r="H279" s="3">
        <f>MAX(0,IF(C279=$C$4,D279,ROUND(IF($C$3="Fixed Principal",$C$6-Table157810[[#This Row],[Interest]],IF($C$3="Interest Only",Table157810[[#This Row],[Beginning Balance]]*ROUND(1-(1-IF($C$11="No",$E$8,1))^(1/12),6),MIN(IF($C$13="Yes",Table157810[[#This Row],[Payment Amount (Reamortized)]],$C$6)-Table157810[[#This Row],[Interest]],Table157810[[#This Row],[Beginning Balance]]))),2)))</f>
        <v>0</v>
      </c>
      <c r="I279" s="3">
        <f>_xlfn.SINGLE(IF($C$3="Line of Credit",0,ROUND(MAX(MIN(IF($C$10="No",$E$7,VLOOKUP(Table157810[[#This Row],[Period]],Forecast!$H$2:$L$1048576,4,FALSE))*Table157810[[#This Row],[Beginning Balance]],Table157810[[#This Row],[Beginning Balance]]-Table157810[[#This Row],[Principal]]),0),2)))</f>
        <v>0</v>
      </c>
      <c r="J279" s="3">
        <f>ROUND(MIN(Table157810[[#This Row],[Beginning Balance]]*IF($C$8="No",$E$3,VLOOKUP(Table157810[[#This Row],[Period]],Forecast!$H$2:$L$1048576,2,FALSE)),Table157810[[#This Row],[Beginning Balance]]-Table157810[[#This Row],[Principal]]-Table157810[[#This Row],[Prepayments]]),2)</f>
        <v>0</v>
      </c>
      <c r="K279" s="3">
        <f>ROUND(Table157810[[#This Row],[Defaulted Principal]]*IF($C$9="No",$E$4,VLOOKUP(Table157810[[#This Row],[Period]],Forecast!$H$2:$L$1048576,3,FALSE)),2)</f>
        <v>0</v>
      </c>
      <c r="L279" s="2">
        <f>Table157810[[#This Row],[Period]]+$E$9</f>
        <v>275</v>
      </c>
      <c r="M279" s="3">
        <f>Table157810[[#This Row],[Defaulted Principal]]-Table157810[[#This Row],[Estimated Loss]]</f>
        <v>0</v>
      </c>
      <c r="N279" s="3">
        <f>IFERROR(VLOOKUP(Table157810[[#This Row],[Period]],$L$16:$M$385,2,FALSE),0)</f>
        <v>0</v>
      </c>
      <c r="O279" s="3">
        <f>Table157810[[#This Row],[Beginning Balance]]-Table157810[[#This Row],[Principal]]-Table157810[[#This Row],[Prepayments]]-Table157810[[#This Row],[Defaulted Principal]]</f>
        <v>0</v>
      </c>
      <c r="P279" s="3">
        <f>Table157810[[#This Row],[Principal]]+Table157810[[#This Row],[Interest]]+Table157810[[#This Row],[Prepayments]]+Table157810[[#This Row],[RecoveredAmount]]</f>
        <v>0</v>
      </c>
      <c r="Q279" s="3">
        <f ca="1">ROUND(Table157810[[#This Row],[Cash Flow]]/((1+ActualRateToUse)^(IF(ISNUMBER(SEARCH("Actual",$C$7)),Table157810[[#This Row],[Running Total]]/365,Table157810[[#This Row],[Period]]/12))),2)</f>
        <v>0</v>
      </c>
      <c r="R279" s="2">
        <f>IF(MONTH(Table157810[[#This Row],[Date]])=2,28,DAY(DATE(YEAR(Table157810[[#This Row],[Date]]),MONTH(Table157810[[#This Row],[Date]])+1,1)-1))</f>
        <v>31</v>
      </c>
      <c r="S279" s="2">
        <f ca="1">SUM(OFFSET(Table157810[[#Headers],[Days in month]],1,0):Table157810[[#This Row],[Days in month]])</f>
        <v>8000</v>
      </c>
      <c r="T279" s="37">
        <f>InterestRate*AmortizationMultiplier*IF(ISNUMBER(SEARCH("Actual",$C$7)),Table157810[[#This Row],[Days in month]]/365,1/12)</f>
        <v>5.9839472222222214E-3</v>
      </c>
    </row>
    <row r="280" spans="2:20" x14ac:dyDescent="0.2">
      <c r="B280" s="1">
        <f t="shared" si="14"/>
        <v>53873</v>
      </c>
      <c r="C280" s="2">
        <f t="shared" si="16"/>
        <v>264</v>
      </c>
      <c r="D280" s="3">
        <f t="shared" si="15"/>
        <v>0</v>
      </c>
      <c r="E280" s="3">
        <f>ROUND(Table157810[[#This Row],[Beginning Balance]]*Table157810[[#This Row],[Monthly Interest Rate]],2)</f>
        <v>0</v>
      </c>
      <c r="F280" s="3">
        <f t="shared" si="17"/>
        <v>578</v>
      </c>
      <c r="G280" s="23">
        <f>IFERROR(IF($C$13="No","N/A",IF(Table157810[[#This Row],[Period]]=1,$C$6,PMT(InterestRate*AmortizationMultiplier/12,Table157810[[#This Row],[Am Thru]],-Table157810[[#This Row],[Beginning Balance]]))),0)</f>
        <v>0</v>
      </c>
      <c r="H280" s="3">
        <f>MAX(0,IF(C280=$C$4,D280,ROUND(IF($C$3="Fixed Principal",$C$6-Table157810[[#This Row],[Interest]],IF($C$3="Interest Only",Table157810[[#This Row],[Beginning Balance]]*ROUND(1-(1-IF($C$11="No",$E$8,1))^(1/12),6),MIN(IF($C$13="Yes",Table157810[[#This Row],[Payment Amount (Reamortized)]],$C$6)-Table157810[[#This Row],[Interest]],Table157810[[#This Row],[Beginning Balance]]))),2)))</f>
        <v>0</v>
      </c>
      <c r="I280" s="3">
        <f>_xlfn.SINGLE(IF($C$3="Line of Credit",0,ROUND(MAX(MIN(IF($C$10="No",$E$7,VLOOKUP(Table157810[[#This Row],[Period]],Forecast!$H$2:$L$1048576,4,FALSE))*Table157810[[#This Row],[Beginning Balance]],Table157810[[#This Row],[Beginning Balance]]-Table157810[[#This Row],[Principal]]),0),2)))</f>
        <v>0</v>
      </c>
      <c r="J280" s="3">
        <f>ROUND(MIN(Table157810[[#This Row],[Beginning Balance]]*IF($C$8="No",$E$3,VLOOKUP(Table157810[[#This Row],[Period]],Forecast!$H$2:$L$1048576,2,FALSE)),Table157810[[#This Row],[Beginning Balance]]-Table157810[[#This Row],[Principal]]-Table157810[[#This Row],[Prepayments]]),2)</f>
        <v>0</v>
      </c>
      <c r="K280" s="3">
        <f>ROUND(Table157810[[#This Row],[Defaulted Principal]]*IF($C$9="No",$E$4,VLOOKUP(Table157810[[#This Row],[Period]],Forecast!$H$2:$L$1048576,3,FALSE)),2)</f>
        <v>0</v>
      </c>
      <c r="L280" s="2">
        <f>Table157810[[#This Row],[Period]]+$E$9</f>
        <v>276</v>
      </c>
      <c r="M280" s="3">
        <f>Table157810[[#This Row],[Defaulted Principal]]-Table157810[[#This Row],[Estimated Loss]]</f>
        <v>0</v>
      </c>
      <c r="N280" s="3">
        <f>IFERROR(VLOOKUP(Table157810[[#This Row],[Period]],$L$16:$M$385,2,FALSE),0)</f>
        <v>0</v>
      </c>
      <c r="O280" s="3">
        <f>Table157810[[#This Row],[Beginning Balance]]-Table157810[[#This Row],[Principal]]-Table157810[[#This Row],[Prepayments]]-Table157810[[#This Row],[Defaulted Principal]]</f>
        <v>0</v>
      </c>
      <c r="P280" s="3">
        <f>Table157810[[#This Row],[Principal]]+Table157810[[#This Row],[Interest]]+Table157810[[#This Row],[Prepayments]]+Table157810[[#This Row],[RecoveredAmount]]</f>
        <v>0</v>
      </c>
      <c r="Q280" s="3">
        <f ca="1">ROUND(Table157810[[#This Row],[Cash Flow]]/((1+ActualRateToUse)^(IF(ISNUMBER(SEARCH("Actual",$C$7)),Table157810[[#This Row],[Running Total]]/365,Table157810[[#This Row],[Period]]/12))),2)</f>
        <v>0</v>
      </c>
      <c r="R280" s="2">
        <f>IF(MONTH(Table157810[[#This Row],[Date]])=2,28,DAY(DATE(YEAR(Table157810[[#This Row],[Date]]),MONTH(Table157810[[#This Row],[Date]])+1,1)-1))</f>
        <v>30</v>
      </c>
      <c r="S280" s="2">
        <f ca="1">SUM(OFFSET(Table157810[[#Headers],[Days in month]],1,0):Table157810[[#This Row],[Days in month]])</f>
        <v>8030</v>
      </c>
      <c r="T280" s="37">
        <f>InterestRate*AmortizationMultiplier*IF(ISNUMBER(SEARCH("Actual",$C$7)),Table157810[[#This Row],[Days in month]]/365,1/12)</f>
        <v>5.7909166666666656E-3</v>
      </c>
    </row>
    <row r="281" spans="2:20" x14ac:dyDescent="0.2">
      <c r="B281" s="1">
        <f t="shared" si="14"/>
        <v>53904</v>
      </c>
      <c r="C281" s="2">
        <f t="shared" si="16"/>
        <v>265</v>
      </c>
      <c r="D281" s="3">
        <f t="shared" si="15"/>
        <v>0</v>
      </c>
      <c r="E281" s="3">
        <f>ROUND(Table157810[[#This Row],[Beginning Balance]]*Table157810[[#This Row],[Monthly Interest Rate]],2)</f>
        <v>0</v>
      </c>
      <c r="F281" s="3">
        <f t="shared" si="17"/>
        <v>577</v>
      </c>
      <c r="G281" s="23">
        <f>IFERROR(IF($C$13="No","N/A",IF(Table157810[[#This Row],[Period]]=1,$C$6,PMT(InterestRate*AmortizationMultiplier/12,Table157810[[#This Row],[Am Thru]],-Table157810[[#This Row],[Beginning Balance]]))),0)</f>
        <v>0</v>
      </c>
      <c r="H281" s="3">
        <f>MAX(0,IF(C281=$C$4,D281,ROUND(IF($C$3="Fixed Principal",$C$6-Table157810[[#This Row],[Interest]],IF($C$3="Interest Only",Table157810[[#This Row],[Beginning Balance]]*ROUND(1-(1-IF($C$11="No",$E$8,1))^(1/12),6),MIN(IF($C$13="Yes",Table157810[[#This Row],[Payment Amount (Reamortized)]],$C$6)-Table157810[[#This Row],[Interest]],Table157810[[#This Row],[Beginning Balance]]))),2)))</f>
        <v>0</v>
      </c>
      <c r="I281" s="3">
        <f>_xlfn.SINGLE(IF($C$3="Line of Credit",0,ROUND(MAX(MIN(IF($C$10="No",$E$7,VLOOKUP(Table157810[[#This Row],[Period]],Forecast!$H$2:$L$1048576,4,FALSE))*Table157810[[#This Row],[Beginning Balance]],Table157810[[#This Row],[Beginning Balance]]-Table157810[[#This Row],[Principal]]),0),2)))</f>
        <v>0</v>
      </c>
      <c r="J281" s="3">
        <f>ROUND(MIN(Table157810[[#This Row],[Beginning Balance]]*IF($C$8="No",$E$3,VLOOKUP(Table157810[[#This Row],[Period]],Forecast!$H$2:$L$1048576,2,FALSE)),Table157810[[#This Row],[Beginning Balance]]-Table157810[[#This Row],[Principal]]-Table157810[[#This Row],[Prepayments]]),2)</f>
        <v>0</v>
      </c>
      <c r="K281" s="3">
        <f>ROUND(Table157810[[#This Row],[Defaulted Principal]]*IF($C$9="No",$E$4,VLOOKUP(Table157810[[#This Row],[Period]],Forecast!$H$2:$L$1048576,3,FALSE)),2)</f>
        <v>0</v>
      </c>
      <c r="L281" s="2">
        <f>Table157810[[#This Row],[Period]]+$E$9</f>
        <v>277</v>
      </c>
      <c r="M281" s="3">
        <f>Table157810[[#This Row],[Defaulted Principal]]-Table157810[[#This Row],[Estimated Loss]]</f>
        <v>0</v>
      </c>
      <c r="N281" s="3">
        <f>IFERROR(VLOOKUP(Table157810[[#This Row],[Period]],$L$16:$M$385,2,FALSE),0)</f>
        <v>0</v>
      </c>
      <c r="O281" s="3">
        <f>Table157810[[#This Row],[Beginning Balance]]-Table157810[[#This Row],[Principal]]-Table157810[[#This Row],[Prepayments]]-Table157810[[#This Row],[Defaulted Principal]]</f>
        <v>0</v>
      </c>
      <c r="P281" s="3">
        <f>Table157810[[#This Row],[Principal]]+Table157810[[#This Row],[Interest]]+Table157810[[#This Row],[Prepayments]]+Table157810[[#This Row],[RecoveredAmount]]</f>
        <v>0</v>
      </c>
      <c r="Q281" s="3">
        <f ca="1">ROUND(Table157810[[#This Row],[Cash Flow]]/((1+ActualRateToUse)^(IF(ISNUMBER(SEARCH("Actual",$C$7)),Table157810[[#This Row],[Running Total]]/365,Table157810[[#This Row],[Period]]/12))),2)</f>
        <v>0</v>
      </c>
      <c r="R281" s="2">
        <f>IF(MONTH(Table157810[[#This Row],[Date]])=2,28,DAY(DATE(YEAR(Table157810[[#This Row],[Date]]),MONTH(Table157810[[#This Row],[Date]])+1,1)-1))</f>
        <v>31</v>
      </c>
      <c r="S281" s="2">
        <f ca="1">SUM(OFFSET(Table157810[[#Headers],[Days in month]],1,0):Table157810[[#This Row],[Days in month]])</f>
        <v>8061</v>
      </c>
      <c r="T281" s="37">
        <f>InterestRate*AmortizationMultiplier*IF(ISNUMBER(SEARCH("Actual",$C$7)),Table157810[[#This Row],[Days in month]]/365,1/12)</f>
        <v>5.9839472222222214E-3</v>
      </c>
    </row>
    <row r="282" spans="2:20" x14ac:dyDescent="0.2">
      <c r="B282" s="1">
        <f t="shared" si="14"/>
        <v>53935</v>
      </c>
      <c r="C282" s="2">
        <f t="shared" si="16"/>
        <v>266</v>
      </c>
      <c r="D282" s="3">
        <f t="shared" si="15"/>
        <v>0</v>
      </c>
      <c r="E282" s="3">
        <f>ROUND(Table157810[[#This Row],[Beginning Balance]]*Table157810[[#This Row],[Monthly Interest Rate]],2)</f>
        <v>0</v>
      </c>
      <c r="F282" s="3">
        <f t="shared" si="17"/>
        <v>576</v>
      </c>
      <c r="G282" s="23">
        <f>IFERROR(IF($C$13="No","N/A",IF(Table157810[[#This Row],[Period]]=1,$C$6,PMT(InterestRate*AmortizationMultiplier/12,Table157810[[#This Row],[Am Thru]],-Table157810[[#This Row],[Beginning Balance]]))),0)</f>
        <v>0</v>
      </c>
      <c r="H282" s="3">
        <f>MAX(0,IF(C282=$C$4,D282,ROUND(IF($C$3="Fixed Principal",$C$6-Table157810[[#This Row],[Interest]],IF($C$3="Interest Only",Table157810[[#This Row],[Beginning Balance]]*ROUND(1-(1-IF($C$11="No",$E$8,1))^(1/12),6),MIN(IF($C$13="Yes",Table157810[[#This Row],[Payment Amount (Reamortized)]],$C$6)-Table157810[[#This Row],[Interest]],Table157810[[#This Row],[Beginning Balance]]))),2)))</f>
        <v>0</v>
      </c>
      <c r="I282" s="3">
        <f>_xlfn.SINGLE(IF($C$3="Line of Credit",0,ROUND(MAX(MIN(IF($C$10="No",$E$7,VLOOKUP(Table157810[[#This Row],[Period]],Forecast!$H$2:$L$1048576,4,FALSE))*Table157810[[#This Row],[Beginning Balance]],Table157810[[#This Row],[Beginning Balance]]-Table157810[[#This Row],[Principal]]),0),2)))</f>
        <v>0</v>
      </c>
      <c r="J282" s="3">
        <f>ROUND(MIN(Table157810[[#This Row],[Beginning Balance]]*IF($C$8="No",$E$3,VLOOKUP(Table157810[[#This Row],[Period]],Forecast!$H$2:$L$1048576,2,FALSE)),Table157810[[#This Row],[Beginning Balance]]-Table157810[[#This Row],[Principal]]-Table157810[[#This Row],[Prepayments]]),2)</f>
        <v>0</v>
      </c>
      <c r="K282" s="3">
        <f>ROUND(Table157810[[#This Row],[Defaulted Principal]]*IF($C$9="No",$E$4,VLOOKUP(Table157810[[#This Row],[Period]],Forecast!$H$2:$L$1048576,3,FALSE)),2)</f>
        <v>0</v>
      </c>
      <c r="L282" s="2">
        <f>Table157810[[#This Row],[Period]]+$E$9</f>
        <v>278</v>
      </c>
      <c r="M282" s="3">
        <f>Table157810[[#This Row],[Defaulted Principal]]-Table157810[[#This Row],[Estimated Loss]]</f>
        <v>0</v>
      </c>
      <c r="N282" s="3">
        <f>IFERROR(VLOOKUP(Table157810[[#This Row],[Period]],$L$16:$M$385,2,FALSE),0)</f>
        <v>0</v>
      </c>
      <c r="O282" s="3">
        <f>Table157810[[#This Row],[Beginning Balance]]-Table157810[[#This Row],[Principal]]-Table157810[[#This Row],[Prepayments]]-Table157810[[#This Row],[Defaulted Principal]]</f>
        <v>0</v>
      </c>
      <c r="P282" s="3">
        <f>Table157810[[#This Row],[Principal]]+Table157810[[#This Row],[Interest]]+Table157810[[#This Row],[Prepayments]]+Table157810[[#This Row],[RecoveredAmount]]</f>
        <v>0</v>
      </c>
      <c r="Q282" s="3">
        <f ca="1">ROUND(Table157810[[#This Row],[Cash Flow]]/((1+ActualRateToUse)^(IF(ISNUMBER(SEARCH("Actual",$C$7)),Table157810[[#This Row],[Running Total]]/365,Table157810[[#This Row],[Period]]/12))),2)</f>
        <v>0</v>
      </c>
      <c r="R282" s="2">
        <f>IF(MONTH(Table157810[[#This Row],[Date]])=2,28,DAY(DATE(YEAR(Table157810[[#This Row],[Date]]),MONTH(Table157810[[#This Row],[Date]])+1,1)-1))</f>
        <v>31</v>
      </c>
      <c r="S282" s="2">
        <f ca="1">SUM(OFFSET(Table157810[[#Headers],[Days in month]],1,0):Table157810[[#This Row],[Days in month]])</f>
        <v>8092</v>
      </c>
      <c r="T282" s="37">
        <f>InterestRate*AmortizationMultiplier*IF(ISNUMBER(SEARCH("Actual",$C$7)),Table157810[[#This Row],[Days in month]]/365,1/12)</f>
        <v>5.9839472222222214E-3</v>
      </c>
    </row>
    <row r="283" spans="2:20" x14ac:dyDescent="0.2">
      <c r="B283" s="1">
        <f t="shared" si="14"/>
        <v>53965</v>
      </c>
      <c r="C283" s="2">
        <f t="shared" si="16"/>
        <v>267</v>
      </c>
      <c r="D283" s="3">
        <f t="shared" si="15"/>
        <v>0</v>
      </c>
      <c r="E283" s="3">
        <f>ROUND(Table157810[[#This Row],[Beginning Balance]]*Table157810[[#This Row],[Monthly Interest Rate]],2)</f>
        <v>0</v>
      </c>
      <c r="F283" s="3">
        <f t="shared" si="17"/>
        <v>575</v>
      </c>
      <c r="G283" s="23">
        <f>IFERROR(IF($C$13="No","N/A",IF(Table157810[[#This Row],[Period]]=1,$C$6,PMT(InterestRate*AmortizationMultiplier/12,Table157810[[#This Row],[Am Thru]],-Table157810[[#This Row],[Beginning Balance]]))),0)</f>
        <v>0</v>
      </c>
      <c r="H283" s="3">
        <f>MAX(0,IF(C283=$C$4,D283,ROUND(IF($C$3="Fixed Principal",$C$6-Table157810[[#This Row],[Interest]],IF($C$3="Interest Only",Table157810[[#This Row],[Beginning Balance]]*ROUND(1-(1-IF($C$11="No",$E$8,1))^(1/12),6),MIN(IF($C$13="Yes",Table157810[[#This Row],[Payment Amount (Reamortized)]],$C$6)-Table157810[[#This Row],[Interest]],Table157810[[#This Row],[Beginning Balance]]))),2)))</f>
        <v>0</v>
      </c>
      <c r="I283" s="3">
        <f>_xlfn.SINGLE(IF($C$3="Line of Credit",0,ROUND(MAX(MIN(IF($C$10="No",$E$7,VLOOKUP(Table157810[[#This Row],[Period]],Forecast!$H$2:$L$1048576,4,FALSE))*Table157810[[#This Row],[Beginning Balance]],Table157810[[#This Row],[Beginning Balance]]-Table157810[[#This Row],[Principal]]),0),2)))</f>
        <v>0</v>
      </c>
      <c r="J283" s="3">
        <f>ROUND(MIN(Table157810[[#This Row],[Beginning Balance]]*IF($C$8="No",$E$3,VLOOKUP(Table157810[[#This Row],[Period]],Forecast!$H$2:$L$1048576,2,FALSE)),Table157810[[#This Row],[Beginning Balance]]-Table157810[[#This Row],[Principal]]-Table157810[[#This Row],[Prepayments]]),2)</f>
        <v>0</v>
      </c>
      <c r="K283" s="3">
        <f>ROUND(Table157810[[#This Row],[Defaulted Principal]]*IF($C$9="No",$E$4,VLOOKUP(Table157810[[#This Row],[Period]],Forecast!$H$2:$L$1048576,3,FALSE)),2)</f>
        <v>0</v>
      </c>
      <c r="L283" s="2">
        <f>Table157810[[#This Row],[Period]]+$E$9</f>
        <v>279</v>
      </c>
      <c r="M283" s="3">
        <f>Table157810[[#This Row],[Defaulted Principal]]-Table157810[[#This Row],[Estimated Loss]]</f>
        <v>0</v>
      </c>
      <c r="N283" s="3">
        <f>IFERROR(VLOOKUP(Table157810[[#This Row],[Period]],$L$16:$M$385,2,FALSE),0)</f>
        <v>0</v>
      </c>
      <c r="O283" s="3">
        <f>Table157810[[#This Row],[Beginning Balance]]-Table157810[[#This Row],[Principal]]-Table157810[[#This Row],[Prepayments]]-Table157810[[#This Row],[Defaulted Principal]]</f>
        <v>0</v>
      </c>
      <c r="P283" s="3">
        <f>Table157810[[#This Row],[Principal]]+Table157810[[#This Row],[Interest]]+Table157810[[#This Row],[Prepayments]]+Table157810[[#This Row],[RecoveredAmount]]</f>
        <v>0</v>
      </c>
      <c r="Q283" s="3">
        <f ca="1">ROUND(Table157810[[#This Row],[Cash Flow]]/((1+ActualRateToUse)^(IF(ISNUMBER(SEARCH("Actual",$C$7)),Table157810[[#This Row],[Running Total]]/365,Table157810[[#This Row],[Period]]/12))),2)</f>
        <v>0</v>
      </c>
      <c r="R283" s="2">
        <f>IF(MONTH(Table157810[[#This Row],[Date]])=2,28,DAY(DATE(YEAR(Table157810[[#This Row],[Date]]),MONTH(Table157810[[#This Row],[Date]])+1,1)-1))</f>
        <v>30</v>
      </c>
      <c r="S283" s="2">
        <f ca="1">SUM(OFFSET(Table157810[[#Headers],[Days in month]],1,0):Table157810[[#This Row],[Days in month]])</f>
        <v>8122</v>
      </c>
      <c r="T283" s="37">
        <f>InterestRate*AmortizationMultiplier*IF(ISNUMBER(SEARCH("Actual",$C$7)),Table157810[[#This Row],[Days in month]]/365,1/12)</f>
        <v>5.7909166666666656E-3</v>
      </c>
    </row>
    <row r="284" spans="2:20" x14ac:dyDescent="0.2">
      <c r="B284" s="1">
        <f t="shared" si="14"/>
        <v>53996</v>
      </c>
      <c r="C284" s="2">
        <f t="shared" si="16"/>
        <v>268</v>
      </c>
      <c r="D284" s="3">
        <f t="shared" si="15"/>
        <v>0</v>
      </c>
      <c r="E284" s="3">
        <f>ROUND(Table157810[[#This Row],[Beginning Balance]]*Table157810[[#This Row],[Monthly Interest Rate]],2)</f>
        <v>0</v>
      </c>
      <c r="F284" s="3">
        <f t="shared" si="17"/>
        <v>574</v>
      </c>
      <c r="G284" s="23">
        <f>IFERROR(IF($C$13="No","N/A",IF(Table157810[[#This Row],[Period]]=1,$C$6,PMT(InterestRate*AmortizationMultiplier/12,Table157810[[#This Row],[Am Thru]],-Table157810[[#This Row],[Beginning Balance]]))),0)</f>
        <v>0</v>
      </c>
      <c r="H284" s="3">
        <f>MAX(0,IF(C284=$C$4,D284,ROUND(IF($C$3="Fixed Principal",$C$6-Table157810[[#This Row],[Interest]],IF($C$3="Interest Only",Table157810[[#This Row],[Beginning Balance]]*ROUND(1-(1-IF($C$11="No",$E$8,1))^(1/12),6),MIN(IF($C$13="Yes",Table157810[[#This Row],[Payment Amount (Reamortized)]],$C$6)-Table157810[[#This Row],[Interest]],Table157810[[#This Row],[Beginning Balance]]))),2)))</f>
        <v>0</v>
      </c>
      <c r="I284" s="3">
        <f>_xlfn.SINGLE(IF($C$3="Line of Credit",0,ROUND(MAX(MIN(IF($C$10="No",$E$7,VLOOKUP(Table157810[[#This Row],[Period]],Forecast!$H$2:$L$1048576,4,FALSE))*Table157810[[#This Row],[Beginning Balance]],Table157810[[#This Row],[Beginning Balance]]-Table157810[[#This Row],[Principal]]),0),2)))</f>
        <v>0</v>
      </c>
      <c r="J284" s="3">
        <f>ROUND(MIN(Table157810[[#This Row],[Beginning Balance]]*IF($C$8="No",$E$3,VLOOKUP(Table157810[[#This Row],[Period]],Forecast!$H$2:$L$1048576,2,FALSE)),Table157810[[#This Row],[Beginning Balance]]-Table157810[[#This Row],[Principal]]-Table157810[[#This Row],[Prepayments]]),2)</f>
        <v>0</v>
      </c>
      <c r="K284" s="3">
        <f>ROUND(Table157810[[#This Row],[Defaulted Principal]]*IF($C$9="No",$E$4,VLOOKUP(Table157810[[#This Row],[Period]],Forecast!$H$2:$L$1048576,3,FALSE)),2)</f>
        <v>0</v>
      </c>
      <c r="L284" s="2">
        <f>Table157810[[#This Row],[Period]]+$E$9</f>
        <v>280</v>
      </c>
      <c r="M284" s="3">
        <f>Table157810[[#This Row],[Defaulted Principal]]-Table157810[[#This Row],[Estimated Loss]]</f>
        <v>0</v>
      </c>
      <c r="N284" s="3">
        <f>IFERROR(VLOOKUP(Table157810[[#This Row],[Period]],$L$16:$M$385,2,FALSE),0)</f>
        <v>0</v>
      </c>
      <c r="O284" s="3">
        <f>Table157810[[#This Row],[Beginning Balance]]-Table157810[[#This Row],[Principal]]-Table157810[[#This Row],[Prepayments]]-Table157810[[#This Row],[Defaulted Principal]]</f>
        <v>0</v>
      </c>
      <c r="P284" s="3">
        <f>Table157810[[#This Row],[Principal]]+Table157810[[#This Row],[Interest]]+Table157810[[#This Row],[Prepayments]]+Table157810[[#This Row],[RecoveredAmount]]</f>
        <v>0</v>
      </c>
      <c r="Q284" s="3">
        <f ca="1">ROUND(Table157810[[#This Row],[Cash Flow]]/((1+ActualRateToUse)^(IF(ISNUMBER(SEARCH("Actual",$C$7)),Table157810[[#This Row],[Running Total]]/365,Table157810[[#This Row],[Period]]/12))),2)</f>
        <v>0</v>
      </c>
      <c r="R284" s="2">
        <f>IF(MONTH(Table157810[[#This Row],[Date]])=2,28,DAY(DATE(YEAR(Table157810[[#This Row],[Date]]),MONTH(Table157810[[#This Row],[Date]])+1,1)-1))</f>
        <v>31</v>
      </c>
      <c r="S284" s="2">
        <f ca="1">SUM(OFFSET(Table157810[[#Headers],[Days in month]],1,0):Table157810[[#This Row],[Days in month]])</f>
        <v>8153</v>
      </c>
      <c r="T284" s="37">
        <f>InterestRate*AmortizationMultiplier*IF(ISNUMBER(SEARCH("Actual",$C$7)),Table157810[[#This Row],[Days in month]]/365,1/12)</f>
        <v>5.9839472222222214E-3</v>
      </c>
    </row>
    <row r="285" spans="2:20" x14ac:dyDescent="0.2">
      <c r="B285" s="1">
        <f t="shared" si="14"/>
        <v>54026</v>
      </c>
      <c r="C285" s="2">
        <f t="shared" si="16"/>
        <v>269</v>
      </c>
      <c r="D285" s="3">
        <f t="shared" si="15"/>
        <v>0</v>
      </c>
      <c r="E285" s="3">
        <f>ROUND(Table157810[[#This Row],[Beginning Balance]]*Table157810[[#This Row],[Monthly Interest Rate]],2)</f>
        <v>0</v>
      </c>
      <c r="F285" s="3">
        <f t="shared" si="17"/>
        <v>573</v>
      </c>
      <c r="G285" s="23">
        <f>IFERROR(IF($C$13="No","N/A",IF(Table157810[[#This Row],[Period]]=1,$C$6,PMT(InterestRate*AmortizationMultiplier/12,Table157810[[#This Row],[Am Thru]],-Table157810[[#This Row],[Beginning Balance]]))),0)</f>
        <v>0</v>
      </c>
      <c r="H285" s="3">
        <f>MAX(0,IF(C285=$C$4,D285,ROUND(IF($C$3="Fixed Principal",$C$6-Table157810[[#This Row],[Interest]],IF($C$3="Interest Only",Table157810[[#This Row],[Beginning Balance]]*ROUND(1-(1-IF($C$11="No",$E$8,1))^(1/12),6),MIN(IF($C$13="Yes",Table157810[[#This Row],[Payment Amount (Reamortized)]],$C$6)-Table157810[[#This Row],[Interest]],Table157810[[#This Row],[Beginning Balance]]))),2)))</f>
        <v>0</v>
      </c>
      <c r="I285" s="3">
        <f>_xlfn.SINGLE(IF($C$3="Line of Credit",0,ROUND(MAX(MIN(IF($C$10="No",$E$7,VLOOKUP(Table157810[[#This Row],[Period]],Forecast!$H$2:$L$1048576,4,FALSE))*Table157810[[#This Row],[Beginning Balance]],Table157810[[#This Row],[Beginning Balance]]-Table157810[[#This Row],[Principal]]),0),2)))</f>
        <v>0</v>
      </c>
      <c r="J285" s="3">
        <f>ROUND(MIN(Table157810[[#This Row],[Beginning Balance]]*IF($C$8="No",$E$3,VLOOKUP(Table157810[[#This Row],[Period]],Forecast!$H$2:$L$1048576,2,FALSE)),Table157810[[#This Row],[Beginning Balance]]-Table157810[[#This Row],[Principal]]-Table157810[[#This Row],[Prepayments]]),2)</f>
        <v>0</v>
      </c>
      <c r="K285" s="3">
        <f>ROUND(Table157810[[#This Row],[Defaulted Principal]]*IF($C$9="No",$E$4,VLOOKUP(Table157810[[#This Row],[Period]],Forecast!$H$2:$L$1048576,3,FALSE)),2)</f>
        <v>0</v>
      </c>
      <c r="L285" s="2">
        <f>Table157810[[#This Row],[Period]]+$E$9</f>
        <v>281</v>
      </c>
      <c r="M285" s="3">
        <f>Table157810[[#This Row],[Defaulted Principal]]-Table157810[[#This Row],[Estimated Loss]]</f>
        <v>0</v>
      </c>
      <c r="N285" s="3">
        <f>IFERROR(VLOOKUP(Table157810[[#This Row],[Period]],$L$16:$M$385,2,FALSE),0)</f>
        <v>0</v>
      </c>
      <c r="O285" s="3">
        <f>Table157810[[#This Row],[Beginning Balance]]-Table157810[[#This Row],[Principal]]-Table157810[[#This Row],[Prepayments]]-Table157810[[#This Row],[Defaulted Principal]]</f>
        <v>0</v>
      </c>
      <c r="P285" s="3">
        <f>Table157810[[#This Row],[Principal]]+Table157810[[#This Row],[Interest]]+Table157810[[#This Row],[Prepayments]]+Table157810[[#This Row],[RecoveredAmount]]</f>
        <v>0</v>
      </c>
      <c r="Q285" s="3">
        <f ca="1">ROUND(Table157810[[#This Row],[Cash Flow]]/((1+ActualRateToUse)^(IF(ISNUMBER(SEARCH("Actual",$C$7)),Table157810[[#This Row],[Running Total]]/365,Table157810[[#This Row],[Period]]/12))),2)</f>
        <v>0</v>
      </c>
      <c r="R285" s="2">
        <f>IF(MONTH(Table157810[[#This Row],[Date]])=2,28,DAY(DATE(YEAR(Table157810[[#This Row],[Date]]),MONTH(Table157810[[#This Row],[Date]])+1,1)-1))</f>
        <v>30</v>
      </c>
      <c r="S285" s="2">
        <f ca="1">SUM(OFFSET(Table157810[[#Headers],[Days in month]],1,0):Table157810[[#This Row],[Days in month]])</f>
        <v>8183</v>
      </c>
      <c r="T285" s="37">
        <f>InterestRate*AmortizationMultiplier*IF(ISNUMBER(SEARCH("Actual",$C$7)),Table157810[[#This Row],[Days in month]]/365,1/12)</f>
        <v>5.7909166666666656E-3</v>
      </c>
    </row>
    <row r="286" spans="2:20" x14ac:dyDescent="0.2">
      <c r="B286" s="1">
        <f t="shared" si="14"/>
        <v>54057</v>
      </c>
      <c r="C286" s="2">
        <f t="shared" si="16"/>
        <v>270</v>
      </c>
      <c r="D286" s="3">
        <f t="shared" si="15"/>
        <v>0</v>
      </c>
      <c r="E286" s="3">
        <f>ROUND(Table157810[[#This Row],[Beginning Balance]]*Table157810[[#This Row],[Monthly Interest Rate]],2)</f>
        <v>0</v>
      </c>
      <c r="F286" s="3">
        <f t="shared" si="17"/>
        <v>572</v>
      </c>
      <c r="G286" s="23">
        <f>IFERROR(IF($C$13="No","N/A",IF(Table157810[[#This Row],[Period]]=1,$C$6,PMT(InterestRate*AmortizationMultiplier/12,Table157810[[#This Row],[Am Thru]],-Table157810[[#This Row],[Beginning Balance]]))),0)</f>
        <v>0</v>
      </c>
      <c r="H286" s="3">
        <f>MAX(0,IF(C286=$C$4,D286,ROUND(IF($C$3="Fixed Principal",$C$6-Table157810[[#This Row],[Interest]],IF($C$3="Interest Only",Table157810[[#This Row],[Beginning Balance]]*ROUND(1-(1-IF($C$11="No",$E$8,1))^(1/12),6),MIN(IF($C$13="Yes",Table157810[[#This Row],[Payment Amount (Reamortized)]],$C$6)-Table157810[[#This Row],[Interest]],Table157810[[#This Row],[Beginning Balance]]))),2)))</f>
        <v>0</v>
      </c>
      <c r="I286" s="3">
        <f>_xlfn.SINGLE(IF($C$3="Line of Credit",0,ROUND(MAX(MIN(IF($C$10="No",$E$7,VLOOKUP(Table157810[[#This Row],[Period]],Forecast!$H$2:$L$1048576,4,FALSE))*Table157810[[#This Row],[Beginning Balance]],Table157810[[#This Row],[Beginning Balance]]-Table157810[[#This Row],[Principal]]),0),2)))</f>
        <v>0</v>
      </c>
      <c r="J286" s="3">
        <f>ROUND(MIN(Table157810[[#This Row],[Beginning Balance]]*IF($C$8="No",$E$3,VLOOKUP(Table157810[[#This Row],[Period]],Forecast!$H$2:$L$1048576,2,FALSE)),Table157810[[#This Row],[Beginning Balance]]-Table157810[[#This Row],[Principal]]-Table157810[[#This Row],[Prepayments]]),2)</f>
        <v>0</v>
      </c>
      <c r="K286" s="3">
        <f>ROUND(Table157810[[#This Row],[Defaulted Principal]]*IF($C$9="No",$E$4,VLOOKUP(Table157810[[#This Row],[Period]],Forecast!$H$2:$L$1048576,3,FALSE)),2)</f>
        <v>0</v>
      </c>
      <c r="L286" s="2">
        <f>Table157810[[#This Row],[Period]]+$E$9</f>
        <v>282</v>
      </c>
      <c r="M286" s="3">
        <f>Table157810[[#This Row],[Defaulted Principal]]-Table157810[[#This Row],[Estimated Loss]]</f>
        <v>0</v>
      </c>
      <c r="N286" s="3">
        <f>IFERROR(VLOOKUP(Table157810[[#This Row],[Period]],$L$16:$M$385,2,FALSE),0)</f>
        <v>0</v>
      </c>
      <c r="O286" s="3">
        <f>Table157810[[#This Row],[Beginning Balance]]-Table157810[[#This Row],[Principal]]-Table157810[[#This Row],[Prepayments]]-Table157810[[#This Row],[Defaulted Principal]]</f>
        <v>0</v>
      </c>
      <c r="P286" s="3">
        <f>Table157810[[#This Row],[Principal]]+Table157810[[#This Row],[Interest]]+Table157810[[#This Row],[Prepayments]]+Table157810[[#This Row],[RecoveredAmount]]</f>
        <v>0</v>
      </c>
      <c r="Q286" s="3">
        <f ca="1">ROUND(Table157810[[#This Row],[Cash Flow]]/((1+ActualRateToUse)^(IF(ISNUMBER(SEARCH("Actual",$C$7)),Table157810[[#This Row],[Running Total]]/365,Table157810[[#This Row],[Period]]/12))),2)</f>
        <v>0</v>
      </c>
      <c r="R286" s="2">
        <f>IF(MONTH(Table157810[[#This Row],[Date]])=2,28,DAY(DATE(YEAR(Table157810[[#This Row],[Date]]),MONTH(Table157810[[#This Row],[Date]])+1,1)-1))</f>
        <v>31</v>
      </c>
      <c r="S286" s="2">
        <f ca="1">SUM(OFFSET(Table157810[[#Headers],[Days in month]],1,0):Table157810[[#This Row],[Days in month]])</f>
        <v>8214</v>
      </c>
      <c r="T286" s="37">
        <f>InterestRate*AmortizationMultiplier*IF(ISNUMBER(SEARCH("Actual",$C$7)),Table157810[[#This Row],[Days in month]]/365,1/12)</f>
        <v>5.9839472222222214E-3</v>
      </c>
    </row>
    <row r="287" spans="2:20" x14ac:dyDescent="0.2">
      <c r="B287" s="1">
        <f t="shared" si="14"/>
        <v>54088</v>
      </c>
      <c r="C287" s="2">
        <f t="shared" si="16"/>
        <v>271</v>
      </c>
      <c r="D287" s="3">
        <f t="shared" si="15"/>
        <v>0</v>
      </c>
      <c r="E287" s="3">
        <f>ROUND(Table157810[[#This Row],[Beginning Balance]]*Table157810[[#This Row],[Monthly Interest Rate]],2)</f>
        <v>0</v>
      </c>
      <c r="F287" s="3">
        <f t="shared" si="17"/>
        <v>571</v>
      </c>
      <c r="G287" s="23">
        <f>IFERROR(IF($C$13="No","N/A",IF(Table157810[[#This Row],[Period]]=1,$C$6,PMT(InterestRate*AmortizationMultiplier/12,Table157810[[#This Row],[Am Thru]],-Table157810[[#This Row],[Beginning Balance]]))),0)</f>
        <v>0</v>
      </c>
      <c r="H287" s="3">
        <f>MAX(0,IF(C287=$C$4,D287,ROUND(IF($C$3="Fixed Principal",$C$6-Table157810[[#This Row],[Interest]],IF($C$3="Interest Only",Table157810[[#This Row],[Beginning Balance]]*ROUND(1-(1-IF($C$11="No",$E$8,1))^(1/12),6),MIN(IF($C$13="Yes",Table157810[[#This Row],[Payment Amount (Reamortized)]],$C$6)-Table157810[[#This Row],[Interest]],Table157810[[#This Row],[Beginning Balance]]))),2)))</f>
        <v>0</v>
      </c>
      <c r="I287" s="3">
        <f>_xlfn.SINGLE(IF($C$3="Line of Credit",0,ROUND(MAX(MIN(IF($C$10="No",$E$7,VLOOKUP(Table157810[[#This Row],[Period]],Forecast!$H$2:$L$1048576,4,FALSE))*Table157810[[#This Row],[Beginning Balance]],Table157810[[#This Row],[Beginning Balance]]-Table157810[[#This Row],[Principal]]),0),2)))</f>
        <v>0</v>
      </c>
      <c r="J287" s="3">
        <f>ROUND(MIN(Table157810[[#This Row],[Beginning Balance]]*IF($C$8="No",$E$3,VLOOKUP(Table157810[[#This Row],[Period]],Forecast!$H$2:$L$1048576,2,FALSE)),Table157810[[#This Row],[Beginning Balance]]-Table157810[[#This Row],[Principal]]-Table157810[[#This Row],[Prepayments]]),2)</f>
        <v>0</v>
      </c>
      <c r="K287" s="3">
        <f>ROUND(Table157810[[#This Row],[Defaulted Principal]]*IF($C$9="No",$E$4,VLOOKUP(Table157810[[#This Row],[Period]],Forecast!$H$2:$L$1048576,3,FALSE)),2)</f>
        <v>0</v>
      </c>
      <c r="L287" s="2">
        <f>Table157810[[#This Row],[Period]]+$E$9</f>
        <v>283</v>
      </c>
      <c r="M287" s="3">
        <f>Table157810[[#This Row],[Defaulted Principal]]-Table157810[[#This Row],[Estimated Loss]]</f>
        <v>0</v>
      </c>
      <c r="N287" s="3">
        <f>IFERROR(VLOOKUP(Table157810[[#This Row],[Period]],$L$16:$M$385,2,FALSE),0)</f>
        <v>0</v>
      </c>
      <c r="O287" s="3">
        <f>Table157810[[#This Row],[Beginning Balance]]-Table157810[[#This Row],[Principal]]-Table157810[[#This Row],[Prepayments]]-Table157810[[#This Row],[Defaulted Principal]]</f>
        <v>0</v>
      </c>
      <c r="P287" s="3">
        <f>Table157810[[#This Row],[Principal]]+Table157810[[#This Row],[Interest]]+Table157810[[#This Row],[Prepayments]]+Table157810[[#This Row],[RecoveredAmount]]</f>
        <v>0</v>
      </c>
      <c r="Q287" s="3">
        <f ca="1">ROUND(Table157810[[#This Row],[Cash Flow]]/((1+ActualRateToUse)^(IF(ISNUMBER(SEARCH("Actual",$C$7)),Table157810[[#This Row],[Running Total]]/365,Table157810[[#This Row],[Period]]/12))),2)</f>
        <v>0</v>
      </c>
      <c r="R287" s="2">
        <f>IF(MONTH(Table157810[[#This Row],[Date]])=2,28,DAY(DATE(YEAR(Table157810[[#This Row],[Date]]),MONTH(Table157810[[#This Row],[Date]])+1,1)-1))</f>
        <v>31</v>
      </c>
      <c r="S287" s="2">
        <f ca="1">SUM(OFFSET(Table157810[[#Headers],[Days in month]],1,0):Table157810[[#This Row],[Days in month]])</f>
        <v>8245</v>
      </c>
      <c r="T287" s="37">
        <f>InterestRate*AmortizationMultiplier*IF(ISNUMBER(SEARCH("Actual",$C$7)),Table157810[[#This Row],[Days in month]]/365,1/12)</f>
        <v>5.9839472222222214E-3</v>
      </c>
    </row>
    <row r="288" spans="2:20" x14ac:dyDescent="0.2">
      <c r="B288" s="1">
        <f t="shared" si="14"/>
        <v>54117</v>
      </c>
      <c r="C288" s="2">
        <f t="shared" si="16"/>
        <v>272</v>
      </c>
      <c r="D288" s="3">
        <f t="shared" si="15"/>
        <v>0</v>
      </c>
      <c r="E288" s="3">
        <f>ROUND(Table157810[[#This Row],[Beginning Balance]]*Table157810[[#This Row],[Monthly Interest Rate]],2)</f>
        <v>0</v>
      </c>
      <c r="F288" s="3">
        <f t="shared" si="17"/>
        <v>570</v>
      </c>
      <c r="G288" s="23">
        <f>IFERROR(IF($C$13="No","N/A",IF(Table157810[[#This Row],[Period]]=1,$C$6,PMT(InterestRate*AmortizationMultiplier/12,Table157810[[#This Row],[Am Thru]],-Table157810[[#This Row],[Beginning Balance]]))),0)</f>
        <v>0</v>
      </c>
      <c r="H288" s="3">
        <f>MAX(0,IF(C288=$C$4,D288,ROUND(IF($C$3="Fixed Principal",$C$6-Table157810[[#This Row],[Interest]],IF($C$3="Interest Only",Table157810[[#This Row],[Beginning Balance]]*ROUND(1-(1-IF($C$11="No",$E$8,1))^(1/12),6),MIN(IF($C$13="Yes",Table157810[[#This Row],[Payment Amount (Reamortized)]],$C$6)-Table157810[[#This Row],[Interest]],Table157810[[#This Row],[Beginning Balance]]))),2)))</f>
        <v>0</v>
      </c>
      <c r="I288" s="3">
        <f>_xlfn.SINGLE(IF($C$3="Line of Credit",0,ROUND(MAX(MIN(IF($C$10="No",$E$7,VLOOKUP(Table157810[[#This Row],[Period]],Forecast!$H$2:$L$1048576,4,FALSE))*Table157810[[#This Row],[Beginning Balance]],Table157810[[#This Row],[Beginning Balance]]-Table157810[[#This Row],[Principal]]),0),2)))</f>
        <v>0</v>
      </c>
      <c r="J288" s="3">
        <f>ROUND(MIN(Table157810[[#This Row],[Beginning Balance]]*IF($C$8="No",$E$3,VLOOKUP(Table157810[[#This Row],[Period]],Forecast!$H$2:$L$1048576,2,FALSE)),Table157810[[#This Row],[Beginning Balance]]-Table157810[[#This Row],[Principal]]-Table157810[[#This Row],[Prepayments]]),2)</f>
        <v>0</v>
      </c>
      <c r="K288" s="3">
        <f>ROUND(Table157810[[#This Row],[Defaulted Principal]]*IF($C$9="No",$E$4,VLOOKUP(Table157810[[#This Row],[Period]],Forecast!$H$2:$L$1048576,3,FALSE)),2)</f>
        <v>0</v>
      </c>
      <c r="L288" s="2">
        <f>Table157810[[#This Row],[Period]]+$E$9</f>
        <v>284</v>
      </c>
      <c r="M288" s="3">
        <f>Table157810[[#This Row],[Defaulted Principal]]-Table157810[[#This Row],[Estimated Loss]]</f>
        <v>0</v>
      </c>
      <c r="N288" s="3">
        <f>IFERROR(VLOOKUP(Table157810[[#This Row],[Period]],$L$16:$M$385,2,FALSE),0)</f>
        <v>0</v>
      </c>
      <c r="O288" s="3">
        <f>Table157810[[#This Row],[Beginning Balance]]-Table157810[[#This Row],[Principal]]-Table157810[[#This Row],[Prepayments]]-Table157810[[#This Row],[Defaulted Principal]]</f>
        <v>0</v>
      </c>
      <c r="P288" s="3">
        <f>Table157810[[#This Row],[Principal]]+Table157810[[#This Row],[Interest]]+Table157810[[#This Row],[Prepayments]]+Table157810[[#This Row],[RecoveredAmount]]</f>
        <v>0</v>
      </c>
      <c r="Q288" s="3">
        <f ca="1">ROUND(Table157810[[#This Row],[Cash Flow]]/((1+ActualRateToUse)^(IF(ISNUMBER(SEARCH("Actual",$C$7)),Table157810[[#This Row],[Running Total]]/365,Table157810[[#This Row],[Period]]/12))),2)</f>
        <v>0</v>
      </c>
      <c r="R288" s="2">
        <f>IF(MONTH(Table157810[[#This Row],[Date]])=2,28,DAY(DATE(YEAR(Table157810[[#This Row],[Date]]),MONTH(Table157810[[#This Row],[Date]])+1,1)-1))</f>
        <v>28</v>
      </c>
      <c r="S288" s="2">
        <f ca="1">SUM(OFFSET(Table157810[[#Headers],[Days in month]],1,0):Table157810[[#This Row],[Days in month]])</f>
        <v>8273</v>
      </c>
      <c r="T288" s="37">
        <f>InterestRate*AmortizationMultiplier*IF(ISNUMBER(SEARCH("Actual",$C$7)),Table157810[[#This Row],[Days in month]]/365,1/12)</f>
        <v>5.4048555555555548E-3</v>
      </c>
    </row>
    <row r="289" spans="2:20" x14ac:dyDescent="0.2">
      <c r="B289" s="1">
        <f t="shared" si="14"/>
        <v>54148</v>
      </c>
      <c r="C289" s="2">
        <f t="shared" si="16"/>
        <v>273</v>
      </c>
      <c r="D289" s="3">
        <f t="shared" si="15"/>
        <v>0</v>
      </c>
      <c r="E289" s="3">
        <f>ROUND(Table157810[[#This Row],[Beginning Balance]]*Table157810[[#This Row],[Monthly Interest Rate]],2)</f>
        <v>0</v>
      </c>
      <c r="F289" s="3">
        <f t="shared" si="17"/>
        <v>569</v>
      </c>
      <c r="G289" s="23">
        <f>IFERROR(IF($C$13="No","N/A",IF(Table157810[[#This Row],[Period]]=1,$C$6,PMT(InterestRate*AmortizationMultiplier/12,Table157810[[#This Row],[Am Thru]],-Table157810[[#This Row],[Beginning Balance]]))),0)</f>
        <v>0</v>
      </c>
      <c r="H289" s="3">
        <f>MAX(0,IF(C289=$C$4,D289,ROUND(IF($C$3="Fixed Principal",$C$6-Table157810[[#This Row],[Interest]],IF($C$3="Interest Only",Table157810[[#This Row],[Beginning Balance]]*ROUND(1-(1-IF($C$11="No",$E$8,1))^(1/12),6),MIN(IF($C$13="Yes",Table157810[[#This Row],[Payment Amount (Reamortized)]],$C$6)-Table157810[[#This Row],[Interest]],Table157810[[#This Row],[Beginning Balance]]))),2)))</f>
        <v>0</v>
      </c>
      <c r="I289" s="3">
        <f>_xlfn.SINGLE(IF($C$3="Line of Credit",0,ROUND(MAX(MIN(IF($C$10="No",$E$7,VLOOKUP(Table157810[[#This Row],[Period]],Forecast!$H$2:$L$1048576,4,FALSE))*Table157810[[#This Row],[Beginning Balance]],Table157810[[#This Row],[Beginning Balance]]-Table157810[[#This Row],[Principal]]),0),2)))</f>
        <v>0</v>
      </c>
      <c r="J289" s="3">
        <f>ROUND(MIN(Table157810[[#This Row],[Beginning Balance]]*IF($C$8="No",$E$3,VLOOKUP(Table157810[[#This Row],[Period]],Forecast!$H$2:$L$1048576,2,FALSE)),Table157810[[#This Row],[Beginning Balance]]-Table157810[[#This Row],[Principal]]-Table157810[[#This Row],[Prepayments]]),2)</f>
        <v>0</v>
      </c>
      <c r="K289" s="3">
        <f>ROUND(Table157810[[#This Row],[Defaulted Principal]]*IF($C$9="No",$E$4,VLOOKUP(Table157810[[#This Row],[Period]],Forecast!$H$2:$L$1048576,3,FALSE)),2)</f>
        <v>0</v>
      </c>
      <c r="L289" s="2">
        <f>Table157810[[#This Row],[Period]]+$E$9</f>
        <v>285</v>
      </c>
      <c r="M289" s="3">
        <f>Table157810[[#This Row],[Defaulted Principal]]-Table157810[[#This Row],[Estimated Loss]]</f>
        <v>0</v>
      </c>
      <c r="N289" s="3">
        <f>IFERROR(VLOOKUP(Table157810[[#This Row],[Period]],$L$16:$M$385,2,FALSE),0)</f>
        <v>0</v>
      </c>
      <c r="O289" s="3">
        <f>Table157810[[#This Row],[Beginning Balance]]-Table157810[[#This Row],[Principal]]-Table157810[[#This Row],[Prepayments]]-Table157810[[#This Row],[Defaulted Principal]]</f>
        <v>0</v>
      </c>
      <c r="P289" s="3">
        <f>Table157810[[#This Row],[Principal]]+Table157810[[#This Row],[Interest]]+Table157810[[#This Row],[Prepayments]]+Table157810[[#This Row],[RecoveredAmount]]</f>
        <v>0</v>
      </c>
      <c r="Q289" s="3">
        <f ca="1">ROUND(Table157810[[#This Row],[Cash Flow]]/((1+ActualRateToUse)^(IF(ISNUMBER(SEARCH("Actual",$C$7)),Table157810[[#This Row],[Running Total]]/365,Table157810[[#This Row],[Period]]/12))),2)</f>
        <v>0</v>
      </c>
      <c r="R289" s="2">
        <f>IF(MONTH(Table157810[[#This Row],[Date]])=2,28,DAY(DATE(YEAR(Table157810[[#This Row],[Date]]),MONTH(Table157810[[#This Row],[Date]])+1,1)-1))</f>
        <v>31</v>
      </c>
      <c r="S289" s="2">
        <f ca="1">SUM(OFFSET(Table157810[[#Headers],[Days in month]],1,0):Table157810[[#This Row],[Days in month]])</f>
        <v>8304</v>
      </c>
      <c r="T289" s="37">
        <f>InterestRate*AmortizationMultiplier*IF(ISNUMBER(SEARCH("Actual",$C$7)),Table157810[[#This Row],[Days in month]]/365,1/12)</f>
        <v>5.9839472222222214E-3</v>
      </c>
    </row>
    <row r="290" spans="2:20" x14ac:dyDescent="0.2">
      <c r="B290" s="1">
        <f t="shared" si="14"/>
        <v>54178</v>
      </c>
      <c r="C290" s="2">
        <f t="shared" si="16"/>
        <v>274</v>
      </c>
      <c r="D290" s="3">
        <f t="shared" si="15"/>
        <v>0</v>
      </c>
      <c r="E290" s="3">
        <f>ROUND(Table157810[[#This Row],[Beginning Balance]]*Table157810[[#This Row],[Monthly Interest Rate]],2)</f>
        <v>0</v>
      </c>
      <c r="F290" s="3">
        <f t="shared" si="17"/>
        <v>568</v>
      </c>
      <c r="G290" s="23">
        <f>IFERROR(IF($C$13="No","N/A",IF(Table157810[[#This Row],[Period]]=1,$C$6,PMT(InterestRate*AmortizationMultiplier/12,Table157810[[#This Row],[Am Thru]],-Table157810[[#This Row],[Beginning Balance]]))),0)</f>
        <v>0</v>
      </c>
      <c r="H290" s="3">
        <f>MAX(0,IF(C290=$C$4,D290,ROUND(IF($C$3="Fixed Principal",$C$6-Table157810[[#This Row],[Interest]],IF($C$3="Interest Only",Table157810[[#This Row],[Beginning Balance]]*ROUND(1-(1-IF($C$11="No",$E$8,1))^(1/12),6),MIN(IF($C$13="Yes",Table157810[[#This Row],[Payment Amount (Reamortized)]],$C$6)-Table157810[[#This Row],[Interest]],Table157810[[#This Row],[Beginning Balance]]))),2)))</f>
        <v>0</v>
      </c>
      <c r="I290" s="3">
        <f>_xlfn.SINGLE(IF($C$3="Line of Credit",0,ROUND(MAX(MIN(IF($C$10="No",$E$7,VLOOKUP(Table157810[[#This Row],[Period]],Forecast!$H$2:$L$1048576,4,FALSE))*Table157810[[#This Row],[Beginning Balance]],Table157810[[#This Row],[Beginning Balance]]-Table157810[[#This Row],[Principal]]),0),2)))</f>
        <v>0</v>
      </c>
      <c r="J290" s="3">
        <f>ROUND(MIN(Table157810[[#This Row],[Beginning Balance]]*IF($C$8="No",$E$3,VLOOKUP(Table157810[[#This Row],[Period]],Forecast!$H$2:$L$1048576,2,FALSE)),Table157810[[#This Row],[Beginning Balance]]-Table157810[[#This Row],[Principal]]-Table157810[[#This Row],[Prepayments]]),2)</f>
        <v>0</v>
      </c>
      <c r="K290" s="3">
        <f>ROUND(Table157810[[#This Row],[Defaulted Principal]]*IF($C$9="No",$E$4,VLOOKUP(Table157810[[#This Row],[Period]],Forecast!$H$2:$L$1048576,3,FALSE)),2)</f>
        <v>0</v>
      </c>
      <c r="L290" s="2">
        <f>Table157810[[#This Row],[Period]]+$E$9</f>
        <v>286</v>
      </c>
      <c r="M290" s="3">
        <f>Table157810[[#This Row],[Defaulted Principal]]-Table157810[[#This Row],[Estimated Loss]]</f>
        <v>0</v>
      </c>
      <c r="N290" s="3">
        <f>IFERROR(VLOOKUP(Table157810[[#This Row],[Period]],$L$16:$M$385,2,FALSE),0)</f>
        <v>0</v>
      </c>
      <c r="O290" s="3">
        <f>Table157810[[#This Row],[Beginning Balance]]-Table157810[[#This Row],[Principal]]-Table157810[[#This Row],[Prepayments]]-Table157810[[#This Row],[Defaulted Principal]]</f>
        <v>0</v>
      </c>
      <c r="P290" s="3">
        <f>Table157810[[#This Row],[Principal]]+Table157810[[#This Row],[Interest]]+Table157810[[#This Row],[Prepayments]]+Table157810[[#This Row],[RecoveredAmount]]</f>
        <v>0</v>
      </c>
      <c r="Q290" s="3">
        <f ca="1">ROUND(Table157810[[#This Row],[Cash Flow]]/((1+ActualRateToUse)^(IF(ISNUMBER(SEARCH("Actual",$C$7)),Table157810[[#This Row],[Running Total]]/365,Table157810[[#This Row],[Period]]/12))),2)</f>
        <v>0</v>
      </c>
      <c r="R290" s="2">
        <f>IF(MONTH(Table157810[[#This Row],[Date]])=2,28,DAY(DATE(YEAR(Table157810[[#This Row],[Date]]),MONTH(Table157810[[#This Row],[Date]])+1,1)-1))</f>
        <v>30</v>
      </c>
      <c r="S290" s="2">
        <f ca="1">SUM(OFFSET(Table157810[[#Headers],[Days in month]],1,0):Table157810[[#This Row],[Days in month]])</f>
        <v>8334</v>
      </c>
      <c r="T290" s="37">
        <f>InterestRate*AmortizationMultiplier*IF(ISNUMBER(SEARCH("Actual",$C$7)),Table157810[[#This Row],[Days in month]]/365,1/12)</f>
        <v>5.7909166666666656E-3</v>
      </c>
    </row>
    <row r="291" spans="2:20" x14ac:dyDescent="0.2">
      <c r="B291" s="1">
        <f t="shared" si="14"/>
        <v>54209</v>
      </c>
      <c r="C291" s="2">
        <f t="shared" si="16"/>
        <v>275</v>
      </c>
      <c r="D291" s="3">
        <f t="shared" si="15"/>
        <v>0</v>
      </c>
      <c r="E291" s="3">
        <f>ROUND(Table157810[[#This Row],[Beginning Balance]]*Table157810[[#This Row],[Monthly Interest Rate]],2)</f>
        <v>0</v>
      </c>
      <c r="F291" s="3">
        <f t="shared" si="17"/>
        <v>567</v>
      </c>
      <c r="G291" s="23">
        <f>IFERROR(IF($C$13="No","N/A",IF(Table157810[[#This Row],[Period]]=1,$C$6,PMT(InterestRate*AmortizationMultiplier/12,Table157810[[#This Row],[Am Thru]],-Table157810[[#This Row],[Beginning Balance]]))),0)</f>
        <v>0</v>
      </c>
      <c r="H291" s="3">
        <f>MAX(0,IF(C291=$C$4,D291,ROUND(IF($C$3="Fixed Principal",$C$6-Table157810[[#This Row],[Interest]],IF($C$3="Interest Only",Table157810[[#This Row],[Beginning Balance]]*ROUND(1-(1-IF($C$11="No",$E$8,1))^(1/12),6),MIN(IF($C$13="Yes",Table157810[[#This Row],[Payment Amount (Reamortized)]],$C$6)-Table157810[[#This Row],[Interest]],Table157810[[#This Row],[Beginning Balance]]))),2)))</f>
        <v>0</v>
      </c>
      <c r="I291" s="3">
        <f>_xlfn.SINGLE(IF($C$3="Line of Credit",0,ROUND(MAX(MIN(IF($C$10="No",$E$7,VLOOKUP(Table157810[[#This Row],[Period]],Forecast!$H$2:$L$1048576,4,FALSE))*Table157810[[#This Row],[Beginning Balance]],Table157810[[#This Row],[Beginning Balance]]-Table157810[[#This Row],[Principal]]),0),2)))</f>
        <v>0</v>
      </c>
      <c r="J291" s="3">
        <f>ROUND(MIN(Table157810[[#This Row],[Beginning Balance]]*IF($C$8="No",$E$3,VLOOKUP(Table157810[[#This Row],[Period]],Forecast!$H$2:$L$1048576,2,FALSE)),Table157810[[#This Row],[Beginning Balance]]-Table157810[[#This Row],[Principal]]-Table157810[[#This Row],[Prepayments]]),2)</f>
        <v>0</v>
      </c>
      <c r="K291" s="3">
        <f>ROUND(Table157810[[#This Row],[Defaulted Principal]]*IF($C$9="No",$E$4,VLOOKUP(Table157810[[#This Row],[Period]],Forecast!$H$2:$L$1048576,3,FALSE)),2)</f>
        <v>0</v>
      </c>
      <c r="L291" s="2">
        <f>Table157810[[#This Row],[Period]]+$E$9</f>
        <v>287</v>
      </c>
      <c r="M291" s="3">
        <f>Table157810[[#This Row],[Defaulted Principal]]-Table157810[[#This Row],[Estimated Loss]]</f>
        <v>0</v>
      </c>
      <c r="N291" s="3">
        <f>IFERROR(VLOOKUP(Table157810[[#This Row],[Period]],$L$16:$M$385,2,FALSE),0)</f>
        <v>0</v>
      </c>
      <c r="O291" s="3">
        <f>Table157810[[#This Row],[Beginning Balance]]-Table157810[[#This Row],[Principal]]-Table157810[[#This Row],[Prepayments]]-Table157810[[#This Row],[Defaulted Principal]]</f>
        <v>0</v>
      </c>
      <c r="P291" s="3">
        <f>Table157810[[#This Row],[Principal]]+Table157810[[#This Row],[Interest]]+Table157810[[#This Row],[Prepayments]]+Table157810[[#This Row],[RecoveredAmount]]</f>
        <v>0</v>
      </c>
      <c r="Q291" s="3">
        <f ca="1">ROUND(Table157810[[#This Row],[Cash Flow]]/((1+ActualRateToUse)^(IF(ISNUMBER(SEARCH("Actual",$C$7)),Table157810[[#This Row],[Running Total]]/365,Table157810[[#This Row],[Period]]/12))),2)</f>
        <v>0</v>
      </c>
      <c r="R291" s="2">
        <f>IF(MONTH(Table157810[[#This Row],[Date]])=2,28,DAY(DATE(YEAR(Table157810[[#This Row],[Date]]),MONTH(Table157810[[#This Row],[Date]])+1,1)-1))</f>
        <v>31</v>
      </c>
      <c r="S291" s="2">
        <f ca="1">SUM(OFFSET(Table157810[[#Headers],[Days in month]],1,0):Table157810[[#This Row],[Days in month]])</f>
        <v>8365</v>
      </c>
      <c r="T291" s="37">
        <f>InterestRate*AmortizationMultiplier*IF(ISNUMBER(SEARCH("Actual",$C$7)),Table157810[[#This Row],[Days in month]]/365,1/12)</f>
        <v>5.9839472222222214E-3</v>
      </c>
    </row>
    <row r="292" spans="2:20" x14ac:dyDescent="0.2">
      <c r="B292" s="1">
        <f t="shared" si="14"/>
        <v>54239</v>
      </c>
      <c r="C292" s="2">
        <f t="shared" si="16"/>
        <v>276</v>
      </c>
      <c r="D292" s="3">
        <f t="shared" si="15"/>
        <v>0</v>
      </c>
      <c r="E292" s="3">
        <f>ROUND(Table157810[[#This Row],[Beginning Balance]]*Table157810[[#This Row],[Monthly Interest Rate]],2)</f>
        <v>0</v>
      </c>
      <c r="F292" s="3">
        <f t="shared" si="17"/>
        <v>566</v>
      </c>
      <c r="G292" s="23">
        <f>IFERROR(IF($C$13="No","N/A",IF(Table157810[[#This Row],[Period]]=1,$C$6,PMT(InterestRate*AmortizationMultiplier/12,Table157810[[#This Row],[Am Thru]],-Table157810[[#This Row],[Beginning Balance]]))),0)</f>
        <v>0</v>
      </c>
      <c r="H292" s="3">
        <f>MAX(0,IF(C292=$C$4,D292,ROUND(IF($C$3="Fixed Principal",$C$6-Table157810[[#This Row],[Interest]],IF($C$3="Interest Only",Table157810[[#This Row],[Beginning Balance]]*ROUND(1-(1-IF($C$11="No",$E$8,1))^(1/12),6),MIN(IF($C$13="Yes",Table157810[[#This Row],[Payment Amount (Reamortized)]],$C$6)-Table157810[[#This Row],[Interest]],Table157810[[#This Row],[Beginning Balance]]))),2)))</f>
        <v>0</v>
      </c>
      <c r="I292" s="3">
        <f>_xlfn.SINGLE(IF($C$3="Line of Credit",0,ROUND(MAX(MIN(IF($C$10="No",$E$7,VLOOKUP(Table157810[[#This Row],[Period]],Forecast!$H$2:$L$1048576,4,FALSE))*Table157810[[#This Row],[Beginning Balance]],Table157810[[#This Row],[Beginning Balance]]-Table157810[[#This Row],[Principal]]),0),2)))</f>
        <v>0</v>
      </c>
      <c r="J292" s="3">
        <f>ROUND(MIN(Table157810[[#This Row],[Beginning Balance]]*IF($C$8="No",$E$3,VLOOKUP(Table157810[[#This Row],[Period]],Forecast!$H$2:$L$1048576,2,FALSE)),Table157810[[#This Row],[Beginning Balance]]-Table157810[[#This Row],[Principal]]-Table157810[[#This Row],[Prepayments]]),2)</f>
        <v>0</v>
      </c>
      <c r="K292" s="3">
        <f>ROUND(Table157810[[#This Row],[Defaulted Principal]]*IF($C$9="No",$E$4,VLOOKUP(Table157810[[#This Row],[Period]],Forecast!$H$2:$L$1048576,3,FALSE)),2)</f>
        <v>0</v>
      </c>
      <c r="L292" s="2">
        <f>Table157810[[#This Row],[Period]]+$E$9</f>
        <v>288</v>
      </c>
      <c r="M292" s="3">
        <f>Table157810[[#This Row],[Defaulted Principal]]-Table157810[[#This Row],[Estimated Loss]]</f>
        <v>0</v>
      </c>
      <c r="N292" s="3">
        <f>IFERROR(VLOOKUP(Table157810[[#This Row],[Period]],$L$16:$M$385,2,FALSE),0)</f>
        <v>0</v>
      </c>
      <c r="O292" s="3">
        <f>Table157810[[#This Row],[Beginning Balance]]-Table157810[[#This Row],[Principal]]-Table157810[[#This Row],[Prepayments]]-Table157810[[#This Row],[Defaulted Principal]]</f>
        <v>0</v>
      </c>
      <c r="P292" s="3">
        <f>Table157810[[#This Row],[Principal]]+Table157810[[#This Row],[Interest]]+Table157810[[#This Row],[Prepayments]]+Table157810[[#This Row],[RecoveredAmount]]</f>
        <v>0</v>
      </c>
      <c r="Q292" s="3">
        <f ca="1">ROUND(Table157810[[#This Row],[Cash Flow]]/((1+ActualRateToUse)^(IF(ISNUMBER(SEARCH("Actual",$C$7)),Table157810[[#This Row],[Running Total]]/365,Table157810[[#This Row],[Period]]/12))),2)</f>
        <v>0</v>
      </c>
      <c r="R292" s="2">
        <f>IF(MONTH(Table157810[[#This Row],[Date]])=2,28,DAY(DATE(YEAR(Table157810[[#This Row],[Date]]),MONTH(Table157810[[#This Row],[Date]])+1,1)-1))</f>
        <v>30</v>
      </c>
      <c r="S292" s="2">
        <f ca="1">SUM(OFFSET(Table157810[[#Headers],[Days in month]],1,0):Table157810[[#This Row],[Days in month]])</f>
        <v>8395</v>
      </c>
      <c r="T292" s="37">
        <f>InterestRate*AmortizationMultiplier*IF(ISNUMBER(SEARCH("Actual",$C$7)),Table157810[[#This Row],[Days in month]]/365,1/12)</f>
        <v>5.7909166666666656E-3</v>
      </c>
    </row>
    <row r="293" spans="2:20" x14ac:dyDescent="0.2">
      <c r="B293" s="1">
        <f t="shared" si="14"/>
        <v>54270</v>
      </c>
      <c r="C293" s="2">
        <f t="shared" si="16"/>
        <v>277</v>
      </c>
      <c r="D293" s="3">
        <f t="shared" si="15"/>
        <v>0</v>
      </c>
      <c r="E293" s="3">
        <f>ROUND(Table157810[[#This Row],[Beginning Balance]]*Table157810[[#This Row],[Monthly Interest Rate]],2)</f>
        <v>0</v>
      </c>
      <c r="F293" s="3">
        <f t="shared" si="17"/>
        <v>565</v>
      </c>
      <c r="G293" s="23">
        <f>IFERROR(IF($C$13="No","N/A",IF(Table157810[[#This Row],[Period]]=1,$C$6,PMT(InterestRate*AmortizationMultiplier/12,Table157810[[#This Row],[Am Thru]],-Table157810[[#This Row],[Beginning Balance]]))),0)</f>
        <v>0</v>
      </c>
      <c r="H293" s="3">
        <f>MAX(0,IF(C293=$C$4,D293,ROUND(IF($C$3="Fixed Principal",$C$6-Table157810[[#This Row],[Interest]],IF($C$3="Interest Only",Table157810[[#This Row],[Beginning Balance]]*ROUND(1-(1-IF($C$11="No",$E$8,1))^(1/12),6),MIN(IF($C$13="Yes",Table157810[[#This Row],[Payment Amount (Reamortized)]],$C$6)-Table157810[[#This Row],[Interest]],Table157810[[#This Row],[Beginning Balance]]))),2)))</f>
        <v>0</v>
      </c>
      <c r="I293" s="3">
        <f>_xlfn.SINGLE(IF($C$3="Line of Credit",0,ROUND(MAX(MIN(IF($C$10="No",$E$7,VLOOKUP(Table157810[[#This Row],[Period]],Forecast!$H$2:$L$1048576,4,FALSE))*Table157810[[#This Row],[Beginning Balance]],Table157810[[#This Row],[Beginning Balance]]-Table157810[[#This Row],[Principal]]),0),2)))</f>
        <v>0</v>
      </c>
      <c r="J293" s="3">
        <f>ROUND(MIN(Table157810[[#This Row],[Beginning Balance]]*IF($C$8="No",$E$3,VLOOKUP(Table157810[[#This Row],[Period]],Forecast!$H$2:$L$1048576,2,FALSE)),Table157810[[#This Row],[Beginning Balance]]-Table157810[[#This Row],[Principal]]-Table157810[[#This Row],[Prepayments]]),2)</f>
        <v>0</v>
      </c>
      <c r="K293" s="3">
        <f>ROUND(Table157810[[#This Row],[Defaulted Principal]]*IF($C$9="No",$E$4,VLOOKUP(Table157810[[#This Row],[Period]],Forecast!$H$2:$L$1048576,3,FALSE)),2)</f>
        <v>0</v>
      </c>
      <c r="L293" s="2">
        <f>Table157810[[#This Row],[Period]]+$E$9</f>
        <v>289</v>
      </c>
      <c r="M293" s="3">
        <f>Table157810[[#This Row],[Defaulted Principal]]-Table157810[[#This Row],[Estimated Loss]]</f>
        <v>0</v>
      </c>
      <c r="N293" s="3">
        <f>IFERROR(VLOOKUP(Table157810[[#This Row],[Period]],$L$16:$M$385,2,FALSE),0)</f>
        <v>0</v>
      </c>
      <c r="O293" s="3">
        <f>Table157810[[#This Row],[Beginning Balance]]-Table157810[[#This Row],[Principal]]-Table157810[[#This Row],[Prepayments]]-Table157810[[#This Row],[Defaulted Principal]]</f>
        <v>0</v>
      </c>
      <c r="P293" s="3">
        <f>Table157810[[#This Row],[Principal]]+Table157810[[#This Row],[Interest]]+Table157810[[#This Row],[Prepayments]]+Table157810[[#This Row],[RecoveredAmount]]</f>
        <v>0</v>
      </c>
      <c r="Q293" s="3">
        <f ca="1">ROUND(Table157810[[#This Row],[Cash Flow]]/((1+ActualRateToUse)^(IF(ISNUMBER(SEARCH("Actual",$C$7)),Table157810[[#This Row],[Running Total]]/365,Table157810[[#This Row],[Period]]/12))),2)</f>
        <v>0</v>
      </c>
      <c r="R293" s="2">
        <f>IF(MONTH(Table157810[[#This Row],[Date]])=2,28,DAY(DATE(YEAR(Table157810[[#This Row],[Date]]),MONTH(Table157810[[#This Row],[Date]])+1,1)-1))</f>
        <v>31</v>
      </c>
      <c r="S293" s="2">
        <f ca="1">SUM(OFFSET(Table157810[[#Headers],[Days in month]],1,0):Table157810[[#This Row],[Days in month]])</f>
        <v>8426</v>
      </c>
      <c r="T293" s="37">
        <f>InterestRate*AmortizationMultiplier*IF(ISNUMBER(SEARCH("Actual",$C$7)),Table157810[[#This Row],[Days in month]]/365,1/12)</f>
        <v>5.9839472222222214E-3</v>
      </c>
    </row>
    <row r="294" spans="2:20" x14ac:dyDescent="0.2">
      <c r="B294" s="1">
        <f t="shared" si="14"/>
        <v>54301</v>
      </c>
      <c r="C294" s="2">
        <f t="shared" si="16"/>
        <v>278</v>
      </c>
      <c r="D294" s="3">
        <f t="shared" si="15"/>
        <v>0</v>
      </c>
      <c r="E294" s="3">
        <f>ROUND(Table157810[[#This Row],[Beginning Balance]]*Table157810[[#This Row],[Monthly Interest Rate]],2)</f>
        <v>0</v>
      </c>
      <c r="F294" s="3">
        <f t="shared" si="17"/>
        <v>564</v>
      </c>
      <c r="G294" s="23">
        <f>IFERROR(IF($C$13="No","N/A",IF(Table157810[[#This Row],[Period]]=1,$C$6,PMT(InterestRate*AmortizationMultiplier/12,Table157810[[#This Row],[Am Thru]],-Table157810[[#This Row],[Beginning Balance]]))),0)</f>
        <v>0</v>
      </c>
      <c r="H294" s="3">
        <f>MAX(0,IF(C294=$C$4,D294,ROUND(IF($C$3="Fixed Principal",$C$6-Table157810[[#This Row],[Interest]],IF($C$3="Interest Only",Table157810[[#This Row],[Beginning Balance]]*ROUND(1-(1-IF($C$11="No",$E$8,1))^(1/12),6),MIN(IF($C$13="Yes",Table157810[[#This Row],[Payment Amount (Reamortized)]],$C$6)-Table157810[[#This Row],[Interest]],Table157810[[#This Row],[Beginning Balance]]))),2)))</f>
        <v>0</v>
      </c>
      <c r="I294" s="3">
        <f>_xlfn.SINGLE(IF($C$3="Line of Credit",0,ROUND(MAX(MIN(IF($C$10="No",$E$7,VLOOKUP(Table157810[[#This Row],[Period]],Forecast!$H$2:$L$1048576,4,FALSE))*Table157810[[#This Row],[Beginning Balance]],Table157810[[#This Row],[Beginning Balance]]-Table157810[[#This Row],[Principal]]),0),2)))</f>
        <v>0</v>
      </c>
      <c r="J294" s="3">
        <f>ROUND(MIN(Table157810[[#This Row],[Beginning Balance]]*IF($C$8="No",$E$3,VLOOKUP(Table157810[[#This Row],[Period]],Forecast!$H$2:$L$1048576,2,FALSE)),Table157810[[#This Row],[Beginning Balance]]-Table157810[[#This Row],[Principal]]-Table157810[[#This Row],[Prepayments]]),2)</f>
        <v>0</v>
      </c>
      <c r="K294" s="3">
        <f>ROUND(Table157810[[#This Row],[Defaulted Principal]]*IF($C$9="No",$E$4,VLOOKUP(Table157810[[#This Row],[Period]],Forecast!$H$2:$L$1048576,3,FALSE)),2)</f>
        <v>0</v>
      </c>
      <c r="L294" s="2">
        <f>Table157810[[#This Row],[Period]]+$E$9</f>
        <v>290</v>
      </c>
      <c r="M294" s="3">
        <f>Table157810[[#This Row],[Defaulted Principal]]-Table157810[[#This Row],[Estimated Loss]]</f>
        <v>0</v>
      </c>
      <c r="N294" s="3">
        <f>IFERROR(VLOOKUP(Table157810[[#This Row],[Period]],$L$16:$M$385,2,FALSE),0)</f>
        <v>0</v>
      </c>
      <c r="O294" s="3">
        <f>Table157810[[#This Row],[Beginning Balance]]-Table157810[[#This Row],[Principal]]-Table157810[[#This Row],[Prepayments]]-Table157810[[#This Row],[Defaulted Principal]]</f>
        <v>0</v>
      </c>
      <c r="P294" s="3">
        <f>Table157810[[#This Row],[Principal]]+Table157810[[#This Row],[Interest]]+Table157810[[#This Row],[Prepayments]]+Table157810[[#This Row],[RecoveredAmount]]</f>
        <v>0</v>
      </c>
      <c r="Q294" s="3">
        <f ca="1">ROUND(Table157810[[#This Row],[Cash Flow]]/((1+ActualRateToUse)^(IF(ISNUMBER(SEARCH("Actual",$C$7)),Table157810[[#This Row],[Running Total]]/365,Table157810[[#This Row],[Period]]/12))),2)</f>
        <v>0</v>
      </c>
      <c r="R294" s="2">
        <f>IF(MONTH(Table157810[[#This Row],[Date]])=2,28,DAY(DATE(YEAR(Table157810[[#This Row],[Date]]),MONTH(Table157810[[#This Row],[Date]])+1,1)-1))</f>
        <v>31</v>
      </c>
      <c r="S294" s="2">
        <f ca="1">SUM(OFFSET(Table157810[[#Headers],[Days in month]],1,0):Table157810[[#This Row],[Days in month]])</f>
        <v>8457</v>
      </c>
      <c r="T294" s="37">
        <f>InterestRate*AmortizationMultiplier*IF(ISNUMBER(SEARCH("Actual",$C$7)),Table157810[[#This Row],[Days in month]]/365,1/12)</f>
        <v>5.9839472222222214E-3</v>
      </c>
    </row>
    <row r="295" spans="2:20" x14ac:dyDescent="0.2">
      <c r="B295" s="1">
        <f t="shared" si="14"/>
        <v>54331</v>
      </c>
      <c r="C295" s="2">
        <f t="shared" si="16"/>
        <v>279</v>
      </c>
      <c r="D295" s="3">
        <f t="shared" si="15"/>
        <v>0</v>
      </c>
      <c r="E295" s="3">
        <f>ROUND(Table157810[[#This Row],[Beginning Balance]]*Table157810[[#This Row],[Monthly Interest Rate]],2)</f>
        <v>0</v>
      </c>
      <c r="F295" s="3">
        <f t="shared" si="17"/>
        <v>563</v>
      </c>
      <c r="G295" s="23">
        <f>IFERROR(IF($C$13="No","N/A",IF(Table157810[[#This Row],[Period]]=1,$C$6,PMT(InterestRate*AmortizationMultiplier/12,Table157810[[#This Row],[Am Thru]],-Table157810[[#This Row],[Beginning Balance]]))),0)</f>
        <v>0</v>
      </c>
      <c r="H295" s="3">
        <f>MAX(0,IF(C295=$C$4,D295,ROUND(IF($C$3="Fixed Principal",$C$6-Table157810[[#This Row],[Interest]],IF($C$3="Interest Only",Table157810[[#This Row],[Beginning Balance]]*ROUND(1-(1-IF($C$11="No",$E$8,1))^(1/12),6),MIN(IF($C$13="Yes",Table157810[[#This Row],[Payment Amount (Reamortized)]],$C$6)-Table157810[[#This Row],[Interest]],Table157810[[#This Row],[Beginning Balance]]))),2)))</f>
        <v>0</v>
      </c>
      <c r="I295" s="3">
        <f>_xlfn.SINGLE(IF($C$3="Line of Credit",0,ROUND(MAX(MIN(IF($C$10="No",$E$7,VLOOKUP(Table157810[[#This Row],[Period]],Forecast!$H$2:$L$1048576,4,FALSE))*Table157810[[#This Row],[Beginning Balance]],Table157810[[#This Row],[Beginning Balance]]-Table157810[[#This Row],[Principal]]),0),2)))</f>
        <v>0</v>
      </c>
      <c r="J295" s="3">
        <f>ROUND(MIN(Table157810[[#This Row],[Beginning Balance]]*IF($C$8="No",$E$3,VLOOKUP(Table157810[[#This Row],[Period]],Forecast!$H$2:$L$1048576,2,FALSE)),Table157810[[#This Row],[Beginning Balance]]-Table157810[[#This Row],[Principal]]-Table157810[[#This Row],[Prepayments]]),2)</f>
        <v>0</v>
      </c>
      <c r="K295" s="3">
        <f>ROUND(Table157810[[#This Row],[Defaulted Principal]]*IF($C$9="No",$E$4,VLOOKUP(Table157810[[#This Row],[Period]],Forecast!$H$2:$L$1048576,3,FALSE)),2)</f>
        <v>0</v>
      </c>
      <c r="L295" s="2">
        <f>Table157810[[#This Row],[Period]]+$E$9</f>
        <v>291</v>
      </c>
      <c r="M295" s="3">
        <f>Table157810[[#This Row],[Defaulted Principal]]-Table157810[[#This Row],[Estimated Loss]]</f>
        <v>0</v>
      </c>
      <c r="N295" s="3">
        <f>IFERROR(VLOOKUP(Table157810[[#This Row],[Period]],$L$16:$M$385,2,FALSE),0)</f>
        <v>0</v>
      </c>
      <c r="O295" s="3">
        <f>Table157810[[#This Row],[Beginning Balance]]-Table157810[[#This Row],[Principal]]-Table157810[[#This Row],[Prepayments]]-Table157810[[#This Row],[Defaulted Principal]]</f>
        <v>0</v>
      </c>
      <c r="P295" s="3">
        <f>Table157810[[#This Row],[Principal]]+Table157810[[#This Row],[Interest]]+Table157810[[#This Row],[Prepayments]]+Table157810[[#This Row],[RecoveredAmount]]</f>
        <v>0</v>
      </c>
      <c r="Q295" s="3">
        <f ca="1">ROUND(Table157810[[#This Row],[Cash Flow]]/((1+ActualRateToUse)^(IF(ISNUMBER(SEARCH("Actual",$C$7)),Table157810[[#This Row],[Running Total]]/365,Table157810[[#This Row],[Period]]/12))),2)</f>
        <v>0</v>
      </c>
      <c r="R295" s="2">
        <f>IF(MONTH(Table157810[[#This Row],[Date]])=2,28,DAY(DATE(YEAR(Table157810[[#This Row],[Date]]),MONTH(Table157810[[#This Row],[Date]])+1,1)-1))</f>
        <v>30</v>
      </c>
      <c r="S295" s="2">
        <f ca="1">SUM(OFFSET(Table157810[[#Headers],[Days in month]],1,0):Table157810[[#This Row],[Days in month]])</f>
        <v>8487</v>
      </c>
      <c r="T295" s="37">
        <f>InterestRate*AmortizationMultiplier*IF(ISNUMBER(SEARCH("Actual",$C$7)),Table157810[[#This Row],[Days in month]]/365,1/12)</f>
        <v>5.7909166666666656E-3</v>
      </c>
    </row>
    <row r="296" spans="2:20" x14ac:dyDescent="0.2">
      <c r="B296" s="1">
        <f t="shared" si="14"/>
        <v>54362</v>
      </c>
      <c r="C296" s="2">
        <f t="shared" si="16"/>
        <v>280</v>
      </c>
      <c r="D296" s="3">
        <f t="shared" si="15"/>
        <v>0</v>
      </c>
      <c r="E296" s="3">
        <f>ROUND(Table157810[[#This Row],[Beginning Balance]]*Table157810[[#This Row],[Monthly Interest Rate]],2)</f>
        <v>0</v>
      </c>
      <c r="F296" s="3">
        <f t="shared" si="17"/>
        <v>562</v>
      </c>
      <c r="G296" s="23">
        <f>IFERROR(IF($C$13="No","N/A",IF(Table157810[[#This Row],[Period]]=1,$C$6,PMT(InterestRate*AmortizationMultiplier/12,Table157810[[#This Row],[Am Thru]],-Table157810[[#This Row],[Beginning Balance]]))),0)</f>
        <v>0</v>
      </c>
      <c r="H296" s="3">
        <f>MAX(0,IF(C296=$C$4,D296,ROUND(IF($C$3="Fixed Principal",$C$6-Table157810[[#This Row],[Interest]],IF($C$3="Interest Only",Table157810[[#This Row],[Beginning Balance]]*ROUND(1-(1-IF($C$11="No",$E$8,1))^(1/12),6),MIN(IF($C$13="Yes",Table157810[[#This Row],[Payment Amount (Reamortized)]],$C$6)-Table157810[[#This Row],[Interest]],Table157810[[#This Row],[Beginning Balance]]))),2)))</f>
        <v>0</v>
      </c>
      <c r="I296" s="3">
        <f>_xlfn.SINGLE(IF($C$3="Line of Credit",0,ROUND(MAX(MIN(IF($C$10="No",$E$7,VLOOKUP(Table157810[[#This Row],[Period]],Forecast!$H$2:$L$1048576,4,FALSE))*Table157810[[#This Row],[Beginning Balance]],Table157810[[#This Row],[Beginning Balance]]-Table157810[[#This Row],[Principal]]),0),2)))</f>
        <v>0</v>
      </c>
      <c r="J296" s="3">
        <f>ROUND(MIN(Table157810[[#This Row],[Beginning Balance]]*IF($C$8="No",$E$3,VLOOKUP(Table157810[[#This Row],[Period]],Forecast!$H$2:$L$1048576,2,FALSE)),Table157810[[#This Row],[Beginning Balance]]-Table157810[[#This Row],[Principal]]-Table157810[[#This Row],[Prepayments]]),2)</f>
        <v>0</v>
      </c>
      <c r="K296" s="3">
        <f>ROUND(Table157810[[#This Row],[Defaulted Principal]]*IF($C$9="No",$E$4,VLOOKUP(Table157810[[#This Row],[Period]],Forecast!$H$2:$L$1048576,3,FALSE)),2)</f>
        <v>0</v>
      </c>
      <c r="L296" s="2">
        <f>Table157810[[#This Row],[Period]]+$E$9</f>
        <v>292</v>
      </c>
      <c r="M296" s="3">
        <f>Table157810[[#This Row],[Defaulted Principal]]-Table157810[[#This Row],[Estimated Loss]]</f>
        <v>0</v>
      </c>
      <c r="N296" s="3">
        <f>IFERROR(VLOOKUP(Table157810[[#This Row],[Period]],$L$16:$M$385,2,FALSE),0)</f>
        <v>0</v>
      </c>
      <c r="O296" s="3">
        <f>Table157810[[#This Row],[Beginning Balance]]-Table157810[[#This Row],[Principal]]-Table157810[[#This Row],[Prepayments]]-Table157810[[#This Row],[Defaulted Principal]]</f>
        <v>0</v>
      </c>
      <c r="P296" s="3">
        <f>Table157810[[#This Row],[Principal]]+Table157810[[#This Row],[Interest]]+Table157810[[#This Row],[Prepayments]]+Table157810[[#This Row],[RecoveredAmount]]</f>
        <v>0</v>
      </c>
      <c r="Q296" s="3">
        <f ca="1">ROUND(Table157810[[#This Row],[Cash Flow]]/((1+ActualRateToUse)^(IF(ISNUMBER(SEARCH("Actual",$C$7)),Table157810[[#This Row],[Running Total]]/365,Table157810[[#This Row],[Period]]/12))),2)</f>
        <v>0</v>
      </c>
      <c r="R296" s="2">
        <f>IF(MONTH(Table157810[[#This Row],[Date]])=2,28,DAY(DATE(YEAR(Table157810[[#This Row],[Date]]),MONTH(Table157810[[#This Row],[Date]])+1,1)-1))</f>
        <v>31</v>
      </c>
      <c r="S296" s="2">
        <f ca="1">SUM(OFFSET(Table157810[[#Headers],[Days in month]],1,0):Table157810[[#This Row],[Days in month]])</f>
        <v>8518</v>
      </c>
      <c r="T296" s="37">
        <f>InterestRate*AmortizationMultiplier*IF(ISNUMBER(SEARCH("Actual",$C$7)),Table157810[[#This Row],[Days in month]]/365,1/12)</f>
        <v>5.9839472222222214E-3</v>
      </c>
    </row>
    <row r="297" spans="2:20" x14ac:dyDescent="0.2">
      <c r="B297" s="1">
        <f t="shared" si="14"/>
        <v>54392</v>
      </c>
      <c r="C297" s="2">
        <f t="shared" si="16"/>
        <v>281</v>
      </c>
      <c r="D297" s="3">
        <f t="shared" si="15"/>
        <v>0</v>
      </c>
      <c r="E297" s="3">
        <f>ROUND(Table157810[[#This Row],[Beginning Balance]]*Table157810[[#This Row],[Monthly Interest Rate]],2)</f>
        <v>0</v>
      </c>
      <c r="F297" s="3">
        <f t="shared" si="17"/>
        <v>561</v>
      </c>
      <c r="G297" s="23">
        <f>IFERROR(IF($C$13="No","N/A",IF(Table157810[[#This Row],[Period]]=1,$C$6,PMT(InterestRate*AmortizationMultiplier/12,Table157810[[#This Row],[Am Thru]],-Table157810[[#This Row],[Beginning Balance]]))),0)</f>
        <v>0</v>
      </c>
      <c r="H297" s="3">
        <f>MAX(0,IF(C297=$C$4,D297,ROUND(IF($C$3="Fixed Principal",$C$6-Table157810[[#This Row],[Interest]],IF($C$3="Interest Only",Table157810[[#This Row],[Beginning Balance]]*ROUND(1-(1-IF($C$11="No",$E$8,1))^(1/12),6),MIN(IF($C$13="Yes",Table157810[[#This Row],[Payment Amount (Reamortized)]],$C$6)-Table157810[[#This Row],[Interest]],Table157810[[#This Row],[Beginning Balance]]))),2)))</f>
        <v>0</v>
      </c>
      <c r="I297" s="3">
        <f>_xlfn.SINGLE(IF($C$3="Line of Credit",0,ROUND(MAX(MIN(IF($C$10="No",$E$7,VLOOKUP(Table157810[[#This Row],[Period]],Forecast!$H$2:$L$1048576,4,FALSE))*Table157810[[#This Row],[Beginning Balance]],Table157810[[#This Row],[Beginning Balance]]-Table157810[[#This Row],[Principal]]),0),2)))</f>
        <v>0</v>
      </c>
      <c r="J297" s="3">
        <f>ROUND(MIN(Table157810[[#This Row],[Beginning Balance]]*IF($C$8="No",$E$3,VLOOKUP(Table157810[[#This Row],[Period]],Forecast!$H$2:$L$1048576,2,FALSE)),Table157810[[#This Row],[Beginning Balance]]-Table157810[[#This Row],[Principal]]-Table157810[[#This Row],[Prepayments]]),2)</f>
        <v>0</v>
      </c>
      <c r="K297" s="3">
        <f>ROUND(Table157810[[#This Row],[Defaulted Principal]]*IF($C$9="No",$E$4,VLOOKUP(Table157810[[#This Row],[Period]],Forecast!$H$2:$L$1048576,3,FALSE)),2)</f>
        <v>0</v>
      </c>
      <c r="L297" s="2">
        <f>Table157810[[#This Row],[Period]]+$E$9</f>
        <v>293</v>
      </c>
      <c r="M297" s="3">
        <f>Table157810[[#This Row],[Defaulted Principal]]-Table157810[[#This Row],[Estimated Loss]]</f>
        <v>0</v>
      </c>
      <c r="N297" s="3">
        <f>IFERROR(VLOOKUP(Table157810[[#This Row],[Period]],$L$16:$M$385,2,FALSE),0)</f>
        <v>0</v>
      </c>
      <c r="O297" s="3">
        <f>Table157810[[#This Row],[Beginning Balance]]-Table157810[[#This Row],[Principal]]-Table157810[[#This Row],[Prepayments]]-Table157810[[#This Row],[Defaulted Principal]]</f>
        <v>0</v>
      </c>
      <c r="P297" s="3">
        <f>Table157810[[#This Row],[Principal]]+Table157810[[#This Row],[Interest]]+Table157810[[#This Row],[Prepayments]]+Table157810[[#This Row],[RecoveredAmount]]</f>
        <v>0</v>
      </c>
      <c r="Q297" s="3">
        <f ca="1">ROUND(Table157810[[#This Row],[Cash Flow]]/((1+ActualRateToUse)^(IF(ISNUMBER(SEARCH("Actual",$C$7)),Table157810[[#This Row],[Running Total]]/365,Table157810[[#This Row],[Period]]/12))),2)</f>
        <v>0</v>
      </c>
      <c r="R297" s="2">
        <f>IF(MONTH(Table157810[[#This Row],[Date]])=2,28,DAY(DATE(YEAR(Table157810[[#This Row],[Date]]),MONTH(Table157810[[#This Row],[Date]])+1,1)-1))</f>
        <v>30</v>
      </c>
      <c r="S297" s="2">
        <f ca="1">SUM(OFFSET(Table157810[[#Headers],[Days in month]],1,0):Table157810[[#This Row],[Days in month]])</f>
        <v>8548</v>
      </c>
      <c r="T297" s="37">
        <f>InterestRate*AmortizationMultiplier*IF(ISNUMBER(SEARCH("Actual",$C$7)),Table157810[[#This Row],[Days in month]]/365,1/12)</f>
        <v>5.7909166666666656E-3</v>
      </c>
    </row>
    <row r="298" spans="2:20" x14ac:dyDescent="0.2">
      <c r="B298" s="1">
        <f t="shared" si="14"/>
        <v>54423</v>
      </c>
      <c r="C298" s="2">
        <f t="shared" si="16"/>
        <v>282</v>
      </c>
      <c r="D298" s="3">
        <f t="shared" si="15"/>
        <v>0</v>
      </c>
      <c r="E298" s="3">
        <f>ROUND(Table157810[[#This Row],[Beginning Balance]]*Table157810[[#This Row],[Monthly Interest Rate]],2)</f>
        <v>0</v>
      </c>
      <c r="F298" s="3">
        <f t="shared" si="17"/>
        <v>560</v>
      </c>
      <c r="G298" s="23">
        <f>IFERROR(IF($C$13="No","N/A",IF(Table157810[[#This Row],[Period]]=1,$C$6,PMT(InterestRate*AmortizationMultiplier/12,Table157810[[#This Row],[Am Thru]],-Table157810[[#This Row],[Beginning Balance]]))),0)</f>
        <v>0</v>
      </c>
      <c r="H298" s="3">
        <f>MAX(0,IF(C298=$C$4,D298,ROUND(IF($C$3="Fixed Principal",$C$6-Table157810[[#This Row],[Interest]],IF($C$3="Interest Only",Table157810[[#This Row],[Beginning Balance]]*ROUND(1-(1-IF($C$11="No",$E$8,1))^(1/12),6),MIN(IF($C$13="Yes",Table157810[[#This Row],[Payment Amount (Reamortized)]],$C$6)-Table157810[[#This Row],[Interest]],Table157810[[#This Row],[Beginning Balance]]))),2)))</f>
        <v>0</v>
      </c>
      <c r="I298" s="3">
        <f>_xlfn.SINGLE(IF($C$3="Line of Credit",0,ROUND(MAX(MIN(IF($C$10="No",$E$7,VLOOKUP(Table157810[[#This Row],[Period]],Forecast!$H$2:$L$1048576,4,FALSE))*Table157810[[#This Row],[Beginning Balance]],Table157810[[#This Row],[Beginning Balance]]-Table157810[[#This Row],[Principal]]),0),2)))</f>
        <v>0</v>
      </c>
      <c r="J298" s="3">
        <f>ROUND(MIN(Table157810[[#This Row],[Beginning Balance]]*IF($C$8="No",$E$3,VLOOKUP(Table157810[[#This Row],[Period]],Forecast!$H$2:$L$1048576,2,FALSE)),Table157810[[#This Row],[Beginning Balance]]-Table157810[[#This Row],[Principal]]-Table157810[[#This Row],[Prepayments]]),2)</f>
        <v>0</v>
      </c>
      <c r="K298" s="3">
        <f>ROUND(Table157810[[#This Row],[Defaulted Principal]]*IF($C$9="No",$E$4,VLOOKUP(Table157810[[#This Row],[Period]],Forecast!$H$2:$L$1048576,3,FALSE)),2)</f>
        <v>0</v>
      </c>
      <c r="L298" s="2">
        <f>Table157810[[#This Row],[Period]]+$E$9</f>
        <v>294</v>
      </c>
      <c r="M298" s="3">
        <f>Table157810[[#This Row],[Defaulted Principal]]-Table157810[[#This Row],[Estimated Loss]]</f>
        <v>0</v>
      </c>
      <c r="N298" s="3">
        <f>IFERROR(VLOOKUP(Table157810[[#This Row],[Period]],$L$16:$M$385,2,FALSE),0)</f>
        <v>0</v>
      </c>
      <c r="O298" s="3">
        <f>Table157810[[#This Row],[Beginning Balance]]-Table157810[[#This Row],[Principal]]-Table157810[[#This Row],[Prepayments]]-Table157810[[#This Row],[Defaulted Principal]]</f>
        <v>0</v>
      </c>
      <c r="P298" s="3">
        <f>Table157810[[#This Row],[Principal]]+Table157810[[#This Row],[Interest]]+Table157810[[#This Row],[Prepayments]]+Table157810[[#This Row],[RecoveredAmount]]</f>
        <v>0</v>
      </c>
      <c r="Q298" s="3">
        <f ca="1">ROUND(Table157810[[#This Row],[Cash Flow]]/((1+ActualRateToUse)^(IF(ISNUMBER(SEARCH("Actual",$C$7)),Table157810[[#This Row],[Running Total]]/365,Table157810[[#This Row],[Period]]/12))),2)</f>
        <v>0</v>
      </c>
      <c r="R298" s="2">
        <f>IF(MONTH(Table157810[[#This Row],[Date]])=2,28,DAY(DATE(YEAR(Table157810[[#This Row],[Date]]),MONTH(Table157810[[#This Row],[Date]])+1,1)-1))</f>
        <v>31</v>
      </c>
      <c r="S298" s="2">
        <f ca="1">SUM(OFFSET(Table157810[[#Headers],[Days in month]],1,0):Table157810[[#This Row],[Days in month]])</f>
        <v>8579</v>
      </c>
      <c r="T298" s="37">
        <f>InterestRate*AmortizationMultiplier*IF(ISNUMBER(SEARCH("Actual",$C$7)),Table157810[[#This Row],[Days in month]]/365,1/12)</f>
        <v>5.9839472222222214E-3</v>
      </c>
    </row>
    <row r="299" spans="2:20" x14ac:dyDescent="0.2">
      <c r="B299" s="1">
        <f t="shared" si="14"/>
        <v>54454</v>
      </c>
      <c r="C299" s="2">
        <f t="shared" si="16"/>
        <v>283</v>
      </c>
      <c r="D299" s="3">
        <f t="shared" si="15"/>
        <v>0</v>
      </c>
      <c r="E299" s="3">
        <f>ROUND(Table157810[[#This Row],[Beginning Balance]]*Table157810[[#This Row],[Monthly Interest Rate]],2)</f>
        <v>0</v>
      </c>
      <c r="F299" s="3">
        <f t="shared" si="17"/>
        <v>559</v>
      </c>
      <c r="G299" s="23">
        <f>IFERROR(IF($C$13="No","N/A",IF(Table157810[[#This Row],[Period]]=1,$C$6,PMT(InterestRate*AmortizationMultiplier/12,Table157810[[#This Row],[Am Thru]],-Table157810[[#This Row],[Beginning Balance]]))),0)</f>
        <v>0</v>
      </c>
      <c r="H299" s="3">
        <f>MAX(0,IF(C299=$C$4,D299,ROUND(IF($C$3="Fixed Principal",$C$6-Table157810[[#This Row],[Interest]],IF($C$3="Interest Only",Table157810[[#This Row],[Beginning Balance]]*ROUND(1-(1-IF($C$11="No",$E$8,1))^(1/12),6),MIN(IF($C$13="Yes",Table157810[[#This Row],[Payment Amount (Reamortized)]],$C$6)-Table157810[[#This Row],[Interest]],Table157810[[#This Row],[Beginning Balance]]))),2)))</f>
        <v>0</v>
      </c>
      <c r="I299" s="3">
        <f>_xlfn.SINGLE(IF($C$3="Line of Credit",0,ROUND(MAX(MIN(IF($C$10="No",$E$7,VLOOKUP(Table157810[[#This Row],[Period]],Forecast!$H$2:$L$1048576,4,FALSE))*Table157810[[#This Row],[Beginning Balance]],Table157810[[#This Row],[Beginning Balance]]-Table157810[[#This Row],[Principal]]),0),2)))</f>
        <v>0</v>
      </c>
      <c r="J299" s="3">
        <f>ROUND(MIN(Table157810[[#This Row],[Beginning Balance]]*IF($C$8="No",$E$3,VLOOKUP(Table157810[[#This Row],[Period]],Forecast!$H$2:$L$1048576,2,FALSE)),Table157810[[#This Row],[Beginning Balance]]-Table157810[[#This Row],[Principal]]-Table157810[[#This Row],[Prepayments]]),2)</f>
        <v>0</v>
      </c>
      <c r="K299" s="3">
        <f>ROUND(Table157810[[#This Row],[Defaulted Principal]]*IF($C$9="No",$E$4,VLOOKUP(Table157810[[#This Row],[Period]],Forecast!$H$2:$L$1048576,3,FALSE)),2)</f>
        <v>0</v>
      </c>
      <c r="L299" s="2">
        <f>Table157810[[#This Row],[Period]]+$E$9</f>
        <v>295</v>
      </c>
      <c r="M299" s="3">
        <f>Table157810[[#This Row],[Defaulted Principal]]-Table157810[[#This Row],[Estimated Loss]]</f>
        <v>0</v>
      </c>
      <c r="N299" s="3">
        <f>IFERROR(VLOOKUP(Table157810[[#This Row],[Period]],$L$16:$M$385,2,FALSE),0)</f>
        <v>0</v>
      </c>
      <c r="O299" s="3">
        <f>Table157810[[#This Row],[Beginning Balance]]-Table157810[[#This Row],[Principal]]-Table157810[[#This Row],[Prepayments]]-Table157810[[#This Row],[Defaulted Principal]]</f>
        <v>0</v>
      </c>
      <c r="P299" s="3">
        <f>Table157810[[#This Row],[Principal]]+Table157810[[#This Row],[Interest]]+Table157810[[#This Row],[Prepayments]]+Table157810[[#This Row],[RecoveredAmount]]</f>
        <v>0</v>
      </c>
      <c r="Q299" s="3">
        <f ca="1">ROUND(Table157810[[#This Row],[Cash Flow]]/((1+ActualRateToUse)^(IF(ISNUMBER(SEARCH("Actual",$C$7)),Table157810[[#This Row],[Running Total]]/365,Table157810[[#This Row],[Period]]/12))),2)</f>
        <v>0</v>
      </c>
      <c r="R299" s="2">
        <f>IF(MONTH(Table157810[[#This Row],[Date]])=2,28,DAY(DATE(YEAR(Table157810[[#This Row],[Date]]),MONTH(Table157810[[#This Row],[Date]])+1,1)-1))</f>
        <v>31</v>
      </c>
      <c r="S299" s="2">
        <f ca="1">SUM(OFFSET(Table157810[[#Headers],[Days in month]],1,0):Table157810[[#This Row],[Days in month]])</f>
        <v>8610</v>
      </c>
      <c r="T299" s="37">
        <f>InterestRate*AmortizationMultiplier*IF(ISNUMBER(SEARCH("Actual",$C$7)),Table157810[[#This Row],[Days in month]]/365,1/12)</f>
        <v>5.9839472222222214E-3</v>
      </c>
    </row>
    <row r="300" spans="2:20" x14ac:dyDescent="0.2">
      <c r="B300" s="1">
        <f t="shared" si="14"/>
        <v>54482</v>
      </c>
      <c r="C300" s="2">
        <f t="shared" si="16"/>
        <v>284</v>
      </c>
      <c r="D300" s="3">
        <f t="shared" si="15"/>
        <v>0</v>
      </c>
      <c r="E300" s="3">
        <f>ROUND(Table157810[[#This Row],[Beginning Balance]]*Table157810[[#This Row],[Monthly Interest Rate]],2)</f>
        <v>0</v>
      </c>
      <c r="F300" s="3">
        <f t="shared" si="17"/>
        <v>558</v>
      </c>
      <c r="G300" s="23">
        <f>IFERROR(IF($C$13="No","N/A",IF(Table157810[[#This Row],[Period]]=1,$C$6,PMT(InterestRate*AmortizationMultiplier/12,Table157810[[#This Row],[Am Thru]],-Table157810[[#This Row],[Beginning Balance]]))),0)</f>
        <v>0</v>
      </c>
      <c r="H300" s="3">
        <f>MAX(0,IF(C300=$C$4,D300,ROUND(IF($C$3="Fixed Principal",$C$6-Table157810[[#This Row],[Interest]],IF($C$3="Interest Only",Table157810[[#This Row],[Beginning Balance]]*ROUND(1-(1-IF($C$11="No",$E$8,1))^(1/12),6),MIN(IF($C$13="Yes",Table157810[[#This Row],[Payment Amount (Reamortized)]],$C$6)-Table157810[[#This Row],[Interest]],Table157810[[#This Row],[Beginning Balance]]))),2)))</f>
        <v>0</v>
      </c>
      <c r="I300" s="3">
        <f>_xlfn.SINGLE(IF($C$3="Line of Credit",0,ROUND(MAX(MIN(IF($C$10="No",$E$7,VLOOKUP(Table157810[[#This Row],[Period]],Forecast!$H$2:$L$1048576,4,FALSE))*Table157810[[#This Row],[Beginning Balance]],Table157810[[#This Row],[Beginning Balance]]-Table157810[[#This Row],[Principal]]),0),2)))</f>
        <v>0</v>
      </c>
      <c r="J300" s="3">
        <f>ROUND(MIN(Table157810[[#This Row],[Beginning Balance]]*IF($C$8="No",$E$3,VLOOKUP(Table157810[[#This Row],[Period]],Forecast!$H$2:$L$1048576,2,FALSE)),Table157810[[#This Row],[Beginning Balance]]-Table157810[[#This Row],[Principal]]-Table157810[[#This Row],[Prepayments]]),2)</f>
        <v>0</v>
      </c>
      <c r="K300" s="3">
        <f>ROUND(Table157810[[#This Row],[Defaulted Principal]]*IF($C$9="No",$E$4,VLOOKUP(Table157810[[#This Row],[Period]],Forecast!$H$2:$L$1048576,3,FALSE)),2)</f>
        <v>0</v>
      </c>
      <c r="L300" s="2">
        <f>Table157810[[#This Row],[Period]]+$E$9</f>
        <v>296</v>
      </c>
      <c r="M300" s="3">
        <f>Table157810[[#This Row],[Defaulted Principal]]-Table157810[[#This Row],[Estimated Loss]]</f>
        <v>0</v>
      </c>
      <c r="N300" s="3">
        <f>IFERROR(VLOOKUP(Table157810[[#This Row],[Period]],$L$16:$M$385,2,FALSE),0)</f>
        <v>0</v>
      </c>
      <c r="O300" s="3">
        <f>Table157810[[#This Row],[Beginning Balance]]-Table157810[[#This Row],[Principal]]-Table157810[[#This Row],[Prepayments]]-Table157810[[#This Row],[Defaulted Principal]]</f>
        <v>0</v>
      </c>
      <c r="P300" s="3">
        <f>Table157810[[#This Row],[Principal]]+Table157810[[#This Row],[Interest]]+Table157810[[#This Row],[Prepayments]]+Table157810[[#This Row],[RecoveredAmount]]</f>
        <v>0</v>
      </c>
      <c r="Q300" s="3">
        <f ca="1">ROUND(Table157810[[#This Row],[Cash Flow]]/((1+ActualRateToUse)^(IF(ISNUMBER(SEARCH("Actual",$C$7)),Table157810[[#This Row],[Running Total]]/365,Table157810[[#This Row],[Period]]/12))),2)</f>
        <v>0</v>
      </c>
      <c r="R300" s="2">
        <f>IF(MONTH(Table157810[[#This Row],[Date]])=2,28,DAY(DATE(YEAR(Table157810[[#This Row],[Date]]),MONTH(Table157810[[#This Row],[Date]])+1,1)-1))</f>
        <v>28</v>
      </c>
      <c r="S300" s="2">
        <f ca="1">SUM(OFFSET(Table157810[[#Headers],[Days in month]],1,0):Table157810[[#This Row],[Days in month]])</f>
        <v>8638</v>
      </c>
      <c r="T300" s="37">
        <f>InterestRate*AmortizationMultiplier*IF(ISNUMBER(SEARCH("Actual",$C$7)),Table157810[[#This Row],[Days in month]]/365,1/12)</f>
        <v>5.4048555555555548E-3</v>
      </c>
    </row>
    <row r="301" spans="2:20" x14ac:dyDescent="0.2">
      <c r="B301" s="1">
        <f t="shared" si="14"/>
        <v>54513</v>
      </c>
      <c r="C301" s="2">
        <f t="shared" si="16"/>
        <v>285</v>
      </c>
      <c r="D301" s="3">
        <f t="shared" si="15"/>
        <v>0</v>
      </c>
      <c r="E301" s="3">
        <f>ROUND(Table157810[[#This Row],[Beginning Balance]]*Table157810[[#This Row],[Monthly Interest Rate]],2)</f>
        <v>0</v>
      </c>
      <c r="F301" s="3">
        <f t="shared" si="17"/>
        <v>557</v>
      </c>
      <c r="G301" s="23">
        <f>IFERROR(IF($C$13="No","N/A",IF(Table157810[[#This Row],[Period]]=1,$C$6,PMT(InterestRate*AmortizationMultiplier/12,Table157810[[#This Row],[Am Thru]],-Table157810[[#This Row],[Beginning Balance]]))),0)</f>
        <v>0</v>
      </c>
      <c r="H301" s="3">
        <f>MAX(0,IF(C301=$C$4,D301,ROUND(IF($C$3="Fixed Principal",$C$6-Table157810[[#This Row],[Interest]],IF($C$3="Interest Only",Table157810[[#This Row],[Beginning Balance]]*ROUND(1-(1-IF($C$11="No",$E$8,1))^(1/12),6),MIN(IF($C$13="Yes",Table157810[[#This Row],[Payment Amount (Reamortized)]],$C$6)-Table157810[[#This Row],[Interest]],Table157810[[#This Row],[Beginning Balance]]))),2)))</f>
        <v>0</v>
      </c>
      <c r="I301" s="3">
        <f>_xlfn.SINGLE(IF($C$3="Line of Credit",0,ROUND(MAX(MIN(IF($C$10="No",$E$7,VLOOKUP(Table157810[[#This Row],[Period]],Forecast!$H$2:$L$1048576,4,FALSE))*Table157810[[#This Row],[Beginning Balance]],Table157810[[#This Row],[Beginning Balance]]-Table157810[[#This Row],[Principal]]),0),2)))</f>
        <v>0</v>
      </c>
      <c r="J301" s="3">
        <f>ROUND(MIN(Table157810[[#This Row],[Beginning Balance]]*IF($C$8="No",$E$3,VLOOKUP(Table157810[[#This Row],[Period]],Forecast!$H$2:$L$1048576,2,FALSE)),Table157810[[#This Row],[Beginning Balance]]-Table157810[[#This Row],[Principal]]-Table157810[[#This Row],[Prepayments]]),2)</f>
        <v>0</v>
      </c>
      <c r="K301" s="3">
        <f>ROUND(Table157810[[#This Row],[Defaulted Principal]]*IF($C$9="No",$E$4,VLOOKUP(Table157810[[#This Row],[Period]],Forecast!$H$2:$L$1048576,3,FALSE)),2)</f>
        <v>0</v>
      </c>
      <c r="L301" s="2">
        <f>Table157810[[#This Row],[Period]]+$E$9</f>
        <v>297</v>
      </c>
      <c r="M301" s="3">
        <f>Table157810[[#This Row],[Defaulted Principal]]-Table157810[[#This Row],[Estimated Loss]]</f>
        <v>0</v>
      </c>
      <c r="N301" s="3">
        <f>IFERROR(VLOOKUP(Table157810[[#This Row],[Period]],$L$16:$M$385,2,FALSE),0)</f>
        <v>0</v>
      </c>
      <c r="O301" s="3">
        <f>Table157810[[#This Row],[Beginning Balance]]-Table157810[[#This Row],[Principal]]-Table157810[[#This Row],[Prepayments]]-Table157810[[#This Row],[Defaulted Principal]]</f>
        <v>0</v>
      </c>
      <c r="P301" s="3">
        <f>Table157810[[#This Row],[Principal]]+Table157810[[#This Row],[Interest]]+Table157810[[#This Row],[Prepayments]]+Table157810[[#This Row],[RecoveredAmount]]</f>
        <v>0</v>
      </c>
      <c r="Q301" s="3">
        <f ca="1">ROUND(Table157810[[#This Row],[Cash Flow]]/((1+ActualRateToUse)^(IF(ISNUMBER(SEARCH("Actual",$C$7)),Table157810[[#This Row],[Running Total]]/365,Table157810[[#This Row],[Period]]/12))),2)</f>
        <v>0</v>
      </c>
      <c r="R301" s="2">
        <f>IF(MONTH(Table157810[[#This Row],[Date]])=2,28,DAY(DATE(YEAR(Table157810[[#This Row],[Date]]),MONTH(Table157810[[#This Row],[Date]])+1,1)-1))</f>
        <v>31</v>
      </c>
      <c r="S301" s="2">
        <f ca="1">SUM(OFFSET(Table157810[[#Headers],[Days in month]],1,0):Table157810[[#This Row],[Days in month]])</f>
        <v>8669</v>
      </c>
      <c r="T301" s="37">
        <f>InterestRate*AmortizationMultiplier*IF(ISNUMBER(SEARCH("Actual",$C$7)),Table157810[[#This Row],[Days in month]]/365,1/12)</f>
        <v>5.9839472222222214E-3</v>
      </c>
    </row>
    <row r="302" spans="2:20" x14ac:dyDescent="0.2">
      <c r="B302" s="1">
        <f t="shared" si="14"/>
        <v>54543</v>
      </c>
      <c r="C302" s="2">
        <f t="shared" si="16"/>
        <v>286</v>
      </c>
      <c r="D302" s="3">
        <f t="shared" si="15"/>
        <v>0</v>
      </c>
      <c r="E302" s="3">
        <f>ROUND(Table157810[[#This Row],[Beginning Balance]]*Table157810[[#This Row],[Monthly Interest Rate]],2)</f>
        <v>0</v>
      </c>
      <c r="F302" s="3">
        <f t="shared" si="17"/>
        <v>556</v>
      </c>
      <c r="G302" s="23">
        <f>IFERROR(IF($C$13="No","N/A",IF(Table157810[[#This Row],[Period]]=1,$C$6,PMT(InterestRate*AmortizationMultiplier/12,Table157810[[#This Row],[Am Thru]],-Table157810[[#This Row],[Beginning Balance]]))),0)</f>
        <v>0</v>
      </c>
      <c r="H302" s="3">
        <f>MAX(0,IF(C302=$C$4,D302,ROUND(IF($C$3="Fixed Principal",$C$6-Table157810[[#This Row],[Interest]],IF($C$3="Interest Only",Table157810[[#This Row],[Beginning Balance]]*ROUND(1-(1-IF($C$11="No",$E$8,1))^(1/12),6),MIN(IF($C$13="Yes",Table157810[[#This Row],[Payment Amount (Reamortized)]],$C$6)-Table157810[[#This Row],[Interest]],Table157810[[#This Row],[Beginning Balance]]))),2)))</f>
        <v>0</v>
      </c>
      <c r="I302" s="3">
        <f>_xlfn.SINGLE(IF($C$3="Line of Credit",0,ROUND(MAX(MIN(IF($C$10="No",$E$7,VLOOKUP(Table157810[[#This Row],[Period]],Forecast!$H$2:$L$1048576,4,FALSE))*Table157810[[#This Row],[Beginning Balance]],Table157810[[#This Row],[Beginning Balance]]-Table157810[[#This Row],[Principal]]),0),2)))</f>
        <v>0</v>
      </c>
      <c r="J302" s="3">
        <f>ROUND(MIN(Table157810[[#This Row],[Beginning Balance]]*IF($C$8="No",$E$3,VLOOKUP(Table157810[[#This Row],[Period]],Forecast!$H$2:$L$1048576,2,FALSE)),Table157810[[#This Row],[Beginning Balance]]-Table157810[[#This Row],[Principal]]-Table157810[[#This Row],[Prepayments]]),2)</f>
        <v>0</v>
      </c>
      <c r="K302" s="3">
        <f>ROUND(Table157810[[#This Row],[Defaulted Principal]]*IF($C$9="No",$E$4,VLOOKUP(Table157810[[#This Row],[Period]],Forecast!$H$2:$L$1048576,3,FALSE)),2)</f>
        <v>0</v>
      </c>
      <c r="L302" s="2">
        <f>Table157810[[#This Row],[Period]]+$E$9</f>
        <v>298</v>
      </c>
      <c r="M302" s="3">
        <f>Table157810[[#This Row],[Defaulted Principal]]-Table157810[[#This Row],[Estimated Loss]]</f>
        <v>0</v>
      </c>
      <c r="N302" s="3">
        <f>IFERROR(VLOOKUP(Table157810[[#This Row],[Period]],$L$16:$M$385,2,FALSE),0)</f>
        <v>0</v>
      </c>
      <c r="O302" s="3">
        <f>Table157810[[#This Row],[Beginning Balance]]-Table157810[[#This Row],[Principal]]-Table157810[[#This Row],[Prepayments]]-Table157810[[#This Row],[Defaulted Principal]]</f>
        <v>0</v>
      </c>
      <c r="P302" s="3">
        <f>Table157810[[#This Row],[Principal]]+Table157810[[#This Row],[Interest]]+Table157810[[#This Row],[Prepayments]]+Table157810[[#This Row],[RecoveredAmount]]</f>
        <v>0</v>
      </c>
      <c r="Q302" s="3">
        <f ca="1">ROUND(Table157810[[#This Row],[Cash Flow]]/((1+ActualRateToUse)^(IF(ISNUMBER(SEARCH("Actual",$C$7)),Table157810[[#This Row],[Running Total]]/365,Table157810[[#This Row],[Period]]/12))),2)</f>
        <v>0</v>
      </c>
      <c r="R302" s="2">
        <f>IF(MONTH(Table157810[[#This Row],[Date]])=2,28,DAY(DATE(YEAR(Table157810[[#This Row],[Date]]),MONTH(Table157810[[#This Row],[Date]])+1,1)-1))</f>
        <v>30</v>
      </c>
      <c r="S302" s="2">
        <f ca="1">SUM(OFFSET(Table157810[[#Headers],[Days in month]],1,0):Table157810[[#This Row],[Days in month]])</f>
        <v>8699</v>
      </c>
      <c r="T302" s="37">
        <f>InterestRate*AmortizationMultiplier*IF(ISNUMBER(SEARCH("Actual",$C$7)),Table157810[[#This Row],[Days in month]]/365,1/12)</f>
        <v>5.7909166666666656E-3</v>
      </c>
    </row>
    <row r="303" spans="2:20" x14ac:dyDescent="0.2">
      <c r="B303" s="1">
        <f t="shared" si="14"/>
        <v>54574</v>
      </c>
      <c r="C303" s="2">
        <f t="shared" si="16"/>
        <v>287</v>
      </c>
      <c r="D303" s="3">
        <f t="shared" si="15"/>
        <v>0</v>
      </c>
      <c r="E303" s="3">
        <f>ROUND(Table157810[[#This Row],[Beginning Balance]]*Table157810[[#This Row],[Monthly Interest Rate]],2)</f>
        <v>0</v>
      </c>
      <c r="F303" s="3">
        <f t="shared" si="17"/>
        <v>555</v>
      </c>
      <c r="G303" s="23">
        <f>IFERROR(IF($C$13="No","N/A",IF(Table157810[[#This Row],[Period]]=1,$C$6,PMT(InterestRate*AmortizationMultiplier/12,Table157810[[#This Row],[Am Thru]],-Table157810[[#This Row],[Beginning Balance]]))),0)</f>
        <v>0</v>
      </c>
      <c r="H303" s="3">
        <f>MAX(0,IF(C303=$C$4,D303,ROUND(IF($C$3="Fixed Principal",$C$6-Table157810[[#This Row],[Interest]],IF($C$3="Interest Only",Table157810[[#This Row],[Beginning Balance]]*ROUND(1-(1-IF($C$11="No",$E$8,1))^(1/12),6),MIN(IF($C$13="Yes",Table157810[[#This Row],[Payment Amount (Reamortized)]],$C$6)-Table157810[[#This Row],[Interest]],Table157810[[#This Row],[Beginning Balance]]))),2)))</f>
        <v>0</v>
      </c>
      <c r="I303" s="3">
        <f>_xlfn.SINGLE(IF($C$3="Line of Credit",0,ROUND(MAX(MIN(IF($C$10="No",$E$7,VLOOKUP(Table157810[[#This Row],[Period]],Forecast!$H$2:$L$1048576,4,FALSE))*Table157810[[#This Row],[Beginning Balance]],Table157810[[#This Row],[Beginning Balance]]-Table157810[[#This Row],[Principal]]),0),2)))</f>
        <v>0</v>
      </c>
      <c r="J303" s="3">
        <f>ROUND(MIN(Table157810[[#This Row],[Beginning Balance]]*IF($C$8="No",$E$3,VLOOKUP(Table157810[[#This Row],[Period]],Forecast!$H$2:$L$1048576,2,FALSE)),Table157810[[#This Row],[Beginning Balance]]-Table157810[[#This Row],[Principal]]-Table157810[[#This Row],[Prepayments]]),2)</f>
        <v>0</v>
      </c>
      <c r="K303" s="3">
        <f>ROUND(Table157810[[#This Row],[Defaulted Principal]]*IF($C$9="No",$E$4,VLOOKUP(Table157810[[#This Row],[Period]],Forecast!$H$2:$L$1048576,3,FALSE)),2)</f>
        <v>0</v>
      </c>
      <c r="L303" s="2">
        <f>Table157810[[#This Row],[Period]]+$E$9</f>
        <v>299</v>
      </c>
      <c r="M303" s="3">
        <f>Table157810[[#This Row],[Defaulted Principal]]-Table157810[[#This Row],[Estimated Loss]]</f>
        <v>0</v>
      </c>
      <c r="N303" s="3">
        <f>IFERROR(VLOOKUP(Table157810[[#This Row],[Period]],$L$16:$M$385,2,FALSE),0)</f>
        <v>0</v>
      </c>
      <c r="O303" s="3">
        <f>Table157810[[#This Row],[Beginning Balance]]-Table157810[[#This Row],[Principal]]-Table157810[[#This Row],[Prepayments]]-Table157810[[#This Row],[Defaulted Principal]]</f>
        <v>0</v>
      </c>
      <c r="P303" s="3">
        <f>Table157810[[#This Row],[Principal]]+Table157810[[#This Row],[Interest]]+Table157810[[#This Row],[Prepayments]]+Table157810[[#This Row],[RecoveredAmount]]</f>
        <v>0</v>
      </c>
      <c r="Q303" s="3">
        <f ca="1">ROUND(Table157810[[#This Row],[Cash Flow]]/((1+ActualRateToUse)^(IF(ISNUMBER(SEARCH("Actual",$C$7)),Table157810[[#This Row],[Running Total]]/365,Table157810[[#This Row],[Period]]/12))),2)</f>
        <v>0</v>
      </c>
      <c r="R303" s="2">
        <f>IF(MONTH(Table157810[[#This Row],[Date]])=2,28,DAY(DATE(YEAR(Table157810[[#This Row],[Date]]),MONTH(Table157810[[#This Row],[Date]])+1,1)-1))</f>
        <v>31</v>
      </c>
      <c r="S303" s="2">
        <f ca="1">SUM(OFFSET(Table157810[[#Headers],[Days in month]],1,0):Table157810[[#This Row],[Days in month]])</f>
        <v>8730</v>
      </c>
      <c r="T303" s="37">
        <f>InterestRate*AmortizationMultiplier*IF(ISNUMBER(SEARCH("Actual",$C$7)),Table157810[[#This Row],[Days in month]]/365,1/12)</f>
        <v>5.9839472222222214E-3</v>
      </c>
    </row>
    <row r="304" spans="2:20" x14ac:dyDescent="0.2">
      <c r="B304" s="1">
        <f t="shared" si="14"/>
        <v>54604</v>
      </c>
      <c r="C304" s="2">
        <f t="shared" si="16"/>
        <v>288</v>
      </c>
      <c r="D304" s="3">
        <f t="shared" si="15"/>
        <v>0</v>
      </c>
      <c r="E304" s="3">
        <f>ROUND(Table157810[[#This Row],[Beginning Balance]]*Table157810[[#This Row],[Monthly Interest Rate]],2)</f>
        <v>0</v>
      </c>
      <c r="F304" s="3">
        <f t="shared" si="17"/>
        <v>554</v>
      </c>
      <c r="G304" s="23">
        <f>IFERROR(IF($C$13="No","N/A",IF(Table157810[[#This Row],[Period]]=1,$C$6,PMT(InterestRate*AmortizationMultiplier/12,Table157810[[#This Row],[Am Thru]],-Table157810[[#This Row],[Beginning Balance]]))),0)</f>
        <v>0</v>
      </c>
      <c r="H304" s="3">
        <f>MAX(0,IF(C304=$C$4,D304,ROUND(IF($C$3="Fixed Principal",$C$6-Table157810[[#This Row],[Interest]],IF($C$3="Interest Only",Table157810[[#This Row],[Beginning Balance]]*ROUND(1-(1-IF($C$11="No",$E$8,1))^(1/12),6),MIN(IF($C$13="Yes",Table157810[[#This Row],[Payment Amount (Reamortized)]],$C$6)-Table157810[[#This Row],[Interest]],Table157810[[#This Row],[Beginning Balance]]))),2)))</f>
        <v>0</v>
      </c>
      <c r="I304" s="3">
        <f>_xlfn.SINGLE(IF($C$3="Line of Credit",0,ROUND(MAX(MIN(IF($C$10="No",$E$7,VLOOKUP(Table157810[[#This Row],[Period]],Forecast!$H$2:$L$1048576,4,FALSE))*Table157810[[#This Row],[Beginning Balance]],Table157810[[#This Row],[Beginning Balance]]-Table157810[[#This Row],[Principal]]),0),2)))</f>
        <v>0</v>
      </c>
      <c r="J304" s="3">
        <f>ROUND(MIN(Table157810[[#This Row],[Beginning Balance]]*IF($C$8="No",$E$3,VLOOKUP(Table157810[[#This Row],[Period]],Forecast!$H$2:$L$1048576,2,FALSE)),Table157810[[#This Row],[Beginning Balance]]-Table157810[[#This Row],[Principal]]-Table157810[[#This Row],[Prepayments]]),2)</f>
        <v>0</v>
      </c>
      <c r="K304" s="3">
        <f>ROUND(Table157810[[#This Row],[Defaulted Principal]]*IF($C$9="No",$E$4,VLOOKUP(Table157810[[#This Row],[Period]],Forecast!$H$2:$L$1048576,3,FALSE)),2)</f>
        <v>0</v>
      </c>
      <c r="L304" s="2">
        <f>Table157810[[#This Row],[Period]]+$E$9</f>
        <v>300</v>
      </c>
      <c r="M304" s="3">
        <f>Table157810[[#This Row],[Defaulted Principal]]-Table157810[[#This Row],[Estimated Loss]]</f>
        <v>0</v>
      </c>
      <c r="N304" s="3">
        <f>IFERROR(VLOOKUP(Table157810[[#This Row],[Period]],$L$16:$M$385,2,FALSE),0)</f>
        <v>0</v>
      </c>
      <c r="O304" s="3">
        <f>Table157810[[#This Row],[Beginning Balance]]-Table157810[[#This Row],[Principal]]-Table157810[[#This Row],[Prepayments]]-Table157810[[#This Row],[Defaulted Principal]]</f>
        <v>0</v>
      </c>
      <c r="P304" s="3">
        <f>Table157810[[#This Row],[Principal]]+Table157810[[#This Row],[Interest]]+Table157810[[#This Row],[Prepayments]]+Table157810[[#This Row],[RecoveredAmount]]</f>
        <v>0</v>
      </c>
      <c r="Q304" s="3">
        <f ca="1">ROUND(Table157810[[#This Row],[Cash Flow]]/((1+ActualRateToUse)^(IF(ISNUMBER(SEARCH("Actual",$C$7)),Table157810[[#This Row],[Running Total]]/365,Table157810[[#This Row],[Period]]/12))),2)</f>
        <v>0</v>
      </c>
      <c r="R304" s="2">
        <f>IF(MONTH(Table157810[[#This Row],[Date]])=2,28,DAY(DATE(YEAR(Table157810[[#This Row],[Date]]),MONTH(Table157810[[#This Row],[Date]])+1,1)-1))</f>
        <v>30</v>
      </c>
      <c r="S304" s="2">
        <f ca="1">SUM(OFFSET(Table157810[[#Headers],[Days in month]],1,0):Table157810[[#This Row],[Days in month]])</f>
        <v>8760</v>
      </c>
      <c r="T304" s="37">
        <f>InterestRate*AmortizationMultiplier*IF(ISNUMBER(SEARCH("Actual",$C$7)),Table157810[[#This Row],[Days in month]]/365,1/12)</f>
        <v>5.7909166666666656E-3</v>
      </c>
    </row>
    <row r="305" spans="2:20" x14ac:dyDescent="0.2">
      <c r="B305" s="1">
        <f t="shared" si="14"/>
        <v>54635</v>
      </c>
      <c r="C305" s="2">
        <f t="shared" si="16"/>
        <v>289</v>
      </c>
      <c r="D305" s="3">
        <f t="shared" si="15"/>
        <v>0</v>
      </c>
      <c r="E305" s="3">
        <f>ROUND(Table157810[[#This Row],[Beginning Balance]]*Table157810[[#This Row],[Monthly Interest Rate]],2)</f>
        <v>0</v>
      </c>
      <c r="F305" s="3">
        <f t="shared" si="17"/>
        <v>553</v>
      </c>
      <c r="G305" s="23">
        <f>IFERROR(IF($C$13="No","N/A",IF(Table157810[[#This Row],[Period]]=1,$C$6,PMT(InterestRate*AmortizationMultiplier/12,Table157810[[#This Row],[Am Thru]],-Table157810[[#This Row],[Beginning Balance]]))),0)</f>
        <v>0</v>
      </c>
      <c r="H305" s="3">
        <f>MAX(0,IF(C305=$C$4,D305,ROUND(IF($C$3="Fixed Principal",$C$6-Table157810[[#This Row],[Interest]],IF($C$3="Interest Only",Table157810[[#This Row],[Beginning Balance]]*ROUND(1-(1-IF($C$11="No",$E$8,1))^(1/12),6),MIN(IF($C$13="Yes",Table157810[[#This Row],[Payment Amount (Reamortized)]],$C$6)-Table157810[[#This Row],[Interest]],Table157810[[#This Row],[Beginning Balance]]))),2)))</f>
        <v>0</v>
      </c>
      <c r="I305" s="3">
        <f>_xlfn.SINGLE(IF($C$3="Line of Credit",0,ROUND(MAX(MIN(IF($C$10="No",$E$7,VLOOKUP(Table157810[[#This Row],[Period]],Forecast!$H$2:$L$1048576,4,FALSE))*Table157810[[#This Row],[Beginning Balance]],Table157810[[#This Row],[Beginning Balance]]-Table157810[[#This Row],[Principal]]),0),2)))</f>
        <v>0</v>
      </c>
      <c r="J305" s="3">
        <f>ROUND(MIN(Table157810[[#This Row],[Beginning Balance]]*IF($C$8="No",$E$3,VLOOKUP(Table157810[[#This Row],[Period]],Forecast!$H$2:$L$1048576,2,FALSE)),Table157810[[#This Row],[Beginning Balance]]-Table157810[[#This Row],[Principal]]-Table157810[[#This Row],[Prepayments]]),2)</f>
        <v>0</v>
      </c>
      <c r="K305" s="3">
        <f>ROUND(Table157810[[#This Row],[Defaulted Principal]]*IF($C$9="No",$E$4,VLOOKUP(Table157810[[#This Row],[Period]],Forecast!$H$2:$L$1048576,3,FALSE)),2)</f>
        <v>0</v>
      </c>
      <c r="L305" s="2">
        <f>Table157810[[#This Row],[Period]]+$E$9</f>
        <v>301</v>
      </c>
      <c r="M305" s="3">
        <f>Table157810[[#This Row],[Defaulted Principal]]-Table157810[[#This Row],[Estimated Loss]]</f>
        <v>0</v>
      </c>
      <c r="N305" s="3">
        <f>IFERROR(VLOOKUP(Table157810[[#This Row],[Period]],$L$16:$M$385,2,FALSE),0)</f>
        <v>0</v>
      </c>
      <c r="O305" s="3">
        <f>Table157810[[#This Row],[Beginning Balance]]-Table157810[[#This Row],[Principal]]-Table157810[[#This Row],[Prepayments]]-Table157810[[#This Row],[Defaulted Principal]]</f>
        <v>0</v>
      </c>
      <c r="P305" s="3">
        <f>Table157810[[#This Row],[Principal]]+Table157810[[#This Row],[Interest]]+Table157810[[#This Row],[Prepayments]]+Table157810[[#This Row],[RecoveredAmount]]</f>
        <v>0</v>
      </c>
      <c r="Q305" s="3">
        <f ca="1">ROUND(Table157810[[#This Row],[Cash Flow]]/((1+ActualRateToUse)^(IF(ISNUMBER(SEARCH("Actual",$C$7)),Table157810[[#This Row],[Running Total]]/365,Table157810[[#This Row],[Period]]/12))),2)</f>
        <v>0</v>
      </c>
      <c r="R305" s="2">
        <f>IF(MONTH(Table157810[[#This Row],[Date]])=2,28,DAY(DATE(YEAR(Table157810[[#This Row],[Date]]),MONTH(Table157810[[#This Row],[Date]])+1,1)-1))</f>
        <v>31</v>
      </c>
      <c r="S305" s="2">
        <f ca="1">SUM(OFFSET(Table157810[[#Headers],[Days in month]],1,0):Table157810[[#This Row],[Days in month]])</f>
        <v>8791</v>
      </c>
      <c r="T305" s="37">
        <f>InterestRate*AmortizationMultiplier*IF(ISNUMBER(SEARCH("Actual",$C$7)),Table157810[[#This Row],[Days in month]]/365,1/12)</f>
        <v>5.9839472222222214E-3</v>
      </c>
    </row>
    <row r="306" spans="2:20" x14ac:dyDescent="0.2">
      <c r="B306" s="1">
        <f t="shared" si="14"/>
        <v>54666</v>
      </c>
      <c r="C306" s="2">
        <f t="shared" si="16"/>
        <v>290</v>
      </c>
      <c r="D306" s="3">
        <f t="shared" si="15"/>
        <v>0</v>
      </c>
      <c r="E306" s="3">
        <f>ROUND(Table157810[[#This Row],[Beginning Balance]]*Table157810[[#This Row],[Monthly Interest Rate]],2)</f>
        <v>0</v>
      </c>
      <c r="F306" s="3">
        <f t="shared" si="17"/>
        <v>552</v>
      </c>
      <c r="G306" s="23">
        <f>IFERROR(IF($C$13="No","N/A",IF(Table157810[[#This Row],[Period]]=1,$C$6,PMT(InterestRate*AmortizationMultiplier/12,Table157810[[#This Row],[Am Thru]],-Table157810[[#This Row],[Beginning Balance]]))),0)</f>
        <v>0</v>
      </c>
      <c r="H306" s="3">
        <f>MAX(0,IF(C306=$C$4,D306,ROUND(IF($C$3="Fixed Principal",$C$6-Table157810[[#This Row],[Interest]],IF($C$3="Interest Only",Table157810[[#This Row],[Beginning Balance]]*ROUND(1-(1-IF($C$11="No",$E$8,1))^(1/12),6),MIN(IF($C$13="Yes",Table157810[[#This Row],[Payment Amount (Reamortized)]],$C$6)-Table157810[[#This Row],[Interest]],Table157810[[#This Row],[Beginning Balance]]))),2)))</f>
        <v>0</v>
      </c>
      <c r="I306" s="3">
        <f>_xlfn.SINGLE(IF($C$3="Line of Credit",0,ROUND(MAX(MIN(IF($C$10="No",$E$7,VLOOKUP(Table157810[[#This Row],[Period]],Forecast!$H$2:$L$1048576,4,FALSE))*Table157810[[#This Row],[Beginning Balance]],Table157810[[#This Row],[Beginning Balance]]-Table157810[[#This Row],[Principal]]),0),2)))</f>
        <v>0</v>
      </c>
      <c r="J306" s="3">
        <f>ROUND(MIN(Table157810[[#This Row],[Beginning Balance]]*IF($C$8="No",$E$3,VLOOKUP(Table157810[[#This Row],[Period]],Forecast!$H$2:$L$1048576,2,FALSE)),Table157810[[#This Row],[Beginning Balance]]-Table157810[[#This Row],[Principal]]-Table157810[[#This Row],[Prepayments]]),2)</f>
        <v>0</v>
      </c>
      <c r="K306" s="3">
        <f>ROUND(Table157810[[#This Row],[Defaulted Principal]]*IF($C$9="No",$E$4,VLOOKUP(Table157810[[#This Row],[Period]],Forecast!$H$2:$L$1048576,3,FALSE)),2)</f>
        <v>0</v>
      </c>
      <c r="L306" s="2">
        <f>Table157810[[#This Row],[Period]]+$E$9</f>
        <v>302</v>
      </c>
      <c r="M306" s="3">
        <f>Table157810[[#This Row],[Defaulted Principal]]-Table157810[[#This Row],[Estimated Loss]]</f>
        <v>0</v>
      </c>
      <c r="N306" s="3">
        <f>IFERROR(VLOOKUP(Table157810[[#This Row],[Period]],$L$16:$M$385,2,FALSE),0)</f>
        <v>0</v>
      </c>
      <c r="O306" s="3">
        <f>Table157810[[#This Row],[Beginning Balance]]-Table157810[[#This Row],[Principal]]-Table157810[[#This Row],[Prepayments]]-Table157810[[#This Row],[Defaulted Principal]]</f>
        <v>0</v>
      </c>
      <c r="P306" s="3">
        <f>Table157810[[#This Row],[Principal]]+Table157810[[#This Row],[Interest]]+Table157810[[#This Row],[Prepayments]]+Table157810[[#This Row],[RecoveredAmount]]</f>
        <v>0</v>
      </c>
      <c r="Q306" s="3">
        <f ca="1">ROUND(Table157810[[#This Row],[Cash Flow]]/((1+ActualRateToUse)^(IF(ISNUMBER(SEARCH("Actual",$C$7)),Table157810[[#This Row],[Running Total]]/365,Table157810[[#This Row],[Period]]/12))),2)</f>
        <v>0</v>
      </c>
      <c r="R306" s="2">
        <f>IF(MONTH(Table157810[[#This Row],[Date]])=2,28,DAY(DATE(YEAR(Table157810[[#This Row],[Date]]),MONTH(Table157810[[#This Row],[Date]])+1,1)-1))</f>
        <v>31</v>
      </c>
      <c r="S306" s="2">
        <f ca="1">SUM(OFFSET(Table157810[[#Headers],[Days in month]],1,0):Table157810[[#This Row],[Days in month]])</f>
        <v>8822</v>
      </c>
      <c r="T306" s="37">
        <f>InterestRate*AmortizationMultiplier*IF(ISNUMBER(SEARCH("Actual",$C$7)),Table157810[[#This Row],[Days in month]]/365,1/12)</f>
        <v>5.9839472222222214E-3</v>
      </c>
    </row>
    <row r="307" spans="2:20" x14ac:dyDescent="0.2">
      <c r="B307" s="1">
        <f t="shared" si="14"/>
        <v>54696</v>
      </c>
      <c r="C307" s="2">
        <f t="shared" si="16"/>
        <v>291</v>
      </c>
      <c r="D307" s="3">
        <f t="shared" si="15"/>
        <v>0</v>
      </c>
      <c r="E307" s="3">
        <f>ROUND(Table157810[[#This Row],[Beginning Balance]]*Table157810[[#This Row],[Monthly Interest Rate]],2)</f>
        <v>0</v>
      </c>
      <c r="F307" s="3">
        <f t="shared" si="17"/>
        <v>551</v>
      </c>
      <c r="G307" s="23">
        <f>IFERROR(IF($C$13="No","N/A",IF(Table157810[[#This Row],[Period]]=1,$C$6,PMT(InterestRate*AmortizationMultiplier/12,Table157810[[#This Row],[Am Thru]],-Table157810[[#This Row],[Beginning Balance]]))),0)</f>
        <v>0</v>
      </c>
      <c r="H307" s="3">
        <f>MAX(0,IF(C307=$C$4,D307,ROUND(IF($C$3="Fixed Principal",$C$6-Table157810[[#This Row],[Interest]],IF($C$3="Interest Only",Table157810[[#This Row],[Beginning Balance]]*ROUND(1-(1-IF($C$11="No",$E$8,1))^(1/12),6),MIN(IF($C$13="Yes",Table157810[[#This Row],[Payment Amount (Reamortized)]],$C$6)-Table157810[[#This Row],[Interest]],Table157810[[#This Row],[Beginning Balance]]))),2)))</f>
        <v>0</v>
      </c>
      <c r="I307" s="3">
        <f>_xlfn.SINGLE(IF($C$3="Line of Credit",0,ROUND(MAX(MIN(IF($C$10="No",$E$7,VLOOKUP(Table157810[[#This Row],[Period]],Forecast!$H$2:$L$1048576,4,FALSE))*Table157810[[#This Row],[Beginning Balance]],Table157810[[#This Row],[Beginning Balance]]-Table157810[[#This Row],[Principal]]),0),2)))</f>
        <v>0</v>
      </c>
      <c r="J307" s="3">
        <f>ROUND(MIN(Table157810[[#This Row],[Beginning Balance]]*IF($C$8="No",$E$3,VLOOKUP(Table157810[[#This Row],[Period]],Forecast!$H$2:$L$1048576,2,FALSE)),Table157810[[#This Row],[Beginning Balance]]-Table157810[[#This Row],[Principal]]-Table157810[[#This Row],[Prepayments]]),2)</f>
        <v>0</v>
      </c>
      <c r="K307" s="3">
        <f>ROUND(Table157810[[#This Row],[Defaulted Principal]]*IF($C$9="No",$E$4,VLOOKUP(Table157810[[#This Row],[Period]],Forecast!$H$2:$L$1048576,3,FALSE)),2)</f>
        <v>0</v>
      </c>
      <c r="L307" s="2">
        <f>Table157810[[#This Row],[Period]]+$E$9</f>
        <v>303</v>
      </c>
      <c r="M307" s="3">
        <f>Table157810[[#This Row],[Defaulted Principal]]-Table157810[[#This Row],[Estimated Loss]]</f>
        <v>0</v>
      </c>
      <c r="N307" s="3">
        <f>IFERROR(VLOOKUP(Table157810[[#This Row],[Period]],$L$16:$M$385,2,FALSE),0)</f>
        <v>0</v>
      </c>
      <c r="O307" s="3">
        <f>Table157810[[#This Row],[Beginning Balance]]-Table157810[[#This Row],[Principal]]-Table157810[[#This Row],[Prepayments]]-Table157810[[#This Row],[Defaulted Principal]]</f>
        <v>0</v>
      </c>
      <c r="P307" s="3">
        <f>Table157810[[#This Row],[Principal]]+Table157810[[#This Row],[Interest]]+Table157810[[#This Row],[Prepayments]]+Table157810[[#This Row],[RecoveredAmount]]</f>
        <v>0</v>
      </c>
      <c r="Q307" s="3">
        <f ca="1">ROUND(Table157810[[#This Row],[Cash Flow]]/((1+ActualRateToUse)^(IF(ISNUMBER(SEARCH("Actual",$C$7)),Table157810[[#This Row],[Running Total]]/365,Table157810[[#This Row],[Period]]/12))),2)</f>
        <v>0</v>
      </c>
      <c r="R307" s="2">
        <f>IF(MONTH(Table157810[[#This Row],[Date]])=2,28,DAY(DATE(YEAR(Table157810[[#This Row],[Date]]),MONTH(Table157810[[#This Row],[Date]])+1,1)-1))</f>
        <v>30</v>
      </c>
      <c r="S307" s="2">
        <f ca="1">SUM(OFFSET(Table157810[[#Headers],[Days in month]],1,0):Table157810[[#This Row],[Days in month]])</f>
        <v>8852</v>
      </c>
      <c r="T307" s="37">
        <f>InterestRate*AmortizationMultiplier*IF(ISNUMBER(SEARCH("Actual",$C$7)),Table157810[[#This Row],[Days in month]]/365,1/12)</f>
        <v>5.7909166666666656E-3</v>
      </c>
    </row>
    <row r="308" spans="2:20" x14ac:dyDescent="0.2">
      <c r="B308" s="1">
        <f t="shared" si="14"/>
        <v>54727</v>
      </c>
      <c r="C308" s="2">
        <f t="shared" si="16"/>
        <v>292</v>
      </c>
      <c r="D308" s="3">
        <f t="shared" si="15"/>
        <v>0</v>
      </c>
      <c r="E308" s="3">
        <f>ROUND(Table157810[[#This Row],[Beginning Balance]]*Table157810[[#This Row],[Monthly Interest Rate]],2)</f>
        <v>0</v>
      </c>
      <c r="F308" s="3">
        <f t="shared" si="17"/>
        <v>550</v>
      </c>
      <c r="G308" s="23">
        <f>IFERROR(IF($C$13="No","N/A",IF(Table157810[[#This Row],[Period]]=1,$C$6,PMT(InterestRate*AmortizationMultiplier/12,Table157810[[#This Row],[Am Thru]],-Table157810[[#This Row],[Beginning Balance]]))),0)</f>
        <v>0</v>
      </c>
      <c r="H308" s="3">
        <f>MAX(0,IF(C308=$C$4,D308,ROUND(IF($C$3="Fixed Principal",$C$6-Table157810[[#This Row],[Interest]],IF($C$3="Interest Only",Table157810[[#This Row],[Beginning Balance]]*ROUND(1-(1-IF($C$11="No",$E$8,1))^(1/12),6),MIN(IF($C$13="Yes",Table157810[[#This Row],[Payment Amount (Reamortized)]],$C$6)-Table157810[[#This Row],[Interest]],Table157810[[#This Row],[Beginning Balance]]))),2)))</f>
        <v>0</v>
      </c>
      <c r="I308" s="3">
        <f>_xlfn.SINGLE(IF($C$3="Line of Credit",0,ROUND(MAX(MIN(IF($C$10="No",$E$7,VLOOKUP(Table157810[[#This Row],[Period]],Forecast!$H$2:$L$1048576,4,FALSE))*Table157810[[#This Row],[Beginning Balance]],Table157810[[#This Row],[Beginning Balance]]-Table157810[[#This Row],[Principal]]),0),2)))</f>
        <v>0</v>
      </c>
      <c r="J308" s="3">
        <f>ROUND(MIN(Table157810[[#This Row],[Beginning Balance]]*IF($C$8="No",$E$3,VLOOKUP(Table157810[[#This Row],[Period]],Forecast!$H$2:$L$1048576,2,FALSE)),Table157810[[#This Row],[Beginning Balance]]-Table157810[[#This Row],[Principal]]-Table157810[[#This Row],[Prepayments]]),2)</f>
        <v>0</v>
      </c>
      <c r="K308" s="3">
        <f>ROUND(Table157810[[#This Row],[Defaulted Principal]]*IF($C$9="No",$E$4,VLOOKUP(Table157810[[#This Row],[Period]],Forecast!$H$2:$L$1048576,3,FALSE)),2)</f>
        <v>0</v>
      </c>
      <c r="L308" s="2">
        <f>Table157810[[#This Row],[Period]]+$E$9</f>
        <v>304</v>
      </c>
      <c r="M308" s="3">
        <f>Table157810[[#This Row],[Defaulted Principal]]-Table157810[[#This Row],[Estimated Loss]]</f>
        <v>0</v>
      </c>
      <c r="N308" s="3">
        <f>IFERROR(VLOOKUP(Table157810[[#This Row],[Period]],$L$16:$M$385,2,FALSE),0)</f>
        <v>0</v>
      </c>
      <c r="O308" s="3">
        <f>Table157810[[#This Row],[Beginning Balance]]-Table157810[[#This Row],[Principal]]-Table157810[[#This Row],[Prepayments]]-Table157810[[#This Row],[Defaulted Principal]]</f>
        <v>0</v>
      </c>
      <c r="P308" s="3">
        <f>Table157810[[#This Row],[Principal]]+Table157810[[#This Row],[Interest]]+Table157810[[#This Row],[Prepayments]]+Table157810[[#This Row],[RecoveredAmount]]</f>
        <v>0</v>
      </c>
      <c r="Q308" s="3">
        <f ca="1">ROUND(Table157810[[#This Row],[Cash Flow]]/((1+ActualRateToUse)^(IF(ISNUMBER(SEARCH("Actual",$C$7)),Table157810[[#This Row],[Running Total]]/365,Table157810[[#This Row],[Period]]/12))),2)</f>
        <v>0</v>
      </c>
      <c r="R308" s="2">
        <f>IF(MONTH(Table157810[[#This Row],[Date]])=2,28,DAY(DATE(YEAR(Table157810[[#This Row],[Date]]),MONTH(Table157810[[#This Row],[Date]])+1,1)-1))</f>
        <v>31</v>
      </c>
      <c r="S308" s="2">
        <f ca="1">SUM(OFFSET(Table157810[[#Headers],[Days in month]],1,0):Table157810[[#This Row],[Days in month]])</f>
        <v>8883</v>
      </c>
      <c r="T308" s="37">
        <f>InterestRate*AmortizationMultiplier*IF(ISNUMBER(SEARCH("Actual",$C$7)),Table157810[[#This Row],[Days in month]]/365,1/12)</f>
        <v>5.9839472222222214E-3</v>
      </c>
    </row>
    <row r="309" spans="2:20" x14ac:dyDescent="0.2">
      <c r="B309" s="1">
        <f t="shared" si="14"/>
        <v>54757</v>
      </c>
      <c r="C309" s="2">
        <f t="shared" si="16"/>
        <v>293</v>
      </c>
      <c r="D309" s="3">
        <f t="shared" si="15"/>
        <v>0</v>
      </c>
      <c r="E309" s="3">
        <f>ROUND(Table157810[[#This Row],[Beginning Balance]]*Table157810[[#This Row],[Monthly Interest Rate]],2)</f>
        <v>0</v>
      </c>
      <c r="F309" s="3">
        <f t="shared" si="17"/>
        <v>549</v>
      </c>
      <c r="G309" s="23">
        <f>IFERROR(IF($C$13="No","N/A",IF(Table157810[[#This Row],[Period]]=1,$C$6,PMT(InterestRate*AmortizationMultiplier/12,Table157810[[#This Row],[Am Thru]],-Table157810[[#This Row],[Beginning Balance]]))),0)</f>
        <v>0</v>
      </c>
      <c r="H309" s="3">
        <f>MAX(0,IF(C309=$C$4,D309,ROUND(IF($C$3="Fixed Principal",$C$6-Table157810[[#This Row],[Interest]],IF($C$3="Interest Only",Table157810[[#This Row],[Beginning Balance]]*ROUND(1-(1-IF($C$11="No",$E$8,1))^(1/12),6),MIN(IF($C$13="Yes",Table157810[[#This Row],[Payment Amount (Reamortized)]],$C$6)-Table157810[[#This Row],[Interest]],Table157810[[#This Row],[Beginning Balance]]))),2)))</f>
        <v>0</v>
      </c>
      <c r="I309" s="3">
        <f>_xlfn.SINGLE(IF($C$3="Line of Credit",0,ROUND(MAX(MIN(IF($C$10="No",$E$7,VLOOKUP(Table157810[[#This Row],[Period]],Forecast!$H$2:$L$1048576,4,FALSE))*Table157810[[#This Row],[Beginning Balance]],Table157810[[#This Row],[Beginning Balance]]-Table157810[[#This Row],[Principal]]),0),2)))</f>
        <v>0</v>
      </c>
      <c r="J309" s="3">
        <f>ROUND(MIN(Table157810[[#This Row],[Beginning Balance]]*IF($C$8="No",$E$3,VLOOKUP(Table157810[[#This Row],[Period]],Forecast!$H$2:$L$1048576,2,FALSE)),Table157810[[#This Row],[Beginning Balance]]-Table157810[[#This Row],[Principal]]-Table157810[[#This Row],[Prepayments]]),2)</f>
        <v>0</v>
      </c>
      <c r="K309" s="3">
        <f>ROUND(Table157810[[#This Row],[Defaulted Principal]]*IF($C$9="No",$E$4,VLOOKUP(Table157810[[#This Row],[Period]],Forecast!$H$2:$L$1048576,3,FALSE)),2)</f>
        <v>0</v>
      </c>
      <c r="L309" s="2">
        <f>Table157810[[#This Row],[Period]]+$E$9</f>
        <v>305</v>
      </c>
      <c r="M309" s="3">
        <f>Table157810[[#This Row],[Defaulted Principal]]-Table157810[[#This Row],[Estimated Loss]]</f>
        <v>0</v>
      </c>
      <c r="N309" s="3">
        <f>IFERROR(VLOOKUP(Table157810[[#This Row],[Period]],$L$16:$M$385,2,FALSE),0)</f>
        <v>0</v>
      </c>
      <c r="O309" s="3">
        <f>Table157810[[#This Row],[Beginning Balance]]-Table157810[[#This Row],[Principal]]-Table157810[[#This Row],[Prepayments]]-Table157810[[#This Row],[Defaulted Principal]]</f>
        <v>0</v>
      </c>
      <c r="P309" s="3">
        <f>Table157810[[#This Row],[Principal]]+Table157810[[#This Row],[Interest]]+Table157810[[#This Row],[Prepayments]]+Table157810[[#This Row],[RecoveredAmount]]</f>
        <v>0</v>
      </c>
      <c r="Q309" s="3">
        <f ca="1">ROUND(Table157810[[#This Row],[Cash Flow]]/((1+ActualRateToUse)^(IF(ISNUMBER(SEARCH("Actual",$C$7)),Table157810[[#This Row],[Running Total]]/365,Table157810[[#This Row],[Period]]/12))),2)</f>
        <v>0</v>
      </c>
      <c r="R309" s="2">
        <f>IF(MONTH(Table157810[[#This Row],[Date]])=2,28,DAY(DATE(YEAR(Table157810[[#This Row],[Date]]),MONTH(Table157810[[#This Row],[Date]])+1,1)-1))</f>
        <v>30</v>
      </c>
      <c r="S309" s="2">
        <f ca="1">SUM(OFFSET(Table157810[[#Headers],[Days in month]],1,0):Table157810[[#This Row],[Days in month]])</f>
        <v>8913</v>
      </c>
      <c r="T309" s="37">
        <f>InterestRate*AmortizationMultiplier*IF(ISNUMBER(SEARCH("Actual",$C$7)),Table157810[[#This Row],[Days in month]]/365,1/12)</f>
        <v>5.7909166666666656E-3</v>
      </c>
    </row>
    <row r="310" spans="2:20" x14ac:dyDescent="0.2">
      <c r="B310" s="1">
        <f t="shared" si="14"/>
        <v>54788</v>
      </c>
      <c r="C310" s="2">
        <f t="shared" si="16"/>
        <v>294</v>
      </c>
      <c r="D310" s="3">
        <f t="shared" si="15"/>
        <v>0</v>
      </c>
      <c r="E310" s="3">
        <f>ROUND(Table157810[[#This Row],[Beginning Balance]]*Table157810[[#This Row],[Monthly Interest Rate]],2)</f>
        <v>0</v>
      </c>
      <c r="F310" s="3">
        <f t="shared" si="17"/>
        <v>548</v>
      </c>
      <c r="G310" s="23">
        <f>IFERROR(IF($C$13="No","N/A",IF(Table157810[[#This Row],[Period]]=1,$C$6,PMT(InterestRate*AmortizationMultiplier/12,Table157810[[#This Row],[Am Thru]],-Table157810[[#This Row],[Beginning Balance]]))),0)</f>
        <v>0</v>
      </c>
      <c r="H310" s="3">
        <f>MAX(0,IF(C310=$C$4,D310,ROUND(IF($C$3="Fixed Principal",$C$6-Table157810[[#This Row],[Interest]],IF($C$3="Interest Only",Table157810[[#This Row],[Beginning Balance]]*ROUND(1-(1-IF($C$11="No",$E$8,1))^(1/12),6),MIN(IF($C$13="Yes",Table157810[[#This Row],[Payment Amount (Reamortized)]],$C$6)-Table157810[[#This Row],[Interest]],Table157810[[#This Row],[Beginning Balance]]))),2)))</f>
        <v>0</v>
      </c>
      <c r="I310" s="3">
        <f>_xlfn.SINGLE(IF($C$3="Line of Credit",0,ROUND(MAX(MIN(IF($C$10="No",$E$7,VLOOKUP(Table157810[[#This Row],[Period]],Forecast!$H$2:$L$1048576,4,FALSE))*Table157810[[#This Row],[Beginning Balance]],Table157810[[#This Row],[Beginning Balance]]-Table157810[[#This Row],[Principal]]),0),2)))</f>
        <v>0</v>
      </c>
      <c r="J310" s="3">
        <f>ROUND(MIN(Table157810[[#This Row],[Beginning Balance]]*IF($C$8="No",$E$3,VLOOKUP(Table157810[[#This Row],[Period]],Forecast!$H$2:$L$1048576,2,FALSE)),Table157810[[#This Row],[Beginning Balance]]-Table157810[[#This Row],[Principal]]-Table157810[[#This Row],[Prepayments]]),2)</f>
        <v>0</v>
      </c>
      <c r="K310" s="3">
        <f>ROUND(Table157810[[#This Row],[Defaulted Principal]]*IF($C$9="No",$E$4,VLOOKUP(Table157810[[#This Row],[Period]],Forecast!$H$2:$L$1048576,3,FALSE)),2)</f>
        <v>0</v>
      </c>
      <c r="L310" s="2">
        <f>Table157810[[#This Row],[Period]]+$E$9</f>
        <v>306</v>
      </c>
      <c r="M310" s="3">
        <f>Table157810[[#This Row],[Defaulted Principal]]-Table157810[[#This Row],[Estimated Loss]]</f>
        <v>0</v>
      </c>
      <c r="N310" s="3">
        <f>IFERROR(VLOOKUP(Table157810[[#This Row],[Period]],$L$16:$M$385,2,FALSE),0)</f>
        <v>0</v>
      </c>
      <c r="O310" s="3">
        <f>Table157810[[#This Row],[Beginning Balance]]-Table157810[[#This Row],[Principal]]-Table157810[[#This Row],[Prepayments]]-Table157810[[#This Row],[Defaulted Principal]]</f>
        <v>0</v>
      </c>
      <c r="P310" s="3">
        <f>Table157810[[#This Row],[Principal]]+Table157810[[#This Row],[Interest]]+Table157810[[#This Row],[Prepayments]]+Table157810[[#This Row],[RecoveredAmount]]</f>
        <v>0</v>
      </c>
      <c r="Q310" s="3">
        <f ca="1">ROUND(Table157810[[#This Row],[Cash Flow]]/((1+ActualRateToUse)^(IF(ISNUMBER(SEARCH("Actual",$C$7)),Table157810[[#This Row],[Running Total]]/365,Table157810[[#This Row],[Period]]/12))),2)</f>
        <v>0</v>
      </c>
      <c r="R310" s="2">
        <f>IF(MONTH(Table157810[[#This Row],[Date]])=2,28,DAY(DATE(YEAR(Table157810[[#This Row],[Date]]),MONTH(Table157810[[#This Row],[Date]])+1,1)-1))</f>
        <v>31</v>
      </c>
      <c r="S310" s="2">
        <f ca="1">SUM(OFFSET(Table157810[[#Headers],[Days in month]],1,0):Table157810[[#This Row],[Days in month]])</f>
        <v>8944</v>
      </c>
      <c r="T310" s="37">
        <f>InterestRate*AmortizationMultiplier*IF(ISNUMBER(SEARCH("Actual",$C$7)),Table157810[[#This Row],[Days in month]]/365,1/12)</f>
        <v>5.9839472222222214E-3</v>
      </c>
    </row>
    <row r="311" spans="2:20" x14ac:dyDescent="0.2">
      <c r="B311" s="1">
        <f t="shared" si="14"/>
        <v>54819</v>
      </c>
      <c r="C311" s="2">
        <f t="shared" si="16"/>
        <v>295</v>
      </c>
      <c r="D311" s="3">
        <f t="shared" si="15"/>
        <v>0</v>
      </c>
      <c r="E311" s="3">
        <f>ROUND(Table157810[[#This Row],[Beginning Balance]]*Table157810[[#This Row],[Monthly Interest Rate]],2)</f>
        <v>0</v>
      </c>
      <c r="F311" s="3">
        <f t="shared" si="17"/>
        <v>547</v>
      </c>
      <c r="G311" s="23">
        <f>IFERROR(IF($C$13="No","N/A",IF(Table157810[[#This Row],[Period]]=1,$C$6,PMT(InterestRate*AmortizationMultiplier/12,Table157810[[#This Row],[Am Thru]],-Table157810[[#This Row],[Beginning Balance]]))),0)</f>
        <v>0</v>
      </c>
      <c r="H311" s="3">
        <f>MAX(0,IF(C311=$C$4,D311,ROUND(IF($C$3="Fixed Principal",$C$6-Table157810[[#This Row],[Interest]],IF($C$3="Interest Only",Table157810[[#This Row],[Beginning Balance]]*ROUND(1-(1-IF($C$11="No",$E$8,1))^(1/12),6),MIN(IF($C$13="Yes",Table157810[[#This Row],[Payment Amount (Reamortized)]],$C$6)-Table157810[[#This Row],[Interest]],Table157810[[#This Row],[Beginning Balance]]))),2)))</f>
        <v>0</v>
      </c>
      <c r="I311" s="3">
        <f>_xlfn.SINGLE(IF($C$3="Line of Credit",0,ROUND(MAX(MIN(IF($C$10="No",$E$7,VLOOKUP(Table157810[[#This Row],[Period]],Forecast!$H$2:$L$1048576,4,FALSE))*Table157810[[#This Row],[Beginning Balance]],Table157810[[#This Row],[Beginning Balance]]-Table157810[[#This Row],[Principal]]),0),2)))</f>
        <v>0</v>
      </c>
      <c r="J311" s="3">
        <f>ROUND(MIN(Table157810[[#This Row],[Beginning Balance]]*IF($C$8="No",$E$3,VLOOKUP(Table157810[[#This Row],[Period]],Forecast!$H$2:$L$1048576,2,FALSE)),Table157810[[#This Row],[Beginning Balance]]-Table157810[[#This Row],[Principal]]-Table157810[[#This Row],[Prepayments]]),2)</f>
        <v>0</v>
      </c>
      <c r="K311" s="3">
        <f>ROUND(Table157810[[#This Row],[Defaulted Principal]]*IF($C$9="No",$E$4,VLOOKUP(Table157810[[#This Row],[Period]],Forecast!$H$2:$L$1048576,3,FALSE)),2)</f>
        <v>0</v>
      </c>
      <c r="L311" s="2">
        <f>Table157810[[#This Row],[Period]]+$E$9</f>
        <v>307</v>
      </c>
      <c r="M311" s="3">
        <f>Table157810[[#This Row],[Defaulted Principal]]-Table157810[[#This Row],[Estimated Loss]]</f>
        <v>0</v>
      </c>
      <c r="N311" s="3">
        <f>IFERROR(VLOOKUP(Table157810[[#This Row],[Period]],$L$16:$M$385,2,FALSE),0)</f>
        <v>0</v>
      </c>
      <c r="O311" s="3">
        <f>Table157810[[#This Row],[Beginning Balance]]-Table157810[[#This Row],[Principal]]-Table157810[[#This Row],[Prepayments]]-Table157810[[#This Row],[Defaulted Principal]]</f>
        <v>0</v>
      </c>
      <c r="P311" s="3">
        <f>Table157810[[#This Row],[Principal]]+Table157810[[#This Row],[Interest]]+Table157810[[#This Row],[Prepayments]]+Table157810[[#This Row],[RecoveredAmount]]</f>
        <v>0</v>
      </c>
      <c r="Q311" s="3">
        <f ca="1">ROUND(Table157810[[#This Row],[Cash Flow]]/((1+ActualRateToUse)^(IF(ISNUMBER(SEARCH("Actual",$C$7)),Table157810[[#This Row],[Running Total]]/365,Table157810[[#This Row],[Period]]/12))),2)</f>
        <v>0</v>
      </c>
      <c r="R311" s="2">
        <f>IF(MONTH(Table157810[[#This Row],[Date]])=2,28,DAY(DATE(YEAR(Table157810[[#This Row],[Date]]),MONTH(Table157810[[#This Row],[Date]])+1,1)-1))</f>
        <v>31</v>
      </c>
      <c r="S311" s="2">
        <f ca="1">SUM(OFFSET(Table157810[[#Headers],[Days in month]],1,0):Table157810[[#This Row],[Days in month]])</f>
        <v>8975</v>
      </c>
      <c r="T311" s="37">
        <f>InterestRate*AmortizationMultiplier*IF(ISNUMBER(SEARCH("Actual",$C$7)),Table157810[[#This Row],[Days in month]]/365,1/12)</f>
        <v>5.9839472222222214E-3</v>
      </c>
    </row>
    <row r="312" spans="2:20" x14ac:dyDescent="0.2">
      <c r="B312" s="1">
        <f t="shared" si="14"/>
        <v>54847</v>
      </c>
      <c r="C312" s="2">
        <f t="shared" si="16"/>
        <v>296</v>
      </c>
      <c r="D312" s="3">
        <f t="shared" si="15"/>
        <v>0</v>
      </c>
      <c r="E312" s="3">
        <f>ROUND(Table157810[[#This Row],[Beginning Balance]]*Table157810[[#This Row],[Monthly Interest Rate]],2)</f>
        <v>0</v>
      </c>
      <c r="F312" s="3">
        <f t="shared" si="17"/>
        <v>546</v>
      </c>
      <c r="G312" s="23">
        <f>IFERROR(IF($C$13="No","N/A",IF(Table157810[[#This Row],[Period]]=1,$C$6,PMT(InterestRate*AmortizationMultiplier/12,Table157810[[#This Row],[Am Thru]],-Table157810[[#This Row],[Beginning Balance]]))),0)</f>
        <v>0</v>
      </c>
      <c r="H312" s="3">
        <f>MAX(0,IF(C312=$C$4,D312,ROUND(IF($C$3="Fixed Principal",$C$6-Table157810[[#This Row],[Interest]],IF($C$3="Interest Only",Table157810[[#This Row],[Beginning Balance]]*ROUND(1-(1-IF($C$11="No",$E$8,1))^(1/12),6),MIN(IF($C$13="Yes",Table157810[[#This Row],[Payment Amount (Reamortized)]],$C$6)-Table157810[[#This Row],[Interest]],Table157810[[#This Row],[Beginning Balance]]))),2)))</f>
        <v>0</v>
      </c>
      <c r="I312" s="3">
        <f>_xlfn.SINGLE(IF($C$3="Line of Credit",0,ROUND(MAX(MIN(IF($C$10="No",$E$7,VLOOKUP(Table157810[[#This Row],[Period]],Forecast!$H$2:$L$1048576,4,FALSE))*Table157810[[#This Row],[Beginning Balance]],Table157810[[#This Row],[Beginning Balance]]-Table157810[[#This Row],[Principal]]),0),2)))</f>
        <v>0</v>
      </c>
      <c r="J312" s="3">
        <f>ROUND(MIN(Table157810[[#This Row],[Beginning Balance]]*IF($C$8="No",$E$3,VLOOKUP(Table157810[[#This Row],[Period]],Forecast!$H$2:$L$1048576,2,FALSE)),Table157810[[#This Row],[Beginning Balance]]-Table157810[[#This Row],[Principal]]-Table157810[[#This Row],[Prepayments]]),2)</f>
        <v>0</v>
      </c>
      <c r="K312" s="3">
        <f>ROUND(Table157810[[#This Row],[Defaulted Principal]]*IF($C$9="No",$E$4,VLOOKUP(Table157810[[#This Row],[Period]],Forecast!$H$2:$L$1048576,3,FALSE)),2)</f>
        <v>0</v>
      </c>
      <c r="L312" s="2">
        <f>Table157810[[#This Row],[Period]]+$E$9</f>
        <v>308</v>
      </c>
      <c r="M312" s="3">
        <f>Table157810[[#This Row],[Defaulted Principal]]-Table157810[[#This Row],[Estimated Loss]]</f>
        <v>0</v>
      </c>
      <c r="N312" s="3">
        <f>IFERROR(VLOOKUP(Table157810[[#This Row],[Period]],$L$16:$M$385,2,FALSE),0)</f>
        <v>0</v>
      </c>
      <c r="O312" s="3">
        <f>Table157810[[#This Row],[Beginning Balance]]-Table157810[[#This Row],[Principal]]-Table157810[[#This Row],[Prepayments]]-Table157810[[#This Row],[Defaulted Principal]]</f>
        <v>0</v>
      </c>
      <c r="P312" s="3">
        <f>Table157810[[#This Row],[Principal]]+Table157810[[#This Row],[Interest]]+Table157810[[#This Row],[Prepayments]]+Table157810[[#This Row],[RecoveredAmount]]</f>
        <v>0</v>
      </c>
      <c r="Q312" s="3">
        <f ca="1">ROUND(Table157810[[#This Row],[Cash Flow]]/((1+ActualRateToUse)^(IF(ISNUMBER(SEARCH("Actual",$C$7)),Table157810[[#This Row],[Running Total]]/365,Table157810[[#This Row],[Period]]/12))),2)</f>
        <v>0</v>
      </c>
      <c r="R312" s="2">
        <f>IF(MONTH(Table157810[[#This Row],[Date]])=2,28,DAY(DATE(YEAR(Table157810[[#This Row],[Date]]),MONTH(Table157810[[#This Row],[Date]])+1,1)-1))</f>
        <v>28</v>
      </c>
      <c r="S312" s="2">
        <f ca="1">SUM(OFFSET(Table157810[[#Headers],[Days in month]],1,0):Table157810[[#This Row],[Days in month]])</f>
        <v>9003</v>
      </c>
      <c r="T312" s="37">
        <f>InterestRate*AmortizationMultiplier*IF(ISNUMBER(SEARCH("Actual",$C$7)),Table157810[[#This Row],[Days in month]]/365,1/12)</f>
        <v>5.4048555555555548E-3</v>
      </c>
    </row>
    <row r="313" spans="2:20" x14ac:dyDescent="0.2">
      <c r="B313" s="1">
        <f t="shared" si="14"/>
        <v>54878</v>
      </c>
      <c r="C313" s="2">
        <f t="shared" si="16"/>
        <v>297</v>
      </c>
      <c r="D313" s="3">
        <f t="shared" si="15"/>
        <v>0</v>
      </c>
      <c r="E313" s="3">
        <f>ROUND(Table157810[[#This Row],[Beginning Balance]]*Table157810[[#This Row],[Monthly Interest Rate]],2)</f>
        <v>0</v>
      </c>
      <c r="F313" s="3">
        <f t="shared" si="17"/>
        <v>545</v>
      </c>
      <c r="G313" s="23">
        <f>IFERROR(IF($C$13="No","N/A",IF(Table157810[[#This Row],[Period]]=1,$C$6,PMT(InterestRate*AmortizationMultiplier/12,Table157810[[#This Row],[Am Thru]],-Table157810[[#This Row],[Beginning Balance]]))),0)</f>
        <v>0</v>
      </c>
      <c r="H313" s="3">
        <f>MAX(0,IF(C313=$C$4,D313,ROUND(IF($C$3="Fixed Principal",$C$6-Table157810[[#This Row],[Interest]],IF($C$3="Interest Only",Table157810[[#This Row],[Beginning Balance]]*ROUND(1-(1-IF($C$11="No",$E$8,1))^(1/12),6),MIN(IF($C$13="Yes",Table157810[[#This Row],[Payment Amount (Reamortized)]],$C$6)-Table157810[[#This Row],[Interest]],Table157810[[#This Row],[Beginning Balance]]))),2)))</f>
        <v>0</v>
      </c>
      <c r="I313" s="3">
        <f>_xlfn.SINGLE(IF($C$3="Line of Credit",0,ROUND(MAX(MIN(IF($C$10="No",$E$7,VLOOKUP(Table157810[[#This Row],[Period]],Forecast!$H$2:$L$1048576,4,FALSE))*Table157810[[#This Row],[Beginning Balance]],Table157810[[#This Row],[Beginning Balance]]-Table157810[[#This Row],[Principal]]),0),2)))</f>
        <v>0</v>
      </c>
      <c r="J313" s="3">
        <f>ROUND(MIN(Table157810[[#This Row],[Beginning Balance]]*IF($C$8="No",$E$3,VLOOKUP(Table157810[[#This Row],[Period]],Forecast!$H$2:$L$1048576,2,FALSE)),Table157810[[#This Row],[Beginning Balance]]-Table157810[[#This Row],[Principal]]-Table157810[[#This Row],[Prepayments]]),2)</f>
        <v>0</v>
      </c>
      <c r="K313" s="3">
        <f>ROUND(Table157810[[#This Row],[Defaulted Principal]]*IF($C$9="No",$E$4,VLOOKUP(Table157810[[#This Row],[Period]],Forecast!$H$2:$L$1048576,3,FALSE)),2)</f>
        <v>0</v>
      </c>
      <c r="L313" s="2">
        <f>Table157810[[#This Row],[Period]]+$E$9</f>
        <v>309</v>
      </c>
      <c r="M313" s="3">
        <f>Table157810[[#This Row],[Defaulted Principal]]-Table157810[[#This Row],[Estimated Loss]]</f>
        <v>0</v>
      </c>
      <c r="N313" s="3">
        <f>IFERROR(VLOOKUP(Table157810[[#This Row],[Period]],$L$16:$M$385,2,FALSE),0)</f>
        <v>0</v>
      </c>
      <c r="O313" s="3">
        <f>Table157810[[#This Row],[Beginning Balance]]-Table157810[[#This Row],[Principal]]-Table157810[[#This Row],[Prepayments]]-Table157810[[#This Row],[Defaulted Principal]]</f>
        <v>0</v>
      </c>
      <c r="P313" s="3">
        <f>Table157810[[#This Row],[Principal]]+Table157810[[#This Row],[Interest]]+Table157810[[#This Row],[Prepayments]]+Table157810[[#This Row],[RecoveredAmount]]</f>
        <v>0</v>
      </c>
      <c r="Q313" s="3">
        <f ca="1">ROUND(Table157810[[#This Row],[Cash Flow]]/((1+ActualRateToUse)^(IF(ISNUMBER(SEARCH("Actual",$C$7)),Table157810[[#This Row],[Running Total]]/365,Table157810[[#This Row],[Period]]/12))),2)</f>
        <v>0</v>
      </c>
      <c r="R313" s="2">
        <f>IF(MONTH(Table157810[[#This Row],[Date]])=2,28,DAY(DATE(YEAR(Table157810[[#This Row],[Date]]),MONTH(Table157810[[#This Row],[Date]])+1,1)-1))</f>
        <v>31</v>
      </c>
      <c r="S313" s="2">
        <f ca="1">SUM(OFFSET(Table157810[[#Headers],[Days in month]],1,0):Table157810[[#This Row],[Days in month]])</f>
        <v>9034</v>
      </c>
      <c r="T313" s="37">
        <f>InterestRate*AmortizationMultiplier*IF(ISNUMBER(SEARCH("Actual",$C$7)),Table157810[[#This Row],[Days in month]]/365,1/12)</f>
        <v>5.9839472222222214E-3</v>
      </c>
    </row>
    <row r="314" spans="2:20" x14ac:dyDescent="0.2">
      <c r="B314" s="1">
        <f t="shared" si="14"/>
        <v>54908</v>
      </c>
      <c r="C314" s="2">
        <f t="shared" si="16"/>
        <v>298</v>
      </c>
      <c r="D314" s="3">
        <f t="shared" si="15"/>
        <v>0</v>
      </c>
      <c r="E314" s="3">
        <f>ROUND(Table157810[[#This Row],[Beginning Balance]]*Table157810[[#This Row],[Monthly Interest Rate]],2)</f>
        <v>0</v>
      </c>
      <c r="F314" s="3">
        <f t="shared" si="17"/>
        <v>544</v>
      </c>
      <c r="G314" s="23">
        <f>IFERROR(IF($C$13="No","N/A",IF(Table157810[[#This Row],[Period]]=1,$C$6,PMT(InterestRate*AmortizationMultiplier/12,Table157810[[#This Row],[Am Thru]],-Table157810[[#This Row],[Beginning Balance]]))),0)</f>
        <v>0</v>
      </c>
      <c r="H314" s="3">
        <f>MAX(0,IF(C314=$C$4,D314,ROUND(IF($C$3="Fixed Principal",$C$6-Table157810[[#This Row],[Interest]],IF($C$3="Interest Only",Table157810[[#This Row],[Beginning Balance]]*ROUND(1-(1-IF($C$11="No",$E$8,1))^(1/12),6),MIN(IF($C$13="Yes",Table157810[[#This Row],[Payment Amount (Reamortized)]],$C$6)-Table157810[[#This Row],[Interest]],Table157810[[#This Row],[Beginning Balance]]))),2)))</f>
        <v>0</v>
      </c>
      <c r="I314" s="3">
        <f>_xlfn.SINGLE(IF($C$3="Line of Credit",0,ROUND(MAX(MIN(IF($C$10="No",$E$7,VLOOKUP(Table157810[[#This Row],[Period]],Forecast!$H$2:$L$1048576,4,FALSE))*Table157810[[#This Row],[Beginning Balance]],Table157810[[#This Row],[Beginning Balance]]-Table157810[[#This Row],[Principal]]),0),2)))</f>
        <v>0</v>
      </c>
      <c r="J314" s="3">
        <f>ROUND(MIN(Table157810[[#This Row],[Beginning Balance]]*IF($C$8="No",$E$3,VLOOKUP(Table157810[[#This Row],[Period]],Forecast!$H$2:$L$1048576,2,FALSE)),Table157810[[#This Row],[Beginning Balance]]-Table157810[[#This Row],[Principal]]-Table157810[[#This Row],[Prepayments]]),2)</f>
        <v>0</v>
      </c>
      <c r="K314" s="3">
        <f>ROUND(Table157810[[#This Row],[Defaulted Principal]]*IF($C$9="No",$E$4,VLOOKUP(Table157810[[#This Row],[Period]],Forecast!$H$2:$L$1048576,3,FALSE)),2)</f>
        <v>0</v>
      </c>
      <c r="L314" s="2">
        <f>Table157810[[#This Row],[Period]]+$E$9</f>
        <v>310</v>
      </c>
      <c r="M314" s="3">
        <f>Table157810[[#This Row],[Defaulted Principal]]-Table157810[[#This Row],[Estimated Loss]]</f>
        <v>0</v>
      </c>
      <c r="N314" s="3">
        <f>IFERROR(VLOOKUP(Table157810[[#This Row],[Period]],$L$16:$M$385,2,FALSE),0)</f>
        <v>0</v>
      </c>
      <c r="O314" s="3">
        <f>Table157810[[#This Row],[Beginning Balance]]-Table157810[[#This Row],[Principal]]-Table157810[[#This Row],[Prepayments]]-Table157810[[#This Row],[Defaulted Principal]]</f>
        <v>0</v>
      </c>
      <c r="P314" s="3">
        <f>Table157810[[#This Row],[Principal]]+Table157810[[#This Row],[Interest]]+Table157810[[#This Row],[Prepayments]]+Table157810[[#This Row],[RecoveredAmount]]</f>
        <v>0</v>
      </c>
      <c r="Q314" s="3">
        <f ca="1">ROUND(Table157810[[#This Row],[Cash Flow]]/((1+ActualRateToUse)^(IF(ISNUMBER(SEARCH("Actual",$C$7)),Table157810[[#This Row],[Running Total]]/365,Table157810[[#This Row],[Period]]/12))),2)</f>
        <v>0</v>
      </c>
      <c r="R314" s="2">
        <f>IF(MONTH(Table157810[[#This Row],[Date]])=2,28,DAY(DATE(YEAR(Table157810[[#This Row],[Date]]),MONTH(Table157810[[#This Row],[Date]])+1,1)-1))</f>
        <v>30</v>
      </c>
      <c r="S314" s="2">
        <f ca="1">SUM(OFFSET(Table157810[[#Headers],[Days in month]],1,0):Table157810[[#This Row],[Days in month]])</f>
        <v>9064</v>
      </c>
      <c r="T314" s="37">
        <f>InterestRate*AmortizationMultiplier*IF(ISNUMBER(SEARCH("Actual",$C$7)),Table157810[[#This Row],[Days in month]]/365,1/12)</f>
        <v>5.7909166666666656E-3</v>
      </c>
    </row>
    <row r="315" spans="2:20" x14ac:dyDescent="0.2">
      <c r="B315" s="1">
        <f t="shared" si="14"/>
        <v>54939</v>
      </c>
      <c r="C315" s="2">
        <f t="shared" si="16"/>
        <v>299</v>
      </c>
      <c r="D315" s="3">
        <f t="shared" si="15"/>
        <v>0</v>
      </c>
      <c r="E315" s="3">
        <f>ROUND(Table157810[[#This Row],[Beginning Balance]]*Table157810[[#This Row],[Monthly Interest Rate]],2)</f>
        <v>0</v>
      </c>
      <c r="F315" s="3">
        <f t="shared" si="17"/>
        <v>543</v>
      </c>
      <c r="G315" s="23">
        <f>IFERROR(IF($C$13="No","N/A",IF(Table157810[[#This Row],[Period]]=1,$C$6,PMT(InterestRate*AmortizationMultiplier/12,Table157810[[#This Row],[Am Thru]],-Table157810[[#This Row],[Beginning Balance]]))),0)</f>
        <v>0</v>
      </c>
      <c r="H315" s="3">
        <f>MAX(0,IF(C315=$C$4,D315,ROUND(IF($C$3="Fixed Principal",$C$6-Table157810[[#This Row],[Interest]],IF($C$3="Interest Only",Table157810[[#This Row],[Beginning Balance]]*ROUND(1-(1-IF($C$11="No",$E$8,1))^(1/12),6),MIN(IF($C$13="Yes",Table157810[[#This Row],[Payment Amount (Reamortized)]],$C$6)-Table157810[[#This Row],[Interest]],Table157810[[#This Row],[Beginning Balance]]))),2)))</f>
        <v>0</v>
      </c>
      <c r="I315" s="3">
        <f>_xlfn.SINGLE(IF($C$3="Line of Credit",0,ROUND(MAX(MIN(IF($C$10="No",$E$7,VLOOKUP(Table157810[[#This Row],[Period]],Forecast!$H$2:$L$1048576,4,FALSE))*Table157810[[#This Row],[Beginning Balance]],Table157810[[#This Row],[Beginning Balance]]-Table157810[[#This Row],[Principal]]),0),2)))</f>
        <v>0</v>
      </c>
      <c r="J315" s="3">
        <f>ROUND(MIN(Table157810[[#This Row],[Beginning Balance]]*IF($C$8="No",$E$3,VLOOKUP(Table157810[[#This Row],[Period]],Forecast!$H$2:$L$1048576,2,FALSE)),Table157810[[#This Row],[Beginning Balance]]-Table157810[[#This Row],[Principal]]-Table157810[[#This Row],[Prepayments]]),2)</f>
        <v>0</v>
      </c>
      <c r="K315" s="3">
        <f>ROUND(Table157810[[#This Row],[Defaulted Principal]]*IF($C$9="No",$E$4,VLOOKUP(Table157810[[#This Row],[Period]],Forecast!$H$2:$L$1048576,3,FALSE)),2)</f>
        <v>0</v>
      </c>
      <c r="L315" s="2">
        <f>Table157810[[#This Row],[Period]]+$E$9</f>
        <v>311</v>
      </c>
      <c r="M315" s="3">
        <f>Table157810[[#This Row],[Defaulted Principal]]-Table157810[[#This Row],[Estimated Loss]]</f>
        <v>0</v>
      </c>
      <c r="N315" s="3">
        <f>IFERROR(VLOOKUP(Table157810[[#This Row],[Period]],$L$16:$M$385,2,FALSE),0)</f>
        <v>0</v>
      </c>
      <c r="O315" s="3">
        <f>Table157810[[#This Row],[Beginning Balance]]-Table157810[[#This Row],[Principal]]-Table157810[[#This Row],[Prepayments]]-Table157810[[#This Row],[Defaulted Principal]]</f>
        <v>0</v>
      </c>
      <c r="P315" s="3">
        <f>Table157810[[#This Row],[Principal]]+Table157810[[#This Row],[Interest]]+Table157810[[#This Row],[Prepayments]]+Table157810[[#This Row],[RecoveredAmount]]</f>
        <v>0</v>
      </c>
      <c r="Q315" s="3">
        <f ca="1">ROUND(Table157810[[#This Row],[Cash Flow]]/((1+ActualRateToUse)^(IF(ISNUMBER(SEARCH("Actual",$C$7)),Table157810[[#This Row],[Running Total]]/365,Table157810[[#This Row],[Period]]/12))),2)</f>
        <v>0</v>
      </c>
      <c r="R315" s="2">
        <f>IF(MONTH(Table157810[[#This Row],[Date]])=2,28,DAY(DATE(YEAR(Table157810[[#This Row],[Date]]),MONTH(Table157810[[#This Row],[Date]])+1,1)-1))</f>
        <v>31</v>
      </c>
      <c r="S315" s="2">
        <f ca="1">SUM(OFFSET(Table157810[[#Headers],[Days in month]],1,0):Table157810[[#This Row],[Days in month]])</f>
        <v>9095</v>
      </c>
      <c r="T315" s="37">
        <f>InterestRate*AmortizationMultiplier*IF(ISNUMBER(SEARCH("Actual",$C$7)),Table157810[[#This Row],[Days in month]]/365,1/12)</f>
        <v>5.9839472222222214E-3</v>
      </c>
    </row>
    <row r="316" spans="2:20" x14ac:dyDescent="0.2">
      <c r="B316" s="1">
        <f t="shared" si="14"/>
        <v>54969</v>
      </c>
      <c r="C316" s="2">
        <f t="shared" si="16"/>
        <v>300</v>
      </c>
      <c r="D316" s="3">
        <f t="shared" si="15"/>
        <v>0</v>
      </c>
      <c r="E316" s="3">
        <f>ROUND(Table157810[[#This Row],[Beginning Balance]]*Table157810[[#This Row],[Monthly Interest Rate]],2)</f>
        <v>0</v>
      </c>
      <c r="F316" s="3">
        <f t="shared" si="17"/>
        <v>542</v>
      </c>
      <c r="G316" s="23">
        <f>IFERROR(IF($C$13="No","N/A",IF(Table157810[[#This Row],[Period]]=1,$C$6,PMT(InterestRate*AmortizationMultiplier/12,Table157810[[#This Row],[Am Thru]],-Table157810[[#This Row],[Beginning Balance]]))),0)</f>
        <v>0</v>
      </c>
      <c r="H316" s="3">
        <f>MAX(0,IF(C316=$C$4,D316,ROUND(IF($C$3="Fixed Principal",$C$6-Table157810[[#This Row],[Interest]],IF($C$3="Interest Only",Table157810[[#This Row],[Beginning Balance]]*ROUND(1-(1-IF($C$11="No",$E$8,1))^(1/12),6),MIN(IF($C$13="Yes",Table157810[[#This Row],[Payment Amount (Reamortized)]],$C$6)-Table157810[[#This Row],[Interest]],Table157810[[#This Row],[Beginning Balance]]))),2)))</f>
        <v>0</v>
      </c>
      <c r="I316" s="3">
        <f>_xlfn.SINGLE(IF($C$3="Line of Credit",0,ROUND(MAX(MIN(IF($C$10="No",$E$7,VLOOKUP(Table157810[[#This Row],[Period]],Forecast!$H$2:$L$1048576,4,FALSE))*Table157810[[#This Row],[Beginning Balance]],Table157810[[#This Row],[Beginning Balance]]-Table157810[[#This Row],[Principal]]),0),2)))</f>
        <v>0</v>
      </c>
      <c r="J316" s="3">
        <f>ROUND(MIN(Table157810[[#This Row],[Beginning Balance]]*IF($C$8="No",$E$3,VLOOKUP(Table157810[[#This Row],[Period]],Forecast!$H$2:$L$1048576,2,FALSE)),Table157810[[#This Row],[Beginning Balance]]-Table157810[[#This Row],[Principal]]-Table157810[[#This Row],[Prepayments]]),2)</f>
        <v>0</v>
      </c>
      <c r="K316" s="3">
        <f>ROUND(Table157810[[#This Row],[Defaulted Principal]]*IF($C$9="No",$E$4,VLOOKUP(Table157810[[#This Row],[Period]],Forecast!$H$2:$L$1048576,3,FALSE)),2)</f>
        <v>0</v>
      </c>
      <c r="L316" s="2">
        <f>Table157810[[#This Row],[Period]]+$E$9</f>
        <v>312</v>
      </c>
      <c r="M316" s="3">
        <f>Table157810[[#This Row],[Defaulted Principal]]-Table157810[[#This Row],[Estimated Loss]]</f>
        <v>0</v>
      </c>
      <c r="N316" s="3">
        <f>IFERROR(VLOOKUP(Table157810[[#This Row],[Period]],$L$16:$M$385,2,FALSE),0)</f>
        <v>0</v>
      </c>
      <c r="O316" s="3">
        <f>Table157810[[#This Row],[Beginning Balance]]-Table157810[[#This Row],[Principal]]-Table157810[[#This Row],[Prepayments]]-Table157810[[#This Row],[Defaulted Principal]]</f>
        <v>0</v>
      </c>
      <c r="P316" s="3">
        <f>Table157810[[#This Row],[Principal]]+Table157810[[#This Row],[Interest]]+Table157810[[#This Row],[Prepayments]]+Table157810[[#This Row],[RecoveredAmount]]</f>
        <v>0</v>
      </c>
      <c r="Q316" s="3">
        <f ca="1">ROUND(Table157810[[#This Row],[Cash Flow]]/((1+ActualRateToUse)^(IF(ISNUMBER(SEARCH("Actual",$C$7)),Table157810[[#This Row],[Running Total]]/365,Table157810[[#This Row],[Period]]/12))),2)</f>
        <v>0</v>
      </c>
      <c r="R316" s="2">
        <f>IF(MONTH(Table157810[[#This Row],[Date]])=2,28,DAY(DATE(YEAR(Table157810[[#This Row],[Date]]),MONTH(Table157810[[#This Row],[Date]])+1,1)-1))</f>
        <v>30</v>
      </c>
      <c r="S316" s="2">
        <f ca="1">SUM(OFFSET(Table157810[[#Headers],[Days in month]],1,0):Table157810[[#This Row],[Days in month]])</f>
        <v>9125</v>
      </c>
      <c r="T316" s="37">
        <f>InterestRate*AmortizationMultiplier*IF(ISNUMBER(SEARCH("Actual",$C$7)),Table157810[[#This Row],[Days in month]]/365,1/12)</f>
        <v>5.7909166666666656E-3</v>
      </c>
    </row>
    <row r="317" spans="2:20" x14ac:dyDescent="0.2">
      <c r="B317" s="1">
        <f t="shared" si="14"/>
        <v>55000</v>
      </c>
      <c r="C317" s="2">
        <f t="shared" si="16"/>
        <v>301</v>
      </c>
      <c r="D317" s="3">
        <f t="shared" si="15"/>
        <v>0</v>
      </c>
      <c r="E317" s="3">
        <f>ROUND(Table157810[[#This Row],[Beginning Balance]]*Table157810[[#This Row],[Monthly Interest Rate]],2)</f>
        <v>0</v>
      </c>
      <c r="F317" s="3">
        <f t="shared" si="17"/>
        <v>541</v>
      </c>
      <c r="G317" s="23">
        <f>IFERROR(IF($C$13="No","N/A",IF(Table157810[[#This Row],[Period]]=1,$C$6,PMT(InterestRate*AmortizationMultiplier/12,Table157810[[#This Row],[Am Thru]],-Table157810[[#This Row],[Beginning Balance]]))),0)</f>
        <v>0</v>
      </c>
      <c r="H317" s="3">
        <f>MAX(0,IF(C317=$C$4,D317,ROUND(IF($C$3="Fixed Principal",$C$6-Table157810[[#This Row],[Interest]],IF($C$3="Interest Only",Table157810[[#This Row],[Beginning Balance]]*ROUND(1-(1-IF($C$11="No",$E$8,1))^(1/12),6),MIN(IF($C$13="Yes",Table157810[[#This Row],[Payment Amount (Reamortized)]],$C$6)-Table157810[[#This Row],[Interest]],Table157810[[#This Row],[Beginning Balance]]))),2)))</f>
        <v>0</v>
      </c>
      <c r="I317" s="3">
        <f>_xlfn.SINGLE(IF($C$3="Line of Credit",0,ROUND(MAX(MIN(IF($C$10="No",$E$7,VLOOKUP(Table157810[[#This Row],[Period]],Forecast!$H$2:$L$1048576,4,FALSE))*Table157810[[#This Row],[Beginning Balance]],Table157810[[#This Row],[Beginning Balance]]-Table157810[[#This Row],[Principal]]),0),2)))</f>
        <v>0</v>
      </c>
      <c r="J317" s="3">
        <f>ROUND(MIN(Table157810[[#This Row],[Beginning Balance]]*IF($C$8="No",$E$3,VLOOKUP(Table157810[[#This Row],[Period]],Forecast!$H$2:$L$1048576,2,FALSE)),Table157810[[#This Row],[Beginning Balance]]-Table157810[[#This Row],[Principal]]-Table157810[[#This Row],[Prepayments]]),2)</f>
        <v>0</v>
      </c>
      <c r="K317" s="3">
        <f>ROUND(Table157810[[#This Row],[Defaulted Principal]]*IF($C$9="No",$E$4,VLOOKUP(Table157810[[#This Row],[Period]],Forecast!$H$2:$L$1048576,3,FALSE)),2)</f>
        <v>0</v>
      </c>
      <c r="L317" s="2">
        <f>Table157810[[#This Row],[Period]]+$E$9</f>
        <v>313</v>
      </c>
      <c r="M317" s="3">
        <f>Table157810[[#This Row],[Defaulted Principal]]-Table157810[[#This Row],[Estimated Loss]]</f>
        <v>0</v>
      </c>
      <c r="N317" s="3">
        <f>IFERROR(VLOOKUP(Table157810[[#This Row],[Period]],$L$16:$M$385,2,FALSE),0)</f>
        <v>0</v>
      </c>
      <c r="O317" s="3">
        <f>Table157810[[#This Row],[Beginning Balance]]-Table157810[[#This Row],[Principal]]-Table157810[[#This Row],[Prepayments]]-Table157810[[#This Row],[Defaulted Principal]]</f>
        <v>0</v>
      </c>
      <c r="P317" s="3">
        <f>Table157810[[#This Row],[Principal]]+Table157810[[#This Row],[Interest]]+Table157810[[#This Row],[Prepayments]]+Table157810[[#This Row],[RecoveredAmount]]</f>
        <v>0</v>
      </c>
      <c r="Q317" s="3">
        <f ca="1">ROUND(Table157810[[#This Row],[Cash Flow]]/((1+ActualRateToUse)^(IF(ISNUMBER(SEARCH("Actual",$C$7)),Table157810[[#This Row],[Running Total]]/365,Table157810[[#This Row],[Period]]/12))),2)</f>
        <v>0</v>
      </c>
      <c r="R317" s="2">
        <f>IF(MONTH(Table157810[[#This Row],[Date]])=2,28,DAY(DATE(YEAR(Table157810[[#This Row],[Date]]),MONTH(Table157810[[#This Row],[Date]])+1,1)-1))</f>
        <v>31</v>
      </c>
      <c r="S317" s="2">
        <f ca="1">SUM(OFFSET(Table157810[[#Headers],[Days in month]],1,0):Table157810[[#This Row],[Days in month]])</f>
        <v>9156</v>
      </c>
      <c r="T317" s="37">
        <f>InterestRate*AmortizationMultiplier*IF(ISNUMBER(SEARCH("Actual",$C$7)),Table157810[[#This Row],[Days in month]]/365,1/12)</f>
        <v>5.9839472222222214E-3</v>
      </c>
    </row>
    <row r="318" spans="2:20" x14ac:dyDescent="0.2">
      <c r="B318" s="1">
        <f t="shared" si="14"/>
        <v>55031</v>
      </c>
      <c r="C318" s="2">
        <f t="shared" si="16"/>
        <v>302</v>
      </c>
      <c r="D318" s="3">
        <f t="shared" si="15"/>
        <v>0</v>
      </c>
      <c r="E318" s="3">
        <f>ROUND(Table157810[[#This Row],[Beginning Balance]]*Table157810[[#This Row],[Monthly Interest Rate]],2)</f>
        <v>0</v>
      </c>
      <c r="F318" s="3">
        <f t="shared" si="17"/>
        <v>540</v>
      </c>
      <c r="G318" s="23">
        <f>IFERROR(IF($C$13="No","N/A",IF(Table157810[[#This Row],[Period]]=1,$C$6,PMT(InterestRate*AmortizationMultiplier/12,Table157810[[#This Row],[Am Thru]],-Table157810[[#This Row],[Beginning Balance]]))),0)</f>
        <v>0</v>
      </c>
      <c r="H318" s="3">
        <f>MAX(0,IF(C318=$C$4,D318,ROUND(IF($C$3="Fixed Principal",$C$6-Table157810[[#This Row],[Interest]],IF($C$3="Interest Only",Table157810[[#This Row],[Beginning Balance]]*ROUND(1-(1-IF($C$11="No",$E$8,1))^(1/12),6),MIN(IF($C$13="Yes",Table157810[[#This Row],[Payment Amount (Reamortized)]],$C$6)-Table157810[[#This Row],[Interest]],Table157810[[#This Row],[Beginning Balance]]))),2)))</f>
        <v>0</v>
      </c>
      <c r="I318" s="3">
        <f>_xlfn.SINGLE(IF($C$3="Line of Credit",0,ROUND(MAX(MIN(IF($C$10="No",$E$7,VLOOKUP(Table157810[[#This Row],[Period]],Forecast!$H$2:$L$1048576,4,FALSE))*Table157810[[#This Row],[Beginning Balance]],Table157810[[#This Row],[Beginning Balance]]-Table157810[[#This Row],[Principal]]),0),2)))</f>
        <v>0</v>
      </c>
      <c r="J318" s="3">
        <f>ROUND(MIN(Table157810[[#This Row],[Beginning Balance]]*IF($C$8="No",$E$3,VLOOKUP(Table157810[[#This Row],[Period]],Forecast!$H$2:$L$1048576,2,FALSE)),Table157810[[#This Row],[Beginning Balance]]-Table157810[[#This Row],[Principal]]-Table157810[[#This Row],[Prepayments]]),2)</f>
        <v>0</v>
      </c>
      <c r="K318" s="3">
        <f>ROUND(Table157810[[#This Row],[Defaulted Principal]]*IF($C$9="No",$E$4,VLOOKUP(Table157810[[#This Row],[Period]],Forecast!$H$2:$L$1048576,3,FALSE)),2)</f>
        <v>0</v>
      </c>
      <c r="L318" s="2">
        <f>Table157810[[#This Row],[Period]]+$E$9</f>
        <v>314</v>
      </c>
      <c r="M318" s="3">
        <f>Table157810[[#This Row],[Defaulted Principal]]-Table157810[[#This Row],[Estimated Loss]]</f>
        <v>0</v>
      </c>
      <c r="N318" s="3">
        <f>IFERROR(VLOOKUP(Table157810[[#This Row],[Period]],$L$16:$M$385,2,FALSE),0)</f>
        <v>0</v>
      </c>
      <c r="O318" s="3">
        <f>Table157810[[#This Row],[Beginning Balance]]-Table157810[[#This Row],[Principal]]-Table157810[[#This Row],[Prepayments]]-Table157810[[#This Row],[Defaulted Principal]]</f>
        <v>0</v>
      </c>
      <c r="P318" s="3">
        <f>Table157810[[#This Row],[Principal]]+Table157810[[#This Row],[Interest]]+Table157810[[#This Row],[Prepayments]]+Table157810[[#This Row],[RecoveredAmount]]</f>
        <v>0</v>
      </c>
      <c r="Q318" s="3">
        <f ca="1">ROUND(Table157810[[#This Row],[Cash Flow]]/((1+ActualRateToUse)^(IF(ISNUMBER(SEARCH("Actual",$C$7)),Table157810[[#This Row],[Running Total]]/365,Table157810[[#This Row],[Period]]/12))),2)</f>
        <v>0</v>
      </c>
      <c r="R318" s="2">
        <f>IF(MONTH(Table157810[[#This Row],[Date]])=2,28,DAY(DATE(YEAR(Table157810[[#This Row],[Date]]),MONTH(Table157810[[#This Row],[Date]])+1,1)-1))</f>
        <v>31</v>
      </c>
      <c r="S318" s="2">
        <f ca="1">SUM(OFFSET(Table157810[[#Headers],[Days in month]],1,0):Table157810[[#This Row],[Days in month]])</f>
        <v>9187</v>
      </c>
      <c r="T318" s="37">
        <f>InterestRate*AmortizationMultiplier*IF(ISNUMBER(SEARCH("Actual",$C$7)),Table157810[[#This Row],[Days in month]]/365,1/12)</f>
        <v>5.9839472222222214E-3</v>
      </c>
    </row>
    <row r="319" spans="2:20" x14ac:dyDescent="0.2">
      <c r="B319" s="1">
        <f t="shared" si="14"/>
        <v>55061</v>
      </c>
      <c r="C319" s="2">
        <f t="shared" si="16"/>
        <v>303</v>
      </c>
      <c r="D319" s="3">
        <f t="shared" si="15"/>
        <v>0</v>
      </c>
      <c r="E319" s="3">
        <f>ROUND(Table157810[[#This Row],[Beginning Balance]]*Table157810[[#This Row],[Monthly Interest Rate]],2)</f>
        <v>0</v>
      </c>
      <c r="F319" s="3">
        <f t="shared" si="17"/>
        <v>539</v>
      </c>
      <c r="G319" s="23">
        <f>IFERROR(IF($C$13="No","N/A",IF(Table157810[[#This Row],[Period]]=1,$C$6,PMT(InterestRate*AmortizationMultiplier/12,Table157810[[#This Row],[Am Thru]],-Table157810[[#This Row],[Beginning Balance]]))),0)</f>
        <v>0</v>
      </c>
      <c r="H319" s="3">
        <f>MAX(0,IF(C319=$C$4,D319,ROUND(IF($C$3="Fixed Principal",$C$6-Table157810[[#This Row],[Interest]],IF($C$3="Interest Only",Table157810[[#This Row],[Beginning Balance]]*ROUND(1-(1-IF($C$11="No",$E$8,1))^(1/12),6),MIN(IF($C$13="Yes",Table157810[[#This Row],[Payment Amount (Reamortized)]],$C$6)-Table157810[[#This Row],[Interest]],Table157810[[#This Row],[Beginning Balance]]))),2)))</f>
        <v>0</v>
      </c>
      <c r="I319" s="3">
        <f>_xlfn.SINGLE(IF($C$3="Line of Credit",0,ROUND(MAX(MIN(IF($C$10="No",$E$7,VLOOKUP(Table157810[[#This Row],[Period]],Forecast!$H$2:$L$1048576,4,FALSE))*Table157810[[#This Row],[Beginning Balance]],Table157810[[#This Row],[Beginning Balance]]-Table157810[[#This Row],[Principal]]),0),2)))</f>
        <v>0</v>
      </c>
      <c r="J319" s="3">
        <f>ROUND(MIN(Table157810[[#This Row],[Beginning Balance]]*IF($C$8="No",$E$3,VLOOKUP(Table157810[[#This Row],[Period]],Forecast!$H$2:$L$1048576,2,FALSE)),Table157810[[#This Row],[Beginning Balance]]-Table157810[[#This Row],[Principal]]-Table157810[[#This Row],[Prepayments]]),2)</f>
        <v>0</v>
      </c>
      <c r="K319" s="3">
        <f>ROUND(Table157810[[#This Row],[Defaulted Principal]]*IF($C$9="No",$E$4,VLOOKUP(Table157810[[#This Row],[Period]],Forecast!$H$2:$L$1048576,3,FALSE)),2)</f>
        <v>0</v>
      </c>
      <c r="L319" s="2">
        <f>Table157810[[#This Row],[Period]]+$E$9</f>
        <v>315</v>
      </c>
      <c r="M319" s="3">
        <f>Table157810[[#This Row],[Defaulted Principal]]-Table157810[[#This Row],[Estimated Loss]]</f>
        <v>0</v>
      </c>
      <c r="N319" s="3">
        <f>IFERROR(VLOOKUP(Table157810[[#This Row],[Period]],$L$16:$M$385,2,FALSE),0)</f>
        <v>0</v>
      </c>
      <c r="O319" s="3">
        <f>Table157810[[#This Row],[Beginning Balance]]-Table157810[[#This Row],[Principal]]-Table157810[[#This Row],[Prepayments]]-Table157810[[#This Row],[Defaulted Principal]]</f>
        <v>0</v>
      </c>
      <c r="P319" s="3">
        <f>Table157810[[#This Row],[Principal]]+Table157810[[#This Row],[Interest]]+Table157810[[#This Row],[Prepayments]]+Table157810[[#This Row],[RecoveredAmount]]</f>
        <v>0</v>
      </c>
      <c r="Q319" s="3">
        <f ca="1">ROUND(Table157810[[#This Row],[Cash Flow]]/((1+ActualRateToUse)^(IF(ISNUMBER(SEARCH("Actual",$C$7)),Table157810[[#This Row],[Running Total]]/365,Table157810[[#This Row],[Period]]/12))),2)</f>
        <v>0</v>
      </c>
      <c r="R319" s="2">
        <f>IF(MONTH(Table157810[[#This Row],[Date]])=2,28,DAY(DATE(YEAR(Table157810[[#This Row],[Date]]),MONTH(Table157810[[#This Row],[Date]])+1,1)-1))</f>
        <v>30</v>
      </c>
      <c r="S319" s="2">
        <f ca="1">SUM(OFFSET(Table157810[[#Headers],[Days in month]],1,0):Table157810[[#This Row],[Days in month]])</f>
        <v>9217</v>
      </c>
      <c r="T319" s="37">
        <f>InterestRate*AmortizationMultiplier*IF(ISNUMBER(SEARCH("Actual",$C$7)),Table157810[[#This Row],[Days in month]]/365,1/12)</f>
        <v>5.7909166666666656E-3</v>
      </c>
    </row>
    <row r="320" spans="2:20" x14ac:dyDescent="0.2">
      <c r="B320" s="1">
        <f t="shared" si="14"/>
        <v>55092</v>
      </c>
      <c r="C320" s="2">
        <f t="shared" si="16"/>
        <v>304</v>
      </c>
      <c r="D320" s="3">
        <f t="shared" si="15"/>
        <v>0</v>
      </c>
      <c r="E320" s="3">
        <f>ROUND(Table157810[[#This Row],[Beginning Balance]]*Table157810[[#This Row],[Monthly Interest Rate]],2)</f>
        <v>0</v>
      </c>
      <c r="F320" s="3">
        <f t="shared" si="17"/>
        <v>538</v>
      </c>
      <c r="G320" s="23">
        <f>IFERROR(IF($C$13="No","N/A",IF(Table157810[[#This Row],[Period]]=1,$C$6,PMT(InterestRate*AmortizationMultiplier/12,Table157810[[#This Row],[Am Thru]],-Table157810[[#This Row],[Beginning Balance]]))),0)</f>
        <v>0</v>
      </c>
      <c r="H320" s="3">
        <f>MAX(0,IF(C320=$C$4,D320,ROUND(IF($C$3="Fixed Principal",$C$6-Table157810[[#This Row],[Interest]],IF($C$3="Interest Only",Table157810[[#This Row],[Beginning Balance]]*ROUND(1-(1-IF($C$11="No",$E$8,1))^(1/12),6),MIN(IF($C$13="Yes",Table157810[[#This Row],[Payment Amount (Reamortized)]],$C$6)-Table157810[[#This Row],[Interest]],Table157810[[#This Row],[Beginning Balance]]))),2)))</f>
        <v>0</v>
      </c>
      <c r="I320" s="3">
        <f>_xlfn.SINGLE(IF($C$3="Line of Credit",0,ROUND(MAX(MIN(IF($C$10="No",$E$7,VLOOKUP(Table157810[[#This Row],[Period]],Forecast!$H$2:$L$1048576,4,FALSE))*Table157810[[#This Row],[Beginning Balance]],Table157810[[#This Row],[Beginning Balance]]-Table157810[[#This Row],[Principal]]),0),2)))</f>
        <v>0</v>
      </c>
      <c r="J320" s="3">
        <f>ROUND(MIN(Table157810[[#This Row],[Beginning Balance]]*IF($C$8="No",$E$3,VLOOKUP(Table157810[[#This Row],[Period]],Forecast!$H$2:$L$1048576,2,FALSE)),Table157810[[#This Row],[Beginning Balance]]-Table157810[[#This Row],[Principal]]-Table157810[[#This Row],[Prepayments]]),2)</f>
        <v>0</v>
      </c>
      <c r="K320" s="3">
        <f>ROUND(Table157810[[#This Row],[Defaulted Principal]]*IF($C$9="No",$E$4,VLOOKUP(Table157810[[#This Row],[Period]],Forecast!$H$2:$L$1048576,3,FALSE)),2)</f>
        <v>0</v>
      </c>
      <c r="L320" s="2">
        <f>Table157810[[#This Row],[Period]]+$E$9</f>
        <v>316</v>
      </c>
      <c r="M320" s="3">
        <f>Table157810[[#This Row],[Defaulted Principal]]-Table157810[[#This Row],[Estimated Loss]]</f>
        <v>0</v>
      </c>
      <c r="N320" s="3">
        <f>IFERROR(VLOOKUP(Table157810[[#This Row],[Period]],$L$16:$M$385,2,FALSE),0)</f>
        <v>0</v>
      </c>
      <c r="O320" s="3">
        <f>Table157810[[#This Row],[Beginning Balance]]-Table157810[[#This Row],[Principal]]-Table157810[[#This Row],[Prepayments]]-Table157810[[#This Row],[Defaulted Principal]]</f>
        <v>0</v>
      </c>
      <c r="P320" s="3">
        <f>Table157810[[#This Row],[Principal]]+Table157810[[#This Row],[Interest]]+Table157810[[#This Row],[Prepayments]]+Table157810[[#This Row],[RecoveredAmount]]</f>
        <v>0</v>
      </c>
      <c r="Q320" s="3">
        <f ca="1">ROUND(Table157810[[#This Row],[Cash Flow]]/((1+ActualRateToUse)^(IF(ISNUMBER(SEARCH("Actual",$C$7)),Table157810[[#This Row],[Running Total]]/365,Table157810[[#This Row],[Period]]/12))),2)</f>
        <v>0</v>
      </c>
      <c r="R320" s="2">
        <f>IF(MONTH(Table157810[[#This Row],[Date]])=2,28,DAY(DATE(YEAR(Table157810[[#This Row],[Date]]),MONTH(Table157810[[#This Row],[Date]])+1,1)-1))</f>
        <v>31</v>
      </c>
      <c r="S320" s="2">
        <f ca="1">SUM(OFFSET(Table157810[[#Headers],[Days in month]],1,0):Table157810[[#This Row],[Days in month]])</f>
        <v>9248</v>
      </c>
      <c r="T320" s="37">
        <f>InterestRate*AmortizationMultiplier*IF(ISNUMBER(SEARCH("Actual",$C$7)),Table157810[[#This Row],[Days in month]]/365,1/12)</f>
        <v>5.9839472222222214E-3</v>
      </c>
    </row>
    <row r="321" spans="2:20" x14ac:dyDescent="0.2">
      <c r="B321" s="1">
        <f t="shared" si="14"/>
        <v>55122</v>
      </c>
      <c r="C321" s="2">
        <f t="shared" si="16"/>
        <v>305</v>
      </c>
      <c r="D321" s="3">
        <f t="shared" si="15"/>
        <v>0</v>
      </c>
      <c r="E321" s="3">
        <f>ROUND(Table157810[[#This Row],[Beginning Balance]]*Table157810[[#This Row],[Monthly Interest Rate]],2)</f>
        <v>0</v>
      </c>
      <c r="F321" s="3">
        <f t="shared" si="17"/>
        <v>537</v>
      </c>
      <c r="G321" s="23">
        <f>IFERROR(IF($C$13="No","N/A",IF(Table157810[[#This Row],[Period]]=1,$C$6,PMT(InterestRate*AmortizationMultiplier/12,Table157810[[#This Row],[Am Thru]],-Table157810[[#This Row],[Beginning Balance]]))),0)</f>
        <v>0</v>
      </c>
      <c r="H321" s="3">
        <f>MAX(0,IF(C321=$C$4,D321,ROUND(IF($C$3="Fixed Principal",$C$6-Table157810[[#This Row],[Interest]],IF($C$3="Interest Only",Table157810[[#This Row],[Beginning Balance]]*ROUND(1-(1-IF($C$11="No",$E$8,1))^(1/12),6),MIN(IF($C$13="Yes",Table157810[[#This Row],[Payment Amount (Reamortized)]],$C$6)-Table157810[[#This Row],[Interest]],Table157810[[#This Row],[Beginning Balance]]))),2)))</f>
        <v>0</v>
      </c>
      <c r="I321" s="3">
        <f>_xlfn.SINGLE(IF($C$3="Line of Credit",0,ROUND(MAX(MIN(IF($C$10="No",$E$7,VLOOKUP(Table157810[[#This Row],[Period]],Forecast!$H$2:$L$1048576,4,FALSE))*Table157810[[#This Row],[Beginning Balance]],Table157810[[#This Row],[Beginning Balance]]-Table157810[[#This Row],[Principal]]),0),2)))</f>
        <v>0</v>
      </c>
      <c r="J321" s="3">
        <f>ROUND(MIN(Table157810[[#This Row],[Beginning Balance]]*IF($C$8="No",$E$3,VLOOKUP(Table157810[[#This Row],[Period]],Forecast!$H$2:$L$1048576,2,FALSE)),Table157810[[#This Row],[Beginning Balance]]-Table157810[[#This Row],[Principal]]-Table157810[[#This Row],[Prepayments]]),2)</f>
        <v>0</v>
      </c>
      <c r="K321" s="3">
        <f>ROUND(Table157810[[#This Row],[Defaulted Principal]]*IF($C$9="No",$E$4,VLOOKUP(Table157810[[#This Row],[Period]],Forecast!$H$2:$L$1048576,3,FALSE)),2)</f>
        <v>0</v>
      </c>
      <c r="L321" s="2">
        <f>Table157810[[#This Row],[Period]]+$E$9</f>
        <v>317</v>
      </c>
      <c r="M321" s="3">
        <f>Table157810[[#This Row],[Defaulted Principal]]-Table157810[[#This Row],[Estimated Loss]]</f>
        <v>0</v>
      </c>
      <c r="N321" s="3">
        <f>IFERROR(VLOOKUP(Table157810[[#This Row],[Period]],$L$16:$M$385,2,FALSE),0)</f>
        <v>0</v>
      </c>
      <c r="O321" s="3">
        <f>Table157810[[#This Row],[Beginning Balance]]-Table157810[[#This Row],[Principal]]-Table157810[[#This Row],[Prepayments]]-Table157810[[#This Row],[Defaulted Principal]]</f>
        <v>0</v>
      </c>
      <c r="P321" s="3">
        <f>Table157810[[#This Row],[Principal]]+Table157810[[#This Row],[Interest]]+Table157810[[#This Row],[Prepayments]]+Table157810[[#This Row],[RecoveredAmount]]</f>
        <v>0</v>
      </c>
      <c r="Q321" s="3">
        <f ca="1">ROUND(Table157810[[#This Row],[Cash Flow]]/((1+ActualRateToUse)^(IF(ISNUMBER(SEARCH("Actual",$C$7)),Table157810[[#This Row],[Running Total]]/365,Table157810[[#This Row],[Period]]/12))),2)</f>
        <v>0</v>
      </c>
      <c r="R321" s="2">
        <f>IF(MONTH(Table157810[[#This Row],[Date]])=2,28,DAY(DATE(YEAR(Table157810[[#This Row],[Date]]),MONTH(Table157810[[#This Row],[Date]])+1,1)-1))</f>
        <v>30</v>
      </c>
      <c r="S321" s="2">
        <f ca="1">SUM(OFFSET(Table157810[[#Headers],[Days in month]],1,0):Table157810[[#This Row],[Days in month]])</f>
        <v>9278</v>
      </c>
      <c r="T321" s="37">
        <f>InterestRate*AmortizationMultiplier*IF(ISNUMBER(SEARCH("Actual",$C$7)),Table157810[[#This Row],[Days in month]]/365,1/12)</f>
        <v>5.7909166666666656E-3</v>
      </c>
    </row>
    <row r="322" spans="2:20" x14ac:dyDescent="0.2">
      <c r="B322" s="1">
        <f t="shared" si="14"/>
        <v>55153</v>
      </c>
      <c r="C322" s="2">
        <f t="shared" si="16"/>
        <v>306</v>
      </c>
      <c r="D322" s="3">
        <f t="shared" si="15"/>
        <v>0</v>
      </c>
      <c r="E322" s="3">
        <f>ROUND(Table157810[[#This Row],[Beginning Balance]]*Table157810[[#This Row],[Monthly Interest Rate]],2)</f>
        <v>0</v>
      </c>
      <c r="F322" s="3">
        <f t="shared" si="17"/>
        <v>536</v>
      </c>
      <c r="G322" s="23">
        <f>IFERROR(IF($C$13="No","N/A",IF(Table157810[[#This Row],[Period]]=1,$C$6,PMT(InterestRate*AmortizationMultiplier/12,Table157810[[#This Row],[Am Thru]],-Table157810[[#This Row],[Beginning Balance]]))),0)</f>
        <v>0</v>
      </c>
      <c r="H322" s="3">
        <f>MAX(0,IF(C322=$C$4,D322,ROUND(IF($C$3="Fixed Principal",$C$6-Table157810[[#This Row],[Interest]],IF($C$3="Interest Only",Table157810[[#This Row],[Beginning Balance]]*ROUND(1-(1-IF($C$11="No",$E$8,1))^(1/12),6),MIN(IF($C$13="Yes",Table157810[[#This Row],[Payment Amount (Reamortized)]],$C$6)-Table157810[[#This Row],[Interest]],Table157810[[#This Row],[Beginning Balance]]))),2)))</f>
        <v>0</v>
      </c>
      <c r="I322" s="3">
        <f>_xlfn.SINGLE(IF($C$3="Line of Credit",0,ROUND(MAX(MIN(IF($C$10="No",$E$7,VLOOKUP(Table157810[[#This Row],[Period]],Forecast!$H$2:$L$1048576,4,FALSE))*Table157810[[#This Row],[Beginning Balance]],Table157810[[#This Row],[Beginning Balance]]-Table157810[[#This Row],[Principal]]),0),2)))</f>
        <v>0</v>
      </c>
      <c r="J322" s="3">
        <f>ROUND(MIN(Table157810[[#This Row],[Beginning Balance]]*IF($C$8="No",$E$3,VLOOKUP(Table157810[[#This Row],[Period]],Forecast!$H$2:$L$1048576,2,FALSE)),Table157810[[#This Row],[Beginning Balance]]-Table157810[[#This Row],[Principal]]-Table157810[[#This Row],[Prepayments]]),2)</f>
        <v>0</v>
      </c>
      <c r="K322" s="3">
        <f>ROUND(Table157810[[#This Row],[Defaulted Principal]]*IF($C$9="No",$E$4,VLOOKUP(Table157810[[#This Row],[Period]],Forecast!$H$2:$L$1048576,3,FALSE)),2)</f>
        <v>0</v>
      </c>
      <c r="L322" s="2">
        <f>Table157810[[#This Row],[Period]]+$E$9</f>
        <v>318</v>
      </c>
      <c r="M322" s="3">
        <f>Table157810[[#This Row],[Defaulted Principal]]-Table157810[[#This Row],[Estimated Loss]]</f>
        <v>0</v>
      </c>
      <c r="N322" s="3">
        <f>IFERROR(VLOOKUP(Table157810[[#This Row],[Period]],$L$16:$M$385,2,FALSE),0)</f>
        <v>0</v>
      </c>
      <c r="O322" s="3">
        <f>Table157810[[#This Row],[Beginning Balance]]-Table157810[[#This Row],[Principal]]-Table157810[[#This Row],[Prepayments]]-Table157810[[#This Row],[Defaulted Principal]]</f>
        <v>0</v>
      </c>
      <c r="P322" s="3">
        <f>Table157810[[#This Row],[Principal]]+Table157810[[#This Row],[Interest]]+Table157810[[#This Row],[Prepayments]]+Table157810[[#This Row],[RecoveredAmount]]</f>
        <v>0</v>
      </c>
      <c r="Q322" s="3">
        <f ca="1">ROUND(Table157810[[#This Row],[Cash Flow]]/((1+ActualRateToUse)^(IF(ISNUMBER(SEARCH("Actual",$C$7)),Table157810[[#This Row],[Running Total]]/365,Table157810[[#This Row],[Period]]/12))),2)</f>
        <v>0</v>
      </c>
      <c r="R322" s="2">
        <f>IF(MONTH(Table157810[[#This Row],[Date]])=2,28,DAY(DATE(YEAR(Table157810[[#This Row],[Date]]),MONTH(Table157810[[#This Row],[Date]])+1,1)-1))</f>
        <v>31</v>
      </c>
      <c r="S322" s="2">
        <f ca="1">SUM(OFFSET(Table157810[[#Headers],[Days in month]],1,0):Table157810[[#This Row],[Days in month]])</f>
        <v>9309</v>
      </c>
      <c r="T322" s="37">
        <f>InterestRate*AmortizationMultiplier*IF(ISNUMBER(SEARCH("Actual",$C$7)),Table157810[[#This Row],[Days in month]]/365,1/12)</f>
        <v>5.9839472222222214E-3</v>
      </c>
    </row>
    <row r="323" spans="2:20" x14ac:dyDescent="0.2">
      <c r="B323" s="1">
        <f t="shared" si="14"/>
        <v>55184</v>
      </c>
      <c r="C323" s="2">
        <f t="shared" si="16"/>
        <v>307</v>
      </c>
      <c r="D323" s="3">
        <f t="shared" si="15"/>
        <v>0</v>
      </c>
      <c r="E323" s="3">
        <f>ROUND(Table157810[[#This Row],[Beginning Balance]]*Table157810[[#This Row],[Monthly Interest Rate]],2)</f>
        <v>0</v>
      </c>
      <c r="F323" s="3">
        <f t="shared" si="17"/>
        <v>535</v>
      </c>
      <c r="G323" s="23">
        <f>IFERROR(IF($C$13="No","N/A",IF(Table157810[[#This Row],[Period]]=1,$C$6,PMT(InterestRate*AmortizationMultiplier/12,Table157810[[#This Row],[Am Thru]],-Table157810[[#This Row],[Beginning Balance]]))),0)</f>
        <v>0</v>
      </c>
      <c r="H323" s="3">
        <f>MAX(0,IF(C323=$C$4,D323,ROUND(IF($C$3="Fixed Principal",$C$6-Table157810[[#This Row],[Interest]],IF($C$3="Interest Only",Table157810[[#This Row],[Beginning Balance]]*ROUND(1-(1-IF($C$11="No",$E$8,1))^(1/12),6),MIN(IF($C$13="Yes",Table157810[[#This Row],[Payment Amount (Reamortized)]],$C$6)-Table157810[[#This Row],[Interest]],Table157810[[#This Row],[Beginning Balance]]))),2)))</f>
        <v>0</v>
      </c>
      <c r="I323" s="3">
        <f>_xlfn.SINGLE(IF($C$3="Line of Credit",0,ROUND(MAX(MIN(IF($C$10="No",$E$7,VLOOKUP(Table157810[[#This Row],[Period]],Forecast!$H$2:$L$1048576,4,FALSE))*Table157810[[#This Row],[Beginning Balance]],Table157810[[#This Row],[Beginning Balance]]-Table157810[[#This Row],[Principal]]),0),2)))</f>
        <v>0</v>
      </c>
      <c r="J323" s="3">
        <f>ROUND(MIN(Table157810[[#This Row],[Beginning Balance]]*IF($C$8="No",$E$3,VLOOKUP(Table157810[[#This Row],[Period]],Forecast!$H$2:$L$1048576,2,FALSE)),Table157810[[#This Row],[Beginning Balance]]-Table157810[[#This Row],[Principal]]-Table157810[[#This Row],[Prepayments]]),2)</f>
        <v>0</v>
      </c>
      <c r="K323" s="3">
        <f>ROUND(Table157810[[#This Row],[Defaulted Principal]]*IF($C$9="No",$E$4,VLOOKUP(Table157810[[#This Row],[Period]],Forecast!$H$2:$L$1048576,3,FALSE)),2)</f>
        <v>0</v>
      </c>
      <c r="L323" s="2">
        <f>Table157810[[#This Row],[Period]]+$E$9</f>
        <v>319</v>
      </c>
      <c r="M323" s="3">
        <f>Table157810[[#This Row],[Defaulted Principal]]-Table157810[[#This Row],[Estimated Loss]]</f>
        <v>0</v>
      </c>
      <c r="N323" s="3">
        <f>IFERROR(VLOOKUP(Table157810[[#This Row],[Period]],$L$16:$M$385,2,FALSE),0)</f>
        <v>0</v>
      </c>
      <c r="O323" s="3">
        <f>Table157810[[#This Row],[Beginning Balance]]-Table157810[[#This Row],[Principal]]-Table157810[[#This Row],[Prepayments]]-Table157810[[#This Row],[Defaulted Principal]]</f>
        <v>0</v>
      </c>
      <c r="P323" s="3">
        <f>Table157810[[#This Row],[Principal]]+Table157810[[#This Row],[Interest]]+Table157810[[#This Row],[Prepayments]]+Table157810[[#This Row],[RecoveredAmount]]</f>
        <v>0</v>
      </c>
      <c r="Q323" s="3">
        <f ca="1">ROUND(Table157810[[#This Row],[Cash Flow]]/((1+ActualRateToUse)^(IF(ISNUMBER(SEARCH("Actual",$C$7)),Table157810[[#This Row],[Running Total]]/365,Table157810[[#This Row],[Period]]/12))),2)</f>
        <v>0</v>
      </c>
      <c r="R323" s="2">
        <f>IF(MONTH(Table157810[[#This Row],[Date]])=2,28,DAY(DATE(YEAR(Table157810[[#This Row],[Date]]),MONTH(Table157810[[#This Row],[Date]])+1,1)-1))</f>
        <v>31</v>
      </c>
      <c r="S323" s="2">
        <f ca="1">SUM(OFFSET(Table157810[[#Headers],[Days in month]],1,0):Table157810[[#This Row],[Days in month]])</f>
        <v>9340</v>
      </c>
      <c r="T323" s="37">
        <f>InterestRate*AmortizationMultiplier*IF(ISNUMBER(SEARCH("Actual",$C$7)),Table157810[[#This Row],[Days in month]]/365,1/12)</f>
        <v>5.9839472222222214E-3</v>
      </c>
    </row>
    <row r="324" spans="2:20" x14ac:dyDescent="0.2">
      <c r="B324" s="1">
        <f t="shared" si="14"/>
        <v>55212</v>
      </c>
      <c r="C324" s="2">
        <f t="shared" si="16"/>
        <v>308</v>
      </c>
      <c r="D324" s="3">
        <f t="shared" si="15"/>
        <v>0</v>
      </c>
      <c r="E324" s="3">
        <f>ROUND(Table157810[[#This Row],[Beginning Balance]]*Table157810[[#This Row],[Monthly Interest Rate]],2)</f>
        <v>0</v>
      </c>
      <c r="F324" s="3">
        <f t="shared" si="17"/>
        <v>534</v>
      </c>
      <c r="G324" s="23">
        <f>IFERROR(IF($C$13="No","N/A",IF(Table157810[[#This Row],[Period]]=1,$C$6,PMT(InterestRate*AmortizationMultiplier/12,Table157810[[#This Row],[Am Thru]],-Table157810[[#This Row],[Beginning Balance]]))),0)</f>
        <v>0</v>
      </c>
      <c r="H324" s="3">
        <f>MAX(0,IF(C324=$C$4,D324,ROUND(IF($C$3="Fixed Principal",$C$6-Table157810[[#This Row],[Interest]],IF($C$3="Interest Only",Table157810[[#This Row],[Beginning Balance]]*ROUND(1-(1-IF($C$11="No",$E$8,1))^(1/12),6),MIN(IF($C$13="Yes",Table157810[[#This Row],[Payment Amount (Reamortized)]],$C$6)-Table157810[[#This Row],[Interest]],Table157810[[#This Row],[Beginning Balance]]))),2)))</f>
        <v>0</v>
      </c>
      <c r="I324" s="3">
        <f>_xlfn.SINGLE(IF($C$3="Line of Credit",0,ROUND(MAX(MIN(IF($C$10="No",$E$7,VLOOKUP(Table157810[[#This Row],[Period]],Forecast!$H$2:$L$1048576,4,FALSE))*Table157810[[#This Row],[Beginning Balance]],Table157810[[#This Row],[Beginning Balance]]-Table157810[[#This Row],[Principal]]),0),2)))</f>
        <v>0</v>
      </c>
      <c r="J324" s="3">
        <f>ROUND(MIN(Table157810[[#This Row],[Beginning Balance]]*IF($C$8="No",$E$3,VLOOKUP(Table157810[[#This Row],[Period]],Forecast!$H$2:$L$1048576,2,FALSE)),Table157810[[#This Row],[Beginning Balance]]-Table157810[[#This Row],[Principal]]-Table157810[[#This Row],[Prepayments]]),2)</f>
        <v>0</v>
      </c>
      <c r="K324" s="3">
        <f>ROUND(Table157810[[#This Row],[Defaulted Principal]]*IF($C$9="No",$E$4,VLOOKUP(Table157810[[#This Row],[Period]],Forecast!$H$2:$L$1048576,3,FALSE)),2)</f>
        <v>0</v>
      </c>
      <c r="L324" s="2">
        <f>Table157810[[#This Row],[Period]]+$E$9</f>
        <v>320</v>
      </c>
      <c r="M324" s="3">
        <f>Table157810[[#This Row],[Defaulted Principal]]-Table157810[[#This Row],[Estimated Loss]]</f>
        <v>0</v>
      </c>
      <c r="N324" s="3">
        <f>IFERROR(VLOOKUP(Table157810[[#This Row],[Period]],$L$16:$M$385,2,FALSE),0)</f>
        <v>0</v>
      </c>
      <c r="O324" s="3">
        <f>Table157810[[#This Row],[Beginning Balance]]-Table157810[[#This Row],[Principal]]-Table157810[[#This Row],[Prepayments]]-Table157810[[#This Row],[Defaulted Principal]]</f>
        <v>0</v>
      </c>
      <c r="P324" s="3">
        <f>Table157810[[#This Row],[Principal]]+Table157810[[#This Row],[Interest]]+Table157810[[#This Row],[Prepayments]]+Table157810[[#This Row],[RecoveredAmount]]</f>
        <v>0</v>
      </c>
      <c r="Q324" s="3">
        <f ca="1">ROUND(Table157810[[#This Row],[Cash Flow]]/((1+ActualRateToUse)^(IF(ISNUMBER(SEARCH("Actual",$C$7)),Table157810[[#This Row],[Running Total]]/365,Table157810[[#This Row],[Period]]/12))),2)</f>
        <v>0</v>
      </c>
      <c r="R324" s="2">
        <f>IF(MONTH(Table157810[[#This Row],[Date]])=2,28,DAY(DATE(YEAR(Table157810[[#This Row],[Date]]),MONTH(Table157810[[#This Row],[Date]])+1,1)-1))</f>
        <v>28</v>
      </c>
      <c r="S324" s="2">
        <f ca="1">SUM(OFFSET(Table157810[[#Headers],[Days in month]],1,0):Table157810[[#This Row],[Days in month]])</f>
        <v>9368</v>
      </c>
      <c r="T324" s="37">
        <f>InterestRate*AmortizationMultiplier*IF(ISNUMBER(SEARCH("Actual",$C$7)),Table157810[[#This Row],[Days in month]]/365,1/12)</f>
        <v>5.4048555555555548E-3</v>
      </c>
    </row>
    <row r="325" spans="2:20" x14ac:dyDescent="0.2">
      <c r="B325" s="1">
        <f t="shared" si="14"/>
        <v>55243</v>
      </c>
      <c r="C325" s="2">
        <f t="shared" si="16"/>
        <v>309</v>
      </c>
      <c r="D325" s="3">
        <f t="shared" si="15"/>
        <v>0</v>
      </c>
      <c r="E325" s="3">
        <f>ROUND(Table157810[[#This Row],[Beginning Balance]]*Table157810[[#This Row],[Monthly Interest Rate]],2)</f>
        <v>0</v>
      </c>
      <c r="F325" s="3">
        <f t="shared" si="17"/>
        <v>533</v>
      </c>
      <c r="G325" s="23">
        <f>IFERROR(IF($C$13="No","N/A",IF(Table157810[[#This Row],[Period]]=1,$C$6,PMT(InterestRate*AmortizationMultiplier/12,Table157810[[#This Row],[Am Thru]],-Table157810[[#This Row],[Beginning Balance]]))),0)</f>
        <v>0</v>
      </c>
      <c r="H325" s="3">
        <f>MAX(0,IF(C325=$C$4,D325,ROUND(IF($C$3="Fixed Principal",$C$6-Table157810[[#This Row],[Interest]],IF($C$3="Interest Only",Table157810[[#This Row],[Beginning Balance]]*ROUND(1-(1-IF($C$11="No",$E$8,1))^(1/12),6),MIN(IF($C$13="Yes",Table157810[[#This Row],[Payment Amount (Reamortized)]],$C$6)-Table157810[[#This Row],[Interest]],Table157810[[#This Row],[Beginning Balance]]))),2)))</f>
        <v>0</v>
      </c>
      <c r="I325" s="3">
        <f>_xlfn.SINGLE(IF($C$3="Line of Credit",0,ROUND(MAX(MIN(IF($C$10="No",$E$7,VLOOKUP(Table157810[[#This Row],[Period]],Forecast!$H$2:$L$1048576,4,FALSE))*Table157810[[#This Row],[Beginning Balance]],Table157810[[#This Row],[Beginning Balance]]-Table157810[[#This Row],[Principal]]),0),2)))</f>
        <v>0</v>
      </c>
      <c r="J325" s="3">
        <f>ROUND(MIN(Table157810[[#This Row],[Beginning Balance]]*IF($C$8="No",$E$3,VLOOKUP(Table157810[[#This Row],[Period]],Forecast!$H$2:$L$1048576,2,FALSE)),Table157810[[#This Row],[Beginning Balance]]-Table157810[[#This Row],[Principal]]-Table157810[[#This Row],[Prepayments]]),2)</f>
        <v>0</v>
      </c>
      <c r="K325" s="3">
        <f>ROUND(Table157810[[#This Row],[Defaulted Principal]]*IF($C$9="No",$E$4,VLOOKUP(Table157810[[#This Row],[Period]],Forecast!$H$2:$L$1048576,3,FALSE)),2)</f>
        <v>0</v>
      </c>
      <c r="L325" s="2">
        <f>Table157810[[#This Row],[Period]]+$E$9</f>
        <v>321</v>
      </c>
      <c r="M325" s="3">
        <f>Table157810[[#This Row],[Defaulted Principal]]-Table157810[[#This Row],[Estimated Loss]]</f>
        <v>0</v>
      </c>
      <c r="N325" s="3">
        <f>IFERROR(VLOOKUP(Table157810[[#This Row],[Period]],$L$16:$M$385,2,FALSE),0)</f>
        <v>0</v>
      </c>
      <c r="O325" s="3">
        <f>Table157810[[#This Row],[Beginning Balance]]-Table157810[[#This Row],[Principal]]-Table157810[[#This Row],[Prepayments]]-Table157810[[#This Row],[Defaulted Principal]]</f>
        <v>0</v>
      </c>
      <c r="P325" s="3">
        <f>Table157810[[#This Row],[Principal]]+Table157810[[#This Row],[Interest]]+Table157810[[#This Row],[Prepayments]]+Table157810[[#This Row],[RecoveredAmount]]</f>
        <v>0</v>
      </c>
      <c r="Q325" s="3">
        <f ca="1">ROUND(Table157810[[#This Row],[Cash Flow]]/((1+ActualRateToUse)^(IF(ISNUMBER(SEARCH("Actual",$C$7)),Table157810[[#This Row],[Running Total]]/365,Table157810[[#This Row],[Period]]/12))),2)</f>
        <v>0</v>
      </c>
      <c r="R325" s="2">
        <f>IF(MONTH(Table157810[[#This Row],[Date]])=2,28,DAY(DATE(YEAR(Table157810[[#This Row],[Date]]),MONTH(Table157810[[#This Row],[Date]])+1,1)-1))</f>
        <v>31</v>
      </c>
      <c r="S325" s="2">
        <f ca="1">SUM(OFFSET(Table157810[[#Headers],[Days in month]],1,0):Table157810[[#This Row],[Days in month]])</f>
        <v>9399</v>
      </c>
      <c r="T325" s="37">
        <f>InterestRate*AmortizationMultiplier*IF(ISNUMBER(SEARCH("Actual",$C$7)),Table157810[[#This Row],[Days in month]]/365,1/12)</f>
        <v>5.9839472222222214E-3</v>
      </c>
    </row>
    <row r="326" spans="2:20" x14ac:dyDescent="0.2">
      <c r="B326" s="1">
        <f t="shared" si="14"/>
        <v>55273</v>
      </c>
      <c r="C326" s="2">
        <f t="shared" si="16"/>
        <v>310</v>
      </c>
      <c r="D326" s="3">
        <f t="shared" si="15"/>
        <v>0</v>
      </c>
      <c r="E326" s="3">
        <f>ROUND(Table157810[[#This Row],[Beginning Balance]]*Table157810[[#This Row],[Monthly Interest Rate]],2)</f>
        <v>0</v>
      </c>
      <c r="F326" s="3">
        <f t="shared" si="17"/>
        <v>532</v>
      </c>
      <c r="G326" s="23">
        <f>IFERROR(IF($C$13="No","N/A",IF(Table157810[[#This Row],[Period]]=1,$C$6,PMT(InterestRate*AmortizationMultiplier/12,Table157810[[#This Row],[Am Thru]],-Table157810[[#This Row],[Beginning Balance]]))),0)</f>
        <v>0</v>
      </c>
      <c r="H326" s="3">
        <f>MAX(0,IF(C326=$C$4,D326,ROUND(IF($C$3="Fixed Principal",$C$6-Table157810[[#This Row],[Interest]],IF($C$3="Interest Only",Table157810[[#This Row],[Beginning Balance]]*ROUND(1-(1-IF($C$11="No",$E$8,1))^(1/12),6),MIN(IF($C$13="Yes",Table157810[[#This Row],[Payment Amount (Reamortized)]],$C$6)-Table157810[[#This Row],[Interest]],Table157810[[#This Row],[Beginning Balance]]))),2)))</f>
        <v>0</v>
      </c>
      <c r="I326" s="3">
        <f>_xlfn.SINGLE(IF($C$3="Line of Credit",0,ROUND(MAX(MIN(IF($C$10="No",$E$7,VLOOKUP(Table157810[[#This Row],[Period]],Forecast!$H$2:$L$1048576,4,FALSE))*Table157810[[#This Row],[Beginning Balance]],Table157810[[#This Row],[Beginning Balance]]-Table157810[[#This Row],[Principal]]),0),2)))</f>
        <v>0</v>
      </c>
      <c r="J326" s="3">
        <f>ROUND(MIN(Table157810[[#This Row],[Beginning Balance]]*IF($C$8="No",$E$3,VLOOKUP(Table157810[[#This Row],[Period]],Forecast!$H$2:$L$1048576,2,FALSE)),Table157810[[#This Row],[Beginning Balance]]-Table157810[[#This Row],[Principal]]-Table157810[[#This Row],[Prepayments]]),2)</f>
        <v>0</v>
      </c>
      <c r="K326" s="3">
        <f>ROUND(Table157810[[#This Row],[Defaulted Principal]]*IF($C$9="No",$E$4,VLOOKUP(Table157810[[#This Row],[Period]],Forecast!$H$2:$L$1048576,3,FALSE)),2)</f>
        <v>0</v>
      </c>
      <c r="L326" s="2">
        <f>Table157810[[#This Row],[Period]]+$E$9</f>
        <v>322</v>
      </c>
      <c r="M326" s="3">
        <f>Table157810[[#This Row],[Defaulted Principal]]-Table157810[[#This Row],[Estimated Loss]]</f>
        <v>0</v>
      </c>
      <c r="N326" s="3">
        <f>IFERROR(VLOOKUP(Table157810[[#This Row],[Period]],$L$16:$M$385,2,FALSE),0)</f>
        <v>0</v>
      </c>
      <c r="O326" s="3">
        <f>Table157810[[#This Row],[Beginning Balance]]-Table157810[[#This Row],[Principal]]-Table157810[[#This Row],[Prepayments]]-Table157810[[#This Row],[Defaulted Principal]]</f>
        <v>0</v>
      </c>
      <c r="P326" s="3">
        <f>Table157810[[#This Row],[Principal]]+Table157810[[#This Row],[Interest]]+Table157810[[#This Row],[Prepayments]]+Table157810[[#This Row],[RecoveredAmount]]</f>
        <v>0</v>
      </c>
      <c r="Q326" s="3">
        <f ca="1">ROUND(Table157810[[#This Row],[Cash Flow]]/((1+ActualRateToUse)^(IF(ISNUMBER(SEARCH("Actual",$C$7)),Table157810[[#This Row],[Running Total]]/365,Table157810[[#This Row],[Period]]/12))),2)</f>
        <v>0</v>
      </c>
      <c r="R326" s="2">
        <f>IF(MONTH(Table157810[[#This Row],[Date]])=2,28,DAY(DATE(YEAR(Table157810[[#This Row],[Date]]),MONTH(Table157810[[#This Row],[Date]])+1,1)-1))</f>
        <v>30</v>
      </c>
      <c r="S326" s="2">
        <f ca="1">SUM(OFFSET(Table157810[[#Headers],[Days in month]],1,0):Table157810[[#This Row],[Days in month]])</f>
        <v>9429</v>
      </c>
      <c r="T326" s="37">
        <f>InterestRate*AmortizationMultiplier*IF(ISNUMBER(SEARCH("Actual",$C$7)),Table157810[[#This Row],[Days in month]]/365,1/12)</f>
        <v>5.7909166666666656E-3</v>
      </c>
    </row>
    <row r="327" spans="2:20" x14ac:dyDescent="0.2">
      <c r="B327" s="1">
        <f t="shared" si="14"/>
        <v>55304</v>
      </c>
      <c r="C327" s="2">
        <f t="shared" si="16"/>
        <v>311</v>
      </c>
      <c r="D327" s="3">
        <f t="shared" si="15"/>
        <v>0</v>
      </c>
      <c r="E327" s="3">
        <f>ROUND(Table157810[[#This Row],[Beginning Balance]]*Table157810[[#This Row],[Monthly Interest Rate]],2)</f>
        <v>0</v>
      </c>
      <c r="F327" s="3">
        <f t="shared" si="17"/>
        <v>531</v>
      </c>
      <c r="G327" s="23">
        <f>IFERROR(IF($C$13="No","N/A",IF(Table157810[[#This Row],[Period]]=1,$C$6,PMT(InterestRate*AmortizationMultiplier/12,Table157810[[#This Row],[Am Thru]],-Table157810[[#This Row],[Beginning Balance]]))),0)</f>
        <v>0</v>
      </c>
      <c r="H327" s="3">
        <f>MAX(0,IF(C327=$C$4,D327,ROUND(IF($C$3="Fixed Principal",$C$6-Table157810[[#This Row],[Interest]],IF($C$3="Interest Only",Table157810[[#This Row],[Beginning Balance]]*ROUND(1-(1-IF($C$11="No",$E$8,1))^(1/12),6),MIN(IF($C$13="Yes",Table157810[[#This Row],[Payment Amount (Reamortized)]],$C$6)-Table157810[[#This Row],[Interest]],Table157810[[#This Row],[Beginning Balance]]))),2)))</f>
        <v>0</v>
      </c>
      <c r="I327" s="3">
        <f>_xlfn.SINGLE(IF($C$3="Line of Credit",0,ROUND(MAX(MIN(IF($C$10="No",$E$7,VLOOKUP(Table157810[[#This Row],[Period]],Forecast!$H$2:$L$1048576,4,FALSE))*Table157810[[#This Row],[Beginning Balance]],Table157810[[#This Row],[Beginning Balance]]-Table157810[[#This Row],[Principal]]),0),2)))</f>
        <v>0</v>
      </c>
      <c r="J327" s="3">
        <f>ROUND(MIN(Table157810[[#This Row],[Beginning Balance]]*IF($C$8="No",$E$3,VLOOKUP(Table157810[[#This Row],[Period]],Forecast!$H$2:$L$1048576,2,FALSE)),Table157810[[#This Row],[Beginning Balance]]-Table157810[[#This Row],[Principal]]-Table157810[[#This Row],[Prepayments]]),2)</f>
        <v>0</v>
      </c>
      <c r="K327" s="3">
        <f>ROUND(Table157810[[#This Row],[Defaulted Principal]]*IF($C$9="No",$E$4,VLOOKUP(Table157810[[#This Row],[Period]],Forecast!$H$2:$L$1048576,3,FALSE)),2)</f>
        <v>0</v>
      </c>
      <c r="L327" s="2">
        <f>Table157810[[#This Row],[Period]]+$E$9</f>
        <v>323</v>
      </c>
      <c r="M327" s="3">
        <f>Table157810[[#This Row],[Defaulted Principal]]-Table157810[[#This Row],[Estimated Loss]]</f>
        <v>0</v>
      </c>
      <c r="N327" s="3">
        <f>IFERROR(VLOOKUP(Table157810[[#This Row],[Period]],$L$16:$M$385,2,FALSE),0)</f>
        <v>0</v>
      </c>
      <c r="O327" s="3">
        <f>Table157810[[#This Row],[Beginning Balance]]-Table157810[[#This Row],[Principal]]-Table157810[[#This Row],[Prepayments]]-Table157810[[#This Row],[Defaulted Principal]]</f>
        <v>0</v>
      </c>
      <c r="P327" s="3">
        <f>Table157810[[#This Row],[Principal]]+Table157810[[#This Row],[Interest]]+Table157810[[#This Row],[Prepayments]]+Table157810[[#This Row],[RecoveredAmount]]</f>
        <v>0</v>
      </c>
      <c r="Q327" s="3">
        <f ca="1">ROUND(Table157810[[#This Row],[Cash Flow]]/((1+ActualRateToUse)^(IF(ISNUMBER(SEARCH("Actual",$C$7)),Table157810[[#This Row],[Running Total]]/365,Table157810[[#This Row],[Period]]/12))),2)</f>
        <v>0</v>
      </c>
      <c r="R327" s="2">
        <f>IF(MONTH(Table157810[[#This Row],[Date]])=2,28,DAY(DATE(YEAR(Table157810[[#This Row],[Date]]),MONTH(Table157810[[#This Row],[Date]])+1,1)-1))</f>
        <v>31</v>
      </c>
      <c r="S327" s="2">
        <f ca="1">SUM(OFFSET(Table157810[[#Headers],[Days in month]],1,0):Table157810[[#This Row],[Days in month]])</f>
        <v>9460</v>
      </c>
      <c r="T327" s="37">
        <f>InterestRate*AmortizationMultiplier*IF(ISNUMBER(SEARCH("Actual",$C$7)),Table157810[[#This Row],[Days in month]]/365,1/12)</f>
        <v>5.9839472222222214E-3</v>
      </c>
    </row>
    <row r="328" spans="2:20" x14ac:dyDescent="0.2">
      <c r="B328" s="1">
        <f t="shared" si="14"/>
        <v>55334</v>
      </c>
      <c r="C328" s="2">
        <f t="shared" si="16"/>
        <v>312</v>
      </c>
      <c r="D328" s="3">
        <f t="shared" si="15"/>
        <v>0</v>
      </c>
      <c r="E328" s="3">
        <f>ROUND(Table157810[[#This Row],[Beginning Balance]]*Table157810[[#This Row],[Monthly Interest Rate]],2)</f>
        <v>0</v>
      </c>
      <c r="F328" s="3">
        <f t="shared" si="17"/>
        <v>530</v>
      </c>
      <c r="G328" s="23">
        <f>IFERROR(IF($C$13="No","N/A",IF(Table157810[[#This Row],[Period]]=1,$C$6,PMT(InterestRate*AmortizationMultiplier/12,Table157810[[#This Row],[Am Thru]],-Table157810[[#This Row],[Beginning Balance]]))),0)</f>
        <v>0</v>
      </c>
      <c r="H328" s="3">
        <f>MAX(0,IF(C328=$C$4,D328,ROUND(IF($C$3="Fixed Principal",$C$6-Table157810[[#This Row],[Interest]],IF($C$3="Interest Only",Table157810[[#This Row],[Beginning Balance]]*ROUND(1-(1-IF($C$11="No",$E$8,1))^(1/12),6),MIN(IF($C$13="Yes",Table157810[[#This Row],[Payment Amount (Reamortized)]],$C$6)-Table157810[[#This Row],[Interest]],Table157810[[#This Row],[Beginning Balance]]))),2)))</f>
        <v>0</v>
      </c>
      <c r="I328" s="3">
        <f>_xlfn.SINGLE(IF($C$3="Line of Credit",0,ROUND(MAX(MIN(IF($C$10="No",$E$7,VLOOKUP(Table157810[[#This Row],[Period]],Forecast!$H$2:$L$1048576,4,FALSE))*Table157810[[#This Row],[Beginning Balance]],Table157810[[#This Row],[Beginning Balance]]-Table157810[[#This Row],[Principal]]),0),2)))</f>
        <v>0</v>
      </c>
      <c r="J328" s="3">
        <f>ROUND(MIN(Table157810[[#This Row],[Beginning Balance]]*IF($C$8="No",$E$3,VLOOKUP(Table157810[[#This Row],[Period]],Forecast!$H$2:$L$1048576,2,FALSE)),Table157810[[#This Row],[Beginning Balance]]-Table157810[[#This Row],[Principal]]-Table157810[[#This Row],[Prepayments]]),2)</f>
        <v>0</v>
      </c>
      <c r="K328" s="3">
        <f>ROUND(Table157810[[#This Row],[Defaulted Principal]]*IF($C$9="No",$E$4,VLOOKUP(Table157810[[#This Row],[Period]],Forecast!$H$2:$L$1048576,3,FALSE)),2)</f>
        <v>0</v>
      </c>
      <c r="L328" s="2">
        <f>Table157810[[#This Row],[Period]]+$E$9</f>
        <v>324</v>
      </c>
      <c r="M328" s="3">
        <f>Table157810[[#This Row],[Defaulted Principal]]-Table157810[[#This Row],[Estimated Loss]]</f>
        <v>0</v>
      </c>
      <c r="N328" s="3">
        <f>IFERROR(VLOOKUP(Table157810[[#This Row],[Period]],$L$16:$M$385,2,FALSE),0)</f>
        <v>0</v>
      </c>
      <c r="O328" s="3">
        <f>Table157810[[#This Row],[Beginning Balance]]-Table157810[[#This Row],[Principal]]-Table157810[[#This Row],[Prepayments]]-Table157810[[#This Row],[Defaulted Principal]]</f>
        <v>0</v>
      </c>
      <c r="P328" s="3">
        <f>Table157810[[#This Row],[Principal]]+Table157810[[#This Row],[Interest]]+Table157810[[#This Row],[Prepayments]]+Table157810[[#This Row],[RecoveredAmount]]</f>
        <v>0</v>
      </c>
      <c r="Q328" s="3">
        <f ca="1">ROUND(Table157810[[#This Row],[Cash Flow]]/((1+ActualRateToUse)^(IF(ISNUMBER(SEARCH("Actual",$C$7)),Table157810[[#This Row],[Running Total]]/365,Table157810[[#This Row],[Period]]/12))),2)</f>
        <v>0</v>
      </c>
      <c r="R328" s="2">
        <f>IF(MONTH(Table157810[[#This Row],[Date]])=2,28,DAY(DATE(YEAR(Table157810[[#This Row],[Date]]),MONTH(Table157810[[#This Row],[Date]])+1,1)-1))</f>
        <v>30</v>
      </c>
      <c r="S328" s="2">
        <f ca="1">SUM(OFFSET(Table157810[[#Headers],[Days in month]],1,0):Table157810[[#This Row],[Days in month]])</f>
        <v>9490</v>
      </c>
      <c r="T328" s="37">
        <f>InterestRate*AmortizationMultiplier*IF(ISNUMBER(SEARCH("Actual",$C$7)),Table157810[[#This Row],[Days in month]]/365,1/12)</f>
        <v>5.7909166666666656E-3</v>
      </c>
    </row>
    <row r="329" spans="2:20" x14ac:dyDescent="0.2">
      <c r="B329" s="1">
        <f t="shared" si="14"/>
        <v>55365</v>
      </c>
      <c r="C329" s="2">
        <f t="shared" si="16"/>
        <v>313</v>
      </c>
      <c r="D329" s="3">
        <f t="shared" si="15"/>
        <v>0</v>
      </c>
      <c r="E329" s="3">
        <f>ROUND(Table157810[[#This Row],[Beginning Balance]]*Table157810[[#This Row],[Monthly Interest Rate]],2)</f>
        <v>0</v>
      </c>
      <c r="F329" s="3">
        <f t="shared" si="17"/>
        <v>529</v>
      </c>
      <c r="G329" s="23">
        <f>IFERROR(IF($C$13="No","N/A",IF(Table157810[[#This Row],[Period]]=1,$C$6,PMT(InterestRate*AmortizationMultiplier/12,Table157810[[#This Row],[Am Thru]],-Table157810[[#This Row],[Beginning Balance]]))),0)</f>
        <v>0</v>
      </c>
      <c r="H329" s="3">
        <f>MAX(0,IF(C329=$C$4,D329,ROUND(IF($C$3="Fixed Principal",$C$6-Table157810[[#This Row],[Interest]],IF($C$3="Interest Only",Table157810[[#This Row],[Beginning Balance]]*ROUND(1-(1-IF($C$11="No",$E$8,1))^(1/12),6),MIN(IF($C$13="Yes",Table157810[[#This Row],[Payment Amount (Reamortized)]],$C$6)-Table157810[[#This Row],[Interest]],Table157810[[#This Row],[Beginning Balance]]))),2)))</f>
        <v>0</v>
      </c>
      <c r="I329" s="3">
        <f>_xlfn.SINGLE(IF($C$3="Line of Credit",0,ROUND(MAX(MIN(IF($C$10="No",$E$7,VLOOKUP(Table157810[[#This Row],[Period]],Forecast!$H$2:$L$1048576,4,FALSE))*Table157810[[#This Row],[Beginning Balance]],Table157810[[#This Row],[Beginning Balance]]-Table157810[[#This Row],[Principal]]),0),2)))</f>
        <v>0</v>
      </c>
      <c r="J329" s="3">
        <f>ROUND(MIN(Table157810[[#This Row],[Beginning Balance]]*IF($C$8="No",$E$3,VLOOKUP(Table157810[[#This Row],[Period]],Forecast!$H$2:$L$1048576,2,FALSE)),Table157810[[#This Row],[Beginning Balance]]-Table157810[[#This Row],[Principal]]-Table157810[[#This Row],[Prepayments]]),2)</f>
        <v>0</v>
      </c>
      <c r="K329" s="3">
        <f>ROUND(Table157810[[#This Row],[Defaulted Principal]]*IF($C$9="No",$E$4,VLOOKUP(Table157810[[#This Row],[Period]],Forecast!$H$2:$L$1048576,3,FALSE)),2)</f>
        <v>0</v>
      </c>
      <c r="L329" s="2">
        <f>Table157810[[#This Row],[Period]]+$E$9</f>
        <v>325</v>
      </c>
      <c r="M329" s="3">
        <f>Table157810[[#This Row],[Defaulted Principal]]-Table157810[[#This Row],[Estimated Loss]]</f>
        <v>0</v>
      </c>
      <c r="N329" s="3">
        <f>IFERROR(VLOOKUP(Table157810[[#This Row],[Period]],$L$16:$M$385,2,FALSE),0)</f>
        <v>0</v>
      </c>
      <c r="O329" s="3">
        <f>Table157810[[#This Row],[Beginning Balance]]-Table157810[[#This Row],[Principal]]-Table157810[[#This Row],[Prepayments]]-Table157810[[#This Row],[Defaulted Principal]]</f>
        <v>0</v>
      </c>
      <c r="P329" s="3">
        <f>Table157810[[#This Row],[Principal]]+Table157810[[#This Row],[Interest]]+Table157810[[#This Row],[Prepayments]]+Table157810[[#This Row],[RecoveredAmount]]</f>
        <v>0</v>
      </c>
      <c r="Q329" s="3">
        <f ca="1">ROUND(Table157810[[#This Row],[Cash Flow]]/((1+ActualRateToUse)^(IF(ISNUMBER(SEARCH("Actual",$C$7)),Table157810[[#This Row],[Running Total]]/365,Table157810[[#This Row],[Period]]/12))),2)</f>
        <v>0</v>
      </c>
      <c r="R329" s="2">
        <f>IF(MONTH(Table157810[[#This Row],[Date]])=2,28,DAY(DATE(YEAR(Table157810[[#This Row],[Date]]),MONTH(Table157810[[#This Row],[Date]])+1,1)-1))</f>
        <v>31</v>
      </c>
      <c r="S329" s="2">
        <f ca="1">SUM(OFFSET(Table157810[[#Headers],[Days in month]],1,0):Table157810[[#This Row],[Days in month]])</f>
        <v>9521</v>
      </c>
      <c r="T329" s="37">
        <f>InterestRate*AmortizationMultiplier*IF(ISNUMBER(SEARCH("Actual",$C$7)),Table157810[[#This Row],[Days in month]]/365,1/12)</f>
        <v>5.9839472222222214E-3</v>
      </c>
    </row>
    <row r="330" spans="2:20" x14ac:dyDescent="0.2">
      <c r="B330" s="1">
        <f t="shared" si="14"/>
        <v>55396</v>
      </c>
      <c r="C330" s="2">
        <f t="shared" si="16"/>
        <v>314</v>
      </c>
      <c r="D330" s="3">
        <f t="shared" si="15"/>
        <v>0</v>
      </c>
      <c r="E330" s="3">
        <f>ROUND(Table157810[[#This Row],[Beginning Balance]]*Table157810[[#This Row],[Monthly Interest Rate]],2)</f>
        <v>0</v>
      </c>
      <c r="F330" s="3">
        <f t="shared" si="17"/>
        <v>528</v>
      </c>
      <c r="G330" s="23">
        <f>IFERROR(IF($C$13="No","N/A",IF(Table157810[[#This Row],[Period]]=1,$C$6,PMT(InterestRate*AmortizationMultiplier/12,Table157810[[#This Row],[Am Thru]],-Table157810[[#This Row],[Beginning Balance]]))),0)</f>
        <v>0</v>
      </c>
      <c r="H330" s="3">
        <f>MAX(0,IF(C330=$C$4,D330,ROUND(IF($C$3="Fixed Principal",$C$6-Table157810[[#This Row],[Interest]],IF($C$3="Interest Only",Table157810[[#This Row],[Beginning Balance]]*ROUND(1-(1-IF($C$11="No",$E$8,1))^(1/12),6),MIN(IF($C$13="Yes",Table157810[[#This Row],[Payment Amount (Reamortized)]],$C$6)-Table157810[[#This Row],[Interest]],Table157810[[#This Row],[Beginning Balance]]))),2)))</f>
        <v>0</v>
      </c>
      <c r="I330" s="3">
        <f>_xlfn.SINGLE(IF($C$3="Line of Credit",0,ROUND(MAX(MIN(IF($C$10="No",$E$7,VLOOKUP(Table157810[[#This Row],[Period]],Forecast!$H$2:$L$1048576,4,FALSE))*Table157810[[#This Row],[Beginning Balance]],Table157810[[#This Row],[Beginning Balance]]-Table157810[[#This Row],[Principal]]),0),2)))</f>
        <v>0</v>
      </c>
      <c r="J330" s="3">
        <f>ROUND(MIN(Table157810[[#This Row],[Beginning Balance]]*IF($C$8="No",$E$3,VLOOKUP(Table157810[[#This Row],[Period]],Forecast!$H$2:$L$1048576,2,FALSE)),Table157810[[#This Row],[Beginning Balance]]-Table157810[[#This Row],[Principal]]-Table157810[[#This Row],[Prepayments]]),2)</f>
        <v>0</v>
      </c>
      <c r="K330" s="3">
        <f>ROUND(Table157810[[#This Row],[Defaulted Principal]]*IF($C$9="No",$E$4,VLOOKUP(Table157810[[#This Row],[Period]],Forecast!$H$2:$L$1048576,3,FALSE)),2)</f>
        <v>0</v>
      </c>
      <c r="L330" s="2">
        <f>Table157810[[#This Row],[Period]]+$E$9</f>
        <v>326</v>
      </c>
      <c r="M330" s="3">
        <f>Table157810[[#This Row],[Defaulted Principal]]-Table157810[[#This Row],[Estimated Loss]]</f>
        <v>0</v>
      </c>
      <c r="N330" s="3">
        <f>IFERROR(VLOOKUP(Table157810[[#This Row],[Period]],$L$16:$M$385,2,FALSE),0)</f>
        <v>0</v>
      </c>
      <c r="O330" s="3">
        <f>Table157810[[#This Row],[Beginning Balance]]-Table157810[[#This Row],[Principal]]-Table157810[[#This Row],[Prepayments]]-Table157810[[#This Row],[Defaulted Principal]]</f>
        <v>0</v>
      </c>
      <c r="P330" s="3">
        <f>Table157810[[#This Row],[Principal]]+Table157810[[#This Row],[Interest]]+Table157810[[#This Row],[Prepayments]]+Table157810[[#This Row],[RecoveredAmount]]</f>
        <v>0</v>
      </c>
      <c r="Q330" s="3">
        <f ca="1">ROUND(Table157810[[#This Row],[Cash Flow]]/((1+ActualRateToUse)^(IF(ISNUMBER(SEARCH("Actual",$C$7)),Table157810[[#This Row],[Running Total]]/365,Table157810[[#This Row],[Period]]/12))),2)</f>
        <v>0</v>
      </c>
      <c r="R330" s="2">
        <f>IF(MONTH(Table157810[[#This Row],[Date]])=2,28,DAY(DATE(YEAR(Table157810[[#This Row],[Date]]),MONTH(Table157810[[#This Row],[Date]])+1,1)-1))</f>
        <v>31</v>
      </c>
      <c r="S330" s="2">
        <f ca="1">SUM(OFFSET(Table157810[[#Headers],[Days in month]],1,0):Table157810[[#This Row],[Days in month]])</f>
        <v>9552</v>
      </c>
      <c r="T330" s="37">
        <f>InterestRate*AmortizationMultiplier*IF(ISNUMBER(SEARCH("Actual",$C$7)),Table157810[[#This Row],[Days in month]]/365,1/12)</f>
        <v>5.9839472222222214E-3</v>
      </c>
    </row>
    <row r="331" spans="2:20" x14ac:dyDescent="0.2">
      <c r="B331" s="1">
        <f t="shared" ref="B331:B385" si="18">EOMONTH(B330,1)</f>
        <v>55426</v>
      </c>
      <c r="C331" s="2">
        <f t="shared" si="16"/>
        <v>315</v>
      </c>
      <c r="D331" s="3">
        <f t="shared" si="15"/>
        <v>0</v>
      </c>
      <c r="E331" s="3">
        <f>ROUND(Table157810[[#This Row],[Beginning Balance]]*Table157810[[#This Row],[Monthly Interest Rate]],2)</f>
        <v>0</v>
      </c>
      <c r="F331" s="3">
        <f t="shared" si="17"/>
        <v>527</v>
      </c>
      <c r="G331" s="23">
        <f>IFERROR(IF($C$13="No","N/A",IF(Table157810[[#This Row],[Period]]=1,$C$6,PMT(InterestRate*AmortizationMultiplier/12,Table157810[[#This Row],[Am Thru]],-Table157810[[#This Row],[Beginning Balance]]))),0)</f>
        <v>0</v>
      </c>
      <c r="H331" s="3">
        <f>MAX(0,IF(C331=$C$4,D331,ROUND(IF($C$3="Fixed Principal",$C$6-Table157810[[#This Row],[Interest]],IF($C$3="Interest Only",Table157810[[#This Row],[Beginning Balance]]*ROUND(1-(1-IF($C$11="No",$E$8,1))^(1/12),6),MIN(IF($C$13="Yes",Table157810[[#This Row],[Payment Amount (Reamortized)]],$C$6)-Table157810[[#This Row],[Interest]],Table157810[[#This Row],[Beginning Balance]]))),2)))</f>
        <v>0</v>
      </c>
      <c r="I331" s="3">
        <f>_xlfn.SINGLE(IF($C$3="Line of Credit",0,ROUND(MAX(MIN(IF($C$10="No",$E$7,VLOOKUP(Table157810[[#This Row],[Period]],Forecast!$H$2:$L$1048576,4,FALSE))*Table157810[[#This Row],[Beginning Balance]],Table157810[[#This Row],[Beginning Balance]]-Table157810[[#This Row],[Principal]]),0),2)))</f>
        <v>0</v>
      </c>
      <c r="J331" s="3">
        <f>ROUND(MIN(Table157810[[#This Row],[Beginning Balance]]*IF($C$8="No",$E$3,VLOOKUP(Table157810[[#This Row],[Period]],Forecast!$H$2:$L$1048576,2,FALSE)),Table157810[[#This Row],[Beginning Balance]]-Table157810[[#This Row],[Principal]]-Table157810[[#This Row],[Prepayments]]),2)</f>
        <v>0</v>
      </c>
      <c r="K331" s="3">
        <f>ROUND(Table157810[[#This Row],[Defaulted Principal]]*IF($C$9="No",$E$4,VLOOKUP(Table157810[[#This Row],[Period]],Forecast!$H$2:$L$1048576,3,FALSE)),2)</f>
        <v>0</v>
      </c>
      <c r="L331" s="2">
        <f>Table157810[[#This Row],[Period]]+$E$9</f>
        <v>327</v>
      </c>
      <c r="M331" s="3">
        <f>Table157810[[#This Row],[Defaulted Principal]]-Table157810[[#This Row],[Estimated Loss]]</f>
        <v>0</v>
      </c>
      <c r="N331" s="3">
        <f>IFERROR(VLOOKUP(Table157810[[#This Row],[Period]],$L$16:$M$385,2,FALSE),0)</f>
        <v>0</v>
      </c>
      <c r="O331" s="3">
        <f>Table157810[[#This Row],[Beginning Balance]]-Table157810[[#This Row],[Principal]]-Table157810[[#This Row],[Prepayments]]-Table157810[[#This Row],[Defaulted Principal]]</f>
        <v>0</v>
      </c>
      <c r="P331" s="3">
        <f>Table157810[[#This Row],[Principal]]+Table157810[[#This Row],[Interest]]+Table157810[[#This Row],[Prepayments]]+Table157810[[#This Row],[RecoveredAmount]]</f>
        <v>0</v>
      </c>
      <c r="Q331" s="3">
        <f ca="1">ROUND(Table157810[[#This Row],[Cash Flow]]/((1+ActualRateToUse)^(IF(ISNUMBER(SEARCH("Actual",$C$7)),Table157810[[#This Row],[Running Total]]/365,Table157810[[#This Row],[Period]]/12))),2)</f>
        <v>0</v>
      </c>
      <c r="R331" s="2">
        <f>IF(MONTH(Table157810[[#This Row],[Date]])=2,28,DAY(DATE(YEAR(Table157810[[#This Row],[Date]]),MONTH(Table157810[[#This Row],[Date]])+1,1)-1))</f>
        <v>30</v>
      </c>
      <c r="S331" s="2">
        <f ca="1">SUM(OFFSET(Table157810[[#Headers],[Days in month]],1,0):Table157810[[#This Row],[Days in month]])</f>
        <v>9582</v>
      </c>
      <c r="T331" s="37">
        <f>InterestRate*AmortizationMultiplier*IF(ISNUMBER(SEARCH("Actual",$C$7)),Table157810[[#This Row],[Days in month]]/365,1/12)</f>
        <v>5.7909166666666656E-3</v>
      </c>
    </row>
    <row r="332" spans="2:20" x14ac:dyDescent="0.2">
      <c r="B332" s="1">
        <f t="shared" si="18"/>
        <v>55457</v>
      </c>
      <c r="C332" s="2">
        <f t="shared" si="16"/>
        <v>316</v>
      </c>
      <c r="D332" s="3">
        <f t="shared" si="15"/>
        <v>0</v>
      </c>
      <c r="E332" s="3">
        <f>ROUND(Table157810[[#This Row],[Beginning Balance]]*Table157810[[#This Row],[Monthly Interest Rate]],2)</f>
        <v>0</v>
      </c>
      <c r="F332" s="3">
        <f t="shared" si="17"/>
        <v>526</v>
      </c>
      <c r="G332" s="23">
        <f>IFERROR(IF($C$13="No","N/A",IF(Table157810[[#This Row],[Period]]=1,$C$6,PMT(InterestRate*AmortizationMultiplier/12,Table157810[[#This Row],[Am Thru]],-Table157810[[#This Row],[Beginning Balance]]))),0)</f>
        <v>0</v>
      </c>
      <c r="H332" s="3">
        <f>MAX(0,IF(C332=$C$4,D332,ROUND(IF($C$3="Fixed Principal",$C$6-Table157810[[#This Row],[Interest]],IF($C$3="Interest Only",Table157810[[#This Row],[Beginning Balance]]*ROUND(1-(1-IF($C$11="No",$E$8,1))^(1/12),6),MIN(IF($C$13="Yes",Table157810[[#This Row],[Payment Amount (Reamortized)]],$C$6)-Table157810[[#This Row],[Interest]],Table157810[[#This Row],[Beginning Balance]]))),2)))</f>
        <v>0</v>
      </c>
      <c r="I332" s="3">
        <f>_xlfn.SINGLE(IF($C$3="Line of Credit",0,ROUND(MAX(MIN(IF($C$10="No",$E$7,VLOOKUP(Table157810[[#This Row],[Period]],Forecast!$H$2:$L$1048576,4,FALSE))*Table157810[[#This Row],[Beginning Balance]],Table157810[[#This Row],[Beginning Balance]]-Table157810[[#This Row],[Principal]]),0),2)))</f>
        <v>0</v>
      </c>
      <c r="J332" s="3">
        <f>ROUND(MIN(Table157810[[#This Row],[Beginning Balance]]*IF($C$8="No",$E$3,VLOOKUP(Table157810[[#This Row],[Period]],Forecast!$H$2:$L$1048576,2,FALSE)),Table157810[[#This Row],[Beginning Balance]]-Table157810[[#This Row],[Principal]]-Table157810[[#This Row],[Prepayments]]),2)</f>
        <v>0</v>
      </c>
      <c r="K332" s="3">
        <f>ROUND(Table157810[[#This Row],[Defaulted Principal]]*IF($C$9="No",$E$4,VLOOKUP(Table157810[[#This Row],[Period]],Forecast!$H$2:$L$1048576,3,FALSE)),2)</f>
        <v>0</v>
      </c>
      <c r="L332" s="2">
        <f>Table157810[[#This Row],[Period]]+$E$9</f>
        <v>328</v>
      </c>
      <c r="M332" s="3">
        <f>Table157810[[#This Row],[Defaulted Principal]]-Table157810[[#This Row],[Estimated Loss]]</f>
        <v>0</v>
      </c>
      <c r="N332" s="3">
        <f>IFERROR(VLOOKUP(Table157810[[#This Row],[Period]],$L$16:$M$385,2,FALSE),0)</f>
        <v>0</v>
      </c>
      <c r="O332" s="3">
        <f>Table157810[[#This Row],[Beginning Balance]]-Table157810[[#This Row],[Principal]]-Table157810[[#This Row],[Prepayments]]-Table157810[[#This Row],[Defaulted Principal]]</f>
        <v>0</v>
      </c>
      <c r="P332" s="3">
        <f>Table157810[[#This Row],[Principal]]+Table157810[[#This Row],[Interest]]+Table157810[[#This Row],[Prepayments]]+Table157810[[#This Row],[RecoveredAmount]]</f>
        <v>0</v>
      </c>
      <c r="Q332" s="3">
        <f ca="1">ROUND(Table157810[[#This Row],[Cash Flow]]/((1+ActualRateToUse)^(IF(ISNUMBER(SEARCH("Actual",$C$7)),Table157810[[#This Row],[Running Total]]/365,Table157810[[#This Row],[Period]]/12))),2)</f>
        <v>0</v>
      </c>
      <c r="R332" s="2">
        <f>IF(MONTH(Table157810[[#This Row],[Date]])=2,28,DAY(DATE(YEAR(Table157810[[#This Row],[Date]]),MONTH(Table157810[[#This Row],[Date]])+1,1)-1))</f>
        <v>31</v>
      </c>
      <c r="S332" s="2">
        <f ca="1">SUM(OFFSET(Table157810[[#Headers],[Days in month]],1,0):Table157810[[#This Row],[Days in month]])</f>
        <v>9613</v>
      </c>
      <c r="T332" s="37">
        <f>InterestRate*AmortizationMultiplier*IF(ISNUMBER(SEARCH("Actual",$C$7)),Table157810[[#This Row],[Days in month]]/365,1/12)</f>
        <v>5.9839472222222214E-3</v>
      </c>
    </row>
    <row r="333" spans="2:20" x14ac:dyDescent="0.2">
      <c r="B333" s="1">
        <f t="shared" si="18"/>
        <v>55487</v>
      </c>
      <c r="C333" s="2">
        <f t="shared" si="16"/>
        <v>317</v>
      </c>
      <c r="D333" s="3">
        <f t="shared" si="15"/>
        <v>0</v>
      </c>
      <c r="E333" s="3">
        <f>ROUND(Table157810[[#This Row],[Beginning Balance]]*Table157810[[#This Row],[Monthly Interest Rate]],2)</f>
        <v>0</v>
      </c>
      <c r="F333" s="3">
        <f t="shared" si="17"/>
        <v>525</v>
      </c>
      <c r="G333" s="23">
        <f>IFERROR(IF($C$13="No","N/A",IF(Table157810[[#This Row],[Period]]=1,$C$6,PMT(InterestRate*AmortizationMultiplier/12,Table157810[[#This Row],[Am Thru]],-Table157810[[#This Row],[Beginning Balance]]))),0)</f>
        <v>0</v>
      </c>
      <c r="H333" s="3">
        <f>MAX(0,IF(C333=$C$4,D333,ROUND(IF($C$3="Fixed Principal",$C$6-Table157810[[#This Row],[Interest]],IF($C$3="Interest Only",Table157810[[#This Row],[Beginning Balance]]*ROUND(1-(1-IF($C$11="No",$E$8,1))^(1/12),6),MIN(IF($C$13="Yes",Table157810[[#This Row],[Payment Amount (Reamortized)]],$C$6)-Table157810[[#This Row],[Interest]],Table157810[[#This Row],[Beginning Balance]]))),2)))</f>
        <v>0</v>
      </c>
      <c r="I333" s="3">
        <f>_xlfn.SINGLE(IF($C$3="Line of Credit",0,ROUND(MAX(MIN(IF($C$10="No",$E$7,VLOOKUP(Table157810[[#This Row],[Period]],Forecast!$H$2:$L$1048576,4,FALSE))*Table157810[[#This Row],[Beginning Balance]],Table157810[[#This Row],[Beginning Balance]]-Table157810[[#This Row],[Principal]]),0),2)))</f>
        <v>0</v>
      </c>
      <c r="J333" s="3">
        <f>ROUND(MIN(Table157810[[#This Row],[Beginning Balance]]*IF($C$8="No",$E$3,VLOOKUP(Table157810[[#This Row],[Period]],Forecast!$H$2:$L$1048576,2,FALSE)),Table157810[[#This Row],[Beginning Balance]]-Table157810[[#This Row],[Principal]]-Table157810[[#This Row],[Prepayments]]),2)</f>
        <v>0</v>
      </c>
      <c r="K333" s="3">
        <f>ROUND(Table157810[[#This Row],[Defaulted Principal]]*IF($C$9="No",$E$4,VLOOKUP(Table157810[[#This Row],[Period]],Forecast!$H$2:$L$1048576,3,FALSE)),2)</f>
        <v>0</v>
      </c>
      <c r="L333" s="2">
        <f>Table157810[[#This Row],[Period]]+$E$9</f>
        <v>329</v>
      </c>
      <c r="M333" s="3">
        <f>Table157810[[#This Row],[Defaulted Principal]]-Table157810[[#This Row],[Estimated Loss]]</f>
        <v>0</v>
      </c>
      <c r="N333" s="3">
        <f>IFERROR(VLOOKUP(Table157810[[#This Row],[Period]],$L$16:$M$385,2,FALSE),0)</f>
        <v>0</v>
      </c>
      <c r="O333" s="3">
        <f>Table157810[[#This Row],[Beginning Balance]]-Table157810[[#This Row],[Principal]]-Table157810[[#This Row],[Prepayments]]-Table157810[[#This Row],[Defaulted Principal]]</f>
        <v>0</v>
      </c>
      <c r="P333" s="3">
        <f>Table157810[[#This Row],[Principal]]+Table157810[[#This Row],[Interest]]+Table157810[[#This Row],[Prepayments]]+Table157810[[#This Row],[RecoveredAmount]]</f>
        <v>0</v>
      </c>
      <c r="Q333" s="3">
        <f ca="1">ROUND(Table157810[[#This Row],[Cash Flow]]/((1+ActualRateToUse)^(IF(ISNUMBER(SEARCH("Actual",$C$7)),Table157810[[#This Row],[Running Total]]/365,Table157810[[#This Row],[Period]]/12))),2)</f>
        <v>0</v>
      </c>
      <c r="R333" s="2">
        <f>IF(MONTH(Table157810[[#This Row],[Date]])=2,28,DAY(DATE(YEAR(Table157810[[#This Row],[Date]]),MONTH(Table157810[[#This Row],[Date]])+1,1)-1))</f>
        <v>30</v>
      </c>
      <c r="S333" s="2">
        <f ca="1">SUM(OFFSET(Table157810[[#Headers],[Days in month]],1,0):Table157810[[#This Row],[Days in month]])</f>
        <v>9643</v>
      </c>
      <c r="T333" s="37">
        <f>InterestRate*AmortizationMultiplier*IF(ISNUMBER(SEARCH("Actual",$C$7)),Table157810[[#This Row],[Days in month]]/365,1/12)</f>
        <v>5.7909166666666656E-3</v>
      </c>
    </row>
    <row r="334" spans="2:20" x14ac:dyDescent="0.2">
      <c r="B334" s="1">
        <f t="shared" si="18"/>
        <v>55518</v>
      </c>
      <c r="C334" s="2">
        <f t="shared" si="16"/>
        <v>318</v>
      </c>
      <c r="D334" s="3">
        <f t="shared" si="15"/>
        <v>0</v>
      </c>
      <c r="E334" s="3">
        <f>ROUND(Table157810[[#This Row],[Beginning Balance]]*Table157810[[#This Row],[Monthly Interest Rate]],2)</f>
        <v>0</v>
      </c>
      <c r="F334" s="3">
        <f t="shared" si="17"/>
        <v>524</v>
      </c>
      <c r="G334" s="23">
        <f>IFERROR(IF($C$13="No","N/A",IF(Table157810[[#This Row],[Period]]=1,$C$6,PMT(InterestRate*AmortizationMultiplier/12,Table157810[[#This Row],[Am Thru]],-Table157810[[#This Row],[Beginning Balance]]))),0)</f>
        <v>0</v>
      </c>
      <c r="H334" s="3">
        <f>MAX(0,IF(C334=$C$4,D334,ROUND(IF($C$3="Fixed Principal",$C$6-Table157810[[#This Row],[Interest]],IF($C$3="Interest Only",Table157810[[#This Row],[Beginning Balance]]*ROUND(1-(1-IF($C$11="No",$E$8,1))^(1/12),6),MIN(IF($C$13="Yes",Table157810[[#This Row],[Payment Amount (Reamortized)]],$C$6)-Table157810[[#This Row],[Interest]],Table157810[[#This Row],[Beginning Balance]]))),2)))</f>
        <v>0</v>
      </c>
      <c r="I334" s="3">
        <f>_xlfn.SINGLE(IF($C$3="Line of Credit",0,ROUND(MAX(MIN(IF($C$10="No",$E$7,VLOOKUP(Table157810[[#This Row],[Period]],Forecast!$H$2:$L$1048576,4,FALSE))*Table157810[[#This Row],[Beginning Balance]],Table157810[[#This Row],[Beginning Balance]]-Table157810[[#This Row],[Principal]]),0),2)))</f>
        <v>0</v>
      </c>
      <c r="J334" s="3">
        <f>ROUND(MIN(Table157810[[#This Row],[Beginning Balance]]*IF($C$8="No",$E$3,VLOOKUP(Table157810[[#This Row],[Period]],Forecast!$H$2:$L$1048576,2,FALSE)),Table157810[[#This Row],[Beginning Balance]]-Table157810[[#This Row],[Principal]]-Table157810[[#This Row],[Prepayments]]),2)</f>
        <v>0</v>
      </c>
      <c r="K334" s="3">
        <f>ROUND(Table157810[[#This Row],[Defaulted Principal]]*IF($C$9="No",$E$4,VLOOKUP(Table157810[[#This Row],[Period]],Forecast!$H$2:$L$1048576,3,FALSE)),2)</f>
        <v>0</v>
      </c>
      <c r="L334" s="2">
        <f>Table157810[[#This Row],[Period]]+$E$9</f>
        <v>330</v>
      </c>
      <c r="M334" s="3">
        <f>Table157810[[#This Row],[Defaulted Principal]]-Table157810[[#This Row],[Estimated Loss]]</f>
        <v>0</v>
      </c>
      <c r="N334" s="3">
        <f>IFERROR(VLOOKUP(Table157810[[#This Row],[Period]],$L$16:$M$385,2,FALSE),0)</f>
        <v>0</v>
      </c>
      <c r="O334" s="3">
        <f>Table157810[[#This Row],[Beginning Balance]]-Table157810[[#This Row],[Principal]]-Table157810[[#This Row],[Prepayments]]-Table157810[[#This Row],[Defaulted Principal]]</f>
        <v>0</v>
      </c>
      <c r="P334" s="3">
        <f>Table157810[[#This Row],[Principal]]+Table157810[[#This Row],[Interest]]+Table157810[[#This Row],[Prepayments]]+Table157810[[#This Row],[RecoveredAmount]]</f>
        <v>0</v>
      </c>
      <c r="Q334" s="3">
        <f ca="1">ROUND(Table157810[[#This Row],[Cash Flow]]/((1+ActualRateToUse)^(IF(ISNUMBER(SEARCH("Actual",$C$7)),Table157810[[#This Row],[Running Total]]/365,Table157810[[#This Row],[Period]]/12))),2)</f>
        <v>0</v>
      </c>
      <c r="R334" s="2">
        <f>IF(MONTH(Table157810[[#This Row],[Date]])=2,28,DAY(DATE(YEAR(Table157810[[#This Row],[Date]]),MONTH(Table157810[[#This Row],[Date]])+1,1)-1))</f>
        <v>31</v>
      </c>
      <c r="S334" s="2">
        <f ca="1">SUM(OFFSET(Table157810[[#Headers],[Days in month]],1,0):Table157810[[#This Row],[Days in month]])</f>
        <v>9674</v>
      </c>
      <c r="T334" s="37">
        <f>InterestRate*AmortizationMultiplier*IF(ISNUMBER(SEARCH("Actual",$C$7)),Table157810[[#This Row],[Days in month]]/365,1/12)</f>
        <v>5.9839472222222214E-3</v>
      </c>
    </row>
    <row r="335" spans="2:20" x14ac:dyDescent="0.2">
      <c r="B335" s="1">
        <f t="shared" si="18"/>
        <v>55549</v>
      </c>
      <c r="C335" s="2">
        <f t="shared" si="16"/>
        <v>319</v>
      </c>
      <c r="D335" s="3">
        <f t="shared" si="15"/>
        <v>0</v>
      </c>
      <c r="E335" s="3">
        <f>ROUND(Table157810[[#This Row],[Beginning Balance]]*Table157810[[#This Row],[Monthly Interest Rate]],2)</f>
        <v>0</v>
      </c>
      <c r="F335" s="3">
        <f t="shared" si="17"/>
        <v>523</v>
      </c>
      <c r="G335" s="23">
        <f>IFERROR(IF($C$13="No","N/A",IF(Table157810[[#This Row],[Period]]=1,$C$6,PMT(InterestRate*AmortizationMultiplier/12,Table157810[[#This Row],[Am Thru]],-Table157810[[#This Row],[Beginning Balance]]))),0)</f>
        <v>0</v>
      </c>
      <c r="H335" s="3">
        <f>MAX(0,IF(C335=$C$4,D335,ROUND(IF($C$3="Fixed Principal",$C$6-Table157810[[#This Row],[Interest]],IF($C$3="Interest Only",Table157810[[#This Row],[Beginning Balance]]*ROUND(1-(1-IF($C$11="No",$E$8,1))^(1/12),6),MIN(IF($C$13="Yes",Table157810[[#This Row],[Payment Amount (Reamortized)]],$C$6)-Table157810[[#This Row],[Interest]],Table157810[[#This Row],[Beginning Balance]]))),2)))</f>
        <v>0</v>
      </c>
      <c r="I335" s="3">
        <f>_xlfn.SINGLE(IF($C$3="Line of Credit",0,ROUND(MAX(MIN(IF($C$10="No",$E$7,VLOOKUP(Table157810[[#This Row],[Period]],Forecast!$H$2:$L$1048576,4,FALSE))*Table157810[[#This Row],[Beginning Balance]],Table157810[[#This Row],[Beginning Balance]]-Table157810[[#This Row],[Principal]]),0),2)))</f>
        <v>0</v>
      </c>
      <c r="J335" s="3">
        <f>ROUND(MIN(Table157810[[#This Row],[Beginning Balance]]*IF($C$8="No",$E$3,VLOOKUP(Table157810[[#This Row],[Period]],Forecast!$H$2:$L$1048576,2,FALSE)),Table157810[[#This Row],[Beginning Balance]]-Table157810[[#This Row],[Principal]]-Table157810[[#This Row],[Prepayments]]),2)</f>
        <v>0</v>
      </c>
      <c r="K335" s="3">
        <f>ROUND(Table157810[[#This Row],[Defaulted Principal]]*IF($C$9="No",$E$4,VLOOKUP(Table157810[[#This Row],[Period]],Forecast!$H$2:$L$1048576,3,FALSE)),2)</f>
        <v>0</v>
      </c>
      <c r="L335" s="2">
        <f>Table157810[[#This Row],[Period]]+$E$9</f>
        <v>331</v>
      </c>
      <c r="M335" s="3">
        <f>Table157810[[#This Row],[Defaulted Principal]]-Table157810[[#This Row],[Estimated Loss]]</f>
        <v>0</v>
      </c>
      <c r="N335" s="3">
        <f>IFERROR(VLOOKUP(Table157810[[#This Row],[Period]],$L$16:$M$385,2,FALSE),0)</f>
        <v>0</v>
      </c>
      <c r="O335" s="3">
        <f>Table157810[[#This Row],[Beginning Balance]]-Table157810[[#This Row],[Principal]]-Table157810[[#This Row],[Prepayments]]-Table157810[[#This Row],[Defaulted Principal]]</f>
        <v>0</v>
      </c>
      <c r="P335" s="3">
        <f>Table157810[[#This Row],[Principal]]+Table157810[[#This Row],[Interest]]+Table157810[[#This Row],[Prepayments]]+Table157810[[#This Row],[RecoveredAmount]]</f>
        <v>0</v>
      </c>
      <c r="Q335" s="3">
        <f ca="1">ROUND(Table157810[[#This Row],[Cash Flow]]/((1+ActualRateToUse)^(IF(ISNUMBER(SEARCH("Actual",$C$7)),Table157810[[#This Row],[Running Total]]/365,Table157810[[#This Row],[Period]]/12))),2)</f>
        <v>0</v>
      </c>
      <c r="R335" s="2">
        <f>IF(MONTH(Table157810[[#This Row],[Date]])=2,28,DAY(DATE(YEAR(Table157810[[#This Row],[Date]]),MONTH(Table157810[[#This Row],[Date]])+1,1)-1))</f>
        <v>31</v>
      </c>
      <c r="S335" s="2">
        <f ca="1">SUM(OFFSET(Table157810[[#Headers],[Days in month]],1,0):Table157810[[#This Row],[Days in month]])</f>
        <v>9705</v>
      </c>
      <c r="T335" s="37">
        <f>InterestRate*AmortizationMultiplier*IF(ISNUMBER(SEARCH("Actual",$C$7)),Table157810[[#This Row],[Days in month]]/365,1/12)</f>
        <v>5.9839472222222214E-3</v>
      </c>
    </row>
    <row r="336" spans="2:20" x14ac:dyDescent="0.2">
      <c r="B336" s="1">
        <f t="shared" si="18"/>
        <v>55578</v>
      </c>
      <c r="C336" s="2">
        <f t="shared" si="16"/>
        <v>320</v>
      </c>
      <c r="D336" s="3">
        <f t="shared" si="15"/>
        <v>0</v>
      </c>
      <c r="E336" s="3">
        <f>ROUND(Table157810[[#This Row],[Beginning Balance]]*Table157810[[#This Row],[Monthly Interest Rate]],2)</f>
        <v>0</v>
      </c>
      <c r="F336" s="3">
        <f t="shared" si="17"/>
        <v>522</v>
      </c>
      <c r="G336" s="23">
        <f>IFERROR(IF($C$13="No","N/A",IF(Table157810[[#This Row],[Period]]=1,$C$6,PMT(InterestRate*AmortizationMultiplier/12,Table157810[[#This Row],[Am Thru]],-Table157810[[#This Row],[Beginning Balance]]))),0)</f>
        <v>0</v>
      </c>
      <c r="H336" s="3">
        <f>MAX(0,IF(C336=$C$4,D336,ROUND(IF($C$3="Fixed Principal",$C$6-Table157810[[#This Row],[Interest]],IF($C$3="Interest Only",Table157810[[#This Row],[Beginning Balance]]*ROUND(1-(1-IF($C$11="No",$E$8,1))^(1/12),6),MIN(IF($C$13="Yes",Table157810[[#This Row],[Payment Amount (Reamortized)]],$C$6)-Table157810[[#This Row],[Interest]],Table157810[[#This Row],[Beginning Balance]]))),2)))</f>
        <v>0</v>
      </c>
      <c r="I336" s="3">
        <f>_xlfn.SINGLE(IF($C$3="Line of Credit",0,ROUND(MAX(MIN(IF($C$10="No",$E$7,VLOOKUP(Table157810[[#This Row],[Period]],Forecast!$H$2:$L$1048576,4,FALSE))*Table157810[[#This Row],[Beginning Balance]],Table157810[[#This Row],[Beginning Balance]]-Table157810[[#This Row],[Principal]]),0),2)))</f>
        <v>0</v>
      </c>
      <c r="J336" s="3">
        <f>ROUND(MIN(Table157810[[#This Row],[Beginning Balance]]*IF($C$8="No",$E$3,VLOOKUP(Table157810[[#This Row],[Period]],Forecast!$H$2:$L$1048576,2,FALSE)),Table157810[[#This Row],[Beginning Balance]]-Table157810[[#This Row],[Principal]]-Table157810[[#This Row],[Prepayments]]),2)</f>
        <v>0</v>
      </c>
      <c r="K336" s="3">
        <f>ROUND(Table157810[[#This Row],[Defaulted Principal]]*IF($C$9="No",$E$4,VLOOKUP(Table157810[[#This Row],[Period]],Forecast!$H$2:$L$1048576,3,FALSE)),2)</f>
        <v>0</v>
      </c>
      <c r="L336" s="2">
        <f>Table157810[[#This Row],[Period]]+$E$9</f>
        <v>332</v>
      </c>
      <c r="M336" s="3">
        <f>Table157810[[#This Row],[Defaulted Principal]]-Table157810[[#This Row],[Estimated Loss]]</f>
        <v>0</v>
      </c>
      <c r="N336" s="3">
        <f>IFERROR(VLOOKUP(Table157810[[#This Row],[Period]],$L$16:$M$385,2,FALSE),0)</f>
        <v>0</v>
      </c>
      <c r="O336" s="3">
        <f>Table157810[[#This Row],[Beginning Balance]]-Table157810[[#This Row],[Principal]]-Table157810[[#This Row],[Prepayments]]-Table157810[[#This Row],[Defaulted Principal]]</f>
        <v>0</v>
      </c>
      <c r="P336" s="3">
        <f>Table157810[[#This Row],[Principal]]+Table157810[[#This Row],[Interest]]+Table157810[[#This Row],[Prepayments]]+Table157810[[#This Row],[RecoveredAmount]]</f>
        <v>0</v>
      </c>
      <c r="Q336" s="3">
        <f ca="1">ROUND(Table157810[[#This Row],[Cash Flow]]/((1+ActualRateToUse)^(IF(ISNUMBER(SEARCH("Actual",$C$7)),Table157810[[#This Row],[Running Total]]/365,Table157810[[#This Row],[Period]]/12))),2)</f>
        <v>0</v>
      </c>
      <c r="R336" s="2">
        <f>IF(MONTH(Table157810[[#This Row],[Date]])=2,28,DAY(DATE(YEAR(Table157810[[#This Row],[Date]]),MONTH(Table157810[[#This Row],[Date]])+1,1)-1))</f>
        <v>28</v>
      </c>
      <c r="S336" s="2">
        <f ca="1">SUM(OFFSET(Table157810[[#Headers],[Days in month]],1,0):Table157810[[#This Row],[Days in month]])</f>
        <v>9733</v>
      </c>
      <c r="T336" s="37">
        <f>InterestRate*AmortizationMultiplier*IF(ISNUMBER(SEARCH("Actual",$C$7)),Table157810[[#This Row],[Days in month]]/365,1/12)</f>
        <v>5.4048555555555548E-3</v>
      </c>
    </row>
    <row r="337" spans="2:20" x14ac:dyDescent="0.2">
      <c r="B337" s="1">
        <f t="shared" si="18"/>
        <v>55609</v>
      </c>
      <c r="C337" s="2">
        <f t="shared" si="16"/>
        <v>321</v>
      </c>
      <c r="D337" s="3">
        <f t="shared" si="15"/>
        <v>0</v>
      </c>
      <c r="E337" s="3">
        <f>ROUND(Table157810[[#This Row],[Beginning Balance]]*Table157810[[#This Row],[Monthly Interest Rate]],2)</f>
        <v>0</v>
      </c>
      <c r="F337" s="3">
        <f t="shared" si="17"/>
        <v>521</v>
      </c>
      <c r="G337" s="23">
        <f>IFERROR(IF($C$13="No","N/A",IF(Table157810[[#This Row],[Period]]=1,$C$6,PMT(InterestRate*AmortizationMultiplier/12,Table157810[[#This Row],[Am Thru]],-Table157810[[#This Row],[Beginning Balance]]))),0)</f>
        <v>0</v>
      </c>
      <c r="H337" s="3">
        <f>MAX(0,IF(C337=$C$4,D337,ROUND(IF($C$3="Fixed Principal",$C$6-Table157810[[#This Row],[Interest]],IF($C$3="Interest Only",Table157810[[#This Row],[Beginning Balance]]*ROUND(1-(1-IF($C$11="No",$E$8,1))^(1/12),6),MIN(IF($C$13="Yes",Table157810[[#This Row],[Payment Amount (Reamortized)]],$C$6)-Table157810[[#This Row],[Interest]],Table157810[[#This Row],[Beginning Balance]]))),2)))</f>
        <v>0</v>
      </c>
      <c r="I337" s="3">
        <f>_xlfn.SINGLE(IF($C$3="Line of Credit",0,ROUND(MAX(MIN(IF($C$10="No",$E$7,VLOOKUP(Table157810[[#This Row],[Period]],Forecast!$H$2:$L$1048576,4,FALSE))*Table157810[[#This Row],[Beginning Balance]],Table157810[[#This Row],[Beginning Balance]]-Table157810[[#This Row],[Principal]]),0),2)))</f>
        <v>0</v>
      </c>
      <c r="J337" s="3">
        <f>ROUND(MIN(Table157810[[#This Row],[Beginning Balance]]*IF($C$8="No",$E$3,VLOOKUP(Table157810[[#This Row],[Period]],Forecast!$H$2:$L$1048576,2,FALSE)),Table157810[[#This Row],[Beginning Balance]]-Table157810[[#This Row],[Principal]]-Table157810[[#This Row],[Prepayments]]),2)</f>
        <v>0</v>
      </c>
      <c r="K337" s="3">
        <f>ROUND(Table157810[[#This Row],[Defaulted Principal]]*IF($C$9="No",$E$4,VLOOKUP(Table157810[[#This Row],[Period]],Forecast!$H$2:$L$1048576,3,FALSE)),2)</f>
        <v>0</v>
      </c>
      <c r="L337" s="2">
        <f>Table157810[[#This Row],[Period]]+$E$9</f>
        <v>333</v>
      </c>
      <c r="M337" s="3">
        <f>Table157810[[#This Row],[Defaulted Principal]]-Table157810[[#This Row],[Estimated Loss]]</f>
        <v>0</v>
      </c>
      <c r="N337" s="3">
        <f>IFERROR(VLOOKUP(Table157810[[#This Row],[Period]],$L$16:$M$385,2,FALSE),0)</f>
        <v>0</v>
      </c>
      <c r="O337" s="3">
        <f>Table157810[[#This Row],[Beginning Balance]]-Table157810[[#This Row],[Principal]]-Table157810[[#This Row],[Prepayments]]-Table157810[[#This Row],[Defaulted Principal]]</f>
        <v>0</v>
      </c>
      <c r="P337" s="3">
        <f>Table157810[[#This Row],[Principal]]+Table157810[[#This Row],[Interest]]+Table157810[[#This Row],[Prepayments]]+Table157810[[#This Row],[RecoveredAmount]]</f>
        <v>0</v>
      </c>
      <c r="Q337" s="3">
        <f ca="1">ROUND(Table157810[[#This Row],[Cash Flow]]/((1+ActualRateToUse)^(IF(ISNUMBER(SEARCH("Actual",$C$7)),Table157810[[#This Row],[Running Total]]/365,Table157810[[#This Row],[Period]]/12))),2)</f>
        <v>0</v>
      </c>
      <c r="R337" s="2">
        <f>IF(MONTH(Table157810[[#This Row],[Date]])=2,28,DAY(DATE(YEAR(Table157810[[#This Row],[Date]]),MONTH(Table157810[[#This Row],[Date]])+1,1)-1))</f>
        <v>31</v>
      </c>
      <c r="S337" s="2">
        <f ca="1">SUM(OFFSET(Table157810[[#Headers],[Days in month]],1,0):Table157810[[#This Row],[Days in month]])</f>
        <v>9764</v>
      </c>
      <c r="T337" s="37">
        <f>InterestRate*AmortizationMultiplier*IF(ISNUMBER(SEARCH("Actual",$C$7)),Table157810[[#This Row],[Days in month]]/365,1/12)</f>
        <v>5.9839472222222214E-3</v>
      </c>
    </row>
    <row r="338" spans="2:20" x14ac:dyDescent="0.2">
      <c r="B338" s="1">
        <f t="shared" si="18"/>
        <v>55639</v>
      </c>
      <c r="C338" s="2">
        <f t="shared" si="16"/>
        <v>322</v>
      </c>
      <c r="D338" s="3">
        <f t="shared" ref="D338:D385" si="19">O337</f>
        <v>0</v>
      </c>
      <c r="E338" s="3">
        <f>ROUND(Table157810[[#This Row],[Beginning Balance]]*Table157810[[#This Row],[Monthly Interest Rate]],2)</f>
        <v>0</v>
      </c>
      <c r="F338" s="3">
        <f t="shared" si="17"/>
        <v>520</v>
      </c>
      <c r="G338" s="23">
        <f>IFERROR(IF($C$13="No","N/A",IF(Table157810[[#This Row],[Period]]=1,$C$6,PMT(InterestRate*AmortizationMultiplier/12,Table157810[[#This Row],[Am Thru]],-Table157810[[#This Row],[Beginning Balance]]))),0)</f>
        <v>0</v>
      </c>
      <c r="H338" s="3">
        <f>MAX(0,IF(C338=$C$4,D338,ROUND(IF($C$3="Fixed Principal",$C$6-Table157810[[#This Row],[Interest]],IF($C$3="Interest Only",Table157810[[#This Row],[Beginning Balance]]*ROUND(1-(1-IF($C$11="No",$E$8,1))^(1/12),6),MIN(IF($C$13="Yes",Table157810[[#This Row],[Payment Amount (Reamortized)]],$C$6)-Table157810[[#This Row],[Interest]],Table157810[[#This Row],[Beginning Balance]]))),2)))</f>
        <v>0</v>
      </c>
      <c r="I338" s="3">
        <f>_xlfn.SINGLE(IF($C$3="Line of Credit",0,ROUND(MAX(MIN(IF($C$10="No",$E$7,VLOOKUP(Table157810[[#This Row],[Period]],Forecast!$H$2:$L$1048576,4,FALSE))*Table157810[[#This Row],[Beginning Balance]],Table157810[[#This Row],[Beginning Balance]]-Table157810[[#This Row],[Principal]]),0),2)))</f>
        <v>0</v>
      </c>
      <c r="J338" s="3">
        <f>ROUND(MIN(Table157810[[#This Row],[Beginning Balance]]*IF($C$8="No",$E$3,VLOOKUP(Table157810[[#This Row],[Period]],Forecast!$H$2:$L$1048576,2,FALSE)),Table157810[[#This Row],[Beginning Balance]]-Table157810[[#This Row],[Principal]]-Table157810[[#This Row],[Prepayments]]),2)</f>
        <v>0</v>
      </c>
      <c r="K338" s="3">
        <f>ROUND(Table157810[[#This Row],[Defaulted Principal]]*IF($C$9="No",$E$4,VLOOKUP(Table157810[[#This Row],[Period]],Forecast!$H$2:$L$1048576,3,FALSE)),2)</f>
        <v>0</v>
      </c>
      <c r="L338" s="2">
        <f>Table157810[[#This Row],[Period]]+$E$9</f>
        <v>334</v>
      </c>
      <c r="M338" s="3">
        <f>Table157810[[#This Row],[Defaulted Principal]]-Table157810[[#This Row],[Estimated Loss]]</f>
        <v>0</v>
      </c>
      <c r="N338" s="3">
        <f>IFERROR(VLOOKUP(Table157810[[#This Row],[Period]],$L$16:$M$385,2,FALSE),0)</f>
        <v>0</v>
      </c>
      <c r="O338" s="3">
        <f>Table157810[[#This Row],[Beginning Balance]]-Table157810[[#This Row],[Principal]]-Table157810[[#This Row],[Prepayments]]-Table157810[[#This Row],[Defaulted Principal]]</f>
        <v>0</v>
      </c>
      <c r="P338" s="3">
        <f>Table157810[[#This Row],[Principal]]+Table157810[[#This Row],[Interest]]+Table157810[[#This Row],[Prepayments]]+Table157810[[#This Row],[RecoveredAmount]]</f>
        <v>0</v>
      </c>
      <c r="Q338" s="3">
        <f ca="1">ROUND(Table157810[[#This Row],[Cash Flow]]/((1+ActualRateToUse)^(IF(ISNUMBER(SEARCH("Actual",$C$7)),Table157810[[#This Row],[Running Total]]/365,Table157810[[#This Row],[Period]]/12))),2)</f>
        <v>0</v>
      </c>
      <c r="R338" s="2">
        <f>IF(MONTH(Table157810[[#This Row],[Date]])=2,28,DAY(DATE(YEAR(Table157810[[#This Row],[Date]]),MONTH(Table157810[[#This Row],[Date]])+1,1)-1))</f>
        <v>30</v>
      </c>
      <c r="S338" s="2">
        <f ca="1">SUM(OFFSET(Table157810[[#Headers],[Days in month]],1,0):Table157810[[#This Row],[Days in month]])</f>
        <v>9794</v>
      </c>
      <c r="T338" s="37">
        <f>InterestRate*AmortizationMultiplier*IF(ISNUMBER(SEARCH("Actual",$C$7)),Table157810[[#This Row],[Days in month]]/365,1/12)</f>
        <v>5.7909166666666656E-3</v>
      </c>
    </row>
    <row r="339" spans="2:20" x14ac:dyDescent="0.2">
      <c r="B339" s="1">
        <f t="shared" si="18"/>
        <v>55670</v>
      </c>
      <c r="C339" s="2">
        <f t="shared" ref="C339:C385" si="20">C338+1</f>
        <v>323</v>
      </c>
      <c r="D339" s="3">
        <f t="shared" si="19"/>
        <v>0</v>
      </c>
      <c r="E339" s="3">
        <f>ROUND(Table157810[[#This Row],[Beginning Balance]]*Table157810[[#This Row],[Monthly Interest Rate]],2)</f>
        <v>0</v>
      </c>
      <c r="F339" s="3">
        <f t="shared" ref="F339:F385" si="21">+F338-1</f>
        <v>519</v>
      </c>
      <c r="G339" s="23">
        <f>IFERROR(IF($C$13="No","N/A",IF(Table157810[[#This Row],[Period]]=1,$C$6,PMT(InterestRate*AmortizationMultiplier/12,Table157810[[#This Row],[Am Thru]],-Table157810[[#This Row],[Beginning Balance]]))),0)</f>
        <v>0</v>
      </c>
      <c r="H339" s="3">
        <f>MAX(0,IF(C339=$C$4,D339,ROUND(IF($C$3="Fixed Principal",$C$6-Table157810[[#This Row],[Interest]],IF($C$3="Interest Only",Table157810[[#This Row],[Beginning Balance]]*ROUND(1-(1-IF($C$11="No",$E$8,1))^(1/12),6),MIN(IF($C$13="Yes",Table157810[[#This Row],[Payment Amount (Reamortized)]],$C$6)-Table157810[[#This Row],[Interest]],Table157810[[#This Row],[Beginning Balance]]))),2)))</f>
        <v>0</v>
      </c>
      <c r="I339" s="3">
        <f>_xlfn.SINGLE(IF($C$3="Line of Credit",0,ROUND(MAX(MIN(IF($C$10="No",$E$7,VLOOKUP(Table157810[[#This Row],[Period]],Forecast!$H$2:$L$1048576,4,FALSE))*Table157810[[#This Row],[Beginning Balance]],Table157810[[#This Row],[Beginning Balance]]-Table157810[[#This Row],[Principal]]),0),2)))</f>
        <v>0</v>
      </c>
      <c r="J339" s="3">
        <f>ROUND(MIN(Table157810[[#This Row],[Beginning Balance]]*IF($C$8="No",$E$3,VLOOKUP(Table157810[[#This Row],[Period]],Forecast!$H$2:$L$1048576,2,FALSE)),Table157810[[#This Row],[Beginning Balance]]-Table157810[[#This Row],[Principal]]-Table157810[[#This Row],[Prepayments]]),2)</f>
        <v>0</v>
      </c>
      <c r="K339" s="3">
        <f>ROUND(Table157810[[#This Row],[Defaulted Principal]]*IF($C$9="No",$E$4,VLOOKUP(Table157810[[#This Row],[Period]],Forecast!$H$2:$L$1048576,3,FALSE)),2)</f>
        <v>0</v>
      </c>
      <c r="L339" s="2">
        <f>Table157810[[#This Row],[Period]]+$E$9</f>
        <v>335</v>
      </c>
      <c r="M339" s="3">
        <f>Table157810[[#This Row],[Defaulted Principal]]-Table157810[[#This Row],[Estimated Loss]]</f>
        <v>0</v>
      </c>
      <c r="N339" s="3">
        <f>IFERROR(VLOOKUP(Table157810[[#This Row],[Period]],$L$16:$M$385,2,FALSE),0)</f>
        <v>0</v>
      </c>
      <c r="O339" s="3">
        <f>Table157810[[#This Row],[Beginning Balance]]-Table157810[[#This Row],[Principal]]-Table157810[[#This Row],[Prepayments]]-Table157810[[#This Row],[Defaulted Principal]]</f>
        <v>0</v>
      </c>
      <c r="P339" s="3">
        <f>Table157810[[#This Row],[Principal]]+Table157810[[#This Row],[Interest]]+Table157810[[#This Row],[Prepayments]]+Table157810[[#This Row],[RecoveredAmount]]</f>
        <v>0</v>
      </c>
      <c r="Q339" s="3">
        <f ca="1">ROUND(Table157810[[#This Row],[Cash Flow]]/((1+ActualRateToUse)^(IF(ISNUMBER(SEARCH("Actual",$C$7)),Table157810[[#This Row],[Running Total]]/365,Table157810[[#This Row],[Period]]/12))),2)</f>
        <v>0</v>
      </c>
      <c r="R339" s="2">
        <f>IF(MONTH(Table157810[[#This Row],[Date]])=2,28,DAY(DATE(YEAR(Table157810[[#This Row],[Date]]),MONTH(Table157810[[#This Row],[Date]])+1,1)-1))</f>
        <v>31</v>
      </c>
      <c r="S339" s="2">
        <f ca="1">SUM(OFFSET(Table157810[[#Headers],[Days in month]],1,0):Table157810[[#This Row],[Days in month]])</f>
        <v>9825</v>
      </c>
      <c r="T339" s="37">
        <f>InterestRate*AmortizationMultiplier*IF(ISNUMBER(SEARCH("Actual",$C$7)),Table157810[[#This Row],[Days in month]]/365,1/12)</f>
        <v>5.9839472222222214E-3</v>
      </c>
    </row>
    <row r="340" spans="2:20" x14ac:dyDescent="0.2">
      <c r="B340" s="1">
        <f t="shared" si="18"/>
        <v>55700</v>
      </c>
      <c r="C340" s="2">
        <f t="shared" si="20"/>
        <v>324</v>
      </c>
      <c r="D340" s="3">
        <f t="shared" si="19"/>
        <v>0</v>
      </c>
      <c r="E340" s="3">
        <f>ROUND(Table157810[[#This Row],[Beginning Balance]]*Table157810[[#This Row],[Monthly Interest Rate]],2)</f>
        <v>0</v>
      </c>
      <c r="F340" s="3">
        <f t="shared" si="21"/>
        <v>518</v>
      </c>
      <c r="G340" s="23">
        <f>IFERROR(IF($C$13="No","N/A",IF(Table157810[[#This Row],[Period]]=1,$C$6,PMT(InterestRate*AmortizationMultiplier/12,Table157810[[#This Row],[Am Thru]],-Table157810[[#This Row],[Beginning Balance]]))),0)</f>
        <v>0</v>
      </c>
      <c r="H340" s="3">
        <f>MAX(0,IF(C340=$C$4,D340,ROUND(IF($C$3="Fixed Principal",$C$6-Table157810[[#This Row],[Interest]],IF($C$3="Interest Only",Table157810[[#This Row],[Beginning Balance]]*ROUND(1-(1-IF($C$11="No",$E$8,1))^(1/12),6),MIN(IF($C$13="Yes",Table157810[[#This Row],[Payment Amount (Reamortized)]],$C$6)-Table157810[[#This Row],[Interest]],Table157810[[#This Row],[Beginning Balance]]))),2)))</f>
        <v>0</v>
      </c>
      <c r="I340" s="3">
        <f>_xlfn.SINGLE(IF($C$3="Line of Credit",0,ROUND(MAX(MIN(IF($C$10="No",$E$7,VLOOKUP(Table157810[[#This Row],[Period]],Forecast!$H$2:$L$1048576,4,FALSE))*Table157810[[#This Row],[Beginning Balance]],Table157810[[#This Row],[Beginning Balance]]-Table157810[[#This Row],[Principal]]),0),2)))</f>
        <v>0</v>
      </c>
      <c r="J340" s="3">
        <f>ROUND(MIN(Table157810[[#This Row],[Beginning Balance]]*IF($C$8="No",$E$3,VLOOKUP(Table157810[[#This Row],[Period]],Forecast!$H$2:$L$1048576,2,FALSE)),Table157810[[#This Row],[Beginning Balance]]-Table157810[[#This Row],[Principal]]-Table157810[[#This Row],[Prepayments]]),2)</f>
        <v>0</v>
      </c>
      <c r="K340" s="3">
        <f>ROUND(Table157810[[#This Row],[Defaulted Principal]]*IF($C$9="No",$E$4,VLOOKUP(Table157810[[#This Row],[Period]],Forecast!$H$2:$L$1048576,3,FALSE)),2)</f>
        <v>0</v>
      </c>
      <c r="L340" s="2">
        <f>Table157810[[#This Row],[Period]]+$E$9</f>
        <v>336</v>
      </c>
      <c r="M340" s="3">
        <f>Table157810[[#This Row],[Defaulted Principal]]-Table157810[[#This Row],[Estimated Loss]]</f>
        <v>0</v>
      </c>
      <c r="N340" s="3">
        <f>IFERROR(VLOOKUP(Table157810[[#This Row],[Period]],$L$16:$M$385,2,FALSE),0)</f>
        <v>0</v>
      </c>
      <c r="O340" s="3">
        <f>Table157810[[#This Row],[Beginning Balance]]-Table157810[[#This Row],[Principal]]-Table157810[[#This Row],[Prepayments]]-Table157810[[#This Row],[Defaulted Principal]]</f>
        <v>0</v>
      </c>
      <c r="P340" s="3">
        <f>Table157810[[#This Row],[Principal]]+Table157810[[#This Row],[Interest]]+Table157810[[#This Row],[Prepayments]]+Table157810[[#This Row],[RecoveredAmount]]</f>
        <v>0</v>
      </c>
      <c r="Q340" s="3">
        <f ca="1">ROUND(Table157810[[#This Row],[Cash Flow]]/((1+ActualRateToUse)^(IF(ISNUMBER(SEARCH("Actual",$C$7)),Table157810[[#This Row],[Running Total]]/365,Table157810[[#This Row],[Period]]/12))),2)</f>
        <v>0</v>
      </c>
      <c r="R340" s="2">
        <f>IF(MONTH(Table157810[[#This Row],[Date]])=2,28,DAY(DATE(YEAR(Table157810[[#This Row],[Date]]),MONTH(Table157810[[#This Row],[Date]])+1,1)-1))</f>
        <v>30</v>
      </c>
      <c r="S340" s="2">
        <f ca="1">SUM(OFFSET(Table157810[[#Headers],[Days in month]],1,0):Table157810[[#This Row],[Days in month]])</f>
        <v>9855</v>
      </c>
      <c r="T340" s="37">
        <f>InterestRate*AmortizationMultiplier*IF(ISNUMBER(SEARCH("Actual",$C$7)),Table157810[[#This Row],[Days in month]]/365,1/12)</f>
        <v>5.7909166666666656E-3</v>
      </c>
    </row>
    <row r="341" spans="2:20" x14ac:dyDescent="0.2">
      <c r="B341" s="1">
        <f t="shared" si="18"/>
        <v>55731</v>
      </c>
      <c r="C341" s="2">
        <f t="shared" si="20"/>
        <v>325</v>
      </c>
      <c r="D341" s="3">
        <f t="shared" si="19"/>
        <v>0</v>
      </c>
      <c r="E341" s="3">
        <f>ROUND(Table157810[[#This Row],[Beginning Balance]]*Table157810[[#This Row],[Monthly Interest Rate]],2)</f>
        <v>0</v>
      </c>
      <c r="F341" s="3">
        <f t="shared" si="21"/>
        <v>517</v>
      </c>
      <c r="G341" s="23">
        <f>IFERROR(IF($C$13="No","N/A",IF(Table157810[[#This Row],[Period]]=1,$C$6,PMT(InterestRate*AmortizationMultiplier/12,Table157810[[#This Row],[Am Thru]],-Table157810[[#This Row],[Beginning Balance]]))),0)</f>
        <v>0</v>
      </c>
      <c r="H341" s="3">
        <f>MAX(0,IF(C341=$C$4,D341,ROUND(IF($C$3="Fixed Principal",$C$6-Table157810[[#This Row],[Interest]],IF($C$3="Interest Only",Table157810[[#This Row],[Beginning Balance]]*ROUND(1-(1-IF($C$11="No",$E$8,1))^(1/12),6),MIN(IF($C$13="Yes",Table157810[[#This Row],[Payment Amount (Reamortized)]],$C$6)-Table157810[[#This Row],[Interest]],Table157810[[#This Row],[Beginning Balance]]))),2)))</f>
        <v>0</v>
      </c>
      <c r="I341" s="3">
        <f>_xlfn.SINGLE(IF($C$3="Line of Credit",0,ROUND(MAX(MIN(IF($C$10="No",$E$7,VLOOKUP(Table157810[[#This Row],[Period]],Forecast!$H$2:$L$1048576,4,FALSE))*Table157810[[#This Row],[Beginning Balance]],Table157810[[#This Row],[Beginning Balance]]-Table157810[[#This Row],[Principal]]),0),2)))</f>
        <v>0</v>
      </c>
      <c r="J341" s="3">
        <f>ROUND(MIN(Table157810[[#This Row],[Beginning Balance]]*IF($C$8="No",$E$3,VLOOKUP(Table157810[[#This Row],[Period]],Forecast!$H$2:$L$1048576,2,FALSE)),Table157810[[#This Row],[Beginning Balance]]-Table157810[[#This Row],[Principal]]-Table157810[[#This Row],[Prepayments]]),2)</f>
        <v>0</v>
      </c>
      <c r="K341" s="3">
        <f>ROUND(Table157810[[#This Row],[Defaulted Principal]]*IF($C$9="No",$E$4,VLOOKUP(Table157810[[#This Row],[Period]],Forecast!$H$2:$L$1048576,3,FALSE)),2)</f>
        <v>0</v>
      </c>
      <c r="L341" s="2">
        <f>Table157810[[#This Row],[Period]]+$E$9</f>
        <v>337</v>
      </c>
      <c r="M341" s="3">
        <f>Table157810[[#This Row],[Defaulted Principal]]-Table157810[[#This Row],[Estimated Loss]]</f>
        <v>0</v>
      </c>
      <c r="N341" s="3">
        <f>IFERROR(VLOOKUP(Table157810[[#This Row],[Period]],$L$16:$M$385,2,FALSE),0)</f>
        <v>0</v>
      </c>
      <c r="O341" s="3">
        <f>Table157810[[#This Row],[Beginning Balance]]-Table157810[[#This Row],[Principal]]-Table157810[[#This Row],[Prepayments]]-Table157810[[#This Row],[Defaulted Principal]]</f>
        <v>0</v>
      </c>
      <c r="P341" s="3">
        <f>Table157810[[#This Row],[Principal]]+Table157810[[#This Row],[Interest]]+Table157810[[#This Row],[Prepayments]]+Table157810[[#This Row],[RecoveredAmount]]</f>
        <v>0</v>
      </c>
      <c r="Q341" s="3">
        <f ca="1">ROUND(Table157810[[#This Row],[Cash Flow]]/((1+ActualRateToUse)^(IF(ISNUMBER(SEARCH("Actual",$C$7)),Table157810[[#This Row],[Running Total]]/365,Table157810[[#This Row],[Period]]/12))),2)</f>
        <v>0</v>
      </c>
      <c r="R341" s="2">
        <f>IF(MONTH(Table157810[[#This Row],[Date]])=2,28,DAY(DATE(YEAR(Table157810[[#This Row],[Date]]),MONTH(Table157810[[#This Row],[Date]])+1,1)-1))</f>
        <v>31</v>
      </c>
      <c r="S341" s="2">
        <f ca="1">SUM(OFFSET(Table157810[[#Headers],[Days in month]],1,0):Table157810[[#This Row],[Days in month]])</f>
        <v>9886</v>
      </c>
      <c r="T341" s="37">
        <f>InterestRate*AmortizationMultiplier*IF(ISNUMBER(SEARCH("Actual",$C$7)),Table157810[[#This Row],[Days in month]]/365,1/12)</f>
        <v>5.9839472222222214E-3</v>
      </c>
    </row>
    <row r="342" spans="2:20" x14ac:dyDescent="0.2">
      <c r="B342" s="1">
        <f t="shared" si="18"/>
        <v>55762</v>
      </c>
      <c r="C342" s="2">
        <f t="shared" si="20"/>
        <v>326</v>
      </c>
      <c r="D342" s="3">
        <f t="shared" si="19"/>
        <v>0</v>
      </c>
      <c r="E342" s="3">
        <f>ROUND(Table157810[[#This Row],[Beginning Balance]]*Table157810[[#This Row],[Monthly Interest Rate]],2)</f>
        <v>0</v>
      </c>
      <c r="F342" s="3">
        <f t="shared" si="21"/>
        <v>516</v>
      </c>
      <c r="G342" s="23">
        <f>IFERROR(IF($C$13="No","N/A",IF(Table157810[[#This Row],[Period]]=1,$C$6,PMT(InterestRate*AmortizationMultiplier/12,Table157810[[#This Row],[Am Thru]],-Table157810[[#This Row],[Beginning Balance]]))),0)</f>
        <v>0</v>
      </c>
      <c r="H342" s="3">
        <f>MAX(0,IF(C342=$C$4,D342,ROUND(IF($C$3="Fixed Principal",$C$6-Table157810[[#This Row],[Interest]],IF($C$3="Interest Only",Table157810[[#This Row],[Beginning Balance]]*ROUND(1-(1-IF($C$11="No",$E$8,1))^(1/12),6),MIN(IF($C$13="Yes",Table157810[[#This Row],[Payment Amount (Reamortized)]],$C$6)-Table157810[[#This Row],[Interest]],Table157810[[#This Row],[Beginning Balance]]))),2)))</f>
        <v>0</v>
      </c>
      <c r="I342" s="3">
        <f>_xlfn.SINGLE(IF($C$3="Line of Credit",0,ROUND(MAX(MIN(IF($C$10="No",$E$7,VLOOKUP(Table157810[[#This Row],[Period]],Forecast!$H$2:$L$1048576,4,FALSE))*Table157810[[#This Row],[Beginning Balance]],Table157810[[#This Row],[Beginning Balance]]-Table157810[[#This Row],[Principal]]),0),2)))</f>
        <v>0</v>
      </c>
      <c r="J342" s="3">
        <f>ROUND(MIN(Table157810[[#This Row],[Beginning Balance]]*IF($C$8="No",$E$3,VLOOKUP(Table157810[[#This Row],[Period]],Forecast!$H$2:$L$1048576,2,FALSE)),Table157810[[#This Row],[Beginning Balance]]-Table157810[[#This Row],[Principal]]-Table157810[[#This Row],[Prepayments]]),2)</f>
        <v>0</v>
      </c>
      <c r="K342" s="3">
        <f>ROUND(Table157810[[#This Row],[Defaulted Principal]]*IF($C$9="No",$E$4,VLOOKUP(Table157810[[#This Row],[Period]],Forecast!$H$2:$L$1048576,3,FALSE)),2)</f>
        <v>0</v>
      </c>
      <c r="L342" s="2">
        <f>Table157810[[#This Row],[Period]]+$E$9</f>
        <v>338</v>
      </c>
      <c r="M342" s="3">
        <f>Table157810[[#This Row],[Defaulted Principal]]-Table157810[[#This Row],[Estimated Loss]]</f>
        <v>0</v>
      </c>
      <c r="N342" s="3">
        <f>IFERROR(VLOOKUP(Table157810[[#This Row],[Period]],$L$16:$M$385,2,FALSE),0)</f>
        <v>0</v>
      </c>
      <c r="O342" s="3">
        <f>Table157810[[#This Row],[Beginning Balance]]-Table157810[[#This Row],[Principal]]-Table157810[[#This Row],[Prepayments]]-Table157810[[#This Row],[Defaulted Principal]]</f>
        <v>0</v>
      </c>
      <c r="P342" s="3">
        <f>Table157810[[#This Row],[Principal]]+Table157810[[#This Row],[Interest]]+Table157810[[#This Row],[Prepayments]]+Table157810[[#This Row],[RecoveredAmount]]</f>
        <v>0</v>
      </c>
      <c r="Q342" s="3">
        <f ca="1">ROUND(Table157810[[#This Row],[Cash Flow]]/((1+ActualRateToUse)^(IF(ISNUMBER(SEARCH("Actual",$C$7)),Table157810[[#This Row],[Running Total]]/365,Table157810[[#This Row],[Period]]/12))),2)</f>
        <v>0</v>
      </c>
      <c r="R342" s="2">
        <f>IF(MONTH(Table157810[[#This Row],[Date]])=2,28,DAY(DATE(YEAR(Table157810[[#This Row],[Date]]),MONTH(Table157810[[#This Row],[Date]])+1,1)-1))</f>
        <v>31</v>
      </c>
      <c r="S342" s="2">
        <f ca="1">SUM(OFFSET(Table157810[[#Headers],[Days in month]],1,0):Table157810[[#This Row],[Days in month]])</f>
        <v>9917</v>
      </c>
      <c r="T342" s="37">
        <f>InterestRate*AmortizationMultiplier*IF(ISNUMBER(SEARCH("Actual",$C$7)),Table157810[[#This Row],[Days in month]]/365,1/12)</f>
        <v>5.9839472222222214E-3</v>
      </c>
    </row>
    <row r="343" spans="2:20" x14ac:dyDescent="0.2">
      <c r="B343" s="1">
        <f t="shared" si="18"/>
        <v>55792</v>
      </c>
      <c r="C343" s="2">
        <f t="shared" si="20"/>
        <v>327</v>
      </c>
      <c r="D343" s="3">
        <f t="shared" si="19"/>
        <v>0</v>
      </c>
      <c r="E343" s="3">
        <f>ROUND(Table157810[[#This Row],[Beginning Balance]]*Table157810[[#This Row],[Monthly Interest Rate]],2)</f>
        <v>0</v>
      </c>
      <c r="F343" s="3">
        <f t="shared" si="21"/>
        <v>515</v>
      </c>
      <c r="G343" s="23">
        <f>IFERROR(IF($C$13="No","N/A",IF(Table157810[[#This Row],[Period]]=1,$C$6,PMT(InterestRate*AmortizationMultiplier/12,Table157810[[#This Row],[Am Thru]],-Table157810[[#This Row],[Beginning Balance]]))),0)</f>
        <v>0</v>
      </c>
      <c r="H343" s="3">
        <f>MAX(0,IF(C343=$C$4,D343,ROUND(IF($C$3="Fixed Principal",$C$6-Table157810[[#This Row],[Interest]],IF($C$3="Interest Only",Table157810[[#This Row],[Beginning Balance]]*ROUND(1-(1-IF($C$11="No",$E$8,1))^(1/12),6),MIN(IF($C$13="Yes",Table157810[[#This Row],[Payment Amount (Reamortized)]],$C$6)-Table157810[[#This Row],[Interest]],Table157810[[#This Row],[Beginning Balance]]))),2)))</f>
        <v>0</v>
      </c>
      <c r="I343" s="3">
        <f>_xlfn.SINGLE(IF($C$3="Line of Credit",0,ROUND(MAX(MIN(IF($C$10="No",$E$7,VLOOKUP(Table157810[[#This Row],[Period]],Forecast!$H$2:$L$1048576,4,FALSE))*Table157810[[#This Row],[Beginning Balance]],Table157810[[#This Row],[Beginning Balance]]-Table157810[[#This Row],[Principal]]),0),2)))</f>
        <v>0</v>
      </c>
      <c r="J343" s="3">
        <f>ROUND(MIN(Table157810[[#This Row],[Beginning Balance]]*IF($C$8="No",$E$3,VLOOKUP(Table157810[[#This Row],[Period]],Forecast!$H$2:$L$1048576,2,FALSE)),Table157810[[#This Row],[Beginning Balance]]-Table157810[[#This Row],[Principal]]-Table157810[[#This Row],[Prepayments]]),2)</f>
        <v>0</v>
      </c>
      <c r="K343" s="3">
        <f>ROUND(Table157810[[#This Row],[Defaulted Principal]]*IF($C$9="No",$E$4,VLOOKUP(Table157810[[#This Row],[Period]],Forecast!$H$2:$L$1048576,3,FALSE)),2)</f>
        <v>0</v>
      </c>
      <c r="L343" s="2">
        <f>Table157810[[#This Row],[Period]]+$E$9</f>
        <v>339</v>
      </c>
      <c r="M343" s="3">
        <f>Table157810[[#This Row],[Defaulted Principal]]-Table157810[[#This Row],[Estimated Loss]]</f>
        <v>0</v>
      </c>
      <c r="N343" s="3">
        <f>IFERROR(VLOOKUP(Table157810[[#This Row],[Period]],$L$16:$M$385,2,FALSE),0)</f>
        <v>0</v>
      </c>
      <c r="O343" s="3">
        <f>Table157810[[#This Row],[Beginning Balance]]-Table157810[[#This Row],[Principal]]-Table157810[[#This Row],[Prepayments]]-Table157810[[#This Row],[Defaulted Principal]]</f>
        <v>0</v>
      </c>
      <c r="P343" s="3">
        <f>Table157810[[#This Row],[Principal]]+Table157810[[#This Row],[Interest]]+Table157810[[#This Row],[Prepayments]]+Table157810[[#This Row],[RecoveredAmount]]</f>
        <v>0</v>
      </c>
      <c r="Q343" s="3">
        <f ca="1">ROUND(Table157810[[#This Row],[Cash Flow]]/((1+ActualRateToUse)^(IF(ISNUMBER(SEARCH("Actual",$C$7)),Table157810[[#This Row],[Running Total]]/365,Table157810[[#This Row],[Period]]/12))),2)</f>
        <v>0</v>
      </c>
      <c r="R343" s="2">
        <f>IF(MONTH(Table157810[[#This Row],[Date]])=2,28,DAY(DATE(YEAR(Table157810[[#This Row],[Date]]),MONTH(Table157810[[#This Row],[Date]])+1,1)-1))</f>
        <v>30</v>
      </c>
      <c r="S343" s="2">
        <f ca="1">SUM(OFFSET(Table157810[[#Headers],[Days in month]],1,0):Table157810[[#This Row],[Days in month]])</f>
        <v>9947</v>
      </c>
      <c r="T343" s="37">
        <f>InterestRate*AmortizationMultiplier*IF(ISNUMBER(SEARCH("Actual",$C$7)),Table157810[[#This Row],[Days in month]]/365,1/12)</f>
        <v>5.7909166666666656E-3</v>
      </c>
    </row>
    <row r="344" spans="2:20" x14ac:dyDescent="0.2">
      <c r="B344" s="1">
        <f t="shared" si="18"/>
        <v>55823</v>
      </c>
      <c r="C344" s="2">
        <f t="shared" si="20"/>
        <v>328</v>
      </c>
      <c r="D344" s="3">
        <f t="shared" si="19"/>
        <v>0</v>
      </c>
      <c r="E344" s="3">
        <f>ROUND(Table157810[[#This Row],[Beginning Balance]]*Table157810[[#This Row],[Monthly Interest Rate]],2)</f>
        <v>0</v>
      </c>
      <c r="F344" s="3">
        <f t="shared" si="21"/>
        <v>514</v>
      </c>
      <c r="G344" s="23">
        <f>IFERROR(IF($C$13="No","N/A",IF(Table157810[[#This Row],[Period]]=1,$C$6,PMT(InterestRate*AmortizationMultiplier/12,Table157810[[#This Row],[Am Thru]],-Table157810[[#This Row],[Beginning Balance]]))),0)</f>
        <v>0</v>
      </c>
      <c r="H344" s="3">
        <f>MAX(0,IF(C344=$C$4,D344,ROUND(IF($C$3="Fixed Principal",$C$6-Table157810[[#This Row],[Interest]],IF($C$3="Interest Only",Table157810[[#This Row],[Beginning Balance]]*ROUND(1-(1-IF($C$11="No",$E$8,1))^(1/12),6),MIN(IF($C$13="Yes",Table157810[[#This Row],[Payment Amount (Reamortized)]],$C$6)-Table157810[[#This Row],[Interest]],Table157810[[#This Row],[Beginning Balance]]))),2)))</f>
        <v>0</v>
      </c>
      <c r="I344" s="3">
        <f>_xlfn.SINGLE(IF($C$3="Line of Credit",0,ROUND(MAX(MIN(IF($C$10="No",$E$7,VLOOKUP(Table157810[[#This Row],[Period]],Forecast!$H$2:$L$1048576,4,FALSE))*Table157810[[#This Row],[Beginning Balance]],Table157810[[#This Row],[Beginning Balance]]-Table157810[[#This Row],[Principal]]),0),2)))</f>
        <v>0</v>
      </c>
      <c r="J344" s="3">
        <f>ROUND(MIN(Table157810[[#This Row],[Beginning Balance]]*IF($C$8="No",$E$3,VLOOKUP(Table157810[[#This Row],[Period]],Forecast!$H$2:$L$1048576,2,FALSE)),Table157810[[#This Row],[Beginning Balance]]-Table157810[[#This Row],[Principal]]-Table157810[[#This Row],[Prepayments]]),2)</f>
        <v>0</v>
      </c>
      <c r="K344" s="3">
        <f>ROUND(Table157810[[#This Row],[Defaulted Principal]]*IF($C$9="No",$E$4,VLOOKUP(Table157810[[#This Row],[Period]],Forecast!$H$2:$L$1048576,3,FALSE)),2)</f>
        <v>0</v>
      </c>
      <c r="L344" s="2">
        <f>Table157810[[#This Row],[Period]]+$E$9</f>
        <v>340</v>
      </c>
      <c r="M344" s="3">
        <f>Table157810[[#This Row],[Defaulted Principal]]-Table157810[[#This Row],[Estimated Loss]]</f>
        <v>0</v>
      </c>
      <c r="N344" s="3">
        <f>IFERROR(VLOOKUP(Table157810[[#This Row],[Period]],$L$16:$M$385,2,FALSE),0)</f>
        <v>0</v>
      </c>
      <c r="O344" s="3">
        <f>Table157810[[#This Row],[Beginning Balance]]-Table157810[[#This Row],[Principal]]-Table157810[[#This Row],[Prepayments]]-Table157810[[#This Row],[Defaulted Principal]]</f>
        <v>0</v>
      </c>
      <c r="P344" s="3">
        <f>Table157810[[#This Row],[Principal]]+Table157810[[#This Row],[Interest]]+Table157810[[#This Row],[Prepayments]]+Table157810[[#This Row],[RecoveredAmount]]</f>
        <v>0</v>
      </c>
      <c r="Q344" s="3">
        <f ca="1">ROUND(Table157810[[#This Row],[Cash Flow]]/((1+ActualRateToUse)^(IF(ISNUMBER(SEARCH("Actual",$C$7)),Table157810[[#This Row],[Running Total]]/365,Table157810[[#This Row],[Period]]/12))),2)</f>
        <v>0</v>
      </c>
      <c r="R344" s="2">
        <f>IF(MONTH(Table157810[[#This Row],[Date]])=2,28,DAY(DATE(YEAR(Table157810[[#This Row],[Date]]),MONTH(Table157810[[#This Row],[Date]])+1,1)-1))</f>
        <v>31</v>
      </c>
      <c r="S344" s="2">
        <f ca="1">SUM(OFFSET(Table157810[[#Headers],[Days in month]],1,0):Table157810[[#This Row],[Days in month]])</f>
        <v>9978</v>
      </c>
      <c r="T344" s="37">
        <f>InterestRate*AmortizationMultiplier*IF(ISNUMBER(SEARCH("Actual",$C$7)),Table157810[[#This Row],[Days in month]]/365,1/12)</f>
        <v>5.9839472222222214E-3</v>
      </c>
    </row>
    <row r="345" spans="2:20" x14ac:dyDescent="0.2">
      <c r="B345" s="1">
        <f t="shared" si="18"/>
        <v>55853</v>
      </c>
      <c r="C345" s="2">
        <f t="shared" si="20"/>
        <v>329</v>
      </c>
      <c r="D345" s="3">
        <f t="shared" si="19"/>
        <v>0</v>
      </c>
      <c r="E345" s="3">
        <f>ROUND(Table157810[[#This Row],[Beginning Balance]]*Table157810[[#This Row],[Monthly Interest Rate]],2)</f>
        <v>0</v>
      </c>
      <c r="F345" s="3">
        <f t="shared" si="21"/>
        <v>513</v>
      </c>
      <c r="G345" s="23">
        <f>IFERROR(IF($C$13="No","N/A",IF(Table157810[[#This Row],[Period]]=1,$C$6,PMT(InterestRate*AmortizationMultiplier/12,Table157810[[#This Row],[Am Thru]],-Table157810[[#This Row],[Beginning Balance]]))),0)</f>
        <v>0</v>
      </c>
      <c r="H345" s="3">
        <f>MAX(0,IF(C345=$C$4,D345,ROUND(IF($C$3="Fixed Principal",$C$6-Table157810[[#This Row],[Interest]],IF($C$3="Interest Only",Table157810[[#This Row],[Beginning Balance]]*ROUND(1-(1-IF($C$11="No",$E$8,1))^(1/12),6),MIN(IF($C$13="Yes",Table157810[[#This Row],[Payment Amount (Reamortized)]],$C$6)-Table157810[[#This Row],[Interest]],Table157810[[#This Row],[Beginning Balance]]))),2)))</f>
        <v>0</v>
      </c>
      <c r="I345" s="3">
        <f>_xlfn.SINGLE(IF($C$3="Line of Credit",0,ROUND(MAX(MIN(IF($C$10="No",$E$7,VLOOKUP(Table157810[[#This Row],[Period]],Forecast!$H$2:$L$1048576,4,FALSE))*Table157810[[#This Row],[Beginning Balance]],Table157810[[#This Row],[Beginning Balance]]-Table157810[[#This Row],[Principal]]),0),2)))</f>
        <v>0</v>
      </c>
      <c r="J345" s="3">
        <f>ROUND(MIN(Table157810[[#This Row],[Beginning Balance]]*IF($C$8="No",$E$3,VLOOKUP(Table157810[[#This Row],[Period]],Forecast!$H$2:$L$1048576,2,FALSE)),Table157810[[#This Row],[Beginning Balance]]-Table157810[[#This Row],[Principal]]-Table157810[[#This Row],[Prepayments]]),2)</f>
        <v>0</v>
      </c>
      <c r="K345" s="3">
        <f>ROUND(Table157810[[#This Row],[Defaulted Principal]]*IF($C$9="No",$E$4,VLOOKUP(Table157810[[#This Row],[Period]],Forecast!$H$2:$L$1048576,3,FALSE)),2)</f>
        <v>0</v>
      </c>
      <c r="L345" s="2">
        <f>Table157810[[#This Row],[Period]]+$E$9</f>
        <v>341</v>
      </c>
      <c r="M345" s="3">
        <f>Table157810[[#This Row],[Defaulted Principal]]-Table157810[[#This Row],[Estimated Loss]]</f>
        <v>0</v>
      </c>
      <c r="N345" s="3">
        <f>IFERROR(VLOOKUP(Table157810[[#This Row],[Period]],$L$16:$M$385,2,FALSE),0)</f>
        <v>0</v>
      </c>
      <c r="O345" s="3">
        <f>Table157810[[#This Row],[Beginning Balance]]-Table157810[[#This Row],[Principal]]-Table157810[[#This Row],[Prepayments]]-Table157810[[#This Row],[Defaulted Principal]]</f>
        <v>0</v>
      </c>
      <c r="P345" s="3">
        <f>Table157810[[#This Row],[Principal]]+Table157810[[#This Row],[Interest]]+Table157810[[#This Row],[Prepayments]]+Table157810[[#This Row],[RecoveredAmount]]</f>
        <v>0</v>
      </c>
      <c r="Q345" s="3">
        <f ca="1">ROUND(Table157810[[#This Row],[Cash Flow]]/((1+ActualRateToUse)^(IF(ISNUMBER(SEARCH("Actual",$C$7)),Table157810[[#This Row],[Running Total]]/365,Table157810[[#This Row],[Period]]/12))),2)</f>
        <v>0</v>
      </c>
      <c r="R345" s="2">
        <f>IF(MONTH(Table157810[[#This Row],[Date]])=2,28,DAY(DATE(YEAR(Table157810[[#This Row],[Date]]),MONTH(Table157810[[#This Row],[Date]])+1,1)-1))</f>
        <v>30</v>
      </c>
      <c r="S345" s="2">
        <f ca="1">SUM(OFFSET(Table157810[[#Headers],[Days in month]],1,0):Table157810[[#This Row],[Days in month]])</f>
        <v>10008</v>
      </c>
      <c r="T345" s="37">
        <f>InterestRate*AmortizationMultiplier*IF(ISNUMBER(SEARCH("Actual",$C$7)),Table157810[[#This Row],[Days in month]]/365,1/12)</f>
        <v>5.7909166666666656E-3</v>
      </c>
    </row>
    <row r="346" spans="2:20" x14ac:dyDescent="0.2">
      <c r="B346" s="1">
        <f t="shared" si="18"/>
        <v>55884</v>
      </c>
      <c r="C346" s="2">
        <f t="shared" si="20"/>
        <v>330</v>
      </c>
      <c r="D346" s="3">
        <f t="shared" si="19"/>
        <v>0</v>
      </c>
      <c r="E346" s="3">
        <f>ROUND(Table157810[[#This Row],[Beginning Balance]]*Table157810[[#This Row],[Monthly Interest Rate]],2)</f>
        <v>0</v>
      </c>
      <c r="F346" s="3">
        <f t="shared" si="21"/>
        <v>512</v>
      </c>
      <c r="G346" s="23">
        <f>IFERROR(IF($C$13="No","N/A",IF(Table157810[[#This Row],[Period]]=1,$C$6,PMT(InterestRate*AmortizationMultiplier/12,Table157810[[#This Row],[Am Thru]],-Table157810[[#This Row],[Beginning Balance]]))),0)</f>
        <v>0</v>
      </c>
      <c r="H346" s="3">
        <f>MAX(0,IF(C346=$C$4,D346,ROUND(IF($C$3="Fixed Principal",$C$6-Table157810[[#This Row],[Interest]],IF($C$3="Interest Only",Table157810[[#This Row],[Beginning Balance]]*ROUND(1-(1-IF($C$11="No",$E$8,1))^(1/12),6),MIN(IF($C$13="Yes",Table157810[[#This Row],[Payment Amount (Reamortized)]],$C$6)-Table157810[[#This Row],[Interest]],Table157810[[#This Row],[Beginning Balance]]))),2)))</f>
        <v>0</v>
      </c>
      <c r="I346" s="3">
        <f>_xlfn.SINGLE(IF($C$3="Line of Credit",0,ROUND(MAX(MIN(IF($C$10="No",$E$7,VLOOKUP(Table157810[[#This Row],[Period]],Forecast!$H$2:$L$1048576,4,FALSE))*Table157810[[#This Row],[Beginning Balance]],Table157810[[#This Row],[Beginning Balance]]-Table157810[[#This Row],[Principal]]),0),2)))</f>
        <v>0</v>
      </c>
      <c r="J346" s="3">
        <f>ROUND(MIN(Table157810[[#This Row],[Beginning Balance]]*IF($C$8="No",$E$3,VLOOKUP(Table157810[[#This Row],[Period]],Forecast!$H$2:$L$1048576,2,FALSE)),Table157810[[#This Row],[Beginning Balance]]-Table157810[[#This Row],[Principal]]-Table157810[[#This Row],[Prepayments]]),2)</f>
        <v>0</v>
      </c>
      <c r="K346" s="3">
        <f>ROUND(Table157810[[#This Row],[Defaulted Principal]]*IF($C$9="No",$E$4,VLOOKUP(Table157810[[#This Row],[Period]],Forecast!$H$2:$L$1048576,3,FALSE)),2)</f>
        <v>0</v>
      </c>
      <c r="L346" s="2">
        <f>Table157810[[#This Row],[Period]]+$E$9</f>
        <v>342</v>
      </c>
      <c r="M346" s="3">
        <f>Table157810[[#This Row],[Defaulted Principal]]-Table157810[[#This Row],[Estimated Loss]]</f>
        <v>0</v>
      </c>
      <c r="N346" s="3">
        <f>IFERROR(VLOOKUP(Table157810[[#This Row],[Period]],$L$16:$M$385,2,FALSE),0)</f>
        <v>0</v>
      </c>
      <c r="O346" s="3">
        <f>Table157810[[#This Row],[Beginning Balance]]-Table157810[[#This Row],[Principal]]-Table157810[[#This Row],[Prepayments]]-Table157810[[#This Row],[Defaulted Principal]]</f>
        <v>0</v>
      </c>
      <c r="P346" s="3">
        <f>Table157810[[#This Row],[Principal]]+Table157810[[#This Row],[Interest]]+Table157810[[#This Row],[Prepayments]]+Table157810[[#This Row],[RecoveredAmount]]</f>
        <v>0</v>
      </c>
      <c r="Q346" s="3">
        <f ca="1">ROUND(Table157810[[#This Row],[Cash Flow]]/((1+ActualRateToUse)^(IF(ISNUMBER(SEARCH("Actual",$C$7)),Table157810[[#This Row],[Running Total]]/365,Table157810[[#This Row],[Period]]/12))),2)</f>
        <v>0</v>
      </c>
      <c r="R346" s="2">
        <f>IF(MONTH(Table157810[[#This Row],[Date]])=2,28,DAY(DATE(YEAR(Table157810[[#This Row],[Date]]),MONTH(Table157810[[#This Row],[Date]])+1,1)-1))</f>
        <v>31</v>
      </c>
      <c r="S346" s="2">
        <f ca="1">SUM(OFFSET(Table157810[[#Headers],[Days in month]],1,0):Table157810[[#This Row],[Days in month]])</f>
        <v>10039</v>
      </c>
      <c r="T346" s="37">
        <f>InterestRate*AmortizationMultiplier*IF(ISNUMBER(SEARCH("Actual",$C$7)),Table157810[[#This Row],[Days in month]]/365,1/12)</f>
        <v>5.9839472222222214E-3</v>
      </c>
    </row>
    <row r="347" spans="2:20" x14ac:dyDescent="0.2">
      <c r="B347" s="1">
        <f t="shared" si="18"/>
        <v>55915</v>
      </c>
      <c r="C347" s="2">
        <f t="shared" si="20"/>
        <v>331</v>
      </c>
      <c r="D347" s="3">
        <f t="shared" si="19"/>
        <v>0</v>
      </c>
      <c r="E347" s="3">
        <f>ROUND(Table157810[[#This Row],[Beginning Balance]]*Table157810[[#This Row],[Monthly Interest Rate]],2)</f>
        <v>0</v>
      </c>
      <c r="F347" s="3">
        <f t="shared" si="21"/>
        <v>511</v>
      </c>
      <c r="G347" s="23">
        <f>IFERROR(IF($C$13="No","N/A",IF(Table157810[[#This Row],[Period]]=1,$C$6,PMT(InterestRate*AmortizationMultiplier/12,Table157810[[#This Row],[Am Thru]],-Table157810[[#This Row],[Beginning Balance]]))),0)</f>
        <v>0</v>
      </c>
      <c r="H347" s="3">
        <f>MAX(0,IF(C347=$C$4,D347,ROUND(IF($C$3="Fixed Principal",$C$6-Table157810[[#This Row],[Interest]],IF($C$3="Interest Only",Table157810[[#This Row],[Beginning Balance]]*ROUND(1-(1-IF($C$11="No",$E$8,1))^(1/12),6),MIN(IF($C$13="Yes",Table157810[[#This Row],[Payment Amount (Reamortized)]],$C$6)-Table157810[[#This Row],[Interest]],Table157810[[#This Row],[Beginning Balance]]))),2)))</f>
        <v>0</v>
      </c>
      <c r="I347" s="3">
        <f>_xlfn.SINGLE(IF($C$3="Line of Credit",0,ROUND(MAX(MIN(IF($C$10="No",$E$7,VLOOKUP(Table157810[[#This Row],[Period]],Forecast!$H$2:$L$1048576,4,FALSE))*Table157810[[#This Row],[Beginning Balance]],Table157810[[#This Row],[Beginning Balance]]-Table157810[[#This Row],[Principal]]),0),2)))</f>
        <v>0</v>
      </c>
      <c r="J347" s="3">
        <f>ROUND(MIN(Table157810[[#This Row],[Beginning Balance]]*IF($C$8="No",$E$3,VLOOKUP(Table157810[[#This Row],[Period]],Forecast!$H$2:$L$1048576,2,FALSE)),Table157810[[#This Row],[Beginning Balance]]-Table157810[[#This Row],[Principal]]-Table157810[[#This Row],[Prepayments]]),2)</f>
        <v>0</v>
      </c>
      <c r="K347" s="3">
        <f>ROUND(Table157810[[#This Row],[Defaulted Principal]]*IF($C$9="No",$E$4,VLOOKUP(Table157810[[#This Row],[Period]],Forecast!$H$2:$L$1048576,3,FALSE)),2)</f>
        <v>0</v>
      </c>
      <c r="L347" s="2">
        <f>Table157810[[#This Row],[Period]]+$E$9</f>
        <v>343</v>
      </c>
      <c r="M347" s="3">
        <f>Table157810[[#This Row],[Defaulted Principal]]-Table157810[[#This Row],[Estimated Loss]]</f>
        <v>0</v>
      </c>
      <c r="N347" s="3">
        <f>IFERROR(VLOOKUP(Table157810[[#This Row],[Period]],$L$16:$M$385,2,FALSE),0)</f>
        <v>0</v>
      </c>
      <c r="O347" s="3">
        <f>Table157810[[#This Row],[Beginning Balance]]-Table157810[[#This Row],[Principal]]-Table157810[[#This Row],[Prepayments]]-Table157810[[#This Row],[Defaulted Principal]]</f>
        <v>0</v>
      </c>
      <c r="P347" s="3">
        <f>Table157810[[#This Row],[Principal]]+Table157810[[#This Row],[Interest]]+Table157810[[#This Row],[Prepayments]]+Table157810[[#This Row],[RecoveredAmount]]</f>
        <v>0</v>
      </c>
      <c r="Q347" s="3">
        <f ca="1">ROUND(Table157810[[#This Row],[Cash Flow]]/((1+ActualRateToUse)^(IF(ISNUMBER(SEARCH("Actual",$C$7)),Table157810[[#This Row],[Running Total]]/365,Table157810[[#This Row],[Period]]/12))),2)</f>
        <v>0</v>
      </c>
      <c r="R347" s="2">
        <f>IF(MONTH(Table157810[[#This Row],[Date]])=2,28,DAY(DATE(YEAR(Table157810[[#This Row],[Date]]),MONTH(Table157810[[#This Row],[Date]])+1,1)-1))</f>
        <v>31</v>
      </c>
      <c r="S347" s="2">
        <f ca="1">SUM(OFFSET(Table157810[[#Headers],[Days in month]],1,0):Table157810[[#This Row],[Days in month]])</f>
        <v>10070</v>
      </c>
      <c r="T347" s="37">
        <f>InterestRate*AmortizationMultiplier*IF(ISNUMBER(SEARCH("Actual",$C$7)),Table157810[[#This Row],[Days in month]]/365,1/12)</f>
        <v>5.9839472222222214E-3</v>
      </c>
    </row>
    <row r="348" spans="2:20" x14ac:dyDescent="0.2">
      <c r="B348" s="1">
        <f t="shared" si="18"/>
        <v>55943</v>
      </c>
      <c r="C348" s="2">
        <f t="shared" si="20"/>
        <v>332</v>
      </c>
      <c r="D348" s="3">
        <f t="shared" si="19"/>
        <v>0</v>
      </c>
      <c r="E348" s="3">
        <f>ROUND(Table157810[[#This Row],[Beginning Balance]]*Table157810[[#This Row],[Monthly Interest Rate]],2)</f>
        <v>0</v>
      </c>
      <c r="F348" s="3">
        <f t="shared" si="21"/>
        <v>510</v>
      </c>
      <c r="G348" s="23">
        <f>IFERROR(IF($C$13="No","N/A",IF(Table157810[[#This Row],[Period]]=1,$C$6,PMT(InterestRate*AmortizationMultiplier/12,Table157810[[#This Row],[Am Thru]],-Table157810[[#This Row],[Beginning Balance]]))),0)</f>
        <v>0</v>
      </c>
      <c r="H348" s="3">
        <f>MAX(0,IF(C348=$C$4,D348,ROUND(IF($C$3="Fixed Principal",$C$6-Table157810[[#This Row],[Interest]],IF($C$3="Interest Only",Table157810[[#This Row],[Beginning Balance]]*ROUND(1-(1-IF($C$11="No",$E$8,1))^(1/12),6),MIN(IF($C$13="Yes",Table157810[[#This Row],[Payment Amount (Reamortized)]],$C$6)-Table157810[[#This Row],[Interest]],Table157810[[#This Row],[Beginning Balance]]))),2)))</f>
        <v>0</v>
      </c>
      <c r="I348" s="3">
        <f>_xlfn.SINGLE(IF($C$3="Line of Credit",0,ROUND(MAX(MIN(IF($C$10="No",$E$7,VLOOKUP(Table157810[[#This Row],[Period]],Forecast!$H$2:$L$1048576,4,FALSE))*Table157810[[#This Row],[Beginning Balance]],Table157810[[#This Row],[Beginning Balance]]-Table157810[[#This Row],[Principal]]),0),2)))</f>
        <v>0</v>
      </c>
      <c r="J348" s="3">
        <f>ROUND(MIN(Table157810[[#This Row],[Beginning Balance]]*IF($C$8="No",$E$3,VLOOKUP(Table157810[[#This Row],[Period]],Forecast!$H$2:$L$1048576,2,FALSE)),Table157810[[#This Row],[Beginning Balance]]-Table157810[[#This Row],[Principal]]-Table157810[[#This Row],[Prepayments]]),2)</f>
        <v>0</v>
      </c>
      <c r="K348" s="3">
        <f>ROUND(Table157810[[#This Row],[Defaulted Principal]]*IF($C$9="No",$E$4,VLOOKUP(Table157810[[#This Row],[Period]],Forecast!$H$2:$L$1048576,3,FALSE)),2)</f>
        <v>0</v>
      </c>
      <c r="L348" s="2">
        <f>Table157810[[#This Row],[Period]]+$E$9</f>
        <v>344</v>
      </c>
      <c r="M348" s="3">
        <f>Table157810[[#This Row],[Defaulted Principal]]-Table157810[[#This Row],[Estimated Loss]]</f>
        <v>0</v>
      </c>
      <c r="N348" s="3">
        <f>IFERROR(VLOOKUP(Table157810[[#This Row],[Period]],$L$16:$M$385,2,FALSE),0)</f>
        <v>0</v>
      </c>
      <c r="O348" s="3">
        <f>Table157810[[#This Row],[Beginning Balance]]-Table157810[[#This Row],[Principal]]-Table157810[[#This Row],[Prepayments]]-Table157810[[#This Row],[Defaulted Principal]]</f>
        <v>0</v>
      </c>
      <c r="P348" s="3">
        <f>Table157810[[#This Row],[Principal]]+Table157810[[#This Row],[Interest]]+Table157810[[#This Row],[Prepayments]]+Table157810[[#This Row],[RecoveredAmount]]</f>
        <v>0</v>
      </c>
      <c r="Q348" s="3">
        <f ca="1">ROUND(Table157810[[#This Row],[Cash Flow]]/((1+ActualRateToUse)^(IF(ISNUMBER(SEARCH("Actual",$C$7)),Table157810[[#This Row],[Running Total]]/365,Table157810[[#This Row],[Period]]/12))),2)</f>
        <v>0</v>
      </c>
      <c r="R348" s="2">
        <f>IF(MONTH(Table157810[[#This Row],[Date]])=2,28,DAY(DATE(YEAR(Table157810[[#This Row],[Date]]),MONTH(Table157810[[#This Row],[Date]])+1,1)-1))</f>
        <v>28</v>
      </c>
      <c r="S348" s="2">
        <f ca="1">SUM(OFFSET(Table157810[[#Headers],[Days in month]],1,0):Table157810[[#This Row],[Days in month]])</f>
        <v>10098</v>
      </c>
      <c r="T348" s="37">
        <f>InterestRate*AmortizationMultiplier*IF(ISNUMBER(SEARCH("Actual",$C$7)),Table157810[[#This Row],[Days in month]]/365,1/12)</f>
        <v>5.4048555555555548E-3</v>
      </c>
    </row>
    <row r="349" spans="2:20" x14ac:dyDescent="0.2">
      <c r="B349" s="1">
        <f t="shared" si="18"/>
        <v>55974</v>
      </c>
      <c r="C349" s="2">
        <f t="shared" si="20"/>
        <v>333</v>
      </c>
      <c r="D349" s="3">
        <f t="shared" si="19"/>
        <v>0</v>
      </c>
      <c r="E349" s="3">
        <f>ROUND(Table157810[[#This Row],[Beginning Balance]]*Table157810[[#This Row],[Monthly Interest Rate]],2)</f>
        <v>0</v>
      </c>
      <c r="F349" s="3">
        <f t="shared" si="21"/>
        <v>509</v>
      </c>
      <c r="G349" s="23">
        <f>IFERROR(IF($C$13="No","N/A",IF(Table157810[[#This Row],[Period]]=1,$C$6,PMT(InterestRate*AmortizationMultiplier/12,Table157810[[#This Row],[Am Thru]],-Table157810[[#This Row],[Beginning Balance]]))),0)</f>
        <v>0</v>
      </c>
      <c r="H349" s="3">
        <f>MAX(0,IF(C349=$C$4,D349,ROUND(IF($C$3="Fixed Principal",$C$6-Table157810[[#This Row],[Interest]],IF($C$3="Interest Only",Table157810[[#This Row],[Beginning Balance]]*ROUND(1-(1-IF($C$11="No",$E$8,1))^(1/12),6),MIN(IF($C$13="Yes",Table157810[[#This Row],[Payment Amount (Reamortized)]],$C$6)-Table157810[[#This Row],[Interest]],Table157810[[#This Row],[Beginning Balance]]))),2)))</f>
        <v>0</v>
      </c>
      <c r="I349" s="3">
        <f>_xlfn.SINGLE(IF($C$3="Line of Credit",0,ROUND(MAX(MIN(IF($C$10="No",$E$7,VLOOKUP(Table157810[[#This Row],[Period]],Forecast!$H$2:$L$1048576,4,FALSE))*Table157810[[#This Row],[Beginning Balance]],Table157810[[#This Row],[Beginning Balance]]-Table157810[[#This Row],[Principal]]),0),2)))</f>
        <v>0</v>
      </c>
      <c r="J349" s="3">
        <f>ROUND(MIN(Table157810[[#This Row],[Beginning Balance]]*IF($C$8="No",$E$3,VLOOKUP(Table157810[[#This Row],[Period]],Forecast!$H$2:$L$1048576,2,FALSE)),Table157810[[#This Row],[Beginning Balance]]-Table157810[[#This Row],[Principal]]-Table157810[[#This Row],[Prepayments]]),2)</f>
        <v>0</v>
      </c>
      <c r="K349" s="3">
        <f>ROUND(Table157810[[#This Row],[Defaulted Principal]]*IF($C$9="No",$E$4,VLOOKUP(Table157810[[#This Row],[Period]],Forecast!$H$2:$L$1048576,3,FALSE)),2)</f>
        <v>0</v>
      </c>
      <c r="L349" s="2">
        <f>Table157810[[#This Row],[Period]]+$E$9</f>
        <v>345</v>
      </c>
      <c r="M349" s="3">
        <f>Table157810[[#This Row],[Defaulted Principal]]-Table157810[[#This Row],[Estimated Loss]]</f>
        <v>0</v>
      </c>
      <c r="N349" s="3">
        <f>IFERROR(VLOOKUP(Table157810[[#This Row],[Period]],$L$16:$M$385,2,FALSE),0)</f>
        <v>0</v>
      </c>
      <c r="O349" s="3">
        <f>Table157810[[#This Row],[Beginning Balance]]-Table157810[[#This Row],[Principal]]-Table157810[[#This Row],[Prepayments]]-Table157810[[#This Row],[Defaulted Principal]]</f>
        <v>0</v>
      </c>
      <c r="P349" s="3">
        <f>Table157810[[#This Row],[Principal]]+Table157810[[#This Row],[Interest]]+Table157810[[#This Row],[Prepayments]]+Table157810[[#This Row],[RecoveredAmount]]</f>
        <v>0</v>
      </c>
      <c r="Q349" s="3">
        <f ca="1">ROUND(Table157810[[#This Row],[Cash Flow]]/((1+ActualRateToUse)^(IF(ISNUMBER(SEARCH("Actual",$C$7)),Table157810[[#This Row],[Running Total]]/365,Table157810[[#This Row],[Period]]/12))),2)</f>
        <v>0</v>
      </c>
      <c r="R349" s="2">
        <f>IF(MONTH(Table157810[[#This Row],[Date]])=2,28,DAY(DATE(YEAR(Table157810[[#This Row],[Date]]),MONTH(Table157810[[#This Row],[Date]])+1,1)-1))</f>
        <v>31</v>
      </c>
      <c r="S349" s="2">
        <f ca="1">SUM(OFFSET(Table157810[[#Headers],[Days in month]],1,0):Table157810[[#This Row],[Days in month]])</f>
        <v>10129</v>
      </c>
      <c r="T349" s="37">
        <f>InterestRate*AmortizationMultiplier*IF(ISNUMBER(SEARCH("Actual",$C$7)),Table157810[[#This Row],[Days in month]]/365,1/12)</f>
        <v>5.9839472222222214E-3</v>
      </c>
    </row>
    <row r="350" spans="2:20" x14ac:dyDescent="0.2">
      <c r="B350" s="1">
        <f t="shared" si="18"/>
        <v>56004</v>
      </c>
      <c r="C350" s="2">
        <f t="shared" si="20"/>
        <v>334</v>
      </c>
      <c r="D350" s="3">
        <f t="shared" si="19"/>
        <v>0</v>
      </c>
      <c r="E350" s="3">
        <f>ROUND(Table157810[[#This Row],[Beginning Balance]]*Table157810[[#This Row],[Monthly Interest Rate]],2)</f>
        <v>0</v>
      </c>
      <c r="F350" s="3">
        <f t="shared" si="21"/>
        <v>508</v>
      </c>
      <c r="G350" s="23">
        <f>IFERROR(IF($C$13="No","N/A",IF(Table157810[[#This Row],[Period]]=1,$C$6,PMT(InterestRate*AmortizationMultiplier/12,Table157810[[#This Row],[Am Thru]],-Table157810[[#This Row],[Beginning Balance]]))),0)</f>
        <v>0</v>
      </c>
      <c r="H350" s="3">
        <f>MAX(0,IF(C350=$C$4,D350,ROUND(IF($C$3="Fixed Principal",$C$6-Table157810[[#This Row],[Interest]],IF($C$3="Interest Only",Table157810[[#This Row],[Beginning Balance]]*ROUND(1-(1-IF($C$11="No",$E$8,1))^(1/12),6),MIN(IF($C$13="Yes",Table157810[[#This Row],[Payment Amount (Reamortized)]],$C$6)-Table157810[[#This Row],[Interest]],Table157810[[#This Row],[Beginning Balance]]))),2)))</f>
        <v>0</v>
      </c>
      <c r="I350" s="3">
        <f>_xlfn.SINGLE(IF($C$3="Line of Credit",0,ROUND(MAX(MIN(IF($C$10="No",$E$7,VLOOKUP(Table157810[[#This Row],[Period]],Forecast!$H$2:$L$1048576,4,FALSE))*Table157810[[#This Row],[Beginning Balance]],Table157810[[#This Row],[Beginning Balance]]-Table157810[[#This Row],[Principal]]),0),2)))</f>
        <v>0</v>
      </c>
      <c r="J350" s="3">
        <f>ROUND(MIN(Table157810[[#This Row],[Beginning Balance]]*IF($C$8="No",$E$3,VLOOKUP(Table157810[[#This Row],[Period]],Forecast!$H$2:$L$1048576,2,FALSE)),Table157810[[#This Row],[Beginning Balance]]-Table157810[[#This Row],[Principal]]-Table157810[[#This Row],[Prepayments]]),2)</f>
        <v>0</v>
      </c>
      <c r="K350" s="3">
        <f>ROUND(Table157810[[#This Row],[Defaulted Principal]]*IF($C$9="No",$E$4,VLOOKUP(Table157810[[#This Row],[Period]],Forecast!$H$2:$L$1048576,3,FALSE)),2)</f>
        <v>0</v>
      </c>
      <c r="L350" s="2">
        <f>Table157810[[#This Row],[Period]]+$E$9</f>
        <v>346</v>
      </c>
      <c r="M350" s="3">
        <f>Table157810[[#This Row],[Defaulted Principal]]-Table157810[[#This Row],[Estimated Loss]]</f>
        <v>0</v>
      </c>
      <c r="N350" s="3">
        <f>IFERROR(VLOOKUP(Table157810[[#This Row],[Period]],$L$16:$M$385,2,FALSE),0)</f>
        <v>0</v>
      </c>
      <c r="O350" s="3">
        <f>Table157810[[#This Row],[Beginning Balance]]-Table157810[[#This Row],[Principal]]-Table157810[[#This Row],[Prepayments]]-Table157810[[#This Row],[Defaulted Principal]]</f>
        <v>0</v>
      </c>
      <c r="P350" s="3">
        <f>Table157810[[#This Row],[Principal]]+Table157810[[#This Row],[Interest]]+Table157810[[#This Row],[Prepayments]]+Table157810[[#This Row],[RecoveredAmount]]</f>
        <v>0</v>
      </c>
      <c r="Q350" s="3">
        <f ca="1">ROUND(Table157810[[#This Row],[Cash Flow]]/((1+ActualRateToUse)^(IF(ISNUMBER(SEARCH("Actual",$C$7)),Table157810[[#This Row],[Running Total]]/365,Table157810[[#This Row],[Period]]/12))),2)</f>
        <v>0</v>
      </c>
      <c r="R350" s="2">
        <f>IF(MONTH(Table157810[[#This Row],[Date]])=2,28,DAY(DATE(YEAR(Table157810[[#This Row],[Date]]),MONTH(Table157810[[#This Row],[Date]])+1,1)-1))</f>
        <v>30</v>
      </c>
      <c r="S350" s="2">
        <f ca="1">SUM(OFFSET(Table157810[[#Headers],[Days in month]],1,0):Table157810[[#This Row],[Days in month]])</f>
        <v>10159</v>
      </c>
      <c r="T350" s="37">
        <f>InterestRate*AmortizationMultiplier*IF(ISNUMBER(SEARCH("Actual",$C$7)),Table157810[[#This Row],[Days in month]]/365,1/12)</f>
        <v>5.7909166666666656E-3</v>
      </c>
    </row>
    <row r="351" spans="2:20" x14ac:dyDescent="0.2">
      <c r="B351" s="1">
        <f t="shared" si="18"/>
        <v>56035</v>
      </c>
      <c r="C351" s="2">
        <f t="shared" si="20"/>
        <v>335</v>
      </c>
      <c r="D351" s="3">
        <f t="shared" si="19"/>
        <v>0</v>
      </c>
      <c r="E351" s="3">
        <f>ROUND(Table157810[[#This Row],[Beginning Balance]]*Table157810[[#This Row],[Monthly Interest Rate]],2)</f>
        <v>0</v>
      </c>
      <c r="F351" s="3">
        <f t="shared" si="21"/>
        <v>507</v>
      </c>
      <c r="G351" s="23">
        <f>IFERROR(IF($C$13="No","N/A",IF(Table157810[[#This Row],[Period]]=1,$C$6,PMT(InterestRate*AmortizationMultiplier/12,Table157810[[#This Row],[Am Thru]],-Table157810[[#This Row],[Beginning Balance]]))),0)</f>
        <v>0</v>
      </c>
      <c r="H351" s="3">
        <f>MAX(0,IF(C351=$C$4,D351,ROUND(IF($C$3="Fixed Principal",$C$6-Table157810[[#This Row],[Interest]],IF($C$3="Interest Only",Table157810[[#This Row],[Beginning Balance]]*ROUND(1-(1-IF($C$11="No",$E$8,1))^(1/12),6),MIN(IF($C$13="Yes",Table157810[[#This Row],[Payment Amount (Reamortized)]],$C$6)-Table157810[[#This Row],[Interest]],Table157810[[#This Row],[Beginning Balance]]))),2)))</f>
        <v>0</v>
      </c>
      <c r="I351" s="3">
        <f>_xlfn.SINGLE(IF($C$3="Line of Credit",0,ROUND(MAX(MIN(IF($C$10="No",$E$7,VLOOKUP(Table157810[[#This Row],[Period]],Forecast!$H$2:$L$1048576,4,FALSE))*Table157810[[#This Row],[Beginning Balance]],Table157810[[#This Row],[Beginning Balance]]-Table157810[[#This Row],[Principal]]),0),2)))</f>
        <v>0</v>
      </c>
      <c r="J351" s="3">
        <f>ROUND(MIN(Table157810[[#This Row],[Beginning Balance]]*IF($C$8="No",$E$3,VLOOKUP(Table157810[[#This Row],[Period]],Forecast!$H$2:$L$1048576,2,FALSE)),Table157810[[#This Row],[Beginning Balance]]-Table157810[[#This Row],[Principal]]-Table157810[[#This Row],[Prepayments]]),2)</f>
        <v>0</v>
      </c>
      <c r="K351" s="3">
        <f>ROUND(Table157810[[#This Row],[Defaulted Principal]]*IF($C$9="No",$E$4,VLOOKUP(Table157810[[#This Row],[Period]],Forecast!$H$2:$L$1048576,3,FALSE)),2)</f>
        <v>0</v>
      </c>
      <c r="L351" s="2">
        <f>Table157810[[#This Row],[Period]]+$E$9</f>
        <v>347</v>
      </c>
      <c r="M351" s="3">
        <f>Table157810[[#This Row],[Defaulted Principal]]-Table157810[[#This Row],[Estimated Loss]]</f>
        <v>0</v>
      </c>
      <c r="N351" s="3">
        <f>IFERROR(VLOOKUP(Table157810[[#This Row],[Period]],$L$16:$M$385,2,FALSE),0)</f>
        <v>0</v>
      </c>
      <c r="O351" s="3">
        <f>Table157810[[#This Row],[Beginning Balance]]-Table157810[[#This Row],[Principal]]-Table157810[[#This Row],[Prepayments]]-Table157810[[#This Row],[Defaulted Principal]]</f>
        <v>0</v>
      </c>
      <c r="P351" s="3">
        <f>Table157810[[#This Row],[Principal]]+Table157810[[#This Row],[Interest]]+Table157810[[#This Row],[Prepayments]]+Table157810[[#This Row],[RecoveredAmount]]</f>
        <v>0</v>
      </c>
      <c r="Q351" s="3">
        <f ca="1">ROUND(Table157810[[#This Row],[Cash Flow]]/((1+ActualRateToUse)^(IF(ISNUMBER(SEARCH("Actual",$C$7)),Table157810[[#This Row],[Running Total]]/365,Table157810[[#This Row],[Period]]/12))),2)</f>
        <v>0</v>
      </c>
      <c r="R351" s="2">
        <f>IF(MONTH(Table157810[[#This Row],[Date]])=2,28,DAY(DATE(YEAR(Table157810[[#This Row],[Date]]),MONTH(Table157810[[#This Row],[Date]])+1,1)-1))</f>
        <v>31</v>
      </c>
      <c r="S351" s="2">
        <f ca="1">SUM(OFFSET(Table157810[[#Headers],[Days in month]],1,0):Table157810[[#This Row],[Days in month]])</f>
        <v>10190</v>
      </c>
      <c r="T351" s="37">
        <f>InterestRate*AmortizationMultiplier*IF(ISNUMBER(SEARCH("Actual",$C$7)),Table157810[[#This Row],[Days in month]]/365,1/12)</f>
        <v>5.9839472222222214E-3</v>
      </c>
    </row>
    <row r="352" spans="2:20" x14ac:dyDescent="0.2">
      <c r="B352" s="1">
        <f t="shared" si="18"/>
        <v>56065</v>
      </c>
      <c r="C352" s="2">
        <f t="shared" si="20"/>
        <v>336</v>
      </c>
      <c r="D352" s="3">
        <f t="shared" si="19"/>
        <v>0</v>
      </c>
      <c r="E352" s="3">
        <f>ROUND(Table157810[[#This Row],[Beginning Balance]]*Table157810[[#This Row],[Monthly Interest Rate]],2)</f>
        <v>0</v>
      </c>
      <c r="F352" s="3">
        <f t="shared" si="21"/>
        <v>506</v>
      </c>
      <c r="G352" s="23">
        <f>IFERROR(IF($C$13="No","N/A",IF(Table157810[[#This Row],[Period]]=1,$C$6,PMT(InterestRate*AmortizationMultiplier/12,Table157810[[#This Row],[Am Thru]],-Table157810[[#This Row],[Beginning Balance]]))),0)</f>
        <v>0</v>
      </c>
      <c r="H352" s="3">
        <f>MAX(0,IF(C352=$C$4,D352,ROUND(IF($C$3="Fixed Principal",$C$6-Table157810[[#This Row],[Interest]],IF($C$3="Interest Only",Table157810[[#This Row],[Beginning Balance]]*ROUND(1-(1-IF($C$11="No",$E$8,1))^(1/12),6),MIN(IF($C$13="Yes",Table157810[[#This Row],[Payment Amount (Reamortized)]],$C$6)-Table157810[[#This Row],[Interest]],Table157810[[#This Row],[Beginning Balance]]))),2)))</f>
        <v>0</v>
      </c>
      <c r="I352" s="3">
        <f>_xlfn.SINGLE(IF($C$3="Line of Credit",0,ROUND(MAX(MIN(IF($C$10="No",$E$7,VLOOKUP(Table157810[[#This Row],[Period]],Forecast!$H$2:$L$1048576,4,FALSE))*Table157810[[#This Row],[Beginning Balance]],Table157810[[#This Row],[Beginning Balance]]-Table157810[[#This Row],[Principal]]),0),2)))</f>
        <v>0</v>
      </c>
      <c r="J352" s="3">
        <f>ROUND(MIN(Table157810[[#This Row],[Beginning Balance]]*IF($C$8="No",$E$3,VLOOKUP(Table157810[[#This Row],[Period]],Forecast!$H$2:$L$1048576,2,FALSE)),Table157810[[#This Row],[Beginning Balance]]-Table157810[[#This Row],[Principal]]-Table157810[[#This Row],[Prepayments]]),2)</f>
        <v>0</v>
      </c>
      <c r="K352" s="3">
        <f>ROUND(Table157810[[#This Row],[Defaulted Principal]]*IF($C$9="No",$E$4,VLOOKUP(Table157810[[#This Row],[Period]],Forecast!$H$2:$L$1048576,3,FALSE)),2)</f>
        <v>0</v>
      </c>
      <c r="L352" s="2">
        <f>Table157810[[#This Row],[Period]]+$E$9</f>
        <v>348</v>
      </c>
      <c r="M352" s="3">
        <f>Table157810[[#This Row],[Defaulted Principal]]-Table157810[[#This Row],[Estimated Loss]]</f>
        <v>0</v>
      </c>
      <c r="N352" s="3">
        <f>IFERROR(VLOOKUP(Table157810[[#This Row],[Period]],$L$16:$M$385,2,FALSE),0)</f>
        <v>0</v>
      </c>
      <c r="O352" s="3">
        <f>Table157810[[#This Row],[Beginning Balance]]-Table157810[[#This Row],[Principal]]-Table157810[[#This Row],[Prepayments]]-Table157810[[#This Row],[Defaulted Principal]]</f>
        <v>0</v>
      </c>
      <c r="P352" s="3">
        <f>Table157810[[#This Row],[Principal]]+Table157810[[#This Row],[Interest]]+Table157810[[#This Row],[Prepayments]]+Table157810[[#This Row],[RecoveredAmount]]</f>
        <v>0</v>
      </c>
      <c r="Q352" s="3">
        <f ca="1">ROUND(Table157810[[#This Row],[Cash Flow]]/((1+ActualRateToUse)^(IF(ISNUMBER(SEARCH("Actual",$C$7)),Table157810[[#This Row],[Running Total]]/365,Table157810[[#This Row],[Period]]/12))),2)</f>
        <v>0</v>
      </c>
      <c r="R352" s="2">
        <f>IF(MONTH(Table157810[[#This Row],[Date]])=2,28,DAY(DATE(YEAR(Table157810[[#This Row],[Date]]),MONTH(Table157810[[#This Row],[Date]])+1,1)-1))</f>
        <v>30</v>
      </c>
      <c r="S352" s="2">
        <f ca="1">SUM(OFFSET(Table157810[[#Headers],[Days in month]],1,0):Table157810[[#This Row],[Days in month]])</f>
        <v>10220</v>
      </c>
      <c r="T352" s="37">
        <f>InterestRate*AmortizationMultiplier*IF(ISNUMBER(SEARCH("Actual",$C$7)),Table157810[[#This Row],[Days in month]]/365,1/12)</f>
        <v>5.7909166666666656E-3</v>
      </c>
    </row>
    <row r="353" spans="2:20" x14ac:dyDescent="0.2">
      <c r="B353" s="1">
        <f t="shared" si="18"/>
        <v>56096</v>
      </c>
      <c r="C353" s="2">
        <f t="shared" si="20"/>
        <v>337</v>
      </c>
      <c r="D353" s="3">
        <f t="shared" si="19"/>
        <v>0</v>
      </c>
      <c r="E353" s="3">
        <f>ROUND(Table157810[[#This Row],[Beginning Balance]]*Table157810[[#This Row],[Monthly Interest Rate]],2)</f>
        <v>0</v>
      </c>
      <c r="F353" s="3">
        <f t="shared" si="21"/>
        <v>505</v>
      </c>
      <c r="G353" s="23">
        <f>IFERROR(IF($C$13="No","N/A",IF(Table157810[[#This Row],[Period]]=1,$C$6,PMT(InterestRate*AmortizationMultiplier/12,Table157810[[#This Row],[Am Thru]],-Table157810[[#This Row],[Beginning Balance]]))),0)</f>
        <v>0</v>
      </c>
      <c r="H353" s="3">
        <f>MAX(0,IF(C353=$C$4,D353,ROUND(IF($C$3="Fixed Principal",$C$6-Table157810[[#This Row],[Interest]],IF($C$3="Interest Only",Table157810[[#This Row],[Beginning Balance]]*ROUND(1-(1-IF($C$11="No",$E$8,1))^(1/12),6),MIN(IF($C$13="Yes",Table157810[[#This Row],[Payment Amount (Reamortized)]],$C$6)-Table157810[[#This Row],[Interest]],Table157810[[#This Row],[Beginning Balance]]))),2)))</f>
        <v>0</v>
      </c>
      <c r="I353" s="3">
        <f>_xlfn.SINGLE(IF($C$3="Line of Credit",0,ROUND(MAX(MIN(IF($C$10="No",$E$7,VLOOKUP(Table157810[[#This Row],[Period]],Forecast!$H$2:$L$1048576,4,FALSE))*Table157810[[#This Row],[Beginning Balance]],Table157810[[#This Row],[Beginning Balance]]-Table157810[[#This Row],[Principal]]),0),2)))</f>
        <v>0</v>
      </c>
      <c r="J353" s="3">
        <f>ROUND(MIN(Table157810[[#This Row],[Beginning Balance]]*IF($C$8="No",$E$3,VLOOKUP(Table157810[[#This Row],[Period]],Forecast!$H$2:$L$1048576,2,FALSE)),Table157810[[#This Row],[Beginning Balance]]-Table157810[[#This Row],[Principal]]-Table157810[[#This Row],[Prepayments]]),2)</f>
        <v>0</v>
      </c>
      <c r="K353" s="3">
        <f>ROUND(Table157810[[#This Row],[Defaulted Principal]]*IF($C$9="No",$E$4,VLOOKUP(Table157810[[#This Row],[Period]],Forecast!$H$2:$L$1048576,3,FALSE)),2)</f>
        <v>0</v>
      </c>
      <c r="L353" s="2">
        <f>Table157810[[#This Row],[Period]]+$E$9</f>
        <v>349</v>
      </c>
      <c r="M353" s="3">
        <f>Table157810[[#This Row],[Defaulted Principal]]-Table157810[[#This Row],[Estimated Loss]]</f>
        <v>0</v>
      </c>
      <c r="N353" s="3">
        <f>IFERROR(VLOOKUP(Table157810[[#This Row],[Period]],$L$16:$M$385,2,FALSE),0)</f>
        <v>0</v>
      </c>
      <c r="O353" s="3">
        <f>Table157810[[#This Row],[Beginning Balance]]-Table157810[[#This Row],[Principal]]-Table157810[[#This Row],[Prepayments]]-Table157810[[#This Row],[Defaulted Principal]]</f>
        <v>0</v>
      </c>
      <c r="P353" s="3">
        <f>Table157810[[#This Row],[Principal]]+Table157810[[#This Row],[Interest]]+Table157810[[#This Row],[Prepayments]]+Table157810[[#This Row],[RecoveredAmount]]</f>
        <v>0</v>
      </c>
      <c r="Q353" s="3">
        <f ca="1">ROUND(Table157810[[#This Row],[Cash Flow]]/((1+ActualRateToUse)^(IF(ISNUMBER(SEARCH("Actual",$C$7)),Table157810[[#This Row],[Running Total]]/365,Table157810[[#This Row],[Period]]/12))),2)</f>
        <v>0</v>
      </c>
      <c r="R353" s="2">
        <f>IF(MONTH(Table157810[[#This Row],[Date]])=2,28,DAY(DATE(YEAR(Table157810[[#This Row],[Date]]),MONTH(Table157810[[#This Row],[Date]])+1,1)-1))</f>
        <v>31</v>
      </c>
      <c r="S353" s="2">
        <f ca="1">SUM(OFFSET(Table157810[[#Headers],[Days in month]],1,0):Table157810[[#This Row],[Days in month]])</f>
        <v>10251</v>
      </c>
      <c r="T353" s="37">
        <f>InterestRate*AmortizationMultiplier*IF(ISNUMBER(SEARCH("Actual",$C$7)),Table157810[[#This Row],[Days in month]]/365,1/12)</f>
        <v>5.9839472222222214E-3</v>
      </c>
    </row>
    <row r="354" spans="2:20" x14ac:dyDescent="0.2">
      <c r="B354" s="1">
        <f t="shared" si="18"/>
        <v>56127</v>
      </c>
      <c r="C354" s="2">
        <f t="shared" si="20"/>
        <v>338</v>
      </c>
      <c r="D354" s="3">
        <f t="shared" si="19"/>
        <v>0</v>
      </c>
      <c r="E354" s="3">
        <f>ROUND(Table157810[[#This Row],[Beginning Balance]]*Table157810[[#This Row],[Monthly Interest Rate]],2)</f>
        <v>0</v>
      </c>
      <c r="F354" s="3">
        <f t="shared" si="21"/>
        <v>504</v>
      </c>
      <c r="G354" s="23">
        <f>IFERROR(IF($C$13="No","N/A",IF(Table157810[[#This Row],[Period]]=1,$C$6,PMT(InterestRate*AmortizationMultiplier/12,Table157810[[#This Row],[Am Thru]],-Table157810[[#This Row],[Beginning Balance]]))),0)</f>
        <v>0</v>
      </c>
      <c r="H354" s="3">
        <f>MAX(0,IF(C354=$C$4,D354,ROUND(IF($C$3="Fixed Principal",$C$6-Table157810[[#This Row],[Interest]],IF($C$3="Interest Only",Table157810[[#This Row],[Beginning Balance]]*ROUND(1-(1-IF($C$11="No",$E$8,1))^(1/12),6),MIN(IF($C$13="Yes",Table157810[[#This Row],[Payment Amount (Reamortized)]],$C$6)-Table157810[[#This Row],[Interest]],Table157810[[#This Row],[Beginning Balance]]))),2)))</f>
        <v>0</v>
      </c>
      <c r="I354" s="3">
        <f>_xlfn.SINGLE(IF($C$3="Line of Credit",0,ROUND(MAX(MIN(IF($C$10="No",$E$7,VLOOKUP(Table157810[[#This Row],[Period]],Forecast!$H$2:$L$1048576,4,FALSE))*Table157810[[#This Row],[Beginning Balance]],Table157810[[#This Row],[Beginning Balance]]-Table157810[[#This Row],[Principal]]),0),2)))</f>
        <v>0</v>
      </c>
      <c r="J354" s="3">
        <f>ROUND(MIN(Table157810[[#This Row],[Beginning Balance]]*IF($C$8="No",$E$3,VLOOKUP(Table157810[[#This Row],[Period]],Forecast!$H$2:$L$1048576,2,FALSE)),Table157810[[#This Row],[Beginning Balance]]-Table157810[[#This Row],[Principal]]-Table157810[[#This Row],[Prepayments]]),2)</f>
        <v>0</v>
      </c>
      <c r="K354" s="3">
        <f>ROUND(Table157810[[#This Row],[Defaulted Principal]]*IF($C$9="No",$E$4,VLOOKUP(Table157810[[#This Row],[Period]],Forecast!$H$2:$L$1048576,3,FALSE)),2)</f>
        <v>0</v>
      </c>
      <c r="L354" s="2">
        <f>Table157810[[#This Row],[Period]]+$E$9</f>
        <v>350</v>
      </c>
      <c r="M354" s="3">
        <f>Table157810[[#This Row],[Defaulted Principal]]-Table157810[[#This Row],[Estimated Loss]]</f>
        <v>0</v>
      </c>
      <c r="N354" s="3">
        <f>IFERROR(VLOOKUP(Table157810[[#This Row],[Period]],$L$16:$M$385,2,FALSE),0)</f>
        <v>0</v>
      </c>
      <c r="O354" s="3">
        <f>Table157810[[#This Row],[Beginning Balance]]-Table157810[[#This Row],[Principal]]-Table157810[[#This Row],[Prepayments]]-Table157810[[#This Row],[Defaulted Principal]]</f>
        <v>0</v>
      </c>
      <c r="P354" s="3">
        <f>Table157810[[#This Row],[Principal]]+Table157810[[#This Row],[Interest]]+Table157810[[#This Row],[Prepayments]]+Table157810[[#This Row],[RecoveredAmount]]</f>
        <v>0</v>
      </c>
      <c r="Q354" s="3">
        <f ca="1">ROUND(Table157810[[#This Row],[Cash Flow]]/((1+ActualRateToUse)^(IF(ISNUMBER(SEARCH("Actual",$C$7)),Table157810[[#This Row],[Running Total]]/365,Table157810[[#This Row],[Period]]/12))),2)</f>
        <v>0</v>
      </c>
      <c r="R354" s="2">
        <f>IF(MONTH(Table157810[[#This Row],[Date]])=2,28,DAY(DATE(YEAR(Table157810[[#This Row],[Date]]),MONTH(Table157810[[#This Row],[Date]])+1,1)-1))</f>
        <v>31</v>
      </c>
      <c r="S354" s="2">
        <f ca="1">SUM(OFFSET(Table157810[[#Headers],[Days in month]],1,0):Table157810[[#This Row],[Days in month]])</f>
        <v>10282</v>
      </c>
      <c r="T354" s="37">
        <f>InterestRate*AmortizationMultiplier*IF(ISNUMBER(SEARCH("Actual",$C$7)),Table157810[[#This Row],[Days in month]]/365,1/12)</f>
        <v>5.9839472222222214E-3</v>
      </c>
    </row>
    <row r="355" spans="2:20" x14ac:dyDescent="0.2">
      <c r="B355" s="1">
        <f t="shared" si="18"/>
        <v>56157</v>
      </c>
      <c r="C355" s="2">
        <f t="shared" si="20"/>
        <v>339</v>
      </c>
      <c r="D355" s="3">
        <f t="shared" si="19"/>
        <v>0</v>
      </c>
      <c r="E355" s="3">
        <f>ROUND(Table157810[[#This Row],[Beginning Balance]]*Table157810[[#This Row],[Monthly Interest Rate]],2)</f>
        <v>0</v>
      </c>
      <c r="F355" s="3">
        <f t="shared" si="21"/>
        <v>503</v>
      </c>
      <c r="G355" s="23">
        <f>IFERROR(IF($C$13="No","N/A",IF(Table157810[[#This Row],[Period]]=1,$C$6,PMT(InterestRate*AmortizationMultiplier/12,Table157810[[#This Row],[Am Thru]],-Table157810[[#This Row],[Beginning Balance]]))),0)</f>
        <v>0</v>
      </c>
      <c r="H355" s="3">
        <f>MAX(0,IF(C355=$C$4,D355,ROUND(IF($C$3="Fixed Principal",$C$6-Table157810[[#This Row],[Interest]],IF($C$3="Interest Only",Table157810[[#This Row],[Beginning Balance]]*ROUND(1-(1-IF($C$11="No",$E$8,1))^(1/12),6),MIN(IF($C$13="Yes",Table157810[[#This Row],[Payment Amount (Reamortized)]],$C$6)-Table157810[[#This Row],[Interest]],Table157810[[#This Row],[Beginning Balance]]))),2)))</f>
        <v>0</v>
      </c>
      <c r="I355" s="3">
        <f>_xlfn.SINGLE(IF($C$3="Line of Credit",0,ROUND(MAX(MIN(IF($C$10="No",$E$7,VLOOKUP(Table157810[[#This Row],[Period]],Forecast!$H$2:$L$1048576,4,FALSE))*Table157810[[#This Row],[Beginning Balance]],Table157810[[#This Row],[Beginning Balance]]-Table157810[[#This Row],[Principal]]),0),2)))</f>
        <v>0</v>
      </c>
      <c r="J355" s="3">
        <f>ROUND(MIN(Table157810[[#This Row],[Beginning Balance]]*IF($C$8="No",$E$3,VLOOKUP(Table157810[[#This Row],[Period]],Forecast!$H$2:$L$1048576,2,FALSE)),Table157810[[#This Row],[Beginning Balance]]-Table157810[[#This Row],[Principal]]-Table157810[[#This Row],[Prepayments]]),2)</f>
        <v>0</v>
      </c>
      <c r="K355" s="3">
        <f>ROUND(Table157810[[#This Row],[Defaulted Principal]]*IF($C$9="No",$E$4,VLOOKUP(Table157810[[#This Row],[Period]],Forecast!$H$2:$L$1048576,3,FALSE)),2)</f>
        <v>0</v>
      </c>
      <c r="L355" s="2">
        <f>Table157810[[#This Row],[Period]]+$E$9</f>
        <v>351</v>
      </c>
      <c r="M355" s="3">
        <f>Table157810[[#This Row],[Defaulted Principal]]-Table157810[[#This Row],[Estimated Loss]]</f>
        <v>0</v>
      </c>
      <c r="N355" s="3">
        <f>IFERROR(VLOOKUP(Table157810[[#This Row],[Period]],$L$16:$M$385,2,FALSE),0)</f>
        <v>0</v>
      </c>
      <c r="O355" s="3">
        <f>Table157810[[#This Row],[Beginning Balance]]-Table157810[[#This Row],[Principal]]-Table157810[[#This Row],[Prepayments]]-Table157810[[#This Row],[Defaulted Principal]]</f>
        <v>0</v>
      </c>
      <c r="P355" s="3">
        <f>Table157810[[#This Row],[Principal]]+Table157810[[#This Row],[Interest]]+Table157810[[#This Row],[Prepayments]]+Table157810[[#This Row],[RecoveredAmount]]</f>
        <v>0</v>
      </c>
      <c r="Q355" s="3">
        <f ca="1">ROUND(Table157810[[#This Row],[Cash Flow]]/((1+ActualRateToUse)^(IF(ISNUMBER(SEARCH("Actual",$C$7)),Table157810[[#This Row],[Running Total]]/365,Table157810[[#This Row],[Period]]/12))),2)</f>
        <v>0</v>
      </c>
      <c r="R355" s="2">
        <f>IF(MONTH(Table157810[[#This Row],[Date]])=2,28,DAY(DATE(YEAR(Table157810[[#This Row],[Date]]),MONTH(Table157810[[#This Row],[Date]])+1,1)-1))</f>
        <v>30</v>
      </c>
      <c r="S355" s="2">
        <f ca="1">SUM(OFFSET(Table157810[[#Headers],[Days in month]],1,0):Table157810[[#This Row],[Days in month]])</f>
        <v>10312</v>
      </c>
      <c r="T355" s="37">
        <f>InterestRate*AmortizationMultiplier*IF(ISNUMBER(SEARCH("Actual",$C$7)),Table157810[[#This Row],[Days in month]]/365,1/12)</f>
        <v>5.7909166666666656E-3</v>
      </c>
    </row>
    <row r="356" spans="2:20" x14ac:dyDescent="0.2">
      <c r="B356" s="1">
        <f t="shared" si="18"/>
        <v>56188</v>
      </c>
      <c r="C356" s="2">
        <f t="shared" si="20"/>
        <v>340</v>
      </c>
      <c r="D356" s="3">
        <f t="shared" si="19"/>
        <v>0</v>
      </c>
      <c r="E356" s="3">
        <f>ROUND(Table157810[[#This Row],[Beginning Balance]]*Table157810[[#This Row],[Monthly Interest Rate]],2)</f>
        <v>0</v>
      </c>
      <c r="F356" s="3">
        <f t="shared" si="21"/>
        <v>502</v>
      </c>
      <c r="G356" s="23">
        <f>IFERROR(IF($C$13="No","N/A",IF(Table157810[[#This Row],[Period]]=1,$C$6,PMT(InterestRate*AmortizationMultiplier/12,Table157810[[#This Row],[Am Thru]],-Table157810[[#This Row],[Beginning Balance]]))),0)</f>
        <v>0</v>
      </c>
      <c r="H356" s="3">
        <f>MAX(0,IF(C356=$C$4,D356,ROUND(IF($C$3="Fixed Principal",$C$6-Table157810[[#This Row],[Interest]],IF($C$3="Interest Only",Table157810[[#This Row],[Beginning Balance]]*ROUND(1-(1-IF($C$11="No",$E$8,1))^(1/12),6),MIN(IF($C$13="Yes",Table157810[[#This Row],[Payment Amount (Reamortized)]],$C$6)-Table157810[[#This Row],[Interest]],Table157810[[#This Row],[Beginning Balance]]))),2)))</f>
        <v>0</v>
      </c>
      <c r="I356" s="3">
        <f>_xlfn.SINGLE(IF($C$3="Line of Credit",0,ROUND(MAX(MIN(IF($C$10="No",$E$7,VLOOKUP(Table157810[[#This Row],[Period]],Forecast!$H$2:$L$1048576,4,FALSE))*Table157810[[#This Row],[Beginning Balance]],Table157810[[#This Row],[Beginning Balance]]-Table157810[[#This Row],[Principal]]),0),2)))</f>
        <v>0</v>
      </c>
      <c r="J356" s="3">
        <f>ROUND(MIN(Table157810[[#This Row],[Beginning Balance]]*IF($C$8="No",$E$3,VLOOKUP(Table157810[[#This Row],[Period]],Forecast!$H$2:$L$1048576,2,FALSE)),Table157810[[#This Row],[Beginning Balance]]-Table157810[[#This Row],[Principal]]-Table157810[[#This Row],[Prepayments]]),2)</f>
        <v>0</v>
      </c>
      <c r="K356" s="3">
        <f>ROUND(Table157810[[#This Row],[Defaulted Principal]]*IF($C$9="No",$E$4,VLOOKUP(Table157810[[#This Row],[Period]],Forecast!$H$2:$L$1048576,3,FALSE)),2)</f>
        <v>0</v>
      </c>
      <c r="L356" s="2">
        <f>Table157810[[#This Row],[Period]]+$E$9</f>
        <v>352</v>
      </c>
      <c r="M356" s="3">
        <f>Table157810[[#This Row],[Defaulted Principal]]-Table157810[[#This Row],[Estimated Loss]]</f>
        <v>0</v>
      </c>
      <c r="N356" s="3">
        <f>IFERROR(VLOOKUP(Table157810[[#This Row],[Period]],$L$16:$M$385,2,FALSE),0)</f>
        <v>0</v>
      </c>
      <c r="O356" s="3">
        <f>Table157810[[#This Row],[Beginning Balance]]-Table157810[[#This Row],[Principal]]-Table157810[[#This Row],[Prepayments]]-Table157810[[#This Row],[Defaulted Principal]]</f>
        <v>0</v>
      </c>
      <c r="P356" s="3">
        <f>Table157810[[#This Row],[Principal]]+Table157810[[#This Row],[Interest]]+Table157810[[#This Row],[Prepayments]]+Table157810[[#This Row],[RecoveredAmount]]</f>
        <v>0</v>
      </c>
      <c r="Q356" s="3">
        <f ca="1">ROUND(Table157810[[#This Row],[Cash Flow]]/((1+ActualRateToUse)^(IF(ISNUMBER(SEARCH("Actual",$C$7)),Table157810[[#This Row],[Running Total]]/365,Table157810[[#This Row],[Period]]/12))),2)</f>
        <v>0</v>
      </c>
      <c r="R356" s="2">
        <f>IF(MONTH(Table157810[[#This Row],[Date]])=2,28,DAY(DATE(YEAR(Table157810[[#This Row],[Date]]),MONTH(Table157810[[#This Row],[Date]])+1,1)-1))</f>
        <v>31</v>
      </c>
      <c r="S356" s="2">
        <f ca="1">SUM(OFFSET(Table157810[[#Headers],[Days in month]],1,0):Table157810[[#This Row],[Days in month]])</f>
        <v>10343</v>
      </c>
      <c r="T356" s="37">
        <f>InterestRate*AmortizationMultiplier*IF(ISNUMBER(SEARCH("Actual",$C$7)),Table157810[[#This Row],[Days in month]]/365,1/12)</f>
        <v>5.9839472222222214E-3</v>
      </c>
    </row>
    <row r="357" spans="2:20" x14ac:dyDescent="0.2">
      <c r="B357" s="1">
        <f t="shared" si="18"/>
        <v>56218</v>
      </c>
      <c r="C357" s="2">
        <f t="shared" si="20"/>
        <v>341</v>
      </c>
      <c r="D357" s="3">
        <f t="shared" si="19"/>
        <v>0</v>
      </c>
      <c r="E357" s="3">
        <f>ROUND(Table157810[[#This Row],[Beginning Balance]]*Table157810[[#This Row],[Monthly Interest Rate]],2)</f>
        <v>0</v>
      </c>
      <c r="F357" s="3">
        <f t="shared" si="21"/>
        <v>501</v>
      </c>
      <c r="G357" s="23">
        <f>IFERROR(IF($C$13="No","N/A",IF(Table157810[[#This Row],[Period]]=1,$C$6,PMT(InterestRate*AmortizationMultiplier/12,Table157810[[#This Row],[Am Thru]],-Table157810[[#This Row],[Beginning Balance]]))),0)</f>
        <v>0</v>
      </c>
      <c r="H357" s="3">
        <f>MAX(0,IF(C357=$C$4,D357,ROUND(IF($C$3="Fixed Principal",$C$6-Table157810[[#This Row],[Interest]],IF($C$3="Interest Only",Table157810[[#This Row],[Beginning Balance]]*ROUND(1-(1-IF($C$11="No",$E$8,1))^(1/12),6),MIN(IF($C$13="Yes",Table157810[[#This Row],[Payment Amount (Reamortized)]],$C$6)-Table157810[[#This Row],[Interest]],Table157810[[#This Row],[Beginning Balance]]))),2)))</f>
        <v>0</v>
      </c>
      <c r="I357" s="3">
        <f>_xlfn.SINGLE(IF($C$3="Line of Credit",0,ROUND(MAX(MIN(IF($C$10="No",$E$7,VLOOKUP(Table157810[[#This Row],[Period]],Forecast!$H$2:$L$1048576,4,FALSE))*Table157810[[#This Row],[Beginning Balance]],Table157810[[#This Row],[Beginning Balance]]-Table157810[[#This Row],[Principal]]),0),2)))</f>
        <v>0</v>
      </c>
      <c r="J357" s="3">
        <f>ROUND(MIN(Table157810[[#This Row],[Beginning Balance]]*IF($C$8="No",$E$3,VLOOKUP(Table157810[[#This Row],[Period]],Forecast!$H$2:$L$1048576,2,FALSE)),Table157810[[#This Row],[Beginning Balance]]-Table157810[[#This Row],[Principal]]-Table157810[[#This Row],[Prepayments]]),2)</f>
        <v>0</v>
      </c>
      <c r="K357" s="3">
        <f>ROUND(Table157810[[#This Row],[Defaulted Principal]]*IF($C$9="No",$E$4,VLOOKUP(Table157810[[#This Row],[Period]],Forecast!$H$2:$L$1048576,3,FALSE)),2)</f>
        <v>0</v>
      </c>
      <c r="L357" s="2">
        <f>Table157810[[#This Row],[Period]]+$E$9</f>
        <v>353</v>
      </c>
      <c r="M357" s="3">
        <f>Table157810[[#This Row],[Defaulted Principal]]-Table157810[[#This Row],[Estimated Loss]]</f>
        <v>0</v>
      </c>
      <c r="N357" s="3">
        <f>IFERROR(VLOOKUP(Table157810[[#This Row],[Period]],$L$16:$M$385,2,FALSE),0)</f>
        <v>0</v>
      </c>
      <c r="O357" s="3">
        <f>Table157810[[#This Row],[Beginning Balance]]-Table157810[[#This Row],[Principal]]-Table157810[[#This Row],[Prepayments]]-Table157810[[#This Row],[Defaulted Principal]]</f>
        <v>0</v>
      </c>
      <c r="P357" s="3">
        <f>Table157810[[#This Row],[Principal]]+Table157810[[#This Row],[Interest]]+Table157810[[#This Row],[Prepayments]]+Table157810[[#This Row],[RecoveredAmount]]</f>
        <v>0</v>
      </c>
      <c r="Q357" s="3">
        <f ca="1">ROUND(Table157810[[#This Row],[Cash Flow]]/((1+ActualRateToUse)^(IF(ISNUMBER(SEARCH("Actual",$C$7)),Table157810[[#This Row],[Running Total]]/365,Table157810[[#This Row],[Period]]/12))),2)</f>
        <v>0</v>
      </c>
      <c r="R357" s="2">
        <f>IF(MONTH(Table157810[[#This Row],[Date]])=2,28,DAY(DATE(YEAR(Table157810[[#This Row],[Date]]),MONTH(Table157810[[#This Row],[Date]])+1,1)-1))</f>
        <v>30</v>
      </c>
      <c r="S357" s="2">
        <f ca="1">SUM(OFFSET(Table157810[[#Headers],[Days in month]],1,0):Table157810[[#This Row],[Days in month]])</f>
        <v>10373</v>
      </c>
      <c r="T357" s="37">
        <f>InterestRate*AmortizationMultiplier*IF(ISNUMBER(SEARCH("Actual",$C$7)),Table157810[[#This Row],[Days in month]]/365,1/12)</f>
        <v>5.7909166666666656E-3</v>
      </c>
    </row>
    <row r="358" spans="2:20" x14ac:dyDescent="0.2">
      <c r="B358" s="1">
        <f t="shared" si="18"/>
        <v>56249</v>
      </c>
      <c r="C358" s="2">
        <f t="shared" si="20"/>
        <v>342</v>
      </c>
      <c r="D358" s="3">
        <f t="shared" si="19"/>
        <v>0</v>
      </c>
      <c r="E358" s="3">
        <f>ROUND(Table157810[[#This Row],[Beginning Balance]]*Table157810[[#This Row],[Monthly Interest Rate]],2)</f>
        <v>0</v>
      </c>
      <c r="F358" s="3">
        <f t="shared" si="21"/>
        <v>500</v>
      </c>
      <c r="G358" s="23">
        <f>IFERROR(IF($C$13="No","N/A",IF(Table157810[[#This Row],[Period]]=1,$C$6,PMT(InterestRate*AmortizationMultiplier/12,Table157810[[#This Row],[Am Thru]],-Table157810[[#This Row],[Beginning Balance]]))),0)</f>
        <v>0</v>
      </c>
      <c r="H358" s="3">
        <f>MAX(0,IF(C358=$C$4,D358,ROUND(IF($C$3="Fixed Principal",$C$6-Table157810[[#This Row],[Interest]],IF($C$3="Interest Only",Table157810[[#This Row],[Beginning Balance]]*ROUND(1-(1-IF($C$11="No",$E$8,1))^(1/12),6),MIN(IF($C$13="Yes",Table157810[[#This Row],[Payment Amount (Reamortized)]],$C$6)-Table157810[[#This Row],[Interest]],Table157810[[#This Row],[Beginning Balance]]))),2)))</f>
        <v>0</v>
      </c>
      <c r="I358" s="3">
        <f>_xlfn.SINGLE(IF($C$3="Line of Credit",0,ROUND(MAX(MIN(IF($C$10="No",$E$7,VLOOKUP(Table157810[[#This Row],[Period]],Forecast!$H$2:$L$1048576,4,FALSE))*Table157810[[#This Row],[Beginning Balance]],Table157810[[#This Row],[Beginning Balance]]-Table157810[[#This Row],[Principal]]),0),2)))</f>
        <v>0</v>
      </c>
      <c r="J358" s="3">
        <f>ROUND(MIN(Table157810[[#This Row],[Beginning Balance]]*IF($C$8="No",$E$3,VLOOKUP(Table157810[[#This Row],[Period]],Forecast!$H$2:$L$1048576,2,FALSE)),Table157810[[#This Row],[Beginning Balance]]-Table157810[[#This Row],[Principal]]-Table157810[[#This Row],[Prepayments]]),2)</f>
        <v>0</v>
      </c>
      <c r="K358" s="3">
        <f>ROUND(Table157810[[#This Row],[Defaulted Principal]]*IF($C$9="No",$E$4,VLOOKUP(Table157810[[#This Row],[Period]],Forecast!$H$2:$L$1048576,3,FALSE)),2)</f>
        <v>0</v>
      </c>
      <c r="L358" s="2">
        <f>Table157810[[#This Row],[Period]]+$E$9</f>
        <v>354</v>
      </c>
      <c r="M358" s="3">
        <f>Table157810[[#This Row],[Defaulted Principal]]-Table157810[[#This Row],[Estimated Loss]]</f>
        <v>0</v>
      </c>
      <c r="N358" s="3">
        <f>IFERROR(VLOOKUP(Table157810[[#This Row],[Period]],$L$16:$M$385,2,FALSE),0)</f>
        <v>0</v>
      </c>
      <c r="O358" s="3">
        <f>Table157810[[#This Row],[Beginning Balance]]-Table157810[[#This Row],[Principal]]-Table157810[[#This Row],[Prepayments]]-Table157810[[#This Row],[Defaulted Principal]]</f>
        <v>0</v>
      </c>
      <c r="P358" s="3">
        <f>Table157810[[#This Row],[Principal]]+Table157810[[#This Row],[Interest]]+Table157810[[#This Row],[Prepayments]]+Table157810[[#This Row],[RecoveredAmount]]</f>
        <v>0</v>
      </c>
      <c r="Q358" s="3">
        <f ca="1">ROUND(Table157810[[#This Row],[Cash Flow]]/((1+ActualRateToUse)^(IF(ISNUMBER(SEARCH("Actual",$C$7)),Table157810[[#This Row],[Running Total]]/365,Table157810[[#This Row],[Period]]/12))),2)</f>
        <v>0</v>
      </c>
      <c r="R358" s="2">
        <f>IF(MONTH(Table157810[[#This Row],[Date]])=2,28,DAY(DATE(YEAR(Table157810[[#This Row],[Date]]),MONTH(Table157810[[#This Row],[Date]])+1,1)-1))</f>
        <v>31</v>
      </c>
      <c r="S358" s="2">
        <f ca="1">SUM(OFFSET(Table157810[[#Headers],[Days in month]],1,0):Table157810[[#This Row],[Days in month]])</f>
        <v>10404</v>
      </c>
      <c r="T358" s="37">
        <f>InterestRate*AmortizationMultiplier*IF(ISNUMBER(SEARCH("Actual",$C$7)),Table157810[[#This Row],[Days in month]]/365,1/12)</f>
        <v>5.9839472222222214E-3</v>
      </c>
    </row>
    <row r="359" spans="2:20" x14ac:dyDescent="0.2">
      <c r="B359" s="1">
        <f t="shared" si="18"/>
        <v>56280</v>
      </c>
      <c r="C359" s="2">
        <f t="shared" si="20"/>
        <v>343</v>
      </c>
      <c r="D359" s="3">
        <f t="shared" si="19"/>
        <v>0</v>
      </c>
      <c r="E359" s="3">
        <f>ROUND(Table157810[[#This Row],[Beginning Balance]]*Table157810[[#This Row],[Monthly Interest Rate]],2)</f>
        <v>0</v>
      </c>
      <c r="F359" s="3">
        <f t="shared" si="21"/>
        <v>499</v>
      </c>
      <c r="G359" s="23">
        <f>IFERROR(IF($C$13="No","N/A",IF(Table157810[[#This Row],[Period]]=1,$C$6,PMT(InterestRate*AmortizationMultiplier/12,Table157810[[#This Row],[Am Thru]],-Table157810[[#This Row],[Beginning Balance]]))),0)</f>
        <v>0</v>
      </c>
      <c r="H359" s="3">
        <f>MAX(0,IF(C359=$C$4,D359,ROUND(IF($C$3="Fixed Principal",$C$6-Table157810[[#This Row],[Interest]],IF($C$3="Interest Only",Table157810[[#This Row],[Beginning Balance]]*ROUND(1-(1-IF($C$11="No",$E$8,1))^(1/12),6),MIN(IF($C$13="Yes",Table157810[[#This Row],[Payment Amount (Reamortized)]],$C$6)-Table157810[[#This Row],[Interest]],Table157810[[#This Row],[Beginning Balance]]))),2)))</f>
        <v>0</v>
      </c>
      <c r="I359" s="3">
        <f>_xlfn.SINGLE(IF($C$3="Line of Credit",0,ROUND(MAX(MIN(IF($C$10="No",$E$7,VLOOKUP(Table157810[[#This Row],[Period]],Forecast!$H$2:$L$1048576,4,FALSE))*Table157810[[#This Row],[Beginning Balance]],Table157810[[#This Row],[Beginning Balance]]-Table157810[[#This Row],[Principal]]),0),2)))</f>
        <v>0</v>
      </c>
      <c r="J359" s="3">
        <f>ROUND(MIN(Table157810[[#This Row],[Beginning Balance]]*IF($C$8="No",$E$3,VLOOKUP(Table157810[[#This Row],[Period]],Forecast!$H$2:$L$1048576,2,FALSE)),Table157810[[#This Row],[Beginning Balance]]-Table157810[[#This Row],[Principal]]-Table157810[[#This Row],[Prepayments]]),2)</f>
        <v>0</v>
      </c>
      <c r="K359" s="3">
        <f>ROUND(Table157810[[#This Row],[Defaulted Principal]]*IF($C$9="No",$E$4,VLOOKUP(Table157810[[#This Row],[Period]],Forecast!$H$2:$L$1048576,3,FALSE)),2)</f>
        <v>0</v>
      </c>
      <c r="L359" s="2">
        <f>Table157810[[#This Row],[Period]]+$E$9</f>
        <v>355</v>
      </c>
      <c r="M359" s="3">
        <f>Table157810[[#This Row],[Defaulted Principal]]-Table157810[[#This Row],[Estimated Loss]]</f>
        <v>0</v>
      </c>
      <c r="N359" s="3">
        <f>IFERROR(VLOOKUP(Table157810[[#This Row],[Period]],$L$16:$M$385,2,FALSE),0)</f>
        <v>0</v>
      </c>
      <c r="O359" s="3">
        <f>Table157810[[#This Row],[Beginning Balance]]-Table157810[[#This Row],[Principal]]-Table157810[[#This Row],[Prepayments]]-Table157810[[#This Row],[Defaulted Principal]]</f>
        <v>0</v>
      </c>
      <c r="P359" s="3">
        <f>Table157810[[#This Row],[Principal]]+Table157810[[#This Row],[Interest]]+Table157810[[#This Row],[Prepayments]]+Table157810[[#This Row],[RecoveredAmount]]</f>
        <v>0</v>
      </c>
      <c r="Q359" s="3">
        <f ca="1">ROUND(Table157810[[#This Row],[Cash Flow]]/((1+ActualRateToUse)^(IF(ISNUMBER(SEARCH("Actual",$C$7)),Table157810[[#This Row],[Running Total]]/365,Table157810[[#This Row],[Period]]/12))),2)</f>
        <v>0</v>
      </c>
      <c r="R359" s="2">
        <f>IF(MONTH(Table157810[[#This Row],[Date]])=2,28,DAY(DATE(YEAR(Table157810[[#This Row],[Date]]),MONTH(Table157810[[#This Row],[Date]])+1,1)-1))</f>
        <v>31</v>
      </c>
      <c r="S359" s="2">
        <f ca="1">SUM(OFFSET(Table157810[[#Headers],[Days in month]],1,0):Table157810[[#This Row],[Days in month]])</f>
        <v>10435</v>
      </c>
      <c r="T359" s="37">
        <f>InterestRate*AmortizationMultiplier*IF(ISNUMBER(SEARCH("Actual",$C$7)),Table157810[[#This Row],[Days in month]]/365,1/12)</f>
        <v>5.9839472222222214E-3</v>
      </c>
    </row>
    <row r="360" spans="2:20" x14ac:dyDescent="0.2">
      <c r="B360" s="1">
        <f t="shared" si="18"/>
        <v>56308</v>
      </c>
      <c r="C360" s="2">
        <f t="shared" si="20"/>
        <v>344</v>
      </c>
      <c r="D360" s="3">
        <f t="shared" si="19"/>
        <v>0</v>
      </c>
      <c r="E360" s="3">
        <f>ROUND(Table157810[[#This Row],[Beginning Balance]]*Table157810[[#This Row],[Monthly Interest Rate]],2)</f>
        <v>0</v>
      </c>
      <c r="F360" s="3">
        <f t="shared" si="21"/>
        <v>498</v>
      </c>
      <c r="G360" s="23">
        <f>IFERROR(IF($C$13="No","N/A",IF(Table157810[[#This Row],[Period]]=1,$C$6,PMT(InterestRate*AmortizationMultiplier/12,Table157810[[#This Row],[Am Thru]],-Table157810[[#This Row],[Beginning Balance]]))),0)</f>
        <v>0</v>
      </c>
      <c r="H360" s="3">
        <f>MAX(0,IF(C360=$C$4,D360,ROUND(IF($C$3="Fixed Principal",$C$6-Table157810[[#This Row],[Interest]],IF($C$3="Interest Only",Table157810[[#This Row],[Beginning Balance]]*ROUND(1-(1-IF($C$11="No",$E$8,1))^(1/12),6),MIN(IF($C$13="Yes",Table157810[[#This Row],[Payment Amount (Reamortized)]],$C$6)-Table157810[[#This Row],[Interest]],Table157810[[#This Row],[Beginning Balance]]))),2)))</f>
        <v>0</v>
      </c>
      <c r="I360" s="3">
        <f>_xlfn.SINGLE(IF($C$3="Line of Credit",0,ROUND(MAX(MIN(IF($C$10="No",$E$7,VLOOKUP(Table157810[[#This Row],[Period]],Forecast!$H$2:$L$1048576,4,FALSE))*Table157810[[#This Row],[Beginning Balance]],Table157810[[#This Row],[Beginning Balance]]-Table157810[[#This Row],[Principal]]),0),2)))</f>
        <v>0</v>
      </c>
      <c r="J360" s="3">
        <f>ROUND(MIN(Table157810[[#This Row],[Beginning Balance]]*IF($C$8="No",$E$3,VLOOKUP(Table157810[[#This Row],[Period]],Forecast!$H$2:$L$1048576,2,FALSE)),Table157810[[#This Row],[Beginning Balance]]-Table157810[[#This Row],[Principal]]-Table157810[[#This Row],[Prepayments]]),2)</f>
        <v>0</v>
      </c>
      <c r="K360" s="3">
        <f>ROUND(Table157810[[#This Row],[Defaulted Principal]]*IF($C$9="No",$E$4,VLOOKUP(Table157810[[#This Row],[Period]],Forecast!$H$2:$L$1048576,3,FALSE)),2)</f>
        <v>0</v>
      </c>
      <c r="L360" s="2">
        <f>Table157810[[#This Row],[Period]]+$E$9</f>
        <v>356</v>
      </c>
      <c r="M360" s="3">
        <f>Table157810[[#This Row],[Defaulted Principal]]-Table157810[[#This Row],[Estimated Loss]]</f>
        <v>0</v>
      </c>
      <c r="N360" s="3">
        <f>IFERROR(VLOOKUP(Table157810[[#This Row],[Period]],$L$16:$M$385,2,FALSE),0)</f>
        <v>0</v>
      </c>
      <c r="O360" s="3">
        <f>Table157810[[#This Row],[Beginning Balance]]-Table157810[[#This Row],[Principal]]-Table157810[[#This Row],[Prepayments]]-Table157810[[#This Row],[Defaulted Principal]]</f>
        <v>0</v>
      </c>
      <c r="P360" s="3">
        <f>Table157810[[#This Row],[Principal]]+Table157810[[#This Row],[Interest]]+Table157810[[#This Row],[Prepayments]]+Table157810[[#This Row],[RecoveredAmount]]</f>
        <v>0</v>
      </c>
      <c r="Q360" s="3">
        <f ca="1">ROUND(Table157810[[#This Row],[Cash Flow]]/((1+ActualRateToUse)^(IF(ISNUMBER(SEARCH("Actual",$C$7)),Table157810[[#This Row],[Running Total]]/365,Table157810[[#This Row],[Period]]/12))),2)</f>
        <v>0</v>
      </c>
      <c r="R360" s="2">
        <f>IF(MONTH(Table157810[[#This Row],[Date]])=2,28,DAY(DATE(YEAR(Table157810[[#This Row],[Date]]),MONTH(Table157810[[#This Row],[Date]])+1,1)-1))</f>
        <v>28</v>
      </c>
      <c r="S360" s="2">
        <f ca="1">SUM(OFFSET(Table157810[[#Headers],[Days in month]],1,0):Table157810[[#This Row],[Days in month]])</f>
        <v>10463</v>
      </c>
      <c r="T360" s="37">
        <f>InterestRate*AmortizationMultiplier*IF(ISNUMBER(SEARCH("Actual",$C$7)),Table157810[[#This Row],[Days in month]]/365,1/12)</f>
        <v>5.4048555555555548E-3</v>
      </c>
    </row>
    <row r="361" spans="2:20" x14ac:dyDescent="0.2">
      <c r="B361" s="1">
        <f t="shared" si="18"/>
        <v>56339</v>
      </c>
      <c r="C361" s="2">
        <f t="shared" si="20"/>
        <v>345</v>
      </c>
      <c r="D361" s="3">
        <f t="shared" si="19"/>
        <v>0</v>
      </c>
      <c r="E361" s="3">
        <f>ROUND(Table157810[[#This Row],[Beginning Balance]]*Table157810[[#This Row],[Monthly Interest Rate]],2)</f>
        <v>0</v>
      </c>
      <c r="F361" s="3">
        <f t="shared" si="21"/>
        <v>497</v>
      </c>
      <c r="G361" s="23">
        <f>IFERROR(IF($C$13="No","N/A",IF(Table157810[[#This Row],[Period]]=1,$C$6,PMT(InterestRate*AmortizationMultiplier/12,Table157810[[#This Row],[Am Thru]],-Table157810[[#This Row],[Beginning Balance]]))),0)</f>
        <v>0</v>
      </c>
      <c r="H361" s="3">
        <f>MAX(0,IF(C361=$C$4,D361,ROUND(IF($C$3="Fixed Principal",$C$6-Table157810[[#This Row],[Interest]],IF($C$3="Interest Only",Table157810[[#This Row],[Beginning Balance]]*ROUND(1-(1-IF($C$11="No",$E$8,1))^(1/12),6),MIN(IF($C$13="Yes",Table157810[[#This Row],[Payment Amount (Reamortized)]],$C$6)-Table157810[[#This Row],[Interest]],Table157810[[#This Row],[Beginning Balance]]))),2)))</f>
        <v>0</v>
      </c>
      <c r="I361" s="3">
        <f>_xlfn.SINGLE(IF($C$3="Line of Credit",0,ROUND(MAX(MIN(IF($C$10="No",$E$7,VLOOKUP(Table157810[[#This Row],[Period]],Forecast!$H$2:$L$1048576,4,FALSE))*Table157810[[#This Row],[Beginning Balance]],Table157810[[#This Row],[Beginning Balance]]-Table157810[[#This Row],[Principal]]),0),2)))</f>
        <v>0</v>
      </c>
      <c r="J361" s="3">
        <f>ROUND(MIN(Table157810[[#This Row],[Beginning Balance]]*IF($C$8="No",$E$3,VLOOKUP(Table157810[[#This Row],[Period]],Forecast!$H$2:$L$1048576,2,FALSE)),Table157810[[#This Row],[Beginning Balance]]-Table157810[[#This Row],[Principal]]-Table157810[[#This Row],[Prepayments]]),2)</f>
        <v>0</v>
      </c>
      <c r="K361" s="3">
        <f>ROUND(Table157810[[#This Row],[Defaulted Principal]]*IF($C$9="No",$E$4,VLOOKUP(Table157810[[#This Row],[Period]],Forecast!$H$2:$L$1048576,3,FALSE)),2)</f>
        <v>0</v>
      </c>
      <c r="L361" s="2">
        <f>Table157810[[#This Row],[Period]]+$E$9</f>
        <v>357</v>
      </c>
      <c r="M361" s="3">
        <f>Table157810[[#This Row],[Defaulted Principal]]-Table157810[[#This Row],[Estimated Loss]]</f>
        <v>0</v>
      </c>
      <c r="N361" s="3">
        <f>IFERROR(VLOOKUP(Table157810[[#This Row],[Period]],$L$16:$M$385,2,FALSE),0)</f>
        <v>0</v>
      </c>
      <c r="O361" s="3">
        <f>Table157810[[#This Row],[Beginning Balance]]-Table157810[[#This Row],[Principal]]-Table157810[[#This Row],[Prepayments]]-Table157810[[#This Row],[Defaulted Principal]]</f>
        <v>0</v>
      </c>
      <c r="P361" s="3">
        <f>Table157810[[#This Row],[Principal]]+Table157810[[#This Row],[Interest]]+Table157810[[#This Row],[Prepayments]]+Table157810[[#This Row],[RecoveredAmount]]</f>
        <v>0</v>
      </c>
      <c r="Q361" s="3">
        <f ca="1">ROUND(Table157810[[#This Row],[Cash Flow]]/((1+ActualRateToUse)^(IF(ISNUMBER(SEARCH("Actual",$C$7)),Table157810[[#This Row],[Running Total]]/365,Table157810[[#This Row],[Period]]/12))),2)</f>
        <v>0</v>
      </c>
      <c r="R361" s="2">
        <f>IF(MONTH(Table157810[[#This Row],[Date]])=2,28,DAY(DATE(YEAR(Table157810[[#This Row],[Date]]),MONTH(Table157810[[#This Row],[Date]])+1,1)-1))</f>
        <v>31</v>
      </c>
      <c r="S361" s="2">
        <f ca="1">SUM(OFFSET(Table157810[[#Headers],[Days in month]],1,0):Table157810[[#This Row],[Days in month]])</f>
        <v>10494</v>
      </c>
      <c r="T361" s="37">
        <f>InterestRate*AmortizationMultiplier*IF(ISNUMBER(SEARCH("Actual",$C$7)),Table157810[[#This Row],[Days in month]]/365,1/12)</f>
        <v>5.9839472222222214E-3</v>
      </c>
    </row>
    <row r="362" spans="2:20" x14ac:dyDescent="0.2">
      <c r="B362" s="1">
        <f t="shared" si="18"/>
        <v>56369</v>
      </c>
      <c r="C362" s="2">
        <f t="shared" si="20"/>
        <v>346</v>
      </c>
      <c r="D362" s="3">
        <f t="shared" si="19"/>
        <v>0</v>
      </c>
      <c r="E362" s="3">
        <f>ROUND(Table157810[[#This Row],[Beginning Balance]]*Table157810[[#This Row],[Monthly Interest Rate]],2)</f>
        <v>0</v>
      </c>
      <c r="F362" s="3">
        <f t="shared" si="21"/>
        <v>496</v>
      </c>
      <c r="G362" s="23">
        <f>IFERROR(IF($C$13="No","N/A",IF(Table157810[[#This Row],[Period]]=1,$C$6,PMT(InterestRate*AmortizationMultiplier/12,Table157810[[#This Row],[Am Thru]],-Table157810[[#This Row],[Beginning Balance]]))),0)</f>
        <v>0</v>
      </c>
      <c r="H362" s="3">
        <f>MAX(0,IF(C362=$C$4,D362,ROUND(IF($C$3="Fixed Principal",$C$6-Table157810[[#This Row],[Interest]],IF($C$3="Interest Only",Table157810[[#This Row],[Beginning Balance]]*ROUND(1-(1-IF($C$11="No",$E$8,1))^(1/12),6),MIN(IF($C$13="Yes",Table157810[[#This Row],[Payment Amount (Reamortized)]],$C$6)-Table157810[[#This Row],[Interest]],Table157810[[#This Row],[Beginning Balance]]))),2)))</f>
        <v>0</v>
      </c>
      <c r="I362" s="3">
        <f>_xlfn.SINGLE(IF($C$3="Line of Credit",0,ROUND(MAX(MIN(IF($C$10="No",$E$7,VLOOKUP(Table157810[[#This Row],[Period]],Forecast!$H$2:$L$1048576,4,FALSE))*Table157810[[#This Row],[Beginning Balance]],Table157810[[#This Row],[Beginning Balance]]-Table157810[[#This Row],[Principal]]),0),2)))</f>
        <v>0</v>
      </c>
      <c r="J362" s="3">
        <f>ROUND(MIN(Table157810[[#This Row],[Beginning Balance]]*IF($C$8="No",$E$3,VLOOKUP(Table157810[[#This Row],[Period]],Forecast!$H$2:$L$1048576,2,FALSE)),Table157810[[#This Row],[Beginning Balance]]-Table157810[[#This Row],[Principal]]-Table157810[[#This Row],[Prepayments]]),2)</f>
        <v>0</v>
      </c>
      <c r="K362" s="3">
        <f>ROUND(Table157810[[#This Row],[Defaulted Principal]]*IF($C$9="No",$E$4,VLOOKUP(Table157810[[#This Row],[Period]],Forecast!$H$2:$L$1048576,3,FALSE)),2)</f>
        <v>0</v>
      </c>
      <c r="L362" s="2">
        <f>Table157810[[#This Row],[Period]]+$E$9</f>
        <v>358</v>
      </c>
      <c r="M362" s="3">
        <f>Table157810[[#This Row],[Defaulted Principal]]-Table157810[[#This Row],[Estimated Loss]]</f>
        <v>0</v>
      </c>
      <c r="N362" s="3">
        <f>IFERROR(VLOOKUP(Table157810[[#This Row],[Period]],$L$16:$M$385,2,FALSE),0)</f>
        <v>0</v>
      </c>
      <c r="O362" s="3">
        <f>Table157810[[#This Row],[Beginning Balance]]-Table157810[[#This Row],[Principal]]-Table157810[[#This Row],[Prepayments]]-Table157810[[#This Row],[Defaulted Principal]]</f>
        <v>0</v>
      </c>
      <c r="P362" s="3">
        <f>Table157810[[#This Row],[Principal]]+Table157810[[#This Row],[Interest]]+Table157810[[#This Row],[Prepayments]]+Table157810[[#This Row],[RecoveredAmount]]</f>
        <v>0</v>
      </c>
      <c r="Q362" s="3">
        <f ca="1">ROUND(Table157810[[#This Row],[Cash Flow]]/((1+ActualRateToUse)^(IF(ISNUMBER(SEARCH("Actual",$C$7)),Table157810[[#This Row],[Running Total]]/365,Table157810[[#This Row],[Period]]/12))),2)</f>
        <v>0</v>
      </c>
      <c r="R362" s="2">
        <f>IF(MONTH(Table157810[[#This Row],[Date]])=2,28,DAY(DATE(YEAR(Table157810[[#This Row],[Date]]),MONTH(Table157810[[#This Row],[Date]])+1,1)-1))</f>
        <v>30</v>
      </c>
      <c r="S362" s="2">
        <f ca="1">SUM(OFFSET(Table157810[[#Headers],[Days in month]],1,0):Table157810[[#This Row],[Days in month]])</f>
        <v>10524</v>
      </c>
      <c r="T362" s="37">
        <f>InterestRate*AmortizationMultiplier*IF(ISNUMBER(SEARCH("Actual",$C$7)),Table157810[[#This Row],[Days in month]]/365,1/12)</f>
        <v>5.7909166666666656E-3</v>
      </c>
    </row>
    <row r="363" spans="2:20" x14ac:dyDescent="0.2">
      <c r="B363" s="1">
        <f t="shared" si="18"/>
        <v>56400</v>
      </c>
      <c r="C363" s="2">
        <f t="shared" si="20"/>
        <v>347</v>
      </c>
      <c r="D363" s="3">
        <f t="shared" si="19"/>
        <v>0</v>
      </c>
      <c r="E363" s="3">
        <f>ROUND(Table157810[[#This Row],[Beginning Balance]]*Table157810[[#This Row],[Monthly Interest Rate]],2)</f>
        <v>0</v>
      </c>
      <c r="F363" s="3">
        <f t="shared" si="21"/>
        <v>495</v>
      </c>
      <c r="G363" s="23">
        <f>IFERROR(IF($C$13="No","N/A",IF(Table157810[[#This Row],[Period]]=1,$C$6,PMT(InterestRate*AmortizationMultiplier/12,Table157810[[#This Row],[Am Thru]],-Table157810[[#This Row],[Beginning Balance]]))),0)</f>
        <v>0</v>
      </c>
      <c r="H363" s="3">
        <f>MAX(0,IF(C363=$C$4,D363,ROUND(IF($C$3="Fixed Principal",$C$6-Table157810[[#This Row],[Interest]],IF($C$3="Interest Only",Table157810[[#This Row],[Beginning Balance]]*ROUND(1-(1-IF($C$11="No",$E$8,1))^(1/12),6),MIN(IF($C$13="Yes",Table157810[[#This Row],[Payment Amount (Reamortized)]],$C$6)-Table157810[[#This Row],[Interest]],Table157810[[#This Row],[Beginning Balance]]))),2)))</f>
        <v>0</v>
      </c>
      <c r="I363" s="3">
        <f>_xlfn.SINGLE(IF($C$3="Line of Credit",0,ROUND(MAX(MIN(IF($C$10="No",$E$7,VLOOKUP(Table157810[[#This Row],[Period]],Forecast!$H$2:$L$1048576,4,FALSE))*Table157810[[#This Row],[Beginning Balance]],Table157810[[#This Row],[Beginning Balance]]-Table157810[[#This Row],[Principal]]),0),2)))</f>
        <v>0</v>
      </c>
      <c r="J363" s="3">
        <f>ROUND(MIN(Table157810[[#This Row],[Beginning Balance]]*IF($C$8="No",$E$3,VLOOKUP(Table157810[[#This Row],[Period]],Forecast!$H$2:$L$1048576,2,FALSE)),Table157810[[#This Row],[Beginning Balance]]-Table157810[[#This Row],[Principal]]-Table157810[[#This Row],[Prepayments]]),2)</f>
        <v>0</v>
      </c>
      <c r="K363" s="3">
        <f>ROUND(Table157810[[#This Row],[Defaulted Principal]]*IF($C$9="No",$E$4,VLOOKUP(Table157810[[#This Row],[Period]],Forecast!$H$2:$L$1048576,3,FALSE)),2)</f>
        <v>0</v>
      </c>
      <c r="L363" s="2">
        <f>Table157810[[#This Row],[Period]]+$E$9</f>
        <v>359</v>
      </c>
      <c r="M363" s="3">
        <f>Table157810[[#This Row],[Defaulted Principal]]-Table157810[[#This Row],[Estimated Loss]]</f>
        <v>0</v>
      </c>
      <c r="N363" s="3">
        <f>IFERROR(VLOOKUP(Table157810[[#This Row],[Period]],$L$16:$M$385,2,FALSE),0)</f>
        <v>0</v>
      </c>
      <c r="O363" s="3">
        <f>Table157810[[#This Row],[Beginning Balance]]-Table157810[[#This Row],[Principal]]-Table157810[[#This Row],[Prepayments]]-Table157810[[#This Row],[Defaulted Principal]]</f>
        <v>0</v>
      </c>
      <c r="P363" s="3">
        <f>Table157810[[#This Row],[Principal]]+Table157810[[#This Row],[Interest]]+Table157810[[#This Row],[Prepayments]]+Table157810[[#This Row],[RecoveredAmount]]</f>
        <v>0</v>
      </c>
      <c r="Q363" s="3">
        <f ca="1">ROUND(Table157810[[#This Row],[Cash Flow]]/((1+ActualRateToUse)^(IF(ISNUMBER(SEARCH("Actual",$C$7)),Table157810[[#This Row],[Running Total]]/365,Table157810[[#This Row],[Period]]/12))),2)</f>
        <v>0</v>
      </c>
      <c r="R363" s="2">
        <f>IF(MONTH(Table157810[[#This Row],[Date]])=2,28,DAY(DATE(YEAR(Table157810[[#This Row],[Date]]),MONTH(Table157810[[#This Row],[Date]])+1,1)-1))</f>
        <v>31</v>
      </c>
      <c r="S363" s="2">
        <f ca="1">SUM(OFFSET(Table157810[[#Headers],[Days in month]],1,0):Table157810[[#This Row],[Days in month]])</f>
        <v>10555</v>
      </c>
      <c r="T363" s="37">
        <f>InterestRate*AmortizationMultiplier*IF(ISNUMBER(SEARCH("Actual",$C$7)),Table157810[[#This Row],[Days in month]]/365,1/12)</f>
        <v>5.9839472222222214E-3</v>
      </c>
    </row>
    <row r="364" spans="2:20" x14ac:dyDescent="0.2">
      <c r="B364" s="1">
        <f t="shared" si="18"/>
        <v>56430</v>
      </c>
      <c r="C364" s="2">
        <f t="shared" si="20"/>
        <v>348</v>
      </c>
      <c r="D364" s="3">
        <f t="shared" si="19"/>
        <v>0</v>
      </c>
      <c r="E364" s="3">
        <f>ROUND(Table157810[[#This Row],[Beginning Balance]]*Table157810[[#This Row],[Monthly Interest Rate]],2)</f>
        <v>0</v>
      </c>
      <c r="F364" s="3">
        <f t="shared" si="21"/>
        <v>494</v>
      </c>
      <c r="G364" s="23">
        <f>IFERROR(IF($C$13="No","N/A",IF(Table157810[[#This Row],[Period]]=1,$C$6,PMT(InterestRate*AmortizationMultiplier/12,Table157810[[#This Row],[Am Thru]],-Table157810[[#This Row],[Beginning Balance]]))),0)</f>
        <v>0</v>
      </c>
      <c r="H364" s="3">
        <f>MAX(0,IF(C364=$C$4,D364,ROUND(IF($C$3="Fixed Principal",$C$6-Table157810[[#This Row],[Interest]],IF($C$3="Interest Only",Table157810[[#This Row],[Beginning Balance]]*ROUND(1-(1-IF($C$11="No",$E$8,1))^(1/12),6),MIN(IF($C$13="Yes",Table157810[[#This Row],[Payment Amount (Reamortized)]],$C$6)-Table157810[[#This Row],[Interest]],Table157810[[#This Row],[Beginning Balance]]))),2)))</f>
        <v>0</v>
      </c>
      <c r="I364" s="3">
        <f>_xlfn.SINGLE(IF($C$3="Line of Credit",0,ROUND(MAX(MIN(IF($C$10="No",$E$7,VLOOKUP(Table157810[[#This Row],[Period]],Forecast!$H$2:$L$1048576,4,FALSE))*Table157810[[#This Row],[Beginning Balance]],Table157810[[#This Row],[Beginning Balance]]-Table157810[[#This Row],[Principal]]),0),2)))</f>
        <v>0</v>
      </c>
      <c r="J364" s="3">
        <f>ROUND(MIN(Table157810[[#This Row],[Beginning Balance]]*IF($C$8="No",$E$3,VLOOKUP(Table157810[[#This Row],[Period]],Forecast!$H$2:$L$1048576,2,FALSE)),Table157810[[#This Row],[Beginning Balance]]-Table157810[[#This Row],[Principal]]-Table157810[[#This Row],[Prepayments]]),2)</f>
        <v>0</v>
      </c>
      <c r="K364" s="3">
        <f>ROUND(Table157810[[#This Row],[Defaulted Principal]]*IF($C$9="No",$E$4,VLOOKUP(Table157810[[#This Row],[Period]],Forecast!$H$2:$L$1048576,3,FALSE)),2)</f>
        <v>0</v>
      </c>
      <c r="L364" s="2">
        <f>Table157810[[#This Row],[Period]]+$E$9</f>
        <v>360</v>
      </c>
      <c r="M364" s="3">
        <f>Table157810[[#This Row],[Defaulted Principal]]-Table157810[[#This Row],[Estimated Loss]]</f>
        <v>0</v>
      </c>
      <c r="N364" s="3">
        <f>IFERROR(VLOOKUP(Table157810[[#This Row],[Period]],$L$16:$M$385,2,FALSE),0)</f>
        <v>0</v>
      </c>
      <c r="O364" s="3">
        <f>Table157810[[#This Row],[Beginning Balance]]-Table157810[[#This Row],[Principal]]-Table157810[[#This Row],[Prepayments]]-Table157810[[#This Row],[Defaulted Principal]]</f>
        <v>0</v>
      </c>
      <c r="P364" s="3">
        <f>Table157810[[#This Row],[Principal]]+Table157810[[#This Row],[Interest]]+Table157810[[#This Row],[Prepayments]]+Table157810[[#This Row],[RecoveredAmount]]</f>
        <v>0</v>
      </c>
      <c r="Q364" s="3">
        <f ca="1">ROUND(Table157810[[#This Row],[Cash Flow]]/((1+ActualRateToUse)^(IF(ISNUMBER(SEARCH("Actual",$C$7)),Table157810[[#This Row],[Running Total]]/365,Table157810[[#This Row],[Period]]/12))),2)</f>
        <v>0</v>
      </c>
      <c r="R364" s="2">
        <f>IF(MONTH(Table157810[[#This Row],[Date]])=2,28,DAY(DATE(YEAR(Table157810[[#This Row],[Date]]),MONTH(Table157810[[#This Row],[Date]])+1,1)-1))</f>
        <v>30</v>
      </c>
      <c r="S364" s="2">
        <f ca="1">SUM(OFFSET(Table157810[[#Headers],[Days in month]],1,0):Table157810[[#This Row],[Days in month]])</f>
        <v>10585</v>
      </c>
      <c r="T364" s="37">
        <f>InterestRate*AmortizationMultiplier*IF(ISNUMBER(SEARCH("Actual",$C$7)),Table157810[[#This Row],[Days in month]]/365,1/12)</f>
        <v>5.7909166666666656E-3</v>
      </c>
    </row>
    <row r="365" spans="2:20" x14ac:dyDescent="0.2">
      <c r="B365" s="1">
        <f t="shared" si="18"/>
        <v>56461</v>
      </c>
      <c r="C365" s="2">
        <f t="shared" si="20"/>
        <v>349</v>
      </c>
      <c r="D365" s="3">
        <f t="shared" si="19"/>
        <v>0</v>
      </c>
      <c r="E365" s="3">
        <f>ROUND(Table157810[[#This Row],[Beginning Balance]]*Table157810[[#This Row],[Monthly Interest Rate]],2)</f>
        <v>0</v>
      </c>
      <c r="F365" s="3">
        <f t="shared" si="21"/>
        <v>493</v>
      </c>
      <c r="G365" s="23">
        <f>IFERROR(IF($C$13="No","N/A",IF(Table157810[[#This Row],[Period]]=1,$C$6,PMT(InterestRate*AmortizationMultiplier/12,Table157810[[#This Row],[Am Thru]],-Table157810[[#This Row],[Beginning Balance]]))),0)</f>
        <v>0</v>
      </c>
      <c r="H365" s="3">
        <f>MAX(0,IF(C365=$C$4,D365,ROUND(IF($C$3="Fixed Principal",$C$6-Table157810[[#This Row],[Interest]],IF($C$3="Interest Only",Table157810[[#This Row],[Beginning Balance]]*ROUND(1-(1-IF($C$11="No",$E$8,1))^(1/12),6),MIN(IF($C$13="Yes",Table157810[[#This Row],[Payment Amount (Reamortized)]],$C$6)-Table157810[[#This Row],[Interest]],Table157810[[#This Row],[Beginning Balance]]))),2)))</f>
        <v>0</v>
      </c>
      <c r="I365" s="3">
        <f>_xlfn.SINGLE(IF($C$3="Line of Credit",0,ROUND(MAX(MIN(IF($C$10="No",$E$7,VLOOKUP(Table157810[[#This Row],[Period]],Forecast!$H$2:$L$1048576,4,FALSE))*Table157810[[#This Row],[Beginning Balance]],Table157810[[#This Row],[Beginning Balance]]-Table157810[[#This Row],[Principal]]),0),2)))</f>
        <v>0</v>
      </c>
      <c r="J365" s="3">
        <f>ROUND(MIN(Table157810[[#This Row],[Beginning Balance]]*IF($C$8="No",$E$3,VLOOKUP(Table157810[[#This Row],[Period]],Forecast!$H$2:$L$1048576,2,FALSE)),Table157810[[#This Row],[Beginning Balance]]-Table157810[[#This Row],[Principal]]-Table157810[[#This Row],[Prepayments]]),2)</f>
        <v>0</v>
      </c>
      <c r="K365" s="3">
        <f>ROUND(Table157810[[#This Row],[Defaulted Principal]]*IF($C$9="No",$E$4,VLOOKUP(Table157810[[#This Row],[Period]],Forecast!$H$2:$L$1048576,3,FALSE)),2)</f>
        <v>0</v>
      </c>
      <c r="L365" s="2">
        <f>Table157810[[#This Row],[Period]]+$E$9</f>
        <v>361</v>
      </c>
      <c r="M365" s="3">
        <f>Table157810[[#This Row],[Defaulted Principal]]-Table157810[[#This Row],[Estimated Loss]]</f>
        <v>0</v>
      </c>
      <c r="N365" s="3">
        <f>IFERROR(VLOOKUP(Table157810[[#This Row],[Period]],$L$16:$M$385,2,FALSE),0)</f>
        <v>0</v>
      </c>
      <c r="O365" s="3">
        <f>Table157810[[#This Row],[Beginning Balance]]-Table157810[[#This Row],[Principal]]-Table157810[[#This Row],[Prepayments]]-Table157810[[#This Row],[Defaulted Principal]]</f>
        <v>0</v>
      </c>
      <c r="P365" s="3">
        <f>Table157810[[#This Row],[Principal]]+Table157810[[#This Row],[Interest]]+Table157810[[#This Row],[Prepayments]]+Table157810[[#This Row],[RecoveredAmount]]</f>
        <v>0</v>
      </c>
      <c r="Q365" s="3">
        <f ca="1">ROUND(Table157810[[#This Row],[Cash Flow]]/((1+ActualRateToUse)^(IF(ISNUMBER(SEARCH("Actual",$C$7)),Table157810[[#This Row],[Running Total]]/365,Table157810[[#This Row],[Period]]/12))),2)</f>
        <v>0</v>
      </c>
      <c r="R365" s="2">
        <f>IF(MONTH(Table157810[[#This Row],[Date]])=2,28,DAY(DATE(YEAR(Table157810[[#This Row],[Date]]),MONTH(Table157810[[#This Row],[Date]])+1,1)-1))</f>
        <v>31</v>
      </c>
      <c r="S365" s="2">
        <f ca="1">SUM(OFFSET(Table157810[[#Headers],[Days in month]],1,0):Table157810[[#This Row],[Days in month]])</f>
        <v>10616</v>
      </c>
      <c r="T365" s="37">
        <f>InterestRate*AmortizationMultiplier*IF(ISNUMBER(SEARCH("Actual",$C$7)),Table157810[[#This Row],[Days in month]]/365,1/12)</f>
        <v>5.9839472222222214E-3</v>
      </c>
    </row>
    <row r="366" spans="2:20" x14ac:dyDescent="0.2">
      <c r="B366" s="1">
        <f t="shared" si="18"/>
        <v>56492</v>
      </c>
      <c r="C366" s="2">
        <f t="shared" si="20"/>
        <v>350</v>
      </c>
      <c r="D366" s="3">
        <f t="shared" si="19"/>
        <v>0</v>
      </c>
      <c r="E366" s="3">
        <f>ROUND(Table157810[[#This Row],[Beginning Balance]]*Table157810[[#This Row],[Monthly Interest Rate]],2)</f>
        <v>0</v>
      </c>
      <c r="F366" s="3">
        <f t="shared" si="21"/>
        <v>492</v>
      </c>
      <c r="G366" s="23">
        <f>IFERROR(IF($C$13="No","N/A",IF(Table157810[[#This Row],[Period]]=1,$C$6,PMT(InterestRate*AmortizationMultiplier/12,Table157810[[#This Row],[Am Thru]],-Table157810[[#This Row],[Beginning Balance]]))),0)</f>
        <v>0</v>
      </c>
      <c r="H366" s="3">
        <f>MAX(0,IF(C366=$C$4,D366,ROUND(IF($C$3="Fixed Principal",$C$6-Table157810[[#This Row],[Interest]],IF($C$3="Interest Only",Table157810[[#This Row],[Beginning Balance]]*ROUND(1-(1-IF($C$11="No",$E$8,1))^(1/12),6),MIN(IF($C$13="Yes",Table157810[[#This Row],[Payment Amount (Reamortized)]],$C$6)-Table157810[[#This Row],[Interest]],Table157810[[#This Row],[Beginning Balance]]))),2)))</f>
        <v>0</v>
      </c>
      <c r="I366" s="3">
        <f>_xlfn.SINGLE(IF($C$3="Line of Credit",0,ROUND(MAX(MIN(IF($C$10="No",$E$7,VLOOKUP(Table157810[[#This Row],[Period]],Forecast!$H$2:$L$1048576,4,FALSE))*Table157810[[#This Row],[Beginning Balance]],Table157810[[#This Row],[Beginning Balance]]-Table157810[[#This Row],[Principal]]),0),2)))</f>
        <v>0</v>
      </c>
      <c r="J366" s="3">
        <f>ROUND(MIN(Table157810[[#This Row],[Beginning Balance]]*IF($C$8="No",$E$3,VLOOKUP(Table157810[[#This Row],[Period]],Forecast!$H$2:$L$1048576,2,FALSE)),Table157810[[#This Row],[Beginning Balance]]-Table157810[[#This Row],[Principal]]-Table157810[[#This Row],[Prepayments]]),2)</f>
        <v>0</v>
      </c>
      <c r="K366" s="3">
        <f>ROUND(Table157810[[#This Row],[Defaulted Principal]]*IF($C$9="No",$E$4,VLOOKUP(Table157810[[#This Row],[Period]],Forecast!$H$2:$L$1048576,3,FALSE)),2)</f>
        <v>0</v>
      </c>
      <c r="L366" s="2">
        <f>Table157810[[#This Row],[Period]]+$E$9</f>
        <v>362</v>
      </c>
      <c r="M366" s="3">
        <f>Table157810[[#This Row],[Defaulted Principal]]-Table157810[[#This Row],[Estimated Loss]]</f>
        <v>0</v>
      </c>
      <c r="N366" s="3">
        <f>IFERROR(VLOOKUP(Table157810[[#This Row],[Period]],$L$16:$M$385,2,FALSE),0)</f>
        <v>0</v>
      </c>
      <c r="O366" s="3">
        <f>Table157810[[#This Row],[Beginning Balance]]-Table157810[[#This Row],[Principal]]-Table157810[[#This Row],[Prepayments]]-Table157810[[#This Row],[Defaulted Principal]]</f>
        <v>0</v>
      </c>
      <c r="P366" s="3">
        <f>Table157810[[#This Row],[Principal]]+Table157810[[#This Row],[Interest]]+Table157810[[#This Row],[Prepayments]]+Table157810[[#This Row],[RecoveredAmount]]</f>
        <v>0</v>
      </c>
      <c r="Q366" s="3">
        <f ca="1">ROUND(Table157810[[#This Row],[Cash Flow]]/((1+ActualRateToUse)^(IF(ISNUMBER(SEARCH("Actual",$C$7)),Table157810[[#This Row],[Running Total]]/365,Table157810[[#This Row],[Period]]/12))),2)</f>
        <v>0</v>
      </c>
      <c r="R366" s="2">
        <f>IF(MONTH(Table157810[[#This Row],[Date]])=2,28,DAY(DATE(YEAR(Table157810[[#This Row],[Date]]),MONTH(Table157810[[#This Row],[Date]])+1,1)-1))</f>
        <v>31</v>
      </c>
      <c r="S366" s="2">
        <f ca="1">SUM(OFFSET(Table157810[[#Headers],[Days in month]],1,0):Table157810[[#This Row],[Days in month]])</f>
        <v>10647</v>
      </c>
      <c r="T366" s="37">
        <f>InterestRate*AmortizationMultiplier*IF(ISNUMBER(SEARCH("Actual",$C$7)),Table157810[[#This Row],[Days in month]]/365,1/12)</f>
        <v>5.9839472222222214E-3</v>
      </c>
    </row>
    <row r="367" spans="2:20" x14ac:dyDescent="0.2">
      <c r="B367" s="1">
        <f t="shared" si="18"/>
        <v>56522</v>
      </c>
      <c r="C367" s="2">
        <f t="shared" si="20"/>
        <v>351</v>
      </c>
      <c r="D367" s="3">
        <f t="shared" si="19"/>
        <v>0</v>
      </c>
      <c r="E367" s="3">
        <f>ROUND(Table157810[[#This Row],[Beginning Balance]]*Table157810[[#This Row],[Monthly Interest Rate]],2)</f>
        <v>0</v>
      </c>
      <c r="F367" s="3">
        <f t="shared" si="21"/>
        <v>491</v>
      </c>
      <c r="G367" s="23">
        <f>IFERROR(IF($C$13="No","N/A",IF(Table157810[[#This Row],[Period]]=1,$C$6,PMT(InterestRate*AmortizationMultiplier/12,Table157810[[#This Row],[Am Thru]],-Table157810[[#This Row],[Beginning Balance]]))),0)</f>
        <v>0</v>
      </c>
      <c r="H367" s="3">
        <f>MAX(0,IF(C367=$C$4,D367,ROUND(IF($C$3="Fixed Principal",$C$6-Table157810[[#This Row],[Interest]],IF($C$3="Interest Only",Table157810[[#This Row],[Beginning Balance]]*ROUND(1-(1-IF($C$11="No",$E$8,1))^(1/12),6),MIN(IF($C$13="Yes",Table157810[[#This Row],[Payment Amount (Reamortized)]],$C$6)-Table157810[[#This Row],[Interest]],Table157810[[#This Row],[Beginning Balance]]))),2)))</f>
        <v>0</v>
      </c>
      <c r="I367" s="3">
        <f>_xlfn.SINGLE(IF($C$3="Line of Credit",0,ROUND(MAX(MIN(IF($C$10="No",$E$7,VLOOKUP(Table157810[[#This Row],[Period]],Forecast!$H$2:$L$1048576,4,FALSE))*Table157810[[#This Row],[Beginning Balance]],Table157810[[#This Row],[Beginning Balance]]-Table157810[[#This Row],[Principal]]),0),2)))</f>
        <v>0</v>
      </c>
      <c r="J367" s="3">
        <f>ROUND(MIN(Table157810[[#This Row],[Beginning Balance]]*IF($C$8="No",$E$3,VLOOKUP(Table157810[[#This Row],[Period]],Forecast!$H$2:$L$1048576,2,FALSE)),Table157810[[#This Row],[Beginning Balance]]-Table157810[[#This Row],[Principal]]-Table157810[[#This Row],[Prepayments]]),2)</f>
        <v>0</v>
      </c>
      <c r="K367" s="3">
        <f>ROUND(Table157810[[#This Row],[Defaulted Principal]]*IF($C$9="No",$E$4,VLOOKUP(Table157810[[#This Row],[Period]],Forecast!$H$2:$L$1048576,3,FALSE)),2)</f>
        <v>0</v>
      </c>
      <c r="L367" s="2">
        <f>Table157810[[#This Row],[Period]]+$E$9</f>
        <v>363</v>
      </c>
      <c r="M367" s="3">
        <f>Table157810[[#This Row],[Defaulted Principal]]-Table157810[[#This Row],[Estimated Loss]]</f>
        <v>0</v>
      </c>
      <c r="N367" s="3">
        <f>IFERROR(VLOOKUP(Table157810[[#This Row],[Period]],$L$16:$M$385,2,FALSE),0)</f>
        <v>0</v>
      </c>
      <c r="O367" s="3">
        <f>Table157810[[#This Row],[Beginning Balance]]-Table157810[[#This Row],[Principal]]-Table157810[[#This Row],[Prepayments]]-Table157810[[#This Row],[Defaulted Principal]]</f>
        <v>0</v>
      </c>
      <c r="P367" s="3">
        <f>Table157810[[#This Row],[Principal]]+Table157810[[#This Row],[Interest]]+Table157810[[#This Row],[Prepayments]]+Table157810[[#This Row],[RecoveredAmount]]</f>
        <v>0</v>
      </c>
      <c r="Q367" s="3">
        <f ca="1">ROUND(Table157810[[#This Row],[Cash Flow]]/((1+ActualRateToUse)^(IF(ISNUMBER(SEARCH("Actual",$C$7)),Table157810[[#This Row],[Running Total]]/365,Table157810[[#This Row],[Period]]/12))),2)</f>
        <v>0</v>
      </c>
      <c r="R367" s="2">
        <f>IF(MONTH(Table157810[[#This Row],[Date]])=2,28,DAY(DATE(YEAR(Table157810[[#This Row],[Date]]),MONTH(Table157810[[#This Row],[Date]])+1,1)-1))</f>
        <v>30</v>
      </c>
      <c r="S367" s="2">
        <f ca="1">SUM(OFFSET(Table157810[[#Headers],[Days in month]],1,0):Table157810[[#This Row],[Days in month]])</f>
        <v>10677</v>
      </c>
      <c r="T367" s="37">
        <f>InterestRate*AmortizationMultiplier*IF(ISNUMBER(SEARCH("Actual",$C$7)),Table157810[[#This Row],[Days in month]]/365,1/12)</f>
        <v>5.7909166666666656E-3</v>
      </c>
    </row>
    <row r="368" spans="2:20" x14ac:dyDescent="0.2">
      <c r="B368" s="1">
        <f t="shared" si="18"/>
        <v>56553</v>
      </c>
      <c r="C368" s="2">
        <f t="shared" si="20"/>
        <v>352</v>
      </c>
      <c r="D368" s="3">
        <f>O367</f>
        <v>0</v>
      </c>
      <c r="E368" s="3">
        <f>ROUND(Table157810[[#This Row],[Beginning Balance]]*Table157810[[#This Row],[Monthly Interest Rate]],2)</f>
        <v>0</v>
      </c>
      <c r="F368" s="3">
        <f>+F367-1</f>
        <v>490</v>
      </c>
      <c r="G368" s="23">
        <f>IFERROR(IF($C$13="No","N/A",IF(Table157810[[#This Row],[Period]]=1,$C$6,PMT(InterestRate*AmortizationMultiplier/12,Table157810[[#This Row],[Am Thru]],-Table157810[[#This Row],[Beginning Balance]]))),0)</f>
        <v>0</v>
      </c>
      <c r="H368" s="3">
        <f>MAX(0,IF(C368=$C$4,D368,ROUND(IF($C$3="Fixed Principal",$C$6-Table157810[[#This Row],[Interest]],IF($C$3="Interest Only",Table157810[[#This Row],[Beginning Balance]]*ROUND(1-(1-IF($C$11="No",$E$8,1))^(1/12),6),MIN(IF($C$13="Yes",Table157810[[#This Row],[Payment Amount (Reamortized)]],$C$6)-Table157810[[#This Row],[Interest]],Table157810[[#This Row],[Beginning Balance]]))),2)))</f>
        <v>0</v>
      </c>
      <c r="I368" s="3">
        <f>_xlfn.SINGLE(IF($C$3="Line of Credit",0,ROUND(MAX(MIN(IF($C$10="No",$E$7,VLOOKUP(Table157810[[#This Row],[Period]],Forecast!$H$2:$L$1048576,4,FALSE))*Table157810[[#This Row],[Beginning Balance]],Table157810[[#This Row],[Beginning Balance]]-Table157810[[#This Row],[Principal]]),0),2)))</f>
        <v>0</v>
      </c>
      <c r="J368" s="3">
        <f>ROUND(MIN(Table157810[[#This Row],[Beginning Balance]]*IF($C$8="No",$E$3,VLOOKUP(Table157810[[#This Row],[Period]],Forecast!$H$2:$L$1048576,2,FALSE)),Table157810[[#This Row],[Beginning Balance]]-Table157810[[#This Row],[Principal]]-Table157810[[#This Row],[Prepayments]]),2)</f>
        <v>0</v>
      </c>
      <c r="K368" s="3">
        <f>ROUND(Table157810[[#This Row],[Defaulted Principal]]*IF($C$9="No",$E$4,VLOOKUP(Table157810[[#This Row],[Period]],Forecast!$H$2:$L$1048576,3,FALSE)),2)</f>
        <v>0</v>
      </c>
      <c r="L368" s="2">
        <f>Table157810[[#This Row],[Period]]+$E$9</f>
        <v>364</v>
      </c>
      <c r="M368" s="3">
        <f>Table157810[[#This Row],[Defaulted Principal]]-Table157810[[#This Row],[Estimated Loss]]</f>
        <v>0</v>
      </c>
      <c r="N368" s="3">
        <f>IFERROR(VLOOKUP(Table157810[[#This Row],[Period]],$L$16:$M$385,2,FALSE),0)</f>
        <v>0</v>
      </c>
      <c r="O368" s="3">
        <f>Table157810[[#This Row],[Beginning Balance]]-Table157810[[#This Row],[Principal]]-Table157810[[#This Row],[Prepayments]]-Table157810[[#This Row],[Defaulted Principal]]</f>
        <v>0</v>
      </c>
      <c r="P368" s="3">
        <f>Table157810[[#This Row],[Principal]]+Table157810[[#This Row],[Interest]]+Table157810[[#This Row],[Prepayments]]+Table157810[[#This Row],[RecoveredAmount]]</f>
        <v>0</v>
      </c>
      <c r="Q368" s="3">
        <f ca="1">ROUND(Table157810[[#This Row],[Cash Flow]]/((1+ActualRateToUse)^(IF(ISNUMBER(SEARCH("Actual",$C$7)),Table157810[[#This Row],[Running Total]]/365,Table157810[[#This Row],[Period]]/12))),2)</f>
        <v>0</v>
      </c>
      <c r="R368" s="2">
        <f>IF(MONTH(Table157810[[#This Row],[Date]])=2,28,DAY(DATE(YEAR(Table157810[[#This Row],[Date]]),MONTH(Table157810[[#This Row],[Date]])+1,1)-1))</f>
        <v>31</v>
      </c>
      <c r="S368" s="2">
        <f ca="1">SUM(OFFSET(Table157810[[#Headers],[Days in month]],1,0):Table157810[[#This Row],[Days in month]])</f>
        <v>10708</v>
      </c>
      <c r="T368" s="37">
        <f>InterestRate*AmortizationMultiplier*IF(ISNUMBER(SEARCH("Actual",$C$7)),Table157810[[#This Row],[Days in month]]/365,1/12)</f>
        <v>5.9839472222222214E-3</v>
      </c>
    </row>
    <row r="369" spans="2:20" x14ac:dyDescent="0.2">
      <c r="B369" s="1">
        <f t="shared" si="18"/>
        <v>56583</v>
      </c>
      <c r="C369" s="2">
        <f t="shared" si="20"/>
        <v>353</v>
      </c>
      <c r="D369" s="3">
        <f t="shared" si="19"/>
        <v>0</v>
      </c>
      <c r="E369" s="3">
        <f>ROUND(Table157810[[#This Row],[Beginning Balance]]*Table157810[[#This Row],[Monthly Interest Rate]],2)</f>
        <v>0</v>
      </c>
      <c r="F369" s="3">
        <f t="shared" si="21"/>
        <v>489</v>
      </c>
      <c r="G369" s="23">
        <f>IFERROR(IF($C$13="No","N/A",IF(Table157810[[#This Row],[Period]]=1,$C$6,PMT(InterestRate*AmortizationMultiplier/12,Table157810[[#This Row],[Am Thru]],-Table157810[[#This Row],[Beginning Balance]]))),0)</f>
        <v>0</v>
      </c>
      <c r="H369" s="3">
        <f>MAX(0,IF(C369=$C$4,D369,ROUND(IF($C$3="Fixed Principal",$C$6-Table157810[[#This Row],[Interest]],IF($C$3="Interest Only",Table157810[[#This Row],[Beginning Balance]]*ROUND(1-(1-IF($C$11="No",$E$8,1))^(1/12),6),MIN(IF($C$13="Yes",Table157810[[#This Row],[Payment Amount (Reamortized)]],$C$6)-Table157810[[#This Row],[Interest]],Table157810[[#This Row],[Beginning Balance]]))),2)))</f>
        <v>0</v>
      </c>
      <c r="I369" s="3">
        <f>_xlfn.SINGLE(IF($C$3="Line of Credit",0,ROUND(MAX(MIN(IF($C$10="No",$E$7,VLOOKUP(Table157810[[#This Row],[Period]],Forecast!$H$2:$L$1048576,4,FALSE))*Table157810[[#This Row],[Beginning Balance]],Table157810[[#This Row],[Beginning Balance]]-Table157810[[#This Row],[Principal]]),0),2)))</f>
        <v>0</v>
      </c>
      <c r="J369" s="3">
        <f>ROUND(MIN(Table157810[[#This Row],[Beginning Balance]]*IF($C$8="No",$E$3,VLOOKUP(Table157810[[#This Row],[Period]],Forecast!$H$2:$L$1048576,2,FALSE)),Table157810[[#This Row],[Beginning Balance]]-Table157810[[#This Row],[Principal]]-Table157810[[#This Row],[Prepayments]]),2)</f>
        <v>0</v>
      </c>
      <c r="K369" s="3">
        <f>ROUND(Table157810[[#This Row],[Defaulted Principal]]*IF($C$9="No",$E$4,VLOOKUP(Table157810[[#This Row],[Period]],Forecast!$H$2:$L$1048576,3,FALSE)),2)</f>
        <v>0</v>
      </c>
      <c r="L369" s="2">
        <f>Table157810[[#This Row],[Period]]+$E$9</f>
        <v>365</v>
      </c>
      <c r="M369" s="3">
        <f>Table157810[[#This Row],[Defaulted Principal]]-Table157810[[#This Row],[Estimated Loss]]</f>
        <v>0</v>
      </c>
      <c r="N369" s="3">
        <f>IFERROR(VLOOKUP(Table157810[[#This Row],[Period]],$L$16:$M$385,2,FALSE),0)</f>
        <v>0</v>
      </c>
      <c r="O369" s="3">
        <f>Table157810[[#This Row],[Beginning Balance]]-Table157810[[#This Row],[Principal]]-Table157810[[#This Row],[Prepayments]]-Table157810[[#This Row],[Defaulted Principal]]</f>
        <v>0</v>
      </c>
      <c r="P369" s="3">
        <f>Table157810[[#This Row],[Principal]]+Table157810[[#This Row],[Interest]]+Table157810[[#This Row],[Prepayments]]+Table157810[[#This Row],[RecoveredAmount]]</f>
        <v>0</v>
      </c>
      <c r="Q369" s="3">
        <f ca="1">ROUND(Table157810[[#This Row],[Cash Flow]]/((1+ActualRateToUse)^(IF(ISNUMBER(SEARCH("Actual",$C$7)),Table157810[[#This Row],[Running Total]]/365,Table157810[[#This Row],[Period]]/12))),2)</f>
        <v>0</v>
      </c>
      <c r="R369" s="2">
        <f>IF(MONTH(Table157810[[#This Row],[Date]])=2,28,DAY(DATE(YEAR(Table157810[[#This Row],[Date]]),MONTH(Table157810[[#This Row],[Date]])+1,1)-1))</f>
        <v>30</v>
      </c>
      <c r="S369" s="2">
        <f ca="1">SUM(OFFSET(Table157810[[#Headers],[Days in month]],1,0):Table157810[[#This Row],[Days in month]])</f>
        <v>10738</v>
      </c>
      <c r="T369" s="37">
        <f>InterestRate*AmortizationMultiplier*IF(ISNUMBER(SEARCH("Actual",$C$7)),Table157810[[#This Row],[Days in month]]/365,1/12)</f>
        <v>5.7909166666666656E-3</v>
      </c>
    </row>
    <row r="370" spans="2:20" x14ac:dyDescent="0.2">
      <c r="B370" s="1">
        <f t="shared" si="18"/>
        <v>56614</v>
      </c>
      <c r="C370" s="2">
        <f t="shared" si="20"/>
        <v>354</v>
      </c>
      <c r="D370" s="3">
        <f t="shared" si="19"/>
        <v>0</v>
      </c>
      <c r="E370" s="3">
        <f>ROUND(Table157810[[#This Row],[Beginning Balance]]*Table157810[[#This Row],[Monthly Interest Rate]],2)</f>
        <v>0</v>
      </c>
      <c r="F370" s="3">
        <f t="shared" si="21"/>
        <v>488</v>
      </c>
      <c r="G370" s="23">
        <f>IFERROR(IF($C$13="No","N/A",IF(Table157810[[#This Row],[Period]]=1,$C$6,PMT(InterestRate*AmortizationMultiplier/12,Table157810[[#This Row],[Am Thru]],-Table157810[[#This Row],[Beginning Balance]]))),0)</f>
        <v>0</v>
      </c>
      <c r="H370" s="3">
        <f>MAX(0,IF(C370=$C$4,D370,ROUND(IF($C$3="Fixed Principal",$C$6-Table157810[[#This Row],[Interest]],IF($C$3="Interest Only",Table157810[[#This Row],[Beginning Balance]]*ROUND(1-(1-IF($C$11="No",$E$8,1))^(1/12),6),MIN(IF($C$13="Yes",Table157810[[#This Row],[Payment Amount (Reamortized)]],$C$6)-Table157810[[#This Row],[Interest]],Table157810[[#This Row],[Beginning Balance]]))),2)))</f>
        <v>0</v>
      </c>
      <c r="I370" s="3">
        <f>_xlfn.SINGLE(IF($C$3="Line of Credit",0,ROUND(MAX(MIN(IF($C$10="No",$E$7,VLOOKUP(Table157810[[#This Row],[Period]],Forecast!$H$2:$L$1048576,4,FALSE))*Table157810[[#This Row],[Beginning Balance]],Table157810[[#This Row],[Beginning Balance]]-Table157810[[#This Row],[Principal]]),0),2)))</f>
        <v>0</v>
      </c>
      <c r="J370" s="3">
        <f>ROUND(MIN(Table157810[[#This Row],[Beginning Balance]]*IF($C$8="No",$E$3,VLOOKUP(Table157810[[#This Row],[Period]],Forecast!$H$2:$L$1048576,2,FALSE)),Table157810[[#This Row],[Beginning Balance]]-Table157810[[#This Row],[Principal]]-Table157810[[#This Row],[Prepayments]]),2)</f>
        <v>0</v>
      </c>
      <c r="K370" s="3">
        <f>ROUND(Table157810[[#This Row],[Defaulted Principal]]*IF($C$9="No",$E$4,VLOOKUP(Table157810[[#This Row],[Period]],Forecast!$H$2:$L$1048576,3,FALSE)),2)</f>
        <v>0</v>
      </c>
      <c r="L370" s="2">
        <f>Table157810[[#This Row],[Period]]+$E$9</f>
        <v>366</v>
      </c>
      <c r="M370" s="3">
        <f>Table157810[[#This Row],[Defaulted Principal]]-Table157810[[#This Row],[Estimated Loss]]</f>
        <v>0</v>
      </c>
      <c r="N370" s="3">
        <f>IFERROR(VLOOKUP(Table157810[[#This Row],[Period]],$L$16:$M$385,2,FALSE),0)</f>
        <v>0</v>
      </c>
      <c r="O370" s="3">
        <f>Table157810[[#This Row],[Beginning Balance]]-Table157810[[#This Row],[Principal]]-Table157810[[#This Row],[Prepayments]]-Table157810[[#This Row],[Defaulted Principal]]</f>
        <v>0</v>
      </c>
      <c r="P370" s="3">
        <f>Table157810[[#This Row],[Principal]]+Table157810[[#This Row],[Interest]]+Table157810[[#This Row],[Prepayments]]+Table157810[[#This Row],[RecoveredAmount]]</f>
        <v>0</v>
      </c>
      <c r="Q370" s="3">
        <f ca="1">ROUND(Table157810[[#This Row],[Cash Flow]]/((1+ActualRateToUse)^(IF(ISNUMBER(SEARCH("Actual",$C$7)),Table157810[[#This Row],[Running Total]]/365,Table157810[[#This Row],[Period]]/12))),2)</f>
        <v>0</v>
      </c>
      <c r="R370" s="2">
        <f>IF(MONTH(Table157810[[#This Row],[Date]])=2,28,DAY(DATE(YEAR(Table157810[[#This Row],[Date]]),MONTH(Table157810[[#This Row],[Date]])+1,1)-1))</f>
        <v>31</v>
      </c>
      <c r="S370" s="2">
        <f ca="1">SUM(OFFSET(Table157810[[#Headers],[Days in month]],1,0):Table157810[[#This Row],[Days in month]])</f>
        <v>10769</v>
      </c>
      <c r="T370" s="37">
        <f>InterestRate*AmortizationMultiplier*IF(ISNUMBER(SEARCH("Actual",$C$7)),Table157810[[#This Row],[Days in month]]/365,1/12)</f>
        <v>5.9839472222222214E-3</v>
      </c>
    </row>
    <row r="371" spans="2:20" x14ac:dyDescent="0.2">
      <c r="B371" s="1">
        <f t="shared" si="18"/>
        <v>56645</v>
      </c>
      <c r="C371" s="2">
        <f t="shared" si="20"/>
        <v>355</v>
      </c>
      <c r="D371" s="3">
        <f t="shared" si="19"/>
        <v>0</v>
      </c>
      <c r="E371" s="3">
        <f>ROUND(Table157810[[#This Row],[Beginning Balance]]*Table157810[[#This Row],[Monthly Interest Rate]],2)</f>
        <v>0</v>
      </c>
      <c r="F371" s="3">
        <f t="shared" si="21"/>
        <v>487</v>
      </c>
      <c r="G371" s="23">
        <f>IFERROR(IF($C$13="No","N/A",IF(Table157810[[#This Row],[Period]]=1,$C$6,PMT(InterestRate*AmortizationMultiplier/12,Table157810[[#This Row],[Am Thru]],-Table157810[[#This Row],[Beginning Balance]]))),0)</f>
        <v>0</v>
      </c>
      <c r="H371" s="3">
        <f>MAX(0,IF(C371=$C$4,D371,ROUND(IF($C$3="Fixed Principal",$C$6-Table157810[[#This Row],[Interest]],IF($C$3="Interest Only",Table157810[[#This Row],[Beginning Balance]]*ROUND(1-(1-IF($C$11="No",$E$8,1))^(1/12),6),MIN(IF($C$13="Yes",Table157810[[#This Row],[Payment Amount (Reamortized)]],$C$6)-Table157810[[#This Row],[Interest]],Table157810[[#This Row],[Beginning Balance]]))),2)))</f>
        <v>0</v>
      </c>
      <c r="I371" s="3">
        <f>_xlfn.SINGLE(IF($C$3="Line of Credit",0,ROUND(MAX(MIN(IF($C$10="No",$E$7,VLOOKUP(Table157810[[#This Row],[Period]],Forecast!$H$2:$L$1048576,4,FALSE))*Table157810[[#This Row],[Beginning Balance]],Table157810[[#This Row],[Beginning Balance]]-Table157810[[#This Row],[Principal]]),0),2)))</f>
        <v>0</v>
      </c>
      <c r="J371" s="3">
        <f>ROUND(MIN(Table157810[[#This Row],[Beginning Balance]]*IF($C$8="No",$E$3,VLOOKUP(Table157810[[#This Row],[Period]],Forecast!$H$2:$L$1048576,2,FALSE)),Table157810[[#This Row],[Beginning Balance]]-Table157810[[#This Row],[Principal]]-Table157810[[#This Row],[Prepayments]]),2)</f>
        <v>0</v>
      </c>
      <c r="K371" s="3">
        <f>ROUND(Table157810[[#This Row],[Defaulted Principal]]*IF($C$9="No",$E$4,VLOOKUP(Table157810[[#This Row],[Period]],Forecast!$H$2:$L$1048576,3,FALSE)),2)</f>
        <v>0</v>
      </c>
      <c r="L371" s="2">
        <f>Table157810[[#This Row],[Period]]+$E$9</f>
        <v>367</v>
      </c>
      <c r="M371" s="3">
        <f>Table157810[[#This Row],[Defaulted Principal]]-Table157810[[#This Row],[Estimated Loss]]</f>
        <v>0</v>
      </c>
      <c r="N371" s="3">
        <f>IFERROR(VLOOKUP(Table157810[[#This Row],[Period]],$L$16:$M$385,2,FALSE),0)</f>
        <v>0</v>
      </c>
      <c r="O371" s="3">
        <f>Table157810[[#This Row],[Beginning Balance]]-Table157810[[#This Row],[Principal]]-Table157810[[#This Row],[Prepayments]]-Table157810[[#This Row],[Defaulted Principal]]</f>
        <v>0</v>
      </c>
      <c r="P371" s="3">
        <f>Table157810[[#This Row],[Principal]]+Table157810[[#This Row],[Interest]]+Table157810[[#This Row],[Prepayments]]+Table157810[[#This Row],[RecoveredAmount]]</f>
        <v>0</v>
      </c>
      <c r="Q371" s="3">
        <f ca="1">ROUND(Table157810[[#This Row],[Cash Flow]]/((1+ActualRateToUse)^(IF(ISNUMBER(SEARCH("Actual",$C$7)),Table157810[[#This Row],[Running Total]]/365,Table157810[[#This Row],[Period]]/12))),2)</f>
        <v>0</v>
      </c>
      <c r="R371" s="2">
        <f>IF(MONTH(Table157810[[#This Row],[Date]])=2,28,DAY(DATE(YEAR(Table157810[[#This Row],[Date]]),MONTH(Table157810[[#This Row],[Date]])+1,1)-1))</f>
        <v>31</v>
      </c>
      <c r="S371" s="2">
        <f ca="1">SUM(OFFSET(Table157810[[#Headers],[Days in month]],1,0):Table157810[[#This Row],[Days in month]])</f>
        <v>10800</v>
      </c>
      <c r="T371" s="37">
        <f>InterestRate*AmortizationMultiplier*IF(ISNUMBER(SEARCH("Actual",$C$7)),Table157810[[#This Row],[Days in month]]/365,1/12)</f>
        <v>5.9839472222222214E-3</v>
      </c>
    </row>
    <row r="372" spans="2:20" x14ac:dyDescent="0.2">
      <c r="B372" s="1">
        <f t="shared" si="18"/>
        <v>56673</v>
      </c>
      <c r="C372" s="2">
        <f t="shared" si="20"/>
        <v>356</v>
      </c>
      <c r="D372" s="3">
        <f t="shared" si="19"/>
        <v>0</v>
      </c>
      <c r="E372" s="3">
        <f>ROUND(Table157810[[#This Row],[Beginning Balance]]*Table157810[[#This Row],[Monthly Interest Rate]],2)</f>
        <v>0</v>
      </c>
      <c r="F372" s="3">
        <f t="shared" si="21"/>
        <v>486</v>
      </c>
      <c r="G372" s="23">
        <f>IFERROR(IF($C$13="No","N/A",IF(Table157810[[#This Row],[Period]]=1,$C$6,PMT(InterestRate*AmortizationMultiplier/12,Table157810[[#This Row],[Am Thru]],-Table157810[[#This Row],[Beginning Balance]]))),0)</f>
        <v>0</v>
      </c>
      <c r="H372" s="3">
        <f>MAX(0,IF(C372=$C$4,D372,ROUND(IF($C$3="Fixed Principal",$C$6-Table157810[[#This Row],[Interest]],IF($C$3="Interest Only",Table157810[[#This Row],[Beginning Balance]]*ROUND(1-(1-IF($C$11="No",$E$8,1))^(1/12),6),MIN(IF($C$13="Yes",Table157810[[#This Row],[Payment Amount (Reamortized)]],$C$6)-Table157810[[#This Row],[Interest]],Table157810[[#This Row],[Beginning Balance]]))),2)))</f>
        <v>0</v>
      </c>
      <c r="I372" s="3">
        <f>_xlfn.SINGLE(IF($C$3="Line of Credit",0,ROUND(MAX(MIN(IF($C$10="No",$E$7,VLOOKUP(Table157810[[#This Row],[Period]],Forecast!$H$2:$L$1048576,4,FALSE))*Table157810[[#This Row],[Beginning Balance]],Table157810[[#This Row],[Beginning Balance]]-Table157810[[#This Row],[Principal]]),0),2)))</f>
        <v>0</v>
      </c>
      <c r="J372" s="3">
        <f>ROUND(MIN(Table157810[[#This Row],[Beginning Balance]]*IF($C$8="No",$E$3,VLOOKUP(Table157810[[#This Row],[Period]],Forecast!$H$2:$L$1048576,2,FALSE)),Table157810[[#This Row],[Beginning Balance]]-Table157810[[#This Row],[Principal]]-Table157810[[#This Row],[Prepayments]]),2)</f>
        <v>0</v>
      </c>
      <c r="K372" s="3">
        <f>ROUND(Table157810[[#This Row],[Defaulted Principal]]*IF($C$9="No",$E$4,VLOOKUP(Table157810[[#This Row],[Period]],Forecast!$H$2:$L$1048576,3,FALSE)),2)</f>
        <v>0</v>
      </c>
      <c r="L372" s="2">
        <f>Table157810[[#This Row],[Period]]+$E$9</f>
        <v>368</v>
      </c>
      <c r="M372" s="3">
        <f>Table157810[[#This Row],[Defaulted Principal]]-Table157810[[#This Row],[Estimated Loss]]</f>
        <v>0</v>
      </c>
      <c r="N372" s="3">
        <f>IFERROR(VLOOKUP(Table157810[[#This Row],[Period]],$L$16:$M$385,2,FALSE),0)</f>
        <v>0</v>
      </c>
      <c r="O372" s="3">
        <f>Table157810[[#This Row],[Beginning Balance]]-Table157810[[#This Row],[Principal]]-Table157810[[#This Row],[Prepayments]]-Table157810[[#This Row],[Defaulted Principal]]</f>
        <v>0</v>
      </c>
      <c r="P372" s="3">
        <f>Table157810[[#This Row],[Principal]]+Table157810[[#This Row],[Interest]]+Table157810[[#This Row],[Prepayments]]+Table157810[[#This Row],[RecoveredAmount]]</f>
        <v>0</v>
      </c>
      <c r="Q372" s="3">
        <f ca="1">ROUND(Table157810[[#This Row],[Cash Flow]]/((1+ActualRateToUse)^(IF(ISNUMBER(SEARCH("Actual",$C$7)),Table157810[[#This Row],[Running Total]]/365,Table157810[[#This Row],[Period]]/12))),2)</f>
        <v>0</v>
      </c>
      <c r="R372" s="2">
        <f>IF(MONTH(Table157810[[#This Row],[Date]])=2,28,DAY(DATE(YEAR(Table157810[[#This Row],[Date]]),MONTH(Table157810[[#This Row],[Date]])+1,1)-1))</f>
        <v>28</v>
      </c>
      <c r="S372" s="2">
        <f ca="1">SUM(OFFSET(Table157810[[#Headers],[Days in month]],1,0):Table157810[[#This Row],[Days in month]])</f>
        <v>10828</v>
      </c>
      <c r="T372" s="37">
        <f>InterestRate*AmortizationMultiplier*IF(ISNUMBER(SEARCH("Actual",$C$7)),Table157810[[#This Row],[Days in month]]/365,1/12)</f>
        <v>5.4048555555555548E-3</v>
      </c>
    </row>
    <row r="373" spans="2:20" x14ac:dyDescent="0.2">
      <c r="B373" s="1">
        <f t="shared" si="18"/>
        <v>56704</v>
      </c>
      <c r="C373" s="2">
        <f t="shared" si="20"/>
        <v>357</v>
      </c>
      <c r="D373" s="3">
        <f t="shared" si="19"/>
        <v>0</v>
      </c>
      <c r="E373" s="3">
        <f>ROUND(Table157810[[#This Row],[Beginning Balance]]*Table157810[[#This Row],[Monthly Interest Rate]],2)</f>
        <v>0</v>
      </c>
      <c r="F373" s="3">
        <f t="shared" si="21"/>
        <v>485</v>
      </c>
      <c r="G373" s="23">
        <f>IFERROR(IF($C$13="No","N/A",IF(Table157810[[#This Row],[Period]]=1,$C$6,PMT(InterestRate*AmortizationMultiplier/12,Table157810[[#This Row],[Am Thru]],-Table157810[[#This Row],[Beginning Balance]]))),0)</f>
        <v>0</v>
      </c>
      <c r="H373" s="3">
        <f>MAX(0,IF(C373=$C$4,D373,ROUND(IF($C$3="Fixed Principal",$C$6-Table157810[[#This Row],[Interest]],IF($C$3="Interest Only",Table157810[[#This Row],[Beginning Balance]]*ROUND(1-(1-IF($C$11="No",$E$8,1))^(1/12),6),MIN(IF($C$13="Yes",Table157810[[#This Row],[Payment Amount (Reamortized)]],$C$6)-Table157810[[#This Row],[Interest]],Table157810[[#This Row],[Beginning Balance]]))),2)))</f>
        <v>0</v>
      </c>
      <c r="I373" s="3">
        <f>_xlfn.SINGLE(IF($C$3="Line of Credit",0,ROUND(MAX(MIN(IF($C$10="No",$E$7,VLOOKUP(Table157810[[#This Row],[Period]],Forecast!$H$2:$L$1048576,4,FALSE))*Table157810[[#This Row],[Beginning Balance]],Table157810[[#This Row],[Beginning Balance]]-Table157810[[#This Row],[Principal]]),0),2)))</f>
        <v>0</v>
      </c>
      <c r="J373" s="3">
        <f>ROUND(MIN(Table157810[[#This Row],[Beginning Balance]]*IF($C$8="No",$E$3,VLOOKUP(Table157810[[#This Row],[Period]],Forecast!$H$2:$L$1048576,2,FALSE)),Table157810[[#This Row],[Beginning Balance]]-Table157810[[#This Row],[Principal]]-Table157810[[#This Row],[Prepayments]]),2)</f>
        <v>0</v>
      </c>
      <c r="K373" s="3">
        <f>ROUND(Table157810[[#This Row],[Defaulted Principal]]*IF($C$9="No",$E$4,VLOOKUP(Table157810[[#This Row],[Period]],Forecast!$H$2:$L$1048576,3,FALSE)),2)</f>
        <v>0</v>
      </c>
      <c r="L373" s="2">
        <f>Table157810[[#This Row],[Period]]+$E$9</f>
        <v>369</v>
      </c>
      <c r="M373" s="3">
        <f>Table157810[[#This Row],[Defaulted Principal]]-Table157810[[#This Row],[Estimated Loss]]</f>
        <v>0</v>
      </c>
      <c r="N373" s="3">
        <f>IFERROR(VLOOKUP(Table157810[[#This Row],[Period]],$L$16:$M$385,2,FALSE),0)</f>
        <v>0</v>
      </c>
      <c r="O373" s="3">
        <f>Table157810[[#This Row],[Beginning Balance]]-Table157810[[#This Row],[Principal]]-Table157810[[#This Row],[Prepayments]]-Table157810[[#This Row],[Defaulted Principal]]</f>
        <v>0</v>
      </c>
      <c r="P373" s="3">
        <f>Table157810[[#This Row],[Principal]]+Table157810[[#This Row],[Interest]]+Table157810[[#This Row],[Prepayments]]+Table157810[[#This Row],[RecoveredAmount]]</f>
        <v>0</v>
      </c>
      <c r="Q373" s="3">
        <f ca="1">ROUND(Table157810[[#This Row],[Cash Flow]]/((1+ActualRateToUse)^(IF(ISNUMBER(SEARCH("Actual",$C$7)),Table157810[[#This Row],[Running Total]]/365,Table157810[[#This Row],[Period]]/12))),2)</f>
        <v>0</v>
      </c>
      <c r="R373" s="2">
        <f>IF(MONTH(Table157810[[#This Row],[Date]])=2,28,DAY(DATE(YEAR(Table157810[[#This Row],[Date]]),MONTH(Table157810[[#This Row],[Date]])+1,1)-1))</f>
        <v>31</v>
      </c>
      <c r="S373" s="2">
        <f ca="1">SUM(OFFSET(Table157810[[#Headers],[Days in month]],1,0):Table157810[[#This Row],[Days in month]])</f>
        <v>10859</v>
      </c>
      <c r="T373" s="37">
        <f>InterestRate*AmortizationMultiplier*IF(ISNUMBER(SEARCH("Actual",$C$7)),Table157810[[#This Row],[Days in month]]/365,1/12)</f>
        <v>5.9839472222222214E-3</v>
      </c>
    </row>
    <row r="374" spans="2:20" x14ac:dyDescent="0.2">
      <c r="B374" s="1">
        <f t="shared" si="18"/>
        <v>56734</v>
      </c>
      <c r="C374" s="2">
        <f t="shared" si="20"/>
        <v>358</v>
      </c>
      <c r="D374" s="3">
        <f t="shared" si="19"/>
        <v>0</v>
      </c>
      <c r="E374" s="3">
        <f>ROUND(Table157810[[#This Row],[Beginning Balance]]*Table157810[[#This Row],[Monthly Interest Rate]],2)</f>
        <v>0</v>
      </c>
      <c r="F374" s="3">
        <f t="shared" si="21"/>
        <v>484</v>
      </c>
      <c r="G374" s="23">
        <f>IFERROR(IF($C$13="No","N/A",IF(Table157810[[#This Row],[Period]]=1,$C$6,PMT(InterestRate*AmortizationMultiplier/12,Table157810[[#This Row],[Am Thru]],-Table157810[[#This Row],[Beginning Balance]]))),0)</f>
        <v>0</v>
      </c>
      <c r="H374" s="3">
        <f>MAX(0,IF(C374=$C$4,D374,ROUND(IF($C$3="Fixed Principal",$C$6-Table157810[[#This Row],[Interest]],IF($C$3="Interest Only",Table157810[[#This Row],[Beginning Balance]]*ROUND(1-(1-IF($C$11="No",$E$8,1))^(1/12),6),MIN(IF($C$13="Yes",Table157810[[#This Row],[Payment Amount (Reamortized)]],$C$6)-Table157810[[#This Row],[Interest]],Table157810[[#This Row],[Beginning Balance]]))),2)))</f>
        <v>0</v>
      </c>
      <c r="I374" s="3">
        <f>_xlfn.SINGLE(IF($C$3="Line of Credit",0,ROUND(MAX(MIN(IF($C$10="No",$E$7,VLOOKUP(Table157810[[#This Row],[Period]],Forecast!$H$2:$L$1048576,4,FALSE))*Table157810[[#This Row],[Beginning Balance]],Table157810[[#This Row],[Beginning Balance]]-Table157810[[#This Row],[Principal]]),0),2)))</f>
        <v>0</v>
      </c>
      <c r="J374" s="3">
        <f>ROUND(MIN(Table157810[[#This Row],[Beginning Balance]]*IF($C$8="No",$E$3,VLOOKUP(Table157810[[#This Row],[Period]],Forecast!$H$2:$L$1048576,2,FALSE)),Table157810[[#This Row],[Beginning Balance]]-Table157810[[#This Row],[Principal]]-Table157810[[#This Row],[Prepayments]]),2)</f>
        <v>0</v>
      </c>
      <c r="K374" s="3">
        <f>ROUND(Table157810[[#This Row],[Defaulted Principal]]*IF($C$9="No",$E$4,VLOOKUP(Table157810[[#This Row],[Period]],Forecast!$H$2:$L$1048576,3,FALSE)),2)</f>
        <v>0</v>
      </c>
      <c r="L374" s="2">
        <f>Table157810[[#This Row],[Period]]+$E$9</f>
        <v>370</v>
      </c>
      <c r="M374" s="3">
        <f>Table157810[[#This Row],[Defaulted Principal]]-Table157810[[#This Row],[Estimated Loss]]</f>
        <v>0</v>
      </c>
      <c r="N374" s="3">
        <f>IFERROR(VLOOKUP(Table157810[[#This Row],[Period]],$L$16:$M$385,2,FALSE),0)</f>
        <v>0</v>
      </c>
      <c r="O374" s="3">
        <f>Table157810[[#This Row],[Beginning Balance]]-Table157810[[#This Row],[Principal]]-Table157810[[#This Row],[Prepayments]]-Table157810[[#This Row],[Defaulted Principal]]</f>
        <v>0</v>
      </c>
      <c r="P374" s="3">
        <f>Table157810[[#This Row],[Principal]]+Table157810[[#This Row],[Interest]]+Table157810[[#This Row],[Prepayments]]+Table157810[[#This Row],[RecoveredAmount]]</f>
        <v>0</v>
      </c>
      <c r="Q374" s="3">
        <f ca="1">ROUND(Table157810[[#This Row],[Cash Flow]]/((1+ActualRateToUse)^(IF(ISNUMBER(SEARCH("Actual",$C$7)),Table157810[[#This Row],[Running Total]]/365,Table157810[[#This Row],[Period]]/12))),2)</f>
        <v>0</v>
      </c>
      <c r="R374" s="2">
        <f>IF(MONTH(Table157810[[#This Row],[Date]])=2,28,DAY(DATE(YEAR(Table157810[[#This Row],[Date]]),MONTH(Table157810[[#This Row],[Date]])+1,1)-1))</f>
        <v>30</v>
      </c>
      <c r="S374" s="2">
        <f ca="1">SUM(OFFSET(Table157810[[#Headers],[Days in month]],1,0):Table157810[[#This Row],[Days in month]])</f>
        <v>10889</v>
      </c>
      <c r="T374" s="37">
        <f>InterestRate*AmortizationMultiplier*IF(ISNUMBER(SEARCH("Actual",$C$7)),Table157810[[#This Row],[Days in month]]/365,1/12)</f>
        <v>5.7909166666666656E-3</v>
      </c>
    </row>
    <row r="375" spans="2:20" x14ac:dyDescent="0.2">
      <c r="B375" s="1">
        <f t="shared" si="18"/>
        <v>56765</v>
      </c>
      <c r="C375" s="2">
        <f t="shared" si="20"/>
        <v>359</v>
      </c>
      <c r="D375" s="3">
        <f t="shared" si="19"/>
        <v>0</v>
      </c>
      <c r="E375" s="3">
        <f>ROUND(Table157810[[#This Row],[Beginning Balance]]*Table157810[[#This Row],[Monthly Interest Rate]],2)</f>
        <v>0</v>
      </c>
      <c r="F375" s="3">
        <f t="shared" si="21"/>
        <v>483</v>
      </c>
      <c r="G375" s="23">
        <f>IFERROR(IF($C$13="No","N/A",IF(Table157810[[#This Row],[Period]]=1,$C$6,PMT(InterestRate*AmortizationMultiplier/12,Table157810[[#This Row],[Am Thru]],-Table157810[[#This Row],[Beginning Balance]]))),0)</f>
        <v>0</v>
      </c>
      <c r="H375" s="3">
        <f>MAX(0,IF(C375=$C$4,D375,ROUND(IF($C$3="Fixed Principal",$C$6-Table157810[[#This Row],[Interest]],IF($C$3="Interest Only",Table157810[[#This Row],[Beginning Balance]]*ROUND(1-(1-IF($C$11="No",$E$8,1))^(1/12),6),MIN(IF($C$13="Yes",Table157810[[#This Row],[Payment Amount (Reamortized)]],$C$6)-Table157810[[#This Row],[Interest]],Table157810[[#This Row],[Beginning Balance]]))),2)))</f>
        <v>0</v>
      </c>
      <c r="I375" s="3">
        <f>_xlfn.SINGLE(IF($C$3="Line of Credit",0,ROUND(MAX(MIN(IF($C$10="No",$E$7,VLOOKUP(Table157810[[#This Row],[Period]],Forecast!$H$2:$L$1048576,4,FALSE))*Table157810[[#This Row],[Beginning Balance]],Table157810[[#This Row],[Beginning Balance]]-Table157810[[#This Row],[Principal]]),0),2)))</f>
        <v>0</v>
      </c>
      <c r="J375" s="3">
        <f>ROUND(MIN(Table157810[[#This Row],[Beginning Balance]]*IF($C$8="No",$E$3,VLOOKUP(Table157810[[#This Row],[Period]],Forecast!$H$2:$L$1048576,2,FALSE)),Table157810[[#This Row],[Beginning Balance]]-Table157810[[#This Row],[Principal]]-Table157810[[#This Row],[Prepayments]]),2)</f>
        <v>0</v>
      </c>
      <c r="K375" s="3">
        <f>ROUND(Table157810[[#This Row],[Defaulted Principal]]*IF($C$9="No",$E$4,VLOOKUP(Table157810[[#This Row],[Period]],Forecast!$H$2:$L$1048576,3,FALSE)),2)</f>
        <v>0</v>
      </c>
      <c r="L375" s="2">
        <f>Table157810[[#This Row],[Period]]+$E$9</f>
        <v>371</v>
      </c>
      <c r="M375" s="3">
        <f>Table157810[[#This Row],[Defaulted Principal]]-Table157810[[#This Row],[Estimated Loss]]</f>
        <v>0</v>
      </c>
      <c r="N375" s="3">
        <f>IFERROR(VLOOKUP(Table157810[[#This Row],[Period]],$L$16:$M$385,2,FALSE),0)</f>
        <v>0</v>
      </c>
      <c r="O375" s="3">
        <f>Table157810[[#This Row],[Beginning Balance]]-Table157810[[#This Row],[Principal]]-Table157810[[#This Row],[Prepayments]]-Table157810[[#This Row],[Defaulted Principal]]</f>
        <v>0</v>
      </c>
      <c r="P375" s="3">
        <f>Table157810[[#This Row],[Principal]]+Table157810[[#This Row],[Interest]]+Table157810[[#This Row],[Prepayments]]+Table157810[[#This Row],[RecoveredAmount]]</f>
        <v>0</v>
      </c>
      <c r="Q375" s="3">
        <f ca="1">ROUND(Table157810[[#This Row],[Cash Flow]]/((1+ActualRateToUse)^(IF(ISNUMBER(SEARCH("Actual",$C$7)),Table157810[[#This Row],[Running Total]]/365,Table157810[[#This Row],[Period]]/12))),2)</f>
        <v>0</v>
      </c>
      <c r="R375" s="2">
        <f>IF(MONTH(Table157810[[#This Row],[Date]])=2,28,DAY(DATE(YEAR(Table157810[[#This Row],[Date]]),MONTH(Table157810[[#This Row],[Date]])+1,1)-1))</f>
        <v>31</v>
      </c>
      <c r="S375" s="2">
        <f ca="1">SUM(OFFSET(Table157810[[#Headers],[Days in month]],1,0):Table157810[[#This Row],[Days in month]])</f>
        <v>10920</v>
      </c>
      <c r="T375" s="37">
        <f>InterestRate*AmortizationMultiplier*IF(ISNUMBER(SEARCH("Actual",$C$7)),Table157810[[#This Row],[Days in month]]/365,1/12)</f>
        <v>5.9839472222222214E-3</v>
      </c>
    </row>
    <row r="376" spans="2:20" x14ac:dyDescent="0.2">
      <c r="B376" s="1">
        <f t="shared" si="18"/>
        <v>56795</v>
      </c>
      <c r="C376" s="2">
        <f t="shared" si="20"/>
        <v>360</v>
      </c>
      <c r="D376" s="3">
        <f t="shared" si="19"/>
        <v>0</v>
      </c>
      <c r="E376" s="3">
        <f>ROUND(Table157810[[#This Row],[Beginning Balance]]*Table157810[[#This Row],[Monthly Interest Rate]],2)</f>
        <v>0</v>
      </c>
      <c r="F376" s="3">
        <f t="shared" si="21"/>
        <v>482</v>
      </c>
      <c r="G376" s="23">
        <f>IFERROR(IF($C$13="No","N/A",IF(Table157810[[#This Row],[Period]]=1,$C$6,PMT(InterestRate*AmortizationMultiplier/12,Table157810[[#This Row],[Am Thru]],-Table157810[[#This Row],[Beginning Balance]]))),0)</f>
        <v>0</v>
      </c>
      <c r="H376" s="3">
        <f>MAX(0,IF(C376=$C$4,D376,ROUND(IF($C$3="Fixed Principal",$C$6-Table157810[[#This Row],[Interest]],IF($C$3="Interest Only",Table157810[[#This Row],[Beginning Balance]]*ROUND(1-(1-IF($C$11="No",$E$8,1))^(1/12),6),MIN(IF($C$13="Yes",Table157810[[#This Row],[Payment Amount (Reamortized)]],$C$6)-Table157810[[#This Row],[Interest]],Table157810[[#This Row],[Beginning Balance]]))),2)))</f>
        <v>0</v>
      </c>
      <c r="I376" s="3">
        <f>_xlfn.SINGLE(IF($C$3="Line of Credit",0,ROUND(MAX(MIN(IF($C$10="No",$E$7,VLOOKUP(Table157810[[#This Row],[Period]],Forecast!$H$2:$L$1048576,4,FALSE))*Table157810[[#This Row],[Beginning Balance]],Table157810[[#This Row],[Beginning Balance]]-Table157810[[#This Row],[Principal]]),0),2)))</f>
        <v>0</v>
      </c>
      <c r="J376" s="3">
        <f>ROUND(MIN(Table157810[[#This Row],[Beginning Balance]]*IF($C$8="No",$E$3,VLOOKUP(Table157810[[#This Row],[Period]],Forecast!$H$2:$L$1048576,2,FALSE)),Table157810[[#This Row],[Beginning Balance]]-Table157810[[#This Row],[Principal]]-Table157810[[#This Row],[Prepayments]]),2)</f>
        <v>0</v>
      </c>
      <c r="K376" s="3">
        <f>ROUND(Table157810[[#This Row],[Defaulted Principal]]*IF($C$9="No",$E$4,VLOOKUP(Table157810[[#This Row],[Period]],Forecast!$H$2:$L$1048576,3,FALSE)),2)</f>
        <v>0</v>
      </c>
      <c r="L376" s="2">
        <f>Table157810[[#This Row],[Period]]+$E$9</f>
        <v>372</v>
      </c>
      <c r="M376" s="3">
        <f>Table157810[[#This Row],[Defaulted Principal]]-Table157810[[#This Row],[Estimated Loss]]</f>
        <v>0</v>
      </c>
      <c r="N376" s="3">
        <f>IFERROR(VLOOKUP(Table157810[[#This Row],[Period]],$L$16:$M$385,2,FALSE),0)</f>
        <v>0</v>
      </c>
      <c r="O376" s="3">
        <f>Table157810[[#This Row],[Beginning Balance]]-Table157810[[#This Row],[Principal]]-Table157810[[#This Row],[Prepayments]]-Table157810[[#This Row],[Defaulted Principal]]</f>
        <v>0</v>
      </c>
      <c r="P376" s="3">
        <f>Table157810[[#This Row],[Principal]]+Table157810[[#This Row],[Interest]]+Table157810[[#This Row],[Prepayments]]+Table157810[[#This Row],[RecoveredAmount]]</f>
        <v>0</v>
      </c>
      <c r="Q376" s="3">
        <f ca="1">ROUND(Table157810[[#This Row],[Cash Flow]]/((1+ActualRateToUse)^(IF(ISNUMBER(SEARCH("Actual",$C$7)),Table157810[[#This Row],[Running Total]]/365,Table157810[[#This Row],[Period]]/12))),2)</f>
        <v>0</v>
      </c>
      <c r="R376" s="2">
        <f>IF(MONTH(Table157810[[#This Row],[Date]])=2,28,DAY(DATE(YEAR(Table157810[[#This Row],[Date]]),MONTH(Table157810[[#This Row],[Date]])+1,1)-1))</f>
        <v>30</v>
      </c>
      <c r="S376" s="2">
        <f ca="1">SUM(OFFSET(Table157810[[#Headers],[Days in month]],1,0):Table157810[[#This Row],[Days in month]])</f>
        <v>10950</v>
      </c>
      <c r="T376" s="37">
        <f>InterestRate*AmortizationMultiplier*IF(ISNUMBER(SEARCH("Actual",$C$7)),Table157810[[#This Row],[Days in month]]/365,1/12)</f>
        <v>5.7909166666666656E-3</v>
      </c>
    </row>
    <row r="377" spans="2:20" x14ac:dyDescent="0.2">
      <c r="B377" s="1">
        <f t="shared" si="18"/>
        <v>56826</v>
      </c>
      <c r="C377" s="2">
        <f t="shared" si="20"/>
        <v>361</v>
      </c>
      <c r="D377" s="3">
        <f t="shared" si="19"/>
        <v>0</v>
      </c>
      <c r="E377" s="3">
        <f>ROUND(Table157810[[#This Row],[Beginning Balance]]*Table157810[[#This Row],[Monthly Interest Rate]],2)</f>
        <v>0</v>
      </c>
      <c r="F377" s="3">
        <f t="shared" si="21"/>
        <v>481</v>
      </c>
      <c r="G377" s="23">
        <f>IFERROR(IF($C$13="No","N/A",IF(Table157810[[#This Row],[Period]]=1,$C$6,PMT(InterestRate*AmortizationMultiplier/12,Table157810[[#This Row],[Am Thru]],-Table157810[[#This Row],[Beginning Balance]]))),0)</f>
        <v>0</v>
      </c>
      <c r="H377" s="3">
        <f>MAX(0,IF(C377=$C$4,D377,ROUND(IF($C$3="Fixed Principal",$C$6-Table157810[[#This Row],[Interest]],IF($C$3="Interest Only",Table157810[[#This Row],[Beginning Balance]]*ROUND(1-(1-IF($C$11="No",$E$8,1))^(1/12),6),MIN(IF($C$13="Yes",Table157810[[#This Row],[Payment Amount (Reamortized)]],$C$6)-Table157810[[#This Row],[Interest]],Table157810[[#This Row],[Beginning Balance]]))),2)))</f>
        <v>0</v>
      </c>
      <c r="I377" s="3">
        <f>_xlfn.SINGLE(IF($C$3="Line of Credit",0,ROUND(MAX(MIN(IF($C$10="No",$E$7,VLOOKUP(Table157810[[#This Row],[Period]],Forecast!$H$2:$L$1048576,4,FALSE))*Table157810[[#This Row],[Beginning Balance]],Table157810[[#This Row],[Beginning Balance]]-Table157810[[#This Row],[Principal]]),0),2)))</f>
        <v>0</v>
      </c>
      <c r="J377" s="3">
        <f>ROUND(MIN(Table157810[[#This Row],[Beginning Balance]]*IF($C$8="No",$E$3,VLOOKUP(Table157810[[#This Row],[Period]],Forecast!$H$2:$L$1048576,2,FALSE)),Table157810[[#This Row],[Beginning Balance]]-Table157810[[#This Row],[Principal]]-Table157810[[#This Row],[Prepayments]]),2)</f>
        <v>0</v>
      </c>
      <c r="K377" s="3">
        <f>ROUND(Table157810[[#This Row],[Defaulted Principal]]*IF($C$9="No",$E$4,VLOOKUP(Table157810[[#This Row],[Period]],Forecast!$H$2:$L$1048576,3,FALSE)),2)</f>
        <v>0</v>
      </c>
      <c r="L377" s="2">
        <f>Table157810[[#This Row],[Period]]+$E$9</f>
        <v>373</v>
      </c>
      <c r="M377" s="3">
        <f>Table157810[[#This Row],[Defaulted Principal]]-Table157810[[#This Row],[Estimated Loss]]</f>
        <v>0</v>
      </c>
      <c r="N377" s="3">
        <f>IFERROR(VLOOKUP(Table157810[[#This Row],[Period]],$L$16:$M$385,2,FALSE),0)</f>
        <v>0</v>
      </c>
      <c r="O377" s="3">
        <f>Table157810[[#This Row],[Beginning Balance]]-Table157810[[#This Row],[Principal]]-Table157810[[#This Row],[Prepayments]]-Table157810[[#This Row],[Defaulted Principal]]</f>
        <v>0</v>
      </c>
      <c r="P377" s="3">
        <f>Table157810[[#This Row],[Principal]]+Table157810[[#This Row],[Interest]]+Table157810[[#This Row],[Prepayments]]+Table157810[[#This Row],[RecoveredAmount]]</f>
        <v>0</v>
      </c>
      <c r="Q377" s="3">
        <f ca="1">ROUND(Table157810[[#This Row],[Cash Flow]]/((1+ActualRateToUse)^(IF(ISNUMBER(SEARCH("Actual",$C$7)),Table157810[[#This Row],[Running Total]]/365,Table157810[[#This Row],[Period]]/12))),2)</f>
        <v>0</v>
      </c>
      <c r="R377" s="2">
        <f>IF(MONTH(Table157810[[#This Row],[Date]])=2,28,DAY(DATE(YEAR(Table157810[[#This Row],[Date]]),MONTH(Table157810[[#This Row],[Date]])+1,1)-1))</f>
        <v>31</v>
      </c>
      <c r="S377" s="2">
        <f ca="1">SUM(OFFSET(Table157810[[#Headers],[Days in month]],1,0):Table157810[[#This Row],[Days in month]])</f>
        <v>10981</v>
      </c>
      <c r="T377" s="37">
        <f>InterestRate*AmortizationMultiplier*IF(ISNUMBER(SEARCH("Actual",$C$7)),Table157810[[#This Row],[Days in month]]/365,1/12)</f>
        <v>5.9839472222222214E-3</v>
      </c>
    </row>
    <row r="378" spans="2:20" x14ac:dyDescent="0.2">
      <c r="B378" s="1">
        <f t="shared" si="18"/>
        <v>56857</v>
      </c>
      <c r="C378" s="2">
        <f t="shared" si="20"/>
        <v>362</v>
      </c>
      <c r="D378" s="3">
        <f t="shared" si="19"/>
        <v>0</v>
      </c>
      <c r="E378" s="3">
        <f>ROUND(Table157810[[#This Row],[Beginning Balance]]*Table157810[[#This Row],[Monthly Interest Rate]],2)</f>
        <v>0</v>
      </c>
      <c r="F378" s="3">
        <f t="shared" si="21"/>
        <v>480</v>
      </c>
      <c r="G378" s="23">
        <f>IFERROR(IF($C$13="No","N/A",IF(Table157810[[#This Row],[Period]]=1,$C$6,PMT(InterestRate*AmortizationMultiplier/12,Table157810[[#This Row],[Am Thru]],-Table157810[[#This Row],[Beginning Balance]]))),0)</f>
        <v>0</v>
      </c>
      <c r="H378" s="3">
        <f>MAX(0,IF(C378=$C$4,D378,ROUND(IF($C$3="Fixed Principal",$C$6-Table157810[[#This Row],[Interest]],IF($C$3="Interest Only",Table157810[[#This Row],[Beginning Balance]]*ROUND(1-(1-IF($C$11="No",$E$8,1))^(1/12),6),MIN(IF($C$13="Yes",Table157810[[#This Row],[Payment Amount (Reamortized)]],$C$6)-Table157810[[#This Row],[Interest]],Table157810[[#This Row],[Beginning Balance]]))),2)))</f>
        <v>0</v>
      </c>
      <c r="I378" s="3">
        <f>_xlfn.SINGLE(IF($C$3="Line of Credit",0,ROUND(MAX(MIN(IF($C$10="No",$E$7,VLOOKUP(Table157810[[#This Row],[Period]],Forecast!$H$2:$L$1048576,4,FALSE))*Table157810[[#This Row],[Beginning Balance]],Table157810[[#This Row],[Beginning Balance]]-Table157810[[#This Row],[Principal]]),0),2)))</f>
        <v>0</v>
      </c>
      <c r="J378" s="3">
        <f>ROUND(MIN(Table157810[[#This Row],[Beginning Balance]]*IF($C$8="No",$E$3,VLOOKUP(Table157810[[#This Row],[Period]],Forecast!$H$2:$L$1048576,2,FALSE)),Table157810[[#This Row],[Beginning Balance]]-Table157810[[#This Row],[Principal]]-Table157810[[#This Row],[Prepayments]]),2)</f>
        <v>0</v>
      </c>
      <c r="K378" s="3">
        <f>ROUND(Table157810[[#This Row],[Defaulted Principal]]*IF($C$9="No",$E$4,VLOOKUP(Table157810[[#This Row],[Period]],Forecast!$H$2:$L$1048576,3,FALSE)),2)</f>
        <v>0</v>
      </c>
      <c r="L378" s="2">
        <f>Table157810[[#This Row],[Period]]+$E$9</f>
        <v>374</v>
      </c>
      <c r="M378" s="3">
        <f>Table157810[[#This Row],[Defaulted Principal]]-Table157810[[#This Row],[Estimated Loss]]</f>
        <v>0</v>
      </c>
      <c r="N378" s="3">
        <f>IFERROR(VLOOKUP(Table157810[[#This Row],[Period]],$L$16:$M$385,2,FALSE),0)</f>
        <v>0</v>
      </c>
      <c r="O378" s="3">
        <f>Table157810[[#This Row],[Beginning Balance]]-Table157810[[#This Row],[Principal]]-Table157810[[#This Row],[Prepayments]]-Table157810[[#This Row],[Defaulted Principal]]</f>
        <v>0</v>
      </c>
      <c r="P378" s="3">
        <f>Table157810[[#This Row],[Principal]]+Table157810[[#This Row],[Interest]]+Table157810[[#This Row],[Prepayments]]+Table157810[[#This Row],[RecoveredAmount]]</f>
        <v>0</v>
      </c>
      <c r="Q378" s="3">
        <f ca="1">ROUND(Table157810[[#This Row],[Cash Flow]]/((1+ActualRateToUse)^(IF(ISNUMBER(SEARCH("Actual",$C$7)),Table157810[[#This Row],[Running Total]]/365,Table157810[[#This Row],[Period]]/12))),2)</f>
        <v>0</v>
      </c>
      <c r="R378" s="2">
        <f>IF(MONTH(Table157810[[#This Row],[Date]])=2,28,DAY(DATE(YEAR(Table157810[[#This Row],[Date]]),MONTH(Table157810[[#This Row],[Date]])+1,1)-1))</f>
        <v>31</v>
      </c>
      <c r="S378" s="2">
        <f ca="1">SUM(OFFSET(Table157810[[#Headers],[Days in month]],1,0):Table157810[[#This Row],[Days in month]])</f>
        <v>11012</v>
      </c>
      <c r="T378" s="37">
        <f>InterestRate*AmortizationMultiplier*IF(ISNUMBER(SEARCH("Actual",$C$7)),Table157810[[#This Row],[Days in month]]/365,1/12)</f>
        <v>5.9839472222222214E-3</v>
      </c>
    </row>
    <row r="379" spans="2:20" x14ac:dyDescent="0.2">
      <c r="B379" s="1">
        <f t="shared" si="18"/>
        <v>56887</v>
      </c>
      <c r="C379" s="2">
        <f t="shared" si="20"/>
        <v>363</v>
      </c>
      <c r="D379" s="3">
        <f t="shared" si="19"/>
        <v>0</v>
      </c>
      <c r="E379" s="3">
        <f>ROUND(Table157810[[#This Row],[Beginning Balance]]*Table157810[[#This Row],[Monthly Interest Rate]],2)</f>
        <v>0</v>
      </c>
      <c r="F379" s="3">
        <f t="shared" si="21"/>
        <v>479</v>
      </c>
      <c r="G379" s="23">
        <f>IFERROR(IF($C$13="No","N/A",IF(Table157810[[#This Row],[Period]]=1,$C$6,PMT(InterestRate*AmortizationMultiplier/12,Table157810[[#This Row],[Am Thru]],-Table157810[[#This Row],[Beginning Balance]]))),0)</f>
        <v>0</v>
      </c>
      <c r="H379" s="3">
        <f>MAX(0,IF(C379=$C$4,D379,ROUND(IF($C$3="Fixed Principal",$C$6-Table157810[[#This Row],[Interest]],IF($C$3="Interest Only",Table157810[[#This Row],[Beginning Balance]]*ROUND(1-(1-IF($C$11="No",$E$8,1))^(1/12),6),MIN(IF($C$13="Yes",Table157810[[#This Row],[Payment Amount (Reamortized)]],$C$6)-Table157810[[#This Row],[Interest]],Table157810[[#This Row],[Beginning Balance]]))),2)))</f>
        <v>0</v>
      </c>
      <c r="I379" s="3">
        <f>_xlfn.SINGLE(IF($C$3="Line of Credit",0,ROUND(MAX(MIN(IF($C$10="No",$E$7,VLOOKUP(Table157810[[#This Row],[Period]],Forecast!$H$2:$L$1048576,4,FALSE))*Table157810[[#This Row],[Beginning Balance]],Table157810[[#This Row],[Beginning Balance]]-Table157810[[#This Row],[Principal]]),0),2)))</f>
        <v>0</v>
      </c>
      <c r="J379" s="3">
        <f>ROUND(MIN(Table157810[[#This Row],[Beginning Balance]]*IF($C$8="No",$E$3,VLOOKUP(Table157810[[#This Row],[Period]],Forecast!$H$2:$L$1048576,2,FALSE)),Table157810[[#This Row],[Beginning Balance]]-Table157810[[#This Row],[Principal]]-Table157810[[#This Row],[Prepayments]]),2)</f>
        <v>0</v>
      </c>
      <c r="K379" s="3">
        <f>ROUND(Table157810[[#This Row],[Defaulted Principal]]*IF($C$9="No",$E$4,VLOOKUP(Table157810[[#This Row],[Period]],Forecast!$H$2:$L$1048576,3,FALSE)),2)</f>
        <v>0</v>
      </c>
      <c r="L379" s="2">
        <f>Table157810[[#This Row],[Period]]+$E$9</f>
        <v>375</v>
      </c>
      <c r="M379" s="3">
        <f>Table157810[[#This Row],[Defaulted Principal]]-Table157810[[#This Row],[Estimated Loss]]</f>
        <v>0</v>
      </c>
      <c r="N379" s="3">
        <f>IFERROR(VLOOKUP(Table157810[[#This Row],[Period]],$L$16:$M$385,2,FALSE),0)</f>
        <v>0</v>
      </c>
      <c r="O379" s="3">
        <f>Table157810[[#This Row],[Beginning Balance]]-Table157810[[#This Row],[Principal]]-Table157810[[#This Row],[Prepayments]]-Table157810[[#This Row],[Defaulted Principal]]</f>
        <v>0</v>
      </c>
      <c r="P379" s="3">
        <f>Table157810[[#This Row],[Principal]]+Table157810[[#This Row],[Interest]]+Table157810[[#This Row],[Prepayments]]+Table157810[[#This Row],[RecoveredAmount]]</f>
        <v>0</v>
      </c>
      <c r="Q379" s="3">
        <f ca="1">ROUND(Table157810[[#This Row],[Cash Flow]]/((1+ActualRateToUse)^(IF(ISNUMBER(SEARCH("Actual",$C$7)),Table157810[[#This Row],[Running Total]]/365,Table157810[[#This Row],[Period]]/12))),2)</f>
        <v>0</v>
      </c>
      <c r="R379" s="2">
        <f>IF(MONTH(Table157810[[#This Row],[Date]])=2,28,DAY(DATE(YEAR(Table157810[[#This Row],[Date]]),MONTH(Table157810[[#This Row],[Date]])+1,1)-1))</f>
        <v>30</v>
      </c>
      <c r="S379" s="2">
        <f ca="1">SUM(OFFSET(Table157810[[#Headers],[Days in month]],1,0):Table157810[[#This Row],[Days in month]])</f>
        <v>11042</v>
      </c>
      <c r="T379" s="37">
        <f>InterestRate*AmortizationMultiplier*IF(ISNUMBER(SEARCH("Actual",$C$7)),Table157810[[#This Row],[Days in month]]/365,1/12)</f>
        <v>5.7909166666666656E-3</v>
      </c>
    </row>
    <row r="380" spans="2:20" x14ac:dyDescent="0.2">
      <c r="B380" s="1">
        <f t="shared" si="18"/>
        <v>56918</v>
      </c>
      <c r="C380" s="2">
        <f t="shared" si="20"/>
        <v>364</v>
      </c>
      <c r="D380" s="3">
        <f t="shared" si="19"/>
        <v>0</v>
      </c>
      <c r="E380" s="3">
        <f>ROUND(Table157810[[#This Row],[Beginning Balance]]*Table157810[[#This Row],[Monthly Interest Rate]],2)</f>
        <v>0</v>
      </c>
      <c r="F380" s="3">
        <f t="shared" si="21"/>
        <v>478</v>
      </c>
      <c r="G380" s="23">
        <f>IFERROR(IF($C$13="No","N/A",IF(Table157810[[#This Row],[Period]]=1,$C$6,PMT(InterestRate*AmortizationMultiplier/12,Table157810[[#This Row],[Am Thru]],-Table157810[[#This Row],[Beginning Balance]]))),0)</f>
        <v>0</v>
      </c>
      <c r="H380" s="3">
        <f>MAX(0,IF(C380=$C$4,D380,ROUND(IF($C$3="Fixed Principal",$C$6-Table157810[[#This Row],[Interest]],IF($C$3="Interest Only",Table157810[[#This Row],[Beginning Balance]]*ROUND(1-(1-IF($C$11="No",$E$8,1))^(1/12),6),MIN(IF($C$13="Yes",Table157810[[#This Row],[Payment Amount (Reamortized)]],$C$6)-Table157810[[#This Row],[Interest]],Table157810[[#This Row],[Beginning Balance]]))),2)))</f>
        <v>0</v>
      </c>
      <c r="I380" s="3">
        <f>_xlfn.SINGLE(IF($C$3="Line of Credit",0,ROUND(MAX(MIN(IF($C$10="No",$E$7,VLOOKUP(Table157810[[#This Row],[Period]],Forecast!$H$2:$L$1048576,4,FALSE))*Table157810[[#This Row],[Beginning Balance]],Table157810[[#This Row],[Beginning Balance]]-Table157810[[#This Row],[Principal]]),0),2)))</f>
        <v>0</v>
      </c>
      <c r="J380" s="3">
        <f>ROUND(MIN(Table157810[[#This Row],[Beginning Balance]]*IF($C$8="No",$E$3,VLOOKUP(Table157810[[#This Row],[Period]],Forecast!$H$2:$L$1048576,2,FALSE)),Table157810[[#This Row],[Beginning Balance]]-Table157810[[#This Row],[Principal]]-Table157810[[#This Row],[Prepayments]]),2)</f>
        <v>0</v>
      </c>
      <c r="K380" s="3">
        <f>ROUND(Table157810[[#This Row],[Defaulted Principal]]*IF($C$9="No",$E$4,VLOOKUP(Table157810[[#This Row],[Period]],Forecast!$H$2:$L$1048576,3,FALSE)),2)</f>
        <v>0</v>
      </c>
      <c r="L380" s="2">
        <f>Table157810[[#This Row],[Period]]+$E$9</f>
        <v>376</v>
      </c>
      <c r="M380" s="3">
        <f>Table157810[[#This Row],[Defaulted Principal]]-Table157810[[#This Row],[Estimated Loss]]</f>
        <v>0</v>
      </c>
      <c r="N380" s="3">
        <f>IFERROR(VLOOKUP(Table157810[[#This Row],[Period]],$L$16:$M$385,2,FALSE),0)</f>
        <v>0</v>
      </c>
      <c r="O380" s="3">
        <f>Table157810[[#This Row],[Beginning Balance]]-Table157810[[#This Row],[Principal]]-Table157810[[#This Row],[Prepayments]]-Table157810[[#This Row],[Defaulted Principal]]</f>
        <v>0</v>
      </c>
      <c r="P380" s="3">
        <f>Table157810[[#This Row],[Principal]]+Table157810[[#This Row],[Interest]]+Table157810[[#This Row],[Prepayments]]+Table157810[[#This Row],[RecoveredAmount]]</f>
        <v>0</v>
      </c>
      <c r="Q380" s="3">
        <f ca="1">ROUND(Table157810[[#This Row],[Cash Flow]]/((1+ActualRateToUse)^(IF(ISNUMBER(SEARCH("Actual",$C$7)),Table157810[[#This Row],[Running Total]]/365,Table157810[[#This Row],[Period]]/12))),2)</f>
        <v>0</v>
      </c>
      <c r="R380" s="2">
        <f>IF(MONTH(Table157810[[#This Row],[Date]])=2,28,DAY(DATE(YEAR(Table157810[[#This Row],[Date]]),MONTH(Table157810[[#This Row],[Date]])+1,1)-1))</f>
        <v>31</v>
      </c>
      <c r="S380" s="2">
        <f ca="1">SUM(OFFSET(Table157810[[#Headers],[Days in month]],1,0):Table157810[[#This Row],[Days in month]])</f>
        <v>11073</v>
      </c>
      <c r="T380" s="37">
        <f>InterestRate*AmortizationMultiplier*IF(ISNUMBER(SEARCH("Actual",$C$7)),Table157810[[#This Row],[Days in month]]/365,1/12)</f>
        <v>5.9839472222222214E-3</v>
      </c>
    </row>
    <row r="381" spans="2:20" x14ac:dyDescent="0.2">
      <c r="B381" s="1">
        <f t="shared" si="18"/>
        <v>56948</v>
      </c>
      <c r="C381" s="2">
        <f t="shared" si="20"/>
        <v>365</v>
      </c>
      <c r="D381" s="3">
        <f t="shared" si="19"/>
        <v>0</v>
      </c>
      <c r="E381" s="3">
        <f>ROUND(Table157810[[#This Row],[Beginning Balance]]*Table157810[[#This Row],[Monthly Interest Rate]],2)</f>
        <v>0</v>
      </c>
      <c r="F381" s="3">
        <f t="shared" si="21"/>
        <v>477</v>
      </c>
      <c r="G381" s="23">
        <f>IFERROR(IF($C$13="No","N/A",IF(Table157810[[#This Row],[Period]]=1,$C$6,PMT(InterestRate*AmortizationMultiplier/12,Table157810[[#This Row],[Am Thru]],-Table157810[[#This Row],[Beginning Balance]]))),0)</f>
        <v>0</v>
      </c>
      <c r="H381" s="3">
        <f>MAX(0,IF(C381=$C$4,D381,ROUND(IF($C$3="Fixed Principal",$C$6-Table157810[[#This Row],[Interest]],IF($C$3="Interest Only",Table157810[[#This Row],[Beginning Balance]]*ROUND(1-(1-IF($C$11="No",$E$8,1))^(1/12),6),MIN(IF($C$13="Yes",Table157810[[#This Row],[Payment Amount (Reamortized)]],$C$6)-Table157810[[#This Row],[Interest]],Table157810[[#This Row],[Beginning Balance]]))),2)))</f>
        <v>0</v>
      </c>
      <c r="I381" s="3">
        <f>_xlfn.SINGLE(IF($C$3="Line of Credit",0,ROUND(MAX(MIN(IF($C$10="No",$E$7,VLOOKUP(Table157810[[#This Row],[Period]],Forecast!$H$2:$L$1048576,4,FALSE))*Table157810[[#This Row],[Beginning Balance]],Table157810[[#This Row],[Beginning Balance]]-Table157810[[#This Row],[Principal]]),0),2)))</f>
        <v>0</v>
      </c>
      <c r="J381" s="3">
        <f>ROUND(MIN(Table157810[[#This Row],[Beginning Balance]]*IF($C$8="No",$E$3,VLOOKUP(Table157810[[#This Row],[Period]],Forecast!$H$2:$L$1048576,2,FALSE)),Table157810[[#This Row],[Beginning Balance]]-Table157810[[#This Row],[Principal]]-Table157810[[#This Row],[Prepayments]]),2)</f>
        <v>0</v>
      </c>
      <c r="K381" s="3">
        <f>ROUND(Table157810[[#This Row],[Defaulted Principal]]*IF($C$9="No",$E$4,VLOOKUP(Table157810[[#This Row],[Period]],Forecast!$H$2:$L$1048576,3,FALSE)),2)</f>
        <v>0</v>
      </c>
      <c r="L381" s="2">
        <f>Table157810[[#This Row],[Period]]+$E$9</f>
        <v>377</v>
      </c>
      <c r="M381" s="3">
        <f>Table157810[[#This Row],[Defaulted Principal]]-Table157810[[#This Row],[Estimated Loss]]</f>
        <v>0</v>
      </c>
      <c r="N381" s="3">
        <f>IFERROR(VLOOKUP(Table157810[[#This Row],[Period]],$L$16:$M$385,2,FALSE),0)</f>
        <v>0</v>
      </c>
      <c r="O381" s="3">
        <f>Table157810[[#This Row],[Beginning Balance]]-Table157810[[#This Row],[Principal]]-Table157810[[#This Row],[Prepayments]]-Table157810[[#This Row],[Defaulted Principal]]</f>
        <v>0</v>
      </c>
      <c r="P381" s="3">
        <f>Table157810[[#This Row],[Principal]]+Table157810[[#This Row],[Interest]]+Table157810[[#This Row],[Prepayments]]+Table157810[[#This Row],[RecoveredAmount]]</f>
        <v>0</v>
      </c>
      <c r="Q381" s="3">
        <f ca="1">ROUND(Table157810[[#This Row],[Cash Flow]]/((1+ActualRateToUse)^(IF(ISNUMBER(SEARCH("Actual",$C$7)),Table157810[[#This Row],[Running Total]]/365,Table157810[[#This Row],[Period]]/12))),2)</f>
        <v>0</v>
      </c>
      <c r="R381" s="2">
        <f>IF(MONTH(Table157810[[#This Row],[Date]])=2,28,DAY(DATE(YEAR(Table157810[[#This Row],[Date]]),MONTH(Table157810[[#This Row],[Date]])+1,1)-1))</f>
        <v>30</v>
      </c>
      <c r="S381" s="2">
        <f ca="1">SUM(OFFSET(Table157810[[#Headers],[Days in month]],1,0):Table157810[[#This Row],[Days in month]])</f>
        <v>11103</v>
      </c>
      <c r="T381" s="37">
        <f>InterestRate*AmortizationMultiplier*IF(ISNUMBER(SEARCH("Actual",$C$7)),Table157810[[#This Row],[Days in month]]/365,1/12)</f>
        <v>5.7909166666666656E-3</v>
      </c>
    </row>
    <row r="382" spans="2:20" x14ac:dyDescent="0.2">
      <c r="B382" s="1">
        <f t="shared" si="18"/>
        <v>56979</v>
      </c>
      <c r="C382" s="2">
        <f t="shared" si="20"/>
        <v>366</v>
      </c>
      <c r="D382" s="3">
        <f t="shared" si="19"/>
        <v>0</v>
      </c>
      <c r="E382" s="3">
        <f>ROUND(Table157810[[#This Row],[Beginning Balance]]*Table157810[[#This Row],[Monthly Interest Rate]],2)</f>
        <v>0</v>
      </c>
      <c r="F382" s="3">
        <f t="shared" si="21"/>
        <v>476</v>
      </c>
      <c r="G382" s="23">
        <f>IFERROR(IF($C$13="No","N/A",IF(Table157810[[#This Row],[Period]]=1,$C$6,PMT(InterestRate*AmortizationMultiplier/12,Table157810[[#This Row],[Am Thru]],-Table157810[[#This Row],[Beginning Balance]]))),0)</f>
        <v>0</v>
      </c>
      <c r="H382" s="3">
        <f>MAX(0,IF(C382=$C$4,D382,ROUND(IF($C$3="Fixed Principal",$C$6-Table157810[[#This Row],[Interest]],IF($C$3="Interest Only",Table157810[[#This Row],[Beginning Balance]]*ROUND(1-(1-IF($C$11="No",$E$8,1))^(1/12),6),MIN(IF($C$13="Yes",Table157810[[#This Row],[Payment Amount (Reamortized)]],$C$6)-Table157810[[#This Row],[Interest]],Table157810[[#This Row],[Beginning Balance]]))),2)))</f>
        <v>0</v>
      </c>
      <c r="I382" s="3">
        <f>_xlfn.SINGLE(IF($C$3="Line of Credit",0,ROUND(MAX(MIN(IF($C$10="No",$E$7,VLOOKUP(Table157810[[#This Row],[Period]],Forecast!$H$2:$L$1048576,4,FALSE))*Table157810[[#This Row],[Beginning Balance]],Table157810[[#This Row],[Beginning Balance]]-Table157810[[#This Row],[Principal]]),0),2)))</f>
        <v>0</v>
      </c>
      <c r="J382" s="3">
        <f>ROUND(MIN(Table157810[[#This Row],[Beginning Balance]]*IF($C$8="No",$E$3,VLOOKUP(Table157810[[#This Row],[Period]],Forecast!$H$2:$L$1048576,2,FALSE)),Table157810[[#This Row],[Beginning Balance]]-Table157810[[#This Row],[Principal]]-Table157810[[#This Row],[Prepayments]]),2)</f>
        <v>0</v>
      </c>
      <c r="K382" s="3">
        <f>ROUND(Table157810[[#This Row],[Defaulted Principal]]*IF($C$9="No",$E$4,VLOOKUP(Table157810[[#This Row],[Period]],Forecast!$H$2:$L$1048576,3,FALSE)),2)</f>
        <v>0</v>
      </c>
      <c r="L382" s="2">
        <f>Table157810[[#This Row],[Period]]+$E$9</f>
        <v>378</v>
      </c>
      <c r="M382" s="3">
        <f>Table157810[[#This Row],[Defaulted Principal]]-Table157810[[#This Row],[Estimated Loss]]</f>
        <v>0</v>
      </c>
      <c r="N382" s="3">
        <f>IFERROR(VLOOKUP(Table157810[[#This Row],[Period]],$L$16:$M$385,2,FALSE),0)</f>
        <v>0</v>
      </c>
      <c r="O382" s="3">
        <f>Table157810[[#This Row],[Beginning Balance]]-Table157810[[#This Row],[Principal]]-Table157810[[#This Row],[Prepayments]]-Table157810[[#This Row],[Defaulted Principal]]</f>
        <v>0</v>
      </c>
      <c r="P382" s="3">
        <f>Table157810[[#This Row],[Principal]]+Table157810[[#This Row],[Interest]]+Table157810[[#This Row],[Prepayments]]+Table157810[[#This Row],[RecoveredAmount]]</f>
        <v>0</v>
      </c>
      <c r="Q382" s="3">
        <f ca="1">ROUND(Table157810[[#This Row],[Cash Flow]]/((1+ActualRateToUse)^(IF(ISNUMBER(SEARCH("Actual",$C$7)),Table157810[[#This Row],[Running Total]]/365,Table157810[[#This Row],[Period]]/12))),2)</f>
        <v>0</v>
      </c>
      <c r="R382" s="2">
        <f>IF(MONTH(Table157810[[#This Row],[Date]])=2,28,DAY(DATE(YEAR(Table157810[[#This Row],[Date]]),MONTH(Table157810[[#This Row],[Date]])+1,1)-1))</f>
        <v>31</v>
      </c>
      <c r="S382" s="2">
        <f ca="1">SUM(OFFSET(Table157810[[#Headers],[Days in month]],1,0):Table157810[[#This Row],[Days in month]])</f>
        <v>11134</v>
      </c>
      <c r="T382" s="37">
        <f>InterestRate*AmortizationMultiplier*IF(ISNUMBER(SEARCH("Actual",$C$7)),Table157810[[#This Row],[Days in month]]/365,1/12)</f>
        <v>5.9839472222222214E-3</v>
      </c>
    </row>
    <row r="383" spans="2:20" x14ac:dyDescent="0.2">
      <c r="B383" s="1">
        <f t="shared" si="18"/>
        <v>57010</v>
      </c>
      <c r="C383" s="2">
        <f t="shared" si="20"/>
        <v>367</v>
      </c>
      <c r="D383" s="3">
        <f t="shared" si="19"/>
        <v>0</v>
      </c>
      <c r="E383" s="3">
        <f>ROUND(Table157810[[#This Row],[Beginning Balance]]*Table157810[[#This Row],[Monthly Interest Rate]],2)</f>
        <v>0</v>
      </c>
      <c r="F383" s="3">
        <f t="shared" si="21"/>
        <v>475</v>
      </c>
      <c r="G383" s="23">
        <f>IFERROR(IF($C$13="No","N/A",IF(Table157810[[#This Row],[Period]]=1,$C$6,PMT(InterestRate*AmortizationMultiplier/12,Table157810[[#This Row],[Am Thru]],-Table157810[[#This Row],[Beginning Balance]]))),0)</f>
        <v>0</v>
      </c>
      <c r="H383" s="3">
        <f>MAX(0,IF(C383=$C$4,D383,ROUND(IF($C$3="Fixed Principal",$C$6-Table157810[[#This Row],[Interest]],IF($C$3="Interest Only",Table157810[[#This Row],[Beginning Balance]]*ROUND(1-(1-IF($C$11="No",$E$8,1))^(1/12),6),MIN(IF($C$13="Yes",Table157810[[#This Row],[Payment Amount (Reamortized)]],$C$6)-Table157810[[#This Row],[Interest]],Table157810[[#This Row],[Beginning Balance]]))),2)))</f>
        <v>0</v>
      </c>
      <c r="I383" s="3">
        <f>_xlfn.SINGLE(IF($C$3="Line of Credit",0,ROUND(MAX(MIN(IF($C$10="No",$E$7,VLOOKUP(Table157810[[#This Row],[Period]],Forecast!$H$2:$L$1048576,4,FALSE))*Table157810[[#This Row],[Beginning Balance]],Table157810[[#This Row],[Beginning Balance]]-Table157810[[#This Row],[Principal]]),0),2)))</f>
        <v>0</v>
      </c>
      <c r="J383" s="3">
        <f>ROUND(MIN(Table157810[[#This Row],[Beginning Balance]]*IF($C$8="No",$E$3,VLOOKUP(Table157810[[#This Row],[Period]],Forecast!$H$2:$L$1048576,2,FALSE)),Table157810[[#This Row],[Beginning Balance]]-Table157810[[#This Row],[Principal]]-Table157810[[#This Row],[Prepayments]]),2)</f>
        <v>0</v>
      </c>
      <c r="K383" s="3">
        <f>ROUND(Table157810[[#This Row],[Defaulted Principal]]*IF($C$9="No",$E$4,VLOOKUP(Table157810[[#This Row],[Period]],Forecast!$H$2:$L$1048576,3,FALSE)),2)</f>
        <v>0</v>
      </c>
      <c r="L383" s="2">
        <f>Table157810[[#This Row],[Period]]+$E$9</f>
        <v>379</v>
      </c>
      <c r="M383" s="3">
        <f>Table157810[[#This Row],[Defaulted Principal]]-Table157810[[#This Row],[Estimated Loss]]</f>
        <v>0</v>
      </c>
      <c r="N383" s="3">
        <f>IFERROR(VLOOKUP(Table157810[[#This Row],[Period]],$L$16:$M$385,2,FALSE),0)</f>
        <v>0</v>
      </c>
      <c r="O383" s="3">
        <f>Table157810[[#This Row],[Beginning Balance]]-Table157810[[#This Row],[Principal]]-Table157810[[#This Row],[Prepayments]]-Table157810[[#This Row],[Defaulted Principal]]</f>
        <v>0</v>
      </c>
      <c r="P383" s="3">
        <f>Table157810[[#This Row],[Principal]]+Table157810[[#This Row],[Interest]]+Table157810[[#This Row],[Prepayments]]+Table157810[[#This Row],[RecoveredAmount]]</f>
        <v>0</v>
      </c>
      <c r="Q383" s="3">
        <f ca="1">ROUND(Table157810[[#This Row],[Cash Flow]]/((1+ActualRateToUse)^(IF(ISNUMBER(SEARCH("Actual",$C$7)),Table157810[[#This Row],[Running Total]]/365,Table157810[[#This Row],[Period]]/12))),2)</f>
        <v>0</v>
      </c>
      <c r="R383" s="2">
        <f>IF(MONTH(Table157810[[#This Row],[Date]])=2,28,DAY(DATE(YEAR(Table157810[[#This Row],[Date]]),MONTH(Table157810[[#This Row],[Date]])+1,1)-1))</f>
        <v>31</v>
      </c>
      <c r="S383" s="2">
        <f ca="1">SUM(OFFSET(Table157810[[#Headers],[Days in month]],1,0):Table157810[[#This Row],[Days in month]])</f>
        <v>11165</v>
      </c>
      <c r="T383" s="37">
        <f>InterestRate*AmortizationMultiplier*IF(ISNUMBER(SEARCH("Actual",$C$7)),Table157810[[#This Row],[Days in month]]/365,1/12)</f>
        <v>5.9839472222222214E-3</v>
      </c>
    </row>
    <row r="384" spans="2:20" x14ac:dyDescent="0.2">
      <c r="B384" s="1">
        <f t="shared" si="18"/>
        <v>57039</v>
      </c>
      <c r="C384" s="2">
        <f t="shared" si="20"/>
        <v>368</v>
      </c>
      <c r="D384" s="3">
        <f t="shared" si="19"/>
        <v>0</v>
      </c>
      <c r="E384" s="3">
        <f>ROUND(Table157810[[#This Row],[Beginning Balance]]*Table157810[[#This Row],[Monthly Interest Rate]],2)</f>
        <v>0</v>
      </c>
      <c r="F384" s="3">
        <f t="shared" si="21"/>
        <v>474</v>
      </c>
      <c r="G384" s="23">
        <f>IFERROR(IF($C$13="No","N/A",IF(Table157810[[#This Row],[Period]]=1,$C$6,PMT(InterestRate*AmortizationMultiplier/12,Table157810[[#This Row],[Am Thru]],-Table157810[[#This Row],[Beginning Balance]]))),0)</f>
        <v>0</v>
      </c>
      <c r="H384" s="3">
        <f>MAX(0,IF(C384=$C$4,D384,ROUND(IF($C$3="Fixed Principal",$C$6-Table157810[[#This Row],[Interest]],IF($C$3="Interest Only",Table157810[[#This Row],[Beginning Balance]]*ROUND(1-(1-IF($C$11="No",$E$8,1))^(1/12),6),MIN(IF($C$13="Yes",Table157810[[#This Row],[Payment Amount (Reamortized)]],$C$6)-Table157810[[#This Row],[Interest]],Table157810[[#This Row],[Beginning Balance]]))),2)))</f>
        <v>0</v>
      </c>
      <c r="I384" s="3">
        <f>_xlfn.SINGLE(IF($C$3="Line of Credit",0,ROUND(MAX(MIN(IF($C$10="No",$E$7,VLOOKUP(Table157810[[#This Row],[Period]],Forecast!$H$2:$L$1048576,4,FALSE))*Table157810[[#This Row],[Beginning Balance]],Table157810[[#This Row],[Beginning Balance]]-Table157810[[#This Row],[Principal]]),0),2)))</f>
        <v>0</v>
      </c>
      <c r="J384" s="3">
        <f>ROUND(MIN(Table157810[[#This Row],[Beginning Balance]]*IF($C$8="No",$E$3,VLOOKUP(Table157810[[#This Row],[Period]],Forecast!$H$2:$L$1048576,2,FALSE)),Table157810[[#This Row],[Beginning Balance]]-Table157810[[#This Row],[Principal]]-Table157810[[#This Row],[Prepayments]]),2)</f>
        <v>0</v>
      </c>
      <c r="K384" s="3">
        <f>ROUND(Table157810[[#This Row],[Defaulted Principal]]*IF($C$9="No",$E$4,VLOOKUP(Table157810[[#This Row],[Period]],Forecast!$H$2:$L$1048576,3,FALSE)),2)</f>
        <v>0</v>
      </c>
      <c r="L384" s="2">
        <f>Table157810[[#This Row],[Period]]+$E$9</f>
        <v>380</v>
      </c>
      <c r="M384" s="3">
        <f>Table157810[[#This Row],[Defaulted Principal]]-Table157810[[#This Row],[Estimated Loss]]</f>
        <v>0</v>
      </c>
      <c r="N384" s="3">
        <f>IFERROR(VLOOKUP(Table157810[[#This Row],[Period]],$L$16:$M$385,2,FALSE),0)</f>
        <v>0</v>
      </c>
      <c r="O384" s="3">
        <f>Table157810[[#This Row],[Beginning Balance]]-Table157810[[#This Row],[Principal]]-Table157810[[#This Row],[Prepayments]]-Table157810[[#This Row],[Defaulted Principal]]</f>
        <v>0</v>
      </c>
      <c r="P384" s="3">
        <f>Table157810[[#This Row],[Principal]]+Table157810[[#This Row],[Interest]]+Table157810[[#This Row],[Prepayments]]+Table157810[[#This Row],[RecoveredAmount]]</f>
        <v>0</v>
      </c>
      <c r="Q384" s="3">
        <f ca="1">ROUND(Table157810[[#This Row],[Cash Flow]]/((1+ActualRateToUse)^(IF(ISNUMBER(SEARCH("Actual",$C$7)),Table157810[[#This Row],[Running Total]]/365,Table157810[[#This Row],[Period]]/12))),2)</f>
        <v>0</v>
      </c>
      <c r="R384" s="2">
        <f>IF(MONTH(Table157810[[#This Row],[Date]])=2,28,DAY(DATE(YEAR(Table157810[[#This Row],[Date]]),MONTH(Table157810[[#This Row],[Date]])+1,1)-1))</f>
        <v>28</v>
      </c>
      <c r="S384" s="2">
        <f ca="1">SUM(OFFSET(Table157810[[#Headers],[Days in month]],1,0):Table157810[[#This Row],[Days in month]])</f>
        <v>11193</v>
      </c>
      <c r="T384" s="37">
        <f>InterestRate*AmortizationMultiplier*IF(ISNUMBER(SEARCH("Actual",$C$7)),Table157810[[#This Row],[Days in month]]/365,1/12)</f>
        <v>5.4048555555555548E-3</v>
      </c>
    </row>
    <row r="385" spans="2:20" x14ac:dyDescent="0.2">
      <c r="B385" s="1">
        <f t="shared" si="18"/>
        <v>57070</v>
      </c>
      <c r="C385" s="2">
        <f t="shared" si="20"/>
        <v>369</v>
      </c>
      <c r="D385" s="3">
        <f t="shared" si="19"/>
        <v>0</v>
      </c>
      <c r="E385" s="3">
        <f>ROUND(Table157810[[#This Row],[Beginning Balance]]*Table157810[[#This Row],[Monthly Interest Rate]],2)</f>
        <v>0</v>
      </c>
      <c r="F385" s="3">
        <f t="shared" si="21"/>
        <v>473</v>
      </c>
      <c r="G385" s="23">
        <f>IFERROR(IF($C$13="No","N/A",IF(Table157810[[#This Row],[Period]]=1,$C$6,PMT(InterestRate*AmortizationMultiplier/12,Table157810[[#This Row],[Am Thru]],-Table157810[[#This Row],[Beginning Balance]]))),0)</f>
        <v>0</v>
      </c>
      <c r="H385" s="3">
        <f>MAX(0,IF(C385=$C$4,D385,ROUND(IF($C$3="Fixed Principal",$C$6-Table157810[[#This Row],[Interest]],IF($C$3="Interest Only",Table157810[[#This Row],[Beginning Balance]]*ROUND(1-(1-IF($C$11="No",$E$8,1))^(1/12),6),MIN(IF($C$13="Yes",Table157810[[#This Row],[Payment Amount (Reamortized)]],$C$6)-Table157810[[#This Row],[Interest]],Table157810[[#This Row],[Beginning Balance]]))),2)))</f>
        <v>0</v>
      </c>
      <c r="I385" s="3">
        <f>_xlfn.SINGLE(IF($C$3="Line of Credit",0,ROUND(MAX(MIN(IF($C$10="No",$E$7,VLOOKUP(Table157810[[#This Row],[Period]],Forecast!$H$2:$L$1048576,4,FALSE))*Table157810[[#This Row],[Beginning Balance]],Table157810[[#This Row],[Beginning Balance]]-Table157810[[#This Row],[Principal]]),0),2)))</f>
        <v>0</v>
      </c>
      <c r="J385" s="3">
        <f>ROUND(MIN(Table157810[[#This Row],[Beginning Balance]]*IF($C$8="No",$E$3,VLOOKUP(Table157810[[#This Row],[Period]],Forecast!$H$2:$L$1048576,2,FALSE)),Table157810[[#This Row],[Beginning Balance]]-Table157810[[#This Row],[Principal]]-Table157810[[#This Row],[Prepayments]]),2)</f>
        <v>0</v>
      </c>
      <c r="K385" s="3">
        <f>ROUND(Table157810[[#This Row],[Defaulted Principal]]*IF($C$9="No",$E$4,VLOOKUP(Table157810[[#This Row],[Period]],Forecast!$H$2:$L$1048576,3,FALSE)),2)</f>
        <v>0</v>
      </c>
      <c r="L385" s="2">
        <f>Table157810[[#This Row],[Period]]+$E$9</f>
        <v>381</v>
      </c>
      <c r="M385" s="3">
        <f>Table157810[[#This Row],[Defaulted Principal]]-Table157810[[#This Row],[Estimated Loss]]</f>
        <v>0</v>
      </c>
      <c r="N385" s="3">
        <f>IFERROR(VLOOKUP(Table157810[[#This Row],[Period]],$L$16:$M$385,2,FALSE),0)</f>
        <v>0</v>
      </c>
      <c r="O385" s="3">
        <f>Table157810[[#This Row],[Beginning Balance]]-Table157810[[#This Row],[Principal]]-Table157810[[#This Row],[Prepayments]]-Table157810[[#This Row],[Defaulted Principal]]</f>
        <v>0</v>
      </c>
      <c r="P385" s="3">
        <f>Table157810[[#This Row],[Principal]]+Table157810[[#This Row],[Interest]]+Table157810[[#This Row],[Prepayments]]+Table157810[[#This Row],[RecoveredAmount]]</f>
        <v>0</v>
      </c>
      <c r="Q385" s="3">
        <f ca="1">ROUND(Table157810[[#This Row],[Cash Flow]]/((1+ActualRateToUse)^(IF(ISNUMBER(SEARCH("Actual",$C$7)),Table157810[[#This Row],[Running Total]]/365,Table157810[[#This Row],[Period]]/12))),2)</f>
        <v>0</v>
      </c>
      <c r="R385" s="2">
        <f>IF(MONTH(Table157810[[#This Row],[Date]])=2,28,DAY(DATE(YEAR(Table157810[[#This Row],[Date]]),MONTH(Table157810[[#This Row],[Date]])+1,1)-1))</f>
        <v>31</v>
      </c>
      <c r="S385" s="2">
        <f ca="1">SUM(OFFSET(Table157810[[#Headers],[Days in month]],1,0):Table157810[[#This Row],[Days in month]])</f>
        <v>11224</v>
      </c>
      <c r="T385" s="37">
        <f>InterestRate*AmortizationMultiplier*IF(ISNUMBER(SEARCH("Actual",$C$7)),Table157810[[#This Row],[Days in month]]/365,1/12)</f>
        <v>5.9839472222222214E-3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AAD6F270-8BB7-42E9-AF6D-E7CC8FB3C01C}">
          <x14:formula1>
            <xm:f>Inputs!$E$2:$E$3</xm:f>
          </x14:formula1>
          <xm:sqref>I8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5221E-5AB9-4E56-9BDC-7CCA2D3FBA9F}">
  <dimension ref="A1:O127"/>
  <sheetViews>
    <sheetView workbookViewId="0">
      <selection activeCell="N67" sqref="N67"/>
    </sheetView>
  </sheetViews>
  <sheetFormatPr defaultRowHeight="14.4" x14ac:dyDescent="0.3"/>
  <cols>
    <col min="1" max="1" width="12.5546875" customWidth="1"/>
    <col min="2" max="2" width="9.5546875" customWidth="1"/>
    <col min="3" max="4" width="21.88671875" customWidth="1"/>
    <col min="5" max="6" width="14" customWidth="1"/>
    <col min="7" max="7" width="24" customWidth="1"/>
    <col min="8" max="8" width="18.5546875" customWidth="1"/>
    <col min="9" max="9" width="23" customWidth="1"/>
    <col min="10" max="10" width="18.5546875" customWidth="1"/>
    <col min="11" max="11" width="25.33203125" customWidth="1"/>
    <col min="12" max="12" width="19.6640625" customWidth="1"/>
    <col min="13" max="13" width="17" customWidth="1"/>
    <col min="14" max="14" width="14.33203125" bestFit="1" customWidth="1"/>
    <col min="15" max="15" width="14" customWidth="1"/>
  </cols>
  <sheetData>
    <row r="1" spans="1:15" x14ac:dyDescent="0.3">
      <c r="A1" t="s">
        <v>49</v>
      </c>
      <c r="B1" t="s">
        <v>50</v>
      </c>
      <c r="C1" t="s">
        <v>51</v>
      </c>
      <c r="D1" t="s">
        <v>68</v>
      </c>
      <c r="E1" t="s">
        <v>52</v>
      </c>
      <c r="F1" t="s">
        <v>69</v>
      </c>
      <c r="G1" t="s">
        <v>57</v>
      </c>
      <c r="H1" t="s">
        <v>58</v>
      </c>
      <c r="I1" t="s">
        <v>70</v>
      </c>
      <c r="J1" t="s">
        <v>71</v>
      </c>
      <c r="K1" t="s">
        <v>63</v>
      </c>
      <c r="L1" t="s">
        <v>72</v>
      </c>
      <c r="M1" s="49" t="s">
        <v>73</v>
      </c>
      <c r="N1" s="49" t="s">
        <v>74</v>
      </c>
      <c r="O1" t="s">
        <v>75</v>
      </c>
    </row>
    <row r="2" spans="1:15" x14ac:dyDescent="0.3">
      <c r="A2" s="45">
        <v>45869</v>
      </c>
      <c r="B2" s="44">
        <v>1</v>
      </c>
      <c r="C2" s="43">
        <v>6615575.4299999997</v>
      </c>
      <c r="D2" s="43">
        <v>11577.26</v>
      </c>
      <c r="E2" s="43">
        <v>39587.43</v>
      </c>
      <c r="F2" s="43">
        <v>0</v>
      </c>
      <c r="G2" s="43">
        <v>3010.09</v>
      </c>
      <c r="H2" s="43">
        <v>234.83</v>
      </c>
      <c r="I2" s="43">
        <v>0</v>
      </c>
      <c r="J2" s="43">
        <v>6600988.0800000001</v>
      </c>
      <c r="K2" s="43">
        <v>51164.69</v>
      </c>
      <c r="L2" s="43">
        <v>50854.59</v>
      </c>
      <c r="M2" s="48">
        <f ca="1">'DCF Calc 5'!Q17</f>
        <v>50854.41</v>
      </c>
      <c r="N2" s="46">
        <f ca="1">Loan_Level_Results46911[[#This Row],[NPV]]-Loan_Level_Results46911[[#This Row],[DCF CALC NPV]]</f>
        <v>0.17999999999301508</v>
      </c>
      <c r="O2" s="43">
        <f>Loan_Level_Results46911[[#This Row],[Principal Payment]]+Loan_Level_Results46911[[#This Row],[Interest]]</f>
        <v>51164.69</v>
      </c>
    </row>
    <row r="3" spans="1:15" x14ac:dyDescent="0.3">
      <c r="A3" s="45">
        <v>45900</v>
      </c>
      <c r="B3" s="44">
        <v>2</v>
      </c>
      <c r="C3" s="43">
        <v>6600988.0800000001</v>
      </c>
      <c r="D3" s="43">
        <v>11551.73</v>
      </c>
      <c r="E3" s="43">
        <v>39500.129999999997</v>
      </c>
      <c r="F3" s="43">
        <v>0</v>
      </c>
      <c r="G3" s="43">
        <v>3003.45</v>
      </c>
      <c r="H3" s="43">
        <v>234.31</v>
      </c>
      <c r="I3" s="43">
        <v>0</v>
      </c>
      <c r="J3" s="43">
        <v>6586432.9000000004</v>
      </c>
      <c r="K3" s="43">
        <v>51051.86</v>
      </c>
      <c r="L3" s="43">
        <v>50434.91</v>
      </c>
      <c r="M3" s="48">
        <f ca="1">'DCF Calc 5'!Q18</f>
        <v>50434.74</v>
      </c>
      <c r="N3" s="46">
        <f ca="1">Loan_Level_Results46911[[#This Row],[NPV]]-Loan_Level_Results46911[[#This Row],[DCF CALC NPV]]</f>
        <v>0.17000000000552973</v>
      </c>
      <c r="O3" s="43">
        <f>Loan_Level_Results46911[[#This Row],[Principal Payment]]+Loan_Level_Results46911[[#This Row],[Interest]]</f>
        <v>51051.86</v>
      </c>
    </row>
    <row r="4" spans="1:15" x14ac:dyDescent="0.3">
      <c r="A4" s="45">
        <v>45930</v>
      </c>
      <c r="B4" s="44">
        <v>3</v>
      </c>
      <c r="C4" s="43">
        <v>6586432.9000000004</v>
      </c>
      <c r="D4" s="43">
        <v>11526.26</v>
      </c>
      <c r="E4" s="43">
        <v>38141.65</v>
      </c>
      <c r="F4" s="43">
        <v>0</v>
      </c>
      <c r="G4" s="43">
        <v>2996.83</v>
      </c>
      <c r="H4" s="43">
        <v>233.8</v>
      </c>
      <c r="I4" s="43">
        <v>0</v>
      </c>
      <c r="J4" s="43">
        <v>6571909.8099999996</v>
      </c>
      <c r="K4" s="43">
        <v>49667.91</v>
      </c>
      <c r="L4" s="43">
        <v>48779.86</v>
      </c>
      <c r="M4" s="48">
        <f ca="1">'DCF Calc 5'!Q19</f>
        <v>48779.69</v>
      </c>
      <c r="N4" s="46">
        <f ca="1">Loan_Level_Results46911[[#This Row],[NPV]]-Loan_Level_Results46911[[#This Row],[DCF CALC NPV]]</f>
        <v>0.16999999999825377</v>
      </c>
      <c r="O4" s="43">
        <f>Loan_Level_Results46911[[#This Row],[Principal Payment]]+Loan_Level_Results46911[[#This Row],[Interest]]</f>
        <v>49667.91</v>
      </c>
    </row>
    <row r="5" spans="1:15" x14ac:dyDescent="0.3">
      <c r="A5" s="45">
        <v>45961</v>
      </c>
      <c r="B5" s="44">
        <v>4</v>
      </c>
      <c r="C5" s="43">
        <v>6571909.8099999996</v>
      </c>
      <c r="D5" s="43">
        <v>11500.84</v>
      </c>
      <c r="E5" s="43">
        <v>39326.129999999997</v>
      </c>
      <c r="F5" s="43">
        <v>0</v>
      </c>
      <c r="G5" s="43">
        <v>3292.53</v>
      </c>
      <c r="H5" s="43">
        <v>263.29000000000002</v>
      </c>
      <c r="I5" s="43">
        <v>0</v>
      </c>
      <c r="J5" s="43">
        <v>6557116.4400000004</v>
      </c>
      <c r="K5" s="43">
        <v>50826.97</v>
      </c>
      <c r="L5" s="43">
        <v>49615.65</v>
      </c>
      <c r="M5" s="48">
        <f ca="1">'DCF Calc 5'!Q20</f>
        <v>49615.48</v>
      </c>
      <c r="N5" s="46">
        <f ca="1">Loan_Level_Results46911[[#This Row],[NPV]]-Loan_Level_Results46911[[#This Row],[DCF CALC NPV]]</f>
        <v>0.16999999999825377</v>
      </c>
      <c r="O5" s="43">
        <f>Loan_Level_Results46911[[#This Row],[Principal Payment]]+Loan_Level_Results46911[[#This Row],[Interest]]</f>
        <v>50826.97</v>
      </c>
    </row>
    <row r="6" spans="1:15" x14ac:dyDescent="0.3">
      <c r="A6" s="45">
        <v>45991</v>
      </c>
      <c r="B6" s="44">
        <v>5</v>
      </c>
      <c r="C6" s="43">
        <v>6557116.4400000004</v>
      </c>
      <c r="D6" s="43">
        <v>11474.95</v>
      </c>
      <c r="E6" s="43">
        <v>37971.879999999997</v>
      </c>
      <c r="F6" s="43">
        <v>0</v>
      </c>
      <c r="G6" s="43">
        <v>3285.12</v>
      </c>
      <c r="H6" s="43">
        <v>262.7</v>
      </c>
      <c r="I6" s="43">
        <v>0</v>
      </c>
      <c r="J6" s="43">
        <v>6542356.3700000001</v>
      </c>
      <c r="K6" s="43">
        <v>49446.83</v>
      </c>
      <c r="L6" s="43">
        <v>47985.27</v>
      </c>
      <c r="M6" s="48">
        <f ca="1">'DCF Calc 5'!Q21</f>
        <v>47985.1</v>
      </c>
      <c r="N6" s="46">
        <f ca="1">Loan_Level_Results46911[[#This Row],[NPV]]-Loan_Level_Results46911[[#This Row],[DCF CALC NPV]]</f>
        <v>0.16999999999825377</v>
      </c>
      <c r="O6" s="43">
        <f>Loan_Level_Results46911[[#This Row],[Principal Payment]]+Loan_Level_Results46911[[#This Row],[Interest]]</f>
        <v>49446.83</v>
      </c>
    </row>
    <row r="7" spans="1:15" x14ac:dyDescent="0.3">
      <c r="A7" s="45">
        <v>46022</v>
      </c>
      <c r="B7" s="44">
        <v>6</v>
      </c>
      <c r="C7" s="43">
        <v>6542356.3700000001</v>
      </c>
      <c r="D7" s="43">
        <v>11449.12</v>
      </c>
      <c r="E7" s="43">
        <v>39149.279999999999</v>
      </c>
      <c r="F7" s="43">
        <v>0</v>
      </c>
      <c r="G7" s="43">
        <v>3277.72</v>
      </c>
      <c r="H7" s="43">
        <v>262.11</v>
      </c>
      <c r="I7" s="43">
        <v>0</v>
      </c>
      <c r="J7" s="43">
        <v>6527629.5300000003</v>
      </c>
      <c r="K7" s="43">
        <v>50598.400000000001</v>
      </c>
      <c r="L7" s="43">
        <v>48805.2</v>
      </c>
      <c r="M7" s="48">
        <f ca="1">'DCF Calc 5'!Q22</f>
        <v>48805.04</v>
      </c>
      <c r="N7" s="46">
        <f ca="1">Loan_Level_Results46911[[#This Row],[NPV]]-Loan_Level_Results46911[[#This Row],[DCF CALC NPV]]</f>
        <v>0.1599999999962165</v>
      </c>
      <c r="O7" s="43">
        <f>Loan_Level_Results46911[[#This Row],[Principal Payment]]+Loan_Level_Results46911[[#This Row],[Interest]]</f>
        <v>50598.400000000001</v>
      </c>
    </row>
    <row r="8" spans="1:15" x14ac:dyDescent="0.3">
      <c r="A8" s="45">
        <v>46053</v>
      </c>
      <c r="B8" s="44">
        <v>7</v>
      </c>
      <c r="C8" s="43">
        <v>6527629.5300000003</v>
      </c>
      <c r="D8" s="43">
        <v>11423.35</v>
      </c>
      <c r="E8" s="43">
        <v>39061.160000000003</v>
      </c>
      <c r="F8" s="43">
        <v>0</v>
      </c>
      <c r="G8" s="43">
        <v>3244.23</v>
      </c>
      <c r="H8" s="43">
        <v>258.82</v>
      </c>
      <c r="I8" s="43">
        <v>0</v>
      </c>
      <c r="J8" s="43">
        <v>6512961.9500000002</v>
      </c>
      <c r="K8" s="43">
        <v>50484.51</v>
      </c>
      <c r="L8" s="43">
        <v>48400.22</v>
      </c>
      <c r="M8" s="48">
        <f ca="1">'DCF Calc 5'!Q23</f>
        <v>48400.05</v>
      </c>
      <c r="N8" s="46">
        <f ca="1">Loan_Level_Results46911[[#This Row],[NPV]]-Loan_Level_Results46911[[#This Row],[DCF CALC NPV]]</f>
        <v>0.16999999999825377</v>
      </c>
      <c r="O8" s="43">
        <f>Loan_Level_Results46911[[#This Row],[Principal Payment]]+Loan_Level_Results46911[[#This Row],[Interest]]</f>
        <v>50484.51</v>
      </c>
    </row>
    <row r="9" spans="1:15" x14ac:dyDescent="0.3">
      <c r="A9" s="45">
        <v>46081</v>
      </c>
      <c r="B9" s="44">
        <v>8</v>
      </c>
      <c r="C9" s="43">
        <v>6512961.9500000002</v>
      </c>
      <c r="D9" s="43">
        <v>11397.68</v>
      </c>
      <c r="E9" s="43">
        <v>35201.769999999997</v>
      </c>
      <c r="F9" s="43">
        <v>0</v>
      </c>
      <c r="G9" s="43">
        <v>3236.94</v>
      </c>
      <c r="H9" s="43">
        <v>258.24</v>
      </c>
      <c r="I9" s="43">
        <v>0</v>
      </c>
      <c r="J9" s="43">
        <v>6498327.3300000001</v>
      </c>
      <c r="K9" s="43">
        <v>46599.45</v>
      </c>
      <c r="L9" s="43">
        <v>44430.92</v>
      </c>
      <c r="M9" s="48">
        <f ca="1">'DCF Calc 5'!Q24</f>
        <v>44430.77</v>
      </c>
      <c r="N9" s="43">
        <f ca="1">Loan_Level_Results46911[[#This Row],[NPV]]-Loan_Level_Results46911[[#This Row],[DCF CALC NPV]]</f>
        <v>0.15000000000145519</v>
      </c>
      <c r="O9" s="43">
        <f>Loan_Level_Results46911[[#This Row],[Principal Payment]]+Loan_Level_Results46911[[#This Row],[Interest]]</f>
        <v>46599.45</v>
      </c>
    </row>
    <row r="10" spans="1:15" x14ac:dyDescent="0.3">
      <c r="A10" s="45">
        <v>46112</v>
      </c>
      <c r="B10" s="44">
        <v>9</v>
      </c>
      <c r="C10" s="43">
        <v>6498327.3300000001</v>
      </c>
      <c r="D10" s="43">
        <v>11372.07</v>
      </c>
      <c r="E10" s="43">
        <v>38885.82</v>
      </c>
      <c r="F10" s="43">
        <v>0</v>
      </c>
      <c r="G10" s="43">
        <v>3229.67</v>
      </c>
      <c r="H10" s="43">
        <v>257.66000000000003</v>
      </c>
      <c r="I10" s="43">
        <v>0</v>
      </c>
      <c r="J10" s="43">
        <v>6483725.5899999999</v>
      </c>
      <c r="K10" s="43">
        <v>50257.89</v>
      </c>
      <c r="L10" s="43">
        <v>47628.68</v>
      </c>
      <c r="M10" s="48">
        <f ca="1">'DCF Calc 5'!Q25</f>
        <v>47628.51</v>
      </c>
      <c r="N10" s="43">
        <f ca="1">Loan_Level_Results46911[[#This Row],[NPV]]-Loan_Level_Results46911[[#This Row],[DCF CALC NPV]]</f>
        <v>0.16999999999825377</v>
      </c>
      <c r="O10" s="43">
        <f>Loan_Level_Results46911[[#This Row],[Principal Payment]]+Loan_Level_Results46911[[#This Row],[Interest]]</f>
        <v>50257.89</v>
      </c>
    </row>
    <row r="11" spans="1:15" x14ac:dyDescent="0.3">
      <c r="A11" s="45">
        <v>46142</v>
      </c>
      <c r="B11" s="44">
        <v>10</v>
      </c>
      <c r="C11" s="43">
        <v>6483725.5899999999</v>
      </c>
      <c r="D11" s="43">
        <v>11346.52</v>
      </c>
      <c r="E11" s="43">
        <v>37546.879999999997</v>
      </c>
      <c r="F11" s="43">
        <v>0</v>
      </c>
      <c r="G11" s="43">
        <v>3189.99</v>
      </c>
      <c r="H11" s="43">
        <v>253.89</v>
      </c>
      <c r="I11" s="43">
        <v>0</v>
      </c>
      <c r="J11" s="43">
        <v>6469189.0800000001</v>
      </c>
      <c r="K11" s="43">
        <v>48893.4</v>
      </c>
      <c r="L11" s="43">
        <v>46063.78</v>
      </c>
      <c r="M11" s="48">
        <f ca="1">'DCF Calc 5'!Q26</f>
        <v>46063.61</v>
      </c>
      <c r="N11" s="43">
        <f ca="1">Loan_Level_Results46911[[#This Row],[NPV]]-Loan_Level_Results46911[[#This Row],[DCF CALC NPV]]</f>
        <v>0.16999999999825377</v>
      </c>
      <c r="O11" s="43">
        <f>Loan_Level_Results46911[[#This Row],[Principal Payment]]+Loan_Level_Results46911[[#This Row],[Interest]]</f>
        <v>48893.399999999994</v>
      </c>
    </row>
    <row r="12" spans="1:15" x14ac:dyDescent="0.3">
      <c r="A12" s="45">
        <v>46173</v>
      </c>
      <c r="B12" s="44">
        <v>11</v>
      </c>
      <c r="C12" s="43">
        <v>6469189.0800000001</v>
      </c>
      <c r="D12" s="43">
        <v>11321.08</v>
      </c>
      <c r="E12" s="43">
        <v>38711.449999999997</v>
      </c>
      <c r="F12" s="43">
        <v>0</v>
      </c>
      <c r="G12" s="43">
        <v>3182.84</v>
      </c>
      <c r="H12" s="43">
        <v>253.32</v>
      </c>
      <c r="I12" s="43">
        <v>0</v>
      </c>
      <c r="J12" s="43">
        <v>6454685.1600000001</v>
      </c>
      <c r="K12" s="43">
        <v>50032.53</v>
      </c>
      <c r="L12" s="43">
        <v>46851.3</v>
      </c>
      <c r="M12" s="48">
        <f ca="1">'DCF Calc 5'!Q27</f>
        <v>46851.14</v>
      </c>
      <c r="N12" s="43">
        <f ca="1">Loan_Level_Results46911[[#This Row],[NPV]]-Loan_Level_Results46911[[#This Row],[DCF CALC NPV]]</f>
        <v>0.16000000000349246</v>
      </c>
      <c r="O12" s="43">
        <f>Loan_Level_Results46911[[#This Row],[Principal Payment]]+Loan_Level_Results46911[[#This Row],[Interest]]</f>
        <v>50032.53</v>
      </c>
    </row>
    <row r="13" spans="1:15" x14ac:dyDescent="0.3">
      <c r="A13" s="45">
        <v>46203</v>
      </c>
      <c r="B13" s="44">
        <v>12</v>
      </c>
      <c r="C13" s="43">
        <v>6454685.1600000001</v>
      </c>
      <c r="D13" s="43">
        <v>11295.7</v>
      </c>
      <c r="E13" s="43">
        <v>37378.71</v>
      </c>
      <c r="F13" s="43">
        <v>0</v>
      </c>
      <c r="G13" s="43">
        <v>3175.71</v>
      </c>
      <c r="H13" s="43">
        <v>252.75</v>
      </c>
      <c r="I13" s="43">
        <v>0</v>
      </c>
      <c r="J13" s="43">
        <v>6440213.75</v>
      </c>
      <c r="K13" s="43">
        <v>48674.41</v>
      </c>
      <c r="L13" s="43">
        <v>45312.17</v>
      </c>
      <c r="M13" s="48">
        <f ca="1">'DCF Calc 5'!Q28</f>
        <v>45312</v>
      </c>
      <c r="N13" s="43">
        <f ca="1">Loan_Level_Results46911[[#This Row],[NPV]]-Loan_Level_Results46911[[#This Row],[DCF CALC NPV]]</f>
        <v>0.16999999999825377</v>
      </c>
      <c r="O13" s="43">
        <f>Loan_Level_Results46911[[#This Row],[Principal Payment]]+Loan_Level_Results46911[[#This Row],[Interest]]</f>
        <v>48674.41</v>
      </c>
    </row>
    <row r="14" spans="1:15" x14ac:dyDescent="0.3">
      <c r="A14" s="45">
        <v>46234</v>
      </c>
      <c r="B14" s="44">
        <v>13</v>
      </c>
      <c r="C14" s="43">
        <v>6440213.75</v>
      </c>
      <c r="D14" s="43">
        <v>11270.37</v>
      </c>
      <c r="E14" s="43">
        <v>38538.07</v>
      </c>
      <c r="F14" s="43">
        <v>0</v>
      </c>
      <c r="G14" s="43">
        <v>3323.15</v>
      </c>
      <c r="H14" s="43">
        <v>267.72000000000003</v>
      </c>
      <c r="I14" s="43">
        <v>2775.26</v>
      </c>
      <c r="J14" s="43">
        <v>6425620.2300000004</v>
      </c>
      <c r="K14" s="43">
        <v>52583.7</v>
      </c>
      <c r="L14" s="43">
        <v>48654.74</v>
      </c>
      <c r="M14" s="48">
        <f ca="1">'DCF Calc 5'!Q29</f>
        <v>48654.57</v>
      </c>
      <c r="N14" s="43">
        <f ca="1">Loan_Level_Results46911[[#This Row],[NPV]]-Loan_Level_Results46911[[#This Row],[DCF CALC NPV]]</f>
        <v>0.16999999999825377</v>
      </c>
      <c r="O14" s="43">
        <f>Loan_Level_Results46911[[#This Row],[Principal Payment]]+Loan_Level_Results46911[[#This Row],[Interest]]</f>
        <v>49808.44</v>
      </c>
    </row>
    <row r="15" spans="1:15" x14ac:dyDescent="0.3">
      <c r="A15" s="45">
        <v>46265</v>
      </c>
      <c r="B15" s="44">
        <v>14</v>
      </c>
      <c r="C15" s="43">
        <v>6425620.2300000004</v>
      </c>
      <c r="D15" s="43">
        <v>11244.84</v>
      </c>
      <c r="E15" s="43">
        <v>38450.74</v>
      </c>
      <c r="F15" s="43">
        <v>0</v>
      </c>
      <c r="G15" s="43">
        <v>3315.62</v>
      </c>
      <c r="H15" s="43">
        <v>267.11</v>
      </c>
      <c r="I15" s="43">
        <v>2769.14</v>
      </c>
      <c r="J15" s="43">
        <v>6411059.7699999996</v>
      </c>
      <c r="K15" s="43">
        <v>52464.72</v>
      </c>
      <c r="L15" s="43">
        <v>48250.43</v>
      </c>
      <c r="M15" s="48">
        <f ca="1">'DCF Calc 5'!Q30</f>
        <v>48250.26</v>
      </c>
      <c r="N15" s="43">
        <f ca="1">Loan_Level_Results46911[[#This Row],[NPV]]-Loan_Level_Results46911[[#This Row],[DCF CALC NPV]]</f>
        <v>0.16999999999825377</v>
      </c>
      <c r="O15" s="43">
        <f>Loan_Level_Results46911[[#This Row],[Principal Payment]]+Loan_Level_Results46911[[#This Row],[Interest]]</f>
        <v>49695.58</v>
      </c>
    </row>
    <row r="16" spans="1:15" x14ac:dyDescent="0.3">
      <c r="A16" s="45">
        <v>46295</v>
      </c>
      <c r="B16" s="44">
        <v>15</v>
      </c>
      <c r="C16" s="43">
        <v>6411059.7699999996</v>
      </c>
      <c r="D16" s="43">
        <v>11219.35</v>
      </c>
      <c r="E16" s="43">
        <v>37126.07</v>
      </c>
      <c r="F16" s="43">
        <v>0</v>
      </c>
      <c r="G16" s="43">
        <v>3308.11</v>
      </c>
      <c r="H16" s="43">
        <v>266.51</v>
      </c>
      <c r="I16" s="43">
        <v>2763.03</v>
      </c>
      <c r="J16" s="43">
        <v>6396532.3099999996</v>
      </c>
      <c r="K16" s="43">
        <v>51108.45</v>
      </c>
      <c r="L16" s="43">
        <v>46727.39</v>
      </c>
      <c r="M16" s="48">
        <f ca="1">'DCF Calc 5'!Q31</f>
        <v>46727.23</v>
      </c>
      <c r="N16" s="43">
        <f ca="1">Loan_Level_Results46911[[#This Row],[NPV]]-Loan_Level_Results46911[[#This Row],[DCF CALC NPV]]</f>
        <v>0.1599999999962165</v>
      </c>
      <c r="O16" s="43">
        <f>Loan_Level_Results46911[[#This Row],[Principal Payment]]+Loan_Level_Results46911[[#This Row],[Interest]]</f>
        <v>48345.42</v>
      </c>
    </row>
    <row r="17" spans="1:15" x14ac:dyDescent="0.3">
      <c r="A17" s="45">
        <v>46326</v>
      </c>
      <c r="B17" s="44">
        <v>16</v>
      </c>
      <c r="C17" s="43">
        <v>6396532.3099999996</v>
      </c>
      <c r="D17" s="43">
        <v>11193.93</v>
      </c>
      <c r="E17" s="43">
        <v>38276.68</v>
      </c>
      <c r="F17" s="43">
        <v>0</v>
      </c>
      <c r="G17" s="43">
        <v>3454.13</v>
      </c>
      <c r="H17" s="43">
        <v>281.54000000000002</v>
      </c>
      <c r="I17" s="43">
        <v>3029.24</v>
      </c>
      <c r="J17" s="43">
        <v>6381884.25</v>
      </c>
      <c r="K17" s="43">
        <v>52499.85</v>
      </c>
      <c r="L17" s="43">
        <v>47708.6</v>
      </c>
      <c r="M17" s="48">
        <f ca="1">'DCF Calc 5'!Q32</f>
        <v>47708.43</v>
      </c>
      <c r="N17" s="43">
        <f ca="1">Loan_Level_Results46911[[#This Row],[NPV]]-Loan_Level_Results46911[[#This Row],[DCF CALC NPV]]</f>
        <v>0.16999999999825377</v>
      </c>
      <c r="O17" s="43">
        <f>Loan_Level_Results46911[[#This Row],[Principal Payment]]+Loan_Level_Results46911[[#This Row],[Interest]]</f>
        <v>49470.61</v>
      </c>
    </row>
    <row r="18" spans="1:15" x14ac:dyDescent="0.3">
      <c r="A18" s="45">
        <v>46356</v>
      </c>
      <c r="B18" s="44">
        <v>17</v>
      </c>
      <c r="C18" s="43">
        <v>6381884.25</v>
      </c>
      <c r="D18" s="43">
        <v>11168.3</v>
      </c>
      <c r="E18" s="43">
        <v>36957.120000000003</v>
      </c>
      <c r="F18" s="43">
        <v>0</v>
      </c>
      <c r="G18" s="43">
        <v>3446.22</v>
      </c>
      <c r="H18" s="43">
        <v>280.89999999999998</v>
      </c>
      <c r="I18" s="43">
        <v>3022.42</v>
      </c>
      <c r="J18" s="43">
        <v>6367269.7300000004</v>
      </c>
      <c r="K18" s="43">
        <v>51147.839999999997</v>
      </c>
      <c r="L18" s="43">
        <v>46207.34</v>
      </c>
      <c r="M18" s="48">
        <f ca="1">'DCF Calc 5'!Q33</f>
        <v>46207.18</v>
      </c>
      <c r="N18" s="43">
        <f ca="1">Loan_Level_Results46911[[#This Row],[NPV]]-Loan_Level_Results46911[[#This Row],[DCF CALC NPV]]</f>
        <v>0.1599999999962165</v>
      </c>
      <c r="O18" s="43">
        <f>Loan_Level_Results46911[[#This Row],[Principal Payment]]+Loan_Level_Results46911[[#This Row],[Interest]]</f>
        <v>48125.42</v>
      </c>
    </row>
    <row r="19" spans="1:15" x14ac:dyDescent="0.3">
      <c r="A19" s="45">
        <v>46387</v>
      </c>
      <c r="B19" s="44">
        <v>18</v>
      </c>
      <c r="C19" s="43">
        <v>6367269.7300000004</v>
      </c>
      <c r="D19" s="43">
        <v>11142.72</v>
      </c>
      <c r="E19" s="43">
        <v>38101.57</v>
      </c>
      <c r="F19" s="43">
        <v>0</v>
      </c>
      <c r="G19" s="43">
        <v>3438.33</v>
      </c>
      <c r="H19" s="43">
        <v>280.25</v>
      </c>
      <c r="I19" s="43">
        <v>3015.61</v>
      </c>
      <c r="J19" s="43">
        <v>6352688.6799999997</v>
      </c>
      <c r="K19" s="43">
        <v>52259.9</v>
      </c>
      <c r="L19" s="43">
        <v>46925.84</v>
      </c>
      <c r="M19" s="48">
        <f ca="1">'DCF Calc 5'!Q34</f>
        <v>46925.68</v>
      </c>
      <c r="N19" s="43">
        <f ca="1">Loan_Level_Results46911[[#This Row],[NPV]]-Loan_Level_Results46911[[#This Row],[DCF CALC NPV]]</f>
        <v>0.1599999999962165</v>
      </c>
      <c r="O19" s="43">
        <f>Loan_Level_Results46911[[#This Row],[Principal Payment]]+Loan_Level_Results46911[[#This Row],[Interest]]</f>
        <v>49244.29</v>
      </c>
    </row>
    <row r="20" spans="1:15" x14ac:dyDescent="0.3">
      <c r="A20" s="45">
        <v>46418</v>
      </c>
      <c r="B20" s="44">
        <v>19</v>
      </c>
      <c r="C20" s="43">
        <v>6352688.6799999997</v>
      </c>
      <c r="D20" s="43">
        <v>11117.21</v>
      </c>
      <c r="E20" s="43">
        <v>38014.32</v>
      </c>
      <c r="F20" s="43">
        <v>0</v>
      </c>
      <c r="G20" s="43">
        <v>3582.92</v>
      </c>
      <c r="H20" s="43">
        <v>295.33999999999997</v>
      </c>
      <c r="I20" s="43">
        <v>2985.41</v>
      </c>
      <c r="J20" s="43">
        <v>6337988.5499999998</v>
      </c>
      <c r="K20" s="43">
        <v>52116.94</v>
      </c>
      <c r="L20" s="43">
        <v>46513.84</v>
      </c>
      <c r="M20" s="48">
        <f ca="1">'DCF Calc 5'!Q35</f>
        <v>46513.67</v>
      </c>
      <c r="N20" s="43">
        <f ca="1">Loan_Level_Results46911[[#This Row],[NPV]]-Loan_Level_Results46911[[#This Row],[DCF CALC NPV]]</f>
        <v>0.16999999999825377</v>
      </c>
      <c r="O20" s="43">
        <f>Loan_Level_Results46911[[#This Row],[Principal Payment]]+Loan_Level_Results46911[[#This Row],[Interest]]</f>
        <v>49131.53</v>
      </c>
    </row>
    <row r="21" spans="1:15" x14ac:dyDescent="0.3">
      <c r="A21" s="45">
        <v>46446</v>
      </c>
      <c r="B21" s="44">
        <v>20</v>
      </c>
      <c r="C21" s="43">
        <v>6337988.5499999998</v>
      </c>
      <c r="D21" s="43">
        <v>11091.48</v>
      </c>
      <c r="E21" s="43">
        <v>34256.06</v>
      </c>
      <c r="F21" s="43">
        <v>0</v>
      </c>
      <c r="G21" s="43">
        <v>3574.63</v>
      </c>
      <c r="H21" s="43">
        <v>294.64999999999998</v>
      </c>
      <c r="I21" s="43">
        <v>2978.7</v>
      </c>
      <c r="J21" s="43">
        <v>6323322.4400000004</v>
      </c>
      <c r="K21" s="43">
        <v>48326.239999999998</v>
      </c>
      <c r="L21" s="43">
        <v>42894.5</v>
      </c>
      <c r="M21" s="48">
        <f ca="1">'DCF Calc 5'!Q36</f>
        <v>42894.35</v>
      </c>
      <c r="N21" s="43">
        <f ca="1">Loan_Level_Results46911[[#This Row],[NPV]]-Loan_Level_Results46911[[#This Row],[DCF CALC NPV]]</f>
        <v>0.15000000000145519</v>
      </c>
      <c r="O21" s="43">
        <f>Loan_Level_Results46911[[#This Row],[Principal Payment]]+Loan_Level_Results46911[[#This Row],[Interest]]</f>
        <v>45347.539999999994</v>
      </c>
    </row>
    <row r="22" spans="1:15" x14ac:dyDescent="0.3">
      <c r="A22" s="45">
        <v>46477</v>
      </c>
      <c r="B22" s="44">
        <v>21</v>
      </c>
      <c r="C22" s="43">
        <v>6323322.4400000004</v>
      </c>
      <c r="D22" s="43">
        <v>11065.81</v>
      </c>
      <c r="E22" s="43">
        <v>37838.589999999997</v>
      </c>
      <c r="F22" s="43">
        <v>0</v>
      </c>
      <c r="G22" s="43">
        <v>3566.35</v>
      </c>
      <c r="H22" s="43">
        <v>293.97000000000003</v>
      </c>
      <c r="I22" s="43">
        <v>2972.01</v>
      </c>
      <c r="J22" s="43">
        <v>6308690.2800000003</v>
      </c>
      <c r="K22" s="43">
        <v>51876.41</v>
      </c>
      <c r="L22" s="43">
        <v>45766.57</v>
      </c>
      <c r="M22" s="48">
        <f ca="1">'DCF Calc 5'!Q37</f>
        <v>45766.41</v>
      </c>
      <c r="N22" s="43">
        <f ca="1">Loan_Level_Results46911[[#This Row],[NPV]]-Loan_Level_Results46911[[#This Row],[DCF CALC NPV]]</f>
        <v>0.1599999999962165</v>
      </c>
      <c r="O22" s="43">
        <f>Loan_Level_Results46911[[#This Row],[Principal Payment]]+Loan_Level_Results46911[[#This Row],[Interest]]</f>
        <v>48904.399999999994</v>
      </c>
    </row>
    <row r="23" spans="1:15" x14ac:dyDescent="0.3">
      <c r="A23" s="45">
        <v>46507</v>
      </c>
      <c r="B23" s="44">
        <v>22</v>
      </c>
      <c r="C23" s="43">
        <v>6308690.2800000003</v>
      </c>
      <c r="D23" s="43">
        <v>11040.21</v>
      </c>
      <c r="E23" s="43">
        <v>36533.26</v>
      </c>
      <c r="F23" s="43">
        <v>0</v>
      </c>
      <c r="G23" s="43">
        <v>3709.51</v>
      </c>
      <c r="H23" s="43">
        <v>309.08999999999997</v>
      </c>
      <c r="I23" s="43">
        <v>2936.1</v>
      </c>
      <c r="J23" s="43">
        <v>6293940.5599999996</v>
      </c>
      <c r="K23" s="43">
        <v>50509.57</v>
      </c>
      <c r="L23" s="43">
        <v>44299.33</v>
      </c>
      <c r="M23" s="48">
        <f ca="1">'DCF Calc 5'!Q38</f>
        <v>44299.18</v>
      </c>
      <c r="N23" s="43">
        <f ca="1">Loan_Level_Results46911[[#This Row],[NPV]]-Loan_Level_Results46911[[#This Row],[DCF CALC NPV]]</f>
        <v>0.15000000000145519</v>
      </c>
      <c r="O23" s="43">
        <f>Loan_Level_Results46911[[#This Row],[Principal Payment]]+Loan_Level_Results46911[[#This Row],[Interest]]</f>
        <v>47573.47</v>
      </c>
    </row>
    <row r="24" spans="1:15" x14ac:dyDescent="0.3">
      <c r="A24" s="45">
        <v>46538</v>
      </c>
      <c r="B24" s="44">
        <v>23</v>
      </c>
      <c r="C24" s="43">
        <v>6293940.5599999996</v>
      </c>
      <c r="D24" s="43">
        <v>11014.4</v>
      </c>
      <c r="E24" s="43">
        <v>37662.769999999997</v>
      </c>
      <c r="F24" s="43">
        <v>0</v>
      </c>
      <c r="G24" s="43">
        <v>3700.84</v>
      </c>
      <c r="H24" s="43">
        <v>308.37</v>
      </c>
      <c r="I24" s="43">
        <v>2929.52</v>
      </c>
      <c r="J24" s="43">
        <v>6279225.3200000003</v>
      </c>
      <c r="K24" s="43">
        <v>51606.69</v>
      </c>
      <c r="L24" s="43">
        <v>44987.23</v>
      </c>
      <c r="M24" s="48">
        <f ca="1">'DCF Calc 5'!Q39</f>
        <v>44987.07</v>
      </c>
      <c r="N24" s="43">
        <f ca="1">Loan_Level_Results46911[[#This Row],[NPV]]-Loan_Level_Results46911[[#This Row],[DCF CALC NPV]]</f>
        <v>0.16000000000349246</v>
      </c>
      <c r="O24" s="43">
        <f>Loan_Level_Results46911[[#This Row],[Principal Payment]]+Loan_Level_Results46911[[#This Row],[Interest]]</f>
        <v>48677.17</v>
      </c>
    </row>
    <row r="25" spans="1:15" x14ac:dyDescent="0.3">
      <c r="A25" s="45">
        <v>46568</v>
      </c>
      <c r="B25" s="44">
        <v>24</v>
      </c>
      <c r="C25" s="43">
        <v>6279225.3200000003</v>
      </c>
      <c r="D25" s="43">
        <v>10988.64</v>
      </c>
      <c r="E25" s="43">
        <v>36362.629999999997</v>
      </c>
      <c r="F25" s="43">
        <v>0</v>
      </c>
      <c r="G25" s="43">
        <v>3692.18</v>
      </c>
      <c r="H25" s="43">
        <v>307.64999999999998</v>
      </c>
      <c r="I25" s="43">
        <v>2922.96</v>
      </c>
      <c r="J25" s="43">
        <v>6264544.5</v>
      </c>
      <c r="K25" s="43">
        <v>50274.23</v>
      </c>
      <c r="L25" s="43">
        <v>43568.61</v>
      </c>
      <c r="M25" s="48">
        <f ca="1">'DCF Calc 5'!Q40</f>
        <v>43568.45</v>
      </c>
      <c r="N25" s="43">
        <f ca="1">Loan_Level_Results46911[[#This Row],[NPV]]-Loan_Level_Results46911[[#This Row],[DCF CALC NPV]]</f>
        <v>0.16000000000349246</v>
      </c>
      <c r="O25" s="43">
        <f>Loan_Level_Results46911[[#This Row],[Principal Payment]]+Loan_Level_Results46911[[#This Row],[Interest]]</f>
        <v>47351.27</v>
      </c>
    </row>
    <row r="26" spans="1:15" x14ac:dyDescent="0.3">
      <c r="A26" s="45">
        <v>46599</v>
      </c>
      <c r="B26" s="44">
        <v>25</v>
      </c>
      <c r="C26" s="43">
        <v>6264544.5</v>
      </c>
      <c r="D26" s="43">
        <v>10962.95</v>
      </c>
      <c r="E26" s="43">
        <v>37486.870000000003</v>
      </c>
      <c r="F26" s="43">
        <v>0</v>
      </c>
      <c r="G26" s="43">
        <v>3827.64</v>
      </c>
      <c r="H26" s="43">
        <v>322.27999999999997</v>
      </c>
      <c r="I26" s="43">
        <v>3055.43</v>
      </c>
      <c r="J26" s="43">
        <v>6249753.9100000001</v>
      </c>
      <c r="K26" s="43">
        <v>51505.25</v>
      </c>
      <c r="L26" s="43">
        <v>44364.91</v>
      </c>
      <c r="M26" s="48">
        <f ca="1">'DCF Calc 5'!Q41</f>
        <v>44364.74</v>
      </c>
      <c r="N26" s="43">
        <f ca="1">Loan_Level_Results46911[[#This Row],[NPV]]-Loan_Level_Results46911[[#This Row],[DCF CALC NPV]]</f>
        <v>0.17000000000552973</v>
      </c>
      <c r="O26" s="43">
        <f>Loan_Level_Results46911[[#This Row],[Principal Payment]]+Loan_Level_Results46911[[#This Row],[Interest]]</f>
        <v>48449.820000000007</v>
      </c>
    </row>
    <row r="27" spans="1:15" x14ac:dyDescent="0.3">
      <c r="A27" s="45">
        <v>46630</v>
      </c>
      <c r="B27" s="44">
        <v>26</v>
      </c>
      <c r="C27" s="43">
        <v>6249753.9100000001</v>
      </c>
      <c r="D27" s="43">
        <v>10937.07</v>
      </c>
      <c r="E27" s="43">
        <v>37398.36</v>
      </c>
      <c r="F27" s="43">
        <v>0</v>
      </c>
      <c r="G27" s="43">
        <v>3818.6</v>
      </c>
      <c r="H27" s="43">
        <v>321.52</v>
      </c>
      <c r="I27" s="43">
        <v>3048.51</v>
      </c>
      <c r="J27" s="43">
        <v>6234998.2400000002</v>
      </c>
      <c r="K27" s="43">
        <v>51383.94</v>
      </c>
      <c r="L27" s="43">
        <v>43992.17</v>
      </c>
      <c r="M27" s="48">
        <f ca="1">'DCF Calc 5'!Q42</f>
        <v>43992</v>
      </c>
      <c r="N27" s="43">
        <f ca="1">Loan_Level_Results46911[[#This Row],[NPV]]-Loan_Level_Results46911[[#This Row],[DCF CALC NPV]]</f>
        <v>0.16999999999825377</v>
      </c>
      <c r="O27" s="43">
        <f>Loan_Level_Results46911[[#This Row],[Principal Payment]]+Loan_Level_Results46911[[#This Row],[Interest]]</f>
        <v>48335.43</v>
      </c>
    </row>
    <row r="28" spans="1:15" x14ac:dyDescent="0.3">
      <c r="A28" s="45">
        <v>46660</v>
      </c>
      <c r="B28" s="44">
        <v>27</v>
      </c>
      <c r="C28" s="43">
        <v>6234998.2400000002</v>
      </c>
      <c r="D28" s="43">
        <v>10911.25</v>
      </c>
      <c r="E28" s="43">
        <v>36106.51</v>
      </c>
      <c r="F28" s="43">
        <v>0</v>
      </c>
      <c r="G28" s="43">
        <v>3809.58</v>
      </c>
      <c r="H28" s="43">
        <v>320.76</v>
      </c>
      <c r="I28" s="43">
        <v>3041.6</v>
      </c>
      <c r="J28" s="43">
        <v>6220277.4100000001</v>
      </c>
      <c r="K28" s="43">
        <v>50059.360000000001</v>
      </c>
      <c r="L28" s="43">
        <v>42606.73</v>
      </c>
      <c r="M28" s="48">
        <f ca="1">'DCF Calc 5'!Q43</f>
        <v>42606.58</v>
      </c>
      <c r="N28" s="43">
        <f ca="1">Loan_Level_Results46911[[#This Row],[NPV]]-Loan_Level_Results46911[[#This Row],[DCF CALC NPV]]</f>
        <v>0.15000000000145519</v>
      </c>
      <c r="O28" s="43">
        <f>Loan_Level_Results46911[[#This Row],[Principal Payment]]+Loan_Level_Results46911[[#This Row],[Interest]]</f>
        <v>47017.760000000002</v>
      </c>
    </row>
    <row r="29" spans="1:15" x14ac:dyDescent="0.3">
      <c r="A29" s="45">
        <v>46691</v>
      </c>
      <c r="B29" s="44">
        <v>28</v>
      </c>
      <c r="C29" s="43">
        <v>6220277.4100000001</v>
      </c>
      <c r="D29" s="43">
        <v>10885.49</v>
      </c>
      <c r="E29" s="43">
        <v>37221.97</v>
      </c>
      <c r="F29" s="43">
        <v>0</v>
      </c>
      <c r="G29" s="43">
        <v>3949.88</v>
      </c>
      <c r="H29" s="43">
        <v>335.93</v>
      </c>
      <c r="I29" s="43">
        <v>3172.59</v>
      </c>
      <c r="J29" s="43">
        <v>6205442.04</v>
      </c>
      <c r="K29" s="43">
        <v>51280.05</v>
      </c>
      <c r="L29" s="43">
        <v>43381.17</v>
      </c>
      <c r="M29" s="48">
        <f ca="1">'DCF Calc 5'!Q44</f>
        <v>43381.01</v>
      </c>
      <c r="N29" s="43">
        <f ca="1">Loan_Level_Results46911[[#This Row],[NPV]]-Loan_Level_Results46911[[#This Row],[DCF CALC NPV]]</f>
        <v>0.1599999999962165</v>
      </c>
      <c r="O29" s="43">
        <f>Loan_Level_Results46911[[#This Row],[Principal Payment]]+Loan_Level_Results46911[[#This Row],[Interest]]</f>
        <v>48107.46</v>
      </c>
    </row>
    <row r="30" spans="1:15" x14ac:dyDescent="0.3">
      <c r="A30" s="45">
        <v>46721</v>
      </c>
      <c r="B30" s="44">
        <v>29</v>
      </c>
      <c r="C30" s="43">
        <v>6205442.04</v>
      </c>
      <c r="D30" s="43">
        <v>10859.52</v>
      </c>
      <c r="E30" s="43">
        <v>35935.35</v>
      </c>
      <c r="F30" s="43">
        <v>0</v>
      </c>
      <c r="G30" s="43">
        <v>3940.46</v>
      </c>
      <c r="H30" s="43">
        <v>335.13</v>
      </c>
      <c r="I30" s="43">
        <v>3165.32</v>
      </c>
      <c r="J30" s="43">
        <v>6190642.0599999996</v>
      </c>
      <c r="K30" s="43">
        <v>49960.19</v>
      </c>
      <c r="L30" s="43">
        <v>42016.69</v>
      </c>
      <c r="M30" s="48">
        <f ca="1">'DCF Calc 5'!Q45</f>
        <v>42016.54</v>
      </c>
      <c r="N30" s="43">
        <f ca="1">Loan_Level_Results46911[[#This Row],[NPV]]-Loan_Level_Results46911[[#This Row],[DCF CALC NPV]]</f>
        <v>0.15000000000145519</v>
      </c>
      <c r="O30" s="43">
        <f>Loan_Level_Results46911[[#This Row],[Principal Payment]]+Loan_Level_Results46911[[#This Row],[Interest]]</f>
        <v>46794.869999999995</v>
      </c>
    </row>
    <row r="31" spans="1:15" x14ac:dyDescent="0.3">
      <c r="A31" s="45">
        <v>46752</v>
      </c>
      <c r="B31" s="44">
        <v>30</v>
      </c>
      <c r="C31" s="43">
        <v>6190642.0599999996</v>
      </c>
      <c r="D31" s="43">
        <v>10833.62</v>
      </c>
      <c r="E31" s="43">
        <v>37044.639999999999</v>
      </c>
      <c r="F31" s="43">
        <v>0</v>
      </c>
      <c r="G31" s="43">
        <v>3931.06</v>
      </c>
      <c r="H31" s="43">
        <v>334.33</v>
      </c>
      <c r="I31" s="43">
        <v>3158.08</v>
      </c>
      <c r="J31" s="43">
        <v>6175877.3799999999</v>
      </c>
      <c r="K31" s="43">
        <v>51036.34</v>
      </c>
      <c r="L31" s="43">
        <v>42661.599999999999</v>
      </c>
      <c r="M31" s="48">
        <f ca="1">'DCF Calc 5'!Q46</f>
        <v>42661.440000000002</v>
      </c>
      <c r="N31" s="43">
        <f ca="1">Loan_Level_Results46911[[#This Row],[NPV]]-Loan_Level_Results46911[[#This Row],[DCF CALC NPV]]</f>
        <v>0.1599999999962165</v>
      </c>
      <c r="O31" s="43">
        <f>Loan_Level_Results46911[[#This Row],[Principal Payment]]+Loan_Level_Results46911[[#This Row],[Interest]]</f>
        <v>47878.26</v>
      </c>
    </row>
    <row r="32" spans="1:15" x14ac:dyDescent="0.3">
      <c r="A32" s="45">
        <v>46783</v>
      </c>
      <c r="B32" s="44">
        <v>31</v>
      </c>
      <c r="C32" s="43">
        <v>6175877.3799999999</v>
      </c>
      <c r="D32" s="43">
        <v>10807.79</v>
      </c>
      <c r="E32" s="43">
        <v>36956.28</v>
      </c>
      <c r="F32" s="43">
        <v>0</v>
      </c>
      <c r="G32" s="43">
        <v>4069.9</v>
      </c>
      <c r="H32" s="43">
        <v>349.53</v>
      </c>
      <c r="I32" s="43">
        <v>3287.58</v>
      </c>
      <c r="J32" s="43">
        <v>6160999.6900000004</v>
      </c>
      <c r="K32" s="43">
        <v>51051.65</v>
      </c>
      <c r="L32" s="43">
        <v>42415.76</v>
      </c>
      <c r="M32" s="48">
        <f ca="1">'DCF Calc 5'!Q47</f>
        <v>42415.6</v>
      </c>
      <c r="N32" s="43">
        <f ca="1">Loan_Level_Results46911[[#This Row],[NPV]]-Loan_Level_Results46911[[#This Row],[DCF CALC NPV]]</f>
        <v>0.16000000000349246</v>
      </c>
      <c r="O32" s="43">
        <f>Loan_Level_Results46911[[#This Row],[Principal Payment]]+Loan_Level_Results46911[[#This Row],[Interest]]</f>
        <v>47764.07</v>
      </c>
    </row>
    <row r="33" spans="1:15" x14ac:dyDescent="0.3">
      <c r="A33" s="45">
        <v>46812</v>
      </c>
      <c r="B33" s="44">
        <v>32</v>
      </c>
      <c r="C33" s="43">
        <v>6160999.6900000004</v>
      </c>
      <c r="D33" s="43">
        <v>10781.75</v>
      </c>
      <c r="E33" s="43">
        <v>33299.46</v>
      </c>
      <c r="F33" s="43">
        <v>0</v>
      </c>
      <c r="G33" s="43">
        <v>4060.1</v>
      </c>
      <c r="H33" s="43">
        <v>348.68</v>
      </c>
      <c r="I33" s="43">
        <v>3279.98</v>
      </c>
      <c r="J33" s="43">
        <v>6146157.8399999999</v>
      </c>
      <c r="K33" s="43">
        <v>47361.19</v>
      </c>
      <c r="L33" s="43">
        <v>39134.1</v>
      </c>
      <c r="M33" s="48">
        <f ca="1">'DCF Calc 5'!Q48</f>
        <v>39133.949999999997</v>
      </c>
      <c r="N33" s="43">
        <f ca="1">Loan_Level_Results46911[[#This Row],[NPV]]-Loan_Level_Results46911[[#This Row],[DCF CALC NPV]]</f>
        <v>0.15000000000145519</v>
      </c>
      <c r="O33" s="43">
        <f>Loan_Level_Results46911[[#This Row],[Principal Payment]]+Loan_Level_Results46911[[#This Row],[Interest]]</f>
        <v>44081.21</v>
      </c>
    </row>
    <row r="34" spans="1:15" x14ac:dyDescent="0.3">
      <c r="A34" s="45">
        <v>46843</v>
      </c>
      <c r="B34" s="44">
        <v>33</v>
      </c>
      <c r="C34" s="43">
        <v>6146157.8399999999</v>
      </c>
      <c r="D34" s="43">
        <v>10755.78</v>
      </c>
      <c r="E34" s="43">
        <v>36778.44</v>
      </c>
      <c r="F34" s="43">
        <v>0</v>
      </c>
      <c r="G34" s="43">
        <v>4050.32</v>
      </c>
      <c r="H34" s="43">
        <v>347.84</v>
      </c>
      <c r="I34" s="43">
        <v>3272.38</v>
      </c>
      <c r="J34" s="43">
        <v>6131351.7400000002</v>
      </c>
      <c r="K34" s="43">
        <v>50806.6</v>
      </c>
      <c r="L34" s="43">
        <v>41726.58</v>
      </c>
      <c r="M34" s="48">
        <f ca="1">'DCF Calc 5'!Q49</f>
        <v>41726.42</v>
      </c>
      <c r="N34" s="43">
        <f ca="1">Loan_Level_Results46911[[#This Row],[NPV]]-Loan_Level_Results46911[[#This Row],[DCF CALC NPV]]</f>
        <v>0.16000000000349246</v>
      </c>
      <c r="O34" s="43">
        <f>Loan_Level_Results46911[[#This Row],[Principal Payment]]+Loan_Level_Results46911[[#This Row],[Interest]]</f>
        <v>47534.22</v>
      </c>
    </row>
    <row r="35" spans="1:15" x14ac:dyDescent="0.3">
      <c r="A35" s="45">
        <v>46873</v>
      </c>
      <c r="B35" s="44">
        <v>34</v>
      </c>
      <c r="C35" s="43">
        <v>6131351.7400000002</v>
      </c>
      <c r="D35" s="43">
        <v>10729.87</v>
      </c>
      <c r="E35" s="43">
        <v>35506.300000000003</v>
      </c>
      <c r="F35" s="43">
        <v>0</v>
      </c>
      <c r="G35" s="43">
        <v>4187.71</v>
      </c>
      <c r="H35" s="43">
        <v>363.05</v>
      </c>
      <c r="I35" s="43">
        <v>3400.42</v>
      </c>
      <c r="J35" s="43">
        <v>6116434.1600000001</v>
      </c>
      <c r="K35" s="43">
        <v>49636.59</v>
      </c>
      <c r="L35" s="43">
        <v>40526.54</v>
      </c>
      <c r="M35" s="48">
        <f ca="1">'DCF Calc 5'!Q50</f>
        <v>40526.39</v>
      </c>
      <c r="N35" s="43">
        <f ca="1">Loan_Level_Results46911[[#This Row],[NPV]]-Loan_Level_Results46911[[#This Row],[DCF CALC NPV]]</f>
        <v>0.15000000000145519</v>
      </c>
      <c r="O35" s="43">
        <f>Loan_Level_Results46911[[#This Row],[Principal Payment]]+Loan_Level_Results46911[[#This Row],[Interest]]</f>
        <v>46236.170000000006</v>
      </c>
    </row>
    <row r="36" spans="1:15" x14ac:dyDescent="0.3">
      <c r="A36" s="45">
        <v>46904</v>
      </c>
      <c r="B36" s="44">
        <v>35</v>
      </c>
      <c r="C36" s="43">
        <v>6116434.1600000001</v>
      </c>
      <c r="D36" s="43">
        <v>10703.76</v>
      </c>
      <c r="E36" s="43">
        <v>36600.58</v>
      </c>
      <c r="F36" s="43">
        <v>0</v>
      </c>
      <c r="G36" s="43">
        <v>4177.5200000000004</v>
      </c>
      <c r="H36" s="43">
        <v>362.17</v>
      </c>
      <c r="I36" s="43">
        <v>3392.47</v>
      </c>
      <c r="J36" s="43">
        <v>6101552.8799999999</v>
      </c>
      <c r="K36" s="43">
        <v>50696.81</v>
      </c>
      <c r="L36" s="43">
        <v>41141.31</v>
      </c>
      <c r="M36" s="48">
        <f ca="1">'DCF Calc 5'!Q51</f>
        <v>41141.15</v>
      </c>
      <c r="N36" s="43">
        <f ca="1">Loan_Level_Results46911[[#This Row],[NPV]]-Loan_Level_Results46911[[#This Row],[DCF CALC NPV]]</f>
        <v>0.1599999999962165</v>
      </c>
      <c r="O36" s="43">
        <f>Loan_Level_Results46911[[#This Row],[Principal Payment]]+Loan_Level_Results46911[[#This Row],[Interest]]</f>
        <v>47304.340000000004</v>
      </c>
    </row>
    <row r="37" spans="1:15" x14ac:dyDescent="0.3">
      <c r="A37" s="45">
        <v>46934</v>
      </c>
      <c r="B37" s="44">
        <v>36</v>
      </c>
      <c r="C37" s="43">
        <v>6101552.8799999999</v>
      </c>
      <c r="D37" s="43">
        <v>10677.72</v>
      </c>
      <c r="E37" s="43">
        <v>35333.74</v>
      </c>
      <c r="F37" s="43">
        <v>0</v>
      </c>
      <c r="G37" s="43">
        <v>4167.3599999999997</v>
      </c>
      <c r="H37" s="43">
        <v>361.29</v>
      </c>
      <c r="I37" s="43">
        <v>3384.53</v>
      </c>
      <c r="J37" s="43">
        <v>6086707.7999999998</v>
      </c>
      <c r="K37" s="43">
        <v>49395.99</v>
      </c>
      <c r="L37" s="43">
        <v>39850.53</v>
      </c>
      <c r="M37" s="48">
        <f ca="1">'DCF Calc 5'!Q52</f>
        <v>39850.379999999997</v>
      </c>
      <c r="N37" s="43">
        <f ca="1">Loan_Level_Results46911[[#This Row],[NPV]]-Loan_Level_Results46911[[#This Row],[DCF CALC NPV]]</f>
        <v>0.15000000000145519</v>
      </c>
      <c r="O37" s="43">
        <f>Loan_Level_Results46911[[#This Row],[Principal Payment]]+Loan_Level_Results46911[[#This Row],[Interest]]</f>
        <v>46011.46</v>
      </c>
    </row>
    <row r="38" spans="1:15" x14ac:dyDescent="0.3">
      <c r="A38" s="45">
        <v>46965</v>
      </c>
      <c r="B38" s="44">
        <v>37</v>
      </c>
      <c r="C38" s="43">
        <v>6086707.7999999998</v>
      </c>
      <c r="D38" s="43">
        <v>10651.74</v>
      </c>
      <c r="E38" s="43">
        <v>36422.699999999997</v>
      </c>
      <c r="F38" s="43">
        <v>0</v>
      </c>
      <c r="G38" s="43">
        <v>4157.22</v>
      </c>
      <c r="H38" s="43">
        <v>360.41</v>
      </c>
      <c r="I38" s="43">
        <v>3505.36</v>
      </c>
      <c r="J38" s="43">
        <v>6071898.8399999999</v>
      </c>
      <c r="K38" s="43">
        <v>50579.8</v>
      </c>
      <c r="L38" s="43">
        <v>40558.269999999997</v>
      </c>
      <c r="M38" s="48">
        <f ca="1">'DCF Calc 5'!Q53</f>
        <v>40558.11</v>
      </c>
      <c r="N38" s="43">
        <f ca="1">Loan_Level_Results46911[[#This Row],[NPV]]-Loan_Level_Results46911[[#This Row],[DCF CALC NPV]]</f>
        <v>0.1599999999962165</v>
      </c>
      <c r="O38" s="43">
        <f>Loan_Level_Results46911[[#This Row],[Principal Payment]]+Loan_Level_Results46911[[#This Row],[Interest]]</f>
        <v>47074.439999999995</v>
      </c>
    </row>
    <row r="39" spans="1:15" x14ac:dyDescent="0.3">
      <c r="A39" s="45">
        <v>46996</v>
      </c>
      <c r="B39" s="44">
        <v>38</v>
      </c>
      <c r="C39" s="43">
        <v>6071898.8399999999</v>
      </c>
      <c r="D39" s="43">
        <v>10625.82</v>
      </c>
      <c r="E39" s="43">
        <v>36334.080000000002</v>
      </c>
      <c r="F39" s="43">
        <v>0</v>
      </c>
      <c r="G39" s="43">
        <v>4147.1099999999997</v>
      </c>
      <c r="H39" s="43">
        <v>359.53</v>
      </c>
      <c r="I39" s="43">
        <v>3497.08</v>
      </c>
      <c r="J39" s="43">
        <v>6057125.9100000001</v>
      </c>
      <c r="K39" s="43">
        <v>50456.98</v>
      </c>
      <c r="L39" s="43">
        <v>40214.559999999998</v>
      </c>
      <c r="M39" s="48">
        <f ca="1">'DCF Calc 5'!Q54</f>
        <v>40214.410000000003</v>
      </c>
      <c r="N39" s="43">
        <f ca="1">Loan_Level_Results46911[[#This Row],[NPV]]-Loan_Level_Results46911[[#This Row],[DCF CALC NPV]]</f>
        <v>0.14999999999417923</v>
      </c>
      <c r="O39" s="43">
        <f>Loan_Level_Results46911[[#This Row],[Principal Payment]]+Loan_Level_Results46911[[#This Row],[Interest]]</f>
        <v>46959.9</v>
      </c>
    </row>
    <row r="40" spans="1:15" x14ac:dyDescent="0.3">
      <c r="A40" s="45">
        <v>47026</v>
      </c>
      <c r="B40" s="44">
        <v>39</v>
      </c>
      <c r="C40" s="43">
        <v>6057125.9100000001</v>
      </c>
      <c r="D40" s="43">
        <v>10599.97</v>
      </c>
      <c r="E40" s="43">
        <v>35076.46</v>
      </c>
      <c r="F40" s="43">
        <v>0</v>
      </c>
      <c r="G40" s="43">
        <v>4137.0200000000004</v>
      </c>
      <c r="H40" s="43">
        <v>358.65</v>
      </c>
      <c r="I40" s="43">
        <v>3488.82</v>
      </c>
      <c r="J40" s="43">
        <v>6042388.9199999999</v>
      </c>
      <c r="K40" s="43">
        <v>49165.25</v>
      </c>
      <c r="L40" s="43">
        <v>38955.19</v>
      </c>
      <c r="M40" s="48">
        <f ca="1">'DCF Calc 5'!Q55</f>
        <v>38955.040000000001</v>
      </c>
      <c r="N40" s="43">
        <f ca="1">Loan_Level_Results46911[[#This Row],[NPV]]-Loan_Level_Results46911[[#This Row],[DCF CALC NPV]]</f>
        <v>0.15000000000145519</v>
      </c>
      <c r="O40" s="43">
        <f>Loan_Level_Results46911[[#This Row],[Principal Payment]]+Loan_Level_Results46911[[#This Row],[Interest]]</f>
        <v>45676.43</v>
      </c>
    </row>
    <row r="41" spans="1:15" x14ac:dyDescent="0.3">
      <c r="A41" s="45">
        <v>47057</v>
      </c>
      <c r="B41" s="44">
        <v>40</v>
      </c>
      <c r="C41" s="43">
        <v>6042388.9199999999</v>
      </c>
      <c r="D41" s="43">
        <v>10574.18</v>
      </c>
      <c r="E41" s="43">
        <v>36157.49</v>
      </c>
      <c r="F41" s="43">
        <v>0</v>
      </c>
      <c r="G41" s="43">
        <v>4126.95</v>
      </c>
      <c r="H41" s="43">
        <v>357.78</v>
      </c>
      <c r="I41" s="43">
        <v>3613.95</v>
      </c>
      <c r="J41" s="43">
        <v>6027687.79</v>
      </c>
      <c r="K41" s="43">
        <v>50345.62</v>
      </c>
      <c r="L41" s="43">
        <v>39648.67</v>
      </c>
      <c r="M41" s="48">
        <f ca="1">'DCF Calc 5'!Q56</f>
        <v>39648.519999999997</v>
      </c>
      <c r="N41" s="43">
        <f ca="1">Loan_Level_Results46911[[#This Row],[NPV]]-Loan_Level_Results46911[[#This Row],[DCF CALC NPV]]</f>
        <v>0.15000000000145519</v>
      </c>
      <c r="O41" s="43">
        <f>Loan_Level_Results46911[[#This Row],[Principal Payment]]+Loan_Level_Results46911[[#This Row],[Interest]]</f>
        <v>46731.67</v>
      </c>
    </row>
    <row r="42" spans="1:15" x14ac:dyDescent="0.3">
      <c r="A42" s="45">
        <v>47087</v>
      </c>
      <c r="B42" s="44">
        <v>41</v>
      </c>
      <c r="C42" s="43">
        <v>6027687.79</v>
      </c>
      <c r="D42" s="43">
        <v>10548.45</v>
      </c>
      <c r="E42" s="43">
        <v>34905.99</v>
      </c>
      <c r="F42" s="43">
        <v>0</v>
      </c>
      <c r="G42" s="43">
        <v>4116.91</v>
      </c>
      <c r="H42" s="43">
        <v>356.91</v>
      </c>
      <c r="I42" s="43">
        <v>3605.33</v>
      </c>
      <c r="J42" s="43">
        <v>6013022.4299999997</v>
      </c>
      <c r="K42" s="43">
        <v>49059.77</v>
      </c>
      <c r="L42" s="43">
        <v>38409.39</v>
      </c>
      <c r="M42" s="48">
        <f ca="1">'DCF Calc 5'!Q57</f>
        <v>38409.24</v>
      </c>
      <c r="N42" s="43">
        <f ca="1">Loan_Level_Results46911[[#This Row],[NPV]]-Loan_Level_Results46911[[#This Row],[DCF CALC NPV]]</f>
        <v>0.15000000000145519</v>
      </c>
      <c r="O42" s="43">
        <f>Loan_Level_Results46911[[#This Row],[Principal Payment]]+Loan_Level_Results46911[[#This Row],[Interest]]</f>
        <v>45454.44</v>
      </c>
    </row>
    <row r="43" spans="1:15" x14ac:dyDescent="0.3">
      <c r="A43" s="45">
        <v>47118</v>
      </c>
      <c r="B43" s="44">
        <v>42</v>
      </c>
      <c r="C43" s="43">
        <v>6013022.4299999997</v>
      </c>
      <c r="D43" s="43">
        <v>10522.79</v>
      </c>
      <c r="E43" s="43">
        <v>35981.760000000002</v>
      </c>
      <c r="F43" s="43">
        <v>0</v>
      </c>
      <c r="G43" s="43">
        <v>4106.8900000000003</v>
      </c>
      <c r="H43" s="43">
        <v>356.04</v>
      </c>
      <c r="I43" s="43">
        <v>3596.73</v>
      </c>
      <c r="J43" s="43">
        <v>5998392.75</v>
      </c>
      <c r="K43" s="43">
        <v>50101.279999999999</v>
      </c>
      <c r="L43" s="43">
        <v>38987.07</v>
      </c>
      <c r="M43" s="48">
        <f ca="1">'DCF Calc 5'!Q58</f>
        <v>38986.92</v>
      </c>
      <c r="N43" s="43">
        <f ca="1">Loan_Level_Results46911[[#This Row],[NPV]]-Loan_Level_Results46911[[#This Row],[DCF CALC NPV]]</f>
        <v>0.15000000000145519</v>
      </c>
      <c r="O43" s="43">
        <f>Loan_Level_Results46911[[#This Row],[Principal Payment]]+Loan_Level_Results46911[[#This Row],[Interest]]</f>
        <v>46504.55</v>
      </c>
    </row>
    <row r="44" spans="1:15" x14ac:dyDescent="0.3">
      <c r="A44" s="45">
        <v>47149</v>
      </c>
      <c r="B44" s="44">
        <v>43</v>
      </c>
      <c r="C44" s="43">
        <v>5998392.75</v>
      </c>
      <c r="D44" s="43">
        <v>10497.19</v>
      </c>
      <c r="E44" s="43">
        <v>35894.22</v>
      </c>
      <c r="F44" s="43">
        <v>0</v>
      </c>
      <c r="G44" s="43">
        <v>4096.8999999999996</v>
      </c>
      <c r="H44" s="43">
        <v>355.18</v>
      </c>
      <c r="I44" s="43">
        <v>3720.37</v>
      </c>
      <c r="J44" s="43">
        <v>5983798.6600000001</v>
      </c>
      <c r="K44" s="43">
        <v>50111.78</v>
      </c>
      <c r="L44" s="43">
        <v>38758.9</v>
      </c>
      <c r="M44" s="48">
        <f ca="1">'DCF Calc 5'!Q59</f>
        <v>38758.75</v>
      </c>
      <c r="N44" s="43">
        <f ca="1">Loan_Level_Results46911[[#This Row],[NPV]]-Loan_Level_Results46911[[#This Row],[DCF CALC NPV]]</f>
        <v>0.15000000000145519</v>
      </c>
      <c r="O44" s="43">
        <f>Loan_Level_Results46911[[#This Row],[Principal Payment]]+Loan_Level_Results46911[[#This Row],[Interest]]</f>
        <v>46391.41</v>
      </c>
    </row>
    <row r="45" spans="1:15" x14ac:dyDescent="0.3">
      <c r="A45" s="45">
        <v>47177</v>
      </c>
      <c r="B45" s="44">
        <v>44</v>
      </c>
      <c r="C45" s="43">
        <v>5983798.6600000001</v>
      </c>
      <c r="D45" s="43">
        <v>10471.65</v>
      </c>
      <c r="E45" s="43">
        <v>32341.71</v>
      </c>
      <c r="F45" s="43">
        <v>0</v>
      </c>
      <c r="G45" s="43">
        <v>4086.93</v>
      </c>
      <c r="H45" s="43">
        <v>354.31</v>
      </c>
      <c r="I45" s="43">
        <v>3711.42</v>
      </c>
      <c r="J45" s="43">
        <v>5969240.0800000001</v>
      </c>
      <c r="K45" s="43">
        <v>46524.78</v>
      </c>
      <c r="L45" s="43">
        <v>35787.49</v>
      </c>
      <c r="M45" s="48">
        <f ca="1">'DCF Calc 5'!Q60</f>
        <v>35787.339999999997</v>
      </c>
      <c r="N45" s="43">
        <f ca="1">Loan_Level_Results46911[[#This Row],[NPV]]-Loan_Level_Results46911[[#This Row],[DCF CALC NPV]]</f>
        <v>0.15000000000145519</v>
      </c>
      <c r="O45" s="43">
        <f>Loan_Level_Results46911[[#This Row],[Principal Payment]]+Loan_Level_Results46911[[#This Row],[Interest]]</f>
        <v>42813.36</v>
      </c>
    </row>
    <row r="46" spans="1:15" x14ac:dyDescent="0.3">
      <c r="A46" s="45">
        <v>47208</v>
      </c>
      <c r="B46" s="44">
        <v>45</v>
      </c>
      <c r="C46" s="43">
        <v>5969240.0800000001</v>
      </c>
      <c r="D46" s="43">
        <v>10446.17</v>
      </c>
      <c r="E46" s="43">
        <v>35719.769999999997</v>
      </c>
      <c r="F46" s="43">
        <v>0</v>
      </c>
      <c r="G46" s="43">
        <v>4076.99</v>
      </c>
      <c r="H46" s="43">
        <v>353.45</v>
      </c>
      <c r="I46" s="43">
        <v>3702.48</v>
      </c>
      <c r="J46" s="43">
        <v>5954716.9199999999</v>
      </c>
      <c r="K46" s="43">
        <v>49868.42</v>
      </c>
      <c r="L46" s="43">
        <v>38126.980000000003</v>
      </c>
      <c r="M46" s="48">
        <f ca="1">'DCF Calc 5'!Q61</f>
        <v>38126.82</v>
      </c>
      <c r="N46" s="43">
        <f ca="1">Loan_Level_Results46911[[#This Row],[NPV]]-Loan_Level_Results46911[[#This Row],[DCF CALC NPV]]</f>
        <v>0.16000000000349246</v>
      </c>
      <c r="O46" s="43">
        <f>Loan_Level_Results46911[[#This Row],[Principal Payment]]+Loan_Level_Results46911[[#This Row],[Interest]]</f>
        <v>46165.939999999995</v>
      </c>
    </row>
    <row r="47" spans="1:15" x14ac:dyDescent="0.3">
      <c r="A47" s="45">
        <v>47238</v>
      </c>
      <c r="B47" s="44">
        <v>46</v>
      </c>
      <c r="C47" s="43">
        <v>5954716.9199999999</v>
      </c>
      <c r="D47" s="43">
        <v>10420.75</v>
      </c>
      <c r="E47" s="43">
        <v>34483.42</v>
      </c>
      <c r="F47" s="43">
        <v>0</v>
      </c>
      <c r="G47" s="43">
        <v>4067.07</v>
      </c>
      <c r="H47" s="43">
        <v>352.59</v>
      </c>
      <c r="I47" s="43">
        <v>3824.66</v>
      </c>
      <c r="J47" s="43">
        <v>5940229.0999999996</v>
      </c>
      <c r="K47" s="43">
        <v>48728.83</v>
      </c>
      <c r="L47" s="43">
        <v>37037.17</v>
      </c>
      <c r="M47" s="48">
        <f ca="1">'DCF Calc 5'!Q62</f>
        <v>37037.019999999997</v>
      </c>
      <c r="N47" s="43">
        <f ca="1">Loan_Level_Results46911[[#This Row],[NPV]]-Loan_Level_Results46911[[#This Row],[DCF CALC NPV]]</f>
        <v>0.15000000000145519</v>
      </c>
      <c r="O47" s="43">
        <f>Loan_Level_Results46911[[#This Row],[Principal Payment]]+Loan_Level_Results46911[[#This Row],[Interest]]</f>
        <v>44904.17</v>
      </c>
    </row>
    <row r="48" spans="1:15" x14ac:dyDescent="0.3">
      <c r="A48" s="45">
        <v>47269</v>
      </c>
      <c r="B48" s="44">
        <v>47</v>
      </c>
      <c r="C48" s="43">
        <v>5940229.0999999996</v>
      </c>
      <c r="D48" s="43">
        <v>10395.4</v>
      </c>
      <c r="E48" s="43">
        <v>35546.17</v>
      </c>
      <c r="F48" s="43">
        <v>0</v>
      </c>
      <c r="G48" s="43">
        <v>4057.18</v>
      </c>
      <c r="H48" s="43">
        <v>351.73</v>
      </c>
      <c r="I48" s="43">
        <v>3815.35</v>
      </c>
      <c r="J48" s="43">
        <v>5925776.5199999996</v>
      </c>
      <c r="K48" s="43">
        <v>49756.92</v>
      </c>
      <c r="L48" s="43">
        <v>37589.370000000003</v>
      </c>
      <c r="M48" s="48">
        <f ca="1">'DCF Calc 5'!Q63</f>
        <v>37589.22</v>
      </c>
      <c r="N48" s="43">
        <f ca="1">Loan_Level_Results46911[[#This Row],[NPV]]-Loan_Level_Results46911[[#This Row],[DCF CALC NPV]]</f>
        <v>0.15000000000145519</v>
      </c>
      <c r="O48" s="43">
        <f>Loan_Level_Results46911[[#This Row],[Principal Payment]]+Loan_Level_Results46911[[#This Row],[Interest]]</f>
        <v>45941.57</v>
      </c>
    </row>
    <row r="49" spans="1:15" x14ac:dyDescent="0.3">
      <c r="A49" s="45">
        <v>47299</v>
      </c>
      <c r="B49" s="44">
        <v>48</v>
      </c>
      <c r="C49" s="43">
        <v>5925776.5199999996</v>
      </c>
      <c r="D49" s="43">
        <v>10370.11</v>
      </c>
      <c r="E49" s="43">
        <v>34315.83</v>
      </c>
      <c r="F49" s="43">
        <v>0</v>
      </c>
      <c r="G49" s="43">
        <v>4047.31</v>
      </c>
      <c r="H49" s="43">
        <v>350.88</v>
      </c>
      <c r="I49" s="43">
        <v>3806.07</v>
      </c>
      <c r="J49" s="43">
        <v>5911359.0999999996</v>
      </c>
      <c r="K49" s="43">
        <v>48492.01</v>
      </c>
      <c r="L49" s="43">
        <v>36418.9</v>
      </c>
      <c r="M49" s="48">
        <f ca="1">'DCF Calc 5'!Q64</f>
        <v>36418.75</v>
      </c>
      <c r="N49" s="43">
        <f ca="1">Loan_Level_Results46911[[#This Row],[NPV]]-Loan_Level_Results46911[[#This Row],[DCF CALC NPV]]</f>
        <v>0.15000000000145519</v>
      </c>
      <c r="O49" s="43">
        <f>Loan_Level_Results46911[[#This Row],[Principal Payment]]+Loan_Level_Results46911[[#This Row],[Interest]]</f>
        <v>44685.94</v>
      </c>
    </row>
    <row r="50" spans="1:15" x14ac:dyDescent="0.3">
      <c r="A50" s="45">
        <v>47330</v>
      </c>
      <c r="B50" s="44">
        <v>49</v>
      </c>
      <c r="C50" s="43">
        <v>5911359.0999999996</v>
      </c>
      <c r="D50" s="43">
        <v>10344.879999999999</v>
      </c>
      <c r="E50" s="43">
        <v>35373.410000000003</v>
      </c>
      <c r="F50" s="43">
        <v>0</v>
      </c>
      <c r="G50" s="43">
        <v>4037.46</v>
      </c>
      <c r="H50" s="43">
        <v>350.02</v>
      </c>
      <c r="I50" s="43">
        <v>3796.81</v>
      </c>
      <c r="J50" s="43">
        <v>5896976.7599999998</v>
      </c>
      <c r="K50" s="43">
        <v>49515.1</v>
      </c>
      <c r="L50" s="43">
        <v>36961.879999999997</v>
      </c>
      <c r="M50" s="48">
        <f ca="1">'DCF Calc 5'!Q65</f>
        <v>36961.730000000003</v>
      </c>
      <c r="N50" s="43">
        <f ca="1">Loan_Level_Results46911[[#This Row],[NPV]]-Loan_Level_Results46911[[#This Row],[DCF CALC NPV]]</f>
        <v>0.14999999999417923</v>
      </c>
      <c r="O50" s="43">
        <f>Loan_Level_Results46911[[#This Row],[Principal Payment]]+Loan_Level_Results46911[[#This Row],[Interest]]</f>
        <v>45718.29</v>
      </c>
    </row>
    <row r="51" spans="1:15" x14ac:dyDescent="0.3">
      <c r="A51" s="45">
        <v>47361</v>
      </c>
      <c r="B51" s="44">
        <v>50</v>
      </c>
      <c r="C51" s="43">
        <v>5896976.7599999998</v>
      </c>
      <c r="D51" s="43">
        <v>10319.709999999999</v>
      </c>
      <c r="E51" s="43">
        <v>35287.35</v>
      </c>
      <c r="F51" s="43">
        <v>0</v>
      </c>
      <c r="G51" s="43">
        <v>4027.64</v>
      </c>
      <c r="H51" s="43">
        <v>349.17</v>
      </c>
      <c r="I51" s="43">
        <v>3787.58</v>
      </c>
      <c r="J51" s="43">
        <v>5882629.4100000001</v>
      </c>
      <c r="K51" s="43">
        <v>49394.64</v>
      </c>
      <c r="L51" s="43">
        <v>36648.49</v>
      </c>
      <c r="M51" s="48">
        <f ca="1">'DCF Calc 5'!Q66</f>
        <v>36648.339999999997</v>
      </c>
      <c r="N51" s="43">
        <f ca="1">Loan_Level_Results46911[[#This Row],[NPV]]-Loan_Level_Results46911[[#This Row],[DCF CALC NPV]]</f>
        <v>0.15000000000145519</v>
      </c>
      <c r="O51" s="43">
        <f>Loan_Level_Results46911[[#This Row],[Principal Payment]]+Loan_Level_Results46911[[#This Row],[Interest]]</f>
        <v>45607.06</v>
      </c>
    </row>
    <row r="52" spans="1:15" x14ac:dyDescent="0.3">
      <c r="A52" s="45">
        <v>47391</v>
      </c>
      <c r="B52" s="44">
        <v>51</v>
      </c>
      <c r="C52" s="43">
        <v>5882629.4100000001</v>
      </c>
      <c r="D52" s="43">
        <v>10294.6</v>
      </c>
      <c r="E52" s="43">
        <v>34065.96</v>
      </c>
      <c r="F52" s="43">
        <v>0</v>
      </c>
      <c r="G52" s="43">
        <v>4017.84</v>
      </c>
      <c r="H52" s="43">
        <v>348.32</v>
      </c>
      <c r="I52" s="43">
        <v>3778.37</v>
      </c>
      <c r="J52" s="43">
        <v>5868316.9699999997</v>
      </c>
      <c r="K52" s="43">
        <v>48138.93</v>
      </c>
      <c r="L52" s="43">
        <v>35507.300000000003</v>
      </c>
      <c r="M52" s="48">
        <f ca="1">'DCF Calc 5'!Q67</f>
        <v>35507.160000000003</v>
      </c>
      <c r="N52" s="43">
        <f ca="1">Loan_Level_Results46911[[#This Row],[NPV]]-Loan_Level_Results46911[[#This Row],[DCF CALC NPV]]</f>
        <v>0.13999999999941792</v>
      </c>
      <c r="O52" s="43">
        <f>Loan_Level_Results46911[[#This Row],[Principal Payment]]+Loan_Level_Results46911[[#This Row],[Interest]]</f>
        <v>44360.56</v>
      </c>
    </row>
    <row r="53" spans="1:15" x14ac:dyDescent="0.3">
      <c r="A53" s="45">
        <v>47422</v>
      </c>
      <c r="B53" s="44">
        <v>52</v>
      </c>
      <c r="C53" s="43">
        <v>5868316.9699999997</v>
      </c>
      <c r="D53" s="43">
        <v>10269.549999999999</v>
      </c>
      <c r="E53" s="43">
        <v>35115.85</v>
      </c>
      <c r="F53" s="43">
        <v>0</v>
      </c>
      <c r="G53" s="43">
        <v>4008.06</v>
      </c>
      <c r="H53" s="43">
        <v>347.47</v>
      </c>
      <c r="I53" s="43">
        <v>3769.17</v>
      </c>
      <c r="J53" s="43">
        <v>5854039.3600000003</v>
      </c>
      <c r="K53" s="43">
        <v>49154.57</v>
      </c>
      <c r="L53" s="43">
        <v>36036.699999999997</v>
      </c>
      <c r="M53" s="48">
        <f ca="1">'DCF Calc 5'!Q68</f>
        <v>36036.550000000003</v>
      </c>
      <c r="N53" s="43">
        <f ca="1">Loan_Level_Results46911[[#This Row],[NPV]]-Loan_Level_Results46911[[#This Row],[DCF CALC NPV]]</f>
        <v>0.14999999999417923</v>
      </c>
      <c r="O53" s="43">
        <f>Loan_Level_Results46911[[#This Row],[Principal Payment]]+Loan_Level_Results46911[[#This Row],[Interest]]</f>
        <v>45385.399999999994</v>
      </c>
    </row>
    <row r="54" spans="1:15" x14ac:dyDescent="0.3">
      <c r="A54" s="45">
        <v>47452</v>
      </c>
      <c r="B54" s="44">
        <v>53</v>
      </c>
      <c r="C54" s="43">
        <v>5854039.3600000003</v>
      </c>
      <c r="D54" s="43">
        <v>10244.57</v>
      </c>
      <c r="E54" s="43">
        <v>33900.400000000001</v>
      </c>
      <c r="F54" s="43">
        <v>0</v>
      </c>
      <c r="G54" s="43">
        <v>3998.31</v>
      </c>
      <c r="H54" s="43">
        <v>346.63</v>
      </c>
      <c r="I54" s="43">
        <v>3760</v>
      </c>
      <c r="J54" s="43">
        <v>5839796.4800000004</v>
      </c>
      <c r="K54" s="43">
        <v>47904.97</v>
      </c>
      <c r="L54" s="43">
        <v>34914.57</v>
      </c>
      <c r="M54" s="48">
        <f ca="1">'DCF Calc 5'!Q69</f>
        <v>34914.42</v>
      </c>
      <c r="N54" s="43">
        <f ca="1">Loan_Level_Results46911[[#This Row],[NPV]]-Loan_Level_Results46911[[#This Row],[DCF CALC NPV]]</f>
        <v>0.15000000000145519</v>
      </c>
      <c r="O54" s="43">
        <f>Loan_Level_Results46911[[#This Row],[Principal Payment]]+Loan_Level_Results46911[[#This Row],[Interest]]</f>
        <v>44144.97</v>
      </c>
    </row>
    <row r="55" spans="1:15" x14ac:dyDescent="0.3">
      <c r="A55" s="45">
        <v>47483</v>
      </c>
      <c r="B55" s="44">
        <v>54</v>
      </c>
      <c r="C55" s="43">
        <v>5839796.4800000004</v>
      </c>
      <c r="D55" s="43">
        <v>10219.64</v>
      </c>
      <c r="E55" s="43">
        <v>34945.18</v>
      </c>
      <c r="F55" s="43">
        <v>0</v>
      </c>
      <c r="G55" s="43">
        <v>3988.58</v>
      </c>
      <c r="H55" s="43">
        <v>345.79</v>
      </c>
      <c r="I55" s="43">
        <v>3750.85</v>
      </c>
      <c r="J55" s="43">
        <v>5825588.2599999998</v>
      </c>
      <c r="K55" s="43">
        <v>48915.67</v>
      </c>
      <c r="L55" s="43">
        <v>35435.120000000003</v>
      </c>
      <c r="M55" s="48">
        <f ca="1">'DCF Calc 5'!Q70</f>
        <v>35434.97</v>
      </c>
      <c r="N55" s="43">
        <f ca="1">Loan_Level_Results46911[[#This Row],[NPV]]-Loan_Level_Results46911[[#This Row],[DCF CALC NPV]]</f>
        <v>0.15000000000145519</v>
      </c>
      <c r="O55" s="43">
        <f>Loan_Level_Results46911[[#This Row],[Principal Payment]]+Loan_Level_Results46911[[#This Row],[Interest]]</f>
        <v>45164.82</v>
      </c>
    </row>
    <row r="56" spans="1:15" x14ac:dyDescent="0.3">
      <c r="A56" s="45">
        <v>47514</v>
      </c>
      <c r="B56" s="44">
        <v>55</v>
      </c>
      <c r="C56" s="43">
        <v>5825588.2599999998</v>
      </c>
      <c r="D56" s="43">
        <v>10194.780000000001</v>
      </c>
      <c r="E56" s="43">
        <v>34860.160000000003</v>
      </c>
      <c r="F56" s="43">
        <v>0</v>
      </c>
      <c r="G56" s="43">
        <v>3978.88</v>
      </c>
      <c r="H56" s="43">
        <v>344.95</v>
      </c>
      <c r="I56" s="43">
        <v>3741.72</v>
      </c>
      <c r="J56" s="43">
        <v>5811414.5999999996</v>
      </c>
      <c r="K56" s="43">
        <v>48796.66</v>
      </c>
      <c r="L56" s="43">
        <v>35134.67</v>
      </c>
      <c r="M56" s="48">
        <f ca="1">'DCF Calc 5'!Q71</f>
        <v>35134.519999999997</v>
      </c>
      <c r="N56" s="43">
        <f ca="1">Loan_Level_Results46911[[#This Row],[NPV]]-Loan_Level_Results46911[[#This Row],[DCF CALC NPV]]</f>
        <v>0.15000000000145519</v>
      </c>
      <c r="O56" s="43">
        <f>Loan_Level_Results46911[[#This Row],[Principal Payment]]+Loan_Level_Results46911[[#This Row],[Interest]]</f>
        <v>45054.94</v>
      </c>
    </row>
    <row r="57" spans="1:15" x14ac:dyDescent="0.3">
      <c r="A57" s="45">
        <v>47542</v>
      </c>
      <c r="B57" s="44">
        <v>56</v>
      </c>
      <c r="C57" s="43">
        <v>5811414.5999999996</v>
      </c>
      <c r="D57" s="43">
        <v>10169.98</v>
      </c>
      <c r="E57" s="43">
        <v>31409.99</v>
      </c>
      <c r="F57" s="43">
        <v>0</v>
      </c>
      <c r="G57" s="43">
        <v>3969.2</v>
      </c>
      <c r="H57" s="43">
        <v>344.11</v>
      </c>
      <c r="I57" s="43">
        <v>3732.62</v>
      </c>
      <c r="J57" s="43">
        <v>5797275.4199999999</v>
      </c>
      <c r="K57" s="43">
        <v>45312.59</v>
      </c>
      <c r="L57" s="43">
        <v>32447.4</v>
      </c>
      <c r="M57" s="48">
        <f ca="1">'DCF Calc 5'!Q72</f>
        <v>32447.279999999999</v>
      </c>
      <c r="N57" s="43">
        <f ca="1">Loan_Level_Results46911[[#This Row],[NPV]]-Loan_Level_Results46911[[#This Row],[DCF CALC NPV]]</f>
        <v>0.12000000000261934</v>
      </c>
      <c r="O57" s="43">
        <f>Loan_Level_Results46911[[#This Row],[Principal Payment]]+Loan_Level_Results46911[[#This Row],[Interest]]</f>
        <v>41579.97</v>
      </c>
    </row>
    <row r="58" spans="1:15" x14ac:dyDescent="0.3">
      <c r="A58" s="45">
        <v>47573</v>
      </c>
      <c r="B58" s="44">
        <v>57</v>
      </c>
      <c r="C58" s="43">
        <v>5797275.4199999999</v>
      </c>
      <c r="D58" s="43">
        <v>10145.23</v>
      </c>
      <c r="E58" s="43">
        <v>34690.74</v>
      </c>
      <c r="F58" s="43">
        <v>0</v>
      </c>
      <c r="G58" s="43">
        <v>3959.54</v>
      </c>
      <c r="H58" s="43">
        <v>343.27</v>
      </c>
      <c r="I58" s="43">
        <v>3723.54</v>
      </c>
      <c r="J58" s="43">
        <v>5783170.6500000004</v>
      </c>
      <c r="K58" s="43">
        <v>48559.51</v>
      </c>
      <c r="L58" s="43">
        <v>34561.71</v>
      </c>
      <c r="M58" s="48">
        <f ca="1">'DCF Calc 5'!Q73</f>
        <v>34561.56</v>
      </c>
      <c r="N58" s="43">
        <f ca="1">Loan_Level_Results46911[[#This Row],[NPV]]-Loan_Level_Results46911[[#This Row],[DCF CALC NPV]]</f>
        <v>0.15000000000145519</v>
      </c>
      <c r="O58" s="43">
        <f>Loan_Level_Results46911[[#This Row],[Principal Payment]]+Loan_Level_Results46911[[#This Row],[Interest]]</f>
        <v>44835.97</v>
      </c>
    </row>
    <row r="59" spans="1:15" x14ac:dyDescent="0.3">
      <c r="A59" s="45">
        <v>47603</v>
      </c>
      <c r="B59" s="44">
        <v>58</v>
      </c>
      <c r="C59" s="43">
        <v>5783170.6500000004</v>
      </c>
      <c r="D59" s="43">
        <v>5783170.6500000004</v>
      </c>
      <c r="E59" s="43">
        <v>33490</v>
      </c>
      <c r="F59" s="43">
        <v>0</v>
      </c>
      <c r="G59" s="43">
        <v>0</v>
      </c>
      <c r="H59" s="43">
        <v>0</v>
      </c>
      <c r="I59" s="43">
        <v>3714.48</v>
      </c>
      <c r="J59" s="43">
        <v>0</v>
      </c>
      <c r="K59" s="43">
        <v>5820375.1299999999</v>
      </c>
      <c r="L59" s="43">
        <v>4118289.59</v>
      </c>
      <c r="M59" s="48">
        <f ca="1">'DCF Calc 5'!Q74</f>
        <v>4118284.73</v>
      </c>
      <c r="N59" s="43">
        <f ca="1">Loan_Level_Results46911[[#This Row],[NPV]]-Loan_Level_Results46911[[#This Row],[DCF CALC NPV]]</f>
        <v>4.8599999998696148</v>
      </c>
      <c r="O59" s="43">
        <f>Loan_Level_Results46911[[#This Row],[Principal Payment]]+Loan_Level_Results46911[[#This Row],[Interest]]</f>
        <v>5816660.6500000004</v>
      </c>
    </row>
    <row r="60" spans="1:15" x14ac:dyDescent="0.3">
      <c r="A60" s="45">
        <v>47634</v>
      </c>
      <c r="B60" s="44">
        <v>59</v>
      </c>
      <c r="C60" s="43">
        <v>0</v>
      </c>
      <c r="D60" s="43">
        <v>0</v>
      </c>
      <c r="E60" s="43">
        <v>0</v>
      </c>
      <c r="F60" s="43">
        <v>0</v>
      </c>
      <c r="G60" s="43">
        <v>0</v>
      </c>
      <c r="H60" s="43">
        <v>0</v>
      </c>
      <c r="I60" s="43">
        <v>3705.45</v>
      </c>
      <c r="J60" s="43">
        <v>0</v>
      </c>
      <c r="K60" s="43">
        <v>3705.45</v>
      </c>
      <c r="L60" s="43">
        <v>2606.17</v>
      </c>
      <c r="M60" s="48">
        <f ca="1">'DCF Calc 5'!Q75</f>
        <v>2605.9499999999998</v>
      </c>
      <c r="N60" s="43">
        <f ca="1">Loan_Level_Results46911[[#This Row],[NPV]]-Loan_Level_Results46911[[#This Row],[DCF CALC NPV]]</f>
        <v>0.22000000000025466</v>
      </c>
      <c r="O60" s="43">
        <f>Loan_Level_Results46911[[#This Row],[Principal Payment]]+Loan_Level_Results46911[[#This Row],[Interest]]</f>
        <v>0</v>
      </c>
    </row>
    <row r="61" spans="1:15" x14ac:dyDescent="0.3">
      <c r="A61" s="45">
        <v>47664</v>
      </c>
      <c r="B61" s="44">
        <v>60</v>
      </c>
      <c r="C61" s="43">
        <v>0</v>
      </c>
      <c r="D61" s="43">
        <v>0</v>
      </c>
      <c r="E61" s="43">
        <v>0</v>
      </c>
      <c r="F61" s="43">
        <v>0</v>
      </c>
      <c r="G61" s="43">
        <v>0</v>
      </c>
      <c r="H61" s="43">
        <v>0</v>
      </c>
      <c r="I61" s="43">
        <v>3696.43</v>
      </c>
      <c r="J61" s="43">
        <v>0</v>
      </c>
      <c r="K61" s="43">
        <v>3696.43</v>
      </c>
      <c r="L61" s="43">
        <v>2584.36</v>
      </c>
      <c r="M61" s="48">
        <f ca="1">'DCF Calc 5'!Q76</f>
        <v>2584.36</v>
      </c>
      <c r="N61" s="43">
        <f ca="1">Loan_Level_Results46911[[#This Row],[NPV]]-Loan_Level_Results46911[[#This Row],[DCF CALC NPV]]</f>
        <v>0</v>
      </c>
      <c r="O61" s="43">
        <f>Loan_Level_Results46911[[#This Row],[Principal Payment]]+Loan_Level_Results46911[[#This Row],[Interest]]</f>
        <v>0</v>
      </c>
    </row>
    <row r="62" spans="1:15" x14ac:dyDescent="0.3">
      <c r="A62" s="45">
        <v>47695</v>
      </c>
      <c r="B62" s="44">
        <v>61</v>
      </c>
      <c r="C62" s="43">
        <v>0</v>
      </c>
      <c r="D62" s="43">
        <v>0</v>
      </c>
      <c r="E62" s="43">
        <v>0</v>
      </c>
      <c r="F62" s="43">
        <v>0</v>
      </c>
      <c r="G62" s="43">
        <v>0</v>
      </c>
      <c r="H62" s="43">
        <v>0</v>
      </c>
      <c r="I62" s="43">
        <v>3687.44</v>
      </c>
      <c r="J62" s="43">
        <v>0</v>
      </c>
      <c r="K62" s="43">
        <v>3687.44</v>
      </c>
      <c r="L62" s="43">
        <v>2562.7399999999998</v>
      </c>
      <c r="M62" s="48">
        <f ca="1">'DCF Calc 5'!Q77</f>
        <v>2562.4499999999998</v>
      </c>
      <c r="N62" s="43">
        <f ca="1">Loan_Level_Results46911[[#This Row],[NPV]]-Loan_Level_Results46911[[#This Row],[DCF CALC NPV]]</f>
        <v>0.28999999999996362</v>
      </c>
      <c r="O62" s="43">
        <f>Loan_Level_Results46911[[#This Row],[Principal Payment]]+Loan_Level_Results46911[[#This Row],[Interest]]</f>
        <v>0</v>
      </c>
    </row>
    <row r="63" spans="1:15" x14ac:dyDescent="0.3">
      <c r="A63" s="45">
        <v>47726</v>
      </c>
      <c r="B63" s="44">
        <v>62</v>
      </c>
      <c r="C63" s="43">
        <v>0</v>
      </c>
      <c r="D63" s="43">
        <v>0</v>
      </c>
      <c r="E63" s="43">
        <v>0</v>
      </c>
      <c r="F63" s="43">
        <v>0</v>
      </c>
      <c r="G63" s="43">
        <v>0</v>
      </c>
      <c r="H63" s="43">
        <v>0</v>
      </c>
      <c r="I63" s="43">
        <v>3678.47</v>
      </c>
      <c r="J63" s="43">
        <v>0</v>
      </c>
      <c r="K63" s="43">
        <v>3678.47</v>
      </c>
      <c r="L63" s="43">
        <v>2541.31</v>
      </c>
      <c r="M63" s="48">
        <f ca="1">'DCF Calc 5'!Q78</f>
        <v>2540.7199999999998</v>
      </c>
      <c r="N63" s="43">
        <f ca="1">Loan_Level_Results46911[[#This Row],[NPV]]-Loan_Level_Results46911[[#This Row],[DCF CALC NPV]]</f>
        <v>0.59000000000014552</v>
      </c>
      <c r="O63" s="43">
        <f>Loan_Level_Results46911[[#This Row],[Principal Payment]]+Loan_Level_Results46911[[#This Row],[Interest]]</f>
        <v>0</v>
      </c>
    </row>
    <row r="64" spans="1:15" x14ac:dyDescent="0.3">
      <c r="A64" s="45">
        <v>47756</v>
      </c>
      <c r="B64" s="44">
        <v>63</v>
      </c>
      <c r="C64" s="43">
        <v>0</v>
      </c>
      <c r="D64" s="43">
        <v>0</v>
      </c>
      <c r="E64" s="43">
        <v>0</v>
      </c>
      <c r="F64" s="43">
        <v>0</v>
      </c>
      <c r="G64" s="43">
        <v>0</v>
      </c>
      <c r="H64" s="43">
        <v>0</v>
      </c>
      <c r="I64" s="43">
        <v>3669.52</v>
      </c>
      <c r="J64" s="43">
        <v>0</v>
      </c>
      <c r="K64" s="43">
        <v>3669.52</v>
      </c>
      <c r="L64" s="43">
        <v>2520.0500000000002</v>
      </c>
      <c r="M64" s="48">
        <f ca="1">'DCF Calc 5'!Q79</f>
        <v>2519.67</v>
      </c>
      <c r="N64" s="43">
        <f ca="1">Loan_Level_Results46911[[#This Row],[NPV]]-Loan_Level_Results46911[[#This Row],[DCF CALC NPV]]</f>
        <v>0.38000000000010914</v>
      </c>
      <c r="O64" s="43">
        <f>Loan_Level_Results46911[[#This Row],[Principal Payment]]+Loan_Level_Results46911[[#This Row],[Interest]]</f>
        <v>0</v>
      </c>
    </row>
    <row r="65" spans="1:15" x14ac:dyDescent="0.3">
      <c r="A65" s="45">
        <v>47787</v>
      </c>
      <c r="B65" s="44">
        <v>64</v>
      </c>
      <c r="C65" s="43">
        <v>0</v>
      </c>
      <c r="D65" s="43">
        <v>0</v>
      </c>
      <c r="E65" s="43">
        <v>0</v>
      </c>
      <c r="F65" s="43">
        <v>0</v>
      </c>
      <c r="G65" s="43">
        <v>0</v>
      </c>
      <c r="H65" s="43">
        <v>0</v>
      </c>
      <c r="I65" s="43">
        <v>3660.59</v>
      </c>
      <c r="J65" s="43">
        <v>0</v>
      </c>
      <c r="K65" s="43">
        <v>3660.59</v>
      </c>
      <c r="L65" s="43">
        <v>2498.96</v>
      </c>
      <c r="M65" s="48">
        <f ca="1">'DCF Calc 5'!Q80</f>
        <v>2498.31</v>
      </c>
      <c r="N65" s="43">
        <f ca="1">Loan_Level_Results46911[[#This Row],[NPV]]-Loan_Level_Results46911[[#This Row],[DCF CALC NPV]]</f>
        <v>0.65000000000009095</v>
      </c>
      <c r="O65" s="43">
        <f>Loan_Level_Results46911[[#This Row],[Principal Payment]]+Loan_Level_Results46911[[#This Row],[Interest]]</f>
        <v>0</v>
      </c>
    </row>
    <row r="66" spans="1:15" x14ac:dyDescent="0.3">
      <c r="A66" s="45">
        <v>47817</v>
      </c>
      <c r="B66" s="44">
        <v>65</v>
      </c>
      <c r="C66" s="43">
        <v>0</v>
      </c>
      <c r="D66" s="43">
        <v>0</v>
      </c>
      <c r="E66" s="43">
        <v>0</v>
      </c>
      <c r="F66" s="43">
        <v>0</v>
      </c>
      <c r="G66" s="43">
        <v>0</v>
      </c>
      <c r="H66" s="43">
        <v>0</v>
      </c>
      <c r="I66" s="43">
        <v>3651.68</v>
      </c>
      <c r="J66" s="43">
        <v>0</v>
      </c>
      <c r="K66" s="43">
        <v>3651.68</v>
      </c>
      <c r="L66" s="43">
        <v>2478.06</v>
      </c>
      <c r="M66" s="48">
        <f ca="1">'DCF Calc 5'!Q81</f>
        <v>2477.61</v>
      </c>
      <c r="N66" s="43">
        <f ca="1">Loan_Level_Results46911[[#This Row],[NPV]]-Loan_Level_Results46911[[#This Row],[DCF CALC NPV]]</f>
        <v>0.4499999999998181</v>
      </c>
      <c r="O66" s="43">
        <f>Loan_Level_Results46911[[#This Row],[Principal Payment]]+Loan_Level_Results46911[[#This Row],[Interest]]</f>
        <v>0</v>
      </c>
    </row>
    <row r="67" spans="1:15" x14ac:dyDescent="0.3">
      <c r="A67" s="45">
        <v>47848</v>
      </c>
      <c r="B67" s="44">
        <v>66</v>
      </c>
      <c r="C67" s="43">
        <v>0</v>
      </c>
      <c r="D67" s="43">
        <v>0</v>
      </c>
      <c r="E67" s="43">
        <v>0</v>
      </c>
      <c r="F67" s="43">
        <v>0</v>
      </c>
      <c r="G67" s="43">
        <v>0</v>
      </c>
      <c r="H67" s="43">
        <v>0</v>
      </c>
      <c r="I67" s="43">
        <v>3642.79</v>
      </c>
      <c r="J67" s="43">
        <v>0</v>
      </c>
      <c r="K67" s="43">
        <v>3642.79</v>
      </c>
      <c r="L67" s="43">
        <v>2457.3200000000002</v>
      </c>
      <c r="M67" s="48">
        <f ca="1">'DCF Calc 5'!Q82</f>
        <v>2456.6</v>
      </c>
      <c r="N67" s="43">
        <f ca="1">Loan_Level_Results46911[[#This Row],[NPV]]-Loan_Level_Results46911[[#This Row],[DCF CALC NPV]]</f>
        <v>0.72000000000025466</v>
      </c>
      <c r="O67" s="43">
        <f>Loan_Level_Results46911[[#This Row],[Principal Payment]]+Loan_Level_Results46911[[#This Row],[Interest]]</f>
        <v>0</v>
      </c>
    </row>
    <row r="68" spans="1:15" x14ac:dyDescent="0.3">
      <c r="A68" s="45">
        <v>47879</v>
      </c>
      <c r="B68" s="44">
        <v>67</v>
      </c>
      <c r="C68" s="43">
        <v>0</v>
      </c>
      <c r="D68" s="43">
        <v>0</v>
      </c>
      <c r="E68" s="43">
        <v>0</v>
      </c>
      <c r="F68" s="43">
        <v>0</v>
      </c>
      <c r="G68" s="43">
        <v>0</v>
      </c>
      <c r="H68" s="43">
        <v>0</v>
      </c>
      <c r="I68" s="43">
        <v>3633.93</v>
      </c>
      <c r="J68" s="43">
        <v>0</v>
      </c>
      <c r="K68" s="43">
        <v>3633.93</v>
      </c>
      <c r="L68" s="43">
        <v>2436.77</v>
      </c>
      <c r="M68" s="48">
        <f ca="1">'DCF Calc 5'!Q83</f>
        <v>2435.77</v>
      </c>
      <c r="N68" s="43">
        <f ca="1">Loan_Level_Results46911[[#This Row],[NPV]]-Loan_Level_Results46911[[#This Row],[DCF CALC NPV]]</f>
        <v>1</v>
      </c>
      <c r="O68" s="43">
        <f>Loan_Level_Results46911[[#This Row],[Principal Payment]]+Loan_Level_Results46911[[#This Row],[Interest]]</f>
        <v>0</v>
      </c>
    </row>
    <row r="69" spans="1:15" x14ac:dyDescent="0.3">
      <c r="A69" s="45">
        <v>47907</v>
      </c>
      <c r="B69" s="44">
        <v>68</v>
      </c>
      <c r="C69" s="43">
        <v>0</v>
      </c>
      <c r="D69" s="43">
        <v>0</v>
      </c>
      <c r="E69" s="43">
        <v>0</v>
      </c>
      <c r="F69" s="43">
        <v>0</v>
      </c>
      <c r="G69" s="43">
        <v>0</v>
      </c>
      <c r="H69" s="43">
        <v>0</v>
      </c>
      <c r="I69" s="43">
        <v>3625.09</v>
      </c>
      <c r="J69" s="43">
        <v>0</v>
      </c>
      <c r="K69" s="43">
        <v>3625.09</v>
      </c>
      <c r="L69" s="43">
        <v>2416.38</v>
      </c>
      <c r="M69" s="48">
        <f ca="1">'DCF Calc 5'!Q84</f>
        <v>2416.54</v>
      </c>
      <c r="N69" s="43">
        <f ca="1">Loan_Level_Results46911[[#This Row],[NPV]]-Loan_Level_Results46911[[#This Row],[DCF CALC NPV]]</f>
        <v>-0.15999999999985448</v>
      </c>
      <c r="O69" s="43">
        <f>Loan_Level_Results46911[[#This Row],[Principal Payment]]+Loan_Level_Results46911[[#This Row],[Interest]]</f>
        <v>0</v>
      </c>
    </row>
    <row r="70" spans="1:15" x14ac:dyDescent="0.3">
      <c r="A70" s="45">
        <v>47938</v>
      </c>
      <c r="B70" s="44">
        <v>69</v>
      </c>
      <c r="C70" s="43">
        <v>0</v>
      </c>
      <c r="D70" s="43">
        <v>0</v>
      </c>
      <c r="E70" s="43">
        <v>0</v>
      </c>
      <c r="F70" s="43">
        <v>0</v>
      </c>
      <c r="G70" s="43">
        <v>0</v>
      </c>
      <c r="H70" s="43">
        <v>0</v>
      </c>
      <c r="I70" s="43">
        <v>3616.27</v>
      </c>
      <c r="J70" s="43">
        <v>0</v>
      </c>
      <c r="K70" s="43">
        <v>3616.27</v>
      </c>
      <c r="L70" s="43">
        <v>2396.17</v>
      </c>
      <c r="M70" s="48">
        <f ca="1">'DCF Calc 5'!Q85</f>
        <v>2396.0500000000002</v>
      </c>
      <c r="N70" s="43">
        <f ca="1">Loan_Level_Results46911[[#This Row],[NPV]]-Loan_Level_Results46911[[#This Row],[DCF CALC NPV]]</f>
        <v>0.11999999999989086</v>
      </c>
      <c r="O70" s="43">
        <f>Loan_Level_Results46911[[#This Row],[Principal Payment]]+Loan_Level_Results46911[[#This Row],[Interest]]</f>
        <v>0</v>
      </c>
    </row>
    <row r="71" spans="1:15" x14ac:dyDescent="0.3">
      <c r="A71" s="45"/>
      <c r="B71" s="44"/>
      <c r="C71" s="43"/>
      <c r="D71" s="43"/>
      <c r="E71" s="43"/>
      <c r="F71" s="43"/>
      <c r="G71" s="43"/>
      <c r="H71" s="43"/>
      <c r="I71" s="43"/>
      <c r="J71" s="43"/>
      <c r="K71" s="43"/>
      <c r="L71" s="43"/>
      <c r="M71" s="48"/>
      <c r="N71" s="43"/>
      <c r="O71" s="43"/>
    </row>
    <row r="72" spans="1:15" x14ac:dyDescent="0.3">
      <c r="A72" s="45"/>
      <c r="B72" s="44"/>
      <c r="C72" s="43"/>
      <c r="D72" s="43"/>
      <c r="E72" s="43"/>
      <c r="F72" s="43"/>
      <c r="G72" s="43"/>
      <c r="H72" s="43"/>
      <c r="I72" s="43"/>
      <c r="J72" s="43"/>
      <c r="K72" s="43"/>
      <c r="L72" s="43"/>
      <c r="M72" s="48"/>
      <c r="N72" s="43"/>
      <c r="O72" s="43"/>
    </row>
    <row r="73" spans="1:15" x14ac:dyDescent="0.3">
      <c r="A73" s="45"/>
      <c r="B73" s="44"/>
      <c r="C73" s="43"/>
      <c r="D73" s="43"/>
      <c r="E73" s="43"/>
      <c r="F73" s="43"/>
      <c r="G73" s="43"/>
      <c r="H73" s="43"/>
      <c r="I73" s="43"/>
      <c r="J73" s="43"/>
      <c r="K73" s="43"/>
      <c r="L73" s="43"/>
      <c r="M73" s="48"/>
      <c r="N73" s="43"/>
      <c r="O73" s="43"/>
    </row>
    <row r="74" spans="1:15" x14ac:dyDescent="0.3">
      <c r="A74" s="45"/>
      <c r="B74" s="44"/>
      <c r="C74" s="43"/>
      <c r="D74" s="43"/>
      <c r="E74" s="43"/>
      <c r="F74" s="43"/>
      <c r="G74" s="43"/>
      <c r="H74" s="43"/>
      <c r="I74" s="43"/>
      <c r="J74" s="43"/>
      <c r="K74" s="43"/>
      <c r="L74" s="43"/>
      <c r="M74" s="48"/>
      <c r="N74" s="43"/>
      <c r="O74" s="43"/>
    </row>
    <row r="75" spans="1:15" x14ac:dyDescent="0.3">
      <c r="A75" s="45"/>
      <c r="B75" s="44"/>
      <c r="C75" s="43"/>
      <c r="D75" s="43"/>
      <c r="E75" s="43"/>
      <c r="F75" s="43"/>
      <c r="G75" s="43"/>
      <c r="H75" s="43"/>
      <c r="I75" s="43"/>
      <c r="J75" s="43"/>
      <c r="K75" s="43"/>
      <c r="L75" s="43"/>
      <c r="M75" s="48"/>
      <c r="N75" s="43"/>
      <c r="O75" s="43"/>
    </row>
    <row r="76" spans="1:15" x14ac:dyDescent="0.3">
      <c r="A76" s="45"/>
      <c r="B76" s="44"/>
      <c r="C76" s="43"/>
      <c r="D76" s="43"/>
      <c r="E76" s="43"/>
      <c r="F76" s="43"/>
      <c r="G76" s="43"/>
      <c r="H76" s="43"/>
      <c r="I76" s="43"/>
      <c r="J76" s="43"/>
      <c r="K76" s="43"/>
      <c r="L76" s="43"/>
      <c r="M76" s="48"/>
      <c r="N76" s="43"/>
      <c r="O76" s="43"/>
    </row>
    <row r="77" spans="1:15" x14ac:dyDescent="0.3">
      <c r="A77" s="45"/>
      <c r="B77" s="44"/>
      <c r="C77" s="43"/>
      <c r="D77" s="43"/>
      <c r="E77" s="43"/>
      <c r="F77" s="43"/>
      <c r="G77" s="43"/>
      <c r="H77" s="43"/>
      <c r="I77" s="43"/>
      <c r="J77" s="43"/>
      <c r="K77" s="43"/>
      <c r="L77" s="43"/>
      <c r="M77" s="48"/>
      <c r="N77" s="43"/>
      <c r="O77" s="43"/>
    </row>
    <row r="78" spans="1:15" x14ac:dyDescent="0.3">
      <c r="A78" s="45"/>
      <c r="B78" s="44"/>
      <c r="C78" s="43"/>
      <c r="D78" s="43"/>
      <c r="E78" s="43"/>
      <c r="F78" s="43"/>
      <c r="G78" s="43"/>
      <c r="H78" s="43"/>
      <c r="I78" s="43"/>
      <c r="J78" s="43"/>
      <c r="K78" s="43"/>
      <c r="L78" s="43"/>
      <c r="M78" s="48"/>
      <c r="N78" s="43"/>
      <c r="O78" s="43"/>
    </row>
    <row r="79" spans="1:15" x14ac:dyDescent="0.3">
      <c r="A79" s="45"/>
      <c r="B79" s="44"/>
      <c r="C79" s="43"/>
      <c r="D79" s="43"/>
      <c r="E79" s="43"/>
      <c r="F79" s="43"/>
      <c r="G79" s="43"/>
      <c r="H79" s="43"/>
      <c r="I79" s="43"/>
      <c r="J79" s="43"/>
      <c r="K79" s="43"/>
      <c r="L79" s="43"/>
      <c r="M79" s="48"/>
      <c r="N79" s="43"/>
      <c r="O79" s="43"/>
    </row>
    <row r="80" spans="1:15" x14ac:dyDescent="0.3">
      <c r="A80" s="45"/>
      <c r="B80" s="44"/>
      <c r="C80" s="43"/>
      <c r="D80" s="43"/>
      <c r="E80" s="43"/>
      <c r="F80" s="43"/>
      <c r="G80" s="43"/>
      <c r="H80" s="43"/>
      <c r="I80" s="43"/>
      <c r="J80" s="43"/>
      <c r="K80" s="43"/>
      <c r="L80" s="43"/>
      <c r="M80" s="48"/>
      <c r="N80" s="43"/>
      <c r="O80" s="43"/>
    </row>
    <row r="81" spans="1:15" x14ac:dyDescent="0.3">
      <c r="A81" s="45"/>
      <c r="B81" s="44"/>
      <c r="C81" s="43"/>
      <c r="D81" s="43"/>
      <c r="E81" s="43"/>
      <c r="F81" s="43"/>
      <c r="G81" s="43"/>
      <c r="H81" s="43"/>
      <c r="I81" s="43"/>
      <c r="J81" s="43"/>
      <c r="K81" s="43"/>
      <c r="L81" s="43"/>
      <c r="M81" s="48"/>
      <c r="N81" s="43"/>
      <c r="O81" s="43"/>
    </row>
    <row r="82" spans="1:15" x14ac:dyDescent="0.3">
      <c r="A82" s="45"/>
      <c r="B82" s="44"/>
      <c r="C82" s="43"/>
      <c r="D82" s="43"/>
      <c r="E82" s="43"/>
      <c r="F82" s="43"/>
      <c r="G82" s="43"/>
      <c r="H82" s="43"/>
      <c r="I82" s="43"/>
      <c r="J82" s="43"/>
      <c r="K82" s="43"/>
      <c r="L82" s="43"/>
      <c r="M82" s="48"/>
      <c r="N82" s="43"/>
      <c r="O82" s="43"/>
    </row>
    <row r="83" spans="1:15" x14ac:dyDescent="0.3">
      <c r="A83" s="45"/>
      <c r="B83" s="44"/>
      <c r="C83" s="43"/>
      <c r="D83" s="43"/>
      <c r="E83" s="43"/>
      <c r="F83" s="43"/>
      <c r="G83" s="43"/>
      <c r="H83" s="43"/>
      <c r="I83" s="43"/>
      <c r="J83" s="43"/>
      <c r="K83" s="43"/>
      <c r="L83" s="43"/>
      <c r="M83" s="48"/>
      <c r="N83" s="43"/>
      <c r="O83" s="43"/>
    </row>
    <row r="84" spans="1:15" x14ac:dyDescent="0.3">
      <c r="A84" s="45"/>
      <c r="B84" s="44"/>
      <c r="C84" s="43"/>
      <c r="D84" s="43"/>
      <c r="E84" s="43"/>
      <c r="F84" s="43"/>
      <c r="G84" s="43"/>
      <c r="H84" s="43"/>
      <c r="I84" s="43"/>
      <c r="J84" s="43"/>
      <c r="K84" s="43"/>
      <c r="L84" s="43"/>
      <c r="M84" s="48"/>
      <c r="N84" s="43"/>
      <c r="O84" s="43"/>
    </row>
    <row r="85" spans="1:15" x14ac:dyDescent="0.3">
      <c r="A85" s="45"/>
      <c r="B85" s="44"/>
      <c r="C85" s="43"/>
      <c r="D85" s="43"/>
      <c r="E85" s="43"/>
      <c r="F85" s="43"/>
      <c r="G85" s="43"/>
      <c r="H85" s="43"/>
      <c r="I85" s="43"/>
      <c r="J85" s="43"/>
      <c r="K85" s="43"/>
      <c r="L85" s="43"/>
      <c r="M85" s="48"/>
      <c r="N85" s="43"/>
      <c r="O85" s="43"/>
    </row>
    <row r="86" spans="1:15" x14ac:dyDescent="0.3">
      <c r="A86" s="45"/>
      <c r="B86" s="44"/>
      <c r="C86" s="43"/>
      <c r="D86" s="43"/>
      <c r="E86" s="43"/>
      <c r="F86" s="43"/>
      <c r="G86" s="43"/>
      <c r="H86" s="43"/>
      <c r="I86" s="43"/>
      <c r="J86" s="43"/>
      <c r="K86" s="43"/>
      <c r="L86" s="43"/>
      <c r="M86" s="48"/>
      <c r="N86" s="43"/>
      <c r="O86" s="43"/>
    </row>
    <row r="87" spans="1:15" x14ac:dyDescent="0.3">
      <c r="A87" s="45"/>
      <c r="B87" s="44"/>
      <c r="C87" s="43"/>
      <c r="D87" s="43"/>
      <c r="E87" s="43"/>
      <c r="F87" s="43"/>
      <c r="G87" s="43"/>
      <c r="H87" s="43"/>
      <c r="I87" s="43"/>
      <c r="J87" s="43"/>
      <c r="K87" s="43"/>
      <c r="L87" s="43"/>
      <c r="M87" s="48"/>
      <c r="N87" s="43"/>
      <c r="O87" s="43"/>
    </row>
    <row r="88" spans="1:15" x14ac:dyDescent="0.3">
      <c r="A88" s="45"/>
      <c r="B88" s="44"/>
      <c r="C88" s="43"/>
      <c r="D88" s="43"/>
      <c r="E88" s="43"/>
      <c r="F88" s="43"/>
      <c r="G88" s="43"/>
      <c r="H88" s="43"/>
      <c r="I88" s="43"/>
      <c r="J88" s="43"/>
      <c r="K88" s="43"/>
      <c r="L88" s="43"/>
      <c r="M88" s="48"/>
      <c r="N88" s="43"/>
      <c r="O88" s="43"/>
    </row>
    <row r="89" spans="1:15" x14ac:dyDescent="0.3">
      <c r="A89" s="45"/>
      <c r="B89" s="44"/>
      <c r="C89" s="43"/>
      <c r="D89" s="43"/>
      <c r="E89" s="43"/>
      <c r="F89" s="43"/>
      <c r="G89" s="43"/>
      <c r="H89" s="43"/>
      <c r="I89" s="43"/>
      <c r="J89" s="43"/>
      <c r="K89" s="43"/>
      <c r="L89" s="43"/>
      <c r="M89" s="48"/>
      <c r="N89" s="43"/>
      <c r="O89" s="43"/>
    </row>
    <row r="90" spans="1:15" x14ac:dyDescent="0.3">
      <c r="A90" s="45"/>
      <c r="B90" s="44"/>
      <c r="C90" s="43"/>
      <c r="D90" s="43"/>
      <c r="E90" s="43"/>
      <c r="F90" s="43"/>
      <c r="G90" s="43"/>
      <c r="H90" s="43"/>
      <c r="I90" s="43"/>
      <c r="J90" s="43"/>
      <c r="K90" s="43"/>
      <c r="L90" s="43"/>
      <c r="M90" s="48"/>
      <c r="N90" s="43"/>
      <c r="O90" s="43"/>
    </row>
    <row r="91" spans="1:15" x14ac:dyDescent="0.3">
      <c r="A91" s="45"/>
      <c r="B91" s="44"/>
      <c r="C91" s="43"/>
      <c r="D91" s="43"/>
      <c r="E91" s="43"/>
      <c r="F91" s="43"/>
      <c r="G91" s="43"/>
      <c r="H91" s="43"/>
      <c r="I91" s="43"/>
      <c r="J91" s="43"/>
      <c r="K91" s="43"/>
      <c r="L91" s="43"/>
      <c r="M91" s="48"/>
      <c r="N91" s="43"/>
      <c r="O91" s="43"/>
    </row>
    <row r="92" spans="1:15" x14ac:dyDescent="0.3">
      <c r="A92" s="45"/>
      <c r="B92" s="44"/>
      <c r="C92" s="43"/>
      <c r="D92" s="43"/>
      <c r="E92" s="43"/>
      <c r="F92" s="43"/>
      <c r="G92" s="43"/>
      <c r="H92" s="43"/>
      <c r="I92" s="43"/>
      <c r="J92" s="43"/>
      <c r="K92" s="43"/>
      <c r="L92" s="43"/>
      <c r="M92" s="48"/>
      <c r="N92" s="43"/>
      <c r="O92" s="43"/>
    </row>
    <row r="93" spans="1:15" x14ac:dyDescent="0.3">
      <c r="A93" s="45"/>
      <c r="B93" s="44"/>
      <c r="C93" s="43"/>
      <c r="D93" s="43"/>
      <c r="E93" s="43"/>
      <c r="F93" s="43"/>
      <c r="G93" s="43"/>
      <c r="H93" s="43"/>
      <c r="I93" s="43"/>
      <c r="J93" s="43"/>
      <c r="K93" s="43"/>
      <c r="L93" s="43"/>
      <c r="M93" s="48"/>
      <c r="N93" s="43"/>
      <c r="O93" s="43"/>
    </row>
    <row r="94" spans="1:15" x14ac:dyDescent="0.3">
      <c r="A94" s="45"/>
      <c r="B94" s="44"/>
      <c r="C94" s="43"/>
      <c r="D94" s="43"/>
      <c r="E94" s="43"/>
      <c r="F94" s="43"/>
      <c r="G94" s="43"/>
      <c r="H94" s="43"/>
      <c r="I94" s="43"/>
      <c r="J94" s="43"/>
      <c r="K94" s="43"/>
      <c r="L94" s="43"/>
      <c r="M94" s="48"/>
      <c r="N94" s="43"/>
      <c r="O94" s="43"/>
    </row>
    <row r="95" spans="1:15" x14ac:dyDescent="0.3">
      <c r="A95" s="45"/>
      <c r="B95" s="44"/>
      <c r="C95" s="43"/>
      <c r="D95" s="43"/>
      <c r="E95" s="43"/>
      <c r="F95" s="43"/>
      <c r="G95" s="43"/>
      <c r="H95" s="43"/>
      <c r="I95" s="43"/>
      <c r="J95" s="43"/>
      <c r="K95" s="43"/>
      <c r="L95" s="43"/>
      <c r="M95" s="48"/>
      <c r="N95" s="43"/>
      <c r="O95" s="43"/>
    </row>
    <row r="96" spans="1:15" x14ac:dyDescent="0.3">
      <c r="A96" s="45"/>
      <c r="B96" s="44"/>
      <c r="C96" s="43"/>
      <c r="D96" s="43"/>
      <c r="E96" s="43"/>
      <c r="F96" s="43"/>
      <c r="G96" s="43"/>
      <c r="H96" s="43"/>
      <c r="I96" s="43"/>
      <c r="J96" s="43"/>
      <c r="K96" s="43"/>
      <c r="L96" s="43"/>
      <c r="M96" s="48"/>
      <c r="N96" s="43"/>
      <c r="O96" s="43"/>
    </row>
    <row r="97" spans="1:15" x14ac:dyDescent="0.3">
      <c r="A97" s="45"/>
      <c r="B97" s="44"/>
      <c r="C97" s="43"/>
      <c r="D97" s="43"/>
      <c r="E97" s="43"/>
      <c r="F97" s="43"/>
      <c r="G97" s="43"/>
      <c r="H97" s="43"/>
      <c r="I97" s="43"/>
      <c r="J97" s="43"/>
      <c r="K97" s="43"/>
      <c r="L97" s="43"/>
      <c r="M97" s="48"/>
      <c r="N97" s="43"/>
      <c r="O97" s="43"/>
    </row>
    <row r="98" spans="1:15" x14ac:dyDescent="0.3">
      <c r="A98" s="45"/>
      <c r="B98" s="44"/>
      <c r="C98" s="43"/>
      <c r="D98" s="43"/>
      <c r="E98" s="43"/>
      <c r="F98" s="43"/>
      <c r="G98" s="43"/>
      <c r="H98" s="43"/>
      <c r="I98" s="43"/>
      <c r="J98" s="43"/>
      <c r="K98" s="43"/>
      <c r="L98" s="43"/>
      <c r="M98" s="48"/>
      <c r="N98" s="43"/>
      <c r="O98" s="43"/>
    </row>
    <row r="99" spans="1:15" x14ac:dyDescent="0.3">
      <c r="A99" s="45"/>
      <c r="B99" s="44"/>
      <c r="C99" s="43"/>
      <c r="D99" s="43"/>
      <c r="E99" s="43"/>
      <c r="F99" s="43"/>
      <c r="G99" s="43"/>
      <c r="H99" s="43"/>
      <c r="I99" s="43"/>
      <c r="J99" s="43"/>
      <c r="K99" s="43"/>
      <c r="L99" s="43"/>
      <c r="M99" s="48"/>
      <c r="N99" s="43"/>
      <c r="O99" s="43"/>
    </row>
    <row r="100" spans="1:15" x14ac:dyDescent="0.3">
      <c r="A100" s="45"/>
      <c r="B100" s="44"/>
      <c r="C100" s="43"/>
      <c r="D100" s="43"/>
      <c r="E100" s="43"/>
      <c r="F100" s="43"/>
      <c r="G100" s="43"/>
      <c r="H100" s="43"/>
      <c r="I100" s="43"/>
      <c r="J100" s="43"/>
      <c r="K100" s="43"/>
      <c r="L100" s="43"/>
      <c r="M100" s="48"/>
      <c r="N100" s="43"/>
      <c r="O100" s="43"/>
    </row>
    <row r="101" spans="1:15" x14ac:dyDescent="0.3">
      <c r="A101" s="45"/>
      <c r="B101" s="44"/>
      <c r="C101" s="43"/>
      <c r="D101" s="43"/>
      <c r="E101" s="43"/>
      <c r="F101" s="43"/>
      <c r="G101" s="43"/>
      <c r="H101" s="43"/>
      <c r="I101" s="43"/>
      <c r="J101" s="43"/>
      <c r="K101" s="43"/>
      <c r="L101" s="43"/>
      <c r="M101" s="48"/>
      <c r="N101" s="43"/>
      <c r="O101" s="43"/>
    </row>
    <row r="102" spans="1:15" x14ac:dyDescent="0.3">
      <c r="A102" s="45"/>
      <c r="B102" s="44"/>
      <c r="C102" s="43"/>
      <c r="D102" s="43"/>
      <c r="E102" s="43"/>
      <c r="F102" s="43"/>
      <c r="G102" s="43"/>
      <c r="H102" s="43"/>
      <c r="I102" s="43"/>
      <c r="J102" s="43"/>
      <c r="K102" s="43"/>
      <c r="L102" s="43"/>
      <c r="M102" s="48"/>
      <c r="N102" s="43"/>
      <c r="O102" s="43"/>
    </row>
    <row r="103" spans="1:15" x14ac:dyDescent="0.3">
      <c r="A103" s="45"/>
      <c r="B103" s="44"/>
      <c r="C103" s="43"/>
      <c r="D103" s="43"/>
      <c r="E103" s="43"/>
      <c r="F103" s="43"/>
      <c r="G103" s="43"/>
      <c r="H103" s="43"/>
      <c r="I103" s="43"/>
      <c r="J103" s="43"/>
      <c r="K103" s="43"/>
      <c r="L103" s="43"/>
      <c r="M103" s="48"/>
      <c r="N103" s="43"/>
      <c r="O103" s="43"/>
    </row>
    <row r="104" spans="1:15" x14ac:dyDescent="0.3">
      <c r="A104" s="45"/>
      <c r="B104" s="44"/>
      <c r="C104" s="43"/>
      <c r="D104" s="43"/>
      <c r="E104" s="43"/>
      <c r="F104" s="43"/>
      <c r="G104" s="43"/>
      <c r="H104" s="43"/>
      <c r="I104" s="43"/>
      <c r="J104" s="43"/>
      <c r="K104" s="43"/>
      <c r="L104" s="43"/>
      <c r="M104" s="48"/>
      <c r="N104" s="43"/>
      <c r="O104" s="43"/>
    </row>
    <row r="105" spans="1:15" x14ac:dyDescent="0.3">
      <c r="A105" s="45"/>
      <c r="B105" s="44"/>
      <c r="C105" s="43"/>
      <c r="D105" s="43"/>
      <c r="E105" s="43"/>
      <c r="F105" s="43"/>
      <c r="G105" s="43"/>
      <c r="H105" s="43"/>
      <c r="I105" s="43"/>
      <c r="J105" s="43"/>
      <c r="K105" s="43"/>
      <c r="L105" s="43"/>
      <c r="M105" s="48"/>
      <c r="N105" s="43"/>
      <c r="O105" s="43"/>
    </row>
    <row r="106" spans="1:15" x14ac:dyDescent="0.3">
      <c r="A106" s="45"/>
      <c r="B106" s="44"/>
      <c r="C106" s="43"/>
      <c r="D106" s="43"/>
      <c r="E106" s="43"/>
      <c r="F106" s="43"/>
      <c r="G106" s="43"/>
      <c r="H106" s="43"/>
      <c r="I106" s="43"/>
      <c r="J106" s="43"/>
      <c r="K106" s="43"/>
      <c r="L106" s="43"/>
      <c r="M106" s="48"/>
      <c r="N106" s="43"/>
      <c r="O106" s="43"/>
    </row>
    <row r="107" spans="1:15" x14ac:dyDescent="0.3">
      <c r="A107" s="45"/>
      <c r="B107" s="44"/>
      <c r="C107" s="43"/>
      <c r="D107" s="43"/>
      <c r="E107" s="43"/>
      <c r="F107" s="43"/>
      <c r="G107" s="43"/>
      <c r="H107" s="43"/>
      <c r="I107" s="43"/>
      <c r="J107" s="43"/>
      <c r="K107" s="43"/>
      <c r="L107" s="43"/>
      <c r="M107" s="48"/>
      <c r="N107" s="43"/>
      <c r="O107" s="43"/>
    </row>
    <row r="108" spans="1:15" x14ac:dyDescent="0.3">
      <c r="A108" s="45"/>
      <c r="B108" s="44"/>
      <c r="C108" s="43"/>
      <c r="D108" s="43"/>
      <c r="E108" s="43"/>
      <c r="F108" s="43"/>
      <c r="G108" s="43"/>
      <c r="H108" s="43"/>
      <c r="I108" s="43"/>
      <c r="J108" s="43"/>
      <c r="K108" s="43"/>
      <c r="L108" s="43"/>
      <c r="M108" s="48"/>
      <c r="N108" s="43"/>
      <c r="O108" s="43"/>
    </row>
    <row r="109" spans="1:15" x14ac:dyDescent="0.3">
      <c r="A109" s="45"/>
      <c r="B109" s="44"/>
      <c r="C109" s="43"/>
      <c r="D109" s="43"/>
      <c r="E109" s="43"/>
      <c r="F109" s="43"/>
      <c r="G109" s="43"/>
      <c r="H109" s="43"/>
      <c r="I109" s="43"/>
      <c r="J109" s="43"/>
      <c r="K109" s="43"/>
      <c r="L109" s="43"/>
      <c r="M109" s="48"/>
      <c r="N109" s="43"/>
      <c r="O109" s="43"/>
    </row>
    <row r="110" spans="1:15" x14ac:dyDescent="0.3">
      <c r="A110" s="45"/>
      <c r="B110" s="44"/>
      <c r="C110" s="43"/>
      <c r="D110" s="43"/>
      <c r="E110" s="43"/>
      <c r="F110" s="43"/>
      <c r="G110" s="43"/>
      <c r="H110" s="43"/>
      <c r="I110" s="43"/>
      <c r="J110" s="43"/>
      <c r="K110" s="43"/>
      <c r="L110" s="43"/>
      <c r="M110" s="48"/>
      <c r="N110" s="43"/>
      <c r="O110" s="43"/>
    </row>
    <row r="111" spans="1:15" x14ac:dyDescent="0.3">
      <c r="A111" s="45"/>
      <c r="B111" s="44"/>
      <c r="C111" s="43"/>
      <c r="D111" s="43"/>
      <c r="E111" s="43"/>
      <c r="F111" s="43"/>
      <c r="G111" s="43"/>
      <c r="H111" s="43"/>
      <c r="I111" s="43"/>
      <c r="J111" s="43"/>
      <c r="K111" s="43"/>
      <c r="L111" s="43"/>
      <c r="M111" s="48"/>
      <c r="N111" s="43"/>
      <c r="O111" s="43"/>
    </row>
    <row r="112" spans="1:15" x14ac:dyDescent="0.3">
      <c r="A112" s="45"/>
      <c r="B112" s="44"/>
      <c r="C112" s="43"/>
      <c r="D112" s="43"/>
      <c r="E112" s="43"/>
      <c r="F112" s="43"/>
      <c r="G112" s="43"/>
      <c r="H112" s="43"/>
      <c r="I112" s="43"/>
      <c r="J112" s="43"/>
      <c r="K112" s="43"/>
      <c r="L112" s="43"/>
      <c r="M112" s="48"/>
      <c r="N112" s="43"/>
      <c r="O112" s="43"/>
    </row>
    <row r="113" spans="1:15" x14ac:dyDescent="0.3">
      <c r="A113" s="45"/>
      <c r="B113" s="44"/>
      <c r="C113" s="43"/>
      <c r="D113" s="43"/>
      <c r="E113" s="43"/>
      <c r="F113" s="43"/>
      <c r="G113" s="43"/>
      <c r="H113" s="43"/>
      <c r="I113" s="43"/>
      <c r="J113" s="43"/>
      <c r="K113" s="43"/>
      <c r="L113" s="43"/>
      <c r="M113" s="48"/>
      <c r="N113" s="43"/>
      <c r="O113" s="43"/>
    </row>
    <row r="114" spans="1:15" x14ac:dyDescent="0.3">
      <c r="A114" s="45"/>
      <c r="B114" s="44"/>
      <c r="C114" s="43"/>
      <c r="D114" s="43"/>
      <c r="E114" s="43"/>
      <c r="F114" s="43"/>
      <c r="G114" s="43"/>
      <c r="H114" s="43"/>
      <c r="I114" s="43"/>
      <c r="J114" s="43"/>
      <c r="K114" s="43"/>
      <c r="L114" s="43"/>
      <c r="M114" s="48"/>
      <c r="N114" s="43"/>
      <c r="O114" s="43"/>
    </row>
    <row r="115" spans="1:15" x14ac:dyDescent="0.3">
      <c r="A115" s="45"/>
      <c r="B115" s="44"/>
      <c r="C115" s="43"/>
      <c r="D115" s="43"/>
      <c r="E115" s="43"/>
      <c r="F115" s="43"/>
      <c r="G115" s="43"/>
      <c r="H115" s="43"/>
      <c r="I115" s="43"/>
      <c r="J115" s="43"/>
      <c r="K115" s="43"/>
      <c r="L115" s="43"/>
      <c r="M115" s="48"/>
      <c r="N115" s="43"/>
      <c r="O115" s="43"/>
    </row>
    <row r="116" spans="1:15" x14ac:dyDescent="0.3">
      <c r="A116" s="45"/>
      <c r="B116" s="44"/>
      <c r="C116" s="43"/>
      <c r="D116" s="43"/>
      <c r="E116" s="43"/>
      <c r="F116" s="43"/>
      <c r="G116" s="43"/>
      <c r="H116" s="43"/>
      <c r="I116" s="43"/>
      <c r="J116" s="43"/>
      <c r="K116" s="43"/>
      <c r="L116" s="43"/>
      <c r="M116" s="48"/>
      <c r="N116" s="43"/>
      <c r="O116" s="43"/>
    </row>
    <row r="117" spans="1:15" x14ac:dyDescent="0.3">
      <c r="A117" s="45"/>
      <c r="B117" s="44"/>
      <c r="C117" s="43"/>
      <c r="D117" s="43"/>
      <c r="E117" s="43"/>
      <c r="F117" s="43"/>
      <c r="G117" s="43"/>
      <c r="H117" s="43"/>
      <c r="I117" s="43"/>
      <c r="J117" s="43"/>
      <c r="K117" s="43"/>
      <c r="L117" s="43"/>
      <c r="M117" s="48"/>
      <c r="N117" s="43"/>
      <c r="O117" s="43"/>
    </row>
    <row r="118" spans="1:15" x14ac:dyDescent="0.3">
      <c r="A118" s="45"/>
      <c r="B118" s="44"/>
      <c r="C118" s="43"/>
      <c r="D118" s="43"/>
      <c r="E118" s="43"/>
      <c r="F118" s="43"/>
      <c r="G118" s="43"/>
      <c r="H118" s="43"/>
      <c r="I118" s="43"/>
      <c r="J118" s="43"/>
      <c r="K118" s="43"/>
      <c r="L118" s="43"/>
      <c r="M118" s="48"/>
      <c r="N118" s="43"/>
      <c r="O118" s="43"/>
    </row>
    <row r="119" spans="1:15" x14ac:dyDescent="0.3">
      <c r="A119" s="45"/>
      <c r="B119" s="44"/>
      <c r="C119" s="43"/>
      <c r="D119" s="43"/>
      <c r="E119" s="43"/>
      <c r="F119" s="43"/>
      <c r="G119" s="43"/>
      <c r="H119" s="43"/>
      <c r="I119" s="43"/>
      <c r="J119" s="43"/>
      <c r="K119" s="43"/>
      <c r="L119" s="43"/>
      <c r="M119" s="48"/>
      <c r="N119" s="43"/>
      <c r="O119" s="43"/>
    </row>
    <row r="120" spans="1:15" x14ac:dyDescent="0.3">
      <c r="A120" s="45"/>
      <c r="B120" s="44"/>
      <c r="C120" s="43"/>
      <c r="D120" s="43"/>
      <c r="E120" s="43"/>
      <c r="F120" s="43"/>
      <c r="G120" s="43"/>
      <c r="H120" s="43"/>
      <c r="I120" s="43"/>
      <c r="J120" s="43"/>
      <c r="K120" s="43"/>
      <c r="L120" s="43"/>
      <c r="M120" s="48"/>
      <c r="N120" s="43"/>
      <c r="O120" s="43"/>
    </row>
    <row r="121" spans="1:15" x14ac:dyDescent="0.3">
      <c r="A121" s="45"/>
      <c r="B121" s="44"/>
      <c r="C121" s="43"/>
      <c r="D121" s="43"/>
      <c r="E121" s="43"/>
      <c r="F121" s="43"/>
      <c r="G121" s="43"/>
      <c r="H121" s="43"/>
      <c r="I121" s="43"/>
      <c r="J121" s="43"/>
      <c r="K121" s="43"/>
      <c r="L121" s="43"/>
      <c r="M121" s="48"/>
      <c r="N121" s="43"/>
      <c r="O121" s="43"/>
    </row>
    <row r="122" spans="1:15" x14ac:dyDescent="0.3">
      <c r="A122" s="45"/>
      <c r="B122" s="44"/>
      <c r="C122" s="43"/>
      <c r="D122" s="43"/>
      <c r="E122" s="43"/>
      <c r="F122" s="43"/>
      <c r="G122" s="43"/>
      <c r="H122" s="43"/>
      <c r="I122" s="43"/>
      <c r="J122" s="43"/>
      <c r="K122" s="43"/>
      <c r="L122" s="43"/>
      <c r="M122" s="48"/>
      <c r="N122" s="43"/>
      <c r="O122" s="43"/>
    </row>
    <row r="123" spans="1:15" x14ac:dyDescent="0.3">
      <c r="A123" s="45"/>
      <c r="B123" s="44"/>
      <c r="C123" s="43"/>
      <c r="D123" s="43"/>
      <c r="E123" s="43"/>
      <c r="F123" s="43"/>
      <c r="G123" s="43"/>
      <c r="H123" s="43"/>
      <c r="I123" s="43"/>
      <c r="J123" s="43"/>
      <c r="K123" s="43"/>
      <c r="L123" s="43"/>
      <c r="M123" s="48"/>
      <c r="N123" s="43"/>
      <c r="O123" s="43"/>
    </row>
    <row r="124" spans="1:15" x14ac:dyDescent="0.3">
      <c r="A124" s="45"/>
      <c r="B124" s="44"/>
      <c r="C124" s="43"/>
      <c r="D124" s="43"/>
      <c r="E124" s="43"/>
      <c r="F124" s="43"/>
      <c r="G124" s="43"/>
      <c r="H124" s="43"/>
      <c r="I124" s="43"/>
      <c r="J124" s="43"/>
      <c r="K124" s="43"/>
      <c r="L124" s="43"/>
      <c r="M124" s="48"/>
      <c r="N124" s="43"/>
      <c r="O124" s="43"/>
    </row>
    <row r="125" spans="1:15" x14ac:dyDescent="0.3">
      <c r="A125" s="45"/>
      <c r="B125" s="44"/>
      <c r="C125" s="43"/>
      <c r="D125" s="43"/>
      <c r="E125" s="43"/>
      <c r="F125" s="43"/>
      <c r="G125" s="43"/>
      <c r="H125" s="43"/>
      <c r="I125" s="43"/>
      <c r="J125" s="43"/>
      <c r="K125" s="43"/>
      <c r="L125" s="43"/>
      <c r="M125" s="48"/>
      <c r="N125" s="43"/>
      <c r="O125" s="43"/>
    </row>
    <row r="126" spans="1:15" x14ac:dyDescent="0.3">
      <c r="A126" s="45"/>
      <c r="B126" s="44"/>
      <c r="C126" s="43"/>
      <c r="D126" s="43"/>
      <c r="E126" s="43"/>
      <c r="F126" s="43"/>
      <c r="G126" s="43"/>
      <c r="H126" s="43"/>
      <c r="I126" s="43"/>
      <c r="J126" s="43"/>
      <c r="K126" s="43"/>
      <c r="L126" s="43"/>
      <c r="M126" s="48"/>
      <c r="N126" s="43"/>
      <c r="O126" s="43"/>
    </row>
    <row r="127" spans="1:15" x14ac:dyDescent="0.3">
      <c r="A127" s="45"/>
      <c r="B127" s="44"/>
      <c r="C127" s="43"/>
      <c r="D127" s="43"/>
      <c r="E127" s="43"/>
      <c r="F127" s="43"/>
      <c r="G127" s="43"/>
      <c r="H127" s="43"/>
      <c r="I127" s="43"/>
      <c r="J127" s="43"/>
      <c r="K127" s="43"/>
      <c r="L127" s="43"/>
      <c r="M127" s="48"/>
      <c r="N127" s="43"/>
      <c r="O127"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F867F-5267-4D19-8123-6D0967D818BB}">
  <sheetPr codeName="Sheet9">
    <pageSetUpPr autoPageBreaks="0" fitToPage="1"/>
  </sheetPr>
  <dimension ref="B2:T385"/>
  <sheetViews>
    <sheetView showFormulas="1" workbookViewId="0">
      <selection activeCell="D14" sqref="D14"/>
    </sheetView>
  </sheetViews>
  <sheetFormatPr defaultColWidth="9.109375" defaultRowHeight="10.199999999999999" x14ac:dyDescent="0.2"/>
  <cols>
    <col min="1" max="1" width="2.6640625" style="2" customWidth="1"/>
    <col min="2" max="2" width="17.88671875" style="2" bestFit="1" customWidth="1"/>
    <col min="3" max="3" width="15.6640625" style="2" bestFit="1" customWidth="1"/>
    <col min="4" max="4" width="14" style="2" customWidth="1"/>
    <col min="5" max="5" width="20.44140625" style="2" customWidth="1"/>
    <col min="6" max="6" width="9.5546875" style="2" customWidth="1"/>
    <col min="7" max="7" width="25.5546875" style="22" customWidth="1"/>
    <col min="8" max="8" width="18.33203125" style="2" bestFit="1" customWidth="1"/>
    <col min="9" max="9" width="19.88671875" style="2" customWidth="1"/>
    <col min="10" max="10" width="14.44140625" style="2" customWidth="1"/>
    <col min="11" max="11" width="13.33203125" style="2" bestFit="1" customWidth="1"/>
    <col min="12" max="12" width="19.33203125" style="2" customWidth="1"/>
    <col min="13" max="13" width="15.44140625" style="2" customWidth="1"/>
    <col min="14" max="14" width="12.5546875" style="2" customWidth="1"/>
    <col min="15" max="15" width="16.109375" style="2" customWidth="1"/>
    <col min="16" max="16" width="11.88671875" style="2" bestFit="1" customWidth="1"/>
    <col min="17" max="17" width="12.6640625" style="2" bestFit="1" customWidth="1"/>
    <col min="18" max="18" width="12.5546875" style="2" bestFit="1" customWidth="1"/>
    <col min="19" max="19" width="12.33203125" style="2" bestFit="1" customWidth="1"/>
    <col min="20" max="20" width="18" style="2" bestFit="1" customWidth="1"/>
    <col min="21" max="16384" width="9.109375" style="2"/>
  </cols>
  <sheetData>
    <row r="2" spans="2:20" ht="12" x14ac:dyDescent="0.25">
      <c r="B2" s="7" t="s">
        <v>8</v>
      </c>
      <c r="C2" s="54">
        <v>8687693.5099999998</v>
      </c>
      <c r="D2" s="7" t="s">
        <v>1</v>
      </c>
      <c r="E2" s="24"/>
      <c r="F2" s="24"/>
      <c r="G2" s="24"/>
      <c r="I2" s="58" t="s">
        <v>9</v>
      </c>
      <c r="J2" s="58"/>
      <c r="L2" s="7" t="s">
        <v>10</v>
      </c>
      <c r="M2" s="12">
        <f ca="1">SUM(Table15781012[Present Value])</f>
        <v>8615666.1499999985</v>
      </c>
    </row>
    <row r="3" spans="2:20" ht="12" x14ac:dyDescent="0.25">
      <c r="B3" s="7" t="s">
        <v>11</v>
      </c>
      <c r="C3" s="13" t="s">
        <v>12</v>
      </c>
      <c r="D3" s="7" t="s">
        <v>13</v>
      </c>
      <c r="E3" s="25"/>
      <c r="F3" s="25"/>
      <c r="G3" s="25"/>
      <c r="H3" s="20"/>
      <c r="I3" s="8" t="s">
        <v>14</v>
      </c>
      <c r="J3" s="11">
        <f>(IF(ISNUMBER(SEARCH("360",C7)),365/360,1))</f>
        <v>1.0138888888888888</v>
      </c>
      <c r="K3" s="8"/>
      <c r="L3" s="7" t="s">
        <v>15</v>
      </c>
      <c r="M3" s="16">
        <v>-20465.759999999998</v>
      </c>
    </row>
    <row r="4" spans="2:20" ht="12" x14ac:dyDescent="0.25">
      <c r="B4" s="7" t="s">
        <v>16</v>
      </c>
      <c r="C4" s="31">
        <f>E10-E9+1</f>
        <v>111</v>
      </c>
      <c r="D4" s="7" t="s">
        <v>2</v>
      </c>
      <c r="E4" s="26"/>
      <c r="F4" s="26"/>
      <c r="G4" s="26"/>
      <c r="H4" s="8"/>
      <c r="I4" s="8" t="s">
        <v>17</v>
      </c>
      <c r="J4" s="9">
        <f>(1+C5*AmortizationMultiplier/12)^(12)-1</f>
        <v>7.3868041327875833E-2</v>
      </c>
      <c r="K4" s="8"/>
      <c r="L4" s="7" t="s">
        <v>18</v>
      </c>
      <c r="M4" s="12">
        <f ca="1">C2+M3-M2</f>
        <v>51561.60000000149</v>
      </c>
    </row>
    <row r="5" spans="2:20" ht="12" x14ac:dyDescent="0.25">
      <c r="B5" s="7" t="s">
        <v>19</v>
      </c>
      <c r="C5" s="14">
        <v>7.0499999999999993E-2</v>
      </c>
      <c r="D5" s="6"/>
      <c r="H5" s="7" t="s">
        <v>20</v>
      </c>
      <c r="I5" s="8" t="s">
        <v>21</v>
      </c>
      <c r="J5" s="9">
        <v>0</v>
      </c>
      <c r="K5" s="10"/>
      <c r="L5" s="7" t="s">
        <v>22</v>
      </c>
      <c r="M5" s="9">
        <f ca="1">M4/C2</f>
        <v>5.9350160017329493E-3</v>
      </c>
    </row>
    <row r="6" spans="2:20" ht="12" x14ac:dyDescent="0.25">
      <c r="B6" s="7" t="s">
        <v>23</v>
      </c>
      <c r="C6" s="16">
        <v>59128.33</v>
      </c>
      <c r="D6" s="7" t="s">
        <v>24</v>
      </c>
      <c r="E6" s="15">
        <v>3.3700000000000001E-2</v>
      </c>
      <c r="F6" s="27"/>
      <c r="G6" s="27"/>
      <c r="H6" s="7" t="s">
        <v>20</v>
      </c>
      <c r="I6" s="8" t="s">
        <v>25</v>
      </c>
      <c r="J6" s="15">
        <v>7.4312000000000003E-2</v>
      </c>
      <c r="K6" s="9">
        <f>(1+J6/12)^(12)-1</f>
        <v>7.6896023519303469E-2</v>
      </c>
      <c r="L6" s="8"/>
      <c r="M6" s="8"/>
    </row>
    <row r="7" spans="2:20" ht="12" x14ac:dyDescent="0.25">
      <c r="B7" s="7" t="s">
        <v>26</v>
      </c>
      <c r="C7" s="31" t="s">
        <v>27</v>
      </c>
      <c r="D7" s="7" t="s">
        <v>28</v>
      </c>
      <c r="E7" s="25">
        <f>ROUND(1-(1-E6)^(1/12),6)</f>
        <v>2.8530000000000001E-3</v>
      </c>
      <c r="F7" s="25"/>
      <c r="G7" s="25"/>
      <c r="H7" s="8"/>
      <c r="I7" s="8" t="s">
        <v>29</v>
      </c>
      <c r="J7" s="9">
        <f>$J$5</f>
        <v>0</v>
      </c>
      <c r="K7" s="8"/>
      <c r="L7" s="7" t="s">
        <v>7</v>
      </c>
      <c r="M7" s="53">
        <v>52329.79</v>
      </c>
      <c r="O7" s="21"/>
    </row>
    <row r="8" spans="2:20" ht="12" x14ac:dyDescent="0.25">
      <c r="B8" s="7" t="s">
        <v>30</v>
      </c>
      <c r="C8" s="31" t="s">
        <v>31</v>
      </c>
      <c r="D8" s="7" t="s">
        <v>32</v>
      </c>
      <c r="E8" s="14">
        <v>2.0799999999999999E-2</v>
      </c>
      <c r="F8" s="24"/>
      <c r="G8" s="28"/>
      <c r="H8" s="7" t="s">
        <v>33</v>
      </c>
      <c r="I8" s="13" t="s">
        <v>34</v>
      </c>
      <c r="J8" s="15">
        <f>J6</f>
        <v>7.4312000000000003E-2</v>
      </c>
      <c r="K8" s="8"/>
      <c r="L8" s="7" t="s">
        <v>35</v>
      </c>
      <c r="M8" s="42">
        <f ca="1">M4-M7</f>
        <v>-768.18999999851076</v>
      </c>
      <c r="O8" s="21"/>
    </row>
    <row r="9" spans="2:20" ht="12" x14ac:dyDescent="0.25">
      <c r="B9" s="7" t="s">
        <v>36</v>
      </c>
      <c r="C9" s="31" t="s">
        <v>31</v>
      </c>
      <c r="D9" s="7" t="s">
        <v>37</v>
      </c>
      <c r="E9" s="51">
        <v>12</v>
      </c>
      <c r="F9" s="8"/>
      <c r="G9" s="8"/>
      <c r="L9" s="7" t="s">
        <v>38</v>
      </c>
      <c r="M9" s="41">
        <f ca="1">M8/M4</f>
        <v>-1.4898490349377997E-2</v>
      </c>
      <c r="O9" s="21"/>
    </row>
    <row r="10" spans="2:20" ht="12" x14ac:dyDescent="0.25">
      <c r="B10" s="7" t="s">
        <v>39</v>
      </c>
      <c r="C10" s="31" t="s">
        <v>40</v>
      </c>
      <c r="D10" s="7" t="s">
        <v>41</v>
      </c>
      <c r="E10" s="52">
        <v>122</v>
      </c>
      <c r="G10" s="32"/>
      <c r="J10" s="37"/>
      <c r="K10" s="19"/>
      <c r="L10" s="8"/>
      <c r="M10" s="8"/>
      <c r="O10" s="21"/>
      <c r="Q10" s="3"/>
    </row>
    <row r="11" spans="2:20" ht="13.8" x14ac:dyDescent="0.3">
      <c r="B11" s="7" t="s">
        <v>42</v>
      </c>
      <c r="C11" s="31" t="s">
        <v>40</v>
      </c>
      <c r="D11" s="7" t="s">
        <v>43</v>
      </c>
      <c r="E11" s="47">
        <v>772400484</v>
      </c>
      <c r="F11" s="22"/>
      <c r="G11" s="32"/>
      <c r="L11" s="8"/>
      <c r="M11" s="8"/>
    </row>
    <row r="12" spans="2:20" ht="12" x14ac:dyDescent="0.25">
      <c r="B12" s="7" t="s">
        <v>44</v>
      </c>
      <c r="C12" s="30">
        <v>45838</v>
      </c>
      <c r="D12" s="7" t="s">
        <v>45</v>
      </c>
      <c r="E12" s="22" t="s">
        <v>46</v>
      </c>
      <c r="F12" s="32"/>
      <c r="G12" s="36"/>
      <c r="I12" s="5"/>
    </row>
    <row r="13" spans="2:20" ht="12" x14ac:dyDescent="0.25">
      <c r="B13" s="22" t="s">
        <v>47</v>
      </c>
      <c r="C13" s="13" t="s">
        <v>31</v>
      </c>
      <c r="D13" s="7"/>
      <c r="F13" s="32"/>
      <c r="G13" s="36"/>
      <c r="I13" s="5" t="s">
        <v>6</v>
      </c>
      <c r="S13" s="34"/>
    </row>
    <row r="14" spans="2:20" x14ac:dyDescent="0.2">
      <c r="B14" s="22" t="s">
        <v>48</v>
      </c>
      <c r="C14" s="38">
        <f>IFERROR(ROUNDUP(NPER(InterestRate/12*AmortizationMultiplier,C6,-C2),0),12*50*2)</f>
        <v>351</v>
      </c>
      <c r="F14" s="22"/>
      <c r="G14" s="33"/>
      <c r="S14" s="35"/>
    </row>
    <row r="15" spans="2:20" x14ac:dyDescent="0.2">
      <c r="B15" s="22"/>
    </row>
    <row r="16" spans="2:20" x14ac:dyDescent="0.2">
      <c r="B16" s="2" t="s">
        <v>49</v>
      </c>
      <c r="C16" s="2" t="s">
        <v>50</v>
      </c>
      <c r="D16" s="2" t="s">
        <v>51</v>
      </c>
      <c r="E16" s="2" t="s">
        <v>52</v>
      </c>
      <c r="F16" s="2" t="s">
        <v>53</v>
      </c>
      <c r="G16" s="22" t="s">
        <v>54</v>
      </c>
      <c r="H16" s="2" t="s">
        <v>55</v>
      </c>
      <c r="I16" s="2" t="s">
        <v>56</v>
      </c>
      <c r="J16" s="2" t="s">
        <v>57</v>
      </c>
      <c r="K16" s="2" t="s">
        <v>58</v>
      </c>
      <c r="L16" s="2" t="s">
        <v>59</v>
      </c>
      <c r="M16" s="2" t="s">
        <v>60</v>
      </c>
      <c r="N16" s="2" t="s">
        <v>61</v>
      </c>
      <c r="O16" s="2" t="s">
        <v>62</v>
      </c>
      <c r="P16" s="2" t="s">
        <v>63</v>
      </c>
      <c r="Q16" s="2" t="s">
        <v>64</v>
      </c>
      <c r="R16" s="2" t="s">
        <v>65</v>
      </c>
      <c r="S16" s="2" t="s">
        <v>66</v>
      </c>
      <c r="T16" s="2" t="s">
        <v>67</v>
      </c>
    </row>
    <row r="17" spans="2:20" x14ac:dyDescent="0.2">
      <c r="B17" s="1">
        <v>45869</v>
      </c>
      <c r="C17" s="2">
        <v>1</v>
      </c>
      <c r="D17" s="3">
        <f>C2</f>
        <v>8687693.5099999998</v>
      </c>
      <c r="E17" s="55">
        <f>ROUND(Table15781012[[#This Row],[Beginning Balance]]*Table15781012[[#This Row],[Monthly Interest Rate]],2)</f>
        <v>52741.54</v>
      </c>
      <c r="F17" s="4">
        <f>+C14</f>
        <v>351</v>
      </c>
      <c r="G17" s="4">
        <f>IFERROR(IF($C$13="No","N/A",IF(Table15781012[[#This Row],[Period]]=1,$C$6,PMT(InterestRate*AmortizationMultiplier/12,Table15781012[[#This Row],[Am Thru]],-Table15781012[[#This Row],[Beginning Balance]]))),0)</f>
        <v>59128.33</v>
      </c>
      <c r="H17" s="55">
        <f>MAX(0,IF(C17=$C$4,D17,ROUND(IF($C$3="Fixed Principal",$C$6-Table15781012[[#This Row],[Interest]],IF($C$3="Interest Only",Table15781012[[#This Row],[Beginning Balance]]*ROUND(1-(1-IF($C$11="No",$E$8,1))^(1/12),6),MIN(IF($C$13="Yes",Table15781012[[#This Row],[Payment Amount (Reamortized)]],$C$6)-Table15781012[[#This Row],[Interest]],Table15781012[[#This Row],[Beginning Balance]]))),2)))</f>
        <v>6386.79</v>
      </c>
      <c r="I17" s="4">
        <f>IF($C$3="Interest Only",0,ROUND(MAX(MIN(IF($C$10="No",$E$7,VLOOKUP(Table15781012[[#This Row],[Period]],Forecast!$H$2:$L$1048576,4,FALSE))*Table15781012[[#This Row],[Beginning Balance]],Table15781012[[#This Row],[Beginning Balance]]-Table15781012[[#This Row],[Principal]]),0),2))</f>
        <v>24785.99</v>
      </c>
      <c r="J17" s="4">
        <f>ROUND(MIN(Table15781012[[#This Row],[Beginning Balance]]*IF($C$8="No",$E$3,VLOOKUP(Table15781012[[#This Row],[Period]],Forecast!$H$2:$L$1048576,2,FALSE)),Table15781012[[#This Row],[Beginning Balance]]-Table15781012[[#This Row],[Principal]]-Table15781012[[#This Row],[Prepayments]]),2)</f>
        <v>3952.9</v>
      </c>
      <c r="K17" s="4">
        <f>ROUND(Table15781012[[#This Row],[Defaulted Principal]]*IF($C$9="No",$E$4,VLOOKUP(Table15781012[[#This Row],[Period]],Forecast!$H$2:$L$1048576,3,FALSE)),2)</f>
        <v>308.39</v>
      </c>
      <c r="L17" s="2">
        <f>Table15781012[[#This Row],[Period]]+$E$9</f>
        <v>13</v>
      </c>
      <c r="M17" s="4">
        <f>Table15781012[[#This Row],[Defaulted Principal]]-Table15781012[[#This Row],[Estimated Loss]]</f>
        <v>3644.51</v>
      </c>
      <c r="N17" s="3">
        <f>IFERROR(VLOOKUP(Table15781012[[#This Row],[Period]],$L$16:$M$28,2,FALSE),0)</f>
        <v>0</v>
      </c>
      <c r="O17" s="3">
        <f>Table15781012[[#This Row],[Beginning Balance]]-Table15781012[[#This Row],[Principal]]-Table15781012[[#This Row],[Prepayments]]-Table15781012[[#This Row],[Defaulted Principal]]</f>
        <v>8652567.8300000001</v>
      </c>
      <c r="P17" s="3">
        <f>Table15781012[[#This Row],[Principal]]+Table15781012[[#This Row],[Interest]]+Table15781012[[#This Row],[Prepayments]]+Table15781012[[#This Row],[RecoveredAmount]]</f>
        <v>83914.32</v>
      </c>
      <c r="Q17" s="3">
        <f ca="1">ROUND(Table15781012[[#This Row],[Cash Flow]]/((1+ActualRateToUse)^(IF(ISNUMBER(SEARCH("Actual",$C$7)),Table15781012[[#This Row],[Running Total]]/365,Table15781012[[#This Row],[Period]]/12))),2)</f>
        <v>83405.009999999995</v>
      </c>
      <c r="R17" s="2">
        <f>IF(MONTH(Table15781012[[#This Row],[Date]])=2,28,DAY(DATE(YEAR(Table15781012[[#This Row],[Date]]),MONTH(Table15781012[[#This Row],[Date]])+1,1)-1))</f>
        <v>31</v>
      </c>
      <c r="S17" s="2">
        <f ca="1">SUM(OFFSET(Table15781012[[#Headers],[Days in month]],1,0):Table15781012[[#This Row],[Days in month]])</f>
        <v>31</v>
      </c>
      <c r="T17" s="37">
        <f>InterestRate*AmortizationMultiplier*IF(ISNUMBER(SEARCH("Actual",$C$7)),Table15781012[[#This Row],[Days in month]]/365,1/12)</f>
        <v>6.0708333333333326E-3</v>
      </c>
    </row>
    <row r="18" spans="2:20" x14ac:dyDescent="0.2">
      <c r="B18" s="1">
        <v>45900</v>
      </c>
      <c r="C18" s="2">
        <f>C17+1</f>
        <v>2</v>
      </c>
      <c r="D18" s="3">
        <f t="shared" ref="D18:D81" si="0">O17</f>
        <v>8652567.8300000001</v>
      </c>
      <c r="E18" s="4">
        <f>ROUND(Table15781012[[#This Row],[Beginning Balance]]*Table15781012[[#This Row],[Monthly Interest Rate]],2)</f>
        <v>52528.3</v>
      </c>
      <c r="F18" s="4">
        <f>+F17-1</f>
        <v>350</v>
      </c>
      <c r="G18" s="4">
        <f>IFERROR(IF($C$13="No","N/A",IF(Table15781012[[#This Row],[Period]]=1,$C$6,PMT(InterestRate*AmortizationMultiplier/12,Table15781012[[#This Row],[Am Thru]],-Table15781012[[#This Row],[Beginning Balance]]))),0)</f>
        <v>58909.578523272678</v>
      </c>
      <c r="H18" s="4">
        <f>MAX(0,IF(C18=$C$4,D18,ROUND(IF($C$3="Fixed Principal",$C$6-Table15781012[[#This Row],[Interest]],IF($C$3="Interest Only",Table15781012[[#This Row],[Beginning Balance]]*ROUND(1-(1-IF($C$11="No",$E$8,1))^(1/12),6),MIN(IF($C$13="Yes",Table15781012[[#This Row],[Payment Amount (Reamortized)]],$C$6)-Table15781012[[#This Row],[Interest]],Table15781012[[#This Row],[Beginning Balance]]))),2)))</f>
        <v>6381.28</v>
      </c>
      <c r="I18" s="4">
        <f>IF($C$3="Interest Only",0,ROUND(MAX(MIN(IF($C$10="No",$E$7,VLOOKUP(Table15781012[[#This Row],[Period]],Forecast!$H$2:$L$1048576,4,FALSE))*Table15781012[[#This Row],[Beginning Balance]],Table15781012[[#This Row],[Beginning Balance]]-Table15781012[[#This Row],[Principal]]),0),2))</f>
        <v>24685.78</v>
      </c>
      <c r="J18" s="4">
        <f>ROUND(MIN(Table15781012[[#This Row],[Beginning Balance]]*IF($C$8="No",$E$3,VLOOKUP(Table15781012[[#This Row],[Period]],Forecast!$H$2:$L$1048576,2,FALSE)),Table15781012[[#This Row],[Beginning Balance]]-Table15781012[[#This Row],[Principal]]-Table15781012[[#This Row],[Prepayments]]),2)</f>
        <v>3936.92</v>
      </c>
      <c r="K18" s="4">
        <f>ROUND(Table15781012[[#This Row],[Defaulted Principal]]*IF($C$9="No",$E$4,VLOOKUP(Table15781012[[#This Row],[Period]],Forecast!$H$2:$L$1048576,3,FALSE)),2)</f>
        <v>307.14</v>
      </c>
      <c r="L18" s="2">
        <f>Table15781012[[#This Row],[Period]]+$E$9</f>
        <v>14</v>
      </c>
      <c r="M18" s="4">
        <f>Table15781012[[#This Row],[Defaulted Principal]]-Table15781012[[#This Row],[Estimated Loss]]</f>
        <v>3629.78</v>
      </c>
      <c r="N18" s="3">
        <f>IFERROR(VLOOKUP(Table15781012[[#This Row],[Period]],$L$16:$M$385,2,FALSE),0)</f>
        <v>0</v>
      </c>
      <c r="O18" s="4">
        <f>Table15781012[[#This Row],[Beginning Balance]]-Table15781012[[#This Row],[Principal]]-Table15781012[[#This Row],[Prepayments]]-Table15781012[[#This Row],[Defaulted Principal]]</f>
        <v>8617563.8500000015</v>
      </c>
      <c r="P18" s="3">
        <f>Table15781012[[#This Row],[Principal]]+Table15781012[[#This Row],[Interest]]+Table15781012[[#This Row],[Prepayments]]+Table15781012[[#This Row],[RecoveredAmount]]</f>
        <v>83595.360000000001</v>
      </c>
      <c r="Q18" s="3">
        <f ca="1">ROUND(Table15781012[[#This Row],[Cash Flow]]/((1+ActualRateToUse)^(IF(ISNUMBER(SEARCH("Actual",$C$7)),Table15781012[[#This Row],[Running Total]]/365,Table15781012[[#This Row],[Period]]/12))),2)</f>
        <v>82583.69</v>
      </c>
      <c r="R18" s="2">
        <f>IF(MONTH(Table15781012[[#This Row],[Date]])=2,28,DAY(DATE(YEAR(Table15781012[[#This Row],[Date]]),MONTH(Table15781012[[#This Row],[Date]])+1,1)-1))</f>
        <v>31</v>
      </c>
      <c r="S18" s="2">
        <f ca="1">SUM(OFFSET(Table15781012[[#Headers],[Days in month]],1,0):Table15781012[[#This Row],[Days in month]])</f>
        <v>62</v>
      </c>
      <c r="T18" s="37">
        <f>InterestRate*AmortizationMultiplier*IF(ISNUMBER(SEARCH("Actual",$C$7)),Table15781012[[#This Row],[Days in month]]/365,1/12)</f>
        <v>6.0708333333333326E-3</v>
      </c>
    </row>
    <row r="19" spans="2:20" x14ac:dyDescent="0.2">
      <c r="B19" s="1">
        <v>45930</v>
      </c>
      <c r="C19" s="2">
        <f t="shared" ref="C19:C82" si="1">C18+1</f>
        <v>3</v>
      </c>
      <c r="D19" s="3">
        <f t="shared" si="0"/>
        <v>8617563.8500000015</v>
      </c>
      <c r="E19" s="4">
        <f>ROUND(Table15781012[[#This Row],[Beginning Balance]]*Table15781012[[#This Row],[Monthly Interest Rate]],2)</f>
        <v>50628.19</v>
      </c>
      <c r="F19" s="4">
        <f t="shared" ref="F19:F82" si="2">+F18-1</f>
        <v>349</v>
      </c>
      <c r="G19" s="50">
        <f>IFERROR(IF($C$13="No","N/A",IF(Table15781012[[#This Row],[Period]]=1,$C$6,PMT(InterestRate*AmortizationMultiplier/12,Table15781012[[#This Row],[Am Thru]],-Table15781012[[#This Row],[Beginning Balance]]))),0)</f>
        <v>58721.274824090702</v>
      </c>
      <c r="H19" s="4">
        <f>MAX(0,IF(C19=$C$4,D19,ROUND(IF($C$3="Fixed Principal",$C$6-Table15781012[[#This Row],[Interest]],IF($C$3="Interest Only",Table15781012[[#This Row],[Beginning Balance]]*ROUND(1-(1-IF($C$11="No",$E$8,1))^(1/12),6),MIN(IF($C$13="Yes",Table15781012[[#This Row],[Payment Amount (Reamortized)]],$C$6)-Table15781012[[#This Row],[Interest]],Table15781012[[#This Row],[Beginning Balance]]))),2)))</f>
        <v>8093.08</v>
      </c>
      <c r="I19" s="4">
        <f>IF($C$3="Interest Only",0,ROUND(MAX(MIN(IF($C$10="No",$E$7,VLOOKUP(Table15781012[[#This Row],[Period]],Forecast!$H$2:$L$1048576,4,FALSE))*Table15781012[[#This Row],[Beginning Balance]],Table15781012[[#This Row],[Beginning Balance]]-Table15781012[[#This Row],[Principal]]),0),2))</f>
        <v>24585.91</v>
      </c>
      <c r="J19" s="4">
        <f>ROUND(MIN(Table15781012[[#This Row],[Beginning Balance]]*IF($C$8="No",$E$3,VLOOKUP(Table15781012[[#This Row],[Period]],Forecast!$H$2:$L$1048576,2,FALSE)),Table15781012[[#This Row],[Beginning Balance]]-Table15781012[[#This Row],[Principal]]-Table15781012[[#This Row],[Prepayments]]),2)</f>
        <v>3920.99</v>
      </c>
      <c r="K19" s="4">
        <f>ROUND(Table15781012[[#This Row],[Defaulted Principal]]*IF($C$9="No",$E$4,VLOOKUP(Table15781012[[#This Row],[Period]],Forecast!$H$2:$L$1048576,3,FALSE)),2)</f>
        <v>305.89999999999998</v>
      </c>
      <c r="L19" s="2">
        <f>Table15781012[[#This Row],[Period]]+$E$9</f>
        <v>15</v>
      </c>
      <c r="M19" s="4">
        <f>Table15781012[[#This Row],[Defaulted Principal]]-Table15781012[[#This Row],[Estimated Loss]]</f>
        <v>3615.0899999999997</v>
      </c>
      <c r="N19" s="3">
        <f>IFERROR(VLOOKUP(Table15781012[[#This Row],[Period]],$L$16:$M$28,2,FALSE),0)</f>
        <v>0</v>
      </c>
      <c r="O19" s="3">
        <f>Table15781012[[#This Row],[Beginning Balance]]-Table15781012[[#This Row],[Principal]]-Table15781012[[#This Row],[Prepayments]]-Table15781012[[#This Row],[Defaulted Principal]]</f>
        <v>8580963.870000001</v>
      </c>
      <c r="P19" s="3">
        <f>Table15781012[[#This Row],[Principal]]+Table15781012[[#This Row],[Interest]]+Table15781012[[#This Row],[Prepayments]]+Table15781012[[#This Row],[RecoveredAmount]]</f>
        <v>83307.180000000008</v>
      </c>
      <c r="Q19" s="3">
        <f ca="1">ROUND(Table15781012[[#This Row],[Cash Flow]]/((1+ActualRateToUse)^(IF(ISNUMBER(SEARCH("Actual",$C$7)),Table15781012[[#This Row],[Running Total]]/365,Table15781012[[#This Row],[Period]]/12))),2)</f>
        <v>81815.55</v>
      </c>
      <c r="R19" s="2">
        <f>IF(MONTH(Table15781012[[#This Row],[Date]])=2,28,DAY(DATE(YEAR(Table15781012[[#This Row],[Date]]),MONTH(Table15781012[[#This Row],[Date]])+1,1)-1))</f>
        <v>30</v>
      </c>
      <c r="S19" s="2">
        <f ca="1">SUM(OFFSET(Table15781012[[#Headers],[Days in month]],1,0):Table15781012[[#This Row],[Days in month]])</f>
        <v>92</v>
      </c>
      <c r="T19" s="37">
        <f>InterestRate*AmortizationMultiplier*IF(ISNUMBER(SEARCH("Actual",$C$7)),Table15781012[[#This Row],[Days in month]]/365,1/12)</f>
        <v>5.8749999999999991E-3</v>
      </c>
    </row>
    <row r="20" spans="2:20" x14ac:dyDescent="0.2">
      <c r="B20" s="1">
        <v>45961</v>
      </c>
      <c r="C20" s="2">
        <f t="shared" si="1"/>
        <v>4</v>
      </c>
      <c r="D20" s="3">
        <f t="shared" si="0"/>
        <v>8580963.870000001</v>
      </c>
      <c r="E20" s="4">
        <f>ROUND(Table15781012[[#This Row],[Beginning Balance]]*Table15781012[[#This Row],[Monthly Interest Rate]],2)</f>
        <v>52093.599999999999</v>
      </c>
      <c r="F20" s="4">
        <f>+F19-1</f>
        <v>348</v>
      </c>
      <c r="G20" s="50">
        <f>IFERROR(IF($C$13="No","N/A",IF(Table15781012[[#This Row],[Period]]=1,$C$6,PMT(InterestRate*AmortizationMultiplier/12,Table15781012[[#This Row],[Am Thru]],-Table15781012[[#This Row],[Beginning Balance]]))),0)</f>
        <v>58522.062578692814</v>
      </c>
      <c r="H20" s="4">
        <f>MAX(0,IF(C20=$C$4,D20,ROUND(IF($C$3="Fixed Principal",$C$6-Table15781012[[#This Row],[Interest]],IF($C$3="Interest Only",Table15781012[[#This Row],[Beginning Balance]]*ROUND(1-(1-IF($C$11="No",$E$8,1))^(1/12),6),MIN(IF($C$13="Yes",Table15781012[[#This Row],[Payment Amount (Reamortized)]],$C$6)-Table15781012[[#This Row],[Interest]],Table15781012[[#This Row],[Beginning Balance]]))),2)))</f>
        <v>6428.46</v>
      </c>
      <c r="I20" s="4">
        <f>IF($C$3="Interest Only",0,ROUND(MAX(MIN(IF($C$10="No",$E$7,VLOOKUP(Table15781012[[#This Row],[Period]],Forecast!$H$2:$L$1048576,4,FALSE))*Table15781012[[#This Row],[Beginning Balance]],Table15781012[[#This Row],[Beginning Balance]]-Table15781012[[#This Row],[Principal]]),0),2))</f>
        <v>24481.49</v>
      </c>
      <c r="J20" s="4">
        <f>ROUND(MIN(Table15781012[[#This Row],[Beginning Balance]]*IF($C$8="No",$E$3,VLOOKUP(Table15781012[[#This Row],[Period]],Forecast!$H$2:$L$1048576,2,FALSE)),Table15781012[[#This Row],[Beginning Balance]]-Table15781012[[#This Row],[Principal]]-Table15781012[[#This Row],[Prepayments]]),2)</f>
        <v>4299.0600000000004</v>
      </c>
      <c r="K20" s="4">
        <f>ROUND(Table15781012[[#This Row],[Defaulted Principal]]*IF($C$9="No",$E$4,VLOOKUP(Table15781012[[#This Row],[Period]],Forecast!$H$2:$L$1048576,3,FALSE)),2)</f>
        <v>343.78</v>
      </c>
      <c r="L20" s="2">
        <f>Table15781012[[#This Row],[Period]]+$E$9</f>
        <v>16</v>
      </c>
      <c r="M20" s="4">
        <f>Table15781012[[#This Row],[Defaulted Principal]]-Table15781012[[#This Row],[Estimated Loss]]</f>
        <v>3955.2800000000007</v>
      </c>
      <c r="N20" s="3">
        <f>IFERROR(VLOOKUP(Table15781012[[#This Row],[Period]],$L$16:$M$28,2,FALSE),0)</f>
        <v>0</v>
      </c>
      <c r="O20" s="3">
        <f>Table15781012[[#This Row],[Beginning Balance]]-Table15781012[[#This Row],[Principal]]-Table15781012[[#This Row],[Prepayments]]-Table15781012[[#This Row],[Defaulted Principal]]</f>
        <v>8545754.8599999994</v>
      </c>
      <c r="P20" s="3">
        <f>Table15781012[[#This Row],[Principal]]+Table15781012[[#This Row],[Interest]]+Table15781012[[#This Row],[Prepayments]]+Table15781012[[#This Row],[RecoveredAmount]]</f>
        <v>83003.55</v>
      </c>
      <c r="Q20" s="3">
        <f ca="1">ROUND(Table15781012[[#This Row],[Cash Flow]]/((1+ActualRateToUse)^(IF(ISNUMBER(SEARCH("Actual",$C$7)),Table15781012[[#This Row],[Running Total]]/365,Table15781012[[#This Row],[Period]]/12))),2)</f>
        <v>81022.59</v>
      </c>
      <c r="R20" s="2">
        <f>IF(MONTH(Table15781012[[#This Row],[Date]])=2,28,DAY(DATE(YEAR(Table15781012[[#This Row],[Date]]),MONTH(Table15781012[[#This Row],[Date]])+1,1)-1))</f>
        <v>31</v>
      </c>
      <c r="S20" s="2">
        <f ca="1">SUM(OFFSET(Table15781012[[#Headers],[Days in month]],1,0):Table15781012[[#This Row],[Days in month]])</f>
        <v>123</v>
      </c>
      <c r="T20" s="37">
        <f>InterestRate*AmortizationMultiplier*IF(ISNUMBER(SEARCH("Actual",$C$7)),Table15781012[[#This Row],[Days in month]]/365,1/12)</f>
        <v>6.0708333333333326E-3</v>
      </c>
    </row>
    <row r="21" spans="2:20" x14ac:dyDescent="0.2">
      <c r="B21" s="1">
        <v>45991</v>
      </c>
      <c r="C21" s="2">
        <f t="shared" si="1"/>
        <v>5</v>
      </c>
      <c r="D21" s="3">
        <f t="shared" si="0"/>
        <v>8545754.8599999994</v>
      </c>
      <c r="E21" s="3">
        <f>ROUND(Table15781012[[#This Row],[Beginning Balance]]*Table15781012[[#This Row],[Monthly Interest Rate]],2)</f>
        <v>50206.31</v>
      </c>
      <c r="F21" s="3">
        <f t="shared" si="2"/>
        <v>347</v>
      </c>
      <c r="G21" s="23">
        <f>IFERROR(IF($C$13="No","N/A",IF(Table15781012[[#This Row],[Period]]=1,$C$6,PMT(InterestRate*AmortizationMultiplier/12,Table15781012[[#This Row],[Am Thru]],-Table15781012[[#This Row],[Beginning Balance]]))),0)</f>
        <v>58332.301102145066</v>
      </c>
      <c r="H21" s="3">
        <f>MAX(0,IF(C21=$C$4,D21,ROUND(IF($C$3="Fixed Principal",$C$6-Table15781012[[#This Row],[Interest]],IF($C$3="Interest Only",Table15781012[[#This Row],[Beginning Balance]]*ROUND(1-(1-IF($C$11="No",$E$8,1))^(1/12),6),MIN(IF($C$13="Yes",Table15781012[[#This Row],[Payment Amount (Reamortized)]],$C$6)-Table15781012[[#This Row],[Interest]],Table15781012[[#This Row],[Beginning Balance]]))),2)))</f>
        <v>8125.99</v>
      </c>
      <c r="I21" s="4">
        <f>IF($C$3="Interest Only",0,ROUND(MAX(MIN(IF($C$10="No",$E$7,VLOOKUP(Table15781012[[#This Row],[Period]],Forecast!$H$2:$L$1048576,4,FALSE))*Table15781012[[#This Row],[Beginning Balance]],Table15781012[[#This Row],[Beginning Balance]]-Table15781012[[#This Row],[Principal]]),0),2))</f>
        <v>24381.040000000001</v>
      </c>
      <c r="J21" s="3">
        <f>ROUND(MIN(Table15781012[[#This Row],[Beginning Balance]]*IF($C$8="No",$E$3,VLOOKUP(Table15781012[[#This Row],[Period]],Forecast!$H$2:$L$1048576,2,FALSE)),Table15781012[[#This Row],[Beginning Balance]]-Table15781012[[#This Row],[Principal]]-Table15781012[[#This Row],[Prepayments]]),2)</f>
        <v>4281.42</v>
      </c>
      <c r="K21" s="3">
        <f>ROUND(Table15781012[[#This Row],[Defaulted Principal]]*IF($C$9="No",$E$4,VLOOKUP(Table15781012[[#This Row],[Period]],Forecast!$H$2:$L$1048576,3,FALSE)),2)</f>
        <v>342.37</v>
      </c>
      <c r="L21" s="2">
        <f>Table15781012[[#This Row],[Period]]+$E$9</f>
        <v>17</v>
      </c>
      <c r="M21" s="3">
        <f>Table15781012[[#This Row],[Defaulted Principal]]-Table15781012[[#This Row],[Estimated Loss]]</f>
        <v>3939.05</v>
      </c>
      <c r="N21" s="3">
        <f>IFERROR(VLOOKUP(Table15781012[[#This Row],[Period]],$L$16:$M$28,2,FALSE),0)</f>
        <v>0</v>
      </c>
      <c r="O21" s="3">
        <f>Table15781012[[#This Row],[Beginning Balance]]-Table15781012[[#This Row],[Principal]]-Table15781012[[#This Row],[Prepayments]]-Table15781012[[#This Row],[Defaulted Principal]]</f>
        <v>8508966.4100000001</v>
      </c>
      <c r="P21" s="3">
        <f>Table15781012[[#This Row],[Principal]]+Table15781012[[#This Row],[Interest]]+Table15781012[[#This Row],[Prepayments]]+Table15781012[[#This Row],[RecoveredAmount]]</f>
        <v>82713.34</v>
      </c>
      <c r="Q21" s="3">
        <f ca="1">ROUND(Table15781012[[#This Row],[Cash Flow]]/((1+ActualRateToUse)^(IF(ISNUMBER(SEARCH("Actual",$C$7)),Table15781012[[#This Row],[Running Total]]/365,Table15781012[[#This Row],[Period]]/12))),2)</f>
        <v>80265.03</v>
      </c>
      <c r="R21" s="2">
        <f>IF(MONTH(Table15781012[[#This Row],[Date]])=2,28,DAY(DATE(YEAR(Table15781012[[#This Row],[Date]]),MONTH(Table15781012[[#This Row],[Date]])+1,1)-1))</f>
        <v>30</v>
      </c>
      <c r="S21" s="2">
        <f ca="1">SUM(OFFSET(Table15781012[[#Headers],[Days in month]],1,0):Table15781012[[#This Row],[Days in month]])</f>
        <v>153</v>
      </c>
      <c r="T21" s="37">
        <f>InterestRate*AmortizationMultiplier*IF(ISNUMBER(SEARCH("Actual",$C$7)),Table15781012[[#This Row],[Days in month]]/365,1/12)</f>
        <v>5.8749999999999991E-3</v>
      </c>
    </row>
    <row r="22" spans="2:20" x14ac:dyDescent="0.2">
      <c r="B22" s="1">
        <v>46022</v>
      </c>
      <c r="C22" s="2">
        <f t="shared" si="1"/>
        <v>6</v>
      </c>
      <c r="D22" s="3">
        <f t="shared" si="0"/>
        <v>8508966.4100000001</v>
      </c>
      <c r="E22" s="3">
        <f>ROUND(Table15781012[[#This Row],[Beginning Balance]]*Table15781012[[#This Row],[Monthly Interest Rate]],2)</f>
        <v>51656.52</v>
      </c>
      <c r="F22" s="3">
        <f t="shared" si="2"/>
        <v>346</v>
      </c>
      <c r="G22" s="23">
        <f>IFERROR(IF($C$13="No","N/A",IF(Table15781012[[#This Row],[Period]]=1,$C$6,PMT(InterestRate*AmortizationMultiplier/12,Table15781012[[#This Row],[Am Thru]],-Table15781012[[#This Row],[Beginning Balance]]))),0)</f>
        <v>58131.720470292719</v>
      </c>
      <c r="H22" s="3">
        <f>MAX(0,IF(C22=$C$4,D22,ROUND(IF($C$3="Fixed Principal",$C$6-Table15781012[[#This Row],[Interest]],IF($C$3="Interest Only",Table15781012[[#This Row],[Beginning Balance]]*ROUND(1-(1-IF($C$11="No",$E$8,1))^(1/12),6),MIN(IF($C$13="Yes",Table15781012[[#This Row],[Payment Amount (Reamortized)]],$C$6)-Table15781012[[#This Row],[Interest]],Table15781012[[#This Row],[Beginning Balance]]))),2)))</f>
        <v>6475.2</v>
      </c>
      <c r="I22" s="4">
        <f>IF($C$3="Interest Only",0,ROUND(MAX(MIN(IF($C$10="No",$E$7,VLOOKUP(Table15781012[[#This Row],[Period]],Forecast!$H$2:$L$1048576,4,FALSE))*Table15781012[[#This Row],[Beginning Balance]],Table15781012[[#This Row],[Beginning Balance]]-Table15781012[[#This Row],[Principal]]),0),2))</f>
        <v>24276.080000000002</v>
      </c>
      <c r="J22" s="3">
        <f>ROUND(MIN(Table15781012[[#This Row],[Beginning Balance]]*IF($C$8="No",$E$3,VLOOKUP(Table15781012[[#This Row],[Period]],Forecast!$H$2:$L$1048576,2,FALSE)),Table15781012[[#This Row],[Beginning Balance]]-Table15781012[[#This Row],[Principal]]-Table15781012[[#This Row],[Prepayments]]),2)</f>
        <v>4262.99</v>
      </c>
      <c r="K22" s="3">
        <f>ROUND(Table15781012[[#This Row],[Defaulted Principal]]*IF($C$9="No",$E$4,VLOOKUP(Table15781012[[#This Row],[Period]],Forecast!$H$2:$L$1048576,3,FALSE)),2)</f>
        <v>340.9</v>
      </c>
      <c r="L22" s="2">
        <f>Table15781012[[#This Row],[Period]]+$E$9</f>
        <v>18</v>
      </c>
      <c r="M22" s="3">
        <f>Table15781012[[#This Row],[Defaulted Principal]]-Table15781012[[#This Row],[Estimated Loss]]</f>
        <v>3922.0899999999997</v>
      </c>
      <c r="N22" s="3">
        <f>IFERROR(VLOOKUP(Table15781012[[#This Row],[Period]],$L$16:$M$28,2,FALSE),0)</f>
        <v>0</v>
      </c>
      <c r="O22" s="3">
        <f>Table15781012[[#This Row],[Beginning Balance]]-Table15781012[[#This Row],[Principal]]-Table15781012[[#This Row],[Prepayments]]-Table15781012[[#This Row],[Defaulted Principal]]</f>
        <v>8473952.1400000006</v>
      </c>
      <c r="P22" s="3">
        <f>Table15781012[[#This Row],[Principal]]+Table15781012[[#This Row],[Interest]]+Table15781012[[#This Row],[Prepayments]]+Table15781012[[#This Row],[RecoveredAmount]]</f>
        <v>82407.799999999988</v>
      </c>
      <c r="Q22" s="3">
        <f ca="1">ROUND(Table15781012[[#This Row],[Cash Flow]]/((1+ActualRateToUse)^(IF(ISNUMBER(SEARCH("Actual",$C$7)),Table15781012[[#This Row],[Running Total]]/365,Table15781012[[#This Row],[Period]]/12))),2)</f>
        <v>79483.17</v>
      </c>
      <c r="R22" s="2">
        <f>IF(MONTH(Table15781012[[#This Row],[Date]])=2,28,DAY(DATE(YEAR(Table15781012[[#This Row],[Date]]),MONTH(Table15781012[[#This Row],[Date]])+1,1)-1))</f>
        <v>31</v>
      </c>
      <c r="S22" s="2">
        <f ca="1">SUM(OFFSET(Table15781012[[#Headers],[Days in month]],1,0):Table15781012[[#This Row],[Days in month]])</f>
        <v>184</v>
      </c>
      <c r="T22" s="37">
        <f>InterestRate*AmortizationMultiplier*IF(ISNUMBER(SEARCH("Actual",$C$7)),Table15781012[[#This Row],[Days in month]]/365,1/12)</f>
        <v>6.0708333333333326E-3</v>
      </c>
    </row>
    <row r="23" spans="2:20" x14ac:dyDescent="0.2">
      <c r="B23" s="1">
        <v>46053</v>
      </c>
      <c r="C23" s="2">
        <f t="shared" si="1"/>
        <v>7</v>
      </c>
      <c r="D23" s="3">
        <f t="shared" si="0"/>
        <v>8473952.1400000006</v>
      </c>
      <c r="E23" s="3">
        <f>ROUND(Table15781012[[#This Row],[Beginning Balance]]*Table15781012[[#This Row],[Monthly Interest Rate]],2)</f>
        <v>51443.95</v>
      </c>
      <c r="F23" s="3">
        <f t="shared" si="2"/>
        <v>345</v>
      </c>
      <c r="G23" s="23">
        <f>IFERROR(IF($C$13="No","N/A",IF(Table15781012[[#This Row],[Period]]=1,$C$6,PMT(InterestRate*AmortizationMultiplier/12,Table15781012[[#This Row],[Am Thru]],-Table15781012[[#This Row],[Beginning Balance]]))),0)</f>
        <v>57943.22249103956</v>
      </c>
      <c r="H23" s="3">
        <f>MAX(0,IF(C23=$C$4,D23,ROUND(IF($C$3="Fixed Principal",$C$6-Table15781012[[#This Row],[Interest]],IF($C$3="Interest Only",Table15781012[[#This Row],[Beginning Balance]]*ROUND(1-(1-IF($C$11="No",$E$8,1))^(1/12),6),MIN(IF($C$13="Yes",Table15781012[[#This Row],[Payment Amount (Reamortized)]],$C$6)-Table15781012[[#This Row],[Interest]],Table15781012[[#This Row],[Beginning Balance]]))),2)))</f>
        <v>6499.27</v>
      </c>
      <c r="I23" s="4">
        <f>IF($C$3="Interest Only",0,ROUND(MAX(MIN(IF($C$10="No",$E$7,VLOOKUP(Table15781012[[#This Row],[Period]],Forecast!$H$2:$L$1048576,4,FALSE))*Table15781012[[#This Row],[Beginning Balance]],Table15781012[[#This Row],[Beginning Balance]]-Table15781012[[#This Row],[Principal]]),0),2))</f>
        <v>24176.19</v>
      </c>
      <c r="J23" s="3">
        <f>ROUND(MIN(Table15781012[[#This Row],[Beginning Balance]]*IF($C$8="No",$E$3,VLOOKUP(Table15781012[[#This Row],[Period]],Forecast!$H$2:$L$1048576,2,FALSE)),Table15781012[[#This Row],[Beginning Balance]]-Table15781012[[#This Row],[Principal]]-Table15781012[[#This Row],[Prepayments]]),2)</f>
        <v>4211.55</v>
      </c>
      <c r="K23" s="3">
        <f>ROUND(Table15781012[[#This Row],[Defaulted Principal]]*IF($C$9="No",$E$4,VLOOKUP(Table15781012[[#This Row],[Period]],Forecast!$H$2:$L$1048576,3,FALSE)),2)</f>
        <v>335.99</v>
      </c>
      <c r="L23" s="2">
        <f>Table15781012[[#This Row],[Period]]+$E$9</f>
        <v>19</v>
      </c>
      <c r="M23" s="3">
        <f>Table15781012[[#This Row],[Defaulted Principal]]-Table15781012[[#This Row],[Estimated Loss]]</f>
        <v>3875.5600000000004</v>
      </c>
      <c r="N23" s="3">
        <f>IFERROR(VLOOKUP(Table15781012[[#This Row],[Period]],$L$16:$M$28,2,FALSE),0)</f>
        <v>0</v>
      </c>
      <c r="O23" s="3">
        <f>Table15781012[[#This Row],[Beginning Balance]]-Table15781012[[#This Row],[Principal]]-Table15781012[[#This Row],[Prepayments]]-Table15781012[[#This Row],[Defaulted Principal]]</f>
        <v>8439065.1300000008</v>
      </c>
      <c r="P23" s="3">
        <f>Table15781012[[#This Row],[Principal]]+Table15781012[[#This Row],[Interest]]+Table15781012[[#This Row],[Prepayments]]+Table15781012[[#This Row],[RecoveredAmount]]</f>
        <v>82119.41</v>
      </c>
      <c r="Q23" s="3">
        <f ca="1">ROUND(Table15781012[[#This Row],[Cash Flow]]/((1+ActualRateToUse)^(IF(ISNUMBER(SEARCH("Actual",$C$7)),Table15781012[[#This Row],[Running Total]]/365,Table15781012[[#This Row],[Period]]/12))),2)</f>
        <v>78724.28</v>
      </c>
      <c r="R23" s="2">
        <f>IF(MONTH(Table15781012[[#This Row],[Date]])=2,28,DAY(DATE(YEAR(Table15781012[[#This Row],[Date]]),MONTH(Table15781012[[#This Row],[Date]])+1,1)-1))</f>
        <v>31</v>
      </c>
      <c r="S23" s="2">
        <f ca="1">SUM(OFFSET(Table15781012[[#Headers],[Days in month]],1,0):Table15781012[[#This Row],[Days in month]])</f>
        <v>215</v>
      </c>
      <c r="T23" s="37">
        <f>InterestRate*AmortizationMultiplier*IF(ISNUMBER(SEARCH("Actual",$C$7)),Table15781012[[#This Row],[Days in month]]/365,1/12)</f>
        <v>6.0708333333333326E-3</v>
      </c>
    </row>
    <row r="24" spans="2:20" x14ac:dyDescent="0.2">
      <c r="B24" s="1">
        <v>46081</v>
      </c>
      <c r="C24" s="2">
        <f t="shared" si="1"/>
        <v>8</v>
      </c>
      <c r="D24" s="3">
        <f t="shared" si="0"/>
        <v>8439065.1300000008</v>
      </c>
      <c r="E24" s="3">
        <f>ROUND(Table15781012[[#This Row],[Beginning Balance]]*Table15781012[[#This Row],[Monthly Interest Rate]],2)</f>
        <v>46274.21</v>
      </c>
      <c r="F24" s="3">
        <f t="shared" si="2"/>
        <v>344</v>
      </c>
      <c r="G24" s="23">
        <f>IFERROR(IF($C$13="No","N/A",IF(Table15781012[[#This Row],[Period]]=1,$C$6,PMT(InterestRate*AmortizationMultiplier/12,Table15781012[[#This Row],[Am Thru]],-Table15781012[[#This Row],[Beginning Balance]]))),0)</f>
        <v>57755.566547572722</v>
      </c>
      <c r="H24" s="3">
        <f>MAX(0,IF(C24=$C$4,D24,ROUND(IF($C$3="Fixed Principal",$C$6-Table15781012[[#This Row],[Interest]],IF($C$3="Interest Only",Table15781012[[#This Row],[Beginning Balance]]*ROUND(1-(1-IF($C$11="No",$E$8,1))^(1/12),6),MIN(IF($C$13="Yes",Table15781012[[#This Row],[Payment Amount (Reamortized)]],$C$6)-Table15781012[[#This Row],[Interest]],Table15781012[[#This Row],[Beginning Balance]]))),2)))</f>
        <v>11481.36</v>
      </c>
      <c r="I24" s="4">
        <f>IF($C$3="Interest Only",0,ROUND(MAX(MIN(IF($C$10="No",$E$7,VLOOKUP(Table15781012[[#This Row],[Period]],Forecast!$H$2:$L$1048576,4,FALSE))*Table15781012[[#This Row],[Beginning Balance]],Table15781012[[#This Row],[Beginning Balance]]-Table15781012[[#This Row],[Principal]]),0),2))</f>
        <v>24076.65</v>
      </c>
      <c r="J24" s="3">
        <f>ROUND(MIN(Table15781012[[#This Row],[Beginning Balance]]*IF($C$8="No",$E$3,VLOOKUP(Table15781012[[#This Row],[Period]],Forecast!$H$2:$L$1048576,2,FALSE)),Table15781012[[#This Row],[Beginning Balance]]-Table15781012[[#This Row],[Principal]]-Table15781012[[#This Row],[Prepayments]]),2)</f>
        <v>4194.22</v>
      </c>
      <c r="K24" s="3">
        <f>ROUND(Table15781012[[#This Row],[Defaulted Principal]]*IF($C$9="No",$E$4,VLOOKUP(Table15781012[[#This Row],[Period]],Forecast!$H$2:$L$1048576,3,FALSE)),2)</f>
        <v>334.61</v>
      </c>
      <c r="L24" s="2">
        <f>Table15781012[[#This Row],[Period]]+$E$9</f>
        <v>20</v>
      </c>
      <c r="M24" s="3">
        <f>Table15781012[[#This Row],[Defaulted Principal]]-Table15781012[[#This Row],[Estimated Loss]]</f>
        <v>3859.61</v>
      </c>
      <c r="N24" s="3">
        <f>IFERROR(VLOOKUP(Table15781012[[#This Row],[Period]],$L$16:$M$28,2,FALSE),0)</f>
        <v>0</v>
      </c>
      <c r="O24" s="3">
        <f>Table15781012[[#This Row],[Beginning Balance]]-Table15781012[[#This Row],[Principal]]-Table15781012[[#This Row],[Prepayments]]-Table15781012[[#This Row],[Defaulted Principal]]</f>
        <v>8399312.9000000004</v>
      </c>
      <c r="P24" s="3">
        <f>Table15781012[[#This Row],[Principal]]+Table15781012[[#This Row],[Interest]]+Table15781012[[#This Row],[Prepayments]]+Table15781012[[#This Row],[RecoveredAmount]]</f>
        <v>81832.22</v>
      </c>
      <c r="Q24" s="3">
        <f ca="1">ROUND(Table15781012[[#This Row],[Cash Flow]]/((1+ActualRateToUse)^(IF(ISNUMBER(SEARCH("Actual",$C$7)),Table15781012[[#This Row],[Running Total]]/365,Table15781012[[#This Row],[Period]]/12))),2)</f>
        <v>78018.78</v>
      </c>
      <c r="R24" s="2">
        <f>IF(MONTH(Table15781012[[#This Row],[Date]])=2,28,DAY(DATE(YEAR(Table15781012[[#This Row],[Date]]),MONTH(Table15781012[[#This Row],[Date]])+1,1)-1))</f>
        <v>28</v>
      </c>
      <c r="S24" s="2">
        <f ca="1">SUM(OFFSET(Table15781012[[#Headers],[Days in month]],1,0):Table15781012[[#This Row],[Days in month]])</f>
        <v>243</v>
      </c>
      <c r="T24" s="37">
        <f>InterestRate*AmortizationMultiplier*IF(ISNUMBER(SEARCH("Actual",$C$7)),Table15781012[[#This Row],[Days in month]]/365,1/12)</f>
        <v>5.4833333333333331E-3</v>
      </c>
    </row>
    <row r="25" spans="2:20" x14ac:dyDescent="0.2">
      <c r="B25" s="1">
        <v>46112</v>
      </c>
      <c r="C25" s="2">
        <f t="shared" si="1"/>
        <v>9</v>
      </c>
      <c r="D25" s="3">
        <f t="shared" si="0"/>
        <v>8399312.9000000004</v>
      </c>
      <c r="E25" s="3">
        <f>ROUND(Table15781012[[#This Row],[Beginning Balance]]*Table15781012[[#This Row],[Monthly Interest Rate]],2)</f>
        <v>50990.83</v>
      </c>
      <c r="F25" s="3">
        <f t="shared" si="2"/>
        <v>343</v>
      </c>
      <c r="G25" s="23">
        <f>IFERROR(IF($C$13="No","N/A",IF(Table15781012[[#This Row],[Period]]=1,$C$6,PMT(InterestRate*AmortizationMultiplier/12,Table15781012[[#This Row],[Am Thru]],-Table15781012[[#This Row],[Beginning Balance]]))),0)</f>
        <v>57534.555670080699</v>
      </c>
      <c r="H25" s="3">
        <f>MAX(0,IF(C25=$C$4,D25,ROUND(IF($C$3="Fixed Principal",$C$6-Table15781012[[#This Row],[Interest]],IF($C$3="Interest Only",Table15781012[[#This Row],[Beginning Balance]]*ROUND(1-(1-IF($C$11="No",$E$8,1))^(1/12),6),MIN(IF($C$13="Yes",Table15781012[[#This Row],[Payment Amount (Reamortized)]],$C$6)-Table15781012[[#This Row],[Interest]],Table15781012[[#This Row],[Beginning Balance]]))),2)))</f>
        <v>6543.73</v>
      </c>
      <c r="I25" s="4">
        <f>IF($C$3="Interest Only",0,ROUND(MAX(MIN(IF($C$10="No",$E$7,VLOOKUP(Table15781012[[#This Row],[Period]],Forecast!$H$2:$L$1048576,4,FALSE))*Table15781012[[#This Row],[Beginning Balance]],Table15781012[[#This Row],[Beginning Balance]]-Table15781012[[#This Row],[Principal]]),0),2))</f>
        <v>23963.24</v>
      </c>
      <c r="J25" s="3">
        <f>ROUND(MIN(Table15781012[[#This Row],[Beginning Balance]]*IF($C$8="No",$E$3,VLOOKUP(Table15781012[[#This Row],[Period]],Forecast!$H$2:$L$1048576,2,FALSE)),Table15781012[[#This Row],[Beginning Balance]]-Table15781012[[#This Row],[Principal]]-Table15781012[[#This Row],[Prepayments]]),2)</f>
        <v>4174.46</v>
      </c>
      <c r="K25" s="3">
        <f>ROUND(Table15781012[[#This Row],[Defaulted Principal]]*IF($C$9="No",$E$4,VLOOKUP(Table15781012[[#This Row],[Period]],Forecast!$H$2:$L$1048576,3,FALSE)),2)</f>
        <v>333.03</v>
      </c>
      <c r="L25" s="2">
        <f>Table15781012[[#This Row],[Period]]+$E$9</f>
        <v>21</v>
      </c>
      <c r="M25" s="3">
        <f>Table15781012[[#This Row],[Defaulted Principal]]-Table15781012[[#This Row],[Estimated Loss]]</f>
        <v>3841.4300000000003</v>
      </c>
      <c r="N25" s="3">
        <f>IFERROR(VLOOKUP(Table15781012[[#This Row],[Period]],$L$16:$M$28,2,FALSE),0)</f>
        <v>0</v>
      </c>
      <c r="O25" s="3">
        <f>Table15781012[[#This Row],[Beginning Balance]]-Table15781012[[#This Row],[Principal]]-Table15781012[[#This Row],[Prepayments]]-Table15781012[[#This Row],[Defaulted Principal]]</f>
        <v>8364631.4699999997</v>
      </c>
      <c r="P25" s="3">
        <f>Table15781012[[#This Row],[Principal]]+Table15781012[[#This Row],[Interest]]+Table15781012[[#This Row],[Prepayments]]+Table15781012[[#This Row],[RecoveredAmount]]</f>
        <v>81497.8</v>
      </c>
      <c r="Q25" s="3">
        <f ca="1">ROUND(Table15781012[[#This Row],[Cash Flow]]/((1+ActualRateToUse)^(IF(ISNUMBER(SEARCH("Actual",$C$7)),Table15781012[[#This Row],[Running Total]]/365,Table15781012[[#This Row],[Period]]/12))),2)</f>
        <v>77228.350000000006</v>
      </c>
      <c r="R25" s="2">
        <f>IF(MONTH(Table15781012[[#This Row],[Date]])=2,28,DAY(DATE(YEAR(Table15781012[[#This Row],[Date]]),MONTH(Table15781012[[#This Row],[Date]])+1,1)-1))</f>
        <v>31</v>
      </c>
      <c r="S25" s="2">
        <f ca="1">SUM(OFFSET(Table15781012[[#Headers],[Days in month]],1,0):Table15781012[[#This Row],[Days in month]])</f>
        <v>274</v>
      </c>
      <c r="T25" s="37">
        <f>InterestRate*AmortizationMultiplier*IF(ISNUMBER(SEARCH("Actual",$C$7)),Table15781012[[#This Row],[Days in month]]/365,1/12)</f>
        <v>6.0708333333333326E-3</v>
      </c>
    </row>
    <row r="26" spans="2:20" x14ac:dyDescent="0.2">
      <c r="B26" s="1">
        <v>46142</v>
      </c>
      <c r="C26" s="2">
        <f t="shared" si="1"/>
        <v>10</v>
      </c>
      <c r="D26" s="3">
        <f t="shared" si="0"/>
        <v>8364631.4699999997</v>
      </c>
      <c r="E26" s="3">
        <f>ROUND(Table15781012[[#This Row],[Beginning Balance]]*Table15781012[[#This Row],[Monthly Interest Rate]],2)</f>
        <v>49142.21</v>
      </c>
      <c r="F26" s="3">
        <f t="shared" si="2"/>
        <v>342</v>
      </c>
      <c r="G26" s="23">
        <f>IFERROR(IF($C$13="No","N/A",IF(Table15781012[[#This Row],[Period]]=1,$C$6,PMT(InterestRate*AmortizationMultiplier/12,Table15781012[[#This Row],[Am Thru]],-Table15781012[[#This Row],[Beginning Balance]]))),0)</f>
        <v>57348.220943693304</v>
      </c>
      <c r="H26" s="3">
        <f>MAX(0,IF(C26=$C$4,D26,ROUND(IF($C$3="Fixed Principal",$C$6-Table15781012[[#This Row],[Interest]],IF($C$3="Interest Only",Table15781012[[#This Row],[Beginning Balance]]*ROUND(1-(1-IF($C$11="No",$E$8,1))^(1/12),6),MIN(IF($C$13="Yes",Table15781012[[#This Row],[Payment Amount (Reamortized)]],$C$6)-Table15781012[[#This Row],[Interest]],Table15781012[[#This Row],[Beginning Balance]]))),2)))</f>
        <v>8206.01</v>
      </c>
      <c r="I26" s="4">
        <f>IF($C$3="Interest Only",0,ROUND(MAX(MIN(IF($C$10="No",$E$7,VLOOKUP(Table15781012[[#This Row],[Period]],Forecast!$H$2:$L$1048576,4,FALSE))*Table15781012[[#This Row],[Beginning Balance]],Table15781012[[#This Row],[Beginning Balance]]-Table15781012[[#This Row],[Principal]]),0),2))</f>
        <v>23864.29</v>
      </c>
      <c r="J26" s="3">
        <f>ROUND(MIN(Table15781012[[#This Row],[Beginning Balance]]*IF($C$8="No",$E$3,VLOOKUP(Table15781012[[#This Row],[Period]],Forecast!$H$2:$L$1048576,2,FALSE)),Table15781012[[#This Row],[Beginning Balance]]-Table15781012[[#This Row],[Principal]]-Table15781012[[#This Row],[Prepayments]]),2)</f>
        <v>4115.3999999999996</v>
      </c>
      <c r="K26" s="3">
        <f>ROUND(Table15781012[[#This Row],[Defaulted Principal]]*IF($C$9="No",$E$4,VLOOKUP(Table15781012[[#This Row],[Period]],Forecast!$H$2:$L$1048576,3,FALSE)),2)</f>
        <v>327.54000000000002</v>
      </c>
      <c r="L26" s="2">
        <f>Table15781012[[#This Row],[Period]]+$E$9</f>
        <v>22</v>
      </c>
      <c r="M26" s="3">
        <f>Table15781012[[#This Row],[Defaulted Principal]]-Table15781012[[#This Row],[Estimated Loss]]</f>
        <v>3787.8599999999997</v>
      </c>
      <c r="N26" s="3">
        <f>IFERROR(VLOOKUP(Table15781012[[#This Row],[Period]],$L$16:$M$28,2,FALSE),0)</f>
        <v>0</v>
      </c>
      <c r="O26" s="3">
        <f>Table15781012[[#This Row],[Beginning Balance]]-Table15781012[[#This Row],[Principal]]-Table15781012[[#This Row],[Prepayments]]-Table15781012[[#This Row],[Defaulted Principal]]</f>
        <v>8328445.7699999996</v>
      </c>
      <c r="P26" s="3">
        <f>Table15781012[[#This Row],[Principal]]+Table15781012[[#This Row],[Interest]]+Table15781012[[#This Row],[Prepayments]]+Table15781012[[#This Row],[RecoveredAmount]]</f>
        <v>81212.510000000009</v>
      </c>
      <c r="Q26" s="3">
        <f ca="1">ROUND(Table15781012[[#This Row],[Cash Flow]]/((1+ActualRateToUse)^(IF(ISNUMBER(SEARCH("Actual",$C$7)),Table15781012[[#This Row],[Running Total]]/365,Table15781012[[#This Row],[Period]]/12))),2)</f>
        <v>76505.929999999993</v>
      </c>
      <c r="R26" s="2">
        <f>IF(MONTH(Table15781012[[#This Row],[Date]])=2,28,DAY(DATE(YEAR(Table15781012[[#This Row],[Date]]),MONTH(Table15781012[[#This Row],[Date]])+1,1)-1))</f>
        <v>30</v>
      </c>
      <c r="S26" s="2">
        <f ca="1">SUM(OFFSET(Table15781012[[#Headers],[Days in month]],1,0):Table15781012[[#This Row],[Days in month]])</f>
        <v>304</v>
      </c>
      <c r="T26" s="37">
        <f>InterestRate*AmortizationMultiplier*IF(ISNUMBER(SEARCH("Actual",$C$7)),Table15781012[[#This Row],[Days in month]]/365,1/12)</f>
        <v>5.8749999999999991E-3</v>
      </c>
    </row>
    <row r="27" spans="2:20" x14ac:dyDescent="0.2">
      <c r="B27" s="1">
        <v>46173</v>
      </c>
      <c r="C27" s="2">
        <f t="shared" si="1"/>
        <v>11</v>
      </c>
      <c r="D27" s="3">
        <f t="shared" si="0"/>
        <v>8328445.7699999996</v>
      </c>
      <c r="E27" s="3">
        <f>ROUND(Table15781012[[#This Row],[Beginning Balance]]*Table15781012[[#This Row],[Monthly Interest Rate]],2)</f>
        <v>50560.61</v>
      </c>
      <c r="F27" s="3">
        <f t="shared" si="2"/>
        <v>341</v>
      </c>
      <c r="G27" s="23">
        <f>IFERROR(IF($C$13="No","N/A",IF(Table15781012[[#This Row],[Period]]=1,$C$6,PMT(InterestRate*AmortizationMultiplier/12,Table15781012[[#This Row],[Am Thru]],-Table15781012[[#This Row],[Beginning Balance]]))),0)</f>
        <v>57151.534804609379</v>
      </c>
      <c r="H27" s="3">
        <f>MAX(0,IF(C27=$C$4,D27,ROUND(IF($C$3="Fixed Principal",$C$6-Table15781012[[#This Row],[Interest]],IF($C$3="Interest Only",Table15781012[[#This Row],[Beginning Balance]]*ROUND(1-(1-IF($C$11="No",$E$8,1))^(1/12),6),MIN(IF($C$13="Yes",Table15781012[[#This Row],[Payment Amount (Reamortized)]],$C$6)-Table15781012[[#This Row],[Interest]],Table15781012[[#This Row],[Beginning Balance]]))),2)))</f>
        <v>6590.92</v>
      </c>
      <c r="I27" s="4">
        <f>IF($C$3="Interest Only",0,ROUND(MAX(MIN(IF($C$10="No",$E$7,VLOOKUP(Table15781012[[#This Row],[Period]],Forecast!$H$2:$L$1048576,4,FALSE))*Table15781012[[#This Row],[Beginning Balance]],Table15781012[[#This Row],[Beginning Balance]]-Table15781012[[#This Row],[Principal]]),0),2))</f>
        <v>23761.06</v>
      </c>
      <c r="J27" s="3">
        <f>ROUND(MIN(Table15781012[[#This Row],[Beginning Balance]]*IF($C$8="No",$E$3,VLOOKUP(Table15781012[[#This Row],[Period]],Forecast!$H$2:$L$1048576,2,FALSE)),Table15781012[[#This Row],[Beginning Balance]]-Table15781012[[#This Row],[Principal]]-Table15781012[[#This Row],[Prepayments]]),2)</f>
        <v>4097.6000000000004</v>
      </c>
      <c r="K27" s="3">
        <f>ROUND(Table15781012[[#This Row],[Defaulted Principal]]*IF($C$9="No",$E$4,VLOOKUP(Table15781012[[#This Row],[Period]],Forecast!$H$2:$L$1048576,3,FALSE)),2)</f>
        <v>326.12</v>
      </c>
      <c r="L27" s="2">
        <f>Table15781012[[#This Row],[Period]]+$E$9</f>
        <v>23</v>
      </c>
      <c r="M27" s="3">
        <f>Table15781012[[#This Row],[Defaulted Principal]]-Table15781012[[#This Row],[Estimated Loss]]</f>
        <v>3771.4800000000005</v>
      </c>
      <c r="N27" s="3">
        <f>IFERROR(VLOOKUP(Table15781012[[#This Row],[Period]],$L$16:$M$28,2,FALSE),0)</f>
        <v>0</v>
      </c>
      <c r="O27" s="3">
        <f>Table15781012[[#This Row],[Beginning Balance]]-Table15781012[[#This Row],[Principal]]-Table15781012[[#This Row],[Prepayments]]-Table15781012[[#This Row],[Defaulted Principal]]</f>
        <v>8293996.1900000004</v>
      </c>
      <c r="P27" s="3">
        <f>Table15781012[[#This Row],[Principal]]+Table15781012[[#This Row],[Interest]]+Table15781012[[#This Row],[Prepayments]]+Table15781012[[#This Row],[RecoveredAmount]]</f>
        <v>80912.59</v>
      </c>
      <c r="Q27" s="3">
        <f ca="1">ROUND(Table15781012[[#This Row],[Cash Flow]]/((1+ActualRateToUse)^(IF(ISNUMBER(SEARCH("Actual",$C$7)),Table15781012[[#This Row],[Running Total]]/365,Table15781012[[#This Row],[Period]]/12))),2)</f>
        <v>75760.759999999995</v>
      </c>
      <c r="R27" s="2">
        <f>IF(MONTH(Table15781012[[#This Row],[Date]])=2,28,DAY(DATE(YEAR(Table15781012[[#This Row],[Date]]),MONTH(Table15781012[[#This Row],[Date]])+1,1)-1))</f>
        <v>31</v>
      </c>
      <c r="S27" s="2">
        <f ca="1">SUM(OFFSET(Table15781012[[#Headers],[Days in month]],1,0):Table15781012[[#This Row],[Days in month]])</f>
        <v>335</v>
      </c>
      <c r="T27" s="37">
        <f>InterestRate*AmortizationMultiplier*IF(ISNUMBER(SEARCH("Actual",$C$7)),Table15781012[[#This Row],[Days in month]]/365,1/12)</f>
        <v>6.0708333333333326E-3</v>
      </c>
    </row>
    <row r="28" spans="2:20" x14ac:dyDescent="0.2">
      <c r="B28" s="1">
        <v>46203</v>
      </c>
      <c r="C28" s="2">
        <f t="shared" si="1"/>
        <v>12</v>
      </c>
      <c r="D28" s="3">
        <f t="shared" si="0"/>
        <v>8293996.1900000004</v>
      </c>
      <c r="E28" s="3">
        <f>ROUND(Table15781012[[#This Row],[Beginning Balance]]*Table15781012[[#This Row],[Monthly Interest Rate]],2)</f>
        <v>48727.23</v>
      </c>
      <c r="F28" s="3">
        <f t="shared" si="2"/>
        <v>340</v>
      </c>
      <c r="G28" s="23">
        <f>IFERROR(IF($C$13="No","N/A",IF(Table15781012[[#This Row],[Period]]=1,$C$6,PMT(InterestRate*AmortizationMultiplier/12,Table15781012[[#This Row],[Am Thru]],-Table15781012[[#This Row],[Beginning Balance]]))),0)</f>
        <v>56966.724321242706</v>
      </c>
      <c r="H28" s="3">
        <f>MAX(0,IF(C28=$C$4,D28,ROUND(IF($C$3="Fixed Principal",$C$6-Table15781012[[#This Row],[Interest]],IF($C$3="Interest Only",Table15781012[[#This Row],[Beginning Balance]]*ROUND(1-(1-IF($C$11="No",$E$8,1))^(1/12),6),MIN(IF($C$13="Yes",Table15781012[[#This Row],[Payment Amount (Reamortized)]],$C$6)-Table15781012[[#This Row],[Interest]],Table15781012[[#This Row],[Beginning Balance]]))),2)))</f>
        <v>8239.49</v>
      </c>
      <c r="I28" s="4">
        <f>IF($C$3="Interest Only",0,ROUND(MAX(MIN(IF($C$10="No",$E$7,VLOOKUP(Table15781012[[#This Row],[Period]],Forecast!$H$2:$L$1048576,4,FALSE))*Table15781012[[#This Row],[Beginning Balance]],Table15781012[[#This Row],[Beginning Balance]]-Table15781012[[#This Row],[Principal]]),0),2))</f>
        <v>23662.77</v>
      </c>
      <c r="J28" s="3">
        <f>ROUND(MIN(Table15781012[[#This Row],[Beginning Balance]]*IF($C$8="No",$E$3,VLOOKUP(Table15781012[[#This Row],[Period]],Forecast!$H$2:$L$1048576,2,FALSE)),Table15781012[[#This Row],[Beginning Balance]]-Table15781012[[#This Row],[Principal]]-Table15781012[[#This Row],[Prepayments]]),2)</f>
        <v>4080.65</v>
      </c>
      <c r="K28" s="3">
        <f>ROUND(Table15781012[[#This Row],[Defaulted Principal]]*IF($C$9="No",$E$4,VLOOKUP(Table15781012[[#This Row],[Period]],Forecast!$H$2:$L$1048576,3,FALSE)),2)</f>
        <v>324.77</v>
      </c>
      <c r="L28" s="2">
        <f>Table15781012[[#This Row],[Period]]+$E$9</f>
        <v>24</v>
      </c>
      <c r="M28" s="3">
        <f>Table15781012[[#This Row],[Defaulted Principal]]-Table15781012[[#This Row],[Estimated Loss]]</f>
        <v>3755.88</v>
      </c>
      <c r="N28" s="3">
        <f>IFERROR(VLOOKUP(Table15781012[[#This Row],[Period]],$L$16:$M$28,2,FALSE),0)</f>
        <v>0</v>
      </c>
      <c r="O28" s="3">
        <f>Table15781012[[#This Row],[Beginning Balance]]-Table15781012[[#This Row],[Principal]]-Table15781012[[#This Row],[Prepayments]]-Table15781012[[#This Row],[Defaulted Principal]]</f>
        <v>8258013.2800000003</v>
      </c>
      <c r="P28" s="3">
        <f>Table15781012[[#This Row],[Principal]]+Table15781012[[#This Row],[Interest]]+Table15781012[[#This Row],[Prepayments]]+Table15781012[[#This Row],[RecoveredAmount]]</f>
        <v>80629.490000000005</v>
      </c>
      <c r="Q28" s="3">
        <f ca="1">ROUND(Table15781012[[#This Row],[Cash Flow]]/((1+ActualRateToUse)^(IF(ISNUMBER(SEARCH("Actual",$C$7)),Table15781012[[#This Row],[Running Total]]/365,Table15781012[[#This Row],[Period]]/12))),2)</f>
        <v>75052.210000000006</v>
      </c>
      <c r="R28" s="2">
        <f>IF(MONTH(Table15781012[[#This Row],[Date]])=2,28,DAY(DATE(YEAR(Table15781012[[#This Row],[Date]]),MONTH(Table15781012[[#This Row],[Date]])+1,1)-1))</f>
        <v>30</v>
      </c>
      <c r="S28" s="2">
        <f ca="1">SUM(OFFSET(Table15781012[[#Headers],[Days in month]],1,0):Table15781012[[#This Row],[Days in month]])</f>
        <v>365</v>
      </c>
      <c r="T28" s="37">
        <f>InterestRate*AmortizationMultiplier*IF(ISNUMBER(SEARCH("Actual",$C$7)),Table15781012[[#This Row],[Days in month]]/365,1/12)</f>
        <v>5.8749999999999991E-3</v>
      </c>
    </row>
    <row r="29" spans="2:20" x14ac:dyDescent="0.2">
      <c r="B29" s="1">
        <v>46234</v>
      </c>
      <c r="C29" s="2">
        <f t="shared" si="1"/>
        <v>13</v>
      </c>
      <c r="D29" s="3">
        <f t="shared" si="0"/>
        <v>8258013.2800000003</v>
      </c>
      <c r="E29" s="3">
        <f>ROUND(Table15781012[[#This Row],[Beginning Balance]]*Table15781012[[#This Row],[Monthly Interest Rate]],2)</f>
        <v>50133.02</v>
      </c>
      <c r="F29" s="3">
        <f t="shared" si="2"/>
        <v>339</v>
      </c>
      <c r="G29" s="23">
        <f>IFERROR(IF($C$13="No","N/A",IF(Table15781012[[#This Row],[Period]]=1,$C$6,PMT(InterestRate*AmortizationMultiplier/12,Table15781012[[#This Row],[Am Thru]],-Table15781012[[#This Row],[Beginning Balance]]))),0)</f>
        <v>56771.344175292747</v>
      </c>
      <c r="H29" s="3">
        <f>MAX(0,IF(C29=$C$4,D29,ROUND(IF($C$3="Fixed Principal",$C$6-Table15781012[[#This Row],[Interest]],IF($C$3="Interest Only",Table15781012[[#This Row],[Beginning Balance]]*ROUND(1-(1-IF($C$11="No",$E$8,1))^(1/12),6),MIN(IF($C$13="Yes",Table15781012[[#This Row],[Payment Amount (Reamortized)]],$C$6)-Table15781012[[#This Row],[Interest]],Table15781012[[#This Row],[Beginning Balance]]))),2)))</f>
        <v>6638.32</v>
      </c>
      <c r="I29" s="4">
        <f>IF($C$3="Interest Only",0,ROUND(MAX(MIN(IF($C$10="No",$E$7,VLOOKUP(Table15781012[[#This Row],[Period]],Forecast!$H$2:$L$1048576,4,FALSE))*Table15781012[[#This Row],[Beginning Balance]],Table15781012[[#This Row],[Beginning Balance]]-Table15781012[[#This Row],[Principal]]),0),2))</f>
        <v>23560.11</v>
      </c>
      <c r="J29" s="3">
        <f>ROUND(MIN(Table15781012[[#This Row],[Beginning Balance]]*IF($C$8="No",$E$3,VLOOKUP(Table15781012[[#This Row],[Period]],Forecast!$H$2:$L$1048576,2,FALSE)),Table15781012[[#This Row],[Beginning Balance]]-Table15781012[[#This Row],[Principal]]-Table15781012[[#This Row],[Prepayments]]),2)</f>
        <v>4261.13</v>
      </c>
      <c r="K29" s="3">
        <f>ROUND(Table15781012[[#This Row],[Defaulted Principal]]*IF($C$9="No",$E$4,VLOOKUP(Table15781012[[#This Row],[Period]],Forecast!$H$2:$L$1048576,3,FALSE)),2)</f>
        <v>343.29</v>
      </c>
      <c r="L29" s="2">
        <f>Table15781012[[#This Row],[Period]]+$E$9</f>
        <v>25</v>
      </c>
      <c r="M29" s="3">
        <f>Table15781012[[#This Row],[Defaulted Principal]]-Table15781012[[#This Row],[Estimated Loss]]</f>
        <v>3917.84</v>
      </c>
      <c r="N29" s="3">
        <f>IFERROR(VLOOKUP(Table15781012[[#This Row],[Period]],$L$16:$M$385,2,FALSE),0)</f>
        <v>3644.51</v>
      </c>
      <c r="O29" s="3">
        <f>Table15781012[[#This Row],[Beginning Balance]]-Table15781012[[#This Row],[Principal]]-Table15781012[[#This Row],[Prepayments]]-Table15781012[[#This Row],[Defaulted Principal]]</f>
        <v>8223553.7199999997</v>
      </c>
      <c r="P29" s="3">
        <f>Table15781012[[#This Row],[Principal]]+Table15781012[[#This Row],[Interest]]+Table15781012[[#This Row],[Prepayments]]+Table15781012[[#This Row],[RecoveredAmount]]</f>
        <v>83975.959999999992</v>
      </c>
      <c r="Q29" s="3">
        <f ca="1">ROUND(Table15781012[[#This Row],[Cash Flow]]/((1+ActualRateToUse)^(IF(ISNUMBER(SEARCH("Actual",$C$7)),Table15781012[[#This Row],[Running Total]]/365,Table15781012[[#This Row],[Period]]/12))),2)</f>
        <v>77692.77</v>
      </c>
      <c r="R29" s="2">
        <f>IF(MONTH(Table15781012[[#This Row],[Date]])=2,28,DAY(DATE(YEAR(Table15781012[[#This Row],[Date]]),MONTH(Table15781012[[#This Row],[Date]])+1,1)-1))</f>
        <v>31</v>
      </c>
      <c r="S29" s="2">
        <f ca="1">SUM(OFFSET(Table15781012[[#Headers],[Days in month]],1,0):Table15781012[[#This Row],[Days in month]])</f>
        <v>396</v>
      </c>
      <c r="T29" s="37">
        <f>InterestRate*AmortizationMultiplier*IF(ISNUMBER(SEARCH("Actual",$C$7)),Table15781012[[#This Row],[Days in month]]/365,1/12)</f>
        <v>6.0708333333333326E-3</v>
      </c>
    </row>
    <row r="30" spans="2:20" x14ac:dyDescent="0.2">
      <c r="B30" s="1">
        <v>46265</v>
      </c>
      <c r="C30" s="2">
        <f t="shared" si="1"/>
        <v>14</v>
      </c>
      <c r="D30" s="3">
        <f t="shared" si="0"/>
        <v>8223553.7199999997</v>
      </c>
      <c r="E30" s="3">
        <f>ROUND(Table15781012[[#This Row],[Beginning Balance]]*Table15781012[[#This Row],[Monthly Interest Rate]],2)</f>
        <v>49923.82</v>
      </c>
      <c r="F30" s="3">
        <f t="shared" si="2"/>
        <v>338</v>
      </c>
      <c r="G30" s="23">
        <f>IFERROR(IF($C$13="No","N/A",IF(Table15781012[[#This Row],[Period]]=1,$C$6,PMT(InterestRate*AmortizationMultiplier/12,Table15781012[[#This Row],[Am Thru]],-Table15781012[[#This Row],[Beginning Balance]]))),0)</f>
        <v>56586.397113694795</v>
      </c>
      <c r="H30" s="3">
        <f>MAX(0,IF(C30=$C$4,D30,ROUND(IF($C$3="Fixed Principal",$C$6-Table15781012[[#This Row],[Interest]],IF($C$3="Interest Only",Table15781012[[#This Row],[Beginning Balance]]*ROUND(1-(1-IF($C$11="No",$E$8,1))^(1/12),6),MIN(IF($C$13="Yes",Table15781012[[#This Row],[Payment Amount (Reamortized)]],$C$6)-Table15781012[[#This Row],[Interest]],Table15781012[[#This Row],[Beginning Balance]]))),2)))</f>
        <v>6662.58</v>
      </c>
      <c r="I30" s="4">
        <f>IF($C$3="Interest Only",0,ROUND(MAX(MIN(IF($C$10="No",$E$7,VLOOKUP(Table15781012[[#This Row],[Period]],Forecast!$H$2:$L$1048576,4,FALSE))*Table15781012[[#This Row],[Beginning Balance]],Table15781012[[#This Row],[Beginning Balance]]-Table15781012[[#This Row],[Principal]]),0),2))</f>
        <v>23461.8</v>
      </c>
      <c r="J30" s="3">
        <f>ROUND(MIN(Table15781012[[#This Row],[Beginning Balance]]*IF($C$8="No",$E$3,VLOOKUP(Table15781012[[#This Row],[Period]],Forecast!$H$2:$L$1048576,2,FALSE)),Table15781012[[#This Row],[Beginning Balance]]-Table15781012[[#This Row],[Principal]]-Table15781012[[#This Row],[Prepayments]]),2)</f>
        <v>4243.3500000000004</v>
      </c>
      <c r="K30" s="3">
        <f>ROUND(Table15781012[[#This Row],[Defaulted Principal]]*IF($C$9="No",$E$4,VLOOKUP(Table15781012[[#This Row],[Period]],Forecast!$H$2:$L$1048576,3,FALSE)),2)</f>
        <v>341.86</v>
      </c>
      <c r="L30" s="2">
        <f>Table15781012[[#This Row],[Period]]+$E$9</f>
        <v>26</v>
      </c>
      <c r="M30" s="3">
        <f>Table15781012[[#This Row],[Defaulted Principal]]-Table15781012[[#This Row],[Estimated Loss]]</f>
        <v>3901.4900000000002</v>
      </c>
      <c r="N30" s="3">
        <f>IFERROR(VLOOKUP(Table15781012[[#This Row],[Period]],$L$16:$M$385,2,FALSE),0)</f>
        <v>3629.78</v>
      </c>
      <c r="O30" s="3">
        <f>Table15781012[[#This Row],[Beginning Balance]]-Table15781012[[#This Row],[Principal]]-Table15781012[[#This Row],[Prepayments]]-Table15781012[[#This Row],[Defaulted Principal]]</f>
        <v>8189185.9900000002</v>
      </c>
      <c r="P30" s="3">
        <f>Table15781012[[#This Row],[Principal]]+Table15781012[[#This Row],[Interest]]+Table15781012[[#This Row],[Prepayments]]+Table15781012[[#This Row],[RecoveredAmount]]</f>
        <v>83677.98</v>
      </c>
      <c r="Q30" s="3">
        <f ca="1">ROUND(Table15781012[[#This Row],[Cash Flow]]/((1+ActualRateToUse)^(IF(ISNUMBER(SEARCH("Actual",$C$7)),Table15781012[[#This Row],[Running Total]]/365,Table15781012[[#This Row],[Period]]/12))),2)</f>
        <v>76947.210000000006</v>
      </c>
      <c r="R30" s="2">
        <f>IF(MONTH(Table15781012[[#This Row],[Date]])=2,28,DAY(DATE(YEAR(Table15781012[[#This Row],[Date]]),MONTH(Table15781012[[#This Row],[Date]])+1,1)-1))</f>
        <v>31</v>
      </c>
      <c r="S30" s="2">
        <f ca="1">SUM(OFFSET(Table15781012[[#Headers],[Days in month]],1,0):Table15781012[[#This Row],[Days in month]])</f>
        <v>427</v>
      </c>
      <c r="T30" s="37">
        <f>InterestRate*AmortizationMultiplier*IF(ISNUMBER(SEARCH("Actual",$C$7)),Table15781012[[#This Row],[Days in month]]/365,1/12)</f>
        <v>6.0708333333333326E-3</v>
      </c>
    </row>
    <row r="31" spans="2:20" x14ac:dyDescent="0.2">
      <c r="B31" s="1">
        <v>46295</v>
      </c>
      <c r="C31" s="2">
        <f t="shared" si="1"/>
        <v>15</v>
      </c>
      <c r="D31" s="3">
        <f t="shared" si="0"/>
        <v>8189185.9900000002</v>
      </c>
      <c r="E31" s="3">
        <f>ROUND(Table15781012[[#This Row],[Beginning Balance]]*Table15781012[[#This Row],[Monthly Interest Rate]],2)</f>
        <v>48111.47</v>
      </c>
      <c r="F31" s="3">
        <f t="shared" si="2"/>
        <v>337</v>
      </c>
      <c r="G31" s="23">
        <f>IFERROR(IF($C$13="No","N/A",IF(Table15781012[[#This Row],[Period]]=1,$C$6,PMT(InterestRate*AmortizationMultiplier/12,Table15781012[[#This Row],[Am Thru]],-Table15781012[[#This Row],[Beginning Balance]]))),0)</f>
        <v>56402.051308624337</v>
      </c>
      <c r="H31" s="3">
        <f>MAX(0,IF(C31=$C$4,D31,ROUND(IF($C$3="Fixed Principal",$C$6-Table15781012[[#This Row],[Interest]],IF($C$3="Interest Only",Table15781012[[#This Row],[Beginning Balance]]*ROUND(1-(1-IF($C$11="No",$E$8,1))^(1/12),6),MIN(IF($C$13="Yes",Table15781012[[#This Row],[Payment Amount (Reamortized)]],$C$6)-Table15781012[[#This Row],[Interest]],Table15781012[[#This Row],[Beginning Balance]]))),2)))</f>
        <v>8290.58</v>
      </c>
      <c r="I31" s="4">
        <f>IF($C$3="Interest Only",0,ROUND(MAX(MIN(IF($C$10="No",$E$7,VLOOKUP(Table15781012[[#This Row],[Period]],Forecast!$H$2:$L$1048576,4,FALSE))*Table15781012[[#This Row],[Beginning Balance]],Table15781012[[#This Row],[Beginning Balance]]-Table15781012[[#This Row],[Principal]]),0),2))</f>
        <v>23363.75</v>
      </c>
      <c r="J31" s="3">
        <f>ROUND(MIN(Table15781012[[#This Row],[Beginning Balance]]*IF($C$8="No",$E$3,VLOOKUP(Table15781012[[#This Row],[Period]],Forecast!$H$2:$L$1048576,2,FALSE)),Table15781012[[#This Row],[Beginning Balance]]-Table15781012[[#This Row],[Principal]]-Table15781012[[#This Row],[Prepayments]]),2)</f>
        <v>4225.62</v>
      </c>
      <c r="K31" s="3">
        <f>ROUND(Table15781012[[#This Row],[Defaulted Principal]]*IF($C$9="No",$E$4,VLOOKUP(Table15781012[[#This Row],[Period]],Forecast!$H$2:$L$1048576,3,FALSE)),2)</f>
        <v>340.43</v>
      </c>
      <c r="L31" s="2">
        <f>Table15781012[[#This Row],[Period]]+$E$9</f>
        <v>27</v>
      </c>
      <c r="M31" s="3">
        <f>Table15781012[[#This Row],[Defaulted Principal]]-Table15781012[[#This Row],[Estimated Loss]]</f>
        <v>3885.19</v>
      </c>
      <c r="N31" s="3">
        <f>IFERROR(VLOOKUP(Table15781012[[#This Row],[Period]],$L$16:$M$385,2,FALSE),0)</f>
        <v>3615.0899999999997</v>
      </c>
      <c r="O31" s="3">
        <f>Table15781012[[#This Row],[Beginning Balance]]-Table15781012[[#This Row],[Principal]]-Table15781012[[#This Row],[Prepayments]]-Table15781012[[#This Row],[Defaulted Principal]]</f>
        <v>8153306.04</v>
      </c>
      <c r="P31" s="3">
        <f>Table15781012[[#This Row],[Principal]]+Table15781012[[#This Row],[Interest]]+Table15781012[[#This Row],[Prepayments]]+Table15781012[[#This Row],[RecoveredAmount]]</f>
        <v>83380.89</v>
      </c>
      <c r="Q31" s="3">
        <f ca="1">ROUND(Table15781012[[#This Row],[Cash Flow]]/((1+ActualRateToUse)^(IF(ISNUMBER(SEARCH("Actual",$C$7)),Table15781012[[#This Row],[Running Total]]/365,Table15781012[[#This Row],[Period]]/12))),2)</f>
        <v>76223.61</v>
      </c>
      <c r="R31" s="2">
        <f>IF(MONTH(Table15781012[[#This Row],[Date]])=2,28,DAY(DATE(YEAR(Table15781012[[#This Row],[Date]]),MONTH(Table15781012[[#This Row],[Date]])+1,1)-1))</f>
        <v>30</v>
      </c>
      <c r="S31" s="2">
        <f ca="1">SUM(OFFSET(Table15781012[[#Headers],[Days in month]],1,0):Table15781012[[#This Row],[Days in month]])</f>
        <v>457</v>
      </c>
      <c r="T31" s="37">
        <f>InterestRate*AmortizationMultiplier*IF(ISNUMBER(SEARCH("Actual",$C$7)),Table15781012[[#This Row],[Days in month]]/365,1/12)</f>
        <v>5.8749999999999991E-3</v>
      </c>
    </row>
    <row r="32" spans="2:20" x14ac:dyDescent="0.2">
      <c r="B32" s="1">
        <v>46326</v>
      </c>
      <c r="C32" s="2">
        <f t="shared" si="1"/>
        <v>16</v>
      </c>
      <c r="D32" s="3">
        <f t="shared" si="0"/>
        <v>8153306.04</v>
      </c>
      <c r="E32" s="3">
        <f>ROUND(Table15781012[[#This Row],[Beginning Balance]]*Table15781012[[#This Row],[Monthly Interest Rate]],2)</f>
        <v>49497.36</v>
      </c>
      <c r="F32" s="3">
        <f t="shared" si="2"/>
        <v>336</v>
      </c>
      <c r="G32" s="23">
        <f>IFERROR(IF($C$13="No","N/A",IF(Table15781012[[#This Row],[Period]]=1,$C$6,PMT(InterestRate*AmortizationMultiplier/12,Table15781012[[#This Row],[Am Thru]],-Table15781012[[#This Row],[Beginning Balance]]))),0)</f>
        <v>56207.249236655334</v>
      </c>
      <c r="H32" s="3">
        <f>MAX(0,IF(C32=$C$4,D32,ROUND(IF($C$3="Fixed Principal",$C$6-Table15781012[[#This Row],[Interest]],IF($C$3="Interest Only",Table15781012[[#This Row],[Beginning Balance]]*ROUND(1-(1-IF($C$11="No",$E$8,1))^(1/12),6),MIN(IF($C$13="Yes",Table15781012[[#This Row],[Payment Amount (Reamortized)]],$C$6)-Table15781012[[#This Row],[Interest]],Table15781012[[#This Row],[Beginning Balance]]))),2)))</f>
        <v>6709.89</v>
      </c>
      <c r="I32" s="4">
        <f>IF($C$3="Interest Only",0,ROUND(MAX(MIN(IF($C$10="No",$E$7,VLOOKUP(Table15781012[[#This Row],[Period]],Forecast!$H$2:$L$1048576,4,FALSE))*Table15781012[[#This Row],[Beginning Balance]],Table15781012[[#This Row],[Beginning Balance]]-Table15781012[[#This Row],[Principal]]),0),2))</f>
        <v>23261.38</v>
      </c>
      <c r="J32" s="3">
        <f>ROUND(MIN(Table15781012[[#This Row],[Beginning Balance]]*IF($C$8="No",$E$3,VLOOKUP(Table15781012[[#This Row],[Period]],Forecast!$H$2:$L$1048576,2,FALSE)),Table15781012[[#This Row],[Beginning Balance]]-Table15781012[[#This Row],[Principal]]-Table15781012[[#This Row],[Prepayments]]),2)</f>
        <v>4402.79</v>
      </c>
      <c r="K32" s="3">
        <f>ROUND(Table15781012[[#This Row],[Defaulted Principal]]*IF($C$9="No",$E$4,VLOOKUP(Table15781012[[#This Row],[Period]],Forecast!$H$2:$L$1048576,3,FALSE)),2)</f>
        <v>358.87</v>
      </c>
      <c r="L32" s="2">
        <f>Table15781012[[#This Row],[Period]]+$E$9</f>
        <v>28</v>
      </c>
      <c r="M32" s="3">
        <f>Table15781012[[#This Row],[Defaulted Principal]]-Table15781012[[#This Row],[Estimated Loss]]</f>
        <v>4043.92</v>
      </c>
      <c r="N32" s="3">
        <f>IFERROR(VLOOKUP(Table15781012[[#This Row],[Period]],$L$16:$M$385,2,FALSE),0)</f>
        <v>3955.2800000000007</v>
      </c>
      <c r="O32" s="3">
        <f>Table15781012[[#This Row],[Beginning Balance]]-Table15781012[[#This Row],[Principal]]-Table15781012[[#This Row],[Prepayments]]-Table15781012[[#This Row],[Defaulted Principal]]</f>
        <v>8118931.9800000004</v>
      </c>
      <c r="P32" s="3">
        <f>Table15781012[[#This Row],[Principal]]+Table15781012[[#This Row],[Interest]]+Table15781012[[#This Row],[Prepayments]]+Table15781012[[#This Row],[RecoveredAmount]]</f>
        <v>83423.91</v>
      </c>
      <c r="Q32" s="3">
        <f ca="1">ROUND(Table15781012[[#This Row],[Cash Flow]]/((1+ActualRateToUse)^(IF(ISNUMBER(SEARCH("Actual",$C$7)),Table15781012[[#This Row],[Running Total]]/365,Table15781012[[#This Row],[Period]]/12))),2)</f>
        <v>75800.070000000007</v>
      </c>
      <c r="R32" s="2">
        <f>IF(MONTH(Table15781012[[#This Row],[Date]])=2,28,DAY(DATE(YEAR(Table15781012[[#This Row],[Date]]),MONTH(Table15781012[[#This Row],[Date]])+1,1)-1))</f>
        <v>31</v>
      </c>
      <c r="S32" s="2">
        <f ca="1">SUM(OFFSET(Table15781012[[#Headers],[Days in month]],1,0):Table15781012[[#This Row],[Days in month]])</f>
        <v>488</v>
      </c>
      <c r="T32" s="37">
        <f>InterestRate*AmortizationMultiplier*IF(ISNUMBER(SEARCH("Actual",$C$7)),Table15781012[[#This Row],[Days in month]]/365,1/12)</f>
        <v>6.0708333333333326E-3</v>
      </c>
    </row>
    <row r="33" spans="2:20" x14ac:dyDescent="0.2">
      <c r="B33" s="1">
        <v>46356</v>
      </c>
      <c r="C33" s="2">
        <f t="shared" si="1"/>
        <v>17</v>
      </c>
      <c r="D33" s="3">
        <f t="shared" si="0"/>
        <v>8118931.9800000004</v>
      </c>
      <c r="E33" s="3">
        <f>ROUND(Table15781012[[#This Row],[Beginning Balance]]*Table15781012[[#This Row],[Monthly Interest Rate]],2)</f>
        <v>47698.73</v>
      </c>
      <c r="F33" s="3">
        <f t="shared" si="2"/>
        <v>335</v>
      </c>
      <c r="G33" s="23">
        <f>IFERROR(IF($C$13="No","N/A",IF(Table15781012[[#This Row],[Period]]=1,$C$6,PMT(InterestRate*AmortizationMultiplier/12,Table15781012[[#This Row],[Am Thru]],-Table15781012[[#This Row],[Beginning Balance]]))),0)</f>
        <v>56022.786020796651</v>
      </c>
      <c r="H33" s="3">
        <f>MAX(0,IF(C33=$C$4,D33,ROUND(IF($C$3="Fixed Principal",$C$6-Table15781012[[#This Row],[Interest]],IF($C$3="Interest Only",Table15781012[[#This Row],[Beginning Balance]]*ROUND(1-(1-IF($C$11="No",$E$8,1))^(1/12),6),MIN(IF($C$13="Yes",Table15781012[[#This Row],[Payment Amount (Reamortized)]],$C$6)-Table15781012[[#This Row],[Interest]],Table15781012[[#This Row],[Beginning Balance]]))),2)))</f>
        <v>8324.06</v>
      </c>
      <c r="I33" s="4">
        <f>IF($C$3="Interest Only",0,ROUND(MAX(MIN(IF($C$10="No",$E$7,VLOOKUP(Table15781012[[#This Row],[Period]],Forecast!$H$2:$L$1048576,4,FALSE))*Table15781012[[#This Row],[Beginning Balance]],Table15781012[[#This Row],[Beginning Balance]]-Table15781012[[#This Row],[Principal]]),0),2))</f>
        <v>23163.31</v>
      </c>
      <c r="J33" s="3">
        <f>ROUND(MIN(Table15781012[[#This Row],[Beginning Balance]]*IF($C$8="No",$E$3,VLOOKUP(Table15781012[[#This Row],[Period]],Forecast!$H$2:$L$1048576,2,FALSE)),Table15781012[[#This Row],[Beginning Balance]]-Table15781012[[#This Row],[Principal]]-Table15781012[[#This Row],[Prepayments]]),2)</f>
        <v>4384.22</v>
      </c>
      <c r="K33" s="3">
        <f>ROUND(Table15781012[[#This Row],[Defaulted Principal]]*IF($C$9="No",$E$4,VLOOKUP(Table15781012[[#This Row],[Period]],Forecast!$H$2:$L$1048576,3,FALSE)),2)</f>
        <v>357.35</v>
      </c>
      <c r="L33" s="2">
        <f>Table15781012[[#This Row],[Period]]+$E$9</f>
        <v>29</v>
      </c>
      <c r="M33" s="3">
        <f>Table15781012[[#This Row],[Defaulted Principal]]-Table15781012[[#This Row],[Estimated Loss]]</f>
        <v>4026.8700000000003</v>
      </c>
      <c r="N33" s="3">
        <f>IFERROR(VLOOKUP(Table15781012[[#This Row],[Period]],$L$16:$M$385,2,FALSE),0)</f>
        <v>3939.05</v>
      </c>
      <c r="O33" s="3">
        <f>Table15781012[[#This Row],[Beginning Balance]]-Table15781012[[#This Row],[Principal]]-Table15781012[[#This Row],[Prepayments]]-Table15781012[[#This Row],[Defaulted Principal]]</f>
        <v>8083060.3900000015</v>
      </c>
      <c r="P33" s="3">
        <f>Table15781012[[#This Row],[Principal]]+Table15781012[[#This Row],[Interest]]+Table15781012[[#This Row],[Prepayments]]+Table15781012[[#This Row],[RecoveredAmount]]</f>
        <v>83125.150000000009</v>
      </c>
      <c r="Q33" s="3">
        <f ca="1">ROUND(Table15781012[[#This Row],[Cash Flow]]/((1+ActualRateToUse)^(IF(ISNUMBER(SEARCH("Actual",$C$7)),Table15781012[[#This Row],[Running Total]]/365,Table15781012[[#This Row],[Period]]/12))),2)</f>
        <v>75084.94</v>
      </c>
      <c r="R33" s="2">
        <f>IF(MONTH(Table15781012[[#This Row],[Date]])=2,28,DAY(DATE(YEAR(Table15781012[[#This Row],[Date]]),MONTH(Table15781012[[#This Row],[Date]])+1,1)-1))</f>
        <v>30</v>
      </c>
      <c r="S33" s="2">
        <f ca="1">SUM(OFFSET(Table15781012[[#Headers],[Days in month]],1,0):Table15781012[[#This Row],[Days in month]])</f>
        <v>518</v>
      </c>
      <c r="T33" s="37">
        <f>InterestRate*AmortizationMultiplier*IF(ISNUMBER(SEARCH("Actual",$C$7)),Table15781012[[#This Row],[Days in month]]/365,1/12)</f>
        <v>5.8749999999999991E-3</v>
      </c>
    </row>
    <row r="34" spans="2:20" x14ac:dyDescent="0.2">
      <c r="B34" s="1">
        <v>46387</v>
      </c>
      <c r="C34" s="2">
        <f t="shared" si="1"/>
        <v>18</v>
      </c>
      <c r="D34" s="3">
        <f t="shared" si="0"/>
        <v>8083060.3900000015</v>
      </c>
      <c r="E34" s="3">
        <f>ROUND(Table15781012[[#This Row],[Beginning Balance]]*Table15781012[[#This Row],[Monthly Interest Rate]],2)</f>
        <v>49070.91</v>
      </c>
      <c r="F34" s="3">
        <f t="shared" si="2"/>
        <v>334</v>
      </c>
      <c r="G34" s="23">
        <f>IFERROR(IF($C$13="No","N/A",IF(Table15781012[[#This Row],[Period]]=1,$C$6,PMT(InterestRate*AmortizationMultiplier/12,Table15781012[[#This Row],[Am Thru]],-Table15781012[[#This Row],[Beginning Balance]]))),0)</f>
        <v>55827.945586618138</v>
      </c>
      <c r="H34" s="3">
        <f>MAX(0,IF(C34=$C$4,D34,ROUND(IF($C$3="Fixed Principal",$C$6-Table15781012[[#This Row],[Interest]],IF($C$3="Interest Only",Table15781012[[#This Row],[Beginning Balance]]*ROUND(1-(1-IF($C$11="No",$E$8,1))^(1/12),6),MIN(IF($C$13="Yes",Table15781012[[#This Row],[Payment Amount (Reamortized)]],$C$6)-Table15781012[[#This Row],[Interest]],Table15781012[[#This Row],[Beginning Balance]]))),2)))</f>
        <v>6757.04</v>
      </c>
      <c r="I34" s="4">
        <f>IF($C$3="Interest Only",0,ROUND(MAX(MIN(IF($C$10="No",$E$7,VLOOKUP(Table15781012[[#This Row],[Period]],Forecast!$H$2:$L$1048576,4,FALSE))*Table15781012[[#This Row],[Beginning Balance]],Table15781012[[#This Row],[Beginning Balance]]-Table15781012[[#This Row],[Principal]]),0),2))</f>
        <v>23060.97</v>
      </c>
      <c r="J34" s="3">
        <f>ROUND(MIN(Table15781012[[#This Row],[Beginning Balance]]*IF($C$8="No",$E$3,VLOOKUP(Table15781012[[#This Row],[Period]],Forecast!$H$2:$L$1048576,2,FALSE)),Table15781012[[#This Row],[Beginning Balance]]-Table15781012[[#This Row],[Principal]]-Table15781012[[#This Row],[Prepayments]]),2)</f>
        <v>4364.8500000000004</v>
      </c>
      <c r="K34" s="3">
        <f>ROUND(Table15781012[[#This Row],[Defaulted Principal]]*IF($C$9="No",$E$4,VLOOKUP(Table15781012[[#This Row],[Period]],Forecast!$H$2:$L$1048576,3,FALSE)),2)</f>
        <v>355.77</v>
      </c>
      <c r="L34" s="2">
        <f>Table15781012[[#This Row],[Period]]+$E$9</f>
        <v>30</v>
      </c>
      <c r="M34" s="3">
        <f>Table15781012[[#This Row],[Defaulted Principal]]-Table15781012[[#This Row],[Estimated Loss]]</f>
        <v>4009.0800000000004</v>
      </c>
      <c r="N34" s="3">
        <f>IFERROR(VLOOKUP(Table15781012[[#This Row],[Period]],$L$16:$M$385,2,FALSE),0)</f>
        <v>3922.0899999999997</v>
      </c>
      <c r="O34" s="3">
        <f>Table15781012[[#This Row],[Beginning Balance]]-Table15781012[[#This Row],[Principal]]-Table15781012[[#This Row],[Prepayments]]-Table15781012[[#This Row],[Defaulted Principal]]</f>
        <v>8048877.5300000021</v>
      </c>
      <c r="P34" s="3">
        <f>Table15781012[[#This Row],[Principal]]+Table15781012[[#This Row],[Interest]]+Table15781012[[#This Row],[Prepayments]]+Table15781012[[#This Row],[RecoveredAmount]]</f>
        <v>82811.010000000009</v>
      </c>
      <c r="Q34" s="3">
        <f ca="1">ROUND(Table15781012[[#This Row],[Cash Flow]]/((1+ActualRateToUse)^(IF(ISNUMBER(SEARCH("Actual",$C$7)),Table15781012[[#This Row],[Running Total]]/365,Table15781012[[#This Row],[Period]]/12))),2)</f>
        <v>74347.179999999993</v>
      </c>
      <c r="R34" s="2">
        <f>IF(MONTH(Table15781012[[#This Row],[Date]])=2,28,DAY(DATE(YEAR(Table15781012[[#This Row],[Date]]),MONTH(Table15781012[[#This Row],[Date]])+1,1)-1))</f>
        <v>31</v>
      </c>
      <c r="S34" s="2">
        <f ca="1">SUM(OFFSET(Table15781012[[#Headers],[Days in month]],1,0):Table15781012[[#This Row],[Days in month]])</f>
        <v>549</v>
      </c>
      <c r="T34" s="37">
        <f>InterestRate*AmortizationMultiplier*IF(ISNUMBER(SEARCH("Actual",$C$7)),Table15781012[[#This Row],[Days in month]]/365,1/12)</f>
        <v>6.0708333333333326E-3</v>
      </c>
    </row>
    <row r="35" spans="2:20" x14ac:dyDescent="0.2">
      <c r="B35" s="1">
        <v>46418</v>
      </c>
      <c r="C35" s="2">
        <f t="shared" si="1"/>
        <v>19</v>
      </c>
      <c r="D35" s="3">
        <f t="shared" si="0"/>
        <v>8048877.5300000021</v>
      </c>
      <c r="E35" s="3">
        <f>ROUND(Table15781012[[#This Row],[Beginning Balance]]*Table15781012[[#This Row],[Monthly Interest Rate]],2)</f>
        <v>48863.39</v>
      </c>
      <c r="F35" s="3">
        <f t="shared" si="2"/>
        <v>333</v>
      </c>
      <c r="G35" s="23">
        <f>IFERROR(IF($C$13="No","N/A",IF(Table15781012[[#This Row],[Period]]=1,$C$6,PMT(InterestRate*AmortizationMultiplier/12,Table15781012[[#This Row],[Am Thru]],-Table15781012[[#This Row],[Beginning Balance]]))),0)</f>
        <v>55644.724820386218</v>
      </c>
      <c r="H35" s="3">
        <f>MAX(0,IF(C35=$C$4,D35,ROUND(IF($C$3="Fixed Principal",$C$6-Table15781012[[#This Row],[Interest]],IF($C$3="Interest Only",Table15781012[[#This Row],[Beginning Balance]]*ROUND(1-(1-IF($C$11="No",$E$8,1))^(1/12),6),MIN(IF($C$13="Yes",Table15781012[[#This Row],[Payment Amount (Reamortized)]],$C$6)-Table15781012[[#This Row],[Interest]],Table15781012[[#This Row],[Beginning Balance]]))),2)))</f>
        <v>6781.33</v>
      </c>
      <c r="I35" s="4">
        <f>IF($C$3="Interest Only",0,ROUND(MAX(MIN(IF($C$10="No",$E$7,VLOOKUP(Table15781012[[#This Row],[Period]],Forecast!$H$2:$L$1048576,4,FALSE))*Table15781012[[#This Row],[Beginning Balance]],Table15781012[[#This Row],[Beginning Balance]]-Table15781012[[#This Row],[Principal]]),0),2))</f>
        <v>22963.45</v>
      </c>
      <c r="J35" s="3">
        <f>ROUND(MIN(Table15781012[[#This Row],[Beginning Balance]]*IF($C$8="No",$E$3,VLOOKUP(Table15781012[[#This Row],[Period]],Forecast!$H$2:$L$1048576,2,FALSE)),Table15781012[[#This Row],[Beginning Balance]]-Table15781012[[#This Row],[Principal]]-Table15781012[[#This Row],[Prepayments]]),2)</f>
        <v>4539.57</v>
      </c>
      <c r="K35" s="3">
        <f>ROUND(Table15781012[[#This Row],[Defaulted Principal]]*IF($C$9="No",$E$4,VLOOKUP(Table15781012[[#This Row],[Period]],Forecast!$H$2:$L$1048576,3,FALSE)),2)</f>
        <v>374.19</v>
      </c>
      <c r="L35" s="2">
        <f>Table15781012[[#This Row],[Period]]+$E$9</f>
        <v>31</v>
      </c>
      <c r="M35" s="3">
        <f>Table15781012[[#This Row],[Defaulted Principal]]-Table15781012[[#This Row],[Estimated Loss]]</f>
        <v>4165.38</v>
      </c>
      <c r="N35" s="3">
        <f>IFERROR(VLOOKUP(Table15781012[[#This Row],[Period]],$L$16:$M$385,2,FALSE),0)</f>
        <v>3875.5600000000004</v>
      </c>
      <c r="O35" s="3">
        <f>Table15781012[[#This Row],[Beginning Balance]]-Table15781012[[#This Row],[Principal]]-Table15781012[[#This Row],[Prepayments]]-Table15781012[[#This Row],[Defaulted Principal]]</f>
        <v>8014593.1800000016</v>
      </c>
      <c r="P35" s="3">
        <f>Table15781012[[#This Row],[Principal]]+Table15781012[[#This Row],[Interest]]+Table15781012[[#This Row],[Prepayments]]+Table15781012[[#This Row],[RecoveredAmount]]</f>
        <v>82483.73</v>
      </c>
      <c r="Q35" s="3">
        <f ca="1">ROUND(Table15781012[[#This Row],[Cash Flow]]/((1+ActualRateToUse)^(IF(ISNUMBER(SEARCH("Actual",$C$7)),Table15781012[[#This Row],[Running Total]]/365,Table15781012[[#This Row],[Period]]/12))),2)</f>
        <v>73603.89</v>
      </c>
      <c r="R35" s="2">
        <f>IF(MONTH(Table15781012[[#This Row],[Date]])=2,28,DAY(DATE(YEAR(Table15781012[[#This Row],[Date]]),MONTH(Table15781012[[#This Row],[Date]])+1,1)-1))</f>
        <v>31</v>
      </c>
      <c r="S35" s="2">
        <f ca="1">SUM(OFFSET(Table15781012[[#Headers],[Days in month]],1,0):Table15781012[[#This Row],[Days in month]])</f>
        <v>580</v>
      </c>
      <c r="T35" s="37">
        <f>InterestRate*AmortizationMultiplier*IF(ISNUMBER(SEARCH("Actual",$C$7)),Table15781012[[#This Row],[Days in month]]/365,1/12)</f>
        <v>6.0708333333333326E-3</v>
      </c>
    </row>
    <row r="36" spans="2:20" x14ac:dyDescent="0.2">
      <c r="B36" s="1">
        <v>46446</v>
      </c>
      <c r="C36" s="2">
        <f t="shared" si="1"/>
        <v>20</v>
      </c>
      <c r="D36" s="3">
        <f t="shared" si="0"/>
        <v>8014593.1800000016</v>
      </c>
      <c r="E36" s="3">
        <f>ROUND(Table15781012[[#This Row],[Beginning Balance]]*Table15781012[[#This Row],[Monthly Interest Rate]],2)</f>
        <v>43946.69</v>
      </c>
      <c r="F36" s="3">
        <f t="shared" si="2"/>
        <v>332</v>
      </c>
      <c r="G36" s="23">
        <f>IFERROR(IF($C$13="No","N/A",IF(Table15781012[[#This Row],[Period]]=1,$C$6,PMT(InterestRate*AmortizationMultiplier/12,Table15781012[[#This Row],[Am Thru]],-Table15781012[[#This Row],[Beginning Balance]]))),0)</f>
        <v>55460.767398222801</v>
      </c>
      <c r="H36" s="3">
        <f>MAX(0,IF(C36=$C$4,D36,ROUND(IF($C$3="Fixed Principal",$C$6-Table15781012[[#This Row],[Interest]],IF($C$3="Interest Only",Table15781012[[#This Row],[Beginning Balance]]*ROUND(1-(1-IF($C$11="No",$E$8,1))^(1/12),6),MIN(IF($C$13="Yes",Table15781012[[#This Row],[Payment Amount (Reamortized)]],$C$6)-Table15781012[[#This Row],[Interest]],Table15781012[[#This Row],[Beginning Balance]]))),2)))</f>
        <v>11514.08</v>
      </c>
      <c r="I36" s="4">
        <f>IF($C$3="Interest Only",0,ROUND(MAX(MIN(IF($C$10="No",$E$7,VLOOKUP(Table15781012[[#This Row],[Period]],Forecast!$H$2:$L$1048576,4,FALSE))*Table15781012[[#This Row],[Beginning Balance]],Table15781012[[#This Row],[Beginning Balance]]-Table15781012[[#This Row],[Principal]]),0),2))</f>
        <v>22865.63</v>
      </c>
      <c r="J36" s="3">
        <f>ROUND(MIN(Table15781012[[#This Row],[Beginning Balance]]*IF($C$8="No",$E$3,VLOOKUP(Table15781012[[#This Row],[Period]],Forecast!$H$2:$L$1048576,2,FALSE)),Table15781012[[#This Row],[Beginning Balance]]-Table15781012[[#This Row],[Principal]]-Table15781012[[#This Row],[Prepayments]]),2)</f>
        <v>4520.2299999999996</v>
      </c>
      <c r="K36" s="3">
        <f>ROUND(Table15781012[[#This Row],[Defaulted Principal]]*IF($C$9="No",$E$4,VLOOKUP(Table15781012[[#This Row],[Period]],Forecast!$H$2:$L$1048576,3,FALSE)),2)</f>
        <v>372.6</v>
      </c>
      <c r="L36" s="2">
        <f>Table15781012[[#This Row],[Period]]+$E$9</f>
        <v>32</v>
      </c>
      <c r="M36" s="3">
        <f>Table15781012[[#This Row],[Defaulted Principal]]-Table15781012[[#This Row],[Estimated Loss]]</f>
        <v>4147.6299999999992</v>
      </c>
      <c r="N36" s="3">
        <f>IFERROR(VLOOKUP(Table15781012[[#This Row],[Period]],$L$16:$M$385,2,FALSE),0)</f>
        <v>3859.61</v>
      </c>
      <c r="O36" s="3">
        <f>Table15781012[[#This Row],[Beginning Balance]]-Table15781012[[#This Row],[Principal]]-Table15781012[[#This Row],[Prepayments]]-Table15781012[[#This Row],[Defaulted Principal]]</f>
        <v>7975693.2400000012</v>
      </c>
      <c r="P36" s="3">
        <f>Table15781012[[#This Row],[Principal]]+Table15781012[[#This Row],[Interest]]+Table15781012[[#This Row],[Prepayments]]+Table15781012[[#This Row],[RecoveredAmount]]</f>
        <v>82186.010000000009</v>
      </c>
      <c r="Q36" s="3">
        <f ca="1">ROUND(Table15781012[[#This Row],[Cash Flow]]/((1+ActualRateToUse)^(IF(ISNUMBER(SEARCH("Actual",$C$7)),Table15781012[[#This Row],[Running Total]]/365,Table15781012[[#This Row],[Period]]/12))),2)</f>
        <v>72936.06</v>
      </c>
      <c r="R36" s="2">
        <f>IF(MONTH(Table15781012[[#This Row],[Date]])=2,28,DAY(DATE(YEAR(Table15781012[[#This Row],[Date]]),MONTH(Table15781012[[#This Row],[Date]])+1,1)-1))</f>
        <v>28</v>
      </c>
      <c r="S36" s="2">
        <f ca="1">SUM(OFFSET(Table15781012[[#Headers],[Days in month]],1,0):Table15781012[[#This Row],[Days in month]])</f>
        <v>608</v>
      </c>
      <c r="T36" s="37">
        <f>InterestRate*AmortizationMultiplier*IF(ISNUMBER(SEARCH("Actual",$C$7)),Table15781012[[#This Row],[Days in month]]/365,1/12)</f>
        <v>5.4833333333333331E-3</v>
      </c>
    </row>
    <row r="37" spans="2:20" x14ac:dyDescent="0.2">
      <c r="B37" s="1">
        <v>46477</v>
      </c>
      <c r="C37" s="2">
        <f t="shared" si="1"/>
        <v>21</v>
      </c>
      <c r="D37" s="3">
        <f t="shared" si="0"/>
        <v>7975693.2400000012</v>
      </c>
      <c r="E37" s="3">
        <f>ROUND(Table15781012[[#This Row],[Beginning Balance]]*Table15781012[[#This Row],[Monthly Interest Rate]],2)</f>
        <v>48419.1</v>
      </c>
      <c r="F37" s="3">
        <f t="shared" si="2"/>
        <v>331</v>
      </c>
      <c r="G37" s="23">
        <f>IFERROR(IF($C$13="No","N/A",IF(Table15781012[[#This Row],[Period]]=1,$C$6,PMT(InterestRate*AmortizationMultiplier/12,Table15781012[[#This Row],[Am Thru]],-Table15781012[[#This Row],[Beginning Balance]]))),0)</f>
        <v>55244.802366102165</v>
      </c>
      <c r="H37" s="3">
        <f>MAX(0,IF(C37=$C$4,D37,ROUND(IF($C$3="Fixed Principal",$C$6-Table15781012[[#This Row],[Interest]],IF($C$3="Interest Only",Table15781012[[#This Row],[Beginning Balance]]*ROUND(1-(1-IF($C$11="No",$E$8,1))^(1/12),6),MIN(IF($C$13="Yes",Table15781012[[#This Row],[Payment Amount (Reamortized)]],$C$6)-Table15781012[[#This Row],[Interest]],Table15781012[[#This Row],[Beginning Balance]]))),2)))</f>
        <v>6825.7</v>
      </c>
      <c r="I37" s="4">
        <f>IF($C$3="Interest Only",0,ROUND(MAX(MIN(IF($C$10="No",$E$7,VLOOKUP(Table15781012[[#This Row],[Period]],Forecast!$H$2:$L$1048576,4,FALSE))*Table15781012[[#This Row],[Beginning Balance]],Table15781012[[#This Row],[Beginning Balance]]-Table15781012[[#This Row],[Principal]]),0),2))</f>
        <v>22754.65</v>
      </c>
      <c r="J37" s="3">
        <f>ROUND(MIN(Table15781012[[#This Row],[Beginning Balance]]*IF($C$8="No",$E$3,VLOOKUP(Table15781012[[#This Row],[Period]],Forecast!$H$2:$L$1048576,2,FALSE)),Table15781012[[#This Row],[Beginning Balance]]-Table15781012[[#This Row],[Principal]]-Table15781012[[#This Row],[Prepayments]]),2)</f>
        <v>4498.29</v>
      </c>
      <c r="K37" s="3">
        <f>ROUND(Table15781012[[#This Row],[Defaulted Principal]]*IF($C$9="No",$E$4,VLOOKUP(Table15781012[[#This Row],[Period]],Forecast!$H$2:$L$1048576,3,FALSE)),2)</f>
        <v>370.79</v>
      </c>
      <c r="L37" s="2">
        <f>Table15781012[[#This Row],[Period]]+$E$9</f>
        <v>33</v>
      </c>
      <c r="M37" s="3">
        <f>Table15781012[[#This Row],[Defaulted Principal]]-Table15781012[[#This Row],[Estimated Loss]]</f>
        <v>4127.5</v>
      </c>
      <c r="N37" s="3">
        <f>IFERROR(VLOOKUP(Table15781012[[#This Row],[Period]],$L$16:$M$385,2,FALSE),0)</f>
        <v>3841.4300000000003</v>
      </c>
      <c r="O37" s="3">
        <f>Table15781012[[#This Row],[Beginning Balance]]-Table15781012[[#This Row],[Principal]]-Table15781012[[#This Row],[Prepayments]]-Table15781012[[#This Row],[Defaulted Principal]]</f>
        <v>7941614.6000000006</v>
      </c>
      <c r="P37" s="3">
        <f>Table15781012[[#This Row],[Principal]]+Table15781012[[#This Row],[Interest]]+Table15781012[[#This Row],[Prepayments]]+Table15781012[[#This Row],[RecoveredAmount]]</f>
        <v>81840.88</v>
      </c>
      <c r="Q37" s="3">
        <f ca="1">ROUND(Table15781012[[#This Row],[Cash Flow]]/((1+ActualRateToUse)^(IF(ISNUMBER(SEARCH("Actual",$C$7)),Table15781012[[#This Row],[Running Total]]/365,Table15781012[[#This Row],[Period]]/12))),2)</f>
        <v>72188.95</v>
      </c>
      <c r="R37" s="2">
        <f>IF(MONTH(Table15781012[[#This Row],[Date]])=2,28,DAY(DATE(YEAR(Table15781012[[#This Row],[Date]]),MONTH(Table15781012[[#This Row],[Date]])+1,1)-1))</f>
        <v>31</v>
      </c>
      <c r="S37" s="2">
        <f ca="1">SUM(OFFSET(Table15781012[[#Headers],[Days in month]],1,0):Table15781012[[#This Row],[Days in month]])</f>
        <v>639</v>
      </c>
      <c r="T37" s="37">
        <f>InterestRate*AmortizationMultiplier*IF(ISNUMBER(SEARCH("Actual",$C$7)),Table15781012[[#This Row],[Days in month]]/365,1/12)</f>
        <v>6.0708333333333326E-3</v>
      </c>
    </row>
    <row r="38" spans="2:20" x14ac:dyDescent="0.2">
      <c r="B38" s="1">
        <v>46507</v>
      </c>
      <c r="C38" s="2">
        <f t="shared" si="1"/>
        <v>22</v>
      </c>
      <c r="D38" s="3">
        <f t="shared" si="0"/>
        <v>7941614.6000000006</v>
      </c>
      <c r="E38" s="3">
        <f>ROUND(Table15781012[[#This Row],[Beginning Balance]]*Table15781012[[#This Row],[Monthly Interest Rate]],2)</f>
        <v>46656.99</v>
      </c>
      <c r="F38" s="3">
        <f t="shared" si="2"/>
        <v>330</v>
      </c>
      <c r="G38" s="23">
        <f>IFERROR(IF($C$13="No","N/A",IF(Table15781012[[#This Row],[Period]]=1,$C$6,PMT(InterestRate*AmortizationMultiplier/12,Table15781012[[#This Row],[Am Thru]],-Table15781012[[#This Row],[Beginning Balance]]))),0)</f>
        <v>55062.16467275162</v>
      </c>
      <c r="H38" s="3">
        <f>MAX(0,IF(C38=$C$4,D38,ROUND(IF($C$3="Fixed Principal",$C$6-Table15781012[[#This Row],[Interest]],IF($C$3="Interest Only",Table15781012[[#This Row],[Beginning Balance]]*ROUND(1-(1-IF($C$11="No",$E$8,1))^(1/12),6),MIN(IF($C$13="Yes",Table15781012[[#This Row],[Payment Amount (Reamortized)]],$C$6)-Table15781012[[#This Row],[Interest]],Table15781012[[#This Row],[Beginning Balance]]))),2)))</f>
        <v>8405.17</v>
      </c>
      <c r="I38" s="4">
        <f>IF($C$3="Interest Only",0,ROUND(MAX(MIN(IF($C$10="No",$E$7,VLOOKUP(Table15781012[[#This Row],[Period]],Forecast!$H$2:$L$1048576,4,FALSE))*Table15781012[[#This Row],[Beginning Balance]],Table15781012[[#This Row],[Beginning Balance]]-Table15781012[[#This Row],[Principal]]),0),2))</f>
        <v>22657.43</v>
      </c>
      <c r="J38" s="3">
        <f>ROUND(MIN(Table15781012[[#This Row],[Beginning Balance]]*IF($C$8="No",$E$3,VLOOKUP(Table15781012[[#This Row],[Period]],Forecast!$H$2:$L$1048576,2,FALSE)),Table15781012[[#This Row],[Beginning Balance]]-Table15781012[[#This Row],[Principal]]-Table15781012[[#This Row],[Prepayments]]),2)</f>
        <v>4669.67</v>
      </c>
      <c r="K38" s="3">
        <f>ROUND(Table15781012[[#This Row],[Defaulted Principal]]*IF($C$9="No",$E$4,VLOOKUP(Table15781012[[#This Row],[Period]],Forecast!$H$2:$L$1048576,3,FALSE)),2)</f>
        <v>389.1</v>
      </c>
      <c r="L38" s="2">
        <f>Table15781012[[#This Row],[Period]]+$E$9</f>
        <v>34</v>
      </c>
      <c r="M38" s="3">
        <f>Table15781012[[#This Row],[Defaulted Principal]]-Table15781012[[#This Row],[Estimated Loss]]</f>
        <v>4280.57</v>
      </c>
      <c r="N38" s="3">
        <f>IFERROR(VLOOKUP(Table15781012[[#This Row],[Period]],$L$16:$M$385,2,FALSE),0)</f>
        <v>3787.8599999999997</v>
      </c>
      <c r="O38" s="3">
        <f>Table15781012[[#This Row],[Beginning Balance]]-Table15781012[[#This Row],[Principal]]-Table15781012[[#This Row],[Prepayments]]-Table15781012[[#This Row],[Defaulted Principal]]</f>
        <v>7905882.330000001</v>
      </c>
      <c r="P38" s="3">
        <f>Table15781012[[#This Row],[Principal]]+Table15781012[[#This Row],[Interest]]+Table15781012[[#This Row],[Prepayments]]+Table15781012[[#This Row],[RecoveredAmount]]</f>
        <v>81507.45</v>
      </c>
      <c r="Q38" s="3">
        <f ca="1">ROUND(Table15781012[[#This Row],[Cash Flow]]/((1+ActualRateToUse)^(IF(ISNUMBER(SEARCH("Actual",$C$7)),Table15781012[[#This Row],[Running Total]]/365,Table15781012[[#This Row],[Period]]/12))),2)</f>
        <v>71472.52</v>
      </c>
      <c r="R38" s="2">
        <f>IF(MONTH(Table15781012[[#This Row],[Date]])=2,28,DAY(DATE(YEAR(Table15781012[[#This Row],[Date]]),MONTH(Table15781012[[#This Row],[Date]])+1,1)-1))</f>
        <v>30</v>
      </c>
      <c r="S38" s="2">
        <f ca="1">SUM(OFFSET(Table15781012[[#Headers],[Days in month]],1,0):Table15781012[[#This Row],[Days in month]])</f>
        <v>669</v>
      </c>
      <c r="T38" s="37">
        <f>InterestRate*AmortizationMultiplier*IF(ISNUMBER(SEARCH("Actual",$C$7)),Table15781012[[#This Row],[Days in month]]/365,1/12)</f>
        <v>5.8749999999999991E-3</v>
      </c>
    </row>
    <row r="39" spans="2:20" x14ac:dyDescent="0.2">
      <c r="B39" s="1">
        <v>46538</v>
      </c>
      <c r="C39" s="2">
        <f t="shared" si="1"/>
        <v>23</v>
      </c>
      <c r="D39" s="3">
        <f t="shared" si="0"/>
        <v>7905882.330000001</v>
      </c>
      <c r="E39" s="3">
        <f>ROUND(Table15781012[[#This Row],[Beginning Balance]]*Table15781012[[#This Row],[Monthly Interest Rate]],2)</f>
        <v>47995.29</v>
      </c>
      <c r="F39" s="3">
        <f t="shared" si="2"/>
        <v>329</v>
      </c>
      <c r="G39" s="23">
        <f>IFERROR(IF($C$13="No","N/A",IF(Table15781012[[#This Row],[Period]]=1,$C$6,PMT(InterestRate*AmortizationMultiplier/12,Table15781012[[#This Row],[Am Thru]],-Table15781012[[#This Row],[Beginning Balance]]))),0)</f>
        <v>54868.013235126127</v>
      </c>
      <c r="H39" s="3">
        <f>MAX(0,IF(C39=$C$4,D39,ROUND(IF($C$3="Fixed Principal",$C$6-Table15781012[[#This Row],[Interest]],IF($C$3="Interest Only",Table15781012[[#This Row],[Beginning Balance]]*ROUND(1-(1-IF($C$11="No",$E$8,1))^(1/12),6),MIN(IF($C$13="Yes",Table15781012[[#This Row],[Payment Amount (Reamortized)]],$C$6)-Table15781012[[#This Row],[Interest]],Table15781012[[#This Row],[Beginning Balance]]))),2)))</f>
        <v>6872.72</v>
      </c>
      <c r="I39" s="4">
        <f>IF($C$3="Interest Only",0,ROUND(MAX(MIN(IF($C$10="No",$E$7,VLOOKUP(Table15781012[[#This Row],[Period]],Forecast!$H$2:$L$1048576,4,FALSE))*Table15781012[[#This Row],[Beginning Balance]],Table15781012[[#This Row],[Beginning Balance]]-Table15781012[[#This Row],[Principal]]),0),2))</f>
        <v>22555.48</v>
      </c>
      <c r="J39" s="3">
        <f>ROUND(MIN(Table15781012[[#This Row],[Beginning Balance]]*IF($C$8="No",$E$3,VLOOKUP(Table15781012[[#This Row],[Period]],Forecast!$H$2:$L$1048576,2,FALSE)),Table15781012[[#This Row],[Beginning Balance]]-Table15781012[[#This Row],[Principal]]-Table15781012[[#This Row],[Prepayments]]),2)</f>
        <v>4648.66</v>
      </c>
      <c r="K39" s="3">
        <f>ROUND(Table15781012[[#This Row],[Defaulted Principal]]*IF($C$9="No",$E$4,VLOOKUP(Table15781012[[#This Row],[Period]],Forecast!$H$2:$L$1048576,3,FALSE)),2)</f>
        <v>387.34</v>
      </c>
      <c r="L39" s="2">
        <f>Table15781012[[#This Row],[Period]]+$E$9</f>
        <v>35</v>
      </c>
      <c r="M39" s="3">
        <f>Table15781012[[#This Row],[Defaulted Principal]]-Table15781012[[#This Row],[Estimated Loss]]</f>
        <v>4261.32</v>
      </c>
      <c r="N39" s="3">
        <f>IFERROR(VLOOKUP(Table15781012[[#This Row],[Period]],$L$16:$M$385,2,FALSE),0)</f>
        <v>3771.4800000000005</v>
      </c>
      <c r="O39" s="3">
        <f>Table15781012[[#This Row],[Beginning Balance]]-Table15781012[[#This Row],[Principal]]-Table15781012[[#This Row],[Prepayments]]-Table15781012[[#This Row],[Defaulted Principal]]</f>
        <v>7871805.4700000007</v>
      </c>
      <c r="P39" s="3">
        <f>Table15781012[[#This Row],[Principal]]+Table15781012[[#This Row],[Interest]]+Table15781012[[#This Row],[Prepayments]]+Table15781012[[#This Row],[RecoveredAmount]]</f>
        <v>81194.97</v>
      </c>
      <c r="Q39" s="3">
        <f ca="1">ROUND(Table15781012[[#This Row],[Cash Flow]]/((1+ActualRateToUse)^(IF(ISNUMBER(SEARCH("Actual",$C$7)),Table15781012[[#This Row],[Running Total]]/365,Table15781012[[#This Row],[Period]]/12))),2)</f>
        <v>70766.37</v>
      </c>
      <c r="R39" s="2">
        <f>IF(MONTH(Table15781012[[#This Row],[Date]])=2,28,DAY(DATE(YEAR(Table15781012[[#This Row],[Date]]),MONTH(Table15781012[[#This Row],[Date]])+1,1)-1))</f>
        <v>31</v>
      </c>
      <c r="S39" s="2">
        <f ca="1">SUM(OFFSET(Table15781012[[#Headers],[Days in month]],1,0):Table15781012[[#This Row],[Days in month]])</f>
        <v>700</v>
      </c>
      <c r="T39" s="37">
        <f>InterestRate*AmortizationMultiplier*IF(ISNUMBER(SEARCH("Actual",$C$7)),Table15781012[[#This Row],[Days in month]]/365,1/12)</f>
        <v>6.0708333333333326E-3</v>
      </c>
    </row>
    <row r="40" spans="2:20" x14ac:dyDescent="0.2">
      <c r="B40" s="1">
        <v>46568</v>
      </c>
      <c r="C40" s="2">
        <f t="shared" si="1"/>
        <v>24</v>
      </c>
      <c r="D40" s="3">
        <f t="shared" si="0"/>
        <v>7871805.4700000007</v>
      </c>
      <c r="E40" s="3">
        <f>ROUND(Table15781012[[#This Row],[Beginning Balance]]*Table15781012[[#This Row],[Monthly Interest Rate]],2)</f>
        <v>46246.86</v>
      </c>
      <c r="F40" s="3">
        <f t="shared" si="2"/>
        <v>328</v>
      </c>
      <c r="G40" s="23">
        <f>IFERROR(IF($C$13="No","N/A",IF(Table15781012[[#This Row],[Period]]=1,$C$6,PMT(InterestRate*AmortizationMultiplier/12,Table15781012[[#This Row],[Am Thru]],-Table15781012[[#This Row],[Beginning Balance]]))),0)</f>
        <v>54685.300604892145</v>
      </c>
      <c r="H40" s="3">
        <f>MAX(0,IF(C40=$C$4,D40,ROUND(IF($C$3="Fixed Principal",$C$6-Table15781012[[#This Row],[Interest]],IF($C$3="Interest Only",Table15781012[[#This Row],[Beginning Balance]]*ROUND(1-(1-IF($C$11="No",$E$8,1))^(1/12),6),MIN(IF($C$13="Yes",Table15781012[[#This Row],[Payment Amount (Reamortized)]],$C$6)-Table15781012[[#This Row],[Interest]],Table15781012[[#This Row],[Beginning Balance]]))),2)))</f>
        <v>8438.44</v>
      </c>
      <c r="I40" s="4">
        <f>IF($C$3="Interest Only",0,ROUND(MAX(MIN(IF($C$10="No",$E$7,VLOOKUP(Table15781012[[#This Row],[Period]],Forecast!$H$2:$L$1048576,4,FALSE))*Table15781012[[#This Row],[Beginning Balance]],Table15781012[[#This Row],[Beginning Balance]]-Table15781012[[#This Row],[Principal]]),0),2))</f>
        <v>22458.26</v>
      </c>
      <c r="J40" s="3">
        <f>ROUND(MIN(Table15781012[[#This Row],[Beginning Balance]]*IF($C$8="No",$E$3,VLOOKUP(Table15781012[[#This Row],[Period]],Forecast!$H$2:$L$1048576,2,FALSE)),Table15781012[[#This Row],[Beginning Balance]]-Table15781012[[#This Row],[Principal]]-Table15781012[[#This Row],[Prepayments]]),2)</f>
        <v>4628.62</v>
      </c>
      <c r="K40" s="3">
        <f>ROUND(Table15781012[[#This Row],[Defaulted Principal]]*IF($C$9="No",$E$4,VLOOKUP(Table15781012[[#This Row],[Period]],Forecast!$H$2:$L$1048576,3,FALSE)),2)</f>
        <v>385.68</v>
      </c>
      <c r="L40" s="2">
        <f>Table15781012[[#This Row],[Period]]+$E$9</f>
        <v>36</v>
      </c>
      <c r="M40" s="3">
        <f>Table15781012[[#This Row],[Defaulted Principal]]-Table15781012[[#This Row],[Estimated Loss]]</f>
        <v>4242.9399999999996</v>
      </c>
      <c r="N40" s="3">
        <f>IFERROR(VLOOKUP(Table15781012[[#This Row],[Period]],$L$16:$M$385,2,FALSE),0)</f>
        <v>3755.88</v>
      </c>
      <c r="O40" s="3">
        <f>Table15781012[[#This Row],[Beginning Balance]]-Table15781012[[#This Row],[Principal]]-Table15781012[[#This Row],[Prepayments]]-Table15781012[[#This Row],[Defaulted Principal]]</f>
        <v>7836280.1500000004</v>
      </c>
      <c r="P40" s="3">
        <f>Table15781012[[#This Row],[Principal]]+Table15781012[[#This Row],[Interest]]+Table15781012[[#This Row],[Prepayments]]+Table15781012[[#This Row],[RecoveredAmount]]</f>
        <v>80899.44</v>
      </c>
      <c r="Q40" s="3">
        <f ca="1">ROUND(Table15781012[[#This Row],[Cash Flow]]/((1+ActualRateToUse)^(IF(ISNUMBER(SEARCH("Actual",$C$7)),Table15781012[[#This Row],[Running Total]]/365,Table15781012[[#This Row],[Period]]/12))),2)</f>
        <v>70094.62</v>
      </c>
      <c r="R40" s="2">
        <f>IF(MONTH(Table15781012[[#This Row],[Date]])=2,28,DAY(DATE(YEAR(Table15781012[[#This Row],[Date]]),MONTH(Table15781012[[#This Row],[Date]])+1,1)-1))</f>
        <v>30</v>
      </c>
      <c r="S40" s="2">
        <f ca="1">SUM(OFFSET(Table15781012[[#Headers],[Days in month]],1,0):Table15781012[[#This Row],[Days in month]])</f>
        <v>730</v>
      </c>
      <c r="T40" s="37">
        <f>InterestRate*AmortizationMultiplier*IF(ISNUMBER(SEARCH("Actual",$C$7)),Table15781012[[#This Row],[Days in month]]/365,1/12)</f>
        <v>5.8749999999999991E-3</v>
      </c>
    </row>
    <row r="41" spans="2:20" x14ac:dyDescent="0.2">
      <c r="B41" s="1">
        <v>46599</v>
      </c>
      <c r="C41" s="2">
        <f t="shared" si="1"/>
        <v>25</v>
      </c>
      <c r="D41" s="3">
        <f t="shared" si="0"/>
        <v>7836280.1500000004</v>
      </c>
      <c r="E41" s="3">
        <f>ROUND(Table15781012[[#This Row],[Beginning Balance]]*Table15781012[[#This Row],[Monthly Interest Rate]],2)</f>
        <v>47572.75</v>
      </c>
      <c r="F41" s="3">
        <f t="shared" si="2"/>
        <v>327</v>
      </c>
      <c r="G41" s="23">
        <f>IFERROR(IF($C$13="No","N/A",IF(Table15781012[[#This Row],[Period]]=1,$C$6,PMT(InterestRate*AmortizationMultiplier/12,Table15781012[[#This Row],[Am Thru]],-Table15781012[[#This Row],[Beginning Balance]]))),0)</f>
        <v>54492.475387801103</v>
      </c>
      <c r="H41" s="3">
        <f>MAX(0,IF(C41=$C$4,D41,ROUND(IF($C$3="Fixed Principal",$C$6-Table15781012[[#This Row],[Interest]],IF($C$3="Interest Only",Table15781012[[#This Row],[Beginning Balance]]*ROUND(1-(1-IF($C$11="No",$E$8,1))^(1/12),6),MIN(IF($C$13="Yes",Table15781012[[#This Row],[Payment Amount (Reamortized)]],$C$6)-Table15781012[[#This Row],[Interest]],Table15781012[[#This Row],[Beginning Balance]]))),2)))</f>
        <v>6919.73</v>
      </c>
      <c r="I41" s="4">
        <f>IF($C$3="Interest Only",0,ROUND(MAX(MIN(IF($C$10="No",$E$7,VLOOKUP(Table15781012[[#This Row],[Period]],Forecast!$H$2:$L$1048576,4,FALSE))*Table15781012[[#This Row],[Beginning Balance]],Table15781012[[#This Row],[Beginning Balance]]-Table15781012[[#This Row],[Principal]]),0),2))</f>
        <v>22356.91</v>
      </c>
      <c r="J41" s="3">
        <f>ROUND(MIN(Table15781012[[#This Row],[Beginning Balance]]*IF($C$8="No",$E$3,VLOOKUP(Table15781012[[#This Row],[Period]],Forecast!$H$2:$L$1048576,2,FALSE)),Table15781012[[#This Row],[Beginning Balance]]-Table15781012[[#This Row],[Principal]]-Table15781012[[#This Row],[Prepayments]]),2)</f>
        <v>4787.97</v>
      </c>
      <c r="K41" s="3">
        <f>ROUND(Table15781012[[#This Row],[Defaulted Principal]]*IF($C$9="No",$E$4,VLOOKUP(Table15781012[[#This Row],[Period]],Forecast!$H$2:$L$1048576,3,FALSE)),2)</f>
        <v>403.13</v>
      </c>
      <c r="L41" s="2">
        <f>Table15781012[[#This Row],[Period]]+$E$9</f>
        <v>37</v>
      </c>
      <c r="M41" s="3">
        <f>Table15781012[[#This Row],[Defaulted Principal]]-Table15781012[[#This Row],[Estimated Loss]]</f>
        <v>4384.84</v>
      </c>
      <c r="N41" s="3">
        <f>IFERROR(VLOOKUP(Table15781012[[#This Row],[Period]],$L$16:$M$385,2,FALSE),0)</f>
        <v>3917.84</v>
      </c>
      <c r="O41" s="3">
        <f>Table15781012[[#This Row],[Beginning Balance]]-Table15781012[[#This Row],[Principal]]-Table15781012[[#This Row],[Prepayments]]-Table15781012[[#This Row],[Defaulted Principal]]</f>
        <v>7802215.54</v>
      </c>
      <c r="P41" s="3">
        <f>Table15781012[[#This Row],[Principal]]+Table15781012[[#This Row],[Interest]]+Table15781012[[#This Row],[Prepayments]]+Table15781012[[#This Row],[RecoveredAmount]]</f>
        <v>80767.23</v>
      </c>
      <c r="Q41" s="3">
        <f ca="1">ROUND(Table15781012[[#This Row],[Cash Flow]]/((1+ActualRateToUse)^(IF(ISNUMBER(SEARCH("Actual",$C$7)),Table15781012[[#This Row],[Running Total]]/365,Table15781012[[#This Row],[Period]]/12))),2)</f>
        <v>69555.320000000007</v>
      </c>
      <c r="R41" s="2">
        <f>IF(MONTH(Table15781012[[#This Row],[Date]])=2,28,DAY(DATE(YEAR(Table15781012[[#This Row],[Date]]),MONTH(Table15781012[[#This Row],[Date]])+1,1)-1))</f>
        <v>31</v>
      </c>
      <c r="S41" s="2">
        <f ca="1">SUM(OFFSET(Table15781012[[#Headers],[Days in month]],1,0):Table15781012[[#This Row],[Days in month]])</f>
        <v>761</v>
      </c>
      <c r="T41" s="37">
        <f>InterestRate*AmortizationMultiplier*IF(ISNUMBER(SEARCH("Actual",$C$7)),Table15781012[[#This Row],[Days in month]]/365,1/12)</f>
        <v>6.0708333333333326E-3</v>
      </c>
    </row>
    <row r="42" spans="2:20" x14ac:dyDescent="0.2">
      <c r="B42" s="1">
        <v>46630</v>
      </c>
      <c r="C42" s="2">
        <f t="shared" si="1"/>
        <v>26</v>
      </c>
      <c r="D42" s="3">
        <f t="shared" si="0"/>
        <v>7802215.54</v>
      </c>
      <c r="E42" s="3">
        <f>ROUND(Table15781012[[#This Row],[Beginning Balance]]*Table15781012[[#This Row],[Monthly Interest Rate]],2)</f>
        <v>47365.95</v>
      </c>
      <c r="F42" s="3">
        <f t="shared" si="2"/>
        <v>326</v>
      </c>
      <c r="G42" s="23">
        <f>IFERROR(IF($C$13="No","N/A",IF(Table15781012[[#This Row],[Period]]=1,$C$6,PMT(InterestRate*AmortizationMultiplier/12,Table15781012[[#This Row],[Am Thru]],-Table15781012[[#This Row],[Beginning Balance]]))),0)</f>
        <v>54309.756164666091</v>
      </c>
      <c r="H42" s="3">
        <f>MAX(0,IF(C42=$C$4,D42,ROUND(IF($C$3="Fixed Principal",$C$6-Table15781012[[#This Row],[Interest]],IF($C$3="Interest Only",Table15781012[[#This Row],[Beginning Balance]]*ROUND(1-(1-IF($C$11="No",$E$8,1))^(1/12),6),MIN(IF($C$13="Yes",Table15781012[[#This Row],[Payment Amount (Reamortized)]],$C$6)-Table15781012[[#This Row],[Interest]],Table15781012[[#This Row],[Beginning Balance]]))),2)))</f>
        <v>6943.81</v>
      </c>
      <c r="I42" s="4">
        <f>IF($C$3="Interest Only",0,ROUND(MAX(MIN(IF($C$10="No",$E$7,VLOOKUP(Table15781012[[#This Row],[Period]],Forecast!$H$2:$L$1048576,4,FALSE))*Table15781012[[#This Row],[Beginning Balance]],Table15781012[[#This Row],[Beginning Balance]]-Table15781012[[#This Row],[Principal]]),0),2))</f>
        <v>22259.72</v>
      </c>
      <c r="J42" s="3">
        <f>ROUND(MIN(Table15781012[[#This Row],[Beginning Balance]]*IF($C$8="No",$E$3,VLOOKUP(Table15781012[[#This Row],[Period]],Forecast!$H$2:$L$1048576,2,FALSE)),Table15781012[[#This Row],[Beginning Balance]]-Table15781012[[#This Row],[Principal]]-Table15781012[[#This Row],[Prepayments]]),2)</f>
        <v>4767.1499999999996</v>
      </c>
      <c r="K42" s="3">
        <f>ROUND(Table15781012[[#This Row],[Defaulted Principal]]*IF($C$9="No",$E$4,VLOOKUP(Table15781012[[#This Row],[Period]],Forecast!$H$2:$L$1048576,3,FALSE)),2)</f>
        <v>401.38</v>
      </c>
      <c r="L42" s="2">
        <f>Table15781012[[#This Row],[Period]]+$E$9</f>
        <v>38</v>
      </c>
      <c r="M42" s="3">
        <f>Table15781012[[#This Row],[Defaulted Principal]]-Table15781012[[#This Row],[Estimated Loss]]</f>
        <v>4365.7699999999995</v>
      </c>
      <c r="N42" s="3">
        <f>IFERROR(VLOOKUP(Table15781012[[#This Row],[Period]],$L$16:$M$385,2,FALSE),0)</f>
        <v>3901.4900000000002</v>
      </c>
      <c r="O42" s="3">
        <f>Table15781012[[#This Row],[Beginning Balance]]-Table15781012[[#This Row],[Principal]]-Table15781012[[#This Row],[Prepayments]]-Table15781012[[#This Row],[Defaulted Principal]]</f>
        <v>7768244.8600000003</v>
      </c>
      <c r="P42" s="3">
        <f>Table15781012[[#This Row],[Principal]]+Table15781012[[#This Row],[Interest]]+Table15781012[[#This Row],[Prepayments]]+Table15781012[[#This Row],[RecoveredAmount]]</f>
        <v>80470.97</v>
      </c>
      <c r="Q42" s="3">
        <f ca="1">ROUND(Table15781012[[#This Row],[Cash Flow]]/((1+ActualRateToUse)^(IF(ISNUMBER(SEARCH("Actual",$C$7)),Table15781012[[#This Row],[Running Total]]/365,Table15781012[[#This Row],[Period]]/12))),2)</f>
        <v>68879.58</v>
      </c>
      <c r="R42" s="2">
        <f>IF(MONTH(Table15781012[[#This Row],[Date]])=2,28,DAY(DATE(YEAR(Table15781012[[#This Row],[Date]]),MONTH(Table15781012[[#This Row],[Date]])+1,1)-1))</f>
        <v>31</v>
      </c>
      <c r="S42" s="2">
        <f ca="1">SUM(OFFSET(Table15781012[[#Headers],[Days in month]],1,0):Table15781012[[#This Row],[Days in month]])</f>
        <v>792</v>
      </c>
      <c r="T42" s="37">
        <f>InterestRate*AmortizationMultiplier*IF(ISNUMBER(SEARCH("Actual",$C$7)),Table15781012[[#This Row],[Days in month]]/365,1/12)</f>
        <v>6.0708333333333326E-3</v>
      </c>
    </row>
    <row r="43" spans="2:20" x14ac:dyDescent="0.2">
      <c r="B43" s="1">
        <v>46660</v>
      </c>
      <c r="C43" s="2">
        <f t="shared" si="1"/>
        <v>27</v>
      </c>
      <c r="D43" s="3">
        <f t="shared" si="0"/>
        <v>7768244.8600000003</v>
      </c>
      <c r="E43" s="3">
        <f>ROUND(Table15781012[[#This Row],[Beginning Balance]]*Table15781012[[#This Row],[Monthly Interest Rate]],2)</f>
        <v>45638.44</v>
      </c>
      <c r="F43" s="3">
        <f t="shared" si="2"/>
        <v>325</v>
      </c>
      <c r="G43" s="23">
        <f>IFERROR(IF($C$13="No","N/A",IF(Table15781012[[#This Row],[Period]]=1,$C$6,PMT(InterestRate*AmortizationMultiplier/12,Table15781012[[#This Row],[Am Thru]],-Table15781012[[#This Row],[Beginning Balance]]))),0)</f>
        <v>54127.64843368622</v>
      </c>
      <c r="H43" s="3">
        <f>MAX(0,IF(C43=$C$4,D43,ROUND(IF($C$3="Fixed Principal",$C$6-Table15781012[[#This Row],[Interest]],IF($C$3="Interest Only",Table15781012[[#This Row],[Beginning Balance]]*ROUND(1-(1-IF($C$11="No",$E$8,1))^(1/12),6),MIN(IF($C$13="Yes",Table15781012[[#This Row],[Payment Amount (Reamortized)]],$C$6)-Table15781012[[#This Row],[Interest]],Table15781012[[#This Row],[Beginning Balance]]))),2)))</f>
        <v>8489.2099999999991</v>
      </c>
      <c r="I43" s="4">
        <f>IF($C$3="Interest Only",0,ROUND(MAX(MIN(IF($C$10="No",$E$7,VLOOKUP(Table15781012[[#This Row],[Period]],Forecast!$H$2:$L$1048576,4,FALSE))*Table15781012[[#This Row],[Beginning Balance]],Table15781012[[#This Row],[Beginning Balance]]-Table15781012[[#This Row],[Principal]]),0),2))</f>
        <v>22162.799999999999</v>
      </c>
      <c r="J43" s="3">
        <f>ROUND(MIN(Table15781012[[#This Row],[Beginning Balance]]*IF($C$8="No",$E$3,VLOOKUP(Table15781012[[#This Row],[Period]],Forecast!$H$2:$L$1048576,2,FALSE)),Table15781012[[#This Row],[Beginning Balance]]-Table15781012[[#This Row],[Principal]]-Table15781012[[#This Row],[Prepayments]]),2)</f>
        <v>4746.3999999999996</v>
      </c>
      <c r="K43" s="3">
        <f>ROUND(Table15781012[[#This Row],[Defaulted Principal]]*IF($C$9="No",$E$4,VLOOKUP(Table15781012[[#This Row],[Period]],Forecast!$H$2:$L$1048576,3,FALSE)),2)</f>
        <v>399.63</v>
      </c>
      <c r="L43" s="2">
        <f>Table15781012[[#This Row],[Period]]+$E$9</f>
        <v>39</v>
      </c>
      <c r="M43" s="3">
        <f>Table15781012[[#This Row],[Defaulted Principal]]-Table15781012[[#This Row],[Estimated Loss]]</f>
        <v>4346.7699999999995</v>
      </c>
      <c r="N43" s="3">
        <f>IFERROR(VLOOKUP(Table15781012[[#This Row],[Period]],$L$16:$M$385,2,FALSE),0)</f>
        <v>3885.19</v>
      </c>
      <c r="O43" s="3">
        <f>Table15781012[[#This Row],[Beginning Balance]]-Table15781012[[#This Row],[Principal]]-Table15781012[[#This Row],[Prepayments]]-Table15781012[[#This Row],[Defaulted Principal]]</f>
        <v>7732846.4500000002</v>
      </c>
      <c r="P43" s="3">
        <f>Table15781012[[#This Row],[Principal]]+Table15781012[[#This Row],[Interest]]+Table15781012[[#This Row],[Prepayments]]+Table15781012[[#This Row],[RecoveredAmount]]</f>
        <v>80175.64</v>
      </c>
      <c r="Q43" s="3">
        <f ca="1">ROUND(Table15781012[[#This Row],[Cash Flow]]/((1+ActualRateToUse)^(IF(ISNUMBER(SEARCH("Actual",$C$7)),Table15781012[[#This Row],[Running Total]]/365,Table15781012[[#This Row],[Period]]/12))),2)</f>
        <v>68223.66</v>
      </c>
      <c r="R43" s="2">
        <f>IF(MONTH(Table15781012[[#This Row],[Date]])=2,28,DAY(DATE(YEAR(Table15781012[[#This Row],[Date]]),MONTH(Table15781012[[#This Row],[Date]])+1,1)-1))</f>
        <v>30</v>
      </c>
      <c r="S43" s="2">
        <f ca="1">SUM(OFFSET(Table15781012[[#Headers],[Days in month]],1,0):Table15781012[[#This Row],[Days in month]])</f>
        <v>822</v>
      </c>
      <c r="T43" s="37">
        <f>InterestRate*AmortizationMultiplier*IF(ISNUMBER(SEARCH("Actual",$C$7)),Table15781012[[#This Row],[Days in month]]/365,1/12)</f>
        <v>5.8749999999999991E-3</v>
      </c>
    </row>
    <row r="44" spans="2:20" x14ac:dyDescent="0.2">
      <c r="B44" s="1">
        <v>46691</v>
      </c>
      <c r="C44" s="2">
        <f t="shared" si="1"/>
        <v>28</v>
      </c>
      <c r="D44" s="3">
        <f t="shared" si="0"/>
        <v>7732846.4500000002</v>
      </c>
      <c r="E44" s="3">
        <f>ROUND(Table15781012[[#This Row],[Beginning Balance]]*Table15781012[[#This Row],[Monthly Interest Rate]],2)</f>
        <v>46944.82</v>
      </c>
      <c r="F44" s="3">
        <f t="shared" si="2"/>
        <v>324</v>
      </c>
      <c r="G44" s="23">
        <f>IFERROR(IF($C$13="No","N/A",IF(Table15781012[[#This Row],[Period]]=1,$C$6,PMT(InterestRate*AmortizationMultiplier/12,Table15781012[[#This Row],[Am Thru]],-Table15781012[[#This Row],[Beginning Balance]]))),0)</f>
        <v>53935.539331249376</v>
      </c>
      <c r="H44" s="3">
        <f>MAX(0,IF(C44=$C$4,D44,ROUND(IF($C$3="Fixed Principal",$C$6-Table15781012[[#This Row],[Interest]],IF($C$3="Interest Only",Table15781012[[#This Row],[Beginning Balance]]*ROUND(1-(1-IF($C$11="No",$E$8,1))^(1/12),6),MIN(IF($C$13="Yes",Table15781012[[#This Row],[Payment Amount (Reamortized)]],$C$6)-Table15781012[[#This Row],[Interest]],Table15781012[[#This Row],[Beginning Balance]]))),2)))</f>
        <v>6990.72</v>
      </c>
      <c r="I44" s="4">
        <f>IF($C$3="Interest Only",0,ROUND(MAX(MIN(IF($C$10="No",$E$7,VLOOKUP(Table15781012[[#This Row],[Period]],Forecast!$H$2:$L$1048576,4,FALSE))*Table15781012[[#This Row],[Beginning Balance]],Table15781012[[#This Row],[Beginning Balance]]-Table15781012[[#This Row],[Principal]]),0),2))</f>
        <v>22061.81</v>
      </c>
      <c r="J44" s="3">
        <f>ROUND(MIN(Table15781012[[#This Row],[Beginning Balance]]*IF($C$8="No",$E$3,VLOOKUP(Table15781012[[#This Row],[Period]],Forecast!$H$2:$L$1048576,2,FALSE)),Table15781012[[#This Row],[Beginning Balance]]-Table15781012[[#This Row],[Principal]]-Table15781012[[#This Row],[Prepayments]]),2)</f>
        <v>4910.3599999999997</v>
      </c>
      <c r="K44" s="3">
        <f>ROUND(Table15781012[[#This Row],[Defaulted Principal]]*IF($C$9="No",$E$4,VLOOKUP(Table15781012[[#This Row],[Period]],Forecast!$H$2:$L$1048576,3,FALSE)),2)</f>
        <v>417.62</v>
      </c>
      <c r="L44" s="2">
        <f>Table15781012[[#This Row],[Period]]+$E$9</f>
        <v>40</v>
      </c>
      <c r="M44" s="3">
        <f>Table15781012[[#This Row],[Defaulted Principal]]-Table15781012[[#This Row],[Estimated Loss]]</f>
        <v>4492.74</v>
      </c>
      <c r="N44" s="3">
        <f>IFERROR(VLOOKUP(Table15781012[[#This Row],[Period]],$L$16:$M$385,2,FALSE),0)</f>
        <v>4043.92</v>
      </c>
      <c r="O44" s="3">
        <f>Table15781012[[#This Row],[Beginning Balance]]-Table15781012[[#This Row],[Principal]]-Table15781012[[#This Row],[Prepayments]]-Table15781012[[#This Row],[Defaulted Principal]]</f>
        <v>7698883.5600000005</v>
      </c>
      <c r="P44" s="3">
        <f>Table15781012[[#This Row],[Principal]]+Table15781012[[#This Row],[Interest]]+Table15781012[[#This Row],[Prepayments]]+Table15781012[[#This Row],[RecoveredAmount]]</f>
        <v>80041.27</v>
      </c>
      <c r="Q44" s="3">
        <f ca="1">ROUND(Table15781012[[#This Row],[Cash Flow]]/((1+ActualRateToUse)^(IF(ISNUMBER(SEARCH("Actual",$C$7)),Table15781012[[#This Row],[Running Total]]/365,Table15781012[[#This Row],[Period]]/12))),2)</f>
        <v>67695.929999999993</v>
      </c>
      <c r="R44" s="2">
        <f>IF(MONTH(Table15781012[[#This Row],[Date]])=2,28,DAY(DATE(YEAR(Table15781012[[#This Row],[Date]]),MONTH(Table15781012[[#This Row],[Date]])+1,1)-1))</f>
        <v>31</v>
      </c>
      <c r="S44" s="2">
        <f ca="1">SUM(OFFSET(Table15781012[[#Headers],[Days in month]],1,0):Table15781012[[#This Row],[Days in month]])</f>
        <v>853</v>
      </c>
      <c r="T44" s="37">
        <f>InterestRate*AmortizationMultiplier*IF(ISNUMBER(SEARCH("Actual",$C$7)),Table15781012[[#This Row],[Days in month]]/365,1/12)</f>
        <v>6.0708333333333326E-3</v>
      </c>
    </row>
    <row r="45" spans="2:20" x14ac:dyDescent="0.2">
      <c r="B45" s="1">
        <v>46721</v>
      </c>
      <c r="C45" s="2">
        <f t="shared" si="1"/>
        <v>29</v>
      </c>
      <c r="D45" s="3">
        <f t="shared" si="0"/>
        <v>7698883.5600000005</v>
      </c>
      <c r="E45" s="3">
        <f>ROUND(Table15781012[[#This Row],[Beginning Balance]]*Table15781012[[#This Row],[Monthly Interest Rate]],2)</f>
        <v>45230.94</v>
      </c>
      <c r="F45" s="3">
        <f t="shared" si="2"/>
        <v>323</v>
      </c>
      <c r="G45" s="23">
        <f>IFERROR(IF($C$13="No","N/A",IF(Table15781012[[#This Row],[Period]]=1,$C$6,PMT(InterestRate*AmortizationMultiplier/12,Table15781012[[#This Row],[Am Thru]],-Table15781012[[#This Row],[Beginning Balance]]))),0)</f>
        <v>53753.388048449175</v>
      </c>
      <c r="H45" s="3">
        <f>MAX(0,IF(C45=$C$4,D45,ROUND(IF($C$3="Fixed Principal",$C$6-Table15781012[[#This Row],[Interest]],IF($C$3="Interest Only",Table15781012[[#This Row],[Beginning Balance]]*ROUND(1-(1-IF($C$11="No",$E$8,1))^(1/12),6),MIN(IF($C$13="Yes",Table15781012[[#This Row],[Payment Amount (Reamortized)]],$C$6)-Table15781012[[#This Row],[Interest]],Table15781012[[#This Row],[Beginning Balance]]))),2)))</f>
        <v>8522.4500000000007</v>
      </c>
      <c r="I45" s="4">
        <f>IF($C$3="Interest Only",0,ROUND(MAX(MIN(IF($C$10="No",$E$7,VLOOKUP(Table15781012[[#This Row],[Period]],Forecast!$H$2:$L$1048576,4,FALSE))*Table15781012[[#This Row],[Beginning Balance]],Table15781012[[#This Row],[Beginning Balance]]-Table15781012[[#This Row],[Principal]]),0),2))</f>
        <v>21964.91</v>
      </c>
      <c r="J45" s="3">
        <f>ROUND(MIN(Table15781012[[#This Row],[Beginning Balance]]*IF($C$8="No",$E$3,VLOOKUP(Table15781012[[#This Row],[Period]],Forecast!$H$2:$L$1048576,2,FALSE)),Table15781012[[#This Row],[Beginning Balance]]-Table15781012[[#This Row],[Principal]]-Table15781012[[#This Row],[Prepayments]]),2)</f>
        <v>4888.79</v>
      </c>
      <c r="K45" s="3">
        <f>ROUND(Table15781012[[#This Row],[Defaulted Principal]]*IF($C$9="No",$E$4,VLOOKUP(Table15781012[[#This Row],[Period]],Forecast!$H$2:$L$1048576,3,FALSE)),2)</f>
        <v>415.79</v>
      </c>
      <c r="L45" s="2">
        <f>Table15781012[[#This Row],[Period]]+$E$9</f>
        <v>41</v>
      </c>
      <c r="M45" s="3">
        <f>Table15781012[[#This Row],[Defaulted Principal]]-Table15781012[[#This Row],[Estimated Loss]]</f>
        <v>4473</v>
      </c>
      <c r="N45" s="3">
        <f>IFERROR(VLOOKUP(Table15781012[[#This Row],[Period]],$L$16:$M$385,2,FALSE),0)</f>
        <v>4026.8700000000003</v>
      </c>
      <c r="O45" s="3">
        <f>Table15781012[[#This Row],[Beginning Balance]]-Table15781012[[#This Row],[Principal]]-Table15781012[[#This Row],[Prepayments]]-Table15781012[[#This Row],[Defaulted Principal]]</f>
        <v>7663507.4100000001</v>
      </c>
      <c r="P45" s="3">
        <f>Table15781012[[#This Row],[Principal]]+Table15781012[[#This Row],[Interest]]+Table15781012[[#This Row],[Prepayments]]+Table15781012[[#This Row],[RecoveredAmount]]</f>
        <v>79745.17</v>
      </c>
      <c r="Q45" s="3">
        <f ca="1">ROUND(Table15781012[[#This Row],[Cash Flow]]/((1+ActualRateToUse)^(IF(ISNUMBER(SEARCH("Actual",$C$7)),Table15781012[[#This Row],[Running Total]]/365,Table15781012[[#This Row],[Period]]/12))),2)</f>
        <v>67049.31</v>
      </c>
      <c r="R45" s="2">
        <f>IF(MONTH(Table15781012[[#This Row],[Date]])=2,28,DAY(DATE(YEAR(Table15781012[[#This Row],[Date]]),MONTH(Table15781012[[#This Row],[Date]])+1,1)-1))</f>
        <v>30</v>
      </c>
      <c r="S45" s="2">
        <f ca="1">SUM(OFFSET(Table15781012[[#Headers],[Days in month]],1,0):Table15781012[[#This Row],[Days in month]])</f>
        <v>883</v>
      </c>
      <c r="T45" s="37">
        <f>InterestRate*AmortizationMultiplier*IF(ISNUMBER(SEARCH("Actual",$C$7)),Table15781012[[#This Row],[Days in month]]/365,1/12)</f>
        <v>5.8749999999999991E-3</v>
      </c>
    </row>
    <row r="46" spans="2:20" x14ac:dyDescent="0.2">
      <c r="B46" s="1">
        <v>46752</v>
      </c>
      <c r="C46" s="2">
        <f t="shared" si="1"/>
        <v>30</v>
      </c>
      <c r="D46" s="3">
        <f t="shared" si="0"/>
        <v>7663507.4100000001</v>
      </c>
      <c r="E46" s="3">
        <f>ROUND(Table15781012[[#This Row],[Beginning Balance]]*Table15781012[[#This Row],[Monthly Interest Rate]],2)</f>
        <v>46523.88</v>
      </c>
      <c r="F46" s="3">
        <f t="shared" si="2"/>
        <v>322</v>
      </c>
      <c r="G46" s="23">
        <f>IFERROR(IF($C$13="No","N/A",IF(Table15781012[[#This Row],[Period]]=1,$C$6,PMT(InterestRate*AmortizationMultiplier/12,Table15781012[[#This Row],[Am Thru]],-Table15781012[[#This Row],[Beginning Balance]]))),0)</f>
        <v>53561.313175972798</v>
      </c>
      <c r="H46" s="3">
        <f>MAX(0,IF(C46=$C$4,D46,ROUND(IF($C$3="Fixed Principal",$C$6-Table15781012[[#This Row],[Interest]],IF($C$3="Interest Only",Table15781012[[#This Row],[Beginning Balance]]*ROUND(1-(1-IF($C$11="No",$E$8,1))^(1/12),6),MIN(IF($C$13="Yes",Table15781012[[#This Row],[Payment Amount (Reamortized)]],$C$6)-Table15781012[[#This Row],[Interest]],Table15781012[[#This Row],[Beginning Balance]]))),2)))</f>
        <v>7037.43</v>
      </c>
      <c r="I46" s="4">
        <f>IF($C$3="Interest Only",0,ROUND(MAX(MIN(IF($C$10="No",$E$7,VLOOKUP(Table15781012[[#This Row],[Period]],Forecast!$H$2:$L$1048576,4,FALSE))*Table15781012[[#This Row],[Beginning Balance]],Table15781012[[#This Row],[Beginning Balance]]-Table15781012[[#This Row],[Principal]]),0),2))</f>
        <v>21863.99</v>
      </c>
      <c r="J46" s="3">
        <f>ROUND(MIN(Table15781012[[#This Row],[Beginning Balance]]*IF($C$8="No",$E$3,VLOOKUP(Table15781012[[#This Row],[Period]],Forecast!$H$2:$L$1048576,2,FALSE)),Table15781012[[#This Row],[Beginning Balance]]-Table15781012[[#This Row],[Principal]]-Table15781012[[#This Row],[Prepayments]]),2)</f>
        <v>4866.33</v>
      </c>
      <c r="K46" s="3">
        <f>ROUND(Table15781012[[#This Row],[Defaulted Principal]]*IF($C$9="No",$E$4,VLOOKUP(Table15781012[[#This Row],[Period]],Forecast!$H$2:$L$1048576,3,FALSE)),2)</f>
        <v>413.88</v>
      </c>
      <c r="L46" s="2">
        <f>Table15781012[[#This Row],[Period]]+$E$9</f>
        <v>42</v>
      </c>
      <c r="M46" s="3">
        <f>Table15781012[[#This Row],[Defaulted Principal]]-Table15781012[[#This Row],[Estimated Loss]]</f>
        <v>4452.45</v>
      </c>
      <c r="N46" s="3">
        <f>IFERROR(VLOOKUP(Table15781012[[#This Row],[Period]],$L$16:$M$385,2,FALSE),0)</f>
        <v>4009.0800000000004</v>
      </c>
      <c r="O46" s="3">
        <f>Table15781012[[#This Row],[Beginning Balance]]-Table15781012[[#This Row],[Principal]]-Table15781012[[#This Row],[Prepayments]]-Table15781012[[#This Row],[Defaulted Principal]]</f>
        <v>7629739.6600000001</v>
      </c>
      <c r="P46" s="3">
        <f>Table15781012[[#This Row],[Principal]]+Table15781012[[#This Row],[Interest]]+Table15781012[[#This Row],[Prepayments]]+Table15781012[[#This Row],[RecoveredAmount]]</f>
        <v>79434.38</v>
      </c>
      <c r="Q46" s="3">
        <f ca="1">ROUND(Table15781012[[#This Row],[Cash Flow]]/((1+ActualRateToUse)^(IF(ISNUMBER(SEARCH("Actual",$C$7)),Table15781012[[#This Row],[Running Total]]/365,Table15781012[[#This Row],[Period]]/12))),2)</f>
        <v>66382.64</v>
      </c>
      <c r="R46" s="2">
        <f>IF(MONTH(Table15781012[[#This Row],[Date]])=2,28,DAY(DATE(YEAR(Table15781012[[#This Row],[Date]]),MONTH(Table15781012[[#This Row],[Date]])+1,1)-1))</f>
        <v>31</v>
      </c>
      <c r="S46" s="2">
        <f ca="1">SUM(OFFSET(Table15781012[[#Headers],[Days in month]],1,0):Table15781012[[#This Row],[Days in month]])</f>
        <v>914</v>
      </c>
      <c r="T46" s="37">
        <f>InterestRate*AmortizationMultiplier*IF(ISNUMBER(SEARCH("Actual",$C$7)),Table15781012[[#This Row],[Days in month]]/365,1/12)</f>
        <v>6.0708333333333326E-3</v>
      </c>
    </row>
    <row r="47" spans="2:20" x14ac:dyDescent="0.2">
      <c r="B47" s="1">
        <v>46783</v>
      </c>
      <c r="C47" s="2">
        <f t="shared" si="1"/>
        <v>31</v>
      </c>
      <c r="D47" s="3">
        <f t="shared" si="0"/>
        <v>7629739.6600000001</v>
      </c>
      <c r="E47" s="3">
        <f>ROUND(Table15781012[[#This Row],[Beginning Balance]]*Table15781012[[#This Row],[Monthly Interest Rate]],2)</f>
        <v>46318.879999999997</v>
      </c>
      <c r="F47" s="3">
        <f t="shared" si="2"/>
        <v>321</v>
      </c>
      <c r="G47" s="23">
        <f>IFERROR(IF($C$13="No","N/A",IF(Table15781012[[#This Row],[Period]]=1,$C$6,PMT(InterestRate*AmortizationMultiplier/12,Table15781012[[#This Row],[Am Thru]],-Table15781012[[#This Row],[Beginning Balance]]))),0)</f>
        <v>53380.423180888851</v>
      </c>
      <c r="H47" s="3">
        <f>MAX(0,IF(C47=$C$4,D47,ROUND(IF($C$3="Fixed Principal",$C$6-Table15781012[[#This Row],[Interest]],IF($C$3="Interest Only",Table15781012[[#This Row],[Beginning Balance]]*ROUND(1-(1-IF($C$11="No",$E$8,1))^(1/12),6),MIN(IF($C$13="Yes",Table15781012[[#This Row],[Payment Amount (Reamortized)]],$C$6)-Table15781012[[#This Row],[Interest]],Table15781012[[#This Row],[Beginning Balance]]))),2)))</f>
        <v>7061.54</v>
      </c>
      <c r="I47" s="4">
        <f>IF($C$3="Interest Only",0,ROUND(MAX(MIN(IF($C$10="No",$E$7,VLOOKUP(Table15781012[[#This Row],[Period]],Forecast!$H$2:$L$1048576,4,FALSE))*Table15781012[[#This Row],[Beginning Balance]],Table15781012[[#This Row],[Beginning Balance]]-Table15781012[[#This Row],[Principal]]),0),2))</f>
        <v>21767.65</v>
      </c>
      <c r="J47" s="3">
        <f>ROUND(MIN(Table15781012[[#This Row],[Beginning Balance]]*IF($C$8="No",$E$3,VLOOKUP(Table15781012[[#This Row],[Period]],Forecast!$H$2:$L$1048576,2,FALSE)),Table15781012[[#This Row],[Beginning Balance]]-Table15781012[[#This Row],[Principal]]-Table15781012[[#This Row],[Prepayments]]),2)</f>
        <v>5028</v>
      </c>
      <c r="K47" s="3">
        <f>ROUND(Table15781012[[#This Row],[Defaulted Principal]]*IF($C$9="No",$E$4,VLOOKUP(Table15781012[[#This Row],[Period]],Forecast!$H$2:$L$1048576,3,FALSE)),2)</f>
        <v>431.81</v>
      </c>
      <c r="L47" s="2">
        <f>Table15781012[[#This Row],[Period]]+$E$9</f>
        <v>43</v>
      </c>
      <c r="M47" s="3">
        <f>Table15781012[[#This Row],[Defaulted Principal]]-Table15781012[[#This Row],[Estimated Loss]]</f>
        <v>4596.1899999999996</v>
      </c>
      <c r="N47" s="3">
        <f>IFERROR(VLOOKUP(Table15781012[[#This Row],[Period]],$L$16:$M$385,2,FALSE),0)</f>
        <v>4165.38</v>
      </c>
      <c r="O47" s="3">
        <f>Table15781012[[#This Row],[Beginning Balance]]-Table15781012[[#This Row],[Principal]]-Table15781012[[#This Row],[Prepayments]]-Table15781012[[#This Row],[Defaulted Principal]]</f>
        <v>7595882.4699999997</v>
      </c>
      <c r="P47" s="3">
        <f>Table15781012[[#This Row],[Principal]]+Table15781012[[#This Row],[Interest]]+Table15781012[[#This Row],[Prepayments]]+Table15781012[[#This Row],[RecoveredAmount]]</f>
        <v>79313.450000000012</v>
      </c>
      <c r="Q47" s="3">
        <f ca="1">ROUND(Table15781012[[#This Row],[Cash Flow]]/((1+ActualRateToUse)^(IF(ISNUMBER(SEARCH("Actual",$C$7)),Table15781012[[#This Row],[Running Total]]/365,Table15781012[[#This Row],[Period]]/12))),2)</f>
        <v>65879.289999999994</v>
      </c>
      <c r="R47" s="2">
        <f>IF(MONTH(Table15781012[[#This Row],[Date]])=2,28,DAY(DATE(YEAR(Table15781012[[#This Row],[Date]]),MONTH(Table15781012[[#This Row],[Date]])+1,1)-1))</f>
        <v>31</v>
      </c>
      <c r="S47" s="2">
        <f ca="1">SUM(OFFSET(Table15781012[[#Headers],[Days in month]],1,0):Table15781012[[#This Row],[Days in month]])</f>
        <v>945</v>
      </c>
      <c r="T47" s="37">
        <f>InterestRate*AmortizationMultiplier*IF(ISNUMBER(SEARCH("Actual",$C$7)),Table15781012[[#This Row],[Days in month]]/365,1/12)</f>
        <v>6.0708333333333326E-3</v>
      </c>
    </row>
    <row r="48" spans="2:20" x14ac:dyDescent="0.2">
      <c r="B48" s="1">
        <v>46812</v>
      </c>
      <c r="C48" s="2">
        <f t="shared" si="1"/>
        <v>32</v>
      </c>
      <c r="D48" s="3">
        <f t="shared" si="0"/>
        <v>7595882.4699999997</v>
      </c>
      <c r="E48" s="3">
        <f>ROUND(Table15781012[[#This Row],[Beginning Balance]]*Table15781012[[#This Row],[Monthly Interest Rate]],2)</f>
        <v>41650.76</v>
      </c>
      <c r="F48" s="3">
        <f t="shared" si="2"/>
        <v>320</v>
      </c>
      <c r="G48" s="23">
        <f>IFERROR(IF($C$13="No","N/A",IF(Table15781012[[#This Row],[Period]]=1,$C$6,PMT(InterestRate*AmortizationMultiplier/12,Table15781012[[#This Row],[Am Thru]],-Table15781012[[#This Row],[Beginning Balance]]))),0)</f>
        <v>53198.860331010081</v>
      </c>
      <c r="H48" s="3">
        <f>MAX(0,IF(C48=$C$4,D48,ROUND(IF($C$3="Fixed Principal",$C$6-Table15781012[[#This Row],[Interest]],IF($C$3="Interest Only",Table15781012[[#This Row],[Beginning Balance]]*ROUND(1-(1-IF($C$11="No",$E$8,1))^(1/12),6),MIN(IF($C$13="Yes",Table15781012[[#This Row],[Payment Amount (Reamortized)]],$C$6)-Table15781012[[#This Row],[Interest]],Table15781012[[#This Row],[Beginning Balance]]))),2)))</f>
        <v>11548.1</v>
      </c>
      <c r="I48" s="4">
        <f>IF($C$3="Interest Only",0,ROUND(MAX(MIN(IF($C$10="No",$E$7,VLOOKUP(Table15781012[[#This Row],[Period]],Forecast!$H$2:$L$1048576,4,FALSE))*Table15781012[[#This Row],[Beginning Balance]],Table15781012[[#This Row],[Beginning Balance]]-Table15781012[[#This Row],[Principal]]),0),2))</f>
        <v>21671.05</v>
      </c>
      <c r="J48" s="3">
        <f>ROUND(MIN(Table15781012[[#This Row],[Beginning Balance]]*IF($C$8="No",$E$3,VLOOKUP(Table15781012[[#This Row],[Period]],Forecast!$H$2:$L$1048576,2,FALSE)),Table15781012[[#This Row],[Beginning Balance]]-Table15781012[[#This Row],[Principal]]-Table15781012[[#This Row],[Prepayments]]),2)</f>
        <v>5005.6899999999996</v>
      </c>
      <c r="K48" s="3">
        <f>ROUND(Table15781012[[#This Row],[Defaulted Principal]]*IF($C$9="No",$E$4,VLOOKUP(Table15781012[[#This Row],[Period]],Forecast!$H$2:$L$1048576,3,FALSE)),2)</f>
        <v>429.89</v>
      </c>
      <c r="L48" s="2">
        <f>Table15781012[[#This Row],[Period]]+$E$9</f>
        <v>44</v>
      </c>
      <c r="M48" s="3">
        <f>Table15781012[[#This Row],[Defaulted Principal]]-Table15781012[[#This Row],[Estimated Loss]]</f>
        <v>4575.7999999999993</v>
      </c>
      <c r="N48" s="3">
        <f>IFERROR(VLOOKUP(Table15781012[[#This Row],[Period]],$L$16:$M$385,2,FALSE),0)</f>
        <v>4147.6299999999992</v>
      </c>
      <c r="O48" s="3">
        <f>Table15781012[[#This Row],[Beginning Balance]]-Table15781012[[#This Row],[Principal]]-Table15781012[[#This Row],[Prepayments]]-Table15781012[[#This Row],[Defaulted Principal]]</f>
        <v>7557657.6299999999</v>
      </c>
      <c r="P48" s="3">
        <f>Table15781012[[#This Row],[Principal]]+Table15781012[[#This Row],[Interest]]+Table15781012[[#This Row],[Prepayments]]+Table15781012[[#This Row],[RecoveredAmount]]</f>
        <v>79017.540000000008</v>
      </c>
      <c r="Q48" s="3">
        <f ca="1">ROUND(Table15781012[[#This Row],[Cash Flow]]/((1+ActualRateToUse)^(IF(ISNUMBER(SEARCH("Actual",$C$7)),Table15781012[[#This Row],[Running Total]]/365,Table15781012[[#This Row],[Period]]/12))),2)</f>
        <v>65273.58</v>
      </c>
      <c r="R48" s="2">
        <f>IF(MONTH(Table15781012[[#This Row],[Date]])=2,28,DAY(DATE(YEAR(Table15781012[[#This Row],[Date]]),MONTH(Table15781012[[#This Row],[Date]])+1,1)-1))</f>
        <v>28</v>
      </c>
      <c r="S48" s="2">
        <f ca="1">SUM(OFFSET(Table15781012[[#Headers],[Days in month]],1,0):Table15781012[[#This Row],[Days in month]])</f>
        <v>973</v>
      </c>
      <c r="T48" s="37">
        <f>InterestRate*AmortizationMultiplier*IF(ISNUMBER(SEARCH("Actual",$C$7)),Table15781012[[#This Row],[Days in month]]/365,1/12)</f>
        <v>5.4833333333333331E-3</v>
      </c>
    </row>
    <row r="49" spans="2:20" x14ac:dyDescent="0.2">
      <c r="B49" s="1">
        <v>46843</v>
      </c>
      <c r="C49" s="2">
        <f t="shared" si="1"/>
        <v>33</v>
      </c>
      <c r="D49" s="3">
        <f t="shared" si="0"/>
        <v>7557657.6299999999</v>
      </c>
      <c r="E49" s="3">
        <f>ROUND(Table15781012[[#This Row],[Beginning Balance]]*Table15781012[[#This Row],[Monthly Interest Rate]],2)</f>
        <v>45881.279999999999</v>
      </c>
      <c r="F49" s="3">
        <f t="shared" si="2"/>
        <v>319</v>
      </c>
      <c r="G49" s="23">
        <f>IFERROR(IF($C$13="No","N/A",IF(Table15781012[[#This Row],[Period]]=1,$C$6,PMT(InterestRate*AmortizationMultiplier/12,Table15781012[[#This Row],[Am Thru]],-Table15781012[[#This Row],[Beginning Balance]]))),0)</f>
        <v>52986.626643469703</v>
      </c>
      <c r="H49" s="3">
        <f>MAX(0,IF(C49=$C$4,D49,ROUND(IF($C$3="Fixed Principal",$C$6-Table15781012[[#This Row],[Interest]],IF($C$3="Interest Only",Table15781012[[#This Row],[Beginning Balance]]*ROUND(1-(1-IF($C$11="No",$E$8,1))^(1/12),6),MIN(IF($C$13="Yes",Table15781012[[#This Row],[Payment Amount (Reamortized)]],$C$6)-Table15781012[[#This Row],[Interest]],Table15781012[[#This Row],[Beginning Balance]]))),2)))</f>
        <v>7105.35</v>
      </c>
      <c r="I49" s="4">
        <f>IF($C$3="Interest Only",0,ROUND(MAX(MIN(IF($C$10="No",$E$7,VLOOKUP(Table15781012[[#This Row],[Period]],Forecast!$H$2:$L$1048576,4,FALSE))*Table15781012[[#This Row],[Beginning Balance]],Table15781012[[#This Row],[Beginning Balance]]-Table15781012[[#This Row],[Principal]]),0),2))</f>
        <v>21562</v>
      </c>
      <c r="J49" s="3">
        <f>ROUND(MIN(Table15781012[[#This Row],[Beginning Balance]]*IF($C$8="No",$E$3,VLOOKUP(Table15781012[[#This Row],[Period]],Forecast!$H$2:$L$1048576,2,FALSE)),Table15781012[[#This Row],[Beginning Balance]]-Table15781012[[#This Row],[Principal]]-Table15781012[[#This Row],[Prepayments]]),2)</f>
        <v>4980.5</v>
      </c>
      <c r="K49" s="3">
        <f>ROUND(Table15781012[[#This Row],[Defaulted Principal]]*IF($C$9="No",$E$4,VLOOKUP(Table15781012[[#This Row],[Period]],Forecast!$H$2:$L$1048576,3,FALSE)),2)</f>
        <v>427.73</v>
      </c>
      <c r="L49" s="2">
        <f>Table15781012[[#This Row],[Period]]+$E$9</f>
        <v>45</v>
      </c>
      <c r="M49" s="3">
        <f>Table15781012[[#This Row],[Defaulted Principal]]-Table15781012[[#This Row],[Estimated Loss]]</f>
        <v>4552.7700000000004</v>
      </c>
      <c r="N49" s="3">
        <f>IFERROR(VLOOKUP(Table15781012[[#This Row],[Period]],$L$16:$M$385,2,FALSE),0)</f>
        <v>4127.5</v>
      </c>
      <c r="O49" s="3">
        <f>Table15781012[[#This Row],[Beginning Balance]]-Table15781012[[#This Row],[Principal]]-Table15781012[[#This Row],[Prepayments]]-Table15781012[[#This Row],[Defaulted Principal]]</f>
        <v>7524009.7800000003</v>
      </c>
      <c r="P49" s="3">
        <f>Table15781012[[#This Row],[Principal]]+Table15781012[[#This Row],[Interest]]+Table15781012[[#This Row],[Prepayments]]+Table15781012[[#This Row],[RecoveredAmount]]</f>
        <v>78676.13</v>
      </c>
      <c r="Q49" s="3">
        <f ca="1">ROUND(Table15781012[[#This Row],[Cash Flow]]/((1+ActualRateToUse)^(IF(ISNUMBER(SEARCH("Actual",$C$7)),Table15781012[[#This Row],[Running Total]]/365,Table15781012[[#This Row],[Period]]/12))),2)</f>
        <v>64597.1</v>
      </c>
      <c r="R49" s="2">
        <f>IF(MONTH(Table15781012[[#This Row],[Date]])=2,28,DAY(DATE(YEAR(Table15781012[[#This Row],[Date]]),MONTH(Table15781012[[#This Row],[Date]])+1,1)-1))</f>
        <v>31</v>
      </c>
      <c r="S49" s="2">
        <f ca="1">SUM(OFFSET(Table15781012[[#Headers],[Days in month]],1,0):Table15781012[[#This Row],[Days in month]])</f>
        <v>1004</v>
      </c>
      <c r="T49" s="37">
        <f>InterestRate*AmortizationMultiplier*IF(ISNUMBER(SEARCH("Actual",$C$7)),Table15781012[[#This Row],[Days in month]]/365,1/12)</f>
        <v>6.0708333333333326E-3</v>
      </c>
    </row>
    <row r="50" spans="2:20" x14ac:dyDescent="0.2">
      <c r="B50" s="1">
        <v>46873</v>
      </c>
      <c r="C50" s="2">
        <f t="shared" si="1"/>
        <v>34</v>
      </c>
      <c r="D50" s="3">
        <f t="shared" si="0"/>
        <v>7524009.7800000003</v>
      </c>
      <c r="E50" s="3">
        <f>ROUND(Table15781012[[#This Row],[Beginning Balance]]*Table15781012[[#This Row],[Monthly Interest Rate]],2)</f>
        <v>44203.56</v>
      </c>
      <c r="F50" s="3">
        <f t="shared" si="2"/>
        <v>318</v>
      </c>
      <c r="G50" s="23">
        <f>IFERROR(IF($C$13="No","N/A",IF(Table15781012[[#This Row],[Period]]=1,$C$6,PMT(InterestRate*AmortizationMultiplier/12,Table15781012[[#This Row],[Am Thru]],-Table15781012[[#This Row],[Beginning Balance]]))),0)</f>
        <v>52806.400501108001</v>
      </c>
      <c r="H50" s="3">
        <f>MAX(0,IF(C50=$C$4,D50,ROUND(IF($C$3="Fixed Principal",$C$6-Table15781012[[#This Row],[Interest]],IF($C$3="Interest Only",Table15781012[[#This Row],[Beginning Balance]]*ROUND(1-(1-IF($C$11="No",$E$8,1))^(1/12),6),MIN(IF($C$13="Yes",Table15781012[[#This Row],[Payment Amount (Reamortized)]],$C$6)-Table15781012[[#This Row],[Interest]],Table15781012[[#This Row],[Beginning Balance]]))),2)))</f>
        <v>8602.84</v>
      </c>
      <c r="I50" s="4">
        <f>IF($C$3="Interest Only",0,ROUND(MAX(MIN(IF($C$10="No",$E$7,VLOOKUP(Table15781012[[#This Row],[Period]],Forecast!$H$2:$L$1048576,4,FALSE))*Table15781012[[#This Row],[Beginning Balance]],Table15781012[[#This Row],[Beginning Balance]]-Table15781012[[#This Row],[Principal]]),0),2))</f>
        <v>21466</v>
      </c>
      <c r="J50" s="3">
        <f>ROUND(MIN(Table15781012[[#This Row],[Beginning Balance]]*IF($C$8="No",$E$3,VLOOKUP(Table15781012[[#This Row],[Period]],Forecast!$H$2:$L$1048576,2,FALSE)),Table15781012[[#This Row],[Beginning Balance]]-Table15781012[[#This Row],[Principal]]-Table15781012[[#This Row],[Prepayments]]),2)</f>
        <v>5138.8999999999996</v>
      </c>
      <c r="K50" s="3">
        <f>ROUND(Table15781012[[#This Row],[Defaulted Principal]]*IF($C$9="No",$E$4,VLOOKUP(Table15781012[[#This Row],[Period]],Forecast!$H$2:$L$1048576,3,FALSE)),2)</f>
        <v>445.51</v>
      </c>
      <c r="L50" s="2">
        <f>Table15781012[[#This Row],[Period]]+$E$9</f>
        <v>46</v>
      </c>
      <c r="M50" s="3">
        <f>Table15781012[[#This Row],[Defaulted Principal]]-Table15781012[[#This Row],[Estimated Loss]]</f>
        <v>4693.3899999999994</v>
      </c>
      <c r="N50" s="3">
        <f>IFERROR(VLOOKUP(Table15781012[[#This Row],[Period]],$L$16:$M$385,2,FALSE),0)</f>
        <v>4280.57</v>
      </c>
      <c r="O50" s="3">
        <f>Table15781012[[#This Row],[Beginning Balance]]-Table15781012[[#This Row],[Principal]]-Table15781012[[#This Row],[Prepayments]]-Table15781012[[#This Row],[Defaulted Principal]]</f>
        <v>7488802.04</v>
      </c>
      <c r="P50" s="3">
        <f>Table15781012[[#This Row],[Principal]]+Table15781012[[#This Row],[Interest]]+Table15781012[[#This Row],[Prepayments]]+Table15781012[[#This Row],[RecoveredAmount]]</f>
        <v>78552.97</v>
      </c>
      <c r="Q50" s="3">
        <f ca="1">ROUND(Table15781012[[#This Row],[Cash Flow]]/((1+ActualRateToUse)^(IF(ISNUMBER(SEARCH("Actual",$C$7)),Table15781012[[#This Row],[Running Total]]/365,Table15781012[[#This Row],[Period]]/12))),2)</f>
        <v>64117.11</v>
      </c>
      <c r="R50" s="2">
        <f>IF(MONTH(Table15781012[[#This Row],[Date]])=2,28,DAY(DATE(YEAR(Table15781012[[#This Row],[Date]]),MONTH(Table15781012[[#This Row],[Date]])+1,1)-1))</f>
        <v>30</v>
      </c>
      <c r="S50" s="2">
        <f ca="1">SUM(OFFSET(Table15781012[[#Headers],[Days in month]],1,0):Table15781012[[#This Row],[Days in month]])</f>
        <v>1034</v>
      </c>
      <c r="T50" s="37">
        <f>InterestRate*AmortizationMultiplier*IF(ISNUMBER(SEARCH("Actual",$C$7)),Table15781012[[#This Row],[Days in month]]/365,1/12)</f>
        <v>5.8749999999999991E-3</v>
      </c>
    </row>
    <row r="51" spans="2:20" x14ac:dyDescent="0.2">
      <c r="B51" s="1">
        <v>46904</v>
      </c>
      <c r="C51" s="2">
        <f t="shared" si="1"/>
        <v>35</v>
      </c>
      <c r="D51" s="3">
        <f t="shared" si="0"/>
        <v>7488802.04</v>
      </c>
      <c r="E51" s="3">
        <f>ROUND(Table15781012[[#This Row],[Beginning Balance]]*Table15781012[[#This Row],[Monthly Interest Rate]],2)</f>
        <v>45463.27</v>
      </c>
      <c r="F51" s="3">
        <f t="shared" si="2"/>
        <v>317</v>
      </c>
      <c r="G51" s="23">
        <f>IFERROR(IF($C$13="No","N/A",IF(Table15781012[[#This Row],[Period]]=1,$C$6,PMT(InterestRate*AmortizationMultiplier/12,Table15781012[[#This Row],[Am Thru]],-Table15781012[[#This Row],[Beginning Balance]]))),0)</f>
        <v>52615.165173336296</v>
      </c>
      <c r="H51" s="3">
        <f>MAX(0,IF(C51=$C$4,D51,ROUND(IF($C$3="Fixed Principal",$C$6-Table15781012[[#This Row],[Interest]],IF($C$3="Interest Only",Table15781012[[#This Row],[Beginning Balance]]*ROUND(1-(1-IF($C$11="No",$E$8,1))^(1/12),6),MIN(IF($C$13="Yes",Table15781012[[#This Row],[Payment Amount (Reamortized)]],$C$6)-Table15781012[[#This Row],[Interest]],Table15781012[[#This Row],[Beginning Balance]]))),2)))</f>
        <v>7151.9</v>
      </c>
      <c r="I51" s="4">
        <f>IF($C$3="Interest Only",0,ROUND(MAX(MIN(IF($C$10="No",$E$7,VLOOKUP(Table15781012[[#This Row],[Period]],Forecast!$H$2:$L$1048576,4,FALSE))*Table15781012[[#This Row],[Beginning Balance]],Table15781012[[#This Row],[Beginning Balance]]-Table15781012[[#This Row],[Principal]]),0),2))</f>
        <v>21365.55</v>
      </c>
      <c r="J51" s="3">
        <f>ROUND(MIN(Table15781012[[#This Row],[Beginning Balance]]*IF($C$8="No",$E$3,VLOOKUP(Table15781012[[#This Row],[Period]],Forecast!$H$2:$L$1048576,2,FALSE)),Table15781012[[#This Row],[Beginning Balance]]-Table15781012[[#This Row],[Principal]]-Table15781012[[#This Row],[Prepayments]]),2)</f>
        <v>5114.8500000000004</v>
      </c>
      <c r="K51" s="3">
        <f>ROUND(Table15781012[[#This Row],[Defaulted Principal]]*IF($C$9="No",$E$4,VLOOKUP(Table15781012[[#This Row],[Period]],Forecast!$H$2:$L$1048576,3,FALSE)),2)</f>
        <v>443.43</v>
      </c>
      <c r="L51" s="2">
        <f>Table15781012[[#This Row],[Period]]+$E$9</f>
        <v>47</v>
      </c>
      <c r="M51" s="3">
        <f>Table15781012[[#This Row],[Defaulted Principal]]-Table15781012[[#This Row],[Estimated Loss]]</f>
        <v>4671.42</v>
      </c>
      <c r="N51" s="3">
        <f>IFERROR(VLOOKUP(Table15781012[[#This Row],[Period]],$L$16:$M$385,2,FALSE),0)</f>
        <v>4261.32</v>
      </c>
      <c r="O51" s="3">
        <f>Table15781012[[#This Row],[Beginning Balance]]-Table15781012[[#This Row],[Principal]]-Table15781012[[#This Row],[Prepayments]]-Table15781012[[#This Row],[Defaulted Principal]]</f>
        <v>7455169.7400000002</v>
      </c>
      <c r="P51" s="3">
        <f>Table15781012[[#This Row],[Principal]]+Table15781012[[#This Row],[Interest]]+Table15781012[[#This Row],[Prepayments]]+Table15781012[[#This Row],[RecoveredAmount]]</f>
        <v>78242.040000000008</v>
      </c>
      <c r="Q51" s="3">
        <f ca="1">ROUND(Table15781012[[#This Row],[Cash Flow]]/((1+ActualRateToUse)^(IF(ISNUMBER(SEARCH("Actual",$C$7)),Table15781012[[#This Row],[Running Total]]/365,Table15781012[[#This Row],[Period]]/12))),2)</f>
        <v>63475.71</v>
      </c>
      <c r="R51" s="2">
        <f>IF(MONTH(Table15781012[[#This Row],[Date]])=2,28,DAY(DATE(YEAR(Table15781012[[#This Row],[Date]]),MONTH(Table15781012[[#This Row],[Date]])+1,1)-1))</f>
        <v>31</v>
      </c>
      <c r="S51" s="2">
        <f ca="1">SUM(OFFSET(Table15781012[[#Headers],[Days in month]],1,0):Table15781012[[#This Row],[Days in month]])</f>
        <v>1065</v>
      </c>
      <c r="T51" s="37">
        <f>InterestRate*AmortizationMultiplier*IF(ISNUMBER(SEARCH("Actual",$C$7)),Table15781012[[#This Row],[Days in month]]/365,1/12)</f>
        <v>6.0708333333333326E-3</v>
      </c>
    </row>
    <row r="52" spans="2:20" x14ac:dyDescent="0.2">
      <c r="B52" s="1">
        <v>46934</v>
      </c>
      <c r="C52" s="2">
        <f t="shared" si="1"/>
        <v>36</v>
      </c>
      <c r="D52" s="3">
        <f t="shared" si="0"/>
        <v>7455169.7400000002</v>
      </c>
      <c r="E52" s="3">
        <f>ROUND(Table15781012[[#This Row],[Beginning Balance]]*Table15781012[[#This Row],[Monthly Interest Rate]],2)</f>
        <v>43799.12</v>
      </c>
      <c r="F52" s="3">
        <f t="shared" si="2"/>
        <v>316</v>
      </c>
      <c r="G52" s="23">
        <f>IFERROR(IF($C$13="No","N/A",IF(Table15781012[[#This Row],[Period]]=1,$C$6,PMT(InterestRate*AmortizationMultiplier/12,Table15781012[[#This Row],[Am Thru]],-Table15781012[[#This Row],[Beginning Balance]]))),0)</f>
        <v>52434.93579215822</v>
      </c>
      <c r="H52" s="3">
        <f>MAX(0,IF(C52=$C$4,D52,ROUND(IF($C$3="Fixed Principal",$C$6-Table15781012[[#This Row],[Interest]],IF($C$3="Interest Only",Table15781012[[#This Row],[Beginning Balance]]*ROUND(1-(1-IF($C$11="No",$E$8,1))^(1/12),6),MIN(IF($C$13="Yes",Table15781012[[#This Row],[Payment Amount (Reamortized)]],$C$6)-Table15781012[[#This Row],[Interest]],Table15781012[[#This Row],[Beginning Balance]]))),2)))</f>
        <v>8635.82</v>
      </c>
      <c r="I52" s="4">
        <f>IF($C$3="Interest Only",0,ROUND(MAX(MIN(IF($C$10="No",$E$7,VLOOKUP(Table15781012[[#This Row],[Period]],Forecast!$H$2:$L$1048576,4,FALSE))*Table15781012[[#This Row],[Beginning Balance]],Table15781012[[#This Row],[Beginning Balance]]-Table15781012[[#This Row],[Principal]]),0),2))</f>
        <v>21269.599999999999</v>
      </c>
      <c r="J52" s="3">
        <f>ROUND(MIN(Table15781012[[#This Row],[Beginning Balance]]*IF($C$8="No",$E$3,VLOOKUP(Table15781012[[#This Row],[Period]],Forecast!$H$2:$L$1048576,2,FALSE)),Table15781012[[#This Row],[Beginning Balance]]-Table15781012[[#This Row],[Principal]]-Table15781012[[#This Row],[Prepayments]]),2)</f>
        <v>5091.88</v>
      </c>
      <c r="K52" s="3">
        <f>ROUND(Table15781012[[#This Row],[Defaulted Principal]]*IF($C$9="No",$E$4,VLOOKUP(Table15781012[[#This Row],[Period]],Forecast!$H$2:$L$1048576,3,FALSE)),2)</f>
        <v>441.44</v>
      </c>
      <c r="L52" s="2">
        <f>Table15781012[[#This Row],[Period]]+$E$9</f>
        <v>48</v>
      </c>
      <c r="M52" s="3">
        <f>Table15781012[[#This Row],[Defaulted Principal]]-Table15781012[[#This Row],[Estimated Loss]]</f>
        <v>4650.4400000000005</v>
      </c>
      <c r="N52" s="3">
        <f>IFERROR(VLOOKUP(Table15781012[[#This Row],[Period]],$L$16:$M$385,2,FALSE),0)</f>
        <v>4242.9399999999996</v>
      </c>
      <c r="O52" s="3">
        <f>Table15781012[[#This Row],[Beginning Balance]]-Table15781012[[#This Row],[Principal]]-Table15781012[[#This Row],[Prepayments]]-Table15781012[[#This Row],[Defaulted Principal]]</f>
        <v>7420172.4400000004</v>
      </c>
      <c r="P52" s="3">
        <f>Table15781012[[#This Row],[Principal]]+Table15781012[[#This Row],[Interest]]+Table15781012[[#This Row],[Prepayments]]+Table15781012[[#This Row],[RecoveredAmount]]</f>
        <v>77947.48000000001</v>
      </c>
      <c r="Q52" s="3">
        <f ca="1">ROUND(Table15781012[[#This Row],[Cash Flow]]/((1+ActualRateToUse)^(IF(ISNUMBER(SEARCH("Actual",$C$7)),Table15781012[[#This Row],[Running Total]]/365,Table15781012[[#This Row],[Period]]/12))),2)</f>
        <v>62865.27</v>
      </c>
      <c r="R52" s="2">
        <f>IF(MONTH(Table15781012[[#This Row],[Date]])=2,28,DAY(DATE(YEAR(Table15781012[[#This Row],[Date]]),MONTH(Table15781012[[#This Row],[Date]])+1,1)-1))</f>
        <v>30</v>
      </c>
      <c r="S52" s="2">
        <f ca="1">SUM(OFFSET(Table15781012[[#Headers],[Days in month]],1,0):Table15781012[[#This Row],[Days in month]])</f>
        <v>1095</v>
      </c>
      <c r="T52" s="37">
        <f>InterestRate*AmortizationMultiplier*IF(ISNUMBER(SEARCH("Actual",$C$7)),Table15781012[[#This Row],[Days in month]]/365,1/12)</f>
        <v>5.8749999999999991E-3</v>
      </c>
    </row>
    <row r="53" spans="2:20" x14ac:dyDescent="0.2">
      <c r="B53" s="1">
        <v>46965</v>
      </c>
      <c r="C53" s="2">
        <f t="shared" si="1"/>
        <v>37</v>
      </c>
      <c r="D53" s="3">
        <f t="shared" si="0"/>
        <v>7420172.4400000004</v>
      </c>
      <c r="E53" s="3">
        <f>ROUND(Table15781012[[#This Row],[Beginning Balance]]*Table15781012[[#This Row],[Monthly Interest Rate]],2)</f>
        <v>45046.63</v>
      </c>
      <c r="F53" s="3">
        <f t="shared" si="2"/>
        <v>315</v>
      </c>
      <c r="G53" s="23">
        <f>IFERROR(IF($C$13="No","N/A",IF(Table15781012[[#This Row],[Period]]=1,$C$6,PMT(InterestRate*AmortizationMultiplier/12,Table15781012[[#This Row],[Am Thru]],-Table15781012[[#This Row],[Beginning Balance]]))),0)</f>
        <v>52245.04279946797</v>
      </c>
      <c r="H53" s="3">
        <f>MAX(0,IF(C53=$C$4,D53,ROUND(IF($C$3="Fixed Principal",$C$6-Table15781012[[#This Row],[Interest]],IF($C$3="Interest Only",Table15781012[[#This Row],[Beginning Balance]]*ROUND(1-(1-IF($C$11="No",$E$8,1))^(1/12),6),MIN(IF($C$13="Yes",Table15781012[[#This Row],[Payment Amount (Reamortized)]],$C$6)-Table15781012[[#This Row],[Interest]],Table15781012[[#This Row],[Beginning Balance]]))),2)))</f>
        <v>7198.41</v>
      </c>
      <c r="I53" s="4">
        <f>IF($C$3="Interest Only",0,ROUND(MAX(MIN(IF($C$10="No",$E$7,VLOOKUP(Table15781012[[#This Row],[Period]],Forecast!$H$2:$L$1048576,4,FALSE))*Table15781012[[#This Row],[Beginning Balance]],Table15781012[[#This Row],[Beginning Balance]]-Table15781012[[#This Row],[Principal]]),0),2))</f>
        <v>21169.75</v>
      </c>
      <c r="J53" s="3">
        <f>ROUND(MIN(Table15781012[[#This Row],[Beginning Balance]]*IF($C$8="No",$E$3,VLOOKUP(Table15781012[[#This Row],[Period]],Forecast!$H$2:$L$1048576,2,FALSE)),Table15781012[[#This Row],[Beginning Balance]]-Table15781012[[#This Row],[Principal]]-Table15781012[[#This Row],[Prepayments]]),2)</f>
        <v>5067.9799999999996</v>
      </c>
      <c r="K53" s="3">
        <f>ROUND(Table15781012[[#This Row],[Defaulted Principal]]*IF($C$9="No",$E$4,VLOOKUP(Table15781012[[#This Row],[Period]],Forecast!$H$2:$L$1048576,3,FALSE)),2)</f>
        <v>439.36</v>
      </c>
      <c r="L53" s="2">
        <f>Table15781012[[#This Row],[Period]]+$E$9</f>
        <v>49</v>
      </c>
      <c r="M53" s="3">
        <f>Table15781012[[#This Row],[Defaulted Principal]]-Table15781012[[#This Row],[Estimated Loss]]</f>
        <v>4628.62</v>
      </c>
      <c r="N53" s="3">
        <f>IFERROR(VLOOKUP(Table15781012[[#This Row],[Period]],$L$16:$M$385,2,FALSE),0)</f>
        <v>4384.84</v>
      </c>
      <c r="O53" s="3">
        <f>Table15781012[[#This Row],[Beginning Balance]]-Table15781012[[#This Row],[Principal]]-Table15781012[[#This Row],[Prepayments]]-Table15781012[[#This Row],[Defaulted Principal]]</f>
        <v>7386736.2999999998</v>
      </c>
      <c r="P53" s="3">
        <f>Table15781012[[#This Row],[Principal]]+Table15781012[[#This Row],[Interest]]+Table15781012[[#This Row],[Prepayments]]+Table15781012[[#This Row],[RecoveredAmount]]</f>
        <v>77799.62999999999</v>
      </c>
      <c r="Q53" s="3">
        <f ca="1">ROUND(Table15781012[[#This Row],[Cash Flow]]/((1+ActualRateToUse)^(IF(ISNUMBER(SEARCH("Actual",$C$7)),Table15781012[[#This Row],[Running Total]]/365,Table15781012[[#This Row],[Period]]/12))),2)</f>
        <v>62365.2</v>
      </c>
      <c r="R53" s="2">
        <f>IF(MONTH(Table15781012[[#This Row],[Date]])=2,28,DAY(DATE(YEAR(Table15781012[[#This Row],[Date]]),MONTH(Table15781012[[#This Row],[Date]])+1,1)-1))</f>
        <v>31</v>
      </c>
      <c r="S53" s="2">
        <f ca="1">SUM(OFFSET(Table15781012[[#Headers],[Days in month]],1,0):Table15781012[[#This Row],[Days in month]])</f>
        <v>1126</v>
      </c>
      <c r="T53" s="37">
        <f>InterestRate*AmortizationMultiplier*IF(ISNUMBER(SEARCH("Actual",$C$7)),Table15781012[[#This Row],[Days in month]]/365,1/12)</f>
        <v>6.0708333333333326E-3</v>
      </c>
    </row>
    <row r="54" spans="2:20" x14ac:dyDescent="0.2">
      <c r="B54" s="1">
        <v>46996</v>
      </c>
      <c r="C54" s="2">
        <f t="shared" si="1"/>
        <v>38</v>
      </c>
      <c r="D54" s="3">
        <f t="shared" si="0"/>
        <v>7386736.2999999998</v>
      </c>
      <c r="E54" s="3">
        <f>ROUND(Table15781012[[#This Row],[Beginning Balance]]*Table15781012[[#This Row],[Monthly Interest Rate]],2)</f>
        <v>44843.64</v>
      </c>
      <c r="F54" s="3">
        <f t="shared" si="2"/>
        <v>314</v>
      </c>
      <c r="G54" s="23">
        <f>IFERROR(IF($C$13="No","N/A",IF(Table15781012[[#This Row],[Period]]=1,$C$6,PMT(InterestRate*AmortizationMultiplier/12,Table15781012[[#This Row],[Am Thru]],-Table15781012[[#This Row],[Beginning Balance]]))),0)</f>
        <v>52066.078555371634</v>
      </c>
      <c r="H54" s="3">
        <f>MAX(0,IF(C54=$C$4,D54,ROUND(IF($C$3="Fixed Principal",$C$6-Table15781012[[#This Row],[Interest]],IF($C$3="Interest Only",Table15781012[[#This Row],[Beginning Balance]]*ROUND(1-(1-IF($C$11="No",$E$8,1))^(1/12),6),MIN(IF($C$13="Yes",Table15781012[[#This Row],[Payment Amount (Reamortized)]],$C$6)-Table15781012[[#This Row],[Interest]],Table15781012[[#This Row],[Beginning Balance]]))),2)))</f>
        <v>7222.44</v>
      </c>
      <c r="I54" s="4">
        <f>IF($C$3="Interest Only",0,ROUND(MAX(MIN(IF($C$10="No",$E$7,VLOOKUP(Table15781012[[#This Row],[Period]],Forecast!$H$2:$L$1048576,4,FALSE))*Table15781012[[#This Row],[Beginning Balance]],Table15781012[[#This Row],[Beginning Balance]]-Table15781012[[#This Row],[Principal]]),0),2))</f>
        <v>21074.36</v>
      </c>
      <c r="J54" s="3">
        <f>ROUND(MIN(Table15781012[[#This Row],[Beginning Balance]]*IF($C$8="No",$E$3,VLOOKUP(Table15781012[[#This Row],[Period]],Forecast!$H$2:$L$1048576,2,FALSE)),Table15781012[[#This Row],[Beginning Balance]]-Table15781012[[#This Row],[Principal]]-Table15781012[[#This Row],[Prepayments]]),2)</f>
        <v>5045.1400000000003</v>
      </c>
      <c r="K54" s="3">
        <f>ROUND(Table15781012[[#This Row],[Defaulted Principal]]*IF($C$9="No",$E$4,VLOOKUP(Table15781012[[#This Row],[Period]],Forecast!$H$2:$L$1048576,3,FALSE)),2)</f>
        <v>437.38</v>
      </c>
      <c r="L54" s="2">
        <f>Table15781012[[#This Row],[Period]]+$E$9</f>
        <v>50</v>
      </c>
      <c r="M54" s="3">
        <f>Table15781012[[#This Row],[Defaulted Principal]]-Table15781012[[#This Row],[Estimated Loss]]</f>
        <v>4607.76</v>
      </c>
      <c r="N54" s="3">
        <f>IFERROR(VLOOKUP(Table15781012[[#This Row],[Period]],$L$16:$M$385,2,FALSE),0)</f>
        <v>4365.7699999999995</v>
      </c>
      <c r="O54" s="3">
        <f>Table15781012[[#This Row],[Beginning Balance]]-Table15781012[[#This Row],[Principal]]-Table15781012[[#This Row],[Prepayments]]-Table15781012[[#This Row],[Defaulted Principal]]</f>
        <v>7353394.3599999994</v>
      </c>
      <c r="P54" s="3">
        <f>Table15781012[[#This Row],[Principal]]+Table15781012[[#This Row],[Interest]]+Table15781012[[#This Row],[Prepayments]]+Table15781012[[#This Row],[RecoveredAmount]]</f>
        <v>77506.210000000006</v>
      </c>
      <c r="Q54" s="3">
        <f ca="1">ROUND(Table15781012[[#This Row],[Cash Flow]]/((1+ActualRateToUse)^(IF(ISNUMBER(SEARCH("Actual",$C$7)),Table15781012[[#This Row],[Running Total]]/365,Table15781012[[#This Row],[Period]]/12))),2)</f>
        <v>61752.89</v>
      </c>
      <c r="R54" s="2">
        <f>IF(MONTH(Table15781012[[#This Row],[Date]])=2,28,DAY(DATE(YEAR(Table15781012[[#This Row],[Date]]),MONTH(Table15781012[[#This Row],[Date]])+1,1)-1))</f>
        <v>31</v>
      </c>
      <c r="S54" s="2">
        <f ca="1">SUM(OFFSET(Table15781012[[#Headers],[Days in month]],1,0):Table15781012[[#This Row],[Days in month]])</f>
        <v>1157</v>
      </c>
      <c r="T54" s="37">
        <f>InterestRate*AmortizationMultiplier*IF(ISNUMBER(SEARCH("Actual",$C$7)),Table15781012[[#This Row],[Days in month]]/365,1/12)</f>
        <v>6.0708333333333326E-3</v>
      </c>
    </row>
    <row r="55" spans="2:20" x14ac:dyDescent="0.2">
      <c r="B55" s="1">
        <v>47026</v>
      </c>
      <c r="C55" s="2">
        <f t="shared" si="1"/>
        <v>39</v>
      </c>
      <c r="D55" s="3">
        <f t="shared" si="0"/>
        <v>7353394.3599999994</v>
      </c>
      <c r="E55" s="3">
        <f>ROUND(Table15781012[[#This Row],[Beginning Balance]]*Table15781012[[#This Row],[Monthly Interest Rate]],2)</f>
        <v>43201.19</v>
      </c>
      <c r="F55" s="3">
        <f t="shared" si="2"/>
        <v>313</v>
      </c>
      <c r="G55" s="23">
        <f>IFERROR(IF($C$13="No","N/A",IF(Table15781012[[#This Row],[Period]]=1,$C$6,PMT(InterestRate*AmortizationMultiplier/12,Table15781012[[#This Row],[Am Thru]],-Table15781012[[#This Row],[Beginning Balance]]))),0)</f>
        <v>51887.725919844605</v>
      </c>
      <c r="H55" s="3">
        <f>MAX(0,IF(C55=$C$4,D55,ROUND(IF($C$3="Fixed Principal",$C$6-Table15781012[[#This Row],[Interest]],IF($C$3="Interest Only",Table15781012[[#This Row],[Beginning Balance]]*ROUND(1-(1-IF($C$11="No",$E$8,1))^(1/12),6),MIN(IF($C$13="Yes",Table15781012[[#This Row],[Payment Amount (Reamortized)]],$C$6)-Table15781012[[#This Row],[Interest]],Table15781012[[#This Row],[Beginning Balance]]))),2)))</f>
        <v>8686.5400000000009</v>
      </c>
      <c r="I55" s="4">
        <f>IF($C$3="Interest Only",0,ROUND(MAX(MIN(IF($C$10="No",$E$7,VLOOKUP(Table15781012[[#This Row],[Period]],Forecast!$H$2:$L$1048576,4,FALSE))*Table15781012[[#This Row],[Beginning Balance]],Table15781012[[#This Row],[Beginning Balance]]-Table15781012[[#This Row],[Principal]]),0),2))</f>
        <v>20979.23</v>
      </c>
      <c r="J55" s="3">
        <f>ROUND(MIN(Table15781012[[#This Row],[Beginning Balance]]*IF($C$8="No",$E$3,VLOOKUP(Table15781012[[#This Row],[Period]],Forecast!$H$2:$L$1048576,2,FALSE)),Table15781012[[#This Row],[Beginning Balance]]-Table15781012[[#This Row],[Principal]]-Table15781012[[#This Row],[Prepayments]]),2)</f>
        <v>5022.37</v>
      </c>
      <c r="K55" s="3">
        <f>ROUND(Table15781012[[#This Row],[Defaulted Principal]]*IF($C$9="No",$E$4,VLOOKUP(Table15781012[[#This Row],[Period]],Forecast!$H$2:$L$1048576,3,FALSE)),2)</f>
        <v>435.41</v>
      </c>
      <c r="L55" s="2">
        <f>Table15781012[[#This Row],[Period]]+$E$9</f>
        <v>51</v>
      </c>
      <c r="M55" s="3">
        <f>Table15781012[[#This Row],[Defaulted Principal]]-Table15781012[[#This Row],[Estimated Loss]]</f>
        <v>4586.96</v>
      </c>
      <c r="N55" s="3">
        <f>IFERROR(VLOOKUP(Table15781012[[#This Row],[Period]],$L$16:$M$385,2,FALSE),0)</f>
        <v>4346.7699999999995</v>
      </c>
      <c r="O55" s="3">
        <f>Table15781012[[#This Row],[Beginning Balance]]-Table15781012[[#This Row],[Principal]]-Table15781012[[#This Row],[Prepayments]]-Table15781012[[#This Row],[Defaulted Principal]]</f>
        <v>7318706.2199999988</v>
      </c>
      <c r="P55" s="3">
        <f>Table15781012[[#This Row],[Principal]]+Table15781012[[#This Row],[Interest]]+Table15781012[[#This Row],[Prepayments]]+Table15781012[[#This Row],[RecoveredAmount]]</f>
        <v>77213.73000000001</v>
      </c>
      <c r="Q55" s="3">
        <f ca="1">ROUND(Table15781012[[#This Row],[Cash Flow]]/((1+ActualRateToUse)^(IF(ISNUMBER(SEARCH("Actual",$C$7)),Table15781012[[#This Row],[Running Total]]/365,Table15781012[[#This Row],[Period]]/12))),2)</f>
        <v>61158.48</v>
      </c>
      <c r="R55" s="2">
        <f>IF(MONTH(Table15781012[[#This Row],[Date]])=2,28,DAY(DATE(YEAR(Table15781012[[#This Row],[Date]]),MONTH(Table15781012[[#This Row],[Date]])+1,1)-1))</f>
        <v>30</v>
      </c>
      <c r="S55" s="2">
        <f ca="1">SUM(OFFSET(Table15781012[[#Headers],[Days in month]],1,0):Table15781012[[#This Row],[Days in month]])</f>
        <v>1187</v>
      </c>
      <c r="T55" s="37">
        <f>InterestRate*AmortizationMultiplier*IF(ISNUMBER(SEARCH("Actual",$C$7)),Table15781012[[#This Row],[Days in month]]/365,1/12)</f>
        <v>5.8749999999999991E-3</v>
      </c>
    </row>
    <row r="56" spans="2:20" x14ac:dyDescent="0.2">
      <c r="B56" s="1">
        <v>47057</v>
      </c>
      <c r="C56" s="2">
        <f t="shared" si="1"/>
        <v>40</v>
      </c>
      <c r="D56" s="3">
        <f t="shared" si="0"/>
        <v>7318706.2199999988</v>
      </c>
      <c r="E56" s="3">
        <f>ROUND(Table15781012[[#This Row],[Beginning Balance]]*Table15781012[[#This Row],[Monthly Interest Rate]],2)</f>
        <v>44430.65</v>
      </c>
      <c r="F56" s="3">
        <f t="shared" si="2"/>
        <v>312</v>
      </c>
      <c r="G56" s="23">
        <f>IFERROR(IF($C$13="No","N/A",IF(Table15781012[[#This Row],[Period]]=1,$C$6,PMT(InterestRate*AmortizationMultiplier/12,Table15781012[[#This Row],[Am Thru]],-Table15781012[[#This Row],[Beginning Balance]]))),0)</f>
        <v>51699.810351588014</v>
      </c>
      <c r="H56" s="3">
        <f>MAX(0,IF(C56=$C$4,D56,ROUND(IF($C$3="Fixed Principal",$C$6-Table15781012[[#This Row],[Interest]],IF($C$3="Interest Only",Table15781012[[#This Row],[Beginning Balance]]*ROUND(1-(1-IF($C$11="No",$E$8,1))^(1/12),6),MIN(IF($C$13="Yes",Table15781012[[#This Row],[Payment Amount (Reamortized)]],$C$6)-Table15781012[[#This Row],[Interest]],Table15781012[[#This Row],[Beginning Balance]]))),2)))</f>
        <v>7269.16</v>
      </c>
      <c r="I56" s="4">
        <f>IF($C$3="Interest Only",0,ROUND(MAX(MIN(IF($C$10="No",$E$7,VLOOKUP(Table15781012[[#This Row],[Period]],Forecast!$H$2:$L$1048576,4,FALSE))*Table15781012[[#This Row],[Beginning Balance]],Table15781012[[#This Row],[Beginning Balance]]-Table15781012[[#This Row],[Principal]]),0),2))</f>
        <v>20880.27</v>
      </c>
      <c r="J56" s="3">
        <f>ROUND(MIN(Table15781012[[#This Row],[Beginning Balance]]*IF($C$8="No",$E$3,VLOOKUP(Table15781012[[#This Row],[Period]],Forecast!$H$2:$L$1048576,2,FALSE)),Table15781012[[#This Row],[Beginning Balance]]-Table15781012[[#This Row],[Principal]]-Table15781012[[#This Row],[Prepayments]]),2)</f>
        <v>4998.68</v>
      </c>
      <c r="K56" s="3">
        <f>ROUND(Table15781012[[#This Row],[Defaulted Principal]]*IF($C$9="No",$E$4,VLOOKUP(Table15781012[[#This Row],[Period]],Forecast!$H$2:$L$1048576,3,FALSE)),2)</f>
        <v>433.36</v>
      </c>
      <c r="L56" s="2">
        <f>Table15781012[[#This Row],[Period]]+$E$9</f>
        <v>52</v>
      </c>
      <c r="M56" s="3">
        <f>Table15781012[[#This Row],[Defaulted Principal]]-Table15781012[[#This Row],[Estimated Loss]]</f>
        <v>4565.3200000000006</v>
      </c>
      <c r="N56" s="3">
        <f>IFERROR(VLOOKUP(Table15781012[[#This Row],[Period]],$L$16:$M$385,2,FALSE),0)</f>
        <v>4492.74</v>
      </c>
      <c r="O56" s="3">
        <f>Table15781012[[#This Row],[Beginning Balance]]-Table15781012[[#This Row],[Principal]]-Table15781012[[#This Row],[Prepayments]]-Table15781012[[#This Row],[Defaulted Principal]]</f>
        <v>7285558.1099999994</v>
      </c>
      <c r="P56" s="3">
        <f>Table15781012[[#This Row],[Principal]]+Table15781012[[#This Row],[Interest]]+Table15781012[[#This Row],[Prepayments]]+Table15781012[[#This Row],[RecoveredAmount]]</f>
        <v>77072.820000000007</v>
      </c>
      <c r="Q56" s="3">
        <f ca="1">ROUND(Table15781012[[#This Row],[Cash Flow]]/((1+ActualRateToUse)^(IF(ISNUMBER(SEARCH("Actual",$C$7)),Table15781012[[#This Row],[Running Total]]/365,Table15781012[[#This Row],[Period]]/12))),2)</f>
        <v>60676.35</v>
      </c>
      <c r="R56" s="2">
        <f>IF(MONTH(Table15781012[[#This Row],[Date]])=2,28,DAY(DATE(YEAR(Table15781012[[#This Row],[Date]]),MONTH(Table15781012[[#This Row],[Date]])+1,1)-1))</f>
        <v>31</v>
      </c>
      <c r="S56" s="2">
        <f ca="1">SUM(OFFSET(Table15781012[[#Headers],[Days in month]],1,0):Table15781012[[#This Row],[Days in month]])</f>
        <v>1218</v>
      </c>
      <c r="T56" s="37">
        <f>InterestRate*AmortizationMultiplier*IF(ISNUMBER(SEARCH("Actual",$C$7)),Table15781012[[#This Row],[Days in month]]/365,1/12)</f>
        <v>6.0708333333333326E-3</v>
      </c>
    </row>
    <row r="57" spans="2:20" x14ac:dyDescent="0.2">
      <c r="B57" s="1">
        <v>47087</v>
      </c>
      <c r="C57" s="2">
        <f t="shared" si="1"/>
        <v>41</v>
      </c>
      <c r="D57" s="3">
        <f t="shared" si="0"/>
        <v>7285558.1099999994</v>
      </c>
      <c r="E57" s="3">
        <f>ROUND(Table15781012[[#This Row],[Beginning Balance]]*Table15781012[[#This Row],[Monthly Interest Rate]],2)</f>
        <v>42802.65</v>
      </c>
      <c r="F57" s="3">
        <f t="shared" si="2"/>
        <v>311</v>
      </c>
      <c r="G57" s="23">
        <f>IFERROR(IF($C$13="No","N/A",IF(Table15781012[[#This Row],[Period]]=1,$C$6,PMT(InterestRate*AmortizationMultiplier/12,Table15781012[[#This Row],[Am Thru]],-Table15781012[[#This Row],[Beginning Balance]]))),0)</f>
        <v>51522.709673387057</v>
      </c>
      <c r="H57" s="3">
        <f>MAX(0,IF(C57=$C$4,D57,ROUND(IF($C$3="Fixed Principal",$C$6-Table15781012[[#This Row],[Interest]],IF($C$3="Interest Only",Table15781012[[#This Row],[Beginning Balance]]*ROUND(1-(1-IF($C$11="No",$E$8,1))^(1/12),6),MIN(IF($C$13="Yes",Table15781012[[#This Row],[Payment Amount (Reamortized)]],$C$6)-Table15781012[[#This Row],[Interest]],Table15781012[[#This Row],[Beginning Balance]]))),2)))</f>
        <v>8720.06</v>
      </c>
      <c r="I57" s="4">
        <f>IF($C$3="Interest Only",0,ROUND(MAX(MIN(IF($C$10="No",$E$7,VLOOKUP(Table15781012[[#This Row],[Period]],Forecast!$H$2:$L$1048576,4,FALSE))*Table15781012[[#This Row],[Beginning Balance]],Table15781012[[#This Row],[Beginning Balance]]-Table15781012[[#This Row],[Principal]]),0),2))</f>
        <v>20785.7</v>
      </c>
      <c r="J57" s="3">
        <f>ROUND(MIN(Table15781012[[#This Row],[Beginning Balance]]*IF($C$8="No",$E$3,VLOOKUP(Table15781012[[#This Row],[Period]],Forecast!$H$2:$L$1048576,2,FALSE)),Table15781012[[#This Row],[Beginning Balance]]-Table15781012[[#This Row],[Principal]]-Table15781012[[#This Row],[Prepayments]]),2)</f>
        <v>4976.04</v>
      </c>
      <c r="K57" s="3">
        <f>ROUND(Table15781012[[#This Row],[Defaulted Principal]]*IF($C$9="No",$E$4,VLOOKUP(Table15781012[[#This Row],[Period]],Forecast!$H$2:$L$1048576,3,FALSE)),2)</f>
        <v>431.39</v>
      </c>
      <c r="L57" s="2">
        <f>Table15781012[[#This Row],[Period]]+$E$9</f>
        <v>53</v>
      </c>
      <c r="M57" s="3">
        <f>Table15781012[[#This Row],[Defaulted Principal]]-Table15781012[[#This Row],[Estimated Loss]]</f>
        <v>4544.6499999999996</v>
      </c>
      <c r="N57" s="3">
        <f>IFERROR(VLOOKUP(Table15781012[[#This Row],[Period]],$L$16:$M$385,2,FALSE),0)</f>
        <v>4473</v>
      </c>
      <c r="O57" s="3">
        <f>Table15781012[[#This Row],[Beginning Balance]]-Table15781012[[#This Row],[Principal]]-Table15781012[[#This Row],[Prepayments]]-Table15781012[[#This Row],[Defaulted Principal]]</f>
        <v>7251076.3099999996</v>
      </c>
      <c r="P57" s="3">
        <f>Table15781012[[#This Row],[Principal]]+Table15781012[[#This Row],[Interest]]+Table15781012[[#This Row],[Prepayments]]+Table15781012[[#This Row],[RecoveredAmount]]</f>
        <v>76781.41</v>
      </c>
      <c r="Q57" s="3">
        <f ca="1">ROUND(Table15781012[[#This Row],[Cash Flow]]/((1+ActualRateToUse)^(IF(ISNUMBER(SEARCH("Actual",$C$7)),Table15781012[[#This Row],[Running Total]]/365,Table15781012[[#This Row],[Period]]/12))),2)</f>
        <v>60091.85</v>
      </c>
      <c r="R57" s="2">
        <f>IF(MONTH(Table15781012[[#This Row],[Date]])=2,28,DAY(DATE(YEAR(Table15781012[[#This Row],[Date]]),MONTH(Table15781012[[#This Row],[Date]])+1,1)-1))</f>
        <v>30</v>
      </c>
      <c r="S57" s="2">
        <f ca="1">SUM(OFFSET(Table15781012[[#Headers],[Days in month]],1,0):Table15781012[[#This Row],[Days in month]])</f>
        <v>1248</v>
      </c>
      <c r="T57" s="37">
        <f>InterestRate*AmortizationMultiplier*IF(ISNUMBER(SEARCH("Actual",$C$7)),Table15781012[[#This Row],[Days in month]]/365,1/12)</f>
        <v>5.8749999999999991E-3</v>
      </c>
    </row>
    <row r="58" spans="2:20" x14ac:dyDescent="0.2">
      <c r="B58" s="1">
        <v>47118</v>
      </c>
      <c r="C58" s="2">
        <f t="shared" si="1"/>
        <v>42</v>
      </c>
      <c r="D58" s="3">
        <f t="shared" si="0"/>
        <v>7251076.3099999996</v>
      </c>
      <c r="E58" s="3">
        <f>ROUND(Table15781012[[#This Row],[Beginning Balance]]*Table15781012[[#This Row],[Monthly Interest Rate]],2)</f>
        <v>44020.08</v>
      </c>
      <c r="F58" s="3">
        <f t="shared" si="2"/>
        <v>310</v>
      </c>
      <c r="G58" s="23">
        <f>IFERROR(IF($C$13="No","N/A",IF(Table15781012[[#This Row],[Period]]=1,$C$6,PMT(InterestRate*AmortizationMultiplier/12,Table15781012[[#This Row],[Am Thru]],-Table15781012[[#This Row],[Beginning Balance]]))),0)</f>
        <v>51336.113075028567</v>
      </c>
      <c r="H58" s="3">
        <f>MAX(0,IF(C58=$C$4,D58,ROUND(IF($C$3="Fixed Principal",$C$6-Table15781012[[#This Row],[Interest]],IF($C$3="Interest Only",Table15781012[[#This Row],[Beginning Balance]]*ROUND(1-(1-IF($C$11="No",$E$8,1))^(1/12),6),MIN(IF($C$13="Yes",Table15781012[[#This Row],[Payment Amount (Reamortized)]],$C$6)-Table15781012[[#This Row],[Interest]],Table15781012[[#This Row],[Beginning Balance]]))),2)))</f>
        <v>7316.03</v>
      </c>
      <c r="I58" s="4">
        <f>IF($C$3="Interest Only",0,ROUND(MAX(MIN(IF($C$10="No",$E$7,VLOOKUP(Table15781012[[#This Row],[Period]],Forecast!$H$2:$L$1048576,4,FALSE))*Table15781012[[#This Row],[Beginning Balance]],Table15781012[[#This Row],[Beginning Balance]]-Table15781012[[#This Row],[Principal]]),0),2))</f>
        <v>20687.32</v>
      </c>
      <c r="J58" s="3">
        <f>ROUND(MIN(Table15781012[[#This Row],[Beginning Balance]]*IF($C$8="No",$E$3,VLOOKUP(Table15781012[[#This Row],[Period]],Forecast!$H$2:$L$1048576,2,FALSE)),Table15781012[[#This Row],[Beginning Balance]]-Table15781012[[#This Row],[Principal]]-Table15781012[[#This Row],[Prepayments]]),2)</f>
        <v>4952.49</v>
      </c>
      <c r="K58" s="3">
        <f>ROUND(Table15781012[[#This Row],[Defaulted Principal]]*IF($C$9="No",$E$4,VLOOKUP(Table15781012[[#This Row],[Period]],Forecast!$H$2:$L$1048576,3,FALSE)),2)</f>
        <v>429.35</v>
      </c>
      <c r="L58" s="2">
        <f>Table15781012[[#This Row],[Period]]+$E$9</f>
        <v>54</v>
      </c>
      <c r="M58" s="3">
        <f>Table15781012[[#This Row],[Defaulted Principal]]-Table15781012[[#This Row],[Estimated Loss]]</f>
        <v>4523.1399999999994</v>
      </c>
      <c r="N58" s="3">
        <f>IFERROR(VLOOKUP(Table15781012[[#This Row],[Period]],$L$16:$M$385,2,FALSE),0)</f>
        <v>4452.45</v>
      </c>
      <c r="O58" s="3">
        <f>Table15781012[[#This Row],[Beginning Balance]]-Table15781012[[#This Row],[Principal]]-Table15781012[[#This Row],[Prepayments]]-Table15781012[[#This Row],[Defaulted Principal]]</f>
        <v>7218120.4699999988</v>
      </c>
      <c r="P58" s="3">
        <f>Table15781012[[#This Row],[Principal]]+Table15781012[[#This Row],[Interest]]+Table15781012[[#This Row],[Prepayments]]+Table15781012[[#This Row],[RecoveredAmount]]</f>
        <v>76475.87999999999</v>
      </c>
      <c r="Q58" s="3">
        <f ca="1">ROUND(Table15781012[[#This Row],[Cash Flow]]/((1+ActualRateToUse)^(IF(ISNUMBER(SEARCH("Actual",$C$7)),Table15781012[[#This Row],[Running Total]]/365,Table15781012[[#This Row],[Period]]/12))),2)</f>
        <v>59489.46</v>
      </c>
      <c r="R58" s="2">
        <f>IF(MONTH(Table15781012[[#This Row],[Date]])=2,28,DAY(DATE(YEAR(Table15781012[[#This Row],[Date]]),MONTH(Table15781012[[#This Row],[Date]])+1,1)-1))</f>
        <v>31</v>
      </c>
      <c r="S58" s="2">
        <f ca="1">SUM(OFFSET(Table15781012[[#Headers],[Days in month]],1,0):Table15781012[[#This Row],[Days in month]])</f>
        <v>1279</v>
      </c>
      <c r="T58" s="37">
        <f>InterestRate*AmortizationMultiplier*IF(ISNUMBER(SEARCH("Actual",$C$7)),Table15781012[[#This Row],[Days in month]]/365,1/12)</f>
        <v>6.0708333333333326E-3</v>
      </c>
    </row>
    <row r="59" spans="2:20" x14ac:dyDescent="0.2">
      <c r="B59" s="1">
        <v>47149</v>
      </c>
      <c r="C59" s="2">
        <f t="shared" si="1"/>
        <v>43</v>
      </c>
      <c r="D59" s="3">
        <f t="shared" si="0"/>
        <v>7218120.4699999988</v>
      </c>
      <c r="E59" s="3">
        <f>ROUND(Table15781012[[#This Row],[Beginning Balance]]*Table15781012[[#This Row],[Monthly Interest Rate]],2)</f>
        <v>43820.01</v>
      </c>
      <c r="F59" s="3">
        <f t="shared" si="2"/>
        <v>309</v>
      </c>
      <c r="G59" s="23">
        <f>IFERROR(IF($C$13="No","N/A",IF(Table15781012[[#This Row],[Period]]=1,$C$6,PMT(InterestRate*AmortizationMultiplier/12,Table15781012[[#This Row],[Am Thru]],-Table15781012[[#This Row],[Beginning Balance]]))),0)</f>
        <v>51160.255517040881</v>
      </c>
      <c r="H59" s="3">
        <f>MAX(0,IF(C59=$C$4,D59,ROUND(IF($C$3="Fixed Principal",$C$6-Table15781012[[#This Row],[Interest]],IF($C$3="Interest Only",Table15781012[[#This Row],[Beginning Balance]]*ROUND(1-(1-IF($C$11="No",$E$8,1))^(1/12),6),MIN(IF($C$13="Yes",Table15781012[[#This Row],[Payment Amount (Reamortized)]],$C$6)-Table15781012[[#This Row],[Interest]],Table15781012[[#This Row],[Beginning Balance]]))),2)))</f>
        <v>7340.25</v>
      </c>
      <c r="I59" s="4">
        <f>IF($C$3="Interest Only",0,ROUND(MAX(MIN(IF($C$10="No",$E$7,VLOOKUP(Table15781012[[#This Row],[Period]],Forecast!$H$2:$L$1048576,4,FALSE))*Table15781012[[#This Row],[Beginning Balance]],Table15781012[[#This Row],[Beginning Balance]]-Table15781012[[#This Row],[Principal]]),0),2))</f>
        <v>20593.3</v>
      </c>
      <c r="J59" s="3">
        <f>ROUND(MIN(Table15781012[[#This Row],[Beginning Balance]]*IF($C$8="No",$E$3,VLOOKUP(Table15781012[[#This Row],[Period]],Forecast!$H$2:$L$1048576,2,FALSE)),Table15781012[[#This Row],[Beginning Balance]]-Table15781012[[#This Row],[Principal]]-Table15781012[[#This Row],[Prepayments]]),2)</f>
        <v>4929.9799999999996</v>
      </c>
      <c r="K59" s="3">
        <f>ROUND(Table15781012[[#This Row],[Defaulted Principal]]*IF($C$9="No",$E$4,VLOOKUP(Table15781012[[#This Row],[Period]],Forecast!$H$2:$L$1048576,3,FALSE)),2)</f>
        <v>427.4</v>
      </c>
      <c r="L59" s="2">
        <f>Table15781012[[#This Row],[Period]]+$E$9</f>
        <v>55</v>
      </c>
      <c r="M59" s="3">
        <f>Table15781012[[#This Row],[Defaulted Principal]]-Table15781012[[#This Row],[Estimated Loss]]</f>
        <v>4502.58</v>
      </c>
      <c r="N59" s="3">
        <f>IFERROR(VLOOKUP(Table15781012[[#This Row],[Period]],$L$16:$M$385,2,FALSE),0)</f>
        <v>4596.1899999999996</v>
      </c>
      <c r="O59" s="3">
        <f>Table15781012[[#This Row],[Beginning Balance]]-Table15781012[[#This Row],[Principal]]-Table15781012[[#This Row],[Prepayments]]-Table15781012[[#This Row],[Defaulted Principal]]</f>
        <v>7185256.9399999985</v>
      </c>
      <c r="P59" s="3">
        <f>Table15781012[[#This Row],[Principal]]+Table15781012[[#This Row],[Interest]]+Table15781012[[#This Row],[Prepayments]]+Table15781012[[#This Row],[RecoveredAmount]]</f>
        <v>76349.75</v>
      </c>
      <c r="Q59" s="3">
        <f ca="1">ROUND(Table15781012[[#This Row],[Cash Flow]]/((1+ActualRateToUse)^(IF(ISNUMBER(SEARCH("Actual",$C$7)),Table15781012[[#This Row],[Running Total]]/365,Table15781012[[#This Row],[Period]]/12))),2)</f>
        <v>59030.879999999997</v>
      </c>
      <c r="R59" s="2">
        <f>IF(MONTH(Table15781012[[#This Row],[Date]])=2,28,DAY(DATE(YEAR(Table15781012[[#This Row],[Date]]),MONTH(Table15781012[[#This Row],[Date]])+1,1)-1))</f>
        <v>31</v>
      </c>
      <c r="S59" s="2">
        <f ca="1">SUM(OFFSET(Table15781012[[#Headers],[Days in month]],1,0):Table15781012[[#This Row],[Days in month]])</f>
        <v>1310</v>
      </c>
      <c r="T59" s="37">
        <f>InterestRate*AmortizationMultiplier*IF(ISNUMBER(SEARCH("Actual",$C$7)),Table15781012[[#This Row],[Days in month]]/365,1/12)</f>
        <v>6.0708333333333326E-3</v>
      </c>
    </row>
    <row r="60" spans="2:20" x14ac:dyDescent="0.2">
      <c r="B60" s="1">
        <v>47177</v>
      </c>
      <c r="C60" s="2">
        <f t="shared" si="1"/>
        <v>44</v>
      </c>
      <c r="D60" s="3">
        <f t="shared" si="0"/>
        <v>7185256.9399999985</v>
      </c>
      <c r="E60" s="3">
        <f>ROUND(Table15781012[[#This Row],[Beginning Balance]]*Table15781012[[#This Row],[Monthly Interest Rate]],2)</f>
        <v>39399.160000000003</v>
      </c>
      <c r="F60" s="3">
        <f t="shared" si="2"/>
        <v>308</v>
      </c>
      <c r="G60" s="23">
        <f>IFERROR(IF($C$13="No","N/A",IF(Table15781012[[#This Row],[Period]]=1,$C$6,PMT(InterestRate*AmortizationMultiplier/12,Table15781012[[#This Row],[Am Thru]],-Table15781012[[#This Row],[Beginning Balance]]))),0)</f>
        <v>50984.998911049901</v>
      </c>
      <c r="H60" s="3">
        <f>MAX(0,IF(C60=$C$4,D60,ROUND(IF($C$3="Fixed Principal",$C$6-Table15781012[[#This Row],[Interest]],IF($C$3="Interest Only",Table15781012[[#This Row],[Beginning Balance]]*ROUND(1-(1-IF($C$11="No",$E$8,1))^(1/12),6),MIN(IF($C$13="Yes",Table15781012[[#This Row],[Payment Amount (Reamortized)]],$C$6)-Table15781012[[#This Row],[Interest]],Table15781012[[#This Row],[Beginning Balance]]))),2)))</f>
        <v>11585.84</v>
      </c>
      <c r="I60" s="4">
        <f>IF($C$3="Interest Only",0,ROUND(MAX(MIN(IF($C$10="No",$E$7,VLOOKUP(Table15781012[[#This Row],[Period]],Forecast!$H$2:$L$1048576,4,FALSE))*Table15781012[[#This Row],[Beginning Balance]],Table15781012[[#This Row],[Beginning Balance]]-Table15781012[[#This Row],[Principal]]),0),2))</f>
        <v>20499.54</v>
      </c>
      <c r="J60" s="3">
        <f>ROUND(MIN(Table15781012[[#This Row],[Beginning Balance]]*IF($C$8="No",$E$3,VLOOKUP(Table15781012[[#This Row],[Period]],Forecast!$H$2:$L$1048576,2,FALSE)),Table15781012[[#This Row],[Beginning Balance]]-Table15781012[[#This Row],[Principal]]-Table15781012[[#This Row],[Prepayments]]),2)</f>
        <v>4907.53</v>
      </c>
      <c r="K60" s="3">
        <f>ROUND(Table15781012[[#This Row],[Defaulted Principal]]*IF($C$9="No",$E$4,VLOOKUP(Table15781012[[#This Row],[Period]],Forecast!$H$2:$L$1048576,3,FALSE)),2)</f>
        <v>425.45</v>
      </c>
      <c r="L60" s="2">
        <f>Table15781012[[#This Row],[Period]]+$E$9</f>
        <v>56</v>
      </c>
      <c r="M60" s="3">
        <f>Table15781012[[#This Row],[Defaulted Principal]]-Table15781012[[#This Row],[Estimated Loss]]</f>
        <v>4482.08</v>
      </c>
      <c r="N60" s="3">
        <f>IFERROR(VLOOKUP(Table15781012[[#This Row],[Period]],$L$16:$M$385,2,FALSE),0)</f>
        <v>4575.7999999999993</v>
      </c>
      <c r="O60" s="3">
        <f>Table15781012[[#This Row],[Beginning Balance]]-Table15781012[[#This Row],[Principal]]-Table15781012[[#This Row],[Prepayments]]-Table15781012[[#This Row],[Defaulted Principal]]</f>
        <v>7148264.0299999984</v>
      </c>
      <c r="P60" s="3">
        <f>Table15781012[[#This Row],[Principal]]+Table15781012[[#This Row],[Interest]]+Table15781012[[#This Row],[Prepayments]]+Table15781012[[#This Row],[RecoveredAmount]]</f>
        <v>76060.340000000011</v>
      </c>
      <c r="Q60" s="3">
        <f ca="1">ROUND(Table15781012[[#This Row],[Cash Flow]]/((1+ActualRateToUse)^(IF(ISNUMBER(SEARCH("Actual",$C$7)),Table15781012[[#This Row],[Running Total]]/365,Table15781012[[#This Row],[Period]]/12))),2)</f>
        <v>58484.639999999999</v>
      </c>
      <c r="R60" s="2">
        <f>IF(MONTH(Table15781012[[#This Row],[Date]])=2,28,DAY(DATE(YEAR(Table15781012[[#This Row],[Date]]),MONTH(Table15781012[[#This Row],[Date]])+1,1)-1))</f>
        <v>28</v>
      </c>
      <c r="S60" s="2">
        <f ca="1">SUM(OFFSET(Table15781012[[#Headers],[Days in month]],1,0):Table15781012[[#This Row],[Days in month]])</f>
        <v>1338</v>
      </c>
      <c r="T60" s="37">
        <f>InterestRate*AmortizationMultiplier*IF(ISNUMBER(SEARCH("Actual",$C$7)),Table15781012[[#This Row],[Days in month]]/365,1/12)</f>
        <v>5.4833333333333331E-3</v>
      </c>
    </row>
    <row r="61" spans="2:20" x14ac:dyDescent="0.2">
      <c r="B61" s="1">
        <v>47208</v>
      </c>
      <c r="C61" s="2">
        <f t="shared" si="1"/>
        <v>45</v>
      </c>
      <c r="D61" s="3">
        <f t="shared" si="0"/>
        <v>7148264.0299999984</v>
      </c>
      <c r="E61" s="3">
        <f>ROUND(Table15781012[[#This Row],[Beginning Balance]]*Table15781012[[#This Row],[Monthly Interest Rate]],2)</f>
        <v>43395.92</v>
      </c>
      <c r="F61" s="3">
        <f t="shared" si="2"/>
        <v>307</v>
      </c>
      <c r="G61" s="23">
        <f>IFERROR(IF($C$13="No","N/A",IF(Table15781012[[#This Row],[Period]]=1,$C$6,PMT(InterestRate*AmortizationMultiplier/12,Table15781012[[#This Row],[Am Thru]],-Table15781012[[#This Row],[Beginning Balance]]))),0)</f>
        <v>50780.353457371275</v>
      </c>
      <c r="H61" s="3">
        <f>MAX(0,IF(C61=$C$4,D61,ROUND(IF($C$3="Fixed Principal",$C$6-Table15781012[[#This Row],[Interest]],IF($C$3="Interest Only",Table15781012[[#This Row],[Beginning Balance]]*ROUND(1-(1-IF($C$11="No",$E$8,1))^(1/12),6),MIN(IF($C$13="Yes",Table15781012[[#This Row],[Payment Amount (Reamortized)]],$C$6)-Table15781012[[#This Row],[Interest]],Table15781012[[#This Row],[Beginning Balance]]))),2)))</f>
        <v>7384.43</v>
      </c>
      <c r="I61" s="4">
        <f>IF($C$3="Interest Only",0,ROUND(MAX(MIN(IF($C$10="No",$E$7,VLOOKUP(Table15781012[[#This Row],[Period]],Forecast!$H$2:$L$1048576,4,FALSE))*Table15781012[[#This Row],[Beginning Balance]],Table15781012[[#This Row],[Beginning Balance]]-Table15781012[[#This Row],[Principal]]),0),2))</f>
        <v>20394</v>
      </c>
      <c r="J61" s="3">
        <f>ROUND(MIN(Table15781012[[#This Row],[Beginning Balance]]*IF($C$8="No",$E$3,VLOOKUP(Table15781012[[#This Row],[Period]],Forecast!$H$2:$L$1048576,2,FALSE)),Table15781012[[#This Row],[Beginning Balance]]-Table15781012[[#This Row],[Principal]]-Table15781012[[#This Row],[Prepayments]]),2)</f>
        <v>4882.26</v>
      </c>
      <c r="K61" s="3">
        <f>ROUND(Table15781012[[#This Row],[Defaulted Principal]]*IF($C$9="No",$E$4,VLOOKUP(Table15781012[[#This Row],[Period]],Forecast!$H$2:$L$1048576,3,FALSE)),2)</f>
        <v>423.26</v>
      </c>
      <c r="L61" s="2">
        <f>Table15781012[[#This Row],[Period]]+$E$9</f>
        <v>57</v>
      </c>
      <c r="M61" s="3">
        <f>Table15781012[[#This Row],[Defaulted Principal]]-Table15781012[[#This Row],[Estimated Loss]]</f>
        <v>4459</v>
      </c>
      <c r="N61" s="3">
        <f>IFERROR(VLOOKUP(Table15781012[[#This Row],[Period]],$L$16:$M$385,2,FALSE),0)</f>
        <v>4552.7700000000004</v>
      </c>
      <c r="O61" s="3">
        <f>Table15781012[[#This Row],[Beginning Balance]]-Table15781012[[#This Row],[Principal]]-Table15781012[[#This Row],[Prepayments]]-Table15781012[[#This Row],[Defaulted Principal]]</f>
        <v>7115603.3399999989</v>
      </c>
      <c r="P61" s="3">
        <f>Table15781012[[#This Row],[Principal]]+Table15781012[[#This Row],[Interest]]+Table15781012[[#This Row],[Prepayments]]+Table15781012[[#This Row],[RecoveredAmount]]</f>
        <v>75727.12000000001</v>
      </c>
      <c r="Q61" s="3">
        <f ca="1">ROUND(Table15781012[[#This Row],[Cash Flow]]/((1+ActualRateToUse)^(IF(ISNUMBER(SEARCH("Actual",$C$7)),Table15781012[[#This Row],[Running Total]]/365,Table15781012[[#This Row],[Period]]/12))),2)</f>
        <v>57875</v>
      </c>
      <c r="R61" s="2">
        <f>IF(MONTH(Table15781012[[#This Row],[Date]])=2,28,DAY(DATE(YEAR(Table15781012[[#This Row],[Date]]),MONTH(Table15781012[[#This Row],[Date]])+1,1)-1))</f>
        <v>31</v>
      </c>
      <c r="S61" s="2">
        <f ca="1">SUM(OFFSET(Table15781012[[#Headers],[Days in month]],1,0):Table15781012[[#This Row],[Days in month]])</f>
        <v>1369</v>
      </c>
      <c r="T61" s="37">
        <f>InterestRate*AmortizationMultiplier*IF(ISNUMBER(SEARCH("Actual",$C$7)),Table15781012[[#This Row],[Days in month]]/365,1/12)</f>
        <v>6.0708333333333326E-3</v>
      </c>
    </row>
    <row r="62" spans="2:20" x14ac:dyDescent="0.2">
      <c r="B62" s="1">
        <v>47238</v>
      </c>
      <c r="C62" s="2">
        <f t="shared" si="1"/>
        <v>46</v>
      </c>
      <c r="D62" s="3">
        <f t="shared" si="0"/>
        <v>7115603.3399999989</v>
      </c>
      <c r="E62" s="3">
        <f>ROUND(Table15781012[[#This Row],[Beginning Balance]]*Table15781012[[#This Row],[Monthly Interest Rate]],2)</f>
        <v>41804.17</v>
      </c>
      <c r="F62" s="3">
        <f t="shared" si="2"/>
        <v>306</v>
      </c>
      <c r="G62" s="23">
        <f>IFERROR(IF($C$13="No","N/A",IF(Table15781012[[#This Row],[Period]]=1,$C$6,PMT(InterestRate*AmortizationMultiplier/12,Table15781012[[#This Row],[Am Thru]],-Table15781012[[#This Row],[Beginning Balance]]))),0)</f>
        <v>50606.395539299243</v>
      </c>
      <c r="H62" s="3">
        <f>MAX(0,IF(C62=$C$4,D62,ROUND(IF($C$3="Fixed Principal",$C$6-Table15781012[[#This Row],[Interest]],IF($C$3="Interest Only",Table15781012[[#This Row],[Beginning Balance]]*ROUND(1-(1-IF($C$11="No",$E$8,1))^(1/12),6),MIN(IF($C$13="Yes",Table15781012[[#This Row],[Payment Amount (Reamortized)]],$C$6)-Table15781012[[#This Row],[Interest]],Table15781012[[#This Row],[Beginning Balance]]))),2)))</f>
        <v>8802.23</v>
      </c>
      <c r="I62" s="4">
        <f>IF($C$3="Interest Only",0,ROUND(MAX(MIN(IF($C$10="No",$E$7,VLOOKUP(Table15781012[[#This Row],[Period]],Forecast!$H$2:$L$1048576,4,FALSE))*Table15781012[[#This Row],[Beginning Balance]],Table15781012[[#This Row],[Beginning Balance]]-Table15781012[[#This Row],[Principal]]),0),2))</f>
        <v>20300.82</v>
      </c>
      <c r="J62" s="3">
        <f>ROUND(MIN(Table15781012[[#This Row],[Beginning Balance]]*IF($C$8="No",$E$3,VLOOKUP(Table15781012[[#This Row],[Period]],Forecast!$H$2:$L$1048576,2,FALSE)),Table15781012[[#This Row],[Beginning Balance]]-Table15781012[[#This Row],[Principal]]-Table15781012[[#This Row],[Prepayments]]),2)</f>
        <v>4859.96</v>
      </c>
      <c r="K62" s="3">
        <f>ROUND(Table15781012[[#This Row],[Defaulted Principal]]*IF($C$9="No",$E$4,VLOOKUP(Table15781012[[#This Row],[Period]],Forecast!$H$2:$L$1048576,3,FALSE)),2)</f>
        <v>421.33</v>
      </c>
      <c r="L62" s="2">
        <f>Table15781012[[#This Row],[Period]]+$E$9</f>
        <v>58</v>
      </c>
      <c r="M62" s="3">
        <f>Table15781012[[#This Row],[Defaulted Principal]]-Table15781012[[#This Row],[Estimated Loss]]</f>
        <v>4438.63</v>
      </c>
      <c r="N62" s="3">
        <f>IFERROR(VLOOKUP(Table15781012[[#This Row],[Period]],$L$16:$M$385,2,FALSE),0)</f>
        <v>4693.3899999999994</v>
      </c>
      <c r="O62" s="3">
        <f>Table15781012[[#This Row],[Beginning Balance]]-Table15781012[[#This Row],[Principal]]-Table15781012[[#This Row],[Prepayments]]-Table15781012[[#This Row],[Defaulted Principal]]</f>
        <v>7081640.3299999982</v>
      </c>
      <c r="P62" s="3">
        <f>Table15781012[[#This Row],[Principal]]+Table15781012[[#This Row],[Interest]]+Table15781012[[#This Row],[Prepayments]]+Table15781012[[#This Row],[RecoveredAmount]]</f>
        <v>75600.61</v>
      </c>
      <c r="Q62" s="3">
        <f ca="1">ROUND(Table15781012[[#This Row],[Cash Flow]]/((1+ActualRateToUse)^(IF(ISNUMBER(SEARCH("Actual",$C$7)),Table15781012[[#This Row],[Running Total]]/365,Table15781012[[#This Row],[Period]]/12))),2)</f>
        <v>57438.91</v>
      </c>
      <c r="R62" s="2">
        <f>IF(MONTH(Table15781012[[#This Row],[Date]])=2,28,DAY(DATE(YEAR(Table15781012[[#This Row],[Date]]),MONTH(Table15781012[[#This Row],[Date]])+1,1)-1))</f>
        <v>30</v>
      </c>
      <c r="S62" s="2">
        <f ca="1">SUM(OFFSET(Table15781012[[#Headers],[Days in month]],1,0):Table15781012[[#This Row],[Days in month]])</f>
        <v>1399</v>
      </c>
      <c r="T62" s="37">
        <f>InterestRate*AmortizationMultiplier*IF(ISNUMBER(SEARCH("Actual",$C$7)),Table15781012[[#This Row],[Days in month]]/365,1/12)</f>
        <v>5.8749999999999991E-3</v>
      </c>
    </row>
    <row r="63" spans="2:20" x14ac:dyDescent="0.2">
      <c r="B63" s="1">
        <v>47269</v>
      </c>
      <c r="C63" s="2">
        <f t="shared" si="1"/>
        <v>47</v>
      </c>
      <c r="D63" s="3">
        <f t="shared" si="0"/>
        <v>7081640.3299999982</v>
      </c>
      <c r="E63" s="3">
        <f>ROUND(Table15781012[[#This Row],[Beginning Balance]]*Table15781012[[#This Row],[Monthly Interest Rate]],2)</f>
        <v>42991.46</v>
      </c>
      <c r="F63" s="3">
        <f t="shared" si="2"/>
        <v>305</v>
      </c>
      <c r="G63" s="23">
        <f>IFERROR(IF($C$13="No","N/A",IF(Table15781012[[#This Row],[Period]]=1,$C$6,PMT(InterestRate*AmortizationMultiplier/12,Table15781012[[#This Row],[Am Thru]],-Table15781012[[#This Row],[Beginning Balance]]))),0)</f>
        <v>50423.11013321091</v>
      </c>
      <c r="H63" s="3">
        <f>MAX(0,IF(C63=$C$4,D63,ROUND(IF($C$3="Fixed Principal",$C$6-Table15781012[[#This Row],[Interest]],IF($C$3="Interest Only",Table15781012[[#This Row],[Beginning Balance]]*ROUND(1-(1-IF($C$11="No",$E$8,1))^(1/12),6),MIN(IF($C$13="Yes",Table15781012[[#This Row],[Payment Amount (Reamortized)]],$C$6)-Table15781012[[#This Row],[Interest]],Table15781012[[#This Row],[Beginning Balance]]))),2)))</f>
        <v>7431.65</v>
      </c>
      <c r="I63" s="4">
        <f>IF($C$3="Interest Only",0,ROUND(MAX(MIN(IF($C$10="No",$E$7,VLOOKUP(Table15781012[[#This Row],[Period]],Forecast!$H$2:$L$1048576,4,FALSE))*Table15781012[[#This Row],[Beginning Balance]],Table15781012[[#This Row],[Beginning Balance]]-Table15781012[[#This Row],[Principal]]),0),2))</f>
        <v>20203.919999999998</v>
      </c>
      <c r="J63" s="3">
        <f>ROUND(MIN(Table15781012[[#This Row],[Beginning Balance]]*IF($C$8="No",$E$3,VLOOKUP(Table15781012[[#This Row],[Period]],Forecast!$H$2:$L$1048576,2,FALSE)),Table15781012[[#This Row],[Beginning Balance]]-Table15781012[[#This Row],[Principal]]-Table15781012[[#This Row],[Prepayments]]),2)</f>
        <v>4836.76</v>
      </c>
      <c r="K63" s="3">
        <f>ROUND(Table15781012[[#This Row],[Defaulted Principal]]*IF($C$9="No",$E$4,VLOOKUP(Table15781012[[#This Row],[Period]],Forecast!$H$2:$L$1048576,3,FALSE)),2)</f>
        <v>419.32</v>
      </c>
      <c r="L63" s="2">
        <f>Table15781012[[#This Row],[Period]]+$E$9</f>
        <v>59</v>
      </c>
      <c r="M63" s="3">
        <f>Table15781012[[#This Row],[Defaulted Principal]]-Table15781012[[#This Row],[Estimated Loss]]</f>
        <v>4417.4400000000005</v>
      </c>
      <c r="N63" s="3">
        <f>IFERROR(VLOOKUP(Table15781012[[#This Row],[Period]],$L$16:$M$385,2,FALSE),0)</f>
        <v>4671.42</v>
      </c>
      <c r="O63" s="3">
        <f>Table15781012[[#This Row],[Beginning Balance]]-Table15781012[[#This Row],[Principal]]-Table15781012[[#This Row],[Prepayments]]-Table15781012[[#This Row],[Defaulted Principal]]</f>
        <v>7049167.9999999981</v>
      </c>
      <c r="P63" s="3">
        <f>Table15781012[[#This Row],[Principal]]+Table15781012[[#This Row],[Interest]]+Table15781012[[#This Row],[Prepayments]]+Table15781012[[#This Row],[RecoveredAmount]]</f>
        <v>75298.45</v>
      </c>
      <c r="Q63" s="3">
        <f ca="1">ROUND(Table15781012[[#This Row],[Cash Flow]]/((1+ActualRateToUse)^(IF(ISNUMBER(SEARCH("Actual",$C$7)),Table15781012[[#This Row],[Running Total]]/365,Table15781012[[#This Row],[Period]]/12))),2)</f>
        <v>56862.11</v>
      </c>
      <c r="R63" s="2">
        <f>IF(MONTH(Table15781012[[#This Row],[Date]])=2,28,DAY(DATE(YEAR(Table15781012[[#This Row],[Date]]),MONTH(Table15781012[[#This Row],[Date]])+1,1)-1))</f>
        <v>31</v>
      </c>
      <c r="S63" s="2">
        <f ca="1">SUM(OFFSET(Table15781012[[#Headers],[Days in month]],1,0):Table15781012[[#This Row],[Days in month]])</f>
        <v>1430</v>
      </c>
      <c r="T63" s="37">
        <f>InterestRate*AmortizationMultiplier*IF(ISNUMBER(SEARCH("Actual",$C$7)),Table15781012[[#This Row],[Days in month]]/365,1/12)</f>
        <v>6.0708333333333326E-3</v>
      </c>
    </row>
    <row r="64" spans="2:20" x14ac:dyDescent="0.2">
      <c r="B64" s="1">
        <v>47299</v>
      </c>
      <c r="C64" s="2">
        <f t="shared" si="1"/>
        <v>48</v>
      </c>
      <c r="D64" s="3">
        <f t="shared" si="0"/>
        <v>7049167.9999999981</v>
      </c>
      <c r="E64" s="3">
        <f>ROUND(Table15781012[[#This Row],[Beginning Balance]]*Table15781012[[#This Row],[Monthly Interest Rate]],2)</f>
        <v>41413.86</v>
      </c>
      <c r="F64" s="3">
        <f t="shared" si="2"/>
        <v>304</v>
      </c>
      <c r="G64" s="23">
        <f>IFERROR(IF($C$13="No","N/A",IF(Table15781012[[#This Row],[Period]]=1,$C$6,PMT(InterestRate*AmortizationMultiplier/12,Table15781012[[#This Row],[Am Thru]],-Table15781012[[#This Row],[Beginning Balance]]))),0)</f>
        <v>50250.373163911267</v>
      </c>
      <c r="H64" s="3">
        <f>MAX(0,IF(C64=$C$4,D64,ROUND(IF($C$3="Fixed Principal",$C$6-Table15781012[[#This Row],[Interest]],IF($C$3="Interest Only",Table15781012[[#This Row],[Beginning Balance]]*ROUND(1-(1-IF($C$11="No",$E$8,1))^(1/12),6),MIN(IF($C$13="Yes",Table15781012[[#This Row],[Payment Amount (Reamortized)]],$C$6)-Table15781012[[#This Row],[Interest]],Table15781012[[#This Row],[Beginning Balance]]))),2)))</f>
        <v>8836.51</v>
      </c>
      <c r="I64" s="4">
        <f>IF($C$3="Interest Only",0,ROUND(MAX(MIN(IF($C$10="No",$E$7,VLOOKUP(Table15781012[[#This Row],[Period]],Forecast!$H$2:$L$1048576,4,FALSE))*Table15781012[[#This Row],[Beginning Balance]],Table15781012[[#This Row],[Beginning Balance]]-Table15781012[[#This Row],[Principal]]),0),2))</f>
        <v>20111.28</v>
      </c>
      <c r="J64" s="3">
        <f>ROUND(MIN(Table15781012[[#This Row],[Beginning Balance]]*IF($C$8="No",$E$3,VLOOKUP(Table15781012[[#This Row],[Period]],Forecast!$H$2:$L$1048576,2,FALSE)),Table15781012[[#This Row],[Beginning Balance]]-Table15781012[[#This Row],[Principal]]-Table15781012[[#This Row],[Prepayments]]),2)</f>
        <v>4814.58</v>
      </c>
      <c r="K64" s="3">
        <f>ROUND(Table15781012[[#This Row],[Defaulted Principal]]*IF($C$9="No",$E$4,VLOOKUP(Table15781012[[#This Row],[Period]],Forecast!$H$2:$L$1048576,3,FALSE)),2)</f>
        <v>417.4</v>
      </c>
      <c r="L64" s="2">
        <f>Table15781012[[#This Row],[Period]]+$E$9</f>
        <v>60</v>
      </c>
      <c r="M64" s="3">
        <f>Table15781012[[#This Row],[Defaulted Principal]]-Table15781012[[#This Row],[Estimated Loss]]</f>
        <v>4397.18</v>
      </c>
      <c r="N64" s="3">
        <f>IFERROR(VLOOKUP(Table15781012[[#This Row],[Period]],$L$16:$M$385,2,FALSE),0)</f>
        <v>4650.4400000000005</v>
      </c>
      <c r="O64" s="3">
        <f>Table15781012[[#This Row],[Beginning Balance]]-Table15781012[[#This Row],[Principal]]-Table15781012[[#This Row],[Prepayments]]-Table15781012[[#This Row],[Defaulted Principal]]</f>
        <v>7015405.629999998</v>
      </c>
      <c r="P64" s="3">
        <f>Table15781012[[#This Row],[Principal]]+Table15781012[[#This Row],[Interest]]+Table15781012[[#This Row],[Prepayments]]+Table15781012[[#This Row],[RecoveredAmount]]</f>
        <v>75012.09</v>
      </c>
      <c r="Q64" s="3">
        <f ca="1">ROUND(Table15781012[[#This Row],[Cash Flow]]/((1+ActualRateToUse)^(IF(ISNUMBER(SEARCH("Actual",$C$7)),Table15781012[[#This Row],[Running Total]]/365,Table15781012[[#This Row],[Period]]/12))),2)</f>
        <v>56313.120000000003</v>
      </c>
      <c r="R64" s="2">
        <f>IF(MONTH(Table15781012[[#This Row],[Date]])=2,28,DAY(DATE(YEAR(Table15781012[[#This Row],[Date]]),MONTH(Table15781012[[#This Row],[Date]])+1,1)-1))</f>
        <v>30</v>
      </c>
      <c r="S64" s="2">
        <f ca="1">SUM(OFFSET(Table15781012[[#Headers],[Days in month]],1,0):Table15781012[[#This Row],[Days in month]])</f>
        <v>1460</v>
      </c>
      <c r="T64" s="37">
        <f>InterestRate*AmortizationMultiplier*IF(ISNUMBER(SEARCH("Actual",$C$7)),Table15781012[[#This Row],[Days in month]]/365,1/12)</f>
        <v>5.8749999999999991E-3</v>
      </c>
    </row>
    <row r="65" spans="2:20" x14ac:dyDescent="0.2">
      <c r="B65" s="1">
        <v>47330</v>
      </c>
      <c r="C65" s="2">
        <f t="shared" si="1"/>
        <v>49</v>
      </c>
      <c r="D65" s="3">
        <f t="shared" si="0"/>
        <v>7015405.629999998</v>
      </c>
      <c r="E65" s="3">
        <f>ROUND(Table15781012[[#This Row],[Beginning Balance]]*Table15781012[[#This Row],[Monthly Interest Rate]],2)</f>
        <v>42589.36</v>
      </c>
      <c r="F65" s="3">
        <f t="shared" si="2"/>
        <v>303</v>
      </c>
      <c r="G65" s="23">
        <f>IFERROR(IF($C$13="No","N/A",IF(Table15781012[[#This Row],[Period]]=1,$C$6,PMT(InterestRate*AmortizationMultiplier/12,Table15781012[[#This Row],[Am Thru]],-Table15781012[[#This Row],[Beginning Balance]]))),0)</f>
        <v>50068.374253103641</v>
      </c>
      <c r="H65" s="3">
        <f>MAX(0,IF(C65=$C$4,D65,ROUND(IF($C$3="Fixed Principal",$C$6-Table15781012[[#This Row],[Interest]],IF($C$3="Interest Only",Table15781012[[#This Row],[Beginning Balance]]*ROUND(1-(1-IF($C$11="No",$E$8,1))^(1/12),6),MIN(IF($C$13="Yes",Table15781012[[#This Row],[Payment Amount (Reamortized)]],$C$6)-Table15781012[[#This Row],[Interest]],Table15781012[[#This Row],[Beginning Balance]]))),2)))</f>
        <v>7479.01</v>
      </c>
      <c r="I65" s="4">
        <f>IF($C$3="Interest Only",0,ROUND(MAX(MIN(IF($C$10="No",$E$7,VLOOKUP(Table15781012[[#This Row],[Period]],Forecast!$H$2:$L$1048576,4,FALSE))*Table15781012[[#This Row],[Beginning Balance]],Table15781012[[#This Row],[Beginning Balance]]-Table15781012[[#This Row],[Principal]]),0),2))</f>
        <v>20014.95</v>
      </c>
      <c r="J65" s="3">
        <f>ROUND(MIN(Table15781012[[#This Row],[Beginning Balance]]*IF($C$8="No",$E$3,VLOOKUP(Table15781012[[#This Row],[Period]],Forecast!$H$2:$L$1048576,2,FALSE)),Table15781012[[#This Row],[Beginning Balance]]-Table15781012[[#This Row],[Principal]]-Table15781012[[#This Row],[Prepayments]]),2)</f>
        <v>4791.5200000000004</v>
      </c>
      <c r="K65" s="3">
        <f>ROUND(Table15781012[[#This Row],[Defaulted Principal]]*IF($C$9="No",$E$4,VLOOKUP(Table15781012[[#This Row],[Period]],Forecast!$H$2:$L$1048576,3,FALSE)),2)</f>
        <v>415.4</v>
      </c>
      <c r="L65" s="2">
        <f>Table15781012[[#This Row],[Period]]+$E$9</f>
        <v>61</v>
      </c>
      <c r="M65" s="3">
        <f>Table15781012[[#This Row],[Defaulted Principal]]-Table15781012[[#This Row],[Estimated Loss]]</f>
        <v>4376.1200000000008</v>
      </c>
      <c r="N65" s="3">
        <f>IFERROR(VLOOKUP(Table15781012[[#This Row],[Period]],$L$16:$M$385,2,FALSE),0)</f>
        <v>4628.62</v>
      </c>
      <c r="O65" s="3">
        <f>Table15781012[[#This Row],[Beginning Balance]]-Table15781012[[#This Row],[Principal]]-Table15781012[[#This Row],[Prepayments]]-Table15781012[[#This Row],[Defaulted Principal]]</f>
        <v>6983120.1499999985</v>
      </c>
      <c r="P65" s="3">
        <f>Table15781012[[#This Row],[Principal]]+Table15781012[[#This Row],[Interest]]+Table15781012[[#This Row],[Prepayments]]+Table15781012[[#This Row],[RecoveredAmount]]</f>
        <v>74711.94</v>
      </c>
      <c r="Q65" s="3">
        <f ca="1">ROUND(Table15781012[[#This Row],[Cash Flow]]/((1+ActualRateToUse)^(IF(ISNUMBER(SEARCH("Actual",$C$7)),Table15781012[[#This Row],[Running Total]]/365,Table15781012[[#This Row],[Period]]/12))),2)</f>
        <v>55747.37</v>
      </c>
      <c r="R65" s="2">
        <f>IF(MONTH(Table15781012[[#This Row],[Date]])=2,28,DAY(DATE(YEAR(Table15781012[[#This Row],[Date]]),MONTH(Table15781012[[#This Row],[Date]])+1,1)-1))</f>
        <v>31</v>
      </c>
      <c r="S65" s="2">
        <f ca="1">SUM(OFFSET(Table15781012[[#Headers],[Days in month]],1,0):Table15781012[[#This Row],[Days in month]])</f>
        <v>1491</v>
      </c>
      <c r="T65" s="37">
        <f>InterestRate*AmortizationMultiplier*IF(ISNUMBER(SEARCH("Actual",$C$7)),Table15781012[[#This Row],[Days in month]]/365,1/12)</f>
        <v>6.0708333333333326E-3</v>
      </c>
    </row>
    <row r="66" spans="2:20" x14ac:dyDescent="0.2">
      <c r="B66" s="1">
        <v>47361</v>
      </c>
      <c r="C66" s="2">
        <f t="shared" si="1"/>
        <v>50</v>
      </c>
      <c r="D66" s="3">
        <f t="shared" si="0"/>
        <v>6983120.1499999985</v>
      </c>
      <c r="E66" s="3">
        <f>ROUND(Table15781012[[#This Row],[Beginning Balance]]*Table15781012[[#This Row],[Monthly Interest Rate]],2)</f>
        <v>42393.36</v>
      </c>
      <c r="F66" s="3">
        <f t="shared" si="2"/>
        <v>302</v>
      </c>
      <c r="G66" s="23">
        <f>IFERROR(IF($C$13="No","N/A",IF(Table15781012[[#This Row],[Period]]=1,$C$6,PMT(InterestRate*AmortizationMultiplier/12,Table15781012[[#This Row],[Am Thru]],-Table15781012[[#This Row],[Beginning Balance]]))),0)</f>
        <v>49896.849717052508</v>
      </c>
      <c r="H66" s="3">
        <f>MAX(0,IF(C66=$C$4,D66,ROUND(IF($C$3="Fixed Principal",$C$6-Table15781012[[#This Row],[Interest]],IF($C$3="Interest Only",Table15781012[[#This Row],[Beginning Balance]]*ROUND(1-(1-IF($C$11="No",$E$8,1))^(1/12),6),MIN(IF($C$13="Yes",Table15781012[[#This Row],[Payment Amount (Reamortized)]],$C$6)-Table15781012[[#This Row],[Interest]],Table15781012[[#This Row],[Beginning Balance]]))),2)))</f>
        <v>7503.49</v>
      </c>
      <c r="I66" s="4">
        <f>IF($C$3="Interest Only",0,ROUND(MAX(MIN(IF($C$10="No",$E$7,VLOOKUP(Table15781012[[#This Row],[Period]],Forecast!$H$2:$L$1048576,4,FALSE))*Table15781012[[#This Row],[Beginning Balance]],Table15781012[[#This Row],[Beginning Balance]]-Table15781012[[#This Row],[Principal]]),0),2))</f>
        <v>19922.84</v>
      </c>
      <c r="J66" s="3">
        <f>ROUND(MIN(Table15781012[[#This Row],[Beginning Balance]]*IF($C$8="No",$E$3,VLOOKUP(Table15781012[[#This Row],[Period]],Forecast!$H$2:$L$1048576,2,FALSE)),Table15781012[[#This Row],[Beginning Balance]]-Table15781012[[#This Row],[Principal]]-Table15781012[[#This Row],[Prepayments]]),2)</f>
        <v>4769.47</v>
      </c>
      <c r="K66" s="3">
        <f>ROUND(Table15781012[[#This Row],[Defaulted Principal]]*IF($C$9="No",$E$4,VLOOKUP(Table15781012[[#This Row],[Period]],Forecast!$H$2:$L$1048576,3,FALSE)),2)</f>
        <v>413.48</v>
      </c>
      <c r="L66" s="2">
        <f>Table15781012[[#This Row],[Period]]+$E$9</f>
        <v>62</v>
      </c>
      <c r="M66" s="3">
        <f>Table15781012[[#This Row],[Defaulted Principal]]-Table15781012[[#This Row],[Estimated Loss]]</f>
        <v>4355.99</v>
      </c>
      <c r="N66" s="3">
        <f>IFERROR(VLOOKUP(Table15781012[[#This Row],[Period]],$L$16:$M$385,2,FALSE),0)</f>
        <v>4607.76</v>
      </c>
      <c r="O66" s="3">
        <f>Table15781012[[#This Row],[Beginning Balance]]-Table15781012[[#This Row],[Principal]]-Table15781012[[#This Row],[Prepayments]]-Table15781012[[#This Row],[Defaulted Principal]]</f>
        <v>6950924.3499999987</v>
      </c>
      <c r="P66" s="3">
        <f>Table15781012[[#This Row],[Principal]]+Table15781012[[#This Row],[Interest]]+Table15781012[[#This Row],[Prepayments]]+Table15781012[[#This Row],[RecoveredAmount]]</f>
        <v>74427.45</v>
      </c>
      <c r="Q66" s="3">
        <f ca="1">ROUND(Table15781012[[#This Row],[Cash Flow]]/((1+ActualRateToUse)^(IF(ISNUMBER(SEARCH("Actual",$C$7)),Table15781012[[#This Row],[Running Total]]/365,Table15781012[[#This Row],[Period]]/12))),2)</f>
        <v>55198.02</v>
      </c>
      <c r="R66" s="2">
        <f>IF(MONTH(Table15781012[[#This Row],[Date]])=2,28,DAY(DATE(YEAR(Table15781012[[#This Row],[Date]]),MONTH(Table15781012[[#This Row],[Date]])+1,1)-1))</f>
        <v>31</v>
      </c>
      <c r="S66" s="2">
        <f ca="1">SUM(OFFSET(Table15781012[[#Headers],[Days in month]],1,0):Table15781012[[#This Row],[Days in month]])</f>
        <v>1522</v>
      </c>
      <c r="T66" s="37">
        <f>InterestRate*AmortizationMultiplier*IF(ISNUMBER(SEARCH("Actual",$C$7)),Table15781012[[#This Row],[Days in month]]/365,1/12)</f>
        <v>6.0708333333333326E-3</v>
      </c>
    </row>
    <row r="67" spans="2:20" x14ac:dyDescent="0.2">
      <c r="B67" s="1">
        <v>47391</v>
      </c>
      <c r="C67" s="2">
        <f t="shared" si="1"/>
        <v>51</v>
      </c>
      <c r="D67" s="3">
        <f t="shared" si="0"/>
        <v>6950924.3499999987</v>
      </c>
      <c r="E67" s="3">
        <f>ROUND(Table15781012[[#This Row],[Beginning Balance]]*Table15781012[[#This Row],[Monthly Interest Rate]],2)</f>
        <v>40836.68</v>
      </c>
      <c r="F67" s="3">
        <f t="shared" si="2"/>
        <v>301</v>
      </c>
      <c r="G67" s="23">
        <f>IFERROR(IF($C$13="No","N/A",IF(Table15781012[[#This Row],[Period]]=1,$C$6,PMT(InterestRate*AmortizationMultiplier/12,Table15781012[[#This Row],[Am Thru]],-Table15781012[[#This Row],[Beginning Balance]]))),0)</f>
        <v>49725.911303220717</v>
      </c>
      <c r="H67" s="3">
        <f>MAX(0,IF(C67=$C$4,D67,ROUND(IF($C$3="Fixed Principal",$C$6-Table15781012[[#This Row],[Interest]],IF($C$3="Interest Only",Table15781012[[#This Row],[Beginning Balance]]*ROUND(1-(1-IF($C$11="No",$E$8,1))^(1/12),6),MIN(IF($C$13="Yes",Table15781012[[#This Row],[Payment Amount (Reamortized)]],$C$6)-Table15781012[[#This Row],[Interest]],Table15781012[[#This Row],[Beginning Balance]]))),2)))</f>
        <v>8889.23</v>
      </c>
      <c r="I67" s="4">
        <f>IF($C$3="Interest Only",0,ROUND(MAX(MIN(IF($C$10="No",$E$7,VLOOKUP(Table15781012[[#This Row],[Period]],Forecast!$H$2:$L$1048576,4,FALSE))*Table15781012[[#This Row],[Beginning Balance]],Table15781012[[#This Row],[Beginning Balance]]-Table15781012[[#This Row],[Principal]]),0),2))</f>
        <v>19830.990000000002</v>
      </c>
      <c r="J67" s="3">
        <f>ROUND(MIN(Table15781012[[#This Row],[Beginning Balance]]*IF($C$8="No",$E$3,VLOOKUP(Table15781012[[#This Row],[Period]],Forecast!$H$2:$L$1048576,2,FALSE)),Table15781012[[#This Row],[Beginning Balance]]-Table15781012[[#This Row],[Principal]]-Table15781012[[#This Row],[Prepayments]]),2)</f>
        <v>4747.4799999999996</v>
      </c>
      <c r="K67" s="3">
        <f>ROUND(Table15781012[[#This Row],[Defaulted Principal]]*IF($C$9="No",$E$4,VLOOKUP(Table15781012[[#This Row],[Period]],Forecast!$H$2:$L$1048576,3,FALSE)),2)</f>
        <v>411.58</v>
      </c>
      <c r="L67" s="2">
        <f>Table15781012[[#This Row],[Period]]+$E$9</f>
        <v>63</v>
      </c>
      <c r="M67" s="3">
        <f>Table15781012[[#This Row],[Defaulted Principal]]-Table15781012[[#This Row],[Estimated Loss]]</f>
        <v>4335.8999999999996</v>
      </c>
      <c r="N67" s="3">
        <f>IFERROR(VLOOKUP(Table15781012[[#This Row],[Period]],$L$16:$M$385,2,FALSE),0)</f>
        <v>4586.96</v>
      </c>
      <c r="O67" s="3">
        <f>Table15781012[[#This Row],[Beginning Balance]]-Table15781012[[#This Row],[Principal]]-Table15781012[[#This Row],[Prepayments]]-Table15781012[[#This Row],[Defaulted Principal]]</f>
        <v>6917456.6499999976</v>
      </c>
      <c r="P67" s="3">
        <f>Table15781012[[#This Row],[Principal]]+Table15781012[[#This Row],[Interest]]+Table15781012[[#This Row],[Prepayments]]+Table15781012[[#This Row],[RecoveredAmount]]</f>
        <v>74143.860000000015</v>
      </c>
      <c r="Q67" s="3">
        <f ca="1">ROUND(Table15781012[[#This Row],[Cash Flow]]/((1+ActualRateToUse)^(IF(ISNUMBER(SEARCH("Actual",$C$7)),Table15781012[[#This Row],[Running Total]]/365,Table15781012[[#This Row],[Period]]/12))),2)</f>
        <v>54664.69</v>
      </c>
      <c r="R67" s="2">
        <f>IF(MONTH(Table15781012[[#This Row],[Date]])=2,28,DAY(DATE(YEAR(Table15781012[[#This Row],[Date]]),MONTH(Table15781012[[#This Row],[Date]])+1,1)-1))</f>
        <v>30</v>
      </c>
      <c r="S67" s="2">
        <f ca="1">SUM(OFFSET(Table15781012[[#Headers],[Days in month]],1,0):Table15781012[[#This Row],[Days in month]])</f>
        <v>1552</v>
      </c>
      <c r="T67" s="37">
        <f>InterestRate*AmortizationMultiplier*IF(ISNUMBER(SEARCH("Actual",$C$7)),Table15781012[[#This Row],[Days in month]]/365,1/12)</f>
        <v>5.8749999999999991E-3</v>
      </c>
    </row>
    <row r="68" spans="2:20" x14ac:dyDescent="0.2">
      <c r="B68" s="1">
        <v>47422</v>
      </c>
      <c r="C68" s="2">
        <f t="shared" si="1"/>
        <v>52</v>
      </c>
      <c r="D68" s="3">
        <f t="shared" si="0"/>
        <v>6917456.6499999976</v>
      </c>
      <c r="E68" s="3">
        <f>ROUND(Table15781012[[#This Row],[Beginning Balance]]*Table15781012[[#This Row],[Monthly Interest Rate]],2)</f>
        <v>41994.73</v>
      </c>
      <c r="F68" s="3">
        <f t="shared" si="2"/>
        <v>300</v>
      </c>
      <c r="G68" s="23">
        <f>IFERROR(IF($C$13="No","N/A",IF(Table15781012[[#This Row],[Period]]=1,$C$6,PMT(InterestRate*AmortizationMultiplier/12,Table15781012[[#This Row],[Am Thru]],-Table15781012[[#This Row],[Beginning Balance]]))),0)</f>
        <v>49545.807348215654</v>
      </c>
      <c r="H68" s="3">
        <f>MAX(0,IF(C68=$C$4,D68,ROUND(IF($C$3="Fixed Principal",$C$6-Table15781012[[#This Row],[Interest]],IF($C$3="Interest Only",Table15781012[[#This Row],[Beginning Balance]]*ROUND(1-(1-IF($C$11="No",$E$8,1))^(1/12),6),MIN(IF($C$13="Yes",Table15781012[[#This Row],[Payment Amount (Reamortized)]],$C$6)-Table15781012[[#This Row],[Interest]],Table15781012[[#This Row],[Beginning Balance]]))),2)))</f>
        <v>7551.08</v>
      </c>
      <c r="I68" s="4">
        <f>IF($C$3="Interest Only",0,ROUND(MAX(MIN(IF($C$10="No",$E$7,VLOOKUP(Table15781012[[#This Row],[Period]],Forecast!$H$2:$L$1048576,4,FALSE))*Table15781012[[#This Row],[Beginning Balance]],Table15781012[[#This Row],[Beginning Balance]]-Table15781012[[#This Row],[Principal]]),0),2))</f>
        <v>19735.5</v>
      </c>
      <c r="J68" s="3">
        <f>ROUND(MIN(Table15781012[[#This Row],[Beginning Balance]]*IF($C$8="No",$E$3,VLOOKUP(Table15781012[[#This Row],[Period]],Forecast!$H$2:$L$1048576,2,FALSE)),Table15781012[[#This Row],[Beginning Balance]]-Table15781012[[#This Row],[Principal]]-Table15781012[[#This Row],[Prepayments]]),2)</f>
        <v>4724.62</v>
      </c>
      <c r="K68" s="3">
        <f>ROUND(Table15781012[[#This Row],[Defaulted Principal]]*IF($C$9="No",$E$4,VLOOKUP(Table15781012[[#This Row],[Period]],Forecast!$H$2:$L$1048576,3,FALSE)),2)</f>
        <v>409.6</v>
      </c>
      <c r="L68" s="2">
        <f>Table15781012[[#This Row],[Period]]+$E$9</f>
        <v>64</v>
      </c>
      <c r="M68" s="3">
        <f>Table15781012[[#This Row],[Defaulted Principal]]-Table15781012[[#This Row],[Estimated Loss]]</f>
        <v>4315.0199999999995</v>
      </c>
      <c r="N68" s="3">
        <f>IFERROR(VLOOKUP(Table15781012[[#This Row],[Period]],$L$16:$M$385,2,FALSE),0)</f>
        <v>4565.3200000000006</v>
      </c>
      <c r="O68" s="3">
        <f>Table15781012[[#This Row],[Beginning Balance]]-Table15781012[[#This Row],[Principal]]-Table15781012[[#This Row],[Prepayments]]-Table15781012[[#This Row],[Defaulted Principal]]</f>
        <v>6885445.4499999974</v>
      </c>
      <c r="P68" s="3">
        <f>Table15781012[[#This Row],[Principal]]+Table15781012[[#This Row],[Interest]]+Table15781012[[#This Row],[Prepayments]]+Table15781012[[#This Row],[RecoveredAmount]]</f>
        <v>73846.63</v>
      </c>
      <c r="Q68" s="3">
        <f ca="1">ROUND(Table15781012[[#This Row],[Cash Flow]]/((1+ActualRateToUse)^(IF(ISNUMBER(SEARCH("Actual",$C$7)),Table15781012[[#This Row],[Running Total]]/365,Table15781012[[#This Row],[Period]]/12))),2)</f>
        <v>54115.1</v>
      </c>
      <c r="R68" s="2">
        <f>IF(MONTH(Table15781012[[#This Row],[Date]])=2,28,DAY(DATE(YEAR(Table15781012[[#This Row],[Date]]),MONTH(Table15781012[[#This Row],[Date]])+1,1)-1))</f>
        <v>31</v>
      </c>
      <c r="S68" s="2">
        <f ca="1">SUM(OFFSET(Table15781012[[#Headers],[Days in month]],1,0):Table15781012[[#This Row],[Days in month]])</f>
        <v>1583</v>
      </c>
      <c r="T68" s="37">
        <f>InterestRate*AmortizationMultiplier*IF(ISNUMBER(SEARCH("Actual",$C$7)),Table15781012[[#This Row],[Days in month]]/365,1/12)</f>
        <v>6.0708333333333326E-3</v>
      </c>
    </row>
    <row r="69" spans="2:20" x14ac:dyDescent="0.2">
      <c r="B69" s="1">
        <v>47452</v>
      </c>
      <c r="C69" s="2">
        <f t="shared" si="1"/>
        <v>53</v>
      </c>
      <c r="D69" s="3">
        <f t="shared" si="0"/>
        <v>6885445.4499999974</v>
      </c>
      <c r="E69" s="3">
        <f>ROUND(Table15781012[[#This Row],[Beginning Balance]]*Table15781012[[#This Row],[Monthly Interest Rate]],2)</f>
        <v>40451.99</v>
      </c>
      <c r="F69" s="3">
        <f t="shared" si="2"/>
        <v>299</v>
      </c>
      <c r="G69" s="23">
        <f>IFERROR(IF($C$13="No","N/A",IF(Table15781012[[#This Row],[Period]]=1,$C$6,PMT(InterestRate*AmortizationMultiplier/12,Table15781012[[#This Row],[Am Thru]],-Table15781012[[#This Row],[Beginning Balance]]))),0)</f>
        <v>49376.06867191405</v>
      </c>
      <c r="H69" s="3">
        <f>MAX(0,IF(C69=$C$4,D69,ROUND(IF($C$3="Fixed Principal",$C$6-Table15781012[[#This Row],[Interest]],IF($C$3="Interest Only",Table15781012[[#This Row],[Beginning Balance]]*ROUND(1-(1-IF($C$11="No",$E$8,1))^(1/12),6),MIN(IF($C$13="Yes",Table15781012[[#This Row],[Payment Amount (Reamortized)]],$C$6)-Table15781012[[#This Row],[Interest]],Table15781012[[#This Row],[Beginning Balance]]))),2)))</f>
        <v>8924.08</v>
      </c>
      <c r="I69" s="4">
        <f>IF($C$3="Interest Only",0,ROUND(MAX(MIN(IF($C$10="No",$E$7,VLOOKUP(Table15781012[[#This Row],[Period]],Forecast!$H$2:$L$1048576,4,FALSE))*Table15781012[[#This Row],[Beginning Balance]],Table15781012[[#This Row],[Beginning Balance]]-Table15781012[[#This Row],[Principal]]),0),2))</f>
        <v>19644.18</v>
      </c>
      <c r="J69" s="3">
        <f>ROUND(MIN(Table15781012[[#This Row],[Beginning Balance]]*IF($C$8="No",$E$3,VLOOKUP(Table15781012[[#This Row],[Period]],Forecast!$H$2:$L$1048576,2,FALSE)),Table15781012[[#This Row],[Beginning Balance]]-Table15781012[[#This Row],[Principal]]-Table15781012[[#This Row],[Prepayments]]),2)</f>
        <v>4702.76</v>
      </c>
      <c r="K69" s="3">
        <f>ROUND(Table15781012[[#This Row],[Defaulted Principal]]*IF($C$9="No",$E$4,VLOOKUP(Table15781012[[#This Row],[Period]],Forecast!$H$2:$L$1048576,3,FALSE)),2)</f>
        <v>407.7</v>
      </c>
      <c r="L69" s="2">
        <f>Table15781012[[#This Row],[Period]]+$E$9</f>
        <v>65</v>
      </c>
      <c r="M69" s="3">
        <f>Table15781012[[#This Row],[Defaulted Principal]]-Table15781012[[#This Row],[Estimated Loss]]</f>
        <v>4295.0600000000004</v>
      </c>
      <c r="N69" s="3">
        <f>IFERROR(VLOOKUP(Table15781012[[#This Row],[Period]],$L$16:$M$385,2,FALSE),0)</f>
        <v>4544.6499999999996</v>
      </c>
      <c r="O69" s="3">
        <f>Table15781012[[#This Row],[Beginning Balance]]-Table15781012[[#This Row],[Principal]]-Table15781012[[#This Row],[Prepayments]]-Table15781012[[#This Row],[Defaulted Principal]]</f>
        <v>6852174.4299999978</v>
      </c>
      <c r="P69" s="3">
        <f>Table15781012[[#This Row],[Principal]]+Table15781012[[#This Row],[Interest]]+Table15781012[[#This Row],[Prepayments]]+Table15781012[[#This Row],[RecoveredAmount]]</f>
        <v>73564.899999999994</v>
      </c>
      <c r="Q69" s="3">
        <f ca="1">ROUND(Table15781012[[#This Row],[Cash Flow]]/((1+ActualRateToUse)^(IF(ISNUMBER(SEARCH("Actual",$C$7)),Table15781012[[#This Row],[Running Total]]/365,Table15781012[[#This Row],[Period]]/12))),2)</f>
        <v>53591.97</v>
      </c>
      <c r="R69" s="2">
        <f>IF(MONTH(Table15781012[[#This Row],[Date]])=2,28,DAY(DATE(YEAR(Table15781012[[#This Row],[Date]]),MONTH(Table15781012[[#This Row],[Date]])+1,1)-1))</f>
        <v>30</v>
      </c>
      <c r="S69" s="2">
        <f ca="1">SUM(OFFSET(Table15781012[[#Headers],[Days in month]],1,0):Table15781012[[#This Row],[Days in month]])</f>
        <v>1613</v>
      </c>
      <c r="T69" s="37">
        <f>InterestRate*AmortizationMultiplier*IF(ISNUMBER(SEARCH("Actual",$C$7)),Table15781012[[#This Row],[Days in month]]/365,1/12)</f>
        <v>5.8749999999999991E-3</v>
      </c>
    </row>
    <row r="70" spans="2:20" x14ac:dyDescent="0.2">
      <c r="B70" s="1">
        <v>47483</v>
      </c>
      <c r="C70" s="2">
        <f t="shared" si="1"/>
        <v>54</v>
      </c>
      <c r="D70" s="3">
        <f t="shared" si="0"/>
        <v>6852174.4299999978</v>
      </c>
      <c r="E70" s="3">
        <f>ROUND(Table15781012[[#This Row],[Beginning Balance]]*Table15781012[[#This Row],[Monthly Interest Rate]],2)</f>
        <v>41598.410000000003</v>
      </c>
      <c r="F70" s="3">
        <f t="shared" si="2"/>
        <v>298</v>
      </c>
      <c r="G70" s="23">
        <f>IFERROR(IF($C$13="No","N/A",IF(Table15781012[[#This Row],[Period]]=1,$C$6,PMT(InterestRate*AmortizationMultiplier/12,Table15781012[[#This Row],[Am Thru]],-Table15781012[[#This Row],[Beginning Balance]]))),0)</f>
        <v>49197.228686199596</v>
      </c>
      <c r="H70" s="3">
        <f>MAX(0,IF(C70=$C$4,D70,ROUND(IF($C$3="Fixed Principal",$C$6-Table15781012[[#This Row],[Interest]],IF($C$3="Interest Only",Table15781012[[#This Row],[Beginning Balance]]*ROUND(1-(1-IF($C$11="No",$E$8,1))^(1/12),6),MIN(IF($C$13="Yes",Table15781012[[#This Row],[Payment Amount (Reamortized)]],$C$6)-Table15781012[[#This Row],[Interest]],Table15781012[[#This Row],[Beginning Balance]]))),2)))</f>
        <v>7598.82</v>
      </c>
      <c r="I70" s="4">
        <f>IF($C$3="Interest Only",0,ROUND(MAX(MIN(IF($C$10="No",$E$7,VLOOKUP(Table15781012[[#This Row],[Period]],Forecast!$H$2:$L$1048576,4,FALSE))*Table15781012[[#This Row],[Beginning Balance]],Table15781012[[#This Row],[Beginning Balance]]-Table15781012[[#This Row],[Principal]]),0),2))</f>
        <v>19549.25</v>
      </c>
      <c r="J70" s="3">
        <f>ROUND(MIN(Table15781012[[#This Row],[Beginning Balance]]*IF($C$8="No",$E$3,VLOOKUP(Table15781012[[#This Row],[Period]],Forecast!$H$2:$L$1048576,2,FALSE)),Table15781012[[#This Row],[Beginning Balance]]-Table15781012[[#This Row],[Principal]]-Table15781012[[#This Row],[Prepayments]]),2)</f>
        <v>4680.04</v>
      </c>
      <c r="K70" s="3">
        <f>ROUND(Table15781012[[#This Row],[Defaulted Principal]]*IF($C$9="No",$E$4,VLOOKUP(Table15781012[[#This Row],[Period]],Forecast!$H$2:$L$1048576,3,FALSE)),2)</f>
        <v>405.73</v>
      </c>
      <c r="L70" s="2">
        <f>Table15781012[[#This Row],[Period]]+$E$9</f>
        <v>66</v>
      </c>
      <c r="M70" s="3">
        <f>Table15781012[[#This Row],[Defaulted Principal]]-Table15781012[[#This Row],[Estimated Loss]]</f>
        <v>4274.3099999999995</v>
      </c>
      <c r="N70" s="3">
        <f>IFERROR(VLOOKUP(Table15781012[[#This Row],[Period]],$L$16:$M$385,2,FALSE),0)</f>
        <v>4523.1399999999994</v>
      </c>
      <c r="O70" s="3">
        <f>Table15781012[[#This Row],[Beginning Balance]]-Table15781012[[#This Row],[Principal]]-Table15781012[[#This Row],[Prepayments]]-Table15781012[[#This Row],[Defaulted Principal]]</f>
        <v>6820346.3199999975</v>
      </c>
      <c r="P70" s="3">
        <f>Table15781012[[#This Row],[Principal]]+Table15781012[[#This Row],[Interest]]+Table15781012[[#This Row],[Prepayments]]+Table15781012[[#This Row],[RecoveredAmount]]</f>
        <v>73269.62000000001</v>
      </c>
      <c r="Q70" s="3">
        <f ca="1">ROUND(Table15781012[[#This Row],[Cash Flow]]/((1+ActualRateToUse)^(IF(ISNUMBER(SEARCH("Actual",$C$7)),Table15781012[[#This Row],[Running Total]]/365,Table15781012[[#This Row],[Period]]/12))),2)</f>
        <v>53052.89</v>
      </c>
      <c r="R70" s="2">
        <f>IF(MONTH(Table15781012[[#This Row],[Date]])=2,28,DAY(DATE(YEAR(Table15781012[[#This Row],[Date]]),MONTH(Table15781012[[#This Row],[Date]])+1,1)-1))</f>
        <v>31</v>
      </c>
      <c r="S70" s="2">
        <f ca="1">SUM(OFFSET(Table15781012[[#Headers],[Days in month]],1,0):Table15781012[[#This Row],[Days in month]])</f>
        <v>1644</v>
      </c>
      <c r="T70" s="37">
        <f>InterestRate*AmortizationMultiplier*IF(ISNUMBER(SEARCH("Actual",$C$7)),Table15781012[[#This Row],[Days in month]]/365,1/12)</f>
        <v>6.0708333333333326E-3</v>
      </c>
    </row>
    <row r="71" spans="2:20" x14ac:dyDescent="0.2">
      <c r="B71" s="1">
        <v>47514</v>
      </c>
      <c r="C71" s="2">
        <f t="shared" si="1"/>
        <v>55</v>
      </c>
      <c r="D71" s="3">
        <f t="shared" si="0"/>
        <v>6820346.3199999975</v>
      </c>
      <c r="E71" s="3">
        <f>ROUND(Table15781012[[#This Row],[Beginning Balance]]*Table15781012[[#This Row],[Monthly Interest Rate]],2)</f>
        <v>41405.19</v>
      </c>
      <c r="F71" s="3">
        <f t="shared" si="2"/>
        <v>297</v>
      </c>
      <c r="G71" s="23">
        <f>IFERROR(IF($C$13="No","N/A",IF(Table15781012[[#This Row],[Period]]=1,$C$6,PMT(InterestRate*AmortizationMultiplier/12,Table15781012[[#This Row],[Am Thru]],-Table15781012[[#This Row],[Beginning Balance]]))),0)</f>
        <v>49028.681207713875</v>
      </c>
      <c r="H71" s="3">
        <f>MAX(0,IF(C71=$C$4,D71,ROUND(IF($C$3="Fixed Principal",$C$6-Table15781012[[#This Row],[Interest]],IF($C$3="Interest Only",Table15781012[[#This Row],[Beginning Balance]]*ROUND(1-(1-IF($C$11="No",$E$8,1))^(1/12),6),MIN(IF($C$13="Yes",Table15781012[[#This Row],[Payment Amount (Reamortized)]],$C$6)-Table15781012[[#This Row],[Interest]],Table15781012[[#This Row],[Beginning Balance]]))),2)))</f>
        <v>7623.49</v>
      </c>
      <c r="I71" s="4">
        <f>IF($C$3="Interest Only",0,ROUND(MAX(MIN(IF($C$10="No",$E$7,VLOOKUP(Table15781012[[#This Row],[Period]],Forecast!$H$2:$L$1048576,4,FALSE))*Table15781012[[#This Row],[Beginning Balance]],Table15781012[[#This Row],[Beginning Balance]]-Table15781012[[#This Row],[Principal]]),0),2))</f>
        <v>19458.45</v>
      </c>
      <c r="J71" s="3">
        <f>ROUND(MIN(Table15781012[[#This Row],[Beginning Balance]]*IF($C$8="No",$E$3,VLOOKUP(Table15781012[[#This Row],[Period]],Forecast!$H$2:$L$1048576,2,FALSE)),Table15781012[[#This Row],[Beginning Balance]]-Table15781012[[#This Row],[Principal]]-Table15781012[[#This Row],[Prepayments]]),2)</f>
        <v>4658.3</v>
      </c>
      <c r="K71" s="3">
        <f>ROUND(Table15781012[[#This Row],[Defaulted Principal]]*IF($C$9="No",$E$4,VLOOKUP(Table15781012[[#This Row],[Period]],Forecast!$H$2:$L$1048576,3,FALSE)),2)</f>
        <v>403.85</v>
      </c>
      <c r="L71" s="2">
        <f>Table15781012[[#This Row],[Period]]+$E$9</f>
        <v>67</v>
      </c>
      <c r="M71" s="3">
        <f>Table15781012[[#This Row],[Defaulted Principal]]-Table15781012[[#This Row],[Estimated Loss]]</f>
        <v>4254.45</v>
      </c>
      <c r="N71" s="3">
        <f>IFERROR(VLOOKUP(Table15781012[[#This Row],[Period]],$L$16:$M$385,2,FALSE),0)</f>
        <v>4502.58</v>
      </c>
      <c r="O71" s="3">
        <f>Table15781012[[#This Row],[Beginning Balance]]-Table15781012[[#This Row],[Principal]]-Table15781012[[#This Row],[Prepayments]]-Table15781012[[#This Row],[Defaulted Principal]]</f>
        <v>6788606.0799999973</v>
      </c>
      <c r="P71" s="3">
        <f>Table15781012[[#This Row],[Principal]]+Table15781012[[#This Row],[Interest]]+Table15781012[[#This Row],[Prepayments]]+Table15781012[[#This Row],[RecoveredAmount]]</f>
        <v>72989.710000000006</v>
      </c>
      <c r="Q71" s="3">
        <f ca="1">ROUND(Table15781012[[#This Row],[Cash Flow]]/((1+ActualRateToUse)^(IF(ISNUMBER(SEARCH("Actual",$C$7)),Table15781012[[#This Row],[Running Total]]/365,Table15781012[[#This Row],[Period]]/12))),2)</f>
        <v>52529.45</v>
      </c>
      <c r="R71" s="2">
        <f>IF(MONTH(Table15781012[[#This Row],[Date]])=2,28,DAY(DATE(YEAR(Table15781012[[#This Row],[Date]]),MONTH(Table15781012[[#This Row],[Date]])+1,1)-1))</f>
        <v>31</v>
      </c>
      <c r="S71" s="2">
        <f ca="1">SUM(OFFSET(Table15781012[[#Headers],[Days in month]],1,0):Table15781012[[#This Row],[Days in month]])</f>
        <v>1675</v>
      </c>
      <c r="T71" s="37">
        <f>InterestRate*AmortizationMultiplier*IF(ISNUMBER(SEARCH("Actual",$C$7)),Table15781012[[#This Row],[Days in month]]/365,1/12)</f>
        <v>6.0708333333333326E-3</v>
      </c>
    </row>
    <row r="72" spans="2:20" x14ac:dyDescent="0.2">
      <c r="B72" s="1">
        <v>47542</v>
      </c>
      <c r="C72" s="2">
        <f t="shared" si="1"/>
        <v>56</v>
      </c>
      <c r="D72" s="3">
        <f t="shared" si="0"/>
        <v>6788606.0799999973</v>
      </c>
      <c r="E72" s="3">
        <f>ROUND(Table15781012[[#This Row],[Beginning Balance]]*Table15781012[[#This Row],[Monthly Interest Rate]],2)</f>
        <v>37224.19</v>
      </c>
      <c r="F72" s="3">
        <f t="shared" si="2"/>
        <v>296</v>
      </c>
      <c r="G72" s="23">
        <f>IFERROR(IF($C$13="No","N/A",IF(Table15781012[[#This Row],[Period]]=1,$C$6,PMT(InterestRate*AmortizationMultiplier/12,Table15781012[[#This Row],[Am Thru]],-Table15781012[[#This Row],[Beginning Balance]]))),0)</f>
        <v>48860.709697034341</v>
      </c>
      <c r="H72" s="3">
        <f>MAX(0,IF(C72=$C$4,D72,ROUND(IF($C$3="Fixed Principal",$C$6-Table15781012[[#This Row],[Interest]],IF($C$3="Interest Only",Table15781012[[#This Row],[Beginning Balance]]*ROUND(1-(1-IF($C$11="No",$E$8,1))^(1/12),6),MIN(IF($C$13="Yes",Table15781012[[#This Row],[Payment Amount (Reamortized)]],$C$6)-Table15781012[[#This Row],[Interest]],Table15781012[[#This Row],[Beginning Balance]]))),2)))</f>
        <v>11636.52</v>
      </c>
      <c r="I72" s="4">
        <f>IF($C$3="Interest Only",0,ROUND(MAX(MIN(IF($C$10="No",$E$7,VLOOKUP(Table15781012[[#This Row],[Period]],Forecast!$H$2:$L$1048576,4,FALSE))*Table15781012[[#This Row],[Beginning Balance]],Table15781012[[#This Row],[Beginning Balance]]-Table15781012[[#This Row],[Principal]]),0),2))</f>
        <v>19367.89</v>
      </c>
      <c r="J72" s="3">
        <f>ROUND(MIN(Table15781012[[#This Row],[Beginning Balance]]*IF($C$8="No",$E$3,VLOOKUP(Table15781012[[#This Row],[Period]],Forecast!$H$2:$L$1048576,2,FALSE)),Table15781012[[#This Row],[Beginning Balance]]-Table15781012[[#This Row],[Principal]]-Table15781012[[#This Row],[Prepayments]]),2)</f>
        <v>4636.62</v>
      </c>
      <c r="K72" s="3">
        <f>ROUND(Table15781012[[#This Row],[Defaulted Principal]]*IF($C$9="No",$E$4,VLOOKUP(Table15781012[[#This Row],[Period]],Forecast!$H$2:$L$1048576,3,FALSE)),2)</f>
        <v>401.97</v>
      </c>
      <c r="L72" s="2">
        <f>Table15781012[[#This Row],[Period]]+$E$9</f>
        <v>68</v>
      </c>
      <c r="M72" s="3">
        <f>Table15781012[[#This Row],[Defaulted Principal]]-Table15781012[[#This Row],[Estimated Loss]]</f>
        <v>4234.6499999999996</v>
      </c>
      <c r="N72" s="3">
        <f>IFERROR(VLOOKUP(Table15781012[[#This Row],[Period]],$L$16:$M$385,2,FALSE),0)</f>
        <v>4482.08</v>
      </c>
      <c r="O72" s="3">
        <f>Table15781012[[#This Row],[Beginning Balance]]-Table15781012[[#This Row],[Principal]]-Table15781012[[#This Row],[Prepayments]]-Table15781012[[#This Row],[Defaulted Principal]]</f>
        <v>6752965.049999998</v>
      </c>
      <c r="P72" s="3">
        <f>Table15781012[[#This Row],[Principal]]+Table15781012[[#This Row],[Interest]]+Table15781012[[#This Row],[Prepayments]]+Table15781012[[#This Row],[RecoveredAmount]]</f>
        <v>72710.680000000008</v>
      </c>
      <c r="Q72" s="3">
        <f ca="1">ROUND(Table15781012[[#This Row],[Cash Flow]]/((1+ActualRateToUse)^(IF(ISNUMBER(SEARCH("Actual",$C$7)),Table15781012[[#This Row],[Running Total]]/365,Table15781012[[#This Row],[Period]]/12))),2)</f>
        <v>52041.68</v>
      </c>
      <c r="R72" s="2">
        <f>IF(MONTH(Table15781012[[#This Row],[Date]])=2,28,DAY(DATE(YEAR(Table15781012[[#This Row],[Date]]),MONTH(Table15781012[[#This Row],[Date]])+1,1)-1))</f>
        <v>28</v>
      </c>
      <c r="S72" s="2">
        <f ca="1">SUM(OFFSET(Table15781012[[#Headers],[Days in month]],1,0):Table15781012[[#This Row],[Days in month]])</f>
        <v>1703</v>
      </c>
      <c r="T72" s="37">
        <f>InterestRate*AmortizationMultiplier*IF(ISNUMBER(SEARCH("Actual",$C$7)),Table15781012[[#This Row],[Days in month]]/365,1/12)</f>
        <v>5.4833333333333331E-3</v>
      </c>
    </row>
    <row r="73" spans="2:20" x14ac:dyDescent="0.2">
      <c r="B73" s="1">
        <v>47573</v>
      </c>
      <c r="C73" s="2">
        <f t="shared" si="1"/>
        <v>57</v>
      </c>
      <c r="D73" s="3">
        <f t="shared" si="0"/>
        <v>6752965.049999998</v>
      </c>
      <c r="E73" s="3">
        <f>ROUND(Table15781012[[#This Row],[Beginning Balance]]*Table15781012[[#This Row],[Monthly Interest Rate]],2)</f>
        <v>40996.129999999997</v>
      </c>
      <c r="F73" s="3">
        <f t="shared" si="2"/>
        <v>295</v>
      </c>
      <c r="G73" s="23">
        <f>IFERROR(IF($C$13="No","N/A",IF(Table15781012[[#This Row],[Period]]=1,$C$6,PMT(InterestRate*AmortizationMultiplier/12,Table15781012[[#This Row],[Am Thru]],-Table15781012[[#This Row],[Beginning Balance]]))),0)</f>
        <v>48664.570842665431</v>
      </c>
      <c r="H73" s="3">
        <f>MAX(0,IF(C73=$C$4,D73,ROUND(IF($C$3="Fixed Principal",$C$6-Table15781012[[#This Row],[Interest]],IF($C$3="Interest Only",Table15781012[[#This Row],[Beginning Balance]]*ROUND(1-(1-IF($C$11="No",$E$8,1))^(1/12),6),MIN(IF($C$13="Yes",Table15781012[[#This Row],[Payment Amount (Reamortized)]],$C$6)-Table15781012[[#This Row],[Interest]],Table15781012[[#This Row],[Beginning Balance]]))),2)))</f>
        <v>7668.44</v>
      </c>
      <c r="I73" s="4">
        <f>IF($C$3="Interest Only",0,ROUND(MAX(MIN(IF($C$10="No",$E$7,VLOOKUP(Table15781012[[#This Row],[Period]],Forecast!$H$2:$L$1048576,4,FALSE))*Table15781012[[#This Row],[Beginning Balance]],Table15781012[[#This Row],[Beginning Balance]]-Table15781012[[#This Row],[Principal]]),0),2))</f>
        <v>19266.21</v>
      </c>
      <c r="J73" s="3">
        <f>ROUND(MIN(Table15781012[[#This Row],[Beginning Balance]]*IF($C$8="No",$E$3,VLOOKUP(Table15781012[[#This Row],[Period]],Forecast!$H$2:$L$1048576,2,FALSE)),Table15781012[[#This Row],[Beginning Balance]]-Table15781012[[#This Row],[Principal]]-Table15781012[[#This Row],[Prepayments]]),2)</f>
        <v>4612.28</v>
      </c>
      <c r="K73" s="3">
        <f>ROUND(Table15781012[[#This Row],[Defaulted Principal]]*IF($C$9="No",$E$4,VLOOKUP(Table15781012[[#This Row],[Period]],Forecast!$H$2:$L$1048576,3,FALSE)),2)</f>
        <v>399.86</v>
      </c>
      <c r="L73" s="2">
        <f>Table15781012[[#This Row],[Period]]+$E$9</f>
        <v>69</v>
      </c>
      <c r="M73" s="3">
        <f>Table15781012[[#This Row],[Defaulted Principal]]-Table15781012[[#This Row],[Estimated Loss]]</f>
        <v>4212.42</v>
      </c>
      <c r="N73" s="3">
        <f>IFERROR(VLOOKUP(Table15781012[[#This Row],[Period]],$L$16:$M$385,2,FALSE),0)</f>
        <v>4459</v>
      </c>
      <c r="O73" s="3">
        <f>Table15781012[[#This Row],[Beginning Balance]]-Table15781012[[#This Row],[Principal]]-Table15781012[[#This Row],[Prepayments]]-Table15781012[[#This Row],[Defaulted Principal]]</f>
        <v>6721418.1199999973</v>
      </c>
      <c r="P73" s="3">
        <f>Table15781012[[#This Row],[Principal]]+Table15781012[[#This Row],[Interest]]+Table15781012[[#This Row],[Prepayments]]+Table15781012[[#This Row],[RecoveredAmount]]</f>
        <v>72389.78</v>
      </c>
      <c r="Q73" s="3">
        <f ca="1">ROUND(Table15781012[[#This Row],[Cash Flow]]/((1+ActualRateToUse)^(IF(ISNUMBER(SEARCH("Actual",$C$7)),Table15781012[[#This Row],[Running Total]]/365,Table15781012[[#This Row],[Period]]/12))),2)</f>
        <v>51497.53</v>
      </c>
      <c r="R73" s="2">
        <f>IF(MONTH(Table15781012[[#This Row],[Date]])=2,28,DAY(DATE(YEAR(Table15781012[[#This Row],[Date]]),MONTH(Table15781012[[#This Row],[Date]])+1,1)-1))</f>
        <v>31</v>
      </c>
      <c r="S73" s="2">
        <f ca="1">SUM(OFFSET(Table15781012[[#Headers],[Days in month]],1,0):Table15781012[[#This Row],[Days in month]])</f>
        <v>1734</v>
      </c>
      <c r="T73" s="37">
        <f>InterestRate*AmortizationMultiplier*IF(ISNUMBER(SEARCH("Actual",$C$7)),Table15781012[[#This Row],[Days in month]]/365,1/12)</f>
        <v>6.0708333333333326E-3</v>
      </c>
    </row>
    <row r="74" spans="2:20" x14ac:dyDescent="0.2">
      <c r="B74" s="1">
        <v>47603</v>
      </c>
      <c r="C74" s="2">
        <f t="shared" si="1"/>
        <v>58</v>
      </c>
      <c r="D74" s="3">
        <f t="shared" si="0"/>
        <v>6721418.1199999973</v>
      </c>
      <c r="E74" s="3">
        <f>ROUND(Table15781012[[#This Row],[Beginning Balance]]*Table15781012[[#This Row],[Monthly Interest Rate]],2)</f>
        <v>39488.33</v>
      </c>
      <c r="F74" s="3">
        <f t="shared" si="2"/>
        <v>294</v>
      </c>
      <c r="G74" s="23">
        <f>IFERROR(IF($C$13="No","N/A",IF(Table15781012[[#This Row],[Period]]=1,$C$6,PMT(InterestRate*AmortizationMultiplier/12,Table15781012[[#This Row],[Am Thru]],-Table15781012[[#This Row],[Beginning Balance]]))),0)</f>
        <v>48497.843795006091</v>
      </c>
      <c r="H74" s="3">
        <f>MAX(0,IF(C74=$C$4,D74,ROUND(IF($C$3="Fixed Principal",$C$6-Table15781012[[#This Row],[Interest]],IF($C$3="Interest Only",Table15781012[[#This Row],[Beginning Balance]]*ROUND(1-(1-IF($C$11="No",$E$8,1))^(1/12),6),MIN(IF($C$13="Yes",Table15781012[[#This Row],[Payment Amount (Reamortized)]],$C$6)-Table15781012[[#This Row],[Interest]],Table15781012[[#This Row],[Beginning Balance]]))),2)))</f>
        <v>9009.51</v>
      </c>
      <c r="I74" s="4">
        <f>IF($C$3="Interest Only",0,ROUND(MAX(MIN(IF($C$10="No",$E$7,VLOOKUP(Table15781012[[#This Row],[Period]],Forecast!$H$2:$L$1048576,4,FALSE))*Table15781012[[#This Row],[Beginning Balance]],Table15781012[[#This Row],[Beginning Balance]]-Table15781012[[#This Row],[Principal]]),0),2))</f>
        <v>19176.21</v>
      </c>
      <c r="J74" s="3">
        <f>ROUND(MIN(Table15781012[[#This Row],[Beginning Balance]]*IF($C$8="No",$E$3,VLOOKUP(Table15781012[[#This Row],[Period]],Forecast!$H$2:$L$1048576,2,FALSE)),Table15781012[[#This Row],[Beginning Balance]]-Table15781012[[#This Row],[Principal]]-Table15781012[[#This Row],[Prepayments]]),2)</f>
        <v>4590.7299999999996</v>
      </c>
      <c r="K74" s="3">
        <f>ROUND(Table15781012[[#This Row],[Defaulted Principal]]*IF($C$9="No",$E$4,VLOOKUP(Table15781012[[#This Row],[Period]],Forecast!$H$2:$L$1048576,3,FALSE)),2)</f>
        <v>397.99</v>
      </c>
      <c r="L74" s="2">
        <f>Table15781012[[#This Row],[Period]]+$E$9</f>
        <v>70</v>
      </c>
      <c r="M74" s="3">
        <f>Table15781012[[#This Row],[Defaulted Principal]]-Table15781012[[#This Row],[Estimated Loss]]</f>
        <v>4192.74</v>
      </c>
      <c r="N74" s="3">
        <f>IFERROR(VLOOKUP(Table15781012[[#This Row],[Period]],$L$16:$M$385,2,FALSE),0)</f>
        <v>4438.63</v>
      </c>
      <c r="O74" s="3">
        <f>Table15781012[[#This Row],[Beginning Balance]]-Table15781012[[#This Row],[Principal]]-Table15781012[[#This Row],[Prepayments]]-Table15781012[[#This Row],[Defaulted Principal]]</f>
        <v>6688641.6699999971</v>
      </c>
      <c r="P74" s="3">
        <f>Table15781012[[#This Row],[Principal]]+Table15781012[[#This Row],[Interest]]+Table15781012[[#This Row],[Prepayments]]+Table15781012[[#This Row],[RecoveredAmount]]</f>
        <v>72112.680000000008</v>
      </c>
      <c r="Q74" s="3">
        <f ca="1">ROUND(Table15781012[[#This Row],[Cash Flow]]/((1+ActualRateToUse)^(IF(ISNUMBER(SEARCH("Actual",$C$7)),Table15781012[[#This Row],[Running Total]]/365,Table15781012[[#This Row],[Period]]/12))),2)</f>
        <v>50999.05</v>
      </c>
      <c r="R74" s="2">
        <f>IF(MONTH(Table15781012[[#This Row],[Date]])=2,28,DAY(DATE(YEAR(Table15781012[[#This Row],[Date]]),MONTH(Table15781012[[#This Row],[Date]])+1,1)-1))</f>
        <v>30</v>
      </c>
      <c r="S74" s="2">
        <f ca="1">SUM(OFFSET(Table15781012[[#Headers],[Days in month]],1,0):Table15781012[[#This Row],[Days in month]])</f>
        <v>1764</v>
      </c>
      <c r="T74" s="37">
        <f>InterestRate*AmortizationMultiplier*IF(ISNUMBER(SEARCH("Actual",$C$7)),Table15781012[[#This Row],[Days in month]]/365,1/12)</f>
        <v>5.8749999999999991E-3</v>
      </c>
    </row>
    <row r="75" spans="2:20" x14ac:dyDescent="0.2">
      <c r="B75" s="1">
        <v>47634</v>
      </c>
      <c r="C75" s="2">
        <f t="shared" si="1"/>
        <v>59</v>
      </c>
      <c r="D75" s="3">
        <f t="shared" si="0"/>
        <v>6688641.6699999971</v>
      </c>
      <c r="E75" s="3">
        <f>ROUND(Table15781012[[#This Row],[Beginning Balance]]*Table15781012[[#This Row],[Monthly Interest Rate]],2)</f>
        <v>40605.629999999997</v>
      </c>
      <c r="F75" s="3">
        <f t="shared" si="2"/>
        <v>293</v>
      </c>
      <c r="G75" s="23">
        <f>IFERROR(IF($C$13="No","N/A",IF(Table15781012[[#This Row],[Period]]=1,$C$6,PMT(InterestRate*AmortizationMultiplier/12,Table15781012[[#This Row],[Am Thru]],-Table15781012[[#This Row],[Beginning Balance]]))),0)</f>
        <v>48322.17697389923</v>
      </c>
      <c r="H75" s="3">
        <f>MAX(0,IF(C75=$C$4,D75,ROUND(IF($C$3="Fixed Principal",$C$6-Table15781012[[#This Row],[Interest]],IF($C$3="Interest Only",Table15781012[[#This Row],[Beginning Balance]]*ROUND(1-(1-IF($C$11="No",$E$8,1))^(1/12),6),MIN(IF($C$13="Yes",Table15781012[[#This Row],[Payment Amount (Reamortized)]],$C$6)-Table15781012[[#This Row],[Interest]],Table15781012[[#This Row],[Beginning Balance]]))),2)))</f>
        <v>7716.55</v>
      </c>
      <c r="I75" s="3">
        <f>_xlfn.SINGLE(IF($C$3="Line of Credit",0,ROUND(MAX(MIN(IF($C$10="No",$E$7,VLOOKUP(Table15781012[[#This Row],[Period]],Forecast!$H$2:$L$1048576,4,FALSE))*Table15781012[[#This Row],[Beginning Balance]],Table15781012[[#This Row],[Beginning Balance]]-Table15781012[[#This Row],[Principal]]),0),2)))</f>
        <v>19082.689999999999</v>
      </c>
      <c r="J75" s="3">
        <f>ROUND(MIN(Table15781012[[#This Row],[Beginning Balance]]*IF($C$8="No",$E$3,VLOOKUP(Table15781012[[#This Row],[Period]],Forecast!$H$2:$L$1048576,2,FALSE)),Table15781012[[#This Row],[Beginning Balance]]-Table15781012[[#This Row],[Principal]]-Table15781012[[#This Row],[Prepayments]]),2)</f>
        <v>4568.34</v>
      </c>
      <c r="K75" s="3">
        <f>ROUND(Table15781012[[#This Row],[Defaulted Principal]]*IF($C$9="No",$E$4,VLOOKUP(Table15781012[[#This Row],[Period]],Forecast!$H$2:$L$1048576,3,FALSE)),2)</f>
        <v>396.05</v>
      </c>
      <c r="L75" s="2">
        <f>Table15781012[[#This Row],[Period]]+$E$9</f>
        <v>71</v>
      </c>
      <c r="M75" s="3">
        <f>Table15781012[[#This Row],[Defaulted Principal]]-Table15781012[[#This Row],[Estimated Loss]]</f>
        <v>4172.29</v>
      </c>
      <c r="N75" s="3">
        <f>IFERROR(VLOOKUP(Table15781012[[#This Row],[Period]],$L$16:$M$385,2,FALSE),0)</f>
        <v>4417.4400000000005</v>
      </c>
      <c r="O75" s="3">
        <f>Table15781012[[#This Row],[Beginning Balance]]-Table15781012[[#This Row],[Principal]]-Table15781012[[#This Row],[Prepayments]]-Table15781012[[#This Row],[Defaulted Principal]]</f>
        <v>6657274.0899999971</v>
      </c>
      <c r="P75" s="3">
        <f>Table15781012[[#This Row],[Principal]]+Table15781012[[#This Row],[Interest]]+Table15781012[[#This Row],[Prepayments]]+Table15781012[[#This Row],[RecoveredAmount]]</f>
        <v>71822.31</v>
      </c>
      <c r="Q75" s="3">
        <f ca="1">ROUND(Table15781012[[#This Row],[Cash Flow]]/((1+ActualRateToUse)^(IF(ISNUMBER(SEARCH("Actual",$C$7)),Table15781012[[#This Row],[Running Total]]/365,Table15781012[[#This Row],[Period]]/12))),2)</f>
        <v>50485.41</v>
      </c>
      <c r="R75" s="2">
        <f>IF(MONTH(Table15781012[[#This Row],[Date]])=2,28,DAY(DATE(YEAR(Table15781012[[#This Row],[Date]]),MONTH(Table15781012[[#This Row],[Date]])+1,1)-1))</f>
        <v>31</v>
      </c>
      <c r="S75" s="2">
        <f ca="1">SUM(OFFSET(Table15781012[[#Headers],[Days in month]],1,0):Table15781012[[#This Row],[Days in month]])</f>
        <v>1795</v>
      </c>
      <c r="T75" s="37">
        <f>InterestRate*AmortizationMultiplier*IF(ISNUMBER(SEARCH("Actual",$C$7)),Table15781012[[#This Row],[Days in month]]/365,1/12)</f>
        <v>6.0708333333333326E-3</v>
      </c>
    </row>
    <row r="76" spans="2:20" x14ac:dyDescent="0.2">
      <c r="B76" s="1">
        <v>47664</v>
      </c>
      <c r="C76" s="2">
        <f t="shared" si="1"/>
        <v>60</v>
      </c>
      <c r="D76" s="3">
        <f t="shared" si="0"/>
        <v>6657274.0899999971</v>
      </c>
      <c r="E76" s="3">
        <f>ROUND(Table15781012[[#This Row],[Beginning Balance]]*Table15781012[[#This Row],[Monthly Interest Rate]],2)</f>
        <v>39111.49</v>
      </c>
      <c r="F76" s="3">
        <f t="shared" si="2"/>
        <v>292</v>
      </c>
      <c r="G76" s="23">
        <f>IFERROR(IF($C$13="No","N/A",IF(Table15781012[[#This Row],[Period]]=1,$C$6,PMT(InterestRate*AmortizationMultiplier/12,Table15781012[[#This Row],[Am Thru]],-Table15781012[[#This Row],[Beginning Balance]]))),0)</f>
        <v>48156.620018410707</v>
      </c>
      <c r="H76" s="3">
        <f>MAX(0,IF(C76=$C$4,D76,ROUND(IF($C$3="Fixed Principal",$C$6-Table15781012[[#This Row],[Interest]],IF($C$3="Interest Only",Table15781012[[#This Row],[Beginning Balance]]*ROUND(1-(1-IF($C$11="No",$E$8,1))^(1/12),6),MIN(IF($C$13="Yes",Table15781012[[#This Row],[Payment Amount (Reamortized)]],$C$6)-Table15781012[[#This Row],[Interest]],Table15781012[[#This Row],[Beginning Balance]]))),2)))</f>
        <v>9045.1299999999992</v>
      </c>
      <c r="I76" s="3">
        <f>_xlfn.SINGLE(IF($C$3="Line of Credit",0,ROUND(MAX(MIN(IF($C$10="No",$E$7,VLOOKUP(Table15781012[[#This Row],[Period]],Forecast!$H$2:$L$1048576,4,FALSE))*Table15781012[[#This Row],[Beginning Balance]],Table15781012[[#This Row],[Beginning Balance]]-Table15781012[[#This Row],[Principal]]),0),2)))</f>
        <v>18993.2</v>
      </c>
      <c r="J76" s="3">
        <f>ROUND(MIN(Table15781012[[#This Row],[Beginning Balance]]*IF($C$8="No",$E$3,VLOOKUP(Table15781012[[#This Row],[Period]],Forecast!$H$2:$L$1048576,2,FALSE)),Table15781012[[#This Row],[Beginning Balance]]-Table15781012[[#This Row],[Principal]]-Table15781012[[#This Row],[Prepayments]]),2)</f>
        <v>4546.92</v>
      </c>
      <c r="K76" s="3">
        <f>ROUND(Table15781012[[#This Row],[Defaulted Principal]]*IF($C$9="No",$E$4,VLOOKUP(Table15781012[[#This Row],[Period]],Forecast!$H$2:$L$1048576,3,FALSE)),2)</f>
        <v>394.19</v>
      </c>
      <c r="L76" s="2">
        <f>Table15781012[[#This Row],[Period]]+$E$9</f>
        <v>72</v>
      </c>
      <c r="M76" s="3">
        <f>Table15781012[[#This Row],[Defaulted Principal]]-Table15781012[[#This Row],[Estimated Loss]]</f>
        <v>4152.7300000000005</v>
      </c>
      <c r="N76" s="3">
        <f>IFERROR(VLOOKUP(Table15781012[[#This Row],[Period]],$L$16:$M$385,2,FALSE),0)</f>
        <v>4397.18</v>
      </c>
      <c r="O76" s="3">
        <f>Table15781012[[#This Row],[Beginning Balance]]-Table15781012[[#This Row],[Principal]]-Table15781012[[#This Row],[Prepayments]]-Table15781012[[#This Row],[Defaulted Principal]]</f>
        <v>6624688.8399999971</v>
      </c>
      <c r="P76" s="3">
        <f>Table15781012[[#This Row],[Principal]]+Table15781012[[#This Row],[Interest]]+Table15781012[[#This Row],[Prepayments]]+Table15781012[[#This Row],[RecoveredAmount]]</f>
        <v>71547</v>
      </c>
      <c r="Q76" s="3">
        <f ca="1">ROUND(Table15781012[[#This Row],[Cash Flow]]/((1+ActualRateToUse)^(IF(ISNUMBER(SEARCH("Actual",$C$7)),Table15781012[[#This Row],[Running Total]]/365,Table15781012[[#This Row],[Period]]/12))),2)</f>
        <v>49996.46</v>
      </c>
      <c r="R76" s="2">
        <f>IF(MONTH(Table15781012[[#This Row],[Date]])=2,28,DAY(DATE(YEAR(Table15781012[[#This Row],[Date]]),MONTH(Table15781012[[#This Row],[Date]])+1,1)-1))</f>
        <v>30</v>
      </c>
      <c r="S76" s="2">
        <f ca="1">SUM(OFFSET(Table15781012[[#Headers],[Days in month]],1,0):Table15781012[[#This Row],[Days in month]])</f>
        <v>1825</v>
      </c>
      <c r="T76" s="37">
        <f>InterestRate*AmortizationMultiplier*IF(ISNUMBER(SEARCH("Actual",$C$7)),Table15781012[[#This Row],[Days in month]]/365,1/12)</f>
        <v>5.8749999999999991E-3</v>
      </c>
    </row>
    <row r="77" spans="2:20" x14ac:dyDescent="0.2">
      <c r="B77" s="1">
        <v>47695</v>
      </c>
      <c r="C77" s="2">
        <f t="shared" si="1"/>
        <v>61</v>
      </c>
      <c r="D77" s="3">
        <f t="shared" si="0"/>
        <v>6624688.8399999971</v>
      </c>
      <c r="E77" s="3">
        <f>ROUND(Table15781012[[#This Row],[Beginning Balance]]*Table15781012[[#This Row],[Monthly Interest Rate]],2)</f>
        <v>40217.379999999997</v>
      </c>
      <c r="F77" s="3">
        <f t="shared" si="2"/>
        <v>291</v>
      </c>
      <c r="G77" s="23">
        <f>IFERROR(IF($C$13="No","N/A",IF(Table15781012[[#This Row],[Period]]=1,$C$6,PMT(InterestRate*AmortizationMultiplier/12,Table15781012[[#This Row],[Am Thru]],-Table15781012[[#This Row],[Beginning Balance]]))),0)</f>
        <v>47982.186039031702</v>
      </c>
      <c r="H77" s="3">
        <f>MAX(0,IF(C77=$C$4,D77,ROUND(IF($C$3="Fixed Principal",$C$6-Table15781012[[#This Row],[Interest]],IF($C$3="Interest Only",Table15781012[[#This Row],[Beginning Balance]]*ROUND(1-(1-IF($C$11="No",$E$8,1))^(1/12),6),MIN(IF($C$13="Yes",Table15781012[[#This Row],[Payment Amount (Reamortized)]],$C$6)-Table15781012[[#This Row],[Interest]],Table15781012[[#This Row],[Beginning Balance]]))),2)))</f>
        <v>7764.81</v>
      </c>
      <c r="I77" s="3">
        <f>_xlfn.SINGLE(IF($C$3="Line of Credit",0,ROUND(MAX(MIN(IF($C$10="No",$E$7,VLOOKUP(Table15781012[[#This Row],[Period]],Forecast!$H$2:$L$1048576,4,FALSE))*Table15781012[[#This Row],[Beginning Balance]],Table15781012[[#This Row],[Beginning Balance]]-Table15781012[[#This Row],[Principal]]),0),2)))</f>
        <v>18900.240000000002</v>
      </c>
      <c r="J77" s="3">
        <f>ROUND(MIN(Table15781012[[#This Row],[Beginning Balance]]*IF($C$8="No",$E$3,VLOOKUP(Table15781012[[#This Row],[Period]],Forecast!$H$2:$L$1048576,2,FALSE)),Table15781012[[#This Row],[Beginning Balance]]-Table15781012[[#This Row],[Principal]]-Table15781012[[#This Row],[Prepayments]]),2)</f>
        <v>4524.66</v>
      </c>
      <c r="K77" s="3">
        <f>ROUND(Table15781012[[#This Row],[Defaulted Principal]]*IF($C$9="No",$E$4,VLOOKUP(Table15781012[[#This Row],[Period]],Forecast!$H$2:$L$1048576,3,FALSE)),2)</f>
        <v>392.26</v>
      </c>
      <c r="L77" s="2">
        <f>Table15781012[[#This Row],[Period]]+$E$9</f>
        <v>73</v>
      </c>
      <c r="M77" s="3">
        <f>Table15781012[[#This Row],[Defaulted Principal]]-Table15781012[[#This Row],[Estimated Loss]]</f>
        <v>4132.3999999999996</v>
      </c>
      <c r="N77" s="3">
        <f>IFERROR(VLOOKUP(Table15781012[[#This Row],[Period]],$L$16:$M$385,2,FALSE),0)</f>
        <v>4376.1200000000008</v>
      </c>
      <c r="O77" s="3">
        <f>Table15781012[[#This Row],[Beginning Balance]]-Table15781012[[#This Row],[Principal]]-Table15781012[[#This Row],[Prepayments]]-Table15781012[[#This Row],[Defaulted Principal]]</f>
        <v>6593499.1299999971</v>
      </c>
      <c r="P77" s="3">
        <f>Table15781012[[#This Row],[Principal]]+Table15781012[[#This Row],[Interest]]+Table15781012[[#This Row],[Prepayments]]+Table15781012[[#This Row],[RecoveredAmount]]</f>
        <v>71258.549999999988</v>
      </c>
      <c r="Q77" s="3">
        <f ca="1">ROUND(Table15781012[[#This Row],[Cash Flow]]/((1+ActualRateToUse)^(IF(ISNUMBER(SEARCH("Actual",$C$7)),Table15781012[[#This Row],[Running Total]]/365,Table15781012[[#This Row],[Period]]/12))),2)</f>
        <v>49492.67</v>
      </c>
      <c r="R77" s="2">
        <f>IF(MONTH(Table15781012[[#This Row],[Date]])=2,28,DAY(DATE(YEAR(Table15781012[[#This Row],[Date]]),MONTH(Table15781012[[#This Row],[Date]])+1,1)-1))</f>
        <v>31</v>
      </c>
      <c r="S77" s="2">
        <f ca="1">SUM(OFFSET(Table15781012[[#Headers],[Days in month]],1,0):Table15781012[[#This Row],[Days in month]])</f>
        <v>1856</v>
      </c>
      <c r="T77" s="37">
        <f>InterestRate*AmortizationMultiplier*IF(ISNUMBER(SEARCH("Actual",$C$7)),Table15781012[[#This Row],[Days in month]]/365,1/12)</f>
        <v>6.0708333333333326E-3</v>
      </c>
    </row>
    <row r="78" spans="2:20" x14ac:dyDescent="0.2">
      <c r="B78" s="1">
        <v>47726</v>
      </c>
      <c r="C78" s="2">
        <f t="shared" si="1"/>
        <v>62</v>
      </c>
      <c r="D78" s="3">
        <f t="shared" si="0"/>
        <v>6593499.1299999971</v>
      </c>
      <c r="E78" s="3">
        <f>ROUND(Table15781012[[#This Row],[Beginning Balance]]*Table15781012[[#This Row],[Monthly Interest Rate]],2)</f>
        <v>40028.03</v>
      </c>
      <c r="F78" s="3">
        <f t="shared" si="2"/>
        <v>290</v>
      </c>
      <c r="G78" s="23">
        <f>IFERROR(IF($C$13="No","N/A",IF(Table15781012[[#This Row],[Period]]=1,$C$6,PMT(InterestRate*AmortizationMultiplier/12,Table15781012[[#This Row],[Am Thru]],-Table15781012[[#This Row],[Beginning Balance]]))),0)</f>
        <v>47817.790816002249</v>
      </c>
      <c r="H78" s="3">
        <f>MAX(0,IF(C78=$C$4,D78,ROUND(IF($C$3="Fixed Principal",$C$6-Table15781012[[#This Row],[Interest]],IF($C$3="Interest Only",Table15781012[[#This Row],[Beginning Balance]]*ROUND(1-(1-IF($C$11="No",$E$8,1))^(1/12),6),MIN(IF($C$13="Yes",Table15781012[[#This Row],[Payment Amount (Reamortized)]],$C$6)-Table15781012[[#This Row],[Interest]],Table15781012[[#This Row],[Beginning Balance]]))),2)))</f>
        <v>7789.76</v>
      </c>
      <c r="I78" s="3">
        <f>_xlfn.SINGLE(IF($C$3="Line of Credit",0,ROUND(MAX(MIN(IF($C$10="No",$E$7,VLOOKUP(Table15781012[[#This Row],[Period]],Forecast!$H$2:$L$1048576,4,FALSE))*Table15781012[[#This Row],[Beginning Balance]],Table15781012[[#This Row],[Beginning Balance]]-Table15781012[[#This Row],[Principal]]),0),2)))</f>
        <v>18811.25</v>
      </c>
      <c r="J78" s="3">
        <f>ROUND(MIN(Table15781012[[#This Row],[Beginning Balance]]*IF($C$8="No",$E$3,VLOOKUP(Table15781012[[#This Row],[Period]],Forecast!$H$2:$L$1048576,2,FALSE)),Table15781012[[#This Row],[Beginning Balance]]-Table15781012[[#This Row],[Principal]]-Table15781012[[#This Row],[Prepayments]]),2)</f>
        <v>4503.3599999999997</v>
      </c>
      <c r="K78" s="3">
        <f>ROUND(Table15781012[[#This Row],[Defaulted Principal]]*IF($C$9="No",$E$4,VLOOKUP(Table15781012[[#This Row],[Period]],Forecast!$H$2:$L$1048576,3,FALSE)),2)</f>
        <v>390.41</v>
      </c>
      <c r="L78" s="2">
        <f>Table15781012[[#This Row],[Period]]+$E$9</f>
        <v>74</v>
      </c>
      <c r="M78" s="3">
        <f>Table15781012[[#This Row],[Defaulted Principal]]-Table15781012[[#This Row],[Estimated Loss]]</f>
        <v>4112.95</v>
      </c>
      <c r="N78" s="3">
        <f>IFERROR(VLOOKUP(Table15781012[[#This Row],[Period]],$L$16:$M$385,2,FALSE),0)</f>
        <v>4355.99</v>
      </c>
      <c r="O78" s="3">
        <f>Table15781012[[#This Row],[Beginning Balance]]-Table15781012[[#This Row],[Principal]]-Table15781012[[#This Row],[Prepayments]]-Table15781012[[#This Row],[Defaulted Principal]]</f>
        <v>6562394.759999997</v>
      </c>
      <c r="P78" s="3">
        <f>Table15781012[[#This Row],[Principal]]+Table15781012[[#This Row],[Interest]]+Table15781012[[#This Row],[Prepayments]]+Table15781012[[#This Row],[RecoveredAmount]]</f>
        <v>70985.030000000013</v>
      </c>
      <c r="Q78" s="3">
        <f ca="1">ROUND(Table15781012[[#This Row],[Cash Flow]]/((1+ActualRateToUse)^(IF(ISNUMBER(SEARCH("Actual",$C$7)),Table15781012[[#This Row],[Running Total]]/365,Table15781012[[#This Row],[Period]]/12))),2)</f>
        <v>49003.46</v>
      </c>
      <c r="R78" s="2">
        <f>IF(MONTH(Table15781012[[#This Row],[Date]])=2,28,DAY(DATE(YEAR(Table15781012[[#This Row],[Date]]),MONTH(Table15781012[[#This Row],[Date]])+1,1)-1))</f>
        <v>31</v>
      </c>
      <c r="S78" s="2">
        <f ca="1">SUM(OFFSET(Table15781012[[#Headers],[Days in month]],1,0):Table15781012[[#This Row],[Days in month]])</f>
        <v>1887</v>
      </c>
      <c r="T78" s="37">
        <f>InterestRate*AmortizationMultiplier*IF(ISNUMBER(SEARCH("Actual",$C$7)),Table15781012[[#This Row],[Days in month]]/365,1/12)</f>
        <v>6.0708333333333326E-3</v>
      </c>
    </row>
    <row r="79" spans="2:20" x14ac:dyDescent="0.2">
      <c r="B79" s="1">
        <v>47756</v>
      </c>
      <c r="C79" s="2">
        <f t="shared" si="1"/>
        <v>63</v>
      </c>
      <c r="D79" s="3">
        <f t="shared" si="0"/>
        <v>6562394.759999997</v>
      </c>
      <c r="E79" s="3">
        <f>ROUND(Table15781012[[#This Row],[Beginning Balance]]*Table15781012[[#This Row],[Monthly Interest Rate]],2)</f>
        <v>38554.07</v>
      </c>
      <c r="F79" s="3">
        <f t="shared" si="2"/>
        <v>289</v>
      </c>
      <c r="G79" s="23">
        <f>IFERROR(IF($C$13="No","N/A",IF(Table15781012[[#This Row],[Period]]=1,$C$6,PMT(InterestRate*AmortizationMultiplier/12,Table15781012[[#This Row],[Am Thru]],-Table15781012[[#This Row],[Beginning Balance]]))),0)</f>
        <v>47653.957348622993</v>
      </c>
      <c r="H79" s="3">
        <f>MAX(0,IF(C79=$C$4,D79,ROUND(IF($C$3="Fixed Principal",$C$6-Table15781012[[#This Row],[Interest]],IF($C$3="Interest Only",Table15781012[[#This Row],[Beginning Balance]]*ROUND(1-(1-IF($C$11="No",$E$8,1))^(1/12),6),MIN(IF($C$13="Yes",Table15781012[[#This Row],[Payment Amount (Reamortized)]],$C$6)-Table15781012[[#This Row],[Interest]],Table15781012[[#This Row],[Beginning Balance]]))),2)))</f>
        <v>9099.89</v>
      </c>
      <c r="I79" s="3">
        <f>_xlfn.SINGLE(IF($C$3="Line of Credit",0,ROUND(MAX(MIN(IF($C$10="No",$E$7,VLOOKUP(Table15781012[[#This Row],[Period]],Forecast!$H$2:$L$1048576,4,FALSE))*Table15781012[[#This Row],[Beginning Balance]],Table15781012[[#This Row],[Beginning Balance]]-Table15781012[[#This Row],[Principal]]),0),2)))</f>
        <v>18722.509999999998</v>
      </c>
      <c r="J79" s="3">
        <f>ROUND(MIN(Table15781012[[#This Row],[Beginning Balance]]*IF($C$8="No",$E$3,VLOOKUP(Table15781012[[#This Row],[Period]],Forecast!$H$2:$L$1048576,2,FALSE)),Table15781012[[#This Row],[Beginning Balance]]-Table15781012[[#This Row],[Principal]]-Table15781012[[#This Row],[Prepayments]]),2)</f>
        <v>4482.12</v>
      </c>
      <c r="K79" s="3">
        <f>ROUND(Table15781012[[#This Row],[Defaulted Principal]]*IF($C$9="No",$E$4,VLOOKUP(Table15781012[[#This Row],[Period]],Forecast!$H$2:$L$1048576,3,FALSE)),2)</f>
        <v>388.57</v>
      </c>
      <c r="L79" s="2">
        <f>Table15781012[[#This Row],[Period]]+$E$9</f>
        <v>75</v>
      </c>
      <c r="M79" s="3">
        <f>Table15781012[[#This Row],[Defaulted Principal]]-Table15781012[[#This Row],[Estimated Loss]]</f>
        <v>4093.5499999999997</v>
      </c>
      <c r="N79" s="3">
        <f>IFERROR(VLOOKUP(Table15781012[[#This Row],[Period]],$L$16:$M$385,2,FALSE),0)</f>
        <v>4335.8999999999996</v>
      </c>
      <c r="O79" s="3">
        <f>Table15781012[[#This Row],[Beginning Balance]]-Table15781012[[#This Row],[Principal]]-Table15781012[[#This Row],[Prepayments]]-Table15781012[[#This Row],[Defaulted Principal]]</f>
        <v>6530090.2399999974</v>
      </c>
      <c r="P79" s="3">
        <f>Table15781012[[#This Row],[Principal]]+Table15781012[[#This Row],[Interest]]+Table15781012[[#This Row],[Prepayments]]+Table15781012[[#This Row],[RecoveredAmount]]</f>
        <v>70712.37</v>
      </c>
      <c r="Q79" s="3">
        <f ca="1">ROUND(Table15781012[[#This Row],[Cash Flow]]/((1+ActualRateToUse)^(IF(ISNUMBER(SEARCH("Actual",$C$7)),Table15781012[[#This Row],[Running Total]]/365,Table15781012[[#This Row],[Period]]/12))),2)</f>
        <v>48528.480000000003</v>
      </c>
      <c r="R79" s="2">
        <f>IF(MONTH(Table15781012[[#This Row],[Date]])=2,28,DAY(DATE(YEAR(Table15781012[[#This Row],[Date]]),MONTH(Table15781012[[#This Row],[Date]])+1,1)-1))</f>
        <v>30</v>
      </c>
      <c r="S79" s="2">
        <f ca="1">SUM(OFFSET(Table15781012[[#Headers],[Days in month]],1,0):Table15781012[[#This Row],[Days in month]])</f>
        <v>1917</v>
      </c>
      <c r="T79" s="37">
        <f>InterestRate*AmortizationMultiplier*IF(ISNUMBER(SEARCH("Actual",$C$7)),Table15781012[[#This Row],[Days in month]]/365,1/12)</f>
        <v>5.8749999999999991E-3</v>
      </c>
    </row>
    <row r="80" spans="2:20" x14ac:dyDescent="0.2">
      <c r="B80" s="1">
        <v>47787</v>
      </c>
      <c r="C80" s="2">
        <f t="shared" si="1"/>
        <v>64</v>
      </c>
      <c r="D80" s="3">
        <f t="shared" si="0"/>
        <v>6530090.2399999974</v>
      </c>
      <c r="E80" s="3">
        <f>ROUND(Table15781012[[#This Row],[Beginning Balance]]*Table15781012[[#This Row],[Monthly Interest Rate]],2)</f>
        <v>39643.089999999997</v>
      </c>
      <c r="F80" s="3">
        <f t="shared" si="2"/>
        <v>288</v>
      </c>
      <c r="G80" s="23">
        <f>IFERROR(IF($C$13="No","N/A",IF(Table15781012[[#This Row],[Period]]=1,$C$6,PMT(InterestRate*AmortizationMultiplier/12,Table15781012[[#This Row],[Am Thru]],-Table15781012[[#This Row],[Beginning Balance]]))),0)</f>
        <v>47481.33921633412</v>
      </c>
      <c r="H80" s="3">
        <f>MAX(0,IF(C80=$C$4,D80,ROUND(IF($C$3="Fixed Principal",$C$6-Table15781012[[#This Row],[Interest]],IF($C$3="Interest Only",Table15781012[[#This Row],[Beginning Balance]]*ROUND(1-(1-IF($C$11="No",$E$8,1))^(1/12),6),MIN(IF($C$13="Yes",Table15781012[[#This Row],[Payment Amount (Reamortized)]],$C$6)-Table15781012[[#This Row],[Interest]],Table15781012[[#This Row],[Beginning Balance]]))),2)))</f>
        <v>7838.25</v>
      </c>
      <c r="I80" s="3">
        <f>_xlfn.SINGLE(IF($C$3="Line of Credit",0,ROUND(MAX(MIN(IF($C$10="No",$E$7,VLOOKUP(Table15781012[[#This Row],[Period]],Forecast!$H$2:$L$1048576,4,FALSE))*Table15781012[[#This Row],[Beginning Balance]],Table15781012[[#This Row],[Beginning Balance]]-Table15781012[[#This Row],[Principal]]),0),2)))</f>
        <v>18630.349999999999</v>
      </c>
      <c r="J80" s="3">
        <f>ROUND(MIN(Table15781012[[#This Row],[Beginning Balance]]*IF($C$8="No",$E$3,VLOOKUP(Table15781012[[#This Row],[Period]],Forecast!$H$2:$L$1048576,2,FALSE)),Table15781012[[#This Row],[Beginning Balance]]-Table15781012[[#This Row],[Principal]]-Table15781012[[#This Row],[Prepayments]]),2)</f>
        <v>4460.05</v>
      </c>
      <c r="K80" s="3">
        <f>ROUND(Table15781012[[#This Row],[Defaulted Principal]]*IF($C$9="No",$E$4,VLOOKUP(Table15781012[[#This Row],[Period]],Forecast!$H$2:$L$1048576,3,FALSE)),2)</f>
        <v>386.66</v>
      </c>
      <c r="L80" s="2">
        <f>Table15781012[[#This Row],[Period]]+$E$9</f>
        <v>76</v>
      </c>
      <c r="M80" s="3">
        <f>Table15781012[[#This Row],[Defaulted Principal]]-Table15781012[[#This Row],[Estimated Loss]]</f>
        <v>4073.3900000000003</v>
      </c>
      <c r="N80" s="3">
        <f>IFERROR(VLOOKUP(Table15781012[[#This Row],[Period]],$L$16:$M$385,2,FALSE),0)</f>
        <v>4315.0199999999995</v>
      </c>
      <c r="O80" s="3">
        <f>Table15781012[[#This Row],[Beginning Balance]]-Table15781012[[#This Row],[Principal]]-Table15781012[[#This Row],[Prepayments]]-Table15781012[[#This Row],[Defaulted Principal]]</f>
        <v>6499161.589999998</v>
      </c>
      <c r="P80" s="3">
        <f>Table15781012[[#This Row],[Principal]]+Table15781012[[#This Row],[Interest]]+Table15781012[[#This Row],[Prepayments]]+Table15781012[[#This Row],[RecoveredAmount]]</f>
        <v>70426.710000000006</v>
      </c>
      <c r="Q80" s="3">
        <f ca="1">ROUND(Table15781012[[#This Row],[Cash Flow]]/((1+ActualRateToUse)^(IF(ISNUMBER(SEARCH("Actual",$C$7)),Table15781012[[#This Row],[Running Total]]/365,Table15781012[[#This Row],[Period]]/12))),2)</f>
        <v>48039.09</v>
      </c>
      <c r="R80" s="2">
        <f>IF(MONTH(Table15781012[[#This Row],[Date]])=2,28,DAY(DATE(YEAR(Table15781012[[#This Row],[Date]]),MONTH(Table15781012[[#This Row],[Date]])+1,1)-1))</f>
        <v>31</v>
      </c>
      <c r="S80" s="2">
        <f ca="1">SUM(OFFSET(Table15781012[[#Headers],[Days in month]],1,0):Table15781012[[#This Row],[Days in month]])</f>
        <v>1948</v>
      </c>
      <c r="T80" s="37">
        <f>InterestRate*AmortizationMultiplier*IF(ISNUMBER(SEARCH("Actual",$C$7)),Table15781012[[#This Row],[Days in month]]/365,1/12)</f>
        <v>6.0708333333333326E-3</v>
      </c>
    </row>
    <row r="81" spans="2:20" x14ac:dyDescent="0.2">
      <c r="B81" s="1">
        <v>47817</v>
      </c>
      <c r="C81" s="2">
        <f t="shared" si="1"/>
        <v>65</v>
      </c>
      <c r="D81" s="3">
        <f t="shared" si="0"/>
        <v>6499161.589999998</v>
      </c>
      <c r="E81" s="3">
        <f>ROUND(Table15781012[[#This Row],[Beginning Balance]]*Table15781012[[#This Row],[Monthly Interest Rate]],2)</f>
        <v>38182.57</v>
      </c>
      <c r="F81" s="3">
        <f t="shared" si="2"/>
        <v>287</v>
      </c>
      <c r="G81" s="23">
        <f>IFERROR(IF($C$13="No","N/A",IF(Table15781012[[#This Row],[Period]]=1,$C$6,PMT(InterestRate*AmortizationMultiplier/12,Table15781012[[#This Row],[Am Thru]],-Table15781012[[#This Row],[Beginning Balance]]))),0)</f>
        <v>47318.655417455549</v>
      </c>
      <c r="H81" s="3">
        <f>MAX(0,IF(C81=$C$4,D81,ROUND(IF($C$3="Fixed Principal",$C$6-Table15781012[[#This Row],[Interest]],IF($C$3="Interest Only",Table15781012[[#This Row],[Beginning Balance]]*ROUND(1-(1-IF($C$11="No",$E$8,1))^(1/12),6),MIN(IF($C$13="Yes",Table15781012[[#This Row],[Payment Amount (Reamortized)]],$C$6)-Table15781012[[#This Row],[Interest]],Table15781012[[#This Row],[Beginning Balance]]))),2)))</f>
        <v>9136.09</v>
      </c>
      <c r="I81" s="3">
        <f>_xlfn.SINGLE(IF($C$3="Line of Credit",0,ROUND(MAX(MIN(IF($C$10="No",$E$7,VLOOKUP(Table15781012[[#This Row],[Period]],Forecast!$H$2:$L$1048576,4,FALSE))*Table15781012[[#This Row],[Beginning Balance]],Table15781012[[#This Row],[Beginning Balance]]-Table15781012[[#This Row],[Principal]]),0),2)))</f>
        <v>18542.11</v>
      </c>
      <c r="J81" s="3">
        <f>ROUND(MIN(Table15781012[[#This Row],[Beginning Balance]]*IF($C$8="No",$E$3,VLOOKUP(Table15781012[[#This Row],[Period]],Forecast!$H$2:$L$1048576,2,FALSE)),Table15781012[[#This Row],[Beginning Balance]]-Table15781012[[#This Row],[Principal]]-Table15781012[[#This Row],[Prepayments]]),2)</f>
        <v>4438.93</v>
      </c>
      <c r="K81" s="3">
        <f>ROUND(Table15781012[[#This Row],[Defaulted Principal]]*IF($C$9="No",$E$4,VLOOKUP(Table15781012[[#This Row],[Period]],Forecast!$H$2:$L$1048576,3,FALSE)),2)</f>
        <v>384.83</v>
      </c>
      <c r="L81" s="2">
        <f>Table15781012[[#This Row],[Period]]+$E$9</f>
        <v>77</v>
      </c>
      <c r="M81" s="3">
        <f>Table15781012[[#This Row],[Defaulted Principal]]-Table15781012[[#This Row],[Estimated Loss]]</f>
        <v>4054.1000000000004</v>
      </c>
      <c r="N81" s="3">
        <f>IFERROR(VLOOKUP(Table15781012[[#This Row],[Period]],$L$16:$M$385,2,FALSE),0)</f>
        <v>4295.0600000000004</v>
      </c>
      <c r="O81" s="3">
        <f>Table15781012[[#This Row],[Beginning Balance]]-Table15781012[[#This Row],[Principal]]-Table15781012[[#This Row],[Prepayments]]-Table15781012[[#This Row],[Defaulted Principal]]</f>
        <v>6467044.4599999981</v>
      </c>
      <c r="P81" s="3">
        <f>Table15781012[[#This Row],[Principal]]+Table15781012[[#This Row],[Interest]]+Table15781012[[#This Row],[Prepayments]]+Table15781012[[#This Row],[RecoveredAmount]]</f>
        <v>70155.83</v>
      </c>
      <c r="Q81" s="3">
        <f ca="1">ROUND(Table15781012[[#This Row],[Cash Flow]]/((1+ActualRateToUse)^(IF(ISNUMBER(SEARCH("Actual",$C$7)),Table15781012[[#This Row],[Running Total]]/365,Table15781012[[#This Row],[Period]]/12))),2)</f>
        <v>47573.21</v>
      </c>
      <c r="R81" s="2">
        <f>IF(MONTH(Table15781012[[#This Row],[Date]])=2,28,DAY(DATE(YEAR(Table15781012[[#This Row],[Date]]),MONTH(Table15781012[[#This Row],[Date]])+1,1)-1))</f>
        <v>30</v>
      </c>
      <c r="S81" s="2">
        <f ca="1">SUM(OFFSET(Table15781012[[#Headers],[Days in month]],1,0):Table15781012[[#This Row],[Days in month]])</f>
        <v>1978</v>
      </c>
      <c r="T81" s="37">
        <f>InterestRate*AmortizationMultiplier*IF(ISNUMBER(SEARCH("Actual",$C$7)),Table15781012[[#This Row],[Days in month]]/365,1/12)</f>
        <v>5.8749999999999991E-3</v>
      </c>
    </row>
    <row r="82" spans="2:20" x14ac:dyDescent="0.2">
      <c r="B82" s="1">
        <v>47848</v>
      </c>
      <c r="C82" s="2">
        <f t="shared" si="1"/>
        <v>66</v>
      </c>
      <c r="D82" s="3">
        <f t="shared" ref="D82:D145" si="3">O81</f>
        <v>6467044.4599999981</v>
      </c>
      <c r="E82" s="3">
        <f>ROUND(Table15781012[[#This Row],[Beginning Balance]]*Table15781012[[#This Row],[Monthly Interest Rate]],2)</f>
        <v>39260.35</v>
      </c>
      <c r="F82" s="3">
        <f t="shared" si="2"/>
        <v>286</v>
      </c>
      <c r="G82" s="23">
        <f>IFERROR(IF($C$13="No","N/A",IF(Table15781012[[#This Row],[Period]]=1,$C$6,PMT(InterestRate*AmortizationMultiplier/12,Table15781012[[#This Row],[Am Thru]],-Table15781012[[#This Row],[Beginning Balance]]))),0)</f>
        <v>47147.248516583379</v>
      </c>
      <c r="H82" s="3">
        <f>MAX(0,IF(C82=$C$4,D82,ROUND(IF($C$3="Fixed Principal",$C$6-Table15781012[[#This Row],[Interest]],IF($C$3="Interest Only",Table15781012[[#This Row],[Beginning Balance]]*ROUND(1-(1-IF($C$11="No",$E$8,1))^(1/12),6),MIN(IF($C$13="Yes",Table15781012[[#This Row],[Payment Amount (Reamortized)]],$C$6)-Table15781012[[#This Row],[Interest]],Table15781012[[#This Row],[Beginning Balance]]))),2)))</f>
        <v>7886.9</v>
      </c>
      <c r="I82" s="3">
        <f>_xlfn.SINGLE(IF($C$3="Line of Credit",0,ROUND(MAX(MIN(IF($C$10="No",$E$7,VLOOKUP(Table15781012[[#This Row],[Period]],Forecast!$H$2:$L$1048576,4,FALSE))*Table15781012[[#This Row],[Beginning Balance]],Table15781012[[#This Row],[Beginning Balance]]-Table15781012[[#This Row],[Principal]]),0),2)))</f>
        <v>18450.48</v>
      </c>
      <c r="J82" s="3">
        <f>ROUND(MIN(Table15781012[[#This Row],[Beginning Balance]]*IF($C$8="No",$E$3,VLOOKUP(Table15781012[[#This Row],[Period]],Forecast!$H$2:$L$1048576,2,FALSE)),Table15781012[[#This Row],[Beginning Balance]]-Table15781012[[#This Row],[Principal]]-Table15781012[[#This Row],[Prepayments]]),2)</f>
        <v>4416.99</v>
      </c>
      <c r="K82" s="3">
        <f>ROUND(Table15781012[[#This Row],[Defaulted Principal]]*IF($C$9="No",$E$4,VLOOKUP(Table15781012[[#This Row],[Period]],Forecast!$H$2:$L$1048576,3,FALSE)),2)</f>
        <v>382.93</v>
      </c>
      <c r="L82" s="2">
        <f>Table15781012[[#This Row],[Period]]+$E$9</f>
        <v>78</v>
      </c>
      <c r="M82" s="3">
        <f>Table15781012[[#This Row],[Defaulted Principal]]-Table15781012[[#This Row],[Estimated Loss]]</f>
        <v>4034.06</v>
      </c>
      <c r="N82" s="3">
        <f>IFERROR(VLOOKUP(Table15781012[[#This Row],[Period]],$L$16:$M$385,2,FALSE),0)</f>
        <v>4274.3099999999995</v>
      </c>
      <c r="O82" s="3">
        <f>Table15781012[[#This Row],[Beginning Balance]]-Table15781012[[#This Row],[Principal]]-Table15781012[[#This Row],[Prepayments]]-Table15781012[[#This Row],[Defaulted Principal]]</f>
        <v>6436290.0899999971</v>
      </c>
      <c r="P82" s="3">
        <f>Table15781012[[#This Row],[Principal]]+Table15781012[[#This Row],[Interest]]+Table15781012[[#This Row],[Prepayments]]+Table15781012[[#This Row],[RecoveredAmount]]</f>
        <v>69872.039999999994</v>
      </c>
      <c r="Q82" s="3">
        <f ca="1">ROUND(Table15781012[[#This Row],[Cash Flow]]/((1+ActualRateToUse)^(IF(ISNUMBER(SEARCH("Actual",$C$7)),Table15781012[[#This Row],[Running Total]]/365,Table15781012[[#This Row],[Period]]/12))),2)</f>
        <v>47093.19</v>
      </c>
      <c r="R82" s="2">
        <f>IF(MONTH(Table15781012[[#This Row],[Date]])=2,28,DAY(DATE(YEAR(Table15781012[[#This Row],[Date]]),MONTH(Table15781012[[#This Row],[Date]])+1,1)-1))</f>
        <v>31</v>
      </c>
      <c r="S82" s="2">
        <f ca="1">SUM(OFFSET(Table15781012[[#Headers],[Days in month]],1,0):Table15781012[[#This Row],[Days in month]])</f>
        <v>2009</v>
      </c>
      <c r="T82" s="37">
        <f>InterestRate*AmortizationMultiplier*IF(ISNUMBER(SEARCH("Actual",$C$7)),Table15781012[[#This Row],[Days in month]]/365,1/12)</f>
        <v>6.0708333333333326E-3</v>
      </c>
    </row>
    <row r="83" spans="2:20" x14ac:dyDescent="0.2">
      <c r="B83" s="1">
        <v>47879</v>
      </c>
      <c r="C83" s="2">
        <f t="shared" ref="C83:C146" si="4">C82+1</f>
        <v>67</v>
      </c>
      <c r="D83" s="3">
        <f t="shared" si="3"/>
        <v>6436290.0899999971</v>
      </c>
      <c r="E83" s="3">
        <f>ROUND(Table15781012[[#This Row],[Beginning Balance]]*Table15781012[[#This Row],[Monthly Interest Rate]],2)</f>
        <v>39073.64</v>
      </c>
      <c r="F83" s="3">
        <f t="shared" ref="F83:F146" si="5">+F82-1</f>
        <v>285</v>
      </c>
      <c r="G83" s="23">
        <f>IFERROR(IF($C$13="No","N/A",IF(Table15781012[[#This Row],[Period]]=1,$C$6,PMT(InterestRate*AmortizationMultiplier/12,Table15781012[[#This Row],[Am Thru]],-Table15781012[[#This Row],[Beginning Balance]]))),0)</f>
        <v>46985.70629115522</v>
      </c>
      <c r="H83" s="3">
        <f>MAX(0,IF(C83=$C$4,D83,ROUND(IF($C$3="Fixed Principal",$C$6-Table15781012[[#This Row],[Interest]],IF($C$3="Interest Only",Table15781012[[#This Row],[Beginning Balance]]*ROUND(1-(1-IF($C$11="No",$E$8,1))^(1/12),6),MIN(IF($C$13="Yes",Table15781012[[#This Row],[Payment Amount (Reamortized)]],$C$6)-Table15781012[[#This Row],[Interest]],Table15781012[[#This Row],[Beginning Balance]]))),2)))</f>
        <v>7912.07</v>
      </c>
      <c r="I83" s="3">
        <f>_xlfn.SINGLE(IF($C$3="Line of Credit",0,ROUND(MAX(MIN(IF($C$10="No",$E$7,VLOOKUP(Table15781012[[#This Row],[Period]],Forecast!$H$2:$L$1048576,4,FALSE))*Table15781012[[#This Row],[Beginning Balance]],Table15781012[[#This Row],[Beginning Balance]]-Table15781012[[#This Row],[Principal]]),0),2)))</f>
        <v>18362.740000000002</v>
      </c>
      <c r="J83" s="3">
        <f>ROUND(MIN(Table15781012[[#This Row],[Beginning Balance]]*IF($C$8="No",$E$3,VLOOKUP(Table15781012[[#This Row],[Period]],Forecast!$H$2:$L$1048576,2,FALSE)),Table15781012[[#This Row],[Beginning Balance]]-Table15781012[[#This Row],[Principal]]-Table15781012[[#This Row],[Prepayments]]),2)</f>
        <v>4395.99</v>
      </c>
      <c r="K83" s="3">
        <f>ROUND(Table15781012[[#This Row],[Defaulted Principal]]*IF($C$9="No",$E$4,VLOOKUP(Table15781012[[#This Row],[Period]],Forecast!$H$2:$L$1048576,3,FALSE)),2)</f>
        <v>381.11</v>
      </c>
      <c r="L83" s="2">
        <f>Table15781012[[#This Row],[Period]]+$E$9</f>
        <v>79</v>
      </c>
      <c r="M83" s="3">
        <f>Table15781012[[#This Row],[Defaulted Principal]]-Table15781012[[#This Row],[Estimated Loss]]</f>
        <v>4014.8799999999997</v>
      </c>
      <c r="N83" s="3">
        <f>IFERROR(VLOOKUP(Table15781012[[#This Row],[Period]],$L$16:$M$385,2,FALSE),0)</f>
        <v>4254.45</v>
      </c>
      <c r="O83" s="3">
        <f>Table15781012[[#This Row],[Beginning Balance]]-Table15781012[[#This Row],[Principal]]-Table15781012[[#This Row],[Prepayments]]-Table15781012[[#This Row],[Defaulted Principal]]</f>
        <v>6405619.2899999963</v>
      </c>
      <c r="P83" s="3">
        <f>Table15781012[[#This Row],[Principal]]+Table15781012[[#This Row],[Interest]]+Table15781012[[#This Row],[Prepayments]]+Table15781012[[#This Row],[RecoveredAmount]]</f>
        <v>69602.899999999994</v>
      </c>
      <c r="Q83" s="3">
        <f ca="1">ROUND(Table15781012[[#This Row],[Cash Flow]]/((1+ActualRateToUse)^(IF(ISNUMBER(SEARCH("Actual",$C$7)),Table15781012[[#This Row],[Running Total]]/365,Table15781012[[#This Row],[Period]]/12))),2)</f>
        <v>46627.07</v>
      </c>
      <c r="R83" s="2">
        <f>IF(MONTH(Table15781012[[#This Row],[Date]])=2,28,DAY(DATE(YEAR(Table15781012[[#This Row],[Date]]),MONTH(Table15781012[[#This Row],[Date]])+1,1)-1))</f>
        <v>31</v>
      </c>
      <c r="S83" s="2">
        <f ca="1">SUM(OFFSET(Table15781012[[#Headers],[Days in month]],1,0):Table15781012[[#This Row],[Days in month]])</f>
        <v>2040</v>
      </c>
      <c r="T83" s="37">
        <f>InterestRate*AmortizationMultiplier*IF(ISNUMBER(SEARCH("Actual",$C$7)),Table15781012[[#This Row],[Days in month]]/365,1/12)</f>
        <v>6.0708333333333326E-3</v>
      </c>
    </row>
    <row r="84" spans="2:20" x14ac:dyDescent="0.2">
      <c r="B84" s="1">
        <v>47907</v>
      </c>
      <c r="C84" s="2">
        <f t="shared" si="4"/>
        <v>68</v>
      </c>
      <c r="D84" s="3">
        <f t="shared" si="3"/>
        <v>6405619.2899999963</v>
      </c>
      <c r="E84" s="3">
        <f>ROUND(Table15781012[[#This Row],[Beginning Balance]]*Table15781012[[#This Row],[Monthly Interest Rate]],2)</f>
        <v>35124.15</v>
      </c>
      <c r="F84" s="3">
        <f t="shared" si="5"/>
        <v>284</v>
      </c>
      <c r="G84" s="23">
        <f>IFERROR(IF($C$13="No","N/A",IF(Table15781012[[#This Row],[Period]]=1,$C$6,PMT(InterestRate*AmortizationMultiplier/12,Table15781012[[#This Row],[Am Thru]],-Table15781012[[#This Row],[Beginning Balance]]))),0)</f>
        <v>46824.715883870354</v>
      </c>
      <c r="H84" s="3">
        <f>MAX(0,IF(C84=$C$4,D84,ROUND(IF($C$3="Fixed Principal",$C$6-Table15781012[[#This Row],[Interest]],IF($C$3="Interest Only",Table15781012[[#This Row],[Beginning Balance]]*ROUND(1-(1-IF($C$11="No",$E$8,1))^(1/12),6),MIN(IF($C$13="Yes",Table15781012[[#This Row],[Payment Amount (Reamortized)]],$C$6)-Table15781012[[#This Row],[Interest]],Table15781012[[#This Row],[Beginning Balance]]))),2)))</f>
        <v>11700.57</v>
      </c>
      <c r="I84" s="3">
        <f>_xlfn.SINGLE(IF($C$3="Line of Credit",0,ROUND(MAX(MIN(IF($C$10="No",$E$7,VLOOKUP(Table15781012[[#This Row],[Period]],Forecast!$H$2:$L$1048576,4,FALSE))*Table15781012[[#This Row],[Beginning Balance]],Table15781012[[#This Row],[Beginning Balance]]-Table15781012[[#This Row],[Principal]]),0),2)))</f>
        <v>18275.23</v>
      </c>
      <c r="J84" s="3">
        <f>ROUND(MIN(Table15781012[[#This Row],[Beginning Balance]]*IF($C$8="No",$E$3,VLOOKUP(Table15781012[[#This Row],[Period]],Forecast!$H$2:$L$1048576,2,FALSE)),Table15781012[[#This Row],[Beginning Balance]]-Table15781012[[#This Row],[Principal]]-Table15781012[[#This Row],[Prepayments]]),2)</f>
        <v>4375.04</v>
      </c>
      <c r="K84" s="3">
        <f>ROUND(Table15781012[[#This Row],[Defaulted Principal]]*IF($C$9="No",$E$4,VLOOKUP(Table15781012[[#This Row],[Period]],Forecast!$H$2:$L$1048576,3,FALSE)),2)</f>
        <v>379.29</v>
      </c>
      <c r="L84" s="2">
        <f>Table15781012[[#This Row],[Period]]+$E$9</f>
        <v>80</v>
      </c>
      <c r="M84" s="3">
        <f>Table15781012[[#This Row],[Defaulted Principal]]-Table15781012[[#This Row],[Estimated Loss]]</f>
        <v>3995.75</v>
      </c>
      <c r="N84" s="3">
        <f>IFERROR(VLOOKUP(Table15781012[[#This Row],[Period]],$L$16:$M$385,2,FALSE),0)</f>
        <v>4234.6499999999996</v>
      </c>
      <c r="O84" s="3">
        <f>Table15781012[[#This Row],[Beginning Balance]]-Table15781012[[#This Row],[Principal]]-Table15781012[[#This Row],[Prepayments]]-Table15781012[[#This Row],[Defaulted Principal]]</f>
        <v>6371268.4499999955</v>
      </c>
      <c r="P84" s="3">
        <f>Table15781012[[#This Row],[Principal]]+Table15781012[[#This Row],[Interest]]+Table15781012[[#This Row],[Prepayments]]+Table15781012[[#This Row],[RecoveredAmount]]</f>
        <v>69334.599999999991</v>
      </c>
      <c r="Q84" s="3">
        <f ca="1">ROUND(Table15781012[[#This Row],[Cash Flow]]/((1+ActualRateToUse)^(IF(ISNUMBER(SEARCH("Actual",$C$7)),Table15781012[[#This Row],[Running Total]]/365,Table15781012[[#This Row],[Period]]/12))),2)</f>
        <v>46192.63</v>
      </c>
      <c r="R84" s="2">
        <f>IF(MONTH(Table15781012[[#This Row],[Date]])=2,28,DAY(DATE(YEAR(Table15781012[[#This Row],[Date]]),MONTH(Table15781012[[#This Row],[Date]])+1,1)-1))</f>
        <v>28</v>
      </c>
      <c r="S84" s="2">
        <f ca="1">SUM(OFFSET(Table15781012[[#Headers],[Days in month]],1,0):Table15781012[[#This Row],[Days in month]])</f>
        <v>2068</v>
      </c>
      <c r="T84" s="37">
        <f>InterestRate*AmortizationMultiplier*IF(ISNUMBER(SEARCH("Actual",$C$7)),Table15781012[[#This Row],[Days in month]]/365,1/12)</f>
        <v>5.4833333333333331E-3</v>
      </c>
    </row>
    <row r="85" spans="2:20" x14ac:dyDescent="0.2">
      <c r="B85" s="1">
        <v>47938</v>
      </c>
      <c r="C85" s="2">
        <f t="shared" si="4"/>
        <v>69</v>
      </c>
      <c r="D85" s="3">
        <f t="shared" si="3"/>
        <v>6371268.4499999955</v>
      </c>
      <c r="E85" s="3">
        <f>ROUND(Table15781012[[#This Row],[Beginning Balance]]*Table15781012[[#This Row],[Monthly Interest Rate]],2)</f>
        <v>38678.910000000003</v>
      </c>
      <c r="F85" s="3">
        <f t="shared" si="5"/>
        <v>283</v>
      </c>
      <c r="G85" s="23">
        <f>IFERROR(IF($C$13="No","N/A",IF(Table15781012[[#This Row],[Period]]=1,$C$6,PMT(InterestRate*AmortizationMultiplier/12,Table15781012[[#This Row],[Am Thru]],-Table15781012[[#This Row],[Beginning Balance]]))),0)</f>
        <v>46636.728829179527</v>
      </c>
      <c r="H85" s="3">
        <f>MAX(0,IF(C85=$C$4,D85,ROUND(IF($C$3="Fixed Principal",$C$6-Table15781012[[#This Row],[Interest]],IF($C$3="Interest Only",Table15781012[[#This Row],[Beginning Balance]]*ROUND(1-(1-IF($C$11="No",$E$8,1))^(1/12),6),MIN(IF($C$13="Yes",Table15781012[[#This Row],[Payment Amount (Reamortized)]],$C$6)-Table15781012[[#This Row],[Interest]],Table15781012[[#This Row],[Beginning Balance]]))),2)))</f>
        <v>7957.82</v>
      </c>
      <c r="I85" s="3">
        <f>_xlfn.SINGLE(IF($C$3="Line of Credit",0,ROUND(MAX(MIN(IF($C$10="No",$E$7,VLOOKUP(Table15781012[[#This Row],[Period]],Forecast!$H$2:$L$1048576,4,FALSE))*Table15781012[[#This Row],[Beginning Balance]],Table15781012[[#This Row],[Beginning Balance]]-Table15781012[[#This Row],[Principal]]),0),2)))</f>
        <v>18177.23</v>
      </c>
      <c r="J85" s="3">
        <f>ROUND(MIN(Table15781012[[#This Row],[Beginning Balance]]*IF($C$8="No",$E$3,VLOOKUP(Table15781012[[#This Row],[Period]],Forecast!$H$2:$L$1048576,2,FALSE)),Table15781012[[#This Row],[Beginning Balance]]-Table15781012[[#This Row],[Principal]]-Table15781012[[#This Row],[Prepayments]]),2)</f>
        <v>4351.58</v>
      </c>
      <c r="K85" s="3">
        <f>ROUND(Table15781012[[#This Row],[Defaulted Principal]]*IF($C$9="No",$E$4,VLOOKUP(Table15781012[[#This Row],[Period]],Forecast!$H$2:$L$1048576,3,FALSE)),2)</f>
        <v>377.26</v>
      </c>
      <c r="L85" s="2">
        <f>Table15781012[[#This Row],[Period]]+$E$9</f>
        <v>81</v>
      </c>
      <c r="M85" s="3">
        <f>Table15781012[[#This Row],[Defaulted Principal]]-Table15781012[[#This Row],[Estimated Loss]]</f>
        <v>3974.3199999999997</v>
      </c>
      <c r="N85" s="3">
        <f>IFERROR(VLOOKUP(Table15781012[[#This Row],[Period]],$L$16:$M$385,2,FALSE),0)</f>
        <v>4212.42</v>
      </c>
      <c r="O85" s="3">
        <f>Table15781012[[#This Row],[Beginning Balance]]-Table15781012[[#This Row],[Principal]]-Table15781012[[#This Row],[Prepayments]]-Table15781012[[#This Row],[Defaulted Principal]]</f>
        <v>6340781.8199999947</v>
      </c>
      <c r="P85" s="3">
        <f>Table15781012[[#This Row],[Principal]]+Table15781012[[#This Row],[Interest]]+Table15781012[[#This Row],[Prepayments]]+Table15781012[[#This Row],[RecoveredAmount]]</f>
        <v>69026.38</v>
      </c>
      <c r="Q85" s="3">
        <f ca="1">ROUND(Table15781012[[#This Row],[Cash Flow]]/((1+ActualRateToUse)^(IF(ISNUMBER(SEARCH("Actual",$C$7)),Table15781012[[#This Row],[Running Total]]/365,Table15781012[[#This Row],[Period]]/12))),2)</f>
        <v>45708.17</v>
      </c>
      <c r="R85" s="2">
        <f>IF(MONTH(Table15781012[[#This Row],[Date]])=2,28,DAY(DATE(YEAR(Table15781012[[#This Row],[Date]]),MONTH(Table15781012[[#This Row],[Date]])+1,1)-1))</f>
        <v>31</v>
      </c>
      <c r="S85" s="2">
        <f ca="1">SUM(OFFSET(Table15781012[[#Headers],[Days in month]],1,0):Table15781012[[#This Row],[Days in month]])</f>
        <v>2099</v>
      </c>
      <c r="T85" s="37">
        <f>InterestRate*AmortizationMultiplier*IF(ISNUMBER(SEARCH("Actual",$C$7)),Table15781012[[#This Row],[Days in month]]/365,1/12)</f>
        <v>6.0708333333333326E-3</v>
      </c>
    </row>
    <row r="86" spans="2:20" x14ac:dyDescent="0.2">
      <c r="B86" s="1">
        <v>47968</v>
      </c>
      <c r="C86" s="2">
        <f t="shared" si="4"/>
        <v>70</v>
      </c>
      <c r="D86" s="3">
        <f t="shared" si="3"/>
        <v>6340781.8199999947</v>
      </c>
      <c r="E86" s="3">
        <f>ROUND(Table15781012[[#This Row],[Beginning Balance]]*Table15781012[[#This Row],[Monthly Interest Rate]],2)</f>
        <v>37252.089999999997</v>
      </c>
      <c r="F86" s="3">
        <f t="shared" si="5"/>
        <v>282</v>
      </c>
      <c r="G86" s="23">
        <f>IFERROR(IF($C$13="No","N/A",IF(Table15781012[[#This Row],[Period]]=1,$C$6,PMT(InterestRate*AmortizationMultiplier/12,Table15781012[[#This Row],[Am Thru]],-Table15781012[[#This Row],[Beginning Balance]]))),0)</f>
        <v>46476.931074622487</v>
      </c>
      <c r="H86" s="3">
        <f>MAX(0,IF(C86=$C$4,D86,ROUND(IF($C$3="Fixed Principal",$C$6-Table15781012[[#This Row],[Interest]],IF($C$3="Interest Only",Table15781012[[#This Row],[Beginning Balance]]*ROUND(1-(1-IF($C$11="No",$E$8,1))^(1/12),6),MIN(IF($C$13="Yes",Table15781012[[#This Row],[Payment Amount (Reamortized)]],$C$6)-Table15781012[[#This Row],[Interest]],Table15781012[[#This Row],[Beginning Balance]]))),2)))</f>
        <v>9224.84</v>
      </c>
      <c r="I86" s="3">
        <f>_xlfn.SINGLE(IF($C$3="Line of Credit",0,ROUND(MAX(MIN(IF($C$10="No",$E$7,VLOOKUP(Table15781012[[#This Row],[Period]],Forecast!$H$2:$L$1048576,4,FALSE))*Table15781012[[#This Row],[Beginning Balance]],Table15781012[[#This Row],[Beginning Balance]]-Table15781012[[#This Row],[Principal]]),0),2)))</f>
        <v>18090.25</v>
      </c>
      <c r="J86" s="3">
        <f>ROUND(MIN(Table15781012[[#This Row],[Beginning Balance]]*IF($C$8="No",$E$3,VLOOKUP(Table15781012[[#This Row],[Period]],Forecast!$H$2:$L$1048576,2,FALSE)),Table15781012[[#This Row],[Beginning Balance]]-Table15781012[[#This Row],[Principal]]-Table15781012[[#This Row],[Prepayments]]),2)</f>
        <v>4330.75</v>
      </c>
      <c r="K86" s="3">
        <f>ROUND(Table15781012[[#This Row],[Defaulted Principal]]*IF($C$9="No",$E$4,VLOOKUP(Table15781012[[#This Row],[Period]],Forecast!$H$2:$L$1048576,3,FALSE)),2)</f>
        <v>375.45</v>
      </c>
      <c r="L86" s="2">
        <f>Table15781012[[#This Row],[Period]]+$E$9</f>
        <v>82</v>
      </c>
      <c r="M86" s="3">
        <f>Table15781012[[#This Row],[Defaulted Principal]]-Table15781012[[#This Row],[Estimated Loss]]</f>
        <v>3955.3</v>
      </c>
      <c r="N86" s="3">
        <f>IFERROR(VLOOKUP(Table15781012[[#This Row],[Period]],$L$16:$M$385,2,FALSE),0)</f>
        <v>4192.74</v>
      </c>
      <c r="O86" s="3">
        <f>Table15781012[[#This Row],[Beginning Balance]]-Table15781012[[#This Row],[Principal]]-Table15781012[[#This Row],[Prepayments]]-Table15781012[[#This Row],[Defaulted Principal]]</f>
        <v>6309135.9799999949</v>
      </c>
      <c r="P86" s="3">
        <f>Table15781012[[#This Row],[Principal]]+Table15781012[[#This Row],[Interest]]+Table15781012[[#This Row],[Prepayments]]+Table15781012[[#This Row],[RecoveredAmount]]</f>
        <v>68759.92</v>
      </c>
      <c r="Q86" s="3">
        <f ca="1">ROUND(Table15781012[[#This Row],[Cash Flow]]/((1+ActualRateToUse)^(IF(ISNUMBER(SEARCH("Actual",$C$7)),Table15781012[[#This Row],[Running Total]]/365,Table15781012[[#This Row],[Period]]/12))),2)</f>
        <v>45264.26</v>
      </c>
      <c r="R86" s="2">
        <f>IF(MONTH(Table15781012[[#This Row],[Date]])=2,28,DAY(DATE(YEAR(Table15781012[[#This Row],[Date]]),MONTH(Table15781012[[#This Row],[Date]])+1,1)-1))</f>
        <v>30</v>
      </c>
      <c r="S86" s="2">
        <f ca="1">SUM(OFFSET(Table15781012[[#Headers],[Days in month]],1,0):Table15781012[[#This Row],[Days in month]])</f>
        <v>2129</v>
      </c>
      <c r="T86" s="37">
        <f>InterestRate*AmortizationMultiplier*IF(ISNUMBER(SEARCH("Actual",$C$7)),Table15781012[[#This Row],[Days in month]]/365,1/12)</f>
        <v>5.8749999999999991E-3</v>
      </c>
    </row>
    <row r="87" spans="2:20" x14ac:dyDescent="0.2">
      <c r="B87" s="1">
        <v>47999</v>
      </c>
      <c r="C87" s="2">
        <f t="shared" si="4"/>
        <v>71</v>
      </c>
      <c r="D87" s="3">
        <f t="shared" si="3"/>
        <v>6309135.9799999949</v>
      </c>
      <c r="E87" s="3">
        <f>ROUND(Table15781012[[#This Row],[Beginning Balance]]*Table15781012[[#This Row],[Monthly Interest Rate]],2)</f>
        <v>38301.71</v>
      </c>
      <c r="F87" s="3">
        <f t="shared" si="5"/>
        <v>281</v>
      </c>
      <c r="G87" s="23">
        <f>IFERROR(IF($C$13="No","N/A",IF(Table15781012[[#This Row],[Period]]=1,$C$6,PMT(InterestRate*AmortizationMultiplier/12,Table15781012[[#This Row],[Am Thru]],-Table15781012[[#This Row],[Beginning Balance]]))),0)</f>
        <v>46308.565067646203</v>
      </c>
      <c r="H87" s="3">
        <f>MAX(0,IF(C87=$C$4,D87,ROUND(IF($C$3="Fixed Principal",$C$6-Table15781012[[#This Row],[Interest]],IF($C$3="Interest Only",Table15781012[[#This Row],[Beginning Balance]]*ROUND(1-(1-IF($C$11="No",$E$8,1))^(1/12),6),MIN(IF($C$13="Yes",Table15781012[[#This Row],[Payment Amount (Reamortized)]],$C$6)-Table15781012[[#This Row],[Interest]],Table15781012[[#This Row],[Beginning Balance]]))),2)))</f>
        <v>8006.86</v>
      </c>
      <c r="I87" s="3">
        <f>_xlfn.SINGLE(IF($C$3="Line of Credit",0,ROUND(MAX(MIN(IF($C$10="No",$E$7,VLOOKUP(Table15781012[[#This Row],[Period]],Forecast!$H$2:$L$1048576,4,FALSE))*Table15781012[[#This Row],[Beginning Balance]],Table15781012[[#This Row],[Beginning Balance]]-Table15781012[[#This Row],[Principal]]),0),2)))</f>
        <v>17999.96</v>
      </c>
      <c r="J87" s="3">
        <f>ROUND(MIN(Table15781012[[#This Row],[Beginning Balance]]*IF($C$8="No",$E$3,VLOOKUP(Table15781012[[#This Row],[Period]],Forecast!$H$2:$L$1048576,2,FALSE)),Table15781012[[#This Row],[Beginning Balance]]-Table15781012[[#This Row],[Principal]]-Table15781012[[#This Row],[Prepayments]]),2)</f>
        <v>4309.1400000000003</v>
      </c>
      <c r="K87" s="3">
        <f>ROUND(Table15781012[[#This Row],[Defaulted Principal]]*IF($C$9="No",$E$4,VLOOKUP(Table15781012[[#This Row],[Period]],Forecast!$H$2:$L$1048576,3,FALSE)),2)</f>
        <v>373.58</v>
      </c>
      <c r="L87" s="2">
        <f>Table15781012[[#This Row],[Period]]+$E$9</f>
        <v>83</v>
      </c>
      <c r="M87" s="3">
        <f>Table15781012[[#This Row],[Defaulted Principal]]-Table15781012[[#This Row],[Estimated Loss]]</f>
        <v>3935.5600000000004</v>
      </c>
      <c r="N87" s="3">
        <f>IFERROR(VLOOKUP(Table15781012[[#This Row],[Period]],$L$16:$M$385,2,FALSE),0)</f>
        <v>4172.29</v>
      </c>
      <c r="O87" s="3">
        <f>Table15781012[[#This Row],[Beginning Balance]]-Table15781012[[#This Row],[Principal]]-Table15781012[[#This Row],[Prepayments]]-Table15781012[[#This Row],[Defaulted Principal]]</f>
        <v>6278820.0199999949</v>
      </c>
      <c r="P87" s="3">
        <f>Table15781012[[#This Row],[Principal]]+Table15781012[[#This Row],[Interest]]+Table15781012[[#This Row],[Prepayments]]+Table15781012[[#This Row],[RecoveredAmount]]</f>
        <v>68480.819999999992</v>
      </c>
      <c r="Q87" s="3">
        <f ca="1">ROUND(Table15781012[[#This Row],[Cash Flow]]/((1+ActualRateToUse)^(IF(ISNUMBER(SEARCH("Actual",$C$7)),Table15781012[[#This Row],[Running Total]]/365,Table15781012[[#This Row],[Period]]/12))),2)</f>
        <v>44806.92</v>
      </c>
      <c r="R87" s="2">
        <f>IF(MONTH(Table15781012[[#This Row],[Date]])=2,28,DAY(DATE(YEAR(Table15781012[[#This Row],[Date]]),MONTH(Table15781012[[#This Row],[Date]])+1,1)-1))</f>
        <v>31</v>
      </c>
      <c r="S87" s="2">
        <f ca="1">SUM(OFFSET(Table15781012[[#Headers],[Days in month]],1,0):Table15781012[[#This Row],[Days in month]])</f>
        <v>2160</v>
      </c>
      <c r="T87" s="37">
        <f>InterestRate*AmortizationMultiplier*IF(ISNUMBER(SEARCH("Actual",$C$7)),Table15781012[[#This Row],[Days in month]]/365,1/12)</f>
        <v>6.0708333333333326E-3</v>
      </c>
    </row>
    <row r="88" spans="2:20" x14ac:dyDescent="0.2">
      <c r="B88" s="1">
        <v>48029</v>
      </c>
      <c r="C88" s="2">
        <f t="shared" si="4"/>
        <v>72</v>
      </c>
      <c r="D88" s="3">
        <f t="shared" si="3"/>
        <v>6278820.0199999949</v>
      </c>
      <c r="E88" s="3">
        <f>ROUND(Table15781012[[#This Row],[Beginning Balance]]*Table15781012[[#This Row],[Monthly Interest Rate]],2)</f>
        <v>36888.07</v>
      </c>
      <c r="F88" s="3">
        <f t="shared" si="5"/>
        <v>280</v>
      </c>
      <c r="G88" s="23">
        <f>IFERROR(IF($C$13="No","N/A",IF(Table15781012[[#This Row],[Period]]=1,$C$6,PMT(InterestRate*AmortizationMultiplier/12,Table15781012[[#This Row],[Am Thru]],-Table15781012[[#This Row],[Beginning Balance]]))),0)</f>
        <v>46149.888567947608</v>
      </c>
      <c r="H88" s="3">
        <f>MAX(0,IF(C88=$C$4,D88,ROUND(IF($C$3="Fixed Principal",$C$6-Table15781012[[#This Row],[Interest]],IF($C$3="Interest Only",Table15781012[[#This Row],[Beginning Balance]]*ROUND(1-(1-IF($C$11="No",$E$8,1))^(1/12),6),MIN(IF($C$13="Yes",Table15781012[[#This Row],[Payment Amount (Reamortized)]],$C$6)-Table15781012[[#This Row],[Interest]],Table15781012[[#This Row],[Beginning Balance]]))),2)))</f>
        <v>9261.82</v>
      </c>
      <c r="I88" s="3">
        <f>_xlfn.SINGLE(IF($C$3="Line of Credit",0,ROUND(MAX(MIN(IF($C$10="No",$E$7,VLOOKUP(Table15781012[[#This Row],[Period]],Forecast!$H$2:$L$1048576,4,FALSE))*Table15781012[[#This Row],[Beginning Balance]],Table15781012[[#This Row],[Beginning Balance]]-Table15781012[[#This Row],[Principal]]),0),2)))</f>
        <v>17913.47</v>
      </c>
      <c r="J88" s="3">
        <f>ROUND(MIN(Table15781012[[#This Row],[Beginning Balance]]*IF($C$8="No",$E$3,VLOOKUP(Table15781012[[#This Row],[Period]],Forecast!$H$2:$L$1048576,2,FALSE)),Table15781012[[#This Row],[Beginning Balance]]-Table15781012[[#This Row],[Principal]]-Table15781012[[#This Row],[Prepayments]]),2)</f>
        <v>4288.43</v>
      </c>
      <c r="K88" s="3">
        <f>ROUND(Table15781012[[#This Row],[Defaulted Principal]]*IF($C$9="No",$E$4,VLOOKUP(Table15781012[[#This Row],[Period]],Forecast!$H$2:$L$1048576,3,FALSE)),2)</f>
        <v>371.78</v>
      </c>
      <c r="L88" s="2">
        <f>Table15781012[[#This Row],[Period]]+$E$9</f>
        <v>84</v>
      </c>
      <c r="M88" s="3">
        <f>Table15781012[[#This Row],[Defaulted Principal]]-Table15781012[[#This Row],[Estimated Loss]]</f>
        <v>3916.6500000000005</v>
      </c>
      <c r="N88" s="3">
        <f>IFERROR(VLOOKUP(Table15781012[[#This Row],[Period]],$L$16:$M$385,2,FALSE),0)</f>
        <v>4152.7300000000005</v>
      </c>
      <c r="O88" s="3">
        <f>Table15781012[[#This Row],[Beginning Balance]]-Table15781012[[#This Row],[Principal]]-Table15781012[[#This Row],[Prepayments]]-Table15781012[[#This Row],[Defaulted Principal]]</f>
        <v>6247356.2999999952</v>
      </c>
      <c r="P88" s="3">
        <f>Table15781012[[#This Row],[Principal]]+Table15781012[[#This Row],[Interest]]+Table15781012[[#This Row],[Prepayments]]+Table15781012[[#This Row],[RecoveredAmount]]</f>
        <v>68216.09</v>
      </c>
      <c r="Q88" s="3">
        <f ca="1">ROUND(Table15781012[[#This Row],[Cash Flow]]/((1+ActualRateToUse)^(IF(ISNUMBER(SEARCH("Actual",$C$7)),Table15781012[[#This Row],[Running Total]]/365,Table15781012[[#This Row],[Period]]/12))),2)</f>
        <v>44371.519999999997</v>
      </c>
      <c r="R88" s="2">
        <f>IF(MONTH(Table15781012[[#This Row],[Date]])=2,28,DAY(DATE(YEAR(Table15781012[[#This Row],[Date]]),MONTH(Table15781012[[#This Row],[Date]])+1,1)-1))</f>
        <v>30</v>
      </c>
      <c r="S88" s="2">
        <f ca="1">SUM(OFFSET(Table15781012[[#Headers],[Days in month]],1,0):Table15781012[[#This Row],[Days in month]])</f>
        <v>2190</v>
      </c>
      <c r="T88" s="37">
        <f>InterestRate*AmortizationMultiplier*IF(ISNUMBER(SEARCH("Actual",$C$7)),Table15781012[[#This Row],[Days in month]]/365,1/12)</f>
        <v>5.8749999999999991E-3</v>
      </c>
    </row>
    <row r="89" spans="2:20" x14ac:dyDescent="0.2">
      <c r="B89" s="1">
        <v>48060</v>
      </c>
      <c r="C89" s="2">
        <f t="shared" si="4"/>
        <v>73</v>
      </c>
      <c r="D89" s="3">
        <f t="shared" si="3"/>
        <v>6247356.2999999952</v>
      </c>
      <c r="E89" s="3">
        <f>ROUND(Table15781012[[#This Row],[Beginning Balance]]*Table15781012[[#This Row],[Monthly Interest Rate]],2)</f>
        <v>37926.660000000003</v>
      </c>
      <c r="F89" s="3">
        <f t="shared" si="5"/>
        <v>279</v>
      </c>
      <c r="G89" s="23">
        <f>IFERROR(IF($C$13="No","N/A",IF(Table15781012[[#This Row],[Period]]=1,$C$6,PMT(InterestRate*AmortizationMultiplier/12,Table15781012[[#This Row],[Am Thru]],-Table15781012[[#This Row],[Beginning Balance]]))),0)</f>
        <v>45982.703951579009</v>
      </c>
      <c r="H89" s="3">
        <f>MAX(0,IF(C89=$C$4,D89,ROUND(IF($C$3="Fixed Principal",$C$6-Table15781012[[#This Row],[Interest]],IF($C$3="Interest Only",Table15781012[[#This Row],[Beginning Balance]]*ROUND(1-(1-IF($C$11="No",$E$8,1))^(1/12),6),MIN(IF($C$13="Yes",Table15781012[[#This Row],[Payment Amount (Reamortized)]],$C$6)-Table15781012[[#This Row],[Interest]],Table15781012[[#This Row],[Beginning Balance]]))),2)))</f>
        <v>8056.04</v>
      </c>
      <c r="I89" s="3">
        <f>_xlfn.SINGLE(IF($C$3="Line of Credit",0,ROUND(MAX(MIN(IF($C$10="No",$E$7,VLOOKUP(Table15781012[[#This Row],[Period]],Forecast!$H$2:$L$1048576,4,FALSE))*Table15781012[[#This Row],[Beginning Balance]],Table15781012[[#This Row],[Beginning Balance]]-Table15781012[[#This Row],[Principal]]),0),2)))</f>
        <v>17823.71</v>
      </c>
      <c r="J89" s="3">
        <f>ROUND(MIN(Table15781012[[#This Row],[Beginning Balance]]*IF($C$8="No",$E$3,VLOOKUP(Table15781012[[#This Row],[Period]],Forecast!$H$2:$L$1048576,2,FALSE)),Table15781012[[#This Row],[Beginning Balance]]-Table15781012[[#This Row],[Principal]]-Table15781012[[#This Row],[Prepayments]]),2)</f>
        <v>4266.9399999999996</v>
      </c>
      <c r="K89" s="3">
        <f>ROUND(Table15781012[[#This Row],[Defaulted Principal]]*IF($C$9="No",$E$4,VLOOKUP(Table15781012[[#This Row],[Period]],Forecast!$H$2:$L$1048576,3,FALSE)),2)</f>
        <v>369.92</v>
      </c>
      <c r="L89" s="2">
        <f>Table15781012[[#This Row],[Period]]+$E$9</f>
        <v>85</v>
      </c>
      <c r="M89" s="3">
        <f>Table15781012[[#This Row],[Defaulted Principal]]-Table15781012[[#This Row],[Estimated Loss]]</f>
        <v>3897.0199999999995</v>
      </c>
      <c r="N89" s="3">
        <f>IFERROR(VLOOKUP(Table15781012[[#This Row],[Period]],$L$16:$M$385,2,FALSE),0)</f>
        <v>4132.3999999999996</v>
      </c>
      <c r="O89" s="3">
        <f>Table15781012[[#This Row],[Beginning Balance]]-Table15781012[[#This Row],[Principal]]-Table15781012[[#This Row],[Prepayments]]-Table15781012[[#This Row],[Defaulted Principal]]</f>
        <v>6217209.6099999947</v>
      </c>
      <c r="P89" s="3">
        <f>Table15781012[[#This Row],[Principal]]+Table15781012[[#This Row],[Interest]]+Table15781012[[#This Row],[Prepayments]]+Table15781012[[#This Row],[RecoveredAmount]]</f>
        <v>67938.81</v>
      </c>
      <c r="Q89" s="3">
        <f ca="1">ROUND(Table15781012[[#This Row],[Cash Flow]]/((1+ActualRateToUse)^(IF(ISNUMBER(SEARCH("Actual",$C$7)),Table15781012[[#This Row],[Running Total]]/365,Table15781012[[#This Row],[Period]]/12))),2)</f>
        <v>43922.94</v>
      </c>
      <c r="R89" s="2">
        <f>IF(MONTH(Table15781012[[#This Row],[Date]])=2,28,DAY(DATE(YEAR(Table15781012[[#This Row],[Date]]),MONTH(Table15781012[[#This Row],[Date]])+1,1)-1))</f>
        <v>31</v>
      </c>
      <c r="S89" s="2">
        <f ca="1">SUM(OFFSET(Table15781012[[#Headers],[Days in month]],1,0):Table15781012[[#This Row],[Days in month]])</f>
        <v>2221</v>
      </c>
      <c r="T89" s="37">
        <f>InterestRate*AmortizationMultiplier*IF(ISNUMBER(SEARCH("Actual",$C$7)),Table15781012[[#This Row],[Days in month]]/365,1/12)</f>
        <v>6.0708333333333326E-3</v>
      </c>
    </row>
    <row r="90" spans="2:20" x14ac:dyDescent="0.2">
      <c r="B90" s="1">
        <v>48091</v>
      </c>
      <c r="C90" s="2">
        <f t="shared" si="4"/>
        <v>74</v>
      </c>
      <c r="D90" s="3">
        <f t="shared" si="3"/>
        <v>6217209.6099999947</v>
      </c>
      <c r="E90" s="3">
        <f>ROUND(Table15781012[[#This Row],[Beginning Balance]]*Table15781012[[#This Row],[Monthly Interest Rate]],2)</f>
        <v>37743.64</v>
      </c>
      <c r="F90" s="3">
        <f t="shared" si="5"/>
        <v>278</v>
      </c>
      <c r="G90" s="23">
        <f>IFERROR(IF($C$13="No","N/A",IF(Table15781012[[#This Row],[Period]]=1,$C$6,PMT(InterestRate*AmortizationMultiplier/12,Table15781012[[#This Row],[Am Thru]],-Table15781012[[#This Row],[Beginning Balance]]))),0)</f>
        <v>45825.140867904811</v>
      </c>
      <c r="H90" s="3">
        <f>MAX(0,IF(C90=$C$4,D90,ROUND(IF($C$3="Fixed Principal",$C$6-Table15781012[[#This Row],[Interest]],IF($C$3="Interest Only",Table15781012[[#This Row],[Beginning Balance]]*ROUND(1-(1-IF($C$11="No",$E$8,1))^(1/12),6),MIN(IF($C$13="Yes",Table15781012[[#This Row],[Payment Amount (Reamortized)]],$C$6)-Table15781012[[#This Row],[Interest]],Table15781012[[#This Row],[Beginning Balance]]))),2)))</f>
        <v>8081.5</v>
      </c>
      <c r="I90" s="3">
        <f>_xlfn.SINGLE(IF($C$3="Line of Credit",0,ROUND(MAX(MIN(IF($C$10="No",$E$7,VLOOKUP(Table15781012[[#This Row],[Period]],Forecast!$H$2:$L$1048576,4,FALSE))*Table15781012[[#This Row],[Beginning Balance]],Table15781012[[#This Row],[Beginning Balance]]-Table15781012[[#This Row],[Principal]]),0),2)))</f>
        <v>17737.7</v>
      </c>
      <c r="J90" s="3">
        <f>ROUND(MIN(Table15781012[[#This Row],[Beginning Balance]]*IF($C$8="No",$E$3,VLOOKUP(Table15781012[[#This Row],[Period]],Forecast!$H$2:$L$1048576,2,FALSE)),Table15781012[[#This Row],[Beginning Balance]]-Table15781012[[#This Row],[Principal]]-Table15781012[[#This Row],[Prepayments]]),2)</f>
        <v>4246.3500000000004</v>
      </c>
      <c r="K90" s="3">
        <f>ROUND(Table15781012[[#This Row],[Defaulted Principal]]*IF($C$9="No",$E$4,VLOOKUP(Table15781012[[#This Row],[Period]],Forecast!$H$2:$L$1048576,3,FALSE)),2)</f>
        <v>368.13</v>
      </c>
      <c r="L90" s="2">
        <f>Table15781012[[#This Row],[Period]]+$E$9</f>
        <v>86</v>
      </c>
      <c r="M90" s="3">
        <f>Table15781012[[#This Row],[Defaulted Principal]]-Table15781012[[#This Row],[Estimated Loss]]</f>
        <v>3878.2200000000003</v>
      </c>
      <c r="N90" s="3">
        <f>IFERROR(VLOOKUP(Table15781012[[#This Row],[Period]],$L$16:$M$385,2,FALSE),0)</f>
        <v>4112.95</v>
      </c>
      <c r="O90" s="3">
        <f>Table15781012[[#This Row],[Beginning Balance]]-Table15781012[[#This Row],[Principal]]-Table15781012[[#This Row],[Prepayments]]-Table15781012[[#This Row],[Defaulted Principal]]</f>
        <v>6187144.0599999949</v>
      </c>
      <c r="P90" s="3">
        <f>Table15781012[[#This Row],[Principal]]+Table15781012[[#This Row],[Interest]]+Table15781012[[#This Row],[Prepayments]]+Table15781012[[#This Row],[RecoveredAmount]]</f>
        <v>67675.789999999994</v>
      </c>
      <c r="Q90" s="3">
        <f ca="1">ROUND(Table15781012[[#This Row],[Cash Flow]]/((1+ActualRateToUse)^(IF(ISNUMBER(SEARCH("Actual",$C$7)),Table15781012[[#This Row],[Running Total]]/365,Table15781012[[#This Row],[Period]]/12))),2)</f>
        <v>43487.34</v>
      </c>
      <c r="R90" s="2">
        <f>IF(MONTH(Table15781012[[#This Row],[Date]])=2,28,DAY(DATE(YEAR(Table15781012[[#This Row],[Date]]),MONTH(Table15781012[[#This Row],[Date]])+1,1)-1))</f>
        <v>31</v>
      </c>
      <c r="S90" s="2">
        <f ca="1">SUM(OFFSET(Table15781012[[#Headers],[Days in month]],1,0):Table15781012[[#This Row],[Days in month]])</f>
        <v>2252</v>
      </c>
      <c r="T90" s="37">
        <f>InterestRate*AmortizationMultiplier*IF(ISNUMBER(SEARCH("Actual",$C$7)),Table15781012[[#This Row],[Days in month]]/365,1/12)</f>
        <v>6.0708333333333326E-3</v>
      </c>
    </row>
    <row r="91" spans="2:20" x14ac:dyDescent="0.2">
      <c r="B91" s="1">
        <v>48121</v>
      </c>
      <c r="C91" s="2">
        <f t="shared" si="4"/>
        <v>75</v>
      </c>
      <c r="D91" s="3">
        <f t="shared" si="3"/>
        <v>6187144.0599999949</v>
      </c>
      <c r="E91" s="3">
        <f>ROUND(Table15781012[[#This Row],[Beginning Balance]]*Table15781012[[#This Row],[Monthly Interest Rate]],2)</f>
        <v>36349.47</v>
      </c>
      <c r="F91" s="3">
        <f t="shared" si="5"/>
        <v>277</v>
      </c>
      <c r="G91" s="23">
        <f>IFERROR(IF($C$13="No","N/A",IF(Table15781012[[#This Row],[Period]]=1,$C$6,PMT(InterestRate*AmortizationMultiplier/12,Table15781012[[#This Row],[Am Thru]],-Table15781012[[#This Row],[Beginning Balance]]))),0)</f>
        <v>45668.116012777478</v>
      </c>
      <c r="H91" s="3">
        <f>MAX(0,IF(C91=$C$4,D91,ROUND(IF($C$3="Fixed Principal",$C$6-Table15781012[[#This Row],[Interest]],IF($C$3="Interest Only",Table15781012[[#This Row],[Beginning Balance]]*ROUND(1-(1-IF($C$11="No",$E$8,1))^(1/12),6),MIN(IF($C$13="Yes",Table15781012[[#This Row],[Payment Amount (Reamortized)]],$C$6)-Table15781012[[#This Row],[Interest]],Table15781012[[#This Row],[Beginning Balance]]))),2)))</f>
        <v>9318.65</v>
      </c>
      <c r="I91" s="3">
        <f>_xlfn.SINGLE(IF($C$3="Line of Credit",0,ROUND(MAX(MIN(IF($C$10="No",$E$7,VLOOKUP(Table15781012[[#This Row],[Period]],Forecast!$H$2:$L$1048576,4,FALSE))*Table15781012[[#This Row],[Beginning Balance]],Table15781012[[#This Row],[Beginning Balance]]-Table15781012[[#This Row],[Principal]]),0),2)))</f>
        <v>17651.919999999998</v>
      </c>
      <c r="J91" s="3">
        <f>ROUND(MIN(Table15781012[[#This Row],[Beginning Balance]]*IF($C$8="No",$E$3,VLOOKUP(Table15781012[[#This Row],[Period]],Forecast!$H$2:$L$1048576,2,FALSE)),Table15781012[[#This Row],[Beginning Balance]]-Table15781012[[#This Row],[Principal]]-Table15781012[[#This Row],[Prepayments]]),2)</f>
        <v>4225.82</v>
      </c>
      <c r="K91" s="3">
        <f>ROUND(Table15781012[[#This Row],[Defaulted Principal]]*IF($C$9="No",$E$4,VLOOKUP(Table15781012[[#This Row],[Period]],Forecast!$H$2:$L$1048576,3,FALSE)),2)</f>
        <v>366.35</v>
      </c>
      <c r="L91" s="2">
        <f>Table15781012[[#This Row],[Period]]+$E$9</f>
        <v>87</v>
      </c>
      <c r="M91" s="3">
        <f>Table15781012[[#This Row],[Defaulted Principal]]-Table15781012[[#This Row],[Estimated Loss]]</f>
        <v>3859.47</v>
      </c>
      <c r="N91" s="3">
        <f>IFERROR(VLOOKUP(Table15781012[[#This Row],[Period]],$L$16:$M$385,2,FALSE),0)</f>
        <v>4093.5499999999997</v>
      </c>
      <c r="O91" s="3">
        <f>Table15781012[[#This Row],[Beginning Balance]]-Table15781012[[#This Row],[Principal]]-Table15781012[[#This Row],[Prepayments]]-Table15781012[[#This Row],[Defaulted Principal]]</f>
        <v>6155947.6699999943</v>
      </c>
      <c r="P91" s="3">
        <f>Table15781012[[#This Row],[Principal]]+Table15781012[[#This Row],[Interest]]+Table15781012[[#This Row],[Prepayments]]+Table15781012[[#This Row],[RecoveredAmount]]</f>
        <v>67413.59</v>
      </c>
      <c r="Q91" s="3">
        <f ca="1">ROUND(Table15781012[[#This Row],[Cash Flow]]/((1+ActualRateToUse)^(IF(ISNUMBER(SEARCH("Actual",$C$7)),Table15781012[[#This Row],[Running Total]]/365,Table15781012[[#This Row],[Period]]/12))),2)</f>
        <v>43064.39</v>
      </c>
      <c r="R91" s="2">
        <f>IF(MONTH(Table15781012[[#This Row],[Date]])=2,28,DAY(DATE(YEAR(Table15781012[[#This Row],[Date]]),MONTH(Table15781012[[#This Row],[Date]])+1,1)-1))</f>
        <v>30</v>
      </c>
      <c r="S91" s="2">
        <f ca="1">SUM(OFFSET(Table15781012[[#Headers],[Days in month]],1,0):Table15781012[[#This Row],[Days in month]])</f>
        <v>2282</v>
      </c>
      <c r="T91" s="37">
        <f>InterestRate*AmortizationMultiplier*IF(ISNUMBER(SEARCH("Actual",$C$7)),Table15781012[[#This Row],[Days in month]]/365,1/12)</f>
        <v>5.8749999999999991E-3</v>
      </c>
    </row>
    <row r="92" spans="2:20" x14ac:dyDescent="0.2">
      <c r="B92" s="1">
        <v>48152</v>
      </c>
      <c r="C92" s="2">
        <f t="shared" si="4"/>
        <v>76</v>
      </c>
      <c r="D92" s="3">
        <f t="shared" si="3"/>
        <v>6155947.6699999943</v>
      </c>
      <c r="E92" s="3">
        <f>ROUND(Table15781012[[#This Row],[Beginning Balance]]*Table15781012[[#This Row],[Monthly Interest Rate]],2)</f>
        <v>37371.730000000003</v>
      </c>
      <c r="F92" s="3">
        <f t="shared" si="5"/>
        <v>276</v>
      </c>
      <c r="G92" s="23">
        <f>IFERROR(IF($C$13="No","N/A",IF(Table15781012[[#This Row],[Period]]=1,$C$6,PMT(InterestRate*AmortizationMultiplier/12,Table15781012[[#This Row],[Am Thru]],-Table15781012[[#This Row],[Beginning Balance]]))),0)</f>
        <v>45502.671452802162</v>
      </c>
      <c r="H92" s="3">
        <f>MAX(0,IF(C92=$C$4,D92,ROUND(IF($C$3="Fixed Principal",$C$6-Table15781012[[#This Row],[Interest]],IF($C$3="Interest Only",Table15781012[[#This Row],[Beginning Balance]]*ROUND(1-(1-IF($C$11="No",$E$8,1))^(1/12),6),MIN(IF($C$13="Yes",Table15781012[[#This Row],[Payment Amount (Reamortized)]],$C$6)-Table15781012[[#This Row],[Interest]],Table15781012[[#This Row],[Beginning Balance]]))),2)))</f>
        <v>8130.94</v>
      </c>
      <c r="I92" s="3">
        <f>_xlfn.SINGLE(IF($C$3="Line of Credit",0,ROUND(MAX(MIN(IF($C$10="No",$E$7,VLOOKUP(Table15781012[[#This Row],[Period]],Forecast!$H$2:$L$1048576,4,FALSE))*Table15781012[[#This Row],[Beginning Balance]],Table15781012[[#This Row],[Beginning Balance]]-Table15781012[[#This Row],[Principal]]),0),2)))</f>
        <v>17562.919999999998</v>
      </c>
      <c r="J92" s="3">
        <f>ROUND(MIN(Table15781012[[#This Row],[Beginning Balance]]*IF($C$8="No",$E$3,VLOOKUP(Table15781012[[#This Row],[Period]],Forecast!$H$2:$L$1048576,2,FALSE)),Table15781012[[#This Row],[Beginning Balance]]-Table15781012[[#This Row],[Principal]]-Table15781012[[#This Row],[Prepayments]]),2)</f>
        <v>4204.51</v>
      </c>
      <c r="K92" s="3">
        <f>ROUND(Table15781012[[#This Row],[Defaulted Principal]]*IF($C$9="No",$E$4,VLOOKUP(Table15781012[[#This Row],[Period]],Forecast!$H$2:$L$1048576,3,FALSE)),2)</f>
        <v>364.51</v>
      </c>
      <c r="L92" s="2">
        <f>Table15781012[[#This Row],[Period]]+$E$9</f>
        <v>88</v>
      </c>
      <c r="M92" s="3">
        <f>Table15781012[[#This Row],[Defaulted Principal]]-Table15781012[[#This Row],[Estimated Loss]]</f>
        <v>3840</v>
      </c>
      <c r="N92" s="3">
        <f>IFERROR(VLOOKUP(Table15781012[[#This Row],[Period]],$L$16:$M$385,2,FALSE),0)</f>
        <v>4073.3900000000003</v>
      </c>
      <c r="O92" s="3">
        <f>Table15781012[[#This Row],[Beginning Balance]]-Table15781012[[#This Row],[Principal]]-Table15781012[[#This Row],[Prepayments]]-Table15781012[[#This Row],[Defaulted Principal]]</f>
        <v>6126049.2999999942</v>
      </c>
      <c r="P92" s="3">
        <f>Table15781012[[#This Row],[Principal]]+Table15781012[[#This Row],[Interest]]+Table15781012[[#This Row],[Prepayments]]+Table15781012[[#This Row],[RecoveredAmount]]</f>
        <v>67138.98000000001</v>
      </c>
      <c r="Q92" s="3">
        <f ca="1">ROUND(Table15781012[[#This Row],[Cash Flow]]/((1+ActualRateToUse)^(IF(ISNUMBER(SEARCH("Actual",$C$7)),Table15781012[[#This Row],[Running Total]]/365,Table15781012[[#This Row],[Period]]/12))),2)</f>
        <v>42628.66</v>
      </c>
      <c r="R92" s="2">
        <f>IF(MONTH(Table15781012[[#This Row],[Date]])=2,28,DAY(DATE(YEAR(Table15781012[[#This Row],[Date]]),MONTH(Table15781012[[#This Row],[Date]])+1,1)-1))</f>
        <v>31</v>
      </c>
      <c r="S92" s="2">
        <f ca="1">SUM(OFFSET(Table15781012[[#Headers],[Days in month]],1,0):Table15781012[[#This Row],[Days in month]])</f>
        <v>2313</v>
      </c>
      <c r="T92" s="37">
        <f>InterestRate*AmortizationMultiplier*IF(ISNUMBER(SEARCH("Actual",$C$7)),Table15781012[[#This Row],[Days in month]]/365,1/12)</f>
        <v>6.0708333333333326E-3</v>
      </c>
    </row>
    <row r="93" spans="2:20" x14ac:dyDescent="0.2">
      <c r="B93" s="1">
        <v>48182</v>
      </c>
      <c r="C93" s="2">
        <f t="shared" si="4"/>
        <v>77</v>
      </c>
      <c r="D93" s="3">
        <f t="shared" si="3"/>
        <v>6126049.2999999942</v>
      </c>
      <c r="E93" s="3">
        <f>ROUND(Table15781012[[#This Row],[Beginning Balance]]*Table15781012[[#This Row],[Monthly Interest Rate]],2)</f>
        <v>35990.54</v>
      </c>
      <c r="F93" s="3">
        <f t="shared" si="5"/>
        <v>275</v>
      </c>
      <c r="G93" s="23">
        <f>IFERROR(IF($C$13="No","N/A",IF(Table15781012[[#This Row],[Period]]=1,$C$6,PMT(InterestRate*AmortizationMultiplier/12,Table15781012[[#This Row],[Am Thru]],-Table15781012[[#This Row],[Beginning Balance]]))),0)</f>
        <v>45346.748296020094</v>
      </c>
      <c r="H93" s="3">
        <f>MAX(0,IF(C93=$C$4,D93,ROUND(IF($C$3="Fixed Principal",$C$6-Table15781012[[#This Row],[Interest]],IF($C$3="Interest Only",Table15781012[[#This Row],[Beginning Balance]]*ROUND(1-(1-IF($C$11="No",$E$8,1))^(1/12),6),MIN(IF($C$13="Yes",Table15781012[[#This Row],[Payment Amount (Reamortized)]],$C$6)-Table15781012[[#This Row],[Interest]],Table15781012[[#This Row],[Beginning Balance]]))),2)))</f>
        <v>9356.2099999999991</v>
      </c>
      <c r="I93" s="3">
        <f>_xlfn.SINGLE(IF($C$3="Line of Credit",0,ROUND(MAX(MIN(IF($C$10="No",$E$7,VLOOKUP(Table15781012[[#This Row],[Period]],Forecast!$H$2:$L$1048576,4,FALSE))*Table15781012[[#This Row],[Beginning Balance]],Table15781012[[#This Row],[Beginning Balance]]-Table15781012[[#This Row],[Principal]]),0),2)))</f>
        <v>17477.62</v>
      </c>
      <c r="J93" s="3">
        <f>ROUND(MIN(Table15781012[[#This Row],[Beginning Balance]]*IF($C$8="No",$E$3,VLOOKUP(Table15781012[[#This Row],[Period]],Forecast!$H$2:$L$1048576,2,FALSE)),Table15781012[[#This Row],[Beginning Balance]]-Table15781012[[#This Row],[Principal]]-Table15781012[[#This Row],[Prepayments]]),2)</f>
        <v>4184.09</v>
      </c>
      <c r="K93" s="3">
        <f>ROUND(Table15781012[[#This Row],[Defaulted Principal]]*IF($C$9="No",$E$4,VLOOKUP(Table15781012[[#This Row],[Period]],Forecast!$H$2:$L$1048576,3,FALSE)),2)</f>
        <v>362.74</v>
      </c>
      <c r="L93" s="2">
        <f>Table15781012[[#This Row],[Period]]+$E$9</f>
        <v>89</v>
      </c>
      <c r="M93" s="3">
        <f>Table15781012[[#This Row],[Defaulted Principal]]-Table15781012[[#This Row],[Estimated Loss]]</f>
        <v>3821.3500000000004</v>
      </c>
      <c r="N93" s="3">
        <f>IFERROR(VLOOKUP(Table15781012[[#This Row],[Period]],$L$16:$M$385,2,FALSE),0)</f>
        <v>4054.1000000000004</v>
      </c>
      <c r="O93" s="3">
        <f>Table15781012[[#This Row],[Beginning Balance]]-Table15781012[[#This Row],[Principal]]-Table15781012[[#This Row],[Prepayments]]-Table15781012[[#This Row],[Defaulted Principal]]</f>
        <v>6095031.3799999943</v>
      </c>
      <c r="P93" s="3">
        <f>Table15781012[[#This Row],[Principal]]+Table15781012[[#This Row],[Interest]]+Table15781012[[#This Row],[Prepayments]]+Table15781012[[#This Row],[RecoveredAmount]]</f>
        <v>66878.47</v>
      </c>
      <c r="Q93" s="3">
        <f ca="1">ROUND(Table15781012[[#This Row],[Cash Flow]]/((1+ActualRateToUse)^(IF(ISNUMBER(SEARCH("Actual",$C$7)),Table15781012[[#This Row],[Running Total]]/365,Table15781012[[#This Row],[Period]]/12))),2)</f>
        <v>42213.81</v>
      </c>
      <c r="R93" s="2">
        <f>IF(MONTH(Table15781012[[#This Row],[Date]])=2,28,DAY(DATE(YEAR(Table15781012[[#This Row],[Date]]),MONTH(Table15781012[[#This Row],[Date]])+1,1)-1))</f>
        <v>30</v>
      </c>
      <c r="S93" s="2">
        <f ca="1">SUM(OFFSET(Table15781012[[#Headers],[Days in month]],1,0):Table15781012[[#This Row],[Days in month]])</f>
        <v>2343</v>
      </c>
      <c r="T93" s="37">
        <f>InterestRate*AmortizationMultiplier*IF(ISNUMBER(SEARCH("Actual",$C$7)),Table15781012[[#This Row],[Days in month]]/365,1/12)</f>
        <v>5.8749999999999991E-3</v>
      </c>
    </row>
    <row r="94" spans="2:20" x14ac:dyDescent="0.2">
      <c r="B94" s="1">
        <v>48213</v>
      </c>
      <c r="C94" s="2">
        <f t="shared" si="4"/>
        <v>78</v>
      </c>
      <c r="D94" s="3">
        <f t="shared" si="3"/>
        <v>6095031.3799999943</v>
      </c>
      <c r="E94" s="3">
        <f>ROUND(Table15781012[[#This Row],[Beginning Balance]]*Table15781012[[#This Row],[Monthly Interest Rate]],2)</f>
        <v>37001.919999999998</v>
      </c>
      <c r="F94" s="3">
        <f t="shared" si="5"/>
        <v>274</v>
      </c>
      <c r="G94" s="23">
        <f>IFERROR(IF($C$13="No","N/A",IF(Table15781012[[#This Row],[Period]]=1,$C$6,PMT(InterestRate*AmortizationMultiplier/12,Table15781012[[#This Row],[Am Thru]],-Table15781012[[#This Row],[Beginning Balance]]))),0)</f>
        <v>45182.464515157866</v>
      </c>
      <c r="H94" s="3">
        <f>MAX(0,IF(C94=$C$4,D94,ROUND(IF($C$3="Fixed Principal",$C$6-Table15781012[[#This Row],[Interest]],IF($C$3="Interest Only",Table15781012[[#This Row],[Beginning Balance]]*ROUND(1-(1-IF($C$11="No",$E$8,1))^(1/12),6),MIN(IF($C$13="Yes",Table15781012[[#This Row],[Payment Amount (Reamortized)]],$C$6)-Table15781012[[#This Row],[Interest]],Table15781012[[#This Row],[Beginning Balance]]))),2)))</f>
        <v>8180.54</v>
      </c>
      <c r="I94" s="3">
        <f>_xlfn.SINGLE(IF($C$3="Line of Credit",0,ROUND(MAX(MIN(IF($C$10="No",$E$7,VLOOKUP(Table15781012[[#This Row],[Period]],Forecast!$H$2:$L$1048576,4,FALSE))*Table15781012[[#This Row],[Beginning Balance]],Table15781012[[#This Row],[Beginning Balance]]-Table15781012[[#This Row],[Principal]]),0),2)))</f>
        <v>17389.12</v>
      </c>
      <c r="J94" s="3">
        <f>ROUND(MIN(Table15781012[[#This Row],[Beginning Balance]]*IF($C$8="No",$E$3,VLOOKUP(Table15781012[[#This Row],[Period]],Forecast!$H$2:$L$1048576,2,FALSE)),Table15781012[[#This Row],[Beginning Balance]]-Table15781012[[#This Row],[Principal]]-Table15781012[[#This Row],[Prepayments]]),2)</f>
        <v>4162.91</v>
      </c>
      <c r="K94" s="3">
        <f>ROUND(Table15781012[[#This Row],[Defaulted Principal]]*IF($C$9="No",$E$4,VLOOKUP(Table15781012[[#This Row],[Period]],Forecast!$H$2:$L$1048576,3,FALSE)),2)</f>
        <v>360.9</v>
      </c>
      <c r="L94" s="2">
        <f>Table15781012[[#This Row],[Period]]+$E$9</f>
        <v>90</v>
      </c>
      <c r="M94" s="3">
        <f>Table15781012[[#This Row],[Defaulted Principal]]-Table15781012[[#This Row],[Estimated Loss]]</f>
        <v>3802.0099999999998</v>
      </c>
      <c r="N94" s="3">
        <f>IFERROR(VLOOKUP(Table15781012[[#This Row],[Period]],$L$16:$M$385,2,FALSE),0)</f>
        <v>4034.06</v>
      </c>
      <c r="O94" s="3">
        <f>Table15781012[[#This Row],[Beginning Balance]]-Table15781012[[#This Row],[Principal]]-Table15781012[[#This Row],[Prepayments]]-Table15781012[[#This Row],[Defaulted Principal]]</f>
        <v>6065298.809999994</v>
      </c>
      <c r="P94" s="3">
        <f>Table15781012[[#This Row],[Principal]]+Table15781012[[#This Row],[Interest]]+Table15781012[[#This Row],[Prepayments]]+Table15781012[[#This Row],[RecoveredAmount]]</f>
        <v>66605.64</v>
      </c>
      <c r="Q94" s="3">
        <f ca="1">ROUND(Table15781012[[#This Row],[Cash Flow]]/((1+ActualRateToUse)^(IF(ISNUMBER(SEARCH("Actual",$C$7)),Table15781012[[#This Row],[Running Total]]/365,Table15781012[[#This Row],[Period]]/12))),2)</f>
        <v>41786.43</v>
      </c>
      <c r="R94" s="2">
        <f>IF(MONTH(Table15781012[[#This Row],[Date]])=2,28,DAY(DATE(YEAR(Table15781012[[#This Row],[Date]]),MONTH(Table15781012[[#This Row],[Date]])+1,1)-1))</f>
        <v>31</v>
      </c>
      <c r="S94" s="2">
        <f ca="1">SUM(OFFSET(Table15781012[[#Headers],[Days in month]],1,0):Table15781012[[#This Row],[Days in month]])</f>
        <v>2374</v>
      </c>
      <c r="T94" s="37">
        <f>InterestRate*AmortizationMultiplier*IF(ISNUMBER(SEARCH("Actual",$C$7)),Table15781012[[#This Row],[Days in month]]/365,1/12)</f>
        <v>6.0708333333333326E-3</v>
      </c>
    </row>
    <row r="95" spans="2:20" x14ac:dyDescent="0.2">
      <c r="B95" s="1">
        <v>48244</v>
      </c>
      <c r="C95" s="2">
        <f t="shared" si="4"/>
        <v>79</v>
      </c>
      <c r="D95" s="3">
        <f t="shared" si="3"/>
        <v>6065298.809999994</v>
      </c>
      <c r="E95" s="3">
        <f>ROUND(Table15781012[[#This Row],[Beginning Balance]]*Table15781012[[#This Row],[Monthly Interest Rate]],2)</f>
        <v>36821.42</v>
      </c>
      <c r="F95" s="3">
        <f t="shared" si="5"/>
        <v>273</v>
      </c>
      <c r="G95" s="23">
        <f>IFERROR(IF($C$13="No","N/A",IF(Table15781012[[#This Row],[Period]]=1,$C$6,PMT(InterestRate*AmortizationMultiplier/12,Table15781012[[#This Row],[Am Thru]],-Table15781012[[#This Row],[Beginning Balance]]))),0)</f>
        <v>45027.635339141321</v>
      </c>
      <c r="H95" s="3">
        <f>MAX(0,IF(C95=$C$4,D95,ROUND(IF($C$3="Fixed Principal",$C$6-Table15781012[[#This Row],[Interest]],IF($C$3="Interest Only",Table15781012[[#This Row],[Beginning Balance]]*ROUND(1-(1-IF($C$11="No",$E$8,1))^(1/12),6),MIN(IF($C$13="Yes",Table15781012[[#This Row],[Payment Amount (Reamortized)]],$C$6)-Table15781012[[#This Row],[Interest]],Table15781012[[#This Row],[Beginning Balance]]))),2)))</f>
        <v>8206.2199999999993</v>
      </c>
      <c r="I95" s="3">
        <f>_xlfn.SINGLE(IF($C$3="Line of Credit",0,ROUND(MAX(MIN(IF($C$10="No",$E$7,VLOOKUP(Table15781012[[#This Row],[Period]],Forecast!$H$2:$L$1048576,4,FALSE))*Table15781012[[#This Row],[Beginning Balance]],Table15781012[[#This Row],[Beginning Balance]]-Table15781012[[#This Row],[Principal]]),0),2)))</f>
        <v>17304.3</v>
      </c>
      <c r="J95" s="3">
        <f>ROUND(MIN(Table15781012[[#This Row],[Beginning Balance]]*IF($C$8="No",$E$3,VLOOKUP(Table15781012[[#This Row],[Period]],Forecast!$H$2:$L$1048576,2,FALSE)),Table15781012[[#This Row],[Beginning Balance]]-Table15781012[[#This Row],[Principal]]-Table15781012[[#This Row],[Prepayments]]),2)</f>
        <v>4142.6000000000004</v>
      </c>
      <c r="K95" s="3">
        <f>ROUND(Table15781012[[#This Row],[Defaulted Principal]]*IF($C$9="No",$E$4,VLOOKUP(Table15781012[[#This Row],[Period]],Forecast!$H$2:$L$1048576,3,FALSE)),2)</f>
        <v>359.14</v>
      </c>
      <c r="L95" s="2">
        <f>Table15781012[[#This Row],[Period]]+$E$9</f>
        <v>91</v>
      </c>
      <c r="M95" s="3">
        <f>Table15781012[[#This Row],[Defaulted Principal]]-Table15781012[[#This Row],[Estimated Loss]]</f>
        <v>3783.4600000000005</v>
      </c>
      <c r="N95" s="3">
        <f>IFERROR(VLOOKUP(Table15781012[[#This Row],[Period]],$L$16:$M$385,2,FALSE),0)</f>
        <v>4014.8799999999997</v>
      </c>
      <c r="O95" s="3">
        <f>Table15781012[[#This Row],[Beginning Balance]]-Table15781012[[#This Row],[Principal]]-Table15781012[[#This Row],[Prepayments]]-Table15781012[[#This Row],[Defaulted Principal]]</f>
        <v>6035645.6899999948</v>
      </c>
      <c r="P95" s="3">
        <f>Table15781012[[#This Row],[Principal]]+Table15781012[[#This Row],[Interest]]+Table15781012[[#This Row],[Prepayments]]+Table15781012[[#This Row],[RecoveredAmount]]</f>
        <v>66346.820000000007</v>
      </c>
      <c r="Q95" s="3">
        <f ca="1">ROUND(Table15781012[[#This Row],[Cash Flow]]/((1+ActualRateToUse)^(IF(ISNUMBER(SEARCH("Actual",$C$7)),Table15781012[[#This Row],[Running Total]]/365,Table15781012[[#This Row],[Period]]/12))),2)</f>
        <v>41371.42</v>
      </c>
      <c r="R95" s="2">
        <f>IF(MONTH(Table15781012[[#This Row],[Date]])=2,28,DAY(DATE(YEAR(Table15781012[[#This Row],[Date]]),MONTH(Table15781012[[#This Row],[Date]])+1,1)-1))</f>
        <v>31</v>
      </c>
      <c r="S95" s="2">
        <f ca="1">SUM(OFFSET(Table15781012[[#Headers],[Days in month]],1,0):Table15781012[[#This Row],[Days in month]])</f>
        <v>2405</v>
      </c>
      <c r="T95" s="37">
        <f>InterestRate*AmortizationMultiplier*IF(ISNUMBER(SEARCH("Actual",$C$7)),Table15781012[[#This Row],[Days in month]]/365,1/12)</f>
        <v>6.0708333333333326E-3</v>
      </c>
    </row>
    <row r="96" spans="2:20" x14ac:dyDescent="0.2">
      <c r="B96" s="1">
        <v>48273</v>
      </c>
      <c r="C96" s="2">
        <f t="shared" si="4"/>
        <v>80</v>
      </c>
      <c r="D96" s="3">
        <f t="shared" si="3"/>
        <v>6035645.6899999948</v>
      </c>
      <c r="E96" s="3">
        <f>ROUND(Table15781012[[#This Row],[Beginning Balance]]*Table15781012[[#This Row],[Monthly Interest Rate]],2)</f>
        <v>33095.46</v>
      </c>
      <c r="F96" s="3">
        <f t="shared" si="5"/>
        <v>272</v>
      </c>
      <c r="G96" s="23">
        <f>IFERROR(IF($C$13="No","N/A",IF(Table15781012[[#This Row],[Period]]=1,$C$6,PMT(InterestRate*AmortizationMultiplier/12,Table15781012[[#This Row],[Am Thru]],-Table15781012[[#This Row],[Beginning Balance]]))),0)</f>
        <v>44873.334964334594</v>
      </c>
      <c r="H96" s="3">
        <f>MAX(0,IF(C96=$C$4,D96,ROUND(IF($C$3="Fixed Principal",$C$6-Table15781012[[#This Row],[Interest]],IF($C$3="Interest Only",Table15781012[[#This Row],[Beginning Balance]]*ROUND(1-(1-IF($C$11="No",$E$8,1))^(1/12),6),MIN(IF($C$13="Yes",Table15781012[[#This Row],[Payment Amount (Reamortized)]],$C$6)-Table15781012[[#This Row],[Interest]],Table15781012[[#This Row],[Beginning Balance]]))),2)))</f>
        <v>11777.87</v>
      </c>
      <c r="I96" s="3">
        <f>_xlfn.SINGLE(IF($C$3="Line of Credit",0,ROUND(MAX(MIN(IF($C$10="No",$E$7,VLOOKUP(Table15781012[[#This Row],[Period]],Forecast!$H$2:$L$1048576,4,FALSE))*Table15781012[[#This Row],[Beginning Balance]],Table15781012[[#This Row],[Beginning Balance]]-Table15781012[[#This Row],[Principal]]),0),2)))</f>
        <v>17219.7</v>
      </c>
      <c r="J96" s="3">
        <f>ROUND(MIN(Table15781012[[#This Row],[Beginning Balance]]*IF($C$8="No",$E$3,VLOOKUP(Table15781012[[#This Row],[Period]],Forecast!$H$2:$L$1048576,2,FALSE)),Table15781012[[#This Row],[Beginning Balance]]-Table15781012[[#This Row],[Principal]]-Table15781012[[#This Row],[Prepayments]]),2)</f>
        <v>4122.3500000000004</v>
      </c>
      <c r="K96" s="3">
        <f>ROUND(Table15781012[[#This Row],[Defaulted Principal]]*IF($C$9="No",$E$4,VLOOKUP(Table15781012[[#This Row],[Period]],Forecast!$H$2:$L$1048576,3,FALSE)),2)</f>
        <v>357.38</v>
      </c>
      <c r="L96" s="2">
        <f>Table15781012[[#This Row],[Period]]+$E$9</f>
        <v>92</v>
      </c>
      <c r="M96" s="3">
        <f>Table15781012[[#This Row],[Defaulted Principal]]-Table15781012[[#This Row],[Estimated Loss]]</f>
        <v>3764.9700000000003</v>
      </c>
      <c r="N96" s="3">
        <f>IFERROR(VLOOKUP(Table15781012[[#This Row],[Period]],$L$16:$M$385,2,FALSE),0)</f>
        <v>3995.75</v>
      </c>
      <c r="O96" s="3">
        <f>Table15781012[[#This Row],[Beginning Balance]]-Table15781012[[#This Row],[Principal]]-Table15781012[[#This Row],[Prepayments]]-Table15781012[[#This Row],[Defaulted Principal]]</f>
        <v>6002525.7699999949</v>
      </c>
      <c r="P96" s="3">
        <f>Table15781012[[#This Row],[Principal]]+Table15781012[[#This Row],[Interest]]+Table15781012[[#This Row],[Prepayments]]+Table15781012[[#This Row],[RecoveredAmount]]</f>
        <v>66088.78</v>
      </c>
      <c r="Q96" s="3">
        <f ca="1">ROUND(Table15781012[[#This Row],[Cash Flow]]/((1+ActualRateToUse)^(IF(ISNUMBER(SEARCH("Actual",$C$7)),Table15781012[[#This Row],[Running Total]]/365,Table15781012[[#This Row],[Period]]/12))),2)</f>
        <v>40984.53</v>
      </c>
      <c r="R96" s="2">
        <f>IF(MONTH(Table15781012[[#This Row],[Date]])=2,28,DAY(DATE(YEAR(Table15781012[[#This Row],[Date]]),MONTH(Table15781012[[#This Row],[Date]])+1,1)-1))</f>
        <v>28</v>
      </c>
      <c r="S96" s="2">
        <f ca="1">SUM(OFFSET(Table15781012[[#Headers],[Days in month]],1,0):Table15781012[[#This Row],[Days in month]])</f>
        <v>2433</v>
      </c>
      <c r="T96" s="37">
        <f>InterestRate*AmortizationMultiplier*IF(ISNUMBER(SEARCH("Actual",$C$7)),Table15781012[[#This Row],[Days in month]]/365,1/12)</f>
        <v>5.4833333333333331E-3</v>
      </c>
    </row>
    <row r="97" spans="2:20" x14ac:dyDescent="0.2">
      <c r="B97" s="1">
        <v>48304</v>
      </c>
      <c r="C97" s="2">
        <f t="shared" si="4"/>
        <v>81</v>
      </c>
      <c r="D97" s="3">
        <f t="shared" si="3"/>
        <v>6002525.7699999949</v>
      </c>
      <c r="E97" s="3">
        <f>ROUND(Table15781012[[#This Row],[Beginning Balance]]*Table15781012[[#This Row],[Monthly Interest Rate]],2)</f>
        <v>36440.33</v>
      </c>
      <c r="F97" s="3">
        <f t="shared" si="5"/>
        <v>271</v>
      </c>
      <c r="G97" s="23">
        <f>IFERROR(IF($C$13="No","N/A",IF(Table15781012[[#This Row],[Period]]=1,$C$6,PMT(InterestRate*AmortizationMultiplier/12,Table15781012[[#This Row],[Am Thru]],-Table15781012[[#This Row],[Beginning Balance]]))),0)</f>
        <v>44693.159608483016</v>
      </c>
      <c r="H97" s="3">
        <f>MAX(0,IF(C97=$C$4,D97,ROUND(IF($C$3="Fixed Principal",$C$6-Table15781012[[#This Row],[Interest]],IF($C$3="Interest Only",Table15781012[[#This Row],[Beginning Balance]]*ROUND(1-(1-IF($C$11="No",$E$8,1))^(1/12),6),MIN(IF($C$13="Yes",Table15781012[[#This Row],[Payment Amount (Reamortized)]],$C$6)-Table15781012[[#This Row],[Interest]],Table15781012[[#This Row],[Beginning Balance]]))),2)))</f>
        <v>8252.83</v>
      </c>
      <c r="I97" s="3">
        <f>_xlfn.SINGLE(IF($C$3="Line of Credit",0,ROUND(MAX(MIN(IF($C$10="No",$E$7,VLOOKUP(Table15781012[[#This Row],[Period]],Forecast!$H$2:$L$1048576,4,FALSE))*Table15781012[[#This Row],[Beginning Balance]],Table15781012[[#This Row],[Beginning Balance]]-Table15781012[[#This Row],[Principal]]),0),2)))</f>
        <v>17125.21</v>
      </c>
      <c r="J97" s="3">
        <f>ROUND(MIN(Table15781012[[#This Row],[Beginning Balance]]*IF($C$8="No",$E$3,VLOOKUP(Table15781012[[#This Row],[Period]],Forecast!$H$2:$L$1048576,2,FALSE)),Table15781012[[#This Row],[Beginning Balance]]-Table15781012[[#This Row],[Principal]]-Table15781012[[#This Row],[Prepayments]]),2)</f>
        <v>4099.7299999999996</v>
      </c>
      <c r="K97" s="3">
        <f>ROUND(Table15781012[[#This Row],[Defaulted Principal]]*IF($C$9="No",$E$4,VLOOKUP(Table15781012[[#This Row],[Period]],Forecast!$H$2:$L$1048576,3,FALSE)),2)</f>
        <v>355.42</v>
      </c>
      <c r="L97" s="2">
        <f>Table15781012[[#This Row],[Period]]+$E$9</f>
        <v>93</v>
      </c>
      <c r="M97" s="3">
        <f>Table15781012[[#This Row],[Defaulted Principal]]-Table15781012[[#This Row],[Estimated Loss]]</f>
        <v>3744.3099999999995</v>
      </c>
      <c r="N97" s="3">
        <f>IFERROR(VLOOKUP(Table15781012[[#This Row],[Period]],$L$16:$M$385,2,FALSE),0)</f>
        <v>3974.3199999999997</v>
      </c>
      <c r="O97" s="3">
        <f>Table15781012[[#This Row],[Beginning Balance]]-Table15781012[[#This Row],[Principal]]-Table15781012[[#This Row],[Prepayments]]-Table15781012[[#This Row],[Defaulted Principal]]</f>
        <v>5973047.9999999944</v>
      </c>
      <c r="P97" s="3">
        <f>Table15781012[[#This Row],[Principal]]+Table15781012[[#This Row],[Interest]]+Table15781012[[#This Row],[Prepayments]]+Table15781012[[#This Row],[RecoveredAmount]]</f>
        <v>65792.69</v>
      </c>
      <c r="Q97" s="3">
        <f ca="1">ROUND(Table15781012[[#This Row],[Cash Flow]]/((1+ActualRateToUse)^(IF(ISNUMBER(SEARCH("Actual",$C$7)),Table15781012[[#This Row],[Running Total]]/365,Table15781012[[#This Row],[Period]]/12))),2)</f>
        <v>40553.279999999999</v>
      </c>
      <c r="R97" s="2">
        <f>IF(MONTH(Table15781012[[#This Row],[Date]])=2,28,DAY(DATE(YEAR(Table15781012[[#This Row],[Date]]),MONTH(Table15781012[[#This Row],[Date]])+1,1)-1))</f>
        <v>31</v>
      </c>
      <c r="S97" s="2">
        <f ca="1">SUM(OFFSET(Table15781012[[#Headers],[Days in month]],1,0):Table15781012[[#This Row],[Days in month]])</f>
        <v>2464</v>
      </c>
      <c r="T97" s="37">
        <f>InterestRate*AmortizationMultiplier*IF(ISNUMBER(SEARCH("Actual",$C$7)),Table15781012[[#This Row],[Days in month]]/365,1/12)</f>
        <v>6.0708333333333326E-3</v>
      </c>
    </row>
    <row r="98" spans="2:20" x14ac:dyDescent="0.2">
      <c r="B98" s="1">
        <v>48334</v>
      </c>
      <c r="C98" s="2">
        <f t="shared" si="4"/>
        <v>82</v>
      </c>
      <c r="D98" s="3">
        <f t="shared" si="3"/>
        <v>5973047.9999999944</v>
      </c>
      <c r="E98" s="3">
        <f>ROUND(Table15781012[[#This Row],[Beginning Balance]]*Table15781012[[#This Row],[Monthly Interest Rate]],2)</f>
        <v>35091.660000000003</v>
      </c>
      <c r="F98" s="3">
        <f t="shared" si="5"/>
        <v>270</v>
      </c>
      <c r="G98" s="23">
        <f>IFERROR(IF($C$13="No","N/A",IF(Table15781012[[#This Row],[Period]]=1,$C$6,PMT(InterestRate*AmortizationMultiplier/12,Table15781012[[#This Row],[Am Thru]],-Table15781012[[#This Row],[Beginning Balance]]))),0)</f>
        <v>44540.002002234549</v>
      </c>
      <c r="H98" s="3">
        <f>MAX(0,IF(C98=$C$4,D98,ROUND(IF($C$3="Fixed Principal",$C$6-Table15781012[[#This Row],[Interest]],IF($C$3="Interest Only",Table15781012[[#This Row],[Beginning Balance]]*ROUND(1-(1-IF($C$11="No",$E$8,1))^(1/12),6),MIN(IF($C$13="Yes",Table15781012[[#This Row],[Payment Amount (Reamortized)]],$C$6)-Table15781012[[#This Row],[Interest]],Table15781012[[#This Row],[Beginning Balance]]))),2)))</f>
        <v>9448.34</v>
      </c>
      <c r="I98" s="3">
        <f>_xlfn.SINGLE(IF($C$3="Line of Credit",0,ROUND(MAX(MIN(IF($C$10="No",$E$7,VLOOKUP(Table15781012[[#This Row],[Period]],Forecast!$H$2:$L$1048576,4,FALSE))*Table15781012[[#This Row],[Beginning Balance]],Table15781012[[#This Row],[Beginning Balance]]-Table15781012[[#This Row],[Principal]]),0),2)))</f>
        <v>17041.11</v>
      </c>
      <c r="J98" s="3">
        <f>ROUND(MIN(Table15781012[[#This Row],[Beginning Balance]]*IF($C$8="No",$E$3,VLOOKUP(Table15781012[[#This Row],[Period]],Forecast!$H$2:$L$1048576,2,FALSE)),Table15781012[[#This Row],[Beginning Balance]]-Table15781012[[#This Row],[Principal]]-Table15781012[[#This Row],[Prepayments]]),2)</f>
        <v>4079.59</v>
      </c>
      <c r="K98" s="3">
        <f>ROUND(Table15781012[[#This Row],[Defaulted Principal]]*IF($C$9="No",$E$4,VLOOKUP(Table15781012[[#This Row],[Period]],Forecast!$H$2:$L$1048576,3,FALSE)),2)</f>
        <v>353.68</v>
      </c>
      <c r="L98" s="2">
        <f>Table15781012[[#This Row],[Period]]+$E$9</f>
        <v>94</v>
      </c>
      <c r="M98" s="3">
        <f>Table15781012[[#This Row],[Defaulted Principal]]-Table15781012[[#This Row],[Estimated Loss]]</f>
        <v>3725.9100000000003</v>
      </c>
      <c r="N98" s="3">
        <f>IFERROR(VLOOKUP(Table15781012[[#This Row],[Period]],$L$16:$M$385,2,FALSE),0)</f>
        <v>3955.3</v>
      </c>
      <c r="O98" s="3">
        <f>Table15781012[[#This Row],[Beginning Balance]]-Table15781012[[#This Row],[Principal]]-Table15781012[[#This Row],[Prepayments]]-Table15781012[[#This Row],[Defaulted Principal]]</f>
        <v>5942478.9599999944</v>
      </c>
      <c r="P98" s="3">
        <f>Table15781012[[#This Row],[Principal]]+Table15781012[[#This Row],[Interest]]+Table15781012[[#This Row],[Prepayments]]+Table15781012[[#This Row],[RecoveredAmount]]</f>
        <v>65536.41</v>
      </c>
      <c r="Q98" s="3">
        <f ca="1">ROUND(Table15781012[[#This Row],[Cash Flow]]/((1+ActualRateToUse)^(IF(ISNUMBER(SEARCH("Actual",$C$7)),Table15781012[[#This Row],[Running Total]]/365,Table15781012[[#This Row],[Period]]/12))),2)</f>
        <v>40158.019999999997</v>
      </c>
      <c r="R98" s="2">
        <f>IF(MONTH(Table15781012[[#This Row],[Date]])=2,28,DAY(DATE(YEAR(Table15781012[[#This Row],[Date]]),MONTH(Table15781012[[#This Row],[Date]])+1,1)-1))</f>
        <v>30</v>
      </c>
      <c r="S98" s="2">
        <f ca="1">SUM(OFFSET(Table15781012[[#Headers],[Days in month]],1,0):Table15781012[[#This Row],[Days in month]])</f>
        <v>2494</v>
      </c>
      <c r="T98" s="37">
        <f>InterestRate*AmortizationMultiplier*IF(ISNUMBER(SEARCH("Actual",$C$7)),Table15781012[[#This Row],[Days in month]]/365,1/12)</f>
        <v>5.8749999999999991E-3</v>
      </c>
    </row>
    <row r="99" spans="2:20" x14ac:dyDescent="0.2">
      <c r="B99" s="1">
        <v>48365</v>
      </c>
      <c r="C99" s="2">
        <f t="shared" si="4"/>
        <v>83</v>
      </c>
      <c r="D99" s="3">
        <f t="shared" si="3"/>
        <v>5942478.9599999944</v>
      </c>
      <c r="E99" s="3">
        <f>ROUND(Table15781012[[#This Row],[Beginning Balance]]*Table15781012[[#This Row],[Monthly Interest Rate]],2)</f>
        <v>36075.800000000003</v>
      </c>
      <c r="F99" s="3">
        <f t="shared" si="5"/>
        <v>269</v>
      </c>
      <c r="G99" s="23">
        <f>IFERROR(IF($C$13="No","N/A",IF(Table15781012[[#This Row],[Period]]=1,$C$6,PMT(InterestRate*AmortizationMultiplier/12,Table15781012[[#This Row],[Am Thru]],-Table15781012[[#This Row],[Beginning Balance]]))),0)</f>
        <v>44378.632142760805</v>
      </c>
      <c r="H99" s="3">
        <f>MAX(0,IF(C99=$C$4,D99,ROUND(IF($C$3="Fixed Principal",$C$6-Table15781012[[#This Row],[Interest]],IF($C$3="Interest Only",Table15781012[[#This Row],[Beginning Balance]]*ROUND(1-(1-IF($C$11="No",$E$8,1))^(1/12),6),MIN(IF($C$13="Yes",Table15781012[[#This Row],[Payment Amount (Reamortized)]],$C$6)-Table15781012[[#This Row],[Interest]],Table15781012[[#This Row],[Beginning Balance]]))),2)))</f>
        <v>8302.83</v>
      </c>
      <c r="I99" s="3">
        <f>_xlfn.SINGLE(IF($C$3="Line of Credit",0,ROUND(MAX(MIN(IF($C$10="No",$E$7,VLOOKUP(Table15781012[[#This Row],[Period]],Forecast!$H$2:$L$1048576,4,FALSE))*Table15781012[[#This Row],[Beginning Balance]],Table15781012[[#This Row],[Beginning Balance]]-Table15781012[[#This Row],[Principal]]),0),2)))</f>
        <v>16953.89</v>
      </c>
      <c r="J99" s="3">
        <f>ROUND(MIN(Table15781012[[#This Row],[Beginning Balance]]*IF($C$8="No",$E$3,VLOOKUP(Table15781012[[#This Row],[Period]],Forecast!$H$2:$L$1048576,2,FALSE)),Table15781012[[#This Row],[Beginning Balance]]-Table15781012[[#This Row],[Principal]]-Table15781012[[#This Row],[Prepayments]]),2)</f>
        <v>4058.71</v>
      </c>
      <c r="K99" s="3">
        <f>ROUND(Table15781012[[#This Row],[Defaulted Principal]]*IF($C$9="No",$E$4,VLOOKUP(Table15781012[[#This Row],[Period]],Forecast!$H$2:$L$1048576,3,FALSE)),2)</f>
        <v>351.87</v>
      </c>
      <c r="L99" s="2">
        <f>Table15781012[[#This Row],[Period]]+$E$9</f>
        <v>95</v>
      </c>
      <c r="M99" s="3">
        <f>Table15781012[[#This Row],[Defaulted Principal]]-Table15781012[[#This Row],[Estimated Loss]]</f>
        <v>3706.84</v>
      </c>
      <c r="N99" s="3">
        <f>IFERROR(VLOOKUP(Table15781012[[#This Row],[Period]],$L$16:$M$385,2,FALSE),0)</f>
        <v>3935.5600000000004</v>
      </c>
      <c r="O99" s="3">
        <f>Table15781012[[#This Row],[Beginning Balance]]-Table15781012[[#This Row],[Principal]]-Table15781012[[#This Row],[Prepayments]]-Table15781012[[#This Row],[Defaulted Principal]]</f>
        <v>5913163.5299999947</v>
      </c>
      <c r="P99" s="3">
        <f>Table15781012[[#This Row],[Principal]]+Table15781012[[#This Row],[Interest]]+Table15781012[[#This Row],[Prepayments]]+Table15781012[[#This Row],[RecoveredAmount]]</f>
        <v>65268.08</v>
      </c>
      <c r="Q99" s="3">
        <f ca="1">ROUND(Table15781012[[#This Row],[Cash Flow]]/((1+ActualRateToUse)^(IF(ISNUMBER(SEARCH("Actual",$C$7)),Table15781012[[#This Row],[Running Total]]/365,Table15781012[[#This Row],[Period]]/12))),2)</f>
        <v>39750.86</v>
      </c>
      <c r="R99" s="2">
        <f>IF(MONTH(Table15781012[[#This Row],[Date]])=2,28,DAY(DATE(YEAR(Table15781012[[#This Row],[Date]]),MONTH(Table15781012[[#This Row],[Date]])+1,1)-1))</f>
        <v>31</v>
      </c>
      <c r="S99" s="2">
        <f ca="1">SUM(OFFSET(Table15781012[[#Headers],[Days in month]],1,0):Table15781012[[#This Row],[Days in month]])</f>
        <v>2525</v>
      </c>
      <c r="T99" s="37">
        <f>InterestRate*AmortizationMultiplier*IF(ISNUMBER(SEARCH("Actual",$C$7)),Table15781012[[#This Row],[Days in month]]/365,1/12)</f>
        <v>6.0708333333333326E-3</v>
      </c>
    </row>
    <row r="100" spans="2:20" x14ac:dyDescent="0.2">
      <c r="B100" s="1">
        <v>48395</v>
      </c>
      <c r="C100" s="2">
        <f t="shared" si="4"/>
        <v>84</v>
      </c>
      <c r="D100" s="3">
        <f t="shared" si="3"/>
        <v>5913163.5299999947</v>
      </c>
      <c r="E100" s="3">
        <f>ROUND(Table15781012[[#This Row],[Beginning Balance]]*Table15781012[[#This Row],[Monthly Interest Rate]],2)</f>
        <v>34739.839999999997</v>
      </c>
      <c r="F100" s="3">
        <f t="shared" si="5"/>
        <v>268</v>
      </c>
      <c r="G100" s="23">
        <f>IFERROR(IF($C$13="No","N/A",IF(Table15781012[[#This Row],[Period]]=1,$C$6,PMT(InterestRate*AmortizationMultiplier/12,Table15781012[[#This Row],[Am Thru]],-Table15781012[[#This Row],[Beginning Balance]]))),0)</f>
        <v>44226.549140759074</v>
      </c>
      <c r="H100" s="3">
        <f>MAX(0,IF(C100=$C$4,D100,ROUND(IF($C$3="Fixed Principal",$C$6-Table15781012[[#This Row],[Interest]],IF($C$3="Interest Only",Table15781012[[#This Row],[Beginning Balance]]*ROUND(1-(1-IF($C$11="No",$E$8,1))^(1/12),6),MIN(IF($C$13="Yes",Table15781012[[#This Row],[Payment Amount (Reamortized)]],$C$6)-Table15781012[[#This Row],[Interest]],Table15781012[[#This Row],[Beginning Balance]]))),2)))</f>
        <v>9486.7099999999991</v>
      </c>
      <c r="I100" s="3">
        <f>_xlfn.SINGLE(IF($C$3="Line of Credit",0,ROUND(MAX(MIN(IF($C$10="No",$E$7,VLOOKUP(Table15781012[[#This Row],[Period]],Forecast!$H$2:$L$1048576,4,FALSE))*Table15781012[[#This Row],[Beginning Balance]],Table15781012[[#This Row],[Beginning Balance]]-Table15781012[[#This Row],[Principal]]),0),2)))</f>
        <v>16870.259999999998</v>
      </c>
      <c r="J100" s="3">
        <f>ROUND(MIN(Table15781012[[#This Row],[Beginning Balance]]*IF($C$8="No",$E$3,VLOOKUP(Table15781012[[#This Row],[Period]],Forecast!$H$2:$L$1048576,2,FALSE)),Table15781012[[#This Row],[Beginning Balance]]-Table15781012[[#This Row],[Principal]]-Table15781012[[#This Row],[Prepayments]]),2)</f>
        <v>4038.69</v>
      </c>
      <c r="K100" s="3">
        <f>ROUND(Table15781012[[#This Row],[Defaulted Principal]]*IF($C$9="No",$E$4,VLOOKUP(Table15781012[[#This Row],[Period]],Forecast!$H$2:$L$1048576,3,FALSE)),2)</f>
        <v>350.13</v>
      </c>
      <c r="L100" s="2">
        <f>Table15781012[[#This Row],[Period]]+$E$9</f>
        <v>96</v>
      </c>
      <c r="M100" s="3">
        <f>Table15781012[[#This Row],[Defaulted Principal]]-Table15781012[[#This Row],[Estimated Loss]]</f>
        <v>3688.56</v>
      </c>
      <c r="N100" s="3">
        <f>IFERROR(VLOOKUP(Table15781012[[#This Row],[Period]],$L$16:$M$385,2,FALSE),0)</f>
        <v>3916.6500000000005</v>
      </c>
      <c r="O100" s="3">
        <f>Table15781012[[#This Row],[Beginning Balance]]-Table15781012[[#This Row],[Principal]]-Table15781012[[#This Row],[Prepayments]]-Table15781012[[#This Row],[Defaulted Principal]]</f>
        <v>5882767.8699999945</v>
      </c>
      <c r="P100" s="3">
        <f>Table15781012[[#This Row],[Principal]]+Table15781012[[#This Row],[Interest]]+Table15781012[[#This Row],[Prepayments]]+Table15781012[[#This Row],[RecoveredAmount]]</f>
        <v>65013.46</v>
      </c>
      <c r="Q100" s="3">
        <f ca="1">ROUND(Table15781012[[#This Row],[Cash Flow]]/((1+ActualRateToUse)^(IF(ISNUMBER(SEARCH("Actual",$C$7)),Table15781012[[#This Row],[Running Total]]/365,Table15781012[[#This Row],[Period]]/12))),2)</f>
        <v>39363.19</v>
      </c>
      <c r="R100" s="2">
        <f>IF(MONTH(Table15781012[[#This Row],[Date]])=2,28,DAY(DATE(YEAR(Table15781012[[#This Row],[Date]]),MONTH(Table15781012[[#This Row],[Date]])+1,1)-1))</f>
        <v>30</v>
      </c>
      <c r="S100" s="2">
        <f ca="1">SUM(OFFSET(Table15781012[[#Headers],[Days in month]],1,0):Table15781012[[#This Row],[Days in month]])</f>
        <v>2555</v>
      </c>
      <c r="T100" s="37">
        <f>InterestRate*AmortizationMultiplier*IF(ISNUMBER(SEARCH("Actual",$C$7)),Table15781012[[#This Row],[Days in month]]/365,1/12)</f>
        <v>5.8749999999999991E-3</v>
      </c>
    </row>
    <row r="101" spans="2:20" x14ac:dyDescent="0.2">
      <c r="B101" s="1">
        <v>48426</v>
      </c>
      <c r="C101" s="2">
        <f t="shared" si="4"/>
        <v>85</v>
      </c>
      <c r="D101" s="3">
        <f t="shared" si="3"/>
        <v>5882767.8699999945</v>
      </c>
      <c r="E101" s="3">
        <f>ROUND(Table15781012[[#This Row],[Beginning Balance]]*Table15781012[[#This Row],[Monthly Interest Rate]],2)</f>
        <v>35713.300000000003</v>
      </c>
      <c r="F101" s="3">
        <f t="shared" si="5"/>
        <v>267</v>
      </c>
      <c r="G101" s="23">
        <f>IFERROR(IF($C$13="No","N/A",IF(Table15781012[[#This Row],[Period]]=1,$C$6,PMT(InterestRate*AmortizationMultiplier/12,Table15781012[[#This Row],[Am Thru]],-Table15781012[[#This Row],[Beginning Balance]]))),0)</f>
        <v>44066.311296064538</v>
      </c>
      <c r="H101" s="3">
        <f>MAX(0,IF(C101=$C$4,D101,ROUND(IF($C$3="Fixed Principal",$C$6-Table15781012[[#This Row],[Interest]],IF($C$3="Interest Only",Table15781012[[#This Row],[Beginning Balance]]*ROUND(1-(1-IF($C$11="No",$E$8,1))^(1/12),6),MIN(IF($C$13="Yes",Table15781012[[#This Row],[Payment Amount (Reamortized)]],$C$6)-Table15781012[[#This Row],[Interest]],Table15781012[[#This Row],[Beginning Balance]]))),2)))</f>
        <v>8353.01</v>
      </c>
      <c r="I101" s="3">
        <f>_xlfn.SINGLE(IF($C$3="Line of Credit",0,ROUND(MAX(MIN(IF($C$10="No",$E$7,VLOOKUP(Table15781012[[#This Row],[Period]],Forecast!$H$2:$L$1048576,4,FALSE))*Table15781012[[#This Row],[Beginning Balance]],Table15781012[[#This Row],[Beginning Balance]]-Table15781012[[#This Row],[Principal]]),0),2)))</f>
        <v>16783.54</v>
      </c>
      <c r="J101" s="3">
        <f>ROUND(MIN(Table15781012[[#This Row],[Beginning Balance]]*IF($C$8="No",$E$3,VLOOKUP(Table15781012[[#This Row],[Period]],Forecast!$H$2:$L$1048576,2,FALSE)),Table15781012[[#This Row],[Beginning Balance]]-Table15781012[[#This Row],[Principal]]-Table15781012[[#This Row],[Prepayments]]),2)</f>
        <v>4017.93</v>
      </c>
      <c r="K101" s="3">
        <f>ROUND(Table15781012[[#This Row],[Defaulted Principal]]*IF($C$9="No",$E$4,VLOOKUP(Table15781012[[#This Row],[Period]],Forecast!$H$2:$L$1048576,3,FALSE)),2)</f>
        <v>348.33</v>
      </c>
      <c r="L101" s="2">
        <f>Table15781012[[#This Row],[Period]]+$E$9</f>
        <v>97</v>
      </c>
      <c r="M101" s="3">
        <f>Table15781012[[#This Row],[Defaulted Principal]]-Table15781012[[#This Row],[Estimated Loss]]</f>
        <v>3669.6</v>
      </c>
      <c r="N101" s="3">
        <f>IFERROR(VLOOKUP(Table15781012[[#This Row],[Period]],$L$16:$M$385,2,FALSE),0)</f>
        <v>3897.0199999999995</v>
      </c>
      <c r="O101" s="3">
        <f>Table15781012[[#This Row],[Beginning Balance]]-Table15781012[[#This Row],[Principal]]-Table15781012[[#This Row],[Prepayments]]-Table15781012[[#This Row],[Defaulted Principal]]</f>
        <v>5853613.389999995</v>
      </c>
      <c r="P101" s="3">
        <f>Table15781012[[#This Row],[Principal]]+Table15781012[[#This Row],[Interest]]+Table15781012[[#This Row],[Prepayments]]+Table15781012[[#This Row],[RecoveredAmount]]</f>
        <v>64746.87</v>
      </c>
      <c r="Q101" s="3">
        <f ca="1">ROUND(Table15781012[[#This Row],[Cash Flow]]/((1+ActualRateToUse)^(IF(ISNUMBER(SEARCH("Actual",$C$7)),Table15781012[[#This Row],[Running Total]]/365,Table15781012[[#This Row],[Period]]/12))),2)</f>
        <v>38963.85</v>
      </c>
      <c r="R101" s="2">
        <f>IF(MONTH(Table15781012[[#This Row],[Date]])=2,28,DAY(DATE(YEAR(Table15781012[[#This Row],[Date]]),MONTH(Table15781012[[#This Row],[Date]])+1,1)-1))</f>
        <v>31</v>
      </c>
      <c r="S101" s="2">
        <f ca="1">SUM(OFFSET(Table15781012[[#Headers],[Days in month]],1,0):Table15781012[[#This Row],[Days in month]])</f>
        <v>2586</v>
      </c>
      <c r="T101" s="37">
        <f>InterestRate*AmortizationMultiplier*IF(ISNUMBER(SEARCH("Actual",$C$7)),Table15781012[[#This Row],[Days in month]]/365,1/12)</f>
        <v>6.0708333333333326E-3</v>
      </c>
    </row>
    <row r="102" spans="2:20" x14ac:dyDescent="0.2">
      <c r="B102" s="1">
        <v>48457</v>
      </c>
      <c r="C102" s="2">
        <f t="shared" si="4"/>
        <v>86</v>
      </c>
      <c r="D102" s="3">
        <f t="shared" si="3"/>
        <v>5853613.389999995</v>
      </c>
      <c r="E102" s="3">
        <f>ROUND(Table15781012[[#This Row],[Beginning Balance]]*Table15781012[[#This Row],[Monthly Interest Rate]],2)</f>
        <v>35536.31</v>
      </c>
      <c r="F102" s="3">
        <f t="shared" si="5"/>
        <v>266</v>
      </c>
      <c r="G102" s="23">
        <f>IFERROR(IF($C$13="No","N/A",IF(Table15781012[[#This Row],[Period]]=1,$C$6,PMT(InterestRate*AmortizationMultiplier/12,Table15781012[[#This Row],[Am Thru]],-Table15781012[[#This Row],[Beginning Balance]]))),0)</f>
        <v>43915.295066307779</v>
      </c>
      <c r="H102" s="3">
        <f>MAX(0,IF(C102=$C$4,D102,ROUND(IF($C$3="Fixed Principal",$C$6-Table15781012[[#This Row],[Interest]],IF($C$3="Interest Only",Table15781012[[#This Row],[Beginning Balance]]*ROUND(1-(1-IF($C$11="No",$E$8,1))^(1/12),6),MIN(IF($C$13="Yes",Table15781012[[#This Row],[Payment Amount (Reamortized)]],$C$6)-Table15781012[[#This Row],[Interest]],Table15781012[[#This Row],[Beginning Balance]]))),2)))</f>
        <v>8378.99</v>
      </c>
      <c r="I102" s="3">
        <f>_xlfn.SINGLE(IF($C$3="Line of Credit",0,ROUND(MAX(MIN(IF($C$10="No",$E$7,VLOOKUP(Table15781012[[#This Row],[Period]],Forecast!$H$2:$L$1048576,4,FALSE))*Table15781012[[#This Row],[Beginning Balance]],Table15781012[[#This Row],[Beginning Balance]]-Table15781012[[#This Row],[Principal]]),0),2)))</f>
        <v>16700.36</v>
      </c>
      <c r="J102" s="3">
        <f>ROUND(MIN(Table15781012[[#This Row],[Beginning Balance]]*IF($C$8="No",$E$3,VLOOKUP(Table15781012[[#This Row],[Period]],Forecast!$H$2:$L$1048576,2,FALSE)),Table15781012[[#This Row],[Beginning Balance]]-Table15781012[[#This Row],[Principal]]-Table15781012[[#This Row],[Prepayments]]),2)</f>
        <v>3998.02</v>
      </c>
      <c r="K102" s="3">
        <f>ROUND(Table15781012[[#This Row],[Defaulted Principal]]*IF($C$9="No",$E$4,VLOOKUP(Table15781012[[#This Row],[Period]],Forecast!$H$2:$L$1048576,3,FALSE)),2)</f>
        <v>346.6</v>
      </c>
      <c r="L102" s="2">
        <f>Table15781012[[#This Row],[Period]]+$E$9</f>
        <v>98</v>
      </c>
      <c r="M102" s="3">
        <f>Table15781012[[#This Row],[Defaulted Principal]]-Table15781012[[#This Row],[Estimated Loss]]</f>
        <v>3651.42</v>
      </c>
      <c r="N102" s="3">
        <f>IFERROR(VLOOKUP(Table15781012[[#This Row],[Period]],$L$16:$M$385,2,FALSE),0)</f>
        <v>3878.2200000000003</v>
      </c>
      <c r="O102" s="3">
        <f>Table15781012[[#This Row],[Beginning Balance]]-Table15781012[[#This Row],[Principal]]-Table15781012[[#This Row],[Prepayments]]-Table15781012[[#This Row],[Defaulted Principal]]</f>
        <v>5824536.0199999949</v>
      </c>
      <c r="P102" s="3">
        <f>Table15781012[[#This Row],[Principal]]+Table15781012[[#This Row],[Interest]]+Table15781012[[#This Row],[Prepayments]]+Table15781012[[#This Row],[RecoveredAmount]]</f>
        <v>64493.88</v>
      </c>
      <c r="Q102" s="3">
        <f ca="1">ROUND(Table15781012[[#This Row],[Cash Flow]]/((1+ActualRateToUse)^(IF(ISNUMBER(SEARCH("Actual",$C$7)),Table15781012[[#This Row],[Running Total]]/365,Table15781012[[#This Row],[Period]]/12))),2)</f>
        <v>38576.04</v>
      </c>
      <c r="R102" s="2">
        <f>IF(MONTH(Table15781012[[#This Row],[Date]])=2,28,DAY(DATE(YEAR(Table15781012[[#This Row],[Date]]),MONTH(Table15781012[[#This Row],[Date]])+1,1)-1))</f>
        <v>31</v>
      </c>
      <c r="S102" s="2">
        <f ca="1">SUM(OFFSET(Table15781012[[#Headers],[Days in month]],1,0):Table15781012[[#This Row],[Days in month]])</f>
        <v>2617</v>
      </c>
      <c r="T102" s="37">
        <f>InterestRate*AmortizationMultiplier*IF(ISNUMBER(SEARCH("Actual",$C$7)),Table15781012[[#This Row],[Days in month]]/365,1/12)</f>
        <v>6.0708333333333326E-3</v>
      </c>
    </row>
    <row r="103" spans="2:20" x14ac:dyDescent="0.2">
      <c r="B103" s="1">
        <v>48487</v>
      </c>
      <c r="C103" s="2">
        <f t="shared" si="4"/>
        <v>87</v>
      </c>
      <c r="D103" s="3">
        <f t="shared" si="3"/>
        <v>5824536.0199999949</v>
      </c>
      <c r="E103" s="3">
        <f>ROUND(Table15781012[[#This Row],[Beginning Balance]]*Table15781012[[#This Row],[Monthly Interest Rate]],2)</f>
        <v>34219.15</v>
      </c>
      <c r="F103" s="3">
        <f t="shared" si="5"/>
        <v>265</v>
      </c>
      <c r="G103" s="23">
        <f>IFERROR(IF($C$13="No","N/A",IF(Table15781012[[#This Row],[Period]]=1,$C$6,PMT(InterestRate*AmortizationMultiplier/12,Table15781012[[#This Row],[Am Thru]],-Table15781012[[#This Row],[Beginning Balance]]))),0)</f>
        <v>43764.794603820512</v>
      </c>
      <c r="H103" s="3">
        <f>MAX(0,IF(C103=$C$4,D103,ROUND(IF($C$3="Fixed Principal",$C$6-Table15781012[[#This Row],[Interest]],IF($C$3="Interest Only",Table15781012[[#This Row],[Beginning Balance]]*ROUND(1-(1-IF($C$11="No",$E$8,1))^(1/12),6),MIN(IF($C$13="Yes",Table15781012[[#This Row],[Payment Amount (Reamortized)]],$C$6)-Table15781012[[#This Row],[Interest]],Table15781012[[#This Row],[Beginning Balance]]))),2)))</f>
        <v>9545.64</v>
      </c>
      <c r="I103" s="3">
        <f>_xlfn.SINGLE(IF($C$3="Line of Credit",0,ROUND(MAX(MIN(IF($C$10="No",$E$7,VLOOKUP(Table15781012[[#This Row],[Period]],Forecast!$H$2:$L$1048576,4,FALSE))*Table15781012[[#This Row],[Beginning Balance]],Table15781012[[#This Row],[Beginning Balance]]-Table15781012[[#This Row],[Principal]]),0),2)))</f>
        <v>16617.400000000001</v>
      </c>
      <c r="J103" s="3">
        <f>ROUND(MIN(Table15781012[[#This Row],[Beginning Balance]]*IF($C$8="No",$E$3,VLOOKUP(Table15781012[[#This Row],[Period]],Forecast!$H$2:$L$1048576,2,FALSE)),Table15781012[[#This Row],[Beginning Balance]]-Table15781012[[#This Row],[Principal]]-Table15781012[[#This Row],[Prepayments]]),2)</f>
        <v>3978.16</v>
      </c>
      <c r="K103" s="3">
        <f>ROUND(Table15781012[[#This Row],[Defaulted Principal]]*IF($C$9="No",$E$4,VLOOKUP(Table15781012[[#This Row],[Period]],Forecast!$H$2:$L$1048576,3,FALSE)),2)</f>
        <v>344.88</v>
      </c>
      <c r="L103" s="2">
        <f>Table15781012[[#This Row],[Period]]+$E$9</f>
        <v>99</v>
      </c>
      <c r="M103" s="3">
        <f>Table15781012[[#This Row],[Defaulted Principal]]-Table15781012[[#This Row],[Estimated Loss]]</f>
        <v>3633.2799999999997</v>
      </c>
      <c r="N103" s="3">
        <f>IFERROR(VLOOKUP(Table15781012[[#This Row],[Period]],$L$16:$M$385,2,FALSE),0)</f>
        <v>3859.47</v>
      </c>
      <c r="O103" s="3">
        <f>Table15781012[[#This Row],[Beginning Balance]]-Table15781012[[#This Row],[Principal]]-Table15781012[[#This Row],[Prepayments]]-Table15781012[[#This Row],[Defaulted Principal]]</f>
        <v>5794394.8199999947</v>
      </c>
      <c r="P103" s="3">
        <f>Table15781012[[#This Row],[Principal]]+Table15781012[[#This Row],[Interest]]+Table15781012[[#This Row],[Prepayments]]+Table15781012[[#This Row],[RecoveredAmount]]</f>
        <v>64241.66</v>
      </c>
      <c r="Q103" s="3">
        <f ca="1">ROUND(Table15781012[[#This Row],[Cash Flow]]/((1+ActualRateToUse)^(IF(ISNUMBER(SEARCH("Actual",$C$7)),Table15781012[[#This Row],[Running Total]]/365,Table15781012[[#This Row],[Period]]/12))),2)</f>
        <v>38199.46</v>
      </c>
      <c r="R103" s="2">
        <f>IF(MONTH(Table15781012[[#This Row],[Date]])=2,28,DAY(DATE(YEAR(Table15781012[[#This Row],[Date]]),MONTH(Table15781012[[#This Row],[Date]])+1,1)-1))</f>
        <v>30</v>
      </c>
      <c r="S103" s="2">
        <f ca="1">SUM(OFFSET(Table15781012[[#Headers],[Days in month]],1,0):Table15781012[[#This Row],[Days in month]])</f>
        <v>2647</v>
      </c>
      <c r="T103" s="37">
        <f>InterestRate*AmortizationMultiplier*IF(ISNUMBER(SEARCH("Actual",$C$7)),Table15781012[[#This Row],[Days in month]]/365,1/12)</f>
        <v>5.8749999999999991E-3</v>
      </c>
    </row>
    <row r="104" spans="2:20" x14ac:dyDescent="0.2">
      <c r="B104" s="1">
        <v>48518</v>
      </c>
      <c r="C104" s="2">
        <f t="shared" si="4"/>
        <v>88</v>
      </c>
      <c r="D104" s="3">
        <f t="shared" si="3"/>
        <v>5794394.8199999947</v>
      </c>
      <c r="E104" s="3">
        <f>ROUND(Table15781012[[#This Row],[Beginning Balance]]*Table15781012[[#This Row],[Monthly Interest Rate]],2)</f>
        <v>35176.81</v>
      </c>
      <c r="F104" s="3">
        <f t="shared" si="5"/>
        <v>264</v>
      </c>
      <c r="G104" s="23">
        <f>IFERROR(IF($C$13="No","N/A",IF(Table15781012[[#This Row],[Period]]=1,$C$6,PMT(InterestRate*AmortizationMultiplier/12,Table15781012[[#This Row],[Am Thru]],-Table15781012[[#This Row],[Beginning Balance]]))),0)</f>
        <v>43606.224304007344</v>
      </c>
      <c r="H104" s="3">
        <f>MAX(0,IF(C104=$C$4,D104,ROUND(IF($C$3="Fixed Principal",$C$6-Table15781012[[#This Row],[Interest]],IF($C$3="Interest Only",Table15781012[[#This Row],[Beginning Balance]]*ROUND(1-(1-IF($C$11="No",$E$8,1))^(1/12),6),MIN(IF($C$13="Yes",Table15781012[[#This Row],[Payment Amount (Reamortized)]],$C$6)-Table15781012[[#This Row],[Interest]],Table15781012[[#This Row],[Beginning Balance]]))),2)))</f>
        <v>8429.41</v>
      </c>
      <c r="I104" s="3">
        <f>_xlfn.SINGLE(IF($C$3="Line of Credit",0,ROUND(MAX(MIN(IF($C$10="No",$E$7,VLOOKUP(Table15781012[[#This Row],[Period]],Forecast!$H$2:$L$1048576,4,FALSE))*Table15781012[[#This Row],[Beginning Balance]],Table15781012[[#This Row],[Beginning Balance]]-Table15781012[[#This Row],[Principal]]),0),2)))</f>
        <v>16531.41</v>
      </c>
      <c r="J104" s="3">
        <f>ROUND(MIN(Table15781012[[#This Row],[Beginning Balance]]*IF($C$8="No",$E$3,VLOOKUP(Table15781012[[#This Row],[Period]],Forecast!$H$2:$L$1048576,2,FALSE)),Table15781012[[#This Row],[Beginning Balance]]-Table15781012[[#This Row],[Principal]]-Table15781012[[#This Row],[Prepayments]]),2)</f>
        <v>3957.57</v>
      </c>
      <c r="K104" s="3">
        <f>ROUND(Table15781012[[#This Row],[Defaulted Principal]]*IF($C$9="No",$E$4,VLOOKUP(Table15781012[[#This Row],[Period]],Forecast!$H$2:$L$1048576,3,FALSE)),2)</f>
        <v>343.1</v>
      </c>
      <c r="L104" s="2">
        <f>Table15781012[[#This Row],[Period]]+$E$9</f>
        <v>100</v>
      </c>
      <c r="M104" s="3">
        <f>Table15781012[[#This Row],[Defaulted Principal]]-Table15781012[[#This Row],[Estimated Loss]]</f>
        <v>3614.4700000000003</v>
      </c>
      <c r="N104" s="3">
        <f>IFERROR(VLOOKUP(Table15781012[[#This Row],[Period]],$L$16:$M$385,2,FALSE),0)</f>
        <v>3840</v>
      </c>
      <c r="O104" s="3">
        <f>Table15781012[[#This Row],[Beginning Balance]]-Table15781012[[#This Row],[Principal]]-Table15781012[[#This Row],[Prepayments]]-Table15781012[[#This Row],[Defaulted Principal]]</f>
        <v>5765476.4299999941</v>
      </c>
      <c r="P104" s="3">
        <f>Table15781012[[#This Row],[Principal]]+Table15781012[[#This Row],[Interest]]+Table15781012[[#This Row],[Prepayments]]+Table15781012[[#This Row],[RecoveredAmount]]</f>
        <v>63977.630000000005</v>
      </c>
      <c r="Q104" s="3">
        <f ca="1">ROUND(Table15781012[[#This Row],[Cash Flow]]/((1+ActualRateToUse)^(IF(ISNUMBER(SEARCH("Actual",$C$7)),Table15781012[[#This Row],[Running Total]]/365,Table15781012[[#This Row],[Period]]/12))),2)</f>
        <v>37811.56</v>
      </c>
      <c r="R104" s="2">
        <f>IF(MONTH(Table15781012[[#This Row],[Date]])=2,28,DAY(DATE(YEAR(Table15781012[[#This Row],[Date]]),MONTH(Table15781012[[#This Row],[Date]])+1,1)-1))</f>
        <v>31</v>
      </c>
      <c r="S104" s="2">
        <f ca="1">SUM(OFFSET(Table15781012[[#Headers],[Days in month]],1,0):Table15781012[[#This Row],[Days in month]])</f>
        <v>2678</v>
      </c>
      <c r="T104" s="37">
        <f>InterestRate*AmortizationMultiplier*IF(ISNUMBER(SEARCH("Actual",$C$7)),Table15781012[[#This Row],[Days in month]]/365,1/12)</f>
        <v>6.0708333333333326E-3</v>
      </c>
    </row>
    <row r="105" spans="2:20" x14ac:dyDescent="0.2">
      <c r="B105" s="1">
        <v>48548</v>
      </c>
      <c r="C105" s="2">
        <f t="shared" si="4"/>
        <v>89</v>
      </c>
      <c r="D105" s="3">
        <f t="shared" si="3"/>
        <v>5765476.4299999941</v>
      </c>
      <c r="E105" s="3">
        <f>ROUND(Table15781012[[#This Row],[Beginning Balance]]*Table15781012[[#This Row],[Monthly Interest Rate]],2)</f>
        <v>33872.17</v>
      </c>
      <c r="F105" s="3">
        <f t="shared" si="5"/>
        <v>263</v>
      </c>
      <c r="G105" s="23">
        <f>IFERROR(IF($C$13="No","N/A",IF(Table15781012[[#This Row],[Period]]=1,$C$6,PMT(InterestRate*AmortizationMultiplier/12,Table15781012[[#This Row],[Am Thru]],-Table15781012[[#This Row],[Beginning Balance]]))),0)</f>
        <v>43456.779692226875</v>
      </c>
      <c r="H105" s="3">
        <f>MAX(0,IF(C105=$C$4,D105,ROUND(IF($C$3="Fixed Principal",$C$6-Table15781012[[#This Row],[Interest]],IF($C$3="Interest Only",Table15781012[[#This Row],[Beginning Balance]]*ROUND(1-(1-IF($C$11="No",$E$8,1))^(1/12),6),MIN(IF($C$13="Yes",Table15781012[[#This Row],[Payment Amount (Reamortized)]],$C$6)-Table15781012[[#This Row],[Interest]],Table15781012[[#This Row],[Beginning Balance]]))),2)))</f>
        <v>9584.61</v>
      </c>
      <c r="I105" s="3">
        <f>_xlfn.SINGLE(IF($C$3="Line of Credit",0,ROUND(MAX(MIN(IF($C$10="No",$E$7,VLOOKUP(Table15781012[[#This Row],[Period]],Forecast!$H$2:$L$1048576,4,FALSE))*Table15781012[[#This Row],[Beginning Balance]],Table15781012[[#This Row],[Beginning Balance]]-Table15781012[[#This Row],[Principal]]),0),2)))</f>
        <v>16448.900000000001</v>
      </c>
      <c r="J105" s="3">
        <f>ROUND(MIN(Table15781012[[#This Row],[Beginning Balance]]*IF($C$8="No",$E$3,VLOOKUP(Table15781012[[#This Row],[Period]],Forecast!$H$2:$L$1048576,2,FALSE)),Table15781012[[#This Row],[Beginning Balance]]-Table15781012[[#This Row],[Principal]]-Table15781012[[#This Row],[Prepayments]]),2)</f>
        <v>3937.82</v>
      </c>
      <c r="K105" s="3">
        <f>ROUND(Table15781012[[#This Row],[Defaulted Principal]]*IF($C$9="No",$E$4,VLOOKUP(Table15781012[[#This Row],[Period]],Forecast!$H$2:$L$1048576,3,FALSE)),2)</f>
        <v>341.39</v>
      </c>
      <c r="L105" s="2">
        <f>Table15781012[[#This Row],[Period]]+$E$9</f>
        <v>101</v>
      </c>
      <c r="M105" s="3">
        <f>Table15781012[[#This Row],[Defaulted Principal]]-Table15781012[[#This Row],[Estimated Loss]]</f>
        <v>3596.4300000000003</v>
      </c>
      <c r="N105" s="3">
        <f>IFERROR(VLOOKUP(Table15781012[[#This Row],[Period]],$L$16:$M$385,2,FALSE),0)</f>
        <v>3821.3500000000004</v>
      </c>
      <c r="O105" s="3">
        <f>Table15781012[[#This Row],[Beginning Balance]]-Table15781012[[#This Row],[Principal]]-Table15781012[[#This Row],[Prepayments]]-Table15781012[[#This Row],[Defaulted Principal]]</f>
        <v>5735505.0999999931</v>
      </c>
      <c r="P105" s="3">
        <f>Table15781012[[#This Row],[Principal]]+Table15781012[[#This Row],[Interest]]+Table15781012[[#This Row],[Prepayments]]+Table15781012[[#This Row],[RecoveredAmount]]</f>
        <v>63727.03</v>
      </c>
      <c r="Q105" s="3">
        <f ca="1">ROUND(Table15781012[[#This Row],[Cash Flow]]/((1+ActualRateToUse)^(IF(ISNUMBER(SEARCH("Actual",$C$7)),Table15781012[[#This Row],[Running Total]]/365,Table15781012[[#This Row],[Period]]/12))),2)</f>
        <v>37442.21</v>
      </c>
      <c r="R105" s="2">
        <f>IF(MONTH(Table15781012[[#This Row],[Date]])=2,28,DAY(DATE(YEAR(Table15781012[[#This Row],[Date]]),MONTH(Table15781012[[#This Row],[Date]])+1,1)-1))</f>
        <v>30</v>
      </c>
      <c r="S105" s="2">
        <f ca="1">SUM(OFFSET(Table15781012[[#Headers],[Days in month]],1,0):Table15781012[[#This Row],[Days in month]])</f>
        <v>2708</v>
      </c>
      <c r="T105" s="37">
        <f>InterestRate*AmortizationMultiplier*IF(ISNUMBER(SEARCH("Actual",$C$7)),Table15781012[[#This Row],[Days in month]]/365,1/12)</f>
        <v>5.8749999999999991E-3</v>
      </c>
    </row>
    <row r="106" spans="2:20" x14ac:dyDescent="0.2">
      <c r="B106" s="1">
        <v>48579</v>
      </c>
      <c r="C106" s="2">
        <f t="shared" si="4"/>
        <v>90</v>
      </c>
      <c r="D106" s="3">
        <f t="shared" si="3"/>
        <v>5735505.0999999931</v>
      </c>
      <c r="E106" s="3">
        <f>ROUND(Table15781012[[#This Row],[Beginning Balance]]*Table15781012[[#This Row],[Monthly Interest Rate]],2)</f>
        <v>34819.300000000003</v>
      </c>
      <c r="F106" s="3">
        <f t="shared" si="5"/>
        <v>262</v>
      </c>
      <c r="G106" s="23">
        <f>IFERROR(IF($C$13="No","N/A",IF(Table15781012[[#This Row],[Period]]=1,$C$6,PMT(InterestRate*AmortizationMultiplier/12,Table15781012[[#This Row],[Am Thru]],-Table15781012[[#This Row],[Beginning Balance]]))),0)</f>
        <v>43299.321656935841</v>
      </c>
      <c r="H106" s="3">
        <f>MAX(0,IF(C106=$C$4,D106,ROUND(IF($C$3="Fixed Principal",$C$6-Table15781012[[#This Row],[Interest]],IF($C$3="Interest Only",Table15781012[[#This Row],[Beginning Balance]]*ROUND(1-(1-IF($C$11="No",$E$8,1))^(1/12),6),MIN(IF($C$13="Yes",Table15781012[[#This Row],[Payment Amount (Reamortized)]],$C$6)-Table15781012[[#This Row],[Interest]],Table15781012[[#This Row],[Beginning Balance]]))),2)))</f>
        <v>8480.02</v>
      </c>
      <c r="I106" s="3">
        <f>_xlfn.SINGLE(IF($C$3="Line of Credit",0,ROUND(MAX(MIN(IF($C$10="No",$E$7,VLOOKUP(Table15781012[[#This Row],[Period]],Forecast!$H$2:$L$1048576,4,FALSE))*Table15781012[[#This Row],[Beginning Balance]],Table15781012[[#This Row],[Beginning Balance]]-Table15781012[[#This Row],[Principal]]),0),2)))</f>
        <v>16363.4</v>
      </c>
      <c r="J106" s="3">
        <f>ROUND(MIN(Table15781012[[#This Row],[Beginning Balance]]*IF($C$8="No",$E$3,VLOOKUP(Table15781012[[#This Row],[Period]],Forecast!$H$2:$L$1048576,2,FALSE)),Table15781012[[#This Row],[Beginning Balance]]-Table15781012[[#This Row],[Principal]]-Table15781012[[#This Row],[Prepayments]]),2)</f>
        <v>3917.35</v>
      </c>
      <c r="K106" s="3">
        <f>ROUND(Table15781012[[#This Row],[Defaulted Principal]]*IF($C$9="No",$E$4,VLOOKUP(Table15781012[[#This Row],[Period]],Forecast!$H$2:$L$1048576,3,FALSE)),2)</f>
        <v>339.61</v>
      </c>
      <c r="L106" s="2">
        <f>Table15781012[[#This Row],[Period]]+$E$9</f>
        <v>102</v>
      </c>
      <c r="M106" s="3">
        <f>Table15781012[[#This Row],[Defaulted Principal]]-Table15781012[[#This Row],[Estimated Loss]]</f>
        <v>3577.74</v>
      </c>
      <c r="N106" s="3">
        <f>IFERROR(VLOOKUP(Table15781012[[#This Row],[Period]],$L$16:$M$385,2,FALSE),0)</f>
        <v>3802.0099999999998</v>
      </c>
      <c r="O106" s="3">
        <f>Table15781012[[#This Row],[Beginning Balance]]-Table15781012[[#This Row],[Principal]]-Table15781012[[#This Row],[Prepayments]]-Table15781012[[#This Row],[Defaulted Principal]]</f>
        <v>5706744.3299999936</v>
      </c>
      <c r="P106" s="3">
        <f>Table15781012[[#This Row],[Principal]]+Table15781012[[#This Row],[Interest]]+Table15781012[[#This Row],[Prepayments]]+Table15781012[[#This Row],[RecoveredAmount]]</f>
        <v>63464.73000000001</v>
      </c>
      <c r="Q106" s="3">
        <f ca="1">ROUND(Table15781012[[#This Row],[Cash Flow]]/((1+ActualRateToUse)^(IF(ISNUMBER(SEARCH("Actual",$C$7)),Table15781012[[#This Row],[Running Total]]/365,Table15781012[[#This Row],[Period]]/12))),2)</f>
        <v>37061.78</v>
      </c>
      <c r="R106" s="2">
        <f>IF(MONTH(Table15781012[[#This Row],[Date]])=2,28,DAY(DATE(YEAR(Table15781012[[#This Row],[Date]]),MONTH(Table15781012[[#This Row],[Date]])+1,1)-1))</f>
        <v>31</v>
      </c>
      <c r="S106" s="2">
        <f ca="1">SUM(OFFSET(Table15781012[[#Headers],[Days in month]],1,0):Table15781012[[#This Row],[Days in month]])</f>
        <v>2739</v>
      </c>
      <c r="T106" s="37">
        <f>InterestRate*AmortizationMultiplier*IF(ISNUMBER(SEARCH("Actual",$C$7)),Table15781012[[#This Row],[Days in month]]/365,1/12)</f>
        <v>6.0708333333333326E-3</v>
      </c>
    </row>
    <row r="107" spans="2:20" x14ac:dyDescent="0.2">
      <c r="B107" s="1">
        <v>48610</v>
      </c>
      <c r="C107" s="2">
        <f t="shared" si="4"/>
        <v>91</v>
      </c>
      <c r="D107" s="3">
        <f t="shared" si="3"/>
        <v>5706744.3299999936</v>
      </c>
      <c r="E107" s="3">
        <f>ROUND(Table15781012[[#This Row],[Beginning Balance]]*Table15781012[[#This Row],[Monthly Interest Rate]],2)</f>
        <v>34644.69</v>
      </c>
      <c r="F107" s="3">
        <f t="shared" si="5"/>
        <v>261</v>
      </c>
      <c r="G107" s="23">
        <f>IFERROR(IF($C$13="No","N/A",IF(Table15781012[[#This Row],[Period]]=1,$C$6,PMT(InterestRate*AmortizationMultiplier/12,Table15781012[[#This Row],[Am Thru]],-Table15781012[[#This Row],[Beginning Balance]]))),0)</f>
        <v>43150.925259459269</v>
      </c>
      <c r="H107" s="3">
        <f>MAX(0,IF(C107=$C$4,D107,ROUND(IF($C$3="Fixed Principal",$C$6-Table15781012[[#This Row],[Interest]],IF($C$3="Interest Only",Table15781012[[#This Row],[Beginning Balance]]*ROUND(1-(1-IF($C$11="No",$E$8,1))^(1/12),6),MIN(IF($C$13="Yes",Table15781012[[#This Row],[Payment Amount (Reamortized)]],$C$6)-Table15781012[[#This Row],[Interest]],Table15781012[[#This Row],[Beginning Balance]]))),2)))</f>
        <v>8506.24</v>
      </c>
      <c r="I107" s="3">
        <f>_xlfn.SINGLE(IF($C$3="Line of Credit",0,ROUND(MAX(MIN(IF($C$10="No",$E$7,VLOOKUP(Table15781012[[#This Row],[Period]],Forecast!$H$2:$L$1048576,4,FALSE))*Table15781012[[#This Row],[Beginning Balance]],Table15781012[[#This Row],[Beginning Balance]]-Table15781012[[#This Row],[Principal]]),0),2)))</f>
        <v>16281.34</v>
      </c>
      <c r="J107" s="3">
        <f>ROUND(MIN(Table15781012[[#This Row],[Beginning Balance]]*IF($C$8="No",$E$3,VLOOKUP(Table15781012[[#This Row],[Period]],Forecast!$H$2:$L$1048576,2,FALSE)),Table15781012[[#This Row],[Beginning Balance]]-Table15781012[[#This Row],[Principal]]-Table15781012[[#This Row],[Prepayments]]),2)</f>
        <v>3897.71</v>
      </c>
      <c r="K107" s="3">
        <f>ROUND(Table15781012[[#This Row],[Defaulted Principal]]*IF($C$9="No",$E$4,VLOOKUP(Table15781012[[#This Row],[Period]],Forecast!$H$2:$L$1048576,3,FALSE)),2)</f>
        <v>337.91</v>
      </c>
      <c r="L107" s="2">
        <f>Table15781012[[#This Row],[Period]]+$E$9</f>
        <v>103</v>
      </c>
      <c r="M107" s="3">
        <f>Table15781012[[#This Row],[Defaulted Principal]]-Table15781012[[#This Row],[Estimated Loss]]</f>
        <v>3559.8</v>
      </c>
      <c r="N107" s="3">
        <f>IFERROR(VLOOKUP(Table15781012[[#This Row],[Period]],$L$16:$M$385,2,FALSE),0)</f>
        <v>3783.4600000000005</v>
      </c>
      <c r="O107" s="3">
        <f>Table15781012[[#This Row],[Beginning Balance]]-Table15781012[[#This Row],[Principal]]-Table15781012[[#This Row],[Prepayments]]-Table15781012[[#This Row],[Defaulted Principal]]</f>
        <v>5678059.0399999935</v>
      </c>
      <c r="P107" s="3">
        <f>Table15781012[[#This Row],[Principal]]+Table15781012[[#This Row],[Interest]]+Table15781012[[#This Row],[Prepayments]]+Table15781012[[#This Row],[RecoveredAmount]]</f>
        <v>63215.73</v>
      </c>
      <c r="Q107" s="3">
        <f ca="1">ROUND(Table15781012[[#This Row],[Cash Flow]]/((1+ActualRateToUse)^(IF(ISNUMBER(SEARCH("Actual",$C$7)),Table15781012[[#This Row],[Running Total]]/365,Table15781012[[#This Row],[Period]]/12))),2)</f>
        <v>36692.31</v>
      </c>
      <c r="R107" s="2">
        <f>IF(MONTH(Table15781012[[#This Row],[Date]])=2,28,DAY(DATE(YEAR(Table15781012[[#This Row],[Date]]),MONTH(Table15781012[[#This Row],[Date]])+1,1)-1))</f>
        <v>31</v>
      </c>
      <c r="S107" s="2">
        <f ca="1">SUM(OFFSET(Table15781012[[#Headers],[Days in month]],1,0):Table15781012[[#This Row],[Days in month]])</f>
        <v>2770</v>
      </c>
      <c r="T107" s="37">
        <f>InterestRate*AmortizationMultiplier*IF(ISNUMBER(SEARCH("Actual",$C$7)),Table15781012[[#This Row],[Days in month]]/365,1/12)</f>
        <v>6.0708333333333326E-3</v>
      </c>
    </row>
    <row r="108" spans="2:20" x14ac:dyDescent="0.2">
      <c r="B108" s="1">
        <v>48638</v>
      </c>
      <c r="C108" s="2">
        <f t="shared" si="4"/>
        <v>92</v>
      </c>
      <c r="D108" s="3">
        <f t="shared" si="3"/>
        <v>5678059.0399999935</v>
      </c>
      <c r="E108" s="3">
        <f>ROUND(Table15781012[[#This Row],[Beginning Balance]]*Table15781012[[#This Row],[Monthly Interest Rate]],2)</f>
        <v>31134.69</v>
      </c>
      <c r="F108" s="3">
        <f t="shared" si="5"/>
        <v>260</v>
      </c>
      <c r="G108" s="23">
        <f>IFERROR(IF($C$13="No","N/A",IF(Table15781012[[#This Row],[Period]]=1,$C$6,PMT(InterestRate*AmortizationMultiplier/12,Table15781012[[#This Row],[Am Thru]],-Table15781012[[#This Row],[Beginning Balance]]))),0)</f>
        <v>43003.035569837542</v>
      </c>
      <c r="H108" s="3">
        <f>MAX(0,IF(C108=$C$4,D108,ROUND(IF($C$3="Fixed Principal",$C$6-Table15781012[[#This Row],[Interest]],IF($C$3="Interest Only",Table15781012[[#This Row],[Beginning Balance]]*ROUND(1-(1-IF($C$11="No",$E$8,1))^(1/12),6),MIN(IF($C$13="Yes",Table15781012[[#This Row],[Payment Amount (Reamortized)]],$C$6)-Table15781012[[#This Row],[Interest]],Table15781012[[#This Row],[Beginning Balance]]))),2)))</f>
        <v>11868.35</v>
      </c>
      <c r="I108" s="3">
        <f>_xlfn.SINGLE(IF($C$3="Line of Credit",0,ROUND(MAX(MIN(IF($C$10="No",$E$7,VLOOKUP(Table15781012[[#This Row],[Period]],Forecast!$H$2:$L$1048576,4,FALSE))*Table15781012[[#This Row],[Beginning Balance]],Table15781012[[#This Row],[Beginning Balance]]-Table15781012[[#This Row],[Principal]]),0),2)))</f>
        <v>16199.5</v>
      </c>
      <c r="J108" s="3">
        <f>ROUND(MIN(Table15781012[[#This Row],[Beginning Balance]]*IF($C$8="No",$E$3,VLOOKUP(Table15781012[[#This Row],[Period]],Forecast!$H$2:$L$1048576,2,FALSE)),Table15781012[[#This Row],[Beginning Balance]]-Table15781012[[#This Row],[Principal]]-Table15781012[[#This Row],[Prepayments]]),2)</f>
        <v>3878.11</v>
      </c>
      <c r="K108" s="3">
        <f>ROUND(Table15781012[[#This Row],[Defaulted Principal]]*IF($C$9="No",$E$4,VLOOKUP(Table15781012[[#This Row],[Period]],Forecast!$H$2:$L$1048576,3,FALSE)),2)</f>
        <v>336.21</v>
      </c>
      <c r="L108" s="2">
        <f>Table15781012[[#This Row],[Period]]+$E$9</f>
        <v>104</v>
      </c>
      <c r="M108" s="3">
        <f>Table15781012[[#This Row],[Defaulted Principal]]-Table15781012[[#This Row],[Estimated Loss]]</f>
        <v>3541.9</v>
      </c>
      <c r="N108" s="3">
        <f>IFERROR(VLOOKUP(Table15781012[[#This Row],[Period]],$L$16:$M$385,2,FALSE),0)</f>
        <v>3764.9700000000003</v>
      </c>
      <c r="O108" s="3">
        <f>Table15781012[[#This Row],[Beginning Balance]]-Table15781012[[#This Row],[Principal]]-Table15781012[[#This Row],[Prepayments]]-Table15781012[[#This Row],[Defaulted Principal]]</f>
        <v>5646113.0799999936</v>
      </c>
      <c r="P108" s="3">
        <f>Table15781012[[#This Row],[Principal]]+Table15781012[[#This Row],[Interest]]+Table15781012[[#This Row],[Prepayments]]+Table15781012[[#This Row],[RecoveredAmount]]</f>
        <v>62967.51</v>
      </c>
      <c r="Q108" s="3">
        <f ca="1">ROUND(Table15781012[[#This Row],[Cash Flow]]/((1+ActualRateToUse)^(IF(ISNUMBER(SEARCH("Actual",$C$7)),Table15781012[[#This Row],[Running Total]]/365,Table15781012[[#This Row],[Period]]/12))),2)</f>
        <v>36347.82</v>
      </c>
      <c r="R108" s="2">
        <f>IF(MONTH(Table15781012[[#This Row],[Date]])=2,28,DAY(DATE(YEAR(Table15781012[[#This Row],[Date]]),MONTH(Table15781012[[#This Row],[Date]])+1,1)-1))</f>
        <v>28</v>
      </c>
      <c r="S108" s="2">
        <f ca="1">SUM(OFFSET(Table15781012[[#Headers],[Days in month]],1,0):Table15781012[[#This Row],[Days in month]])</f>
        <v>2798</v>
      </c>
      <c r="T108" s="37">
        <f>InterestRate*AmortizationMultiplier*IF(ISNUMBER(SEARCH("Actual",$C$7)),Table15781012[[#This Row],[Days in month]]/365,1/12)</f>
        <v>5.4833333333333331E-3</v>
      </c>
    </row>
    <row r="109" spans="2:20" x14ac:dyDescent="0.2">
      <c r="B109" s="1">
        <v>48669</v>
      </c>
      <c r="C109" s="2">
        <f t="shared" si="4"/>
        <v>93</v>
      </c>
      <c r="D109" s="3">
        <f t="shared" si="3"/>
        <v>5646113.0799999936</v>
      </c>
      <c r="E109" s="3">
        <f>ROUND(Table15781012[[#This Row],[Beginning Balance]]*Table15781012[[#This Row],[Monthly Interest Rate]],2)</f>
        <v>34276.61</v>
      </c>
      <c r="F109" s="3">
        <f t="shared" si="5"/>
        <v>259</v>
      </c>
      <c r="G109" s="23">
        <f>IFERROR(IF($C$13="No","N/A",IF(Table15781012[[#This Row],[Period]]=1,$C$6,PMT(InterestRate*AmortizationMultiplier/12,Table15781012[[#This Row],[Am Thru]],-Table15781012[[#This Row],[Beginning Balance]]))),0)</f>
        <v>42830.345836573557</v>
      </c>
      <c r="H109" s="3">
        <f>MAX(0,IF(C109=$C$4,D109,ROUND(IF($C$3="Fixed Principal",$C$6-Table15781012[[#This Row],[Interest]],IF($C$3="Interest Only",Table15781012[[#This Row],[Beginning Balance]]*ROUND(1-(1-IF($C$11="No",$E$8,1))^(1/12),6),MIN(IF($C$13="Yes",Table15781012[[#This Row],[Payment Amount (Reamortized)]],$C$6)-Table15781012[[#This Row],[Interest]],Table15781012[[#This Row],[Beginning Balance]]))),2)))</f>
        <v>8553.74</v>
      </c>
      <c r="I109" s="3">
        <f>_xlfn.SINGLE(IF($C$3="Line of Credit",0,ROUND(MAX(MIN(IF($C$10="No",$E$7,VLOOKUP(Table15781012[[#This Row],[Period]],Forecast!$H$2:$L$1048576,4,FALSE))*Table15781012[[#This Row],[Beginning Balance]],Table15781012[[#This Row],[Beginning Balance]]-Table15781012[[#This Row],[Principal]]),0),2)))</f>
        <v>16108.36</v>
      </c>
      <c r="J109" s="3">
        <f>ROUND(MIN(Table15781012[[#This Row],[Beginning Balance]]*IF($C$8="No",$E$3,VLOOKUP(Table15781012[[#This Row],[Period]],Forecast!$H$2:$L$1048576,2,FALSE)),Table15781012[[#This Row],[Beginning Balance]]-Table15781012[[#This Row],[Principal]]-Table15781012[[#This Row],[Prepayments]]),2)</f>
        <v>3856.3</v>
      </c>
      <c r="K109" s="3">
        <f>ROUND(Table15781012[[#This Row],[Defaulted Principal]]*IF($C$9="No",$E$4,VLOOKUP(Table15781012[[#This Row],[Period]],Forecast!$H$2:$L$1048576,3,FALSE)),2)</f>
        <v>334.32</v>
      </c>
      <c r="L109" s="2">
        <f>Table15781012[[#This Row],[Period]]+$E$9</f>
        <v>105</v>
      </c>
      <c r="M109" s="3">
        <f>Table15781012[[#This Row],[Defaulted Principal]]-Table15781012[[#This Row],[Estimated Loss]]</f>
        <v>3521.98</v>
      </c>
      <c r="N109" s="3">
        <f>IFERROR(VLOOKUP(Table15781012[[#This Row],[Period]],$L$16:$M$385,2,FALSE),0)</f>
        <v>3744.3099999999995</v>
      </c>
      <c r="O109" s="3">
        <f>Table15781012[[#This Row],[Beginning Balance]]-Table15781012[[#This Row],[Principal]]-Table15781012[[#This Row],[Prepayments]]-Table15781012[[#This Row],[Defaulted Principal]]</f>
        <v>5617594.6799999932</v>
      </c>
      <c r="P109" s="3">
        <f>Table15781012[[#This Row],[Principal]]+Table15781012[[#This Row],[Interest]]+Table15781012[[#This Row],[Prepayments]]+Table15781012[[#This Row],[RecoveredAmount]]</f>
        <v>62683.02</v>
      </c>
      <c r="Q109" s="3">
        <f ca="1">ROUND(Table15781012[[#This Row],[Cash Flow]]/((1+ActualRateToUse)^(IF(ISNUMBER(SEARCH("Actual",$C$7)),Table15781012[[#This Row],[Running Total]]/365,Table15781012[[#This Row],[Period]]/12))),2)</f>
        <v>35963.980000000003</v>
      </c>
      <c r="R109" s="2">
        <f>IF(MONTH(Table15781012[[#This Row],[Date]])=2,28,DAY(DATE(YEAR(Table15781012[[#This Row],[Date]]),MONTH(Table15781012[[#This Row],[Date]])+1,1)-1))</f>
        <v>31</v>
      </c>
      <c r="S109" s="2">
        <f ca="1">SUM(OFFSET(Table15781012[[#Headers],[Days in month]],1,0):Table15781012[[#This Row],[Days in month]])</f>
        <v>2829</v>
      </c>
      <c r="T109" s="37">
        <f>InterestRate*AmortizationMultiplier*IF(ISNUMBER(SEARCH("Actual",$C$7)),Table15781012[[#This Row],[Days in month]]/365,1/12)</f>
        <v>6.0708333333333326E-3</v>
      </c>
    </row>
    <row r="110" spans="2:20" x14ac:dyDescent="0.2">
      <c r="B110" s="1">
        <v>48699</v>
      </c>
      <c r="C110" s="2">
        <f t="shared" si="4"/>
        <v>94</v>
      </c>
      <c r="D110" s="3">
        <f t="shared" si="3"/>
        <v>5617594.6799999932</v>
      </c>
      <c r="E110" s="3">
        <f>ROUND(Table15781012[[#This Row],[Beginning Balance]]*Table15781012[[#This Row],[Monthly Interest Rate]],2)</f>
        <v>33003.370000000003</v>
      </c>
      <c r="F110" s="3">
        <f t="shared" si="5"/>
        <v>258</v>
      </c>
      <c r="G110" s="23">
        <f>IFERROR(IF($C$13="No","N/A",IF(Table15781012[[#This Row],[Period]]=1,$C$6,PMT(InterestRate*AmortizationMultiplier/12,Table15781012[[#This Row],[Am Thru]],-Table15781012[[#This Row],[Beginning Balance]]))),0)</f>
        <v>42683.551271777578</v>
      </c>
      <c r="H110" s="3">
        <f>MAX(0,IF(C110=$C$4,D110,ROUND(IF($C$3="Fixed Principal",$C$6-Table15781012[[#This Row],[Interest]],IF($C$3="Interest Only",Table15781012[[#This Row],[Beginning Balance]]*ROUND(1-(1-IF($C$11="No",$E$8,1))^(1/12),6),MIN(IF($C$13="Yes",Table15781012[[#This Row],[Payment Amount (Reamortized)]],$C$6)-Table15781012[[#This Row],[Interest]],Table15781012[[#This Row],[Beginning Balance]]))),2)))</f>
        <v>9680.18</v>
      </c>
      <c r="I110" s="3">
        <f>_xlfn.SINGLE(IF($C$3="Line of Credit",0,ROUND(MAX(MIN(IF($C$10="No",$E$7,VLOOKUP(Table15781012[[#This Row],[Period]],Forecast!$H$2:$L$1048576,4,FALSE))*Table15781012[[#This Row],[Beginning Balance]],Table15781012[[#This Row],[Beginning Balance]]-Table15781012[[#This Row],[Principal]]),0),2)))</f>
        <v>16027</v>
      </c>
      <c r="J110" s="3">
        <f>ROUND(MIN(Table15781012[[#This Row],[Beginning Balance]]*IF($C$8="No",$E$3,VLOOKUP(Table15781012[[#This Row],[Period]],Forecast!$H$2:$L$1048576,2,FALSE)),Table15781012[[#This Row],[Beginning Balance]]-Table15781012[[#This Row],[Principal]]-Table15781012[[#This Row],[Prepayments]]),2)</f>
        <v>3836.82</v>
      </c>
      <c r="K110" s="3">
        <f>ROUND(Table15781012[[#This Row],[Defaulted Principal]]*IF($C$9="No",$E$4,VLOOKUP(Table15781012[[#This Row],[Period]],Forecast!$H$2:$L$1048576,3,FALSE)),2)</f>
        <v>332.63</v>
      </c>
      <c r="L110" s="2">
        <f>Table15781012[[#This Row],[Period]]+$E$9</f>
        <v>106</v>
      </c>
      <c r="M110" s="3">
        <f>Table15781012[[#This Row],[Defaulted Principal]]-Table15781012[[#This Row],[Estimated Loss]]</f>
        <v>3504.19</v>
      </c>
      <c r="N110" s="3">
        <f>IFERROR(VLOOKUP(Table15781012[[#This Row],[Period]],$L$16:$M$385,2,FALSE),0)</f>
        <v>3725.9100000000003</v>
      </c>
      <c r="O110" s="3">
        <f>Table15781012[[#This Row],[Beginning Balance]]-Table15781012[[#This Row],[Principal]]-Table15781012[[#This Row],[Prepayments]]-Table15781012[[#This Row],[Defaulted Principal]]</f>
        <v>5588050.6799999932</v>
      </c>
      <c r="P110" s="3">
        <f>Table15781012[[#This Row],[Principal]]+Table15781012[[#This Row],[Interest]]+Table15781012[[#This Row],[Prepayments]]+Table15781012[[#This Row],[RecoveredAmount]]</f>
        <v>62436.460000000006</v>
      </c>
      <c r="Q110" s="3">
        <f ca="1">ROUND(Table15781012[[#This Row],[Cash Flow]]/((1+ActualRateToUse)^(IF(ISNUMBER(SEARCH("Actual",$C$7)),Table15781012[[#This Row],[Running Total]]/365,Table15781012[[#This Row],[Period]]/12))),2)</f>
        <v>35612.089999999997</v>
      </c>
      <c r="R110" s="2">
        <f>IF(MONTH(Table15781012[[#This Row],[Date]])=2,28,DAY(DATE(YEAR(Table15781012[[#This Row],[Date]]),MONTH(Table15781012[[#This Row],[Date]])+1,1)-1))</f>
        <v>30</v>
      </c>
      <c r="S110" s="2">
        <f ca="1">SUM(OFFSET(Table15781012[[#Headers],[Days in month]],1,0):Table15781012[[#This Row],[Days in month]])</f>
        <v>2859</v>
      </c>
      <c r="T110" s="37">
        <f>InterestRate*AmortizationMultiplier*IF(ISNUMBER(SEARCH("Actual",$C$7)),Table15781012[[#This Row],[Days in month]]/365,1/12)</f>
        <v>5.8749999999999991E-3</v>
      </c>
    </row>
    <row r="111" spans="2:20" x14ac:dyDescent="0.2">
      <c r="B111" s="1">
        <v>48730</v>
      </c>
      <c r="C111" s="2">
        <f t="shared" si="4"/>
        <v>95</v>
      </c>
      <c r="D111" s="3">
        <f t="shared" si="3"/>
        <v>5588050.6799999932</v>
      </c>
      <c r="E111" s="3">
        <f>ROUND(Table15781012[[#This Row],[Beginning Balance]]*Table15781012[[#This Row],[Monthly Interest Rate]],2)</f>
        <v>33924.120000000003</v>
      </c>
      <c r="F111" s="3">
        <f t="shared" si="5"/>
        <v>257</v>
      </c>
      <c r="G111" s="23">
        <f>IFERROR(IF($C$13="No","N/A",IF(Table15781012[[#This Row],[Period]]=1,$C$6,PMT(InterestRate*AmortizationMultiplier/12,Table15781012[[#This Row],[Am Thru]],-Table15781012[[#This Row],[Beginning Balance]]))),0)</f>
        <v>42528.885456590229</v>
      </c>
      <c r="H111" s="3">
        <f>MAX(0,IF(C111=$C$4,D111,ROUND(IF($C$3="Fixed Principal",$C$6-Table15781012[[#This Row],[Interest]],IF($C$3="Interest Only",Table15781012[[#This Row],[Beginning Balance]]*ROUND(1-(1-IF($C$11="No",$E$8,1))^(1/12),6),MIN(IF($C$13="Yes",Table15781012[[#This Row],[Payment Amount (Reamortized)]],$C$6)-Table15781012[[#This Row],[Interest]],Table15781012[[#This Row],[Beginning Balance]]))),2)))</f>
        <v>8604.77</v>
      </c>
      <c r="I111" s="3">
        <f>_xlfn.SINGLE(IF($C$3="Line of Credit",0,ROUND(MAX(MIN(IF($C$10="No",$E$7,VLOOKUP(Table15781012[[#This Row],[Period]],Forecast!$H$2:$L$1048576,4,FALSE))*Table15781012[[#This Row],[Beginning Balance]],Table15781012[[#This Row],[Beginning Balance]]-Table15781012[[#This Row],[Principal]]),0),2)))</f>
        <v>15942.71</v>
      </c>
      <c r="J111" s="3">
        <f>ROUND(MIN(Table15781012[[#This Row],[Beginning Balance]]*IF($C$8="No",$E$3,VLOOKUP(Table15781012[[#This Row],[Period]],Forecast!$H$2:$L$1048576,2,FALSE)),Table15781012[[#This Row],[Beginning Balance]]-Table15781012[[#This Row],[Principal]]-Table15781012[[#This Row],[Prepayments]]),2)</f>
        <v>3816.64</v>
      </c>
      <c r="K111" s="3">
        <f>ROUND(Table15781012[[#This Row],[Defaulted Principal]]*IF($C$9="No",$E$4,VLOOKUP(Table15781012[[#This Row],[Period]],Forecast!$H$2:$L$1048576,3,FALSE)),2)</f>
        <v>330.88</v>
      </c>
      <c r="L111" s="2">
        <f>Table15781012[[#This Row],[Period]]+$E$9</f>
        <v>107</v>
      </c>
      <c r="M111" s="3">
        <f>Table15781012[[#This Row],[Defaulted Principal]]-Table15781012[[#This Row],[Estimated Loss]]</f>
        <v>3485.7599999999998</v>
      </c>
      <c r="N111" s="3">
        <f>IFERROR(VLOOKUP(Table15781012[[#This Row],[Period]],$L$16:$M$385,2,FALSE),0)</f>
        <v>3706.84</v>
      </c>
      <c r="O111" s="3">
        <f>Table15781012[[#This Row],[Beginning Balance]]-Table15781012[[#This Row],[Principal]]-Table15781012[[#This Row],[Prepayments]]-Table15781012[[#This Row],[Defaulted Principal]]</f>
        <v>5559686.559999994</v>
      </c>
      <c r="P111" s="3">
        <f>Table15781012[[#This Row],[Principal]]+Table15781012[[#This Row],[Interest]]+Table15781012[[#This Row],[Prepayments]]+Table15781012[[#This Row],[RecoveredAmount]]</f>
        <v>62178.44</v>
      </c>
      <c r="Q111" s="3">
        <f ca="1">ROUND(Table15781012[[#This Row],[Cash Flow]]/((1+ActualRateToUse)^(IF(ISNUMBER(SEARCH("Actual",$C$7)),Table15781012[[#This Row],[Running Total]]/365,Table15781012[[#This Row],[Period]]/12))),2)</f>
        <v>35249.67</v>
      </c>
      <c r="R111" s="2">
        <f>IF(MONTH(Table15781012[[#This Row],[Date]])=2,28,DAY(DATE(YEAR(Table15781012[[#This Row],[Date]]),MONTH(Table15781012[[#This Row],[Date]])+1,1)-1))</f>
        <v>31</v>
      </c>
      <c r="S111" s="2">
        <f ca="1">SUM(OFFSET(Table15781012[[#Headers],[Days in month]],1,0):Table15781012[[#This Row],[Days in month]])</f>
        <v>2890</v>
      </c>
      <c r="T111" s="37">
        <f>InterestRate*AmortizationMultiplier*IF(ISNUMBER(SEARCH("Actual",$C$7)),Table15781012[[#This Row],[Days in month]]/365,1/12)</f>
        <v>6.0708333333333326E-3</v>
      </c>
    </row>
    <row r="112" spans="2:20" x14ac:dyDescent="0.2">
      <c r="B112" s="1">
        <v>48760</v>
      </c>
      <c r="C112" s="2">
        <f t="shared" si="4"/>
        <v>96</v>
      </c>
      <c r="D112" s="3">
        <f t="shared" si="3"/>
        <v>5559686.559999994</v>
      </c>
      <c r="E112" s="3">
        <f>ROUND(Table15781012[[#This Row],[Beginning Balance]]*Table15781012[[#This Row],[Monthly Interest Rate]],2)</f>
        <v>32663.16</v>
      </c>
      <c r="F112" s="3">
        <f t="shared" si="5"/>
        <v>256</v>
      </c>
      <c r="G112" s="23">
        <f>IFERROR(IF($C$13="No","N/A",IF(Table15781012[[#This Row],[Period]]=1,$C$6,PMT(InterestRate*AmortizationMultiplier/12,Table15781012[[#This Row],[Am Thru]],-Table15781012[[#This Row],[Beginning Balance]]))),0)</f>
        <v>42383.120455344739</v>
      </c>
      <c r="H112" s="3">
        <f>MAX(0,IF(C112=$C$4,D112,ROUND(IF($C$3="Fixed Principal",$C$6-Table15781012[[#This Row],[Interest]],IF($C$3="Interest Only",Table15781012[[#This Row],[Beginning Balance]]*ROUND(1-(1-IF($C$11="No",$E$8,1))^(1/12),6),MIN(IF($C$13="Yes",Table15781012[[#This Row],[Payment Amount (Reamortized)]],$C$6)-Table15781012[[#This Row],[Interest]],Table15781012[[#This Row],[Beginning Balance]]))),2)))</f>
        <v>9719.9599999999991</v>
      </c>
      <c r="I112" s="3">
        <f>_xlfn.SINGLE(IF($C$3="Line of Credit",0,ROUND(MAX(MIN(IF($C$10="No",$E$7,VLOOKUP(Table15781012[[#This Row],[Period]],Forecast!$H$2:$L$1048576,4,FALSE))*Table15781012[[#This Row],[Beginning Balance]],Table15781012[[#This Row],[Beginning Balance]]-Table15781012[[#This Row],[Principal]]),0),2)))</f>
        <v>15861.79</v>
      </c>
      <c r="J112" s="3">
        <f>ROUND(MIN(Table15781012[[#This Row],[Beginning Balance]]*IF($C$8="No",$E$3,VLOOKUP(Table15781012[[#This Row],[Period]],Forecast!$H$2:$L$1048576,2,FALSE)),Table15781012[[#This Row],[Beginning Balance]]-Table15781012[[#This Row],[Principal]]-Table15781012[[#This Row],[Prepayments]]),2)</f>
        <v>3797.27</v>
      </c>
      <c r="K112" s="3">
        <f>ROUND(Table15781012[[#This Row],[Defaulted Principal]]*IF($C$9="No",$E$4,VLOOKUP(Table15781012[[#This Row],[Period]],Forecast!$H$2:$L$1048576,3,FALSE)),2)</f>
        <v>329.2</v>
      </c>
      <c r="L112" s="2">
        <f>Table15781012[[#This Row],[Period]]+$E$9</f>
        <v>108</v>
      </c>
      <c r="M112" s="3">
        <f>Table15781012[[#This Row],[Defaulted Principal]]-Table15781012[[#This Row],[Estimated Loss]]</f>
        <v>3468.07</v>
      </c>
      <c r="N112" s="3">
        <f>IFERROR(VLOOKUP(Table15781012[[#This Row],[Period]],$L$16:$M$385,2,FALSE),0)</f>
        <v>3688.56</v>
      </c>
      <c r="O112" s="3">
        <f>Table15781012[[#This Row],[Beginning Balance]]-Table15781012[[#This Row],[Principal]]-Table15781012[[#This Row],[Prepayments]]-Table15781012[[#This Row],[Defaulted Principal]]</f>
        <v>5530307.5399999944</v>
      </c>
      <c r="P112" s="3">
        <f>Table15781012[[#This Row],[Principal]]+Table15781012[[#This Row],[Interest]]+Table15781012[[#This Row],[Prepayments]]+Table15781012[[#This Row],[RecoveredAmount]]</f>
        <v>61933.469999999994</v>
      </c>
      <c r="Q112" s="3">
        <f ca="1">ROUND(Table15781012[[#This Row],[Cash Flow]]/((1+ActualRateToUse)^(IF(ISNUMBER(SEARCH("Actual",$C$7)),Table15781012[[#This Row],[Running Total]]/365,Table15781012[[#This Row],[Period]]/12))),2)</f>
        <v>34904.550000000003</v>
      </c>
      <c r="R112" s="2">
        <f>IF(MONTH(Table15781012[[#This Row],[Date]])=2,28,DAY(DATE(YEAR(Table15781012[[#This Row],[Date]]),MONTH(Table15781012[[#This Row],[Date]])+1,1)-1))</f>
        <v>30</v>
      </c>
      <c r="S112" s="2">
        <f ca="1">SUM(OFFSET(Table15781012[[#Headers],[Days in month]],1,0):Table15781012[[#This Row],[Days in month]])</f>
        <v>2920</v>
      </c>
      <c r="T112" s="37">
        <f>InterestRate*AmortizationMultiplier*IF(ISNUMBER(SEARCH("Actual",$C$7)),Table15781012[[#This Row],[Days in month]]/365,1/12)</f>
        <v>5.8749999999999991E-3</v>
      </c>
    </row>
    <row r="113" spans="2:20" x14ac:dyDescent="0.2">
      <c r="B113" s="1">
        <v>48791</v>
      </c>
      <c r="C113" s="2">
        <f t="shared" si="4"/>
        <v>97</v>
      </c>
      <c r="D113" s="3">
        <f t="shared" si="3"/>
        <v>5530307.5399999944</v>
      </c>
      <c r="E113" s="3">
        <f>ROUND(Table15781012[[#This Row],[Beginning Balance]]*Table15781012[[#This Row],[Monthly Interest Rate]],2)</f>
        <v>33573.58</v>
      </c>
      <c r="F113" s="3">
        <f t="shared" si="5"/>
        <v>255</v>
      </c>
      <c r="G113" s="23">
        <f>IFERROR(IF($C$13="No","N/A",IF(Table15781012[[#This Row],[Period]]=1,$C$6,PMT(InterestRate*AmortizationMultiplier/12,Table15781012[[#This Row],[Am Thru]],-Table15781012[[#This Row],[Beginning Balance]]))),0)</f>
        <v>42229.53937470122</v>
      </c>
      <c r="H113" s="3">
        <f>MAX(0,IF(C113=$C$4,D113,ROUND(IF($C$3="Fixed Principal",$C$6-Table15781012[[#This Row],[Interest]],IF($C$3="Interest Only",Table15781012[[#This Row],[Beginning Balance]]*ROUND(1-(1-IF($C$11="No",$E$8,1))^(1/12),6),MIN(IF($C$13="Yes",Table15781012[[#This Row],[Payment Amount (Reamortized)]],$C$6)-Table15781012[[#This Row],[Interest]],Table15781012[[#This Row],[Beginning Balance]]))),2)))</f>
        <v>8655.9599999999991</v>
      </c>
      <c r="I113" s="3">
        <f>_xlfn.SINGLE(IF($C$3="Line of Credit",0,ROUND(MAX(MIN(IF($C$10="No",$E$7,VLOOKUP(Table15781012[[#This Row],[Period]],Forecast!$H$2:$L$1048576,4,FALSE))*Table15781012[[#This Row],[Beginning Balance]],Table15781012[[#This Row],[Beginning Balance]]-Table15781012[[#This Row],[Principal]]),0),2)))</f>
        <v>15777.97</v>
      </c>
      <c r="J113" s="3">
        <f>ROUND(MIN(Table15781012[[#This Row],[Beginning Balance]]*IF($C$8="No",$E$3,VLOOKUP(Table15781012[[#This Row],[Period]],Forecast!$H$2:$L$1048576,2,FALSE)),Table15781012[[#This Row],[Beginning Balance]]-Table15781012[[#This Row],[Principal]]-Table15781012[[#This Row],[Prepayments]]),2)</f>
        <v>3777.2</v>
      </c>
      <c r="K113" s="3">
        <f>ROUND(Table15781012[[#This Row],[Defaulted Principal]]*IF($C$9="No",$E$4,VLOOKUP(Table15781012[[#This Row],[Period]],Forecast!$H$2:$L$1048576,3,FALSE)),2)</f>
        <v>327.45999999999998</v>
      </c>
      <c r="L113" s="2">
        <f>Table15781012[[#This Row],[Period]]+$E$9</f>
        <v>109</v>
      </c>
      <c r="M113" s="3">
        <f>Table15781012[[#This Row],[Defaulted Principal]]-Table15781012[[#This Row],[Estimated Loss]]</f>
        <v>3449.74</v>
      </c>
      <c r="N113" s="3">
        <f>IFERROR(VLOOKUP(Table15781012[[#This Row],[Period]],$L$16:$M$385,2,FALSE),0)</f>
        <v>3669.6</v>
      </c>
      <c r="O113" s="3">
        <f>Table15781012[[#This Row],[Beginning Balance]]-Table15781012[[#This Row],[Principal]]-Table15781012[[#This Row],[Prepayments]]-Table15781012[[#This Row],[Defaulted Principal]]</f>
        <v>5502096.4099999946</v>
      </c>
      <c r="P113" s="3">
        <f>Table15781012[[#This Row],[Principal]]+Table15781012[[#This Row],[Interest]]+Table15781012[[#This Row],[Prepayments]]+Table15781012[[#This Row],[RecoveredAmount]]</f>
        <v>61677.11</v>
      </c>
      <c r="Q113" s="3">
        <f ca="1">ROUND(Table15781012[[#This Row],[Cash Flow]]/((1+ActualRateToUse)^(IF(ISNUMBER(SEARCH("Actual",$C$7)),Table15781012[[#This Row],[Running Total]]/365,Table15781012[[#This Row],[Period]]/12))),2)</f>
        <v>34549.089999999997</v>
      </c>
      <c r="R113" s="2">
        <f>IF(MONTH(Table15781012[[#This Row],[Date]])=2,28,DAY(DATE(YEAR(Table15781012[[#This Row],[Date]]),MONTH(Table15781012[[#This Row],[Date]])+1,1)-1))</f>
        <v>31</v>
      </c>
      <c r="S113" s="2">
        <f ca="1">SUM(OFFSET(Table15781012[[#Headers],[Days in month]],1,0):Table15781012[[#This Row],[Days in month]])</f>
        <v>2951</v>
      </c>
      <c r="T113" s="37">
        <f>InterestRate*AmortizationMultiplier*IF(ISNUMBER(SEARCH("Actual",$C$7)),Table15781012[[#This Row],[Days in month]]/365,1/12)</f>
        <v>6.0708333333333326E-3</v>
      </c>
    </row>
    <row r="114" spans="2:20" x14ac:dyDescent="0.2">
      <c r="B114" s="1">
        <v>48822</v>
      </c>
      <c r="C114" s="2">
        <f t="shared" si="4"/>
        <v>98</v>
      </c>
      <c r="D114" s="3">
        <f t="shared" si="3"/>
        <v>5502096.4099999946</v>
      </c>
      <c r="E114" s="3">
        <f>ROUND(Table15781012[[#This Row],[Beginning Balance]]*Table15781012[[#This Row],[Monthly Interest Rate]],2)</f>
        <v>33402.31</v>
      </c>
      <c r="F114" s="3">
        <f t="shared" si="5"/>
        <v>254</v>
      </c>
      <c r="G114" s="23">
        <f>IFERROR(IF($C$13="No","N/A",IF(Table15781012[[#This Row],[Period]]=1,$C$6,PMT(InterestRate*AmortizationMultiplier/12,Table15781012[[#This Row],[Am Thru]],-Table15781012[[#This Row],[Beginning Balance]]))),0)</f>
        <v>42084.79678911058</v>
      </c>
      <c r="H114" s="3">
        <f>MAX(0,IF(C114=$C$4,D114,ROUND(IF($C$3="Fixed Principal",$C$6-Table15781012[[#This Row],[Interest]],IF($C$3="Interest Only",Table15781012[[#This Row],[Beginning Balance]]*ROUND(1-(1-IF($C$11="No",$E$8,1))^(1/12),6),MIN(IF($C$13="Yes",Table15781012[[#This Row],[Payment Amount (Reamortized)]],$C$6)-Table15781012[[#This Row],[Interest]],Table15781012[[#This Row],[Beginning Balance]]))),2)))</f>
        <v>8682.49</v>
      </c>
      <c r="I114" s="3">
        <f>_xlfn.SINGLE(IF($C$3="Line of Credit",0,ROUND(MAX(MIN(IF($C$10="No",$E$7,VLOOKUP(Table15781012[[#This Row],[Period]],Forecast!$H$2:$L$1048576,4,FALSE))*Table15781012[[#This Row],[Beginning Balance]],Table15781012[[#This Row],[Beginning Balance]]-Table15781012[[#This Row],[Principal]]),0),2)))</f>
        <v>15697.48</v>
      </c>
      <c r="J114" s="3">
        <f>ROUND(MIN(Table15781012[[#This Row],[Beginning Balance]]*IF($C$8="No",$E$3,VLOOKUP(Table15781012[[#This Row],[Period]],Forecast!$H$2:$L$1048576,2,FALSE)),Table15781012[[#This Row],[Beginning Balance]]-Table15781012[[#This Row],[Principal]]-Table15781012[[#This Row],[Prepayments]]),2)</f>
        <v>3757.93</v>
      </c>
      <c r="K114" s="3">
        <f>ROUND(Table15781012[[#This Row],[Defaulted Principal]]*IF($C$9="No",$E$4,VLOOKUP(Table15781012[[#This Row],[Period]],Forecast!$H$2:$L$1048576,3,FALSE)),2)</f>
        <v>325.79000000000002</v>
      </c>
      <c r="L114" s="2">
        <f>Table15781012[[#This Row],[Period]]+$E$9</f>
        <v>110</v>
      </c>
      <c r="M114" s="3">
        <f>Table15781012[[#This Row],[Defaulted Principal]]-Table15781012[[#This Row],[Estimated Loss]]</f>
        <v>3432.14</v>
      </c>
      <c r="N114" s="3">
        <f>IFERROR(VLOOKUP(Table15781012[[#This Row],[Period]],$L$16:$M$385,2,FALSE),0)</f>
        <v>3651.42</v>
      </c>
      <c r="O114" s="3">
        <f>Table15781012[[#This Row],[Beginning Balance]]-Table15781012[[#This Row],[Principal]]-Table15781012[[#This Row],[Prepayments]]-Table15781012[[#This Row],[Defaulted Principal]]</f>
        <v>5473958.5099999942</v>
      </c>
      <c r="P114" s="3">
        <f>Table15781012[[#This Row],[Principal]]+Table15781012[[#This Row],[Interest]]+Table15781012[[#This Row],[Prepayments]]+Table15781012[[#This Row],[RecoveredAmount]]</f>
        <v>61433.7</v>
      </c>
      <c r="Q114" s="3">
        <f ca="1">ROUND(Table15781012[[#This Row],[Cash Flow]]/((1+ActualRateToUse)^(IF(ISNUMBER(SEARCH("Actual",$C$7)),Table15781012[[#This Row],[Running Total]]/365,Table15781012[[#This Row],[Period]]/12))),2)</f>
        <v>34203.879999999997</v>
      </c>
      <c r="R114" s="2">
        <f>IF(MONTH(Table15781012[[#This Row],[Date]])=2,28,DAY(DATE(YEAR(Table15781012[[#This Row],[Date]]),MONTH(Table15781012[[#This Row],[Date]])+1,1)-1))</f>
        <v>31</v>
      </c>
      <c r="S114" s="2">
        <f ca="1">SUM(OFFSET(Table15781012[[#Headers],[Days in month]],1,0):Table15781012[[#This Row],[Days in month]])</f>
        <v>2982</v>
      </c>
      <c r="T114" s="37">
        <f>InterestRate*AmortizationMultiplier*IF(ISNUMBER(SEARCH("Actual",$C$7)),Table15781012[[#This Row],[Days in month]]/365,1/12)</f>
        <v>6.0708333333333326E-3</v>
      </c>
    </row>
    <row r="115" spans="2:20" x14ac:dyDescent="0.2">
      <c r="B115" s="1">
        <v>48852</v>
      </c>
      <c r="C115" s="2">
        <f t="shared" si="4"/>
        <v>99</v>
      </c>
      <c r="D115" s="3">
        <f t="shared" si="3"/>
        <v>5473958.5099999942</v>
      </c>
      <c r="E115" s="3">
        <f>ROUND(Table15781012[[#This Row],[Beginning Balance]]*Table15781012[[#This Row],[Monthly Interest Rate]],2)</f>
        <v>32159.51</v>
      </c>
      <c r="F115" s="3">
        <f t="shared" si="5"/>
        <v>253</v>
      </c>
      <c r="G115" s="23">
        <f>IFERROR(IF($C$13="No","N/A",IF(Table15781012[[#This Row],[Period]]=1,$C$6,PMT(InterestRate*AmortizationMultiplier/12,Table15781012[[#This Row],[Am Thru]],-Table15781012[[#This Row],[Beginning Balance]]))),0)</f>
        <v>41940.548439699603</v>
      </c>
      <c r="H115" s="3">
        <f>MAX(0,IF(C115=$C$4,D115,ROUND(IF($C$3="Fixed Principal",$C$6-Table15781012[[#This Row],[Interest]],IF($C$3="Interest Only",Table15781012[[#This Row],[Beginning Balance]]*ROUND(1-(1-IF($C$11="No",$E$8,1))^(1/12),6),MIN(IF($C$13="Yes",Table15781012[[#This Row],[Payment Amount (Reamortized)]],$C$6)-Table15781012[[#This Row],[Interest]],Table15781012[[#This Row],[Beginning Balance]]))),2)))</f>
        <v>9781.0400000000009</v>
      </c>
      <c r="I115" s="3">
        <f>_xlfn.SINGLE(IF($C$3="Line of Credit",0,ROUND(MAX(MIN(IF($C$10="No",$E$7,VLOOKUP(Table15781012[[#This Row],[Period]],Forecast!$H$2:$L$1048576,4,FALSE))*Table15781012[[#This Row],[Beginning Balance]],Table15781012[[#This Row],[Beginning Balance]]-Table15781012[[#This Row],[Principal]]),0),2)))</f>
        <v>15617.2</v>
      </c>
      <c r="J115" s="3">
        <f>ROUND(MIN(Table15781012[[#This Row],[Beginning Balance]]*IF($C$8="No",$E$3,VLOOKUP(Table15781012[[#This Row],[Period]],Forecast!$H$2:$L$1048576,2,FALSE)),Table15781012[[#This Row],[Beginning Balance]]-Table15781012[[#This Row],[Principal]]-Table15781012[[#This Row],[Prepayments]]),2)</f>
        <v>3738.71</v>
      </c>
      <c r="K115" s="3">
        <f>ROUND(Table15781012[[#This Row],[Defaulted Principal]]*IF($C$9="No",$E$4,VLOOKUP(Table15781012[[#This Row],[Period]],Forecast!$H$2:$L$1048576,3,FALSE)),2)</f>
        <v>324.12</v>
      </c>
      <c r="L115" s="2">
        <f>Table15781012[[#This Row],[Period]]+$E$9</f>
        <v>111</v>
      </c>
      <c r="M115" s="3">
        <f>Table15781012[[#This Row],[Defaulted Principal]]-Table15781012[[#This Row],[Estimated Loss]]</f>
        <v>3414.59</v>
      </c>
      <c r="N115" s="3">
        <f>IFERROR(VLOOKUP(Table15781012[[#This Row],[Period]],$L$16:$M$385,2,FALSE),0)</f>
        <v>3633.2799999999997</v>
      </c>
      <c r="O115" s="3">
        <f>Table15781012[[#This Row],[Beginning Balance]]-Table15781012[[#This Row],[Principal]]-Table15781012[[#This Row],[Prepayments]]-Table15781012[[#This Row],[Defaulted Principal]]</f>
        <v>5444821.559999994</v>
      </c>
      <c r="P115" s="3">
        <f>Table15781012[[#This Row],[Principal]]+Table15781012[[#This Row],[Interest]]+Table15781012[[#This Row],[Prepayments]]+Table15781012[[#This Row],[RecoveredAmount]]</f>
        <v>61191.03</v>
      </c>
      <c r="Q115" s="3">
        <f ca="1">ROUND(Table15781012[[#This Row],[Cash Flow]]/((1+ActualRateToUse)^(IF(ISNUMBER(SEARCH("Actual",$C$7)),Table15781012[[#This Row],[Running Total]]/365,Table15781012[[#This Row],[Period]]/12))),2)</f>
        <v>33868.639999999999</v>
      </c>
      <c r="R115" s="2">
        <f>IF(MONTH(Table15781012[[#This Row],[Date]])=2,28,DAY(DATE(YEAR(Table15781012[[#This Row],[Date]]),MONTH(Table15781012[[#This Row],[Date]])+1,1)-1))</f>
        <v>30</v>
      </c>
      <c r="S115" s="2">
        <f ca="1">SUM(OFFSET(Table15781012[[#Headers],[Days in month]],1,0):Table15781012[[#This Row],[Days in month]])</f>
        <v>3012</v>
      </c>
      <c r="T115" s="37">
        <f>InterestRate*AmortizationMultiplier*IF(ISNUMBER(SEARCH("Actual",$C$7)),Table15781012[[#This Row],[Days in month]]/365,1/12)</f>
        <v>5.8749999999999991E-3</v>
      </c>
    </row>
    <row r="116" spans="2:20" x14ac:dyDescent="0.2">
      <c r="B116" s="1">
        <v>48883</v>
      </c>
      <c r="C116" s="2">
        <f t="shared" si="4"/>
        <v>100</v>
      </c>
      <c r="D116" s="3">
        <f t="shared" si="3"/>
        <v>5444821.559999994</v>
      </c>
      <c r="E116" s="3">
        <f>ROUND(Table15781012[[#This Row],[Beginning Balance]]*Table15781012[[#This Row],[Monthly Interest Rate]],2)</f>
        <v>33054.6</v>
      </c>
      <c r="F116" s="3">
        <f t="shared" si="5"/>
        <v>252</v>
      </c>
      <c r="G116" s="23">
        <f>IFERROR(IF($C$13="No","N/A",IF(Table15781012[[#This Row],[Period]]=1,$C$6,PMT(InterestRate*AmortizationMultiplier/12,Table15781012[[#This Row],[Am Thru]],-Table15781012[[#This Row],[Beginning Balance]]))),0)</f>
        <v>41788.565334015853</v>
      </c>
      <c r="H116" s="3">
        <f>MAX(0,IF(C116=$C$4,D116,ROUND(IF($C$3="Fixed Principal",$C$6-Table15781012[[#This Row],[Interest]],IF($C$3="Interest Only",Table15781012[[#This Row],[Beginning Balance]]*ROUND(1-(1-IF($C$11="No",$E$8,1))^(1/12),6),MIN(IF($C$13="Yes",Table15781012[[#This Row],[Payment Amount (Reamortized)]],$C$6)-Table15781012[[#This Row],[Interest]],Table15781012[[#This Row],[Beginning Balance]]))),2)))</f>
        <v>8733.9699999999993</v>
      </c>
      <c r="I116" s="3">
        <f>_xlfn.SINGLE(IF($C$3="Line of Credit",0,ROUND(MAX(MIN(IF($C$10="No",$E$7,VLOOKUP(Table15781012[[#This Row],[Period]],Forecast!$H$2:$L$1048576,4,FALSE))*Table15781012[[#This Row],[Beginning Balance]],Table15781012[[#This Row],[Beginning Balance]]-Table15781012[[#This Row],[Principal]]),0),2)))</f>
        <v>15534.08</v>
      </c>
      <c r="J116" s="3">
        <f>ROUND(MIN(Table15781012[[#This Row],[Beginning Balance]]*IF($C$8="No",$E$3,VLOOKUP(Table15781012[[#This Row],[Period]],Forecast!$H$2:$L$1048576,2,FALSE)),Table15781012[[#This Row],[Beginning Balance]]-Table15781012[[#This Row],[Principal]]-Table15781012[[#This Row],[Prepayments]]),2)</f>
        <v>3718.81</v>
      </c>
      <c r="K116" s="3">
        <f>ROUND(Table15781012[[#This Row],[Defaulted Principal]]*IF($C$9="No",$E$4,VLOOKUP(Table15781012[[#This Row],[Period]],Forecast!$H$2:$L$1048576,3,FALSE)),2)</f>
        <v>322.39999999999998</v>
      </c>
      <c r="L116" s="2">
        <f>Table15781012[[#This Row],[Period]]+$E$9</f>
        <v>112</v>
      </c>
      <c r="M116" s="3">
        <f>Table15781012[[#This Row],[Defaulted Principal]]-Table15781012[[#This Row],[Estimated Loss]]</f>
        <v>3396.41</v>
      </c>
      <c r="N116" s="3">
        <f>IFERROR(VLOOKUP(Table15781012[[#This Row],[Period]],$L$16:$M$385,2,FALSE),0)</f>
        <v>3614.4700000000003</v>
      </c>
      <c r="O116" s="3">
        <f>Table15781012[[#This Row],[Beginning Balance]]-Table15781012[[#This Row],[Principal]]-Table15781012[[#This Row],[Prepayments]]-Table15781012[[#This Row],[Defaulted Principal]]</f>
        <v>5416834.6999999946</v>
      </c>
      <c r="P116" s="3">
        <f>Table15781012[[#This Row],[Principal]]+Table15781012[[#This Row],[Interest]]+Table15781012[[#This Row],[Prepayments]]+Table15781012[[#This Row],[RecoveredAmount]]</f>
        <v>60937.120000000003</v>
      </c>
      <c r="Q116" s="3">
        <f ca="1">ROUND(Table15781012[[#This Row],[Cash Flow]]/((1+ActualRateToUse)^(IF(ISNUMBER(SEARCH("Actual",$C$7)),Table15781012[[#This Row],[Running Total]]/365,Table15781012[[#This Row],[Period]]/12))),2)</f>
        <v>33523.39</v>
      </c>
      <c r="R116" s="2">
        <f>IF(MONTH(Table15781012[[#This Row],[Date]])=2,28,DAY(DATE(YEAR(Table15781012[[#This Row],[Date]]),MONTH(Table15781012[[#This Row],[Date]])+1,1)-1))</f>
        <v>31</v>
      </c>
      <c r="S116" s="2">
        <f ca="1">SUM(OFFSET(Table15781012[[#Headers],[Days in month]],1,0):Table15781012[[#This Row],[Days in month]])</f>
        <v>3043</v>
      </c>
      <c r="T116" s="37">
        <f>InterestRate*AmortizationMultiplier*IF(ISNUMBER(SEARCH("Actual",$C$7)),Table15781012[[#This Row],[Days in month]]/365,1/12)</f>
        <v>6.0708333333333326E-3</v>
      </c>
    </row>
    <row r="117" spans="2:20" x14ac:dyDescent="0.2">
      <c r="B117" s="1">
        <v>48913</v>
      </c>
      <c r="C117" s="2">
        <f t="shared" si="4"/>
        <v>101</v>
      </c>
      <c r="D117" s="3">
        <f t="shared" si="3"/>
        <v>5416834.6999999946</v>
      </c>
      <c r="E117" s="3">
        <f>ROUND(Table15781012[[#This Row],[Beginning Balance]]*Table15781012[[#This Row],[Monthly Interest Rate]],2)</f>
        <v>31823.9</v>
      </c>
      <c r="F117" s="3">
        <f t="shared" si="5"/>
        <v>251</v>
      </c>
      <c r="G117" s="23">
        <f>IFERROR(IF($C$13="No","N/A",IF(Table15781012[[#This Row],[Period]]=1,$C$6,PMT(InterestRate*AmortizationMultiplier/12,Table15781012[[#This Row],[Am Thru]],-Table15781012[[#This Row],[Beginning Balance]]))),0)</f>
        <v>41645.328527639773</v>
      </c>
      <c r="H117" s="3">
        <f>MAX(0,IF(C117=$C$4,D117,ROUND(IF($C$3="Fixed Principal",$C$6-Table15781012[[#This Row],[Interest]],IF($C$3="Interest Only",Table15781012[[#This Row],[Beginning Balance]]*ROUND(1-(1-IF($C$11="No",$E$8,1))^(1/12),6),MIN(IF($C$13="Yes",Table15781012[[#This Row],[Payment Amount (Reamortized)]],$C$6)-Table15781012[[#This Row],[Interest]],Table15781012[[#This Row],[Beginning Balance]]))),2)))</f>
        <v>9821.43</v>
      </c>
      <c r="I117" s="3">
        <f>_xlfn.SINGLE(IF($C$3="Line of Credit",0,ROUND(MAX(MIN(IF($C$10="No",$E$7,VLOOKUP(Table15781012[[#This Row],[Period]],Forecast!$H$2:$L$1048576,4,FALSE))*Table15781012[[#This Row],[Beginning Balance]],Table15781012[[#This Row],[Beginning Balance]]-Table15781012[[#This Row],[Principal]]),0),2)))</f>
        <v>15454.23</v>
      </c>
      <c r="J117" s="3">
        <f>ROUND(MIN(Table15781012[[#This Row],[Beginning Balance]]*IF($C$8="No",$E$3,VLOOKUP(Table15781012[[#This Row],[Period]],Forecast!$H$2:$L$1048576,2,FALSE)),Table15781012[[#This Row],[Beginning Balance]]-Table15781012[[#This Row],[Principal]]-Table15781012[[#This Row],[Prepayments]]),2)</f>
        <v>3699.7</v>
      </c>
      <c r="K117" s="3">
        <f>ROUND(Table15781012[[#This Row],[Defaulted Principal]]*IF($C$9="No",$E$4,VLOOKUP(Table15781012[[#This Row],[Period]],Forecast!$H$2:$L$1048576,3,FALSE)),2)</f>
        <v>320.74</v>
      </c>
      <c r="L117" s="2">
        <f>Table15781012[[#This Row],[Period]]+$E$9</f>
        <v>113</v>
      </c>
      <c r="M117" s="3">
        <f>Table15781012[[#This Row],[Defaulted Principal]]-Table15781012[[#This Row],[Estimated Loss]]</f>
        <v>3378.96</v>
      </c>
      <c r="N117" s="3">
        <f>IFERROR(VLOOKUP(Table15781012[[#This Row],[Period]],$L$16:$M$385,2,FALSE),0)</f>
        <v>3596.4300000000003</v>
      </c>
      <c r="O117" s="3">
        <f>Table15781012[[#This Row],[Beginning Balance]]-Table15781012[[#This Row],[Principal]]-Table15781012[[#This Row],[Prepayments]]-Table15781012[[#This Row],[Defaulted Principal]]</f>
        <v>5387859.3399999943</v>
      </c>
      <c r="P117" s="3">
        <f>Table15781012[[#This Row],[Principal]]+Table15781012[[#This Row],[Interest]]+Table15781012[[#This Row],[Prepayments]]+Table15781012[[#This Row],[RecoveredAmount]]</f>
        <v>60695.99</v>
      </c>
      <c r="Q117" s="3">
        <f ca="1">ROUND(Table15781012[[#This Row],[Cash Flow]]/((1+ActualRateToUse)^(IF(ISNUMBER(SEARCH("Actual",$C$7)),Table15781012[[#This Row],[Running Total]]/365,Table15781012[[#This Row],[Period]]/12))),2)</f>
        <v>33194.6</v>
      </c>
      <c r="R117" s="2">
        <f>IF(MONTH(Table15781012[[#This Row],[Date]])=2,28,DAY(DATE(YEAR(Table15781012[[#This Row],[Date]]),MONTH(Table15781012[[#This Row],[Date]])+1,1)-1))</f>
        <v>30</v>
      </c>
      <c r="S117" s="2">
        <f ca="1">SUM(OFFSET(Table15781012[[#Headers],[Days in month]],1,0):Table15781012[[#This Row],[Days in month]])</f>
        <v>3073</v>
      </c>
      <c r="T117" s="37">
        <f>InterestRate*AmortizationMultiplier*IF(ISNUMBER(SEARCH("Actual",$C$7)),Table15781012[[#This Row],[Days in month]]/365,1/12)</f>
        <v>5.8749999999999991E-3</v>
      </c>
    </row>
    <row r="118" spans="2:20" x14ac:dyDescent="0.2">
      <c r="B118" s="1">
        <v>48944</v>
      </c>
      <c r="C118" s="2">
        <f t="shared" si="4"/>
        <v>102</v>
      </c>
      <c r="D118" s="3">
        <f t="shared" si="3"/>
        <v>5387859.3399999943</v>
      </c>
      <c r="E118" s="3">
        <f>ROUND(Table15781012[[#This Row],[Beginning Balance]]*Table15781012[[#This Row],[Monthly Interest Rate]],2)</f>
        <v>32708.799999999999</v>
      </c>
      <c r="F118" s="3">
        <f t="shared" si="5"/>
        <v>250</v>
      </c>
      <c r="G118" s="23">
        <f>IFERROR(IF($C$13="No","N/A",IF(Table15781012[[#This Row],[Period]]=1,$C$6,PMT(InterestRate*AmortizationMultiplier/12,Table15781012[[#This Row],[Am Thru]],-Table15781012[[#This Row],[Beginning Balance]]))),0)</f>
        <v>41494.411124190512</v>
      </c>
      <c r="H118" s="3">
        <f>MAX(0,IF(C118=$C$4,D118,ROUND(IF($C$3="Fixed Principal",$C$6-Table15781012[[#This Row],[Interest]],IF($C$3="Interest Only",Table15781012[[#This Row],[Beginning Balance]]*ROUND(1-(1-IF($C$11="No",$E$8,1))^(1/12),6),MIN(IF($C$13="Yes",Table15781012[[#This Row],[Payment Amount (Reamortized)]],$C$6)-Table15781012[[#This Row],[Interest]],Table15781012[[#This Row],[Beginning Balance]]))),2)))</f>
        <v>8785.61</v>
      </c>
      <c r="I118" s="3">
        <f>_xlfn.SINGLE(IF($C$3="Line of Credit",0,ROUND(MAX(MIN(IF($C$10="No",$E$7,VLOOKUP(Table15781012[[#This Row],[Period]],Forecast!$H$2:$L$1048576,4,FALSE))*Table15781012[[#This Row],[Beginning Balance]],Table15781012[[#This Row],[Beginning Balance]]-Table15781012[[#This Row],[Principal]]),0),2)))</f>
        <v>15371.56</v>
      </c>
      <c r="J118" s="3">
        <f>ROUND(MIN(Table15781012[[#This Row],[Beginning Balance]]*IF($C$8="No",$E$3,VLOOKUP(Table15781012[[#This Row],[Period]],Forecast!$H$2:$L$1048576,2,FALSE)),Table15781012[[#This Row],[Beginning Balance]]-Table15781012[[#This Row],[Principal]]-Table15781012[[#This Row],[Prepayments]]),2)</f>
        <v>3679.91</v>
      </c>
      <c r="K118" s="3">
        <f>ROUND(Table15781012[[#This Row],[Defaulted Principal]]*IF($C$9="No",$E$4,VLOOKUP(Table15781012[[#This Row],[Period]],Forecast!$H$2:$L$1048576,3,FALSE)),2)</f>
        <v>319.02999999999997</v>
      </c>
      <c r="L118" s="2">
        <f>Table15781012[[#This Row],[Period]]+$E$9</f>
        <v>114</v>
      </c>
      <c r="M118" s="3">
        <f>Table15781012[[#This Row],[Defaulted Principal]]-Table15781012[[#This Row],[Estimated Loss]]</f>
        <v>3360.88</v>
      </c>
      <c r="N118" s="3">
        <f>IFERROR(VLOOKUP(Table15781012[[#This Row],[Period]],$L$16:$M$385,2,FALSE),0)</f>
        <v>3577.74</v>
      </c>
      <c r="O118" s="3">
        <f>Table15781012[[#This Row],[Beginning Balance]]-Table15781012[[#This Row],[Principal]]-Table15781012[[#This Row],[Prepayments]]-Table15781012[[#This Row],[Defaulted Principal]]</f>
        <v>5360022.2599999942</v>
      </c>
      <c r="P118" s="3">
        <f>Table15781012[[#This Row],[Principal]]+Table15781012[[#This Row],[Interest]]+Table15781012[[#This Row],[Prepayments]]+Table15781012[[#This Row],[RecoveredAmount]]</f>
        <v>60443.71</v>
      </c>
      <c r="Q118" s="3">
        <f ca="1">ROUND(Table15781012[[#This Row],[Cash Flow]]/((1+ActualRateToUse)^(IF(ISNUMBER(SEARCH("Actual",$C$7)),Table15781012[[#This Row],[Running Total]]/365,Table15781012[[#This Row],[Period]]/12))),2)</f>
        <v>32855.99</v>
      </c>
      <c r="R118" s="2">
        <f>IF(MONTH(Table15781012[[#This Row],[Date]])=2,28,DAY(DATE(YEAR(Table15781012[[#This Row],[Date]]),MONTH(Table15781012[[#This Row],[Date]])+1,1)-1))</f>
        <v>31</v>
      </c>
      <c r="S118" s="2">
        <f ca="1">SUM(OFFSET(Table15781012[[#Headers],[Days in month]],1,0):Table15781012[[#This Row],[Days in month]])</f>
        <v>3104</v>
      </c>
      <c r="T118" s="37">
        <f>InterestRate*AmortizationMultiplier*IF(ISNUMBER(SEARCH("Actual",$C$7)),Table15781012[[#This Row],[Days in month]]/365,1/12)</f>
        <v>6.0708333333333326E-3</v>
      </c>
    </row>
    <row r="119" spans="2:20" x14ac:dyDescent="0.2">
      <c r="B119" s="1">
        <v>48975</v>
      </c>
      <c r="C119" s="2">
        <f t="shared" si="4"/>
        <v>103</v>
      </c>
      <c r="D119" s="3">
        <f t="shared" si="3"/>
        <v>5360022.2599999942</v>
      </c>
      <c r="E119" s="3">
        <f>ROUND(Table15781012[[#This Row],[Beginning Balance]]*Table15781012[[#This Row],[Monthly Interest Rate]],2)</f>
        <v>32539.8</v>
      </c>
      <c r="F119" s="3">
        <f t="shared" si="5"/>
        <v>249</v>
      </c>
      <c r="G119" s="23">
        <f>IFERROR(IF($C$13="No","N/A",IF(Table15781012[[#This Row],[Period]]=1,$C$6,PMT(InterestRate*AmortizationMultiplier/12,Table15781012[[#This Row],[Am Thru]],-Table15781012[[#This Row],[Beginning Balance]]))),0)</f>
        <v>41352.178913885065</v>
      </c>
      <c r="H119" s="3">
        <f>MAX(0,IF(C119=$C$4,D119,ROUND(IF($C$3="Fixed Principal",$C$6-Table15781012[[#This Row],[Interest]],IF($C$3="Interest Only",Table15781012[[#This Row],[Beginning Balance]]*ROUND(1-(1-IF($C$11="No",$E$8,1))^(1/12),6),MIN(IF($C$13="Yes",Table15781012[[#This Row],[Payment Amount (Reamortized)]],$C$6)-Table15781012[[#This Row],[Interest]],Table15781012[[#This Row],[Beginning Balance]]))),2)))</f>
        <v>8812.3799999999992</v>
      </c>
      <c r="I119" s="3">
        <f>_xlfn.SINGLE(IF($C$3="Line of Credit",0,ROUND(MAX(MIN(IF($C$10="No",$E$7,VLOOKUP(Table15781012[[#This Row],[Period]],Forecast!$H$2:$L$1048576,4,FALSE))*Table15781012[[#This Row],[Beginning Balance]],Table15781012[[#This Row],[Beginning Balance]]-Table15781012[[#This Row],[Principal]]),0),2)))</f>
        <v>15292.14</v>
      </c>
      <c r="J119" s="3">
        <f>ROUND(MIN(Table15781012[[#This Row],[Beginning Balance]]*IF($C$8="No",$E$3,VLOOKUP(Table15781012[[#This Row],[Period]],Forecast!$H$2:$L$1048576,2,FALSE)),Table15781012[[#This Row],[Beginning Balance]]-Table15781012[[#This Row],[Principal]]-Table15781012[[#This Row],[Prepayments]]),2)</f>
        <v>3660.9</v>
      </c>
      <c r="K119" s="3">
        <f>ROUND(Table15781012[[#This Row],[Defaulted Principal]]*IF($C$9="No",$E$4,VLOOKUP(Table15781012[[#This Row],[Period]],Forecast!$H$2:$L$1048576,3,FALSE)),2)</f>
        <v>317.38</v>
      </c>
      <c r="L119" s="2">
        <f>Table15781012[[#This Row],[Period]]+$E$9</f>
        <v>115</v>
      </c>
      <c r="M119" s="3">
        <f>Table15781012[[#This Row],[Defaulted Principal]]-Table15781012[[#This Row],[Estimated Loss]]</f>
        <v>3343.52</v>
      </c>
      <c r="N119" s="3">
        <f>IFERROR(VLOOKUP(Table15781012[[#This Row],[Period]],$L$16:$M$385,2,FALSE),0)</f>
        <v>3559.8</v>
      </c>
      <c r="O119" s="3">
        <f>Table15781012[[#This Row],[Beginning Balance]]-Table15781012[[#This Row],[Principal]]-Table15781012[[#This Row],[Prepayments]]-Table15781012[[#This Row],[Defaulted Principal]]</f>
        <v>5332256.8399999943</v>
      </c>
      <c r="P119" s="3">
        <f>Table15781012[[#This Row],[Principal]]+Table15781012[[#This Row],[Interest]]+Table15781012[[#This Row],[Prepayments]]+Table15781012[[#This Row],[RecoveredAmount]]</f>
        <v>60204.12</v>
      </c>
      <c r="Q119" s="3">
        <f ca="1">ROUND(Table15781012[[#This Row],[Cash Flow]]/((1+ActualRateToUse)^(IF(ISNUMBER(SEARCH("Actual",$C$7)),Table15781012[[#This Row],[Running Total]]/365,Table15781012[[#This Row],[Period]]/12))),2)</f>
        <v>32527.13</v>
      </c>
      <c r="R119" s="2">
        <f>IF(MONTH(Table15781012[[#This Row],[Date]])=2,28,DAY(DATE(YEAR(Table15781012[[#This Row],[Date]]),MONTH(Table15781012[[#This Row],[Date]])+1,1)-1))</f>
        <v>31</v>
      </c>
      <c r="S119" s="2">
        <f ca="1">SUM(OFFSET(Table15781012[[#Headers],[Days in month]],1,0):Table15781012[[#This Row],[Days in month]])</f>
        <v>3135</v>
      </c>
      <c r="T119" s="37">
        <f>InterestRate*AmortizationMultiplier*IF(ISNUMBER(SEARCH("Actual",$C$7)),Table15781012[[#This Row],[Days in month]]/365,1/12)</f>
        <v>6.0708333333333326E-3</v>
      </c>
    </row>
    <row r="120" spans="2:20" x14ac:dyDescent="0.2">
      <c r="B120" s="1">
        <v>49003</v>
      </c>
      <c r="C120" s="2">
        <f t="shared" si="4"/>
        <v>104</v>
      </c>
      <c r="D120" s="3">
        <f t="shared" si="3"/>
        <v>5332256.8399999943</v>
      </c>
      <c r="E120" s="3">
        <f>ROUND(Table15781012[[#This Row],[Beginning Balance]]*Table15781012[[#This Row],[Monthly Interest Rate]],2)</f>
        <v>29238.54</v>
      </c>
      <c r="F120" s="3">
        <f t="shared" si="5"/>
        <v>248</v>
      </c>
      <c r="G120" s="23">
        <f>IFERROR(IF($C$13="No","N/A",IF(Table15781012[[#This Row],[Period]]=1,$C$6,PMT(InterestRate*AmortizationMultiplier/12,Table15781012[[#This Row],[Am Thru]],-Table15781012[[#This Row],[Beginning Balance]]))),0)</f>
        <v>41210.432251780236</v>
      </c>
      <c r="H120" s="3">
        <f>MAX(0,IF(C120=$C$4,D120,ROUND(IF($C$3="Fixed Principal",$C$6-Table15781012[[#This Row],[Interest]],IF($C$3="Interest Only",Table15781012[[#This Row],[Beginning Balance]]*ROUND(1-(1-IF($C$11="No",$E$8,1))^(1/12),6),MIN(IF($C$13="Yes",Table15781012[[#This Row],[Payment Amount (Reamortized)]],$C$6)-Table15781012[[#This Row],[Interest]],Table15781012[[#This Row],[Beginning Balance]]))),2)))</f>
        <v>11971.89</v>
      </c>
      <c r="I120" s="3">
        <f>_xlfn.SINGLE(IF($C$3="Line of Credit",0,ROUND(MAX(MIN(IF($C$10="No",$E$7,VLOOKUP(Table15781012[[#This Row],[Period]],Forecast!$H$2:$L$1048576,4,FALSE))*Table15781012[[#This Row],[Beginning Balance]],Table15781012[[#This Row],[Beginning Balance]]-Table15781012[[#This Row],[Principal]]),0),2)))</f>
        <v>15212.93</v>
      </c>
      <c r="J120" s="3">
        <f>ROUND(MIN(Table15781012[[#This Row],[Beginning Balance]]*IF($C$8="No",$E$3,VLOOKUP(Table15781012[[#This Row],[Period]],Forecast!$H$2:$L$1048576,2,FALSE)),Table15781012[[#This Row],[Beginning Balance]]-Table15781012[[#This Row],[Principal]]-Table15781012[[#This Row],[Prepayments]]),2)</f>
        <v>3641.93</v>
      </c>
      <c r="K120" s="3">
        <f>ROUND(Table15781012[[#This Row],[Defaulted Principal]]*IF($C$9="No",$E$4,VLOOKUP(Table15781012[[#This Row],[Period]],Forecast!$H$2:$L$1048576,3,FALSE)),2)</f>
        <v>315.73</v>
      </c>
      <c r="L120" s="2">
        <f>Table15781012[[#This Row],[Period]]+$E$9</f>
        <v>116</v>
      </c>
      <c r="M120" s="3">
        <f>Table15781012[[#This Row],[Defaulted Principal]]-Table15781012[[#This Row],[Estimated Loss]]</f>
        <v>3326.2</v>
      </c>
      <c r="N120" s="3">
        <f>IFERROR(VLOOKUP(Table15781012[[#This Row],[Period]],$L$16:$M$385,2,FALSE),0)</f>
        <v>3541.9</v>
      </c>
      <c r="O120" s="3">
        <f>Table15781012[[#This Row],[Beginning Balance]]-Table15781012[[#This Row],[Principal]]-Table15781012[[#This Row],[Prepayments]]-Table15781012[[#This Row],[Defaulted Principal]]</f>
        <v>5301430.0899999952</v>
      </c>
      <c r="P120" s="3">
        <f>Table15781012[[#This Row],[Principal]]+Table15781012[[#This Row],[Interest]]+Table15781012[[#This Row],[Prepayments]]+Table15781012[[#This Row],[RecoveredAmount]]</f>
        <v>59965.26</v>
      </c>
      <c r="Q120" s="3">
        <f ca="1">ROUND(Table15781012[[#This Row],[Cash Flow]]/((1+ActualRateToUse)^(IF(ISNUMBER(SEARCH("Actual",$C$7)),Table15781012[[#This Row],[Running Total]]/365,Table15781012[[#This Row],[Period]]/12))),2)</f>
        <v>32220.41</v>
      </c>
      <c r="R120" s="2">
        <f>IF(MONTH(Table15781012[[#This Row],[Date]])=2,28,DAY(DATE(YEAR(Table15781012[[#This Row],[Date]]),MONTH(Table15781012[[#This Row],[Date]])+1,1)-1))</f>
        <v>28</v>
      </c>
      <c r="S120" s="2">
        <f ca="1">SUM(OFFSET(Table15781012[[#Headers],[Days in month]],1,0):Table15781012[[#This Row],[Days in month]])</f>
        <v>3163</v>
      </c>
      <c r="T120" s="37">
        <f>InterestRate*AmortizationMultiplier*IF(ISNUMBER(SEARCH("Actual",$C$7)),Table15781012[[#This Row],[Days in month]]/365,1/12)</f>
        <v>5.4833333333333331E-3</v>
      </c>
    </row>
    <row r="121" spans="2:20" x14ac:dyDescent="0.2">
      <c r="B121" s="1">
        <v>49034</v>
      </c>
      <c r="C121" s="2">
        <f t="shared" si="4"/>
        <v>105</v>
      </c>
      <c r="D121" s="3">
        <f t="shared" si="3"/>
        <v>5301430.0899999952</v>
      </c>
      <c r="E121" s="3">
        <f>ROUND(Table15781012[[#This Row],[Beginning Balance]]*Table15781012[[#This Row],[Monthly Interest Rate]],2)</f>
        <v>32184.1</v>
      </c>
      <c r="F121" s="3">
        <f t="shared" si="5"/>
        <v>247</v>
      </c>
      <c r="G121" s="23">
        <f>IFERROR(IF($C$13="No","N/A",IF(Table15781012[[#This Row],[Period]]=1,$C$6,PMT(InterestRate*AmortizationMultiplier/12,Table15781012[[#This Row],[Am Thru]],-Table15781012[[#This Row],[Beginning Balance]]))),0)</f>
        <v>41044.91547754404</v>
      </c>
      <c r="H121" s="3">
        <f>MAX(0,IF(C121=$C$4,D121,ROUND(IF($C$3="Fixed Principal",$C$6-Table15781012[[#This Row],[Interest]],IF($C$3="Interest Only",Table15781012[[#This Row],[Beginning Balance]]*ROUND(1-(1-IF($C$11="No",$E$8,1))^(1/12),6),MIN(IF($C$13="Yes",Table15781012[[#This Row],[Payment Amount (Reamortized)]],$C$6)-Table15781012[[#This Row],[Interest]],Table15781012[[#This Row],[Beginning Balance]]))),2)))</f>
        <v>8860.82</v>
      </c>
      <c r="I121" s="3">
        <f>_xlfn.SINGLE(IF($C$3="Line of Credit",0,ROUND(MAX(MIN(IF($C$10="No",$E$7,VLOOKUP(Table15781012[[#This Row],[Period]],Forecast!$H$2:$L$1048576,4,FALSE))*Table15781012[[#This Row],[Beginning Balance]],Table15781012[[#This Row],[Beginning Balance]]-Table15781012[[#This Row],[Principal]]),0),2)))</f>
        <v>15124.98</v>
      </c>
      <c r="J121" s="3">
        <f>ROUND(MIN(Table15781012[[#This Row],[Beginning Balance]]*IF($C$8="No",$E$3,VLOOKUP(Table15781012[[#This Row],[Period]],Forecast!$H$2:$L$1048576,2,FALSE)),Table15781012[[#This Row],[Beginning Balance]]-Table15781012[[#This Row],[Principal]]-Table15781012[[#This Row],[Prepayments]]),2)</f>
        <v>3620.88</v>
      </c>
      <c r="K121" s="3">
        <f>ROUND(Table15781012[[#This Row],[Defaulted Principal]]*IF($C$9="No",$E$4,VLOOKUP(Table15781012[[#This Row],[Period]],Forecast!$H$2:$L$1048576,3,FALSE)),2)</f>
        <v>313.91000000000003</v>
      </c>
      <c r="L121" s="2">
        <f>Table15781012[[#This Row],[Period]]+$E$9</f>
        <v>117</v>
      </c>
      <c r="M121" s="3">
        <f>Table15781012[[#This Row],[Defaulted Principal]]-Table15781012[[#This Row],[Estimated Loss]]</f>
        <v>3306.9700000000003</v>
      </c>
      <c r="N121" s="3">
        <f>IFERROR(VLOOKUP(Table15781012[[#This Row],[Period]],$L$16:$M$385,2,FALSE),0)</f>
        <v>3521.98</v>
      </c>
      <c r="O121" s="3">
        <f>Table15781012[[#This Row],[Beginning Balance]]-Table15781012[[#This Row],[Principal]]-Table15781012[[#This Row],[Prepayments]]-Table15781012[[#This Row],[Defaulted Principal]]</f>
        <v>5273823.4099999946</v>
      </c>
      <c r="P121" s="3">
        <f>Table15781012[[#This Row],[Principal]]+Table15781012[[#This Row],[Interest]]+Table15781012[[#This Row],[Prepayments]]+Table15781012[[#This Row],[RecoveredAmount]]</f>
        <v>59691.88</v>
      </c>
      <c r="Q121" s="3">
        <f ca="1">ROUND(Table15781012[[#This Row],[Cash Flow]]/((1+ActualRateToUse)^(IF(ISNUMBER(SEARCH("Actual",$C$7)),Table15781012[[#This Row],[Running Total]]/365,Table15781012[[#This Row],[Period]]/12))),2)</f>
        <v>31878.85</v>
      </c>
      <c r="R121" s="2">
        <f>IF(MONTH(Table15781012[[#This Row],[Date]])=2,28,DAY(DATE(YEAR(Table15781012[[#This Row],[Date]]),MONTH(Table15781012[[#This Row],[Date]])+1,1)-1))</f>
        <v>31</v>
      </c>
      <c r="S121" s="2">
        <f ca="1">SUM(OFFSET(Table15781012[[#Headers],[Days in month]],1,0):Table15781012[[#This Row],[Days in month]])</f>
        <v>3194</v>
      </c>
      <c r="T121" s="37">
        <f>InterestRate*AmortizationMultiplier*IF(ISNUMBER(SEARCH("Actual",$C$7)),Table15781012[[#This Row],[Days in month]]/365,1/12)</f>
        <v>6.0708333333333326E-3</v>
      </c>
    </row>
    <row r="122" spans="2:20" x14ac:dyDescent="0.2">
      <c r="B122" s="1">
        <v>49064</v>
      </c>
      <c r="C122" s="2">
        <f t="shared" si="4"/>
        <v>106</v>
      </c>
      <c r="D122" s="3">
        <f t="shared" si="3"/>
        <v>5273823.4099999946</v>
      </c>
      <c r="E122" s="3">
        <f>ROUND(Table15781012[[#This Row],[Beginning Balance]]*Table15781012[[#This Row],[Monthly Interest Rate]],2)</f>
        <v>30983.71</v>
      </c>
      <c r="F122" s="3">
        <f t="shared" si="5"/>
        <v>246</v>
      </c>
      <c r="G122" s="23">
        <f>IFERROR(IF($C$13="No","N/A",IF(Table15781012[[#This Row],[Period]]=1,$C$6,PMT(InterestRate*AmortizationMultiplier/12,Table15781012[[#This Row],[Am Thru]],-Table15781012[[#This Row],[Beginning Balance]]))),0)</f>
        <v>40904.218185370686</v>
      </c>
      <c r="H122" s="3">
        <f>MAX(0,IF(C122=$C$4,D122,ROUND(IF($C$3="Fixed Principal",$C$6-Table15781012[[#This Row],[Interest]],IF($C$3="Interest Only",Table15781012[[#This Row],[Beginning Balance]]*ROUND(1-(1-IF($C$11="No",$E$8,1))^(1/12),6),MIN(IF($C$13="Yes",Table15781012[[#This Row],[Payment Amount (Reamortized)]],$C$6)-Table15781012[[#This Row],[Interest]],Table15781012[[#This Row],[Beginning Balance]]))),2)))</f>
        <v>9920.51</v>
      </c>
      <c r="I122" s="3">
        <f>_xlfn.SINGLE(IF($C$3="Line of Credit",0,ROUND(MAX(MIN(IF($C$10="No",$E$7,VLOOKUP(Table15781012[[#This Row],[Period]],Forecast!$H$2:$L$1048576,4,FALSE))*Table15781012[[#This Row],[Beginning Balance]],Table15781012[[#This Row],[Beginning Balance]]-Table15781012[[#This Row],[Principal]]),0),2)))</f>
        <v>15046.22</v>
      </c>
      <c r="J122" s="3">
        <f>ROUND(MIN(Table15781012[[#This Row],[Beginning Balance]]*IF($C$8="No",$E$3,VLOOKUP(Table15781012[[#This Row],[Period]],Forecast!$H$2:$L$1048576,2,FALSE)),Table15781012[[#This Row],[Beginning Balance]]-Table15781012[[#This Row],[Principal]]-Table15781012[[#This Row],[Prepayments]]),2)</f>
        <v>3602.02</v>
      </c>
      <c r="K122" s="3">
        <f>ROUND(Table15781012[[#This Row],[Defaulted Principal]]*IF($C$9="No",$E$4,VLOOKUP(Table15781012[[#This Row],[Period]],Forecast!$H$2:$L$1048576,3,FALSE)),2)</f>
        <v>312.27</v>
      </c>
      <c r="L122" s="2">
        <f>Table15781012[[#This Row],[Period]]+$E$9</f>
        <v>118</v>
      </c>
      <c r="M122" s="3">
        <f>Table15781012[[#This Row],[Defaulted Principal]]-Table15781012[[#This Row],[Estimated Loss]]</f>
        <v>3289.75</v>
      </c>
      <c r="N122" s="3">
        <f>IFERROR(VLOOKUP(Table15781012[[#This Row],[Period]],$L$16:$M$385,2,FALSE),0)</f>
        <v>3504.19</v>
      </c>
      <c r="O122" s="3">
        <f>Table15781012[[#This Row],[Beginning Balance]]-Table15781012[[#This Row],[Principal]]-Table15781012[[#This Row],[Prepayments]]-Table15781012[[#This Row],[Defaulted Principal]]</f>
        <v>5245254.6599999955</v>
      </c>
      <c r="P122" s="3">
        <f>Table15781012[[#This Row],[Principal]]+Table15781012[[#This Row],[Interest]]+Table15781012[[#This Row],[Prepayments]]+Table15781012[[#This Row],[RecoveredAmount]]</f>
        <v>59454.630000000005</v>
      </c>
      <c r="Q122" s="3">
        <f ca="1">ROUND(Table15781012[[#This Row],[Cash Flow]]/((1+ActualRateToUse)^(IF(ISNUMBER(SEARCH("Actual",$C$7)),Table15781012[[#This Row],[Running Total]]/365,Table15781012[[#This Row],[Period]]/12))),2)</f>
        <v>31565.63</v>
      </c>
      <c r="R122" s="2">
        <f>IF(MONTH(Table15781012[[#This Row],[Date]])=2,28,DAY(DATE(YEAR(Table15781012[[#This Row],[Date]]),MONTH(Table15781012[[#This Row],[Date]])+1,1)-1))</f>
        <v>30</v>
      </c>
      <c r="S122" s="2">
        <f ca="1">SUM(OFFSET(Table15781012[[#Headers],[Days in month]],1,0):Table15781012[[#This Row],[Days in month]])</f>
        <v>3224</v>
      </c>
      <c r="T122" s="37">
        <f>InterestRate*AmortizationMultiplier*IF(ISNUMBER(SEARCH("Actual",$C$7)),Table15781012[[#This Row],[Days in month]]/365,1/12)</f>
        <v>5.8749999999999991E-3</v>
      </c>
    </row>
    <row r="123" spans="2:20" x14ac:dyDescent="0.2">
      <c r="B123" s="1">
        <v>49095</v>
      </c>
      <c r="C123" s="2">
        <f t="shared" si="4"/>
        <v>107</v>
      </c>
      <c r="D123" s="3">
        <f t="shared" si="3"/>
        <v>5245254.6599999955</v>
      </c>
      <c r="E123" s="3">
        <f>ROUND(Table15781012[[#This Row],[Beginning Balance]]*Table15781012[[#This Row],[Monthly Interest Rate]],2)</f>
        <v>31843.07</v>
      </c>
      <c r="F123" s="3">
        <f t="shared" si="5"/>
        <v>245</v>
      </c>
      <c r="G123" s="23">
        <f>IFERROR(IF($C$13="No","N/A",IF(Table15781012[[#This Row],[Period]]=1,$C$6,PMT(InterestRate*AmortizationMultiplier/12,Table15781012[[#This Row],[Am Thru]],-Table15781012[[#This Row],[Beginning Balance]]))),0)</f>
        <v>40755.97640313481</v>
      </c>
      <c r="H123" s="3">
        <f>MAX(0,IF(C123=$C$4,D123,ROUND(IF($C$3="Fixed Principal",$C$6-Table15781012[[#This Row],[Interest]],IF($C$3="Interest Only",Table15781012[[#This Row],[Beginning Balance]]*ROUND(1-(1-IF($C$11="No",$E$8,1))^(1/12),6),MIN(IF($C$13="Yes",Table15781012[[#This Row],[Payment Amount (Reamortized)]],$C$6)-Table15781012[[#This Row],[Interest]],Table15781012[[#This Row],[Beginning Balance]]))),2)))</f>
        <v>8912.91</v>
      </c>
      <c r="I123" s="3">
        <f>_xlfn.SINGLE(IF($C$3="Line of Credit",0,ROUND(MAX(MIN(IF($C$10="No",$E$7,VLOOKUP(Table15781012[[#This Row],[Period]],Forecast!$H$2:$L$1048576,4,FALSE))*Table15781012[[#This Row],[Beginning Balance]],Table15781012[[#This Row],[Beginning Balance]]-Table15781012[[#This Row],[Principal]]),0),2)))</f>
        <v>14964.71</v>
      </c>
      <c r="J123" s="3">
        <f>ROUND(MIN(Table15781012[[#This Row],[Beginning Balance]]*IF($C$8="No",$E$3,VLOOKUP(Table15781012[[#This Row],[Period]],Forecast!$H$2:$L$1048576,2,FALSE)),Table15781012[[#This Row],[Beginning Balance]]-Table15781012[[#This Row],[Principal]]-Table15781012[[#This Row],[Prepayments]]),2)</f>
        <v>3582.51</v>
      </c>
      <c r="K123" s="3">
        <f>ROUND(Table15781012[[#This Row],[Defaulted Principal]]*IF($C$9="No",$E$4,VLOOKUP(Table15781012[[#This Row],[Period]],Forecast!$H$2:$L$1048576,3,FALSE)),2)</f>
        <v>310.58</v>
      </c>
      <c r="L123" s="2">
        <f>Table15781012[[#This Row],[Period]]+$E$9</f>
        <v>119</v>
      </c>
      <c r="M123" s="3">
        <f>Table15781012[[#This Row],[Defaulted Principal]]-Table15781012[[#This Row],[Estimated Loss]]</f>
        <v>3271.9300000000003</v>
      </c>
      <c r="N123" s="3">
        <f>IFERROR(VLOOKUP(Table15781012[[#This Row],[Period]],$L$16:$M$385,2,FALSE),0)</f>
        <v>3485.7599999999998</v>
      </c>
      <c r="O123" s="3">
        <f>Table15781012[[#This Row],[Beginning Balance]]-Table15781012[[#This Row],[Principal]]-Table15781012[[#This Row],[Prepayments]]-Table15781012[[#This Row],[Defaulted Principal]]</f>
        <v>5217794.5299999956</v>
      </c>
      <c r="P123" s="3">
        <f>Table15781012[[#This Row],[Principal]]+Table15781012[[#This Row],[Interest]]+Table15781012[[#This Row],[Prepayments]]+Table15781012[[#This Row],[RecoveredAmount]]</f>
        <v>59206.45</v>
      </c>
      <c r="Q123" s="3">
        <f ca="1">ROUND(Table15781012[[#This Row],[Cash Flow]]/((1+ActualRateToUse)^(IF(ISNUMBER(SEARCH("Actual",$C$7)),Table15781012[[#This Row],[Running Total]]/365,Table15781012[[#This Row],[Period]]/12))),2)</f>
        <v>31243.08</v>
      </c>
      <c r="R123" s="2">
        <f>IF(MONTH(Table15781012[[#This Row],[Date]])=2,28,DAY(DATE(YEAR(Table15781012[[#This Row],[Date]]),MONTH(Table15781012[[#This Row],[Date]])+1,1)-1))</f>
        <v>31</v>
      </c>
      <c r="S123" s="2">
        <f ca="1">SUM(OFFSET(Table15781012[[#Headers],[Days in month]],1,0):Table15781012[[#This Row],[Days in month]])</f>
        <v>3255</v>
      </c>
      <c r="T123" s="37">
        <f>InterestRate*AmortizationMultiplier*IF(ISNUMBER(SEARCH("Actual",$C$7)),Table15781012[[#This Row],[Days in month]]/365,1/12)</f>
        <v>6.0708333333333326E-3</v>
      </c>
    </row>
    <row r="124" spans="2:20" x14ac:dyDescent="0.2">
      <c r="B124" s="1">
        <v>49125</v>
      </c>
      <c r="C124" s="2">
        <f t="shared" si="4"/>
        <v>108</v>
      </c>
      <c r="D124" s="3">
        <f t="shared" si="3"/>
        <v>5217794.5299999956</v>
      </c>
      <c r="E124" s="3">
        <f>ROUND(Table15781012[[#This Row],[Beginning Balance]]*Table15781012[[#This Row],[Monthly Interest Rate]],2)</f>
        <v>30654.54</v>
      </c>
      <c r="F124" s="3">
        <f t="shared" si="5"/>
        <v>244</v>
      </c>
      <c r="G124" s="23">
        <f>IFERROR(IF($C$13="No","N/A",IF(Table15781012[[#This Row],[Period]]=1,$C$6,PMT(InterestRate*AmortizationMultiplier/12,Table15781012[[#This Row],[Am Thru]],-Table15781012[[#This Row],[Beginning Balance]]))),0)</f>
        <v>40616.265714191526</v>
      </c>
      <c r="H124" s="3">
        <f>MAX(0,IF(C124=$C$4,D124,ROUND(IF($C$3="Fixed Principal",$C$6-Table15781012[[#This Row],[Interest]],IF($C$3="Interest Only",Table15781012[[#This Row],[Beginning Balance]]*ROUND(1-(1-IF($C$11="No",$E$8,1))^(1/12),6),MIN(IF($C$13="Yes",Table15781012[[#This Row],[Payment Amount (Reamortized)]],$C$6)-Table15781012[[#This Row],[Interest]],Table15781012[[#This Row],[Beginning Balance]]))),2)))</f>
        <v>9961.73</v>
      </c>
      <c r="I124" s="3">
        <f>_xlfn.SINGLE(IF($C$3="Line of Credit",0,ROUND(MAX(MIN(IF($C$10="No",$E$7,VLOOKUP(Table15781012[[#This Row],[Period]],Forecast!$H$2:$L$1048576,4,FALSE))*Table15781012[[#This Row],[Beginning Balance]],Table15781012[[#This Row],[Beginning Balance]]-Table15781012[[#This Row],[Principal]]),0),2)))</f>
        <v>14886.37</v>
      </c>
      <c r="J124" s="3">
        <f>ROUND(MIN(Table15781012[[#This Row],[Beginning Balance]]*IF($C$8="No",$E$3,VLOOKUP(Table15781012[[#This Row],[Period]],Forecast!$H$2:$L$1048576,2,FALSE)),Table15781012[[#This Row],[Beginning Balance]]-Table15781012[[#This Row],[Principal]]-Table15781012[[#This Row],[Prepayments]]),2)</f>
        <v>3563.75</v>
      </c>
      <c r="K124" s="3">
        <f>ROUND(Table15781012[[#This Row],[Defaulted Principal]]*IF($C$9="No",$E$4,VLOOKUP(Table15781012[[#This Row],[Period]],Forecast!$H$2:$L$1048576,3,FALSE)),2)</f>
        <v>308.95999999999998</v>
      </c>
      <c r="L124" s="2">
        <f>Table15781012[[#This Row],[Period]]+$E$9</f>
        <v>120</v>
      </c>
      <c r="M124" s="3">
        <f>Table15781012[[#This Row],[Defaulted Principal]]-Table15781012[[#This Row],[Estimated Loss]]</f>
        <v>3254.79</v>
      </c>
      <c r="N124" s="3">
        <f>IFERROR(VLOOKUP(Table15781012[[#This Row],[Period]],$L$16:$M$385,2,FALSE),0)</f>
        <v>3468.07</v>
      </c>
      <c r="O124" s="3">
        <f>Table15781012[[#This Row],[Beginning Balance]]-Table15781012[[#This Row],[Principal]]-Table15781012[[#This Row],[Prepayments]]-Table15781012[[#This Row],[Defaulted Principal]]</f>
        <v>5189382.679999995</v>
      </c>
      <c r="P124" s="3">
        <f>Table15781012[[#This Row],[Principal]]+Table15781012[[#This Row],[Interest]]+Table15781012[[#This Row],[Prepayments]]+Table15781012[[#This Row],[RecoveredAmount]]</f>
        <v>58970.710000000006</v>
      </c>
      <c r="Q124" s="3">
        <f ca="1">ROUND(Table15781012[[#This Row],[Cash Flow]]/((1+ActualRateToUse)^(IF(ISNUMBER(SEARCH("Actual",$C$7)),Table15781012[[#This Row],[Running Total]]/365,Table15781012[[#This Row],[Period]]/12))),2)</f>
        <v>30935.88</v>
      </c>
      <c r="R124" s="2">
        <f>IF(MONTH(Table15781012[[#This Row],[Date]])=2,28,DAY(DATE(YEAR(Table15781012[[#This Row],[Date]]),MONTH(Table15781012[[#This Row],[Date]])+1,1)-1))</f>
        <v>30</v>
      </c>
      <c r="S124" s="2">
        <f ca="1">SUM(OFFSET(Table15781012[[#Headers],[Days in month]],1,0):Table15781012[[#This Row],[Days in month]])</f>
        <v>3285</v>
      </c>
      <c r="T124" s="37">
        <f>InterestRate*AmortizationMultiplier*IF(ISNUMBER(SEARCH("Actual",$C$7)),Table15781012[[#This Row],[Days in month]]/365,1/12)</f>
        <v>5.8749999999999991E-3</v>
      </c>
    </row>
    <row r="125" spans="2:20" x14ac:dyDescent="0.2">
      <c r="B125" s="1">
        <v>49156</v>
      </c>
      <c r="C125" s="2">
        <f t="shared" si="4"/>
        <v>109</v>
      </c>
      <c r="D125" s="3">
        <f t="shared" si="3"/>
        <v>5189382.679999995</v>
      </c>
      <c r="E125" s="3">
        <f>ROUND(Table15781012[[#This Row],[Beginning Balance]]*Table15781012[[#This Row],[Monthly Interest Rate]],2)</f>
        <v>31503.88</v>
      </c>
      <c r="F125" s="3">
        <f t="shared" si="5"/>
        <v>243</v>
      </c>
      <c r="G125" s="23">
        <f>IFERROR(IF($C$13="No","N/A",IF(Table15781012[[#This Row],[Period]]=1,$C$6,PMT(InterestRate*AmortizationMultiplier/12,Table15781012[[#This Row],[Am Thru]],-Table15781012[[#This Row],[Beginning Balance]]))),0)</f>
        <v>40469.063354974911</v>
      </c>
      <c r="H125" s="3">
        <f>MAX(0,IF(C125=$C$4,D125,ROUND(IF($C$3="Fixed Principal",$C$6-Table15781012[[#This Row],[Interest]],IF($C$3="Interest Only",Table15781012[[#This Row],[Beginning Balance]]*ROUND(1-(1-IF($C$11="No",$E$8,1))^(1/12),6),MIN(IF($C$13="Yes",Table15781012[[#This Row],[Payment Amount (Reamortized)]],$C$6)-Table15781012[[#This Row],[Interest]],Table15781012[[#This Row],[Beginning Balance]]))),2)))</f>
        <v>8965.18</v>
      </c>
      <c r="I125" s="3">
        <f>_xlfn.SINGLE(IF($C$3="Line of Credit",0,ROUND(MAX(MIN(IF($C$10="No",$E$7,VLOOKUP(Table15781012[[#This Row],[Period]],Forecast!$H$2:$L$1048576,4,FALSE))*Table15781012[[#This Row],[Beginning Balance]],Table15781012[[#This Row],[Beginning Balance]]-Table15781012[[#This Row],[Principal]]),0),2)))</f>
        <v>14805.31</v>
      </c>
      <c r="J125" s="3">
        <f>ROUND(MIN(Table15781012[[#This Row],[Beginning Balance]]*IF($C$8="No",$E$3,VLOOKUP(Table15781012[[#This Row],[Period]],Forecast!$H$2:$L$1048576,2,FALSE)),Table15781012[[#This Row],[Beginning Balance]]-Table15781012[[#This Row],[Principal]]-Table15781012[[#This Row],[Prepayments]]),2)</f>
        <v>3544.35</v>
      </c>
      <c r="K125" s="3">
        <f>ROUND(Table15781012[[#This Row],[Defaulted Principal]]*IF($C$9="No",$E$4,VLOOKUP(Table15781012[[#This Row],[Period]],Forecast!$H$2:$L$1048576,3,FALSE)),2)</f>
        <v>307.27</v>
      </c>
      <c r="L125" s="2">
        <f>Table15781012[[#This Row],[Period]]+$E$9</f>
        <v>121</v>
      </c>
      <c r="M125" s="3">
        <f>Table15781012[[#This Row],[Defaulted Principal]]-Table15781012[[#This Row],[Estimated Loss]]</f>
        <v>3237.08</v>
      </c>
      <c r="N125" s="3">
        <f>IFERROR(VLOOKUP(Table15781012[[#This Row],[Period]],$L$16:$M$385,2,FALSE),0)</f>
        <v>3449.74</v>
      </c>
      <c r="O125" s="3">
        <f>Table15781012[[#This Row],[Beginning Balance]]-Table15781012[[#This Row],[Principal]]-Table15781012[[#This Row],[Prepayments]]-Table15781012[[#This Row],[Defaulted Principal]]</f>
        <v>5162067.8399999961</v>
      </c>
      <c r="P125" s="3">
        <f>Table15781012[[#This Row],[Principal]]+Table15781012[[#This Row],[Interest]]+Table15781012[[#This Row],[Prepayments]]+Table15781012[[#This Row],[RecoveredAmount]]</f>
        <v>58724.109999999993</v>
      </c>
      <c r="Q125" s="3">
        <f ca="1">ROUND(Table15781012[[#This Row],[Cash Flow]]/((1+ActualRateToUse)^(IF(ISNUMBER(SEARCH("Actual",$C$7)),Table15781012[[#This Row],[Running Total]]/365,Table15781012[[#This Row],[Period]]/12))),2)</f>
        <v>30619.54</v>
      </c>
      <c r="R125" s="2">
        <f>IF(MONTH(Table15781012[[#This Row],[Date]])=2,28,DAY(DATE(YEAR(Table15781012[[#This Row],[Date]]),MONTH(Table15781012[[#This Row],[Date]])+1,1)-1))</f>
        <v>31</v>
      </c>
      <c r="S125" s="2">
        <f ca="1">SUM(OFFSET(Table15781012[[#Headers],[Days in month]],1,0):Table15781012[[#This Row],[Days in month]])</f>
        <v>3316</v>
      </c>
      <c r="T125" s="37">
        <f>InterestRate*AmortizationMultiplier*IF(ISNUMBER(SEARCH("Actual",$C$7)),Table15781012[[#This Row],[Days in month]]/365,1/12)</f>
        <v>6.0708333333333326E-3</v>
      </c>
    </row>
    <row r="126" spans="2:20" x14ac:dyDescent="0.2">
      <c r="B126" s="1">
        <v>49187</v>
      </c>
      <c r="C126" s="2">
        <f t="shared" si="4"/>
        <v>110</v>
      </c>
      <c r="D126" s="3">
        <f t="shared" si="3"/>
        <v>5162067.8399999961</v>
      </c>
      <c r="E126" s="3">
        <f>ROUND(Table15781012[[#This Row],[Beginning Balance]]*Table15781012[[#This Row],[Monthly Interest Rate]],2)</f>
        <v>31338.05</v>
      </c>
      <c r="F126" s="3">
        <f t="shared" si="5"/>
        <v>242</v>
      </c>
      <c r="G126" s="23">
        <f>IFERROR(IF($C$13="No","N/A",IF(Table15781012[[#This Row],[Period]]=1,$C$6,PMT(InterestRate*AmortizationMultiplier/12,Table15781012[[#This Row],[Am Thru]],-Table15781012[[#This Row],[Beginning Balance]]))),0)</f>
        <v>40330.332279868744</v>
      </c>
      <c r="H126" s="3">
        <f>MAX(0,IF(C126=$C$4,D126,ROUND(IF($C$3="Fixed Principal",$C$6-Table15781012[[#This Row],[Interest]],IF($C$3="Interest Only",Table15781012[[#This Row],[Beginning Balance]]*ROUND(1-(1-IF($C$11="No",$E$8,1))^(1/12),6),MIN(IF($C$13="Yes",Table15781012[[#This Row],[Payment Amount (Reamortized)]],$C$6)-Table15781012[[#This Row],[Interest]],Table15781012[[#This Row],[Beginning Balance]]))),2)))</f>
        <v>8992.2800000000007</v>
      </c>
      <c r="I126" s="3">
        <f>_xlfn.SINGLE(IF($C$3="Line of Credit",0,ROUND(MAX(MIN(IF($C$10="No",$E$7,VLOOKUP(Table15781012[[#This Row],[Period]],Forecast!$H$2:$L$1048576,4,FALSE))*Table15781012[[#This Row],[Beginning Balance]],Table15781012[[#This Row],[Beginning Balance]]-Table15781012[[#This Row],[Principal]]),0),2)))</f>
        <v>14727.38</v>
      </c>
      <c r="J126" s="3">
        <f>ROUND(MIN(Table15781012[[#This Row],[Beginning Balance]]*IF($C$8="No",$E$3,VLOOKUP(Table15781012[[#This Row],[Period]],Forecast!$H$2:$L$1048576,2,FALSE)),Table15781012[[#This Row],[Beginning Balance]]-Table15781012[[#This Row],[Principal]]-Table15781012[[#This Row],[Prepayments]]),2)</f>
        <v>3525.69</v>
      </c>
      <c r="K126" s="3">
        <f>ROUND(Table15781012[[#This Row],[Defaulted Principal]]*IF($C$9="No",$E$4,VLOOKUP(Table15781012[[#This Row],[Period]],Forecast!$H$2:$L$1048576,3,FALSE)),2)</f>
        <v>305.66000000000003</v>
      </c>
      <c r="L126" s="2">
        <f>Table15781012[[#This Row],[Period]]+$E$9</f>
        <v>122</v>
      </c>
      <c r="M126" s="3">
        <f>Table15781012[[#This Row],[Defaulted Principal]]-Table15781012[[#This Row],[Estimated Loss]]</f>
        <v>3220.03</v>
      </c>
      <c r="N126" s="3">
        <f>IFERROR(VLOOKUP(Table15781012[[#This Row],[Period]],$L$16:$M$385,2,FALSE),0)</f>
        <v>3432.14</v>
      </c>
      <c r="O126" s="3">
        <f>Table15781012[[#This Row],[Beginning Balance]]-Table15781012[[#This Row],[Principal]]-Table15781012[[#This Row],[Prepayments]]-Table15781012[[#This Row],[Defaulted Principal]]</f>
        <v>5134822.4899999956</v>
      </c>
      <c r="P126" s="3">
        <f>Table15781012[[#This Row],[Principal]]+Table15781012[[#This Row],[Interest]]+Table15781012[[#This Row],[Prepayments]]+Table15781012[[#This Row],[RecoveredAmount]]</f>
        <v>58489.85</v>
      </c>
      <c r="Q126" s="3">
        <f ca="1">ROUND(Table15781012[[#This Row],[Cash Flow]]/((1+ActualRateToUse)^(IF(ISNUMBER(SEARCH("Actual",$C$7)),Table15781012[[#This Row],[Running Total]]/365,Table15781012[[#This Row],[Period]]/12))),2)</f>
        <v>30312.29</v>
      </c>
      <c r="R126" s="2">
        <f>IF(MONTH(Table15781012[[#This Row],[Date]])=2,28,DAY(DATE(YEAR(Table15781012[[#This Row],[Date]]),MONTH(Table15781012[[#This Row],[Date]])+1,1)-1))</f>
        <v>31</v>
      </c>
      <c r="S126" s="2">
        <f ca="1">SUM(OFFSET(Table15781012[[#Headers],[Days in month]],1,0):Table15781012[[#This Row],[Days in month]])</f>
        <v>3347</v>
      </c>
      <c r="T126" s="37">
        <f>InterestRate*AmortizationMultiplier*IF(ISNUMBER(SEARCH("Actual",$C$7)),Table15781012[[#This Row],[Days in month]]/365,1/12)</f>
        <v>6.0708333333333326E-3</v>
      </c>
    </row>
    <row r="127" spans="2:20" x14ac:dyDescent="0.2">
      <c r="B127" s="1">
        <v>49217</v>
      </c>
      <c r="C127" s="2">
        <f t="shared" si="4"/>
        <v>111</v>
      </c>
      <c r="D127" s="3">
        <f t="shared" si="3"/>
        <v>5134822.4899999956</v>
      </c>
      <c r="E127" s="3">
        <f>ROUND(Table15781012[[#This Row],[Beginning Balance]]*Table15781012[[#This Row],[Monthly Interest Rate]],2)</f>
        <v>30167.08</v>
      </c>
      <c r="F127" s="3">
        <f t="shared" si="5"/>
        <v>241</v>
      </c>
      <c r="G127" s="23">
        <f>IFERROR(IF($C$13="No","N/A",IF(Table15781012[[#This Row],[Period]]=1,$C$6,PMT(InterestRate*AmortizationMultiplier/12,Table15781012[[#This Row],[Am Thru]],-Table15781012[[#This Row],[Beginning Balance]]))),0)</f>
        <v>40192.074772911394</v>
      </c>
      <c r="H127" s="3">
        <f>MAX(0,IF(C127=$C$4,D127,ROUND(IF($C$3="Fixed Principal",$C$6-Table15781012[[#This Row],[Interest]],IF($C$3="Interest Only",Table15781012[[#This Row],[Beginning Balance]]*ROUND(1-(1-IF($C$11="No",$E$8,1))^(1/12),6),MIN(IF($C$13="Yes",Table15781012[[#This Row],[Payment Amount (Reamortized)]],$C$6)-Table15781012[[#This Row],[Interest]],Table15781012[[#This Row],[Beginning Balance]]))),2)))</f>
        <v>5134822.4899999956</v>
      </c>
      <c r="I127" s="3">
        <f>_xlfn.SINGLE(IF($C$3="Line of Credit",0,ROUND(MAX(MIN(IF($C$10="No",$E$7,VLOOKUP(Table15781012[[#This Row],[Period]],Forecast!$H$2:$L$1048576,4,FALSE))*Table15781012[[#This Row],[Beginning Balance]],Table15781012[[#This Row],[Beginning Balance]]-Table15781012[[#This Row],[Principal]]),0),2)))</f>
        <v>0</v>
      </c>
      <c r="J127" s="3">
        <f>ROUND(MIN(Table15781012[[#This Row],[Beginning Balance]]*IF($C$8="No",$E$3,VLOOKUP(Table15781012[[#This Row],[Period]],Forecast!$H$2:$L$1048576,2,FALSE)),Table15781012[[#This Row],[Beginning Balance]]-Table15781012[[#This Row],[Principal]]-Table15781012[[#This Row],[Prepayments]]),2)</f>
        <v>0</v>
      </c>
      <c r="K127" s="3">
        <f>ROUND(Table15781012[[#This Row],[Defaulted Principal]]*IF($C$9="No",$E$4,VLOOKUP(Table15781012[[#This Row],[Period]],Forecast!$H$2:$L$1048576,3,FALSE)),2)</f>
        <v>0</v>
      </c>
      <c r="L127" s="2">
        <f>Table15781012[[#This Row],[Period]]+$E$9</f>
        <v>123</v>
      </c>
      <c r="M127" s="3">
        <f>Table15781012[[#This Row],[Defaulted Principal]]-Table15781012[[#This Row],[Estimated Loss]]</f>
        <v>0</v>
      </c>
      <c r="N127" s="3">
        <f>IFERROR(VLOOKUP(Table15781012[[#This Row],[Period]],$L$16:$M$385,2,FALSE),0)</f>
        <v>3414.59</v>
      </c>
      <c r="O127" s="3">
        <f>Table15781012[[#This Row],[Beginning Balance]]-Table15781012[[#This Row],[Principal]]-Table15781012[[#This Row],[Prepayments]]-Table15781012[[#This Row],[Defaulted Principal]]</f>
        <v>0</v>
      </c>
      <c r="P127" s="3">
        <f>Table15781012[[#This Row],[Principal]]+Table15781012[[#This Row],[Interest]]+Table15781012[[#This Row],[Prepayments]]+Table15781012[[#This Row],[RecoveredAmount]]</f>
        <v>5168404.1599999955</v>
      </c>
      <c r="Q127" s="3">
        <f ca="1">ROUND(Table15781012[[#This Row],[Cash Flow]]/((1+ActualRateToUse)^(IF(ISNUMBER(SEARCH("Actual",$C$7)),Table15781012[[#This Row],[Running Total]]/365,Table15781012[[#This Row],[Period]]/12))),2)</f>
        <v>2662784.7000000002</v>
      </c>
      <c r="R127" s="2">
        <f>IF(MONTH(Table15781012[[#This Row],[Date]])=2,28,DAY(DATE(YEAR(Table15781012[[#This Row],[Date]]),MONTH(Table15781012[[#This Row],[Date]])+1,1)-1))</f>
        <v>30</v>
      </c>
      <c r="S127" s="2">
        <f ca="1">SUM(OFFSET(Table15781012[[#Headers],[Days in month]],1,0):Table15781012[[#This Row],[Days in month]])</f>
        <v>3377</v>
      </c>
      <c r="T127" s="37">
        <f>InterestRate*AmortizationMultiplier*IF(ISNUMBER(SEARCH("Actual",$C$7)),Table15781012[[#This Row],[Days in month]]/365,1/12)</f>
        <v>5.8749999999999991E-3</v>
      </c>
    </row>
    <row r="128" spans="2:20" x14ac:dyDescent="0.2">
      <c r="B128" s="1">
        <v>49248</v>
      </c>
      <c r="C128" s="2">
        <f t="shared" si="4"/>
        <v>112</v>
      </c>
      <c r="D128" s="3">
        <f t="shared" si="3"/>
        <v>0</v>
      </c>
      <c r="E128" s="3">
        <f>ROUND(Table15781012[[#This Row],[Beginning Balance]]*Table15781012[[#This Row],[Monthly Interest Rate]],2)</f>
        <v>0</v>
      </c>
      <c r="F128" s="3">
        <f t="shared" si="5"/>
        <v>240</v>
      </c>
      <c r="G128" s="23">
        <f>IFERROR(IF($C$13="No","N/A",IF(Table15781012[[#This Row],[Period]]=1,$C$6,PMT(InterestRate*AmortizationMultiplier/12,Table15781012[[#This Row],[Am Thru]],-Table15781012[[#This Row],[Beginning Balance]]))),0)</f>
        <v>0</v>
      </c>
      <c r="H128" s="3">
        <f>MAX(0,IF(C128=$C$4,D128,ROUND(IF($C$3="Fixed Principal",$C$6-Table15781012[[#This Row],[Interest]],IF($C$3="Interest Only",Table15781012[[#This Row],[Beginning Balance]]*ROUND(1-(1-IF($C$11="No",$E$8,1))^(1/12),6),MIN(IF($C$13="Yes",Table15781012[[#This Row],[Payment Amount (Reamortized)]],$C$6)-Table15781012[[#This Row],[Interest]],Table15781012[[#This Row],[Beginning Balance]]))),2)))</f>
        <v>0</v>
      </c>
      <c r="I128" s="3">
        <f>_xlfn.SINGLE(IF($C$3="Line of Credit",0,ROUND(MAX(MIN(IF($C$10="No",$E$7,VLOOKUP(Table15781012[[#This Row],[Period]],Forecast!$H$2:$L$1048576,4,FALSE))*Table15781012[[#This Row],[Beginning Balance]],Table15781012[[#This Row],[Beginning Balance]]-Table15781012[[#This Row],[Principal]]),0),2)))</f>
        <v>0</v>
      </c>
      <c r="J128" s="3">
        <f>ROUND(MIN(Table15781012[[#This Row],[Beginning Balance]]*IF($C$8="No",$E$3,VLOOKUP(Table15781012[[#This Row],[Period]],Forecast!$H$2:$L$1048576,2,FALSE)),Table15781012[[#This Row],[Beginning Balance]]-Table15781012[[#This Row],[Principal]]-Table15781012[[#This Row],[Prepayments]]),2)</f>
        <v>0</v>
      </c>
      <c r="K128" s="3">
        <f>ROUND(Table15781012[[#This Row],[Defaulted Principal]]*IF($C$9="No",$E$4,VLOOKUP(Table15781012[[#This Row],[Period]],Forecast!$H$2:$L$1048576,3,FALSE)),2)</f>
        <v>0</v>
      </c>
      <c r="L128" s="2">
        <f>Table15781012[[#This Row],[Period]]+$E$9</f>
        <v>124</v>
      </c>
      <c r="M128" s="3">
        <f>Table15781012[[#This Row],[Defaulted Principal]]-Table15781012[[#This Row],[Estimated Loss]]</f>
        <v>0</v>
      </c>
      <c r="N128" s="3">
        <f>IFERROR(VLOOKUP(Table15781012[[#This Row],[Period]],$L$16:$M$385,2,FALSE),0)</f>
        <v>3396.41</v>
      </c>
      <c r="O128" s="3">
        <f>Table15781012[[#This Row],[Beginning Balance]]-Table15781012[[#This Row],[Principal]]-Table15781012[[#This Row],[Prepayments]]-Table15781012[[#This Row],[Defaulted Principal]]</f>
        <v>0</v>
      </c>
      <c r="P128" s="3">
        <f>Table15781012[[#This Row],[Principal]]+Table15781012[[#This Row],[Interest]]+Table15781012[[#This Row],[Prepayments]]+Table15781012[[#This Row],[RecoveredAmount]]</f>
        <v>3396.41</v>
      </c>
      <c r="Q128" s="3">
        <f ca="1">ROUND(Table15781012[[#This Row],[Cash Flow]]/((1+ActualRateToUse)^(IF(ISNUMBER(SEARCH("Actual",$C$7)),Table15781012[[#This Row],[Running Total]]/365,Table15781012[[#This Row],[Period]]/12))),2)</f>
        <v>1739.22</v>
      </c>
      <c r="R128" s="2">
        <f>IF(MONTH(Table15781012[[#This Row],[Date]])=2,28,DAY(DATE(YEAR(Table15781012[[#This Row],[Date]]),MONTH(Table15781012[[#This Row],[Date]])+1,1)-1))</f>
        <v>31</v>
      </c>
      <c r="S128" s="2">
        <f ca="1">SUM(OFFSET(Table15781012[[#Headers],[Days in month]],1,0):Table15781012[[#This Row],[Days in month]])</f>
        <v>3408</v>
      </c>
      <c r="T128" s="37">
        <f>InterestRate*AmortizationMultiplier*IF(ISNUMBER(SEARCH("Actual",$C$7)),Table15781012[[#This Row],[Days in month]]/365,1/12)</f>
        <v>6.0708333333333326E-3</v>
      </c>
    </row>
    <row r="129" spans="2:20" x14ac:dyDescent="0.2">
      <c r="B129" s="1">
        <v>49278</v>
      </c>
      <c r="C129" s="2">
        <f t="shared" si="4"/>
        <v>113</v>
      </c>
      <c r="D129" s="3">
        <f t="shared" si="3"/>
        <v>0</v>
      </c>
      <c r="E129" s="3">
        <f>ROUND(Table15781012[[#This Row],[Beginning Balance]]*Table15781012[[#This Row],[Monthly Interest Rate]],2)</f>
        <v>0</v>
      </c>
      <c r="F129" s="3">
        <f t="shared" si="5"/>
        <v>239</v>
      </c>
      <c r="G129" s="23">
        <f>IFERROR(IF($C$13="No","N/A",IF(Table15781012[[#This Row],[Period]]=1,$C$6,PMT(InterestRate*AmortizationMultiplier/12,Table15781012[[#This Row],[Am Thru]],-Table15781012[[#This Row],[Beginning Balance]]))),0)</f>
        <v>0</v>
      </c>
      <c r="H129" s="3">
        <f>MAX(0,IF(C129=$C$4,D129,ROUND(IF($C$3="Fixed Principal",$C$6-Table15781012[[#This Row],[Interest]],IF($C$3="Interest Only",Table15781012[[#This Row],[Beginning Balance]]*ROUND(1-(1-IF($C$11="No",$E$8,1))^(1/12),6),MIN(IF($C$13="Yes",Table15781012[[#This Row],[Payment Amount (Reamortized)]],$C$6)-Table15781012[[#This Row],[Interest]],Table15781012[[#This Row],[Beginning Balance]]))),2)))</f>
        <v>0</v>
      </c>
      <c r="I129" s="3">
        <f>_xlfn.SINGLE(IF($C$3="Line of Credit",0,ROUND(MAX(MIN(IF($C$10="No",$E$7,VLOOKUP(Table15781012[[#This Row],[Period]],Forecast!$H$2:$L$1048576,4,FALSE))*Table15781012[[#This Row],[Beginning Balance]],Table15781012[[#This Row],[Beginning Balance]]-Table15781012[[#This Row],[Principal]]),0),2)))</f>
        <v>0</v>
      </c>
      <c r="J129" s="3">
        <f>ROUND(MIN(Table15781012[[#This Row],[Beginning Balance]]*IF($C$8="No",$E$3,VLOOKUP(Table15781012[[#This Row],[Period]],Forecast!$H$2:$L$1048576,2,FALSE)),Table15781012[[#This Row],[Beginning Balance]]-Table15781012[[#This Row],[Principal]]-Table15781012[[#This Row],[Prepayments]]),2)</f>
        <v>0</v>
      </c>
      <c r="K129" s="3">
        <f>ROUND(Table15781012[[#This Row],[Defaulted Principal]]*IF($C$9="No",$E$4,VLOOKUP(Table15781012[[#This Row],[Period]],Forecast!$H$2:$L$1048576,3,FALSE)),2)</f>
        <v>0</v>
      </c>
      <c r="L129" s="2">
        <f>Table15781012[[#This Row],[Period]]+$E$9</f>
        <v>125</v>
      </c>
      <c r="M129" s="3">
        <f>Table15781012[[#This Row],[Defaulted Principal]]-Table15781012[[#This Row],[Estimated Loss]]</f>
        <v>0</v>
      </c>
      <c r="N129" s="3">
        <f>IFERROR(VLOOKUP(Table15781012[[#This Row],[Period]],$L$16:$M$385,2,FALSE),0)</f>
        <v>3378.96</v>
      </c>
      <c r="O129" s="3">
        <f>Table15781012[[#This Row],[Beginning Balance]]-Table15781012[[#This Row],[Principal]]-Table15781012[[#This Row],[Prepayments]]-Table15781012[[#This Row],[Defaulted Principal]]</f>
        <v>0</v>
      </c>
      <c r="P129" s="3">
        <f>Table15781012[[#This Row],[Principal]]+Table15781012[[#This Row],[Interest]]+Table15781012[[#This Row],[Prepayments]]+Table15781012[[#This Row],[RecoveredAmount]]</f>
        <v>3378.96</v>
      </c>
      <c r="Q129" s="3">
        <f ca="1">ROUND(Table15781012[[#This Row],[Cash Flow]]/((1+ActualRateToUse)^(IF(ISNUMBER(SEARCH("Actual",$C$7)),Table15781012[[#This Row],[Running Total]]/365,Table15781012[[#This Row],[Period]]/12))),2)</f>
        <v>1720.13</v>
      </c>
      <c r="R129" s="2">
        <f>IF(MONTH(Table15781012[[#This Row],[Date]])=2,28,DAY(DATE(YEAR(Table15781012[[#This Row],[Date]]),MONTH(Table15781012[[#This Row],[Date]])+1,1)-1))</f>
        <v>30</v>
      </c>
      <c r="S129" s="2">
        <f ca="1">SUM(OFFSET(Table15781012[[#Headers],[Days in month]],1,0):Table15781012[[#This Row],[Days in month]])</f>
        <v>3438</v>
      </c>
      <c r="T129" s="37">
        <f>InterestRate*AmortizationMultiplier*IF(ISNUMBER(SEARCH("Actual",$C$7)),Table15781012[[#This Row],[Days in month]]/365,1/12)</f>
        <v>5.8749999999999991E-3</v>
      </c>
    </row>
    <row r="130" spans="2:20" x14ac:dyDescent="0.2">
      <c r="B130" s="1">
        <v>49309</v>
      </c>
      <c r="C130" s="2">
        <f t="shared" si="4"/>
        <v>114</v>
      </c>
      <c r="D130" s="3">
        <f t="shared" si="3"/>
        <v>0</v>
      </c>
      <c r="E130" s="3">
        <f>ROUND(Table15781012[[#This Row],[Beginning Balance]]*Table15781012[[#This Row],[Monthly Interest Rate]],2)</f>
        <v>0</v>
      </c>
      <c r="F130" s="3">
        <f t="shared" si="5"/>
        <v>238</v>
      </c>
      <c r="G130" s="23">
        <f>IFERROR(IF($C$13="No","N/A",IF(Table15781012[[#This Row],[Period]]=1,$C$6,PMT(InterestRate*AmortizationMultiplier/12,Table15781012[[#This Row],[Am Thru]],-Table15781012[[#This Row],[Beginning Balance]]))),0)</f>
        <v>0</v>
      </c>
      <c r="H130" s="3">
        <f>MAX(0,IF(C130=$C$4,D130,ROUND(IF($C$3="Fixed Principal",$C$6-Table15781012[[#This Row],[Interest]],IF($C$3="Interest Only",Table15781012[[#This Row],[Beginning Balance]]*ROUND(1-(1-IF($C$11="No",$E$8,1))^(1/12),6),MIN(IF($C$13="Yes",Table15781012[[#This Row],[Payment Amount (Reamortized)]],$C$6)-Table15781012[[#This Row],[Interest]],Table15781012[[#This Row],[Beginning Balance]]))),2)))</f>
        <v>0</v>
      </c>
      <c r="I130" s="3">
        <f>_xlfn.SINGLE(IF($C$3="Line of Credit",0,ROUND(MAX(MIN(IF($C$10="No",$E$7,VLOOKUP(Table15781012[[#This Row],[Period]],Forecast!$H$2:$L$1048576,4,FALSE))*Table15781012[[#This Row],[Beginning Balance]],Table15781012[[#This Row],[Beginning Balance]]-Table15781012[[#This Row],[Principal]]),0),2)))</f>
        <v>0</v>
      </c>
      <c r="J130" s="3">
        <f>ROUND(MIN(Table15781012[[#This Row],[Beginning Balance]]*IF($C$8="No",$E$3,VLOOKUP(Table15781012[[#This Row],[Period]],Forecast!$H$2:$L$1048576,2,FALSE)),Table15781012[[#This Row],[Beginning Balance]]-Table15781012[[#This Row],[Principal]]-Table15781012[[#This Row],[Prepayments]]),2)</f>
        <v>0</v>
      </c>
      <c r="K130" s="3">
        <f>ROUND(Table15781012[[#This Row],[Defaulted Principal]]*IF($C$9="No",$E$4,VLOOKUP(Table15781012[[#This Row],[Period]],Forecast!$H$2:$L$1048576,3,FALSE)),2)</f>
        <v>0</v>
      </c>
      <c r="L130" s="2">
        <f>Table15781012[[#This Row],[Period]]+$E$9</f>
        <v>126</v>
      </c>
      <c r="M130" s="3">
        <f>Table15781012[[#This Row],[Defaulted Principal]]-Table15781012[[#This Row],[Estimated Loss]]</f>
        <v>0</v>
      </c>
      <c r="N130" s="3">
        <f>IFERROR(VLOOKUP(Table15781012[[#This Row],[Period]],$L$16:$M$385,2,FALSE),0)</f>
        <v>3360.88</v>
      </c>
      <c r="O130" s="3">
        <f>Table15781012[[#This Row],[Beginning Balance]]-Table15781012[[#This Row],[Principal]]-Table15781012[[#This Row],[Prepayments]]-Table15781012[[#This Row],[Defaulted Principal]]</f>
        <v>0</v>
      </c>
      <c r="P130" s="3">
        <f>Table15781012[[#This Row],[Principal]]+Table15781012[[#This Row],[Interest]]+Table15781012[[#This Row],[Prepayments]]+Table15781012[[#This Row],[RecoveredAmount]]</f>
        <v>3360.88</v>
      </c>
      <c r="Q130" s="3">
        <f ca="1">ROUND(Table15781012[[#This Row],[Cash Flow]]/((1+ActualRateToUse)^(IF(ISNUMBER(SEARCH("Actual",$C$7)),Table15781012[[#This Row],[Running Total]]/365,Table15781012[[#This Row],[Period]]/12))),2)</f>
        <v>1700.54</v>
      </c>
      <c r="R130" s="2">
        <f>IF(MONTH(Table15781012[[#This Row],[Date]])=2,28,DAY(DATE(YEAR(Table15781012[[#This Row],[Date]]),MONTH(Table15781012[[#This Row],[Date]])+1,1)-1))</f>
        <v>31</v>
      </c>
      <c r="S130" s="2">
        <f ca="1">SUM(OFFSET(Table15781012[[#Headers],[Days in month]],1,0):Table15781012[[#This Row],[Days in month]])</f>
        <v>3469</v>
      </c>
      <c r="T130" s="37">
        <f>InterestRate*AmortizationMultiplier*IF(ISNUMBER(SEARCH("Actual",$C$7)),Table15781012[[#This Row],[Days in month]]/365,1/12)</f>
        <v>6.0708333333333326E-3</v>
      </c>
    </row>
    <row r="131" spans="2:20" x14ac:dyDescent="0.2">
      <c r="B131" s="1">
        <v>49340</v>
      </c>
      <c r="C131" s="2">
        <f t="shared" si="4"/>
        <v>115</v>
      </c>
      <c r="D131" s="3">
        <f t="shared" si="3"/>
        <v>0</v>
      </c>
      <c r="E131" s="3">
        <f>ROUND(Table15781012[[#This Row],[Beginning Balance]]*Table15781012[[#This Row],[Monthly Interest Rate]],2)</f>
        <v>0</v>
      </c>
      <c r="F131" s="3">
        <f t="shared" si="5"/>
        <v>237</v>
      </c>
      <c r="G131" s="23">
        <f>IFERROR(IF($C$13="No","N/A",IF(Table15781012[[#This Row],[Period]]=1,$C$6,PMT(InterestRate*AmortizationMultiplier/12,Table15781012[[#This Row],[Am Thru]],-Table15781012[[#This Row],[Beginning Balance]]))),0)</f>
        <v>0</v>
      </c>
      <c r="H131" s="3">
        <f>MAX(0,IF(C131=$C$4,D131,ROUND(IF($C$3="Fixed Principal",$C$6-Table15781012[[#This Row],[Interest]],IF($C$3="Interest Only",Table15781012[[#This Row],[Beginning Balance]]*ROUND(1-(1-IF($C$11="No",$E$8,1))^(1/12),6),MIN(IF($C$13="Yes",Table15781012[[#This Row],[Payment Amount (Reamortized)]],$C$6)-Table15781012[[#This Row],[Interest]],Table15781012[[#This Row],[Beginning Balance]]))),2)))</f>
        <v>0</v>
      </c>
      <c r="I131" s="3">
        <f>_xlfn.SINGLE(IF($C$3="Line of Credit",0,ROUND(MAX(MIN(IF($C$10="No",$E$7,VLOOKUP(Table15781012[[#This Row],[Period]],Forecast!$H$2:$L$1048576,4,FALSE))*Table15781012[[#This Row],[Beginning Balance]],Table15781012[[#This Row],[Beginning Balance]]-Table15781012[[#This Row],[Principal]]),0),2)))</f>
        <v>0</v>
      </c>
      <c r="J131" s="3">
        <f>ROUND(MIN(Table15781012[[#This Row],[Beginning Balance]]*IF($C$8="No",$E$3,VLOOKUP(Table15781012[[#This Row],[Period]],Forecast!$H$2:$L$1048576,2,FALSE)),Table15781012[[#This Row],[Beginning Balance]]-Table15781012[[#This Row],[Principal]]-Table15781012[[#This Row],[Prepayments]]),2)</f>
        <v>0</v>
      </c>
      <c r="K131" s="3">
        <f>ROUND(Table15781012[[#This Row],[Defaulted Principal]]*IF($C$9="No",$E$4,VLOOKUP(Table15781012[[#This Row],[Period]],Forecast!$H$2:$L$1048576,3,FALSE)),2)</f>
        <v>0</v>
      </c>
      <c r="L131" s="2">
        <f>Table15781012[[#This Row],[Period]]+$E$9</f>
        <v>127</v>
      </c>
      <c r="M131" s="3">
        <f>Table15781012[[#This Row],[Defaulted Principal]]-Table15781012[[#This Row],[Estimated Loss]]</f>
        <v>0</v>
      </c>
      <c r="N131" s="3">
        <f>IFERROR(VLOOKUP(Table15781012[[#This Row],[Period]],$L$16:$M$385,2,FALSE),0)</f>
        <v>3343.52</v>
      </c>
      <c r="O131" s="3">
        <f>Table15781012[[#This Row],[Beginning Balance]]-Table15781012[[#This Row],[Principal]]-Table15781012[[#This Row],[Prepayments]]-Table15781012[[#This Row],[Defaulted Principal]]</f>
        <v>0</v>
      </c>
      <c r="P131" s="3">
        <f>Table15781012[[#This Row],[Principal]]+Table15781012[[#This Row],[Interest]]+Table15781012[[#This Row],[Prepayments]]+Table15781012[[#This Row],[RecoveredAmount]]</f>
        <v>3343.52</v>
      </c>
      <c r="Q131" s="3">
        <f ca="1">ROUND(Table15781012[[#This Row],[Cash Flow]]/((1+ActualRateToUse)^(IF(ISNUMBER(SEARCH("Actual",$C$7)),Table15781012[[#This Row],[Running Total]]/365,Table15781012[[#This Row],[Period]]/12))),2)</f>
        <v>1681.48</v>
      </c>
      <c r="R131" s="2">
        <f>IF(MONTH(Table15781012[[#This Row],[Date]])=2,28,DAY(DATE(YEAR(Table15781012[[#This Row],[Date]]),MONTH(Table15781012[[#This Row],[Date]])+1,1)-1))</f>
        <v>31</v>
      </c>
      <c r="S131" s="2">
        <f ca="1">SUM(OFFSET(Table15781012[[#Headers],[Days in month]],1,0):Table15781012[[#This Row],[Days in month]])</f>
        <v>3500</v>
      </c>
      <c r="T131" s="37">
        <f>InterestRate*AmortizationMultiplier*IF(ISNUMBER(SEARCH("Actual",$C$7)),Table15781012[[#This Row],[Days in month]]/365,1/12)</f>
        <v>6.0708333333333326E-3</v>
      </c>
    </row>
    <row r="132" spans="2:20" x14ac:dyDescent="0.2">
      <c r="B132" s="1">
        <v>49368</v>
      </c>
      <c r="C132" s="2">
        <f t="shared" si="4"/>
        <v>116</v>
      </c>
      <c r="D132" s="3">
        <f t="shared" si="3"/>
        <v>0</v>
      </c>
      <c r="E132" s="3">
        <f>ROUND(Table15781012[[#This Row],[Beginning Balance]]*Table15781012[[#This Row],[Monthly Interest Rate]],2)</f>
        <v>0</v>
      </c>
      <c r="F132" s="3">
        <f t="shared" si="5"/>
        <v>236</v>
      </c>
      <c r="G132" s="23">
        <f>IFERROR(IF($C$13="No","N/A",IF(Table15781012[[#This Row],[Period]]=1,$C$6,PMT(InterestRate*AmortizationMultiplier/12,Table15781012[[#This Row],[Am Thru]],-Table15781012[[#This Row],[Beginning Balance]]))),0)</f>
        <v>0</v>
      </c>
      <c r="H132" s="3">
        <f>MAX(0,IF(C132=$C$4,D132,ROUND(IF($C$3="Fixed Principal",$C$6-Table15781012[[#This Row],[Interest]],IF($C$3="Interest Only",Table15781012[[#This Row],[Beginning Balance]]*ROUND(1-(1-IF($C$11="No",$E$8,1))^(1/12),6),MIN(IF($C$13="Yes",Table15781012[[#This Row],[Payment Amount (Reamortized)]],$C$6)-Table15781012[[#This Row],[Interest]],Table15781012[[#This Row],[Beginning Balance]]))),2)))</f>
        <v>0</v>
      </c>
      <c r="I132" s="3">
        <f>_xlfn.SINGLE(IF($C$3="Line of Credit",0,ROUND(MAX(MIN(IF($C$10="No",$E$7,VLOOKUP(Table15781012[[#This Row],[Period]],Forecast!$H$2:$L$1048576,4,FALSE))*Table15781012[[#This Row],[Beginning Balance]],Table15781012[[#This Row],[Beginning Balance]]-Table15781012[[#This Row],[Principal]]),0),2)))</f>
        <v>0</v>
      </c>
      <c r="J132" s="3">
        <f>ROUND(MIN(Table15781012[[#This Row],[Beginning Balance]]*IF($C$8="No",$E$3,VLOOKUP(Table15781012[[#This Row],[Period]],Forecast!$H$2:$L$1048576,2,FALSE)),Table15781012[[#This Row],[Beginning Balance]]-Table15781012[[#This Row],[Principal]]-Table15781012[[#This Row],[Prepayments]]),2)</f>
        <v>0</v>
      </c>
      <c r="K132" s="3">
        <f>ROUND(Table15781012[[#This Row],[Defaulted Principal]]*IF($C$9="No",$E$4,VLOOKUP(Table15781012[[#This Row],[Period]],Forecast!$H$2:$L$1048576,3,FALSE)),2)</f>
        <v>0</v>
      </c>
      <c r="L132" s="2">
        <f>Table15781012[[#This Row],[Period]]+$E$9</f>
        <v>128</v>
      </c>
      <c r="M132" s="3">
        <f>Table15781012[[#This Row],[Defaulted Principal]]-Table15781012[[#This Row],[Estimated Loss]]</f>
        <v>0</v>
      </c>
      <c r="N132" s="3">
        <f>IFERROR(VLOOKUP(Table15781012[[#This Row],[Period]],$L$16:$M$385,2,FALSE),0)</f>
        <v>3326.2</v>
      </c>
      <c r="O132" s="3">
        <f>Table15781012[[#This Row],[Beginning Balance]]-Table15781012[[#This Row],[Principal]]-Table15781012[[#This Row],[Prepayments]]-Table15781012[[#This Row],[Defaulted Principal]]</f>
        <v>0</v>
      </c>
      <c r="P132" s="3">
        <f>Table15781012[[#This Row],[Principal]]+Table15781012[[#This Row],[Interest]]+Table15781012[[#This Row],[Prepayments]]+Table15781012[[#This Row],[RecoveredAmount]]</f>
        <v>3326.2</v>
      </c>
      <c r="Q132" s="3">
        <f ca="1">ROUND(Table15781012[[#This Row],[Cash Flow]]/((1+ActualRateToUse)^(IF(ISNUMBER(SEARCH("Actual",$C$7)),Table15781012[[#This Row],[Running Total]]/365,Table15781012[[#This Row],[Period]]/12))),2)</f>
        <v>1663.6</v>
      </c>
      <c r="R132" s="2">
        <f>IF(MONTH(Table15781012[[#This Row],[Date]])=2,28,DAY(DATE(YEAR(Table15781012[[#This Row],[Date]]),MONTH(Table15781012[[#This Row],[Date]])+1,1)-1))</f>
        <v>28</v>
      </c>
      <c r="S132" s="2">
        <f ca="1">SUM(OFFSET(Table15781012[[#Headers],[Days in month]],1,0):Table15781012[[#This Row],[Days in month]])</f>
        <v>3528</v>
      </c>
      <c r="T132" s="37">
        <f>InterestRate*AmortizationMultiplier*IF(ISNUMBER(SEARCH("Actual",$C$7)),Table15781012[[#This Row],[Days in month]]/365,1/12)</f>
        <v>5.4833333333333331E-3</v>
      </c>
    </row>
    <row r="133" spans="2:20" x14ac:dyDescent="0.2">
      <c r="B133" s="1">
        <v>49399</v>
      </c>
      <c r="C133" s="2">
        <f t="shared" si="4"/>
        <v>117</v>
      </c>
      <c r="D133" s="3">
        <f t="shared" si="3"/>
        <v>0</v>
      </c>
      <c r="E133" s="3">
        <f>ROUND(Table15781012[[#This Row],[Beginning Balance]]*Table15781012[[#This Row],[Monthly Interest Rate]],2)</f>
        <v>0</v>
      </c>
      <c r="F133" s="3">
        <f t="shared" si="5"/>
        <v>235</v>
      </c>
      <c r="G133" s="23">
        <f>IFERROR(IF($C$13="No","N/A",IF(Table15781012[[#This Row],[Period]]=1,$C$6,PMT(InterestRate*AmortizationMultiplier/12,Table15781012[[#This Row],[Am Thru]],-Table15781012[[#This Row],[Beginning Balance]]))),0)</f>
        <v>0</v>
      </c>
      <c r="H133" s="3">
        <f>MAX(0,IF(C133=$C$4,D133,ROUND(IF($C$3="Fixed Principal",$C$6-Table15781012[[#This Row],[Interest]],IF($C$3="Interest Only",Table15781012[[#This Row],[Beginning Balance]]*ROUND(1-(1-IF($C$11="No",$E$8,1))^(1/12),6),MIN(IF($C$13="Yes",Table15781012[[#This Row],[Payment Amount (Reamortized)]],$C$6)-Table15781012[[#This Row],[Interest]],Table15781012[[#This Row],[Beginning Balance]]))),2)))</f>
        <v>0</v>
      </c>
      <c r="I133" s="3">
        <f>_xlfn.SINGLE(IF($C$3="Line of Credit",0,ROUND(MAX(MIN(IF($C$10="No",$E$7,VLOOKUP(Table15781012[[#This Row],[Period]],Forecast!$H$2:$L$1048576,4,FALSE))*Table15781012[[#This Row],[Beginning Balance]],Table15781012[[#This Row],[Beginning Balance]]-Table15781012[[#This Row],[Principal]]),0),2)))</f>
        <v>0</v>
      </c>
      <c r="J133" s="3">
        <f>ROUND(MIN(Table15781012[[#This Row],[Beginning Balance]]*IF($C$8="No",$E$3,VLOOKUP(Table15781012[[#This Row],[Period]],Forecast!$H$2:$L$1048576,2,FALSE)),Table15781012[[#This Row],[Beginning Balance]]-Table15781012[[#This Row],[Principal]]-Table15781012[[#This Row],[Prepayments]]),2)</f>
        <v>0</v>
      </c>
      <c r="K133" s="3">
        <f>ROUND(Table15781012[[#This Row],[Defaulted Principal]]*IF($C$9="No",$E$4,VLOOKUP(Table15781012[[#This Row],[Period]],Forecast!$H$2:$L$1048576,3,FALSE)),2)</f>
        <v>0</v>
      </c>
      <c r="L133" s="2">
        <f>Table15781012[[#This Row],[Period]]+$E$9</f>
        <v>129</v>
      </c>
      <c r="M133" s="3">
        <f>Table15781012[[#This Row],[Defaulted Principal]]-Table15781012[[#This Row],[Estimated Loss]]</f>
        <v>0</v>
      </c>
      <c r="N133" s="3">
        <f>IFERROR(VLOOKUP(Table15781012[[#This Row],[Period]],$L$16:$M$385,2,FALSE),0)</f>
        <v>3306.9700000000003</v>
      </c>
      <c r="O133" s="3">
        <f>Table15781012[[#This Row],[Beginning Balance]]-Table15781012[[#This Row],[Principal]]-Table15781012[[#This Row],[Prepayments]]-Table15781012[[#This Row],[Defaulted Principal]]</f>
        <v>0</v>
      </c>
      <c r="P133" s="3">
        <f>Table15781012[[#This Row],[Principal]]+Table15781012[[#This Row],[Interest]]+Table15781012[[#This Row],[Prepayments]]+Table15781012[[#This Row],[RecoveredAmount]]</f>
        <v>3306.9700000000003</v>
      </c>
      <c r="Q133" s="3">
        <f ca="1">ROUND(Table15781012[[#This Row],[Cash Flow]]/((1+ActualRateToUse)^(IF(ISNUMBER(SEARCH("Actual",$C$7)),Table15781012[[#This Row],[Running Total]]/365,Table15781012[[#This Row],[Period]]/12))),2)</f>
        <v>1643.94</v>
      </c>
      <c r="R133" s="2">
        <f>IF(MONTH(Table15781012[[#This Row],[Date]])=2,28,DAY(DATE(YEAR(Table15781012[[#This Row],[Date]]),MONTH(Table15781012[[#This Row],[Date]])+1,1)-1))</f>
        <v>31</v>
      </c>
      <c r="S133" s="2">
        <f ca="1">SUM(OFFSET(Table15781012[[#Headers],[Days in month]],1,0):Table15781012[[#This Row],[Days in month]])</f>
        <v>3559</v>
      </c>
      <c r="T133" s="37">
        <f>InterestRate*AmortizationMultiplier*IF(ISNUMBER(SEARCH("Actual",$C$7)),Table15781012[[#This Row],[Days in month]]/365,1/12)</f>
        <v>6.0708333333333326E-3</v>
      </c>
    </row>
    <row r="134" spans="2:20" x14ac:dyDescent="0.2">
      <c r="B134" s="1">
        <v>49429</v>
      </c>
      <c r="C134" s="2">
        <f t="shared" si="4"/>
        <v>118</v>
      </c>
      <c r="D134" s="3">
        <f t="shared" si="3"/>
        <v>0</v>
      </c>
      <c r="E134" s="3">
        <f>ROUND(Table15781012[[#This Row],[Beginning Balance]]*Table15781012[[#This Row],[Monthly Interest Rate]],2)</f>
        <v>0</v>
      </c>
      <c r="F134" s="3">
        <f t="shared" si="5"/>
        <v>234</v>
      </c>
      <c r="G134" s="23">
        <f>IFERROR(IF($C$13="No","N/A",IF(Table15781012[[#This Row],[Period]]=1,$C$6,PMT(InterestRate*AmortizationMultiplier/12,Table15781012[[#This Row],[Am Thru]],-Table15781012[[#This Row],[Beginning Balance]]))),0)</f>
        <v>0</v>
      </c>
      <c r="H134" s="3">
        <f>MAX(0,IF(C134=$C$4,D134,ROUND(IF($C$3="Fixed Principal",$C$6-Table15781012[[#This Row],[Interest]],IF($C$3="Interest Only",Table15781012[[#This Row],[Beginning Balance]]*ROUND(1-(1-IF($C$11="No",$E$8,1))^(1/12),6),MIN(IF($C$13="Yes",Table15781012[[#This Row],[Payment Amount (Reamortized)]],$C$6)-Table15781012[[#This Row],[Interest]],Table15781012[[#This Row],[Beginning Balance]]))),2)))</f>
        <v>0</v>
      </c>
      <c r="I134" s="3">
        <f>_xlfn.SINGLE(IF($C$3="Line of Credit",0,ROUND(MAX(MIN(IF($C$10="No",$E$7,VLOOKUP(Table15781012[[#This Row],[Period]],Forecast!$H$2:$L$1048576,4,FALSE))*Table15781012[[#This Row],[Beginning Balance]],Table15781012[[#This Row],[Beginning Balance]]-Table15781012[[#This Row],[Principal]]),0),2)))</f>
        <v>0</v>
      </c>
      <c r="J134" s="3">
        <f>ROUND(MIN(Table15781012[[#This Row],[Beginning Balance]]*IF($C$8="No",$E$3,VLOOKUP(Table15781012[[#This Row],[Period]],Forecast!$H$2:$L$1048576,2,FALSE)),Table15781012[[#This Row],[Beginning Balance]]-Table15781012[[#This Row],[Principal]]-Table15781012[[#This Row],[Prepayments]]),2)</f>
        <v>0</v>
      </c>
      <c r="K134" s="3">
        <f>ROUND(Table15781012[[#This Row],[Defaulted Principal]]*IF($C$9="No",$E$4,VLOOKUP(Table15781012[[#This Row],[Period]],Forecast!$H$2:$L$1048576,3,FALSE)),2)</f>
        <v>0</v>
      </c>
      <c r="L134" s="2">
        <f>Table15781012[[#This Row],[Period]]+$E$9</f>
        <v>130</v>
      </c>
      <c r="M134" s="3">
        <f>Table15781012[[#This Row],[Defaulted Principal]]-Table15781012[[#This Row],[Estimated Loss]]</f>
        <v>0</v>
      </c>
      <c r="N134" s="3">
        <f>IFERROR(VLOOKUP(Table15781012[[#This Row],[Period]],$L$16:$M$385,2,FALSE),0)</f>
        <v>3289.75</v>
      </c>
      <c r="O134" s="3">
        <f>Table15781012[[#This Row],[Beginning Balance]]-Table15781012[[#This Row],[Principal]]-Table15781012[[#This Row],[Prepayments]]-Table15781012[[#This Row],[Defaulted Principal]]</f>
        <v>0</v>
      </c>
      <c r="P134" s="3">
        <f>Table15781012[[#This Row],[Principal]]+Table15781012[[#This Row],[Interest]]+Table15781012[[#This Row],[Prepayments]]+Table15781012[[#This Row],[RecoveredAmount]]</f>
        <v>3289.75</v>
      </c>
      <c r="Q134" s="3">
        <f ca="1">ROUND(Table15781012[[#This Row],[Cash Flow]]/((1+ActualRateToUse)^(IF(ISNUMBER(SEARCH("Actual",$C$7)),Table15781012[[#This Row],[Running Total]]/365,Table15781012[[#This Row],[Period]]/12))),2)</f>
        <v>1625.78</v>
      </c>
      <c r="R134" s="2">
        <f>IF(MONTH(Table15781012[[#This Row],[Date]])=2,28,DAY(DATE(YEAR(Table15781012[[#This Row],[Date]]),MONTH(Table15781012[[#This Row],[Date]])+1,1)-1))</f>
        <v>30</v>
      </c>
      <c r="S134" s="2">
        <f ca="1">SUM(OFFSET(Table15781012[[#Headers],[Days in month]],1,0):Table15781012[[#This Row],[Days in month]])</f>
        <v>3589</v>
      </c>
      <c r="T134" s="37">
        <f>InterestRate*AmortizationMultiplier*IF(ISNUMBER(SEARCH("Actual",$C$7)),Table15781012[[#This Row],[Days in month]]/365,1/12)</f>
        <v>5.8749999999999991E-3</v>
      </c>
    </row>
    <row r="135" spans="2:20" x14ac:dyDescent="0.2">
      <c r="B135" s="1">
        <v>49460</v>
      </c>
      <c r="C135" s="2">
        <f t="shared" si="4"/>
        <v>119</v>
      </c>
      <c r="D135" s="3">
        <f t="shared" si="3"/>
        <v>0</v>
      </c>
      <c r="E135" s="3">
        <f>ROUND(Table15781012[[#This Row],[Beginning Balance]]*Table15781012[[#This Row],[Monthly Interest Rate]],2)</f>
        <v>0</v>
      </c>
      <c r="F135" s="3">
        <f t="shared" si="5"/>
        <v>233</v>
      </c>
      <c r="G135" s="23">
        <f>IFERROR(IF($C$13="No","N/A",IF(Table15781012[[#This Row],[Period]]=1,$C$6,PMT(InterestRate*AmortizationMultiplier/12,Table15781012[[#This Row],[Am Thru]],-Table15781012[[#This Row],[Beginning Balance]]))),0)</f>
        <v>0</v>
      </c>
      <c r="H135" s="3">
        <f>MAX(0,IF(C135=$C$4,D135,ROUND(IF($C$3="Fixed Principal",$C$6-Table15781012[[#This Row],[Interest]],IF($C$3="Interest Only",Table15781012[[#This Row],[Beginning Balance]]*ROUND(1-(1-IF($C$11="No",$E$8,1))^(1/12),6),MIN(IF($C$13="Yes",Table15781012[[#This Row],[Payment Amount (Reamortized)]],$C$6)-Table15781012[[#This Row],[Interest]],Table15781012[[#This Row],[Beginning Balance]]))),2)))</f>
        <v>0</v>
      </c>
      <c r="I135" s="3">
        <f>_xlfn.SINGLE(IF($C$3="Line of Credit",0,ROUND(MAX(MIN(IF($C$10="No",$E$7,VLOOKUP(Table15781012[[#This Row],[Period]],Forecast!$H$2:$L$1048576,4,FALSE))*Table15781012[[#This Row],[Beginning Balance]],Table15781012[[#This Row],[Beginning Balance]]-Table15781012[[#This Row],[Principal]]),0),2)))</f>
        <v>0</v>
      </c>
      <c r="J135" s="3">
        <f>ROUND(MIN(Table15781012[[#This Row],[Beginning Balance]]*IF($C$8="No",$E$3,VLOOKUP(Table15781012[[#This Row],[Period]],Forecast!$H$2:$L$1048576,2,FALSE)),Table15781012[[#This Row],[Beginning Balance]]-Table15781012[[#This Row],[Principal]]-Table15781012[[#This Row],[Prepayments]]),2)</f>
        <v>0</v>
      </c>
      <c r="K135" s="3">
        <f>ROUND(Table15781012[[#This Row],[Defaulted Principal]]*IF($C$9="No",$E$4,VLOOKUP(Table15781012[[#This Row],[Period]],Forecast!$H$2:$L$1048576,3,FALSE)),2)</f>
        <v>0</v>
      </c>
      <c r="L135" s="2">
        <f>Table15781012[[#This Row],[Period]]+$E$9</f>
        <v>131</v>
      </c>
      <c r="M135" s="3">
        <f>Table15781012[[#This Row],[Defaulted Principal]]-Table15781012[[#This Row],[Estimated Loss]]</f>
        <v>0</v>
      </c>
      <c r="N135" s="3">
        <f>IFERROR(VLOOKUP(Table15781012[[#This Row],[Period]],$L$16:$M$385,2,FALSE),0)</f>
        <v>3271.9300000000003</v>
      </c>
      <c r="O135" s="3">
        <f>Table15781012[[#This Row],[Beginning Balance]]-Table15781012[[#This Row],[Principal]]-Table15781012[[#This Row],[Prepayments]]-Table15781012[[#This Row],[Defaulted Principal]]</f>
        <v>0</v>
      </c>
      <c r="P135" s="3">
        <f>Table15781012[[#This Row],[Principal]]+Table15781012[[#This Row],[Interest]]+Table15781012[[#This Row],[Prepayments]]+Table15781012[[#This Row],[RecoveredAmount]]</f>
        <v>3271.9300000000003</v>
      </c>
      <c r="Q135" s="3">
        <f ca="1">ROUND(Table15781012[[#This Row],[Cash Flow]]/((1+ActualRateToUse)^(IF(ISNUMBER(SEARCH("Actual",$C$7)),Table15781012[[#This Row],[Running Total]]/365,Table15781012[[#This Row],[Period]]/12))),2)</f>
        <v>1607.16</v>
      </c>
      <c r="R135" s="2">
        <f>IF(MONTH(Table15781012[[#This Row],[Date]])=2,28,DAY(DATE(YEAR(Table15781012[[#This Row],[Date]]),MONTH(Table15781012[[#This Row],[Date]])+1,1)-1))</f>
        <v>31</v>
      </c>
      <c r="S135" s="2">
        <f ca="1">SUM(OFFSET(Table15781012[[#Headers],[Days in month]],1,0):Table15781012[[#This Row],[Days in month]])</f>
        <v>3620</v>
      </c>
      <c r="T135" s="37">
        <f>InterestRate*AmortizationMultiplier*IF(ISNUMBER(SEARCH("Actual",$C$7)),Table15781012[[#This Row],[Days in month]]/365,1/12)</f>
        <v>6.0708333333333326E-3</v>
      </c>
    </row>
    <row r="136" spans="2:20" x14ac:dyDescent="0.2">
      <c r="B136" s="1">
        <v>49490</v>
      </c>
      <c r="C136" s="2">
        <f t="shared" si="4"/>
        <v>120</v>
      </c>
      <c r="D136" s="3">
        <f t="shared" si="3"/>
        <v>0</v>
      </c>
      <c r="E136" s="3">
        <f>ROUND(Table15781012[[#This Row],[Beginning Balance]]*Table15781012[[#This Row],[Monthly Interest Rate]],2)</f>
        <v>0</v>
      </c>
      <c r="F136" s="3">
        <f t="shared" si="5"/>
        <v>232</v>
      </c>
      <c r="G136" s="23">
        <f>IFERROR(IF($C$13="No","N/A",IF(Table15781012[[#This Row],[Period]]=1,$C$6,PMT(InterestRate*AmortizationMultiplier/12,Table15781012[[#This Row],[Am Thru]],-Table15781012[[#This Row],[Beginning Balance]]))),0)</f>
        <v>0</v>
      </c>
      <c r="H136" s="3">
        <f>MAX(0,IF(C136=$C$4,D136,ROUND(IF($C$3="Fixed Principal",$C$6-Table15781012[[#This Row],[Interest]],IF($C$3="Interest Only",Table15781012[[#This Row],[Beginning Balance]]*ROUND(1-(1-IF($C$11="No",$E$8,1))^(1/12),6),MIN(IF($C$13="Yes",Table15781012[[#This Row],[Payment Amount (Reamortized)]],$C$6)-Table15781012[[#This Row],[Interest]],Table15781012[[#This Row],[Beginning Balance]]))),2)))</f>
        <v>0</v>
      </c>
      <c r="I136" s="3">
        <f>_xlfn.SINGLE(IF($C$3="Line of Credit",0,ROUND(MAX(MIN(IF($C$10="No",$E$7,VLOOKUP(Table15781012[[#This Row],[Period]],Forecast!$H$2:$L$1048576,4,FALSE))*Table15781012[[#This Row],[Beginning Balance]],Table15781012[[#This Row],[Beginning Balance]]-Table15781012[[#This Row],[Principal]]),0),2)))</f>
        <v>0</v>
      </c>
      <c r="J136" s="3">
        <f>ROUND(MIN(Table15781012[[#This Row],[Beginning Balance]]*IF($C$8="No",$E$3,VLOOKUP(Table15781012[[#This Row],[Period]],Forecast!$H$2:$L$1048576,2,FALSE)),Table15781012[[#This Row],[Beginning Balance]]-Table15781012[[#This Row],[Principal]]-Table15781012[[#This Row],[Prepayments]]),2)</f>
        <v>0</v>
      </c>
      <c r="K136" s="3">
        <f>ROUND(Table15781012[[#This Row],[Defaulted Principal]]*IF($C$9="No",$E$4,VLOOKUP(Table15781012[[#This Row],[Period]],Forecast!$H$2:$L$1048576,3,FALSE)),2)</f>
        <v>0</v>
      </c>
      <c r="L136" s="2">
        <f>Table15781012[[#This Row],[Period]]+$E$9</f>
        <v>132</v>
      </c>
      <c r="M136" s="3">
        <f>Table15781012[[#This Row],[Defaulted Principal]]-Table15781012[[#This Row],[Estimated Loss]]</f>
        <v>0</v>
      </c>
      <c r="N136" s="3">
        <f>IFERROR(VLOOKUP(Table15781012[[#This Row],[Period]],$L$16:$M$385,2,FALSE),0)</f>
        <v>3254.79</v>
      </c>
      <c r="O136" s="3">
        <f>Table15781012[[#This Row],[Beginning Balance]]-Table15781012[[#This Row],[Principal]]-Table15781012[[#This Row],[Prepayments]]-Table15781012[[#This Row],[Defaulted Principal]]</f>
        <v>0</v>
      </c>
      <c r="P136" s="3">
        <f>Table15781012[[#This Row],[Principal]]+Table15781012[[#This Row],[Interest]]+Table15781012[[#This Row],[Prepayments]]+Table15781012[[#This Row],[RecoveredAmount]]</f>
        <v>3254.79</v>
      </c>
      <c r="Q136" s="3">
        <f ca="1">ROUND(Table15781012[[#This Row],[Cash Flow]]/((1+ActualRateToUse)^(IF(ISNUMBER(SEARCH("Actual",$C$7)),Table15781012[[#This Row],[Running Total]]/365,Table15781012[[#This Row],[Period]]/12))),2)</f>
        <v>1589.35</v>
      </c>
      <c r="R136" s="2">
        <f>IF(MONTH(Table15781012[[#This Row],[Date]])=2,28,DAY(DATE(YEAR(Table15781012[[#This Row],[Date]]),MONTH(Table15781012[[#This Row],[Date]])+1,1)-1))</f>
        <v>30</v>
      </c>
      <c r="S136" s="2">
        <f ca="1">SUM(OFFSET(Table15781012[[#Headers],[Days in month]],1,0):Table15781012[[#This Row],[Days in month]])</f>
        <v>3650</v>
      </c>
      <c r="T136" s="37">
        <f>InterestRate*AmortizationMultiplier*IF(ISNUMBER(SEARCH("Actual",$C$7)),Table15781012[[#This Row],[Days in month]]/365,1/12)</f>
        <v>5.8749999999999991E-3</v>
      </c>
    </row>
    <row r="137" spans="2:20" x14ac:dyDescent="0.2">
      <c r="B137" s="1">
        <v>49521</v>
      </c>
      <c r="C137" s="2">
        <f t="shared" si="4"/>
        <v>121</v>
      </c>
      <c r="D137" s="3">
        <f t="shared" si="3"/>
        <v>0</v>
      </c>
      <c r="E137" s="3">
        <f>ROUND(Table15781012[[#This Row],[Beginning Balance]]*Table15781012[[#This Row],[Monthly Interest Rate]],2)</f>
        <v>0</v>
      </c>
      <c r="F137" s="3">
        <f t="shared" si="5"/>
        <v>231</v>
      </c>
      <c r="G137" s="23">
        <f>IFERROR(IF($C$13="No","N/A",IF(Table15781012[[#This Row],[Period]]=1,$C$6,PMT(InterestRate*AmortizationMultiplier/12,Table15781012[[#This Row],[Am Thru]],-Table15781012[[#This Row],[Beginning Balance]]))),0)</f>
        <v>0</v>
      </c>
      <c r="H137" s="3">
        <f>MAX(0,IF(C137=$C$4,D137,ROUND(IF($C$3="Fixed Principal",$C$6-Table15781012[[#This Row],[Interest]],IF($C$3="Interest Only",Table15781012[[#This Row],[Beginning Balance]]*ROUND(1-(1-IF($C$11="No",$E$8,1))^(1/12),6),MIN(IF($C$13="Yes",Table15781012[[#This Row],[Payment Amount (Reamortized)]],$C$6)-Table15781012[[#This Row],[Interest]],Table15781012[[#This Row],[Beginning Balance]]))),2)))</f>
        <v>0</v>
      </c>
      <c r="I137" s="3">
        <f>_xlfn.SINGLE(IF($C$3="Line of Credit",0,ROUND(MAX(MIN(IF($C$10="No",$E$7,VLOOKUP(Table15781012[[#This Row],[Period]],Forecast!$H$2:$L$1048576,4,FALSE))*Table15781012[[#This Row],[Beginning Balance]],Table15781012[[#This Row],[Beginning Balance]]-Table15781012[[#This Row],[Principal]]),0),2)))</f>
        <v>0</v>
      </c>
      <c r="J137" s="3">
        <f>ROUND(MIN(Table15781012[[#This Row],[Beginning Balance]]*IF($C$8="No",$E$3,VLOOKUP(Table15781012[[#This Row],[Period]],Forecast!$H$2:$L$1048576,2,FALSE)),Table15781012[[#This Row],[Beginning Balance]]-Table15781012[[#This Row],[Principal]]-Table15781012[[#This Row],[Prepayments]]),2)</f>
        <v>0</v>
      </c>
      <c r="K137" s="3">
        <f>ROUND(Table15781012[[#This Row],[Defaulted Principal]]*IF($C$9="No",$E$4,VLOOKUP(Table15781012[[#This Row],[Period]],Forecast!$H$2:$L$1048576,3,FALSE)),2)</f>
        <v>0</v>
      </c>
      <c r="L137" s="2">
        <f>Table15781012[[#This Row],[Period]]+$E$9</f>
        <v>133</v>
      </c>
      <c r="M137" s="3">
        <f>Table15781012[[#This Row],[Defaulted Principal]]-Table15781012[[#This Row],[Estimated Loss]]</f>
        <v>0</v>
      </c>
      <c r="N137" s="3">
        <f>IFERROR(VLOOKUP(Table15781012[[#This Row],[Period]],$L$16:$M$385,2,FALSE),0)</f>
        <v>3237.08</v>
      </c>
      <c r="O137" s="3">
        <f>Table15781012[[#This Row],[Beginning Balance]]-Table15781012[[#This Row],[Principal]]-Table15781012[[#This Row],[Prepayments]]-Table15781012[[#This Row],[Defaulted Principal]]</f>
        <v>0</v>
      </c>
      <c r="P137" s="3">
        <f>Table15781012[[#This Row],[Principal]]+Table15781012[[#This Row],[Interest]]+Table15781012[[#This Row],[Prepayments]]+Table15781012[[#This Row],[RecoveredAmount]]</f>
        <v>3237.08</v>
      </c>
      <c r="Q137" s="3">
        <f ca="1">ROUND(Table15781012[[#This Row],[Cash Flow]]/((1+ActualRateToUse)^(IF(ISNUMBER(SEARCH("Actual",$C$7)),Table15781012[[#This Row],[Running Total]]/365,Table15781012[[#This Row],[Period]]/12))),2)</f>
        <v>1571.1</v>
      </c>
      <c r="R137" s="2">
        <f>IF(MONTH(Table15781012[[#This Row],[Date]])=2,28,DAY(DATE(YEAR(Table15781012[[#This Row],[Date]]),MONTH(Table15781012[[#This Row],[Date]])+1,1)-1))</f>
        <v>31</v>
      </c>
      <c r="S137" s="2">
        <f ca="1">SUM(OFFSET(Table15781012[[#Headers],[Days in month]],1,0):Table15781012[[#This Row],[Days in month]])</f>
        <v>3681</v>
      </c>
      <c r="T137" s="37">
        <f>InterestRate*AmortizationMultiplier*IF(ISNUMBER(SEARCH("Actual",$C$7)),Table15781012[[#This Row],[Days in month]]/365,1/12)</f>
        <v>6.0708333333333326E-3</v>
      </c>
    </row>
    <row r="138" spans="2:20" x14ac:dyDescent="0.2">
      <c r="B138" s="1">
        <v>49552</v>
      </c>
      <c r="C138" s="2">
        <f t="shared" si="4"/>
        <v>122</v>
      </c>
      <c r="D138" s="3">
        <f t="shared" si="3"/>
        <v>0</v>
      </c>
      <c r="E138" s="3">
        <f>ROUND(Table15781012[[#This Row],[Beginning Balance]]*Table15781012[[#This Row],[Monthly Interest Rate]],2)</f>
        <v>0</v>
      </c>
      <c r="F138" s="3">
        <f t="shared" si="5"/>
        <v>230</v>
      </c>
      <c r="G138" s="23">
        <f>IFERROR(IF($C$13="No","N/A",IF(Table15781012[[#This Row],[Period]]=1,$C$6,PMT(InterestRate*AmortizationMultiplier/12,Table15781012[[#This Row],[Am Thru]],-Table15781012[[#This Row],[Beginning Balance]]))),0)</f>
        <v>0</v>
      </c>
      <c r="H138" s="3">
        <f>MAX(0,IF(C138=$C$4,D138,ROUND(IF($C$3="Fixed Principal",$C$6-Table15781012[[#This Row],[Interest]],IF($C$3="Interest Only",Table15781012[[#This Row],[Beginning Balance]]*ROUND(1-(1-IF($C$11="No",$E$8,1))^(1/12),6),MIN(IF($C$13="Yes",Table15781012[[#This Row],[Payment Amount (Reamortized)]],$C$6)-Table15781012[[#This Row],[Interest]],Table15781012[[#This Row],[Beginning Balance]]))),2)))</f>
        <v>0</v>
      </c>
      <c r="I138" s="3">
        <f>_xlfn.SINGLE(IF($C$3="Line of Credit",0,ROUND(MAX(MIN(IF($C$10="No",$E$7,VLOOKUP(Table15781012[[#This Row],[Period]],Forecast!$H$2:$L$1048576,4,FALSE))*Table15781012[[#This Row],[Beginning Balance]],Table15781012[[#This Row],[Beginning Balance]]-Table15781012[[#This Row],[Principal]]),0),2)))</f>
        <v>0</v>
      </c>
      <c r="J138" s="3">
        <f>ROUND(MIN(Table15781012[[#This Row],[Beginning Balance]]*IF($C$8="No",$E$3,VLOOKUP(Table15781012[[#This Row],[Period]],Forecast!$H$2:$L$1048576,2,FALSE)),Table15781012[[#This Row],[Beginning Balance]]-Table15781012[[#This Row],[Principal]]-Table15781012[[#This Row],[Prepayments]]),2)</f>
        <v>0</v>
      </c>
      <c r="K138" s="3">
        <f>ROUND(Table15781012[[#This Row],[Defaulted Principal]]*IF($C$9="No",$E$4,VLOOKUP(Table15781012[[#This Row],[Period]],Forecast!$H$2:$L$1048576,3,FALSE)),2)</f>
        <v>0</v>
      </c>
      <c r="L138" s="2">
        <f>Table15781012[[#This Row],[Period]]+$E$9</f>
        <v>134</v>
      </c>
      <c r="M138" s="3">
        <f>Table15781012[[#This Row],[Defaulted Principal]]-Table15781012[[#This Row],[Estimated Loss]]</f>
        <v>0</v>
      </c>
      <c r="N138" s="3">
        <f>IFERROR(VLOOKUP(Table15781012[[#This Row],[Period]],$L$16:$M$385,2,FALSE),0)</f>
        <v>3220.03</v>
      </c>
      <c r="O138" s="3">
        <f>Table15781012[[#This Row],[Beginning Balance]]-Table15781012[[#This Row],[Principal]]-Table15781012[[#This Row],[Prepayments]]-Table15781012[[#This Row],[Defaulted Principal]]</f>
        <v>0</v>
      </c>
      <c r="P138" s="3">
        <f>Table15781012[[#This Row],[Principal]]+Table15781012[[#This Row],[Interest]]+Table15781012[[#This Row],[Prepayments]]+Table15781012[[#This Row],[RecoveredAmount]]</f>
        <v>3220.03</v>
      </c>
      <c r="Q138" s="3">
        <f ca="1">ROUND(Table15781012[[#This Row],[Cash Flow]]/((1+ActualRateToUse)^(IF(ISNUMBER(SEARCH("Actual",$C$7)),Table15781012[[#This Row],[Running Total]]/365,Table15781012[[#This Row],[Period]]/12))),2)</f>
        <v>1553.34</v>
      </c>
      <c r="R138" s="2">
        <f>IF(MONTH(Table15781012[[#This Row],[Date]])=2,28,DAY(DATE(YEAR(Table15781012[[#This Row],[Date]]),MONTH(Table15781012[[#This Row],[Date]])+1,1)-1))</f>
        <v>31</v>
      </c>
      <c r="S138" s="2">
        <f ca="1">SUM(OFFSET(Table15781012[[#Headers],[Days in month]],1,0):Table15781012[[#This Row],[Days in month]])</f>
        <v>3712</v>
      </c>
      <c r="T138" s="37">
        <f>InterestRate*AmortizationMultiplier*IF(ISNUMBER(SEARCH("Actual",$C$7)),Table15781012[[#This Row],[Days in month]]/365,1/12)</f>
        <v>6.0708333333333326E-3</v>
      </c>
    </row>
    <row r="139" spans="2:20" x14ac:dyDescent="0.2">
      <c r="B139" s="1">
        <f t="shared" ref="B139:B202" si="6">EOMONTH(B138,1)</f>
        <v>49582</v>
      </c>
      <c r="C139" s="2">
        <f t="shared" si="4"/>
        <v>123</v>
      </c>
      <c r="D139" s="3">
        <f t="shared" si="3"/>
        <v>0</v>
      </c>
      <c r="E139" s="3">
        <f>ROUND(Table15781012[[#This Row],[Beginning Balance]]*Table15781012[[#This Row],[Monthly Interest Rate]],2)</f>
        <v>0</v>
      </c>
      <c r="F139" s="3">
        <f t="shared" si="5"/>
        <v>229</v>
      </c>
      <c r="G139" s="23">
        <f>IFERROR(IF($C$13="No","N/A",IF(Table15781012[[#This Row],[Period]]=1,$C$6,PMT(InterestRate*AmortizationMultiplier/12,Table15781012[[#This Row],[Am Thru]],-Table15781012[[#This Row],[Beginning Balance]]))),0)</f>
        <v>0</v>
      </c>
      <c r="H139" s="3">
        <f>MAX(0,IF(C139=$C$4,D139,ROUND(IF($C$3="Fixed Principal",$C$6-Table15781012[[#This Row],[Interest]],IF($C$3="Interest Only",Table15781012[[#This Row],[Beginning Balance]]*ROUND(1-(1-IF($C$11="No",$E$8,1))^(1/12),6),MIN(IF($C$13="Yes",Table15781012[[#This Row],[Payment Amount (Reamortized)]],$C$6)-Table15781012[[#This Row],[Interest]],Table15781012[[#This Row],[Beginning Balance]]))),2)))</f>
        <v>0</v>
      </c>
      <c r="I139" s="3">
        <f>_xlfn.SINGLE(IF($C$3="Line of Credit",0,ROUND(MAX(MIN(IF($C$10="No",$E$7,VLOOKUP(Table15781012[[#This Row],[Period]],Forecast!$H$2:$L$1048576,4,FALSE))*Table15781012[[#This Row],[Beginning Balance]],Table15781012[[#This Row],[Beginning Balance]]-Table15781012[[#This Row],[Principal]]),0),2)))</f>
        <v>0</v>
      </c>
      <c r="J139" s="3">
        <f>ROUND(MIN(Table15781012[[#This Row],[Beginning Balance]]*IF($C$8="No",$E$3,VLOOKUP(Table15781012[[#This Row],[Period]],Forecast!$H$2:$L$1048576,2,FALSE)),Table15781012[[#This Row],[Beginning Balance]]-Table15781012[[#This Row],[Principal]]-Table15781012[[#This Row],[Prepayments]]),2)</f>
        <v>0</v>
      </c>
      <c r="K139" s="3">
        <f>ROUND(Table15781012[[#This Row],[Defaulted Principal]]*IF($C$9="No",$E$4,VLOOKUP(Table15781012[[#This Row],[Period]],Forecast!$H$2:$L$1048576,3,FALSE)),2)</f>
        <v>0</v>
      </c>
      <c r="L139" s="2">
        <f>Table15781012[[#This Row],[Period]]+$E$9</f>
        <v>135</v>
      </c>
      <c r="M139" s="3">
        <f>Table15781012[[#This Row],[Defaulted Principal]]-Table15781012[[#This Row],[Estimated Loss]]</f>
        <v>0</v>
      </c>
      <c r="N139" s="3">
        <f>IFERROR(VLOOKUP(Table15781012[[#This Row],[Period]],$L$16:$M$385,2,FALSE),0)</f>
        <v>0</v>
      </c>
      <c r="O139" s="3">
        <f>Table15781012[[#This Row],[Beginning Balance]]-Table15781012[[#This Row],[Principal]]-Table15781012[[#This Row],[Prepayments]]-Table15781012[[#This Row],[Defaulted Principal]]</f>
        <v>0</v>
      </c>
      <c r="P139" s="3">
        <f>Table15781012[[#This Row],[Principal]]+Table15781012[[#This Row],[Interest]]+Table15781012[[#This Row],[Prepayments]]+Table15781012[[#This Row],[RecoveredAmount]]</f>
        <v>0</v>
      </c>
      <c r="Q139" s="3">
        <f ca="1">ROUND(Table15781012[[#This Row],[Cash Flow]]/((1+ActualRateToUse)^(IF(ISNUMBER(SEARCH("Actual",$C$7)),Table15781012[[#This Row],[Running Total]]/365,Table15781012[[#This Row],[Period]]/12))),2)</f>
        <v>0</v>
      </c>
      <c r="R139" s="2">
        <f>IF(MONTH(Table15781012[[#This Row],[Date]])=2,28,DAY(DATE(YEAR(Table15781012[[#This Row],[Date]]),MONTH(Table15781012[[#This Row],[Date]])+1,1)-1))</f>
        <v>30</v>
      </c>
      <c r="S139" s="2">
        <f ca="1">SUM(OFFSET(Table15781012[[#Headers],[Days in month]],1,0):Table15781012[[#This Row],[Days in month]])</f>
        <v>3742</v>
      </c>
      <c r="T139" s="37">
        <f>InterestRate*AmortizationMultiplier*IF(ISNUMBER(SEARCH("Actual",$C$7)),Table15781012[[#This Row],[Days in month]]/365,1/12)</f>
        <v>5.8749999999999991E-3</v>
      </c>
    </row>
    <row r="140" spans="2:20" x14ac:dyDescent="0.2">
      <c r="B140" s="1">
        <f t="shared" si="6"/>
        <v>49613</v>
      </c>
      <c r="C140" s="2">
        <f t="shared" si="4"/>
        <v>124</v>
      </c>
      <c r="D140" s="3">
        <f t="shared" si="3"/>
        <v>0</v>
      </c>
      <c r="E140" s="3">
        <f>ROUND(Table15781012[[#This Row],[Beginning Balance]]*Table15781012[[#This Row],[Monthly Interest Rate]],2)</f>
        <v>0</v>
      </c>
      <c r="F140" s="3">
        <f t="shared" si="5"/>
        <v>228</v>
      </c>
      <c r="G140" s="23">
        <f>IFERROR(IF($C$13="No","N/A",IF(Table15781012[[#This Row],[Period]]=1,$C$6,PMT(InterestRate*AmortizationMultiplier/12,Table15781012[[#This Row],[Am Thru]],-Table15781012[[#This Row],[Beginning Balance]]))),0)</f>
        <v>0</v>
      </c>
      <c r="H140" s="3">
        <f>MAX(0,IF(C140=$C$4,D140,ROUND(IF($C$3="Fixed Principal",$C$6-Table15781012[[#This Row],[Interest]],IF($C$3="Interest Only",Table15781012[[#This Row],[Beginning Balance]]*ROUND(1-(1-IF($C$11="No",$E$8,1))^(1/12),6),MIN(IF($C$13="Yes",Table15781012[[#This Row],[Payment Amount (Reamortized)]],$C$6)-Table15781012[[#This Row],[Interest]],Table15781012[[#This Row],[Beginning Balance]]))),2)))</f>
        <v>0</v>
      </c>
      <c r="I140" s="3">
        <f>_xlfn.SINGLE(IF($C$3="Line of Credit",0,ROUND(MAX(MIN(IF($C$10="No",$E$7,VLOOKUP(Table15781012[[#This Row],[Period]],Forecast!$H$2:$L$1048576,4,FALSE))*Table15781012[[#This Row],[Beginning Balance]],Table15781012[[#This Row],[Beginning Balance]]-Table15781012[[#This Row],[Principal]]),0),2)))</f>
        <v>0</v>
      </c>
      <c r="J140" s="3">
        <f>ROUND(MIN(Table15781012[[#This Row],[Beginning Balance]]*IF($C$8="No",$E$3,VLOOKUP(Table15781012[[#This Row],[Period]],Forecast!$H$2:$L$1048576,2,FALSE)),Table15781012[[#This Row],[Beginning Balance]]-Table15781012[[#This Row],[Principal]]-Table15781012[[#This Row],[Prepayments]]),2)</f>
        <v>0</v>
      </c>
      <c r="K140" s="3">
        <f>ROUND(Table15781012[[#This Row],[Defaulted Principal]]*IF($C$9="No",$E$4,VLOOKUP(Table15781012[[#This Row],[Period]],Forecast!$H$2:$L$1048576,3,FALSE)),2)</f>
        <v>0</v>
      </c>
      <c r="L140" s="2">
        <f>Table15781012[[#This Row],[Period]]+$E$9</f>
        <v>136</v>
      </c>
      <c r="M140" s="3">
        <f>Table15781012[[#This Row],[Defaulted Principal]]-Table15781012[[#This Row],[Estimated Loss]]</f>
        <v>0</v>
      </c>
      <c r="N140" s="3">
        <f>IFERROR(VLOOKUP(Table15781012[[#This Row],[Period]],$L$16:$M$385,2,FALSE),0)</f>
        <v>0</v>
      </c>
      <c r="O140" s="3">
        <f>Table15781012[[#This Row],[Beginning Balance]]-Table15781012[[#This Row],[Principal]]-Table15781012[[#This Row],[Prepayments]]-Table15781012[[#This Row],[Defaulted Principal]]</f>
        <v>0</v>
      </c>
      <c r="P140" s="3">
        <f>Table15781012[[#This Row],[Principal]]+Table15781012[[#This Row],[Interest]]+Table15781012[[#This Row],[Prepayments]]+Table15781012[[#This Row],[RecoveredAmount]]</f>
        <v>0</v>
      </c>
      <c r="Q140" s="3">
        <f ca="1">ROUND(Table15781012[[#This Row],[Cash Flow]]/((1+ActualRateToUse)^(IF(ISNUMBER(SEARCH("Actual",$C$7)),Table15781012[[#This Row],[Running Total]]/365,Table15781012[[#This Row],[Period]]/12))),2)</f>
        <v>0</v>
      </c>
      <c r="R140" s="2">
        <f>IF(MONTH(Table15781012[[#This Row],[Date]])=2,28,DAY(DATE(YEAR(Table15781012[[#This Row],[Date]]),MONTH(Table15781012[[#This Row],[Date]])+1,1)-1))</f>
        <v>31</v>
      </c>
      <c r="S140" s="2">
        <f ca="1">SUM(OFFSET(Table15781012[[#Headers],[Days in month]],1,0):Table15781012[[#This Row],[Days in month]])</f>
        <v>3773</v>
      </c>
      <c r="T140" s="37">
        <f>InterestRate*AmortizationMultiplier*IF(ISNUMBER(SEARCH("Actual",$C$7)),Table15781012[[#This Row],[Days in month]]/365,1/12)</f>
        <v>6.0708333333333326E-3</v>
      </c>
    </row>
    <row r="141" spans="2:20" x14ac:dyDescent="0.2">
      <c r="B141" s="1">
        <f t="shared" si="6"/>
        <v>49643</v>
      </c>
      <c r="C141" s="2">
        <f t="shared" si="4"/>
        <v>125</v>
      </c>
      <c r="D141" s="3">
        <f t="shared" si="3"/>
        <v>0</v>
      </c>
      <c r="E141" s="3">
        <f>ROUND(Table15781012[[#This Row],[Beginning Balance]]*Table15781012[[#This Row],[Monthly Interest Rate]],2)</f>
        <v>0</v>
      </c>
      <c r="F141" s="3">
        <f t="shared" si="5"/>
        <v>227</v>
      </c>
      <c r="G141" s="23">
        <f>IFERROR(IF($C$13="No","N/A",IF(Table15781012[[#This Row],[Period]]=1,$C$6,PMT(InterestRate*AmortizationMultiplier/12,Table15781012[[#This Row],[Am Thru]],-Table15781012[[#This Row],[Beginning Balance]]))),0)</f>
        <v>0</v>
      </c>
      <c r="H141" s="3">
        <f>MAX(0,IF(C141=$C$4,D141,ROUND(IF($C$3="Fixed Principal",$C$6-Table15781012[[#This Row],[Interest]],IF($C$3="Interest Only",Table15781012[[#This Row],[Beginning Balance]]*ROUND(1-(1-IF($C$11="No",$E$8,1))^(1/12),6),MIN(IF($C$13="Yes",Table15781012[[#This Row],[Payment Amount (Reamortized)]],$C$6)-Table15781012[[#This Row],[Interest]],Table15781012[[#This Row],[Beginning Balance]]))),2)))</f>
        <v>0</v>
      </c>
      <c r="I141" s="3">
        <f>_xlfn.SINGLE(IF($C$3="Line of Credit",0,ROUND(MAX(MIN(IF($C$10="No",$E$7,VLOOKUP(Table15781012[[#This Row],[Period]],Forecast!$H$2:$L$1048576,4,FALSE))*Table15781012[[#This Row],[Beginning Balance]],Table15781012[[#This Row],[Beginning Balance]]-Table15781012[[#This Row],[Principal]]),0),2)))</f>
        <v>0</v>
      </c>
      <c r="J141" s="3">
        <f>ROUND(MIN(Table15781012[[#This Row],[Beginning Balance]]*IF($C$8="No",$E$3,VLOOKUP(Table15781012[[#This Row],[Period]],Forecast!$H$2:$L$1048576,2,FALSE)),Table15781012[[#This Row],[Beginning Balance]]-Table15781012[[#This Row],[Principal]]-Table15781012[[#This Row],[Prepayments]]),2)</f>
        <v>0</v>
      </c>
      <c r="K141" s="3">
        <f>ROUND(Table15781012[[#This Row],[Defaulted Principal]]*IF($C$9="No",$E$4,VLOOKUP(Table15781012[[#This Row],[Period]],Forecast!$H$2:$L$1048576,3,FALSE)),2)</f>
        <v>0</v>
      </c>
      <c r="L141" s="2">
        <f>Table15781012[[#This Row],[Period]]+$E$9</f>
        <v>137</v>
      </c>
      <c r="M141" s="3">
        <f>Table15781012[[#This Row],[Defaulted Principal]]-Table15781012[[#This Row],[Estimated Loss]]</f>
        <v>0</v>
      </c>
      <c r="N141" s="3">
        <f>IFERROR(VLOOKUP(Table15781012[[#This Row],[Period]],$L$16:$M$385,2,FALSE),0)</f>
        <v>0</v>
      </c>
      <c r="O141" s="3">
        <f>Table15781012[[#This Row],[Beginning Balance]]-Table15781012[[#This Row],[Principal]]-Table15781012[[#This Row],[Prepayments]]-Table15781012[[#This Row],[Defaulted Principal]]</f>
        <v>0</v>
      </c>
      <c r="P141" s="3">
        <f>Table15781012[[#This Row],[Principal]]+Table15781012[[#This Row],[Interest]]+Table15781012[[#This Row],[Prepayments]]+Table15781012[[#This Row],[RecoveredAmount]]</f>
        <v>0</v>
      </c>
      <c r="Q141" s="3">
        <f ca="1">ROUND(Table15781012[[#This Row],[Cash Flow]]/((1+ActualRateToUse)^(IF(ISNUMBER(SEARCH("Actual",$C$7)),Table15781012[[#This Row],[Running Total]]/365,Table15781012[[#This Row],[Period]]/12))),2)</f>
        <v>0</v>
      </c>
      <c r="R141" s="2">
        <f>IF(MONTH(Table15781012[[#This Row],[Date]])=2,28,DAY(DATE(YEAR(Table15781012[[#This Row],[Date]]),MONTH(Table15781012[[#This Row],[Date]])+1,1)-1))</f>
        <v>30</v>
      </c>
      <c r="S141" s="2">
        <f ca="1">SUM(OFFSET(Table15781012[[#Headers],[Days in month]],1,0):Table15781012[[#This Row],[Days in month]])</f>
        <v>3803</v>
      </c>
      <c r="T141" s="37">
        <f>InterestRate*AmortizationMultiplier*IF(ISNUMBER(SEARCH("Actual",$C$7)),Table15781012[[#This Row],[Days in month]]/365,1/12)</f>
        <v>5.8749999999999991E-3</v>
      </c>
    </row>
    <row r="142" spans="2:20" x14ac:dyDescent="0.2">
      <c r="B142" s="1">
        <f t="shared" si="6"/>
        <v>49674</v>
      </c>
      <c r="C142" s="2">
        <f t="shared" si="4"/>
        <v>126</v>
      </c>
      <c r="D142" s="3">
        <f t="shared" si="3"/>
        <v>0</v>
      </c>
      <c r="E142" s="3">
        <f>ROUND(Table15781012[[#This Row],[Beginning Balance]]*Table15781012[[#This Row],[Monthly Interest Rate]],2)</f>
        <v>0</v>
      </c>
      <c r="F142" s="3">
        <f t="shared" si="5"/>
        <v>226</v>
      </c>
      <c r="G142" s="23">
        <f>IFERROR(IF($C$13="No","N/A",IF(Table15781012[[#This Row],[Period]]=1,$C$6,PMT(InterestRate*AmortizationMultiplier/12,Table15781012[[#This Row],[Am Thru]],-Table15781012[[#This Row],[Beginning Balance]]))),0)</f>
        <v>0</v>
      </c>
      <c r="H142" s="3">
        <f>MAX(0,IF(C142=$C$4,D142,ROUND(IF($C$3="Fixed Principal",$C$6-Table15781012[[#This Row],[Interest]],IF($C$3="Interest Only",Table15781012[[#This Row],[Beginning Balance]]*ROUND(1-(1-IF($C$11="No",$E$8,1))^(1/12),6),MIN(IF($C$13="Yes",Table15781012[[#This Row],[Payment Amount (Reamortized)]],$C$6)-Table15781012[[#This Row],[Interest]],Table15781012[[#This Row],[Beginning Balance]]))),2)))</f>
        <v>0</v>
      </c>
      <c r="I142" s="3">
        <f>_xlfn.SINGLE(IF($C$3="Line of Credit",0,ROUND(MAX(MIN(IF($C$10="No",$E$7,VLOOKUP(Table15781012[[#This Row],[Period]],Forecast!$H$2:$L$1048576,4,FALSE))*Table15781012[[#This Row],[Beginning Balance]],Table15781012[[#This Row],[Beginning Balance]]-Table15781012[[#This Row],[Principal]]),0),2)))</f>
        <v>0</v>
      </c>
      <c r="J142" s="3">
        <f>ROUND(MIN(Table15781012[[#This Row],[Beginning Balance]]*IF($C$8="No",$E$3,VLOOKUP(Table15781012[[#This Row],[Period]],Forecast!$H$2:$L$1048576,2,FALSE)),Table15781012[[#This Row],[Beginning Balance]]-Table15781012[[#This Row],[Principal]]-Table15781012[[#This Row],[Prepayments]]),2)</f>
        <v>0</v>
      </c>
      <c r="K142" s="3">
        <f>ROUND(Table15781012[[#This Row],[Defaulted Principal]]*IF($C$9="No",$E$4,VLOOKUP(Table15781012[[#This Row],[Period]],Forecast!$H$2:$L$1048576,3,FALSE)),2)</f>
        <v>0</v>
      </c>
      <c r="L142" s="2">
        <f>Table15781012[[#This Row],[Period]]+$E$9</f>
        <v>138</v>
      </c>
      <c r="M142" s="3">
        <f>Table15781012[[#This Row],[Defaulted Principal]]-Table15781012[[#This Row],[Estimated Loss]]</f>
        <v>0</v>
      </c>
      <c r="N142" s="3">
        <f>IFERROR(VLOOKUP(Table15781012[[#This Row],[Period]],$L$16:$M$385,2,FALSE),0)</f>
        <v>0</v>
      </c>
      <c r="O142" s="3">
        <f>Table15781012[[#This Row],[Beginning Balance]]-Table15781012[[#This Row],[Principal]]-Table15781012[[#This Row],[Prepayments]]-Table15781012[[#This Row],[Defaulted Principal]]</f>
        <v>0</v>
      </c>
      <c r="P142" s="3">
        <f>Table15781012[[#This Row],[Principal]]+Table15781012[[#This Row],[Interest]]+Table15781012[[#This Row],[Prepayments]]+Table15781012[[#This Row],[RecoveredAmount]]</f>
        <v>0</v>
      </c>
      <c r="Q142" s="3">
        <f ca="1">ROUND(Table15781012[[#This Row],[Cash Flow]]/((1+ActualRateToUse)^(IF(ISNUMBER(SEARCH("Actual",$C$7)),Table15781012[[#This Row],[Running Total]]/365,Table15781012[[#This Row],[Period]]/12))),2)</f>
        <v>0</v>
      </c>
      <c r="R142" s="2">
        <f>IF(MONTH(Table15781012[[#This Row],[Date]])=2,28,DAY(DATE(YEAR(Table15781012[[#This Row],[Date]]),MONTH(Table15781012[[#This Row],[Date]])+1,1)-1))</f>
        <v>31</v>
      </c>
      <c r="S142" s="2">
        <f ca="1">SUM(OFFSET(Table15781012[[#Headers],[Days in month]],1,0):Table15781012[[#This Row],[Days in month]])</f>
        <v>3834</v>
      </c>
      <c r="T142" s="37">
        <f>InterestRate*AmortizationMultiplier*IF(ISNUMBER(SEARCH("Actual",$C$7)),Table15781012[[#This Row],[Days in month]]/365,1/12)</f>
        <v>6.0708333333333326E-3</v>
      </c>
    </row>
    <row r="143" spans="2:20" x14ac:dyDescent="0.2">
      <c r="B143" s="1">
        <f t="shared" si="6"/>
        <v>49705</v>
      </c>
      <c r="C143" s="2">
        <f t="shared" si="4"/>
        <v>127</v>
      </c>
      <c r="D143" s="3">
        <f t="shared" si="3"/>
        <v>0</v>
      </c>
      <c r="E143" s="3">
        <f>ROUND(Table15781012[[#This Row],[Beginning Balance]]*Table15781012[[#This Row],[Monthly Interest Rate]],2)</f>
        <v>0</v>
      </c>
      <c r="F143" s="3">
        <f t="shared" si="5"/>
        <v>225</v>
      </c>
      <c r="G143" s="23">
        <f>IFERROR(IF($C$13="No","N/A",IF(Table15781012[[#This Row],[Period]]=1,$C$6,PMT(InterestRate*AmortizationMultiplier/12,Table15781012[[#This Row],[Am Thru]],-Table15781012[[#This Row],[Beginning Balance]]))),0)</f>
        <v>0</v>
      </c>
      <c r="H143" s="3">
        <f>MAX(0,IF(C143=$C$4,D143,ROUND(IF($C$3="Fixed Principal",$C$6-Table15781012[[#This Row],[Interest]],IF($C$3="Interest Only",Table15781012[[#This Row],[Beginning Balance]]*ROUND(1-(1-IF($C$11="No",$E$8,1))^(1/12),6),MIN(IF($C$13="Yes",Table15781012[[#This Row],[Payment Amount (Reamortized)]],$C$6)-Table15781012[[#This Row],[Interest]],Table15781012[[#This Row],[Beginning Balance]]))),2)))</f>
        <v>0</v>
      </c>
      <c r="I143" s="3">
        <f>_xlfn.SINGLE(IF($C$3="Line of Credit",0,ROUND(MAX(MIN(IF($C$10="No",$E$7,VLOOKUP(Table15781012[[#This Row],[Period]],Forecast!$H$2:$L$1048576,4,FALSE))*Table15781012[[#This Row],[Beginning Balance]],Table15781012[[#This Row],[Beginning Balance]]-Table15781012[[#This Row],[Principal]]),0),2)))</f>
        <v>0</v>
      </c>
      <c r="J143" s="3">
        <f>ROUND(MIN(Table15781012[[#This Row],[Beginning Balance]]*IF($C$8="No",$E$3,VLOOKUP(Table15781012[[#This Row],[Period]],Forecast!$H$2:$L$1048576,2,FALSE)),Table15781012[[#This Row],[Beginning Balance]]-Table15781012[[#This Row],[Principal]]-Table15781012[[#This Row],[Prepayments]]),2)</f>
        <v>0</v>
      </c>
      <c r="K143" s="3">
        <f>ROUND(Table15781012[[#This Row],[Defaulted Principal]]*IF($C$9="No",$E$4,VLOOKUP(Table15781012[[#This Row],[Period]],Forecast!$H$2:$L$1048576,3,FALSE)),2)</f>
        <v>0</v>
      </c>
      <c r="L143" s="2">
        <f>Table15781012[[#This Row],[Period]]+$E$9</f>
        <v>139</v>
      </c>
      <c r="M143" s="3">
        <f>Table15781012[[#This Row],[Defaulted Principal]]-Table15781012[[#This Row],[Estimated Loss]]</f>
        <v>0</v>
      </c>
      <c r="N143" s="3">
        <f>IFERROR(VLOOKUP(Table15781012[[#This Row],[Period]],$L$16:$M$385,2,FALSE),0)</f>
        <v>0</v>
      </c>
      <c r="O143" s="3">
        <f>Table15781012[[#This Row],[Beginning Balance]]-Table15781012[[#This Row],[Principal]]-Table15781012[[#This Row],[Prepayments]]-Table15781012[[#This Row],[Defaulted Principal]]</f>
        <v>0</v>
      </c>
      <c r="P143" s="3">
        <f>Table15781012[[#This Row],[Principal]]+Table15781012[[#This Row],[Interest]]+Table15781012[[#This Row],[Prepayments]]+Table15781012[[#This Row],[RecoveredAmount]]</f>
        <v>0</v>
      </c>
      <c r="Q143" s="3">
        <f ca="1">ROUND(Table15781012[[#This Row],[Cash Flow]]/((1+ActualRateToUse)^(IF(ISNUMBER(SEARCH("Actual",$C$7)),Table15781012[[#This Row],[Running Total]]/365,Table15781012[[#This Row],[Period]]/12))),2)</f>
        <v>0</v>
      </c>
      <c r="R143" s="2">
        <f>IF(MONTH(Table15781012[[#This Row],[Date]])=2,28,DAY(DATE(YEAR(Table15781012[[#This Row],[Date]]),MONTH(Table15781012[[#This Row],[Date]])+1,1)-1))</f>
        <v>31</v>
      </c>
      <c r="S143" s="2">
        <f ca="1">SUM(OFFSET(Table15781012[[#Headers],[Days in month]],1,0):Table15781012[[#This Row],[Days in month]])</f>
        <v>3865</v>
      </c>
      <c r="T143" s="37">
        <f>InterestRate*AmortizationMultiplier*IF(ISNUMBER(SEARCH("Actual",$C$7)),Table15781012[[#This Row],[Days in month]]/365,1/12)</f>
        <v>6.0708333333333326E-3</v>
      </c>
    </row>
    <row r="144" spans="2:20" x14ac:dyDescent="0.2">
      <c r="B144" s="1">
        <f t="shared" si="6"/>
        <v>49734</v>
      </c>
      <c r="C144" s="2">
        <f t="shared" si="4"/>
        <v>128</v>
      </c>
      <c r="D144" s="3">
        <f t="shared" si="3"/>
        <v>0</v>
      </c>
      <c r="E144" s="3">
        <f>ROUND(Table15781012[[#This Row],[Beginning Balance]]*Table15781012[[#This Row],[Monthly Interest Rate]],2)</f>
        <v>0</v>
      </c>
      <c r="F144" s="3">
        <f t="shared" si="5"/>
        <v>224</v>
      </c>
      <c r="G144" s="23">
        <f>IFERROR(IF($C$13="No","N/A",IF(Table15781012[[#This Row],[Period]]=1,$C$6,PMT(InterestRate*AmortizationMultiplier/12,Table15781012[[#This Row],[Am Thru]],-Table15781012[[#This Row],[Beginning Balance]]))),0)</f>
        <v>0</v>
      </c>
      <c r="H144" s="3">
        <f>MAX(0,IF(C144=$C$4,D144,ROUND(IF($C$3="Fixed Principal",$C$6-Table15781012[[#This Row],[Interest]],IF($C$3="Interest Only",Table15781012[[#This Row],[Beginning Balance]]*ROUND(1-(1-IF($C$11="No",$E$8,1))^(1/12),6),MIN(IF($C$13="Yes",Table15781012[[#This Row],[Payment Amount (Reamortized)]],$C$6)-Table15781012[[#This Row],[Interest]],Table15781012[[#This Row],[Beginning Balance]]))),2)))</f>
        <v>0</v>
      </c>
      <c r="I144" s="3">
        <f>_xlfn.SINGLE(IF($C$3="Line of Credit",0,ROUND(MAX(MIN(IF($C$10="No",$E$7,VLOOKUP(Table15781012[[#This Row],[Period]],Forecast!$H$2:$L$1048576,4,FALSE))*Table15781012[[#This Row],[Beginning Balance]],Table15781012[[#This Row],[Beginning Balance]]-Table15781012[[#This Row],[Principal]]),0),2)))</f>
        <v>0</v>
      </c>
      <c r="J144" s="3">
        <f>ROUND(MIN(Table15781012[[#This Row],[Beginning Balance]]*IF($C$8="No",$E$3,VLOOKUP(Table15781012[[#This Row],[Period]],Forecast!$H$2:$L$1048576,2,FALSE)),Table15781012[[#This Row],[Beginning Balance]]-Table15781012[[#This Row],[Principal]]-Table15781012[[#This Row],[Prepayments]]),2)</f>
        <v>0</v>
      </c>
      <c r="K144" s="3">
        <f>ROUND(Table15781012[[#This Row],[Defaulted Principal]]*IF($C$9="No",$E$4,VLOOKUP(Table15781012[[#This Row],[Period]],Forecast!$H$2:$L$1048576,3,FALSE)),2)</f>
        <v>0</v>
      </c>
      <c r="L144" s="2">
        <f>Table15781012[[#This Row],[Period]]+$E$9</f>
        <v>140</v>
      </c>
      <c r="M144" s="3">
        <f>Table15781012[[#This Row],[Defaulted Principal]]-Table15781012[[#This Row],[Estimated Loss]]</f>
        <v>0</v>
      </c>
      <c r="N144" s="3">
        <f>IFERROR(VLOOKUP(Table15781012[[#This Row],[Period]],$L$16:$M$385,2,FALSE),0)</f>
        <v>0</v>
      </c>
      <c r="O144" s="3">
        <f>Table15781012[[#This Row],[Beginning Balance]]-Table15781012[[#This Row],[Principal]]-Table15781012[[#This Row],[Prepayments]]-Table15781012[[#This Row],[Defaulted Principal]]</f>
        <v>0</v>
      </c>
      <c r="P144" s="3">
        <f>Table15781012[[#This Row],[Principal]]+Table15781012[[#This Row],[Interest]]+Table15781012[[#This Row],[Prepayments]]+Table15781012[[#This Row],[RecoveredAmount]]</f>
        <v>0</v>
      </c>
      <c r="Q144" s="3">
        <f ca="1">ROUND(Table15781012[[#This Row],[Cash Flow]]/((1+ActualRateToUse)^(IF(ISNUMBER(SEARCH("Actual",$C$7)),Table15781012[[#This Row],[Running Total]]/365,Table15781012[[#This Row],[Period]]/12))),2)</f>
        <v>0</v>
      </c>
      <c r="R144" s="2">
        <f>IF(MONTH(Table15781012[[#This Row],[Date]])=2,28,DAY(DATE(YEAR(Table15781012[[#This Row],[Date]]),MONTH(Table15781012[[#This Row],[Date]])+1,1)-1))</f>
        <v>28</v>
      </c>
      <c r="S144" s="2">
        <f ca="1">SUM(OFFSET(Table15781012[[#Headers],[Days in month]],1,0):Table15781012[[#This Row],[Days in month]])</f>
        <v>3893</v>
      </c>
      <c r="T144" s="37">
        <f>InterestRate*AmortizationMultiplier*IF(ISNUMBER(SEARCH("Actual",$C$7)),Table15781012[[#This Row],[Days in month]]/365,1/12)</f>
        <v>5.4833333333333331E-3</v>
      </c>
    </row>
    <row r="145" spans="2:20" x14ac:dyDescent="0.2">
      <c r="B145" s="1">
        <f t="shared" si="6"/>
        <v>49765</v>
      </c>
      <c r="C145" s="2">
        <f t="shared" si="4"/>
        <v>129</v>
      </c>
      <c r="D145" s="3">
        <f t="shared" si="3"/>
        <v>0</v>
      </c>
      <c r="E145" s="3">
        <f>ROUND(Table15781012[[#This Row],[Beginning Balance]]*Table15781012[[#This Row],[Monthly Interest Rate]],2)</f>
        <v>0</v>
      </c>
      <c r="F145" s="3">
        <f t="shared" si="5"/>
        <v>223</v>
      </c>
      <c r="G145" s="23">
        <f>IFERROR(IF($C$13="No","N/A",IF(Table15781012[[#This Row],[Period]]=1,$C$6,PMT(InterestRate*AmortizationMultiplier/12,Table15781012[[#This Row],[Am Thru]],-Table15781012[[#This Row],[Beginning Balance]]))),0)</f>
        <v>0</v>
      </c>
      <c r="H145" s="3">
        <f>MAX(0,IF(C145=$C$4,D145,ROUND(IF($C$3="Fixed Principal",$C$6-Table15781012[[#This Row],[Interest]],IF($C$3="Interest Only",Table15781012[[#This Row],[Beginning Balance]]*ROUND(1-(1-IF($C$11="No",$E$8,1))^(1/12),6),MIN(IF($C$13="Yes",Table15781012[[#This Row],[Payment Amount (Reamortized)]],$C$6)-Table15781012[[#This Row],[Interest]],Table15781012[[#This Row],[Beginning Balance]]))),2)))</f>
        <v>0</v>
      </c>
      <c r="I145" s="3">
        <f>_xlfn.SINGLE(IF($C$3="Line of Credit",0,ROUND(MAX(MIN(IF($C$10="No",$E$7,VLOOKUP(Table15781012[[#This Row],[Period]],Forecast!$H$2:$L$1048576,4,FALSE))*Table15781012[[#This Row],[Beginning Balance]],Table15781012[[#This Row],[Beginning Balance]]-Table15781012[[#This Row],[Principal]]),0),2)))</f>
        <v>0</v>
      </c>
      <c r="J145" s="3">
        <f>ROUND(MIN(Table15781012[[#This Row],[Beginning Balance]]*IF($C$8="No",$E$3,VLOOKUP(Table15781012[[#This Row],[Period]],Forecast!$H$2:$L$1048576,2,FALSE)),Table15781012[[#This Row],[Beginning Balance]]-Table15781012[[#This Row],[Principal]]-Table15781012[[#This Row],[Prepayments]]),2)</f>
        <v>0</v>
      </c>
      <c r="K145" s="3">
        <f>ROUND(Table15781012[[#This Row],[Defaulted Principal]]*IF($C$9="No",$E$4,VLOOKUP(Table15781012[[#This Row],[Period]],Forecast!$H$2:$L$1048576,3,FALSE)),2)</f>
        <v>0</v>
      </c>
      <c r="L145" s="2">
        <f>Table15781012[[#This Row],[Period]]+$E$9</f>
        <v>141</v>
      </c>
      <c r="M145" s="3">
        <f>Table15781012[[#This Row],[Defaulted Principal]]-Table15781012[[#This Row],[Estimated Loss]]</f>
        <v>0</v>
      </c>
      <c r="N145" s="3">
        <f>IFERROR(VLOOKUP(Table15781012[[#This Row],[Period]],$L$16:$M$385,2,FALSE),0)</f>
        <v>0</v>
      </c>
      <c r="O145" s="3">
        <f>Table15781012[[#This Row],[Beginning Balance]]-Table15781012[[#This Row],[Principal]]-Table15781012[[#This Row],[Prepayments]]-Table15781012[[#This Row],[Defaulted Principal]]</f>
        <v>0</v>
      </c>
      <c r="P145" s="3">
        <f>Table15781012[[#This Row],[Principal]]+Table15781012[[#This Row],[Interest]]+Table15781012[[#This Row],[Prepayments]]+Table15781012[[#This Row],[RecoveredAmount]]</f>
        <v>0</v>
      </c>
      <c r="Q145" s="3">
        <f ca="1">ROUND(Table15781012[[#This Row],[Cash Flow]]/((1+ActualRateToUse)^(IF(ISNUMBER(SEARCH("Actual",$C$7)),Table15781012[[#This Row],[Running Total]]/365,Table15781012[[#This Row],[Period]]/12))),2)</f>
        <v>0</v>
      </c>
      <c r="R145" s="2">
        <f>IF(MONTH(Table15781012[[#This Row],[Date]])=2,28,DAY(DATE(YEAR(Table15781012[[#This Row],[Date]]),MONTH(Table15781012[[#This Row],[Date]])+1,1)-1))</f>
        <v>31</v>
      </c>
      <c r="S145" s="2">
        <f ca="1">SUM(OFFSET(Table15781012[[#Headers],[Days in month]],1,0):Table15781012[[#This Row],[Days in month]])</f>
        <v>3924</v>
      </c>
      <c r="T145" s="37">
        <f>InterestRate*AmortizationMultiplier*IF(ISNUMBER(SEARCH("Actual",$C$7)),Table15781012[[#This Row],[Days in month]]/365,1/12)</f>
        <v>6.0708333333333326E-3</v>
      </c>
    </row>
    <row r="146" spans="2:20" x14ac:dyDescent="0.2">
      <c r="B146" s="1">
        <f t="shared" si="6"/>
        <v>49795</v>
      </c>
      <c r="C146" s="2">
        <f t="shared" si="4"/>
        <v>130</v>
      </c>
      <c r="D146" s="3">
        <f t="shared" ref="D146:D209" si="7">O145</f>
        <v>0</v>
      </c>
      <c r="E146" s="3">
        <f>ROUND(Table15781012[[#This Row],[Beginning Balance]]*Table15781012[[#This Row],[Monthly Interest Rate]],2)</f>
        <v>0</v>
      </c>
      <c r="F146" s="3">
        <f t="shared" si="5"/>
        <v>222</v>
      </c>
      <c r="G146" s="23">
        <f>IFERROR(IF($C$13="No","N/A",IF(Table15781012[[#This Row],[Period]]=1,$C$6,PMT(InterestRate*AmortizationMultiplier/12,Table15781012[[#This Row],[Am Thru]],-Table15781012[[#This Row],[Beginning Balance]]))),0)</f>
        <v>0</v>
      </c>
      <c r="H146" s="3">
        <f>MAX(0,IF(C146=$C$4,D146,ROUND(IF($C$3="Fixed Principal",$C$6-Table15781012[[#This Row],[Interest]],IF($C$3="Interest Only",Table15781012[[#This Row],[Beginning Balance]]*ROUND(1-(1-IF($C$11="No",$E$8,1))^(1/12),6),MIN(IF($C$13="Yes",Table15781012[[#This Row],[Payment Amount (Reamortized)]],$C$6)-Table15781012[[#This Row],[Interest]],Table15781012[[#This Row],[Beginning Balance]]))),2)))</f>
        <v>0</v>
      </c>
      <c r="I146" s="3">
        <f>_xlfn.SINGLE(IF($C$3="Line of Credit",0,ROUND(MAX(MIN(IF($C$10="No",$E$7,VLOOKUP(Table15781012[[#This Row],[Period]],Forecast!$H$2:$L$1048576,4,FALSE))*Table15781012[[#This Row],[Beginning Balance]],Table15781012[[#This Row],[Beginning Balance]]-Table15781012[[#This Row],[Principal]]),0),2)))</f>
        <v>0</v>
      </c>
      <c r="J146" s="3">
        <f>ROUND(MIN(Table15781012[[#This Row],[Beginning Balance]]*IF($C$8="No",$E$3,VLOOKUP(Table15781012[[#This Row],[Period]],Forecast!$H$2:$L$1048576,2,FALSE)),Table15781012[[#This Row],[Beginning Balance]]-Table15781012[[#This Row],[Principal]]-Table15781012[[#This Row],[Prepayments]]),2)</f>
        <v>0</v>
      </c>
      <c r="K146" s="3">
        <f>ROUND(Table15781012[[#This Row],[Defaulted Principal]]*IF($C$9="No",$E$4,VLOOKUP(Table15781012[[#This Row],[Period]],Forecast!$H$2:$L$1048576,3,FALSE)),2)</f>
        <v>0</v>
      </c>
      <c r="L146" s="2">
        <f>Table15781012[[#This Row],[Period]]+$E$9</f>
        <v>142</v>
      </c>
      <c r="M146" s="3">
        <f>Table15781012[[#This Row],[Defaulted Principal]]-Table15781012[[#This Row],[Estimated Loss]]</f>
        <v>0</v>
      </c>
      <c r="N146" s="3">
        <f>IFERROR(VLOOKUP(Table15781012[[#This Row],[Period]],$L$16:$M$385,2,FALSE),0)</f>
        <v>0</v>
      </c>
      <c r="O146" s="3">
        <f>Table15781012[[#This Row],[Beginning Balance]]-Table15781012[[#This Row],[Principal]]-Table15781012[[#This Row],[Prepayments]]-Table15781012[[#This Row],[Defaulted Principal]]</f>
        <v>0</v>
      </c>
      <c r="P146" s="3">
        <f>Table15781012[[#This Row],[Principal]]+Table15781012[[#This Row],[Interest]]+Table15781012[[#This Row],[Prepayments]]+Table15781012[[#This Row],[RecoveredAmount]]</f>
        <v>0</v>
      </c>
      <c r="Q146" s="3">
        <f ca="1">ROUND(Table15781012[[#This Row],[Cash Flow]]/((1+ActualRateToUse)^(IF(ISNUMBER(SEARCH("Actual",$C$7)),Table15781012[[#This Row],[Running Total]]/365,Table15781012[[#This Row],[Period]]/12))),2)</f>
        <v>0</v>
      </c>
      <c r="R146" s="2">
        <f>IF(MONTH(Table15781012[[#This Row],[Date]])=2,28,DAY(DATE(YEAR(Table15781012[[#This Row],[Date]]),MONTH(Table15781012[[#This Row],[Date]])+1,1)-1))</f>
        <v>30</v>
      </c>
      <c r="S146" s="2">
        <f ca="1">SUM(OFFSET(Table15781012[[#Headers],[Days in month]],1,0):Table15781012[[#This Row],[Days in month]])</f>
        <v>3954</v>
      </c>
      <c r="T146" s="37">
        <f>InterestRate*AmortizationMultiplier*IF(ISNUMBER(SEARCH("Actual",$C$7)),Table15781012[[#This Row],[Days in month]]/365,1/12)</f>
        <v>5.8749999999999991E-3</v>
      </c>
    </row>
    <row r="147" spans="2:20" x14ac:dyDescent="0.2">
      <c r="B147" s="1">
        <f t="shared" si="6"/>
        <v>49826</v>
      </c>
      <c r="C147" s="2">
        <f t="shared" ref="C147:C210" si="8">C146+1</f>
        <v>131</v>
      </c>
      <c r="D147" s="3">
        <f t="shared" si="7"/>
        <v>0</v>
      </c>
      <c r="E147" s="3">
        <f>ROUND(Table15781012[[#This Row],[Beginning Balance]]*Table15781012[[#This Row],[Monthly Interest Rate]],2)</f>
        <v>0</v>
      </c>
      <c r="F147" s="3">
        <f t="shared" ref="F147:F210" si="9">+F146-1</f>
        <v>221</v>
      </c>
      <c r="G147" s="23">
        <f>IFERROR(IF($C$13="No","N/A",IF(Table15781012[[#This Row],[Period]]=1,$C$6,PMT(InterestRate*AmortizationMultiplier/12,Table15781012[[#This Row],[Am Thru]],-Table15781012[[#This Row],[Beginning Balance]]))),0)</f>
        <v>0</v>
      </c>
      <c r="H147" s="3">
        <f>MAX(0,IF(C147=$C$4,D147,ROUND(IF($C$3="Fixed Principal",$C$6-Table15781012[[#This Row],[Interest]],IF($C$3="Interest Only",Table15781012[[#This Row],[Beginning Balance]]*ROUND(1-(1-IF($C$11="No",$E$8,1))^(1/12),6),MIN(IF($C$13="Yes",Table15781012[[#This Row],[Payment Amount (Reamortized)]],$C$6)-Table15781012[[#This Row],[Interest]],Table15781012[[#This Row],[Beginning Balance]]))),2)))</f>
        <v>0</v>
      </c>
      <c r="I147" s="3">
        <f>_xlfn.SINGLE(IF($C$3="Line of Credit",0,ROUND(MAX(MIN(IF($C$10="No",$E$7,VLOOKUP(Table15781012[[#This Row],[Period]],Forecast!$H$2:$L$1048576,4,FALSE))*Table15781012[[#This Row],[Beginning Balance]],Table15781012[[#This Row],[Beginning Balance]]-Table15781012[[#This Row],[Principal]]),0),2)))</f>
        <v>0</v>
      </c>
      <c r="J147" s="3">
        <f>ROUND(MIN(Table15781012[[#This Row],[Beginning Balance]]*IF($C$8="No",$E$3,VLOOKUP(Table15781012[[#This Row],[Period]],Forecast!$H$2:$L$1048576,2,FALSE)),Table15781012[[#This Row],[Beginning Balance]]-Table15781012[[#This Row],[Principal]]-Table15781012[[#This Row],[Prepayments]]),2)</f>
        <v>0</v>
      </c>
      <c r="K147" s="3">
        <f>ROUND(Table15781012[[#This Row],[Defaulted Principal]]*IF($C$9="No",$E$4,VLOOKUP(Table15781012[[#This Row],[Period]],Forecast!$H$2:$L$1048576,3,FALSE)),2)</f>
        <v>0</v>
      </c>
      <c r="L147" s="2">
        <f>Table15781012[[#This Row],[Period]]+$E$9</f>
        <v>143</v>
      </c>
      <c r="M147" s="3">
        <f>Table15781012[[#This Row],[Defaulted Principal]]-Table15781012[[#This Row],[Estimated Loss]]</f>
        <v>0</v>
      </c>
      <c r="N147" s="3">
        <f>IFERROR(VLOOKUP(Table15781012[[#This Row],[Period]],$L$16:$M$385,2,FALSE),0)</f>
        <v>0</v>
      </c>
      <c r="O147" s="3">
        <f>Table15781012[[#This Row],[Beginning Balance]]-Table15781012[[#This Row],[Principal]]-Table15781012[[#This Row],[Prepayments]]-Table15781012[[#This Row],[Defaulted Principal]]</f>
        <v>0</v>
      </c>
      <c r="P147" s="3">
        <f>Table15781012[[#This Row],[Principal]]+Table15781012[[#This Row],[Interest]]+Table15781012[[#This Row],[Prepayments]]+Table15781012[[#This Row],[RecoveredAmount]]</f>
        <v>0</v>
      </c>
      <c r="Q147" s="3">
        <f ca="1">ROUND(Table15781012[[#This Row],[Cash Flow]]/((1+ActualRateToUse)^(IF(ISNUMBER(SEARCH("Actual",$C$7)),Table15781012[[#This Row],[Running Total]]/365,Table15781012[[#This Row],[Period]]/12))),2)</f>
        <v>0</v>
      </c>
      <c r="R147" s="2">
        <f>IF(MONTH(Table15781012[[#This Row],[Date]])=2,28,DAY(DATE(YEAR(Table15781012[[#This Row],[Date]]),MONTH(Table15781012[[#This Row],[Date]])+1,1)-1))</f>
        <v>31</v>
      </c>
      <c r="S147" s="2">
        <f ca="1">SUM(OFFSET(Table15781012[[#Headers],[Days in month]],1,0):Table15781012[[#This Row],[Days in month]])</f>
        <v>3985</v>
      </c>
      <c r="T147" s="37">
        <f>InterestRate*AmortizationMultiplier*IF(ISNUMBER(SEARCH("Actual",$C$7)),Table15781012[[#This Row],[Days in month]]/365,1/12)</f>
        <v>6.0708333333333326E-3</v>
      </c>
    </row>
    <row r="148" spans="2:20" x14ac:dyDescent="0.2">
      <c r="B148" s="1">
        <f t="shared" si="6"/>
        <v>49856</v>
      </c>
      <c r="C148" s="2">
        <f t="shared" si="8"/>
        <v>132</v>
      </c>
      <c r="D148" s="3">
        <f t="shared" si="7"/>
        <v>0</v>
      </c>
      <c r="E148" s="3">
        <f>ROUND(Table15781012[[#This Row],[Beginning Balance]]*Table15781012[[#This Row],[Monthly Interest Rate]],2)</f>
        <v>0</v>
      </c>
      <c r="F148" s="3">
        <f t="shared" si="9"/>
        <v>220</v>
      </c>
      <c r="G148" s="23">
        <f>IFERROR(IF($C$13="No","N/A",IF(Table15781012[[#This Row],[Period]]=1,$C$6,PMT(InterestRate*AmortizationMultiplier/12,Table15781012[[#This Row],[Am Thru]],-Table15781012[[#This Row],[Beginning Balance]]))),0)</f>
        <v>0</v>
      </c>
      <c r="H148" s="3">
        <f>MAX(0,IF(C148=$C$4,D148,ROUND(IF($C$3="Fixed Principal",$C$6-Table15781012[[#This Row],[Interest]],IF($C$3="Interest Only",Table15781012[[#This Row],[Beginning Balance]]*ROUND(1-(1-IF($C$11="No",$E$8,1))^(1/12),6),MIN(IF($C$13="Yes",Table15781012[[#This Row],[Payment Amount (Reamortized)]],$C$6)-Table15781012[[#This Row],[Interest]],Table15781012[[#This Row],[Beginning Balance]]))),2)))</f>
        <v>0</v>
      </c>
      <c r="I148" s="3">
        <f>_xlfn.SINGLE(IF($C$3="Line of Credit",0,ROUND(MAX(MIN(IF($C$10="No",$E$7,VLOOKUP(Table15781012[[#This Row],[Period]],Forecast!$H$2:$L$1048576,4,FALSE))*Table15781012[[#This Row],[Beginning Balance]],Table15781012[[#This Row],[Beginning Balance]]-Table15781012[[#This Row],[Principal]]),0),2)))</f>
        <v>0</v>
      </c>
      <c r="J148" s="3">
        <f>ROUND(MIN(Table15781012[[#This Row],[Beginning Balance]]*IF($C$8="No",$E$3,VLOOKUP(Table15781012[[#This Row],[Period]],Forecast!$H$2:$L$1048576,2,FALSE)),Table15781012[[#This Row],[Beginning Balance]]-Table15781012[[#This Row],[Principal]]-Table15781012[[#This Row],[Prepayments]]),2)</f>
        <v>0</v>
      </c>
      <c r="K148" s="3">
        <f>ROUND(Table15781012[[#This Row],[Defaulted Principal]]*IF($C$9="No",$E$4,VLOOKUP(Table15781012[[#This Row],[Period]],Forecast!$H$2:$L$1048576,3,FALSE)),2)</f>
        <v>0</v>
      </c>
      <c r="L148" s="2">
        <f>Table15781012[[#This Row],[Period]]+$E$9</f>
        <v>144</v>
      </c>
      <c r="M148" s="3">
        <f>Table15781012[[#This Row],[Defaulted Principal]]-Table15781012[[#This Row],[Estimated Loss]]</f>
        <v>0</v>
      </c>
      <c r="N148" s="3">
        <f>IFERROR(VLOOKUP(Table15781012[[#This Row],[Period]],$L$16:$M$385,2,FALSE),0)</f>
        <v>0</v>
      </c>
      <c r="O148" s="3">
        <f>Table15781012[[#This Row],[Beginning Balance]]-Table15781012[[#This Row],[Principal]]-Table15781012[[#This Row],[Prepayments]]-Table15781012[[#This Row],[Defaulted Principal]]</f>
        <v>0</v>
      </c>
      <c r="P148" s="3">
        <f>Table15781012[[#This Row],[Principal]]+Table15781012[[#This Row],[Interest]]+Table15781012[[#This Row],[Prepayments]]+Table15781012[[#This Row],[RecoveredAmount]]</f>
        <v>0</v>
      </c>
      <c r="Q148" s="3">
        <f ca="1">ROUND(Table15781012[[#This Row],[Cash Flow]]/((1+ActualRateToUse)^(IF(ISNUMBER(SEARCH("Actual",$C$7)),Table15781012[[#This Row],[Running Total]]/365,Table15781012[[#This Row],[Period]]/12))),2)</f>
        <v>0</v>
      </c>
      <c r="R148" s="2">
        <f>IF(MONTH(Table15781012[[#This Row],[Date]])=2,28,DAY(DATE(YEAR(Table15781012[[#This Row],[Date]]),MONTH(Table15781012[[#This Row],[Date]])+1,1)-1))</f>
        <v>30</v>
      </c>
      <c r="S148" s="2">
        <f ca="1">SUM(OFFSET(Table15781012[[#Headers],[Days in month]],1,0):Table15781012[[#This Row],[Days in month]])</f>
        <v>4015</v>
      </c>
      <c r="T148" s="37">
        <f>InterestRate*AmortizationMultiplier*IF(ISNUMBER(SEARCH("Actual",$C$7)),Table15781012[[#This Row],[Days in month]]/365,1/12)</f>
        <v>5.8749999999999991E-3</v>
      </c>
    </row>
    <row r="149" spans="2:20" x14ac:dyDescent="0.2">
      <c r="B149" s="1">
        <f t="shared" si="6"/>
        <v>49887</v>
      </c>
      <c r="C149" s="2">
        <f t="shared" si="8"/>
        <v>133</v>
      </c>
      <c r="D149" s="3">
        <f t="shared" si="7"/>
        <v>0</v>
      </c>
      <c r="E149" s="3">
        <f>ROUND(Table15781012[[#This Row],[Beginning Balance]]*Table15781012[[#This Row],[Monthly Interest Rate]],2)</f>
        <v>0</v>
      </c>
      <c r="F149" s="3">
        <f t="shared" si="9"/>
        <v>219</v>
      </c>
      <c r="G149" s="23">
        <f>IFERROR(IF($C$13="No","N/A",IF(Table15781012[[#This Row],[Period]]=1,$C$6,PMT(InterestRate*AmortizationMultiplier/12,Table15781012[[#This Row],[Am Thru]],-Table15781012[[#This Row],[Beginning Balance]]))),0)</f>
        <v>0</v>
      </c>
      <c r="H149" s="3">
        <f>MAX(0,IF(C149=$C$4,D149,ROUND(IF($C$3="Fixed Principal",$C$6-Table15781012[[#This Row],[Interest]],IF($C$3="Interest Only",Table15781012[[#This Row],[Beginning Balance]]*ROUND(1-(1-IF($C$11="No",$E$8,1))^(1/12),6),MIN(IF($C$13="Yes",Table15781012[[#This Row],[Payment Amount (Reamortized)]],$C$6)-Table15781012[[#This Row],[Interest]],Table15781012[[#This Row],[Beginning Balance]]))),2)))</f>
        <v>0</v>
      </c>
      <c r="I149" s="3">
        <f>_xlfn.SINGLE(IF($C$3="Line of Credit",0,ROUND(MAX(MIN(IF($C$10="No",$E$7,VLOOKUP(Table15781012[[#This Row],[Period]],Forecast!$H$2:$L$1048576,4,FALSE))*Table15781012[[#This Row],[Beginning Balance]],Table15781012[[#This Row],[Beginning Balance]]-Table15781012[[#This Row],[Principal]]),0),2)))</f>
        <v>0</v>
      </c>
      <c r="J149" s="3">
        <f>ROUND(MIN(Table15781012[[#This Row],[Beginning Balance]]*IF($C$8="No",$E$3,VLOOKUP(Table15781012[[#This Row],[Period]],Forecast!$H$2:$L$1048576,2,FALSE)),Table15781012[[#This Row],[Beginning Balance]]-Table15781012[[#This Row],[Principal]]-Table15781012[[#This Row],[Prepayments]]),2)</f>
        <v>0</v>
      </c>
      <c r="K149" s="3">
        <f>ROUND(Table15781012[[#This Row],[Defaulted Principal]]*IF($C$9="No",$E$4,VLOOKUP(Table15781012[[#This Row],[Period]],Forecast!$H$2:$L$1048576,3,FALSE)),2)</f>
        <v>0</v>
      </c>
      <c r="L149" s="2">
        <f>Table15781012[[#This Row],[Period]]+$E$9</f>
        <v>145</v>
      </c>
      <c r="M149" s="3">
        <f>Table15781012[[#This Row],[Defaulted Principal]]-Table15781012[[#This Row],[Estimated Loss]]</f>
        <v>0</v>
      </c>
      <c r="N149" s="3">
        <f>IFERROR(VLOOKUP(Table15781012[[#This Row],[Period]],$L$16:$M$385,2,FALSE),0)</f>
        <v>0</v>
      </c>
      <c r="O149" s="3">
        <f>Table15781012[[#This Row],[Beginning Balance]]-Table15781012[[#This Row],[Principal]]-Table15781012[[#This Row],[Prepayments]]-Table15781012[[#This Row],[Defaulted Principal]]</f>
        <v>0</v>
      </c>
      <c r="P149" s="3">
        <f>Table15781012[[#This Row],[Principal]]+Table15781012[[#This Row],[Interest]]+Table15781012[[#This Row],[Prepayments]]+Table15781012[[#This Row],[RecoveredAmount]]</f>
        <v>0</v>
      </c>
      <c r="Q149" s="3">
        <f ca="1">ROUND(Table15781012[[#This Row],[Cash Flow]]/((1+ActualRateToUse)^(IF(ISNUMBER(SEARCH("Actual",$C$7)),Table15781012[[#This Row],[Running Total]]/365,Table15781012[[#This Row],[Period]]/12))),2)</f>
        <v>0</v>
      </c>
      <c r="R149" s="2">
        <f>IF(MONTH(Table15781012[[#This Row],[Date]])=2,28,DAY(DATE(YEAR(Table15781012[[#This Row],[Date]]),MONTH(Table15781012[[#This Row],[Date]])+1,1)-1))</f>
        <v>31</v>
      </c>
      <c r="S149" s="2">
        <f ca="1">SUM(OFFSET(Table15781012[[#Headers],[Days in month]],1,0):Table15781012[[#This Row],[Days in month]])</f>
        <v>4046</v>
      </c>
      <c r="T149" s="37">
        <f>InterestRate*AmortizationMultiplier*IF(ISNUMBER(SEARCH("Actual",$C$7)),Table15781012[[#This Row],[Days in month]]/365,1/12)</f>
        <v>6.0708333333333326E-3</v>
      </c>
    </row>
    <row r="150" spans="2:20" x14ac:dyDescent="0.2">
      <c r="B150" s="1">
        <f t="shared" si="6"/>
        <v>49918</v>
      </c>
      <c r="C150" s="2">
        <f t="shared" si="8"/>
        <v>134</v>
      </c>
      <c r="D150" s="3">
        <f t="shared" si="7"/>
        <v>0</v>
      </c>
      <c r="E150" s="3">
        <f>ROUND(Table15781012[[#This Row],[Beginning Balance]]*Table15781012[[#This Row],[Monthly Interest Rate]],2)</f>
        <v>0</v>
      </c>
      <c r="F150" s="3">
        <f t="shared" si="9"/>
        <v>218</v>
      </c>
      <c r="G150" s="23">
        <f>IFERROR(IF($C$13="No","N/A",IF(Table15781012[[#This Row],[Period]]=1,$C$6,PMT(InterestRate*AmortizationMultiplier/12,Table15781012[[#This Row],[Am Thru]],-Table15781012[[#This Row],[Beginning Balance]]))),0)</f>
        <v>0</v>
      </c>
      <c r="H150" s="3">
        <f>MAX(0,IF(C150=$C$4,D150,ROUND(IF($C$3="Fixed Principal",$C$6-Table15781012[[#This Row],[Interest]],IF($C$3="Interest Only",Table15781012[[#This Row],[Beginning Balance]]*ROUND(1-(1-IF($C$11="No",$E$8,1))^(1/12),6),MIN(IF($C$13="Yes",Table15781012[[#This Row],[Payment Amount (Reamortized)]],$C$6)-Table15781012[[#This Row],[Interest]],Table15781012[[#This Row],[Beginning Balance]]))),2)))</f>
        <v>0</v>
      </c>
      <c r="I150" s="3">
        <f>_xlfn.SINGLE(IF($C$3="Line of Credit",0,ROUND(MAX(MIN(IF($C$10="No",$E$7,VLOOKUP(Table15781012[[#This Row],[Period]],Forecast!$H$2:$L$1048576,4,FALSE))*Table15781012[[#This Row],[Beginning Balance]],Table15781012[[#This Row],[Beginning Balance]]-Table15781012[[#This Row],[Principal]]),0),2)))</f>
        <v>0</v>
      </c>
      <c r="J150" s="3">
        <f>ROUND(MIN(Table15781012[[#This Row],[Beginning Balance]]*IF($C$8="No",$E$3,VLOOKUP(Table15781012[[#This Row],[Period]],Forecast!$H$2:$L$1048576,2,FALSE)),Table15781012[[#This Row],[Beginning Balance]]-Table15781012[[#This Row],[Principal]]-Table15781012[[#This Row],[Prepayments]]),2)</f>
        <v>0</v>
      </c>
      <c r="K150" s="3">
        <f>ROUND(Table15781012[[#This Row],[Defaulted Principal]]*IF($C$9="No",$E$4,VLOOKUP(Table15781012[[#This Row],[Period]],Forecast!$H$2:$L$1048576,3,FALSE)),2)</f>
        <v>0</v>
      </c>
      <c r="L150" s="2">
        <f>Table15781012[[#This Row],[Period]]+$E$9</f>
        <v>146</v>
      </c>
      <c r="M150" s="3">
        <f>Table15781012[[#This Row],[Defaulted Principal]]-Table15781012[[#This Row],[Estimated Loss]]</f>
        <v>0</v>
      </c>
      <c r="N150" s="3">
        <f>IFERROR(VLOOKUP(Table15781012[[#This Row],[Period]],$L$16:$M$385,2,FALSE),0)</f>
        <v>0</v>
      </c>
      <c r="O150" s="3">
        <f>Table15781012[[#This Row],[Beginning Balance]]-Table15781012[[#This Row],[Principal]]-Table15781012[[#This Row],[Prepayments]]-Table15781012[[#This Row],[Defaulted Principal]]</f>
        <v>0</v>
      </c>
      <c r="P150" s="3">
        <f>Table15781012[[#This Row],[Principal]]+Table15781012[[#This Row],[Interest]]+Table15781012[[#This Row],[Prepayments]]+Table15781012[[#This Row],[RecoveredAmount]]</f>
        <v>0</v>
      </c>
      <c r="Q150" s="3">
        <f ca="1">ROUND(Table15781012[[#This Row],[Cash Flow]]/((1+ActualRateToUse)^(IF(ISNUMBER(SEARCH("Actual",$C$7)),Table15781012[[#This Row],[Running Total]]/365,Table15781012[[#This Row],[Period]]/12))),2)</f>
        <v>0</v>
      </c>
      <c r="R150" s="2">
        <f>IF(MONTH(Table15781012[[#This Row],[Date]])=2,28,DAY(DATE(YEAR(Table15781012[[#This Row],[Date]]),MONTH(Table15781012[[#This Row],[Date]])+1,1)-1))</f>
        <v>31</v>
      </c>
      <c r="S150" s="2">
        <f ca="1">SUM(OFFSET(Table15781012[[#Headers],[Days in month]],1,0):Table15781012[[#This Row],[Days in month]])</f>
        <v>4077</v>
      </c>
      <c r="T150" s="37">
        <f>InterestRate*AmortizationMultiplier*IF(ISNUMBER(SEARCH("Actual",$C$7)),Table15781012[[#This Row],[Days in month]]/365,1/12)</f>
        <v>6.0708333333333326E-3</v>
      </c>
    </row>
    <row r="151" spans="2:20" x14ac:dyDescent="0.2">
      <c r="B151" s="1">
        <f t="shared" si="6"/>
        <v>49948</v>
      </c>
      <c r="C151" s="2">
        <f t="shared" si="8"/>
        <v>135</v>
      </c>
      <c r="D151" s="3">
        <f t="shared" si="7"/>
        <v>0</v>
      </c>
      <c r="E151" s="3">
        <f>ROUND(Table15781012[[#This Row],[Beginning Balance]]*Table15781012[[#This Row],[Monthly Interest Rate]],2)</f>
        <v>0</v>
      </c>
      <c r="F151" s="3">
        <f t="shared" si="9"/>
        <v>217</v>
      </c>
      <c r="G151" s="23">
        <f>IFERROR(IF($C$13="No","N/A",IF(Table15781012[[#This Row],[Period]]=1,$C$6,PMT(InterestRate*AmortizationMultiplier/12,Table15781012[[#This Row],[Am Thru]],-Table15781012[[#This Row],[Beginning Balance]]))),0)</f>
        <v>0</v>
      </c>
      <c r="H151" s="3">
        <f>MAX(0,IF(C151=$C$4,D151,ROUND(IF($C$3="Fixed Principal",$C$6-Table15781012[[#This Row],[Interest]],IF($C$3="Interest Only",Table15781012[[#This Row],[Beginning Balance]]*ROUND(1-(1-IF($C$11="No",$E$8,1))^(1/12),6),MIN(IF($C$13="Yes",Table15781012[[#This Row],[Payment Amount (Reamortized)]],$C$6)-Table15781012[[#This Row],[Interest]],Table15781012[[#This Row],[Beginning Balance]]))),2)))</f>
        <v>0</v>
      </c>
      <c r="I151" s="3">
        <f>_xlfn.SINGLE(IF($C$3="Line of Credit",0,ROUND(MAX(MIN(IF($C$10="No",$E$7,VLOOKUP(Table15781012[[#This Row],[Period]],Forecast!$H$2:$L$1048576,4,FALSE))*Table15781012[[#This Row],[Beginning Balance]],Table15781012[[#This Row],[Beginning Balance]]-Table15781012[[#This Row],[Principal]]),0),2)))</f>
        <v>0</v>
      </c>
      <c r="J151" s="3">
        <f>ROUND(MIN(Table15781012[[#This Row],[Beginning Balance]]*IF($C$8="No",$E$3,VLOOKUP(Table15781012[[#This Row],[Period]],Forecast!$H$2:$L$1048576,2,FALSE)),Table15781012[[#This Row],[Beginning Balance]]-Table15781012[[#This Row],[Principal]]-Table15781012[[#This Row],[Prepayments]]),2)</f>
        <v>0</v>
      </c>
      <c r="K151" s="3">
        <f>ROUND(Table15781012[[#This Row],[Defaulted Principal]]*IF($C$9="No",$E$4,VLOOKUP(Table15781012[[#This Row],[Period]],Forecast!$H$2:$L$1048576,3,FALSE)),2)</f>
        <v>0</v>
      </c>
      <c r="L151" s="2">
        <f>Table15781012[[#This Row],[Period]]+$E$9</f>
        <v>147</v>
      </c>
      <c r="M151" s="3">
        <f>Table15781012[[#This Row],[Defaulted Principal]]-Table15781012[[#This Row],[Estimated Loss]]</f>
        <v>0</v>
      </c>
      <c r="N151" s="3">
        <f>IFERROR(VLOOKUP(Table15781012[[#This Row],[Period]],$L$16:$M$385,2,FALSE),0)</f>
        <v>0</v>
      </c>
      <c r="O151" s="3">
        <f>Table15781012[[#This Row],[Beginning Balance]]-Table15781012[[#This Row],[Principal]]-Table15781012[[#This Row],[Prepayments]]-Table15781012[[#This Row],[Defaulted Principal]]</f>
        <v>0</v>
      </c>
      <c r="P151" s="3">
        <f>Table15781012[[#This Row],[Principal]]+Table15781012[[#This Row],[Interest]]+Table15781012[[#This Row],[Prepayments]]+Table15781012[[#This Row],[RecoveredAmount]]</f>
        <v>0</v>
      </c>
      <c r="Q151" s="3">
        <f ca="1">ROUND(Table15781012[[#This Row],[Cash Flow]]/((1+ActualRateToUse)^(IF(ISNUMBER(SEARCH("Actual",$C$7)),Table15781012[[#This Row],[Running Total]]/365,Table15781012[[#This Row],[Period]]/12))),2)</f>
        <v>0</v>
      </c>
      <c r="R151" s="2">
        <f>IF(MONTH(Table15781012[[#This Row],[Date]])=2,28,DAY(DATE(YEAR(Table15781012[[#This Row],[Date]]),MONTH(Table15781012[[#This Row],[Date]])+1,1)-1))</f>
        <v>30</v>
      </c>
      <c r="S151" s="2">
        <f ca="1">SUM(OFFSET(Table15781012[[#Headers],[Days in month]],1,0):Table15781012[[#This Row],[Days in month]])</f>
        <v>4107</v>
      </c>
      <c r="T151" s="37">
        <f>InterestRate*AmortizationMultiplier*IF(ISNUMBER(SEARCH("Actual",$C$7)),Table15781012[[#This Row],[Days in month]]/365,1/12)</f>
        <v>5.8749999999999991E-3</v>
      </c>
    </row>
    <row r="152" spans="2:20" x14ac:dyDescent="0.2">
      <c r="B152" s="1">
        <f t="shared" si="6"/>
        <v>49979</v>
      </c>
      <c r="C152" s="2">
        <f t="shared" si="8"/>
        <v>136</v>
      </c>
      <c r="D152" s="3">
        <f t="shared" si="7"/>
        <v>0</v>
      </c>
      <c r="E152" s="3">
        <f>ROUND(Table15781012[[#This Row],[Beginning Balance]]*Table15781012[[#This Row],[Monthly Interest Rate]],2)</f>
        <v>0</v>
      </c>
      <c r="F152" s="3">
        <f t="shared" si="9"/>
        <v>216</v>
      </c>
      <c r="G152" s="23">
        <f>IFERROR(IF($C$13="No","N/A",IF(Table15781012[[#This Row],[Period]]=1,$C$6,PMT(InterestRate*AmortizationMultiplier/12,Table15781012[[#This Row],[Am Thru]],-Table15781012[[#This Row],[Beginning Balance]]))),0)</f>
        <v>0</v>
      </c>
      <c r="H152" s="3">
        <f>MAX(0,IF(C152=$C$4,D152,ROUND(IF($C$3="Fixed Principal",$C$6-Table15781012[[#This Row],[Interest]],IF($C$3="Interest Only",Table15781012[[#This Row],[Beginning Balance]]*ROUND(1-(1-IF($C$11="No",$E$8,1))^(1/12),6),MIN(IF($C$13="Yes",Table15781012[[#This Row],[Payment Amount (Reamortized)]],$C$6)-Table15781012[[#This Row],[Interest]],Table15781012[[#This Row],[Beginning Balance]]))),2)))</f>
        <v>0</v>
      </c>
      <c r="I152" s="3">
        <f>_xlfn.SINGLE(IF($C$3="Line of Credit",0,ROUND(MAX(MIN(IF($C$10="No",$E$7,VLOOKUP(Table15781012[[#This Row],[Period]],Forecast!$H$2:$L$1048576,4,FALSE))*Table15781012[[#This Row],[Beginning Balance]],Table15781012[[#This Row],[Beginning Balance]]-Table15781012[[#This Row],[Principal]]),0),2)))</f>
        <v>0</v>
      </c>
      <c r="J152" s="3">
        <f>ROUND(MIN(Table15781012[[#This Row],[Beginning Balance]]*IF($C$8="No",$E$3,VLOOKUP(Table15781012[[#This Row],[Period]],Forecast!$H$2:$L$1048576,2,FALSE)),Table15781012[[#This Row],[Beginning Balance]]-Table15781012[[#This Row],[Principal]]-Table15781012[[#This Row],[Prepayments]]),2)</f>
        <v>0</v>
      </c>
      <c r="K152" s="3">
        <f>ROUND(Table15781012[[#This Row],[Defaulted Principal]]*IF($C$9="No",$E$4,VLOOKUP(Table15781012[[#This Row],[Period]],Forecast!$H$2:$L$1048576,3,FALSE)),2)</f>
        <v>0</v>
      </c>
      <c r="L152" s="2">
        <f>Table15781012[[#This Row],[Period]]+$E$9</f>
        <v>148</v>
      </c>
      <c r="M152" s="3">
        <f>Table15781012[[#This Row],[Defaulted Principal]]-Table15781012[[#This Row],[Estimated Loss]]</f>
        <v>0</v>
      </c>
      <c r="N152" s="3">
        <f>IFERROR(VLOOKUP(Table15781012[[#This Row],[Period]],$L$16:$M$385,2,FALSE),0)</f>
        <v>0</v>
      </c>
      <c r="O152" s="3">
        <f>Table15781012[[#This Row],[Beginning Balance]]-Table15781012[[#This Row],[Principal]]-Table15781012[[#This Row],[Prepayments]]-Table15781012[[#This Row],[Defaulted Principal]]</f>
        <v>0</v>
      </c>
      <c r="P152" s="3">
        <f>Table15781012[[#This Row],[Principal]]+Table15781012[[#This Row],[Interest]]+Table15781012[[#This Row],[Prepayments]]+Table15781012[[#This Row],[RecoveredAmount]]</f>
        <v>0</v>
      </c>
      <c r="Q152" s="3">
        <f ca="1">ROUND(Table15781012[[#This Row],[Cash Flow]]/((1+ActualRateToUse)^(IF(ISNUMBER(SEARCH("Actual",$C$7)),Table15781012[[#This Row],[Running Total]]/365,Table15781012[[#This Row],[Period]]/12))),2)</f>
        <v>0</v>
      </c>
      <c r="R152" s="2">
        <f>IF(MONTH(Table15781012[[#This Row],[Date]])=2,28,DAY(DATE(YEAR(Table15781012[[#This Row],[Date]]),MONTH(Table15781012[[#This Row],[Date]])+1,1)-1))</f>
        <v>31</v>
      </c>
      <c r="S152" s="2">
        <f ca="1">SUM(OFFSET(Table15781012[[#Headers],[Days in month]],1,0):Table15781012[[#This Row],[Days in month]])</f>
        <v>4138</v>
      </c>
      <c r="T152" s="37">
        <f>InterestRate*AmortizationMultiplier*IF(ISNUMBER(SEARCH("Actual",$C$7)),Table15781012[[#This Row],[Days in month]]/365,1/12)</f>
        <v>6.0708333333333326E-3</v>
      </c>
    </row>
    <row r="153" spans="2:20" x14ac:dyDescent="0.2">
      <c r="B153" s="1">
        <f t="shared" si="6"/>
        <v>50009</v>
      </c>
      <c r="C153" s="2">
        <f t="shared" si="8"/>
        <v>137</v>
      </c>
      <c r="D153" s="3">
        <f t="shared" si="7"/>
        <v>0</v>
      </c>
      <c r="E153" s="3">
        <f>ROUND(Table15781012[[#This Row],[Beginning Balance]]*Table15781012[[#This Row],[Monthly Interest Rate]],2)</f>
        <v>0</v>
      </c>
      <c r="F153" s="3">
        <f t="shared" si="9"/>
        <v>215</v>
      </c>
      <c r="G153" s="23">
        <f>IFERROR(IF($C$13="No","N/A",IF(Table15781012[[#This Row],[Period]]=1,$C$6,PMT(InterestRate*AmortizationMultiplier/12,Table15781012[[#This Row],[Am Thru]],-Table15781012[[#This Row],[Beginning Balance]]))),0)</f>
        <v>0</v>
      </c>
      <c r="H153" s="3">
        <f>MAX(0,IF(C153=$C$4,D153,ROUND(IF($C$3="Fixed Principal",$C$6-Table15781012[[#This Row],[Interest]],IF($C$3="Interest Only",Table15781012[[#This Row],[Beginning Balance]]*ROUND(1-(1-IF($C$11="No",$E$8,1))^(1/12),6),MIN(IF($C$13="Yes",Table15781012[[#This Row],[Payment Amount (Reamortized)]],$C$6)-Table15781012[[#This Row],[Interest]],Table15781012[[#This Row],[Beginning Balance]]))),2)))</f>
        <v>0</v>
      </c>
      <c r="I153" s="3">
        <f>_xlfn.SINGLE(IF($C$3="Line of Credit",0,ROUND(MAX(MIN(IF($C$10="No",$E$7,VLOOKUP(Table15781012[[#This Row],[Period]],Forecast!$H$2:$L$1048576,4,FALSE))*Table15781012[[#This Row],[Beginning Balance]],Table15781012[[#This Row],[Beginning Balance]]-Table15781012[[#This Row],[Principal]]),0),2)))</f>
        <v>0</v>
      </c>
      <c r="J153" s="3">
        <f>ROUND(MIN(Table15781012[[#This Row],[Beginning Balance]]*IF($C$8="No",$E$3,VLOOKUP(Table15781012[[#This Row],[Period]],Forecast!$H$2:$L$1048576,2,FALSE)),Table15781012[[#This Row],[Beginning Balance]]-Table15781012[[#This Row],[Principal]]-Table15781012[[#This Row],[Prepayments]]),2)</f>
        <v>0</v>
      </c>
      <c r="K153" s="3">
        <f>ROUND(Table15781012[[#This Row],[Defaulted Principal]]*IF($C$9="No",$E$4,VLOOKUP(Table15781012[[#This Row],[Period]],Forecast!$H$2:$L$1048576,3,FALSE)),2)</f>
        <v>0</v>
      </c>
      <c r="L153" s="2">
        <f>Table15781012[[#This Row],[Period]]+$E$9</f>
        <v>149</v>
      </c>
      <c r="M153" s="3">
        <f>Table15781012[[#This Row],[Defaulted Principal]]-Table15781012[[#This Row],[Estimated Loss]]</f>
        <v>0</v>
      </c>
      <c r="N153" s="3">
        <f>IFERROR(VLOOKUP(Table15781012[[#This Row],[Period]],$L$16:$M$385,2,FALSE),0)</f>
        <v>0</v>
      </c>
      <c r="O153" s="3">
        <f>Table15781012[[#This Row],[Beginning Balance]]-Table15781012[[#This Row],[Principal]]-Table15781012[[#This Row],[Prepayments]]-Table15781012[[#This Row],[Defaulted Principal]]</f>
        <v>0</v>
      </c>
      <c r="P153" s="3">
        <f>Table15781012[[#This Row],[Principal]]+Table15781012[[#This Row],[Interest]]+Table15781012[[#This Row],[Prepayments]]+Table15781012[[#This Row],[RecoveredAmount]]</f>
        <v>0</v>
      </c>
      <c r="Q153" s="3">
        <f ca="1">ROUND(Table15781012[[#This Row],[Cash Flow]]/((1+ActualRateToUse)^(IF(ISNUMBER(SEARCH("Actual",$C$7)),Table15781012[[#This Row],[Running Total]]/365,Table15781012[[#This Row],[Period]]/12))),2)</f>
        <v>0</v>
      </c>
      <c r="R153" s="2">
        <f>IF(MONTH(Table15781012[[#This Row],[Date]])=2,28,DAY(DATE(YEAR(Table15781012[[#This Row],[Date]]),MONTH(Table15781012[[#This Row],[Date]])+1,1)-1))</f>
        <v>30</v>
      </c>
      <c r="S153" s="2">
        <f ca="1">SUM(OFFSET(Table15781012[[#Headers],[Days in month]],1,0):Table15781012[[#This Row],[Days in month]])</f>
        <v>4168</v>
      </c>
      <c r="T153" s="37">
        <f>InterestRate*AmortizationMultiplier*IF(ISNUMBER(SEARCH("Actual",$C$7)),Table15781012[[#This Row],[Days in month]]/365,1/12)</f>
        <v>5.8749999999999991E-3</v>
      </c>
    </row>
    <row r="154" spans="2:20" x14ac:dyDescent="0.2">
      <c r="B154" s="1">
        <f t="shared" si="6"/>
        <v>50040</v>
      </c>
      <c r="C154" s="2">
        <f t="shared" si="8"/>
        <v>138</v>
      </c>
      <c r="D154" s="3">
        <f t="shared" si="7"/>
        <v>0</v>
      </c>
      <c r="E154" s="3">
        <f>ROUND(Table15781012[[#This Row],[Beginning Balance]]*Table15781012[[#This Row],[Monthly Interest Rate]],2)</f>
        <v>0</v>
      </c>
      <c r="F154" s="3">
        <f t="shared" si="9"/>
        <v>214</v>
      </c>
      <c r="G154" s="23">
        <f>IFERROR(IF($C$13="No","N/A",IF(Table15781012[[#This Row],[Period]]=1,$C$6,PMT(InterestRate*AmortizationMultiplier/12,Table15781012[[#This Row],[Am Thru]],-Table15781012[[#This Row],[Beginning Balance]]))),0)</f>
        <v>0</v>
      </c>
      <c r="H154" s="3">
        <f>MAX(0,IF(C154=$C$4,D154,ROUND(IF($C$3="Fixed Principal",$C$6-Table15781012[[#This Row],[Interest]],IF($C$3="Interest Only",Table15781012[[#This Row],[Beginning Balance]]*ROUND(1-(1-IF($C$11="No",$E$8,1))^(1/12),6),MIN(IF($C$13="Yes",Table15781012[[#This Row],[Payment Amount (Reamortized)]],$C$6)-Table15781012[[#This Row],[Interest]],Table15781012[[#This Row],[Beginning Balance]]))),2)))</f>
        <v>0</v>
      </c>
      <c r="I154" s="3">
        <f>_xlfn.SINGLE(IF($C$3="Line of Credit",0,ROUND(MAX(MIN(IF($C$10="No",$E$7,VLOOKUP(Table15781012[[#This Row],[Period]],Forecast!$H$2:$L$1048576,4,FALSE))*Table15781012[[#This Row],[Beginning Balance]],Table15781012[[#This Row],[Beginning Balance]]-Table15781012[[#This Row],[Principal]]),0),2)))</f>
        <v>0</v>
      </c>
      <c r="J154" s="3">
        <f>ROUND(MIN(Table15781012[[#This Row],[Beginning Balance]]*IF($C$8="No",$E$3,VLOOKUP(Table15781012[[#This Row],[Period]],Forecast!$H$2:$L$1048576,2,FALSE)),Table15781012[[#This Row],[Beginning Balance]]-Table15781012[[#This Row],[Principal]]-Table15781012[[#This Row],[Prepayments]]),2)</f>
        <v>0</v>
      </c>
      <c r="K154" s="3">
        <f>ROUND(Table15781012[[#This Row],[Defaulted Principal]]*IF($C$9="No",$E$4,VLOOKUP(Table15781012[[#This Row],[Period]],Forecast!$H$2:$L$1048576,3,FALSE)),2)</f>
        <v>0</v>
      </c>
      <c r="L154" s="2">
        <f>Table15781012[[#This Row],[Period]]+$E$9</f>
        <v>150</v>
      </c>
      <c r="M154" s="3">
        <f>Table15781012[[#This Row],[Defaulted Principal]]-Table15781012[[#This Row],[Estimated Loss]]</f>
        <v>0</v>
      </c>
      <c r="N154" s="3">
        <f>IFERROR(VLOOKUP(Table15781012[[#This Row],[Period]],$L$16:$M$385,2,FALSE),0)</f>
        <v>0</v>
      </c>
      <c r="O154" s="3">
        <f>Table15781012[[#This Row],[Beginning Balance]]-Table15781012[[#This Row],[Principal]]-Table15781012[[#This Row],[Prepayments]]-Table15781012[[#This Row],[Defaulted Principal]]</f>
        <v>0</v>
      </c>
      <c r="P154" s="3">
        <f>Table15781012[[#This Row],[Principal]]+Table15781012[[#This Row],[Interest]]+Table15781012[[#This Row],[Prepayments]]+Table15781012[[#This Row],[RecoveredAmount]]</f>
        <v>0</v>
      </c>
      <c r="Q154" s="3">
        <f ca="1">ROUND(Table15781012[[#This Row],[Cash Flow]]/((1+ActualRateToUse)^(IF(ISNUMBER(SEARCH("Actual",$C$7)),Table15781012[[#This Row],[Running Total]]/365,Table15781012[[#This Row],[Period]]/12))),2)</f>
        <v>0</v>
      </c>
      <c r="R154" s="2">
        <f>IF(MONTH(Table15781012[[#This Row],[Date]])=2,28,DAY(DATE(YEAR(Table15781012[[#This Row],[Date]]),MONTH(Table15781012[[#This Row],[Date]])+1,1)-1))</f>
        <v>31</v>
      </c>
      <c r="S154" s="2">
        <f ca="1">SUM(OFFSET(Table15781012[[#Headers],[Days in month]],1,0):Table15781012[[#This Row],[Days in month]])</f>
        <v>4199</v>
      </c>
      <c r="T154" s="37">
        <f>InterestRate*AmortizationMultiplier*IF(ISNUMBER(SEARCH("Actual",$C$7)),Table15781012[[#This Row],[Days in month]]/365,1/12)</f>
        <v>6.0708333333333326E-3</v>
      </c>
    </row>
    <row r="155" spans="2:20" x14ac:dyDescent="0.2">
      <c r="B155" s="1">
        <f t="shared" si="6"/>
        <v>50071</v>
      </c>
      <c r="C155" s="2">
        <f t="shared" si="8"/>
        <v>139</v>
      </c>
      <c r="D155" s="3">
        <f t="shared" si="7"/>
        <v>0</v>
      </c>
      <c r="E155" s="3">
        <f>ROUND(Table15781012[[#This Row],[Beginning Balance]]*Table15781012[[#This Row],[Monthly Interest Rate]],2)</f>
        <v>0</v>
      </c>
      <c r="F155" s="3">
        <f t="shared" si="9"/>
        <v>213</v>
      </c>
      <c r="G155" s="23">
        <f>IFERROR(IF($C$13="No","N/A",IF(Table15781012[[#This Row],[Period]]=1,$C$6,PMT(InterestRate*AmortizationMultiplier/12,Table15781012[[#This Row],[Am Thru]],-Table15781012[[#This Row],[Beginning Balance]]))),0)</f>
        <v>0</v>
      </c>
      <c r="H155" s="3">
        <f>MAX(0,IF(C155=$C$4,D155,ROUND(IF($C$3="Fixed Principal",$C$6-Table15781012[[#This Row],[Interest]],IF($C$3="Interest Only",Table15781012[[#This Row],[Beginning Balance]]*ROUND(1-(1-IF($C$11="No",$E$8,1))^(1/12),6),MIN(IF($C$13="Yes",Table15781012[[#This Row],[Payment Amount (Reamortized)]],$C$6)-Table15781012[[#This Row],[Interest]],Table15781012[[#This Row],[Beginning Balance]]))),2)))</f>
        <v>0</v>
      </c>
      <c r="I155" s="3">
        <f>_xlfn.SINGLE(IF($C$3="Line of Credit",0,ROUND(MAX(MIN(IF($C$10="No",$E$7,VLOOKUP(Table15781012[[#This Row],[Period]],Forecast!$H$2:$L$1048576,4,FALSE))*Table15781012[[#This Row],[Beginning Balance]],Table15781012[[#This Row],[Beginning Balance]]-Table15781012[[#This Row],[Principal]]),0),2)))</f>
        <v>0</v>
      </c>
      <c r="J155" s="3">
        <f>ROUND(MIN(Table15781012[[#This Row],[Beginning Balance]]*IF($C$8="No",$E$3,VLOOKUP(Table15781012[[#This Row],[Period]],Forecast!$H$2:$L$1048576,2,FALSE)),Table15781012[[#This Row],[Beginning Balance]]-Table15781012[[#This Row],[Principal]]-Table15781012[[#This Row],[Prepayments]]),2)</f>
        <v>0</v>
      </c>
      <c r="K155" s="3">
        <f>ROUND(Table15781012[[#This Row],[Defaulted Principal]]*IF($C$9="No",$E$4,VLOOKUP(Table15781012[[#This Row],[Period]],Forecast!$H$2:$L$1048576,3,FALSE)),2)</f>
        <v>0</v>
      </c>
      <c r="L155" s="2">
        <f>Table15781012[[#This Row],[Period]]+$E$9</f>
        <v>151</v>
      </c>
      <c r="M155" s="3">
        <f>Table15781012[[#This Row],[Defaulted Principal]]-Table15781012[[#This Row],[Estimated Loss]]</f>
        <v>0</v>
      </c>
      <c r="N155" s="3">
        <f>IFERROR(VLOOKUP(Table15781012[[#This Row],[Period]],$L$16:$M$385,2,FALSE),0)</f>
        <v>0</v>
      </c>
      <c r="O155" s="3">
        <f>Table15781012[[#This Row],[Beginning Balance]]-Table15781012[[#This Row],[Principal]]-Table15781012[[#This Row],[Prepayments]]-Table15781012[[#This Row],[Defaulted Principal]]</f>
        <v>0</v>
      </c>
      <c r="P155" s="3">
        <f>Table15781012[[#This Row],[Principal]]+Table15781012[[#This Row],[Interest]]+Table15781012[[#This Row],[Prepayments]]+Table15781012[[#This Row],[RecoveredAmount]]</f>
        <v>0</v>
      </c>
      <c r="Q155" s="3">
        <f ca="1">ROUND(Table15781012[[#This Row],[Cash Flow]]/((1+ActualRateToUse)^(IF(ISNUMBER(SEARCH("Actual",$C$7)),Table15781012[[#This Row],[Running Total]]/365,Table15781012[[#This Row],[Period]]/12))),2)</f>
        <v>0</v>
      </c>
      <c r="R155" s="2">
        <f>IF(MONTH(Table15781012[[#This Row],[Date]])=2,28,DAY(DATE(YEAR(Table15781012[[#This Row],[Date]]),MONTH(Table15781012[[#This Row],[Date]])+1,1)-1))</f>
        <v>31</v>
      </c>
      <c r="S155" s="2">
        <f ca="1">SUM(OFFSET(Table15781012[[#Headers],[Days in month]],1,0):Table15781012[[#This Row],[Days in month]])</f>
        <v>4230</v>
      </c>
      <c r="T155" s="37">
        <f>InterestRate*AmortizationMultiplier*IF(ISNUMBER(SEARCH("Actual",$C$7)),Table15781012[[#This Row],[Days in month]]/365,1/12)</f>
        <v>6.0708333333333326E-3</v>
      </c>
    </row>
    <row r="156" spans="2:20" x14ac:dyDescent="0.2">
      <c r="B156" s="1">
        <f t="shared" si="6"/>
        <v>50099</v>
      </c>
      <c r="C156" s="2">
        <f t="shared" si="8"/>
        <v>140</v>
      </c>
      <c r="D156" s="3">
        <f t="shared" si="7"/>
        <v>0</v>
      </c>
      <c r="E156" s="3">
        <f>ROUND(Table15781012[[#This Row],[Beginning Balance]]*Table15781012[[#This Row],[Monthly Interest Rate]],2)</f>
        <v>0</v>
      </c>
      <c r="F156" s="3">
        <f t="shared" si="9"/>
        <v>212</v>
      </c>
      <c r="G156" s="23">
        <f>IFERROR(IF($C$13="No","N/A",IF(Table15781012[[#This Row],[Period]]=1,$C$6,PMT(InterestRate*AmortizationMultiplier/12,Table15781012[[#This Row],[Am Thru]],-Table15781012[[#This Row],[Beginning Balance]]))),0)</f>
        <v>0</v>
      </c>
      <c r="H156" s="3">
        <f>MAX(0,IF(C156=$C$4,D156,ROUND(IF($C$3="Fixed Principal",$C$6-Table15781012[[#This Row],[Interest]],IF($C$3="Interest Only",Table15781012[[#This Row],[Beginning Balance]]*ROUND(1-(1-IF($C$11="No",$E$8,1))^(1/12),6),MIN(IF($C$13="Yes",Table15781012[[#This Row],[Payment Amount (Reamortized)]],$C$6)-Table15781012[[#This Row],[Interest]],Table15781012[[#This Row],[Beginning Balance]]))),2)))</f>
        <v>0</v>
      </c>
      <c r="I156" s="3">
        <f>_xlfn.SINGLE(IF($C$3="Line of Credit",0,ROUND(MAX(MIN(IF($C$10="No",$E$7,VLOOKUP(Table15781012[[#This Row],[Period]],Forecast!$H$2:$L$1048576,4,FALSE))*Table15781012[[#This Row],[Beginning Balance]],Table15781012[[#This Row],[Beginning Balance]]-Table15781012[[#This Row],[Principal]]),0),2)))</f>
        <v>0</v>
      </c>
      <c r="J156" s="3">
        <f>ROUND(MIN(Table15781012[[#This Row],[Beginning Balance]]*IF($C$8="No",$E$3,VLOOKUP(Table15781012[[#This Row],[Period]],Forecast!$H$2:$L$1048576,2,FALSE)),Table15781012[[#This Row],[Beginning Balance]]-Table15781012[[#This Row],[Principal]]-Table15781012[[#This Row],[Prepayments]]),2)</f>
        <v>0</v>
      </c>
      <c r="K156" s="3">
        <f>ROUND(Table15781012[[#This Row],[Defaulted Principal]]*IF($C$9="No",$E$4,VLOOKUP(Table15781012[[#This Row],[Period]],Forecast!$H$2:$L$1048576,3,FALSE)),2)</f>
        <v>0</v>
      </c>
      <c r="L156" s="2">
        <f>Table15781012[[#This Row],[Period]]+$E$9</f>
        <v>152</v>
      </c>
      <c r="M156" s="3">
        <f>Table15781012[[#This Row],[Defaulted Principal]]-Table15781012[[#This Row],[Estimated Loss]]</f>
        <v>0</v>
      </c>
      <c r="N156" s="3">
        <f>IFERROR(VLOOKUP(Table15781012[[#This Row],[Period]],$L$16:$M$385,2,FALSE),0)</f>
        <v>0</v>
      </c>
      <c r="O156" s="3">
        <f>Table15781012[[#This Row],[Beginning Balance]]-Table15781012[[#This Row],[Principal]]-Table15781012[[#This Row],[Prepayments]]-Table15781012[[#This Row],[Defaulted Principal]]</f>
        <v>0</v>
      </c>
      <c r="P156" s="3">
        <f>Table15781012[[#This Row],[Principal]]+Table15781012[[#This Row],[Interest]]+Table15781012[[#This Row],[Prepayments]]+Table15781012[[#This Row],[RecoveredAmount]]</f>
        <v>0</v>
      </c>
      <c r="Q156" s="3">
        <f ca="1">ROUND(Table15781012[[#This Row],[Cash Flow]]/((1+ActualRateToUse)^(IF(ISNUMBER(SEARCH("Actual",$C$7)),Table15781012[[#This Row],[Running Total]]/365,Table15781012[[#This Row],[Period]]/12))),2)</f>
        <v>0</v>
      </c>
      <c r="R156" s="2">
        <f>IF(MONTH(Table15781012[[#This Row],[Date]])=2,28,DAY(DATE(YEAR(Table15781012[[#This Row],[Date]]),MONTH(Table15781012[[#This Row],[Date]])+1,1)-1))</f>
        <v>28</v>
      </c>
      <c r="S156" s="2">
        <f ca="1">SUM(OFFSET(Table15781012[[#Headers],[Days in month]],1,0):Table15781012[[#This Row],[Days in month]])</f>
        <v>4258</v>
      </c>
      <c r="T156" s="37">
        <f>InterestRate*AmortizationMultiplier*IF(ISNUMBER(SEARCH("Actual",$C$7)),Table15781012[[#This Row],[Days in month]]/365,1/12)</f>
        <v>5.4833333333333331E-3</v>
      </c>
    </row>
    <row r="157" spans="2:20" x14ac:dyDescent="0.2">
      <c r="B157" s="1">
        <f t="shared" si="6"/>
        <v>50130</v>
      </c>
      <c r="C157" s="2">
        <f t="shared" si="8"/>
        <v>141</v>
      </c>
      <c r="D157" s="3">
        <f t="shared" si="7"/>
        <v>0</v>
      </c>
      <c r="E157" s="3">
        <f>ROUND(Table15781012[[#This Row],[Beginning Balance]]*Table15781012[[#This Row],[Monthly Interest Rate]],2)</f>
        <v>0</v>
      </c>
      <c r="F157" s="3">
        <f t="shared" si="9"/>
        <v>211</v>
      </c>
      <c r="G157" s="23">
        <f>IFERROR(IF($C$13="No","N/A",IF(Table15781012[[#This Row],[Period]]=1,$C$6,PMT(InterestRate*AmortizationMultiplier/12,Table15781012[[#This Row],[Am Thru]],-Table15781012[[#This Row],[Beginning Balance]]))),0)</f>
        <v>0</v>
      </c>
      <c r="H157" s="3">
        <f>MAX(0,IF(C157=$C$4,D157,ROUND(IF($C$3="Fixed Principal",$C$6-Table15781012[[#This Row],[Interest]],IF($C$3="Interest Only",Table15781012[[#This Row],[Beginning Balance]]*ROUND(1-(1-IF($C$11="No",$E$8,1))^(1/12),6),MIN(IF($C$13="Yes",Table15781012[[#This Row],[Payment Amount (Reamortized)]],$C$6)-Table15781012[[#This Row],[Interest]],Table15781012[[#This Row],[Beginning Balance]]))),2)))</f>
        <v>0</v>
      </c>
      <c r="I157" s="3">
        <f>_xlfn.SINGLE(IF($C$3="Line of Credit",0,ROUND(MAX(MIN(IF($C$10="No",$E$7,VLOOKUP(Table15781012[[#This Row],[Period]],Forecast!$H$2:$L$1048576,4,FALSE))*Table15781012[[#This Row],[Beginning Balance]],Table15781012[[#This Row],[Beginning Balance]]-Table15781012[[#This Row],[Principal]]),0),2)))</f>
        <v>0</v>
      </c>
      <c r="J157" s="3">
        <f>ROUND(MIN(Table15781012[[#This Row],[Beginning Balance]]*IF($C$8="No",$E$3,VLOOKUP(Table15781012[[#This Row],[Period]],Forecast!$H$2:$L$1048576,2,FALSE)),Table15781012[[#This Row],[Beginning Balance]]-Table15781012[[#This Row],[Principal]]-Table15781012[[#This Row],[Prepayments]]),2)</f>
        <v>0</v>
      </c>
      <c r="K157" s="3">
        <f>ROUND(Table15781012[[#This Row],[Defaulted Principal]]*IF($C$9="No",$E$4,VLOOKUP(Table15781012[[#This Row],[Period]],Forecast!$H$2:$L$1048576,3,FALSE)),2)</f>
        <v>0</v>
      </c>
      <c r="L157" s="2">
        <f>Table15781012[[#This Row],[Period]]+$E$9</f>
        <v>153</v>
      </c>
      <c r="M157" s="3">
        <f>Table15781012[[#This Row],[Defaulted Principal]]-Table15781012[[#This Row],[Estimated Loss]]</f>
        <v>0</v>
      </c>
      <c r="N157" s="3">
        <f>IFERROR(VLOOKUP(Table15781012[[#This Row],[Period]],$L$16:$M$385,2,FALSE),0)</f>
        <v>0</v>
      </c>
      <c r="O157" s="3">
        <f>Table15781012[[#This Row],[Beginning Balance]]-Table15781012[[#This Row],[Principal]]-Table15781012[[#This Row],[Prepayments]]-Table15781012[[#This Row],[Defaulted Principal]]</f>
        <v>0</v>
      </c>
      <c r="P157" s="3">
        <f>Table15781012[[#This Row],[Principal]]+Table15781012[[#This Row],[Interest]]+Table15781012[[#This Row],[Prepayments]]+Table15781012[[#This Row],[RecoveredAmount]]</f>
        <v>0</v>
      </c>
      <c r="Q157" s="3">
        <f ca="1">ROUND(Table15781012[[#This Row],[Cash Flow]]/((1+ActualRateToUse)^(IF(ISNUMBER(SEARCH("Actual",$C$7)),Table15781012[[#This Row],[Running Total]]/365,Table15781012[[#This Row],[Period]]/12))),2)</f>
        <v>0</v>
      </c>
      <c r="R157" s="2">
        <f>IF(MONTH(Table15781012[[#This Row],[Date]])=2,28,DAY(DATE(YEAR(Table15781012[[#This Row],[Date]]),MONTH(Table15781012[[#This Row],[Date]])+1,1)-1))</f>
        <v>31</v>
      </c>
      <c r="S157" s="2">
        <f ca="1">SUM(OFFSET(Table15781012[[#Headers],[Days in month]],1,0):Table15781012[[#This Row],[Days in month]])</f>
        <v>4289</v>
      </c>
      <c r="T157" s="37">
        <f>InterestRate*AmortizationMultiplier*IF(ISNUMBER(SEARCH("Actual",$C$7)),Table15781012[[#This Row],[Days in month]]/365,1/12)</f>
        <v>6.0708333333333326E-3</v>
      </c>
    </row>
    <row r="158" spans="2:20" x14ac:dyDescent="0.2">
      <c r="B158" s="1">
        <f t="shared" si="6"/>
        <v>50160</v>
      </c>
      <c r="C158" s="2">
        <f t="shared" si="8"/>
        <v>142</v>
      </c>
      <c r="D158" s="3">
        <f t="shared" si="7"/>
        <v>0</v>
      </c>
      <c r="E158" s="3">
        <f>ROUND(Table15781012[[#This Row],[Beginning Balance]]*Table15781012[[#This Row],[Monthly Interest Rate]],2)</f>
        <v>0</v>
      </c>
      <c r="F158" s="3">
        <f t="shared" si="9"/>
        <v>210</v>
      </c>
      <c r="G158" s="23">
        <f>IFERROR(IF($C$13="No","N/A",IF(Table15781012[[#This Row],[Period]]=1,$C$6,PMT(InterestRate*AmortizationMultiplier/12,Table15781012[[#This Row],[Am Thru]],-Table15781012[[#This Row],[Beginning Balance]]))),0)</f>
        <v>0</v>
      </c>
      <c r="H158" s="3">
        <f>MAX(0,IF(C158=$C$4,D158,ROUND(IF($C$3="Fixed Principal",$C$6-Table15781012[[#This Row],[Interest]],IF($C$3="Interest Only",Table15781012[[#This Row],[Beginning Balance]]*ROUND(1-(1-IF($C$11="No",$E$8,1))^(1/12),6),MIN(IF($C$13="Yes",Table15781012[[#This Row],[Payment Amount (Reamortized)]],$C$6)-Table15781012[[#This Row],[Interest]],Table15781012[[#This Row],[Beginning Balance]]))),2)))</f>
        <v>0</v>
      </c>
      <c r="I158" s="3">
        <f>_xlfn.SINGLE(IF($C$3="Line of Credit",0,ROUND(MAX(MIN(IF($C$10="No",$E$7,VLOOKUP(Table15781012[[#This Row],[Period]],Forecast!$H$2:$L$1048576,4,FALSE))*Table15781012[[#This Row],[Beginning Balance]],Table15781012[[#This Row],[Beginning Balance]]-Table15781012[[#This Row],[Principal]]),0),2)))</f>
        <v>0</v>
      </c>
      <c r="J158" s="3">
        <f>ROUND(MIN(Table15781012[[#This Row],[Beginning Balance]]*IF($C$8="No",$E$3,VLOOKUP(Table15781012[[#This Row],[Period]],Forecast!$H$2:$L$1048576,2,FALSE)),Table15781012[[#This Row],[Beginning Balance]]-Table15781012[[#This Row],[Principal]]-Table15781012[[#This Row],[Prepayments]]),2)</f>
        <v>0</v>
      </c>
      <c r="K158" s="3">
        <f>ROUND(Table15781012[[#This Row],[Defaulted Principal]]*IF($C$9="No",$E$4,VLOOKUP(Table15781012[[#This Row],[Period]],Forecast!$H$2:$L$1048576,3,FALSE)),2)</f>
        <v>0</v>
      </c>
      <c r="L158" s="2">
        <f>Table15781012[[#This Row],[Period]]+$E$9</f>
        <v>154</v>
      </c>
      <c r="M158" s="3">
        <f>Table15781012[[#This Row],[Defaulted Principal]]-Table15781012[[#This Row],[Estimated Loss]]</f>
        <v>0</v>
      </c>
      <c r="N158" s="3">
        <f>IFERROR(VLOOKUP(Table15781012[[#This Row],[Period]],$L$16:$M$385,2,FALSE),0)</f>
        <v>0</v>
      </c>
      <c r="O158" s="3">
        <f>Table15781012[[#This Row],[Beginning Balance]]-Table15781012[[#This Row],[Principal]]-Table15781012[[#This Row],[Prepayments]]-Table15781012[[#This Row],[Defaulted Principal]]</f>
        <v>0</v>
      </c>
      <c r="P158" s="3">
        <f>Table15781012[[#This Row],[Principal]]+Table15781012[[#This Row],[Interest]]+Table15781012[[#This Row],[Prepayments]]+Table15781012[[#This Row],[RecoveredAmount]]</f>
        <v>0</v>
      </c>
      <c r="Q158" s="3">
        <f ca="1">ROUND(Table15781012[[#This Row],[Cash Flow]]/((1+ActualRateToUse)^(IF(ISNUMBER(SEARCH("Actual",$C$7)),Table15781012[[#This Row],[Running Total]]/365,Table15781012[[#This Row],[Period]]/12))),2)</f>
        <v>0</v>
      </c>
      <c r="R158" s="2">
        <f>IF(MONTH(Table15781012[[#This Row],[Date]])=2,28,DAY(DATE(YEAR(Table15781012[[#This Row],[Date]]),MONTH(Table15781012[[#This Row],[Date]])+1,1)-1))</f>
        <v>30</v>
      </c>
      <c r="S158" s="2">
        <f ca="1">SUM(OFFSET(Table15781012[[#Headers],[Days in month]],1,0):Table15781012[[#This Row],[Days in month]])</f>
        <v>4319</v>
      </c>
      <c r="T158" s="37">
        <f>InterestRate*AmortizationMultiplier*IF(ISNUMBER(SEARCH("Actual",$C$7)),Table15781012[[#This Row],[Days in month]]/365,1/12)</f>
        <v>5.8749999999999991E-3</v>
      </c>
    </row>
    <row r="159" spans="2:20" x14ac:dyDescent="0.2">
      <c r="B159" s="1">
        <f t="shared" si="6"/>
        <v>50191</v>
      </c>
      <c r="C159" s="2">
        <f t="shared" si="8"/>
        <v>143</v>
      </c>
      <c r="D159" s="3">
        <f t="shared" si="7"/>
        <v>0</v>
      </c>
      <c r="E159" s="3">
        <f>ROUND(Table15781012[[#This Row],[Beginning Balance]]*Table15781012[[#This Row],[Monthly Interest Rate]],2)</f>
        <v>0</v>
      </c>
      <c r="F159" s="3">
        <f t="shared" si="9"/>
        <v>209</v>
      </c>
      <c r="G159" s="23">
        <f>IFERROR(IF($C$13="No","N/A",IF(Table15781012[[#This Row],[Period]]=1,$C$6,PMT(InterestRate*AmortizationMultiplier/12,Table15781012[[#This Row],[Am Thru]],-Table15781012[[#This Row],[Beginning Balance]]))),0)</f>
        <v>0</v>
      </c>
      <c r="H159" s="3">
        <f>MAX(0,IF(C159=$C$4,D159,ROUND(IF($C$3="Fixed Principal",$C$6-Table15781012[[#This Row],[Interest]],IF($C$3="Interest Only",Table15781012[[#This Row],[Beginning Balance]]*ROUND(1-(1-IF($C$11="No",$E$8,1))^(1/12),6),MIN(IF($C$13="Yes",Table15781012[[#This Row],[Payment Amount (Reamortized)]],$C$6)-Table15781012[[#This Row],[Interest]],Table15781012[[#This Row],[Beginning Balance]]))),2)))</f>
        <v>0</v>
      </c>
      <c r="I159" s="3">
        <f>_xlfn.SINGLE(IF($C$3="Line of Credit",0,ROUND(MAX(MIN(IF($C$10="No",$E$7,VLOOKUP(Table15781012[[#This Row],[Period]],Forecast!$H$2:$L$1048576,4,FALSE))*Table15781012[[#This Row],[Beginning Balance]],Table15781012[[#This Row],[Beginning Balance]]-Table15781012[[#This Row],[Principal]]),0),2)))</f>
        <v>0</v>
      </c>
      <c r="J159" s="3">
        <f>ROUND(MIN(Table15781012[[#This Row],[Beginning Balance]]*IF($C$8="No",$E$3,VLOOKUP(Table15781012[[#This Row],[Period]],Forecast!$H$2:$L$1048576,2,FALSE)),Table15781012[[#This Row],[Beginning Balance]]-Table15781012[[#This Row],[Principal]]-Table15781012[[#This Row],[Prepayments]]),2)</f>
        <v>0</v>
      </c>
      <c r="K159" s="3">
        <f>ROUND(Table15781012[[#This Row],[Defaulted Principal]]*IF($C$9="No",$E$4,VLOOKUP(Table15781012[[#This Row],[Period]],Forecast!$H$2:$L$1048576,3,FALSE)),2)</f>
        <v>0</v>
      </c>
      <c r="L159" s="2">
        <f>Table15781012[[#This Row],[Period]]+$E$9</f>
        <v>155</v>
      </c>
      <c r="M159" s="3">
        <f>Table15781012[[#This Row],[Defaulted Principal]]-Table15781012[[#This Row],[Estimated Loss]]</f>
        <v>0</v>
      </c>
      <c r="N159" s="3">
        <f>IFERROR(VLOOKUP(Table15781012[[#This Row],[Period]],$L$16:$M$385,2,FALSE),0)</f>
        <v>0</v>
      </c>
      <c r="O159" s="3">
        <f>Table15781012[[#This Row],[Beginning Balance]]-Table15781012[[#This Row],[Principal]]-Table15781012[[#This Row],[Prepayments]]-Table15781012[[#This Row],[Defaulted Principal]]</f>
        <v>0</v>
      </c>
      <c r="P159" s="3">
        <f>Table15781012[[#This Row],[Principal]]+Table15781012[[#This Row],[Interest]]+Table15781012[[#This Row],[Prepayments]]+Table15781012[[#This Row],[RecoveredAmount]]</f>
        <v>0</v>
      </c>
      <c r="Q159" s="3">
        <f ca="1">ROUND(Table15781012[[#This Row],[Cash Flow]]/((1+ActualRateToUse)^(IF(ISNUMBER(SEARCH("Actual",$C$7)),Table15781012[[#This Row],[Running Total]]/365,Table15781012[[#This Row],[Period]]/12))),2)</f>
        <v>0</v>
      </c>
      <c r="R159" s="2">
        <f>IF(MONTH(Table15781012[[#This Row],[Date]])=2,28,DAY(DATE(YEAR(Table15781012[[#This Row],[Date]]),MONTH(Table15781012[[#This Row],[Date]])+1,1)-1))</f>
        <v>31</v>
      </c>
      <c r="S159" s="2">
        <f ca="1">SUM(OFFSET(Table15781012[[#Headers],[Days in month]],1,0):Table15781012[[#This Row],[Days in month]])</f>
        <v>4350</v>
      </c>
      <c r="T159" s="37">
        <f>InterestRate*AmortizationMultiplier*IF(ISNUMBER(SEARCH("Actual",$C$7)),Table15781012[[#This Row],[Days in month]]/365,1/12)</f>
        <v>6.0708333333333326E-3</v>
      </c>
    </row>
    <row r="160" spans="2:20" x14ac:dyDescent="0.2">
      <c r="B160" s="1">
        <f t="shared" si="6"/>
        <v>50221</v>
      </c>
      <c r="C160" s="2">
        <f t="shared" si="8"/>
        <v>144</v>
      </c>
      <c r="D160" s="3">
        <f t="shared" si="7"/>
        <v>0</v>
      </c>
      <c r="E160" s="3">
        <f>ROUND(Table15781012[[#This Row],[Beginning Balance]]*Table15781012[[#This Row],[Monthly Interest Rate]],2)</f>
        <v>0</v>
      </c>
      <c r="F160" s="3">
        <f t="shared" si="9"/>
        <v>208</v>
      </c>
      <c r="G160" s="23">
        <f>IFERROR(IF($C$13="No","N/A",IF(Table15781012[[#This Row],[Period]]=1,$C$6,PMT(InterestRate*AmortizationMultiplier/12,Table15781012[[#This Row],[Am Thru]],-Table15781012[[#This Row],[Beginning Balance]]))),0)</f>
        <v>0</v>
      </c>
      <c r="H160" s="3">
        <f>MAX(0,IF(C160=$C$4,D160,ROUND(IF($C$3="Fixed Principal",$C$6-Table15781012[[#This Row],[Interest]],IF($C$3="Interest Only",Table15781012[[#This Row],[Beginning Balance]]*ROUND(1-(1-IF($C$11="No",$E$8,1))^(1/12),6),MIN(IF($C$13="Yes",Table15781012[[#This Row],[Payment Amount (Reamortized)]],$C$6)-Table15781012[[#This Row],[Interest]],Table15781012[[#This Row],[Beginning Balance]]))),2)))</f>
        <v>0</v>
      </c>
      <c r="I160" s="3">
        <f>_xlfn.SINGLE(IF($C$3="Line of Credit",0,ROUND(MAX(MIN(IF($C$10="No",$E$7,VLOOKUP(Table15781012[[#This Row],[Period]],Forecast!$H$2:$L$1048576,4,FALSE))*Table15781012[[#This Row],[Beginning Balance]],Table15781012[[#This Row],[Beginning Balance]]-Table15781012[[#This Row],[Principal]]),0),2)))</f>
        <v>0</v>
      </c>
      <c r="J160" s="3">
        <f>ROUND(MIN(Table15781012[[#This Row],[Beginning Balance]]*IF($C$8="No",$E$3,VLOOKUP(Table15781012[[#This Row],[Period]],Forecast!$H$2:$L$1048576,2,FALSE)),Table15781012[[#This Row],[Beginning Balance]]-Table15781012[[#This Row],[Principal]]-Table15781012[[#This Row],[Prepayments]]),2)</f>
        <v>0</v>
      </c>
      <c r="K160" s="3">
        <f>ROUND(Table15781012[[#This Row],[Defaulted Principal]]*IF($C$9="No",$E$4,VLOOKUP(Table15781012[[#This Row],[Period]],Forecast!$H$2:$L$1048576,3,FALSE)),2)</f>
        <v>0</v>
      </c>
      <c r="L160" s="2">
        <f>Table15781012[[#This Row],[Period]]+$E$9</f>
        <v>156</v>
      </c>
      <c r="M160" s="3">
        <f>Table15781012[[#This Row],[Defaulted Principal]]-Table15781012[[#This Row],[Estimated Loss]]</f>
        <v>0</v>
      </c>
      <c r="N160" s="3">
        <f>IFERROR(VLOOKUP(Table15781012[[#This Row],[Period]],$L$16:$M$385,2,FALSE),0)</f>
        <v>0</v>
      </c>
      <c r="O160" s="3">
        <f>Table15781012[[#This Row],[Beginning Balance]]-Table15781012[[#This Row],[Principal]]-Table15781012[[#This Row],[Prepayments]]-Table15781012[[#This Row],[Defaulted Principal]]</f>
        <v>0</v>
      </c>
      <c r="P160" s="3">
        <f>Table15781012[[#This Row],[Principal]]+Table15781012[[#This Row],[Interest]]+Table15781012[[#This Row],[Prepayments]]+Table15781012[[#This Row],[RecoveredAmount]]</f>
        <v>0</v>
      </c>
      <c r="Q160" s="3">
        <f ca="1">ROUND(Table15781012[[#This Row],[Cash Flow]]/((1+ActualRateToUse)^(IF(ISNUMBER(SEARCH("Actual",$C$7)),Table15781012[[#This Row],[Running Total]]/365,Table15781012[[#This Row],[Period]]/12))),2)</f>
        <v>0</v>
      </c>
      <c r="R160" s="2">
        <f>IF(MONTH(Table15781012[[#This Row],[Date]])=2,28,DAY(DATE(YEAR(Table15781012[[#This Row],[Date]]),MONTH(Table15781012[[#This Row],[Date]])+1,1)-1))</f>
        <v>30</v>
      </c>
      <c r="S160" s="2">
        <f ca="1">SUM(OFFSET(Table15781012[[#Headers],[Days in month]],1,0):Table15781012[[#This Row],[Days in month]])</f>
        <v>4380</v>
      </c>
      <c r="T160" s="37">
        <f>InterestRate*AmortizationMultiplier*IF(ISNUMBER(SEARCH("Actual",$C$7)),Table15781012[[#This Row],[Days in month]]/365,1/12)</f>
        <v>5.8749999999999991E-3</v>
      </c>
    </row>
    <row r="161" spans="2:20" x14ac:dyDescent="0.2">
      <c r="B161" s="1">
        <f t="shared" si="6"/>
        <v>50252</v>
      </c>
      <c r="C161" s="2">
        <f t="shared" si="8"/>
        <v>145</v>
      </c>
      <c r="D161" s="3">
        <f t="shared" si="7"/>
        <v>0</v>
      </c>
      <c r="E161" s="3">
        <f>ROUND(Table15781012[[#This Row],[Beginning Balance]]*Table15781012[[#This Row],[Monthly Interest Rate]],2)</f>
        <v>0</v>
      </c>
      <c r="F161" s="3">
        <f t="shared" si="9"/>
        <v>207</v>
      </c>
      <c r="G161" s="23">
        <f>IFERROR(IF($C$13="No","N/A",IF(Table15781012[[#This Row],[Period]]=1,$C$6,PMT(InterestRate*AmortizationMultiplier/12,Table15781012[[#This Row],[Am Thru]],-Table15781012[[#This Row],[Beginning Balance]]))),0)</f>
        <v>0</v>
      </c>
      <c r="H161" s="3">
        <f>MAX(0,IF(C161=$C$4,D161,ROUND(IF($C$3="Fixed Principal",$C$6-Table15781012[[#This Row],[Interest]],IF($C$3="Interest Only",Table15781012[[#This Row],[Beginning Balance]]*ROUND(1-(1-IF($C$11="No",$E$8,1))^(1/12),6),MIN(IF($C$13="Yes",Table15781012[[#This Row],[Payment Amount (Reamortized)]],$C$6)-Table15781012[[#This Row],[Interest]],Table15781012[[#This Row],[Beginning Balance]]))),2)))</f>
        <v>0</v>
      </c>
      <c r="I161" s="3">
        <f>_xlfn.SINGLE(IF($C$3="Line of Credit",0,ROUND(MAX(MIN(IF($C$10="No",$E$7,VLOOKUP(Table15781012[[#This Row],[Period]],Forecast!$H$2:$L$1048576,4,FALSE))*Table15781012[[#This Row],[Beginning Balance]],Table15781012[[#This Row],[Beginning Balance]]-Table15781012[[#This Row],[Principal]]),0),2)))</f>
        <v>0</v>
      </c>
      <c r="J161" s="3">
        <f>ROUND(MIN(Table15781012[[#This Row],[Beginning Balance]]*IF($C$8="No",$E$3,VLOOKUP(Table15781012[[#This Row],[Period]],Forecast!$H$2:$L$1048576,2,FALSE)),Table15781012[[#This Row],[Beginning Balance]]-Table15781012[[#This Row],[Principal]]-Table15781012[[#This Row],[Prepayments]]),2)</f>
        <v>0</v>
      </c>
      <c r="K161" s="3">
        <f>ROUND(Table15781012[[#This Row],[Defaulted Principal]]*IF($C$9="No",$E$4,VLOOKUP(Table15781012[[#This Row],[Period]],Forecast!$H$2:$L$1048576,3,FALSE)),2)</f>
        <v>0</v>
      </c>
      <c r="L161" s="2">
        <f>Table15781012[[#This Row],[Period]]+$E$9</f>
        <v>157</v>
      </c>
      <c r="M161" s="3">
        <f>Table15781012[[#This Row],[Defaulted Principal]]-Table15781012[[#This Row],[Estimated Loss]]</f>
        <v>0</v>
      </c>
      <c r="N161" s="3">
        <f>IFERROR(VLOOKUP(Table15781012[[#This Row],[Period]],$L$16:$M$385,2,FALSE),0)</f>
        <v>0</v>
      </c>
      <c r="O161" s="3">
        <f>Table15781012[[#This Row],[Beginning Balance]]-Table15781012[[#This Row],[Principal]]-Table15781012[[#This Row],[Prepayments]]-Table15781012[[#This Row],[Defaulted Principal]]</f>
        <v>0</v>
      </c>
      <c r="P161" s="3">
        <f>Table15781012[[#This Row],[Principal]]+Table15781012[[#This Row],[Interest]]+Table15781012[[#This Row],[Prepayments]]+Table15781012[[#This Row],[RecoveredAmount]]</f>
        <v>0</v>
      </c>
      <c r="Q161" s="3">
        <f ca="1">ROUND(Table15781012[[#This Row],[Cash Flow]]/((1+ActualRateToUse)^(IF(ISNUMBER(SEARCH("Actual",$C$7)),Table15781012[[#This Row],[Running Total]]/365,Table15781012[[#This Row],[Period]]/12))),2)</f>
        <v>0</v>
      </c>
      <c r="R161" s="2">
        <f>IF(MONTH(Table15781012[[#This Row],[Date]])=2,28,DAY(DATE(YEAR(Table15781012[[#This Row],[Date]]),MONTH(Table15781012[[#This Row],[Date]])+1,1)-1))</f>
        <v>31</v>
      </c>
      <c r="S161" s="2">
        <f ca="1">SUM(OFFSET(Table15781012[[#Headers],[Days in month]],1,0):Table15781012[[#This Row],[Days in month]])</f>
        <v>4411</v>
      </c>
      <c r="T161" s="37">
        <f>InterestRate*AmortizationMultiplier*IF(ISNUMBER(SEARCH("Actual",$C$7)),Table15781012[[#This Row],[Days in month]]/365,1/12)</f>
        <v>6.0708333333333326E-3</v>
      </c>
    </row>
    <row r="162" spans="2:20" x14ac:dyDescent="0.2">
      <c r="B162" s="1">
        <f t="shared" si="6"/>
        <v>50283</v>
      </c>
      <c r="C162" s="2">
        <f t="shared" si="8"/>
        <v>146</v>
      </c>
      <c r="D162" s="3">
        <f t="shared" si="7"/>
        <v>0</v>
      </c>
      <c r="E162" s="3">
        <f>ROUND(Table15781012[[#This Row],[Beginning Balance]]*Table15781012[[#This Row],[Monthly Interest Rate]],2)</f>
        <v>0</v>
      </c>
      <c r="F162" s="3">
        <f t="shared" si="9"/>
        <v>206</v>
      </c>
      <c r="G162" s="23">
        <f>IFERROR(IF($C$13="No","N/A",IF(Table15781012[[#This Row],[Period]]=1,$C$6,PMT(InterestRate*AmortizationMultiplier/12,Table15781012[[#This Row],[Am Thru]],-Table15781012[[#This Row],[Beginning Balance]]))),0)</f>
        <v>0</v>
      </c>
      <c r="H162" s="3">
        <f>MAX(0,IF(C162=$C$4,D162,ROUND(IF($C$3="Fixed Principal",$C$6-Table15781012[[#This Row],[Interest]],IF($C$3="Interest Only",Table15781012[[#This Row],[Beginning Balance]]*ROUND(1-(1-IF($C$11="No",$E$8,1))^(1/12),6),MIN(IF($C$13="Yes",Table15781012[[#This Row],[Payment Amount (Reamortized)]],$C$6)-Table15781012[[#This Row],[Interest]],Table15781012[[#This Row],[Beginning Balance]]))),2)))</f>
        <v>0</v>
      </c>
      <c r="I162" s="3">
        <f>_xlfn.SINGLE(IF($C$3="Line of Credit",0,ROUND(MAX(MIN(IF($C$10="No",$E$7,VLOOKUP(Table15781012[[#This Row],[Period]],Forecast!$H$2:$L$1048576,4,FALSE))*Table15781012[[#This Row],[Beginning Balance]],Table15781012[[#This Row],[Beginning Balance]]-Table15781012[[#This Row],[Principal]]),0),2)))</f>
        <v>0</v>
      </c>
      <c r="J162" s="3">
        <f>ROUND(MIN(Table15781012[[#This Row],[Beginning Balance]]*IF($C$8="No",$E$3,VLOOKUP(Table15781012[[#This Row],[Period]],Forecast!$H$2:$L$1048576,2,FALSE)),Table15781012[[#This Row],[Beginning Balance]]-Table15781012[[#This Row],[Principal]]-Table15781012[[#This Row],[Prepayments]]),2)</f>
        <v>0</v>
      </c>
      <c r="K162" s="3">
        <f>ROUND(Table15781012[[#This Row],[Defaulted Principal]]*IF($C$9="No",$E$4,VLOOKUP(Table15781012[[#This Row],[Period]],Forecast!$H$2:$L$1048576,3,FALSE)),2)</f>
        <v>0</v>
      </c>
      <c r="L162" s="2">
        <f>Table15781012[[#This Row],[Period]]+$E$9</f>
        <v>158</v>
      </c>
      <c r="M162" s="3">
        <f>Table15781012[[#This Row],[Defaulted Principal]]-Table15781012[[#This Row],[Estimated Loss]]</f>
        <v>0</v>
      </c>
      <c r="N162" s="3">
        <f>IFERROR(VLOOKUP(Table15781012[[#This Row],[Period]],$L$16:$M$385,2,FALSE),0)</f>
        <v>0</v>
      </c>
      <c r="O162" s="3">
        <f>Table15781012[[#This Row],[Beginning Balance]]-Table15781012[[#This Row],[Principal]]-Table15781012[[#This Row],[Prepayments]]-Table15781012[[#This Row],[Defaulted Principal]]</f>
        <v>0</v>
      </c>
      <c r="P162" s="3">
        <f>Table15781012[[#This Row],[Principal]]+Table15781012[[#This Row],[Interest]]+Table15781012[[#This Row],[Prepayments]]+Table15781012[[#This Row],[RecoveredAmount]]</f>
        <v>0</v>
      </c>
      <c r="Q162" s="3">
        <f ca="1">ROUND(Table15781012[[#This Row],[Cash Flow]]/((1+ActualRateToUse)^(IF(ISNUMBER(SEARCH("Actual",$C$7)),Table15781012[[#This Row],[Running Total]]/365,Table15781012[[#This Row],[Period]]/12))),2)</f>
        <v>0</v>
      </c>
      <c r="R162" s="2">
        <f>IF(MONTH(Table15781012[[#This Row],[Date]])=2,28,DAY(DATE(YEAR(Table15781012[[#This Row],[Date]]),MONTH(Table15781012[[#This Row],[Date]])+1,1)-1))</f>
        <v>31</v>
      </c>
      <c r="S162" s="2">
        <f ca="1">SUM(OFFSET(Table15781012[[#Headers],[Days in month]],1,0):Table15781012[[#This Row],[Days in month]])</f>
        <v>4442</v>
      </c>
      <c r="T162" s="37">
        <f>InterestRate*AmortizationMultiplier*IF(ISNUMBER(SEARCH("Actual",$C$7)),Table15781012[[#This Row],[Days in month]]/365,1/12)</f>
        <v>6.0708333333333326E-3</v>
      </c>
    </row>
    <row r="163" spans="2:20" x14ac:dyDescent="0.2">
      <c r="B163" s="1">
        <f t="shared" si="6"/>
        <v>50313</v>
      </c>
      <c r="C163" s="2">
        <f t="shared" si="8"/>
        <v>147</v>
      </c>
      <c r="D163" s="3">
        <f t="shared" si="7"/>
        <v>0</v>
      </c>
      <c r="E163" s="3">
        <f>ROUND(Table15781012[[#This Row],[Beginning Balance]]*Table15781012[[#This Row],[Monthly Interest Rate]],2)</f>
        <v>0</v>
      </c>
      <c r="F163" s="3">
        <f t="shared" si="9"/>
        <v>205</v>
      </c>
      <c r="G163" s="23">
        <f>IFERROR(IF($C$13="No","N/A",IF(Table15781012[[#This Row],[Period]]=1,$C$6,PMT(InterestRate*AmortizationMultiplier/12,Table15781012[[#This Row],[Am Thru]],-Table15781012[[#This Row],[Beginning Balance]]))),0)</f>
        <v>0</v>
      </c>
      <c r="H163" s="3">
        <f>MAX(0,IF(C163=$C$4,D163,ROUND(IF($C$3="Fixed Principal",$C$6-Table15781012[[#This Row],[Interest]],IF($C$3="Interest Only",Table15781012[[#This Row],[Beginning Balance]]*ROUND(1-(1-IF($C$11="No",$E$8,1))^(1/12),6),MIN(IF($C$13="Yes",Table15781012[[#This Row],[Payment Amount (Reamortized)]],$C$6)-Table15781012[[#This Row],[Interest]],Table15781012[[#This Row],[Beginning Balance]]))),2)))</f>
        <v>0</v>
      </c>
      <c r="I163" s="3">
        <f>_xlfn.SINGLE(IF($C$3="Line of Credit",0,ROUND(MAX(MIN(IF($C$10="No",$E$7,VLOOKUP(Table15781012[[#This Row],[Period]],Forecast!$H$2:$L$1048576,4,FALSE))*Table15781012[[#This Row],[Beginning Balance]],Table15781012[[#This Row],[Beginning Balance]]-Table15781012[[#This Row],[Principal]]),0),2)))</f>
        <v>0</v>
      </c>
      <c r="J163" s="3">
        <f>ROUND(MIN(Table15781012[[#This Row],[Beginning Balance]]*IF($C$8="No",$E$3,VLOOKUP(Table15781012[[#This Row],[Period]],Forecast!$H$2:$L$1048576,2,FALSE)),Table15781012[[#This Row],[Beginning Balance]]-Table15781012[[#This Row],[Principal]]-Table15781012[[#This Row],[Prepayments]]),2)</f>
        <v>0</v>
      </c>
      <c r="K163" s="3">
        <f>ROUND(Table15781012[[#This Row],[Defaulted Principal]]*IF($C$9="No",$E$4,VLOOKUP(Table15781012[[#This Row],[Period]],Forecast!$H$2:$L$1048576,3,FALSE)),2)</f>
        <v>0</v>
      </c>
      <c r="L163" s="2">
        <f>Table15781012[[#This Row],[Period]]+$E$9</f>
        <v>159</v>
      </c>
      <c r="M163" s="3">
        <f>Table15781012[[#This Row],[Defaulted Principal]]-Table15781012[[#This Row],[Estimated Loss]]</f>
        <v>0</v>
      </c>
      <c r="N163" s="3">
        <f>IFERROR(VLOOKUP(Table15781012[[#This Row],[Period]],$L$16:$M$385,2,FALSE),0)</f>
        <v>0</v>
      </c>
      <c r="O163" s="3">
        <f>Table15781012[[#This Row],[Beginning Balance]]-Table15781012[[#This Row],[Principal]]-Table15781012[[#This Row],[Prepayments]]-Table15781012[[#This Row],[Defaulted Principal]]</f>
        <v>0</v>
      </c>
      <c r="P163" s="3">
        <f>Table15781012[[#This Row],[Principal]]+Table15781012[[#This Row],[Interest]]+Table15781012[[#This Row],[Prepayments]]+Table15781012[[#This Row],[RecoveredAmount]]</f>
        <v>0</v>
      </c>
      <c r="Q163" s="3">
        <f ca="1">ROUND(Table15781012[[#This Row],[Cash Flow]]/((1+ActualRateToUse)^(IF(ISNUMBER(SEARCH("Actual",$C$7)),Table15781012[[#This Row],[Running Total]]/365,Table15781012[[#This Row],[Period]]/12))),2)</f>
        <v>0</v>
      </c>
      <c r="R163" s="2">
        <f>IF(MONTH(Table15781012[[#This Row],[Date]])=2,28,DAY(DATE(YEAR(Table15781012[[#This Row],[Date]]),MONTH(Table15781012[[#This Row],[Date]])+1,1)-1))</f>
        <v>30</v>
      </c>
      <c r="S163" s="2">
        <f ca="1">SUM(OFFSET(Table15781012[[#Headers],[Days in month]],1,0):Table15781012[[#This Row],[Days in month]])</f>
        <v>4472</v>
      </c>
      <c r="T163" s="37">
        <f>InterestRate*AmortizationMultiplier*IF(ISNUMBER(SEARCH("Actual",$C$7)),Table15781012[[#This Row],[Days in month]]/365,1/12)</f>
        <v>5.8749999999999991E-3</v>
      </c>
    </row>
    <row r="164" spans="2:20" x14ac:dyDescent="0.2">
      <c r="B164" s="1">
        <f t="shared" si="6"/>
        <v>50344</v>
      </c>
      <c r="C164" s="2">
        <f t="shared" si="8"/>
        <v>148</v>
      </c>
      <c r="D164" s="3">
        <f t="shared" si="7"/>
        <v>0</v>
      </c>
      <c r="E164" s="3">
        <f>ROUND(Table15781012[[#This Row],[Beginning Balance]]*Table15781012[[#This Row],[Monthly Interest Rate]],2)</f>
        <v>0</v>
      </c>
      <c r="F164" s="3">
        <f t="shared" si="9"/>
        <v>204</v>
      </c>
      <c r="G164" s="23">
        <f>IFERROR(IF($C$13="No","N/A",IF(Table15781012[[#This Row],[Period]]=1,$C$6,PMT(InterestRate*AmortizationMultiplier/12,Table15781012[[#This Row],[Am Thru]],-Table15781012[[#This Row],[Beginning Balance]]))),0)</f>
        <v>0</v>
      </c>
      <c r="H164" s="3">
        <f>MAX(0,IF(C164=$C$4,D164,ROUND(IF($C$3="Fixed Principal",$C$6-Table15781012[[#This Row],[Interest]],IF($C$3="Interest Only",Table15781012[[#This Row],[Beginning Balance]]*ROUND(1-(1-IF($C$11="No",$E$8,1))^(1/12),6),MIN(IF($C$13="Yes",Table15781012[[#This Row],[Payment Amount (Reamortized)]],$C$6)-Table15781012[[#This Row],[Interest]],Table15781012[[#This Row],[Beginning Balance]]))),2)))</f>
        <v>0</v>
      </c>
      <c r="I164" s="3">
        <f>_xlfn.SINGLE(IF($C$3="Line of Credit",0,ROUND(MAX(MIN(IF($C$10="No",$E$7,VLOOKUP(Table15781012[[#This Row],[Period]],Forecast!$H$2:$L$1048576,4,FALSE))*Table15781012[[#This Row],[Beginning Balance]],Table15781012[[#This Row],[Beginning Balance]]-Table15781012[[#This Row],[Principal]]),0),2)))</f>
        <v>0</v>
      </c>
      <c r="J164" s="3">
        <f>ROUND(MIN(Table15781012[[#This Row],[Beginning Balance]]*IF($C$8="No",$E$3,VLOOKUP(Table15781012[[#This Row],[Period]],Forecast!$H$2:$L$1048576,2,FALSE)),Table15781012[[#This Row],[Beginning Balance]]-Table15781012[[#This Row],[Principal]]-Table15781012[[#This Row],[Prepayments]]),2)</f>
        <v>0</v>
      </c>
      <c r="K164" s="3">
        <f>ROUND(Table15781012[[#This Row],[Defaulted Principal]]*IF($C$9="No",$E$4,VLOOKUP(Table15781012[[#This Row],[Period]],Forecast!$H$2:$L$1048576,3,FALSE)),2)</f>
        <v>0</v>
      </c>
      <c r="L164" s="2">
        <f>Table15781012[[#This Row],[Period]]+$E$9</f>
        <v>160</v>
      </c>
      <c r="M164" s="3">
        <f>Table15781012[[#This Row],[Defaulted Principal]]-Table15781012[[#This Row],[Estimated Loss]]</f>
        <v>0</v>
      </c>
      <c r="N164" s="3">
        <f>IFERROR(VLOOKUP(Table15781012[[#This Row],[Period]],$L$16:$M$385,2,FALSE),0)</f>
        <v>0</v>
      </c>
      <c r="O164" s="3">
        <f>Table15781012[[#This Row],[Beginning Balance]]-Table15781012[[#This Row],[Principal]]-Table15781012[[#This Row],[Prepayments]]-Table15781012[[#This Row],[Defaulted Principal]]</f>
        <v>0</v>
      </c>
      <c r="P164" s="3">
        <f>Table15781012[[#This Row],[Principal]]+Table15781012[[#This Row],[Interest]]+Table15781012[[#This Row],[Prepayments]]+Table15781012[[#This Row],[RecoveredAmount]]</f>
        <v>0</v>
      </c>
      <c r="Q164" s="3">
        <f ca="1">ROUND(Table15781012[[#This Row],[Cash Flow]]/((1+ActualRateToUse)^(IF(ISNUMBER(SEARCH("Actual",$C$7)),Table15781012[[#This Row],[Running Total]]/365,Table15781012[[#This Row],[Period]]/12))),2)</f>
        <v>0</v>
      </c>
      <c r="R164" s="2">
        <f>IF(MONTH(Table15781012[[#This Row],[Date]])=2,28,DAY(DATE(YEAR(Table15781012[[#This Row],[Date]]),MONTH(Table15781012[[#This Row],[Date]])+1,1)-1))</f>
        <v>31</v>
      </c>
      <c r="S164" s="2">
        <f ca="1">SUM(OFFSET(Table15781012[[#Headers],[Days in month]],1,0):Table15781012[[#This Row],[Days in month]])</f>
        <v>4503</v>
      </c>
      <c r="T164" s="37">
        <f>InterestRate*AmortizationMultiplier*IF(ISNUMBER(SEARCH("Actual",$C$7)),Table15781012[[#This Row],[Days in month]]/365,1/12)</f>
        <v>6.0708333333333326E-3</v>
      </c>
    </row>
    <row r="165" spans="2:20" x14ac:dyDescent="0.2">
      <c r="B165" s="1">
        <f t="shared" si="6"/>
        <v>50374</v>
      </c>
      <c r="C165" s="2">
        <f t="shared" si="8"/>
        <v>149</v>
      </c>
      <c r="D165" s="3">
        <f t="shared" si="7"/>
        <v>0</v>
      </c>
      <c r="E165" s="3">
        <f>ROUND(Table15781012[[#This Row],[Beginning Balance]]*Table15781012[[#This Row],[Monthly Interest Rate]],2)</f>
        <v>0</v>
      </c>
      <c r="F165" s="3">
        <f t="shared" si="9"/>
        <v>203</v>
      </c>
      <c r="G165" s="23">
        <f>IFERROR(IF($C$13="No","N/A",IF(Table15781012[[#This Row],[Period]]=1,$C$6,PMT(InterestRate*AmortizationMultiplier/12,Table15781012[[#This Row],[Am Thru]],-Table15781012[[#This Row],[Beginning Balance]]))),0)</f>
        <v>0</v>
      </c>
      <c r="H165" s="3">
        <f>MAX(0,IF(C165=$C$4,D165,ROUND(IF($C$3="Fixed Principal",$C$6-Table15781012[[#This Row],[Interest]],IF($C$3="Interest Only",Table15781012[[#This Row],[Beginning Balance]]*ROUND(1-(1-IF($C$11="No",$E$8,1))^(1/12),6),MIN(IF($C$13="Yes",Table15781012[[#This Row],[Payment Amount (Reamortized)]],$C$6)-Table15781012[[#This Row],[Interest]],Table15781012[[#This Row],[Beginning Balance]]))),2)))</f>
        <v>0</v>
      </c>
      <c r="I165" s="3">
        <f>_xlfn.SINGLE(IF($C$3="Line of Credit",0,ROUND(MAX(MIN(IF($C$10="No",$E$7,VLOOKUP(Table15781012[[#This Row],[Period]],Forecast!$H$2:$L$1048576,4,FALSE))*Table15781012[[#This Row],[Beginning Balance]],Table15781012[[#This Row],[Beginning Balance]]-Table15781012[[#This Row],[Principal]]),0),2)))</f>
        <v>0</v>
      </c>
      <c r="J165" s="3">
        <f>ROUND(MIN(Table15781012[[#This Row],[Beginning Balance]]*IF($C$8="No",$E$3,VLOOKUP(Table15781012[[#This Row],[Period]],Forecast!$H$2:$L$1048576,2,FALSE)),Table15781012[[#This Row],[Beginning Balance]]-Table15781012[[#This Row],[Principal]]-Table15781012[[#This Row],[Prepayments]]),2)</f>
        <v>0</v>
      </c>
      <c r="K165" s="3">
        <f>ROUND(Table15781012[[#This Row],[Defaulted Principal]]*IF($C$9="No",$E$4,VLOOKUP(Table15781012[[#This Row],[Period]],Forecast!$H$2:$L$1048576,3,FALSE)),2)</f>
        <v>0</v>
      </c>
      <c r="L165" s="2">
        <f>Table15781012[[#This Row],[Period]]+$E$9</f>
        <v>161</v>
      </c>
      <c r="M165" s="3">
        <f>Table15781012[[#This Row],[Defaulted Principal]]-Table15781012[[#This Row],[Estimated Loss]]</f>
        <v>0</v>
      </c>
      <c r="N165" s="3">
        <f>IFERROR(VLOOKUP(Table15781012[[#This Row],[Period]],$L$16:$M$385,2,FALSE),0)</f>
        <v>0</v>
      </c>
      <c r="O165" s="3">
        <f>Table15781012[[#This Row],[Beginning Balance]]-Table15781012[[#This Row],[Principal]]-Table15781012[[#This Row],[Prepayments]]-Table15781012[[#This Row],[Defaulted Principal]]</f>
        <v>0</v>
      </c>
      <c r="P165" s="3">
        <f>Table15781012[[#This Row],[Principal]]+Table15781012[[#This Row],[Interest]]+Table15781012[[#This Row],[Prepayments]]+Table15781012[[#This Row],[RecoveredAmount]]</f>
        <v>0</v>
      </c>
      <c r="Q165" s="3">
        <f ca="1">ROUND(Table15781012[[#This Row],[Cash Flow]]/((1+ActualRateToUse)^(IF(ISNUMBER(SEARCH("Actual",$C$7)),Table15781012[[#This Row],[Running Total]]/365,Table15781012[[#This Row],[Period]]/12))),2)</f>
        <v>0</v>
      </c>
      <c r="R165" s="2">
        <f>IF(MONTH(Table15781012[[#This Row],[Date]])=2,28,DAY(DATE(YEAR(Table15781012[[#This Row],[Date]]),MONTH(Table15781012[[#This Row],[Date]])+1,1)-1))</f>
        <v>30</v>
      </c>
      <c r="S165" s="2">
        <f ca="1">SUM(OFFSET(Table15781012[[#Headers],[Days in month]],1,0):Table15781012[[#This Row],[Days in month]])</f>
        <v>4533</v>
      </c>
      <c r="T165" s="37">
        <f>InterestRate*AmortizationMultiplier*IF(ISNUMBER(SEARCH("Actual",$C$7)),Table15781012[[#This Row],[Days in month]]/365,1/12)</f>
        <v>5.8749999999999991E-3</v>
      </c>
    </row>
    <row r="166" spans="2:20" x14ac:dyDescent="0.2">
      <c r="B166" s="1">
        <f t="shared" si="6"/>
        <v>50405</v>
      </c>
      <c r="C166" s="2">
        <f t="shared" si="8"/>
        <v>150</v>
      </c>
      <c r="D166" s="3">
        <f t="shared" si="7"/>
        <v>0</v>
      </c>
      <c r="E166" s="3">
        <f>ROUND(Table15781012[[#This Row],[Beginning Balance]]*Table15781012[[#This Row],[Monthly Interest Rate]],2)</f>
        <v>0</v>
      </c>
      <c r="F166" s="3">
        <f t="shared" si="9"/>
        <v>202</v>
      </c>
      <c r="G166" s="23">
        <f>IFERROR(IF($C$13="No","N/A",IF(Table15781012[[#This Row],[Period]]=1,$C$6,PMT(InterestRate*AmortizationMultiplier/12,Table15781012[[#This Row],[Am Thru]],-Table15781012[[#This Row],[Beginning Balance]]))),0)</f>
        <v>0</v>
      </c>
      <c r="H166" s="3">
        <f>MAX(0,IF(C166=$C$4,D166,ROUND(IF($C$3="Fixed Principal",$C$6-Table15781012[[#This Row],[Interest]],IF($C$3="Interest Only",Table15781012[[#This Row],[Beginning Balance]]*ROUND(1-(1-IF($C$11="No",$E$8,1))^(1/12),6),MIN(IF($C$13="Yes",Table15781012[[#This Row],[Payment Amount (Reamortized)]],$C$6)-Table15781012[[#This Row],[Interest]],Table15781012[[#This Row],[Beginning Balance]]))),2)))</f>
        <v>0</v>
      </c>
      <c r="I166" s="3">
        <f>_xlfn.SINGLE(IF($C$3="Line of Credit",0,ROUND(MAX(MIN(IF($C$10="No",$E$7,VLOOKUP(Table15781012[[#This Row],[Period]],Forecast!$H$2:$L$1048576,4,FALSE))*Table15781012[[#This Row],[Beginning Balance]],Table15781012[[#This Row],[Beginning Balance]]-Table15781012[[#This Row],[Principal]]),0),2)))</f>
        <v>0</v>
      </c>
      <c r="J166" s="3">
        <f>ROUND(MIN(Table15781012[[#This Row],[Beginning Balance]]*IF($C$8="No",$E$3,VLOOKUP(Table15781012[[#This Row],[Period]],Forecast!$H$2:$L$1048576,2,FALSE)),Table15781012[[#This Row],[Beginning Balance]]-Table15781012[[#This Row],[Principal]]-Table15781012[[#This Row],[Prepayments]]),2)</f>
        <v>0</v>
      </c>
      <c r="K166" s="3">
        <f>ROUND(Table15781012[[#This Row],[Defaulted Principal]]*IF($C$9="No",$E$4,VLOOKUP(Table15781012[[#This Row],[Period]],Forecast!$H$2:$L$1048576,3,FALSE)),2)</f>
        <v>0</v>
      </c>
      <c r="L166" s="2">
        <f>Table15781012[[#This Row],[Period]]+$E$9</f>
        <v>162</v>
      </c>
      <c r="M166" s="3">
        <f>Table15781012[[#This Row],[Defaulted Principal]]-Table15781012[[#This Row],[Estimated Loss]]</f>
        <v>0</v>
      </c>
      <c r="N166" s="3">
        <f>IFERROR(VLOOKUP(Table15781012[[#This Row],[Period]],$L$16:$M$385,2,FALSE),0)</f>
        <v>0</v>
      </c>
      <c r="O166" s="3">
        <f>Table15781012[[#This Row],[Beginning Balance]]-Table15781012[[#This Row],[Principal]]-Table15781012[[#This Row],[Prepayments]]-Table15781012[[#This Row],[Defaulted Principal]]</f>
        <v>0</v>
      </c>
      <c r="P166" s="3">
        <f>Table15781012[[#This Row],[Principal]]+Table15781012[[#This Row],[Interest]]+Table15781012[[#This Row],[Prepayments]]+Table15781012[[#This Row],[RecoveredAmount]]</f>
        <v>0</v>
      </c>
      <c r="Q166" s="3">
        <f ca="1">ROUND(Table15781012[[#This Row],[Cash Flow]]/((1+ActualRateToUse)^(IF(ISNUMBER(SEARCH("Actual",$C$7)),Table15781012[[#This Row],[Running Total]]/365,Table15781012[[#This Row],[Period]]/12))),2)</f>
        <v>0</v>
      </c>
      <c r="R166" s="2">
        <f>IF(MONTH(Table15781012[[#This Row],[Date]])=2,28,DAY(DATE(YEAR(Table15781012[[#This Row],[Date]]),MONTH(Table15781012[[#This Row],[Date]])+1,1)-1))</f>
        <v>31</v>
      </c>
      <c r="S166" s="2">
        <f ca="1">SUM(OFFSET(Table15781012[[#Headers],[Days in month]],1,0):Table15781012[[#This Row],[Days in month]])</f>
        <v>4564</v>
      </c>
      <c r="T166" s="37">
        <f>InterestRate*AmortizationMultiplier*IF(ISNUMBER(SEARCH("Actual",$C$7)),Table15781012[[#This Row],[Days in month]]/365,1/12)</f>
        <v>6.0708333333333326E-3</v>
      </c>
    </row>
    <row r="167" spans="2:20" x14ac:dyDescent="0.2">
      <c r="B167" s="1">
        <f t="shared" si="6"/>
        <v>50436</v>
      </c>
      <c r="C167" s="2">
        <f t="shared" si="8"/>
        <v>151</v>
      </c>
      <c r="D167" s="3">
        <f t="shared" si="7"/>
        <v>0</v>
      </c>
      <c r="E167" s="3">
        <f>ROUND(Table15781012[[#This Row],[Beginning Balance]]*Table15781012[[#This Row],[Monthly Interest Rate]],2)</f>
        <v>0</v>
      </c>
      <c r="F167" s="3">
        <f t="shared" si="9"/>
        <v>201</v>
      </c>
      <c r="G167" s="23">
        <f>IFERROR(IF($C$13="No","N/A",IF(Table15781012[[#This Row],[Period]]=1,$C$6,PMT(InterestRate*AmortizationMultiplier/12,Table15781012[[#This Row],[Am Thru]],-Table15781012[[#This Row],[Beginning Balance]]))),0)</f>
        <v>0</v>
      </c>
      <c r="H167" s="3">
        <f>MAX(0,IF(C167=$C$4,D167,ROUND(IF($C$3="Fixed Principal",$C$6-Table15781012[[#This Row],[Interest]],IF($C$3="Interest Only",Table15781012[[#This Row],[Beginning Balance]]*ROUND(1-(1-IF($C$11="No",$E$8,1))^(1/12),6),MIN(IF($C$13="Yes",Table15781012[[#This Row],[Payment Amount (Reamortized)]],$C$6)-Table15781012[[#This Row],[Interest]],Table15781012[[#This Row],[Beginning Balance]]))),2)))</f>
        <v>0</v>
      </c>
      <c r="I167" s="3">
        <f>_xlfn.SINGLE(IF($C$3="Line of Credit",0,ROUND(MAX(MIN(IF($C$10="No",$E$7,VLOOKUP(Table15781012[[#This Row],[Period]],Forecast!$H$2:$L$1048576,4,FALSE))*Table15781012[[#This Row],[Beginning Balance]],Table15781012[[#This Row],[Beginning Balance]]-Table15781012[[#This Row],[Principal]]),0),2)))</f>
        <v>0</v>
      </c>
      <c r="J167" s="3">
        <f>ROUND(MIN(Table15781012[[#This Row],[Beginning Balance]]*IF($C$8="No",$E$3,VLOOKUP(Table15781012[[#This Row],[Period]],Forecast!$H$2:$L$1048576,2,FALSE)),Table15781012[[#This Row],[Beginning Balance]]-Table15781012[[#This Row],[Principal]]-Table15781012[[#This Row],[Prepayments]]),2)</f>
        <v>0</v>
      </c>
      <c r="K167" s="3">
        <f>ROUND(Table15781012[[#This Row],[Defaulted Principal]]*IF($C$9="No",$E$4,VLOOKUP(Table15781012[[#This Row],[Period]],Forecast!$H$2:$L$1048576,3,FALSE)),2)</f>
        <v>0</v>
      </c>
      <c r="L167" s="2">
        <f>Table15781012[[#This Row],[Period]]+$E$9</f>
        <v>163</v>
      </c>
      <c r="M167" s="3">
        <f>Table15781012[[#This Row],[Defaulted Principal]]-Table15781012[[#This Row],[Estimated Loss]]</f>
        <v>0</v>
      </c>
      <c r="N167" s="3">
        <f>IFERROR(VLOOKUP(Table15781012[[#This Row],[Period]],$L$16:$M$385,2,FALSE),0)</f>
        <v>0</v>
      </c>
      <c r="O167" s="3">
        <f>Table15781012[[#This Row],[Beginning Balance]]-Table15781012[[#This Row],[Principal]]-Table15781012[[#This Row],[Prepayments]]-Table15781012[[#This Row],[Defaulted Principal]]</f>
        <v>0</v>
      </c>
      <c r="P167" s="3">
        <f>Table15781012[[#This Row],[Principal]]+Table15781012[[#This Row],[Interest]]+Table15781012[[#This Row],[Prepayments]]+Table15781012[[#This Row],[RecoveredAmount]]</f>
        <v>0</v>
      </c>
      <c r="Q167" s="3">
        <f ca="1">ROUND(Table15781012[[#This Row],[Cash Flow]]/((1+ActualRateToUse)^(IF(ISNUMBER(SEARCH("Actual",$C$7)),Table15781012[[#This Row],[Running Total]]/365,Table15781012[[#This Row],[Period]]/12))),2)</f>
        <v>0</v>
      </c>
      <c r="R167" s="2">
        <f>IF(MONTH(Table15781012[[#This Row],[Date]])=2,28,DAY(DATE(YEAR(Table15781012[[#This Row],[Date]]),MONTH(Table15781012[[#This Row],[Date]])+1,1)-1))</f>
        <v>31</v>
      </c>
      <c r="S167" s="2">
        <f ca="1">SUM(OFFSET(Table15781012[[#Headers],[Days in month]],1,0):Table15781012[[#This Row],[Days in month]])</f>
        <v>4595</v>
      </c>
      <c r="T167" s="37">
        <f>InterestRate*AmortizationMultiplier*IF(ISNUMBER(SEARCH("Actual",$C$7)),Table15781012[[#This Row],[Days in month]]/365,1/12)</f>
        <v>6.0708333333333326E-3</v>
      </c>
    </row>
    <row r="168" spans="2:20" x14ac:dyDescent="0.2">
      <c r="B168" s="1">
        <f t="shared" si="6"/>
        <v>50464</v>
      </c>
      <c r="C168" s="2">
        <f t="shared" si="8"/>
        <v>152</v>
      </c>
      <c r="D168" s="3">
        <f t="shared" si="7"/>
        <v>0</v>
      </c>
      <c r="E168" s="3">
        <f>ROUND(Table15781012[[#This Row],[Beginning Balance]]*Table15781012[[#This Row],[Monthly Interest Rate]],2)</f>
        <v>0</v>
      </c>
      <c r="F168" s="3">
        <f t="shared" si="9"/>
        <v>200</v>
      </c>
      <c r="G168" s="23">
        <f>IFERROR(IF($C$13="No","N/A",IF(Table15781012[[#This Row],[Period]]=1,$C$6,PMT(InterestRate*AmortizationMultiplier/12,Table15781012[[#This Row],[Am Thru]],-Table15781012[[#This Row],[Beginning Balance]]))),0)</f>
        <v>0</v>
      </c>
      <c r="H168" s="3">
        <f>MAX(0,IF(C168=$C$4,D168,ROUND(IF($C$3="Fixed Principal",$C$6-Table15781012[[#This Row],[Interest]],IF($C$3="Interest Only",Table15781012[[#This Row],[Beginning Balance]]*ROUND(1-(1-IF($C$11="No",$E$8,1))^(1/12),6),MIN(IF($C$13="Yes",Table15781012[[#This Row],[Payment Amount (Reamortized)]],$C$6)-Table15781012[[#This Row],[Interest]],Table15781012[[#This Row],[Beginning Balance]]))),2)))</f>
        <v>0</v>
      </c>
      <c r="I168" s="3">
        <f>_xlfn.SINGLE(IF($C$3="Line of Credit",0,ROUND(MAX(MIN(IF($C$10="No",$E$7,VLOOKUP(Table15781012[[#This Row],[Period]],Forecast!$H$2:$L$1048576,4,FALSE))*Table15781012[[#This Row],[Beginning Balance]],Table15781012[[#This Row],[Beginning Balance]]-Table15781012[[#This Row],[Principal]]),0),2)))</f>
        <v>0</v>
      </c>
      <c r="J168" s="3">
        <f>ROUND(MIN(Table15781012[[#This Row],[Beginning Balance]]*IF($C$8="No",$E$3,VLOOKUP(Table15781012[[#This Row],[Period]],Forecast!$H$2:$L$1048576,2,FALSE)),Table15781012[[#This Row],[Beginning Balance]]-Table15781012[[#This Row],[Principal]]-Table15781012[[#This Row],[Prepayments]]),2)</f>
        <v>0</v>
      </c>
      <c r="K168" s="3">
        <f>ROUND(Table15781012[[#This Row],[Defaulted Principal]]*IF($C$9="No",$E$4,VLOOKUP(Table15781012[[#This Row],[Period]],Forecast!$H$2:$L$1048576,3,FALSE)),2)</f>
        <v>0</v>
      </c>
      <c r="L168" s="2">
        <f>Table15781012[[#This Row],[Period]]+$E$9</f>
        <v>164</v>
      </c>
      <c r="M168" s="3">
        <f>Table15781012[[#This Row],[Defaulted Principal]]-Table15781012[[#This Row],[Estimated Loss]]</f>
        <v>0</v>
      </c>
      <c r="N168" s="3">
        <f>IFERROR(VLOOKUP(Table15781012[[#This Row],[Period]],$L$16:$M$385,2,FALSE),0)</f>
        <v>0</v>
      </c>
      <c r="O168" s="3">
        <f>Table15781012[[#This Row],[Beginning Balance]]-Table15781012[[#This Row],[Principal]]-Table15781012[[#This Row],[Prepayments]]-Table15781012[[#This Row],[Defaulted Principal]]</f>
        <v>0</v>
      </c>
      <c r="P168" s="3">
        <f>Table15781012[[#This Row],[Principal]]+Table15781012[[#This Row],[Interest]]+Table15781012[[#This Row],[Prepayments]]+Table15781012[[#This Row],[RecoveredAmount]]</f>
        <v>0</v>
      </c>
      <c r="Q168" s="3">
        <f ca="1">ROUND(Table15781012[[#This Row],[Cash Flow]]/((1+ActualRateToUse)^(IF(ISNUMBER(SEARCH("Actual",$C$7)),Table15781012[[#This Row],[Running Total]]/365,Table15781012[[#This Row],[Period]]/12))),2)</f>
        <v>0</v>
      </c>
      <c r="R168" s="2">
        <f>IF(MONTH(Table15781012[[#This Row],[Date]])=2,28,DAY(DATE(YEAR(Table15781012[[#This Row],[Date]]),MONTH(Table15781012[[#This Row],[Date]])+1,1)-1))</f>
        <v>28</v>
      </c>
      <c r="S168" s="2">
        <f ca="1">SUM(OFFSET(Table15781012[[#Headers],[Days in month]],1,0):Table15781012[[#This Row],[Days in month]])</f>
        <v>4623</v>
      </c>
      <c r="T168" s="37">
        <f>InterestRate*AmortizationMultiplier*IF(ISNUMBER(SEARCH("Actual",$C$7)),Table15781012[[#This Row],[Days in month]]/365,1/12)</f>
        <v>5.4833333333333331E-3</v>
      </c>
    </row>
    <row r="169" spans="2:20" x14ac:dyDescent="0.2">
      <c r="B169" s="1">
        <f t="shared" si="6"/>
        <v>50495</v>
      </c>
      <c r="C169" s="2">
        <f t="shared" si="8"/>
        <v>153</v>
      </c>
      <c r="D169" s="3">
        <f t="shared" si="7"/>
        <v>0</v>
      </c>
      <c r="E169" s="3">
        <f>ROUND(Table15781012[[#This Row],[Beginning Balance]]*Table15781012[[#This Row],[Monthly Interest Rate]],2)</f>
        <v>0</v>
      </c>
      <c r="F169" s="3">
        <f t="shared" si="9"/>
        <v>199</v>
      </c>
      <c r="G169" s="23">
        <f>IFERROR(IF($C$13="No","N/A",IF(Table15781012[[#This Row],[Period]]=1,$C$6,PMT(InterestRate*AmortizationMultiplier/12,Table15781012[[#This Row],[Am Thru]],-Table15781012[[#This Row],[Beginning Balance]]))),0)</f>
        <v>0</v>
      </c>
      <c r="H169" s="3">
        <f>MAX(0,IF(C169=$C$4,D169,ROUND(IF($C$3="Fixed Principal",$C$6-Table15781012[[#This Row],[Interest]],IF($C$3="Interest Only",Table15781012[[#This Row],[Beginning Balance]]*ROUND(1-(1-IF($C$11="No",$E$8,1))^(1/12),6),MIN(IF($C$13="Yes",Table15781012[[#This Row],[Payment Amount (Reamortized)]],$C$6)-Table15781012[[#This Row],[Interest]],Table15781012[[#This Row],[Beginning Balance]]))),2)))</f>
        <v>0</v>
      </c>
      <c r="I169" s="3">
        <f>_xlfn.SINGLE(IF($C$3="Line of Credit",0,ROUND(MAX(MIN(IF($C$10="No",$E$7,VLOOKUP(Table15781012[[#This Row],[Period]],Forecast!$H$2:$L$1048576,4,FALSE))*Table15781012[[#This Row],[Beginning Balance]],Table15781012[[#This Row],[Beginning Balance]]-Table15781012[[#This Row],[Principal]]),0),2)))</f>
        <v>0</v>
      </c>
      <c r="J169" s="3">
        <f>ROUND(MIN(Table15781012[[#This Row],[Beginning Balance]]*IF($C$8="No",$E$3,VLOOKUP(Table15781012[[#This Row],[Period]],Forecast!$H$2:$L$1048576,2,FALSE)),Table15781012[[#This Row],[Beginning Balance]]-Table15781012[[#This Row],[Principal]]-Table15781012[[#This Row],[Prepayments]]),2)</f>
        <v>0</v>
      </c>
      <c r="K169" s="3">
        <f>ROUND(Table15781012[[#This Row],[Defaulted Principal]]*IF($C$9="No",$E$4,VLOOKUP(Table15781012[[#This Row],[Period]],Forecast!$H$2:$L$1048576,3,FALSE)),2)</f>
        <v>0</v>
      </c>
      <c r="L169" s="2">
        <f>Table15781012[[#This Row],[Period]]+$E$9</f>
        <v>165</v>
      </c>
      <c r="M169" s="3">
        <f>Table15781012[[#This Row],[Defaulted Principal]]-Table15781012[[#This Row],[Estimated Loss]]</f>
        <v>0</v>
      </c>
      <c r="N169" s="3">
        <f>IFERROR(VLOOKUP(Table15781012[[#This Row],[Period]],$L$16:$M$385,2,FALSE),0)</f>
        <v>0</v>
      </c>
      <c r="O169" s="3">
        <f>Table15781012[[#This Row],[Beginning Balance]]-Table15781012[[#This Row],[Principal]]-Table15781012[[#This Row],[Prepayments]]-Table15781012[[#This Row],[Defaulted Principal]]</f>
        <v>0</v>
      </c>
      <c r="P169" s="3">
        <f>Table15781012[[#This Row],[Principal]]+Table15781012[[#This Row],[Interest]]+Table15781012[[#This Row],[Prepayments]]+Table15781012[[#This Row],[RecoveredAmount]]</f>
        <v>0</v>
      </c>
      <c r="Q169" s="3">
        <f ca="1">ROUND(Table15781012[[#This Row],[Cash Flow]]/((1+ActualRateToUse)^(IF(ISNUMBER(SEARCH("Actual",$C$7)),Table15781012[[#This Row],[Running Total]]/365,Table15781012[[#This Row],[Period]]/12))),2)</f>
        <v>0</v>
      </c>
      <c r="R169" s="2">
        <f>IF(MONTH(Table15781012[[#This Row],[Date]])=2,28,DAY(DATE(YEAR(Table15781012[[#This Row],[Date]]),MONTH(Table15781012[[#This Row],[Date]])+1,1)-1))</f>
        <v>31</v>
      </c>
      <c r="S169" s="2">
        <f ca="1">SUM(OFFSET(Table15781012[[#Headers],[Days in month]],1,0):Table15781012[[#This Row],[Days in month]])</f>
        <v>4654</v>
      </c>
      <c r="T169" s="37">
        <f>InterestRate*AmortizationMultiplier*IF(ISNUMBER(SEARCH("Actual",$C$7)),Table15781012[[#This Row],[Days in month]]/365,1/12)</f>
        <v>6.0708333333333326E-3</v>
      </c>
    </row>
    <row r="170" spans="2:20" x14ac:dyDescent="0.2">
      <c r="B170" s="1">
        <f t="shared" si="6"/>
        <v>50525</v>
      </c>
      <c r="C170" s="2">
        <f t="shared" si="8"/>
        <v>154</v>
      </c>
      <c r="D170" s="3">
        <f t="shared" si="7"/>
        <v>0</v>
      </c>
      <c r="E170" s="3">
        <f>ROUND(Table15781012[[#This Row],[Beginning Balance]]*Table15781012[[#This Row],[Monthly Interest Rate]],2)</f>
        <v>0</v>
      </c>
      <c r="F170" s="3">
        <f t="shared" si="9"/>
        <v>198</v>
      </c>
      <c r="G170" s="23">
        <f>IFERROR(IF($C$13="No","N/A",IF(Table15781012[[#This Row],[Period]]=1,$C$6,PMT(InterestRate*AmortizationMultiplier/12,Table15781012[[#This Row],[Am Thru]],-Table15781012[[#This Row],[Beginning Balance]]))),0)</f>
        <v>0</v>
      </c>
      <c r="H170" s="3">
        <f>MAX(0,IF(C170=$C$4,D170,ROUND(IF($C$3="Fixed Principal",$C$6-Table15781012[[#This Row],[Interest]],IF($C$3="Interest Only",Table15781012[[#This Row],[Beginning Balance]]*ROUND(1-(1-IF($C$11="No",$E$8,1))^(1/12),6),MIN(IF($C$13="Yes",Table15781012[[#This Row],[Payment Amount (Reamortized)]],$C$6)-Table15781012[[#This Row],[Interest]],Table15781012[[#This Row],[Beginning Balance]]))),2)))</f>
        <v>0</v>
      </c>
      <c r="I170" s="3">
        <f>_xlfn.SINGLE(IF($C$3="Line of Credit",0,ROUND(MAX(MIN(IF($C$10="No",$E$7,VLOOKUP(Table15781012[[#This Row],[Period]],Forecast!$H$2:$L$1048576,4,FALSE))*Table15781012[[#This Row],[Beginning Balance]],Table15781012[[#This Row],[Beginning Balance]]-Table15781012[[#This Row],[Principal]]),0),2)))</f>
        <v>0</v>
      </c>
      <c r="J170" s="3">
        <f>ROUND(MIN(Table15781012[[#This Row],[Beginning Balance]]*IF($C$8="No",$E$3,VLOOKUP(Table15781012[[#This Row],[Period]],Forecast!$H$2:$L$1048576,2,FALSE)),Table15781012[[#This Row],[Beginning Balance]]-Table15781012[[#This Row],[Principal]]-Table15781012[[#This Row],[Prepayments]]),2)</f>
        <v>0</v>
      </c>
      <c r="K170" s="3">
        <f>ROUND(Table15781012[[#This Row],[Defaulted Principal]]*IF($C$9="No",$E$4,VLOOKUP(Table15781012[[#This Row],[Period]],Forecast!$H$2:$L$1048576,3,FALSE)),2)</f>
        <v>0</v>
      </c>
      <c r="L170" s="2">
        <f>Table15781012[[#This Row],[Period]]+$E$9</f>
        <v>166</v>
      </c>
      <c r="M170" s="3">
        <f>Table15781012[[#This Row],[Defaulted Principal]]-Table15781012[[#This Row],[Estimated Loss]]</f>
        <v>0</v>
      </c>
      <c r="N170" s="3">
        <f>IFERROR(VLOOKUP(Table15781012[[#This Row],[Period]],$L$16:$M$385,2,FALSE),0)</f>
        <v>0</v>
      </c>
      <c r="O170" s="3">
        <f>Table15781012[[#This Row],[Beginning Balance]]-Table15781012[[#This Row],[Principal]]-Table15781012[[#This Row],[Prepayments]]-Table15781012[[#This Row],[Defaulted Principal]]</f>
        <v>0</v>
      </c>
      <c r="P170" s="3">
        <f>Table15781012[[#This Row],[Principal]]+Table15781012[[#This Row],[Interest]]+Table15781012[[#This Row],[Prepayments]]+Table15781012[[#This Row],[RecoveredAmount]]</f>
        <v>0</v>
      </c>
      <c r="Q170" s="3">
        <f ca="1">ROUND(Table15781012[[#This Row],[Cash Flow]]/((1+ActualRateToUse)^(IF(ISNUMBER(SEARCH("Actual",$C$7)),Table15781012[[#This Row],[Running Total]]/365,Table15781012[[#This Row],[Period]]/12))),2)</f>
        <v>0</v>
      </c>
      <c r="R170" s="2">
        <f>IF(MONTH(Table15781012[[#This Row],[Date]])=2,28,DAY(DATE(YEAR(Table15781012[[#This Row],[Date]]),MONTH(Table15781012[[#This Row],[Date]])+1,1)-1))</f>
        <v>30</v>
      </c>
      <c r="S170" s="2">
        <f ca="1">SUM(OFFSET(Table15781012[[#Headers],[Days in month]],1,0):Table15781012[[#This Row],[Days in month]])</f>
        <v>4684</v>
      </c>
      <c r="T170" s="37">
        <f>InterestRate*AmortizationMultiplier*IF(ISNUMBER(SEARCH("Actual",$C$7)),Table15781012[[#This Row],[Days in month]]/365,1/12)</f>
        <v>5.8749999999999991E-3</v>
      </c>
    </row>
    <row r="171" spans="2:20" x14ac:dyDescent="0.2">
      <c r="B171" s="1">
        <f t="shared" si="6"/>
        <v>50556</v>
      </c>
      <c r="C171" s="2">
        <f t="shared" si="8"/>
        <v>155</v>
      </c>
      <c r="D171" s="3">
        <f t="shared" si="7"/>
        <v>0</v>
      </c>
      <c r="E171" s="3">
        <f>ROUND(Table15781012[[#This Row],[Beginning Balance]]*Table15781012[[#This Row],[Monthly Interest Rate]],2)</f>
        <v>0</v>
      </c>
      <c r="F171" s="3">
        <f t="shared" si="9"/>
        <v>197</v>
      </c>
      <c r="G171" s="23">
        <f>IFERROR(IF($C$13="No","N/A",IF(Table15781012[[#This Row],[Period]]=1,$C$6,PMT(InterestRate*AmortizationMultiplier/12,Table15781012[[#This Row],[Am Thru]],-Table15781012[[#This Row],[Beginning Balance]]))),0)</f>
        <v>0</v>
      </c>
      <c r="H171" s="3">
        <f>MAX(0,IF(C171=$C$4,D171,ROUND(IF($C$3="Fixed Principal",$C$6-Table15781012[[#This Row],[Interest]],IF($C$3="Interest Only",Table15781012[[#This Row],[Beginning Balance]]*ROUND(1-(1-IF($C$11="No",$E$8,1))^(1/12),6),MIN(IF($C$13="Yes",Table15781012[[#This Row],[Payment Amount (Reamortized)]],$C$6)-Table15781012[[#This Row],[Interest]],Table15781012[[#This Row],[Beginning Balance]]))),2)))</f>
        <v>0</v>
      </c>
      <c r="I171" s="3">
        <f>_xlfn.SINGLE(IF($C$3="Line of Credit",0,ROUND(MAX(MIN(IF($C$10="No",$E$7,VLOOKUP(Table15781012[[#This Row],[Period]],Forecast!$H$2:$L$1048576,4,FALSE))*Table15781012[[#This Row],[Beginning Balance]],Table15781012[[#This Row],[Beginning Balance]]-Table15781012[[#This Row],[Principal]]),0),2)))</f>
        <v>0</v>
      </c>
      <c r="J171" s="3">
        <f>ROUND(MIN(Table15781012[[#This Row],[Beginning Balance]]*IF($C$8="No",$E$3,VLOOKUP(Table15781012[[#This Row],[Period]],Forecast!$H$2:$L$1048576,2,FALSE)),Table15781012[[#This Row],[Beginning Balance]]-Table15781012[[#This Row],[Principal]]-Table15781012[[#This Row],[Prepayments]]),2)</f>
        <v>0</v>
      </c>
      <c r="K171" s="3">
        <f>ROUND(Table15781012[[#This Row],[Defaulted Principal]]*IF($C$9="No",$E$4,VLOOKUP(Table15781012[[#This Row],[Period]],Forecast!$H$2:$L$1048576,3,FALSE)),2)</f>
        <v>0</v>
      </c>
      <c r="L171" s="2">
        <f>Table15781012[[#This Row],[Period]]+$E$9</f>
        <v>167</v>
      </c>
      <c r="M171" s="3">
        <f>Table15781012[[#This Row],[Defaulted Principal]]-Table15781012[[#This Row],[Estimated Loss]]</f>
        <v>0</v>
      </c>
      <c r="N171" s="3">
        <f>IFERROR(VLOOKUP(Table15781012[[#This Row],[Period]],$L$16:$M$385,2,FALSE),0)</f>
        <v>0</v>
      </c>
      <c r="O171" s="3">
        <f>Table15781012[[#This Row],[Beginning Balance]]-Table15781012[[#This Row],[Principal]]-Table15781012[[#This Row],[Prepayments]]-Table15781012[[#This Row],[Defaulted Principal]]</f>
        <v>0</v>
      </c>
      <c r="P171" s="3">
        <f>Table15781012[[#This Row],[Principal]]+Table15781012[[#This Row],[Interest]]+Table15781012[[#This Row],[Prepayments]]+Table15781012[[#This Row],[RecoveredAmount]]</f>
        <v>0</v>
      </c>
      <c r="Q171" s="3">
        <f ca="1">ROUND(Table15781012[[#This Row],[Cash Flow]]/((1+ActualRateToUse)^(IF(ISNUMBER(SEARCH("Actual",$C$7)),Table15781012[[#This Row],[Running Total]]/365,Table15781012[[#This Row],[Period]]/12))),2)</f>
        <v>0</v>
      </c>
      <c r="R171" s="2">
        <f>IF(MONTH(Table15781012[[#This Row],[Date]])=2,28,DAY(DATE(YEAR(Table15781012[[#This Row],[Date]]),MONTH(Table15781012[[#This Row],[Date]])+1,1)-1))</f>
        <v>31</v>
      </c>
      <c r="S171" s="2">
        <f ca="1">SUM(OFFSET(Table15781012[[#Headers],[Days in month]],1,0):Table15781012[[#This Row],[Days in month]])</f>
        <v>4715</v>
      </c>
      <c r="T171" s="37">
        <f>InterestRate*AmortizationMultiplier*IF(ISNUMBER(SEARCH("Actual",$C$7)),Table15781012[[#This Row],[Days in month]]/365,1/12)</f>
        <v>6.0708333333333326E-3</v>
      </c>
    </row>
    <row r="172" spans="2:20" x14ac:dyDescent="0.2">
      <c r="B172" s="1">
        <f t="shared" si="6"/>
        <v>50586</v>
      </c>
      <c r="C172" s="2">
        <f t="shared" si="8"/>
        <v>156</v>
      </c>
      <c r="D172" s="3">
        <f t="shared" si="7"/>
        <v>0</v>
      </c>
      <c r="E172" s="3">
        <f>ROUND(Table15781012[[#This Row],[Beginning Balance]]*Table15781012[[#This Row],[Monthly Interest Rate]],2)</f>
        <v>0</v>
      </c>
      <c r="F172" s="3">
        <f t="shared" si="9"/>
        <v>196</v>
      </c>
      <c r="G172" s="23">
        <f>IFERROR(IF($C$13="No","N/A",IF(Table15781012[[#This Row],[Period]]=1,$C$6,PMT(InterestRate*AmortizationMultiplier/12,Table15781012[[#This Row],[Am Thru]],-Table15781012[[#This Row],[Beginning Balance]]))),0)</f>
        <v>0</v>
      </c>
      <c r="H172" s="3">
        <f>MAX(0,IF(C172=$C$4,D172,ROUND(IF($C$3="Fixed Principal",$C$6-Table15781012[[#This Row],[Interest]],IF($C$3="Interest Only",Table15781012[[#This Row],[Beginning Balance]]*ROUND(1-(1-IF($C$11="No",$E$8,1))^(1/12),6),MIN(IF($C$13="Yes",Table15781012[[#This Row],[Payment Amount (Reamortized)]],$C$6)-Table15781012[[#This Row],[Interest]],Table15781012[[#This Row],[Beginning Balance]]))),2)))</f>
        <v>0</v>
      </c>
      <c r="I172" s="3">
        <f>_xlfn.SINGLE(IF($C$3="Line of Credit",0,ROUND(MAX(MIN(IF($C$10="No",$E$7,VLOOKUP(Table15781012[[#This Row],[Period]],Forecast!$H$2:$L$1048576,4,FALSE))*Table15781012[[#This Row],[Beginning Balance]],Table15781012[[#This Row],[Beginning Balance]]-Table15781012[[#This Row],[Principal]]),0),2)))</f>
        <v>0</v>
      </c>
      <c r="J172" s="3">
        <f>ROUND(MIN(Table15781012[[#This Row],[Beginning Balance]]*IF($C$8="No",$E$3,VLOOKUP(Table15781012[[#This Row],[Period]],Forecast!$H$2:$L$1048576,2,FALSE)),Table15781012[[#This Row],[Beginning Balance]]-Table15781012[[#This Row],[Principal]]-Table15781012[[#This Row],[Prepayments]]),2)</f>
        <v>0</v>
      </c>
      <c r="K172" s="3">
        <f>ROUND(Table15781012[[#This Row],[Defaulted Principal]]*IF($C$9="No",$E$4,VLOOKUP(Table15781012[[#This Row],[Period]],Forecast!$H$2:$L$1048576,3,FALSE)),2)</f>
        <v>0</v>
      </c>
      <c r="L172" s="2">
        <f>Table15781012[[#This Row],[Period]]+$E$9</f>
        <v>168</v>
      </c>
      <c r="M172" s="3">
        <f>Table15781012[[#This Row],[Defaulted Principal]]-Table15781012[[#This Row],[Estimated Loss]]</f>
        <v>0</v>
      </c>
      <c r="N172" s="3">
        <f>IFERROR(VLOOKUP(Table15781012[[#This Row],[Period]],$L$16:$M$385,2,FALSE),0)</f>
        <v>0</v>
      </c>
      <c r="O172" s="3">
        <f>Table15781012[[#This Row],[Beginning Balance]]-Table15781012[[#This Row],[Principal]]-Table15781012[[#This Row],[Prepayments]]-Table15781012[[#This Row],[Defaulted Principal]]</f>
        <v>0</v>
      </c>
      <c r="P172" s="3">
        <f>Table15781012[[#This Row],[Principal]]+Table15781012[[#This Row],[Interest]]+Table15781012[[#This Row],[Prepayments]]+Table15781012[[#This Row],[RecoveredAmount]]</f>
        <v>0</v>
      </c>
      <c r="Q172" s="3">
        <f ca="1">ROUND(Table15781012[[#This Row],[Cash Flow]]/((1+ActualRateToUse)^(IF(ISNUMBER(SEARCH("Actual",$C$7)),Table15781012[[#This Row],[Running Total]]/365,Table15781012[[#This Row],[Period]]/12))),2)</f>
        <v>0</v>
      </c>
      <c r="R172" s="2">
        <f>IF(MONTH(Table15781012[[#This Row],[Date]])=2,28,DAY(DATE(YEAR(Table15781012[[#This Row],[Date]]),MONTH(Table15781012[[#This Row],[Date]])+1,1)-1))</f>
        <v>30</v>
      </c>
      <c r="S172" s="2">
        <f ca="1">SUM(OFFSET(Table15781012[[#Headers],[Days in month]],1,0):Table15781012[[#This Row],[Days in month]])</f>
        <v>4745</v>
      </c>
      <c r="T172" s="37">
        <f>InterestRate*AmortizationMultiplier*IF(ISNUMBER(SEARCH("Actual",$C$7)),Table15781012[[#This Row],[Days in month]]/365,1/12)</f>
        <v>5.8749999999999991E-3</v>
      </c>
    </row>
    <row r="173" spans="2:20" x14ac:dyDescent="0.2">
      <c r="B173" s="1">
        <f t="shared" si="6"/>
        <v>50617</v>
      </c>
      <c r="C173" s="2">
        <f t="shared" si="8"/>
        <v>157</v>
      </c>
      <c r="D173" s="3">
        <f t="shared" si="7"/>
        <v>0</v>
      </c>
      <c r="E173" s="3">
        <f>ROUND(Table15781012[[#This Row],[Beginning Balance]]*Table15781012[[#This Row],[Monthly Interest Rate]],2)</f>
        <v>0</v>
      </c>
      <c r="F173" s="3">
        <f t="shared" si="9"/>
        <v>195</v>
      </c>
      <c r="G173" s="23">
        <f>IFERROR(IF($C$13="No","N/A",IF(Table15781012[[#This Row],[Period]]=1,$C$6,PMT(InterestRate*AmortizationMultiplier/12,Table15781012[[#This Row],[Am Thru]],-Table15781012[[#This Row],[Beginning Balance]]))),0)</f>
        <v>0</v>
      </c>
      <c r="H173" s="3">
        <f>MAX(0,IF(C173=$C$4,D173,ROUND(IF($C$3="Fixed Principal",$C$6-Table15781012[[#This Row],[Interest]],IF($C$3="Interest Only",Table15781012[[#This Row],[Beginning Balance]]*ROUND(1-(1-IF($C$11="No",$E$8,1))^(1/12),6),MIN(IF($C$13="Yes",Table15781012[[#This Row],[Payment Amount (Reamortized)]],$C$6)-Table15781012[[#This Row],[Interest]],Table15781012[[#This Row],[Beginning Balance]]))),2)))</f>
        <v>0</v>
      </c>
      <c r="I173" s="3">
        <f>_xlfn.SINGLE(IF($C$3="Line of Credit",0,ROUND(MAX(MIN(IF($C$10="No",$E$7,VLOOKUP(Table15781012[[#This Row],[Period]],Forecast!$H$2:$L$1048576,4,FALSE))*Table15781012[[#This Row],[Beginning Balance]],Table15781012[[#This Row],[Beginning Balance]]-Table15781012[[#This Row],[Principal]]),0),2)))</f>
        <v>0</v>
      </c>
      <c r="J173" s="3">
        <f>ROUND(MIN(Table15781012[[#This Row],[Beginning Balance]]*IF($C$8="No",$E$3,VLOOKUP(Table15781012[[#This Row],[Period]],Forecast!$H$2:$L$1048576,2,FALSE)),Table15781012[[#This Row],[Beginning Balance]]-Table15781012[[#This Row],[Principal]]-Table15781012[[#This Row],[Prepayments]]),2)</f>
        <v>0</v>
      </c>
      <c r="K173" s="3">
        <f>ROUND(Table15781012[[#This Row],[Defaulted Principal]]*IF($C$9="No",$E$4,VLOOKUP(Table15781012[[#This Row],[Period]],Forecast!$H$2:$L$1048576,3,FALSE)),2)</f>
        <v>0</v>
      </c>
      <c r="L173" s="2">
        <f>Table15781012[[#This Row],[Period]]+$E$9</f>
        <v>169</v>
      </c>
      <c r="M173" s="3">
        <f>Table15781012[[#This Row],[Defaulted Principal]]-Table15781012[[#This Row],[Estimated Loss]]</f>
        <v>0</v>
      </c>
      <c r="N173" s="3">
        <f>IFERROR(VLOOKUP(Table15781012[[#This Row],[Period]],$L$16:$M$385,2,FALSE),0)</f>
        <v>0</v>
      </c>
      <c r="O173" s="3">
        <f>Table15781012[[#This Row],[Beginning Balance]]-Table15781012[[#This Row],[Principal]]-Table15781012[[#This Row],[Prepayments]]-Table15781012[[#This Row],[Defaulted Principal]]</f>
        <v>0</v>
      </c>
      <c r="P173" s="3">
        <f>Table15781012[[#This Row],[Principal]]+Table15781012[[#This Row],[Interest]]+Table15781012[[#This Row],[Prepayments]]+Table15781012[[#This Row],[RecoveredAmount]]</f>
        <v>0</v>
      </c>
      <c r="Q173" s="3">
        <f ca="1">ROUND(Table15781012[[#This Row],[Cash Flow]]/((1+ActualRateToUse)^(IF(ISNUMBER(SEARCH("Actual",$C$7)),Table15781012[[#This Row],[Running Total]]/365,Table15781012[[#This Row],[Period]]/12))),2)</f>
        <v>0</v>
      </c>
      <c r="R173" s="2">
        <f>IF(MONTH(Table15781012[[#This Row],[Date]])=2,28,DAY(DATE(YEAR(Table15781012[[#This Row],[Date]]),MONTH(Table15781012[[#This Row],[Date]])+1,1)-1))</f>
        <v>31</v>
      </c>
      <c r="S173" s="2">
        <f ca="1">SUM(OFFSET(Table15781012[[#Headers],[Days in month]],1,0):Table15781012[[#This Row],[Days in month]])</f>
        <v>4776</v>
      </c>
      <c r="T173" s="37">
        <f>InterestRate*AmortizationMultiplier*IF(ISNUMBER(SEARCH("Actual",$C$7)),Table15781012[[#This Row],[Days in month]]/365,1/12)</f>
        <v>6.0708333333333326E-3</v>
      </c>
    </row>
    <row r="174" spans="2:20" x14ac:dyDescent="0.2">
      <c r="B174" s="1">
        <f t="shared" si="6"/>
        <v>50648</v>
      </c>
      <c r="C174" s="2">
        <f t="shared" si="8"/>
        <v>158</v>
      </c>
      <c r="D174" s="3">
        <f t="shared" si="7"/>
        <v>0</v>
      </c>
      <c r="E174" s="3">
        <f>ROUND(Table15781012[[#This Row],[Beginning Balance]]*Table15781012[[#This Row],[Monthly Interest Rate]],2)</f>
        <v>0</v>
      </c>
      <c r="F174" s="3">
        <f t="shared" si="9"/>
        <v>194</v>
      </c>
      <c r="G174" s="23">
        <f>IFERROR(IF($C$13="No","N/A",IF(Table15781012[[#This Row],[Period]]=1,$C$6,PMT(InterestRate*AmortizationMultiplier/12,Table15781012[[#This Row],[Am Thru]],-Table15781012[[#This Row],[Beginning Balance]]))),0)</f>
        <v>0</v>
      </c>
      <c r="H174" s="3">
        <f>MAX(0,IF(C174=$C$4,D174,ROUND(IF($C$3="Fixed Principal",$C$6-Table15781012[[#This Row],[Interest]],IF($C$3="Interest Only",Table15781012[[#This Row],[Beginning Balance]]*ROUND(1-(1-IF($C$11="No",$E$8,1))^(1/12),6),MIN(IF($C$13="Yes",Table15781012[[#This Row],[Payment Amount (Reamortized)]],$C$6)-Table15781012[[#This Row],[Interest]],Table15781012[[#This Row],[Beginning Balance]]))),2)))</f>
        <v>0</v>
      </c>
      <c r="I174" s="3">
        <f>_xlfn.SINGLE(IF($C$3="Line of Credit",0,ROUND(MAX(MIN(IF($C$10="No",$E$7,VLOOKUP(Table15781012[[#This Row],[Period]],Forecast!$H$2:$L$1048576,4,FALSE))*Table15781012[[#This Row],[Beginning Balance]],Table15781012[[#This Row],[Beginning Balance]]-Table15781012[[#This Row],[Principal]]),0),2)))</f>
        <v>0</v>
      </c>
      <c r="J174" s="3">
        <f>ROUND(MIN(Table15781012[[#This Row],[Beginning Balance]]*IF($C$8="No",$E$3,VLOOKUP(Table15781012[[#This Row],[Period]],Forecast!$H$2:$L$1048576,2,FALSE)),Table15781012[[#This Row],[Beginning Balance]]-Table15781012[[#This Row],[Principal]]-Table15781012[[#This Row],[Prepayments]]),2)</f>
        <v>0</v>
      </c>
      <c r="K174" s="3">
        <f>ROUND(Table15781012[[#This Row],[Defaulted Principal]]*IF($C$9="No",$E$4,VLOOKUP(Table15781012[[#This Row],[Period]],Forecast!$H$2:$L$1048576,3,FALSE)),2)</f>
        <v>0</v>
      </c>
      <c r="L174" s="2">
        <f>Table15781012[[#This Row],[Period]]+$E$9</f>
        <v>170</v>
      </c>
      <c r="M174" s="3">
        <f>Table15781012[[#This Row],[Defaulted Principal]]-Table15781012[[#This Row],[Estimated Loss]]</f>
        <v>0</v>
      </c>
      <c r="N174" s="3">
        <f>IFERROR(VLOOKUP(Table15781012[[#This Row],[Period]],$L$16:$M$385,2,FALSE),0)</f>
        <v>0</v>
      </c>
      <c r="O174" s="3">
        <f>Table15781012[[#This Row],[Beginning Balance]]-Table15781012[[#This Row],[Principal]]-Table15781012[[#This Row],[Prepayments]]-Table15781012[[#This Row],[Defaulted Principal]]</f>
        <v>0</v>
      </c>
      <c r="P174" s="3">
        <f>Table15781012[[#This Row],[Principal]]+Table15781012[[#This Row],[Interest]]+Table15781012[[#This Row],[Prepayments]]+Table15781012[[#This Row],[RecoveredAmount]]</f>
        <v>0</v>
      </c>
      <c r="Q174" s="3">
        <f ca="1">ROUND(Table15781012[[#This Row],[Cash Flow]]/((1+ActualRateToUse)^(IF(ISNUMBER(SEARCH("Actual",$C$7)),Table15781012[[#This Row],[Running Total]]/365,Table15781012[[#This Row],[Period]]/12))),2)</f>
        <v>0</v>
      </c>
      <c r="R174" s="2">
        <f>IF(MONTH(Table15781012[[#This Row],[Date]])=2,28,DAY(DATE(YEAR(Table15781012[[#This Row],[Date]]),MONTH(Table15781012[[#This Row],[Date]])+1,1)-1))</f>
        <v>31</v>
      </c>
      <c r="S174" s="2">
        <f ca="1">SUM(OFFSET(Table15781012[[#Headers],[Days in month]],1,0):Table15781012[[#This Row],[Days in month]])</f>
        <v>4807</v>
      </c>
      <c r="T174" s="37">
        <f>InterestRate*AmortizationMultiplier*IF(ISNUMBER(SEARCH("Actual",$C$7)),Table15781012[[#This Row],[Days in month]]/365,1/12)</f>
        <v>6.0708333333333326E-3</v>
      </c>
    </row>
    <row r="175" spans="2:20" x14ac:dyDescent="0.2">
      <c r="B175" s="1">
        <f t="shared" si="6"/>
        <v>50678</v>
      </c>
      <c r="C175" s="2">
        <f t="shared" si="8"/>
        <v>159</v>
      </c>
      <c r="D175" s="3">
        <f t="shared" si="7"/>
        <v>0</v>
      </c>
      <c r="E175" s="3">
        <f>ROUND(Table15781012[[#This Row],[Beginning Balance]]*Table15781012[[#This Row],[Monthly Interest Rate]],2)</f>
        <v>0</v>
      </c>
      <c r="F175" s="3">
        <f t="shared" si="9"/>
        <v>193</v>
      </c>
      <c r="G175" s="23">
        <f>IFERROR(IF($C$13="No","N/A",IF(Table15781012[[#This Row],[Period]]=1,$C$6,PMT(InterestRate*AmortizationMultiplier/12,Table15781012[[#This Row],[Am Thru]],-Table15781012[[#This Row],[Beginning Balance]]))),0)</f>
        <v>0</v>
      </c>
      <c r="H175" s="3">
        <f>MAX(0,IF(C175=$C$4,D175,ROUND(IF($C$3="Fixed Principal",$C$6-Table15781012[[#This Row],[Interest]],IF($C$3="Interest Only",Table15781012[[#This Row],[Beginning Balance]]*ROUND(1-(1-IF($C$11="No",$E$8,1))^(1/12),6),MIN(IF($C$13="Yes",Table15781012[[#This Row],[Payment Amount (Reamortized)]],$C$6)-Table15781012[[#This Row],[Interest]],Table15781012[[#This Row],[Beginning Balance]]))),2)))</f>
        <v>0</v>
      </c>
      <c r="I175" s="3">
        <f>_xlfn.SINGLE(IF($C$3="Line of Credit",0,ROUND(MAX(MIN(IF($C$10="No",$E$7,VLOOKUP(Table15781012[[#This Row],[Period]],Forecast!$H$2:$L$1048576,4,FALSE))*Table15781012[[#This Row],[Beginning Balance]],Table15781012[[#This Row],[Beginning Balance]]-Table15781012[[#This Row],[Principal]]),0),2)))</f>
        <v>0</v>
      </c>
      <c r="J175" s="3">
        <f>ROUND(MIN(Table15781012[[#This Row],[Beginning Balance]]*IF($C$8="No",$E$3,VLOOKUP(Table15781012[[#This Row],[Period]],Forecast!$H$2:$L$1048576,2,FALSE)),Table15781012[[#This Row],[Beginning Balance]]-Table15781012[[#This Row],[Principal]]-Table15781012[[#This Row],[Prepayments]]),2)</f>
        <v>0</v>
      </c>
      <c r="K175" s="3">
        <f>ROUND(Table15781012[[#This Row],[Defaulted Principal]]*IF($C$9="No",$E$4,VLOOKUP(Table15781012[[#This Row],[Period]],Forecast!$H$2:$L$1048576,3,FALSE)),2)</f>
        <v>0</v>
      </c>
      <c r="L175" s="2">
        <f>Table15781012[[#This Row],[Period]]+$E$9</f>
        <v>171</v>
      </c>
      <c r="M175" s="3">
        <f>Table15781012[[#This Row],[Defaulted Principal]]-Table15781012[[#This Row],[Estimated Loss]]</f>
        <v>0</v>
      </c>
      <c r="N175" s="3">
        <f>IFERROR(VLOOKUP(Table15781012[[#This Row],[Period]],$L$16:$M$385,2,FALSE),0)</f>
        <v>0</v>
      </c>
      <c r="O175" s="3">
        <f>Table15781012[[#This Row],[Beginning Balance]]-Table15781012[[#This Row],[Principal]]-Table15781012[[#This Row],[Prepayments]]-Table15781012[[#This Row],[Defaulted Principal]]</f>
        <v>0</v>
      </c>
      <c r="P175" s="3">
        <f>Table15781012[[#This Row],[Principal]]+Table15781012[[#This Row],[Interest]]+Table15781012[[#This Row],[Prepayments]]+Table15781012[[#This Row],[RecoveredAmount]]</f>
        <v>0</v>
      </c>
      <c r="Q175" s="3">
        <f ca="1">ROUND(Table15781012[[#This Row],[Cash Flow]]/((1+ActualRateToUse)^(IF(ISNUMBER(SEARCH("Actual",$C$7)),Table15781012[[#This Row],[Running Total]]/365,Table15781012[[#This Row],[Period]]/12))),2)</f>
        <v>0</v>
      </c>
      <c r="R175" s="2">
        <f>IF(MONTH(Table15781012[[#This Row],[Date]])=2,28,DAY(DATE(YEAR(Table15781012[[#This Row],[Date]]),MONTH(Table15781012[[#This Row],[Date]])+1,1)-1))</f>
        <v>30</v>
      </c>
      <c r="S175" s="2">
        <f ca="1">SUM(OFFSET(Table15781012[[#Headers],[Days in month]],1,0):Table15781012[[#This Row],[Days in month]])</f>
        <v>4837</v>
      </c>
      <c r="T175" s="37">
        <f>InterestRate*AmortizationMultiplier*IF(ISNUMBER(SEARCH("Actual",$C$7)),Table15781012[[#This Row],[Days in month]]/365,1/12)</f>
        <v>5.8749999999999991E-3</v>
      </c>
    </row>
    <row r="176" spans="2:20" x14ac:dyDescent="0.2">
      <c r="B176" s="1">
        <f t="shared" si="6"/>
        <v>50709</v>
      </c>
      <c r="C176" s="2">
        <f t="shared" si="8"/>
        <v>160</v>
      </c>
      <c r="D176" s="3">
        <f t="shared" si="7"/>
        <v>0</v>
      </c>
      <c r="E176" s="3">
        <f>ROUND(Table15781012[[#This Row],[Beginning Balance]]*Table15781012[[#This Row],[Monthly Interest Rate]],2)</f>
        <v>0</v>
      </c>
      <c r="F176" s="3">
        <f t="shared" si="9"/>
        <v>192</v>
      </c>
      <c r="G176" s="23">
        <f>IFERROR(IF($C$13="No","N/A",IF(Table15781012[[#This Row],[Period]]=1,$C$6,PMT(InterestRate*AmortizationMultiplier/12,Table15781012[[#This Row],[Am Thru]],-Table15781012[[#This Row],[Beginning Balance]]))),0)</f>
        <v>0</v>
      </c>
      <c r="H176" s="3">
        <f>MAX(0,IF(C176=$C$4,D176,ROUND(IF($C$3="Fixed Principal",$C$6-Table15781012[[#This Row],[Interest]],IF($C$3="Interest Only",Table15781012[[#This Row],[Beginning Balance]]*ROUND(1-(1-IF($C$11="No",$E$8,1))^(1/12),6),MIN(IF($C$13="Yes",Table15781012[[#This Row],[Payment Amount (Reamortized)]],$C$6)-Table15781012[[#This Row],[Interest]],Table15781012[[#This Row],[Beginning Balance]]))),2)))</f>
        <v>0</v>
      </c>
      <c r="I176" s="3">
        <f>_xlfn.SINGLE(IF($C$3="Line of Credit",0,ROUND(MAX(MIN(IF($C$10="No",$E$7,VLOOKUP(Table15781012[[#This Row],[Period]],Forecast!$H$2:$L$1048576,4,FALSE))*Table15781012[[#This Row],[Beginning Balance]],Table15781012[[#This Row],[Beginning Balance]]-Table15781012[[#This Row],[Principal]]),0),2)))</f>
        <v>0</v>
      </c>
      <c r="J176" s="3">
        <f>ROUND(MIN(Table15781012[[#This Row],[Beginning Balance]]*IF($C$8="No",$E$3,VLOOKUP(Table15781012[[#This Row],[Period]],Forecast!$H$2:$L$1048576,2,FALSE)),Table15781012[[#This Row],[Beginning Balance]]-Table15781012[[#This Row],[Principal]]-Table15781012[[#This Row],[Prepayments]]),2)</f>
        <v>0</v>
      </c>
      <c r="K176" s="3">
        <f>ROUND(Table15781012[[#This Row],[Defaulted Principal]]*IF($C$9="No",$E$4,VLOOKUP(Table15781012[[#This Row],[Period]],Forecast!$H$2:$L$1048576,3,FALSE)),2)</f>
        <v>0</v>
      </c>
      <c r="L176" s="2">
        <f>Table15781012[[#This Row],[Period]]+$E$9</f>
        <v>172</v>
      </c>
      <c r="M176" s="3">
        <f>Table15781012[[#This Row],[Defaulted Principal]]-Table15781012[[#This Row],[Estimated Loss]]</f>
        <v>0</v>
      </c>
      <c r="N176" s="3">
        <f>IFERROR(VLOOKUP(Table15781012[[#This Row],[Period]],$L$16:$M$385,2,FALSE),0)</f>
        <v>0</v>
      </c>
      <c r="O176" s="3">
        <f>Table15781012[[#This Row],[Beginning Balance]]-Table15781012[[#This Row],[Principal]]-Table15781012[[#This Row],[Prepayments]]-Table15781012[[#This Row],[Defaulted Principal]]</f>
        <v>0</v>
      </c>
      <c r="P176" s="3">
        <f>Table15781012[[#This Row],[Principal]]+Table15781012[[#This Row],[Interest]]+Table15781012[[#This Row],[Prepayments]]+Table15781012[[#This Row],[RecoveredAmount]]</f>
        <v>0</v>
      </c>
      <c r="Q176" s="3">
        <f ca="1">ROUND(Table15781012[[#This Row],[Cash Flow]]/((1+ActualRateToUse)^(IF(ISNUMBER(SEARCH("Actual",$C$7)),Table15781012[[#This Row],[Running Total]]/365,Table15781012[[#This Row],[Period]]/12))),2)</f>
        <v>0</v>
      </c>
      <c r="R176" s="2">
        <f>IF(MONTH(Table15781012[[#This Row],[Date]])=2,28,DAY(DATE(YEAR(Table15781012[[#This Row],[Date]]),MONTH(Table15781012[[#This Row],[Date]])+1,1)-1))</f>
        <v>31</v>
      </c>
      <c r="S176" s="2">
        <f ca="1">SUM(OFFSET(Table15781012[[#Headers],[Days in month]],1,0):Table15781012[[#This Row],[Days in month]])</f>
        <v>4868</v>
      </c>
      <c r="T176" s="37">
        <f>InterestRate*AmortizationMultiplier*IF(ISNUMBER(SEARCH("Actual",$C$7)),Table15781012[[#This Row],[Days in month]]/365,1/12)</f>
        <v>6.0708333333333326E-3</v>
      </c>
    </row>
    <row r="177" spans="2:20" x14ac:dyDescent="0.2">
      <c r="B177" s="1">
        <f t="shared" si="6"/>
        <v>50739</v>
      </c>
      <c r="C177" s="2">
        <f t="shared" si="8"/>
        <v>161</v>
      </c>
      <c r="D177" s="3">
        <f t="shared" si="7"/>
        <v>0</v>
      </c>
      <c r="E177" s="3">
        <f>ROUND(Table15781012[[#This Row],[Beginning Balance]]*Table15781012[[#This Row],[Monthly Interest Rate]],2)</f>
        <v>0</v>
      </c>
      <c r="F177" s="3">
        <f t="shared" si="9"/>
        <v>191</v>
      </c>
      <c r="G177" s="23">
        <f>IFERROR(IF($C$13="No","N/A",IF(Table15781012[[#This Row],[Period]]=1,$C$6,PMT(InterestRate*AmortizationMultiplier/12,Table15781012[[#This Row],[Am Thru]],-Table15781012[[#This Row],[Beginning Balance]]))),0)</f>
        <v>0</v>
      </c>
      <c r="H177" s="3">
        <f>MAX(0,IF(C177=$C$4,D177,ROUND(IF($C$3="Fixed Principal",$C$6-Table15781012[[#This Row],[Interest]],IF($C$3="Interest Only",Table15781012[[#This Row],[Beginning Balance]]*ROUND(1-(1-IF($C$11="No",$E$8,1))^(1/12),6),MIN(IF($C$13="Yes",Table15781012[[#This Row],[Payment Amount (Reamortized)]],$C$6)-Table15781012[[#This Row],[Interest]],Table15781012[[#This Row],[Beginning Balance]]))),2)))</f>
        <v>0</v>
      </c>
      <c r="I177" s="3">
        <f>_xlfn.SINGLE(IF($C$3="Line of Credit",0,ROUND(MAX(MIN(IF($C$10="No",$E$7,VLOOKUP(Table15781012[[#This Row],[Period]],Forecast!$H$2:$L$1048576,4,FALSE))*Table15781012[[#This Row],[Beginning Balance]],Table15781012[[#This Row],[Beginning Balance]]-Table15781012[[#This Row],[Principal]]),0),2)))</f>
        <v>0</v>
      </c>
      <c r="J177" s="3">
        <f>ROUND(MIN(Table15781012[[#This Row],[Beginning Balance]]*IF($C$8="No",$E$3,VLOOKUP(Table15781012[[#This Row],[Period]],Forecast!$H$2:$L$1048576,2,FALSE)),Table15781012[[#This Row],[Beginning Balance]]-Table15781012[[#This Row],[Principal]]-Table15781012[[#This Row],[Prepayments]]),2)</f>
        <v>0</v>
      </c>
      <c r="K177" s="3">
        <f>ROUND(Table15781012[[#This Row],[Defaulted Principal]]*IF($C$9="No",$E$4,VLOOKUP(Table15781012[[#This Row],[Period]],Forecast!$H$2:$L$1048576,3,FALSE)),2)</f>
        <v>0</v>
      </c>
      <c r="L177" s="2">
        <f>Table15781012[[#This Row],[Period]]+$E$9</f>
        <v>173</v>
      </c>
      <c r="M177" s="3">
        <f>Table15781012[[#This Row],[Defaulted Principal]]-Table15781012[[#This Row],[Estimated Loss]]</f>
        <v>0</v>
      </c>
      <c r="N177" s="3">
        <f>IFERROR(VLOOKUP(Table15781012[[#This Row],[Period]],$L$16:$M$385,2,FALSE),0)</f>
        <v>0</v>
      </c>
      <c r="O177" s="3">
        <f>Table15781012[[#This Row],[Beginning Balance]]-Table15781012[[#This Row],[Principal]]-Table15781012[[#This Row],[Prepayments]]-Table15781012[[#This Row],[Defaulted Principal]]</f>
        <v>0</v>
      </c>
      <c r="P177" s="3">
        <f>Table15781012[[#This Row],[Principal]]+Table15781012[[#This Row],[Interest]]+Table15781012[[#This Row],[Prepayments]]+Table15781012[[#This Row],[RecoveredAmount]]</f>
        <v>0</v>
      </c>
      <c r="Q177" s="3">
        <f ca="1">ROUND(Table15781012[[#This Row],[Cash Flow]]/((1+ActualRateToUse)^(IF(ISNUMBER(SEARCH("Actual",$C$7)),Table15781012[[#This Row],[Running Total]]/365,Table15781012[[#This Row],[Period]]/12))),2)</f>
        <v>0</v>
      </c>
      <c r="R177" s="2">
        <f>IF(MONTH(Table15781012[[#This Row],[Date]])=2,28,DAY(DATE(YEAR(Table15781012[[#This Row],[Date]]),MONTH(Table15781012[[#This Row],[Date]])+1,1)-1))</f>
        <v>30</v>
      </c>
      <c r="S177" s="2">
        <f ca="1">SUM(OFFSET(Table15781012[[#Headers],[Days in month]],1,0):Table15781012[[#This Row],[Days in month]])</f>
        <v>4898</v>
      </c>
      <c r="T177" s="37">
        <f>InterestRate*AmortizationMultiplier*IF(ISNUMBER(SEARCH("Actual",$C$7)),Table15781012[[#This Row],[Days in month]]/365,1/12)</f>
        <v>5.8749999999999991E-3</v>
      </c>
    </row>
    <row r="178" spans="2:20" x14ac:dyDescent="0.2">
      <c r="B178" s="1">
        <f t="shared" si="6"/>
        <v>50770</v>
      </c>
      <c r="C178" s="2">
        <f t="shared" si="8"/>
        <v>162</v>
      </c>
      <c r="D178" s="3">
        <f t="shared" si="7"/>
        <v>0</v>
      </c>
      <c r="E178" s="3">
        <f>ROUND(Table15781012[[#This Row],[Beginning Balance]]*Table15781012[[#This Row],[Monthly Interest Rate]],2)</f>
        <v>0</v>
      </c>
      <c r="F178" s="3">
        <f t="shared" si="9"/>
        <v>190</v>
      </c>
      <c r="G178" s="23">
        <f>IFERROR(IF($C$13="No","N/A",IF(Table15781012[[#This Row],[Period]]=1,$C$6,PMT(InterestRate*AmortizationMultiplier/12,Table15781012[[#This Row],[Am Thru]],-Table15781012[[#This Row],[Beginning Balance]]))),0)</f>
        <v>0</v>
      </c>
      <c r="H178" s="3">
        <f>MAX(0,IF(C178=$C$4,D178,ROUND(IF($C$3="Fixed Principal",$C$6-Table15781012[[#This Row],[Interest]],IF($C$3="Interest Only",Table15781012[[#This Row],[Beginning Balance]]*ROUND(1-(1-IF($C$11="No",$E$8,1))^(1/12),6),MIN(IF($C$13="Yes",Table15781012[[#This Row],[Payment Amount (Reamortized)]],$C$6)-Table15781012[[#This Row],[Interest]],Table15781012[[#This Row],[Beginning Balance]]))),2)))</f>
        <v>0</v>
      </c>
      <c r="I178" s="3">
        <f>_xlfn.SINGLE(IF($C$3="Line of Credit",0,ROUND(MAX(MIN(IF($C$10="No",$E$7,VLOOKUP(Table15781012[[#This Row],[Period]],Forecast!$H$2:$L$1048576,4,FALSE))*Table15781012[[#This Row],[Beginning Balance]],Table15781012[[#This Row],[Beginning Balance]]-Table15781012[[#This Row],[Principal]]),0),2)))</f>
        <v>0</v>
      </c>
      <c r="J178" s="3">
        <f>ROUND(MIN(Table15781012[[#This Row],[Beginning Balance]]*IF($C$8="No",$E$3,VLOOKUP(Table15781012[[#This Row],[Period]],Forecast!$H$2:$L$1048576,2,FALSE)),Table15781012[[#This Row],[Beginning Balance]]-Table15781012[[#This Row],[Principal]]-Table15781012[[#This Row],[Prepayments]]),2)</f>
        <v>0</v>
      </c>
      <c r="K178" s="3">
        <f>ROUND(Table15781012[[#This Row],[Defaulted Principal]]*IF($C$9="No",$E$4,VLOOKUP(Table15781012[[#This Row],[Period]],Forecast!$H$2:$L$1048576,3,FALSE)),2)</f>
        <v>0</v>
      </c>
      <c r="L178" s="2">
        <f>Table15781012[[#This Row],[Period]]+$E$9</f>
        <v>174</v>
      </c>
      <c r="M178" s="3">
        <f>Table15781012[[#This Row],[Defaulted Principal]]-Table15781012[[#This Row],[Estimated Loss]]</f>
        <v>0</v>
      </c>
      <c r="N178" s="3">
        <f>IFERROR(VLOOKUP(Table15781012[[#This Row],[Period]],$L$16:$M$385,2,FALSE),0)</f>
        <v>0</v>
      </c>
      <c r="O178" s="3">
        <f>Table15781012[[#This Row],[Beginning Balance]]-Table15781012[[#This Row],[Principal]]-Table15781012[[#This Row],[Prepayments]]-Table15781012[[#This Row],[Defaulted Principal]]</f>
        <v>0</v>
      </c>
      <c r="P178" s="3">
        <f>Table15781012[[#This Row],[Principal]]+Table15781012[[#This Row],[Interest]]+Table15781012[[#This Row],[Prepayments]]+Table15781012[[#This Row],[RecoveredAmount]]</f>
        <v>0</v>
      </c>
      <c r="Q178" s="3">
        <f ca="1">ROUND(Table15781012[[#This Row],[Cash Flow]]/((1+ActualRateToUse)^(IF(ISNUMBER(SEARCH("Actual",$C$7)),Table15781012[[#This Row],[Running Total]]/365,Table15781012[[#This Row],[Period]]/12))),2)</f>
        <v>0</v>
      </c>
      <c r="R178" s="2">
        <f>IF(MONTH(Table15781012[[#This Row],[Date]])=2,28,DAY(DATE(YEAR(Table15781012[[#This Row],[Date]]),MONTH(Table15781012[[#This Row],[Date]])+1,1)-1))</f>
        <v>31</v>
      </c>
      <c r="S178" s="2">
        <f ca="1">SUM(OFFSET(Table15781012[[#Headers],[Days in month]],1,0):Table15781012[[#This Row],[Days in month]])</f>
        <v>4929</v>
      </c>
      <c r="T178" s="37">
        <f>InterestRate*AmortizationMultiplier*IF(ISNUMBER(SEARCH("Actual",$C$7)),Table15781012[[#This Row],[Days in month]]/365,1/12)</f>
        <v>6.0708333333333326E-3</v>
      </c>
    </row>
    <row r="179" spans="2:20" x14ac:dyDescent="0.2">
      <c r="B179" s="1">
        <f t="shared" si="6"/>
        <v>50801</v>
      </c>
      <c r="C179" s="2">
        <f t="shared" si="8"/>
        <v>163</v>
      </c>
      <c r="D179" s="3">
        <f t="shared" si="7"/>
        <v>0</v>
      </c>
      <c r="E179" s="3">
        <f>ROUND(Table15781012[[#This Row],[Beginning Balance]]*Table15781012[[#This Row],[Monthly Interest Rate]],2)</f>
        <v>0</v>
      </c>
      <c r="F179" s="3">
        <f t="shared" si="9"/>
        <v>189</v>
      </c>
      <c r="G179" s="23">
        <f>IFERROR(IF($C$13="No","N/A",IF(Table15781012[[#This Row],[Period]]=1,$C$6,PMT(InterestRate*AmortizationMultiplier/12,Table15781012[[#This Row],[Am Thru]],-Table15781012[[#This Row],[Beginning Balance]]))),0)</f>
        <v>0</v>
      </c>
      <c r="H179" s="3">
        <f>MAX(0,IF(C179=$C$4,D179,ROUND(IF($C$3="Fixed Principal",$C$6-Table15781012[[#This Row],[Interest]],IF($C$3="Interest Only",Table15781012[[#This Row],[Beginning Balance]]*ROUND(1-(1-IF($C$11="No",$E$8,1))^(1/12),6),MIN(IF($C$13="Yes",Table15781012[[#This Row],[Payment Amount (Reamortized)]],$C$6)-Table15781012[[#This Row],[Interest]],Table15781012[[#This Row],[Beginning Balance]]))),2)))</f>
        <v>0</v>
      </c>
      <c r="I179" s="3">
        <f>_xlfn.SINGLE(IF($C$3="Line of Credit",0,ROUND(MAX(MIN(IF($C$10="No",$E$7,VLOOKUP(Table15781012[[#This Row],[Period]],Forecast!$H$2:$L$1048576,4,FALSE))*Table15781012[[#This Row],[Beginning Balance]],Table15781012[[#This Row],[Beginning Balance]]-Table15781012[[#This Row],[Principal]]),0),2)))</f>
        <v>0</v>
      </c>
      <c r="J179" s="3">
        <f>ROUND(MIN(Table15781012[[#This Row],[Beginning Balance]]*IF($C$8="No",$E$3,VLOOKUP(Table15781012[[#This Row],[Period]],Forecast!$H$2:$L$1048576,2,FALSE)),Table15781012[[#This Row],[Beginning Balance]]-Table15781012[[#This Row],[Principal]]-Table15781012[[#This Row],[Prepayments]]),2)</f>
        <v>0</v>
      </c>
      <c r="K179" s="3">
        <f>ROUND(Table15781012[[#This Row],[Defaulted Principal]]*IF($C$9="No",$E$4,VLOOKUP(Table15781012[[#This Row],[Period]],Forecast!$H$2:$L$1048576,3,FALSE)),2)</f>
        <v>0</v>
      </c>
      <c r="L179" s="2">
        <f>Table15781012[[#This Row],[Period]]+$E$9</f>
        <v>175</v>
      </c>
      <c r="M179" s="3">
        <f>Table15781012[[#This Row],[Defaulted Principal]]-Table15781012[[#This Row],[Estimated Loss]]</f>
        <v>0</v>
      </c>
      <c r="N179" s="3">
        <f>IFERROR(VLOOKUP(Table15781012[[#This Row],[Period]],$L$16:$M$385,2,FALSE),0)</f>
        <v>0</v>
      </c>
      <c r="O179" s="3">
        <f>Table15781012[[#This Row],[Beginning Balance]]-Table15781012[[#This Row],[Principal]]-Table15781012[[#This Row],[Prepayments]]-Table15781012[[#This Row],[Defaulted Principal]]</f>
        <v>0</v>
      </c>
      <c r="P179" s="3">
        <f>Table15781012[[#This Row],[Principal]]+Table15781012[[#This Row],[Interest]]+Table15781012[[#This Row],[Prepayments]]+Table15781012[[#This Row],[RecoveredAmount]]</f>
        <v>0</v>
      </c>
      <c r="Q179" s="3">
        <f ca="1">ROUND(Table15781012[[#This Row],[Cash Flow]]/((1+ActualRateToUse)^(IF(ISNUMBER(SEARCH("Actual",$C$7)),Table15781012[[#This Row],[Running Total]]/365,Table15781012[[#This Row],[Period]]/12))),2)</f>
        <v>0</v>
      </c>
      <c r="R179" s="2">
        <f>IF(MONTH(Table15781012[[#This Row],[Date]])=2,28,DAY(DATE(YEAR(Table15781012[[#This Row],[Date]]),MONTH(Table15781012[[#This Row],[Date]])+1,1)-1))</f>
        <v>31</v>
      </c>
      <c r="S179" s="2">
        <f ca="1">SUM(OFFSET(Table15781012[[#Headers],[Days in month]],1,0):Table15781012[[#This Row],[Days in month]])</f>
        <v>4960</v>
      </c>
      <c r="T179" s="37">
        <f>InterestRate*AmortizationMultiplier*IF(ISNUMBER(SEARCH("Actual",$C$7)),Table15781012[[#This Row],[Days in month]]/365,1/12)</f>
        <v>6.0708333333333326E-3</v>
      </c>
    </row>
    <row r="180" spans="2:20" x14ac:dyDescent="0.2">
      <c r="B180" s="1">
        <f t="shared" si="6"/>
        <v>50829</v>
      </c>
      <c r="C180" s="2">
        <f t="shared" si="8"/>
        <v>164</v>
      </c>
      <c r="D180" s="3">
        <f t="shared" si="7"/>
        <v>0</v>
      </c>
      <c r="E180" s="3">
        <f>ROUND(Table15781012[[#This Row],[Beginning Balance]]*Table15781012[[#This Row],[Monthly Interest Rate]],2)</f>
        <v>0</v>
      </c>
      <c r="F180" s="3">
        <f t="shared" si="9"/>
        <v>188</v>
      </c>
      <c r="G180" s="23">
        <f>IFERROR(IF($C$13="No","N/A",IF(Table15781012[[#This Row],[Period]]=1,$C$6,PMT(InterestRate*AmortizationMultiplier/12,Table15781012[[#This Row],[Am Thru]],-Table15781012[[#This Row],[Beginning Balance]]))),0)</f>
        <v>0</v>
      </c>
      <c r="H180" s="3">
        <f>MAX(0,IF(C180=$C$4,D180,ROUND(IF($C$3="Fixed Principal",$C$6-Table15781012[[#This Row],[Interest]],IF($C$3="Interest Only",Table15781012[[#This Row],[Beginning Balance]]*ROUND(1-(1-IF($C$11="No",$E$8,1))^(1/12),6),MIN(IF($C$13="Yes",Table15781012[[#This Row],[Payment Amount (Reamortized)]],$C$6)-Table15781012[[#This Row],[Interest]],Table15781012[[#This Row],[Beginning Balance]]))),2)))</f>
        <v>0</v>
      </c>
      <c r="I180" s="3">
        <f>_xlfn.SINGLE(IF($C$3="Line of Credit",0,ROUND(MAX(MIN(IF($C$10="No",$E$7,VLOOKUP(Table15781012[[#This Row],[Period]],Forecast!$H$2:$L$1048576,4,FALSE))*Table15781012[[#This Row],[Beginning Balance]],Table15781012[[#This Row],[Beginning Balance]]-Table15781012[[#This Row],[Principal]]),0),2)))</f>
        <v>0</v>
      </c>
      <c r="J180" s="3">
        <f>ROUND(MIN(Table15781012[[#This Row],[Beginning Balance]]*IF($C$8="No",$E$3,VLOOKUP(Table15781012[[#This Row],[Period]],Forecast!$H$2:$L$1048576,2,FALSE)),Table15781012[[#This Row],[Beginning Balance]]-Table15781012[[#This Row],[Principal]]-Table15781012[[#This Row],[Prepayments]]),2)</f>
        <v>0</v>
      </c>
      <c r="K180" s="3">
        <f>ROUND(Table15781012[[#This Row],[Defaulted Principal]]*IF($C$9="No",$E$4,VLOOKUP(Table15781012[[#This Row],[Period]],Forecast!$H$2:$L$1048576,3,FALSE)),2)</f>
        <v>0</v>
      </c>
      <c r="L180" s="2">
        <f>Table15781012[[#This Row],[Period]]+$E$9</f>
        <v>176</v>
      </c>
      <c r="M180" s="3">
        <f>Table15781012[[#This Row],[Defaulted Principal]]-Table15781012[[#This Row],[Estimated Loss]]</f>
        <v>0</v>
      </c>
      <c r="N180" s="3">
        <f>IFERROR(VLOOKUP(Table15781012[[#This Row],[Period]],$L$16:$M$385,2,FALSE),0)</f>
        <v>0</v>
      </c>
      <c r="O180" s="3">
        <f>Table15781012[[#This Row],[Beginning Balance]]-Table15781012[[#This Row],[Principal]]-Table15781012[[#This Row],[Prepayments]]-Table15781012[[#This Row],[Defaulted Principal]]</f>
        <v>0</v>
      </c>
      <c r="P180" s="3">
        <f>Table15781012[[#This Row],[Principal]]+Table15781012[[#This Row],[Interest]]+Table15781012[[#This Row],[Prepayments]]+Table15781012[[#This Row],[RecoveredAmount]]</f>
        <v>0</v>
      </c>
      <c r="Q180" s="3">
        <f ca="1">ROUND(Table15781012[[#This Row],[Cash Flow]]/((1+ActualRateToUse)^(IF(ISNUMBER(SEARCH("Actual",$C$7)),Table15781012[[#This Row],[Running Total]]/365,Table15781012[[#This Row],[Period]]/12))),2)</f>
        <v>0</v>
      </c>
      <c r="R180" s="2">
        <f>IF(MONTH(Table15781012[[#This Row],[Date]])=2,28,DAY(DATE(YEAR(Table15781012[[#This Row],[Date]]),MONTH(Table15781012[[#This Row],[Date]])+1,1)-1))</f>
        <v>28</v>
      </c>
      <c r="S180" s="2">
        <f ca="1">SUM(OFFSET(Table15781012[[#Headers],[Days in month]],1,0):Table15781012[[#This Row],[Days in month]])</f>
        <v>4988</v>
      </c>
      <c r="T180" s="37">
        <f>InterestRate*AmortizationMultiplier*IF(ISNUMBER(SEARCH("Actual",$C$7)),Table15781012[[#This Row],[Days in month]]/365,1/12)</f>
        <v>5.4833333333333331E-3</v>
      </c>
    </row>
    <row r="181" spans="2:20" x14ac:dyDescent="0.2">
      <c r="B181" s="1">
        <f t="shared" si="6"/>
        <v>50860</v>
      </c>
      <c r="C181" s="2">
        <f t="shared" si="8"/>
        <v>165</v>
      </c>
      <c r="D181" s="3">
        <f t="shared" si="7"/>
        <v>0</v>
      </c>
      <c r="E181" s="3">
        <f>ROUND(Table15781012[[#This Row],[Beginning Balance]]*Table15781012[[#This Row],[Monthly Interest Rate]],2)</f>
        <v>0</v>
      </c>
      <c r="F181" s="3">
        <f t="shared" si="9"/>
        <v>187</v>
      </c>
      <c r="G181" s="23">
        <f>IFERROR(IF($C$13="No","N/A",IF(Table15781012[[#This Row],[Period]]=1,$C$6,PMT(InterestRate*AmortizationMultiplier/12,Table15781012[[#This Row],[Am Thru]],-Table15781012[[#This Row],[Beginning Balance]]))),0)</f>
        <v>0</v>
      </c>
      <c r="H181" s="3">
        <f>MAX(0,IF(C181=$C$4,D181,ROUND(IF($C$3="Fixed Principal",$C$6-Table15781012[[#This Row],[Interest]],IF($C$3="Interest Only",Table15781012[[#This Row],[Beginning Balance]]*ROUND(1-(1-IF($C$11="No",$E$8,1))^(1/12),6),MIN(IF($C$13="Yes",Table15781012[[#This Row],[Payment Amount (Reamortized)]],$C$6)-Table15781012[[#This Row],[Interest]],Table15781012[[#This Row],[Beginning Balance]]))),2)))</f>
        <v>0</v>
      </c>
      <c r="I181" s="3">
        <f>_xlfn.SINGLE(IF($C$3="Line of Credit",0,ROUND(MAX(MIN(IF($C$10="No",$E$7,VLOOKUP(Table15781012[[#This Row],[Period]],Forecast!$H$2:$L$1048576,4,FALSE))*Table15781012[[#This Row],[Beginning Balance]],Table15781012[[#This Row],[Beginning Balance]]-Table15781012[[#This Row],[Principal]]),0),2)))</f>
        <v>0</v>
      </c>
      <c r="J181" s="3">
        <f>ROUND(MIN(Table15781012[[#This Row],[Beginning Balance]]*IF($C$8="No",$E$3,VLOOKUP(Table15781012[[#This Row],[Period]],Forecast!$H$2:$L$1048576,2,FALSE)),Table15781012[[#This Row],[Beginning Balance]]-Table15781012[[#This Row],[Principal]]-Table15781012[[#This Row],[Prepayments]]),2)</f>
        <v>0</v>
      </c>
      <c r="K181" s="3">
        <f>ROUND(Table15781012[[#This Row],[Defaulted Principal]]*IF($C$9="No",$E$4,VLOOKUP(Table15781012[[#This Row],[Period]],Forecast!$H$2:$L$1048576,3,FALSE)),2)</f>
        <v>0</v>
      </c>
      <c r="L181" s="2">
        <f>Table15781012[[#This Row],[Period]]+$E$9</f>
        <v>177</v>
      </c>
      <c r="M181" s="3">
        <f>Table15781012[[#This Row],[Defaulted Principal]]-Table15781012[[#This Row],[Estimated Loss]]</f>
        <v>0</v>
      </c>
      <c r="N181" s="3">
        <f>IFERROR(VLOOKUP(Table15781012[[#This Row],[Period]],$L$16:$M$385,2,FALSE),0)</f>
        <v>0</v>
      </c>
      <c r="O181" s="3">
        <f>Table15781012[[#This Row],[Beginning Balance]]-Table15781012[[#This Row],[Principal]]-Table15781012[[#This Row],[Prepayments]]-Table15781012[[#This Row],[Defaulted Principal]]</f>
        <v>0</v>
      </c>
      <c r="P181" s="3">
        <f>Table15781012[[#This Row],[Principal]]+Table15781012[[#This Row],[Interest]]+Table15781012[[#This Row],[Prepayments]]+Table15781012[[#This Row],[RecoveredAmount]]</f>
        <v>0</v>
      </c>
      <c r="Q181" s="3">
        <f ca="1">ROUND(Table15781012[[#This Row],[Cash Flow]]/((1+ActualRateToUse)^(IF(ISNUMBER(SEARCH("Actual",$C$7)),Table15781012[[#This Row],[Running Total]]/365,Table15781012[[#This Row],[Period]]/12))),2)</f>
        <v>0</v>
      </c>
      <c r="R181" s="2">
        <f>IF(MONTH(Table15781012[[#This Row],[Date]])=2,28,DAY(DATE(YEAR(Table15781012[[#This Row],[Date]]),MONTH(Table15781012[[#This Row],[Date]])+1,1)-1))</f>
        <v>31</v>
      </c>
      <c r="S181" s="2">
        <f ca="1">SUM(OFFSET(Table15781012[[#Headers],[Days in month]],1,0):Table15781012[[#This Row],[Days in month]])</f>
        <v>5019</v>
      </c>
      <c r="T181" s="37">
        <f>InterestRate*AmortizationMultiplier*IF(ISNUMBER(SEARCH("Actual",$C$7)),Table15781012[[#This Row],[Days in month]]/365,1/12)</f>
        <v>6.0708333333333326E-3</v>
      </c>
    </row>
    <row r="182" spans="2:20" x14ac:dyDescent="0.2">
      <c r="B182" s="1">
        <f t="shared" si="6"/>
        <v>50890</v>
      </c>
      <c r="C182" s="2">
        <f t="shared" si="8"/>
        <v>166</v>
      </c>
      <c r="D182" s="3">
        <f t="shared" si="7"/>
        <v>0</v>
      </c>
      <c r="E182" s="3">
        <f>ROUND(Table15781012[[#This Row],[Beginning Balance]]*Table15781012[[#This Row],[Monthly Interest Rate]],2)</f>
        <v>0</v>
      </c>
      <c r="F182" s="3">
        <f t="shared" si="9"/>
        <v>186</v>
      </c>
      <c r="G182" s="23">
        <f>IFERROR(IF($C$13="No","N/A",IF(Table15781012[[#This Row],[Period]]=1,$C$6,PMT(InterestRate*AmortizationMultiplier/12,Table15781012[[#This Row],[Am Thru]],-Table15781012[[#This Row],[Beginning Balance]]))),0)</f>
        <v>0</v>
      </c>
      <c r="H182" s="3">
        <f>MAX(0,IF(C182=$C$4,D182,ROUND(IF($C$3="Fixed Principal",$C$6-Table15781012[[#This Row],[Interest]],IF($C$3="Interest Only",Table15781012[[#This Row],[Beginning Balance]]*ROUND(1-(1-IF($C$11="No",$E$8,1))^(1/12),6),MIN(IF($C$13="Yes",Table15781012[[#This Row],[Payment Amount (Reamortized)]],$C$6)-Table15781012[[#This Row],[Interest]],Table15781012[[#This Row],[Beginning Balance]]))),2)))</f>
        <v>0</v>
      </c>
      <c r="I182" s="3">
        <f>_xlfn.SINGLE(IF($C$3="Line of Credit",0,ROUND(MAX(MIN(IF($C$10="No",$E$7,VLOOKUP(Table15781012[[#This Row],[Period]],Forecast!$H$2:$L$1048576,4,FALSE))*Table15781012[[#This Row],[Beginning Balance]],Table15781012[[#This Row],[Beginning Balance]]-Table15781012[[#This Row],[Principal]]),0),2)))</f>
        <v>0</v>
      </c>
      <c r="J182" s="3">
        <f>ROUND(MIN(Table15781012[[#This Row],[Beginning Balance]]*IF($C$8="No",$E$3,VLOOKUP(Table15781012[[#This Row],[Period]],Forecast!$H$2:$L$1048576,2,FALSE)),Table15781012[[#This Row],[Beginning Balance]]-Table15781012[[#This Row],[Principal]]-Table15781012[[#This Row],[Prepayments]]),2)</f>
        <v>0</v>
      </c>
      <c r="K182" s="3">
        <f>ROUND(Table15781012[[#This Row],[Defaulted Principal]]*IF($C$9="No",$E$4,VLOOKUP(Table15781012[[#This Row],[Period]],Forecast!$H$2:$L$1048576,3,FALSE)),2)</f>
        <v>0</v>
      </c>
      <c r="L182" s="2">
        <f>Table15781012[[#This Row],[Period]]+$E$9</f>
        <v>178</v>
      </c>
      <c r="M182" s="3">
        <f>Table15781012[[#This Row],[Defaulted Principal]]-Table15781012[[#This Row],[Estimated Loss]]</f>
        <v>0</v>
      </c>
      <c r="N182" s="3">
        <f>IFERROR(VLOOKUP(Table15781012[[#This Row],[Period]],$L$16:$M$385,2,FALSE),0)</f>
        <v>0</v>
      </c>
      <c r="O182" s="3">
        <f>Table15781012[[#This Row],[Beginning Balance]]-Table15781012[[#This Row],[Principal]]-Table15781012[[#This Row],[Prepayments]]-Table15781012[[#This Row],[Defaulted Principal]]</f>
        <v>0</v>
      </c>
      <c r="P182" s="3">
        <f>Table15781012[[#This Row],[Principal]]+Table15781012[[#This Row],[Interest]]+Table15781012[[#This Row],[Prepayments]]+Table15781012[[#This Row],[RecoveredAmount]]</f>
        <v>0</v>
      </c>
      <c r="Q182" s="3">
        <f ca="1">ROUND(Table15781012[[#This Row],[Cash Flow]]/((1+ActualRateToUse)^(IF(ISNUMBER(SEARCH("Actual",$C$7)),Table15781012[[#This Row],[Running Total]]/365,Table15781012[[#This Row],[Period]]/12))),2)</f>
        <v>0</v>
      </c>
      <c r="R182" s="2">
        <f>IF(MONTH(Table15781012[[#This Row],[Date]])=2,28,DAY(DATE(YEAR(Table15781012[[#This Row],[Date]]),MONTH(Table15781012[[#This Row],[Date]])+1,1)-1))</f>
        <v>30</v>
      </c>
      <c r="S182" s="2">
        <f ca="1">SUM(OFFSET(Table15781012[[#Headers],[Days in month]],1,0):Table15781012[[#This Row],[Days in month]])</f>
        <v>5049</v>
      </c>
      <c r="T182" s="37">
        <f>InterestRate*AmortizationMultiplier*IF(ISNUMBER(SEARCH("Actual",$C$7)),Table15781012[[#This Row],[Days in month]]/365,1/12)</f>
        <v>5.8749999999999991E-3</v>
      </c>
    </row>
    <row r="183" spans="2:20" x14ac:dyDescent="0.2">
      <c r="B183" s="1">
        <f t="shared" si="6"/>
        <v>50921</v>
      </c>
      <c r="C183" s="2">
        <f t="shared" si="8"/>
        <v>167</v>
      </c>
      <c r="D183" s="3">
        <f t="shared" si="7"/>
        <v>0</v>
      </c>
      <c r="E183" s="3">
        <f>ROUND(Table15781012[[#This Row],[Beginning Balance]]*Table15781012[[#This Row],[Monthly Interest Rate]],2)</f>
        <v>0</v>
      </c>
      <c r="F183" s="3">
        <f t="shared" si="9"/>
        <v>185</v>
      </c>
      <c r="G183" s="23">
        <f>IFERROR(IF($C$13="No","N/A",IF(Table15781012[[#This Row],[Period]]=1,$C$6,PMT(InterestRate*AmortizationMultiplier/12,Table15781012[[#This Row],[Am Thru]],-Table15781012[[#This Row],[Beginning Balance]]))),0)</f>
        <v>0</v>
      </c>
      <c r="H183" s="3">
        <f>MAX(0,IF(C183=$C$4,D183,ROUND(IF($C$3="Fixed Principal",$C$6-Table15781012[[#This Row],[Interest]],IF($C$3="Interest Only",Table15781012[[#This Row],[Beginning Balance]]*ROUND(1-(1-IF($C$11="No",$E$8,1))^(1/12),6),MIN(IF($C$13="Yes",Table15781012[[#This Row],[Payment Amount (Reamortized)]],$C$6)-Table15781012[[#This Row],[Interest]],Table15781012[[#This Row],[Beginning Balance]]))),2)))</f>
        <v>0</v>
      </c>
      <c r="I183" s="3">
        <f>_xlfn.SINGLE(IF($C$3="Line of Credit",0,ROUND(MAX(MIN(IF($C$10="No",$E$7,VLOOKUP(Table15781012[[#This Row],[Period]],Forecast!$H$2:$L$1048576,4,FALSE))*Table15781012[[#This Row],[Beginning Balance]],Table15781012[[#This Row],[Beginning Balance]]-Table15781012[[#This Row],[Principal]]),0),2)))</f>
        <v>0</v>
      </c>
      <c r="J183" s="3">
        <f>ROUND(MIN(Table15781012[[#This Row],[Beginning Balance]]*IF($C$8="No",$E$3,VLOOKUP(Table15781012[[#This Row],[Period]],Forecast!$H$2:$L$1048576,2,FALSE)),Table15781012[[#This Row],[Beginning Balance]]-Table15781012[[#This Row],[Principal]]-Table15781012[[#This Row],[Prepayments]]),2)</f>
        <v>0</v>
      </c>
      <c r="K183" s="3">
        <f>ROUND(Table15781012[[#This Row],[Defaulted Principal]]*IF($C$9="No",$E$4,VLOOKUP(Table15781012[[#This Row],[Period]],Forecast!$H$2:$L$1048576,3,FALSE)),2)</f>
        <v>0</v>
      </c>
      <c r="L183" s="2">
        <f>Table15781012[[#This Row],[Period]]+$E$9</f>
        <v>179</v>
      </c>
      <c r="M183" s="3">
        <f>Table15781012[[#This Row],[Defaulted Principal]]-Table15781012[[#This Row],[Estimated Loss]]</f>
        <v>0</v>
      </c>
      <c r="N183" s="3">
        <f>IFERROR(VLOOKUP(Table15781012[[#This Row],[Period]],$L$16:$M$385,2,FALSE),0)</f>
        <v>0</v>
      </c>
      <c r="O183" s="3">
        <f>Table15781012[[#This Row],[Beginning Balance]]-Table15781012[[#This Row],[Principal]]-Table15781012[[#This Row],[Prepayments]]-Table15781012[[#This Row],[Defaulted Principal]]</f>
        <v>0</v>
      </c>
      <c r="P183" s="3">
        <f>Table15781012[[#This Row],[Principal]]+Table15781012[[#This Row],[Interest]]+Table15781012[[#This Row],[Prepayments]]+Table15781012[[#This Row],[RecoveredAmount]]</f>
        <v>0</v>
      </c>
      <c r="Q183" s="3">
        <f ca="1">ROUND(Table15781012[[#This Row],[Cash Flow]]/((1+ActualRateToUse)^(IF(ISNUMBER(SEARCH("Actual",$C$7)),Table15781012[[#This Row],[Running Total]]/365,Table15781012[[#This Row],[Period]]/12))),2)</f>
        <v>0</v>
      </c>
      <c r="R183" s="2">
        <f>IF(MONTH(Table15781012[[#This Row],[Date]])=2,28,DAY(DATE(YEAR(Table15781012[[#This Row],[Date]]),MONTH(Table15781012[[#This Row],[Date]])+1,1)-1))</f>
        <v>31</v>
      </c>
      <c r="S183" s="2">
        <f ca="1">SUM(OFFSET(Table15781012[[#Headers],[Days in month]],1,0):Table15781012[[#This Row],[Days in month]])</f>
        <v>5080</v>
      </c>
      <c r="T183" s="37">
        <f>InterestRate*AmortizationMultiplier*IF(ISNUMBER(SEARCH("Actual",$C$7)),Table15781012[[#This Row],[Days in month]]/365,1/12)</f>
        <v>6.0708333333333326E-3</v>
      </c>
    </row>
    <row r="184" spans="2:20" x14ac:dyDescent="0.2">
      <c r="B184" s="1">
        <f t="shared" si="6"/>
        <v>50951</v>
      </c>
      <c r="C184" s="2">
        <f t="shared" si="8"/>
        <v>168</v>
      </c>
      <c r="D184" s="3">
        <f t="shared" si="7"/>
        <v>0</v>
      </c>
      <c r="E184" s="3">
        <f>ROUND(Table15781012[[#This Row],[Beginning Balance]]*Table15781012[[#This Row],[Monthly Interest Rate]],2)</f>
        <v>0</v>
      </c>
      <c r="F184" s="3">
        <f t="shared" si="9"/>
        <v>184</v>
      </c>
      <c r="G184" s="23">
        <f>IFERROR(IF($C$13="No","N/A",IF(Table15781012[[#This Row],[Period]]=1,$C$6,PMT(InterestRate*AmortizationMultiplier/12,Table15781012[[#This Row],[Am Thru]],-Table15781012[[#This Row],[Beginning Balance]]))),0)</f>
        <v>0</v>
      </c>
      <c r="H184" s="3">
        <f>MAX(0,IF(C184=$C$4,D184,ROUND(IF($C$3="Fixed Principal",$C$6-Table15781012[[#This Row],[Interest]],IF($C$3="Interest Only",Table15781012[[#This Row],[Beginning Balance]]*ROUND(1-(1-IF($C$11="No",$E$8,1))^(1/12),6),MIN(IF($C$13="Yes",Table15781012[[#This Row],[Payment Amount (Reamortized)]],$C$6)-Table15781012[[#This Row],[Interest]],Table15781012[[#This Row],[Beginning Balance]]))),2)))</f>
        <v>0</v>
      </c>
      <c r="I184" s="3">
        <f>_xlfn.SINGLE(IF($C$3="Line of Credit",0,ROUND(MAX(MIN(IF($C$10="No",$E$7,VLOOKUP(Table15781012[[#This Row],[Period]],Forecast!$H$2:$L$1048576,4,FALSE))*Table15781012[[#This Row],[Beginning Balance]],Table15781012[[#This Row],[Beginning Balance]]-Table15781012[[#This Row],[Principal]]),0),2)))</f>
        <v>0</v>
      </c>
      <c r="J184" s="3">
        <f>ROUND(MIN(Table15781012[[#This Row],[Beginning Balance]]*IF($C$8="No",$E$3,VLOOKUP(Table15781012[[#This Row],[Period]],Forecast!$H$2:$L$1048576,2,FALSE)),Table15781012[[#This Row],[Beginning Balance]]-Table15781012[[#This Row],[Principal]]-Table15781012[[#This Row],[Prepayments]]),2)</f>
        <v>0</v>
      </c>
      <c r="K184" s="3">
        <f>ROUND(Table15781012[[#This Row],[Defaulted Principal]]*IF($C$9="No",$E$4,VLOOKUP(Table15781012[[#This Row],[Period]],Forecast!$H$2:$L$1048576,3,FALSE)),2)</f>
        <v>0</v>
      </c>
      <c r="L184" s="2">
        <f>Table15781012[[#This Row],[Period]]+$E$9</f>
        <v>180</v>
      </c>
      <c r="M184" s="3">
        <f>Table15781012[[#This Row],[Defaulted Principal]]-Table15781012[[#This Row],[Estimated Loss]]</f>
        <v>0</v>
      </c>
      <c r="N184" s="3">
        <f>IFERROR(VLOOKUP(Table15781012[[#This Row],[Period]],$L$16:$M$385,2,FALSE),0)</f>
        <v>0</v>
      </c>
      <c r="O184" s="3">
        <f>Table15781012[[#This Row],[Beginning Balance]]-Table15781012[[#This Row],[Principal]]-Table15781012[[#This Row],[Prepayments]]-Table15781012[[#This Row],[Defaulted Principal]]</f>
        <v>0</v>
      </c>
      <c r="P184" s="3">
        <f>Table15781012[[#This Row],[Principal]]+Table15781012[[#This Row],[Interest]]+Table15781012[[#This Row],[Prepayments]]+Table15781012[[#This Row],[RecoveredAmount]]</f>
        <v>0</v>
      </c>
      <c r="Q184" s="3">
        <f ca="1">ROUND(Table15781012[[#This Row],[Cash Flow]]/((1+ActualRateToUse)^(IF(ISNUMBER(SEARCH("Actual",$C$7)),Table15781012[[#This Row],[Running Total]]/365,Table15781012[[#This Row],[Period]]/12))),2)</f>
        <v>0</v>
      </c>
      <c r="R184" s="2">
        <f>IF(MONTH(Table15781012[[#This Row],[Date]])=2,28,DAY(DATE(YEAR(Table15781012[[#This Row],[Date]]),MONTH(Table15781012[[#This Row],[Date]])+1,1)-1))</f>
        <v>30</v>
      </c>
      <c r="S184" s="2">
        <f ca="1">SUM(OFFSET(Table15781012[[#Headers],[Days in month]],1,0):Table15781012[[#This Row],[Days in month]])</f>
        <v>5110</v>
      </c>
      <c r="T184" s="37">
        <f>InterestRate*AmortizationMultiplier*IF(ISNUMBER(SEARCH("Actual",$C$7)),Table15781012[[#This Row],[Days in month]]/365,1/12)</f>
        <v>5.8749999999999991E-3</v>
      </c>
    </row>
    <row r="185" spans="2:20" x14ac:dyDescent="0.2">
      <c r="B185" s="1">
        <f t="shared" si="6"/>
        <v>50982</v>
      </c>
      <c r="C185" s="2">
        <f t="shared" si="8"/>
        <v>169</v>
      </c>
      <c r="D185" s="3">
        <f t="shared" si="7"/>
        <v>0</v>
      </c>
      <c r="E185" s="3">
        <f>ROUND(Table15781012[[#This Row],[Beginning Balance]]*Table15781012[[#This Row],[Monthly Interest Rate]],2)</f>
        <v>0</v>
      </c>
      <c r="F185" s="3">
        <f t="shared" si="9"/>
        <v>183</v>
      </c>
      <c r="G185" s="23">
        <f>IFERROR(IF($C$13="No","N/A",IF(Table15781012[[#This Row],[Period]]=1,$C$6,PMT(InterestRate*AmortizationMultiplier/12,Table15781012[[#This Row],[Am Thru]],-Table15781012[[#This Row],[Beginning Balance]]))),0)</f>
        <v>0</v>
      </c>
      <c r="H185" s="3">
        <f>MAX(0,IF(C185=$C$4,D185,ROUND(IF($C$3="Fixed Principal",$C$6-Table15781012[[#This Row],[Interest]],IF($C$3="Interest Only",Table15781012[[#This Row],[Beginning Balance]]*ROUND(1-(1-IF($C$11="No",$E$8,1))^(1/12),6),MIN(IF($C$13="Yes",Table15781012[[#This Row],[Payment Amount (Reamortized)]],$C$6)-Table15781012[[#This Row],[Interest]],Table15781012[[#This Row],[Beginning Balance]]))),2)))</f>
        <v>0</v>
      </c>
      <c r="I185" s="3">
        <f>_xlfn.SINGLE(IF($C$3="Line of Credit",0,ROUND(MAX(MIN(IF($C$10="No",$E$7,VLOOKUP(Table15781012[[#This Row],[Period]],Forecast!$H$2:$L$1048576,4,FALSE))*Table15781012[[#This Row],[Beginning Balance]],Table15781012[[#This Row],[Beginning Balance]]-Table15781012[[#This Row],[Principal]]),0),2)))</f>
        <v>0</v>
      </c>
      <c r="J185" s="3">
        <f>ROUND(MIN(Table15781012[[#This Row],[Beginning Balance]]*IF($C$8="No",$E$3,VLOOKUP(Table15781012[[#This Row],[Period]],Forecast!$H$2:$L$1048576,2,FALSE)),Table15781012[[#This Row],[Beginning Balance]]-Table15781012[[#This Row],[Principal]]-Table15781012[[#This Row],[Prepayments]]),2)</f>
        <v>0</v>
      </c>
      <c r="K185" s="3">
        <f>ROUND(Table15781012[[#This Row],[Defaulted Principal]]*IF($C$9="No",$E$4,VLOOKUP(Table15781012[[#This Row],[Period]],Forecast!$H$2:$L$1048576,3,FALSE)),2)</f>
        <v>0</v>
      </c>
      <c r="L185" s="2">
        <f>Table15781012[[#This Row],[Period]]+$E$9</f>
        <v>181</v>
      </c>
      <c r="M185" s="3">
        <f>Table15781012[[#This Row],[Defaulted Principal]]-Table15781012[[#This Row],[Estimated Loss]]</f>
        <v>0</v>
      </c>
      <c r="N185" s="3">
        <f>IFERROR(VLOOKUP(Table15781012[[#This Row],[Period]],$L$16:$M$385,2,FALSE),0)</f>
        <v>0</v>
      </c>
      <c r="O185" s="3">
        <f>Table15781012[[#This Row],[Beginning Balance]]-Table15781012[[#This Row],[Principal]]-Table15781012[[#This Row],[Prepayments]]-Table15781012[[#This Row],[Defaulted Principal]]</f>
        <v>0</v>
      </c>
      <c r="P185" s="3">
        <f>Table15781012[[#This Row],[Principal]]+Table15781012[[#This Row],[Interest]]+Table15781012[[#This Row],[Prepayments]]+Table15781012[[#This Row],[RecoveredAmount]]</f>
        <v>0</v>
      </c>
      <c r="Q185" s="3">
        <f ca="1">ROUND(Table15781012[[#This Row],[Cash Flow]]/((1+ActualRateToUse)^(IF(ISNUMBER(SEARCH("Actual",$C$7)),Table15781012[[#This Row],[Running Total]]/365,Table15781012[[#This Row],[Period]]/12))),2)</f>
        <v>0</v>
      </c>
      <c r="R185" s="2">
        <f>IF(MONTH(Table15781012[[#This Row],[Date]])=2,28,DAY(DATE(YEAR(Table15781012[[#This Row],[Date]]),MONTH(Table15781012[[#This Row],[Date]])+1,1)-1))</f>
        <v>31</v>
      </c>
      <c r="S185" s="2">
        <f ca="1">SUM(OFFSET(Table15781012[[#Headers],[Days in month]],1,0):Table15781012[[#This Row],[Days in month]])</f>
        <v>5141</v>
      </c>
      <c r="T185" s="37">
        <f>InterestRate*AmortizationMultiplier*IF(ISNUMBER(SEARCH("Actual",$C$7)),Table15781012[[#This Row],[Days in month]]/365,1/12)</f>
        <v>6.0708333333333326E-3</v>
      </c>
    </row>
    <row r="186" spans="2:20" x14ac:dyDescent="0.2">
      <c r="B186" s="1">
        <f t="shared" si="6"/>
        <v>51013</v>
      </c>
      <c r="C186" s="2">
        <f t="shared" si="8"/>
        <v>170</v>
      </c>
      <c r="D186" s="3">
        <f t="shared" si="7"/>
        <v>0</v>
      </c>
      <c r="E186" s="3">
        <f>ROUND(Table15781012[[#This Row],[Beginning Balance]]*Table15781012[[#This Row],[Monthly Interest Rate]],2)</f>
        <v>0</v>
      </c>
      <c r="F186" s="3">
        <f t="shared" si="9"/>
        <v>182</v>
      </c>
      <c r="G186" s="23">
        <f>IFERROR(IF($C$13="No","N/A",IF(Table15781012[[#This Row],[Period]]=1,$C$6,PMT(InterestRate*AmortizationMultiplier/12,Table15781012[[#This Row],[Am Thru]],-Table15781012[[#This Row],[Beginning Balance]]))),0)</f>
        <v>0</v>
      </c>
      <c r="H186" s="3">
        <f>MAX(0,IF(C186=$C$4,D186,ROUND(IF($C$3="Fixed Principal",$C$6-Table15781012[[#This Row],[Interest]],IF($C$3="Interest Only",Table15781012[[#This Row],[Beginning Balance]]*ROUND(1-(1-IF($C$11="No",$E$8,1))^(1/12),6),MIN(IF($C$13="Yes",Table15781012[[#This Row],[Payment Amount (Reamortized)]],$C$6)-Table15781012[[#This Row],[Interest]],Table15781012[[#This Row],[Beginning Balance]]))),2)))</f>
        <v>0</v>
      </c>
      <c r="I186" s="3">
        <f>_xlfn.SINGLE(IF($C$3="Line of Credit",0,ROUND(MAX(MIN(IF($C$10="No",$E$7,VLOOKUP(Table15781012[[#This Row],[Period]],Forecast!$H$2:$L$1048576,4,FALSE))*Table15781012[[#This Row],[Beginning Balance]],Table15781012[[#This Row],[Beginning Balance]]-Table15781012[[#This Row],[Principal]]),0),2)))</f>
        <v>0</v>
      </c>
      <c r="J186" s="3">
        <f>ROUND(MIN(Table15781012[[#This Row],[Beginning Balance]]*IF($C$8="No",$E$3,VLOOKUP(Table15781012[[#This Row],[Period]],Forecast!$H$2:$L$1048576,2,FALSE)),Table15781012[[#This Row],[Beginning Balance]]-Table15781012[[#This Row],[Principal]]-Table15781012[[#This Row],[Prepayments]]),2)</f>
        <v>0</v>
      </c>
      <c r="K186" s="3">
        <f>ROUND(Table15781012[[#This Row],[Defaulted Principal]]*IF($C$9="No",$E$4,VLOOKUP(Table15781012[[#This Row],[Period]],Forecast!$H$2:$L$1048576,3,FALSE)),2)</f>
        <v>0</v>
      </c>
      <c r="L186" s="2">
        <f>Table15781012[[#This Row],[Period]]+$E$9</f>
        <v>182</v>
      </c>
      <c r="M186" s="3">
        <f>Table15781012[[#This Row],[Defaulted Principal]]-Table15781012[[#This Row],[Estimated Loss]]</f>
        <v>0</v>
      </c>
      <c r="N186" s="3">
        <f>IFERROR(VLOOKUP(Table15781012[[#This Row],[Period]],$L$16:$M$385,2,FALSE),0)</f>
        <v>0</v>
      </c>
      <c r="O186" s="3">
        <f>Table15781012[[#This Row],[Beginning Balance]]-Table15781012[[#This Row],[Principal]]-Table15781012[[#This Row],[Prepayments]]-Table15781012[[#This Row],[Defaulted Principal]]</f>
        <v>0</v>
      </c>
      <c r="P186" s="3">
        <f>Table15781012[[#This Row],[Principal]]+Table15781012[[#This Row],[Interest]]+Table15781012[[#This Row],[Prepayments]]+Table15781012[[#This Row],[RecoveredAmount]]</f>
        <v>0</v>
      </c>
      <c r="Q186" s="3">
        <f ca="1">ROUND(Table15781012[[#This Row],[Cash Flow]]/((1+ActualRateToUse)^(IF(ISNUMBER(SEARCH("Actual",$C$7)),Table15781012[[#This Row],[Running Total]]/365,Table15781012[[#This Row],[Period]]/12))),2)</f>
        <v>0</v>
      </c>
      <c r="R186" s="2">
        <f>IF(MONTH(Table15781012[[#This Row],[Date]])=2,28,DAY(DATE(YEAR(Table15781012[[#This Row],[Date]]),MONTH(Table15781012[[#This Row],[Date]])+1,1)-1))</f>
        <v>31</v>
      </c>
      <c r="S186" s="2">
        <f ca="1">SUM(OFFSET(Table15781012[[#Headers],[Days in month]],1,0):Table15781012[[#This Row],[Days in month]])</f>
        <v>5172</v>
      </c>
      <c r="T186" s="37">
        <f>InterestRate*AmortizationMultiplier*IF(ISNUMBER(SEARCH("Actual",$C$7)),Table15781012[[#This Row],[Days in month]]/365,1/12)</f>
        <v>6.0708333333333326E-3</v>
      </c>
    </row>
    <row r="187" spans="2:20" x14ac:dyDescent="0.2">
      <c r="B187" s="1">
        <f t="shared" si="6"/>
        <v>51043</v>
      </c>
      <c r="C187" s="2">
        <f t="shared" si="8"/>
        <v>171</v>
      </c>
      <c r="D187" s="3">
        <f t="shared" si="7"/>
        <v>0</v>
      </c>
      <c r="E187" s="3">
        <f>ROUND(Table15781012[[#This Row],[Beginning Balance]]*Table15781012[[#This Row],[Monthly Interest Rate]],2)</f>
        <v>0</v>
      </c>
      <c r="F187" s="3">
        <f t="shared" si="9"/>
        <v>181</v>
      </c>
      <c r="G187" s="23">
        <f>IFERROR(IF($C$13="No","N/A",IF(Table15781012[[#This Row],[Period]]=1,$C$6,PMT(InterestRate*AmortizationMultiplier/12,Table15781012[[#This Row],[Am Thru]],-Table15781012[[#This Row],[Beginning Balance]]))),0)</f>
        <v>0</v>
      </c>
      <c r="H187" s="3">
        <f>MAX(0,IF(C187=$C$4,D187,ROUND(IF($C$3="Fixed Principal",$C$6-Table15781012[[#This Row],[Interest]],IF($C$3="Interest Only",Table15781012[[#This Row],[Beginning Balance]]*ROUND(1-(1-IF($C$11="No",$E$8,1))^(1/12),6),MIN(IF($C$13="Yes",Table15781012[[#This Row],[Payment Amount (Reamortized)]],$C$6)-Table15781012[[#This Row],[Interest]],Table15781012[[#This Row],[Beginning Balance]]))),2)))</f>
        <v>0</v>
      </c>
      <c r="I187" s="3">
        <f>_xlfn.SINGLE(IF($C$3="Line of Credit",0,ROUND(MAX(MIN(IF($C$10="No",$E$7,VLOOKUP(Table15781012[[#This Row],[Period]],Forecast!$H$2:$L$1048576,4,FALSE))*Table15781012[[#This Row],[Beginning Balance]],Table15781012[[#This Row],[Beginning Balance]]-Table15781012[[#This Row],[Principal]]),0),2)))</f>
        <v>0</v>
      </c>
      <c r="J187" s="3">
        <f>ROUND(MIN(Table15781012[[#This Row],[Beginning Balance]]*IF($C$8="No",$E$3,VLOOKUP(Table15781012[[#This Row],[Period]],Forecast!$H$2:$L$1048576,2,FALSE)),Table15781012[[#This Row],[Beginning Balance]]-Table15781012[[#This Row],[Principal]]-Table15781012[[#This Row],[Prepayments]]),2)</f>
        <v>0</v>
      </c>
      <c r="K187" s="3">
        <f>ROUND(Table15781012[[#This Row],[Defaulted Principal]]*IF($C$9="No",$E$4,VLOOKUP(Table15781012[[#This Row],[Period]],Forecast!$H$2:$L$1048576,3,FALSE)),2)</f>
        <v>0</v>
      </c>
      <c r="L187" s="2">
        <f>Table15781012[[#This Row],[Period]]+$E$9</f>
        <v>183</v>
      </c>
      <c r="M187" s="3">
        <f>Table15781012[[#This Row],[Defaulted Principal]]-Table15781012[[#This Row],[Estimated Loss]]</f>
        <v>0</v>
      </c>
      <c r="N187" s="3">
        <f>IFERROR(VLOOKUP(Table15781012[[#This Row],[Period]],$L$16:$M$385,2,FALSE),0)</f>
        <v>0</v>
      </c>
      <c r="O187" s="3">
        <f>Table15781012[[#This Row],[Beginning Balance]]-Table15781012[[#This Row],[Principal]]-Table15781012[[#This Row],[Prepayments]]-Table15781012[[#This Row],[Defaulted Principal]]</f>
        <v>0</v>
      </c>
      <c r="P187" s="3">
        <f>Table15781012[[#This Row],[Principal]]+Table15781012[[#This Row],[Interest]]+Table15781012[[#This Row],[Prepayments]]+Table15781012[[#This Row],[RecoveredAmount]]</f>
        <v>0</v>
      </c>
      <c r="Q187" s="3">
        <f ca="1">ROUND(Table15781012[[#This Row],[Cash Flow]]/((1+ActualRateToUse)^(IF(ISNUMBER(SEARCH("Actual",$C$7)),Table15781012[[#This Row],[Running Total]]/365,Table15781012[[#This Row],[Period]]/12))),2)</f>
        <v>0</v>
      </c>
      <c r="R187" s="2">
        <f>IF(MONTH(Table15781012[[#This Row],[Date]])=2,28,DAY(DATE(YEAR(Table15781012[[#This Row],[Date]]),MONTH(Table15781012[[#This Row],[Date]])+1,1)-1))</f>
        <v>30</v>
      </c>
      <c r="S187" s="2">
        <f ca="1">SUM(OFFSET(Table15781012[[#Headers],[Days in month]],1,0):Table15781012[[#This Row],[Days in month]])</f>
        <v>5202</v>
      </c>
      <c r="T187" s="37">
        <f>InterestRate*AmortizationMultiplier*IF(ISNUMBER(SEARCH("Actual",$C$7)),Table15781012[[#This Row],[Days in month]]/365,1/12)</f>
        <v>5.8749999999999991E-3</v>
      </c>
    </row>
    <row r="188" spans="2:20" x14ac:dyDescent="0.2">
      <c r="B188" s="1">
        <f t="shared" si="6"/>
        <v>51074</v>
      </c>
      <c r="C188" s="2">
        <f t="shared" si="8"/>
        <v>172</v>
      </c>
      <c r="D188" s="3">
        <f t="shared" si="7"/>
        <v>0</v>
      </c>
      <c r="E188" s="3">
        <f>ROUND(Table15781012[[#This Row],[Beginning Balance]]*Table15781012[[#This Row],[Monthly Interest Rate]],2)</f>
        <v>0</v>
      </c>
      <c r="F188" s="3">
        <f t="shared" si="9"/>
        <v>180</v>
      </c>
      <c r="G188" s="23">
        <f>IFERROR(IF($C$13="No","N/A",IF(Table15781012[[#This Row],[Period]]=1,$C$6,PMT(InterestRate*AmortizationMultiplier/12,Table15781012[[#This Row],[Am Thru]],-Table15781012[[#This Row],[Beginning Balance]]))),0)</f>
        <v>0</v>
      </c>
      <c r="H188" s="3">
        <f>MAX(0,IF(C188=$C$4,D188,ROUND(IF($C$3="Fixed Principal",$C$6-Table15781012[[#This Row],[Interest]],IF($C$3="Interest Only",Table15781012[[#This Row],[Beginning Balance]]*ROUND(1-(1-IF($C$11="No",$E$8,1))^(1/12),6),MIN(IF($C$13="Yes",Table15781012[[#This Row],[Payment Amount (Reamortized)]],$C$6)-Table15781012[[#This Row],[Interest]],Table15781012[[#This Row],[Beginning Balance]]))),2)))</f>
        <v>0</v>
      </c>
      <c r="I188" s="3">
        <f>_xlfn.SINGLE(IF($C$3="Line of Credit",0,ROUND(MAX(MIN(IF($C$10="No",$E$7,VLOOKUP(Table15781012[[#This Row],[Period]],Forecast!$H$2:$L$1048576,4,FALSE))*Table15781012[[#This Row],[Beginning Balance]],Table15781012[[#This Row],[Beginning Balance]]-Table15781012[[#This Row],[Principal]]),0),2)))</f>
        <v>0</v>
      </c>
      <c r="J188" s="3">
        <f>ROUND(MIN(Table15781012[[#This Row],[Beginning Balance]]*IF($C$8="No",$E$3,VLOOKUP(Table15781012[[#This Row],[Period]],Forecast!$H$2:$L$1048576,2,FALSE)),Table15781012[[#This Row],[Beginning Balance]]-Table15781012[[#This Row],[Principal]]-Table15781012[[#This Row],[Prepayments]]),2)</f>
        <v>0</v>
      </c>
      <c r="K188" s="3">
        <f>ROUND(Table15781012[[#This Row],[Defaulted Principal]]*IF($C$9="No",$E$4,VLOOKUP(Table15781012[[#This Row],[Period]],Forecast!$H$2:$L$1048576,3,FALSE)),2)</f>
        <v>0</v>
      </c>
      <c r="L188" s="2">
        <f>Table15781012[[#This Row],[Period]]+$E$9</f>
        <v>184</v>
      </c>
      <c r="M188" s="3">
        <f>Table15781012[[#This Row],[Defaulted Principal]]-Table15781012[[#This Row],[Estimated Loss]]</f>
        <v>0</v>
      </c>
      <c r="N188" s="3">
        <f>IFERROR(VLOOKUP(Table15781012[[#This Row],[Period]],$L$16:$M$385,2,FALSE),0)</f>
        <v>0</v>
      </c>
      <c r="O188" s="3">
        <f>Table15781012[[#This Row],[Beginning Balance]]-Table15781012[[#This Row],[Principal]]-Table15781012[[#This Row],[Prepayments]]-Table15781012[[#This Row],[Defaulted Principal]]</f>
        <v>0</v>
      </c>
      <c r="P188" s="3">
        <f>Table15781012[[#This Row],[Principal]]+Table15781012[[#This Row],[Interest]]+Table15781012[[#This Row],[Prepayments]]+Table15781012[[#This Row],[RecoveredAmount]]</f>
        <v>0</v>
      </c>
      <c r="Q188" s="3">
        <f ca="1">ROUND(Table15781012[[#This Row],[Cash Flow]]/((1+ActualRateToUse)^(IF(ISNUMBER(SEARCH("Actual",$C$7)),Table15781012[[#This Row],[Running Total]]/365,Table15781012[[#This Row],[Period]]/12))),2)</f>
        <v>0</v>
      </c>
      <c r="R188" s="2">
        <f>IF(MONTH(Table15781012[[#This Row],[Date]])=2,28,DAY(DATE(YEAR(Table15781012[[#This Row],[Date]]),MONTH(Table15781012[[#This Row],[Date]])+1,1)-1))</f>
        <v>31</v>
      </c>
      <c r="S188" s="2">
        <f ca="1">SUM(OFFSET(Table15781012[[#Headers],[Days in month]],1,0):Table15781012[[#This Row],[Days in month]])</f>
        <v>5233</v>
      </c>
      <c r="T188" s="37">
        <f>InterestRate*AmortizationMultiplier*IF(ISNUMBER(SEARCH("Actual",$C$7)),Table15781012[[#This Row],[Days in month]]/365,1/12)</f>
        <v>6.0708333333333326E-3</v>
      </c>
    </row>
    <row r="189" spans="2:20" x14ac:dyDescent="0.2">
      <c r="B189" s="1">
        <f t="shared" si="6"/>
        <v>51104</v>
      </c>
      <c r="C189" s="2">
        <f t="shared" si="8"/>
        <v>173</v>
      </c>
      <c r="D189" s="3">
        <f t="shared" si="7"/>
        <v>0</v>
      </c>
      <c r="E189" s="3">
        <f>ROUND(Table15781012[[#This Row],[Beginning Balance]]*Table15781012[[#This Row],[Monthly Interest Rate]],2)</f>
        <v>0</v>
      </c>
      <c r="F189" s="3">
        <f t="shared" si="9"/>
        <v>179</v>
      </c>
      <c r="G189" s="23">
        <f>IFERROR(IF($C$13="No","N/A",IF(Table15781012[[#This Row],[Period]]=1,$C$6,PMT(InterestRate*AmortizationMultiplier/12,Table15781012[[#This Row],[Am Thru]],-Table15781012[[#This Row],[Beginning Balance]]))),0)</f>
        <v>0</v>
      </c>
      <c r="H189" s="3">
        <f>MAX(0,IF(C189=$C$4,D189,ROUND(IF($C$3="Fixed Principal",$C$6-Table15781012[[#This Row],[Interest]],IF($C$3="Interest Only",Table15781012[[#This Row],[Beginning Balance]]*ROUND(1-(1-IF($C$11="No",$E$8,1))^(1/12),6),MIN(IF($C$13="Yes",Table15781012[[#This Row],[Payment Amount (Reamortized)]],$C$6)-Table15781012[[#This Row],[Interest]],Table15781012[[#This Row],[Beginning Balance]]))),2)))</f>
        <v>0</v>
      </c>
      <c r="I189" s="3">
        <f>_xlfn.SINGLE(IF($C$3="Line of Credit",0,ROUND(MAX(MIN(IF($C$10="No",$E$7,VLOOKUP(Table15781012[[#This Row],[Period]],Forecast!$H$2:$L$1048576,4,FALSE))*Table15781012[[#This Row],[Beginning Balance]],Table15781012[[#This Row],[Beginning Balance]]-Table15781012[[#This Row],[Principal]]),0),2)))</f>
        <v>0</v>
      </c>
      <c r="J189" s="3">
        <f>ROUND(MIN(Table15781012[[#This Row],[Beginning Balance]]*IF($C$8="No",$E$3,VLOOKUP(Table15781012[[#This Row],[Period]],Forecast!$H$2:$L$1048576,2,FALSE)),Table15781012[[#This Row],[Beginning Balance]]-Table15781012[[#This Row],[Principal]]-Table15781012[[#This Row],[Prepayments]]),2)</f>
        <v>0</v>
      </c>
      <c r="K189" s="3">
        <f>ROUND(Table15781012[[#This Row],[Defaulted Principal]]*IF($C$9="No",$E$4,VLOOKUP(Table15781012[[#This Row],[Period]],Forecast!$H$2:$L$1048576,3,FALSE)),2)</f>
        <v>0</v>
      </c>
      <c r="L189" s="2">
        <f>Table15781012[[#This Row],[Period]]+$E$9</f>
        <v>185</v>
      </c>
      <c r="M189" s="3">
        <f>Table15781012[[#This Row],[Defaulted Principal]]-Table15781012[[#This Row],[Estimated Loss]]</f>
        <v>0</v>
      </c>
      <c r="N189" s="3">
        <f>IFERROR(VLOOKUP(Table15781012[[#This Row],[Period]],$L$16:$M$385,2,FALSE),0)</f>
        <v>0</v>
      </c>
      <c r="O189" s="3">
        <f>Table15781012[[#This Row],[Beginning Balance]]-Table15781012[[#This Row],[Principal]]-Table15781012[[#This Row],[Prepayments]]-Table15781012[[#This Row],[Defaulted Principal]]</f>
        <v>0</v>
      </c>
      <c r="P189" s="3">
        <f>Table15781012[[#This Row],[Principal]]+Table15781012[[#This Row],[Interest]]+Table15781012[[#This Row],[Prepayments]]+Table15781012[[#This Row],[RecoveredAmount]]</f>
        <v>0</v>
      </c>
      <c r="Q189" s="3">
        <f ca="1">ROUND(Table15781012[[#This Row],[Cash Flow]]/((1+ActualRateToUse)^(IF(ISNUMBER(SEARCH("Actual",$C$7)),Table15781012[[#This Row],[Running Total]]/365,Table15781012[[#This Row],[Period]]/12))),2)</f>
        <v>0</v>
      </c>
      <c r="R189" s="2">
        <f>IF(MONTH(Table15781012[[#This Row],[Date]])=2,28,DAY(DATE(YEAR(Table15781012[[#This Row],[Date]]),MONTH(Table15781012[[#This Row],[Date]])+1,1)-1))</f>
        <v>30</v>
      </c>
      <c r="S189" s="2">
        <f ca="1">SUM(OFFSET(Table15781012[[#Headers],[Days in month]],1,0):Table15781012[[#This Row],[Days in month]])</f>
        <v>5263</v>
      </c>
      <c r="T189" s="37">
        <f>InterestRate*AmortizationMultiplier*IF(ISNUMBER(SEARCH("Actual",$C$7)),Table15781012[[#This Row],[Days in month]]/365,1/12)</f>
        <v>5.8749999999999991E-3</v>
      </c>
    </row>
    <row r="190" spans="2:20" x14ac:dyDescent="0.2">
      <c r="B190" s="1">
        <f t="shared" si="6"/>
        <v>51135</v>
      </c>
      <c r="C190" s="2">
        <f t="shared" si="8"/>
        <v>174</v>
      </c>
      <c r="D190" s="3">
        <f t="shared" si="7"/>
        <v>0</v>
      </c>
      <c r="E190" s="3">
        <f>ROUND(Table15781012[[#This Row],[Beginning Balance]]*Table15781012[[#This Row],[Monthly Interest Rate]],2)</f>
        <v>0</v>
      </c>
      <c r="F190" s="3">
        <f t="shared" si="9"/>
        <v>178</v>
      </c>
      <c r="G190" s="23">
        <f>IFERROR(IF($C$13="No","N/A",IF(Table15781012[[#This Row],[Period]]=1,$C$6,PMT(InterestRate*AmortizationMultiplier/12,Table15781012[[#This Row],[Am Thru]],-Table15781012[[#This Row],[Beginning Balance]]))),0)</f>
        <v>0</v>
      </c>
      <c r="H190" s="3">
        <f>MAX(0,IF(C190=$C$4,D190,ROUND(IF($C$3="Fixed Principal",$C$6-Table15781012[[#This Row],[Interest]],IF($C$3="Interest Only",Table15781012[[#This Row],[Beginning Balance]]*ROUND(1-(1-IF($C$11="No",$E$8,1))^(1/12),6),MIN(IF($C$13="Yes",Table15781012[[#This Row],[Payment Amount (Reamortized)]],$C$6)-Table15781012[[#This Row],[Interest]],Table15781012[[#This Row],[Beginning Balance]]))),2)))</f>
        <v>0</v>
      </c>
      <c r="I190" s="3">
        <f>_xlfn.SINGLE(IF($C$3="Line of Credit",0,ROUND(MAX(MIN(IF($C$10="No",$E$7,VLOOKUP(Table15781012[[#This Row],[Period]],Forecast!$H$2:$L$1048576,4,FALSE))*Table15781012[[#This Row],[Beginning Balance]],Table15781012[[#This Row],[Beginning Balance]]-Table15781012[[#This Row],[Principal]]),0),2)))</f>
        <v>0</v>
      </c>
      <c r="J190" s="3">
        <f>ROUND(MIN(Table15781012[[#This Row],[Beginning Balance]]*IF($C$8="No",$E$3,VLOOKUP(Table15781012[[#This Row],[Period]],Forecast!$H$2:$L$1048576,2,FALSE)),Table15781012[[#This Row],[Beginning Balance]]-Table15781012[[#This Row],[Principal]]-Table15781012[[#This Row],[Prepayments]]),2)</f>
        <v>0</v>
      </c>
      <c r="K190" s="3">
        <f>ROUND(Table15781012[[#This Row],[Defaulted Principal]]*IF($C$9="No",$E$4,VLOOKUP(Table15781012[[#This Row],[Period]],Forecast!$H$2:$L$1048576,3,FALSE)),2)</f>
        <v>0</v>
      </c>
      <c r="L190" s="2">
        <f>Table15781012[[#This Row],[Period]]+$E$9</f>
        <v>186</v>
      </c>
      <c r="M190" s="3">
        <f>Table15781012[[#This Row],[Defaulted Principal]]-Table15781012[[#This Row],[Estimated Loss]]</f>
        <v>0</v>
      </c>
      <c r="N190" s="3">
        <f>IFERROR(VLOOKUP(Table15781012[[#This Row],[Period]],$L$16:$M$385,2,FALSE),0)</f>
        <v>0</v>
      </c>
      <c r="O190" s="3">
        <f>Table15781012[[#This Row],[Beginning Balance]]-Table15781012[[#This Row],[Principal]]-Table15781012[[#This Row],[Prepayments]]-Table15781012[[#This Row],[Defaulted Principal]]</f>
        <v>0</v>
      </c>
      <c r="P190" s="3">
        <f>Table15781012[[#This Row],[Principal]]+Table15781012[[#This Row],[Interest]]+Table15781012[[#This Row],[Prepayments]]+Table15781012[[#This Row],[RecoveredAmount]]</f>
        <v>0</v>
      </c>
      <c r="Q190" s="3">
        <f ca="1">ROUND(Table15781012[[#This Row],[Cash Flow]]/((1+ActualRateToUse)^(IF(ISNUMBER(SEARCH("Actual",$C$7)),Table15781012[[#This Row],[Running Total]]/365,Table15781012[[#This Row],[Period]]/12))),2)</f>
        <v>0</v>
      </c>
      <c r="R190" s="2">
        <f>IF(MONTH(Table15781012[[#This Row],[Date]])=2,28,DAY(DATE(YEAR(Table15781012[[#This Row],[Date]]),MONTH(Table15781012[[#This Row],[Date]])+1,1)-1))</f>
        <v>31</v>
      </c>
      <c r="S190" s="2">
        <f ca="1">SUM(OFFSET(Table15781012[[#Headers],[Days in month]],1,0):Table15781012[[#This Row],[Days in month]])</f>
        <v>5294</v>
      </c>
      <c r="T190" s="37">
        <f>InterestRate*AmortizationMultiplier*IF(ISNUMBER(SEARCH("Actual",$C$7)),Table15781012[[#This Row],[Days in month]]/365,1/12)</f>
        <v>6.0708333333333326E-3</v>
      </c>
    </row>
    <row r="191" spans="2:20" x14ac:dyDescent="0.2">
      <c r="B191" s="1">
        <f t="shared" si="6"/>
        <v>51166</v>
      </c>
      <c r="C191" s="2">
        <f t="shared" si="8"/>
        <v>175</v>
      </c>
      <c r="D191" s="3">
        <f t="shared" si="7"/>
        <v>0</v>
      </c>
      <c r="E191" s="3">
        <f>ROUND(Table15781012[[#This Row],[Beginning Balance]]*Table15781012[[#This Row],[Monthly Interest Rate]],2)</f>
        <v>0</v>
      </c>
      <c r="F191" s="3">
        <f t="shared" si="9"/>
        <v>177</v>
      </c>
      <c r="G191" s="23">
        <f>IFERROR(IF($C$13="No","N/A",IF(Table15781012[[#This Row],[Period]]=1,$C$6,PMT(InterestRate*AmortizationMultiplier/12,Table15781012[[#This Row],[Am Thru]],-Table15781012[[#This Row],[Beginning Balance]]))),0)</f>
        <v>0</v>
      </c>
      <c r="H191" s="3">
        <f>MAX(0,IF(C191=$C$4,D191,ROUND(IF($C$3="Fixed Principal",$C$6-Table15781012[[#This Row],[Interest]],IF($C$3="Interest Only",Table15781012[[#This Row],[Beginning Balance]]*ROUND(1-(1-IF($C$11="No",$E$8,1))^(1/12),6),MIN(IF($C$13="Yes",Table15781012[[#This Row],[Payment Amount (Reamortized)]],$C$6)-Table15781012[[#This Row],[Interest]],Table15781012[[#This Row],[Beginning Balance]]))),2)))</f>
        <v>0</v>
      </c>
      <c r="I191" s="3">
        <f>_xlfn.SINGLE(IF($C$3="Line of Credit",0,ROUND(MAX(MIN(IF($C$10="No",$E$7,VLOOKUP(Table15781012[[#This Row],[Period]],Forecast!$H$2:$L$1048576,4,FALSE))*Table15781012[[#This Row],[Beginning Balance]],Table15781012[[#This Row],[Beginning Balance]]-Table15781012[[#This Row],[Principal]]),0),2)))</f>
        <v>0</v>
      </c>
      <c r="J191" s="3">
        <f>ROUND(MIN(Table15781012[[#This Row],[Beginning Balance]]*IF($C$8="No",$E$3,VLOOKUP(Table15781012[[#This Row],[Period]],Forecast!$H$2:$L$1048576,2,FALSE)),Table15781012[[#This Row],[Beginning Balance]]-Table15781012[[#This Row],[Principal]]-Table15781012[[#This Row],[Prepayments]]),2)</f>
        <v>0</v>
      </c>
      <c r="K191" s="3">
        <f>ROUND(Table15781012[[#This Row],[Defaulted Principal]]*IF($C$9="No",$E$4,VLOOKUP(Table15781012[[#This Row],[Period]],Forecast!$H$2:$L$1048576,3,FALSE)),2)</f>
        <v>0</v>
      </c>
      <c r="L191" s="2">
        <f>Table15781012[[#This Row],[Period]]+$E$9</f>
        <v>187</v>
      </c>
      <c r="M191" s="3">
        <f>Table15781012[[#This Row],[Defaulted Principal]]-Table15781012[[#This Row],[Estimated Loss]]</f>
        <v>0</v>
      </c>
      <c r="N191" s="3">
        <f>IFERROR(VLOOKUP(Table15781012[[#This Row],[Period]],$L$16:$M$385,2,FALSE),0)</f>
        <v>0</v>
      </c>
      <c r="O191" s="3">
        <f>Table15781012[[#This Row],[Beginning Balance]]-Table15781012[[#This Row],[Principal]]-Table15781012[[#This Row],[Prepayments]]-Table15781012[[#This Row],[Defaulted Principal]]</f>
        <v>0</v>
      </c>
      <c r="P191" s="3">
        <f>Table15781012[[#This Row],[Principal]]+Table15781012[[#This Row],[Interest]]+Table15781012[[#This Row],[Prepayments]]+Table15781012[[#This Row],[RecoveredAmount]]</f>
        <v>0</v>
      </c>
      <c r="Q191" s="3">
        <f ca="1">ROUND(Table15781012[[#This Row],[Cash Flow]]/((1+ActualRateToUse)^(IF(ISNUMBER(SEARCH("Actual",$C$7)),Table15781012[[#This Row],[Running Total]]/365,Table15781012[[#This Row],[Period]]/12))),2)</f>
        <v>0</v>
      </c>
      <c r="R191" s="2">
        <f>IF(MONTH(Table15781012[[#This Row],[Date]])=2,28,DAY(DATE(YEAR(Table15781012[[#This Row],[Date]]),MONTH(Table15781012[[#This Row],[Date]])+1,1)-1))</f>
        <v>31</v>
      </c>
      <c r="S191" s="2">
        <f ca="1">SUM(OFFSET(Table15781012[[#Headers],[Days in month]],1,0):Table15781012[[#This Row],[Days in month]])</f>
        <v>5325</v>
      </c>
      <c r="T191" s="37">
        <f>InterestRate*AmortizationMultiplier*IF(ISNUMBER(SEARCH("Actual",$C$7)),Table15781012[[#This Row],[Days in month]]/365,1/12)</f>
        <v>6.0708333333333326E-3</v>
      </c>
    </row>
    <row r="192" spans="2:20" x14ac:dyDescent="0.2">
      <c r="B192" s="1">
        <f t="shared" si="6"/>
        <v>51195</v>
      </c>
      <c r="C192" s="2">
        <f t="shared" si="8"/>
        <v>176</v>
      </c>
      <c r="D192" s="3">
        <f t="shared" si="7"/>
        <v>0</v>
      </c>
      <c r="E192" s="3">
        <f>ROUND(Table15781012[[#This Row],[Beginning Balance]]*Table15781012[[#This Row],[Monthly Interest Rate]],2)</f>
        <v>0</v>
      </c>
      <c r="F192" s="3">
        <f t="shared" si="9"/>
        <v>176</v>
      </c>
      <c r="G192" s="23">
        <f>IFERROR(IF($C$13="No","N/A",IF(Table15781012[[#This Row],[Period]]=1,$C$6,PMT(InterestRate*AmortizationMultiplier/12,Table15781012[[#This Row],[Am Thru]],-Table15781012[[#This Row],[Beginning Balance]]))),0)</f>
        <v>0</v>
      </c>
      <c r="H192" s="3">
        <f>MAX(0,IF(C192=$C$4,D192,ROUND(IF($C$3="Fixed Principal",$C$6-Table15781012[[#This Row],[Interest]],IF($C$3="Interest Only",Table15781012[[#This Row],[Beginning Balance]]*ROUND(1-(1-IF($C$11="No",$E$8,1))^(1/12),6),MIN(IF($C$13="Yes",Table15781012[[#This Row],[Payment Amount (Reamortized)]],$C$6)-Table15781012[[#This Row],[Interest]],Table15781012[[#This Row],[Beginning Balance]]))),2)))</f>
        <v>0</v>
      </c>
      <c r="I192" s="3">
        <f>_xlfn.SINGLE(IF($C$3="Line of Credit",0,ROUND(MAX(MIN(IF($C$10="No",$E$7,VLOOKUP(Table15781012[[#This Row],[Period]],Forecast!$H$2:$L$1048576,4,FALSE))*Table15781012[[#This Row],[Beginning Balance]],Table15781012[[#This Row],[Beginning Balance]]-Table15781012[[#This Row],[Principal]]),0),2)))</f>
        <v>0</v>
      </c>
      <c r="J192" s="3">
        <f>ROUND(MIN(Table15781012[[#This Row],[Beginning Balance]]*IF($C$8="No",$E$3,VLOOKUP(Table15781012[[#This Row],[Period]],Forecast!$H$2:$L$1048576,2,FALSE)),Table15781012[[#This Row],[Beginning Balance]]-Table15781012[[#This Row],[Principal]]-Table15781012[[#This Row],[Prepayments]]),2)</f>
        <v>0</v>
      </c>
      <c r="K192" s="3">
        <f>ROUND(Table15781012[[#This Row],[Defaulted Principal]]*IF($C$9="No",$E$4,VLOOKUP(Table15781012[[#This Row],[Period]],Forecast!$H$2:$L$1048576,3,FALSE)),2)</f>
        <v>0</v>
      </c>
      <c r="L192" s="2">
        <f>Table15781012[[#This Row],[Period]]+$E$9</f>
        <v>188</v>
      </c>
      <c r="M192" s="3">
        <f>Table15781012[[#This Row],[Defaulted Principal]]-Table15781012[[#This Row],[Estimated Loss]]</f>
        <v>0</v>
      </c>
      <c r="N192" s="3">
        <f>IFERROR(VLOOKUP(Table15781012[[#This Row],[Period]],$L$16:$M$385,2,FALSE),0)</f>
        <v>0</v>
      </c>
      <c r="O192" s="3">
        <f>Table15781012[[#This Row],[Beginning Balance]]-Table15781012[[#This Row],[Principal]]-Table15781012[[#This Row],[Prepayments]]-Table15781012[[#This Row],[Defaulted Principal]]</f>
        <v>0</v>
      </c>
      <c r="P192" s="3">
        <f>Table15781012[[#This Row],[Principal]]+Table15781012[[#This Row],[Interest]]+Table15781012[[#This Row],[Prepayments]]+Table15781012[[#This Row],[RecoveredAmount]]</f>
        <v>0</v>
      </c>
      <c r="Q192" s="3">
        <f ca="1">ROUND(Table15781012[[#This Row],[Cash Flow]]/((1+ActualRateToUse)^(IF(ISNUMBER(SEARCH("Actual",$C$7)),Table15781012[[#This Row],[Running Total]]/365,Table15781012[[#This Row],[Period]]/12))),2)</f>
        <v>0</v>
      </c>
      <c r="R192" s="2">
        <f>IF(MONTH(Table15781012[[#This Row],[Date]])=2,28,DAY(DATE(YEAR(Table15781012[[#This Row],[Date]]),MONTH(Table15781012[[#This Row],[Date]])+1,1)-1))</f>
        <v>28</v>
      </c>
      <c r="S192" s="2">
        <f ca="1">SUM(OFFSET(Table15781012[[#Headers],[Days in month]],1,0):Table15781012[[#This Row],[Days in month]])</f>
        <v>5353</v>
      </c>
      <c r="T192" s="37">
        <f>InterestRate*AmortizationMultiplier*IF(ISNUMBER(SEARCH("Actual",$C$7)),Table15781012[[#This Row],[Days in month]]/365,1/12)</f>
        <v>5.4833333333333331E-3</v>
      </c>
    </row>
    <row r="193" spans="2:20" x14ac:dyDescent="0.2">
      <c r="B193" s="1">
        <f t="shared" si="6"/>
        <v>51226</v>
      </c>
      <c r="C193" s="2">
        <f t="shared" si="8"/>
        <v>177</v>
      </c>
      <c r="D193" s="3">
        <f t="shared" si="7"/>
        <v>0</v>
      </c>
      <c r="E193" s="3">
        <f>ROUND(Table15781012[[#This Row],[Beginning Balance]]*Table15781012[[#This Row],[Monthly Interest Rate]],2)</f>
        <v>0</v>
      </c>
      <c r="F193" s="3">
        <f t="shared" si="9"/>
        <v>175</v>
      </c>
      <c r="G193" s="23">
        <f>IFERROR(IF($C$13="No","N/A",IF(Table15781012[[#This Row],[Period]]=1,$C$6,PMT(InterestRate*AmortizationMultiplier/12,Table15781012[[#This Row],[Am Thru]],-Table15781012[[#This Row],[Beginning Balance]]))),0)</f>
        <v>0</v>
      </c>
      <c r="H193" s="3">
        <f>MAX(0,IF(C193=$C$4,D193,ROUND(IF($C$3="Fixed Principal",$C$6-Table15781012[[#This Row],[Interest]],IF($C$3="Interest Only",Table15781012[[#This Row],[Beginning Balance]]*ROUND(1-(1-IF($C$11="No",$E$8,1))^(1/12),6),MIN(IF($C$13="Yes",Table15781012[[#This Row],[Payment Amount (Reamortized)]],$C$6)-Table15781012[[#This Row],[Interest]],Table15781012[[#This Row],[Beginning Balance]]))),2)))</f>
        <v>0</v>
      </c>
      <c r="I193" s="3">
        <f>_xlfn.SINGLE(IF($C$3="Line of Credit",0,ROUND(MAX(MIN(IF($C$10="No",$E$7,VLOOKUP(Table15781012[[#This Row],[Period]],Forecast!$H$2:$L$1048576,4,FALSE))*Table15781012[[#This Row],[Beginning Balance]],Table15781012[[#This Row],[Beginning Balance]]-Table15781012[[#This Row],[Principal]]),0),2)))</f>
        <v>0</v>
      </c>
      <c r="J193" s="3">
        <f>ROUND(MIN(Table15781012[[#This Row],[Beginning Balance]]*IF($C$8="No",$E$3,VLOOKUP(Table15781012[[#This Row],[Period]],Forecast!$H$2:$L$1048576,2,FALSE)),Table15781012[[#This Row],[Beginning Balance]]-Table15781012[[#This Row],[Principal]]-Table15781012[[#This Row],[Prepayments]]),2)</f>
        <v>0</v>
      </c>
      <c r="K193" s="3">
        <f>ROUND(Table15781012[[#This Row],[Defaulted Principal]]*IF($C$9="No",$E$4,VLOOKUP(Table15781012[[#This Row],[Period]],Forecast!$H$2:$L$1048576,3,FALSE)),2)</f>
        <v>0</v>
      </c>
      <c r="L193" s="2">
        <f>Table15781012[[#This Row],[Period]]+$E$9</f>
        <v>189</v>
      </c>
      <c r="M193" s="3">
        <f>Table15781012[[#This Row],[Defaulted Principal]]-Table15781012[[#This Row],[Estimated Loss]]</f>
        <v>0</v>
      </c>
      <c r="N193" s="3">
        <f>IFERROR(VLOOKUP(Table15781012[[#This Row],[Period]],$L$16:$M$385,2,FALSE),0)</f>
        <v>0</v>
      </c>
      <c r="O193" s="3">
        <f>Table15781012[[#This Row],[Beginning Balance]]-Table15781012[[#This Row],[Principal]]-Table15781012[[#This Row],[Prepayments]]-Table15781012[[#This Row],[Defaulted Principal]]</f>
        <v>0</v>
      </c>
      <c r="P193" s="3">
        <f>Table15781012[[#This Row],[Principal]]+Table15781012[[#This Row],[Interest]]+Table15781012[[#This Row],[Prepayments]]+Table15781012[[#This Row],[RecoveredAmount]]</f>
        <v>0</v>
      </c>
      <c r="Q193" s="3">
        <f ca="1">ROUND(Table15781012[[#This Row],[Cash Flow]]/((1+ActualRateToUse)^(IF(ISNUMBER(SEARCH("Actual",$C$7)),Table15781012[[#This Row],[Running Total]]/365,Table15781012[[#This Row],[Period]]/12))),2)</f>
        <v>0</v>
      </c>
      <c r="R193" s="2">
        <f>IF(MONTH(Table15781012[[#This Row],[Date]])=2,28,DAY(DATE(YEAR(Table15781012[[#This Row],[Date]]),MONTH(Table15781012[[#This Row],[Date]])+1,1)-1))</f>
        <v>31</v>
      </c>
      <c r="S193" s="2">
        <f ca="1">SUM(OFFSET(Table15781012[[#Headers],[Days in month]],1,0):Table15781012[[#This Row],[Days in month]])</f>
        <v>5384</v>
      </c>
      <c r="T193" s="37">
        <f>InterestRate*AmortizationMultiplier*IF(ISNUMBER(SEARCH("Actual",$C$7)),Table15781012[[#This Row],[Days in month]]/365,1/12)</f>
        <v>6.0708333333333326E-3</v>
      </c>
    </row>
    <row r="194" spans="2:20" x14ac:dyDescent="0.2">
      <c r="B194" s="1">
        <f t="shared" si="6"/>
        <v>51256</v>
      </c>
      <c r="C194" s="2">
        <f t="shared" si="8"/>
        <v>178</v>
      </c>
      <c r="D194" s="3">
        <f t="shared" si="7"/>
        <v>0</v>
      </c>
      <c r="E194" s="3">
        <f>ROUND(Table15781012[[#This Row],[Beginning Balance]]*Table15781012[[#This Row],[Monthly Interest Rate]],2)</f>
        <v>0</v>
      </c>
      <c r="F194" s="3">
        <f t="shared" si="9"/>
        <v>174</v>
      </c>
      <c r="G194" s="23">
        <f>IFERROR(IF($C$13="No","N/A",IF(Table15781012[[#This Row],[Period]]=1,$C$6,PMT(InterestRate*AmortizationMultiplier/12,Table15781012[[#This Row],[Am Thru]],-Table15781012[[#This Row],[Beginning Balance]]))),0)</f>
        <v>0</v>
      </c>
      <c r="H194" s="3">
        <f>MAX(0,IF(C194=$C$4,D194,ROUND(IF($C$3="Fixed Principal",$C$6-Table15781012[[#This Row],[Interest]],IF($C$3="Interest Only",Table15781012[[#This Row],[Beginning Balance]]*ROUND(1-(1-IF($C$11="No",$E$8,1))^(1/12),6),MIN(IF($C$13="Yes",Table15781012[[#This Row],[Payment Amount (Reamortized)]],$C$6)-Table15781012[[#This Row],[Interest]],Table15781012[[#This Row],[Beginning Balance]]))),2)))</f>
        <v>0</v>
      </c>
      <c r="I194" s="3">
        <f>_xlfn.SINGLE(IF($C$3="Line of Credit",0,ROUND(MAX(MIN(IF($C$10="No",$E$7,VLOOKUP(Table15781012[[#This Row],[Period]],Forecast!$H$2:$L$1048576,4,FALSE))*Table15781012[[#This Row],[Beginning Balance]],Table15781012[[#This Row],[Beginning Balance]]-Table15781012[[#This Row],[Principal]]),0),2)))</f>
        <v>0</v>
      </c>
      <c r="J194" s="3">
        <f>ROUND(MIN(Table15781012[[#This Row],[Beginning Balance]]*IF($C$8="No",$E$3,VLOOKUP(Table15781012[[#This Row],[Period]],Forecast!$H$2:$L$1048576,2,FALSE)),Table15781012[[#This Row],[Beginning Balance]]-Table15781012[[#This Row],[Principal]]-Table15781012[[#This Row],[Prepayments]]),2)</f>
        <v>0</v>
      </c>
      <c r="K194" s="3">
        <f>ROUND(Table15781012[[#This Row],[Defaulted Principal]]*IF($C$9="No",$E$4,VLOOKUP(Table15781012[[#This Row],[Period]],Forecast!$H$2:$L$1048576,3,FALSE)),2)</f>
        <v>0</v>
      </c>
      <c r="L194" s="2">
        <f>Table15781012[[#This Row],[Period]]+$E$9</f>
        <v>190</v>
      </c>
      <c r="M194" s="3">
        <f>Table15781012[[#This Row],[Defaulted Principal]]-Table15781012[[#This Row],[Estimated Loss]]</f>
        <v>0</v>
      </c>
      <c r="N194" s="3">
        <f>IFERROR(VLOOKUP(Table15781012[[#This Row],[Period]],$L$16:$M$385,2,FALSE),0)</f>
        <v>0</v>
      </c>
      <c r="O194" s="3">
        <f>Table15781012[[#This Row],[Beginning Balance]]-Table15781012[[#This Row],[Principal]]-Table15781012[[#This Row],[Prepayments]]-Table15781012[[#This Row],[Defaulted Principal]]</f>
        <v>0</v>
      </c>
      <c r="P194" s="3">
        <f>Table15781012[[#This Row],[Principal]]+Table15781012[[#This Row],[Interest]]+Table15781012[[#This Row],[Prepayments]]+Table15781012[[#This Row],[RecoveredAmount]]</f>
        <v>0</v>
      </c>
      <c r="Q194" s="3">
        <f ca="1">ROUND(Table15781012[[#This Row],[Cash Flow]]/((1+ActualRateToUse)^(IF(ISNUMBER(SEARCH("Actual",$C$7)),Table15781012[[#This Row],[Running Total]]/365,Table15781012[[#This Row],[Period]]/12))),2)</f>
        <v>0</v>
      </c>
      <c r="R194" s="2">
        <f>IF(MONTH(Table15781012[[#This Row],[Date]])=2,28,DAY(DATE(YEAR(Table15781012[[#This Row],[Date]]),MONTH(Table15781012[[#This Row],[Date]])+1,1)-1))</f>
        <v>30</v>
      </c>
      <c r="S194" s="2">
        <f ca="1">SUM(OFFSET(Table15781012[[#Headers],[Days in month]],1,0):Table15781012[[#This Row],[Days in month]])</f>
        <v>5414</v>
      </c>
      <c r="T194" s="37">
        <f>InterestRate*AmortizationMultiplier*IF(ISNUMBER(SEARCH("Actual",$C$7)),Table15781012[[#This Row],[Days in month]]/365,1/12)</f>
        <v>5.8749999999999991E-3</v>
      </c>
    </row>
    <row r="195" spans="2:20" x14ac:dyDescent="0.2">
      <c r="B195" s="1">
        <f t="shared" si="6"/>
        <v>51287</v>
      </c>
      <c r="C195" s="2">
        <f t="shared" si="8"/>
        <v>179</v>
      </c>
      <c r="D195" s="3">
        <f t="shared" si="7"/>
        <v>0</v>
      </c>
      <c r="E195" s="3">
        <f>ROUND(Table15781012[[#This Row],[Beginning Balance]]*Table15781012[[#This Row],[Monthly Interest Rate]],2)</f>
        <v>0</v>
      </c>
      <c r="F195" s="3">
        <f t="shared" si="9"/>
        <v>173</v>
      </c>
      <c r="G195" s="23">
        <f>IFERROR(IF($C$13="No","N/A",IF(Table15781012[[#This Row],[Period]]=1,$C$6,PMT(InterestRate*AmortizationMultiplier/12,Table15781012[[#This Row],[Am Thru]],-Table15781012[[#This Row],[Beginning Balance]]))),0)</f>
        <v>0</v>
      </c>
      <c r="H195" s="3">
        <f>MAX(0,IF(C195=$C$4,D195,ROUND(IF($C$3="Fixed Principal",$C$6-Table15781012[[#This Row],[Interest]],IF($C$3="Interest Only",Table15781012[[#This Row],[Beginning Balance]]*ROUND(1-(1-IF($C$11="No",$E$8,1))^(1/12),6),MIN(IF($C$13="Yes",Table15781012[[#This Row],[Payment Amount (Reamortized)]],$C$6)-Table15781012[[#This Row],[Interest]],Table15781012[[#This Row],[Beginning Balance]]))),2)))</f>
        <v>0</v>
      </c>
      <c r="I195" s="3">
        <f>_xlfn.SINGLE(IF($C$3="Line of Credit",0,ROUND(MAX(MIN(IF($C$10="No",$E$7,VLOOKUP(Table15781012[[#This Row],[Period]],Forecast!$H$2:$L$1048576,4,FALSE))*Table15781012[[#This Row],[Beginning Balance]],Table15781012[[#This Row],[Beginning Balance]]-Table15781012[[#This Row],[Principal]]),0),2)))</f>
        <v>0</v>
      </c>
      <c r="J195" s="3">
        <f>ROUND(MIN(Table15781012[[#This Row],[Beginning Balance]]*IF($C$8="No",$E$3,VLOOKUP(Table15781012[[#This Row],[Period]],Forecast!$H$2:$L$1048576,2,FALSE)),Table15781012[[#This Row],[Beginning Balance]]-Table15781012[[#This Row],[Principal]]-Table15781012[[#This Row],[Prepayments]]),2)</f>
        <v>0</v>
      </c>
      <c r="K195" s="3">
        <f>ROUND(Table15781012[[#This Row],[Defaulted Principal]]*IF($C$9="No",$E$4,VLOOKUP(Table15781012[[#This Row],[Period]],Forecast!$H$2:$L$1048576,3,FALSE)),2)</f>
        <v>0</v>
      </c>
      <c r="L195" s="2">
        <f>Table15781012[[#This Row],[Period]]+$E$9</f>
        <v>191</v>
      </c>
      <c r="M195" s="3">
        <f>Table15781012[[#This Row],[Defaulted Principal]]-Table15781012[[#This Row],[Estimated Loss]]</f>
        <v>0</v>
      </c>
      <c r="N195" s="3">
        <f>IFERROR(VLOOKUP(Table15781012[[#This Row],[Period]],$L$16:$M$385,2,FALSE),0)</f>
        <v>0</v>
      </c>
      <c r="O195" s="3">
        <f>Table15781012[[#This Row],[Beginning Balance]]-Table15781012[[#This Row],[Principal]]-Table15781012[[#This Row],[Prepayments]]-Table15781012[[#This Row],[Defaulted Principal]]</f>
        <v>0</v>
      </c>
      <c r="P195" s="3">
        <f>Table15781012[[#This Row],[Principal]]+Table15781012[[#This Row],[Interest]]+Table15781012[[#This Row],[Prepayments]]+Table15781012[[#This Row],[RecoveredAmount]]</f>
        <v>0</v>
      </c>
      <c r="Q195" s="3">
        <f ca="1">ROUND(Table15781012[[#This Row],[Cash Flow]]/((1+ActualRateToUse)^(IF(ISNUMBER(SEARCH("Actual",$C$7)),Table15781012[[#This Row],[Running Total]]/365,Table15781012[[#This Row],[Period]]/12))),2)</f>
        <v>0</v>
      </c>
      <c r="R195" s="2">
        <f>IF(MONTH(Table15781012[[#This Row],[Date]])=2,28,DAY(DATE(YEAR(Table15781012[[#This Row],[Date]]),MONTH(Table15781012[[#This Row],[Date]])+1,1)-1))</f>
        <v>31</v>
      </c>
      <c r="S195" s="2">
        <f ca="1">SUM(OFFSET(Table15781012[[#Headers],[Days in month]],1,0):Table15781012[[#This Row],[Days in month]])</f>
        <v>5445</v>
      </c>
      <c r="T195" s="37">
        <f>InterestRate*AmortizationMultiplier*IF(ISNUMBER(SEARCH("Actual",$C$7)),Table15781012[[#This Row],[Days in month]]/365,1/12)</f>
        <v>6.0708333333333326E-3</v>
      </c>
    </row>
    <row r="196" spans="2:20" x14ac:dyDescent="0.2">
      <c r="B196" s="1">
        <f t="shared" si="6"/>
        <v>51317</v>
      </c>
      <c r="C196" s="2">
        <f t="shared" si="8"/>
        <v>180</v>
      </c>
      <c r="D196" s="3">
        <f t="shared" si="7"/>
        <v>0</v>
      </c>
      <c r="E196" s="3">
        <f>ROUND(Table15781012[[#This Row],[Beginning Balance]]*Table15781012[[#This Row],[Monthly Interest Rate]],2)</f>
        <v>0</v>
      </c>
      <c r="F196" s="3">
        <f t="shared" si="9"/>
        <v>172</v>
      </c>
      <c r="G196" s="23">
        <f>IFERROR(IF($C$13="No","N/A",IF(Table15781012[[#This Row],[Period]]=1,$C$6,PMT(InterestRate*AmortizationMultiplier/12,Table15781012[[#This Row],[Am Thru]],-Table15781012[[#This Row],[Beginning Balance]]))),0)</f>
        <v>0</v>
      </c>
      <c r="H196" s="3">
        <f>MAX(0,IF(C196=$C$4,D196,ROUND(IF($C$3="Fixed Principal",$C$6-Table15781012[[#This Row],[Interest]],IF($C$3="Interest Only",Table15781012[[#This Row],[Beginning Balance]]*ROUND(1-(1-IF($C$11="No",$E$8,1))^(1/12),6),MIN(IF($C$13="Yes",Table15781012[[#This Row],[Payment Amount (Reamortized)]],$C$6)-Table15781012[[#This Row],[Interest]],Table15781012[[#This Row],[Beginning Balance]]))),2)))</f>
        <v>0</v>
      </c>
      <c r="I196" s="3">
        <f>_xlfn.SINGLE(IF($C$3="Line of Credit",0,ROUND(MAX(MIN(IF($C$10="No",$E$7,VLOOKUP(Table15781012[[#This Row],[Period]],Forecast!$H$2:$L$1048576,4,FALSE))*Table15781012[[#This Row],[Beginning Balance]],Table15781012[[#This Row],[Beginning Balance]]-Table15781012[[#This Row],[Principal]]),0),2)))</f>
        <v>0</v>
      </c>
      <c r="J196" s="3">
        <f>ROUND(MIN(Table15781012[[#This Row],[Beginning Balance]]*IF($C$8="No",$E$3,VLOOKUP(Table15781012[[#This Row],[Period]],Forecast!$H$2:$L$1048576,2,FALSE)),Table15781012[[#This Row],[Beginning Balance]]-Table15781012[[#This Row],[Principal]]-Table15781012[[#This Row],[Prepayments]]),2)</f>
        <v>0</v>
      </c>
      <c r="K196" s="3">
        <f>ROUND(Table15781012[[#This Row],[Defaulted Principal]]*IF($C$9="No",$E$4,VLOOKUP(Table15781012[[#This Row],[Period]],Forecast!$H$2:$L$1048576,3,FALSE)),2)</f>
        <v>0</v>
      </c>
      <c r="L196" s="2">
        <f>Table15781012[[#This Row],[Period]]+$E$9</f>
        <v>192</v>
      </c>
      <c r="M196" s="3">
        <f>Table15781012[[#This Row],[Defaulted Principal]]-Table15781012[[#This Row],[Estimated Loss]]</f>
        <v>0</v>
      </c>
      <c r="N196" s="3">
        <f>IFERROR(VLOOKUP(Table15781012[[#This Row],[Period]],$L$16:$M$385,2,FALSE),0)</f>
        <v>0</v>
      </c>
      <c r="O196" s="3">
        <f>Table15781012[[#This Row],[Beginning Balance]]-Table15781012[[#This Row],[Principal]]-Table15781012[[#This Row],[Prepayments]]-Table15781012[[#This Row],[Defaulted Principal]]</f>
        <v>0</v>
      </c>
      <c r="P196" s="3">
        <f>Table15781012[[#This Row],[Principal]]+Table15781012[[#This Row],[Interest]]+Table15781012[[#This Row],[Prepayments]]+Table15781012[[#This Row],[RecoveredAmount]]</f>
        <v>0</v>
      </c>
      <c r="Q196" s="3">
        <f ca="1">ROUND(Table15781012[[#This Row],[Cash Flow]]/((1+ActualRateToUse)^(IF(ISNUMBER(SEARCH("Actual",$C$7)),Table15781012[[#This Row],[Running Total]]/365,Table15781012[[#This Row],[Period]]/12))),2)</f>
        <v>0</v>
      </c>
      <c r="R196" s="2">
        <f>IF(MONTH(Table15781012[[#This Row],[Date]])=2,28,DAY(DATE(YEAR(Table15781012[[#This Row],[Date]]),MONTH(Table15781012[[#This Row],[Date]])+1,1)-1))</f>
        <v>30</v>
      </c>
      <c r="S196" s="2">
        <f ca="1">SUM(OFFSET(Table15781012[[#Headers],[Days in month]],1,0):Table15781012[[#This Row],[Days in month]])</f>
        <v>5475</v>
      </c>
      <c r="T196" s="37">
        <f>InterestRate*AmortizationMultiplier*IF(ISNUMBER(SEARCH("Actual",$C$7)),Table15781012[[#This Row],[Days in month]]/365,1/12)</f>
        <v>5.8749999999999991E-3</v>
      </c>
    </row>
    <row r="197" spans="2:20" x14ac:dyDescent="0.2">
      <c r="B197" s="1">
        <f t="shared" si="6"/>
        <v>51348</v>
      </c>
      <c r="C197" s="2">
        <f t="shared" si="8"/>
        <v>181</v>
      </c>
      <c r="D197" s="3">
        <f t="shared" si="7"/>
        <v>0</v>
      </c>
      <c r="E197" s="3">
        <f>ROUND(Table15781012[[#This Row],[Beginning Balance]]*Table15781012[[#This Row],[Monthly Interest Rate]],2)</f>
        <v>0</v>
      </c>
      <c r="F197" s="3">
        <f t="shared" si="9"/>
        <v>171</v>
      </c>
      <c r="G197" s="23">
        <f>IFERROR(IF($C$13="No","N/A",IF(Table15781012[[#This Row],[Period]]=1,$C$6,PMT(InterestRate*AmortizationMultiplier/12,Table15781012[[#This Row],[Am Thru]],-Table15781012[[#This Row],[Beginning Balance]]))),0)</f>
        <v>0</v>
      </c>
      <c r="H197" s="3">
        <f>MAX(0,IF(C197=$C$4,D197,ROUND(IF($C$3="Fixed Principal",$C$6-Table15781012[[#This Row],[Interest]],IF($C$3="Interest Only",Table15781012[[#This Row],[Beginning Balance]]*ROUND(1-(1-IF($C$11="No",$E$8,1))^(1/12),6),MIN(IF($C$13="Yes",Table15781012[[#This Row],[Payment Amount (Reamortized)]],$C$6)-Table15781012[[#This Row],[Interest]],Table15781012[[#This Row],[Beginning Balance]]))),2)))</f>
        <v>0</v>
      </c>
      <c r="I197" s="3">
        <f>_xlfn.SINGLE(IF($C$3="Line of Credit",0,ROUND(MAX(MIN(IF($C$10="No",$E$7,VLOOKUP(Table15781012[[#This Row],[Period]],Forecast!$H$2:$L$1048576,4,FALSE))*Table15781012[[#This Row],[Beginning Balance]],Table15781012[[#This Row],[Beginning Balance]]-Table15781012[[#This Row],[Principal]]),0),2)))</f>
        <v>0</v>
      </c>
      <c r="J197" s="3">
        <f>ROUND(MIN(Table15781012[[#This Row],[Beginning Balance]]*IF($C$8="No",$E$3,VLOOKUP(Table15781012[[#This Row],[Period]],Forecast!$H$2:$L$1048576,2,FALSE)),Table15781012[[#This Row],[Beginning Balance]]-Table15781012[[#This Row],[Principal]]-Table15781012[[#This Row],[Prepayments]]),2)</f>
        <v>0</v>
      </c>
      <c r="K197" s="3">
        <f>ROUND(Table15781012[[#This Row],[Defaulted Principal]]*IF($C$9="No",$E$4,VLOOKUP(Table15781012[[#This Row],[Period]],Forecast!$H$2:$L$1048576,3,FALSE)),2)</f>
        <v>0</v>
      </c>
      <c r="L197" s="2">
        <f>Table15781012[[#This Row],[Period]]+$E$9</f>
        <v>193</v>
      </c>
      <c r="M197" s="3">
        <f>Table15781012[[#This Row],[Defaulted Principal]]-Table15781012[[#This Row],[Estimated Loss]]</f>
        <v>0</v>
      </c>
      <c r="N197" s="3">
        <f>IFERROR(VLOOKUP(Table15781012[[#This Row],[Period]],$L$16:$M$385,2,FALSE),0)</f>
        <v>0</v>
      </c>
      <c r="O197" s="3">
        <f>Table15781012[[#This Row],[Beginning Balance]]-Table15781012[[#This Row],[Principal]]-Table15781012[[#This Row],[Prepayments]]-Table15781012[[#This Row],[Defaulted Principal]]</f>
        <v>0</v>
      </c>
      <c r="P197" s="3">
        <f>Table15781012[[#This Row],[Principal]]+Table15781012[[#This Row],[Interest]]+Table15781012[[#This Row],[Prepayments]]+Table15781012[[#This Row],[RecoveredAmount]]</f>
        <v>0</v>
      </c>
      <c r="Q197" s="3">
        <f ca="1">ROUND(Table15781012[[#This Row],[Cash Flow]]/((1+ActualRateToUse)^(IF(ISNUMBER(SEARCH("Actual",$C$7)),Table15781012[[#This Row],[Running Total]]/365,Table15781012[[#This Row],[Period]]/12))),2)</f>
        <v>0</v>
      </c>
      <c r="R197" s="2">
        <f>IF(MONTH(Table15781012[[#This Row],[Date]])=2,28,DAY(DATE(YEAR(Table15781012[[#This Row],[Date]]),MONTH(Table15781012[[#This Row],[Date]])+1,1)-1))</f>
        <v>31</v>
      </c>
      <c r="S197" s="2">
        <f ca="1">SUM(OFFSET(Table15781012[[#Headers],[Days in month]],1,0):Table15781012[[#This Row],[Days in month]])</f>
        <v>5506</v>
      </c>
      <c r="T197" s="37">
        <f>InterestRate*AmortizationMultiplier*IF(ISNUMBER(SEARCH("Actual",$C$7)),Table15781012[[#This Row],[Days in month]]/365,1/12)</f>
        <v>6.0708333333333326E-3</v>
      </c>
    </row>
    <row r="198" spans="2:20" x14ac:dyDescent="0.2">
      <c r="B198" s="1">
        <f t="shared" si="6"/>
        <v>51379</v>
      </c>
      <c r="C198" s="2">
        <f t="shared" si="8"/>
        <v>182</v>
      </c>
      <c r="D198" s="3">
        <f t="shared" si="7"/>
        <v>0</v>
      </c>
      <c r="E198" s="3">
        <f>ROUND(Table15781012[[#This Row],[Beginning Balance]]*Table15781012[[#This Row],[Monthly Interest Rate]],2)</f>
        <v>0</v>
      </c>
      <c r="F198" s="3">
        <f t="shared" si="9"/>
        <v>170</v>
      </c>
      <c r="G198" s="23">
        <f>IFERROR(IF($C$13="No","N/A",IF(Table15781012[[#This Row],[Period]]=1,$C$6,PMT(InterestRate*AmortizationMultiplier/12,Table15781012[[#This Row],[Am Thru]],-Table15781012[[#This Row],[Beginning Balance]]))),0)</f>
        <v>0</v>
      </c>
      <c r="H198" s="3">
        <f>MAX(0,IF(C198=$C$4,D198,ROUND(IF($C$3="Fixed Principal",$C$6-Table15781012[[#This Row],[Interest]],IF($C$3="Interest Only",Table15781012[[#This Row],[Beginning Balance]]*ROUND(1-(1-IF($C$11="No",$E$8,1))^(1/12),6),MIN(IF($C$13="Yes",Table15781012[[#This Row],[Payment Amount (Reamortized)]],$C$6)-Table15781012[[#This Row],[Interest]],Table15781012[[#This Row],[Beginning Balance]]))),2)))</f>
        <v>0</v>
      </c>
      <c r="I198" s="3">
        <f>_xlfn.SINGLE(IF($C$3="Line of Credit",0,ROUND(MAX(MIN(IF($C$10="No",$E$7,VLOOKUP(Table15781012[[#This Row],[Period]],Forecast!$H$2:$L$1048576,4,FALSE))*Table15781012[[#This Row],[Beginning Balance]],Table15781012[[#This Row],[Beginning Balance]]-Table15781012[[#This Row],[Principal]]),0),2)))</f>
        <v>0</v>
      </c>
      <c r="J198" s="3">
        <f>ROUND(MIN(Table15781012[[#This Row],[Beginning Balance]]*IF($C$8="No",$E$3,VLOOKUP(Table15781012[[#This Row],[Period]],Forecast!$H$2:$L$1048576,2,FALSE)),Table15781012[[#This Row],[Beginning Balance]]-Table15781012[[#This Row],[Principal]]-Table15781012[[#This Row],[Prepayments]]),2)</f>
        <v>0</v>
      </c>
      <c r="K198" s="3">
        <f>ROUND(Table15781012[[#This Row],[Defaulted Principal]]*IF($C$9="No",$E$4,VLOOKUP(Table15781012[[#This Row],[Period]],Forecast!$H$2:$L$1048576,3,FALSE)),2)</f>
        <v>0</v>
      </c>
      <c r="L198" s="2">
        <f>Table15781012[[#This Row],[Period]]+$E$9</f>
        <v>194</v>
      </c>
      <c r="M198" s="3">
        <f>Table15781012[[#This Row],[Defaulted Principal]]-Table15781012[[#This Row],[Estimated Loss]]</f>
        <v>0</v>
      </c>
      <c r="N198" s="3">
        <f>IFERROR(VLOOKUP(Table15781012[[#This Row],[Period]],$L$16:$M$385,2,FALSE),0)</f>
        <v>0</v>
      </c>
      <c r="O198" s="3">
        <f>Table15781012[[#This Row],[Beginning Balance]]-Table15781012[[#This Row],[Principal]]-Table15781012[[#This Row],[Prepayments]]-Table15781012[[#This Row],[Defaulted Principal]]</f>
        <v>0</v>
      </c>
      <c r="P198" s="3">
        <f>Table15781012[[#This Row],[Principal]]+Table15781012[[#This Row],[Interest]]+Table15781012[[#This Row],[Prepayments]]+Table15781012[[#This Row],[RecoveredAmount]]</f>
        <v>0</v>
      </c>
      <c r="Q198" s="3">
        <f ca="1">ROUND(Table15781012[[#This Row],[Cash Flow]]/((1+ActualRateToUse)^(IF(ISNUMBER(SEARCH("Actual",$C$7)),Table15781012[[#This Row],[Running Total]]/365,Table15781012[[#This Row],[Period]]/12))),2)</f>
        <v>0</v>
      </c>
      <c r="R198" s="2">
        <f>IF(MONTH(Table15781012[[#This Row],[Date]])=2,28,DAY(DATE(YEAR(Table15781012[[#This Row],[Date]]),MONTH(Table15781012[[#This Row],[Date]])+1,1)-1))</f>
        <v>31</v>
      </c>
      <c r="S198" s="2">
        <f ca="1">SUM(OFFSET(Table15781012[[#Headers],[Days in month]],1,0):Table15781012[[#This Row],[Days in month]])</f>
        <v>5537</v>
      </c>
      <c r="T198" s="37">
        <f>InterestRate*AmortizationMultiplier*IF(ISNUMBER(SEARCH("Actual",$C$7)),Table15781012[[#This Row],[Days in month]]/365,1/12)</f>
        <v>6.0708333333333326E-3</v>
      </c>
    </row>
    <row r="199" spans="2:20" x14ac:dyDescent="0.2">
      <c r="B199" s="1">
        <f t="shared" si="6"/>
        <v>51409</v>
      </c>
      <c r="C199" s="2">
        <f t="shared" si="8"/>
        <v>183</v>
      </c>
      <c r="D199" s="3">
        <f t="shared" si="7"/>
        <v>0</v>
      </c>
      <c r="E199" s="3">
        <f>ROUND(Table15781012[[#This Row],[Beginning Balance]]*Table15781012[[#This Row],[Monthly Interest Rate]],2)</f>
        <v>0</v>
      </c>
      <c r="F199" s="3">
        <f t="shared" si="9"/>
        <v>169</v>
      </c>
      <c r="G199" s="23">
        <f>IFERROR(IF($C$13="No","N/A",IF(Table15781012[[#This Row],[Period]]=1,$C$6,PMT(InterestRate*AmortizationMultiplier/12,Table15781012[[#This Row],[Am Thru]],-Table15781012[[#This Row],[Beginning Balance]]))),0)</f>
        <v>0</v>
      </c>
      <c r="H199" s="3">
        <f>MAX(0,IF(C199=$C$4,D199,ROUND(IF($C$3="Fixed Principal",$C$6-Table15781012[[#This Row],[Interest]],IF($C$3="Interest Only",Table15781012[[#This Row],[Beginning Balance]]*ROUND(1-(1-IF($C$11="No",$E$8,1))^(1/12),6),MIN(IF($C$13="Yes",Table15781012[[#This Row],[Payment Amount (Reamortized)]],$C$6)-Table15781012[[#This Row],[Interest]],Table15781012[[#This Row],[Beginning Balance]]))),2)))</f>
        <v>0</v>
      </c>
      <c r="I199" s="3">
        <f>_xlfn.SINGLE(IF($C$3="Line of Credit",0,ROUND(MAX(MIN(IF($C$10="No",$E$7,VLOOKUP(Table15781012[[#This Row],[Period]],Forecast!$H$2:$L$1048576,4,FALSE))*Table15781012[[#This Row],[Beginning Balance]],Table15781012[[#This Row],[Beginning Balance]]-Table15781012[[#This Row],[Principal]]),0),2)))</f>
        <v>0</v>
      </c>
      <c r="J199" s="3">
        <f>ROUND(MIN(Table15781012[[#This Row],[Beginning Balance]]*IF($C$8="No",$E$3,VLOOKUP(Table15781012[[#This Row],[Period]],Forecast!$H$2:$L$1048576,2,FALSE)),Table15781012[[#This Row],[Beginning Balance]]-Table15781012[[#This Row],[Principal]]-Table15781012[[#This Row],[Prepayments]]),2)</f>
        <v>0</v>
      </c>
      <c r="K199" s="3">
        <f>ROUND(Table15781012[[#This Row],[Defaulted Principal]]*IF($C$9="No",$E$4,VLOOKUP(Table15781012[[#This Row],[Period]],Forecast!$H$2:$L$1048576,3,FALSE)),2)</f>
        <v>0</v>
      </c>
      <c r="L199" s="2">
        <f>Table15781012[[#This Row],[Period]]+$E$9</f>
        <v>195</v>
      </c>
      <c r="M199" s="3">
        <f>Table15781012[[#This Row],[Defaulted Principal]]-Table15781012[[#This Row],[Estimated Loss]]</f>
        <v>0</v>
      </c>
      <c r="N199" s="3">
        <f>IFERROR(VLOOKUP(Table15781012[[#This Row],[Period]],$L$16:$M$385,2,FALSE),0)</f>
        <v>0</v>
      </c>
      <c r="O199" s="3">
        <f>Table15781012[[#This Row],[Beginning Balance]]-Table15781012[[#This Row],[Principal]]-Table15781012[[#This Row],[Prepayments]]-Table15781012[[#This Row],[Defaulted Principal]]</f>
        <v>0</v>
      </c>
      <c r="P199" s="3">
        <f>Table15781012[[#This Row],[Principal]]+Table15781012[[#This Row],[Interest]]+Table15781012[[#This Row],[Prepayments]]+Table15781012[[#This Row],[RecoveredAmount]]</f>
        <v>0</v>
      </c>
      <c r="Q199" s="3">
        <f ca="1">ROUND(Table15781012[[#This Row],[Cash Flow]]/((1+ActualRateToUse)^(IF(ISNUMBER(SEARCH("Actual",$C$7)),Table15781012[[#This Row],[Running Total]]/365,Table15781012[[#This Row],[Period]]/12))),2)</f>
        <v>0</v>
      </c>
      <c r="R199" s="2">
        <f>IF(MONTH(Table15781012[[#This Row],[Date]])=2,28,DAY(DATE(YEAR(Table15781012[[#This Row],[Date]]),MONTH(Table15781012[[#This Row],[Date]])+1,1)-1))</f>
        <v>30</v>
      </c>
      <c r="S199" s="2">
        <f ca="1">SUM(OFFSET(Table15781012[[#Headers],[Days in month]],1,0):Table15781012[[#This Row],[Days in month]])</f>
        <v>5567</v>
      </c>
      <c r="T199" s="37">
        <f>InterestRate*AmortizationMultiplier*IF(ISNUMBER(SEARCH("Actual",$C$7)),Table15781012[[#This Row],[Days in month]]/365,1/12)</f>
        <v>5.8749999999999991E-3</v>
      </c>
    </row>
    <row r="200" spans="2:20" x14ac:dyDescent="0.2">
      <c r="B200" s="1">
        <f t="shared" si="6"/>
        <v>51440</v>
      </c>
      <c r="C200" s="2">
        <f t="shared" si="8"/>
        <v>184</v>
      </c>
      <c r="D200" s="3">
        <f t="shared" si="7"/>
        <v>0</v>
      </c>
      <c r="E200" s="3">
        <f>ROUND(Table15781012[[#This Row],[Beginning Balance]]*Table15781012[[#This Row],[Monthly Interest Rate]],2)</f>
        <v>0</v>
      </c>
      <c r="F200" s="3">
        <f t="shared" si="9"/>
        <v>168</v>
      </c>
      <c r="G200" s="23">
        <f>IFERROR(IF($C$13="No","N/A",IF(Table15781012[[#This Row],[Period]]=1,$C$6,PMT(InterestRate*AmortizationMultiplier/12,Table15781012[[#This Row],[Am Thru]],-Table15781012[[#This Row],[Beginning Balance]]))),0)</f>
        <v>0</v>
      </c>
      <c r="H200" s="3">
        <f>MAX(0,IF(C200=$C$4,D200,ROUND(IF($C$3="Fixed Principal",$C$6-Table15781012[[#This Row],[Interest]],IF($C$3="Interest Only",Table15781012[[#This Row],[Beginning Balance]]*ROUND(1-(1-IF($C$11="No",$E$8,1))^(1/12),6),MIN(IF($C$13="Yes",Table15781012[[#This Row],[Payment Amount (Reamortized)]],$C$6)-Table15781012[[#This Row],[Interest]],Table15781012[[#This Row],[Beginning Balance]]))),2)))</f>
        <v>0</v>
      </c>
      <c r="I200" s="3">
        <f>_xlfn.SINGLE(IF($C$3="Line of Credit",0,ROUND(MAX(MIN(IF($C$10="No",$E$7,VLOOKUP(Table15781012[[#This Row],[Period]],Forecast!$H$2:$L$1048576,4,FALSE))*Table15781012[[#This Row],[Beginning Balance]],Table15781012[[#This Row],[Beginning Balance]]-Table15781012[[#This Row],[Principal]]),0),2)))</f>
        <v>0</v>
      </c>
      <c r="J200" s="3">
        <f>ROUND(MIN(Table15781012[[#This Row],[Beginning Balance]]*IF($C$8="No",$E$3,VLOOKUP(Table15781012[[#This Row],[Period]],Forecast!$H$2:$L$1048576,2,FALSE)),Table15781012[[#This Row],[Beginning Balance]]-Table15781012[[#This Row],[Principal]]-Table15781012[[#This Row],[Prepayments]]),2)</f>
        <v>0</v>
      </c>
      <c r="K200" s="3">
        <f>ROUND(Table15781012[[#This Row],[Defaulted Principal]]*IF($C$9="No",$E$4,VLOOKUP(Table15781012[[#This Row],[Period]],Forecast!$H$2:$L$1048576,3,FALSE)),2)</f>
        <v>0</v>
      </c>
      <c r="L200" s="2">
        <f>Table15781012[[#This Row],[Period]]+$E$9</f>
        <v>196</v>
      </c>
      <c r="M200" s="3">
        <f>Table15781012[[#This Row],[Defaulted Principal]]-Table15781012[[#This Row],[Estimated Loss]]</f>
        <v>0</v>
      </c>
      <c r="N200" s="3">
        <f>IFERROR(VLOOKUP(Table15781012[[#This Row],[Period]],$L$16:$M$385,2,FALSE),0)</f>
        <v>0</v>
      </c>
      <c r="O200" s="3">
        <f>Table15781012[[#This Row],[Beginning Balance]]-Table15781012[[#This Row],[Principal]]-Table15781012[[#This Row],[Prepayments]]-Table15781012[[#This Row],[Defaulted Principal]]</f>
        <v>0</v>
      </c>
      <c r="P200" s="3">
        <f>Table15781012[[#This Row],[Principal]]+Table15781012[[#This Row],[Interest]]+Table15781012[[#This Row],[Prepayments]]+Table15781012[[#This Row],[RecoveredAmount]]</f>
        <v>0</v>
      </c>
      <c r="Q200" s="3">
        <f ca="1">ROUND(Table15781012[[#This Row],[Cash Flow]]/((1+ActualRateToUse)^(IF(ISNUMBER(SEARCH("Actual",$C$7)),Table15781012[[#This Row],[Running Total]]/365,Table15781012[[#This Row],[Period]]/12))),2)</f>
        <v>0</v>
      </c>
      <c r="R200" s="2">
        <f>IF(MONTH(Table15781012[[#This Row],[Date]])=2,28,DAY(DATE(YEAR(Table15781012[[#This Row],[Date]]),MONTH(Table15781012[[#This Row],[Date]])+1,1)-1))</f>
        <v>31</v>
      </c>
      <c r="S200" s="2">
        <f ca="1">SUM(OFFSET(Table15781012[[#Headers],[Days in month]],1,0):Table15781012[[#This Row],[Days in month]])</f>
        <v>5598</v>
      </c>
      <c r="T200" s="37">
        <f>InterestRate*AmortizationMultiplier*IF(ISNUMBER(SEARCH("Actual",$C$7)),Table15781012[[#This Row],[Days in month]]/365,1/12)</f>
        <v>6.0708333333333326E-3</v>
      </c>
    </row>
    <row r="201" spans="2:20" x14ac:dyDescent="0.2">
      <c r="B201" s="1">
        <f t="shared" si="6"/>
        <v>51470</v>
      </c>
      <c r="C201" s="2">
        <f t="shared" si="8"/>
        <v>185</v>
      </c>
      <c r="D201" s="3">
        <f t="shared" si="7"/>
        <v>0</v>
      </c>
      <c r="E201" s="3">
        <f>ROUND(Table15781012[[#This Row],[Beginning Balance]]*Table15781012[[#This Row],[Monthly Interest Rate]],2)</f>
        <v>0</v>
      </c>
      <c r="F201" s="3">
        <f t="shared" si="9"/>
        <v>167</v>
      </c>
      <c r="G201" s="23">
        <f>IFERROR(IF($C$13="No","N/A",IF(Table15781012[[#This Row],[Period]]=1,$C$6,PMT(InterestRate*AmortizationMultiplier/12,Table15781012[[#This Row],[Am Thru]],-Table15781012[[#This Row],[Beginning Balance]]))),0)</f>
        <v>0</v>
      </c>
      <c r="H201" s="3">
        <f>MAX(0,IF(C201=$C$4,D201,ROUND(IF($C$3="Fixed Principal",$C$6-Table15781012[[#This Row],[Interest]],IF($C$3="Interest Only",Table15781012[[#This Row],[Beginning Balance]]*ROUND(1-(1-IF($C$11="No",$E$8,1))^(1/12),6),MIN(IF($C$13="Yes",Table15781012[[#This Row],[Payment Amount (Reamortized)]],$C$6)-Table15781012[[#This Row],[Interest]],Table15781012[[#This Row],[Beginning Balance]]))),2)))</f>
        <v>0</v>
      </c>
      <c r="I201" s="3">
        <f>_xlfn.SINGLE(IF($C$3="Line of Credit",0,ROUND(MAX(MIN(IF($C$10="No",$E$7,VLOOKUP(Table15781012[[#This Row],[Period]],Forecast!$H$2:$L$1048576,4,FALSE))*Table15781012[[#This Row],[Beginning Balance]],Table15781012[[#This Row],[Beginning Balance]]-Table15781012[[#This Row],[Principal]]),0),2)))</f>
        <v>0</v>
      </c>
      <c r="J201" s="3">
        <f>ROUND(MIN(Table15781012[[#This Row],[Beginning Balance]]*IF($C$8="No",$E$3,VLOOKUP(Table15781012[[#This Row],[Period]],Forecast!$H$2:$L$1048576,2,FALSE)),Table15781012[[#This Row],[Beginning Balance]]-Table15781012[[#This Row],[Principal]]-Table15781012[[#This Row],[Prepayments]]),2)</f>
        <v>0</v>
      </c>
      <c r="K201" s="3">
        <f>ROUND(Table15781012[[#This Row],[Defaulted Principal]]*IF($C$9="No",$E$4,VLOOKUP(Table15781012[[#This Row],[Period]],Forecast!$H$2:$L$1048576,3,FALSE)),2)</f>
        <v>0</v>
      </c>
      <c r="L201" s="2">
        <f>Table15781012[[#This Row],[Period]]+$E$9</f>
        <v>197</v>
      </c>
      <c r="M201" s="3">
        <f>Table15781012[[#This Row],[Defaulted Principal]]-Table15781012[[#This Row],[Estimated Loss]]</f>
        <v>0</v>
      </c>
      <c r="N201" s="3">
        <f>IFERROR(VLOOKUP(Table15781012[[#This Row],[Period]],$L$16:$M$385,2,FALSE),0)</f>
        <v>0</v>
      </c>
      <c r="O201" s="3">
        <f>Table15781012[[#This Row],[Beginning Balance]]-Table15781012[[#This Row],[Principal]]-Table15781012[[#This Row],[Prepayments]]-Table15781012[[#This Row],[Defaulted Principal]]</f>
        <v>0</v>
      </c>
      <c r="P201" s="3">
        <f>Table15781012[[#This Row],[Principal]]+Table15781012[[#This Row],[Interest]]+Table15781012[[#This Row],[Prepayments]]+Table15781012[[#This Row],[RecoveredAmount]]</f>
        <v>0</v>
      </c>
      <c r="Q201" s="3">
        <f ca="1">ROUND(Table15781012[[#This Row],[Cash Flow]]/((1+ActualRateToUse)^(IF(ISNUMBER(SEARCH("Actual",$C$7)),Table15781012[[#This Row],[Running Total]]/365,Table15781012[[#This Row],[Period]]/12))),2)</f>
        <v>0</v>
      </c>
      <c r="R201" s="2">
        <f>IF(MONTH(Table15781012[[#This Row],[Date]])=2,28,DAY(DATE(YEAR(Table15781012[[#This Row],[Date]]),MONTH(Table15781012[[#This Row],[Date]])+1,1)-1))</f>
        <v>30</v>
      </c>
      <c r="S201" s="2">
        <f ca="1">SUM(OFFSET(Table15781012[[#Headers],[Days in month]],1,0):Table15781012[[#This Row],[Days in month]])</f>
        <v>5628</v>
      </c>
      <c r="T201" s="37">
        <f>InterestRate*AmortizationMultiplier*IF(ISNUMBER(SEARCH("Actual",$C$7)),Table15781012[[#This Row],[Days in month]]/365,1/12)</f>
        <v>5.8749999999999991E-3</v>
      </c>
    </row>
    <row r="202" spans="2:20" x14ac:dyDescent="0.2">
      <c r="B202" s="1">
        <f t="shared" si="6"/>
        <v>51501</v>
      </c>
      <c r="C202" s="2">
        <f t="shared" si="8"/>
        <v>186</v>
      </c>
      <c r="D202" s="3">
        <f t="shared" si="7"/>
        <v>0</v>
      </c>
      <c r="E202" s="3">
        <f>ROUND(Table15781012[[#This Row],[Beginning Balance]]*Table15781012[[#This Row],[Monthly Interest Rate]],2)</f>
        <v>0</v>
      </c>
      <c r="F202" s="3">
        <f t="shared" si="9"/>
        <v>166</v>
      </c>
      <c r="G202" s="23">
        <f>IFERROR(IF($C$13="No","N/A",IF(Table15781012[[#This Row],[Period]]=1,$C$6,PMT(InterestRate*AmortizationMultiplier/12,Table15781012[[#This Row],[Am Thru]],-Table15781012[[#This Row],[Beginning Balance]]))),0)</f>
        <v>0</v>
      </c>
      <c r="H202" s="3">
        <f>MAX(0,IF(C202=$C$4,D202,ROUND(IF($C$3="Fixed Principal",$C$6-Table15781012[[#This Row],[Interest]],IF($C$3="Interest Only",Table15781012[[#This Row],[Beginning Balance]]*ROUND(1-(1-IF($C$11="No",$E$8,1))^(1/12),6),MIN(IF($C$13="Yes",Table15781012[[#This Row],[Payment Amount (Reamortized)]],$C$6)-Table15781012[[#This Row],[Interest]],Table15781012[[#This Row],[Beginning Balance]]))),2)))</f>
        <v>0</v>
      </c>
      <c r="I202" s="3">
        <f>_xlfn.SINGLE(IF($C$3="Line of Credit",0,ROUND(MAX(MIN(IF($C$10="No",$E$7,VLOOKUP(Table15781012[[#This Row],[Period]],Forecast!$H$2:$L$1048576,4,FALSE))*Table15781012[[#This Row],[Beginning Balance]],Table15781012[[#This Row],[Beginning Balance]]-Table15781012[[#This Row],[Principal]]),0),2)))</f>
        <v>0</v>
      </c>
      <c r="J202" s="3">
        <f>ROUND(MIN(Table15781012[[#This Row],[Beginning Balance]]*IF($C$8="No",$E$3,VLOOKUP(Table15781012[[#This Row],[Period]],Forecast!$H$2:$L$1048576,2,FALSE)),Table15781012[[#This Row],[Beginning Balance]]-Table15781012[[#This Row],[Principal]]-Table15781012[[#This Row],[Prepayments]]),2)</f>
        <v>0</v>
      </c>
      <c r="K202" s="3">
        <f>ROUND(Table15781012[[#This Row],[Defaulted Principal]]*IF($C$9="No",$E$4,VLOOKUP(Table15781012[[#This Row],[Period]],Forecast!$H$2:$L$1048576,3,FALSE)),2)</f>
        <v>0</v>
      </c>
      <c r="L202" s="2">
        <f>Table15781012[[#This Row],[Period]]+$E$9</f>
        <v>198</v>
      </c>
      <c r="M202" s="3">
        <f>Table15781012[[#This Row],[Defaulted Principal]]-Table15781012[[#This Row],[Estimated Loss]]</f>
        <v>0</v>
      </c>
      <c r="N202" s="3">
        <f>IFERROR(VLOOKUP(Table15781012[[#This Row],[Period]],$L$16:$M$385,2,FALSE),0)</f>
        <v>0</v>
      </c>
      <c r="O202" s="3">
        <f>Table15781012[[#This Row],[Beginning Balance]]-Table15781012[[#This Row],[Principal]]-Table15781012[[#This Row],[Prepayments]]-Table15781012[[#This Row],[Defaulted Principal]]</f>
        <v>0</v>
      </c>
      <c r="P202" s="3">
        <f>Table15781012[[#This Row],[Principal]]+Table15781012[[#This Row],[Interest]]+Table15781012[[#This Row],[Prepayments]]+Table15781012[[#This Row],[RecoveredAmount]]</f>
        <v>0</v>
      </c>
      <c r="Q202" s="3">
        <f ca="1">ROUND(Table15781012[[#This Row],[Cash Flow]]/((1+ActualRateToUse)^(IF(ISNUMBER(SEARCH("Actual",$C$7)),Table15781012[[#This Row],[Running Total]]/365,Table15781012[[#This Row],[Period]]/12))),2)</f>
        <v>0</v>
      </c>
      <c r="R202" s="2">
        <f>IF(MONTH(Table15781012[[#This Row],[Date]])=2,28,DAY(DATE(YEAR(Table15781012[[#This Row],[Date]]),MONTH(Table15781012[[#This Row],[Date]])+1,1)-1))</f>
        <v>31</v>
      </c>
      <c r="S202" s="2">
        <f ca="1">SUM(OFFSET(Table15781012[[#Headers],[Days in month]],1,0):Table15781012[[#This Row],[Days in month]])</f>
        <v>5659</v>
      </c>
      <c r="T202" s="37">
        <f>InterestRate*AmortizationMultiplier*IF(ISNUMBER(SEARCH("Actual",$C$7)),Table15781012[[#This Row],[Days in month]]/365,1/12)</f>
        <v>6.0708333333333326E-3</v>
      </c>
    </row>
    <row r="203" spans="2:20" x14ac:dyDescent="0.2">
      <c r="B203" s="1">
        <f t="shared" ref="B203:B266" si="10">EOMONTH(B202,1)</f>
        <v>51532</v>
      </c>
      <c r="C203" s="2">
        <f t="shared" si="8"/>
        <v>187</v>
      </c>
      <c r="D203" s="3">
        <f t="shared" si="7"/>
        <v>0</v>
      </c>
      <c r="E203" s="3">
        <f>ROUND(Table15781012[[#This Row],[Beginning Balance]]*Table15781012[[#This Row],[Monthly Interest Rate]],2)</f>
        <v>0</v>
      </c>
      <c r="F203" s="3">
        <f t="shared" si="9"/>
        <v>165</v>
      </c>
      <c r="G203" s="23">
        <f>IFERROR(IF($C$13="No","N/A",IF(Table15781012[[#This Row],[Period]]=1,$C$6,PMT(InterestRate*AmortizationMultiplier/12,Table15781012[[#This Row],[Am Thru]],-Table15781012[[#This Row],[Beginning Balance]]))),0)</f>
        <v>0</v>
      </c>
      <c r="H203" s="3">
        <f>MAX(0,IF(C203=$C$4,D203,ROUND(IF($C$3="Fixed Principal",$C$6-Table15781012[[#This Row],[Interest]],IF($C$3="Interest Only",Table15781012[[#This Row],[Beginning Balance]]*ROUND(1-(1-IF($C$11="No",$E$8,1))^(1/12),6),MIN(IF($C$13="Yes",Table15781012[[#This Row],[Payment Amount (Reamortized)]],$C$6)-Table15781012[[#This Row],[Interest]],Table15781012[[#This Row],[Beginning Balance]]))),2)))</f>
        <v>0</v>
      </c>
      <c r="I203" s="3">
        <f>_xlfn.SINGLE(IF($C$3="Line of Credit",0,ROUND(MAX(MIN(IF($C$10="No",$E$7,VLOOKUP(Table15781012[[#This Row],[Period]],Forecast!$H$2:$L$1048576,4,FALSE))*Table15781012[[#This Row],[Beginning Balance]],Table15781012[[#This Row],[Beginning Balance]]-Table15781012[[#This Row],[Principal]]),0),2)))</f>
        <v>0</v>
      </c>
      <c r="J203" s="3">
        <f>ROUND(MIN(Table15781012[[#This Row],[Beginning Balance]]*IF($C$8="No",$E$3,VLOOKUP(Table15781012[[#This Row],[Period]],Forecast!$H$2:$L$1048576,2,FALSE)),Table15781012[[#This Row],[Beginning Balance]]-Table15781012[[#This Row],[Principal]]-Table15781012[[#This Row],[Prepayments]]),2)</f>
        <v>0</v>
      </c>
      <c r="K203" s="3">
        <f>ROUND(Table15781012[[#This Row],[Defaulted Principal]]*IF($C$9="No",$E$4,VLOOKUP(Table15781012[[#This Row],[Period]],Forecast!$H$2:$L$1048576,3,FALSE)),2)</f>
        <v>0</v>
      </c>
      <c r="L203" s="2">
        <f>Table15781012[[#This Row],[Period]]+$E$9</f>
        <v>199</v>
      </c>
      <c r="M203" s="3">
        <f>Table15781012[[#This Row],[Defaulted Principal]]-Table15781012[[#This Row],[Estimated Loss]]</f>
        <v>0</v>
      </c>
      <c r="N203" s="3">
        <f>IFERROR(VLOOKUP(Table15781012[[#This Row],[Period]],$L$16:$M$385,2,FALSE),0)</f>
        <v>0</v>
      </c>
      <c r="O203" s="3">
        <f>Table15781012[[#This Row],[Beginning Balance]]-Table15781012[[#This Row],[Principal]]-Table15781012[[#This Row],[Prepayments]]-Table15781012[[#This Row],[Defaulted Principal]]</f>
        <v>0</v>
      </c>
      <c r="P203" s="3">
        <f>Table15781012[[#This Row],[Principal]]+Table15781012[[#This Row],[Interest]]+Table15781012[[#This Row],[Prepayments]]+Table15781012[[#This Row],[RecoveredAmount]]</f>
        <v>0</v>
      </c>
      <c r="Q203" s="3">
        <f ca="1">ROUND(Table15781012[[#This Row],[Cash Flow]]/((1+ActualRateToUse)^(IF(ISNUMBER(SEARCH("Actual",$C$7)),Table15781012[[#This Row],[Running Total]]/365,Table15781012[[#This Row],[Period]]/12))),2)</f>
        <v>0</v>
      </c>
      <c r="R203" s="2">
        <f>IF(MONTH(Table15781012[[#This Row],[Date]])=2,28,DAY(DATE(YEAR(Table15781012[[#This Row],[Date]]),MONTH(Table15781012[[#This Row],[Date]])+1,1)-1))</f>
        <v>31</v>
      </c>
      <c r="S203" s="2">
        <f ca="1">SUM(OFFSET(Table15781012[[#Headers],[Days in month]],1,0):Table15781012[[#This Row],[Days in month]])</f>
        <v>5690</v>
      </c>
      <c r="T203" s="37">
        <f>InterestRate*AmortizationMultiplier*IF(ISNUMBER(SEARCH("Actual",$C$7)),Table15781012[[#This Row],[Days in month]]/365,1/12)</f>
        <v>6.0708333333333326E-3</v>
      </c>
    </row>
    <row r="204" spans="2:20" x14ac:dyDescent="0.2">
      <c r="B204" s="1">
        <f t="shared" si="10"/>
        <v>51560</v>
      </c>
      <c r="C204" s="2">
        <f t="shared" si="8"/>
        <v>188</v>
      </c>
      <c r="D204" s="3">
        <f t="shared" si="7"/>
        <v>0</v>
      </c>
      <c r="E204" s="3">
        <f>ROUND(Table15781012[[#This Row],[Beginning Balance]]*Table15781012[[#This Row],[Monthly Interest Rate]],2)</f>
        <v>0</v>
      </c>
      <c r="F204" s="3">
        <f t="shared" si="9"/>
        <v>164</v>
      </c>
      <c r="G204" s="23">
        <f>IFERROR(IF($C$13="No","N/A",IF(Table15781012[[#This Row],[Period]]=1,$C$6,PMT(InterestRate*AmortizationMultiplier/12,Table15781012[[#This Row],[Am Thru]],-Table15781012[[#This Row],[Beginning Balance]]))),0)</f>
        <v>0</v>
      </c>
      <c r="H204" s="3">
        <f>MAX(0,IF(C204=$C$4,D204,ROUND(IF($C$3="Fixed Principal",$C$6-Table15781012[[#This Row],[Interest]],IF($C$3="Interest Only",Table15781012[[#This Row],[Beginning Balance]]*ROUND(1-(1-IF($C$11="No",$E$8,1))^(1/12),6),MIN(IF($C$13="Yes",Table15781012[[#This Row],[Payment Amount (Reamortized)]],$C$6)-Table15781012[[#This Row],[Interest]],Table15781012[[#This Row],[Beginning Balance]]))),2)))</f>
        <v>0</v>
      </c>
      <c r="I204" s="3">
        <f>_xlfn.SINGLE(IF($C$3="Line of Credit",0,ROUND(MAX(MIN(IF($C$10="No",$E$7,VLOOKUP(Table15781012[[#This Row],[Period]],Forecast!$H$2:$L$1048576,4,FALSE))*Table15781012[[#This Row],[Beginning Balance]],Table15781012[[#This Row],[Beginning Balance]]-Table15781012[[#This Row],[Principal]]),0),2)))</f>
        <v>0</v>
      </c>
      <c r="J204" s="3">
        <f>ROUND(MIN(Table15781012[[#This Row],[Beginning Balance]]*IF($C$8="No",$E$3,VLOOKUP(Table15781012[[#This Row],[Period]],Forecast!$H$2:$L$1048576,2,FALSE)),Table15781012[[#This Row],[Beginning Balance]]-Table15781012[[#This Row],[Principal]]-Table15781012[[#This Row],[Prepayments]]),2)</f>
        <v>0</v>
      </c>
      <c r="K204" s="3">
        <f>ROUND(Table15781012[[#This Row],[Defaulted Principal]]*IF($C$9="No",$E$4,VLOOKUP(Table15781012[[#This Row],[Period]],Forecast!$H$2:$L$1048576,3,FALSE)),2)</f>
        <v>0</v>
      </c>
      <c r="L204" s="2">
        <f>Table15781012[[#This Row],[Period]]+$E$9</f>
        <v>200</v>
      </c>
      <c r="M204" s="3">
        <f>Table15781012[[#This Row],[Defaulted Principal]]-Table15781012[[#This Row],[Estimated Loss]]</f>
        <v>0</v>
      </c>
      <c r="N204" s="3">
        <f>IFERROR(VLOOKUP(Table15781012[[#This Row],[Period]],$L$16:$M$385,2,FALSE),0)</f>
        <v>0</v>
      </c>
      <c r="O204" s="3">
        <f>Table15781012[[#This Row],[Beginning Balance]]-Table15781012[[#This Row],[Principal]]-Table15781012[[#This Row],[Prepayments]]-Table15781012[[#This Row],[Defaulted Principal]]</f>
        <v>0</v>
      </c>
      <c r="P204" s="3">
        <f>Table15781012[[#This Row],[Principal]]+Table15781012[[#This Row],[Interest]]+Table15781012[[#This Row],[Prepayments]]+Table15781012[[#This Row],[RecoveredAmount]]</f>
        <v>0</v>
      </c>
      <c r="Q204" s="3">
        <f ca="1">ROUND(Table15781012[[#This Row],[Cash Flow]]/((1+ActualRateToUse)^(IF(ISNUMBER(SEARCH("Actual",$C$7)),Table15781012[[#This Row],[Running Total]]/365,Table15781012[[#This Row],[Period]]/12))),2)</f>
        <v>0</v>
      </c>
      <c r="R204" s="2">
        <f>IF(MONTH(Table15781012[[#This Row],[Date]])=2,28,DAY(DATE(YEAR(Table15781012[[#This Row],[Date]]),MONTH(Table15781012[[#This Row],[Date]])+1,1)-1))</f>
        <v>28</v>
      </c>
      <c r="S204" s="2">
        <f ca="1">SUM(OFFSET(Table15781012[[#Headers],[Days in month]],1,0):Table15781012[[#This Row],[Days in month]])</f>
        <v>5718</v>
      </c>
      <c r="T204" s="37">
        <f>InterestRate*AmortizationMultiplier*IF(ISNUMBER(SEARCH("Actual",$C$7)),Table15781012[[#This Row],[Days in month]]/365,1/12)</f>
        <v>5.4833333333333331E-3</v>
      </c>
    </row>
    <row r="205" spans="2:20" x14ac:dyDescent="0.2">
      <c r="B205" s="1">
        <f t="shared" si="10"/>
        <v>51591</v>
      </c>
      <c r="C205" s="2">
        <f t="shared" si="8"/>
        <v>189</v>
      </c>
      <c r="D205" s="3">
        <f t="shared" si="7"/>
        <v>0</v>
      </c>
      <c r="E205" s="3">
        <f>ROUND(Table15781012[[#This Row],[Beginning Balance]]*Table15781012[[#This Row],[Monthly Interest Rate]],2)</f>
        <v>0</v>
      </c>
      <c r="F205" s="3">
        <f t="shared" si="9"/>
        <v>163</v>
      </c>
      <c r="G205" s="23">
        <f>IFERROR(IF($C$13="No","N/A",IF(Table15781012[[#This Row],[Period]]=1,$C$6,PMT(InterestRate*AmortizationMultiplier/12,Table15781012[[#This Row],[Am Thru]],-Table15781012[[#This Row],[Beginning Balance]]))),0)</f>
        <v>0</v>
      </c>
      <c r="H205" s="3">
        <f>MAX(0,IF(C205=$C$4,D205,ROUND(IF($C$3="Fixed Principal",$C$6-Table15781012[[#This Row],[Interest]],IF($C$3="Interest Only",Table15781012[[#This Row],[Beginning Balance]]*ROUND(1-(1-IF($C$11="No",$E$8,1))^(1/12),6),MIN(IF($C$13="Yes",Table15781012[[#This Row],[Payment Amount (Reamortized)]],$C$6)-Table15781012[[#This Row],[Interest]],Table15781012[[#This Row],[Beginning Balance]]))),2)))</f>
        <v>0</v>
      </c>
      <c r="I205" s="3">
        <f>_xlfn.SINGLE(IF($C$3="Line of Credit",0,ROUND(MAX(MIN(IF($C$10="No",$E$7,VLOOKUP(Table15781012[[#This Row],[Period]],Forecast!$H$2:$L$1048576,4,FALSE))*Table15781012[[#This Row],[Beginning Balance]],Table15781012[[#This Row],[Beginning Balance]]-Table15781012[[#This Row],[Principal]]),0),2)))</f>
        <v>0</v>
      </c>
      <c r="J205" s="3">
        <f>ROUND(MIN(Table15781012[[#This Row],[Beginning Balance]]*IF($C$8="No",$E$3,VLOOKUP(Table15781012[[#This Row],[Period]],Forecast!$H$2:$L$1048576,2,FALSE)),Table15781012[[#This Row],[Beginning Balance]]-Table15781012[[#This Row],[Principal]]-Table15781012[[#This Row],[Prepayments]]),2)</f>
        <v>0</v>
      </c>
      <c r="K205" s="3">
        <f>ROUND(Table15781012[[#This Row],[Defaulted Principal]]*IF($C$9="No",$E$4,VLOOKUP(Table15781012[[#This Row],[Period]],Forecast!$H$2:$L$1048576,3,FALSE)),2)</f>
        <v>0</v>
      </c>
      <c r="L205" s="2">
        <f>Table15781012[[#This Row],[Period]]+$E$9</f>
        <v>201</v>
      </c>
      <c r="M205" s="3">
        <f>Table15781012[[#This Row],[Defaulted Principal]]-Table15781012[[#This Row],[Estimated Loss]]</f>
        <v>0</v>
      </c>
      <c r="N205" s="3">
        <f>IFERROR(VLOOKUP(Table15781012[[#This Row],[Period]],$L$16:$M$385,2,FALSE),0)</f>
        <v>0</v>
      </c>
      <c r="O205" s="3">
        <f>Table15781012[[#This Row],[Beginning Balance]]-Table15781012[[#This Row],[Principal]]-Table15781012[[#This Row],[Prepayments]]-Table15781012[[#This Row],[Defaulted Principal]]</f>
        <v>0</v>
      </c>
      <c r="P205" s="3">
        <f>Table15781012[[#This Row],[Principal]]+Table15781012[[#This Row],[Interest]]+Table15781012[[#This Row],[Prepayments]]+Table15781012[[#This Row],[RecoveredAmount]]</f>
        <v>0</v>
      </c>
      <c r="Q205" s="3">
        <f ca="1">ROUND(Table15781012[[#This Row],[Cash Flow]]/((1+ActualRateToUse)^(IF(ISNUMBER(SEARCH("Actual",$C$7)),Table15781012[[#This Row],[Running Total]]/365,Table15781012[[#This Row],[Period]]/12))),2)</f>
        <v>0</v>
      </c>
      <c r="R205" s="2">
        <f>IF(MONTH(Table15781012[[#This Row],[Date]])=2,28,DAY(DATE(YEAR(Table15781012[[#This Row],[Date]]),MONTH(Table15781012[[#This Row],[Date]])+1,1)-1))</f>
        <v>31</v>
      </c>
      <c r="S205" s="2">
        <f ca="1">SUM(OFFSET(Table15781012[[#Headers],[Days in month]],1,0):Table15781012[[#This Row],[Days in month]])</f>
        <v>5749</v>
      </c>
      <c r="T205" s="37">
        <f>InterestRate*AmortizationMultiplier*IF(ISNUMBER(SEARCH("Actual",$C$7)),Table15781012[[#This Row],[Days in month]]/365,1/12)</f>
        <v>6.0708333333333326E-3</v>
      </c>
    </row>
    <row r="206" spans="2:20" x14ac:dyDescent="0.2">
      <c r="B206" s="1">
        <f t="shared" si="10"/>
        <v>51621</v>
      </c>
      <c r="C206" s="2">
        <f t="shared" si="8"/>
        <v>190</v>
      </c>
      <c r="D206" s="3">
        <f t="shared" si="7"/>
        <v>0</v>
      </c>
      <c r="E206" s="3">
        <f>ROUND(Table15781012[[#This Row],[Beginning Balance]]*Table15781012[[#This Row],[Monthly Interest Rate]],2)</f>
        <v>0</v>
      </c>
      <c r="F206" s="3">
        <f t="shared" si="9"/>
        <v>162</v>
      </c>
      <c r="G206" s="23">
        <f>IFERROR(IF($C$13="No","N/A",IF(Table15781012[[#This Row],[Period]]=1,$C$6,PMT(InterestRate*AmortizationMultiplier/12,Table15781012[[#This Row],[Am Thru]],-Table15781012[[#This Row],[Beginning Balance]]))),0)</f>
        <v>0</v>
      </c>
      <c r="H206" s="3">
        <f>MAX(0,IF(C206=$C$4,D206,ROUND(IF($C$3="Fixed Principal",$C$6-Table15781012[[#This Row],[Interest]],IF($C$3="Interest Only",Table15781012[[#This Row],[Beginning Balance]]*ROUND(1-(1-IF($C$11="No",$E$8,1))^(1/12),6),MIN(IF($C$13="Yes",Table15781012[[#This Row],[Payment Amount (Reamortized)]],$C$6)-Table15781012[[#This Row],[Interest]],Table15781012[[#This Row],[Beginning Balance]]))),2)))</f>
        <v>0</v>
      </c>
      <c r="I206" s="3">
        <f>_xlfn.SINGLE(IF($C$3="Line of Credit",0,ROUND(MAX(MIN(IF($C$10="No",$E$7,VLOOKUP(Table15781012[[#This Row],[Period]],Forecast!$H$2:$L$1048576,4,FALSE))*Table15781012[[#This Row],[Beginning Balance]],Table15781012[[#This Row],[Beginning Balance]]-Table15781012[[#This Row],[Principal]]),0),2)))</f>
        <v>0</v>
      </c>
      <c r="J206" s="3">
        <f>ROUND(MIN(Table15781012[[#This Row],[Beginning Balance]]*IF($C$8="No",$E$3,VLOOKUP(Table15781012[[#This Row],[Period]],Forecast!$H$2:$L$1048576,2,FALSE)),Table15781012[[#This Row],[Beginning Balance]]-Table15781012[[#This Row],[Principal]]-Table15781012[[#This Row],[Prepayments]]),2)</f>
        <v>0</v>
      </c>
      <c r="K206" s="3">
        <f>ROUND(Table15781012[[#This Row],[Defaulted Principal]]*IF($C$9="No",$E$4,VLOOKUP(Table15781012[[#This Row],[Period]],Forecast!$H$2:$L$1048576,3,FALSE)),2)</f>
        <v>0</v>
      </c>
      <c r="L206" s="2">
        <f>Table15781012[[#This Row],[Period]]+$E$9</f>
        <v>202</v>
      </c>
      <c r="M206" s="3">
        <f>Table15781012[[#This Row],[Defaulted Principal]]-Table15781012[[#This Row],[Estimated Loss]]</f>
        <v>0</v>
      </c>
      <c r="N206" s="3">
        <f>IFERROR(VLOOKUP(Table15781012[[#This Row],[Period]],$L$16:$M$385,2,FALSE),0)</f>
        <v>0</v>
      </c>
      <c r="O206" s="3">
        <f>Table15781012[[#This Row],[Beginning Balance]]-Table15781012[[#This Row],[Principal]]-Table15781012[[#This Row],[Prepayments]]-Table15781012[[#This Row],[Defaulted Principal]]</f>
        <v>0</v>
      </c>
      <c r="P206" s="3">
        <f>Table15781012[[#This Row],[Principal]]+Table15781012[[#This Row],[Interest]]+Table15781012[[#This Row],[Prepayments]]+Table15781012[[#This Row],[RecoveredAmount]]</f>
        <v>0</v>
      </c>
      <c r="Q206" s="3">
        <f ca="1">ROUND(Table15781012[[#This Row],[Cash Flow]]/((1+ActualRateToUse)^(IF(ISNUMBER(SEARCH("Actual",$C$7)),Table15781012[[#This Row],[Running Total]]/365,Table15781012[[#This Row],[Period]]/12))),2)</f>
        <v>0</v>
      </c>
      <c r="R206" s="2">
        <f>IF(MONTH(Table15781012[[#This Row],[Date]])=2,28,DAY(DATE(YEAR(Table15781012[[#This Row],[Date]]),MONTH(Table15781012[[#This Row],[Date]])+1,1)-1))</f>
        <v>30</v>
      </c>
      <c r="S206" s="2">
        <f ca="1">SUM(OFFSET(Table15781012[[#Headers],[Days in month]],1,0):Table15781012[[#This Row],[Days in month]])</f>
        <v>5779</v>
      </c>
      <c r="T206" s="37">
        <f>InterestRate*AmortizationMultiplier*IF(ISNUMBER(SEARCH("Actual",$C$7)),Table15781012[[#This Row],[Days in month]]/365,1/12)</f>
        <v>5.8749999999999991E-3</v>
      </c>
    </row>
    <row r="207" spans="2:20" x14ac:dyDescent="0.2">
      <c r="B207" s="1">
        <f t="shared" si="10"/>
        <v>51652</v>
      </c>
      <c r="C207" s="2">
        <f t="shared" si="8"/>
        <v>191</v>
      </c>
      <c r="D207" s="3">
        <f t="shared" si="7"/>
        <v>0</v>
      </c>
      <c r="E207" s="3">
        <f>ROUND(Table15781012[[#This Row],[Beginning Balance]]*Table15781012[[#This Row],[Monthly Interest Rate]],2)</f>
        <v>0</v>
      </c>
      <c r="F207" s="3">
        <f t="shared" si="9"/>
        <v>161</v>
      </c>
      <c r="G207" s="23">
        <f>IFERROR(IF($C$13="No","N/A",IF(Table15781012[[#This Row],[Period]]=1,$C$6,PMT(InterestRate*AmortizationMultiplier/12,Table15781012[[#This Row],[Am Thru]],-Table15781012[[#This Row],[Beginning Balance]]))),0)</f>
        <v>0</v>
      </c>
      <c r="H207" s="3">
        <f>MAX(0,IF(C207=$C$4,D207,ROUND(IF($C$3="Fixed Principal",$C$6-Table15781012[[#This Row],[Interest]],IF($C$3="Interest Only",Table15781012[[#This Row],[Beginning Balance]]*ROUND(1-(1-IF($C$11="No",$E$8,1))^(1/12),6),MIN(IF($C$13="Yes",Table15781012[[#This Row],[Payment Amount (Reamortized)]],$C$6)-Table15781012[[#This Row],[Interest]],Table15781012[[#This Row],[Beginning Balance]]))),2)))</f>
        <v>0</v>
      </c>
      <c r="I207" s="3">
        <f>_xlfn.SINGLE(IF($C$3="Line of Credit",0,ROUND(MAX(MIN(IF($C$10="No",$E$7,VLOOKUP(Table15781012[[#This Row],[Period]],Forecast!$H$2:$L$1048576,4,FALSE))*Table15781012[[#This Row],[Beginning Balance]],Table15781012[[#This Row],[Beginning Balance]]-Table15781012[[#This Row],[Principal]]),0),2)))</f>
        <v>0</v>
      </c>
      <c r="J207" s="3">
        <f>ROUND(MIN(Table15781012[[#This Row],[Beginning Balance]]*IF($C$8="No",$E$3,VLOOKUP(Table15781012[[#This Row],[Period]],Forecast!$H$2:$L$1048576,2,FALSE)),Table15781012[[#This Row],[Beginning Balance]]-Table15781012[[#This Row],[Principal]]-Table15781012[[#This Row],[Prepayments]]),2)</f>
        <v>0</v>
      </c>
      <c r="K207" s="3">
        <f>ROUND(Table15781012[[#This Row],[Defaulted Principal]]*IF($C$9="No",$E$4,VLOOKUP(Table15781012[[#This Row],[Period]],Forecast!$H$2:$L$1048576,3,FALSE)),2)</f>
        <v>0</v>
      </c>
      <c r="L207" s="2">
        <f>Table15781012[[#This Row],[Period]]+$E$9</f>
        <v>203</v>
      </c>
      <c r="M207" s="3">
        <f>Table15781012[[#This Row],[Defaulted Principal]]-Table15781012[[#This Row],[Estimated Loss]]</f>
        <v>0</v>
      </c>
      <c r="N207" s="3">
        <f>IFERROR(VLOOKUP(Table15781012[[#This Row],[Period]],$L$16:$M$385,2,FALSE),0)</f>
        <v>0</v>
      </c>
      <c r="O207" s="3">
        <f>Table15781012[[#This Row],[Beginning Balance]]-Table15781012[[#This Row],[Principal]]-Table15781012[[#This Row],[Prepayments]]-Table15781012[[#This Row],[Defaulted Principal]]</f>
        <v>0</v>
      </c>
      <c r="P207" s="3">
        <f>Table15781012[[#This Row],[Principal]]+Table15781012[[#This Row],[Interest]]+Table15781012[[#This Row],[Prepayments]]+Table15781012[[#This Row],[RecoveredAmount]]</f>
        <v>0</v>
      </c>
      <c r="Q207" s="3">
        <f ca="1">ROUND(Table15781012[[#This Row],[Cash Flow]]/((1+ActualRateToUse)^(IF(ISNUMBER(SEARCH("Actual",$C$7)),Table15781012[[#This Row],[Running Total]]/365,Table15781012[[#This Row],[Period]]/12))),2)</f>
        <v>0</v>
      </c>
      <c r="R207" s="2">
        <f>IF(MONTH(Table15781012[[#This Row],[Date]])=2,28,DAY(DATE(YEAR(Table15781012[[#This Row],[Date]]),MONTH(Table15781012[[#This Row],[Date]])+1,1)-1))</f>
        <v>31</v>
      </c>
      <c r="S207" s="2">
        <f ca="1">SUM(OFFSET(Table15781012[[#Headers],[Days in month]],1,0):Table15781012[[#This Row],[Days in month]])</f>
        <v>5810</v>
      </c>
      <c r="T207" s="37">
        <f>InterestRate*AmortizationMultiplier*IF(ISNUMBER(SEARCH("Actual",$C$7)),Table15781012[[#This Row],[Days in month]]/365,1/12)</f>
        <v>6.0708333333333326E-3</v>
      </c>
    </row>
    <row r="208" spans="2:20" x14ac:dyDescent="0.2">
      <c r="B208" s="1">
        <f t="shared" si="10"/>
        <v>51682</v>
      </c>
      <c r="C208" s="2">
        <f t="shared" si="8"/>
        <v>192</v>
      </c>
      <c r="D208" s="3">
        <f t="shared" si="7"/>
        <v>0</v>
      </c>
      <c r="E208" s="3">
        <f>ROUND(Table15781012[[#This Row],[Beginning Balance]]*Table15781012[[#This Row],[Monthly Interest Rate]],2)</f>
        <v>0</v>
      </c>
      <c r="F208" s="3">
        <f t="shared" si="9"/>
        <v>160</v>
      </c>
      <c r="G208" s="23">
        <f>IFERROR(IF($C$13="No","N/A",IF(Table15781012[[#This Row],[Period]]=1,$C$6,PMT(InterestRate*AmortizationMultiplier/12,Table15781012[[#This Row],[Am Thru]],-Table15781012[[#This Row],[Beginning Balance]]))),0)</f>
        <v>0</v>
      </c>
      <c r="H208" s="3">
        <f>MAX(0,IF(C208=$C$4,D208,ROUND(IF($C$3="Fixed Principal",$C$6-Table15781012[[#This Row],[Interest]],IF($C$3="Interest Only",Table15781012[[#This Row],[Beginning Balance]]*ROUND(1-(1-IF($C$11="No",$E$8,1))^(1/12),6),MIN(IF($C$13="Yes",Table15781012[[#This Row],[Payment Amount (Reamortized)]],$C$6)-Table15781012[[#This Row],[Interest]],Table15781012[[#This Row],[Beginning Balance]]))),2)))</f>
        <v>0</v>
      </c>
      <c r="I208" s="3">
        <f>_xlfn.SINGLE(IF($C$3="Line of Credit",0,ROUND(MAX(MIN(IF($C$10="No",$E$7,VLOOKUP(Table15781012[[#This Row],[Period]],Forecast!$H$2:$L$1048576,4,FALSE))*Table15781012[[#This Row],[Beginning Balance]],Table15781012[[#This Row],[Beginning Balance]]-Table15781012[[#This Row],[Principal]]),0),2)))</f>
        <v>0</v>
      </c>
      <c r="J208" s="3">
        <f>ROUND(MIN(Table15781012[[#This Row],[Beginning Balance]]*IF($C$8="No",$E$3,VLOOKUP(Table15781012[[#This Row],[Period]],Forecast!$H$2:$L$1048576,2,FALSE)),Table15781012[[#This Row],[Beginning Balance]]-Table15781012[[#This Row],[Principal]]-Table15781012[[#This Row],[Prepayments]]),2)</f>
        <v>0</v>
      </c>
      <c r="K208" s="3">
        <f>ROUND(Table15781012[[#This Row],[Defaulted Principal]]*IF($C$9="No",$E$4,VLOOKUP(Table15781012[[#This Row],[Period]],Forecast!$H$2:$L$1048576,3,FALSE)),2)</f>
        <v>0</v>
      </c>
      <c r="L208" s="2">
        <f>Table15781012[[#This Row],[Period]]+$E$9</f>
        <v>204</v>
      </c>
      <c r="M208" s="3">
        <f>Table15781012[[#This Row],[Defaulted Principal]]-Table15781012[[#This Row],[Estimated Loss]]</f>
        <v>0</v>
      </c>
      <c r="N208" s="3">
        <f>IFERROR(VLOOKUP(Table15781012[[#This Row],[Period]],$L$16:$M$385,2,FALSE),0)</f>
        <v>0</v>
      </c>
      <c r="O208" s="3">
        <f>Table15781012[[#This Row],[Beginning Balance]]-Table15781012[[#This Row],[Principal]]-Table15781012[[#This Row],[Prepayments]]-Table15781012[[#This Row],[Defaulted Principal]]</f>
        <v>0</v>
      </c>
      <c r="P208" s="3">
        <f>Table15781012[[#This Row],[Principal]]+Table15781012[[#This Row],[Interest]]+Table15781012[[#This Row],[Prepayments]]+Table15781012[[#This Row],[RecoveredAmount]]</f>
        <v>0</v>
      </c>
      <c r="Q208" s="3">
        <f ca="1">ROUND(Table15781012[[#This Row],[Cash Flow]]/((1+ActualRateToUse)^(IF(ISNUMBER(SEARCH("Actual",$C$7)),Table15781012[[#This Row],[Running Total]]/365,Table15781012[[#This Row],[Period]]/12))),2)</f>
        <v>0</v>
      </c>
      <c r="R208" s="2">
        <f>IF(MONTH(Table15781012[[#This Row],[Date]])=2,28,DAY(DATE(YEAR(Table15781012[[#This Row],[Date]]),MONTH(Table15781012[[#This Row],[Date]])+1,1)-1))</f>
        <v>30</v>
      </c>
      <c r="S208" s="2">
        <f ca="1">SUM(OFFSET(Table15781012[[#Headers],[Days in month]],1,0):Table15781012[[#This Row],[Days in month]])</f>
        <v>5840</v>
      </c>
      <c r="T208" s="37">
        <f>InterestRate*AmortizationMultiplier*IF(ISNUMBER(SEARCH("Actual",$C$7)),Table15781012[[#This Row],[Days in month]]/365,1/12)</f>
        <v>5.8749999999999991E-3</v>
      </c>
    </row>
    <row r="209" spans="2:20" x14ac:dyDescent="0.2">
      <c r="B209" s="1">
        <f t="shared" si="10"/>
        <v>51713</v>
      </c>
      <c r="C209" s="2">
        <f t="shared" si="8"/>
        <v>193</v>
      </c>
      <c r="D209" s="3">
        <f t="shared" si="7"/>
        <v>0</v>
      </c>
      <c r="E209" s="3">
        <f>ROUND(Table15781012[[#This Row],[Beginning Balance]]*Table15781012[[#This Row],[Monthly Interest Rate]],2)</f>
        <v>0</v>
      </c>
      <c r="F209" s="3">
        <f t="shared" si="9"/>
        <v>159</v>
      </c>
      <c r="G209" s="23">
        <f>IFERROR(IF($C$13="No","N/A",IF(Table15781012[[#This Row],[Period]]=1,$C$6,PMT(InterestRate*AmortizationMultiplier/12,Table15781012[[#This Row],[Am Thru]],-Table15781012[[#This Row],[Beginning Balance]]))),0)</f>
        <v>0</v>
      </c>
      <c r="H209" s="3">
        <f>MAX(0,IF(C209=$C$4,D209,ROUND(IF($C$3="Fixed Principal",$C$6-Table15781012[[#This Row],[Interest]],IF($C$3="Interest Only",Table15781012[[#This Row],[Beginning Balance]]*ROUND(1-(1-IF($C$11="No",$E$8,1))^(1/12),6),MIN(IF($C$13="Yes",Table15781012[[#This Row],[Payment Amount (Reamortized)]],$C$6)-Table15781012[[#This Row],[Interest]],Table15781012[[#This Row],[Beginning Balance]]))),2)))</f>
        <v>0</v>
      </c>
      <c r="I209" s="3">
        <f>_xlfn.SINGLE(IF($C$3="Line of Credit",0,ROUND(MAX(MIN(IF($C$10="No",$E$7,VLOOKUP(Table15781012[[#This Row],[Period]],Forecast!$H$2:$L$1048576,4,FALSE))*Table15781012[[#This Row],[Beginning Balance]],Table15781012[[#This Row],[Beginning Balance]]-Table15781012[[#This Row],[Principal]]),0),2)))</f>
        <v>0</v>
      </c>
      <c r="J209" s="3">
        <f>ROUND(MIN(Table15781012[[#This Row],[Beginning Balance]]*IF($C$8="No",$E$3,VLOOKUP(Table15781012[[#This Row],[Period]],Forecast!$H$2:$L$1048576,2,FALSE)),Table15781012[[#This Row],[Beginning Balance]]-Table15781012[[#This Row],[Principal]]-Table15781012[[#This Row],[Prepayments]]),2)</f>
        <v>0</v>
      </c>
      <c r="K209" s="3">
        <f>ROUND(Table15781012[[#This Row],[Defaulted Principal]]*IF($C$9="No",$E$4,VLOOKUP(Table15781012[[#This Row],[Period]],Forecast!$H$2:$L$1048576,3,FALSE)),2)</f>
        <v>0</v>
      </c>
      <c r="L209" s="2">
        <f>Table15781012[[#This Row],[Period]]+$E$9</f>
        <v>205</v>
      </c>
      <c r="M209" s="3">
        <f>Table15781012[[#This Row],[Defaulted Principal]]-Table15781012[[#This Row],[Estimated Loss]]</f>
        <v>0</v>
      </c>
      <c r="N209" s="3">
        <f>IFERROR(VLOOKUP(Table15781012[[#This Row],[Period]],$L$16:$M$385,2,FALSE),0)</f>
        <v>0</v>
      </c>
      <c r="O209" s="3">
        <f>Table15781012[[#This Row],[Beginning Balance]]-Table15781012[[#This Row],[Principal]]-Table15781012[[#This Row],[Prepayments]]-Table15781012[[#This Row],[Defaulted Principal]]</f>
        <v>0</v>
      </c>
      <c r="P209" s="3">
        <f>Table15781012[[#This Row],[Principal]]+Table15781012[[#This Row],[Interest]]+Table15781012[[#This Row],[Prepayments]]+Table15781012[[#This Row],[RecoveredAmount]]</f>
        <v>0</v>
      </c>
      <c r="Q209" s="3">
        <f ca="1">ROUND(Table15781012[[#This Row],[Cash Flow]]/((1+ActualRateToUse)^(IF(ISNUMBER(SEARCH("Actual",$C$7)),Table15781012[[#This Row],[Running Total]]/365,Table15781012[[#This Row],[Period]]/12))),2)</f>
        <v>0</v>
      </c>
      <c r="R209" s="2">
        <f>IF(MONTH(Table15781012[[#This Row],[Date]])=2,28,DAY(DATE(YEAR(Table15781012[[#This Row],[Date]]),MONTH(Table15781012[[#This Row],[Date]])+1,1)-1))</f>
        <v>31</v>
      </c>
      <c r="S209" s="2">
        <f ca="1">SUM(OFFSET(Table15781012[[#Headers],[Days in month]],1,0):Table15781012[[#This Row],[Days in month]])</f>
        <v>5871</v>
      </c>
      <c r="T209" s="37">
        <f>InterestRate*AmortizationMultiplier*IF(ISNUMBER(SEARCH("Actual",$C$7)),Table15781012[[#This Row],[Days in month]]/365,1/12)</f>
        <v>6.0708333333333326E-3</v>
      </c>
    </row>
    <row r="210" spans="2:20" x14ac:dyDescent="0.2">
      <c r="B210" s="1">
        <f t="shared" si="10"/>
        <v>51744</v>
      </c>
      <c r="C210" s="2">
        <f t="shared" si="8"/>
        <v>194</v>
      </c>
      <c r="D210" s="3">
        <f t="shared" ref="D210:D273" si="11">O209</f>
        <v>0</v>
      </c>
      <c r="E210" s="3">
        <f>ROUND(Table15781012[[#This Row],[Beginning Balance]]*Table15781012[[#This Row],[Monthly Interest Rate]],2)</f>
        <v>0</v>
      </c>
      <c r="F210" s="3">
        <f t="shared" si="9"/>
        <v>158</v>
      </c>
      <c r="G210" s="23">
        <f>IFERROR(IF($C$13="No","N/A",IF(Table15781012[[#This Row],[Period]]=1,$C$6,PMT(InterestRate*AmortizationMultiplier/12,Table15781012[[#This Row],[Am Thru]],-Table15781012[[#This Row],[Beginning Balance]]))),0)</f>
        <v>0</v>
      </c>
      <c r="H210" s="3">
        <f>MAX(0,IF(C210=$C$4,D210,ROUND(IF($C$3="Fixed Principal",$C$6-Table15781012[[#This Row],[Interest]],IF($C$3="Interest Only",Table15781012[[#This Row],[Beginning Balance]]*ROUND(1-(1-IF($C$11="No",$E$8,1))^(1/12),6),MIN(IF($C$13="Yes",Table15781012[[#This Row],[Payment Amount (Reamortized)]],$C$6)-Table15781012[[#This Row],[Interest]],Table15781012[[#This Row],[Beginning Balance]]))),2)))</f>
        <v>0</v>
      </c>
      <c r="I210" s="3">
        <f>_xlfn.SINGLE(IF($C$3="Line of Credit",0,ROUND(MAX(MIN(IF($C$10="No",$E$7,VLOOKUP(Table15781012[[#This Row],[Period]],Forecast!$H$2:$L$1048576,4,FALSE))*Table15781012[[#This Row],[Beginning Balance]],Table15781012[[#This Row],[Beginning Balance]]-Table15781012[[#This Row],[Principal]]),0),2)))</f>
        <v>0</v>
      </c>
      <c r="J210" s="3">
        <f>ROUND(MIN(Table15781012[[#This Row],[Beginning Balance]]*IF($C$8="No",$E$3,VLOOKUP(Table15781012[[#This Row],[Period]],Forecast!$H$2:$L$1048576,2,FALSE)),Table15781012[[#This Row],[Beginning Balance]]-Table15781012[[#This Row],[Principal]]-Table15781012[[#This Row],[Prepayments]]),2)</f>
        <v>0</v>
      </c>
      <c r="K210" s="3">
        <f>ROUND(Table15781012[[#This Row],[Defaulted Principal]]*IF($C$9="No",$E$4,VLOOKUP(Table15781012[[#This Row],[Period]],Forecast!$H$2:$L$1048576,3,FALSE)),2)</f>
        <v>0</v>
      </c>
      <c r="L210" s="2">
        <f>Table15781012[[#This Row],[Period]]+$E$9</f>
        <v>206</v>
      </c>
      <c r="M210" s="3">
        <f>Table15781012[[#This Row],[Defaulted Principal]]-Table15781012[[#This Row],[Estimated Loss]]</f>
        <v>0</v>
      </c>
      <c r="N210" s="3">
        <f>IFERROR(VLOOKUP(Table15781012[[#This Row],[Period]],$L$16:$M$385,2,FALSE),0)</f>
        <v>0</v>
      </c>
      <c r="O210" s="3">
        <f>Table15781012[[#This Row],[Beginning Balance]]-Table15781012[[#This Row],[Principal]]-Table15781012[[#This Row],[Prepayments]]-Table15781012[[#This Row],[Defaulted Principal]]</f>
        <v>0</v>
      </c>
      <c r="P210" s="3">
        <f>Table15781012[[#This Row],[Principal]]+Table15781012[[#This Row],[Interest]]+Table15781012[[#This Row],[Prepayments]]+Table15781012[[#This Row],[RecoveredAmount]]</f>
        <v>0</v>
      </c>
      <c r="Q210" s="3">
        <f ca="1">ROUND(Table15781012[[#This Row],[Cash Flow]]/((1+ActualRateToUse)^(IF(ISNUMBER(SEARCH("Actual",$C$7)),Table15781012[[#This Row],[Running Total]]/365,Table15781012[[#This Row],[Period]]/12))),2)</f>
        <v>0</v>
      </c>
      <c r="R210" s="2">
        <f>IF(MONTH(Table15781012[[#This Row],[Date]])=2,28,DAY(DATE(YEAR(Table15781012[[#This Row],[Date]]),MONTH(Table15781012[[#This Row],[Date]])+1,1)-1))</f>
        <v>31</v>
      </c>
      <c r="S210" s="2">
        <f ca="1">SUM(OFFSET(Table15781012[[#Headers],[Days in month]],1,0):Table15781012[[#This Row],[Days in month]])</f>
        <v>5902</v>
      </c>
      <c r="T210" s="37">
        <f>InterestRate*AmortizationMultiplier*IF(ISNUMBER(SEARCH("Actual",$C$7)),Table15781012[[#This Row],[Days in month]]/365,1/12)</f>
        <v>6.0708333333333326E-3</v>
      </c>
    </row>
    <row r="211" spans="2:20" x14ac:dyDescent="0.2">
      <c r="B211" s="1">
        <f t="shared" si="10"/>
        <v>51774</v>
      </c>
      <c r="C211" s="2">
        <f t="shared" ref="C211:C274" si="12">C210+1</f>
        <v>195</v>
      </c>
      <c r="D211" s="3">
        <f t="shared" si="11"/>
        <v>0</v>
      </c>
      <c r="E211" s="3">
        <f>ROUND(Table15781012[[#This Row],[Beginning Balance]]*Table15781012[[#This Row],[Monthly Interest Rate]],2)</f>
        <v>0</v>
      </c>
      <c r="F211" s="3">
        <f t="shared" ref="F211:F274" si="13">+F210-1</f>
        <v>157</v>
      </c>
      <c r="G211" s="23">
        <f>IFERROR(IF($C$13="No","N/A",IF(Table15781012[[#This Row],[Period]]=1,$C$6,PMT(InterestRate*AmortizationMultiplier/12,Table15781012[[#This Row],[Am Thru]],-Table15781012[[#This Row],[Beginning Balance]]))),0)</f>
        <v>0</v>
      </c>
      <c r="H211" s="3">
        <f>MAX(0,IF(C211=$C$4,D211,ROUND(IF($C$3="Fixed Principal",$C$6-Table15781012[[#This Row],[Interest]],IF($C$3="Interest Only",Table15781012[[#This Row],[Beginning Balance]]*ROUND(1-(1-IF($C$11="No",$E$8,1))^(1/12),6),MIN(IF($C$13="Yes",Table15781012[[#This Row],[Payment Amount (Reamortized)]],$C$6)-Table15781012[[#This Row],[Interest]],Table15781012[[#This Row],[Beginning Balance]]))),2)))</f>
        <v>0</v>
      </c>
      <c r="I211" s="3">
        <f>_xlfn.SINGLE(IF($C$3="Line of Credit",0,ROUND(MAX(MIN(IF($C$10="No",$E$7,VLOOKUP(Table15781012[[#This Row],[Period]],Forecast!$H$2:$L$1048576,4,FALSE))*Table15781012[[#This Row],[Beginning Balance]],Table15781012[[#This Row],[Beginning Balance]]-Table15781012[[#This Row],[Principal]]),0),2)))</f>
        <v>0</v>
      </c>
      <c r="J211" s="3">
        <f>ROUND(MIN(Table15781012[[#This Row],[Beginning Balance]]*IF($C$8="No",$E$3,VLOOKUP(Table15781012[[#This Row],[Period]],Forecast!$H$2:$L$1048576,2,FALSE)),Table15781012[[#This Row],[Beginning Balance]]-Table15781012[[#This Row],[Principal]]-Table15781012[[#This Row],[Prepayments]]),2)</f>
        <v>0</v>
      </c>
      <c r="K211" s="3">
        <f>ROUND(Table15781012[[#This Row],[Defaulted Principal]]*IF($C$9="No",$E$4,VLOOKUP(Table15781012[[#This Row],[Period]],Forecast!$H$2:$L$1048576,3,FALSE)),2)</f>
        <v>0</v>
      </c>
      <c r="L211" s="2">
        <f>Table15781012[[#This Row],[Period]]+$E$9</f>
        <v>207</v>
      </c>
      <c r="M211" s="3">
        <f>Table15781012[[#This Row],[Defaulted Principal]]-Table15781012[[#This Row],[Estimated Loss]]</f>
        <v>0</v>
      </c>
      <c r="N211" s="3">
        <f>IFERROR(VLOOKUP(Table15781012[[#This Row],[Period]],$L$16:$M$385,2,FALSE),0)</f>
        <v>0</v>
      </c>
      <c r="O211" s="3">
        <f>Table15781012[[#This Row],[Beginning Balance]]-Table15781012[[#This Row],[Principal]]-Table15781012[[#This Row],[Prepayments]]-Table15781012[[#This Row],[Defaulted Principal]]</f>
        <v>0</v>
      </c>
      <c r="P211" s="3">
        <f>Table15781012[[#This Row],[Principal]]+Table15781012[[#This Row],[Interest]]+Table15781012[[#This Row],[Prepayments]]+Table15781012[[#This Row],[RecoveredAmount]]</f>
        <v>0</v>
      </c>
      <c r="Q211" s="3">
        <f ca="1">ROUND(Table15781012[[#This Row],[Cash Flow]]/((1+ActualRateToUse)^(IF(ISNUMBER(SEARCH("Actual",$C$7)),Table15781012[[#This Row],[Running Total]]/365,Table15781012[[#This Row],[Period]]/12))),2)</f>
        <v>0</v>
      </c>
      <c r="R211" s="2">
        <f>IF(MONTH(Table15781012[[#This Row],[Date]])=2,28,DAY(DATE(YEAR(Table15781012[[#This Row],[Date]]),MONTH(Table15781012[[#This Row],[Date]])+1,1)-1))</f>
        <v>30</v>
      </c>
      <c r="S211" s="2">
        <f ca="1">SUM(OFFSET(Table15781012[[#Headers],[Days in month]],1,0):Table15781012[[#This Row],[Days in month]])</f>
        <v>5932</v>
      </c>
      <c r="T211" s="37">
        <f>InterestRate*AmortizationMultiplier*IF(ISNUMBER(SEARCH("Actual",$C$7)),Table15781012[[#This Row],[Days in month]]/365,1/12)</f>
        <v>5.8749999999999991E-3</v>
      </c>
    </row>
    <row r="212" spans="2:20" x14ac:dyDescent="0.2">
      <c r="B212" s="1">
        <f t="shared" si="10"/>
        <v>51805</v>
      </c>
      <c r="C212" s="2">
        <f t="shared" si="12"/>
        <v>196</v>
      </c>
      <c r="D212" s="3">
        <f t="shared" si="11"/>
        <v>0</v>
      </c>
      <c r="E212" s="3">
        <f>ROUND(Table15781012[[#This Row],[Beginning Balance]]*Table15781012[[#This Row],[Monthly Interest Rate]],2)</f>
        <v>0</v>
      </c>
      <c r="F212" s="3">
        <f t="shared" si="13"/>
        <v>156</v>
      </c>
      <c r="G212" s="23">
        <f>IFERROR(IF($C$13="No","N/A",IF(Table15781012[[#This Row],[Period]]=1,$C$6,PMT(InterestRate*AmortizationMultiplier/12,Table15781012[[#This Row],[Am Thru]],-Table15781012[[#This Row],[Beginning Balance]]))),0)</f>
        <v>0</v>
      </c>
      <c r="H212" s="3">
        <f>MAX(0,IF(C212=$C$4,D212,ROUND(IF($C$3="Fixed Principal",$C$6-Table15781012[[#This Row],[Interest]],IF($C$3="Interest Only",Table15781012[[#This Row],[Beginning Balance]]*ROUND(1-(1-IF($C$11="No",$E$8,1))^(1/12),6),MIN(IF($C$13="Yes",Table15781012[[#This Row],[Payment Amount (Reamortized)]],$C$6)-Table15781012[[#This Row],[Interest]],Table15781012[[#This Row],[Beginning Balance]]))),2)))</f>
        <v>0</v>
      </c>
      <c r="I212" s="3">
        <f>_xlfn.SINGLE(IF($C$3="Line of Credit",0,ROUND(MAX(MIN(IF($C$10="No",$E$7,VLOOKUP(Table15781012[[#This Row],[Period]],Forecast!$H$2:$L$1048576,4,FALSE))*Table15781012[[#This Row],[Beginning Balance]],Table15781012[[#This Row],[Beginning Balance]]-Table15781012[[#This Row],[Principal]]),0),2)))</f>
        <v>0</v>
      </c>
      <c r="J212" s="3">
        <f>ROUND(MIN(Table15781012[[#This Row],[Beginning Balance]]*IF($C$8="No",$E$3,VLOOKUP(Table15781012[[#This Row],[Period]],Forecast!$H$2:$L$1048576,2,FALSE)),Table15781012[[#This Row],[Beginning Balance]]-Table15781012[[#This Row],[Principal]]-Table15781012[[#This Row],[Prepayments]]),2)</f>
        <v>0</v>
      </c>
      <c r="K212" s="3">
        <f>ROUND(Table15781012[[#This Row],[Defaulted Principal]]*IF($C$9="No",$E$4,VLOOKUP(Table15781012[[#This Row],[Period]],Forecast!$H$2:$L$1048576,3,FALSE)),2)</f>
        <v>0</v>
      </c>
      <c r="L212" s="2">
        <f>Table15781012[[#This Row],[Period]]+$E$9</f>
        <v>208</v>
      </c>
      <c r="M212" s="3">
        <f>Table15781012[[#This Row],[Defaulted Principal]]-Table15781012[[#This Row],[Estimated Loss]]</f>
        <v>0</v>
      </c>
      <c r="N212" s="3">
        <f>IFERROR(VLOOKUP(Table15781012[[#This Row],[Period]],$L$16:$M$385,2,FALSE),0)</f>
        <v>0</v>
      </c>
      <c r="O212" s="3">
        <f>Table15781012[[#This Row],[Beginning Balance]]-Table15781012[[#This Row],[Principal]]-Table15781012[[#This Row],[Prepayments]]-Table15781012[[#This Row],[Defaulted Principal]]</f>
        <v>0</v>
      </c>
      <c r="P212" s="3">
        <f>Table15781012[[#This Row],[Principal]]+Table15781012[[#This Row],[Interest]]+Table15781012[[#This Row],[Prepayments]]+Table15781012[[#This Row],[RecoveredAmount]]</f>
        <v>0</v>
      </c>
      <c r="Q212" s="3">
        <f ca="1">ROUND(Table15781012[[#This Row],[Cash Flow]]/((1+ActualRateToUse)^(IF(ISNUMBER(SEARCH("Actual",$C$7)),Table15781012[[#This Row],[Running Total]]/365,Table15781012[[#This Row],[Period]]/12))),2)</f>
        <v>0</v>
      </c>
      <c r="R212" s="2">
        <f>IF(MONTH(Table15781012[[#This Row],[Date]])=2,28,DAY(DATE(YEAR(Table15781012[[#This Row],[Date]]),MONTH(Table15781012[[#This Row],[Date]])+1,1)-1))</f>
        <v>31</v>
      </c>
      <c r="S212" s="2">
        <f ca="1">SUM(OFFSET(Table15781012[[#Headers],[Days in month]],1,0):Table15781012[[#This Row],[Days in month]])</f>
        <v>5963</v>
      </c>
      <c r="T212" s="37">
        <f>InterestRate*AmortizationMultiplier*IF(ISNUMBER(SEARCH("Actual",$C$7)),Table15781012[[#This Row],[Days in month]]/365,1/12)</f>
        <v>6.0708333333333326E-3</v>
      </c>
    </row>
    <row r="213" spans="2:20" x14ac:dyDescent="0.2">
      <c r="B213" s="1">
        <f t="shared" si="10"/>
        <v>51835</v>
      </c>
      <c r="C213" s="2">
        <f t="shared" si="12"/>
        <v>197</v>
      </c>
      <c r="D213" s="3">
        <f t="shared" si="11"/>
        <v>0</v>
      </c>
      <c r="E213" s="3">
        <f>ROUND(Table15781012[[#This Row],[Beginning Balance]]*Table15781012[[#This Row],[Monthly Interest Rate]],2)</f>
        <v>0</v>
      </c>
      <c r="F213" s="3">
        <f t="shared" si="13"/>
        <v>155</v>
      </c>
      <c r="G213" s="23">
        <f>IFERROR(IF($C$13="No","N/A",IF(Table15781012[[#This Row],[Period]]=1,$C$6,PMT(InterestRate*AmortizationMultiplier/12,Table15781012[[#This Row],[Am Thru]],-Table15781012[[#This Row],[Beginning Balance]]))),0)</f>
        <v>0</v>
      </c>
      <c r="H213" s="3">
        <f>MAX(0,IF(C213=$C$4,D213,ROUND(IF($C$3="Fixed Principal",$C$6-Table15781012[[#This Row],[Interest]],IF($C$3="Interest Only",Table15781012[[#This Row],[Beginning Balance]]*ROUND(1-(1-IF($C$11="No",$E$8,1))^(1/12),6),MIN(IF($C$13="Yes",Table15781012[[#This Row],[Payment Amount (Reamortized)]],$C$6)-Table15781012[[#This Row],[Interest]],Table15781012[[#This Row],[Beginning Balance]]))),2)))</f>
        <v>0</v>
      </c>
      <c r="I213" s="3">
        <f>_xlfn.SINGLE(IF($C$3="Line of Credit",0,ROUND(MAX(MIN(IF($C$10="No",$E$7,VLOOKUP(Table15781012[[#This Row],[Period]],Forecast!$H$2:$L$1048576,4,FALSE))*Table15781012[[#This Row],[Beginning Balance]],Table15781012[[#This Row],[Beginning Balance]]-Table15781012[[#This Row],[Principal]]),0),2)))</f>
        <v>0</v>
      </c>
      <c r="J213" s="3">
        <f>ROUND(MIN(Table15781012[[#This Row],[Beginning Balance]]*IF($C$8="No",$E$3,VLOOKUP(Table15781012[[#This Row],[Period]],Forecast!$H$2:$L$1048576,2,FALSE)),Table15781012[[#This Row],[Beginning Balance]]-Table15781012[[#This Row],[Principal]]-Table15781012[[#This Row],[Prepayments]]),2)</f>
        <v>0</v>
      </c>
      <c r="K213" s="3">
        <f>ROUND(Table15781012[[#This Row],[Defaulted Principal]]*IF($C$9="No",$E$4,VLOOKUP(Table15781012[[#This Row],[Period]],Forecast!$H$2:$L$1048576,3,FALSE)),2)</f>
        <v>0</v>
      </c>
      <c r="L213" s="2">
        <f>Table15781012[[#This Row],[Period]]+$E$9</f>
        <v>209</v>
      </c>
      <c r="M213" s="3">
        <f>Table15781012[[#This Row],[Defaulted Principal]]-Table15781012[[#This Row],[Estimated Loss]]</f>
        <v>0</v>
      </c>
      <c r="N213" s="3">
        <f>IFERROR(VLOOKUP(Table15781012[[#This Row],[Period]],$L$16:$M$385,2,FALSE),0)</f>
        <v>0</v>
      </c>
      <c r="O213" s="3">
        <f>Table15781012[[#This Row],[Beginning Balance]]-Table15781012[[#This Row],[Principal]]-Table15781012[[#This Row],[Prepayments]]-Table15781012[[#This Row],[Defaulted Principal]]</f>
        <v>0</v>
      </c>
      <c r="P213" s="3">
        <f>Table15781012[[#This Row],[Principal]]+Table15781012[[#This Row],[Interest]]+Table15781012[[#This Row],[Prepayments]]+Table15781012[[#This Row],[RecoveredAmount]]</f>
        <v>0</v>
      </c>
      <c r="Q213" s="3">
        <f ca="1">ROUND(Table15781012[[#This Row],[Cash Flow]]/((1+ActualRateToUse)^(IF(ISNUMBER(SEARCH("Actual",$C$7)),Table15781012[[#This Row],[Running Total]]/365,Table15781012[[#This Row],[Period]]/12))),2)</f>
        <v>0</v>
      </c>
      <c r="R213" s="2">
        <f>IF(MONTH(Table15781012[[#This Row],[Date]])=2,28,DAY(DATE(YEAR(Table15781012[[#This Row],[Date]]),MONTH(Table15781012[[#This Row],[Date]])+1,1)-1))</f>
        <v>30</v>
      </c>
      <c r="S213" s="2">
        <f ca="1">SUM(OFFSET(Table15781012[[#Headers],[Days in month]],1,0):Table15781012[[#This Row],[Days in month]])</f>
        <v>5993</v>
      </c>
      <c r="T213" s="37">
        <f>InterestRate*AmortizationMultiplier*IF(ISNUMBER(SEARCH("Actual",$C$7)),Table15781012[[#This Row],[Days in month]]/365,1/12)</f>
        <v>5.8749999999999991E-3</v>
      </c>
    </row>
    <row r="214" spans="2:20" x14ac:dyDescent="0.2">
      <c r="B214" s="1">
        <f t="shared" si="10"/>
        <v>51866</v>
      </c>
      <c r="C214" s="2">
        <f t="shared" si="12"/>
        <v>198</v>
      </c>
      <c r="D214" s="3">
        <f t="shared" si="11"/>
        <v>0</v>
      </c>
      <c r="E214" s="3">
        <f>ROUND(Table15781012[[#This Row],[Beginning Balance]]*Table15781012[[#This Row],[Monthly Interest Rate]],2)</f>
        <v>0</v>
      </c>
      <c r="F214" s="3">
        <f t="shared" si="13"/>
        <v>154</v>
      </c>
      <c r="G214" s="23">
        <f>IFERROR(IF($C$13="No","N/A",IF(Table15781012[[#This Row],[Period]]=1,$C$6,PMT(InterestRate*AmortizationMultiplier/12,Table15781012[[#This Row],[Am Thru]],-Table15781012[[#This Row],[Beginning Balance]]))),0)</f>
        <v>0</v>
      </c>
      <c r="H214" s="3">
        <f>MAX(0,IF(C214=$C$4,D214,ROUND(IF($C$3="Fixed Principal",$C$6-Table15781012[[#This Row],[Interest]],IF($C$3="Interest Only",Table15781012[[#This Row],[Beginning Balance]]*ROUND(1-(1-IF($C$11="No",$E$8,1))^(1/12),6),MIN(IF($C$13="Yes",Table15781012[[#This Row],[Payment Amount (Reamortized)]],$C$6)-Table15781012[[#This Row],[Interest]],Table15781012[[#This Row],[Beginning Balance]]))),2)))</f>
        <v>0</v>
      </c>
      <c r="I214" s="3">
        <f>_xlfn.SINGLE(IF($C$3="Line of Credit",0,ROUND(MAX(MIN(IF($C$10="No",$E$7,VLOOKUP(Table15781012[[#This Row],[Period]],Forecast!$H$2:$L$1048576,4,FALSE))*Table15781012[[#This Row],[Beginning Balance]],Table15781012[[#This Row],[Beginning Balance]]-Table15781012[[#This Row],[Principal]]),0),2)))</f>
        <v>0</v>
      </c>
      <c r="J214" s="3">
        <f>ROUND(MIN(Table15781012[[#This Row],[Beginning Balance]]*IF($C$8="No",$E$3,VLOOKUP(Table15781012[[#This Row],[Period]],Forecast!$H$2:$L$1048576,2,FALSE)),Table15781012[[#This Row],[Beginning Balance]]-Table15781012[[#This Row],[Principal]]-Table15781012[[#This Row],[Prepayments]]),2)</f>
        <v>0</v>
      </c>
      <c r="K214" s="3">
        <f>ROUND(Table15781012[[#This Row],[Defaulted Principal]]*IF($C$9="No",$E$4,VLOOKUP(Table15781012[[#This Row],[Period]],Forecast!$H$2:$L$1048576,3,FALSE)),2)</f>
        <v>0</v>
      </c>
      <c r="L214" s="2">
        <f>Table15781012[[#This Row],[Period]]+$E$9</f>
        <v>210</v>
      </c>
      <c r="M214" s="3">
        <f>Table15781012[[#This Row],[Defaulted Principal]]-Table15781012[[#This Row],[Estimated Loss]]</f>
        <v>0</v>
      </c>
      <c r="N214" s="3">
        <f>IFERROR(VLOOKUP(Table15781012[[#This Row],[Period]],$L$16:$M$385,2,FALSE),0)</f>
        <v>0</v>
      </c>
      <c r="O214" s="3">
        <f>Table15781012[[#This Row],[Beginning Balance]]-Table15781012[[#This Row],[Principal]]-Table15781012[[#This Row],[Prepayments]]-Table15781012[[#This Row],[Defaulted Principal]]</f>
        <v>0</v>
      </c>
      <c r="P214" s="3">
        <f>Table15781012[[#This Row],[Principal]]+Table15781012[[#This Row],[Interest]]+Table15781012[[#This Row],[Prepayments]]+Table15781012[[#This Row],[RecoveredAmount]]</f>
        <v>0</v>
      </c>
      <c r="Q214" s="3">
        <f ca="1">ROUND(Table15781012[[#This Row],[Cash Flow]]/((1+ActualRateToUse)^(IF(ISNUMBER(SEARCH("Actual",$C$7)),Table15781012[[#This Row],[Running Total]]/365,Table15781012[[#This Row],[Period]]/12))),2)</f>
        <v>0</v>
      </c>
      <c r="R214" s="2">
        <f>IF(MONTH(Table15781012[[#This Row],[Date]])=2,28,DAY(DATE(YEAR(Table15781012[[#This Row],[Date]]),MONTH(Table15781012[[#This Row],[Date]])+1,1)-1))</f>
        <v>31</v>
      </c>
      <c r="S214" s="2">
        <f ca="1">SUM(OFFSET(Table15781012[[#Headers],[Days in month]],1,0):Table15781012[[#This Row],[Days in month]])</f>
        <v>6024</v>
      </c>
      <c r="T214" s="37">
        <f>InterestRate*AmortizationMultiplier*IF(ISNUMBER(SEARCH("Actual",$C$7)),Table15781012[[#This Row],[Days in month]]/365,1/12)</f>
        <v>6.0708333333333326E-3</v>
      </c>
    </row>
    <row r="215" spans="2:20" x14ac:dyDescent="0.2">
      <c r="B215" s="1">
        <f t="shared" si="10"/>
        <v>51897</v>
      </c>
      <c r="C215" s="2">
        <f t="shared" si="12"/>
        <v>199</v>
      </c>
      <c r="D215" s="3">
        <f t="shared" si="11"/>
        <v>0</v>
      </c>
      <c r="E215" s="3">
        <f>ROUND(Table15781012[[#This Row],[Beginning Balance]]*Table15781012[[#This Row],[Monthly Interest Rate]],2)</f>
        <v>0</v>
      </c>
      <c r="F215" s="3">
        <f t="shared" si="13"/>
        <v>153</v>
      </c>
      <c r="G215" s="23">
        <f>IFERROR(IF($C$13="No","N/A",IF(Table15781012[[#This Row],[Period]]=1,$C$6,PMT(InterestRate*AmortizationMultiplier/12,Table15781012[[#This Row],[Am Thru]],-Table15781012[[#This Row],[Beginning Balance]]))),0)</f>
        <v>0</v>
      </c>
      <c r="H215" s="3">
        <f>MAX(0,IF(C215=$C$4,D215,ROUND(IF($C$3="Fixed Principal",$C$6-Table15781012[[#This Row],[Interest]],IF($C$3="Interest Only",Table15781012[[#This Row],[Beginning Balance]]*ROUND(1-(1-IF($C$11="No",$E$8,1))^(1/12),6),MIN(IF($C$13="Yes",Table15781012[[#This Row],[Payment Amount (Reamortized)]],$C$6)-Table15781012[[#This Row],[Interest]],Table15781012[[#This Row],[Beginning Balance]]))),2)))</f>
        <v>0</v>
      </c>
      <c r="I215" s="3">
        <f>_xlfn.SINGLE(IF($C$3="Line of Credit",0,ROUND(MAX(MIN(IF($C$10="No",$E$7,VLOOKUP(Table15781012[[#This Row],[Period]],Forecast!$H$2:$L$1048576,4,FALSE))*Table15781012[[#This Row],[Beginning Balance]],Table15781012[[#This Row],[Beginning Balance]]-Table15781012[[#This Row],[Principal]]),0),2)))</f>
        <v>0</v>
      </c>
      <c r="J215" s="3">
        <f>ROUND(MIN(Table15781012[[#This Row],[Beginning Balance]]*IF($C$8="No",$E$3,VLOOKUP(Table15781012[[#This Row],[Period]],Forecast!$H$2:$L$1048576,2,FALSE)),Table15781012[[#This Row],[Beginning Balance]]-Table15781012[[#This Row],[Principal]]-Table15781012[[#This Row],[Prepayments]]),2)</f>
        <v>0</v>
      </c>
      <c r="K215" s="3">
        <f>ROUND(Table15781012[[#This Row],[Defaulted Principal]]*IF($C$9="No",$E$4,VLOOKUP(Table15781012[[#This Row],[Period]],Forecast!$H$2:$L$1048576,3,FALSE)),2)</f>
        <v>0</v>
      </c>
      <c r="L215" s="2">
        <f>Table15781012[[#This Row],[Period]]+$E$9</f>
        <v>211</v>
      </c>
      <c r="M215" s="3">
        <f>Table15781012[[#This Row],[Defaulted Principal]]-Table15781012[[#This Row],[Estimated Loss]]</f>
        <v>0</v>
      </c>
      <c r="N215" s="3">
        <f>IFERROR(VLOOKUP(Table15781012[[#This Row],[Period]],$L$16:$M$385,2,FALSE),0)</f>
        <v>0</v>
      </c>
      <c r="O215" s="3">
        <f>Table15781012[[#This Row],[Beginning Balance]]-Table15781012[[#This Row],[Principal]]-Table15781012[[#This Row],[Prepayments]]-Table15781012[[#This Row],[Defaulted Principal]]</f>
        <v>0</v>
      </c>
      <c r="P215" s="3">
        <f>Table15781012[[#This Row],[Principal]]+Table15781012[[#This Row],[Interest]]+Table15781012[[#This Row],[Prepayments]]+Table15781012[[#This Row],[RecoveredAmount]]</f>
        <v>0</v>
      </c>
      <c r="Q215" s="3">
        <f ca="1">ROUND(Table15781012[[#This Row],[Cash Flow]]/((1+ActualRateToUse)^(IF(ISNUMBER(SEARCH("Actual",$C$7)),Table15781012[[#This Row],[Running Total]]/365,Table15781012[[#This Row],[Period]]/12))),2)</f>
        <v>0</v>
      </c>
      <c r="R215" s="2">
        <f>IF(MONTH(Table15781012[[#This Row],[Date]])=2,28,DAY(DATE(YEAR(Table15781012[[#This Row],[Date]]),MONTH(Table15781012[[#This Row],[Date]])+1,1)-1))</f>
        <v>31</v>
      </c>
      <c r="S215" s="2">
        <f ca="1">SUM(OFFSET(Table15781012[[#Headers],[Days in month]],1,0):Table15781012[[#This Row],[Days in month]])</f>
        <v>6055</v>
      </c>
      <c r="T215" s="37">
        <f>InterestRate*AmortizationMultiplier*IF(ISNUMBER(SEARCH("Actual",$C$7)),Table15781012[[#This Row],[Days in month]]/365,1/12)</f>
        <v>6.0708333333333326E-3</v>
      </c>
    </row>
    <row r="216" spans="2:20" x14ac:dyDescent="0.2">
      <c r="B216" s="1">
        <f t="shared" si="10"/>
        <v>51925</v>
      </c>
      <c r="C216" s="2">
        <f t="shared" si="12"/>
        <v>200</v>
      </c>
      <c r="D216" s="3">
        <f t="shared" si="11"/>
        <v>0</v>
      </c>
      <c r="E216" s="3">
        <f>ROUND(Table15781012[[#This Row],[Beginning Balance]]*Table15781012[[#This Row],[Monthly Interest Rate]],2)</f>
        <v>0</v>
      </c>
      <c r="F216" s="3">
        <f t="shared" si="13"/>
        <v>152</v>
      </c>
      <c r="G216" s="23">
        <f>IFERROR(IF($C$13="No","N/A",IF(Table15781012[[#This Row],[Period]]=1,$C$6,PMT(InterestRate*AmortizationMultiplier/12,Table15781012[[#This Row],[Am Thru]],-Table15781012[[#This Row],[Beginning Balance]]))),0)</f>
        <v>0</v>
      </c>
      <c r="H216" s="3">
        <f>MAX(0,IF(C216=$C$4,D216,ROUND(IF($C$3="Fixed Principal",$C$6-Table15781012[[#This Row],[Interest]],IF($C$3="Interest Only",Table15781012[[#This Row],[Beginning Balance]]*ROUND(1-(1-IF($C$11="No",$E$8,1))^(1/12),6),MIN(IF($C$13="Yes",Table15781012[[#This Row],[Payment Amount (Reamortized)]],$C$6)-Table15781012[[#This Row],[Interest]],Table15781012[[#This Row],[Beginning Balance]]))),2)))</f>
        <v>0</v>
      </c>
      <c r="I216" s="3">
        <f>_xlfn.SINGLE(IF($C$3="Line of Credit",0,ROUND(MAX(MIN(IF($C$10="No",$E$7,VLOOKUP(Table15781012[[#This Row],[Period]],Forecast!$H$2:$L$1048576,4,FALSE))*Table15781012[[#This Row],[Beginning Balance]],Table15781012[[#This Row],[Beginning Balance]]-Table15781012[[#This Row],[Principal]]),0),2)))</f>
        <v>0</v>
      </c>
      <c r="J216" s="3">
        <f>ROUND(MIN(Table15781012[[#This Row],[Beginning Balance]]*IF($C$8="No",$E$3,VLOOKUP(Table15781012[[#This Row],[Period]],Forecast!$H$2:$L$1048576,2,FALSE)),Table15781012[[#This Row],[Beginning Balance]]-Table15781012[[#This Row],[Principal]]-Table15781012[[#This Row],[Prepayments]]),2)</f>
        <v>0</v>
      </c>
      <c r="K216" s="3">
        <f>ROUND(Table15781012[[#This Row],[Defaulted Principal]]*IF($C$9="No",$E$4,VLOOKUP(Table15781012[[#This Row],[Period]],Forecast!$H$2:$L$1048576,3,FALSE)),2)</f>
        <v>0</v>
      </c>
      <c r="L216" s="2">
        <f>Table15781012[[#This Row],[Period]]+$E$9</f>
        <v>212</v>
      </c>
      <c r="M216" s="3">
        <f>Table15781012[[#This Row],[Defaulted Principal]]-Table15781012[[#This Row],[Estimated Loss]]</f>
        <v>0</v>
      </c>
      <c r="N216" s="3">
        <f>IFERROR(VLOOKUP(Table15781012[[#This Row],[Period]],$L$16:$M$385,2,FALSE),0)</f>
        <v>0</v>
      </c>
      <c r="O216" s="3">
        <f>Table15781012[[#This Row],[Beginning Balance]]-Table15781012[[#This Row],[Principal]]-Table15781012[[#This Row],[Prepayments]]-Table15781012[[#This Row],[Defaulted Principal]]</f>
        <v>0</v>
      </c>
      <c r="P216" s="3">
        <f>Table15781012[[#This Row],[Principal]]+Table15781012[[#This Row],[Interest]]+Table15781012[[#This Row],[Prepayments]]+Table15781012[[#This Row],[RecoveredAmount]]</f>
        <v>0</v>
      </c>
      <c r="Q216" s="3">
        <f ca="1">ROUND(Table15781012[[#This Row],[Cash Flow]]/((1+ActualRateToUse)^(IF(ISNUMBER(SEARCH("Actual",$C$7)),Table15781012[[#This Row],[Running Total]]/365,Table15781012[[#This Row],[Period]]/12))),2)</f>
        <v>0</v>
      </c>
      <c r="R216" s="2">
        <f>IF(MONTH(Table15781012[[#This Row],[Date]])=2,28,DAY(DATE(YEAR(Table15781012[[#This Row],[Date]]),MONTH(Table15781012[[#This Row],[Date]])+1,1)-1))</f>
        <v>28</v>
      </c>
      <c r="S216" s="2">
        <f ca="1">SUM(OFFSET(Table15781012[[#Headers],[Days in month]],1,0):Table15781012[[#This Row],[Days in month]])</f>
        <v>6083</v>
      </c>
      <c r="T216" s="37">
        <f>InterestRate*AmortizationMultiplier*IF(ISNUMBER(SEARCH("Actual",$C$7)),Table15781012[[#This Row],[Days in month]]/365,1/12)</f>
        <v>5.4833333333333331E-3</v>
      </c>
    </row>
    <row r="217" spans="2:20" x14ac:dyDescent="0.2">
      <c r="B217" s="1">
        <f t="shared" si="10"/>
        <v>51956</v>
      </c>
      <c r="C217" s="2">
        <f t="shared" si="12"/>
        <v>201</v>
      </c>
      <c r="D217" s="3">
        <f t="shared" si="11"/>
        <v>0</v>
      </c>
      <c r="E217" s="3">
        <f>ROUND(Table15781012[[#This Row],[Beginning Balance]]*Table15781012[[#This Row],[Monthly Interest Rate]],2)</f>
        <v>0</v>
      </c>
      <c r="F217" s="3">
        <f t="shared" si="13"/>
        <v>151</v>
      </c>
      <c r="G217" s="23">
        <f>IFERROR(IF($C$13="No","N/A",IF(Table15781012[[#This Row],[Period]]=1,$C$6,PMT(InterestRate*AmortizationMultiplier/12,Table15781012[[#This Row],[Am Thru]],-Table15781012[[#This Row],[Beginning Balance]]))),0)</f>
        <v>0</v>
      </c>
      <c r="H217" s="3">
        <f>MAX(0,IF(C217=$C$4,D217,ROUND(IF($C$3="Fixed Principal",$C$6-Table15781012[[#This Row],[Interest]],IF($C$3="Interest Only",Table15781012[[#This Row],[Beginning Balance]]*ROUND(1-(1-IF($C$11="No",$E$8,1))^(1/12),6),MIN(IF($C$13="Yes",Table15781012[[#This Row],[Payment Amount (Reamortized)]],$C$6)-Table15781012[[#This Row],[Interest]],Table15781012[[#This Row],[Beginning Balance]]))),2)))</f>
        <v>0</v>
      </c>
      <c r="I217" s="3">
        <f>_xlfn.SINGLE(IF($C$3="Line of Credit",0,ROUND(MAX(MIN(IF($C$10="No",$E$7,VLOOKUP(Table15781012[[#This Row],[Period]],Forecast!$H$2:$L$1048576,4,FALSE))*Table15781012[[#This Row],[Beginning Balance]],Table15781012[[#This Row],[Beginning Balance]]-Table15781012[[#This Row],[Principal]]),0),2)))</f>
        <v>0</v>
      </c>
      <c r="J217" s="3">
        <f>ROUND(MIN(Table15781012[[#This Row],[Beginning Balance]]*IF($C$8="No",$E$3,VLOOKUP(Table15781012[[#This Row],[Period]],Forecast!$H$2:$L$1048576,2,FALSE)),Table15781012[[#This Row],[Beginning Balance]]-Table15781012[[#This Row],[Principal]]-Table15781012[[#This Row],[Prepayments]]),2)</f>
        <v>0</v>
      </c>
      <c r="K217" s="3">
        <f>ROUND(Table15781012[[#This Row],[Defaulted Principal]]*IF($C$9="No",$E$4,VLOOKUP(Table15781012[[#This Row],[Period]],Forecast!$H$2:$L$1048576,3,FALSE)),2)</f>
        <v>0</v>
      </c>
      <c r="L217" s="2">
        <f>Table15781012[[#This Row],[Period]]+$E$9</f>
        <v>213</v>
      </c>
      <c r="M217" s="3">
        <f>Table15781012[[#This Row],[Defaulted Principal]]-Table15781012[[#This Row],[Estimated Loss]]</f>
        <v>0</v>
      </c>
      <c r="N217" s="3">
        <f>IFERROR(VLOOKUP(Table15781012[[#This Row],[Period]],$L$16:$M$385,2,FALSE),0)</f>
        <v>0</v>
      </c>
      <c r="O217" s="3">
        <f>Table15781012[[#This Row],[Beginning Balance]]-Table15781012[[#This Row],[Principal]]-Table15781012[[#This Row],[Prepayments]]-Table15781012[[#This Row],[Defaulted Principal]]</f>
        <v>0</v>
      </c>
      <c r="P217" s="3">
        <f>Table15781012[[#This Row],[Principal]]+Table15781012[[#This Row],[Interest]]+Table15781012[[#This Row],[Prepayments]]+Table15781012[[#This Row],[RecoveredAmount]]</f>
        <v>0</v>
      </c>
      <c r="Q217" s="3">
        <f ca="1">ROUND(Table15781012[[#This Row],[Cash Flow]]/((1+ActualRateToUse)^(IF(ISNUMBER(SEARCH("Actual",$C$7)),Table15781012[[#This Row],[Running Total]]/365,Table15781012[[#This Row],[Period]]/12))),2)</f>
        <v>0</v>
      </c>
      <c r="R217" s="2">
        <f>IF(MONTH(Table15781012[[#This Row],[Date]])=2,28,DAY(DATE(YEAR(Table15781012[[#This Row],[Date]]),MONTH(Table15781012[[#This Row],[Date]])+1,1)-1))</f>
        <v>31</v>
      </c>
      <c r="S217" s="2">
        <f ca="1">SUM(OFFSET(Table15781012[[#Headers],[Days in month]],1,0):Table15781012[[#This Row],[Days in month]])</f>
        <v>6114</v>
      </c>
      <c r="T217" s="37">
        <f>InterestRate*AmortizationMultiplier*IF(ISNUMBER(SEARCH("Actual",$C$7)),Table15781012[[#This Row],[Days in month]]/365,1/12)</f>
        <v>6.0708333333333326E-3</v>
      </c>
    </row>
    <row r="218" spans="2:20" x14ac:dyDescent="0.2">
      <c r="B218" s="1">
        <f t="shared" si="10"/>
        <v>51986</v>
      </c>
      <c r="C218" s="2">
        <f t="shared" si="12"/>
        <v>202</v>
      </c>
      <c r="D218" s="3">
        <f t="shared" si="11"/>
        <v>0</v>
      </c>
      <c r="E218" s="3">
        <f>ROUND(Table15781012[[#This Row],[Beginning Balance]]*Table15781012[[#This Row],[Monthly Interest Rate]],2)</f>
        <v>0</v>
      </c>
      <c r="F218" s="3">
        <f t="shared" si="13"/>
        <v>150</v>
      </c>
      <c r="G218" s="23">
        <f>IFERROR(IF($C$13="No","N/A",IF(Table15781012[[#This Row],[Period]]=1,$C$6,PMT(InterestRate*AmortizationMultiplier/12,Table15781012[[#This Row],[Am Thru]],-Table15781012[[#This Row],[Beginning Balance]]))),0)</f>
        <v>0</v>
      </c>
      <c r="H218" s="3">
        <f>MAX(0,IF(C218=$C$4,D218,ROUND(IF($C$3="Fixed Principal",$C$6-Table15781012[[#This Row],[Interest]],IF($C$3="Interest Only",Table15781012[[#This Row],[Beginning Balance]]*ROUND(1-(1-IF($C$11="No",$E$8,1))^(1/12),6),MIN(IF($C$13="Yes",Table15781012[[#This Row],[Payment Amount (Reamortized)]],$C$6)-Table15781012[[#This Row],[Interest]],Table15781012[[#This Row],[Beginning Balance]]))),2)))</f>
        <v>0</v>
      </c>
      <c r="I218" s="3">
        <f>_xlfn.SINGLE(IF($C$3="Line of Credit",0,ROUND(MAX(MIN(IF($C$10="No",$E$7,VLOOKUP(Table15781012[[#This Row],[Period]],Forecast!$H$2:$L$1048576,4,FALSE))*Table15781012[[#This Row],[Beginning Balance]],Table15781012[[#This Row],[Beginning Balance]]-Table15781012[[#This Row],[Principal]]),0),2)))</f>
        <v>0</v>
      </c>
      <c r="J218" s="3">
        <f>ROUND(MIN(Table15781012[[#This Row],[Beginning Balance]]*IF($C$8="No",$E$3,VLOOKUP(Table15781012[[#This Row],[Period]],Forecast!$H$2:$L$1048576,2,FALSE)),Table15781012[[#This Row],[Beginning Balance]]-Table15781012[[#This Row],[Principal]]-Table15781012[[#This Row],[Prepayments]]),2)</f>
        <v>0</v>
      </c>
      <c r="K218" s="3">
        <f>ROUND(Table15781012[[#This Row],[Defaulted Principal]]*IF($C$9="No",$E$4,VLOOKUP(Table15781012[[#This Row],[Period]],Forecast!$H$2:$L$1048576,3,FALSE)),2)</f>
        <v>0</v>
      </c>
      <c r="L218" s="2">
        <f>Table15781012[[#This Row],[Period]]+$E$9</f>
        <v>214</v>
      </c>
      <c r="M218" s="3">
        <f>Table15781012[[#This Row],[Defaulted Principal]]-Table15781012[[#This Row],[Estimated Loss]]</f>
        <v>0</v>
      </c>
      <c r="N218" s="3">
        <f>IFERROR(VLOOKUP(Table15781012[[#This Row],[Period]],$L$16:$M$385,2,FALSE),0)</f>
        <v>0</v>
      </c>
      <c r="O218" s="3">
        <f>Table15781012[[#This Row],[Beginning Balance]]-Table15781012[[#This Row],[Principal]]-Table15781012[[#This Row],[Prepayments]]-Table15781012[[#This Row],[Defaulted Principal]]</f>
        <v>0</v>
      </c>
      <c r="P218" s="3">
        <f>Table15781012[[#This Row],[Principal]]+Table15781012[[#This Row],[Interest]]+Table15781012[[#This Row],[Prepayments]]+Table15781012[[#This Row],[RecoveredAmount]]</f>
        <v>0</v>
      </c>
      <c r="Q218" s="3">
        <f ca="1">ROUND(Table15781012[[#This Row],[Cash Flow]]/((1+ActualRateToUse)^(IF(ISNUMBER(SEARCH("Actual",$C$7)),Table15781012[[#This Row],[Running Total]]/365,Table15781012[[#This Row],[Period]]/12))),2)</f>
        <v>0</v>
      </c>
      <c r="R218" s="2">
        <f>IF(MONTH(Table15781012[[#This Row],[Date]])=2,28,DAY(DATE(YEAR(Table15781012[[#This Row],[Date]]),MONTH(Table15781012[[#This Row],[Date]])+1,1)-1))</f>
        <v>30</v>
      </c>
      <c r="S218" s="2">
        <f ca="1">SUM(OFFSET(Table15781012[[#Headers],[Days in month]],1,0):Table15781012[[#This Row],[Days in month]])</f>
        <v>6144</v>
      </c>
      <c r="T218" s="37">
        <f>InterestRate*AmortizationMultiplier*IF(ISNUMBER(SEARCH("Actual",$C$7)),Table15781012[[#This Row],[Days in month]]/365,1/12)</f>
        <v>5.8749999999999991E-3</v>
      </c>
    </row>
    <row r="219" spans="2:20" x14ac:dyDescent="0.2">
      <c r="B219" s="1">
        <f t="shared" si="10"/>
        <v>52017</v>
      </c>
      <c r="C219" s="2">
        <f t="shared" si="12"/>
        <v>203</v>
      </c>
      <c r="D219" s="3">
        <f t="shared" si="11"/>
        <v>0</v>
      </c>
      <c r="E219" s="3">
        <f>ROUND(Table15781012[[#This Row],[Beginning Balance]]*Table15781012[[#This Row],[Monthly Interest Rate]],2)</f>
        <v>0</v>
      </c>
      <c r="F219" s="3">
        <f t="shared" si="13"/>
        <v>149</v>
      </c>
      <c r="G219" s="23">
        <f>IFERROR(IF($C$13="No","N/A",IF(Table15781012[[#This Row],[Period]]=1,$C$6,PMT(InterestRate*AmortizationMultiplier/12,Table15781012[[#This Row],[Am Thru]],-Table15781012[[#This Row],[Beginning Balance]]))),0)</f>
        <v>0</v>
      </c>
      <c r="H219" s="3">
        <f>MAX(0,IF(C219=$C$4,D219,ROUND(IF($C$3="Fixed Principal",$C$6-Table15781012[[#This Row],[Interest]],IF($C$3="Interest Only",Table15781012[[#This Row],[Beginning Balance]]*ROUND(1-(1-IF($C$11="No",$E$8,1))^(1/12),6),MIN(IF($C$13="Yes",Table15781012[[#This Row],[Payment Amount (Reamortized)]],$C$6)-Table15781012[[#This Row],[Interest]],Table15781012[[#This Row],[Beginning Balance]]))),2)))</f>
        <v>0</v>
      </c>
      <c r="I219" s="3">
        <f>_xlfn.SINGLE(IF($C$3="Line of Credit",0,ROUND(MAX(MIN(IF($C$10="No",$E$7,VLOOKUP(Table15781012[[#This Row],[Period]],Forecast!$H$2:$L$1048576,4,FALSE))*Table15781012[[#This Row],[Beginning Balance]],Table15781012[[#This Row],[Beginning Balance]]-Table15781012[[#This Row],[Principal]]),0),2)))</f>
        <v>0</v>
      </c>
      <c r="J219" s="3">
        <f>ROUND(MIN(Table15781012[[#This Row],[Beginning Balance]]*IF($C$8="No",$E$3,VLOOKUP(Table15781012[[#This Row],[Period]],Forecast!$H$2:$L$1048576,2,FALSE)),Table15781012[[#This Row],[Beginning Balance]]-Table15781012[[#This Row],[Principal]]-Table15781012[[#This Row],[Prepayments]]),2)</f>
        <v>0</v>
      </c>
      <c r="K219" s="3">
        <f>ROUND(Table15781012[[#This Row],[Defaulted Principal]]*IF($C$9="No",$E$4,VLOOKUP(Table15781012[[#This Row],[Period]],Forecast!$H$2:$L$1048576,3,FALSE)),2)</f>
        <v>0</v>
      </c>
      <c r="L219" s="2">
        <f>Table15781012[[#This Row],[Period]]+$E$9</f>
        <v>215</v>
      </c>
      <c r="M219" s="3">
        <f>Table15781012[[#This Row],[Defaulted Principal]]-Table15781012[[#This Row],[Estimated Loss]]</f>
        <v>0</v>
      </c>
      <c r="N219" s="3">
        <f>IFERROR(VLOOKUP(Table15781012[[#This Row],[Period]],$L$16:$M$385,2,FALSE),0)</f>
        <v>0</v>
      </c>
      <c r="O219" s="3">
        <f>Table15781012[[#This Row],[Beginning Balance]]-Table15781012[[#This Row],[Principal]]-Table15781012[[#This Row],[Prepayments]]-Table15781012[[#This Row],[Defaulted Principal]]</f>
        <v>0</v>
      </c>
      <c r="P219" s="3">
        <f>Table15781012[[#This Row],[Principal]]+Table15781012[[#This Row],[Interest]]+Table15781012[[#This Row],[Prepayments]]+Table15781012[[#This Row],[RecoveredAmount]]</f>
        <v>0</v>
      </c>
      <c r="Q219" s="3">
        <f ca="1">ROUND(Table15781012[[#This Row],[Cash Flow]]/((1+ActualRateToUse)^(IF(ISNUMBER(SEARCH("Actual",$C$7)),Table15781012[[#This Row],[Running Total]]/365,Table15781012[[#This Row],[Period]]/12))),2)</f>
        <v>0</v>
      </c>
      <c r="R219" s="2">
        <f>IF(MONTH(Table15781012[[#This Row],[Date]])=2,28,DAY(DATE(YEAR(Table15781012[[#This Row],[Date]]),MONTH(Table15781012[[#This Row],[Date]])+1,1)-1))</f>
        <v>31</v>
      </c>
      <c r="S219" s="2">
        <f ca="1">SUM(OFFSET(Table15781012[[#Headers],[Days in month]],1,0):Table15781012[[#This Row],[Days in month]])</f>
        <v>6175</v>
      </c>
      <c r="T219" s="37">
        <f>InterestRate*AmortizationMultiplier*IF(ISNUMBER(SEARCH("Actual",$C$7)),Table15781012[[#This Row],[Days in month]]/365,1/12)</f>
        <v>6.0708333333333326E-3</v>
      </c>
    </row>
    <row r="220" spans="2:20" x14ac:dyDescent="0.2">
      <c r="B220" s="1">
        <f t="shared" si="10"/>
        <v>52047</v>
      </c>
      <c r="C220" s="2">
        <f t="shared" si="12"/>
        <v>204</v>
      </c>
      <c r="D220" s="3">
        <f t="shared" si="11"/>
        <v>0</v>
      </c>
      <c r="E220" s="3">
        <f>ROUND(Table15781012[[#This Row],[Beginning Balance]]*Table15781012[[#This Row],[Monthly Interest Rate]],2)</f>
        <v>0</v>
      </c>
      <c r="F220" s="3">
        <f t="shared" si="13"/>
        <v>148</v>
      </c>
      <c r="G220" s="23">
        <f>IFERROR(IF($C$13="No","N/A",IF(Table15781012[[#This Row],[Period]]=1,$C$6,PMT(InterestRate*AmortizationMultiplier/12,Table15781012[[#This Row],[Am Thru]],-Table15781012[[#This Row],[Beginning Balance]]))),0)</f>
        <v>0</v>
      </c>
      <c r="H220" s="3">
        <f>MAX(0,IF(C220=$C$4,D220,ROUND(IF($C$3="Fixed Principal",$C$6-Table15781012[[#This Row],[Interest]],IF($C$3="Interest Only",Table15781012[[#This Row],[Beginning Balance]]*ROUND(1-(1-IF($C$11="No",$E$8,1))^(1/12),6),MIN(IF($C$13="Yes",Table15781012[[#This Row],[Payment Amount (Reamortized)]],$C$6)-Table15781012[[#This Row],[Interest]],Table15781012[[#This Row],[Beginning Balance]]))),2)))</f>
        <v>0</v>
      </c>
      <c r="I220" s="3">
        <f>_xlfn.SINGLE(IF($C$3="Line of Credit",0,ROUND(MAX(MIN(IF($C$10="No",$E$7,VLOOKUP(Table15781012[[#This Row],[Period]],Forecast!$H$2:$L$1048576,4,FALSE))*Table15781012[[#This Row],[Beginning Balance]],Table15781012[[#This Row],[Beginning Balance]]-Table15781012[[#This Row],[Principal]]),0),2)))</f>
        <v>0</v>
      </c>
      <c r="J220" s="3">
        <f>ROUND(MIN(Table15781012[[#This Row],[Beginning Balance]]*IF($C$8="No",$E$3,VLOOKUP(Table15781012[[#This Row],[Period]],Forecast!$H$2:$L$1048576,2,FALSE)),Table15781012[[#This Row],[Beginning Balance]]-Table15781012[[#This Row],[Principal]]-Table15781012[[#This Row],[Prepayments]]),2)</f>
        <v>0</v>
      </c>
      <c r="K220" s="3">
        <f>ROUND(Table15781012[[#This Row],[Defaulted Principal]]*IF($C$9="No",$E$4,VLOOKUP(Table15781012[[#This Row],[Period]],Forecast!$H$2:$L$1048576,3,FALSE)),2)</f>
        <v>0</v>
      </c>
      <c r="L220" s="2">
        <f>Table15781012[[#This Row],[Period]]+$E$9</f>
        <v>216</v>
      </c>
      <c r="M220" s="3">
        <f>Table15781012[[#This Row],[Defaulted Principal]]-Table15781012[[#This Row],[Estimated Loss]]</f>
        <v>0</v>
      </c>
      <c r="N220" s="3">
        <f>IFERROR(VLOOKUP(Table15781012[[#This Row],[Period]],$L$16:$M$385,2,FALSE),0)</f>
        <v>0</v>
      </c>
      <c r="O220" s="3">
        <f>Table15781012[[#This Row],[Beginning Balance]]-Table15781012[[#This Row],[Principal]]-Table15781012[[#This Row],[Prepayments]]-Table15781012[[#This Row],[Defaulted Principal]]</f>
        <v>0</v>
      </c>
      <c r="P220" s="3">
        <f>Table15781012[[#This Row],[Principal]]+Table15781012[[#This Row],[Interest]]+Table15781012[[#This Row],[Prepayments]]+Table15781012[[#This Row],[RecoveredAmount]]</f>
        <v>0</v>
      </c>
      <c r="Q220" s="3">
        <f ca="1">ROUND(Table15781012[[#This Row],[Cash Flow]]/((1+ActualRateToUse)^(IF(ISNUMBER(SEARCH("Actual",$C$7)),Table15781012[[#This Row],[Running Total]]/365,Table15781012[[#This Row],[Period]]/12))),2)</f>
        <v>0</v>
      </c>
      <c r="R220" s="2">
        <f>IF(MONTH(Table15781012[[#This Row],[Date]])=2,28,DAY(DATE(YEAR(Table15781012[[#This Row],[Date]]),MONTH(Table15781012[[#This Row],[Date]])+1,1)-1))</f>
        <v>30</v>
      </c>
      <c r="S220" s="2">
        <f ca="1">SUM(OFFSET(Table15781012[[#Headers],[Days in month]],1,0):Table15781012[[#This Row],[Days in month]])</f>
        <v>6205</v>
      </c>
      <c r="T220" s="37">
        <f>InterestRate*AmortizationMultiplier*IF(ISNUMBER(SEARCH("Actual",$C$7)),Table15781012[[#This Row],[Days in month]]/365,1/12)</f>
        <v>5.8749999999999991E-3</v>
      </c>
    </row>
    <row r="221" spans="2:20" x14ac:dyDescent="0.2">
      <c r="B221" s="1">
        <f t="shared" si="10"/>
        <v>52078</v>
      </c>
      <c r="C221" s="2">
        <f t="shared" si="12"/>
        <v>205</v>
      </c>
      <c r="D221" s="3">
        <f t="shared" si="11"/>
        <v>0</v>
      </c>
      <c r="E221" s="3">
        <f>ROUND(Table15781012[[#This Row],[Beginning Balance]]*Table15781012[[#This Row],[Monthly Interest Rate]],2)</f>
        <v>0</v>
      </c>
      <c r="F221" s="3">
        <f t="shared" si="13"/>
        <v>147</v>
      </c>
      <c r="G221" s="23">
        <f>IFERROR(IF($C$13="No","N/A",IF(Table15781012[[#This Row],[Period]]=1,$C$6,PMT(InterestRate*AmortizationMultiplier/12,Table15781012[[#This Row],[Am Thru]],-Table15781012[[#This Row],[Beginning Balance]]))),0)</f>
        <v>0</v>
      </c>
      <c r="H221" s="3">
        <f>MAX(0,IF(C221=$C$4,D221,ROUND(IF($C$3="Fixed Principal",$C$6-Table15781012[[#This Row],[Interest]],IF($C$3="Interest Only",Table15781012[[#This Row],[Beginning Balance]]*ROUND(1-(1-IF($C$11="No",$E$8,1))^(1/12),6),MIN(IF($C$13="Yes",Table15781012[[#This Row],[Payment Amount (Reamortized)]],$C$6)-Table15781012[[#This Row],[Interest]],Table15781012[[#This Row],[Beginning Balance]]))),2)))</f>
        <v>0</v>
      </c>
      <c r="I221" s="3">
        <f>_xlfn.SINGLE(IF($C$3="Line of Credit",0,ROUND(MAX(MIN(IF($C$10="No",$E$7,VLOOKUP(Table15781012[[#This Row],[Period]],Forecast!$H$2:$L$1048576,4,FALSE))*Table15781012[[#This Row],[Beginning Balance]],Table15781012[[#This Row],[Beginning Balance]]-Table15781012[[#This Row],[Principal]]),0),2)))</f>
        <v>0</v>
      </c>
      <c r="J221" s="3">
        <f>ROUND(MIN(Table15781012[[#This Row],[Beginning Balance]]*IF($C$8="No",$E$3,VLOOKUP(Table15781012[[#This Row],[Period]],Forecast!$H$2:$L$1048576,2,FALSE)),Table15781012[[#This Row],[Beginning Balance]]-Table15781012[[#This Row],[Principal]]-Table15781012[[#This Row],[Prepayments]]),2)</f>
        <v>0</v>
      </c>
      <c r="K221" s="3">
        <f>ROUND(Table15781012[[#This Row],[Defaulted Principal]]*IF($C$9="No",$E$4,VLOOKUP(Table15781012[[#This Row],[Period]],Forecast!$H$2:$L$1048576,3,FALSE)),2)</f>
        <v>0</v>
      </c>
      <c r="L221" s="2">
        <f>Table15781012[[#This Row],[Period]]+$E$9</f>
        <v>217</v>
      </c>
      <c r="M221" s="3">
        <f>Table15781012[[#This Row],[Defaulted Principal]]-Table15781012[[#This Row],[Estimated Loss]]</f>
        <v>0</v>
      </c>
      <c r="N221" s="3">
        <f>IFERROR(VLOOKUP(Table15781012[[#This Row],[Period]],$L$16:$M$385,2,FALSE),0)</f>
        <v>0</v>
      </c>
      <c r="O221" s="3">
        <f>Table15781012[[#This Row],[Beginning Balance]]-Table15781012[[#This Row],[Principal]]-Table15781012[[#This Row],[Prepayments]]-Table15781012[[#This Row],[Defaulted Principal]]</f>
        <v>0</v>
      </c>
      <c r="P221" s="3">
        <f>Table15781012[[#This Row],[Principal]]+Table15781012[[#This Row],[Interest]]+Table15781012[[#This Row],[Prepayments]]+Table15781012[[#This Row],[RecoveredAmount]]</f>
        <v>0</v>
      </c>
      <c r="Q221" s="3">
        <f ca="1">ROUND(Table15781012[[#This Row],[Cash Flow]]/((1+ActualRateToUse)^(IF(ISNUMBER(SEARCH("Actual",$C$7)),Table15781012[[#This Row],[Running Total]]/365,Table15781012[[#This Row],[Period]]/12))),2)</f>
        <v>0</v>
      </c>
      <c r="R221" s="2">
        <f>IF(MONTH(Table15781012[[#This Row],[Date]])=2,28,DAY(DATE(YEAR(Table15781012[[#This Row],[Date]]),MONTH(Table15781012[[#This Row],[Date]])+1,1)-1))</f>
        <v>31</v>
      </c>
      <c r="S221" s="2">
        <f ca="1">SUM(OFFSET(Table15781012[[#Headers],[Days in month]],1,0):Table15781012[[#This Row],[Days in month]])</f>
        <v>6236</v>
      </c>
      <c r="T221" s="37">
        <f>InterestRate*AmortizationMultiplier*IF(ISNUMBER(SEARCH("Actual",$C$7)),Table15781012[[#This Row],[Days in month]]/365,1/12)</f>
        <v>6.0708333333333326E-3</v>
      </c>
    </row>
    <row r="222" spans="2:20" x14ac:dyDescent="0.2">
      <c r="B222" s="1">
        <f t="shared" si="10"/>
        <v>52109</v>
      </c>
      <c r="C222" s="2">
        <f t="shared" si="12"/>
        <v>206</v>
      </c>
      <c r="D222" s="3">
        <f t="shared" si="11"/>
        <v>0</v>
      </c>
      <c r="E222" s="3">
        <f>ROUND(Table15781012[[#This Row],[Beginning Balance]]*Table15781012[[#This Row],[Monthly Interest Rate]],2)</f>
        <v>0</v>
      </c>
      <c r="F222" s="3">
        <f t="shared" si="13"/>
        <v>146</v>
      </c>
      <c r="G222" s="23">
        <f>IFERROR(IF($C$13="No","N/A",IF(Table15781012[[#This Row],[Period]]=1,$C$6,PMT(InterestRate*AmortizationMultiplier/12,Table15781012[[#This Row],[Am Thru]],-Table15781012[[#This Row],[Beginning Balance]]))),0)</f>
        <v>0</v>
      </c>
      <c r="H222" s="3">
        <f>MAX(0,IF(C222=$C$4,D222,ROUND(IF($C$3="Fixed Principal",$C$6-Table15781012[[#This Row],[Interest]],IF($C$3="Interest Only",Table15781012[[#This Row],[Beginning Balance]]*ROUND(1-(1-IF($C$11="No",$E$8,1))^(1/12),6),MIN(IF($C$13="Yes",Table15781012[[#This Row],[Payment Amount (Reamortized)]],$C$6)-Table15781012[[#This Row],[Interest]],Table15781012[[#This Row],[Beginning Balance]]))),2)))</f>
        <v>0</v>
      </c>
      <c r="I222" s="3">
        <f>_xlfn.SINGLE(IF($C$3="Line of Credit",0,ROUND(MAX(MIN(IF($C$10="No",$E$7,VLOOKUP(Table15781012[[#This Row],[Period]],Forecast!$H$2:$L$1048576,4,FALSE))*Table15781012[[#This Row],[Beginning Balance]],Table15781012[[#This Row],[Beginning Balance]]-Table15781012[[#This Row],[Principal]]),0),2)))</f>
        <v>0</v>
      </c>
      <c r="J222" s="3">
        <f>ROUND(MIN(Table15781012[[#This Row],[Beginning Balance]]*IF($C$8="No",$E$3,VLOOKUP(Table15781012[[#This Row],[Period]],Forecast!$H$2:$L$1048576,2,FALSE)),Table15781012[[#This Row],[Beginning Balance]]-Table15781012[[#This Row],[Principal]]-Table15781012[[#This Row],[Prepayments]]),2)</f>
        <v>0</v>
      </c>
      <c r="K222" s="3">
        <f>ROUND(Table15781012[[#This Row],[Defaulted Principal]]*IF($C$9="No",$E$4,VLOOKUP(Table15781012[[#This Row],[Period]],Forecast!$H$2:$L$1048576,3,FALSE)),2)</f>
        <v>0</v>
      </c>
      <c r="L222" s="2">
        <f>Table15781012[[#This Row],[Period]]+$E$9</f>
        <v>218</v>
      </c>
      <c r="M222" s="3">
        <f>Table15781012[[#This Row],[Defaulted Principal]]-Table15781012[[#This Row],[Estimated Loss]]</f>
        <v>0</v>
      </c>
      <c r="N222" s="3">
        <f>IFERROR(VLOOKUP(Table15781012[[#This Row],[Period]],$L$16:$M$385,2,FALSE),0)</f>
        <v>0</v>
      </c>
      <c r="O222" s="3">
        <f>Table15781012[[#This Row],[Beginning Balance]]-Table15781012[[#This Row],[Principal]]-Table15781012[[#This Row],[Prepayments]]-Table15781012[[#This Row],[Defaulted Principal]]</f>
        <v>0</v>
      </c>
      <c r="P222" s="3">
        <f>Table15781012[[#This Row],[Principal]]+Table15781012[[#This Row],[Interest]]+Table15781012[[#This Row],[Prepayments]]+Table15781012[[#This Row],[RecoveredAmount]]</f>
        <v>0</v>
      </c>
      <c r="Q222" s="3">
        <f ca="1">ROUND(Table15781012[[#This Row],[Cash Flow]]/((1+ActualRateToUse)^(IF(ISNUMBER(SEARCH("Actual",$C$7)),Table15781012[[#This Row],[Running Total]]/365,Table15781012[[#This Row],[Period]]/12))),2)</f>
        <v>0</v>
      </c>
      <c r="R222" s="2">
        <f>IF(MONTH(Table15781012[[#This Row],[Date]])=2,28,DAY(DATE(YEAR(Table15781012[[#This Row],[Date]]),MONTH(Table15781012[[#This Row],[Date]])+1,1)-1))</f>
        <v>31</v>
      </c>
      <c r="S222" s="2">
        <f ca="1">SUM(OFFSET(Table15781012[[#Headers],[Days in month]],1,0):Table15781012[[#This Row],[Days in month]])</f>
        <v>6267</v>
      </c>
      <c r="T222" s="37">
        <f>InterestRate*AmortizationMultiplier*IF(ISNUMBER(SEARCH("Actual",$C$7)),Table15781012[[#This Row],[Days in month]]/365,1/12)</f>
        <v>6.0708333333333326E-3</v>
      </c>
    </row>
    <row r="223" spans="2:20" x14ac:dyDescent="0.2">
      <c r="B223" s="1">
        <f t="shared" si="10"/>
        <v>52139</v>
      </c>
      <c r="C223" s="2">
        <f t="shared" si="12"/>
        <v>207</v>
      </c>
      <c r="D223" s="3">
        <f t="shared" si="11"/>
        <v>0</v>
      </c>
      <c r="E223" s="3">
        <f>ROUND(Table15781012[[#This Row],[Beginning Balance]]*Table15781012[[#This Row],[Monthly Interest Rate]],2)</f>
        <v>0</v>
      </c>
      <c r="F223" s="3">
        <f t="shared" si="13"/>
        <v>145</v>
      </c>
      <c r="G223" s="23">
        <f>IFERROR(IF($C$13="No","N/A",IF(Table15781012[[#This Row],[Period]]=1,$C$6,PMT(InterestRate*AmortizationMultiplier/12,Table15781012[[#This Row],[Am Thru]],-Table15781012[[#This Row],[Beginning Balance]]))),0)</f>
        <v>0</v>
      </c>
      <c r="H223" s="3">
        <f>MAX(0,IF(C223=$C$4,D223,ROUND(IF($C$3="Fixed Principal",$C$6-Table15781012[[#This Row],[Interest]],IF($C$3="Interest Only",Table15781012[[#This Row],[Beginning Balance]]*ROUND(1-(1-IF($C$11="No",$E$8,1))^(1/12),6),MIN(IF($C$13="Yes",Table15781012[[#This Row],[Payment Amount (Reamortized)]],$C$6)-Table15781012[[#This Row],[Interest]],Table15781012[[#This Row],[Beginning Balance]]))),2)))</f>
        <v>0</v>
      </c>
      <c r="I223" s="3">
        <f>_xlfn.SINGLE(IF($C$3="Line of Credit",0,ROUND(MAX(MIN(IF($C$10="No",$E$7,VLOOKUP(Table15781012[[#This Row],[Period]],Forecast!$H$2:$L$1048576,4,FALSE))*Table15781012[[#This Row],[Beginning Balance]],Table15781012[[#This Row],[Beginning Balance]]-Table15781012[[#This Row],[Principal]]),0),2)))</f>
        <v>0</v>
      </c>
      <c r="J223" s="3">
        <f>ROUND(MIN(Table15781012[[#This Row],[Beginning Balance]]*IF($C$8="No",$E$3,VLOOKUP(Table15781012[[#This Row],[Period]],Forecast!$H$2:$L$1048576,2,FALSE)),Table15781012[[#This Row],[Beginning Balance]]-Table15781012[[#This Row],[Principal]]-Table15781012[[#This Row],[Prepayments]]),2)</f>
        <v>0</v>
      </c>
      <c r="K223" s="3">
        <f>ROUND(Table15781012[[#This Row],[Defaulted Principal]]*IF($C$9="No",$E$4,VLOOKUP(Table15781012[[#This Row],[Period]],Forecast!$H$2:$L$1048576,3,FALSE)),2)</f>
        <v>0</v>
      </c>
      <c r="L223" s="2">
        <f>Table15781012[[#This Row],[Period]]+$E$9</f>
        <v>219</v>
      </c>
      <c r="M223" s="3">
        <f>Table15781012[[#This Row],[Defaulted Principal]]-Table15781012[[#This Row],[Estimated Loss]]</f>
        <v>0</v>
      </c>
      <c r="N223" s="3">
        <f>IFERROR(VLOOKUP(Table15781012[[#This Row],[Period]],$L$16:$M$385,2,FALSE),0)</f>
        <v>0</v>
      </c>
      <c r="O223" s="3">
        <f>Table15781012[[#This Row],[Beginning Balance]]-Table15781012[[#This Row],[Principal]]-Table15781012[[#This Row],[Prepayments]]-Table15781012[[#This Row],[Defaulted Principal]]</f>
        <v>0</v>
      </c>
      <c r="P223" s="3">
        <f>Table15781012[[#This Row],[Principal]]+Table15781012[[#This Row],[Interest]]+Table15781012[[#This Row],[Prepayments]]+Table15781012[[#This Row],[RecoveredAmount]]</f>
        <v>0</v>
      </c>
      <c r="Q223" s="3">
        <f ca="1">ROUND(Table15781012[[#This Row],[Cash Flow]]/((1+ActualRateToUse)^(IF(ISNUMBER(SEARCH("Actual",$C$7)),Table15781012[[#This Row],[Running Total]]/365,Table15781012[[#This Row],[Period]]/12))),2)</f>
        <v>0</v>
      </c>
      <c r="R223" s="2">
        <f>IF(MONTH(Table15781012[[#This Row],[Date]])=2,28,DAY(DATE(YEAR(Table15781012[[#This Row],[Date]]),MONTH(Table15781012[[#This Row],[Date]])+1,1)-1))</f>
        <v>30</v>
      </c>
      <c r="S223" s="2">
        <f ca="1">SUM(OFFSET(Table15781012[[#Headers],[Days in month]],1,0):Table15781012[[#This Row],[Days in month]])</f>
        <v>6297</v>
      </c>
      <c r="T223" s="37">
        <f>InterestRate*AmortizationMultiplier*IF(ISNUMBER(SEARCH("Actual",$C$7)),Table15781012[[#This Row],[Days in month]]/365,1/12)</f>
        <v>5.8749999999999991E-3</v>
      </c>
    </row>
    <row r="224" spans="2:20" x14ac:dyDescent="0.2">
      <c r="B224" s="1">
        <f t="shared" si="10"/>
        <v>52170</v>
      </c>
      <c r="C224" s="2">
        <f t="shared" si="12"/>
        <v>208</v>
      </c>
      <c r="D224" s="3">
        <f t="shared" si="11"/>
        <v>0</v>
      </c>
      <c r="E224" s="3">
        <f>ROUND(Table15781012[[#This Row],[Beginning Balance]]*Table15781012[[#This Row],[Monthly Interest Rate]],2)</f>
        <v>0</v>
      </c>
      <c r="F224" s="3">
        <f t="shared" si="13"/>
        <v>144</v>
      </c>
      <c r="G224" s="23">
        <f>IFERROR(IF($C$13="No","N/A",IF(Table15781012[[#This Row],[Period]]=1,$C$6,PMT(InterestRate*AmortizationMultiplier/12,Table15781012[[#This Row],[Am Thru]],-Table15781012[[#This Row],[Beginning Balance]]))),0)</f>
        <v>0</v>
      </c>
      <c r="H224" s="3">
        <f>MAX(0,IF(C224=$C$4,D224,ROUND(IF($C$3="Fixed Principal",$C$6-Table15781012[[#This Row],[Interest]],IF($C$3="Interest Only",Table15781012[[#This Row],[Beginning Balance]]*ROUND(1-(1-IF($C$11="No",$E$8,1))^(1/12),6),MIN(IF($C$13="Yes",Table15781012[[#This Row],[Payment Amount (Reamortized)]],$C$6)-Table15781012[[#This Row],[Interest]],Table15781012[[#This Row],[Beginning Balance]]))),2)))</f>
        <v>0</v>
      </c>
      <c r="I224" s="3">
        <f>_xlfn.SINGLE(IF($C$3="Line of Credit",0,ROUND(MAX(MIN(IF($C$10="No",$E$7,VLOOKUP(Table15781012[[#This Row],[Period]],Forecast!$H$2:$L$1048576,4,FALSE))*Table15781012[[#This Row],[Beginning Balance]],Table15781012[[#This Row],[Beginning Balance]]-Table15781012[[#This Row],[Principal]]),0),2)))</f>
        <v>0</v>
      </c>
      <c r="J224" s="3">
        <f>ROUND(MIN(Table15781012[[#This Row],[Beginning Balance]]*IF($C$8="No",$E$3,VLOOKUP(Table15781012[[#This Row],[Period]],Forecast!$H$2:$L$1048576,2,FALSE)),Table15781012[[#This Row],[Beginning Balance]]-Table15781012[[#This Row],[Principal]]-Table15781012[[#This Row],[Prepayments]]),2)</f>
        <v>0</v>
      </c>
      <c r="K224" s="3">
        <f>ROUND(Table15781012[[#This Row],[Defaulted Principal]]*IF($C$9="No",$E$4,VLOOKUP(Table15781012[[#This Row],[Period]],Forecast!$H$2:$L$1048576,3,FALSE)),2)</f>
        <v>0</v>
      </c>
      <c r="L224" s="2">
        <f>Table15781012[[#This Row],[Period]]+$E$9</f>
        <v>220</v>
      </c>
      <c r="M224" s="3">
        <f>Table15781012[[#This Row],[Defaulted Principal]]-Table15781012[[#This Row],[Estimated Loss]]</f>
        <v>0</v>
      </c>
      <c r="N224" s="3">
        <f>IFERROR(VLOOKUP(Table15781012[[#This Row],[Period]],$L$16:$M$385,2,FALSE),0)</f>
        <v>0</v>
      </c>
      <c r="O224" s="3">
        <f>Table15781012[[#This Row],[Beginning Balance]]-Table15781012[[#This Row],[Principal]]-Table15781012[[#This Row],[Prepayments]]-Table15781012[[#This Row],[Defaulted Principal]]</f>
        <v>0</v>
      </c>
      <c r="P224" s="3">
        <f>Table15781012[[#This Row],[Principal]]+Table15781012[[#This Row],[Interest]]+Table15781012[[#This Row],[Prepayments]]+Table15781012[[#This Row],[RecoveredAmount]]</f>
        <v>0</v>
      </c>
      <c r="Q224" s="3">
        <f ca="1">ROUND(Table15781012[[#This Row],[Cash Flow]]/((1+ActualRateToUse)^(IF(ISNUMBER(SEARCH("Actual",$C$7)),Table15781012[[#This Row],[Running Total]]/365,Table15781012[[#This Row],[Period]]/12))),2)</f>
        <v>0</v>
      </c>
      <c r="R224" s="2">
        <f>IF(MONTH(Table15781012[[#This Row],[Date]])=2,28,DAY(DATE(YEAR(Table15781012[[#This Row],[Date]]),MONTH(Table15781012[[#This Row],[Date]])+1,1)-1))</f>
        <v>31</v>
      </c>
      <c r="S224" s="2">
        <f ca="1">SUM(OFFSET(Table15781012[[#Headers],[Days in month]],1,0):Table15781012[[#This Row],[Days in month]])</f>
        <v>6328</v>
      </c>
      <c r="T224" s="37">
        <f>InterestRate*AmortizationMultiplier*IF(ISNUMBER(SEARCH("Actual",$C$7)),Table15781012[[#This Row],[Days in month]]/365,1/12)</f>
        <v>6.0708333333333326E-3</v>
      </c>
    </row>
    <row r="225" spans="2:20" x14ac:dyDescent="0.2">
      <c r="B225" s="1">
        <f t="shared" si="10"/>
        <v>52200</v>
      </c>
      <c r="C225" s="2">
        <f t="shared" si="12"/>
        <v>209</v>
      </c>
      <c r="D225" s="3">
        <f t="shared" si="11"/>
        <v>0</v>
      </c>
      <c r="E225" s="3">
        <f>ROUND(Table15781012[[#This Row],[Beginning Balance]]*Table15781012[[#This Row],[Monthly Interest Rate]],2)</f>
        <v>0</v>
      </c>
      <c r="F225" s="3">
        <f t="shared" si="13"/>
        <v>143</v>
      </c>
      <c r="G225" s="23">
        <f>IFERROR(IF($C$13="No","N/A",IF(Table15781012[[#This Row],[Period]]=1,$C$6,PMT(InterestRate*AmortizationMultiplier/12,Table15781012[[#This Row],[Am Thru]],-Table15781012[[#This Row],[Beginning Balance]]))),0)</f>
        <v>0</v>
      </c>
      <c r="H225" s="3">
        <f>MAX(0,IF(C225=$C$4,D225,ROUND(IF($C$3="Fixed Principal",$C$6-Table15781012[[#This Row],[Interest]],IF($C$3="Interest Only",Table15781012[[#This Row],[Beginning Balance]]*ROUND(1-(1-IF($C$11="No",$E$8,1))^(1/12),6),MIN(IF($C$13="Yes",Table15781012[[#This Row],[Payment Amount (Reamortized)]],$C$6)-Table15781012[[#This Row],[Interest]],Table15781012[[#This Row],[Beginning Balance]]))),2)))</f>
        <v>0</v>
      </c>
      <c r="I225" s="3">
        <f>_xlfn.SINGLE(IF($C$3="Line of Credit",0,ROUND(MAX(MIN(IF($C$10="No",$E$7,VLOOKUP(Table15781012[[#This Row],[Period]],Forecast!$H$2:$L$1048576,4,FALSE))*Table15781012[[#This Row],[Beginning Balance]],Table15781012[[#This Row],[Beginning Balance]]-Table15781012[[#This Row],[Principal]]),0),2)))</f>
        <v>0</v>
      </c>
      <c r="J225" s="3">
        <f>ROUND(MIN(Table15781012[[#This Row],[Beginning Balance]]*IF($C$8="No",$E$3,VLOOKUP(Table15781012[[#This Row],[Period]],Forecast!$H$2:$L$1048576,2,FALSE)),Table15781012[[#This Row],[Beginning Balance]]-Table15781012[[#This Row],[Principal]]-Table15781012[[#This Row],[Prepayments]]),2)</f>
        <v>0</v>
      </c>
      <c r="K225" s="3">
        <f>ROUND(Table15781012[[#This Row],[Defaulted Principal]]*IF($C$9="No",$E$4,VLOOKUP(Table15781012[[#This Row],[Period]],Forecast!$H$2:$L$1048576,3,FALSE)),2)</f>
        <v>0</v>
      </c>
      <c r="L225" s="2">
        <f>Table15781012[[#This Row],[Period]]+$E$9</f>
        <v>221</v>
      </c>
      <c r="M225" s="3">
        <f>Table15781012[[#This Row],[Defaulted Principal]]-Table15781012[[#This Row],[Estimated Loss]]</f>
        <v>0</v>
      </c>
      <c r="N225" s="3">
        <f>IFERROR(VLOOKUP(Table15781012[[#This Row],[Period]],$L$16:$M$385,2,FALSE),0)</f>
        <v>0</v>
      </c>
      <c r="O225" s="3">
        <f>Table15781012[[#This Row],[Beginning Balance]]-Table15781012[[#This Row],[Principal]]-Table15781012[[#This Row],[Prepayments]]-Table15781012[[#This Row],[Defaulted Principal]]</f>
        <v>0</v>
      </c>
      <c r="P225" s="3">
        <f>Table15781012[[#This Row],[Principal]]+Table15781012[[#This Row],[Interest]]+Table15781012[[#This Row],[Prepayments]]+Table15781012[[#This Row],[RecoveredAmount]]</f>
        <v>0</v>
      </c>
      <c r="Q225" s="3">
        <f ca="1">ROUND(Table15781012[[#This Row],[Cash Flow]]/((1+ActualRateToUse)^(IF(ISNUMBER(SEARCH("Actual",$C$7)),Table15781012[[#This Row],[Running Total]]/365,Table15781012[[#This Row],[Period]]/12))),2)</f>
        <v>0</v>
      </c>
      <c r="R225" s="2">
        <f>IF(MONTH(Table15781012[[#This Row],[Date]])=2,28,DAY(DATE(YEAR(Table15781012[[#This Row],[Date]]),MONTH(Table15781012[[#This Row],[Date]])+1,1)-1))</f>
        <v>30</v>
      </c>
      <c r="S225" s="2">
        <f ca="1">SUM(OFFSET(Table15781012[[#Headers],[Days in month]],1,0):Table15781012[[#This Row],[Days in month]])</f>
        <v>6358</v>
      </c>
      <c r="T225" s="37">
        <f>InterestRate*AmortizationMultiplier*IF(ISNUMBER(SEARCH("Actual",$C$7)),Table15781012[[#This Row],[Days in month]]/365,1/12)</f>
        <v>5.8749999999999991E-3</v>
      </c>
    </row>
    <row r="226" spans="2:20" x14ac:dyDescent="0.2">
      <c r="B226" s="1">
        <f t="shared" si="10"/>
        <v>52231</v>
      </c>
      <c r="C226" s="2">
        <f t="shared" si="12"/>
        <v>210</v>
      </c>
      <c r="D226" s="3">
        <f t="shared" si="11"/>
        <v>0</v>
      </c>
      <c r="E226" s="3">
        <f>ROUND(Table15781012[[#This Row],[Beginning Balance]]*Table15781012[[#This Row],[Monthly Interest Rate]],2)</f>
        <v>0</v>
      </c>
      <c r="F226" s="3">
        <f t="shared" si="13"/>
        <v>142</v>
      </c>
      <c r="G226" s="23">
        <f>IFERROR(IF($C$13="No","N/A",IF(Table15781012[[#This Row],[Period]]=1,$C$6,PMT(InterestRate*AmortizationMultiplier/12,Table15781012[[#This Row],[Am Thru]],-Table15781012[[#This Row],[Beginning Balance]]))),0)</f>
        <v>0</v>
      </c>
      <c r="H226" s="3">
        <f>MAX(0,IF(C226=$C$4,D226,ROUND(IF($C$3="Fixed Principal",$C$6-Table15781012[[#This Row],[Interest]],IF($C$3="Interest Only",Table15781012[[#This Row],[Beginning Balance]]*ROUND(1-(1-IF($C$11="No",$E$8,1))^(1/12),6),MIN(IF($C$13="Yes",Table15781012[[#This Row],[Payment Amount (Reamortized)]],$C$6)-Table15781012[[#This Row],[Interest]],Table15781012[[#This Row],[Beginning Balance]]))),2)))</f>
        <v>0</v>
      </c>
      <c r="I226" s="3">
        <f>_xlfn.SINGLE(IF($C$3="Line of Credit",0,ROUND(MAX(MIN(IF($C$10="No",$E$7,VLOOKUP(Table15781012[[#This Row],[Period]],Forecast!$H$2:$L$1048576,4,FALSE))*Table15781012[[#This Row],[Beginning Balance]],Table15781012[[#This Row],[Beginning Balance]]-Table15781012[[#This Row],[Principal]]),0),2)))</f>
        <v>0</v>
      </c>
      <c r="J226" s="3">
        <f>ROUND(MIN(Table15781012[[#This Row],[Beginning Balance]]*IF($C$8="No",$E$3,VLOOKUP(Table15781012[[#This Row],[Period]],Forecast!$H$2:$L$1048576,2,FALSE)),Table15781012[[#This Row],[Beginning Balance]]-Table15781012[[#This Row],[Principal]]-Table15781012[[#This Row],[Prepayments]]),2)</f>
        <v>0</v>
      </c>
      <c r="K226" s="3">
        <f>ROUND(Table15781012[[#This Row],[Defaulted Principal]]*IF($C$9="No",$E$4,VLOOKUP(Table15781012[[#This Row],[Period]],Forecast!$H$2:$L$1048576,3,FALSE)),2)</f>
        <v>0</v>
      </c>
      <c r="L226" s="2">
        <f>Table15781012[[#This Row],[Period]]+$E$9</f>
        <v>222</v>
      </c>
      <c r="M226" s="3">
        <f>Table15781012[[#This Row],[Defaulted Principal]]-Table15781012[[#This Row],[Estimated Loss]]</f>
        <v>0</v>
      </c>
      <c r="N226" s="3">
        <f>IFERROR(VLOOKUP(Table15781012[[#This Row],[Period]],$L$16:$M$385,2,FALSE),0)</f>
        <v>0</v>
      </c>
      <c r="O226" s="3">
        <f>Table15781012[[#This Row],[Beginning Balance]]-Table15781012[[#This Row],[Principal]]-Table15781012[[#This Row],[Prepayments]]-Table15781012[[#This Row],[Defaulted Principal]]</f>
        <v>0</v>
      </c>
      <c r="P226" s="3">
        <f>Table15781012[[#This Row],[Principal]]+Table15781012[[#This Row],[Interest]]+Table15781012[[#This Row],[Prepayments]]+Table15781012[[#This Row],[RecoveredAmount]]</f>
        <v>0</v>
      </c>
      <c r="Q226" s="3">
        <f ca="1">ROUND(Table15781012[[#This Row],[Cash Flow]]/((1+ActualRateToUse)^(IF(ISNUMBER(SEARCH("Actual",$C$7)),Table15781012[[#This Row],[Running Total]]/365,Table15781012[[#This Row],[Period]]/12))),2)</f>
        <v>0</v>
      </c>
      <c r="R226" s="2">
        <f>IF(MONTH(Table15781012[[#This Row],[Date]])=2,28,DAY(DATE(YEAR(Table15781012[[#This Row],[Date]]),MONTH(Table15781012[[#This Row],[Date]])+1,1)-1))</f>
        <v>31</v>
      </c>
      <c r="S226" s="2">
        <f ca="1">SUM(OFFSET(Table15781012[[#Headers],[Days in month]],1,0):Table15781012[[#This Row],[Days in month]])</f>
        <v>6389</v>
      </c>
      <c r="T226" s="37">
        <f>InterestRate*AmortizationMultiplier*IF(ISNUMBER(SEARCH("Actual",$C$7)),Table15781012[[#This Row],[Days in month]]/365,1/12)</f>
        <v>6.0708333333333326E-3</v>
      </c>
    </row>
    <row r="227" spans="2:20" x14ac:dyDescent="0.2">
      <c r="B227" s="1">
        <f t="shared" si="10"/>
        <v>52262</v>
      </c>
      <c r="C227" s="2">
        <f t="shared" si="12"/>
        <v>211</v>
      </c>
      <c r="D227" s="3">
        <f t="shared" si="11"/>
        <v>0</v>
      </c>
      <c r="E227" s="3">
        <f>ROUND(Table15781012[[#This Row],[Beginning Balance]]*Table15781012[[#This Row],[Monthly Interest Rate]],2)</f>
        <v>0</v>
      </c>
      <c r="F227" s="3">
        <f t="shared" si="13"/>
        <v>141</v>
      </c>
      <c r="G227" s="23">
        <f>IFERROR(IF($C$13="No","N/A",IF(Table15781012[[#This Row],[Period]]=1,$C$6,PMT(InterestRate*AmortizationMultiplier/12,Table15781012[[#This Row],[Am Thru]],-Table15781012[[#This Row],[Beginning Balance]]))),0)</f>
        <v>0</v>
      </c>
      <c r="H227" s="3">
        <f>MAX(0,IF(C227=$C$4,D227,ROUND(IF($C$3="Fixed Principal",$C$6-Table15781012[[#This Row],[Interest]],IF($C$3="Interest Only",Table15781012[[#This Row],[Beginning Balance]]*ROUND(1-(1-IF($C$11="No",$E$8,1))^(1/12),6),MIN(IF($C$13="Yes",Table15781012[[#This Row],[Payment Amount (Reamortized)]],$C$6)-Table15781012[[#This Row],[Interest]],Table15781012[[#This Row],[Beginning Balance]]))),2)))</f>
        <v>0</v>
      </c>
      <c r="I227" s="3">
        <f>_xlfn.SINGLE(IF($C$3="Line of Credit",0,ROUND(MAX(MIN(IF($C$10="No",$E$7,VLOOKUP(Table15781012[[#This Row],[Period]],Forecast!$H$2:$L$1048576,4,FALSE))*Table15781012[[#This Row],[Beginning Balance]],Table15781012[[#This Row],[Beginning Balance]]-Table15781012[[#This Row],[Principal]]),0),2)))</f>
        <v>0</v>
      </c>
      <c r="J227" s="3">
        <f>ROUND(MIN(Table15781012[[#This Row],[Beginning Balance]]*IF($C$8="No",$E$3,VLOOKUP(Table15781012[[#This Row],[Period]],Forecast!$H$2:$L$1048576,2,FALSE)),Table15781012[[#This Row],[Beginning Balance]]-Table15781012[[#This Row],[Principal]]-Table15781012[[#This Row],[Prepayments]]),2)</f>
        <v>0</v>
      </c>
      <c r="K227" s="3">
        <f>ROUND(Table15781012[[#This Row],[Defaulted Principal]]*IF($C$9="No",$E$4,VLOOKUP(Table15781012[[#This Row],[Period]],Forecast!$H$2:$L$1048576,3,FALSE)),2)</f>
        <v>0</v>
      </c>
      <c r="L227" s="2">
        <f>Table15781012[[#This Row],[Period]]+$E$9</f>
        <v>223</v>
      </c>
      <c r="M227" s="3">
        <f>Table15781012[[#This Row],[Defaulted Principal]]-Table15781012[[#This Row],[Estimated Loss]]</f>
        <v>0</v>
      </c>
      <c r="N227" s="3">
        <f>IFERROR(VLOOKUP(Table15781012[[#This Row],[Period]],$L$16:$M$385,2,FALSE),0)</f>
        <v>0</v>
      </c>
      <c r="O227" s="3">
        <f>Table15781012[[#This Row],[Beginning Balance]]-Table15781012[[#This Row],[Principal]]-Table15781012[[#This Row],[Prepayments]]-Table15781012[[#This Row],[Defaulted Principal]]</f>
        <v>0</v>
      </c>
      <c r="P227" s="3">
        <f>Table15781012[[#This Row],[Principal]]+Table15781012[[#This Row],[Interest]]+Table15781012[[#This Row],[Prepayments]]+Table15781012[[#This Row],[RecoveredAmount]]</f>
        <v>0</v>
      </c>
      <c r="Q227" s="3">
        <f ca="1">ROUND(Table15781012[[#This Row],[Cash Flow]]/((1+ActualRateToUse)^(IF(ISNUMBER(SEARCH("Actual",$C$7)),Table15781012[[#This Row],[Running Total]]/365,Table15781012[[#This Row],[Period]]/12))),2)</f>
        <v>0</v>
      </c>
      <c r="R227" s="2">
        <f>IF(MONTH(Table15781012[[#This Row],[Date]])=2,28,DAY(DATE(YEAR(Table15781012[[#This Row],[Date]]),MONTH(Table15781012[[#This Row],[Date]])+1,1)-1))</f>
        <v>31</v>
      </c>
      <c r="S227" s="2">
        <f ca="1">SUM(OFFSET(Table15781012[[#Headers],[Days in month]],1,0):Table15781012[[#This Row],[Days in month]])</f>
        <v>6420</v>
      </c>
      <c r="T227" s="37">
        <f>InterestRate*AmortizationMultiplier*IF(ISNUMBER(SEARCH("Actual",$C$7)),Table15781012[[#This Row],[Days in month]]/365,1/12)</f>
        <v>6.0708333333333326E-3</v>
      </c>
    </row>
    <row r="228" spans="2:20" x14ac:dyDescent="0.2">
      <c r="B228" s="1">
        <f t="shared" si="10"/>
        <v>52290</v>
      </c>
      <c r="C228" s="2">
        <f t="shared" si="12"/>
        <v>212</v>
      </c>
      <c r="D228" s="3">
        <f t="shared" si="11"/>
        <v>0</v>
      </c>
      <c r="E228" s="3">
        <f>ROUND(Table15781012[[#This Row],[Beginning Balance]]*Table15781012[[#This Row],[Monthly Interest Rate]],2)</f>
        <v>0</v>
      </c>
      <c r="F228" s="3">
        <f t="shared" si="13"/>
        <v>140</v>
      </c>
      <c r="G228" s="23">
        <f>IFERROR(IF($C$13="No","N/A",IF(Table15781012[[#This Row],[Period]]=1,$C$6,PMT(InterestRate*AmortizationMultiplier/12,Table15781012[[#This Row],[Am Thru]],-Table15781012[[#This Row],[Beginning Balance]]))),0)</f>
        <v>0</v>
      </c>
      <c r="H228" s="3">
        <f>MAX(0,IF(C228=$C$4,D228,ROUND(IF($C$3="Fixed Principal",$C$6-Table15781012[[#This Row],[Interest]],IF($C$3="Interest Only",Table15781012[[#This Row],[Beginning Balance]]*ROUND(1-(1-IF($C$11="No",$E$8,1))^(1/12),6),MIN(IF($C$13="Yes",Table15781012[[#This Row],[Payment Amount (Reamortized)]],$C$6)-Table15781012[[#This Row],[Interest]],Table15781012[[#This Row],[Beginning Balance]]))),2)))</f>
        <v>0</v>
      </c>
      <c r="I228" s="3">
        <f>_xlfn.SINGLE(IF($C$3="Line of Credit",0,ROUND(MAX(MIN(IF($C$10="No",$E$7,VLOOKUP(Table15781012[[#This Row],[Period]],Forecast!$H$2:$L$1048576,4,FALSE))*Table15781012[[#This Row],[Beginning Balance]],Table15781012[[#This Row],[Beginning Balance]]-Table15781012[[#This Row],[Principal]]),0),2)))</f>
        <v>0</v>
      </c>
      <c r="J228" s="3">
        <f>ROUND(MIN(Table15781012[[#This Row],[Beginning Balance]]*IF($C$8="No",$E$3,VLOOKUP(Table15781012[[#This Row],[Period]],Forecast!$H$2:$L$1048576,2,FALSE)),Table15781012[[#This Row],[Beginning Balance]]-Table15781012[[#This Row],[Principal]]-Table15781012[[#This Row],[Prepayments]]),2)</f>
        <v>0</v>
      </c>
      <c r="K228" s="3">
        <f>ROUND(Table15781012[[#This Row],[Defaulted Principal]]*IF($C$9="No",$E$4,VLOOKUP(Table15781012[[#This Row],[Period]],Forecast!$H$2:$L$1048576,3,FALSE)),2)</f>
        <v>0</v>
      </c>
      <c r="L228" s="2">
        <f>Table15781012[[#This Row],[Period]]+$E$9</f>
        <v>224</v>
      </c>
      <c r="M228" s="3">
        <f>Table15781012[[#This Row],[Defaulted Principal]]-Table15781012[[#This Row],[Estimated Loss]]</f>
        <v>0</v>
      </c>
      <c r="N228" s="3">
        <f>IFERROR(VLOOKUP(Table15781012[[#This Row],[Period]],$L$16:$M$385,2,FALSE),0)</f>
        <v>0</v>
      </c>
      <c r="O228" s="3">
        <f>Table15781012[[#This Row],[Beginning Balance]]-Table15781012[[#This Row],[Principal]]-Table15781012[[#This Row],[Prepayments]]-Table15781012[[#This Row],[Defaulted Principal]]</f>
        <v>0</v>
      </c>
      <c r="P228" s="3">
        <f>Table15781012[[#This Row],[Principal]]+Table15781012[[#This Row],[Interest]]+Table15781012[[#This Row],[Prepayments]]+Table15781012[[#This Row],[RecoveredAmount]]</f>
        <v>0</v>
      </c>
      <c r="Q228" s="3">
        <f ca="1">ROUND(Table15781012[[#This Row],[Cash Flow]]/((1+ActualRateToUse)^(IF(ISNUMBER(SEARCH("Actual",$C$7)),Table15781012[[#This Row],[Running Total]]/365,Table15781012[[#This Row],[Period]]/12))),2)</f>
        <v>0</v>
      </c>
      <c r="R228" s="2">
        <f>IF(MONTH(Table15781012[[#This Row],[Date]])=2,28,DAY(DATE(YEAR(Table15781012[[#This Row],[Date]]),MONTH(Table15781012[[#This Row],[Date]])+1,1)-1))</f>
        <v>28</v>
      </c>
      <c r="S228" s="2">
        <f ca="1">SUM(OFFSET(Table15781012[[#Headers],[Days in month]],1,0):Table15781012[[#This Row],[Days in month]])</f>
        <v>6448</v>
      </c>
      <c r="T228" s="37">
        <f>InterestRate*AmortizationMultiplier*IF(ISNUMBER(SEARCH("Actual",$C$7)),Table15781012[[#This Row],[Days in month]]/365,1/12)</f>
        <v>5.4833333333333331E-3</v>
      </c>
    </row>
    <row r="229" spans="2:20" x14ac:dyDescent="0.2">
      <c r="B229" s="1">
        <f t="shared" si="10"/>
        <v>52321</v>
      </c>
      <c r="C229" s="2">
        <f t="shared" si="12"/>
        <v>213</v>
      </c>
      <c r="D229" s="3">
        <f t="shared" si="11"/>
        <v>0</v>
      </c>
      <c r="E229" s="3">
        <f>ROUND(Table15781012[[#This Row],[Beginning Balance]]*Table15781012[[#This Row],[Monthly Interest Rate]],2)</f>
        <v>0</v>
      </c>
      <c r="F229" s="3">
        <f t="shared" si="13"/>
        <v>139</v>
      </c>
      <c r="G229" s="23">
        <f>IFERROR(IF($C$13="No","N/A",IF(Table15781012[[#This Row],[Period]]=1,$C$6,PMT(InterestRate*AmortizationMultiplier/12,Table15781012[[#This Row],[Am Thru]],-Table15781012[[#This Row],[Beginning Balance]]))),0)</f>
        <v>0</v>
      </c>
      <c r="H229" s="3">
        <f>MAX(0,IF(C229=$C$4,D229,ROUND(IF($C$3="Fixed Principal",$C$6-Table15781012[[#This Row],[Interest]],IF($C$3="Interest Only",Table15781012[[#This Row],[Beginning Balance]]*ROUND(1-(1-IF($C$11="No",$E$8,1))^(1/12),6),MIN(IF($C$13="Yes",Table15781012[[#This Row],[Payment Amount (Reamortized)]],$C$6)-Table15781012[[#This Row],[Interest]],Table15781012[[#This Row],[Beginning Balance]]))),2)))</f>
        <v>0</v>
      </c>
      <c r="I229" s="3">
        <f>_xlfn.SINGLE(IF($C$3="Line of Credit",0,ROUND(MAX(MIN(IF($C$10="No",$E$7,VLOOKUP(Table15781012[[#This Row],[Period]],Forecast!$H$2:$L$1048576,4,FALSE))*Table15781012[[#This Row],[Beginning Balance]],Table15781012[[#This Row],[Beginning Balance]]-Table15781012[[#This Row],[Principal]]),0),2)))</f>
        <v>0</v>
      </c>
      <c r="J229" s="3">
        <f>ROUND(MIN(Table15781012[[#This Row],[Beginning Balance]]*IF($C$8="No",$E$3,VLOOKUP(Table15781012[[#This Row],[Period]],Forecast!$H$2:$L$1048576,2,FALSE)),Table15781012[[#This Row],[Beginning Balance]]-Table15781012[[#This Row],[Principal]]-Table15781012[[#This Row],[Prepayments]]),2)</f>
        <v>0</v>
      </c>
      <c r="K229" s="3">
        <f>ROUND(Table15781012[[#This Row],[Defaulted Principal]]*IF($C$9="No",$E$4,VLOOKUP(Table15781012[[#This Row],[Period]],Forecast!$H$2:$L$1048576,3,FALSE)),2)</f>
        <v>0</v>
      </c>
      <c r="L229" s="2">
        <f>Table15781012[[#This Row],[Period]]+$E$9</f>
        <v>225</v>
      </c>
      <c r="M229" s="3">
        <f>Table15781012[[#This Row],[Defaulted Principal]]-Table15781012[[#This Row],[Estimated Loss]]</f>
        <v>0</v>
      </c>
      <c r="N229" s="3">
        <f>IFERROR(VLOOKUP(Table15781012[[#This Row],[Period]],$L$16:$M$385,2,FALSE),0)</f>
        <v>0</v>
      </c>
      <c r="O229" s="3">
        <f>Table15781012[[#This Row],[Beginning Balance]]-Table15781012[[#This Row],[Principal]]-Table15781012[[#This Row],[Prepayments]]-Table15781012[[#This Row],[Defaulted Principal]]</f>
        <v>0</v>
      </c>
      <c r="P229" s="3">
        <f>Table15781012[[#This Row],[Principal]]+Table15781012[[#This Row],[Interest]]+Table15781012[[#This Row],[Prepayments]]+Table15781012[[#This Row],[RecoveredAmount]]</f>
        <v>0</v>
      </c>
      <c r="Q229" s="3">
        <f ca="1">ROUND(Table15781012[[#This Row],[Cash Flow]]/((1+ActualRateToUse)^(IF(ISNUMBER(SEARCH("Actual",$C$7)),Table15781012[[#This Row],[Running Total]]/365,Table15781012[[#This Row],[Period]]/12))),2)</f>
        <v>0</v>
      </c>
      <c r="R229" s="2">
        <f>IF(MONTH(Table15781012[[#This Row],[Date]])=2,28,DAY(DATE(YEAR(Table15781012[[#This Row],[Date]]),MONTH(Table15781012[[#This Row],[Date]])+1,1)-1))</f>
        <v>31</v>
      </c>
      <c r="S229" s="2">
        <f ca="1">SUM(OFFSET(Table15781012[[#Headers],[Days in month]],1,0):Table15781012[[#This Row],[Days in month]])</f>
        <v>6479</v>
      </c>
      <c r="T229" s="37">
        <f>InterestRate*AmortizationMultiplier*IF(ISNUMBER(SEARCH("Actual",$C$7)),Table15781012[[#This Row],[Days in month]]/365,1/12)</f>
        <v>6.0708333333333326E-3</v>
      </c>
    </row>
    <row r="230" spans="2:20" x14ac:dyDescent="0.2">
      <c r="B230" s="1">
        <f t="shared" si="10"/>
        <v>52351</v>
      </c>
      <c r="C230" s="2">
        <f t="shared" si="12"/>
        <v>214</v>
      </c>
      <c r="D230" s="3">
        <f t="shared" si="11"/>
        <v>0</v>
      </c>
      <c r="E230" s="3">
        <f>ROUND(Table15781012[[#This Row],[Beginning Balance]]*Table15781012[[#This Row],[Monthly Interest Rate]],2)</f>
        <v>0</v>
      </c>
      <c r="F230" s="3">
        <f t="shared" si="13"/>
        <v>138</v>
      </c>
      <c r="G230" s="23">
        <f>IFERROR(IF($C$13="No","N/A",IF(Table15781012[[#This Row],[Period]]=1,$C$6,PMT(InterestRate*AmortizationMultiplier/12,Table15781012[[#This Row],[Am Thru]],-Table15781012[[#This Row],[Beginning Balance]]))),0)</f>
        <v>0</v>
      </c>
      <c r="H230" s="3">
        <f>MAX(0,IF(C230=$C$4,D230,ROUND(IF($C$3="Fixed Principal",$C$6-Table15781012[[#This Row],[Interest]],IF($C$3="Interest Only",Table15781012[[#This Row],[Beginning Balance]]*ROUND(1-(1-IF($C$11="No",$E$8,1))^(1/12),6),MIN(IF($C$13="Yes",Table15781012[[#This Row],[Payment Amount (Reamortized)]],$C$6)-Table15781012[[#This Row],[Interest]],Table15781012[[#This Row],[Beginning Balance]]))),2)))</f>
        <v>0</v>
      </c>
      <c r="I230" s="3">
        <f>_xlfn.SINGLE(IF($C$3="Line of Credit",0,ROUND(MAX(MIN(IF($C$10="No",$E$7,VLOOKUP(Table15781012[[#This Row],[Period]],Forecast!$H$2:$L$1048576,4,FALSE))*Table15781012[[#This Row],[Beginning Balance]],Table15781012[[#This Row],[Beginning Balance]]-Table15781012[[#This Row],[Principal]]),0),2)))</f>
        <v>0</v>
      </c>
      <c r="J230" s="3">
        <f>ROUND(MIN(Table15781012[[#This Row],[Beginning Balance]]*IF($C$8="No",$E$3,VLOOKUP(Table15781012[[#This Row],[Period]],Forecast!$H$2:$L$1048576,2,FALSE)),Table15781012[[#This Row],[Beginning Balance]]-Table15781012[[#This Row],[Principal]]-Table15781012[[#This Row],[Prepayments]]),2)</f>
        <v>0</v>
      </c>
      <c r="K230" s="3">
        <f>ROUND(Table15781012[[#This Row],[Defaulted Principal]]*IF($C$9="No",$E$4,VLOOKUP(Table15781012[[#This Row],[Period]],Forecast!$H$2:$L$1048576,3,FALSE)),2)</f>
        <v>0</v>
      </c>
      <c r="L230" s="2">
        <f>Table15781012[[#This Row],[Period]]+$E$9</f>
        <v>226</v>
      </c>
      <c r="M230" s="3">
        <f>Table15781012[[#This Row],[Defaulted Principal]]-Table15781012[[#This Row],[Estimated Loss]]</f>
        <v>0</v>
      </c>
      <c r="N230" s="3">
        <f>IFERROR(VLOOKUP(Table15781012[[#This Row],[Period]],$L$16:$M$385,2,FALSE),0)</f>
        <v>0</v>
      </c>
      <c r="O230" s="3">
        <f>Table15781012[[#This Row],[Beginning Balance]]-Table15781012[[#This Row],[Principal]]-Table15781012[[#This Row],[Prepayments]]-Table15781012[[#This Row],[Defaulted Principal]]</f>
        <v>0</v>
      </c>
      <c r="P230" s="3">
        <f>Table15781012[[#This Row],[Principal]]+Table15781012[[#This Row],[Interest]]+Table15781012[[#This Row],[Prepayments]]+Table15781012[[#This Row],[RecoveredAmount]]</f>
        <v>0</v>
      </c>
      <c r="Q230" s="3">
        <f ca="1">ROUND(Table15781012[[#This Row],[Cash Flow]]/((1+ActualRateToUse)^(IF(ISNUMBER(SEARCH("Actual",$C$7)),Table15781012[[#This Row],[Running Total]]/365,Table15781012[[#This Row],[Period]]/12))),2)</f>
        <v>0</v>
      </c>
      <c r="R230" s="2">
        <f>IF(MONTH(Table15781012[[#This Row],[Date]])=2,28,DAY(DATE(YEAR(Table15781012[[#This Row],[Date]]),MONTH(Table15781012[[#This Row],[Date]])+1,1)-1))</f>
        <v>30</v>
      </c>
      <c r="S230" s="2">
        <f ca="1">SUM(OFFSET(Table15781012[[#Headers],[Days in month]],1,0):Table15781012[[#This Row],[Days in month]])</f>
        <v>6509</v>
      </c>
      <c r="T230" s="37">
        <f>InterestRate*AmortizationMultiplier*IF(ISNUMBER(SEARCH("Actual",$C$7)),Table15781012[[#This Row],[Days in month]]/365,1/12)</f>
        <v>5.8749999999999991E-3</v>
      </c>
    </row>
    <row r="231" spans="2:20" x14ac:dyDescent="0.2">
      <c r="B231" s="1">
        <f t="shared" si="10"/>
        <v>52382</v>
      </c>
      <c r="C231" s="2">
        <f t="shared" si="12"/>
        <v>215</v>
      </c>
      <c r="D231" s="3">
        <f t="shared" si="11"/>
        <v>0</v>
      </c>
      <c r="E231" s="3">
        <f>ROUND(Table15781012[[#This Row],[Beginning Balance]]*Table15781012[[#This Row],[Monthly Interest Rate]],2)</f>
        <v>0</v>
      </c>
      <c r="F231" s="3">
        <f t="shared" si="13"/>
        <v>137</v>
      </c>
      <c r="G231" s="23">
        <f>IFERROR(IF($C$13="No","N/A",IF(Table15781012[[#This Row],[Period]]=1,$C$6,PMT(InterestRate*AmortizationMultiplier/12,Table15781012[[#This Row],[Am Thru]],-Table15781012[[#This Row],[Beginning Balance]]))),0)</f>
        <v>0</v>
      </c>
      <c r="H231" s="3">
        <f>MAX(0,IF(C231=$C$4,D231,ROUND(IF($C$3="Fixed Principal",$C$6-Table15781012[[#This Row],[Interest]],IF($C$3="Interest Only",Table15781012[[#This Row],[Beginning Balance]]*ROUND(1-(1-IF($C$11="No",$E$8,1))^(1/12),6),MIN(IF($C$13="Yes",Table15781012[[#This Row],[Payment Amount (Reamortized)]],$C$6)-Table15781012[[#This Row],[Interest]],Table15781012[[#This Row],[Beginning Balance]]))),2)))</f>
        <v>0</v>
      </c>
      <c r="I231" s="3">
        <f>_xlfn.SINGLE(IF($C$3="Line of Credit",0,ROUND(MAX(MIN(IF($C$10="No",$E$7,VLOOKUP(Table15781012[[#This Row],[Period]],Forecast!$H$2:$L$1048576,4,FALSE))*Table15781012[[#This Row],[Beginning Balance]],Table15781012[[#This Row],[Beginning Balance]]-Table15781012[[#This Row],[Principal]]),0),2)))</f>
        <v>0</v>
      </c>
      <c r="J231" s="3">
        <f>ROUND(MIN(Table15781012[[#This Row],[Beginning Balance]]*IF($C$8="No",$E$3,VLOOKUP(Table15781012[[#This Row],[Period]],Forecast!$H$2:$L$1048576,2,FALSE)),Table15781012[[#This Row],[Beginning Balance]]-Table15781012[[#This Row],[Principal]]-Table15781012[[#This Row],[Prepayments]]),2)</f>
        <v>0</v>
      </c>
      <c r="K231" s="3">
        <f>ROUND(Table15781012[[#This Row],[Defaulted Principal]]*IF($C$9="No",$E$4,VLOOKUP(Table15781012[[#This Row],[Period]],Forecast!$H$2:$L$1048576,3,FALSE)),2)</f>
        <v>0</v>
      </c>
      <c r="L231" s="2">
        <f>Table15781012[[#This Row],[Period]]+$E$9</f>
        <v>227</v>
      </c>
      <c r="M231" s="3">
        <f>Table15781012[[#This Row],[Defaulted Principal]]-Table15781012[[#This Row],[Estimated Loss]]</f>
        <v>0</v>
      </c>
      <c r="N231" s="3">
        <f>IFERROR(VLOOKUP(Table15781012[[#This Row],[Period]],$L$16:$M$385,2,FALSE),0)</f>
        <v>0</v>
      </c>
      <c r="O231" s="3">
        <f>Table15781012[[#This Row],[Beginning Balance]]-Table15781012[[#This Row],[Principal]]-Table15781012[[#This Row],[Prepayments]]-Table15781012[[#This Row],[Defaulted Principal]]</f>
        <v>0</v>
      </c>
      <c r="P231" s="3">
        <f>Table15781012[[#This Row],[Principal]]+Table15781012[[#This Row],[Interest]]+Table15781012[[#This Row],[Prepayments]]+Table15781012[[#This Row],[RecoveredAmount]]</f>
        <v>0</v>
      </c>
      <c r="Q231" s="3">
        <f ca="1">ROUND(Table15781012[[#This Row],[Cash Flow]]/((1+ActualRateToUse)^(IF(ISNUMBER(SEARCH("Actual",$C$7)),Table15781012[[#This Row],[Running Total]]/365,Table15781012[[#This Row],[Period]]/12))),2)</f>
        <v>0</v>
      </c>
      <c r="R231" s="2">
        <f>IF(MONTH(Table15781012[[#This Row],[Date]])=2,28,DAY(DATE(YEAR(Table15781012[[#This Row],[Date]]),MONTH(Table15781012[[#This Row],[Date]])+1,1)-1))</f>
        <v>31</v>
      </c>
      <c r="S231" s="2">
        <f ca="1">SUM(OFFSET(Table15781012[[#Headers],[Days in month]],1,0):Table15781012[[#This Row],[Days in month]])</f>
        <v>6540</v>
      </c>
      <c r="T231" s="37">
        <f>InterestRate*AmortizationMultiplier*IF(ISNUMBER(SEARCH("Actual",$C$7)),Table15781012[[#This Row],[Days in month]]/365,1/12)</f>
        <v>6.0708333333333326E-3</v>
      </c>
    </row>
    <row r="232" spans="2:20" x14ac:dyDescent="0.2">
      <c r="B232" s="1">
        <f t="shared" si="10"/>
        <v>52412</v>
      </c>
      <c r="C232" s="2">
        <f t="shared" si="12"/>
        <v>216</v>
      </c>
      <c r="D232" s="3">
        <f t="shared" si="11"/>
        <v>0</v>
      </c>
      <c r="E232" s="3">
        <f>ROUND(Table15781012[[#This Row],[Beginning Balance]]*Table15781012[[#This Row],[Monthly Interest Rate]],2)</f>
        <v>0</v>
      </c>
      <c r="F232" s="3">
        <f t="shared" si="13"/>
        <v>136</v>
      </c>
      <c r="G232" s="23">
        <f>IFERROR(IF($C$13="No","N/A",IF(Table15781012[[#This Row],[Period]]=1,$C$6,PMT(InterestRate*AmortizationMultiplier/12,Table15781012[[#This Row],[Am Thru]],-Table15781012[[#This Row],[Beginning Balance]]))),0)</f>
        <v>0</v>
      </c>
      <c r="H232" s="3">
        <f>MAX(0,IF(C232=$C$4,D232,ROUND(IF($C$3="Fixed Principal",$C$6-Table15781012[[#This Row],[Interest]],IF($C$3="Interest Only",Table15781012[[#This Row],[Beginning Balance]]*ROUND(1-(1-IF($C$11="No",$E$8,1))^(1/12),6),MIN(IF($C$13="Yes",Table15781012[[#This Row],[Payment Amount (Reamortized)]],$C$6)-Table15781012[[#This Row],[Interest]],Table15781012[[#This Row],[Beginning Balance]]))),2)))</f>
        <v>0</v>
      </c>
      <c r="I232" s="3">
        <f>_xlfn.SINGLE(IF($C$3="Line of Credit",0,ROUND(MAX(MIN(IF($C$10="No",$E$7,VLOOKUP(Table15781012[[#This Row],[Period]],Forecast!$H$2:$L$1048576,4,FALSE))*Table15781012[[#This Row],[Beginning Balance]],Table15781012[[#This Row],[Beginning Balance]]-Table15781012[[#This Row],[Principal]]),0),2)))</f>
        <v>0</v>
      </c>
      <c r="J232" s="3">
        <f>ROUND(MIN(Table15781012[[#This Row],[Beginning Balance]]*IF($C$8="No",$E$3,VLOOKUP(Table15781012[[#This Row],[Period]],Forecast!$H$2:$L$1048576,2,FALSE)),Table15781012[[#This Row],[Beginning Balance]]-Table15781012[[#This Row],[Principal]]-Table15781012[[#This Row],[Prepayments]]),2)</f>
        <v>0</v>
      </c>
      <c r="K232" s="3">
        <f>ROUND(Table15781012[[#This Row],[Defaulted Principal]]*IF($C$9="No",$E$4,VLOOKUP(Table15781012[[#This Row],[Period]],Forecast!$H$2:$L$1048576,3,FALSE)),2)</f>
        <v>0</v>
      </c>
      <c r="L232" s="2">
        <f>Table15781012[[#This Row],[Period]]+$E$9</f>
        <v>228</v>
      </c>
      <c r="M232" s="3">
        <f>Table15781012[[#This Row],[Defaulted Principal]]-Table15781012[[#This Row],[Estimated Loss]]</f>
        <v>0</v>
      </c>
      <c r="N232" s="3">
        <f>IFERROR(VLOOKUP(Table15781012[[#This Row],[Period]],$L$16:$M$385,2,FALSE),0)</f>
        <v>0</v>
      </c>
      <c r="O232" s="3">
        <f>Table15781012[[#This Row],[Beginning Balance]]-Table15781012[[#This Row],[Principal]]-Table15781012[[#This Row],[Prepayments]]-Table15781012[[#This Row],[Defaulted Principal]]</f>
        <v>0</v>
      </c>
      <c r="P232" s="3">
        <f>Table15781012[[#This Row],[Principal]]+Table15781012[[#This Row],[Interest]]+Table15781012[[#This Row],[Prepayments]]+Table15781012[[#This Row],[RecoveredAmount]]</f>
        <v>0</v>
      </c>
      <c r="Q232" s="3">
        <f ca="1">ROUND(Table15781012[[#This Row],[Cash Flow]]/((1+ActualRateToUse)^(IF(ISNUMBER(SEARCH("Actual",$C$7)),Table15781012[[#This Row],[Running Total]]/365,Table15781012[[#This Row],[Period]]/12))),2)</f>
        <v>0</v>
      </c>
      <c r="R232" s="2">
        <f>IF(MONTH(Table15781012[[#This Row],[Date]])=2,28,DAY(DATE(YEAR(Table15781012[[#This Row],[Date]]),MONTH(Table15781012[[#This Row],[Date]])+1,1)-1))</f>
        <v>30</v>
      </c>
      <c r="S232" s="2">
        <f ca="1">SUM(OFFSET(Table15781012[[#Headers],[Days in month]],1,0):Table15781012[[#This Row],[Days in month]])</f>
        <v>6570</v>
      </c>
      <c r="T232" s="37">
        <f>InterestRate*AmortizationMultiplier*IF(ISNUMBER(SEARCH("Actual",$C$7)),Table15781012[[#This Row],[Days in month]]/365,1/12)</f>
        <v>5.8749999999999991E-3</v>
      </c>
    </row>
    <row r="233" spans="2:20" x14ac:dyDescent="0.2">
      <c r="B233" s="1">
        <f t="shared" si="10"/>
        <v>52443</v>
      </c>
      <c r="C233" s="2">
        <f t="shared" si="12"/>
        <v>217</v>
      </c>
      <c r="D233" s="3">
        <f t="shared" si="11"/>
        <v>0</v>
      </c>
      <c r="E233" s="3">
        <f>ROUND(Table15781012[[#This Row],[Beginning Balance]]*Table15781012[[#This Row],[Monthly Interest Rate]],2)</f>
        <v>0</v>
      </c>
      <c r="F233" s="3">
        <f t="shared" si="13"/>
        <v>135</v>
      </c>
      <c r="G233" s="23">
        <f>IFERROR(IF($C$13="No","N/A",IF(Table15781012[[#This Row],[Period]]=1,$C$6,PMT(InterestRate*AmortizationMultiplier/12,Table15781012[[#This Row],[Am Thru]],-Table15781012[[#This Row],[Beginning Balance]]))),0)</f>
        <v>0</v>
      </c>
      <c r="H233" s="3">
        <f>MAX(0,IF(C233=$C$4,D233,ROUND(IF($C$3="Fixed Principal",$C$6-Table15781012[[#This Row],[Interest]],IF($C$3="Interest Only",Table15781012[[#This Row],[Beginning Balance]]*ROUND(1-(1-IF($C$11="No",$E$8,1))^(1/12),6),MIN(IF($C$13="Yes",Table15781012[[#This Row],[Payment Amount (Reamortized)]],$C$6)-Table15781012[[#This Row],[Interest]],Table15781012[[#This Row],[Beginning Balance]]))),2)))</f>
        <v>0</v>
      </c>
      <c r="I233" s="3">
        <f>_xlfn.SINGLE(IF($C$3="Line of Credit",0,ROUND(MAX(MIN(IF($C$10="No",$E$7,VLOOKUP(Table15781012[[#This Row],[Period]],Forecast!$H$2:$L$1048576,4,FALSE))*Table15781012[[#This Row],[Beginning Balance]],Table15781012[[#This Row],[Beginning Balance]]-Table15781012[[#This Row],[Principal]]),0),2)))</f>
        <v>0</v>
      </c>
      <c r="J233" s="3">
        <f>ROUND(MIN(Table15781012[[#This Row],[Beginning Balance]]*IF($C$8="No",$E$3,VLOOKUP(Table15781012[[#This Row],[Period]],Forecast!$H$2:$L$1048576,2,FALSE)),Table15781012[[#This Row],[Beginning Balance]]-Table15781012[[#This Row],[Principal]]-Table15781012[[#This Row],[Prepayments]]),2)</f>
        <v>0</v>
      </c>
      <c r="K233" s="3">
        <f>ROUND(Table15781012[[#This Row],[Defaulted Principal]]*IF($C$9="No",$E$4,VLOOKUP(Table15781012[[#This Row],[Period]],Forecast!$H$2:$L$1048576,3,FALSE)),2)</f>
        <v>0</v>
      </c>
      <c r="L233" s="2">
        <f>Table15781012[[#This Row],[Period]]+$E$9</f>
        <v>229</v>
      </c>
      <c r="M233" s="3">
        <f>Table15781012[[#This Row],[Defaulted Principal]]-Table15781012[[#This Row],[Estimated Loss]]</f>
        <v>0</v>
      </c>
      <c r="N233" s="3">
        <f>IFERROR(VLOOKUP(Table15781012[[#This Row],[Period]],$L$16:$M$385,2,FALSE),0)</f>
        <v>0</v>
      </c>
      <c r="O233" s="3">
        <f>Table15781012[[#This Row],[Beginning Balance]]-Table15781012[[#This Row],[Principal]]-Table15781012[[#This Row],[Prepayments]]-Table15781012[[#This Row],[Defaulted Principal]]</f>
        <v>0</v>
      </c>
      <c r="P233" s="3">
        <f>Table15781012[[#This Row],[Principal]]+Table15781012[[#This Row],[Interest]]+Table15781012[[#This Row],[Prepayments]]+Table15781012[[#This Row],[RecoveredAmount]]</f>
        <v>0</v>
      </c>
      <c r="Q233" s="3">
        <f ca="1">ROUND(Table15781012[[#This Row],[Cash Flow]]/((1+ActualRateToUse)^(IF(ISNUMBER(SEARCH("Actual",$C$7)),Table15781012[[#This Row],[Running Total]]/365,Table15781012[[#This Row],[Period]]/12))),2)</f>
        <v>0</v>
      </c>
      <c r="R233" s="2">
        <f>IF(MONTH(Table15781012[[#This Row],[Date]])=2,28,DAY(DATE(YEAR(Table15781012[[#This Row],[Date]]),MONTH(Table15781012[[#This Row],[Date]])+1,1)-1))</f>
        <v>31</v>
      </c>
      <c r="S233" s="2">
        <f ca="1">SUM(OFFSET(Table15781012[[#Headers],[Days in month]],1,0):Table15781012[[#This Row],[Days in month]])</f>
        <v>6601</v>
      </c>
      <c r="T233" s="37">
        <f>InterestRate*AmortizationMultiplier*IF(ISNUMBER(SEARCH("Actual",$C$7)),Table15781012[[#This Row],[Days in month]]/365,1/12)</f>
        <v>6.0708333333333326E-3</v>
      </c>
    </row>
    <row r="234" spans="2:20" x14ac:dyDescent="0.2">
      <c r="B234" s="1">
        <f t="shared" si="10"/>
        <v>52474</v>
      </c>
      <c r="C234" s="2">
        <f t="shared" si="12"/>
        <v>218</v>
      </c>
      <c r="D234" s="3">
        <f t="shared" si="11"/>
        <v>0</v>
      </c>
      <c r="E234" s="3">
        <f>ROUND(Table15781012[[#This Row],[Beginning Balance]]*Table15781012[[#This Row],[Monthly Interest Rate]],2)</f>
        <v>0</v>
      </c>
      <c r="F234" s="3">
        <f t="shared" si="13"/>
        <v>134</v>
      </c>
      <c r="G234" s="23">
        <f>IFERROR(IF($C$13="No","N/A",IF(Table15781012[[#This Row],[Period]]=1,$C$6,PMT(InterestRate*AmortizationMultiplier/12,Table15781012[[#This Row],[Am Thru]],-Table15781012[[#This Row],[Beginning Balance]]))),0)</f>
        <v>0</v>
      </c>
      <c r="H234" s="3">
        <f>MAX(0,IF(C234=$C$4,D234,ROUND(IF($C$3="Fixed Principal",$C$6-Table15781012[[#This Row],[Interest]],IF($C$3="Interest Only",Table15781012[[#This Row],[Beginning Balance]]*ROUND(1-(1-IF($C$11="No",$E$8,1))^(1/12),6),MIN(IF($C$13="Yes",Table15781012[[#This Row],[Payment Amount (Reamortized)]],$C$6)-Table15781012[[#This Row],[Interest]],Table15781012[[#This Row],[Beginning Balance]]))),2)))</f>
        <v>0</v>
      </c>
      <c r="I234" s="3">
        <f>_xlfn.SINGLE(IF($C$3="Line of Credit",0,ROUND(MAX(MIN(IF($C$10="No",$E$7,VLOOKUP(Table15781012[[#This Row],[Period]],Forecast!$H$2:$L$1048576,4,FALSE))*Table15781012[[#This Row],[Beginning Balance]],Table15781012[[#This Row],[Beginning Balance]]-Table15781012[[#This Row],[Principal]]),0),2)))</f>
        <v>0</v>
      </c>
      <c r="J234" s="3">
        <f>ROUND(MIN(Table15781012[[#This Row],[Beginning Balance]]*IF($C$8="No",$E$3,VLOOKUP(Table15781012[[#This Row],[Period]],Forecast!$H$2:$L$1048576,2,FALSE)),Table15781012[[#This Row],[Beginning Balance]]-Table15781012[[#This Row],[Principal]]-Table15781012[[#This Row],[Prepayments]]),2)</f>
        <v>0</v>
      </c>
      <c r="K234" s="3">
        <f>ROUND(Table15781012[[#This Row],[Defaulted Principal]]*IF($C$9="No",$E$4,VLOOKUP(Table15781012[[#This Row],[Period]],Forecast!$H$2:$L$1048576,3,FALSE)),2)</f>
        <v>0</v>
      </c>
      <c r="L234" s="2">
        <f>Table15781012[[#This Row],[Period]]+$E$9</f>
        <v>230</v>
      </c>
      <c r="M234" s="3">
        <f>Table15781012[[#This Row],[Defaulted Principal]]-Table15781012[[#This Row],[Estimated Loss]]</f>
        <v>0</v>
      </c>
      <c r="N234" s="3">
        <f>IFERROR(VLOOKUP(Table15781012[[#This Row],[Period]],$L$16:$M$385,2,FALSE),0)</f>
        <v>0</v>
      </c>
      <c r="O234" s="3">
        <f>Table15781012[[#This Row],[Beginning Balance]]-Table15781012[[#This Row],[Principal]]-Table15781012[[#This Row],[Prepayments]]-Table15781012[[#This Row],[Defaulted Principal]]</f>
        <v>0</v>
      </c>
      <c r="P234" s="3">
        <f>Table15781012[[#This Row],[Principal]]+Table15781012[[#This Row],[Interest]]+Table15781012[[#This Row],[Prepayments]]+Table15781012[[#This Row],[RecoveredAmount]]</f>
        <v>0</v>
      </c>
      <c r="Q234" s="3">
        <f ca="1">ROUND(Table15781012[[#This Row],[Cash Flow]]/((1+ActualRateToUse)^(IF(ISNUMBER(SEARCH("Actual",$C$7)),Table15781012[[#This Row],[Running Total]]/365,Table15781012[[#This Row],[Period]]/12))),2)</f>
        <v>0</v>
      </c>
      <c r="R234" s="2">
        <f>IF(MONTH(Table15781012[[#This Row],[Date]])=2,28,DAY(DATE(YEAR(Table15781012[[#This Row],[Date]]),MONTH(Table15781012[[#This Row],[Date]])+1,1)-1))</f>
        <v>31</v>
      </c>
      <c r="S234" s="2">
        <f ca="1">SUM(OFFSET(Table15781012[[#Headers],[Days in month]],1,0):Table15781012[[#This Row],[Days in month]])</f>
        <v>6632</v>
      </c>
      <c r="T234" s="37">
        <f>InterestRate*AmortizationMultiplier*IF(ISNUMBER(SEARCH("Actual",$C$7)),Table15781012[[#This Row],[Days in month]]/365,1/12)</f>
        <v>6.0708333333333326E-3</v>
      </c>
    </row>
    <row r="235" spans="2:20" x14ac:dyDescent="0.2">
      <c r="B235" s="1">
        <f t="shared" si="10"/>
        <v>52504</v>
      </c>
      <c r="C235" s="2">
        <f t="shared" si="12"/>
        <v>219</v>
      </c>
      <c r="D235" s="3">
        <f t="shared" si="11"/>
        <v>0</v>
      </c>
      <c r="E235" s="3">
        <f>ROUND(Table15781012[[#This Row],[Beginning Balance]]*Table15781012[[#This Row],[Monthly Interest Rate]],2)</f>
        <v>0</v>
      </c>
      <c r="F235" s="3">
        <f t="shared" si="13"/>
        <v>133</v>
      </c>
      <c r="G235" s="23">
        <f>IFERROR(IF($C$13="No","N/A",IF(Table15781012[[#This Row],[Period]]=1,$C$6,PMT(InterestRate*AmortizationMultiplier/12,Table15781012[[#This Row],[Am Thru]],-Table15781012[[#This Row],[Beginning Balance]]))),0)</f>
        <v>0</v>
      </c>
      <c r="H235" s="3">
        <f>MAX(0,IF(C235=$C$4,D235,ROUND(IF($C$3="Fixed Principal",$C$6-Table15781012[[#This Row],[Interest]],IF($C$3="Interest Only",Table15781012[[#This Row],[Beginning Balance]]*ROUND(1-(1-IF($C$11="No",$E$8,1))^(1/12),6),MIN(IF($C$13="Yes",Table15781012[[#This Row],[Payment Amount (Reamortized)]],$C$6)-Table15781012[[#This Row],[Interest]],Table15781012[[#This Row],[Beginning Balance]]))),2)))</f>
        <v>0</v>
      </c>
      <c r="I235" s="3">
        <f>_xlfn.SINGLE(IF($C$3="Line of Credit",0,ROUND(MAX(MIN(IF($C$10="No",$E$7,VLOOKUP(Table15781012[[#This Row],[Period]],Forecast!$H$2:$L$1048576,4,FALSE))*Table15781012[[#This Row],[Beginning Balance]],Table15781012[[#This Row],[Beginning Balance]]-Table15781012[[#This Row],[Principal]]),0),2)))</f>
        <v>0</v>
      </c>
      <c r="J235" s="3">
        <f>ROUND(MIN(Table15781012[[#This Row],[Beginning Balance]]*IF($C$8="No",$E$3,VLOOKUP(Table15781012[[#This Row],[Period]],Forecast!$H$2:$L$1048576,2,FALSE)),Table15781012[[#This Row],[Beginning Balance]]-Table15781012[[#This Row],[Principal]]-Table15781012[[#This Row],[Prepayments]]),2)</f>
        <v>0</v>
      </c>
      <c r="K235" s="3">
        <f>ROUND(Table15781012[[#This Row],[Defaulted Principal]]*IF($C$9="No",$E$4,VLOOKUP(Table15781012[[#This Row],[Period]],Forecast!$H$2:$L$1048576,3,FALSE)),2)</f>
        <v>0</v>
      </c>
      <c r="L235" s="2">
        <f>Table15781012[[#This Row],[Period]]+$E$9</f>
        <v>231</v>
      </c>
      <c r="M235" s="3">
        <f>Table15781012[[#This Row],[Defaulted Principal]]-Table15781012[[#This Row],[Estimated Loss]]</f>
        <v>0</v>
      </c>
      <c r="N235" s="3">
        <f>IFERROR(VLOOKUP(Table15781012[[#This Row],[Period]],$L$16:$M$385,2,FALSE),0)</f>
        <v>0</v>
      </c>
      <c r="O235" s="3">
        <f>Table15781012[[#This Row],[Beginning Balance]]-Table15781012[[#This Row],[Principal]]-Table15781012[[#This Row],[Prepayments]]-Table15781012[[#This Row],[Defaulted Principal]]</f>
        <v>0</v>
      </c>
      <c r="P235" s="3">
        <f>Table15781012[[#This Row],[Principal]]+Table15781012[[#This Row],[Interest]]+Table15781012[[#This Row],[Prepayments]]+Table15781012[[#This Row],[RecoveredAmount]]</f>
        <v>0</v>
      </c>
      <c r="Q235" s="3">
        <f ca="1">ROUND(Table15781012[[#This Row],[Cash Flow]]/((1+ActualRateToUse)^(IF(ISNUMBER(SEARCH("Actual",$C$7)),Table15781012[[#This Row],[Running Total]]/365,Table15781012[[#This Row],[Period]]/12))),2)</f>
        <v>0</v>
      </c>
      <c r="R235" s="2">
        <f>IF(MONTH(Table15781012[[#This Row],[Date]])=2,28,DAY(DATE(YEAR(Table15781012[[#This Row],[Date]]),MONTH(Table15781012[[#This Row],[Date]])+1,1)-1))</f>
        <v>30</v>
      </c>
      <c r="S235" s="2">
        <f ca="1">SUM(OFFSET(Table15781012[[#Headers],[Days in month]],1,0):Table15781012[[#This Row],[Days in month]])</f>
        <v>6662</v>
      </c>
      <c r="T235" s="37">
        <f>InterestRate*AmortizationMultiplier*IF(ISNUMBER(SEARCH("Actual",$C$7)),Table15781012[[#This Row],[Days in month]]/365,1/12)</f>
        <v>5.8749999999999991E-3</v>
      </c>
    </row>
    <row r="236" spans="2:20" x14ac:dyDescent="0.2">
      <c r="B236" s="1">
        <f t="shared" si="10"/>
        <v>52535</v>
      </c>
      <c r="C236" s="2">
        <f t="shared" si="12"/>
        <v>220</v>
      </c>
      <c r="D236" s="3">
        <f t="shared" si="11"/>
        <v>0</v>
      </c>
      <c r="E236" s="3">
        <f>ROUND(Table15781012[[#This Row],[Beginning Balance]]*Table15781012[[#This Row],[Monthly Interest Rate]],2)</f>
        <v>0</v>
      </c>
      <c r="F236" s="3">
        <f t="shared" si="13"/>
        <v>132</v>
      </c>
      <c r="G236" s="23">
        <f>IFERROR(IF($C$13="No","N/A",IF(Table15781012[[#This Row],[Period]]=1,$C$6,PMT(InterestRate*AmortizationMultiplier/12,Table15781012[[#This Row],[Am Thru]],-Table15781012[[#This Row],[Beginning Balance]]))),0)</f>
        <v>0</v>
      </c>
      <c r="H236" s="3">
        <f>MAX(0,IF(C236=$C$4,D236,ROUND(IF($C$3="Fixed Principal",$C$6-Table15781012[[#This Row],[Interest]],IF($C$3="Interest Only",Table15781012[[#This Row],[Beginning Balance]]*ROUND(1-(1-IF($C$11="No",$E$8,1))^(1/12),6),MIN(IF($C$13="Yes",Table15781012[[#This Row],[Payment Amount (Reamortized)]],$C$6)-Table15781012[[#This Row],[Interest]],Table15781012[[#This Row],[Beginning Balance]]))),2)))</f>
        <v>0</v>
      </c>
      <c r="I236" s="3">
        <f>_xlfn.SINGLE(IF($C$3="Line of Credit",0,ROUND(MAX(MIN(IF($C$10="No",$E$7,VLOOKUP(Table15781012[[#This Row],[Period]],Forecast!$H$2:$L$1048576,4,FALSE))*Table15781012[[#This Row],[Beginning Balance]],Table15781012[[#This Row],[Beginning Balance]]-Table15781012[[#This Row],[Principal]]),0),2)))</f>
        <v>0</v>
      </c>
      <c r="J236" s="3">
        <f>ROUND(MIN(Table15781012[[#This Row],[Beginning Balance]]*IF($C$8="No",$E$3,VLOOKUP(Table15781012[[#This Row],[Period]],Forecast!$H$2:$L$1048576,2,FALSE)),Table15781012[[#This Row],[Beginning Balance]]-Table15781012[[#This Row],[Principal]]-Table15781012[[#This Row],[Prepayments]]),2)</f>
        <v>0</v>
      </c>
      <c r="K236" s="3">
        <f>ROUND(Table15781012[[#This Row],[Defaulted Principal]]*IF($C$9="No",$E$4,VLOOKUP(Table15781012[[#This Row],[Period]],Forecast!$H$2:$L$1048576,3,FALSE)),2)</f>
        <v>0</v>
      </c>
      <c r="L236" s="2">
        <f>Table15781012[[#This Row],[Period]]+$E$9</f>
        <v>232</v>
      </c>
      <c r="M236" s="3">
        <f>Table15781012[[#This Row],[Defaulted Principal]]-Table15781012[[#This Row],[Estimated Loss]]</f>
        <v>0</v>
      </c>
      <c r="N236" s="3">
        <f>IFERROR(VLOOKUP(Table15781012[[#This Row],[Period]],$L$16:$M$385,2,FALSE),0)</f>
        <v>0</v>
      </c>
      <c r="O236" s="3">
        <f>Table15781012[[#This Row],[Beginning Balance]]-Table15781012[[#This Row],[Principal]]-Table15781012[[#This Row],[Prepayments]]-Table15781012[[#This Row],[Defaulted Principal]]</f>
        <v>0</v>
      </c>
      <c r="P236" s="3">
        <f>Table15781012[[#This Row],[Principal]]+Table15781012[[#This Row],[Interest]]+Table15781012[[#This Row],[Prepayments]]+Table15781012[[#This Row],[RecoveredAmount]]</f>
        <v>0</v>
      </c>
      <c r="Q236" s="3">
        <f ca="1">ROUND(Table15781012[[#This Row],[Cash Flow]]/((1+ActualRateToUse)^(IF(ISNUMBER(SEARCH("Actual",$C$7)),Table15781012[[#This Row],[Running Total]]/365,Table15781012[[#This Row],[Period]]/12))),2)</f>
        <v>0</v>
      </c>
      <c r="R236" s="2">
        <f>IF(MONTH(Table15781012[[#This Row],[Date]])=2,28,DAY(DATE(YEAR(Table15781012[[#This Row],[Date]]),MONTH(Table15781012[[#This Row],[Date]])+1,1)-1))</f>
        <v>31</v>
      </c>
      <c r="S236" s="2">
        <f ca="1">SUM(OFFSET(Table15781012[[#Headers],[Days in month]],1,0):Table15781012[[#This Row],[Days in month]])</f>
        <v>6693</v>
      </c>
      <c r="T236" s="37">
        <f>InterestRate*AmortizationMultiplier*IF(ISNUMBER(SEARCH("Actual",$C$7)),Table15781012[[#This Row],[Days in month]]/365,1/12)</f>
        <v>6.0708333333333326E-3</v>
      </c>
    </row>
    <row r="237" spans="2:20" x14ac:dyDescent="0.2">
      <c r="B237" s="1">
        <f t="shared" si="10"/>
        <v>52565</v>
      </c>
      <c r="C237" s="2">
        <f t="shared" si="12"/>
        <v>221</v>
      </c>
      <c r="D237" s="3">
        <f t="shared" si="11"/>
        <v>0</v>
      </c>
      <c r="E237" s="3">
        <f>ROUND(Table15781012[[#This Row],[Beginning Balance]]*Table15781012[[#This Row],[Monthly Interest Rate]],2)</f>
        <v>0</v>
      </c>
      <c r="F237" s="3">
        <f t="shared" si="13"/>
        <v>131</v>
      </c>
      <c r="G237" s="23">
        <f>IFERROR(IF($C$13="No","N/A",IF(Table15781012[[#This Row],[Period]]=1,$C$6,PMT(InterestRate*AmortizationMultiplier/12,Table15781012[[#This Row],[Am Thru]],-Table15781012[[#This Row],[Beginning Balance]]))),0)</f>
        <v>0</v>
      </c>
      <c r="H237" s="3">
        <f>MAX(0,IF(C237=$C$4,D237,ROUND(IF($C$3="Fixed Principal",$C$6-Table15781012[[#This Row],[Interest]],IF($C$3="Interest Only",Table15781012[[#This Row],[Beginning Balance]]*ROUND(1-(1-IF($C$11="No",$E$8,1))^(1/12),6),MIN(IF($C$13="Yes",Table15781012[[#This Row],[Payment Amount (Reamortized)]],$C$6)-Table15781012[[#This Row],[Interest]],Table15781012[[#This Row],[Beginning Balance]]))),2)))</f>
        <v>0</v>
      </c>
      <c r="I237" s="3">
        <f>_xlfn.SINGLE(IF($C$3="Line of Credit",0,ROUND(MAX(MIN(IF($C$10="No",$E$7,VLOOKUP(Table15781012[[#This Row],[Period]],Forecast!$H$2:$L$1048576,4,FALSE))*Table15781012[[#This Row],[Beginning Balance]],Table15781012[[#This Row],[Beginning Balance]]-Table15781012[[#This Row],[Principal]]),0),2)))</f>
        <v>0</v>
      </c>
      <c r="J237" s="3">
        <f>ROUND(MIN(Table15781012[[#This Row],[Beginning Balance]]*IF($C$8="No",$E$3,VLOOKUP(Table15781012[[#This Row],[Period]],Forecast!$H$2:$L$1048576,2,FALSE)),Table15781012[[#This Row],[Beginning Balance]]-Table15781012[[#This Row],[Principal]]-Table15781012[[#This Row],[Prepayments]]),2)</f>
        <v>0</v>
      </c>
      <c r="K237" s="3">
        <f>ROUND(Table15781012[[#This Row],[Defaulted Principal]]*IF($C$9="No",$E$4,VLOOKUP(Table15781012[[#This Row],[Period]],Forecast!$H$2:$L$1048576,3,FALSE)),2)</f>
        <v>0</v>
      </c>
      <c r="L237" s="2">
        <f>Table15781012[[#This Row],[Period]]+$E$9</f>
        <v>233</v>
      </c>
      <c r="M237" s="3">
        <f>Table15781012[[#This Row],[Defaulted Principal]]-Table15781012[[#This Row],[Estimated Loss]]</f>
        <v>0</v>
      </c>
      <c r="N237" s="3">
        <f>IFERROR(VLOOKUP(Table15781012[[#This Row],[Period]],$L$16:$M$385,2,FALSE),0)</f>
        <v>0</v>
      </c>
      <c r="O237" s="3">
        <f>Table15781012[[#This Row],[Beginning Balance]]-Table15781012[[#This Row],[Principal]]-Table15781012[[#This Row],[Prepayments]]-Table15781012[[#This Row],[Defaulted Principal]]</f>
        <v>0</v>
      </c>
      <c r="P237" s="3">
        <f>Table15781012[[#This Row],[Principal]]+Table15781012[[#This Row],[Interest]]+Table15781012[[#This Row],[Prepayments]]+Table15781012[[#This Row],[RecoveredAmount]]</f>
        <v>0</v>
      </c>
      <c r="Q237" s="3">
        <f ca="1">ROUND(Table15781012[[#This Row],[Cash Flow]]/((1+ActualRateToUse)^(IF(ISNUMBER(SEARCH("Actual",$C$7)),Table15781012[[#This Row],[Running Total]]/365,Table15781012[[#This Row],[Period]]/12))),2)</f>
        <v>0</v>
      </c>
      <c r="R237" s="2">
        <f>IF(MONTH(Table15781012[[#This Row],[Date]])=2,28,DAY(DATE(YEAR(Table15781012[[#This Row],[Date]]),MONTH(Table15781012[[#This Row],[Date]])+1,1)-1))</f>
        <v>30</v>
      </c>
      <c r="S237" s="2">
        <f ca="1">SUM(OFFSET(Table15781012[[#Headers],[Days in month]],1,0):Table15781012[[#This Row],[Days in month]])</f>
        <v>6723</v>
      </c>
      <c r="T237" s="37">
        <f>InterestRate*AmortizationMultiplier*IF(ISNUMBER(SEARCH("Actual",$C$7)),Table15781012[[#This Row],[Days in month]]/365,1/12)</f>
        <v>5.8749999999999991E-3</v>
      </c>
    </row>
    <row r="238" spans="2:20" x14ac:dyDescent="0.2">
      <c r="B238" s="1">
        <f t="shared" si="10"/>
        <v>52596</v>
      </c>
      <c r="C238" s="2">
        <f t="shared" si="12"/>
        <v>222</v>
      </c>
      <c r="D238" s="3">
        <f t="shared" si="11"/>
        <v>0</v>
      </c>
      <c r="E238" s="3">
        <f>ROUND(Table15781012[[#This Row],[Beginning Balance]]*Table15781012[[#This Row],[Monthly Interest Rate]],2)</f>
        <v>0</v>
      </c>
      <c r="F238" s="3">
        <f t="shared" si="13"/>
        <v>130</v>
      </c>
      <c r="G238" s="23">
        <f>IFERROR(IF($C$13="No","N/A",IF(Table15781012[[#This Row],[Period]]=1,$C$6,PMT(InterestRate*AmortizationMultiplier/12,Table15781012[[#This Row],[Am Thru]],-Table15781012[[#This Row],[Beginning Balance]]))),0)</f>
        <v>0</v>
      </c>
      <c r="H238" s="3">
        <f>MAX(0,IF(C238=$C$4,D238,ROUND(IF($C$3="Fixed Principal",$C$6-Table15781012[[#This Row],[Interest]],IF($C$3="Interest Only",Table15781012[[#This Row],[Beginning Balance]]*ROUND(1-(1-IF($C$11="No",$E$8,1))^(1/12),6),MIN(IF($C$13="Yes",Table15781012[[#This Row],[Payment Amount (Reamortized)]],$C$6)-Table15781012[[#This Row],[Interest]],Table15781012[[#This Row],[Beginning Balance]]))),2)))</f>
        <v>0</v>
      </c>
      <c r="I238" s="3">
        <f>_xlfn.SINGLE(IF($C$3="Line of Credit",0,ROUND(MAX(MIN(IF($C$10="No",$E$7,VLOOKUP(Table15781012[[#This Row],[Period]],Forecast!$H$2:$L$1048576,4,FALSE))*Table15781012[[#This Row],[Beginning Balance]],Table15781012[[#This Row],[Beginning Balance]]-Table15781012[[#This Row],[Principal]]),0),2)))</f>
        <v>0</v>
      </c>
      <c r="J238" s="3">
        <f>ROUND(MIN(Table15781012[[#This Row],[Beginning Balance]]*IF($C$8="No",$E$3,VLOOKUP(Table15781012[[#This Row],[Period]],Forecast!$H$2:$L$1048576,2,FALSE)),Table15781012[[#This Row],[Beginning Balance]]-Table15781012[[#This Row],[Principal]]-Table15781012[[#This Row],[Prepayments]]),2)</f>
        <v>0</v>
      </c>
      <c r="K238" s="3">
        <f>ROUND(Table15781012[[#This Row],[Defaulted Principal]]*IF($C$9="No",$E$4,VLOOKUP(Table15781012[[#This Row],[Period]],Forecast!$H$2:$L$1048576,3,FALSE)),2)</f>
        <v>0</v>
      </c>
      <c r="L238" s="2">
        <f>Table15781012[[#This Row],[Period]]+$E$9</f>
        <v>234</v>
      </c>
      <c r="M238" s="3">
        <f>Table15781012[[#This Row],[Defaulted Principal]]-Table15781012[[#This Row],[Estimated Loss]]</f>
        <v>0</v>
      </c>
      <c r="N238" s="3">
        <f>IFERROR(VLOOKUP(Table15781012[[#This Row],[Period]],$L$16:$M$385,2,FALSE),0)</f>
        <v>0</v>
      </c>
      <c r="O238" s="3">
        <f>Table15781012[[#This Row],[Beginning Balance]]-Table15781012[[#This Row],[Principal]]-Table15781012[[#This Row],[Prepayments]]-Table15781012[[#This Row],[Defaulted Principal]]</f>
        <v>0</v>
      </c>
      <c r="P238" s="3">
        <f>Table15781012[[#This Row],[Principal]]+Table15781012[[#This Row],[Interest]]+Table15781012[[#This Row],[Prepayments]]+Table15781012[[#This Row],[RecoveredAmount]]</f>
        <v>0</v>
      </c>
      <c r="Q238" s="3">
        <f ca="1">ROUND(Table15781012[[#This Row],[Cash Flow]]/((1+ActualRateToUse)^(IF(ISNUMBER(SEARCH("Actual",$C$7)),Table15781012[[#This Row],[Running Total]]/365,Table15781012[[#This Row],[Period]]/12))),2)</f>
        <v>0</v>
      </c>
      <c r="R238" s="2">
        <f>IF(MONTH(Table15781012[[#This Row],[Date]])=2,28,DAY(DATE(YEAR(Table15781012[[#This Row],[Date]]),MONTH(Table15781012[[#This Row],[Date]])+1,1)-1))</f>
        <v>31</v>
      </c>
      <c r="S238" s="2">
        <f ca="1">SUM(OFFSET(Table15781012[[#Headers],[Days in month]],1,0):Table15781012[[#This Row],[Days in month]])</f>
        <v>6754</v>
      </c>
      <c r="T238" s="37">
        <f>InterestRate*AmortizationMultiplier*IF(ISNUMBER(SEARCH("Actual",$C$7)),Table15781012[[#This Row],[Days in month]]/365,1/12)</f>
        <v>6.0708333333333326E-3</v>
      </c>
    </row>
    <row r="239" spans="2:20" x14ac:dyDescent="0.2">
      <c r="B239" s="1">
        <f t="shared" si="10"/>
        <v>52627</v>
      </c>
      <c r="C239" s="2">
        <f t="shared" si="12"/>
        <v>223</v>
      </c>
      <c r="D239" s="3">
        <f t="shared" si="11"/>
        <v>0</v>
      </c>
      <c r="E239" s="3">
        <f>ROUND(Table15781012[[#This Row],[Beginning Balance]]*Table15781012[[#This Row],[Monthly Interest Rate]],2)</f>
        <v>0</v>
      </c>
      <c r="F239" s="3">
        <f t="shared" si="13"/>
        <v>129</v>
      </c>
      <c r="G239" s="23">
        <f>IFERROR(IF($C$13="No","N/A",IF(Table15781012[[#This Row],[Period]]=1,$C$6,PMT(InterestRate*AmortizationMultiplier/12,Table15781012[[#This Row],[Am Thru]],-Table15781012[[#This Row],[Beginning Balance]]))),0)</f>
        <v>0</v>
      </c>
      <c r="H239" s="3">
        <f>MAX(0,IF(C239=$C$4,D239,ROUND(IF($C$3="Fixed Principal",$C$6-Table15781012[[#This Row],[Interest]],IF($C$3="Interest Only",Table15781012[[#This Row],[Beginning Balance]]*ROUND(1-(1-IF($C$11="No",$E$8,1))^(1/12),6),MIN(IF($C$13="Yes",Table15781012[[#This Row],[Payment Amount (Reamortized)]],$C$6)-Table15781012[[#This Row],[Interest]],Table15781012[[#This Row],[Beginning Balance]]))),2)))</f>
        <v>0</v>
      </c>
      <c r="I239" s="3">
        <f>_xlfn.SINGLE(IF($C$3="Line of Credit",0,ROUND(MAX(MIN(IF($C$10="No",$E$7,VLOOKUP(Table15781012[[#This Row],[Period]],Forecast!$H$2:$L$1048576,4,FALSE))*Table15781012[[#This Row],[Beginning Balance]],Table15781012[[#This Row],[Beginning Balance]]-Table15781012[[#This Row],[Principal]]),0),2)))</f>
        <v>0</v>
      </c>
      <c r="J239" s="3">
        <f>ROUND(MIN(Table15781012[[#This Row],[Beginning Balance]]*IF($C$8="No",$E$3,VLOOKUP(Table15781012[[#This Row],[Period]],Forecast!$H$2:$L$1048576,2,FALSE)),Table15781012[[#This Row],[Beginning Balance]]-Table15781012[[#This Row],[Principal]]-Table15781012[[#This Row],[Prepayments]]),2)</f>
        <v>0</v>
      </c>
      <c r="K239" s="3">
        <f>ROUND(Table15781012[[#This Row],[Defaulted Principal]]*IF($C$9="No",$E$4,VLOOKUP(Table15781012[[#This Row],[Period]],Forecast!$H$2:$L$1048576,3,FALSE)),2)</f>
        <v>0</v>
      </c>
      <c r="L239" s="2">
        <f>Table15781012[[#This Row],[Period]]+$E$9</f>
        <v>235</v>
      </c>
      <c r="M239" s="3">
        <f>Table15781012[[#This Row],[Defaulted Principal]]-Table15781012[[#This Row],[Estimated Loss]]</f>
        <v>0</v>
      </c>
      <c r="N239" s="3">
        <f>IFERROR(VLOOKUP(Table15781012[[#This Row],[Period]],$L$16:$M$385,2,FALSE),0)</f>
        <v>0</v>
      </c>
      <c r="O239" s="3">
        <f>Table15781012[[#This Row],[Beginning Balance]]-Table15781012[[#This Row],[Principal]]-Table15781012[[#This Row],[Prepayments]]-Table15781012[[#This Row],[Defaulted Principal]]</f>
        <v>0</v>
      </c>
      <c r="P239" s="3">
        <f>Table15781012[[#This Row],[Principal]]+Table15781012[[#This Row],[Interest]]+Table15781012[[#This Row],[Prepayments]]+Table15781012[[#This Row],[RecoveredAmount]]</f>
        <v>0</v>
      </c>
      <c r="Q239" s="3">
        <f ca="1">ROUND(Table15781012[[#This Row],[Cash Flow]]/((1+ActualRateToUse)^(IF(ISNUMBER(SEARCH("Actual",$C$7)),Table15781012[[#This Row],[Running Total]]/365,Table15781012[[#This Row],[Period]]/12))),2)</f>
        <v>0</v>
      </c>
      <c r="R239" s="2">
        <f>IF(MONTH(Table15781012[[#This Row],[Date]])=2,28,DAY(DATE(YEAR(Table15781012[[#This Row],[Date]]),MONTH(Table15781012[[#This Row],[Date]])+1,1)-1))</f>
        <v>31</v>
      </c>
      <c r="S239" s="2">
        <f ca="1">SUM(OFFSET(Table15781012[[#Headers],[Days in month]],1,0):Table15781012[[#This Row],[Days in month]])</f>
        <v>6785</v>
      </c>
      <c r="T239" s="37">
        <f>InterestRate*AmortizationMultiplier*IF(ISNUMBER(SEARCH("Actual",$C$7)),Table15781012[[#This Row],[Days in month]]/365,1/12)</f>
        <v>6.0708333333333326E-3</v>
      </c>
    </row>
    <row r="240" spans="2:20" x14ac:dyDescent="0.2">
      <c r="B240" s="1">
        <f t="shared" si="10"/>
        <v>52656</v>
      </c>
      <c r="C240" s="2">
        <f t="shared" si="12"/>
        <v>224</v>
      </c>
      <c r="D240" s="3">
        <f t="shared" si="11"/>
        <v>0</v>
      </c>
      <c r="E240" s="3">
        <f>ROUND(Table15781012[[#This Row],[Beginning Balance]]*Table15781012[[#This Row],[Monthly Interest Rate]],2)</f>
        <v>0</v>
      </c>
      <c r="F240" s="3">
        <f t="shared" si="13"/>
        <v>128</v>
      </c>
      <c r="G240" s="23">
        <f>IFERROR(IF($C$13="No","N/A",IF(Table15781012[[#This Row],[Period]]=1,$C$6,PMT(InterestRate*AmortizationMultiplier/12,Table15781012[[#This Row],[Am Thru]],-Table15781012[[#This Row],[Beginning Balance]]))),0)</f>
        <v>0</v>
      </c>
      <c r="H240" s="3">
        <f>MAX(0,IF(C240=$C$4,D240,ROUND(IF($C$3="Fixed Principal",$C$6-Table15781012[[#This Row],[Interest]],IF($C$3="Interest Only",Table15781012[[#This Row],[Beginning Balance]]*ROUND(1-(1-IF($C$11="No",$E$8,1))^(1/12),6),MIN(IF($C$13="Yes",Table15781012[[#This Row],[Payment Amount (Reamortized)]],$C$6)-Table15781012[[#This Row],[Interest]],Table15781012[[#This Row],[Beginning Balance]]))),2)))</f>
        <v>0</v>
      </c>
      <c r="I240" s="3">
        <f>_xlfn.SINGLE(IF($C$3="Line of Credit",0,ROUND(MAX(MIN(IF($C$10="No",$E$7,VLOOKUP(Table15781012[[#This Row],[Period]],Forecast!$H$2:$L$1048576,4,FALSE))*Table15781012[[#This Row],[Beginning Balance]],Table15781012[[#This Row],[Beginning Balance]]-Table15781012[[#This Row],[Principal]]),0),2)))</f>
        <v>0</v>
      </c>
      <c r="J240" s="3">
        <f>ROUND(MIN(Table15781012[[#This Row],[Beginning Balance]]*IF($C$8="No",$E$3,VLOOKUP(Table15781012[[#This Row],[Period]],Forecast!$H$2:$L$1048576,2,FALSE)),Table15781012[[#This Row],[Beginning Balance]]-Table15781012[[#This Row],[Principal]]-Table15781012[[#This Row],[Prepayments]]),2)</f>
        <v>0</v>
      </c>
      <c r="K240" s="3">
        <f>ROUND(Table15781012[[#This Row],[Defaulted Principal]]*IF($C$9="No",$E$4,VLOOKUP(Table15781012[[#This Row],[Period]],Forecast!$H$2:$L$1048576,3,FALSE)),2)</f>
        <v>0</v>
      </c>
      <c r="L240" s="2">
        <f>Table15781012[[#This Row],[Period]]+$E$9</f>
        <v>236</v>
      </c>
      <c r="M240" s="3">
        <f>Table15781012[[#This Row],[Defaulted Principal]]-Table15781012[[#This Row],[Estimated Loss]]</f>
        <v>0</v>
      </c>
      <c r="N240" s="3">
        <f>IFERROR(VLOOKUP(Table15781012[[#This Row],[Period]],$L$16:$M$385,2,FALSE),0)</f>
        <v>0</v>
      </c>
      <c r="O240" s="3">
        <f>Table15781012[[#This Row],[Beginning Balance]]-Table15781012[[#This Row],[Principal]]-Table15781012[[#This Row],[Prepayments]]-Table15781012[[#This Row],[Defaulted Principal]]</f>
        <v>0</v>
      </c>
      <c r="P240" s="3">
        <f>Table15781012[[#This Row],[Principal]]+Table15781012[[#This Row],[Interest]]+Table15781012[[#This Row],[Prepayments]]+Table15781012[[#This Row],[RecoveredAmount]]</f>
        <v>0</v>
      </c>
      <c r="Q240" s="3">
        <f ca="1">ROUND(Table15781012[[#This Row],[Cash Flow]]/((1+ActualRateToUse)^(IF(ISNUMBER(SEARCH("Actual",$C$7)),Table15781012[[#This Row],[Running Total]]/365,Table15781012[[#This Row],[Period]]/12))),2)</f>
        <v>0</v>
      </c>
      <c r="R240" s="2">
        <f>IF(MONTH(Table15781012[[#This Row],[Date]])=2,28,DAY(DATE(YEAR(Table15781012[[#This Row],[Date]]),MONTH(Table15781012[[#This Row],[Date]])+1,1)-1))</f>
        <v>28</v>
      </c>
      <c r="S240" s="2">
        <f ca="1">SUM(OFFSET(Table15781012[[#Headers],[Days in month]],1,0):Table15781012[[#This Row],[Days in month]])</f>
        <v>6813</v>
      </c>
      <c r="T240" s="37">
        <f>InterestRate*AmortizationMultiplier*IF(ISNUMBER(SEARCH("Actual",$C$7)),Table15781012[[#This Row],[Days in month]]/365,1/12)</f>
        <v>5.4833333333333331E-3</v>
      </c>
    </row>
    <row r="241" spans="2:20" x14ac:dyDescent="0.2">
      <c r="B241" s="1">
        <f t="shared" si="10"/>
        <v>52687</v>
      </c>
      <c r="C241" s="2">
        <f t="shared" si="12"/>
        <v>225</v>
      </c>
      <c r="D241" s="3">
        <f t="shared" si="11"/>
        <v>0</v>
      </c>
      <c r="E241" s="3">
        <f>ROUND(Table15781012[[#This Row],[Beginning Balance]]*Table15781012[[#This Row],[Monthly Interest Rate]],2)</f>
        <v>0</v>
      </c>
      <c r="F241" s="3">
        <f t="shared" si="13"/>
        <v>127</v>
      </c>
      <c r="G241" s="23">
        <f>IFERROR(IF($C$13="No","N/A",IF(Table15781012[[#This Row],[Period]]=1,$C$6,PMT(InterestRate*AmortizationMultiplier/12,Table15781012[[#This Row],[Am Thru]],-Table15781012[[#This Row],[Beginning Balance]]))),0)</f>
        <v>0</v>
      </c>
      <c r="H241" s="3">
        <f>MAX(0,IF(C241=$C$4,D241,ROUND(IF($C$3="Fixed Principal",$C$6-Table15781012[[#This Row],[Interest]],IF($C$3="Interest Only",Table15781012[[#This Row],[Beginning Balance]]*ROUND(1-(1-IF($C$11="No",$E$8,1))^(1/12),6),MIN(IF($C$13="Yes",Table15781012[[#This Row],[Payment Amount (Reamortized)]],$C$6)-Table15781012[[#This Row],[Interest]],Table15781012[[#This Row],[Beginning Balance]]))),2)))</f>
        <v>0</v>
      </c>
      <c r="I241" s="3">
        <f>_xlfn.SINGLE(IF($C$3="Line of Credit",0,ROUND(MAX(MIN(IF($C$10="No",$E$7,VLOOKUP(Table15781012[[#This Row],[Period]],Forecast!$H$2:$L$1048576,4,FALSE))*Table15781012[[#This Row],[Beginning Balance]],Table15781012[[#This Row],[Beginning Balance]]-Table15781012[[#This Row],[Principal]]),0),2)))</f>
        <v>0</v>
      </c>
      <c r="J241" s="3">
        <f>ROUND(MIN(Table15781012[[#This Row],[Beginning Balance]]*IF($C$8="No",$E$3,VLOOKUP(Table15781012[[#This Row],[Period]],Forecast!$H$2:$L$1048576,2,FALSE)),Table15781012[[#This Row],[Beginning Balance]]-Table15781012[[#This Row],[Principal]]-Table15781012[[#This Row],[Prepayments]]),2)</f>
        <v>0</v>
      </c>
      <c r="K241" s="3">
        <f>ROUND(Table15781012[[#This Row],[Defaulted Principal]]*IF($C$9="No",$E$4,VLOOKUP(Table15781012[[#This Row],[Period]],Forecast!$H$2:$L$1048576,3,FALSE)),2)</f>
        <v>0</v>
      </c>
      <c r="L241" s="2">
        <f>Table15781012[[#This Row],[Period]]+$E$9</f>
        <v>237</v>
      </c>
      <c r="M241" s="3">
        <f>Table15781012[[#This Row],[Defaulted Principal]]-Table15781012[[#This Row],[Estimated Loss]]</f>
        <v>0</v>
      </c>
      <c r="N241" s="3">
        <f>IFERROR(VLOOKUP(Table15781012[[#This Row],[Period]],$L$16:$M$385,2,FALSE),0)</f>
        <v>0</v>
      </c>
      <c r="O241" s="3">
        <f>Table15781012[[#This Row],[Beginning Balance]]-Table15781012[[#This Row],[Principal]]-Table15781012[[#This Row],[Prepayments]]-Table15781012[[#This Row],[Defaulted Principal]]</f>
        <v>0</v>
      </c>
      <c r="P241" s="3">
        <f>Table15781012[[#This Row],[Principal]]+Table15781012[[#This Row],[Interest]]+Table15781012[[#This Row],[Prepayments]]+Table15781012[[#This Row],[RecoveredAmount]]</f>
        <v>0</v>
      </c>
      <c r="Q241" s="3">
        <f ca="1">ROUND(Table15781012[[#This Row],[Cash Flow]]/((1+ActualRateToUse)^(IF(ISNUMBER(SEARCH("Actual",$C$7)),Table15781012[[#This Row],[Running Total]]/365,Table15781012[[#This Row],[Period]]/12))),2)</f>
        <v>0</v>
      </c>
      <c r="R241" s="2">
        <f>IF(MONTH(Table15781012[[#This Row],[Date]])=2,28,DAY(DATE(YEAR(Table15781012[[#This Row],[Date]]),MONTH(Table15781012[[#This Row],[Date]])+1,1)-1))</f>
        <v>31</v>
      </c>
      <c r="S241" s="2">
        <f ca="1">SUM(OFFSET(Table15781012[[#Headers],[Days in month]],1,0):Table15781012[[#This Row],[Days in month]])</f>
        <v>6844</v>
      </c>
      <c r="T241" s="37">
        <f>InterestRate*AmortizationMultiplier*IF(ISNUMBER(SEARCH("Actual",$C$7)),Table15781012[[#This Row],[Days in month]]/365,1/12)</f>
        <v>6.0708333333333326E-3</v>
      </c>
    </row>
    <row r="242" spans="2:20" x14ac:dyDescent="0.2">
      <c r="B242" s="1">
        <f t="shared" si="10"/>
        <v>52717</v>
      </c>
      <c r="C242" s="2">
        <f t="shared" si="12"/>
        <v>226</v>
      </c>
      <c r="D242" s="3">
        <f t="shared" si="11"/>
        <v>0</v>
      </c>
      <c r="E242" s="3">
        <f>ROUND(Table15781012[[#This Row],[Beginning Balance]]*Table15781012[[#This Row],[Monthly Interest Rate]],2)</f>
        <v>0</v>
      </c>
      <c r="F242" s="3">
        <f t="shared" si="13"/>
        <v>126</v>
      </c>
      <c r="G242" s="23">
        <f>IFERROR(IF($C$13="No","N/A",IF(Table15781012[[#This Row],[Period]]=1,$C$6,PMT(InterestRate*AmortizationMultiplier/12,Table15781012[[#This Row],[Am Thru]],-Table15781012[[#This Row],[Beginning Balance]]))),0)</f>
        <v>0</v>
      </c>
      <c r="H242" s="3">
        <f>MAX(0,IF(C242=$C$4,D242,ROUND(IF($C$3="Fixed Principal",$C$6-Table15781012[[#This Row],[Interest]],IF($C$3="Interest Only",Table15781012[[#This Row],[Beginning Balance]]*ROUND(1-(1-IF($C$11="No",$E$8,1))^(1/12),6),MIN(IF($C$13="Yes",Table15781012[[#This Row],[Payment Amount (Reamortized)]],$C$6)-Table15781012[[#This Row],[Interest]],Table15781012[[#This Row],[Beginning Balance]]))),2)))</f>
        <v>0</v>
      </c>
      <c r="I242" s="3">
        <f>_xlfn.SINGLE(IF($C$3="Line of Credit",0,ROUND(MAX(MIN(IF($C$10="No",$E$7,VLOOKUP(Table15781012[[#This Row],[Period]],Forecast!$H$2:$L$1048576,4,FALSE))*Table15781012[[#This Row],[Beginning Balance]],Table15781012[[#This Row],[Beginning Balance]]-Table15781012[[#This Row],[Principal]]),0),2)))</f>
        <v>0</v>
      </c>
      <c r="J242" s="3">
        <f>ROUND(MIN(Table15781012[[#This Row],[Beginning Balance]]*IF($C$8="No",$E$3,VLOOKUP(Table15781012[[#This Row],[Period]],Forecast!$H$2:$L$1048576,2,FALSE)),Table15781012[[#This Row],[Beginning Balance]]-Table15781012[[#This Row],[Principal]]-Table15781012[[#This Row],[Prepayments]]),2)</f>
        <v>0</v>
      </c>
      <c r="K242" s="3">
        <f>ROUND(Table15781012[[#This Row],[Defaulted Principal]]*IF($C$9="No",$E$4,VLOOKUP(Table15781012[[#This Row],[Period]],Forecast!$H$2:$L$1048576,3,FALSE)),2)</f>
        <v>0</v>
      </c>
      <c r="L242" s="2">
        <f>Table15781012[[#This Row],[Period]]+$E$9</f>
        <v>238</v>
      </c>
      <c r="M242" s="3">
        <f>Table15781012[[#This Row],[Defaulted Principal]]-Table15781012[[#This Row],[Estimated Loss]]</f>
        <v>0</v>
      </c>
      <c r="N242" s="3">
        <f>IFERROR(VLOOKUP(Table15781012[[#This Row],[Period]],$L$16:$M$385,2,FALSE),0)</f>
        <v>0</v>
      </c>
      <c r="O242" s="3">
        <f>Table15781012[[#This Row],[Beginning Balance]]-Table15781012[[#This Row],[Principal]]-Table15781012[[#This Row],[Prepayments]]-Table15781012[[#This Row],[Defaulted Principal]]</f>
        <v>0</v>
      </c>
      <c r="P242" s="3">
        <f>Table15781012[[#This Row],[Principal]]+Table15781012[[#This Row],[Interest]]+Table15781012[[#This Row],[Prepayments]]+Table15781012[[#This Row],[RecoveredAmount]]</f>
        <v>0</v>
      </c>
      <c r="Q242" s="3">
        <f ca="1">ROUND(Table15781012[[#This Row],[Cash Flow]]/((1+ActualRateToUse)^(IF(ISNUMBER(SEARCH("Actual",$C$7)),Table15781012[[#This Row],[Running Total]]/365,Table15781012[[#This Row],[Period]]/12))),2)</f>
        <v>0</v>
      </c>
      <c r="R242" s="2">
        <f>IF(MONTH(Table15781012[[#This Row],[Date]])=2,28,DAY(DATE(YEAR(Table15781012[[#This Row],[Date]]),MONTH(Table15781012[[#This Row],[Date]])+1,1)-1))</f>
        <v>30</v>
      </c>
      <c r="S242" s="2">
        <f ca="1">SUM(OFFSET(Table15781012[[#Headers],[Days in month]],1,0):Table15781012[[#This Row],[Days in month]])</f>
        <v>6874</v>
      </c>
      <c r="T242" s="37">
        <f>InterestRate*AmortizationMultiplier*IF(ISNUMBER(SEARCH("Actual",$C$7)),Table15781012[[#This Row],[Days in month]]/365,1/12)</f>
        <v>5.8749999999999991E-3</v>
      </c>
    </row>
    <row r="243" spans="2:20" x14ac:dyDescent="0.2">
      <c r="B243" s="1">
        <f t="shared" si="10"/>
        <v>52748</v>
      </c>
      <c r="C243" s="2">
        <f t="shared" si="12"/>
        <v>227</v>
      </c>
      <c r="D243" s="3">
        <f t="shared" si="11"/>
        <v>0</v>
      </c>
      <c r="E243" s="3">
        <f>ROUND(Table15781012[[#This Row],[Beginning Balance]]*Table15781012[[#This Row],[Monthly Interest Rate]],2)</f>
        <v>0</v>
      </c>
      <c r="F243" s="3">
        <f t="shared" si="13"/>
        <v>125</v>
      </c>
      <c r="G243" s="23">
        <f>IFERROR(IF($C$13="No","N/A",IF(Table15781012[[#This Row],[Period]]=1,$C$6,PMT(InterestRate*AmortizationMultiplier/12,Table15781012[[#This Row],[Am Thru]],-Table15781012[[#This Row],[Beginning Balance]]))),0)</f>
        <v>0</v>
      </c>
      <c r="H243" s="3">
        <f>MAX(0,IF(C243=$C$4,D243,ROUND(IF($C$3="Fixed Principal",$C$6-Table15781012[[#This Row],[Interest]],IF($C$3="Interest Only",Table15781012[[#This Row],[Beginning Balance]]*ROUND(1-(1-IF($C$11="No",$E$8,1))^(1/12),6),MIN(IF($C$13="Yes",Table15781012[[#This Row],[Payment Amount (Reamortized)]],$C$6)-Table15781012[[#This Row],[Interest]],Table15781012[[#This Row],[Beginning Balance]]))),2)))</f>
        <v>0</v>
      </c>
      <c r="I243" s="3">
        <f>_xlfn.SINGLE(IF($C$3="Line of Credit",0,ROUND(MAX(MIN(IF($C$10="No",$E$7,VLOOKUP(Table15781012[[#This Row],[Period]],Forecast!$H$2:$L$1048576,4,FALSE))*Table15781012[[#This Row],[Beginning Balance]],Table15781012[[#This Row],[Beginning Balance]]-Table15781012[[#This Row],[Principal]]),0),2)))</f>
        <v>0</v>
      </c>
      <c r="J243" s="3">
        <f>ROUND(MIN(Table15781012[[#This Row],[Beginning Balance]]*IF($C$8="No",$E$3,VLOOKUP(Table15781012[[#This Row],[Period]],Forecast!$H$2:$L$1048576,2,FALSE)),Table15781012[[#This Row],[Beginning Balance]]-Table15781012[[#This Row],[Principal]]-Table15781012[[#This Row],[Prepayments]]),2)</f>
        <v>0</v>
      </c>
      <c r="K243" s="3">
        <f>ROUND(Table15781012[[#This Row],[Defaulted Principal]]*IF($C$9="No",$E$4,VLOOKUP(Table15781012[[#This Row],[Period]],Forecast!$H$2:$L$1048576,3,FALSE)),2)</f>
        <v>0</v>
      </c>
      <c r="L243" s="2">
        <f>Table15781012[[#This Row],[Period]]+$E$9</f>
        <v>239</v>
      </c>
      <c r="M243" s="3">
        <f>Table15781012[[#This Row],[Defaulted Principal]]-Table15781012[[#This Row],[Estimated Loss]]</f>
        <v>0</v>
      </c>
      <c r="N243" s="3">
        <f>IFERROR(VLOOKUP(Table15781012[[#This Row],[Period]],$L$16:$M$385,2,FALSE),0)</f>
        <v>0</v>
      </c>
      <c r="O243" s="3">
        <f>Table15781012[[#This Row],[Beginning Balance]]-Table15781012[[#This Row],[Principal]]-Table15781012[[#This Row],[Prepayments]]-Table15781012[[#This Row],[Defaulted Principal]]</f>
        <v>0</v>
      </c>
      <c r="P243" s="3">
        <f>Table15781012[[#This Row],[Principal]]+Table15781012[[#This Row],[Interest]]+Table15781012[[#This Row],[Prepayments]]+Table15781012[[#This Row],[RecoveredAmount]]</f>
        <v>0</v>
      </c>
      <c r="Q243" s="3">
        <f ca="1">ROUND(Table15781012[[#This Row],[Cash Flow]]/((1+ActualRateToUse)^(IF(ISNUMBER(SEARCH("Actual",$C$7)),Table15781012[[#This Row],[Running Total]]/365,Table15781012[[#This Row],[Period]]/12))),2)</f>
        <v>0</v>
      </c>
      <c r="R243" s="2">
        <f>IF(MONTH(Table15781012[[#This Row],[Date]])=2,28,DAY(DATE(YEAR(Table15781012[[#This Row],[Date]]),MONTH(Table15781012[[#This Row],[Date]])+1,1)-1))</f>
        <v>31</v>
      </c>
      <c r="S243" s="2">
        <f ca="1">SUM(OFFSET(Table15781012[[#Headers],[Days in month]],1,0):Table15781012[[#This Row],[Days in month]])</f>
        <v>6905</v>
      </c>
      <c r="T243" s="37">
        <f>InterestRate*AmortizationMultiplier*IF(ISNUMBER(SEARCH("Actual",$C$7)),Table15781012[[#This Row],[Days in month]]/365,1/12)</f>
        <v>6.0708333333333326E-3</v>
      </c>
    </row>
    <row r="244" spans="2:20" x14ac:dyDescent="0.2">
      <c r="B244" s="1">
        <f t="shared" si="10"/>
        <v>52778</v>
      </c>
      <c r="C244" s="2">
        <f t="shared" si="12"/>
        <v>228</v>
      </c>
      <c r="D244" s="3">
        <f t="shared" si="11"/>
        <v>0</v>
      </c>
      <c r="E244" s="3">
        <f>ROUND(Table15781012[[#This Row],[Beginning Balance]]*Table15781012[[#This Row],[Monthly Interest Rate]],2)</f>
        <v>0</v>
      </c>
      <c r="F244" s="3">
        <f t="shared" si="13"/>
        <v>124</v>
      </c>
      <c r="G244" s="23">
        <f>IFERROR(IF($C$13="No","N/A",IF(Table15781012[[#This Row],[Period]]=1,$C$6,PMT(InterestRate*AmortizationMultiplier/12,Table15781012[[#This Row],[Am Thru]],-Table15781012[[#This Row],[Beginning Balance]]))),0)</f>
        <v>0</v>
      </c>
      <c r="H244" s="3">
        <f>MAX(0,IF(C244=$C$4,D244,ROUND(IF($C$3="Fixed Principal",$C$6-Table15781012[[#This Row],[Interest]],IF($C$3="Interest Only",Table15781012[[#This Row],[Beginning Balance]]*ROUND(1-(1-IF($C$11="No",$E$8,1))^(1/12),6),MIN(IF($C$13="Yes",Table15781012[[#This Row],[Payment Amount (Reamortized)]],$C$6)-Table15781012[[#This Row],[Interest]],Table15781012[[#This Row],[Beginning Balance]]))),2)))</f>
        <v>0</v>
      </c>
      <c r="I244" s="3">
        <f>_xlfn.SINGLE(IF($C$3="Line of Credit",0,ROUND(MAX(MIN(IF($C$10="No",$E$7,VLOOKUP(Table15781012[[#This Row],[Period]],Forecast!$H$2:$L$1048576,4,FALSE))*Table15781012[[#This Row],[Beginning Balance]],Table15781012[[#This Row],[Beginning Balance]]-Table15781012[[#This Row],[Principal]]),0),2)))</f>
        <v>0</v>
      </c>
      <c r="J244" s="3">
        <f>ROUND(MIN(Table15781012[[#This Row],[Beginning Balance]]*IF($C$8="No",$E$3,VLOOKUP(Table15781012[[#This Row],[Period]],Forecast!$H$2:$L$1048576,2,FALSE)),Table15781012[[#This Row],[Beginning Balance]]-Table15781012[[#This Row],[Principal]]-Table15781012[[#This Row],[Prepayments]]),2)</f>
        <v>0</v>
      </c>
      <c r="K244" s="3">
        <f>ROUND(Table15781012[[#This Row],[Defaulted Principal]]*IF($C$9="No",$E$4,VLOOKUP(Table15781012[[#This Row],[Period]],Forecast!$H$2:$L$1048576,3,FALSE)),2)</f>
        <v>0</v>
      </c>
      <c r="L244" s="2">
        <f>Table15781012[[#This Row],[Period]]+$E$9</f>
        <v>240</v>
      </c>
      <c r="M244" s="3">
        <f>Table15781012[[#This Row],[Defaulted Principal]]-Table15781012[[#This Row],[Estimated Loss]]</f>
        <v>0</v>
      </c>
      <c r="N244" s="3">
        <f>IFERROR(VLOOKUP(Table15781012[[#This Row],[Period]],$L$16:$M$385,2,FALSE),0)</f>
        <v>0</v>
      </c>
      <c r="O244" s="3">
        <f>Table15781012[[#This Row],[Beginning Balance]]-Table15781012[[#This Row],[Principal]]-Table15781012[[#This Row],[Prepayments]]-Table15781012[[#This Row],[Defaulted Principal]]</f>
        <v>0</v>
      </c>
      <c r="P244" s="3">
        <f>Table15781012[[#This Row],[Principal]]+Table15781012[[#This Row],[Interest]]+Table15781012[[#This Row],[Prepayments]]+Table15781012[[#This Row],[RecoveredAmount]]</f>
        <v>0</v>
      </c>
      <c r="Q244" s="3">
        <f ca="1">ROUND(Table15781012[[#This Row],[Cash Flow]]/((1+ActualRateToUse)^(IF(ISNUMBER(SEARCH("Actual",$C$7)),Table15781012[[#This Row],[Running Total]]/365,Table15781012[[#This Row],[Period]]/12))),2)</f>
        <v>0</v>
      </c>
      <c r="R244" s="2">
        <f>IF(MONTH(Table15781012[[#This Row],[Date]])=2,28,DAY(DATE(YEAR(Table15781012[[#This Row],[Date]]),MONTH(Table15781012[[#This Row],[Date]])+1,1)-1))</f>
        <v>30</v>
      </c>
      <c r="S244" s="2">
        <f ca="1">SUM(OFFSET(Table15781012[[#Headers],[Days in month]],1,0):Table15781012[[#This Row],[Days in month]])</f>
        <v>6935</v>
      </c>
      <c r="T244" s="37">
        <f>InterestRate*AmortizationMultiplier*IF(ISNUMBER(SEARCH("Actual",$C$7)),Table15781012[[#This Row],[Days in month]]/365,1/12)</f>
        <v>5.8749999999999991E-3</v>
      </c>
    </row>
    <row r="245" spans="2:20" x14ac:dyDescent="0.2">
      <c r="B245" s="1">
        <f t="shared" si="10"/>
        <v>52809</v>
      </c>
      <c r="C245" s="2">
        <f t="shared" si="12"/>
        <v>229</v>
      </c>
      <c r="D245" s="3">
        <f t="shared" si="11"/>
        <v>0</v>
      </c>
      <c r="E245" s="3">
        <f>ROUND(Table15781012[[#This Row],[Beginning Balance]]*Table15781012[[#This Row],[Monthly Interest Rate]],2)</f>
        <v>0</v>
      </c>
      <c r="F245" s="3">
        <f t="shared" si="13"/>
        <v>123</v>
      </c>
      <c r="G245" s="23">
        <f>IFERROR(IF($C$13="No","N/A",IF(Table15781012[[#This Row],[Period]]=1,$C$6,PMT(InterestRate*AmortizationMultiplier/12,Table15781012[[#This Row],[Am Thru]],-Table15781012[[#This Row],[Beginning Balance]]))),0)</f>
        <v>0</v>
      </c>
      <c r="H245" s="3">
        <f>MAX(0,IF(C245=$C$4,D245,ROUND(IF($C$3="Fixed Principal",$C$6-Table15781012[[#This Row],[Interest]],IF($C$3="Interest Only",Table15781012[[#This Row],[Beginning Balance]]*ROUND(1-(1-IF($C$11="No",$E$8,1))^(1/12),6),MIN(IF($C$13="Yes",Table15781012[[#This Row],[Payment Amount (Reamortized)]],$C$6)-Table15781012[[#This Row],[Interest]],Table15781012[[#This Row],[Beginning Balance]]))),2)))</f>
        <v>0</v>
      </c>
      <c r="I245" s="3">
        <f>_xlfn.SINGLE(IF($C$3="Line of Credit",0,ROUND(MAX(MIN(IF($C$10="No",$E$7,VLOOKUP(Table15781012[[#This Row],[Period]],Forecast!$H$2:$L$1048576,4,FALSE))*Table15781012[[#This Row],[Beginning Balance]],Table15781012[[#This Row],[Beginning Balance]]-Table15781012[[#This Row],[Principal]]),0),2)))</f>
        <v>0</v>
      </c>
      <c r="J245" s="3">
        <f>ROUND(MIN(Table15781012[[#This Row],[Beginning Balance]]*IF($C$8="No",$E$3,VLOOKUP(Table15781012[[#This Row],[Period]],Forecast!$H$2:$L$1048576,2,FALSE)),Table15781012[[#This Row],[Beginning Balance]]-Table15781012[[#This Row],[Principal]]-Table15781012[[#This Row],[Prepayments]]),2)</f>
        <v>0</v>
      </c>
      <c r="K245" s="3">
        <f>ROUND(Table15781012[[#This Row],[Defaulted Principal]]*IF($C$9="No",$E$4,VLOOKUP(Table15781012[[#This Row],[Period]],Forecast!$H$2:$L$1048576,3,FALSE)),2)</f>
        <v>0</v>
      </c>
      <c r="L245" s="2">
        <f>Table15781012[[#This Row],[Period]]+$E$9</f>
        <v>241</v>
      </c>
      <c r="M245" s="3">
        <f>Table15781012[[#This Row],[Defaulted Principal]]-Table15781012[[#This Row],[Estimated Loss]]</f>
        <v>0</v>
      </c>
      <c r="N245" s="3">
        <f>IFERROR(VLOOKUP(Table15781012[[#This Row],[Period]],$L$16:$M$385,2,FALSE),0)</f>
        <v>0</v>
      </c>
      <c r="O245" s="3">
        <f>Table15781012[[#This Row],[Beginning Balance]]-Table15781012[[#This Row],[Principal]]-Table15781012[[#This Row],[Prepayments]]-Table15781012[[#This Row],[Defaulted Principal]]</f>
        <v>0</v>
      </c>
      <c r="P245" s="3">
        <f>Table15781012[[#This Row],[Principal]]+Table15781012[[#This Row],[Interest]]+Table15781012[[#This Row],[Prepayments]]+Table15781012[[#This Row],[RecoveredAmount]]</f>
        <v>0</v>
      </c>
      <c r="Q245" s="3">
        <f ca="1">ROUND(Table15781012[[#This Row],[Cash Flow]]/((1+ActualRateToUse)^(IF(ISNUMBER(SEARCH("Actual",$C$7)),Table15781012[[#This Row],[Running Total]]/365,Table15781012[[#This Row],[Period]]/12))),2)</f>
        <v>0</v>
      </c>
      <c r="R245" s="2">
        <f>IF(MONTH(Table15781012[[#This Row],[Date]])=2,28,DAY(DATE(YEAR(Table15781012[[#This Row],[Date]]),MONTH(Table15781012[[#This Row],[Date]])+1,1)-1))</f>
        <v>31</v>
      </c>
      <c r="S245" s="2">
        <f ca="1">SUM(OFFSET(Table15781012[[#Headers],[Days in month]],1,0):Table15781012[[#This Row],[Days in month]])</f>
        <v>6966</v>
      </c>
      <c r="T245" s="37">
        <f>InterestRate*AmortizationMultiplier*IF(ISNUMBER(SEARCH("Actual",$C$7)),Table15781012[[#This Row],[Days in month]]/365,1/12)</f>
        <v>6.0708333333333326E-3</v>
      </c>
    </row>
    <row r="246" spans="2:20" x14ac:dyDescent="0.2">
      <c r="B246" s="1">
        <f t="shared" si="10"/>
        <v>52840</v>
      </c>
      <c r="C246" s="2">
        <f t="shared" si="12"/>
        <v>230</v>
      </c>
      <c r="D246" s="3">
        <f t="shared" si="11"/>
        <v>0</v>
      </c>
      <c r="E246" s="3">
        <f>ROUND(Table15781012[[#This Row],[Beginning Balance]]*Table15781012[[#This Row],[Monthly Interest Rate]],2)</f>
        <v>0</v>
      </c>
      <c r="F246" s="3">
        <f t="shared" si="13"/>
        <v>122</v>
      </c>
      <c r="G246" s="23">
        <f>IFERROR(IF($C$13="No","N/A",IF(Table15781012[[#This Row],[Period]]=1,$C$6,PMT(InterestRate*AmortizationMultiplier/12,Table15781012[[#This Row],[Am Thru]],-Table15781012[[#This Row],[Beginning Balance]]))),0)</f>
        <v>0</v>
      </c>
      <c r="H246" s="3">
        <f>MAX(0,IF(C246=$C$4,D246,ROUND(IF($C$3="Fixed Principal",$C$6-Table15781012[[#This Row],[Interest]],IF($C$3="Interest Only",Table15781012[[#This Row],[Beginning Balance]]*ROUND(1-(1-IF($C$11="No",$E$8,1))^(1/12),6),MIN(IF($C$13="Yes",Table15781012[[#This Row],[Payment Amount (Reamortized)]],$C$6)-Table15781012[[#This Row],[Interest]],Table15781012[[#This Row],[Beginning Balance]]))),2)))</f>
        <v>0</v>
      </c>
      <c r="I246" s="3">
        <f>_xlfn.SINGLE(IF($C$3="Line of Credit",0,ROUND(MAX(MIN(IF($C$10="No",$E$7,VLOOKUP(Table15781012[[#This Row],[Period]],Forecast!$H$2:$L$1048576,4,FALSE))*Table15781012[[#This Row],[Beginning Balance]],Table15781012[[#This Row],[Beginning Balance]]-Table15781012[[#This Row],[Principal]]),0),2)))</f>
        <v>0</v>
      </c>
      <c r="J246" s="3">
        <f>ROUND(MIN(Table15781012[[#This Row],[Beginning Balance]]*IF($C$8="No",$E$3,VLOOKUP(Table15781012[[#This Row],[Period]],Forecast!$H$2:$L$1048576,2,FALSE)),Table15781012[[#This Row],[Beginning Balance]]-Table15781012[[#This Row],[Principal]]-Table15781012[[#This Row],[Prepayments]]),2)</f>
        <v>0</v>
      </c>
      <c r="K246" s="3">
        <f>ROUND(Table15781012[[#This Row],[Defaulted Principal]]*IF($C$9="No",$E$4,VLOOKUP(Table15781012[[#This Row],[Period]],Forecast!$H$2:$L$1048576,3,FALSE)),2)</f>
        <v>0</v>
      </c>
      <c r="L246" s="2">
        <f>Table15781012[[#This Row],[Period]]+$E$9</f>
        <v>242</v>
      </c>
      <c r="M246" s="3">
        <f>Table15781012[[#This Row],[Defaulted Principal]]-Table15781012[[#This Row],[Estimated Loss]]</f>
        <v>0</v>
      </c>
      <c r="N246" s="3">
        <f>IFERROR(VLOOKUP(Table15781012[[#This Row],[Period]],$L$16:$M$385,2,FALSE),0)</f>
        <v>0</v>
      </c>
      <c r="O246" s="3">
        <f>Table15781012[[#This Row],[Beginning Balance]]-Table15781012[[#This Row],[Principal]]-Table15781012[[#This Row],[Prepayments]]-Table15781012[[#This Row],[Defaulted Principal]]</f>
        <v>0</v>
      </c>
      <c r="P246" s="3">
        <f>Table15781012[[#This Row],[Principal]]+Table15781012[[#This Row],[Interest]]+Table15781012[[#This Row],[Prepayments]]+Table15781012[[#This Row],[RecoveredAmount]]</f>
        <v>0</v>
      </c>
      <c r="Q246" s="3">
        <f ca="1">ROUND(Table15781012[[#This Row],[Cash Flow]]/((1+ActualRateToUse)^(IF(ISNUMBER(SEARCH("Actual",$C$7)),Table15781012[[#This Row],[Running Total]]/365,Table15781012[[#This Row],[Period]]/12))),2)</f>
        <v>0</v>
      </c>
      <c r="R246" s="2">
        <f>IF(MONTH(Table15781012[[#This Row],[Date]])=2,28,DAY(DATE(YEAR(Table15781012[[#This Row],[Date]]),MONTH(Table15781012[[#This Row],[Date]])+1,1)-1))</f>
        <v>31</v>
      </c>
      <c r="S246" s="2">
        <f ca="1">SUM(OFFSET(Table15781012[[#Headers],[Days in month]],1,0):Table15781012[[#This Row],[Days in month]])</f>
        <v>6997</v>
      </c>
      <c r="T246" s="37">
        <f>InterestRate*AmortizationMultiplier*IF(ISNUMBER(SEARCH("Actual",$C$7)),Table15781012[[#This Row],[Days in month]]/365,1/12)</f>
        <v>6.0708333333333326E-3</v>
      </c>
    </row>
    <row r="247" spans="2:20" x14ac:dyDescent="0.2">
      <c r="B247" s="1">
        <f t="shared" si="10"/>
        <v>52870</v>
      </c>
      <c r="C247" s="2">
        <f t="shared" si="12"/>
        <v>231</v>
      </c>
      <c r="D247" s="3">
        <f t="shared" si="11"/>
        <v>0</v>
      </c>
      <c r="E247" s="3">
        <f>ROUND(Table15781012[[#This Row],[Beginning Balance]]*Table15781012[[#This Row],[Monthly Interest Rate]],2)</f>
        <v>0</v>
      </c>
      <c r="F247" s="3">
        <f t="shared" si="13"/>
        <v>121</v>
      </c>
      <c r="G247" s="23">
        <f>IFERROR(IF($C$13="No","N/A",IF(Table15781012[[#This Row],[Period]]=1,$C$6,PMT(InterestRate*AmortizationMultiplier/12,Table15781012[[#This Row],[Am Thru]],-Table15781012[[#This Row],[Beginning Balance]]))),0)</f>
        <v>0</v>
      </c>
      <c r="H247" s="3">
        <f>MAX(0,IF(C247=$C$4,D247,ROUND(IF($C$3="Fixed Principal",$C$6-Table15781012[[#This Row],[Interest]],IF($C$3="Interest Only",Table15781012[[#This Row],[Beginning Balance]]*ROUND(1-(1-IF($C$11="No",$E$8,1))^(1/12),6),MIN(IF($C$13="Yes",Table15781012[[#This Row],[Payment Amount (Reamortized)]],$C$6)-Table15781012[[#This Row],[Interest]],Table15781012[[#This Row],[Beginning Balance]]))),2)))</f>
        <v>0</v>
      </c>
      <c r="I247" s="3">
        <f>_xlfn.SINGLE(IF($C$3="Line of Credit",0,ROUND(MAX(MIN(IF($C$10="No",$E$7,VLOOKUP(Table15781012[[#This Row],[Period]],Forecast!$H$2:$L$1048576,4,FALSE))*Table15781012[[#This Row],[Beginning Balance]],Table15781012[[#This Row],[Beginning Balance]]-Table15781012[[#This Row],[Principal]]),0),2)))</f>
        <v>0</v>
      </c>
      <c r="J247" s="3">
        <f>ROUND(MIN(Table15781012[[#This Row],[Beginning Balance]]*IF($C$8="No",$E$3,VLOOKUP(Table15781012[[#This Row],[Period]],Forecast!$H$2:$L$1048576,2,FALSE)),Table15781012[[#This Row],[Beginning Balance]]-Table15781012[[#This Row],[Principal]]-Table15781012[[#This Row],[Prepayments]]),2)</f>
        <v>0</v>
      </c>
      <c r="K247" s="3">
        <f>ROUND(Table15781012[[#This Row],[Defaulted Principal]]*IF($C$9="No",$E$4,VLOOKUP(Table15781012[[#This Row],[Period]],Forecast!$H$2:$L$1048576,3,FALSE)),2)</f>
        <v>0</v>
      </c>
      <c r="L247" s="2">
        <f>Table15781012[[#This Row],[Period]]+$E$9</f>
        <v>243</v>
      </c>
      <c r="M247" s="3">
        <f>Table15781012[[#This Row],[Defaulted Principal]]-Table15781012[[#This Row],[Estimated Loss]]</f>
        <v>0</v>
      </c>
      <c r="N247" s="3">
        <f>IFERROR(VLOOKUP(Table15781012[[#This Row],[Period]],$L$16:$M$385,2,FALSE),0)</f>
        <v>0</v>
      </c>
      <c r="O247" s="3">
        <f>Table15781012[[#This Row],[Beginning Balance]]-Table15781012[[#This Row],[Principal]]-Table15781012[[#This Row],[Prepayments]]-Table15781012[[#This Row],[Defaulted Principal]]</f>
        <v>0</v>
      </c>
      <c r="P247" s="3">
        <f>Table15781012[[#This Row],[Principal]]+Table15781012[[#This Row],[Interest]]+Table15781012[[#This Row],[Prepayments]]+Table15781012[[#This Row],[RecoveredAmount]]</f>
        <v>0</v>
      </c>
      <c r="Q247" s="3">
        <f ca="1">ROUND(Table15781012[[#This Row],[Cash Flow]]/((1+ActualRateToUse)^(IF(ISNUMBER(SEARCH("Actual",$C$7)),Table15781012[[#This Row],[Running Total]]/365,Table15781012[[#This Row],[Period]]/12))),2)</f>
        <v>0</v>
      </c>
      <c r="R247" s="2">
        <f>IF(MONTH(Table15781012[[#This Row],[Date]])=2,28,DAY(DATE(YEAR(Table15781012[[#This Row],[Date]]),MONTH(Table15781012[[#This Row],[Date]])+1,1)-1))</f>
        <v>30</v>
      </c>
      <c r="S247" s="2">
        <f ca="1">SUM(OFFSET(Table15781012[[#Headers],[Days in month]],1,0):Table15781012[[#This Row],[Days in month]])</f>
        <v>7027</v>
      </c>
      <c r="T247" s="37">
        <f>InterestRate*AmortizationMultiplier*IF(ISNUMBER(SEARCH("Actual",$C$7)),Table15781012[[#This Row],[Days in month]]/365,1/12)</f>
        <v>5.8749999999999991E-3</v>
      </c>
    </row>
    <row r="248" spans="2:20" x14ac:dyDescent="0.2">
      <c r="B248" s="1">
        <f t="shared" si="10"/>
        <v>52901</v>
      </c>
      <c r="C248" s="2">
        <f t="shared" si="12"/>
        <v>232</v>
      </c>
      <c r="D248" s="3">
        <f t="shared" si="11"/>
        <v>0</v>
      </c>
      <c r="E248" s="3">
        <f>ROUND(Table15781012[[#This Row],[Beginning Balance]]*Table15781012[[#This Row],[Monthly Interest Rate]],2)</f>
        <v>0</v>
      </c>
      <c r="F248" s="3">
        <f t="shared" si="13"/>
        <v>120</v>
      </c>
      <c r="G248" s="23">
        <f>IFERROR(IF($C$13="No","N/A",IF(Table15781012[[#This Row],[Period]]=1,$C$6,PMT(InterestRate*AmortizationMultiplier/12,Table15781012[[#This Row],[Am Thru]],-Table15781012[[#This Row],[Beginning Balance]]))),0)</f>
        <v>0</v>
      </c>
      <c r="H248" s="3">
        <f>MAX(0,IF(C248=$C$4,D248,ROUND(IF($C$3="Fixed Principal",$C$6-Table15781012[[#This Row],[Interest]],IF($C$3="Interest Only",Table15781012[[#This Row],[Beginning Balance]]*ROUND(1-(1-IF($C$11="No",$E$8,1))^(1/12),6),MIN(IF($C$13="Yes",Table15781012[[#This Row],[Payment Amount (Reamortized)]],$C$6)-Table15781012[[#This Row],[Interest]],Table15781012[[#This Row],[Beginning Balance]]))),2)))</f>
        <v>0</v>
      </c>
      <c r="I248" s="3">
        <f>_xlfn.SINGLE(IF($C$3="Line of Credit",0,ROUND(MAX(MIN(IF($C$10="No",$E$7,VLOOKUP(Table15781012[[#This Row],[Period]],Forecast!$H$2:$L$1048576,4,FALSE))*Table15781012[[#This Row],[Beginning Balance]],Table15781012[[#This Row],[Beginning Balance]]-Table15781012[[#This Row],[Principal]]),0),2)))</f>
        <v>0</v>
      </c>
      <c r="J248" s="3">
        <f>ROUND(MIN(Table15781012[[#This Row],[Beginning Balance]]*IF($C$8="No",$E$3,VLOOKUP(Table15781012[[#This Row],[Period]],Forecast!$H$2:$L$1048576,2,FALSE)),Table15781012[[#This Row],[Beginning Balance]]-Table15781012[[#This Row],[Principal]]-Table15781012[[#This Row],[Prepayments]]),2)</f>
        <v>0</v>
      </c>
      <c r="K248" s="3">
        <f>ROUND(Table15781012[[#This Row],[Defaulted Principal]]*IF($C$9="No",$E$4,VLOOKUP(Table15781012[[#This Row],[Period]],Forecast!$H$2:$L$1048576,3,FALSE)),2)</f>
        <v>0</v>
      </c>
      <c r="L248" s="2">
        <f>Table15781012[[#This Row],[Period]]+$E$9</f>
        <v>244</v>
      </c>
      <c r="M248" s="3">
        <f>Table15781012[[#This Row],[Defaulted Principal]]-Table15781012[[#This Row],[Estimated Loss]]</f>
        <v>0</v>
      </c>
      <c r="N248" s="3">
        <f>IFERROR(VLOOKUP(Table15781012[[#This Row],[Period]],$L$16:$M$385,2,FALSE),0)</f>
        <v>0</v>
      </c>
      <c r="O248" s="3">
        <f>Table15781012[[#This Row],[Beginning Balance]]-Table15781012[[#This Row],[Principal]]-Table15781012[[#This Row],[Prepayments]]-Table15781012[[#This Row],[Defaulted Principal]]</f>
        <v>0</v>
      </c>
      <c r="P248" s="3">
        <f>Table15781012[[#This Row],[Principal]]+Table15781012[[#This Row],[Interest]]+Table15781012[[#This Row],[Prepayments]]+Table15781012[[#This Row],[RecoveredAmount]]</f>
        <v>0</v>
      </c>
      <c r="Q248" s="3">
        <f ca="1">ROUND(Table15781012[[#This Row],[Cash Flow]]/((1+ActualRateToUse)^(IF(ISNUMBER(SEARCH("Actual",$C$7)),Table15781012[[#This Row],[Running Total]]/365,Table15781012[[#This Row],[Period]]/12))),2)</f>
        <v>0</v>
      </c>
      <c r="R248" s="2">
        <f>IF(MONTH(Table15781012[[#This Row],[Date]])=2,28,DAY(DATE(YEAR(Table15781012[[#This Row],[Date]]),MONTH(Table15781012[[#This Row],[Date]])+1,1)-1))</f>
        <v>31</v>
      </c>
      <c r="S248" s="2">
        <f ca="1">SUM(OFFSET(Table15781012[[#Headers],[Days in month]],1,0):Table15781012[[#This Row],[Days in month]])</f>
        <v>7058</v>
      </c>
      <c r="T248" s="37">
        <f>InterestRate*AmortizationMultiplier*IF(ISNUMBER(SEARCH("Actual",$C$7)),Table15781012[[#This Row],[Days in month]]/365,1/12)</f>
        <v>6.0708333333333326E-3</v>
      </c>
    </row>
    <row r="249" spans="2:20" x14ac:dyDescent="0.2">
      <c r="B249" s="1">
        <f t="shared" si="10"/>
        <v>52931</v>
      </c>
      <c r="C249" s="2">
        <f t="shared" si="12"/>
        <v>233</v>
      </c>
      <c r="D249" s="3">
        <f t="shared" si="11"/>
        <v>0</v>
      </c>
      <c r="E249" s="3">
        <f>ROUND(Table15781012[[#This Row],[Beginning Balance]]*Table15781012[[#This Row],[Monthly Interest Rate]],2)</f>
        <v>0</v>
      </c>
      <c r="F249" s="3">
        <f t="shared" si="13"/>
        <v>119</v>
      </c>
      <c r="G249" s="23">
        <f>IFERROR(IF($C$13="No","N/A",IF(Table15781012[[#This Row],[Period]]=1,$C$6,PMT(InterestRate*AmortizationMultiplier/12,Table15781012[[#This Row],[Am Thru]],-Table15781012[[#This Row],[Beginning Balance]]))),0)</f>
        <v>0</v>
      </c>
      <c r="H249" s="3">
        <f>MAX(0,IF(C249=$C$4,D249,ROUND(IF($C$3="Fixed Principal",$C$6-Table15781012[[#This Row],[Interest]],IF($C$3="Interest Only",Table15781012[[#This Row],[Beginning Balance]]*ROUND(1-(1-IF($C$11="No",$E$8,1))^(1/12),6),MIN(IF($C$13="Yes",Table15781012[[#This Row],[Payment Amount (Reamortized)]],$C$6)-Table15781012[[#This Row],[Interest]],Table15781012[[#This Row],[Beginning Balance]]))),2)))</f>
        <v>0</v>
      </c>
      <c r="I249" s="3">
        <f>_xlfn.SINGLE(IF($C$3="Line of Credit",0,ROUND(MAX(MIN(IF($C$10="No",$E$7,VLOOKUP(Table15781012[[#This Row],[Period]],Forecast!$H$2:$L$1048576,4,FALSE))*Table15781012[[#This Row],[Beginning Balance]],Table15781012[[#This Row],[Beginning Balance]]-Table15781012[[#This Row],[Principal]]),0),2)))</f>
        <v>0</v>
      </c>
      <c r="J249" s="3">
        <f>ROUND(MIN(Table15781012[[#This Row],[Beginning Balance]]*IF($C$8="No",$E$3,VLOOKUP(Table15781012[[#This Row],[Period]],Forecast!$H$2:$L$1048576,2,FALSE)),Table15781012[[#This Row],[Beginning Balance]]-Table15781012[[#This Row],[Principal]]-Table15781012[[#This Row],[Prepayments]]),2)</f>
        <v>0</v>
      </c>
      <c r="K249" s="3">
        <f>ROUND(Table15781012[[#This Row],[Defaulted Principal]]*IF($C$9="No",$E$4,VLOOKUP(Table15781012[[#This Row],[Period]],Forecast!$H$2:$L$1048576,3,FALSE)),2)</f>
        <v>0</v>
      </c>
      <c r="L249" s="2">
        <f>Table15781012[[#This Row],[Period]]+$E$9</f>
        <v>245</v>
      </c>
      <c r="M249" s="3">
        <f>Table15781012[[#This Row],[Defaulted Principal]]-Table15781012[[#This Row],[Estimated Loss]]</f>
        <v>0</v>
      </c>
      <c r="N249" s="3">
        <f>IFERROR(VLOOKUP(Table15781012[[#This Row],[Period]],$L$16:$M$385,2,FALSE),0)</f>
        <v>0</v>
      </c>
      <c r="O249" s="3">
        <f>Table15781012[[#This Row],[Beginning Balance]]-Table15781012[[#This Row],[Principal]]-Table15781012[[#This Row],[Prepayments]]-Table15781012[[#This Row],[Defaulted Principal]]</f>
        <v>0</v>
      </c>
      <c r="P249" s="3">
        <f>Table15781012[[#This Row],[Principal]]+Table15781012[[#This Row],[Interest]]+Table15781012[[#This Row],[Prepayments]]+Table15781012[[#This Row],[RecoveredAmount]]</f>
        <v>0</v>
      </c>
      <c r="Q249" s="3">
        <f ca="1">ROUND(Table15781012[[#This Row],[Cash Flow]]/((1+ActualRateToUse)^(IF(ISNUMBER(SEARCH("Actual",$C$7)),Table15781012[[#This Row],[Running Total]]/365,Table15781012[[#This Row],[Period]]/12))),2)</f>
        <v>0</v>
      </c>
      <c r="R249" s="2">
        <f>IF(MONTH(Table15781012[[#This Row],[Date]])=2,28,DAY(DATE(YEAR(Table15781012[[#This Row],[Date]]),MONTH(Table15781012[[#This Row],[Date]])+1,1)-1))</f>
        <v>30</v>
      </c>
      <c r="S249" s="2">
        <f ca="1">SUM(OFFSET(Table15781012[[#Headers],[Days in month]],1,0):Table15781012[[#This Row],[Days in month]])</f>
        <v>7088</v>
      </c>
      <c r="T249" s="37">
        <f>InterestRate*AmortizationMultiplier*IF(ISNUMBER(SEARCH("Actual",$C$7)),Table15781012[[#This Row],[Days in month]]/365,1/12)</f>
        <v>5.8749999999999991E-3</v>
      </c>
    </row>
    <row r="250" spans="2:20" x14ac:dyDescent="0.2">
      <c r="B250" s="1">
        <f t="shared" si="10"/>
        <v>52962</v>
      </c>
      <c r="C250" s="2">
        <f t="shared" si="12"/>
        <v>234</v>
      </c>
      <c r="D250" s="3">
        <f t="shared" si="11"/>
        <v>0</v>
      </c>
      <c r="E250" s="3">
        <f>ROUND(Table15781012[[#This Row],[Beginning Balance]]*Table15781012[[#This Row],[Monthly Interest Rate]],2)</f>
        <v>0</v>
      </c>
      <c r="F250" s="3">
        <f t="shared" si="13"/>
        <v>118</v>
      </c>
      <c r="G250" s="23">
        <f>IFERROR(IF($C$13="No","N/A",IF(Table15781012[[#This Row],[Period]]=1,$C$6,PMT(InterestRate*AmortizationMultiplier/12,Table15781012[[#This Row],[Am Thru]],-Table15781012[[#This Row],[Beginning Balance]]))),0)</f>
        <v>0</v>
      </c>
      <c r="H250" s="3">
        <f>MAX(0,IF(C250=$C$4,D250,ROUND(IF($C$3="Fixed Principal",$C$6-Table15781012[[#This Row],[Interest]],IF($C$3="Interest Only",Table15781012[[#This Row],[Beginning Balance]]*ROUND(1-(1-IF($C$11="No",$E$8,1))^(1/12),6),MIN(IF($C$13="Yes",Table15781012[[#This Row],[Payment Amount (Reamortized)]],$C$6)-Table15781012[[#This Row],[Interest]],Table15781012[[#This Row],[Beginning Balance]]))),2)))</f>
        <v>0</v>
      </c>
      <c r="I250" s="3">
        <f>_xlfn.SINGLE(IF($C$3="Line of Credit",0,ROUND(MAX(MIN(IF($C$10="No",$E$7,VLOOKUP(Table15781012[[#This Row],[Period]],Forecast!$H$2:$L$1048576,4,FALSE))*Table15781012[[#This Row],[Beginning Balance]],Table15781012[[#This Row],[Beginning Balance]]-Table15781012[[#This Row],[Principal]]),0),2)))</f>
        <v>0</v>
      </c>
      <c r="J250" s="3">
        <f>ROUND(MIN(Table15781012[[#This Row],[Beginning Balance]]*IF($C$8="No",$E$3,VLOOKUP(Table15781012[[#This Row],[Period]],Forecast!$H$2:$L$1048576,2,FALSE)),Table15781012[[#This Row],[Beginning Balance]]-Table15781012[[#This Row],[Principal]]-Table15781012[[#This Row],[Prepayments]]),2)</f>
        <v>0</v>
      </c>
      <c r="K250" s="3">
        <f>ROUND(Table15781012[[#This Row],[Defaulted Principal]]*IF($C$9="No",$E$4,VLOOKUP(Table15781012[[#This Row],[Period]],Forecast!$H$2:$L$1048576,3,FALSE)),2)</f>
        <v>0</v>
      </c>
      <c r="L250" s="2">
        <f>Table15781012[[#This Row],[Period]]+$E$9</f>
        <v>246</v>
      </c>
      <c r="M250" s="3">
        <f>Table15781012[[#This Row],[Defaulted Principal]]-Table15781012[[#This Row],[Estimated Loss]]</f>
        <v>0</v>
      </c>
      <c r="N250" s="3">
        <f>IFERROR(VLOOKUP(Table15781012[[#This Row],[Period]],$L$16:$M$385,2,FALSE),0)</f>
        <v>0</v>
      </c>
      <c r="O250" s="3">
        <f>Table15781012[[#This Row],[Beginning Balance]]-Table15781012[[#This Row],[Principal]]-Table15781012[[#This Row],[Prepayments]]-Table15781012[[#This Row],[Defaulted Principal]]</f>
        <v>0</v>
      </c>
      <c r="P250" s="3">
        <f>Table15781012[[#This Row],[Principal]]+Table15781012[[#This Row],[Interest]]+Table15781012[[#This Row],[Prepayments]]+Table15781012[[#This Row],[RecoveredAmount]]</f>
        <v>0</v>
      </c>
      <c r="Q250" s="3">
        <f ca="1">ROUND(Table15781012[[#This Row],[Cash Flow]]/((1+ActualRateToUse)^(IF(ISNUMBER(SEARCH("Actual",$C$7)),Table15781012[[#This Row],[Running Total]]/365,Table15781012[[#This Row],[Period]]/12))),2)</f>
        <v>0</v>
      </c>
      <c r="R250" s="2">
        <f>IF(MONTH(Table15781012[[#This Row],[Date]])=2,28,DAY(DATE(YEAR(Table15781012[[#This Row],[Date]]),MONTH(Table15781012[[#This Row],[Date]])+1,1)-1))</f>
        <v>31</v>
      </c>
      <c r="S250" s="2">
        <f ca="1">SUM(OFFSET(Table15781012[[#Headers],[Days in month]],1,0):Table15781012[[#This Row],[Days in month]])</f>
        <v>7119</v>
      </c>
      <c r="T250" s="37">
        <f>InterestRate*AmortizationMultiplier*IF(ISNUMBER(SEARCH("Actual",$C$7)),Table15781012[[#This Row],[Days in month]]/365,1/12)</f>
        <v>6.0708333333333326E-3</v>
      </c>
    </row>
    <row r="251" spans="2:20" x14ac:dyDescent="0.2">
      <c r="B251" s="1">
        <f t="shared" si="10"/>
        <v>52993</v>
      </c>
      <c r="C251" s="2">
        <f t="shared" si="12"/>
        <v>235</v>
      </c>
      <c r="D251" s="3">
        <f t="shared" si="11"/>
        <v>0</v>
      </c>
      <c r="E251" s="3">
        <f>ROUND(Table15781012[[#This Row],[Beginning Balance]]*Table15781012[[#This Row],[Monthly Interest Rate]],2)</f>
        <v>0</v>
      </c>
      <c r="F251" s="3">
        <f t="shared" si="13"/>
        <v>117</v>
      </c>
      <c r="G251" s="23">
        <f>IFERROR(IF($C$13="No","N/A",IF(Table15781012[[#This Row],[Period]]=1,$C$6,PMT(InterestRate*AmortizationMultiplier/12,Table15781012[[#This Row],[Am Thru]],-Table15781012[[#This Row],[Beginning Balance]]))),0)</f>
        <v>0</v>
      </c>
      <c r="H251" s="3">
        <f>MAX(0,IF(C251=$C$4,D251,ROUND(IF($C$3="Fixed Principal",$C$6-Table15781012[[#This Row],[Interest]],IF($C$3="Interest Only",Table15781012[[#This Row],[Beginning Balance]]*ROUND(1-(1-IF($C$11="No",$E$8,1))^(1/12),6),MIN(IF($C$13="Yes",Table15781012[[#This Row],[Payment Amount (Reamortized)]],$C$6)-Table15781012[[#This Row],[Interest]],Table15781012[[#This Row],[Beginning Balance]]))),2)))</f>
        <v>0</v>
      </c>
      <c r="I251" s="3">
        <f>_xlfn.SINGLE(IF($C$3="Line of Credit",0,ROUND(MAX(MIN(IF($C$10="No",$E$7,VLOOKUP(Table15781012[[#This Row],[Period]],Forecast!$H$2:$L$1048576,4,FALSE))*Table15781012[[#This Row],[Beginning Balance]],Table15781012[[#This Row],[Beginning Balance]]-Table15781012[[#This Row],[Principal]]),0),2)))</f>
        <v>0</v>
      </c>
      <c r="J251" s="3">
        <f>ROUND(MIN(Table15781012[[#This Row],[Beginning Balance]]*IF($C$8="No",$E$3,VLOOKUP(Table15781012[[#This Row],[Period]],Forecast!$H$2:$L$1048576,2,FALSE)),Table15781012[[#This Row],[Beginning Balance]]-Table15781012[[#This Row],[Principal]]-Table15781012[[#This Row],[Prepayments]]),2)</f>
        <v>0</v>
      </c>
      <c r="K251" s="3">
        <f>ROUND(Table15781012[[#This Row],[Defaulted Principal]]*IF($C$9="No",$E$4,VLOOKUP(Table15781012[[#This Row],[Period]],Forecast!$H$2:$L$1048576,3,FALSE)),2)</f>
        <v>0</v>
      </c>
      <c r="L251" s="2">
        <f>Table15781012[[#This Row],[Period]]+$E$9</f>
        <v>247</v>
      </c>
      <c r="M251" s="3">
        <f>Table15781012[[#This Row],[Defaulted Principal]]-Table15781012[[#This Row],[Estimated Loss]]</f>
        <v>0</v>
      </c>
      <c r="N251" s="3">
        <f>IFERROR(VLOOKUP(Table15781012[[#This Row],[Period]],$L$16:$M$385,2,FALSE),0)</f>
        <v>0</v>
      </c>
      <c r="O251" s="3">
        <f>Table15781012[[#This Row],[Beginning Balance]]-Table15781012[[#This Row],[Principal]]-Table15781012[[#This Row],[Prepayments]]-Table15781012[[#This Row],[Defaulted Principal]]</f>
        <v>0</v>
      </c>
      <c r="P251" s="3">
        <f>Table15781012[[#This Row],[Principal]]+Table15781012[[#This Row],[Interest]]+Table15781012[[#This Row],[Prepayments]]+Table15781012[[#This Row],[RecoveredAmount]]</f>
        <v>0</v>
      </c>
      <c r="Q251" s="3">
        <f ca="1">ROUND(Table15781012[[#This Row],[Cash Flow]]/((1+ActualRateToUse)^(IF(ISNUMBER(SEARCH("Actual",$C$7)),Table15781012[[#This Row],[Running Total]]/365,Table15781012[[#This Row],[Period]]/12))),2)</f>
        <v>0</v>
      </c>
      <c r="R251" s="2">
        <f>IF(MONTH(Table15781012[[#This Row],[Date]])=2,28,DAY(DATE(YEAR(Table15781012[[#This Row],[Date]]),MONTH(Table15781012[[#This Row],[Date]])+1,1)-1))</f>
        <v>31</v>
      </c>
      <c r="S251" s="2">
        <f ca="1">SUM(OFFSET(Table15781012[[#Headers],[Days in month]],1,0):Table15781012[[#This Row],[Days in month]])</f>
        <v>7150</v>
      </c>
      <c r="T251" s="37">
        <f>InterestRate*AmortizationMultiplier*IF(ISNUMBER(SEARCH("Actual",$C$7)),Table15781012[[#This Row],[Days in month]]/365,1/12)</f>
        <v>6.0708333333333326E-3</v>
      </c>
    </row>
    <row r="252" spans="2:20" x14ac:dyDescent="0.2">
      <c r="B252" s="1">
        <f t="shared" si="10"/>
        <v>53021</v>
      </c>
      <c r="C252" s="2">
        <f t="shared" si="12"/>
        <v>236</v>
      </c>
      <c r="D252" s="3">
        <f t="shared" si="11"/>
        <v>0</v>
      </c>
      <c r="E252" s="3">
        <f>ROUND(Table15781012[[#This Row],[Beginning Balance]]*Table15781012[[#This Row],[Monthly Interest Rate]],2)</f>
        <v>0</v>
      </c>
      <c r="F252" s="3">
        <f t="shared" si="13"/>
        <v>116</v>
      </c>
      <c r="G252" s="23">
        <f>IFERROR(IF($C$13="No","N/A",IF(Table15781012[[#This Row],[Period]]=1,$C$6,PMT(InterestRate*AmortizationMultiplier/12,Table15781012[[#This Row],[Am Thru]],-Table15781012[[#This Row],[Beginning Balance]]))),0)</f>
        <v>0</v>
      </c>
      <c r="H252" s="3">
        <f>MAX(0,IF(C252=$C$4,D252,ROUND(IF($C$3="Fixed Principal",$C$6-Table15781012[[#This Row],[Interest]],IF($C$3="Interest Only",Table15781012[[#This Row],[Beginning Balance]]*ROUND(1-(1-IF($C$11="No",$E$8,1))^(1/12),6),MIN(IF($C$13="Yes",Table15781012[[#This Row],[Payment Amount (Reamortized)]],$C$6)-Table15781012[[#This Row],[Interest]],Table15781012[[#This Row],[Beginning Balance]]))),2)))</f>
        <v>0</v>
      </c>
      <c r="I252" s="3">
        <f>_xlfn.SINGLE(IF($C$3="Line of Credit",0,ROUND(MAX(MIN(IF($C$10="No",$E$7,VLOOKUP(Table15781012[[#This Row],[Period]],Forecast!$H$2:$L$1048576,4,FALSE))*Table15781012[[#This Row],[Beginning Balance]],Table15781012[[#This Row],[Beginning Balance]]-Table15781012[[#This Row],[Principal]]),0),2)))</f>
        <v>0</v>
      </c>
      <c r="J252" s="3">
        <f>ROUND(MIN(Table15781012[[#This Row],[Beginning Balance]]*IF($C$8="No",$E$3,VLOOKUP(Table15781012[[#This Row],[Period]],Forecast!$H$2:$L$1048576,2,FALSE)),Table15781012[[#This Row],[Beginning Balance]]-Table15781012[[#This Row],[Principal]]-Table15781012[[#This Row],[Prepayments]]),2)</f>
        <v>0</v>
      </c>
      <c r="K252" s="3">
        <f>ROUND(Table15781012[[#This Row],[Defaulted Principal]]*IF($C$9="No",$E$4,VLOOKUP(Table15781012[[#This Row],[Period]],Forecast!$H$2:$L$1048576,3,FALSE)),2)</f>
        <v>0</v>
      </c>
      <c r="L252" s="2">
        <f>Table15781012[[#This Row],[Period]]+$E$9</f>
        <v>248</v>
      </c>
      <c r="M252" s="3">
        <f>Table15781012[[#This Row],[Defaulted Principal]]-Table15781012[[#This Row],[Estimated Loss]]</f>
        <v>0</v>
      </c>
      <c r="N252" s="3">
        <f>IFERROR(VLOOKUP(Table15781012[[#This Row],[Period]],$L$16:$M$385,2,FALSE),0)</f>
        <v>0</v>
      </c>
      <c r="O252" s="3">
        <f>Table15781012[[#This Row],[Beginning Balance]]-Table15781012[[#This Row],[Principal]]-Table15781012[[#This Row],[Prepayments]]-Table15781012[[#This Row],[Defaulted Principal]]</f>
        <v>0</v>
      </c>
      <c r="P252" s="3">
        <f>Table15781012[[#This Row],[Principal]]+Table15781012[[#This Row],[Interest]]+Table15781012[[#This Row],[Prepayments]]+Table15781012[[#This Row],[RecoveredAmount]]</f>
        <v>0</v>
      </c>
      <c r="Q252" s="3">
        <f ca="1">ROUND(Table15781012[[#This Row],[Cash Flow]]/((1+ActualRateToUse)^(IF(ISNUMBER(SEARCH("Actual",$C$7)),Table15781012[[#This Row],[Running Total]]/365,Table15781012[[#This Row],[Period]]/12))),2)</f>
        <v>0</v>
      </c>
      <c r="R252" s="2">
        <f>IF(MONTH(Table15781012[[#This Row],[Date]])=2,28,DAY(DATE(YEAR(Table15781012[[#This Row],[Date]]),MONTH(Table15781012[[#This Row],[Date]])+1,1)-1))</f>
        <v>28</v>
      </c>
      <c r="S252" s="2">
        <f ca="1">SUM(OFFSET(Table15781012[[#Headers],[Days in month]],1,0):Table15781012[[#This Row],[Days in month]])</f>
        <v>7178</v>
      </c>
      <c r="T252" s="37">
        <f>InterestRate*AmortizationMultiplier*IF(ISNUMBER(SEARCH("Actual",$C$7)),Table15781012[[#This Row],[Days in month]]/365,1/12)</f>
        <v>5.4833333333333331E-3</v>
      </c>
    </row>
    <row r="253" spans="2:20" x14ac:dyDescent="0.2">
      <c r="B253" s="1">
        <f t="shared" si="10"/>
        <v>53052</v>
      </c>
      <c r="C253" s="2">
        <f t="shared" si="12"/>
        <v>237</v>
      </c>
      <c r="D253" s="3">
        <f t="shared" si="11"/>
        <v>0</v>
      </c>
      <c r="E253" s="3">
        <f>ROUND(Table15781012[[#This Row],[Beginning Balance]]*Table15781012[[#This Row],[Monthly Interest Rate]],2)</f>
        <v>0</v>
      </c>
      <c r="F253" s="3">
        <f t="shared" si="13"/>
        <v>115</v>
      </c>
      <c r="G253" s="23">
        <f>IFERROR(IF($C$13="No","N/A",IF(Table15781012[[#This Row],[Period]]=1,$C$6,PMT(InterestRate*AmortizationMultiplier/12,Table15781012[[#This Row],[Am Thru]],-Table15781012[[#This Row],[Beginning Balance]]))),0)</f>
        <v>0</v>
      </c>
      <c r="H253" s="3">
        <f>MAX(0,IF(C253=$C$4,D253,ROUND(IF($C$3="Fixed Principal",$C$6-Table15781012[[#This Row],[Interest]],IF($C$3="Interest Only",Table15781012[[#This Row],[Beginning Balance]]*ROUND(1-(1-IF($C$11="No",$E$8,1))^(1/12),6),MIN(IF($C$13="Yes",Table15781012[[#This Row],[Payment Amount (Reamortized)]],$C$6)-Table15781012[[#This Row],[Interest]],Table15781012[[#This Row],[Beginning Balance]]))),2)))</f>
        <v>0</v>
      </c>
      <c r="I253" s="3">
        <f>_xlfn.SINGLE(IF($C$3="Line of Credit",0,ROUND(MAX(MIN(IF($C$10="No",$E$7,VLOOKUP(Table15781012[[#This Row],[Period]],Forecast!$H$2:$L$1048576,4,FALSE))*Table15781012[[#This Row],[Beginning Balance]],Table15781012[[#This Row],[Beginning Balance]]-Table15781012[[#This Row],[Principal]]),0),2)))</f>
        <v>0</v>
      </c>
      <c r="J253" s="3">
        <f>ROUND(MIN(Table15781012[[#This Row],[Beginning Balance]]*IF($C$8="No",$E$3,VLOOKUP(Table15781012[[#This Row],[Period]],Forecast!$H$2:$L$1048576,2,FALSE)),Table15781012[[#This Row],[Beginning Balance]]-Table15781012[[#This Row],[Principal]]-Table15781012[[#This Row],[Prepayments]]),2)</f>
        <v>0</v>
      </c>
      <c r="K253" s="3">
        <f>ROUND(Table15781012[[#This Row],[Defaulted Principal]]*IF($C$9="No",$E$4,VLOOKUP(Table15781012[[#This Row],[Period]],Forecast!$H$2:$L$1048576,3,FALSE)),2)</f>
        <v>0</v>
      </c>
      <c r="L253" s="2">
        <f>Table15781012[[#This Row],[Period]]+$E$9</f>
        <v>249</v>
      </c>
      <c r="M253" s="3">
        <f>Table15781012[[#This Row],[Defaulted Principal]]-Table15781012[[#This Row],[Estimated Loss]]</f>
        <v>0</v>
      </c>
      <c r="N253" s="3">
        <f>IFERROR(VLOOKUP(Table15781012[[#This Row],[Period]],$L$16:$M$385,2,FALSE),0)</f>
        <v>0</v>
      </c>
      <c r="O253" s="3">
        <f>Table15781012[[#This Row],[Beginning Balance]]-Table15781012[[#This Row],[Principal]]-Table15781012[[#This Row],[Prepayments]]-Table15781012[[#This Row],[Defaulted Principal]]</f>
        <v>0</v>
      </c>
      <c r="P253" s="3">
        <f>Table15781012[[#This Row],[Principal]]+Table15781012[[#This Row],[Interest]]+Table15781012[[#This Row],[Prepayments]]+Table15781012[[#This Row],[RecoveredAmount]]</f>
        <v>0</v>
      </c>
      <c r="Q253" s="3">
        <f ca="1">ROUND(Table15781012[[#This Row],[Cash Flow]]/((1+ActualRateToUse)^(IF(ISNUMBER(SEARCH("Actual",$C$7)),Table15781012[[#This Row],[Running Total]]/365,Table15781012[[#This Row],[Period]]/12))),2)</f>
        <v>0</v>
      </c>
      <c r="R253" s="2">
        <f>IF(MONTH(Table15781012[[#This Row],[Date]])=2,28,DAY(DATE(YEAR(Table15781012[[#This Row],[Date]]),MONTH(Table15781012[[#This Row],[Date]])+1,1)-1))</f>
        <v>31</v>
      </c>
      <c r="S253" s="2">
        <f ca="1">SUM(OFFSET(Table15781012[[#Headers],[Days in month]],1,0):Table15781012[[#This Row],[Days in month]])</f>
        <v>7209</v>
      </c>
      <c r="T253" s="37">
        <f>InterestRate*AmortizationMultiplier*IF(ISNUMBER(SEARCH("Actual",$C$7)),Table15781012[[#This Row],[Days in month]]/365,1/12)</f>
        <v>6.0708333333333326E-3</v>
      </c>
    </row>
    <row r="254" spans="2:20" x14ac:dyDescent="0.2">
      <c r="B254" s="1">
        <f t="shared" si="10"/>
        <v>53082</v>
      </c>
      <c r="C254" s="2">
        <f t="shared" si="12"/>
        <v>238</v>
      </c>
      <c r="D254" s="3">
        <f t="shared" si="11"/>
        <v>0</v>
      </c>
      <c r="E254" s="3">
        <f>ROUND(Table15781012[[#This Row],[Beginning Balance]]*Table15781012[[#This Row],[Monthly Interest Rate]],2)</f>
        <v>0</v>
      </c>
      <c r="F254" s="3">
        <f t="shared" si="13"/>
        <v>114</v>
      </c>
      <c r="G254" s="23">
        <f>IFERROR(IF($C$13="No","N/A",IF(Table15781012[[#This Row],[Period]]=1,$C$6,PMT(InterestRate*AmortizationMultiplier/12,Table15781012[[#This Row],[Am Thru]],-Table15781012[[#This Row],[Beginning Balance]]))),0)</f>
        <v>0</v>
      </c>
      <c r="H254" s="3">
        <f>MAX(0,IF(C254=$C$4,D254,ROUND(IF($C$3="Fixed Principal",$C$6-Table15781012[[#This Row],[Interest]],IF($C$3="Interest Only",Table15781012[[#This Row],[Beginning Balance]]*ROUND(1-(1-IF($C$11="No",$E$8,1))^(1/12),6),MIN(IF($C$13="Yes",Table15781012[[#This Row],[Payment Amount (Reamortized)]],$C$6)-Table15781012[[#This Row],[Interest]],Table15781012[[#This Row],[Beginning Balance]]))),2)))</f>
        <v>0</v>
      </c>
      <c r="I254" s="3">
        <f>_xlfn.SINGLE(IF($C$3="Line of Credit",0,ROUND(MAX(MIN(IF($C$10="No",$E$7,VLOOKUP(Table15781012[[#This Row],[Period]],Forecast!$H$2:$L$1048576,4,FALSE))*Table15781012[[#This Row],[Beginning Balance]],Table15781012[[#This Row],[Beginning Balance]]-Table15781012[[#This Row],[Principal]]),0),2)))</f>
        <v>0</v>
      </c>
      <c r="J254" s="3">
        <f>ROUND(MIN(Table15781012[[#This Row],[Beginning Balance]]*IF($C$8="No",$E$3,VLOOKUP(Table15781012[[#This Row],[Period]],Forecast!$H$2:$L$1048576,2,FALSE)),Table15781012[[#This Row],[Beginning Balance]]-Table15781012[[#This Row],[Principal]]-Table15781012[[#This Row],[Prepayments]]),2)</f>
        <v>0</v>
      </c>
      <c r="K254" s="3">
        <f>ROUND(Table15781012[[#This Row],[Defaulted Principal]]*IF($C$9="No",$E$4,VLOOKUP(Table15781012[[#This Row],[Period]],Forecast!$H$2:$L$1048576,3,FALSE)),2)</f>
        <v>0</v>
      </c>
      <c r="L254" s="2">
        <f>Table15781012[[#This Row],[Period]]+$E$9</f>
        <v>250</v>
      </c>
      <c r="M254" s="3">
        <f>Table15781012[[#This Row],[Defaulted Principal]]-Table15781012[[#This Row],[Estimated Loss]]</f>
        <v>0</v>
      </c>
      <c r="N254" s="3">
        <f>IFERROR(VLOOKUP(Table15781012[[#This Row],[Period]],$L$16:$M$385,2,FALSE),0)</f>
        <v>0</v>
      </c>
      <c r="O254" s="3">
        <f>Table15781012[[#This Row],[Beginning Balance]]-Table15781012[[#This Row],[Principal]]-Table15781012[[#This Row],[Prepayments]]-Table15781012[[#This Row],[Defaulted Principal]]</f>
        <v>0</v>
      </c>
      <c r="P254" s="3">
        <f>Table15781012[[#This Row],[Principal]]+Table15781012[[#This Row],[Interest]]+Table15781012[[#This Row],[Prepayments]]+Table15781012[[#This Row],[RecoveredAmount]]</f>
        <v>0</v>
      </c>
      <c r="Q254" s="3">
        <f ca="1">ROUND(Table15781012[[#This Row],[Cash Flow]]/((1+ActualRateToUse)^(IF(ISNUMBER(SEARCH("Actual",$C$7)),Table15781012[[#This Row],[Running Total]]/365,Table15781012[[#This Row],[Period]]/12))),2)</f>
        <v>0</v>
      </c>
      <c r="R254" s="2">
        <f>IF(MONTH(Table15781012[[#This Row],[Date]])=2,28,DAY(DATE(YEAR(Table15781012[[#This Row],[Date]]),MONTH(Table15781012[[#This Row],[Date]])+1,1)-1))</f>
        <v>30</v>
      </c>
      <c r="S254" s="2">
        <f ca="1">SUM(OFFSET(Table15781012[[#Headers],[Days in month]],1,0):Table15781012[[#This Row],[Days in month]])</f>
        <v>7239</v>
      </c>
      <c r="T254" s="37">
        <f>InterestRate*AmortizationMultiplier*IF(ISNUMBER(SEARCH("Actual",$C$7)),Table15781012[[#This Row],[Days in month]]/365,1/12)</f>
        <v>5.8749999999999991E-3</v>
      </c>
    </row>
    <row r="255" spans="2:20" x14ac:dyDescent="0.2">
      <c r="B255" s="1">
        <f t="shared" si="10"/>
        <v>53113</v>
      </c>
      <c r="C255" s="2">
        <f t="shared" si="12"/>
        <v>239</v>
      </c>
      <c r="D255" s="3">
        <f t="shared" si="11"/>
        <v>0</v>
      </c>
      <c r="E255" s="3">
        <f>ROUND(Table15781012[[#This Row],[Beginning Balance]]*Table15781012[[#This Row],[Monthly Interest Rate]],2)</f>
        <v>0</v>
      </c>
      <c r="F255" s="3">
        <f t="shared" si="13"/>
        <v>113</v>
      </c>
      <c r="G255" s="23">
        <f>IFERROR(IF($C$13="No","N/A",IF(Table15781012[[#This Row],[Period]]=1,$C$6,PMT(InterestRate*AmortizationMultiplier/12,Table15781012[[#This Row],[Am Thru]],-Table15781012[[#This Row],[Beginning Balance]]))),0)</f>
        <v>0</v>
      </c>
      <c r="H255" s="3">
        <f>MAX(0,IF(C255=$C$4,D255,ROUND(IF($C$3="Fixed Principal",$C$6-Table15781012[[#This Row],[Interest]],IF($C$3="Interest Only",Table15781012[[#This Row],[Beginning Balance]]*ROUND(1-(1-IF($C$11="No",$E$8,1))^(1/12),6),MIN(IF($C$13="Yes",Table15781012[[#This Row],[Payment Amount (Reamortized)]],$C$6)-Table15781012[[#This Row],[Interest]],Table15781012[[#This Row],[Beginning Balance]]))),2)))</f>
        <v>0</v>
      </c>
      <c r="I255" s="3">
        <f>_xlfn.SINGLE(IF($C$3="Line of Credit",0,ROUND(MAX(MIN(IF($C$10="No",$E$7,VLOOKUP(Table15781012[[#This Row],[Period]],Forecast!$H$2:$L$1048576,4,FALSE))*Table15781012[[#This Row],[Beginning Balance]],Table15781012[[#This Row],[Beginning Balance]]-Table15781012[[#This Row],[Principal]]),0),2)))</f>
        <v>0</v>
      </c>
      <c r="J255" s="3">
        <f>ROUND(MIN(Table15781012[[#This Row],[Beginning Balance]]*IF($C$8="No",$E$3,VLOOKUP(Table15781012[[#This Row],[Period]],Forecast!$H$2:$L$1048576,2,FALSE)),Table15781012[[#This Row],[Beginning Balance]]-Table15781012[[#This Row],[Principal]]-Table15781012[[#This Row],[Prepayments]]),2)</f>
        <v>0</v>
      </c>
      <c r="K255" s="3">
        <f>ROUND(Table15781012[[#This Row],[Defaulted Principal]]*IF($C$9="No",$E$4,VLOOKUP(Table15781012[[#This Row],[Period]],Forecast!$H$2:$L$1048576,3,FALSE)),2)</f>
        <v>0</v>
      </c>
      <c r="L255" s="2">
        <f>Table15781012[[#This Row],[Period]]+$E$9</f>
        <v>251</v>
      </c>
      <c r="M255" s="3">
        <f>Table15781012[[#This Row],[Defaulted Principal]]-Table15781012[[#This Row],[Estimated Loss]]</f>
        <v>0</v>
      </c>
      <c r="N255" s="3">
        <f>IFERROR(VLOOKUP(Table15781012[[#This Row],[Period]],$L$16:$M$385,2,FALSE),0)</f>
        <v>0</v>
      </c>
      <c r="O255" s="3">
        <f>Table15781012[[#This Row],[Beginning Balance]]-Table15781012[[#This Row],[Principal]]-Table15781012[[#This Row],[Prepayments]]-Table15781012[[#This Row],[Defaulted Principal]]</f>
        <v>0</v>
      </c>
      <c r="P255" s="3">
        <f>Table15781012[[#This Row],[Principal]]+Table15781012[[#This Row],[Interest]]+Table15781012[[#This Row],[Prepayments]]+Table15781012[[#This Row],[RecoveredAmount]]</f>
        <v>0</v>
      </c>
      <c r="Q255" s="3">
        <f ca="1">ROUND(Table15781012[[#This Row],[Cash Flow]]/((1+ActualRateToUse)^(IF(ISNUMBER(SEARCH("Actual",$C$7)),Table15781012[[#This Row],[Running Total]]/365,Table15781012[[#This Row],[Period]]/12))),2)</f>
        <v>0</v>
      </c>
      <c r="R255" s="2">
        <f>IF(MONTH(Table15781012[[#This Row],[Date]])=2,28,DAY(DATE(YEAR(Table15781012[[#This Row],[Date]]),MONTH(Table15781012[[#This Row],[Date]])+1,1)-1))</f>
        <v>31</v>
      </c>
      <c r="S255" s="2">
        <f ca="1">SUM(OFFSET(Table15781012[[#Headers],[Days in month]],1,0):Table15781012[[#This Row],[Days in month]])</f>
        <v>7270</v>
      </c>
      <c r="T255" s="37">
        <f>InterestRate*AmortizationMultiplier*IF(ISNUMBER(SEARCH("Actual",$C$7)),Table15781012[[#This Row],[Days in month]]/365,1/12)</f>
        <v>6.0708333333333326E-3</v>
      </c>
    </row>
    <row r="256" spans="2:20" x14ac:dyDescent="0.2">
      <c r="B256" s="1">
        <f t="shared" si="10"/>
        <v>53143</v>
      </c>
      <c r="C256" s="2">
        <f t="shared" si="12"/>
        <v>240</v>
      </c>
      <c r="D256" s="3">
        <f t="shared" si="11"/>
        <v>0</v>
      </c>
      <c r="E256" s="3">
        <f>ROUND(Table15781012[[#This Row],[Beginning Balance]]*Table15781012[[#This Row],[Monthly Interest Rate]],2)</f>
        <v>0</v>
      </c>
      <c r="F256" s="3">
        <f t="shared" si="13"/>
        <v>112</v>
      </c>
      <c r="G256" s="23">
        <f>IFERROR(IF($C$13="No","N/A",IF(Table15781012[[#This Row],[Period]]=1,$C$6,PMT(InterestRate*AmortizationMultiplier/12,Table15781012[[#This Row],[Am Thru]],-Table15781012[[#This Row],[Beginning Balance]]))),0)</f>
        <v>0</v>
      </c>
      <c r="H256" s="3">
        <f>MAX(0,IF(C256=$C$4,D256,ROUND(IF($C$3="Fixed Principal",$C$6-Table15781012[[#This Row],[Interest]],IF($C$3="Interest Only",Table15781012[[#This Row],[Beginning Balance]]*ROUND(1-(1-IF($C$11="No",$E$8,1))^(1/12),6),MIN(IF($C$13="Yes",Table15781012[[#This Row],[Payment Amount (Reamortized)]],$C$6)-Table15781012[[#This Row],[Interest]],Table15781012[[#This Row],[Beginning Balance]]))),2)))</f>
        <v>0</v>
      </c>
      <c r="I256" s="3">
        <f>_xlfn.SINGLE(IF($C$3="Line of Credit",0,ROUND(MAX(MIN(IF($C$10="No",$E$7,VLOOKUP(Table15781012[[#This Row],[Period]],Forecast!$H$2:$L$1048576,4,FALSE))*Table15781012[[#This Row],[Beginning Balance]],Table15781012[[#This Row],[Beginning Balance]]-Table15781012[[#This Row],[Principal]]),0),2)))</f>
        <v>0</v>
      </c>
      <c r="J256" s="3">
        <f>ROUND(MIN(Table15781012[[#This Row],[Beginning Balance]]*IF($C$8="No",$E$3,VLOOKUP(Table15781012[[#This Row],[Period]],Forecast!$H$2:$L$1048576,2,FALSE)),Table15781012[[#This Row],[Beginning Balance]]-Table15781012[[#This Row],[Principal]]-Table15781012[[#This Row],[Prepayments]]),2)</f>
        <v>0</v>
      </c>
      <c r="K256" s="3">
        <f>ROUND(Table15781012[[#This Row],[Defaulted Principal]]*IF($C$9="No",$E$4,VLOOKUP(Table15781012[[#This Row],[Period]],Forecast!$H$2:$L$1048576,3,FALSE)),2)</f>
        <v>0</v>
      </c>
      <c r="L256" s="2">
        <f>Table15781012[[#This Row],[Period]]+$E$9</f>
        <v>252</v>
      </c>
      <c r="M256" s="3">
        <f>Table15781012[[#This Row],[Defaulted Principal]]-Table15781012[[#This Row],[Estimated Loss]]</f>
        <v>0</v>
      </c>
      <c r="N256" s="3">
        <f>IFERROR(VLOOKUP(Table15781012[[#This Row],[Period]],$L$16:$M$385,2,FALSE),0)</f>
        <v>0</v>
      </c>
      <c r="O256" s="3">
        <f>Table15781012[[#This Row],[Beginning Balance]]-Table15781012[[#This Row],[Principal]]-Table15781012[[#This Row],[Prepayments]]-Table15781012[[#This Row],[Defaulted Principal]]</f>
        <v>0</v>
      </c>
      <c r="P256" s="3">
        <f>Table15781012[[#This Row],[Principal]]+Table15781012[[#This Row],[Interest]]+Table15781012[[#This Row],[Prepayments]]+Table15781012[[#This Row],[RecoveredAmount]]</f>
        <v>0</v>
      </c>
      <c r="Q256" s="3">
        <f ca="1">ROUND(Table15781012[[#This Row],[Cash Flow]]/((1+ActualRateToUse)^(IF(ISNUMBER(SEARCH("Actual",$C$7)),Table15781012[[#This Row],[Running Total]]/365,Table15781012[[#This Row],[Period]]/12))),2)</f>
        <v>0</v>
      </c>
      <c r="R256" s="2">
        <f>IF(MONTH(Table15781012[[#This Row],[Date]])=2,28,DAY(DATE(YEAR(Table15781012[[#This Row],[Date]]),MONTH(Table15781012[[#This Row],[Date]])+1,1)-1))</f>
        <v>30</v>
      </c>
      <c r="S256" s="2">
        <f ca="1">SUM(OFFSET(Table15781012[[#Headers],[Days in month]],1,0):Table15781012[[#This Row],[Days in month]])</f>
        <v>7300</v>
      </c>
      <c r="T256" s="37">
        <f>InterestRate*AmortizationMultiplier*IF(ISNUMBER(SEARCH("Actual",$C$7)),Table15781012[[#This Row],[Days in month]]/365,1/12)</f>
        <v>5.8749999999999991E-3</v>
      </c>
    </row>
    <row r="257" spans="2:20" x14ac:dyDescent="0.2">
      <c r="B257" s="1">
        <f t="shared" si="10"/>
        <v>53174</v>
      </c>
      <c r="C257" s="2">
        <f t="shared" si="12"/>
        <v>241</v>
      </c>
      <c r="D257" s="3">
        <f t="shared" si="11"/>
        <v>0</v>
      </c>
      <c r="E257" s="3">
        <f>ROUND(Table15781012[[#This Row],[Beginning Balance]]*Table15781012[[#This Row],[Monthly Interest Rate]],2)</f>
        <v>0</v>
      </c>
      <c r="F257" s="3">
        <f t="shared" si="13"/>
        <v>111</v>
      </c>
      <c r="G257" s="23">
        <f>IFERROR(IF($C$13="No","N/A",IF(Table15781012[[#This Row],[Period]]=1,$C$6,PMT(InterestRate*AmortizationMultiplier/12,Table15781012[[#This Row],[Am Thru]],-Table15781012[[#This Row],[Beginning Balance]]))),0)</f>
        <v>0</v>
      </c>
      <c r="H257" s="3">
        <f>MAX(0,IF(C257=$C$4,D257,ROUND(IF($C$3="Fixed Principal",$C$6-Table15781012[[#This Row],[Interest]],IF($C$3="Interest Only",Table15781012[[#This Row],[Beginning Balance]]*ROUND(1-(1-IF($C$11="No",$E$8,1))^(1/12),6),MIN(IF($C$13="Yes",Table15781012[[#This Row],[Payment Amount (Reamortized)]],$C$6)-Table15781012[[#This Row],[Interest]],Table15781012[[#This Row],[Beginning Balance]]))),2)))</f>
        <v>0</v>
      </c>
      <c r="I257" s="3">
        <f>_xlfn.SINGLE(IF($C$3="Line of Credit",0,ROUND(MAX(MIN(IF($C$10="No",$E$7,VLOOKUP(Table15781012[[#This Row],[Period]],Forecast!$H$2:$L$1048576,4,FALSE))*Table15781012[[#This Row],[Beginning Balance]],Table15781012[[#This Row],[Beginning Balance]]-Table15781012[[#This Row],[Principal]]),0),2)))</f>
        <v>0</v>
      </c>
      <c r="J257" s="3">
        <f>ROUND(MIN(Table15781012[[#This Row],[Beginning Balance]]*IF($C$8="No",$E$3,VLOOKUP(Table15781012[[#This Row],[Period]],Forecast!$H$2:$L$1048576,2,FALSE)),Table15781012[[#This Row],[Beginning Balance]]-Table15781012[[#This Row],[Principal]]-Table15781012[[#This Row],[Prepayments]]),2)</f>
        <v>0</v>
      </c>
      <c r="K257" s="3">
        <f>ROUND(Table15781012[[#This Row],[Defaulted Principal]]*IF($C$9="No",$E$4,VLOOKUP(Table15781012[[#This Row],[Period]],Forecast!$H$2:$L$1048576,3,FALSE)),2)</f>
        <v>0</v>
      </c>
      <c r="L257" s="2">
        <f>Table15781012[[#This Row],[Period]]+$E$9</f>
        <v>253</v>
      </c>
      <c r="M257" s="3">
        <f>Table15781012[[#This Row],[Defaulted Principal]]-Table15781012[[#This Row],[Estimated Loss]]</f>
        <v>0</v>
      </c>
      <c r="N257" s="3">
        <f>IFERROR(VLOOKUP(Table15781012[[#This Row],[Period]],$L$16:$M$385,2,FALSE),0)</f>
        <v>0</v>
      </c>
      <c r="O257" s="3">
        <f>Table15781012[[#This Row],[Beginning Balance]]-Table15781012[[#This Row],[Principal]]-Table15781012[[#This Row],[Prepayments]]-Table15781012[[#This Row],[Defaulted Principal]]</f>
        <v>0</v>
      </c>
      <c r="P257" s="3">
        <f>Table15781012[[#This Row],[Principal]]+Table15781012[[#This Row],[Interest]]+Table15781012[[#This Row],[Prepayments]]+Table15781012[[#This Row],[RecoveredAmount]]</f>
        <v>0</v>
      </c>
      <c r="Q257" s="3">
        <f ca="1">ROUND(Table15781012[[#This Row],[Cash Flow]]/((1+ActualRateToUse)^(IF(ISNUMBER(SEARCH("Actual",$C$7)),Table15781012[[#This Row],[Running Total]]/365,Table15781012[[#This Row],[Period]]/12))),2)</f>
        <v>0</v>
      </c>
      <c r="R257" s="2">
        <f>IF(MONTH(Table15781012[[#This Row],[Date]])=2,28,DAY(DATE(YEAR(Table15781012[[#This Row],[Date]]),MONTH(Table15781012[[#This Row],[Date]])+1,1)-1))</f>
        <v>31</v>
      </c>
      <c r="S257" s="2">
        <f ca="1">SUM(OFFSET(Table15781012[[#Headers],[Days in month]],1,0):Table15781012[[#This Row],[Days in month]])</f>
        <v>7331</v>
      </c>
      <c r="T257" s="37">
        <f>InterestRate*AmortizationMultiplier*IF(ISNUMBER(SEARCH("Actual",$C$7)),Table15781012[[#This Row],[Days in month]]/365,1/12)</f>
        <v>6.0708333333333326E-3</v>
      </c>
    </row>
    <row r="258" spans="2:20" x14ac:dyDescent="0.2">
      <c r="B258" s="1">
        <f t="shared" si="10"/>
        <v>53205</v>
      </c>
      <c r="C258" s="2">
        <f t="shared" si="12"/>
        <v>242</v>
      </c>
      <c r="D258" s="3">
        <f t="shared" si="11"/>
        <v>0</v>
      </c>
      <c r="E258" s="3">
        <f>ROUND(Table15781012[[#This Row],[Beginning Balance]]*Table15781012[[#This Row],[Monthly Interest Rate]],2)</f>
        <v>0</v>
      </c>
      <c r="F258" s="3">
        <f t="shared" si="13"/>
        <v>110</v>
      </c>
      <c r="G258" s="23">
        <f>IFERROR(IF($C$13="No","N/A",IF(Table15781012[[#This Row],[Period]]=1,$C$6,PMT(InterestRate*AmortizationMultiplier/12,Table15781012[[#This Row],[Am Thru]],-Table15781012[[#This Row],[Beginning Balance]]))),0)</f>
        <v>0</v>
      </c>
      <c r="H258" s="3">
        <f>MAX(0,IF(C258=$C$4,D258,ROUND(IF($C$3="Fixed Principal",$C$6-Table15781012[[#This Row],[Interest]],IF($C$3="Interest Only",Table15781012[[#This Row],[Beginning Balance]]*ROUND(1-(1-IF($C$11="No",$E$8,1))^(1/12),6),MIN(IF($C$13="Yes",Table15781012[[#This Row],[Payment Amount (Reamortized)]],$C$6)-Table15781012[[#This Row],[Interest]],Table15781012[[#This Row],[Beginning Balance]]))),2)))</f>
        <v>0</v>
      </c>
      <c r="I258" s="3">
        <f>_xlfn.SINGLE(IF($C$3="Line of Credit",0,ROUND(MAX(MIN(IF($C$10="No",$E$7,VLOOKUP(Table15781012[[#This Row],[Period]],Forecast!$H$2:$L$1048576,4,FALSE))*Table15781012[[#This Row],[Beginning Balance]],Table15781012[[#This Row],[Beginning Balance]]-Table15781012[[#This Row],[Principal]]),0),2)))</f>
        <v>0</v>
      </c>
      <c r="J258" s="3">
        <f>ROUND(MIN(Table15781012[[#This Row],[Beginning Balance]]*IF($C$8="No",$E$3,VLOOKUP(Table15781012[[#This Row],[Period]],Forecast!$H$2:$L$1048576,2,FALSE)),Table15781012[[#This Row],[Beginning Balance]]-Table15781012[[#This Row],[Principal]]-Table15781012[[#This Row],[Prepayments]]),2)</f>
        <v>0</v>
      </c>
      <c r="K258" s="3">
        <f>ROUND(Table15781012[[#This Row],[Defaulted Principal]]*IF($C$9="No",$E$4,VLOOKUP(Table15781012[[#This Row],[Period]],Forecast!$H$2:$L$1048576,3,FALSE)),2)</f>
        <v>0</v>
      </c>
      <c r="L258" s="2">
        <f>Table15781012[[#This Row],[Period]]+$E$9</f>
        <v>254</v>
      </c>
      <c r="M258" s="3">
        <f>Table15781012[[#This Row],[Defaulted Principal]]-Table15781012[[#This Row],[Estimated Loss]]</f>
        <v>0</v>
      </c>
      <c r="N258" s="3">
        <f>IFERROR(VLOOKUP(Table15781012[[#This Row],[Period]],$L$16:$M$385,2,FALSE),0)</f>
        <v>0</v>
      </c>
      <c r="O258" s="3">
        <f>Table15781012[[#This Row],[Beginning Balance]]-Table15781012[[#This Row],[Principal]]-Table15781012[[#This Row],[Prepayments]]-Table15781012[[#This Row],[Defaulted Principal]]</f>
        <v>0</v>
      </c>
      <c r="P258" s="3">
        <f>Table15781012[[#This Row],[Principal]]+Table15781012[[#This Row],[Interest]]+Table15781012[[#This Row],[Prepayments]]+Table15781012[[#This Row],[RecoveredAmount]]</f>
        <v>0</v>
      </c>
      <c r="Q258" s="3">
        <f ca="1">ROUND(Table15781012[[#This Row],[Cash Flow]]/((1+ActualRateToUse)^(IF(ISNUMBER(SEARCH("Actual",$C$7)),Table15781012[[#This Row],[Running Total]]/365,Table15781012[[#This Row],[Period]]/12))),2)</f>
        <v>0</v>
      </c>
      <c r="R258" s="2">
        <f>IF(MONTH(Table15781012[[#This Row],[Date]])=2,28,DAY(DATE(YEAR(Table15781012[[#This Row],[Date]]),MONTH(Table15781012[[#This Row],[Date]])+1,1)-1))</f>
        <v>31</v>
      </c>
      <c r="S258" s="2">
        <f ca="1">SUM(OFFSET(Table15781012[[#Headers],[Days in month]],1,0):Table15781012[[#This Row],[Days in month]])</f>
        <v>7362</v>
      </c>
      <c r="T258" s="37">
        <f>InterestRate*AmortizationMultiplier*IF(ISNUMBER(SEARCH("Actual",$C$7)),Table15781012[[#This Row],[Days in month]]/365,1/12)</f>
        <v>6.0708333333333326E-3</v>
      </c>
    </row>
    <row r="259" spans="2:20" x14ac:dyDescent="0.2">
      <c r="B259" s="1">
        <f t="shared" si="10"/>
        <v>53235</v>
      </c>
      <c r="C259" s="2">
        <f t="shared" si="12"/>
        <v>243</v>
      </c>
      <c r="D259" s="3">
        <f t="shared" si="11"/>
        <v>0</v>
      </c>
      <c r="E259" s="3">
        <f>ROUND(Table15781012[[#This Row],[Beginning Balance]]*Table15781012[[#This Row],[Monthly Interest Rate]],2)</f>
        <v>0</v>
      </c>
      <c r="F259" s="3">
        <f t="shared" si="13"/>
        <v>109</v>
      </c>
      <c r="G259" s="23">
        <f>IFERROR(IF($C$13="No","N/A",IF(Table15781012[[#This Row],[Period]]=1,$C$6,PMT(InterestRate*AmortizationMultiplier/12,Table15781012[[#This Row],[Am Thru]],-Table15781012[[#This Row],[Beginning Balance]]))),0)</f>
        <v>0</v>
      </c>
      <c r="H259" s="3">
        <f>MAX(0,IF(C259=$C$4,D259,ROUND(IF($C$3="Fixed Principal",$C$6-Table15781012[[#This Row],[Interest]],IF($C$3="Interest Only",Table15781012[[#This Row],[Beginning Balance]]*ROUND(1-(1-IF($C$11="No",$E$8,1))^(1/12),6),MIN(IF($C$13="Yes",Table15781012[[#This Row],[Payment Amount (Reamortized)]],$C$6)-Table15781012[[#This Row],[Interest]],Table15781012[[#This Row],[Beginning Balance]]))),2)))</f>
        <v>0</v>
      </c>
      <c r="I259" s="3">
        <f>_xlfn.SINGLE(IF($C$3="Line of Credit",0,ROUND(MAX(MIN(IF($C$10="No",$E$7,VLOOKUP(Table15781012[[#This Row],[Period]],Forecast!$H$2:$L$1048576,4,FALSE))*Table15781012[[#This Row],[Beginning Balance]],Table15781012[[#This Row],[Beginning Balance]]-Table15781012[[#This Row],[Principal]]),0),2)))</f>
        <v>0</v>
      </c>
      <c r="J259" s="3">
        <f>ROUND(MIN(Table15781012[[#This Row],[Beginning Balance]]*IF($C$8="No",$E$3,VLOOKUP(Table15781012[[#This Row],[Period]],Forecast!$H$2:$L$1048576,2,FALSE)),Table15781012[[#This Row],[Beginning Balance]]-Table15781012[[#This Row],[Principal]]-Table15781012[[#This Row],[Prepayments]]),2)</f>
        <v>0</v>
      </c>
      <c r="K259" s="3">
        <f>ROUND(Table15781012[[#This Row],[Defaulted Principal]]*IF($C$9="No",$E$4,VLOOKUP(Table15781012[[#This Row],[Period]],Forecast!$H$2:$L$1048576,3,FALSE)),2)</f>
        <v>0</v>
      </c>
      <c r="L259" s="2">
        <f>Table15781012[[#This Row],[Period]]+$E$9</f>
        <v>255</v>
      </c>
      <c r="M259" s="3">
        <f>Table15781012[[#This Row],[Defaulted Principal]]-Table15781012[[#This Row],[Estimated Loss]]</f>
        <v>0</v>
      </c>
      <c r="N259" s="3">
        <f>IFERROR(VLOOKUP(Table15781012[[#This Row],[Period]],$L$16:$M$385,2,FALSE),0)</f>
        <v>0</v>
      </c>
      <c r="O259" s="3">
        <f>Table15781012[[#This Row],[Beginning Balance]]-Table15781012[[#This Row],[Principal]]-Table15781012[[#This Row],[Prepayments]]-Table15781012[[#This Row],[Defaulted Principal]]</f>
        <v>0</v>
      </c>
      <c r="P259" s="3">
        <f>Table15781012[[#This Row],[Principal]]+Table15781012[[#This Row],[Interest]]+Table15781012[[#This Row],[Prepayments]]+Table15781012[[#This Row],[RecoveredAmount]]</f>
        <v>0</v>
      </c>
      <c r="Q259" s="3">
        <f ca="1">ROUND(Table15781012[[#This Row],[Cash Flow]]/((1+ActualRateToUse)^(IF(ISNUMBER(SEARCH("Actual",$C$7)),Table15781012[[#This Row],[Running Total]]/365,Table15781012[[#This Row],[Period]]/12))),2)</f>
        <v>0</v>
      </c>
      <c r="R259" s="2">
        <f>IF(MONTH(Table15781012[[#This Row],[Date]])=2,28,DAY(DATE(YEAR(Table15781012[[#This Row],[Date]]),MONTH(Table15781012[[#This Row],[Date]])+1,1)-1))</f>
        <v>30</v>
      </c>
      <c r="S259" s="2">
        <f ca="1">SUM(OFFSET(Table15781012[[#Headers],[Days in month]],1,0):Table15781012[[#This Row],[Days in month]])</f>
        <v>7392</v>
      </c>
      <c r="T259" s="37">
        <f>InterestRate*AmortizationMultiplier*IF(ISNUMBER(SEARCH("Actual",$C$7)),Table15781012[[#This Row],[Days in month]]/365,1/12)</f>
        <v>5.8749999999999991E-3</v>
      </c>
    </row>
    <row r="260" spans="2:20" x14ac:dyDescent="0.2">
      <c r="B260" s="1">
        <f t="shared" si="10"/>
        <v>53266</v>
      </c>
      <c r="C260" s="2">
        <f t="shared" si="12"/>
        <v>244</v>
      </c>
      <c r="D260" s="3">
        <f t="shared" si="11"/>
        <v>0</v>
      </c>
      <c r="E260" s="3">
        <f>ROUND(Table15781012[[#This Row],[Beginning Balance]]*Table15781012[[#This Row],[Monthly Interest Rate]],2)</f>
        <v>0</v>
      </c>
      <c r="F260" s="3">
        <f t="shared" si="13"/>
        <v>108</v>
      </c>
      <c r="G260" s="23">
        <f>IFERROR(IF($C$13="No","N/A",IF(Table15781012[[#This Row],[Period]]=1,$C$6,PMT(InterestRate*AmortizationMultiplier/12,Table15781012[[#This Row],[Am Thru]],-Table15781012[[#This Row],[Beginning Balance]]))),0)</f>
        <v>0</v>
      </c>
      <c r="H260" s="3">
        <f>MAX(0,IF(C260=$C$4,D260,ROUND(IF($C$3="Fixed Principal",$C$6-Table15781012[[#This Row],[Interest]],IF($C$3="Interest Only",Table15781012[[#This Row],[Beginning Balance]]*ROUND(1-(1-IF($C$11="No",$E$8,1))^(1/12),6),MIN(IF($C$13="Yes",Table15781012[[#This Row],[Payment Amount (Reamortized)]],$C$6)-Table15781012[[#This Row],[Interest]],Table15781012[[#This Row],[Beginning Balance]]))),2)))</f>
        <v>0</v>
      </c>
      <c r="I260" s="3">
        <f>_xlfn.SINGLE(IF($C$3="Line of Credit",0,ROUND(MAX(MIN(IF($C$10="No",$E$7,VLOOKUP(Table15781012[[#This Row],[Period]],Forecast!$H$2:$L$1048576,4,FALSE))*Table15781012[[#This Row],[Beginning Balance]],Table15781012[[#This Row],[Beginning Balance]]-Table15781012[[#This Row],[Principal]]),0),2)))</f>
        <v>0</v>
      </c>
      <c r="J260" s="3">
        <f>ROUND(MIN(Table15781012[[#This Row],[Beginning Balance]]*IF($C$8="No",$E$3,VLOOKUP(Table15781012[[#This Row],[Period]],Forecast!$H$2:$L$1048576,2,FALSE)),Table15781012[[#This Row],[Beginning Balance]]-Table15781012[[#This Row],[Principal]]-Table15781012[[#This Row],[Prepayments]]),2)</f>
        <v>0</v>
      </c>
      <c r="K260" s="3">
        <f>ROUND(Table15781012[[#This Row],[Defaulted Principal]]*IF($C$9="No",$E$4,VLOOKUP(Table15781012[[#This Row],[Period]],Forecast!$H$2:$L$1048576,3,FALSE)),2)</f>
        <v>0</v>
      </c>
      <c r="L260" s="2">
        <f>Table15781012[[#This Row],[Period]]+$E$9</f>
        <v>256</v>
      </c>
      <c r="M260" s="3">
        <f>Table15781012[[#This Row],[Defaulted Principal]]-Table15781012[[#This Row],[Estimated Loss]]</f>
        <v>0</v>
      </c>
      <c r="N260" s="3">
        <f>IFERROR(VLOOKUP(Table15781012[[#This Row],[Period]],$L$16:$M$385,2,FALSE),0)</f>
        <v>0</v>
      </c>
      <c r="O260" s="3">
        <f>Table15781012[[#This Row],[Beginning Balance]]-Table15781012[[#This Row],[Principal]]-Table15781012[[#This Row],[Prepayments]]-Table15781012[[#This Row],[Defaulted Principal]]</f>
        <v>0</v>
      </c>
      <c r="P260" s="3">
        <f>Table15781012[[#This Row],[Principal]]+Table15781012[[#This Row],[Interest]]+Table15781012[[#This Row],[Prepayments]]+Table15781012[[#This Row],[RecoveredAmount]]</f>
        <v>0</v>
      </c>
      <c r="Q260" s="3">
        <f ca="1">ROUND(Table15781012[[#This Row],[Cash Flow]]/((1+ActualRateToUse)^(IF(ISNUMBER(SEARCH("Actual",$C$7)),Table15781012[[#This Row],[Running Total]]/365,Table15781012[[#This Row],[Period]]/12))),2)</f>
        <v>0</v>
      </c>
      <c r="R260" s="2">
        <f>IF(MONTH(Table15781012[[#This Row],[Date]])=2,28,DAY(DATE(YEAR(Table15781012[[#This Row],[Date]]),MONTH(Table15781012[[#This Row],[Date]])+1,1)-1))</f>
        <v>31</v>
      </c>
      <c r="S260" s="2">
        <f ca="1">SUM(OFFSET(Table15781012[[#Headers],[Days in month]],1,0):Table15781012[[#This Row],[Days in month]])</f>
        <v>7423</v>
      </c>
      <c r="T260" s="37">
        <f>InterestRate*AmortizationMultiplier*IF(ISNUMBER(SEARCH("Actual",$C$7)),Table15781012[[#This Row],[Days in month]]/365,1/12)</f>
        <v>6.0708333333333326E-3</v>
      </c>
    </row>
    <row r="261" spans="2:20" x14ac:dyDescent="0.2">
      <c r="B261" s="1">
        <f t="shared" si="10"/>
        <v>53296</v>
      </c>
      <c r="C261" s="2">
        <f t="shared" si="12"/>
        <v>245</v>
      </c>
      <c r="D261" s="3">
        <f t="shared" si="11"/>
        <v>0</v>
      </c>
      <c r="E261" s="3">
        <f>ROUND(Table15781012[[#This Row],[Beginning Balance]]*Table15781012[[#This Row],[Monthly Interest Rate]],2)</f>
        <v>0</v>
      </c>
      <c r="F261" s="3">
        <f t="shared" si="13"/>
        <v>107</v>
      </c>
      <c r="G261" s="23">
        <f>IFERROR(IF($C$13="No","N/A",IF(Table15781012[[#This Row],[Period]]=1,$C$6,PMT(InterestRate*AmortizationMultiplier/12,Table15781012[[#This Row],[Am Thru]],-Table15781012[[#This Row],[Beginning Balance]]))),0)</f>
        <v>0</v>
      </c>
      <c r="H261" s="3">
        <f>MAX(0,IF(C261=$C$4,D261,ROUND(IF($C$3="Fixed Principal",$C$6-Table15781012[[#This Row],[Interest]],IF($C$3="Interest Only",Table15781012[[#This Row],[Beginning Balance]]*ROUND(1-(1-IF($C$11="No",$E$8,1))^(1/12),6),MIN(IF($C$13="Yes",Table15781012[[#This Row],[Payment Amount (Reamortized)]],$C$6)-Table15781012[[#This Row],[Interest]],Table15781012[[#This Row],[Beginning Balance]]))),2)))</f>
        <v>0</v>
      </c>
      <c r="I261" s="3">
        <f>_xlfn.SINGLE(IF($C$3="Line of Credit",0,ROUND(MAX(MIN(IF($C$10="No",$E$7,VLOOKUP(Table15781012[[#This Row],[Period]],Forecast!$H$2:$L$1048576,4,FALSE))*Table15781012[[#This Row],[Beginning Balance]],Table15781012[[#This Row],[Beginning Balance]]-Table15781012[[#This Row],[Principal]]),0),2)))</f>
        <v>0</v>
      </c>
      <c r="J261" s="3">
        <f>ROUND(MIN(Table15781012[[#This Row],[Beginning Balance]]*IF($C$8="No",$E$3,VLOOKUP(Table15781012[[#This Row],[Period]],Forecast!$H$2:$L$1048576,2,FALSE)),Table15781012[[#This Row],[Beginning Balance]]-Table15781012[[#This Row],[Principal]]-Table15781012[[#This Row],[Prepayments]]),2)</f>
        <v>0</v>
      </c>
      <c r="K261" s="3">
        <f>ROUND(Table15781012[[#This Row],[Defaulted Principal]]*IF($C$9="No",$E$4,VLOOKUP(Table15781012[[#This Row],[Period]],Forecast!$H$2:$L$1048576,3,FALSE)),2)</f>
        <v>0</v>
      </c>
      <c r="L261" s="2">
        <f>Table15781012[[#This Row],[Period]]+$E$9</f>
        <v>257</v>
      </c>
      <c r="M261" s="3">
        <f>Table15781012[[#This Row],[Defaulted Principal]]-Table15781012[[#This Row],[Estimated Loss]]</f>
        <v>0</v>
      </c>
      <c r="N261" s="3">
        <f>IFERROR(VLOOKUP(Table15781012[[#This Row],[Period]],$L$16:$M$385,2,FALSE),0)</f>
        <v>0</v>
      </c>
      <c r="O261" s="3">
        <f>Table15781012[[#This Row],[Beginning Balance]]-Table15781012[[#This Row],[Principal]]-Table15781012[[#This Row],[Prepayments]]-Table15781012[[#This Row],[Defaulted Principal]]</f>
        <v>0</v>
      </c>
      <c r="P261" s="3">
        <f>Table15781012[[#This Row],[Principal]]+Table15781012[[#This Row],[Interest]]+Table15781012[[#This Row],[Prepayments]]+Table15781012[[#This Row],[RecoveredAmount]]</f>
        <v>0</v>
      </c>
      <c r="Q261" s="3">
        <f ca="1">ROUND(Table15781012[[#This Row],[Cash Flow]]/((1+ActualRateToUse)^(IF(ISNUMBER(SEARCH("Actual",$C$7)),Table15781012[[#This Row],[Running Total]]/365,Table15781012[[#This Row],[Period]]/12))),2)</f>
        <v>0</v>
      </c>
      <c r="R261" s="2">
        <f>IF(MONTH(Table15781012[[#This Row],[Date]])=2,28,DAY(DATE(YEAR(Table15781012[[#This Row],[Date]]),MONTH(Table15781012[[#This Row],[Date]])+1,1)-1))</f>
        <v>30</v>
      </c>
      <c r="S261" s="2">
        <f ca="1">SUM(OFFSET(Table15781012[[#Headers],[Days in month]],1,0):Table15781012[[#This Row],[Days in month]])</f>
        <v>7453</v>
      </c>
      <c r="T261" s="37">
        <f>InterestRate*AmortizationMultiplier*IF(ISNUMBER(SEARCH("Actual",$C$7)),Table15781012[[#This Row],[Days in month]]/365,1/12)</f>
        <v>5.8749999999999991E-3</v>
      </c>
    </row>
    <row r="262" spans="2:20" x14ac:dyDescent="0.2">
      <c r="B262" s="1">
        <f t="shared" si="10"/>
        <v>53327</v>
      </c>
      <c r="C262" s="2">
        <f t="shared" si="12"/>
        <v>246</v>
      </c>
      <c r="D262" s="3">
        <f t="shared" si="11"/>
        <v>0</v>
      </c>
      <c r="E262" s="3">
        <f>ROUND(Table15781012[[#This Row],[Beginning Balance]]*Table15781012[[#This Row],[Monthly Interest Rate]],2)</f>
        <v>0</v>
      </c>
      <c r="F262" s="3">
        <f t="shared" si="13"/>
        <v>106</v>
      </c>
      <c r="G262" s="23">
        <f>IFERROR(IF($C$13="No","N/A",IF(Table15781012[[#This Row],[Period]]=1,$C$6,PMT(InterestRate*AmortizationMultiplier/12,Table15781012[[#This Row],[Am Thru]],-Table15781012[[#This Row],[Beginning Balance]]))),0)</f>
        <v>0</v>
      </c>
      <c r="H262" s="3">
        <f>MAX(0,IF(C262=$C$4,D262,ROUND(IF($C$3="Fixed Principal",$C$6-Table15781012[[#This Row],[Interest]],IF($C$3="Interest Only",Table15781012[[#This Row],[Beginning Balance]]*ROUND(1-(1-IF($C$11="No",$E$8,1))^(1/12),6),MIN(IF($C$13="Yes",Table15781012[[#This Row],[Payment Amount (Reamortized)]],$C$6)-Table15781012[[#This Row],[Interest]],Table15781012[[#This Row],[Beginning Balance]]))),2)))</f>
        <v>0</v>
      </c>
      <c r="I262" s="3">
        <f>_xlfn.SINGLE(IF($C$3="Line of Credit",0,ROUND(MAX(MIN(IF($C$10="No",$E$7,VLOOKUP(Table15781012[[#This Row],[Period]],Forecast!$H$2:$L$1048576,4,FALSE))*Table15781012[[#This Row],[Beginning Balance]],Table15781012[[#This Row],[Beginning Balance]]-Table15781012[[#This Row],[Principal]]),0),2)))</f>
        <v>0</v>
      </c>
      <c r="J262" s="3">
        <f>ROUND(MIN(Table15781012[[#This Row],[Beginning Balance]]*IF($C$8="No",$E$3,VLOOKUP(Table15781012[[#This Row],[Period]],Forecast!$H$2:$L$1048576,2,FALSE)),Table15781012[[#This Row],[Beginning Balance]]-Table15781012[[#This Row],[Principal]]-Table15781012[[#This Row],[Prepayments]]),2)</f>
        <v>0</v>
      </c>
      <c r="K262" s="3">
        <f>ROUND(Table15781012[[#This Row],[Defaulted Principal]]*IF($C$9="No",$E$4,VLOOKUP(Table15781012[[#This Row],[Period]],Forecast!$H$2:$L$1048576,3,FALSE)),2)</f>
        <v>0</v>
      </c>
      <c r="L262" s="2">
        <f>Table15781012[[#This Row],[Period]]+$E$9</f>
        <v>258</v>
      </c>
      <c r="M262" s="3">
        <f>Table15781012[[#This Row],[Defaulted Principal]]-Table15781012[[#This Row],[Estimated Loss]]</f>
        <v>0</v>
      </c>
      <c r="N262" s="3">
        <f>IFERROR(VLOOKUP(Table15781012[[#This Row],[Period]],$L$16:$M$385,2,FALSE),0)</f>
        <v>0</v>
      </c>
      <c r="O262" s="3">
        <f>Table15781012[[#This Row],[Beginning Balance]]-Table15781012[[#This Row],[Principal]]-Table15781012[[#This Row],[Prepayments]]-Table15781012[[#This Row],[Defaulted Principal]]</f>
        <v>0</v>
      </c>
      <c r="P262" s="3">
        <f>Table15781012[[#This Row],[Principal]]+Table15781012[[#This Row],[Interest]]+Table15781012[[#This Row],[Prepayments]]+Table15781012[[#This Row],[RecoveredAmount]]</f>
        <v>0</v>
      </c>
      <c r="Q262" s="3">
        <f ca="1">ROUND(Table15781012[[#This Row],[Cash Flow]]/((1+ActualRateToUse)^(IF(ISNUMBER(SEARCH("Actual",$C$7)),Table15781012[[#This Row],[Running Total]]/365,Table15781012[[#This Row],[Period]]/12))),2)</f>
        <v>0</v>
      </c>
      <c r="R262" s="2">
        <f>IF(MONTH(Table15781012[[#This Row],[Date]])=2,28,DAY(DATE(YEAR(Table15781012[[#This Row],[Date]]),MONTH(Table15781012[[#This Row],[Date]])+1,1)-1))</f>
        <v>31</v>
      </c>
      <c r="S262" s="2">
        <f ca="1">SUM(OFFSET(Table15781012[[#Headers],[Days in month]],1,0):Table15781012[[#This Row],[Days in month]])</f>
        <v>7484</v>
      </c>
      <c r="T262" s="37">
        <f>InterestRate*AmortizationMultiplier*IF(ISNUMBER(SEARCH("Actual",$C$7)),Table15781012[[#This Row],[Days in month]]/365,1/12)</f>
        <v>6.0708333333333326E-3</v>
      </c>
    </row>
    <row r="263" spans="2:20" x14ac:dyDescent="0.2">
      <c r="B263" s="1">
        <f t="shared" si="10"/>
        <v>53358</v>
      </c>
      <c r="C263" s="2">
        <f t="shared" si="12"/>
        <v>247</v>
      </c>
      <c r="D263" s="3">
        <f t="shared" si="11"/>
        <v>0</v>
      </c>
      <c r="E263" s="3">
        <f>ROUND(Table15781012[[#This Row],[Beginning Balance]]*Table15781012[[#This Row],[Monthly Interest Rate]],2)</f>
        <v>0</v>
      </c>
      <c r="F263" s="3">
        <f t="shared" si="13"/>
        <v>105</v>
      </c>
      <c r="G263" s="23">
        <f>IFERROR(IF($C$13="No","N/A",IF(Table15781012[[#This Row],[Period]]=1,$C$6,PMT(InterestRate*AmortizationMultiplier/12,Table15781012[[#This Row],[Am Thru]],-Table15781012[[#This Row],[Beginning Balance]]))),0)</f>
        <v>0</v>
      </c>
      <c r="H263" s="3">
        <f>MAX(0,IF(C263=$C$4,D263,ROUND(IF($C$3="Fixed Principal",$C$6-Table15781012[[#This Row],[Interest]],IF($C$3="Interest Only",Table15781012[[#This Row],[Beginning Balance]]*ROUND(1-(1-IF($C$11="No",$E$8,1))^(1/12),6),MIN(IF($C$13="Yes",Table15781012[[#This Row],[Payment Amount (Reamortized)]],$C$6)-Table15781012[[#This Row],[Interest]],Table15781012[[#This Row],[Beginning Balance]]))),2)))</f>
        <v>0</v>
      </c>
      <c r="I263" s="3">
        <f>_xlfn.SINGLE(IF($C$3="Line of Credit",0,ROUND(MAX(MIN(IF($C$10="No",$E$7,VLOOKUP(Table15781012[[#This Row],[Period]],Forecast!$H$2:$L$1048576,4,FALSE))*Table15781012[[#This Row],[Beginning Balance]],Table15781012[[#This Row],[Beginning Balance]]-Table15781012[[#This Row],[Principal]]),0),2)))</f>
        <v>0</v>
      </c>
      <c r="J263" s="3">
        <f>ROUND(MIN(Table15781012[[#This Row],[Beginning Balance]]*IF($C$8="No",$E$3,VLOOKUP(Table15781012[[#This Row],[Period]],Forecast!$H$2:$L$1048576,2,FALSE)),Table15781012[[#This Row],[Beginning Balance]]-Table15781012[[#This Row],[Principal]]-Table15781012[[#This Row],[Prepayments]]),2)</f>
        <v>0</v>
      </c>
      <c r="K263" s="3">
        <f>ROUND(Table15781012[[#This Row],[Defaulted Principal]]*IF($C$9="No",$E$4,VLOOKUP(Table15781012[[#This Row],[Period]],Forecast!$H$2:$L$1048576,3,FALSE)),2)</f>
        <v>0</v>
      </c>
      <c r="L263" s="2">
        <f>Table15781012[[#This Row],[Period]]+$E$9</f>
        <v>259</v>
      </c>
      <c r="M263" s="3">
        <f>Table15781012[[#This Row],[Defaulted Principal]]-Table15781012[[#This Row],[Estimated Loss]]</f>
        <v>0</v>
      </c>
      <c r="N263" s="3">
        <f>IFERROR(VLOOKUP(Table15781012[[#This Row],[Period]],$L$16:$M$385,2,FALSE),0)</f>
        <v>0</v>
      </c>
      <c r="O263" s="3">
        <f>Table15781012[[#This Row],[Beginning Balance]]-Table15781012[[#This Row],[Principal]]-Table15781012[[#This Row],[Prepayments]]-Table15781012[[#This Row],[Defaulted Principal]]</f>
        <v>0</v>
      </c>
      <c r="P263" s="3">
        <f>Table15781012[[#This Row],[Principal]]+Table15781012[[#This Row],[Interest]]+Table15781012[[#This Row],[Prepayments]]+Table15781012[[#This Row],[RecoveredAmount]]</f>
        <v>0</v>
      </c>
      <c r="Q263" s="3">
        <f ca="1">ROUND(Table15781012[[#This Row],[Cash Flow]]/((1+ActualRateToUse)^(IF(ISNUMBER(SEARCH("Actual",$C$7)),Table15781012[[#This Row],[Running Total]]/365,Table15781012[[#This Row],[Period]]/12))),2)</f>
        <v>0</v>
      </c>
      <c r="R263" s="2">
        <f>IF(MONTH(Table15781012[[#This Row],[Date]])=2,28,DAY(DATE(YEAR(Table15781012[[#This Row],[Date]]),MONTH(Table15781012[[#This Row],[Date]])+1,1)-1))</f>
        <v>31</v>
      </c>
      <c r="S263" s="2">
        <f ca="1">SUM(OFFSET(Table15781012[[#Headers],[Days in month]],1,0):Table15781012[[#This Row],[Days in month]])</f>
        <v>7515</v>
      </c>
      <c r="T263" s="37">
        <f>InterestRate*AmortizationMultiplier*IF(ISNUMBER(SEARCH("Actual",$C$7)),Table15781012[[#This Row],[Days in month]]/365,1/12)</f>
        <v>6.0708333333333326E-3</v>
      </c>
    </row>
    <row r="264" spans="2:20" x14ac:dyDescent="0.2">
      <c r="B264" s="1">
        <f t="shared" si="10"/>
        <v>53386</v>
      </c>
      <c r="C264" s="2">
        <f t="shared" si="12"/>
        <v>248</v>
      </c>
      <c r="D264" s="3">
        <f t="shared" si="11"/>
        <v>0</v>
      </c>
      <c r="E264" s="3">
        <f>ROUND(Table15781012[[#This Row],[Beginning Balance]]*Table15781012[[#This Row],[Monthly Interest Rate]],2)</f>
        <v>0</v>
      </c>
      <c r="F264" s="3">
        <f t="shared" si="13"/>
        <v>104</v>
      </c>
      <c r="G264" s="23">
        <f>IFERROR(IF($C$13="No","N/A",IF(Table15781012[[#This Row],[Period]]=1,$C$6,PMT(InterestRate*AmortizationMultiplier/12,Table15781012[[#This Row],[Am Thru]],-Table15781012[[#This Row],[Beginning Balance]]))),0)</f>
        <v>0</v>
      </c>
      <c r="H264" s="3">
        <f>MAX(0,IF(C264=$C$4,D264,ROUND(IF($C$3="Fixed Principal",$C$6-Table15781012[[#This Row],[Interest]],IF($C$3="Interest Only",Table15781012[[#This Row],[Beginning Balance]]*ROUND(1-(1-IF($C$11="No",$E$8,1))^(1/12),6),MIN(IF($C$13="Yes",Table15781012[[#This Row],[Payment Amount (Reamortized)]],$C$6)-Table15781012[[#This Row],[Interest]],Table15781012[[#This Row],[Beginning Balance]]))),2)))</f>
        <v>0</v>
      </c>
      <c r="I264" s="3">
        <f>_xlfn.SINGLE(IF($C$3="Line of Credit",0,ROUND(MAX(MIN(IF($C$10="No",$E$7,VLOOKUP(Table15781012[[#This Row],[Period]],Forecast!$H$2:$L$1048576,4,FALSE))*Table15781012[[#This Row],[Beginning Balance]],Table15781012[[#This Row],[Beginning Balance]]-Table15781012[[#This Row],[Principal]]),0),2)))</f>
        <v>0</v>
      </c>
      <c r="J264" s="3">
        <f>ROUND(MIN(Table15781012[[#This Row],[Beginning Balance]]*IF($C$8="No",$E$3,VLOOKUP(Table15781012[[#This Row],[Period]],Forecast!$H$2:$L$1048576,2,FALSE)),Table15781012[[#This Row],[Beginning Balance]]-Table15781012[[#This Row],[Principal]]-Table15781012[[#This Row],[Prepayments]]),2)</f>
        <v>0</v>
      </c>
      <c r="K264" s="3">
        <f>ROUND(Table15781012[[#This Row],[Defaulted Principal]]*IF($C$9="No",$E$4,VLOOKUP(Table15781012[[#This Row],[Period]],Forecast!$H$2:$L$1048576,3,FALSE)),2)</f>
        <v>0</v>
      </c>
      <c r="L264" s="2">
        <f>Table15781012[[#This Row],[Period]]+$E$9</f>
        <v>260</v>
      </c>
      <c r="M264" s="3">
        <f>Table15781012[[#This Row],[Defaulted Principal]]-Table15781012[[#This Row],[Estimated Loss]]</f>
        <v>0</v>
      </c>
      <c r="N264" s="3">
        <f>IFERROR(VLOOKUP(Table15781012[[#This Row],[Period]],$L$16:$M$385,2,FALSE),0)</f>
        <v>0</v>
      </c>
      <c r="O264" s="3">
        <f>Table15781012[[#This Row],[Beginning Balance]]-Table15781012[[#This Row],[Principal]]-Table15781012[[#This Row],[Prepayments]]-Table15781012[[#This Row],[Defaulted Principal]]</f>
        <v>0</v>
      </c>
      <c r="P264" s="3">
        <f>Table15781012[[#This Row],[Principal]]+Table15781012[[#This Row],[Interest]]+Table15781012[[#This Row],[Prepayments]]+Table15781012[[#This Row],[RecoveredAmount]]</f>
        <v>0</v>
      </c>
      <c r="Q264" s="3">
        <f ca="1">ROUND(Table15781012[[#This Row],[Cash Flow]]/((1+ActualRateToUse)^(IF(ISNUMBER(SEARCH("Actual",$C$7)),Table15781012[[#This Row],[Running Total]]/365,Table15781012[[#This Row],[Period]]/12))),2)</f>
        <v>0</v>
      </c>
      <c r="R264" s="2">
        <f>IF(MONTH(Table15781012[[#This Row],[Date]])=2,28,DAY(DATE(YEAR(Table15781012[[#This Row],[Date]]),MONTH(Table15781012[[#This Row],[Date]])+1,1)-1))</f>
        <v>28</v>
      </c>
      <c r="S264" s="2">
        <f ca="1">SUM(OFFSET(Table15781012[[#Headers],[Days in month]],1,0):Table15781012[[#This Row],[Days in month]])</f>
        <v>7543</v>
      </c>
      <c r="T264" s="37">
        <f>InterestRate*AmortizationMultiplier*IF(ISNUMBER(SEARCH("Actual",$C$7)),Table15781012[[#This Row],[Days in month]]/365,1/12)</f>
        <v>5.4833333333333331E-3</v>
      </c>
    </row>
    <row r="265" spans="2:20" x14ac:dyDescent="0.2">
      <c r="B265" s="1">
        <f t="shared" si="10"/>
        <v>53417</v>
      </c>
      <c r="C265" s="2">
        <f t="shared" si="12"/>
        <v>249</v>
      </c>
      <c r="D265" s="3">
        <f t="shared" si="11"/>
        <v>0</v>
      </c>
      <c r="E265" s="3">
        <f>ROUND(Table15781012[[#This Row],[Beginning Balance]]*Table15781012[[#This Row],[Monthly Interest Rate]],2)</f>
        <v>0</v>
      </c>
      <c r="F265" s="3">
        <f t="shared" si="13"/>
        <v>103</v>
      </c>
      <c r="G265" s="23">
        <f>IFERROR(IF($C$13="No","N/A",IF(Table15781012[[#This Row],[Period]]=1,$C$6,PMT(InterestRate*AmortizationMultiplier/12,Table15781012[[#This Row],[Am Thru]],-Table15781012[[#This Row],[Beginning Balance]]))),0)</f>
        <v>0</v>
      </c>
      <c r="H265" s="3">
        <f>MAX(0,IF(C265=$C$4,D265,ROUND(IF($C$3="Fixed Principal",$C$6-Table15781012[[#This Row],[Interest]],IF($C$3="Interest Only",Table15781012[[#This Row],[Beginning Balance]]*ROUND(1-(1-IF($C$11="No",$E$8,1))^(1/12),6),MIN(IF($C$13="Yes",Table15781012[[#This Row],[Payment Amount (Reamortized)]],$C$6)-Table15781012[[#This Row],[Interest]],Table15781012[[#This Row],[Beginning Balance]]))),2)))</f>
        <v>0</v>
      </c>
      <c r="I265" s="3">
        <f>_xlfn.SINGLE(IF($C$3="Line of Credit",0,ROUND(MAX(MIN(IF($C$10="No",$E$7,VLOOKUP(Table15781012[[#This Row],[Period]],Forecast!$H$2:$L$1048576,4,FALSE))*Table15781012[[#This Row],[Beginning Balance]],Table15781012[[#This Row],[Beginning Balance]]-Table15781012[[#This Row],[Principal]]),0),2)))</f>
        <v>0</v>
      </c>
      <c r="J265" s="3">
        <f>ROUND(MIN(Table15781012[[#This Row],[Beginning Balance]]*IF($C$8="No",$E$3,VLOOKUP(Table15781012[[#This Row],[Period]],Forecast!$H$2:$L$1048576,2,FALSE)),Table15781012[[#This Row],[Beginning Balance]]-Table15781012[[#This Row],[Principal]]-Table15781012[[#This Row],[Prepayments]]),2)</f>
        <v>0</v>
      </c>
      <c r="K265" s="3">
        <f>ROUND(Table15781012[[#This Row],[Defaulted Principal]]*IF($C$9="No",$E$4,VLOOKUP(Table15781012[[#This Row],[Period]],Forecast!$H$2:$L$1048576,3,FALSE)),2)</f>
        <v>0</v>
      </c>
      <c r="L265" s="2">
        <f>Table15781012[[#This Row],[Period]]+$E$9</f>
        <v>261</v>
      </c>
      <c r="M265" s="3">
        <f>Table15781012[[#This Row],[Defaulted Principal]]-Table15781012[[#This Row],[Estimated Loss]]</f>
        <v>0</v>
      </c>
      <c r="N265" s="3">
        <f>IFERROR(VLOOKUP(Table15781012[[#This Row],[Period]],$L$16:$M$385,2,FALSE),0)</f>
        <v>0</v>
      </c>
      <c r="O265" s="3">
        <f>Table15781012[[#This Row],[Beginning Balance]]-Table15781012[[#This Row],[Principal]]-Table15781012[[#This Row],[Prepayments]]-Table15781012[[#This Row],[Defaulted Principal]]</f>
        <v>0</v>
      </c>
      <c r="P265" s="3">
        <f>Table15781012[[#This Row],[Principal]]+Table15781012[[#This Row],[Interest]]+Table15781012[[#This Row],[Prepayments]]+Table15781012[[#This Row],[RecoveredAmount]]</f>
        <v>0</v>
      </c>
      <c r="Q265" s="3">
        <f ca="1">ROUND(Table15781012[[#This Row],[Cash Flow]]/((1+ActualRateToUse)^(IF(ISNUMBER(SEARCH("Actual",$C$7)),Table15781012[[#This Row],[Running Total]]/365,Table15781012[[#This Row],[Period]]/12))),2)</f>
        <v>0</v>
      </c>
      <c r="R265" s="2">
        <f>IF(MONTH(Table15781012[[#This Row],[Date]])=2,28,DAY(DATE(YEAR(Table15781012[[#This Row],[Date]]),MONTH(Table15781012[[#This Row],[Date]])+1,1)-1))</f>
        <v>31</v>
      </c>
      <c r="S265" s="2">
        <f ca="1">SUM(OFFSET(Table15781012[[#Headers],[Days in month]],1,0):Table15781012[[#This Row],[Days in month]])</f>
        <v>7574</v>
      </c>
      <c r="T265" s="37">
        <f>InterestRate*AmortizationMultiplier*IF(ISNUMBER(SEARCH("Actual",$C$7)),Table15781012[[#This Row],[Days in month]]/365,1/12)</f>
        <v>6.0708333333333326E-3</v>
      </c>
    </row>
    <row r="266" spans="2:20" x14ac:dyDescent="0.2">
      <c r="B266" s="1">
        <f t="shared" si="10"/>
        <v>53447</v>
      </c>
      <c r="C266" s="2">
        <f t="shared" si="12"/>
        <v>250</v>
      </c>
      <c r="D266" s="3">
        <f t="shared" si="11"/>
        <v>0</v>
      </c>
      <c r="E266" s="3">
        <f>ROUND(Table15781012[[#This Row],[Beginning Balance]]*Table15781012[[#This Row],[Monthly Interest Rate]],2)</f>
        <v>0</v>
      </c>
      <c r="F266" s="3">
        <f t="shared" si="13"/>
        <v>102</v>
      </c>
      <c r="G266" s="23">
        <f>IFERROR(IF($C$13="No","N/A",IF(Table15781012[[#This Row],[Period]]=1,$C$6,PMT(InterestRate*AmortizationMultiplier/12,Table15781012[[#This Row],[Am Thru]],-Table15781012[[#This Row],[Beginning Balance]]))),0)</f>
        <v>0</v>
      </c>
      <c r="H266" s="3">
        <f>MAX(0,IF(C266=$C$4,D266,ROUND(IF($C$3="Fixed Principal",$C$6-Table15781012[[#This Row],[Interest]],IF($C$3="Interest Only",Table15781012[[#This Row],[Beginning Balance]]*ROUND(1-(1-IF($C$11="No",$E$8,1))^(1/12),6),MIN(IF($C$13="Yes",Table15781012[[#This Row],[Payment Amount (Reamortized)]],$C$6)-Table15781012[[#This Row],[Interest]],Table15781012[[#This Row],[Beginning Balance]]))),2)))</f>
        <v>0</v>
      </c>
      <c r="I266" s="3">
        <f>_xlfn.SINGLE(IF($C$3="Line of Credit",0,ROUND(MAX(MIN(IF($C$10="No",$E$7,VLOOKUP(Table15781012[[#This Row],[Period]],Forecast!$H$2:$L$1048576,4,FALSE))*Table15781012[[#This Row],[Beginning Balance]],Table15781012[[#This Row],[Beginning Balance]]-Table15781012[[#This Row],[Principal]]),0),2)))</f>
        <v>0</v>
      </c>
      <c r="J266" s="3">
        <f>ROUND(MIN(Table15781012[[#This Row],[Beginning Balance]]*IF($C$8="No",$E$3,VLOOKUP(Table15781012[[#This Row],[Period]],Forecast!$H$2:$L$1048576,2,FALSE)),Table15781012[[#This Row],[Beginning Balance]]-Table15781012[[#This Row],[Principal]]-Table15781012[[#This Row],[Prepayments]]),2)</f>
        <v>0</v>
      </c>
      <c r="K266" s="3">
        <f>ROUND(Table15781012[[#This Row],[Defaulted Principal]]*IF($C$9="No",$E$4,VLOOKUP(Table15781012[[#This Row],[Period]],Forecast!$H$2:$L$1048576,3,FALSE)),2)</f>
        <v>0</v>
      </c>
      <c r="L266" s="2">
        <f>Table15781012[[#This Row],[Period]]+$E$9</f>
        <v>262</v>
      </c>
      <c r="M266" s="3">
        <f>Table15781012[[#This Row],[Defaulted Principal]]-Table15781012[[#This Row],[Estimated Loss]]</f>
        <v>0</v>
      </c>
      <c r="N266" s="3">
        <f>IFERROR(VLOOKUP(Table15781012[[#This Row],[Period]],$L$16:$M$385,2,FALSE),0)</f>
        <v>0</v>
      </c>
      <c r="O266" s="3">
        <f>Table15781012[[#This Row],[Beginning Balance]]-Table15781012[[#This Row],[Principal]]-Table15781012[[#This Row],[Prepayments]]-Table15781012[[#This Row],[Defaulted Principal]]</f>
        <v>0</v>
      </c>
      <c r="P266" s="3">
        <f>Table15781012[[#This Row],[Principal]]+Table15781012[[#This Row],[Interest]]+Table15781012[[#This Row],[Prepayments]]+Table15781012[[#This Row],[RecoveredAmount]]</f>
        <v>0</v>
      </c>
      <c r="Q266" s="3">
        <f ca="1">ROUND(Table15781012[[#This Row],[Cash Flow]]/((1+ActualRateToUse)^(IF(ISNUMBER(SEARCH("Actual",$C$7)),Table15781012[[#This Row],[Running Total]]/365,Table15781012[[#This Row],[Period]]/12))),2)</f>
        <v>0</v>
      </c>
      <c r="R266" s="2">
        <f>IF(MONTH(Table15781012[[#This Row],[Date]])=2,28,DAY(DATE(YEAR(Table15781012[[#This Row],[Date]]),MONTH(Table15781012[[#This Row],[Date]])+1,1)-1))</f>
        <v>30</v>
      </c>
      <c r="S266" s="2">
        <f ca="1">SUM(OFFSET(Table15781012[[#Headers],[Days in month]],1,0):Table15781012[[#This Row],[Days in month]])</f>
        <v>7604</v>
      </c>
      <c r="T266" s="37">
        <f>InterestRate*AmortizationMultiplier*IF(ISNUMBER(SEARCH("Actual",$C$7)),Table15781012[[#This Row],[Days in month]]/365,1/12)</f>
        <v>5.8749999999999991E-3</v>
      </c>
    </row>
    <row r="267" spans="2:20" x14ac:dyDescent="0.2">
      <c r="B267" s="1">
        <f t="shared" ref="B267:B330" si="14">EOMONTH(B266,1)</f>
        <v>53478</v>
      </c>
      <c r="C267" s="2">
        <f t="shared" si="12"/>
        <v>251</v>
      </c>
      <c r="D267" s="3">
        <f t="shared" si="11"/>
        <v>0</v>
      </c>
      <c r="E267" s="3">
        <f>ROUND(Table15781012[[#This Row],[Beginning Balance]]*Table15781012[[#This Row],[Monthly Interest Rate]],2)</f>
        <v>0</v>
      </c>
      <c r="F267" s="3">
        <f t="shared" si="13"/>
        <v>101</v>
      </c>
      <c r="G267" s="23">
        <f>IFERROR(IF($C$13="No","N/A",IF(Table15781012[[#This Row],[Period]]=1,$C$6,PMT(InterestRate*AmortizationMultiplier/12,Table15781012[[#This Row],[Am Thru]],-Table15781012[[#This Row],[Beginning Balance]]))),0)</f>
        <v>0</v>
      </c>
      <c r="H267" s="3">
        <f>MAX(0,IF(C267=$C$4,D267,ROUND(IF($C$3="Fixed Principal",$C$6-Table15781012[[#This Row],[Interest]],IF($C$3="Interest Only",Table15781012[[#This Row],[Beginning Balance]]*ROUND(1-(1-IF($C$11="No",$E$8,1))^(1/12),6),MIN(IF($C$13="Yes",Table15781012[[#This Row],[Payment Amount (Reamortized)]],$C$6)-Table15781012[[#This Row],[Interest]],Table15781012[[#This Row],[Beginning Balance]]))),2)))</f>
        <v>0</v>
      </c>
      <c r="I267" s="3">
        <f>_xlfn.SINGLE(IF($C$3="Line of Credit",0,ROUND(MAX(MIN(IF($C$10="No",$E$7,VLOOKUP(Table15781012[[#This Row],[Period]],Forecast!$H$2:$L$1048576,4,FALSE))*Table15781012[[#This Row],[Beginning Balance]],Table15781012[[#This Row],[Beginning Balance]]-Table15781012[[#This Row],[Principal]]),0),2)))</f>
        <v>0</v>
      </c>
      <c r="J267" s="3">
        <f>ROUND(MIN(Table15781012[[#This Row],[Beginning Balance]]*IF($C$8="No",$E$3,VLOOKUP(Table15781012[[#This Row],[Period]],Forecast!$H$2:$L$1048576,2,FALSE)),Table15781012[[#This Row],[Beginning Balance]]-Table15781012[[#This Row],[Principal]]-Table15781012[[#This Row],[Prepayments]]),2)</f>
        <v>0</v>
      </c>
      <c r="K267" s="3">
        <f>ROUND(Table15781012[[#This Row],[Defaulted Principal]]*IF($C$9="No",$E$4,VLOOKUP(Table15781012[[#This Row],[Period]],Forecast!$H$2:$L$1048576,3,FALSE)),2)</f>
        <v>0</v>
      </c>
      <c r="L267" s="2">
        <f>Table15781012[[#This Row],[Period]]+$E$9</f>
        <v>263</v>
      </c>
      <c r="M267" s="3">
        <f>Table15781012[[#This Row],[Defaulted Principal]]-Table15781012[[#This Row],[Estimated Loss]]</f>
        <v>0</v>
      </c>
      <c r="N267" s="3">
        <f>IFERROR(VLOOKUP(Table15781012[[#This Row],[Period]],$L$16:$M$385,2,FALSE),0)</f>
        <v>0</v>
      </c>
      <c r="O267" s="3">
        <f>Table15781012[[#This Row],[Beginning Balance]]-Table15781012[[#This Row],[Principal]]-Table15781012[[#This Row],[Prepayments]]-Table15781012[[#This Row],[Defaulted Principal]]</f>
        <v>0</v>
      </c>
      <c r="P267" s="3">
        <f>Table15781012[[#This Row],[Principal]]+Table15781012[[#This Row],[Interest]]+Table15781012[[#This Row],[Prepayments]]+Table15781012[[#This Row],[RecoveredAmount]]</f>
        <v>0</v>
      </c>
      <c r="Q267" s="3">
        <f ca="1">ROUND(Table15781012[[#This Row],[Cash Flow]]/((1+ActualRateToUse)^(IF(ISNUMBER(SEARCH("Actual",$C$7)),Table15781012[[#This Row],[Running Total]]/365,Table15781012[[#This Row],[Period]]/12))),2)</f>
        <v>0</v>
      </c>
      <c r="R267" s="2">
        <f>IF(MONTH(Table15781012[[#This Row],[Date]])=2,28,DAY(DATE(YEAR(Table15781012[[#This Row],[Date]]),MONTH(Table15781012[[#This Row],[Date]])+1,1)-1))</f>
        <v>31</v>
      </c>
      <c r="S267" s="2">
        <f ca="1">SUM(OFFSET(Table15781012[[#Headers],[Days in month]],1,0):Table15781012[[#This Row],[Days in month]])</f>
        <v>7635</v>
      </c>
      <c r="T267" s="37">
        <f>InterestRate*AmortizationMultiplier*IF(ISNUMBER(SEARCH("Actual",$C$7)),Table15781012[[#This Row],[Days in month]]/365,1/12)</f>
        <v>6.0708333333333326E-3</v>
      </c>
    </row>
    <row r="268" spans="2:20" x14ac:dyDescent="0.2">
      <c r="B268" s="1">
        <f t="shared" si="14"/>
        <v>53508</v>
      </c>
      <c r="C268" s="2">
        <f t="shared" si="12"/>
        <v>252</v>
      </c>
      <c r="D268" s="3">
        <f t="shared" si="11"/>
        <v>0</v>
      </c>
      <c r="E268" s="3">
        <f>ROUND(Table15781012[[#This Row],[Beginning Balance]]*Table15781012[[#This Row],[Monthly Interest Rate]],2)</f>
        <v>0</v>
      </c>
      <c r="F268" s="3">
        <f t="shared" si="13"/>
        <v>100</v>
      </c>
      <c r="G268" s="23">
        <f>IFERROR(IF($C$13="No","N/A",IF(Table15781012[[#This Row],[Period]]=1,$C$6,PMT(InterestRate*AmortizationMultiplier/12,Table15781012[[#This Row],[Am Thru]],-Table15781012[[#This Row],[Beginning Balance]]))),0)</f>
        <v>0</v>
      </c>
      <c r="H268" s="3">
        <f>MAX(0,IF(C268=$C$4,D268,ROUND(IF($C$3="Fixed Principal",$C$6-Table15781012[[#This Row],[Interest]],IF($C$3="Interest Only",Table15781012[[#This Row],[Beginning Balance]]*ROUND(1-(1-IF($C$11="No",$E$8,1))^(1/12),6),MIN(IF($C$13="Yes",Table15781012[[#This Row],[Payment Amount (Reamortized)]],$C$6)-Table15781012[[#This Row],[Interest]],Table15781012[[#This Row],[Beginning Balance]]))),2)))</f>
        <v>0</v>
      </c>
      <c r="I268" s="3">
        <f>_xlfn.SINGLE(IF($C$3="Line of Credit",0,ROUND(MAX(MIN(IF($C$10="No",$E$7,VLOOKUP(Table15781012[[#This Row],[Period]],Forecast!$H$2:$L$1048576,4,FALSE))*Table15781012[[#This Row],[Beginning Balance]],Table15781012[[#This Row],[Beginning Balance]]-Table15781012[[#This Row],[Principal]]),0),2)))</f>
        <v>0</v>
      </c>
      <c r="J268" s="3">
        <f>ROUND(MIN(Table15781012[[#This Row],[Beginning Balance]]*IF($C$8="No",$E$3,VLOOKUP(Table15781012[[#This Row],[Period]],Forecast!$H$2:$L$1048576,2,FALSE)),Table15781012[[#This Row],[Beginning Balance]]-Table15781012[[#This Row],[Principal]]-Table15781012[[#This Row],[Prepayments]]),2)</f>
        <v>0</v>
      </c>
      <c r="K268" s="3">
        <f>ROUND(Table15781012[[#This Row],[Defaulted Principal]]*IF($C$9="No",$E$4,VLOOKUP(Table15781012[[#This Row],[Period]],Forecast!$H$2:$L$1048576,3,FALSE)),2)</f>
        <v>0</v>
      </c>
      <c r="L268" s="2">
        <f>Table15781012[[#This Row],[Period]]+$E$9</f>
        <v>264</v>
      </c>
      <c r="M268" s="3">
        <f>Table15781012[[#This Row],[Defaulted Principal]]-Table15781012[[#This Row],[Estimated Loss]]</f>
        <v>0</v>
      </c>
      <c r="N268" s="3">
        <f>IFERROR(VLOOKUP(Table15781012[[#This Row],[Period]],$L$16:$M$385,2,FALSE),0)</f>
        <v>0</v>
      </c>
      <c r="O268" s="3">
        <f>Table15781012[[#This Row],[Beginning Balance]]-Table15781012[[#This Row],[Principal]]-Table15781012[[#This Row],[Prepayments]]-Table15781012[[#This Row],[Defaulted Principal]]</f>
        <v>0</v>
      </c>
      <c r="P268" s="3">
        <f>Table15781012[[#This Row],[Principal]]+Table15781012[[#This Row],[Interest]]+Table15781012[[#This Row],[Prepayments]]+Table15781012[[#This Row],[RecoveredAmount]]</f>
        <v>0</v>
      </c>
      <c r="Q268" s="3">
        <f ca="1">ROUND(Table15781012[[#This Row],[Cash Flow]]/((1+ActualRateToUse)^(IF(ISNUMBER(SEARCH("Actual",$C$7)),Table15781012[[#This Row],[Running Total]]/365,Table15781012[[#This Row],[Period]]/12))),2)</f>
        <v>0</v>
      </c>
      <c r="R268" s="2">
        <f>IF(MONTH(Table15781012[[#This Row],[Date]])=2,28,DAY(DATE(YEAR(Table15781012[[#This Row],[Date]]),MONTH(Table15781012[[#This Row],[Date]])+1,1)-1))</f>
        <v>30</v>
      </c>
      <c r="S268" s="2">
        <f ca="1">SUM(OFFSET(Table15781012[[#Headers],[Days in month]],1,0):Table15781012[[#This Row],[Days in month]])</f>
        <v>7665</v>
      </c>
      <c r="T268" s="37">
        <f>InterestRate*AmortizationMultiplier*IF(ISNUMBER(SEARCH("Actual",$C$7)),Table15781012[[#This Row],[Days in month]]/365,1/12)</f>
        <v>5.8749999999999991E-3</v>
      </c>
    </row>
    <row r="269" spans="2:20" x14ac:dyDescent="0.2">
      <c r="B269" s="1">
        <f t="shared" si="14"/>
        <v>53539</v>
      </c>
      <c r="C269" s="2">
        <f t="shared" si="12"/>
        <v>253</v>
      </c>
      <c r="D269" s="3">
        <f t="shared" si="11"/>
        <v>0</v>
      </c>
      <c r="E269" s="3">
        <f>ROUND(Table15781012[[#This Row],[Beginning Balance]]*Table15781012[[#This Row],[Monthly Interest Rate]],2)</f>
        <v>0</v>
      </c>
      <c r="F269" s="3">
        <f t="shared" si="13"/>
        <v>99</v>
      </c>
      <c r="G269" s="23">
        <f>IFERROR(IF($C$13="No","N/A",IF(Table15781012[[#This Row],[Period]]=1,$C$6,PMT(InterestRate*AmortizationMultiplier/12,Table15781012[[#This Row],[Am Thru]],-Table15781012[[#This Row],[Beginning Balance]]))),0)</f>
        <v>0</v>
      </c>
      <c r="H269" s="3">
        <f>MAX(0,IF(C269=$C$4,D269,ROUND(IF($C$3="Fixed Principal",$C$6-Table15781012[[#This Row],[Interest]],IF($C$3="Interest Only",Table15781012[[#This Row],[Beginning Balance]]*ROUND(1-(1-IF($C$11="No",$E$8,1))^(1/12),6),MIN(IF($C$13="Yes",Table15781012[[#This Row],[Payment Amount (Reamortized)]],$C$6)-Table15781012[[#This Row],[Interest]],Table15781012[[#This Row],[Beginning Balance]]))),2)))</f>
        <v>0</v>
      </c>
      <c r="I269" s="3">
        <f>_xlfn.SINGLE(IF($C$3="Line of Credit",0,ROUND(MAX(MIN(IF($C$10="No",$E$7,VLOOKUP(Table15781012[[#This Row],[Period]],Forecast!$H$2:$L$1048576,4,FALSE))*Table15781012[[#This Row],[Beginning Balance]],Table15781012[[#This Row],[Beginning Balance]]-Table15781012[[#This Row],[Principal]]),0),2)))</f>
        <v>0</v>
      </c>
      <c r="J269" s="3">
        <f>ROUND(MIN(Table15781012[[#This Row],[Beginning Balance]]*IF($C$8="No",$E$3,VLOOKUP(Table15781012[[#This Row],[Period]],Forecast!$H$2:$L$1048576,2,FALSE)),Table15781012[[#This Row],[Beginning Balance]]-Table15781012[[#This Row],[Principal]]-Table15781012[[#This Row],[Prepayments]]),2)</f>
        <v>0</v>
      </c>
      <c r="K269" s="3">
        <f>ROUND(Table15781012[[#This Row],[Defaulted Principal]]*IF($C$9="No",$E$4,VLOOKUP(Table15781012[[#This Row],[Period]],Forecast!$H$2:$L$1048576,3,FALSE)),2)</f>
        <v>0</v>
      </c>
      <c r="L269" s="2">
        <f>Table15781012[[#This Row],[Period]]+$E$9</f>
        <v>265</v>
      </c>
      <c r="M269" s="3">
        <f>Table15781012[[#This Row],[Defaulted Principal]]-Table15781012[[#This Row],[Estimated Loss]]</f>
        <v>0</v>
      </c>
      <c r="N269" s="3">
        <f>IFERROR(VLOOKUP(Table15781012[[#This Row],[Period]],$L$16:$M$385,2,FALSE),0)</f>
        <v>0</v>
      </c>
      <c r="O269" s="3">
        <f>Table15781012[[#This Row],[Beginning Balance]]-Table15781012[[#This Row],[Principal]]-Table15781012[[#This Row],[Prepayments]]-Table15781012[[#This Row],[Defaulted Principal]]</f>
        <v>0</v>
      </c>
      <c r="P269" s="3">
        <f>Table15781012[[#This Row],[Principal]]+Table15781012[[#This Row],[Interest]]+Table15781012[[#This Row],[Prepayments]]+Table15781012[[#This Row],[RecoveredAmount]]</f>
        <v>0</v>
      </c>
      <c r="Q269" s="3">
        <f ca="1">ROUND(Table15781012[[#This Row],[Cash Flow]]/((1+ActualRateToUse)^(IF(ISNUMBER(SEARCH("Actual",$C$7)),Table15781012[[#This Row],[Running Total]]/365,Table15781012[[#This Row],[Period]]/12))),2)</f>
        <v>0</v>
      </c>
      <c r="R269" s="2">
        <f>IF(MONTH(Table15781012[[#This Row],[Date]])=2,28,DAY(DATE(YEAR(Table15781012[[#This Row],[Date]]),MONTH(Table15781012[[#This Row],[Date]])+1,1)-1))</f>
        <v>31</v>
      </c>
      <c r="S269" s="2">
        <f ca="1">SUM(OFFSET(Table15781012[[#Headers],[Days in month]],1,0):Table15781012[[#This Row],[Days in month]])</f>
        <v>7696</v>
      </c>
      <c r="T269" s="37">
        <f>InterestRate*AmortizationMultiplier*IF(ISNUMBER(SEARCH("Actual",$C$7)),Table15781012[[#This Row],[Days in month]]/365,1/12)</f>
        <v>6.0708333333333326E-3</v>
      </c>
    </row>
    <row r="270" spans="2:20" x14ac:dyDescent="0.2">
      <c r="B270" s="1">
        <f t="shared" si="14"/>
        <v>53570</v>
      </c>
      <c r="C270" s="2">
        <f t="shared" si="12"/>
        <v>254</v>
      </c>
      <c r="D270" s="3">
        <f t="shared" si="11"/>
        <v>0</v>
      </c>
      <c r="E270" s="3">
        <f>ROUND(Table15781012[[#This Row],[Beginning Balance]]*Table15781012[[#This Row],[Monthly Interest Rate]],2)</f>
        <v>0</v>
      </c>
      <c r="F270" s="3">
        <f t="shared" si="13"/>
        <v>98</v>
      </c>
      <c r="G270" s="23">
        <f>IFERROR(IF($C$13="No","N/A",IF(Table15781012[[#This Row],[Period]]=1,$C$6,PMT(InterestRate*AmortizationMultiplier/12,Table15781012[[#This Row],[Am Thru]],-Table15781012[[#This Row],[Beginning Balance]]))),0)</f>
        <v>0</v>
      </c>
      <c r="H270" s="3">
        <f>MAX(0,IF(C270=$C$4,D270,ROUND(IF($C$3="Fixed Principal",$C$6-Table15781012[[#This Row],[Interest]],IF($C$3="Interest Only",Table15781012[[#This Row],[Beginning Balance]]*ROUND(1-(1-IF($C$11="No",$E$8,1))^(1/12),6),MIN(IF($C$13="Yes",Table15781012[[#This Row],[Payment Amount (Reamortized)]],$C$6)-Table15781012[[#This Row],[Interest]],Table15781012[[#This Row],[Beginning Balance]]))),2)))</f>
        <v>0</v>
      </c>
      <c r="I270" s="3">
        <f>_xlfn.SINGLE(IF($C$3="Line of Credit",0,ROUND(MAX(MIN(IF($C$10="No",$E$7,VLOOKUP(Table15781012[[#This Row],[Period]],Forecast!$H$2:$L$1048576,4,FALSE))*Table15781012[[#This Row],[Beginning Balance]],Table15781012[[#This Row],[Beginning Balance]]-Table15781012[[#This Row],[Principal]]),0),2)))</f>
        <v>0</v>
      </c>
      <c r="J270" s="3">
        <f>ROUND(MIN(Table15781012[[#This Row],[Beginning Balance]]*IF($C$8="No",$E$3,VLOOKUP(Table15781012[[#This Row],[Period]],Forecast!$H$2:$L$1048576,2,FALSE)),Table15781012[[#This Row],[Beginning Balance]]-Table15781012[[#This Row],[Principal]]-Table15781012[[#This Row],[Prepayments]]),2)</f>
        <v>0</v>
      </c>
      <c r="K270" s="3">
        <f>ROUND(Table15781012[[#This Row],[Defaulted Principal]]*IF($C$9="No",$E$4,VLOOKUP(Table15781012[[#This Row],[Period]],Forecast!$H$2:$L$1048576,3,FALSE)),2)</f>
        <v>0</v>
      </c>
      <c r="L270" s="2">
        <f>Table15781012[[#This Row],[Period]]+$E$9</f>
        <v>266</v>
      </c>
      <c r="M270" s="3">
        <f>Table15781012[[#This Row],[Defaulted Principal]]-Table15781012[[#This Row],[Estimated Loss]]</f>
        <v>0</v>
      </c>
      <c r="N270" s="3">
        <f>IFERROR(VLOOKUP(Table15781012[[#This Row],[Period]],$L$16:$M$385,2,FALSE),0)</f>
        <v>0</v>
      </c>
      <c r="O270" s="3">
        <f>Table15781012[[#This Row],[Beginning Balance]]-Table15781012[[#This Row],[Principal]]-Table15781012[[#This Row],[Prepayments]]-Table15781012[[#This Row],[Defaulted Principal]]</f>
        <v>0</v>
      </c>
      <c r="P270" s="3">
        <f>Table15781012[[#This Row],[Principal]]+Table15781012[[#This Row],[Interest]]+Table15781012[[#This Row],[Prepayments]]+Table15781012[[#This Row],[RecoveredAmount]]</f>
        <v>0</v>
      </c>
      <c r="Q270" s="3">
        <f ca="1">ROUND(Table15781012[[#This Row],[Cash Flow]]/((1+ActualRateToUse)^(IF(ISNUMBER(SEARCH("Actual",$C$7)),Table15781012[[#This Row],[Running Total]]/365,Table15781012[[#This Row],[Period]]/12))),2)</f>
        <v>0</v>
      </c>
      <c r="R270" s="2">
        <f>IF(MONTH(Table15781012[[#This Row],[Date]])=2,28,DAY(DATE(YEAR(Table15781012[[#This Row],[Date]]),MONTH(Table15781012[[#This Row],[Date]])+1,1)-1))</f>
        <v>31</v>
      </c>
      <c r="S270" s="2">
        <f ca="1">SUM(OFFSET(Table15781012[[#Headers],[Days in month]],1,0):Table15781012[[#This Row],[Days in month]])</f>
        <v>7727</v>
      </c>
      <c r="T270" s="37">
        <f>InterestRate*AmortizationMultiplier*IF(ISNUMBER(SEARCH("Actual",$C$7)),Table15781012[[#This Row],[Days in month]]/365,1/12)</f>
        <v>6.0708333333333326E-3</v>
      </c>
    </row>
    <row r="271" spans="2:20" x14ac:dyDescent="0.2">
      <c r="B271" s="1">
        <f t="shared" si="14"/>
        <v>53600</v>
      </c>
      <c r="C271" s="2">
        <f t="shared" si="12"/>
        <v>255</v>
      </c>
      <c r="D271" s="3">
        <f t="shared" si="11"/>
        <v>0</v>
      </c>
      <c r="E271" s="3">
        <f>ROUND(Table15781012[[#This Row],[Beginning Balance]]*Table15781012[[#This Row],[Monthly Interest Rate]],2)</f>
        <v>0</v>
      </c>
      <c r="F271" s="3">
        <f t="shared" si="13"/>
        <v>97</v>
      </c>
      <c r="G271" s="23">
        <f>IFERROR(IF($C$13="No","N/A",IF(Table15781012[[#This Row],[Period]]=1,$C$6,PMT(InterestRate*AmortizationMultiplier/12,Table15781012[[#This Row],[Am Thru]],-Table15781012[[#This Row],[Beginning Balance]]))),0)</f>
        <v>0</v>
      </c>
      <c r="H271" s="3">
        <f>MAX(0,IF(C271=$C$4,D271,ROUND(IF($C$3="Fixed Principal",$C$6-Table15781012[[#This Row],[Interest]],IF($C$3="Interest Only",Table15781012[[#This Row],[Beginning Balance]]*ROUND(1-(1-IF($C$11="No",$E$8,1))^(1/12),6),MIN(IF($C$13="Yes",Table15781012[[#This Row],[Payment Amount (Reamortized)]],$C$6)-Table15781012[[#This Row],[Interest]],Table15781012[[#This Row],[Beginning Balance]]))),2)))</f>
        <v>0</v>
      </c>
      <c r="I271" s="3">
        <f>_xlfn.SINGLE(IF($C$3="Line of Credit",0,ROUND(MAX(MIN(IF($C$10="No",$E$7,VLOOKUP(Table15781012[[#This Row],[Period]],Forecast!$H$2:$L$1048576,4,FALSE))*Table15781012[[#This Row],[Beginning Balance]],Table15781012[[#This Row],[Beginning Balance]]-Table15781012[[#This Row],[Principal]]),0),2)))</f>
        <v>0</v>
      </c>
      <c r="J271" s="3">
        <f>ROUND(MIN(Table15781012[[#This Row],[Beginning Balance]]*IF($C$8="No",$E$3,VLOOKUP(Table15781012[[#This Row],[Period]],Forecast!$H$2:$L$1048576,2,FALSE)),Table15781012[[#This Row],[Beginning Balance]]-Table15781012[[#This Row],[Principal]]-Table15781012[[#This Row],[Prepayments]]),2)</f>
        <v>0</v>
      </c>
      <c r="K271" s="3">
        <f>ROUND(Table15781012[[#This Row],[Defaulted Principal]]*IF($C$9="No",$E$4,VLOOKUP(Table15781012[[#This Row],[Period]],Forecast!$H$2:$L$1048576,3,FALSE)),2)</f>
        <v>0</v>
      </c>
      <c r="L271" s="2">
        <f>Table15781012[[#This Row],[Period]]+$E$9</f>
        <v>267</v>
      </c>
      <c r="M271" s="3">
        <f>Table15781012[[#This Row],[Defaulted Principal]]-Table15781012[[#This Row],[Estimated Loss]]</f>
        <v>0</v>
      </c>
      <c r="N271" s="3">
        <f>IFERROR(VLOOKUP(Table15781012[[#This Row],[Period]],$L$16:$M$385,2,FALSE),0)</f>
        <v>0</v>
      </c>
      <c r="O271" s="3">
        <f>Table15781012[[#This Row],[Beginning Balance]]-Table15781012[[#This Row],[Principal]]-Table15781012[[#This Row],[Prepayments]]-Table15781012[[#This Row],[Defaulted Principal]]</f>
        <v>0</v>
      </c>
      <c r="P271" s="3">
        <f>Table15781012[[#This Row],[Principal]]+Table15781012[[#This Row],[Interest]]+Table15781012[[#This Row],[Prepayments]]+Table15781012[[#This Row],[RecoveredAmount]]</f>
        <v>0</v>
      </c>
      <c r="Q271" s="3">
        <f ca="1">ROUND(Table15781012[[#This Row],[Cash Flow]]/((1+ActualRateToUse)^(IF(ISNUMBER(SEARCH("Actual",$C$7)),Table15781012[[#This Row],[Running Total]]/365,Table15781012[[#This Row],[Period]]/12))),2)</f>
        <v>0</v>
      </c>
      <c r="R271" s="2">
        <f>IF(MONTH(Table15781012[[#This Row],[Date]])=2,28,DAY(DATE(YEAR(Table15781012[[#This Row],[Date]]),MONTH(Table15781012[[#This Row],[Date]])+1,1)-1))</f>
        <v>30</v>
      </c>
      <c r="S271" s="2">
        <f ca="1">SUM(OFFSET(Table15781012[[#Headers],[Days in month]],1,0):Table15781012[[#This Row],[Days in month]])</f>
        <v>7757</v>
      </c>
      <c r="T271" s="37">
        <f>InterestRate*AmortizationMultiplier*IF(ISNUMBER(SEARCH("Actual",$C$7)),Table15781012[[#This Row],[Days in month]]/365,1/12)</f>
        <v>5.8749999999999991E-3</v>
      </c>
    </row>
    <row r="272" spans="2:20" x14ac:dyDescent="0.2">
      <c r="B272" s="1">
        <f t="shared" si="14"/>
        <v>53631</v>
      </c>
      <c r="C272" s="2">
        <f t="shared" si="12"/>
        <v>256</v>
      </c>
      <c r="D272" s="3">
        <f t="shared" si="11"/>
        <v>0</v>
      </c>
      <c r="E272" s="3">
        <f>ROUND(Table15781012[[#This Row],[Beginning Balance]]*Table15781012[[#This Row],[Monthly Interest Rate]],2)</f>
        <v>0</v>
      </c>
      <c r="F272" s="3">
        <f t="shared" si="13"/>
        <v>96</v>
      </c>
      <c r="G272" s="23">
        <f>IFERROR(IF($C$13="No","N/A",IF(Table15781012[[#This Row],[Period]]=1,$C$6,PMT(InterestRate*AmortizationMultiplier/12,Table15781012[[#This Row],[Am Thru]],-Table15781012[[#This Row],[Beginning Balance]]))),0)</f>
        <v>0</v>
      </c>
      <c r="H272" s="3">
        <f>MAX(0,IF(C272=$C$4,D272,ROUND(IF($C$3="Fixed Principal",$C$6-Table15781012[[#This Row],[Interest]],IF($C$3="Interest Only",Table15781012[[#This Row],[Beginning Balance]]*ROUND(1-(1-IF($C$11="No",$E$8,1))^(1/12),6),MIN(IF($C$13="Yes",Table15781012[[#This Row],[Payment Amount (Reamortized)]],$C$6)-Table15781012[[#This Row],[Interest]],Table15781012[[#This Row],[Beginning Balance]]))),2)))</f>
        <v>0</v>
      </c>
      <c r="I272" s="3">
        <f>_xlfn.SINGLE(IF($C$3="Line of Credit",0,ROUND(MAX(MIN(IF($C$10="No",$E$7,VLOOKUP(Table15781012[[#This Row],[Period]],Forecast!$H$2:$L$1048576,4,FALSE))*Table15781012[[#This Row],[Beginning Balance]],Table15781012[[#This Row],[Beginning Balance]]-Table15781012[[#This Row],[Principal]]),0),2)))</f>
        <v>0</v>
      </c>
      <c r="J272" s="3">
        <f>ROUND(MIN(Table15781012[[#This Row],[Beginning Balance]]*IF($C$8="No",$E$3,VLOOKUP(Table15781012[[#This Row],[Period]],Forecast!$H$2:$L$1048576,2,FALSE)),Table15781012[[#This Row],[Beginning Balance]]-Table15781012[[#This Row],[Principal]]-Table15781012[[#This Row],[Prepayments]]),2)</f>
        <v>0</v>
      </c>
      <c r="K272" s="3">
        <f>ROUND(Table15781012[[#This Row],[Defaulted Principal]]*IF($C$9="No",$E$4,VLOOKUP(Table15781012[[#This Row],[Period]],Forecast!$H$2:$L$1048576,3,FALSE)),2)</f>
        <v>0</v>
      </c>
      <c r="L272" s="2">
        <f>Table15781012[[#This Row],[Period]]+$E$9</f>
        <v>268</v>
      </c>
      <c r="M272" s="3">
        <f>Table15781012[[#This Row],[Defaulted Principal]]-Table15781012[[#This Row],[Estimated Loss]]</f>
        <v>0</v>
      </c>
      <c r="N272" s="3">
        <f>IFERROR(VLOOKUP(Table15781012[[#This Row],[Period]],$L$16:$M$385,2,FALSE),0)</f>
        <v>0</v>
      </c>
      <c r="O272" s="3">
        <f>Table15781012[[#This Row],[Beginning Balance]]-Table15781012[[#This Row],[Principal]]-Table15781012[[#This Row],[Prepayments]]-Table15781012[[#This Row],[Defaulted Principal]]</f>
        <v>0</v>
      </c>
      <c r="P272" s="3">
        <f>Table15781012[[#This Row],[Principal]]+Table15781012[[#This Row],[Interest]]+Table15781012[[#This Row],[Prepayments]]+Table15781012[[#This Row],[RecoveredAmount]]</f>
        <v>0</v>
      </c>
      <c r="Q272" s="3">
        <f ca="1">ROUND(Table15781012[[#This Row],[Cash Flow]]/((1+ActualRateToUse)^(IF(ISNUMBER(SEARCH("Actual",$C$7)),Table15781012[[#This Row],[Running Total]]/365,Table15781012[[#This Row],[Period]]/12))),2)</f>
        <v>0</v>
      </c>
      <c r="R272" s="2">
        <f>IF(MONTH(Table15781012[[#This Row],[Date]])=2,28,DAY(DATE(YEAR(Table15781012[[#This Row],[Date]]),MONTH(Table15781012[[#This Row],[Date]])+1,1)-1))</f>
        <v>31</v>
      </c>
      <c r="S272" s="2">
        <f ca="1">SUM(OFFSET(Table15781012[[#Headers],[Days in month]],1,0):Table15781012[[#This Row],[Days in month]])</f>
        <v>7788</v>
      </c>
      <c r="T272" s="37">
        <f>InterestRate*AmortizationMultiplier*IF(ISNUMBER(SEARCH("Actual",$C$7)),Table15781012[[#This Row],[Days in month]]/365,1/12)</f>
        <v>6.0708333333333326E-3</v>
      </c>
    </row>
    <row r="273" spans="2:20" x14ac:dyDescent="0.2">
      <c r="B273" s="1">
        <f t="shared" si="14"/>
        <v>53661</v>
      </c>
      <c r="C273" s="2">
        <f t="shared" si="12"/>
        <v>257</v>
      </c>
      <c r="D273" s="3">
        <f t="shared" si="11"/>
        <v>0</v>
      </c>
      <c r="E273" s="3">
        <f>ROUND(Table15781012[[#This Row],[Beginning Balance]]*Table15781012[[#This Row],[Monthly Interest Rate]],2)</f>
        <v>0</v>
      </c>
      <c r="F273" s="3">
        <f t="shared" si="13"/>
        <v>95</v>
      </c>
      <c r="G273" s="23">
        <f>IFERROR(IF($C$13="No","N/A",IF(Table15781012[[#This Row],[Period]]=1,$C$6,PMT(InterestRate*AmortizationMultiplier/12,Table15781012[[#This Row],[Am Thru]],-Table15781012[[#This Row],[Beginning Balance]]))),0)</f>
        <v>0</v>
      </c>
      <c r="H273" s="3">
        <f>MAX(0,IF(C273=$C$4,D273,ROUND(IF($C$3="Fixed Principal",$C$6-Table15781012[[#This Row],[Interest]],IF($C$3="Interest Only",Table15781012[[#This Row],[Beginning Balance]]*ROUND(1-(1-IF($C$11="No",$E$8,1))^(1/12),6),MIN(IF($C$13="Yes",Table15781012[[#This Row],[Payment Amount (Reamortized)]],$C$6)-Table15781012[[#This Row],[Interest]],Table15781012[[#This Row],[Beginning Balance]]))),2)))</f>
        <v>0</v>
      </c>
      <c r="I273" s="3">
        <f>_xlfn.SINGLE(IF($C$3="Line of Credit",0,ROUND(MAX(MIN(IF($C$10="No",$E$7,VLOOKUP(Table15781012[[#This Row],[Period]],Forecast!$H$2:$L$1048576,4,FALSE))*Table15781012[[#This Row],[Beginning Balance]],Table15781012[[#This Row],[Beginning Balance]]-Table15781012[[#This Row],[Principal]]),0),2)))</f>
        <v>0</v>
      </c>
      <c r="J273" s="3">
        <f>ROUND(MIN(Table15781012[[#This Row],[Beginning Balance]]*IF($C$8="No",$E$3,VLOOKUP(Table15781012[[#This Row],[Period]],Forecast!$H$2:$L$1048576,2,FALSE)),Table15781012[[#This Row],[Beginning Balance]]-Table15781012[[#This Row],[Principal]]-Table15781012[[#This Row],[Prepayments]]),2)</f>
        <v>0</v>
      </c>
      <c r="K273" s="3">
        <f>ROUND(Table15781012[[#This Row],[Defaulted Principal]]*IF($C$9="No",$E$4,VLOOKUP(Table15781012[[#This Row],[Period]],Forecast!$H$2:$L$1048576,3,FALSE)),2)</f>
        <v>0</v>
      </c>
      <c r="L273" s="2">
        <f>Table15781012[[#This Row],[Period]]+$E$9</f>
        <v>269</v>
      </c>
      <c r="M273" s="3">
        <f>Table15781012[[#This Row],[Defaulted Principal]]-Table15781012[[#This Row],[Estimated Loss]]</f>
        <v>0</v>
      </c>
      <c r="N273" s="3">
        <f>IFERROR(VLOOKUP(Table15781012[[#This Row],[Period]],$L$16:$M$385,2,FALSE),0)</f>
        <v>0</v>
      </c>
      <c r="O273" s="3">
        <f>Table15781012[[#This Row],[Beginning Balance]]-Table15781012[[#This Row],[Principal]]-Table15781012[[#This Row],[Prepayments]]-Table15781012[[#This Row],[Defaulted Principal]]</f>
        <v>0</v>
      </c>
      <c r="P273" s="3">
        <f>Table15781012[[#This Row],[Principal]]+Table15781012[[#This Row],[Interest]]+Table15781012[[#This Row],[Prepayments]]+Table15781012[[#This Row],[RecoveredAmount]]</f>
        <v>0</v>
      </c>
      <c r="Q273" s="3">
        <f ca="1">ROUND(Table15781012[[#This Row],[Cash Flow]]/((1+ActualRateToUse)^(IF(ISNUMBER(SEARCH("Actual",$C$7)),Table15781012[[#This Row],[Running Total]]/365,Table15781012[[#This Row],[Period]]/12))),2)</f>
        <v>0</v>
      </c>
      <c r="R273" s="2">
        <f>IF(MONTH(Table15781012[[#This Row],[Date]])=2,28,DAY(DATE(YEAR(Table15781012[[#This Row],[Date]]),MONTH(Table15781012[[#This Row],[Date]])+1,1)-1))</f>
        <v>30</v>
      </c>
      <c r="S273" s="2">
        <f ca="1">SUM(OFFSET(Table15781012[[#Headers],[Days in month]],1,0):Table15781012[[#This Row],[Days in month]])</f>
        <v>7818</v>
      </c>
      <c r="T273" s="37">
        <f>InterestRate*AmortizationMultiplier*IF(ISNUMBER(SEARCH("Actual",$C$7)),Table15781012[[#This Row],[Days in month]]/365,1/12)</f>
        <v>5.8749999999999991E-3</v>
      </c>
    </row>
    <row r="274" spans="2:20" x14ac:dyDescent="0.2">
      <c r="B274" s="1">
        <f t="shared" si="14"/>
        <v>53692</v>
      </c>
      <c r="C274" s="2">
        <f t="shared" si="12"/>
        <v>258</v>
      </c>
      <c r="D274" s="3">
        <f t="shared" ref="D274:D337" si="15">O273</f>
        <v>0</v>
      </c>
      <c r="E274" s="3">
        <f>ROUND(Table15781012[[#This Row],[Beginning Balance]]*Table15781012[[#This Row],[Monthly Interest Rate]],2)</f>
        <v>0</v>
      </c>
      <c r="F274" s="3">
        <f t="shared" si="13"/>
        <v>94</v>
      </c>
      <c r="G274" s="23">
        <f>IFERROR(IF($C$13="No","N/A",IF(Table15781012[[#This Row],[Period]]=1,$C$6,PMT(InterestRate*AmortizationMultiplier/12,Table15781012[[#This Row],[Am Thru]],-Table15781012[[#This Row],[Beginning Balance]]))),0)</f>
        <v>0</v>
      </c>
      <c r="H274" s="3">
        <f>MAX(0,IF(C274=$C$4,D274,ROUND(IF($C$3="Fixed Principal",$C$6-Table15781012[[#This Row],[Interest]],IF($C$3="Interest Only",Table15781012[[#This Row],[Beginning Balance]]*ROUND(1-(1-IF($C$11="No",$E$8,1))^(1/12),6),MIN(IF($C$13="Yes",Table15781012[[#This Row],[Payment Amount (Reamortized)]],$C$6)-Table15781012[[#This Row],[Interest]],Table15781012[[#This Row],[Beginning Balance]]))),2)))</f>
        <v>0</v>
      </c>
      <c r="I274" s="3">
        <f>_xlfn.SINGLE(IF($C$3="Line of Credit",0,ROUND(MAX(MIN(IF($C$10="No",$E$7,VLOOKUP(Table15781012[[#This Row],[Period]],Forecast!$H$2:$L$1048576,4,FALSE))*Table15781012[[#This Row],[Beginning Balance]],Table15781012[[#This Row],[Beginning Balance]]-Table15781012[[#This Row],[Principal]]),0),2)))</f>
        <v>0</v>
      </c>
      <c r="J274" s="3">
        <f>ROUND(MIN(Table15781012[[#This Row],[Beginning Balance]]*IF($C$8="No",$E$3,VLOOKUP(Table15781012[[#This Row],[Period]],Forecast!$H$2:$L$1048576,2,FALSE)),Table15781012[[#This Row],[Beginning Balance]]-Table15781012[[#This Row],[Principal]]-Table15781012[[#This Row],[Prepayments]]),2)</f>
        <v>0</v>
      </c>
      <c r="K274" s="3">
        <f>ROUND(Table15781012[[#This Row],[Defaulted Principal]]*IF($C$9="No",$E$4,VLOOKUP(Table15781012[[#This Row],[Period]],Forecast!$H$2:$L$1048576,3,FALSE)),2)</f>
        <v>0</v>
      </c>
      <c r="L274" s="2">
        <f>Table15781012[[#This Row],[Period]]+$E$9</f>
        <v>270</v>
      </c>
      <c r="M274" s="3">
        <f>Table15781012[[#This Row],[Defaulted Principal]]-Table15781012[[#This Row],[Estimated Loss]]</f>
        <v>0</v>
      </c>
      <c r="N274" s="3">
        <f>IFERROR(VLOOKUP(Table15781012[[#This Row],[Period]],$L$16:$M$385,2,FALSE),0)</f>
        <v>0</v>
      </c>
      <c r="O274" s="3">
        <f>Table15781012[[#This Row],[Beginning Balance]]-Table15781012[[#This Row],[Principal]]-Table15781012[[#This Row],[Prepayments]]-Table15781012[[#This Row],[Defaulted Principal]]</f>
        <v>0</v>
      </c>
      <c r="P274" s="3">
        <f>Table15781012[[#This Row],[Principal]]+Table15781012[[#This Row],[Interest]]+Table15781012[[#This Row],[Prepayments]]+Table15781012[[#This Row],[RecoveredAmount]]</f>
        <v>0</v>
      </c>
      <c r="Q274" s="3">
        <f ca="1">ROUND(Table15781012[[#This Row],[Cash Flow]]/((1+ActualRateToUse)^(IF(ISNUMBER(SEARCH("Actual",$C$7)),Table15781012[[#This Row],[Running Total]]/365,Table15781012[[#This Row],[Period]]/12))),2)</f>
        <v>0</v>
      </c>
      <c r="R274" s="2">
        <f>IF(MONTH(Table15781012[[#This Row],[Date]])=2,28,DAY(DATE(YEAR(Table15781012[[#This Row],[Date]]),MONTH(Table15781012[[#This Row],[Date]])+1,1)-1))</f>
        <v>31</v>
      </c>
      <c r="S274" s="2">
        <f ca="1">SUM(OFFSET(Table15781012[[#Headers],[Days in month]],1,0):Table15781012[[#This Row],[Days in month]])</f>
        <v>7849</v>
      </c>
      <c r="T274" s="37">
        <f>InterestRate*AmortizationMultiplier*IF(ISNUMBER(SEARCH("Actual",$C$7)),Table15781012[[#This Row],[Days in month]]/365,1/12)</f>
        <v>6.0708333333333326E-3</v>
      </c>
    </row>
    <row r="275" spans="2:20" x14ac:dyDescent="0.2">
      <c r="B275" s="1">
        <f t="shared" si="14"/>
        <v>53723</v>
      </c>
      <c r="C275" s="2">
        <f t="shared" ref="C275:C338" si="16">C274+1</f>
        <v>259</v>
      </c>
      <c r="D275" s="3">
        <f t="shared" si="15"/>
        <v>0</v>
      </c>
      <c r="E275" s="3">
        <f>ROUND(Table15781012[[#This Row],[Beginning Balance]]*Table15781012[[#This Row],[Monthly Interest Rate]],2)</f>
        <v>0</v>
      </c>
      <c r="F275" s="3">
        <f t="shared" ref="F275:F338" si="17">+F274-1</f>
        <v>93</v>
      </c>
      <c r="G275" s="23">
        <f>IFERROR(IF($C$13="No","N/A",IF(Table15781012[[#This Row],[Period]]=1,$C$6,PMT(InterestRate*AmortizationMultiplier/12,Table15781012[[#This Row],[Am Thru]],-Table15781012[[#This Row],[Beginning Balance]]))),0)</f>
        <v>0</v>
      </c>
      <c r="H275" s="3">
        <f>MAX(0,IF(C275=$C$4,D275,ROUND(IF($C$3="Fixed Principal",$C$6-Table15781012[[#This Row],[Interest]],IF($C$3="Interest Only",Table15781012[[#This Row],[Beginning Balance]]*ROUND(1-(1-IF($C$11="No",$E$8,1))^(1/12),6),MIN(IF($C$13="Yes",Table15781012[[#This Row],[Payment Amount (Reamortized)]],$C$6)-Table15781012[[#This Row],[Interest]],Table15781012[[#This Row],[Beginning Balance]]))),2)))</f>
        <v>0</v>
      </c>
      <c r="I275" s="3">
        <f>_xlfn.SINGLE(IF($C$3="Line of Credit",0,ROUND(MAX(MIN(IF($C$10="No",$E$7,VLOOKUP(Table15781012[[#This Row],[Period]],Forecast!$H$2:$L$1048576,4,FALSE))*Table15781012[[#This Row],[Beginning Balance]],Table15781012[[#This Row],[Beginning Balance]]-Table15781012[[#This Row],[Principal]]),0),2)))</f>
        <v>0</v>
      </c>
      <c r="J275" s="3">
        <f>ROUND(MIN(Table15781012[[#This Row],[Beginning Balance]]*IF($C$8="No",$E$3,VLOOKUP(Table15781012[[#This Row],[Period]],Forecast!$H$2:$L$1048576,2,FALSE)),Table15781012[[#This Row],[Beginning Balance]]-Table15781012[[#This Row],[Principal]]-Table15781012[[#This Row],[Prepayments]]),2)</f>
        <v>0</v>
      </c>
      <c r="K275" s="3">
        <f>ROUND(Table15781012[[#This Row],[Defaulted Principal]]*IF($C$9="No",$E$4,VLOOKUP(Table15781012[[#This Row],[Period]],Forecast!$H$2:$L$1048576,3,FALSE)),2)</f>
        <v>0</v>
      </c>
      <c r="L275" s="2">
        <f>Table15781012[[#This Row],[Period]]+$E$9</f>
        <v>271</v>
      </c>
      <c r="M275" s="3">
        <f>Table15781012[[#This Row],[Defaulted Principal]]-Table15781012[[#This Row],[Estimated Loss]]</f>
        <v>0</v>
      </c>
      <c r="N275" s="3">
        <f>IFERROR(VLOOKUP(Table15781012[[#This Row],[Period]],$L$16:$M$385,2,FALSE),0)</f>
        <v>0</v>
      </c>
      <c r="O275" s="3">
        <f>Table15781012[[#This Row],[Beginning Balance]]-Table15781012[[#This Row],[Principal]]-Table15781012[[#This Row],[Prepayments]]-Table15781012[[#This Row],[Defaulted Principal]]</f>
        <v>0</v>
      </c>
      <c r="P275" s="3">
        <f>Table15781012[[#This Row],[Principal]]+Table15781012[[#This Row],[Interest]]+Table15781012[[#This Row],[Prepayments]]+Table15781012[[#This Row],[RecoveredAmount]]</f>
        <v>0</v>
      </c>
      <c r="Q275" s="3">
        <f ca="1">ROUND(Table15781012[[#This Row],[Cash Flow]]/((1+ActualRateToUse)^(IF(ISNUMBER(SEARCH("Actual",$C$7)),Table15781012[[#This Row],[Running Total]]/365,Table15781012[[#This Row],[Period]]/12))),2)</f>
        <v>0</v>
      </c>
      <c r="R275" s="2">
        <f>IF(MONTH(Table15781012[[#This Row],[Date]])=2,28,DAY(DATE(YEAR(Table15781012[[#This Row],[Date]]),MONTH(Table15781012[[#This Row],[Date]])+1,1)-1))</f>
        <v>31</v>
      </c>
      <c r="S275" s="2">
        <f ca="1">SUM(OFFSET(Table15781012[[#Headers],[Days in month]],1,0):Table15781012[[#This Row],[Days in month]])</f>
        <v>7880</v>
      </c>
      <c r="T275" s="37">
        <f>InterestRate*AmortizationMultiplier*IF(ISNUMBER(SEARCH("Actual",$C$7)),Table15781012[[#This Row],[Days in month]]/365,1/12)</f>
        <v>6.0708333333333326E-3</v>
      </c>
    </row>
    <row r="276" spans="2:20" x14ac:dyDescent="0.2">
      <c r="B276" s="1">
        <f t="shared" si="14"/>
        <v>53751</v>
      </c>
      <c r="C276" s="2">
        <f t="shared" si="16"/>
        <v>260</v>
      </c>
      <c r="D276" s="3">
        <f t="shared" si="15"/>
        <v>0</v>
      </c>
      <c r="E276" s="3">
        <f>ROUND(Table15781012[[#This Row],[Beginning Balance]]*Table15781012[[#This Row],[Monthly Interest Rate]],2)</f>
        <v>0</v>
      </c>
      <c r="F276" s="3">
        <f t="shared" si="17"/>
        <v>92</v>
      </c>
      <c r="G276" s="23">
        <f>IFERROR(IF($C$13="No","N/A",IF(Table15781012[[#This Row],[Period]]=1,$C$6,PMT(InterestRate*AmortizationMultiplier/12,Table15781012[[#This Row],[Am Thru]],-Table15781012[[#This Row],[Beginning Balance]]))),0)</f>
        <v>0</v>
      </c>
      <c r="H276" s="3">
        <f>MAX(0,IF(C276=$C$4,D276,ROUND(IF($C$3="Fixed Principal",$C$6-Table15781012[[#This Row],[Interest]],IF($C$3="Interest Only",Table15781012[[#This Row],[Beginning Balance]]*ROUND(1-(1-IF($C$11="No",$E$8,1))^(1/12),6),MIN(IF($C$13="Yes",Table15781012[[#This Row],[Payment Amount (Reamortized)]],$C$6)-Table15781012[[#This Row],[Interest]],Table15781012[[#This Row],[Beginning Balance]]))),2)))</f>
        <v>0</v>
      </c>
      <c r="I276" s="3">
        <f>_xlfn.SINGLE(IF($C$3="Line of Credit",0,ROUND(MAX(MIN(IF($C$10="No",$E$7,VLOOKUP(Table15781012[[#This Row],[Period]],Forecast!$H$2:$L$1048576,4,FALSE))*Table15781012[[#This Row],[Beginning Balance]],Table15781012[[#This Row],[Beginning Balance]]-Table15781012[[#This Row],[Principal]]),0),2)))</f>
        <v>0</v>
      </c>
      <c r="J276" s="3">
        <f>ROUND(MIN(Table15781012[[#This Row],[Beginning Balance]]*IF($C$8="No",$E$3,VLOOKUP(Table15781012[[#This Row],[Period]],Forecast!$H$2:$L$1048576,2,FALSE)),Table15781012[[#This Row],[Beginning Balance]]-Table15781012[[#This Row],[Principal]]-Table15781012[[#This Row],[Prepayments]]),2)</f>
        <v>0</v>
      </c>
      <c r="K276" s="3">
        <f>ROUND(Table15781012[[#This Row],[Defaulted Principal]]*IF($C$9="No",$E$4,VLOOKUP(Table15781012[[#This Row],[Period]],Forecast!$H$2:$L$1048576,3,FALSE)),2)</f>
        <v>0</v>
      </c>
      <c r="L276" s="2">
        <f>Table15781012[[#This Row],[Period]]+$E$9</f>
        <v>272</v>
      </c>
      <c r="M276" s="3">
        <f>Table15781012[[#This Row],[Defaulted Principal]]-Table15781012[[#This Row],[Estimated Loss]]</f>
        <v>0</v>
      </c>
      <c r="N276" s="3">
        <f>IFERROR(VLOOKUP(Table15781012[[#This Row],[Period]],$L$16:$M$385,2,FALSE),0)</f>
        <v>0</v>
      </c>
      <c r="O276" s="3">
        <f>Table15781012[[#This Row],[Beginning Balance]]-Table15781012[[#This Row],[Principal]]-Table15781012[[#This Row],[Prepayments]]-Table15781012[[#This Row],[Defaulted Principal]]</f>
        <v>0</v>
      </c>
      <c r="P276" s="3">
        <f>Table15781012[[#This Row],[Principal]]+Table15781012[[#This Row],[Interest]]+Table15781012[[#This Row],[Prepayments]]+Table15781012[[#This Row],[RecoveredAmount]]</f>
        <v>0</v>
      </c>
      <c r="Q276" s="3">
        <f ca="1">ROUND(Table15781012[[#This Row],[Cash Flow]]/((1+ActualRateToUse)^(IF(ISNUMBER(SEARCH("Actual",$C$7)),Table15781012[[#This Row],[Running Total]]/365,Table15781012[[#This Row],[Period]]/12))),2)</f>
        <v>0</v>
      </c>
      <c r="R276" s="2">
        <f>IF(MONTH(Table15781012[[#This Row],[Date]])=2,28,DAY(DATE(YEAR(Table15781012[[#This Row],[Date]]),MONTH(Table15781012[[#This Row],[Date]])+1,1)-1))</f>
        <v>28</v>
      </c>
      <c r="S276" s="2">
        <f ca="1">SUM(OFFSET(Table15781012[[#Headers],[Days in month]],1,0):Table15781012[[#This Row],[Days in month]])</f>
        <v>7908</v>
      </c>
      <c r="T276" s="37">
        <f>InterestRate*AmortizationMultiplier*IF(ISNUMBER(SEARCH("Actual",$C$7)),Table15781012[[#This Row],[Days in month]]/365,1/12)</f>
        <v>5.4833333333333331E-3</v>
      </c>
    </row>
    <row r="277" spans="2:20" x14ac:dyDescent="0.2">
      <c r="B277" s="1">
        <f t="shared" si="14"/>
        <v>53782</v>
      </c>
      <c r="C277" s="2">
        <f t="shared" si="16"/>
        <v>261</v>
      </c>
      <c r="D277" s="3">
        <f t="shared" si="15"/>
        <v>0</v>
      </c>
      <c r="E277" s="3">
        <f>ROUND(Table15781012[[#This Row],[Beginning Balance]]*Table15781012[[#This Row],[Monthly Interest Rate]],2)</f>
        <v>0</v>
      </c>
      <c r="F277" s="3">
        <f t="shared" si="17"/>
        <v>91</v>
      </c>
      <c r="G277" s="23">
        <f>IFERROR(IF($C$13="No","N/A",IF(Table15781012[[#This Row],[Period]]=1,$C$6,PMT(InterestRate*AmortizationMultiplier/12,Table15781012[[#This Row],[Am Thru]],-Table15781012[[#This Row],[Beginning Balance]]))),0)</f>
        <v>0</v>
      </c>
      <c r="H277" s="3">
        <f>MAX(0,IF(C277=$C$4,D277,ROUND(IF($C$3="Fixed Principal",$C$6-Table15781012[[#This Row],[Interest]],IF($C$3="Interest Only",Table15781012[[#This Row],[Beginning Balance]]*ROUND(1-(1-IF($C$11="No",$E$8,1))^(1/12),6),MIN(IF($C$13="Yes",Table15781012[[#This Row],[Payment Amount (Reamortized)]],$C$6)-Table15781012[[#This Row],[Interest]],Table15781012[[#This Row],[Beginning Balance]]))),2)))</f>
        <v>0</v>
      </c>
      <c r="I277" s="3">
        <f>_xlfn.SINGLE(IF($C$3="Line of Credit",0,ROUND(MAX(MIN(IF($C$10="No",$E$7,VLOOKUP(Table15781012[[#This Row],[Period]],Forecast!$H$2:$L$1048576,4,FALSE))*Table15781012[[#This Row],[Beginning Balance]],Table15781012[[#This Row],[Beginning Balance]]-Table15781012[[#This Row],[Principal]]),0),2)))</f>
        <v>0</v>
      </c>
      <c r="J277" s="3">
        <f>ROUND(MIN(Table15781012[[#This Row],[Beginning Balance]]*IF($C$8="No",$E$3,VLOOKUP(Table15781012[[#This Row],[Period]],Forecast!$H$2:$L$1048576,2,FALSE)),Table15781012[[#This Row],[Beginning Balance]]-Table15781012[[#This Row],[Principal]]-Table15781012[[#This Row],[Prepayments]]),2)</f>
        <v>0</v>
      </c>
      <c r="K277" s="3">
        <f>ROUND(Table15781012[[#This Row],[Defaulted Principal]]*IF($C$9="No",$E$4,VLOOKUP(Table15781012[[#This Row],[Period]],Forecast!$H$2:$L$1048576,3,FALSE)),2)</f>
        <v>0</v>
      </c>
      <c r="L277" s="2">
        <f>Table15781012[[#This Row],[Period]]+$E$9</f>
        <v>273</v>
      </c>
      <c r="M277" s="3">
        <f>Table15781012[[#This Row],[Defaulted Principal]]-Table15781012[[#This Row],[Estimated Loss]]</f>
        <v>0</v>
      </c>
      <c r="N277" s="3">
        <f>IFERROR(VLOOKUP(Table15781012[[#This Row],[Period]],$L$16:$M$385,2,FALSE),0)</f>
        <v>0</v>
      </c>
      <c r="O277" s="3">
        <f>Table15781012[[#This Row],[Beginning Balance]]-Table15781012[[#This Row],[Principal]]-Table15781012[[#This Row],[Prepayments]]-Table15781012[[#This Row],[Defaulted Principal]]</f>
        <v>0</v>
      </c>
      <c r="P277" s="3">
        <f>Table15781012[[#This Row],[Principal]]+Table15781012[[#This Row],[Interest]]+Table15781012[[#This Row],[Prepayments]]+Table15781012[[#This Row],[RecoveredAmount]]</f>
        <v>0</v>
      </c>
      <c r="Q277" s="3">
        <f ca="1">ROUND(Table15781012[[#This Row],[Cash Flow]]/((1+ActualRateToUse)^(IF(ISNUMBER(SEARCH("Actual",$C$7)),Table15781012[[#This Row],[Running Total]]/365,Table15781012[[#This Row],[Period]]/12))),2)</f>
        <v>0</v>
      </c>
      <c r="R277" s="2">
        <f>IF(MONTH(Table15781012[[#This Row],[Date]])=2,28,DAY(DATE(YEAR(Table15781012[[#This Row],[Date]]),MONTH(Table15781012[[#This Row],[Date]])+1,1)-1))</f>
        <v>31</v>
      </c>
      <c r="S277" s="2">
        <f ca="1">SUM(OFFSET(Table15781012[[#Headers],[Days in month]],1,0):Table15781012[[#This Row],[Days in month]])</f>
        <v>7939</v>
      </c>
      <c r="T277" s="37">
        <f>InterestRate*AmortizationMultiplier*IF(ISNUMBER(SEARCH("Actual",$C$7)),Table15781012[[#This Row],[Days in month]]/365,1/12)</f>
        <v>6.0708333333333326E-3</v>
      </c>
    </row>
    <row r="278" spans="2:20" x14ac:dyDescent="0.2">
      <c r="B278" s="1">
        <f t="shared" si="14"/>
        <v>53812</v>
      </c>
      <c r="C278" s="2">
        <f t="shared" si="16"/>
        <v>262</v>
      </c>
      <c r="D278" s="3">
        <f t="shared" si="15"/>
        <v>0</v>
      </c>
      <c r="E278" s="3">
        <f>ROUND(Table15781012[[#This Row],[Beginning Balance]]*Table15781012[[#This Row],[Monthly Interest Rate]],2)</f>
        <v>0</v>
      </c>
      <c r="F278" s="3">
        <f t="shared" si="17"/>
        <v>90</v>
      </c>
      <c r="G278" s="23">
        <f>IFERROR(IF($C$13="No","N/A",IF(Table15781012[[#This Row],[Period]]=1,$C$6,PMT(InterestRate*AmortizationMultiplier/12,Table15781012[[#This Row],[Am Thru]],-Table15781012[[#This Row],[Beginning Balance]]))),0)</f>
        <v>0</v>
      </c>
      <c r="H278" s="3">
        <f>MAX(0,IF(C278=$C$4,D278,ROUND(IF($C$3="Fixed Principal",$C$6-Table15781012[[#This Row],[Interest]],IF($C$3="Interest Only",Table15781012[[#This Row],[Beginning Balance]]*ROUND(1-(1-IF($C$11="No",$E$8,1))^(1/12),6),MIN(IF($C$13="Yes",Table15781012[[#This Row],[Payment Amount (Reamortized)]],$C$6)-Table15781012[[#This Row],[Interest]],Table15781012[[#This Row],[Beginning Balance]]))),2)))</f>
        <v>0</v>
      </c>
      <c r="I278" s="3">
        <f>_xlfn.SINGLE(IF($C$3="Line of Credit",0,ROUND(MAX(MIN(IF($C$10="No",$E$7,VLOOKUP(Table15781012[[#This Row],[Period]],Forecast!$H$2:$L$1048576,4,FALSE))*Table15781012[[#This Row],[Beginning Balance]],Table15781012[[#This Row],[Beginning Balance]]-Table15781012[[#This Row],[Principal]]),0),2)))</f>
        <v>0</v>
      </c>
      <c r="J278" s="3">
        <f>ROUND(MIN(Table15781012[[#This Row],[Beginning Balance]]*IF($C$8="No",$E$3,VLOOKUP(Table15781012[[#This Row],[Period]],Forecast!$H$2:$L$1048576,2,FALSE)),Table15781012[[#This Row],[Beginning Balance]]-Table15781012[[#This Row],[Principal]]-Table15781012[[#This Row],[Prepayments]]),2)</f>
        <v>0</v>
      </c>
      <c r="K278" s="3">
        <f>ROUND(Table15781012[[#This Row],[Defaulted Principal]]*IF($C$9="No",$E$4,VLOOKUP(Table15781012[[#This Row],[Period]],Forecast!$H$2:$L$1048576,3,FALSE)),2)</f>
        <v>0</v>
      </c>
      <c r="L278" s="2">
        <f>Table15781012[[#This Row],[Period]]+$E$9</f>
        <v>274</v>
      </c>
      <c r="M278" s="3">
        <f>Table15781012[[#This Row],[Defaulted Principal]]-Table15781012[[#This Row],[Estimated Loss]]</f>
        <v>0</v>
      </c>
      <c r="N278" s="3">
        <f>IFERROR(VLOOKUP(Table15781012[[#This Row],[Period]],$L$16:$M$385,2,FALSE),0)</f>
        <v>0</v>
      </c>
      <c r="O278" s="3">
        <f>Table15781012[[#This Row],[Beginning Balance]]-Table15781012[[#This Row],[Principal]]-Table15781012[[#This Row],[Prepayments]]-Table15781012[[#This Row],[Defaulted Principal]]</f>
        <v>0</v>
      </c>
      <c r="P278" s="3">
        <f>Table15781012[[#This Row],[Principal]]+Table15781012[[#This Row],[Interest]]+Table15781012[[#This Row],[Prepayments]]+Table15781012[[#This Row],[RecoveredAmount]]</f>
        <v>0</v>
      </c>
      <c r="Q278" s="3">
        <f ca="1">ROUND(Table15781012[[#This Row],[Cash Flow]]/((1+ActualRateToUse)^(IF(ISNUMBER(SEARCH("Actual",$C$7)),Table15781012[[#This Row],[Running Total]]/365,Table15781012[[#This Row],[Period]]/12))),2)</f>
        <v>0</v>
      </c>
      <c r="R278" s="2">
        <f>IF(MONTH(Table15781012[[#This Row],[Date]])=2,28,DAY(DATE(YEAR(Table15781012[[#This Row],[Date]]),MONTH(Table15781012[[#This Row],[Date]])+1,1)-1))</f>
        <v>30</v>
      </c>
      <c r="S278" s="2">
        <f ca="1">SUM(OFFSET(Table15781012[[#Headers],[Days in month]],1,0):Table15781012[[#This Row],[Days in month]])</f>
        <v>7969</v>
      </c>
      <c r="T278" s="37">
        <f>InterestRate*AmortizationMultiplier*IF(ISNUMBER(SEARCH("Actual",$C$7)),Table15781012[[#This Row],[Days in month]]/365,1/12)</f>
        <v>5.8749999999999991E-3</v>
      </c>
    </row>
    <row r="279" spans="2:20" x14ac:dyDescent="0.2">
      <c r="B279" s="1">
        <f t="shared" si="14"/>
        <v>53843</v>
      </c>
      <c r="C279" s="2">
        <f t="shared" si="16"/>
        <v>263</v>
      </c>
      <c r="D279" s="3">
        <f t="shared" si="15"/>
        <v>0</v>
      </c>
      <c r="E279" s="3">
        <f>ROUND(Table15781012[[#This Row],[Beginning Balance]]*Table15781012[[#This Row],[Monthly Interest Rate]],2)</f>
        <v>0</v>
      </c>
      <c r="F279" s="3">
        <f t="shared" si="17"/>
        <v>89</v>
      </c>
      <c r="G279" s="23">
        <f>IFERROR(IF($C$13="No","N/A",IF(Table15781012[[#This Row],[Period]]=1,$C$6,PMT(InterestRate*AmortizationMultiplier/12,Table15781012[[#This Row],[Am Thru]],-Table15781012[[#This Row],[Beginning Balance]]))),0)</f>
        <v>0</v>
      </c>
      <c r="H279" s="3">
        <f>MAX(0,IF(C279=$C$4,D279,ROUND(IF($C$3="Fixed Principal",$C$6-Table15781012[[#This Row],[Interest]],IF($C$3="Interest Only",Table15781012[[#This Row],[Beginning Balance]]*ROUND(1-(1-IF($C$11="No",$E$8,1))^(1/12),6),MIN(IF($C$13="Yes",Table15781012[[#This Row],[Payment Amount (Reamortized)]],$C$6)-Table15781012[[#This Row],[Interest]],Table15781012[[#This Row],[Beginning Balance]]))),2)))</f>
        <v>0</v>
      </c>
      <c r="I279" s="3">
        <f>_xlfn.SINGLE(IF($C$3="Line of Credit",0,ROUND(MAX(MIN(IF($C$10="No",$E$7,VLOOKUP(Table15781012[[#This Row],[Period]],Forecast!$H$2:$L$1048576,4,FALSE))*Table15781012[[#This Row],[Beginning Balance]],Table15781012[[#This Row],[Beginning Balance]]-Table15781012[[#This Row],[Principal]]),0),2)))</f>
        <v>0</v>
      </c>
      <c r="J279" s="3">
        <f>ROUND(MIN(Table15781012[[#This Row],[Beginning Balance]]*IF($C$8="No",$E$3,VLOOKUP(Table15781012[[#This Row],[Period]],Forecast!$H$2:$L$1048576,2,FALSE)),Table15781012[[#This Row],[Beginning Balance]]-Table15781012[[#This Row],[Principal]]-Table15781012[[#This Row],[Prepayments]]),2)</f>
        <v>0</v>
      </c>
      <c r="K279" s="3">
        <f>ROUND(Table15781012[[#This Row],[Defaulted Principal]]*IF($C$9="No",$E$4,VLOOKUP(Table15781012[[#This Row],[Period]],Forecast!$H$2:$L$1048576,3,FALSE)),2)</f>
        <v>0</v>
      </c>
      <c r="L279" s="2">
        <f>Table15781012[[#This Row],[Period]]+$E$9</f>
        <v>275</v>
      </c>
      <c r="M279" s="3">
        <f>Table15781012[[#This Row],[Defaulted Principal]]-Table15781012[[#This Row],[Estimated Loss]]</f>
        <v>0</v>
      </c>
      <c r="N279" s="3">
        <f>IFERROR(VLOOKUP(Table15781012[[#This Row],[Period]],$L$16:$M$385,2,FALSE),0)</f>
        <v>0</v>
      </c>
      <c r="O279" s="3">
        <f>Table15781012[[#This Row],[Beginning Balance]]-Table15781012[[#This Row],[Principal]]-Table15781012[[#This Row],[Prepayments]]-Table15781012[[#This Row],[Defaulted Principal]]</f>
        <v>0</v>
      </c>
      <c r="P279" s="3">
        <f>Table15781012[[#This Row],[Principal]]+Table15781012[[#This Row],[Interest]]+Table15781012[[#This Row],[Prepayments]]+Table15781012[[#This Row],[RecoveredAmount]]</f>
        <v>0</v>
      </c>
      <c r="Q279" s="3">
        <f ca="1">ROUND(Table15781012[[#This Row],[Cash Flow]]/((1+ActualRateToUse)^(IF(ISNUMBER(SEARCH("Actual",$C$7)),Table15781012[[#This Row],[Running Total]]/365,Table15781012[[#This Row],[Period]]/12))),2)</f>
        <v>0</v>
      </c>
      <c r="R279" s="2">
        <f>IF(MONTH(Table15781012[[#This Row],[Date]])=2,28,DAY(DATE(YEAR(Table15781012[[#This Row],[Date]]),MONTH(Table15781012[[#This Row],[Date]])+1,1)-1))</f>
        <v>31</v>
      </c>
      <c r="S279" s="2">
        <f ca="1">SUM(OFFSET(Table15781012[[#Headers],[Days in month]],1,0):Table15781012[[#This Row],[Days in month]])</f>
        <v>8000</v>
      </c>
      <c r="T279" s="37">
        <f>InterestRate*AmortizationMultiplier*IF(ISNUMBER(SEARCH("Actual",$C$7)),Table15781012[[#This Row],[Days in month]]/365,1/12)</f>
        <v>6.0708333333333326E-3</v>
      </c>
    </row>
    <row r="280" spans="2:20" x14ac:dyDescent="0.2">
      <c r="B280" s="1">
        <f t="shared" si="14"/>
        <v>53873</v>
      </c>
      <c r="C280" s="2">
        <f t="shared" si="16"/>
        <v>264</v>
      </c>
      <c r="D280" s="3">
        <f t="shared" si="15"/>
        <v>0</v>
      </c>
      <c r="E280" s="3">
        <f>ROUND(Table15781012[[#This Row],[Beginning Balance]]*Table15781012[[#This Row],[Monthly Interest Rate]],2)</f>
        <v>0</v>
      </c>
      <c r="F280" s="3">
        <f t="shared" si="17"/>
        <v>88</v>
      </c>
      <c r="G280" s="23">
        <f>IFERROR(IF($C$13="No","N/A",IF(Table15781012[[#This Row],[Period]]=1,$C$6,PMT(InterestRate*AmortizationMultiplier/12,Table15781012[[#This Row],[Am Thru]],-Table15781012[[#This Row],[Beginning Balance]]))),0)</f>
        <v>0</v>
      </c>
      <c r="H280" s="3">
        <f>MAX(0,IF(C280=$C$4,D280,ROUND(IF($C$3="Fixed Principal",$C$6-Table15781012[[#This Row],[Interest]],IF($C$3="Interest Only",Table15781012[[#This Row],[Beginning Balance]]*ROUND(1-(1-IF($C$11="No",$E$8,1))^(1/12),6),MIN(IF($C$13="Yes",Table15781012[[#This Row],[Payment Amount (Reamortized)]],$C$6)-Table15781012[[#This Row],[Interest]],Table15781012[[#This Row],[Beginning Balance]]))),2)))</f>
        <v>0</v>
      </c>
      <c r="I280" s="3">
        <f>_xlfn.SINGLE(IF($C$3="Line of Credit",0,ROUND(MAX(MIN(IF($C$10="No",$E$7,VLOOKUP(Table15781012[[#This Row],[Period]],Forecast!$H$2:$L$1048576,4,FALSE))*Table15781012[[#This Row],[Beginning Balance]],Table15781012[[#This Row],[Beginning Balance]]-Table15781012[[#This Row],[Principal]]),0),2)))</f>
        <v>0</v>
      </c>
      <c r="J280" s="3">
        <f>ROUND(MIN(Table15781012[[#This Row],[Beginning Balance]]*IF($C$8="No",$E$3,VLOOKUP(Table15781012[[#This Row],[Period]],Forecast!$H$2:$L$1048576,2,FALSE)),Table15781012[[#This Row],[Beginning Balance]]-Table15781012[[#This Row],[Principal]]-Table15781012[[#This Row],[Prepayments]]),2)</f>
        <v>0</v>
      </c>
      <c r="K280" s="3">
        <f>ROUND(Table15781012[[#This Row],[Defaulted Principal]]*IF($C$9="No",$E$4,VLOOKUP(Table15781012[[#This Row],[Period]],Forecast!$H$2:$L$1048576,3,FALSE)),2)</f>
        <v>0</v>
      </c>
      <c r="L280" s="2">
        <f>Table15781012[[#This Row],[Period]]+$E$9</f>
        <v>276</v>
      </c>
      <c r="M280" s="3">
        <f>Table15781012[[#This Row],[Defaulted Principal]]-Table15781012[[#This Row],[Estimated Loss]]</f>
        <v>0</v>
      </c>
      <c r="N280" s="3">
        <f>IFERROR(VLOOKUP(Table15781012[[#This Row],[Period]],$L$16:$M$385,2,FALSE),0)</f>
        <v>0</v>
      </c>
      <c r="O280" s="3">
        <f>Table15781012[[#This Row],[Beginning Balance]]-Table15781012[[#This Row],[Principal]]-Table15781012[[#This Row],[Prepayments]]-Table15781012[[#This Row],[Defaulted Principal]]</f>
        <v>0</v>
      </c>
      <c r="P280" s="3">
        <f>Table15781012[[#This Row],[Principal]]+Table15781012[[#This Row],[Interest]]+Table15781012[[#This Row],[Prepayments]]+Table15781012[[#This Row],[RecoveredAmount]]</f>
        <v>0</v>
      </c>
      <c r="Q280" s="3">
        <f ca="1">ROUND(Table15781012[[#This Row],[Cash Flow]]/((1+ActualRateToUse)^(IF(ISNUMBER(SEARCH("Actual",$C$7)),Table15781012[[#This Row],[Running Total]]/365,Table15781012[[#This Row],[Period]]/12))),2)</f>
        <v>0</v>
      </c>
      <c r="R280" s="2">
        <f>IF(MONTH(Table15781012[[#This Row],[Date]])=2,28,DAY(DATE(YEAR(Table15781012[[#This Row],[Date]]),MONTH(Table15781012[[#This Row],[Date]])+1,1)-1))</f>
        <v>30</v>
      </c>
      <c r="S280" s="2">
        <f ca="1">SUM(OFFSET(Table15781012[[#Headers],[Days in month]],1,0):Table15781012[[#This Row],[Days in month]])</f>
        <v>8030</v>
      </c>
      <c r="T280" s="37">
        <f>InterestRate*AmortizationMultiplier*IF(ISNUMBER(SEARCH("Actual",$C$7)),Table15781012[[#This Row],[Days in month]]/365,1/12)</f>
        <v>5.8749999999999991E-3</v>
      </c>
    </row>
    <row r="281" spans="2:20" x14ac:dyDescent="0.2">
      <c r="B281" s="1">
        <f t="shared" si="14"/>
        <v>53904</v>
      </c>
      <c r="C281" s="2">
        <f t="shared" si="16"/>
        <v>265</v>
      </c>
      <c r="D281" s="3">
        <f t="shared" si="15"/>
        <v>0</v>
      </c>
      <c r="E281" s="3">
        <f>ROUND(Table15781012[[#This Row],[Beginning Balance]]*Table15781012[[#This Row],[Monthly Interest Rate]],2)</f>
        <v>0</v>
      </c>
      <c r="F281" s="3">
        <f t="shared" si="17"/>
        <v>87</v>
      </c>
      <c r="G281" s="23">
        <f>IFERROR(IF($C$13="No","N/A",IF(Table15781012[[#This Row],[Period]]=1,$C$6,PMT(InterestRate*AmortizationMultiplier/12,Table15781012[[#This Row],[Am Thru]],-Table15781012[[#This Row],[Beginning Balance]]))),0)</f>
        <v>0</v>
      </c>
      <c r="H281" s="3">
        <f>MAX(0,IF(C281=$C$4,D281,ROUND(IF($C$3="Fixed Principal",$C$6-Table15781012[[#This Row],[Interest]],IF($C$3="Interest Only",Table15781012[[#This Row],[Beginning Balance]]*ROUND(1-(1-IF($C$11="No",$E$8,1))^(1/12),6),MIN(IF($C$13="Yes",Table15781012[[#This Row],[Payment Amount (Reamortized)]],$C$6)-Table15781012[[#This Row],[Interest]],Table15781012[[#This Row],[Beginning Balance]]))),2)))</f>
        <v>0</v>
      </c>
      <c r="I281" s="3">
        <f>_xlfn.SINGLE(IF($C$3="Line of Credit",0,ROUND(MAX(MIN(IF($C$10="No",$E$7,VLOOKUP(Table15781012[[#This Row],[Period]],Forecast!$H$2:$L$1048576,4,FALSE))*Table15781012[[#This Row],[Beginning Balance]],Table15781012[[#This Row],[Beginning Balance]]-Table15781012[[#This Row],[Principal]]),0),2)))</f>
        <v>0</v>
      </c>
      <c r="J281" s="3">
        <f>ROUND(MIN(Table15781012[[#This Row],[Beginning Balance]]*IF($C$8="No",$E$3,VLOOKUP(Table15781012[[#This Row],[Period]],Forecast!$H$2:$L$1048576,2,FALSE)),Table15781012[[#This Row],[Beginning Balance]]-Table15781012[[#This Row],[Principal]]-Table15781012[[#This Row],[Prepayments]]),2)</f>
        <v>0</v>
      </c>
      <c r="K281" s="3">
        <f>ROUND(Table15781012[[#This Row],[Defaulted Principal]]*IF($C$9="No",$E$4,VLOOKUP(Table15781012[[#This Row],[Period]],Forecast!$H$2:$L$1048576,3,FALSE)),2)</f>
        <v>0</v>
      </c>
      <c r="L281" s="2">
        <f>Table15781012[[#This Row],[Period]]+$E$9</f>
        <v>277</v>
      </c>
      <c r="M281" s="3">
        <f>Table15781012[[#This Row],[Defaulted Principal]]-Table15781012[[#This Row],[Estimated Loss]]</f>
        <v>0</v>
      </c>
      <c r="N281" s="3">
        <f>IFERROR(VLOOKUP(Table15781012[[#This Row],[Period]],$L$16:$M$385,2,FALSE),0)</f>
        <v>0</v>
      </c>
      <c r="O281" s="3">
        <f>Table15781012[[#This Row],[Beginning Balance]]-Table15781012[[#This Row],[Principal]]-Table15781012[[#This Row],[Prepayments]]-Table15781012[[#This Row],[Defaulted Principal]]</f>
        <v>0</v>
      </c>
      <c r="P281" s="3">
        <f>Table15781012[[#This Row],[Principal]]+Table15781012[[#This Row],[Interest]]+Table15781012[[#This Row],[Prepayments]]+Table15781012[[#This Row],[RecoveredAmount]]</f>
        <v>0</v>
      </c>
      <c r="Q281" s="3">
        <f ca="1">ROUND(Table15781012[[#This Row],[Cash Flow]]/((1+ActualRateToUse)^(IF(ISNUMBER(SEARCH("Actual",$C$7)),Table15781012[[#This Row],[Running Total]]/365,Table15781012[[#This Row],[Period]]/12))),2)</f>
        <v>0</v>
      </c>
      <c r="R281" s="2">
        <f>IF(MONTH(Table15781012[[#This Row],[Date]])=2,28,DAY(DATE(YEAR(Table15781012[[#This Row],[Date]]),MONTH(Table15781012[[#This Row],[Date]])+1,1)-1))</f>
        <v>31</v>
      </c>
      <c r="S281" s="2">
        <f ca="1">SUM(OFFSET(Table15781012[[#Headers],[Days in month]],1,0):Table15781012[[#This Row],[Days in month]])</f>
        <v>8061</v>
      </c>
      <c r="T281" s="37">
        <f>InterestRate*AmortizationMultiplier*IF(ISNUMBER(SEARCH("Actual",$C$7)),Table15781012[[#This Row],[Days in month]]/365,1/12)</f>
        <v>6.0708333333333326E-3</v>
      </c>
    </row>
    <row r="282" spans="2:20" x14ac:dyDescent="0.2">
      <c r="B282" s="1">
        <f t="shared" si="14"/>
        <v>53935</v>
      </c>
      <c r="C282" s="2">
        <f t="shared" si="16"/>
        <v>266</v>
      </c>
      <c r="D282" s="3">
        <f t="shared" si="15"/>
        <v>0</v>
      </c>
      <c r="E282" s="3">
        <f>ROUND(Table15781012[[#This Row],[Beginning Balance]]*Table15781012[[#This Row],[Monthly Interest Rate]],2)</f>
        <v>0</v>
      </c>
      <c r="F282" s="3">
        <f t="shared" si="17"/>
        <v>86</v>
      </c>
      <c r="G282" s="23">
        <f>IFERROR(IF($C$13="No","N/A",IF(Table15781012[[#This Row],[Period]]=1,$C$6,PMT(InterestRate*AmortizationMultiplier/12,Table15781012[[#This Row],[Am Thru]],-Table15781012[[#This Row],[Beginning Balance]]))),0)</f>
        <v>0</v>
      </c>
      <c r="H282" s="3">
        <f>MAX(0,IF(C282=$C$4,D282,ROUND(IF($C$3="Fixed Principal",$C$6-Table15781012[[#This Row],[Interest]],IF($C$3="Interest Only",Table15781012[[#This Row],[Beginning Balance]]*ROUND(1-(1-IF($C$11="No",$E$8,1))^(1/12),6),MIN(IF($C$13="Yes",Table15781012[[#This Row],[Payment Amount (Reamortized)]],$C$6)-Table15781012[[#This Row],[Interest]],Table15781012[[#This Row],[Beginning Balance]]))),2)))</f>
        <v>0</v>
      </c>
      <c r="I282" s="3">
        <f>_xlfn.SINGLE(IF($C$3="Line of Credit",0,ROUND(MAX(MIN(IF($C$10="No",$E$7,VLOOKUP(Table15781012[[#This Row],[Period]],Forecast!$H$2:$L$1048576,4,FALSE))*Table15781012[[#This Row],[Beginning Balance]],Table15781012[[#This Row],[Beginning Balance]]-Table15781012[[#This Row],[Principal]]),0),2)))</f>
        <v>0</v>
      </c>
      <c r="J282" s="3">
        <f>ROUND(MIN(Table15781012[[#This Row],[Beginning Balance]]*IF($C$8="No",$E$3,VLOOKUP(Table15781012[[#This Row],[Period]],Forecast!$H$2:$L$1048576,2,FALSE)),Table15781012[[#This Row],[Beginning Balance]]-Table15781012[[#This Row],[Principal]]-Table15781012[[#This Row],[Prepayments]]),2)</f>
        <v>0</v>
      </c>
      <c r="K282" s="3">
        <f>ROUND(Table15781012[[#This Row],[Defaulted Principal]]*IF($C$9="No",$E$4,VLOOKUP(Table15781012[[#This Row],[Period]],Forecast!$H$2:$L$1048576,3,FALSE)),2)</f>
        <v>0</v>
      </c>
      <c r="L282" s="2">
        <f>Table15781012[[#This Row],[Period]]+$E$9</f>
        <v>278</v>
      </c>
      <c r="M282" s="3">
        <f>Table15781012[[#This Row],[Defaulted Principal]]-Table15781012[[#This Row],[Estimated Loss]]</f>
        <v>0</v>
      </c>
      <c r="N282" s="3">
        <f>IFERROR(VLOOKUP(Table15781012[[#This Row],[Period]],$L$16:$M$385,2,FALSE),0)</f>
        <v>0</v>
      </c>
      <c r="O282" s="3">
        <f>Table15781012[[#This Row],[Beginning Balance]]-Table15781012[[#This Row],[Principal]]-Table15781012[[#This Row],[Prepayments]]-Table15781012[[#This Row],[Defaulted Principal]]</f>
        <v>0</v>
      </c>
      <c r="P282" s="3">
        <f>Table15781012[[#This Row],[Principal]]+Table15781012[[#This Row],[Interest]]+Table15781012[[#This Row],[Prepayments]]+Table15781012[[#This Row],[RecoveredAmount]]</f>
        <v>0</v>
      </c>
      <c r="Q282" s="3">
        <f ca="1">ROUND(Table15781012[[#This Row],[Cash Flow]]/((1+ActualRateToUse)^(IF(ISNUMBER(SEARCH("Actual",$C$7)),Table15781012[[#This Row],[Running Total]]/365,Table15781012[[#This Row],[Period]]/12))),2)</f>
        <v>0</v>
      </c>
      <c r="R282" s="2">
        <f>IF(MONTH(Table15781012[[#This Row],[Date]])=2,28,DAY(DATE(YEAR(Table15781012[[#This Row],[Date]]),MONTH(Table15781012[[#This Row],[Date]])+1,1)-1))</f>
        <v>31</v>
      </c>
      <c r="S282" s="2">
        <f ca="1">SUM(OFFSET(Table15781012[[#Headers],[Days in month]],1,0):Table15781012[[#This Row],[Days in month]])</f>
        <v>8092</v>
      </c>
      <c r="T282" s="37">
        <f>InterestRate*AmortizationMultiplier*IF(ISNUMBER(SEARCH("Actual",$C$7)),Table15781012[[#This Row],[Days in month]]/365,1/12)</f>
        <v>6.0708333333333326E-3</v>
      </c>
    </row>
    <row r="283" spans="2:20" x14ac:dyDescent="0.2">
      <c r="B283" s="1">
        <f t="shared" si="14"/>
        <v>53965</v>
      </c>
      <c r="C283" s="2">
        <f t="shared" si="16"/>
        <v>267</v>
      </c>
      <c r="D283" s="3">
        <f t="shared" si="15"/>
        <v>0</v>
      </c>
      <c r="E283" s="3">
        <f>ROUND(Table15781012[[#This Row],[Beginning Balance]]*Table15781012[[#This Row],[Monthly Interest Rate]],2)</f>
        <v>0</v>
      </c>
      <c r="F283" s="3">
        <f t="shared" si="17"/>
        <v>85</v>
      </c>
      <c r="G283" s="23">
        <f>IFERROR(IF($C$13="No","N/A",IF(Table15781012[[#This Row],[Period]]=1,$C$6,PMT(InterestRate*AmortizationMultiplier/12,Table15781012[[#This Row],[Am Thru]],-Table15781012[[#This Row],[Beginning Balance]]))),0)</f>
        <v>0</v>
      </c>
      <c r="H283" s="3">
        <f>MAX(0,IF(C283=$C$4,D283,ROUND(IF($C$3="Fixed Principal",$C$6-Table15781012[[#This Row],[Interest]],IF($C$3="Interest Only",Table15781012[[#This Row],[Beginning Balance]]*ROUND(1-(1-IF($C$11="No",$E$8,1))^(1/12),6),MIN(IF($C$13="Yes",Table15781012[[#This Row],[Payment Amount (Reamortized)]],$C$6)-Table15781012[[#This Row],[Interest]],Table15781012[[#This Row],[Beginning Balance]]))),2)))</f>
        <v>0</v>
      </c>
      <c r="I283" s="3">
        <f>_xlfn.SINGLE(IF($C$3="Line of Credit",0,ROUND(MAX(MIN(IF($C$10="No",$E$7,VLOOKUP(Table15781012[[#This Row],[Period]],Forecast!$H$2:$L$1048576,4,FALSE))*Table15781012[[#This Row],[Beginning Balance]],Table15781012[[#This Row],[Beginning Balance]]-Table15781012[[#This Row],[Principal]]),0),2)))</f>
        <v>0</v>
      </c>
      <c r="J283" s="3">
        <f>ROUND(MIN(Table15781012[[#This Row],[Beginning Balance]]*IF($C$8="No",$E$3,VLOOKUP(Table15781012[[#This Row],[Period]],Forecast!$H$2:$L$1048576,2,FALSE)),Table15781012[[#This Row],[Beginning Balance]]-Table15781012[[#This Row],[Principal]]-Table15781012[[#This Row],[Prepayments]]),2)</f>
        <v>0</v>
      </c>
      <c r="K283" s="3">
        <f>ROUND(Table15781012[[#This Row],[Defaulted Principal]]*IF($C$9="No",$E$4,VLOOKUP(Table15781012[[#This Row],[Period]],Forecast!$H$2:$L$1048576,3,FALSE)),2)</f>
        <v>0</v>
      </c>
      <c r="L283" s="2">
        <f>Table15781012[[#This Row],[Period]]+$E$9</f>
        <v>279</v>
      </c>
      <c r="M283" s="3">
        <f>Table15781012[[#This Row],[Defaulted Principal]]-Table15781012[[#This Row],[Estimated Loss]]</f>
        <v>0</v>
      </c>
      <c r="N283" s="3">
        <f>IFERROR(VLOOKUP(Table15781012[[#This Row],[Period]],$L$16:$M$385,2,FALSE),0)</f>
        <v>0</v>
      </c>
      <c r="O283" s="3">
        <f>Table15781012[[#This Row],[Beginning Balance]]-Table15781012[[#This Row],[Principal]]-Table15781012[[#This Row],[Prepayments]]-Table15781012[[#This Row],[Defaulted Principal]]</f>
        <v>0</v>
      </c>
      <c r="P283" s="3">
        <f>Table15781012[[#This Row],[Principal]]+Table15781012[[#This Row],[Interest]]+Table15781012[[#This Row],[Prepayments]]+Table15781012[[#This Row],[RecoveredAmount]]</f>
        <v>0</v>
      </c>
      <c r="Q283" s="3">
        <f ca="1">ROUND(Table15781012[[#This Row],[Cash Flow]]/((1+ActualRateToUse)^(IF(ISNUMBER(SEARCH("Actual",$C$7)),Table15781012[[#This Row],[Running Total]]/365,Table15781012[[#This Row],[Period]]/12))),2)</f>
        <v>0</v>
      </c>
      <c r="R283" s="2">
        <f>IF(MONTH(Table15781012[[#This Row],[Date]])=2,28,DAY(DATE(YEAR(Table15781012[[#This Row],[Date]]),MONTH(Table15781012[[#This Row],[Date]])+1,1)-1))</f>
        <v>30</v>
      </c>
      <c r="S283" s="2">
        <f ca="1">SUM(OFFSET(Table15781012[[#Headers],[Days in month]],1,0):Table15781012[[#This Row],[Days in month]])</f>
        <v>8122</v>
      </c>
      <c r="T283" s="37">
        <f>InterestRate*AmortizationMultiplier*IF(ISNUMBER(SEARCH("Actual",$C$7)),Table15781012[[#This Row],[Days in month]]/365,1/12)</f>
        <v>5.8749999999999991E-3</v>
      </c>
    </row>
    <row r="284" spans="2:20" x14ac:dyDescent="0.2">
      <c r="B284" s="1">
        <f t="shared" si="14"/>
        <v>53996</v>
      </c>
      <c r="C284" s="2">
        <f t="shared" si="16"/>
        <v>268</v>
      </c>
      <c r="D284" s="3">
        <f t="shared" si="15"/>
        <v>0</v>
      </c>
      <c r="E284" s="3">
        <f>ROUND(Table15781012[[#This Row],[Beginning Balance]]*Table15781012[[#This Row],[Monthly Interest Rate]],2)</f>
        <v>0</v>
      </c>
      <c r="F284" s="3">
        <f t="shared" si="17"/>
        <v>84</v>
      </c>
      <c r="G284" s="23">
        <f>IFERROR(IF($C$13="No","N/A",IF(Table15781012[[#This Row],[Period]]=1,$C$6,PMT(InterestRate*AmortizationMultiplier/12,Table15781012[[#This Row],[Am Thru]],-Table15781012[[#This Row],[Beginning Balance]]))),0)</f>
        <v>0</v>
      </c>
      <c r="H284" s="3">
        <f>MAX(0,IF(C284=$C$4,D284,ROUND(IF($C$3="Fixed Principal",$C$6-Table15781012[[#This Row],[Interest]],IF($C$3="Interest Only",Table15781012[[#This Row],[Beginning Balance]]*ROUND(1-(1-IF($C$11="No",$E$8,1))^(1/12),6),MIN(IF($C$13="Yes",Table15781012[[#This Row],[Payment Amount (Reamortized)]],$C$6)-Table15781012[[#This Row],[Interest]],Table15781012[[#This Row],[Beginning Balance]]))),2)))</f>
        <v>0</v>
      </c>
      <c r="I284" s="3">
        <f>_xlfn.SINGLE(IF($C$3="Line of Credit",0,ROUND(MAX(MIN(IF($C$10="No",$E$7,VLOOKUP(Table15781012[[#This Row],[Period]],Forecast!$H$2:$L$1048576,4,FALSE))*Table15781012[[#This Row],[Beginning Balance]],Table15781012[[#This Row],[Beginning Balance]]-Table15781012[[#This Row],[Principal]]),0),2)))</f>
        <v>0</v>
      </c>
      <c r="J284" s="3">
        <f>ROUND(MIN(Table15781012[[#This Row],[Beginning Balance]]*IF($C$8="No",$E$3,VLOOKUP(Table15781012[[#This Row],[Period]],Forecast!$H$2:$L$1048576,2,FALSE)),Table15781012[[#This Row],[Beginning Balance]]-Table15781012[[#This Row],[Principal]]-Table15781012[[#This Row],[Prepayments]]),2)</f>
        <v>0</v>
      </c>
      <c r="K284" s="3">
        <f>ROUND(Table15781012[[#This Row],[Defaulted Principal]]*IF($C$9="No",$E$4,VLOOKUP(Table15781012[[#This Row],[Period]],Forecast!$H$2:$L$1048576,3,FALSE)),2)</f>
        <v>0</v>
      </c>
      <c r="L284" s="2">
        <f>Table15781012[[#This Row],[Period]]+$E$9</f>
        <v>280</v>
      </c>
      <c r="M284" s="3">
        <f>Table15781012[[#This Row],[Defaulted Principal]]-Table15781012[[#This Row],[Estimated Loss]]</f>
        <v>0</v>
      </c>
      <c r="N284" s="3">
        <f>IFERROR(VLOOKUP(Table15781012[[#This Row],[Period]],$L$16:$M$385,2,FALSE),0)</f>
        <v>0</v>
      </c>
      <c r="O284" s="3">
        <f>Table15781012[[#This Row],[Beginning Balance]]-Table15781012[[#This Row],[Principal]]-Table15781012[[#This Row],[Prepayments]]-Table15781012[[#This Row],[Defaulted Principal]]</f>
        <v>0</v>
      </c>
      <c r="P284" s="3">
        <f>Table15781012[[#This Row],[Principal]]+Table15781012[[#This Row],[Interest]]+Table15781012[[#This Row],[Prepayments]]+Table15781012[[#This Row],[RecoveredAmount]]</f>
        <v>0</v>
      </c>
      <c r="Q284" s="3">
        <f ca="1">ROUND(Table15781012[[#This Row],[Cash Flow]]/((1+ActualRateToUse)^(IF(ISNUMBER(SEARCH("Actual",$C$7)),Table15781012[[#This Row],[Running Total]]/365,Table15781012[[#This Row],[Period]]/12))),2)</f>
        <v>0</v>
      </c>
      <c r="R284" s="2">
        <f>IF(MONTH(Table15781012[[#This Row],[Date]])=2,28,DAY(DATE(YEAR(Table15781012[[#This Row],[Date]]),MONTH(Table15781012[[#This Row],[Date]])+1,1)-1))</f>
        <v>31</v>
      </c>
      <c r="S284" s="2">
        <f ca="1">SUM(OFFSET(Table15781012[[#Headers],[Days in month]],1,0):Table15781012[[#This Row],[Days in month]])</f>
        <v>8153</v>
      </c>
      <c r="T284" s="37">
        <f>InterestRate*AmortizationMultiplier*IF(ISNUMBER(SEARCH("Actual",$C$7)),Table15781012[[#This Row],[Days in month]]/365,1/12)</f>
        <v>6.0708333333333326E-3</v>
      </c>
    </row>
    <row r="285" spans="2:20" x14ac:dyDescent="0.2">
      <c r="B285" s="1">
        <f t="shared" si="14"/>
        <v>54026</v>
      </c>
      <c r="C285" s="2">
        <f t="shared" si="16"/>
        <v>269</v>
      </c>
      <c r="D285" s="3">
        <f t="shared" si="15"/>
        <v>0</v>
      </c>
      <c r="E285" s="3">
        <f>ROUND(Table15781012[[#This Row],[Beginning Balance]]*Table15781012[[#This Row],[Monthly Interest Rate]],2)</f>
        <v>0</v>
      </c>
      <c r="F285" s="3">
        <f t="shared" si="17"/>
        <v>83</v>
      </c>
      <c r="G285" s="23">
        <f>IFERROR(IF($C$13="No","N/A",IF(Table15781012[[#This Row],[Period]]=1,$C$6,PMT(InterestRate*AmortizationMultiplier/12,Table15781012[[#This Row],[Am Thru]],-Table15781012[[#This Row],[Beginning Balance]]))),0)</f>
        <v>0</v>
      </c>
      <c r="H285" s="3">
        <f>MAX(0,IF(C285=$C$4,D285,ROUND(IF($C$3="Fixed Principal",$C$6-Table15781012[[#This Row],[Interest]],IF($C$3="Interest Only",Table15781012[[#This Row],[Beginning Balance]]*ROUND(1-(1-IF($C$11="No",$E$8,1))^(1/12),6),MIN(IF($C$13="Yes",Table15781012[[#This Row],[Payment Amount (Reamortized)]],$C$6)-Table15781012[[#This Row],[Interest]],Table15781012[[#This Row],[Beginning Balance]]))),2)))</f>
        <v>0</v>
      </c>
      <c r="I285" s="3">
        <f>_xlfn.SINGLE(IF($C$3="Line of Credit",0,ROUND(MAX(MIN(IF($C$10="No",$E$7,VLOOKUP(Table15781012[[#This Row],[Period]],Forecast!$H$2:$L$1048576,4,FALSE))*Table15781012[[#This Row],[Beginning Balance]],Table15781012[[#This Row],[Beginning Balance]]-Table15781012[[#This Row],[Principal]]),0),2)))</f>
        <v>0</v>
      </c>
      <c r="J285" s="3">
        <f>ROUND(MIN(Table15781012[[#This Row],[Beginning Balance]]*IF($C$8="No",$E$3,VLOOKUP(Table15781012[[#This Row],[Period]],Forecast!$H$2:$L$1048576,2,FALSE)),Table15781012[[#This Row],[Beginning Balance]]-Table15781012[[#This Row],[Principal]]-Table15781012[[#This Row],[Prepayments]]),2)</f>
        <v>0</v>
      </c>
      <c r="K285" s="3">
        <f>ROUND(Table15781012[[#This Row],[Defaulted Principal]]*IF($C$9="No",$E$4,VLOOKUP(Table15781012[[#This Row],[Period]],Forecast!$H$2:$L$1048576,3,FALSE)),2)</f>
        <v>0</v>
      </c>
      <c r="L285" s="2">
        <f>Table15781012[[#This Row],[Period]]+$E$9</f>
        <v>281</v>
      </c>
      <c r="M285" s="3">
        <f>Table15781012[[#This Row],[Defaulted Principal]]-Table15781012[[#This Row],[Estimated Loss]]</f>
        <v>0</v>
      </c>
      <c r="N285" s="3">
        <f>IFERROR(VLOOKUP(Table15781012[[#This Row],[Period]],$L$16:$M$385,2,FALSE),0)</f>
        <v>0</v>
      </c>
      <c r="O285" s="3">
        <f>Table15781012[[#This Row],[Beginning Balance]]-Table15781012[[#This Row],[Principal]]-Table15781012[[#This Row],[Prepayments]]-Table15781012[[#This Row],[Defaulted Principal]]</f>
        <v>0</v>
      </c>
      <c r="P285" s="3">
        <f>Table15781012[[#This Row],[Principal]]+Table15781012[[#This Row],[Interest]]+Table15781012[[#This Row],[Prepayments]]+Table15781012[[#This Row],[RecoveredAmount]]</f>
        <v>0</v>
      </c>
      <c r="Q285" s="3">
        <f ca="1">ROUND(Table15781012[[#This Row],[Cash Flow]]/((1+ActualRateToUse)^(IF(ISNUMBER(SEARCH("Actual",$C$7)),Table15781012[[#This Row],[Running Total]]/365,Table15781012[[#This Row],[Period]]/12))),2)</f>
        <v>0</v>
      </c>
      <c r="R285" s="2">
        <f>IF(MONTH(Table15781012[[#This Row],[Date]])=2,28,DAY(DATE(YEAR(Table15781012[[#This Row],[Date]]),MONTH(Table15781012[[#This Row],[Date]])+1,1)-1))</f>
        <v>30</v>
      </c>
      <c r="S285" s="2">
        <f ca="1">SUM(OFFSET(Table15781012[[#Headers],[Days in month]],1,0):Table15781012[[#This Row],[Days in month]])</f>
        <v>8183</v>
      </c>
      <c r="T285" s="37">
        <f>InterestRate*AmortizationMultiplier*IF(ISNUMBER(SEARCH("Actual",$C$7)),Table15781012[[#This Row],[Days in month]]/365,1/12)</f>
        <v>5.8749999999999991E-3</v>
      </c>
    </row>
    <row r="286" spans="2:20" x14ac:dyDescent="0.2">
      <c r="B286" s="1">
        <f t="shared" si="14"/>
        <v>54057</v>
      </c>
      <c r="C286" s="2">
        <f t="shared" si="16"/>
        <v>270</v>
      </c>
      <c r="D286" s="3">
        <f t="shared" si="15"/>
        <v>0</v>
      </c>
      <c r="E286" s="3">
        <f>ROUND(Table15781012[[#This Row],[Beginning Balance]]*Table15781012[[#This Row],[Monthly Interest Rate]],2)</f>
        <v>0</v>
      </c>
      <c r="F286" s="3">
        <f t="shared" si="17"/>
        <v>82</v>
      </c>
      <c r="G286" s="23">
        <f>IFERROR(IF($C$13="No","N/A",IF(Table15781012[[#This Row],[Period]]=1,$C$6,PMT(InterestRate*AmortizationMultiplier/12,Table15781012[[#This Row],[Am Thru]],-Table15781012[[#This Row],[Beginning Balance]]))),0)</f>
        <v>0</v>
      </c>
      <c r="H286" s="3">
        <f>MAX(0,IF(C286=$C$4,D286,ROUND(IF($C$3="Fixed Principal",$C$6-Table15781012[[#This Row],[Interest]],IF($C$3="Interest Only",Table15781012[[#This Row],[Beginning Balance]]*ROUND(1-(1-IF($C$11="No",$E$8,1))^(1/12),6),MIN(IF($C$13="Yes",Table15781012[[#This Row],[Payment Amount (Reamortized)]],$C$6)-Table15781012[[#This Row],[Interest]],Table15781012[[#This Row],[Beginning Balance]]))),2)))</f>
        <v>0</v>
      </c>
      <c r="I286" s="3">
        <f>_xlfn.SINGLE(IF($C$3="Line of Credit",0,ROUND(MAX(MIN(IF($C$10="No",$E$7,VLOOKUP(Table15781012[[#This Row],[Period]],Forecast!$H$2:$L$1048576,4,FALSE))*Table15781012[[#This Row],[Beginning Balance]],Table15781012[[#This Row],[Beginning Balance]]-Table15781012[[#This Row],[Principal]]),0),2)))</f>
        <v>0</v>
      </c>
      <c r="J286" s="3">
        <f>ROUND(MIN(Table15781012[[#This Row],[Beginning Balance]]*IF($C$8="No",$E$3,VLOOKUP(Table15781012[[#This Row],[Period]],Forecast!$H$2:$L$1048576,2,FALSE)),Table15781012[[#This Row],[Beginning Balance]]-Table15781012[[#This Row],[Principal]]-Table15781012[[#This Row],[Prepayments]]),2)</f>
        <v>0</v>
      </c>
      <c r="K286" s="3">
        <f>ROUND(Table15781012[[#This Row],[Defaulted Principal]]*IF($C$9="No",$E$4,VLOOKUP(Table15781012[[#This Row],[Period]],Forecast!$H$2:$L$1048576,3,FALSE)),2)</f>
        <v>0</v>
      </c>
      <c r="L286" s="2">
        <f>Table15781012[[#This Row],[Period]]+$E$9</f>
        <v>282</v>
      </c>
      <c r="M286" s="3">
        <f>Table15781012[[#This Row],[Defaulted Principal]]-Table15781012[[#This Row],[Estimated Loss]]</f>
        <v>0</v>
      </c>
      <c r="N286" s="3">
        <f>IFERROR(VLOOKUP(Table15781012[[#This Row],[Period]],$L$16:$M$385,2,FALSE),0)</f>
        <v>0</v>
      </c>
      <c r="O286" s="3">
        <f>Table15781012[[#This Row],[Beginning Balance]]-Table15781012[[#This Row],[Principal]]-Table15781012[[#This Row],[Prepayments]]-Table15781012[[#This Row],[Defaulted Principal]]</f>
        <v>0</v>
      </c>
      <c r="P286" s="3">
        <f>Table15781012[[#This Row],[Principal]]+Table15781012[[#This Row],[Interest]]+Table15781012[[#This Row],[Prepayments]]+Table15781012[[#This Row],[RecoveredAmount]]</f>
        <v>0</v>
      </c>
      <c r="Q286" s="3">
        <f ca="1">ROUND(Table15781012[[#This Row],[Cash Flow]]/((1+ActualRateToUse)^(IF(ISNUMBER(SEARCH("Actual",$C$7)),Table15781012[[#This Row],[Running Total]]/365,Table15781012[[#This Row],[Period]]/12))),2)</f>
        <v>0</v>
      </c>
      <c r="R286" s="2">
        <f>IF(MONTH(Table15781012[[#This Row],[Date]])=2,28,DAY(DATE(YEAR(Table15781012[[#This Row],[Date]]),MONTH(Table15781012[[#This Row],[Date]])+1,1)-1))</f>
        <v>31</v>
      </c>
      <c r="S286" s="2">
        <f ca="1">SUM(OFFSET(Table15781012[[#Headers],[Days in month]],1,0):Table15781012[[#This Row],[Days in month]])</f>
        <v>8214</v>
      </c>
      <c r="T286" s="37">
        <f>InterestRate*AmortizationMultiplier*IF(ISNUMBER(SEARCH("Actual",$C$7)),Table15781012[[#This Row],[Days in month]]/365,1/12)</f>
        <v>6.0708333333333326E-3</v>
      </c>
    </row>
    <row r="287" spans="2:20" x14ac:dyDescent="0.2">
      <c r="B287" s="1">
        <f t="shared" si="14"/>
        <v>54088</v>
      </c>
      <c r="C287" s="2">
        <f t="shared" si="16"/>
        <v>271</v>
      </c>
      <c r="D287" s="3">
        <f t="shared" si="15"/>
        <v>0</v>
      </c>
      <c r="E287" s="3">
        <f>ROUND(Table15781012[[#This Row],[Beginning Balance]]*Table15781012[[#This Row],[Monthly Interest Rate]],2)</f>
        <v>0</v>
      </c>
      <c r="F287" s="3">
        <f t="shared" si="17"/>
        <v>81</v>
      </c>
      <c r="G287" s="23">
        <f>IFERROR(IF($C$13="No","N/A",IF(Table15781012[[#This Row],[Period]]=1,$C$6,PMT(InterestRate*AmortizationMultiplier/12,Table15781012[[#This Row],[Am Thru]],-Table15781012[[#This Row],[Beginning Balance]]))),0)</f>
        <v>0</v>
      </c>
      <c r="H287" s="3">
        <f>MAX(0,IF(C287=$C$4,D287,ROUND(IF($C$3="Fixed Principal",$C$6-Table15781012[[#This Row],[Interest]],IF($C$3="Interest Only",Table15781012[[#This Row],[Beginning Balance]]*ROUND(1-(1-IF($C$11="No",$E$8,1))^(1/12),6),MIN(IF($C$13="Yes",Table15781012[[#This Row],[Payment Amount (Reamortized)]],$C$6)-Table15781012[[#This Row],[Interest]],Table15781012[[#This Row],[Beginning Balance]]))),2)))</f>
        <v>0</v>
      </c>
      <c r="I287" s="3">
        <f>_xlfn.SINGLE(IF($C$3="Line of Credit",0,ROUND(MAX(MIN(IF($C$10="No",$E$7,VLOOKUP(Table15781012[[#This Row],[Period]],Forecast!$H$2:$L$1048576,4,FALSE))*Table15781012[[#This Row],[Beginning Balance]],Table15781012[[#This Row],[Beginning Balance]]-Table15781012[[#This Row],[Principal]]),0),2)))</f>
        <v>0</v>
      </c>
      <c r="J287" s="3">
        <f>ROUND(MIN(Table15781012[[#This Row],[Beginning Balance]]*IF($C$8="No",$E$3,VLOOKUP(Table15781012[[#This Row],[Period]],Forecast!$H$2:$L$1048576,2,FALSE)),Table15781012[[#This Row],[Beginning Balance]]-Table15781012[[#This Row],[Principal]]-Table15781012[[#This Row],[Prepayments]]),2)</f>
        <v>0</v>
      </c>
      <c r="K287" s="3">
        <f>ROUND(Table15781012[[#This Row],[Defaulted Principal]]*IF($C$9="No",$E$4,VLOOKUP(Table15781012[[#This Row],[Period]],Forecast!$H$2:$L$1048576,3,FALSE)),2)</f>
        <v>0</v>
      </c>
      <c r="L287" s="2">
        <f>Table15781012[[#This Row],[Period]]+$E$9</f>
        <v>283</v>
      </c>
      <c r="M287" s="3">
        <f>Table15781012[[#This Row],[Defaulted Principal]]-Table15781012[[#This Row],[Estimated Loss]]</f>
        <v>0</v>
      </c>
      <c r="N287" s="3">
        <f>IFERROR(VLOOKUP(Table15781012[[#This Row],[Period]],$L$16:$M$385,2,FALSE),0)</f>
        <v>0</v>
      </c>
      <c r="O287" s="3">
        <f>Table15781012[[#This Row],[Beginning Balance]]-Table15781012[[#This Row],[Principal]]-Table15781012[[#This Row],[Prepayments]]-Table15781012[[#This Row],[Defaulted Principal]]</f>
        <v>0</v>
      </c>
      <c r="P287" s="3">
        <f>Table15781012[[#This Row],[Principal]]+Table15781012[[#This Row],[Interest]]+Table15781012[[#This Row],[Prepayments]]+Table15781012[[#This Row],[RecoveredAmount]]</f>
        <v>0</v>
      </c>
      <c r="Q287" s="3">
        <f ca="1">ROUND(Table15781012[[#This Row],[Cash Flow]]/((1+ActualRateToUse)^(IF(ISNUMBER(SEARCH("Actual",$C$7)),Table15781012[[#This Row],[Running Total]]/365,Table15781012[[#This Row],[Period]]/12))),2)</f>
        <v>0</v>
      </c>
      <c r="R287" s="2">
        <f>IF(MONTH(Table15781012[[#This Row],[Date]])=2,28,DAY(DATE(YEAR(Table15781012[[#This Row],[Date]]),MONTH(Table15781012[[#This Row],[Date]])+1,1)-1))</f>
        <v>31</v>
      </c>
      <c r="S287" s="2">
        <f ca="1">SUM(OFFSET(Table15781012[[#Headers],[Days in month]],1,0):Table15781012[[#This Row],[Days in month]])</f>
        <v>8245</v>
      </c>
      <c r="T287" s="37">
        <f>InterestRate*AmortizationMultiplier*IF(ISNUMBER(SEARCH("Actual",$C$7)),Table15781012[[#This Row],[Days in month]]/365,1/12)</f>
        <v>6.0708333333333326E-3</v>
      </c>
    </row>
    <row r="288" spans="2:20" x14ac:dyDescent="0.2">
      <c r="B288" s="1">
        <f t="shared" si="14"/>
        <v>54117</v>
      </c>
      <c r="C288" s="2">
        <f t="shared" si="16"/>
        <v>272</v>
      </c>
      <c r="D288" s="3">
        <f t="shared" si="15"/>
        <v>0</v>
      </c>
      <c r="E288" s="3">
        <f>ROUND(Table15781012[[#This Row],[Beginning Balance]]*Table15781012[[#This Row],[Monthly Interest Rate]],2)</f>
        <v>0</v>
      </c>
      <c r="F288" s="3">
        <f t="shared" si="17"/>
        <v>80</v>
      </c>
      <c r="G288" s="23">
        <f>IFERROR(IF($C$13="No","N/A",IF(Table15781012[[#This Row],[Period]]=1,$C$6,PMT(InterestRate*AmortizationMultiplier/12,Table15781012[[#This Row],[Am Thru]],-Table15781012[[#This Row],[Beginning Balance]]))),0)</f>
        <v>0</v>
      </c>
      <c r="H288" s="3">
        <f>MAX(0,IF(C288=$C$4,D288,ROUND(IF($C$3="Fixed Principal",$C$6-Table15781012[[#This Row],[Interest]],IF($C$3="Interest Only",Table15781012[[#This Row],[Beginning Balance]]*ROUND(1-(1-IF($C$11="No",$E$8,1))^(1/12),6),MIN(IF($C$13="Yes",Table15781012[[#This Row],[Payment Amount (Reamortized)]],$C$6)-Table15781012[[#This Row],[Interest]],Table15781012[[#This Row],[Beginning Balance]]))),2)))</f>
        <v>0</v>
      </c>
      <c r="I288" s="3">
        <f>_xlfn.SINGLE(IF($C$3="Line of Credit",0,ROUND(MAX(MIN(IF($C$10="No",$E$7,VLOOKUP(Table15781012[[#This Row],[Period]],Forecast!$H$2:$L$1048576,4,FALSE))*Table15781012[[#This Row],[Beginning Balance]],Table15781012[[#This Row],[Beginning Balance]]-Table15781012[[#This Row],[Principal]]),0),2)))</f>
        <v>0</v>
      </c>
      <c r="J288" s="3">
        <f>ROUND(MIN(Table15781012[[#This Row],[Beginning Balance]]*IF($C$8="No",$E$3,VLOOKUP(Table15781012[[#This Row],[Period]],Forecast!$H$2:$L$1048576,2,FALSE)),Table15781012[[#This Row],[Beginning Balance]]-Table15781012[[#This Row],[Principal]]-Table15781012[[#This Row],[Prepayments]]),2)</f>
        <v>0</v>
      </c>
      <c r="K288" s="3">
        <f>ROUND(Table15781012[[#This Row],[Defaulted Principal]]*IF($C$9="No",$E$4,VLOOKUP(Table15781012[[#This Row],[Period]],Forecast!$H$2:$L$1048576,3,FALSE)),2)</f>
        <v>0</v>
      </c>
      <c r="L288" s="2">
        <f>Table15781012[[#This Row],[Period]]+$E$9</f>
        <v>284</v>
      </c>
      <c r="M288" s="3">
        <f>Table15781012[[#This Row],[Defaulted Principal]]-Table15781012[[#This Row],[Estimated Loss]]</f>
        <v>0</v>
      </c>
      <c r="N288" s="3">
        <f>IFERROR(VLOOKUP(Table15781012[[#This Row],[Period]],$L$16:$M$385,2,FALSE),0)</f>
        <v>0</v>
      </c>
      <c r="O288" s="3">
        <f>Table15781012[[#This Row],[Beginning Balance]]-Table15781012[[#This Row],[Principal]]-Table15781012[[#This Row],[Prepayments]]-Table15781012[[#This Row],[Defaulted Principal]]</f>
        <v>0</v>
      </c>
      <c r="P288" s="3">
        <f>Table15781012[[#This Row],[Principal]]+Table15781012[[#This Row],[Interest]]+Table15781012[[#This Row],[Prepayments]]+Table15781012[[#This Row],[RecoveredAmount]]</f>
        <v>0</v>
      </c>
      <c r="Q288" s="3">
        <f ca="1">ROUND(Table15781012[[#This Row],[Cash Flow]]/((1+ActualRateToUse)^(IF(ISNUMBER(SEARCH("Actual",$C$7)),Table15781012[[#This Row],[Running Total]]/365,Table15781012[[#This Row],[Period]]/12))),2)</f>
        <v>0</v>
      </c>
      <c r="R288" s="2">
        <f>IF(MONTH(Table15781012[[#This Row],[Date]])=2,28,DAY(DATE(YEAR(Table15781012[[#This Row],[Date]]),MONTH(Table15781012[[#This Row],[Date]])+1,1)-1))</f>
        <v>28</v>
      </c>
      <c r="S288" s="2">
        <f ca="1">SUM(OFFSET(Table15781012[[#Headers],[Days in month]],1,0):Table15781012[[#This Row],[Days in month]])</f>
        <v>8273</v>
      </c>
      <c r="T288" s="37">
        <f>InterestRate*AmortizationMultiplier*IF(ISNUMBER(SEARCH("Actual",$C$7)),Table15781012[[#This Row],[Days in month]]/365,1/12)</f>
        <v>5.4833333333333331E-3</v>
      </c>
    </row>
    <row r="289" spans="2:20" x14ac:dyDescent="0.2">
      <c r="B289" s="1">
        <f t="shared" si="14"/>
        <v>54148</v>
      </c>
      <c r="C289" s="2">
        <f t="shared" si="16"/>
        <v>273</v>
      </c>
      <c r="D289" s="3">
        <f t="shared" si="15"/>
        <v>0</v>
      </c>
      <c r="E289" s="3">
        <f>ROUND(Table15781012[[#This Row],[Beginning Balance]]*Table15781012[[#This Row],[Monthly Interest Rate]],2)</f>
        <v>0</v>
      </c>
      <c r="F289" s="3">
        <f t="shared" si="17"/>
        <v>79</v>
      </c>
      <c r="G289" s="23">
        <f>IFERROR(IF($C$13="No","N/A",IF(Table15781012[[#This Row],[Period]]=1,$C$6,PMT(InterestRate*AmortizationMultiplier/12,Table15781012[[#This Row],[Am Thru]],-Table15781012[[#This Row],[Beginning Balance]]))),0)</f>
        <v>0</v>
      </c>
      <c r="H289" s="3">
        <f>MAX(0,IF(C289=$C$4,D289,ROUND(IF($C$3="Fixed Principal",$C$6-Table15781012[[#This Row],[Interest]],IF($C$3="Interest Only",Table15781012[[#This Row],[Beginning Balance]]*ROUND(1-(1-IF($C$11="No",$E$8,1))^(1/12),6),MIN(IF($C$13="Yes",Table15781012[[#This Row],[Payment Amount (Reamortized)]],$C$6)-Table15781012[[#This Row],[Interest]],Table15781012[[#This Row],[Beginning Balance]]))),2)))</f>
        <v>0</v>
      </c>
      <c r="I289" s="3">
        <f>_xlfn.SINGLE(IF($C$3="Line of Credit",0,ROUND(MAX(MIN(IF($C$10="No",$E$7,VLOOKUP(Table15781012[[#This Row],[Period]],Forecast!$H$2:$L$1048576,4,FALSE))*Table15781012[[#This Row],[Beginning Balance]],Table15781012[[#This Row],[Beginning Balance]]-Table15781012[[#This Row],[Principal]]),0),2)))</f>
        <v>0</v>
      </c>
      <c r="J289" s="3">
        <f>ROUND(MIN(Table15781012[[#This Row],[Beginning Balance]]*IF($C$8="No",$E$3,VLOOKUP(Table15781012[[#This Row],[Period]],Forecast!$H$2:$L$1048576,2,FALSE)),Table15781012[[#This Row],[Beginning Balance]]-Table15781012[[#This Row],[Principal]]-Table15781012[[#This Row],[Prepayments]]),2)</f>
        <v>0</v>
      </c>
      <c r="K289" s="3">
        <f>ROUND(Table15781012[[#This Row],[Defaulted Principal]]*IF($C$9="No",$E$4,VLOOKUP(Table15781012[[#This Row],[Period]],Forecast!$H$2:$L$1048576,3,FALSE)),2)</f>
        <v>0</v>
      </c>
      <c r="L289" s="2">
        <f>Table15781012[[#This Row],[Period]]+$E$9</f>
        <v>285</v>
      </c>
      <c r="M289" s="3">
        <f>Table15781012[[#This Row],[Defaulted Principal]]-Table15781012[[#This Row],[Estimated Loss]]</f>
        <v>0</v>
      </c>
      <c r="N289" s="3">
        <f>IFERROR(VLOOKUP(Table15781012[[#This Row],[Period]],$L$16:$M$385,2,FALSE),0)</f>
        <v>0</v>
      </c>
      <c r="O289" s="3">
        <f>Table15781012[[#This Row],[Beginning Balance]]-Table15781012[[#This Row],[Principal]]-Table15781012[[#This Row],[Prepayments]]-Table15781012[[#This Row],[Defaulted Principal]]</f>
        <v>0</v>
      </c>
      <c r="P289" s="3">
        <f>Table15781012[[#This Row],[Principal]]+Table15781012[[#This Row],[Interest]]+Table15781012[[#This Row],[Prepayments]]+Table15781012[[#This Row],[RecoveredAmount]]</f>
        <v>0</v>
      </c>
      <c r="Q289" s="3">
        <f ca="1">ROUND(Table15781012[[#This Row],[Cash Flow]]/((1+ActualRateToUse)^(IF(ISNUMBER(SEARCH("Actual",$C$7)),Table15781012[[#This Row],[Running Total]]/365,Table15781012[[#This Row],[Period]]/12))),2)</f>
        <v>0</v>
      </c>
      <c r="R289" s="2">
        <f>IF(MONTH(Table15781012[[#This Row],[Date]])=2,28,DAY(DATE(YEAR(Table15781012[[#This Row],[Date]]),MONTH(Table15781012[[#This Row],[Date]])+1,1)-1))</f>
        <v>31</v>
      </c>
      <c r="S289" s="2">
        <f ca="1">SUM(OFFSET(Table15781012[[#Headers],[Days in month]],1,0):Table15781012[[#This Row],[Days in month]])</f>
        <v>8304</v>
      </c>
      <c r="T289" s="37">
        <f>InterestRate*AmortizationMultiplier*IF(ISNUMBER(SEARCH("Actual",$C$7)),Table15781012[[#This Row],[Days in month]]/365,1/12)</f>
        <v>6.0708333333333326E-3</v>
      </c>
    </row>
    <row r="290" spans="2:20" x14ac:dyDescent="0.2">
      <c r="B290" s="1">
        <f t="shared" si="14"/>
        <v>54178</v>
      </c>
      <c r="C290" s="2">
        <f t="shared" si="16"/>
        <v>274</v>
      </c>
      <c r="D290" s="3">
        <f t="shared" si="15"/>
        <v>0</v>
      </c>
      <c r="E290" s="3">
        <f>ROUND(Table15781012[[#This Row],[Beginning Balance]]*Table15781012[[#This Row],[Monthly Interest Rate]],2)</f>
        <v>0</v>
      </c>
      <c r="F290" s="3">
        <f t="shared" si="17"/>
        <v>78</v>
      </c>
      <c r="G290" s="23">
        <f>IFERROR(IF($C$13="No","N/A",IF(Table15781012[[#This Row],[Period]]=1,$C$6,PMT(InterestRate*AmortizationMultiplier/12,Table15781012[[#This Row],[Am Thru]],-Table15781012[[#This Row],[Beginning Balance]]))),0)</f>
        <v>0</v>
      </c>
      <c r="H290" s="3">
        <f>MAX(0,IF(C290=$C$4,D290,ROUND(IF($C$3="Fixed Principal",$C$6-Table15781012[[#This Row],[Interest]],IF($C$3="Interest Only",Table15781012[[#This Row],[Beginning Balance]]*ROUND(1-(1-IF($C$11="No",$E$8,1))^(1/12),6),MIN(IF($C$13="Yes",Table15781012[[#This Row],[Payment Amount (Reamortized)]],$C$6)-Table15781012[[#This Row],[Interest]],Table15781012[[#This Row],[Beginning Balance]]))),2)))</f>
        <v>0</v>
      </c>
      <c r="I290" s="3">
        <f>_xlfn.SINGLE(IF($C$3="Line of Credit",0,ROUND(MAX(MIN(IF($C$10="No",$E$7,VLOOKUP(Table15781012[[#This Row],[Period]],Forecast!$H$2:$L$1048576,4,FALSE))*Table15781012[[#This Row],[Beginning Balance]],Table15781012[[#This Row],[Beginning Balance]]-Table15781012[[#This Row],[Principal]]),0),2)))</f>
        <v>0</v>
      </c>
      <c r="J290" s="3">
        <f>ROUND(MIN(Table15781012[[#This Row],[Beginning Balance]]*IF($C$8="No",$E$3,VLOOKUP(Table15781012[[#This Row],[Period]],Forecast!$H$2:$L$1048576,2,FALSE)),Table15781012[[#This Row],[Beginning Balance]]-Table15781012[[#This Row],[Principal]]-Table15781012[[#This Row],[Prepayments]]),2)</f>
        <v>0</v>
      </c>
      <c r="K290" s="3">
        <f>ROUND(Table15781012[[#This Row],[Defaulted Principal]]*IF($C$9="No",$E$4,VLOOKUP(Table15781012[[#This Row],[Period]],Forecast!$H$2:$L$1048576,3,FALSE)),2)</f>
        <v>0</v>
      </c>
      <c r="L290" s="2">
        <f>Table15781012[[#This Row],[Period]]+$E$9</f>
        <v>286</v>
      </c>
      <c r="M290" s="3">
        <f>Table15781012[[#This Row],[Defaulted Principal]]-Table15781012[[#This Row],[Estimated Loss]]</f>
        <v>0</v>
      </c>
      <c r="N290" s="3">
        <f>IFERROR(VLOOKUP(Table15781012[[#This Row],[Period]],$L$16:$M$385,2,FALSE),0)</f>
        <v>0</v>
      </c>
      <c r="O290" s="3">
        <f>Table15781012[[#This Row],[Beginning Balance]]-Table15781012[[#This Row],[Principal]]-Table15781012[[#This Row],[Prepayments]]-Table15781012[[#This Row],[Defaulted Principal]]</f>
        <v>0</v>
      </c>
      <c r="P290" s="3">
        <f>Table15781012[[#This Row],[Principal]]+Table15781012[[#This Row],[Interest]]+Table15781012[[#This Row],[Prepayments]]+Table15781012[[#This Row],[RecoveredAmount]]</f>
        <v>0</v>
      </c>
      <c r="Q290" s="3">
        <f ca="1">ROUND(Table15781012[[#This Row],[Cash Flow]]/((1+ActualRateToUse)^(IF(ISNUMBER(SEARCH("Actual",$C$7)),Table15781012[[#This Row],[Running Total]]/365,Table15781012[[#This Row],[Period]]/12))),2)</f>
        <v>0</v>
      </c>
      <c r="R290" s="2">
        <f>IF(MONTH(Table15781012[[#This Row],[Date]])=2,28,DAY(DATE(YEAR(Table15781012[[#This Row],[Date]]),MONTH(Table15781012[[#This Row],[Date]])+1,1)-1))</f>
        <v>30</v>
      </c>
      <c r="S290" s="2">
        <f ca="1">SUM(OFFSET(Table15781012[[#Headers],[Days in month]],1,0):Table15781012[[#This Row],[Days in month]])</f>
        <v>8334</v>
      </c>
      <c r="T290" s="37">
        <f>InterestRate*AmortizationMultiplier*IF(ISNUMBER(SEARCH("Actual",$C$7)),Table15781012[[#This Row],[Days in month]]/365,1/12)</f>
        <v>5.8749999999999991E-3</v>
      </c>
    </row>
    <row r="291" spans="2:20" x14ac:dyDescent="0.2">
      <c r="B291" s="1">
        <f t="shared" si="14"/>
        <v>54209</v>
      </c>
      <c r="C291" s="2">
        <f t="shared" si="16"/>
        <v>275</v>
      </c>
      <c r="D291" s="3">
        <f t="shared" si="15"/>
        <v>0</v>
      </c>
      <c r="E291" s="3">
        <f>ROUND(Table15781012[[#This Row],[Beginning Balance]]*Table15781012[[#This Row],[Monthly Interest Rate]],2)</f>
        <v>0</v>
      </c>
      <c r="F291" s="3">
        <f t="shared" si="17"/>
        <v>77</v>
      </c>
      <c r="G291" s="23">
        <f>IFERROR(IF($C$13="No","N/A",IF(Table15781012[[#This Row],[Period]]=1,$C$6,PMT(InterestRate*AmortizationMultiplier/12,Table15781012[[#This Row],[Am Thru]],-Table15781012[[#This Row],[Beginning Balance]]))),0)</f>
        <v>0</v>
      </c>
      <c r="H291" s="3">
        <f>MAX(0,IF(C291=$C$4,D291,ROUND(IF($C$3="Fixed Principal",$C$6-Table15781012[[#This Row],[Interest]],IF($C$3="Interest Only",Table15781012[[#This Row],[Beginning Balance]]*ROUND(1-(1-IF($C$11="No",$E$8,1))^(1/12),6),MIN(IF($C$13="Yes",Table15781012[[#This Row],[Payment Amount (Reamortized)]],$C$6)-Table15781012[[#This Row],[Interest]],Table15781012[[#This Row],[Beginning Balance]]))),2)))</f>
        <v>0</v>
      </c>
      <c r="I291" s="3">
        <f>_xlfn.SINGLE(IF($C$3="Line of Credit",0,ROUND(MAX(MIN(IF($C$10="No",$E$7,VLOOKUP(Table15781012[[#This Row],[Period]],Forecast!$H$2:$L$1048576,4,FALSE))*Table15781012[[#This Row],[Beginning Balance]],Table15781012[[#This Row],[Beginning Balance]]-Table15781012[[#This Row],[Principal]]),0),2)))</f>
        <v>0</v>
      </c>
      <c r="J291" s="3">
        <f>ROUND(MIN(Table15781012[[#This Row],[Beginning Balance]]*IF($C$8="No",$E$3,VLOOKUP(Table15781012[[#This Row],[Period]],Forecast!$H$2:$L$1048576,2,FALSE)),Table15781012[[#This Row],[Beginning Balance]]-Table15781012[[#This Row],[Principal]]-Table15781012[[#This Row],[Prepayments]]),2)</f>
        <v>0</v>
      </c>
      <c r="K291" s="3">
        <f>ROUND(Table15781012[[#This Row],[Defaulted Principal]]*IF($C$9="No",$E$4,VLOOKUP(Table15781012[[#This Row],[Period]],Forecast!$H$2:$L$1048576,3,FALSE)),2)</f>
        <v>0</v>
      </c>
      <c r="L291" s="2">
        <f>Table15781012[[#This Row],[Period]]+$E$9</f>
        <v>287</v>
      </c>
      <c r="M291" s="3">
        <f>Table15781012[[#This Row],[Defaulted Principal]]-Table15781012[[#This Row],[Estimated Loss]]</f>
        <v>0</v>
      </c>
      <c r="N291" s="3">
        <f>IFERROR(VLOOKUP(Table15781012[[#This Row],[Period]],$L$16:$M$385,2,FALSE),0)</f>
        <v>0</v>
      </c>
      <c r="O291" s="3">
        <f>Table15781012[[#This Row],[Beginning Balance]]-Table15781012[[#This Row],[Principal]]-Table15781012[[#This Row],[Prepayments]]-Table15781012[[#This Row],[Defaulted Principal]]</f>
        <v>0</v>
      </c>
      <c r="P291" s="3">
        <f>Table15781012[[#This Row],[Principal]]+Table15781012[[#This Row],[Interest]]+Table15781012[[#This Row],[Prepayments]]+Table15781012[[#This Row],[RecoveredAmount]]</f>
        <v>0</v>
      </c>
      <c r="Q291" s="3">
        <f ca="1">ROUND(Table15781012[[#This Row],[Cash Flow]]/((1+ActualRateToUse)^(IF(ISNUMBER(SEARCH("Actual",$C$7)),Table15781012[[#This Row],[Running Total]]/365,Table15781012[[#This Row],[Period]]/12))),2)</f>
        <v>0</v>
      </c>
      <c r="R291" s="2">
        <f>IF(MONTH(Table15781012[[#This Row],[Date]])=2,28,DAY(DATE(YEAR(Table15781012[[#This Row],[Date]]),MONTH(Table15781012[[#This Row],[Date]])+1,1)-1))</f>
        <v>31</v>
      </c>
      <c r="S291" s="2">
        <f ca="1">SUM(OFFSET(Table15781012[[#Headers],[Days in month]],1,0):Table15781012[[#This Row],[Days in month]])</f>
        <v>8365</v>
      </c>
      <c r="T291" s="37">
        <f>InterestRate*AmortizationMultiplier*IF(ISNUMBER(SEARCH("Actual",$C$7)),Table15781012[[#This Row],[Days in month]]/365,1/12)</f>
        <v>6.0708333333333326E-3</v>
      </c>
    </row>
    <row r="292" spans="2:20" x14ac:dyDescent="0.2">
      <c r="B292" s="1">
        <f t="shared" si="14"/>
        <v>54239</v>
      </c>
      <c r="C292" s="2">
        <f t="shared" si="16"/>
        <v>276</v>
      </c>
      <c r="D292" s="3">
        <f t="shared" si="15"/>
        <v>0</v>
      </c>
      <c r="E292" s="3">
        <f>ROUND(Table15781012[[#This Row],[Beginning Balance]]*Table15781012[[#This Row],[Monthly Interest Rate]],2)</f>
        <v>0</v>
      </c>
      <c r="F292" s="3">
        <f t="shared" si="17"/>
        <v>76</v>
      </c>
      <c r="G292" s="23">
        <f>IFERROR(IF($C$13="No","N/A",IF(Table15781012[[#This Row],[Period]]=1,$C$6,PMT(InterestRate*AmortizationMultiplier/12,Table15781012[[#This Row],[Am Thru]],-Table15781012[[#This Row],[Beginning Balance]]))),0)</f>
        <v>0</v>
      </c>
      <c r="H292" s="3">
        <f>MAX(0,IF(C292=$C$4,D292,ROUND(IF($C$3="Fixed Principal",$C$6-Table15781012[[#This Row],[Interest]],IF($C$3="Interest Only",Table15781012[[#This Row],[Beginning Balance]]*ROUND(1-(1-IF($C$11="No",$E$8,1))^(1/12),6),MIN(IF($C$13="Yes",Table15781012[[#This Row],[Payment Amount (Reamortized)]],$C$6)-Table15781012[[#This Row],[Interest]],Table15781012[[#This Row],[Beginning Balance]]))),2)))</f>
        <v>0</v>
      </c>
      <c r="I292" s="3">
        <f>_xlfn.SINGLE(IF($C$3="Line of Credit",0,ROUND(MAX(MIN(IF($C$10="No",$E$7,VLOOKUP(Table15781012[[#This Row],[Period]],Forecast!$H$2:$L$1048576,4,FALSE))*Table15781012[[#This Row],[Beginning Balance]],Table15781012[[#This Row],[Beginning Balance]]-Table15781012[[#This Row],[Principal]]),0),2)))</f>
        <v>0</v>
      </c>
      <c r="J292" s="3">
        <f>ROUND(MIN(Table15781012[[#This Row],[Beginning Balance]]*IF($C$8="No",$E$3,VLOOKUP(Table15781012[[#This Row],[Period]],Forecast!$H$2:$L$1048576,2,FALSE)),Table15781012[[#This Row],[Beginning Balance]]-Table15781012[[#This Row],[Principal]]-Table15781012[[#This Row],[Prepayments]]),2)</f>
        <v>0</v>
      </c>
      <c r="K292" s="3">
        <f>ROUND(Table15781012[[#This Row],[Defaulted Principal]]*IF($C$9="No",$E$4,VLOOKUP(Table15781012[[#This Row],[Period]],Forecast!$H$2:$L$1048576,3,FALSE)),2)</f>
        <v>0</v>
      </c>
      <c r="L292" s="2">
        <f>Table15781012[[#This Row],[Period]]+$E$9</f>
        <v>288</v>
      </c>
      <c r="M292" s="3">
        <f>Table15781012[[#This Row],[Defaulted Principal]]-Table15781012[[#This Row],[Estimated Loss]]</f>
        <v>0</v>
      </c>
      <c r="N292" s="3">
        <f>IFERROR(VLOOKUP(Table15781012[[#This Row],[Period]],$L$16:$M$385,2,FALSE),0)</f>
        <v>0</v>
      </c>
      <c r="O292" s="3">
        <f>Table15781012[[#This Row],[Beginning Balance]]-Table15781012[[#This Row],[Principal]]-Table15781012[[#This Row],[Prepayments]]-Table15781012[[#This Row],[Defaulted Principal]]</f>
        <v>0</v>
      </c>
      <c r="P292" s="3">
        <f>Table15781012[[#This Row],[Principal]]+Table15781012[[#This Row],[Interest]]+Table15781012[[#This Row],[Prepayments]]+Table15781012[[#This Row],[RecoveredAmount]]</f>
        <v>0</v>
      </c>
      <c r="Q292" s="3">
        <f ca="1">ROUND(Table15781012[[#This Row],[Cash Flow]]/((1+ActualRateToUse)^(IF(ISNUMBER(SEARCH("Actual",$C$7)),Table15781012[[#This Row],[Running Total]]/365,Table15781012[[#This Row],[Period]]/12))),2)</f>
        <v>0</v>
      </c>
      <c r="R292" s="2">
        <f>IF(MONTH(Table15781012[[#This Row],[Date]])=2,28,DAY(DATE(YEAR(Table15781012[[#This Row],[Date]]),MONTH(Table15781012[[#This Row],[Date]])+1,1)-1))</f>
        <v>30</v>
      </c>
      <c r="S292" s="2">
        <f ca="1">SUM(OFFSET(Table15781012[[#Headers],[Days in month]],1,0):Table15781012[[#This Row],[Days in month]])</f>
        <v>8395</v>
      </c>
      <c r="T292" s="37">
        <f>InterestRate*AmortizationMultiplier*IF(ISNUMBER(SEARCH("Actual",$C$7)),Table15781012[[#This Row],[Days in month]]/365,1/12)</f>
        <v>5.8749999999999991E-3</v>
      </c>
    </row>
    <row r="293" spans="2:20" x14ac:dyDescent="0.2">
      <c r="B293" s="1">
        <f t="shared" si="14"/>
        <v>54270</v>
      </c>
      <c r="C293" s="2">
        <f t="shared" si="16"/>
        <v>277</v>
      </c>
      <c r="D293" s="3">
        <f t="shared" si="15"/>
        <v>0</v>
      </c>
      <c r="E293" s="3">
        <f>ROUND(Table15781012[[#This Row],[Beginning Balance]]*Table15781012[[#This Row],[Monthly Interest Rate]],2)</f>
        <v>0</v>
      </c>
      <c r="F293" s="3">
        <f t="shared" si="17"/>
        <v>75</v>
      </c>
      <c r="G293" s="23">
        <f>IFERROR(IF($C$13="No","N/A",IF(Table15781012[[#This Row],[Period]]=1,$C$6,PMT(InterestRate*AmortizationMultiplier/12,Table15781012[[#This Row],[Am Thru]],-Table15781012[[#This Row],[Beginning Balance]]))),0)</f>
        <v>0</v>
      </c>
      <c r="H293" s="3">
        <f>MAX(0,IF(C293=$C$4,D293,ROUND(IF($C$3="Fixed Principal",$C$6-Table15781012[[#This Row],[Interest]],IF($C$3="Interest Only",Table15781012[[#This Row],[Beginning Balance]]*ROUND(1-(1-IF($C$11="No",$E$8,1))^(1/12),6),MIN(IF($C$13="Yes",Table15781012[[#This Row],[Payment Amount (Reamortized)]],$C$6)-Table15781012[[#This Row],[Interest]],Table15781012[[#This Row],[Beginning Balance]]))),2)))</f>
        <v>0</v>
      </c>
      <c r="I293" s="3">
        <f>_xlfn.SINGLE(IF($C$3="Line of Credit",0,ROUND(MAX(MIN(IF($C$10="No",$E$7,VLOOKUP(Table15781012[[#This Row],[Period]],Forecast!$H$2:$L$1048576,4,FALSE))*Table15781012[[#This Row],[Beginning Balance]],Table15781012[[#This Row],[Beginning Balance]]-Table15781012[[#This Row],[Principal]]),0),2)))</f>
        <v>0</v>
      </c>
      <c r="J293" s="3">
        <f>ROUND(MIN(Table15781012[[#This Row],[Beginning Balance]]*IF($C$8="No",$E$3,VLOOKUP(Table15781012[[#This Row],[Period]],Forecast!$H$2:$L$1048576,2,FALSE)),Table15781012[[#This Row],[Beginning Balance]]-Table15781012[[#This Row],[Principal]]-Table15781012[[#This Row],[Prepayments]]),2)</f>
        <v>0</v>
      </c>
      <c r="K293" s="3">
        <f>ROUND(Table15781012[[#This Row],[Defaulted Principal]]*IF($C$9="No",$E$4,VLOOKUP(Table15781012[[#This Row],[Period]],Forecast!$H$2:$L$1048576,3,FALSE)),2)</f>
        <v>0</v>
      </c>
      <c r="L293" s="2">
        <f>Table15781012[[#This Row],[Period]]+$E$9</f>
        <v>289</v>
      </c>
      <c r="M293" s="3">
        <f>Table15781012[[#This Row],[Defaulted Principal]]-Table15781012[[#This Row],[Estimated Loss]]</f>
        <v>0</v>
      </c>
      <c r="N293" s="3">
        <f>IFERROR(VLOOKUP(Table15781012[[#This Row],[Period]],$L$16:$M$385,2,FALSE),0)</f>
        <v>0</v>
      </c>
      <c r="O293" s="3">
        <f>Table15781012[[#This Row],[Beginning Balance]]-Table15781012[[#This Row],[Principal]]-Table15781012[[#This Row],[Prepayments]]-Table15781012[[#This Row],[Defaulted Principal]]</f>
        <v>0</v>
      </c>
      <c r="P293" s="3">
        <f>Table15781012[[#This Row],[Principal]]+Table15781012[[#This Row],[Interest]]+Table15781012[[#This Row],[Prepayments]]+Table15781012[[#This Row],[RecoveredAmount]]</f>
        <v>0</v>
      </c>
      <c r="Q293" s="3">
        <f ca="1">ROUND(Table15781012[[#This Row],[Cash Flow]]/((1+ActualRateToUse)^(IF(ISNUMBER(SEARCH("Actual",$C$7)),Table15781012[[#This Row],[Running Total]]/365,Table15781012[[#This Row],[Period]]/12))),2)</f>
        <v>0</v>
      </c>
      <c r="R293" s="2">
        <f>IF(MONTH(Table15781012[[#This Row],[Date]])=2,28,DAY(DATE(YEAR(Table15781012[[#This Row],[Date]]),MONTH(Table15781012[[#This Row],[Date]])+1,1)-1))</f>
        <v>31</v>
      </c>
      <c r="S293" s="2">
        <f ca="1">SUM(OFFSET(Table15781012[[#Headers],[Days in month]],1,0):Table15781012[[#This Row],[Days in month]])</f>
        <v>8426</v>
      </c>
      <c r="T293" s="37">
        <f>InterestRate*AmortizationMultiplier*IF(ISNUMBER(SEARCH("Actual",$C$7)),Table15781012[[#This Row],[Days in month]]/365,1/12)</f>
        <v>6.0708333333333326E-3</v>
      </c>
    </row>
    <row r="294" spans="2:20" x14ac:dyDescent="0.2">
      <c r="B294" s="1">
        <f t="shared" si="14"/>
        <v>54301</v>
      </c>
      <c r="C294" s="2">
        <f t="shared" si="16"/>
        <v>278</v>
      </c>
      <c r="D294" s="3">
        <f t="shared" si="15"/>
        <v>0</v>
      </c>
      <c r="E294" s="3">
        <f>ROUND(Table15781012[[#This Row],[Beginning Balance]]*Table15781012[[#This Row],[Monthly Interest Rate]],2)</f>
        <v>0</v>
      </c>
      <c r="F294" s="3">
        <f t="shared" si="17"/>
        <v>74</v>
      </c>
      <c r="G294" s="23">
        <f>IFERROR(IF($C$13="No","N/A",IF(Table15781012[[#This Row],[Period]]=1,$C$6,PMT(InterestRate*AmortizationMultiplier/12,Table15781012[[#This Row],[Am Thru]],-Table15781012[[#This Row],[Beginning Balance]]))),0)</f>
        <v>0</v>
      </c>
      <c r="H294" s="3">
        <f>MAX(0,IF(C294=$C$4,D294,ROUND(IF($C$3="Fixed Principal",$C$6-Table15781012[[#This Row],[Interest]],IF($C$3="Interest Only",Table15781012[[#This Row],[Beginning Balance]]*ROUND(1-(1-IF($C$11="No",$E$8,1))^(1/12),6),MIN(IF($C$13="Yes",Table15781012[[#This Row],[Payment Amount (Reamortized)]],$C$6)-Table15781012[[#This Row],[Interest]],Table15781012[[#This Row],[Beginning Balance]]))),2)))</f>
        <v>0</v>
      </c>
      <c r="I294" s="3">
        <f>_xlfn.SINGLE(IF($C$3="Line of Credit",0,ROUND(MAX(MIN(IF($C$10="No",$E$7,VLOOKUP(Table15781012[[#This Row],[Period]],Forecast!$H$2:$L$1048576,4,FALSE))*Table15781012[[#This Row],[Beginning Balance]],Table15781012[[#This Row],[Beginning Balance]]-Table15781012[[#This Row],[Principal]]),0),2)))</f>
        <v>0</v>
      </c>
      <c r="J294" s="3">
        <f>ROUND(MIN(Table15781012[[#This Row],[Beginning Balance]]*IF($C$8="No",$E$3,VLOOKUP(Table15781012[[#This Row],[Period]],Forecast!$H$2:$L$1048576,2,FALSE)),Table15781012[[#This Row],[Beginning Balance]]-Table15781012[[#This Row],[Principal]]-Table15781012[[#This Row],[Prepayments]]),2)</f>
        <v>0</v>
      </c>
      <c r="K294" s="3">
        <f>ROUND(Table15781012[[#This Row],[Defaulted Principal]]*IF($C$9="No",$E$4,VLOOKUP(Table15781012[[#This Row],[Period]],Forecast!$H$2:$L$1048576,3,FALSE)),2)</f>
        <v>0</v>
      </c>
      <c r="L294" s="2">
        <f>Table15781012[[#This Row],[Period]]+$E$9</f>
        <v>290</v>
      </c>
      <c r="M294" s="3">
        <f>Table15781012[[#This Row],[Defaulted Principal]]-Table15781012[[#This Row],[Estimated Loss]]</f>
        <v>0</v>
      </c>
      <c r="N294" s="3">
        <f>IFERROR(VLOOKUP(Table15781012[[#This Row],[Period]],$L$16:$M$385,2,FALSE),0)</f>
        <v>0</v>
      </c>
      <c r="O294" s="3">
        <f>Table15781012[[#This Row],[Beginning Balance]]-Table15781012[[#This Row],[Principal]]-Table15781012[[#This Row],[Prepayments]]-Table15781012[[#This Row],[Defaulted Principal]]</f>
        <v>0</v>
      </c>
      <c r="P294" s="3">
        <f>Table15781012[[#This Row],[Principal]]+Table15781012[[#This Row],[Interest]]+Table15781012[[#This Row],[Prepayments]]+Table15781012[[#This Row],[RecoveredAmount]]</f>
        <v>0</v>
      </c>
      <c r="Q294" s="3">
        <f ca="1">ROUND(Table15781012[[#This Row],[Cash Flow]]/((1+ActualRateToUse)^(IF(ISNUMBER(SEARCH("Actual",$C$7)),Table15781012[[#This Row],[Running Total]]/365,Table15781012[[#This Row],[Period]]/12))),2)</f>
        <v>0</v>
      </c>
      <c r="R294" s="2">
        <f>IF(MONTH(Table15781012[[#This Row],[Date]])=2,28,DAY(DATE(YEAR(Table15781012[[#This Row],[Date]]),MONTH(Table15781012[[#This Row],[Date]])+1,1)-1))</f>
        <v>31</v>
      </c>
      <c r="S294" s="2">
        <f ca="1">SUM(OFFSET(Table15781012[[#Headers],[Days in month]],1,0):Table15781012[[#This Row],[Days in month]])</f>
        <v>8457</v>
      </c>
      <c r="T294" s="37">
        <f>InterestRate*AmortizationMultiplier*IF(ISNUMBER(SEARCH("Actual",$C$7)),Table15781012[[#This Row],[Days in month]]/365,1/12)</f>
        <v>6.0708333333333326E-3</v>
      </c>
    </row>
    <row r="295" spans="2:20" x14ac:dyDescent="0.2">
      <c r="B295" s="1">
        <f t="shared" si="14"/>
        <v>54331</v>
      </c>
      <c r="C295" s="2">
        <f t="shared" si="16"/>
        <v>279</v>
      </c>
      <c r="D295" s="3">
        <f t="shared" si="15"/>
        <v>0</v>
      </c>
      <c r="E295" s="3">
        <f>ROUND(Table15781012[[#This Row],[Beginning Balance]]*Table15781012[[#This Row],[Monthly Interest Rate]],2)</f>
        <v>0</v>
      </c>
      <c r="F295" s="3">
        <f t="shared" si="17"/>
        <v>73</v>
      </c>
      <c r="G295" s="23">
        <f>IFERROR(IF($C$13="No","N/A",IF(Table15781012[[#This Row],[Period]]=1,$C$6,PMT(InterestRate*AmortizationMultiplier/12,Table15781012[[#This Row],[Am Thru]],-Table15781012[[#This Row],[Beginning Balance]]))),0)</f>
        <v>0</v>
      </c>
      <c r="H295" s="3">
        <f>MAX(0,IF(C295=$C$4,D295,ROUND(IF($C$3="Fixed Principal",$C$6-Table15781012[[#This Row],[Interest]],IF($C$3="Interest Only",Table15781012[[#This Row],[Beginning Balance]]*ROUND(1-(1-IF($C$11="No",$E$8,1))^(1/12),6),MIN(IF($C$13="Yes",Table15781012[[#This Row],[Payment Amount (Reamortized)]],$C$6)-Table15781012[[#This Row],[Interest]],Table15781012[[#This Row],[Beginning Balance]]))),2)))</f>
        <v>0</v>
      </c>
      <c r="I295" s="3">
        <f>_xlfn.SINGLE(IF($C$3="Line of Credit",0,ROUND(MAX(MIN(IF($C$10="No",$E$7,VLOOKUP(Table15781012[[#This Row],[Period]],Forecast!$H$2:$L$1048576,4,FALSE))*Table15781012[[#This Row],[Beginning Balance]],Table15781012[[#This Row],[Beginning Balance]]-Table15781012[[#This Row],[Principal]]),0),2)))</f>
        <v>0</v>
      </c>
      <c r="J295" s="3">
        <f>ROUND(MIN(Table15781012[[#This Row],[Beginning Balance]]*IF($C$8="No",$E$3,VLOOKUP(Table15781012[[#This Row],[Period]],Forecast!$H$2:$L$1048576,2,FALSE)),Table15781012[[#This Row],[Beginning Balance]]-Table15781012[[#This Row],[Principal]]-Table15781012[[#This Row],[Prepayments]]),2)</f>
        <v>0</v>
      </c>
      <c r="K295" s="3">
        <f>ROUND(Table15781012[[#This Row],[Defaulted Principal]]*IF($C$9="No",$E$4,VLOOKUP(Table15781012[[#This Row],[Period]],Forecast!$H$2:$L$1048576,3,FALSE)),2)</f>
        <v>0</v>
      </c>
      <c r="L295" s="2">
        <f>Table15781012[[#This Row],[Period]]+$E$9</f>
        <v>291</v>
      </c>
      <c r="M295" s="3">
        <f>Table15781012[[#This Row],[Defaulted Principal]]-Table15781012[[#This Row],[Estimated Loss]]</f>
        <v>0</v>
      </c>
      <c r="N295" s="3">
        <f>IFERROR(VLOOKUP(Table15781012[[#This Row],[Period]],$L$16:$M$385,2,FALSE),0)</f>
        <v>0</v>
      </c>
      <c r="O295" s="3">
        <f>Table15781012[[#This Row],[Beginning Balance]]-Table15781012[[#This Row],[Principal]]-Table15781012[[#This Row],[Prepayments]]-Table15781012[[#This Row],[Defaulted Principal]]</f>
        <v>0</v>
      </c>
      <c r="P295" s="3">
        <f>Table15781012[[#This Row],[Principal]]+Table15781012[[#This Row],[Interest]]+Table15781012[[#This Row],[Prepayments]]+Table15781012[[#This Row],[RecoveredAmount]]</f>
        <v>0</v>
      </c>
      <c r="Q295" s="3">
        <f ca="1">ROUND(Table15781012[[#This Row],[Cash Flow]]/((1+ActualRateToUse)^(IF(ISNUMBER(SEARCH("Actual",$C$7)),Table15781012[[#This Row],[Running Total]]/365,Table15781012[[#This Row],[Period]]/12))),2)</f>
        <v>0</v>
      </c>
      <c r="R295" s="2">
        <f>IF(MONTH(Table15781012[[#This Row],[Date]])=2,28,DAY(DATE(YEAR(Table15781012[[#This Row],[Date]]),MONTH(Table15781012[[#This Row],[Date]])+1,1)-1))</f>
        <v>30</v>
      </c>
      <c r="S295" s="2">
        <f ca="1">SUM(OFFSET(Table15781012[[#Headers],[Days in month]],1,0):Table15781012[[#This Row],[Days in month]])</f>
        <v>8487</v>
      </c>
      <c r="T295" s="37">
        <f>InterestRate*AmortizationMultiplier*IF(ISNUMBER(SEARCH("Actual",$C$7)),Table15781012[[#This Row],[Days in month]]/365,1/12)</f>
        <v>5.8749999999999991E-3</v>
      </c>
    </row>
    <row r="296" spans="2:20" x14ac:dyDescent="0.2">
      <c r="B296" s="1">
        <f t="shared" si="14"/>
        <v>54362</v>
      </c>
      <c r="C296" s="2">
        <f t="shared" si="16"/>
        <v>280</v>
      </c>
      <c r="D296" s="3">
        <f t="shared" si="15"/>
        <v>0</v>
      </c>
      <c r="E296" s="3">
        <f>ROUND(Table15781012[[#This Row],[Beginning Balance]]*Table15781012[[#This Row],[Monthly Interest Rate]],2)</f>
        <v>0</v>
      </c>
      <c r="F296" s="3">
        <f t="shared" si="17"/>
        <v>72</v>
      </c>
      <c r="G296" s="23">
        <f>IFERROR(IF($C$13="No","N/A",IF(Table15781012[[#This Row],[Period]]=1,$C$6,PMT(InterestRate*AmortizationMultiplier/12,Table15781012[[#This Row],[Am Thru]],-Table15781012[[#This Row],[Beginning Balance]]))),0)</f>
        <v>0</v>
      </c>
      <c r="H296" s="3">
        <f>MAX(0,IF(C296=$C$4,D296,ROUND(IF($C$3="Fixed Principal",$C$6-Table15781012[[#This Row],[Interest]],IF($C$3="Interest Only",Table15781012[[#This Row],[Beginning Balance]]*ROUND(1-(1-IF($C$11="No",$E$8,1))^(1/12),6),MIN(IF($C$13="Yes",Table15781012[[#This Row],[Payment Amount (Reamortized)]],$C$6)-Table15781012[[#This Row],[Interest]],Table15781012[[#This Row],[Beginning Balance]]))),2)))</f>
        <v>0</v>
      </c>
      <c r="I296" s="3">
        <f>_xlfn.SINGLE(IF($C$3="Line of Credit",0,ROUND(MAX(MIN(IF($C$10="No",$E$7,VLOOKUP(Table15781012[[#This Row],[Period]],Forecast!$H$2:$L$1048576,4,FALSE))*Table15781012[[#This Row],[Beginning Balance]],Table15781012[[#This Row],[Beginning Balance]]-Table15781012[[#This Row],[Principal]]),0),2)))</f>
        <v>0</v>
      </c>
      <c r="J296" s="3">
        <f>ROUND(MIN(Table15781012[[#This Row],[Beginning Balance]]*IF($C$8="No",$E$3,VLOOKUP(Table15781012[[#This Row],[Period]],Forecast!$H$2:$L$1048576,2,FALSE)),Table15781012[[#This Row],[Beginning Balance]]-Table15781012[[#This Row],[Principal]]-Table15781012[[#This Row],[Prepayments]]),2)</f>
        <v>0</v>
      </c>
      <c r="K296" s="3">
        <f>ROUND(Table15781012[[#This Row],[Defaulted Principal]]*IF($C$9="No",$E$4,VLOOKUP(Table15781012[[#This Row],[Period]],Forecast!$H$2:$L$1048576,3,FALSE)),2)</f>
        <v>0</v>
      </c>
      <c r="L296" s="2">
        <f>Table15781012[[#This Row],[Period]]+$E$9</f>
        <v>292</v>
      </c>
      <c r="M296" s="3">
        <f>Table15781012[[#This Row],[Defaulted Principal]]-Table15781012[[#This Row],[Estimated Loss]]</f>
        <v>0</v>
      </c>
      <c r="N296" s="3">
        <f>IFERROR(VLOOKUP(Table15781012[[#This Row],[Period]],$L$16:$M$385,2,FALSE),0)</f>
        <v>0</v>
      </c>
      <c r="O296" s="3">
        <f>Table15781012[[#This Row],[Beginning Balance]]-Table15781012[[#This Row],[Principal]]-Table15781012[[#This Row],[Prepayments]]-Table15781012[[#This Row],[Defaulted Principal]]</f>
        <v>0</v>
      </c>
      <c r="P296" s="3">
        <f>Table15781012[[#This Row],[Principal]]+Table15781012[[#This Row],[Interest]]+Table15781012[[#This Row],[Prepayments]]+Table15781012[[#This Row],[RecoveredAmount]]</f>
        <v>0</v>
      </c>
      <c r="Q296" s="3">
        <f ca="1">ROUND(Table15781012[[#This Row],[Cash Flow]]/((1+ActualRateToUse)^(IF(ISNUMBER(SEARCH("Actual",$C$7)),Table15781012[[#This Row],[Running Total]]/365,Table15781012[[#This Row],[Period]]/12))),2)</f>
        <v>0</v>
      </c>
      <c r="R296" s="2">
        <f>IF(MONTH(Table15781012[[#This Row],[Date]])=2,28,DAY(DATE(YEAR(Table15781012[[#This Row],[Date]]),MONTH(Table15781012[[#This Row],[Date]])+1,1)-1))</f>
        <v>31</v>
      </c>
      <c r="S296" s="2">
        <f ca="1">SUM(OFFSET(Table15781012[[#Headers],[Days in month]],1,0):Table15781012[[#This Row],[Days in month]])</f>
        <v>8518</v>
      </c>
      <c r="T296" s="37">
        <f>InterestRate*AmortizationMultiplier*IF(ISNUMBER(SEARCH("Actual",$C$7)),Table15781012[[#This Row],[Days in month]]/365,1/12)</f>
        <v>6.0708333333333326E-3</v>
      </c>
    </row>
    <row r="297" spans="2:20" x14ac:dyDescent="0.2">
      <c r="B297" s="1">
        <f t="shared" si="14"/>
        <v>54392</v>
      </c>
      <c r="C297" s="2">
        <f t="shared" si="16"/>
        <v>281</v>
      </c>
      <c r="D297" s="3">
        <f t="shared" si="15"/>
        <v>0</v>
      </c>
      <c r="E297" s="3">
        <f>ROUND(Table15781012[[#This Row],[Beginning Balance]]*Table15781012[[#This Row],[Monthly Interest Rate]],2)</f>
        <v>0</v>
      </c>
      <c r="F297" s="3">
        <f t="shared" si="17"/>
        <v>71</v>
      </c>
      <c r="G297" s="23">
        <f>IFERROR(IF($C$13="No","N/A",IF(Table15781012[[#This Row],[Period]]=1,$C$6,PMT(InterestRate*AmortizationMultiplier/12,Table15781012[[#This Row],[Am Thru]],-Table15781012[[#This Row],[Beginning Balance]]))),0)</f>
        <v>0</v>
      </c>
      <c r="H297" s="3">
        <f>MAX(0,IF(C297=$C$4,D297,ROUND(IF($C$3="Fixed Principal",$C$6-Table15781012[[#This Row],[Interest]],IF($C$3="Interest Only",Table15781012[[#This Row],[Beginning Balance]]*ROUND(1-(1-IF($C$11="No",$E$8,1))^(1/12),6),MIN(IF($C$13="Yes",Table15781012[[#This Row],[Payment Amount (Reamortized)]],$C$6)-Table15781012[[#This Row],[Interest]],Table15781012[[#This Row],[Beginning Balance]]))),2)))</f>
        <v>0</v>
      </c>
      <c r="I297" s="3">
        <f>_xlfn.SINGLE(IF($C$3="Line of Credit",0,ROUND(MAX(MIN(IF($C$10="No",$E$7,VLOOKUP(Table15781012[[#This Row],[Period]],Forecast!$H$2:$L$1048576,4,FALSE))*Table15781012[[#This Row],[Beginning Balance]],Table15781012[[#This Row],[Beginning Balance]]-Table15781012[[#This Row],[Principal]]),0),2)))</f>
        <v>0</v>
      </c>
      <c r="J297" s="3">
        <f>ROUND(MIN(Table15781012[[#This Row],[Beginning Balance]]*IF($C$8="No",$E$3,VLOOKUP(Table15781012[[#This Row],[Period]],Forecast!$H$2:$L$1048576,2,FALSE)),Table15781012[[#This Row],[Beginning Balance]]-Table15781012[[#This Row],[Principal]]-Table15781012[[#This Row],[Prepayments]]),2)</f>
        <v>0</v>
      </c>
      <c r="K297" s="3">
        <f>ROUND(Table15781012[[#This Row],[Defaulted Principal]]*IF($C$9="No",$E$4,VLOOKUP(Table15781012[[#This Row],[Period]],Forecast!$H$2:$L$1048576,3,FALSE)),2)</f>
        <v>0</v>
      </c>
      <c r="L297" s="2">
        <f>Table15781012[[#This Row],[Period]]+$E$9</f>
        <v>293</v>
      </c>
      <c r="M297" s="3">
        <f>Table15781012[[#This Row],[Defaulted Principal]]-Table15781012[[#This Row],[Estimated Loss]]</f>
        <v>0</v>
      </c>
      <c r="N297" s="3">
        <f>IFERROR(VLOOKUP(Table15781012[[#This Row],[Period]],$L$16:$M$385,2,FALSE),0)</f>
        <v>0</v>
      </c>
      <c r="O297" s="3">
        <f>Table15781012[[#This Row],[Beginning Balance]]-Table15781012[[#This Row],[Principal]]-Table15781012[[#This Row],[Prepayments]]-Table15781012[[#This Row],[Defaulted Principal]]</f>
        <v>0</v>
      </c>
      <c r="P297" s="3">
        <f>Table15781012[[#This Row],[Principal]]+Table15781012[[#This Row],[Interest]]+Table15781012[[#This Row],[Prepayments]]+Table15781012[[#This Row],[RecoveredAmount]]</f>
        <v>0</v>
      </c>
      <c r="Q297" s="3">
        <f ca="1">ROUND(Table15781012[[#This Row],[Cash Flow]]/((1+ActualRateToUse)^(IF(ISNUMBER(SEARCH("Actual",$C$7)),Table15781012[[#This Row],[Running Total]]/365,Table15781012[[#This Row],[Period]]/12))),2)</f>
        <v>0</v>
      </c>
      <c r="R297" s="2">
        <f>IF(MONTH(Table15781012[[#This Row],[Date]])=2,28,DAY(DATE(YEAR(Table15781012[[#This Row],[Date]]),MONTH(Table15781012[[#This Row],[Date]])+1,1)-1))</f>
        <v>30</v>
      </c>
      <c r="S297" s="2">
        <f ca="1">SUM(OFFSET(Table15781012[[#Headers],[Days in month]],1,0):Table15781012[[#This Row],[Days in month]])</f>
        <v>8548</v>
      </c>
      <c r="T297" s="37">
        <f>InterestRate*AmortizationMultiplier*IF(ISNUMBER(SEARCH("Actual",$C$7)),Table15781012[[#This Row],[Days in month]]/365,1/12)</f>
        <v>5.8749999999999991E-3</v>
      </c>
    </row>
    <row r="298" spans="2:20" x14ac:dyDescent="0.2">
      <c r="B298" s="1">
        <f t="shared" si="14"/>
        <v>54423</v>
      </c>
      <c r="C298" s="2">
        <f t="shared" si="16"/>
        <v>282</v>
      </c>
      <c r="D298" s="3">
        <f t="shared" si="15"/>
        <v>0</v>
      </c>
      <c r="E298" s="3">
        <f>ROUND(Table15781012[[#This Row],[Beginning Balance]]*Table15781012[[#This Row],[Monthly Interest Rate]],2)</f>
        <v>0</v>
      </c>
      <c r="F298" s="3">
        <f t="shared" si="17"/>
        <v>70</v>
      </c>
      <c r="G298" s="23">
        <f>IFERROR(IF($C$13="No","N/A",IF(Table15781012[[#This Row],[Period]]=1,$C$6,PMT(InterestRate*AmortizationMultiplier/12,Table15781012[[#This Row],[Am Thru]],-Table15781012[[#This Row],[Beginning Balance]]))),0)</f>
        <v>0</v>
      </c>
      <c r="H298" s="3">
        <f>MAX(0,IF(C298=$C$4,D298,ROUND(IF($C$3="Fixed Principal",$C$6-Table15781012[[#This Row],[Interest]],IF($C$3="Interest Only",Table15781012[[#This Row],[Beginning Balance]]*ROUND(1-(1-IF($C$11="No",$E$8,1))^(1/12),6),MIN(IF($C$13="Yes",Table15781012[[#This Row],[Payment Amount (Reamortized)]],$C$6)-Table15781012[[#This Row],[Interest]],Table15781012[[#This Row],[Beginning Balance]]))),2)))</f>
        <v>0</v>
      </c>
      <c r="I298" s="3">
        <f>_xlfn.SINGLE(IF($C$3="Line of Credit",0,ROUND(MAX(MIN(IF($C$10="No",$E$7,VLOOKUP(Table15781012[[#This Row],[Period]],Forecast!$H$2:$L$1048576,4,FALSE))*Table15781012[[#This Row],[Beginning Balance]],Table15781012[[#This Row],[Beginning Balance]]-Table15781012[[#This Row],[Principal]]),0),2)))</f>
        <v>0</v>
      </c>
      <c r="J298" s="3">
        <f>ROUND(MIN(Table15781012[[#This Row],[Beginning Balance]]*IF($C$8="No",$E$3,VLOOKUP(Table15781012[[#This Row],[Period]],Forecast!$H$2:$L$1048576,2,FALSE)),Table15781012[[#This Row],[Beginning Balance]]-Table15781012[[#This Row],[Principal]]-Table15781012[[#This Row],[Prepayments]]),2)</f>
        <v>0</v>
      </c>
      <c r="K298" s="3">
        <f>ROUND(Table15781012[[#This Row],[Defaulted Principal]]*IF($C$9="No",$E$4,VLOOKUP(Table15781012[[#This Row],[Period]],Forecast!$H$2:$L$1048576,3,FALSE)),2)</f>
        <v>0</v>
      </c>
      <c r="L298" s="2">
        <f>Table15781012[[#This Row],[Period]]+$E$9</f>
        <v>294</v>
      </c>
      <c r="M298" s="3">
        <f>Table15781012[[#This Row],[Defaulted Principal]]-Table15781012[[#This Row],[Estimated Loss]]</f>
        <v>0</v>
      </c>
      <c r="N298" s="3">
        <f>IFERROR(VLOOKUP(Table15781012[[#This Row],[Period]],$L$16:$M$385,2,FALSE),0)</f>
        <v>0</v>
      </c>
      <c r="O298" s="3">
        <f>Table15781012[[#This Row],[Beginning Balance]]-Table15781012[[#This Row],[Principal]]-Table15781012[[#This Row],[Prepayments]]-Table15781012[[#This Row],[Defaulted Principal]]</f>
        <v>0</v>
      </c>
      <c r="P298" s="3">
        <f>Table15781012[[#This Row],[Principal]]+Table15781012[[#This Row],[Interest]]+Table15781012[[#This Row],[Prepayments]]+Table15781012[[#This Row],[RecoveredAmount]]</f>
        <v>0</v>
      </c>
      <c r="Q298" s="3">
        <f ca="1">ROUND(Table15781012[[#This Row],[Cash Flow]]/((1+ActualRateToUse)^(IF(ISNUMBER(SEARCH("Actual",$C$7)),Table15781012[[#This Row],[Running Total]]/365,Table15781012[[#This Row],[Period]]/12))),2)</f>
        <v>0</v>
      </c>
      <c r="R298" s="2">
        <f>IF(MONTH(Table15781012[[#This Row],[Date]])=2,28,DAY(DATE(YEAR(Table15781012[[#This Row],[Date]]),MONTH(Table15781012[[#This Row],[Date]])+1,1)-1))</f>
        <v>31</v>
      </c>
      <c r="S298" s="2">
        <f ca="1">SUM(OFFSET(Table15781012[[#Headers],[Days in month]],1,0):Table15781012[[#This Row],[Days in month]])</f>
        <v>8579</v>
      </c>
      <c r="T298" s="37">
        <f>InterestRate*AmortizationMultiplier*IF(ISNUMBER(SEARCH("Actual",$C$7)),Table15781012[[#This Row],[Days in month]]/365,1/12)</f>
        <v>6.0708333333333326E-3</v>
      </c>
    </row>
    <row r="299" spans="2:20" x14ac:dyDescent="0.2">
      <c r="B299" s="1">
        <f t="shared" si="14"/>
        <v>54454</v>
      </c>
      <c r="C299" s="2">
        <f t="shared" si="16"/>
        <v>283</v>
      </c>
      <c r="D299" s="3">
        <f t="shared" si="15"/>
        <v>0</v>
      </c>
      <c r="E299" s="3">
        <f>ROUND(Table15781012[[#This Row],[Beginning Balance]]*Table15781012[[#This Row],[Monthly Interest Rate]],2)</f>
        <v>0</v>
      </c>
      <c r="F299" s="3">
        <f t="shared" si="17"/>
        <v>69</v>
      </c>
      <c r="G299" s="23">
        <f>IFERROR(IF($C$13="No","N/A",IF(Table15781012[[#This Row],[Period]]=1,$C$6,PMT(InterestRate*AmortizationMultiplier/12,Table15781012[[#This Row],[Am Thru]],-Table15781012[[#This Row],[Beginning Balance]]))),0)</f>
        <v>0</v>
      </c>
      <c r="H299" s="3">
        <f>MAX(0,IF(C299=$C$4,D299,ROUND(IF($C$3="Fixed Principal",$C$6-Table15781012[[#This Row],[Interest]],IF($C$3="Interest Only",Table15781012[[#This Row],[Beginning Balance]]*ROUND(1-(1-IF($C$11="No",$E$8,1))^(1/12),6),MIN(IF($C$13="Yes",Table15781012[[#This Row],[Payment Amount (Reamortized)]],$C$6)-Table15781012[[#This Row],[Interest]],Table15781012[[#This Row],[Beginning Balance]]))),2)))</f>
        <v>0</v>
      </c>
      <c r="I299" s="3">
        <f>_xlfn.SINGLE(IF($C$3="Line of Credit",0,ROUND(MAX(MIN(IF($C$10="No",$E$7,VLOOKUP(Table15781012[[#This Row],[Period]],Forecast!$H$2:$L$1048576,4,FALSE))*Table15781012[[#This Row],[Beginning Balance]],Table15781012[[#This Row],[Beginning Balance]]-Table15781012[[#This Row],[Principal]]),0),2)))</f>
        <v>0</v>
      </c>
      <c r="J299" s="3">
        <f>ROUND(MIN(Table15781012[[#This Row],[Beginning Balance]]*IF($C$8="No",$E$3,VLOOKUP(Table15781012[[#This Row],[Period]],Forecast!$H$2:$L$1048576,2,FALSE)),Table15781012[[#This Row],[Beginning Balance]]-Table15781012[[#This Row],[Principal]]-Table15781012[[#This Row],[Prepayments]]),2)</f>
        <v>0</v>
      </c>
      <c r="K299" s="3">
        <f>ROUND(Table15781012[[#This Row],[Defaulted Principal]]*IF($C$9="No",$E$4,VLOOKUP(Table15781012[[#This Row],[Period]],Forecast!$H$2:$L$1048576,3,FALSE)),2)</f>
        <v>0</v>
      </c>
      <c r="L299" s="2">
        <f>Table15781012[[#This Row],[Period]]+$E$9</f>
        <v>295</v>
      </c>
      <c r="M299" s="3">
        <f>Table15781012[[#This Row],[Defaulted Principal]]-Table15781012[[#This Row],[Estimated Loss]]</f>
        <v>0</v>
      </c>
      <c r="N299" s="3">
        <f>IFERROR(VLOOKUP(Table15781012[[#This Row],[Period]],$L$16:$M$385,2,FALSE),0)</f>
        <v>0</v>
      </c>
      <c r="O299" s="3">
        <f>Table15781012[[#This Row],[Beginning Balance]]-Table15781012[[#This Row],[Principal]]-Table15781012[[#This Row],[Prepayments]]-Table15781012[[#This Row],[Defaulted Principal]]</f>
        <v>0</v>
      </c>
      <c r="P299" s="3">
        <f>Table15781012[[#This Row],[Principal]]+Table15781012[[#This Row],[Interest]]+Table15781012[[#This Row],[Prepayments]]+Table15781012[[#This Row],[RecoveredAmount]]</f>
        <v>0</v>
      </c>
      <c r="Q299" s="3">
        <f ca="1">ROUND(Table15781012[[#This Row],[Cash Flow]]/((1+ActualRateToUse)^(IF(ISNUMBER(SEARCH("Actual",$C$7)),Table15781012[[#This Row],[Running Total]]/365,Table15781012[[#This Row],[Period]]/12))),2)</f>
        <v>0</v>
      </c>
      <c r="R299" s="2">
        <f>IF(MONTH(Table15781012[[#This Row],[Date]])=2,28,DAY(DATE(YEAR(Table15781012[[#This Row],[Date]]),MONTH(Table15781012[[#This Row],[Date]])+1,1)-1))</f>
        <v>31</v>
      </c>
      <c r="S299" s="2">
        <f ca="1">SUM(OFFSET(Table15781012[[#Headers],[Days in month]],1,0):Table15781012[[#This Row],[Days in month]])</f>
        <v>8610</v>
      </c>
      <c r="T299" s="37">
        <f>InterestRate*AmortizationMultiplier*IF(ISNUMBER(SEARCH("Actual",$C$7)),Table15781012[[#This Row],[Days in month]]/365,1/12)</f>
        <v>6.0708333333333326E-3</v>
      </c>
    </row>
    <row r="300" spans="2:20" x14ac:dyDescent="0.2">
      <c r="B300" s="1">
        <f t="shared" si="14"/>
        <v>54482</v>
      </c>
      <c r="C300" s="2">
        <f t="shared" si="16"/>
        <v>284</v>
      </c>
      <c r="D300" s="3">
        <f t="shared" si="15"/>
        <v>0</v>
      </c>
      <c r="E300" s="3">
        <f>ROUND(Table15781012[[#This Row],[Beginning Balance]]*Table15781012[[#This Row],[Monthly Interest Rate]],2)</f>
        <v>0</v>
      </c>
      <c r="F300" s="3">
        <f t="shared" si="17"/>
        <v>68</v>
      </c>
      <c r="G300" s="23">
        <f>IFERROR(IF($C$13="No","N/A",IF(Table15781012[[#This Row],[Period]]=1,$C$6,PMT(InterestRate*AmortizationMultiplier/12,Table15781012[[#This Row],[Am Thru]],-Table15781012[[#This Row],[Beginning Balance]]))),0)</f>
        <v>0</v>
      </c>
      <c r="H300" s="3">
        <f>MAX(0,IF(C300=$C$4,D300,ROUND(IF($C$3="Fixed Principal",$C$6-Table15781012[[#This Row],[Interest]],IF($C$3="Interest Only",Table15781012[[#This Row],[Beginning Balance]]*ROUND(1-(1-IF($C$11="No",$E$8,1))^(1/12),6),MIN(IF($C$13="Yes",Table15781012[[#This Row],[Payment Amount (Reamortized)]],$C$6)-Table15781012[[#This Row],[Interest]],Table15781012[[#This Row],[Beginning Balance]]))),2)))</f>
        <v>0</v>
      </c>
      <c r="I300" s="3">
        <f>_xlfn.SINGLE(IF($C$3="Line of Credit",0,ROUND(MAX(MIN(IF($C$10="No",$E$7,VLOOKUP(Table15781012[[#This Row],[Period]],Forecast!$H$2:$L$1048576,4,FALSE))*Table15781012[[#This Row],[Beginning Balance]],Table15781012[[#This Row],[Beginning Balance]]-Table15781012[[#This Row],[Principal]]),0),2)))</f>
        <v>0</v>
      </c>
      <c r="J300" s="3">
        <f>ROUND(MIN(Table15781012[[#This Row],[Beginning Balance]]*IF($C$8="No",$E$3,VLOOKUP(Table15781012[[#This Row],[Period]],Forecast!$H$2:$L$1048576,2,FALSE)),Table15781012[[#This Row],[Beginning Balance]]-Table15781012[[#This Row],[Principal]]-Table15781012[[#This Row],[Prepayments]]),2)</f>
        <v>0</v>
      </c>
      <c r="K300" s="3">
        <f>ROUND(Table15781012[[#This Row],[Defaulted Principal]]*IF($C$9="No",$E$4,VLOOKUP(Table15781012[[#This Row],[Period]],Forecast!$H$2:$L$1048576,3,FALSE)),2)</f>
        <v>0</v>
      </c>
      <c r="L300" s="2">
        <f>Table15781012[[#This Row],[Period]]+$E$9</f>
        <v>296</v>
      </c>
      <c r="M300" s="3">
        <f>Table15781012[[#This Row],[Defaulted Principal]]-Table15781012[[#This Row],[Estimated Loss]]</f>
        <v>0</v>
      </c>
      <c r="N300" s="3">
        <f>IFERROR(VLOOKUP(Table15781012[[#This Row],[Period]],$L$16:$M$385,2,FALSE),0)</f>
        <v>0</v>
      </c>
      <c r="O300" s="3">
        <f>Table15781012[[#This Row],[Beginning Balance]]-Table15781012[[#This Row],[Principal]]-Table15781012[[#This Row],[Prepayments]]-Table15781012[[#This Row],[Defaulted Principal]]</f>
        <v>0</v>
      </c>
      <c r="P300" s="3">
        <f>Table15781012[[#This Row],[Principal]]+Table15781012[[#This Row],[Interest]]+Table15781012[[#This Row],[Prepayments]]+Table15781012[[#This Row],[RecoveredAmount]]</f>
        <v>0</v>
      </c>
      <c r="Q300" s="3">
        <f ca="1">ROUND(Table15781012[[#This Row],[Cash Flow]]/((1+ActualRateToUse)^(IF(ISNUMBER(SEARCH("Actual",$C$7)),Table15781012[[#This Row],[Running Total]]/365,Table15781012[[#This Row],[Period]]/12))),2)</f>
        <v>0</v>
      </c>
      <c r="R300" s="2">
        <f>IF(MONTH(Table15781012[[#This Row],[Date]])=2,28,DAY(DATE(YEAR(Table15781012[[#This Row],[Date]]),MONTH(Table15781012[[#This Row],[Date]])+1,1)-1))</f>
        <v>28</v>
      </c>
      <c r="S300" s="2">
        <f ca="1">SUM(OFFSET(Table15781012[[#Headers],[Days in month]],1,0):Table15781012[[#This Row],[Days in month]])</f>
        <v>8638</v>
      </c>
      <c r="T300" s="37">
        <f>InterestRate*AmortizationMultiplier*IF(ISNUMBER(SEARCH("Actual",$C$7)),Table15781012[[#This Row],[Days in month]]/365,1/12)</f>
        <v>5.4833333333333331E-3</v>
      </c>
    </row>
    <row r="301" spans="2:20" x14ac:dyDescent="0.2">
      <c r="B301" s="1">
        <f t="shared" si="14"/>
        <v>54513</v>
      </c>
      <c r="C301" s="2">
        <f t="shared" si="16"/>
        <v>285</v>
      </c>
      <c r="D301" s="3">
        <f t="shared" si="15"/>
        <v>0</v>
      </c>
      <c r="E301" s="3">
        <f>ROUND(Table15781012[[#This Row],[Beginning Balance]]*Table15781012[[#This Row],[Monthly Interest Rate]],2)</f>
        <v>0</v>
      </c>
      <c r="F301" s="3">
        <f t="shared" si="17"/>
        <v>67</v>
      </c>
      <c r="G301" s="23">
        <f>IFERROR(IF($C$13="No","N/A",IF(Table15781012[[#This Row],[Period]]=1,$C$6,PMT(InterestRate*AmortizationMultiplier/12,Table15781012[[#This Row],[Am Thru]],-Table15781012[[#This Row],[Beginning Balance]]))),0)</f>
        <v>0</v>
      </c>
      <c r="H301" s="3">
        <f>MAX(0,IF(C301=$C$4,D301,ROUND(IF($C$3="Fixed Principal",$C$6-Table15781012[[#This Row],[Interest]],IF($C$3="Interest Only",Table15781012[[#This Row],[Beginning Balance]]*ROUND(1-(1-IF($C$11="No",$E$8,1))^(1/12),6),MIN(IF($C$13="Yes",Table15781012[[#This Row],[Payment Amount (Reamortized)]],$C$6)-Table15781012[[#This Row],[Interest]],Table15781012[[#This Row],[Beginning Balance]]))),2)))</f>
        <v>0</v>
      </c>
      <c r="I301" s="3">
        <f>_xlfn.SINGLE(IF($C$3="Line of Credit",0,ROUND(MAX(MIN(IF($C$10="No",$E$7,VLOOKUP(Table15781012[[#This Row],[Period]],Forecast!$H$2:$L$1048576,4,FALSE))*Table15781012[[#This Row],[Beginning Balance]],Table15781012[[#This Row],[Beginning Balance]]-Table15781012[[#This Row],[Principal]]),0),2)))</f>
        <v>0</v>
      </c>
      <c r="J301" s="3">
        <f>ROUND(MIN(Table15781012[[#This Row],[Beginning Balance]]*IF($C$8="No",$E$3,VLOOKUP(Table15781012[[#This Row],[Period]],Forecast!$H$2:$L$1048576,2,FALSE)),Table15781012[[#This Row],[Beginning Balance]]-Table15781012[[#This Row],[Principal]]-Table15781012[[#This Row],[Prepayments]]),2)</f>
        <v>0</v>
      </c>
      <c r="K301" s="3">
        <f>ROUND(Table15781012[[#This Row],[Defaulted Principal]]*IF($C$9="No",$E$4,VLOOKUP(Table15781012[[#This Row],[Period]],Forecast!$H$2:$L$1048576,3,FALSE)),2)</f>
        <v>0</v>
      </c>
      <c r="L301" s="2">
        <f>Table15781012[[#This Row],[Period]]+$E$9</f>
        <v>297</v>
      </c>
      <c r="M301" s="3">
        <f>Table15781012[[#This Row],[Defaulted Principal]]-Table15781012[[#This Row],[Estimated Loss]]</f>
        <v>0</v>
      </c>
      <c r="N301" s="3">
        <f>IFERROR(VLOOKUP(Table15781012[[#This Row],[Period]],$L$16:$M$385,2,FALSE),0)</f>
        <v>0</v>
      </c>
      <c r="O301" s="3">
        <f>Table15781012[[#This Row],[Beginning Balance]]-Table15781012[[#This Row],[Principal]]-Table15781012[[#This Row],[Prepayments]]-Table15781012[[#This Row],[Defaulted Principal]]</f>
        <v>0</v>
      </c>
      <c r="P301" s="3">
        <f>Table15781012[[#This Row],[Principal]]+Table15781012[[#This Row],[Interest]]+Table15781012[[#This Row],[Prepayments]]+Table15781012[[#This Row],[RecoveredAmount]]</f>
        <v>0</v>
      </c>
      <c r="Q301" s="3">
        <f ca="1">ROUND(Table15781012[[#This Row],[Cash Flow]]/((1+ActualRateToUse)^(IF(ISNUMBER(SEARCH("Actual",$C$7)),Table15781012[[#This Row],[Running Total]]/365,Table15781012[[#This Row],[Period]]/12))),2)</f>
        <v>0</v>
      </c>
      <c r="R301" s="2">
        <f>IF(MONTH(Table15781012[[#This Row],[Date]])=2,28,DAY(DATE(YEAR(Table15781012[[#This Row],[Date]]),MONTH(Table15781012[[#This Row],[Date]])+1,1)-1))</f>
        <v>31</v>
      </c>
      <c r="S301" s="2">
        <f ca="1">SUM(OFFSET(Table15781012[[#Headers],[Days in month]],1,0):Table15781012[[#This Row],[Days in month]])</f>
        <v>8669</v>
      </c>
      <c r="T301" s="37">
        <f>InterestRate*AmortizationMultiplier*IF(ISNUMBER(SEARCH("Actual",$C$7)),Table15781012[[#This Row],[Days in month]]/365,1/12)</f>
        <v>6.0708333333333326E-3</v>
      </c>
    </row>
    <row r="302" spans="2:20" x14ac:dyDescent="0.2">
      <c r="B302" s="1">
        <f t="shared" si="14"/>
        <v>54543</v>
      </c>
      <c r="C302" s="2">
        <f t="shared" si="16"/>
        <v>286</v>
      </c>
      <c r="D302" s="3">
        <f t="shared" si="15"/>
        <v>0</v>
      </c>
      <c r="E302" s="3">
        <f>ROUND(Table15781012[[#This Row],[Beginning Balance]]*Table15781012[[#This Row],[Monthly Interest Rate]],2)</f>
        <v>0</v>
      </c>
      <c r="F302" s="3">
        <f t="shared" si="17"/>
        <v>66</v>
      </c>
      <c r="G302" s="23">
        <f>IFERROR(IF($C$13="No","N/A",IF(Table15781012[[#This Row],[Period]]=1,$C$6,PMT(InterestRate*AmortizationMultiplier/12,Table15781012[[#This Row],[Am Thru]],-Table15781012[[#This Row],[Beginning Balance]]))),0)</f>
        <v>0</v>
      </c>
      <c r="H302" s="3">
        <f>MAX(0,IF(C302=$C$4,D302,ROUND(IF($C$3="Fixed Principal",$C$6-Table15781012[[#This Row],[Interest]],IF($C$3="Interest Only",Table15781012[[#This Row],[Beginning Balance]]*ROUND(1-(1-IF($C$11="No",$E$8,1))^(1/12),6),MIN(IF($C$13="Yes",Table15781012[[#This Row],[Payment Amount (Reamortized)]],$C$6)-Table15781012[[#This Row],[Interest]],Table15781012[[#This Row],[Beginning Balance]]))),2)))</f>
        <v>0</v>
      </c>
      <c r="I302" s="3">
        <f>_xlfn.SINGLE(IF($C$3="Line of Credit",0,ROUND(MAX(MIN(IF($C$10="No",$E$7,VLOOKUP(Table15781012[[#This Row],[Period]],Forecast!$H$2:$L$1048576,4,FALSE))*Table15781012[[#This Row],[Beginning Balance]],Table15781012[[#This Row],[Beginning Balance]]-Table15781012[[#This Row],[Principal]]),0),2)))</f>
        <v>0</v>
      </c>
      <c r="J302" s="3">
        <f>ROUND(MIN(Table15781012[[#This Row],[Beginning Balance]]*IF($C$8="No",$E$3,VLOOKUP(Table15781012[[#This Row],[Period]],Forecast!$H$2:$L$1048576,2,FALSE)),Table15781012[[#This Row],[Beginning Balance]]-Table15781012[[#This Row],[Principal]]-Table15781012[[#This Row],[Prepayments]]),2)</f>
        <v>0</v>
      </c>
      <c r="K302" s="3">
        <f>ROUND(Table15781012[[#This Row],[Defaulted Principal]]*IF($C$9="No",$E$4,VLOOKUP(Table15781012[[#This Row],[Period]],Forecast!$H$2:$L$1048576,3,FALSE)),2)</f>
        <v>0</v>
      </c>
      <c r="L302" s="2">
        <f>Table15781012[[#This Row],[Period]]+$E$9</f>
        <v>298</v>
      </c>
      <c r="M302" s="3">
        <f>Table15781012[[#This Row],[Defaulted Principal]]-Table15781012[[#This Row],[Estimated Loss]]</f>
        <v>0</v>
      </c>
      <c r="N302" s="3">
        <f>IFERROR(VLOOKUP(Table15781012[[#This Row],[Period]],$L$16:$M$385,2,FALSE),0)</f>
        <v>0</v>
      </c>
      <c r="O302" s="3">
        <f>Table15781012[[#This Row],[Beginning Balance]]-Table15781012[[#This Row],[Principal]]-Table15781012[[#This Row],[Prepayments]]-Table15781012[[#This Row],[Defaulted Principal]]</f>
        <v>0</v>
      </c>
      <c r="P302" s="3">
        <f>Table15781012[[#This Row],[Principal]]+Table15781012[[#This Row],[Interest]]+Table15781012[[#This Row],[Prepayments]]+Table15781012[[#This Row],[RecoveredAmount]]</f>
        <v>0</v>
      </c>
      <c r="Q302" s="3">
        <f ca="1">ROUND(Table15781012[[#This Row],[Cash Flow]]/((1+ActualRateToUse)^(IF(ISNUMBER(SEARCH("Actual",$C$7)),Table15781012[[#This Row],[Running Total]]/365,Table15781012[[#This Row],[Period]]/12))),2)</f>
        <v>0</v>
      </c>
      <c r="R302" s="2">
        <f>IF(MONTH(Table15781012[[#This Row],[Date]])=2,28,DAY(DATE(YEAR(Table15781012[[#This Row],[Date]]),MONTH(Table15781012[[#This Row],[Date]])+1,1)-1))</f>
        <v>30</v>
      </c>
      <c r="S302" s="2">
        <f ca="1">SUM(OFFSET(Table15781012[[#Headers],[Days in month]],1,0):Table15781012[[#This Row],[Days in month]])</f>
        <v>8699</v>
      </c>
      <c r="T302" s="37">
        <f>InterestRate*AmortizationMultiplier*IF(ISNUMBER(SEARCH("Actual",$C$7)),Table15781012[[#This Row],[Days in month]]/365,1/12)</f>
        <v>5.8749999999999991E-3</v>
      </c>
    </row>
    <row r="303" spans="2:20" x14ac:dyDescent="0.2">
      <c r="B303" s="1">
        <f t="shared" si="14"/>
        <v>54574</v>
      </c>
      <c r="C303" s="2">
        <f t="shared" si="16"/>
        <v>287</v>
      </c>
      <c r="D303" s="3">
        <f t="shared" si="15"/>
        <v>0</v>
      </c>
      <c r="E303" s="3">
        <f>ROUND(Table15781012[[#This Row],[Beginning Balance]]*Table15781012[[#This Row],[Monthly Interest Rate]],2)</f>
        <v>0</v>
      </c>
      <c r="F303" s="3">
        <f t="shared" si="17"/>
        <v>65</v>
      </c>
      <c r="G303" s="23">
        <f>IFERROR(IF($C$13="No","N/A",IF(Table15781012[[#This Row],[Period]]=1,$C$6,PMT(InterestRate*AmortizationMultiplier/12,Table15781012[[#This Row],[Am Thru]],-Table15781012[[#This Row],[Beginning Balance]]))),0)</f>
        <v>0</v>
      </c>
      <c r="H303" s="3">
        <f>MAX(0,IF(C303=$C$4,D303,ROUND(IF($C$3="Fixed Principal",$C$6-Table15781012[[#This Row],[Interest]],IF($C$3="Interest Only",Table15781012[[#This Row],[Beginning Balance]]*ROUND(1-(1-IF($C$11="No",$E$8,1))^(1/12),6),MIN(IF($C$13="Yes",Table15781012[[#This Row],[Payment Amount (Reamortized)]],$C$6)-Table15781012[[#This Row],[Interest]],Table15781012[[#This Row],[Beginning Balance]]))),2)))</f>
        <v>0</v>
      </c>
      <c r="I303" s="3">
        <f>_xlfn.SINGLE(IF($C$3="Line of Credit",0,ROUND(MAX(MIN(IF($C$10="No",$E$7,VLOOKUP(Table15781012[[#This Row],[Period]],Forecast!$H$2:$L$1048576,4,FALSE))*Table15781012[[#This Row],[Beginning Balance]],Table15781012[[#This Row],[Beginning Balance]]-Table15781012[[#This Row],[Principal]]),0),2)))</f>
        <v>0</v>
      </c>
      <c r="J303" s="3">
        <f>ROUND(MIN(Table15781012[[#This Row],[Beginning Balance]]*IF($C$8="No",$E$3,VLOOKUP(Table15781012[[#This Row],[Period]],Forecast!$H$2:$L$1048576,2,FALSE)),Table15781012[[#This Row],[Beginning Balance]]-Table15781012[[#This Row],[Principal]]-Table15781012[[#This Row],[Prepayments]]),2)</f>
        <v>0</v>
      </c>
      <c r="K303" s="3">
        <f>ROUND(Table15781012[[#This Row],[Defaulted Principal]]*IF($C$9="No",$E$4,VLOOKUP(Table15781012[[#This Row],[Period]],Forecast!$H$2:$L$1048576,3,FALSE)),2)</f>
        <v>0</v>
      </c>
      <c r="L303" s="2">
        <f>Table15781012[[#This Row],[Period]]+$E$9</f>
        <v>299</v>
      </c>
      <c r="M303" s="3">
        <f>Table15781012[[#This Row],[Defaulted Principal]]-Table15781012[[#This Row],[Estimated Loss]]</f>
        <v>0</v>
      </c>
      <c r="N303" s="3">
        <f>IFERROR(VLOOKUP(Table15781012[[#This Row],[Period]],$L$16:$M$385,2,FALSE),0)</f>
        <v>0</v>
      </c>
      <c r="O303" s="3">
        <f>Table15781012[[#This Row],[Beginning Balance]]-Table15781012[[#This Row],[Principal]]-Table15781012[[#This Row],[Prepayments]]-Table15781012[[#This Row],[Defaulted Principal]]</f>
        <v>0</v>
      </c>
      <c r="P303" s="3">
        <f>Table15781012[[#This Row],[Principal]]+Table15781012[[#This Row],[Interest]]+Table15781012[[#This Row],[Prepayments]]+Table15781012[[#This Row],[RecoveredAmount]]</f>
        <v>0</v>
      </c>
      <c r="Q303" s="3">
        <f ca="1">ROUND(Table15781012[[#This Row],[Cash Flow]]/((1+ActualRateToUse)^(IF(ISNUMBER(SEARCH("Actual",$C$7)),Table15781012[[#This Row],[Running Total]]/365,Table15781012[[#This Row],[Period]]/12))),2)</f>
        <v>0</v>
      </c>
      <c r="R303" s="2">
        <f>IF(MONTH(Table15781012[[#This Row],[Date]])=2,28,DAY(DATE(YEAR(Table15781012[[#This Row],[Date]]),MONTH(Table15781012[[#This Row],[Date]])+1,1)-1))</f>
        <v>31</v>
      </c>
      <c r="S303" s="2">
        <f ca="1">SUM(OFFSET(Table15781012[[#Headers],[Days in month]],1,0):Table15781012[[#This Row],[Days in month]])</f>
        <v>8730</v>
      </c>
      <c r="T303" s="37">
        <f>InterestRate*AmortizationMultiplier*IF(ISNUMBER(SEARCH("Actual",$C$7)),Table15781012[[#This Row],[Days in month]]/365,1/12)</f>
        <v>6.0708333333333326E-3</v>
      </c>
    </row>
    <row r="304" spans="2:20" x14ac:dyDescent="0.2">
      <c r="B304" s="1">
        <f t="shared" si="14"/>
        <v>54604</v>
      </c>
      <c r="C304" s="2">
        <f t="shared" si="16"/>
        <v>288</v>
      </c>
      <c r="D304" s="3">
        <f t="shared" si="15"/>
        <v>0</v>
      </c>
      <c r="E304" s="3">
        <f>ROUND(Table15781012[[#This Row],[Beginning Balance]]*Table15781012[[#This Row],[Monthly Interest Rate]],2)</f>
        <v>0</v>
      </c>
      <c r="F304" s="3">
        <f t="shared" si="17"/>
        <v>64</v>
      </c>
      <c r="G304" s="23">
        <f>IFERROR(IF($C$13="No","N/A",IF(Table15781012[[#This Row],[Period]]=1,$C$6,PMT(InterestRate*AmortizationMultiplier/12,Table15781012[[#This Row],[Am Thru]],-Table15781012[[#This Row],[Beginning Balance]]))),0)</f>
        <v>0</v>
      </c>
      <c r="H304" s="3">
        <f>MAX(0,IF(C304=$C$4,D304,ROUND(IF($C$3="Fixed Principal",$C$6-Table15781012[[#This Row],[Interest]],IF($C$3="Interest Only",Table15781012[[#This Row],[Beginning Balance]]*ROUND(1-(1-IF($C$11="No",$E$8,1))^(1/12),6),MIN(IF($C$13="Yes",Table15781012[[#This Row],[Payment Amount (Reamortized)]],$C$6)-Table15781012[[#This Row],[Interest]],Table15781012[[#This Row],[Beginning Balance]]))),2)))</f>
        <v>0</v>
      </c>
      <c r="I304" s="3">
        <f>_xlfn.SINGLE(IF($C$3="Line of Credit",0,ROUND(MAX(MIN(IF($C$10="No",$E$7,VLOOKUP(Table15781012[[#This Row],[Period]],Forecast!$H$2:$L$1048576,4,FALSE))*Table15781012[[#This Row],[Beginning Balance]],Table15781012[[#This Row],[Beginning Balance]]-Table15781012[[#This Row],[Principal]]),0),2)))</f>
        <v>0</v>
      </c>
      <c r="J304" s="3">
        <f>ROUND(MIN(Table15781012[[#This Row],[Beginning Balance]]*IF($C$8="No",$E$3,VLOOKUP(Table15781012[[#This Row],[Period]],Forecast!$H$2:$L$1048576,2,FALSE)),Table15781012[[#This Row],[Beginning Balance]]-Table15781012[[#This Row],[Principal]]-Table15781012[[#This Row],[Prepayments]]),2)</f>
        <v>0</v>
      </c>
      <c r="K304" s="3">
        <f>ROUND(Table15781012[[#This Row],[Defaulted Principal]]*IF($C$9="No",$E$4,VLOOKUP(Table15781012[[#This Row],[Period]],Forecast!$H$2:$L$1048576,3,FALSE)),2)</f>
        <v>0</v>
      </c>
      <c r="L304" s="2">
        <f>Table15781012[[#This Row],[Period]]+$E$9</f>
        <v>300</v>
      </c>
      <c r="M304" s="3">
        <f>Table15781012[[#This Row],[Defaulted Principal]]-Table15781012[[#This Row],[Estimated Loss]]</f>
        <v>0</v>
      </c>
      <c r="N304" s="3">
        <f>IFERROR(VLOOKUP(Table15781012[[#This Row],[Period]],$L$16:$M$385,2,FALSE),0)</f>
        <v>0</v>
      </c>
      <c r="O304" s="3">
        <f>Table15781012[[#This Row],[Beginning Balance]]-Table15781012[[#This Row],[Principal]]-Table15781012[[#This Row],[Prepayments]]-Table15781012[[#This Row],[Defaulted Principal]]</f>
        <v>0</v>
      </c>
      <c r="P304" s="3">
        <f>Table15781012[[#This Row],[Principal]]+Table15781012[[#This Row],[Interest]]+Table15781012[[#This Row],[Prepayments]]+Table15781012[[#This Row],[RecoveredAmount]]</f>
        <v>0</v>
      </c>
      <c r="Q304" s="3">
        <f ca="1">ROUND(Table15781012[[#This Row],[Cash Flow]]/((1+ActualRateToUse)^(IF(ISNUMBER(SEARCH("Actual",$C$7)),Table15781012[[#This Row],[Running Total]]/365,Table15781012[[#This Row],[Period]]/12))),2)</f>
        <v>0</v>
      </c>
      <c r="R304" s="2">
        <f>IF(MONTH(Table15781012[[#This Row],[Date]])=2,28,DAY(DATE(YEAR(Table15781012[[#This Row],[Date]]),MONTH(Table15781012[[#This Row],[Date]])+1,1)-1))</f>
        <v>30</v>
      </c>
      <c r="S304" s="2">
        <f ca="1">SUM(OFFSET(Table15781012[[#Headers],[Days in month]],1,0):Table15781012[[#This Row],[Days in month]])</f>
        <v>8760</v>
      </c>
      <c r="T304" s="37">
        <f>InterestRate*AmortizationMultiplier*IF(ISNUMBER(SEARCH("Actual",$C$7)),Table15781012[[#This Row],[Days in month]]/365,1/12)</f>
        <v>5.8749999999999991E-3</v>
      </c>
    </row>
    <row r="305" spans="2:20" x14ac:dyDescent="0.2">
      <c r="B305" s="1">
        <f t="shared" si="14"/>
        <v>54635</v>
      </c>
      <c r="C305" s="2">
        <f t="shared" si="16"/>
        <v>289</v>
      </c>
      <c r="D305" s="3">
        <f t="shared" si="15"/>
        <v>0</v>
      </c>
      <c r="E305" s="3">
        <f>ROUND(Table15781012[[#This Row],[Beginning Balance]]*Table15781012[[#This Row],[Monthly Interest Rate]],2)</f>
        <v>0</v>
      </c>
      <c r="F305" s="3">
        <f t="shared" si="17"/>
        <v>63</v>
      </c>
      <c r="G305" s="23">
        <f>IFERROR(IF($C$13="No","N/A",IF(Table15781012[[#This Row],[Period]]=1,$C$6,PMT(InterestRate*AmortizationMultiplier/12,Table15781012[[#This Row],[Am Thru]],-Table15781012[[#This Row],[Beginning Balance]]))),0)</f>
        <v>0</v>
      </c>
      <c r="H305" s="3">
        <f>MAX(0,IF(C305=$C$4,D305,ROUND(IF($C$3="Fixed Principal",$C$6-Table15781012[[#This Row],[Interest]],IF($C$3="Interest Only",Table15781012[[#This Row],[Beginning Balance]]*ROUND(1-(1-IF($C$11="No",$E$8,1))^(1/12),6),MIN(IF($C$13="Yes",Table15781012[[#This Row],[Payment Amount (Reamortized)]],$C$6)-Table15781012[[#This Row],[Interest]],Table15781012[[#This Row],[Beginning Balance]]))),2)))</f>
        <v>0</v>
      </c>
      <c r="I305" s="3">
        <f>_xlfn.SINGLE(IF($C$3="Line of Credit",0,ROUND(MAX(MIN(IF($C$10="No",$E$7,VLOOKUP(Table15781012[[#This Row],[Period]],Forecast!$H$2:$L$1048576,4,FALSE))*Table15781012[[#This Row],[Beginning Balance]],Table15781012[[#This Row],[Beginning Balance]]-Table15781012[[#This Row],[Principal]]),0),2)))</f>
        <v>0</v>
      </c>
      <c r="J305" s="3">
        <f>ROUND(MIN(Table15781012[[#This Row],[Beginning Balance]]*IF($C$8="No",$E$3,VLOOKUP(Table15781012[[#This Row],[Period]],Forecast!$H$2:$L$1048576,2,FALSE)),Table15781012[[#This Row],[Beginning Balance]]-Table15781012[[#This Row],[Principal]]-Table15781012[[#This Row],[Prepayments]]),2)</f>
        <v>0</v>
      </c>
      <c r="K305" s="3">
        <f>ROUND(Table15781012[[#This Row],[Defaulted Principal]]*IF($C$9="No",$E$4,VLOOKUP(Table15781012[[#This Row],[Period]],Forecast!$H$2:$L$1048576,3,FALSE)),2)</f>
        <v>0</v>
      </c>
      <c r="L305" s="2">
        <f>Table15781012[[#This Row],[Period]]+$E$9</f>
        <v>301</v>
      </c>
      <c r="M305" s="3">
        <f>Table15781012[[#This Row],[Defaulted Principal]]-Table15781012[[#This Row],[Estimated Loss]]</f>
        <v>0</v>
      </c>
      <c r="N305" s="3">
        <f>IFERROR(VLOOKUP(Table15781012[[#This Row],[Period]],$L$16:$M$385,2,FALSE),0)</f>
        <v>0</v>
      </c>
      <c r="O305" s="3">
        <f>Table15781012[[#This Row],[Beginning Balance]]-Table15781012[[#This Row],[Principal]]-Table15781012[[#This Row],[Prepayments]]-Table15781012[[#This Row],[Defaulted Principal]]</f>
        <v>0</v>
      </c>
      <c r="P305" s="3">
        <f>Table15781012[[#This Row],[Principal]]+Table15781012[[#This Row],[Interest]]+Table15781012[[#This Row],[Prepayments]]+Table15781012[[#This Row],[RecoveredAmount]]</f>
        <v>0</v>
      </c>
      <c r="Q305" s="3">
        <f ca="1">ROUND(Table15781012[[#This Row],[Cash Flow]]/((1+ActualRateToUse)^(IF(ISNUMBER(SEARCH("Actual",$C$7)),Table15781012[[#This Row],[Running Total]]/365,Table15781012[[#This Row],[Period]]/12))),2)</f>
        <v>0</v>
      </c>
      <c r="R305" s="2">
        <f>IF(MONTH(Table15781012[[#This Row],[Date]])=2,28,DAY(DATE(YEAR(Table15781012[[#This Row],[Date]]),MONTH(Table15781012[[#This Row],[Date]])+1,1)-1))</f>
        <v>31</v>
      </c>
      <c r="S305" s="2">
        <f ca="1">SUM(OFFSET(Table15781012[[#Headers],[Days in month]],1,0):Table15781012[[#This Row],[Days in month]])</f>
        <v>8791</v>
      </c>
      <c r="T305" s="37">
        <f>InterestRate*AmortizationMultiplier*IF(ISNUMBER(SEARCH("Actual",$C$7)),Table15781012[[#This Row],[Days in month]]/365,1/12)</f>
        <v>6.0708333333333326E-3</v>
      </c>
    </row>
    <row r="306" spans="2:20" x14ac:dyDescent="0.2">
      <c r="B306" s="1">
        <f t="shared" si="14"/>
        <v>54666</v>
      </c>
      <c r="C306" s="2">
        <f t="shared" si="16"/>
        <v>290</v>
      </c>
      <c r="D306" s="3">
        <f t="shared" si="15"/>
        <v>0</v>
      </c>
      <c r="E306" s="3">
        <f>ROUND(Table15781012[[#This Row],[Beginning Balance]]*Table15781012[[#This Row],[Monthly Interest Rate]],2)</f>
        <v>0</v>
      </c>
      <c r="F306" s="3">
        <f t="shared" si="17"/>
        <v>62</v>
      </c>
      <c r="G306" s="23">
        <f>IFERROR(IF($C$13="No","N/A",IF(Table15781012[[#This Row],[Period]]=1,$C$6,PMT(InterestRate*AmortizationMultiplier/12,Table15781012[[#This Row],[Am Thru]],-Table15781012[[#This Row],[Beginning Balance]]))),0)</f>
        <v>0</v>
      </c>
      <c r="H306" s="3">
        <f>MAX(0,IF(C306=$C$4,D306,ROUND(IF($C$3="Fixed Principal",$C$6-Table15781012[[#This Row],[Interest]],IF($C$3="Interest Only",Table15781012[[#This Row],[Beginning Balance]]*ROUND(1-(1-IF($C$11="No",$E$8,1))^(1/12),6),MIN(IF($C$13="Yes",Table15781012[[#This Row],[Payment Amount (Reamortized)]],$C$6)-Table15781012[[#This Row],[Interest]],Table15781012[[#This Row],[Beginning Balance]]))),2)))</f>
        <v>0</v>
      </c>
      <c r="I306" s="3">
        <f>_xlfn.SINGLE(IF($C$3="Line of Credit",0,ROUND(MAX(MIN(IF($C$10="No",$E$7,VLOOKUP(Table15781012[[#This Row],[Period]],Forecast!$H$2:$L$1048576,4,FALSE))*Table15781012[[#This Row],[Beginning Balance]],Table15781012[[#This Row],[Beginning Balance]]-Table15781012[[#This Row],[Principal]]),0),2)))</f>
        <v>0</v>
      </c>
      <c r="J306" s="3">
        <f>ROUND(MIN(Table15781012[[#This Row],[Beginning Balance]]*IF($C$8="No",$E$3,VLOOKUP(Table15781012[[#This Row],[Period]],Forecast!$H$2:$L$1048576,2,FALSE)),Table15781012[[#This Row],[Beginning Balance]]-Table15781012[[#This Row],[Principal]]-Table15781012[[#This Row],[Prepayments]]),2)</f>
        <v>0</v>
      </c>
      <c r="K306" s="3">
        <f>ROUND(Table15781012[[#This Row],[Defaulted Principal]]*IF($C$9="No",$E$4,VLOOKUP(Table15781012[[#This Row],[Period]],Forecast!$H$2:$L$1048576,3,FALSE)),2)</f>
        <v>0</v>
      </c>
      <c r="L306" s="2">
        <f>Table15781012[[#This Row],[Period]]+$E$9</f>
        <v>302</v>
      </c>
      <c r="M306" s="3">
        <f>Table15781012[[#This Row],[Defaulted Principal]]-Table15781012[[#This Row],[Estimated Loss]]</f>
        <v>0</v>
      </c>
      <c r="N306" s="3">
        <f>IFERROR(VLOOKUP(Table15781012[[#This Row],[Period]],$L$16:$M$385,2,FALSE),0)</f>
        <v>0</v>
      </c>
      <c r="O306" s="3">
        <f>Table15781012[[#This Row],[Beginning Balance]]-Table15781012[[#This Row],[Principal]]-Table15781012[[#This Row],[Prepayments]]-Table15781012[[#This Row],[Defaulted Principal]]</f>
        <v>0</v>
      </c>
      <c r="P306" s="3">
        <f>Table15781012[[#This Row],[Principal]]+Table15781012[[#This Row],[Interest]]+Table15781012[[#This Row],[Prepayments]]+Table15781012[[#This Row],[RecoveredAmount]]</f>
        <v>0</v>
      </c>
      <c r="Q306" s="3">
        <f ca="1">ROUND(Table15781012[[#This Row],[Cash Flow]]/((1+ActualRateToUse)^(IF(ISNUMBER(SEARCH("Actual",$C$7)),Table15781012[[#This Row],[Running Total]]/365,Table15781012[[#This Row],[Period]]/12))),2)</f>
        <v>0</v>
      </c>
      <c r="R306" s="2">
        <f>IF(MONTH(Table15781012[[#This Row],[Date]])=2,28,DAY(DATE(YEAR(Table15781012[[#This Row],[Date]]),MONTH(Table15781012[[#This Row],[Date]])+1,1)-1))</f>
        <v>31</v>
      </c>
      <c r="S306" s="2">
        <f ca="1">SUM(OFFSET(Table15781012[[#Headers],[Days in month]],1,0):Table15781012[[#This Row],[Days in month]])</f>
        <v>8822</v>
      </c>
      <c r="T306" s="37">
        <f>InterestRate*AmortizationMultiplier*IF(ISNUMBER(SEARCH("Actual",$C$7)),Table15781012[[#This Row],[Days in month]]/365,1/12)</f>
        <v>6.0708333333333326E-3</v>
      </c>
    </row>
    <row r="307" spans="2:20" x14ac:dyDescent="0.2">
      <c r="B307" s="1">
        <f t="shared" si="14"/>
        <v>54696</v>
      </c>
      <c r="C307" s="2">
        <f t="shared" si="16"/>
        <v>291</v>
      </c>
      <c r="D307" s="3">
        <f t="shared" si="15"/>
        <v>0</v>
      </c>
      <c r="E307" s="3">
        <f>ROUND(Table15781012[[#This Row],[Beginning Balance]]*Table15781012[[#This Row],[Monthly Interest Rate]],2)</f>
        <v>0</v>
      </c>
      <c r="F307" s="3">
        <f t="shared" si="17"/>
        <v>61</v>
      </c>
      <c r="G307" s="23">
        <f>IFERROR(IF($C$13="No","N/A",IF(Table15781012[[#This Row],[Period]]=1,$C$6,PMT(InterestRate*AmortizationMultiplier/12,Table15781012[[#This Row],[Am Thru]],-Table15781012[[#This Row],[Beginning Balance]]))),0)</f>
        <v>0</v>
      </c>
      <c r="H307" s="3">
        <f>MAX(0,IF(C307=$C$4,D307,ROUND(IF($C$3="Fixed Principal",$C$6-Table15781012[[#This Row],[Interest]],IF($C$3="Interest Only",Table15781012[[#This Row],[Beginning Balance]]*ROUND(1-(1-IF($C$11="No",$E$8,1))^(1/12),6),MIN(IF($C$13="Yes",Table15781012[[#This Row],[Payment Amount (Reamortized)]],$C$6)-Table15781012[[#This Row],[Interest]],Table15781012[[#This Row],[Beginning Balance]]))),2)))</f>
        <v>0</v>
      </c>
      <c r="I307" s="3">
        <f>_xlfn.SINGLE(IF($C$3="Line of Credit",0,ROUND(MAX(MIN(IF($C$10="No",$E$7,VLOOKUP(Table15781012[[#This Row],[Period]],Forecast!$H$2:$L$1048576,4,FALSE))*Table15781012[[#This Row],[Beginning Balance]],Table15781012[[#This Row],[Beginning Balance]]-Table15781012[[#This Row],[Principal]]),0),2)))</f>
        <v>0</v>
      </c>
      <c r="J307" s="3">
        <f>ROUND(MIN(Table15781012[[#This Row],[Beginning Balance]]*IF($C$8="No",$E$3,VLOOKUP(Table15781012[[#This Row],[Period]],Forecast!$H$2:$L$1048576,2,FALSE)),Table15781012[[#This Row],[Beginning Balance]]-Table15781012[[#This Row],[Principal]]-Table15781012[[#This Row],[Prepayments]]),2)</f>
        <v>0</v>
      </c>
      <c r="K307" s="3">
        <f>ROUND(Table15781012[[#This Row],[Defaulted Principal]]*IF($C$9="No",$E$4,VLOOKUP(Table15781012[[#This Row],[Period]],Forecast!$H$2:$L$1048576,3,FALSE)),2)</f>
        <v>0</v>
      </c>
      <c r="L307" s="2">
        <f>Table15781012[[#This Row],[Period]]+$E$9</f>
        <v>303</v>
      </c>
      <c r="M307" s="3">
        <f>Table15781012[[#This Row],[Defaulted Principal]]-Table15781012[[#This Row],[Estimated Loss]]</f>
        <v>0</v>
      </c>
      <c r="N307" s="3">
        <f>IFERROR(VLOOKUP(Table15781012[[#This Row],[Period]],$L$16:$M$385,2,FALSE),0)</f>
        <v>0</v>
      </c>
      <c r="O307" s="3">
        <f>Table15781012[[#This Row],[Beginning Balance]]-Table15781012[[#This Row],[Principal]]-Table15781012[[#This Row],[Prepayments]]-Table15781012[[#This Row],[Defaulted Principal]]</f>
        <v>0</v>
      </c>
      <c r="P307" s="3">
        <f>Table15781012[[#This Row],[Principal]]+Table15781012[[#This Row],[Interest]]+Table15781012[[#This Row],[Prepayments]]+Table15781012[[#This Row],[RecoveredAmount]]</f>
        <v>0</v>
      </c>
      <c r="Q307" s="3">
        <f ca="1">ROUND(Table15781012[[#This Row],[Cash Flow]]/((1+ActualRateToUse)^(IF(ISNUMBER(SEARCH("Actual",$C$7)),Table15781012[[#This Row],[Running Total]]/365,Table15781012[[#This Row],[Period]]/12))),2)</f>
        <v>0</v>
      </c>
      <c r="R307" s="2">
        <f>IF(MONTH(Table15781012[[#This Row],[Date]])=2,28,DAY(DATE(YEAR(Table15781012[[#This Row],[Date]]),MONTH(Table15781012[[#This Row],[Date]])+1,1)-1))</f>
        <v>30</v>
      </c>
      <c r="S307" s="2">
        <f ca="1">SUM(OFFSET(Table15781012[[#Headers],[Days in month]],1,0):Table15781012[[#This Row],[Days in month]])</f>
        <v>8852</v>
      </c>
      <c r="T307" s="37">
        <f>InterestRate*AmortizationMultiplier*IF(ISNUMBER(SEARCH("Actual",$C$7)),Table15781012[[#This Row],[Days in month]]/365,1/12)</f>
        <v>5.8749999999999991E-3</v>
      </c>
    </row>
    <row r="308" spans="2:20" x14ac:dyDescent="0.2">
      <c r="B308" s="1">
        <f t="shared" si="14"/>
        <v>54727</v>
      </c>
      <c r="C308" s="2">
        <f t="shared" si="16"/>
        <v>292</v>
      </c>
      <c r="D308" s="3">
        <f t="shared" si="15"/>
        <v>0</v>
      </c>
      <c r="E308" s="3">
        <f>ROUND(Table15781012[[#This Row],[Beginning Balance]]*Table15781012[[#This Row],[Monthly Interest Rate]],2)</f>
        <v>0</v>
      </c>
      <c r="F308" s="3">
        <f t="shared" si="17"/>
        <v>60</v>
      </c>
      <c r="G308" s="23">
        <f>IFERROR(IF($C$13="No","N/A",IF(Table15781012[[#This Row],[Period]]=1,$C$6,PMT(InterestRate*AmortizationMultiplier/12,Table15781012[[#This Row],[Am Thru]],-Table15781012[[#This Row],[Beginning Balance]]))),0)</f>
        <v>0</v>
      </c>
      <c r="H308" s="3">
        <f>MAX(0,IF(C308=$C$4,D308,ROUND(IF($C$3="Fixed Principal",$C$6-Table15781012[[#This Row],[Interest]],IF($C$3="Interest Only",Table15781012[[#This Row],[Beginning Balance]]*ROUND(1-(1-IF($C$11="No",$E$8,1))^(1/12),6),MIN(IF($C$13="Yes",Table15781012[[#This Row],[Payment Amount (Reamortized)]],$C$6)-Table15781012[[#This Row],[Interest]],Table15781012[[#This Row],[Beginning Balance]]))),2)))</f>
        <v>0</v>
      </c>
      <c r="I308" s="3">
        <f>_xlfn.SINGLE(IF($C$3="Line of Credit",0,ROUND(MAX(MIN(IF($C$10="No",$E$7,VLOOKUP(Table15781012[[#This Row],[Period]],Forecast!$H$2:$L$1048576,4,FALSE))*Table15781012[[#This Row],[Beginning Balance]],Table15781012[[#This Row],[Beginning Balance]]-Table15781012[[#This Row],[Principal]]),0),2)))</f>
        <v>0</v>
      </c>
      <c r="J308" s="3">
        <f>ROUND(MIN(Table15781012[[#This Row],[Beginning Balance]]*IF($C$8="No",$E$3,VLOOKUP(Table15781012[[#This Row],[Period]],Forecast!$H$2:$L$1048576,2,FALSE)),Table15781012[[#This Row],[Beginning Balance]]-Table15781012[[#This Row],[Principal]]-Table15781012[[#This Row],[Prepayments]]),2)</f>
        <v>0</v>
      </c>
      <c r="K308" s="3">
        <f>ROUND(Table15781012[[#This Row],[Defaulted Principal]]*IF($C$9="No",$E$4,VLOOKUP(Table15781012[[#This Row],[Period]],Forecast!$H$2:$L$1048576,3,FALSE)),2)</f>
        <v>0</v>
      </c>
      <c r="L308" s="2">
        <f>Table15781012[[#This Row],[Period]]+$E$9</f>
        <v>304</v>
      </c>
      <c r="M308" s="3">
        <f>Table15781012[[#This Row],[Defaulted Principal]]-Table15781012[[#This Row],[Estimated Loss]]</f>
        <v>0</v>
      </c>
      <c r="N308" s="3">
        <f>IFERROR(VLOOKUP(Table15781012[[#This Row],[Period]],$L$16:$M$385,2,FALSE),0)</f>
        <v>0</v>
      </c>
      <c r="O308" s="3">
        <f>Table15781012[[#This Row],[Beginning Balance]]-Table15781012[[#This Row],[Principal]]-Table15781012[[#This Row],[Prepayments]]-Table15781012[[#This Row],[Defaulted Principal]]</f>
        <v>0</v>
      </c>
      <c r="P308" s="3">
        <f>Table15781012[[#This Row],[Principal]]+Table15781012[[#This Row],[Interest]]+Table15781012[[#This Row],[Prepayments]]+Table15781012[[#This Row],[RecoveredAmount]]</f>
        <v>0</v>
      </c>
      <c r="Q308" s="3">
        <f ca="1">ROUND(Table15781012[[#This Row],[Cash Flow]]/((1+ActualRateToUse)^(IF(ISNUMBER(SEARCH("Actual",$C$7)),Table15781012[[#This Row],[Running Total]]/365,Table15781012[[#This Row],[Period]]/12))),2)</f>
        <v>0</v>
      </c>
      <c r="R308" s="2">
        <f>IF(MONTH(Table15781012[[#This Row],[Date]])=2,28,DAY(DATE(YEAR(Table15781012[[#This Row],[Date]]),MONTH(Table15781012[[#This Row],[Date]])+1,1)-1))</f>
        <v>31</v>
      </c>
      <c r="S308" s="2">
        <f ca="1">SUM(OFFSET(Table15781012[[#Headers],[Days in month]],1,0):Table15781012[[#This Row],[Days in month]])</f>
        <v>8883</v>
      </c>
      <c r="T308" s="37">
        <f>InterestRate*AmortizationMultiplier*IF(ISNUMBER(SEARCH("Actual",$C$7)),Table15781012[[#This Row],[Days in month]]/365,1/12)</f>
        <v>6.0708333333333326E-3</v>
      </c>
    </row>
    <row r="309" spans="2:20" x14ac:dyDescent="0.2">
      <c r="B309" s="1">
        <f t="shared" si="14"/>
        <v>54757</v>
      </c>
      <c r="C309" s="2">
        <f t="shared" si="16"/>
        <v>293</v>
      </c>
      <c r="D309" s="3">
        <f t="shared" si="15"/>
        <v>0</v>
      </c>
      <c r="E309" s="3">
        <f>ROUND(Table15781012[[#This Row],[Beginning Balance]]*Table15781012[[#This Row],[Monthly Interest Rate]],2)</f>
        <v>0</v>
      </c>
      <c r="F309" s="3">
        <f t="shared" si="17"/>
        <v>59</v>
      </c>
      <c r="G309" s="23">
        <f>IFERROR(IF($C$13="No","N/A",IF(Table15781012[[#This Row],[Period]]=1,$C$6,PMT(InterestRate*AmortizationMultiplier/12,Table15781012[[#This Row],[Am Thru]],-Table15781012[[#This Row],[Beginning Balance]]))),0)</f>
        <v>0</v>
      </c>
      <c r="H309" s="3">
        <f>MAX(0,IF(C309=$C$4,D309,ROUND(IF($C$3="Fixed Principal",$C$6-Table15781012[[#This Row],[Interest]],IF($C$3="Interest Only",Table15781012[[#This Row],[Beginning Balance]]*ROUND(1-(1-IF($C$11="No",$E$8,1))^(1/12),6),MIN(IF($C$13="Yes",Table15781012[[#This Row],[Payment Amount (Reamortized)]],$C$6)-Table15781012[[#This Row],[Interest]],Table15781012[[#This Row],[Beginning Balance]]))),2)))</f>
        <v>0</v>
      </c>
      <c r="I309" s="3">
        <f>_xlfn.SINGLE(IF($C$3="Line of Credit",0,ROUND(MAX(MIN(IF($C$10="No",$E$7,VLOOKUP(Table15781012[[#This Row],[Period]],Forecast!$H$2:$L$1048576,4,FALSE))*Table15781012[[#This Row],[Beginning Balance]],Table15781012[[#This Row],[Beginning Balance]]-Table15781012[[#This Row],[Principal]]),0),2)))</f>
        <v>0</v>
      </c>
      <c r="J309" s="3">
        <f>ROUND(MIN(Table15781012[[#This Row],[Beginning Balance]]*IF($C$8="No",$E$3,VLOOKUP(Table15781012[[#This Row],[Period]],Forecast!$H$2:$L$1048576,2,FALSE)),Table15781012[[#This Row],[Beginning Balance]]-Table15781012[[#This Row],[Principal]]-Table15781012[[#This Row],[Prepayments]]),2)</f>
        <v>0</v>
      </c>
      <c r="K309" s="3">
        <f>ROUND(Table15781012[[#This Row],[Defaulted Principal]]*IF($C$9="No",$E$4,VLOOKUP(Table15781012[[#This Row],[Period]],Forecast!$H$2:$L$1048576,3,FALSE)),2)</f>
        <v>0</v>
      </c>
      <c r="L309" s="2">
        <f>Table15781012[[#This Row],[Period]]+$E$9</f>
        <v>305</v>
      </c>
      <c r="M309" s="3">
        <f>Table15781012[[#This Row],[Defaulted Principal]]-Table15781012[[#This Row],[Estimated Loss]]</f>
        <v>0</v>
      </c>
      <c r="N309" s="3">
        <f>IFERROR(VLOOKUP(Table15781012[[#This Row],[Period]],$L$16:$M$385,2,FALSE),0)</f>
        <v>0</v>
      </c>
      <c r="O309" s="3">
        <f>Table15781012[[#This Row],[Beginning Balance]]-Table15781012[[#This Row],[Principal]]-Table15781012[[#This Row],[Prepayments]]-Table15781012[[#This Row],[Defaulted Principal]]</f>
        <v>0</v>
      </c>
      <c r="P309" s="3">
        <f>Table15781012[[#This Row],[Principal]]+Table15781012[[#This Row],[Interest]]+Table15781012[[#This Row],[Prepayments]]+Table15781012[[#This Row],[RecoveredAmount]]</f>
        <v>0</v>
      </c>
      <c r="Q309" s="3">
        <f ca="1">ROUND(Table15781012[[#This Row],[Cash Flow]]/((1+ActualRateToUse)^(IF(ISNUMBER(SEARCH("Actual",$C$7)),Table15781012[[#This Row],[Running Total]]/365,Table15781012[[#This Row],[Period]]/12))),2)</f>
        <v>0</v>
      </c>
      <c r="R309" s="2">
        <f>IF(MONTH(Table15781012[[#This Row],[Date]])=2,28,DAY(DATE(YEAR(Table15781012[[#This Row],[Date]]),MONTH(Table15781012[[#This Row],[Date]])+1,1)-1))</f>
        <v>30</v>
      </c>
      <c r="S309" s="2">
        <f ca="1">SUM(OFFSET(Table15781012[[#Headers],[Days in month]],1,0):Table15781012[[#This Row],[Days in month]])</f>
        <v>8913</v>
      </c>
      <c r="T309" s="37">
        <f>InterestRate*AmortizationMultiplier*IF(ISNUMBER(SEARCH("Actual",$C$7)),Table15781012[[#This Row],[Days in month]]/365,1/12)</f>
        <v>5.8749999999999991E-3</v>
      </c>
    </row>
    <row r="310" spans="2:20" x14ac:dyDescent="0.2">
      <c r="B310" s="1">
        <f t="shared" si="14"/>
        <v>54788</v>
      </c>
      <c r="C310" s="2">
        <f t="shared" si="16"/>
        <v>294</v>
      </c>
      <c r="D310" s="3">
        <f t="shared" si="15"/>
        <v>0</v>
      </c>
      <c r="E310" s="3">
        <f>ROUND(Table15781012[[#This Row],[Beginning Balance]]*Table15781012[[#This Row],[Monthly Interest Rate]],2)</f>
        <v>0</v>
      </c>
      <c r="F310" s="3">
        <f t="shared" si="17"/>
        <v>58</v>
      </c>
      <c r="G310" s="23">
        <f>IFERROR(IF($C$13="No","N/A",IF(Table15781012[[#This Row],[Period]]=1,$C$6,PMT(InterestRate*AmortizationMultiplier/12,Table15781012[[#This Row],[Am Thru]],-Table15781012[[#This Row],[Beginning Balance]]))),0)</f>
        <v>0</v>
      </c>
      <c r="H310" s="3">
        <f>MAX(0,IF(C310=$C$4,D310,ROUND(IF($C$3="Fixed Principal",$C$6-Table15781012[[#This Row],[Interest]],IF($C$3="Interest Only",Table15781012[[#This Row],[Beginning Balance]]*ROUND(1-(1-IF($C$11="No",$E$8,1))^(1/12),6),MIN(IF($C$13="Yes",Table15781012[[#This Row],[Payment Amount (Reamortized)]],$C$6)-Table15781012[[#This Row],[Interest]],Table15781012[[#This Row],[Beginning Balance]]))),2)))</f>
        <v>0</v>
      </c>
      <c r="I310" s="3">
        <f>_xlfn.SINGLE(IF($C$3="Line of Credit",0,ROUND(MAX(MIN(IF($C$10="No",$E$7,VLOOKUP(Table15781012[[#This Row],[Period]],Forecast!$H$2:$L$1048576,4,FALSE))*Table15781012[[#This Row],[Beginning Balance]],Table15781012[[#This Row],[Beginning Balance]]-Table15781012[[#This Row],[Principal]]),0),2)))</f>
        <v>0</v>
      </c>
      <c r="J310" s="3">
        <f>ROUND(MIN(Table15781012[[#This Row],[Beginning Balance]]*IF($C$8="No",$E$3,VLOOKUP(Table15781012[[#This Row],[Period]],Forecast!$H$2:$L$1048576,2,FALSE)),Table15781012[[#This Row],[Beginning Balance]]-Table15781012[[#This Row],[Principal]]-Table15781012[[#This Row],[Prepayments]]),2)</f>
        <v>0</v>
      </c>
      <c r="K310" s="3">
        <f>ROUND(Table15781012[[#This Row],[Defaulted Principal]]*IF($C$9="No",$E$4,VLOOKUP(Table15781012[[#This Row],[Period]],Forecast!$H$2:$L$1048576,3,FALSE)),2)</f>
        <v>0</v>
      </c>
      <c r="L310" s="2">
        <f>Table15781012[[#This Row],[Period]]+$E$9</f>
        <v>306</v>
      </c>
      <c r="M310" s="3">
        <f>Table15781012[[#This Row],[Defaulted Principal]]-Table15781012[[#This Row],[Estimated Loss]]</f>
        <v>0</v>
      </c>
      <c r="N310" s="3">
        <f>IFERROR(VLOOKUP(Table15781012[[#This Row],[Period]],$L$16:$M$385,2,FALSE),0)</f>
        <v>0</v>
      </c>
      <c r="O310" s="3">
        <f>Table15781012[[#This Row],[Beginning Balance]]-Table15781012[[#This Row],[Principal]]-Table15781012[[#This Row],[Prepayments]]-Table15781012[[#This Row],[Defaulted Principal]]</f>
        <v>0</v>
      </c>
      <c r="P310" s="3">
        <f>Table15781012[[#This Row],[Principal]]+Table15781012[[#This Row],[Interest]]+Table15781012[[#This Row],[Prepayments]]+Table15781012[[#This Row],[RecoveredAmount]]</f>
        <v>0</v>
      </c>
      <c r="Q310" s="3">
        <f ca="1">ROUND(Table15781012[[#This Row],[Cash Flow]]/((1+ActualRateToUse)^(IF(ISNUMBER(SEARCH("Actual",$C$7)),Table15781012[[#This Row],[Running Total]]/365,Table15781012[[#This Row],[Period]]/12))),2)</f>
        <v>0</v>
      </c>
      <c r="R310" s="2">
        <f>IF(MONTH(Table15781012[[#This Row],[Date]])=2,28,DAY(DATE(YEAR(Table15781012[[#This Row],[Date]]),MONTH(Table15781012[[#This Row],[Date]])+1,1)-1))</f>
        <v>31</v>
      </c>
      <c r="S310" s="2">
        <f ca="1">SUM(OFFSET(Table15781012[[#Headers],[Days in month]],1,0):Table15781012[[#This Row],[Days in month]])</f>
        <v>8944</v>
      </c>
      <c r="T310" s="37">
        <f>InterestRate*AmortizationMultiplier*IF(ISNUMBER(SEARCH("Actual",$C$7)),Table15781012[[#This Row],[Days in month]]/365,1/12)</f>
        <v>6.0708333333333326E-3</v>
      </c>
    </row>
    <row r="311" spans="2:20" x14ac:dyDescent="0.2">
      <c r="B311" s="1">
        <f t="shared" si="14"/>
        <v>54819</v>
      </c>
      <c r="C311" s="2">
        <f t="shared" si="16"/>
        <v>295</v>
      </c>
      <c r="D311" s="3">
        <f t="shared" si="15"/>
        <v>0</v>
      </c>
      <c r="E311" s="3">
        <f>ROUND(Table15781012[[#This Row],[Beginning Balance]]*Table15781012[[#This Row],[Monthly Interest Rate]],2)</f>
        <v>0</v>
      </c>
      <c r="F311" s="3">
        <f t="shared" si="17"/>
        <v>57</v>
      </c>
      <c r="G311" s="23">
        <f>IFERROR(IF($C$13="No","N/A",IF(Table15781012[[#This Row],[Period]]=1,$C$6,PMT(InterestRate*AmortizationMultiplier/12,Table15781012[[#This Row],[Am Thru]],-Table15781012[[#This Row],[Beginning Balance]]))),0)</f>
        <v>0</v>
      </c>
      <c r="H311" s="3">
        <f>MAX(0,IF(C311=$C$4,D311,ROUND(IF($C$3="Fixed Principal",$C$6-Table15781012[[#This Row],[Interest]],IF($C$3="Interest Only",Table15781012[[#This Row],[Beginning Balance]]*ROUND(1-(1-IF($C$11="No",$E$8,1))^(1/12),6),MIN(IF($C$13="Yes",Table15781012[[#This Row],[Payment Amount (Reamortized)]],$C$6)-Table15781012[[#This Row],[Interest]],Table15781012[[#This Row],[Beginning Balance]]))),2)))</f>
        <v>0</v>
      </c>
      <c r="I311" s="3">
        <f>_xlfn.SINGLE(IF($C$3="Line of Credit",0,ROUND(MAX(MIN(IF($C$10="No",$E$7,VLOOKUP(Table15781012[[#This Row],[Period]],Forecast!$H$2:$L$1048576,4,FALSE))*Table15781012[[#This Row],[Beginning Balance]],Table15781012[[#This Row],[Beginning Balance]]-Table15781012[[#This Row],[Principal]]),0),2)))</f>
        <v>0</v>
      </c>
      <c r="J311" s="3">
        <f>ROUND(MIN(Table15781012[[#This Row],[Beginning Balance]]*IF($C$8="No",$E$3,VLOOKUP(Table15781012[[#This Row],[Period]],Forecast!$H$2:$L$1048576,2,FALSE)),Table15781012[[#This Row],[Beginning Balance]]-Table15781012[[#This Row],[Principal]]-Table15781012[[#This Row],[Prepayments]]),2)</f>
        <v>0</v>
      </c>
      <c r="K311" s="3">
        <f>ROUND(Table15781012[[#This Row],[Defaulted Principal]]*IF($C$9="No",$E$4,VLOOKUP(Table15781012[[#This Row],[Period]],Forecast!$H$2:$L$1048576,3,FALSE)),2)</f>
        <v>0</v>
      </c>
      <c r="L311" s="2">
        <f>Table15781012[[#This Row],[Period]]+$E$9</f>
        <v>307</v>
      </c>
      <c r="M311" s="3">
        <f>Table15781012[[#This Row],[Defaulted Principal]]-Table15781012[[#This Row],[Estimated Loss]]</f>
        <v>0</v>
      </c>
      <c r="N311" s="3">
        <f>IFERROR(VLOOKUP(Table15781012[[#This Row],[Period]],$L$16:$M$385,2,FALSE),0)</f>
        <v>0</v>
      </c>
      <c r="O311" s="3">
        <f>Table15781012[[#This Row],[Beginning Balance]]-Table15781012[[#This Row],[Principal]]-Table15781012[[#This Row],[Prepayments]]-Table15781012[[#This Row],[Defaulted Principal]]</f>
        <v>0</v>
      </c>
      <c r="P311" s="3">
        <f>Table15781012[[#This Row],[Principal]]+Table15781012[[#This Row],[Interest]]+Table15781012[[#This Row],[Prepayments]]+Table15781012[[#This Row],[RecoveredAmount]]</f>
        <v>0</v>
      </c>
      <c r="Q311" s="3">
        <f ca="1">ROUND(Table15781012[[#This Row],[Cash Flow]]/((1+ActualRateToUse)^(IF(ISNUMBER(SEARCH("Actual",$C$7)),Table15781012[[#This Row],[Running Total]]/365,Table15781012[[#This Row],[Period]]/12))),2)</f>
        <v>0</v>
      </c>
      <c r="R311" s="2">
        <f>IF(MONTH(Table15781012[[#This Row],[Date]])=2,28,DAY(DATE(YEAR(Table15781012[[#This Row],[Date]]),MONTH(Table15781012[[#This Row],[Date]])+1,1)-1))</f>
        <v>31</v>
      </c>
      <c r="S311" s="2">
        <f ca="1">SUM(OFFSET(Table15781012[[#Headers],[Days in month]],1,0):Table15781012[[#This Row],[Days in month]])</f>
        <v>8975</v>
      </c>
      <c r="T311" s="37">
        <f>InterestRate*AmortizationMultiplier*IF(ISNUMBER(SEARCH("Actual",$C$7)),Table15781012[[#This Row],[Days in month]]/365,1/12)</f>
        <v>6.0708333333333326E-3</v>
      </c>
    </row>
    <row r="312" spans="2:20" x14ac:dyDescent="0.2">
      <c r="B312" s="1">
        <f t="shared" si="14"/>
        <v>54847</v>
      </c>
      <c r="C312" s="2">
        <f t="shared" si="16"/>
        <v>296</v>
      </c>
      <c r="D312" s="3">
        <f t="shared" si="15"/>
        <v>0</v>
      </c>
      <c r="E312" s="3">
        <f>ROUND(Table15781012[[#This Row],[Beginning Balance]]*Table15781012[[#This Row],[Monthly Interest Rate]],2)</f>
        <v>0</v>
      </c>
      <c r="F312" s="3">
        <f t="shared" si="17"/>
        <v>56</v>
      </c>
      <c r="G312" s="23">
        <f>IFERROR(IF($C$13="No","N/A",IF(Table15781012[[#This Row],[Period]]=1,$C$6,PMT(InterestRate*AmortizationMultiplier/12,Table15781012[[#This Row],[Am Thru]],-Table15781012[[#This Row],[Beginning Balance]]))),0)</f>
        <v>0</v>
      </c>
      <c r="H312" s="3">
        <f>MAX(0,IF(C312=$C$4,D312,ROUND(IF($C$3="Fixed Principal",$C$6-Table15781012[[#This Row],[Interest]],IF($C$3="Interest Only",Table15781012[[#This Row],[Beginning Balance]]*ROUND(1-(1-IF($C$11="No",$E$8,1))^(1/12),6),MIN(IF($C$13="Yes",Table15781012[[#This Row],[Payment Amount (Reamortized)]],$C$6)-Table15781012[[#This Row],[Interest]],Table15781012[[#This Row],[Beginning Balance]]))),2)))</f>
        <v>0</v>
      </c>
      <c r="I312" s="3">
        <f>_xlfn.SINGLE(IF($C$3="Line of Credit",0,ROUND(MAX(MIN(IF($C$10="No",$E$7,VLOOKUP(Table15781012[[#This Row],[Period]],Forecast!$H$2:$L$1048576,4,FALSE))*Table15781012[[#This Row],[Beginning Balance]],Table15781012[[#This Row],[Beginning Balance]]-Table15781012[[#This Row],[Principal]]),0),2)))</f>
        <v>0</v>
      </c>
      <c r="J312" s="3">
        <f>ROUND(MIN(Table15781012[[#This Row],[Beginning Balance]]*IF($C$8="No",$E$3,VLOOKUP(Table15781012[[#This Row],[Period]],Forecast!$H$2:$L$1048576,2,FALSE)),Table15781012[[#This Row],[Beginning Balance]]-Table15781012[[#This Row],[Principal]]-Table15781012[[#This Row],[Prepayments]]),2)</f>
        <v>0</v>
      </c>
      <c r="K312" s="3">
        <f>ROUND(Table15781012[[#This Row],[Defaulted Principal]]*IF($C$9="No",$E$4,VLOOKUP(Table15781012[[#This Row],[Period]],Forecast!$H$2:$L$1048576,3,FALSE)),2)</f>
        <v>0</v>
      </c>
      <c r="L312" s="2">
        <f>Table15781012[[#This Row],[Period]]+$E$9</f>
        <v>308</v>
      </c>
      <c r="M312" s="3">
        <f>Table15781012[[#This Row],[Defaulted Principal]]-Table15781012[[#This Row],[Estimated Loss]]</f>
        <v>0</v>
      </c>
      <c r="N312" s="3">
        <f>IFERROR(VLOOKUP(Table15781012[[#This Row],[Period]],$L$16:$M$385,2,FALSE),0)</f>
        <v>0</v>
      </c>
      <c r="O312" s="3">
        <f>Table15781012[[#This Row],[Beginning Balance]]-Table15781012[[#This Row],[Principal]]-Table15781012[[#This Row],[Prepayments]]-Table15781012[[#This Row],[Defaulted Principal]]</f>
        <v>0</v>
      </c>
      <c r="P312" s="3">
        <f>Table15781012[[#This Row],[Principal]]+Table15781012[[#This Row],[Interest]]+Table15781012[[#This Row],[Prepayments]]+Table15781012[[#This Row],[RecoveredAmount]]</f>
        <v>0</v>
      </c>
      <c r="Q312" s="3">
        <f ca="1">ROUND(Table15781012[[#This Row],[Cash Flow]]/((1+ActualRateToUse)^(IF(ISNUMBER(SEARCH("Actual",$C$7)),Table15781012[[#This Row],[Running Total]]/365,Table15781012[[#This Row],[Period]]/12))),2)</f>
        <v>0</v>
      </c>
      <c r="R312" s="2">
        <f>IF(MONTH(Table15781012[[#This Row],[Date]])=2,28,DAY(DATE(YEAR(Table15781012[[#This Row],[Date]]),MONTH(Table15781012[[#This Row],[Date]])+1,1)-1))</f>
        <v>28</v>
      </c>
      <c r="S312" s="2">
        <f ca="1">SUM(OFFSET(Table15781012[[#Headers],[Days in month]],1,0):Table15781012[[#This Row],[Days in month]])</f>
        <v>9003</v>
      </c>
      <c r="T312" s="37">
        <f>InterestRate*AmortizationMultiplier*IF(ISNUMBER(SEARCH("Actual",$C$7)),Table15781012[[#This Row],[Days in month]]/365,1/12)</f>
        <v>5.4833333333333331E-3</v>
      </c>
    </row>
    <row r="313" spans="2:20" x14ac:dyDescent="0.2">
      <c r="B313" s="1">
        <f t="shared" si="14"/>
        <v>54878</v>
      </c>
      <c r="C313" s="2">
        <f t="shared" si="16"/>
        <v>297</v>
      </c>
      <c r="D313" s="3">
        <f t="shared" si="15"/>
        <v>0</v>
      </c>
      <c r="E313" s="3">
        <f>ROUND(Table15781012[[#This Row],[Beginning Balance]]*Table15781012[[#This Row],[Monthly Interest Rate]],2)</f>
        <v>0</v>
      </c>
      <c r="F313" s="3">
        <f t="shared" si="17"/>
        <v>55</v>
      </c>
      <c r="G313" s="23">
        <f>IFERROR(IF($C$13="No","N/A",IF(Table15781012[[#This Row],[Period]]=1,$C$6,PMT(InterestRate*AmortizationMultiplier/12,Table15781012[[#This Row],[Am Thru]],-Table15781012[[#This Row],[Beginning Balance]]))),0)</f>
        <v>0</v>
      </c>
      <c r="H313" s="3">
        <f>MAX(0,IF(C313=$C$4,D313,ROUND(IF($C$3="Fixed Principal",$C$6-Table15781012[[#This Row],[Interest]],IF($C$3="Interest Only",Table15781012[[#This Row],[Beginning Balance]]*ROUND(1-(1-IF($C$11="No",$E$8,1))^(1/12),6),MIN(IF($C$13="Yes",Table15781012[[#This Row],[Payment Amount (Reamortized)]],$C$6)-Table15781012[[#This Row],[Interest]],Table15781012[[#This Row],[Beginning Balance]]))),2)))</f>
        <v>0</v>
      </c>
      <c r="I313" s="3">
        <f>_xlfn.SINGLE(IF($C$3="Line of Credit",0,ROUND(MAX(MIN(IF($C$10="No",$E$7,VLOOKUP(Table15781012[[#This Row],[Period]],Forecast!$H$2:$L$1048576,4,FALSE))*Table15781012[[#This Row],[Beginning Balance]],Table15781012[[#This Row],[Beginning Balance]]-Table15781012[[#This Row],[Principal]]),0),2)))</f>
        <v>0</v>
      </c>
      <c r="J313" s="3">
        <f>ROUND(MIN(Table15781012[[#This Row],[Beginning Balance]]*IF($C$8="No",$E$3,VLOOKUP(Table15781012[[#This Row],[Period]],Forecast!$H$2:$L$1048576,2,FALSE)),Table15781012[[#This Row],[Beginning Balance]]-Table15781012[[#This Row],[Principal]]-Table15781012[[#This Row],[Prepayments]]),2)</f>
        <v>0</v>
      </c>
      <c r="K313" s="3">
        <f>ROUND(Table15781012[[#This Row],[Defaulted Principal]]*IF($C$9="No",$E$4,VLOOKUP(Table15781012[[#This Row],[Period]],Forecast!$H$2:$L$1048576,3,FALSE)),2)</f>
        <v>0</v>
      </c>
      <c r="L313" s="2">
        <f>Table15781012[[#This Row],[Period]]+$E$9</f>
        <v>309</v>
      </c>
      <c r="M313" s="3">
        <f>Table15781012[[#This Row],[Defaulted Principal]]-Table15781012[[#This Row],[Estimated Loss]]</f>
        <v>0</v>
      </c>
      <c r="N313" s="3">
        <f>IFERROR(VLOOKUP(Table15781012[[#This Row],[Period]],$L$16:$M$385,2,FALSE),0)</f>
        <v>0</v>
      </c>
      <c r="O313" s="3">
        <f>Table15781012[[#This Row],[Beginning Balance]]-Table15781012[[#This Row],[Principal]]-Table15781012[[#This Row],[Prepayments]]-Table15781012[[#This Row],[Defaulted Principal]]</f>
        <v>0</v>
      </c>
      <c r="P313" s="3">
        <f>Table15781012[[#This Row],[Principal]]+Table15781012[[#This Row],[Interest]]+Table15781012[[#This Row],[Prepayments]]+Table15781012[[#This Row],[RecoveredAmount]]</f>
        <v>0</v>
      </c>
      <c r="Q313" s="3">
        <f ca="1">ROUND(Table15781012[[#This Row],[Cash Flow]]/((1+ActualRateToUse)^(IF(ISNUMBER(SEARCH("Actual",$C$7)),Table15781012[[#This Row],[Running Total]]/365,Table15781012[[#This Row],[Period]]/12))),2)</f>
        <v>0</v>
      </c>
      <c r="R313" s="2">
        <f>IF(MONTH(Table15781012[[#This Row],[Date]])=2,28,DAY(DATE(YEAR(Table15781012[[#This Row],[Date]]),MONTH(Table15781012[[#This Row],[Date]])+1,1)-1))</f>
        <v>31</v>
      </c>
      <c r="S313" s="2">
        <f ca="1">SUM(OFFSET(Table15781012[[#Headers],[Days in month]],1,0):Table15781012[[#This Row],[Days in month]])</f>
        <v>9034</v>
      </c>
      <c r="T313" s="37">
        <f>InterestRate*AmortizationMultiplier*IF(ISNUMBER(SEARCH("Actual",$C$7)),Table15781012[[#This Row],[Days in month]]/365,1/12)</f>
        <v>6.0708333333333326E-3</v>
      </c>
    </row>
    <row r="314" spans="2:20" x14ac:dyDescent="0.2">
      <c r="B314" s="1">
        <f t="shared" si="14"/>
        <v>54908</v>
      </c>
      <c r="C314" s="2">
        <f t="shared" si="16"/>
        <v>298</v>
      </c>
      <c r="D314" s="3">
        <f t="shared" si="15"/>
        <v>0</v>
      </c>
      <c r="E314" s="3">
        <f>ROUND(Table15781012[[#This Row],[Beginning Balance]]*Table15781012[[#This Row],[Monthly Interest Rate]],2)</f>
        <v>0</v>
      </c>
      <c r="F314" s="3">
        <f t="shared" si="17"/>
        <v>54</v>
      </c>
      <c r="G314" s="23">
        <f>IFERROR(IF($C$13="No","N/A",IF(Table15781012[[#This Row],[Period]]=1,$C$6,PMT(InterestRate*AmortizationMultiplier/12,Table15781012[[#This Row],[Am Thru]],-Table15781012[[#This Row],[Beginning Balance]]))),0)</f>
        <v>0</v>
      </c>
      <c r="H314" s="3">
        <f>MAX(0,IF(C314=$C$4,D314,ROUND(IF($C$3="Fixed Principal",$C$6-Table15781012[[#This Row],[Interest]],IF($C$3="Interest Only",Table15781012[[#This Row],[Beginning Balance]]*ROUND(1-(1-IF($C$11="No",$E$8,1))^(1/12),6),MIN(IF($C$13="Yes",Table15781012[[#This Row],[Payment Amount (Reamortized)]],$C$6)-Table15781012[[#This Row],[Interest]],Table15781012[[#This Row],[Beginning Balance]]))),2)))</f>
        <v>0</v>
      </c>
      <c r="I314" s="3">
        <f>_xlfn.SINGLE(IF($C$3="Line of Credit",0,ROUND(MAX(MIN(IF($C$10="No",$E$7,VLOOKUP(Table15781012[[#This Row],[Period]],Forecast!$H$2:$L$1048576,4,FALSE))*Table15781012[[#This Row],[Beginning Balance]],Table15781012[[#This Row],[Beginning Balance]]-Table15781012[[#This Row],[Principal]]),0),2)))</f>
        <v>0</v>
      </c>
      <c r="J314" s="3">
        <f>ROUND(MIN(Table15781012[[#This Row],[Beginning Balance]]*IF($C$8="No",$E$3,VLOOKUP(Table15781012[[#This Row],[Period]],Forecast!$H$2:$L$1048576,2,FALSE)),Table15781012[[#This Row],[Beginning Balance]]-Table15781012[[#This Row],[Principal]]-Table15781012[[#This Row],[Prepayments]]),2)</f>
        <v>0</v>
      </c>
      <c r="K314" s="3">
        <f>ROUND(Table15781012[[#This Row],[Defaulted Principal]]*IF($C$9="No",$E$4,VLOOKUP(Table15781012[[#This Row],[Period]],Forecast!$H$2:$L$1048576,3,FALSE)),2)</f>
        <v>0</v>
      </c>
      <c r="L314" s="2">
        <f>Table15781012[[#This Row],[Period]]+$E$9</f>
        <v>310</v>
      </c>
      <c r="M314" s="3">
        <f>Table15781012[[#This Row],[Defaulted Principal]]-Table15781012[[#This Row],[Estimated Loss]]</f>
        <v>0</v>
      </c>
      <c r="N314" s="3">
        <f>IFERROR(VLOOKUP(Table15781012[[#This Row],[Period]],$L$16:$M$385,2,FALSE),0)</f>
        <v>0</v>
      </c>
      <c r="O314" s="3">
        <f>Table15781012[[#This Row],[Beginning Balance]]-Table15781012[[#This Row],[Principal]]-Table15781012[[#This Row],[Prepayments]]-Table15781012[[#This Row],[Defaulted Principal]]</f>
        <v>0</v>
      </c>
      <c r="P314" s="3">
        <f>Table15781012[[#This Row],[Principal]]+Table15781012[[#This Row],[Interest]]+Table15781012[[#This Row],[Prepayments]]+Table15781012[[#This Row],[RecoveredAmount]]</f>
        <v>0</v>
      </c>
      <c r="Q314" s="3">
        <f ca="1">ROUND(Table15781012[[#This Row],[Cash Flow]]/((1+ActualRateToUse)^(IF(ISNUMBER(SEARCH("Actual",$C$7)),Table15781012[[#This Row],[Running Total]]/365,Table15781012[[#This Row],[Period]]/12))),2)</f>
        <v>0</v>
      </c>
      <c r="R314" s="2">
        <f>IF(MONTH(Table15781012[[#This Row],[Date]])=2,28,DAY(DATE(YEAR(Table15781012[[#This Row],[Date]]),MONTH(Table15781012[[#This Row],[Date]])+1,1)-1))</f>
        <v>30</v>
      </c>
      <c r="S314" s="2">
        <f ca="1">SUM(OFFSET(Table15781012[[#Headers],[Days in month]],1,0):Table15781012[[#This Row],[Days in month]])</f>
        <v>9064</v>
      </c>
      <c r="T314" s="37">
        <f>InterestRate*AmortizationMultiplier*IF(ISNUMBER(SEARCH("Actual",$C$7)),Table15781012[[#This Row],[Days in month]]/365,1/12)</f>
        <v>5.8749999999999991E-3</v>
      </c>
    </row>
    <row r="315" spans="2:20" x14ac:dyDescent="0.2">
      <c r="B315" s="1">
        <f t="shared" si="14"/>
        <v>54939</v>
      </c>
      <c r="C315" s="2">
        <f t="shared" si="16"/>
        <v>299</v>
      </c>
      <c r="D315" s="3">
        <f t="shared" si="15"/>
        <v>0</v>
      </c>
      <c r="E315" s="3">
        <f>ROUND(Table15781012[[#This Row],[Beginning Balance]]*Table15781012[[#This Row],[Monthly Interest Rate]],2)</f>
        <v>0</v>
      </c>
      <c r="F315" s="3">
        <f t="shared" si="17"/>
        <v>53</v>
      </c>
      <c r="G315" s="23">
        <f>IFERROR(IF($C$13="No","N/A",IF(Table15781012[[#This Row],[Period]]=1,$C$6,PMT(InterestRate*AmortizationMultiplier/12,Table15781012[[#This Row],[Am Thru]],-Table15781012[[#This Row],[Beginning Balance]]))),0)</f>
        <v>0</v>
      </c>
      <c r="H315" s="3">
        <f>MAX(0,IF(C315=$C$4,D315,ROUND(IF($C$3="Fixed Principal",$C$6-Table15781012[[#This Row],[Interest]],IF($C$3="Interest Only",Table15781012[[#This Row],[Beginning Balance]]*ROUND(1-(1-IF($C$11="No",$E$8,1))^(1/12),6),MIN(IF($C$13="Yes",Table15781012[[#This Row],[Payment Amount (Reamortized)]],$C$6)-Table15781012[[#This Row],[Interest]],Table15781012[[#This Row],[Beginning Balance]]))),2)))</f>
        <v>0</v>
      </c>
      <c r="I315" s="3">
        <f>_xlfn.SINGLE(IF($C$3="Line of Credit",0,ROUND(MAX(MIN(IF($C$10="No",$E$7,VLOOKUP(Table15781012[[#This Row],[Period]],Forecast!$H$2:$L$1048576,4,FALSE))*Table15781012[[#This Row],[Beginning Balance]],Table15781012[[#This Row],[Beginning Balance]]-Table15781012[[#This Row],[Principal]]),0),2)))</f>
        <v>0</v>
      </c>
      <c r="J315" s="3">
        <f>ROUND(MIN(Table15781012[[#This Row],[Beginning Balance]]*IF($C$8="No",$E$3,VLOOKUP(Table15781012[[#This Row],[Period]],Forecast!$H$2:$L$1048576,2,FALSE)),Table15781012[[#This Row],[Beginning Balance]]-Table15781012[[#This Row],[Principal]]-Table15781012[[#This Row],[Prepayments]]),2)</f>
        <v>0</v>
      </c>
      <c r="K315" s="3">
        <f>ROUND(Table15781012[[#This Row],[Defaulted Principal]]*IF($C$9="No",$E$4,VLOOKUP(Table15781012[[#This Row],[Period]],Forecast!$H$2:$L$1048576,3,FALSE)),2)</f>
        <v>0</v>
      </c>
      <c r="L315" s="2">
        <f>Table15781012[[#This Row],[Period]]+$E$9</f>
        <v>311</v>
      </c>
      <c r="M315" s="3">
        <f>Table15781012[[#This Row],[Defaulted Principal]]-Table15781012[[#This Row],[Estimated Loss]]</f>
        <v>0</v>
      </c>
      <c r="N315" s="3">
        <f>IFERROR(VLOOKUP(Table15781012[[#This Row],[Period]],$L$16:$M$385,2,FALSE),0)</f>
        <v>0</v>
      </c>
      <c r="O315" s="3">
        <f>Table15781012[[#This Row],[Beginning Balance]]-Table15781012[[#This Row],[Principal]]-Table15781012[[#This Row],[Prepayments]]-Table15781012[[#This Row],[Defaulted Principal]]</f>
        <v>0</v>
      </c>
      <c r="P315" s="3">
        <f>Table15781012[[#This Row],[Principal]]+Table15781012[[#This Row],[Interest]]+Table15781012[[#This Row],[Prepayments]]+Table15781012[[#This Row],[RecoveredAmount]]</f>
        <v>0</v>
      </c>
      <c r="Q315" s="3">
        <f ca="1">ROUND(Table15781012[[#This Row],[Cash Flow]]/((1+ActualRateToUse)^(IF(ISNUMBER(SEARCH("Actual",$C$7)),Table15781012[[#This Row],[Running Total]]/365,Table15781012[[#This Row],[Period]]/12))),2)</f>
        <v>0</v>
      </c>
      <c r="R315" s="2">
        <f>IF(MONTH(Table15781012[[#This Row],[Date]])=2,28,DAY(DATE(YEAR(Table15781012[[#This Row],[Date]]),MONTH(Table15781012[[#This Row],[Date]])+1,1)-1))</f>
        <v>31</v>
      </c>
      <c r="S315" s="2">
        <f ca="1">SUM(OFFSET(Table15781012[[#Headers],[Days in month]],1,0):Table15781012[[#This Row],[Days in month]])</f>
        <v>9095</v>
      </c>
      <c r="T315" s="37">
        <f>InterestRate*AmortizationMultiplier*IF(ISNUMBER(SEARCH("Actual",$C$7)),Table15781012[[#This Row],[Days in month]]/365,1/12)</f>
        <v>6.0708333333333326E-3</v>
      </c>
    </row>
    <row r="316" spans="2:20" x14ac:dyDescent="0.2">
      <c r="B316" s="1">
        <f t="shared" si="14"/>
        <v>54969</v>
      </c>
      <c r="C316" s="2">
        <f t="shared" si="16"/>
        <v>300</v>
      </c>
      <c r="D316" s="3">
        <f t="shared" si="15"/>
        <v>0</v>
      </c>
      <c r="E316" s="3">
        <f>ROUND(Table15781012[[#This Row],[Beginning Balance]]*Table15781012[[#This Row],[Monthly Interest Rate]],2)</f>
        <v>0</v>
      </c>
      <c r="F316" s="3">
        <f t="shared" si="17"/>
        <v>52</v>
      </c>
      <c r="G316" s="23">
        <f>IFERROR(IF($C$13="No","N/A",IF(Table15781012[[#This Row],[Period]]=1,$C$6,PMT(InterestRate*AmortizationMultiplier/12,Table15781012[[#This Row],[Am Thru]],-Table15781012[[#This Row],[Beginning Balance]]))),0)</f>
        <v>0</v>
      </c>
      <c r="H316" s="3">
        <f>MAX(0,IF(C316=$C$4,D316,ROUND(IF($C$3="Fixed Principal",$C$6-Table15781012[[#This Row],[Interest]],IF($C$3="Interest Only",Table15781012[[#This Row],[Beginning Balance]]*ROUND(1-(1-IF($C$11="No",$E$8,1))^(1/12),6),MIN(IF($C$13="Yes",Table15781012[[#This Row],[Payment Amount (Reamortized)]],$C$6)-Table15781012[[#This Row],[Interest]],Table15781012[[#This Row],[Beginning Balance]]))),2)))</f>
        <v>0</v>
      </c>
      <c r="I316" s="3">
        <f>_xlfn.SINGLE(IF($C$3="Line of Credit",0,ROUND(MAX(MIN(IF($C$10="No",$E$7,VLOOKUP(Table15781012[[#This Row],[Period]],Forecast!$H$2:$L$1048576,4,FALSE))*Table15781012[[#This Row],[Beginning Balance]],Table15781012[[#This Row],[Beginning Balance]]-Table15781012[[#This Row],[Principal]]),0),2)))</f>
        <v>0</v>
      </c>
      <c r="J316" s="3">
        <f>ROUND(MIN(Table15781012[[#This Row],[Beginning Balance]]*IF($C$8="No",$E$3,VLOOKUP(Table15781012[[#This Row],[Period]],Forecast!$H$2:$L$1048576,2,FALSE)),Table15781012[[#This Row],[Beginning Balance]]-Table15781012[[#This Row],[Principal]]-Table15781012[[#This Row],[Prepayments]]),2)</f>
        <v>0</v>
      </c>
      <c r="K316" s="3">
        <f>ROUND(Table15781012[[#This Row],[Defaulted Principal]]*IF($C$9="No",$E$4,VLOOKUP(Table15781012[[#This Row],[Period]],Forecast!$H$2:$L$1048576,3,FALSE)),2)</f>
        <v>0</v>
      </c>
      <c r="L316" s="2">
        <f>Table15781012[[#This Row],[Period]]+$E$9</f>
        <v>312</v>
      </c>
      <c r="M316" s="3">
        <f>Table15781012[[#This Row],[Defaulted Principal]]-Table15781012[[#This Row],[Estimated Loss]]</f>
        <v>0</v>
      </c>
      <c r="N316" s="3">
        <f>IFERROR(VLOOKUP(Table15781012[[#This Row],[Period]],$L$16:$M$385,2,FALSE),0)</f>
        <v>0</v>
      </c>
      <c r="O316" s="3">
        <f>Table15781012[[#This Row],[Beginning Balance]]-Table15781012[[#This Row],[Principal]]-Table15781012[[#This Row],[Prepayments]]-Table15781012[[#This Row],[Defaulted Principal]]</f>
        <v>0</v>
      </c>
      <c r="P316" s="3">
        <f>Table15781012[[#This Row],[Principal]]+Table15781012[[#This Row],[Interest]]+Table15781012[[#This Row],[Prepayments]]+Table15781012[[#This Row],[RecoveredAmount]]</f>
        <v>0</v>
      </c>
      <c r="Q316" s="3">
        <f ca="1">ROUND(Table15781012[[#This Row],[Cash Flow]]/((1+ActualRateToUse)^(IF(ISNUMBER(SEARCH("Actual",$C$7)),Table15781012[[#This Row],[Running Total]]/365,Table15781012[[#This Row],[Period]]/12))),2)</f>
        <v>0</v>
      </c>
      <c r="R316" s="2">
        <f>IF(MONTH(Table15781012[[#This Row],[Date]])=2,28,DAY(DATE(YEAR(Table15781012[[#This Row],[Date]]),MONTH(Table15781012[[#This Row],[Date]])+1,1)-1))</f>
        <v>30</v>
      </c>
      <c r="S316" s="2">
        <f ca="1">SUM(OFFSET(Table15781012[[#Headers],[Days in month]],1,0):Table15781012[[#This Row],[Days in month]])</f>
        <v>9125</v>
      </c>
      <c r="T316" s="37">
        <f>InterestRate*AmortizationMultiplier*IF(ISNUMBER(SEARCH("Actual",$C$7)),Table15781012[[#This Row],[Days in month]]/365,1/12)</f>
        <v>5.8749999999999991E-3</v>
      </c>
    </row>
    <row r="317" spans="2:20" x14ac:dyDescent="0.2">
      <c r="B317" s="1">
        <f t="shared" si="14"/>
        <v>55000</v>
      </c>
      <c r="C317" s="2">
        <f t="shared" si="16"/>
        <v>301</v>
      </c>
      <c r="D317" s="3">
        <f t="shared" si="15"/>
        <v>0</v>
      </c>
      <c r="E317" s="3">
        <f>ROUND(Table15781012[[#This Row],[Beginning Balance]]*Table15781012[[#This Row],[Monthly Interest Rate]],2)</f>
        <v>0</v>
      </c>
      <c r="F317" s="3">
        <f t="shared" si="17"/>
        <v>51</v>
      </c>
      <c r="G317" s="23">
        <f>IFERROR(IF($C$13="No","N/A",IF(Table15781012[[#This Row],[Period]]=1,$C$6,PMT(InterestRate*AmortizationMultiplier/12,Table15781012[[#This Row],[Am Thru]],-Table15781012[[#This Row],[Beginning Balance]]))),0)</f>
        <v>0</v>
      </c>
      <c r="H317" s="3">
        <f>MAX(0,IF(C317=$C$4,D317,ROUND(IF($C$3="Fixed Principal",$C$6-Table15781012[[#This Row],[Interest]],IF($C$3="Interest Only",Table15781012[[#This Row],[Beginning Balance]]*ROUND(1-(1-IF($C$11="No",$E$8,1))^(1/12),6),MIN(IF($C$13="Yes",Table15781012[[#This Row],[Payment Amount (Reamortized)]],$C$6)-Table15781012[[#This Row],[Interest]],Table15781012[[#This Row],[Beginning Balance]]))),2)))</f>
        <v>0</v>
      </c>
      <c r="I317" s="3">
        <f>_xlfn.SINGLE(IF($C$3="Line of Credit",0,ROUND(MAX(MIN(IF($C$10="No",$E$7,VLOOKUP(Table15781012[[#This Row],[Period]],Forecast!$H$2:$L$1048576,4,FALSE))*Table15781012[[#This Row],[Beginning Balance]],Table15781012[[#This Row],[Beginning Balance]]-Table15781012[[#This Row],[Principal]]),0),2)))</f>
        <v>0</v>
      </c>
      <c r="J317" s="3">
        <f>ROUND(MIN(Table15781012[[#This Row],[Beginning Balance]]*IF($C$8="No",$E$3,VLOOKUP(Table15781012[[#This Row],[Period]],Forecast!$H$2:$L$1048576,2,FALSE)),Table15781012[[#This Row],[Beginning Balance]]-Table15781012[[#This Row],[Principal]]-Table15781012[[#This Row],[Prepayments]]),2)</f>
        <v>0</v>
      </c>
      <c r="K317" s="3">
        <f>ROUND(Table15781012[[#This Row],[Defaulted Principal]]*IF($C$9="No",$E$4,VLOOKUP(Table15781012[[#This Row],[Period]],Forecast!$H$2:$L$1048576,3,FALSE)),2)</f>
        <v>0</v>
      </c>
      <c r="L317" s="2">
        <f>Table15781012[[#This Row],[Period]]+$E$9</f>
        <v>313</v>
      </c>
      <c r="M317" s="3">
        <f>Table15781012[[#This Row],[Defaulted Principal]]-Table15781012[[#This Row],[Estimated Loss]]</f>
        <v>0</v>
      </c>
      <c r="N317" s="3">
        <f>IFERROR(VLOOKUP(Table15781012[[#This Row],[Period]],$L$16:$M$385,2,FALSE),0)</f>
        <v>0</v>
      </c>
      <c r="O317" s="3">
        <f>Table15781012[[#This Row],[Beginning Balance]]-Table15781012[[#This Row],[Principal]]-Table15781012[[#This Row],[Prepayments]]-Table15781012[[#This Row],[Defaulted Principal]]</f>
        <v>0</v>
      </c>
      <c r="P317" s="3">
        <f>Table15781012[[#This Row],[Principal]]+Table15781012[[#This Row],[Interest]]+Table15781012[[#This Row],[Prepayments]]+Table15781012[[#This Row],[RecoveredAmount]]</f>
        <v>0</v>
      </c>
      <c r="Q317" s="3">
        <f ca="1">ROUND(Table15781012[[#This Row],[Cash Flow]]/((1+ActualRateToUse)^(IF(ISNUMBER(SEARCH("Actual",$C$7)),Table15781012[[#This Row],[Running Total]]/365,Table15781012[[#This Row],[Period]]/12))),2)</f>
        <v>0</v>
      </c>
      <c r="R317" s="2">
        <f>IF(MONTH(Table15781012[[#This Row],[Date]])=2,28,DAY(DATE(YEAR(Table15781012[[#This Row],[Date]]),MONTH(Table15781012[[#This Row],[Date]])+1,1)-1))</f>
        <v>31</v>
      </c>
      <c r="S317" s="2">
        <f ca="1">SUM(OFFSET(Table15781012[[#Headers],[Days in month]],1,0):Table15781012[[#This Row],[Days in month]])</f>
        <v>9156</v>
      </c>
      <c r="T317" s="37">
        <f>InterestRate*AmortizationMultiplier*IF(ISNUMBER(SEARCH("Actual",$C$7)),Table15781012[[#This Row],[Days in month]]/365,1/12)</f>
        <v>6.0708333333333326E-3</v>
      </c>
    </row>
    <row r="318" spans="2:20" x14ac:dyDescent="0.2">
      <c r="B318" s="1">
        <f t="shared" si="14"/>
        <v>55031</v>
      </c>
      <c r="C318" s="2">
        <f t="shared" si="16"/>
        <v>302</v>
      </c>
      <c r="D318" s="3">
        <f t="shared" si="15"/>
        <v>0</v>
      </c>
      <c r="E318" s="3">
        <f>ROUND(Table15781012[[#This Row],[Beginning Balance]]*Table15781012[[#This Row],[Monthly Interest Rate]],2)</f>
        <v>0</v>
      </c>
      <c r="F318" s="3">
        <f t="shared" si="17"/>
        <v>50</v>
      </c>
      <c r="G318" s="23">
        <f>IFERROR(IF($C$13="No","N/A",IF(Table15781012[[#This Row],[Period]]=1,$C$6,PMT(InterestRate*AmortizationMultiplier/12,Table15781012[[#This Row],[Am Thru]],-Table15781012[[#This Row],[Beginning Balance]]))),0)</f>
        <v>0</v>
      </c>
      <c r="H318" s="3">
        <f>MAX(0,IF(C318=$C$4,D318,ROUND(IF($C$3="Fixed Principal",$C$6-Table15781012[[#This Row],[Interest]],IF($C$3="Interest Only",Table15781012[[#This Row],[Beginning Balance]]*ROUND(1-(1-IF($C$11="No",$E$8,1))^(1/12),6),MIN(IF($C$13="Yes",Table15781012[[#This Row],[Payment Amount (Reamortized)]],$C$6)-Table15781012[[#This Row],[Interest]],Table15781012[[#This Row],[Beginning Balance]]))),2)))</f>
        <v>0</v>
      </c>
      <c r="I318" s="3">
        <f>_xlfn.SINGLE(IF($C$3="Line of Credit",0,ROUND(MAX(MIN(IF($C$10="No",$E$7,VLOOKUP(Table15781012[[#This Row],[Period]],Forecast!$H$2:$L$1048576,4,FALSE))*Table15781012[[#This Row],[Beginning Balance]],Table15781012[[#This Row],[Beginning Balance]]-Table15781012[[#This Row],[Principal]]),0),2)))</f>
        <v>0</v>
      </c>
      <c r="J318" s="3">
        <f>ROUND(MIN(Table15781012[[#This Row],[Beginning Balance]]*IF($C$8="No",$E$3,VLOOKUP(Table15781012[[#This Row],[Period]],Forecast!$H$2:$L$1048576,2,FALSE)),Table15781012[[#This Row],[Beginning Balance]]-Table15781012[[#This Row],[Principal]]-Table15781012[[#This Row],[Prepayments]]),2)</f>
        <v>0</v>
      </c>
      <c r="K318" s="3">
        <f>ROUND(Table15781012[[#This Row],[Defaulted Principal]]*IF($C$9="No",$E$4,VLOOKUP(Table15781012[[#This Row],[Period]],Forecast!$H$2:$L$1048576,3,FALSE)),2)</f>
        <v>0</v>
      </c>
      <c r="L318" s="2">
        <f>Table15781012[[#This Row],[Period]]+$E$9</f>
        <v>314</v>
      </c>
      <c r="M318" s="3">
        <f>Table15781012[[#This Row],[Defaulted Principal]]-Table15781012[[#This Row],[Estimated Loss]]</f>
        <v>0</v>
      </c>
      <c r="N318" s="3">
        <f>IFERROR(VLOOKUP(Table15781012[[#This Row],[Period]],$L$16:$M$385,2,FALSE),0)</f>
        <v>0</v>
      </c>
      <c r="O318" s="3">
        <f>Table15781012[[#This Row],[Beginning Balance]]-Table15781012[[#This Row],[Principal]]-Table15781012[[#This Row],[Prepayments]]-Table15781012[[#This Row],[Defaulted Principal]]</f>
        <v>0</v>
      </c>
      <c r="P318" s="3">
        <f>Table15781012[[#This Row],[Principal]]+Table15781012[[#This Row],[Interest]]+Table15781012[[#This Row],[Prepayments]]+Table15781012[[#This Row],[RecoveredAmount]]</f>
        <v>0</v>
      </c>
      <c r="Q318" s="3">
        <f ca="1">ROUND(Table15781012[[#This Row],[Cash Flow]]/((1+ActualRateToUse)^(IF(ISNUMBER(SEARCH("Actual",$C$7)),Table15781012[[#This Row],[Running Total]]/365,Table15781012[[#This Row],[Period]]/12))),2)</f>
        <v>0</v>
      </c>
      <c r="R318" s="2">
        <f>IF(MONTH(Table15781012[[#This Row],[Date]])=2,28,DAY(DATE(YEAR(Table15781012[[#This Row],[Date]]),MONTH(Table15781012[[#This Row],[Date]])+1,1)-1))</f>
        <v>31</v>
      </c>
      <c r="S318" s="2">
        <f ca="1">SUM(OFFSET(Table15781012[[#Headers],[Days in month]],1,0):Table15781012[[#This Row],[Days in month]])</f>
        <v>9187</v>
      </c>
      <c r="T318" s="37">
        <f>InterestRate*AmortizationMultiplier*IF(ISNUMBER(SEARCH("Actual",$C$7)),Table15781012[[#This Row],[Days in month]]/365,1/12)</f>
        <v>6.0708333333333326E-3</v>
      </c>
    </row>
    <row r="319" spans="2:20" x14ac:dyDescent="0.2">
      <c r="B319" s="1">
        <f t="shared" si="14"/>
        <v>55061</v>
      </c>
      <c r="C319" s="2">
        <f t="shared" si="16"/>
        <v>303</v>
      </c>
      <c r="D319" s="3">
        <f t="shared" si="15"/>
        <v>0</v>
      </c>
      <c r="E319" s="3">
        <f>ROUND(Table15781012[[#This Row],[Beginning Balance]]*Table15781012[[#This Row],[Monthly Interest Rate]],2)</f>
        <v>0</v>
      </c>
      <c r="F319" s="3">
        <f t="shared" si="17"/>
        <v>49</v>
      </c>
      <c r="G319" s="23">
        <f>IFERROR(IF($C$13="No","N/A",IF(Table15781012[[#This Row],[Period]]=1,$C$6,PMT(InterestRate*AmortizationMultiplier/12,Table15781012[[#This Row],[Am Thru]],-Table15781012[[#This Row],[Beginning Balance]]))),0)</f>
        <v>0</v>
      </c>
      <c r="H319" s="3">
        <f>MAX(0,IF(C319=$C$4,D319,ROUND(IF($C$3="Fixed Principal",$C$6-Table15781012[[#This Row],[Interest]],IF($C$3="Interest Only",Table15781012[[#This Row],[Beginning Balance]]*ROUND(1-(1-IF($C$11="No",$E$8,1))^(1/12),6),MIN(IF($C$13="Yes",Table15781012[[#This Row],[Payment Amount (Reamortized)]],$C$6)-Table15781012[[#This Row],[Interest]],Table15781012[[#This Row],[Beginning Balance]]))),2)))</f>
        <v>0</v>
      </c>
      <c r="I319" s="3">
        <f>_xlfn.SINGLE(IF($C$3="Line of Credit",0,ROUND(MAX(MIN(IF($C$10="No",$E$7,VLOOKUP(Table15781012[[#This Row],[Period]],Forecast!$H$2:$L$1048576,4,FALSE))*Table15781012[[#This Row],[Beginning Balance]],Table15781012[[#This Row],[Beginning Balance]]-Table15781012[[#This Row],[Principal]]),0),2)))</f>
        <v>0</v>
      </c>
      <c r="J319" s="3">
        <f>ROUND(MIN(Table15781012[[#This Row],[Beginning Balance]]*IF($C$8="No",$E$3,VLOOKUP(Table15781012[[#This Row],[Period]],Forecast!$H$2:$L$1048576,2,FALSE)),Table15781012[[#This Row],[Beginning Balance]]-Table15781012[[#This Row],[Principal]]-Table15781012[[#This Row],[Prepayments]]),2)</f>
        <v>0</v>
      </c>
      <c r="K319" s="3">
        <f>ROUND(Table15781012[[#This Row],[Defaulted Principal]]*IF($C$9="No",$E$4,VLOOKUP(Table15781012[[#This Row],[Period]],Forecast!$H$2:$L$1048576,3,FALSE)),2)</f>
        <v>0</v>
      </c>
      <c r="L319" s="2">
        <f>Table15781012[[#This Row],[Period]]+$E$9</f>
        <v>315</v>
      </c>
      <c r="M319" s="3">
        <f>Table15781012[[#This Row],[Defaulted Principal]]-Table15781012[[#This Row],[Estimated Loss]]</f>
        <v>0</v>
      </c>
      <c r="N319" s="3">
        <f>IFERROR(VLOOKUP(Table15781012[[#This Row],[Period]],$L$16:$M$385,2,FALSE),0)</f>
        <v>0</v>
      </c>
      <c r="O319" s="3">
        <f>Table15781012[[#This Row],[Beginning Balance]]-Table15781012[[#This Row],[Principal]]-Table15781012[[#This Row],[Prepayments]]-Table15781012[[#This Row],[Defaulted Principal]]</f>
        <v>0</v>
      </c>
      <c r="P319" s="3">
        <f>Table15781012[[#This Row],[Principal]]+Table15781012[[#This Row],[Interest]]+Table15781012[[#This Row],[Prepayments]]+Table15781012[[#This Row],[RecoveredAmount]]</f>
        <v>0</v>
      </c>
      <c r="Q319" s="3">
        <f ca="1">ROUND(Table15781012[[#This Row],[Cash Flow]]/((1+ActualRateToUse)^(IF(ISNUMBER(SEARCH("Actual",$C$7)),Table15781012[[#This Row],[Running Total]]/365,Table15781012[[#This Row],[Period]]/12))),2)</f>
        <v>0</v>
      </c>
      <c r="R319" s="2">
        <f>IF(MONTH(Table15781012[[#This Row],[Date]])=2,28,DAY(DATE(YEAR(Table15781012[[#This Row],[Date]]),MONTH(Table15781012[[#This Row],[Date]])+1,1)-1))</f>
        <v>30</v>
      </c>
      <c r="S319" s="2">
        <f ca="1">SUM(OFFSET(Table15781012[[#Headers],[Days in month]],1,0):Table15781012[[#This Row],[Days in month]])</f>
        <v>9217</v>
      </c>
      <c r="T319" s="37">
        <f>InterestRate*AmortizationMultiplier*IF(ISNUMBER(SEARCH("Actual",$C$7)),Table15781012[[#This Row],[Days in month]]/365,1/12)</f>
        <v>5.8749999999999991E-3</v>
      </c>
    </row>
    <row r="320" spans="2:20" x14ac:dyDescent="0.2">
      <c r="B320" s="1">
        <f t="shared" si="14"/>
        <v>55092</v>
      </c>
      <c r="C320" s="2">
        <f t="shared" si="16"/>
        <v>304</v>
      </c>
      <c r="D320" s="3">
        <f t="shared" si="15"/>
        <v>0</v>
      </c>
      <c r="E320" s="3">
        <f>ROUND(Table15781012[[#This Row],[Beginning Balance]]*Table15781012[[#This Row],[Monthly Interest Rate]],2)</f>
        <v>0</v>
      </c>
      <c r="F320" s="3">
        <f t="shared" si="17"/>
        <v>48</v>
      </c>
      <c r="G320" s="23">
        <f>IFERROR(IF($C$13="No","N/A",IF(Table15781012[[#This Row],[Period]]=1,$C$6,PMT(InterestRate*AmortizationMultiplier/12,Table15781012[[#This Row],[Am Thru]],-Table15781012[[#This Row],[Beginning Balance]]))),0)</f>
        <v>0</v>
      </c>
      <c r="H320" s="3">
        <f>MAX(0,IF(C320=$C$4,D320,ROUND(IF($C$3="Fixed Principal",$C$6-Table15781012[[#This Row],[Interest]],IF($C$3="Interest Only",Table15781012[[#This Row],[Beginning Balance]]*ROUND(1-(1-IF($C$11="No",$E$8,1))^(1/12),6),MIN(IF($C$13="Yes",Table15781012[[#This Row],[Payment Amount (Reamortized)]],$C$6)-Table15781012[[#This Row],[Interest]],Table15781012[[#This Row],[Beginning Balance]]))),2)))</f>
        <v>0</v>
      </c>
      <c r="I320" s="3">
        <f>_xlfn.SINGLE(IF($C$3="Line of Credit",0,ROUND(MAX(MIN(IF($C$10="No",$E$7,VLOOKUP(Table15781012[[#This Row],[Period]],Forecast!$H$2:$L$1048576,4,FALSE))*Table15781012[[#This Row],[Beginning Balance]],Table15781012[[#This Row],[Beginning Balance]]-Table15781012[[#This Row],[Principal]]),0),2)))</f>
        <v>0</v>
      </c>
      <c r="J320" s="3">
        <f>ROUND(MIN(Table15781012[[#This Row],[Beginning Balance]]*IF($C$8="No",$E$3,VLOOKUP(Table15781012[[#This Row],[Period]],Forecast!$H$2:$L$1048576,2,FALSE)),Table15781012[[#This Row],[Beginning Balance]]-Table15781012[[#This Row],[Principal]]-Table15781012[[#This Row],[Prepayments]]),2)</f>
        <v>0</v>
      </c>
      <c r="K320" s="3">
        <f>ROUND(Table15781012[[#This Row],[Defaulted Principal]]*IF($C$9="No",$E$4,VLOOKUP(Table15781012[[#This Row],[Period]],Forecast!$H$2:$L$1048576,3,FALSE)),2)</f>
        <v>0</v>
      </c>
      <c r="L320" s="2">
        <f>Table15781012[[#This Row],[Period]]+$E$9</f>
        <v>316</v>
      </c>
      <c r="M320" s="3">
        <f>Table15781012[[#This Row],[Defaulted Principal]]-Table15781012[[#This Row],[Estimated Loss]]</f>
        <v>0</v>
      </c>
      <c r="N320" s="3">
        <f>IFERROR(VLOOKUP(Table15781012[[#This Row],[Period]],$L$16:$M$385,2,FALSE),0)</f>
        <v>0</v>
      </c>
      <c r="O320" s="3">
        <f>Table15781012[[#This Row],[Beginning Balance]]-Table15781012[[#This Row],[Principal]]-Table15781012[[#This Row],[Prepayments]]-Table15781012[[#This Row],[Defaulted Principal]]</f>
        <v>0</v>
      </c>
      <c r="P320" s="3">
        <f>Table15781012[[#This Row],[Principal]]+Table15781012[[#This Row],[Interest]]+Table15781012[[#This Row],[Prepayments]]+Table15781012[[#This Row],[RecoveredAmount]]</f>
        <v>0</v>
      </c>
      <c r="Q320" s="3">
        <f ca="1">ROUND(Table15781012[[#This Row],[Cash Flow]]/((1+ActualRateToUse)^(IF(ISNUMBER(SEARCH("Actual",$C$7)),Table15781012[[#This Row],[Running Total]]/365,Table15781012[[#This Row],[Period]]/12))),2)</f>
        <v>0</v>
      </c>
      <c r="R320" s="2">
        <f>IF(MONTH(Table15781012[[#This Row],[Date]])=2,28,DAY(DATE(YEAR(Table15781012[[#This Row],[Date]]),MONTH(Table15781012[[#This Row],[Date]])+1,1)-1))</f>
        <v>31</v>
      </c>
      <c r="S320" s="2">
        <f ca="1">SUM(OFFSET(Table15781012[[#Headers],[Days in month]],1,0):Table15781012[[#This Row],[Days in month]])</f>
        <v>9248</v>
      </c>
      <c r="T320" s="37">
        <f>InterestRate*AmortizationMultiplier*IF(ISNUMBER(SEARCH("Actual",$C$7)),Table15781012[[#This Row],[Days in month]]/365,1/12)</f>
        <v>6.0708333333333326E-3</v>
      </c>
    </row>
    <row r="321" spans="2:20" x14ac:dyDescent="0.2">
      <c r="B321" s="1">
        <f t="shared" si="14"/>
        <v>55122</v>
      </c>
      <c r="C321" s="2">
        <f t="shared" si="16"/>
        <v>305</v>
      </c>
      <c r="D321" s="3">
        <f t="shared" si="15"/>
        <v>0</v>
      </c>
      <c r="E321" s="3">
        <f>ROUND(Table15781012[[#This Row],[Beginning Balance]]*Table15781012[[#This Row],[Monthly Interest Rate]],2)</f>
        <v>0</v>
      </c>
      <c r="F321" s="3">
        <f t="shared" si="17"/>
        <v>47</v>
      </c>
      <c r="G321" s="23">
        <f>IFERROR(IF($C$13="No","N/A",IF(Table15781012[[#This Row],[Period]]=1,$C$6,PMT(InterestRate*AmortizationMultiplier/12,Table15781012[[#This Row],[Am Thru]],-Table15781012[[#This Row],[Beginning Balance]]))),0)</f>
        <v>0</v>
      </c>
      <c r="H321" s="3">
        <f>MAX(0,IF(C321=$C$4,D321,ROUND(IF($C$3="Fixed Principal",$C$6-Table15781012[[#This Row],[Interest]],IF($C$3="Interest Only",Table15781012[[#This Row],[Beginning Balance]]*ROUND(1-(1-IF($C$11="No",$E$8,1))^(1/12),6),MIN(IF($C$13="Yes",Table15781012[[#This Row],[Payment Amount (Reamortized)]],$C$6)-Table15781012[[#This Row],[Interest]],Table15781012[[#This Row],[Beginning Balance]]))),2)))</f>
        <v>0</v>
      </c>
      <c r="I321" s="3">
        <f>_xlfn.SINGLE(IF($C$3="Line of Credit",0,ROUND(MAX(MIN(IF($C$10="No",$E$7,VLOOKUP(Table15781012[[#This Row],[Period]],Forecast!$H$2:$L$1048576,4,FALSE))*Table15781012[[#This Row],[Beginning Balance]],Table15781012[[#This Row],[Beginning Balance]]-Table15781012[[#This Row],[Principal]]),0),2)))</f>
        <v>0</v>
      </c>
      <c r="J321" s="3">
        <f>ROUND(MIN(Table15781012[[#This Row],[Beginning Balance]]*IF($C$8="No",$E$3,VLOOKUP(Table15781012[[#This Row],[Period]],Forecast!$H$2:$L$1048576,2,FALSE)),Table15781012[[#This Row],[Beginning Balance]]-Table15781012[[#This Row],[Principal]]-Table15781012[[#This Row],[Prepayments]]),2)</f>
        <v>0</v>
      </c>
      <c r="K321" s="3">
        <f>ROUND(Table15781012[[#This Row],[Defaulted Principal]]*IF($C$9="No",$E$4,VLOOKUP(Table15781012[[#This Row],[Period]],Forecast!$H$2:$L$1048576,3,FALSE)),2)</f>
        <v>0</v>
      </c>
      <c r="L321" s="2">
        <f>Table15781012[[#This Row],[Period]]+$E$9</f>
        <v>317</v>
      </c>
      <c r="M321" s="3">
        <f>Table15781012[[#This Row],[Defaulted Principal]]-Table15781012[[#This Row],[Estimated Loss]]</f>
        <v>0</v>
      </c>
      <c r="N321" s="3">
        <f>IFERROR(VLOOKUP(Table15781012[[#This Row],[Period]],$L$16:$M$385,2,FALSE),0)</f>
        <v>0</v>
      </c>
      <c r="O321" s="3">
        <f>Table15781012[[#This Row],[Beginning Balance]]-Table15781012[[#This Row],[Principal]]-Table15781012[[#This Row],[Prepayments]]-Table15781012[[#This Row],[Defaulted Principal]]</f>
        <v>0</v>
      </c>
      <c r="P321" s="3">
        <f>Table15781012[[#This Row],[Principal]]+Table15781012[[#This Row],[Interest]]+Table15781012[[#This Row],[Prepayments]]+Table15781012[[#This Row],[RecoveredAmount]]</f>
        <v>0</v>
      </c>
      <c r="Q321" s="3">
        <f ca="1">ROUND(Table15781012[[#This Row],[Cash Flow]]/((1+ActualRateToUse)^(IF(ISNUMBER(SEARCH("Actual",$C$7)),Table15781012[[#This Row],[Running Total]]/365,Table15781012[[#This Row],[Period]]/12))),2)</f>
        <v>0</v>
      </c>
      <c r="R321" s="2">
        <f>IF(MONTH(Table15781012[[#This Row],[Date]])=2,28,DAY(DATE(YEAR(Table15781012[[#This Row],[Date]]),MONTH(Table15781012[[#This Row],[Date]])+1,1)-1))</f>
        <v>30</v>
      </c>
      <c r="S321" s="2">
        <f ca="1">SUM(OFFSET(Table15781012[[#Headers],[Days in month]],1,0):Table15781012[[#This Row],[Days in month]])</f>
        <v>9278</v>
      </c>
      <c r="T321" s="37">
        <f>InterestRate*AmortizationMultiplier*IF(ISNUMBER(SEARCH("Actual",$C$7)),Table15781012[[#This Row],[Days in month]]/365,1/12)</f>
        <v>5.8749999999999991E-3</v>
      </c>
    </row>
    <row r="322" spans="2:20" x14ac:dyDescent="0.2">
      <c r="B322" s="1">
        <f t="shared" si="14"/>
        <v>55153</v>
      </c>
      <c r="C322" s="2">
        <f t="shared" si="16"/>
        <v>306</v>
      </c>
      <c r="D322" s="3">
        <f t="shared" si="15"/>
        <v>0</v>
      </c>
      <c r="E322" s="3">
        <f>ROUND(Table15781012[[#This Row],[Beginning Balance]]*Table15781012[[#This Row],[Monthly Interest Rate]],2)</f>
        <v>0</v>
      </c>
      <c r="F322" s="3">
        <f t="shared" si="17"/>
        <v>46</v>
      </c>
      <c r="G322" s="23">
        <f>IFERROR(IF($C$13="No","N/A",IF(Table15781012[[#This Row],[Period]]=1,$C$6,PMT(InterestRate*AmortizationMultiplier/12,Table15781012[[#This Row],[Am Thru]],-Table15781012[[#This Row],[Beginning Balance]]))),0)</f>
        <v>0</v>
      </c>
      <c r="H322" s="3">
        <f>MAX(0,IF(C322=$C$4,D322,ROUND(IF($C$3="Fixed Principal",$C$6-Table15781012[[#This Row],[Interest]],IF($C$3="Interest Only",Table15781012[[#This Row],[Beginning Balance]]*ROUND(1-(1-IF($C$11="No",$E$8,1))^(1/12),6),MIN(IF($C$13="Yes",Table15781012[[#This Row],[Payment Amount (Reamortized)]],$C$6)-Table15781012[[#This Row],[Interest]],Table15781012[[#This Row],[Beginning Balance]]))),2)))</f>
        <v>0</v>
      </c>
      <c r="I322" s="3">
        <f>_xlfn.SINGLE(IF($C$3="Line of Credit",0,ROUND(MAX(MIN(IF($C$10="No",$E$7,VLOOKUP(Table15781012[[#This Row],[Period]],Forecast!$H$2:$L$1048576,4,FALSE))*Table15781012[[#This Row],[Beginning Balance]],Table15781012[[#This Row],[Beginning Balance]]-Table15781012[[#This Row],[Principal]]),0),2)))</f>
        <v>0</v>
      </c>
      <c r="J322" s="3">
        <f>ROUND(MIN(Table15781012[[#This Row],[Beginning Balance]]*IF($C$8="No",$E$3,VLOOKUP(Table15781012[[#This Row],[Period]],Forecast!$H$2:$L$1048576,2,FALSE)),Table15781012[[#This Row],[Beginning Balance]]-Table15781012[[#This Row],[Principal]]-Table15781012[[#This Row],[Prepayments]]),2)</f>
        <v>0</v>
      </c>
      <c r="K322" s="3">
        <f>ROUND(Table15781012[[#This Row],[Defaulted Principal]]*IF($C$9="No",$E$4,VLOOKUP(Table15781012[[#This Row],[Period]],Forecast!$H$2:$L$1048576,3,FALSE)),2)</f>
        <v>0</v>
      </c>
      <c r="L322" s="2">
        <f>Table15781012[[#This Row],[Period]]+$E$9</f>
        <v>318</v>
      </c>
      <c r="M322" s="3">
        <f>Table15781012[[#This Row],[Defaulted Principal]]-Table15781012[[#This Row],[Estimated Loss]]</f>
        <v>0</v>
      </c>
      <c r="N322" s="3">
        <f>IFERROR(VLOOKUP(Table15781012[[#This Row],[Period]],$L$16:$M$385,2,FALSE),0)</f>
        <v>0</v>
      </c>
      <c r="O322" s="3">
        <f>Table15781012[[#This Row],[Beginning Balance]]-Table15781012[[#This Row],[Principal]]-Table15781012[[#This Row],[Prepayments]]-Table15781012[[#This Row],[Defaulted Principal]]</f>
        <v>0</v>
      </c>
      <c r="P322" s="3">
        <f>Table15781012[[#This Row],[Principal]]+Table15781012[[#This Row],[Interest]]+Table15781012[[#This Row],[Prepayments]]+Table15781012[[#This Row],[RecoveredAmount]]</f>
        <v>0</v>
      </c>
      <c r="Q322" s="3">
        <f ca="1">ROUND(Table15781012[[#This Row],[Cash Flow]]/((1+ActualRateToUse)^(IF(ISNUMBER(SEARCH("Actual",$C$7)),Table15781012[[#This Row],[Running Total]]/365,Table15781012[[#This Row],[Period]]/12))),2)</f>
        <v>0</v>
      </c>
      <c r="R322" s="2">
        <f>IF(MONTH(Table15781012[[#This Row],[Date]])=2,28,DAY(DATE(YEAR(Table15781012[[#This Row],[Date]]),MONTH(Table15781012[[#This Row],[Date]])+1,1)-1))</f>
        <v>31</v>
      </c>
      <c r="S322" s="2">
        <f ca="1">SUM(OFFSET(Table15781012[[#Headers],[Days in month]],1,0):Table15781012[[#This Row],[Days in month]])</f>
        <v>9309</v>
      </c>
      <c r="T322" s="37">
        <f>InterestRate*AmortizationMultiplier*IF(ISNUMBER(SEARCH("Actual",$C$7)),Table15781012[[#This Row],[Days in month]]/365,1/12)</f>
        <v>6.0708333333333326E-3</v>
      </c>
    </row>
    <row r="323" spans="2:20" x14ac:dyDescent="0.2">
      <c r="B323" s="1">
        <f t="shared" si="14"/>
        <v>55184</v>
      </c>
      <c r="C323" s="2">
        <f t="shared" si="16"/>
        <v>307</v>
      </c>
      <c r="D323" s="3">
        <f t="shared" si="15"/>
        <v>0</v>
      </c>
      <c r="E323" s="3">
        <f>ROUND(Table15781012[[#This Row],[Beginning Balance]]*Table15781012[[#This Row],[Monthly Interest Rate]],2)</f>
        <v>0</v>
      </c>
      <c r="F323" s="3">
        <f t="shared" si="17"/>
        <v>45</v>
      </c>
      <c r="G323" s="23">
        <f>IFERROR(IF($C$13="No","N/A",IF(Table15781012[[#This Row],[Period]]=1,$C$6,PMT(InterestRate*AmortizationMultiplier/12,Table15781012[[#This Row],[Am Thru]],-Table15781012[[#This Row],[Beginning Balance]]))),0)</f>
        <v>0</v>
      </c>
      <c r="H323" s="3">
        <f>MAX(0,IF(C323=$C$4,D323,ROUND(IF($C$3="Fixed Principal",$C$6-Table15781012[[#This Row],[Interest]],IF($C$3="Interest Only",Table15781012[[#This Row],[Beginning Balance]]*ROUND(1-(1-IF($C$11="No",$E$8,1))^(1/12),6),MIN(IF($C$13="Yes",Table15781012[[#This Row],[Payment Amount (Reamortized)]],$C$6)-Table15781012[[#This Row],[Interest]],Table15781012[[#This Row],[Beginning Balance]]))),2)))</f>
        <v>0</v>
      </c>
      <c r="I323" s="3">
        <f>_xlfn.SINGLE(IF($C$3="Line of Credit",0,ROUND(MAX(MIN(IF($C$10="No",$E$7,VLOOKUP(Table15781012[[#This Row],[Period]],Forecast!$H$2:$L$1048576,4,FALSE))*Table15781012[[#This Row],[Beginning Balance]],Table15781012[[#This Row],[Beginning Balance]]-Table15781012[[#This Row],[Principal]]),0),2)))</f>
        <v>0</v>
      </c>
      <c r="J323" s="3">
        <f>ROUND(MIN(Table15781012[[#This Row],[Beginning Balance]]*IF($C$8="No",$E$3,VLOOKUP(Table15781012[[#This Row],[Period]],Forecast!$H$2:$L$1048576,2,FALSE)),Table15781012[[#This Row],[Beginning Balance]]-Table15781012[[#This Row],[Principal]]-Table15781012[[#This Row],[Prepayments]]),2)</f>
        <v>0</v>
      </c>
      <c r="K323" s="3">
        <f>ROUND(Table15781012[[#This Row],[Defaulted Principal]]*IF($C$9="No",$E$4,VLOOKUP(Table15781012[[#This Row],[Period]],Forecast!$H$2:$L$1048576,3,FALSE)),2)</f>
        <v>0</v>
      </c>
      <c r="L323" s="2">
        <f>Table15781012[[#This Row],[Period]]+$E$9</f>
        <v>319</v>
      </c>
      <c r="M323" s="3">
        <f>Table15781012[[#This Row],[Defaulted Principal]]-Table15781012[[#This Row],[Estimated Loss]]</f>
        <v>0</v>
      </c>
      <c r="N323" s="3">
        <f>IFERROR(VLOOKUP(Table15781012[[#This Row],[Period]],$L$16:$M$385,2,FALSE),0)</f>
        <v>0</v>
      </c>
      <c r="O323" s="3">
        <f>Table15781012[[#This Row],[Beginning Balance]]-Table15781012[[#This Row],[Principal]]-Table15781012[[#This Row],[Prepayments]]-Table15781012[[#This Row],[Defaulted Principal]]</f>
        <v>0</v>
      </c>
      <c r="P323" s="3">
        <f>Table15781012[[#This Row],[Principal]]+Table15781012[[#This Row],[Interest]]+Table15781012[[#This Row],[Prepayments]]+Table15781012[[#This Row],[RecoveredAmount]]</f>
        <v>0</v>
      </c>
      <c r="Q323" s="3">
        <f ca="1">ROUND(Table15781012[[#This Row],[Cash Flow]]/((1+ActualRateToUse)^(IF(ISNUMBER(SEARCH("Actual",$C$7)),Table15781012[[#This Row],[Running Total]]/365,Table15781012[[#This Row],[Period]]/12))),2)</f>
        <v>0</v>
      </c>
      <c r="R323" s="2">
        <f>IF(MONTH(Table15781012[[#This Row],[Date]])=2,28,DAY(DATE(YEAR(Table15781012[[#This Row],[Date]]),MONTH(Table15781012[[#This Row],[Date]])+1,1)-1))</f>
        <v>31</v>
      </c>
      <c r="S323" s="2">
        <f ca="1">SUM(OFFSET(Table15781012[[#Headers],[Days in month]],1,0):Table15781012[[#This Row],[Days in month]])</f>
        <v>9340</v>
      </c>
      <c r="T323" s="37">
        <f>InterestRate*AmortizationMultiplier*IF(ISNUMBER(SEARCH("Actual",$C$7)),Table15781012[[#This Row],[Days in month]]/365,1/12)</f>
        <v>6.0708333333333326E-3</v>
      </c>
    </row>
    <row r="324" spans="2:20" x14ac:dyDescent="0.2">
      <c r="B324" s="1">
        <f t="shared" si="14"/>
        <v>55212</v>
      </c>
      <c r="C324" s="2">
        <f t="shared" si="16"/>
        <v>308</v>
      </c>
      <c r="D324" s="3">
        <f t="shared" si="15"/>
        <v>0</v>
      </c>
      <c r="E324" s="3">
        <f>ROUND(Table15781012[[#This Row],[Beginning Balance]]*Table15781012[[#This Row],[Monthly Interest Rate]],2)</f>
        <v>0</v>
      </c>
      <c r="F324" s="3">
        <f t="shared" si="17"/>
        <v>44</v>
      </c>
      <c r="G324" s="23">
        <f>IFERROR(IF($C$13="No","N/A",IF(Table15781012[[#This Row],[Period]]=1,$C$6,PMT(InterestRate*AmortizationMultiplier/12,Table15781012[[#This Row],[Am Thru]],-Table15781012[[#This Row],[Beginning Balance]]))),0)</f>
        <v>0</v>
      </c>
      <c r="H324" s="3">
        <f>MAX(0,IF(C324=$C$4,D324,ROUND(IF($C$3="Fixed Principal",$C$6-Table15781012[[#This Row],[Interest]],IF($C$3="Interest Only",Table15781012[[#This Row],[Beginning Balance]]*ROUND(1-(1-IF($C$11="No",$E$8,1))^(1/12),6),MIN(IF($C$13="Yes",Table15781012[[#This Row],[Payment Amount (Reamortized)]],$C$6)-Table15781012[[#This Row],[Interest]],Table15781012[[#This Row],[Beginning Balance]]))),2)))</f>
        <v>0</v>
      </c>
      <c r="I324" s="3">
        <f>_xlfn.SINGLE(IF($C$3="Line of Credit",0,ROUND(MAX(MIN(IF($C$10="No",$E$7,VLOOKUP(Table15781012[[#This Row],[Period]],Forecast!$H$2:$L$1048576,4,FALSE))*Table15781012[[#This Row],[Beginning Balance]],Table15781012[[#This Row],[Beginning Balance]]-Table15781012[[#This Row],[Principal]]),0),2)))</f>
        <v>0</v>
      </c>
      <c r="J324" s="3">
        <f>ROUND(MIN(Table15781012[[#This Row],[Beginning Balance]]*IF($C$8="No",$E$3,VLOOKUP(Table15781012[[#This Row],[Period]],Forecast!$H$2:$L$1048576,2,FALSE)),Table15781012[[#This Row],[Beginning Balance]]-Table15781012[[#This Row],[Principal]]-Table15781012[[#This Row],[Prepayments]]),2)</f>
        <v>0</v>
      </c>
      <c r="K324" s="3">
        <f>ROUND(Table15781012[[#This Row],[Defaulted Principal]]*IF($C$9="No",$E$4,VLOOKUP(Table15781012[[#This Row],[Period]],Forecast!$H$2:$L$1048576,3,FALSE)),2)</f>
        <v>0</v>
      </c>
      <c r="L324" s="2">
        <f>Table15781012[[#This Row],[Period]]+$E$9</f>
        <v>320</v>
      </c>
      <c r="M324" s="3">
        <f>Table15781012[[#This Row],[Defaulted Principal]]-Table15781012[[#This Row],[Estimated Loss]]</f>
        <v>0</v>
      </c>
      <c r="N324" s="3">
        <f>IFERROR(VLOOKUP(Table15781012[[#This Row],[Period]],$L$16:$M$385,2,FALSE),0)</f>
        <v>0</v>
      </c>
      <c r="O324" s="3">
        <f>Table15781012[[#This Row],[Beginning Balance]]-Table15781012[[#This Row],[Principal]]-Table15781012[[#This Row],[Prepayments]]-Table15781012[[#This Row],[Defaulted Principal]]</f>
        <v>0</v>
      </c>
      <c r="P324" s="3">
        <f>Table15781012[[#This Row],[Principal]]+Table15781012[[#This Row],[Interest]]+Table15781012[[#This Row],[Prepayments]]+Table15781012[[#This Row],[RecoveredAmount]]</f>
        <v>0</v>
      </c>
      <c r="Q324" s="3">
        <f ca="1">ROUND(Table15781012[[#This Row],[Cash Flow]]/((1+ActualRateToUse)^(IF(ISNUMBER(SEARCH("Actual",$C$7)),Table15781012[[#This Row],[Running Total]]/365,Table15781012[[#This Row],[Period]]/12))),2)</f>
        <v>0</v>
      </c>
      <c r="R324" s="2">
        <f>IF(MONTH(Table15781012[[#This Row],[Date]])=2,28,DAY(DATE(YEAR(Table15781012[[#This Row],[Date]]),MONTH(Table15781012[[#This Row],[Date]])+1,1)-1))</f>
        <v>28</v>
      </c>
      <c r="S324" s="2">
        <f ca="1">SUM(OFFSET(Table15781012[[#Headers],[Days in month]],1,0):Table15781012[[#This Row],[Days in month]])</f>
        <v>9368</v>
      </c>
      <c r="T324" s="37">
        <f>InterestRate*AmortizationMultiplier*IF(ISNUMBER(SEARCH("Actual",$C$7)),Table15781012[[#This Row],[Days in month]]/365,1/12)</f>
        <v>5.4833333333333331E-3</v>
      </c>
    </row>
    <row r="325" spans="2:20" x14ac:dyDescent="0.2">
      <c r="B325" s="1">
        <f t="shared" si="14"/>
        <v>55243</v>
      </c>
      <c r="C325" s="2">
        <f t="shared" si="16"/>
        <v>309</v>
      </c>
      <c r="D325" s="3">
        <f t="shared" si="15"/>
        <v>0</v>
      </c>
      <c r="E325" s="3">
        <f>ROUND(Table15781012[[#This Row],[Beginning Balance]]*Table15781012[[#This Row],[Monthly Interest Rate]],2)</f>
        <v>0</v>
      </c>
      <c r="F325" s="3">
        <f t="shared" si="17"/>
        <v>43</v>
      </c>
      <c r="G325" s="23">
        <f>IFERROR(IF($C$13="No","N/A",IF(Table15781012[[#This Row],[Period]]=1,$C$6,PMT(InterestRate*AmortizationMultiplier/12,Table15781012[[#This Row],[Am Thru]],-Table15781012[[#This Row],[Beginning Balance]]))),0)</f>
        <v>0</v>
      </c>
      <c r="H325" s="3">
        <f>MAX(0,IF(C325=$C$4,D325,ROUND(IF($C$3="Fixed Principal",$C$6-Table15781012[[#This Row],[Interest]],IF($C$3="Interest Only",Table15781012[[#This Row],[Beginning Balance]]*ROUND(1-(1-IF($C$11="No",$E$8,1))^(1/12),6),MIN(IF($C$13="Yes",Table15781012[[#This Row],[Payment Amount (Reamortized)]],$C$6)-Table15781012[[#This Row],[Interest]],Table15781012[[#This Row],[Beginning Balance]]))),2)))</f>
        <v>0</v>
      </c>
      <c r="I325" s="3">
        <f>_xlfn.SINGLE(IF($C$3="Line of Credit",0,ROUND(MAX(MIN(IF($C$10="No",$E$7,VLOOKUP(Table15781012[[#This Row],[Period]],Forecast!$H$2:$L$1048576,4,FALSE))*Table15781012[[#This Row],[Beginning Balance]],Table15781012[[#This Row],[Beginning Balance]]-Table15781012[[#This Row],[Principal]]),0),2)))</f>
        <v>0</v>
      </c>
      <c r="J325" s="3">
        <f>ROUND(MIN(Table15781012[[#This Row],[Beginning Balance]]*IF($C$8="No",$E$3,VLOOKUP(Table15781012[[#This Row],[Period]],Forecast!$H$2:$L$1048576,2,FALSE)),Table15781012[[#This Row],[Beginning Balance]]-Table15781012[[#This Row],[Principal]]-Table15781012[[#This Row],[Prepayments]]),2)</f>
        <v>0</v>
      </c>
      <c r="K325" s="3">
        <f>ROUND(Table15781012[[#This Row],[Defaulted Principal]]*IF($C$9="No",$E$4,VLOOKUP(Table15781012[[#This Row],[Period]],Forecast!$H$2:$L$1048576,3,FALSE)),2)</f>
        <v>0</v>
      </c>
      <c r="L325" s="2">
        <f>Table15781012[[#This Row],[Period]]+$E$9</f>
        <v>321</v>
      </c>
      <c r="M325" s="3">
        <f>Table15781012[[#This Row],[Defaulted Principal]]-Table15781012[[#This Row],[Estimated Loss]]</f>
        <v>0</v>
      </c>
      <c r="N325" s="3">
        <f>IFERROR(VLOOKUP(Table15781012[[#This Row],[Period]],$L$16:$M$385,2,FALSE),0)</f>
        <v>0</v>
      </c>
      <c r="O325" s="3">
        <f>Table15781012[[#This Row],[Beginning Balance]]-Table15781012[[#This Row],[Principal]]-Table15781012[[#This Row],[Prepayments]]-Table15781012[[#This Row],[Defaulted Principal]]</f>
        <v>0</v>
      </c>
      <c r="P325" s="3">
        <f>Table15781012[[#This Row],[Principal]]+Table15781012[[#This Row],[Interest]]+Table15781012[[#This Row],[Prepayments]]+Table15781012[[#This Row],[RecoveredAmount]]</f>
        <v>0</v>
      </c>
      <c r="Q325" s="3">
        <f ca="1">ROUND(Table15781012[[#This Row],[Cash Flow]]/((1+ActualRateToUse)^(IF(ISNUMBER(SEARCH("Actual",$C$7)),Table15781012[[#This Row],[Running Total]]/365,Table15781012[[#This Row],[Period]]/12))),2)</f>
        <v>0</v>
      </c>
      <c r="R325" s="2">
        <f>IF(MONTH(Table15781012[[#This Row],[Date]])=2,28,DAY(DATE(YEAR(Table15781012[[#This Row],[Date]]),MONTH(Table15781012[[#This Row],[Date]])+1,1)-1))</f>
        <v>31</v>
      </c>
      <c r="S325" s="2">
        <f ca="1">SUM(OFFSET(Table15781012[[#Headers],[Days in month]],1,0):Table15781012[[#This Row],[Days in month]])</f>
        <v>9399</v>
      </c>
      <c r="T325" s="37">
        <f>InterestRate*AmortizationMultiplier*IF(ISNUMBER(SEARCH("Actual",$C$7)),Table15781012[[#This Row],[Days in month]]/365,1/12)</f>
        <v>6.0708333333333326E-3</v>
      </c>
    </row>
    <row r="326" spans="2:20" x14ac:dyDescent="0.2">
      <c r="B326" s="1">
        <f t="shared" si="14"/>
        <v>55273</v>
      </c>
      <c r="C326" s="2">
        <f t="shared" si="16"/>
        <v>310</v>
      </c>
      <c r="D326" s="3">
        <f t="shared" si="15"/>
        <v>0</v>
      </c>
      <c r="E326" s="3">
        <f>ROUND(Table15781012[[#This Row],[Beginning Balance]]*Table15781012[[#This Row],[Monthly Interest Rate]],2)</f>
        <v>0</v>
      </c>
      <c r="F326" s="3">
        <f t="shared" si="17"/>
        <v>42</v>
      </c>
      <c r="G326" s="23">
        <f>IFERROR(IF($C$13="No","N/A",IF(Table15781012[[#This Row],[Period]]=1,$C$6,PMT(InterestRate*AmortizationMultiplier/12,Table15781012[[#This Row],[Am Thru]],-Table15781012[[#This Row],[Beginning Balance]]))),0)</f>
        <v>0</v>
      </c>
      <c r="H326" s="3">
        <f>MAX(0,IF(C326=$C$4,D326,ROUND(IF($C$3="Fixed Principal",$C$6-Table15781012[[#This Row],[Interest]],IF($C$3="Interest Only",Table15781012[[#This Row],[Beginning Balance]]*ROUND(1-(1-IF($C$11="No",$E$8,1))^(1/12),6),MIN(IF($C$13="Yes",Table15781012[[#This Row],[Payment Amount (Reamortized)]],$C$6)-Table15781012[[#This Row],[Interest]],Table15781012[[#This Row],[Beginning Balance]]))),2)))</f>
        <v>0</v>
      </c>
      <c r="I326" s="3">
        <f>_xlfn.SINGLE(IF($C$3="Line of Credit",0,ROUND(MAX(MIN(IF($C$10="No",$E$7,VLOOKUP(Table15781012[[#This Row],[Period]],Forecast!$H$2:$L$1048576,4,FALSE))*Table15781012[[#This Row],[Beginning Balance]],Table15781012[[#This Row],[Beginning Balance]]-Table15781012[[#This Row],[Principal]]),0),2)))</f>
        <v>0</v>
      </c>
      <c r="J326" s="3">
        <f>ROUND(MIN(Table15781012[[#This Row],[Beginning Balance]]*IF($C$8="No",$E$3,VLOOKUP(Table15781012[[#This Row],[Period]],Forecast!$H$2:$L$1048576,2,FALSE)),Table15781012[[#This Row],[Beginning Balance]]-Table15781012[[#This Row],[Principal]]-Table15781012[[#This Row],[Prepayments]]),2)</f>
        <v>0</v>
      </c>
      <c r="K326" s="3">
        <f>ROUND(Table15781012[[#This Row],[Defaulted Principal]]*IF($C$9="No",$E$4,VLOOKUP(Table15781012[[#This Row],[Period]],Forecast!$H$2:$L$1048576,3,FALSE)),2)</f>
        <v>0</v>
      </c>
      <c r="L326" s="2">
        <f>Table15781012[[#This Row],[Period]]+$E$9</f>
        <v>322</v>
      </c>
      <c r="M326" s="3">
        <f>Table15781012[[#This Row],[Defaulted Principal]]-Table15781012[[#This Row],[Estimated Loss]]</f>
        <v>0</v>
      </c>
      <c r="N326" s="3">
        <f>IFERROR(VLOOKUP(Table15781012[[#This Row],[Period]],$L$16:$M$385,2,FALSE),0)</f>
        <v>0</v>
      </c>
      <c r="O326" s="3">
        <f>Table15781012[[#This Row],[Beginning Balance]]-Table15781012[[#This Row],[Principal]]-Table15781012[[#This Row],[Prepayments]]-Table15781012[[#This Row],[Defaulted Principal]]</f>
        <v>0</v>
      </c>
      <c r="P326" s="3">
        <f>Table15781012[[#This Row],[Principal]]+Table15781012[[#This Row],[Interest]]+Table15781012[[#This Row],[Prepayments]]+Table15781012[[#This Row],[RecoveredAmount]]</f>
        <v>0</v>
      </c>
      <c r="Q326" s="3">
        <f ca="1">ROUND(Table15781012[[#This Row],[Cash Flow]]/((1+ActualRateToUse)^(IF(ISNUMBER(SEARCH("Actual",$C$7)),Table15781012[[#This Row],[Running Total]]/365,Table15781012[[#This Row],[Period]]/12))),2)</f>
        <v>0</v>
      </c>
      <c r="R326" s="2">
        <f>IF(MONTH(Table15781012[[#This Row],[Date]])=2,28,DAY(DATE(YEAR(Table15781012[[#This Row],[Date]]),MONTH(Table15781012[[#This Row],[Date]])+1,1)-1))</f>
        <v>30</v>
      </c>
      <c r="S326" s="2">
        <f ca="1">SUM(OFFSET(Table15781012[[#Headers],[Days in month]],1,0):Table15781012[[#This Row],[Days in month]])</f>
        <v>9429</v>
      </c>
      <c r="T326" s="37">
        <f>InterestRate*AmortizationMultiplier*IF(ISNUMBER(SEARCH("Actual",$C$7)),Table15781012[[#This Row],[Days in month]]/365,1/12)</f>
        <v>5.8749999999999991E-3</v>
      </c>
    </row>
    <row r="327" spans="2:20" x14ac:dyDescent="0.2">
      <c r="B327" s="1">
        <f t="shared" si="14"/>
        <v>55304</v>
      </c>
      <c r="C327" s="2">
        <f t="shared" si="16"/>
        <v>311</v>
      </c>
      <c r="D327" s="3">
        <f t="shared" si="15"/>
        <v>0</v>
      </c>
      <c r="E327" s="3">
        <f>ROUND(Table15781012[[#This Row],[Beginning Balance]]*Table15781012[[#This Row],[Monthly Interest Rate]],2)</f>
        <v>0</v>
      </c>
      <c r="F327" s="3">
        <f t="shared" si="17"/>
        <v>41</v>
      </c>
      <c r="G327" s="23">
        <f>IFERROR(IF($C$13="No","N/A",IF(Table15781012[[#This Row],[Period]]=1,$C$6,PMT(InterestRate*AmortizationMultiplier/12,Table15781012[[#This Row],[Am Thru]],-Table15781012[[#This Row],[Beginning Balance]]))),0)</f>
        <v>0</v>
      </c>
      <c r="H327" s="3">
        <f>MAX(0,IF(C327=$C$4,D327,ROUND(IF($C$3="Fixed Principal",$C$6-Table15781012[[#This Row],[Interest]],IF($C$3="Interest Only",Table15781012[[#This Row],[Beginning Balance]]*ROUND(1-(1-IF($C$11="No",$E$8,1))^(1/12),6),MIN(IF($C$13="Yes",Table15781012[[#This Row],[Payment Amount (Reamortized)]],$C$6)-Table15781012[[#This Row],[Interest]],Table15781012[[#This Row],[Beginning Balance]]))),2)))</f>
        <v>0</v>
      </c>
      <c r="I327" s="3">
        <f>_xlfn.SINGLE(IF($C$3="Line of Credit",0,ROUND(MAX(MIN(IF($C$10="No",$E$7,VLOOKUP(Table15781012[[#This Row],[Period]],Forecast!$H$2:$L$1048576,4,FALSE))*Table15781012[[#This Row],[Beginning Balance]],Table15781012[[#This Row],[Beginning Balance]]-Table15781012[[#This Row],[Principal]]),0),2)))</f>
        <v>0</v>
      </c>
      <c r="J327" s="3">
        <f>ROUND(MIN(Table15781012[[#This Row],[Beginning Balance]]*IF($C$8="No",$E$3,VLOOKUP(Table15781012[[#This Row],[Period]],Forecast!$H$2:$L$1048576,2,FALSE)),Table15781012[[#This Row],[Beginning Balance]]-Table15781012[[#This Row],[Principal]]-Table15781012[[#This Row],[Prepayments]]),2)</f>
        <v>0</v>
      </c>
      <c r="K327" s="3">
        <f>ROUND(Table15781012[[#This Row],[Defaulted Principal]]*IF($C$9="No",$E$4,VLOOKUP(Table15781012[[#This Row],[Period]],Forecast!$H$2:$L$1048576,3,FALSE)),2)</f>
        <v>0</v>
      </c>
      <c r="L327" s="2">
        <f>Table15781012[[#This Row],[Period]]+$E$9</f>
        <v>323</v>
      </c>
      <c r="M327" s="3">
        <f>Table15781012[[#This Row],[Defaulted Principal]]-Table15781012[[#This Row],[Estimated Loss]]</f>
        <v>0</v>
      </c>
      <c r="N327" s="3">
        <f>IFERROR(VLOOKUP(Table15781012[[#This Row],[Period]],$L$16:$M$385,2,FALSE),0)</f>
        <v>0</v>
      </c>
      <c r="O327" s="3">
        <f>Table15781012[[#This Row],[Beginning Balance]]-Table15781012[[#This Row],[Principal]]-Table15781012[[#This Row],[Prepayments]]-Table15781012[[#This Row],[Defaulted Principal]]</f>
        <v>0</v>
      </c>
      <c r="P327" s="3">
        <f>Table15781012[[#This Row],[Principal]]+Table15781012[[#This Row],[Interest]]+Table15781012[[#This Row],[Prepayments]]+Table15781012[[#This Row],[RecoveredAmount]]</f>
        <v>0</v>
      </c>
      <c r="Q327" s="3">
        <f ca="1">ROUND(Table15781012[[#This Row],[Cash Flow]]/((1+ActualRateToUse)^(IF(ISNUMBER(SEARCH("Actual",$C$7)),Table15781012[[#This Row],[Running Total]]/365,Table15781012[[#This Row],[Period]]/12))),2)</f>
        <v>0</v>
      </c>
      <c r="R327" s="2">
        <f>IF(MONTH(Table15781012[[#This Row],[Date]])=2,28,DAY(DATE(YEAR(Table15781012[[#This Row],[Date]]),MONTH(Table15781012[[#This Row],[Date]])+1,1)-1))</f>
        <v>31</v>
      </c>
      <c r="S327" s="2">
        <f ca="1">SUM(OFFSET(Table15781012[[#Headers],[Days in month]],1,0):Table15781012[[#This Row],[Days in month]])</f>
        <v>9460</v>
      </c>
      <c r="T327" s="37">
        <f>InterestRate*AmortizationMultiplier*IF(ISNUMBER(SEARCH("Actual",$C$7)),Table15781012[[#This Row],[Days in month]]/365,1/12)</f>
        <v>6.0708333333333326E-3</v>
      </c>
    </row>
    <row r="328" spans="2:20" x14ac:dyDescent="0.2">
      <c r="B328" s="1">
        <f t="shared" si="14"/>
        <v>55334</v>
      </c>
      <c r="C328" s="2">
        <f t="shared" si="16"/>
        <v>312</v>
      </c>
      <c r="D328" s="3">
        <f t="shared" si="15"/>
        <v>0</v>
      </c>
      <c r="E328" s="3">
        <f>ROUND(Table15781012[[#This Row],[Beginning Balance]]*Table15781012[[#This Row],[Monthly Interest Rate]],2)</f>
        <v>0</v>
      </c>
      <c r="F328" s="3">
        <f t="shared" si="17"/>
        <v>40</v>
      </c>
      <c r="G328" s="23">
        <f>IFERROR(IF($C$13="No","N/A",IF(Table15781012[[#This Row],[Period]]=1,$C$6,PMT(InterestRate*AmortizationMultiplier/12,Table15781012[[#This Row],[Am Thru]],-Table15781012[[#This Row],[Beginning Balance]]))),0)</f>
        <v>0</v>
      </c>
      <c r="H328" s="3">
        <f>MAX(0,IF(C328=$C$4,D328,ROUND(IF($C$3="Fixed Principal",$C$6-Table15781012[[#This Row],[Interest]],IF($C$3="Interest Only",Table15781012[[#This Row],[Beginning Balance]]*ROUND(1-(1-IF($C$11="No",$E$8,1))^(1/12),6),MIN(IF($C$13="Yes",Table15781012[[#This Row],[Payment Amount (Reamortized)]],$C$6)-Table15781012[[#This Row],[Interest]],Table15781012[[#This Row],[Beginning Balance]]))),2)))</f>
        <v>0</v>
      </c>
      <c r="I328" s="3">
        <f>_xlfn.SINGLE(IF($C$3="Line of Credit",0,ROUND(MAX(MIN(IF($C$10="No",$E$7,VLOOKUP(Table15781012[[#This Row],[Period]],Forecast!$H$2:$L$1048576,4,FALSE))*Table15781012[[#This Row],[Beginning Balance]],Table15781012[[#This Row],[Beginning Balance]]-Table15781012[[#This Row],[Principal]]),0),2)))</f>
        <v>0</v>
      </c>
      <c r="J328" s="3">
        <f>ROUND(MIN(Table15781012[[#This Row],[Beginning Balance]]*IF($C$8="No",$E$3,VLOOKUP(Table15781012[[#This Row],[Period]],Forecast!$H$2:$L$1048576,2,FALSE)),Table15781012[[#This Row],[Beginning Balance]]-Table15781012[[#This Row],[Principal]]-Table15781012[[#This Row],[Prepayments]]),2)</f>
        <v>0</v>
      </c>
      <c r="K328" s="3">
        <f>ROUND(Table15781012[[#This Row],[Defaulted Principal]]*IF($C$9="No",$E$4,VLOOKUP(Table15781012[[#This Row],[Period]],Forecast!$H$2:$L$1048576,3,FALSE)),2)</f>
        <v>0</v>
      </c>
      <c r="L328" s="2">
        <f>Table15781012[[#This Row],[Period]]+$E$9</f>
        <v>324</v>
      </c>
      <c r="M328" s="3">
        <f>Table15781012[[#This Row],[Defaulted Principal]]-Table15781012[[#This Row],[Estimated Loss]]</f>
        <v>0</v>
      </c>
      <c r="N328" s="3">
        <f>IFERROR(VLOOKUP(Table15781012[[#This Row],[Period]],$L$16:$M$385,2,FALSE),0)</f>
        <v>0</v>
      </c>
      <c r="O328" s="3">
        <f>Table15781012[[#This Row],[Beginning Balance]]-Table15781012[[#This Row],[Principal]]-Table15781012[[#This Row],[Prepayments]]-Table15781012[[#This Row],[Defaulted Principal]]</f>
        <v>0</v>
      </c>
      <c r="P328" s="3">
        <f>Table15781012[[#This Row],[Principal]]+Table15781012[[#This Row],[Interest]]+Table15781012[[#This Row],[Prepayments]]+Table15781012[[#This Row],[RecoveredAmount]]</f>
        <v>0</v>
      </c>
      <c r="Q328" s="3">
        <f ca="1">ROUND(Table15781012[[#This Row],[Cash Flow]]/((1+ActualRateToUse)^(IF(ISNUMBER(SEARCH("Actual",$C$7)),Table15781012[[#This Row],[Running Total]]/365,Table15781012[[#This Row],[Period]]/12))),2)</f>
        <v>0</v>
      </c>
      <c r="R328" s="2">
        <f>IF(MONTH(Table15781012[[#This Row],[Date]])=2,28,DAY(DATE(YEAR(Table15781012[[#This Row],[Date]]),MONTH(Table15781012[[#This Row],[Date]])+1,1)-1))</f>
        <v>30</v>
      </c>
      <c r="S328" s="2">
        <f ca="1">SUM(OFFSET(Table15781012[[#Headers],[Days in month]],1,0):Table15781012[[#This Row],[Days in month]])</f>
        <v>9490</v>
      </c>
      <c r="T328" s="37">
        <f>InterestRate*AmortizationMultiplier*IF(ISNUMBER(SEARCH("Actual",$C$7)),Table15781012[[#This Row],[Days in month]]/365,1/12)</f>
        <v>5.8749999999999991E-3</v>
      </c>
    </row>
    <row r="329" spans="2:20" x14ac:dyDescent="0.2">
      <c r="B329" s="1">
        <f t="shared" si="14"/>
        <v>55365</v>
      </c>
      <c r="C329" s="2">
        <f t="shared" si="16"/>
        <v>313</v>
      </c>
      <c r="D329" s="3">
        <f t="shared" si="15"/>
        <v>0</v>
      </c>
      <c r="E329" s="3">
        <f>ROUND(Table15781012[[#This Row],[Beginning Balance]]*Table15781012[[#This Row],[Monthly Interest Rate]],2)</f>
        <v>0</v>
      </c>
      <c r="F329" s="3">
        <f t="shared" si="17"/>
        <v>39</v>
      </c>
      <c r="G329" s="23">
        <f>IFERROR(IF($C$13="No","N/A",IF(Table15781012[[#This Row],[Period]]=1,$C$6,PMT(InterestRate*AmortizationMultiplier/12,Table15781012[[#This Row],[Am Thru]],-Table15781012[[#This Row],[Beginning Balance]]))),0)</f>
        <v>0</v>
      </c>
      <c r="H329" s="3">
        <f>MAX(0,IF(C329=$C$4,D329,ROUND(IF($C$3="Fixed Principal",$C$6-Table15781012[[#This Row],[Interest]],IF($C$3="Interest Only",Table15781012[[#This Row],[Beginning Balance]]*ROUND(1-(1-IF($C$11="No",$E$8,1))^(1/12),6),MIN(IF($C$13="Yes",Table15781012[[#This Row],[Payment Amount (Reamortized)]],$C$6)-Table15781012[[#This Row],[Interest]],Table15781012[[#This Row],[Beginning Balance]]))),2)))</f>
        <v>0</v>
      </c>
      <c r="I329" s="3">
        <f>_xlfn.SINGLE(IF($C$3="Line of Credit",0,ROUND(MAX(MIN(IF($C$10="No",$E$7,VLOOKUP(Table15781012[[#This Row],[Period]],Forecast!$H$2:$L$1048576,4,FALSE))*Table15781012[[#This Row],[Beginning Balance]],Table15781012[[#This Row],[Beginning Balance]]-Table15781012[[#This Row],[Principal]]),0),2)))</f>
        <v>0</v>
      </c>
      <c r="J329" s="3">
        <f>ROUND(MIN(Table15781012[[#This Row],[Beginning Balance]]*IF($C$8="No",$E$3,VLOOKUP(Table15781012[[#This Row],[Period]],Forecast!$H$2:$L$1048576,2,FALSE)),Table15781012[[#This Row],[Beginning Balance]]-Table15781012[[#This Row],[Principal]]-Table15781012[[#This Row],[Prepayments]]),2)</f>
        <v>0</v>
      </c>
      <c r="K329" s="3">
        <f>ROUND(Table15781012[[#This Row],[Defaulted Principal]]*IF($C$9="No",$E$4,VLOOKUP(Table15781012[[#This Row],[Period]],Forecast!$H$2:$L$1048576,3,FALSE)),2)</f>
        <v>0</v>
      </c>
      <c r="L329" s="2">
        <f>Table15781012[[#This Row],[Period]]+$E$9</f>
        <v>325</v>
      </c>
      <c r="M329" s="3">
        <f>Table15781012[[#This Row],[Defaulted Principal]]-Table15781012[[#This Row],[Estimated Loss]]</f>
        <v>0</v>
      </c>
      <c r="N329" s="3">
        <f>IFERROR(VLOOKUP(Table15781012[[#This Row],[Period]],$L$16:$M$385,2,FALSE),0)</f>
        <v>0</v>
      </c>
      <c r="O329" s="3">
        <f>Table15781012[[#This Row],[Beginning Balance]]-Table15781012[[#This Row],[Principal]]-Table15781012[[#This Row],[Prepayments]]-Table15781012[[#This Row],[Defaulted Principal]]</f>
        <v>0</v>
      </c>
      <c r="P329" s="3">
        <f>Table15781012[[#This Row],[Principal]]+Table15781012[[#This Row],[Interest]]+Table15781012[[#This Row],[Prepayments]]+Table15781012[[#This Row],[RecoveredAmount]]</f>
        <v>0</v>
      </c>
      <c r="Q329" s="3">
        <f ca="1">ROUND(Table15781012[[#This Row],[Cash Flow]]/((1+ActualRateToUse)^(IF(ISNUMBER(SEARCH("Actual",$C$7)),Table15781012[[#This Row],[Running Total]]/365,Table15781012[[#This Row],[Period]]/12))),2)</f>
        <v>0</v>
      </c>
      <c r="R329" s="2">
        <f>IF(MONTH(Table15781012[[#This Row],[Date]])=2,28,DAY(DATE(YEAR(Table15781012[[#This Row],[Date]]),MONTH(Table15781012[[#This Row],[Date]])+1,1)-1))</f>
        <v>31</v>
      </c>
      <c r="S329" s="2">
        <f ca="1">SUM(OFFSET(Table15781012[[#Headers],[Days in month]],1,0):Table15781012[[#This Row],[Days in month]])</f>
        <v>9521</v>
      </c>
      <c r="T329" s="37">
        <f>InterestRate*AmortizationMultiplier*IF(ISNUMBER(SEARCH("Actual",$C$7)),Table15781012[[#This Row],[Days in month]]/365,1/12)</f>
        <v>6.0708333333333326E-3</v>
      </c>
    </row>
    <row r="330" spans="2:20" x14ac:dyDescent="0.2">
      <c r="B330" s="1">
        <f t="shared" si="14"/>
        <v>55396</v>
      </c>
      <c r="C330" s="2">
        <f t="shared" si="16"/>
        <v>314</v>
      </c>
      <c r="D330" s="3">
        <f t="shared" si="15"/>
        <v>0</v>
      </c>
      <c r="E330" s="3">
        <f>ROUND(Table15781012[[#This Row],[Beginning Balance]]*Table15781012[[#This Row],[Monthly Interest Rate]],2)</f>
        <v>0</v>
      </c>
      <c r="F330" s="3">
        <f t="shared" si="17"/>
        <v>38</v>
      </c>
      <c r="G330" s="23">
        <f>IFERROR(IF($C$13="No","N/A",IF(Table15781012[[#This Row],[Period]]=1,$C$6,PMT(InterestRate*AmortizationMultiplier/12,Table15781012[[#This Row],[Am Thru]],-Table15781012[[#This Row],[Beginning Balance]]))),0)</f>
        <v>0</v>
      </c>
      <c r="H330" s="3">
        <f>MAX(0,IF(C330=$C$4,D330,ROUND(IF($C$3="Fixed Principal",$C$6-Table15781012[[#This Row],[Interest]],IF($C$3="Interest Only",Table15781012[[#This Row],[Beginning Balance]]*ROUND(1-(1-IF($C$11="No",$E$8,1))^(1/12),6),MIN(IF($C$13="Yes",Table15781012[[#This Row],[Payment Amount (Reamortized)]],$C$6)-Table15781012[[#This Row],[Interest]],Table15781012[[#This Row],[Beginning Balance]]))),2)))</f>
        <v>0</v>
      </c>
      <c r="I330" s="3">
        <f>_xlfn.SINGLE(IF($C$3="Line of Credit",0,ROUND(MAX(MIN(IF($C$10="No",$E$7,VLOOKUP(Table15781012[[#This Row],[Period]],Forecast!$H$2:$L$1048576,4,FALSE))*Table15781012[[#This Row],[Beginning Balance]],Table15781012[[#This Row],[Beginning Balance]]-Table15781012[[#This Row],[Principal]]),0),2)))</f>
        <v>0</v>
      </c>
      <c r="J330" s="3">
        <f>ROUND(MIN(Table15781012[[#This Row],[Beginning Balance]]*IF($C$8="No",$E$3,VLOOKUP(Table15781012[[#This Row],[Period]],Forecast!$H$2:$L$1048576,2,FALSE)),Table15781012[[#This Row],[Beginning Balance]]-Table15781012[[#This Row],[Principal]]-Table15781012[[#This Row],[Prepayments]]),2)</f>
        <v>0</v>
      </c>
      <c r="K330" s="3">
        <f>ROUND(Table15781012[[#This Row],[Defaulted Principal]]*IF($C$9="No",$E$4,VLOOKUP(Table15781012[[#This Row],[Period]],Forecast!$H$2:$L$1048576,3,FALSE)),2)</f>
        <v>0</v>
      </c>
      <c r="L330" s="2">
        <f>Table15781012[[#This Row],[Period]]+$E$9</f>
        <v>326</v>
      </c>
      <c r="M330" s="3">
        <f>Table15781012[[#This Row],[Defaulted Principal]]-Table15781012[[#This Row],[Estimated Loss]]</f>
        <v>0</v>
      </c>
      <c r="N330" s="3">
        <f>IFERROR(VLOOKUP(Table15781012[[#This Row],[Period]],$L$16:$M$385,2,FALSE),0)</f>
        <v>0</v>
      </c>
      <c r="O330" s="3">
        <f>Table15781012[[#This Row],[Beginning Balance]]-Table15781012[[#This Row],[Principal]]-Table15781012[[#This Row],[Prepayments]]-Table15781012[[#This Row],[Defaulted Principal]]</f>
        <v>0</v>
      </c>
      <c r="P330" s="3">
        <f>Table15781012[[#This Row],[Principal]]+Table15781012[[#This Row],[Interest]]+Table15781012[[#This Row],[Prepayments]]+Table15781012[[#This Row],[RecoveredAmount]]</f>
        <v>0</v>
      </c>
      <c r="Q330" s="3">
        <f ca="1">ROUND(Table15781012[[#This Row],[Cash Flow]]/((1+ActualRateToUse)^(IF(ISNUMBER(SEARCH("Actual",$C$7)),Table15781012[[#This Row],[Running Total]]/365,Table15781012[[#This Row],[Period]]/12))),2)</f>
        <v>0</v>
      </c>
      <c r="R330" s="2">
        <f>IF(MONTH(Table15781012[[#This Row],[Date]])=2,28,DAY(DATE(YEAR(Table15781012[[#This Row],[Date]]),MONTH(Table15781012[[#This Row],[Date]])+1,1)-1))</f>
        <v>31</v>
      </c>
      <c r="S330" s="2">
        <f ca="1">SUM(OFFSET(Table15781012[[#Headers],[Days in month]],1,0):Table15781012[[#This Row],[Days in month]])</f>
        <v>9552</v>
      </c>
      <c r="T330" s="37">
        <f>InterestRate*AmortizationMultiplier*IF(ISNUMBER(SEARCH("Actual",$C$7)),Table15781012[[#This Row],[Days in month]]/365,1/12)</f>
        <v>6.0708333333333326E-3</v>
      </c>
    </row>
    <row r="331" spans="2:20" x14ac:dyDescent="0.2">
      <c r="B331" s="1">
        <f t="shared" ref="B331:B385" si="18">EOMONTH(B330,1)</f>
        <v>55426</v>
      </c>
      <c r="C331" s="2">
        <f t="shared" si="16"/>
        <v>315</v>
      </c>
      <c r="D331" s="3">
        <f t="shared" si="15"/>
        <v>0</v>
      </c>
      <c r="E331" s="3">
        <f>ROUND(Table15781012[[#This Row],[Beginning Balance]]*Table15781012[[#This Row],[Monthly Interest Rate]],2)</f>
        <v>0</v>
      </c>
      <c r="F331" s="3">
        <f t="shared" si="17"/>
        <v>37</v>
      </c>
      <c r="G331" s="23">
        <f>IFERROR(IF($C$13="No","N/A",IF(Table15781012[[#This Row],[Period]]=1,$C$6,PMT(InterestRate*AmortizationMultiplier/12,Table15781012[[#This Row],[Am Thru]],-Table15781012[[#This Row],[Beginning Balance]]))),0)</f>
        <v>0</v>
      </c>
      <c r="H331" s="3">
        <f>MAX(0,IF(C331=$C$4,D331,ROUND(IF($C$3="Fixed Principal",$C$6-Table15781012[[#This Row],[Interest]],IF($C$3="Interest Only",Table15781012[[#This Row],[Beginning Balance]]*ROUND(1-(1-IF($C$11="No",$E$8,1))^(1/12),6),MIN(IF($C$13="Yes",Table15781012[[#This Row],[Payment Amount (Reamortized)]],$C$6)-Table15781012[[#This Row],[Interest]],Table15781012[[#This Row],[Beginning Balance]]))),2)))</f>
        <v>0</v>
      </c>
      <c r="I331" s="3">
        <f>_xlfn.SINGLE(IF($C$3="Line of Credit",0,ROUND(MAX(MIN(IF($C$10="No",$E$7,VLOOKUP(Table15781012[[#This Row],[Period]],Forecast!$H$2:$L$1048576,4,FALSE))*Table15781012[[#This Row],[Beginning Balance]],Table15781012[[#This Row],[Beginning Balance]]-Table15781012[[#This Row],[Principal]]),0),2)))</f>
        <v>0</v>
      </c>
      <c r="J331" s="3">
        <f>ROUND(MIN(Table15781012[[#This Row],[Beginning Balance]]*IF($C$8="No",$E$3,VLOOKUP(Table15781012[[#This Row],[Period]],Forecast!$H$2:$L$1048576,2,FALSE)),Table15781012[[#This Row],[Beginning Balance]]-Table15781012[[#This Row],[Principal]]-Table15781012[[#This Row],[Prepayments]]),2)</f>
        <v>0</v>
      </c>
      <c r="K331" s="3">
        <f>ROUND(Table15781012[[#This Row],[Defaulted Principal]]*IF($C$9="No",$E$4,VLOOKUP(Table15781012[[#This Row],[Period]],Forecast!$H$2:$L$1048576,3,FALSE)),2)</f>
        <v>0</v>
      </c>
      <c r="L331" s="2">
        <f>Table15781012[[#This Row],[Period]]+$E$9</f>
        <v>327</v>
      </c>
      <c r="M331" s="3">
        <f>Table15781012[[#This Row],[Defaulted Principal]]-Table15781012[[#This Row],[Estimated Loss]]</f>
        <v>0</v>
      </c>
      <c r="N331" s="3">
        <f>IFERROR(VLOOKUP(Table15781012[[#This Row],[Period]],$L$16:$M$385,2,FALSE),0)</f>
        <v>0</v>
      </c>
      <c r="O331" s="3">
        <f>Table15781012[[#This Row],[Beginning Balance]]-Table15781012[[#This Row],[Principal]]-Table15781012[[#This Row],[Prepayments]]-Table15781012[[#This Row],[Defaulted Principal]]</f>
        <v>0</v>
      </c>
      <c r="P331" s="3">
        <f>Table15781012[[#This Row],[Principal]]+Table15781012[[#This Row],[Interest]]+Table15781012[[#This Row],[Prepayments]]+Table15781012[[#This Row],[RecoveredAmount]]</f>
        <v>0</v>
      </c>
      <c r="Q331" s="3">
        <f ca="1">ROUND(Table15781012[[#This Row],[Cash Flow]]/((1+ActualRateToUse)^(IF(ISNUMBER(SEARCH("Actual",$C$7)),Table15781012[[#This Row],[Running Total]]/365,Table15781012[[#This Row],[Period]]/12))),2)</f>
        <v>0</v>
      </c>
      <c r="R331" s="2">
        <f>IF(MONTH(Table15781012[[#This Row],[Date]])=2,28,DAY(DATE(YEAR(Table15781012[[#This Row],[Date]]),MONTH(Table15781012[[#This Row],[Date]])+1,1)-1))</f>
        <v>30</v>
      </c>
      <c r="S331" s="2">
        <f ca="1">SUM(OFFSET(Table15781012[[#Headers],[Days in month]],1,0):Table15781012[[#This Row],[Days in month]])</f>
        <v>9582</v>
      </c>
      <c r="T331" s="37">
        <f>InterestRate*AmortizationMultiplier*IF(ISNUMBER(SEARCH("Actual",$C$7)),Table15781012[[#This Row],[Days in month]]/365,1/12)</f>
        <v>5.8749999999999991E-3</v>
      </c>
    </row>
    <row r="332" spans="2:20" x14ac:dyDescent="0.2">
      <c r="B332" s="1">
        <f t="shared" si="18"/>
        <v>55457</v>
      </c>
      <c r="C332" s="2">
        <f t="shared" si="16"/>
        <v>316</v>
      </c>
      <c r="D332" s="3">
        <f t="shared" si="15"/>
        <v>0</v>
      </c>
      <c r="E332" s="3">
        <f>ROUND(Table15781012[[#This Row],[Beginning Balance]]*Table15781012[[#This Row],[Monthly Interest Rate]],2)</f>
        <v>0</v>
      </c>
      <c r="F332" s="3">
        <f t="shared" si="17"/>
        <v>36</v>
      </c>
      <c r="G332" s="23">
        <f>IFERROR(IF($C$13="No","N/A",IF(Table15781012[[#This Row],[Period]]=1,$C$6,PMT(InterestRate*AmortizationMultiplier/12,Table15781012[[#This Row],[Am Thru]],-Table15781012[[#This Row],[Beginning Balance]]))),0)</f>
        <v>0</v>
      </c>
      <c r="H332" s="3">
        <f>MAX(0,IF(C332=$C$4,D332,ROUND(IF($C$3="Fixed Principal",$C$6-Table15781012[[#This Row],[Interest]],IF($C$3="Interest Only",Table15781012[[#This Row],[Beginning Balance]]*ROUND(1-(1-IF($C$11="No",$E$8,1))^(1/12),6),MIN(IF($C$13="Yes",Table15781012[[#This Row],[Payment Amount (Reamortized)]],$C$6)-Table15781012[[#This Row],[Interest]],Table15781012[[#This Row],[Beginning Balance]]))),2)))</f>
        <v>0</v>
      </c>
      <c r="I332" s="3">
        <f>_xlfn.SINGLE(IF($C$3="Line of Credit",0,ROUND(MAX(MIN(IF($C$10="No",$E$7,VLOOKUP(Table15781012[[#This Row],[Period]],Forecast!$H$2:$L$1048576,4,FALSE))*Table15781012[[#This Row],[Beginning Balance]],Table15781012[[#This Row],[Beginning Balance]]-Table15781012[[#This Row],[Principal]]),0),2)))</f>
        <v>0</v>
      </c>
      <c r="J332" s="3">
        <f>ROUND(MIN(Table15781012[[#This Row],[Beginning Balance]]*IF($C$8="No",$E$3,VLOOKUP(Table15781012[[#This Row],[Period]],Forecast!$H$2:$L$1048576,2,FALSE)),Table15781012[[#This Row],[Beginning Balance]]-Table15781012[[#This Row],[Principal]]-Table15781012[[#This Row],[Prepayments]]),2)</f>
        <v>0</v>
      </c>
      <c r="K332" s="3">
        <f>ROUND(Table15781012[[#This Row],[Defaulted Principal]]*IF($C$9="No",$E$4,VLOOKUP(Table15781012[[#This Row],[Period]],Forecast!$H$2:$L$1048576,3,FALSE)),2)</f>
        <v>0</v>
      </c>
      <c r="L332" s="2">
        <f>Table15781012[[#This Row],[Period]]+$E$9</f>
        <v>328</v>
      </c>
      <c r="M332" s="3">
        <f>Table15781012[[#This Row],[Defaulted Principal]]-Table15781012[[#This Row],[Estimated Loss]]</f>
        <v>0</v>
      </c>
      <c r="N332" s="3">
        <f>IFERROR(VLOOKUP(Table15781012[[#This Row],[Period]],$L$16:$M$385,2,FALSE),0)</f>
        <v>0</v>
      </c>
      <c r="O332" s="3">
        <f>Table15781012[[#This Row],[Beginning Balance]]-Table15781012[[#This Row],[Principal]]-Table15781012[[#This Row],[Prepayments]]-Table15781012[[#This Row],[Defaulted Principal]]</f>
        <v>0</v>
      </c>
      <c r="P332" s="3">
        <f>Table15781012[[#This Row],[Principal]]+Table15781012[[#This Row],[Interest]]+Table15781012[[#This Row],[Prepayments]]+Table15781012[[#This Row],[RecoveredAmount]]</f>
        <v>0</v>
      </c>
      <c r="Q332" s="3">
        <f ca="1">ROUND(Table15781012[[#This Row],[Cash Flow]]/((1+ActualRateToUse)^(IF(ISNUMBER(SEARCH("Actual",$C$7)),Table15781012[[#This Row],[Running Total]]/365,Table15781012[[#This Row],[Period]]/12))),2)</f>
        <v>0</v>
      </c>
      <c r="R332" s="2">
        <f>IF(MONTH(Table15781012[[#This Row],[Date]])=2,28,DAY(DATE(YEAR(Table15781012[[#This Row],[Date]]),MONTH(Table15781012[[#This Row],[Date]])+1,1)-1))</f>
        <v>31</v>
      </c>
      <c r="S332" s="2">
        <f ca="1">SUM(OFFSET(Table15781012[[#Headers],[Days in month]],1,0):Table15781012[[#This Row],[Days in month]])</f>
        <v>9613</v>
      </c>
      <c r="T332" s="37">
        <f>InterestRate*AmortizationMultiplier*IF(ISNUMBER(SEARCH("Actual",$C$7)),Table15781012[[#This Row],[Days in month]]/365,1/12)</f>
        <v>6.0708333333333326E-3</v>
      </c>
    </row>
    <row r="333" spans="2:20" x14ac:dyDescent="0.2">
      <c r="B333" s="1">
        <f t="shared" si="18"/>
        <v>55487</v>
      </c>
      <c r="C333" s="2">
        <f t="shared" si="16"/>
        <v>317</v>
      </c>
      <c r="D333" s="3">
        <f t="shared" si="15"/>
        <v>0</v>
      </c>
      <c r="E333" s="3">
        <f>ROUND(Table15781012[[#This Row],[Beginning Balance]]*Table15781012[[#This Row],[Monthly Interest Rate]],2)</f>
        <v>0</v>
      </c>
      <c r="F333" s="3">
        <f t="shared" si="17"/>
        <v>35</v>
      </c>
      <c r="G333" s="23">
        <f>IFERROR(IF($C$13="No","N/A",IF(Table15781012[[#This Row],[Period]]=1,$C$6,PMT(InterestRate*AmortizationMultiplier/12,Table15781012[[#This Row],[Am Thru]],-Table15781012[[#This Row],[Beginning Balance]]))),0)</f>
        <v>0</v>
      </c>
      <c r="H333" s="3">
        <f>MAX(0,IF(C333=$C$4,D333,ROUND(IF($C$3="Fixed Principal",$C$6-Table15781012[[#This Row],[Interest]],IF($C$3="Interest Only",Table15781012[[#This Row],[Beginning Balance]]*ROUND(1-(1-IF($C$11="No",$E$8,1))^(1/12),6),MIN(IF($C$13="Yes",Table15781012[[#This Row],[Payment Amount (Reamortized)]],$C$6)-Table15781012[[#This Row],[Interest]],Table15781012[[#This Row],[Beginning Balance]]))),2)))</f>
        <v>0</v>
      </c>
      <c r="I333" s="3">
        <f>_xlfn.SINGLE(IF($C$3="Line of Credit",0,ROUND(MAX(MIN(IF($C$10="No",$E$7,VLOOKUP(Table15781012[[#This Row],[Period]],Forecast!$H$2:$L$1048576,4,FALSE))*Table15781012[[#This Row],[Beginning Balance]],Table15781012[[#This Row],[Beginning Balance]]-Table15781012[[#This Row],[Principal]]),0),2)))</f>
        <v>0</v>
      </c>
      <c r="J333" s="3">
        <f>ROUND(MIN(Table15781012[[#This Row],[Beginning Balance]]*IF($C$8="No",$E$3,VLOOKUP(Table15781012[[#This Row],[Period]],Forecast!$H$2:$L$1048576,2,FALSE)),Table15781012[[#This Row],[Beginning Balance]]-Table15781012[[#This Row],[Principal]]-Table15781012[[#This Row],[Prepayments]]),2)</f>
        <v>0</v>
      </c>
      <c r="K333" s="3">
        <f>ROUND(Table15781012[[#This Row],[Defaulted Principal]]*IF($C$9="No",$E$4,VLOOKUP(Table15781012[[#This Row],[Period]],Forecast!$H$2:$L$1048576,3,FALSE)),2)</f>
        <v>0</v>
      </c>
      <c r="L333" s="2">
        <f>Table15781012[[#This Row],[Period]]+$E$9</f>
        <v>329</v>
      </c>
      <c r="M333" s="3">
        <f>Table15781012[[#This Row],[Defaulted Principal]]-Table15781012[[#This Row],[Estimated Loss]]</f>
        <v>0</v>
      </c>
      <c r="N333" s="3">
        <f>IFERROR(VLOOKUP(Table15781012[[#This Row],[Period]],$L$16:$M$385,2,FALSE),0)</f>
        <v>0</v>
      </c>
      <c r="O333" s="3">
        <f>Table15781012[[#This Row],[Beginning Balance]]-Table15781012[[#This Row],[Principal]]-Table15781012[[#This Row],[Prepayments]]-Table15781012[[#This Row],[Defaulted Principal]]</f>
        <v>0</v>
      </c>
      <c r="P333" s="3">
        <f>Table15781012[[#This Row],[Principal]]+Table15781012[[#This Row],[Interest]]+Table15781012[[#This Row],[Prepayments]]+Table15781012[[#This Row],[RecoveredAmount]]</f>
        <v>0</v>
      </c>
      <c r="Q333" s="3">
        <f ca="1">ROUND(Table15781012[[#This Row],[Cash Flow]]/((1+ActualRateToUse)^(IF(ISNUMBER(SEARCH("Actual",$C$7)),Table15781012[[#This Row],[Running Total]]/365,Table15781012[[#This Row],[Period]]/12))),2)</f>
        <v>0</v>
      </c>
      <c r="R333" s="2">
        <f>IF(MONTH(Table15781012[[#This Row],[Date]])=2,28,DAY(DATE(YEAR(Table15781012[[#This Row],[Date]]),MONTH(Table15781012[[#This Row],[Date]])+1,1)-1))</f>
        <v>30</v>
      </c>
      <c r="S333" s="2">
        <f ca="1">SUM(OFFSET(Table15781012[[#Headers],[Days in month]],1,0):Table15781012[[#This Row],[Days in month]])</f>
        <v>9643</v>
      </c>
      <c r="T333" s="37">
        <f>InterestRate*AmortizationMultiplier*IF(ISNUMBER(SEARCH("Actual",$C$7)),Table15781012[[#This Row],[Days in month]]/365,1/12)</f>
        <v>5.8749999999999991E-3</v>
      </c>
    </row>
    <row r="334" spans="2:20" x14ac:dyDescent="0.2">
      <c r="B334" s="1">
        <f t="shared" si="18"/>
        <v>55518</v>
      </c>
      <c r="C334" s="2">
        <f t="shared" si="16"/>
        <v>318</v>
      </c>
      <c r="D334" s="3">
        <f t="shared" si="15"/>
        <v>0</v>
      </c>
      <c r="E334" s="3">
        <f>ROUND(Table15781012[[#This Row],[Beginning Balance]]*Table15781012[[#This Row],[Monthly Interest Rate]],2)</f>
        <v>0</v>
      </c>
      <c r="F334" s="3">
        <f t="shared" si="17"/>
        <v>34</v>
      </c>
      <c r="G334" s="23">
        <f>IFERROR(IF($C$13="No","N/A",IF(Table15781012[[#This Row],[Period]]=1,$C$6,PMT(InterestRate*AmortizationMultiplier/12,Table15781012[[#This Row],[Am Thru]],-Table15781012[[#This Row],[Beginning Balance]]))),0)</f>
        <v>0</v>
      </c>
      <c r="H334" s="3">
        <f>MAX(0,IF(C334=$C$4,D334,ROUND(IF($C$3="Fixed Principal",$C$6-Table15781012[[#This Row],[Interest]],IF($C$3="Interest Only",Table15781012[[#This Row],[Beginning Balance]]*ROUND(1-(1-IF($C$11="No",$E$8,1))^(1/12),6),MIN(IF($C$13="Yes",Table15781012[[#This Row],[Payment Amount (Reamortized)]],$C$6)-Table15781012[[#This Row],[Interest]],Table15781012[[#This Row],[Beginning Balance]]))),2)))</f>
        <v>0</v>
      </c>
      <c r="I334" s="3">
        <f>_xlfn.SINGLE(IF($C$3="Line of Credit",0,ROUND(MAX(MIN(IF($C$10="No",$E$7,VLOOKUP(Table15781012[[#This Row],[Period]],Forecast!$H$2:$L$1048576,4,FALSE))*Table15781012[[#This Row],[Beginning Balance]],Table15781012[[#This Row],[Beginning Balance]]-Table15781012[[#This Row],[Principal]]),0),2)))</f>
        <v>0</v>
      </c>
      <c r="J334" s="3">
        <f>ROUND(MIN(Table15781012[[#This Row],[Beginning Balance]]*IF($C$8="No",$E$3,VLOOKUP(Table15781012[[#This Row],[Period]],Forecast!$H$2:$L$1048576,2,FALSE)),Table15781012[[#This Row],[Beginning Balance]]-Table15781012[[#This Row],[Principal]]-Table15781012[[#This Row],[Prepayments]]),2)</f>
        <v>0</v>
      </c>
      <c r="K334" s="3">
        <f>ROUND(Table15781012[[#This Row],[Defaulted Principal]]*IF($C$9="No",$E$4,VLOOKUP(Table15781012[[#This Row],[Period]],Forecast!$H$2:$L$1048576,3,FALSE)),2)</f>
        <v>0</v>
      </c>
      <c r="L334" s="2">
        <f>Table15781012[[#This Row],[Period]]+$E$9</f>
        <v>330</v>
      </c>
      <c r="M334" s="3">
        <f>Table15781012[[#This Row],[Defaulted Principal]]-Table15781012[[#This Row],[Estimated Loss]]</f>
        <v>0</v>
      </c>
      <c r="N334" s="3">
        <f>IFERROR(VLOOKUP(Table15781012[[#This Row],[Period]],$L$16:$M$385,2,FALSE),0)</f>
        <v>0</v>
      </c>
      <c r="O334" s="3">
        <f>Table15781012[[#This Row],[Beginning Balance]]-Table15781012[[#This Row],[Principal]]-Table15781012[[#This Row],[Prepayments]]-Table15781012[[#This Row],[Defaulted Principal]]</f>
        <v>0</v>
      </c>
      <c r="P334" s="3">
        <f>Table15781012[[#This Row],[Principal]]+Table15781012[[#This Row],[Interest]]+Table15781012[[#This Row],[Prepayments]]+Table15781012[[#This Row],[RecoveredAmount]]</f>
        <v>0</v>
      </c>
      <c r="Q334" s="3">
        <f ca="1">ROUND(Table15781012[[#This Row],[Cash Flow]]/((1+ActualRateToUse)^(IF(ISNUMBER(SEARCH("Actual",$C$7)),Table15781012[[#This Row],[Running Total]]/365,Table15781012[[#This Row],[Period]]/12))),2)</f>
        <v>0</v>
      </c>
      <c r="R334" s="2">
        <f>IF(MONTH(Table15781012[[#This Row],[Date]])=2,28,DAY(DATE(YEAR(Table15781012[[#This Row],[Date]]),MONTH(Table15781012[[#This Row],[Date]])+1,1)-1))</f>
        <v>31</v>
      </c>
      <c r="S334" s="2">
        <f ca="1">SUM(OFFSET(Table15781012[[#Headers],[Days in month]],1,0):Table15781012[[#This Row],[Days in month]])</f>
        <v>9674</v>
      </c>
      <c r="T334" s="37">
        <f>InterestRate*AmortizationMultiplier*IF(ISNUMBER(SEARCH("Actual",$C$7)),Table15781012[[#This Row],[Days in month]]/365,1/12)</f>
        <v>6.0708333333333326E-3</v>
      </c>
    </row>
    <row r="335" spans="2:20" x14ac:dyDescent="0.2">
      <c r="B335" s="1">
        <f t="shared" si="18"/>
        <v>55549</v>
      </c>
      <c r="C335" s="2">
        <f t="shared" si="16"/>
        <v>319</v>
      </c>
      <c r="D335" s="3">
        <f t="shared" si="15"/>
        <v>0</v>
      </c>
      <c r="E335" s="3">
        <f>ROUND(Table15781012[[#This Row],[Beginning Balance]]*Table15781012[[#This Row],[Monthly Interest Rate]],2)</f>
        <v>0</v>
      </c>
      <c r="F335" s="3">
        <f t="shared" si="17"/>
        <v>33</v>
      </c>
      <c r="G335" s="23">
        <f>IFERROR(IF($C$13="No","N/A",IF(Table15781012[[#This Row],[Period]]=1,$C$6,PMT(InterestRate*AmortizationMultiplier/12,Table15781012[[#This Row],[Am Thru]],-Table15781012[[#This Row],[Beginning Balance]]))),0)</f>
        <v>0</v>
      </c>
      <c r="H335" s="3">
        <f>MAX(0,IF(C335=$C$4,D335,ROUND(IF($C$3="Fixed Principal",$C$6-Table15781012[[#This Row],[Interest]],IF($C$3="Interest Only",Table15781012[[#This Row],[Beginning Balance]]*ROUND(1-(1-IF($C$11="No",$E$8,1))^(1/12),6),MIN(IF($C$13="Yes",Table15781012[[#This Row],[Payment Amount (Reamortized)]],$C$6)-Table15781012[[#This Row],[Interest]],Table15781012[[#This Row],[Beginning Balance]]))),2)))</f>
        <v>0</v>
      </c>
      <c r="I335" s="3">
        <f>_xlfn.SINGLE(IF($C$3="Line of Credit",0,ROUND(MAX(MIN(IF($C$10="No",$E$7,VLOOKUP(Table15781012[[#This Row],[Period]],Forecast!$H$2:$L$1048576,4,FALSE))*Table15781012[[#This Row],[Beginning Balance]],Table15781012[[#This Row],[Beginning Balance]]-Table15781012[[#This Row],[Principal]]),0),2)))</f>
        <v>0</v>
      </c>
      <c r="J335" s="3">
        <f>ROUND(MIN(Table15781012[[#This Row],[Beginning Balance]]*IF($C$8="No",$E$3,VLOOKUP(Table15781012[[#This Row],[Period]],Forecast!$H$2:$L$1048576,2,FALSE)),Table15781012[[#This Row],[Beginning Balance]]-Table15781012[[#This Row],[Principal]]-Table15781012[[#This Row],[Prepayments]]),2)</f>
        <v>0</v>
      </c>
      <c r="K335" s="3">
        <f>ROUND(Table15781012[[#This Row],[Defaulted Principal]]*IF($C$9="No",$E$4,VLOOKUP(Table15781012[[#This Row],[Period]],Forecast!$H$2:$L$1048576,3,FALSE)),2)</f>
        <v>0</v>
      </c>
      <c r="L335" s="2">
        <f>Table15781012[[#This Row],[Period]]+$E$9</f>
        <v>331</v>
      </c>
      <c r="M335" s="3">
        <f>Table15781012[[#This Row],[Defaulted Principal]]-Table15781012[[#This Row],[Estimated Loss]]</f>
        <v>0</v>
      </c>
      <c r="N335" s="3">
        <f>IFERROR(VLOOKUP(Table15781012[[#This Row],[Period]],$L$16:$M$385,2,FALSE),0)</f>
        <v>0</v>
      </c>
      <c r="O335" s="3">
        <f>Table15781012[[#This Row],[Beginning Balance]]-Table15781012[[#This Row],[Principal]]-Table15781012[[#This Row],[Prepayments]]-Table15781012[[#This Row],[Defaulted Principal]]</f>
        <v>0</v>
      </c>
      <c r="P335" s="3">
        <f>Table15781012[[#This Row],[Principal]]+Table15781012[[#This Row],[Interest]]+Table15781012[[#This Row],[Prepayments]]+Table15781012[[#This Row],[RecoveredAmount]]</f>
        <v>0</v>
      </c>
      <c r="Q335" s="3">
        <f ca="1">ROUND(Table15781012[[#This Row],[Cash Flow]]/((1+ActualRateToUse)^(IF(ISNUMBER(SEARCH("Actual",$C$7)),Table15781012[[#This Row],[Running Total]]/365,Table15781012[[#This Row],[Period]]/12))),2)</f>
        <v>0</v>
      </c>
      <c r="R335" s="2">
        <f>IF(MONTH(Table15781012[[#This Row],[Date]])=2,28,DAY(DATE(YEAR(Table15781012[[#This Row],[Date]]),MONTH(Table15781012[[#This Row],[Date]])+1,1)-1))</f>
        <v>31</v>
      </c>
      <c r="S335" s="2">
        <f ca="1">SUM(OFFSET(Table15781012[[#Headers],[Days in month]],1,0):Table15781012[[#This Row],[Days in month]])</f>
        <v>9705</v>
      </c>
      <c r="T335" s="37">
        <f>InterestRate*AmortizationMultiplier*IF(ISNUMBER(SEARCH("Actual",$C$7)),Table15781012[[#This Row],[Days in month]]/365,1/12)</f>
        <v>6.0708333333333326E-3</v>
      </c>
    </row>
    <row r="336" spans="2:20" x14ac:dyDescent="0.2">
      <c r="B336" s="1">
        <f t="shared" si="18"/>
        <v>55578</v>
      </c>
      <c r="C336" s="2">
        <f t="shared" si="16"/>
        <v>320</v>
      </c>
      <c r="D336" s="3">
        <f t="shared" si="15"/>
        <v>0</v>
      </c>
      <c r="E336" s="3">
        <f>ROUND(Table15781012[[#This Row],[Beginning Balance]]*Table15781012[[#This Row],[Monthly Interest Rate]],2)</f>
        <v>0</v>
      </c>
      <c r="F336" s="3">
        <f t="shared" si="17"/>
        <v>32</v>
      </c>
      <c r="G336" s="23">
        <f>IFERROR(IF($C$13="No","N/A",IF(Table15781012[[#This Row],[Period]]=1,$C$6,PMT(InterestRate*AmortizationMultiplier/12,Table15781012[[#This Row],[Am Thru]],-Table15781012[[#This Row],[Beginning Balance]]))),0)</f>
        <v>0</v>
      </c>
      <c r="H336" s="3">
        <f>MAX(0,IF(C336=$C$4,D336,ROUND(IF($C$3="Fixed Principal",$C$6-Table15781012[[#This Row],[Interest]],IF($C$3="Interest Only",Table15781012[[#This Row],[Beginning Balance]]*ROUND(1-(1-IF($C$11="No",$E$8,1))^(1/12),6),MIN(IF($C$13="Yes",Table15781012[[#This Row],[Payment Amount (Reamortized)]],$C$6)-Table15781012[[#This Row],[Interest]],Table15781012[[#This Row],[Beginning Balance]]))),2)))</f>
        <v>0</v>
      </c>
      <c r="I336" s="3">
        <f>_xlfn.SINGLE(IF($C$3="Line of Credit",0,ROUND(MAX(MIN(IF($C$10="No",$E$7,VLOOKUP(Table15781012[[#This Row],[Period]],Forecast!$H$2:$L$1048576,4,FALSE))*Table15781012[[#This Row],[Beginning Balance]],Table15781012[[#This Row],[Beginning Balance]]-Table15781012[[#This Row],[Principal]]),0),2)))</f>
        <v>0</v>
      </c>
      <c r="J336" s="3">
        <f>ROUND(MIN(Table15781012[[#This Row],[Beginning Balance]]*IF($C$8="No",$E$3,VLOOKUP(Table15781012[[#This Row],[Period]],Forecast!$H$2:$L$1048576,2,FALSE)),Table15781012[[#This Row],[Beginning Balance]]-Table15781012[[#This Row],[Principal]]-Table15781012[[#This Row],[Prepayments]]),2)</f>
        <v>0</v>
      </c>
      <c r="K336" s="3">
        <f>ROUND(Table15781012[[#This Row],[Defaulted Principal]]*IF($C$9="No",$E$4,VLOOKUP(Table15781012[[#This Row],[Period]],Forecast!$H$2:$L$1048576,3,FALSE)),2)</f>
        <v>0</v>
      </c>
      <c r="L336" s="2">
        <f>Table15781012[[#This Row],[Period]]+$E$9</f>
        <v>332</v>
      </c>
      <c r="M336" s="3">
        <f>Table15781012[[#This Row],[Defaulted Principal]]-Table15781012[[#This Row],[Estimated Loss]]</f>
        <v>0</v>
      </c>
      <c r="N336" s="3">
        <f>IFERROR(VLOOKUP(Table15781012[[#This Row],[Period]],$L$16:$M$385,2,FALSE),0)</f>
        <v>0</v>
      </c>
      <c r="O336" s="3">
        <f>Table15781012[[#This Row],[Beginning Balance]]-Table15781012[[#This Row],[Principal]]-Table15781012[[#This Row],[Prepayments]]-Table15781012[[#This Row],[Defaulted Principal]]</f>
        <v>0</v>
      </c>
      <c r="P336" s="3">
        <f>Table15781012[[#This Row],[Principal]]+Table15781012[[#This Row],[Interest]]+Table15781012[[#This Row],[Prepayments]]+Table15781012[[#This Row],[RecoveredAmount]]</f>
        <v>0</v>
      </c>
      <c r="Q336" s="3">
        <f ca="1">ROUND(Table15781012[[#This Row],[Cash Flow]]/((1+ActualRateToUse)^(IF(ISNUMBER(SEARCH("Actual",$C$7)),Table15781012[[#This Row],[Running Total]]/365,Table15781012[[#This Row],[Period]]/12))),2)</f>
        <v>0</v>
      </c>
      <c r="R336" s="2">
        <f>IF(MONTH(Table15781012[[#This Row],[Date]])=2,28,DAY(DATE(YEAR(Table15781012[[#This Row],[Date]]),MONTH(Table15781012[[#This Row],[Date]])+1,1)-1))</f>
        <v>28</v>
      </c>
      <c r="S336" s="2">
        <f ca="1">SUM(OFFSET(Table15781012[[#Headers],[Days in month]],1,0):Table15781012[[#This Row],[Days in month]])</f>
        <v>9733</v>
      </c>
      <c r="T336" s="37">
        <f>InterestRate*AmortizationMultiplier*IF(ISNUMBER(SEARCH("Actual",$C$7)),Table15781012[[#This Row],[Days in month]]/365,1/12)</f>
        <v>5.4833333333333331E-3</v>
      </c>
    </row>
    <row r="337" spans="2:20" x14ac:dyDescent="0.2">
      <c r="B337" s="1">
        <f t="shared" si="18"/>
        <v>55609</v>
      </c>
      <c r="C337" s="2">
        <f t="shared" si="16"/>
        <v>321</v>
      </c>
      <c r="D337" s="3">
        <f t="shared" si="15"/>
        <v>0</v>
      </c>
      <c r="E337" s="3">
        <f>ROUND(Table15781012[[#This Row],[Beginning Balance]]*Table15781012[[#This Row],[Monthly Interest Rate]],2)</f>
        <v>0</v>
      </c>
      <c r="F337" s="3">
        <f t="shared" si="17"/>
        <v>31</v>
      </c>
      <c r="G337" s="23">
        <f>IFERROR(IF($C$13="No","N/A",IF(Table15781012[[#This Row],[Period]]=1,$C$6,PMT(InterestRate*AmortizationMultiplier/12,Table15781012[[#This Row],[Am Thru]],-Table15781012[[#This Row],[Beginning Balance]]))),0)</f>
        <v>0</v>
      </c>
      <c r="H337" s="3">
        <f>MAX(0,IF(C337=$C$4,D337,ROUND(IF($C$3="Fixed Principal",$C$6-Table15781012[[#This Row],[Interest]],IF($C$3="Interest Only",Table15781012[[#This Row],[Beginning Balance]]*ROUND(1-(1-IF($C$11="No",$E$8,1))^(1/12),6),MIN(IF($C$13="Yes",Table15781012[[#This Row],[Payment Amount (Reamortized)]],$C$6)-Table15781012[[#This Row],[Interest]],Table15781012[[#This Row],[Beginning Balance]]))),2)))</f>
        <v>0</v>
      </c>
      <c r="I337" s="3">
        <f>_xlfn.SINGLE(IF($C$3="Line of Credit",0,ROUND(MAX(MIN(IF($C$10="No",$E$7,VLOOKUP(Table15781012[[#This Row],[Period]],Forecast!$H$2:$L$1048576,4,FALSE))*Table15781012[[#This Row],[Beginning Balance]],Table15781012[[#This Row],[Beginning Balance]]-Table15781012[[#This Row],[Principal]]),0),2)))</f>
        <v>0</v>
      </c>
      <c r="J337" s="3">
        <f>ROUND(MIN(Table15781012[[#This Row],[Beginning Balance]]*IF($C$8="No",$E$3,VLOOKUP(Table15781012[[#This Row],[Period]],Forecast!$H$2:$L$1048576,2,FALSE)),Table15781012[[#This Row],[Beginning Balance]]-Table15781012[[#This Row],[Principal]]-Table15781012[[#This Row],[Prepayments]]),2)</f>
        <v>0</v>
      </c>
      <c r="K337" s="3">
        <f>ROUND(Table15781012[[#This Row],[Defaulted Principal]]*IF($C$9="No",$E$4,VLOOKUP(Table15781012[[#This Row],[Period]],Forecast!$H$2:$L$1048576,3,FALSE)),2)</f>
        <v>0</v>
      </c>
      <c r="L337" s="2">
        <f>Table15781012[[#This Row],[Period]]+$E$9</f>
        <v>333</v>
      </c>
      <c r="M337" s="3">
        <f>Table15781012[[#This Row],[Defaulted Principal]]-Table15781012[[#This Row],[Estimated Loss]]</f>
        <v>0</v>
      </c>
      <c r="N337" s="3">
        <f>IFERROR(VLOOKUP(Table15781012[[#This Row],[Period]],$L$16:$M$385,2,FALSE),0)</f>
        <v>0</v>
      </c>
      <c r="O337" s="3">
        <f>Table15781012[[#This Row],[Beginning Balance]]-Table15781012[[#This Row],[Principal]]-Table15781012[[#This Row],[Prepayments]]-Table15781012[[#This Row],[Defaulted Principal]]</f>
        <v>0</v>
      </c>
      <c r="P337" s="3">
        <f>Table15781012[[#This Row],[Principal]]+Table15781012[[#This Row],[Interest]]+Table15781012[[#This Row],[Prepayments]]+Table15781012[[#This Row],[RecoveredAmount]]</f>
        <v>0</v>
      </c>
      <c r="Q337" s="3">
        <f ca="1">ROUND(Table15781012[[#This Row],[Cash Flow]]/((1+ActualRateToUse)^(IF(ISNUMBER(SEARCH("Actual",$C$7)),Table15781012[[#This Row],[Running Total]]/365,Table15781012[[#This Row],[Period]]/12))),2)</f>
        <v>0</v>
      </c>
      <c r="R337" s="2">
        <f>IF(MONTH(Table15781012[[#This Row],[Date]])=2,28,DAY(DATE(YEAR(Table15781012[[#This Row],[Date]]),MONTH(Table15781012[[#This Row],[Date]])+1,1)-1))</f>
        <v>31</v>
      </c>
      <c r="S337" s="2">
        <f ca="1">SUM(OFFSET(Table15781012[[#Headers],[Days in month]],1,0):Table15781012[[#This Row],[Days in month]])</f>
        <v>9764</v>
      </c>
      <c r="T337" s="37">
        <f>InterestRate*AmortizationMultiplier*IF(ISNUMBER(SEARCH("Actual",$C$7)),Table15781012[[#This Row],[Days in month]]/365,1/12)</f>
        <v>6.0708333333333326E-3</v>
      </c>
    </row>
    <row r="338" spans="2:20" x14ac:dyDescent="0.2">
      <c r="B338" s="1">
        <f t="shared" si="18"/>
        <v>55639</v>
      </c>
      <c r="C338" s="2">
        <f t="shared" si="16"/>
        <v>322</v>
      </c>
      <c r="D338" s="3">
        <f t="shared" ref="D338:D385" si="19">O337</f>
        <v>0</v>
      </c>
      <c r="E338" s="3">
        <f>ROUND(Table15781012[[#This Row],[Beginning Balance]]*Table15781012[[#This Row],[Monthly Interest Rate]],2)</f>
        <v>0</v>
      </c>
      <c r="F338" s="3">
        <f t="shared" si="17"/>
        <v>30</v>
      </c>
      <c r="G338" s="23">
        <f>IFERROR(IF($C$13="No","N/A",IF(Table15781012[[#This Row],[Period]]=1,$C$6,PMT(InterestRate*AmortizationMultiplier/12,Table15781012[[#This Row],[Am Thru]],-Table15781012[[#This Row],[Beginning Balance]]))),0)</f>
        <v>0</v>
      </c>
      <c r="H338" s="3">
        <f>MAX(0,IF(C338=$C$4,D338,ROUND(IF($C$3="Fixed Principal",$C$6-Table15781012[[#This Row],[Interest]],IF($C$3="Interest Only",Table15781012[[#This Row],[Beginning Balance]]*ROUND(1-(1-IF($C$11="No",$E$8,1))^(1/12),6),MIN(IF($C$13="Yes",Table15781012[[#This Row],[Payment Amount (Reamortized)]],$C$6)-Table15781012[[#This Row],[Interest]],Table15781012[[#This Row],[Beginning Balance]]))),2)))</f>
        <v>0</v>
      </c>
      <c r="I338" s="3">
        <f>_xlfn.SINGLE(IF($C$3="Line of Credit",0,ROUND(MAX(MIN(IF($C$10="No",$E$7,VLOOKUP(Table15781012[[#This Row],[Period]],Forecast!$H$2:$L$1048576,4,FALSE))*Table15781012[[#This Row],[Beginning Balance]],Table15781012[[#This Row],[Beginning Balance]]-Table15781012[[#This Row],[Principal]]),0),2)))</f>
        <v>0</v>
      </c>
      <c r="J338" s="3">
        <f>ROUND(MIN(Table15781012[[#This Row],[Beginning Balance]]*IF($C$8="No",$E$3,VLOOKUP(Table15781012[[#This Row],[Period]],Forecast!$H$2:$L$1048576,2,FALSE)),Table15781012[[#This Row],[Beginning Balance]]-Table15781012[[#This Row],[Principal]]-Table15781012[[#This Row],[Prepayments]]),2)</f>
        <v>0</v>
      </c>
      <c r="K338" s="3">
        <f>ROUND(Table15781012[[#This Row],[Defaulted Principal]]*IF($C$9="No",$E$4,VLOOKUP(Table15781012[[#This Row],[Period]],Forecast!$H$2:$L$1048576,3,FALSE)),2)</f>
        <v>0</v>
      </c>
      <c r="L338" s="2">
        <f>Table15781012[[#This Row],[Period]]+$E$9</f>
        <v>334</v>
      </c>
      <c r="M338" s="3">
        <f>Table15781012[[#This Row],[Defaulted Principal]]-Table15781012[[#This Row],[Estimated Loss]]</f>
        <v>0</v>
      </c>
      <c r="N338" s="3">
        <f>IFERROR(VLOOKUP(Table15781012[[#This Row],[Period]],$L$16:$M$385,2,FALSE),0)</f>
        <v>0</v>
      </c>
      <c r="O338" s="3">
        <f>Table15781012[[#This Row],[Beginning Balance]]-Table15781012[[#This Row],[Principal]]-Table15781012[[#This Row],[Prepayments]]-Table15781012[[#This Row],[Defaulted Principal]]</f>
        <v>0</v>
      </c>
      <c r="P338" s="3">
        <f>Table15781012[[#This Row],[Principal]]+Table15781012[[#This Row],[Interest]]+Table15781012[[#This Row],[Prepayments]]+Table15781012[[#This Row],[RecoveredAmount]]</f>
        <v>0</v>
      </c>
      <c r="Q338" s="3">
        <f ca="1">ROUND(Table15781012[[#This Row],[Cash Flow]]/((1+ActualRateToUse)^(IF(ISNUMBER(SEARCH("Actual",$C$7)),Table15781012[[#This Row],[Running Total]]/365,Table15781012[[#This Row],[Period]]/12))),2)</f>
        <v>0</v>
      </c>
      <c r="R338" s="2">
        <f>IF(MONTH(Table15781012[[#This Row],[Date]])=2,28,DAY(DATE(YEAR(Table15781012[[#This Row],[Date]]),MONTH(Table15781012[[#This Row],[Date]])+1,1)-1))</f>
        <v>30</v>
      </c>
      <c r="S338" s="2">
        <f ca="1">SUM(OFFSET(Table15781012[[#Headers],[Days in month]],1,0):Table15781012[[#This Row],[Days in month]])</f>
        <v>9794</v>
      </c>
      <c r="T338" s="37">
        <f>InterestRate*AmortizationMultiplier*IF(ISNUMBER(SEARCH("Actual",$C$7)),Table15781012[[#This Row],[Days in month]]/365,1/12)</f>
        <v>5.8749999999999991E-3</v>
      </c>
    </row>
    <row r="339" spans="2:20" x14ac:dyDescent="0.2">
      <c r="B339" s="1">
        <f t="shared" si="18"/>
        <v>55670</v>
      </c>
      <c r="C339" s="2">
        <f t="shared" ref="C339:C385" si="20">C338+1</f>
        <v>323</v>
      </c>
      <c r="D339" s="3">
        <f t="shared" si="19"/>
        <v>0</v>
      </c>
      <c r="E339" s="3">
        <f>ROUND(Table15781012[[#This Row],[Beginning Balance]]*Table15781012[[#This Row],[Monthly Interest Rate]],2)</f>
        <v>0</v>
      </c>
      <c r="F339" s="3">
        <f t="shared" ref="F339:F385" si="21">+F338-1</f>
        <v>29</v>
      </c>
      <c r="G339" s="23">
        <f>IFERROR(IF($C$13="No","N/A",IF(Table15781012[[#This Row],[Period]]=1,$C$6,PMT(InterestRate*AmortizationMultiplier/12,Table15781012[[#This Row],[Am Thru]],-Table15781012[[#This Row],[Beginning Balance]]))),0)</f>
        <v>0</v>
      </c>
      <c r="H339" s="3">
        <f>MAX(0,IF(C339=$C$4,D339,ROUND(IF($C$3="Fixed Principal",$C$6-Table15781012[[#This Row],[Interest]],IF($C$3="Interest Only",Table15781012[[#This Row],[Beginning Balance]]*ROUND(1-(1-IF($C$11="No",$E$8,1))^(1/12),6),MIN(IF($C$13="Yes",Table15781012[[#This Row],[Payment Amount (Reamortized)]],$C$6)-Table15781012[[#This Row],[Interest]],Table15781012[[#This Row],[Beginning Balance]]))),2)))</f>
        <v>0</v>
      </c>
      <c r="I339" s="3">
        <f>_xlfn.SINGLE(IF($C$3="Line of Credit",0,ROUND(MAX(MIN(IF($C$10="No",$E$7,VLOOKUP(Table15781012[[#This Row],[Period]],Forecast!$H$2:$L$1048576,4,FALSE))*Table15781012[[#This Row],[Beginning Balance]],Table15781012[[#This Row],[Beginning Balance]]-Table15781012[[#This Row],[Principal]]),0),2)))</f>
        <v>0</v>
      </c>
      <c r="J339" s="3">
        <f>ROUND(MIN(Table15781012[[#This Row],[Beginning Balance]]*IF($C$8="No",$E$3,VLOOKUP(Table15781012[[#This Row],[Period]],Forecast!$H$2:$L$1048576,2,FALSE)),Table15781012[[#This Row],[Beginning Balance]]-Table15781012[[#This Row],[Principal]]-Table15781012[[#This Row],[Prepayments]]),2)</f>
        <v>0</v>
      </c>
      <c r="K339" s="3">
        <f>ROUND(Table15781012[[#This Row],[Defaulted Principal]]*IF($C$9="No",$E$4,VLOOKUP(Table15781012[[#This Row],[Period]],Forecast!$H$2:$L$1048576,3,FALSE)),2)</f>
        <v>0</v>
      </c>
      <c r="L339" s="2">
        <f>Table15781012[[#This Row],[Period]]+$E$9</f>
        <v>335</v>
      </c>
      <c r="M339" s="3">
        <f>Table15781012[[#This Row],[Defaulted Principal]]-Table15781012[[#This Row],[Estimated Loss]]</f>
        <v>0</v>
      </c>
      <c r="N339" s="3">
        <f>IFERROR(VLOOKUP(Table15781012[[#This Row],[Period]],$L$16:$M$385,2,FALSE),0)</f>
        <v>0</v>
      </c>
      <c r="O339" s="3">
        <f>Table15781012[[#This Row],[Beginning Balance]]-Table15781012[[#This Row],[Principal]]-Table15781012[[#This Row],[Prepayments]]-Table15781012[[#This Row],[Defaulted Principal]]</f>
        <v>0</v>
      </c>
      <c r="P339" s="3">
        <f>Table15781012[[#This Row],[Principal]]+Table15781012[[#This Row],[Interest]]+Table15781012[[#This Row],[Prepayments]]+Table15781012[[#This Row],[RecoveredAmount]]</f>
        <v>0</v>
      </c>
      <c r="Q339" s="3">
        <f ca="1">ROUND(Table15781012[[#This Row],[Cash Flow]]/((1+ActualRateToUse)^(IF(ISNUMBER(SEARCH("Actual",$C$7)),Table15781012[[#This Row],[Running Total]]/365,Table15781012[[#This Row],[Period]]/12))),2)</f>
        <v>0</v>
      </c>
      <c r="R339" s="2">
        <f>IF(MONTH(Table15781012[[#This Row],[Date]])=2,28,DAY(DATE(YEAR(Table15781012[[#This Row],[Date]]),MONTH(Table15781012[[#This Row],[Date]])+1,1)-1))</f>
        <v>31</v>
      </c>
      <c r="S339" s="2">
        <f ca="1">SUM(OFFSET(Table15781012[[#Headers],[Days in month]],1,0):Table15781012[[#This Row],[Days in month]])</f>
        <v>9825</v>
      </c>
      <c r="T339" s="37">
        <f>InterestRate*AmortizationMultiplier*IF(ISNUMBER(SEARCH("Actual",$C$7)),Table15781012[[#This Row],[Days in month]]/365,1/12)</f>
        <v>6.0708333333333326E-3</v>
      </c>
    </row>
    <row r="340" spans="2:20" x14ac:dyDescent="0.2">
      <c r="B340" s="1">
        <f t="shared" si="18"/>
        <v>55700</v>
      </c>
      <c r="C340" s="2">
        <f t="shared" si="20"/>
        <v>324</v>
      </c>
      <c r="D340" s="3">
        <f t="shared" si="19"/>
        <v>0</v>
      </c>
      <c r="E340" s="3">
        <f>ROUND(Table15781012[[#This Row],[Beginning Balance]]*Table15781012[[#This Row],[Monthly Interest Rate]],2)</f>
        <v>0</v>
      </c>
      <c r="F340" s="3">
        <f t="shared" si="21"/>
        <v>28</v>
      </c>
      <c r="G340" s="23">
        <f>IFERROR(IF($C$13="No","N/A",IF(Table15781012[[#This Row],[Period]]=1,$C$6,PMT(InterestRate*AmortizationMultiplier/12,Table15781012[[#This Row],[Am Thru]],-Table15781012[[#This Row],[Beginning Balance]]))),0)</f>
        <v>0</v>
      </c>
      <c r="H340" s="3">
        <f>MAX(0,IF(C340=$C$4,D340,ROUND(IF($C$3="Fixed Principal",$C$6-Table15781012[[#This Row],[Interest]],IF($C$3="Interest Only",Table15781012[[#This Row],[Beginning Balance]]*ROUND(1-(1-IF($C$11="No",$E$8,1))^(1/12),6),MIN(IF($C$13="Yes",Table15781012[[#This Row],[Payment Amount (Reamortized)]],$C$6)-Table15781012[[#This Row],[Interest]],Table15781012[[#This Row],[Beginning Balance]]))),2)))</f>
        <v>0</v>
      </c>
      <c r="I340" s="3">
        <f>_xlfn.SINGLE(IF($C$3="Line of Credit",0,ROUND(MAX(MIN(IF($C$10="No",$E$7,VLOOKUP(Table15781012[[#This Row],[Period]],Forecast!$H$2:$L$1048576,4,FALSE))*Table15781012[[#This Row],[Beginning Balance]],Table15781012[[#This Row],[Beginning Balance]]-Table15781012[[#This Row],[Principal]]),0),2)))</f>
        <v>0</v>
      </c>
      <c r="J340" s="3">
        <f>ROUND(MIN(Table15781012[[#This Row],[Beginning Balance]]*IF($C$8="No",$E$3,VLOOKUP(Table15781012[[#This Row],[Period]],Forecast!$H$2:$L$1048576,2,FALSE)),Table15781012[[#This Row],[Beginning Balance]]-Table15781012[[#This Row],[Principal]]-Table15781012[[#This Row],[Prepayments]]),2)</f>
        <v>0</v>
      </c>
      <c r="K340" s="3">
        <f>ROUND(Table15781012[[#This Row],[Defaulted Principal]]*IF($C$9="No",$E$4,VLOOKUP(Table15781012[[#This Row],[Period]],Forecast!$H$2:$L$1048576,3,FALSE)),2)</f>
        <v>0</v>
      </c>
      <c r="L340" s="2">
        <f>Table15781012[[#This Row],[Period]]+$E$9</f>
        <v>336</v>
      </c>
      <c r="M340" s="3">
        <f>Table15781012[[#This Row],[Defaulted Principal]]-Table15781012[[#This Row],[Estimated Loss]]</f>
        <v>0</v>
      </c>
      <c r="N340" s="3">
        <f>IFERROR(VLOOKUP(Table15781012[[#This Row],[Period]],$L$16:$M$385,2,FALSE),0)</f>
        <v>0</v>
      </c>
      <c r="O340" s="3">
        <f>Table15781012[[#This Row],[Beginning Balance]]-Table15781012[[#This Row],[Principal]]-Table15781012[[#This Row],[Prepayments]]-Table15781012[[#This Row],[Defaulted Principal]]</f>
        <v>0</v>
      </c>
      <c r="P340" s="3">
        <f>Table15781012[[#This Row],[Principal]]+Table15781012[[#This Row],[Interest]]+Table15781012[[#This Row],[Prepayments]]+Table15781012[[#This Row],[RecoveredAmount]]</f>
        <v>0</v>
      </c>
      <c r="Q340" s="3">
        <f ca="1">ROUND(Table15781012[[#This Row],[Cash Flow]]/((1+ActualRateToUse)^(IF(ISNUMBER(SEARCH("Actual",$C$7)),Table15781012[[#This Row],[Running Total]]/365,Table15781012[[#This Row],[Period]]/12))),2)</f>
        <v>0</v>
      </c>
      <c r="R340" s="2">
        <f>IF(MONTH(Table15781012[[#This Row],[Date]])=2,28,DAY(DATE(YEAR(Table15781012[[#This Row],[Date]]),MONTH(Table15781012[[#This Row],[Date]])+1,1)-1))</f>
        <v>30</v>
      </c>
      <c r="S340" s="2">
        <f ca="1">SUM(OFFSET(Table15781012[[#Headers],[Days in month]],1,0):Table15781012[[#This Row],[Days in month]])</f>
        <v>9855</v>
      </c>
      <c r="T340" s="37">
        <f>InterestRate*AmortizationMultiplier*IF(ISNUMBER(SEARCH("Actual",$C$7)),Table15781012[[#This Row],[Days in month]]/365,1/12)</f>
        <v>5.8749999999999991E-3</v>
      </c>
    </row>
    <row r="341" spans="2:20" x14ac:dyDescent="0.2">
      <c r="B341" s="1">
        <f t="shared" si="18"/>
        <v>55731</v>
      </c>
      <c r="C341" s="2">
        <f t="shared" si="20"/>
        <v>325</v>
      </c>
      <c r="D341" s="3">
        <f t="shared" si="19"/>
        <v>0</v>
      </c>
      <c r="E341" s="3">
        <f>ROUND(Table15781012[[#This Row],[Beginning Balance]]*Table15781012[[#This Row],[Monthly Interest Rate]],2)</f>
        <v>0</v>
      </c>
      <c r="F341" s="3">
        <f t="shared" si="21"/>
        <v>27</v>
      </c>
      <c r="G341" s="23">
        <f>IFERROR(IF($C$13="No","N/A",IF(Table15781012[[#This Row],[Period]]=1,$C$6,PMT(InterestRate*AmortizationMultiplier/12,Table15781012[[#This Row],[Am Thru]],-Table15781012[[#This Row],[Beginning Balance]]))),0)</f>
        <v>0</v>
      </c>
      <c r="H341" s="3">
        <f>MAX(0,IF(C341=$C$4,D341,ROUND(IF($C$3="Fixed Principal",$C$6-Table15781012[[#This Row],[Interest]],IF($C$3="Interest Only",Table15781012[[#This Row],[Beginning Balance]]*ROUND(1-(1-IF($C$11="No",$E$8,1))^(1/12),6),MIN(IF($C$13="Yes",Table15781012[[#This Row],[Payment Amount (Reamortized)]],$C$6)-Table15781012[[#This Row],[Interest]],Table15781012[[#This Row],[Beginning Balance]]))),2)))</f>
        <v>0</v>
      </c>
      <c r="I341" s="3">
        <f>_xlfn.SINGLE(IF($C$3="Line of Credit",0,ROUND(MAX(MIN(IF($C$10="No",$E$7,VLOOKUP(Table15781012[[#This Row],[Period]],Forecast!$H$2:$L$1048576,4,FALSE))*Table15781012[[#This Row],[Beginning Balance]],Table15781012[[#This Row],[Beginning Balance]]-Table15781012[[#This Row],[Principal]]),0),2)))</f>
        <v>0</v>
      </c>
      <c r="J341" s="3">
        <f>ROUND(MIN(Table15781012[[#This Row],[Beginning Balance]]*IF($C$8="No",$E$3,VLOOKUP(Table15781012[[#This Row],[Period]],Forecast!$H$2:$L$1048576,2,FALSE)),Table15781012[[#This Row],[Beginning Balance]]-Table15781012[[#This Row],[Principal]]-Table15781012[[#This Row],[Prepayments]]),2)</f>
        <v>0</v>
      </c>
      <c r="K341" s="3">
        <f>ROUND(Table15781012[[#This Row],[Defaulted Principal]]*IF($C$9="No",$E$4,VLOOKUP(Table15781012[[#This Row],[Period]],Forecast!$H$2:$L$1048576,3,FALSE)),2)</f>
        <v>0</v>
      </c>
      <c r="L341" s="2">
        <f>Table15781012[[#This Row],[Period]]+$E$9</f>
        <v>337</v>
      </c>
      <c r="M341" s="3">
        <f>Table15781012[[#This Row],[Defaulted Principal]]-Table15781012[[#This Row],[Estimated Loss]]</f>
        <v>0</v>
      </c>
      <c r="N341" s="3">
        <f>IFERROR(VLOOKUP(Table15781012[[#This Row],[Period]],$L$16:$M$385,2,FALSE),0)</f>
        <v>0</v>
      </c>
      <c r="O341" s="3">
        <f>Table15781012[[#This Row],[Beginning Balance]]-Table15781012[[#This Row],[Principal]]-Table15781012[[#This Row],[Prepayments]]-Table15781012[[#This Row],[Defaulted Principal]]</f>
        <v>0</v>
      </c>
      <c r="P341" s="3">
        <f>Table15781012[[#This Row],[Principal]]+Table15781012[[#This Row],[Interest]]+Table15781012[[#This Row],[Prepayments]]+Table15781012[[#This Row],[RecoveredAmount]]</f>
        <v>0</v>
      </c>
      <c r="Q341" s="3">
        <f ca="1">ROUND(Table15781012[[#This Row],[Cash Flow]]/((1+ActualRateToUse)^(IF(ISNUMBER(SEARCH("Actual",$C$7)),Table15781012[[#This Row],[Running Total]]/365,Table15781012[[#This Row],[Period]]/12))),2)</f>
        <v>0</v>
      </c>
      <c r="R341" s="2">
        <f>IF(MONTH(Table15781012[[#This Row],[Date]])=2,28,DAY(DATE(YEAR(Table15781012[[#This Row],[Date]]),MONTH(Table15781012[[#This Row],[Date]])+1,1)-1))</f>
        <v>31</v>
      </c>
      <c r="S341" s="2">
        <f ca="1">SUM(OFFSET(Table15781012[[#Headers],[Days in month]],1,0):Table15781012[[#This Row],[Days in month]])</f>
        <v>9886</v>
      </c>
      <c r="T341" s="37">
        <f>InterestRate*AmortizationMultiplier*IF(ISNUMBER(SEARCH("Actual",$C$7)),Table15781012[[#This Row],[Days in month]]/365,1/12)</f>
        <v>6.0708333333333326E-3</v>
      </c>
    </row>
    <row r="342" spans="2:20" x14ac:dyDescent="0.2">
      <c r="B342" s="1">
        <f t="shared" si="18"/>
        <v>55762</v>
      </c>
      <c r="C342" s="2">
        <f t="shared" si="20"/>
        <v>326</v>
      </c>
      <c r="D342" s="3">
        <f t="shared" si="19"/>
        <v>0</v>
      </c>
      <c r="E342" s="3">
        <f>ROUND(Table15781012[[#This Row],[Beginning Balance]]*Table15781012[[#This Row],[Monthly Interest Rate]],2)</f>
        <v>0</v>
      </c>
      <c r="F342" s="3">
        <f t="shared" si="21"/>
        <v>26</v>
      </c>
      <c r="G342" s="23">
        <f>IFERROR(IF($C$13="No","N/A",IF(Table15781012[[#This Row],[Period]]=1,$C$6,PMT(InterestRate*AmortizationMultiplier/12,Table15781012[[#This Row],[Am Thru]],-Table15781012[[#This Row],[Beginning Balance]]))),0)</f>
        <v>0</v>
      </c>
      <c r="H342" s="3">
        <f>MAX(0,IF(C342=$C$4,D342,ROUND(IF($C$3="Fixed Principal",$C$6-Table15781012[[#This Row],[Interest]],IF($C$3="Interest Only",Table15781012[[#This Row],[Beginning Balance]]*ROUND(1-(1-IF($C$11="No",$E$8,1))^(1/12),6),MIN(IF($C$13="Yes",Table15781012[[#This Row],[Payment Amount (Reamortized)]],$C$6)-Table15781012[[#This Row],[Interest]],Table15781012[[#This Row],[Beginning Balance]]))),2)))</f>
        <v>0</v>
      </c>
      <c r="I342" s="3">
        <f>_xlfn.SINGLE(IF($C$3="Line of Credit",0,ROUND(MAX(MIN(IF($C$10="No",$E$7,VLOOKUP(Table15781012[[#This Row],[Period]],Forecast!$H$2:$L$1048576,4,FALSE))*Table15781012[[#This Row],[Beginning Balance]],Table15781012[[#This Row],[Beginning Balance]]-Table15781012[[#This Row],[Principal]]),0),2)))</f>
        <v>0</v>
      </c>
      <c r="J342" s="3">
        <f>ROUND(MIN(Table15781012[[#This Row],[Beginning Balance]]*IF($C$8="No",$E$3,VLOOKUP(Table15781012[[#This Row],[Period]],Forecast!$H$2:$L$1048576,2,FALSE)),Table15781012[[#This Row],[Beginning Balance]]-Table15781012[[#This Row],[Principal]]-Table15781012[[#This Row],[Prepayments]]),2)</f>
        <v>0</v>
      </c>
      <c r="K342" s="3">
        <f>ROUND(Table15781012[[#This Row],[Defaulted Principal]]*IF($C$9="No",$E$4,VLOOKUP(Table15781012[[#This Row],[Period]],Forecast!$H$2:$L$1048576,3,FALSE)),2)</f>
        <v>0</v>
      </c>
      <c r="L342" s="2">
        <f>Table15781012[[#This Row],[Period]]+$E$9</f>
        <v>338</v>
      </c>
      <c r="M342" s="3">
        <f>Table15781012[[#This Row],[Defaulted Principal]]-Table15781012[[#This Row],[Estimated Loss]]</f>
        <v>0</v>
      </c>
      <c r="N342" s="3">
        <f>IFERROR(VLOOKUP(Table15781012[[#This Row],[Period]],$L$16:$M$385,2,FALSE),0)</f>
        <v>0</v>
      </c>
      <c r="O342" s="3">
        <f>Table15781012[[#This Row],[Beginning Balance]]-Table15781012[[#This Row],[Principal]]-Table15781012[[#This Row],[Prepayments]]-Table15781012[[#This Row],[Defaulted Principal]]</f>
        <v>0</v>
      </c>
      <c r="P342" s="3">
        <f>Table15781012[[#This Row],[Principal]]+Table15781012[[#This Row],[Interest]]+Table15781012[[#This Row],[Prepayments]]+Table15781012[[#This Row],[RecoveredAmount]]</f>
        <v>0</v>
      </c>
      <c r="Q342" s="3">
        <f ca="1">ROUND(Table15781012[[#This Row],[Cash Flow]]/((1+ActualRateToUse)^(IF(ISNUMBER(SEARCH("Actual",$C$7)),Table15781012[[#This Row],[Running Total]]/365,Table15781012[[#This Row],[Period]]/12))),2)</f>
        <v>0</v>
      </c>
      <c r="R342" s="2">
        <f>IF(MONTH(Table15781012[[#This Row],[Date]])=2,28,DAY(DATE(YEAR(Table15781012[[#This Row],[Date]]),MONTH(Table15781012[[#This Row],[Date]])+1,1)-1))</f>
        <v>31</v>
      </c>
      <c r="S342" s="2">
        <f ca="1">SUM(OFFSET(Table15781012[[#Headers],[Days in month]],1,0):Table15781012[[#This Row],[Days in month]])</f>
        <v>9917</v>
      </c>
      <c r="T342" s="37">
        <f>InterestRate*AmortizationMultiplier*IF(ISNUMBER(SEARCH("Actual",$C$7)),Table15781012[[#This Row],[Days in month]]/365,1/12)</f>
        <v>6.0708333333333326E-3</v>
      </c>
    </row>
    <row r="343" spans="2:20" x14ac:dyDescent="0.2">
      <c r="B343" s="1">
        <f t="shared" si="18"/>
        <v>55792</v>
      </c>
      <c r="C343" s="2">
        <f t="shared" si="20"/>
        <v>327</v>
      </c>
      <c r="D343" s="3">
        <f t="shared" si="19"/>
        <v>0</v>
      </c>
      <c r="E343" s="3">
        <f>ROUND(Table15781012[[#This Row],[Beginning Balance]]*Table15781012[[#This Row],[Monthly Interest Rate]],2)</f>
        <v>0</v>
      </c>
      <c r="F343" s="3">
        <f t="shared" si="21"/>
        <v>25</v>
      </c>
      <c r="G343" s="23">
        <f>IFERROR(IF($C$13="No","N/A",IF(Table15781012[[#This Row],[Period]]=1,$C$6,PMT(InterestRate*AmortizationMultiplier/12,Table15781012[[#This Row],[Am Thru]],-Table15781012[[#This Row],[Beginning Balance]]))),0)</f>
        <v>0</v>
      </c>
      <c r="H343" s="3">
        <f>MAX(0,IF(C343=$C$4,D343,ROUND(IF($C$3="Fixed Principal",$C$6-Table15781012[[#This Row],[Interest]],IF($C$3="Interest Only",Table15781012[[#This Row],[Beginning Balance]]*ROUND(1-(1-IF($C$11="No",$E$8,1))^(1/12),6),MIN(IF($C$13="Yes",Table15781012[[#This Row],[Payment Amount (Reamortized)]],$C$6)-Table15781012[[#This Row],[Interest]],Table15781012[[#This Row],[Beginning Balance]]))),2)))</f>
        <v>0</v>
      </c>
      <c r="I343" s="3">
        <f>_xlfn.SINGLE(IF($C$3="Line of Credit",0,ROUND(MAX(MIN(IF($C$10="No",$E$7,VLOOKUP(Table15781012[[#This Row],[Period]],Forecast!$H$2:$L$1048576,4,FALSE))*Table15781012[[#This Row],[Beginning Balance]],Table15781012[[#This Row],[Beginning Balance]]-Table15781012[[#This Row],[Principal]]),0),2)))</f>
        <v>0</v>
      </c>
      <c r="J343" s="3">
        <f>ROUND(MIN(Table15781012[[#This Row],[Beginning Balance]]*IF($C$8="No",$E$3,VLOOKUP(Table15781012[[#This Row],[Period]],Forecast!$H$2:$L$1048576,2,FALSE)),Table15781012[[#This Row],[Beginning Balance]]-Table15781012[[#This Row],[Principal]]-Table15781012[[#This Row],[Prepayments]]),2)</f>
        <v>0</v>
      </c>
      <c r="K343" s="3">
        <f>ROUND(Table15781012[[#This Row],[Defaulted Principal]]*IF($C$9="No",$E$4,VLOOKUP(Table15781012[[#This Row],[Period]],Forecast!$H$2:$L$1048576,3,FALSE)),2)</f>
        <v>0</v>
      </c>
      <c r="L343" s="2">
        <f>Table15781012[[#This Row],[Period]]+$E$9</f>
        <v>339</v>
      </c>
      <c r="M343" s="3">
        <f>Table15781012[[#This Row],[Defaulted Principal]]-Table15781012[[#This Row],[Estimated Loss]]</f>
        <v>0</v>
      </c>
      <c r="N343" s="3">
        <f>IFERROR(VLOOKUP(Table15781012[[#This Row],[Period]],$L$16:$M$385,2,FALSE),0)</f>
        <v>0</v>
      </c>
      <c r="O343" s="3">
        <f>Table15781012[[#This Row],[Beginning Balance]]-Table15781012[[#This Row],[Principal]]-Table15781012[[#This Row],[Prepayments]]-Table15781012[[#This Row],[Defaulted Principal]]</f>
        <v>0</v>
      </c>
      <c r="P343" s="3">
        <f>Table15781012[[#This Row],[Principal]]+Table15781012[[#This Row],[Interest]]+Table15781012[[#This Row],[Prepayments]]+Table15781012[[#This Row],[RecoveredAmount]]</f>
        <v>0</v>
      </c>
      <c r="Q343" s="3">
        <f ca="1">ROUND(Table15781012[[#This Row],[Cash Flow]]/((1+ActualRateToUse)^(IF(ISNUMBER(SEARCH("Actual",$C$7)),Table15781012[[#This Row],[Running Total]]/365,Table15781012[[#This Row],[Period]]/12))),2)</f>
        <v>0</v>
      </c>
      <c r="R343" s="2">
        <f>IF(MONTH(Table15781012[[#This Row],[Date]])=2,28,DAY(DATE(YEAR(Table15781012[[#This Row],[Date]]),MONTH(Table15781012[[#This Row],[Date]])+1,1)-1))</f>
        <v>30</v>
      </c>
      <c r="S343" s="2">
        <f ca="1">SUM(OFFSET(Table15781012[[#Headers],[Days in month]],1,0):Table15781012[[#This Row],[Days in month]])</f>
        <v>9947</v>
      </c>
      <c r="T343" s="37">
        <f>InterestRate*AmortizationMultiplier*IF(ISNUMBER(SEARCH("Actual",$C$7)),Table15781012[[#This Row],[Days in month]]/365,1/12)</f>
        <v>5.8749999999999991E-3</v>
      </c>
    </row>
    <row r="344" spans="2:20" x14ac:dyDescent="0.2">
      <c r="B344" s="1">
        <f t="shared" si="18"/>
        <v>55823</v>
      </c>
      <c r="C344" s="2">
        <f t="shared" si="20"/>
        <v>328</v>
      </c>
      <c r="D344" s="3">
        <f t="shared" si="19"/>
        <v>0</v>
      </c>
      <c r="E344" s="3">
        <f>ROUND(Table15781012[[#This Row],[Beginning Balance]]*Table15781012[[#This Row],[Monthly Interest Rate]],2)</f>
        <v>0</v>
      </c>
      <c r="F344" s="3">
        <f t="shared" si="21"/>
        <v>24</v>
      </c>
      <c r="G344" s="23">
        <f>IFERROR(IF($C$13="No","N/A",IF(Table15781012[[#This Row],[Period]]=1,$C$6,PMT(InterestRate*AmortizationMultiplier/12,Table15781012[[#This Row],[Am Thru]],-Table15781012[[#This Row],[Beginning Balance]]))),0)</f>
        <v>0</v>
      </c>
      <c r="H344" s="3">
        <f>MAX(0,IF(C344=$C$4,D344,ROUND(IF($C$3="Fixed Principal",$C$6-Table15781012[[#This Row],[Interest]],IF($C$3="Interest Only",Table15781012[[#This Row],[Beginning Balance]]*ROUND(1-(1-IF($C$11="No",$E$8,1))^(1/12),6),MIN(IF($C$13="Yes",Table15781012[[#This Row],[Payment Amount (Reamortized)]],$C$6)-Table15781012[[#This Row],[Interest]],Table15781012[[#This Row],[Beginning Balance]]))),2)))</f>
        <v>0</v>
      </c>
      <c r="I344" s="3">
        <f>_xlfn.SINGLE(IF($C$3="Line of Credit",0,ROUND(MAX(MIN(IF($C$10="No",$E$7,VLOOKUP(Table15781012[[#This Row],[Period]],Forecast!$H$2:$L$1048576,4,FALSE))*Table15781012[[#This Row],[Beginning Balance]],Table15781012[[#This Row],[Beginning Balance]]-Table15781012[[#This Row],[Principal]]),0),2)))</f>
        <v>0</v>
      </c>
      <c r="J344" s="3">
        <f>ROUND(MIN(Table15781012[[#This Row],[Beginning Balance]]*IF($C$8="No",$E$3,VLOOKUP(Table15781012[[#This Row],[Period]],Forecast!$H$2:$L$1048576,2,FALSE)),Table15781012[[#This Row],[Beginning Balance]]-Table15781012[[#This Row],[Principal]]-Table15781012[[#This Row],[Prepayments]]),2)</f>
        <v>0</v>
      </c>
      <c r="K344" s="3">
        <f>ROUND(Table15781012[[#This Row],[Defaulted Principal]]*IF($C$9="No",$E$4,VLOOKUP(Table15781012[[#This Row],[Period]],Forecast!$H$2:$L$1048576,3,FALSE)),2)</f>
        <v>0</v>
      </c>
      <c r="L344" s="2">
        <f>Table15781012[[#This Row],[Period]]+$E$9</f>
        <v>340</v>
      </c>
      <c r="M344" s="3">
        <f>Table15781012[[#This Row],[Defaulted Principal]]-Table15781012[[#This Row],[Estimated Loss]]</f>
        <v>0</v>
      </c>
      <c r="N344" s="3">
        <f>IFERROR(VLOOKUP(Table15781012[[#This Row],[Period]],$L$16:$M$385,2,FALSE),0)</f>
        <v>0</v>
      </c>
      <c r="O344" s="3">
        <f>Table15781012[[#This Row],[Beginning Balance]]-Table15781012[[#This Row],[Principal]]-Table15781012[[#This Row],[Prepayments]]-Table15781012[[#This Row],[Defaulted Principal]]</f>
        <v>0</v>
      </c>
      <c r="P344" s="3">
        <f>Table15781012[[#This Row],[Principal]]+Table15781012[[#This Row],[Interest]]+Table15781012[[#This Row],[Prepayments]]+Table15781012[[#This Row],[RecoveredAmount]]</f>
        <v>0</v>
      </c>
      <c r="Q344" s="3">
        <f ca="1">ROUND(Table15781012[[#This Row],[Cash Flow]]/((1+ActualRateToUse)^(IF(ISNUMBER(SEARCH("Actual",$C$7)),Table15781012[[#This Row],[Running Total]]/365,Table15781012[[#This Row],[Period]]/12))),2)</f>
        <v>0</v>
      </c>
      <c r="R344" s="2">
        <f>IF(MONTH(Table15781012[[#This Row],[Date]])=2,28,DAY(DATE(YEAR(Table15781012[[#This Row],[Date]]),MONTH(Table15781012[[#This Row],[Date]])+1,1)-1))</f>
        <v>31</v>
      </c>
      <c r="S344" s="2">
        <f ca="1">SUM(OFFSET(Table15781012[[#Headers],[Days in month]],1,0):Table15781012[[#This Row],[Days in month]])</f>
        <v>9978</v>
      </c>
      <c r="T344" s="37">
        <f>InterestRate*AmortizationMultiplier*IF(ISNUMBER(SEARCH("Actual",$C$7)),Table15781012[[#This Row],[Days in month]]/365,1/12)</f>
        <v>6.0708333333333326E-3</v>
      </c>
    </row>
    <row r="345" spans="2:20" x14ac:dyDescent="0.2">
      <c r="B345" s="1">
        <f t="shared" si="18"/>
        <v>55853</v>
      </c>
      <c r="C345" s="2">
        <f t="shared" si="20"/>
        <v>329</v>
      </c>
      <c r="D345" s="3">
        <f t="shared" si="19"/>
        <v>0</v>
      </c>
      <c r="E345" s="3">
        <f>ROUND(Table15781012[[#This Row],[Beginning Balance]]*Table15781012[[#This Row],[Monthly Interest Rate]],2)</f>
        <v>0</v>
      </c>
      <c r="F345" s="3">
        <f t="shared" si="21"/>
        <v>23</v>
      </c>
      <c r="G345" s="23">
        <f>IFERROR(IF($C$13="No","N/A",IF(Table15781012[[#This Row],[Period]]=1,$C$6,PMT(InterestRate*AmortizationMultiplier/12,Table15781012[[#This Row],[Am Thru]],-Table15781012[[#This Row],[Beginning Balance]]))),0)</f>
        <v>0</v>
      </c>
      <c r="H345" s="3">
        <f>MAX(0,IF(C345=$C$4,D345,ROUND(IF($C$3="Fixed Principal",$C$6-Table15781012[[#This Row],[Interest]],IF($C$3="Interest Only",Table15781012[[#This Row],[Beginning Balance]]*ROUND(1-(1-IF($C$11="No",$E$8,1))^(1/12),6),MIN(IF($C$13="Yes",Table15781012[[#This Row],[Payment Amount (Reamortized)]],$C$6)-Table15781012[[#This Row],[Interest]],Table15781012[[#This Row],[Beginning Balance]]))),2)))</f>
        <v>0</v>
      </c>
      <c r="I345" s="3">
        <f>_xlfn.SINGLE(IF($C$3="Line of Credit",0,ROUND(MAX(MIN(IF($C$10="No",$E$7,VLOOKUP(Table15781012[[#This Row],[Period]],Forecast!$H$2:$L$1048576,4,FALSE))*Table15781012[[#This Row],[Beginning Balance]],Table15781012[[#This Row],[Beginning Balance]]-Table15781012[[#This Row],[Principal]]),0),2)))</f>
        <v>0</v>
      </c>
      <c r="J345" s="3">
        <f>ROUND(MIN(Table15781012[[#This Row],[Beginning Balance]]*IF($C$8="No",$E$3,VLOOKUP(Table15781012[[#This Row],[Period]],Forecast!$H$2:$L$1048576,2,FALSE)),Table15781012[[#This Row],[Beginning Balance]]-Table15781012[[#This Row],[Principal]]-Table15781012[[#This Row],[Prepayments]]),2)</f>
        <v>0</v>
      </c>
      <c r="K345" s="3">
        <f>ROUND(Table15781012[[#This Row],[Defaulted Principal]]*IF($C$9="No",$E$4,VLOOKUP(Table15781012[[#This Row],[Period]],Forecast!$H$2:$L$1048576,3,FALSE)),2)</f>
        <v>0</v>
      </c>
      <c r="L345" s="2">
        <f>Table15781012[[#This Row],[Period]]+$E$9</f>
        <v>341</v>
      </c>
      <c r="M345" s="3">
        <f>Table15781012[[#This Row],[Defaulted Principal]]-Table15781012[[#This Row],[Estimated Loss]]</f>
        <v>0</v>
      </c>
      <c r="N345" s="3">
        <f>IFERROR(VLOOKUP(Table15781012[[#This Row],[Period]],$L$16:$M$385,2,FALSE),0)</f>
        <v>0</v>
      </c>
      <c r="O345" s="3">
        <f>Table15781012[[#This Row],[Beginning Balance]]-Table15781012[[#This Row],[Principal]]-Table15781012[[#This Row],[Prepayments]]-Table15781012[[#This Row],[Defaulted Principal]]</f>
        <v>0</v>
      </c>
      <c r="P345" s="3">
        <f>Table15781012[[#This Row],[Principal]]+Table15781012[[#This Row],[Interest]]+Table15781012[[#This Row],[Prepayments]]+Table15781012[[#This Row],[RecoveredAmount]]</f>
        <v>0</v>
      </c>
      <c r="Q345" s="3">
        <f ca="1">ROUND(Table15781012[[#This Row],[Cash Flow]]/((1+ActualRateToUse)^(IF(ISNUMBER(SEARCH("Actual",$C$7)),Table15781012[[#This Row],[Running Total]]/365,Table15781012[[#This Row],[Period]]/12))),2)</f>
        <v>0</v>
      </c>
      <c r="R345" s="2">
        <f>IF(MONTH(Table15781012[[#This Row],[Date]])=2,28,DAY(DATE(YEAR(Table15781012[[#This Row],[Date]]),MONTH(Table15781012[[#This Row],[Date]])+1,1)-1))</f>
        <v>30</v>
      </c>
      <c r="S345" s="2">
        <f ca="1">SUM(OFFSET(Table15781012[[#Headers],[Days in month]],1,0):Table15781012[[#This Row],[Days in month]])</f>
        <v>10008</v>
      </c>
      <c r="T345" s="37">
        <f>InterestRate*AmortizationMultiplier*IF(ISNUMBER(SEARCH("Actual",$C$7)),Table15781012[[#This Row],[Days in month]]/365,1/12)</f>
        <v>5.8749999999999991E-3</v>
      </c>
    </row>
    <row r="346" spans="2:20" x14ac:dyDescent="0.2">
      <c r="B346" s="1">
        <f t="shared" si="18"/>
        <v>55884</v>
      </c>
      <c r="C346" s="2">
        <f t="shared" si="20"/>
        <v>330</v>
      </c>
      <c r="D346" s="3">
        <f t="shared" si="19"/>
        <v>0</v>
      </c>
      <c r="E346" s="3">
        <f>ROUND(Table15781012[[#This Row],[Beginning Balance]]*Table15781012[[#This Row],[Monthly Interest Rate]],2)</f>
        <v>0</v>
      </c>
      <c r="F346" s="3">
        <f t="shared" si="21"/>
        <v>22</v>
      </c>
      <c r="G346" s="23">
        <f>IFERROR(IF($C$13="No","N/A",IF(Table15781012[[#This Row],[Period]]=1,$C$6,PMT(InterestRate*AmortizationMultiplier/12,Table15781012[[#This Row],[Am Thru]],-Table15781012[[#This Row],[Beginning Balance]]))),0)</f>
        <v>0</v>
      </c>
      <c r="H346" s="3">
        <f>MAX(0,IF(C346=$C$4,D346,ROUND(IF($C$3="Fixed Principal",$C$6-Table15781012[[#This Row],[Interest]],IF($C$3="Interest Only",Table15781012[[#This Row],[Beginning Balance]]*ROUND(1-(1-IF($C$11="No",$E$8,1))^(1/12),6),MIN(IF($C$13="Yes",Table15781012[[#This Row],[Payment Amount (Reamortized)]],$C$6)-Table15781012[[#This Row],[Interest]],Table15781012[[#This Row],[Beginning Balance]]))),2)))</f>
        <v>0</v>
      </c>
      <c r="I346" s="3">
        <f>_xlfn.SINGLE(IF($C$3="Line of Credit",0,ROUND(MAX(MIN(IF($C$10="No",$E$7,VLOOKUP(Table15781012[[#This Row],[Period]],Forecast!$H$2:$L$1048576,4,FALSE))*Table15781012[[#This Row],[Beginning Balance]],Table15781012[[#This Row],[Beginning Balance]]-Table15781012[[#This Row],[Principal]]),0),2)))</f>
        <v>0</v>
      </c>
      <c r="J346" s="3">
        <f>ROUND(MIN(Table15781012[[#This Row],[Beginning Balance]]*IF($C$8="No",$E$3,VLOOKUP(Table15781012[[#This Row],[Period]],Forecast!$H$2:$L$1048576,2,FALSE)),Table15781012[[#This Row],[Beginning Balance]]-Table15781012[[#This Row],[Principal]]-Table15781012[[#This Row],[Prepayments]]),2)</f>
        <v>0</v>
      </c>
      <c r="K346" s="3">
        <f>ROUND(Table15781012[[#This Row],[Defaulted Principal]]*IF($C$9="No",$E$4,VLOOKUP(Table15781012[[#This Row],[Period]],Forecast!$H$2:$L$1048576,3,FALSE)),2)</f>
        <v>0</v>
      </c>
      <c r="L346" s="2">
        <f>Table15781012[[#This Row],[Period]]+$E$9</f>
        <v>342</v>
      </c>
      <c r="M346" s="3">
        <f>Table15781012[[#This Row],[Defaulted Principal]]-Table15781012[[#This Row],[Estimated Loss]]</f>
        <v>0</v>
      </c>
      <c r="N346" s="3">
        <f>IFERROR(VLOOKUP(Table15781012[[#This Row],[Period]],$L$16:$M$385,2,FALSE),0)</f>
        <v>0</v>
      </c>
      <c r="O346" s="3">
        <f>Table15781012[[#This Row],[Beginning Balance]]-Table15781012[[#This Row],[Principal]]-Table15781012[[#This Row],[Prepayments]]-Table15781012[[#This Row],[Defaulted Principal]]</f>
        <v>0</v>
      </c>
      <c r="P346" s="3">
        <f>Table15781012[[#This Row],[Principal]]+Table15781012[[#This Row],[Interest]]+Table15781012[[#This Row],[Prepayments]]+Table15781012[[#This Row],[RecoveredAmount]]</f>
        <v>0</v>
      </c>
      <c r="Q346" s="3">
        <f ca="1">ROUND(Table15781012[[#This Row],[Cash Flow]]/((1+ActualRateToUse)^(IF(ISNUMBER(SEARCH("Actual",$C$7)),Table15781012[[#This Row],[Running Total]]/365,Table15781012[[#This Row],[Period]]/12))),2)</f>
        <v>0</v>
      </c>
      <c r="R346" s="2">
        <f>IF(MONTH(Table15781012[[#This Row],[Date]])=2,28,DAY(DATE(YEAR(Table15781012[[#This Row],[Date]]),MONTH(Table15781012[[#This Row],[Date]])+1,1)-1))</f>
        <v>31</v>
      </c>
      <c r="S346" s="2">
        <f ca="1">SUM(OFFSET(Table15781012[[#Headers],[Days in month]],1,0):Table15781012[[#This Row],[Days in month]])</f>
        <v>10039</v>
      </c>
      <c r="T346" s="37">
        <f>InterestRate*AmortizationMultiplier*IF(ISNUMBER(SEARCH("Actual",$C$7)),Table15781012[[#This Row],[Days in month]]/365,1/12)</f>
        <v>6.0708333333333326E-3</v>
      </c>
    </row>
    <row r="347" spans="2:20" x14ac:dyDescent="0.2">
      <c r="B347" s="1">
        <f t="shared" si="18"/>
        <v>55915</v>
      </c>
      <c r="C347" s="2">
        <f t="shared" si="20"/>
        <v>331</v>
      </c>
      <c r="D347" s="3">
        <f t="shared" si="19"/>
        <v>0</v>
      </c>
      <c r="E347" s="3">
        <f>ROUND(Table15781012[[#This Row],[Beginning Balance]]*Table15781012[[#This Row],[Monthly Interest Rate]],2)</f>
        <v>0</v>
      </c>
      <c r="F347" s="3">
        <f t="shared" si="21"/>
        <v>21</v>
      </c>
      <c r="G347" s="23">
        <f>IFERROR(IF($C$13="No","N/A",IF(Table15781012[[#This Row],[Period]]=1,$C$6,PMT(InterestRate*AmortizationMultiplier/12,Table15781012[[#This Row],[Am Thru]],-Table15781012[[#This Row],[Beginning Balance]]))),0)</f>
        <v>0</v>
      </c>
      <c r="H347" s="3">
        <f>MAX(0,IF(C347=$C$4,D347,ROUND(IF($C$3="Fixed Principal",$C$6-Table15781012[[#This Row],[Interest]],IF($C$3="Interest Only",Table15781012[[#This Row],[Beginning Balance]]*ROUND(1-(1-IF($C$11="No",$E$8,1))^(1/12),6),MIN(IF($C$13="Yes",Table15781012[[#This Row],[Payment Amount (Reamortized)]],$C$6)-Table15781012[[#This Row],[Interest]],Table15781012[[#This Row],[Beginning Balance]]))),2)))</f>
        <v>0</v>
      </c>
      <c r="I347" s="3">
        <f>_xlfn.SINGLE(IF($C$3="Line of Credit",0,ROUND(MAX(MIN(IF($C$10="No",$E$7,VLOOKUP(Table15781012[[#This Row],[Period]],Forecast!$H$2:$L$1048576,4,FALSE))*Table15781012[[#This Row],[Beginning Balance]],Table15781012[[#This Row],[Beginning Balance]]-Table15781012[[#This Row],[Principal]]),0),2)))</f>
        <v>0</v>
      </c>
      <c r="J347" s="3">
        <f>ROUND(MIN(Table15781012[[#This Row],[Beginning Balance]]*IF($C$8="No",$E$3,VLOOKUP(Table15781012[[#This Row],[Period]],Forecast!$H$2:$L$1048576,2,FALSE)),Table15781012[[#This Row],[Beginning Balance]]-Table15781012[[#This Row],[Principal]]-Table15781012[[#This Row],[Prepayments]]),2)</f>
        <v>0</v>
      </c>
      <c r="K347" s="3">
        <f>ROUND(Table15781012[[#This Row],[Defaulted Principal]]*IF($C$9="No",$E$4,VLOOKUP(Table15781012[[#This Row],[Period]],Forecast!$H$2:$L$1048576,3,FALSE)),2)</f>
        <v>0</v>
      </c>
      <c r="L347" s="2">
        <f>Table15781012[[#This Row],[Period]]+$E$9</f>
        <v>343</v>
      </c>
      <c r="M347" s="3">
        <f>Table15781012[[#This Row],[Defaulted Principal]]-Table15781012[[#This Row],[Estimated Loss]]</f>
        <v>0</v>
      </c>
      <c r="N347" s="3">
        <f>IFERROR(VLOOKUP(Table15781012[[#This Row],[Period]],$L$16:$M$385,2,FALSE),0)</f>
        <v>0</v>
      </c>
      <c r="O347" s="3">
        <f>Table15781012[[#This Row],[Beginning Balance]]-Table15781012[[#This Row],[Principal]]-Table15781012[[#This Row],[Prepayments]]-Table15781012[[#This Row],[Defaulted Principal]]</f>
        <v>0</v>
      </c>
      <c r="P347" s="3">
        <f>Table15781012[[#This Row],[Principal]]+Table15781012[[#This Row],[Interest]]+Table15781012[[#This Row],[Prepayments]]+Table15781012[[#This Row],[RecoveredAmount]]</f>
        <v>0</v>
      </c>
      <c r="Q347" s="3">
        <f ca="1">ROUND(Table15781012[[#This Row],[Cash Flow]]/((1+ActualRateToUse)^(IF(ISNUMBER(SEARCH("Actual",$C$7)),Table15781012[[#This Row],[Running Total]]/365,Table15781012[[#This Row],[Period]]/12))),2)</f>
        <v>0</v>
      </c>
      <c r="R347" s="2">
        <f>IF(MONTH(Table15781012[[#This Row],[Date]])=2,28,DAY(DATE(YEAR(Table15781012[[#This Row],[Date]]),MONTH(Table15781012[[#This Row],[Date]])+1,1)-1))</f>
        <v>31</v>
      </c>
      <c r="S347" s="2">
        <f ca="1">SUM(OFFSET(Table15781012[[#Headers],[Days in month]],1,0):Table15781012[[#This Row],[Days in month]])</f>
        <v>10070</v>
      </c>
      <c r="T347" s="37">
        <f>InterestRate*AmortizationMultiplier*IF(ISNUMBER(SEARCH("Actual",$C$7)),Table15781012[[#This Row],[Days in month]]/365,1/12)</f>
        <v>6.0708333333333326E-3</v>
      </c>
    </row>
    <row r="348" spans="2:20" x14ac:dyDescent="0.2">
      <c r="B348" s="1">
        <f t="shared" si="18"/>
        <v>55943</v>
      </c>
      <c r="C348" s="2">
        <f t="shared" si="20"/>
        <v>332</v>
      </c>
      <c r="D348" s="3">
        <f t="shared" si="19"/>
        <v>0</v>
      </c>
      <c r="E348" s="3">
        <f>ROUND(Table15781012[[#This Row],[Beginning Balance]]*Table15781012[[#This Row],[Monthly Interest Rate]],2)</f>
        <v>0</v>
      </c>
      <c r="F348" s="3">
        <f t="shared" si="21"/>
        <v>20</v>
      </c>
      <c r="G348" s="23">
        <f>IFERROR(IF($C$13="No","N/A",IF(Table15781012[[#This Row],[Period]]=1,$C$6,PMT(InterestRate*AmortizationMultiplier/12,Table15781012[[#This Row],[Am Thru]],-Table15781012[[#This Row],[Beginning Balance]]))),0)</f>
        <v>0</v>
      </c>
      <c r="H348" s="3">
        <f>MAX(0,IF(C348=$C$4,D348,ROUND(IF($C$3="Fixed Principal",$C$6-Table15781012[[#This Row],[Interest]],IF($C$3="Interest Only",Table15781012[[#This Row],[Beginning Balance]]*ROUND(1-(1-IF($C$11="No",$E$8,1))^(1/12),6),MIN(IF($C$13="Yes",Table15781012[[#This Row],[Payment Amount (Reamortized)]],$C$6)-Table15781012[[#This Row],[Interest]],Table15781012[[#This Row],[Beginning Balance]]))),2)))</f>
        <v>0</v>
      </c>
      <c r="I348" s="3">
        <f>_xlfn.SINGLE(IF($C$3="Line of Credit",0,ROUND(MAX(MIN(IF($C$10="No",$E$7,VLOOKUP(Table15781012[[#This Row],[Period]],Forecast!$H$2:$L$1048576,4,FALSE))*Table15781012[[#This Row],[Beginning Balance]],Table15781012[[#This Row],[Beginning Balance]]-Table15781012[[#This Row],[Principal]]),0),2)))</f>
        <v>0</v>
      </c>
      <c r="J348" s="3">
        <f>ROUND(MIN(Table15781012[[#This Row],[Beginning Balance]]*IF($C$8="No",$E$3,VLOOKUP(Table15781012[[#This Row],[Period]],Forecast!$H$2:$L$1048576,2,FALSE)),Table15781012[[#This Row],[Beginning Balance]]-Table15781012[[#This Row],[Principal]]-Table15781012[[#This Row],[Prepayments]]),2)</f>
        <v>0</v>
      </c>
      <c r="K348" s="3">
        <f>ROUND(Table15781012[[#This Row],[Defaulted Principal]]*IF($C$9="No",$E$4,VLOOKUP(Table15781012[[#This Row],[Period]],Forecast!$H$2:$L$1048576,3,FALSE)),2)</f>
        <v>0</v>
      </c>
      <c r="L348" s="2">
        <f>Table15781012[[#This Row],[Period]]+$E$9</f>
        <v>344</v>
      </c>
      <c r="M348" s="3">
        <f>Table15781012[[#This Row],[Defaulted Principal]]-Table15781012[[#This Row],[Estimated Loss]]</f>
        <v>0</v>
      </c>
      <c r="N348" s="3">
        <f>IFERROR(VLOOKUP(Table15781012[[#This Row],[Period]],$L$16:$M$385,2,FALSE),0)</f>
        <v>0</v>
      </c>
      <c r="O348" s="3">
        <f>Table15781012[[#This Row],[Beginning Balance]]-Table15781012[[#This Row],[Principal]]-Table15781012[[#This Row],[Prepayments]]-Table15781012[[#This Row],[Defaulted Principal]]</f>
        <v>0</v>
      </c>
      <c r="P348" s="3">
        <f>Table15781012[[#This Row],[Principal]]+Table15781012[[#This Row],[Interest]]+Table15781012[[#This Row],[Prepayments]]+Table15781012[[#This Row],[RecoveredAmount]]</f>
        <v>0</v>
      </c>
      <c r="Q348" s="3">
        <f ca="1">ROUND(Table15781012[[#This Row],[Cash Flow]]/((1+ActualRateToUse)^(IF(ISNUMBER(SEARCH("Actual",$C$7)),Table15781012[[#This Row],[Running Total]]/365,Table15781012[[#This Row],[Period]]/12))),2)</f>
        <v>0</v>
      </c>
      <c r="R348" s="2">
        <f>IF(MONTH(Table15781012[[#This Row],[Date]])=2,28,DAY(DATE(YEAR(Table15781012[[#This Row],[Date]]),MONTH(Table15781012[[#This Row],[Date]])+1,1)-1))</f>
        <v>28</v>
      </c>
      <c r="S348" s="2">
        <f ca="1">SUM(OFFSET(Table15781012[[#Headers],[Days in month]],1,0):Table15781012[[#This Row],[Days in month]])</f>
        <v>10098</v>
      </c>
      <c r="T348" s="37">
        <f>InterestRate*AmortizationMultiplier*IF(ISNUMBER(SEARCH("Actual",$C$7)),Table15781012[[#This Row],[Days in month]]/365,1/12)</f>
        <v>5.4833333333333331E-3</v>
      </c>
    </row>
    <row r="349" spans="2:20" x14ac:dyDescent="0.2">
      <c r="B349" s="1">
        <f t="shared" si="18"/>
        <v>55974</v>
      </c>
      <c r="C349" s="2">
        <f t="shared" si="20"/>
        <v>333</v>
      </c>
      <c r="D349" s="3">
        <f t="shared" si="19"/>
        <v>0</v>
      </c>
      <c r="E349" s="3">
        <f>ROUND(Table15781012[[#This Row],[Beginning Balance]]*Table15781012[[#This Row],[Monthly Interest Rate]],2)</f>
        <v>0</v>
      </c>
      <c r="F349" s="3">
        <f t="shared" si="21"/>
        <v>19</v>
      </c>
      <c r="G349" s="23">
        <f>IFERROR(IF($C$13="No","N/A",IF(Table15781012[[#This Row],[Period]]=1,$C$6,PMT(InterestRate*AmortizationMultiplier/12,Table15781012[[#This Row],[Am Thru]],-Table15781012[[#This Row],[Beginning Balance]]))),0)</f>
        <v>0</v>
      </c>
      <c r="H349" s="3">
        <f>MAX(0,IF(C349=$C$4,D349,ROUND(IF($C$3="Fixed Principal",$C$6-Table15781012[[#This Row],[Interest]],IF($C$3="Interest Only",Table15781012[[#This Row],[Beginning Balance]]*ROUND(1-(1-IF($C$11="No",$E$8,1))^(1/12),6),MIN(IF($C$13="Yes",Table15781012[[#This Row],[Payment Amount (Reamortized)]],$C$6)-Table15781012[[#This Row],[Interest]],Table15781012[[#This Row],[Beginning Balance]]))),2)))</f>
        <v>0</v>
      </c>
      <c r="I349" s="3">
        <f>_xlfn.SINGLE(IF($C$3="Line of Credit",0,ROUND(MAX(MIN(IF($C$10="No",$E$7,VLOOKUP(Table15781012[[#This Row],[Period]],Forecast!$H$2:$L$1048576,4,FALSE))*Table15781012[[#This Row],[Beginning Balance]],Table15781012[[#This Row],[Beginning Balance]]-Table15781012[[#This Row],[Principal]]),0),2)))</f>
        <v>0</v>
      </c>
      <c r="J349" s="3">
        <f>ROUND(MIN(Table15781012[[#This Row],[Beginning Balance]]*IF($C$8="No",$E$3,VLOOKUP(Table15781012[[#This Row],[Period]],Forecast!$H$2:$L$1048576,2,FALSE)),Table15781012[[#This Row],[Beginning Balance]]-Table15781012[[#This Row],[Principal]]-Table15781012[[#This Row],[Prepayments]]),2)</f>
        <v>0</v>
      </c>
      <c r="K349" s="3">
        <f>ROUND(Table15781012[[#This Row],[Defaulted Principal]]*IF($C$9="No",$E$4,VLOOKUP(Table15781012[[#This Row],[Period]],Forecast!$H$2:$L$1048576,3,FALSE)),2)</f>
        <v>0</v>
      </c>
      <c r="L349" s="2">
        <f>Table15781012[[#This Row],[Period]]+$E$9</f>
        <v>345</v>
      </c>
      <c r="M349" s="3">
        <f>Table15781012[[#This Row],[Defaulted Principal]]-Table15781012[[#This Row],[Estimated Loss]]</f>
        <v>0</v>
      </c>
      <c r="N349" s="3">
        <f>IFERROR(VLOOKUP(Table15781012[[#This Row],[Period]],$L$16:$M$385,2,FALSE),0)</f>
        <v>0</v>
      </c>
      <c r="O349" s="3">
        <f>Table15781012[[#This Row],[Beginning Balance]]-Table15781012[[#This Row],[Principal]]-Table15781012[[#This Row],[Prepayments]]-Table15781012[[#This Row],[Defaulted Principal]]</f>
        <v>0</v>
      </c>
      <c r="P349" s="3">
        <f>Table15781012[[#This Row],[Principal]]+Table15781012[[#This Row],[Interest]]+Table15781012[[#This Row],[Prepayments]]+Table15781012[[#This Row],[RecoveredAmount]]</f>
        <v>0</v>
      </c>
      <c r="Q349" s="3">
        <f ca="1">ROUND(Table15781012[[#This Row],[Cash Flow]]/((1+ActualRateToUse)^(IF(ISNUMBER(SEARCH("Actual",$C$7)),Table15781012[[#This Row],[Running Total]]/365,Table15781012[[#This Row],[Period]]/12))),2)</f>
        <v>0</v>
      </c>
      <c r="R349" s="2">
        <f>IF(MONTH(Table15781012[[#This Row],[Date]])=2,28,DAY(DATE(YEAR(Table15781012[[#This Row],[Date]]),MONTH(Table15781012[[#This Row],[Date]])+1,1)-1))</f>
        <v>31</v>
      </c>
      <c r="S349" s="2">
        <f ca="1">SUM(OFFSET(Table15781012[[#Headers],[Days in month]],1,0):Table15781012[[#This Row],[Days in month]])</f>
        <v>10129</v>
      </c>
      <c r="T349" s="37">
        <f>InterestRate*AmortizationMultiplier*IF(ISNUMBER(SEARCH("Actual",$C$7)),Table15781012[[#This Row],[Days in month]]/365,1/12)</f>
        <v>6.0708333333333326E-3</v>
      </c>
    </row>
    <row r="350" spans="2:20" x14ac:dyDescent="0.2">
      <c r="B350" s="1">
        <f t="shared" si="18"/>
        <v>56004</v>
      </c>
      <c r="C350" s="2">
        <f t="shared" si="20"/>
        <v>334</v>
      </c>
      <c r="D350" s="3">
        <f t="shared" si="19"/>
        <v>0</v>
      </c>
      <c r="E350" s="3">
        <f>ROUND(Table15781012[[#This Row],[Beginning Balance]]*Table15781012[[#This Row],[Monthly Interest Rate]],2)</f>
        <v>0</v>
      </c>
      <c r="F350" s="3">
        <f t="shared" si="21"/>
        <v>18</v>
      </c>
      <c r="G350" s="23">
        <f>IFERROR(IF($C$13="No","N/A",IF(Table15781012[[#This Row],[Period]]=1,$C$6,PMT(InterestRate*AmortizationMultiplier/12,Table15781012[[#This Row],[Am Thru]],-Table15781012[[#This Row],[Beginning Balance]]))),0)</f>
        <v>0</v>
      </c>
      <c r="H350" s="3">
        <f>MAX(0,IF(C350=$C$4,D350,ROUND(IF($C$3="Fixed Principal",$C$6-Table15781012[[#This Row],[Interest]],IF($C$3="Interest Only",Table15781012[[#This Row],[Beginning Balance]]*ROUND(1-(1-IF($C$11="No",$E$8,1))^(1/12),6),MIN(IF($C$13="Yes",Table15781012[[#This Row],[Payment Amount (Reamortized)]],$C$6)-Table15781012[[#This Row],[Interest]],Table15781012[[#This Row],[Beginning Balance]]))),2)))</f>
        <v>0</v>
      </c>
      <c r="I350" s="3">
        <f>_xlfn.SINGLE(IF($C$3="Line of Credit",0,ROUND(MAX(MIN(IF($C$10="No",$E$7,VLOOKUP(Table15781012[[#This Row],[Period]],Forecast!$H$2:$L$1048576,4,FALSE))*Table15781012[[#This Row],[Beginning Balance]],Table15781012[[#This Row],[Beginning Balance]]-Table15781012[[#This Row],[Principal]]),0),2)))</f>
        <v>0</v>
      </c>
      <c r="J350" s="3">
        <f>ROUND(MIN(Table15781012[[#This Row],[Beginning Balance]]*IF($C$8="No",$E$3,VLOOKUP(Table15781012[[#This Row],[Period]],Forecast!$H$2:$L$1048576,2,FALSE)),Table15781012[[#This Row],[Beginning Balance]]-Table15781012[[#This Row],[Principal]]-Table15781012[[#This Row],[Prepayments]]),2)</f>
        <v>0</v>
      </c>
      <c r="K350" s="3">
        <f>ROUND(Table15781012[[#This Row],[Defaulted Principal]]*IF($C$9="No",$E$4,VLOOKUP(Table15781012[[#This Row],[Period]],Forecast!$H$2:$L$1048576,3,FALSE)),2)</f>
        <v>0</v>
      </c>
      <c r="L350" s="2">
        <f>Table15781012[[#This Row],[Period]]+$E$9</f>
        <v>346</v>
      </c>
      <c r="M350" s="3">
        <f>Table15781012[[#This Row],[Defaulted Principal]]-Table15781012[[#This Row],[Estimated Loss]]</f>
        <v>0</v>
      </c>
      <c r="N350" s="3">
        <f>IFERROR(VLOOKUP(Table15781012[[#This Row],[Period]],$L$16:$M$385,2,FALSE),0)</f>
        <v>0</v>
      </c>
      <c r="O350" s="3">
        <f>Table15781012[[#This Row],[Beginning Balance]]-Table15781012[[#This Row],[Principal]]-Table15781012[[#This Row],[Prepayments]]-Table15781012[[#This Row],[Defaulted Principal]]</f>
        <v>0</v>
      </c>
      <c r="P350" s="3">
        <f>Table15781012[[#This Row],[Principal]]+Table15781012[[#This Row],[Interest]]+Table15781012[[#This Row],[Prepayments]]+Table15781012[[#This Row],[RecoveredAmount]]</f>
        <v>0</v>
      </c>
      <c r="Q350" s="3">
        <f ca="1">ROUND(Table15781012[[#This Row],[Cash Flow]]/((1+ActualRateToUse)^(IF(ISNUMBER(SEARCH("Actual",$C$7)),Table15781012[[#This Row],[Running Total]]/365,Table15781012[[#This Row],[Period]]/12))),2)</f>
        <v>0</v>
      </c>
      <c r="R350" s="2">
        <f>IF(MONTH(Table15781012[[#This Row],[Date]])=2,28,DAY(DATE(YEAR(Table15781012[[#This Row],[Date]]),MONTH(Table15781012[[#This Row],[Date]])+1,1)-1))</f>
        <v>30</v>
      </c>
      <c r="S350" s="2">
        <f ca="1">SUM(OFFSET(Table15781012[[#Headers],[Days in month]],1,0):Table15781012[[#This Row],[Days in month]])</f>
        <v>10159</v>
      </c>
      <c r="T350" s="37">
        <f>InterestRate*AmortizationMultiplier*IF(ISNUMBER(SEARCH("Actual",$C$7)),Table15781012[[#This Row],[Days in month]]/365,1/12)</f>
        <v>5.8749999999999991E-3</v>
      </c>
    </row>
    <row r="351" spans="2:20" x14ac:dyDescent="0.2">
      <c r="B351" s="1">
        <f t="shared" si="18"/>
        <v>56035</v>
      </c>
      <c r="C351" s="2">
        <f t="shared" si="20"/>
        <v>335</v>
      </c>
      <c r="D351" s="3">
        <f t="shared" si="19"/>
        <v>0</v>
      </c>
      <c r="E351" s="3">
        <f>ROUND(Table15781012[[#This Row],[Beginning Balance]]*Table15781012[[#This Row],[Monthly Interest Rate]],2)</f>
        <v>0</v>
      </c>
      <c r="F351" s="3">
        <f t="shared" si="21"/>
        <v>17</v>
      </c>
      <c r="G351" s="23">
        <f>IFERROR(IF($C$13="No","N/A",IF(Table15781012[[#This Row],[Period]]=1,$C$6,PMT(InterestRate*AmortizationMultiplier/12,Table15781012[[#This Row],[Am Thru]],-Table15781012[[#This Row],[Beginning Balance]]))),0)</f>
        <v>0</v>
      </c>
      <c r="H351" s="3">
        <f>MAX(0,IF(C351=$C$4,D351,ROUND(IF($C$3="Fixed Principal",$C$6-Table15781012[[#This Row],[Interest]],IF($C$3="Interest Only",Table15781012[[#This Row],[Beginning Balance]]*ROUND(1-(1-IF($C$11="No",$E$8,1))^(1/12),6),MIN(IF($C$13="Yes",Table15781012[[#This Row],[Payment Amount (Reamortized)]],$C$6)-Table15781012[[#This Row],[Interest]],Table15781012[[#This Row],[Beginning Balance]]))),2)))</f>
        <v>0</v>
      </c>
      <c r="I351" s="3">
        <f>_xlfn.SINGLE(IF($C$3="Line of Credit",0,ROUND(MAX(MIN(IF($C$10="No",$E$7,VLOOKUP(Table15781012[[#This Row],[Period]],Forecast!$H$2:$L$1048576,4,FALSE))*Table15781012[[#This Row],[Beginning Balance]],Table15781012[[#This Row],[Beginning Balance]]-Table15781012[[#This Row],[Principal]]),0),2)))</f>
        <v>0</v>
      </c>
      <c r="J351" s="3">
        <f>ROUND(MIN(Table15781012[[#This Row],[Beginning Balance]]*IF($C$8="No",$E$3,VLOOKUP(Table15781012[[#This Row],[Period]],Forecast!$H$2:$L$1048576,2,FALSE)),Table15781012[[#This Row],[Beginning Balance]]-Table15781012[[#This Row],[Principal]]-Table15781012[[#This Row],[Prepayments]]),2)</f>
        <v>0</v>
      </c>
      <c r="K351" s="3">
        <f>ROUND(Table15781012[[#This Row],[Defaulted Principal]]*IF($C$9="No",$E$4,VLOOKUP(Table15781012[[#This Row],[Period]],Forecast!$H$2:$L$1048576,3,FALSE)),2)</f>
        <v>0</v>
      </c>
      <c r="L351" s="2">
        <f>Table15781012[[#This Row],[Period]]+$E$9</f>
        <v>347</v>
      </c>
      <c r="M351" s="3">
        <f>Table15781012[[#This Row],[Defaulted Principal]]-Table15781012[[#This Row],[Estimated Loss]]</f>
        <v>0</v>
      </c>
      <c r="N351" s="3">
        <f>IFERROR(VLOOKUP(Table15781012[[#This Row],[Period]],$L$16:$M$385,2,FALSE),0)</f>
        <v>0</v>
      </c>
      <c r="O351" s="3">
        <f>Table15781012[[#This Row],[Beginning Balance]]-Table15781012[[#This Row],[Principal]]-Table15781012[[#This Row],[Prepayments]]-Table15781012[[#This Row],[Defaulted Principal]]</f>
        <v>0</v>
      </c>
      <c r="P351" s="3">
        <f>Table15781012[[#This Row],[Principal]]+Table15781012[[#This Row],[Interest]]+Table15781012[[#This Row],[Prepayments]]+Table15781012[[#This Row],[RecoveredAmount]]</f>
        <v>0</v>
      </c>
      <c r="Q351" s="3">
        <f ca="1">ROUND(Table15781012[[#This Row],[Cash Flow]]/((1+ActualRateToUse)^(IF(ISNUMBER(SEARCH("Actual",$C$7)),Table15781012[[#This Row],[Running Total]]/365,Table15781012[[#This Row],[Period]]/12))),2)</f>
        <v>0</v>
      </c>
      <c r="R351" s="2">
        <f>IF(MONTH(Table15781012[[#This Row],[Date]])=2,28,DAY(DATE(YEAR(Table15781012[[#This Row],[Date]]),MONTH(Table15781012[[#This Row],[Date]])+1,1)-1))</f>
        <v>31</v>
      </c>
      <c r="S351" s="2">
        <f ca="1">SUM(OFFSET(Table15781012[[#Headers],[Days in month]],1,0):Table15781012[[#This Row],[Days in month]])</f>
        <v>10190</v>
      </c>
      <c r="T351" s="37">
        <f>InterestRate*AmortizationMultiplier*IF(ISNUMBER(SEARCH("Actual",$C$7)),Table15781012[[#This Row],[Days in month]]/365,1/12)</f>
        <v>6.0708333333333326E-3</v>
      </c>
    </row>
    <row r="352" spans="2:20" x14ac:dyDescent="0.2">
      <c r="B352" s="1">
        <f t="shared" si="18"/>
        <v>56065</v>
      </c>
      <c r="C352" s="2">
        <f t="shared" si="20"/>
        <v>336</v>
      </c>
      <c r="D352" s="3">
        <f t="shared" si="19"/>
        <v>0</v>
      </c>
      <c r="E352" s="3">
        <f>ROUND(Table15781012[[#This Row],[Beginning Balance]]*Table15781012[[#This Row],[Monthly Interest Rate]],2)</f>
        <v>0</v>
      </c>
      <c r="F352" s="3">
        <f t="shared" si="21"/>
        <v>16</v>
      </c>
      <c r="G352" s="23">
        <f>IFERROR(IF($C$13="No","N/A",IF(Table15781012[[#This Row],[Period]]=1,$C$6,PMT(InterestRate*AmortizationMultiplier/12,Table15781012[[#This Row],[Am Thru]],-Table15781012[[#This Row],[Beginning Balance]]))),0)</f>
        <v>0</v>
      </c>
      <c r="H352" s="3">
        <f>MAX(0,IF(C352=$C$4,D352,ROUND(IF($C$3="Fixed Principal",$C$6-Table15781012[[#This Row],[Interest]],IF($C$3="Interest Only",Table15781012[[#This Row],[Beginning Balance]]*ROUND(1-(1-IF($C$11="No",$E$8,1))^(1/12),6),MIN(IF($C$13="Yes",Table15781012[[#This Row],[Payment Amount (Reamortized)]],$C$6)-Table15781012[[#This Row],[Interest]],Table15781012[[#This Row],[Beginning Balance]]))),2)))</f>
        <v>0</v>
      </c>
      <c r="I352" s="3">
        <f>_xlfn.SINGLE(IF($C$3="Line of Credit",0,ROUND(MAX(MIN(IF($C$10="No",$E$7,VLOOKUP(Table15781012[[#This Row],[Period]],Forecast!$H$2:$L$1048576,4,FALSE))*Table15781012[[#This Row],[Beginning Balance]],Table15781012[[#This Row],[Beginning Balance]]-Table15781012[[#This Row],[Principal]]),0),2)))</f>
        <v>0</v>
      </c>
      <c r="J352" s="3">
        <f>ROUND(MIN(Table15781012[[#This Row],[Beginning Balance]]*IF($C$8="No",$E$3,VLOOKUP(Table15781012[[#This Row],[Period]],Forecast!$H$2:$L$1048576,2,FALSE)),Table15781012[[#This Row],[Beginning Balance]]-Table15781012[[#This Row],[Principal]]-Table15781012[[#This Row],[Prepayments]]),2)</f>
        <v>0</v>
      </c>
      <c r="K352" s="3">
        <f>ROUND(Table15781012[[#This Row],[Defaulted Principal]]*IF($C$9="No",$E$4,VLOOKUP(Table15781012[[#This Row],[Period]],Forecast!$H$2:$L$1048576,3,FALSE)),2)</f>
        <v>0</v>
      </c>
      <c r="L352" s="2">
        <f>Table15781012[[#This Row],[Period]]+$E$9</f>
        <v>348</v>
      </c>
      <c r="M352" s="3">
        <f>Table15781012[[#This Row],[Defaulted Principal]]-Table15781012[[#This Row],[Estimated Loss]]</f>
        <v>0</v>
      </c>
      <c r="N352" s="3">
        <f>IFERROR(VLOOKUP(Table15781012[[#This Row],[Period]],$L$16:$M$385,2,FALSE),0)</f>
        <v>0</v>
      </c>
      <c r="O352" s="3">
        <f>Table15781012[[#This Row],[Beginning Balance]]-Table15781012[[#This Row],[Principal]]-Table15781012[[#This Row],[Prepayments]]-Table15781012[[#This Row],[Defaulted Principal]]</f>
        <v>0</v>
      </c>
      <c r="P352" s="3">
        <f>Table15781012[[#This Row],[Principal]]+Table15781012[[#This Row],[Interest]]+Table15781012[[#This Row],[Prepayments]]+Table15781012[[#This Row],[RecoveredAmount]]</f>
        <v>0</v>
      </c>
      <c r="Q352" s="3">
        <f ca="1">ROUND(Table15781012[[#This Row],[Cash Flow]]/((1+ActualRateToUse)^(IF(ISNUMBER(SEARCH("Actual",$C$7)),Table15781012[[#This Row],[Running Total]]/365,Table15781012[[#This Row],[Period]]/12))),2)</f>
        <v>0</v>
      </c>
      <c r="R352" s="2">
        <f>IF(MONTH(Table15781012[[#This Row],[Date]])=2,28,DAY(DATE(YEAR(Table15781012[[#This Row],[Date]]),MONTH(Table15781012[[#This Row],[Date]])+1,1)-1))</f>
        <v>30</v>
      </c>
      <c r="S352" s="2">
        <f ca="1">SUM(OFFSET(Table15781012[[#Headers],[Days in month]],1,0):Table15781012[[#This Row],[Days in month]])</f>
        <v>10220</v>
      </c>
      <c r="T352" s="37">
        <f>InterestRate*AmortizationMultiplier*IF(ISNUMBER(SEARCH("Actual",$C$7)),Table15781012[[#This Row],[Days in month]]/365,1/12)</f>
        <v>5.8749999999999991E-3</v>
      </c>
    </row>
    <row r="353" spans="2:20" x14ac:dyDescent="0.2">
      <c r="B353" s="1">
        <f t="shared" si="18"/>
        <v>56096</v>
      </c>
      <c r="C353" s="2">
        <f t="shared" si="20"/>
        <v>337</v>
      </c>
      <c r="D353" s="3">
        <f t="shared" si="19"/>
        <v>0</v>
      </c>
      <c r="E353" s="3">
        <f>ROUND(Table15781012[[#This Row],[Beginning Balance]]*Table15781012[[#This Row],[Monthly Interest Rate]],2)</f>
        <v>0</v>
      </c>
      <c r="F353" s="3">
        <f t="shared" si="21"/>
        <v>15</v>
      </c>
      <c r="G353" s="23">
        <f>IFERROR(IF($C$13="No","N/A",IF(Table15781012[[#This Row],[Period]]=1,$C$6,PMT(InterestRate*AmortizationMultiplier/12,Table15781012[[#This Row],[Am Thru]],-Table15781012[[#This Row],[Beginning Balance]]))),0)</f>
        <v>0</v>
      </c>
      <c r="H353" s="3">
        <f>MAX(0,IF(C353=$C$4,D353,ROUND(IF($C$3="Fixed Principal",$C$6-Table15781012[[#This Row],[Interest]],IF($C$3="Interest Only",Table15781012[[#This Row],[Beginning Balance]]*ROUND(1-(1-IF($C$11="No",$E$8,1))^(1/12),6),MIN(IF($C$13="Yes",Table15781012[[#This Row],[Payment Amount (Reamortized)]],$C$6)-Table15781012[[#This Row],[Interest]],Table15781012[[#This Row],[Beginning Balance]]))),2)))</f>
        <v>0</v>
      </c>
      <c r="I353" s="3">
        <f>_xlfn.SINGLE(IF($C$3="Line of Credit",0,ROUND(MAX(MIN(IF($C$10="No",$E$7,VLOOKUP(Table15781012[[#This Row],[Period]],Forecast!$H$2:$L$1048576,4,FALSE))*Table15781012[[#This Row],[Beginning Balance]],Table15781012[[#This Row],[Beginning Balance]]-Table15781012[[#This Row],[Principal]]),0),2)))</f>
        <v>0</v>
      </c>
      <c r="J353" s="3">
        <f>ROUND(MIN(Table15781012[[#This Row],[Beginning Balance]]*IF($C$8="No",$E$3,VLOOKUP(Table15781012[[#This Row],[Period]],Forecast!$H$2:$L$1048576,2,FALSE)),Table15781012[[#This Row],[Beginning Balance]]-Table15781012[[#This Row],[Principal]]-Table15781012[[#This Row],[Prepayments]]),2)</f>
        <v>0</v>
      </c>
      <c r="K353" s="3">
        <f>ROUND(Table15781012[[#This Row],[Defaulted Principal]]*IF($C$9="No",$E$4,VLOOKUP(Table15781012[[#This Row],[Period]],Forecast!$H$2:$L$1048576,3,FALSE)),2)</f>
        <v>0</v>
      </c>
      <c r="L353" s="2">
        <f>Table15781012[[#This Row],[Period]]+$E$9</f>
        <v>349</v>
      </c>
      <c r="M353" s="3">
        <f>Table15781012[[#This Row],[Defaulted Principal]]-Table15781012[[#This Row],[Estimated Loss]]</f>
        <v>0</v>
      </c>
      <c r="N353" s="3">
        <f>IFERROR(VLOOKUP(Table15781012[[#This Row],[Period]],$L$16:$M$385,2,FALSE),0)</f>
        <v>0</v>
      </c>
      <c r="O353" s="3">
        <f>Table15781012[[#This Row],[Beginning Balance]]-Table15781012[[#This Row],[Principal]]-Table15781012[[#This Row],[Prepayments]]-Table15781012[[#This Row],[Defaulted Principal]]</f>
        <v>0</v>
      </c>
      <c r="P353" s="3">
        <f>Table15781012[[#This Row],[Principal]]+Table15781012[[#This Row],[Interest]]+Table15781012[[#This Row],[Prepayments]]+Table15781012[[#This Row],[RecoveredAmount]]</f>
        <v>0</v>
      </c>
      <c r="Q353" s="3">
        <f ca="1">ROUND(Table15781012[[#This Row],[Cash Flow]]/((1+ActualRateToUse)^(IF(ISNUMBER(SEARCH("Actual",$C$7)),Table15781012[[#This Row],[Running Total]]/365,Table15781012[[#This Row],[Period]]/12))),2)</f>
        <v>0</v>
      </c>
      <c r="R353" s="2">
        <f>IF(MONTH(Table15781012[[#This Row],[Date]])=2,28,DAY(DATE(YEAR(Table15781012[[#This Row],[Date]]),MONTH(Table15781012[[#This Row],[Date]])+1,1)-1))</f>
        <v>31</v>
      </c>
      <c r="S353" s="2">
        <f ca="1">SUM(OFFSET(Table15781012[[#Headers],[Days in month]],1,0):Table15781012[[#This Row],[Days in month]])</f>
        <v>10251</v>
      </c>
      <c r="T353" s="37">
        <f>InterestRate*AmortizationMultiplier*IF(ISNUMBER(SEARCH("Actual",$C$7)),Table15781012[[#This Row],[Days in month]]/365,1/12)</f>
        <v>6.0708333333333326E-3</v>
      </c>
    </row>
    <row r="354" spans="2:20" x14ac:dyDescent="0.2">
      <c r="B354" s="1">
        <f t="shared" si="18"/>
        <v>56127</v>
      </c>
      <c r="C354" s="2">
        <f t="shared" si="20"/>
        <v>338</v>
      </c>
      <c r="D354" s="3">
        <f t="shared" si="19"/>
        <v>0</v>
      </c>
      <c r="E354" s="3">
        <f>ROUND(Table15781012[[#This Row],[Beginning Balance]]*Table15781012[[#This Row],[Monthly Interest Rate]],2)</f>
        <v>0</v>
      </c>
      <c r="F354" s="3">
        <f t="shared" si="21"/>
        <v>14</v>
      </c>
      <c r="G354" s="23">
        <f>IFERROR(IF($C$13="No","N/A",IF(Table15781012[[#This Row],[Period]]=1,$C$6,PMT(InterestRate*AmortizationMultiplier/12,Table15781012[[#This Row],[Am Thru]],-Table15781012[[#This Row],[Beginning Balance]]))),0)</f>
        <v>0</v>
      </c>
      <c r="H354" s="3">
        <f>MAX(0,IF(C354=$C$4,D354,ROUND(IF($C$3="Fixed Principal",$C$6-Table15781012[[#This Row],[Interest]],IF($C$3="Interest Only",Table15781012[[#This Row],[Beginning Balance]]*ROUND(1-(1-IF($C$11="No",$E$8,1))^(1/12),6),MIN(IF($C$13="Yes",Table15781012[[#This Row],[Payment Amount (Reamortized)]],$C$6)-Table15781012[[#This Row],[Interest]],Table15781012[[#This Row],[Beginning Balance]]))),2)))</f>
        <v>0</v>
      </c>
      <c r="I354" s="3">
        <f>_xlfn.SINGLE(IF($C$3="Line of Credit",0,ROUND(MAX(MIN(IF($C$10="No",$E$7,VLOOKUP(Table15781012[[#This Row],[Period]],Forecast!$H$2:$L$1048576,4,FALSE))*Table15781012[[#This Row],[Beginning Balance]],Table15781012[[#This Row],[Beginning Balance]]-Table15781012[[#This Row],[Principal]]),0),2)))</f>
        <v>0</v>
      </c>
      <c r="J354" s="3">
        <f>ROUND(MIN(Table15781012[[#This Row],[Beginning Balance]]*IF($C$8="No",$E$3,VLOOKUP(Table15781012[[#This Row],[Period]],Forecast!$H$2:$L$1048576,2,FALSE)),Table15781012[[#This Row],[Beginning Balance]]-Table15781012[[#This Row],[Principal]]-Table15781012[[#This Row],[Prepayments]]),2)</f>
        <v>0</v>
      </c>
      <c r="K354" s="3">
        <f>ROUND(Table15781012[[#This Row],[Defaulted Principal]]*IF($C$9="No",$E$4,VLOOKUP(Table15781012[[#This Row],[Period]],Forecast!$H$2:$L$1048576,3,FALSE)),2)</f>
        <v>0</v>
      </c>
      <c r="L354" s="2">
        <f>Table15781012[[#This Row],[Period]]+$E$9</f>
        <v>350</v>
      </c>
      <c r="M354" s="3">
        <f>Table15781012[[#This Row],[Defaulted Principal]]-Table15781012[[#This Row],[Estimated Loss]]</f>
        <v>0</v>
      </c>
      <c r="N354" s="3">
        <f>IFERROR(VLOOKUP(Table15781012[[#This Row],[Period]],$L$16:$M$385,2,FALSE),0)</f>
        <v>0</v>
      </c>
      <c r="O354" s="3">
        <f>Table15781012[[#This Row],[Beginning Balance]]-Table15781012[[#This Row],[Principal]]-Table15781012[[#This Row],[Prepayments]]-Table15781012[[#This Row],[Defaulted Principal]]</f>
        <v>0</v>
      </c>
      <c r="P354" s="3">
        <f>Table15781012[[#This Row],[Principal]]+Table15781012[[#This Row],[Interest]]+Table15781012[[#This Row],[Prepayments]]+Table15781012[[#This Row],[RecoveredAmount]]</f>
        <v>0</v>
      </c>
      <c r="Q354" s="3">
        <f ca="1">ROUND(Table15781012[[#This Row],[Cash Flow]]/((1+ActualRateToUse)^(IF(ISNUMBER(SEARCH("Actual",$C$7)),Table15781012[[#This Row],[Running Total]]/365,Table15781012[[#This Row],[Period]]/12))),2)</f>
        <v>0</v>
      </c>
      <c r="R354" s="2">
        <f>IF(MONTH(Table15781012[[#This Row],[Date]])=2,28,DAY(DATE(YEAR(Table15781012[[#This Row],[Date]]),MONTH(Table15781012[[#This Row],[Date]])+1,1)-1))</f>
        <v>31</v>
      </c>
      <c r="S354" s="2">
        <f ca="1">SUM(OFFSET(Table15781012[[#Headers],[Days in month]],1,0):Table15781012[[#This Row],[Days in month]])</f>
        <v>10282</v>
      </c>
      <c r="T354" s="37">
        <f>InterestRate*AmortizationMultiplier*IF(ISNUMBER(SEARCH("Actual",$C$7)),Table15781012[[#This Row],[Days in month]]/365,1/12)</f>
        <v>6.0708333333333326E-3</v>
      </c>
    </row>
    <row r="355" spans="2:20" x14ac:dyDescent="0.2">
      <c r="B355" s="1">
        <f t="shared" si="18"/>
        <v>56157</v>
      </c>
      <c r="C355" s="2">
        <f t="shared" si="20"/>
        <v>339</v>
      </c>
      <c r="D355" s="3">
        <f t="shared" si="19"/>
        <v>0</v>
      </c>
      <c r="E355" s="3">
        <f>ROUND(Table15781012[[#This Row],[Beginning Balance]]*Table15781012[[#This Row],[Monthly Interest Rate]],2)</f>
        <v>0</v>
      </c>
      <c r="F355" s="3">
        <f t="shared" si="21"/>
        <v>13</v>
      </c>
      <c r="G355" s="23">
        <f>IFERROR(IF($C$13="No","N/A",IF(Table15781012[[#This Row],[Period]]=1,$C$6,PMT(InterestRate*AmortizationMultiplier/12,Table15781012[[#This Row],[Am Thru]],-Table15781012[[#This Row],[Beginning Balance]]))),0)</f>
        <v>0</v>
      </c>
      <c r="H355" s="3">
        <f>MAX(0,IF(C355=$C$4,D355,ROUND(IF($C$3="Fixed Principal",$C$6-Table15781012[[#This Row],[Interest]],IF($C$3="Interest Only",Table15781012[[#This Row],[Beginning Balance]]*ROUND(1-(1-IF($C$11="No",$E$8,1))^(1/12),6),MIN(IF($C$13="Yes",Table15781012[[#This Row],[Payment Amount (Reamortized)]],$C$6)-Table15781012[[#This Row],[Interest]],Table15781012[[#This Row],[Beginning Balance]]))),2)))</f>
        <v>0</v>
      </c>
      <c r="I355" s="3">
        <f>_xlfn.SINGLE(IF($C$3="Line of Credit",0,ROUND(MAX(MIN(IF($C$10="No",$E$7,VLOOKUP(Table15781012[[#This Row],[Period]],Forecast!$H$2:$L$1048576,4,FALSE))*Table15781012[[#This Row],[Beginning Balance]],Table15781012[[#This Row],[Beginning Balance]]-Table15781012[[#This Row],[Principal]]),0),2)))</f>
        <v>0</v>
      </c>
      <c r="J355" s="3">
        <f>ROUND(MIN(Table15781012[[#This Row],[Beginning Balance]]*IF($C$8="No",$E$3,VLOOKUP(Table15781012[[#This Row],[Period]],Forecast!$H$2:$L$1048576,2,FALSE)),Table15781012[[#This Row],[Beginning Balance]]-Table15781012[[#This Row],[Principal]]-Table15781012[[#This Row],[Prepayments]]),2)</f>
        <v>0</v>
      </c>
      <c r="K355" s="3">
        <f>ROUND(Table15781012[[#This Row],[Defaulted Principal]]*IF($C$9="No",$E$4,VLOOKUP(Table15781012[[#This Row],[Period]],Forecast!$H$2:$L$1048576,3,FALSE)),2)</f>
        <v>0</v>
      </c>
      <c r="L355" s="2">
        <f>Table15781012[[#This Row],[Period]]+$E$9</f>
        <v>351</v>
      </c>
      <c r="M355" s="3">
        <f>Table15781012[[#This Row],[Defaulted Principal]]-Table15781012[[#This Row],[Estimated Loss]]</f>
        <v>0</v>
      </c>
      <c r="N355" s="3">
        <f>IFERROR(VLOOKUP(Table15781012[[#This Row],[Period]],$L$16:$M$385,2,FALSE),0)</f>
        <v>0</v>
      </c>
      <c r="O355" s="3">
        <f>Table15781012[[#This Row],[Beginning Balance]]-Table15781012[[#This Row],[Principal]]-Table15781012[[#This Row],[Prepayments]]-Table15781012[[#This Row],[Defaulted Principal]]</f>
        <v>0</v>
      </c>
      <c r="P355" s="3">
        <f>Table15781012[[#This Row],[Principal]]+Table15781012[[#This Row],[Interest]]+Table15781012[[#This Row],[Prepayments]]+Table15781012[[#This Row],[RecoveredAmount]]</f>
        <v>0</v>
      </c>
      <c r="Q355" s="3">
        <f ca="1">ROUND(Table15781012[[#This Row],[Cash Flow]]/((1+ActualRateToUse)^(IF(ISNUMBER(SEARCH("Actual",$C$7)),Table15781012[[#This Row],[Running Total]]/365,Table15781012[[#This Row],[Period]]/12))),2)</f>
        <v>0</v>
      </c>
      <c r="R355" s="2">
        <f>IF(MONTH(Table15781012[[#This Row],[Date]])=2,28,DAY(DATE(YEAR(Table15781012[[#This Row],[Date]]),MONTH(Table15781012[[#This Row],[Date]])+1,1)-1))</f>
        <v>30</v>
      </c>
      <c r="S355" s="2">
        <f ca="1">SUM(OFFSET(Table15781012[[#Headers],[Days in month]],1,0):Table15781012[[#This Row],[Days in month]])</f>
        <v>10312</v>
      </c>
      <c r="T355" s="37">
        <f>InterestRate*AmortizationMultiplier*IF(ISNUMBER(SEARCH("Actual",$C$7)),Table15781012[[#This Row],[Days in month]]/365,1/12)</f>
        <v>5.8749999999999991E-3</v>
      </c>
    </row>
    <row r="356" spans="2:20" x14ac:dyDescent="0.2">
      <c r="B356" s="1">
        <f t="shared" si="18"/>
        <v>56188</v>
      </c>
      <c r="C356" s="2">
        <f t="shared" si="20"/>
        <v>340</v>
      </c>
      <c r="D356" s="3">
        <f t="shared" si="19"/>
        <v>0</v>
      </c>
      <c r="E356" s="3">
        <f>ROUND(Table15781012[[#This Row],[Beginning Balance]]*Table15781012[[#This Row],[Monthly Interest Rate]],2)</f>
        <v>0</v>
      </c>
      <c r="F356" s="3">
        <f t="shared" si="21"/>
        <v>12</v>
      </c>
      <c r="G356" s="23">
        <f>IFERROR(IF($C$13="No","N/A",IF(Table15781012[[#This Row],[Period]]=1,$C$6,PMT(InterestRate*AmortizationMultiplier/12,Table15781012[[#This Row],[Am Thru]],-Table15781012[[#This Row],[Beginning Balance]]))),0)</f>
        <v>0</v>
      </c>
      <c r="H356" s="3">
        <f>MAX(0,IF(C356=$C$4,D356,ROUND(IF($C$3="Fixed Principal",$C$6-Table15781012[[#This Row],[Interest]],IF($C$3="Interest Only",Table15781012[[#This Row],[Beginning Balance]]*ROUND(1-(1-IF($C$11="No",$E$8,1))^(1/12),6),MIN(IF($C$13="Yes",Table15781012[[#This Row],[Payment Amount (Reamortized)]],$C$6)-Table15781012[[#This Row],[Interest]],Table15781012[[#This Row],[Beginning Balance]]))),2)))</f>
        <v>0</v>
      </c>
      <c r="I356" s="3">
        <f>_xlfn.SINGLE(IF($C$3="Line of Credit",0,ROUND(MAX(MIN(IF($C$10="No",$E$7,VLOOKUP(Table15781012[[#This Row],[Period]],Forecast!$H$2:$L$1048576,4,FALSE))*Table15781012[[#This Row],[Beginning Balance]],Table15781012[[#This Row],[Beginning Balance]]-Table15781012[[#This Row],[Principal]]),0),2)))</f>
        <v>0</v>
      </c>
      <c r="J356" s="3">
        <f>ROUND(MIN(Table15781012[[#This Row],[Beginning Balance]]*IF($C$8="No",$E$3,VLOOKUP(Table15781012[[#This Row],[Period]],Forecast!$H$2:$L$1048576,2,FALSE)),Table15781012[[#This Row],[Beginning Balance]]-Table15781012[[#This Row],[Principal]]-Table15781012[[#This Row],[Prepayments]]),2)</f>
        <v>0</v>
      </c>
      <c r="K356" s="3">
        <f>ROUND(Table15781012[[#This Row],[Defaulted Principal]]*IF($C$9="No",$E$4,VLOOKUP(Table15781012[[#This Row],[Period]],Forecast!$H$2:$L$1048576,3,FALSE)),2)</f>
        <v>0</v>
      </c>
      <c r="L356" s="2">
        <f>Table15781012[[#This Row],[Period]]+$E$9</f>
        <v>352</v>
      </c>
      <c r="M356" s="3">
        <f>Table15781012[[#This Row],[Defaulted Principal]]-Table15781012[[#This Row],[Estimated Loss]]</f>
        <v>0</v>
      </c>
      <c r="N356" s="3">
        <f>IFERROR(VLOOKUP(Table15781012[[#This Row],[Period]],$L$16:$M$385,2,FALSE),0)</f>
        <v>0</v>
      </c>
      <c r="O356" s="3">
        <f>Table15781012[[#This Row],[Beginning Balance]]-Table15781012[[#This Row],[Principal]]-Table15781012[[#This Row],[Prepayments]]-Table15781012[[#This Row],[Defaulted Principal]]</f>
        <v>0</v>
      </c>
      <c r="P356" s="3">
        <f>Table15781012[[#This Row],[Principal]]+Table15781012[[#This Row],[Interest]]+Table15781012[[#This Row],[Prepayments]]+Table15781012[[#This Row],[RecoveredAmount]]</f>
        <v>0</v>
      </c>
      <c r="Q356" s="3">
        <f ca="1">ROUND(Table15781012[[#This Row],[Cash Flow]]/((1+ActualRateToUse)^(IF(ISNUMBER(SEARCH("Actual",$C$7)),Table15781012[[#This Row],[Running Total]]/365,Table15781012[[#This Row],[Period]]/12))),2)</f>
        <v>0</v>
      </c>
      <c r="R356" s="2">
        <f>IF(MONTH(Table15781012[[#This Row],[Date]])=2,28,DAY(DATE(YEAR(Table15781012[[#This Row],[Date]]),MONTH(Table15781012[[#This Row],[Date]])+1,1)-1))</f>
        <v>31</v>
      </c>
      <c r="S356" s="2">
        <f ca="1">SUM(OFFSET(Table15781012[[#Headers],[Days in month]],1,0):Table15781012[[#This Row],[Days in month]])</f>
        <v>10343</v>
      </c>
      <c r="T356" s="37">
        <f>InterestRate*AmortizationMultiplier*IF(ISNUMBER(SEARCH("Actual",$C$7)),Table15781012[[#This Row],[Days in month]]/365,1/12)</f>
        <v>6.0708333333333326E-3</v>
      </c>
    </row>
    <row r="357" spans="2:20" x14ac:dyDescent="0.2">
      <c r="B357" s="1">
        <f t="shared" si="18"/>
        <v>56218</v>
      </c>
      <c r="C357" s="2">
        <f t="shared" si="20"/>
        <v>341</v>
      </c>
      <c r="D357" s="3">
        <f t="shared" si="19"/>
        <v>0</v>
      </c>
      <c r="E357" s="3">
        <f>ROUND(Table15781012[[#This Row],[Beginning Balance]]*Table15781012[[#This Row],[Monthly Interest Rate]],2)</f>
        <v>0</v>
      </c>
      <c r="F357" s="3">
        <f t="shared" si="21"/>
        <v>11</v>
      </c>
      <c r="G357" s="23">
        <f>IFERROR(IF($C$13="No","N/A",IF(Table15781012[[#This Row],[Period]]=1,$C$6,PMT(InterestRate*AmortizationMultiplier/12,Table15781012[[#This Row],[Am Thru]],-Table15781012[[#This Row],[Beginning Balance]]))),0)</f>
        <v>0</v>
      </c>
      <c r="H357" s="3">
        <f>MAX(0,IF(C357=$C$4,D357,ROUND(IF($C$3="Fixed Principal",$C$6-Table15781012[[#This Row],[Interest]],IF($C$3="Interest Only",Table15781012[[#This Row],[Beginning Balance]]*ROUND(1-(1-IF($C$11="No",$E$8,1))^(1/12),6),MIN(IF($C$13="Yes",Table15781012[[#This Row],[Payment Amount (Reamortized)]],$C$6)-Table15781012[[#This Row],[Interest]],Table15781012[[#This Row],[Beginning Balance]]))),2)))</f>
        <v>0</v>
      </c>
      <c r="I357" s="3">
        <f>_xlfn.SINGLE(IF($C$3="Line of Credit",0,ROUND(MAX(MIN(IF($C$10="No",$E$7,VLOOKUP(Table15781012[[#This Row],[Period]],Forecast!$H$2:$L$1048576,4,FALSE))*Table15781012[[#This Row],[Beginning Balance]],Table15781012[[#This Row],[Beginning Balance]]-Table15781012[[#This Row],[Principal]]),0),2)))</f>
        <v>0</v>
      </c>
      <c r="J357" s="3">
        <f>ROUND(MIN(Table15781012[[#This Row],[Beginning Balance]]*IF($C$8="No",$E$3,VLOOKUP(Table15781012[[#This Row],[Period]],Forecast!$H$2:$L$1048576,2,FALSE)),Table15781012[[#This Row],[Beginning Balance]]-Table15781012[[#This Row],[Principal]]-Table15781012[[#This Row],[Prepayments]]),2)</f>
        <v>0</v>
      </c>
      <c r="K357" s="3">
        <f>ROUND(Table15781012[[#This Row],[Defaulted Principal]]*IF($C$9="No",$E$4,VLOOKUP(Table15781012[[#This Row],[Period]],Forecast!$H$2:$L$1048576,3,FALSE)),2)</f>
        <v>0</v>
      </c>
      <c r="L357" s="2">
        <f>Table15781012[[#This Row],[Period]]+$E$9</f>
        <v>353</v>
      </c>
      <c r="M357" s="3">
        <f>Table15781012[[#This Row],[Defaulted Principal]]-Table15781012[[#This Row],[Estimated Loss]]</f>
        <v>0</v>
      </c>
      <c r="N357" s="3">
        <f>IFERROR(VLOOKUP(Table15781012[[#This Row],[Period]],$L$16:$M$385,2,FALSE),0)</f>
        <v>0</v>
      </c>
      <c r="O357" s="3">
        <f>Table15781012[[#This Row],[Beginning Balance]]-Table15781012[[#This Row],[Principal]]-Table15781012[[#This Row],[Prepayments]]-Table15781012[[#This Row],[Defaulted Principal]]</f>
        <v>0</v>
      </c>
      <c r="P357" s="3">
        <f>Table15781012[[#This Row],[Principal]]+Table15781012[[#This Row],[Interest]]+Table15781012[[#This Row],[Prepayments]]+Table15781012[[#This Row],[RecoveredAmount]]</f>
        <v>0</v>
      </c>
      <c r="Q357" s="3">
        <f ca="1">ROUND(Table15781012[[#This Row],[Cash Flow]]/((1+ActualRateToUse)^(IF(ISNUMBER(SEARCH("Actual",$C$7)),Table15781012[[#This Row],[Running Total]]/365,Table15781012[[#This Row],[Period]]/12))),2)</f>
        <v>0</v>
      </c>
      <c r="R357" s="2">
        <f>IF(MONTH(Table15781012[[#This Row],[Date]])=2,28,DAY(DATE(YEAR(Table15781012[[#This Row],[Date]]),MONTH(Table15781012[[#This Row],[Date]])+1,1)-1))</f>
        <v>30</v>
      </c>
      <c r="S357" s="2">
        <f ca="1">SUM(OFFSET(Table15781012[[#Headers],[Days in month]],1,0):Table15781012[[#This Row],[Days in month]])</f>
        <v>10373</v>
      </c>
      <c r="T357" s="37">
        <f>InterestRate*AmortizationMultiplier*IF(ISNUMBER(SEARCH("Actual",$C$7)),Table15781012[[#This Row],[Days in month]]/365,1/12)</f>
        <v>5.8749999999999991E-3</v>
      </c>
    </row>
    <row r="358" spans="2:20" x14ac:dyDescent="0.2">
      <c r="B358" s="1">
        <f t="shared" si="18"/>
        <v>56249</v>
      </c>
      <c r="C358" s="2">
        <f t="shared" si="20"/>
        <v>342</v>
      </c>
      <c r="D358" s="3">
        <f t="shared" si="19"/>
        <v>0</v>
      </c>
      <c r="E358" s="3">
        <f>ROUND(Table15781012[[#This Row],[Beginning Balance]]*Table15781012[[#This Row],[Monthly Interest Rate]],2)</f>
        <v>0</v>
      </c>
      <c r="F358" s="3">
        <f t="shared" si="21"/>
        <v>10</v>
      </c>
      <c r="G358" s="23">
        <f>IFERROR(IF($C$13="No","N/A",IF(Table15781012[[#This Row],[Period]]=1,$C$6,PMT(InterestRate*AmortizationMultiplier/12,Table15781012[[#This Row],[Am Thru]],-Table15781012[[#This Row],[Beginning Balance]]))),0)</f>
        <v>0</v>
      </c>
      <c r="H358" s="3">
        <f>MAX(0,IF(C358=$C$4,D358,ROUND(IF($C$3="Fixed Principal",$C$6-Table15781012[[#This Row],[Interest]],IF($C$3="Interest Only",Table15781012[[#This Row],[Beginning Balance]]*ROUND(1-(1-IF($C$11="No",$E$8,1))^(1/12),6),MIN(IF($C$13="Yes",Table15781012[[#This Row],[Payment Amount (Reamortized)]],$C$6)-Table15781012[[#This Row],[Interest]],Table15781012[[#This Row],[Beginning Balance]]))),2)))</f>
        <v>0</v>
      </c>
      <c r="I358" s="3">
        <f>_xlfn.SINGLE(IF($C$3="Line of Credit",0,ROUND(MAX(MIN(IF($C$10="No",$E$7,VLOOKUP(Table15781012[[#This Row],[Period]],Forecast!$H$2:$L$1048576,4,FALSE))*Table15781012[[#This Row],[Beginning Balance]],Table15781012[[#This Row],[Beginning Balance]]-Table15781012[[#This Row],[Principal]]),0),2)))</f>
        <v>0</v>
      </c>
      <c r="J358" s="3">
        <f>ROUND(MIN(Table15781012[[#This Row],[Beginning Balance]]*IF($C$8="No",$E$3,VLOOKUP(Table15781012[[#This Row],[Period]],Forecast!$H$2:$L$1048576,2,FALSE)),Table15781012[[#This Row],[Beginning Balance]]-Table15781012[[#This Row],[Principal]]-Table15781012[[#This Row],[Prepayments]]),2)</f>
        <v>0</v>
      </c>
      <c r="K358" s="3">
        <f>ROUND(Table15781012[[#This Row],[Defaulted Principal]]*IF($C$9="No",$E$4,VLOOKUP(Table15781012[[#This Row],[Period]],Forecast!$H$2:$L$1048576,3,FALSE)),2)</f>
        <v>0</v>
      </c>
      <c r="L358" s="2">
        <f>Table15781012[[#This Row],[Period]]+$E$9</f>
        <v>354</v>
      </c>
      <c r="M358" s="3">
        <f>Table15781012[[#This Row],[Defaulted Principal]]-Table15781012[[#This Row],[Estimated Loss]]</f>
        <v>0</v>
      </c>
      <c r="N358" s="3">
        <f>IFERROR(VLOOKUP(Table15781012[[#This Row],[Period]],$L$16:$M$385,2,FALSE),0)</f>
        <v>0</v>
      </c>
      <c r="O358" s="3">
        <f>Table15781012[[#This Row],[Beginning Balance]]-Table15781012[[#This Row],[Principal]]-Table15781012[[#This Row],[Prepayments]]-Table15781012[[#This Row],[Defaulted Principal]]</f>
        <v>0</v>
      </c>
      <c r="P358" s="3">
        <f>Table15781012[[#This Row],[Principal]]+Table15781012[[#This Row],[Interest]]+Table15781012[[#This Row],[Prepayments]]+Table15781012[[#This Row],[RecoveredAmount]]</f>
        <v>0</v>
      </c>
      <c r="Q358" s="3">
        <f ca="1">ROUND(Table15781012[[#This Row],[Cash Flow]]/((1+ActualRateToUse)^(IF(ISNUMBER(SEARCH("Actual",$C$7)),Table15781012[[#This Row],[Running Total]]/365,Table15781012[[#This Row],[Period]]/12))),2)</f>
        <v>0</v>
      </c>
      <c r="R358" s="2">
        <f>IF(MONTH(Table15781012[[#This Row],[Date]])=2,28,DAY(DATE(YEAR(Table15781012[[#This Row],[Date]]),MONTH(Table15781012[[#This Row],[Date]])+1,1)-1))</f>
        <v>31</v>
      </c>
      <c r="S358" s="2">
        <f ca="1">SUM(OFFSET(Table15781012[[#Headers],[Days in month]],1,0):Table15781012[[#This Row],[Days in month]])</f>
        <v>10404</v>
      </c>
      <c r="T358" s="37">
        <f>InterestRate*AmortizationMultiplier*IF(ISNUMBER(SEARCH("Actual",$C$7)),Table15781012[[#This Row],[Days in month]]/365,1/12)</f>
        <v>6.0708333333333326E-3</v>
      </c>
    </row>
    <row r="359" spans="2:20" x14ac:dyDescent="0.2">
      <c r="B359" s="1">
        <f t="shared" si="18"/>
        <v>56280</v>
      </c>
      <c r="C359" s="2">
        <f t="shared" si="20"/>
        <v>343</v>
      </c>
      <c r="D359" s="3">
        <f t="shared" si="19"/>
        <v>0</v>
      </c>
      <c r="E359" s="3">
        <f>ROUND(Table15781012[[#This Row],[Beginning Balance]]*Table15781012[[#This Row],[Monthly Interest Rate]],2)</f>
        <v>0</v>
      </c>
      <c r="F359" s="3">
        <f t="shared" si="21"/>
        <v>9</v>
      </c>
      <c r="G359" s="23">
        <f>IFERROR(IF($C$13="No","N/A",IF(Table15781012[[#This Row],[Period]]=1,$C$6,PMT(InterestRate*AmortizationMultiplier/12,Table15781012[[#This Row],[Am Thru]],-Table15781012[[#This Row],[Beginning Balance]]))),0)</f>
        <v>0</v>
      </c>
      <c r="H359" s="3">
        <f>MAX(0,IF(C359=$C$4,D359,ROUND(IF($C$3="Fixed Principal",$C$6-Table15781012[[#This Row],[Interest]],IF($C$3="Interest Only",Table15781012[[#This Row],[Beginning Balance]]*ROUND(1-(1-IF($C$11="No",$E$8,1))^(1/12),6),MIN(IF($C$13="Yes",Table15781012[[#This Row],[Payment Amount (Reamortized)]],$C$6)-Table15781012[[#This Row],[Interest]],Table15781012[[#This Row],[Beginning Balance]]))),2)))</f>
        <v>0</v>
      </c>
      <c r="I359" s="3">
        <f>_xlfn.SINGLE(IF($C$3="Line of Credit",0,ROUND(MAX(MIN(IF($C$10="No",$E$7,VLOOKUP(Table15781012[[#This Row],[Period]],Forecast!$H$2:$L$1048576,4,FALSE))*Table15781012[[#This Row],[Beginning Balance]],Table15781012[[#This Row],[Beginning Balance]]-Table15781012[[#This Row],[Principal]]),0),2)))</f>
        <v>0</v>
      </c>
      <c r="J359" s="3">
        <f>ROUND(MIN(Table15781012[[#This Row],[Beginning Balance]]*IF($C$8="No",$E$3,VLOOKUP(Table15781012[[#This Row],[Period]],Forecast!$H$2:$L$1048576,2,FALSE)),Table15781012[[#This Row],[Beginning Balance]]-Table15781012[[#This Row],[Principal]]-Table15781012[[#This Row],[Prepayments]]),2)</f>
        <v>0</v>
      </c>
      <c r="K359" s="3">
        <f>ROUND(Table15781012[[#This Row],[Defaulted Principal]]*IF($C$9="No",$E$4,VLOOKUP(Table15781012[[#This Row],[Period]],Forecast!$H$2:$L$1048576,3,FALSE)),2)</f>
        <v>0</v>
      </c>
      <c r="L359" s="2">
        <f>Table15781012[[#This Row],[Period]]+$E$9</f>
        <v>355</v>
      </c>
      <c r="M359" s="3">
        <f>Table15781012[[#This Row],[Defaulted Principal]]-Table15781012[[#This Row],[Estimated Loss]]</f>
        <v>0</v>
      </c>
      <c r="N359" s="3">
        <f>IFERROR(VLOOKUP(Table15781012[[#This Row],[Period]],$L$16:$M$385,2,FALSE),0)</f>
        <v>0</v>
      </c>
      <c r="O359" s="3">
        <f>Table15781012[[#This Row],[Beginning Balance]]-Table15781012[[#This Row],[Principal]]-Table15781012[[#This Row],[Prepayments]]-Table15781012[[#This Row],[Defaulted Principal]]</f>
        <v>0</v>
      </c>
      <c r="P359" s="3">
        <f>Table15781012[[#This Row],[Principal]]+Table15781012[[#This Row],[Interest]]+Table15781012[[#This Row],[Prepayments]]+Table15781012[[#This Row],[RecoveredAmount]]</f>
        <v>0</v>
      </c>
      <c r="Q359" s="3">
        <f ca="1">ROUND(Table15781012[[#This Row],[Cash Flow]]/((1+ActualRateToUse)^(IF(ISNUMBER(SEARCH("Actual",$C$7)),Table15781012[[#This Row],[Running Total]]/365,Table15781012[[#This Row],[Period]]/12))),2)</f>
        <v>0</v>
      </c>
      <c r="R359" s="2">
        <f>IF(MONTH(Table15781012[[#This Row],[Date]])=2,28,DAY(DATE(YEAR(Table15781012[[#This Row],[Date]]),MONTH(Table15781012[[#This Row],[Date]])+1,1)-1))</f>
        <v>31</v>
      </c>
      <c r="S359" s="2">
        <f ca="1">SUM(OFFSET(Table15781012[[#Headers],[Days in month]],1,0):Table15781012[[#This Row],[Days in month]])</f>
        <v>10435</v>
      </c>
      <c r="T359" s="37">
        <f>InterestRate*AmortizationMultiplier*IF(ISNUMBER(SEARCH("Actual",$C$7)),Table15781012[[#This Row],[Days in month]]/365,1/12)</f>
        <v>6.0708333333333326E-3</v>
      </c>
    </row>
    <row r="360" spans="2:20" x14ac:dyDescent="0.2">
      <c r="B360" s="1">
        <f t="shared" si="18"/>
        <v>56308</v>
      </c>
      <c r="C360" s="2">
        <f t="shared" si="20"/>
        <v>344</v>
      </c>
      <c r="D360" s="3">
        <f t="shared" si="19"/>
        <v>0</v>
      </c>
      <c r="E360" s="3">
        <f>ROUND(Table15781012[[#This Row],[Beginning Balance]]*Table15781012[[#This Row],[Monthly Interest Rate]],2)</f>
        <v>0</v>
      </c>
      <c r="F360" s="3">
        <f t="shared" si="21"/>
        <v>8</v>
      </c>
      <c r="G360" s="23">
        <f>IFERROR(IF($C$13="No","N/A",IF(Table15781012[[#This Row],[Period]]=1,$C$6,PMT(InterestRate*AmortizationMultiplier/12,Table15781012[[#This Row],[Am Thru]],-Table15781012[[#This Row],[Beginning Balance]]))),0)</f>
        <v>0</v>
      </c>
      <c r="H360" s="3">
        <f>MAX(0,IF(C360=$C$4,D360,ROUND(IF($C$3="Fixed Principal",$C$6-Table15781012[[#This Row],[Interest]],IF($C$3="Interest Only",Table15781012[[#This Row],[Beginning Balance]]*ROUND(1-(1-IF($C$11="No",$E$8,1))^(1/12),6),MIN(IF($C$13="Yes",Table15781012[[#This Row],[Payment Amount (Reamortized)]],$C$6)-Table15781012[[#This Row],[Interest]],Table15781012[[#This Row],[Beginning Balance]]))),2)))</f>
        <v>0</v>
      </c>
      <c r="I360" s="3">
        <f>_xlfn.SINGLE(IF($C$3="Line of Credit",0,ROUND(MAX(MIN(IF($C$10="No",$E$7,VLOOKUP(Table15781012[[#This Row],[Period]],Forecast!$H$2:$L$1048576,4,FALSE))*Table15781012[[#This Row],[Beginning Balance]],Table15781012[[#This Row],[Beginning Balance]]-Table15781012[[#This Row],[Principal]]),0),2)))</f>
        <v>0</v>
      </c>
      <c r="J360" s="3">
        <f>ROUND(MIN(Table15781012[[#This Row],[Beginning Balance]]*IF($C$8="No",$E$3,VLOOKUP(Table15781012[[#This Row],[Period]],Forecast!$H$2:$L$1048576,2,FALSE)),Table15781012[[#This Row],[Beginning Balance]]-Table15781012[[#This Row],[Principal]]-Table15781012[[#This Row],[Prepayments]]),2)</f>
        <v>0</v>
      </c>
      <c r="K360" s="3">
        <f>ROUND(Table15781012[[#This Row],[Defaulted Principal]]*IF($C$9="No",$E$4,VLOOKUP(Table15781012[[#This Row],[Period]],Forecast!$H$2:$L$1048576,3,FALSE)),2)</f>
        <v>0</v>
      </c>
      <c r="L360" s="2">
        <f>Table15781012[[#This Row],[Period]]+$E$9</f>
        <v>356</v>
      </c>
      <c r="M360" s="3">
        <f>Table15781012[[#This Row],[Defaulted Principal]]-Table15781012[[#This Row],[Estimated Loss]]</f>
        <v>0</v>
      </c>
      <c r="N360" s="3">
        <f>IFERROR(VLOOKUP(Table15781012[[#This Row],[Period]],$L$16:$M$385,2,FALSE),0)</f>
        <v>0</v>
      </c>
      <c r="O360" s="3">
        <f>Table15781012[[#This Row],[Beginning Balance]]-Table15781012[[#This Row],[Principal]]-Table15781012[[#This Row],[Prepayments]]-Table15781012[[#This Row],[Defaulted Principal]]</f>
        <v>0</v>
      </c>
      <c r="P360" s="3">
        <f>Table15781012[[#This Row],[Principal]]+Table15781012[[#This Row],[Interest]]+Table15781012[[#This Row],[Prepayments]]+Table15781012[[#This Row],[RecoveredAmount]]</f>
        <v>0</v>
      </c>
      <c r="Q360" s="3">
        <f ca="1">ROUND(Table15781012[[#This Row],[Cash Flow]]/((1+ActualRateToUse)^(IF(ISNUMBER(SEARCH("Actual",$C$7)),Table15781012[[#This Row],[Running Total]]/365,Table15781012[[#This Row],[Period]]/12))),2)</f>
        <v>0</v>
      </c>
      <c r="R360" s="2">
        <f>IF(MONTH(Table15781012[[#This Row],[Date]])=2,28,DAY(DATE(YEAR(Table15781012[[#This Row],[Date]]),MONTH(Table15781012[[#This Row],[Date]])+1,1)-1))</f>
        <v>28</v>
      </c>
      <c r="S360" s="2">
        <f ca="1">SUM(OFFSET(Table15781012[[#Headers],[Days in month]],1,0):Table15781012[[#This Row],[Days in month]])</f>
        <v>10463</v>
      </c>
      <c r="T360" s="37">
        <f>InterestRate*AmortizationMultiplier*IF(ISNUMBER(SEARCH("Actual",$C$7)),Table15781012[[#This Row],[Days in month]]/365,1/12)</f>
        <v>5.4833333333333331E-3</v>
      </c>
    </row>
    <row r="361" spans="2:20" x14ac:dyDescent="0.2">
      <c r="B361" s="1">
        <f t="shared" si="18"/>
        <v>56339</v>
      </c>
      <c r="C361" s="2">
        <f t="shared" si="20"/>
        <v>345</v>
      </c>
      <c r="D361" s="3">
        <f t="shared" si="19"/>
        <v>0</v>
      </c>
      <c r="E361" s="3">
        <f>ROUND(Table15781012[[#This Row],[Beginning Balance]]*Table15781012[[#This Row],[Monthly Interest Rate]],2)</f>
        <v>0</v>
      </c>
      <c r="F361" s="3">
        <f t="shared" si="21"/>
        <v>7</v>
      </c>
      <c r="G361" s="23">
        <f>IFERROR(IF($C$13="No","N/A",IF(Table15781012[[#This Row],[Period]]=1,$C$6,PMT(InterestRate*AmortizationMultiplier/12,Table15781012[[#This Row],[Am Thru]],-Table15781012[[#This Row],[Beginning Balance]]))),0)</f>
        <v>0</v>
      </c>
      <c r="H361" s="3">
        <f>MAX(0,IF(C361=$C$4,D361,ROUND(IF($C$3="Fixed Principal",$C$6-Table15781012[[#This Row],[Interest]],IF($C$3="Interest Only",Table15781012[[#This Row],[Beginning Balance]]*ROUND(1-(1-IF($C$11="No",$E$8,1))^(1/12),6),MIN(IF($C$13="Yes",Table15781012[[#This Row],[Payment Amount (Reamortized)]],$C$6)-Table15781012[[#This Row],[Interest]],Table15781012[[#This Row],[Beginning Balance]]))),2)))</f>
        <v>0</v>
      </c>
      <c r="I361" s="3">
        <f>_xlfn.SINGLE(IF($C$3="Line of Credit",0,ROUND(MAX(MIN(IF($C$10="No",$E$7,VLOOKUP(Table15781012[[#This Row],[Period]],Forecast!$H$2:$L$1048576,4,FALSE))*Table15781012[[#This Row],[Beginning Balance]],Table15781012[[#This Row],[Beginning Balance]]-Table15781012[[#This Row],[Principal]]),0),2)))</f>
        <v>0</v>
      </c>
      <c r="J361" s="3">
        <f>ROUND(MIN(Table15781012[[#This Row],[Beginning Balance]]*IF($C$8="No",$E$3,VLOOKUP(Table15781012[[#This Row],[Period]],Forecast!$H$2:$L$1048576,2,FALSE)),Table15781012[[#This Row],[Beginning Balance]]-Table15781012[[#This Row],[Principal]]-Table15781012[[#This Row],[Prepayments]]),2)</f>
        <v>0</v>
      </c>
      <c r="K361" s="3">
        <f>ROUND(Table15781012[[#This Row],[Defaulted Principal]]*IF($C$9="No",$E$4,VLOOKUP(Table15781012[[#This Row],[Period]],Forecast!$H$2:$L$1048576,3,FALSE)),2)</f>
        <v>0</v>
      </c>
      <c r="L361" s="2">
        <f>Table15781012[[#This Row],[Period]]+$E$9</f>
        <v>357</v>
      </c>
      <c r="M361" s="3">
        <f>Table15781012[[#This Row],[Defaulted Principal]]-Table15781012[[#This Row],[Estimated Loss]]</f>
        <v>0</v>
      </c>
      <c r="N361" s="3">
        <f>IFERROR(VLOOKUP(Table15781012[[#This Row],[Period]],$L$16:$M$385,2,FALSE),0)</f>
        <v>0</v>
      </c>
      <c r="O361" s="3">
        <f>Table15781012[[#This Row],[Beginning Balance]]-Table15781012[[#This Row],[Principal]]-Table15781012[[#This Row],[Prepayments]]-Table15781012[[#This Row],[Defaulted Principal]]</f>
        <v>0</v>
      </c>
      <c r="P361" s="3">
        <f>Table15781012[[#This Row],[Principal]]+Table15781012[[#This Row],[Interest]]+Table15781012[[#This Row],[Prepayments]]+Table15781012[[#This Row],[RecoveredAmount]]</f>
        <v>0</v>
      </c>
      <c r="Q361" s="3">
        <f ca="1">ROUND(Table15781012[[#This Row],[Cash Flow]]/((1+ActualRateToUse)^(IF(ISNUMBER(SEARCH("Actual",$C$7)),Table15781012[[#This Row],[Running Total]]/365,Table15781012[[#This Row],[Period]]/12))),2)</f>
        <v>0</v>
      </c>
      <c r="R361" s="2">
        <f>IF(MONTH(Table15781012[[#This Row],[Date]])=2,28,DAY(DATE(YEAR(Table15781012[[#This Row],[Date]]),MONTH(Table15781012[[#This Row],[Date]])+1,1)-1))</f>
        <v>31</v>
      </c>
      <c r="S361" s="2">
        <f ca="1">SUM(OFFSET(Table15781012[[#Headers],[Days in month]],1,0):Table15781012[[#This Row],[Days in month]])</f>
        <v>10494</v>
      </c>
      <c r="T361" s="37">
        <f>InterestRate*AmortizationMultiplier*IF(ISNUMBER(SEARCH("Actual",$C$7)),Table15781012[[#This Row],[Days in month]]/365,1/12)</f>
        <v>6.0708333333333326E-3</v>
      </c>
    </row>
    <row r="362" spans="2:20" x14ac:dyDescent="0.2">
      <c r="B362" s="1">
        <f t="shared" si="18"/>
        <v>56369</v>
      </c>
      <c r="C362" s="2">
        <f t="shared" si="20"/>
        <v>346</v>
      </c>
      <c r="D362" s="3">
        <f t="shared" si="19"/>
        <v>0</v>
      </c>
      <c r="E362" s="3">
        <f>ROUND(Table15781012[[#This Row],[Beginning Balance]]*Table15781012[[#This Row],[Monthly Interest Rate]],2)</f>
        <v>0</v>
      </c>
      <c r="F362" s="3">
        <f t="shared" si="21"/>
        <v>6</v>
      </c>
      <c r="G362" s="23">
        <f>IFERROR(IF($C$13="No","N/A",IF(Table15781012[[#This Row],[Period]]=1,$C$6,PMT(InterestRate*AmortizationMultiplier/12,Table15781012[[#This Row],[Am Thru]],-Table15781012[[#This Row],[Beginning Balance]]))),0)</f>
        <v>0</v>
      </c>
      <c r="H362" s="3">
        <f>MAX(0,IF(C362=$C$4,D362,ROUND(IF($C$3="Fixed Principal",$C$6-Table15781012[[#This Row],[Interest]],IF($C$3="Interest Only",Table15781012[[#This Row],[Beginning Balance]]*ROUND(1-(1-IF($C$11="No",$E$8,1))^(1/12),6),MIN(IF($C$13="Yes",Table15781012[[#This Row],[Payment Amount (Reamortized)]],$C$6)-Table15781012[[#This Row],[Interest]],Table15781012[[#This Row],[Beginning Balance]]))),2)))</f>
        <v>0</v>
      </c>
      <c r="I362" s="3">
        <f>_xlfn.SINGLE(IF($C$3="Line of Credit",0,ROUND(MAX(MIN(IF($C$10="No",$E$7,VLOOKUP(Table15781012[[#This Row],[Period]],Forecast!$H$2:$L$1048576,4,FALSE))*Table15781012[[#This Row],[Beginning Balance]],Table15781012[[#This Row],[Beginning Balance]]-Table15781012[[#This Row],[Principal]]),0),2)))</f>
        <v>0</v>
      </c>
      <c r="J362" s="3">
        <f>ROUND(MIN(Table15781012[[#This Row],[Beginning Balance]]*IF($C$8="No",$E$3,VLOOKUP(Table15781012[[#This Row],[Period]],Forecast!$H$2:$L$1048576,2,FALSE)),Table15781012[[#This Row],[Beginning Balance]]-Table15781012[[#This Row],[Principal]]-Table15781012[[#This Row],[Prepayments]]),2)</f>
        <v>0</v>
      </c>
      <c r="K362" s="3">
        <f>ROUND(Table15781012[[#This Row],[Defaulted Principal]]*IF($C$9="No",$E$4,VLOOKUP(Table15781012[[#This Row],[Period]],Forecast!$H$2:$L$1048576,3,FALSE)),2)</f>
        <v>0</v>
      </c>
      <c r="L362" s="2">
        <f>Table15781012[[#This Row],[Period]]+$E$9</f>
        <v>358</v>
      </c>
      <c r="M362" s="3">
        <f>Table15781012[[#This Row],[Defaulted Principal]]-Table15781012[[#This Row],[Estimated Loss]]</f>
        <v>0</v>
      </c>
      <c r="N362" s="3">
        <f>IFERROR(VLOOKUP(Table15781012[[#This Row],[Period]],$L$16:$M$385,2,FALSE),0)</f>
        <v>0</v>
      </c>
      <c r="O362" s="3">
        <f>Table15781012[[#This Row],[Beginning Balance]]-Table15781012[[#This Row],[Principal]]-Table15781012[[#This Row],[Prepayments]]-Table15781012[[#This Row],[Defaulted Principal]]</f>
        <v>0</v>
      </c>
      <c r="P362" s="3">
        <f>Table15781012[[#This Row],[Principal]]+Table15781012[[#This Row],[Interest]]+Table15781012[[#This Row],[Prepayments]]+Table15781012[[#This Row],[RecoveredAmount]]</f>
        <v>0</v>
      </c>
      <c r="Q362" s="3">
        <f ca="1">ROUND(Table15781012[[#This Row],[Cash Flow]]/((1+ActualRateToUse)^(IF(ISNUMBER(SEARCH("Actual",$C$7)),Table15781012[[#This Row],[Running Total]]/365,Table15781012[[#This Row],[Period]]/12))),2)</f>
        <v>0</v>
      </c>
      <c r="R362" s="2">
        <f>IF(MONTH(Table15781012[[#This Row],[Date]])=2,28,DAY(DATE(YEAR(Table15781012[[#This Row],[Date]]),MONTH(Table15781012[[#This Row],[Date]])+1,1)-1))</f>
        <v>30</v>
      </c>
      <c r="S362" s="2">
        <f ca="1">SUM(OFFSET(Table15781012[[#Headers],[Days in month]],1,0):Table15781012[[#This Row],[Days in month]])</f>
        <v>10524</v>
      </c>
      <c r="T362" s="37">
        <f>InterestRate*AmortizationMultiplier*IF(ISNUMBER(SEARCH("Actual",$C$7)),Table15781012[[#This Row],[Days in month]]/365,1/12)</f>
        <v>5.8749999999999991E-3</v>
      </c>
    </row>
    <row r="363" spans="2:20" x14ac:dyDescent="0.2">
      <c r="B363" s="1">
        <f t="shared" si="18"/>
        <v>56400</v>
      </c>
      <c r="C363" s="2">
        <f t="shared" si="20"/>
        <v>347</v>
      </c>
      <c r="D363" s="3">
        <f t="shared" si="19"/>
        <v>0</v>
      </c>
      <c r="E363" s="3">
        <f>ROUND(Table15781012[[#This Row],[Beginning Balance]]*Table15781012[[#This Row],[Monthly Interest Rate]],2)</f>
        <v>0</v>
      </c>
      <c r="F363" s="3">
        <f t="shared" si="21"/>
        <v>5</v>
      </c>
      <c r="G363" s="23">
        <f>IFERROR(IF($C$13="No","N/A",IF(Table15781012[[#This Row],[Period]]=1,$C$6,PMT(InterestRate*AmortizationMultiplier/12,Table15781012[[#This Row],[Am Thru]],-Table15781012[[#This Row],[Beginning Balance]]))),0)</f>
        <v>0</v>
      </c>
      <c r="H363" s="3">
        <f>MAX(0,IF(C363=$C$4,D363,ROUND(IF($C$3="Fixed Principal",$C$6-Table15781012[[#This Row],[Interest]],IF($C$3="Interest Only",Table15781012[[#This Row],[Beginning Balance]]*ROUND(1-(1-IF($C$11="No",$E$8,1))^(1/12),6),MIN(IF($C$13="Yes",Table15781012[[#This Row],[Payment Amount (Reamortized)]],$C$6)-Table15781012[[#This Row],[Interest]],Table15781012[[#This Row],[Beginning Balance]]))),2)))</f>
        <v>0</v>
      </c>
      <c r="I363" s="3">
        <f>_xlfn.SINGLE(IF($C$3="Line of Credit",0,ROUND(MAX(MIN(IF($C$10="No",$E$7,VLOOKUP(Table15781012[[#This Row],[Period]],Forecast!$H$2:$L$1048576,4,FALSE))*Table15781012[[#This Row],[Beginning Balance]],Table15781012[[#This Row],[Beginning Balance]]-Table15781012[[#This Row],[Principal]]),0),2)))</f>
        <v>0</v>
      </c>
      <c r="J363" s="3">
        <f>ROUND(MIN(Table15781012[[#This Row],[Beginning Balance]]*IF($C$8="No",$E$3,VLOOKUP(Table15781012[[#This Row],[Period]],Forecast!$H$2:$L$1048576,2,FALSE)),Table15781012[[#This Row],[Beginning Balance]]-Table15781012[[#This Row],[Principal]]-Table15781012[[#This Row],[Prepayments]]),2)</f>
        <v>0</v>
      </c>
      <c r="K363" s="3">
        <f>ROUND(Table15781012[[#This Row],[Defaulted Principal]]*IF($C$9="No",$E$4,VLOOKUP(Table15781012[[#This Row],[Period]],Forecast!$H$2:$L$1048576,3,FALSE)),2)</f>
        <v>0</v>
      </c>
      <c r="L363" s="2">
        <f>Table15781012[[#This Row],[Period]]+$E$9</f>
        <v>359</v>
      </c>
      <c r="M363" s="3">
        <f>Table15781012[[#This Row],[Defaulted Principal]]-Table15781012[[#This Row],[Estimated Loss]]</f>
        <v>0</v>
      </c>
      <c r="N363" s="3">
        <f>IFERROR(VLOOKUP(Table15781012[[#This Row],[Period]],$L$16:$M$385,2,FALSE),0)</f>
        <v>0</v>
      </c>
      <c r="O363" s="3">
        <f>Table15781012[[#This Row],[Beginning Balance]]-Table15781012[[#This Row],[Principal]]-Table15781012[[#This Row],[Prepayments]]-Table15781012[[#This Row],[Defaulted Principal]]</f>
        <v>0</v>
      </c>
      <c r="P363" s="3">
        <f>Table15781012[[#This Row],[Principal]]+Table15781012[[#This Row],[Interest]]+Table15781012[[#This Row],[Prepayments]]+Table15781012[[#This Row],[RecoveredAmount]]</f>
        <v>0</v>
      </c>
      <c r="Q363" s="3">
        <f ca="1">ROUND(Table15781012[[#This Row],[Cash Flow]]/((1+ActualRateToUse)^(IF(ISNUMBER(SEARCH("Actual",$C$7)),Table15781012[[#This Row],[Running Total]]/365,Table15781012[[#This Row],[Period]]/12))),2)</f>
        <v>0</v>
      </c>
      <c r="R363" s="2">
        <f>IF(MONTH(Table15781012[[#This Row],[Date]])=2,28,DAY(DATE(YEAR(Table15781012[[#This Row],[Date]]),MONTH(Table15781012[[#This Row],[Date]])+1,1)-1))</f>
        <v>31</v>
      </c>
      <c r="S363" s="2">
        <f ca="1">SUM(OFFSET(Table15781012[[#Headers],[Days in month]],1,0):Table15781012[[#This Row],[Days in month]])</f>
        <v>10555</v>
      </c>
      <c r="T363" s="37">
        <f>InterestRate*AmortizationMultiplier*IF(ISNUMBER(SEARCH("Actual",$C$7)),Table15781012[[#This Row],[Days in month]]/365,1/12)</f>
        <v>6.0708333333333326E-3</v>
      </c>
    </row>
    <row r="364" spans="2:20" x14ac:dyDescent="0.2">
      <c r="B364" s="1">
        <f t="shared" si="18"/>
        <v>56430</v>
      </c>
      <c r="C364" s="2">
        <f t="shared" si="20"/>
        <v>348</v>
      </c>
      <c r="D364" s="3">
        <f t="shared" si="19"/>
        <v>0</v>
      </c>
      <c r="E364" s="3">
        <f>ROUND(Table15781012[[#This Row],[Beginning Balance]]*Table15781012[[#This Row],[Monthly Interest Rate]],2)</f>
        <v>0</v>
      </c>
      <c r="F364" s="3">
        <f t="shared" si="21"/>
        <v>4</v>
      </c>
      <c r="G364" s="23">
        <f>IFERROR(IF($C$13="No","N/A",IF(Table15781012[[#This Row],[Period]]=1,$C$6,PMT(InterestRate*AmortizationMultiplier/12,Table15781012[[#This Row],[Am Thru]],-Table15781012[[#This Row],[Beginning Balance]]))),0)</f>
        <v>0</v>
      </c>
      <c r="H364" s="3">
        <f>MAX(0,IF(C364=$C$4,D364,ROUND(IF($C$3="Fixed Principal",$C$6-Table15781012[[#This Row],[Interest]],IF($C$3="Interest Only",Table15781012[[#This Row],[Beginning Balance]]*ROUND(1-(1-IF($C$11="No",$E$8,1))^(1/12),6),MIN(IF($C$13="Yes",Table15781012[[#This Row],[Payment Amount (Reamortized)]],$C$6)-Table15781012[[#This Row],[Interest]],Table15781012[[#This Row],[Beginning Balance]]))),2)))</f>
        <v>0</v>
      </c>
      <c r="I364" s="3">
        <f>_xlfn.SINGLE(IF($C$3="Line of Credit",0,ROUND(MAX(MIN(IF($C$10="No",$E$7,VLOOKUP(Table15781012[[#This Row],[Period]],Forecast!$H$2:$L$1048576,4,FALSE))*Table15781012[[#This Row],[Beginning Balance]],Table15781012[[#This Row],[Beginning Balance]]-Table15781012[[#This Row],[Principal]]),0),2)))</f>
        <v>0</v>
      </c>
      <c r="J364" s="3">
        <f>ROUND(MIN(Table15781012[[#This Row],[Beginning Balance]]*IF($C$8="No",$E$3,VLOOKUP(Table15781012[[#This Row],[Period]],Forecast!$H$2:$L$1048576,2,FALSE)),Table15781012[[#This Row],[Beginning Balance]]-Table15781012[[#This Row],[Principal]]-Table15781012[[#This Row],[Prepayments]]),2)</f>
        <v>0</v>
      </c>
      <c r="K364" s="3">
        <f>ROUND(Table15781012[[#This Row],[Defaulted Principal]]*IF($C$9="No",$E$4,VLOOKUP(Table15781012[[#This Row],[Period]],Forecast!$H$2:$L$1048576,3,FALSE)),2)</f>
        <v>0</v>
      </c>
      <c r="L364" s="2">
        <f>Table15781012[[#This Row],[Period]]+$E$9</f>
        <v>360</v>
      </c>
      <c r="M364" s="3">
        <f>Table15781012[[#This Row],[Defaulted Principal]]-Table15781012[[#This Row],[Estimated Loss]]</f>
        <v>0</v>
      </c>
      <c r="N364" s="3">
        <f>IFERROR(VLOOKUP(Table15781012[[#This Row],[Period]],$L$16:$M$385,2,FALSE),0)</f>
        <v>0</v>
      </c>
      <c r="O364" s="3">
        <f>Table15781012[[#This Row],[Beginning Balance]]-Table15781012[[#This Row],[Principal]]-Table15781012[[#This Row],[Prepayments]]-Table15781012[[#This Row],[Defaulted Principal]]</f>
        <v>0</v>
      </c>
      <c r="P364" s="3">
        <f>Table15781012[[#This Row],[Principal]]+Table15781012[[#This Row],[Interest]]+Table15781012[[#This Row],[Prepayments]]+Table15781012[[#This Row],[RecoveredAmount]]</f>
        <v>0</v>
      </c>
      <c r="Q364" s="3">
        <f ca="1">ROUND(Table15781012[[#This Row],[Cash Flow]]/((1+ActualRateToUse)^(IF(ISNUMBER(SEARCH("Actual",$C$7)),Table15781012[[#This Row],[Running Total]]/365,Table15781012[[#This Row],[Period]]/12))),2)</f>
        <v>0</v>
      </c>
      <c r="R364" s="2">
        <f>IF(MONTH(Table15781012[[#This Row],[Date]])=2,28,DAY(DATE(YEAR(Table15781012[[#This Row],[Date]]),MONTH(Table15781012[[#This Row],[Date]])+1,1)-1))</f>
        <v>30</v>
      </c>
      <c r="S364" s="2">
        <f ca="1">SUM(OFFSET(Table15781012[[#Headers],[Days in month]],1,0):Table15781012[[#This Row],[Days in month]])</f>
        <v>10585</v>
      </c>
      <c r="T364" s="37">
        <f>InterestRate*AmortizationMultiplier*IF(ISNUMBER(SEARCH("Actual",$C$7)),Table15781012[[#This Row],[Days in month]]/365,1/12)</f>
        <v>5.8749999999999991E-3</v>
      </c>
    </row>
    <row r="365" spans="2:20" x14ac:dyDescent="0.2">
      <c r="B365" s="1">
        <f t="shared" si="18"/>
        <v>56461</v>
      </c>
      <c r="C365" s="2">
        <f t="shared" si="20"/>
        <v>349</v>
      </c>
      <c r="D365" s="3">
        <f t="shared" si="19"/>
        <v>0</v>
      </c>
      <c r="E365" s="3">
        <f>ROUND(Table15781012[[#This Row],[Beginning Balance]]*Table15781012[[#This Row],[Monthly Interest Rate]],2)</f>
        <v>0</v>
      </c>
      <c r="F365" s="3">
        <f t="shared" si="21"/>
        <v>3</v>
      </c>
      <c r="G365" s="23">
        <f>IFERROR(IF($C$13="No","N/A",IF(Table15781012[[#This Row],[Period]]=1,$C$6,PMT(InterestRate*AmortizationMultiplier/12,Table15781012[[#This Row],[Am Thru]],-Table15781012[[#This Row],[Beginning Balance]]))),0)</f>
        <v>0</v>
      </c>
      <c r="H365" s="3">
        <f>MAX(0,IF(C365=$C$4,D365,ROUND(IF($C$3="Fixed Principal",$C$6-Table15781012[[#This Row],[Interest]],IF($C$3="Interest Only",Table15781012[[#This Row],[Beginning Balance]]*ROUND(1-(1-IF($C$11="No",$E$8,1))^(1/12),6),MIN(IF($C$13="Yes",Table15781012[[#This Row],[Payment Amount (Reamortized)]],$C$6)-Table15781012[[#This Row],[Interest]],Table15781012[[#This Row],[Beginning Balance]]))),2)))</f>
        <v>0</v>
      </c>
      <c r="I365" s="3">
        <f>_xlfn.SINGLE(IF($C$3="Line of Credit",0,ROUND(MAX(MIN(IF($C$10="No",$E$7,VLOOKUP(Table15781012[[#This Row],[Period]],Forecast!$H$2:$L$1048576,4,FALSE))*Table15781012[[#This Row],[Beginning Balance]],Table15781012[[#This Row],[Beginning Balance]]-Table15781012[[#This Row],[Principal]]),0),2)))</f>
        <v>0</v>
      </c>
      <c r="J365" s="3">
        <f>ROUND(MIN(Table15781012[[#This Row],[Beginning Balance]]*IF($C$8="No",$E$3,VLOOKUP(Table15781012[[#This Row],[Period]],Forecast!$H$2:$L$1048576,2,FALSE)),Table15781012[[#This Row],[Beginning Balance]]-Table15781012[[#This Row],[Principal]]-Table15781012[[#This Row],[Prepayments]]),2)</f>
        <v>0</v>
      </c>
      <c r="K365" s="3">
        <f>ROUND(Table15781012[[#This Row],[Defaulted Principal]]*IF($C$9="No",$E$4,VLOOKUP(Table15781012[[#This Row],[Period]],Forecast!$H$2:$L$1048576,3,FALSE)),2)</f>
        <v>0</v>
      </c>
      <c r="L365" s="2">
        <f>Table15781012[[#This Row],[Period]]+$E$9</f>
        <v>361</v>
      </c>
      <c r="M365" s="3">
        <f>Table15781012[[#This Row],[Defaulted Principal]]-Table15781012[[#This Row],[Estimated Loss]]</f>
        <v>0</v>
      </c>
      <c r="N365" s="3">
        <f>IFERROR(VLOOKUP(Table15781012[[#This Row],[Period]],$L$16:$M$385,2,FALSE),0)</f>
        <v>0</v>
      </c>
      <c r="O365" s="3">
        <f>Table15781012[[#This Row],[Beginning Balance]]-Table15781012[[#This Row],[Principal]]-Table15781012[[#This Row],[Prepayments]]-Table15781012[[#This Row],[Defaulted Principal]]</f>
        <v>0</v>
      </c>
      <c r="P365" s="3">
        <f>Table15781012[[#This Row],[Principal]]+Table15781012[[#This Row],[Interest]]+Table15781012[[#This Row],[Prepayments]]+Table15781012[[#This Row],[RecoveredAmount]]</f>
        <v>0</v>
      </c>
      <c r="Q365" s="3">
        <f ca="1">ROUND(Table15781012[[#This Row],[Cash Flow]]/((1+ActualRateToUse)^(IF(ISNUMBER(SEARCH("Actual",$C$7)),Table15781012[[#This Row],[Running Total]]/365,Table15781012[[#This Row],[Period]]/12))),2)</f>
        <v>0</v>
      </c>
      <c r="R365" s="2">
        <f>IF(MONTH(Table15781012[[#This Row],[Date]])=2,28,DAY(DATE(YEAR(Table15781012[[#This Row],[Date]]),MONTH(Table15781012[[#This Row],[Date]])+1,1)-1))</f>
        <v>31</v>
      </c>
      <c r="S365" s="2">
        <f ca="1">SUM(OFFSET(Table15781012[[#Headers],[Days in month]],1,0):Table15781012[[#This Row],[Days in month]])</f>
        <v>10616</v>
      </c>
      <c r="T365" s="37">
        <f>InterestRate*AmortizationMultiplier*IF(ISNUMBER(SEARCH("Actual",$C$7)),Table15781012[[#This Row],[Days in month]]/365,1/12)</f>
        <v>6.0708333333333326E-3</v>
      </c>
    </row>
    <row r="366" spans="2:20" x14ac:dyDescent="0.2">
      <c r="B366" s="1">
        <f t="shared" si="18"/>
        <v>56492</v>
      </c>
      <c r="C366" s="2">
        <f t="shared" si="20"/>
        <v>350</v>
      </c>
      <c r="D366" s="3">
        <f t="shared" si="19"/>
        <v>0</v>
      </c>
      <c r="E366" s="3">
        <f>ROUND(Table15781012[[#This Row],[Beginning Balance]]*Table15781012[[#This Row],[Monthly Interest Rate]],2)</f>
        <v>0</v>
      </c>
      <c r="F366" s="3">
        <f t="shared" si="21"/>
        <v>2</v>
      </c>
      <c r="G366" s="23">
        <f>IFERROR(IF($C$13="No","N/A",IF(Table15781012[[#This Row],[Period]]=1,$C$6,PMT(InterestRate*AmortizationMultiplier/12,Table15781012[[#This Row],[Am Thru]],-Table15781012[[#This Row],[Beginning Balance]]))),0)</f>
        <v>0</v>
      </c>
      <c r="H366" s="3">
        <f>MAX(0,IF(C366=$C$4,D366,ROUND(IF($C$3="Fixed Principal",$C$6-Table15781012[[#This Row],[Interest]],IF($C$3="Interest Only",Table15781012[[#This Row],[Beginning Balance]]*ROUND(1-(1-IF($C$11="No",$E$8,1))^(1/12),6),MIN(IF($C$13="Yes",Table15781012[[#This Row],[Payment Amount (Reamortized)]],$C$6)-Table15781012[[#This Row],[Interest]],Table15781012[[#This Row],[Beginning Balance]]))),2)))</f>
        <v>0</v>
      </c>
      <c r="I366" s="3">
        <f>_xlfn.SINGLE(IF($C$3="Line of Credit",0,ROUND(MAX(MIN(IF($C$10="No",$E$7,VLOOKUP(Table15781012[[#This Row],[Period]],Forecast!$H$2:$L$1048576,4,FALSE))*Table15781012[[#This Row],[Beginning Balance]],Table15781012[[#This Row],[Beginning Balance]]-Table15781012[[#This Row],[Principal]]),0),2)))</f>
        <v>0</v>
      </c>
      <c r="J366" s="3">
        <f>ROUND(MIN(Table15781012[[#This Row],[Beginning Balance]]*IF($C$8="No",$E$3,VLOOKUP(Table15781012[[#This Row],[Period]],Forecast!$H$2:$L$1048576,2,FALSE)),Table15781012[[#This Row],[Beginning Balance]]-Table15781012[[#This Row],[Principal]]-Table15781012[[#This Row],[Prepayments]]),2)</f>
        <v>0</v>
      </c>
      <c r="K366" s="3">
        <f>ROUND(Table15781012[[#This Row],[Defaulted Principal]]*IF($C$9="No",$E$4,VLOOKUP(Table15781012[[#This Row],[Period]],Forecast!$H$2:$L$1048576,3,FALSE)),2)</f>
        <v>0</v>
      </c>
      <c r="L366" s="2">
        <f>Table15781012[[#This Row],[Period]]+$E$9</f>
        <v>362</v>
      </c>
      <c r="M366" s="3">
        <f>Table15781012[[#This Row],[Defaulted Principal]]-Table15781012[[#This Row],[Estimated Loss]]</f>
        <v>0</v>
      </c>
      <c r="N366" s="3">
        <f>IFERROR(VLOOKUP(Table15781012[[#This Row],[Period]],$L$16:$M$385,2,FALSE),0)</f>
        <v>0</v>
      </c>
      <c r="O366" s="3">
        <f>Table15781012[[#This Row],[Beginning Balance]]-Table15781012[[#This Row],[Principal]]-Table15781012[[#This Row],[Prepayments]]-Table15781012[[#This Row],[Defaulted Principal]]</f>
        <v>0</v>
      </c>
      <c r="P366" s="3">
        <f>Table15781012[[#This Row],[Principal]]+Table15781012[[#This Row],[Interest]]+Table15781012[[#This Row],[Prepayments]]+Table15781012[[#This Row],[RecoveredAmount]]</f>
        <v>0</v>
      </c>
      <c r="Q366" s="3">
        <f ca="1">ROUND(Table15781012[[#This Row],[Cash Flow]]/((1+ActualRateToUse)^(IF(ISNUMBER(SEARCH("Actual",$C$7)),Table15781012[[#This Row],[Running Total]]/365,Table15781012[[#This Row],[Period]]/12))),2)</f>
        <v>0</v>
      </c>
      <c r="R366" s="2">
        <f>IF(MONTH(Table15781012[[#This Row],[Date]])=2,28,DAY(DATE(YEAR(Table15781012[[#This Row],[Date]]),MONTH(Table15781012[[#This Row],[Date]])+1,1)-1))</f>
        <v>31</v>
      </c>
      <c r="S366" s="2">
        <f ca="1">SUM(OFFSET(Table15781012[[#Headers],[Days in month]],1,0):Table15781012[[#This Row],[Days in month]])</f>
        <v>10647</v>
      </c>
      <c r="T366" s="37">
        <f>InterestRate*AmortizationMultiplier*IF(ISNUMBER(SEARCH("Actual",$C$7)),Table15781012[[#This Row],[Days in month]]/365,1/12)</f>
        <v>6.0708333333333326E-3</v>
      </c>
    </row>
    <row r="367" spans="2:20" x14ac:dyDescent="0.2">
      <c r="B367" s="1">
        <f t="shared" si="18"/>
        <v>56522</v>
      </c>
      <c r="C367" s="2">
        <f t="shared" si="20"/>
        <v>351</v>
      </c>
      <c r="D367" s="3">
        <f t="shared" si="19"/>
        <v>0</v>
      </c>
      <c r="E367" s="3">
        <f>ROUND(Table15781012[[#This Row],[Beginning Balance]]*Table15781012[[#This Row],[Monthly Interest Rate]],2)</f>
        <v>0</v>
      </c>
      <c r="F367" s="3">
        <f t="shared" si="21"/>
        <v>1</v>
      </c>
      <c r="G367" s="23">
        <f>IFERROR(IF($C$13="No","N/A",IF(Table15781012[[#This Row],[Period]]=1,$C$6,PMT(InterestRate*AmortizationMultiplier/12,Table15781012[[#This Row],[Am Thru]],-Table15781012[[#This Row],[Beginning Balance]]))),0)</f>
        <v>0</v>
      </c>
      <c r="H367" s="3">
        <f>MAX(0,IF(C367=$C$4,D367,ROUND(IF($C$3="Fixed Principal",$C$6-Table15781012[[#This Row],[Interest]],IF($C$3="Interest Only",Table15781012[[#This Row],[Beginning Balance]]*ROUND(1-(1-IF($C$11="No",$E$8,1))^(1/12),6),MIN(IF($C$13="Yes",Table15781012[[#This Row],[Payment Amount (Reamortized)]],$C$6)-Table15781012[[#This Row],[Interest]],Table15781012[[#This Row],[Beginning Balance]]))),2)))</f>
        <v>0</v>
      </c>
      <c r="I367" s="3">
        <f>_xlfn.SINGLE(IF($C$3="Line of Credit",0,ROUND(MAX(MIN(IF($C$10="No",$E$7,VLOOKUP(Table15781012[[#This Row],[Period]],Forecast!$H$2:$L$1048576,4,FALSE))*Table15781012[[#This Row],[Beginning Balance]],Table15781012[[#This Row],[Beginning Balance]]-Table15781012[[#This Row],[Principal]]),0),2)))</f>
        <v>0</v>
      </c>
      <c r="J367" s="3">
        <f>ROUND(MIN(Table15781012[[#This Row],[Beginning Balance]]*IF($C$8="No",$E$3,VLOOKUP(Table15781012[[#This Row],[Period]],Forecast!$H$2:$L$1048576,2,FALSE)),Table15781012[[#This Row],[Beginning Balance]]-Table15781012[[#This Row],[Principal]]-Table15781012[[#This Row],[Prepayments]]),2)</f>
        <v>0</v>
      </c>
      <c r="K367" s="3">
        <f>ROUND(Table15781012[[#This Row],[Defaulted Principal]]*IF($C$9="No",$E$4,VLOOKUP(Table15781012[[#This Row],[Period]],Forecast!$H$2:$L$1048576,3,FALSE)),2)</f>
        <v>0</v>
      </c>
      <c r="L367" s="2">
        <f>Table15781012[[#This Row],[Period]]+$E$9</f>
        <v>363</v>
      </c>
      <c r="M367" s="3">
        <f>Table15781012[[#This Row],[Defaulted Principal]]-Table15781012[[#This Row],[Estimated Loss]]</f>
        <v>0</v>
      </c>
      <c r="N367" s="3">
        <f>IFERROR(VLOOKUP(Table15781012[[#This Row],[Period]],$L$16:$M$385,2,FALSE),0)</f>
        <v>0</v>
      </c>
      <c r="O367" s="3">
        <f>Table15781012[[#This Row],[Beginning Balance]]-Table15781012[[#This Row],[Principal]]-Table15781012[[#This Row],[Prepayments]]-Table15781012[[#This Row],[Defaulted Principal]]</f>
        <v>0</v>
      </c>
      <c r="P367" s="3">
        <f>Table15781012[[#This Row],[Principal]]+Table15781012[[#This Row],[Interest]]+Table15781012[[#This Row],[Prepayments]]+Table15781012[[#This Row],[RecoveredAmount]]</f>
        <v>0</v>
      </c>
      <c r="Q367" s="3">
        <f ca="1">ROUND(Table15781012[[#This Row],[Cash Flow]]/((1+ActualRateToUse)^(IF(ISNUMBER(SEARCH("Actual",$C$7)),Table15781012[[#This Row],[Running Total]]/365,Table15781012[[#This Row],[Period]]/12))),2)</f>
        <v>0</v>
      </c>
      <c r="R367" s="2">
        <f>IF(MONTH(Table15781012[[#This Row],[Date]])=2,28,DAY(DATE(YEAR(Table15781012[[#This Row],[Date]]),MONTH(Table15781012[[#This Row],[Date]])+1,1)-1))</f>
        <v>30</v>
      </c>
      <c r="S367" s="2">
        <f ca="1">SUM(OFFSET(Table15781012[[#Headers],[Days in month]],1,0):Table15781012[[#This Row],[Days in month]])</f>
        <v>10677</v>
      </c>
      <c r="T367" s="37">
        <f>InterestRate*AmortizationMultiplier*IF(ISNUMBER(SEARCH("Actual",$C$7)),Table15781012[[#This Row],[Days in month]]/365,1/12)</f>
        <v>5.8749999999999991E-3</v>
      </c>
    </row>
    <row r="368" spans="2:20" x14ac:dyDescent="0.2">
      <c r="B368" s="1">
        <f t="shared" si="18"/>
        <v>56553</v>
      </c>
      <c r="C368" s="2">
        <f t="shared" si="20"/>
        <v>352</v>
      </c>
      <c r="D368" s="3">
        <f>O367</f>
        <v>0</v>
      </c>
      <c r="E368" s="3">
        <f>ROUND(Table15781012[[#This Row],[Beginning Balance]]*Table15781012[[#This Row],[Monthly Interest Rate]],2)</f>
        <v>0</v>
      </c>
      <c r="F368" s="3">
        <f>+F367-1</f>
        <v>0</v>
      </c>
      <c r="G368" s="23">
        <f>IFERROR(IF($C$13="No","N/A",IF(Table15781012[[#This Row],[Period]]=1,$C$6,PMT(InterestRate*AmortizationMultiplier/12,Table15781012[[#This Row],[Am Thru]],-Table15781012[[#This Row],[Beginning Balance]]))),0)</f>
        <v>0</v>
      </c>
      <c r="H368" s="3">
        <f>MAX(0,IF(C368=$C$4,D368,ROUND(IF($C$3="Fixed Principal",$C$6-Table15781012[[#This Row],[Interest]],IF($C$3="Interest Only",Table15781012[[#This Row],[Beginning Balance]]*ROUND(1-(1-IF($C$11="No",$E$8,1))^(1/12),6),MIN(IF($C$13="Yes",Table15781012[[#This Row],[Payment Amount (Reamortized)]],$C$6)-Table15781012[[#This Row],[Interest]],Table15781012[[#This Row],[Beginning Balance]]))),2)))</f>
        <v>0</v>
      </c>
      <c r="I368" s="3">
        <f>_xlfn.SINGLE(IF($C$3="Line of Credit",0,ROUND(MAX(MIN(IF($C$10="No",$E$7,VLOOKUP(Table15781012[[#This Row],[Period]],Forecast!$H$2:$L$1048576,4,FALSE))*Table15781012[[#This Row],[Beginning Balance]],Table15781012[[#This Row],[Beginning Balance]]-Table15781012[[#This Row],[Principal]]),0),2)))</f>
        <v>0</v>
      </c>
      <c r="J368" s="3">
        <f>ROUND(MIN(Table15781012[[#This Row],[Beginning Balance]]*IF($C$8="No",$E$3,VLOOKUP(Table15781012[[#This Row],[Period]],Forecast!$H$2:$L$1048576,2,FALSE)),Table15781012[[#This Row],[Beginning Balance]]-Table15781012[[#This Row],[Principal]]-Table15781012[[#This Row],[Prepayments]]),2)</f>
        <v>0</v>
      </c>
      <c r="K368" s="3">
        <f>ROUND(Table15781012[[#This Row],[Defaulted Principal]]*IF($C$9="No",$E$4,VLOOKUP(Table15781012[[#This Row],[Period]],Forecast!$H$2:$L$1048576,3,FALSE)),2)</f>
        <v>0</v>
      </c>
      <c r="L368" s="2">
        <f>Table15781012[[#This Row],[Period]]+$E$9</f>
        <v>364</v>
      </c>
      <c r="M368" s="3">
        <f>Table15781012[[#This Row],[Defaulted Principal]]-Table15781012[[#This Row],[Estimated Loss]]</f>
        <v>0</v>
      </c>
      <c r="N368" s="3">
        <f>IFERROR(VLOOKUP(Table15781012[[#This Row],[Period]],$L$16:$M$385,2,FALSE),0)</f>
        <v>0</v>
      </c>
      <c r="O368" s="3">
        <f>Table15781012[[#This Row],[Beginning Balance]]-Table15781012[[#This Row],[Principal]]-Table15781012[[#This Row],[Prepayments]]-Table15781012[[#This Row],[Defaulted Principal]]</f>
        <v>0</v>
      </c>
      <c r="P368" s="3">
        <f>Table15781012[[#This Row],[Principal]]+Table15781012[[#This Row],[Interest]]+Table15781012[[#This Row],[Prepayments]]+Table15781012[[#This Row],[RecoveredAmount]]</f>
        <v>0</v>
      </c>
      <c r="Q368" s="3">
        <f ca="1">ROUND(Table15781012[[#This Row],[Cash Flow]]/((1+ActualRateToUse)^(IF(ISNUMBER(SEARCH("Actual",$C$7)),Table15781012[[#This Row],[Running Total]]/365,Table15781012[[#This Row],[Period]]/12))),2)</f>
        <v>0</v>
      </c>
      <c r="R368" s="2">
        <f>IF(MONTH(Table15781012[[#This Row],[Date]])=2,28,DAY(DATE(YEAR(Table15781012[[#This Row],[Date]]),MONTH(Table15781012[[#This Row],[Date]])+1,1)-1))</f>
        <v>31</v>
      </c>
      <c r="S368" s="2">
        <f ca="1">SUM(OFFSET(Table15781012[[#Headers],[Days in month]],1,0):Table15781012[[#This Row],[Days in month]])</f>
        <v>10708</v>
      </c>
      <c r="T368" s="37">
        <f>InterestRate*AmortizationMultiplier*IF(ISNUMBER(SEARCH("Actual",$C$7)),Table15781012[[#This Row],[Days in month]]/365,1/12)</f>
        <v>6.0708333333333326E-3</v>
      </c>
    </row>
    <row r="369" spans="2:20" x14ac:dyDescent="0.2">
      <c r="B369" s="1">
        <f t="shared" si="18"/>
        <v>56583</v>
      </c>
      <c r="C369" s="2">
        <f t="shared" si="20"/>
        <v>353</v>
      </c>
      <c r="D369" s="3">
        <f t="shared" si="19"/>
        <v>0</v>
      </c>
      <c r="E369" s="3">
        <f>ROUND(Table15781012[[#This Row],[Beginning Balance]]*Table15781012[[#This Row],[Monthly Interest Rate]],2)</f>
        <v>0</v>
      </c>
      <c r="F369" s="3">
        <f t="shared" si="21"/>
        <v>-1</v>
      </c>
      <c r="G369" s="23">
        <f>IFERROR(IF($C$13="No","N/A",IF(Table15781012[[#This Row],[Period]]=1,$C$6,PMT(InterestRate*AmortizationMultiplier/12,Table15781012[[#This Row],[Am Thru]],-Table15781012[[#This Row],[Beginning Balance]]))),0)</f>
        <v>0</v>
      </c>
      <c r="H369" s="3">
        <f>MAX(0,IF(C369=$C$4,D369,ROUND(IF($C$3="Fixed Principal",$C$6-Table15781012[[#This Row],[Interest]],IF($C$3="Interest Only",Table15781012[[#This Row],[Beginning Balance]]*ROUND(1-(1-IF($C$11="No",$E$8,1))^(1/12),6),MIN(IF($C$13="Yes",Table15781012[[#This Row],[Payment Amount (Reamortized)]],$C$6)-Table15781012[[#This Row],[Interest]],Table15781012[[#This Row],[Beginning Balance]]))),2)))</f>
        <v>0</v>
      </c>
      <c r="I369" s="3">
        <f>_xlfn.SINGLE(IF($C$3="Line of Credit",0,ROUND(MAX(MIN(IF($C$10="No",$E$7,VLOOKUP(Table15781012[[#This Row],[Period]],Forecast!$H$2:$L$1048576,4,FALSE))*Table15781012[[#This Row],[Beginning Balance]],Table15781012[[#This Row],[Beginning Balance]]-Table15781012[[#This Row],[Principal]]),0),2)))</f>
        <v>0</v>
      </c>
      <c r="J369" s="3">
        <f>ROUND(MIN(Table15781012[[#This Row],[Beginning Balance]]*IF($C$8="No",$E$3,VLOOKUP(Table15781012[[#This Row],[Period]],Forecast!$H$2:$L$1048576,2,FALSE)),Table15781012[[#This Row],[Beginning Balance]]-Table15781012[[#This Row],[Principal]]-Table15781012[[#This Row],[Prepayments]]),2)</f>
        <v>0</v>
      </c>
      <c r="K369" s="3">
        <f>ROUND(Table15781012[[#This Row],[Defaulted Principal]]*IF($C$9="No",$E$4,VLOOKUP(Table15781012[[#This Row],[Period]],Forecast!$H$2:$L$1048576,3,FALSE)),2)</f>
        <v>0</v>
      </c>
      <c r="L369" s="2">
        <f>Table15781012[[#This Row],[Period]]+$E$9</f>
        <v>365</v>
      </c>
      <c r="M369" s="3">
        <f>Table15781012[[#This Row],[Defaulted Principal]]-Table15781012[[#This Row],[Estimated Loss]]</f>
        <v>0</v>
      </c>
      <c r="N369" s="3">
        <f>IFERROR(VLOOKUP(Table15781012[[#This Row],[Period]],$L$16:$M$385,2,FALSE),0)</f>
        <v>0</v>
      </c>
      <c r="O369" s="3">
        <f>Table15781012[[#This Row],[Beginning Balance]]-Table15781012[[#This Row],[Principal]]-Table15781012[[#This Row],[Prepayments]]-Table15781012[[#This Row],[Defaulted Principal]]</f>
        <v>0</v>
      </c>
      <c r="P369" s="3">
        <f>Table15781012[[#This Row],[Principal]]+Table15781012[[#This Row],[Interest]]+Table15781012[[#This Row],[Prepayments]]+Table15781012[[#This Row],[RecoveredAmount]]</f>
        <v>0</v>
      </c>
      <c r="Q369" s="3">
        <f ca="1">ROUND(Table15781012[[#This Row],[Cash Flow]]/((1+ActualRateToUse)^(IF(ISNUMBER(SEARCH("Actual",$C$7)),Table15781012[[#This Row],[Running Total]]/365,Table15781012[[#This Row],[Period]]/12))),2)</f>
        <v>0</v>
      </c>
      <c r="R369" s="2">
        <f>IF(MONTH(Table15781012[[#This Row],[Date]])=2,28,DAY(DATE(YEAR(Table15781012[[#This Row],[Date]]),MONTH(Table15781012[[#This Row],[Date]])+1,1)-1))</f>
        <v>30</v>
      </c>
      <c r="S369" s="2">
        <f ca="1">SUM(OFFSET(Table15781012[[#Headers],[Days in month]],1,0):Table15781012[[#This Row],[Days in month]])</f>
        <v>10738</v>
      </c>
      <c r="T369" s="37">
        <f>InterestRate*AmortizationMultiplier*IF(ISNUMBER(SEARCH("Actual",$C$7)),Table15781012[[#This Row],[Days in month]]/365,1/12)</f>
        <v>5.8749999999999991E-3</v>
      </c>
    </row>
    <row r="370" spans="2:20" x14ac:dyDescent="0.2">
      <c r="B370" s="1">
        <f t="shared" si="18"/>
        <v>56614</v>
      </c>
      <c r="C370" s="2">
        <f t="shared" si="20"/>
        <v>354</v>
      </c>
      <c r="D370" s="3">
        <f t="shared" si="19"/>
        <v>0</v>
      </c>
      <c r="E370" s="3">
        <f>ROUND(Table15781012[[#This Row],[Beginning Balance]]*Table15781012[[#This Row],[Monthly Interest Rate]],2)</f>
        <v>0</v>
      </c>
      <c r="F370" s="3">
        <f t="shared" si="21"/>
        <v>-2</v>
      </c>
      <c r="G370" s="23">
        <f>IFERROR(IF($C$13="No","N/A",IF(Table15781012[[#This Row],[Period]]=1,$C$6,PMT(InterestRate*AmortizationMultiplier/12,Table15781012[[#This Row],[Am Thru]],-Table15781012[[#This Row],[Beginning Balance]]))),0)</f>
        <v>0</v>
      </c>
      <c r="H370" s="3">
        <f>MAX(0,IF(C370=$C$4,D370,ROUND(IF($C$3="Fixed Principal",$C$6-Table15781012[[#This Row],[Interest]],IF($C$3="Interest Only",Table15781012[[#This Row],[Beginning Balance]]*ROUND(1-(1-IF($C$11="No",$E$8,1))^(1/12),6),MIN(IF($C$13="Yes",Table15781012[[#This Row],[Payment Amount (Reamortized)]],$C$6)-Table15781012[[#This Row],[Interest]],Table15781012[[#This Row],[Beginning Balance]]))),2)))</f>
        <v>0</v>
      </c>
      <c r="I370" s="3">
        <f>_xlfn.SINGLE(IF($C$3="Line of Credit",0,ROUND(MAX(MIN(IF($C$10="No",$E$7,VLOOKUP(Table15781012[[#This Row],[Period]],Forecast!$H$2:$L$1048576,4,FALSE))*Table15781012[[#This Row],[Beginning Balance]],Table15781012[[#This Row],[Beginning Balance]]-Table15781012[[#This Row],[Principal]]),0),2)))</f>
        <v>0</v>
      </c>
      <c r="J370" s="3">
        <f>ROUND(MIN(Table15781012[[#This Row],[Beginning Balance]]*IF($C$8="No",$E$3,VLOOKUP(Table15781012[[#This Row],[Period]],Forecast!$H$2:$L$1048576,2,FALSE)),Table15781012[[#This Row],[Beginning Balance]]-Table15781012[[#This Row],[Principal]]-Table15781012[[#This Row],[Prepayments]]),2)</f>
        <v>0</v>
      </c>
      <c r="K370" s="3">
        <f>ROUND(Table15781012[[#This Row],[Defaulted Principal]]*IF($C$9="No",$E$4,VLOOKUP(Table15781012[[#This Row],[Period]],Forecast!$H$2:$L$1048576,3,FALSE)),2)</f>
        <v>0</v>
      </c>
      <c r="L370" s="2">
        <f>Table15781012[[#This Row],[Period]]+$E$9</f>
        <v>366</v>
      </c>
      <c r="M370" s="3">
        <f>Table15781012[[#This Row],[Defaulted Principal]]-Table15781012[[#This Row],[Estimated Loss]]</f>
        <v>0</v>
      </c>
      <c r="N370" s="3">
        <f>IFERROR(VLOOKUP(Table15781012[[#This Row],[Period]],$L$16:$M$385,2,FALSE),0)</f>
        <v>0</v>
      </c>
      <c r="O370" s="3">
        <f>Table15781012[[#This Row],[Beginning Balance]]-Table15781012[[#This Row],[Principal]]-Table15781012[[#This Row],[Prepayments]]-Table15781012[[#This Row],[Defaulted Principal]]</f>
        <v>0</v>
      </c>
      <c r="P370" s="3">
        <f>Table15781012[[#This Row],[Principal]]+Table15781012[[#This Row],[Interest]]+Table15781012[[#This Row],[Prepayments]]+Table15781012[[#This Row],[RecoveredAmount]]</f>
        <v>0</v>
      </c>
      <c r="Q370" s="3">
        <f ca="1">ROUND(Table15781012[[#This Row],[Cash Flow]]/((1+ActualRateToUse)^(IF(ISNUMBER(SEARCH("Actual",$C$7)),Table15781012[[#This Row],[Running Total]]/365,Table15781012[[#This Row],[Period]]/12))),2)</f>
        <v>0</v>
      </c>
      <c r="R370" s="2">
        <f>IF(MONTH(Table15781012[[#This Row],[Date]])=2,28,DAY(DATE(YEAR(Table15781012[[#This Row],[Date]]),MONTH(Table15781012[[#This Row],[Date]])+1,1)-1))</f>
        <v>31</v>
      </c>
      <c r="S370" s="2">
        <f ca="1">SUM(OFFSET(Table15781012[[#Headers],[Days in month]],1,0):Table15781012[[#This Row],[Days in month]])</f>
        <v>10769</v>
      </c>
      <c r="T370" s="37">
        <f>InterestRate*AmortizationMultiplier*IF(ISNUMBER(SEARCH("Actual",$C$7)),Table15781012[[#This Row],[Days in month]]/365,1/12)</f>
        <v>6.0708333333333326E-3</v>
      </c>
    </row>
    <row r="371" spans="2:20" x14ac:dyDescent="0.2">
      <c r="B371" s="1">
        <f t="shared" si="18"/>
        <v>56645</v>
      </c>
      <c r="C371" s="2">
        <f t="shared" si="20"/>
        <v>355</v>
      </c>
      <c r="D371" s="3">
        <f t="shared" si="19"/>
        <v>0</v>
      </c>
      <c r="E371" s="3">
        <f>ROUND(Table15781012[[#This Row],[Beginning Balance]]*Table15781012[[#This Row],[Monthly Interest Rate]],2)</f>
        <v>0</v>
      </c>
      <c r="F371" s="3">
        <f t="shared" si="21"/>
        <v>-3</v>
      </c>
      <c r="G371" s="23">
        <f>IFERROR(IF($C$13="No","N/A",IF(Table15781012[[#This Row],[Period]]=1,$C$6,PMT(InterestRate*AmortizationMultiplier/12,Table15781012[[#This Row],[Am Thru]],-Table15781012[[#This Row],[Beginning Balance]]))),0)</f>
        <v>0</v>
      </c>
      <c r="H371" s="3">
        <f>MAX(0,IF(C371=$C$4,D371,ROUND(IF($C$3="Fixed Principal",$C$6-Table15781012[[#This Row],[Interest]],IF($C$3="Interest Only",Table15781012[[#This Row],[Beginning Balance]]*ROUND(1-(1-IF($C$11="No",$E$8,1))^(1/12),6),MIN(IF($C$13="Yes",Table15781012[[#This Row],[Payment Amount (Reamortized)]],$C$6)-Table15781012[[#This Row],[Interest]],Table15781012[[#This Row],[Beginning Balance]]))),2)))</f>
        <v>0</v>
      </c>
      <c r="I371" s="3">
        <f>_xlfn.SINGLE(IF($C$3="Line of Credit",0,ROUND(MAX(MIN(IF($C$10="No",$E$7,VLOOKUP(Table15781012[[#This Row],[Period]],Forecast!$H$2:$L$1048576,4,FALSE))*Table15781012[[#This Row],[Beginning Balance]],Table15781012[[#This Row],[Beginning Balance]]-Table15781012[[#This Row],[Principal]]),0),2)))</f>
        <v>0</v>
      </c>
      <c r="J371" s="3">
        <f>ROUND(MIN(Table15781012[[#This Row],[Beginning Balance]]*IF($C$8="No",$E$3,VLOOKUP(Table15781012[[#This Row],[Period]],Forecast!$H$2:$L$1048576,2,FALSE)),Table15781012[[#This Row],[Beginning Balance]]-Table15781012[[#This Row],[Principal]]-Table15781012[[#This Row],[Prepayments]]),2)</f>
        <v>0</v>
      </c>
      <c r="K371" s="3">
        <f>ROUND(Table15781012[[#This Row],[Defaulted Principal]]*IF($C$9="No",$E$4,VLOOKUP(Table15781012[[#This Row],[Period]],Forecast!$H$2:$L$1048576,3,FALSE)),2)</f>
        <v>0</v>
      </c>
      <c r="L371" s="2">
        <f>Table15781012[[#This Row],[Period]]+$E$9</f>
        <v>367</v>
      </c>
      <c r="M371" s="3">
        <f>Table15781012[[#This Row],[Defaulted Principal]]-Table15781012[[#This Row],[Estimated Loss]]</f>
        <v>0</v>
      </c>
      <c r="N371" s="3">
        <f>IFERROR(VLOOKUP(Table15781012[[#This Row],[Period]],$L$16:$M$385,2,FALSE),0)</f>
        <v>0</v>
      </c>
      <c r="O371" s="3">
        <f>Table15781012[[#This Row],[Beginning Balance]]-Table15781012[[#This Row],[Principal]]-Table15781012[[#This Row],[Prepayments]]-Table15781012[[#This Row],[Defaulted Principal]]</f>
        <v>0</v>
      </c>
      <c r="P371" s="3">
        <f>Table15781012[[#This Row],[Principal]]+Table15781012[[#This Row],[Interest]]+Table15781012[[#This Row],[Prepayments]]+Table15781012[[#This Row],[RecoveredAmount]]</f>
        <v>0</v>
      </c>
      <c r="Q371" s="3">
        <f ca="1">ROUND(Table15781012[[#This Row],[Cash Flow]]/((1+ActualRateToUse)^(IF(ISNUMBER(SEARCH("Actual",$C$7)),Table15781012[[#This Row],[Running Total]]/365,Table15781012[[#This Row],[Period]]/12))),2)</f>
        <v>0</v>
      </c>
      <c r="R371" s="2">
        <f>IF(MONTH(Table15781012[[#This Row],[Date]])=2,28,DAY(DATE(YEAR(Table15781012[[#This Row],[Date]]),MONTH(Table15781012[[#This Row],[Date]])+1,1)-1))</f>
        <v>31</v>
      </c>
      <c r="S371" s="2">
        <f ca="1">SUM(OFFSET(Table15781012[[#Headers],[Days in month]],1,0):Table15781012[[#This Row],[Days in month]])</f>
        <v>10800</v>
      </c>
      <c r="T371" s="37">
        <f>InterestRate*AmortizationMultiplier*IF(ISNUMBER(SEARCH("Actual",$C$7)),Table15781012[[#This Row],[Days in month]]/365,1/12)</f>
        <v>6.0708333333333326E-3</v>
      </c>
    </row>
    <row r="372" spans="2:20" x14ac:dyDescent="0.2">
      <c r="B372" s="1">
        <f t="shared" si="18"/>
        <v>56673</v>
      </c>
      <c r="C372" s="2">
        <f t="shared" si="20"/>
        <v>356</v>
      </c>
      <c r="D372" s="3">
        <f t="shared" si="19"/>
        <v>0</v>
      </c>
      <c r="E372" s="3">
        <f>ROUND(Table15781012[[#This Row],[Beginning Balance]]*Table15781012[[#This Row],[Monthly Interest Rate]],2)</f>
        <v>0</v>
      </c>
      <c r="F372" s="3">
        <f t="shared" si="21"/>
        <v>-4</v>
      </c>
      <c r="G372" s="23">
        <f>IFERROR(IF($C$13="No","N/A",IF(Table15781012[[#This Row],[Period]]=1,$C$6,PMT(InterestRate*AmortizationMultiplier/12,Table15781012[[#This Row],[Am Thru]],-Table15781012[[#This Row],[Beginning Balance]]))),0)</f>
        <v>0</v>
      </c>
      <c r="H372" s="3">
        <f>MAX(0,IF(C372=$C$4,D372,ROUND(IF($C$3="Fixed Principal",$C$6-Table15781012[[#This Row],[Interest]],IF($C$3="Interest Only",Table15781012[[#This Row],[Beginning Balance]]*ROUND(1-(1-IF($C$11="No",$E$8,1))^(1/12),6),MIN(IF($C$13="Yes",Table15781012[[#This Row],[Payment Amount (Reamortized)]],$C$6)-Table15781012[[#This Row],[Interest]],Table15781012[[#This Row],[Beginning Balance]]))),2)))</f>
        <v>0</v>
      </c>
      <c r="I372" s="3">
        <f>_xlfn.SINGLE(IF($C$3="Line of Credit",0,ROUND(MAX(MIN(IF($C$10="No",$E$7,VLOOKUP(Table15781012[[#This Row],[Period]],Forecast!$H$2:$L$1048576,4,FALSE))*Table15781012[[#This Row],[Beginning Balance]],Table15781012[[#This Row],[Beginning Balance]]-Table15781012[[#This Row],[Principal]]),0),2)))</f>
        <v>0</v>
      </c>
      <c r="J372" s="3">
        <f>ROUND(MIN(Table15781012[[#This Row],[Beginning Balance]]*IF($C$8="No",$E$3,VLOOKUP(Table15781012[[#This Row],[Period]],Forecast!$H$2:$L$1048576,2,FALSE)),Table15781012[[#This Row],[Beginning Balance]]-Table15781012[[#This Row],[Principal]]-Table15781012[[#This Row],[Prepayments]]),2)</f>
        <v>0</v>
      </c>
      <c r="K372" s="3">
        <f>ROUND(Table15781012[[#This Row],[Defaulted Principal]]*IF($C$9="No",$E$4,VLOOKUP(Table15781012[[#This Row],[Period]],Forecast!$H$2:$L$1048576,3,FALSE)),2)</f>
        <v>0</v>
      </c>
      <c r="L372" s="2">
        <f>Table15781012[[#This Row],[Period]]+$E$9</f>
        <v>368</v>
      </c>
      <c r="M372" s="3">
        <f>Table15781012[[#This Row],[Defaulted Principal]]-Table15781012[[#This Row],[Estimated Loss]]</f>
        <v>0</v>
      </c>
      <c r="N372" s="3">
        <f>IFERROR(VLOOKUP(Table15781012[[#This Row],[Period]],$L$16:$M$385,2,FALSE),0)</f>
        <v>0</v>
      </c>
      <c r="O372" s="3">
        <f>Table15781012[[#This Row],[Beginning Balance]]-Table15781012[[#This Row],[Principal]]-Table15781012[[#This Row],[Prepayments]]-Table15781012[[#This Row],[Defaulted Principal]]</f>
        <v>0</v>
      </c>
      <c r="P372" s="3">
        <f>Table15781012[[#This Row],[Principal]]+Table15781012[[#This Row],[Interest]]+Table15781012[[#This Row],[Prepayments]]+Table15781012[[#This Row],[RecoveredAmount]]</f>
        <v>0</v>
      </c>
      <c r="Q372" s="3">
        <f ca="1">ROUND(Table15781012[[#This Row],[Cash Flow]]/((1+ActualRateToUse)^(IF(ISNUMBER(SEARCH("Actual",$C$7)),Table15781012[[#This Row],[Running Total]]/365,Table15781012[[#This Row],[Period]]/12))),2)</f>
        <v>0</v>
      </c>
      <c r="R372" s="2">
        <f>IF(MONTH(Table15781012[[#This Row],[Date]])=2,28,DAY(DATE(YEAR(Table15781012[[#This Row],[Date]]),MONTH(Table15781012[[#This Row],[Date]])+1,1)-1))</f>
        <v>28</v>
      </c>
      <c r="S372" s="2">
        <f ca="1">SUM(OFFSET(Table15781012[[#Headers],[Days in month]],1,0):Table15781012[[#This Row],[Days in month]])</f>
        <v>10828</v>
      </c>
      <c r="T372" s="37">
        <f>InterestRate*AmortizationMultiplier*IF(ISNUMBER(SEARCH("Actual",$C$7)),Table15781012[[#This Row],[Days in month]]/365,1/12)</f>
        <v>5.4833333333333331E-3</v>
      </c>
    </row>
    <row r="373" spans="2:20" x14ac:dyDescent="0.2">
      <c r="B373" s="1">
        <f t="shared" si="18"/>
        <v>56704</v>
      </c>
      <c r="C373" s="2">
        <f t="shared" si="20"/>
        <v>357</v>
      </c>
      <c r="D373" s="3">
        <f t="shared" si="19"/>
        <v>0</v>
      </c>
      <c r="E373" s="3">
        <f>ROUND(Table15781012[[#This Row],[Beginning Balance]]*Table15781012[[#This Row],[Monthly Interest Rate]],2)</f>
        <v>0</v>
      </c>
      <c r="F373" s="3">
        <f t="shared" si="21"/>
        <v>-5</v>
      </c>
      <c r="G373" s="23">
        <f>IFERROR(IF($C$13="No","N/A",IF(Table15781012[[#This Row],[Period]]=1,$C$6,PMT(InterestRate*AmortizationMultiplier/12,Table15781012[[#This Row],[Am Thru]],-Table15781012[[#This Row],[Beginning Balance]]))),0)</f>
        <v>0</v>
      </c>
      <c r="H373" s="3">
        <f>MAX(0,IF(C373=$C$4,D373,ROUND(IF($C$3="Fixed Principal",$C$6-Table15781012[[#This Row],[Interest]],IF($C$3="Interest Only",Table15781012[[#This Row],[Beginning Balance]]*ROUND(1-(1-IF($C$11="No",$E$8,1))^(1/12),6),MIN(IF($C$13="Yes",Table15781012[[#This Row],[Payment Amount (Reamortized)]],$C$6)-Table15781012[[#This Row],[Interest]],Table15781012[[#This Row],[Beginning Balance]]))),2)))</f>
        <v>0</v>
      </c>
      <c r="I373" s="3">
        <f>_xlfn.SINGLE(IF($C$3="Line of Credit",0,ROUND(MAX(MIN(IF($C$10="No",$E$7,VLOOKUP(Table15781012[[#This Row],[Period]],Forecast!$H$2:$L$1048576,4,FALSE))*Table15781012[[#This Row],[Beginning Balance]],Table15781012[[#This Row],[Beginning Balance]]-Table15781012[[#This Row],[Principal]]),0),2)))</f>
        <v>0</v>
      </c>
      <c r="J373" s="3">
        <f>ROUND(MIN(Table15781012[[#This Row],[Beginning Balance]]*IF($C$8="No",$E$3,VLOOKUP(Table15781012[[#This Row],[Period]],Forecast!$H$2:$L$1048576,2,FALSE)),Table15781012[[#This Row],[Beginning Balance]]-Table15781012[[#This Row],[Principal]]-Table15781012[[#This Row],[Prepayments]]),2)</f>
        <v>0</v>
      </c>
      <c r="K373" s="3">
        <f>ROUND(Table15781012[[#This Row],[Defaulted Principal]]*IF($C$9="No",$E$4,VLOOKUP(Table15781012[[#This Row],[Period]],Forecast!$H$2:$L$1048576,3,FALSE)),2)</f>
        <v>0</v>
      </c>
      <c r="L373" s="2">
        <f>Table15781012[[#This Row],[Period]]+$E$9</f>
        <v>369</v>
      </c>
      <c r="M373" s="3">
        <f>Table15781012[[#This Row],[Defaulted Principal]]-Table15781012[[#This Row],[Estimated Loss]]</f>
        <v>0</v>
      </c>
      <c r="N373" s="3">
        <f>IFERROR(VLOOKUP(Table15781012[[#This Row],[Period]],$L$16:$M$385,2,FALSE),0)</f>
        <v>0</v>
      </c>
      <c r="O373" s="3">
        <f>Table15781012[[#This Row],[Beginning Balance]]-Table15781012[[#This Row],[Principal]]-Table15781012[[#This Row],[Prepayments]]-Table15781012[[#This Row],[Defaulted Principal]]</f>
        <v>0</v>
      </c>
      <c r="P373" s="3">
        <f>Table15781012[[#This Row],[Principal]]+Table15781012[[#This Row],[Interest]]+Table15781012[[#This Row],[Prepayments]]+Table15781012[[#This Row],[RecoveredAmount]]</f>
        <v>0</v>
      </c>
      <c r="Q373" s="3">
        <f ca="1">ROUND(Table15781012[[#This Row],[Cash Flow]]/((1+ActualRateToUse)^(IF(ISNUMBER(SEARCH("Actual",$C$7)),Table15781012[[#This Row],[Running Total]]/365,Table15781012[[#This Row],[Period]]/12))),2)</f>
        <v>0</v>
      </c>
      <c r="R373" s="2">
        <f>IF(MONTH(Table15781012[[#This Row],[Date]])=2,28,DAY(DATE(YEAR(Table15781012[[#This Row],[Date]]),MONTH(Table15781012[[#This Row],[Date]])+1,1)-1))</f>
        <v>31</v>
      </c>
      <c r="S373" s="2">
        <f ca="1">SUM(OFFSET(Table15781012[[#Headers],[Days in month]],1,0):Table15781012[[#This Row],[Days in month]])</f>
        <v>10859</v>
      </c>
      <c r="T373" s="37">
        <f>InterestRate*AmortizationMultiplier*IF(ISNUMBER(SEARCH("Actual",$C$7)),Table15781012[[#This Row],[Days in month]]/365,1/12)</f>
        <v>6.0708333333333326E-3</v>
      </c>
    </row>
    <row r="374" spans="2:20" x14ac:dyDescent="0.2">
      <c r="B374" s="1">
        <f t="shared" si="18"/>
        <v>56734</v>
      </c>
      <c r="C374" s="2">
        <f t="shared" si="20"/>
        <v>358</v>
      </c>
      <c r="D374" s="3">
        <f t="shared" si="19"/>
        <v>0</v>
      </c>
      <c r="E374" s="3">
        <f>ROUND(Table15781012[[#This Row],[Beginning Balance]]*Table15781012[[#This Row],[Monthly Interest Rate]],2)</f>
        <v>0</v>
      </c>
      <c r="F374" s="3">
        <f t="shared" si="21"/>
        <v>-6</v>
      </c>
      <c r="G374" s="23">
        <f>IFERROR(IF($C$13="No","N/A",IF(Table15781012[[#This Row],[Period]]=1,$C$6,PMT(InterestRate*AmortizationMultiplier/12,Table15781012[[#This Row],[Am Thru]],-Table15781012[[#This Row],[Beginning Balance]]))),0)</f>
        <v>0</v>
      </c>
      <c r="H374" s="3">
        <f>MAX(0,IF(C374=$C$4,D374,ROUND(IF($C$3="Fixed Principal",$C$6-Table15781012[[#This Row],[Interest]],IF($C$3="Interest Only",Table15781012[[#This Row],[Beginning Balance]]*ROUND(1-(1-IF($C$11="No",$E$8,1))^(1/12),6),MIN(IF($C$13="Yes",Table15781012[[#This Row],[Payment Amount (Reamortized)]],$C$6)-Table15781012[[#This Row],[Interest]],Table15781012[[#This Row],[Beginning Balance]]))),2)))</f>
        <v>0</v>
      </c>
      <c r="I374" s="3">
        <f>_xlfn.SINGLE(IF($C$3="Line of Credit",0,ROUND(MAX(MIN(IF($C$10="No",$E$7,VLOOKUP(Table15781012[[#This Row],[Period]],Forecast!$H$2:$L$1048576,4,FALSE))*Table15781012[[#This Row],[Beginning Balance]],Table15781012[[#This Row],[Beginning Balance]]-Table15781012[[#This Row],[Principal]]),0),2)))</f>
        <v>0</v>
      </c>
      <c r="J374" s="3">
        <f>ROUND(MIN(Table15781012[[#This Row],[Beginning Balance]]*IF($C$8="No",$E$3,VLOOKUP(Table15781012[[#This Row],[Period]],Forecast!$H$2:$L$1048576,2,FALSE)),Table15781012[[#This Row],[Beginning Balance]]-Table15781012[[#This Row],[Principal]]-Table15781012[[#This Row],[Prepayments]]),2)</f>
        <v>0</v>
      </c>
      <c r="K374" s="3">
        <f>ROUND(Table15781012[[#This Row],[Defaulted Principal]]*IF($C$9="No",$E$4,VLOOKUP(Table15781012[[#This Row],[Period]],Forecast!$H$2:$L$1048576,3,FALSE)),2)</f>
        <v>0</v>
      </c>
      <c r="L374" s="2">
        <f>Table15781012[[#This Row],[Period]]+$E$9</f>
        <v>370</v>
      </c>
      <c r="M374" s="3">
        <f>Table15781012[[#This Row],[Defaulted Principal]]-Table15781012[[#This Row],[Estimated Loss]]</f>
        <v>0</v>
      </c>
      <c r="N374" s="3">
        <f>IFERROR(VLOOKUP(Table15781012[[#This Row],[Period]],$L$16:$M$385,2,FALSE),0)</f>
        <v>0</v>
      </c>
      <c r="O374" s="3">
        <f>Table15781012[[#This Row],[Beginning Balance]]-Table15781012[[#This Row],[Principal]]-Table15781012[[#This Row],[Prepayments]]-Table15781012[[#This Row],[Defaulted Principal]]</f>
        <v>0</v>
      </c>
      <c r="P374" s="3">
        <f>Table15781012[[#This Row],[Principal]]+Table15781012[[#This Row],[Interest]]+Table15781012[[#This Row],[Prepayments]]+Table15781012[[#This Row],[RecoveredAmount]]</f>
        <v>0</v>
      </c>
      <c r="Q374" s="3">
        <f ca="1">ROUND(Table15781012[[#This Row],[Cash Flow]]/((1+ActualRateToUse)^(IF(ISNUMBER(SEARCH("Actual",$C$7)),Table15781012[[#This Row],[Running Total]]/365,Table15781012[[#This Row],[Period]]/12))),2)</f>
        <v>0</v>
      </c>
      <c r="R374" s="2">
        <f>IF(MONTH(Table15781012[[#This Row],[Date]])=2,28,DAY(DATE(YEAR(Table15781012[[#This Row],[Date]]),MONTH(Table15781012[[#This Row],[Date]])+1,1)-1))</f>
        <v>30</v>
      </c>
      <c r="S374" s="2">
        <f ca="1">SUM(OFFSET(Table15781012[[#Headers],[Days in month]],1,0):Table15781012[[#This Row],[Days in month]])</f>
        <v>10889</v>
      </c>
      <c r="T374" s="37">
        <f>InterestRate*AmortizationMultiplier*IF(ISNUMBER(SEARCH("Actual",$C$7)),Table15781012[[#This Row],[Days in month]]/365,1/12)</f>
        <v>5.8749999999999991E-3</v>
      </c>
    </row>
    <row r="375" spans="2:20" x14ac:dyDescent="0.2">
      <c r="B375" s="1">
        <f t="shared" si="18"/>
        <v>56765</v>
      </c>
      <c r="C375" s="2">
        <f t="shared" si="20"/>
        <v>359</v>
      </c>
      <c r="D375" s="3">
        <f t="shared" si="19"/>
        <v>0</v>
      </c>
      <c r="E375" s="3">
        <f>ROUND(Table15781012[[#This Row],[Beginning Balance]]*Table15781012[[#This Row],[Monthly Interest Rate]],2)</f>
        <v>0</v>
      </c>
      <c r="F375" s="3">
        <f t="shared" si="21"/>
        <v>-7</v>
      </c>
      <c r="G375" s="23">
        <f>IFERROR(IF($C$13="No","N/A",IF(Table15781012[[#This Row],[Period]]=1,$C$6,PMT(InterestRate*AmortizationMultiplier/12,Table15781012[[#This Row],[Am Thru]],-Table15781012[[#This Row],[Beginning Balance]]))),0)</f>
        <v>0</v>
      </c>
      <c r="H375" s="3">
        <f>MAX(0,IF(C375=$C$4,D375,ROUND(IF($C$3="Fixed Principal",$C$6-Table15781012[[#This Row],[Interest]],IF($C$3="Interest Only",Table15781012[[#This Row],[Beginning Balance]]*ROUND(1-(1-IF($C$11="No",$E$8,1))^(1/12),6),MIN(IF($C$13="Yes",Table15781012[[#This Row],[Payment Amount (Reamortized)]],$C$6)-Table15781012[[#This Row],[Interest]],Table15781012[[#This Row],[Beginning Balance]]))),2)))</f>
        <v>0</v>
      </c>
      <c r="I375" s="3">
        <f>_xlfn.SINGLE(IF($C$3="Line of Credit",0,ROUND(MAX(MIN(IF($C$10="No",$E$7,VLOOKUP(Table15781012[[#This Row],[Period]],Forecast!$H$2:$L$1048576,4,FALSE))*Table15781012[[#This Row],[Beginning Balance]],Table15781012[[#This Row],[Beginning Balance]]-Table15781012[[#This Row],[Principal]]),0),2)))</f>
        <v>0</v>
      </c>
      <c r="J375" s="3">
        <f>ROUND(MIN(Table15781012[[#This Row],[Beginning Balance]]*IF($C$8="No",$E$3,VLOOKUP(Table15781012[[#This Row],[Period]],Forecast!$H$2:$L$1048576,2,FALSE)),Table15781012[[#This Row],[Beginning Balance]]-Table15781012[[#This Row],[Principal]]-Table15781012[[#This Row],[Prepayments]]),2)</f>
        <v>0</v>
      </c>
      <c r="K375" s="3">
        <f>ROUND(Table15781012[[#This Row],[Defaulted Principal]]*IF($C$9="No",$E$4,VLOOKUP(Table15781012[[#This Row],[Period]],Forecast!$H$2:$L$1048576,3,FALSE)),2)</f>
        <v>0</v>
      </c>
      <c r="L375" s="2">
        <f>Table15781012[[#This Row],[Period]]+$E$9</f>
        <v>371</v>
      </c>
      <c r="M375" s="3">
        <f>Table15781012[[#This Row],[Defaulted Principal]]-Table15781012[[#This Row],[Estimated Loss]]</f>
        <v>0</v>
      </c>
      <c r="N375" s="3">
        <f>IFERROR(VLOOKUP(Table15781012[[#This Row],[Period]],$L$16:$M$385,2,FALSE),0)</f>
        <v>0</v>
      </c>
      <c r="O375" s="3">
        <f>Table15781012[[#This Row],[Beginning Balance]]-Table15781012[[#This Row],[Principal]]-Table15781012[[#This Row],[Prepayments]]-Table15781012[[#This Row],[Defaulted Principal]]</f>
        <v>0</v>
      </c>
      <c r="P375" s="3">
        <f>Table15781012[[#This Row],[Principal]]+Table15781012[[#This Row],[Interest]]+Table15781012[[#This Row],[Prepayments]]+Table15781012[[#This Row],[RecoveredAmount]]</f>
        <v>0</v>
      </c>
      <c r="Q375" s="3">
        <f ca="1">ROUND(Table15781012[[#This Row],[Cash Flow]]/((1+ActualRateToUse)^(IF(ISNUMBER(SEARCH("Actual",$C$7)),Table15781012[[#This Row],[Running Total]]/365,Table15781012[[#This Row],[Period]]/12))),2)</f>
        <v>0</v>
      </c>
      <c r="R375" s="2">
        <f>IF(MONTH(Table15781012[[#This Row],[Date]])=2,28,DAY(DATE(YEAR(Table15781012[[#This Row],[Date]]),MONTH(Table15781012[[#This Row],[Date]])+1,1)-1))</f>
        <v>31</v>
      </c>
      <c r="S375" s="2">
        <f ca="1">SUM(OFFSET(Table15781012[[#Headers],[Days in month]],1,0):Table15781012[[#This Row],[Days in month]])</f>
        <v>10920</v>
      </c>
      <c r="T375" s="37">
        <f>InterestRate*AmortizationMultiplier*IF(ISNUMBER(SEARCH("Actual",$C$7)),Table15781012[[#This Row],[Days in month]]/365,1/12)</f>
        <v>6.0708333333333326E-3</v>
      </c>
    </row>
    <row r="376" spans="2:20" x14ac:dyDescent="0.2">
      <c r="B376" s="1">
        <f t="shared" si="18"/>
        <v>56795</v>
      </c>
      <c r="C376" s="2">
        <f t="shared" si="20"/>
        <v>360</v>
      </c>
      <c r="D376" s="3">
        <f t="shared" si="19"/>
        <v>0</v>
      </c>
      <c r="E376" s="3">
        <f>ROUND(Table15781012[[#This Row],[Beginning Balance]]*Table15781012[[#This Row],[Monthly Interest Rate]],2)</f>
        <v>0</v>
      </c>
      <c r="F376" s="3">
        <f t="shared" si="21"/>
        <v>-8</v>
      </c>
      <c r="G376" s="23">
        <f>IFERROR(IF($C$13="No","N/A",IF(Table15781012[[#This Row],[Period]]=1,$C$6,PMT(InterestRate*AmortizationMultiplier/12,Table15781012[[#This Row],[Am Thru]],-Table15781012[[#This Row],[Beginning Balance]]))),0)</f>
        <v>0</v>
      </c>
      <c r="H376" s="3">
        <f>MAX(0,IF(C376=$C$4,D376,ROUND(IF($C$3="Fixed Principal",$C$6-Table15781012[[#This Row],[Interest]],IF($C$3="Interest Only",Table15781012[[#This Row],[Beginning Balance]]*ROUND(1-(1-IF($C$11="No",$E$8,1))^(1/12),6),MIN(IF($C$13="Yes",Table15781012[[#This Row],[Payment Amount (Reamortized)]],$C$6)-Table15781012[[#This Row],[Interest]],Table15781012[[#This Row],[Beginning Balance]]))),2)))</f>
        <v>0</v>
      </c>
      <c r="I376" s="3">
        <f>_xlfn.SINGLE(IF($C$3="Line of Credit",0,ROUND(MAX(MIN(IF($C$10="No",$E$7,VLOOKUP(Table15781012[[#This Row],[Period]],Forecast!$H$2:$L$1048576,4,FALSE))*Table15781012[[#This Row],[Beginning Balance]],Table15781012[[#This Row],[Beginning Balance]]-Table15781012[[#This Row],[Principal]]),0),2)))</f>
        <v>0</v>
      </c>
      <c r="J376" s="3">
        <f>ROUND(MIN(Table15781012[[#This Row],[Beginning Balance]]*IF($C$8="No",$E$3,VLOOKUP(Table15781012[[#This Row],[Period]],Forecast!$H$2:$L$1048576,2,FALSE)),Table15781012[[#This Row],[Beginning Balance]]-Table15781012[[#This Row],[Principal]]-Table15781012[[#This Row],[Prepayments]]),2)</f>
        <v>0</v>
      </c>
      <c r="K376" s="3">
        <f>ROUND(Table15781012[[#This Row],[Defaulted Principal]]*IF($C$9="No",$E$4,VLOOKUP(Table15781012[[#This Row],[Period]],Forecast!$H$2:$L$1048576,3,FALSE)),2)</f>
        <v>0</v>
      </c>
      <c r="L376" s="2">
        <f>Table15781012[[#This Row],[Period]]+$E$9</f>
        <v>372</v>
      </c>
      <c r="M376" s="3">
        <f>Table15781012[[#This Row],[Defaulted Principal]]-Table15781012[[#This Row],[Estimated Loss]]</f>
        <v>0</v>
      </c>
      <c r="N376" s="3">
        <f>IFERROR(VLOOKUP(Table15781012[[#This Row],[Period]],$L$16:$M$385,2,FALSE),0)</f>
        <v>0</v>
      </c>
      <c r="O376" s="3">
        <f>Table15781012[[#This Row],[Beginning Balance]]-Table15781012[[#This Row],[Principal]]-Table15781012[[#This Row],[Prepayments]]-Table15781012[[#This Row],[Defaulted Principal]]</f>
        <v>0</v>
      </c>
      <c r="P376" s="3">
        <f>Table15781012[[#This Row],[Principal]]+Table15781012[[#This Row],[Interest]]+Table15781012[[#This Row],[Prepayments]]+Table15781012[[#This Row],[RecoveredAmount]]</f>
        <v>0</v>
      </c>
      <c r="Q376" s="3">
        <f ca="1">ROUND(Table15781012[[#This Row],[Cash Flow]]/((1+ActualRateToUse)^(IF(ISNUMBER(SEARCH("Actual",$C$7)),Table15781012[[#This Row],[Running Total]]/365,Table15781012[[#This Row],[Period]]/12))),2)</f>
        <v>0</v>
      </c>
      <c r="R376" s="2">
        <f>IF(MONTH(Table15781012[[#This Row],[Date]])=2,28,DAY(DATE(YEAR(Table15781012[[#This Row],[Date]]),MONTH(Table15781012[[#This Row],[Date]])+1,1)-1))</f>
        <v>30</v>
      </c>
      <c r="S376" s="2">
        <f ca="1">SUM(OFFSET(Table15781012[[#Headers],[Days in month]],1,0):Table15781012[[#This Row],[Days in month]])</f>
        <v>10950</v>
      </c>
      <c r="T376" s="37">
        <f>InterestRate*AmortizationMultiplier*IF(ISNUMBER(SEARCH("Actual",$C$7)),Table15781012[[#This Row],[Days in month]]/365,1/12)</f>
        <v>5.8749999999999991E-3</v>
      </c>
    </row>
    <row r="377" spans="2:20" x14ac:dyDescent="0.2">
      <c r="B377" s="1">
        <f t="shared" si="18"/>
        <v>56826</v>
      </c>
      <c r="C377" s="2">
        <f t="shared" si="20"/>
        <v>361</v>
      </c>
      <c r="D377" s="3">
        <f t="shared" si="19"/>
        <v>0</v>
      </c>
      <c r="E377" s="3">
        <f>ROUND(Table15781012[[#This Row],[Beginning Balance]]*Table15781012[[#This Row],[Monthly Interest Rate]],2)</f>
        <v>0</v>
      </c>
      <c r="F377" s="3">
        <f t="shared" si="21"/>
        <v>-9</v>
      </c>
      <c r="G377" s="23">
        <f>IFERROR(IF($C$13="No","N/A",IF(Table15781012[[#This Row],[Period]]=1,$C$6,PMT(InterestRate*AmortizationMultiplier/12,Table15781012[[#This Row],[Am Thru]],-Table15781012[[#This Row],[Beginning Balance]]))),0)</f>
        <v>0</v>
      </c>
      <c r="H377" s="3">
        <f>MAX(0,IF(C377=$C$4,D377,ROUND(IF($C$3="Fixed Principal",$C$6-Table15781012[[#This Row],[Interest]],IF($C$3="Interest Only",Table15781012[[#This Row],[Beginning Balance]]*ROUND(1-(1-IF($C$11="No",$E$8,1))^(1/12),6),MIN(IF($C$13="Yes",Table15781012[[#This Row],[Payment Amount (Reamortized)]],$C$6)-Table15781012[[#This Row],[Interest]],Table15781012[[#This Row],[Beginning Balance]]))),2)))</f>
        <v>0</v>
      </c>
      <c r="I377" s="3">
        <f>_xlfn.SINGLE(IF($C$3="Line of Credit",0,ROUND(MAX(MIN(IF($C$10="No",$E$7,VLOOKUP(Table15781012[[#This Row],[Period]],Forecast!$H$2:$L$1048576,4,FALSE))*Table15781012[[#This Row],[Beginning Balance]],Table15781012[[#This Row],[Beginning Balance]]-Table15781012[[#This Row],[Principal]]),0),2)))</f>
        <v>0</v>
      </c>
      <c r="J377" s="3">
        <f>ROUND(MIN(Table15781012[[#This Row],[Beginning Balance]]*IF($C$8="No",$E$3,VLOOKUP(Table15781012[[#This Row],[Period]],Forecast!$H$2:$L$1048576,2,FALSE)),Table15781012[[#This Row],[Beginning Balance]]-Table15781012[[#This Row],[Principal]]-Table15781012[[#This Row],[Prepayments]]),2)</f>
        <v>0</v>
      </c>
      <c r="K377" s="3">
        <f>ROUND(Table15781012[[#This Row],[Defaulted Principal]]*IF($C$9="No",$E$4,VLOOKUP(Table15781012[[#This Row],[Period]],Forecast!$H$2:$L$1048576,3,FALSE)),2)</f>
        <v>0</v>
      </c>
      <c r="L377" s="2">
        <f>Table15781012[[#This Row],[Period]]+$E$9</f>
        <v>373</v>
      </c>
      <c r="M377" s="3">
        <f>Table15781012[[#This Row],[Defaulted Principal]]-Table15781012[[#This Row],[Estimated Loss]]</f>
        <v>0</v>
      </c>
      <c r="N377" s="3">
        <f>IFERROR(VLOOKUP(Table15781012[[#This Row],[Period]],$L$16:$M$385,2,FALSE),0)</f>
        <v>0</v>
      </c>
      <c r="O377" s="3">
        <f>Table15781012[[#This Row],[Beginning Balance]]-Table15781012[[#This Row],[Principal]]-Table15781012[[#This Row],[Prepayments]]-Table15781012[[#This Row],[Defaulted Principal]]</f>
        <v>0</v>
      </c>
      <c r="P377" s="3">
        <f>Table15781012[[#This Row],[Principal]]+Table15781012[[#This Row],[Interest]]+Table15781012[[#This Row],[Prepayments]]+Table15781012[[#This Row],[RecoveredAmount]]</f>
        <v>0</v>
      </c>
      <c r="Q377" s="3">
        <f ca="1">ROUND(Table15781012[[#This Row],[Cash Flow]]/((1+ActualRateToUse)^(IF(ISNUMBER(SEARCH("Actual",$C$7)),Table15781012[[#This Row],[Running Total]]/365,Table15781012[[#This Row],[Period]]/12))),2)</f>
        <v>0</v>
      </c>
      <c r="R377" s="2">
        <f>IF(MONTH(Table15781012[[#This Row],[Date]])=2,28,DAY(DATE(YEAR(Table15781012[[#This Row],[Date]]),MONTH(Table15781012[[#This Row],[Date]])+1,1)-1))</f>
        <v>31</v>
      </c>
      <c r="S377" s="2">
        <f ca="1">SUM(OFFSET(Table15781012[[#Headers],[Days in month]],1,0):Table15781012[[#This Row],[Days in month]])</f>
        <v>10981</v>
      </c>
      <c r="T377" s="37">
        <f>InterestRate*AmortizationMultiplier*IF(ISNUMBER(SEARCH("Actual",$C$7)),Table15781012[[#This Row],[Days in month]]/365,1/12)</f>
        <v>6.0708333333333326E-3</v>
      </c>
    </row>
    <row r="378" spans="2:20" x14ac:dyDescent="0.2">
      <c r="B378" s="1">
        <f t="shared" si="18"/>
        <v>56857</v>
      </c>
      <c r="C378" s="2">
        <f t="shared" si="20"/>
        <v>362</v>
      </c>
      <c r="D378" s="3">
        <f t="shared" si="19"/>
        <v>0</v>
      </c>
      <c r="E378" s="3">
        <f>ROUND(Table15781012[[#This Row],[Beginning Balance]]*Table15781012[[#This Row],[Monthly Interest Rate]],2)</f>
        <v>0</v>
      </c>
      <c r="F378" s="3">
        <f t="shared" si="21"/>
        <v>-10</v>
      </c>
      <c r="G378" s="23">
        <f>IFERROR(IF($C$13="No","N/A",IF(Table15781012[[#This Row],[Period]]=1,$C$6,PMT(InterestRate*AmortizationMultiplier/12,Table15781012[[#This Row],[Am Thru]],-Table15781012[[#This Row],[Beginning Balance]]))),0)</f>
        <v>0</v>
      </c>
      <c r="H378" s="3">
        <f>MAX(0,IF(C378=$C$4,D378,ROUND(IF($C$3="Fixed Principal",$C$6-Table15781012[[#This Row],[Interest]],IF($C$3="Interest Only",Table15781012[[#This Row],[Beginning Balance]]*ROUND(1-(1-IF($C$11="No",$E$8,1))^(1/12),6),MIN(IF($C$13="Yes",Table15781012[[#This Row],[Payment Amount (Reamortized)]],$C$6)-Table15781012[[#This Row],[Interest]],Table15781012[[#This Row],[Beginning Balance]]))),2)))</f>
        <v>0</v>
      </c>
      <c r="I378" s="3">
        <f>_xlfn.SINGLE(IF($C$3="Line of Credit",0,ROUND(MAX(MIN(IF($C$10="No",$E$7,VLOOKUP(Table15781012[[#This Row],[Period]],Forecast!$H$2:$L$1048576,4,FALSE))*Table15781012[[#This Row],[Beginning Balance]],Table15781012[[#This Row],[Beginning Balance]]-Table15781012[[#This Row],[Principal]]),0),2)))</f>
        <v>0</v>
      </c>
      <c r="J378" s="3">
        <f>ROUND(MIN(Table15781012[[#This Row],[Beginning Balance]]*IF($C$8="No",$E$3,VLOOKUP(Table15781012[[#This Row],[Period]],Forecast!$H$2:$L$1048576,2,FALSE)),Table15781012[[#This Row],[Beginning Balance]]-Table15781012[[#This Row],[Principal]]-Table15781012[[#This Row],[Prepayments]]),2)</f>
        <v>0</v>
      </c>
      <c r="K378" s="3">
        <f>ROUND(Table15781012[[#This Row],[Defaulted Principal]]*IF($C$9="No",$E$4,VLOOKUP(Table15781012[[#This Row],[Period]],Forecast!$H$2:$L$1048576,3,FALSE)),2)</f>
        <v>0</v>
      </c>
      <c r="L378" s="2">
        <f>Table15781012[[#This Row],[Period]]+$E$9</f>
        <v>374</v>
      </c>
      <c r="M378" s="3">
        <f>Table15781012[[#This Row],[Defaulted Principal]]-Table15781012[[#This Row],[Estimated Loss]]</f>
        <v>0</v>
      </c>
      <c r="N378" s="3">
        <f>IFERROR(VLOOKUP(Table15781012[[#This Row],[Period]],$L$16:$M$385,2,FALSE),0)</f>
        <v>0</v>
      </c>
      <c r="O378" s="3">
        <f>Table15781012[[#This Row],[Beginning Balance]]-Table15781012[[#This Row],[Principal]]-Table15781012[[#This Row],[Prepayments]]-Table15781012[[#This Row],[Defaulted Principal]]</f>
        <v>0</v>
      </c>
      <c r="P378" s="3">
        <f>Table15781012[[#This Row],[Principal]]+Table15781012[[#This Row],[Interest]]+Table15781012[[#This Row],[Prepayments]]+Table15781012[[#This Row],[RecoveredAmount]]</f>
        <v>0</v>
      </c>
      <c r="Q378" s="3">
        <f ca="1">ROUND(Table15781012[[#This Row],[Cash Flow]]/((1+ActualRateToUse)^(IF(ISNUMBER(SEARCH("Actual",$C$7)),Table15781012[[#This Row],[Running Total]]/365,Table15781012[[#This Row],[Period]]/12))),2)</f>
        <v>0</v>
      </c>
      <c r="R378" s="2">
        <f>IF(MONTH(Table15781012[[#This Row],[Date]])=2,28,DAY(DATE(YEAR(Table15781012[[#This Row],[Date]]),MONTH(Table15781012[[#This Row],[Date]])+1,1)-1))</f>
        <v>31</v>
      </c>
      <c r="S378" s="2">
        <f ca="1">SUM(OFFSET(Table15781012[[#Headers],[Days in month]],1,0):Table15781012[[#This Row],[Days in month]])</f>
        <v>11012</v>
      </c>
      <c r="T378" s="37">
        <f>InterestRate*AmortizationMultiplier*IF(ISNUMBER(SEARCH("Actual",$C$7)),Table15781012[[#This Row],[Days in month]]/365,1/12)</f>
        <v>6.0708333333333326E-3</v>
      </c>
    </row>
    <row r="379" spans="2:20" x14ac:dyDescent="0.2">
      <c r="B379" s="1">
        <f t="shared" si="18"/>
        <v>56887</v>
      </c>
      <c r="C379" s="2">
        <f t="shared" si="20"/>
        <v>363</v>
      </c>
      <c r="D379" s="3">
        <f t="shared" si="19"/>
        <v>0</v>
      </c>
      <c r="E379" s="3">
        <f>ROUND(Table15781012[[#This Row],[Beginning Balance]]*Table15781012[[#This Row],[Monthly Interest Rate]],2)</f>
        <v>0</v>
      </c>
      <c r="F379" s="3">
        <f t="shared" si="21"/>
        <v>-11</v>
      </c>
      <c r="G379" s="23">
        <f>IFERROR(IF($C$13="No","N/A",IF(Table15781012[[#This Row],[Period]]=1,$C$6,PMT(InterestRate*AmortizationMultiplier/12,Table15781012[[#This Row],[Am Thru]],-Table15781012[[#This Row],[Beginning Balance]]))),0)</f>
        <v>0</v>
      </c>
      <c r="H379" s="3">
        <f>MAX(0,IF(C379=$C$4,D379,ROUND(IF($C$3="Fixed Principal",$C$6-Table15781012[[#This Row],[Interest]],IF($C$3="Interest Only",Table15781012[[#This Row],[Beginning Balance]]*ROUND(1-(1-IF($C$11="No",$E$8,1))^(1/12),6),MIN(IF($C$13="Yes",Table15781012[[#This Row],[Payment Amount (Reamortized)]],$C$6)-Table15781012[[#This Row],[Interest]],Table15781012[[#This Row],[Beginning Balance]]))),2)))</f>
        <v>0</v>
      </c>
      <c r="I379" s="3">
        <f>_xlfn.SINGLE(IF($C$3="Line of Credit",0,ROUND(MAX(MIN(IF($C$10="No",$E$7,VLOOKUP(Table15781012[[#This Row],[Period]],Forecast!$H$2:$L$1048576,4,FALSE))*Table15781012[[#This Row],[Beginning Balance]],Table15781012[[#This Row],[Beginning Balance]]-Table15781012[[#This Row],[Principal]]),0),2)))</f>
        <v>0</v>
      </c>
      <c r="J379" s="3">
        <f>ROUND(MIN(Table15781012[[#This Row],[Beginning Balance]]*IF($C$8="No",$E$3,VLOOKUP(Table15781012[[#This Row],[Period]],Forecast!$H$2:$L$1048576,2,FALSE)),Table15781012[[#This Row],[Beginning Balance]]-Table15781012[[#This Row],[Principal]]-Table15781012[[#This Row],[Prepayments]]),2)</f>
        <v>0</v>
      </c>
      <c r="K379" s="3">
        <f>ROUND(Table15781012[[#This Row],[Defaulted Principal]]*IF($C$9="No",$E$4,VLOOKUP(Table15781012[[#This Row],[Period]],Forecast!$H$2:$L$1048576,3,FALSE)),2)</f>
        <v>0</v>
      </c>
      <c r="L379" s="2">
        <f>Table15781012[[#This Row],[Period]]+$E$9</f>
        <v>375</v>
      </c>
      <c r="M379" s="3">
        <f>Table15781012[[#This Row],[Defaulted Principal]]-Table15781012[[#This Row],[Estimated Loss]]</f>
        <v>0</v>
      </c>
      <c r="N379" s="3">
        <f>IFERROR(VLOOKUP(Table15781012[[#This Row],[Period]],$L$16:$M$385,2,FALSE),0)</f>
        <v>0</v>
      </c>
      <c r="O379" s="3">
        <f>Table15781012[[#This Row],[Beginning Balance]]-Table15781012[[#This Row],[Principal]]-Table15781012[[#This Row],[Prepayments]]-Table15781012[[#This Row],[Defaulted Principal]]</f>
        <v>0</v>
      </c>
      <c r="P379" s="3">
        <f>Table15781012[[#This Row],[Principal]]+Table15781012[[#This Row],[Interest]]+Table15781012[[#This Row],[Prepayments]]+Table15781012[[#This Row],[RecoveredAmount]]</f>
        <v>0</v>
      </c>
      <c r="Q379" s="3">
        <f ca="1">ROUND(Table15781012[[#This Row],[Cash Flow]]/((1+ActualRateToUse)^(IF(ISNUMBER(SEARCH("Actual",$C$7)),Table15781012[[#This Row],[Running Total]]/365,Table15781012[[#This Row],[Period]]/12))),2)</f>
        <v>0</v>
      </c>
      <c r="R379" s="2">
        <f>IF(MONTH(Table15781012[[#This Row],[Date]])=2,28,DAY(DATE(YEAR(Table15781012[[#This Row],[Date]]),MONTH(Table15781012[[#This Row],[Date]])+1,1)-1))</f>
        <v>30</v>
      </c>
      <c r="S379" s="2">
        <f ca="1">SUM(OFFSET(Table15781012[[#Headers],[Days in month]],1,0):Table15781012[[#This Row],[Days in month]])</f>
        <v>11042</v>
      </c>
      <c r="T379" s="37">
        <f>InterestRate*AmortizationMultiplier*IF(ISNUMBER(SEARCH("Actual",$C$7)),Table15781012[[#This Row],[Days in month]]/365,1/12)</f>
        <v>5.8749999999999991E-3</v>
      </c>
    </row>
    <row r="380" spans="2:20" x14ac:dyDescent="0.2">
      <c r="B380" s="1">
        <f t="shared" si="18"/>
        <v>56918</v>
      </c>
      <c r="C380" s="2">
        <f t="shared" si="20"/>
        <v>364</v>
      </c>
      <c r="D380" s="3">
        <f t="shared" si="19"/>
        <v>0</v>
      </c>
      <c r="E380" s="3">
        <f>ROUND(Table15781012[[#This Row],[Beginning Balance]]*Table15781012[[#This Row],[Monthly Interest Rate]],2)</f>
        <v>0</v>
      </c>
      <c r="F380" s="3">
        <f t="shared" si="21"/>
        <v>-12</v>
      </c>
      <c r="G380" s="23">
        <f>IFERROR(IF($C$13="No","N/A",IF(Table15781012[[#This Row],[Period]]=1,$C$6,PMT(InterestRate*AmortizationMultiplier/12,Table15781012[[#This Row],[Am Thru]],-Table15781012[[#This Row],[Beginning Balance]]))),0)</f>
        <v>0</v>
      </c>
      <c r="H380" s="3">
        <f>MAX(0,IF(C380=$C$4,D380,ROUND(IF($C$3="Fixed Principal",$C$6-Table15781012[[#This Row],[Interest]],IF($C$3="Interest Only",Table15781012[[#This Row],[Beginning Balance]]*ROUND(1-(1-IF($C$11="No",$E$8,1))^(1/12),6),MIN(IF($C$13="Yes",Table15781012[[#This Row],[Payment Amount (Reamortized)]],$C$6)-Table15781012[[#This Row],[Interest]],Table15781012[[#This Row],[Beginning Balance]]))),2)))</f>
        <v>0</v>
      </c>
      <c r="I380" s="3">
        <f>_xlfn.SINGLE(IF($C$3="Line of Credit",0,ROUND(MAX(MIN(IF($C$10="No",$E$7,VLOOKUP(Table15781012[[#This Row],[Period]],Forecast!$H$2:$L$1048576,4,FALSE))*Table15781012[[#This Row],[Beginning Balance]],Table15781012[[#This Row],[Beginning Balance]]-Table15781012[[#This Row],[Principal]]),0),2)))</f>
        <v>0</v>
      </c>
      <c r="J380" s="3">
        <f>ROUND(MIN(Table15781012[[#This Row],[Beginning Balance]]*IF($C$8="No",$E$3,VLOOKUP(Table15781012[[#This Row],[Period]],Forecast!$H$2:$L$1048576,2,FALSE)),Table15781012[[#This Row],[Beginning Balance]]-Table15781012[[#This Row],[Principal]]-Table15781012[[#This Row],[Prepayments]]),2)</f>
        <v>0</v>
      </c>
      <c r="K380" s="3">
        <f>ROUND(Table15781012[[#This Row],[Defaulted Principal]]*IF($C$9="No",$E$4,VLOOKUP(Table15781012[[#This Row],[Period]],Forecast!$H$2:$L$1048576,3,FALSE)),2)</f>
        <v>0</v>
      </c>
      <c r="L380" s="2">
        <f>Table15781012[[#This Row],[Period]]+$E$9</f>
        <v>376</v>
      </c>
      <c r="M380" s="3">
        <f>Table15781012[[#This Row],[Defaulted Principal]]-Table15781012[[#This Row],[Estimated Loss]]</f>
        <v>0</v>
      </c>
      <c r="N380" s="3">
        <f>IFERROR(VLOOKUP(Table15781012[[#This Row],[Period]],$L$16:$M$385,2,FALSE),0)</f>
        <v>0</v>
      </c>
      <c r="O380" s="3">
        <f>Table15781012[[#This Row],[Beginning Balance]]-Table15781012[[#This Row],[Principal]]-Table15781012[[#This Row],[Prepayments]]-Table15781012[[#This Row],[Defaulted Principal]]</f>
        <v>0</v>
      </c>
      <c r="P380" s="3">
        <f>Table15781012[[#This Row],[Principal]]+Table15781012[[#This Row],[Interest]]+Table15781012[[#This Row],[Prepayments]]+Table15781012[[#This Row],[RecoveredAmount]]</f>
        <v>0</v>
      </c>
      <c r="Q380" s="3">
        <f ca="1">ROUND(Table15781012[[#This Row],[Cash Flow]]/((1+ActualRateToUse)^(IF(ISNUMBER(SEARCH("Actual",$C$7)),Table15781012[[#This Row],[Running Total]]/365,Table15781012[[#This Row],[Period]]/12))),2)</f>
        <v>0</v>
      </c>
      <c r="R380" s="2">
        <f>IF(MONTH(Table15781012[[#This Row],[Date]])=2,28,DAY(DATE(YEAR(Table15781012[[#This Row],[Date]]),MONTH(Table15781012[[#This Row],[Date]])+1,1)-1))</f>
        <v>31</v>
      </c>
      <c r="S380" s="2">
        <f ca="1">SUM(OFFSET(Table15781012[[#Headers],[Days in month]],1,0):Table15781012[[#This Row],[Days in month]])</f>
        <v>11073</v>
      </c>
      <c r="T380" s="37">
        <f>InterestRate*AmortizationMultiplier*IF(ISNUMBER(SEARCH("Actual",$C$7)),Table15781012[[#This Row],[Days in month]]/365,1/12)</f>
        <v>6.0708333333333326E-3</v>
      </c>
    </row>
    <row r="381" spans="2:20" x14ac:dyDescent="0.2">
      <c r="B381" s="1">
        <f t="shared" si="18"/>
        <v>56948</v>
      </c>
      <c r="C381" s="2">
        <f t="shared" si="20"/>
        <v>365</v>
      </c>
      <c r="D381" s="3">
        <f t="shared" si="19"/>
        <v>0</v>
      </c>
      <c r="E381" s="3">
        <f>ROUND(Table15781012[[#This Row],[Beginning Balance]]*Table15781012[[#This Row],[Monthly Interest Rate]],2)</f>
        <v>0</v>
      </c>
      <c r="F381" s="3">
        <f t="shared" si="21"/>
        <v>-13</v>
      </c>
      <c r="G381" s="23">
        <f>IFERROR(IF($C$13="No","N/A",IF(Table15781012[[#This Row],[Period]]=1,$C$6,PMT(InterestRate*AmortizationMultiplier/12,Table15781012[[#This Row],[Am Thru]],-Table15781012[[#This Row],[Beginning Balance]]))),0)</f>
        <v>0</v>
      </c>
      <c r="H381" s="3">
        <f>MAX(0,IF(C381=$C$4,D381,ROUND(IF($C$3="Fixed Principal",$C$6-Table15781012[[#This Row],[Interest]],IF($C$3="Interest Only",Table15781012[[#This Row],[Beginning Balance]]*ROUND(1-(1-IF($C$11="No",$E$8,1))^(1/12),6),MIN(IF($C$13="Yes",Table15781012[[#This Row],[Payment Amount (Reamortized)]],$C$6)-Table15781012[[#This Row],[Interest]],Table15781012[[#This Row],[Beginning Balance]]))),2)))</f>
        <v>0</v>
      </c>
      <c r="I381" s="3">
        <f>_xlfn.SINGLE(IF($C$3="Line of Credit",0,ROUND(MAX(MIN(IF($C$10="No",$E$7,VLOOKUP(Table15781012[[#This Row],[Period]],Forecast!$H$2:$L$1048576,4,FALSE))*Table15781012[[#This Row],[Beginning Balance]],Table15781012[[#This Row],[Beginning Balance]]-Table15781012[[#This Row],[Principal]]),0),2)))</f>
        <v>0</v>
      </c>
      <c r="J381" s="3">
        <f>ROUND(MIN(Table15781012[[#This Row],[Beginning Balance]]*IF($C$8="No",$E$3,VLOOKUP(Table15781012[[#This Row],[Period]],Forecast!$H$2:$L$1048576,2,FALSE)),Table15781012[[#This Row],[Beginning Balance]]-Table15781012[[#This Row],[Principal]]-Table15781012[[#This Row],[Prepayments]]),2)</f>
        <v>0</v>
      </c>
      <c r="K381" s="3">
        <f>ROUND(Table15781012[[#This Row],[Defaulted Principal]]*IF($C$9="No",$E$4,VLOOKUP(Table15781012[[#This Row],[Period]],Forecast!$H$2:$L$1048576,3,FALSE)),2)</f>
        <v>0</v>
      </c>
      <c r="L381" s="2">
        <f>Table15781012[[#This Row],[Period]]+$E$9</f>
        <v>377</v>
      </c>
      <c r="M381" s="3">
        <f>Table15781012[[#This Row],[Defaulted Principal]]-Table15781012[[#This Row],[Estimated Loss]]</f>
        <v>0</v>
      </c>
      <c r="N381" s="3">
        <f>IFERROR(VLOOKUP(Table15781012[[#This Row],[Period]],$L$16:$M$385,2,FALSE),0)</f>
        <v>0</v>
      </c>
      <c r="O381" s="3">
        <f>Table15781012[[#This Row],[Beginning Balance]]-Table15781012[[#This Row],[Principal]]-Table15781012[[#This Row],[Prepayments]]-Table15781012[[#This Row],[Defaulted Principal]]</f>
        <v>0</v>
      </c>
      <c r="P381" s="3">
        <f>Table15781012[[#This Row],[Principal]]+Table15781012[[#This Row],[Interest]]+Table15781012[[#This Row],[Prepayments]]+Table15781012[[#This Row],[RecoveredAmount]]</f>
        <v>0</v>
      </c>
      <c r="Q381" s="3">
        <f ca="1">ROUND(Table15781012[[#This Row],[Cash Flow]]/((1+ActualRateToUse)^(IF(ISNUMBER(SEARCH("Actual",$C$7)),Table15781012[[#This Row],[Running Total]]/365,Table15781012[[#This Row],[Period]]/12))),2)</f>
        <v>0</v>
      </c>
      <c r="R381" s="2">
        <f>IF(MONTH(Table15781012[[#This Row],[Date]])=2,28,DAY(DATE(YEAR(Table15781012[[#This Row],[Date]]),MONTH(Table15781012[[#This Row],[Date]])+1,1)-1))</f>
        <v>30</v>
      </c>
      <c r="S381" s="2">
        <f ca="1">SUM(OFFSET(Table15781012[[#Headers],[Days in month]],1,0):Table15781012[[#This Row],[Days in month]])</f>
        <v>11103</v>
      </c>
      <c r="T381" s="37">
        <f>InterestRate*AmortizationMultiplier*IF(ISNUMBER(SEARCH("Actual",$C$7)),Table15781012[[#This Row],[Days in month]]/365,1/12)</f>
        <v>5.8749999999999991E-3</v>
      </c>
    </row>
    <row r="382" spans="2:20" x14ac:dyDescent="0.2">
      <c r="B382" s="1">
        <f t="shared" si="18"/>
        <v>56979</v>
      </c>
      <c r="C382" s="2">
        <f t="shared" si="20"/>
        <v>366</v>
      </c>
      <c r="D382" s="3">
        <f t="shared" si="19"/>
        <v>0</v>
      </c>
      <c r="E382" s="3">
        <f>ROUND(Table15781012[[#This Row],[Beginning Balance]]*Table15781012[[#This Row],[Monthly Interest Rate]],2)</f>
        <v>0</v>
      </c>
      <c r="F382" s="3">
        <f t="shared" si="21"/>
        <v>-14</v>
      </c>
      <c r="G382" s="23">
        <f>IFERROR(IF($C$13="No","N/A",IF(Table15781012[[#This Row],[Period]]=1,$C$6,PMT(InterestRate*AmortizationMultiplier/12,Table15781012[[#This Row],[Am Thru]],-Table15781012[[#This Row],[Beginning Balance]]))),0)</f>
        <v>0</v>
      </c>
      <c r="H382" s="3">
        <f>MAX(0,IF(C382=$C$4,D382,ROUND(IF($C$3="Fixed Principal",$C$6-Table15781012[[#This Row],[Interest]],IF($C$3="Interest Only",Table15781012[[#This Row],[Beginning Balance]]*ROUND(1-(1-IF($C$11="No",$E$8,1))^(1/12),6),MIN(IF($C$13="Yes",Table15781012[[#This Row],[Payment Amount (Reamortized)]],$C$6)-Table15781012[[#This Row],[Interest]],Table15781012[[#This Row],[Beginning Balance]]))),2)))</f>
        <v>0</v>
      </c>
      <c r="I382" s="3">
        <f>_xlfn.SINGLE(IF($C$3="Line of Credit",0,ROUND(MAX(MIN(IF($C$10="No",$E$7,VLOOKUP(Table15781012[[#This Row],[Period]],Forecast!$H$2:$L$1048576,4,FALSE))*Table15781012[[#This Row],[Beginning Balance]],Table15781012[[#This Row],[Beginning Balance]]-Table15781012[[#This Row],[Principal]]),0),2)))</f>
        <v>0</v>
      </c>
      <c r="J382" s="3">
        <f>ROUND(MIN(Table15781012[[#This Row],[Beginning Balance]]*IF($C$8="No",$E$3,VLOOKUP(Table15781012[[#This Row],[Period]],Forecast!$H$2:$L$1048576,2,FALSE)),Table15781012[[#This Row],[Beginning Balance]]-Table15781012[[#This Row],[Principal]]-Table15781012[[#This Row],[Prepayments]]),2)</f>
        <v>0</v>
      </c>
      <c r="K382" s="3">
        <f>ROUND(Table15781012[[#This Row],[Defaulted Principal]]*IF($C$9="No",$E$4,VLOOKUP(Table15781012[[#This Row],[Period]],Forecast!$H$2:$L$1048576,3,FALSE)),2)</f>
        <v>0</v>
      </c>
      <c r="L382" s="2">
        <f>Table15781012[[#This Row],[Period]]+$E$9</f>
        <v>378</v>
      </c>
      <c r="M382" s="3">
        <f>Table15781012[[#This Row],[Defaulted Principal]]-Table15781012[[#This Row],[Estimated Loss]]</f>
        <v>0</v>
      </c>
      <c r="N382" s="3">
        <f>IFERROR(VLOOKUP(Table15781012[[#This Row],[Period]],$L$16:$M$385,2,FALSE),0)</f>
        <v>0</v>
      </c>
      <c r="O382" s="3">
        <f>Table15781012[[#This Row],[Beginning Balance]]-Table15781012[[#This Row],[Principal]]-Table15781012[[#This Row],[Prepayments]]-Table15781012[[#This Row],[Defaulted Principal]]</f>
        <v>0</v>
      </c>
      <c r="P382" s="3">
        <f>Table15781012[[#This Row],[Principal]]+Table15781012[[#This Row],[Interest]]+Table15781012[[#This Row],[Prepayments]]+Table15781012[[#This Row],[RecoveredAmount]]</f>
        <v>0</v>
      </c>
      <c r="Q382" s="3">
        <f ca="1">ROUND(Table15781012[[#This Row],[Cash Flow]]/((1+ActualRateToUse)^(IF(ISNUMBER(SEARCH("Actual",$C$7)),Table15781012[[#This Row],[Running Total]]/365,Table15781012[[#This Row],[Period]]/12))),2)</f>
        <v>0</v>
      </c>
      <c r="R382" s="2">
        <f>IF(MONTH(Table15781012[[#This Row],[Date]])=2,28,DAY(DATE(YEAR(Table15781012[[#This Row],[Date]]),MONTH(Table15781012[[#This Row],[Date]])+1,1)-1))</f>
        <v>31</v>
      </c>
      <c r="S382" s="2">
        <f ca="1">SUM(OFFSET(Table15781012[[#Headers],[Days in month]],1,0):Table15781012[[#This Row],[Days in month]])</f>
        <v>11134</v>
      </c>
      <c r="T382" s="37">
        <f>InterestRate*AmortizationMultiplier*IF(ISNUMBER(SEARCH("Actual",$C$7)),Table15781012[[#This Row],[Days in month]]/365,1/12)</f>
        <v>6.0708333333333326E-3</v>
      </c>
    </row>
    <row r="383" spans="2:20" x14ac:dyDescent="0.2">
      <c r="B383" s="1">
        <f t="shared" si="18"/>
        <v>57010</v>
      </c>
      <c r="C383" s="2">
        <f t="shared" si="20"/>
        <v>367</v>
      </c>
      <c r="D383" s="3">
        <f t="shared" si="19"/>
        <v>0</v>
      </c>
      <c r="E383" s="3">
        <f>ROUND(Table15781012[[#This Row],[Beginning Balance]]*Table15781012[[#This Row],[Monthly Interest Rate]],2)</f>
        <v>0</v>
      </c>
      <c r="F383" s="3">
        <f t="shared" si="21"/>
        <v>-15</v>
      </c>
      <c r="G383" s="23">
        <f>IFERROR(IF($C$13="No","N/A",IF(Table15781012[[#This Row],[Period]]=1,$C$6,PMT(InterestRate*AmortizationMultiplier/12,Table15781012[[#This Row],[Am Thru]],-Table15781012[[#This Row],[Beginning Balance]]))),0)</f>
        <v>0</v>
      </c>
      <c r="H383" s="3">
        <f>MAX(0,IF(C383=$C$4,D383,ROUND(IF($C$3="Fixed Principal",$C$6-Table15781012[[#This Row],[Interest]],IF($C$3="Interest Only",Table15781012[[#This Row],[Beginning Balance]]*ROUND(1-(1-IF($C$11="No",$E$8,1))^(1/12),6),MIN(IF($C$13="Yes",Table15781012[[#This Row],[Payment Amount (Reamortized)]],$C$6)-Table15781012[[#This Row],[Interest]],Table15781012[[#This Row],[Beginning Balance]]))),2)))</f>
        <v>0</v>
      </c>
      <c r="I383" s="3">
        <f>_xlfn.SINGLE(IF($C$3="Line of Credit",0,ROUND(MAX(MIN(IF($C$10="No",$E$7,VLOOKUP(Table15781012[[#This Row],[Period]],Forecast!$H$2:$L$1048576,4,FALSE))*Table15781012[[#This Row],[Beginning Balance]],Table15781012[[#This Row],[Beginning Balance]]-Table15781012[[#This Row],[Principal]]),0),2)))</f>
        <v>0</v>
      </c>
      <c r="J383" s="3">
        <f>ROUND(MIN(Table15781012[[#This Row],[Beginning Balance]]*IF($C$8="No",$E$3,VLOOKUP(Table15781012[[#This Row],[Period]],Forecast!$H$2:$L$1048576,2,FALSE)),Table15781012[[#This Row],[Beginning Balance]]-Table15781012[[#This Row],[Principal]]-Table15781012[[#This Row],[Prepayments]]),2)</f>
        <v>0</v>
      </c>
      <c r="K383" s="3">
        <f>ROUND(Table15781012[[#This Row],[Defaulted Principal]]*IF($C$9="No",$E$4,VLOOKUP(Table15781012[[#This Row],[Period]],Forecast!$H$2:$L$1048576,3,FALSE)),2)</f>
        <v>0</v>
      </c>
      <c r="L383" s="2">
        <f>Table15781012[[#This Row],[Period]]+$E$9</f>
        <v>379</v>
      </c>
      <c r="M383" s="3">
        <f>Table15781012[[#This Row],[Defaulted Principal]]-Table15781012[[#This Row],[Estimated Loss]]</f>
        <v>0</v>
      </c>
      <c r="N383" s="3">
        <f>IFERROR(VLOOKUP(Table15781012[[#This Row],[Period]],$L$16:$M$385,2,FALSE),0)</f>
        <v>0</v>
      </c>
      <c r="O383" s="3">
        <f>Table15781012[[#This Row],[Beginning Balance]]-Table15781012[[#This Row],[Principal]]-Table15781012[[#This Row],[Prepayments]]-Table15781012[[#This Row],[Defaulted Principal]]</f>
        <v>0</v>
      </c>
      <c r="P383" s="3">
        <f>Table15781012[[#This Row],[Principal]]+Table15781012[[#This Row],[Interest]]+Table15781012[[#This Row],[Prepayments]]+Table15781012[[#This Row],[RecoveredAmount]]</f>
        <v>0</v>
      </c>
      <c r="Q383" s="3">
        <f ca="1">ROUND(Table15781012[[#This Row],[Cash Flow]]/((1+ActualRateToUse)^(IF(ISNUMBER(SEARCH("Actual",$C$7)),Table15781012[[#This Row],[Running Total]]/365,Table15781012[[#This Row],[Period]]/12))),2)</f>
        <v>0</v>
      </c>
      <c r="R383" s="2">
        <f>IF(MONTH(Table15781012[[#This Row],[Date]])=2,28,DAY(DATE(YEAR(Table15781012[[#This Row],[Date]]),MONTH(Table15781012[[#This Row],[Date]])+1,1)-1))</f>
        <v>31</v>
      </c>
      <c r="S383" s="2">
        <f ca="1">SUM(OFFSET(Table15781012[[#Headers],[Days in month]],1,0):Table15781012[[#This Row],[Days in month]])</f>
        <v>11165</v>
      </c>
      <c r="T383" s="37">
        <f>InterestRate*AmortizationMultiplier*IF(ISNUMBER(SEARCH("Actual",$C$7)),Table15781012[[#This Row],[Days in month]]/365,1/12)</f>
        <v>6.0708333333333326E-3</v>
      </c>
    </row>
    <row r="384" spans="2:20" x14ac:dyDescent="0.2">
      <c r="B384" s="1">
        <f t="shared" si="18"/>
        <v>57039</v>
      </c>
      <c r="C384" s="2">
        <f t="shared" si="20"/>
        <v>368</v>
      </c>
      <c r="D384" s="3">
        <f t="shared" si="19"/>
        <v>0</v>
      </c>
      <c r="E384" s="3">
        <f>ROUND(Table15781012[[#This Row],[Beginning Balance]]*Table15781012[[#This Row],[Monthly Interest Rate]],2)</f>
        <v>0</v>
      </c>
      <c r="F384" s="3">
        <f t="shared" si="21"/>
        <v>-16</v>
      </c>
      <c r="G384" s="23">
        <f>IFERROR(IF($C$13="No","N/A",IF(Table15781012[[#This Row],[Period]]=1,$C$6,PMT(InterestRate*AmortizationMultiplier/12,Table15781012[[#This Row],[Am Thru]],-Table15781012[[#This Row],[Beginning Balance]]))),0)</f>
        <v>0</v>
      </c>
      <c r="H384" s="3">
        <f>MAX(0,IF(C384=$C$4,D384,ROUND(IF($C$3="Fixed Principal",$C$6-Table15781012[[#This Row],[Interest]],IF($C$3="Interest Only",Table15781012[[#This Row],[Beginning Balance]]*ROUND(1-(1-IF($C$11="No",$E$8,1))^(1/12),6),MIN(IF($C$13="Yes",Table15781012[[#This Row],[Payment Amount (Reamortized)]],$C$6)-Table15781012[[#This Row],[Interest]],Table15781012[[#This Row],[Beginning Balance]]))),2)))</f>
        <v>0</v>
      </c>
      <c r="I384" s="3">
        <f>_xlfn.SINGLE(IF($C$3="Line of Credit",0,ROUND(MAX(MIN(IF($C$10="No",$E$7,VLOOKUP(Table15781012[[#This Row],[Period]],Forecast!$H$2:$L$1048576,4,FALSE))*Table15781012[[#This Row],[Beginning Balance]],Table15781012[[#This Row],[Beginning Balance]]-Table15781012[[#This Row],[Principal]]),0),2)))</f>
        <v>0</v>
      </c>
      <c r="J384" s="3">
        <f>ROUND(MIN(Table15781012[[#This Row],[Beginning Balance]]*IF($C$8="No",$E$3,VLOOKUP(Table15781012[[#This Row],[Period]],Forecast!$H$2:$L$1048576,2,FALSE)),Table15781012[[#This Row],[Beginning Balance]]-Table15781012[[#This Row],[Principal]]-Table15781012[[#This Row],[Prepayments]]),2)</f>
        <v>0</v>
      </c>
      <c r="K384" s="3">
        <f>ROUND(Table15781012[[#This Row],[Defaulted Principal]]*IF($C$9="No",$E$4,VLOOKUP(Table15781012[[#This Row],[Period]],Forecast!$H$2:$L$1048576,3,FALSE)),2)</f>
        <v>0</v>
      </c>
      <c r="L384" s="2">
        <f>Table15781012[[#This Row],[Period]]+$E$9</f>
        <v>380</v>
      </c>
      <c r="M384" s="3">
        <f>Table15781012[[#This Row],[Defaulted Principal]]-Table15781012[[#This Row],[Estimated Loss]]</f>
        <v>0</v>
      </c>
      <c r="N384" s="3">
        <f>IFERROR(VLOOKUP(Table15781012[[#This Row],[Period]],$L$16:$M$385,2,FALSE),0)</f>
        <v>0</v>
      </c>
      <c r="O384" s="3">
        <f>Table15781012[[#This Row],[Beginning Balance]]-Table15781012[[#This Row],[Principal]]-Table15781012[[#This Row],[Prepayments]]-Table15781012[[#This Row],[Defaulted Principal]]</f>
        <v>0</v>
      </c>
      <c r="P384" s="3">
        <f>Table15781012[[#This Row],[Principal]]+Table15781012[[#This Row],[Interest]]+Table15781012[[#This Row],[Prepayments]]+Table15781012[[#This Row],[RecoveredAmount]]</f>
        <v>0</v>
      </c>
      <c r="Q384" s="3">
        <f ca="1">ROUND(Table15781012[[#This Row],[Cash Flow]]/((1+ActualRateToUse)^(IF(ISNUMBER(SEARCH("Actual",$C$7)),Table15781012[[#This Row],[Running Total]]/365,Table15781012[[#This Row],[Period]]/12))),2)</f>
        <v>0</v>
      </c>
      <c r="R384" s="2">
        <f>IF(MONTH(Table15781012[[#This Row],[Date]])=2,28,DAY(DATE(YEAR(Table15781012[[#This Row],[Date]]),MONTH(Table15781012[[#This Row],[Date]])+1,1)-1))</f>
        <v>28</v>
      </c>
      <c r="S384" s="2">
        <f ca="1">SUM(OFFSET(Table15781012[[#Headers],[Days in month]],1,0):Table15781012[[#This Row],[Days in month]])</f>
        <v>11193</v>
      </c>
      <c r="T384" s="37">
        <f>InterestRate*AmortizationMultiplier*IF(ISNUMBER(SEARCH("Actual",$C$7)),Table15781012[[#This Row],[Days in month]]/365,1/12)</f>
        <v>5.4833333333333331E-3</v>
      </c>
    </row>
    <row r="385" spans="2:20" x14ac:dyDescent="0.2">
      <c r="B385" s="1">
        <f t="shared" si="18"/>
        <v>57070</v>
      </c>
      <c r="C385" s="2">
        <f t="shared" si="20"/>
        <v>369</v>
      </c>
      <c r="D385" s="3">
        <f t="shared" si="19"/>
        <v>0</v>
      </c>
      <c r="E385" s="3">
        <f>ROUND(Table15781012[[#This Row],[Beginning Balance]]*Table15781012[[#This Row],[Monthly Interest Rate]],2)</f>
        <v>0</v>
      </c>
      <c r="F385" s="3">
        <f t="shared" si="21"/>
        <v>-17</v>
      </c>
      <c r="G385" s="23">
        <f>IFERROR(IF($C$13="No","N/A",IF(Table15781012[[#This Row],[Period]]=1,$C$6,PMT(InterestRate*AmortizationMultiplier/12,Table15781012[[#This Row],[Am Thru]],-Table15781012[[#This Row],[Beginning Balance]]))),0)</f>
        <v>0</v>
      </c>
      <c r="H385" s="3">
        <f>MAX(0,IF(C385=$C$4,D385,ROUND(IF($C$3="Fixed Principal",$C$6-Table15781012[[#This Row],[Interest]],IF($C$3="Interest Only",Table15781012[[#This Row],[Beginning Balance]]*ROUND(1-(1-IF($C$11="No",$E$8,1))^(1/12),6),MIN(IF($C$13="Yes",Table15781012[[#This Row],[Payment Amount (Reamortized)]],$C$6)-Table15781012[[#This Row],[Interest]],Table15781012[[#This Row],[Beginning Balance]]))),2)))</f>
        <v>0</v>
      </c>
      <c r="I385" s="3">
        <f>_xlfn.SINGLE(IF($C$3="Line of Credit",0,ROUND(MAX(MIN(IF($C$10="No",$E$7,VLOOKUP(Table15781012[[#This Row],[Period]],Forecast!$H$2:$L$1048576,4,FALSE))*Table15781012[[#This Row],[Beginning Balance]],Table15781012[[#This Row],[Beginning Balance]]-Table15781012[[#This Row],[Principal]]),0),2)))</f>
        <v>0</v>
      </c>
      <c r="J385" s="3">
        <f>ROUND(MIN(Table15781012[[#This Row],[Beginning Balance]]*IF($C$8="No",$E$3,VLOOKUP(Table15781012[[#This Row],[Period]],Forecast!$H$2:$L$1048576,2,FALSE)),Table15781012[[#This Row],[Beginning Balance]]-Table15781012[[#This Row],[Principal]]-Table15781012[[#This Row],[Prepayments]]),2)</f>
        <v>0</v>
      </c>
      <c r="K385" s="3">
        <f>ROUND(Table15781012[[#This Row],[Defaulted Principal]]*IF($C$9="No",$E$4,VLOOKUP(Table15781012[[#This Row],[Period]],Forecast!$H$2:$L$1048576,3,FALSE)),2)</f>
        <v>0</v>
      </c>
      <c r="L385" s="2">
        <f>Table15781012[[#This Row],[Period]]+$E$9</f>
        <v>381</v>
      </c>
      <c r="M385" s="3">
        <f>Table15781012[[#This Row],[Defaulted Principal]]-Table15781012[[#This Row],[Estimated Loss]]</f>
        <v>0</v>
      </c>
      <c r="N385" s="3">
        <f>IFERROR(VLOOKUP(Table15781012[[#This Row],[Period]],$L$16:$M$385,2,FALSE),0)</f>
        <v>0</v>
      </c>
      <c r="O385" s="3">
        <f>Table15781012[[#This Row],[Beginning Balance]]-Table15781012[[#This Row],[Principal]]-Table15781012[[#This Row],[Prepayments]]-Table15781012[[#This Row],[Defaulted Principal]]</f>
        <v>0</v>
      </c>
      <c r="P385" s="3">
        <f>Table15781012[[#This Row],[Principal]]+Table15781012[[#This Row],[Interest]]+Table15781012[[#This Row],[Prepayments]]+Table15781012[[#This Row],[RecoveredAmount]]</f>
        <v>0</v>
      </c>
      <c r="Q385" s="3">
        <f ca="1">ROUND(Table15781012[[#This Row],[Cash Flow]]/((1+ActualRateToUse)^(IF(ISNUMBER(SEARCH("Actual",$C$7)),Table15781012[[#This Row],[Running Total]]/365,Table15781012[[#This Row],[Period]]/12))),2)</f>
        <v>0</v>
      </c>
      <c r="R385" s="2">
        <f>IF(MONTH(Table15781012[[#This Row],[Date]])=2,28,DAY(DATE(YEAR(Table15781012[[#This Row],[Date]]),MONTH(Table15781012[[#This Row],[Date]])+1,1)-1))</f>
        <v>31</v>
      </c>
      <c r="S385" s="2">
        <f ca="1">SUM(OFFSET(Table15781012[[#Headers],[Days in month]],1,0):Table15781012[[#This Row],[Days in month]])</f>
        <v>11224</v>
      </c>
      <c r="T385" s="37">
        <f>InterestRate*AmortizationMultiplier*IF(ISNUMBER(SEARCH("Actual",$C$7)),Table15781012[[#This Row],[Days in month]]/365,1/12)</f>
        <v>6.0708333333333326E-3</v>
      </c>
    </row>
  </sheetData>
  <sheetProtection formatCells="0" formatColumns="0" formatRows="0" insertColumns="0"/>
  <mergeCells count="1">
    <mergeCell ref="I2:J2"/>
  </mergeCells>
  <pageMargins left="0.7" right="0.7" top="0.75" bottom="0.75" header="0.3" footer="0.3"/>
  <pageSetup scale="70" fitToHeight="0" orientation="landscape"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F68AFA0F-A048-4605-BDB5-51761BCB50B8}">
          <x14:formula1>
            <xm:f>Inputs!$E$2:$E$3</xm:f>
          </x14:formula1>
          <xm:sqref>I8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5"/>
  <sheetViews>
    <sheetView workbookViewId="0"/>
  </sheetViews>
  <sheetFormatPr defaultRowHeight="14.4" x14ac:dyDescent="0.3"/>
  <cols>
    <col min="5" max="5" width="15.33203125" bestFit="1" customWidth="1"/>
    <col min="7" max="7" width="12.6640625" bestFit="1" customWidth="1"/>
  </cols>
  <sheetData>
    <row r="1" spans="1:7" x14ac:dyDescent="0.3">
      <c r="A1" t="s">
        <v>77</v>
      </c>
      <c r="C1" t="s">
        <v>78</v>
      </c>
      <c r="E1" t="s">
        <v>33</v>
      </c>
      <c r="G1" t="s">
        <v>79</v>
      </c>
    </row>
    <row r="2" spans="1:7" x14ac:dyDescent="0.3">
      <c r="A2">
        <v>365</v>
      </c>
      <c r="C2" t="s">
        <v>31</v>
      </c>
      <c r="E2" t="s">
        <v>80</v>
      </c>
      <c r="G2" t="s">
        <v>12</v>
      </c>
    </row>
    <row r="3" spans="1:7" x14ac:dyDescent="0.3">
      <c r="A3">
        <v>360</v>
      </c>
      <c r="C3" t="s">
        <v>40</v>
      </c>
      <c r="E3" t="s">
        <v>34</v>
      </c>
      <c r="G3" t="s">
        <v>81</v>
      </c>
    </row>
    <row r="4" spans="1:7" x14ac:dyDescent="0.3">
      <c r="A4" t="s">
        <v>27</v>
      </c>
      <c r="G4" t="s">
        <v>82</v>
      </c>
    </row>
    <row r="5" spans="1:7" x14ac:dyDescent="0.3">
      <c r="A5" t="s">
        <v>83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ewed_x0020_By xmlns="cd3b0f28-780b-423d-adf2-46fb6ea725f6">
      <UserInfo>
        <DisplayName/>
        <AccountId xsi:nil="true"/>
        <AccountType/>
      </UserInfo>
    </Reviewed_x0020_By>
    <Completed_x0020_By xmlns="cd3b0f28-780b-423d-adf2-46fb6ea725f6">
      <UserInfo>
        <DisplayName/>
        <AccountId xsi:nil="true"/>
        <AccountType/>
      </UserInfo>
    </Completed_x0020_B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1F83113D6F24F46A2D3341702AA0685" ma:contentTypeVersion="9" ma:contentTypeDescription="Create a new document." ma:contentTypeScope="" ma:versionID="605c7d0f03a30759945d07f12a824170">
  <xsd:schema xmlns:xsd="http://www.w3.org/2001/XMLSchema" xmlns:xs="http://www.w3.org/2001/XMLSchema" xmlns:p="http://schemas.microsoft.com/office/2006/metadata/properties" xmlns:ns2="cd3b0f28-780b-423d-adf2-46fb6ea725f6" targetNamespace="http://schemas.microsoft.com/office/2006/metadata/properties" ma:root="true" ma:fieldsID="af85e459ee4530fdfeb3f31c461894aa" ns2:_="">
    <xsd:import namespace="cd3b0f28-780b-423d-adf2-46fb6ea725f6"/>
    <xsd:element name="properties">
      <xsd:complexType>
        <xsd:sequence>
          <xsd:element name="documentManagement">
            <xsd:complexType>
              <xsd:all>
                <xsd:element ref="ns2:Completed_x0020_By" minOccurs="0"/>
                <xsd:element ref="ns2:Reviewed_x0020_By" minOccurs="0"/>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b0f28-780b-423d-adf2-46fb6ea725f6" elementFormDefault="qualified">
    <xsd:import namespace="http://schemas.microsoft.com/office/2006/documentManagement/types"/>
    <xsd:import namespace="http://schemas.microsoft.com/office/infopath/2007/PartnerControls"/>
    <xsd:element name="Completed_x0020_By" ma:index="8" nillable="true" ma:displayName="Completed By" ma:list="UserInfo" ma:SharePointGroup="0" ma:internalName="Complet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ewed_x0020_By" ma:index="9" nillable="true" ma:displayName="Reviewed By" ma:list="UserInfo" ma:SharePointGroup="0" ma:internalName="Reviewed_x0020_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497CA10-0664-45E5-A76C-E9EF0A136782}">
  <ds:schemaRefs>
    <ds:schemaRef ds:uri="http://schemas.microsoft.com/office/2006/metadata/properties"/>
    <ds:schemaRef ds:uri="http://schemas.microsoft.com/office/infopath/2007/PartnerControls"/>
    <ds:schemaRef ds:uri="cd3b0f28-780b-423d-adf2-46fb6ea725f6"/>
  </ds:schemaRefs>
</ds:datastoreItem>
</file>

<file path=customXml/itemProps2.xml><?xml version="1.0" encoding="utf-8"?>
<ds:datastoreItem xmlns:ds="http://schemas.openxmlformats.org/officeDocument/2006/customXml" ds:itemID="{20CA88EA-E01A-4FC5-9226-0AC473C703A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b0f28-780b-423d-adf2-46fb6ea725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FCD5269-88BD-4284-90A4-BCB98FF94F48}">
  <ds:schemaRefs>
    <ds:schemaRef ds:uri="http://schemas.microsoft.com/sharepoint/v3/contenttype/forms"/>
  </ds:schemaRefs>
</ds:datastoreItem>
</file>

<file path=docMetadata/LabelInfo.xml><?xml version="1.0" encoding="utf-8"?>
<clbl:labelList xmlns:clbl="http://schemas.microsoft.com/office/2020/mipLabelMetadata">
  <clbl:label id="{6ff60d36-925f-4785-a854-510f909ee561}" enabled="0" method="" siteId="{6ff60d36-925f-4785-a854-510f909ee56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72</vt:i4>
      </vt:variant>
    </vt:vector>
  </HeadingPairs>
  <TitlesOfParts>
    <vt:vector size="86" baseType="lpstr">
      <vt:lpstr>Readme</vt:lpstr>
      <vt:lpstr>Forecast</vt:lpstr>
      <vt:lpstr>DCF Calc</vt:lpstr>
      <vt:lpstr>Abrigo Results</vt:lpstr>
      <vt:lpstr>DCF Calc 2</vt:lpstr>
      <vt:lpstr>Abrigo Results 2</vt:lpstr>
      <vt:lpstr>DCF Calc 3</vt:lpstr>
      <vt:lpstr>Abrigo Results 3</vt:lpstr>
      <vt:lpstr>DCF Calc 4</vt:lpstr>
      <vt:lpstr>Abrigo Results 4</vt:lpstr>
      <vt:lpstr>DCF Calc 5</vt:lpstr>
      <vt:lpstr>Abrigo Results 5</vt:lpstr>
      <vt:lpstr>DCF Calc (Test)</vt:lpstr>
      <vt:lpstr>Inputs</vt:lpstr>
      <vt:lpstr>'DCF Calc (Test)'!ActualRateToUse</vt:lpstr>
      <vt:lpstr>'DCF Calc 2'!ActualRateToUse</vt:lpstr>
      <vt:lpstr>'DCF Calc 3'!ActualRateToUse</vt:lpstr>
      <vt:lpstr>'DCF Calc 4'!ActualRateToUse</vt:lpstr>
      <vt:lpstr>'DCF Calc 5'!ActualRateToUse</vt:lpstr>
      <vt:lpstr>ActualRateToUse</vt:lpstr>
      <vt:lpstr>'DCF Calc (Test)'!AmortizationMultiplier</vt:lpstr>
      <vt:lpstr>'DCF Calc 2'!AmortizationMultiplier</vt:lpstr>
      <vt:lpstr>'DCF Calc 3'!AmortizationMultiplier</vt:lpstr>
      <vt:lpstr>'DCF Calc 4'!AmortizationMultiplier</vt:lpstr>
      <vt:lpstr>'DCF Calc 5'!AmortizationMultiplier</vt:lpstr>
      <vt:lpstr>AmortizationMultiplier</vt:lpstr>
      <vt:lpstr>'DCF Calc (Test)'!DCFSettings</vt:lpstr>
      <vt:lpstr>'DCF Calc 2'!DCFSettings</vt:lpstr>
      <vt:lpstr>'DCF Calc 3'!DCFSettings</vt:lpstr>
      <vt:lpstr>'DCF Calc 4'!DCFSettings</vt:lpstr>
      <vt:lpstr>'DCF Calc 5'!DCFSettings</vt:lpstr>
      <vt:lpstr>DCFSettings</vt:lpstr>
      <vt:lpstr>'DCF Calc (Test)'!DCFSettingsCopy</vt:lpstr>
      <vt:lpstr>'DCF Calc 2'!DCFSettingsCopy</vt:lpstr>
      <vt:lpstr>'DCF Calc 3'!DCFSettingsCopy</vt:lpstr>
      <vt:lpstr>'DCF Calc 4'!DCFSettingsCopy</vt:lpstr>
      <vt:lpstr>'DCF Calc 5'!DCFSettingsCopy</vt:lpstr>
      <vt:lpstr>DCFSettingsCopy</vt:lpstr>
      <vt:lpstr>'DCF Calc (Test)'!DiscountRate</vt:lpstr>
      <vt:lpstr>'DCF Calc 2'!DiscountRate</vt:lpstr>
      <vt:lpstr>'DCF Calc 3'!DiscountRate</vt:lpstr>
      <vt:lpstr>'DCF Calc 4'!DiscountRate</vt:lpstr>
      <vt:lpstr>'DCF Calc 5'!DiscountRate</vt:lpstr>
      <vt:lpstr>DiscountRate</vt:lpstr>
      <vt:lpstr>'DCF Calc (Test)'!DiscountRateToUse</vt:lpstr>
      <vt:lpstr>'DCF Calc 2'!DiscountRateToUse</vt:lpstr>
      <vt:lpstr>'DCF Calc 3'!DiscountRateToUse</vt:lpstr>
      <vt:lpstr>'DCF Calc 4'!DiscountRateToUse</vt:lpstr>
      <vt:lpstr>'DCF Calc 5'!DiscountRateToUse</vt:lpstr>
      <vt:lpstr>DiscountRateToUse</vt:lpstr>
      <vt:lpstr>'DCF Calc (Test)'!InterestRate</vt:lpstr>
      <vt:lpstr>'DCF Calc 2'!InterestRate</vt:lpstr>
      <vt:lpstr>'DCF Calc 3'!InterestRate</vt:lpstr>
      <vt:lpstr>'DCF Calc 4'!InterestRate</vt:lpstr>
      <vt:lpstr>'DCF Calc 5'!InterestRate</vt:lpstr>
      <vt:lpstr>InterestRate</vt:lpstr>
      <vt:lpstr>'DCF Calc (Test)'!LossGivenDefault</vt:lpstr>
      <vt:lpstr>'DCF Calc 2'!LossGivenDefault</vt:lpstr>
      <vt:lpstr>'DCF Calc 3'!LossGivenDefault</vt:lpstr>
      <vt:lpstr>'DCF Calc 4'!LossGivenDefault</vt:lpstr>
      <vt:lpstr>'DCF Calc 5'!LossGivenDefault</vt:lpstr>
      <vt:lpstr>LossGivenDefault</vt:lpstr>
      <vt:lpstr>'DCF Calc (Test)'!ManualDiscountRate</vt:lpstr>
      <vt:lpstr>'DCF Calc 2'!ManualDiscountRate</vt:lpstr>
      <vt:lpstr>'DCF Calc 3'!ManualDiscountRate</vt:lpstr>
      <vt:lpstr>'DCF Calc 4'!ManualDiscountRate</vt:lpstr>
      <vt:lpstr>'DCF Calc 5'!ManualDiscountRate</vt:lpstr>
      <vt:lpstr>ManualDiscountRate</vt:lpstr>
      <vt:lpstr>'DCF Calc (Test)'!PrepaymentRate</vt:lpstr>
      <vt:lpstr>'DCF Calc 2'!PrepaymentRate</vt:lpstr>
      <vt:lpstr>'DCF Calc 3'!PrepaymentRate</vt:lpstr>
      <vt:lpstr>'DCF Calc 4'!PrepaymentRate</vt:lpstr>
      <vt:lpstr>'DCF Calc 5'!PrepaymentRate</vt:lpstr>
      <vt:lpstr>PrepaymentRate</vt:lpstr>
      <vt:lpstr>'DCF Calc (Test)'!ProbabilityOfDefault</vt:lpstr>
      <vt:lpstr>'DCF Calc 2'!ProbabilityOfDefault</vt:lpstr>
      <vt:lpstr>'DCF Calc 3'!ProbabilityOfDefault</vt:lpstr>
      <vt:lpstr>'DCF Calc 4'!ProbabilityOfDefault</vt:lpstr>
      <vt:lpstr>'DCF Calc 5'!ProbabilityOfDefault</vt:lpstr>
      <vt:lpstr>ProbabilityOfDefault</vt:lpstr>
      <vt:lpstr>'DCF Calc (Test)'!ReserveAmount</vt:lpstr>
      <vt:lpstr>'DCF Calc 2'!ReserveAmount</vt:lpstr>
      <vt:lpstr>'DCF Calc 3'!ReserveAmount</vt:lpstr>
      <vt:lpstr>'DCF Calc 4'!ReserveAmount</vt:lpstr>
      <vt:lpstr>'DCF Calc 5'!ReserveAmount</vt:lpstr>
      <vt:lpstr>ReserveAmount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Desalvo</dc:creator>
  <cp:keywords/>
  <dc:description/>
  <cp:lastModifiedBy>Rachur, Achyuth</cp:lastModifiedBy>
  <cp:revision/>
  <dcterms:created xsi:type="dcterms:W3CDTF">2017-02-08T15:25:58Z</dcterms:created>
  <dcterms:modified xsi:type="dcterms:W3CDTF">2026-01-16T21:15:15Z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58ceb4-73ff-4bbf-a9aa-abec93709466_Enabled">
    <vt:lpwstr>true</vt:lpwstr>
  </property>
  <property fmtid="{D5CDD505-2E9C-101B-9397-08002B2CF9AE}" pid="3" name="MSIP_Label_4858ceb4-73ff-4bbf-a9aa-abec93709466_SetDate">
    <vt:lpwstr>2022-09-22T18:37:18Z</vt:lpwstr>
  </property>
  <property fmtid="{D5CDD505-2E9C-101B-9397-08002B2CF9AE}" pid="4" name="MSIP_Label_4858ceb4-73ff-4bbf-a9aa-abec93709466_Method">
    <vt:lpwstr>Standard</vt:lpwstr>
  </property>
  <property fmtid="{D5CDD505-2E9C-101B-9397-08002B2CF9AE}" pid="5" name="MSIP_Label_4858ceb4-73ff-4bbf-a9aa-abec93709466_Name">
    <vt:lpwstr>General</vt:lpwstr>
  </property>
  <property fmtid="{D5CDD505-2E9C-101B-9397-08002B2CF9AE}" pid="6" name="MSIP_Label_4858ceb4-73ff-4bbf-a9aa-abec93709466_SiteId">
    <vt:lpwstr>b0a17b5e-03e2-44f9-b690-819585504a99</vt:lpwstr>
  </property>
  <property fmtid="{D5CDD505-2E9C-101B-9397-08002B2CF9AE}" pid="7" name="MSIP_Label_4858ceb4-73ff-4bbf-a9aa-abec93709466_ActionId">
    <vt:lpwstr>a3aa389a-f513-4e78-9bc8-dc42db701051</vt:lpwstr>
  </property>
  <property fmtid="{D5CDD505-2E9C-101B-9397-08002B2CF9AE}" pid="8" name="MSIP_Label_4858ceb4-73ff-4bbf-a9aa-abec93709466_ContentBits">
    <vt:lpwstr>0</vt:lpwstr>
  </property>
  <property fmtid="{D5CDD505-2E9C-101B-9397-08002B2CF9AE}" pid="9" name="ContentTypeId">
    <vt:lpwstr>0x01010051F83113D6F24F46A2D3341702AA0685</vt:lpwstr>
  </property>
  <property fmtid="{D5CDD505-2E9C-101B-9397-08002B2CF9AE}" pid="10" name="MediaServiceImageTags">
    <vt:lpwstr/>
  </property>
  <property fmtid="{D5CDD505-2E9C-101B-9397-08002B2CF9AE}" pid="11" name="{A44787D4-0540-4523-9961-78E4036D8C6D}">
    <vt:lpwstr>{963A5064-BEE2-488C-BE10-628E6DBF9392}</vt:lpwstr>
  </property>
</Properties>
</file>